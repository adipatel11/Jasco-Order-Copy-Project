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20" yWindow="960" windowWidth="25800" windowHeight="15720" tabRatio="600" firstSheet="0" activeTab="4" autoFilterDateGrouping="1"/>
  </bookViews>
  <sheets>
    <sheet name="SizeData" sheetId="1" state="visible" r:id="rId1"/>
    <sheet name="Warehouse" sheetId="2" state="visible" r:id="rId2"/>
    <sheet name=" Pending Current" sheetId="3" state="visible" r:id="rId3"/>
    <sheet name="2023" sheetId="4" state="visible" r:id="rId4"/>
    <sheet name="Bulk" sheetId="5" state="visible" r:id="rId5"/>
    <sheet name="Cancelled" sheetId="6" state="visible" r:id="rId6"/>
    <sheet name="2022" sheetId="7" state="visible" r:id="rId7"/>
    <sheet name="2021" sheetId="8" state="visible" r:id="rId8"/>
    <sheet name="Pending" sheetId="9" state="visible" r:id="rId9"/>
    <sheet name="Special Order 2022" sheetId="10" state="visible" r:id="rId10"/>
    <sheet name="All Products" sheetId="11" state="visible" r:id="rId11"/>
    <sheet name="Sheet1" sheetId="12" state="visible" r:id="rId12"/>
    <sheet name="Special Order 2021" sheetId="13" state="visible" r:id="rId13"/>
    <sheet name="Sheet2" sheetId="14" state="visible" r:id="rId14"/>
    <sheet name="Lottery_3_7_2022" sheetId="15" state="visible" r:id="rId15"/>
  </sheets>
  <definedNames>
    <definedName name="_xlnm._FilterDatabase" localSheetId="1" hidden="1">'Warehouse'!$A$2:$G$2</definedName>
    <definedName name="_xlnm._FilterDatabase" localSheetId="2" hidden="1">' Pending Current'!$A$2:$G$231</definedName>
    <definedName name="_xlnm._FilterDatabase" localSheetId="3" hidden="1">'2023'!$A$2:$G$2185</definedName>
    <definedName name="_xlnm._FilterDatabase" localSheetId="4" hidden="1">'Bulk'!$A$2:$G$2</definedName>
    <definedName name="_xlnm._FilterDatabase" localSheetId="5" hidden="1">'Cancelled'!$A$2:$G$2</definedName>
    <definedName name="_xlnm._FilterDatabase" localSheetId="6" hidden="1">'2022'!$A$3:$G$4827</definedName>
    <definedName name="_xlnm._FilterDatabase" localSheetId="7" hidden="1">'2021'!$A$3:$G$5616</definedName>
    <definedName name="_xlnm._FilterDatabase" localSheetId="8" hidden="1">'Pending'!$A$2:$G$403</definedName>
    <definedName name="_xlnm._FilterDatabase" localSheetId="9" hidden="1">'Special Order 2022'!$A$1:$L$215</definedName>
    <definedName name="_xlnm._FilterDatabase" localSheetId="12" hidden="1">'Special Order 2021'!$A$1:$K$422</definedName>
    <definedName name="_xlnm._FilterDatabase" localSheetId="13" hidden="1">'Sheet2'!$A$2:$G$2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8.5"/>
    </font>
    <font>
      <name val="Arial"/>
      <family val="2"/>
      <color rgb="FF000000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20"/>
      <scheme val="minor"/>
    </font>
    <font>
      <name val="Arial"/>
      <family val="2"/>
      <b val="1"/>
      <color rgb="FF000000"/>
      <sz val="9"/>
    </font>
    <font>
      <name val="Calibri"/>
      <family val="2"/>
      <b val="1"/>
      <color theme="1"/>
      <sz val="18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color rgb="FF202124"/>
      <sz val="16"/>
    </font>
    <font>
      <name val="Segoe UI"/>
      <family val="2"/>
      <b val="1"/>
      <color rgb="FF444444"/>
      <sz val="9"/>
    </font>
    <font>
      <name val="Segoe UI"/>
      <family val="2"/>
      <color rgb="FF444444"/>
      <sz val="12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8.5"/>
    </font>
    <font>
      <name val="Calibri"/>
      <family val="2"/>
      <color rgb="FFFF0000"/>
      <sz val="11"/>
      <scheme val="minor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Calibri"/>
      <family val="2"/>
      <b val="1"/>
      <color theme="1"/>
      <sz val="12"/>
      <scheme val="minor"/>
    </font>
    <font>
      <name val="Arial"/>
      <family val="2"/>
      <b val="1"/>
      <i val="1"/>
      <color rgb="FF000000"/>
      <sz val="12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0" fillId="0" borderId="1" pivotButton="0" quotePrefix="0" xfId="0"/>
    <xf numFmtId="16" fontId="0" fillId="0" borderId="1" pivotButton="0" quotePrefix="0" xfId="0"/>
    <xf numFmtId="0" fontId="2" fillId="2" borderId="5" pivotButton="0" quotePrefix="0" xfId="0"/>
    <xf numFmtId="0" fontId="2" fillId="2" borderId="3" pivotButton="0" quotePrefix="0" xfId="0"/>
    <xf numFmtId="0" fontId="0" fillId="0" borderId="7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0" borderId="3" applyAlignment="1" pivotButton="0" quotePrefix="0" xfId="0">
      <alignment wrapText="1"/>
    </xf>
    <xf numFmtId="4" fontId="2" fillId="0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3" fillId="0" borderId="7" pivotButton="0" quotePrefix="0" xfId="0"/>
    <xf numFmtId="16" fontId="0" fillId="0" borderId="7" pivotButton="0" quotePrefix="0" xfId="0"/>
    <xf numFmtId="4" fontId="2" fillId="0" borderId="4" applyAlignment="1" pivotButton="0" quotePrefix="0" xfId="0">
      <alignment wrapText="1"/>
    </xf>
    <xf numFmtId="0" fontId="1" fillId="0" borderId="0" pivotButton="0" quotePrefix="0" xfId="0"/>
    <xf numFmtId="0" fontId="2" fillId="0" borderId="1" applyAlignment="1" pivotButton="0" quotePrefix="0" xfId="0">
      <alignment wrapText="1"/>
    </xf>
    <xf numFmtId="16" fontId="2" fillId="0" borderId="1" applyAlignment="1" pivotButton="0" quotePrefix="0" xfId="0">
      <alignment wrapText="1"/>
    </xf>
    <xf numFmtId="0" fontId="3" fillId="0" borderId="6" pivotButton="0" quotePrefix="0" xfId="0"/>
    <xf numFmtId="0" fontId="3" fillId="0" borderId="4" pivotButton="0" quotePrefix="0" xfId="0"/>
    <xf numFmtId="16" fontId="0" fillId="0" borderId="3" pivotButton="0" quotePrefix="0" xfId="0"/>
    <xf numFmtId="0" fontId="0" fillId="0" borderId="2" pivotButton="0" quotePrefix="0" xfId="0"/>
    <xf numFmtId="0" fontId="3" fillId="0" borderId="8" pivotButton="0" quotePrefix="0" xfId="0"/>
    <xf numFmtId="16" fontId="0" fillId="0" borderId="8" pivotButton="0" quotePrefix="0" xfId="0"/>
    <xf numFmtId="16" fontId="0" fillId="0" borderId="0" pivotButton="0" quotePrefix="0" xfId="0"/>
    <xf numFmtId="0" fontId="3" fillId="0" borderId="0" pivotButton="0" quotePrefix="0" xfId="0"/>
    <xf numFmtId="0" fontId="2" fillId="0" borderId="5" applyAlignment="1" pivotButton="0" quotePrefix="0" xfId="0">
      <alignment horizontal="left"/>
    </xf>
    <xf numFmtId="0" fontId="7" fillId="0" borderId="1" pivotButton="0" quotePrefix="0" xfId="0"/>
    <xf numFmtId="0" fontId="2" fillId="0" borderId="5" applyAlignment="1" pivotButton="0" quotePrefix="0" xfId="0">
      <alignment horizontal="right"/>
    </xf>
    <xf numFmtId="4" fontId="2" fillId="0" borderId="5" applyAlignment="1" pivotButton="0" quotePrefix="0" xfId="0">
      <alignment horizontal="right"/>
    </xf>
    <xf numFmtId="0" fontId="8" fillId="0" borderId="0" pivotButton="0" quotePrefix="0" xfId="0"/>
    <xf numFmtId="0" fontId="6" fillId="0" borderId="0" pivotButton="0" quotePrefix="0" xfId="0"/>
    <xf numFmtId="0" fontId="3" fillId="3" borderId="1" pivotButton="0" quotePrefix="0" xfId="0"/>
    <xf numFmtId="0" fontId="4" fillId="3" borderId="1" pivotButton="0" quotePrefix="0" xfId="0"/>
    <xf numFmtId="16" fontId="0" fillId="3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5" fillId="0" borderId="0" pivotButton="0" quotePrefix="0" xfId="0"/>
    <xf numFmtId="14" fontId="8" fillId="0" borderId="0" applyAlignment="1" pivotButton="0" quotePrefix="0" xfId="0">
      <alignment horizontal="center" vertical="center"/>
    </xf>
    <xf numFmtId="0" fontId="2" fillId="0" borderId="3" pivotButton="0" quotePrefix="0" xfId="0"/>
    <xf numFmtId="0" fontId="3" fillId="5" borderId="1" pivotButton="0" quotePrefix="0" xfId="0"/>
    <xf numFmtId="16" fontId="0" fillId="5" borderId="1" pivotButton="0" quotePrefix="0" xfId="0"/>
    <xf numFmtId="0" fontId="0" fillId="5" borderId="1" pivotButton="0" quotePrefix="0" xfId="0"/>
    <xf numFmtId="0" fontId="0" fillId="5" borderId="0" pivotButton="0" quotePrefix="0" xfId="0"/>
    <xf numFmtId="0" fontId="3" fillId="0" borderId="1" applyAlignment="1" pivotButton="0" quotePrefix="0" xfId="0">
      <alignment horizontal="left"/>
    </xf>
    <xf numFmtId="0" fontId="3" fillId="6" borderId="1" pivotButton="0" quotePrefix="0" xfId="0"/>
    <xf numFmtId="0" fontId="4" fillId="6" borderId="1" pivotButton="0" quotePrefix="0" xfId="0"/>
    <xf numFmtId="16" fontId="0" fillId="6" borderId="1" pivotButton="0" quotePrefix="0" xfId="0"/>
    <xf numFmtId="0" fontId="0" fillId="6" borderId="1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right" indent="1"/>
    </xf>
    <xf numFmtId="0" fontId="0" fillId="7" borderId="1" pivotButton="0" quotePrefix="0" xfId="0"/>
    <xf numFmtId="16" fontId="0" fillId="7" borderId="1" pivotButton="0" quotePrefix="0" xfId="0"/>
    <xf numFmtId="0" fontId="3" fillId="4" borderId="1" pivotButton="0" quotePrefix="0" xfId="0"/>
    <xf numFmtId="16" fontId="0" fillId="4" borderId="1" pivotButton="0" quotePrefix="0" xfId="0"/>
    <xf numFmtId="0" fontId="0" fillId="4" borderId="1" pivotButton="0" quotePrefix="0" xfId="0"/>
    <xf numFmtId="0" fontId="3" fillId="8" borderId="1" pivotButton="0" quotePrefix="0" xfId="0"/>
    <xf numFmtId="16" fontId="0" fillId="8" borderId="1" pivotButton="0" quotePrefix="0" xfId="0"/>
    <xf numFmtId="0" fontId="0" fillId="8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right" indent="1"/>
    </xf>
    <xf numFmtId="16" fontId="1" fillId="0" borderId="1" pivotButton="0" quotePrefix="0" xfId="0"/>
    <xf numFmtId="0" fontId="1" fillId="0" borderId="1" pivotButton="0" quotePrefix="0" xfId="0"/>
    <xf numFmtId="14" fontId="1" fillId="0" borderId="0" applyAlignment="1" pivotButton="0" quotePrefix="0" xfId="0">
      <alignment horizontal="center" vertical="center"/>
    </xf>
    <xf numFmtId="14" fontId="12" fillId="0" borderId="0" applyAlignment="1" pivotButton="0" quotePrefix="0" xfId="0">
      <alignment horizontal="center"/>
    </xf>
    <xf numFmtId="0" fontId="3" fillId="0" borderId="9" pivotButton="0" quotePrefix="0" xfId="0"/>
    <xf numFmtId="0" fontId="13" fillId="0" borderId="1" pivotButton="0" quotePrefix="0" xfId="0"/>
    <xf numFmtId="16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2" pivotButton="0" quotePrefix="0" xfId="0"/>
    <xf numFmtId="16" fontId="1" fillId="0" borderId="10" pivotButton="0" quotePrefix="0" xfId="0"/>
    <xf numFmtId="0" fontId="1" fillId="0" borderId="8" pivotButton="0" quotePrefix="0" xfId="0"/>
    <xf numFmtId="0" fontId="14" fillId="0" borderId="0" pivotButton="0" quotePrefix="0" xfId="0"/>
    <xf numFmtId="0" fontId="15" fillId="0" borderId="1" pivotButton="0" quotePrefix="0" xfId="0"/>
    <xf numFmtId="0" fontId="2" fillId="2" borderId="5" applyAlignment="1" pivotButton="0" quotePrefix="0" xfId="0">
      <alignment horizontal="left"/>
    </xf>
    <xf numFmtId="4" fontId="2" fillId="2" borderId="5" applyAlignment="1" pivotButton="0" quotePrefix="0" xfId="0">
      <alignment horizontal="left"/>
    </xf>
    <xf numFmtId="14" fontId="2" fillId="0" borderId="5" applyAlignment="1" pivotButton="0" quotePrefix="0" xfId="0">
      <alignment horizontal="right"/>
    </xf>
    <xf numFmtId="0" fontId="16" fillId="0" borderId="13" applyAlignment="1" pivotButton="0" quotePrefix="0" xfId="0">
      <alignment horizontal="left"/>
    </xf>
    <xf numFmtId="0" fontId="16" fillId="0" borderId="13" applyAlignment="1" pivotButton="0" quotePrefix="0" xfId="0">
      <alignment horizontal="right"/>
    </xf>
    <xf numFmtId="4" fontId="16" fillId="0" borderId="13" applyAlignment="1" pivotButton="0" quotePrefix="0" xfId="0">
      <alignment horizontal="right"/>
    </xf>
    <xf numFmtId="16" fontId="0" fillId="3" borderId="10" pivotButton="0" quotePrefix="0" xfId="0"/>
    <xf numFmtId="0" fontId="0" fillId="3" borderId="8" pivotButton="0" quotePrefix="0" xfId="0"/>
    <xf numFmtId="0" fontId="7" fillId="3" borderId="1" pivotButton="0" quotePrefix="0" xfId="0"/>
    <xf numFmtId="0" fontId="15" fillId="3" borderId="1" pivotButton="0" quotePrefix="0" xfId="0"/>
    <xf numFmtId="16" fontId="1" fillId="3" borderId="10" pivotButton="0" quotePrefix="0" xfId="0"/>
    <xf numFmtId="0" fontId="1" fillId="3" borderId="8" pivotButton="0" quotePrefix="0" xfId="0"/>
    <xf numFmtId="0" fontId="13" fillId="0" borderId="0" pivotButton="0" quotePrefix="0" xfId="0"/>
    <xf numFmtId="14" fontId="5" fillId="0" borderId="0" applyAlignment="1" pivotButton="0" quotePrefix="0" xfId="0">
      <alignment horizontal="center" vertical="center"/>
    </xf>
    <xf numFmtId="16" fontId="0" fillId="5" borderId="10" pivotButton="0" quotePrefix="0" xfId="0"/>
    <xf numFmtId="16" fontId="0" fillId="8" borderId="10" pivotButton="0" quotePrefix="0" xfId="0"/>
    <xf numFmtId="0" fontId="0" fillId="5" borderId="8" pivotButton="0" quotePrefix="0" xfId="0"/>
    <xf numFmtId="0" fontId="0" fillId="8" borderId="8" pivotButton="0" quotePrefix="0" xfId="0"/>
    <xf numFmtId="0" fontId="2" fillId="0" borderId="5" applyAlignment="1" pivotButton="0" quotePrefix="0" xfId="0">
      <alignment horizontal="center"/>
    </xf>
    <xf numFmtId="0" fontId="0" fillId="4" borderId="0" pivotButton="0" quotePrefix="0" xfId="0"/>
    <xf numFmtId="0" fontId="4" fillId="0" borderId="7" pivotButton="0" quotePrefix="0" xfId="0"/>
    <xf numFmtId="0" fontId="10" fillId="0" borderId="1" pivotButton="0" quotePrefix="0" xfId="0"/>
    <xf numFmtId="0" fontId="18" fillId="0" borderId="1" pivotButton="0" quotePrefix="0" xfId="0"/>
    <xf numFmtId="16" fontId="10" fillId="0" borderId="10" pivotButton="0" quotePrefix="0" xfId="0"/>
    <xf numFmtId="0" fontId="10" fillId="0" borderId="8" pivotButton="0" quotePrefix="0" xfId="0"/>
    <xf numFmtId="0" fontId="19" fillId="0" borderId="1" pivotButton="0" quotePrefix="0" xfId="0"/>
    <xf numFmtId="0" fontId="20" fillId="0" borderId="1" pivotButton="0" quotePrefix="0" xfId="0"/>
    <xf numFmtId="16" fontId="20" fillId="0" borderId="10" pivotButton="0" quotePrefix="0" xfId="0"/>
    <xf numFmtId="0" fontId="20" fillId="0" borderId="8" pivotButton="0" quotePrefix="0" xfId="0"/>
    <xf numFmtId="0" fontId="7" fillId="0" borderId="0" pivotButton="0" quotePrefix="0" xfId="0"/>
    <xf numFmtId="16" fontId="0" fillId="0" borderId="10" applyAlignment="1" pivotButton="0" quotePrefix="0" xfId="0">
      <alignment horizontal="right"/>
    </xf>
    <xf numFmtId="16" fontId="0" fillId="7" borderId="10" pivotButton="0" quotePrefix="0" xfId="0"/>
    <xf numFmtId="0" fontId="0" fillId="4" borderId="8" pivotButton="0" quotePrefix="0" xfId="0"/>
    <xf numFmtId="0" fontId="0" fillId="7" borderId="8" pivotButton="0" quotePrefix="0" xfId="0"/>
    <xf numFmtId="0" fontId="17" fillId="4" borderId="8" pivotButton="0" quotePrefix="0" xfId="0"/>
    <xf numFmtId="0" fontId="20" fillId="0" borderId="0" pivotButton="0" quotePrefix="0" xfId="0"/>
    <xf numFmtId="0" fontId="18" fillId="3" borderId="1" pivotButton="0" quotePrefix="0" xfId="0"/>
    <xf numFmtId="0" fontId="10" fillId="3" borderId="1" pivotButton="0" quotePrefix="0" xfId="0"/>
    <xf numFmtId="16" fontId="10" fillId="3" borderId="10" pivotButton="0" quotePrefix="0" xfId="0"/>
    <xf numFmtId="0" fontId="10" fillId="3" borderId="8" pivotButton="0" quotePrefix="0" xfId="0"/>
    <xf numFmtId="0" fontId="21" fillId="0" borderId="1" pivotButton="0" quotePrefix="0" xfId="0"/>
    <xf numFmtId="0" fontId="22" fillId="0" borderId="1" pivotButton="0" quotePrefix="0" xfId="0"/>
    <xf numFmtId="16" fontId="22" fillId="0" borderId="10" pivotButton="0" quotePrefix="0" xfId="0"/>
    <xf numFmtId="0" fontId="22" fillId="0" borderId="8" pivotButton="0" quotePrefix="0" xfId="0"/>
    <xf numFmtId="0" fontId="23" fillId="0" borderId="0" pivotButton="0" quotePrefix="0" xfId="0"/>
    <xf numFmtId="0" fontId="19" fillId="3" borderId="1" pivotButton="0" quotePrefix="0" xfId="0"/>
    <xf numFmtId="0" fontId="20" fillId="3" borderId="1" pivotButton="0" quotePrefix="0" xfId="0"/>
    <xf numFmtId="16" fontId="20" fillId="3" borderId="10" pivotButton="0" quotePrefix="0" xfId="0"/>
    <xf numFmtId="0" fontId="20" fillId="3" borderId="8" pivotButton="0" quotePrefix="0" xfId="0"/>
    <xf numFmtId="0" fontId="2" fillId="0" borderId="0" applyAlignment="1" pivotButton="0" quotePrefix="0" xfId="0">
      <alignment horizontal="left"/>
    </xf>
    <xf numFmtId="0" fontId="18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Relationships xmlns="http://schemas.openxmlformats.org/package/2006/relationships"><Relationship Type="http://schemas.openxmlformats.org/officeDocument/2006/relationships/hyperlink" Target="javascript:;" TargetMode="External" Id="rId1" /><Relationship Type="http://schemas.openxmlformats.org/officeDocument/2006/relationships/hyperlink" Target="javascript:;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39"/>
  <sheetViews>
    <sheetView topLeftCell="A3810" workbookViewId="0">
      <selection activeCell="F3819" sqref="F3819"/>
    </sheetView>
  </sheetViews>
  <sheetFormatPr baseColWidth="10" defaultColWidth="8.83203125" defaultRowHeight="15"/>
  <cols>
    <col width="10.6640625" customWidth="1" min="1" max="1"/>
    <col width="8.5" customWidth="1" min="2" max="2"/>
  </cols>
  <sheetData>
    <row r="1">
      <c r="A1" s="3" t="inlineStr">
        <is>
          <t>Item Code#</t>
        </is>
      </c>
      <c r="B1" s="4" t="inlineStr">
        <is>
          <t>Size</t>
        </is>
      </c>
    </row>
    <row r="2">
      <c r="A2" s="25" t="n">
        <v>735192</v>
      </c>
      <c r="B2" s="25" t="inlineStr">
        <is>
          <t>750ml</t>
        </is>
      </c>
    </row>
    <row r="3">
      <c r="A3" s="25" t="n">
        <v>48015</v>
      </c>
      <c r="B3" s="25" t="inlineStr">
        <is>
          <t>375ml</t>
        </is>
      </c>
    </row>
    <row r="4">
      <c r="A4" s="25" t="n">
        <v>37302</v>
      </c>
      <c r="B4" s="25" t="inlineStr">
        <is>
          <t>750ml</t>
        </is>
      </c>
    </row>
    <row r="5">
      <c r="A5" s="25" t="n">
        <v>607904</v>
      </c>
      <c r="B5" s="25" t="inlineStr">
        <is>
          <t>750ml</t>
        </is>
      </c>
    </row>
    <row r="6">
      <c r="A6" s="25" t="n">
        <v>86692</v>
      </c>
      <c r="B6" s="25" t="inlineStr">
        <is>
          <t>750ml</t>
        </is>
      </c>
    </row>
    <row r="7">
      <c r="A7" s="25" t="n">
        <v>89184</v>
      </c>
      <c r="B7" s="25" t="inlineStr">
        <is>
          <t>750ml</t>
        </is>
      </c>
    </row>
    <row r="8">
      <c r="A8" s="25" t="n">
        <v>415315</v>
      </c>
      <c r="B8" s="25" t="inlineStr">
        <is>
          <t>1.5L</t>
        </is>
      </c>
    </row>
    <row r="9">
      <c r="A9" s="25" t="n">
        <v>35592</v>
      </c>
      <c r="B9" s="25" t="inlineStr">
        <is>
          <t>750ml</t>
        </is>
      </c>
    </row>
    <row r="10">
      <c r="A10" s="25" t="n">
        <v>65191</v>
      </c>
      <c r="B10" s="25" t="inlineStr">
        <is>
          <t>50ml</t>
        </is>
      </c>
    </row>
    <row r="11">
      <c r="A11" s="25" t="n">
        <v>89679</v>
      </c>
      <c r="B11" s="25" t="inlineStr">
        <is>
          <t>750ml</t>
        </is>
      </c>
    </row>
    <row r="12">
      <c r="A12" s="25" t="n">
        <v>38064</v>
      </c>
      <c r="B12" s="25" t="inlineStr">
        <is>
          <t>375ml</t>
        </is>
      </c>
    </row>
    <row r="13">
      <c r="A13" s="25" t="n">
        <v>975002</v>
      </c>
      <c r="B13" s="25" t="inlineStr">
        <is>
          <t>750ml</t>
        </is>
      </c>
    </row>
    <row r="14">
      <c r="A14" s="25" t="n">
        <v>741400</v>
      </c>
      <c r="B14" s="25" t="inlineStr">
        <is>
          <t>750ml</t>
        </is>
      </c>
    </row>
    <row r="15">
      <c r="A15" s="25" t="n">
        <v>58895</v>
      </c>
      <c r="B15" s="25" t="inlineStr">
        <is>
          <t>1.75L</t>
        </is>
      </c>
    </row>
    <row r="16">
      <c r="A16" s="25" t="n">
        <v>156</v>
      </c>
      <c r="B16" s="25" t="inlineStr">
        <is>
          <t>50ml</t>
        </is>
      </c>
    </row>
    <row r="17">
      <c r="A17" s="25" t="n">
        <v>463385</v>
      </c>
      <c r="B17" s="25" t="inlineStr">
        <is>
          <t>750ml</t>
        </is>
      </c>
    </row>
    <row r="18">
      <c r="A18" s="25" t="n">
        <v>378815</v>
      </c>
      <c r="B18" s="25" t="inlineStr">
        <is>
          <t>1.5L</t>
        </is>
      </c>
    </row>
    <row r="19">
      <c r="A19" s="25" t="n">
        <v>67006</v>
      </c>
      <c r="B19" s="25" t="inlineStr">
        <is>
          <t>750ml</t>
        </is>
      </c>
    </row>
    <row r="20">
      <c r="A20" s="25" t="n">
        <v>89834</v>
      </c>
      <c r="B20" s="25" t="inlineStr">
        <is>
          <t>375ml</t>
        </is>
      </c>
    </row>
    <row r="21">
      <c r="A21" s="25" t="n">
        <v>485388</v>
      </c>
      <c r="B21" s="25" t="inlineStr">
        <is>
          <t>750ml</t>
        </is>
      </c>
    </row>
    <row r="22">
      <c r="A22" s="25" t="n">
        <v>36122</v>
      </c>
      <c r="B22" s="25" t="inlineStr">
        <is>
          <t>750ml</t>
        </is>
      </c>
    </row>
    <row r="23">
      <c r="A23" s="25" t="n">
        <v>101896</v>
      </c>
      <c r="B23" s="25" t="inlineStr">
        <is>
          <t>750ml</t>
        </is>
      </c>
    </row>
    <row r="24">
      <c r="A24" s="25" t="n">
        <v>80268</v>
      </c>
      <c r="B24" s="25" t="inlineStr">
        <is>
          <t>750ml</t>
        </is>
      </c>
    </row>
    <row r="25">
      <c r="A25" s="25" t="n">
        <v>49374</v>
      </c>
      <c r="B25" s="25" t="inlineStr">
        <is>
          <t>375ml</t>
        </is>
      </c>
    </row>
    <row r="26">
      <c r="A26" s="25" t="n">
        <v>87380</v>
      </c>
      <c r="B26" s="25" t="inlineStr">
        <is>
          <t>750ml</t>
        </is>
      </c>
    </row>
    <row r="27">
      <c r="A27" s="25" t="n">
        <v>22075</v>
      </c>
      <c r="B27" s="25" t="inlineStr">
        <is>
          <t>750ml</t>
        </is>
      </c>
    </row>
    <row r="28">
      <c r="A28" s="25" t="n">
        <v>87510</v>
      </c>
      <c r="B28" s="25" t="inlineStr">
        <is>
          <t>750ml</t>
        </is>
      </c>
    </row>
    <row r="29">
      <c r="A29" s="25" t="n">
        <v>377190</v>
      </c>
      <c r="B29" s="25" t="inlineStr">
        <is>
          <t>750ml</t>
        </is>
      </c>
    </row>
    <row r="30">
      <c r="A30" s="25" t="n">
        <v>27056</v>
      </c>
      <c r="B30" s="25" t="inlineStr">
        <is>
          <t>750ml</t>
        </is>
      </c>
    </row>
    <row r="31">
      <c r="A31" s="25" t="n">
        <v>361782</v>
      </c>
      <c r="B31" s="25" t="inlineStr">
        <is>
          <t>750ml</t>
        </is>
      </c>
    </row>
    <row r="32">
      <c r="A32" s="25" t="n">
        <v>29118</v>
      </c>
      <c r="B32" s="25" t="inlineStr">
        <is>
          <t>1L</t>
        </is>
      </c>
    </row>
    <row r="33">
      <c r="A33" s="25" t="n">
        <v>555458</v>
      </c>
      <c r="B33" s="25" t="inlineStr">
        <is>
          <t>750ml</t>
        </is>
      </c>
    </row>
    <row r="34">
      <c r="A34" s="25" t="n">
        <v>26631</v>
      </c>
      <c r="B34" s="25" t="inlineStr">
        <is>
          <t>750ml</t>
        </is>
      </c>
    </row>
    <row r="35">
      <c r="A35" s="25" t="n">
        <v>64767</v>
      </c>
      <c r="B35" s="25" t="inlineStr">
        <is>
          <t>1.75L</t>
        </is>
      </c>
    </row>
    <row r="36">
      <c r="A36" s="25" t="n">
        <v>419967</v>
      </c>
      <c r="B36" s="25" t="inlineStr">
        <is>
          <t>187ml</t>
        </is>
      </c>
    </row>
    <row r="37">
      <c r="A37" s="25" t="n">
        <v>475895</v>
      </c>
      <c r="B37" s="25" t="inlineStr">
        <is>
          <t>750ml</t>
        </is>
      </c>
    </row>
    <row r="38">
      <c r="A38" s="25" t="n">
        <v>466271</v>
      </c>
      <c r="B38" s="25" t="inlineStr">
        <is>
          <t>1.5L</t>
        </is>
      </c>
    </row>
    <row r="39">
      <c r="A39" s="25" t="n">
        <v>34759</v>
      </c>
      <c r="B39" s="25" t="inlineStr">
        <is>
          <t>1.75L</t>
        </is>
      </c>
    </row>
    <row r="40">
      <c r="A40" s="25" t="n">
        <v>34449</v>
      </c>
      <c r="B40" s="25" t="inlineStr">
        <is>
          <t>750ml</t>
        </is>
      </c>
    </row>
    <row r="41">
      <c r="A41" s="25" t="n">
        <v>32251</v>
      </c>
      <c r="B41" s="25" t="inlineStr">
        <is>
          <t>750ml</t>
        </is>
      </c>
    </row>
    <row r="42">
      <c r="A42" s="25" t="n">
        <v>42716</v>
      </c>
      <c r="B42" s="25" t="inlineStr">
        <is>
          <t>750ml</t>
        </is>
      </c>
    </row>
    <row r="43">
      <c r="A43" s="25" t="n">
        <v>464450</v>
      </c>
      <c r="B43" s="25" t="inlineStr">
        <is>
          <t>750ml</t>
        </is>
      </c>
    </row>
    <row r="44">
      <c r="A44" s="25" t="n">
        <v>683364</v>
      </c>
      <c r="B44" s="25" t="inlineStr">
        <is>
          <t>187ml</t>
        </is>
      </c>
    </row>
    <row r="45">
      <c r="A45" s="25" t="n">
        <v>503850</v>
      </c>
      <c r="B45" s="25" t="inlineStr">
        <is>
          <t>750ml</t>
        </is>
      </c>
    </row>
    <row r="46">
      <c r="A46" s="25" t="n">
        <v>52585</v>
      </c>
      <c r="B46" s="25" t="inlineStr">
        <is>
          <t>100ml</t>
        </is>
      </c>
    </row>
    <row r="47">
      <c r="A47" s="25" t="n">
        <v>552450</v>
      </c>
      <c r="B47" s="25" t="inlineStr">
        <is>
          <t>750ml</t>
        </is>
      </c>
    </row>
    <row r="48">
      <c r="A48" s="25" t="n">
        <v>329515</v>
      </c>
      <c r="B48" s="25" t="inlineStr">
        <is>
          <t>750ml</t>
        </is>
      </c>
    </row>
    <row r="49">
      <c r="A49" s="25" t="n">
        <v>36970</v>
      </c>
      <c r="B49" s="25" t="inlineStr">
        <is>
          <t>1L</t>
        </is>
      </c>
    </row>
    <row r="50">
      <c r="A50" s="25" t="n">
        <v>304405</v>
      </c>
      <c r="B50" s="25" t="inlineStr">
        <is>
          <t>750ml</t>
        </is>
      </c>
    </row>
    <row r="51">
      <c r="A51" s="25" t="n">
        <v>43410</v>
      </c>
      <c r="B51" s="25" t="inlineStr">
        <is>
          <t>750ml</t>
        </is>
      </c>
    </row>
    <row r="52">
      <c r="A52" s="25" t="n">
        <v>36924</v>
      </c>
      <c r="B52" s="25" t="inlineStr">
        <is>
          <t>750ml</t>
        </is>
      </c>
    </row>
    <row r="53">
      <c r="A53" s="25" t="n">
        <v>450792</v>
      </c>
      <c r="B53" s="25" t="inlineStr">
        <is>
          <t>750ml</t>
        </is>
      </c>
    </row>
    <row r="54">
      <c r="A54" s="25" t="n">
        <v>401921</v>
      </c>
      <c r="B54" s="25" t="inlineStr">
        <is>
          <t>750ml</t>
        </is>
      </c>
    </row>
    <row r="55">
      <c r="A55" s="25" t="n">
        <v>39284</v>
      </c>
      <c r="B55" s="25" t="inlineStr">
        <is>
          <t>1.75L</t>
        </is>
      </c>
    </row>
    <row r="56">
      <c r="A56" s="25" t="n">
        <v>442577</v>
      </c>
      <c r="B56" s="25" t="inlineStr">
        <is>
          <t>1.5L</t>
        </is>
      </c>
    </row>
    <row r="57">
      <c r="A57" s="25" t="n">
        <v>87127</v>
      </c>
      <c r="B57" s="25" t="inlineStr">
        <is>
          <t>1L</t>
        </is>
      </c>
    </row>
    <row r="58">
      <c r="A58" s="25" t="n">
        <v>89788</v>
      </c>
      <c r="B58" s="25" t="inlineStr">
        <is>
          <t>1.75L</t>
        </is>
      </c>
    </row>
    <row r="59">
      <c r="A59" s="25" t="n">
        <v>729102</v>
      </c>
      <c r="B59" s="25" t="inlineStr">
        <is>
          <t>750ml</t>
        </is>
      </c>
    </row>
    <row r="60">
      <c r="A60" s="25" t="n">
        <v>27021</v>
      </c>
      <c r="B60" s="25" t="inlineStr">
        <is>
          <t>375ml</t>
        </is>
      </c>
    </row>
    <row r="61">
      <c r="A61" s="25" t="n">
        <v>63200</v>
      </c>
      <c r="B61" s="25" t="inlineStr">
        <is>
          <t>355ml</t>
        </is>
      </c>
    </row>
    <row r="62">
      <c r="A62" s="25" t="n">
        <v>26771</v>
      </c>
      <c r="B62" s="25" t="inlineStr">
        <is>
          <t>750ml</t>
        </is>
      </c>
    </row>
    <row r="63">
      <c r="A63" s="25" t="n">
        <v>732090</v>
      </c>
      <c r="B63" s="25" t="inlineStr">
        <is>
          <t>750ml</t>
        </is>
      </c>
    </row>
    <row r="64">
      <c r="A64" s="25" t="n">
        <v>26949</v>
      </c>
      <c r="B64" s="25" t="inlineStr">
        <is>
          <t>750ml</t>
        </is>
      </c>
    </row>
    <row r="65">
      <c r="A65" s="25" t="n">
        <v>630780</v>
      </c>
      <c r="B65" s="25" t="inlineStr">
        <is>
          <t>750ml</t>
        </is>
      </c>
    </row>
    <row r="66">
      <c r="A66" s="25" t="n">
        <v>73526</v>
      </c>
      <c r="B66" s="25" t="inlineStr">
        <is>
          <t>750ml</t>
        </is>
      </c>
    </row>
    <row r="67">
      <c r="A67" s="25" t="n">
        <v>515890</v>
      </c>
      <c r="B67" s="25" t="inlineStr">
        <is>
          <t>750ml</t>
        </is>
      </c>
    </row>
    <row r="68">
      <c r="A68" s="25" t="n">
        <v>22244</v>
      </c>
      <c r="B68" s="25" t="inlineStr">
        <is>
          <t>750ml</t>
        </is>
      </c>
    </row>
    <row r="69">
      <c r="A69" s="25" t="n">
        <v>510920</v>
      </c>
      <c r="B69" s="25" t="inlineStr">
        <is>
          <t>750ml</t>
        </is>
      </c>
    </row>
    <row r="70">
      <c r="A70" s="25" t="n">
        <v>31469</v>
      </c>
      <c r="B70" s="25" t="inlineStr">
        <is>
          <t>100ml</t>
        </is>
      </c>
    </row>
    <row r="71">
      <c r="A71" s="25" t="n">
        <v>27783</v>
      </c>
      <c r="B71" s="25" t="inlineStr">
        <is>
          <t>750ml</t>
        </is>
      </c>
    </row>
    <row r="72">
      <c r="A72" s="25" t="n">
        <v>41294</v>
      </c>
      <c r="B72" s="25" t="inlineStr">
        <is>
          <t>750ml</t>
        </is>
      </c>
    </row>
    <row r="73">
      <c r="A73" s="25" t="n">
        <v>219182</v>
      </c>
      <c r="B73" s="25" t="inlineStr">
        <is>
          <t>750ml</t>
        </is>
      </c>
    </row>
    <row r="74">
      <c r="A74" s="25" t="n">
        <v>43282</v>
      </c>
      <c r="B74" s="25" t="inlineStr">
        <is>
          <t>750ml</t>
        </is>
      </c>
    </row>
    <row r="75">
      <c r="A75" s="25" t="n">
        <v>67527</v>
      </c>
      <c r="B75" s="25" t="inlineStr">
        <is>
          <t>1L</t>
        </is>
      </c>
    </row>
    <row r="76">
      <c r="A76" s="25" t="n">
        <v>543400</v>
      </c>
      <c r="B76" s="25" t="inlineStr">
        <is>
          <t>750ml</t>
        </is>
      </c>
    </row>
    <row r="77">
      <c r="A77" s="25" t="n">
        <v>513354</v>
      </c>
      <c r="B77" s="25" t="inlineStr">
        <is>
          <t>187ml</t>
        </is>
      </c>
    </row>
    <row r="78">
      <c r="A78" s="25" t="n">
        <v>349460</v>
      </c>
      <c r="B78" s="25" t="inlineStr">
        <is>
          <t>750ml</t>
        </is>
      </c>
    </row>
    <row r="79">
      <c r="A79" s="25" t="n">
        <v>541332</v>
      </c>
      <c r="B79" s="25" t="inlineStr">
        <is>
          <t>5L</t>
        </is>
      </c>
    </row>
    <row r="80">
      <c r="A80" s="25" t="n">
        <v>5977</v>
      </c>
      <c r="B80" s="25" t="inlineStr">
        <is>
          <t>750ml</t>
        </is>
      </c>
    </row>
    <row r="81">
      <c r="A81" s="25" t="n">
        <v>469513</v>
      </c>
      <c r="B81" s="25" t="inlineStr">
        <is>
          <t>1.5L</t>
        </is>
      </c>
    </row>
    <row r="82">
      <c r="A82" s="25" t="n">
        <v>65416</v>
      </c>
      <c r="B82" s="25" t="inlineStr">
        <is>
          <t>750ml</t>
        </is>
      </c>
    </row>
    <row r="83">
      <c r="A83" s="25" t="n">
        <v>462310</v>
      </c>
      <c r="B83" s="25" t="inlineStr">
        <is>
          <t>750ml</t>
        </is>
      </c>
    </row>
    <row r="84">
      <c r="A84" s="25" t="n">
        <v>573546</v>
      </c>
      <c r="B84" s="25" t="inlineStr">
        <is>
          <t>750ml</t>
        </is>
      </c>
    </row>
    <row r="85">
      <c r="A85" s="25" t="n">
        <v>87370</v>
      </c>
      <c r="B85" s="25" t="inlineStr">
        <is>
          <t>750ml</t>
        </is>
      </c>
    </row>
    <row r="86">
      <c r="A86" s="25" t="n">
        <v>101150</v>
      </c>
      <c r="B86" s="25" t="inlineStr">
        <is>
          <t>750ml</t>
        </is>
      </c>
    </row>
    <row r="87">
      <c r="A87" s="25" t="n">
        <v>28086</v>
      </c>
      <c r="B87" s="25" t="inlineStr">
        <is>
          <t>750ml</t>
        </is>
      </c>
    </row>
    <row r="88">
      <c r="A88" s="25" t="n">
        <v>34155</v>
      </c>
      <c r="B88" s="25" t="inlineStr">
        <is>
          <t>750ml</t>
        </is>
      </c>
    </row>
    <row r="89">
      <c r="A89" s="25" t="n">
        <v>19475</v>
      </c>
      <c r="B89" s="25" t="inlineStr">
        <is>
          <t>375ml</t>
        </is>
      </c>
    </row>
    <row r="90">
      <c r="A90" s="25" t="n">
        <v>75268</v>
      </c>
      <c r="B90" s="25" t="inlineStr">
        <is>
          <t>750ml</t>
        </is>
      </c>
    </row>
    <row r="91">
      <c r="A91" s="25" t="n">
        <v>5034</v>
      </c>
      <c r="B91" s="25" t="inlineStr">
        <is>
          <t>375ml</t>
        </is>
      </c>
    </row>
    <row r="92">
      <c r="A92" s="25" t="n">
        <v>89099</v>
      </c>
      <c r="B92" s="25" t="inlineStr">
        <is>
          <t>750ml</t>
        </is>
      </c>
    </row>
    <row r="93">
      <c r="A93" s="25" t="n">
        <v>53213</v>
      </c>
      <c r="B93" s="25" t="inlineStr">
        <is>
          <t>200ml</t>
        </is>
      </c>
    </row>
    <row r="94">
      <c r="A94" s="25" t="n">
        <v>18348</v>
      </c>
      <c r="B94" s="25" t="inlineStr">
        <is>
          <t>750ml</t>
        </is>
      </c>
    </row>
    <row r="95">
      <c r="A95" s="25" t="n">
        <v>28624</v>
      </c>
      <c r="B95" s="25" t="inlineStr">
        <is>
          <t>375ml</t>
        </is>
      </c>
    </row>
    <row r="96">
      <c r="A96" s="25" t="n">
        <v>499225</v>
      </c>
      <c r="B96" s="25" t="inlineStr">
        <is>
          <t>750ml</t>
        </is>
      </c>
    </row>
    <row r="97">
      <c r="A97" s="25" t="n">
        <v>882336</v>
      </c>
      <c r="B97" s="25" t="inlineStr">
        <is>
          <t>3L</t>
        </is>
      </c>
    </row>
    <row r="98">
      <c r="A98" s="25" t="n">
        <v>300110</v>
      </c>
      <c r="B98" s="25" t="inlineStr">
        <is>
          <t>750ml</t>
        </is>
      </c>
    </row>
    <row r="99">
      <c r="A99" s="25" t="n">
        <v>62644</v>
      </c>
      <c r="B99" s="25" t="inlineStr">
        <is>
          <t>355ml</t>
        </is>
      </c>
    </row>
    <row r="100">
      <c r="A100" s="25" t="n">
        <v>710921</v>
      </c>
      <c r="B100" s="25" t="inlineStr">
        <is>
          <t>750ml</t>
        </is>
      </c>
    </row>
    <row r="101">
      <c r="A101" s="25" t="n">
        <v>44282</v>
      </c>
      <c r="B101" s="25" t="inlineStr">
        <is>
          <t>750ml</t>
        </is>
      </c>
    </row>
    <row r="102">
      <c r="A102" s="25" t="n">
        <v>101446</v>
      </c>
      <c r="B102" s="25" t="inlineStr">
        <is>
          <t>750ml</t>
        </is>
      </c>
    </row>
    <row r="103">
      <c r="A103" s="25" t="n">
        <v>290872</v>
      </c>
      <c r="B103" s="25" t="inlineStr">
        <is>
          <t>750ml</t>
        </is>
      </c>
    </row>
    <row r="104">
      <c r="A104" s="25" t="n">
        <v>25894</v>
      </c>
      <c r="B104" s="25" t="inlineStr">
        <is>
          <t>750ml</t>
        </is>
      </c>
    </row>
    <row r="105">
      <c r="A105" s="25" t="n">
        <v>343600</v>
      </c>
      <c r="B105" s="25" t="inlineStr">
        <is>
          <t>750ml</t>
        </is>
      </c>
    </row>
    <row r="106">
      <c r="A106" s="25" t="n">
        <v>58899</v>
      </c>
      <c r="B106" s="25" t="inlineStr">
        <is>
          <t>1.75L</t>
        </is>
      </c>
    </row>
    <row r="107">
      <c r="A107" s="25" t="n">
        <v>591840</v>
      </c>
      <c r="B107" s="25" t="inlineStr">
        <is>
          <t>750ml</t>
        </is>
      </c>
    </row>
    <row r="108">
      <c r="A108" s="25" t="n">
        <v>73702</v>
      </c>
      <c r="B108" s="25" t="inlineStr">
        <is>
          <t>750ml</t>
        </is>
      </c>
    </row>
    <row r="109">
      <c r="A109" s="25" t="n">
        <v>575591</v>
      </c>
      <c r="B109" s="25" t="inlineStr">
        <is>
          <t>1.5L</t>
        </is>
      </c>
    </row>
    <row r="110">
      <c r="A110" s="25" t="n">
        <v>34736</v>
      </c>
      <c r="B110" s="25" t="inlineStr">
        <is>
          <t>750ml</t>
        </is>
      </c>
    </row>
    <row r="111">
      <c r="A111" s="25" t="n">
        <v>15778</v>
      </c>
      <c r="B111" s="25" t="inlineStr">
        <is>
          <t>1.75L</t>
        </is>
      </c>
    </row>
    <row r="112">
      <c r="A112" s="25" t="n">
        <v>768950</v>
      </c>
      <c r="B112" s="25" t="inlineStr">
        <is>
          <t>750ml</t>
        </is>
      </c>
    </row>
    <row r="113">
      <c r="A113" s="25" t="n">
        <v>10628</v>
      </c>
      <c r="B113" s="25" t="inlineStr">
        <is>
          <t>1.75L</t>
        </is>
      </c>
    </row>
    <row r="114">
      <c r="A114" s="25" t="n">
        <v>88548</v>
      </c>
      <c r="B114" s="25" t="inlineStr">
        <is>
          <t>750ml</t>
        </is>
      </c>
    </row>
    <row r="115">
      <c r="A115" s="25" t="n">
        <v>25604</v>
      </c>
      <c r="B115" s="25" t="inlineStr">
        <is>
          <t>375ml</t>
        </is>
      </c>
    </row>
    <row r="116">
      <c r="A116" s="25" t="n">
        <v>355702</v>
      </c>
      <c r="B116" s="25" t="inlineStr">
        <is>
          <t>1.5L</t>
        </is>
      </c>
    </row>
    <row r="117">
      <c r="A117" s="25" t="n">
        <v>402941</v>
      </c>
      <c r="B117" s="25" t="inlineStr">
        <is>
          <t>3L</t>
        </is>
      </c>
    </row>
    <row r="118">
      <c r="A118" s="25" t="n">
        <v>10789</v>
      </c>
      <c r="B118" s="25" t="inlineStr">
        <is>
          <t>200ml</t>
        </is>
      </c>
    </row>
    <row r="119">
      <c r="A119" s="25" t="n">
        <v>568818</v>
      </c>
      <c r="B119" s="25" t="inlineStr">
        <is>
          <t>1.5L</t>
        </is>
      </c>
    </row>
    <row r="120">
      <c r="A120" s="25" t="n">
        <v>588645</v>
      </c>
      <c r="B120" s="25" t="inlineStr">
        <is>
          <t>750ml</t>
        </is>
      </c>
    </row>
    <row r="121">
      <c r="A121" s="25" t="n">
        <v>89504</v>
      </c>
      <c r="B121" s="25" t="inlineStr">
        <is>
          <t>750ml</t>
        </is>
      </c>
    </row>
    <row r="122">
      <c r="A122" s="25" t="n">
        <v>87579</v>
      </c>
      <c r="B122" s="25" t="inlineStr">
        <is>
          <t>750ml</t>
        </is>
      </c>
    </row>
    <row r="123">
      <c r="A123" s="25" t="n">
        <v>89886</v>
      </c>
      <c r="B123" s="25" t="inlineStr">
        <is>
          <t>750ml</t>
        </is>
      </c>
    </row>
    <row r="124">
      <c r="A124" s="25" t="n">
        <v>17190</v>
      </c>
      <c r="B124" s="25" t="inlineStr">
        <is>
          <t>750ml</t>
        </is>
      </c>
    </row>
    <row r="125">
      <c r="A125" s="25" t="n">
        <v>89208</v>
      </c>
      <c r="B125" s="25" t="inlineStr">
        <is>
          <t>1.75L</t>
        </is>
      </c>
    </row>
    <row r="126">
      <c r="A126" s="25" t="n">
        <v>48142</v>
      </c>
      <c r="B126" s="25" t="inlineStr">
        <is>
          <t>375ml</t>
        </is>
      </c>
    </row>
    <row r="127">
      <c r="A127" s="25" t="n">
        <v>25966</v>
      </c>
      <c r="B127" s="25" t="inlineStr">
        <is>
          <t>750ml</t>
        </is>
      </c>
    </row>
    <row r="128">
      <c r="A128" s="25" t="n">
        <v>27410</v>
      </c>
      <c r="B128" s="25" t="inlineStr">
        <is>
          <t>750ml</t>
        </is>
      </c>
    </row>
    <row r="129">
      <c r="A129" s="25" t="n">
        <v>17566</v>
      </c>
      <c r="B129" s="25" t="inlineStr">
        <is>
          <t>750ml</t>
        </is>
      </c>
    </row>
    <row r="130">
      <c r="A130" s="25" t="n">
        <v>17826</v>
      </c>
      <c r="B130" s="25" t="inlineStr">
        <is>
          <t>750ml</t>
        </is>
      </c>
    </row>
    <row r="131">
      <c r="A131" s="25" t="n">
        <v>50689</v>
      </c>
      <c r="B131" s="25" t="inlineStr">
        <is>
          <t>1.75L</t>
        </is>
      </c>
    </row>
    <row r="132">
      <c r="A132" s="25" t="n">
        <v>73962</v>
      </c>
      <c r="B132" s="25" t="inlineStr">
        <is>
          <t>750ml</t>
        </is>
      </c>
    </row>
    <row r="133">
      <c r="A133" s="25" t="n">
        <v>429967</v>
      </c>
      <c r="B133" s="25" t="inlineStr">
        <is>
          <t>1.5L</t>
        </is>
      </c>
    </row>
    <row r="134">
      <c r="A134" s="25" t="n">
        <v>812124</v>
      </c>
      <c r="B134" s="25" t="inlineStr">
        <is>
          <t>750ml</t>
        </is>
      </c>
    </row>
    <row r="135">
      <c r="A135" s="25" t="n">
        <v>513711</v>
      </c>
      <c r="B135" s="25" t="inlineStr">
        <is>
          <t>750ml</t>
        </is>
      </c>
    </row>
    <row r="136">
      <c r="A136" s="25" t="n">
        <v>642111</v>
      </c>
      <c r="B136" s="25" t="inlineStr">
        <is>
          <t>187ml</t>
        </is>
      </c>
    </row>
    <row r="137">
      <c r="A137" s="25" t="n">
        <v>44478</v>
      </c>
      <c r="B137" s="25" t="inlineStr">
        <is>
          <t>1.75L</t>
        </is>
      </c>
    </row>
    <row r="138">
      <c r="A138" s="25" t="n">
        <v>578900</v>
      </c>
      <c r="B138" s="25" t="inlineStr">
        <is>
          <t>750ml</t>
        </is>
      </c>
    </row>
    <row r="139">
      <c r="A139" s="25" t="n">
        <v>64863</v>
      </c>
      <c r="B139" s="25" t="inlineStr">
        <is>
          <t>200ml</t>
        </is>
      </c>
    </row>
    <row r="140">
      <c r="A140" s="25" t="n">
        <v>75221</v>
      </c>
      <c r="B140" s="25" t="inlineStr">
        <is>
          <t>750ml</t>
        </is>
      </c>
    </row>
    <row r="141">
      <c r="A141" s="25" t="n">
        <v>21878</v>
      </c>
      <c r="B141" s="25" t="inlineStr">
        <is>
          <t>1.75L</t>
        </is>
      </c>
    </row>
    <row r="142">
      <c r="A142" s="25" t="n">
        <v>58842</v>
      </c>
      <c r="B142" s="25" t="inlineStr">
        <is>
          <t>1.75L</t>
        </is>
      </c>
    </row>
    <row r="143">
      <c r="A143" s="25" t="n">
        <v>15818</v>
      </c>
      <c r="B143" s="25" t="inlineStr">
        <is>
          <t>750ml</t>
        </is>
      </c>
    </row>
    <row r="144">
      <c r="A144" s="25" t="n">
        <v>19112</v>
      </c>
      <c r="B144" s="25" t="inlineStr">
        <is>
          <t>750ml</t>
        </is>
      </c>
    </row>
    <row r="145">
      <c r="A145" s="25" t="n">
        <v>478071</v>
      </c>
      <c r="B145" s="25" t="inlineStr">
        <is>
          <t>750ml</t>
        </is>
      </c>
    </row>
    <row r="146">
      <c r="A146" s="25" t="n">
        <v>27236</v>
      </c>
      <c r="B146" s="25" t="inlineStr">
        <is>
          <t>750ml</t>
        </is>
      </c>
    </row>
    <row r="147">
      <c r="A147" s="25" t="n">
        <v>28316</v>
      </c>
      <c r="B147" s="25" t="inlineStr">
        <is>
          <t>500ml</t>
        </is>
      </c>
    </row>
    <row r="148">
      <c r="A148" s="25" t="n">
        <v>26210</v>
      </c>
      <c r="B148" s="25" t="inlineStr">
        <is>
          <t>750ml</t>
        </is>
      </c>
    </row>
    <row r="149">
      <c r="A149" s="25" t="n">
        <v>724832</v>
      </c>
      <c r="B149" s="25" t="inlineStr">
        <is>
          <t>750ml</t>
        </is>
      </c>
    </row>
    <row r="150">
      <c r="A150" s="25" t="n">
        <v>478580</v>
      </c>
      <c r="B150" s="25" t="inlineStr">
        <is>
          <t>750ml</t>
        </is>
      </c>
    </row>
    <row r="151">
      <c r="A151" s="25" t="n">
        <v>22123</v>
      </c>
      <c r="B151" s="25" t="inlineStr">
        <is>
          <t>1.75L</t>
        </is>
      </c>
    </row>
    <row r="152">
      <c r="A152" s="25" t="n">
        <v>97722</v>
      </c>
      <c r="B152" s="25" t="inlineStr">
        <is>
          <t>375ml</t>
        </is>
      </c>
    </row>
    <row r="153">
      <c r="A153" s="25" t="n">
        <v>10278</v>
      </c>
      <c r="B153" s="25" t="inlineStr">
        <is>
          <t>1.75L</t>
        </is>
      </c>
    </row>
    <row r="154">
      <c r="A154" s="25" t="n">
        <v>59854</v>
      </c>
      <c r="B154" s="25" t="inlineStr">
        <is>
          <t>1.75L</t>
        </is>
      </c>
    </row>
    <row r="155">
      <c r="A155" s="25" t="n">
        <v>475013</v>
      </c>
      <c r="B155" s="25" t="inlineStr">
        <is>
          <t>750ml</t>
        </is>
      </c>
    </row>
    <row r="156">
      <c r="A156" s="25" t="n">
        <v>34436</v>
      </c>
      <c r="B156" s="25" t="inlineStr">
        <is>
          <t>750ml</t>
        </is>
      </c>
    </row>
    <row r="157">
      <c r="A157" s="25" t="n">
        <v>643041</v>
      </c>
      <c r="B157" s="25" t="inlineStr">
        <is>
          <t>1.5L</t>
        </is>
      </c>
    </row>
    <row r="158">
      <c r="A158" s="25" t="n">
        <v>89470</v>
      </c>
      <c r="B158" s="25" t="inlineStr">
        <is>
          <t>1.75L</t>
        </is>
      </c>
    </row>
    <row r="159">
      <c r="A159" s="25" t="n">
        <v>40189</v>
      </c>
      <c r="B159" s="25" t="inlineStr">
        <is>
          <t>50ml</t>
        </is>
      </c>
    </row>
    <row r="160">
      <c r="A160" s="25" t="n">
        <v>34649</v>
      </c>
      <c r="B160" s="25" t="inlineStr">
        <is>
          <t>750ml</t>
        </is>
      </c>
    </row>
    <row r="161">
      <c r="A161" s="25" t="n">
        <v>43028</v>
      </c>
      <c r="B161" s="25" t="inlineStr">
        <is>
          <t>1.75L</t>
        </is>
      </c>
    </row>
    <row r="162">
      <c r="A162" s="25" t="n">
        <v>101340</v>
      </c>
      <c r="B162" s="25" t="inlineStr">
        <is>
          <t>750ml</t>
        </is>
      </c>
    </row>
    <row r="163">
      <c r="A163" s="25" t="n">
        <v>892848</v>
      </c>
      <c r="B163" s="25" t="inlineStr">
        <is>
          <t>187ml</t>
        </is>
      </c>
    </row>
    <row r="164">
      <c r="A164" s="25" t="n">
        <v>891002</v>
      </c>
      <c r="B164" s="25" t="inlineStr">
        <is>
          <t>5L</t>
        </is>
      </c>
    </row>
    <row r="165">
      <c r="A165" s="25" t="n">
        <v>100856</v>
      </c>
      <c r="B165" s="25" t="inlineStr">
        <is>
          <t>750ml</t>
        </is>
      </c>
    </row>
    <row r="166">
      <c r="A166" s="25" t="n">
        <v>58925</v>
      </c>
      <c r="B166" s="25" t="inlineStr">
        <is>
          <t>1.75L</t>
        </is>
      </c>
    </row>
    <row r="167">
      <c r="A167" s="25" t="n">
        <v>444559</v>
      </c>
      <c r="B167" s="25" t="inlineStr">
        <is>
          <t>750ml</t>
        </is>
      </c>
    </row>
    <row r="168">
      <c r="A168" s="25" t="n">
        <v>252530</v>
      </c>
      <c r="B168" s="25" t="inlineStr">
        <is>
          <t>750ml</t>
        </is>
      </c>
    </row>
    <row r="169">
      <c r="A169" s="25" t="n">
        <v>63959</v>
      </c>
      <c r="B169" s="25" t="inlineStr">
        <is>
          <t>1.75L</t>
        </is>
      </c>
    </row>
    <row r="170">
      <c r="A170" s="25" t="n">
        <v>327637</v>
      </c>
      <c r="B170" s="25" t="inlineStr">
        <is>
          <t>750ml</t>
        </is>
      </c>
    </row>
    <row r="171">
      <c r="A171" s="25" t="n">
        <v>67043</v>
      </c>
      <c r="B171" s="25" t="inlineStr">
        <is>
          <t>100ml</t>
        </is>
      </c>
    </row>
    <row r="172">
      <c r="A172" s="25" t="n">
        <v>752010</v>
      </c>
      <c r="B172" s="25" t="inlineStr">
        <is>
          <t>750ml</t>
        </is>
      </c>
    </row>
    <row r="173">
      <c r="A173" s="25" t="n">
        <v>407180</v>
      </c>
      <c r="B173" s="25" t="inlineStr">
        <is>
          <t>1.5L</t>
        </is>
      </c>
    </row>
    <row r="174">
      <c r="A174" s="25" t="n">
        <v>882310</v>
      </c>
      <c r="B174" s="25" t="inlineStr">
        <is>
          <t>4L</t>
        </is>
      </c>
    </row>
    <row r="175">
      <c r="A175" s="25" t="n">
        <v>26373</v>
      </c>
      <c r="B175" s="25" t="inlineStr">
        <is>
          <t>50ml</t>
        </is>
      </c>
    </row>
    <row r="176">
      <c r="A176" s="25" t="n">
        <v>76435</v>
      </c>
      <c r="B176" s="25" t="inlineStr">
        <is>
          <t>750ml</t>
        </is>
      </c>
    </row>
    <row r="177">
      <c r="A177" s="25" t="n">
        <v>663921</v>
      </c>
      <c r="B177" s="25" t="inlineStr">
        <is>
          <t>750ml</t>
        </is>
      </c>
    </row>
    <row r="178">
      <c r="A178" s="25" t="n">
        <v>15940</v>
      </c>
      <c r="B178" s="25" t="inlineStr">
        <is>
          <t>750ml</t>
        </is>
      </c>
    </row>
    <row r="179">
      <c r="A179" s="25" t="n">
        <v>65457</v>
      </c>
      <c r="B179" s="25" t="inlineStr">
        <is>
          <t>750ml</t>
        </is>
      </c>
    </row>
    <row r="180">
      <c r="A180" s="25" t="n">
        <v>4878</v>
      </c>
      <c r="B180" s="25" t="inlineStr">
        <is>
          <t>1.75L</t>
        </is>
      </c>
    </row>
    <row r="181">
      <c r="A181" s="25" t="n">
        <v>774855</v>
      </c>
      <c r="B181" s="25" t="inlineStr">
        <is>
          <t>750ml</t>
        </is>
      </c>
    </row>
    <row r="182">
      <c r="A182" s="25" t="n">
        <v>498119</v>
      </c>
      <c r="B182" s="25" t="inlineStr">
        <is>
          <t>187ml</t>
        </is>
      </c>
    </row>
    <row r="183">
      <c r="A183" s="25" t="n">
        <v>65454</v>
      </c>
      <c r="B183" s="25" t="inlineStr">
        <is>
          <t>750ml</t>
        </is>
      </c>
    </row>
    <row r="184">
      <c r="A184" s="25" t="n">
        <v>816234</v>
      </c>
      <c r="B184" s="25" t="inlineStr">
        <is>
          <t>750ml</t>
        </is>
      </c>
    </row>
    <row r="185">
      <c r="A185" s="25" t="n">
        <v>62632</v>
      </c>
      <c r="B185" s="25" t="inlineStr">
        <is>
          <t>355ml</t>
        </is>
      </c>
    </row>
    <row r="186">
      <c r="A186" s="25" t="n">
        <v>467816</v>
      </c>
      <c r="B186" s="25" t="inlineStr">
        <is>
          <t>187ml</t>
        </is>
      </c>
    </row>
    <row r="187">
      <c r="A187" s="25" t="n">
        <v>812795</v>
      </c>
      <c r="B187" s="25" t="inlineStr">
        <is>
          <t>1.5L</t>
        </is>
      </c>
    </row>
    <row r="188">
      <c r="A188" s="25" t="n">
        <v>523005</v>
      </c>
      <c r="B188" s="25" t="inlineStr">
        <is>
          <t>750ml</t>
        </is>
      </c>
    </row>
    <row r="189">
      <c r="A189" s="25" t="n">
        <v>56767</v>
      </c>
      <c r="B189" s="25" t="inlineStr">
        <is>
          <t>375ml</t>
        </is>
      </c>
    </row>
    <row r="190">
      <c r="A190" s="25" t="n">
        <v>28795</v>
      </c>
      <c r="B190" s="25" t="inlineStr">
        <is>
          <t>750ml</t>
        </is>
      </c>
    </row>
    <row r="191">
      <c r="A191" s="25" t="n">
        <v>606455</v>
      </c>
      <c r="B191" s="25" t="inlineStr">
        <is>
          <t>1.5L</t>
        </is>
      </c>
    </row>
    <row r="192">
      <c r="A192" s="25" t="n">
        <v>89301</v>
      </c>
      <c r="B192" s="25" t="inlineStr">
        <is>
          <t>1L</t>
        </is>
      </c>
    </row>
    <row r="193">
      <c r="A193" s="25" t="n">
        <v>720850</v>
      </c>
      <c r="B193" s="25" t="inlineStr">
        <is>
          <t>750ml</t>
        </is>
      </c>
    </row>
    <row r="194">
      <c r="A194" s="25" t="n">
        <v>41328</v>
      </c>
      <c r="B194" s="25" t="inlineStr">
        <is>
          <t>1.75L</t>
        </is>
      </c>
    </row>
    <row r="195">
      <c r="A195" s="25" t="n">
        <v>445315</v>
      </c>
      <c r="B195" s="25" t="inlineStr">
        <is>
          <t>3L</t>
        </is>
      </c>
    </row>
    <row r="196">
      <c r="A196" s="25" t="n">
        <v>20167</v>
      </c>
      <c r="B196" s="25" t="inlineStr">
        <is>
          <t>1L</t>
        </is>
      </c>
    </row>
    <row r="197">
      <c r="A197" s="25" t="n">
        <v>729072</v>
      </c>
      <c r="B197" s="25" t="inlineStr">
        <is>
          <t>750ml</t>
        </is>
      </c>
    </row>
    <row r="198">
      <c r="A198" s="25" t="n">
        <v>26823</v>
      </c>
      <c r="B198" s="25" t="inlineStr">
        <is>
          <t>200ml</t>
        </is>
      </c>
    </row>
    <row r="199">
      <c r="A199" s="25" t="n">
        <v>580802</v>
      </c>
      <c r="B199" s="25" t="inlineStr">
        <is>
          <t>750ml</t>
        </is>
      </c>
    </row>
    <row r="200">
      <c r="A200" s="25" t="n">
        <v>448100</v>
      </c>
      <c r="B200" s="25" t="inlineStr">
        <is>
          <t>750ml</t>
        </is>
      </c>
    </row>
    <row r="201">
      <c r="A201" s="25" t="n">
        <v>560350</v>
      </c>
      <c r="B201" s="25" t="inlineStr">
        <is>
          <t>750ml</t>
        </is>
      </c>
    </row>
    <row r="202">
      <c r="A202" s="25" t="n">
        <v>470695</v>
      </c>
      <c r="B202" s="25" t="inlineStr">
        <is>
          <t>750ml</t>
        </is>
      </c>
    </row>
    <row r="203">
      <c r="A203" s="25" t="n">
        <v>42566</v>
      </c>
      <c r="B203" s="25" t="inlineStr">
        <is>
          <t>750ml</t>
        </is>
      </c>
    </row>
    <row r="204">
      <c r="A204" s="25" t="n">
        <v>473003</v>
      </c>
      <c r="B204" s="25" t="inlineStr">
        <is>
          <t>750ml</t>
        </is>
      </c>
    </row>
    <row r="205">
      <c r="A205" s="25" t="n">
        <v>47775</v>
      </c>
      <c r="B205" s="25" t="inlineStr">
        <is>
          <t>375ml</t>
        </is>
      </c>
    </row>
    <row r="206">
      <c r="A206" s="25" t="n">
        <v>48764</v>
      </c>
      <c r="B206" s="25" t="inlineStr">
        <is>
          <t>375ml</t>
        </is>
      </c>
    </row>
    <row r="207">
      <c r="A207" s="25" t="n">
        <v>88369</v>
      </c>
      <c r="B207" s="25" t="inlineStr">
        <is>
          <t>375ml</t>
        </is>
      </c>
    </row>
    <row r="208">
      <c r="A208" s="25" t="n">
        <v>35413</v>
      </c>
      <c r="B208" s="25" t="inlineStr">
        <is>
          <t>200ml</t>
        </is>
      </c>
    </row>
    <row r="209">
      <c r="A209" s="25" t="n">
        <v>97858</v>
      </c>
      <c r="B209" s="25" t="inlineStr">
        <is>
          <t>375ml</t>
        </is>
      </c>
    </row>
    <row r="210">
      <c r="A210" s="25" t="n">
        <v>36482</v>
      </c>
      <c r="B210" s="25" t="inlineStr">
        <is>
          <t>375ml</t>
        </is>
      </c>
    </row>
    <row r="211">
      <c r="A211" s="25" t="n">
        <v>549885</v>
      </c>
      <c r="B211" s="25" t="inlineStr">
        <is>
          <t>750ml</t>
        </is>
      </c>
    </row>
    <row r="212">
      <c r="A212" s="25" t="n">
        <v>456496</v>
      </c>
      <c r="B212" s="25" t="inlineStr">
        <is>
          <t>750ml</t>
        </is>
      </c>
    </row>
    <row r="213">
      <c r="A213" s="25" t="n">
        <v>27746</v>
      </c>
      <c r="B213" s="25" t="inlineStr">
        <is>
          <t>1.75L</t>
        </is>
      </c>
    </row>
    <row r="214">
      <c r="A214" s="25" t="n">
        <v>443948</v>
      </c>
      <c r="B214" s="25" t="inlineStr">
        <is>
          <t>750ml</t>
        </is>
      </c>
    </row>
    <row r="215">
      <c r="A215" s="25" t="n">
        <v>510578</v>
      </c>
      <c r="B215" s="25" t="inlineStr">
        <is>
          <t>750ml</t>
        </is>
      </c>
    </row>
    <row r="216">
      <c r="A216" s="25" t="n">
        <v>664505</v>
      </c>
      <c r="B216" s="25" t="inlineStr">
        <is>
          <t>1.5L</t>
        </is>
      </c>
    </row>
    <row r="217">
      <c r="A217" s="25" t="n">
        <v>471250</v>
      </c>
      <c r="B217" s="25" t="inlineStr">
        <is>
          <t>750ml</t>
        </is>
      </c>
    </row>
    <row r="218">
      <c r="A218" s="25" t="n">
        <v>40593</v>
      </c>
      <c r="B218" s="25" t="inlineStr">
        <is>
          <t>375ml</t>
        </is>
      </c>
    </row>
    <row r="219">
      <c r="A219" s="25" t="n">
        <v>479693</v>
      </c>
      <c r="B219" s="25" t="inlineStr">
        <is>
          <t>375ml</t>
        </is>
      </c>
    </row>
    <row r="220">
      <c r="A220" s="25" t="n">
        <v>52312</v>
      </c>
      <c r="B220" s="25" t="inlineStr">
        <is>
          <t>200ml</t>
        </is>
      </c>
    </row>
    <row r="221">
      <c r="A221" s="25" t="n">
        <v>35648</v>
      </c>
      <c r="B221" s="25" t="inlineStr">
        <is>
          <t>1.75L</t>
        </is>
      </c>
    </row>
    <row r="222">
      <c r="A222" s="25" t="n">
        <v>21215</v>
      </c>
      <c r="B222" s="25" t="inlineStr">
        <is>
          <t>750ml</t>
        </is>
      </c>
    </row>
    <row r="223">
      <c r="A223" s="25" t="n">
        <v>632811</v>
      </c>
      <c r="B223" s="25" t="inlineStr">
        <is>
          <t>750ml</t>
        </is>
      </c>
    </row>
    <row r="224">
      <c r="A224" s="25" t="n">
        <v>5430</v>
      </c>
      <c r="B224" s="25" t="inlineStr">
        <is>
          <t>750ml</t>
        </is>
      </c>
    </row>
    <row r="225">
      <c r="A225" s="25" t="n">
        <v>729031</v>
      </c>
      <c r="B225" s="25" t="inlineStr">
        <is>
          <t>1.5L</t>
        </is>
      </c>
    </row>
    <row r="226">
      <c r="A226" s="25" t="n">
        <v>37403</v>
      </c>
      <c r="B226" s="25" t="inlineStr">
        <is>
          <t>750ml</t>
        </is>
      </c>
    </row>
    <row r="227">
      <c r="A227" s="25" t="n">
        <v>38839</v>
      </c>
      <c r="B227" s="25" t="inlineStr">
        <is>
          <t>50ml</t>
        </is>
      </c>
    </row>
    <row r="228">
      <c r="A228" s="25" t="n">
        <v>408185</v>
      </c>
      <c r="B228" s="25" t="inlineStr">
        <is>
          <t>750ml</t>
        </is>
      </c>
    </row>
    <row r="229">
      <c r="A229" s="25" t="n">
        <v>15832</v>
      </c>
      <c r="B229" s="25" t="inlineStr">
        <is>
          <t>1.75L</t>
        </is>
      </c>
    </row>
    <row r="230">
      <c r="A230" s="25" t="n">
        <v>581565</v>
      </c>
      <c r="B230" s="25" t="inlineStr">
        <is>
          <t>750ml</t>
        </is>
      </c>
    </row>
    <row r="231">
      <c r="A231" s="25" t="n">
        <v>67426</v>
      </c>
      <c r="B231" s="25" t="inlineStr">
        <is>
          <t>750ml</t>
        </is>
      </c>
    </row>
    <row r="232">
      <c r="A232" s="25" t="n">
        <v>38086</v>
      </c>
      <c r="B232" s="25" t="inlineStr">
        <is>
          <t>750ml</t>
        </is>
      </c>
    </row>
    <row r="233">
      <c r="A233" s="25" t="n">
        <v>86437</v>
      </c>
      <c r="B233" s="25" t="inlineStr">
        <is>
          <t>200ml</t>
        </is>
      </c>
    </row>
    <row r="234">
      <c r="A234" s="25" t="n">
        <v>768600</v>
      </c>
      <c r="B234" s="25" t="inlineStr">
        <is>
          <t>750ml</t>
        </is>
      </c>
    </row>
    <row r="235">
      <c r="A235" s="25" t="n">
        <v>53220</v>
      </c>
      <c r="B235" s="25" t="inlineStr">
        <is>
          <t>750ml</t>
        </is>
      </c>
    </row>
    <row r="236">
      <c r="A236" s="25" t="n">
        <v>77250</v>
      </c>
      <c r="B236" s="25" t="inlineStr">
        <is>
          <t>50ml</t>
        </is>
      </c>
    </row>
    <row r="237">
      <c r="A237" s="25" t="n">
        <v>567415</v>
      </c>
      <c r="B237" s="25" t="inlineStr">
        <is>
          <t>750ml</t>
        </is>
      </c>
    </row>
    <row r="238">
      <c r="A238" s="25" t="n">
        <v>480013</v>
      </c>
      <c r="B238" s="25" t="inlineStr">
        <is>
          <t>750ml</t>
        </is>
      </c>
    </row>
    <row r="239">
      <c r="A239" s="25" t="n">
        <v>77674</v>
      </c>
      <c r="B239" s="25" t="inlineStr">
        <is>
          <t>750ml</t>
        </is>
      </c>
    </row>
    <row r="240">
      <c r="A240" s="25" t="n">
        <v>379010</v>
      </c>
      <c r="B240" s="25" t="inlineStr">
        <is>
          <t>750ml</t>
        </is>
      </c>
    </row>
    <row r="241">
      <c r="A241" s="25" t="n">
        <v>495180</v>
      </c>
      <c r="B241" s="25" t="inlineStr">
        <is>
          <t>5L</t>
        </is>
      </c>
    </row>
    <row r="242">
      <c r="A242" s="25" t="n">
        <v>98572</v>
      </c>
      <c r="B242" s="25" t="inlineStr">
        <is>
          <t>750ml</t>
        </is>
      </c>
    </row>
    <row r="243">
      <c r="A243" s="25" t="n">
        <v>47876</v>
      </c>
      <c r="B243" s="25" t="inlineStr">
        <is>
          <t>750ml</t>
        </is>
      </c>
    </row>
    <row r="244">
      <c r="A244" s="25" t="n">
        <v>89194</v>
      </c>
      <c r="B244" s="25" t="inlineStr">
        <is>
          <t>375ml</t>
        </is>
      </c>
    </row>
    <row r="245">
      <c r="A245" s="25" t="n">
        <v>64575</v>
      </c>
      <c r="B245" s="25" t="inlineStr">
        <is>
          <t>1.75L</t>
        </is>
      </c>
    </row>
    <row r="246">
      <c r="A246" s="25" t="n">
        <v>458930</v>
      </c>
      <c r="B246" s="25" t="inlineStr">
        <is>
          <t>750ml</t>
        </is>
      </c>
    </row>
    <row r="247" ht="16" customHeight="1">
      <c r="A247" s="25" t="n">
        <v>48105</v>
      </c>
      <c r="B247" s="97" t="inlineStr">
        <is>
          <t>375ml</t>
        </is>
      </c>
    </row>
    <row r="248">
      <c r="A248" s="25" t="n">
        <v>12863</v>
      </c>
      <c r="B248" s="25" t="inlineStr">
        <is>
          <t>750ml</t>
        </is>
      </c>
    </row>
    <row r="249">
      <c r="A249" s="25" t="n">
        <v>12466</v>
      </c>
      <c r="B249" s="25" t="inlineStr">
        <is>
          <t>750ml</t>
        </is>
      </c>
    </row>
    <row r="250">
      <c r="A250" s="25" t="n">
        <v>49182</v>
      </c>
      <c r="B250" s="25" t="inlineStr">
        <is>
          <t>100ml</t>
        </is>
      </c>
    </row>
    <row r="251">
      <c r="A251" s="25" t="n">
        <v>429955</v>
      </c>
      <c r="B251" s="25" t="inlineStr">
        <is>
          <t>1.5L</t>
        </is>
      </c>
    </row>
    <row r="252">
      <c r="A252" s="25" t="n">
        <v>77545</v>
      </c>
      <c r="B252" s="25" t="inlineStr">
        <is>
          <t>375ml</t>
        </is>
      </c>
    </row>
    <row r="253">
      <c r="A253" s="25" t="n">
        <v>38520</v>
      </c>
      <c r="B253" s="25" t="inlineStr">
        <is>
          <t>1L</t>
        </is>
      </c>
    </row>
    <row r="254">
      <c r="A254" s="25" t="n">
        <v>467800</v>
      </c>
      <c r="B254" s="25" t="inlineStr">
        <is>
          <t>5L</t>
        </is>
      </c>
    </row>
    <row r="255">
      <c r="A255" s="25" t="n">
        <v>58911</v>
      </c>
      <c r="B255" s="25" t="inlineStr">
        <is>
          <t>200ml</t>
        </is>
      </c>
    </row>
    <row r="256">
      <c r="A256" s="25" t="n">
        <v>63345</v>
      </c>
      <c r="B256" s="25" t="inlineStr">
        <is>
          <t>375ml</t>
        </is>
      </c>
    </row>
    <row r="257">
      <c r="A257" s="25" t="n">
        <v>57113</v>
      </c>
      <c r="B257" s="25" t="inlineStr">
        <is>
          <t>200ml</t>
        </is>
      </c>
    </row>
    <row r="258">
      <c r="A258" s="25" t="n">
        <v>57070</v>
      </c>
      <c r="B258" s="25" t="inlineStr">
        <is>
          <t>750ml</t>
        </is>
      </c>
    </row>
    <row r="259">
      <c r="A259" s="25" t="n">
        <v>20538</v>
      </c>
      <c r="B259" s="25" t="inlineStr">
        <is>
          <t>1.75L</t>
        </is>
      </c>
    </row>
    <row r="260">
      <c r="A260" s="25" t="n">
        <v>46503</v>
      </c>
      <c r="B260" s="25" t="inlineStr">
        <is>
          <t>375ml</t>
        </is>
      </c>
    </row>
    <row r="261">
      <c r="A261" s="25" t="n">
        <v>15658</v>
      </c>
      <c r="B261" s="25" t="inlineStr">
        <is>
          <t>750ml</t>
        </is>
      </c>
    </row>
    <row r="262">
      <c r="A262" s="25" t="n">
        <v>19064</v>
      </c>
      <c r="B262" s="25" t="inlineStr">
        <is>
          <t>375ml</t>
        </is>
      </c>
    </row>
    <row r="263">
      <c r="A263" s="25" t="n">
        <v>4356</v>
      </c>
      <c r="B263" s="25" t="inlineStr">
        <is>
          <t>750ml</t>
        </is>
      </c>
    </row>
    <row r="264">
      <c r="A264" s="25" t="n">
        <v>101025</v>
      </c>
      <c r="B264" s="25" t="inlineStr">
        <is>
          <t>750ml</t>
        </is>
      </c>
    </row>
    <row r="265">
      <c r="A265" s="25" t="n">
        <v>21946</v>
      </c>
      <c r="B265" s="25" t="inlineStr">
        <is>
          <t>750ml</t>
        </is>
      </c>
    </row>
    <row r="266">
      <c r="A266" s="25" t="n">
        <v>95914</v>
      </c>
      <c r="B266" s="25" t="inlineStr">
        <is>
          <t>750ml</t>
        </is>
      </c>
    </row>
    <row r="267">
      <c r="A267" s="25" t="n">
        <v>481470</v>
      </c>
      <c r="B267" s="25" t="inlineStr">
        <is>
          <t>750ml</t>
        </is>
      </c>
    </row>
    <row r="268">
      <c r="A268" s="25" t="n">
        <v>34359</v>
      </c>
      <c r="B268" s="25" t="inlineStr">
        <is>
          <t>200ml</t>
        </is>
      </c>
    </row>
    <row r="269">
      <c r="A269" s="25" t="n">
        <v>400715</v>
      </c>
      <c r="B269" s="25" t="inlineStr">
        <is>
          <t>750ml</t>
        </is>
      </c>
    </row>
    <row r="270">
      <c r="A270" s="25" t="n">
        <v>65209</v>
      </c>
      <c r="B270" s="25" t="inlineStr">
        <is>
          <t>375ml</t>
        </is>
      </c>
    </row>
    <row r="271">
      <c r="A271" s="25" t="n">
        <v>39347</v>
      </c>
      <c r="B271" s="25" t="inlineStr">
        <is>
          <t>50ml</t>
        </is>
      </c>
    </row>
    <row r="272">
      <c r="A272" s="25" t="n">
        <v>41836</v>
      </c>
      <c r="B272" s="25" t="inlineStr">
        <is>
          <t>750ml</t>
        </is>
      </c>
    </row>
    <row r="273">
      <c r="A273" s="25" t="n">
        <v>4616</v>
      </c>
      <c r="B273" s="25" t="inlineStr">
        <is>
          <t>750ml</t>
        </is>
      </c>
    </row>
    <row r="274">
      <c r="A274" s="25" t="n">
        <v>485958</v>
      </c>
      <c r="B274" s="25" t="inlineStr">
        <is>
          <t>750ml</t>
        </is>
      </c>
    </row>
    <row r="275">
      <c r="A275" s="25" t="n">
        <v>368280</v>
      </c>
      <c r="B275" s="25" t="inlineStr">
        <is>
          <t>750ml</t>
        </is>
      </c>
    </row>
    <row r="276">
      <c r="A276" s="25" t="n">
        <v>86532</v>
      </c>
      <c r="B276" s="25" t="inlineStr">
        <is>
          <t>750ml</t>
        </is>
      </c>
    </row>
    <row r="277">
      <c r="A277" s="25" t="n">
        <v>445936</v>
      </c>
      <c r="B277" s="25" t="inlineStr">
        <is>
          <t>750ml</t>
        </is>
      </c>
    </row>
    <row r="278">
      <c r="A278" s="25" t="n">
        <v>88185</v>
      </c>
      <c r="B278" s="25" t="inlineStr">
        <is>
          <t>375ml</t>
        </is>
      </c>
    </row>
    <row r="279">
      <c r="A279" s="25" t="n">
        <v>43902</v>
      </c>
      <c r="B279" s="25" t="inlineStr">
        <is>
          <t>750ml</t>
        </is>
      </c>
    </row>
    <row r="280">
      <c r="A280" s="25" t="n">
        <v>446151</v>
      </c>
      <c r="B280" s="25" t="inlineStr">
        <is>
          <t>1.5L</t>
        </is>
      </c>
    </row>
    <row r="281">
      <c r="A281" s="25" t="n">
        <v>73754</v>
      </c>
      <c r="B281" s="25" t="inlineStr">
        <is>
          <t>375ml</t>
        </is>
      </c>
    </row>
    <row r="282">
      <c r="A282" s="25" t="n">
        <v>89068</v>
      </c>
      <c r="B282" s="25" t="inlineStr">
        <is>
          <t>1.75L</t>
        </is>
      </c>
    </row>
    <row r="283">
      <c r="A283" s="25" t="n">
        <v>61616</v>
      </c>
      <c r="B283" s="25" t="inlineStr">
        <is>
          <t>750ml</t>
        </is>
      </c>
    </row>
    <row r="284">
      <c r="A284" s="25" t="n">
        <v>606293</v>
      </c>
      <c r="B284" s="25" t="inlineStr">
        <is>
          <t>1.5L</t>
        </is>
      </c>
    </row>
    <row r="285">
      <c r="A285" s="25" t="n">
        <v>87641</v>
      </c>
      <c r="B285" s="25" t="inlineStr">
        <is>
          <t>200ml</t>
        </is>
      </c>
    </row>
    <row r="286">
      <c r="A286" s="25" t="n">
        <v>89846</v>
      </c>
      <c r="B286" s="25" t="inlineStr">
        <is>
          <t>750ml</t>
        </is>
      </c>
    </row>
    <row r="287">
      <c r="A287" s="25" t="n">
        <v>49087</v>
      </c>
      <c r="B287" s="25" t="inlineStr">
        <is>
          <t>1L</t>
        </is>
      </c>
    </row>
    <row r="288">
      <c r="A288" s="25" t="n">
        <v>64389</v>
      </c>
      <c r="B288" s="25" t="inlineStr">
        <is>
          <t>750ml</t>
        </is>
      </c>
    </row>
    <row r="289">
      <c r="A289" s="25" t="n">
        <v>88818</v>
      </c>
      <c r="B289" s="25" t="inlineStr">
        <is>
          <t>750ml</t>
        </is>
      </c>
    </row>
    <row r="290">
      <c r="A290" s="25" t="n">
        <v>379248</v>
      </c>
      <c r="B290" s="25" t="inlineStr">
        <is>
          <t>750ml</t>
        </is>
      </c>
    </row>
    <row r="291">
      <c r="A291" s="25" t="n">
        <v>498040</v>
      </c>
      <c r="B291" s="25" t="inlineStr">
        <is>
          <t>750ml</t>
        </is>
      </c>
    </row>
    <row r="292">
      <c r="A292" s="25" t="n">
        <v>403758</v>
      </c>
      <c r="B292" s="25" t="inlineStr">
        <is>
          <t>750ml</t>
        </is>
      </c>
    </row>
    <row r="293">
      <c r="A293" s="25" t="n">
        <v>445022</v>
      </c>
      <c r="B293" s="25" t="inlineStr">
        <is>
          <t>750ml</t>
        </is>
      </c>
    </row>
    <row r="294">
      <c r="A294" s="25" t="n">
        <v>88356</v>
      </c>
      <c r="B294" s="25" t="inlineStr">
        <is>
          <t>750ml</t>
        </is>
      </c>
    </row>
    <row r="295">
      <c r="A295" s="25" t="n">
        <v>77858</v>
      </c>
      <c r="B295" s="25" t="inlineStr">
        <is>
          <t>750ml</t>
        </is>
      </c>
    </row>
    <row r="296">
      <c r="A296" s="25" t="n">
        <v>4938</v>
      </c>
      <c r="B296" s="25" t="inlineStr">
        <is>
          <t>1.75L</t>
        </is>
      </c>
    </row>
    <row r="297">
      <c r="A297" s="25" t="n">
        <v>882397</v>
      </c>
      <c r="B297" s="25" t="inlineStr">
        <is>
          <t>750ml</t>
        </is>
      </c>
    </row>
    <row r="298">
      <c r="A298" s="25" t="n">
        <v>443265</v>
      </c>
      <c r="B298" s="25" t="inlineStr">
        <is>
          <t>3L</t>
        </is>
      </c>
    </row>
    <row r="299">
      <c r="A299" s="25" t="n">
        <v>25990</v>
      </c>
      <c r="B299" s="25" t="inlineStr">
        <is>
          <t>750ml</t>
        </is>
      </c>
    </row>
    <row r="300">
      <c r="A300" s="25" t="n">
        <v>87026</v>
      </c>
      <c r="B300" s="25" t="inlineStr">
        <is>
          <t>750ml</t>
        </is>
      </c>
    </row>
    <row r="301">
      <c r="A301" s="25" t="n">
        <v>25967</v>
      </c>
      <c r="B301" s="25" t="inlineStr">
        <is>
          <t>1L</t>
        </is>
      </c>
    </row>
    <row r="302">
      <c r="A302" s="25" t="n">
        <v>809150</v>
      </c>
      <c r="B302" s="25" t="inlineStr">
        <is>
          <t>750ml</t>
        </is>
      </c>
    </row>
    <row r="303">
      <c r="A303" s="25" t="n">
        <v>26582</v>
      </c>
      <c r="B303" s="25" t="inlineStr">
        <is>
          <t>1L</t>
        </is>
      </c>
    </row>
    <row r="304">
      <c r="A304" s="25" t="n">
        <v>444587</v>
      </c>
      <c r="B304" s="25" t="inlineStr">
        <is>
          <t>3L</t>
        </is>
      </c>
    </row>
    <row r="305">
      <c r="A305" s="25" t="n">
        <v>577442</v>
      </c>
      <c r="B305" s="25" t="inlineStr">
        <is>
          <t>3L</t>
        </is>
      </c>
    </row>
    <row r="306">
      <c r="A306" s="25" t="n">
        <v>544092</v>
      </c>
      <c r="B306" s="25" t="inlineStr">
        <is>
          <t>750ml</t>
        </is>
      </c>
    </row>
    <row r="307">
      <c r="A307" s="25" t="n">
        <v>65260</v>
      </c>
      <c r="B307" s="25" t="inlineStr">
        <is>
          <t>375ml</t>
        </is>
      </c>
    </row>
    <row r="308">
      <c r="A308" s="25" t="n">
        <v>356525</v>
      </c>
      <c r="B308" s="25" t="inlineStr">
        <is>
          <t>750ml</t>
        </is>
      </c>
    </row>
    <row r="309">
      <c r="A309" s="25" t="n">
        <v>469652</v>
      </c>
      <c r="B309" s="25" t="inlineStr">
        <is>
          <t>1.5L</t>
        </is>
      </c>
    </row>
    <row r="310">
      <c r="A310" s="25" t="n">
        <v>87278</v>
      </c>
      <c r="B310" s="25" t="inlineStr">
        <is>
          <t>750ml</t>
        </is>
      </c>
    </row>
    <row r="311">
      <c r="A311" s="25" t="n">
        <v>88470</v>
      </c>
      <c r="B311" s="25" t="inlineStr">
        <is>
          <t>750ml</t>
        </is>
      </c>
    </row>
    <row r="312">
      <c r="A312" s="25" t="n">
        <v>44331</v>
      </c>
      <c r="B312" s="25" t="inlineStr">
        <is>
          <t>750ml</t>
        </is>
      </c>
    </row>
    <row r="313">
      <c r="A313" s="25" t="n">
        <v>34297</v>
      </c>
      <c r="B313" s="25" t="inlineStr">
        <is>
          <t>50ml</t>
        </is>
      </c>
    </row>
    <row r="314">
      <c r="A314" s="25" t="n">
        <v>476512</v>
      </c>
      <c r="B314" s="25" t="inlineStr">
        <is>
          <t>750ml</t>
        </is>
      </c>
    </row>
    <row r="315">
      <c r="A315" s="25" t="n">
        <v>64876</v>
      </c>
      <c r="B315" s="25" t="inlineStr">
        <is>
          <t>750ml</t>
        </is>
      </c>
    </row>
    <row r="316">
      <c r="A316" s="25" t="n">
        <v>47875</v>
      </c>
      <c r="B316" s="25" t="inlineStr">
        <is>
          <t>375ml</t>
        </is>
      </c>
    </row>
    <row r="317">
      <c r="A317" s="25" t="n">
        <v>37984</v>
      </c>
      <c r="B317" s="25" t="inlineStr">
        <is>
          <t>375ml</t>
        </is>
      </c>
    </row>
    <row r="318">
      <c r="A318" s="25" t="n">
        <v>547125</v>
      </c>
      <c r="B318" s="25" t="inlineStr">
        <is>
          <t>3L</t>
        </is>
      </c>
    </row>
    <row r="319">
      <c r="A319" s="25" t="n">
        <v>88296</v>
      </c>
      <c r="B319" s="25" t="inlineStr">
        <is>
          <t>750ml</t>
        </is>
      </c>
    </row>
    <row r="320">
      <c r="A320" s="25" t="n">
        <v>656930</v>
      </c>
      <c r="B320" s="25" t="inlineStr">
        <is>
          <t>750ml</t>
        </is>
      </c>
    </row>
    <row r="321">
      <c r="A321" s="25" t="n">
        <v>955212</v>
      </c>
      <c r="B321" s="25" t="inlineStr">
        <is>
          <t>750ml</t>
        </is>
      </c>
    </row>
    <row r="322">
      <c r="A322" s="25" t="n">
        <v>86100</v>
      </c>
      <c r="B322" s="25" t="inlineStr">
        <is>
          <t>750ml</t>
        </is>
      </c>
    </row>
    <row r="323">
      <c r="A323" s="25" t="n">
        <v>11290</v>
      </c>
      <c r="B323" s="25" t="inlineStr">
        <is>
          <t>50ml</t>
        </is>
      </c>
    </row>
    <row r="324">
      <c r="A324" s="25" t="n">
        <v>34014</v>
      </c>
      <c r="B324" s="25" t="inlineStr">
        <is>
          <t>750ml</t>
        </is>
      </c>
    </row>
    <row r="325">
      <c r="A325" s="25" t="n">
        <v>479303</v>
      </c>
      <c r="B325" s="25" t="inlineStr">
        <is>
          <t>375ml</t>
        </is>
      </c>
    </row>
    <row r="326">
      <c r="A326" s="25" t="n">
        <v>47546</v>
      </c>
      <c r="B326" s="25" t="inlineStr">
        <is>
          <t>750ml</t>
        </is>
      </c>
    </row>
    <row r="327">
      <c r="A327" s="25" t="n">
        <v>90330</v>
      </c>
      <c r="B327" s="25" t="inlineStr">
        <is>
          <t>750ml</t>
        </is>
      </c>
    </row>
    <row r="328">
      <c r="A328" s="25" t="n">
        <v>543956</v>
      </c>
      <c r="B328" s="25" t="inlineStr">
        <is>
          <t>750ml</t>
        </is>
      </c>
    </row>
    <row r="329">
      <c r="A329" s="25" t="n">
        <v>58897</v>
      </c>
      <c r="B329" s="25" t="inlineStr">
        <is>
          <t>1.75L</t>
        </is>
      </c>
    </row>
    <row r="330">
      <c r="A330" s="25" t="n">
        <v>74782</v>
      </c>
      <c r="B330" s="25" t="inlineStr">
        <is>
          <t>750ml</t>
        </is>
      </c>
    </row>
    <row r="331">
      <c r="A331" s="25" t="n">
        <v>26708</v>
      </c>
      <c r="B331" s="25" t="inlineStr">
        <is>
          <t>750ml</t>
        </is>
      </c>
    </row>
    <row r="332">
      <c r="A332" s="25" t="n">
        <v>34819</v>
      </c>
      <c r="B332" s="25" t="inlineStr">
        <is>
          <t>1L</t>
        </is>
      </c>
    </row>
    <row r="333">
      <c r="A333" s="25" t="n">
        <v>86971</v>
      </c>
      <c r="B333" s="25" t="inlineStr">
        <is>
          <t>750ml</t>
        </is>
      </c>
    </row>
    <row r="334">
      <c r="A334" s="25" t="n">
        <v>571570</v>
      </c>
      <c r="B334" s="25" t="inlineStr">
        <is>
          <t>750ml</t>
        </is>
      </c>
    </row>
    <row r="335">
      <c r="A335" s="25" t="n">
        <v>442563</v>
      </c>
      <c r="B335" s="25" t="inlineStr">
        <is>
          <t>1.5L</t>
        </is>
      </c>
    </row>
    <row r="336">
      <c r="A336" s="25" t="n">
        <v>59163</v>
      </c>
      <c r="B336" s="25" t="inlineStr">
        <is>
          <t>1.75L</t>
        </is>
      </c>
    </row>
    <row r="337">
      <c r="A337" s="25" t="n">
        <v>4044</v>
      </c>
      <c r="B337" s="25" t="inlineStr">
        <is>
          <t>750ml</t>
        </is>
      </c>
    </row>
    <row r="338">
      <c r="A338" s="25" t="n">
        <v>76478</v>
      </c>
      <c r="B338" s="25" t="inlineStr">
        <is>
          <t>750ml</t>
        </is>
      </c>
    </row>
    <row r="339">
      <c r="A339" s="25" t="n">
        <v>358119</v>
      </c>
      <c r="B339" s="25" t="inlineStr">
        <is>
          <t>750ml</t>
        </is>
      </c>
    </row>
    <row r="340">
      <c r="A340" s="25" t="n">
        <v>58858</v>
      </c>
      <c r="B340" s="25" t="inlineStr">
        <is>
          <t>200ml</t>
        </is>
      </c>
    </row>
    <row r="341">
      <c r="A341" s="25" t="n">
        <v>544097</v>
      </c>
      <c r="B341" s="25" t="inlineStr">
        <is>
          <t>3L</t>
        </is>
      </c>
    </row>
    <row r="342">
      <c r="A342" s="25" t="n">
        <v>769007</v>
      </c>
      <c r="B342" s="25" t="inlineStr">
        <is>
          <t>187ml</t>
        </is>
      </c>
    </row>
    <row r="343">
      <c r="A343" s="25" t="n">
        <v>49154</v>
      </c>
      <c r="B343" s="25" t="inlineStr">
        <is>
          <t>375ml</t>
        </is>
      </c>
    </row>
    <row r="344">
      <c r="A344" s="25" t="n">
        <v>17285</v>
      </c>
      <c r="B344" s="25" t="inlineStr">
        <is>
          <t>750ml</t>
        </is>
      </c>
    </row>
    <row r="345">
      <c r="A345" s="25" t="n">
        <v>88841</v>
      </c>
      <c r="B345" s="25" t="inlineStr">
        <is>
          <t>750ml</t>
        </is>
      </c>
    </row>
    <row r="346">
      <c r="A346" s="25" t="n">
        <v>87288</v>
      </c>
      <c r="B346" s="25" t="inlineStr">
        <is>
          <t>750ml</t>
        </is>
      </c>
    </row>
    <row r="347">
      <c r="A347" s="25" t="n">
        <v>65120</v>
      </c>
      <c r="B347" s="25" t="inlineStr">
        <is>
          <t>200ml</t>
        </is>
      </c>
    </row>
    <row r="348">
      <c r="A348" s="25" t="n">
        <v>355857</v>
      </c>
      <c r="B348" s="25" t="inlineStr">
        <is>
          <t>1.5L</t>
        </is>
      </c>
    </row>
    <row r="349">
      <c r="A349" s="25" t="n">
        <v>420403</v>
      </c>
      <c r="B349" s="25" t="inlineStr">
        <is>
          <t>750ml</t>
        </is>
      </c>
    </row>
    <row r="350">
      <c r="A350" s="25" t="n">
        <v>676050</v>
      </c>
      <c r="B350" s="25" t="inlineStr">
        <is>
          <t>750ml</t>
        </is>
      </c>
    </row>
    <row r="351">
      <c r="A351" s="25" t="n">
        <v>614116</v>
      </c>
      <c r="B351" s="25" t="inlineStr">
        <is>
          <t>750ml</t>
        </is>
      </c>
    </row>
    <row r="352">
      <c r="A352" s="25" t="n">
        <v>39761</v>
      </c>
      <c r="B352" s="25" t="inlineStr">
        <is>
          <t>1L</t>
        </is>
      </c>
    </row>
    <row r="353">
      <c r="A353" s="25" t="n">
        <v>812826</v>
      </c>
      <c r="B353" s="25" t="inlineStr">
        <is>
          <t>750ml</t>
        </is>
      </c>
    </row>
    <row r="354">
      <c r="A354" s="25" t="n">
        <v>892847</v>
      </c>
      <c r="B354" s="25" t="inlineStr">
        <is>
          <t>750ml</t>
        </is>
      </c>
    </row>
    <row r="355">
      <c r="A355" s="25" t="n">
        <v>8208</v>
      </c>
      <c r="B355" s="25" t="inlineStr">
        <is>
          <t>1.75L</t>
        </is>
      </c>
    </row>
    <row r="356">
      <c r="A356" s="25" t="n">
        <v>89488</v>
      </c>
      <c r="B356" s="25" t="inlineStr">
        <is>
          <t>750ml</t>
        </is>
      </c>
    </row>
    <row r="357">
      <c r="A357" s="25" t="n">
        <v>441985</v>
      </c>
      <c r="B357" s="25" t="inlineStr">
        <is>
          <t>750ml</t>
        </is>
      </c>
    </row>
    <row r="358">
      <c r="A358" s="25" t="n">
        <v>810562</v>
      </c>
      <c r="B358" s="25" t="inlineStr">
        <is>
          <t>750ml</t>
        </is>
      </c>
    </row>
    <row r="359">
      <c r="A359" s="25" t="n">
        <v>354249</v>
      </c>
      <c r="B359" s="25" t="inlineStr">
        <is>
          <t>750ml</t>
        </is>
      </c>
    </row>
    <row r="360">
      <c r="A360" s="25" t="n">
        <v>21206</v>
      </c>
      <c r="B360" s="25" t="inlineStr">
        <is>
          <t>750ml</t>
        </is>
      </c>
    </row>
    <row r="361">
      <c r="A361" s="25" t="n">
        <v>20368</v>
      </c>
      <c r="B361" s="25" t="inlineStr">
        <is>
          <t>1.75L</t>
        </is>
      </c>
    </row>
    <row r="362">
      <c r="A362" s="25" t="n">
        <v>68126</v>
      </c>
      <c r="B362" s="25" t="inlineStr">
        <is>
          <t>750ml</t>
        </is>
      </c>
    </row>
    <row r="363">
      <c r="A363" s="25" t="n">
        <v>26484</v>
      </c>
      <c r="B363" s="25" t="inlineStr">
        <is>
          <t>750ml</t>
        </is>
      </c>
    </row>
    <row r="364">
      <c r="A364" s="25" t="n">
        <v>420028</v>
      </c>
      <c r="B364" s="25" t="inlineStr">
        <is>
          <t>750ml</t>
        </is>
      </c>
    </row>
    <row r="365">
      <c r="A365" s="25" t="n">
        <v>429983</v>
      </c>
      <c r="B365" s="25" t="inlineStr">
        <is>
          <t>1.5L</t>
        </is>
      </c>
    </row>
    <row r="366">
      <c r="A366" s="25" t="n">
        <v>490416</v>
      </c>
      <c r="B366" s="25" t="inlineStr">
        <is>
          <t>750ml</t>
        </is>
      </c>
    </row>
    <row r="367">
      <c r="A367" s="25" t="n">
        <v>68038</v>
      </c>
      <c r="B367" s="25" t="inlineStr">
        <is>
          <t>1.75L</t>
        </is>
      </c>
    </row>
    <row r="368">
      <c r="A368" s="25" t="n">
        <v>344455</v>
      </c>
      <c r="B368" s="25" t="inlineStr">
        <is>
          <t>750ml</t>
        </is>
      </c>
    </row>
    <row r="369">
      <c r="A369" s="25" t="n">
        <v>53221</v>
      </c>
      <c r="B369" s="25" t="inlineStr">
        <is>
          <t>50ml</t>
        </is>
      </c>
    </row>
    <row r="370">
      <c r="A370" s="25" t="n">
        <v>566215</v>
      </c>
      <c r="B370" s="25" t="inlineStr">
        <is>
          <t>750ml</t>
        </is>
      </c>
    </row>
    <row r="371">
      <c r="A371" s="25" t="n">
        <v>44506</v>
      </c>
      <c r="B371" s="25" t="inlineStr">
        <is>
          <t>750ml</t>
        </is>
      </c>
    </row>
    <row r="372">
      <c r="A372" s="25" t="n">
        <v>14484</v>
      </c>
      <c r="B372" s="25" t="inlineStr">
        <is>
          <t>750ml</t>
        </is>
      </c>
    </row>
    <row r="373">
      <c r="A373" s="25" t="n">
        <v>39995</v>
      </c>
      <c r="B373" s="25" t="inlineStr">
        <is>
          <t>375ml</t>
        </is>
      </c>
    </row>
    <row r="374">
      <c r="A374" s="25" t="n">
        <v>495210</v>
      </c>
      <c r="B374" s="25" t="inlineStr">
        <is>
          <t>750ml</t>
        </is>
      </c>
    </row>
    <row r="375">
      <c r="A375" s="25" t="n">
        <v>58875</v>
      </c>
      <c r="B375" s="25" t="inlineStr">
        <is>
          <t>1.75L</t>
        </is>
      </c>
    </row>
    <row r="376">
      <c r="A376" s="25" t="n">
        <v>27503</v>
      </c>
      <c r="B376" s="25" t="inlineStr">
        <is>
          <t>750ml</t>
        </is>
      </c>
    </row>
    <row r="377">
      <c r="A377" s="25" t="n">
        <v>515902</v>
      </c>
      <c r="B377" s="25" t="inlineStr">
        <is>
          <t>750ml</t>
        </is>
      </c>
    </row>
    <row r="378">
      <c r="A378" s="25" t="n">
        <v>45889</v>
      </c>
      <c r="B378" s="25" t="inlineStr">
        <is>
          <t>750ml</t>
        </is>
      </c>
    </row>
    <row r="379">
      <c r="A379" s="25" t="n">
        <v>37998</v>
      </c>
      <c r="B379" s="25" t="inlineStr">
        <is>
          <t>1.75L</t>
        </is>
      </c>
    </row>
    <row r="380">
      <c r="A380" s="25" t="n">
        <v>48690</v>
      </c>
      <c r="B380" s="25" t="inlineStr">
        <is>
          <t>200ml</t>
        </is>
      </c>
    </row>
    <row r="381">
      <c r="A381" s="25" t="n">
        <v>729215</v>
      </c>
      <c r="B381" s="25" t="inlineStr">
        <is>
          <t>750ml</t>
        </is>
      </c>
    </row>
    <row r="382">
      <c r="A382" s="25" t="n">
        <v>22158</v>
      </c>
      <c r="B382" s="25" t="inlineStr">
        <is>
          <t>1.75L</t>
        </is>
      </c>
    </row>
    <row r="383">
      <c r="A383" s="25" t="n">
        <v>646105</v>
      </c>
      <c r="B383" s="25" t="inlineStr">
        <is>
          <t>4L</t>
        </is>
      </c>
    </row>
    <row r="384">
      <c r="A384" s="25" t="n">
        <v>27474</v>
      </c>
      <c r="B384" s="25" t="inlineStr">
        <is>
          <t>750ml</t>
        </is>
      </c>
    </row>
    <row r="385">
      <c r="A385" s="25" t="n">
        <v>551250</v>
      </c>
      <c r="B385" s="25" t="inlineStr">
        <is>
          <t>750ml</t>
        </is>
      </c>
    </row>
    <row r="386">
      <c r="A386" s="25" t="n">
        <v>445818</v>
      </c>
      <c r="B386" s="25" t="inlineStr">
        <is>
          <t>1.5L</t>
        </is>
      </c>
    </row>
    <row r="387">
      <c r="A387" s="25" t="n">
        <v>31298</v>
      </c>
      <c r="B387" s="25" t="inlineStr">
        <is>
          <t>1.75L</t>
        </is>
      </c>
    </row>
    <row r="388">
      <c r="A388" s="25" t="n">
        <v>607900</v>
      </c>
      <c r="B388" s="25" t="inlineStr">
        <is>
          <t>750ml</t>
        </is>
      </c>
    </row>
    <row r="389">
      <c r="A389" s="25" t="n">
        <v>710804</v>
      </c>
      <c r="B389" s="25" t="inlineStr">
        <is>
          <t>187ml</t>
        </is>
      </c>
    </row>
    <row r="390">
      <c r="A390" s="25" t="n">
        <v>44048</v>
      </c>
      <c r="B390" s="25" t="inlineStr">
        <is>
          <t>1.75L</t>
        </is>
      </c>
    </row>
    <row r="391">
      <c r="A391" s="25" t="n">
        <v>683360</v>
      </c>
      <c r="B391" s="25" t="inlineStr">
        <is>
          <t>750ml</t>
        </is>
      </c>
    </row>
    <row r="392">
      <c r="A392" s="25" t="n">
        <v>5288</v>
      </c>
      <c r="B392" s="25" t="inlineStr">
        <is>
          <t>1.75L</t>
        </is>
      </c>
    </row>
    <row r="393">
      <c r="A393" s="25" t="n">
        <v>279570</v>
      </c>
      <c r="B393" s="25" t="inlineStr">
        <is>
          <t>750ml</t>
        </is>
      </c>
    </row>
    <row r="394">
      <c r="A394" s="25" t="n">
        <v>64746</v>
      </c>
      <c r="B394" s="25" t="inlineStr">
        <is>
          <t>200ml</t>
        </is>
      </c>
    </row>
    <row r="395">
      <c r="A395" s="25" t="n">
        <v>632860</v>
      </c>
      <c r="B395" s="25" t="inlineStr">
        <is>
          <t>750ml</t>
        </is>
      </c>
    </row>
    <row r="396">
      <c r="A396" s="25" t="n">
        <v>43848</v>
      </c>
      <c r="B396" s="25" t="inlineStr">
        <is>
          <t>1.75L</t>
        </is>
      </c>
    </row>
    <row r="397">
      <c r="A397" s="25" t="n">
        <v>9366</v>
      </c>
      <c r="B397" s="25" t="inlineStr">
        <is>
          <t>750ml</t>
        </is>
      </c>
    </row>
    <row r="398">
      <c r="A398" s="25" t="n">
        <v>76404</v>
      </c>
      <c r="B398" s="25" t="inlineStr">
        <is>
          <t>1L</t>
        </is>
      </c>
    </row>
    <row r="399">
      <c r="A399" s="25" t="n">
        <v>809132</v>
      </c>
      <c r="B399" s="25" t="inlineStr">
        <is>
          <t>750ml</t>
        </is>
      </c>
    </row>
    <row r="400">
      <c r="A400" s="25" t="n">
        <v>30317</v>
      </c>
      <c r="B400" s="25" t="inlineStr">
        <is>
          <t>1L</t>
        </is>
      </c>
    </row>
    <row r="401">
      <c r="A401" s="25" t="n">
        <v>38176</v>
      </c>
      <c r="B401" s="25" t="inlineStr">
        <is>
          <t>750ml</t>
        </is>
      </c>
    </row>
    <row r="402">
      <c r="A402" s="25" t="n">
        <v>42676</v>
      </c>
      <c r="B402" s="25" t="inlineStr">
        <is>
          <t>750ml</t>
        </is>
      </c>
    </row>
    <row r="403">
      <c r="A403" s="25" t="n">
        <v>56841</v>
      </c>
      <c r="B403" s="25" t="inlineStr">
        <is>
          <t>750ml</t>
        </is>
      </c>
    </row>
    <row r="404">
      <c r="A404" s="25" t="n">
        <v>28037</v>
      </c>
      <c r="B404" s="25" t="inlineStr">
        <is>
          <t>750ml</t>
        </is>
      </c>
    </row>
    <row r="405">
      <c r="A405" s="25" t="n">
        <v>87266</v>
      </c>
      <c r="B405" s="25" t="inlineStr">
        <is>
          <t>750ml</t>
        </is>
      </c>
    </row>
    <row r="406">
      <c r="A406" s="25" t="n">
        <v>498520</v>
      </c>
      <c r="B406" s="25" t="inlineStr">
        <is>
          <t>750ml</t>
        </is>
      </c>
    </row>
    <row r="407">
      <c r="A407" s="25" t="n">
        <v>638905</v>
      </c>
      <c r="B407" s="25" t="inlineStr">
        <is>
          <t>750ml</t>
        </is>
      </c>
    </row>
    <row r="408">
      <c r="A408" s="25" t="n">
        <v>36671</v>
      </c>
      <c r="B408" s="25" t="inlineStr">
        <is>
          <t>1L</t>
        </is>
      </c>
    </row>
    <row r="409">
      <c r="A409" s="25" t="n">
        <v>683325</v>
      </c>
      <c r="B409" s="25" t="inlineStr">
        <is>
          <t>750ml</t>
        </is>
      </c>
    </row>
    <row r="410">
      <c r="A410" s="25" t="n">
        <v>89154</v>
      </c>
      <c r="B410" s="25" t="inlineStr">
        <is>
          <t>750ml</t>
        </is>
      </c>
    </row>
    <row r="411">
      <c r="A411" s="25" t="n">
        <v>26317</v>
      </c>
      <c r="B411" s="25" t="inlineStr">
        <is>
          <t>1.75L</t>
        </is>
      </c>
    </row>
    <row r="412">
      <c r="A412" s="25" t="n">
        <v>52562</v>
      </c>
      <c r="B412" s="25" t="inlineStr">
        <is>
          <t>375ml</t>
        </is>
      </c>
    </row>
    <row r="413">
      <c r="A413" s="25" t="n">
        <v>32234</v>
      </c>
      <c r="B413" s="25" t="inlineStr">
        <is>
          <t>375ml</t>
        </is>
      </c>
    </row>
    <row r="414">
      <c r="A414" s="25" t="n">
        <v>28208</v>
      </c>
      <c r="B414" s="25" t="inlineStr">
        <is>
          <t>1.75L</t>
        </is>
      </c>
    </row>
    <row r="415">
      <c r="A415" s="25" t="n">
        <v>33711</v>
      </c>
      <c r="B415" s="25" t="inlineStr">
        <is>
          <t>375ml</t>
        </is>
      </c>
    </row>
    <row r="416">
      <c r="A416" s="25" t="n">
        <v>548561</v>
      </c>
      <c r="B416" s="25" t="inlineStr">
        <is>
          <t>750ml</t>
        </is>
      </c>
    </row>
    <row r="417">
      <c r="A417" s="25" t="n">
        <v>41340</v>
      </c>
      <c r="B417" s="25" t="inlineStr">
        <is>
          <t>750ml</t>
        </is>
      </c>
    </row>
    <row r="418">
      <c r="A418" s="25" t="n">
        <v>552601</v>
      </c>
      <c r="B418" s="25" t="inlineStr">
        <is>
          <t>750ml</t>
        </is>
      </c>
    </row>
    <row r="419">
      <c r="A419" s="25" t="n">
        <v>43336</v>
      </c>
      <c r="B419" s="25" t="inlineStr">
        <is>
          <t>750ml</t>
        </is>
      </c>
    </row>
    <row r="420">
      <c r="A420" s="25" t="n">
        <v>809134</v>
      </c>
      <c r="B420" s="25" t="inlineStr">
        <is>
          <t>750ml</t>
        </is>
      </c>
    </row>
    <row r="421">
      <c r="A421" s="25" t="n">
        <v>76441</v>
      </c>
      <c r="B421" s="25" t="inlineStr">
        <is>
          <t>750ml</t>
        </is>
      </c>
    </row>
    <row r="422">
      <c r="A422" s="25" t="n">
        <v>498542</v>
      </c>
      <c r="B422" s="25" t="inlineStr">
        <is>
          <t>750ml</t>
        </is>
      </c>
    </row>
    <row r="423">
      <c r="A423" s="25" t="n">
        <v>504397</v>
      </c>
      <c r="B423" s="25" t="inlineStr">
        <is>
          <t>750ml</t>
        </is>
      </c>
    </row>
    <row r="424">
      <c r="A424" s="25" t="n">
        <v>515901</v>
      </c>
      <c r="B424" s="25" t="inlineStr">
        <is>
          <t>750ml</t>
        </is>
      </c>
    </row>
    <row r="425">
      <c r="A425" s="25" t="n">
        <v>37887</v>
      </c>
      <c r="B425" s="25" t="inlineStr">
        <is>
          <t>1L</t>
        </is>
      </c>
    </row>
    <row r="426">
      <c r="A426" s="25" t="n">
        <v>376506</v>
      </c>
      <c r="B426" s="25" t="inlineStr">
        <is>
          <t>750ml</t>
        </is>
      </c>
    </row>
    <row r="427">
      <c r="A427" s="25" t="n">
        <v>479469</v>
      </c>
      <c r="B427" s="25" t="inlineStr">
        <is>
          <t>750ml</t>
        </is>
      </c>
    </row>
    <row r="428">
      <c r="A428" s="25" t="n">
        <v>17644</v>
      </c>
      <c r="B428" s="25" t="inlineStr">
        <is>
          <t>750ml</t>
        </is>
      </c>
    </row>
    <row r="429">
      <c r="A429" s="25" t="n">
        <v>22784</v>
      </c>
      <c r="B429" s="25" t="inlineStr">
        <is>
          <t>375ml</t>
        </is>
      </c>
    </row>
    <row r="430">
      <c r="A430" s="25" t="n">
        <v>39176</v>
      </c>
      <c r="B430" s="25" t="inlineStr">
        <is>
          <t>750ml</t>
        </is>
      </c>
    </row>
    <row r="431">
      <c r="A431" s="25" t="n">
        <v>498070</v>
      </c>
      <c r="B431" s="25" t="inlineStr">
        <is>
          <t>750ml</t>
        </is>
      </c>
    </row>
    <row r="432">
      <c r="A432" s="25" t="n">
        <v>39353</v>
      </c>
      <c r="B432" s="25" t="inlineStr">
        <is>
          <t>750ml</t>
        </is>
      </c>
    </row>
    <row r="433">
      <c r="A433" s="25" t="n">
        <v>62089</v>
      </c>
      <c r="B433" s="25" t="inlineStr">
        <is>
          <t>1.75L</t>
        </is>
      </c>
    </row>
    <row r="434">
      <c r="A434" s="25" t="n">
        <v>56195</v>
      </c>
      <c r="B434" s="25" t="inlineStr">
        <is>
          <t>375ml</t>
        </is>
      </c>
    </row>
    <row r="435">
      <c r="A435" s="25" t="n">
        <v>64028</v>
      </c>
      <c r="B435" s="25" t="inlineStr">
        <is>
          <t>750ml</t>
        </is>
      </c>
    </row>
    <row r="436">
      <c r="A436" s="25" t="n">
        <v>14208</v>
      </c>
      <c r="B436" s="25" t="inlineStr">
        <is>
          <t>750ml</t>
        </is>
      </c>
    </row>
    <row r="437">
      <c r="A437" s="25" t="n">
        <v>58874</v>
      </c>
      <c r="B437" s="25" t="inlineStr">
        <is>
          <t>1.75L</t>
        </is>
      </c>
    </row>
    <row r="438">
      <c r="A438" s="25" t="n">
        <v>11347</v>
      </c>
      <c r="B438" s="25" t="inlineStr">
        <is>
          <t>1L</t>
        </is>
      </c>
    </row>
    <row r="439">
      <c r="A439" s="25" t="n">
        <v>34116</v>
      </c>
      <c r="B439" s="25" t="inlineStr">
        <is>
          <t>750ml</t>
        </is>
      </c>
    </row>
    <row r="440">
      <c r="A440" s="25" t="n">
        <v>707325</v>
      </c>
      <c r="B440" s="25" t="inlineStr">
        <is>
          <t>750ml</t>
        </is>
      </c>
    </row>
    <row r="441">
      <c r="A441" s="25" t="n">
        <v>507481</v>
      </c>
      <c r="B441" s="25" t="inlineStr">
        <is>
          <t>750ml</t>
        </is>
      </c>
    </row>
    <row r="442">
      <c r="A442" s="25" t="n">
        <v>382047</v>
      </c>
      <c r="B442" s="25" t="inlineStr">
        <is>
          <t>750ml</t>
        </is>
      </c>
    </row>
    <row r="443">
      <c r="A443" s="25" t="n">
        <v>723525</v>
      </c>
      <c r="B443" s="25" t="inlineStr">
        <is>
          <t>750ml</t>
        </is>
      </c>
    </row>
    <row r="444">
      <c r="A444" s="25" t="n">
        <v>440050</v>
      </c>
      <c r="B444" s="25" t="inlineStr">
        <is>
          <t>750ml</t>
        </is>
      </c>
    </row>
    <row r="445">
      <c r="A445" s="25" t="n">
        <v>87596</v>
      </c>
      <c r="B445" s="25" t="inlineStr">
        <is>
          <t>750ml</t>
        </is>
      </c>
    </row>
    <row r="446">
      <c r="A446" s="25" t="n">
        <v>14474</v>
      </c>
      <c r="B446" s="25" t="inlineStr">
        <is>
          <t>750ml</t>
        </is>
      </c>
    </row>
    <row r="447">
      <c r="A447" s="25" t="n">
        <v>419500</v>
      </c>
      <c r="B447" s="25" t="inlineStr">
        <is>
          <t>750ml</t>
        </is>
      </c>
    </row>
    <row r="448">
      <c r="A448" s="25" t="n">
        <v>882325</v>
      </c>
      <c r="B448" s="25" t="inlineStr">
        <is>
          <t>750ml</t>
        </is>
      </c>
    </row>
    <row r="449">
      <c r="A449" s="25" t="n">
        <v>11788</v>
      </c>
      <c r="B449" s="25" t="inlineStr">
        <is>
          <t>1.75L</t>
        </is>
      </c>
    </row>
    <row r="450">
      <c r="A450" s="25" t="n">
        <v>89449</v>
      </c>
      <c r="B450" s="25" t="inlineStr">
        <is>
          <t>1.75L</t>
        </is>
      </c>
    </row>
    <row r="451">
      <c r="A451" s="25" t="n">
        <v>352440</v>
      </c>
      <c r="B451" s="25" t="inlineStr">
        <is>
          <t>750ml</t>
        </is>
      </c>
    </row>
    <row r="452">
      <c r="A452" s="25" t="n">
        <v>88830</v>
      </c>
      <c r="B452" s="25" t="inlineStr">
        <is>
          <t>375ml</t>
        </is>
      </c>
    </row>
    <row r="453">
      <c r="A453" s="25" t="n">
        <v>381770</v>
      </c>
      <c r="B453" s="25" t="inlineStr">
        <is>
          <t>750ml</t>
        </is>
      </c>
    </row>
    <row r="454">
      <c r="A454" s="25" t="n">
        <v>38069</v>
      </c>
      <c r="B454" s="25" t="inlineStr">
        <is>
          <t>100ml</t>
        </is>
      </c>
    </row>
    <row r="455">
      <c r="A455" s="25" t="n">
        <v>762300</v>
      </c>
      <c r="B455" s="25" t="inlineStr">
        <is>
          <t>750ml</t>
        </is>
      </c>
    </row>
    <row r="456">
      <c r="A456" s="25" t="n">
        <v>17086</v>
      </c>
      <c r="B456" s="25" t="inlineStr">
        <is>
          <t>750ml</t>
        </is>
      </c>
    </row>
    <row r="457">
      <c r="A457" s="25" t="n">
        <v>729077</v>
      </c>
      <c r="B457" s="25" t="inlineStr">
        <is>
          <t>187ml</t>
        </is>
      </c>
    </row>
    <row r="458">
      <c r="A458" s="25" t="n">
        <v>424271</v>
      </c>
      <c r="B458" s="25" t="inlineStr">
        <is>
          <t>750ml</t>
        </is>
      </c>
    </row>
    <row r="459">
      <c r="A459" s="25" t="n">
        <v>35354</v>
      </c>
      <c r="B459" s="25" t="inlineStr">
        <is>
          <t>750ml</t>
        </is>
      </c>
    </row>
    <row r="460">
      <c r="A460" s="25" t="n">
        <v>43127</v>
      </c>
      <c r="B460" s="25" t="inlineStr">
        <is>
          <t>1L</t>
        </is>
      </c>
    </row>
    <row r="461">
      <c r="A461" s="25" t="n">
        <v>415426</v>
      </c>
      <c r="B461" s="25" t="inlineStr">
        <is>
          <t>750ml</t>
        </is>
      </c>
    </row>
    <row r="462">
      <c r="A462" s="25" t="n">
        <v>442573</v>
      </c>
      <c r="B462" s="25" t="inlineStr">
        <is>
          <t>187ml</t>
        </is>
      </c>
    </row>
    <row r="463">
      <c r="A463" s="25" t="n">
        <v>560598</v>
      </c>
      <c r="B463" s="25" t="inlineStr">
        <is>
          <t>750ml</t>
        </is>
      </c>
    </row>
    <row r="464">
      <c r="A464" s="25" t="n">
        <v>378910</v>
      </c>
      <c r="B464" s="25" t="inlineStr">
        <is>
          <t>750ml</t>
        </is>
      </c>
    </row>
    <row r="465">
      <c r="A465" s="25" t="n">
        <v>67557</v>
      </c>
      <c r="B465" s="25" t="inlineStr">
        <is>
          <t>1L</t>
        </is>
      </c>
    </row>
    <row r="466">
      <c r="A466" s="25" t="n">
        <v>486350</v>
      </c>
      <c r="B466" s="25" t="inlineStr">
        <is>
          <t>750ml</t>
        </is>
      </c>
    </row>
    <row r="467">
      <c r="A467" s="25" t="n">
        <v>88736</v>
      </c>
      <c r="B467" s="25" t="inlineStr">
        <is>
          <t>750ml</t>
        </is>
      </c>
    </row>
    <row r="468">
      <c r="A468" s="25" t="n">
        <v>445883</v>
      </c>
      <c r="B468" s="25" t="inlineStr">
        <is>
          <t>1.5L</t>
        </is>
      </c>
    </row>
    <row r="469">
      <c r="A469" s="25" t="n">
        <v>737340</v>
      </c>
      <c r="B469" s="25" t="inlineStr">
        <is>
          <t>187ml</t>
        </is>
      </c>
    </row>
    <row r="470">
      <c r="A470" s="25" t="n">
        <v>37889</v>
      </c>
      <c r="B470" s="25" t="inlineStr">
        <is>
          <t>375ml</t>
        </is>
      </c>
    </row>
    <row r="471">
      <c r="A471" s="25" t="n">
        <v>370190</v>
      </c>
      <c r="B471" s="25" t="inlineStr">
        <is>
          <t>750ml</t>
        </is>
      </c>
    </row>
    <row r="472">
      <c r="A472" s="25" t="n">
        <v>12855</v>
      </c>
      <c r="B472" s="25" t="inlineStr">
        <is>
          <t>375ml</t>
        </is>
      </c>
    </row>
    <row r="473">
      <c r="A473" s="25" t="n">
        <v>5844</v>
      </c>
      <c r="B473" s="25" t="inlineStr">
        <is>
          <t>1.75L</t>
        </is>
      </c>
    </row>
    <row r="474">
      <c r="A474" s="25" t="n">
        <v>49083</v>
      </c>
      <c r="B474" s="25" t="inlineStr">
        <is>
          <t>200ml</t>
        </is>
      </c>
    </row>
    <row r="475">
      <c r="A475" s="25" t="n">
        <v>88449</v>
      </c>
      <c r="B475" s="25" t="inlineStr">
        <is>
          <t>750ml</t>
        </is>
      </c>
    </row>
    <row r="476">
      <c r="A476" s="25" t="n">
        <v>5662</v>
      </c>
      <c r="B476" s="25" t="inlineStr">
        <is>
          <t>750ml</t>
        </is>
      </c>
    </row>
    <row r="477">
      <c r="A477" s="25" t="n">
        <v>429945</v>
      </c>
      <c r="B477" s="25" t="inlineStr">
        <is>
          <t>1.5L</t>
        </is>
      </c>
    </row>
    <row r="478">
      <c r="A478" s="25" t="n">
        <v>39707</v>
      </c>
      <c r="B478" s="25" t="inlineStr">
        <is>
          <t>750ml</t>
        </is>
      </c>
    </row>
    <row r="479">
      <c r="A479" s="25" t="n">
        <v>75948</v>
      </c>
      <c r="B479" s="25" t="inlineStr">
        <is>
          <t>100ml</t>
        </is>
      </c>
    </row>
    <row r="480">
      <c r="A480" s="25" t="n">
        <v>71529</v>
      </c>
      <c r="B480" s="25" t="inlineStr">
        <is>
          <t>375ml</t>
        </is>
      </c>
    </row>
    <row r="481">
      <c r="A481" s="25" t="n">
        <v>65066</v>
      </c>
      <c r="B481" s="25" t="inlineStr">
        <is>
          <t>750ml</t>
        </is>
      </c>
    </row>
    <row r="482">
      <c r="A482" s="25" t="n">
        <v>467655</v>
      </c>
      <c r="B482" s="25" t="inlineStr">
        <is>
          <t>5L</t>
        </is>
      </c>
    </row>
    <row r="483">
      <c r="A483" s="25" t="n">
        <v>892856</v>
      </c>
      <c r="B483" s="25" t="inlineStr">
        <is>
          <t>750ml</t>
        </is>
      </c>
    </row>
    <row r="484">
      <c r="A484" s="25" t="n">
        <v>33308</v>
      </c>
      <c r="B484" s="25" t="inlineStr">
        <is>
          <t>375ml</t>
        </is>
      </c>
    </row>
    <row r="485">
      <c r="A485" s="25" t="n">
        <v>4798</v>
      </c>
      <c r="B485" s="25" t="inlineStr">
        <is>
          <t>1.75L</t>
        </is>
      </c>
    </row>
    <row r="486">
      <c r="A486" s="25" t="n">
        <v>20533</v>
      </c>
      <c r="B486" s="25" t="inlineStr">
        <is>
          <t>200ml</t>
        </is>
      </c>
    </row>
    <row r="487">
      <c r="A487" s="25" t="n">
        <v>15628</v>
      </c>
      <c r="B487" s="25" t="inlineStr">
        <is>
          <t>1.75L</t>
        </is>
      </c>
    </row>
    <row r="488">
      <c r="A488" s="25" t="n">
        <v>87063</v>
      </c>
      <c r="B488" s="25" t="inlineStr">
        <is>
          <t>50ml</t>
        </is>
      </c>
    </row>
    <row r="489">
      <c r="A489" s="25" t="n">
        <v>25974</v>
      </c>
      <c r="B489" s="25" t="inlineStr">
        <is>
          <t>375ml</t>
        </is>
      </c>
    </row>
    <row r="490">
      <c r="A490" s="25" t="n">
        <v>43453</v>
      </c>
      <c r="B490" s="25" t="inlineStr">
        <is>
          <t>1.75L</t>
        </is>
      </c>
    </row>
    <row r="491">
      <c r="A491" s="25" t="n">
        <v>26706</v>
      </c>
      <c r="B491" s="25" t="inlineStr">
        <is>
          <t>750ml</t>
        </is>
      </c>
    </row>
    <row r="492">
      <c r="A492" s="25" t="n">
        <v>34456</v>
      </c>
      <c r="B492" s="25" t="inlineStr">
        <is>
          <t>750ml</t>
        </is>
      </c>
    </row>
    <row r="493">
      <c r="A493" s="25" t="n">
        <v>43803</v>
      </c>
      <c r="B493" s="25" t="inlineStr">
        <is>
          <t>750ml</t>
        </is>
      </c>
    </row>
    <row r="494">
      <c r="A494" s="25" t="n">
        <v>10890</v>
      </c>
      <c r="B494" s="25" t="inlineStr">
        <is>
          <t>750ml</t>
        </is>
      </c>
    </row>
    <row r="495">
      <c r="A495" s="25" t="n">
        <v>93966</v>
      </c>
      <c r="B495" s="25" t="inlineStr">
        <is>
          <t>1.5L</t>
        </is>
      </c>
    </row>
    <row r="496">
      <c r="A496" s="25" t="n">
        <v>507905</v>
      </c>
      <c r="B496" s="25" t="inlineStr">
        <is>
          <t>750ml</t>
        </is>
      </c>
    </row>
    <row r="497">
      <c r="A497" s="25" t="n">
        <v>39952</v>
      </c>
      <c r="B497" s="25" t="inlineStr">
        <is>
          <t>375ml</t>
        </is>
      </c>
    </row>
    <row r="498">
      <c r="A498" s="25" t="n">
        <v>549902</v>
      </c>
      <c r="B498" s="25" t="inlineStr">
        <is>
          <t>750ml</t>
        </is>
      </c>
    </row>
    <row r="499">
      <c r="A499" s="25" t="n">
        <v>632850</v>
      </c>
      <c r="B499" s="25" t="inlineStr">
        <is>
          <t>750ml</t>
        </is>
      </c>
    </row>
    <row r="500">
      <c r="A500" s="25" t="n">
        <v>52594</v>
      </c>
      <c r="B500" s="25" t="inlineStr">
        <is>
          <t>375ml</t>
        </is>
      </c>
    </row>
    <row r="501">
      <c r="A501" s="25" t="n">
        <v>361732</v>
      </c>
      <c r="B501" s="25" t="inlineStr">
        <is>
          <t>750ml</t>
        </is>
      </c>
    </row>
    <row r="502">
      <c r="A502" s="25" t="n">
        <v>498025</v>
      </c>
      <c r="B502" s="25" t="inlineStr">
        <is>
          <t>1.5L</t>
        </is>
      </c>
    </row>
    <row r="503">
      <c r="A503" s="25" t="n">
        <v>33256</v>
      </c>
      <c r="B503" s="25" t="inlineStr">
        <is>
          <t>750ml</t>
        </is>
      </c>
    </row>
    <row r="504">
      <c r="A504" s="25" t="n">
        <v>40070</v>
      </c>
      <c r="B504" s="25" t="inlineStr">
        <is>
          <t>375ml</t>
        </is>
      </c>
    </row>
    <row r="505">
      <c r="A505" s="25" t="n">
        <v>87029</v>
      </c>
      <c r="B505" s="25" t="inlineStr">
        <is>
          <t>750ml</t>
        </is>
      </c>
    </row>
    <row r="506">
      <c r="A506" s="25" t="n">
        <v>460942</v>
      </c>
      <c r="B506" s="25" t="inlineStr">
        <is>
          <t>750ml</t>
        </is>
      </c>
    </row>
    <row r="507">
      <c r="A507" s="25" t="n">
        <v>62634</v>
      </c>
      <c r="B507" s="25" t="inlineStr">
        <is>
          <t>355ml</t>
        </is>
      </c>
    </row>
    <row r="508">
      <c r="A508" s="25" t="n">
        <v>84242</v>
      </c>
      <c r="B508" s="25" t="inlineStr">
        <is>
          <t>50ml</t>
        </is>
      </c>
    </row>
    <row r="509">
      <c r="A509" s="25" t="n">
        <v>419972</v>
      </c>
      <c r="B509" s="25" t="inlineStr">
        <is>
          <t>187ml</t>
        </is>
      </c>
    </row>
    <row r="510">
      <c r="A510" s="25" t="n">
        <v>633790</v>
      </c>
      <c r="B510" s="25" t="inlineStr">
        <is>
          <t>750ml</t>
        </is>
      </c>
    </row>
    <row r="511">
      <c r="A511" s="25" t="n">
        <v>89667</v>
      </c>
      <c r="B511" s="25" t="inlineStr">
        <is>
          <t>1L</t>
        </is>
      </c>
    </row>
    <row r="512">
      <c r="A512" s="25" t="n">
        <v>443252</v>
      </c>
      <c r="B512" s="25" t="inlineStr">
        <is>
          <t>187ml</t>
        </is>
      </c>
    </row>
    <row r="513">
      <c r="A513" s="25" t="n">
        <v>88796</v>
      </c>
      <c r="B513" s="25" t="inlineStr">
        <is>
          <t>750ml</t>
        </is>
      </c>
    </row>
    <row r="514">
      <c r="A514" s="25" t="n">
        <v>606266</v>
      </c>
      <c r="B514" s="25" t="inlineStr">
        <is>
          <t>750ml</t>
        </is>
      </c>
    </row>
    <row r="515">
      <c r="A515" s="25" t="n">
        <v>626210</v>
      </c>
      <c r="B515" s="25" t="inlineStr">
        <is>
          <t>750ml</t>
        </is>
      </c>
    </row>
    <row r="516">
      <c r="A516" s="25" t="n">
        <v>281314</v>
      </c>
      <c r="B516" s="25" t="inlineStr">
        <is>
          <t>750ml</t>
        </is>
      </c>
    </row>
    <row r="517">
      <c r="A517" s="25" t="n">
        <v>47863</v>
      </c>
      <c r="B517" s="25" t="inlineStr">
        <is>
          <t>375ml</t>
        </is>
      </c>
    </row>
    <row r="518">
      <c r="A518" s="25" t="n">
        <v>64912</v>
      </c>
      <c r="B518" s="25" t="inlineStr">
        <is>
          <t>200ml</t>
        </is>
      </c>
    </row>
    <row r="519">
      <c r="A519" s="25" t="n">
        <v>744205</v>
      </c>
      <c r="B519" s="25" t="inlineStr">
        <is>
          <t>750ml</t>
        </is>
      </c>
    </row>
    <row r="520">
      <c r="A520" s="25" t="n">
        <v>728632</v>
      </c>
      <c r="B520" s="25" t="inlineStr">
        <is>
          <t>750ml</t>
        </is>
      </c>
    </row>
    <row r="521">
      <c r="A521" s="25" t="n">
        <v>583804</v>
      </c>
      <c r="B521" s="25" t="inlineStr">
        <is>
          <t>500ml</t>
        </is>
      </c>
    </row>
    <row r="522">
      <c r="A522" s="25" t="n">
        <v>630803</v>
      </c>
      <c r="B522" s="25" t="inlineStr">
        <is>
          <t>1.5L</t>
        </is>
      </c>
    </row>
    <row r="523">
      <c r="A523" s="25" t="n">
        <v>86886</v>
      </c>
      <c r="B523" s="25" t="inlineStr">
        <is>
          <t>750ml</t>
        </is>
      </c>
    </row>
    <row r="524">
      <c r="A524" s="25" t="n">
        <v>88931</v>
      </c>
      <c r="B524" s="25" t="inlineStr">
        <is>
          <t>750ml</t>
        </is>
      </c>
    </row>
    <row r="525">
      <c r="A525" s="25" t="n">
        <v>511040</v>
      </c>
      <c r="B525" s="25" t="inlineStr">
        <is>
          <t>750ml</t>
        </is>
      </c>
    </row>
    <row r="526">
      <c r="A526" s="25" t="n">
        <v>31473</v>
      </c>
      <c r="B526" s="25" t="inlineStr">
        <is>
          <t>1.75L</t>
        </is>
      </c>
    </row>
    <row r="527">
      <c r="A527" s="25" t="n">
        <v>547141</v>
      </c>
      <c r="B527" s="25" t="inlineStr">
        <is>
          <t>3L</t>
        </is>
      </c>
    </row>
    <row r="528">
      <c r="A528" s="25" t="n">
        <v>443959</v>
      </c>
      <c r="B528" s="25" t="inlineStr">
        <is>
          <t>750ml</t>
        </is>
      </c>
    </row>
    <row r="529">
      <c r="A529" s="25" t="n">
        <v>5105</v>
      </c>
      <c r="B529" s="25" t="inlineStr">
        <is>
          <t>750ml</t>
        </is>
      </c>
    </row>
    <row r="530">
      <c r="A530" s="25" t="n">
        <v>38169</v>
      </c>
      <c r="B530" s="25" t="inlineStr">
        <is>
          <t>750ml</t>
        </is>
      </c>
    </row>
    <row r="531">
      <c r="A531" s="25" t="n">
        <v>41306</v>
      </c>
      <c r="B531" s="25" t="inlineStr">
        <is>
          <t>750ml</t>
        </is>
      </c>
    </row>
    <row r="532">
      <c r="A532" s="25" t="n">
        <v>723550</v>
      </c>
      <c r="B532" s="25" t="inlineStr">
        <is>
          <t>750ml</t>
        </is>
      </c>
    </row>
    <row r="533">
      <c r="A533" s="25" t="n">
        <v>100433</v>
      </c>
      <c r="B533" s="25" t="inlineStr">
        <is>
          <t>750ml</t>
        </is>
      </c>
    </row>
    <row r="534">
      <c r="A534" s="25" t="n">
        <v>894427</v>
      </c>
      <c r="B534" s="25" t="inlineStr">
        <is>
          <t>750ml</t>
        </is>
      </c>
    </row>
    <row r="535">
      <c r="A535" s="25" t="n">
        <v>475046</v>
      </c>
      <c r="B535" s="25" t="inlineStr">
        <is>
          <t>750ml</t>
        </is>
      </c>
    </row>
    <row r="536">
      <c r="A536" s="25" t="n">
        <v>89139</v>
      </c>
      <c r="B536" s="25" t="inlineStr">
        <is>
          <t>750ml</t>
        </is>
      </c>
    </row>
    <row r="537">
      <c r="A537" s="25" t="n">
        <v>38171</v>
      </c>
      <c r="B537" s="25" t="inlineStr">
        <is>
          <t>1L</t>
        </is>
      </c>
    </row>
    <row r="538">
      <c r="A538" s="25" t="n">
        <v>444572</v>
      </c>
      <c r="B538" s="25" t="inlineStr">
        <is>
          <t>3L</t>
        </is>
      </c>
    </row>
    <row r="539">
      <c r="A539" s="25" t="n">
        <v>544078</v>
      </c>
      <c r="B539" s="25" t="inlineStr">
        <is>
          <t>750ml</t>
        </is>
      </c>
    </row>
    <row r="540">
      <c r="A540" s="25" t="n">
        <v>513365</v>
      </c>
      <c r="B540" s="25" t="inlineStr">
        <is>
          <t>1.5L</t>
        </is>
      </c>
    </row>
    <row r="541">
      <c r="A541" s="25" t="n">
        <v>69946</v>
      </c>
      <c r="B541" s="25" t="inlineStr">
        <is>
          <t>750ml</t>
        </is>
      </c>
    </row>
    <row r="542">
      <c r="A542" s="25" t="n">
        <v>460943</v>
      </c>
      <c r="B542" s="25" t="inlineStr">
        <is>
          <t>750ml</t>
        </is>
      </c>
    </row>
    <row r="543">
      <c r="A543" s="25" t="n">
        <v>469525</v>
      </c>
      <c r="B543" s="25" t="inlineStr">
        <is>
          <t>1.5L</t>
        </is>
      </c>
    </row>
    <row r="544">
      <c r="A544" s="25" t="n">
        <v>425956</v>
      </c>
      <c r="B544" s="25" t="inlineStr">
        <is>
          <t>750ml</t>
        </is>
      </c>
    </row>
    <row r="545">
      <c r="A545" s="25" t="n">
        <v>44568</v>
      </c>
      <c r="B545" s="25" t="inlineStr">
        <is>
          <t>750ml</t>
        </is>
      </c>
    </row>
    <row r="546">
      <c r="A546" s="25" t="n">
        <v>731971</v>
      </c>
      <c r="B546" s="25" t="inlineStr">
        <is>
          <t>750ml</t>
        </is>
      </c>
    </row>
    <row r="547">
      <c r="A547" s="25" t="n">
        <v>86739</v>
      </c>
      <c r="B547" s="25" t="inlineStr">
        <is>
          <t>50ml</t>
        </is>
      </c>
    </row>
    <row r="548">
      <c r="A548" s="25" t="n">
        <v>59162</v>
      </c>
      <c r="B548" s="25" t="inlineStr">
        <is>
          <t>1.75L</t>
        </is>
      </c>
    </row>
    <row r="549">
      <c r="A549" s="25" t="n">
        <v>420684</v>
      </c>
      <c r="B549" s="25" t="inlineStr">
        <is>
          <t>750ml</t>
        </is>
      </c>
    </row>
    <row r="550">
      <c r="A550" s="25" t="n">
        <v>34163</v>
      </c>
      <c r="B550" s="25" t="inlineStr">
        <is>
          <t>200ml</t>
        </is>
      </c>
    </row>
    <row r="551">
      <c r="A551" s="25" t="n">
        <v>101675</v>
      </c>
      <c r="B551" s="25" t="inlineStr">
        <is>
          <t>750ml</t>
        </is>
      </c>
    </row>
    <row r="552">
      <c r="A552" s="25" t="n">
        <v>548992</v>
      </c>
      <c r="B552" s="25" t="inlineStr">
        <is>
          <t>750ml</t>
        </is>
      </c>
    </row>
    <row r="553">
      <c r="A553" s="25" t="n">
        <v>63204</v>
      </c>
      <c r="B553" s="25" t="inlineStr">
        <is>
          <t>355ml</t>
        </is>
      </c>
    </row>
    <row r="554">
      <c r="A554" s="25" t="n">
        <v>53218</v>
      </c>
      <c r="B554" s="25" t="inlineStr">
        <is>
          <t>1.75L</t>
        </is>
      </c>
    </row>
    <row r="555">
      <c r="A555" s="25" t="n">
        <v>18352</v>
      </c>
      <c r="B555" s="25" t="inlineStr">
        <is>
          <t>750ml</t>
        </is>
      </c>
    </row>
    <row r="556">
      <c r="A556" s="25" t="n">
        <v>512640</v>
      </c>
      <c r="B556" s="25" t="inlineStr">
        <is>
          <t>750ml</t>
        </is>
      </c>
    </row>
    <row r="557">
      <c r="A557" s="25" t="n">
        <v>18858</v>
      </c>
      <c r="B557" s="25" t="inlineStr">
        <is>
          <t>1.75L</t>
        </is>
      </c>
    </row>
    <row r="558">
      <c r="A558" s="25" t="n">
        <v>35902</v>
      </c>
      <c r="B558" s="25" t="inlineStr">
        <is>
          <t>1L</t>
        </is>
      </c>
    </row>
    <row r="559">
      <c r="A559" s="25" t="n">
        <v>101302</v>
      </c>
      <c r="B559" s="25" t="inlineStr">
        <is>
          <t>750ml</t>
        </is>
      </c>
    </row>
    <row r="560">
      <c r="A560" s="25" t="n">
        <v>26480</v>
      </c>
      <c r="B560" s="25" t="inlineStr">
        <is>
          <t>750ml</t>
        </is>
      </c>
    </row>
    <row r="561">
      <c r="A561" s="25" t="n">
        <v>10836</v>
      </c>
      <c r="B561" s="25" t="inlineStr">
        <is>
          <t>750ml</t>
        </is>
      </c>
    </row>
    <row r="562">
      <c r="A562" s="25" t="n">
        <v>882388</v>
      </c>
      <c r="B562" s="25" t="inlineStr">
        <is>
          <t>375ml</t>
        </is>
      </c>
    </row>
    <row r="563">
      <c r="A563" s="25" t="n">
        <v>52199</v>
      </c>
      <c r="B563" s="25" t="inlineStr">
        <is>
          <t>100ml</t>
        </is>
      </c>
    </row>
    <row r="564">
      <c r="A564" s="25" t="n">
        <v>34004</v>
      </c>
      <c r="B564" s="25" t="inlineStr">
        <is>
          <t>375ml</t>
        </is>
      </c>
    </row>
    <row r="565">
      <c r="A565" s="25" t="n">
        <v>43036</v>
      </c>
      <c r="B565" s="25" t="inlineStr">
        <is>
          <t>750ml</t>
        </is>
      </c>
    </row>
    <row r="566">
      <c r="A566" s="25" t="n">
        <v>722381</v>
      </c>
      <c r="B566" s="25" t="inlineStr">
        <is>
          <t>750ml</t>
        </is>
      </c>
    </row>
    <row r="567">
      <c r="A567" s="25" t="n">
        <v>461310</v>
      </c>
      <c r="B567" s="25" t="inlineStr">
        <is>
          <t>3L</t>
        </is>
      </c>
    </row>
    <row r="568">
      <c r="A568" s="25" t="n">
        <v>40313</v>
      </c>
      <c r="B568" s="25" t="inlineStr">
        <is>
          <t>1.75L</t>
        </is>
      </c>
    </row>
    <row r="569">
      <c r="A569" s="25" t="n">
        <v>710925</v>
      </c>
      <c r="B569" s="25" t="inlineStr">
        <is>
          <t>375ml</t>
        </is>
      </c>
    </row>
    <row r="570">
      <c r="A570" s="25" t="n">
        <v>499476</v>
      </c>
      <c r="B570" s="25" t="inlineStr">
        <is>
          <t>750ml</t>
        </is>
      </c>
    </row>
    <row r="571">
      <c r="A571" s="25" t="n">
        <v>74166</v>
      </c>
      <c r="B571" s="25" t="inlineStr">
        <is>
          <t>750ml</t>
        </is>
      </c>
    </row>
    <row r="572">
      <c r="A572" s="25" t="n">
        <v>5327</v>
      </c>
      <c r="B572" s="25" t="inlineStr">
        <is>
          <t>1L</t>
        </is>
      </c>
    </row>
    <row r="573">
      <c r="A573" s="25" t="n">
        <v>73065</v>
      </c>
      <c r="B573" s="25" t="inlineStr">
        <is>
          <t>750ml</t>
        </is>
      </c>
    </row>
    <row r="574">
      <c r="A574" s="25" t="n">
        <v>80526</v>
      </c>
      <c r="B574" s="25" t="inlineStr">
        <is>
          <t>750ml</t>
        </is>
      </c>
    </row>
    <row r="575">
      <c r="A575" s="25" t="n">
        <v>290910</v>
      </c>
      <c r="B575" s="25" t="inlineStr">
        <is>
          <t>750ml</t>
        </is>
      </c>
    </row>
    <row r="576">
      <c r="A576" s="25" t="n">
        <v>354315</v>
      </c>
      <c r="B576" s="25" t="inlineStr">
        <is>
          <t>750ml</t>
        </is>
      </c>
    </row>
    <row r="577">
      <c r="A577" s="25" t="n">
        <v>103126</v>
      </c>
      <c r="B577" s="25" t="inlineStr">
        <is>
          <t>750ml</t>
        </is>
      </c>
    </row>
    <row r="578">
      <c r="A578" s="25" t="n">
        <v>441976</v>
      </c>
      <c r="B578" s="25" t="inlineStr">
        <is>
          <t>750ml</t>
        </is>
      </c>
    </row>
    <row r="579">
      <c r="A579" s="25" t="n">
        <v>78292</v>
      </c>
      <c r="B579" s="25" t="inlineStr">
        <is>
          <t>50ml</t>
        </is>
      </c>
    </row>
    <row r="580">
      <c r="A580" s="25" t="n">
        <v>520085</v>
      </c>
      <c r="B580" s="25" t="inlineStr">
        <is>
          <t>750ml</t>
        </is>
      </c>
    </row>
    <row r="581">
      <c r="A581" s="25" t="n">
        <v>40046</v>
      </c>
      <c r="B581" s="25" t="inlineStr">
        <is>
          <t>750ml</t>
        </is>
      </c>
    </row>
    <row r="582">
      <c r="A582" s="25" t="n">
        <v>34747</v>
      </c>
      <c r="B582" s="25" t="inlineStr">
        <is>
          <t>1L</t>
        </is>
      </c>
    </row>
    <row r="583">
      <c r="A583" s="25" t="n">
        <v>10846</v>
      </c>
      <c r="B583" s="25" t="inlineStr">
        <is>
          <t>750ml</t>
        </is>
      </c>
    </row>
    <row r="584">
      <c r="A584" s="25" t="n">
        <v>17916</v>
      </c>
      <c r="B584" s="25" t="inlineStr">
        <is>
          <t>750ml</t>
        </is>
      </c>
    </row>
    <row r="585">
      <c r="A585" s="25" t="n">
        <v>58908</v>
      </c>
      <c r="B585" s="25" t="inlineStr">
        <is>
          <t>200ml</t>
        </is>
      </c>
    </row>
    <row r="586">
      <c r="A586" s="25" t="n">
        <v>88558</v>
      </c>
      <c r="B586" s="25" t="inlineStr">
        <is>
          <t>1.75L</t>
        </is>
      </c>
    </row>
    <row r="587">
      <c r="A587" s="25" t="n">
        <v>87411</v>
      </c>
      <c r="B587" s="25" t="inlineStr">
        <is>
          <t>50ml</t>
        </is>
      </c>
    </row>
    <row r="588">
      <c r="A588" s="25" t="n">
        <v>25616</v>
      </c>
      <c r="B588" s="25" t="inlineStr">
        <is>
          <t>750ml</t>
        </is>
      </c>
    </row>
    <row r="589">
      <c r="A589" s="25" t="n">
        <v>17632</v>
      </c>
      <c r="B589" s="25" t="inlineStr">
        <is>
          <t>750ml</t>
        </is>
      </c>
    </row>
    <row r="590">
      <c r="A590" s="25" t="n">
        <v>355800</v>
      </c>
      <c r="B590" s="25" t="inlineStr">
        <is>
          <t>750ml</t>
        </is>
      </c>
    </row>
    <row r="591">
      <c r="A591" s="25" t="n">
        <v>4084</v>
      </c>
      <c r="B591" s="25" t="inlineStr">
        <is>
          <t>750ml</t>
        </is>
      </c>
    </row>
    <row r="592">
      <c r="A592" s="25" t="n">
        <v>418340</v>
      </c>
      <c r="B592" s="25" t="inlineStr">
        <is>
          <t>750ml</t>
        </is>
      </c>
    </row>
    <row r="593">
      <c r="A593" s="25" t="n">
        <v>28944</v>
      </c>
      <c r="B593" s="25" t="inlineStr">
        <is>
          <t>500ml</t>
        </is>
      </c>
    </row>
    <row r="594">
      <c r="A594" s="25" t="n">
        <v>66518</v>
      </c>
      <c r="B594" s="25" t="inlineStr">
        <is>
          <t>750ml</t>
        </is>
      </c>
    </row>
    <row r="595">
      <c r="A595" s="25" t="n">
        <v>483110</v>
      </c>
      <c r="B595" s="25" t="inlineStr">
        <is>
          <t>3L</t>
        </is>
      </c>
    </row>
    <row r="596">
      <c r="A596" s="25" t="n">
        <v>568907</v>
      </c>
      <c r="B596" s="25" t="inlineStr">
        <is>
          <t>3L</t>
        </is>
      </c>
    </row>
    <row r="597">
      <c r="A597" s="25" t="n">
        <v>77709</v>
      </c>
      <c r="B597" s="25" t="inlineStr">
        <is>
          <t>750ml</t>
        </is>
      </c>
    </row>
    <row r="598">
      <c r="A598" s="25" t="n">
        <v>88187</v>
      </c>
      <c r="B598" s="25" t="inlineStr">
        <is>
          <t>1L</t>
        </is>
      </c>
    </row>
    <row r="599">
      <c r="A599" s="25" t="n">
        <v>632831</v>
      </c>
      <c r="B599" s="25" t="inlineStr">
        <is>
          <t>750ml</t>
        </is>
      </c>
    </row>
    <row r="600">
      <c r="A600" s="25" t="n">
        <v>22102</v>
      </c>
      <c r="B600" s="25" t="inlineStr">
        <is>
          <t>750ml</t>
        </is>
      </c>
    </row>
    <row r="601">
      <c r="A601" s="25" t="n">
        <v>606500</v>
      </c>
      <c r="B601" s="25" t="inlineStr">
        <is>
          <t>750ml</t>
        </is>
      </c>
    </row>
    <row r="602">
      <c r="A602" s="25" t="n">
        <v>499278</v>
      </c>
      <c r="B602" s="25" t="inlineStr">
        <is>
          <t>750ml</t>
        </is>
      </c>
    </row>
    <row r="603">
      <c r="A603" s="25" t="n">
        <v>463550</v>
      </c>
      <c r="B603" s="25" t="inlineStr">
        <is>
          <t>750ml</t>
        </is>
      </c>
    </row>
    <row r="604">
      <c r="A604" s="25" t="n">
        <v>413340</v>
      </c>
      <c r="B604" s="25" t="inlineStr">
        <is>
          <t>750ml</t>
        </is>
      </c>
    </row>
    <row r="605">
      <c r="A605" s="25" t="n">
        <v>8047</v>
      </c>
      <c r="B605" s="25" t="inlineStr">
        <is>
          <t>1L</t>
        </is>
      </c>
    </row>
    <row r="606">
      <c r="A606" s="25" t="n">
        <v>89230</v>
      </c>
      <c r="B606" s="25" t="inlineStr">
        <is>
          <t>750ml</t>
        </is>
      </c>
    </row>
    <row r="607">
      <c r="A607" s="25" t="n">
        <v>43831</v>
      </c>
      <c r="B607" s="25" t="inlineStr">
        <is>
          <t>200ml</t>
        </is>
      </c>
    </row>
    <row r="608">
      <c r="A608" s="25" t="n">
        <v>16516</v>
      </c>
      <c r="B608" s="25" t="inlineStr">
        <is>
          <t>750ml</t>
        </is>
      </c>
    </row>
    <row r="609">
      <c r="A609" s="25" t="n">
        <v>101792</v>
      </c>
      <c r="B609" s="25" t="inlineStr">
        <is>
          <t>750ml</t>
        </is>
      </c>
    </row>
    <row r="610">
      <c r="A610" s="25" t="n">
        <v>18196</v>
      </c>
      <c r="B610" s="25" t="inlineStr">
        <is>
          <t>750ml</t>
        </is>
      </c>
    </row>
    <row r="611">
      <c r="A611" s="25" t="n">
        <v>42166</v>
      </c>
      <c r="B611" s="25" t="inlineStr">
        <is>
          <t>750ml</t>
        </is>
      </c>
    </row>
    <row r="612">
      <c r="A612" s="25" t="n">
        <v>87702</v>
      </c>
      <c r="B612" s="25" t="inlineStr">
        <is>
          <t>750ml</t>
        </is>
      </c>
    </row>
    <row r="613">
      <c r="A613" s="25" t="n">
        <v>443422</v>
      </c>
      <c r="B613" s="25" t="inlineStr">
        <is>
          <t>750ml</t>
        </is>
      </c>
    </row>
    <row r="614">
      <c r="A614" s="25" t="n">
        <v>20364</v>
      </c>
      <c r="B614" s="25" t="inlineStr">
        <is>
          <t>375ml</t>
        </is>
      </c>
    </row>
    <row r="615">
      <c r="A615" s="25" t="n">
        <v>42851</v>
      </c>
      <c r="B615" s="25" t="inlineStr">
        <is>
          <t>750ml</t>
        </is>
      </c>
    </row>
    <row r="616">
      <c r="A616" s="25" t="n">
        <v>429975</v>
      </c>
      <c r="B616" s="25" t="inlineStr">
        <is>
          <t>1.5L</t>
        </is>
      </c>
    </row>
    <row r="617">
      <c r="A617" s="25" t="n">
        <v>485491</v>
      </c>
      <c r="B617" s="25" t="inlineStr">
        <is>
          <t>750ml</t>
        </is>
      </c>
    </row>
    <row r="618">
      <c r="A618" s="25" t="n">
        <v>536954</v>
      </c>
      <c r="B618" s="25" t="inlineStr">
        <is>
          <t>750ml</t>
        </is>
      </c>
    </row>
    <row r="619">
      <c r="A619" s="25" t="n">
        <v>80419</v>
      </c>
      <c r="B619" s="25" t="inlineStr">
        <is>
          <t>750ml</t>
        </is>
      </c>
    </row>
    <row r="620">
      <c r="A620" s="25" t="n">
        <v>548680</v>
      </c>
      <c r="B620" s="25" t="inlineStr">
        <is>
          <t>750ml</t>
        </is>
      </c>
    </row>
    <row r="621">
      <c r="A621" s="25" t="n">
        <v>64867</v>
      </c>
      <c r="B621" s="25" t="inlineStr">
        <is>
          <t>1L</t>
        </is>
      </c>
    </row>
    <row r="622">
      <c r="A622" s="25" t="n">
        <v>77309</v>
      </c>
      <c r="B622" s="25" t="inlineStr">
        <is>
          <t>750ml</t>
        </is>
      </c>
    </row>
    <row r="623">
      <c r="A623" s="25" t="n">
        <v>44259</v>
      </c>
      <c r="B623" s="25" t="inlineStr">
        <is>
          <t>1.75L</t>
        </is>
      </c>
    </row>
    <row r="624">
      <c r="A624" s="25" t="n">
        <v>58868</v>
      </c>
      <c r="B624" s="25" t="inlineStr">
        <is>
          <t>1.75L</t>
        </is>
      </c>
    </row>
    <row r="625">
      <c r="A625" s="25" t="n">
        <v>99174</v>
      </c>
      <c r="B625" s="25" t="inlineStr">
        <is>
          <t>750ml</t>
        </is>
      </c>
    </row>
    <row r="626">
      <c r="A626" s="25" t="n">
        <v>19224</v>
      </c>
      <c r="B626" s="25" t="inlineStr">
        <is>
          <t>375ml</t>
        </is>
      </c>
    </row>
    <row r="627">
      <c r="A627" s="25" t="n">
        <v>37993</v>
      </c>
      <c r="B627" s="25" t="inlineStr">
        <is>
          <t>200ml</t>
        </is>
      </c>
    </row>
    <row r="628">
      <c r="A628" s="25" t="n">
        <v>729155</v>
      </c>
      <c r="B628" s="25" t="inlineStr">
        <is>
          <t>750ml</t>
        </is>
      </c>
    </row>
    <row r="629">
      <c r="A629" s="25" t="n">
        <v>22154</v>
      </c>
      <c r="B629" s="25" t="inlineStr">
        <is>
          <t>375ml</t>
        </is>
      </c>
    </row>
    <row r="630">
      <c r="A630" s="25" t="n">
        <v>97727</v>
      </c>
      <c r="B630" s="25" t="inlineStr">
        <is>
          <t>187ml</t>
        </is>
      </c>
    </row>
    <row r="631">
      <c r="A631" s="25" t="n">
        <v>643024</v>
      </c>
      <c r="B631" s="25" t="inlineStr">
        <is>
          <t>1.5L</t>
        </is>
      </c>
    </row>
    <row r="632">
      <c r="A632" s="25" t="n">
        <v>630596</v>
      </c>
      <c r="B632" s="25" t="inlineStr">
        <is>
          <t>750ml</t>
        </is>
      </c>
    </row>
    <row r="633">
      <c r="A633" s="25" t="n">
        <v>450074</v>
      </c>
      <c r="B633" s="25" t="inlineStr">
        <is>
          <t>750ml</t>
        </is>
      </c>
    </row>
    <row r="634">
      <c r="A634" s="25" t="n">
        <v>10805</v>
      </c>
      <c r="B634" s="25" t="inlineStr">
        <is>
          <t>375ml</t>
        </is>
      </c>
    </row>
    <row r="635">
      <c r="A635" s="25" t="n">
        <v>18103</v>
      </c>
      <c r="B635" s="25" t="inlineStr">
        <is>
          <t>1.75L</t>
        </is>
      </c>
    </row>
    <row r="636">
      <c r="A636" s="25" t="n">
        <v>40729</v>
      </c>
      <c r="B636" s="25" t="inlineStr">
        <is>
          <t>1.75L</t>
        </is>
      </c>
    </row>
    <row r="637">
      <c r="A637" s="25" t="n">
        <v>64030</v>
      </c>
      <c r="B637" s="25" t="inlineStr">
        <is>
          <t>750ml</t>
        </is>
      </c>
    </row>
    <row r="638">
      <c r="A638" s="25" t="n">
        <v>445305</v>
      </c>
      <c r="B638" s="25" t="inlineStr">
        <is>
          <t>3L</t>
        </is>
      </c>
    </row>
    <row r="639">
      <c r="A639" s="25" t="n">
        <v>40195</v>
      </c>
      <c r="B639" s="25" t="inlineStr">
        <is>
          <t>1.75L</t>
        </is>
      </c>
    </row>
    <row r="640">
      <c r="A640" s="25" t="n">
        <v>499200</v>
      </c>
      <c r="B640" s="25" t="inlineStr">
        <is>
          <t>750ml</t>
        </is>
      </c>
    </row>
    <row r="641">
      <c r="A641" s="25" t="n">
        <v>88285</v>
      </c>
      <c r="B641" s="25" t="inlineStr">
        <is>
          <t>100ml</t>
        </is>
      </c>
    </row>
    <row r="642">
      <c r="A642" s="25" t="n">
        <v>63530</v>
      </c>
      <c r="B642" s="25" t="inlineStr">
        <is>
          <t>1.75L</t>
        </is>
      </c>
    </row>
    <row r="643">
      <c r="A643" s="25" t="n">
        <v>101914</v>
      </c>
      <c r="B643" s="25" t="inlineStr">
        <is>
          <t>50ml</t>
        </is>
      </c>
    </row>
    <row r="644">
      <c r="A644" s="25" t="n">
        <v>402908</v>
      </c>
      <c r="B644" s="25" t="inlineStr">
        <is>
          <t>3L</t>
        </is>
      </c>
    </row>
    <row r="645">
      <c r="A645" s="25" t="n">
        <v>282730</v>
      </c>
      <c r="B645" s="25" t="inlineStr">
        <is>
          <t>750ml</t>
        </is>
      </c>
    </row>
    <row r="646">
      <c r="A646" s="25" t="n">
        <v>468020</v>
      </c>
      <c r="B646" s="25" t="inlineStr">
        <is>
          <t>750ml</t>
        </is>
      </c>
    </row>
    <row r="647">
      <c r="A647" s="25" t="n">
        <v>77230</v>
      </c>
      <c r="B647" s="25" t="inlineStr">
        <is>
          <t>750ml</t>
        </is>
      </c>
    </row>
    <row r="648">
      <c r="A648" s="25" t="n">
        <v>86675</v>
      </c>
      <c r="B648" s="25" t="inlineStr">
        <is>
          <t>100ml</t>
        </is>
      </c>
    </row>
    <row r="649">
      <c r="A649" s="25" t="n">
        <v>460445</v>
      </c>
      <c r="B649" s="25" t="inlineStr">
        <is>
          <t>750ml</t>
        </is>
      </c>
    </row>
    <row r="650">
      <c r="A650" s="25" t="n">
        <v>450800</v>
      </c>
      <c r="B650" s="25" t="inlineStr">
        <is>
          <t>750ml</t>
        </is>
      </c>
    </row>
    <row r="651">
      <c r="A651" s="25" t="n">
        <v>67081</v>
      </c>
      <c r="B651" s="25" t="inlineStr">
        <is>
          <t>100ml</t>
        </is>
      </c>
    </row>
    <row r="652">
      <c r="A652" s="25" t="n">
        <v>41827</v>
      </c>
      <c r="B652" s="25" t="inlineStr">
        <is>
          <t>1L</t>
        </is>
      </c>
    </row>
    <row r="653">
      <c r="A653" s="25" t="n">
        <v>484818</v>
      </c>
      <c r="B653" s="25" t="inlineStr">
        <is>
          <t>750ml</t>
        </is>
      </c>
    </row>
    <row r="654">
      <c r="A654" s="25" t="n">
        <v>73757</v>
      </c>
      <c r="B654" s="25" t="inlineStr">
        <is>
          <t>1.75L</t>
        </is>
      </c>
    </row>
    <row r="655">
      <c r="A655" s="25" t="n">
        <v>28890</v>
      </c>
      <c r="B655" s="25" t="inlineStr">
        <is>
          <t>750ml</t>
        </is>
      </c>
    </row>
    <row r="656">
      <c r="A656" s="25" t="n">
        <v>460677</v>
      </c>
      <c r="B656" s="25" t="inlineStr">
        <is>
          <t>750ml</t>
        </is>
      </c>
    </row>
    <row r="657">
      <c r="A657" s="25" t="n">
        <v>87043</v>
      </c>
      <c r="B657" s="25" t="inlineStr">
        <is>
          <t>750ml</t>
        </is>
      </c>
    </row>
    <row r="658">
      <c r="A658" s="25" t="n">
        <v>444105</v>
      </c>
      <c r="B658" s="25" t="inlineStr">
        <is>
          <t>750ml</t>
        </is>
      </c>
    </row>
    <row r="659">
      <c r="A659" s="25" t="n">
        <v>809140</v>
      </c>
      <c r="B659" s="25" t="inlineStr">
        <is>
          <t>1.5L</t>
        </is>
      </c>
    </row>
    <row r="660">
      <c r="A660" s="25" t="n">
        <v>667550</v>
      </c>
      <c r="B660" s="25" t="inlineStr">
        <is>
          <t>750ml</t>
        </is>
      </c>
    </row>
    <row r="661">
      <c r="A661" s="25" t="n">
        <v>87484</v>
      </c>
      <c r="B661" s="25" t="inlineStr">
        <is>
          <t>375ml</t>
        </is>
      </c>
    </row>
    <row r="662">
      <c r="A662" s="25" t="n">
        <v>544096</v>
      </c>
      <c r="B662" s="25" t="inlineStr">
        <is>
          <t>3L</t>
        </is>
      </c>
    </row>
    <row r="663">
      <c r="A663" s="25" t="n">
        <v>812812</v>
      </c>
      <c r="B663" s="25" t="inlineStr">
        <is>
          <t>375ml</t>
        </is>
      </c>
    </row>
    <row r="664">
      <c r="A664" s="25" t="n">
        <v>78166</v>
      </c>
      <c r="B664" s="25" t="inlineStr">
        <is>
          <t>750ml</t>
        </is>
      </c>
    </row>
    <row r="665">
      <c r="A665" s="25" t="n">
        <v>73200</v>
      </c>
      <c r="B665" s="25" t="inlineStr">
        <is>
          <t>750ml</t>
        </is>
      </c>
    </row>
    <row r="666">
      <c r="A666" s="25" t="n">
        <v>523995</v>
      </c>
      <c r="B666" s="25" t="inlineStr">
        <is>
          <t>750ml</t>
        </is>
      </c>
    </row>
    <row r="667">
      <c r="A667" s="25" t="n">
        <v>457420</v>
      </c>
      <c r="B667" s="25" t="inlineStr">
        <is>
          <t>750ml</t>
        </is>
      </c>
    </row>
    <row r="668">
      <c r="A668" s="25" t="n">
        <v>100358</v>
      </c>
      <c r="B668" s="25" t="inlineStr">
        <is>
          <t>50ml</t>
        </is>
      </c>
    </row>
    <row r="669">
      <c r="A669" s="25" t="n">
        <v>32216</v>
      </c>
      <c r="B669" s="25" t="inlineStr">
        <is>
          <t>750ml</t>
        </is>
      </c>
    </row>
    <row r="670">
      <c r="A670" s="25" t="n">
        <v>33707</v>
      </c>
      <c r="B670" s="25" t="inlineStr">
        <is>
          <t>375ml</t>
        </is>
      </c>
    </row>
    <row r="671">
      <c r="A671" s="25" t="n">
        <v>548200</v>
      </c>
      <c r="B671" s="25" t="inlineStr">
        <is>
          <t>750ml</t>
        </is>
      </c>
    </row>
    <row r="672">
      <c r="A672" s="25" t="n">
        <v>547291</v>
      </c>
      <c r="B672" s="25" t="inlineStr">
        <is>
          <t>750ml</t>
        </is>
      </c>
    </row>
    <row r="673">
      <c r="A673" s="25" t="n">
        <v>41940</v>
      </c>
      <c r="B673" s="25" t="inlineStr">
        <is>
          <t>750ml</t>
        </is>
      </c>
    </row>
    <row r="674">
      <c r="A674" s="25" t="n">
        <v>43330</v>
      </c>
      <c r="B674" s="25" t="inlineStr">
        <is>
          <t>1.75L</t>
        </is>
      </c>
    </row>
    <row r="675">
      <c r="A675" s="25" t="n">
        <v>26828</v>
      </c>
      <c r="B675" s="25" t="inlineStr">
        <is>
          <t>1.75L</t>
        </is>
      </c>
    </row>
    <row r="676">
      <c r="A676" s="25" t="n">
        <v>88819</v>
      </c>
      <c r="B676" s="25" t="inlineStr">
        <is>
          <t>750ml</t>
        </is>
      </c>
    </row>
    <row r="677">
      <c r="A677" s="25" t="n">
        <v>607160</v>
      </c>
      <c r="B677" s="25" t="inlineStr">
        <is>
          <t>1.5L</t>
        </is>
      </c>
    </row>
    <row r="678">
      <c r="A678" s="25" t="n">
        <v>478120</v>
      </c>
      <c r="B678" s="25" t="inlineStr">
        <is>
          <t>750ml</t>
        </is>
      </c>
    </row>
    <row r="679">
      <c r="A679" s="25" t="n">
        <v>64085</v>
      </c>
      <c r="B679" s="25" t="inlineStr">
        <is>
          <t>750ml</t>
        </is>
      </c>
    </row>
    <row r="680">
      <c r="A680" s="25" t="n">
        <v>551880</v>
      </c>
      <c r="B680" s="25" t="inlineStr">
        <is>
          <t>750ml</t>
        </is>
      </c>
    </row>
    <row r="681">
      <c r="A681" s="25" t="n">
        <v>642101</v>
      </c>
      <c r="B681" s="25" t="inlineStr">
        <is>
          <t>187ml</t>
        </is>
      </c>
    </row>
    <row r="682">
      <c r="A682" s="25" t="n">
        <v>424389</v>
      </c>
      <c r="B682" s="25" t="inlineStr">
        <is>
          <t>750ml</t>
        </is>
      </c>
    </row>
    <row r="683">
      <c r="A683" s="25" t="n">
        <v>84224</v>
      </c>
      <c r="B683" s="25" t="inlineStr">
        <is>
          <t>50ml</t>
        </is>
      </c>
    </row>
    <row r="684">
      <c r="A684" s="25" t="n">
        <v>37397</v>
      </c>
      <c r="B684" s="25" t="inlineStr">
        <is>
          <t>750ml</t>
        </is>
      </c>
    </row>
    <row r="685">
      <c r="A685" s="25" t="n">
        <v>47786</v>
      </c>
      <c r="B685" s="25" t="inlineStr">
        <is>
          <t>750ml</t>
        </is>
      </c>
    </row>
    <row r="686">
      <c r="A686" s="25" t="n">
        <v>57051</v>
      </c>
      <c r="B686" s="25" t="inlineStr">
        <is>
          <t>1L</t>
        </is>
      </c>
    </row>
    <row r="687">
      <c r="A687" s="25" t="n">
        <v>87401</v>
      </c>
      <c r="B687" s="25" t="inlineStr">
        <is>
          <t>50ml</t>
        </is>
      </c>
    </row>
    <row r="688">
      <c r="A688" s="25" t="n">
        <v>35418</v>
      </c>
      <c r="B688" s="25" t="inlineStr">
        <is>
          <t>1.75L</t>
        </is>
      </c>
    </row>
    <row r="689">
      <c r="A689" s="25" t="n">
        <v>464475</v>
      </c>
      <c r="B689" s="25" t="inlineStr">
        <is>
          <t>750ml</t>
        </is>
      </c>
    </row>
    <row r="690">
      <c r="A690" s="25" t="n">
        <v>88209</v>
      </c>
      <c r="B690" s="25" t="inlineStr">
        <is>
          <t>750ml</t>
        </is>
      </c>
    </row>
    <row r="691">
      <c r="A691" s="25" t="n">
        <v>456525</v>
      </c>
      <c r="B691" s="25" t="inlineStr">
        <is>
          <t>750ml</t>
        </is>
      </c>
    </row>
    <row r="692">
      <c r="A692" s="25" t="n">
        <v>507050</v>
      </c>
      <c r="B692" s="25" t="inlineStr">
        <is>
          <t>750ml</t>
        </is>
      </c>
    </row>
    <row r="693">
      <c r="A693" s="25" t="n">
        <v>11343</v>
      </c>
      <c r="B693" s="25" t="inlineStr">
        <is>
          <t>200ml</t>
        </is>
      </c>
    </row>
    <row r="694">
      <c r="A694" s="25" t="n">
        <v>506198</v>
      </c>
      <c r="B694" s="25" t="inlineStr">
        <is>
          <t>750ml</t>
        </is>
      </c>
    </row>
    <row r="695">
      <c r="A695" s="25" t="n">
        <v>582138</v>
      </c>
      <c r="B695" s="25" t="inlineStr">
        <is>
          <t>750ml</t>
        </is>
      </c>
    </row>
    <row r="696">
      <c r="A696" s="25" t="n">
        <v>34076</v>
      </c>
      <c r="B696" s="25" t="inlineStr">
        <is>
          <t>750ml</t>
        </is>
      </c>
    </row>
    <row r="697">
      <c r="A697" s="25" t="n">
        <v>40598</v>
      </c>
      <c r="B697" s="25" t="inlineStr">
        <is>
          <t>375ml</t>
        </is>
      </c>
    </row>
    <row r="698">
      <c r="A698" s="25" t="n">
        <v>35953</v>
      </c>
      <c r="B698" s="25" t="inlineStr">
        <is>
          <t>750ml</t>
        </is>
      </c>
    </row>
    <row r="699">
      <c r="A699" s="25" t="n">
        <v>52318</v>
      </c>
      <c r="B699" s="25" t="inlineStr">
        <is>
          <t>1.75L</t>
        </is>
      </c>
    </row>
    <row r="700">
      <c r="A700" s="25" t="n">
        <v>86249</v>
      </c>
      <c r="B700" s="25" t="inlineStr">
        <is>
          <t>1.75L</t>
        </is>
      </c>
    </row>
    <row r="701">
      <c r="A701" s="25" t="n">
        <v>367678</v>
      </c>
      <c r="B701" s="25" t="inlineStr">
        <is>
          <t>750ml</t>
        </is>
      </c>
    </row>
    <row r="702">
      <c r="A702" s="25" t="n">
        <v>421342</v>
      </c>
      <c r="B702" s="25" t="inlineStr">
        <is>
          <t>750ml</t>
        </is>
      </c>
    </row>
    <row r="703">
      <c r="A703" s="25" t="n">
        <v>582307</v>
      </c>
      <c r="B703" s="25" t="inlineStr">
        <is>
          <t>750ml</t>
        </is>
      </c>
    </row>
    <row r="704">
      <c r="A704" s="25" t="n">
        <v>71827</v>
      </c>
      <c r="B704" s="25" t="inlineStr">
        <is>
          <t>1L</t>
        </is>
      </c>
    </row>
    <row r="705">
      <c r="A705" s="25" t="n">
        <v>39884</v>
      </c>
      <c r="B705" s="25" t="inlineStr">
        <is>
          <t>375ml</t>
        </is>
      </c>
    </row>
    <row r="706">
      <c r="A706" s="25" t="n">
        <v>20375</v>
      </c>
      <c r="B706" s="25" t="inlineStr">
        <is>
          <t>750ml</t>
        </is>
      </c>
    </row>
    <row r="707">
      <c r="A707" s="25" t="n">
        <v>20374</v>
      </c>
      <c r="B707" s="25" t="inlineStr">
        <is>
          <t>750ml</t>
        </is>
      </c>
    </row>
    <row r="708">
      <c r="A708" s="25" t="n">
        <v>768681</v>
      </c>
      <c r="B708" s="25" t="inlineStr">
        <is>
          <t>750ml</t>
        </is>
      </c>
    </row>
    <row r="709">
      <c r="A709" s="25" t="n">
        <v>10624</v>
      </c>
      <c r="B709" s="25" t="inlineStr">
        <is>
          <t>375ml</t>
        </is>
      </c>
    </row>
    <row r="710">
      <c r="A710" s="25" t="n">
        <v>16096</v>
      </c>
      <c r="B710" s="25" t="inlineStr">
        <is>
          <t>750ml</t>
        </is>
      </c>
    </row>
    <row r="711">
      <c r="A711" s="25" t="n">
        <v>506209</v>
      </c>
      <c r="B711" s="25" t="inlineStr">
        <is>
          <t>750ml</t>
        </is>
      </c>
    </row>
    <row r="712">
      <c r="A712" s="25" t="n">
        <v>88540</v>
      </c>
      <c r="B712" s="25" t="inlineStr">
        <is>
          <t>750ml</t>
        </is>
      </c>
    </row>
    <row r="713">
      <c r="A713" s="25" t="n">
        <v>80522</v>
      </c>
      <c r="B713" s="25" t="inlineStr">
        <is>
          <t>750ml</t>
        </is>
      </c>
    </row>
    <row r="714">
      <c r="A714" s="25" t="n">
        <v>741403</v>
      </c>
      <c r="B714" s="25" t="inlineStr">
        <is>
          <t>750ml</t>
        </is>
      </c>
    </row>
    <row r="715">
      <c r="A715" s="25" t="n">
        <v>355525</v>
      </c>
      <c r="B715" s="25" t="inlineStr">
        <is>
          <t>1.5L</t>
        </is>
      </c>
    </row>
    <row r="716">
      <c r="A716" s="25" t="n">
        <v>497364</v>
      </c>
      <c r="B716" s="25" t="inlineStr">
        <is>
          <t>750ml</t>
        </is>
      </c>
    </row>
    <row r="717">
      <c r="A717" s="25" t="n">
        <v>403606</v>
      </c>
      <c r="B717" s="25" t="inlineStr">
        <is>
          <t>750ml</t>
        </is>
      </c>
    </row>
    <row r="718">
      <c r="A718" s="25" t="n">
        <v>43145</v>
      </c>
      <c r="B718" s="25" t="inlineStr">
        <is>
          <t>750ml</t>
        </is>
      </c>
    </row>
    <row r="719">
      <c r="A719" s="25" t="n">
        <v>416736</v>
      </c>
      <c r="B719" s="25" t="inlineStr">
        <is>
          <t>1.5L</t>
        </is>
      </c>
    </row>
    <row r="720">
      <c r="A720" s="25" t="n">
        <v>359037</v>
      </c>
      <c r="B720" s="25" t="inlineStr">
        <is>
          <t>750ml</t>
        </is>
      </c>
    </row>
    <row r="721">
      <c r="A721" s="25" t="n">
        <v>56198</v>
      </c>
      <c r="B721" s="25" t="inlineStr">
        <is>
          <t>1.75L</t>
        </is>
      </c>
    </row>
    <row r="722">
      <c r="A722" s="25" t="n">
        <v>77683</v>
      </c>
      <c r="B722" s="25" t="inlineStr">
        <is>
          <t>750ml</t>
        </is>
      </c>
    </row>
    <row r="723">
      <c r="A723" s="25" t="n">
        <v>89233</v>
      </c>
      <c r="B723" s="25" t="inlineStr">
        <is>
          <t>750ml</t>
        </is>
      </c>
    </row>
    <row r="724">
      <c r="A724" s="25" t="n">
        <v>68584</v>
      </c>
      <c r="B724" s="25" t="inlineStr">
        <is>
          <t>750ml</t>
        </is>
      </c>
    </row>
    <row r="725">
      <c r="A725" s="25" t="n">
        <v>496350</v>
      </c>
      <c r="B725" s="25" t="inlineStr">
        <is>
          <t>750ml</t>
        </is>
      </c>
    </row>
    <row r="726">
      <c r="A726" s="25" t="n">
        <v>54136</v>
      </c>
      <c r="B726" s="25" t="inlineStr">
        <is>
          <t>750ml</t>
        </is>
      </c>
    </row>
    <row r="727">
      <c r="A727" s="25" t="n">
        <v>89497</v>
      </c>
      <c r="B727" s="25" t="inlineStr">
        <is>
          <t>1L</t>
        </is>
      </c>
    </row>
    <row r="728">
      <c r="A728" s="25" t="n">
        <v>471243</v>
      </c>
      <c r="B728" s="25" t="inlineStr">
        <is>
          <t>750ml</t>
        </is>
      </c>
    </row>
    <row r="729">
      <c r="A729" s="25" t="n">
        <v>73988</v>
      </c>
      <c r="B729" s="25" t="inlineStr">
        <is>
          <t>1.75L</t>
        </is>
      </c>
    </row>
    <row r="730">
      <c r="A730" s="25" t="n">
        <v>84197</v>
      </c>
      <c r="B730" s="25" t="inlineStr">
        <is>
          <t>50ml</t>
        </is>
      </c>
    </row>
    <row r="731">
      <c r="A731" s="25" t="n">
        <v>12885</v>
      </c>
      <c r="B731" s="25" t="inlineStr">
        <is>
          <t>750ml</t>
        </is>
      </c>
    </row>
    <row r="732">
      <c r="A732" s="25" t="n">
        <v>13634</v>
      </c>
      <c r="B732" s="25" t="inlineStr">
        <is>
          <t>375ml</t>
        </is>
      </c>
    </row>
    <row r="733">
      <c r="A733" s="25" t="n">
        <v>67155</v>
      </c>
      <c r="B733" s="25" t="inlineStr">
        <is>
          <t>100ml</t>
        </is>
      </c>
    </row>
    <row r="734">
      <c r="A734" s="25" t="n">
        <v>49189</v>
      </c>
      <c r="B734" s="25" t="inlineStr">
        <is>
          <t>200ml</t>
        </is>
      </c>
    </row>
    <row r="735">
      <c r="A735" s="25" t="n">
        <v>485410</v>
      </c>
      <c r="B735" s="25" t="inlineStr">
        <is>
          <t>750ml</t>
        </is>
      </c>
    </row>
    <row r="736">
      <c r="A736" s="25" t="n">
        <v>460676</v>
      </c>
      <c r="B736" s="25" t="inlineStr">
        <is>
          <t>750ml</t>
        </is>
      </c>
    </row>
    <row r="737">
      <c r="A737" s="25" t="n">
        <v>467272</v>
      </c>
      <c r="B737" s="25" t="inlineStr">
        <is>
          <t>750ml</t>
        </is>
      </c>
    </row>
    <row r="738">
      <c r="A738" s="25" t="n">
        <v>73052</v>
      </c>
      <c r="B738" s="25" t="inlineStr">
        <is>
          <t>375ml</t>
        </is>
      </c>
    </row>
    <row r="739">
      <c r="A739" s="25" t="n">
        <v>477740</v>
      </c>
      <c r="B739" s="25" t="inlineStr">
        <is>
          <t>750ml</t>
        </is>
      </c>
    </row>
    <row r="740">
      <c r="A740" s="25" t="n">
        <v>58836</v>
      </c>
      <c r="B740" s="25" t="inlineStr">
        <is>
          <t>750ml</t>
        </is>
      </c>
    </row>
    <row r="741">
      <c r="A741" s="25" t="n">
        <v>80524</v>
      </c>
      <c r="B741" s="25" t="inlineStr">
        <is>
          <t>750ml</t>
        </is>
      </c>
    </row>
    <row r="742">
      <c r="A742" s="25" t="n">
        <v>22249</v>
      </c>
      <c r="B742" s="25" t="inlineStr">
        <is>
          <t>1L</t>
        </is>
      </c>
    </row>
    <row r="743">
      <c r="A743" s="25" t="n">
        <v>39101</v>
      </c>
      <c r="B743" s="25" t="inlineStr">
        <is>
          <t>750ml</t>
        </is>
      </c>
    </row>
    <row r="744">
      <c r="A744" s="25" t="n">
        <v>19070</v>
      </c>
      <c r="B744" s="25" t="inlineStr">
        <is>
          <t>1.75L</t>
        </is>
      </c>
    </row>
    <row r="745">
      <c r="A745" s="25" t="n">
        <v>4374</v>
      </c>
      <c r="B745" s="25" t="inlineStr">
        <is>
          <t>750ml</t>
        </is>
      </c>
    </row>
    <row r="746">
      <c r="A746" s="25" t="n">
        <v>100979</v>
      </c>
      <c r="B746" s="25" t="inlineStr">
        <is>
          <t>750ml</t>
        </is>
      </c>
    </row>
    <row r="747">
      <c r="A747" s="25" t="n">
        <v>36870</v>
      </c>
      <c r="B747" s="25" t="inlineStr">
        <is>
          <t>1L</t>
        </is>
      </c>
    </row>
    <row r="748">
      <c r="A748" s="25" t="n">
        <v>460941</v>
      </c>
      <c r="B748" s="25" t="inlineStr">
        <is>
          <t>750ml</t>
        </is>
      </c>
    </row>
    <row r="749">
      <c r="A749" s="25" t="n">
        <v>813911</v>
      </c>
      <c r="B749" s="25" t="inlineStr">
        <is>
          <t>750ml</t>
        </is>
      </c>
    </row>
    <row r="750">
      <c r="A750" s="25" t="n">
        <v>456618</v>
      </c>
      <c r="B750" s="25" t="inlineStr">
        <is>
          <t>750ml</t>
        </is>
      </c>
    </row>
    <row r="751">
      <c r="A751" s="25" t="n">
        <v>638085</v>
      </c>
      <c r="B751" s="25" t="inlineStr">
        <is>
          <t>750ml</t>
        </is>
      </c>
    </row>
    <row r="752">
      <c r="A752" s="25" t="n">
        <v>419955</v>
      </c>
      <c r="B752" s="25" t="inlineStr">
        <is>
          <t>750ml</t>
        </is>
      </c>
    </row>
    <row r="753">
      <c r="A753" s="25" t="n">
        <v>101347</v>
      </c>
      <c r="B753" s="25" t="inlineStr">
        <is>
          <t>750ml</t>
        </is>
      </c>
    </row>
    <row r="754">
      <c r="A754" s="25" t="n">
        <v>445302</v>
      </c>
      <c r="B754" s="25" t="inlineStr">
        <is>
          <t>3L</t>
        </is>
      </c>
    </row>
    <row r="755">
      <c r="A755" s="25" t="n">
        <v>10006</v>
      </c>
      <c r="B755" s="25" t="inlineStr">
        <is>
          <t>750ml</t>
        </is>
      </c>
    </row>
    <row r="756">
      <c r="A756" s="25" t="n">
        <v>72532</v>
      </c>
      <c r="B756" s="25" t="inlineStr">
        <is>
          <t>750ml</t>
        </is>
      </c>
    </row>
    <row r="757">
      <c r="A757" s="25" t="n">
        <v>292012</v>
      </c>
      <c r="B757" s="25" t="inlineStr">
        <is>
          <t>750ml</t>
        </is>
      </c>
    </row>
    <row r="758">
      <c r="A758" s="25" t="n">
        <v>33284</v>
      </c>
      <c r="B758" s="25" t="inlineStr">
        <is>
          <t>200ml</t>
        </is>
      </c>
    </row>
    <row r="759">
      <c r="A759" s="25" t="n">
        <v>34425</v>
      </c>
      <c r="B759" s="25" t="inlineStr">
        <is>
          <t>1.75L</t>
        </is>
      </c>
    </row>
    <row r="760">
      <c r="A760" s="25" t="n">
        <v>88142</v>
      </c>
      <c r="B760" s="25" t="inlineStr">
        <is>
          <t>750ml</t>
        </is>
      </c>
    </row>
    <row r="761">
      <c r="A761" s="25" t="n">
        <v>20158</v>
      </c>
      <c r="B761" s="25" t="inlineStr">
        <is>
          <t>750ml</t>
        </is>
      </c>
    </row>
    <row r="762">
      <c r="A762" s="25" t="n">
        <v>66725</v>
      </c>
      <c r="B762" s="25" t="inlineStr">
        <is>
          <t>750ml</t>
        </is>
      </c>
    </row>
    <row r="763">
      <c r="A763" s="25" t="n">
        <v>562287</v>
      </c>
      <c r="B763" s="25" t="inlineStr">
        <is>
          <t>750ml</t>
        </is>
      </c>
    </row>
    <row r="764">
      <c r="A764" s="25" t="n">
        <v>429915</v>
      </c>
      <c r="B764" s="25" t="inlineStr">
        <is>
          <t>750ml</t>
        </is>
      </c>
    </row>
    <row r="765">
      <c r="A765" s="25" t="n">
        <v>452973</v>
      </c>
      <c r="B765" s="25" t="inlineStr">
        <is>
          <t>750ml</t>
        </is>
      </c>
    </row>
    <row r="766">
      <c r="A766" s="25" t="n">
        <v>448800</v>
      </c>
      <c r="B766" s="25" t="inlineStr">
        <is>
          <t>750ml</t>
        </is>
      </c>
    </row>
    <row r="767">
      <c r="A767" s="25" t="n">
        <v>101868</v>
      </c>
      <c r="B767" s="25" t="inlineStr">
        <is>
          <t>50ml</t>
        </is>
      </c>
    </row>
    <row r="768">
      <c r="A768" s="25" t="n">
        <v>64715</v>
      </c>
      <c r="B768" s="25" t="inlineStr">
        <is>
          <t>1L</t>
        </is>
      </c>
    </row>
    <row r="769">
      <c r="A769" s="25" t="n">
        <v>77897</v>
      </c>
      <c r="B769" s="25" t="inlineStr">
        <is>
          <t>750ml</t>
        </is>
      </c>
    </row>
    <row r="770">
      <c r="A770" s="25" t="n">
        <v>65259</v>
      </c>
      <c r="B770" s="25" t="inlineStr">
        <is>
          <t>200ml</t>
        </is>
      </c>
    </row>
    <row r="771">
      <c r="A771" s="25" t="n">
        <v>443277</v>
      </c>
      <c r="B771" s="25" t="inlineStr">
        <is>
          <t>1.5L</t>
        </is>
      </c>
    </row>
    <row r="772">
      <c r="A772" s="25" t="n">
        <v>67037</v>
      </c>
      <c r="B772" s="25" t="inlineStr">
        <is>
          <t>100ml</t>
        </is>
      </c>
    </row>
    <row r="773">
      <c r="A773" s="25" t="n">
        <v>89946</v>
      </c>
      <c r="B773" s="25" t="inlineStr">
        <is>
          <t>750ml</t>
        </is>
      </c>
    </row>
    <row r="774">
      <c r="A774" s="25" t="n">
        <v>41006</v>
      </c>
      <c r="B774" s="25" t="inlineStr">
        <is>
          <t>750ml</t>
        </is>
      </c>
    </row>
    <row r="775">
      <c r="A775" s="25" t="n">
        <v>882200</v>
      </c>
      <c r="B775" s="25" t="inlineStr">
        <is>
          <t>750ml</t>
        </is>
      </c>
    </row>
    <row r="776">
      <c r="A776" s="25" t="n">
        <v>18568</v>
      </c>
      <c r="B776" s="25" t="inlineStr">
        <is>
          <t>1.75L</t>
        </is>
      </c>
    </row>
    <row r="777">
      <c r="A777" s="25" t="n">
        <v>402916</v>
      </c>
      <c r="B777" s="25" t="inlineStr">
        <is>
          <t>500ml</t>
        </is>
      </c>
    </row>
    <row r="778">
      <c r="A778" s="25" t="n">
        <v>28864</v>
      </c>
      <c r="B778" s="25" t="inlineStr">
        <is>
          <t>375ml</t>
        </is>
      </c>
    </row>
    <row r="779">
      <c r="A779" s="25" t="n">
        <v>4867</v>
      </c>
      <c r="B779" s="25" t="inlineStr">
        <is>
          <t>1L</t>
        </is>
      </c>
    </row>
    <row r="780">
      <c r="A780" s="25" t="n">
        <v>769925</v>
      </c>
      <c r="B780" s="25" t="inlineStr">
        <is>
          <t>750ml</t>
        </is>
      </c>
    </row>
    <row r="781">
      <c r="A781" s="25" t="n">
        <v>498105</v>
      </c>
      <c r="B781" s="25" t="inlineStr">
        <is>
          <t>750ml</t>
        </is>
      </c>
    </row>
    <row r="782">
      <c r="A782" s="25" t="n">
        <v>424318</v>
      </c>
      <c r="B782" s="25" t="inlineStr">
        <is>
          <t>750ml</t>
        </is>
      </c>
    </row>
    <row r="783">
      <c r="A783" s="25" t="n">
        <v>589370</v>
      </c>
      <c r="B783" s="25" t="inlineStr">
        <is>
          <t>750ml</t>
        </is>
      </c>
    </row>
    <row r="784">
      <c r="A784" s="25" t="n">
        <v>445100</v>
      </c>
      <c r="B784" s="25" t="inlineStr">
        <is>
          <t>750ml</t>
        </is>
      </c>
    </row>
    <row r="785">
      <c r="A785" s="25" t="n">
        <v>632853</v>
      </c>
      <c r="B785" s="25" t="inlineStr">
        <is>
          <t>750ml</t>
        </is>
      </c>
    </row>
    <row r="786">
      <c r="A786" s="25" t="n">
        <v>92354</v>
      </c>
      <c r="B786" s="25" t="inlineStr">
        <is>
          <t>750ml</t>
        </is>
      </c>
    </row>
    <row r="787">
      <c r="A787" s="25" t="n">
        <v>812776</v>
      </c>
      <c r="B787" s="25" t="inlineStr">
        <is>
          <t>750ml</t>
        </is>
      </c>
    </row>
    <row r="788">
      <c r="A788" s="25" t="n">
        <v>87701</v>
      </c>
      <c r="B788" s="25" t="inlineStr">
        <is>
          <t>750ml</t>
        </is>
      </c>
    </row>
    <row r="789">
      <c r="A789" s="25" t="n">
        <v>735154</v>
      </c>
      <c r="B789" s="25" t="inlineStr">
        <is>
          <t>750ml</t>
        </is>
      </c>
    </row>
    <row r="790">
      <c r="A790" s="25" t="n">
        <v>88367</v>
      </c>
      <c r="B790" s="25" t="inlineStr">
        <is>
          <t>750ml</t>
        </is>
      </c>
    </row>
    <row r="791">
      <c r="A791" s="25" t="n">
        <v>489290</v>
      </c>
      <c r="B791" s="25" t="inlineStr">
        <is>
          <t>750ml</t>
        </is>
      </c>
    </row>
    <row r="792">
      <c r="A792" s="25" t="n">
        <v>626810</v>
      </c>
      <c r="B792" s="25" t="inlineStr">
        <is>
          <t>750ml</t>
        </is>
      </c>
    </row>
    <row r="793">
      <c r="A793" s="25" t="n">
        <v>348200</v>
      </c>
      <c r="B793" s="25" t="inlineStr">
        <is>
          <t>750ml</t>
        </is>
      </c>
    </row>
    <row r="794">
      <c r="A794" s="25" t="n">
        <v>84393</v>
      </c>
      <c r="B794" s="25" t="inlineStr">
        <is>
          <t>50ml</t>
        </is>
      </c>
    </row>
    <row r="795">
      <c r="A795" s="25" t="n">
        <v>42162</v>
      </c>
      <c r="B795" s="25" t="inlineStr">
        <is>
          <t>750ml</t>
        </is>
      </c>
    </row>
    <row r="796">
      <c r="A796" s="25" t="n">
        <v>30238</v>
      </c>
      <c r="B796" s="25" t="inlineStr">
        <is>
          <t>1.75L</t>
        </is>
      </c>
    </row>
    <row r="797">
      <c r="A797" s="25" t="n">
        <v>34546</v>
      </c>
      <c r="B797" s="25" t="inlineStr">
        <is>
          <t>750ml</t>
        </is>
      </c>
    </row>
    <row r="798">
      <c r="A798" s="25" t="n">
        <v>26589</v>
      </c>
      <c r="B798" s="25" t="inlineStr">
        <is>
          <t>1.75L</t>
        </is>
      </c>
    </row>
    <row r="799">
      <c r="A799" s="25" t="n">
        <v>451850</v>
      </c>
      <c r="B799" s="25" t="inlineStr">
        <is>
          <t>750ml</t>
        </is>
      </c>
    </row>
    <row r="800">
      <c r="A800" s="25" t="n">
        <v>37040</v>
      </c>
      <c r="B800" s="25" t="inlineStr">
        <is>
          <t>750ml</t>
        </is>
      </c>
    </row>
    <row r="801">
      <c r="A801" s="25" t="n">
        <v>74106</v>
      </c>
      <c r="B801" s="25" t="inlineStr">
        <is>
          <t>750ml</t>
        </is>
      </c>
    </row>
    <row r="802">
      <c r="A802" s="25" t="n">
        <v>86916</v>
      </c>
      <c r="B802" s="25" t="inlineStr">
        <is>
          <t>750ml</t>
        </is>
      </c>
    </row>
    <row r="803">
      <c r="A803" s="25" t="n">
        <v>20247</v>
      </c>
      <c r="B803" s="25" t="inlineStr">
        <is>
          <t>1L</t>
        </is>
      </c>
    </row>
    <row r="804">
      <c r="A804" s="25" t="n">
        <v>35086</v>
      </c>
      <c r="B804" s="25" t="inlineStr">
        <is>
          <t>750ml</t>
        </is>
      </c>
    </row>
    <row r="805">
      <c r="A805" s="25" t="n">
        <v>97833</v>
      </c>
      <c r="B805" s="25" t="inlineStr">
        <is>
          <t>750ml</t>
        </is>
      </c>
    </row>
    <row r="806">
      <c r="A806" s="25" t="n">
        <v>443951</v>
      </c>
      <c r="B806" s="25" t="inlineStr">
        <is>
          <t>375ml</t>
        </is>
      </c>
    </row>
    <row r="807">
      <c r="A807" s="25" t="n">
        <v>40926</v>
      </c>
      <c r="B807" s="25" t="inlineStr">
        <is>
          <t>750ml</t>
        </is>
      </c>
    </row>
    <row r="808">
      <c r="A808" s="25" t="n">
        <v>49254</v>
      </c>
      <c r="B808" s="25" t="inlineStr">
        <is>
          <t>375ml</t>
        </is>
      </c>
    </row>
    <row r="809">
      <c r="A809" s="25" t="n">
        <v>442581</v>
      </c>
      <c r="B809" s="25" t="inlineStr">
        <is>
          <t>187ml</t>
        </is>
      </c>
    </row>
    <row r="810">
      <c r="A810" s="25" t="n">
        <v>728789</v>
      </c>
      <c r="B810" s="25" t="inlineStr">
        <is>
          <t>187ml</t>
        </is>
      </c>
    </row>
    <row r="811">
      <c r="A811" s="25" t="n">
        <v>955252</v>
      </c>
      <c r="B811" s="25" t="inlineStr">
        <is>
          <t>750ml</t>
        </is>
      </c>
    </row>
    <row r="812">
      <c r="A812" s="25" t="n">
        <v>82844</v>
      </c>
      <c r="B812" s="25" t="inlineStr">
        <is>
          <t>375ml</t>
        </is>
      </c>
    </row>
    <row r="813">
      <c r="A813" s="25" t="n">
        <v>11296</v>
      </c>
      <c r="B813" s="25" t="inlineStr">
        <is>
          <t>750ml</t>
        </is>
      </c>
    </row>
    <row r="814">
      <c r="A814" s="25" t="n">
        <v>101434</v>
      </c>
      <c r="B814" s="25" t="inlineStr">
        <is>
          <t>100ml</t>
        </is>
      </c>
    </row>
    <row r="815">
      <c r="A815" s="25" t="n">
        <v>522236</v>
      </c>
      <c r="B815" s="25" t="inlineStr">
        <is>
          <t>750ml</t>
        </is>
      </c>
    </row>
    <row r="816">
      <c r="A816" s="25" t="n">
        <v>471239</v>
      </c>
      <c r="B816" s="25" t="inlineStr">
        <is>
          <t>750ml</t>
        </is>
      </c>
    </row>
    <row r="817">
      <c r="A817" s="25" t="n">
        <v>479330</v>
      </c>
      <c r="B817" s="25" t="inlineStr">
        <is>
          <t>750ml</t>
        </is>
      </c>
    </row>
    <row r="818">
      <c r="A818" s="25" t="n">
        <v>67178</v>
      </c>
      <c r="B818" s="25" t="inlineStr">
        <is>
          <t>375ml</t>
        </is>
      </c>
    </row>
    <row r="819">
      <c r="A819" s="25" t="n">
        <v>27079</v>
      </c>
      <c r="B819" s="25" t="inlineStr">
        <is>
          <t>750ml</t>
        </is>
      </c>
    </row>
    <row r="820">
      <c r="A820" s="25" t="n">
        <v>745412</v>
      </c>
      <c r="B820" s="25" t="inlineStr">
        <is>
          <t>187ml</t>
        </is>
      </c>
    </row>
    <row r="821">
      <c r="A821" s="25" t="n">
        <v>35780</v>
      </c>
      <c r="B821" s="25" t="inlineStr">
        <is>
          <t>750ml</t>
        </is>
      </c>
    </row>
    <row r="822">
      <c r="A822" s="25" t="n">
        <v>425611</v>
      </c>
      <c r="B822" s="25" t="inlineStr">
        <is>
          <t>1.5L</t>
        </is>
      </c>
    </row>
    <row r="823">
      <c r="A823" s="25" t="n">
        <v>751419</v>
      </c>
      <c r="B823" s="25" t="inlineStr">
        <is>
          <t>187ml</t>
        </is>
      </c>
    </row>
    <row r="824">
      <c r="A824" s="25" t="n">
        <v>89177</v>
      </c>
      <c r="B824" s="25" t="inlineStr">
        <is>
          <t>750ml</t>
        </is>
      </c>
    </row>
    <row r="825">
      <c r="A825" s="25" t="n">
        <v>564500</v>
      </c>
      <c r="B825" s="25" t="inlineStr">
        <is>
          <t>750ml</t>
        </is>
      </c>
    </row>
    <row r="826">
      <c r="A826" s="25" t="n">
        <v>80518</v>
      </c>
      <c r="B826" s="25" t="inlineStr">
        <is>
          <t>750ml</t>
        </is>
      </c>
    </row>
    <row r="827">
      <c r="A827" s="25" t="n">
        <v>888063</v>
      </c>
      <c r="B827" s="25" t="inlineStr">
        <is>
          <t>1.5L</t>
        </is>
      </c>
    </row>
    <row r="828">
      <c r="A828" s="25" t="n">
        <v>440457</v>
      </c>
      <c r="B828" s="25" t="inlineStr">
        <is>
          <t>5L</t>
        </is>
      </c>
    </row>
    <row r="829">
      <c r="A829" s="25" t="n">
        <v>547163</v>
      </c>
      <c r="B829" s="25" t="inlineStr">
        <is>
          <t>3L</t>
        </is>
      </c>
    </row>
    <row r="830">
      <c r="A830" s="25" t="n">
        <v>34880</v>
      </c>
      <c r="B830" s="25" t="inlineStr">
        <is>
          <t>750ml</t>
        </is>
      </c>
    </row>
    <row r="831">
      <c r="A831" s="25" t="n">
        <v>34919</v>
      </c>
      <c r="B831" s="25" t="inlineStr">
        <is>
          <t>1.75L</t>
        </is>
      </c>
    </row>
    <row r="832">
      <c r="A832" s="25" t="n">
        <v>625605</v>
      </c>
      <c r="B832" s="25" t="inlineStr">
        <is>
          <t>750ml</t>
        </is>
      </c>
    </row>
    <row r="833">
      <c r="A833" s="25" t="n">
        <v>771540</v>
      </c>
      <c r="B833" s="25" t="inlineStr">
        <is>
          <t>750ml</t>
        </is>
      </c>
    </row>
    <row r="834">
      <c r="A834" s="25" t="n">
        <v>5515</v>
      </c>
      <c r="B834" s="25" t="inlineStr">
        <is>
          <t>750ml</t>
        </is>
      </c>
    </row>
    <row r="835">
      <c r="A835" s="25" t="n">
        <v>17957</v>
      </c>
      <c r="B835" s="25" t="inlineStr">
        <is>
          <t>1L</t>
        </is>
      </c>
    </row>
    <row r="836">
      <c r="A836" s="25" t="n">
        <v>75198</v>
      </c>
      <c r="B836" s="25" t="inlineStr">
        <is>
          <t>750ml</t>
        </is>
      </c>
    </row>
    <row r="837">
      <c r="A837" s="25" t="n">
        <v>26608</v>
      </c>
      <c r="B837" s="25" t="inlineStr">
        <is>
          <t>1.75L</t>
        </is>
      </c>
    </row>
    <row r="838">
      <c r="A838" s="25" t="n">
        <v>507993</v>
      </c>
      <c r="B838" s="25" t="inlineStr">
        <is>
          <t>750ml</t>
        </is>
      </c>
    </row>
    <row r="839">
      <c r="A839" s="25" t="n">
        <v>721150</v>
      </c>
      <c r="B839" s="25" t="inlineStr">
        <is>
          <t>750ml</t>
        </is>
      </c>
    </row>
    <row r="840">
      <c r="A840" s="25" t="n">
        <v>633050</v>
      </c>
      <c r="B840" s="25" t="inlineStr">
        <is>
          <t>750ml</t>
        </is>
      </c>
    </row>
    <row r="841">
      <c r="A841" s="25" t="n">
        <v>420436</v>
      </c>
      <c r="B841" s="25" t="inlineStr">
        <is>
          <t>1.5L</t>
        </is>
      </c>
    </row>
    <row r="842">
      <c r="A842" s="25" t="n">
        <v>477884</v>
      </c>
      <c r="B842" s="25" t="inlineStr">
        <is>
          <t>750ml</t>
        </is>
      </c>
    </row>
    <row r="843">
      <c r="A843" s="25" t="n">
        <v>77740</v>
      </c>
      <c r="B843" s="25" t="inlineStr">
        <is>
          <t>750ml</t>
        </is>
      </c>
    </row>
    <row r="844">
      <c r="A844" s="25" t="n">
        <v>451752</v>
      </c>
      <c r="B844" s="25" t="inlineStr">
        <is>
          <t>750ml</t>
        </is>
      </c>
    </row>
    <row r="845">
      <c r="A845" s="25" t="n">
        <v>595105</v>
      </c>
      <c r="B845" s="25" t="inlineStr">
        <is>
          <t>750ml</t>
        </is>
      </c>
    </row>
    <row r="846">
      <c r="A846" s="25" t="n">
        <v>655150</v>
      </c>
      <c r="B846" s="25" t="inlineStr">
        <is>
          <t>3L</t>
        </is>
      </c>
    </row>
    <row r="847">
      <c r="A847" s="25" t="n">
        <v>504640</v>
      </c>
      <c r="B847" s="25" t="inlineStr">
        <is>
          <t>750ml</t>
        </is>
      </c>
    </row>
    <row r="848">
      <c r="A848" s="25" t="n">
        <v>15779</v>
      </c>
      <c r="B848" s="25" t="inlineStr">
        <is>
          <t>375ml</t>
        </is>
      </c>
    </row>
    <row r="849">
      <c r="A849" s="25" t="n">
        <v>65368</v>
      </c>
      <c r="B849" s="25" t="inlineStr">
        <is>
          <t>750ml</t>
        </is>
      </c>
    </row>
    <row r="850">
      <c r="A850" s="25" t="n">
        <v>359039</v>
      </c>
      <c r="B850" s="25" t="inlineStr">
        <is>
          <t>750ml</t>
        </is>
      </c>
    </row>
    <row r="851">
      <c r="A851" s="25" t="n">
        <v>36887</v>
      </c>
      <c r="B851" s="25" t="inlineStr">
        <is>
          <t>1L</t>
        </is>
      </c>
    </row>
    <row r="852">
      <c r="A852" s="25" t="n">
        <v>27682</v>
      </c>
      <c r="B852" s="25" t="inlineStr">
        <is>
          <t>750ml</t>
        </is>
      </c>
    </row>
    <row r="853">
      <c r="A853" s="25" t="n">
        <v>354254</v>
      </c>
      <c r="B853" s="25" t="inlineStr">
        <is>
          <t>750ml</t>
        </is>
      </c>
    </row>
    <row r="854">
      <c r="A854" s="25" t="n">
        <v>43237</v>
      </c>
      <c r="B854" s="25" t="inlineStr">
        <is>
          <t>750ml</t>
        </is>
      </c>
    </row>
    <row r="855">
      <c r="A855" s="25" t="n">
        <v>441974</v>
      </c>
      <c r="B855" s="25" t="inlineStr">
        <is>
          <t>250ml</t>
        </is>
      </c>
    </row>
    <row r="856">
      <c r="A856" s="25" t="n">
        <v>729201</v>
      </c>
      <c r="B856" s="25" t="inlineStr">
        <is>
          <t>750ml</t>
        </is>
      </c>
    </row>
    <row r="857">
      <c r="A857" s="25" t="n">
        <v>22209</v>
      </c>
      <c r="B857" s="25" t="inlineStr">
        <is>
          <t>50ml</t>
        </is>
      </c>
    </row>
    <row r="858">
      <c r="A858" s="25" t="n">
        <v>66293</v>
      </c>
      <c r="B858" s="25" t="inlineStr">
        <is>
          <t>375ml</t>
        </is>
      </c>
    </row>
    <row r="859">
      <c r="A859" s="25" t="n">
        <v>77774</v>
      </c>
      <c r="B859" s="25" t="inlineStr">
        <is>
          <t>1L</t>
        </is>
      </c>
    </row>
    <row r="860">
      <c r="A860" s="25" t="n">
        <v>370350</v>
      </c>
      <c r="B860" s="25" t="inlineStr">
        <is>
          <t>750ml</t>
        </is>
      </c>
    </row>
    <row r="861">
      <c r="A861" s="25" t="n">
        <v>40152</v>
      </c>
      <c r="B861" s="25" t="inlineStr">
        <is>
          <t>750ml</t>
        </is>
      </c>
    </row>
    <row r="862">
      <c r="A862" s="25" t="n">
        <v>39421</v>
      </c>
      <c r="B862" s="25" t="inlineStr">
        <is>
          <t>1.75L</t>
        </is>
      </c>
    </row>
    <row r="863">
      <c r="A863" s="25" t="n">
        <v>64034</v>
      </c>
      <c r="B863" s="25" t="inlineStr">
        <is>
          <t>750ml</t>
        </is>
      </c>
    </row>
    <row r="864">
      <c r="A864" s="25" t="n">
        <v>19029</v>
      </c>
      <c r="B864" s="25" t="inlineStr">
        <is>
          <t>375ml</t>
        </is>
      </c>
    </row>
    <row r="865">
      <c r="A865" s="25" t="n">
        <v>52598</v>
      </c>
      <c r="B865" s="25" t="inlineStr">
        <is>
          <t>1.75L</t>
        </is>
      </c>
    </row>
    <row r="866">
      <c r="A866" s="25" t="n">
        <v>65254</v>
      </c>
      <c r="B866" s="25" t="inlineStr">
        <is>
          <t>375ml</t>
        </is>
      </c>
    </row>
    <row r="867">
      <c r="A867" s="25" t="n">
        <v>515916</v>
      </c>
      <c r="B867" s="25" t="inlineStr">
        <is>
          <t>750ml</t>
        </is>
      </c>
    </row>
    <row r="868">
      <c r="A868" s="25" t="n">
        <v>39282</v>
      </c>
      <c r="B868" s="25" t="inlineStr">
        <is>
          <t>375ml</t>
        </is>
      </c>
    </row>
    <row r="869">
      <c r="A869" s="25" t="n">
        <v>441986</v>
      </c>
      <c r="B869" s="25" t="inlineStr">
        <is>
          <t>750ml</t>
        </is>
      </c>
    </row>
    <row r="870">
      <c r="A870" s="25" t="n">
        <v>44518</v>
      </c>
      <c r="B870" s="25" t="inlineStr">
        <is>
          <t>1.75L</t>
        </is>
      </c>
    </row>
    <row r="871">
      <c r="A871" s="25" t="n">
        <v>37067</v>
      </c>
      <c r="B871" s="25" t="inlineStr">
        <is>
          <t>1L</t>
        </is>
      </c>
    </row>
    <row r="872">
      <c r="A872" s="25" t="n">
        <v>34916</v>
      </c>
      <c r="B872" s="25" t="inlineStr">
        <is>
          <t>750ml</t>
        </is>
      </c>
    </row>
    <row r="873">
      <c r="A873" s="25" t="n">
        <v>413095</v>
      </c>
      <c r="B873" s="25" t="inlineStr">
        <is>
          <t>1.5L</t>
        </is>
      </c>
    </row>
    <row r="874">
      <c r="A874" s="25" t="n">
        <v>39864</v>
      </c>
      <c r="B874" s="25" t="inlineStr">
        <is>
          <t>375ml</t>
        </is>
      </c>
    </row>
    <row r="875">
      <c r="A875" s="25" t="n">
        <v>501957</v>
      </c>
      <c r="B875" s="25" t="inlineStr">
        <is>
          <t>750ml</t>
        </is>
      </c>
    </row>
    <row r="876">
      <c r="A876" s="25" t="n">
        <v>22199</v>
      </c>
      <c r="B876" s="25" t="inlineStr">
        <is>
          <t>750ml</t>
        </is>
      </c>
    </row>
    <row r="877">
      <c r="A877" s="25" t="n">
        <v>53206</v>
      </c>
      <c r="B877" s="25" t="inlineStr">
        <is>
          <t>750ml</t>
        </is>
      </c>
    </row>
    <row r="878">
      <c r="A878" s="25" t="n">
        <v>647230</v>
      </c>
      <c r="B878" s="25" t="inlineStr">
        <is>
          <t>1.5L</t>
        </is>
      </c>
    </row>
    <row r="879">
      <c r="A879" s="25" t="n">
        <v>768646</v>
      </c>
      <c r="B879" s="25" t="inlineStr">
        <is>
          <t>375ml</t>
        </is>
      </c>
    </row>
    <row r="880">
      <c r="A880" s="25" t="n">
        <v>89221</v>
      </c>
      <c r="B880" s="25" t="inlineStr">
        <is>
          <t>750ml</t>
        </is>
      </c>
    </row>
    <row r="881">
      <c r="A881" s="25" t="n">
        <v>15967</v>
      </c>
      <c r="B881" s="25" t="inlineStr">
        <is>
          <t>750ml</t>
        </is>
      </c>
    </row>
    <row r="882">
      <c r="A882" s="25" t="n">
        <v>87832</v>
      </c>
      <c r="B882" s="25" t="inlineStr">
        <is>
          <t>750ml</t>
        </is>
      </c>
    </row>
    <row r="883">
      <c r="A883" s="25" t="n">
        <v>40288</v>
      </c>
      <c r="B883" s="25" t="inlineStr">
        <is>
          <t>375ml</t>
        </is>
      </c>
    </row>
    <row r="884">
      <c r="A884" s="25" t="n">
        <v>88058</v>
      </c>
      <c r="B884" s="25" t="inlineStr">
        <is>
          <t>1.75L</t>
        </is>
      </c>
    </row>
    <row r="885">
      <c r="A885" s="25" t="n">
        <v>9278</v>
      </c>
      <c r="B885" s="25" t="inlineStr">
        <is>
          <t>1.75L</t>
        </is>
      </c>
    </row>
    <row r="886">
      <c r="A886" s="25" t="n">
        <v>25968</v>
      </c>
      <c r="B886" s="25" t="inlineStr">
        <is>
          <t>1.75L</t>
        </is>
      </c>
    </row>
    <row r="887">
      <c r="A887" s="25" t="n">
        <v>602520</v>
      </c>
      <c r="B887" s="25" t="inlineStr">
        <is>
          <t>750ml</t>
        </is>
      </c>
    </row>
    <row r="888">
      <c r="A888" s="25" t="n">
        <v>9432</v>
      </c>
      <c r="B888" s="25" t="inlineStr">
        <is>
          <t>1.75L</t>
        </is>
      </c>
    </row>
    <row r="889">
      <c r="A889" s="25" t="n">
        <v>284458</v>
      </c>
      <c r="B889" s="25" t="inlineStr">
        <is>
          <t>3L</t>
        </is>
      </c>
    </row>
    <row r="890">
      <c r="A890" s="25" t="n">
        <v>550805</v>
      </c>
      <c r="B890" s="25" t="inlineStr">
        <is>
          <t>750ml</t>
        </is>
      </c>
    </row>
    <row r="891">
      <c r="A891" s="25" t="n">
        <v>407766</v>
      </c>
      <c r="B891" s="25" t="inlineStr">
        <is>
          <t>750ml</t>
        </is>
      </c>
    </row>
    <row r="892">
      <c r="A892" s="25" t="n">
        <v>376970</v>
      </c>
      <c r="B892" s="25" t="inlineStr">
        <is>
          <t>750ml</t>
        </is>
      </c>
    </row>
    <row r="893">
      <c r="A893" s="25" t="n">
        <v>88979</v>
      </c>
      <c r="B893" s="25" t="inlineStr">
        <is>
          <t>750ml</t>
        </is>
      </c>
    </row>
    <row r="894">
      <c r="A894" s="25" t="n">
        <v>39420</v>
      </c>
      <c r="B894" s="25" t="inlineStr">
        <is>
          <t>750ml</t>
        </is>
      </c>
    </row>
    <row r="895">
      <c r="A895" s="25" t="n">
        <v>64755</v>
      </c>
      <c r="B895" s="25" t="inlineStr">
        <is>
          <t>750ml</t>
        </is>
      </c>
    </row>
    <row r="896">
      <c r="A896" s="25" t="n">
        <v>544098</v>
      </c>
      <c r="B896" s="25" t="inlineStr">
        <is>
          <t>3L</t>
        </is>
      </c>
    </row>
    <row r="897">
      <c r="A897" s="25" t="n">
        <v>451249</v>
      </c>
      <c r="B897" s="25" t="inlineStr">
        <is>
          <t>4L</t>
        </is>
      </c>
    </row>
    <row r="898">
      <c r="A898" s="25" t="n">
        <v>64138</v>
      </c>
      <c r="B898" s="25" t="inlineStr">
        <is>
          <t>1.75L</t>
        </is>
      </c>
    </row>
    <row r="899">
      <c r="A899" s="25" t="n">
        <v>635765</v>
      </c>
      <c r="B899" s="25" t="inlineStr">
        <is>
          <t>750ml</t>
        </is>
      </c>
    </row>
    <row r="900">
      <c r="A900" s="25" t="n">
        <v>19027</v>
      </c>
      <c r="B900" s="25" t="inlineStr">
        <is>
          <t>1L</t>
        </is>
      </c>
    </row>
    <row r="901">
      <c r="A901" s="25" t="n">
        <v>24174</v>
      </c>
      <c r="B901" s="25" t="inlineStr">
        <is>
          <t>375ml</t>
        </is>
      </c>
    </row>
    <row r="902">
      <c r="A902" s="25" t="n">
        <v>425542</v>
      </c>
      <c r="B902" s="25" t="inlineStr">
        <is>
          <t>1.5L</t>
        </is>
      </c>
    </row>
    <row r="903">
      <c r="A903" s="25" t="n">
        <v>28627</v>
      </c>
      <c r="B903" s="25" t="inlineStr">
        <is>
          <t>1L</t>
        </is>
      </c>
    </row>
    <row r="904">
      <c r="A904" s="25" t="n">
        <v>34164</v>
      </c>
      <c r="B904" s="25" t="inlineStr">
        <is>
          <t>200ml</t>
        </is>
      </c>
    </row>
    <row r="905">
      <c r="A905" s="25" t="n">
        <v>76413</v>
      </c>
      <c r="B905" s="25" t="inlineStr">
        <is>
          <t>750ml</t>
        </is>
      </c>
    </row>
    <row r="906">
      <c r="A906" s="25" t="n">
        <v>10784</v>
      </c>
      <c r="B906" s="25" t="inlineStr">
        <is>
          <t>750ml</t>
        </is>
      </c>
    </row>
    <row r="907">
      <c r="A907" s="25" t="n">
        <v>42703</v>
      </c>
      <c r="B907" s="25" t="inlineStr">
        <is>
          <t>750ml</t>
        </is>
      </c>
    </row>
    <row r="908">
      <c r="A908" s="25" t="n">
        <v>444232</v>
      </c>
      <c r="B908" s="25" t="inlineStr">
        <is>
          <t>1.5L</t>
        </is>
      </c>
    </row>
    <row r="909">
      <c r="A909" s="25" t="n">
        <v>888067</v>
      </c>
      <c r="B909" s="25" t="inlineStr">
        <is>
          <t>1.5L</t>
        </is>
      </c>
    </row>
    <row r="910">
      <c r="A910" s="25" t="n">
        <v>42396</v>
      </c>
      <c r="B910" s="25" t="inlineStr">
        <is>
          <t>750ml</t>
        </is>
      </c>
    </row>
    <row r="911">
      <c r="A911" s="25" t="n">
        <v>683344</v>
      </c>
      <c r="B911" s="25" t="inlineStr">
        <is>
          <t>187ml</t>
        </is>
      </c>
    </row>
    <row r="912">
      <c r="A912" s="25" t="n">
        <v>395461</v>
      </c>
      <c r="B912" s="25" t="inlineStr">
        <is>
          <t>750ml</t>
        </is>
      </c>
    </row>
    <row r="913">
      <c r="A913" s="25" t="n">
        <v>49187</v>
      </c>
      <c r="B913" s="25" t="inlineStr">
        <is>
          <t>1L</t>
        </is>
      </c>
    </row>
    <row r="914">
      <c r="A914" s="25" t="n">
        <v>73760</v>
      </c>
      <c r="B914" s="25" t="inlineStr">
        <is>
          <t>200ml</t>
        </is>
      </c>
    </row>
    <row r="915">
      <c r="A915" s="25" t="n">
        <v>886300</v>
      </c>
      <c r="B915" s="25" t="inlineStr">
        <is>
          <t>5L</t>
        </is>
      </c>
    </row>
    <row r="916">
      <c r="A916" s="25" t="n">
        <v>52581</v>
      </c>
      <c r="B916" s="25" t="inlineStr">
        <is>
          <t>375ml</t>
        </is>
      </c>
    </row>
    <row r="917">
      <c r="A917" s="25" t="n">
        <v>26942</v>
      </c>
      <c r="B917" s="25" t="inlineStr">
        <is>
          <t>750ml</t>
        </is>
      </c>
    </row>
    <row r="918">
      <c r="A918" s="25" t="n">
        <v>32238</v>
      </c>
      <c r="B918" s="25" t="inlineStr">
        <is>
          <t>1.75L</t>
        </is>
      </c>
    </row>
    <row r="919">
      <c r="A919" s="25" t="n">
        <v>28233</v>
      </c>
      <c r="B919" s="25" t="inlineStr">
        <is>
          <t>1L</t>
        </is>
      </c>
    </row>
    <row r="920">
      <c r="A920" s="25" t="n">
        <v>36966</v>
      </c>
      <c r="B920" s="25" t="inlineStr">
        <is>
          <t>100ml</t>
        </is>
      </c>
    </row>
    <row r="921">
      <c r="A921" s="25" t="n">
        <v>89576</v>
      </c>
      <c r="B921" s="25" t="inlineStr">
        <is>
          <t>750ml</t>
        </is>
      </c>
    </row>
    <row r="922">
      <c r="A922" s="25" t="n">
        <v>420686</v>
      </c>
      <c r="B922" s="25" t="inlineStr">
        <is>
          <t>750ml</t>
        </is>
      </c>
    </row>
    <row r="923">
      <c r="A923" s="25" t="n">
        <v>36576</v>
      </c>
      <c r="B923" s="25" t="inlineStr">
        <is>
          <t>750ml</t>
        </is>
      </c>
    </row>
    <row r="924">
      <c r="A924" s="25" t="n">
        <v>617490</v>
      </c>
      <c r="B924" s="25" t="inlineStr">
        <is>
          <t>750ml</t>
        </is>
      </c>
    </row>
    <row r="925">
      <c r="A925" s="25" t="n">
        <v>462102</v>
      </c>
      <c r="B925" s="25" t="inlineStr">
        <is>
          <t>750ml</t>
        </is>
      </c>
    </row>
    <row r="926">
      <c r="A926" s="25" t="n">
        <v>579770</v>
      </c>
      <c r="B926" s="25" t="inlineStr">
        <is>
          <t>750ml</t>
        </is>
      </c>
    </row>
    <row r="927">
      <c r="A927" s="25" t="n">
        <v>701905</v>
      </c>
      <c r="B927" s="25" t="inlineStr">
        <is>
          <t>750ml</t>
        </is>
      </c>
    </row>
    <row r="928">
      <c r="A928" s="25" t="n">
        <v>552030</v>
      </c>
      <c r="B928" s="25" t="inlineStr">
        <is>
          <t>4L</t>
        </is>
      </c>
    </row>
    <row r="929">
      <c r="A929" s="25" t="n">
        <v>466385</v>
      </c>
      <c r="B929" s="25" t="inlineStr">
        <is>
          <t>750ml</t>
        </is>
      </c>
    </row>
    <row r="930">
      <c r="A930" s="25" t="n">
        <v>77235</v>
      </c>
      <c r="B930" s="25" t="inlineStr">
        <is>
          <t>750ml</t>
        </is>
      </c>
    </row>
    <row r="931">
      <c r="A931" s="25" t="n">
        <v>480110</v>
      </c>
      <c r="B931" s="25" t="inlineStr">
        <is>
          <t>750ml</t>
        </is>
      </c>
    </row>
    <row r="932">
      <c r="A932" s="25" t="n">
        <v>57174</v>
      </c>
      <c r="B932" s="25" t="inlineStr">
        <is>
          <t>1.75L</t>
        </is>
      </c>
    </row>
    <row r="933">
      <c r="A933" s="25" t="n">
        <v>87416</v>
      </c>
      <c r="B933" s="25" t="inlineStr">
        <is>
          <t>750ml</t>
        </is>
      </c>
    </row>
    <row r="934">
      <c r="A934" s="25" t="n">
        <v>427810</v>
      </c>
      <c r="B934" s="25" t="inlineStr">
        <is>
          <t>750ml</t>
        </is>
      </c>
    </row>
    <row r="935">
      <c r="A935" s="25" t="n">
        <v>359029</v>
      </c>
      <c r="B935" s="25" t="inlineStr">
        <is>
          <t>750ml</t>
        </is>
      </c>
    </row>
    <row r="936">
      <c r="A936" s="25" t="n">
        <v>40715</v>
      </c>
      <c r="B936" s="25" t="inlineStr">
        <is>
          <t>1.75L</t>
        </is>
      </c>
    </row>
    <row r="937">
      <c r="A937" s="25" t="n">
        <v>564380</v>
      </c>
      <c r="B937" s="25" t="inlineStr">
        <is>
          <t>750ml</t>
        </is>
      </c>
    </row>
    <row r="938">
      <c r="A938" s="25" t="n">
        <v>74740</v>
      </c>
      <c r="B938" s="25" t="inlineStr">
        <is>
          <t>750ml</t>
        </is>
      </c>
    </row>
    <row r="939">
      <c r="A939" s="25" t="n">
        <v>809155</v>
      </c>
      <c r="B939" s="25" t="inlineStr">
        <is>
          <t>1.5L</t>
        </is>
      </c>
    </row>
    <row r="940">
      <c r="A940" s="25" t="n">
        <v>562812</v>
      </c>
      <c r="B940" s="25" t="inlineStr">
        <is>
          <t>750ml</t>
        </is>
      </c>
    </row>
    <row r="941">
      <c r="A941" s="25" t="n">
        <v>101729</v>
      </c>
      <c r="B941" s="25" t="inlineStr">
        <is>
          <t>750ml</t>
        </is>
      </c>
    </row>
    <row r="942">
      <c r="A942" s="25" t="n">
        <v>416377</v>
      </c>
      <c r="B942" s="25" t="inlineStr">
        <is>
          <t>750ml</t>
        </is>
      </c>
    </row>
    <row r="943">
      <c r="A943" s="25" t="n">
        <v>11366</v>
      </c>
      <c r="B943" s="25" t="inlineStr">
        <is>
          <t>750ml</t>
        </is>
      </c>
    </row>
    <row r="944">
      <c r="A944" s="25" t="n">
        <v>65451</v>
      </c>
      <c r="B944" s="25" t="inlineStr">
        <is>
          <t>750ml</t>
        </is>
      </c>
    </row>
    <row r="945">
      <c r="A945" s="25" t="n">
        <v>644402</v>
      </c>
      <c r="B945" s="25" t="inlineStr">
        <is>
          <t>3L</t>
        </is>
      </c>
    </row>
    <row r="946">
      <c r="A946" s="25" t="n">
        <v>882398</v>
      </c>
      <c r="B946" s="25" t="inlineStr">
        <is>
          <t>750ml</t>
        </is>
      </c>
    </row>
    <row r="947">
      <c r="A947" s="25" t="n">
        <v>491060</v>
      </c>
      <c r="B947" s="25" t="inlineStr">
        <is>
          <t>750ml</t>
        </is>
      </c>
    </row>
    <row r="948">
      <c r="A948" s="25" t="n">
        <v>551863</v>
      </c>
      <c r="B948" s="25" t="inlineStr">
        <is>
          <t>750ml</t>
        </is>
      </c>
    </row>
    <row r="949">
      <c r="A949" s="25" t="n">
        <v>36165</v>
      </c>
      <c r="B949" s="25" t="inlineStr">
        <is>
          <t>750ml</t>
        </is>
      </c>
    </row>
    <row r="950">
      <c r="A950" s="25" t="n">
        <v>86672</v>
      </c>
      <c r="B950" s="25" t="inlineStr">
        <is>
          <t>1L</t>
        </is>
      </c>
    </row>
    <row r="951">
      <c r="A951" s="25" t="n">
        <v>11776</v>
      </c>
      <c r="B951" s="25" t="inlineStr">
        <is>
          <t>750ml</t>
        </is>
      </c>
    </row>
    <row r="952">
      <c r="A952" s="25" t="n">
        <v>86694</v>
      </c>
      <c r="B952" s="25" t="inlineStr">
        <is>
          <t>1.75L</t>
        </is>
      </c>
    </row>
    <row r="953">
      <c r="A953" s="25" t="n">
        <v>89388</v>
      </c>
      <c r="B953" s="25" t="inlineStr">
        <is>
          <t>1.75L</t>
        </is>
      </c>
    </row>
    <row r="954">
      <c r="A954" s="25" t="n">
        <v>547143</v>
      </c>
      <c r="B954" s="25" t="inlineStr">
        <is>
          <t>3L</t>
        </is>
      </c>
    </row>
    <row r="955">
      <c r="A955" s="25" t="n">
        <v>401170</v>
      </c>
      <c r="B955" s="25" t="inlineStr">
        <is>
          <t>5L</t>
        </is>
      </c>
    </row>
    <row r="956">
      <c r="A956" s="25" t="n">
        <v>425850</v>
      </c>
      <c r="B956" s="25" t="inlineStr">
        <is>
          <t>750ml</t>
        </is>
      </c>
    </row>
    <row r="957">
      <c r="A957" s="25" t="n">
        <v>580125</v>
      </c>
      <c r="B957" s="25" t="inlineStr">
        <is>
          <t>750ml</t>
        </is>
      </c>
    </row>
    <row r="958">
      <c r="A958" s="25" t="n">
        <v>65194</v>
      </c>
      <c r="B958" s="25" t="inlineStr">
        <is>
          <t>375ml</t>
        </is>
      </c>
    </row>
    <row r="959">
      <c r="A959" s="25" t="n">
        <v>38067</v>
      </c>
      <c r="B959" s="25" t="inlineStr">
        <is>
          <t>1L</t>
        </is>
      </c>
    </row>
    <row r="960">
      <c r="A960" s="25" t="n">
        <v>86842</v>
      </c>
      <c r="B960" s="25" t="inlineStr">
        <is>
          <t>750ml</t>
        </is>
      </c>
    </row>
    <row r="961">
      <c r="A961" s="25" t="n">
        <v>88915</v>
      </c>
      <c r="B961" s="25" t="inlineStr">
        <is>
          <t>750ml</t>
        </is>
      </c>
    </row>
    <row r="962">
      <c r="A962" s="25" t="n">
        <v>16049</v>
      </c>
      <c r="B962" s="25" t="inlineStr">
        <is>
          <t>750ml</t>
        </is>
      </c>
    </row>
    <row r="963">
      <c r="A963" s="25" t="n">
        <v>741690</v>
      </c>
      <c r="B963" s="25" t="inlineStr">
        <is>
          <t>750ml</t>
        </is>
      </c>
    </row>
    <row r="964">
      <c r="A964" s="25" t="n">
        <v>377676</v>
      </c>
      <c r="B964" s="25" t="inlineStr">
        <is>
          <t>750ml</t>
        </is>
      </c>
    </row>
    <row r="965">
      <c r="A965" s="25" t="n">
        <v>508124</v>
      </c>
      <c r="B965" s="25" t="inlineStr">
        <is>
          <t>750ml</t>
        </is>
      </c>
    </row>
    <row r="966">
      <c r="A966" s="25" t="n">
        <v>43125</v>
      </c>
      <c r="B966" s="25" t="inlineStr">
        <is>
          <t>750ml</t>
        </is>
      </c>
    </row>
    <row r="967">
      <c r="A967" s="25" t="n">
        <v>733230</v>
      </c>
      <c r="B967" s="25" t="inlineStr">
        <is>
          <t>750ml</t>
        </is>
      </c>
    </row>
    <row r="968">
      <c r="A968" s="25" t="n">
        <v>77637</v>
      </c>
      <c r="B968" s="25" t="inlineStr">
        <is>
          <t>750ml</t>
        </is>
      </c>
    </row>
    <row r="969">
      <c r="A969" s="25" t="n">
        <v>97064</v>
      </c>
      <c r="B969" s="25" t="inlineStr">
        <is>
          <t>750ml</t>
        </is>
      </c>
    </row>
    <row r="970">
      <c r="A970" s="25" t="n">
        <v>101617</v>
      </c>
      <c r="B970" s="25" t="inlineStr">
        <is>
          <t>750ml</t>
        </is>
      </c>
    </row>
    <row r="971">
      <c r="A971" s="25" t="n">
        <v>814577</v>
      </c>
      <c r="B971" s="25" t="inlineStr">
        <is>
          <t>5L</t>
        </is>
      </c>
    </row>
    <row r="972">
      <c r="A972" s="25" t="n">
        <v>88037</v>
      </c>
      <c r="B972" s="25" t="inlineStr">
        <is>
          <t>1L</t>
        </is>
      </c>
    </row>
    <row r="973">
      <c r="A973" s="25" t="n">
        <v>27066</v>
      </c>
      <c r="B973" s="25" t="inlineStr">
        <is>
          <t>750ml</t>
        </is>
      </c>
    </row>
    <row r="974">
      <c r="A974" s="25" t="n">
        <v>12316</v>
      </c>
      <c r="B974" s="25" t="inlineStr">
        <is>
          <t>750ml</t>
        </is>
      </c>
    </row>
    <row r="975">
      <c r="A975" s="25" t="n">
        <v>59193</v>
      </c>
      <c r="B975" s="25" t="inlineStr">
        <is>
          <t>1.75L</t>
        </is>
      </c>
    </row>
    <row r="976">
      <c r="A976" s="25" t="n">
        <v>63903</v>
      </c>
      <c r="B976" s="25" t="inlineStr">
        <is>
          <t>750ml</t>
        </is>
      </c>
    </row>
    <row r="977">
      <c r="A977" s="25" t="n">
        <v>508564</v>
      </c>
      <c r="B977" s="25" t="inlineStr">
        <is>
          <t>750ml</t>
        </is>
      </c>
    </row>
    <row r="978">
      <c r="A978" s="25" t="n">
        <v>48725</v>
      </c>
      <c r="B978" s="25" t="inlineStr">
        <is>
          <t>750ml</t>
        </is>
      </c>
    </row>
    <row r="979">
      <c r="A979" s="25" t="n">
        <v>59182</v>
      </c>
      <c r="B979" s="25" t="inlineStr">
        <is>
          <t>1.75L</t>
        </is>
      </c>
    </row>
    <row r="980">
      <c r="A980" s="25" t="n">
        <v>39349</v>
      </c>
      <c r="B980" s="25" t="inlineStr">
        <is>
          <t>1L</t>
        </is>
      </c>
    </row>
    <row r="981">
      <c r="A981" s="25" t="n">
        <v>2918</v>
      </c>
      <c r="B981" s="25" t="inlineStr">
        <is>
          <t>50ml</t>
        </is>
      </c>
    </row>
    <row r="982">
      <c r="A982" s="25" t="n">
        <v>466700</v>
      </c>
      <c r="B982" s="25" t="inlineStr">
        <is>
          <t>750ml</t>
        </is>
      </c>
    </row>
    <row r="983">
      <c r="A983" s="25" t="n">
        <v>65061</v>
      </c>
      <c r="B983" s="25" t="inlineStr">
        <is>
          <t>50ml</t>
        </is>
      </c>
    </row>
    <row r="984">
      <c r="A984" s="25" t="n">
        <v>101209</v>
      </c>
      <c r="B984" s="25" t="inlineStr">
        <is>
          <t>50ml</t>
        </is>
      </c>
    </row>
    <row r="985">
      <c r="A985" s="25" t="n">
        <v>467603</v>
      </c>
      <c r="B985" s="25" t="inlineStr">
        <is>
          <t>5L</t>
        </is>
      </c>
    </row>
    <row r="986">
      <c r="A986" s="25" t="n">
        <v>496906</v>
      </c>
      <c r="B986" s="25" t="inlineStr">
        <is>
          <t>750ml</t>
        </is>
      </c>
    </row>
    <row r="987">
      <c r="A987" s="25" t="n">
        <v>451750</v>
      </c>
      <c r="B987" s="25" t="inlineStr">
        <is>
          <t>750ml</t>
        </is>
      </c>
    </row>
    <row r="988">
      <c r="A988" s="25" t="n">
        <v>36697</v>
      </c>
      <c r="B988" s="25" t="inlineStr">
        <is>
          <t>750ml</t>
        </is>
      </c>
    </row>
    <row r="989">
      <c r="A989" s="25" t="n">
        <v>87849</v>
      </c>
      <c r="B989" s="25" t="inlineStr">
        <is>
          <t>750ml</t>
        </is>
      </c>
    </row>
    <row r="990">
      <c r="A990" s="25" t="n">
        <v>44412</v>
      </c>
      <c r="B990" s="25" t="inlineStr">
        <is>
          <t>1.75L</t>
        </is>
      </c>
    </row>
    <row r="991">
      <c r="A991" s="25" t="n">
        <v>57082</v>
      </c>
      <c r="B991" s="25" t="inlineStr">
        <is>
          <t>200ml</t>
        </is>
      </c>
    </row>
    <row r="992">
      <c r="A992" s="25" t="n">
        <v>19308</v>
      </c>
      <c r="B992" s="25" t="inlineStr">
        <is>
          <t>1.75L</t>
        </is>
      </c>
    </row>
    <row r="993">
      <c r="A993" s="25" t="n">
        <v>15626</v>
      </c>
      <c r="B993" s="25" t="inlineStr">
        <is>
          <t>750ml</t>
        </is>
      </c>
    </row>
    <row r="994">
      <c r="A994" s="25" t="n">
        <v>441805</v>
      </c>
      <c r="B994" s="25" t="inlineStr">
        <is>
          <t>750ml</t>
        </is>
      </c>
    </row>
    <row r="995">
      <c r="A995" s="25" t="n">
        <v>24398</v>
      </c>
      <c r="B995" s="25" t="inlineStr">
        <is>
          <t>1.75L</t>
        </is>
      </c>
    </row>
    <row r="996">
      <c r="A996" s="25" t="n">
        <v>43451</v>
      </c>
      <c r="B996" s="25" t="inlineStr">
        <is>
          <t>750ml</t>
        </is>
      </c>
    </row>
    <row r="997">
      <c r="A997" s="25" t="n">
        <v>57181</v>
      </c>
      <c r="B997" s="25" t="inlineStr">
        <is>
          <t>1.75L</t>
        </is>
      </c>
    </row>
    <row r="998">
      <c r="A998" s="25" t="n">
        <v>42718</v>
      </c>
      <c r="B998" s="25" t="inlineStr">
        <is>
          <t>1.75L</t>
        </is>
      </c>
    </row>
    <row r="999">
      <c r="A999" s="25" t="n">
        <v>34514</v>
      </c>
      <c r="B999" s="25" t="inlineStr">
        <is>
          <t>750ml</t>
        </is>
      </c>
    </row>
    <row r="1000">
      <c r="A1000" s="25" t="n">
        <v>93566</v>
      </c>
      <c r="B1000" s="25" t="inlineStr">
        <is>
          <t>1.5L</t>
        </is>
      </c>
    </row>
    <row r="1001">
      <c r="A1001" s="25" t="n">
        <v>462522</v>
      </c>
      <c r="B1001" s="25" t="inlineStr">
        <is>
          <t>750ml</t>
        </is>
      </c>
    </row>
    <row r="1002">
      <c r="A1002" s="25" t="n">
        <v>729374</v>
      </c>
      <c r="B1002" s="25" t="inlineStr">
        <is>
          <t>750ml</t>
        </is>
      </c>
    </row>
    <row r="1003">
      <c r="A1003" s="25" t="n">
        <v>80684</v>
      </c>
      <c r="B1003" s="25" t="inlineStr">
        <is>
          <t>375ml</t>
        </is>
      </c>
    </row>
    <row r="1004">
      <c r="A1004" s="25" t="n">
        <v>40055</v>
      </c>
      <c r="B1004" s="25" t="inlineStr">
        <is>
          <t>1.75L</t>
        </is>
      </c>
    </row>
    <row r="1005">
      <c r="A1005" s="25" t="n">
        <v>751405</v>
      </c>
      <c r="B1005" s="25" t="inlineStr">
        <is>
          <t>750ml</t>
        </is>
      </c>
    </row>
    <row r="1006">
      <c r="A1006" s="25" t="n">
        <v>442387</v>
      </c>
      <c r="B1006" s="25" t="inlineStr">
        <is>
          <t>750ml</t>
        </is>
      </c>
    </row>
    <row r="1007">
      <c r="A1007" s="25" t="n">
        <v>540325</v>
      </c>
      <c r="B1007" s="25" t="inlineStr">
        <is>
          <t>750ml</t>
        </is>
      </c>
    </row>
    <row r="1008">
      <c r="A1008" s="25" t="n">
        <v>491413</v>
      </c>
      <c r="B1008" s="25" t="inlineStr">
        <is>
          <t>750ml</t>
        </is>
      </c>
    </row>
    <row r="1009">
      <c r="A1009" s="25" t="n">
        <v>892853</v>
      </c>
      <c r="B1009" s="25" t="inlineStr">
        <is>
          <t>1.5L</t>
        </is>
      </c>
    </row>
    <row r="1010">
      <c r="A1010" s="25" t="n">
        <v>278275</v>
      </c>
      <c r="B1010" s="25" t="inlineStr">
        <is>
          <t>750ml</t>
        </is>
      </c>
    </row>
    <row r="1011">
      <c r="A1011" s="25" t="n">
        <v>460939</v>
      </c>
      <c r="B1011" s="25" t="inlineStr">
        <is>
          <t>750ml</t>
        </is>
      </c>
    </row>
    <row r="1012">
      <c r="A1012" s="25" t="n">
        <v>39283</v>
      </c>
      <c r="B1012" s="25" t="inlineStr">
        <is>
          <t>750ml</t>
        </is>
      </c>
    </row>
    <row r="1013">
      <c r="A1013" s="25" t="n">
        <v>80517</v>
      </c>
      <c r="B1013" s="25" t="inlineStr">
        <is>
          <t>50ml</t>
        </is>
      </c>
    </row>
    <row r="1014">
      <c r="A1014" s="25" t="n">
        <v>281603</v>
      </c>
      <c r="B1014" s="25" t="inlineStr">
        <is>
          <t>750ml</t>
        </is>
      </c>
    </row>
    <row r="1015">
      <c r="A1015" s="25" t="n">
        <v>88015</v>
      </c>
      <c r="B1015" s="25" t="inlineStr">
        <is>
          <t>1.75L</t>
        </is>
      </c>
    </row>
    <row r="1016">
      <c r="A1016" s="25" t="n">
        <v>101707</v>
      </c>
      <c r="B1016" s="25" t="inlineStr">
        <is>
          <t>750ml</t>
        </is>
      </c>
    </row>
    <row r="1017">
      <c r="A1017" s="25" t="n">
        <v>27025</v>
      </c>
      <c r="B1017" s="25" t="inlineStr">
        <is>
          <t>750ml</t>
        </is>
      </c>
    </row>
    <row r="1018">
      <c r="A1018" s="25" t="n">
        <v>80519</v>
      </c>
      <c r="B1018" s="25" t="inlineStr">
        <is>
          <t>750ml</t>
        </is>
      </c>
    </row>
    <row r="1019">
      <c r="A1019" s="25" t="n">
        <v>84228</v>
      </c>
      <c r="B1019" s="25" t="inlineStr">
        <is>
          <t>50ml</t>
        </is>
      </c>
    </row>
    <row r="1020">
      <c r="A1020" s="25" t="n">
        <v>43388</v>
      </c>
      <c r="B1020" s="25" t="inlineStr">
        <is>
          <t>1.75L</t>
        </is>
      </c>
    </row>
    <row r="1021">
      <c r="A1021" s="25" t="n">
        <v>744130</v>
      </c>
      <c r="B1021" s="25" t="inlineStr">
        <is>
          <t>187ml</t>
        </is>
      </c>
    </row>
    <row r="1022">
      <c r="A1022" s="25" t="n">
        <v>89214</v>
      </c>
      <c r="B1022" s="25" t="inlineStr">
        <is>
          <t>375ml</t>
        </is>
      </c>
    </row>
    <row r="1023">
      <c r="A1023" s="25" t="n">
        <v>49000</v>
      </c>
      <c r="B1023" s="25" t="inlineStr">
        <is>
          <t>750ml</t>
        </is>
      </c>
    </row>
    <row r="1024">
      <c r="A1024" s="25" t="n">
        <v>302830</v>
      </c>
      <c r="B1024" s="25" t="inlineStr">
        <is>
          <t>750ml</t>
        </is>
      </c>
    </row>
    <row r="1025">
      <c r="A1025" s="25" t="n">
        <v>630785</v>
      </c>
      <c r="B1025" s="25" t="inlineStr">
        <is>
          <t>187ml</t>
        </is>
      </c>
    </row>
    <row r="1026">
      <c r="A1026" s="25" t="n">
        <v>77847</v>
      </c>
      <c r="B1026" s="25" t="inlineStr">
        <is>
          <t>750ml</t>
        </is>
      </c>
    </row>
    <row r="1027">
      <c r="A1027" s="25" t="n">
        <v>18353</v>
      </c>
      <c r="B1027" s="25" t="inlineStr">
        <is>
          <t>1L</t>
        </is>
      </c>
    </row>
    <row r="1028">
      <c r="A1028" s="25" t="n">
        <v>592564</v>
      </c>
      <c r="B1028" s="25" t="inlineStr">
        <is>
          <t>750ml</t>
        </is>
      </c>
    </row>
    <row r="1029">
      <c r="A1029" s="25" t="n">
        <v>579928</v>
      </c>
      <c r="B1029" s="25" t="inlineStr">
        <is>
          <t>750ml</t>
        </is>
      </c>
    </row>
    <row r="1030">
      <c r="A1030" s="25" t="n">
        <v>5103</v>
      </c>
      <c r="B1030" s="25" t="inlineStr">
        <is>
          <t>750ml</t>
        </is>
      </c>
    </row>
    <row r="1031">
      <c r="A1031" s="25" t="n">
        <v>36908</v>
      </c>
      <c r="B1031" s="25" t="inlineStr">
        <is>
          <t>1.75L</t>
        </is>
      </c>
    </row>
    <row r="1032">
      <c r="A1032" s="25" t="n">
        <v>5360</v>
      </c>
      <c r="B1032" s="25" t="inlineStr">
        <is>
          <t>1.75L</t>
        </is>
      </c>
    </row>
    <row r="1033">
      <c r="A1033" s="25" t="n">
        <v>67536</v>
      </c>
      <c r="B1033" s="25" t="inlineStr">
        <is>
          <t>750ml</t>
        </is>
      </c>
    </row>
    <row r="1034">
      <c r="A1034" s="25" t="n">
        <v>87619</v>
      </c>
      <c r="B1034" s="25" t="inlineStr">
        <is>
          <t>750ml</t>
        </is>
      </c>
    </row>
    <row r="1035">
      <c r="A1035" s="25" t="n">
        <v>882394</v>
      </c>
      <c r="B1035" s="25" t="inlineStr">
        <is>
          <t>750ml</t>
        </is>
      </c>
    </row>
    <row r="1036">
      <c r="A1036" s="25" t="n">
        <v>443950</v>
      </c>
      <c r="B1036" s="25" t="inlineStr">
        <is>
          <t>750ml</t>
        </is>
      </c>
    </row>
    <row r="1037">
      <c r="A1037" s="25" t="n">
        <v>29119</v>
      </c>
      <c r="B1037" s="25" t="inlineStr">
        <is>
          <t>750ml</t>
        </is>
      </c>
    </row>
    <row r="1038">
      <c r="A1038" s="25" t="n">
        <v>429998</v>
      </c>
      <c r="B1038" s="25" t="inlineStr">
        <is>
          <t>750ml</t>
        </is>
      </c>
    </row>
    <row r="1039">
      <c r="A1039" s="25" t="n">
        <v>513360</v>
      </c>
      <c r="B1039" s="25" t="inlineStr">
        <is>
          <t>750ml</t>
        </is>
      </c>
    </row>
    <row r="1040">
      <c r="A1040" s="25" t="n">
        <v>37061</v>
      </c>
      <c r="B1040" s="25" t="inlineStr">
        <is>
          <t>750ml</t>
        </is>
      </c>
    </row>
    <row r="1041">
      <c r="A1041" s="25" t="n">
        <v>541941</v>
      </c>
      <c r="B1041" s="25" t="inlineStr">
        <is>
          <t>5L</t>
        </is>
      </c>
    </row>
    <row r="1042">
      <c r="A1042" s="25" t="n">
        <v>43078</v>
      </c>
      <c r="B1042" s="25" t="inlineStr">
        <is>
          <t>1.75L</t>
        </is>
      </c>
    </row>
    <row r="1043">
      <c r="A1043" s="25" t="n">
        <v>469516</v>
      </c>
      <c r="B1043" s="25" t="inlineStr">
        <is>
          <t>1.5L</t>
        </is>
      </c>
    </row>
    <row r="1044">
      <c r="A1044" s="25" t="n">
        <v>100535</v>
      </c>
      <c r="B1044" s="25" t="inlineStr">
        <is>
          <t>50ml</t>
        </is>
      </c>
    </row>
    <row r="1045">
      <c r="A1045" s="25" t="n">
        <v>728630</v>
      </c>
      <c r="B1045" s="25" t="inlineStr">
        <is>
          <t>750ml</t>
        </is>
      </c>
    </row>
    <row r="1046">
      <c r="A1046" s="25" t="n">
        <v>28088</v>
      </c>
      <c r="B1046" s="25" t="inlineStr">
        <is>
          <t>1.75L</t>
        </is>
      </c>
    </row>
    <row r="1047">
      <c r="A1047" s="25" t="n">
        <v>19477</v>
      </c>
      <c r="B1047" s="25" t="inlineStr">
        <is>
          <t>1L</t>
        </is>
      </c>
    </row>
    <row r="1048">
      <c r="A1048" s="25" t="n">
        <v>50526</v>
      </c>
      <c r="B1048" s="25" t="inlineStr">
        <is>
          <t>750ml</t>
        </is>
      </c>
    </row>
    <row r="1049">
      <c r="A1049" s="25" t="n">
        <v>78133</v>
      </c>
      <c r="B1049" s="25" t="inlineStr">
        <is>
          <t>750ml</t>
        </is>
      </c>
    </row>
    <row r="1050">
      <c r="A1050" s="25" t="n">
        <v>5037</v>
      </c>
      <c r="B1050" s="25" t="inlineStr">
        <is>
          <t>1L</t>
        </is>
      </c>
    </row>
    <row r="1051">
      <c r="A1051" s="25" t="n">
        <v>458796</v>
      </c>
      <c r="B1051" s="25" t="inlineStr">
        <is>
          <t>750ml</t>
        </is>
      </c>
    </row>
    <row r="1052">
      <c r="A1052" s="25" t="n">
        <v>39422</v>
      </c>
      <c r="B1052" s="25" t="inlineStr">
        <is>
          <t>50ml</t>
        </is>
      </c>
    </row>
    <row r="1053">
      <c r="A1053" s="25" t="n">
        <v>446150</v>
      </c>
      <c r="B1053" s="25" t="inlineStr">
        <is>
          <t>750ml</t>
        </is>
      </c>
    </row>
    <row r="1054">
      <c r="A1054" s="25" t="n">
        <v>53216</v>
      </c>
      <c r="B1054" s="25" t="inlineStr">
        <is>
          <t>750ml</t>
        </is>
      </c>
    </row>
    <row r="1055">
      <c r="A1055" s="25" t="n">
        <v>18350</v>
      </c>
      <c r="B1055" s="25" t="inlineStr">
        <is>
          <t>750ml</t>
        </is>
      </c>
    </row>
    <row r="1056">
      <c r="A1056" s="25" t="n">
        <v>592561</v>
      </c>
      <c r="B1056" s="25" t="inlineStr">
        <is>
          <t>750ml</t>
        </is>
      </c>
    </row>
    <row r="1057">
      <c r="A1057" s="25" t="n">
        <v>82786</v>
      </c>
      <c r="B1057" s="25" t="inlineStr">
        <is>
          <t>750ml</t>
        </is>
      </c>
    </row>
    <row r="1058">
      <c r="A1058" s="25" t="n">
        <v>39917</v>
      </c>
      <c r="B1058" s="25" t="inlineStr">
        <is>
          <t>375ml</t>
        </is>
      </c>
    </row>
    <row r="1059">
      <c r="A1059" s="25" t="n">
        <v>34001</v>
      </c>
      <c r="B1059" s="25" t="inlineStr">
        <is>
          <t>50ml</t>
        </is>
      </c>
    </row>
    <row r="1060">
      <c r="A1060" s="25" t="n">
        <v>43034</v>
      </c>
      <c r="B1060" s="25" t="inlineStr">
        <is>
          <t>375ml</t>
        </is>
      </c>
    </row>
    <row r="1061">
      <c r="A1061" s="25" t="n">
        <v>442073</v>
      </c>
      <c r="B1061" s="25" t="inlineStr">
        <is>
          <t>750ml</t>
        </is>
      </c>
    </row>
    <row r="1062">
      <c r="A1062" s="25" t="n">
        <v>464002</v>
      </c>
      <c r="B1062" s="25" t="inlineStr">
        <is>
          <t>750ml</t>
        </is>
      </c>
    </row>
    <row r="1063">
      <c r="A1063" s="25" t="n">
        <v>478520</v>
      </c>
      <c r="B1063" s="25" t="inlineStr">
        <is>
          <t>750ml</t>
        </is>
      </c>
    </row>
    <row r="1064">
      <c r="A1064" s="25" t="n">
        <v>35529</v>
      </c>
      <c r="B1064" s="25" t="inlineStr">
        <is>
          <t>1.75L</t>
        </is>
      </c>
    </row>
    <row r="1065">
      <c r="A1065" s="25" t="n">
        <v>32418</v>
      </c>
      <c r="B1065" s="25" t="inlineStr">
        <is>
          <t>1.75L</t>
        </is>
      </c>
    </row>
    <row r="1066">
      <c r="A1066" s="25" t="n">
        <v>480742</v>
      </c>
      <c r="B1066" s="25" t="inlineStr">
        <is>
          <t>750ml</t>
        </is>
      </c>
    </row>
    <row r="1067">
      <c r="A1067" s="25" t="n">
        <v>87564</v>
      </c>
      <c r="B1067" s="25" t="inlineStr">
        <is>
          <t>100ml</t>
        </is>
      </c>
    </row>
    <row r="1068">
      <c r="A1068" s="25" t="n">
        <v>343805</v>
      </c>
      <c r="B1068" s="25" t="inlineStr">
        <is>
          <t>750ml</t>
        </is>
      </c>
    </row>
    <row r="1069">
      <c r="A1069" s="25" t="n">
        <v>464685</v>
      </c>
      <c r="B1069" s="25" t="inlineStr">
        <is>
          <t>750ml</t>
        </is>
      </c>
    </row>
    <row r="1070">
      <c r="A1070" s="25" t="n">
        <v>88533</v>
      </c>
      <c r="B1070" s="25" t="inlineStr">
        <is>
          <t>750ml</t>
        </is>
      </c>
    </row>
    <row r="1071">
      <c r="A1071" s="25" t="n">
        <v>101909</v>
      </c>
      <c r="B1071" s="25" t="inlineStr">
        <is>
          <t>750ml</t>
        </is>
      </c>
    </row>
    <row r="1072">
      <c r="A1072" s="25" t="n">
        <v>87280</v>
      </c>
      <c r="B1072" s="25" t="inlineStr">
        <is>
          <t>750ml</t>
        </is>
      </c>
    </row>
    <row r="1073">
      <c r="A1073" s="25" t="n">
        <v>40040</v>
      </c>
      <c r="B1073" s="25" t="inlineStr">
        <is>
          <t>750ml</t>
        </is>
      </c>
    </row>
    <row r="1074">
      <c r="A1074" s="25" t="n">
        <v>769000</v>
      </c>
      <c r="B1074" s="25" t="inlineStr">
        <is>
          <t>750ml</t>
        </is>
      </c>
    </row>
    <row r="1075">
      <c r="A1075" s="25" t="n">
        <v>39419</v>
      </c>
      <c r="B1075" s="25" t="inlineStr">
        <is>
          <t>375ml</t>
        </is>
      </c>
    </row>
    <row r="1076">
      <c r="A1076" s="25" t="n">
        <v>87418</v>
      </c>
      <c r="B1076" s="25" t="inlineStr">
        <is>
          <t>1.75L</t>
        </is>
      </c>
    </row>
    <row r="1077">
      <c r="A1077" s="25" t="n">
        <v>25607</v>
      </c>
      <c r="B1077" s="25" t="inlineStr">
        <is>
          <t>1L</t>
        </is>
      </c>
    </row>
    <row r="1078">
      <c r="A1078" s="25" t="n">
        <v>355755</v>
      </c>
      <c r="B1078" s="25" t="inlineStr">
        <is>
          <t>1.5L</t>
        </is>
      </c>
    </row>
    <row r="1079">
      <c r="A1079" s="25" t="n">
        <v>26085</v>
      </c>
      <c r="B1079" s="25" t="inlineStr">
        <is>
          <t>750ml</t>
        </is>
      </c>
    </row>
    <row r="1080">
      <c r="A1080" s="25" t="n">
        <v>66519</v>
      </c>
      <c r="B1080" s="25" t="inlineStr">
        <is>
          <t>1.75L</t>
        </is>
      </c>
    </row>
    <row r="1081">
      <c r="A1081" s="25" t="n">
        <v>482705</v>
      </c>
      <c r="B1081" s="25" t="inlineStr">
        <is>
          <t>750ml</t>
        </is>
      </c>
    </row>
    <row r="1082">
      <c r="A1082" s="25" t="n">
        <v>568832</v>
      </c>
      <c r="B1082" s="25" t="inlineStr">
        <is>
          <t>1.5L</t>
        </is>
      </c>
    </row>
    <row r="1083">
      <c r="A1083" s="25" t="n">
        <v>510536</v>
      </c>
      <c r="B1083" s="25" t="inlineStr">
        <is>
          <t>750ml</t>
        </is>
      </c>
    </row>
    <row r="1084">
      <c r="A1084" s="25" t="n">
        <v>89888</v>
      </c>
      <c r="B1084" s="25" t="inlineStr">
        <is>
          <t>1.75L</t>
        </is>
      </c>
    </row>
    <row r="1085">
      <c r="A1085" s="25" t="n">
        <v>463510</v>
      </c>
      <c r="B1085" s="25" t="inlineStr">
        <is>
          <t>750ml</t>
        </is>
      </c>
    </row>
    <row r="1086">
      <c r="A1086" s="25" t="n">
        <v>882323</v>
      </c>
      <c r="B1086" s="25" t="inlineStr">
        <is>
          <t>187ml</t>
        </is>
      </c>
    </row>
    <row r="1087">
      <c r="A1087" s="25" t="n">
        <v>204445</v>
      </c>
      <c r="B1087" s="25" t="inlineStr">
        <is>
          <t>375ml</t>
        </is>
      </c>
    </row>
    <row r="1088">
      <c r="A1088" s="25" t="n">
        <v>18138</v>
      </c>
      <c r="B1088" s="25" t="inlineStr">
        <is>
          <t>1.75L</t>
        </is>
      </c>
    </row>
    <row r="1089">
      <c r="A1089" s="25" t="n">
        <v>17830</v>
      </c>
      <c r="B1089" s="25" t="inlineStr">
        <is>
          <t>1.75L</t>
        </is>
      </c>
    </row>
    <row r="1090">
      <c r="A1090" s="25" t="n">
        <v>410982</v>
      </c>
      <c r="B1090" s="25" t="inlineStr">
        <is>
          <t>5L</t>
        </is>
      </c>
    </row>
    <row r="1091">
      <c r="A1091" s="25" t="n">
        <v>418596</v>
      </c>
      <c r="B1091" s="25" t="inlineStr">
        <is>
          <t>1.5L</t>
        </is>
      </c>
    </row>
    <row r="1092">
      <c r="A1092" s="25" t="n">
        <v>429969</v>
      </c>
      <c r="B1092" s="25" t="inlineStr">
        <is>
          <t>1.5L</t>
        </is>
      </c>
    </row>
    <row r="1093">
      <c r="A1093" s="25" t="n">
        <v>5362</v>
      </c>
      <c r="B1093" s="25" t="inlineStr">
        <is>
          <t>750ml</t>
        </is>
      </c>
    </row>
    <row r="1094">
      <c r="A1094" s="25" t="n">
        <v>485488</v>
      </c>
      <c r="B1094" s="25" t="inlineStr">
        <is>
          <t>750ml</t>
        </is>
      </c>
    </row>
    <row r="1095">
      <c r="A1095" s="25" t="n">
        <v>68022</v>
      </c>
      <c r="B1095" s="25" t="inlineStr">
        <is>
          <t>750ml</t>
        </is>
      </c>
    </row>
    <row r="1096">
      <c r="A1096" s="25" t="n">
        <v>59180</v>
      </c>
      <c r="B1096" s="25" t="inlineStr">
        <is>
          <t>1.75L</t>
        </is>
      </c>
    </row>
    <row r="1097">
      <c r="A1097" s="25" t="n">
        <v>467985</v>
      </c>
      <c r="B1097" s="25" t="inlineStr">
        <is>
          <t>750ml</t>
        </is>
      </c>
    </row>
    <row r="1098">
      <c r="A1098" s="25" t="n">
        <v>664507</v>
      </c>
      <c r="B1098" s="25" t="inlineStr">
        <is>
          <t>1.5L</t>
        </is>
      </c>
    </row>
    <row r="1099">
      <c r="A1099" s="25" t="n">
        <v>467315</v>
      </c>
      <c r="B1099" s="25" t="inlineStr">
        <is>
          <t>750ml</t>
        </is>
      </c>
    </row>
    <row r="1100">
      <c r="A1100" s="25" t="n">
        <v>638809</v>
      </c>
      <c r="B1100" s="25" t="inlineStr">
        <is>
          <t>187ml</t>
        </is>
      </c>
    </row>
    <row r="1101">
      <c r="A1101" s="25" t="n">
        <v>732089</v>
      </c>
      <c r="B1101" s="25" t="inlineStr">
        <is>
          <t>187ml</t>
        </is>
      </c>
    </row>
    <row r="1102">
      <c r="A1102" s="25" t="n">
        <v>43638</v>
      </c>
      <c r="B1102" s="25" t="inlineStr">
        <is>
          <t>750ml</t>
        </is>
      </c>
    </row>
    <row r="1103">
      <c r="A1103" s="25" t="n">
        <v>44486</v>
      </c>
      <c r="B1103" s="25" t="inlineStr">
        <is>
          <t>750ml</t>
        </is>
      </c>
    </row>
    <row r="1104">
      <c r="A1104" s="25" t="n">
        <v>64865</v>
      </c>
      <c r="B1104" s="25" t="inlineStr">
        <is>
          <t>750ml</t>
        </is>
      </c>
    </row>
    <row r="1105">
      <c r="A1105" s="25" t="n">
        <v>29287</v>
      </c>
      <c r="B1105" s="25" t="inlineStr">
        <is>
          <t>1L</t>
        </is>
      </c>
    </row>
    <row r="1106">
      <c r="A1106" s="25" t="n">
        <v>58866</v>
      </c>
      <c r="B1106" s="25" t="inlineStr">
        <is>
          <t>750ml</t>
        </is>
      </c>
    </row>
    <row r="1107">
      <c r="A1107" s="25" t="n">
        <v>15856</v>
      </c>
      <c r="B1107" s="25" t="inlineStr">
        <is>
          <t>750ml</t>
        </is>
      </c>
    </row>
    <row r="1108">
      <c r="A1108" s="25" t="n">
        <v>22207</v>
      </c>
      <c r="B1108" s="25" t="inlineStr">
        <is>
          <t>1.75L</t>
        </is>
      </c>
    </row>
    <row r="1109">
      <c r="A1109" s="25" t="n">
        <v>544084</v>
      </c>
      <c r="B1109" s="25" t="inlineStr">
        <is>
          <t>500ml</t>
        </is>
      </c>
    </row>
    <row r="1110">
      <c r="A1110" s="25" t="n">
        <v>727287</v>
      </c>
      <c r="B1110" s="25" t="inlineStr">
        <is>
          <t>750ml</t>
        </is>
      </c>
    </row>
    <row r="1111">
      <c r="A1111" s="25" t="n">
        <v>73055</v>
      </c>
      <c r="B1111" s="25" t="inlineStr">
        <is>
          <t>750ml</t>
        </is>
      </c>
    </row>
    <row r="1112">
      <c r="A1112" s="25" t="n">
        <v>97724</v>
      </c>
      <c r="B1112" s="25" t="inlineStr">
        <is>
          <t>750ml</t>
        </is>
      </c>
    </row>
    <row r="1113">
      <c r="A1113" s="25" t="n">
        <v>729081</v>
      </c>
      <c r="B1113" s="25" t="inlineStr">
        <is>
          <t>187ml</t>
        </is>
      </c>
    </row>
    <row r="1114">
      <c r="A1114" s="25" t="n">
        <v>485431</v>
      </c>
      <c r="B1114" s="25" t="inlineStr">
        <is>
          <t>750ml</t>
        </is>
      </c>
    </row>
    <row r="1115">
      <c r="A1115" s="25" t="n">
        <v>10803</v>
      </c>
      <c r="B1115" s="25" t="inlineStr">
        <is>
          <t>50ml</t>
        </is>
      </c>
    </row>
    <row r="1116">
      <c r="A1116" s="25" t="n">
        <v>643045</v>
      </c>
      <c r="B1116" s="25" t="inlineStr">
        <is>
          <t>750ml</t>
        </is>
      </c>
    </row>
    <row r="1117">
      <c r="A1117" s="25" t="n">
        <v>445891</v>
      </c>
      <c r="B1117" s="25" t="inlineStr">
        <is>
          <t>3L</t>
        </is>
      </c>
    </row>
    <row r="1118">
      <c r="A1118" s="25" t="n">
        <v>445300</v>
      </c>
      <c r="B1118" s="25" t="inlineStr">
        <is>
          <t>3L</t>
        </is>
      </c>
    </row>
    <row r="1119">
      <c r="A1119" s="25" t="n">
        <v>40192</v>
      </c>
      <c r="B1119" s="25" t="inlineStr">
        <is>
          <t>375ml</t>
        </is>
      </c>
    </row>
    <row r="1120">
      <c r="A1120" s="25" t="n">
        <v>498842</v>
      </c>
      <c r="B1120" s="25" t="inlineStr">
        <is>
          <t>750ml</t>
        </is>
      </c>
    </row>
    <row r="1121">
      <c r="A1121" s="25" t="n">
        <v>16887</v>
      </c>
      <c r="B1121" s="25" t="inlineStr">
        <is>
          <t>750ml</t>
        </is>
      </c>
    </row>
    <row r="1122">
      <c r="A1122" s="25" t="n">
        <v>34698</v>
      </c>
      <c r="B1122" s="25" t="inlineStr">
        <is>
          <t>375ml</t>
        </is>
      </c>
    </row>
    <row r="1123">
      <c r="A1123" s="25" t="n">
        <v>100954</v>
      </c>
      <c r="B1123" s="25" t="inlineStr">
        <is>
          <t>750ml</t>
        </is>
      </c>
    </row>
    <row r="1124">
      <c r="A1124" s="25" t="n">
        <v>809138</v>
      </c>
      <c r="B1124" s="25" t="inlineStr">
        <is>
          <t>1.5L</t>
        </is>
      </c>
    </row>
    <row r="1125">
      <c r="A1125" s="25" t="n">
        <v>486830</v>
      </c>
      <c r="B1125" s="25" t="inlineStr">
        <is>
          <t>1.5L</t>
        </is>
      </c>
    </row>
    <row r="1126">
      <c r="A1126" s="25" t="n">
        <v>252845</v>
      </c>
      <c r="B1126" s="25" t="inlineStr">
        <is>
          <t>750ml</t>
        </is>
      </c>
    </row>
    <row r="1127">
      <c r="A1127" s="25" t="n">
        <v>460440</v>
      </c>
      <c r="B1127" s="25" t="inlineStr">
        <is>
          <t>750ml</t>
        </is>
      </c>
    </row>
    <row r="1128">
      <c r="A1128" s="25" t="n">
        <v>449650</v>
      </c>
      <c r="B1128" s="25" t="inlineStr">
        <is>
          <t>4L</t>
        </is>
      </c>
    </row>
    <row r="1129">
      <c r="A1129" s="25" t="n">
        <v>67075</v>
      </c>
      <c r="B1129" s="25" t="inlineStr">
        <is>
          <t>100ml</t>
        </is>
      </c>
    </row>
    <row r="1130">
      <c r="A1130" s="25" t="n">
        <v>607145</v>
      </c>
      <c r="B1130" s="25" t="inlineStr">
        <is>
          <t>1.5L</t>
        </is>
      </c>
    </row>
    <row r="1131">
      <c r="A1131" s="25" t="n">
        <v>36261</v>
      </c>
      <c r="B1131" s="25" t="inlineStr">
        <is>
          <t>750ml</t>
        </is>
      </c>
    </row>
    <row r="1132">
      <c r="A1132" s="25" t="n">
        <v>18978</v>
      </c>
      <c r="B1132" s="25" t="inlineStr">
        <is>
          <t>1.75L</t>
        </is>
      </c>
    </row>
    <row r="1133">
      <c r="A1133" s="25" t="n">
        <v>286560</v>
      </c>
      <c r="B1133" s="25" t="inlineStr">
        <is>
          <t>750ml</t>
        </is>
      </c>
    </row>
    <row r="1134">
      <c r="A1134" s="25" t="n">
        <v>59185</v>
      </c>
      <c r="B1134" s="25" t="inlineStr">
        <is>
          <t>1.75L</t>
        </is>
      </c>
    </row>
    <row r="1135">
      <c r="A1135" s="25" t="n">
        <v>64512</v>
      </c>
      <c r="B1135" s="25" t="inlineStr">
        <is>
          <t>750ml</t>
        </is>
      </c>
    </row>
    <row r="1136">
      <c r="A1136" s="25" t="n">
        <v>15945</v>
      </c>
      <c r="B1136" s="25" t="inlineStr">
        <is>
          <t>1.75L</t>
        </is>
      </c>
    </row>
    <row r="1137">
      <c r="A1137" s="25" t="n">
        <v>78129</v>
      </c>
      <c r="B1137" s="25" t="inlineStr">
        <is>
          <t>1.75L</t>
        </is>
      </c>
    </row>
    <row r="1138">
      <c r="A1138" s="25" t="n">
        <v>802993</v>
      </c>
      <c r="B1138" s="25" t="inlineStr">
        <is>
          <t>3L</t>
        </is>
      </c>
    </row>
    <row r="1139">
      <c r="A1139" s="25" t="n">
        <v>498123</v>
      </c>
      <c r="B1139" s="25" t="inlineStr">
        <is>
          <t>750ml</t>
        </is>
      </c>
    </row>
    <row r="1140">
      <c r="A1140" s="25" t="n">
        <v>101292</v>
      </c>
      <c r="B1140" s="25" t="inlineStr">
        <is>
          <t>750ml</t>
        </is>
      </c>
    </row>
    <row r="1141">
      <c r="A1141" s="25" t="n">
        <v>600640</v>
      </c>
      <c r="B1141" s="25" t="inlineStr">
        <is>
          <t>5L</t>
        </is>
      </c>
    </row>
    <row r="1142">
      <c r="A1142" s="25" t="n">
        <v>649150</v>
      </c>
      <c r="B1142" s="25" t="inlineStr">
        <is>
          <t>750ml</t>
        </is>
      </c>
    </row>
    <row r="1143">
      <c r="A1143" s="25" t="n">
        <v>812799</v>
      </c>
      <c r="B1143" s="25" t="inlineStr">
        <is>
          <t>750ml</t>
        </is>
      </c>
    </row>
    <row r="1144">
      <c r="A1144" s="25" t="n">
        <v>523048</v>
      </c>
      <c r="B1144" s="25" t="inlineStr">
        <is>
          <t>750ml</t>
        </is>
      </c>
    </row>
    <row r="1145">
      <c r="A1145" s="25" t="n">
        <v>33524</v>
      </c>
      <c r="B1145" s="25" t="inlineStr">
        <is>
          <t>750ml</t>
        </is>
      </c>
    </row>
    <row r="1146">
      <c r="A1146" s="25" t="n">
        <v>420431</v>
      </c>
      <c r="B1146" s="25" t="inlineStr">
        <is>
          <t>1.5L</t>
        </is>
      </c>
    </row>
    <row r="1147">
      <c r="A1147" s="25" t="n">
        <v>86390</v>
      </c>
      <c r="B1147" s="25" t="inlineStr">
        <is>
          <t>1L</t>
        </is>
      </c>
    </row>
    <row r="1148">
      <c r="A1148" s="25" t="n">
        <v>20169</v>
      </c>
      <c r="B1148" s="25" t="inlineStr">
        <is>
          <t>1.75L</t>
        </is>
      </c>
    </row>
    <row r="1149">
      <c r="A1149" s="25" t="n">
        <v>35098</v>
      </c>
      <c r="B1149" s="25" t="inlineStr">
        <is>
          <t>1.75L</t>
        </is>
      </c>
    </row>
    <row r="1150">
      <c r="A1150" s="25" t="n">
        <v>43328</v>
      </c>
      <c r="B1150" s="25" t="inlineStr">
        <is>
          <t>750ml</t>
        </is>
      </c>
    </row>
    <row r="1151">
      <c r="A1151" s="25" t="n">
        <v>26826</v>
      </c>
      <c r="B1151" s="25" t="inlineStr">
        <is>
          <t>750ml</t>
        </is>
      </c>
    </row>
    <row r="1152">
      <c r="A1152" s="25" t="n">
        <v>729082</v>
      </c>
      <c r="B1152" s="25" t="inlineStr">
        <is>
          <t>750ml</t>
        </is>
      </c>
    </row>
    <row r="1153">
      <c r="A1153" s="25" t="n">
        <v>448305</v>
      </c>
      <c r="B1153" s="25" t="inlineStr">
        <is>
          <t>750ml</t>
        </is>
      </c>
    </row>
    <row r="1154">
      <c r="A1154" s="25" t="n">
        <v>478116</v>
      </c>
      <c r="B1154" s="25" t="inlineStr">
        <is>
          <t>750ml</t>
        </is>
      </c>
    </row>
    <row r="1155">
      <c r="A1155" s="25" t="n">
        <v>892852</v>
      </c>
      <c r="B1155" s="25" t="inlineStr">
        <is>
          <t>750ml</t>
        </is>
      </c>
    </row>
    <row r="1156">
      <c r="A1156" s="25" t="n">
        <v>470702</v>
      </c>
      <c r="B1156" s="25" t="inlineStr">
        <is>
          <t>750ml</t>
        </is>
      </c>
    </row>
    <row r="1157">
      <c r="A1157" s="25" t="n">
        <v>470250</v>
      </c>
      <c r="B1157" s="25" t="inlineStr">
        <is>
          <t>750ml</t>
        </is>
      </c>
    </row>
    <row r="1158">
      <c r="A1158" s="25" t="n">
        <v>47782</v>
      </c>
      <c r="B1158" s="25" t="inlineStr">
        <is>
          <t>100ml</t>
        </is>
      </c>
    </row>
    <row r="1159">
      <c r="A1159" s="25" t="n">
        <v>56798</v>
      </c>
      <c r="B1159" s="25" t="inlineStr">
        <is>
          <t>750ml</t>
        </is>
      </c>
    </row>
    <row r="1160">
      <c r="A1160" s="25" t="n">
        <v>64932</v>
      </c>
      <c r="B1160" s="25" t="inlineStr">
        <is>
          <t>375ml</t>
        </is>
      </c>
    </row>
    <row r="1161">
      <c r="A1161" s="25" t="n">
        <v>544100</v>
      </c>
      <c r="B1161" s="25" t="inlineStr">
        <is>
          <t>750ml</t>
        </is>
      </c>
    </row>
    <row r="1162">
      <c r="A1162" s="25" t="n">
        <v>10790</v>
      </c>
      <c r="B1162" s="25" t="inlineStr">
        <is>
          <t>375ml</t>
        </is>
      </c>
    </row>
    <row r="1163">
      <c r="A1163" s="25" t="n">
        <v>35416</v>
      </c>
      <c r="B1163" s="25" t="inlineStr">
        <is>
          <t>750ml</t>
        </is>
      </c>
    </row>
    <row r="1164">
      <c r="A1164" s="25" t="n">
        <v>653175</v>
      </c>
      <c r="B1164" s="25" t="inlineStr">
        <is>
          <t>750ml</t>
        </is>
      </c>
    </row>
    <row r="1165">
      <c r="A1165" s="25" t="n">
        <v>58267</v>
      </c>
      <c r="B1165" s="25" t="inlineStr">
        <is>
          <t>355ml</t>
        </is>
      </c>
    </row>
    <row r="1166">
      <c r="A1166" s="25" t="n">
        <v>101595</v>
      </c>
      <c r="B1166" s="25" t="inlineStr">
        <is>
          <t>750ml</t>
        </is>
      </c>
    </row>
    <row r="1167">
      <c r="A1167" s="25" t="n">
        <v>580580</v>
      </c>
      <c r="B1167" s="25" t="inlineStr">
        <is>
          <t>750ml</t>
        </is>
      </c>
    </row>
    <row r="1168">
      <c r="A1168" s="25" t="n">
        <v>89644</v>
      </c>
      <c r="B1168" s="25" t="inlineStr">
        <is>
          <t>375ml</t>
        </is>
      </c>
    </row>
    <row r="1169">
      <c r="A1169" s="25" t="n">
        <v>510605</v>
      </c>
      <c r="B1169" s="25" t="inlineStr">
        <is>
          <t>750ml</t>
        </is>
      </c>
    </row>
    <row r="1170">
      <c r="A1170" s="25" t="n">
        <v>15865</v>
      </c>
      <c r="B1170" s="25" t="inlineStr">
        <is>
          <t>750ml</t>
        </is>
      </c>
    </row>
    <row r="1171">
      <c r="A1171" s="25" t="n">
        <v>86843</v>
      </c>
      <c r="B1171" s="25" t="inlineStr">
        <is>
          <t>750ml</t>
        </is>
      </c>
    </row>
    <row r="1172">
      <c r="A1172" s="25" t="n">
        <v>11328</v>
      </c>
      <c r="B1172" s="25" t="inlineStr">
        <is>
          <t>1.75L</t>
        </is>
      </c>
    </row>
    <row r="1173">
      <c r="A1173" s="25" t="n">
        <v>547230</v>
      </c>
      <c r="B1173" s="25" t="inlineStr">
        <is>
          <t>750ml</t>
        </is>
      </c>
    </row>
    <row r="1174">
      <c r="A1174" s="25" t="n">
        <v>40595</v>
      </c>
      <c r="B1174" s="25" t="inlineStr">
        <is>
          <t>50ml</t>
        </is>
      </c>
    </row>
    <row r="1175">
      <c r="A1175" s="25" t="n">
        <v>75165</v>
      </c>
      <c r="B1175" s="25" t="inlineStr">
        <is>
          <t>750ml</t>
        </is>
      </c>
    </row>
    <row r="1176">
      <c r="A1176" s="25" t="n">
        <v>52316</v>
      </c>
      <c r="B1176" s="25" t="inlineStr">
        <is>
          <t>750ml</t>
        </is>
      </c>
    </row>
    <row r="1177">
      <c r="A1177" s="25" t="n">
        <v>35814</v>
      </c>
      <c r="B1177" s="25" t="inlineStr">
        <is>
          <t>375ml</t>
        </is>
      </c>
    </row>
    <row r="1178">
      <c r="A1178" s="25" t="n">
        <v>15180</v>
      </c>
      <c r="B1178" s="25" t="inlineStr">
        <is>
          <t>750ml</t>
        </is>
      </c>
    </row>
    <row r="1179">
      <c r="A1179" s="25" t="n">
        <v>5696</v>
      </c>
      <c r="B1179" s="25" t="inlineStr">
        <is>
          <t>750ml</t>
        </is>
      </c>
    </row>
    <row r="1180">
      <c r="A1180" s="25" t="n">
        <v>28301</v>
      </c>
      <c r="B1180" s="25" t="inlineStr">
        <is>
          <t>750ml</t>
        </is>
      </c>
    </row>
    <row r="1181">
      <c r="A1181" s="25" t="n">
        <v>476484</v>
      </c>
      <c r="B1181" s="25" t="inlineStr">
        <is>
          <t>750ml</t>
        </is>
      </c>
    </row>
    <row r="1182">
      <c r="A1182" s="25" t="n">
        <v>90916</v>
      </c>
      <c r="B1182" s="25" t="inlineStr">
        <is>
          <t>500ml</t>
        </is>
      </c>
    </row>
    <row r="1183">
      <c r="A1183" s="25" t="n">
        <v>302300</v>
      </c>
      <c r="B1183" s="25" t="inlineStr">
        <is>
          <t>750ml</t>
        </is>
      </c>
    </row>
    <row r="1184">
      <c r="A1184" s="25" t="n">
        <v>86544</v>
      </c>
      <c r="B1184" s="25" t="inlineStr">
        <is>
          <t>50ml</t>
        </is>
      </c>
    </row>
    <row r="1185">
      <c r="A1185" s="25" t="n">
        <v>582303</v>
      </c>
      <c r="B1185" s="25" t="inlineStr">
        <is>
          <t>750ml</t>
        </is>
      </c>
    </row>
    <row r="1186">
      <c r="A1186" s="25" t="n">
        <v>67428</v>
      </c>
      <c r="B1186" s="25" t="inlineStr">
        <is>
          <t>1.75L</t>
        </is>
      </c>
    </row>
    <row r="1187">
      <c r="A1187" s="25" t="n">
        <v>38516</v>
      </c>
      <c r="B1187" s="25" t="inlineStr">
        <is>
          <t>750ml</t>
        </is>
      </c>
    </row>
    <row r="1188">
      <c r="A1188" s="25" t="n">
        <v>575250</v>
      </c>
      <c r="B1188" s="25" t="inlineStr">
        <is>
          <t>750ml</t>
        </is>
      </c>
    </row>
    <row r="1189">
      <c r="A1189" s="25" t="n">
        <v>768676</v>
      </c>
      <c r="B1189" s="25" t="inlineStr">
        <is>
          <t>750ml</t>
        </is>
      </c>
    </row>
    <row r="1190">
      <c r="A1190" s="25" t="n">
        <v>59184</v>
      </c>
      <c r="B1190" s="25" t="inlineStr">
        <is>
          <t>1.75L</t>
        </is>
      </c>
    </row>
    <row r="1191">
      <c r="A1191" s="25" t="n">
        <v>286140</v>
      </c>
      <c r="B1191" s="25" t="inlineStr">
        <is>
          <t>750ml</t>
        </is>
      </c>
    </row>
    <row r="1192">
      <c r="A1192" s="25" t="n">
        <v>479467</v>
      </c>
      <c r="B1192" s="25" t="inlineStr">
        <is>
          <t>750ml</t>
        </is>
      </c>
    </row>
    <row r="1193">
      <c r="A1193" s="25" t="n">
        <v>633743</v>
      </c>
      <c r="B1193" s="25" t="inlineStr">
        <is>
          <t>1.5L</t>
        </is>
      </c>
    </row>
    <row r="1194">
      <c r="A1194" s="25" t="n">
        <v>475032</v>
      </c>
      <c r="B1194" s="25" t="inlineStr">
        <is>
          <t>1.5L</t>
        </is>
      </c>
    </row>
    <row r="1195">
      <c r="A1195" s="25" t="n">
        <v>775600</v>
      </c>
      <c r="B1195" s="25" t="inlineStr">
        <is>
          <t>750ml</t>
        </is>
      </c>
    </row>
    <row r="1196">
      <c r="A1196" s="25" t="n">
        <v>882307</v>
      </c>
      <c r="B1196" s="25" t="inlineStr">
        <is>
          <t>750ml</t>
        </is>
      </c>
    </row>
    <row r="1197">
      <c r="A1197" s="25" t="n">
        <v>568105</v>
      </c>
      <c r="B1197" s="25" t="inlineStr">
        <is>
          <t>1.5L</t>
        </is>
      </c>
    </row>
    <row r="1198">
      <c r="A1198" s="25" t="n">
        <v>86885</v>
      </c>
      <c r="B1198" s="25" t="inlineStr">
        <is>
          <t>750ml</t>
        </is>
      </c>
    </row>
    <row r="1199">
      <c r="A1199" s="25" t="n">
        <v>496272</v>
      </c>
      <c r="B1199" s="25" t="inlineStr">
        <is>
          <t>750ml</t>
        </is>
      </c>
    </row>
    <row r="1200">
      <c r="A1200" s="25" t="n">
        <v>751940</v>
      </c>
      <c r="B1200" s="25" t="inlineStr">
        <is>
          <t>750ml</t>
        </is>
      </c>
    </row>
    <row r="1201">
      <c r="A1201" s="25" t="n">
        <v>89197</v>
      </c>
      <c r="B1201" s="25" t="inlineStr">
        <is>
          <t>1L</t>
        </is>
      </c>
    </row>
    <row r="1202">
      <c r="A1202" s="25" t="n">
        <v>458950</v>
      </c>
      <c r="B1202" s="25" t="inlineStr">
        <is>
          <t>750ml</t>
        </is>
      </c>
    </row>
    <row r="1203">
      <c r="A1203" s="25" t="n">
        <v>525379</v>
      </c>
      <c r="B1203" s="25" t="inlineStr">
        <is>
          <t>3L</t>
        </is>
      </c>
    </row>
    <row r="1204">
      <c r="A1204" s="25" t="n">
        <v>48107</v>
      </c>
      <c r="B1204" s="25" t="inlineStr">
        <is>
          <t>1L</t>
        </is>
      </c>
    </row>
    <row r="1205">
      <c r="A1205" s="25" t="n">
        <v>12880</v>
      </c>
      <c r="B1205" s="25" t="inlineStr">
        <is>
          <t>375ml</t>
        </is>
      </c>
    </row>
    <row r="1206">
      <c r="A1206" s="25" t="n">
        <v>467098</v>
      </c>
      <c r="B1206" s="25" t="inlineStr">
        <is>
          <t>750ml</t>
        </is>
      </c>
    </row>
    <row r="1207">
      <c r="A1207" s="25" t="n">
        <v>12476</v>
      </c>
      <c r="B1207" s="25" t="inlineStr">
        <is>
          <t>750ml</t>
        </is>
      </c>
    </row>
    <row r="1208">
      <c r="A1208" s="25" t="n">
        <v>49186</v>
      </c>
      <c r="B1208" s="25" t="inlineStr">
        <is>
          <t>750ml</t>
        </is>
      </c>
    </row>
    <row r="1209">
      <c r="A1209" s="25" t="n">
        <v>729090</v>
      </c>
      <c r="B1209" s="25" t="inlineStr">
        <is>
          <t>750ml</t>
        </is>
      </c>
    </row>
    <row r="1210">
      <c r="A1210" s="25" t="n">
        <v>429959</v>
      </c>
      <c r="B1210" s="25" t="inlineStr">
        <is>
          <t>1.5L</t>
        </is>
      </c>
    </row>
    <row r="1211">
      <c r="A1211" s="25" t="n">
        <v>768996</v>
      </c>
      <c r="B1211" s="25" t="inlineStr">
        <is>
          <t>750ml</t>
        </is>
      </c>
    </row>
    <row r="1212">
      <c r="A1212" s="25" t="n">
        <v>43676</v>
      </c>
      <c r="B1212" s="25" t="inlineStr">
        <is>
          <t>750ml</t>
        </is>
      </c>
    </row>
    <row r="1213">
      <c r="A1213" s="25" t="n">
        <v>77824</v>
      </c>
      <c r="B1213" s="25" t="inlineStr">
        <is>
          <t>375ml</t>
        </is>
      </c>
    </row>
    <row r="1214">
      <c r="A1214" s="25" t="n">
        <v>66636</v>
      </c>
      <c r="B1214" s="25" t="inlineStr">
        <is>
          <t>750ml</t>
        </is>
      </c>
    </row>
    <row r="1215">
      <c r="A1215" s="25" t="n">
        <v>101089</v>
      </c>
      <c r="B1215" s="25" t="inlineStr">
        <is>
          <t>1.75L</t>
        </is>
      </c>
    </row>
    <row r="1216">
      <c r="A1216" s="25" t="n">
        <v>460673</v>
      </c>
      <c r="B1216" s="25" t="inlineStr">
        <is>
          <t>750ml</t>
        </is>
      </c>
    </row>
    <row r="1217">
      <c r="A1217" s="25" t="n">
        <v>584032</v>
      </c>
      <c r="B1217" s="25" t="inlineStr">
        <is>
          <t>750ml</t>
        </is>
      </c>
    </row>
    <row r="1218">
      <c r="A1218" s="25" t="n">
        <v>6105</v>
      </c>
      <c r="B1218" s="25" t="inlineStr">
        <is>
          <t>750ml</t>
        </is>
      </c>
    </row>
    <row r="1219">
      <c r="A1219" s="25" t="n">
        <v>92274</v>
      </c>
      <c r="B1219" s="25" t="inlineStr">
        <is>
          <t>750ml</t>
        </is>
      </c>
    </row>
    <row r="1220">
      <c r="A1220" s="25" t="n">
        <v>39555</v>
      </c>
      <c r="B1220" s="25" t="inlineStr">
        <is>
          <t>50ml</t>
        </is>
      </c>
    </row>
    <row r="1221">
      <c r="A1221" s="25" t="n">
        <v>46506</v>
      </c>
      <c r="B1221" s="25" t="inlineStr">
        <is>
          <t>1.75L</t>
        </is>
      </c>
    </row>
    <row r="1222">
      <c r="A1222" s="25" t="n">
        <v>15667</v>
      </c>
      <c r="B1222" s="25" t="inlineStr">
        <is>
          <t>750ml</t>
        </is>
      </c>
    </row>
    <row r="1223">
      <c r="A1223" s="25" t="n">
        <v>75230</v>
      </c>
      <c r="B1223" s="25" t="inlineStr">
        <is>
          <t>750ml</t>
        </is>
      </c>
    </row>
    <row r="1224">
      <c r="A1224" s="25" t="n">
        <v>19067</v>
      </c>
      <c r="B1224" s="25" t="inlineStr">
        <is>
          <t>1L</t>
        </is>
      </c>
    </row>
    <row r="1225">
      <c r="A1225" s="25" t="n">
        <v>62772</v>
      </c>
      <c r="B1225" s="25" t="inlineStr">
        <is>
          <t>355ml</t>
        </is>
      </c>
    </row>
    <row r="1226">
      <c r="A1226" s="25" t="n">
        <v>4367</v>
      </c>
      <c r="B1226" s="25" t="inlineStr">
        <is>
          <t>750ml</t>
        </is>
      </c>
    </row>
    <row r="1227">
      <c r="A1227" s="25" t="n">
        <v>418790</v>
      </c>
      <c r="B1227" s="25" t="inlineStr">
        <is>
          <t>750ml</t>
        </is>
      </c>
    </row>
    <row r="1228">
      <c r="A1228" s="25" t="n">
        <v>4717</v>
      </c>
      <c r="B1228" s="25" t="inlineStr">
        <is>
          <t>1L</t>
        </is>
      </c>
    </row>
    <row r="1229">
      <c r="A1229" s="25" t="n">
        <v>63344</v>
      </c>
      <c r="B1229" s="25" t="inlineStr">
        <is>
          <t>375ml</t>
        </is>
      </c>
    </row>
    <row r="1230">
      <c r="A1230" s="25" t="n">
        <v>59201</v>
      </c>
      <c r="B1230" s="25" t="inlineStr">
        <is>
          <t>1.75L</t>
        </is>
      </c>
    </row>
    <row r="1231">
      <c r="A1231" s="25" t="n">
        <v>514530</v>
      </c>
      <c r="B1231" s="25" t="inlineStr">
        <is>
          <t>3L</t>
        </is>
      </c>
    </row>
    <row r="1232">
      <c r="A1232" s="25" t="n">
        <v>741660</v>
      </c>
      <c r="B1232" s="25" t="inlineStr">
        <is>
          <t>750ml</t>
        </is>
      </c>
    </row>
    <row r="1233">
      <c r="A1233" s="25" t="n">
        <v>455826</v>
      </c>
      <c r="B1233" s="25" t="inlineStr">
        <is>
          <t>750ml</t>
        </is>
      </c>
    </row>
    <row r="1234">
      <c r="A1234" s="25" t="n">
        <v>86582</v>
      </c>
      <c r="B1234" s="25" t="inlineStr">
        <is>
          <t>750ml</t>
        </is>
      </c>
    </row>
    <row r="1235">
      <c r="A1235" s="25" t="n">
        <v>33660</v>
      </c>
      <c r="B1235" s="25" t="inlineStr">
        <is>
          <t>1.75L</t>
        </is>
      </c>
    </row>
    <row r="1236">
      <c r="A1236" s="25" t="n">
        <v>39918</v>
      </c>
      <c r="B1236" s="25" t="inlineStr">
        <is>
          <t>750ml</t>
        </is>
      </c>
    </row>
    <row r="1237">
      <c r="A1237" s="25" t="n">
        <v>34422</v>
      </c>
      <c r="B1237" s="25" t="inlineStr">
        <is>
          <t>1L</t>
        </is>
      </c>
    </row>
    <row r="1238">
      <c r="A1238" s="25" t="n">
        <v>403296</v>
      </c>
      <c r="B1238" s="25" t="inlineStr">
        <is>
          <t>3L</t>
        </is>
      </c>
    </row>
    <row r="1239">
      <c r="A1239" s="25" t="n">
        <v>64328</v>
      </c>
      <c r="B1239" s="25" t="inlineStr">
        <is>
          <t>375ml</t>
        </is>
      </c>
    </row>
    <row r="1240">
      <c r="A1240" s="25" t="n">
        <v>86873</v>
      </c>
      <c r="B1240" s="25" t="inlineStr">
        <is>
          <t>750ml</t>
        </is>
      </c>
    </row>
    <row r="1241">
      <c r="A1241" s="25" t="n">
        <v>34578</v>
      </c>
      <c r="B1241" s="25" t="inlineStr">
        <is>
          <t>1.75L</t>
        </is>
      </c>
    </row>
    <row r="1242">
      <c r="A1242" s="25" t="n">
        <v>41838</v>
      </c>
      <c r="B1242" s="25" t="inlineStr">
        <is>
          <t>1.75L</t>
        </is>
      </c>
    </row>
    <row r="1243">
      <c r="A1243" s="25" t="n">
        <v>560945</v>
      </c>
      <c r="B1243" s="25" t="inlineStr">
        <is>
          <t>750ml</t>
        </is>
      </c>
    </row>
    <row r="1244">
      <c r="A1244" s="25" t="n">
        <v>88123</v>
      </c>
      <c r="B1244" s="25" t="inlineStr">
        <is>
          <t>750ml</t>
        </is>
      </c>
    </row>
    <row r="1245">
      <c r="A1245" s="25" t="n">
        <v>88188</v>
      </c>
      <c r="B1245" s="25" t="inlineStr">
        <is>
          <t>1.75L</t>
        </is>
      </c>
    </row>
    <row r="1246">
      <c r="A1246" s="25" t="n">
        <v>87612</v>
      </c>
      <c r="B1246" s="25" t="inlineStr">
        <is>
          <t>750ml</t>
        </is>
      </c>
    </row>
    <row r="1247">
      <c r="A1247" s="25" t="n">
        <v>56793</v>
      </c>
      <c r="B1247" s="25" t="inlineStr">
        <is>
          <t>750ml</t>
        </is>
      </c>
    </row>
    <row r="1248">
      <c r="A1248" s="25" t="n">
        <v>64711</v>
      </c>
      <c r="B1248" s="25" t="inlineStr">
        <is>
          <t>375ml</t>
        </is>
      </c>
    </row>
    <row r="1249">
      <c r="A1249" s="25" t="n">
        <v>39466</v>
      </c>
      <c r="B1249" s="25" t="inlineStr">
        <is>
          <t>750ml</t>
        </is>
      </c>
    </row>
    <row r="1250">
      <c r="A1250" s="25" t="n">
        <v>77599</v>
      </c>
      <c r="B1250" s="25" t="inlineStr">
        <is>
          <t>750ml</t>
        </is>
      </c>
    </row>
    <row r="1251">
      <c r="A1251" s="25" t="n">
        <v>572375</v>
      </c>
      <c r="B1251" s="25" t="inlineStr">
        <is>
          <t>750ml</t>
        </is>
      </c>
    </row>
    <row r="1252">
      <c r="A1252" s="25" t="n">
        <v>327540</v>
      </c>
      <c r="B1252" s="25" t="inlineStr">
        <is>
          <t>750ml</t>
        </is>
      </c>
    </row>
    <row r="1253">
      <c r="A1253" s="25" t="n">
        <v>89468</v>
      </c>
      <c r="B1253" s="25" t="inlineStr">
        <is>
          <t>750ml</t>
        </is>
      </c>
    </row>
    <row r="1254">
      <c r="A1254" s="25" t="n">
        <v>40726</v>
      </c>
      <c r="B1254" s="25" t="inlineStr">
        <is>
          <t>750ml</t>
        </is>
      </c>
    </row>
    <row r="1255">
      <c r="A1255" s="25" t="n">
        <v>406740</v>
      </c>
      <c r="B1255" s="25" t="inlineStr">
        <is>
          <t>1.5L</t>
        </is>
      </c>
    </row>
    <row r="1256">
      <c r="A1256" s="25" t="n">
        <v>5924</v>
      </c>
      <c r="B1256" s="25" t="inlineStr">
        <is>
          <t>750ml</t>
        </is>
      </c>
    </row>
    <row r="1257">
      <c r="A1257" s="25" t="n">
        <v>627275</v>
      </c>
      <c r="B1257" s="25" t="inlineStr">
        <is>
          <t>750ml</t>
        </is>
      </c>
    </row>
    <row r="1258">
      <c r="A1258" s="25" t="n">
        <v>87643</v>
      </c>
      <c r="B1258" s="25" t="inlineStr">
        <is>
          <t>750ml</t>
        </is>
      </c>
    </row>
    <row r="1259">
      <c r="A1259" s="25" t="n">
        <v>87922</v>
      </c>
      <c r="B1259" s="25" t="inlineStr">
        <is>
          <t>750ml</t>
        </is>
      </c>
    </row>
    <row r="1260">
      <c r="A1260" s="25" t="n">
        <v>507010</v>
      </c>
      <c r="B1260" s="25" t="inlineStr">
        <is>
          <t>750ml</t>
        </is>
      </c>
    </row>
    <row r="1261">
      <c r="A1261" s="25" t="n">
        <v>379252</v>
      </c>
      <c r="B1261" s="25" t="inlineStr">
        <is>
          <t>750ml</t>
        </is>
      </c>
    </row>
    <row r="1262">
      <c r="A1262" s="25" t="n">
        <v>88424</v>
      </c>
      <c r="B1262" s="25" t="inlineStr">
        <is>
          <t>750ml</t>
        </is>
      </c>
    </row>
    <row r="1263">
      <c r="A1263" s="25" t="n">
        <v>598420</v>
      </c>
      <c r="B1263" s="25" t="inlineStr">
        <is>
          <t>18L</t>
        </is>
      </c>
    </row>
    <row r="1264">
      <c r="A1264" s="25" t="n">
        <v>758000</v>
      </c>
      <c r="B1264" s="25" t="inlineStr">
        <is>
          <t>1.5L</t>
        </is>
      </c>
    </row>
    <row r="1265">
      <c r="A1265" s="25" t="n">
        <v>346210</v>
      </c>
      <c r="B1265" s="25" t="inlineStr">
        <is>
          <t>750ml</t>
        </is>
      </c>
    </row>
    <row r="1266">
      <c r="A1266" s="25" t="n">
        <v>539853</v>
      </c>
      <c r="B1266" s="25" t="inlineStr">
        <is>
          <t>750ml</t>
        </is>
      </c>
    </row>
    <row r="1267">
      <c r="A1267" s="25" t="n">
        <v>445040</v>
      </c>
      <c r="B1267" s="25" t="inlineStr">
        <is>
          <t>750ml</t>
        </is>
      </c>
    </row>
    <row r="1268">
      <c r="A1268" s="25" t="n">
        <v>812770</v>
      </c>
      <c r="B1268" s="25" t="inlineStr">
        <is>
          <t>375ml</t>
        </is>
      </c>
    </row>
    <row r="1269">
      <c r="A1269" s="25" t="n">
        <v>26316</v>
      </c>
      <c r="B1269" s="25" t="inlineStr">
        <is>
          <t>1.75L</t>
        </is>
      </c>
    </row>
    <row r="1270">
      <c r="A1270" s="25" t="n">
        <v>724535</v>
      </c>
      <c r="B1270" s="25" t="inlineStr">
        <is>
          <t>750ml</t>
        </is>
      </c>
    </row>
    <row r="1271">
      <c r="A1271" s="25" t="n">
        <v>546438</v>
      </c>
      <c r="B1271" s="25" t="inlineStr">
        <is>
          <t>750ml</t>
        </is>
      </c>
    </row>
    <row r="1272">
      <c r="A1272" s="25" t="n">
        <v>341743</v>
      </c>
      <c r="B1272" s="25" t="inlineStr">
        <is>
          <t>750ml</t>
        </is>
      </c>
    </row>
    <row r="1273">
      <c r="A1273" s="25" t="n">
        <v>84307</v>
      </c>
      <c r="B1273" s="25" t="inlineStr">
        <is>
          <t>1L</t>
        </is>
      </c>
    </row>
    <row r="1274">
      <c r="A1274" s="25" t="n">
        <v>30236</v>
      </c>
      <c r="B1274" s="25" t="inlineStr">
        <is>
          <t>750ml</t>
        </is>
      </c>
    </row>
    <row r="1275">
      <c r="A1275" s="25" t="n">
        <v>77332</v>
      </c>
      <c r="B1275" s="25" t="inlineStr">
        <is>
          <t>750ml</t>
        </is>
      </c>
    </row>
    <row r="1276">
      <c r="A1276" s="25" t="n">
        <v>367460</v>
      </c>
      <c r="B1276" s="25" t="inlineStr">
        <is>
          <t>750ml</t>
        </is>
      </c>
    </row>
    <row r="1277">
      <c r="A1277" s="25" t="n">
        <v>26585</v>
      </c>
      <c r="B1277" s="25" t="inlineStr">
        <is>
          <t>375ml</t>
        </is>
      </c>
    </row>
    <row r="1278">
      <c r="A1278" s="25" t="n">
        <v>430013</v>
      </c>
      <c r="B1278" s="25" t="inlineStr">
        <is>
          <t>750ml</t>
        </is>
      </c>
    </row>
    <row r="1279">
      <c r="A1279" s="25" t="n">
        <v>294352</v>
      </c>
      <c r="B1279" s="25" t="inlineStr">
        <is>
          <t>750ml</t>
        </is>
      </c>
    </row>
    <row r="1280">
      <c r="A1280" s="25" t="n">
        <v>544109</v>
      </c>
      <c r="B1280" s="25" t="inlineStr">
        <is>
          <t>750ml</t>
        </is>
      </c>
    </row>
    <row r="1281">
      <c r="A1281" s="25" t="n">
        <v>546630</v>
      </c>
      <c r="B1281" s="25" t="inlineStr">
        <is>
          <t>1.5L</t>
        </is>
      </c>
    </row>
    <row r="1282">
      <c r="A1282" s="25" t="n">
        <v>407778</v>
      </c>
      <c r="B1282" s="25" t="inlineStr">
        <is>
          <t>750ml</t>
        </is>
      </c>
    </row>
    <row r="1283">
      <c r="A1283" s="25" t="n">
        <v>39842</v>
      </c>
      <c r="B1283" s="25" t="inlineStr">
        <is>
          <t>750ml</t>
        </is>
      </c>
    </row>
    <row r="1284">
      <c r="A1284" s="25" t="n">
        <v>44340</v>
      </c>
      <c r="B1284" s="25" t="inlineStr">
        <is>
          <t>1.75L</t>
        </is>
      </c>
    </row>
    <row r="1285">
      <c r="A1285" s="25" t="n">
        <v>20116</v>
      </c>
      <c r="B1285" s="25" t="inlineStr">
        <is>
          <t>750ml</t>
        </is>
      </c>
    </row>
    <row r="1286">
      <c r="A1286" s="25" t="n">
        <v>35084</v>
      </c>
      <c r="B1286" s="25" t="inlineStr">
        <is>
          <t>375ml</t>
        </is>
      </c>
    </row>
    <row r="1287">
      <c r="A1287" s="25" t="n">
        <v>37987</v>
      </c>
      <c r="B1287" s="25" t="inlineStr">
        <is>
          <t>1L</t>
        </is>
      </c>
    </row>
    <row r="1288">
      <c r="A1288" s="25" t="n">
        <v>27189</v>
      </c>
      <c r="B1288" s="25" t="inlineStr">
        <is>
          <t>750ml</t>
        </is>
      </c>
    </row>
    <row r="1289">
      <c r="A1289" s="25" t="n">
        <v>653177</v>
      </c>
      <c r="B1289" s="25" t="inlineStr">
        <is>
          <t>750ml</t>
        </is>
      </c>
    </row>
    <row r="1290">
      <c r="A1290" s="25" t="n">
        <v>88300</v>
      </c>
      <c r="B1290" s="25" t="inlineStr">
        <is>
          <t>750ml</t>
        </is>
      </c>
    </row>
    <row r="1291">
      <c r="A1291" s="25" t="n">
        <v>510557</v>
      </c>
      <c r="B1291" s="25" t="inlineStr">
        <is>
          <t>750ml</t>
        </is>
      </c>
    </row>
    <row r="1292">
      <c r="A1292" s="25" t="n">
        <v>539855</v>
      </c>
      <c r="B1292" s="25" t="inlineStr">
        <is>
          <t>750ml</t>
        </is>
      </c>
    </row>
    <row r="1293">
      <c r="A1293" s="25" t="n">
        <v>955232</v>
      </c>
      <c r="B1293" s="25" t="inlineStr">
        <is>
          <t>750ml</t>
        </is>
      </c>
    </row>
    <row r="1294">
      <c r="A1294" s="25" t="n">
        <v>5446</v>
      </c>
      <c r="B1294" s="25" t="inlineStr">
        <is>
          <t>750ml</t>
        </is>
      </c>
    </row>
    <row r="1295">
      <c r="A1295" s="25" t="n">
        <v>82840</v>
      </c>
      <c r="B1295" s="25" t="inlineStr">
        <is>
          <t>750ml</t>
        </is>
      </c>
    </row>
    <row r="1296">
      <c r="A1296" s="25" t="n">
        <v>11294</v>
      </c>
      <c r="B1296" s="25" t="inlineStr">
        <is>
          <t>375ml</t>
        </is>
      </c>
    </row>
    <row r="1297">
      <c r="A1297" s="25" t="n">
        <v>77206</v>
      </c>
      <c r="B1297" s="25" t="inlineStr">
        <is>
          <t>750ml</t>
        </is>
      </c>
    </row>
    <row r="1298">
      <c r="A1298" s="25" t="n">
        <v>47548</v>
      </c>
      <c r="B1298" s="25" t="inlineStr">
        <is>
          <t>1.75L</t>
        </is>
      </c>
    </row>
    <row r="1299">
      <c r="A1299" s="25" t="n">
        <v>584030</v>
      </c>
      <c r="B1299" s="25" t="inlineStr">
        <is>
          <t>750ml</t>
        </is>
      </c>
    </row>
    <row r="1300">
      <c r="A1300" s="25" t="n">
        <v>425605</v>
      </c>
      <c r="B1300" s="25" t="inlineStr">
        <is>
          <t>1.5L</t>
        </is>
      </c>
    </row>
    <row r="1301">
      <c r="A1301" s="25" t="n">
        <v>353500</v>
      </c>
      <c r="B1301" s="25" t="inlineStr">
        <is>
          <t>750ml</t>
        </is>
      </c>
    </row>
    <row r="1302">
      <c r="A1302" s="25" t="n">
        <v>34821</v>
      </c>
      <c r="B1302" s="25" t="inlineStr">
        <is>
          <t>1.75L</t>
        </is>
      </c>
    </row>
    <row r="1303">
      <c r="A1303" s="25" t="n">
        <v>78074</v>
      </c>
      <c r="B1303" s="25" t="inlineStr">
        <is>
          <t>750ml</t>
        </is>
      </c>
    </row>
    <row r="1304">
      <c r="A1304" s="25" t="n">
        <v>15870</v>
      </c>
      <c r="B1304" s="25" t="inlineStr">
        <is>
          <t>750ml</t>
        </is>
      </c>
    </row>
    <row r="1305">
      <c r="A1305" s="25" t="n">
        <v>87588</v>
      </c>
      <c r="B1305" s="25" t="inlineStr">
        <is>
          <t>1.75L</t>
        </is>
      </c>
    </row>
    <row r="1306">
      <c r="A1306" s="25" t="n">
        <v>100686</v>
      </c>
      <c r="B1306" s="25" t="inlineStr">
        <is>
          <t>200ml</t>
        </is>
      </c>
    </row>
    <row r="1307">
      <c r="A1307" s="25" t="n">
        <v>4825</v>
      </c>
      <c r="B1307" s="25" t="inlineStr">
        <is>
          <t>750ml</t>
        </is>
      </c>
    </row>
    <row r="1308">
      <c r="A1308" s="25" t="n">
        <v>85930</v>
      </c>
      <c r="B1308" s="25" t="inlineStr">
        <is>
          <t>750ml</t>
        </is>
      </c>
    </row>
    <row r="1309">
      <c r="A1309" s="25" t="n">
        <v>479697</v>
      </c>
      <c r="B1309" s="25" t="inlineStr">
        <is>
          <t>750ml</t>
        </is>
      </c>
    </row>
    <row r="1310">
      <c r="A1310" s="25" t="n">
        <v>15246</v>
      </c>
      <c r="B1310" s="25" t="inlineStr">
        <is>
          <t>750ml</t>
        </is>
      </c>
    </row>
    <row r="1311">
      <c r="A1311" s="25" t="n">
        <v>17954</v>
      </c>
      <c r="B1311" s="25" t="inlineStr">
        <is>
          <t>375ml</t>
        </is>
      </c>
    </row>
    <row r="1312">
      <c r="A1312" s="25" t="n">
        <v>68340</v>
      </c>
      <c r="B1312" s="25" t="inlineStr">
        <is>
          <t>750ml</t>
        </is>
      </c>
    </row>
    <row r="1313">
      <c r="A1313" s="25" t="n">
        <v>26606</v>
      </c>
      <c r="B1313" s="25" t="inlineStr">
        <is>
          <t>750ml</t>
        </is>
      </c>
    </row>
    <row r="1314">
      <c r="A1314" s="25" t="n">
        <v>101681</v>
      </c>
      <c r="B1314" s="25" t="inlineStr">
        <is>
          <t>750ml</t>
        </is>
      </c>
    </row>
    <row r="1315">
      <c r="A1315" s="25" t="n">
        <v>420430</v>
      </c>
      <c r="B1315" s="25" t="inlineStr">
        <is>
          <t>750ml</t>
        </is>
      </c>
    </row>
    <row r="1316">
      <c r="A1316" s="25" t="n">
        <v>421110</v>
      </c>
      <c r="B1316" s="25" t="inlineStr">
        <is>
          <t>750ml</t>
        </is>
      </c>
    </row>
    <row r="1317">
      <c r="A1317" s="25" t="n">
        <v>428</v>
      </c>
      <c r="B1317" s="25" t="inlineStr">
        <is>
          <t>750ml</t>
        </is>
      </c>
    </row>
    <row r="1318">
      <c r="A1318" s="25" t="n">
        <v>420864</v>
      </c>
      <c r="B1318" s="25" t="inlineStr">
        <is>
          <t>750ml</t>
        </is>
      </c>
    </row>
    <row r="1319">
      <c r="A1319" s="25" t="n">
        <v>476473</v>
      </c>
      <c r="B1319" s="25" t="inlineStr">
        <is>
          <t>750ml</t>
        </is>
      </c>
    </row>
    <row r="1320">
      <c r="A1320" s="25" t="n">
        <v>87282</v>
      </c>
      <c r="B1320" s="25" t="inlineStr">
        <is>
          <t>375ml</t>
        </is>
      </c>
    </row>
    <row r="1321">
      <c r="A1321" s="25" t="n">
        <v>549170</v>
      </c>
      <c r="B1321" s="25" t="inlineStr">
        <is>
          <t>750ml</t>
        </is>
      </c>
    </row>
    <row r="1322">
      <c r="A1322" s="25" t="n">
        <v>89175</v>
      </c>
      <c r="B1322" s="25" t="inlineStr">
        <is>
          <t>750ml</t>
        </is>
      </c>
    </row>
    <row r="1323">
      <c r="A1323" s="25" t="n">
        <v>379249</v>
      </c>
      <c r="B1323" s="25" t="inlineStr">
        <is>
          <t>187ml</t>
        </is>
      </c>
    </row>
    <row r="1324">
      <c r="A1324" s="25" t="n">
        <v>43226</v>
      </c>
      <c r="B1324" s="25" t="inlineStr">
        <is>
          <t>750ml</t>
        </is>
      </c>
    </row>
    <row r="1325">
      <c r="A1325" s="25" t="n">
        <v>77768</v>
      </c>
      <c r="B1325" s="25" t="inlineStr">
        <is>
          <t>750ml</t>
        </is>
      </c>
    </row>
    <row r="1326">
      <c r="A1326" s="25" t="n">
        <v>429986</v>
      </c>
      <c r="B1326" s="25" t="inlineStr">
        <is>
          <t>1.5L</t>
        </is>
      </c>
    </row>
    <row r="1327">
      <c r="A1327" s="25" t="n">
        <v>510505</v>
      </c>
      <c r="B1327" s="25" t="inlineStr">
        <is>
          <t>750ml</t>
        </is>
      </c>
    </row>
    <row r="1328">
      <c r="A1328" s="25" t="n">
        <v>65252</v>
      </c>
      <c r="B1328" s="25" t="inlineStr">
        <is>
          <t>100ml</t>
        </is>
      </c>
    </row>
    <row r="1329">
      <c r="A1329" s="25" t="n">
        <v>504400</v>
      </c>
      <c r="B1329" s="25" t="inlineStr">
        <is>
          <t>750ml</t>
        </is>
      </c>
    </row>
    <row r="1330">
      <c r="A1330" s="25" t="n">
        <v>344460</v>
      </c>
      <c r="B1330" s="25" t="inlineStr">
        <is>
          <t>750ml</t>
        </is>
      </c>
    </row>
    <row r="1331">
      <c r="A1331" s="25" t="n">
        <v>39280</v>
      </c>
      <c r="B1331" s="25" t="inlineStr">
        <is>
          <t>50ml</t>
        </is>
      </c>
    </row>
    <row r="1332">
      <c r="A1332" s="25" t="n">
        <v>443271</v>
      </c>
      <c r="B1332" s="25" t="inlineStr">
        <is>
          <t>3L</t>
        </is>
      </c>
    </row>
    <row r="1333">
      <c r="A1333" s="25" t="n">
        <v>567170</v>
      </c>
      <c r="B1333" s="25" t="inlineStr">
        <is>
          <t>750ml</t>
        </is>
      </c>
    </row>
    <row r="1334">
      <c r="A1334" s="25" t="n">
        <v>44516</v>
      </c>
      <c r="B1334" s="25" t="inlineStr">
        <is>
          <t>750ml</t>
        </is>
      </c>
    </row>
    <row r="1335">
      <c r="A1335" s="25" t="n">
        <v>40329</v>
      </c>
      <c r="B1335" s="25" t="inlineStr">
        <is>
          <t>1.75L</t>
        </is>
      </c>
    </row>
    <row r="1336">
      <c r="A1336" s="25" t="n">
        <v>507973</v>
      </c>
      <c r="B1336" s="25" t="inlineStr">
        <is>
          <t>750ml</t>
        </is>
      </c>
    </row>
    <row r="1337">
      <c r="A1337" s="25" t="n">
        <v>35318</v>
      </c>
      <c r="B1337" s="25" t="inlineStr">
        <is>
          <t>1.75L</t>
        </is>
      </c>
    </row>
    <row r="1338">
      <c r="A1338" s="25" t="n">
        <v>58877</v>
      </c>
      <c r="B1338" s="25" t="inlineStr">
        <is>
          <t>1.75L</t>
        </is>
      </c>
    </row>
    <row r="1339">
      <c r="A1339" s="25" t="n">
        <v>66022</v>
      </c>
      <c r="B1339" s="25" t="inlineStr">
        <is>
          <t>1L</t>
        </is>
      </c>
    </row>
    <row r="1340">
      <c r="A1340" s="25" t="n">
        <v>38006</v>
      </c>
      <c r="B1340" s="25" t="inlineStr">
        <is>
          <t>750ml</t>
        </is>
      </c>
    </row>
    <row r="1341">
      <c r="A1341" s="25" t="n">
        <v>420526</v>
      </c>
      <c r="B1341" s="25" t="inlineStr">
        <is>
          <t>750ml</t>
        </is>
      </c>
    </row>
    <row r="1342">
      <c r="A1342" s="25" t="n">
        <v>48696</v>
      </c>
      <c r="B1342" s="25" t="inlineStr">
        <is>
          <t>750ml</t>
        </is>
      </c>
    </row>
    <row r="1343">
      <c r="A1343" s="25" t="n">
        <v>809152</v>
      </c>
      <c r="B1343" s="25" t="inlineStr">
        <is>
          <t>750ml</t>
        </is>
      </c>
    </row>
    <row r="1344">
      <c r="A1344" s="25" t="n">
        <v>22175</v>
      </c>
      <c r="B1344" s="25" t="inlineStr">
        <is>
          <t>750ml</t>
        </is>
      </c>
    </row>
    <row r="1345">
      <c r="A1345" s="25" t="n">
        <v>53203</v>
      </c>
      <c r="B1345" s="25" t="inlineStr">
        <is>
          <t>200ml</t>
        </is>
      </c>
    </row>
    <row r="1346">
      <c r="A1346" s="25" t="n">
        <v>35644</v>
      </c>
      <c r="B1346" s="25" t="inlineStr">
        <is>
          <t>375ml</t>
        </is>
      </c>
    </row>
    <row r="1347">
      <c r="A1347" s="25" t="n">
        <v>467060</v>
      </c>
      <c r="B1347" s="25" t="inlineStr">
        <is>
          <t>750ml</t>
        </is>
      </c>
    </row>
    <row r="1348">
      <c r="A1348" s="25" t="n">
        <v>75777</v>
      </c>
      <c r="B1348" s="25" t="inlineStr">
        <is>
          <t>50ml</t>
        </is>
      </c>
    </row>
    <row r="1349">
      <c r="A1349" s="25" t="n">
        <v>16620</v>
      </c>
      <c r="B1349" s="25" t="inlineStr">
        <is>
          <t>700ml</t>
        </is>
      </c>
    </row>
    <row r="1350">
      <c r="A1350" s="25" t="n">
        <v>444047</v>
      </c>
      <c r="B1350" s="25" t="inlineStr">
        <is>
          <t>750ml</t>
        </is>
      </c>
    </row>
    <row r="1351">
      <c r="A1351" s="25" t="n">
        <v>4000</v>
      </c>
      <c r="B1351" s="25" t="inlineStr">
        <is>
          <t>750ml</t>
        </is>
      </c>
    </row>
    <row r="1352">
      <c r="A1352" s="25" t="n">
        <v>40287</v>
      </c>
      <c r="B1352" s="25" t="inlineStr">
        <is>
          <t>200ml</t>
        </is>
      </c>
    </row>
    <row r="1353">
      <c r="A1353" s="25" t="n">
        <v>609800</v>
      </c>
      <c r="B1353" s="25" t="inlineStr">
        <is>
          <t>750ml</t>
        </is>
      </c>
    </row>
    <row r="1354">
      <c r="A1354" s="25" t="n">
        <v>710806</v>
      </c>
      <c r="B1354" s="25" t="inlineStr">
        <is>
          <t>750ml</t>
        </is>
      </c>
    </row>
    <row r="1355">
      <c r="A1355" s="25" t="n">
        <v>44258</v>
      </c>
      <c r="B1355" s="25" t="inlineStr">
        <is>
          <t>750ml</t>
        </is>
      </c>
    </row>
    <row r="1356">
      <c r="A1356" s="25" t="n">
        <v>31294</v>
      </c>
      <c r="B1356" s="25" t="inlineStr">
        <is>
          <t>375ml</t>
        </is>
      </c>
    </row>
    <row r="1357">
      <c r="A1357" s="25" t="n">
        <v>66580</v>
      </c>
      <c r="B1357" s="25" t="inlineStr">
        <is>
          <t>1.75L</t>
        </is>
      </c>
    </row>
    <row r="1358">
      <c r="A1358" s="25" t="n">
        <v>5290</v>
      </c>
      <c r="B1358" s="25" t="inlineStr">
        <is>
          <t>750ml</t>
        </is>
      </c>
    </row>
    <row r="1359">
      <c r="A1359" s="25" t="n">
        <v>560305</v>
      </c>
      <c r="B1359" s="25" t="inlineStr">
        <is>
          <t>750ml</t>
        </is>
      </c>
    </row>
    <row r="1360">
      <c r="A1360" s="25" t="n">
        <v>284455</v>
      </c>
      <c r="B1360" s="25" t="inlineStr">
        <is>
          <t>1.5L</t>
        </is>
      </c>
    </row>
    <row r="1361">
      <c r="A1361" s="25" t="n">
        <v>39348</v>
      </c>
      <c r="B1361" s="25" t="inlineStr">
        <is>
          <t>750ml</t>
        </is>
      </c>
    </row>
    <row r="1362">
      <c r="A1362" s="25" t="n">
        <v>560603</v>
      </c>
      <c r="B1362" s="25" t="inlineStr">
        <is>
          <t>750ml</t>
        </is>
      </c>
    </row>
    <row r="1363">
      <c r="A1363" s="25" t="n">
        <v>34598</v>
      </c>
      <c r="B1363" s="25" t="inlineStr">
        <is>
          <t>1.75L</t>
        </is>
      </c>
    </row>
    <row r="1364">
      <c r="A1364" s="25" t="n">
        <v>64750</v>
      </c>
      <c r="B1364" s="25" t="inlineStr">
        <is>
          <t>750ml</t>
        </is>
      </c>
    </row>
    <row r="1365">
      <c r="A1365" s="25" t="n">
        <v>21186</v>
      </c>
      <c r="B1365" s="25" t="inlineStr">
        <is>
          <t>750ml</t>
        </is>
      </c>
    </row>
    <row r="1366">
      <c r="A1366" s="25" t="n">
        <v>64135</v>
      </c>
      <c r="B1366" s="25" t="inlineStr">
        <is>
          <t>375ml</t>
        </is>
      </c>
    </row>
    <row r="1367">
      <c r="A1367" s="25" t="n">
        <v>67118</v>
      </c>
      <c r="B1367" s="25" t="inlineStr">
        <is>
          <t>100ml</t>
        </is>
      </c>
    </row>
    <row r="1368">
      <c r="A1368" s="25" t="n">
        <v>891000</v>
      </c>
      <c r="B1368" s="25" t="inlineStr">
        <is>
          <t>5L</t>
        </is>
      </c>
    </row>
    <row r="1369">
      <c r="A1369" s="25" t="n">
        <v>2229</v>
      </c>
      <c r="B1369" s="25" t="inlineStr">
        <is>
          <t>750ml</t>
        </is>
      </c>
    </row>
    <row r="1370">
      <c r="A1370" s="25" t="n">
        <v>895428</v>
      </c>
      <c r="B1370" s="25" t="inlineStr">
        <is>
          <t>1.5L</t>
        </is>
      </c>
    </row>
    <row r="1371">
      <c r="A1371" s="25" t="n">
        <v>38178</v>
      </c>
      <c r="B1371" s="25" t="inlineStr">
        <is>
          <t>1.75L</t>
        </is>
      </c>
    </row>
    <row r="1372">
      <c r="A1372" s="25" t="n">
        <v>544116</v>
      </c>
      <c r="B1372" s="25" t="inlineStr">
        <is>
          <t>187ml</t>
        </is>
      </c>
    </row>
    <row r="1373">
      <c r="A1373" s="25" t="n">
        <v>68009</v>
      </c>
      <c r="B1373" s="25" t="inlineStr">
        <is>
          <t>750ml</t>
        </is>
      </c>
    </row>
    <row r="1374">
      <c r="A1374" s="25" t="n">
        <v>444169</v>
      </c>
      <c r="B1374" s="25" t="inlineStr">
        <is>
          <t>1.5L</t>
        </is>
      </c>
    </row>
    <row r="1375">
      <c r="A1375" s="25" t="n">
        <v>66122</v>
      </c>
      <c r="B1375" s="25" t="inlineStr">
        <is>
          <t>750ml</t>
        </is>
      </c>
    </row>
    <row r="1376">
      <c r="A1376" s="25" t="n">
        <v>86438</v>
      </c>
      <c r="B1376" s="25" t="inlineStr">
        <is>
          <t>375ml</t>
        </is>
      </c>
    </row>
    <row r="1377">
      <c r="A1377" s="25" t="n">
        <v>618695</v>
      </c>
      <c r="B1377" s="25" t="inlineStr">
        <is>
          <t>750ml</t>
        </is>
      </c>
    </row>
    <row r="1378">
      <c r="A1378" s="25" t="n">
        <v>79136</v>
      </c>
      <c r="B1378" s="25" t="inlineStr">
        <is>
          <t>750ml</t>
        </is>
      </c>
    </row>
    <row r="1379">
      <c r="A1379" s="25" t="n">
        <v>515867</v>
      </c>
      <c r="B1379" s="25" t="inlineStr">
        <is>
          <t>750ml</t>
        </is>
      </c>
    </row>
    <row r="1380">
      <c r="A1380" s="25" t="n">
        <v>32236</v>
      </c>
      <c r="B1380" s="25" t="inlineStr">
        <is>
          <t>750ml</t>
        </is>
      </c>
    </row>
    <row r="1381">
      <c r="A1381" s="25" t="n">
        <v>28224</v>
      </c>
      <c r="B1381" s="25" t="inlineStr">
        <is>
          <t>375ml</t>
        </is>
      </c>
    </row>
    <row r="1382">
      <c r="A1382" s="25" t="n">
        <v>359035</v>
      </c>
      <c r="B1382" s="25" t="inlineStr">
        <is>
          <t>750ml</t>
        </is>
      </c>
    </row>
    <row r="1383">
      <c r="A1383" s="25" t="n">
        <v>41413</v>
      </c>
      <c r="B1383" s="25" t="inlineStr">
        <is>
          <t>750ml</t>
        </is>
      </c>
    </row>
    <row r="1384">
      <c r="A1384" s="25" t="n">
        <v>21480</v>
      </c>
      <c r="B1384" s="25" t="inlineStr">
        <is>
          <t>750ml</t>
        </is>
      </c>
    </row>
    <row r="1385">
      <c r="A1385" s="25" t="n">
        <v>516737</v>
      </c>
      <c r="B1385" s="25" t="inlineStr">
        <is>
          <t>750ml</t>
        </is>
      </c>
    </row>
    <row r="1386">
      <c r="A1386" s="25" t="n">
        <v>43338</v>
      </c>
      <c r="B1386" s="25" t="inlineStr">
        <is>
          <t>1.75L</t>
        </is>
      </c>
    </row>
    <row r="1387">
      <c r="A1387" s="25" t="n">
        <v>495811</v>
      </c>
      <c r="B1387" s="25" t="inlineStr">
        <is>
          <t>750ml</t>
        </is>
      </c>
    </row>
    <row r="1388">
      <c r="A1388" s="25" t="n">
        <v>27116</v>
      </c>
      <c r="B1388" s="25" t="inlineStr">
        <is>
          <t>750ml</t>
        </is>
      </c>
    </row>
    <row r="1389">
      <c r="A1389" s="25" t="n">
        <v>87499</v>
      </c>
      <c r="B1389" s="25" t="inlineStr">
        <is>
          <t>750ml</t>
        </is>
      </c>
    </row>
    <row r="1390">
      <c r="A1390" s="25" t="n">
        <v>809130</v>
      </c>
      <c r="B1390" s="25" t="inlineStr">
        <is>
          <t>750ml</t>
        </is>
      </c>
    </row>
    <row r="1391">
      <c r="A1391" s="25" t="n">
        <v>552020</v>
      </c>
      <c r="B1391" s="25" t="inlineStr">
        <is>
          <t>1.5L</t>
        </is>
      </c>
    </row>
    <row r="1392">
      <c r="A1392" s="25" t="n">
        <v>378715</v>
      </c>
      <c r="B1392" s="25" t="inlineStr">
        <is>
          <t>1.5L</t>
        </is>
      </c>
    </row>
    <row r="1393">
      <c r="A1393" s="25" t="n">
        <v>480318</v>
      </c>
      <c r="B1393" s="25" t="inlineStr">
        <is>
          <t>1.5L</t>
        </is>
      </c>
    </row>
    <row r="1394">
      <c r="A1394" s="25" t="n">
        <v>68058</v>
      </c>
      <c r="B1394" s="25" t="inlineStr">
        <is>
          <t>1L</t>
        </is>
      </c>
    </row>
    <row r="1395">
      <c r="A1395" s="25" t="n">
        <v>35643</v>
      </c>
      <c r="B1395" s="25" t="inlineStr">
        <is>
          <t>200ml</t>
        </is>
      </c>
    </row>
    <row r="1396">
      <c r="A1396" s="25" t="n">
        <v>480100</v>
      </c>
      <c r="B1396" s="25" t="inlineStr">
        <is>
          <t>750ml</t>
        </is>
      </c>
    </row>
    <row r="1397">
      <c r="A1397" s="25" t="n">
        <v>101646</v>
      </c>
      <c r="B1397" s="25" t="inlineStr">
        <is>
          <t>355ml</t>
        </is>
      </c>
    </row>
    <row r="1398">
      <c r="A1398" s="25" t="n">
        <v>57148</v>
      </c>
      <c r="B1398" s="25" t="inlineStr">
        <is>
          <t>1.75L</t>
        </is>
      </c>
    </row>
    <row r="1399">
      <c r="A1399" s="25" t="n">
        <v>87410</v>
      </c>
      <c r="B1399" s="25" t="inlineStr">
        <is>
          <t>1.75L</t>
        </is>
      </c>
    </row>
    <row r="1400">
      <c r="A1400" s="25" t="n">
        <v>22787</v>
      </c>
      <c r="B1400" s="25" t="inlineStr">
        <is>
          <t>1L</t>
        </is>
      </c>
    </row>
    <row r="1401">
      <c r="A1401" s="25" t="n">
        <v>62369</v>
      </c>
      <c r="B1401" s="25" t="inlineStr">
        <is>
          <t>1.75L</t>
        </is>
      </c>
    </row>
    <row r="1402">
      <c r="A1402" s="25" t="n">
        <v>42666</v>
      </c>
      <c r="B1402" s="25" t="inlineStr">
        <is>
          <t>750ml</t>
        </is>
      </c>
    </row>
    <row r="1403">
      <c r="A1403" s="25" t="n">
        <v>101345</v>
      </c>
      <c r="B1403" s="25" t="inlineStr">
        <is>
          <t>1.75L</t>
        </is>
      </c>
    </row>
    <row r="1404">
      <c r="A1404" s="25" t="n">
        <v>510930</v>
      </c>
      <c r="B1404" s="25" t="inlineStr">
        <is>
          <t>750ml</t>
        </is>
      </c>
    </row>
    <row r="1405">
      <c r="A1405" s="25" t="n">
        <v>728795</v>
      </c>
      <c r="B1405" s="25" t="inlineStr">
        <is>
          <t>750ml</t>
        </is>
      </c>
    </row>
    <row r="1406">
      <c r="A1406" s="25" t="n">
        <v>882386</v>
      </c>
      <c r="B1406" s="25" t="inlineStr">
        <is>
          <t>750ml</t>
        </is>
      </c>
    </row>
    <row r="1407">
      <c r="A1407" s="25" t="n">
        <v>485544</v>
      </c>
      <c r="B1407" s="25" t="inlineStr">
        <is>
          <t>750ml</t>
        </is>
      </c>
    </row>
    <row r="1408">
      <c r="A1408" s="25" t="n">
        <v>494680</v>
      </c>
      <c r="B1408" s="25" t="inlineStr">
        <is>
          <t>750ml</t>
        </is>
      </c>
    </row>
    <row r="1409">
      <c r="A1409" s="25" t="n">
        <v>43109</v>
      </c>
      <c r="B1409" s="25" t="inlineStr">
        <is>
          <t>750ml</t>
        </is>
      </c>
    </row>
    <row r="1410">
      <c r="A1410" s="25" t="n">
        <v>579926</v>
      </c>
      <c r="B1410" s="25" t="inlineStr">
        <is>
          <t>750ml</t>
        </is>
      </c>
    </row>
    <row r="1411">
      <c r="A1411" s="25" t="n">
        <v>17527</v>
      </c>
      <c r="B1411" s="25" t="inlineStr">
        <is>
          <t>750ml</t>
        </is>
      </c>
    </row>
    <row r="1412">
      <c r="A1412" s="25" t="n">
        <v>36108</v>
      </c>
      <c r="B1412" s="25" t="inlineStr">
        <is>
          <t>1.75L</t>
        </is>
      </c>
    </row>
    <row r="1413">
      <c r="A1413" s="25" t="n">
        <v>59101</v>
      </c>
      <c r="B1413" s="25" t="inlineStr">
        <is>
          <t>1.75L</t>
        </is>
      </c>
    </row>
    <row r="1414">
      <c r="A1414" s="25" t="n">
        <v>87937</v>
      </c>
      <c r="B1414" s="25" t="inlineStr">
        <is>
          <t>1L</t>
        </is>
      </c>
    </row>
    <row r="1415">
      <c r="A1415" s="25" t="n">
        <v>86669</v>
      </c>
      <c r="B1415" s="25" t="inlineStr">
        <is>
          <t>375ml</t>
        </is>
      </c>
    </row>
    <row r="1416">
      <c r="A1416" s="25" t="n">
        <v>729029</v>
      </c>
      <c r="B1416" s="25" t="inlineStr">
        <is>
          <t>375ml</t>
        </is>
      </c>
    </row>
    <row r="1417">
      <c r="A1417" s="25" t="n">
        <v>65128</v>
      </c>
      <c r="B1417" s="25" t="inlineStr">
        <is>
          <t>1.75L</t>
        </is>
      </c>
    </row>
    <row r="1418">
      <c r="A1418" s="25" t="n">
        <v>58800</v>
      </c>
      <c r="B1418" s="25" t="inlineStr">
        <is>
          <t>750ml</t>
        </is>
      </c>
    </row>
    <row r="1419">
      <c r="A1419" s="25" t="n">
        <v>267720</v>
      </c>
      <c r="B1419" s="25" t="inlineStr">
        <is>
          <t>750ml</t>
        </is>
      </c>
    </row>
    <row r="1420">
      <c r="A1420" s="25" t="n">
        <v>417927</v>
      </c>
      <c r="B1420" s="25" t="inlineStr">
        <is>
          <t>750ml</t>
        </is>
      </c>
    </row>
    <row r="1421">
      <c r="A1421" s="25" t="n">
        <v>581330</v>
      </c>
      <c r="B1421" s="25" t="inlineStr">
        <is>
          <t>750ml</t>
        </is>
      </c>
    </row>
    <row r="1422">
      <c r="A1422" s="25" t="n">
        <v>36368</v>
      </c>
      <c r="B1422" s="25" t="inlineStr">
        <is>
          <t>1.75L</t>
        </is>
      </c>
    </row>
    <row r="1423">
      <c r="A1423" s="25" t="n">
        <v>38083</v>
      </c>
      <c r="B1423" s="25" t="inlineStr">
        <is>
          <t>200ml</t>
        </is>
      </c>
    </row>
    <row r="1424">
      <c r="A1424" s="25" t="n">
        <v>56805</v>
      </c>
      <c r="B1424" s="25" t="inlineStr">
        <is>
          <t>750ml</t>
        </is>
      </c>
    </row>
    <row r="1425">
      <c r="A1425" s="25" t="n">
        <v>418719</v>
      </c>
      <c r="B1425" s="25" t="inlineStr">
        <is>
          <t>750ml</t>
        </is>
      </c>
    </row>
    <row r="1426">
      <c r="A1426" s="25" t="n">
        <v>762840</v>
      </c>
      <c r="B1426" s="25" t="inlineStr">
        <is>
          <t>750ml</t>
        </is>
      </c>
    </row>
    <row r="1427">
      <c r="A1427" s="25" t="n">
        <v>17090</v>
      </c>
      <c r="B1427" s="25" t="inlineStr">
        <is>
          <t>750ml</t>
        </is>
      </c>
    </row>
    <row r="1428">
      <c r="A1428" s="25" t="n">
        <v>58263</v>
      </c>
      <c r="B1428" s="25" t="inlineStr">
        <is>
          <t>355ml</t>
        </is>
      </c>
    </row>
    <row r="1429">
      <c r="A1429" s="25" t="n">
        <v>892878</v>
      </c>
      <c r="B1429" s="25" t="inlineStr">
        <is>
          <t>750ml</t>
        </is>
      </c>
    </row>
    <row r="1430">
      <c r="A1430" s="25" t="n">
        <v>73753</v>
      </c>
      <c r="B1430" s="25" t="inlineStr">
        <is>
          <t>200ml</t>
        </is>
      </c>
    </row>
    <row r="1431">
      <c r="A1431" s="25" t="n">
        <v>15982</v>
      </c>
      <c r="B1431" s="25" t="inlineStr">
        <is>
          <t>750ml</t>
        </is>
      </c>
    </row>
    <row r="1432">
      <c r="A1432" s="25" t="n">
        <v>562408</v>
      </c>
      <c r="B1432" s="25" t="inlineStr">
        <is>
          <t>750ml</t>
        </is>
      </c>
    </row>
    <row r="1433">
      <c r="A1433" s="25" t="n">
        <v>98154</v>
      </c>
      <c r="B1433" s="25" t="inlineStr">
        <is>
          <t>750ml</t>
        </is>
      </c>
    </row>
    <row r="1434">
      <c r="A1434" s="25" t="n">
        <v>378920</v>
      </c>
      <c r="B1434" s="25" t="inlineStr">
        <is>
          <t>3L</t>
        </is>
      </c>
    </row>
    <row r="1435">
      <c r="A1435" s="25" t="n">
        <v>566575</v>
      </c>
      <c r="B1435" s="25" t="inlineStr">
        <is>
          <t>5L</t>
        </is>
      </c>
    </row>
    <row r="1436">
      <c r="A1436" s="25" t="n">
        <v>489388</v>
      </c>
      <c r="B1436" s="25" t="inlineStr">
        <is>
          <t>750ml</t>
        </is>
      </c>
    </row>
    <row r="1437">
      <c r="A1437" s="25" t="n">
        <v>16814</v>
      </c>
      <c r="B1437" s="25" t="inlineStr">
        <is>
          <t>750ml</t>
        </is>
      </c>
    </row>
    <row r="1438">
      <c r="A1438" s="25" t="n">
        <v>100015</v>
      </c>
      <c r="B1438" s="25" t="inlineStr">
        <is>
          <t>1.75L</t>
        </is>
      </c>
    </row>
    <row r="1439">
      <c r="A1439" s="25" t="n">
        <v>98097</v>
      </c>
      <c r="B1439" s="25" t="inlineStr">
        <is>
          <t>750ml</t>
        </is>
      </c>
    </row>
    <row r="1440">
      <c r="A1440" s="25" t="n">
        <v>88738</v>
      </c>
      <c r="B1440" s="25" t="inlineStr">
        <is>
          <t>1.75L</t>
        </is>
      </c>
    </row>
    <row r="1441">
      <c r="A1441" s="25" t="n">
        <v>67708</v>
      </c>
      <c r="B1441" s="25" t="inlineStr">
        <is>
          <t>1.75L</t>
        </is>
      </c>
    </row>
    <row r="1442">
      <c r="A1442" s="25" t="n">
        <v>89191</v>
      </c>
      <c r="B1442" s="25" t="inlineStr">
        <is>
          <t>50ml</t>
        </is>
      </c>
    </row>
    <row r="1443">
      <c r="A1443" s="25" t="n">
        <v>48101</v>
      </c>
      <c r="B1443" s="25" t="inlineStr">
        <is>
          <t>50ml</t>
        </is>
      </c>
    </row>
    <row r="1444">
      <c r="A1444" s="25" t="n">
        <v>737350</v>
      </c>
      <c r="B1444" s="25" t="inlineStr">
        <is>
          <t>750ml</t>
        </is>
      </c>
    </row>
    <row r="1445">
      <c r="A1445" s="25" t="n">
        <v>40359</v>
      </c>
      <c r="B1445" s="25" t="inlineStr">
        <is>
          <t>750ml</t>
        </is>
      </c>
    </row>
    <row r="1446">
      <c r="A1446" s="25" t="n">
        <v>445937</v>
      </c>
      <c r="B1446" s="25" t="inlineStr">
        <is>
          <t>750ml</t>
        </is>
      </c>
    </row>
    <row r="1447">
      <c r="A1447" s="25" t="n">
        <v>12858</v>
      </c>
      <c r="B1447" s="25" t="inlineStr">
        <is>
          <t>1.75L</t>
        </is>
      </c>
    </row>
    <row r="1448">
      <c r="A1448" s="25" t="n">
        <v>417537</v>
      </c>
      <c r="B1448" s="25" t="inlineStr">
        <is>
          <t>750ml</t>
        </is>
      </c>
    </row>
    <row r="1449">
      <c r="A1449" s="25" t="n">
        <v>12463</v>
      </c>
      <c r="B1449" s="25" t="inlineStr">
        <is>
          <t>200ml</t>
        </is>
      </c>
    </row>
    <row r="1450">
      <c r="A1450" s="25" t="n">
        <v>49086</v>
      </c>
      <c r="B1450" s="25" t="inlineStr">
        <is>
          <t>750ml</t>
        </is>
      </c>
    </row>
    <row r="1451">
      <c r="A1451" s="25" t="n">
        <v>882335</v>
      </c>
      <c r="B1451" s="25" t="inlineStr">
        <is>
          <t>3L</t>
        </is>
      </c>
    </row>
    <row r="1452">
      <c r="A1452" s="25" t="n">
        <v>892859</v>
      </c>
      <c r="B1452" s="25" t="inlineStr">
        <is>
          <t>1.5L</t>
        </is>
      </c>
    </row>
    <row r="1453">
      <c r="A1453" s="25" t="n">
        <v>43771</v>
      </c>
      <c r="B1453" s="25" t="inlineStr">
        <is>
          <t>750ml</t>
        </is>
      </c>
    </row>
    <row r="1454">
      <c r="A1454" s="25" t="n">
        <v>375060</v>
      </c>
      <c r="B1454" s="25" t="inlineStr">
        <is>
          <t>750ml</t>
        </is>
      </c>
    </row>
    <row r="1455">
      <c r="A1455" s="25" t="n">
        <v>88114</v>
      </c>
      <c r="B1455" s="25" t="inlineStr">
        <is>
          <t>375ml</t>
        </is>
      </c>
    </row>
    <row r="1456">
      <c r="A1456" s="25" t="n">
        <v>467725</v>
      </c>
      <c r="B1456" s="25" t="inlineStr">
        <is>
          <t>3L</t>
        </is>
      </c>
    </row>
    <row r="1457">
      <c r="A1457" s="25" t="n">
        <v>515989</v>
      </c>
      <c r="B1457" s="25" t="inlineStr">
        <is>
          <t>750ml</t>
        </is>
      </c>
    </row>
    <row r="1458">
      <c r="A1458" s="25" t="n">
        <v>57095</v>
      </c>
      <c r="B1458" s="25" t="inlineStr">
        <is>
          <t>200ml</t>
        </is>
      </c>
    </row>
    <row r="1459">
      <c r="A1459" s="25" t="n">
        <v>20536</v>
      </c>
      <c r="B1459" s="25" t="inlineStr">
        <is>
          <t>750ml</t>
        </is>
      </c>
    </row>
    <row r="1460">
      <c r="A1460" s="25" t="n">
        <v>40053</v>
      </c>
      <c r="B1460" s="25" t="inlineStr">
        <is>
          <t>750ml</t>
        </is>
      </c>
    </row>
    <row r="1461">
      <c r="A1461" s="25" t="n">
        <v>49255</v>
      </c>
      <c r="B1461" s="25" t="inlineStr">
        <is>
          <t>750ml</t>
        </is>
      </c>
    </row>
    <row r="1462">
      <c r="A1462" s="25" t="n">
        <v>445911</v>
      </c>
      <c r="B1462" s="25" t="inlineStr">
        <is>
          <t>750ml</t>
        </is>
      </c>
    </row>
    <row r="1463">
      <c r="A1463" s="25" t="n">
        <v>26573</v>
      </c>
      <c r="B1463" s="25" t="inlineStr">
        <is>
          <t>750ml</t>
        </is>
      </c>
    </row>
    <row r="1464">
      <c r="A1464" s="25" t="n">
        <v>34458</v>
      </c>
      <c r="B1464" s="25" t="inlineStr">
        <is>
          <t>1.75L</t>
        </is>
      </c>
    </row>
    <row r="1465">
      <c r="A1465" s="25" t="n">
        <v>84223</v>
      </c>
      <c r="B1465" s="25" t="inlineStr">
        <is>
          <t>50ml</t>
        </is>
      </c>
    </row>
    <row r="1466">
      <c r="A1466" s="25" t="n">
        <v>95484</v>
      </c>
      <c r="B1466" s="25" t="inlineStr">
        <is>
          <t>750ml</t>
        </is>
      </c>
    </row>
    <row r="1467">
      <c r="A1467" s="25" t="n">
        <v>5130</v>
      </c>
      <c r="B1467" s="25" t="inlineStr">
        <is>
          <t>1.75L</t>
        </is>
      </c>
    </row>
    <row r="1468">
      <c r="A1468" s="25" t="n">
        <v>80696</v>
      </c>
      <c r="B1468" s="25" t="inlineStr">
        <is>
          <t>750ml</t>
        </is>
      </c>
    </row>
    <row r="1469">
      <c r="A1469" s="25" t="n">
        <v>52596</v>
      </c>
      <c r="B1469" s="25" t="inlineStr">
        <is>
          <t>750ml</t>
        </is>
      </c>
    </row>
    <row r="1470">
      <c r="A1470" s="25" t="n">
        <v>18201</v>
      </c>
      <c r="B1470" s="25" t="inlineStr">
        <is>
          <t>750ml</t>
        </is>
      </c>
    </row>
    <row r="1471">
      <c r="A1471" s="25" t="n">
        <v>388779</v>
      </c>
      <c r="B1471" s="25" t="inlineStr">
        <is>
          <t>750ml</t>
        </is>
      </c>
    </row>
    <row r="1472">
      <c r="A1472" s="25" t="n">
        <v>33258</v>
      </c>
      <c r="B1472" s="25" t="inlineStr">
        <is>
          <t>1.75L</t>
        </is>
      </c>
    </row>
    <row r="1473">
      <c r="A1473" s="25" t="n">
        <v>34267</v>
      </c>
      <c r="B1473" s="25" t="inlineStr">
        <is>
          <t>750ml</t>
        </is>
      </c>
    </row>
    <row r="1474">
      <c r="A1474" s="25" t="n">
        <v>445314</v>
      </c>
      <c r="B1474" s="25" t="inlineStr">
        <is>
          <t>3L</t>
        </is>
      </c>
    </row>
    <row r="1475">
      <c r="A1475" s="25" t="n">
        <v>813910</v>
      </c>
      <c r="B1475" s="25" t="inlineStr">
        <is>
          <t>750ml</t>
        </is>
      </c>
    </row>
    <row r="1476">
      <c r="A1476" s="25" t="n">
        <v>619470</v>
      </c>
      <c r="B1476" s="25" t="inlineStr">
        <is>
          <t>750ml</t>
        </is>
      </c>
    </row>
    <row r="1477">
      <c r="A1477" s="25" t="n">
        <v>63206</v>
      </c>
      <c r="B1477" s="25" t="inlineStr">
        <is>
          <t>355ml</t>
        </is>
      </c>
    </row>
    <row r="1478">
      <c r="A1478" s="25" t="n">
        <v>429911</v>
      </c>
      <c r="B1478" s="25" t="inlineStr">
        <is>
          <t>750ml</t>
        </is>
      </c>
    </row>
    <row r="1479">
      <c r="A1479" s="25" t="n">
        <v>704126</v>
      </c>
      <c r="B1479" s="25" t="inlineStr">
        <is>
          <t>750ml</t>
        </is>
      </c>
    </row>
    <row r="1480">
      <c r="A1480" s="25" t="n">
        <v>65200</v>
      </c>
      <c r="B1480" s="25" t="inlineStr">
        <is>
          <t>750ml</t>
        </is>
      </c>
    </row>
    <row r="1481">
      <c r="A1481" s="25" t="n">
        <v>34188</v>
      </c>
      <c r="B1481" s="25" t="inlineStr">
        <is>
          <t>750ml</t>
        </is>
      </c>
    </row>
    <row r="1482">
      <c r="A1482" s="25" t="n">
        <v>42031</v>
      </c>
      <c r="B1482" s="25" t="inlineStr">
        <is>
          <t>750ml</t>
        </is>
      </c>
    </row>
    <row r="1483">
      <c r="A1483" s="25" t="n">
        <v>78107</v>
      </c>
      <c r="B1483" s="25" t="inlineStr">
        <is>
          <t>750ml</t>
        </is>
      </c>
    </row>
    <row r="1484">
      <c r="A1484" s="25" t="n">
        <v>41833</v>
      </c>
      <c r="B1484" s="25" t="inlineStr">
        <is>
          <t>200ml</t>
        </is>
      </c>
    </row>
    <row r="1485">
      <c r="A1485" s="25" t="n">
        <v>462506</v>
      </c>
      <c r="B1485" s="25" t="inlineStr">
        <is>
          <t>750ml</t>
        </is>
      </c>
    </row>
    <row r="1486">
      <c r="A1486" s="25" t="n">
        <v>379650</v>
      </c>
      <c r="B1486" s="25" t="inlineStr">
        <is>
          <t>750ml</t>
        </is>
      </c>
    </row>
    <row r="1487">
      <c r="A1487" s="25" t="n">
        <v>64418</v>
      </c>
      <c r="B1487" s="25" t="inlineStr">
        <is>
          <t>750ml</t>
        </is>
      </c>
    </row>
    <row r="1488">
      <c r="A1488" s="25" t="n">
        <v>64572</v>
      </c>
      <c r="B1488" s="25" t="inlineStr">
        <is>
          <t>375ml</t>
        </is>
      </c>
    </row>
    <row r="1489">
      <c r="A1489" s="25" t="n">
        <v>504642</v>
      </c>
      <c r="B1489" s="25" t="inlineStr">
        <is>
          <t>750ml</t>
        </is>
      </c>
    </row>
    <row r="1490">
      <c r="A1490" s="25" t="n">
        <v>86545</v>
      </c>
      <c r="B1490" s="25" t="inlineStr">
        <is>
          <t>750ml</t>
        </is>
      </c>
    </row>
    <row r="1491">
      <c r="A1491" s="25" t="n">
        <v>26905</v>
      </c>
      <c r="B1491" s="25" t="inlineStr">
        <is>
          <t>375ml</t>
        </is>
      </c>
    </row>
    <row r="1492">
      <c r="A1492" s="25" t="n">
        <v>31492</v>
      </c>
      <c r="B1492" s="25" t="inlineStr">
        <is>
          <t>375ml</t>
        </is>
      </c>
    </row>
    <row r="1493">
      <c r="A1493" s="25" t="n">
        <v>89066</v>
      </c>
      <c r="B1493" s="25" t="inlineStr">
        <is>
          <t>750ml</t>
        </is>
      </c>
    </row>
    <row r="1494">
      <c r="A1494" s="25" t="n">
        <v>87035</v>
      </c>
      <c r="B1494" s="25" t="inlineStr">
        <is>
          <t>50ml</t>
        </is>
      </c>
    </row>
    <row r="1495">
      <c r="A1495" s="25" t="n">
        <v>606290</v>
      </c>
      <c r="B1495" s="25" t="inlineStr">
        <is>
          <t>750ml</t>
        </is>
      </c>
    </row>
    <row r="1496">
      <c r="A1496" s="25" t="n">
        <v>626310</v>
      </c>
      <c r="B1496" s="25" t="inlineStr">
        <is>
          <t>750ml</t>
        </is>
      </c>
    </row>
    <row r="1497">
      <c r="A1497" s="25" t="n">
        <v>89838</v>
      </c>
      <c r="B1497" s="25" t="inlineStr">
        <is>
          <t>1.75L</t>
        </is>
      </c>
    </row>
    <row r="1498">
      <c r="A1498" s="25" t="n">
        <v>88355</v>
      </c>
      <c r="B1498" s="25" t="inlineStr">
        <is>
          <t>1L</t>
        </is>
      </c>
    </row>
    <row r="1499">
      <c r="A1499" s="25" t="n">
        <v>16843</v>
      </c>
      <c r="B1499" s="25" t="inlineStr">
        <is>
          <t>750ml</t>
        </is>
      </c>
    </row>
    <row r="1500">
      <c r="A1500" s="25" t="n">
        <v>744400</v>
      </c>
      <c r="B1500" s="25" t="inlineStr">
        <is>
          <t>750ml</t>
        </is>
      </c>
    </row>
    <row r="1501">
      <c r="A1501" s="25" t="n">
        <v>583815</v>
      </c>
      <c r="B1501" s="25" t="inlineStr">
        <is>
          <t>1.5L</t>
        </is>
      </c>
    </row>
    <row r="1502">
      <c r="A1502" s="25" t="n">
        <v>630814</v>
      </c>
      <c r="B1502" s="25" t="inlineStr">
        <is>
          <t>187ml</t>
        </is>
      </c>
    </row>
    <row r="1503">
      <c r="A1503" s="25" t="n">
        <v>77852</v>
      </c>
      <c r="B1503" s="25" t="inlineStr">
        <is>
          <t>750ml</t>
        </is>
      </c>
    </row>
    <row r="1504">
      <c r="A1504" s="25" t="n">
        <v>65467</v>
      </c>
      <c r="B1504" s="25" t="inlineStr">
        <is>
          <t>750ml</t>
        </is>
      </c>
    </row>
    <row r="1505">
      <c r="A1505" s="25" t="n">
        <v>803475</v>
      </c>
      <c r="B1505" s="25" t="inlineStr">
        <is>
          <t>1.5L</t>
        </is>
      </c>
    </row>
    <row r="1506">
      <c r="A1506" s="25" t="n">
        <v>516815</v>
      </c>
      <c r="B1506" s="25" t="inlineStr">
        <is>
          <t>1.5L</t>
        </is>
      </c>
    </row>
    <row r="1507">
      <c r="A1507" s="25" t="n">
        <v>86748</v>
      </c>
      <c r="B1507" s="25" t="inlineStr">
        <is>
          <t>750ml</t>
        </is>
      </c>
    </row>
    <row r="1508">
      <c r="A1508" s="25" t="n">
        <v>544094</v>
      </c>
      <c r="B1508" s="25" t="inlineStr">
        <is>
          <t>3L</t>
        </is>
      </c>
    </row>
    <row r="1509">
      <c r="A1509" s="25" t="n">
        <v>460389</v>
      </c>
      <c r="B1509" s="25" t="inlineStr">
        <is>
          <t>750ml</t>
        </is>
      </c>
    </row>
    <row r="1510">
      <c r="A1510" s="25" t="n">
        <v>31475</v>
      </c>
      <c r="B1510" s="25" t="inlineStr">
        <is>
          <t>750ml</t>
        </is>
      </c>
    </row>
    <row r="1511">
      <c r="A1511" s="25" t="n">
        <v>561023</v>
      </c>
      <c r="B1511" s="25" t="inlineStr">
        <is>
          <t>3L</t>
        </is>
      </c>
    </row>
    <row r="1512">
      <c r="A1512" s="25" t="n">
        <v>84170</v>
      </c>
      <c r="B1512" s="25" t="inlineStr">
        <is>
          <t>750ml</t>
        </is>
      </c>
    </row>
    <row r="1513">
      <c r="A1513" s="25" t="n">
        <v>5133</v>
      </c>
      <c r="B1513" s="25" t="inlineStr">
        <is>
          <t>750ml</t>
        </is>
      </c>
    </row>
    <row r="1514">
      <c r="A1514" s="25" t="n">
        <v>888059</v>
      </c>
      <c r="B1514" s="25" t="inlineStr">
        <is>
          <t>1.5L</t>
        </is>
      </c>
    </row>
    <row r="1515">
      <c r="A1515" s="25" t="n">
        <v>101046</v>
      </c>
      <c r="B1515" s="25" t="inlineStr">
        <is>
          <t>50ml</t>
        </is>
      </c>
    </row>
    <row r="1516">
      <c r="A1516" s="25" t="n">
        <v>41310</v>
      </c>
      <c r="B1516" s="25" t="inlineStr">
        <is>
          <t>750ml</t>
        </is>
      </c>
    </row>
    <row r="1517">
      <c r="A1517" s="25" t="n">
        <v>379260</v>
      </c>
      <c r="B1517" s="25" t="inlineStr">
        <is>
          <t>750ml</t>
        </is>
      </c>
    </row>
    <row r="1518">
      <c r="A1518" s="25" t="n">
        <v>89519</v>
      </c>
      <c r="B1518" s="25" t="inlineStr">
        <is>
          <t>750ml</t>
        </is>
      </c>
    </row>
    <row r="1519">
      <c r="A1519" s="25" t="n">
        <v>430005</v>
      </c>
      <c r="B1519" s="25" t="inlineStr">
        <is>
          <t>1.5L</t>
        </is>
      </c>
    </row>
    <row r="1520">
      <c r="A1520" s="25" t="n">
        <v>776410</v>
      </c>
      <c r="B1520" s="25" t="inlineStr">
        <is>
          <t>750ml</t>
        </is>
      </c>
    </row>
    <row r="1521">
      <c r="A1521" s="25" t="n">
        <v>513504</v>
      </c>
      <c r="B1521" s="25" t="inlineStr">
        <is>
          <t>187ml</t>
        </is>
      </c>
    </row>
    <row r="1522">
      <c r="A1522" s="25" t="n">
        <v>19009</v>
      </c>
      <c r="B1522" s="25" t="inlineStr">
        <is>
          <t>750ml</t>
        </is>
      </c>
    </row>
    <row r="1523">
      <c r="A1523" s="25" t="n">
        <v>562180</v>
      </c>
      <c r="B1523" s="25" t="inlineStr">
        <is>
          <t>750ml</t>
        </is>
      </c>
    </row>
    <row r="1524">
      <c r="A1524" s="25" t="n">
        <v>32833</v>
      </c>
      <c r="B1524" s="25" t="inlineStr">
        <is>
          <t>750ml</t>
        </is>
      </c>
    </row>
    <row r="1525">
      <c r="A1525" s="25" t="n">
        <v>28278</v>
      </c>
      <c r="B1525" s="25" t="inlineStr">
        <is>
          <t>375ml</t>
        </is>
      </c>
    </row>
    <row r="1526">
      <c r="A1526" s="25" t="n">
        <v>544107</v>
      </c>
      <c r="B1526" s="25" t="inlineStr">
        <is>
          <t>187ml</t>
        </is>
      </c>
    </row>
    <row r="1527">
      <c r="A1527" s="25" t="n">
        <v>44218</v>
      </c>
      <c r="B1527" s="25" t="inlineStr">
        <is>
          <t>1.75L</t>
        </is>
      </c>
    </row>
    <row r="1528">
      <c r="A1528" s="25" t="n">
        <v>19485</v>
      </c>
      <c r="B1528" s="25" t="inlineStr">
        <is>
          <t>375ml</t>
        </is>
      </c>
    </row>
    <row r="1529">
      <c r="A1529" s="25" t="n">
        <v>29576</v>
      </c>
      <c r="B1529" s="25" t="inlineStr">
        <is>
          <t>750ml</t>
        </is>
      </c>
    </row>
    <row r="1530">
      <c r="A1530" s="25" t="n">
        <v>5635</v>
      </c>
      <c r="B1530" s="25" t="inlineStr">
        <is>
          <t>750ml</t>
        </is>
      </c>
    </row>
    <row r="1531">
      <c r="A1531" s="25" t="n">
        <v>289830</v>
      </c>
      <c r="B1531" s="25" t="inlineStr">
        <is>
          <t>750ml</t>
        </is>
      </c>
    </row>
    <row r="1532">
      <c r="A1532" s="25" t="n">
        <v>5061</v>
      </c>
      <c r="B1532" s="25" t="inlineStr">
        <is>
          <t>750ml</t>
        </is>
      </c>
    </row>
    <row r="1533">
      <c r="A1533" s="25" t="n">
        <v>37982</v>
      </c>
      <c r="B1533" s="25" t="inlineStr">
        <is>
          <t>50ml</t>
        </is>
      </c>
    </row>
    <row r="1534">
      <c r="A1534" s="25" t="n">
        <v>547123</v>
      </c>
      <c r="B1534" s="25" t="inlineStr">
        <is>
          <t>3L</t>
        </is>
      </c>
    </row>
    <row r="1535">
      <c r="A1535" s="25" t="n">
        <v>493000</v>
      </c>
      <c r="B1535" s="25" t="inlineStr">
        <is>
          <t>750ml</t>
        </is>
      </c>
    </row>
    <row r="1536">
      <c r="A1536" s="25" t="n">
        <v>656825</v>
      </c>
      <c r="B1536" s="25" t="inlineStr">
        <is>
          <t>1.5L</t>
        </is>
      </c>
    </row>
    <row r="1537">
      <c r="A1537" s="25" t="n">
        <v>496380</v>
      </c>
      <c r="B1537" s="25" t="inlineStr">
        <is>
          <t>750ml</t>
        </is>
      </c>
    </row>
    <row r="1538">
      <c r="A1538" s="25" t="n">
        <v>82820</v>
      </c>
      <c r="B1538" s="25" t="inlineStr">
        <is>
          <t>750ml</t>
        </is>
      </c>
    </row>
    <row r="1539">
      <c r="A1539" s="25" t="n">
        <v>10838</v>
      </c>
      <c r="B1539" s="25" t="inlineStr">
        <is>
          <t>1.75L</t>
        </is>
      </c>
    </row>
    <row r="1540">
      <c r="A1540" s="25" t="n">
        <v>506207</v>
      </c>
      <c r="B1540" s="25" t="inlineStr">
        <is>
          <t>750ml</t>
        </is>
      </c>
    </row>
    <row r="1541">
      <c r="A1541" s="25" t="n">
        <v>34007</v>
      </c>
      <c r="B1541" s="25" t="inlineStr">
        <is>
          <t>1L</t>
        </is>
      </c>
    </row>
    <row r="1542">
      <c r="A1542" s="25" t="n">
        <v>43038</v>
      </c>
      <c r="B1542" s="25" t="inlineStr">
        <is>
          <t>1.75L</t>
        </is>
      </c>
    </row>
    <row r="1543">
      <c r="A1543" s="25" t="n">
        <v>38194</v>
      </c>
      <c r="B1543" s="25" t="inlineStr">
        <is>
          <t>50ml</t>
        </is>
      </c>
    </row>
    <row r="1544">
      <c r="A1544" s="25" t="n">
        <v>35628</v>
      </c>
      <c r="B1544" s="25" t="inlineStr">
        <is>
          <t>1.75L</t>
        </is>
      </c>
    </row>
    <row r="1545">
      <c r="A1545" s="25" t="n">
        <v>47543</v>
      </c>
      <c r="B1545" s="25" t="inlineStr">
        <is>
          <t>200ml</t>
        </is>
      </c>
    </row>
    <row r="1546">
      <c r="A1546" s="25" t="n">
        <v>515857</v>
      </c>
      <c r="B1546" s="25" t="inlineStr">
        <is>
          <t>750ml</t>
        </is>
      </c>
    </row>
    <row r="1547">
      <c r="A1547" s="25" t="n">
        <v>75088</v>
      </c>
      <c r="B1547" s="25" t="inlineStr">
        <is>
          <t>1.75L</t>
        </is>
      </c>
    </row>
    <row r="1548">
      <c r="A1548" s="25" t="n">
        <v>5339</v>
      </c>
      <c r="B1548" s="25" t="inlineStr">
        <is>
          <t>1.75L</t>
        </is>
      </c>
    </row>
    <row r="1549">
      <c r="A1549" s="25" t="n">
        <v>39465</v>
      </c>
      <c r="B1549" s="25" t="inlineStr">
        <is>
          <t>375ml</t>
        </is>
      </c>
    </row>
    <row r="1550">
      <c r="A1550" s="25" t="n">
        <v>101614</v>
      </c>
      <c r="B1550" s="25" t="inlineStr">
        <is>
          <t>750ml</t>
        </is>
      </c>
    </row>
    <row r="1551">
      <c r="A1551" s="25" t="n">
        <v>442569</v>
      </c>
      <c r="B1551" s="25" t="inlineStr">
        <is>
          <t>187ml</t>
        </is>
      </c>
    </row>
    <row r="1552">
      <c r="A1552" s="25" t="n">
        <v>520200</v>
      </c>
      <c r="B1552" s="25" t="inlineStr">
        <is>
          <t>750ml</t>
        </is>
      </c>
    </row>
    <row r="1553">
      <c r="A1553" s="25" t="n">
        <v>64696</v>
      </c>
      <c r="B1553" s="25" t="inlineStr">
        <is>
          <t>750ml</t>
        </is>
      </c>
    </row>
    <row r="1554">
      <c r="A1554" s="25" t="n">
        <v>563400</v>
      </c>
      <c r="B1554" s="25" t="inlineStr">
        <is>
          <t>750ml</t>
        </is>
      </c>
    </row>
    <row r="1555">
      <c r="A1555" s="25" t="n">
        <v>34786</v>
      </c>
      <c r="B1555" s="25" t="inlineStr">
        <is>
          <t>750ml</t>
        </is>
      </c>
    </row>
    <row r="1556">
      <c r="A1556" s="25" t="n">
        <v>101151</v>
      </c>
      <c r="B1556" s="25" t="inlineStr">
        <is>
          <t>50ml</t>
        </is>
      </c>
    </row>
    <row r="1557">
      <c r="A1557" s="25" t="n">
        <v>769005</v>
      </c>
      <c r="B1557" s="25" t="inlineStr">
        <is>
          <t>750ml</t>
        </is>
      </c>
    </row>
    <row r="1558">
      <c r="A1558" s="25" t="n">
        <v>355807</v>
      </c>
      <c r="B1558" s="25" t="inlineStr">
        <is>
          <t>187ml</t>
        </is>
      </c>
    </row>
    <row r="1559">
      <c r="A1559" s="25" t="n">
        <v>579776</v>
      </c>
      <c r="B1559" s="25" t="inlineStr">
        <is>
          <t>750ml</t>
        </is>
      </c>
    </row>
    <row r="1560">
      <c r="A1560" s="25" t="n">
        <v>43205</v>
      </c>
      <c r="B1560" s="25" t="inlineStr">
        <is>
          <t>750ml</t>
        </is>
      </c>
    </row>
    <row r="1561">
      <c r="A1561" s="25" t="n">
        <v>43876</v>
      </c>
      <c r="B1561" s="25" t="inlineStr">
        <is>
          <t>750ml</t>
        </is>
      </c>
    </row>
    <row r="1562">
      <c r="A1562" s="25" t="n">
        <v>48120</v>
      </c>
      <c r="B1562" s="25" t="inlineStr">
        <is>
          <t>750ml</t>
        </is>
      </c>
    </row>
    <row r="1563">
      <c r="A1563" s="25" t="n">
        <v>419952</v>
      </c>
      <c r="B1563" s="25" t="inlineStr">
        <is>
          <t>750ml</t>
        </is>
      </c>
    </row>
    <row r="1564">
      <c r="A1564" s="25" t="n">
        <v>101848</v>
      </c>
      <c r="B1564" s="25" t="inlineStr">
        <is>
          <t>500ml</t>
        </is>
      </c>
    </row>
    <row r="1565">
      <c r="A1565" s="25" t="n">
        <v>489165</v>
      </c>
      <c r="B1565" s="25" t="inlineStr">
        <is>
          <t>750ml</t>
        </is>
      </c>
    </row>
    <row r="1566">
      <c r="A1566" s="25" t="n">
        <v>483420</v>
      </c>
      <c r="B1566" s="25" t="inlineStr">
        <is>
          <t>750ml</t>
        </is>
      </c>
    </row>
    <row r="1567">
      <c r="A1567" s="25" t="n">
        <v>430990</v>
      </c>
      <c r="B1567" s="25" t="inlineStr">
        <is>
          <t>750ml</t>
        </is>
      </c>
    </row>
    <row r="1568">
      <c r="A1568" s="25" t="n">
        <v>614112</v>
      </c>
      <c r="B1568" s="25" t="inlineStr">
        <is>
          <t>750ml</t>
        </is>
      </c>
    </row>
    <row r="1569">
      <c r="A1569" s="25" t="n">
        <v>508550</v>
      </c>
      <c r="B1569" s="25" t="inlineStr">
        <is>
          <t>750ml</t>
        </is>
      </c>
    </row>
    <row r="1570">
      <c r="A1570" s="25" t="n">
        <v>729073</v>
      </c>
      <c r="B1570" s="25" t="inlineStr">
        <is>
          <t>1.5L</t>
        </is>
      </c>
    </row>
    <row r="1571">
      <c r="A1571" s="25" t="n">
        <v>48164</v>
      </c>
      <c r="B1571" s="25" t="inlineStr">
        <is>
          <t>750ml</t>
        </is>
      </c>
    </row>
    <row r="1572">
      <c r="A1572" s="25" t="n">
        <v>16518</v>
      </c>
      <c r="B1572" s="25" t="inlineStr">
        <is>
          <t>1.75L</t>
        </is>
      </c>
    </row>
    <row r="1573">
      <c r="A1573" s="25" t="n">
        <v>18198</v>
      </c>
      <c r="B1573" s="25" t="inlineStr">
        <is>
          <t>1.75L</t>
        </is>
      </c>
    </row>
    <row r="1574">
      <c r="A1574" s="25" t="n">
        <v>42777</v>
      </c>
      <c r="B1574" s="25" t="inlineStr">
        <is>
          <t>750ml</t>
        </is>
      </c>
    </row>
    <row r="1575">
      <c r="A1575" s="25" t="n">
        <v>20366</v>
      </c>
      <c r="B1575" s="25" t="inlineStr">
        <is>
          <t>750ml</t>
        </is>
      </c>
    </row>
    <row r="1576">
      <c r="A1576" s="25" t="n">
        <v>78079</v>
      </c>
      <c r="B1576" s="25" t="inlineStr">
        <is>
          <t>750ml</t>
        </is>
      </c>
    </row>
    <row r="1577">
      <c r="A1577" s="25" t="n">
        <v>429980</v>
      </c>
      <c r="B1577" s="25" t="inlineStr">
        <is>
          <t>750ml</t>
        </is>
      </c>
    </row>
    <row r="1578">
      <c r="A1578" s="25" t="n">
        <v>68036</v>
      </c>
      <c r="B1578" s="25" t="inlineStr">
        <is>
          <t>750ml</t>
        </is>
      </c>
    </row>
    <row r="1579">
      <c r="A1579" s="25" t="n">
        <v>487010</v>
      </c>
      <c r="B1579" s="25" t="inlineStr">
        <is>
          <t>1.5L</t>
        </is>
      </c>
    </row>
    <row r="1580">
      <c r="A1580" s="25" t="n">
        <v>64511</v>
      </c>
      <c r="B1580" s="25" t="inlineStr">
        <is>
          <t>375ml</t>
        </is>
      </c>
    </row>
    <row r="1581">
      <c r="A1581" s="25" t="n">
        <v>80022</v>
      </c>
      <c r="B1581" s="25" t="inlineStr">
        <is>
          <t>750ml</t>
        </is>
      </c>
    </row>
    <row r="1582">
      <c r="A1582" s="25" t="n">
        <v>44499</v>
      </c>
      <c r="B1582" s="25" t="inlineStr">
        <is>
          <t>750ml</t>
        </is>
      </c>
    </row>
    <row r="1583">
      <c r="A1583" s="25" t="n">
        <v>64870</v>
      </c>
      <c r="B1583" s="25" t="inlineStr">
        <is>
          <t>100ml</t>
        </is>
      </c>
    </row>
    <row r="1584">
      <c r="A1584" s="25" t="n">
        <v>462767</v>
      </c>
      <c r="B1584" s="25" t="inlineStr">
        <is>
          <t>750ml</t>
        </is>
      </c>
    </row>
    <row r="1585">
      <c r="A1585" s="25" t="n">
        <v>84398</v>
      </c>
      <c r="B1585" s="25" t="inlineStr">
        <is>
          <t>50ml</t>
        </is>
      </c>
    </row>
    <row r="1586">
      <c r="A1586" s="25" t="n">
        <v>58872</v>
      </c>
      <c r="B1586" s="25" t="inlineStr">
        <is>
          <t>1.75L</t>
        </is>
      </c>
    </row>
    <row r="1587">
      <c r="A1587" s="25" t="n">
        <v>19227</v>
      </c>
      <c r="B1587" s="25" t="inlineStr">
        <is>
          <t>1L</t>
        </is>
      </c>
    </row>
    <row r="1588">
      <c r="A1588" s="25" t="n">
        <v>27454</v>
      </c>
      <c r="B1588" s="25" t="inlineStr">
        <is>
          <t>750ml</t>
        </is>
      </c>
    </row>
    <row r="1589">
      <c r="A1589" s="25" t="n">
        <v>45887</v>
      </c>
      <c r="B1589" s="25" t="inlineStr">
        <is>
          <t>1L</t>
        </is>
      </c>
    </row>
    <row r="1590">
      <c r="A1590" s="25" t="n">
        <v>37996</v>
      </c>
      <c r="B1590" s="25" t="inlineStr">
        <is>
          <t>750ml</t>
        </is>
      </c>
    </row>
    <row r="1591">
      <c r="A1591" s="25" t="n">
        <v>478770</v>
      </c>
      <c r="B1591" s="25" t="inlineStr">
        <is>
          <t>750ml</t>
        </is>
      </c>
    </row>
    <row r="1592">
      <c r="A1592" s="25" t="n">
        <v>729168</v>
      </c>
      <c r="B1592" s="25" t="inlineStr">
        <is>
          <t>187ml</t>
        </is>
      </c>
    </row>
    <row r="1593">
      <c r="A1593" s="25" t="n">
        <v>22156</v>
      </c>
      <c r="B1593" s="25" t="inlineStr">
        <is>
          <t>750ml</t>
        </is>
      </c>
    </row>
    <row r="1594">
      <c r="A1594" s="25" t="n">
        <v>642112</v>
      </c>
      <c r="B1594" s="25" t="inlineStr">
        <is>
          <t>1.5L</t>
        </is>
      </c>
    </row>
    <row r="1595">
      <c r="A1595" s="25" t="n">
        <v>27433</v>
      </c>
      <c r="B1595" s="25" t="inlineStr">
        <is>
          <t>750ml</t>
        </is>
      </c>
    </row>
    <row r="1596">
      <c r="A1596" s="25" t="n">
        <v>450078</v>
      </c>
      <c r="B1596" s="25" t="inlineStr">
        <is>
          <t>750ml</t>
        </is>
      </c>
    </row>
    <row r="1597">
      <c r="A1597" s="25" t="n">
        <v>291607</v>
      </c>
      <c r="B1597" s="25" t="inlineStr">
        <is>
          <t>750ml</t>
        </is>
      </c>
    </row>
    <row r="1598">
      <c r="A1598" s="25" t="n">
        <v>10808</v>
      </c>
      <c r="B1598" s="25" t="inlineStr">
        <is>
          <t>1L</t>
        </is>
      </c>
    </row>
    <row r="1599">
      <c r="A1599" s="25" t="n">
        <v>402537</v>
      </c>
      <c r="B1599" s="25" t="inlineStr">
        <is>
          <t>1.5L</t>
        </is>
      </c>
    </row>
    <row r="1600">
      <c r="A1600" s="25" t="n">
        <v>499210</v>
      </c>
      <c r="B1600" s="25" t="inlineStr">
        <is>
          <t>750ml</t>
        </is>
      </c>
    </row>
    <row r="1601">
      <c r="A1601" s="25" t="n">
        <v>710801</v>
      </c>
      <c r="B1601" s="25" t="inlineStr">
        <is>
          <t>375ml</t>
        </is>
      </c>
    </row>
    <row r="1602">
      <c r="A1602" s="25" t="n">
        <v>565371</v>
      </c>
      <c r="B1602" s="25" t="inlineStr">
        <is>
          <t>1.5L</t>
        </is>
      </c>
    </row>
    <row r="1603">
      <c r="A1603" s="25" t="n">
        <v>44046</v>
      </c>
      <c r="B1603" s="25" t="inlineStr">
        <is>
          <t>750ml</t>
        </is>
      </c>
    </row>
    <row r="1604">
      <c r="A1604" s="25" t="n">
        <v>29867</v>
      </c>
      <c r="B1604" s="25" t="inlineStr">
        <is>
          <t>1L</t>
        </is>
      </c>
    </row>
    <row r="1605">
      <c r="A1605" s="25" t="n">
        <v>402913</v>
      </c>
      <c r="B1605" s="25" t="inlineStr">
        <is>
          <t>3L</t>
        </is>
      </c>
    </row>
    <row r="1606">
      <c r="A1606" s="25" t="n">
        <v>282742</v>
      </c>
      <c r="B1606" s="25" t="inlineStr">
        <is>
          <t>750ml</t>
        </is>
      </c>
    </row>
    <row r="1607">
      <c r="A1607" s="25" t="n">
        <v>253270</v>
      </c>
      <c r="B1607" s="25" t="inlineStr">
        <is>
          <t>750ml</t>
        </is>
      </c>
    </row>
    <row r="1608">
      <c r="A1608" s="25" t="n">
        <v>43747</v>
      </c>
      <c r="B1608" s="25" t="inlineStr">
        <is>
          <t>750ml</t>
        </is>
      </c>
    </row>
    <row r="1609">
      <c r="A1609" s="25" t="n">
        <v>77420</v>
      </c>
      <c r="B1609" s="25" t="inlineStr">
        <is>
          <t>1.75L</t>
        </is>
      </c>
    </row>
    <row r="1610">
      <c r="A1610" s="25" t="n">
        <v>460450</v>
      </c>
      <c r="B1610" s="25" t="inlineStr">
        <is>
          <t>750ml</t>
        </is>
      </c>
    </row>
    <row r="1611">
      <c r="A1611" s="25" t="n">
        <v>450830</v>
      </c>
      <c r="B1611" s="25" t="inlineStr">
        <is>
          <t>750ml</t>
        </is>
      </c>
    </row>
    <row r="1612">
      <c r="A1612" s="25" t="n">
        <v>281236</v>
      </c>
      <c r="B1612" s="25" t="inlineStr">
        <is>
          <t>750ml</t>
        </is>
      </c>
    </row>
    <row r="1613">
      <c r="A1613" s="25" t="n">
        <v>43788</v>
      </c>
      <c r="B1613" s="25" t="inlineStr">
        <is>
          <t>1.75L</t>
        </is>
      </c>
    </row>
    <row r="1614">
      <c r="A1614" s="25" t="n">
        <v>92674</v>
      </c>
      <c r="B1614" s="25" t="inlineStr">
        <is>
          <t>750ml</t>
        </is>
      </c>
    </row>
    <row r="1615">
      <c r="A1615" s="25" t="n">
        <v>369100</v>
      </c>
      <c r="B1615" s="25" t="inlineStr">
        <is>
          <t>750ml</t>
        </is>
      </c>
    </row>
    <row r="1616">
      <c r="A1616" s="25" t="n">
        <v>4001</v>
      </c>
      <c r="B1616" s="25" t="inlineStr">
        <is>
          <t>750ml</t>
        </is>
      </c>
    </row>
    <row r="1617">
      <c r="A1617" s="25" t="n">
        <v>43427</v>
      </c>
      <c r="B1617" s="25" t="inlineStr">
        <is>
          <t>1L</t>
        </is>
      </c>
    </row>
    <row r="1618">
      <c r="A1618" s="25" t="n">
        <v>410936</v>
      </c>
      <c r="B1618" s="25" t="inlineStr">
        <is>
          <t>750ml</t>
        </is>
      </c>
    </row>
    <row r="1619">
      <c r="A1619" s="25" t="n">
        <v>444112</v>
      </c>
      <c r="B1619" s="25" t="inlineStr">
        <is>
          <t>1.5L</t>
        </is>
      </c>
    </row>
    <row r="1620">
      <c r="A1620" s="25" t="n">
        <v>498300</v>
      </c>
      <c r="B1620" s="25" t="inlineStr">
        <is>
          <t>750ml</t>
        </is>
      </c>
    </row>
    <row r="1621">
      <c r="A1621" s="25" t="n">
        <v>64105</v>
      </c>
      <c r="B1621" s="25" t="inlineStr">
        <is>
          <t>375ml</t>
        </is>
      </c>
    </row>
    <row r="1622">
      <c r="A1622" s="25" t="n">
        <v>727036</v>
      </c>
      <c r="B1622" s="25" t="inlineStr">
        <is>
          <t>750ml</t>
        </is>
      </c>
    </row>
    <row r="1623">
      <c r="A1623" s="25" t="n">
        <v>869947</v>
      </c>
      <c r="B1623" s="25" t="inlineStr">
        <is>
          <t>3L</t>
        </is>
      </c>
    </row>
    <row r="1624">
      <c r="A1624" s="25" t="n">
        <v>809154</v>
      </c>
      <c r="B1624" s="25" t="inlineStr">
        <is>
          <t>750ml</t>
        </is>
      </c>
    </row>
    <row r="1625">
      <c r="A1625" s="25" t="n">
        <v>52559</v>
      </c>
      <c r="B1625" s="25" t="inlineStr">
        <is>
          <t>1.75L</t>
        </is>
      </c>
    </row>
    <row r="1626">
      <c r="A1626" s="25" t="n">
        <v>458804</v>
      </c>
      <c r="B1626" s="25" t="inlineStr">
        <is>
          <t>750ml</t>
        </is>
      </c>
    </row>
    <row r="1627">
      <c r="A1627" s="25" t="n">
        <v>66993</v>
      </c>
      <c r="B1627" s="25" t="inlineStr">
        <is>
          <t>750ml</t>
        </is>
      </c>
    </row>
    <row r="1628">
      <c r="A1628" s="25" t="n">
        <v>32232</v>
      </c>
      <c r="B1628" s="25" t="inlineStr">
        <is>
          <t>100ml</t>
        </is>
      </c>
    </row>
    <row r="1629">
      <c r="A1629" s="25" t="n">
        <v>28206</v>
      </c>
      <c r="B1629" s="25" t="inlineStr">
        <is>
          <t>750ml</t>
        </is>
      </c>
    </row>
    <row r="1630">
      <c r="A1630" s="25" t="n">
        <v>33709</v>
      </c>
      <c r="B1630" s="25" t="inlineStr">
        <is>
          <t>1.75L</t>
        </is>
      </c>
    </row>
    <row r="1631">
      <c r="A1631" s="25" t="n">
        <v>477885</v>
      </c>
      <c r="B1631" s="25" t="inlineStr">
        <is>
          <t>750ml</t>
        </is>
      </c>
    </row>
    <row r="1632">
      <c r="A1632" s="25" t="n">
        <v>101262</v>
      </c>
      <c r="B1632" s="25" t="inlineStr">
        <is>
          <t>750ml</t>
        </is>
      </c>
    </row>
    <row r="1633">
      <c r="A1633" s="25" t="n">
        <v>360330</v>
      </c>
      <c r="B1633" s="25" t="inlineStr">
        <is>
          <t>750ml</t>
        </is>
      </c>
    </row>
    <row r="1634">
      <c r="A1634" s="25" t="n">
        <v>88148</v>
      </c>
      <c r="B1634" s="25" t="inlineStr">
        <is>
          <t>1.75L</t>
        </is>
      </c>
    </row>
    <row r="1635">
      <c r="A1635" s="25" t="n">
        <v>559152</v>
      </c>
      <c r="B1635" s="25" t="inlineStr">
        <is>
          <t>750ml</t>
        </is>
      </c>
    </row>
    <row r="1636">
      <c r="A1636" s="25" t="n">
        <v>295210</v>
      </c>
      <c r="B1636" s="25" t="inlineStr">
        <is>
          <t>750ml</t>
        </is>
      </c>
    </row>
    <row r="1637">
      <c r="A1637" s="25" t="n">
        <v>35872</v>
      </c>
      <c r="B1637" s="25" t="inlineStr">
        <is>
          <t>1.75L</t>
        </is>
      </c>
    </row>
    <row r="1638">
      <c r="A1638" s="25" t="n">
        <v>458530</v>
      </c>
      <c r="B1638" s="25" t="inlineStr">
        <is>
          <t>750ml</t>
        </is>
      </c>
    </row>
    <row r="1639">
      <c r="A1639" s="25" t="n">
        <v>27181</v>
      </c>
      <c r="B1639" s="25" t="inlineStr">
        <is>
          <t>750ml</t>
        </is>
      </c>
    </row>
    <row r="1640">
      <c r="A1640" s="25" t="n">
        <v>76872</v>
      </c>
      <c r="B1640" s="25" t="inlineStr">
        <is>
          <t>750ml</t>
        </is>
      </c>
    </row>
    <row r="1641">
      <c r="A1641" s="25" t="n">
        <v>36395</v>
      </c>
      <c r="B1641" s="25" t="inlineStr">
        <is>
          <t>1.75L</t>
        </is>
      </c>
    </row>
    <row r="1642">
      <c r="A1642" s="25" t="n">
        <v>16562</v>
      </c>
      <c r="B1642" s="25" t="inlineStr">
        <is>
          <t>750ml</t>
        </is>
      </c>
    </row>
    <row r="1643">
      <c r="A1643" s="25" t="n">
        <v>551885</v>
      </c>
      <c r="B1643" s="25" t="inlineStr">
        <is>
          <t>750ml</t>
        </is>
      </c>
    </row>
    <row r="1644">
      <c r="A1644" s="25" t="n">
        <v>47788</v>
      </c>
      <c r="B1644" s="25" t="inlineStr">
        <is>
          <t>1.75L</t>
        </is>
      </c>
    </row>
    <row r="1645">
      <c r="A1645" s="25" t="n">
        <v>80457</v>
      </c>
      <c r="B1645" s="25" t="inlineStr">
        <is>
          <t>1L</t>
        </is>
      </c>
    </row>
    <row r="1646">
      <c r="A1646" s="25" t="n">
        <v>57125</v>
      </c>
      <c r="B1646" s="25" t="inlineStr">
        <is>
          <t>1.75L</t>
        </is>
      </c>
    </row>
    <row r="1647">
      <c r="A1647" s="25" t="n">
        <v>87403</v>
      </c>
      <c r="B1647" s="25" t="inlineStr">
        <is>
          <t>375ml</t>
        </is>
      </c>
    </row>
    <row r="1648">
      <c r="A1648" s="25" t="n">
        <v>73711</v>
      </c>
      <c r="B1648" s="25" t="inlineStr">
        <is>
          <t>1.75L</t>
        </is>
      </c>
    </row>
    <row r="1649">
      <c r="A1649" s="25" t="n">
        <v>64306</v>
      </c>
      <c r="B1649" s="25" t="inlineStr">
        <is>
          <t>375ml</t>
        </is>
      </c>
    </row>
    <row r="1650">
      <c r="A1650" s="25" t="n">
        <v>510700</v>
      </c>
      <c r="B1650" s="25" t="inlineStr">
        <is>
          <t>750ml</t>
        </is>
      </c>
    </row>
    <row r="1651">
      <c r="A1651" s="25" t="n">
        <v>77577</v>
      </c>
      <c r="B1651" s="25" t="inlineStr">
        <is>
          <t>750ml</t>
        </is>
      </c>
    </row>
    <row r="1652">
      <c r="A1652" s="25" t="n">
        <v>14192</v>
      </c>
      <c r="B1652" s="25" t="inlineStr">
        <is>
          <t>750ml</t>
        </is>
      </c>
    </row>
    <row r="1653">
      <c r="A1653" s="25" t="n">
        <v>22092</v>
      </c>
      <c r="B1653" s="25" t="inlineStr">
        <is>
          <t>750ml</t>
        </is>
      </c>
    </row>
    <row r="1654">
      <c r="A1654" s="25" t="n">
        <v>11345</v>
      </c>
      <c r="B1654" s="25" t="inlineStr">
        <is>
          <t>750ml</t>
        </is>
      </c>
    </row>
    <row r="1655">
      <c r="A1655" s="25" t="n">
        <v>73780</v>
      </c>
      <c r="B1655" s="25" t="inlineStr">
        <is>
          <t>750ml</t>
        </is>
      </c>
    </row>
    <row r="1656">
      <c r="A1656" s="25" t="n">
        <v>43088</v>
      </c>
      <c r="B1656" s="25" t="inlineStr">
        <is>
          <t>1.75L</t>
        </is>
      </c>
    </row>
    <row r="1657">
      <c r="A1657" s="25" t="n">
        <v>36015</v>
      </c>
      <c r="B1657" s="25" t="inlineStr">
        <is>
          <t>750ml</t>
        </is>
      </c>
    </row>
    <row r="1658">
      <c r="A1658" s="25" t="n">
        <v>76412</v>
      </c>
      <c r="B1658" s="25" t="inlineStr">
        <is>
          <t>50ml</t>
        </is>
      </c>
    </row>
    <row r="1659">
      <c r="A1659" s="25" t="n">
        <v>87168</v>
      </c>
      <c r="B1659" s="25" t="inlineStr">
        <is>
          <t>1.75L</t>
        </is>
      </c>
    </row>
    <row r="1660">
      <c r="A1660" s="25" t="n">
        <v>217283</v>
      </c>
      <c r="B1660" s="25" t="inlineStr">
        <is>
          <t>750ml</t>
        </is>
      </c>
    </row>
    <row r="1661">
      <c r="A1661" s="25" t="n">
        <v>27060</v>
      </c>
      <c r="B1661" s="25" t="inlineStr">
        <is>
          <t>750ml</t>
        </is>
      </c>
    </row>
    <row r="1662">
      <c r="A1662" s="25" t="n">
        <v>882322</v>
      </c>
      <c r="B1662" s="25" t="inlineStr">
        <is>
          <t>750ml</t>
        </is>
      </c>
    </row>
    <row r="1663">
      <c r="A1663" s="25" t="n">
        <v>33663</v>
      </c>
      <c r="B1663" s="25" t="inlineStr">
        <is>
          <t>750ml</t>
        </is>
      </c>
    </row>
    <row r="1664">
      <c r="A1664" s="25" t="n">
        <v>410516</v>
      </c>
      <c r="B1664" s="25" t="inlineStr">
        <is>
          <t>1.5L</t>
        </is>
      </c>
    </row>
    <row r="1665">
      <c r="A1665" s="25" t="n">
        <v>43797</v>
      </c>
      <c r="B1665" s="25" t="inlineStr">
        <is>
          <t>750ml</t>
        </is>
      </c>
    </row>
    <row r="1666">
      <c r="A1666" s="25" t="n">
        <v>727560</v>
      </c>
      <c r="B1666" s="25" t="inlineStr">
        <is>
          <t>750ml</t>
        </is>
      </c>
    </row>
    <row r="1667">
      <c r="A1667" s="25" t="n">
        <v>579750</v>
      </c>
      <c r="B1667" s="25" t="inlineStr">
        <is>
          <t>750ml</t>
        </is>
      </c>
    </row>
    <row r="1668">
      <c r="A1668" s="25" t="n">
        <v>429709</v>
      </c>
      <c r="B1668" s="25" t="inlineStr">
        <is>
          <t>750ml</t>
        </is>
      </c>
    </row>
    <row r="1669">
      <c r="A1669" s="25" t="n">
        <v>470191</v>
      </c>
      <c r="B1669" s="25" t="inlineStr">
        <is>
          <t>750ml</t>
        </is>
      </c>
    </row>
    <row r="1670">
      <c r="A1670" s="25" t="n">
        <v>39887</v>
      </c>
      <c r="B1670" s="25" t="inlineStr">
        <is>
          <t>1L</t>
        </is>
      </c>
    </row>
    <row r="1671">
      <c r="A1671" s="25" t="n">
        <v>463202</v>
      </c>
      <c r="B1671" s="25" t="inlineStr">
        <is>
          <t>750ml</t>
        </is>
      </c>
    </row>
    <row r="1672">
      <c r="A1672" s="25" t="n">
        <v>17630</v>
      </c>
      <c r="B1672" s="25" t="inlineStr">
        <is>
          <t>750ml</t>
        </is>
      </c>
    </row>
    <row r="1673">
      <c r="A1673" s="25" t="n">
        <v>59159</v>
      </c>
      <c r="B1673" s="25" t="inlineStr">
        <is>
          <t>1.75L</t>
        </is>
      </c>
    </row>
    <row r="1674">
      <c r="A1674" s="25" t="n">
        <v>10626</v>
      </c>
      <c r="B1674" s="25" t="inlineStr">
        <is>
          <t>750ml</t>
        </is>
      </c>
    </row>
    <row r="1675">
      <c r="A1675" s="25" t="n">
        <v>515892</v>
      </c>
      <c r="B1675" s="25" t="inlineStr">
        <is>
          <t>750ml</t>
        </is>
      </c>
    </row>
    <row r="1676">
      <c r="A1676" s="25" t="n">
        <v>355616</v>
      </c>
      <c r="B1676" s="25" t="inlineStr">
        <is>
          <t>750ml</t>
        </is>
      </c>
    </row>
    <row r="1677">
      <c r="A1677" s="25" t="n">
        <v>445837</v>
      </c>
      <c r="B1677" s="25" t="inlineStr">
        <is>
          <t>1.5L</t>
        </is>
      </c>
    </row>
    <row r="1678">
      <c r="A1678" s="25" t="n">
        <v>504766</v>
      </c>
      <c r="B1678" s="25" t="inlineStr">
        <is>
          <t>750ml</t>
        </is>
      </c>
    </row>
    <row r="1679">
      <c r="A1679" s="25" t="n">
        <v>404475</v>
      </c>
      <c r="B1679" s="25" t="inlineStr">
        <is>
          <t>750ml</t>
        </is>
      </c>
    </row>
    <row r="1680">
      <c r="A1680" s="25" t="n">
        <v>90824</v>
      </c>
      <c r="B1680" s="25" t="inlineStr">
        <is>
          <t>750ml</t>
        </is>
      </c>
    </row>
    <row r="1681">
      <c r="A1681" s="25" t="n">
        <v>63882</v>
      </c>
      <c r="B1681" s="25" t="inlineStr">
        <is>
          <t>355ml</t>
        </is>
      </c>
    </row>
    <row r="1682">
      <c r="A1682" s="25" t="n">
        <v>588635</v>
      </c>
      <c r="B1682" s="25" t="inlineStr">
        <is>
          <t>750ml</t>
        </is>
      </c>
    </row>
    <row r="1683">
      <c r="A1683" s="25" t="n">
        <v>40034</v>
      </c>
      <c r="B1683" s="25" t="inlineStr">
        <is>
          <t>1.75L</t>
        </is>
      </c>
    </row>
    <row r="1684">
      <c r="A1684" s="25" t="n">
        <v>501301</v>
      </c>
      <c r="B1684" s="25" t="inlineStr">
        <is>
          <t>750ml</t>
        </is>
      </c>
    </row>
    <row r="1685">
      <c r="A1685" s="25" t="n">
        <v>418386</v>
      </c>
      <c r="B1685" s="25" t="inlineStr">
        <is>
          <t>750ml</t>
        </is>
      </c>
    </row>
    <row r="1686">
      <c r="A1686" s="25" t="n">
        <v>76467</v>
      </c>
      <c r="B1686" s="25" t="inlineStr">
        <is>
          <t>1L</t>
        </is>
      </c>
    </row>
    <row r="1687">
      <c r="A1687" s="25" t="n">
        <v>89206</v>
      </c>
      <c r="B1687" s="25" t="inlineStr">
        <is>
          <t>750ml</t>
        </is>
      </c>
    </row>
    <row r="1688">
      <c r="A1688" s="25" t="n">
        <v>478327</v>
      </c>
      <c r="B1688" s="25" t="inlineStr">
        <is>
          <t>750ml</t>
        </is>
      </c>
    </row>
    <row r="1689">
      <c r="A1689" s="25" t="n">
        <v>27408</v>
      </c>
      <c r="B1689" s="25" t="inlineStr">
        <is>
          <t>50ml</t>
        </is>
      </c>
    </row>
    <row r="1690">
      <c r="A1690" s="25" t="n">
        <v>12887</v>
      </c>
      <c r="B1690" s="25" t="inlineStr">
        <is>
          <t>1L</t>
        </is>
      </c>
    </row>
    <row r="1691">
      <c r="A1691" s="25" t="n">
        <v>13647</v>
      </c>
      <c r="B1691" s="25" t="inlineStr">
        <is>
          <t>750ml</t>
        </is>
      </c>
    </row>
    <row r="1692">
      <c r="A1692" s="25" t="n">
        <v>50686</v>
      </c>
      <c r="B1692" s="25" t="inlineStr">
        <is>
          <t>750ml</t>
        </is>
      </c>
    </row>
    <row r="1693">
      <c r="A1693" s="25" t="n">
        <v>19498</v>
      </c>
      <c r="B1693" s="25" t="inlineStr">
        <is>
          <t>750ml</t>
        </is>
      </c>
    </row>
    <row r="1694">
      <c r="A1694" s="25" t="n">
        <v>429964</v>
      </c>
      <c r="B1694" s="25" t="inlineStr">
        <is>
          <t>1.5L</t>
        </is>
      </c>
    </row>
    <row r="1695">
      <c r="A1695" s="25" t="n">
        <v>485473</v>
      </c>
      <c r="B1695" s="25" t="inlineStr">
        <is>
          <t>750ml</t>
        </is>
      </c>
    </row>
    <row r="1696">
      <c r="A1696" s="25" t="n">
        <v>463193</v>
      </c>
      <c r="B1696" s="25" t="inlineStr">
        <is>
          <t>750ml</t>
        </is>
      </c>
    </row>
    <row r="1697">
      <c r="A1697" s="25" t="n">
        <v>467290</v>
      </c>
      <c r="B1697" s="25" t="inlineStr">
        <is>
          <t>750ml</t>
        </is>
      </c>
    </row>
    <row r="1698">
      <c r="A1698" s="25" t="n">
        <v>331620</v>
      </c>
      <c r="B1698" s="25" t="inlineStr">
        <is>
          <t>750ml</t>
        </is>
      </c>
    </row>
    <row r="1699">
      <c r="A1699" s="25" t="n">
        <v>44476</v>
      </c>
      <c r="B1699" s="25" t="inlineStr">
        <is>
          <t>750ml</t>
        </is>
      </c>
    </row>
    <row r="1700">
      <c r="A1700" s="25" t="n">
        <v>477807</v>
      </c>
      <c r="B1700" s="25" t="inlineStr">
        <is>
          <t>750ml</t>
        </is>
      </c>
    </row>
    <row r="1701">
      <c r="A1701" s="25" t="n">
        <v>419953</v>
      </c>
      <c r="B1701" s="25" t="inlineStr">
        <is>
          <t>750ml</t>
        </is>
      </c>
    </row>
    <row r="1702">
      <c r="A1702" s="25" t="n">
        <v>381956</v>
      </c>
      <c r="B1702" s="25" t="inlineStr">
        <is>
          <t>750ml</t>
        </is>
      </c>
    </row>
    <row r="1703">
      <c r="A1703" s="25" t="n">
        <v>21598</v>
      </c>
      <c r="B1703" s="25" t="inlineStr">
        <is>
          <t>1.75L</t>
        </is>
      </c>
    </row>
    <row r="1704">
      <c r="A1704" s="25" t="n">
        <v>58838</v>
      </c>
      <c r="B1704" s="25" t="inlineStr">
        <is>
          <t>1.75L</t>
        </is>
      </c>
    </row>
    <row r="1705">
      <c r="A1705" s="25" t="n">
        <v>16013</v>
      </c>
      <c r="B1705" s="25" t="inlineStr">
        <is>
          <t>750ml</t>
        </is>
      </c>
    </row>
    <row r="1706">
      <c r="A1706" s="25" t="n">
        <v>101773</v>
      </c>
      <c r="B1706" s="25" t="inlineStr">
        <is>
          <t>750ml</t>
        </is>
      </c>
    </row>
    <row r="1707">
      <c r="A1707" s="25" t="n">
        <v>101564</v>
      </c>
      <c r="B1707" s="25" t="inlineStr">
        <is>
          <t>200ml</t>
        </is>
      </c>
    </row>
    <row r="1708">
      <c r="A1708" s="25" t="n">
        <v>498540</v>
      </c>
      <c r="B1708" s="25" t="inlineStr">
        <is>
          <t>750ml</t>
        </is>
      </c>
    </row>
    <row r="1709">
      <c r="A1709" s="25" t="n">
        <v>64388</v>
      </c>
      <c r="B1709" s="25" t="inlineStr">
        <is>
          <t>375ml</t>
        </is>
      </c>
    </row>
    <row r="1710">
      <c r="A1710" s="25" t="n">
        <v>37418</v>
      </c>
      <c r="B1710" s="25" t="inlineStr">
        <is>
          <t>1.75L</t>
        </is>
      </c>
    </row>
    <row r="1711">
      <c r="A1711" s="25" t="n">
        <v>272220</v>
      </c>
      <c r="B1711" s="25" t="inlineStr">
        <is>
          <t>750ml</t>
        </is>
      </c>
    </row>
    <row r="1712">
      <c r="A1712" s="25" t="n">
        <v>22121</v>
      </c>
      <c r="B1712" s="25" t="inlineStr">
        <is>
          <t>750ml</t>
        </is>
      </c>
    </row>
    <row r="1713">
      <c r="A1713" s="25" t="n">
        <v>892844</v>
      </c>
      <c r="B1713" s="25" t="inlineStr">
        <is>
          <t>1.5L</t>
        </is>
      </c>
    </row>
    <row r="1714">
      <c r="A1714" s="25" t="n">
        <v>638089</v>
      </c>
      <c r="B1714" s="25" t="inlineStr">
        <is>
          <t>750ml</t>
        </is>
      </c>
    </row>
    <row r="1715">
      <c r="A1715" s="25" t="n">
        <v>27461</v>
      </c>
      <c r="B1715" s="25" t="inlineStr">
        <is>
          <t>750ml</t>
        </is>
      </c>
    </row>
    <row r="1716">
      <c r="A1716" s="25" t="n">
        <v>513720</v>
      </c>
      <c r="B1716" s="25" t="inlineStr">
        <is>
          <t>750ml</t>
        </is>
      </c>
    </row>
    <row r="1717">
      <c r="A1717" s="25" t="n">
        <v>82606</v>
      </c>
      <c r="B1717" s="25" t="inlineStr">
        <is>
          <t>750ml</t>
        </is>
      </c>
    </row>
    <row r="1718">
      <c r="A1718" s="25" t="n">
        <v>477852</v>
      </c>
      <c r="B1718" s="25" t="inlineStr">
        <is>
          <t>750ml</t>
        </is>
      </c>
    </row>
    <row r="1719">
      <c r="A1719" s="25" t="n">
        <v>10009</v>
      </c>
      <c r="B1719" s="25" t="inlineStr">
        <is>
          <t>1L</t>
        </is>
      </c>
    </row>
    <row r="1720">
      <c r="A1720" s="25" t="n">
        <v>734271</v>
      </c>
      <c r="B1720" s="25" t="inlineStr">
        <is>
          <t>750ml</t>
        </is>
      </c>
    </row>
    <row r="1721">
      <c r="A1721" s="25" t="n">
        <v>565238</v>
      </c>
      <c r="B1721" s="25" t="inlineStr">
        <is>
          <t>750ml</t>
        </is>
      </c>
    </row>
    <row r="1722">
      <c r="A1722" s="25" t="n">
        <v>18604</v>
      </c>
      <c r="B1722" s="25" t="inlineStr">
        <is>
          <t>750ml</t>
        </is>
      </c>
    </row>
    <row r="1723">
      <c r="A1723" s="25" t="n">
        <v>33286</v>
      </c>
      <c r="B1723" s="25" t="inlineStr">
        <is>
          <t>750ml</t>
        </is>
      </c>
    </row>
    <row r="1724">
      <c r="A1724" s="25" t="n">
        <v>34433</v>
      </c>
      <c r="B1724" s="25" t="inlineStr">
        <is>
          <t>750ml</t>
        </is>
      </c>
    </row>
    <row r="1725">
      <c r="A1725" s="25" t="n">
        <v>478263</v>
      </c>
      <c r="B1725" s="25" t="inlineStr">
        <is>
          <t>750ml</t>
        </is>
      </c>
    </row>
    <row r="1726">
      <c r="A1726" s="25" t="n">
        <v>643035</v>
      </c>
      <c r="B1726" s="25" t="inlineStr">
        <is>
          <t>1.5L</t>
        </is>
      </c>
    </row>
    <row r="1727">
      <c r="A1727" s="25" t="n">
        <v>869946</v>
      </c>
      <c r="B1727" s="25" t="inlineStr">
        <is>
          <t>1.5L</t>
        </is>
      </c>
    </row>
    <row r="1728">
      <c r="A1728" s="25" t="n">
        <v>710586</v>
      </c>
      <c r="B1728" s="25" t="inlineStr">
        <is>
          <t>750ml</t>
        </is>
      </c>
    </row>
    <row r="1729">
      <c r="A1729" s="25" t="n">
        <v>76485</v>
      </c>
      <c r="B1729" s="25" t="inlineStr">
        <is>
          <t>1L</t>
        </is>
      </c>
    </row>
    <row r="1730">
      <c r="A1730" s="25" t="n">
        <v>24417</v>
      </c>
      <c r="B1730" s="25" t="inlineStr">
        <is>
          <t>1L</t>
        </is>
      </c>
    </row>
    <row r="1731">
      <c r="A1731" s="25" t="n">
        <v>480017</v>
      </c>
      <c r="B1731" s="25" t="inlineStr">
        <is>
          <t>750ml</t>
        </is>
      </c>
    </row>
    <row r="1732">
      <c r="A1732" s="25" t="n">
        <v>470</v>
      </c>
      <c r="B1732" s="25" t="inlineStr">
        <is>
          <t>750ml</t>
        </is>
      </c>
    </row>
    <row r="1733">
      <c r="A1733" s="25" t="n">
        <v>89610</v>
      </c>
      <c r="B1733" s="25" t="inlineStr">
        <is>
          <t>750ml</t>
        </is>
      </c>
    </row>
    <row r="1734">
      <c r="A1734" s="25" t="n">
        <v>889294</v>
      </c>
      <c r="B1734" s="25" t="inlineStr">
        <is>
          <t>750ml</t>
        </is>
      </c>
    </row>
    <row r="1735">
      <c r="A1735" s="25" t="n">
        <v>64722</v>
      </c>
      <c r="B1735" s="25" t="inlineStr">
        <is>
          <t>200ml</t>
        </is>
      </c>
    </row>
    <row r="1736">
      <c r="A1736" s="25" t="n">
        <v>6316</v>
      </c>
      <c r="B1736" s="25" t="inlineStr">
        <is>
          <t>750ml</t>
        </is>
      </c>
    </row>
    <row r="1737">
      <c r="A1737" s="25" t="n">
        <v>587565</v>
      </c>
      <c r="B1737" s="25" t="inlineStr">
        <is>
          <t>750ml</t>
        </is>
      </c>
    </row>
    <row r="1738">
      <c r="A1738" s="25" t="n">
        <v>327620</v>
      </c>
      <c r="B1738" s="25" t="inlineStr">
        <is>
          <t>750ml</t>
        </is>
      </c>
    </row>
    <row r="1739">
      <c r="A1739" s="25" t="n">
        <v>77331</v>
      </c>
      <c r="B1739" s="25" t="inlineStr">
        <is>
          <t>750ml</t>
        </is>
      </c>
    </row>
    <row r="1740">
      <c r="A1740" s="25" t="n">
        <v>407757</v>
      </c>
      <c r="B1740" s="25" t="inlineStr">
        <is>
          <t>750ml</t>
        </is>
      </c>
    </row>
    <row r="1741">
      <c r="A1741" s="25" t="n">
        <v>882306</v>
      </c>
      <c r="B1741" s="25" t="inlineStr">
        <is>
          <t>1.5L</t>
        </is>
      </c>
    </row>
    <row r="1742">
      <c r="A1742" s="25" t="n">
        <v>16676</v>
      </c>
      <c r="B1742" s="25" t="inlineStr">
        <is>
          <t>750ml</t>
        </is>
      </c>
    </row>
    <row r="1743">
      <c r="A1743" s="25" t="n">
        <v>101352</v>
      </c>
      <c r="B1743" s="25" t="inlineStr">
        <is>
          <t>750ml</t>
        </is>
      </c>
    </row>
    <row r="1744">
      <c r="A1744" s="25" t="n">
        <v>28867</v>
      </c>
      <c r="B1744" s="25" t="inlineStr">
        <is>
          <t>1L</t>
        </is>
      </c>
    </row>
    <row r="1745">
      <c r="A1745" s="25" t="n">
        <v>774850</v>
      </c>
      <c r="B1745" s="25" t="inlineStr">
        <is>
          <t>1.5L</t>
        </is>
      </c>
    </row>
    <row r="1746">
      <c r="A1746" s="25" t="n">
        <v>498110</v>
      </c>
      <c r="B1746" s="25" t="inlineStr">
        <is>
          <t>1.5L</t>
        </is>
      </c>
    </row>
    <row r="1747">
      <c r="A1747" s="25" t="n">
        <v>589384</v>
      </c>
      <c r="B1747" s="25" t="inlineStr">
        <is>
          <t>750ml</t>
        </is>
      </c>
    </row>
    <row r="1748">
      <c r="A1748" s="25" t="n">
        <v>547295</v>
      </c>
      <c r="B1748" s="25" t="inlineStr">
        <is>
          <t>750ml</t>
        </is>
      </c>
    </row>
    <row r="1749">
      <c r="A1749" s="25" t="n">
        <v>812791</v>
      </c>
      <c r="B1749" s="25" t="inlineStr">
        <is>
          <t>375ml</t>
        </is>
      </c>
    </row>
    <row r="1750">
      <c r="A1750" s="25" t="n">
        <v>100744</v>
      </c>
      <c r="B1750" s="25" t="inlineStr">
        <is>
          <t>750ml</t>
        </is>
      </c>
    </row>
    <row r="1751">
      <c r="A1751" s="25" t="n">
        <v>22241</v>
      </c>
      <c r="B1751" s="25" t="inlineStr">
        <is>
          <t>750ml</t>
        </is>
      </c>
    </row>
    <row r="1752">
      <c r="A1752" s="25" t="n">
        <v>522990</v>
      </c>
      <c r="B1752" s="25" t="inlineStr">
        <is>
          <t>750ml</t>
        </is>
      </c>
    </row>
    <row r="1753">
      <c r="A1753" s="25" t="n">
        <v>451910</v>
      </c>
      <c r="B1753" s="25" t="inlineStr">
        <is>
          <t>750ml</t>
        </is>
      </c>
    </row>
    <row r="1754">
      <c r="A1754" s="25" t="n">
        <v>75231</v>
      </c>
      <c r="B1754" s="25" t="inlineStr">
        <is>
          <t>100ml</t>
        </is>
      </c>
    </row>
    <row r="1755">
      <c r="A1755" s="25" t="n">
        <v>626820</v>
      </c>
      <c r="B1755" s="25" t="inlineStr">
        <is>
          <t>750ml</t>
        </is>
      </c>
    </row>
    <row r="1756">
      <c r="A1756" s="25" t="n">
        <v>729021</v>
      </c>
      <c r="B1756" s="25" t="inlineStr">
        <is>
          <t>187ml</t>
        </is>
      </c>
    </row>
    <row r="1757">
      <c r="A1757" s="25" t="n">
        <v>84399</v>
      </c>
      <c r="B1757" s="25" t="inlineStr">
        <is>
          <t>750ml</t>
        </is>
      </c>
    </row>
    <row r="1758">
      <c r="A1758" s="25" t="n">
        <v>86821</v>
      </c>
      <c r="B1758" s="25" t="inlineStr">
        <is>
          <t>750ml</t>
        </is>
      </c>
    </row>
    <row r="1759">
      <c r="A1759" s="25" t="n">
        <v>41019</v>
      </c>
      <c r="B1759" s="25" t="inlineStr">
        <is>
          <t>750ml</t>
        </is>
      </c>
    </row>
    <row r="1760">
      <c r="A1760" s="25" t="n">
        <v>20165</v>
      </c>
      <c r="B1760" s="25" t="inlineStr">
        <is>
          <t>750ml</t>
        </is>
      </c>
    </row>
    <row r="1761">
      <c r="A1761" s="25" t="n">
        <v>34566</v>
      </c>
      <c r="B1761" s="25" t="inlineStr">
        <is>
          <t>1.75L</t>
        </is>
      </c>
    </row>
    <row r="1762">
      <c r="A1762" s="25" t="n">
        <v>43316</v>
      </c>
      <c r="B1762" s="25" t="inlineStr">
        <is>
          <t>750ml</t>
        </is>
      </c>
    </row>
    <row r="1763">
      <c r="A1763" s="25" t="n">
        <v>26821</v>
      </c>
      <c r="B1763" s="25" t="inlineStr">
        <is>
          <t>50ml</t>
        </is>
      </c>
    </row>
    <row r="1764">
      <c r="A1764" s="25" t="n">
        <v>80490</v>
      </c>
      <c r="B1764" s="25" t="inlineStr">
        <is>
          <t>750ml</t>
        </is>
      </c>
    </row>
    <row r="1765">
      <c r="A1765" s="25" t="n">
        <v>476426</v>
      </c>
      <c r="B1765" s="25" t="inlineStr">
        <is>
          <t>750ml</t>
        </is>
      </c>
    </row>
    <row r="1766">
      <c r="A1766" s="25" t="n">
        <v>544117</v>
      </c>
      <c r="B1766" s="25" t="inlineStr">
        <is>
          <t>1.5L</t>
        </is>
      </c>
    </row>
    <row r="1767">
      <c r="A1767" s="25" t="n">
        <v>882338</v>
      </c>
      <c r="B1767" s="25" t="inlineStr">
        <is>
          <t>1.5L</t>
        </is>
      </c>
    </row>
    <row r="1768">
      <c r="A1768" s="25" t="n">
        <v>470127</v>
      </c>
      <c r="B1768" s="25" t="inlineStr">
        <is>
          <t>1.5L</t>
        </is>
      </c>
    </row>
    <row r="1769">
      <c r="A1769" s="25" t="n">
        <v>36569</v>
      </c>
      <c r="B1769" s="25" t="inlineStr">
        <is>
          <t>750ml</t>
        </is>
      </c>
    </row>
    <row r="1770">
      <c r="A1770" s="25" t="n">
        <v>425532</v>
      </c>
      <c r="B1770" s="25" t="inlineStr">
        <is>
          <t>750ml</t>
        </is>
      </c>
    </row>
    <row r="1771">
      <c r="A1771" s="25" t="n">
        <v>88354</v>
      </c>
      <c r="B1771" s="25" t="inlineStr">
        <is>
          <t>375ml</t>
        </is>
      </c>
    </row>
    <row r="1772">
      <c r="A1772" s="25" t="n">
        <v>406607</v>
      </c>
      <c r="B1772" s="25" t="inlineStr">
        <is>
          <t>750ml</t>
        </is>
      </c>
    </row>
    <row r="1773">
      <c r="A1773" s="25" t="n">
        <v>35088</v>
      </c>
      <c r="B1773" s="25" t="inlineStr">
        <is>
          <t>1.75L</t>
        </is>
      </c>
    </row>
    <row r="1774">
      <c r="A1774" s="25" t="n">
        <v>97850</v>
      </c>
      <c r="B1774" s="25" t="inlineStr">
        <is>
          <t>300ml</t>
        </is>
      </c>
    </row>
    <row r="1775">
      <c r="A1775" s="25" t="n">
        <v>64913</v>
      </c>
      <c r="B1775" s="25" t="inlineStr">
        <is>
          <t>375ml</t>
        </is>
      </c>
    </row>
    <row r="1776">
      <c r="A1776" s="25" t="n">
        <v>638797</v>
      </c>
      <c r="B1776" s="25" t="inlineStr">
        <is>
          <t>3L</t>
        </is>
      </c>
    </row>
    <row r="1777">
      <c r="A1777" s="25" t="n">
        <v>87194</v>
      </c>
      <c r="B1777" s="25" t="inlineStr">
        <is>
          <t>750ml</t>
        </is>
      </c>
    </row>
    <row r="1778">
      <c r="A1778" s="25" t="n">
        <v>517019</v>
      </c>
      <c r="B1778" s="25" t="inlineStr">
        <is>
          <t>750ml</t>
        </is>
      </c>
    </row>
    <row r="1779">
      <c r="A1779" s="25" t="n">
        <v>456490</v>
      </c>
      <c r="B1779" s="25" t="inlineStr">
        <is>
          <t>750ml</t>
        </is>
      </c>
    </row>
    <row r="1780">
      <c r="A1780" s="25" t="n">
        <v>89624</v>
      </c>
      <c r="B1780" s="25" t="inlineStr">
        <is>
          <t>375ml</t>
        </is>
      </c>
    </row>
    <row r="1781">
      <c r="A1781" s="25" t="n">
        <v>657015</v>
      </c>
      <c r="B1781" s="25" t="inlineStr">
        <is>
          <t>1.5L</t>
        </is>
      </c>
    </row>
    <row r="1782">
      <c r="A1782" s="25" t="n">
        <v>82847</v>
      </c>
      <c r="B1782" s="25" t="inlineStr">
        <is>
          <t>1L</t>
        </is>
      </c>
    </row>
    <row r="1783">
      <c r="A1783" s="25" t="n">
        <v>11298</v>
      </c>
      <c r="B1783" s="25" t="inlineStr">
        <is>
          <t>1.75L</t>
        </is>
      </c>
    </row>
    <row r="1784">
      <c r="A1784" s="25" t="n">
        <v>10791</v>
      </c>
      <c r="B1784" s="25" t="inlineStr">
        <is>
          <t>750ml</t>
        </is>
      </c>
    </row>
    <row r="1785">
      <c r="A1785" s="25" t="n">
        <v>450123</v>
      </c>
      <c r="B1785" s="25" t="inlineStr">
        <is>
          <t>3L</t>
        </is>
      </c>
    </row>
    <row r="1786">
      <c r="A1786" s="25" t="n">
        <v>40590</v>
      </c>
      <c r="B1786" s="25" t="inlineStr">
        <is>
          <t>50ml</t>
        </is>
      </c>
    </row>
    <row r="1787">
      <c r="A1787" s="25" t="n">
        <v>479670</v>
      </c>
      <c r="B1787" s="25" t="inlineStr">
        <is>
          <t>750ml</t>
        </is>
      </c>
    </row>
    <row r="1788">
      <c r="A1788" s="25" t="n">
        <v>15648</v>
      </c>
      <c r="B1788" s="25" t="inlineStr">
        <is>
          <t>750ml</t>
        </is>
      </c>
    </row>
    <row r="1789">
      <c r="A1789" s="25" t="n">
        <v>608747</v>
      </c>
      <c r="B1789" s="25" t="inlineStr">
        <is>
          <t>750ml</t>
        </is>
      </c>
    </row>
    <row r="1790">
      <c r="A1790" s="25" t="n">
        <v>296356</v>
      </c>
      <c r="B1790" s="25" t="inlineStr">
        <is>
          <t>750ml</t>
        </is>
      </c>
    </row>
    <row r="1791">
      <c r="A1791" s="25" t="n">
        <v>630817</v>
      </c>
      <c r="B1791" s="25" t="inlineStr">
        <is>
          <t>750ml</t>
        </is>
      </c>
    </row>
    <row r="1792">
      <c r="A1792" s="25" t="n">
        <v>681603</v>
      </c>
      <c r="B1792" s="25" t="inlineStr">
        <is>
          <t>750ml</t>
        </is>
      </c>
    </row>
    <row r="1793">
      <c r="A1793" s="25" t="n">
        <v>892880</v>
      </c>
      <c r="B1793" s="25" t="inlineStr">
        <is>
          <t>750ml</t>
        </is>
      </c>
    </row>
    <row r="1794">
      <c r="A1794" s="25" t="n">
        <v>4936</v>
      </c>
      <c r="B1794" s="25" t="inlineStr">
        <is>
          <t>750ml</t>
        </is>
      </c>
    </row>
    <row r="1795">
      <c r="A1795" s="25" t="n">
        <v>592563</v>
      </c>
      <c r="B1795" s="25" t="inlineStr">
        <is>
          <t>750ml</t>
        </is>
      </c>
    </row>
    <row r="1796">
      <c r="A1796" s="25" t="n">
        <v>636125</v>
      </c>
      <c r="B1796" s="25" t="inlineStr">
        <is>
          <t>750ml</t>
        </is>
      </c>
    </row>
    <row r="1797">
      <c r="A1797" s="25" t="n">
        <v>444623</v>
      </c>
      <c r="B1797" s="25" t="inlineStr">
        <is>
          <t>3L</t>
        </is>
      </c>
    </row>
    <row r="1798">
      <c r="A1798" s="25" t="n">
        <v>82212</v>
      </c>
      <c r="B1798" s="25" t="inlineStr">
        <is>
          <t>1.75L</t>
        </is>
      </c>
    </row>
    <row r="1799">
      <c r="A1799" s="25" t="n">
        <v>452500</v>
      </c>
      <c r="B1799" s="25" t="inlineStr">
        <is>
          <t>750ml</t>
        </is>
      </c>
    </row>
    <row r="1800">
      <c r="A1800" s="25" t="n">
        <v>101804</v>
      </c>
      <c r="B1800" s="25" t="inlineStr">
        <is>
          <t>750ml</t>
        </is>
      </c>
    </row>
    <row r="1801">
      <c r="A1801" s="25" t="n">
        <v>217282</v>
      </c>
      <c r="B1801" s="25" t="inlineStr">
        <is>
          <t>750ml</t>
        </is>
      </c>
    </row>
    <row r="1802">
      <c r="A1802" s="25" t="n">
        <v>89786</v>
      </c>
      <c r="B1802" s="25" t="inlineStr">
        <is>
          <t>750ml</t>
        </is>
      </c>
    </row>
    <row r="1803">
      <c r="A1803" s="25" t="n">
        <v>26656</v>
      </c>
      <c r="B1803" s="25" t="inlineStr">
        <is>
          <t>750ml</t>
        </is>
      </c>
    </row>
    <row r="1804">
      <c r="A1804" s="25" t="n">
        <v>685503</v>
      </c>
      <c r="B1804" s="25" t="inlineStr">
        <is>
          <t>1.5L</t>
        </is>
      </c>
    </row>
    <row r="1805">
      <c r="A1805" s="25" t="n">
        <v>571060</v>
      </c>
      <c r="B1805" s="25" t="inlineStr">
        <is>
          <t>1.5L</t>
        </is>
      </c>
    </row>
    <row r="1806">
      <c r="A1806" s="25" t="n">
        <v>555710</v>
      </c>
      <c r="B1806" s="25" t="inlineStr">
        <is>
          <t>750ml</t>
        </is>
      </c>
    </row>
    <row r="1807">
      <c r="A1807" s="25" t="n">
        <v>77842</v>
      </c>
      <c r="B1807" s="25" t="inlineStr">
        <is>
          <t>750ml</t>
        </is>
      </c>
    </row>
    <row r="1808">
      <c r="A1808" s="25" t="n">
        <v>655448</v>
      </c>
      <c r="B1808" s="25" t="inlineStr">
        <is>
          <t>5L</t>
        </is>
      </c>
    </row>
    <row r="1809">
      <c r="A1809" s="25" t="n">
        <v>734274</v>
      </c>
      <c r="B1809" s="25" t="inlineStr">
        <is>
          <t>750ml</t>
        </is>
      </c>
    </row>
    <row r="1810">
      <c r="A1810" s="25" t="n">
        <v>515885</v>
      </c>
      <c r="B1810" s="25" t="inlineStr">
        <is>
          <t>750ml</t>
        </is>
      </c>
    </row>
    <row r="1811">
      <c r="A1811" s="25" t="n">
        <v>86715</v>
      </c>
      <c r="B1811" s="25" t="inlineStr">
        <is>
          <t>750ml</t>
        </is>
      </c>
    </row>
    <row r="1812">
      <c r="A1812" s="25" t="n">
        <v>36618</v>
      </c>
      <c r="B1812" s="25" t="inlineStr">
        <is>
          <t>750ml</t>
        </is>
      </c>
    </row>
    <row r="1813">
      <c r="A1813" s="25" t="n">
        <v>582026</v>
      </c>
      <c r="B1813" s="25" t="inlineStr">
        <is>
          <t>750ml</t>
        </is>
      </c>
    </row>
    <row r="1814">
      <c r="A1814" s="25" t="n">
        <v>46497</v>
      </c>
      <c r="B1814" s="25" t="inlineStr">
        <is>
          <t>750ml</t>
        </is>
      </c>
    </row>
    <row r="1815">
      <c r="A1815" s="25" t="n">
        <v>56024</v>
      </c>
      <c r="B1815" s="25" t="inlineStr">
        <is>
          <t>375ml</t>
        </is>
      </c>
    </row>
    <row r="1816">
      <c r="A1816" s="25" t="n">
        <v>500926</v>
      </c>
      <c r="B1816" s="25" t="inlineStr">
        <is>
          <t>750ml</t>
        </is>
      </c>
    </row>
    <row r="1817">
      <c r="A1817" s="25" t="n">
        <v>27780</v>
      </c>
      <c r="B1817" s="25" t="inlineStr">
        <is>
          <t>50ml</t>
        </is>
      </c>
    </row>
    <row r="1818">
      <c r="A1818" s="25" t="n">
        <v>424396</v>
      </c>
      <c r="B1818" s="25" t="inlineStr">
        <is>
          <t>750ml</t>
        </is>
      </c>
    </row>
    <row r="1819">
      <c r="A1819" s="25" t="n">
        <v>556350</v>
      </c>
      <c r="B1819" s="25" t="inlineStr">
        <is>
          <t>750ml</t>
        </is>
      </c>
    </row>
    <row r="1820">
      <c r="A1820" s="25" t="n">
        <v>101802</v>
      </c>
      <c r="B1820" s="25" t="inlineStr">
        <is>
          <t>750ml</t>
        </is>
      </c>
    </row>
    <row r="1821">
      <c r="A1821" s="25" t="n">
        <v>22214</v>
      </c>
      <c r="B1821" s="25" t="inlineStr">
        <is>
          <t>375ml</t>
        </is>
      </c>
    </row>
    <row r="1822">
      <c r="A1822" s="25" t="n">
        <v>354786</v>
      </c>
      <c r="B1822" s="25" t="inlineStr">
        <is>
          <t>750ml</t>
        </is>
      </c>
    </row>
    <row r="1823">
      <c r="A1823" s="25" t="n">
        <v>67524</v>
      </c>
      <c r="B1823" s="25" t="inlineStr">
        <is>
          <t>375ml</t>
        </is>
      </c>
    </row>
    <row r="1824">
      <c r="A1824" s="25" t="n">
        <v>77777</v>
      </c>
      <c r="B1824" s="25" t="inlineStr">
        <is>
          <t>375ml</t>
        </is>
      </c>
    </row>
    <row r="1825">
      <c r="A1825" s="25" t="n">
        <v>498834</v>
      </c>
      <c r="B1825" s="25" t="inlineStr">
        <is>
          <t>750ml</t>
        </is>
      </c>
    </row>
    <row r="1826">
      <c r="A1826" s="25" t="n">
        <v>40331</v>
      </c>
      <c r="B1826" s="25" t="inlineStr">
        <is>
          <t>750ml</t>
        </is>
      </c>
    </row>
    <row r="1827">
      <c r="A1827" s="25" t="n">
        <v>458798</v>
      </c>
      <c r="B1827" s="25" t="inlineStr">
        <is>
          <t>750ml</t>
        </is>
      </c>
    </row>
    <row r="1828">
      <c r="A1828" s="25" t="n">
        <v>628240</v>
      </c>
      <c r="B1828" s="25" t="inlineStr">
        <is>
          <t>750ml</t>
        </is>
      </c>
    </row>
    <row r="1829">
      <c r="A1829" s="25" t="n">
        <v>65257</v>
      </c>
      <c r="B1829" s="25" t="inlineStr">
        <is>
          <t>1L</t>
        </is>
      </c>
    </row>
    <row r="1830">
      <c r="A1830" s="25" t="n">
        <v>513350</v>
      </c>
      <c r="B1830" s="25" t="inlineStr">
        <is>
          <t>750ml</t>
        </is>
      </c>
    </row>
    <row r="1831">
      <c r="A1831" s="25" t="n">
        <v>68306</v>
      </c>
      <c r="B1831" s="25" t="inlineStr">
        <is>
          <t>750ml</t>
        </is>
      </c>
    </row>
    <row r="1832">
      <c r="A1832" s="25" t="n">
        <v>775766</v>
      </c>
      <c r="B1832" s="25" t="inlineStr">
        <is>
          <t>750ml</t>
        </is>
      </c>
    </row>
    <row r="1833">
      <c r="A1833" s="25" t="n">
        <v>28042</v>
      </c>
      <c r="B1833" s="25" t="inlineStr">
        <is>
          <t>375ml</t>
        </is>
      </c>
    </row>
    <row r="1834">
      <c r="A1834" s="25" t="n">
        <v>58886</v>
      </c>
      <c r="B1834" s="25" t="inlineStr">
        <is>
          <t>1.75L</t>
        </is>
      </c>
    </row>
    <row r="1835">
      <c r="A1835" s="25" t="n">
        <v>289810</v>
      </c>
      <c r="B1835" s="25" t="inlineStr">
        <is>
          <t>750ml</t>
        </is>
      </c>
    </row>
    <row r="1836">
      <c r="A1836" s="25" t="n">
        <v>29097</v>
      </c>
      <c r="B1836" s="25" t="inlineStr">
        <is>
          <t>1L</t>
        </is>
      </c>
    </row>
    <row r="1837">
      <c r="A1837" s="25" t="n">
        <v>39868</v>
      </c>
      <c r="B1837" s="25" t="inlineStr">
        <is>
          <t>1.75L</t>
        </is>
      </c>
    </row>
    <row r="1838">
      <c r="A1838" s="25" t="n">
        <v>647232</v>
      </c>
      <c r="B1838" s="25" t="inlineStr">
        <is>
          <t>4L</t>
        </is>
      </c>
    </row>
    <row r="1839">
      <c r="A1839" s="25" t="n">
        <v>478124</v>
      </c>
      <c r="B1839" s="25" t="inlineStr">
        <is>
          <t>750ml</t>
        </is>
      </c>
    </row>
    <row r="1840">
      <c r="A1840" s="25" t="n">
        <v>10826</v>
      </c>
      <c r="B1840" s="25" t="inlineStr">
        <is>
          <t>750ml</t>
        </is>
      </c>
    </row>
    <row r="1841">
      <c r="A1841" s="25" t="n">
        <v>975001</v>
      </c>
      <c r="B1841" s="25" t="inlineStr">
        <is>
          <t>750ml</t>
        </is>
      </c>
    </row>
    <row r="1842">
      <c r="A1842" s="25" t="n">
        <v>35358</v>
      </c>
      <c r="B1842" s="25" t="inlineStr">
        <is>
          <t>1.75L</t>
        </is>
      </c>
    </row>
    <row r="1843">
      <c r="A1843" s="25" t="n">
        <v>42370</v>
      </c>
      <c r="B1843" s="25" t="inlineStr">
        <is>
          <t>750ml</t>
        </is>
      </c>
    </row>
    <row r="1844">
      <c r="A1844" s="25" t="n">
        <v>461264</v>
      </c>
      <c r="B1844" s="25" t="inlineStr">
        <is>
          <t>3L</t>
        </is>
      </c>
    </row>
    <row r="1845">
      <c r="A1845" s="25" t="n">
        <v>40291</v>
      </c>
      <c r="B1845" s="25" t="inlineStr">
        <is>
          <t>1.75L</t>
        </is>
      </c>
    </row>
    <row r="1846">
      <c r="A1846" s="25" t="n">
        <v>35289</v>
      </c>
      <c r="B1846" s="25" t="inlineStr">
        <is>
          <t>750ml</t>
        </is>
      </c>
    </row>
    <row r="1847">
      <c r="A1847" s="25" t="n">
        <v>44277</v>
      </c>
      <c r="B1847" s="25" t="inlineStr">
        <is>
          <t>750ml</t>
        </is>
      </c>
    </row>
    <row r="1848">
      <c r="A1848" s="25" t="n">
        <v>32413</v>
      </c>
      <c r="B1848" s="25" t="inlineStr">
        <is>
          <t>200ml</t>
        </is>
      </c>
    </row>
    <row r="1849">
      <c r="A1849" s="25" t="n">
        <v>68848</v>
      </c>
      <c r="B1849" s="25" t="inlineStr">
        <is>
          <t>1.75L</t>
        </is>
      </c>
    </row>
    <row r="1850">
      <c r="A1850" s="25" t="n">
        <v>284460</v>
      </c>
      <c r="B1850" s="25" t="inlineStr">
        <is>
          <t>1.5L</t>
        </is>
      </c>
    </row>
    <row r="1851">
      <c r="A1851" s="25" t="n">
        <v>768652</v>
      </c>
      <c r="B1851" s="25" t="inlineStr">
        <is>
          <t>750ml</t>
        </is>
      </c>
    </row>
    <row r="1852">
      <c r="A1852" s="25" t="n">
        <v>40494</v>
      </c>
      <c r="B1852" s="25" t="inlineStr">
        <is>
          <t>1.75L</t>
        </is>
      </c>
    </row>
    <row r="1853">
      <c r="A1853" s="25" t="n">
        <v>257285</v>
      </c>
      <c r="B1853" s="25" t="inlineStr">
        <is>
          <t>750ml</t>
        </is>
      </c>
    </row>
    <row r="1854">
      <c r="A1854" s="25" t="n">
        <v>64761</v>
      </c>
      <c r="B1854" s="25" t="inlineStr">
        <is>
          <t>50ml</t>
        </is>
      </c>
    </row>
    <row r="1855">
      <c r="A1855" s="25" t="n">
        <v>446036</v>
      </c>
      <c r="B1855" s="25" t="inlineStr">
        <is>
          <t>750ml</t>
        </is>
      </c>
    </row>
    <row r="1856">
      <c r="A1856" s="25" t="n">
        <v>89533</v>
      </c>
      <c r="B1856" s="25" t="inlineStr">
        <is>
          <t>750ml</t>
        </is>
      </c>
    </row>
    <row r="1857">
      <c r="A1857" s="25" t="n">
        <v>465620</v>
      </c>
      <c r="B1857" s="25" t="inlineStr">
        <is>
          <t>750ml</t>
        </is>
      </c>
    </row>
    <row r="1858">
      <c r="A1858" s="25" t="n">
        <v>24177</v>
      </c>
      <c r="B1858" s="25" t="inlineStr">
        <is>
          <t>1L</t>
        </is>
      </c>
    </row>
    <row r="1859">
      <c r="A1859" s="25" t="n">
        <v>34197</v>
      </c>
      <c r="B1859" s="25" t="inlineStr">
        <is>
          <t>375ml</t>
        </is>
      </c>
    </row>
    <row r="1860">
      <c r="A1860" s="25" t="n">
        <v>63451</v>
      </c>
      <c r="B1860" s="25" t="inlineStr">
        <is>
          <t>355ml</t>
        </is>
      </c>
    </row>
    <row r="1861">
      <c r="A1861" s="25" t="n">
        <v>42714</v>
      </c>
      <c r="B1861" s="25" t="inlineStr">
        <is>
          <t>375ml</t>
        </is>
      </c>
    </row>
    <row r="1862">
      <c r="A1862" s="25" t="n">
        <v>56851</v>
      </c>
      <c r="B1862" s="25" t="inlineStr">
        <is>
          <t>750ml</t>
        </is>
      </c>
    </row>
    <row r="1863">
      <c r="A1863" s="25" t="n">
        <v>101577</v>
      </c>
      <c r="B1863" s="25" t="inlineStr">
        <is>
          <t>750ml</t>
        </is>
      </c>
    </row>
    <row r="1864">
      <c r="A1864" s="25" t="n">
        <v>52583</v>
      </c>
      <c r="B1864" s="25" t="inlineStr">
        <is>
          <t>1L</t>
        </is>
      </c>
    </row>
    <row r="1865">
      <c r="A1865" s="25" t="n">
        <v>565377</v>
      </c>
      <c r="B1865" s="25" t="inlineStr">
        <is>
          <t>1.5L</t>
        </is>
      </c>
    </row>
    <row r="1866">
      <c r="A1866" s="25" t="n">
        <v>33205</v>
      </c>
      <c r="B1866" s="25" t="inlineStr">
        <is>
          <t>375ml</t>
        </is>
      </c>
    </row>
    <row r="1867">
      <c r="A1867" s="25" t="n">
        <v>28238</v>
      </c>
      <c r="B1867" s="25" t="inlineStr">
        <is>
          <t>1.75L</t>
        </is>
      </c>
    </row>
    <row r="1868">
      <c r="A1868" s="25" t="n">
        <v>36968</v>
      </c>
      <c r="B1868" s="25" t="inlineStr">
        <is>
          <t>375ml</t>
        </is>
      </c>
    </row>
    <row r="1869">
      <c r="A1869" s="25" t="n">
        <v>89578</v>
      </c>
      <c r="B1869" s="25" t="inlineStr">
        <is>
          <t>1.75L</t>
        </is>
      </c>
    </row>
    <row r="1870">
      <c r="A1870" s="25" t="n">
        <v>704035</v>
      </c>
      <c r="B1870" s="25" t="inlineStr">
        <is>
          <t>750ml</t>
        </is>
      </c>
    </row>
    <row r="1871">
      <c r="A1871" s="25" t="n">
        <v>87409</v>
      </c>
      <c r="B1871" s="25" t="inlineStr">
        <is>
          <t>1L</t>
        </is>
      </c>
    </row>
    <row r="1872">
      <c r="A1872" s="25" t="n">
        <v>26208</v>
      </c>
      <c r="B1872" s="25" t="inlineStr">
        <is>
          <t>750ml</t>
        </is>
      </c>
    </row>
    <row r="1873">
      <c r="A1873" s="25" t="n">
        <v>511240</v>
      </c>
      <c r="B1873" s="25" t="inlineStr">
        <is>
          <t>750ml</t>
        </is>
      </c>
    </row>
    <row r="1874">
      <c r="A1874" s="25" t="n">
        <v>497368</v>
      </c>
      <c r="B1874" s="25" t="inlineStr">
        <is>
          <t>750ml</t>
        </is>
      </c>
    </row>
    <row r="1875">
      <c r="A1875" s="25" t="n">
        <v>411720</v>
      </c>
      <c r="B1875" s="25" t="inlineStr">
        <is>
          <t>750ml</t>
        </is>
      </c>
    </row>
    <row r="1876">
      <c r="A1876" s="25" t="n">
        <v>550195</v>
      </c>
      <c r="B1876" s="25" t="inlineStr">
        <is>
          <t>1.5L</t>
        </is>
      </c>
    </row>
    <row r="1877">
      <c r="A1877" s="25" t="n">
        <v>552052</v>
      </c>
      <c r="B1877" s="25" t="inlineStr">
        <is>
          <t>4L</t>
        </is>
      </c>
    </row>
    <row r="1878">
      <c r="A1878" s="25" t="n">
        <v>73062</v>
      </c>
      <c r="B1878" s="25" t="inlineStr">
        <is>
          <t>750ml</t>
        </is>
      </c>
    </row>
    <row r="1879">
      <c r="A1879" s="25" t="n">
        <v>64352</v>
      </c>
      <c r="B1879" s="25" t="inlineStr">
        <is>
          <t>750ml</t>
        </is>
      </c>
    </row>
    <row r="1880">
      <c r="A1880" s="25" t="n">
        <v>565930</v>
      </c>
      <c r="B1880" s="25" t="inlineStr">
        <is>
          <t>5L</t>
        </is>
      </c>
    </row>
    <row r="1881">
      <c r="A1881" s="25" t="n">
        <v>484295</v>
      </c>
      <c r="B1881" s="25" t="inlineStr">
        <is>
          <t>750ml</t>
        </is>
      </c>
    </row>
    <row r="1882">
      <c r="A1882" s="25" t="n">
        <v>86423</v>
      </c>
      <c r="B1882" s="25" t="inlineStr">
        <is>
          <t>750ml</t>
        </is>
      </c>
    </row>
    <row r="1883">
      <c r="A1883" s="25" t="n">
        <v>24458</v>
      </c>
      <c r="B1883" s="25" t="inlineStr">
        <is>
          <t>1.75L</t>
        </is>
      </c>
    </row>
    <row r="1884">
      <c r="A1884" s="25" t="n">
        <v>40131</v>
      </c>
      <c r="B1884" s="25" t="inlineStr">
        <is>
          <t>750ml</t>
        </is>
      </c>
    </row>
    <row r="1885">
      <c r="A1885" s="25" t="n">
        <v>12304</v>
      </c>
      <c r="B1885" s="25" t="inlineStr">
        <is>
          <t>375ml</t>
        </is>
      </c>
    </row>
    <row r="1886">
      <c r="A1886" s="25" t="n">
        <v>507008</v>
      </c>
      <c r="B1886" s="25" t="inlineStr">
        <is>
          <t>750ml</t>
        </is>
      </c>
    </row>
    <row r="1887">
      <c r="A1887" s="25" t="n">
        <v>564400</v>
      </c>
      <c r="B1887" s="25" t="inlineStr">
        <is>
          <t>750ml</t>
        </is>
      </c>
    </row>
    <row r="1888">
      <c r="A1888" s="25" t="n">
        <v>734276</v>
      </c>
      <c r="B1888" s="25" t="inlineStr">
        <is>
          <t>750ml</t>
        </is>
      </c>
    </row>
    <row r="1889">
      <c r="A1889" s="25" t="n">
        <v>566235</v>
      </c>
      <c r="B1889" s="25" t="inlineStr">
        <is>
          <t>750ml</t>
        </is>
      </c>
    </row>
    <row r="1890">
      <c r="A1890" s="25" t="n">
        <v>101770</v>
      </c>
      <c r="B1890" s="25" t="inlineStr">
        <is>
          <t>750ml</t>
        </is>
      </c>
    </row>
    <row r="1891">
      <c r="A1891" s="25" t="n">
        <v>73762</v>
      </c>
      <c r="B1891" s="25" t="inlineStr">
        <is>
          <t>750ml</t>
        </is>
      </c>
    </row>
    <row r="1892">
      <c r="A1892" s="25" t="n">
        <v>87283</v>
      </c>
      <c r="B1892" s="25" t="inlineStr">
        <is>
          <t>1L</t>
        </is>
      </c>
    </row>
    <row r="1893">
      <c r="A1893" s="25" t="n">
        <v>80280</v>
      </c>
      <c r="B1893" s="25" t="inlineStr">
        <is>
          <t>750ml</t>
        </is>
      </c>
    </row>
    <row r="1894">
      <c r="A1894" s="25" t="n">
        <v>293250</v>
      </c>
      <c r="B1894" s="25" t="inlineStr">
        <is>
          <t>750ml</t>
        </is>
      </c>
    </row>
    <row r="1895">
      <c r="A1895" s="25" t="n">
        <v>34368</v>
      </c>
      <c r="B1895" s="25" t="inlineStr">
        <is>
          <t>1.75L</t>
        </is>
      </c>
    </row>
    <row r="1896">
      <c r="A1896" s="25" t="n">
        <v>43121</v>
      </c>
      <c r="B1896" s="25" t="inlineStr">
        <is>
          <t>50ml</t>
        </is>
      </c>
    </row>
    <row r="1897">
      <c r="A1897" s="25" t="n">
        <v>727275</v>
      </c>
      <c r="B1897" s="25" t="inlineStr">
        <is>
          <t>750ml</t>
        </is>
      </c>
    </row>
    <row r="1898">
      <c r="A1898" s="25" t="n">
        <v>420021</v>
      </c>
      <c r="B1898" s="25" t="inlineStr">
        <is>
          <t>750ml</t>
        </is>
      </c>
    </row>
    <row r="1899">
      <c r="A1899" s="25" t="n">
        <v>515873</v>
      </c>
      <c r="B1899" s="25" t="inlineStr">
        <is>
          <t>750ml</t>
        </is>
      </c>
    </row>
    <row r="1900">
      <c r="A1900" s="25" t="n">
        <v>411120</v>
      </c>
      <c r="B1900" s="25" t="inlineStr">
        <is>
          <t>750ml</t>
        </is>
      </c>
    </row>
    <row r="1901">
      <c r="A1901" s="25" t="n">
        <v>86435</v>
      </c>
      <c r="B1901" s="25" t="inlineStr">
        <is>
          <t>750ml</t>
        </is>
      </c>
    </row>
    <row r="1902">
      <c r="A1902" s="25" t="n">
        <v>65188</v>
      </c>
      <c r="B1902" s="25" t="inlineStr">
        <is>
          <t>1.75L</t>
        </is>
      </c>
    </row>
    <row r="1903">
      <c r="A1903" s="25" t="n">
        <v>38061</v>
      </c>
      <c r="B1903" s="25" t="inlineStr">
        <is>
          <t>50ml</t>
        </is>
      </c>
    </row>
    <row r="1904">
      <c r="A1904" s="25" t="n">
        <v>89178</v>
      </c>
      <c r="B1904" s="25" t="inlineStr">
        <is>
          <t>750ml</t>
        </is>
      </c>
    </row>
    <row r="1905">
      <c r="A1905" s="25" t="n">
        <v>16223</v>
      </c>
      <c r="B1905" s="25" t="inlineStr">
        <is>
          <t>1L</t>
        </is>
      </c>
    </row>
    <row r="1906">
      <c r="A1906" s="25" t="n">
        <v>86676</v>
      </c>
      <c r="B1906" s="25" t="inlineStr">
        <is>
          <t>200ml</t>
        </is>
      </c>
    </row>
    <row r="1907">
      <c r="A1907" s="25" t="n">
        <v>63131</v>
      </c>
      <c r="B1907" s="25" t="inlineStr">
        <is>
          <t>375ml</t>
        </is>
      </c>
    </row>
    <row r="1908">
      <c r="A1908" s="25" t="n">
        <v>11774</v>
      </c>
      <c r="B1908" s="25" t="inlineStr">
        <is>
          <t>375ml</t>
        </is>
      </c>
    </row>
    <row r="1909">
      <c r="A1909" s="25" t="n">
        <v>86693</v>
      </c>
      <c r="B1909" s="25" t="inlineStr">
        <is>
          <t>1L</t>
        </is>
      </c>
    </row>
    <row r="1910">
      <c r="A1910" s="25" t="n">
        <v>89387</v>
      </c>
      <c r="B1910" s="25" t="inlineStr">
        <is>
          <t>1L</t>
        </is>
      </c>
    </row>
    <row r="1911">
      <c r="A1911" s="25" t="n">
        <v>359600</v>
      </c>
      <c r="B1911" s="25" t="inlineStr">
        <is>
          <t>750ml</t>
        </is>
      </c>
    </row>
    <row r="1912">
      <c r="A1912" s="25" t="n">
        <v>415318</v>
      </c>
      <c r="B1912" s="25" t="inlineStr">
        <is>
          <t>4L</t>
        </is>
      </c>
    </row>
    <row r="1913">
      <c r="A1913" s="25" t="n">
        <v>579978</v>
      </c>
      <c r="B1913" s="25" t="inlineStr">
        <is>
          <t>750ml</t>
        </is>
      </c>
    </row>
    <row r="1914">
      <c r="A1914" s="25" t="n">
        <v>65193</v>
      </c>
      <c r="B1914" s="25" t="inlineStr">
        <is>
          <t>200ml</t>
        </is>
      </c>
    </row>
    <row r="1915">
      <c r="A1915" s="25" t="n">
        <v>38066</v>
      </c>
      <c r="B1915" s="25" t="inlineStr">
        <is>
          <t>750ml</t>
        </is>
      </c>
    </row>
    <row r="1916">
      <c r="A1916" s="25" t="n">
        <v>88652</v>
      </c>
      <c r="B1916" s="25" t="inlineStr">
        <is>
          <t>750ml</t>
        </is>
      </c>
    </row>
    <row r="1917">
      <c r="A1917" s="25" t="n">
        <v>741677</v>
      </c>
      <c r="B1917" s="25" t="inlineStr">
        <is>
          <t>750ml</t>
        </is>
      </c>
    </row>
    <row r="1918">
      <c r="A1918" s="25" t="n">
        <v>39824</v>
      </c>
      <c r="B1918" s="25" t="inlineStr">
        <is>
          <t>750ml</t>
        </is>
      </c>
    </row>
    <row r="1919">
      <c r="A1919" s="25" t="n">
        <v>441978</v>
      </c>
      <c r="B1919" s="25" t="inlineStr">
        <is>
          <t>750ml</t>
        </is>
      </c>
    </row>
    <row r="1920">
      <c r="A1920" s="25" t="n">
        <v>43124</v>
      </c>
      <c r="B1920" s="25" t="inlineStr">
        <is>
          <t>375ml</t>
        </is>
      </c>
    </row>
    <row r="1921">
      <c r="A1921" s="25" t="n">
        <v>463400</v>
      </c>
      <c r="B1921" s="25" t="inlineStr">
        <is>
          <t>750ml</t>
        </is>
      </c>
    </row>
    <row r="1922">
      <c r="A1922" s="25" t="n">
        <v>65426</v>
      </c>
      <c r="B1922" s="25" t="inlineStr">
        <is>
          <t>750ml</t>
        </is>
      </c>
    </row>
    <row r="1923">
      <c r="A1923" s="25" t="n">
        <v>77632</v>
      </c>
      <c r="B1923" s="25" t="inlineStr">
        <is>
          <t>750ml</t>
        </is>
      </c>
    </row>
    <row r="1924">
      <c r="A1924" s="25" t="n">
        <v>378820</v>
      </c>
      <c r="B1924" s="25" t="inlineStr">
        <is>
          <t>3L</t>
        </is>
      </c>
    </row>
    <row r="1925">
      <c r="A1925" s="25" t="n">
        <v>617612</v>
      </c>
      <c r="B1925" s="25" t="inlineStr">
        <is>
          <t>750ml</t>
        </is>
      </c>
    </row>
    <row r="1926">
      <c r="A1926" s="25" t="n">
        <v>566460</v>
      </c>
      <c r="B1926" s="25" t="inlineStr">
        <is>
          <t>5L</t>
        </is>
      </c>
    </row>
    <row r="1927">
      <c r="A1927" s="25" t="n">
        <v>67550</v>
      </c>
      <c r="B1927" s="25" t="inlineStr">
        <is>
          <t>1.75L</t>
        </is>
      </c>
    </row>
    <row r="1928">
      <c r="A1928" s="25" t="n">
        <v>485390</v>
      </c>
      <c r="B1928" s="25" t="inlineStr">
        <is>
          <t>750ml</t>
        </is>
      </c>
    </row>
    <row r="1929">
      <c r="A1929" s="25" t="n">
        <v>40327</v>
      </c>
      <c r="B1929" s="25" t="inlineStr">
        <is>
          <t>750ml</t>
        </is>
      </c>
    </row>
    <row r="1930">
      <c r="A1930" s="25" t="n">
        <v>101774</v>
      </c>
      <c r="B1930" s="25" t="inlineStr">
        <is>
          <t>750ml</t>
        </is>
      </c>
    </row>
    <row r="1931">
      <c r="A1931" s="25" t="n">
        <v>496690</v>
      </c>
      <c r="B1931" s="25" t="inlineStr">
        <is>
          <t>750ml</t>
        </is>
      </c>
    </row>
    <row r="1932">
      <c r="A1932" s="25" t="n">
        <v>445921</v>
      </c>
      <c r="B1932" s="25" t="inlineStr">
        <is>
          <t>750ml</t>
        </is>
      </c>
    </row>
    <row r="1933">
      <c r="A1933" s="25" t="n">
        <v>49376</v>
      </c>
      <c r="B1933" s="25" t="inlineStr">
        <is>
          <t>750ml</t>
        </is>
      </c>
    </row>
    <row r="1934">
      <c r="A1934" s="25" t="n">
        <v>445800</v>
      </c>
      <c r="B1934" s="25" t="inlineStr">
        <is>
          <t>750ml</t>
        </is>
      </c>
    </row>
    <row r="1935">
      <c r="A1935" s="25" t="n">
        <v>64601</v>
      </c>
      <c r="B1935" s="25" t="inlineStr">
        <is>
          <t>750ml</t>
        </is>
      </c>
    </row>
    <row r="1936">
      <c r="A1936" s="25" t="n">
        <v>87513</v>
      </c>
      <c r="B1936" s="25" t="inlineStr">
        <is>
          <t>1.75L</t>
        </is>
      </c>
    </row>
    <row r="1937">
      <c r="A1937" s="25" t="n">
        <v>12308</v>
      </c>
      <c r="B1937" s="25" t="inlineStr">
        <is>
          <t>1.75L</t>
        </is>
      </c>
    </row>
    <row r="1938">
      <c r="A1938" s="25" t="n">
        <v>568823</v>
      </c>
      <c r="B1938" s="25" t="inlineStr">
        <is>
          <t>750ml</t>
        </is>
      </c>
    </row>
    <row r="1939">
      <c r="A1939" s="25" t="n">
        <v>39324</v>
      </c>
      <c r="B1939" s="25" t="inlineStr">
        <is>
          <t>1.75L</t>
        </is>
      </c>
    </row>
    <row r="1940">
      <c r="A1940" s="25" t="n">
        <v>62387</v>
      </c>
      <c r="B1940" s="25" t="inlineStr">
        <is>
          <t>1.75L</t>
        </is>
      </c>
    </row>
    <row r="1941">
      <c r="A1941" s="25" t="n">
        <v>423331</v>
      </c>
      <c r="B1941" s="25" t="inlineStr">
        <is>
          <t>750ml</t>
        </is>
      </c>
    </row>
    <row r="1942">
      <c r="A1942" s="25" t="n">
        <v>2447</v>
      </c>
      <c r="B1942" s="25" t="inlineStr">
        <is>
          <t>375ml</t>
        </is>
      </c>
    </row>
    <row r="1943">
      <c r="A1943" s="25" t="n">
        <v>26670</v>
      </c>
      <c r="B1943" s="25" t="inlineStr">
        <is>
          <t>750ml</t>
        </is>
      </c>
    </row>
    <row r="1944">
      <c r="A1944" s="25" t="n">
        <v>100662</v>
      </c>
      <c r="B1944" s="25" t="inlineStr">
        <is>
          <t>50ml</t>
        </is>
      </c>
    </row>
    <row r="1945">
      <c r="A1945" s="25" t="n">
        <v>467520</v>
      </c>
      <c r="B1945" s="25" t="inlineStr">
        <is>
          <t>5L</t>
        </is>
      </c>
    </row>
    <row r="1946">
      <c r="A1946" s="25" t="n">
        <v>451310</v>
      </c>
      <c r="B1946" s="25" t="inlineStr">
        <is>
          <t>4L</t>
        </is>
      </c>
    </row>
    <row r="1947">
      <c r="A1947" s="25" t="n">
        <v>89339</v>
      </c>
      <c r="B1947" s="25" t="inlineStr">
        <is>
          <t>750ml</t>
        </is>
      </c>
    </row>
    <row r="1948">
      <c r="A1948" s="25" t="n">
        <v>44410</v>
      </c>
      <c r="B1948" s="25" t="inlineStr">
        <is>
          <t>750ml</t>
        </is>
      </c>
    </row>
    <row r="1949">
      <c r="A1949" s="25" t="n">
        <v>57081</v>
      </c>
      <c r="B1949" s="25" t="inlineStr">
        <is>
          <t>200ml</t>
        </is>
      </c>
    </row>
    <row r="1950">
      <c r="A1950" s="25" t="n">
        <v>13388</v>
      </c>
      <c r="B1950" s="25" t="inlineStr">
        <is>
          <t>1.75L</t>
        </is>
      </c>
    </row>
    <row r="1951">
      <c r="A1951" s="25" t="n">
        <v>15621</v>
      </c>
      <c r="B1951" s="25" t="inlineStr">
        <is>
          <t>50ml</t>
        </is>
      </c>
    </row>
    <row r="1952">
      <c r="A1952" s="25" t="n">
        <v>100700</v>
      </c>
      <c r="B1952" s="25" t="inlineStr">
        <is>
          <t>850ml</t>
        </is>
      </c>
    </row>
    <row r="1953">
      <c r="A1953" s="25" t="n">
        <v>42717</v>
      </c>
      <c r="B1953" s="25" t="inlineStr">
        <is>
          <t>1L</t>
        </is>
      </c>
    </row>
    <row r="1954">
      <c r="A1954" s="25" t="n">
        <v>34510</v>
      </c>
      <c r="B1954" s="25" t="inlineStr">
        <is>
          <t>1L</t>
        </is>
      </c>
    </row>
    <row r="1955">
      <c r="A1955" s="25" t="n">
        <v>93564</v>
      </c>
      <c r="B1955" s="25" t="inlineStr">
        <is>
          <t>750ml</t>
        </is>
      </c>
    </row>
    <row r="1956">
      <c r="A1956" s="25" t="n">
        <v>515860</v>
      </c>
      <c r="B1956" s="25" t="inlineStr">
        <is>
          <t>750ml</t>
        </is>
      </c>
    </row>
    <row r="1957">
      <c r="A1957" s="25" t="n">
        <v>80364</v>
      </c>
      <c r="B1957" s="25" t="inlineStr">
        <is>
          <t>750ml</t>
        </is>
      </c>
    </row>
    <row r="1958">
      <c r="A1958" s="25" t="n">
        <v>611940</v>
      </c>
      <c r="B1958" s="25" t="inlineStr">
        <is>
          <t>750ml</t>
        </is>
      </c>
    </row>
    <row r="1959">
      <c r="A1959" s="25" t="n">
        <v>80683</v>
      </c>
      <c r="B1959" s="25" t="inlineStr">
        <is>
          <t>200ml</t>
        </is>
      </c>
    </row>
    <row r="1960">
      <c r="A1960" s="25" t="n">
        <v>86912</v>
      </c>
      <c r="B1960" s="25" t="inlineStr">
        <is>
          <t>750ml</t>
        </is>
      </c>
    </row>
    <row r="1961">
      <c r="A1961" s="25" t="n">
        <v>52588</v>
      </c>
      <c r="B1961" s="25" t="inlineStr">
        <is>
          <t>750ml</t>
        </is>
      </c>
    </row>
    <row r="1962">
      <c r="A1962" s="25" t="n">
        <v>36971</v>
      </c>
      <c r="B1962" s="25" t="inlineStr">
        <is>
          <t>1.75L</t>
        </is>
      </c>
    </row>
    <row r="1963">
      <c r="A1963" s="25" t="n">
        <v>610003</v>
      </c>
      <c r="B1963" s="25" t="inlineStr">
        <is>
          <t>750ml</t>
        </is>
      </c>
    </row>
    <row r="1964">
      <c r="A1964" s="25" t="n">
        <v>704050</v>
      </c>
      <c r="B1964" s="25" t="inlineStr">
        <is>
          <t>750ml</t>
        </is>
      </c>
    </row>
    <row r="1965">
      <c r="A1965" s="25" t="n">
        <v>45098</v>
      </c>
      <c r="B1965" s="25" t="inlineStr">
        <is>
          <t>1.75L</t>
        </is>
      </c>
    </row>
    <row r="1966">
      <c r="A1966" s="25" t="n">
        <v>460938</v>
      </c>
      <c r="B1966" s="25" t="inlineStr">
        <is>
          <t>750ml</t>
        </is>
      </c>
    </row>
    <row r="1967">
      <c r="A1967" s="25" t="n">
        <v>34326</v>
      </c>
      <c r="B1967" s="25" t="inlineStr">
        <is>
          <t>750ml</t>
        </is>
      </c>
    </row>
    <row r="1968">
      <c r="A1968" s="25" t="n">
        <v>85560</v>
      </c>
      <c r="B1968" s="25" t="inlineStr">
        <is>
          <t>1L</t>
        </is>
      </c>
    </row>
    <row r="1969">
      <c r="A1969" s="25" t="n">
        <v>443312</v>
      </c>
      <c r="B1969" s="25" t="inlineStr">
        <is>
          <t>750ml</t>
        </is>
      </c>
    </row>
    <row r="1970">
      <c r="A1970" s="25" t="n">
        <v>87128</v>
      </c>
      <c r="B1970" s="25" t="inlineStr">
        <is>
          <t>1.75L</t>
        </is>
      </c>
    </row>
    <row r="1971">
      <c r="A1971" s="25" t="n">
        <v>606261</v>
      </c>
      <c r="B1971" s="25" t="inlineStr">
        <is>
          <t>1.5L</t>
        </is>
      </c>
    </row>
    <row r="1972">
      <c r="A1972" s="25" t="n">
        <v>89796</v>
      </c>
      <c r="B1972" s="25" t="inlineStr">
        <is>
          <t>750ml</t>
        </is>
      </c>
    </row>
    <row r="1973">
      <c r="A1973" s="25" t="n">
        <v>27022</v>
      </c>
      <c r="B1973" s="25" t="inlineStr">
        <is>
          <t>1.75L</t>
        </is>
      </c>
    </row>
    <row r="1974">
      <c r="A1974" s="25" t="n">
        <v>420480</v>
      </c>
      <c r="B1974" s="25" t="inlineStr">
        <is>
          <t>750ml</t>
        </is>
      </c>
    </row>
    <row r="1975">
      <c r="A1975" s="25" t="n">
        <v>43387</v>
      </c>
      <c r="B1975" s="25" t="inlineStr">
        <is>
          <t>1L</t>
        </is>
      </c>
    </row>
    <row r="1976">
      <c r="A1976" s="25" t="n">
        <v>64922</v>
      </c>
      <c r="B1976" s="25" t="inlineStr">
        <is>
          <t>750ml</t>
        </is>
      </c>
    </row>
    <row r="1977">
      <c r="A1977" s="25" t="n">
        <v>579271</v>
      </c>
      <c r="B1977" s="25" t="inlineStr">
        <is>
          <t>750ml</t>
        </is>
      </c>
    </row>
    <row r="1978">
      <c r="A1978" s="25" t="n">
        <v>376803</v>
      </c>
      <c r="B1978" s="25" t="inlineStr">
        <is>
          <t>750ml</t>
        </is>
      </c>
    </row>
    <row r="1979">
      <c r="A1979" s="25" t="n">
        <v>630782</v>
      </c>
      <c r="B1979" s="25" t="inlineStr">
        <is>
          <t>1.5L</t>
        </is>
      </c>
    </row>
    <row r="1980">
      <c r="A1980" s="25" t="n">
        <v>16685</v>
      </c>
      <c r="B1980" s="25" t="inlineStr">
        <is>
          <t>750ml</t>
        </is>
      </c>
    </row>
    <row r="1981">
      <c r="A1981" s="25" t="n">
        <v>515891</v>
      </c>
      <c r="B1981" s="25" t="inlineStr">
        <is>
          <t>750ml</t>
        </is>
      </c>
    </row>
    <row r="1982">
      <c r="A1982" s="25" t="n">
        <v>511020</v>
      </c>
      <c r="B1982" s="25" t="inlineStr">
        <is>
          <t>750ml</t>
        </is>
      </c>
    </row>
    <row r="1983">
      <c r="A1983" s="25" t="n">
        <v>31470</v>
      </c>
      <c r="B1983" s="25" t="inlineStr">
        <is>
          <t>1L</t>
        </is>
      </c>
    </row>
    <row r="1984">
      <c r="A1984" s="25" t="n">
        <v>41299</v>
      </c>
      <c r="B1984" s="25" t="inlineStr">
        <is>
          <t>750ml</t>
        </is>
      </c>
    </row>
    <row r="1985">
      <c r="A1985" s="25" t="n">
        <v>43285</v>
      </c>
      <c r="B1985" s="25" t="inlineStr">
        <is>
          <t>750ml</t>
        </is>
      </c>
    </row>
    <row r="1986">
      <c r="A1986" s="25" t="n">
        <v>22217</v>
      </c>
      <c r="B1986" s="25" t="inlineStr">
        <is>
          <t>1L</t>
        </is>
      </c>
    </row>
    <row r="1987">
      <c r="A1987" s="25" t="n">
        <v>67528</v>
      </c>
      <c r="B1987" s="25" t="inlineStr">
        <is>
          <t>1.75L</t>
        </is>
      </c>
    </row>
    <row r="1988">
      <c r="A1988" s="25" t="n">
        <v>463198</v>
      </c>
      <c r="B1988" s="25" t="inlineStr">
        <is>
          <t>750ml</t>
        </is>
      </c>
    </row>
    <row r="1989">
      <c r="A1989" s="25" t="n">
        <v>87250</v>
      </c>
      <c r="B1989" s="25" t="inlineStr">
        <is>
          <t>750ml</t>
        </is>
      </c>
    </row>
    <row r="1990">
      <c r="A1990" s="25" t="n">
        <v>452240</v>
      </c>
      <c r="B1990" s="25" t="inlineStr">
        <is>
          <t>750ml</t>
        </is>
      </c>
    </row>
    <row r="1991">
      <c r="A1991" s="25" t="n">
        <v>728792</v>
      </c>
      <c r="B1991" s="25" t="inlineStr">
        <is>
          <t>375ml</t>
        </is>
      </c>
    </row>
    <row r="1992">
      <c r="A1992" s="25" t="n">
        <v>78293</v>
      </c>
      <c r="B1992" s="25" t="inlineStr">
        <is>
          <t>750ml</t>
        </is>
      </c>
    </row>
    <row r="1993">
      <c r="A1993" s="25" t="n">
        <v>73779</v>
      </c>
      <c r="B1993" s="25" t="inlineStr">
        <is>
          <t>375ml</t>
        </is>
      </c>
    </row>
    <row r="1994">
      <c r="A1994" s="25" t="n">
        <v>544075</v>
      </c>
      <c r="B1994" s="25" t="inlineStr">
        <is>
          <t>750ml</t>
        </is>
      </c>
    </row>
    <row r="1995">
      <c r="A1995" s="25" t="n">
        <v>541460</v>
      </c>
      <c r="B1995" s="25" t="inlineStr">
        <is>
          <t>5L</t>
        </is>
      </c>
    </row>
    <row r="1996">
      <c r="A1996" s="25" t="n">
        <v>462508</v>
      </c>
      <c r="B1996" s="25" t="inlineStr">
        <is>
          <t>750ml</t>
        </is>
      </c>
    </row>
    <row r="1997">
      <c r="A1997" s="25" t="n">
        <v>82556</v>
      </c>
      <c r="B1997" s="25" t="inlineStr">
        <is>
          <t>750ml</t>
        </is>
      </c>
    </row>
    <row r="1998">
      <c r="A1998" s="25" t="n">
        <v>44557</v>
      </c>
      <c r="B1998" s="25" t="inlineStr">
        <is>
          <t>750ml</t>
        </is>
      </c>
    </row>
    <row r="1999">
      <c r="A1999" s="25" t="n">
        <v>39980</v>
      </c>
      <c r="B1999" s="25" t="inlineStr">
        <is>
          <t>1.75L</t>
        </is>
      </c>
    </row>
    <row r="2000">
      <c r="A2000" s="25" t="n">
        <v>59154</v>
      </c>
      <c r="B2000" s="25" t="inlineStr">
        <is>
          <t>1.75L</t>
        </is>
      </c>
    </row>
    <row r="2001">
      <c r="A2001" s="25" t="n">
        <v>28087</v>
      </c>
      <c r="B2001" s="25" t="inlineStr">
        <is>
          <t>1L</t>
        </is>
      </c>
    </row>
    <row r="2002">
      <c r="A2002" s="25" t="n">
        <v>34158</v>
      </c>
      <c r="B2002" s="25" t="inlineStr">
        <is>
          <t>1.75L</t>
        </is>
      </c>
    </row>
    <row r="2003">
      <c r="A2003" s="25" t="n">
        <v>19476</v>
      </c>
      <c r="B2003" s="25" t="inlineStr">
        <is>
          <t>750ml</t>
        </is>
      </c>
    </row>
    <row r="2004">
      <c r="A2004" s="25" t="n">
        <v>905485</v>
      </c>
      <c r="B2004" s="25" t="inlineStr">
        <is>
          <t>750ml</t>
        </is>
      </c>
    </row>
    <row r="2005">
      <c r="A2005" s="25" t="n">
        <v>5014</v>
      </c>
      <c r="B2005" s="25" t="inlineStr">
        <is>
          <t>750ml</t>
        </is>
      </c>
    </row>
    <row r="2006">
      <c r="A2006" s="25" t="n">
        <v>18095</v>
      </c>
      <c r="B2006" s="25" t="inlineStr">
        <is>
          <t>750ml</t>
        </is>
      </c>
    </row>
    <row r="2007">
      <c r="A2007" s="25" t="n">
        <v>816236</v>
      </c>
      <c r="B2007" s="25" t="inlineStr">
        <is>
          <t>750ml</t>
        </is>
      </c>
    </row>
    <row r="2008">
      <c r="A2008" s="25" t="n">
        <v>5036</v>
      </c>
      <c r="B2008" s="25" t="inlineStr">
        <is>
          <t>750ml</t>
        </is>
      </c>
    </row>
    <row r="2009">
      <c r="A2009" s="25" t="n">
        <v>89121</v>
      </c>
      <c r="B2009" s="25" t="inlineStr">
        <is>
          <t>750ml</t>
        </is>
      </c>
    </row>
    <row r="2010">
      <c r="A2010" s="25" t="n">
        <v>446130</v>
      </c>
      <c r="B2010" s="25" t="inlineStr">
        <is>
          <t>750ml</t>
        </is>
      </c>
    </row>
    <row r="2011">
      <c r="A2011" s="25" t="n">
        <v>53214</v>
      </c>
      <c r="B2011" s="25" t="inlineStr">
        <is>
          <t>375ml</t>
        </is>
      </c>
    </row>
    <row r="2012">
      <c r="A2012" s="25" t="n">
        <v>67595</v>
      </c>
      <c r="B2012" s="25" t="inlineStr">
        <is>
          <t>750ml</t>
        </is>
      </c>
    </row>
    <row r="2013">
      <c r="A2013" s="25" t="n">
        <v>656354</v>
      </c>
      <c r="B2013" s="25" t="inlineStr">
        <is>
          <t>1.5L</t>
        </is>
      </c>
    </row>
    <row r="2014">
      <c r="A2014" s="25" t="n">
        <v>73755</v>
      </c>
      <c r="B2014" s="25" t="inlineStr">
        <is>
          <t>750ml</t>
        </is>
      </c>
    </row>
    <row r="2015">
      <c r="A2015" s="25" t="n">
        <v>882329</v>
      </c>
      <c r="B2015" s="25" t="inlineStr">
        <is>
          <t>3L</t>
        </is>
      </c>
    </row>
    <row r="2016">
      <c r="A2016" s="25" t="n">
        <v>10832</v>
      </c>
      <c r="B2016" s="25" t="inlineStr">
        <is>
          <t>200ml</t>
        </is>
      </c>
    </row>
    <row r="2017">
      <c r="A2017" s="25" t="n">
        <v>892855</v>
      </c>
      <c r="B2017" s="25" t="inlineStr">
        <is>
          <t>1.5L</t>
        </is>
      </c>
    </row>
    <row r="2018">
      <c r="A2018" s="25" t="n">
        <v>506978</v>
      </c>
      <c r="B2018" s="25" t="inlineStr">
        <is>
          <t>750ml</t>
        </is>
      </c>
    </row>
    <row r="2019">
      <c r="A2019" s="25" t="n">
        <v>461280</v>
      </c>
      <c r="B2019" s="25" t="inlineStr">
        <is>
          <t>3L</t>
        </is>
      </c>
    </row>
    <row r="2020">
      <c r="A2020" s="25" t="n">
        <v>478500</v>
      </c>
      <c r="B2020" s="25" t="inlineStr">
        <is>
          <t>750ml</t>
        </is>
      </c>
    </row>
    <row r="2021">
      <c r="A2021" s="25" t="n">
        <v>28725</v>
      </c>
      <c r="B2021" s="25" t="inlineStr">
        <is>
          <t>750ml</t>
        </is>
      </c>
    </row>
    <row r="2022">
      <c r="A2022" s="25" t="n">
        <v>89538</v>
      </c>
      <c r="B2022" s="25" t="inlineStr">
        <is>
          <t>1.75L</t>
        </is>
      </c>
    </row>
    <row r="2023">
      <c r="A2023" s="25" t="n">
        <v>28477</v>
      </c>
      <c r="B2023" s="25" t="inlineStr">
        <is>
          <t>750ml</t>
        </is>
      </c>
    </row>
    <row r="2024">
      <c r="A2024" s="25" t="n">
        <v>32417</v>
      </c>
      <c r="B2024" s="25" t="inlineStr">
        <is>
          <t>1L</t>
        </is>
      </c>
    </row>
    <row r="2025">
      <c r="A2025" s="25" t="n">
        <v>64676</v>
      </c>
      <c r="B2025" s="25" t="inlineStr">
        <is>
          <t>750ml</t>
        </is>
      </c>
    </row>
    <row r="2026">
      <c r="A2026" s="25" t="n">
        <v>290890</v>
      </c>
      <c r="B2026" s="25" t="inlineStr">
        <is>
          <t>750ml</t>
        </is>
      </c>
    </row>
    <row r="2027">
      <c r="A2027" s="25" t="n">
        <v>590145</v>
      </c>
      <c r="B2027" s="25" t="inlineStr">
        <is>
          <t>1.5L</t>
        </is>
      </c>
    </row>
    <row r="2028">
      <c r="A2028" s="25" t="n">
        <v>282616</v>
      </c>
      <c r="B2028" s="25" t="inlineStr">
        <is>
          <t>750ml</t>
        </is>
      </c>
    </row>
    <row r="2029">
      <c r="A2029" s="25" t="n">
        <v>88095</v>
      </c>
      <c r="B2029" s="25" t="inlineStr">
        <is>
          <t>750ml</t>
        </is>
      </c>
    </row>
    <row r="2030">
      <c r="A2030" s="25" t="n">
        <v>12872</v>
      </c>
      <c r="B2030" s="25" t="inlineStr">
        <is>
          <t>750ml</t>
        </is>
      </c>
    </row>
    <row r="2031">
      <c r="A2031" s="25" t="n">
        <v>591865</v>
      </c>
      <c r="B2031" s="25" t="inlineStr">
        <is>
          <t>750ml</t>
        </is>
      </c>
    </row>
    <row r="2032">
      <c r="A2032" s="25" t="n">
        <v>882328</v>
      </c>
      <c r="B2032" s="25" t="inlineStr">
        <is>
          <t>750ml</t>
        </is>
      </c>
    </row>
    <row r="2033">
      <c r="A2033" s="25" t="n">
        <v>565715</v>
      </c>
      <c r="B2033" s="25" t="inlineStr">
        <is>
          <t>750ml</t>
        </is>
      </c>
    </row>
    <row r="2034">
      <c r="A2034" s="25" t="n">
        <v>768955</v>
      </c>
      <c r="B2034" s="25" t="inlineStr">
        <is>
          <t>750ml</t>
        </is>
      </c>
    </row>
    <row r="2035">
      <c r="A2035" s="25" t="n">
        <v>549140</v>
      </c>
      <c r="B2035" s="25" t="inlineStr">
        <is>
          <t>750ml</t>
        </is>
      </c>
    </row>
    <row r="2036">
      <c r="A2036" s="25" t="n">
        <v>88549</v>
      </c>
      <c r="B2036" s="25" t="inlineStr">
        <is>
          <t>375ml</t>
        </is>
      </c>
    </row>
    <row r="2037">
      <c r="A2037" s="25" t="n">
        <v>25606</v>
      </c>
      <c r="B2037" s="25" t="inlineStr">
        <is>
          <t>750ml</t>
        </is>
      </c>
    </row>
    <row r="2038">
      <c r="A2038" s="25" t="n">
        <v>442529</v>
      </c>
      <c r="B2038" s="25" t="inlineStr">
        <is>
          <t>750ml</t>
        </is>
      </c>
    </row>
    <row r="2039">
      <c r="A2039" s="25" t="n">
        <v>355750</v>
      </c>
      <c r="B2039" s="25" t="inlineStr">
        <is>
          <t>750ml</t>
        </is>
      </c>
    </row>
    <row r="2040">
      <c r="A2040" s="25" t="n">
        <v>63888</v>
      </c>
      <c r="B2040" s="25" t="inlineStr">
        <is>
          <t>355ml</t>
        </is>
      </c>
    </row>
    <row r="2041">
      <c r="A2041" s="25" t="n">
        <v>404487</v>
      </c>
      <c r="B2041" s="25" t="inlineStr">
        <is>
          <t>750ml</t>
        </is>
      </c>
    </row>
    <row r="2042">
      <c r="A2042" s="25" t="n">
        <v>98490</v>
      </c>
      <c r="B2042" s="25" t="inlineStr">
        <is>
          <t>1L</t>
        </is>
      </c>
    </row>
    <row r="2043">
      <c r="A2043" s="25" t="n">
        <v>506204</v>
      </c>
      <c r="B2043" s="25" t="inlineStr">
        <is>
          <t>750ml</t>
        </is>
      </c>
    </row>
    <row r="2044">
      <c r="A2044" s="25" t="n">
        <v>87860</v>
      </c>
      <c r="B2044" s="25" t="inlineStr">
        <is>
          <t>750ml</t>
        </is>
      </c>
    </row>
    <row r="2045">
      <c r="A2045" s="25" t="n">
        <v>643820</v>
      </c>
      <c r="B2045" s="25" t="inlineStr">
        <is>
          <t>750ml</t>
        </is>
      </c>
    </row>
    <row r="2046">
      <c r="A2046" s="25" t="n">
        <v>5555</v>
      </c>
      <c r="B2046" s="25" t="inlineStr">
        <is>
          <t>750ml</t>
        </is>
      </c>
    </row>
    <row r="2047">
      <c r="A2047" s="25" t="n">
        <v>89887</v>
      </c>
      <c r="B2047" s="25" t="inlineStr">
        <is>
          <t>1L</t>
        </is>
      </c>
    </row>
    <row r="2048">
      <c r="A2048" s="25" t="n">
        <v>66994</v>
      </c>
      <c r="B2048" s="25" t="inlineStr">
        <is>
          <t>750ml</t>
        </is>
      </c>
    </row>
    <row r="2049">
      <c r="A2049" s="25" t="n">
        <v>355618</v>
      </c>
      <c r="B2049" s="25" t="inlineStr">
        <is>
          <t>1.5L</t>
        </is>
      </c>
    </row>
    <row r="2050">
      <c r="A2050" s="25" t="n">
        <v>41060</v>
      </c>
      <c r="B2050" s="25" t="inlineStr">
        <is>
          <t>750ml</t>
        </is>
      </c>
    </row>
    <row r="2051">
      <c r="A2051" s="25" t="n">
        <v>21184</v>
      </c>
      <c r="B2051" s="25" t="inlineStr">
        <is>
          <t>750ml</t>
        </is>
      </c>
    </row>
    <row r="2052">
      <c r="A2052" s="25" t="n">
        <v>64996</v>
      </c>
      <c r="B2052" s="25" t="inlineStr">
        <is>
          <t>750ml</t>
        </is>
      </c>
    </row>
    <row r="2053">
      <c r="A2053" s="25" t="n">
        <v>418595</v>
      </c>
      <c r="B2053" s="25" t="inlineStr">
        <is>
          <t>750ml</t>
        </is>
      </c>
    </row>
    <row r="2054">
      <c r="A2054" s="25" t="n">
        <v>560591</v>
      </c>
      <c r="B2054" s="25" t="inlineStr">
        <is>
          <t>750ml</t>
        </is>
      </c>
    </row>
    <row r="2055">
      <c r="A2055" s="25" t="n">
        <v>43874</v>
      </c>
      <c r="B2055" s="25" t="inlineStr">
        <is>
          <t>750ml</t>
        </is>
      </c>
    </row>
    <row r="2056">
      <c r="A2056" s="25" t="n">
        <v>47867</v>
      </c>
      <c r="B2056" s="25" t="inlineStr">
        <is>
          <t>750ml</t>
        </is>
      </c>
    </row>
    <row r="2057">
      <c r="A2057" s="25" t="n">
        <v>476123</v>
      </c>
      <c r="B2057" s="25" t="inlineStr">
        <is>
          <t>5L</t>
        </is>
      </c>
    </row>
    <row r="2058">
      <c r="A2058" s="25" t="n">
        <v>93568</v>
      </c>
      <c r="B2058" s="25" t="inlineStr">
        <is>
          <t>375ml</t>
        </is>
      </c>
    </row>
    <row r="2059">
      <c r="A2059" s="25" t="n">
        <v>467980</v>
      </c>
      <c r="B2059" s="25" t="inlineStr">
        <is>
          <t>750ml</t>
        </is>
      </c>
    </row>
    <row r="2060">
      <c r="A2060" s="25" t="n">
        <v>467308</v>
      </c>
      <c r="B2060" s="25" t="inlineStr">
        <is>
          <t>750ml</t>
        </is>
      </c>
    </row>
    <row r="2061">
      <c r="A2061" s="25" t="n">
        <v>80423</v>
      </c>
      <c r="B2061" s="25" t="inlineStr">
        <is>
          <t>750ml</t>
        </is>
      </c>
    </row>
    <row r="2062">
      <c r="A2062" s="25" t="n">
        <v>64864</v>
      </c>
      <c r="B2062" s="25" t="inlineStr">
        <is>
          <t>375ml</t>
        </is>
      </c>
    </row>
    <row r="2063">
      <c r="A2063" s="25" t="n">
        <v>58860</v>
      </c>
      <c r="B2063" s="25" t="inlineStr">
        <is>
          <t>1.75L</t>
        </is>
      </c>
    </row>
    <row r="2064">
      <c r="A2064" s="25" t="n">
        <v>219158</v>
      </c>
      <c r="B2064" s="25" t="inlineStr">
        <is>
          <t>750ml</t>
        </is>
      </c>
    </row>
    <row r="2065">
      <c r="A2065" s="25" t="n">
        <v>19114</v>
      </c>
      <c r="B2065" s="25" t="inlineStr">
        <is>
          <t>1.75L</t>
        </is>
      </c>
    </row>
    <row r="2066">
      <c r="A2066" s="25" t="n">
        <v>16225</v>
      </c>
      <c r="B2066" s="25" t="inlineStr">
        <is>
          <t>500ml</t>
        </is>
      </c>
    </row>
    <row r="2067">
      <c r="A2067" s="25" t="n">
        <v>37233</v>
      </c>
      <c r="B2067" s="25" t="inlineStr">
        <is>
          <t>750ml</t>
        </is>
      </c>
    </row>
    <row r="2068">
      <c r="A2068" s="25" t="n">
        <v>78109</v>
      </c>
      <c r="B2068" s="25" t="inlineStr">
        <is>
          <t>50ml</t>
        </is>
      </c>
    </row>
    <row r="2069">
      <c r="A2069" s="25" t="n">
        <v>86828</v>
      </c>
      <c r="B2069" s="25" t="inlineStr">
        <is>
          <t>50ml</t>
        </is>
      </c>
    </row>
    <row r="2070">
      <c r="A2070" s="25" t="n">
        <v>730100</v>
      </c>
      <c r="B2070" s="25" t="inlineStr">
        <is>
          <t>750ml</t>
        </is>
      </c>
    </row>
    <row r="2071">
      <c r="A2071" s="25" t="n">
        <v>478705</v>
      </c>
      <c r="B2071" s="25" t="inlineStr">
        <is>
          <t>750ml</t>
        </is>
      </c>
    </row>
    <row r="2072">
      <c r="A2072" s="25" t="n">
        <v>727277</v>
      </c>
      <c r="B2072" s="25" t="inlineStr">
        <is>
          <t>750ml</t>
        </is>
      </c>
    </row>
    <row r="2073">
      <c r="A2073" s="25" t="n">
        <v>97723</v>
      </c>
      <c r="B2073" s="25" t="inlineStr">
        <is>
          <t>1L</t>
        </is>
      </c>
    </row>
    <row r="2074">
      <c r="A2074" s="25" t="n">
        <v>518304</v>
      </c>
      <c r="B2074" s="25" t="inlineStr">
        <is>
          <t>1.5L</t>
        </is>
      </c>
    </row>
    <row r="2075">
      <c r="A2075" s="25" t="n">
        <v>642100</v>
      </c>
      <c r="B2075" s="25" t="inlineStr">
        <is>
          <t>750ml</t>
        </is>
      </c>
    </row>
    <row r="2076">
      <c r="A2076" s="25" t="n">
        <v>382436</v>
      </c>
      <c r="B2076" s="25" t="inlineStr">
        <is>
          <t>750ml</t>
        </is>
      </c>
    </row>
    <row r="2077">
      <c r="A2077" s="25" t="n">
        <v>82611</v>
      </c>
      <c r="B2077" s="25" t="inlineStr">
        <is>
          <t>750ml</t>
        </is>
      </c>
    </row>
    <row r="2078">
      <c r="A2078" s="25" t="n">
        <v>34605</v>
      </c>
      <c r="B2078" s="25" t="inlineStr">
        <is>
          <t>750ml</t>
        </is>
      </c>
    </row>
    <row r="2079">
      <c r="A2079" s="25" t="n">
        <v>444760</v>
      </c>
      <c r="B2079" s="25" t="inlineStr">
        <is>
          <t>750ml</t>
        </is>
      </c>
    </row>
    <row r="2080">
      <c r="A2080" s="25" t="n">
        <v>40191</v>
      </c>
      <c r="B2080" s="25" t="inlineStr">
        <is>
          <t>200ml</t>
        </is>
      </c>
    </row>
    <row r="2081">
      <c r="A2081" s="25" t="n">
        <v>77482</v>
      </c>
      <c r="B2081" s="25" t="inlineStr">
        <is>
          <t>750ml</t>
        </is>
      </c>
    </row>
    <row r="2082">
      <c r="A2082" s="25" t="n">
        <v>588634</v>
      </c>
      <c r="B2082" s="25" t="inlineStr">
        <is>
          <t>750ml</t>
        </is>
      </c>
    </row>
    <row r="2083">
      <c r="A2083" s="25" t="n">
        <v>4846</v>
      </c>
      <c r="B2083" s="25" t="inlineStr">
        <is>
          <t>750ml</t>
        </is>
      </c>
    </row>
    <row r="2084">
      <c r="A2084" s="25" t="n">
        <v>379253</v>
      </c>
      <c r="B2084" s="25" t="inlineStr">
        <is>
          <t>750ml</t>
        </is>
      </c>
    </row>
    <row r="2085">
      <c r="A2085" s="25" t="n">
        <v>485449</v>
      </c>
      <c r="B2085" s="25" t="inlineStr">
        <is>
          <t>750ml</t>
        </is>
      </c>
    </row>
    <row r="2086">
      <c r="A2086" s="25" t="n">
        <v>90694</v>
      </c>
      <c r="B2086" s="25" t="inlineStr">
        <is>
          <t>750ml</t>
        </is>
      </c>
    </row>
    <row r="2087">
      <c r="A2087" s="25" t="n">
        <v>20376</v>
      </c>
      <c r="B2087" s="25" t="inlineStr">
        <is>
          <t>750ml</t>
        </is>
      </c>
    </row>
    <row r="2088">
      <c r="A2088" s="25" t="n">
        <v>63961</v>
      </c>
      <c r="B2088" s="25" t="inlineStr">
        <is>
          <t>1.75L</t>
        </is>
      </c>
    </row>
    <row r="2089">
      <c r="A2089" s="25" t="n">
        <v>450122</v>
      </c>
      <c r="B2089" s="25" t="inlineStr">
        <is>
          <t>3L</t>
        </is>
      </c>
    </row>
    <row r="2090">
      <c r="A2090" s="25" t="n">
        <v>751950</v>
      </c>
      <c r="B2090" s="25" t="inlineStr">
        <is>
          <t>750ml</t>
        </is>
      </c>
    </row>
    <row r="2091">
      <c r="A2091" s="25" t="n">
        <v>41209</v>
      </c>
      <c r="B2091" s="25" t="inlineStr">
        <is>
          <t>750ml</t>
        </is>
      </c>
    </row>
    <row r="2092">
      <c r="A2092" s="25" t="n">
        <v>607140</v>
      </c>
      <c r="B2092" s="25" t="inlineStr">
        <is>
          <t>750ml</t>
        </is>
      </c>
    </row>
    <row r="2093">
      <c r="A2093" s="25" t="n">
        <v>478326</v>
      </c>
      <c r="B2093" s="25" t="inlineStr">
        <is>
          <t>750ml</t>
        </is>
      </c>
    </row>
    <row r="2094">
      <c r="A2094" s="25" t="n">
        <v>59192</v>
      </c>
      <c r="B2094" s="25" t="inlineStr">
        <is>
          <t>1.75L</t>
        </is>
      </c>
    </row>
    <row r="2095">
      <c r="A2095" s="25" t="n">
        <v>18977</v>
      </c>
      <c r="B2095" s="25" t="inlineStr">
        <is>
          <t>1L</t>
        </is>
      </c>
    </row>
    <row r="2096">
      <c r="A2096" s="25" t="n">
        <v>64509</v>
      </c>
      <c r="B2096" s="25" t="inlineStr">
        <is>
          <t>50ml</t>
        </is>
      </c>
    </row>
    <row r="2097">
      <c r="A2097" s="25" t="n">
        <v>802875</v>
      </c>
      <c r="B2097" s="25" t="inlineStr">
        <is>
          <t>1.5L</t>
        </is>
      </c>
    </row>
    <row r="2098">
      <c r="A2098" s="25" t="n">
        <v>498120</v>
      </c>
      <c r="B2098" s="25" t="inlineStr">
        <is>
          <t>1.5L</t>
        </is>
      </c>
    </row>
    <row r="2099">
      <c r="A2099" s="25" t="n">
        <v>381753</v>
      </c>
      <c r="B2099" s="25" t="inlineStr">
        <is>
          <t>750ml</t>
        </is>
      </c>
    </row>
    <row r="2100">
      <c r="A2100" s="25" t="n">
        <v>28153</v>
      </c>
      <c r="B2100" s="25" t="inlineStr">
        <is>
          <t>375ml</t>
        </is>
      </c>
    </row>
    <row r="2101">
      <c r="A2101" s="25" t="n">
        <v>600600</v>
      </c>
      <c r="B2101" s="25" t="inlineStr">
        <is>
          <t>5L</t>
        </is>
      </c>
    </row>
    <row r="2102">
      <c r="A2102" s="25" t="n">
        <v>812796</v>
      </c>
      <c r="B2102" s="25" t="inlineStr">
        <is>
          <t>375ml</t>
        </is>
      </c>
    </row>
    <row r="2103">
      <c r="A2103" s="25" t="n">
        <v>407753</v>
      </c>
      <c r="B2103" s="25" t="inlineStr">
        <is>
          <t>750ml</t>
        </is>
      </c>
    </row>
    <row r="2104">
      <c r="A2104" s="25" t="n">
        <v>86389</v>
      </c>
      <c r="B2104" s="25" t="inlineStr">
        <is>
          <t>1.75L</t>
        </is>
      </c>
    </row>
    <row r="2105">
      <c r="A2105" s="25" t="n">
        <v>64514</v>
      </c>
      <c r="B2105" s="25" t="inlineStr">
        <is>
          <t>1.75L</t>
        </is>
      </c>
    </row>
    <row r="2106">
      <c r="A2106" s="25" t="n">
        <v>42240</v>
      </c>
      <c r="B2106" s="25" t="inlineStr">
        <is>
          <t>750ml</t>
        </is>
      </c>
    </row>
    <row r="2107">
      <c r="A2107" s="25" t="n">
        <v>47858</v>
      </c>
      <c r="B2107" s="25" t="inlineStr">
        <is>
          <t>750ml</t>
        </is>
      </c>
    </row>
    <row r="2108">
      <c r="A2108" s="25" t="n">
        <v>20168</v>
      </c>
      <c r="B2108" s="25" t="inlineStr">
        <is>
          <t>1.75L</t>
        </is>
      </c>
    </row>
    <row r="2109">
      <c r="A2109" s="25" t="n">
        <v>34702</v>
      </c>
      <c r="B2109" s="25" t="inlineStr">
        <is>
          <t>750ml</t>
        </is>
      </c>
    </row>
    <row r="2110">
      <c r="A2110" s="25" t="n">
        <v>26824</v>
      </c>
      <c r="B2110" s="25" t="inlineStr">
        <is>
          <t>375ml</t>
        </is>
      </c>
    </row>
    <row r="2111">
      <c r="A2111" s="25" t="n">
        <v>15622</v>
      </c>
      <c r="B2111" s="25" t="inlineStr">
        <is>
          <t>200ml</t>
        </is>
      </c>
    </row>
    <row r="2112">
      <c r="A2112" s="25" t="n">
        <v>34122</v>
      </c>
      <c r="B2112" s="25" t="inlineStr">
        <is>
          <t>750ml</t>
        </is>
      </c>
    </row>
    <row r="2113">
      <c r="A2113" s="25" t="n">
        <v>36468</v>
      </c>
      <c r="B2113" s="25" t="inlineStr">
        <is>
          <t>750ml</t>
        </is>
      </c>
    </row>
    <row r="2114">
      <c r="A2114" s="25" t="n">
        <v>491010</v>
      </c>
      <c r="B2114" s="25" t="inlineStr">
        <is>
          <t>750ml</t>
        </is>
      </c>
    </row>
    <row r="2115">
      <c r="A2115" s="25" t="n">
        <v>64955</v>
      </c>
      <c r="B2115" s="25" t="inlineStr">
        <is>
          <t>750ml</t>
        </is>
      </c>
    </row>
    <row r="2116">
      <c r="A2116" s="25" t="n">
        <v>47776</v>
      </c>
      <c r="B2116" s="25" t="inlineStr">
        <is>
          <t>750ml</t>
        </is>
      </c>
    </row>
    <row r="2117">
      <c r="A2117" s="25" t="n">
        <v>21222</v>
      </c>
      <c r="B2117" s="25" t="inlineStr">
        <is>
          <t>750ml</t>
        </is>
      </c>
    </row>
    <row r="2118">
      <c r="A2118" s="25" t="n">
        <v>65790</v>
      </c>
      <c r="B2118" s="25" t="inlineStr">
        <is>
          <t>200ml</t>
        </is>
      </c>
    </row>
    <row r="2119">
      <c r="A2119" s="25" t="n">
        <v>80374</v>
      </c>
      <c r="B2119" s="25" t="inlineStr">
        <is>
          <t>750ml</t>
        </is>
      </c>
    </row>
    <row r="2120">
      <c r="A2120" s="25" t="n">
        <v>33597</v>
      </c>
      <c r="B2120" s="25" t="inlineStr">
        <is>
          <t>200ml</t>
        </is>
      </c>
    </row>
    <row r="2121">
      <c r="A2121" s="25" t="n">
        <v>48766</v>
      </c>
      <c r="B2121" s="25" t="inlineStr">
        <is>
          <t>750ml</t>
        </is>
      </c>
    </row>
    <row r="2122">
      <c r="A2122" s="25" t="n">
        <v>544101</v>
      </c>
      <c r="B2122" s="25" t="inlineStr">
        <is>
          <t>1.5L</t>
        </is>
      </c>
    </row>
    <row r="2123">
      <c r="A2123" s="25" t="n">
        <v>4096</v>
      </c>
      <c r="B2123" s="25" t="inlineStr">
        <is>
          <t>750ml</t>
        </is>
      </c>
    </row>
    <row r="2124">
      <c r="A2124" s="25" t="n">
        <v>35414</v>
      </c>
      <c r="B2124" s="25" t="inlineStr">
        <is>
          <t>375ml</t>
        </is>
      </c>
    </row>
    <row r="2125">
      <c r="A2125" s="25" t="n">
        <v>516400</v>
      </c>
      <c r="B2125" s="25" t="inlineStr">
        <is>
          <t>750ml</t>
        </is>
      </c>
    </row>
    <row r="2126">
      <c r="A2126" s="25" t="n">
        <v>580360</v>
      </c>
      <c r="B2126" s="25" t="inlineStr">
        <is>
          <t>750ml</t>
        </is>
      </c>
    </row>
    <row r="2127">
      <c r="A2127" s="25" t="n">
        <v>28905</v>
      </c>
      <c r="B2127" s="25" t="inlineStr">
        <is>
          <t>750ml</t>
        </is>
      </c>
    </row>
    <row r="2128">
      <c r="A2128" s="25" t="n">
        <v>456498</v>
      </c>
      <c r="B2128" s="25" t="inlineStr">
        <is>
          <t>750ml</t>
        </is>
      </c>
    </row>
    <row r="2129">
      <c r="A2129" s="25" t="n">
        <v>674000</v>
      </c>
      <c r="B2129" s="25" t="inlineStr">
        <is>
          <t>5L</t>
        </is>
      </c>
    </row>
    <row r="2130">
      <c r="A2130" s="25" t="n">
        <v>419973</v>
      </c>
      <c r="B2130" s="25" t="inlineStr">
        <is>
          <t>750ml</t>
        </is>
      </c>
    </row>
    <row r="2131">
      <c r="A2131" s="25" t="n">
        <v>67905</v>
      </c>
      <c r="B2131" s="25" t="inlineStr">
        <is>
          <t>750ml</t>
        </is>
      </c>
    </row>
    <row r="2132">
      <c r="A2132" s="25" t="n">
        <v>11326</v>
      </c>
      <c r="B2132" s="25" t="inlineStr">
        <is>
          <t>750ml</t>
        </is>
      </c>
    </row>
    <row r="2133">
      <c r="A2133" s="25" t="n">
        <v>34052</v>
      </c>
      <c r="B2133" s="25" t="inlineStr">
        <is>
          <t>750ml</t>
        </is>
      </c>
    </row>
    <row r="2134">
      <c r="A2134" s="25" t="n">
        <v>28047</v>
      </c>
      <c r="B2134" s="25" t="inlineStr">
        <is>
          <t>750ml</t>
        </is>
      </c>
    </row>
    <row r="2135">
      <c r="A2135" s="25" t="n">
        <v>40594</v>
      </c>
      <c r="B2135" s="25" t="inlineStr">
        <is>
          <t>750ml</t>
        </is>
      </c>
    </row>
    <row r="2136">
      <c r="A2136" s="25" t="n">
        <v>474510</v>
      </c>
      <c r="B2136" s="25" t="inlineStr">
        <is>
          <t>750ml</t>
        </is>
      </c>
    </row>
    <row r="2137">
      <c r="A2137" s="25" t="n">
        <v>769555</v>
      </c>
      <c r="B2137" s="25" t="inlineStr">
        <is>
          <t>750ml</t>
        </is>
      </c>
    </row>
    <row r="2138">
      <c r="A2138" s="25" t="n">
        <v>43641</v>
      </c>
      <c r="B2138" s="25" t="inlineStr">
        <is>
          <t>750ml</t>
        </is>
      </c>
    </row>
    <row r="2139">
      <c r="A2139" s="25" t="n">
        <v>52315</v>
      </c>
      <c r="B2139" s="25" t="inlineStr">
        <is>
          <t>375ml</t>
        </is>
      </c>
    </row>
    <row r="2140">
      <c r="A2140" s="25" t="n">
        <v>35813</v>
      </c>
      <c r="B2140" s="25" t="inlineStr">
        <is>
          <t>200ml</t>
        </is>
      </c>
    </row>
    <row r="2141">
      <c r="A2141" s="25" t="n">
        <v>72928</v>
      </c>
      <c r="B2141" s="25" t="inlineStr">
        <is>
          <t>750ml</t>
        </is>
      </c>
    </row>
    <row r="2142">
      <c r="A2142" s="25" t="n">
        <v>86125</v>
      </c>
      <c r="B2142" s="25" t="inlineStr">
        <is>
          <t>750ml</t>
        </is>
      </c>
    </row>
    <row r="2143">
      <c r="A2143" s="25" t="n">
        <v>267745</v>
      </c>
      <c r="B2143" s="25" t="inlineStr">
        <is>
          <t>750ml</t>
        </is>
      </c>
    </row>
    <row r="2144">
      <c r="A2144" s="25" t="n">
        <v>582302</v>
      </c>
      <c r="B2144" s="25" t="inlineStr">
        <is>
          <t>750ml</t>
        </is>
      </c>
    </row>
    <row r="2145">
      <c r="A2145" s="25" t="n">
        <v>53842</v>
      </c>
      <c r="B2145" s="25" t="inlineStr">
        <is>
          <t>750ml</t>
        </is>
      </c>
    </row>
    <row r="2146">
      <c r="A2146" s="25" t="n">
        <v>38088</v>
      </c>
      <c r="B2146" s="25" t="inlineStr">
        <is>
          <t>1.75L</t>
        </is>
      </c>
    </row>
    <row r="2147">
      <c r="A2147" s="25" t="n">
        <v>408798</v>
      </c>
      <c r="B2147" s="25" t="inlineStr">
        <is>
          <t>750ml</t>
        </is>
      </c>
    </row>
    <row r="2148">
      <c r="A2148" s="25" t="n">
        <v>768650</v>
      </c>
      <c r="B2148" s="25" t="inlineStr">
        <is>
          <t>750ml</t>
        </is>
      </c>
    </row>
    <row r="2149">
      <c r="A2149" s="25" t="n">
        <v>43136</v>
      </c>
      <c r="B2149" s="25" t="inlineStr">
        <is>
          <t>750ml</t>
        </is>
      </c>
    </row>
    <row r="2150">
      <c r="A2150" s="25" t="n">
        <v>77241</v>
      </c>
      <c r="B2150" s="25" t="inlineStr">
        <is>
          <t>50ml</t>
        </is>
      </c>
    </row>
    <row r="2151">
      <c r="A2151" s="25" t="n">
        <v>89219</v>
      </c>
      <c r="B2151" s="25" t="inlineStr">
        <is>
          <t>1.75L</t>
        </is>
      </c>
    </row>
    <row r="2152">
      <c r="A2152" s="25" t="n">
        <v>579689</v>
      </c>
      <c r="B2152" s="25" t="inlineStr">
        <is>
          <t>750ml</t>
        </is>
      </c>
    </row>
    <row r="2153">
      <c r="A2153" s="25" t="n">
        <v>882312</v>
      </c>
      <c r="B2153" s="25" t="inlineStr">
        <is>
          <t>750ml</t>
        </is>
      </c>
    </row>
    <row r="2154">
      <c r="A2154" s="25" t="n">
        <v>379015</v>
      </c>
      <c r="B2154" s="25" t="inlineStr">
        <is>
          <t>1.5L</t>
        </is>
      </c>
    </row>
    <row r="2155">
      <c r="A2155" s="25" t="n">
        <v>495195</v>
      </c>
      <c r="B2155" s="25" t="inlineStr">
        <is>
          <t>5L</t>
        </is>
      </c>
    </row>
    <row r="2156">
      <c r="A2156" s="25" t="n">
        <v>78073</v>
      </c>
      <c r="B2156" s="25" t="inlineStr">
        <is>
          <t>750ml</t>
        </is>
      </c>
    </row>
    <row r="2157">
      <c r="A2157" s="25" t="n">
        <v>40073</v>
      </c>
      <c r="B2157" s="25" t="inlineStr">
        <is>
          <t>1.75L</t>
        </is>
      </c>
    </row>
    <row r="2158">
      <c r="A2158" s="25" t="n">
        <v>89196</v>
      </c>
      <c r="B2158" s="25" t="inlineStr">
        <is>
          <t>750ml</t>
        </is>
      </c>
    </row>
    <row r="2159">
      <c r="A2159" s="25" t="n">
        <v>458940</v>
      </c>
      <c r="B2159" s="25" t="inlineStr">
        <is>
          <t>750ml</t>
        </is>
      </c>
    </row>
    <row r="2160">
      <c r="A2160" s="25" t="n">
        <v>48106</v>
      </c>
      <c r="B2160" s="25" t="inlineStr">
        <is>
          <t>750ml</t>
        </is>
      </c>
    </row>
    <row r="2161">
      <c r="A2161" s="25" t="n">
        <v>43601</v>
      </c>
      <c r="B2161" s="25" t="inlineStr">
        <is>
          <t>750ml</t>
        </is>
      </c>
    </row>
    <row r="2162">
      <c r="A2162" s="25" t="n">
        <v>12467</v>
      </c>
      <c r="B2162" s="25" t="inlineStr">
        <is>
          <t>1L</t>
        </is>
      </c>
    </row>
    <row r="2163">
      <c r="A2163" s="25" t="n">
        <v>49185</v>
      </c>
      <c r="B2163" s="25" t="inlineStr">
        <is>
          <t>375ml</t>
        </is>
      </c>
    </row>
    <row r="2164">
      <c r="A2164" s="25" t="n">
        <v>64510</v>
      </c>
      <c r="B2164" s="25" t="inlineStr">
        <is>
          <t>200ml</t>
        </is>
      </c>
    </row>
    <row r="2165">
      <c r="A2165" s="25" t="n">
        <v>407600</v>
      </c>
      <c r="B2165" s="25" t="inlineStr">
        <is>
          <t>750ml</t>
        </is>
      </c>
    </row>
    <row r="2166">
      <c r="A2166" s="25" t="n">
        <v>66226</v>
      </c>
      <c r="B2166" s="25" t="inlineStr">
        <is>
          <t>750ml</t>
        </is>
      </c>
    </row>
    <row r="2167">
      <c r="A2167" s="25" t="n">
        <v>27370</v>
      </c>
      <c r="B2167" s="25" t="inlineStr">
        <is>
          <t>750ml</t>
        </is>
      </c>
    </row>
    <row r="2168">
      <c r="A2168" s="25" t="n">
        <v>63347</v>
      </c>
      <c r="B2168" s="25" t="inlineStr">
        <is>
          <t>375ml</t>
        </is>
      </c>
    </row>
    <row r="2169">
      <c r="A2169" s="25" t="n">
        <v>460672</v>
      </c>
      <c r="B2169" s="25" t="inlineStr">
        <is>
          <t>750ml</t>
        </is>
      </c>
    </row>
    <row r="2170">
      <c r="A2170" s="25" t="n">
        <v>478270</v>
      </c>
      <c r="B2170" s="25" t="inlineStr">
        <is>
          <t>750ml</t>
        </is>
      </c>
    </row>
    <row r="2171">
      <c r="A2171" s="25" t="n">
        <v>21236</v>
      </c>
      <c r="B2171" s="25" t="inlineStr">
        <is>
          <t>750ml</t>
        </is>
      </c>
    </row>
    <row r="2172">
      <c r="A2172" s="25" t="n">
        <v>46504</v>
      </c>
      <c r="B2172" s="25" t="inlineStr">
        <is>
          <t>750ml</t>
        </is>
      </c>
    </row>
    <row r="2173">
      <c r="A2173" s="25" t="n">
        <v>19066</v>
      </c>
      <c r="B2173" s="25" t="inlineStr">
        <is>
          <t>750ml</t>
        </is>
      </c>
    </row>
    <row r="2174">
      <c r="A2174" s="25" t="n">
        <v>62771</v>
      </c>
      <c r="B2174" s="25" t="inlineStr">
        <is>
          <t>355ml</t>
        </is>
      </c>
    </row>
    <row r="2175">
      <c r="A2175" s="25" t="n">
        <v>4716</v>
      </c>
      <c r="B2175" s="25" t="inlineStr">
        <is>
          <t>750ml</t>
        </is>
      </c>
    </row>
    <row r="2176">
      <c r="A2176" s="25" t="n">
        <v>63311</v>
      </c>
      <c r="B2176" s="25" t="inlineStr">
        <is>
          <t>375ml</t>
        </is>
      </c>
    </row>
    <row r="2177">
      <c r="A2177" s="25" t="n">
        <v>88922</v>
      </c>
      <c r="B2177" s="25" t="inlineStr">
        <is>
          <t>750ml</t>
        </is>
      </c>
    </row>
    <row r="2178">
      <c r="A2178" s="25" t="n">
        <v>95916</v>
      </c>
      <c r="B2178" s="25" t="inlineStr">
        <is>
          <t>1.5L</t>
        </is>
      </c>
    </row>
    <row r="2179">
      <c r="A2179" s="25" t="n">
        <v>514515</v>
      </c>
      <c r="B2179" s="25" t="inlineStr">
        <is>
          <t>1.5L</t>
        </is>
      </c>
    </row>
    <row r="2180">
      <c r="A2180" s="25" t="n">
        <v>64904</v>
      </c>
      <c r="B2180" s="25" t="inlineStr">
        <is>
          <t>1.75L</t>
        </is>
      </c>
    </row>
    <row r="2181">
      <c r="A2181" s="25" t="n">
        <v>810563</v>
      </c>
      <c r="B2181" s="25" t="inlineStr">
        <is>
          <t>1.5L</t>
        </is>
      </c>
    </row>
    <row r="2182">
      <c r="A2182" s="25" t="n">
        <v>456580</v>
      </c>
      <c r="B2182" s="25" t="inlineStr">
        <is>
          <t>750ml</t>
        </is>
      </c>
    </row>
    <row r="2183">
      <c r="A2183" s="25" t="n">
        <v>466736</v>
      </c>
      <c r="B2183" s="25" t="inlineStr">
        <is>
          <t>750ml</t>
        </is>
      </c>
    </row>
    <row r="2184">
      <c r="A2184" s="25" t="n">
        <v>89885</v>
      </c>
      <c r="B2184" s="25" t="inlineStr">
        <is>
          <t>750ml</t>
        </is>
      </c>
    </row>
    <row r="2185">
      <c r="A2185" s="25" t="n">
        <v>86697</v>
      </c>
      <c r="B2185" s="25" t="inlineStr">
        <is>
          <t>200ml</t>
        </is>
      </c>
    </row>
    <row r="2186">
      <c r="A2186" s="25" t="n">
        <v>39915</v>
      </c>
      <c r="B2186" s="25" t="inlineStr">
        <is>
          <t>50ml</t>
        </is>
      </c>
    </row>
    <row r="2187">
      <c r="A2187" s="25" t="n">
        <v>627285</v>
      </c>
      <c r="B2187" s="25" t="inlineStr">
        <is>
          <t>750ml</t>
        </is>
      </c>
    </row>
    <row r="2188">
      <c r="A2188" s="25" t="n">
        <v>400725</v>
      </c>
      <c r="B2188" s="25" t="inlineStr">
        <is>
          <t>750ml</t>
        </is>
      </c>
    </row>
    <row r="2189">
      <c r="A2189" s="25" t="n">
        <v>544072</v>
      </c>
      <c r="B2189" s="25" t="inlineStr">
        <is>
          <t>187ml</t>
        </is>
      </c>
    </row>
    <row r="2190">
      <c r="A2190" s="25" t="n">
        <v>275090</v>
      </c>
      <c r="B2190" s="25" t="inlineStr">
        <is>
          <t>750ml</t>
        </is>
      </c>
    </row>
    <row r="2191">
      <c r="A2191" s="25" t="n">
        <v>4626</v>
      </c>
      <c r="B2191" s="25" t="inlineStr">
        <is>
          <t>750ml</t>
        </is>
      </c>
    </row>
    <row r="2192">
      <c r="A2192" s="25" t="n">
        <v>492300</v>
      </c>
      <c r="B2192" s="25" t="inlineStr">
        <is>
          <t>750ml</t>
        </is>
      </c>
    </row>
    <row r="2193">
      <c r="A2193" s="25" t="n">
        <v>415850</v>
      </c>
      <c r="B2193" s="25" t="inlineStr">
        <is>
          <t>750ml</t>
        </is>
      </c>
    </row>
    <row r="2194">
      <c r="A2194" s="25" t="n">
        <v>89329</v>
      </c>
      <c r="B2194" s="25" t="inlineStr">
        <is>
          <t>750ml</t>
        </is>
      </c>
    </row>
    <row r="2195">
      <c r="A2195" s="25" t="n">
        <v>88186</v>
      </c>
      <c r="B2195" s="25" t="inlineStr">
        <is>
          <t>750ml</t>
        </is>
      </c>
    </row>
    <row r="2196">
      <c r="A2196" s="25" t="n">
        <v>882337</v>
      </c>
      <c r="B2196" s="25" t="inlineStr">
        <is>
          <t>750ml</t>
        </is>
      </c>
    </row>
    <row r="2197">
      <c r="A2197" s="25" t="n">
        <v>379755</v>
      </c>
      <c r="B2197" s="25" t="inlineStr">
        <is>
          <t>750ml</t>
        </is>
      </c>
    </row>
    <row r="2198">
      <c r="A2198" s="25" t="n">
        <v>906632</v>
      </c>
      <c r="B2198" s="25" t="inlineStr">
        <is>
          <t>750ml</t>
        </is>
      </c>
    </row>
    <row r="2199">
      <c r="A2199" s="25" t="n">
        <v>464452</v>
      </c>
      <c r="B2199" s="25" t="inlineStr">
        <is>
          <t>750ml</t>
        </is>
      </c>
    </row>
    <row r="2200">
      <c r="A2200" s="25" t="n">
        <v>64710</v>
      </c>
      <c r="B2200" s="25" t="inlineStr">
        <is>
          <t>50ml</t>
        </is>
      </c>
    </row>
    <row r="2201">
      <c r="A2201" s="25" t="n">
        <v>36769</v>
      </c>
      <c r="B2201" s="25" t="inlineStr">
        <is>
          <t>750ml</t>
        </is>
      </c>
    </row>
    <row r="2202">
      <c r="A2202" s="25" t="n">
        <v>456384</v>
      </c>
      <c r="B2202" s="25" t="inlineStr">
        <is>
          <t>750ml</t>
        </is>
      </c>
    </row>
    <row r="2203">
      <c r="A2203" s="25" t="n">
        <v>443263</v>
      </c>
      <c r="B2203" s="25" t="inlineStr">
        <is>
          <t>1.5L</t>
        </is>
      </c>
    </row>
    <row r="2204">
      <c r="A2204" s="25" t="n">
        <v>606482</v>
      </c>
      <c r="B2204" s="25" t="inlineStr">
        <is>
          <t>750ml</t>
        </is>
      </c>
    </row>
    <row r="2205">
      <c r="A2205" s="25" t="n">
        <v>61618</v>
      </c>
      <c r="B2205" s="25" t="inlineStr">
        <is>
          <t>1.75L</t>
        </is>
      </c>
    </row>
    <row r="2206">
      <c r="A2206" s="25" t="n">
        <v>64914</v>
      </c>
      <c r="B2206" s="25" t="inlineStr">
        <is>
          <t>750ml</t>
        </is>
      </c>
    </row>
    <row r="2207">
      <c r="A2207" s="25" t="n">
        <v>87642</v>
      </c>
      <c r="B2207" s="25" t="inlineStr">
        <is>
          <t>375ml</t>
        </is>
      </c>
    </row>
    <row r="2208">
      <c r="A2208" s="25" t="n">
        <v>18276</v>
      </c>
      <c r="B2208" s="25" t="inlineStr">
        <is>
          <t>750ml</t>
        </is>
      </c>
    </row>
    <row r="2209">
      <c r="A2209" s="25" t="n">
        <v>671421</v>
      </c>
      <c r="B2209" s="25" t="inlineStr">
        <is>
          <t>750ml</t>
        </is>
      </c>
    </row>
    <row r="2210">
      <c r="A2210" s="25" t="n">
        <v>649250</v>
      </c>
      <c r="B2210" s="25" t="inlineStr">
        <is>
          <t>750ml</t>
        </is>
      </c>
    </row>
    <row r="2211">
      <c r="A2211" s="25" t="n">
        <v>379250</v>
      </c>
      <c r="B2211" s="25" t="inlineStr">
        <is>
          <t>750ml</t>
        </is>
      </c>
    </row>
    <row r="2212">
      <c r="A2212" s="25" t="n">
        <v>750005</v>
      </c>
      <c r="B2212" s="25" t="inlineStr">
        <is>
          <t>750ml</t>
        </is>
      </c>
    </row>
    <row r="2213">
      <c r="A2213" s="25" t="n">
        <v>403760</v>
      </c>
      <c r="B2213" s="25" t="inlineStr">
        <is>
          <t>750ml</t>
        </is>
      </c>
    </row>
    <row r="2214">
      <c r="A2214" s="25" t="n">
        <v>445030</v>
      </c>
      <c r="B2214" s="25" t="inlineStr">
        <is>
          <t>750ml</t>
        </is>
      </c>
    </row>
    <row r="2215">
      <c r="A2215" s="25" t="n">
        <v>630827</v>
      </c>
      <c r="B2215" s="25" t="inlineStr">
        <is>
          <t>1.5L</t>
        </is>
      </c>
    </row>
    <row r="2216">
      <c r="A2216" s="25" t="n">
        <v>23878</v>
      </c>
      <c r="B2216" s="25" t="inlineStr">
        <is>
          <t>1.75L</t>
        </is>
      </c>
    </row>
    <row r="2217">
      <c r="A2217" s="25" t="n">
        <v>735551</v>
      </c>
      <c r="B2217" s="25" t="inlineStr">
        <is>
          <t>750ml</t>
        </is>
      </c>
    </row>
    <row r="2218">
      <c r="A2218" s="25" t="n">
        <v>803493</v>
      </c>
      <c r="B2218" s="25" t="inlineStr">
        <is>
          <t>1.5L</t>
        </is>
      </c>
    </row>
    <row r="2219">
      <c r="A2219" s="25" t="n">
        <v>723710</v>
      </c>
      <c r="B2219" s="25" t="inlineStr">
        <is>
          <t>750ml</t>
        </is>
      </c>
    </row>
    <row r="2220">
      <c r="A2220" s="25" t="n">
        <v>546437</v>
      </c>
      <c r="B2220" s="25" t="inlineStr">
        <is>
          <t>1.5L</t>
        </is>
      </c>
    </row>
    <row r="2221">
      <c r="A2221" s="25" t="n">
        <v>410465</v>
      </c>
      <c r="B2221" s="25" t="inlineStr">
        <is>
          <t>750ml</t>
        </is>
      </c>
    </row>
    <row r="2222">
      <c r="A2222" s="25" t="n">
        <v>84257</v>
      </c>
      <c r="B2222" s="25" t="inlineStr">
        <is>
          <t>1L</t>
        </is>
      </c>
    </row>
    <row r="2223">
      <c r="A2223" s="25" t="n">
        <v>510850</v>
      </c>
      <c r="B2223" s="25" t="inlineStr">
        <is>
          <t>750ml</t>
        </is>
      </c>
    </row>
    <row r="2224">
      <c r="A2224" s="25" t="n">
        <v>667460</v>
      </c>
      <c r="B2224" s="25" t="inlineStr">
        <is>
          <t>750ml</t>
        </is>
      </c>
    </row>
    <row r="2225">
      <c r="A2225" s="25" t="n">
        <v>36677</v>
      </c>
      <c r="B2225" s="25" t="inlineStr">
        <is>
          <t>750ml</t>
        </is>
      </c>
    </row>
    <row r="2226">
      <c r="A2226" s="25" t="n">
        <v>43636</v>
      </c>
      <c r="B2226" s="25" t="inlineStr">
        <is>
          <t>750ml</t>
        </is>
      </c>
    </row>
    <row r="2227">
      <c r="A2227" s="25" t="n">
        <v>4796</v>
      </c>
      <c r="B2227" s="25" t="inlineStr">
        <is>
          <t>750ml</t>
        </is>
      </c>
    </row>
    <row r="2228">
      <c r="A2228" s="25" t="n">
        <v>43302</v>
      </c>
      <c r="B2228" s="25" t="inlineStr">
        <is>
          <t>750ml</t>
        </is>
      </c>
    </row>
    <row r="2229">
      <c r="A2229" s="25" t="n">
        <v>26583</v>
      </c>
      <c r="B2229" s="25" t="inlineStr">
        <is>
          <t>200ml</t>
        </is>
      </c>
    </row>
    <row r="2230">
      <c r="A2230" s="25" t="n">
        <v>75210</v>
      </c>
      <c r="B2230" s="25" t="inlineStr">
        <is>
          <t>750ml</t>
        </is>
      </c>
    </row>
    <row r="2231">
      <c r="A2231" s="25" t="n">
        <v>470212</v>
      </c>
      <c r="B2231" s="25" t="inlineStr">
        <is>
          <t>3L</t>
        </is>
      </c>
    </row>
    <row r="2232">
      <c r="A2232" s="25" t="n">
        <v>430012</v>
      </c>
      <c r="B2232" s="25" t="inlineStr">
        <is>
          <t>1.5L</t>
        </is>
      </c>
    </row>
    <row r="2233">
      <c r="A2233" s="25" t="n">
        <v>356530</v>
      </c>
      <c r="B2233" s="25" t="inlineStr">
        <is>
          <t>1.5L</t>
        </is>
      </c>
    </row>
    <row r="2234">
      <c r="A2234" s="25" t="n">
        <v>430106</v>
      </c>
      <c r="B2234" s="25" t="inlineStr">
        <is>
          <t>750ml</t>
        </is>
      </c>
    </row>
    <row r="2235">
      <c r="A2235" s="25" t="n">
        <v>471253</v>
      </c>
      <c r="B2235" s="25" t="inlineStr">
        <is>
          <t>750ml</t>
        </is>
      </c>
    </row>
    <row r="2236">
      <c r="A2236" s="25" t="n">
        <v>73136</v>
      </c>
      <c r="B2236" s="25" t="inlineStr">
        <is>
          <t>750ml</t>
        </is>
      </c>
    </row>
    <row r="2237">
      <c r="A2237" s="25" t="n">
        <v>467031</v>
      </c>
      <c r="B2237" s="25" t="inlineStr">
        <is>
          <t>750ml</t>
        </is>
      </c>
    </row>
    <row r="2238">
      <c r="A2238" s="25" t="n">
        <v>44333</v>
      </c>
      <c r="B2238" s="25" t="inlineStr">
        <is>
          <t>1.75L</t>
        </is>
      </c>
    </row>
    <row r="2239">
      <c r="A2239" s="25" t="n">
        <v>35083</v>
      </c>
      <c r="B2239" s="25" t="inlineStr">
        <is>
          <t>200ml</t>
        </is>
      </c>
    </row>
    <row r="2240">
      <c r="A2240" s="25" t="n">
        <v>790900</v>
      </c>
      <c r="B2240" s="25" t="inlineStr">
        <is>
          <t>750ml</t>
        </is>
      </c>
    </row>
    <row r="2241">
      <c r="A2241" s="25" t="n">
        <v>403945</v>
      </c>
      <c r="B2241" s="25" t="inlineStr">
        <is>
          <t>750ml</t>
        </is>
      </c>
    </row>
    <row r="2242">
      <c r="A2242" s="25" t="n">
        <v>37986</v>
      </c>
      <c r="B2242" s="25" t="inlineStr">
        <is>
          <t>750ml</t>
        </is>
      </c>
    </row>
    <row r="2243">
      <c r="A2243" s="25" t="n">
        <v>547126</v>
      </c>
      <c r="B2243" s="25" t="inlineStr">
        <is>
          <t>3L</t>
        </is>
      </c>
    </row>
    <row r="2244">
      <c r="A2244" s="25" t="n">
        <v>88298</v>
      </c>
      <c r="B2244" s="25" t="inlineStr">
        <is>
          <t>1.75L</t>
        </is>
      </c>
    </row>
    <row r="2245">
      <c r="A2245" s="25" t="n">
        <v>656932</v>
      </c>
      <c r="B2245" s="25" t="inlineStr">
        <is>
          <t>1.5L</t>
        </is>
      </c>
    </row>
    <row r="2246">
      <c r="A2246" s="25" t="n">
        <v>955222</v>
      </c>
      <c r="B2246" s="25" t="inlineStr">
        <is>
          <t>750ml</t>
        </is>
      </c>
    </row>
    <row r="2247">
      <c r="A2247" s="25" t="n">
        <v>471345</v>
      </c>
      <c r="B2247" s="25" t="inlineStr">
        <is>
          <t>750ml</t>
        </is>
      </c>
    </row>
    <row r="2248">
      <c r="A2248" s="25" t="n">
        <v>65121</v>
      </c>
      <c r="B2248" s="25" t="inlineStr">
        <is>
          <t>50ml</t>
        </is>
      </c>
    </row>
    <row r="2249">
      <c r="A2249" s="25" t="n">
        <v>34026</v>
      </c>
      <c r="B2249" s="25" t="inlineStr">
        <is>
          <t>750ml</t>
        </is>
      </c>
    </row>
    <row r="2250">
      <c r="A2250" s="25" t="n">
        <v>614107</v>
      </c>
      <c r="B2250" s="25" t="inlineStr">
        <is>
          <t>750ml</t>
        </is>
      </c>
    </row>
    <row r="2251">
      <c r="A2251" s="25" t="n">
        <v>35743</v>
      </c>
      <c r="B2251" s="25" t="inlineStr">
        <is>
          <t>750ml</t>
        </is>
      </c>
    </row>
    <row r="2252">
      <c r="A2252" s="25" t="n">
        <v>47547</v>
      </c>
      <c r="B2252" s="25" t="inlineStr">
        <is>
          <t>1L</t>
        </is>
      </c>
    </row>
    <row r="2253">
      <c r="A2253" s="25" t="n">
        <v>5346</v>
      </c>
      <c r="B2253" s="25" t="inlineStr">
        <is>
          <t>750ml</t>
        </is>
      </c>
    </row>
    <row r="2254">
      <c r="A2254" s="25" t="n">
        <v>565240</v>
      </c>
      <c r="B2254" s="25" t="inlineStr">
        <is>
          <t>750ml</t>
        </is>
      </c>
    </row>
    <row r="2255">
      <c r="A2255" s="25" t="n">
        <v>887362</v>
      </c>
      <c r="B2255" s="25" t="inlineStr">
        <is>
          <t>375ml</t>
        </is>
      </c>
    </row>
    <row r="2256">
      <c r="A2256" s="25" t="n">
        <v>88833</v>
      </c>
      <c r="B2256" s="25" t="inlineStr">
        <is>
          <t>750ml</t>
        </is>
      </c>
    </row>
    <row r="2257">
      <c r="A2257" s="25" t="n">
        <v>78080</v>
      </c>
      <c r="B2257" s="25" t="inlineStr">
        <is>
          <t>750ml</t>
        </is>
      </c>
    </row>
    <row r="2258">
      <c r="A2258" s="25" t="n">
        <v>34820</v>
      </c>
      <c r="B2258" s="25" t="inlineStr">
        <is>
          <t>750ml</t>
        </is>
      </c>
    </row>
    <row r="2259">
      <c r="A2259" s="25" t="n">
        <v>816230</v>
      </c>
      <c r="B2259" s="25" t="inlineStr">
        <is>
          <t>750ml</t>
        </is>
      </c>
    </row>
    <row r="2260">
      <c r="A2260" s="25" t="n">
        <v>87586</v>
      </c>
      <c r="B2260" s="25" t="inlineStr">
        <is>
          <t>750ml</t>
        </is>
      </c>
    </row>
    <row r="2261">
      <c r="A2261" s="25" t="n">
        <v>515889</v>
      </c>
      <c r="B2261" s="25" t="inlineStr">
        <is>
          <t>750ml</t>
        </is>
      </c>
    </row>
    <row r="2262">
      <c r="A2262" s="25" t="n">
        <v>588531</v>
      </c>
      <c r="B2262" s="25" t="inlineStr">
        <is>
          <t>750ml</t>
        </is>
      </c>
    </row>
    <row r="2263">
      <c r="A2263" s="25" t="n">
        <v>34870</v>
      </c>
      <c r="B2263" s="25" t="inlineStr">
        <is>
          <t>750ml</t>
        </is>
      </c>
    </row>
    <row r="2264">
      <c r="A2264" s="25" t="n">
        <v>26697</v>
      </c>
      <c r="B2264" s="25" t="inlineStr">
        <is>
          <t>750ml</t>
        </is>
      </c>
    </row>
    <row r="2265">
      <c r="A2265" s="25" t="n">
        <v>769008</v>
      </c>
      <c r="B2265" s="25" t="inlineStr">
        <is>
          <t>750ml</t>
        </is>
      </c>
    </row>
    <row r="2266">
      <c r="A2266" s="25" t="n">
        <v>5486</v>
      </c>
      <c r="B2266" s="25" t="inlineStr">
        <is>
          <t>750ml</t>
        </is>
      </c>
    </row>
    <row r="2267">
      <c r="A2267" s="25" t="n">
        <v>17953</v>
      </c>
      <c r="B2267" s="25" t="inlineStr">
        <is>
          <t>200ml</t>
        </is>
      </c>
    </row>
    <row r="2268">
      <c r="A2268" s="25" t="n">
        <v>17287</v>
      </c>
      <c r="B2268" s="25" t="inlineStr">
        <is>
          <t>750ml</t>
        </is>
      </c>
    </row>
    <row r="2269">
      <c r="A2269" s="25" t="n">
        <v>74801</v>
      </c>
      <c r="B2269" s="25" t="inlineStr">
        <is>
          <t>750ml</t>
        </is>
      </c>
    </row>
    <row r="2270">
      <c r="A2270" s="25" t="n">
        <v>420407</v>
      </c>
      <c r="B2270" s="25" t="inlineStr">
        <is>
          <t>750ml</t>
        </is>
      </c>
    </row>
    <row r="2271">
      <c r="A2271" s="25" t="n">
        <v>458788</v>
      </c>
      <c r="B2271" s="25" t="inlineStr">
        <is>
          <t>750ml</t>
        </is>
      </c>
    </row>
    <row r="2272">
      <c r="A2272" s="25" t="n">
        <v>569121</v>
      </c>
      <c r="B2272" s="25" t="inlineStr">
        <is>
          <t>1.5L</t>
        </is>
      </c>
    </row>
    <row r="2273">
      <c r="A2273" s="25" t="n">
        <v>67901</v>
      </c>
      <c r="B2273" s="25" t="inlineStr">
        <is>
          <t>750ml</t>
        </is>
      </c>
    </row>
    <row r="2274">
      <c r="A2274" s="25" t="n">
        <v>614118</v>
      </c>
      <c r="B2274" s="25" t="inlineStr">
        <is>
          <t>750ml</t>
        </is>
      </c>
    </row>
    <row r="2275">
      <c r="A2275" s="25" t="n">
        <v>82358</v>
      </c>
      <c r="B2275" s="25" t="inlineStr">
        <is>
          <t>1.75L</t>
        </is>
      </c>
    </row>
    <row r="2276">
      <c r="A2276" s="25" t="n">
        <v>496140</v>
      </c>
      <c r="B2276" s="25" t="inlineStr">
        <is>
          <t>750ml</t>
        </is>
      </c>
    </row>
    <row r="2277">
      <c r="A2277" s="25" t="n">
        <v>27604</v>
      </c>
      <c r="B2277" s="25" t="inlineStr">
        <is>
          <t>750ml</t>
        </is>
      </c>
    </row>
    <row r="2278">
      <c r="A2278" s="25" t="n">
        <v>41226</v>
      </c>
      <c r="B2278" s="25" t="inlineStr">
        <is>
          <t>750ml</t>
        </is>
      </c>
    </row>
    <row r="2279">
      <c r="A2279" s="25" t="n">
        <v>354250</v>
      </c>
      <c r="B2279" s="25" t="inlineStr">
        <is>
          <t>750ml</t>
        </is>
      </c>
    </row>
    <row r="2280">
      <c r="A2280" s="25" t="n">
        <v>20369</v>
      </c>
      <c r="B2280" s="25" t="inlineStr">
        <is>
          <t>750ml</t>
        </is>
      </c>
    </row>
    <row r="2281">
      <c r="A2281" s="25" t="n">
        <v>88371</v>
      </c>
      <c r="B2281" s="25" t="inlineStr">
        <is>
          <t>750ml</t>
        </is>
      </c>
    </row>
    <row r="2282">
      <c r="A2282" s="25" t="n">
        <v>68128</v>
      </c>
      <c r="B2282" s="25" t="inlineStr">
        <is>
          <t>1.75L</t>
        </is>
      </c>
    </row>
    <row r="2283">
      <c r="A2283" s="25" t="n">
        <v>506960</v>
      </c>
      <c r="B2283" s="25" t="inlineStr">
        <is>
          <t>750ml</t>
        </is>
      </c>
    </row>
    <row r="2284">
      <c r="A2284" s="25" t="n">
        <v>65251</v>
      </c>
      <c r="B2284" s="25" t="inlineStr">
        <is>
          <t>50ml</t>
        </is>
      </c>
    </row>
    <row r="2285">
      <c r="A2285" s="25" t="n">
        <v>895430</v>
      </c>
      <c r="B2285" s="25" t="inlineStr">
        <is>
          <t>1.5L</t>
        </is>
      </c>
    </row>
    <row r="2286">
      <c r="A2286" s="25" t="n">
        <v>68039</v>
      </c>
      <c r="B2286" s="25" t="inlineStr">
        <is>
          <t>100ml</t>
        </is>
      </c>
    </row>
    <row r="2287">
      <c r="A2287" s="25" t="n">
        <v>344458</v>
      </c>
      <c r="B2287" s="25" t="inlineStr">
        <is>
          <t>750ml</t>
        </is>
      </c>
    </row>
    <row r="2288">
      <c r="A2288" s="25" t="n">
        <v>93567</v>
      </c>
      <c r="B2288" s="25" t="inlineStr">
        <is>
          <t>3L</t>
        </is>
      </c>
    </row>
    <row r="2289">
      <c r="A2289" s="25" t="n">
        <v>506970</v>
      </c>
      <c r="B2289" s="25" t="inlineStr">
        <is>
          <t>750ml</t>
        </is>
      </c>
    </row>
    <row r="2290">
      <c r="A2290" s="25" t="n">
        <v>35317</v>
      </c>
      <c r="B2290" s="25" t="inlineStr">
        <is>
          <t>1L</t>
        </is>
      </c>
    </row>
    <row r="2291">
      <c r="A2291" s="25" t="n">
        <v>58876</v>
      </c>
      <c r="B2291" s="25" t="inlineStr">
        <is>
          <t>750ml</t>
        </is>
      </c>
    </row>
    <row r="2292">
      <c r="A2292" s="25" t="n">
        <v>203600</v>
      </c>
      <c r="B2292" s="25" t="inlineStr">
        <is>
          <t>750ml</t>
        </is>
      </c>
    </row>
    <row r="2293">
      <c r="A2293" s="25" t="n">
        <v>507495</v>
      </c>
      <c r="B2293" s="25" t="inlineStr">
        <is>
          <t>750ml</t>
        </is>
      </c>
    </row>
    <row r="2294">
      <c r="A2294" s="25" t="n">
        <v>19235</v>
      </c>
      <c r="B2294" s="25" t="inlineStr">
        <is>
          <t>750ml</t>
        </is>
      </c>
    </row>
    <row r="2295">
      <c r="A2295" s="25" t="n">
        <v>48699</v>
      </c>
      <c r="B2295" s="25" t="inlineStr">
        <is>
          <t>375ml</t>
        </is>
      </c>
    </row>
    <row r="2296">
      <c r="A2296" s="25" t="n">
        <v>22166</v>
      </c>
      <c r="B2296" s="25" t="inlineStr">
        <is>
          <t>750ml</t>
        </is>
      </c>
    </row>
    <row r="2297">
      <c r="A2297" s="25" t="n">
        <v>44347</v>
      </c>
      <c r="B2297" s="25" t="inlineStr">
        <is>
          <t>1L</t>
        </is>
      </c>
    </row>
    <row r="2298">
      <c r="A2298" s="25" t="n">
        <v>467058</v>
      </c>
      <c r="B2298" s="25" t="inlineStr">
        <is>
          <t>750ml</t>
        </is>
      </c>
    </row>
    <row r="2299">
      <c r="A2299" s="25" t="n">
        <v>75779</v>
      </c>
      <c r="B2299" s="25" t="inlineStr">
        <is>
          <t>50ml</t>
        </is>
      </c>
    </row>
    <row r="2300">
      <c r="A2300" s="25" t="n">
        <v>551253</v>
      </c>
      <c r="B2300" s="25" t="inlineStr">
        <is>
          <t>750ml</t>
        </is>
      </c>
    </row>
    <row r="2301">
      <c r="A2301" s="25" t="n">
        <v>15962</v>
      </c>
      <c r="B2301" s="25" t="inlineStr">
        <is>
          <t>750ml</t>
        </is>
      </c>
    </row>
    <row r="2302">
      <c r="A2302" s="25" t="n">
        <v>46001</v>
      </c>
      <c r="B2302" s="25" t="inlineStr">
        <is>
          <t>750ml</t>
        </is>
      </c>
    </row>
    <row r="2303">
      <c r="A2303" s="25" t="n">
        <v>729103</v>
      </c>
      <c r="B2303" s="25" t="inlineStr">
        <is>
          <t>750ml</t>
        </is>
      </c>
    </row>
    <row r="2304">
      <c r="A2304" s="25" t="n">
        <v>608600</v>
      </c>
      <c r="B2304" s="25" t="inlineStr">
        <is>
          <t>750ml</t>
        </is>
      </c>
    </row>
    <row r="2305">
      <c r="A2305" s="25" t="n">
        <v>31293</v>
      </c>
      <c r="B2305" s="25" t="inlineStr">
        <is>
          <t>200ml</t>
        </is>
      </c>
    </row>
    <row r="2306">
      <c r="A2306" s="25" t="n">
        <v>5289</v>
      </c>
      <c r="B2306" s="25" t="inlineStr">
        <is>
          <t>1L</t>
        </is>
      </c>
    </row>
    <row r="2307">
      <c r="A2307" s="25" t="n">
        <v>506600</v>
      </c>
      <c r="B2307" s="25" t="inlineStr">
        <is>
          <t>750ml</t>
        </is>
      </c>
    </row>
    <row r="2308">
      <c r="A2308" s="25" t="n">
        <v>284450</v>
      </c>
      <c r="B2308" s="25" t="inlineStr">
        <is>
          <t>750ml</t>
        </is>
      </c>
    </row>
    <row r="2309">
      <c r="A2309" s="25" t="n">
        <v>37880</v>
      </c>
      <c r="B2309" s="25" t="inlineStr">
        <is>
          <t>200ml</t>
        </is>
      </c>
    </row>
    <row r="2310">
      <c r="A2310" s="25" t="n">
        <v>34596</v>
      </c>
      <c r="B2310" s="25" t="inlineStr">
        <is>
          <t>750ml</t>
        </is>
      </c>
    </row>
    <row r="2311">
      <c r="A2311" s="25" t="n">
        <v>451246</v>
      </c>
      <c r="B2311" s="25" t="inlineStr">
        <is>
          <t>4L</t>
        </is>
      </c>
    </row>
    <row r="2312">
      <c r="A2312" s="25" t="n">
        <v>9368</v>
      </c>
      <c r="B2312" s="25" t="inlineStr">
        <is>
          <t>1.75L</t>
        </is>
      </c>
    </row>
    <row r="2313">
      <c r="A2313" s="25" t="n">
        <v>56782</v>
      </c>
      <c r="B2313" s="25" t="inlineStr">
        <is>
          <t>1.75L</t>
        </is>
      </c>
    </row>
    <row r="2314">
      <c r="A2314" s="25" t="n">
        <v>888087</v>
      </c>
      <c r="B2314" s="25" t="inlineStr">
        <is>
          <t>1.5L</t>
        </is>
      </c>
    </row>
    <row r="2315">
      <c r="A2315" s="25" t="n">
        <v>544071</v>
      </c>
      <c r="B2315" s="25" t="inlineStr">
        <is>
          <t>500ml</t>
        </is>
      </c>
    </row>
    <row r="2316">
      <c r="A2316" s="25" t="n">
        <v>67245</v>
      </c>
      <c r="B2316" s="25" t="inlineStr">
        <is>
          <t>100ml</t>
        </is>
      </c>
    </row>
    <row r="2317">
      <c r="A2317" s="25" t="n">
        <v>485565</v>
      </c>
      <c r="B2317" s="25" t="inlineStr">
        <is>
          <t>750ml</t>
        </is>
      </c>
    </row>
    <row r="2318">
      <c r="A2318" s="25" t="n">
        <v>30318</v>
      </c>
      <c r="B2318" s="25" t="inlineStr">
        <is>
          <t>1.75L</t>
        </is>
      </c>
    </row>
    <row r="2319">
      <c r="A2319" s="25" t="n">
        <v>38177</v>
      </c>
      <c r="B2319" s="25" t="inlineStr">
        <is>
          <t>1L</t>
        </is>
      </c>
    </row>
    <row r="2320">
      <c r="A2320" s="25" t="n">
        <v>42687</v>
      </c>
      <c r="B2320" s="25" t="inlineStr">
        <is>
          <t>750ml</t>
        </is>
      </c>
    </row>
    <row r="2321">
      <c r="A2321" s="25" t="n">
        <v>56843</v>
      </c>
      <c r="B2321" s="25" t="inlineStr">
        <is>
          <t>1.75L</t>
        </is>
      </c>
    </row>
    <row r="2322">
      <c r="A2322" s="25" t="n">
        <v>87270</v>
      </c>
      <c r="B2322" s="25" t="inlineStr">
        <is>
          <t>750ml</t>
        </is>
      </c>
    </row>
    <row r="2323">
      <c r="A2323" s="25" t="n">
        <v>683326</v>
      </c>
      <c r="B2323" s="25" t="inlineStr">
        <is>
          <t>1.5L</t>
        </is>
      </c>
    </row>
    <row r="2324">
      <c r="A2324" s="25" t="n">
        <v>52563</v>
      </c>
      <c r="B2324" s="25" t="inlineStr">
        <is>
          <t>750ml</t>
        </is>
      </c>
    </row>
    <row r="2325">
      <c r="A2325" s="25" t="n">
        <v>32235</v>
      </c>
      <c r="B2325" s="25" t="inlineStr">
        <is>
          <t>750ml</t>
        </is>
      </c>
    </row>
    <row r="2326">
      <c r="A2326" s="25" t="n">
        <v>28210</v>
      </c>
      <c r="B2326" s="25" t="inlineStr">
        <is>
          <t>750ml</t>
        </is>
      </c>
    </row>
    <row r="2327">
      <c r="A2327" s="25" t="n">
        <v>33712</v>
      </c>
      <c r="B2327" s="25" t="inlineStr">
        <is>
          <t>750ml</t>
        </is>
      </c>
    </row>
    <row r="2328">
      <c r="A2328" s="25" t="n">
        <v>548562</v>
      </c>
      <c r="B2328" s="25" t="inlineStr">
        <is>
          <t>1.5L</t>
        </is>
      </c>
    </row>
    <row r="2329">
      <c r="A2329" s="25" t="n">
        <v>361720</v>
      </c>
      <c r="B2329" s="25" t="inlineStr">
        <is>
          <t>750ml</t>
        </is>
      </c>
    </row>
    <row r="2330">
      <c r="A2330" s="25" t="n">
        <v>89566</v>
      </c>
      <c r="B2330" s="25" t="inlineStr">
        <is>
          <t>750ml</t>
        </is>
      </c>
    </row>
    <row r="2331">
      <c r="A2331" s="25" t="n">
        <v>562570</v>
      </c>
      <c r="B2331" s="25" t="inlineStr">
        <is>
          <t>750ml</t>
        </is>
      </c>
    </row>
    <row r="2332">
      <c r="A2332" s="25" t="n">
        <v>420676</v>
      </c>
      <c r="B2332" s="25" t="inlineStr">
        <is>
          <t>750ml</t>
        </is>
      </c>
    </row>
    <row r="2333">
      <c r="A2333" s="25" t="n">
        <v>35699</v>
      </c>
      <c r="B2333" s="25" t="inlineStr">
        <is>
          <t>750ml</t>
        </is>
      </c>
    </row>
    <row r="2334">
      <c r="A2334" s="25" t="n">
        <v>43337</v>
      </c>
      <c r="B2334" s="25" t="inlineStr">
        <is>
          <t>1L</t>
        </is>
      </c>
    </row>
    <row r="2335">
      <c r="A2335" s="25" t="n">
        <v>368896</v>
      </c>
      <c r="B2335" s="25" t="inlineStr">
        <is>
          <t>750ml</t>
        </is>
      </c>
    </row>
    <row r="2336">
      <c r="A2336" s="25" t="n">
        <v>76433</v>
      </c>
      <c r="B2336" s="25" t="inlineStr">
        <is>
          <t>750ml</t>
        </is>
      </c>
    </row>
    <row r="2337">
      <c r="A2337" s="25" t="n">
        <v>31493</v>
      </c>
      <c r="B2337" s="25" t="inlineStr">
        <is>
          <t>750ml</t>
        </is>
      </c>
    </row>
    <row r="2338">
      <c r="A2338" s="25" t="n">
        <v>609010</v>
      </c>
      <c r="B2338" s="25" t="inlineStr">
        <is>
          <t>750ml</t>
        </is>
      </c>
    </row>
    <row r="2339">
      <c r="A2339" s="25" t="n">
        <v>525383</v>
      </c>
      <c r="B2339" s="25" t="inlineStr">
        <is>
          <t>3L</t>
        </is>
      </c>
    </row>
    <row r="2340">
      <c r="A2340" s="25" t="n">
        <v>551910</v>
      </c>
      <c r="B2340" s="25" t="inlineStr">
        <is>
          <t>4L</t>
        </is>
      </c>
    </row>
    <row r="2341">
      <c r="A2341" s="25" t="n">
        <v>65352</v>
      </c>
      <c r="B2341" s="25" t="inlineStr">
        <is>
          <t>100ml</t>
        </is>
      </c>
    </row>
    <row r="2342">
      <c r="A2342" s="25" t="n">
        <v>37890</v>
      </c>
      <c r="B2342" s="25" t="inlineStr">
        <is>
          <t>1.75L</t>
        </is>
      </c>
    </row>
    <row r="2343">
      <c r="A2343" s="25" t="n">
        <v>219637</v>
      </c>
      <c r="B2343" s="25" t="inlineStr">
        <is>
          <t>750ml</t>
        </is>
      </c>
    </row>
    <row r="2344">
      <c r="A2344" s="25" t="n">
        <v>480315</v>
      </c>
      <c r="B2344" s="25" t="inlineStr">
        <is>
          <t>1.5L</t>
        </is>
      </c>
    </row>
    <row r="2345">
      <c r="A2345" s="25" t="n">
        <v>44348</v>
      </c>
      <c r="B2345" s="25" t="inlineStr">
        <is>
          <t>1.75L</t>
        </is>
      </c>
    </row>
    <row r="2346">
      <c r="A2346" s="25" t="n">
        <v>86778</v>
      </c>
      <c r="B2346" s="25" t="inlineStr">
        <is>
          <t>750ml</t>
        </is>
      </c>
    </row>
    <row r="2347">
      <c r="A2347" s="25" t="n">
        <v>86630</v>
      </c>
      <c r="B2347" s="25" t="inlineStr">
        <is>
          <t>1L</t>
        </is>
      </c>
    </row>
    <row r="2348">
      <c r="A2348" s="25" t="n">
        <v>57144</v>
      </c>
      <c r="B2348" s="25" t="inlineStr">
        <is>
          <t>1.75L</t>
        </is>
      </c>
    </row>
    <row r="2349">
      <c r="A2349" s="25" t="n">
        <v>471245</v>
      </c>
      <c r="B2349" s="25" t="inlineStr">
        <is>
          <t>750ml</t>
        </is>
      </c>
    </row>
    <row r="2350">
      <c r="A2350" s="25" t="n">
        <v>87408</v>
      </c>
      <c r="B2350" s="25" t="inlineStr">
        <is>
          <t>750ml</t>
        </is>
      </c>
    </row>
    <row r="2351">
      <c r="A2351" s="25" t="n">
        <v>427770</v>
      </c>
      <c r="B2351" s="25" t="inlineStr">
        <is>
          <t>750ml</t>
        </is>
      </c>
    </row>
    <row r="2352">
      <c r="A2352" s="25" t="n">
        <v>22786</v>
      </c>
      <c r="B2352" s="25" t="inlineStr">
        <is>
          <t>750ml</t>
        </is>
      </c>
    </row>
    <row r="2353">
      <c r="A2353" s="25" t="n">
        <v>56196</v>
      </c>
      <c r="B2353" s="25" t="inlineStr">
        <is>
          <t>750ml</t>
        </is>
      </c>
    </row>
    <row r="2354">
      <c r="A2354" s="25" t="n">
        <v>100306</v>
      </c>
      <c r="B2354" s="25" t="inlineStr">
        <is>
          <t>750ml</t>
        </is>
      </c>
    </row>
    <row r="2355">
      <c r="A2355" s="25" t="n">
        <v>379251</v>
      </c>
      <c r="B2355" s="25" t="inlineStr">
        <is>
          <t>250ml</t>
        </is>
      </c>
    </row>
    <row r="2356">
      <c r="A2356" s="25" t="n">
        <v>728794</v>
      </c>
      <c r="B2356" s="25" t="inlineStr">
        <is>
          <t>187ml</t>
        </is>
      </c>
    </row>
    <row r="2357">
      <c r="A2357" s="25" t="n">
        <v>58918</v>
      </c>
      <c r="B2357" s="25" t="inlineStr">
        <is>
          <t>355ml</t>
        </is>
      </c>
    </row>
    <row r="2358">
      <c r="A2358" s="25" t="n">
        <v>494310</v>
      </c>
      <c r="B2358" s="25" t="inlineStr">
        <is>
          <t>750ml</t>
        </is>
      </c>
    </row>
    <row r="2359">
      <c r="A2359" s="25" t="n">
        <v>11348</v>
      </c>
      <c r="B2359" s="25" t="inlineStr">
        <is>
          <t>1.75L</t>
        </is>
      </c>
    </row>
    <row r="2360">
      <c r="A2360" s="25" t="n">
        <v>39492</v>
      </c>
      <c r="B2360" s="25" t="inlineStr">
        <is>
          <t>750ml</t>
        </is>
      </c>
    </row>
    <row r="2361">
      <c r="A2361" s="25" t="n">
        <v>43095</v>
      </c>
      <c r="B2361" s="25" t="inlineStr">
        <is>
          <t>750ml</t>
        </is>
      </c>
    </row>
    <row r="2362">
      <c r="A2362" s="25" t="n">
        <v>727227</v>
      </c>
      <c r="B2362" s="25" t="inlineStr">
        <is>
          <t>187ml</t>
        </is>
      </c>
    </row>
    <row r="2363">
      <c r="A2363" s="25" t="n">
        <v>16652</v>
      </c>
      <c r="B2363" s="25" t="inlineStr">
        <is>
          <t>750ml</t>
        </is>
      </c>
    </row>
    <row r="2364">
      <c r="A2364" s="25" t="n">
        <v>36097</v>
      </c>
      <c r="B2364" s="25" t="inlineStr">
        <is>
          <t>1L</t>
        </is>
      </c>
    </row>
    <row r="2365">
      <c r="A2365" s="25" t="n">
        <v>59100</v>
      </c>
      <c r="B2365" s="25" t="inlineStr">
        <is>
          <t>750ml</t>
        </is>
      </c>
    </row>
    <row r="2366">
      <c r="A2366" s="25" t="n">
        <v>479335</v>
      </c>
      <c r="B2366" s="25" t="inlineStr">
        <is>
          <t>750ml</t>
        </is>
      </c>
    </row>
    <row r="2367">
      <c r="A2367" s="25" t="n">
        <v>87646</v>
      </c>
      <c r="B2367" s="25" t="inlineStr">
        <is>
          <t>750ml</t>
        </is>
      </c>
    </row>
    <row r="2368">
      <c r="A2368" s="25" t="n">
        <v>816232</v>
      </c>
      <c r="B2368" s="25" t="inlineStr">
        <is>
          <t>750ml</t>
        </is>
      </c>
    </row>
    <row r="2369">
      <c r="A2369" s="25" t="n">
        <v>466348</v>
      </c>
      <c r="B2369" s="25" t="inlineStr">
        <is>
          <t>750ml</t>
        </is>
      </c>
    </row>
    <row r="2370">
      <c r="A2370" s="25" t="n">
        <v>22257</v>
      </c>
      <c r="B2370" s="25" t="inlineStr">
        <is>
          <t>750ml</t>
        </is>
      </c>
    </row>
    <row r="2371">
      <c r="A2371" s="25" t="n">
        <v>86668</v>
      </c>
      <c r="B2371" s="25" t="inlineStr">
        <is>
          <t>50ml</t>
        </is>
      </c>
    </row>
    <row r="2372">
      <c r="A2372" s="25" t="n">
        <v>241070</v>
      </c>
      <c r="B2372" s="25" t="inlineStr">
        <is>
          <t>750ml</t>
        </is>
      </c>
    </row>
    <row r="2373">
      <c r="A2373" s="25" t="n">
        <v>539857</v>
      </c>
      <c r="B2373" s="25" t="inlineStr">
        <is>
          <t>750ml</t>
        </is>
      </c>
    </row>
    <row r="2374">
      <c r="A2374" s="25" t="n">
        <v>267715</v>
      </c>
      <c r="B2374" s="25" t="inlineStr">
        <is>
          <t>750ml</t>
        </is>
      </c>
    </row>
    <row r="2375">
      <c r="A2375" s="25" t="n">
        <v>101183</v>
      </c>
      <c r="B2375" s="25" t="inlineStr">
        <is>
          <t>750ml</t>
        </is>
      </c>
    </row>
    <row r="2376">
      <c r="A2376" s="25" t="n">
        <v>359442</v>
      </c>
      <c r="B2376" s="25" t="inlineStr">
        <is>
          <t>750ml</t>
        </is>
      </c>
    </row>
    <row r="2377">
      <c r="A2377" s="25" t="n">
        <v>443272</v>
      </c>
      <c r="B2377" s="25" t="inlineStr">
        <is>
          <t>187ml</t>
        </is>
      </c>
    </row>
    <row r="2378">
      <c r="A2378" s="25" t="n">
        <v>581325</v>
      </c>
      <c r="B2378" s="25" t="inlineStr">
        <is>
          <t>375ml</t>
        </is>
      </c>
    </row>
    <row r="2379">
      <c r="A2379" s="25" t="n">
        <v>27884</v>
      </c>
      <c r="B2379" s="25" t="inlineStr">
        <is>
          <t>1.75L</t>
        </is>
      </c>
    </row>
    <row r="2380">
      <c r="A2380" s="25" t="n">
        <v>41570</v>
      </c>
      <c r="B2380" s="25" t="inlineStr">
        <is>
          <t>750ml</t>
        </is>
      </c>
    </row>
    <row r="2381">
      <c r="A2381" s="25" t="n">
        <v>38076</v>
      </c>
      <c r="B2381" s="25" t="inlineStr">
        <is>
          <t>750ml</t>
        </is>
      </c>
    </row>
    <row r="2382">
      <c r="A2382" s="25" t="n">
        <v>56804</v>
      </c>
      <c r="B2382" s="25" t="inlineStr">
        <is>
          <t>375ml</t>
        </is>
      </c>
    </row>
    <row r="2383">
      <c r="A2383" s="25" t="n">
        <v>762315</v>
      </c>
      <c r="B2383" s="25" t="inlineStr">
        <is>
          <t>750ml</t>
        </is>
      </c>
    </row>
    <row r="2384">
      <c r="A2384" s="25" t="n">
        <v>652216</v>
      </c>
      <c r="B2384" s="25" t="inlineStr">
        <is>
          <t>750ml</t>
        </is>
      </c>
    </row>
    <row r="2385">
      <c r="A2385" s="25" t="n">
        <v>87054</v>
      </c>
      <c r="B2385" s="25" t="inlineStr">
        <is>
          <t>50ml</t>
        </is>
      </c>
    </row>
    <row r="2386">
      <c r="A2386" s="25" t="n">
        <v>17088</v>
      </c>
      <c r="B2386" s="25" t="inlineStr">
        <is>
          <t>1.75L</t>
        </is>
      </c>
    </row>
    <row r="2387">
      <c r="A2387" s="25" t="n">
        <v>67610</v>
      </c>
      <c r="B2387" s="25" t="inlineStr">
        <is>
          <t>750ml</t>
        </is>
      </c>
    </row>
    <row r="2388">
      <c r="A2388" s="25" t="n">
        <v>343575</v>
      </c>
      <c r="B2388" s="25" t="inlineStr">
        <is>
          <t>750ml</t>
        </is>
      </c>
    </row>
    <row r="2389">
      <c r="A2389" s="25" t="n">
        <v>419957</v>
      </c>
      <c r="B2389" s="25" t="inlineStr">
        <is>
          <t>750ml</t>
        </is>
      </c>
    </row>
    <row r="2390">
      <c r="A2390" s="25" t="n">
        <v>43128</v>
      </c>
      <c r="B2390" s="25" t="inlineStr">
        <is>
          <t>1.75L</t>
        </is>
      </c>
    </row>
    <row r="2391">
      <c r="A2391" s="25" t="n">
        <v>58269</v>
      </c>
      <c r="B2391" s="25" t="inlineStr">
        <is>
          <t>355ml</t>
        </is>
      </c>
    </row>
    <row r="2392">
      <c r="A2392" s="25" t="n">
        <v>468100</v>
      </c>
      <c r="B2392" s="25" t="inlineStr">
        <is>
          <t>750ml</t>
        </is>
      </c>
    </row>
    <row r="2393">
      <c r="A2393" s="25" t="n">
        <v>485512</v>
      </c>
      <c r="B2393" s="25" t="inlineStr">
        <is>
          <t>750ml</t>
        </is>
      </c>
    </row>
    <row r="2394">
      <c r="A2394" s="25" t="n">
        <v>562400</v>
      </c>
      <c r="B2394" s="25" t="inlineStr">
        <is>
          <t>750ml</t>
        </is>
      </c>
    </row>
    <row r="2395">
      <c r="A2395" s="25" t="n">
        <v>100639</v>
      </c>
      <c r="B2395" s="25" t="inlineStr">
        <is>
          <t>750ml</t>
        </is>
      </c>
    </row>
    <row r="2396">
      <c r="A2396" s="25" t="n">
        <v>473017</v>
      </c>
      <c r="B2396" s="25" t="inlineStr">
        <is>
          <t>750ml</t>
        </is>
      </c>
    </row>
    <row r="2397">
      <c r="A2397" s="25" t="n">
        <v>378915</v>
      </c>
      <c r="B2397" s="25" t="inlineStr">
        <is>
          <t>1.5L</t>
        </is>
      </c>
    </row>
    <row r="2398">
      <c r="A2398" s="25" t="n">
        <v>566550</v>
      </c>
      <c r="B2398" s="25" t="inlineStr">
        <is>
          <t>3L</t>
        </is>
      </c>
    </row>
    <row r="2399">
      <c r="A2399" s="25" t="n">
        <v>38519</v>
      </c>
      <c r="B2399" s="25" t="inlineStr">
        <is>
          <t>1.75L</t>
        </is>
      </c>
    </row>
    <row r="2400">
      <c r="A2400" s="25" t="n">
        <v>92270</v>
      </c>
      <c r="B2400" s="25" t="inlineStr">
        <is>
          <t>750ml</t>
        </is>
      </c>
    </row>
    <row r="2401">
      <c r="A2401" s="25" t="n">
        <v>730236</v>
      </c>
      <c r="B2401" s="25" t="inlineStr">
        <is>
          <t>750ml</t>
        </is>
      </c>
    </row>
    <row r="2402">
      <c r="A2402" s="25" t="n">
        <v>88737</v>
      </c>
      <c r="B2402" s="25" t="inlineStr">
        <is>
          <t>1L</t>
        </is>
      </c>
    </row>
    <row r="2403">
      <c r="A2403" s="25" t="n">
        <v>48099</v>
      </c>
      <c r="B2403" s="25" t="inlineStr">
        <is>
          <t>200ml</t>
        </is>
      </c>
    </row>
    <row r="2404">
      <c r="A2404" s="25" t="n">
        <v>49084</v>
      </c>
      <c r="B2404" s="25" t="inlineStr">
        <is>
          <t>375ml</t>
        </is>
      </c>
    </row>
    <row r="2405">
      <c r="A2405" s="25" t="n">
        <v>892857</v>
      </c>
      <c r="B2405" s="25" t="inlineStr">
        <is>
          <t>1.5L</t>
        </is>
      </c>
    </row>
    <row r="2406">
      <c r="A2406" s="25" t="n">
        <v>429950</v>
      </c>
      <c r="B2406" s="25" t="inlineStr">
        <is>
          <t>750ml</t>
        </is>
      </c>
    </row>
    <row r="2407">
      <c r="A2407" s="25" t="n">
        <v>72448</v>
      </c>
      <c r="B2407" s="25" t="inlineStr">
        <is>
          <t>375ml</t>
        </is>
      </c>
    </row>
    <row r="2408">
      <c r="A2408" s="25" t="n">
        <v>297364</v>
      </c>
      <c r="B2408" s="25" t="inlineStr">
        <is>
          <t>750ml</t>
        </is>
      </c>
    </row>
    <row r="2409">
      <c r="A2409" s="25" t="n">
        <v>892858</v>
      </c>
      <c r="B2409" s="25" t="inlineStr">
        <is>
          <t>750ml</t>
        </is>
      </c>
    </row>
    <row r="2410">
      <c r="A2410" s="25" t="n">
        <v>26129</v>
      </c>
      <c r="B2410" s="25" t="inlineStr">
        <is>
          <t>750ml</t>
        </is>
      </c>
    </row>
    <row r="2411">
      <c r="A2411" s="25" t="n">
        <v>15644</v>
      </c>
      <c r="B2411" s="25" t="inlineStr">
        <is>
          <t>375ml</t>
        </is>
      </c>
    </row>
    <row r="2412">
      <c r="A2412" s="25" t="n">
        <v>19061</v>
      </c>
      <c r="B2412" s="25" t="inlineStr">
        <is>
          <t>50ml</t>
        </is>
      </c>
    </row>
    <row r="2413">
      <c r="A2413" s="25" t="n">
        <v>25976</v>
      </c>
      <c r="B2413" s="25" t="inlineStr">
        <is>
          <t>750ml</t>
        </is>
      </c>
    </row>
    <row r="2414">
      <c r="A2414" s="25" t="n">
        <v>34457</v>
      </c>
      <c r="B2414" s="25" t="inlineStr">
        <is>
          <t>1L</t>
        </is>
      </c>
    </row>
    <row r="2415">
      <c r="A2415" s="25" t="n">
        <v>10898</v>
      </c>
      <c r="B2415" s="25" t="inlineStr">
        <is>
          <t>1.75L</t>
        </is>
      </c>
    </row>
    <row r="2416">
      <c r="A2416" s="25" t="n">
        <v>491090</v>
      </c>
      <c r="B2416" s="25" t="inlineStr">
        <is>
          <t>750ml</t>
        </is>
      </c>
    </row>
    <row r="2417">
      <c r="A2417" s="25" t="n">
        <v>632851</v>
      </c>
      <c r="B2417" s="25" t="inlineStr">
        <is>
          <t>750ml</t>
        </is>
      </c>
    </row>
    <row r="2418">
      <c r="A2418" s="25" t="n">
        <v>27331</v>
      </c>
      <c r="B2418" s="25" t="inlineStr">
        <is>
          <t>750ml</t>
        </is>
      </c>
    </row>
    <row r="2419">
      <c r="A2419" s="25" t="n">
        <v>63450</v>
      </c>
      <c r="B2419" s="25" t="inlineStr">
        <is>
          <t>355ml</t>
        </is>
      </c>
    </row>
    <row r="2420">
      <c r="A2420" s="25" t="n">
        <v>52595</v>
      </c>
      <c r="B2420" s="25" t="inlineStr">
        <is>
          <t>750ml</t>
        </is>
      </c>
    </row>
    <row r="2421">
      <c r="A2421" s="25" t="n">
        <v>562490</v>
      </c>
      <c r="B2421" s="25" t="inlineStr">
        <is>
          <t>750ml</t>
        </is>
      </c>
    </row>
    <row r="2422">
      <c r="A2422" s="25" t="n">
        <v>400700</v>
      </c>
      <c r="B2422" s="25" t="inlineStr">
        <is>
          <t>750ml</t>
        </is>
      </c>
    </row>
    <row r="2423">
      <c r="A2423" s="25" t="n">
        <v>642106</v>
      </c>
      <c r="B2423" s="25" t="inlineStr">
        <is>
          <t>750ml</t>
        </is>
      </c>
    </row>
    <row r="2424">
      <c r="A2424" s="25" t="n">
        <v>65199</v>
      </c>
      <c r="B2424" s="25" t="inlineStr">
        <is>
          <t>1L</t>
        </is>
      </c>
    </row>
    <row r="2425">
      <c r="A2425" s="25" t="n">
        <v>26281</v>
      </c>
      <c r="B2425" s="25" t="inlineStr">
        <is>
          <t>750ml</t>
        </is>
      </c>
    </row>
    <row r="2426">
      <c r="A2426" s="25" t="n">
        <v>364682</v>
      </c>
      <c r="B2426" s="25" t="inlineStr">
        <is>
          <t>750ml</t>
        </is>
      </c>
    </row>
    <row r="2427">
      <c r="A2427" s="25" t="n">
        <v>87033</v>
      </c>
      <c r="B2427" s="25" t="inlineStr">
        <is>
          <t>750ml</t>
        </is>
      </c>
    </row>
    <row r="2428">
      <c r="A2428" s="25" t="n">
        <v>460944</v>
      </c>
      <c r="B2428" s="25" t="inlineStr">
        <is>
          <t>750ml</t>
        </is>
      </c>
    </row>
    <row r="2429">
      <c r="A2429" s="25" t="n">
        <v>26555</v>
      </c>
      <c r="B2429" s="25" t="inlineStr">
        <is>
          <t>750ml</t>
        </is>
      </c>
    </row>
    <row r="2430">
      <c r="A2430" s="25" t="n">
        <v>87152</v>
      </c>
      <c r="B2430" s="25" t="inlineStr">
        <is>
          <t>375ml</t>
        </is>
      </c>
    </row>
    <row r="2431">
      <c r="A2431" s="25" t="n">
        <v>379600</v>
      </c>
      <c r="B2431" s="25" t="inlineStr">
        <is>
          <t>750ml</t>
        </is>
      </c>
    </row>
    <row r="2432">
      <c r="A2432" s="25" t="n">
        <v>89668</v>
      </c>
      <c r="B2432" s="25" t="inlineStr">
        <is>
          <t>1.75L</t>
        </is>
      </c>
    </row>
    <row r="2433">
      <c r="A2433" s="25" t="n">
        <v>64571</v>
      </c>
      <c r="B2433" s="25" t="inlineStr">
        <is>
          <t>200ml</t>
        </is>
      </c>
    </row>
    <row r="2434">
      <c r="A2434" s="25" t="n">
        <v>443255</v>
      </c>
      <c r="B2434" s="25" t="inlineStr">
        <is>
          <t>1.5L</t>
        </is>
      </c>
    </row>
    <row r="2435">
      <c r="A2435" s="25" t="n">
        <v>606267</v>
      </c>
      <c r="B2435" s="25" t="inlineStr">
        <is>
          <t>1.5L</t>
        </is>
      </c>
    </row>
    <row r="2436">
      <c r="A2436" s="25" t="n">
        <v>23536</v>
      </c>
      <c r="B2436" s="25" t="inlineStr">
        <is>
          <t>750ml</t>
        </is>
      </c>
    </row>
    <row r="2437">
      <c r="A2437" s="25" t="n">
        <v>814575</v>
      </c>
      <c r="B2437" s="25" t="inlineStr">
        <is>
          <t>5L</t>
        </is>
      </c>
    </row>
    <row r="2438">
      <c r="A2438" s="25" t="n">
        <v>18116</v>
      </c>
      <c r="B2438" s="25" t="inlineStr">
        <is>
          <t>750ml</t>
        </is>
      </c>
    </row>
    <row r="2439">
      <c r="A2439" s="25" t="n">
        <v>100795</v>
      </c>
      <c r="B2439" s="25" t="inlineStr">
        <is>
          <t>750ml</t>
        </is>
      </c>
    </row>
    <row r="2440">
      <c r="A2440" s="25" t="n">
        <v>89836</v>
      </c>
      <c r="B2440" s="25" t="inlineStr">
        <is>
          <t>750ml</t>
        </is>
      </c>
    </row>
    <row r="2441">
      <c r="A2441" s="25" t="n">
        <v>905992</v>
      </c>
      <c r="B2441" s="25" t="inlineStr">
        <is>
          <t>750ml</t>
        </is>
      </c>
    </row>
    <row r="2442">
      <c r="A2442" s="25" t="n">
        <v>47865</v>
      </c>
      <c r="B2442" s="25" t="inlineStr">
        <is>
          <t>750ml</t>
        </is>
      </c>
    </row>
    <row r="2443">
      <c r="A2443" s="25" t="n">
        <v>894421</v>
      </c>
      <c r="B2443" s="25" t="inlineStr">
        <is>
          <t>750ml</t>
        </is>
      </c>
    </row>
    <row r="2444">
      <c r="A2444" s="25" t="n">
        <v>26432</v>
      </c>
      <c r="B2444" s="25" t="inlineStr">
        <is>
          <t>750ml</t>
        </is>
      </c>
    </row>
    <row r="2445">
      <c r="A2445" s="25" t="n">
        <v>744250</v>
      </c>
      <c r="B2445" s="25" t="inlineStr">
        <is>
          <t>750ml</t>
        </is>
      </c>
    </row>
    <row r="2446">
      <c r="A2446" s="25" t="n">
        <v>583805</v>
      </c>
      <c r="B2446" s="25" t="inlineStr">
        <is>
          <t>1.5L</t>
        </is>
      </c>
    </row>
    <row r="2447">
      <c r="A2447" s="25" t="n">
        <v>630810</v>
      </c>
      <c r="B2447" s="25" t="inlineStr">
        <is>
          <t>750ml</t>
        </is>
      </c>
    </row>
    <row r="2448">
      <c r="A2448" s="25" t="n">
        <v>803470</v>
      </c>
      <c r="B2448" s="25" t="inlineStr">
        <is>
          <t>3L</t>
        </is>
      </c>
    </row>
    <row r="2449">
      <c r="A2449" s="25" t="n">
        <v>86918</v>
      </c>
      <c r="B2449" s="25" t="inlineStr">
        <is>
          <t>1.75L</t>
        </is>
      </c>
    </row>
    <row r="2450">
      <c r="A2450" s="25" t="n">
        <v>642114</v>
      </c>
      <c r="B2450" s="25" t="inlineStr">
        <is>
          <t>3L</t>
        </is>
      </c>
    </row>
    <row r="2451">
      <c r="A2451" s="25" t="n">
        <v>31474</v>
      </c>
      <c r="B2451" s="25" t="inlineStr">
        <is>
          <t>375ml</t>
        </is>
      </c>
    </row>
    <row r="2452">
      <c r="A2452" s="25" t="n">
        <v>38170</v>
      </c>
      <c r="B2452" s="25" t="inlineStr">
        <is>
          <t>1.75L</t>
        </is>
      </c>
    </row>
    <row r="2453">
      <c r="A2453" s="25" t="n">
        <v>402050</v>
      </c>
      <c r="B2453" s="25" t="inlineStr">
        <is>
          <t>750ml</t>
        </is>
      </c>
    </row>
    <row r="2454">
      <c r="A2454" s="25" t="n">
        <v>43296</v>
      </c>
      <c r="B2454" s="25" t="inlineStr">
        <is>
          <t>750ml</t>
        </is>
      </c>
    </row>
    <row r="2455">
      <c r="A2455" s="25" t="n">
        <v>813912</v>
      </c>
      <c r="B2455" s="25" t="inlineStr">
        <is>
          <t>750ml</t>
        </is>
      </c>
    </row>
    <row r="2456">
      <c r="A2456" s="25" t="n">
        <v>39382</v>
      </c>
      <c r="B2456" s="25" t="inlineStr">
        <is>
          <t>375ml</t>
        </is>
      </c>
    </row>
    <row r="2457">
      <c r="A2457" s="25" t="n">
        <v>89286</v>
      </c>
      <c r="B2457" s="25" t="inlineStr">
        <is>
          <t>750ml</t>
        </is>
      </c>
    </row>
    <row r="2458">
      <c r="A2458" s="25" t="n">
        <v>452252</v>
      </c>
      <c r="B2458" s="25" t="inlineStr">
        <is>
          <t>750ml</t>
        </is>
      </c>
    </row>
    <row r="2459">
      <c r="A2459" s="25" t="n">
        <v>444582</v>
      </c>
      <c r="B2459" s="25" t="inlineStr">
        <is>
          <t>3L</t>
        </is>
      </c>
    </row>
    <row r="2460">
      <c r="A2460" s="25" t="n">
        <v>544079</v>
      </c>
      <c r="B2460" s="25" t="inlineStr">
        <is>
          <t>1.5L</t>
        </is>
      </c>
    </row>
    <row r="2461">
      <c r="A2461" s="25" t="n">
        <v>513500</v>
      </c>
      <c r="B2461" s="25" t="inlineStr">
        <is>
          <t>750ml</t>
        </is>
      </c>
    </row>
    <row r="2462">
      <c r="A2462" s="25" t="n">
        <v>19006</v>
      </c>
      <c r="B2462" s="25" t="inlineStr">
        <is>
          <t>750ml</t>
        </is>
      </c>
    </row>
    <row r="2463">
      <c r="A2463" s="25" t="n">
        <v>44217</v>
      </c>
      <c r="B2463" s="25" t="inlineStr">
        <is>
          <t>1L</t>
        </is>
      </c>
    </row>
    <row r="2464">
      <c r="A2464" s="25" t="n">
        <v>728740</v>
      </c>
      <c r="B2464" s="25" t="inlineStr">
        <is>
          <t>750ml</t>
        </is>
      </c>
    </row>
    <row r="2465">
      <c r="A2465" s="25" t="n">
        <v>19481</v>
      </c>
      <c r="B2465" s="25" t="inlineStr">
        <is>
          <t>750ml</t>
        </is>
      </c>
    </row>
    <row r="2466">
      <c r="A2466" s="25" t="n">
        <v>28275</v>
      </c>
      <c r="B2466" s="25" t="inlineStr">
        <is>
          <t>50ml</t>
        </is>
      </c>
    </row>
    <row r="2467">
      <c r="A2467" s="25" t="n">
        <v>29568</v>
      </c>
      <c r="B2467" s="25" t="inlineStr">
        <is>
          <t>1.75L</t>
        </is>
      </c>
    </row>
    <row r="2468">
      <c r="A2468" s="25" t="n">
        <v>80545</v>
      </c>
      <c r="B2468" s="25" t="inlineStr">
        <is>
          <t>750ml</t>
        </is>
      </c>
    </row>
    <row r="2469">
      <c r="A2469" s="25" t="n">
        <v>728720</v>
      </c>
      <c r="B2469" s="25" t="inlineStr">
        <is>
          <t>750ml</t>
        </is>
      </c>
    </row>
    <row r="2470">
      <c r="A2470" s="25" t="n">
        <v>98192</v>
      </c>
      <c r="B2470" s="25" t="inlineStr">
        <is>
          <t>375ml</t>
        </is>
      </c>
    </row>
    <row r="2471">
      <c r="A2471" s="25" t="n">
        <v>547122</v>
      </c>
      <c r="B2471" s="25" t="inlineStr">
        <is>
          <t>500ml</t>
        </is>
      </c>
    </row>
    <row r="2472">
      <c r="A2472" s="25" t="n">
        <v>895420</v>
      </c>
      <c r="B2472" s="25" t="inlineStr">
        <is>
          <t>1.5L</t>
        </is>
      </c>
    </row>
    <row r="2473">
      <c r="A2473" s="25" t="n">
        <v>656402</v>
      </c>
      <c r="B2473" s="25" t="inlineStr">
        <is>
          <t>1.5L</t>
        </is>
      </c>
    </row>
    <row r="2474">
      <c r="A2474" s="25" t="n">
        <v>456395</v>
      </c>
      <c r="B2474" s="25" t="inlineStr">
        <is>
          <t>750ml</t>
        </is>
      </c>
    </row>
    <row r="2475">
      <c r="A2475" s="25" t="n">
        <v>88255</v>
      </c>
      <c r="B2475" s="25" t="inlineStr">
        <is>
          <t>375ml</t>
        </is>
      </c>
    </row>
    <row r="2476">
      <c r="A2476" s="25" t="n">
        <v>34006</v>
      </c>
      <c r="B2476" s="25" t="inlineStr">
        <is>
          <t>750ml</t>
        </is>
      </c>
    </row>
    <row r="2477">
      <c r="A2477" s="25" t="n">
        <v>43037</v>
      </c>
      <c r="B2477" s="25" t="inlineStr">
        <is>
          <t>1L</t>
        </is>
      </c>
    </row>
    <row r="2478">
      <c r="A2478" s="25" t="n">
        <v>543344</v>
      </c>
      <c r="B2478" s="25" t="inlineStr">
        <is>
          <t>750ml</t>
        </is>
      </c>
    </row>
    <row r="2479">
      <c r="A2479" s="25" t="n">
        <v>461518</v>
      </c>
      <c r="B2479" s="25" t="inlineStr">
        <is>
          <t>750ml</t>
        </is>
      </c>
    </row>
    <row r="2480">
      <c r="A2480" s="25" t="n">
        <v>40315</v>
      </c>
      <c r="B2480" s="25" t="inlineStr">
        <is>
          <t>1.75L</t>
        </is>
      </c>
    </row>
    <row r="2481">
      <c r="A2481" s="25" t="n">
        <v>35626</v>
      </c>
      <c r="B2481" s="25" t="inlineStr">
        <is>
          <t>750ml</t>
        </is>
      </c>
    </row>
    <row r="2482">
      <c r="A2482" s="25" t="n">
        <v>515856</v>
      </c>
      <c r="B2482" s="25" t="inlineStr">
        <is>
          <t>750ml</t>
        </is>
      </c>
    </row>
    <row r="2483">
      <c r="A2483" s="25" t="n">
        <v>75087</v>
      </c>
      <c r="B2483" s="25" t="inlineStr">
        <is>
          <t>1L</t>
        </is>
      </c>
    </row>
    <row r="2484">
      <c r="A2484" s="25" t="n">
        <v>591637</v>
      </c>
      <c r="B2484" s="25" t="inlineStr">
        <is>
          <t>750ml</t>
        </is>
      </c>
    </row>
    <row r="2485">
      <c r="A2485" s="25" t="n">
        <v>5329</v>
      </c>
      <c r="B2485" s="25" t="inlineStr">
        <is>
          <t>750ml</t>
        </is>
      </c>
    </row>
    <row r="2486">
      <c r="A2486" s="25" t="n">
        <v>567406</v>
      </c>
      <c r="B2486" s="25" t="inlineStr">
        <is>
          <t>750ml</t>
        </is>
      </c>
    </row>
    <row r="2487">
      <c r="A2487" s="25" t="n">
        <v>699</v>
      </c>
      <c r="B2487" s="25" t="inlineStr">
        <is>
          <t>750ml</t>
        </is>
      </c>
    </row>
    <row r="2488">
      <c r="A2488" s="25" t="n">
        <v>86771</v>
      </c>
      <c r="B2488" s="25" t="inlineStr">
        <is>
          <t>750ml</t>
        </is>
      </c>
    </row>
    <row r="2489">
      <c r="A2489" s="25" t="n">
        <v>80520</v>
      </c>
      <c r="B2489" s="25" t="inlineStr">
        <is>
          <t>750ml</t>
        </is>
      </c>
    </row>
    <row r="2490">
      <c r="A2490" s="25" t="n">
        <v>77239</v>
      </c>
      <c r="B2490" s="25" t="inlineStr">
        <is>
          <t>750ml</t>
        </is>
      </c>
    </row>
    <row r="2491">
      <c r="A2491" s="25" t="n">
        <v>579774</v>
      </c>
      <c r="B2491" s="25" t="inlineStr">
        <is>
          <t>750ml</t>
        </is>
      </c>
    </row>
    <row r="2492">
      <c r="A2492" s="25" t="n">
        <v>423249</v>
      </c>
      <c r="B2492" s="25" t="inlineStr">
        <is>
          <t>750ml</t>
        </is>
      </c>
    </row>
    <row r="2493">
      <c r="A2493" s="25" t="n">
        <v>101899</v>
      </c>
      <c r="B2493" s="25" t="inlineStr">
        <is>
          <t>750ml</t>
        </is>
      </c>
    </row>
    <row r="2494">
      <c r="A2494" s="25" t="n">
        <v>441977</v>
      </c>
      <c r="B2494" s="25" t="inlineStr">
        <is>
          <t>750ml</t>
        </is>
      </c>
    </row>
    <row r="2495">
      <c r="A2495" s="25" t="n">
        <v>520100</v>
      </c>
      <c r="B2495" s="25" t="inlineStr">
        <is>
          <t>750ml</t>
        </is>
      </c>
    </row>
    <row r="2496">
      <c r="A2496" s="25" t="n">
        <v>65126</v>
      </c>
      <c r="B2496" s="25" t="inlineStr">
        <is>
          <t>750ml</t>
        </is>
      </c>
    </row>
    <row r="2497">
      <c r="A2497" s="25" t="n">
        <v>40348</v>
      </c>
      <c r="B2497" s="25" t="inlineStr">
        <is>
          <t>1.75L</t>
        </is>
      </c>
    </row>
    <row r="2498">
      <c r="A2498" s="25" t="n">
        <v>34748</v>
      </c>
      <c r="B2498" s="25" t="inlineStr">
        <is>
          <t>1.75L</t>
        </is>
      </c>
    </row>
    <row r="2499">
      <c r="A2499" s="25" t="n">
        <v>28246</v>
      </c>
      <c r="B2499" s="25" t="inlineStr">
        <is>
          <t>750ml</t>
        </is>
      </c>
    </row>
    <row r="2500">
      <c r="A2500" s="25" t="n">
        <v>17919</v>
      </c>
      <c r="B2500" s="25" t="inlineStr">
        <is>
          <t>1.75L</t>
        </is>
      </c>
    </row>
    <row r="2501">
      <c r="A2501" s="25" t="n">
        <v>482610</v>
      </c>
      <c r="B2501" s="25" t="inlineStr">
        <is>
          <t>750ml</t>
        </is>
      </c>
    </row>
    <row r="2502">
      <c r="A2502" s="25" t="n">
        <v>88566</v>
      </c>
      <c r="B2502" s="25" t="inlineStr">
        <is>
          <t>750ml</t>
        </is>
      </c>
    </row>
    <row r="2503">
      <c r="A2503" s="25" t="n">
        <v>355805</v>
      </c>
      <c r="B2503" s="25" t="inlineStr">
        <is>
          <t>1.5L</t>
        </is>
      </c>
    </row>
    <row r="2504">
      <c r="A2504" s="25" t="n">
        <v>27171</v>
      </c>
      <c r="B2504" s="25" t="inlineStr">
        <is>
          <t>750ml</t>
        </is>
      </c>
    </row>
    <row r="2505">
      <c r="A2505" s="25" t="n">
        <v>419951</v>
      </c>
      <c r="B2505" s="25" t="inlineStr">
        <is>
          <t>750ml</t>
        </is>
      </c>
    </row>
    <row r="2506">
      <c r="A2506" s="25" t="n">
        <v>37552</v>
      </c>
      <c r="B2506" s="25" t="inlineStr">
        <is>
          <t>500ml</t>
        </is>
      </c>
    </row>
    <row r="2507">
      <c r="A2507" s="25" t="n">
        <v>483120</v>
      </c>
      <c r="B2507" s="25" t="inlineStr">
        <is>
          <t>1.5L</t>
        </is>
      </c>
    </row>
    <row r="2508">
      <c r="A2508" s="25" t="n">
        <v>768520</v>
      </c>
      <c r="B2508" s="25" t="inlineStr">
        <is>
          <t>750ml</t>
        </is>
      </c>
    </row>
    <row r="2509">
      <c r="A2509" s="25" t="n">
        <v>43691</v>
      </c>
      <c r="B2509" s="25" t="inlineStr">
        <is>
          <t>1L</t>
        </is>
      </c>
    </row>
    <row r="2510">
      <c r="A2510" s="25" t="n">
        <v>568910</v>
      </c>
      <c r="B2510" s="25" t="inlineStr">
        <is>
          <t>1.5L</t>
        </is>
      </c>
    </row>
    <row r="2511">
      <c r="A2511" s="25" t="n">
        <v>498866</v>
      </c>
      <c r="B2511" s="25" t="inlineStr">
        <is>
          <t>750ml</t>
        </is>
      </c>
    </row>
    <row r="2512">
      <c r="A2512" s="25" t="n">
        <v>632833</v>
      </c>
      <c r="B2512" s="25" t="inlineStr">
        <is>
          <t>750ml</t>
        </is>
      </c>
    </row>
    <row r="2513">
      <c r="A2513" s="25" t="n">
        <v>100596</v>
      </c>
      <c r="B2513" s="25" t="inlineStr">
        <is>
          <t>750ml</t>
        </is>
      </c>
    </row>
    <row r="2514">
      <c r="A2514" s="25" t="n">
        <v>54706</v>
      </c>
      <c r="B2514" s="25" t="inlineStr">
        <is>
          <t>750ml</t>
        </is>
      </c>
    </row>
    <row r="2515">
      <c r="A2515" s="25" t="n">
        <v>281240</v>
      </c>
      <c r="B2515" s="25" t="inlineStr">
        <is>
          <t>750ml</t>
        </is>
      </c>
    </row>
    <row r="2516">
      <c r="A2516" s="25" t="n">
        <v>8048</v>
      </c>
      <c r="B2516" s="25" t="inlineStr">
        <is>
          <t>1.75L</t>
        </is>
      </c>
    </row>
    <row r="2517">
      <c r="A2517" s="25" t="n">
        <v>89292</v>
      </c>
      <c r="B2517" s="25" t="inlineStr">
        <is>
          <t>750ml</t>
        </is>
      </c>
    </row>
    <row r="2518">
      <c r="A2518" s="25" t="n">
        <v>27551</v>
      </c>
      <c r="B2518" s="25" t="inlineStr">
        <is>
          <t>1.75L</t>
        </is>
      </c>
    </row>
    <row r="2519">
      <c r="A2519" s="25" t="n">
        <v>16517</v>
      </c>
      <c r="B2519" s="25" t="inlineStr">
        <is>
          <t>1L</t>
        </is>
      </c>
    </row>
    <row r="2520">
      <c r="A2520" s="25" t="n">
        <v>101791</v>
      </c>
      <c r="B2520" s="25" t="inlineStr">
        <is>
          <t>750ml</t>
        </is>
      </c>
    </row>
    <row r="2521">
      <c r="A2521" s="25" t="n">
        <v>18197</v>
      </c>
      <c r="B2521" s="25" t="inlineStr">
        <is>
          <t>1L</t>
        </is>
      </c>
    </row>
    <row r="2522">
      <c r="A2522" s="25" t="n">
        <v>42168</v>
      </c>
      <c r="B2522" s="25" t="inlineStr">
        <is>
          <t>1.75L</t>
        </is>
      </c>
    </row>
    <row r="2523">
      <c r="A2523" s="25" t="n">
        <v>410514</v>
      </c>
      <c r="B2523" s="25" t="inlineStr">
        <is>
          <t>1.5L</t>
        </is>
      </c>
    </row>
    <row r="2524">
      <c r="A2524" s="25" t="n">
        <v>467814</v>
      </c>
      <c r="B2524" s="25" t="inlineStr">
        <is>
          <t>750ml</t>
        </is>
      </c>
    </row>
    <row r="2525">
      <c r="A2525" s="25" t="n">
        <v>64774</v>
      </c>
      <c r="B2525" s="25" t="inlineStr">
        <is>
          <t>375ml</t>
        </is>
      </c>
    </row>
    <row r="2526">
      <c r="A2526" s="25" t="n">
        <v>86503</v>
      </c>
      <c r="B2526" s="25" t="inlineStr">
        <is>
          <t>750ml</t>
        </is>
      </c>
    </row>
    <row r="2527">
      <c r="A2527" s="25" t="n">
        <v>429976</v>
      </c>
      <c r="B2527" s="25" t="inlineStr">
        <is>
          <t>750ml</t>
        </is>
      </c>
    </row>
    <row r="2528">
      <c r="A2528" s="25" t="n">
        <v>68034</v>
      </c>
      <c r="B2528" s="25" t="inlineStr">
        <is>
          <t>375ml</t>
        </is>
      </c>
    </row>
    <row r="2529">
      <c r="A2529" s="25" t="n">
        <v>74142</v>
      </c>
      <c r="B2529" s="25" t="inlineStr">
        <is>
          <t>750ml</t>
        </is>
      </c>
    </row>
    <row r="2530">
      <c r="A2530" s="25" t="n">
        <v>487000</v>
      </c>
      <c r="B2530" s="25" t="inlineStr">
        <is>
          <t>750ml</t>
        </is>
      </c>
    </row>
    <row r="2531">
      <c r="A2531" s="25" t="n">
        <v>368410</v>
      </c>
      <c r="B2531" s="25" t="inlineStr">
        <is>
          <t>750ml</t>
        </is>
      </c>
    </row>
    <row r="2532">
      <c r="A2532" s="25" t="n">
        <v>297895</v>
      </c>
      <c r="B2532" s="25" t="inlineStr">
        <is>
          <t>750ml</t>
        </is>
      </c>
    </row>
    <row r="2533">
      <c r="A2533" s="25" t="n">
        <v>20372</v>
      </c>
      <c r="B2533" s="25" t="inlineStr">
        <is>
          <t>750ml</t>
        </is>
      </c>
    </row>
    <row r="2534">
      <c r="A2534" s="25" t="n">
        <v>64868</v>
      </c>
      <c r="B2534" s="25" t="inlineStr">
        <is>
          <t>1.75L</t>
        </is>
      </c>
    </row>
    <row r="2535">
      <c r="A2535" s="25" t="n">
        <v>462765</v>
      </c>
      <c r="B2535" s="25" t="inlineStr">
        <is>
          <t>750ml</t>
        </is>
      </c>
    </row>
    <row r="2536">
      <c r="A2536" s="25" t="n">
        <v>84248</v>
      </c>
      <c r="B2536" s="25" t="inlineStr">
        <is>
          <t>750ml</t>
        </is>
      </c>
    </row>
    <row r="2537">
      <c r="A2537" s="25" t="n">
        <v>99674</v>
      </c>
      <c r="B2537" s="25" t="inlineStr">
        <is>
          <t>750ml</t>
        </is>
      </c>
    </row>
    <row r="2538">
      <c r="A2538" s="25" t="n">
        <v>19226</v>
      </c>
      <c r="B2538" s="25" t="inlineStr">
        <is>
          <t>750ml</t>
        </is>
      </c>
    </row>
    <row r="2539">
      <c r="A2539" s="25" t="n">
        <v>87928</v>
      </c>
      <c r="B2539" s="25" t="inlineStr">
        <is>
          <t>750ml</t>
        </is>
      </c>
    </row>
    <row r="2540">
      <c r="A2540" s="25" t="n">
        <v>45886</v>
      </c>
      <c r="B2540" s="25" t="inlineStr">
        <is>
          <t>750ml</t>
        </is>
      </c>
    </row>
    <row r="2541">
      <c r="A2541" s="25" t="n">
        <v>37994</v>
      </c>
      <c r="B2541" s="25" t="inlineStr">
        <is>
          <t>375ml</t>
        </is>
      </c>
    </row>
    <row r="2542">
      <c r="A2542" s="25" t="n">
        <v>28465</v>
      </c>
      <c r="B2542" s="25" t="inlineStr">
        <is>
          <t>750ml</t>
        </is>
      </c>
    </row>
    <row r="2543">
      <c r="A2543" s="25" t="n">
        <v>729160</v>
      </c>
      <c r="B2543" s="25" t="inlineStr">
        <is>
          <t>1.5L</t>
        </is>
      </c>
    </row>
    <row r="2544">
      <c r="A2544" s="25" t="n">
        <v>562404</v>
      </c>
      <c r="B2544" s="25" t="inlineStr">
        <is>
          <t>750ml</t>
        </is>
      </c>
    </row>
    <row r="2545">
      <c r="A2545" s="25" t="n">
        <v>97764</v>
      </c>
      <c r="B2545" s="25" t="inlineStr">
        <is>
          <t>750ml</t>
        </is>
      </c>
    </row>
    <row r="2546">
      <c r="A2546" s="25" t="n">
        <v>642110</v>
      </c>
      <c r="B2546" s="25" t="inlineStr">
        <is>
          <t>750ml</t>
        </is>
      </c>
    </row>
    <row r="2547">
      <c r="A2547" s="25" t="n">
        <v>87725</v>
      </c>
      <c r="B2547" s="25" t="inlineStr">
        <is>
          <t>750ml</t>
        </is>
      </c>
    </row>
    <row r="2548">
      <c r="A2548" s="25" t="n">
        <v>450076</v>
      </c>
      <c r="B2548" s="25" t="inlineStr">
        <is>
          <t>750ml</t>
        </is>
      </c>
    </row>
    <row r="2549">
      <c r="A2549" s="25" t="n">
        <v>10807</v>
      </c>
      <c r="B2549" s="25" t="inlineStr">
        <is>
          <t>750ml</t>
        </is>
      </c>
    </row>
    <row r="2550">
      <c r="A2550" s="25" t="n">
        <v>475024</v>
      </c>
      <c r="B2550" s="25" t="inlineStr">
        <is>
          <t>750ml</t>
        </is>
      </c>
    </row>
    <row r="2551">
      <c r="A2551" s="25" t="n">
        <v>507497</v>
      </c>
      <c r="B2551" s="25" t="inlineStr">
        <is>
          <t>750ml</t>
        </is>
      </c>
    </row>
    <row r="2552">
      <c r="A2552" s="25" t="n">
        <v>42112</v>
      </c>
      <c r="B2552" s="25" t="inlineStr">
        <is>
          <t>1.75L</t>
        </is>
      </c>
    </row>
    <row r="2553">
      <c r="A2553" s="25" t="n">
        <v>401583</v>
      </c>
      <c r="B2553" s="25" t="inlineStr">
        <is>
          <t>1.75L</t>
        </is>
      </c>
    </row>
    <row r="2554">
      <c r="A2554" s="25" t="n">
        <v>467274</v>
      </c>
      <c r="B2554" s="25" t="inlineStr">
        <is>
          <t>750ml</t>
        </is>
      </c>
    </row>
    <row r="2555">
      <c r="A2555" s="25" t="n">
        <v>402536</v>
      </c>
      <c r="B2555" s="25" t="inlineStr">
        <is>
          <t>750ml</t>
        </is>
      </c>
    </row>
    <row r="2556">
      <c r="A2556" s="25" t="n">
        <v>499205</v>
      </c>
      <c r="B2556" s="25" t="inlineStr">
        <is>
          <t>750ml</t>
        </is>
      </c>
    </row>
    <row r="2557">
      <c r="A2557" s="25" t="n">
        <v>769505</v>
      </c>
      <c r="B2557" s="25" t="inlineStr">
        <is>
          <t>750ml</t>
        </is>
      </c>
    </row>
    <row r="2558">
      <c r="A2558" s="25" t="n">
        <v>508220</v>
      </c>
      <c r="B2558" s="25" t="inlineStr">
        <is>
          <t>750ml</t>
        </is>
      </c>
    </row>
    <row r="2559">
      <c r="A2559" s="25" t="n">
        <v>402911</v>
      </c>
      <c r="B2559" s="25" t="inlineStr">
        <is>
          <t>3L</t>
        </is>
      </c>
    </row>
    <row r="2560">
      <c r="A2560" s="25" t="n">
        <v>584052</v>
      </c>
      <c r="B2560" s="25" t="inlineStr">
        <is>
          <t>750ml</t>
        </is>
      </c>
    </row>
    <row r="2561">
      <c r="A2561" s="25" t="n">
        <v>282736</v>
      </c>
      <c r="B2561" s="25" t="inlineStr">
        <is>
          <t>750ml</t>
        </is>
      </c>
    </row>
    <row r="2562">
      <c r="A2562" s="25" t="n">
        <v>87110</v>
      </c>
      <c r="B2562" s="25" t="inlineStr">
        <is>
          <t>750ml</t>
        </is>
      </c>
    </row>
    <row r="2563">
      <c r="A2563" s="25" t="n">
        <v>253085</v>
      </c>
      <c r="B2563" s="25" t="inlineStr">
        <is>
          <t>750ml</t>
        </is>
      </c>
    </row>
    <row r="2564">
      <c r="A2564" s="25" t="n">
        <v>64741</v>
      </c>
      <c r="B2564" s="25" t="inlineStr">
        <is>
          <t>375ml</t>
        </is>
      </c>
    </row>
    <row r="2565">
      <c r="A2565" s="25" t="n">
        <v>450802</v>
      </c>
      <c r="B2565" s="25" t="inlineStr">
        <is>
          <t>1.5L</t>
        </is>
      </c>
    </row>
    <row r="2566">
      <c r="A2566" s="25" t="n">
        <v>86829</v>
      </c>
      <c r="B2566" s="25" t="inlineStr">
        <is>
          <t>50ml</t>
        </is>
      </c>
    </row>
    <row r="2567">
      <c r="A2567" s="25" t="n">
        <v>344830</v>
      </c>
      <c r="B2567" s="25" t="inlineStr">
        <is>
          <t>750ml</t>
        </is>
      </c>
    </row>
    <row r="2568">
      <c r="A2568" s="25" t="n">
        <v>43426</v>
      </c>
      <c r="B2568" s="25" t="inlineStr">
        <is>
          <t>750ml</t>
        </is>
      </c>
    </row>
    <row r="2569">
      <c r="A2569" s="25" t="n">
        <v>444110</v>
      </c>
      <c r="B2569" s="25" t="inlineStr">
        <is>
          <t>750ml</t>
        </is>
      </c>
    </row>
    <row r="2570">
      <c r="A2570" s="25" t="n">
        <v>809143</v>
      </c>
      <c r="B2570" s="25" t="inlineStr">
        <is>
          <t>1.5L</t>
        </is>
      </c>
    </row>
    <row r="2571">
      <c r="A2571" s="25" t="n">
        <v>87485</v>
      </c>
      <c r="B2571" s="25" t="inlineStr">
        <is>
          <t>750ml</t>
        </is>
      </c>
    </row>
    <row r="2572">
      <c r="A2572" s="25" t="n">
        <v>38841</v>
      </c>
      <c r="B2572" s="25" t="inlineStr">
        <is>
          <t>750ml</t>
        </is>
      </c>
    </row>
    <row r="2573">
      <c r="A2573" s="25" t="n">
        <v>98197</v>
      </c>
      <c r="B2573" s="25" t="inlineStr">
        <is>
          <t>750ml</t>
        </is>
      </c>
    </row>
    <row r="2574">
      <c r="A2574" s="25" t="n">
        <v>21227</v>
      </c>
      <c r="B2574" s="25" t="inlineStr">
        <is>
          <t>750ml</t>
        </is>
      </c>
    </row>
    <row r="2575">
      <c r="A2575" s="25" t="n">
        <v>458802</v>
      </c>
      <c r="B2575" s="25" t="inlineStr">
        <is>
          <t>750ml</t>
        </is>
      </c>
    </row>
    <row r="2576">
      <c r="A2576" s="25" t="n">
        <v>66997</v>
      </c>
      <c r="B2576" s="25" t="inlineStr">
        <is>
          <t>750ml</t>
        </is>
      </c>
    </row>
    <row r="2577">
      <c r="A2577" s="25" t="n">
        <v>32231</v>
      </c>
      <c r="B2577" s="25" t="inlineStr">
        <is>
          <t>50ml</t>
        </is>
      </c>
    </row>
    <row r="2578">
      <c r="A2578" s="25" t="n">
        <v>33708</v>
      </c>
      <c r="B2578" s="25" t="inlineStr">
        <is>
          <t>750ml</t>
        </is>
      </c>
    </row>
    <row r="2579">
      <c r="A2579" s="25" t="n">
        <v>548202</v>
      </c>
      <c r="B2579" s="25" t="inlineStr">
        <is>
          <t>1.5L</t>
        </is>
      </c>
    </row>
    <row r="2580">
      <c r="A2580" s="25" t="n">
        <v>88147</v>
      </c>
      <c r="B2580" s="25" t="inlineStr">
        <is>
          <t>1L</t>
        </is>
      </c>
    </row>
    <row r="2581">
      <c r="A2581" s="25" t="n">
        <v>559150</v>
      </c>
      <c r="B2581" s="25" t="inlineStr">
        <is>
          <t>750ml</t>
        </is>
      </c>
    </row>
    <row r="2582">
      <c r="A2582" s="25" t="n">
        <v>452710</v>
      </c>
      <c r="B2582" s="25" t="inlineStr">
        <is>
          <t>750ml</t>
        </is>
      </c>
    </row>
    <row r="2583">
      <c r="A2583" s="25" t="n">
        <v>776412</v>
      </c>
      <c r="B2583" s="25" t="inlineStr">
        <is>
          <t>750ml</t>
        </is>
      </c>
    </row>
    <row r="2584">
      <c r="A2584" s="25" t="n">
        <v>80004</v>
      </c>
      <c r="B2584" s="25" t="inlineStr">
        <is>
          <t>750ml</t>
        </is>
      </c>
    </row>
    <row r="2585">
      <c r="A2585" s="25" t="n">
        <v>429913</v>
      </c>
      <c r="B2585" s="25" t="inlineStr">
        <is>
          <t>750ml</t>
        </is>
      </c>
    </row>
    <row r="2586">
      <c r="A2586" s="25" t="n">
        <v>478122</v>
      </c>
      <c r="B2586" s="25" t="inlineStr">
        <is>
          <t>750ml</t>
        </is>
      </c>
    </row>
    <row r="2587">
      <c r="A2587" s="25" t="n">
        <v>551882</v>
      </c>
      <c r="B2587" s="25" t="inlineStr">
        <is>
          <t>1.5L</t>
        </is>
      </c>
    </row>
    <row r="2588">
      <c r="A2588" s="25" t="n">
        <v>565211</v>
      </c>
      <c r="B2588" s="25" t="inlineStr">
        <is>
          <t>1.5L</t>
        </is>
      </c>
    </row>
    <row r="2589">
      <c r="A2589" s="25" t="n">
        <v>47787</v>
      </c>
      <c r="B2589" s="25" t="inlineStr">
        <is>
          <t>1L</t>
        </is>
      </c>
    </row>
    <row r="2590">
      <c r="A2590" s="25" t="n">
        <v>80456</v>
      </c>
      <c r="B2590" s="25" t="inlineStr">
        <is>
          <t>750ml</t>
        </is>
      </c>
    </row>
    <row r="2591">
      <c r="A2591" s="25" t="n">
        <v>57120</v>
      </c>
      <c r="B2591" s="25" t="inlineStr">
        <is>
          <t>1.75L</t>
        </is>
      </c>
    </row>
    <row r="2592">
      <c r="A2592" s="25" t="n">
        <v>87402</v>
      </c>
      <c r="B2592" s="25" t="inlineStr">
        <is>
          <t>200ml</t>
        </is>
      </c>
    </row>
    <row r="2593">
      <c r="A2593" s="25" t="n">
        <v>460663</v>
      </c>
      <c r="B2593" s="25" t="inlineStr">
        <is>
          <t>750ml</t>
        </is>
      </c>
    </row>
    <row r="2594">
      <c r="A2594" s="25" t="n">
        <v>38847</v>
      </c>
      <c r="B2594" s="25" t="inlineStr">
        <is>
          <t>750ml</t>
        </is>
      </c>
    </row>
    <row r="2595">
      <c r="A2595" s="25" t="n">
        <v>464500</v>
      </c>
      <c r="B2595" s="25" t="inlineStr">
        <is>
          <t>750ml</t>
        </is>
      </c>
    </row>
    <row r="2596">
      <c r="A2596" s="25" t="n">
        <v>62061</v>
      </c>
      <c r="B2596" s="25" t="inlineStr">
        <is>
          <t>1.75L</t>
        </is>
      </c>
    </row>
    <row r="2597">
      <c r="A2597" s="25" t="n">
        <v>561930</v>
      </c>
      <c r="B2597" s="25" t="inlineStr">
        <is>
          <t>750ml</t>
        </is>
      </c>
    </row>
    <row r="2598">
      <c r="A2598" s="25" t="n">
        <v>26362</v>
      </c>
      <c r="B2598" s="25" t="inlineStr">
        <is>
          <t>750ml</t>
        </is>
      </c>
    </row>
    <row r="2599">
      <c r="A2599" s="25" t="n">
        <v>27861</v>
      </c>
      <c r="B2599" s="25" t="inlineStr">
        <is>
          <t>750ml</t>
        </is>
      </c>
    </row>
    <row r="2600">
      <c r="A2600" s="25" t="n">
        <v>82866</v>
      </c>
      <c r="B2600" s="25" t="inlineStr">
        <is>
          <t>750ml</t>
        </is>
      </c>
    </row>
    <row r="2601">
      <c r="A2601" s="25" t="n">
        <v>26729</v>
      </c>
      <c r="B2601" s="25" t="inlineStr">
        <is>
          <t>750ml</t>
        </is>
      </c>
    </row>
    <row r="2602">
      <c r="A2602" s="25" t="n">
        <v>11344</v>
      </c>
      <c r="B2602" s="25" t="inlineStr">
        <is>
          <t>375ml</t>
        </is>
      </c>
    </row>
    <row r="2603">
      <c r="A2603" s="25" t="n">
        <v>86845</v>
      </c>
      <c r="B2603" s="25" t="inlineStr">
        <is>
          <t>50ml</t>
        </is>
      </c>
    </row>
    <row r="2604">
      <c r="A2604" s="25" t="n">
        <v>73749</v>
      </c>
      <c r="B2604" s="25" t="inlineStr">
        <is>
          <t>750ml</t>
        </is>
      </c>
    </row>
    <row r="2605">
      <c r="A2605" s="25" t="n">
        <v>43086</v>
      </c>
      <c r="B2605" s="25" t="inlineStr">
        <is>
          <t>750ml</t>
        </is>
      </c>
    </row>
    <row r="2606">
      <c r="A2606" s="25" t="n">
        <v>39711</v>
      </c>
      <c r="B2606" s="25" t="inlineStr">
        <is>
          <t>1.75L</t>
        </is>
      </c>
    </row>
    <row r="2607">
      <c r="A2607" s="25" t="n">
        <v>888057</v>
      </c>
      <c r="B2607" s="25" t="inlineStr">
        <is>
          <t>3L</t>
        </is>
      </c>
    </row>
    <row r="2608">
      <c r="A2608" s="25" t="n">
        <v>40599</v>
      </c>
      <c r="B2608" s="25" t="inlineStr">
        <is>
          <t>750ml</t>
        </is>
      </c>
    </row>
    <row r="2609">
      <c r="A2609" s="25" t="n">
        <v>489383</v>
      </c>
      <c r="B2609" s="25" t="inlineStr">
        <is>
          <t>750ml</t>
        </is>
      </c>
    </row>
    <row r="2610">
      <c r="A2610" s="25" t="n">
        <v>574400</v>
      </c>
      <c r="B2610" s="25" t="inlineStr">
        <is>
          <t>750ml</t>
        </is>
      </c>
    </row>
    <row r="2611">
      <c r="A2611" s="25" t="n">
        <v>882311</v>
      </c>
      <c r="B2611" s="25" t="inlineStr">
        <is>
          <t>750ml</t>
        </is>
      </c>
    </row>
    <row r="2612">
      <c r="A2612" s="25" t="n">
        <v>86751</v>
      </c>
      <c r="B2612" s="25" t="inlineStr">
        <is>
          <t>750ml</t>
        </is>
      </c>
    </row>
    <row r="2613">
      <c r="A2613" s="25" t="n">
        <v>35818</v>
      </c>
      <c r="B2613" s="25" t="inlineStr">
        <is>
          <t>1.75L</t>
        </is>
      </c>
    </row>
    <row r="2614">
      <c r="A2614" s="25" t="n">
        <v>86251</v>
      </c>
      <c r="B2614" s="25" t="inlineStr">
        <is>
          <t>1L</t>
        </is>
      </c>
    </row>
    <row r="2615">
      <c r="A2615" s="25" t="n">
        <v>39317</v>
      </c>
      <c r="B2615" s="25" t="inlineStr">
        <is>
          <t>750ml</t>
        </is>
      </c>
    </row>
    <row r="2616">
      <c r="A2616" s="25" t="n">
        <v>418710</v>
      </c>
      <c r="B2616" s="25" t="inlineStr">
        <is>
          <t>750ml</t>
        </is>
      </c>
    </row>
    <row r="2617">
      <c r="A2617" s="25" t="n">
        <v>84222</v>
      </c>
      <c r="B2617" s="25" t="inlineStr">
        <is>
          <t>50ml</t>
        </is>
      </c>
    </row>
    <row r="2618">
      <c r="A2618" s="25" t="n">
        <v>78257</v>
      </c>
      <c r="B2618" s="25" t="inlineStr">
        <is>
          <t>750ml</t>
        </is>
      </c>
    </row>
    <row r="2619">
      <c r="A2619" s="25" t="n">
        <v>19880</v>
      </c>
      <c r="B2619" s="25" t="inlineStr">
        <is>
          <t>750ml</t>
        </is>
      </c>
    </row>
    <row r="2620">
      <c r="A2620" s="25" t="n">
        <v>33658</v>
      </c>
      <c r="B2620" s="25" t="inlineStr">
        <is>
          <t>750ml</t>
        </is>
      </c>
    </row>
    <row r="2621">
      <c r="A2621" s="25" t="n">
        <v>39310</v>
      </c>
      <c r="B2621" s="25" t="inlineStr">
        <is>
          <t>750ml</t>
        </is>
      </c>
    </row>
    <row r="2622">
      <c r="A2622" s="25" t="n">
        <v>37588</v>
      </c>
      <c r="B2622" s="25" t="inlineStr">
        <is>
          <t>1.75L</t>
        </is>
      </c>
    </row>
    <row r="2623">
      <c r="A2623" s="25" t="n">
        <v>561020</v>
      </c>
      <c r="B2623" s="25" t="inlineStr">
        <is>
          <t>3L</t>
        </is>
      </c>
    </row>
    <row r="2624">
      <c r="A2624" s="25" t="n">
        <v>424386</v>
      </c>
      <c r="B2624" s="25" t="inlineStr">
        <is>
          <t>750ml</t>
        </is>
      </c>
    </row>
    <row r="2625">
      <c r="A2625" s="25" t="n">
        <v>478100</v>
      </c>
      <c r="B2625" s="25" t="inlineStr">
        <is>
          <t>750ml</t>
        </is>
      </c>
    </row>
    <row r="2626">
      <c r="A2626" s="25" t="n">
        <v>71828</v>
      </c>
      <c r="B2626" s="25" t="inlineStr">
        <is>
          <t>1.75L</t>
        </is>
      </c>
    </row>
    <row r="2627">
      <c r="A2627" s="25" t="n">
        <v>39886</v>
      </c>
      <c r="B2627" s="25" t="inlineStr">
        <is>
          <t>750ml</t>
        </is>
      </c>
    </row>
    <row r="2628">
      <c r="A2628" s="25" t="n">
        <v>34713</v>
      </c>
      <c r="B2628" s="25" t="inlineStr">
        <is>
          <t>750ml</t>
        </is>
      </c>
    </row>
    <row r="2629">
      <c r="A2629" s="25" t="n">
        <v>10625</v>
      </c>
      <c r="B2629" s="25" t="inlineStr">
        <is>
          <t>750ml</t>
        </is>
      </c>
    </row>
    <row r="2630">
      <c r="A2630" s="25" t="n">
        <v>16098</v>
      </c>
      <c r="B2630" s="25" t="inlineStr">
        <is>
          <t>1.75L</t>
        </is>
      </c>
    </row>
    <row r="2631">
      <c r="A2631" s="25" t="n">
        <v>25601</v>
      </c>
      <c r="B2631" s="25" t="inlineStr">
        <is>
          <t>50ml</t>
        </is>
      </c>
    </row>
    <row r="2632">
      <c r="A2632" s="25" t="n">
        <v>355605</v>
      </c>
      <c r="B2632" s="25" t="inlineStr">
        <is>
          <t>1.5L</t>
        </is>
      </c>
    </row>
    <row r="2633">
      <c r="A2633" s="25" t="n">
        <v>671530</v>
      </c>
      <c r="B2633" s="25" t="inlineStr">
        <is>
          <t>750ml</t>
        </is>
      </c>
    </row>
    <row r="2634">
      <c r="A2634" s="25" t="n">
        <v>403620</v>
      </c>
      <c r="B2634" s="25" t="inlineStr">
        <is>
          <t>750ml</t>
        </is>
      </c>
    </row>
    <row r="2635">
      <c r="A2635" s="25" t="n">
        <v>633753</v>
      </c>
      <c r="B2635" s="25" t="inlineStr">
        <is>
          <t>1.5L</t>
        </is>
      </c>
    </row>
    <row r="2636">
      <c r="A2636" s="25" t="n">
        <v>47869</v>
      </c>
      <c r="B2636" s="25" t="inlineStr">
        <is>
          <t>750ml</t>
        </is>
      </c>
    </row>
    <row r="2637">
      <c r="A2637" s="25" t="n">
        <v>475048</v>
      </c>
      <c r="B2637" s="25" t="inlineStr">
        <is>
          <t>750ml</t>
        </is>
      </c>
    </row>
    <row r="2638">
      <c r="A2638" s="25" t="n">
        <v>89242</v>
      </c>
      <c r="B2638" s="25" t="inlineStr">
        <is>
          <t>750ml</t>
        </is>
      </c>
    </row>
    <row r="2639">
      <c r="A2639" s="25" t="n">
        <v>380150</v>
      </c>
      <c r="B2639" s="25" t="inlineStr">
        <is>
          <t>750ml</t>
        </is>
      </c>
    </row>
    <row r="2640">
      <c r="A2640" s="25" t="n">
        <v>28279</v>
      </c>
      <c r="B2640" s="25" t="inlineStr">
        <is>
          <t>750ml</t>
        </is>
      </c>
    </row>
    <row r="2641">
      <c r="A2641" s="25" t="n">
        <v>809118</v>
      </c>
      <c r="B2641" s="25" t="inlineStr">
        <is>
          <t>750ml</t>
        </is>
      </c>
    </row>
    <row r="2642">
      <c r="A2642" s="25" t="n">
        <v>76227</v>
      </c>
      <c r="B2642" s="25" t="inlineStr">
        <is>
          <t>1L</t>
        </is>
      </c>
    </row>
    <row r="2643">
      <c r="A2643" s="25" t="n">
        <v>89204</v>
      </c>
      <c r="B2643" s="25" t="inlineStr">
        <is>
          <t>375ml</t>
        </is>
      </c>
    </row>
    <row r="2644">
      <c r="A2644" s="25" t="n">
        <v>12886</v>
      </c>
      <c r="B2644" s="25" t="inlineStr">
        <is>
          <t>750ml</t>
        </is>
      </c>
    </row>
    <row r="2645">
      <c r="A2645" s="25" t="n">
        <v>809119</v>
      </c>
      <c r="B2645" s="25" t="inlineStr">
        <is>
          <t>1.5L</t>
        </is>
      </c>
    </row>
    <row r="2646">
      <c r="A2646" s="25" t="n">
        <v>279612</v>
      </c>
      <c r="B2646" s="25" t="inlineStr">
        <is>
          <t>750ml</t>
        </is>
      </c>
    </row>
    <row r="2647">
      <c r="A2647" s="25" t="n">
        <v>13638</v>
      </c>
      <c r="B2647" s="25" t="inlineStr">
        <is>
          <t>1.75L</t>
        </is>
      </c>
    </row>
    <row r="2648">
      <c r="A2648" s="25" t="n">
        <v>16396</v>
      </c>
      <c r="B2648" s="25" t="inlineStr">
        <is>
          <t>750ml</t>
        </is>
      </c>
    </row>
    <row r="2649">
      <c r="A2649" s="25" t="n">
        <v>64636</v>
      </c>
      <c r="B2649" s="25" t="inlineStr">
        <is>
          <t>750ml</t>
        </is>
      </c>
    </row>
    <row r="2650">
      <c r="A2650" s="25" t="n">
        <v>87025</v>
      </c>
      <c r="B2650" s="25" t="inlineStr">
        <is>
          <t>750ml</t>
        </is>
      </c>
    </row>
    <row r="2651">
      <c r="A2651" s="25" t="n">
        <v>429963</v>
      </c>
      <c r="B2651" s="25" t="inlineStr">
        <is>
          <t>750ml</t>
        </is>
      </c>
    </row>
    <row r="2652">
      <c r="A2652" s="25" t="n">
        <v>463188</v>
      </c>
      <c r="B2652" s="25" t="inlineStr">
        <is>
          <t>750ml</t>
        </is>
      </c>
    </row>
    <row r="2653">
      <c r="A2653" s="25" t="n">
        <v>467278</v>
      </c>
      <c r="B2653" s="25" t="inlineStr">
        <is>
          <t>750ml</t>
        </is>
      </c>
    </row>
    <row r="2654">
      <c r="A2654" s="25" t="n">
        <v>32650</v>
      </c>
      <c r="B2654" s="25" t="inlineStr">
        <is>
          <t>750ml</t>
        </is>
      </c>
    </row>
    <row r="2655">
      <c r="A2655" s="25" t="n">
        <v>47861</v>
      </c>
      <c r="B2655" s="25" t="inlineStr">
        <is>
          <t>200ml</t>
        </is>
      </c>
    </row>
    <row r="2656">
      <c r="A2656" s="25" t="n">
        <v>809153</v>
      </c>
      <c r="B2656" s="25" t="inlineStr">
        <is>
          <t>1.5L</t>
        </is>
      </c>
    </row>
    <row r="2657">
      <c r="A2657" s="25" t="n">
        <v>73054</v>
      </c>
      <c r="B2657" s="25" t="inlineStr">
        <is>
          <t>1.75L</t>
        </is>
      </c>
    </row>
    <row r="2658">
      <c r="A2658" s="25" t="n">
        <v>415423</v>
      </c>
      <c r="B2658" s="25" t="inlineStr">
        <is>
          <t>750ml</t>
        </is>
      </c>
    </row>
    <row r="2659">
      <c r="A2659" s="25" t="n">
        <v>477801</v>
      </c>
      <c r="B2659" s="25" t="inlineStr">
        <is>
          <t>750ml</t>
        </is>
      </c>
    </row>
    <row r="2660">
      <c r="A2660" s="25" t="n">
        <v>285930</v>
      </c>
      <c r="B2660" s="25" t="inlineStr">
        <is>
          <t>750ml</t>
        </is>
      </c>
    </row>
    <row r="2661">
      <c r="A2661" s="25" t="n">
        <v>21597</v>
      </c>
      <c r="B2661" s="25" t="inlineStr">
        <is>
          <t>1L</t>
        </is>
      </c>
    </row>
    <row r="2662">
      <c r="A2662" s="25" t="n">
        <v>58837</v>
      </c>
      <c r="B2662" s="25" t="inlineStr">
        <is>
          <t>375ml</t>
        </is>
      </c>
    </row>
    <row r="2663">
      <c r="A2663" s="25" t="n">
        <v>19096</v>
      </c>
      <c r="B2663" s="25" t="inlineStr">
        <is>
          <t>750ml</t>
        </is>
      </c>
    </row>
    <row r="2664">
      <c r="A2664" s="25" t="n">
        <v>368804</v>
      </c>
      <c r="B2664" s="25" t="inlineStr">
        <is>
          <t>750ml</t>
        </is>
      </c>
    </row>
    <row r="2665">
      <c r="A2665" s="25" t="n">
        <v>36871</v>
      </c>
      <c r="B2665" s="25" t="inlineStr">
        <is>
          <t>750ml</t>
        </is>
      </c>
    </row>
    <row r="2666">
      <c r="A2666" s="25" t="n">
        <v>723720</v>
      </c>
      <c r="B2666" s="25" t="inlineStr">
        <is>
          <t>750ml</t>
        </is>
      </c>
    </row>
    <row r="2667">
      <c r="A2667" s="25" t="n">
        <v>4725</v>
      </c>
      <c r="B2667" s="25" t="inlineStr">
        <is>
          <t>375ml</t>
        </is>
      </c>
    </row>
    <row r="2668">
      <c r="A2668" s="25" t="n">
        <v>22120</v>
      </c>
      <c r="B2668" s="25" t="inlineStr">
        <is>
          <t>375ml</t>
        </is>
      </c>
    </row>
    <row r="2669">
      <c r="A2669" s="25" t="n">
        <v>63886</v>
      </c>
      <c r="B2669" s="25" t="inlineStr">
        <is>
          <t>355ml</t>
        </is>
      </c>
    </row>
    <row r="2670">
      <c r="A2670" s="25" t="n">
        <v>57158</v>
      </c>
      <c r="B2670" s="25" t="inlineStr">
        <is>
          <t>1.75L</t>
        </is>
      </c>
    </row>
    <row r="2671">
      <c r="A2671" s="25" t="n">
        <v>638088</v>
      </c>
      <c r="B2671" s="25" t="inlineStr">
        <is>
          <t>750ml</t>
        </is>
      </c>
    </row>
    <row r="2672">
      <c r="A2672" s="25" t="n">
        <v>10008</v>
      </c>
      <c r="B2672" s="25" t="inlineStr">
        <is>
          <t>1.75L</t>
        </is>
      </c>
    </row>
    <row r="2673">
      <c r="A2673" s="25" t="n">
        <v>15829</v>
      </c>
      <c r="B2673" s="25" t="inlineStr">
        <is>
          <t>375ml</t>
        </is>
      </c>
    </row>
    <row r="2674">
      <c r="A2674" s="25" t="n">
        <v>643031</v>
      </c>
      <c r="B2674" s="25" t="inlineStr">
        <is>
          <t>750ml</t>
        </is>
      </c>
    </row>
    <row r="2675">
      <c r="A2675" s="25" t="n">
        <v>471850</v>
      </c>
      <c r="B2675" s="25" t="inlineStr">
        <is>
          <t>750ml</t>
        </is>
      </c>
    </row>
    <row r="2676">
      <c r="A2676" s="25" t="n">
        <v>87506</v>
      </c>
      <c r="B2676" s="25" t="inlineStr">
        <is>
          <t>750ml</t>
        </is>
      </c>
    </row>
    <row r="2677">
      <c r="A2677" s="25" t="n">
        <v>34364</v>
      </c>
      <c r="B2677" s="25" t="inlineStr">
        <is>
          <t>375ml</t>
        </is>
      </c>
    </row>
    <row r="2678">
      <c r="A2678" s="25" t="n">
        <v>16621</v>
      </c>
      <c r="B2678" s="25" t="inlineStr">
        <is>
          <t>1L</t>
        </is>
      </c>
    </row>
    <row r="2679">
      <c r="A2679" s="25" t="n">
        <v>416830</v>
      </c>
      <c r="B2679" s="25" t="inlineStr">
        <is>
          <t>750ml</t>
        </is>
      </c>
    </row>
    <row r="2680">
      <c r="A2680" s="25" t="n">
        <v>101257</v>
      </c>
      <c r="B2680" s="25" t="inlineStr">
        <is>
          <t>375ml</t>
        </is>
      </c>
    </row>
    <row r="2681">
      <c r="A2681" s="25" t="n">
        <v>35213</v>
      </c>
      <c r="B2681" s="25" t="inlineStr">
        <is>
          <t>1.75L</t>
        </is>
      </c>
    </row>
    <row r="2682">
      <c r="A2682" s="25" t="n">
        <v>589296</v>
      </c>
      <c r="B2682" s="25" t="inlineStr">
        <is>
          <t>750ml</t>
        </is>
      </c>
    </row>
    <row r="2683">
      <c r="A2683" s="25" t="n">
        <v>480015</v>
      </c>
      <c r="B2683" s="25" t="inlineStr">
        <is>
          <t>750ml</t>
        </is>
      </c>
    </row>
    <row r="2684">
      <c r="A2684" s="25" t="n">
        <v>88372</v>
      </c>
      <c r="B2684" s="25" t="inlineStr">
        <is>
          <t>750ml</t>
        </is>
      </c>
    </row>
    <row r="2685">
      <c r="A2685" s="25" t="n">
        <v>64716</v>
      </c>
      <c r="B2685" s="25" t="inlineStr">
        <is>
          <t>750ml</t>
        </is>
      </c>
    </row>
    <row r="2686">
      <c r="A2686" s="25" t="n">
        <v>77330</v>
      </c>
      <c r="B2686" s="25" t="inlineStr">
        <is>
          <t>750ml</t>
        </is>
      </c>
    </row>
    <row r="2687">
      <c r="A2687" s="25" t="n">
        <v>101871</v>
      </c>
      <c r="B2687" s="25" t="inlineStr">
        <is>
          <t>200ml</t>
        </is>
      </c>
    </row>
    <row r="2688">
      <c r="A2688" s="25" t="n">
        <v>41008</v>
      </c>
      <c r="B2688" s="25" t="inlineStr">
        <is>
          <t>1.75L</t>
        </is>
      </c>
    </row>
    <row r="2689">
      <c r="A2689" s="25" t="n">
        <v>369105</v>
      </c>
      <c r="B2689" s="25" t="inlineStr">
        <is>
          <t>750ml</t>
        </is>
      </c>
    </row>
    <row r="2690">
      <c r="A2690" s="25" t="n">
        <v>882300</v>
      </c>
      <c r="B2690" s="25" t="inlineStr">
        <is>
          <t>4L</t>
        </is>
      </c>
    </row>
    <row r="2691">
      <c r="A2691" s="25" t="n">
        <v>498020</v>
      </c>
      <c r="B2691" s="25" t="inlineStr">
        <is>
          <t>750ml</t>
        </is>
      </c>
    </row>
    <row r="2692">
      <c r="A2692" s="25" t="n">
        <v>101391</v>
      </c>
      <c r="B2692" s="25" t="inlineStr">
        <is>
          <t>750ml</t>
        </is>
      </c>
    </row>
    <row r="2693">
      <c r="A2693" s="25" t="n">
        <v>26249</v>
      </c>
      <c r="B2693" s="25" t="inlineStr">
        <is>
          <t>750ml</t>
        </is>
      </c>
    </row>
    <row r="2694">
      <c r="A2694" s="25" t="n">
        <v>28866</v>
      </c>
      <c r="B2694" s="25" t="inlineStr">
        <is>
          <t>750ml</t>
        </is>
      </c>
    </row>
    <row r="2695">
      <c r="A2695" s="25" t="n">
        <v>617503</v>
      </c>
      <c r="B2695" s="25" t="inlineStr">
        <is>
          <t>750ml</t>
        </is>
      </c>
    </row>
    <row r="2696">
      <c r="A2696" s="25" t="n">
        <v>4868</v>
      </c>
      <c r="B2696" s="25" t="inlineStr">
        <is>
          <t>1.75L</t>
        </is>
      </c>
    </row>
    <row r="2697">
      <c r="A2697" s="25" t="n">
        <v>498109</v>
      </c>
      <c r="B2697" s="25" t="inlineStr">
        <is>
          <t>187ml</t>
        </is>
      </c>
    </row>
    <row r="2698">
      <c r="A2698" s="25" t="n">
        <v>33467</v>
      </c>
      <c r="B2698" s="25" t="inlineStr">
        <is>
          <t>750ml</t>
        </is>
      </c>
    </row>
    <row r="2699">
      <c r="A2699" s="25" t="n">
        <v>424320</v>
      </c>
      <c r="B2699" s="25" t="inlineStr">
        <is>
          <t>750ml</t>
        </is>
      </c>
    </row>
    <row r="2700">
      <c r="A2700" s="25" t="n">
        <v>589375</v>
      </c>
      <c r="B2700" s="25" t="inlineStr">
        <is>
          <t>750ml</t>
        </is>
      </c>
    </row>
    <row r="2701">
      <c r="A2701" s="25" t="n">
        <v>445105</v>
      </c>
      <c r="B2701" s="25" t="inlineStr">
        <is>
          <t>750ml</t>
        </is>
      </c>
    </row>
    <row r="2702">
      <c r="A2702" s="25" t="n">
        <v>632855</v>
      </c>
      <c r="B2702" s="25" t="inlineStr">
        <is>
          <t>750ml</t>
        </is>
      </c>
    </row>
    <row r="2703">
      <c r="A2703" s="25" t="n">
        <v>100737</v>
      </c>
      <c r="B2703" s="25" t="inlineStr">
        <is>
          <t>750ml</t>
        </is>
      </c>
    </row>
    <row r="2704">
      <c r="A2704" s="25" t="n">
        <v>62116</v>
      </c>
      <c r="B2704" s="25" t="inlineStr">
        <is>
          <t>750ml</t>
        </is>
      </c>
    </row>
    <row r="2705">
      <c r="A2705" s="25" t="n">
        <v>812790</v>
      </c>
      <c r="B2705" s="25" t="inlineStr">
        <is>
          <t>1.5L</t>
        </is>
      </c>
    </row>
    <row r="2706">
      <c r="A2706" s="25" t="n">
        <v>87700</v>
      </c>
      <c r="B2706" s="25" t="inlineStr">
        <is>
          <t>750ml</t>
        </is>
      </c>
    </row>
    <row r="2707">
      <c r="A2707" s="25" t="n">
        <v>62623</v>
      </c>
      <c r="B2707" s="25" t="inlineStr">
        <is>
          <t>355ml</t>
        </is>
      </c>
    </row>
    <row r="2708">
      <c r="A2708" s="25" t="n">
        <v>100104</v>
      </c>
      <c r="B2708" s="25" t="inlineStr">
        <is>
          <t>750ml</t>
        </is>
      </c>
    </row>
    <row r="2709">
      <c r="A2709" s="25" t="n">
        <v>735156</v>
      </c>
      <c r="B2709" s="25" t="inlineStr">
        <is>
          <t>750ml</t>
        </is>
      </c>
    </row>
    <row r="2710">
      <c r="A2710" s="25" t="n">
        <v>88363</v>
      </c>
      <c r="B2710" s="25" t="inlineStr">
        <is>
          <t>750ml</t>
        </is>
      </c>
    </row>
    <row r="2711">
      <c r="A2711" s="25" t="n">
        <v>637648</v>
      </c>
      <c r="B2711" s="25" t="inlineStr">
        <is>
          <t>750ml</t>
        </is>
      </c>
    </row>
    <row r="2712">
      <c r="A2712" s="25" t="n">
        <v>348205</v>
      </c>
      <c r="B2712" s="25" t="inlineStr">
        <is>
          <t>1.5L</t>
        </is>
      </c>
    </row>
    <row r="2713">
      <c r="A2713" s="25" t="n">
        <v>84396</v>
      </c>
      <c r="B2713" s="25" t="inlineStr">
        <is>
          <t>750ml</t>
        </is>
      </c>
    </row>
    <row r="2714">
      <c r="A2714" s="25" t="n">
        <v>37052</v>
      </c>
      <c r="B2714" s="25" t="inlineStr">
        <is>
          <t>1.75L</t>
        </is>
      </c>
    </row>
    <row r="2715">
      <c r="A2715" s="25" t="n">
        <v>463470</v>
      </c>
      <c r="B2715" s="25" t="inlineStr">
        <is>
          <t>750ml</t>
        </is>
      </c>
    </row>
    <row r="2716">
      <c r="A2716" s="25" t="n">
        <v>592500</v>
      </c>
      <c r="B2716" s="25" t="inlineStr">
        <is>
          <t>750ml</t>
        </is>
      </c>
    </row>
    <row r="2717">
      <c r="A2717" s="25" t="n">
        <v>41320</v>
      </c>
      <c r="B2717" s="25" t="inlineStr">
        <is>
          <t>750ml</t>
        </is>
      </c>
    </row>
    <row r="2718">
      <c r="A2718" s="25" t="n">
        <v>814578</v>
      </c>
      <c r="B2718" s="25" t="inlineStr">
        <is>
          <t>5L</t>
        </is>
      </c>
    </row>
    <row r="2719">
      <c r="A2719" s="25" t="n">
        <v>26820</v>
      </c>
      <c r="B2719" s="25" t="inlineStr">
        <is>
          <t>375ml</t>
        </is>
      </c>
    </row>
    <row r="2720">
      <c r="A2720" s="25" t="n">
        <v>383950</v>
      </c>
      <c r="B2720" s="25" t="inlineStr">
        <is>
          <t>750ml</t>
        </is>
      </c>
    </row>
    <row r="2721">
      <c r="A2721" s="25" t="n">
        <v>64058</v>
      </c>
      <c r="B2721" s="25" t="inlineStr">
        <is>
          <t>375ml</t>
        </is>
      </c>
    </row>
    <row r="2722">
      <c r="A2722" s="25" t="n">
        <v>36649</v>
      </c>
      <c r="B2722" s="25" t="inlineStr">
        <is>
          <t>750ml</t>
        </is>
      </c>
    </row>
    <row r="2723">
      <c r="A2723" s="25" t="n">
        <v>544115</v>
      </c>
      <c r="B2723" s="25" t="inlineStr">
        <is>
          <t>750ml</t>
        </is>
      </c>
    </row>
    <row r="2724">
      <c r="A2724" s="25" t="n">
        <v>27102</v>
      </c>
      <c r="B2724" s="25" t="inlineStr">
        <is>
          <t>750ml</t>
        </is>
      </c>
    </row>
    <row r="2725">
      <c r="A2725" s="25" t="n">
        <v>39381</v>
      </c>
      <c r="B2725" s="25" t="inlineStr">
        <is>
          <t>200ml</t>
        </is>
      </c>
    </row>
    <row r="2726">
      <c r="A2726" s="25" t="n">
        <v>465568</v>
      </c>
      <c r="B2726" s="25" t="inlineStr">
        <is>
          <t>750ml</t>
        </is>
      </c>
    </row>
    <row r="2727">
      <c r="A2727" s="25" t="n">
        <v>74486</v>
      </c>
      <c r="B2727" s="25" t="inlineStr">
        <is>
          <t>750ml</t>
        </is>
      </c>
    </row>
    <row r="2728">
      <c r="A2728" s="25" t="n">
        <v>77786</v>
      </c>
      <c r="B2728" s="25" t="inlineStr">
        <is>
          <t>750ml</t>
        </is>
      </c>
    </row>
    <row r="2729">
      <c r="A2729" s="25" t="n">
        <v>45217</v>
      </c>
      <c r="B2729" s="25" t="inlineStr">
        <is>
          <t>1L</t>
        </is>
      </c>
    </row>
    <row r="2730">
      <c r="A2730" s="25" t="n">
        <v>20248</v>
      </c>
      <c r="B2730" s="25" t="inlineStr">
        <is>
          <t>1.75L</t>
        </is>
      </c>
    </row>
    <row r="2731">
      <c r="A2731" s="25" t="n">
        <v>35087</v>
      </c>
      <c r="B2731" s="25" t="inlineStr">
        <is>
          <t>1L</t>
        </is>
      </c>
    </row>
    <row r="2732">
      <c r="A2732" s="25" t="n">
        <v>463200</v>
      </c>
      <c r="B2732" s="25" t="inlineStr">
        <is>
          <t>750ml</t>
        </is>
      </c>
    </row>
    <row r="2733">
      <c r="A2733" s="25" t="n">
        <v>40928</v>
      </c>
      <c r="B2733" s="25" t="inlineStr">
        <is>
          <t>1.75L</t>
        </is>
      </c>
    </row>
    <row r="2734">
      <c r="A2734" s="25" t="n">
        <v>86239</v>
      </c>
      <c r="B2734" s="25" t="inlineStr">
        <is>
          <t>750ml</t>
        </is>
      </c>
    </row>
    <row r="2735">
      <c r="A2735" s="25" t="n">
        <v>26378</v>
      </c>
      <c r="B2735" s="25" t="inlineStr">
        <is>
          <t>750ml</t>
        </is>
      </c>
    </row>
    <row r="2736">
      <c r="A2736" s="25" t="n">
        <v>82846</v>
      </c>
      <c r="B2736" s="25" t="inlineStr">
        <is>
          <t>750ml</t>
        </is>
      </c>
    </row>
    <row r="2737">
      <c r="A2737" s="25" t="n">
        <v>11297</v>
      </c>
      <c r="B2737" s="25" t="inlineStr">
        <is>
          <t>1L</t>
        </is>
      </c>
    </row>
    <row r="2738">
      <c r="A2738" s="25" t="n">
        <v>48016</v>
      </c>
      <c r="B2738" s="25" t="inlineStr">
        <is>
          <t>750ml</t>
        </is>
      </c>
    </row>
    <row r="2739">
      <c r="A2739" s="25" t="n">
        <v>34032</v>
      </c>
      <c r="B2739" s="25" t="inlineStr">
        <is>
          <t>1.75L</t>
        </is>
      </c>
    </row>
    <row r="2740">
      <c r="A2740" s="25" t="n">
        <v>471240</v>
      </c>
      <c r="B2740" s="25" t="inlineStr">
        <is>
          <t>750ml</t>
        </is>
      </c>
    </row>
    <row r="2741">
      <c r="A2741" s="25" t="n">
        <v>479345</v>
      </c>
      <c r="B2741" s="25" t="inlineStr">
        <is>
          <t>750ml</t>
        </is>
      </c>
    </row>
    <row r="2742">
      <c r="A2742" s="25" t="n">
        <v>745607</v>
      </c>
      <c r="B2742" s="25" t="inlineStr">
        <is>
          <t>750ml</t>
        </is>
      </c>
    </row>
    <row r="2743">
      <c r="A2743" s="25" t="n">
        <v>809148</v>
      </c>
      <c r="B2743" s="25" t="inlineStr">
        <is>
          <t>750ml</t>
        </is>
      </c>
    </row>
    <row r="2744">
      <c r="A2744" s="25" t="n">
        <v>608745</v>
      </c>
      <c r="B2744" s="25" t="inlineStr">
        <is>
          <t>750ml</t>
        </is>
      </c>
    </row>
    <row r="2745">
      <c r="A2745" s="25" t="n">
        <v>513645</v>
      </c>
      <c r="B2745" s="25" t="inlineStr">
        <is>
          <t>750ml</t>
        </is>
      </c>
    </row>
    <row r="2746">
      <c r="A2746" s="25" t="n">
        <v>288244</v>
      </c>
      <c r="B2746" s="25" t="inlineStr">
        <is>
          <t>750ml</t>
        </is>
      </c>
    </row>
    <row r="2747">
      <c r="A2747" s="25" t="n">
        <v>89268</v>
      </c>
      <c r="B2747" s="25" t="inlineStr">
        <is>
          <t>1.75L</t>
        </is>
      </c>
    </row>
    <row r="2748">
      <c r="A2748" s="25" t="n">
        <v>77232</v>
      </c>
      <c r="B2748" s="25" t="inlineStr">
        <is>
          <t>750ml</t>
        </is>
      </c>
    </row>
    <row r="2749">
      <c r="A2749" s="25" t="n">
        <v>515939</v>
      </c>
      <c r="B2749" s="25" t="inlineStr">
        <is>
          <t>750ml</t>
        </is>
      </c>
    </row>
    <row r="2750">
      <c r="A2750" s="25" t="n">
        <v>359592</v>
      </c>
      <c r="B2750" s="25" t="inlineStr">
        <is>
          <t>750ml</t>
        </is>
      </c>
    </row>
    <row r="2751">
      <c r="A2751" s="25" t="n">
        <v>440980</v>
      </c>
      <c r="B2751" s="25" t="inlineStr">
        <is>
          <t>5L</t>
        </is>
      </c>
    </row>
    <row r="2752">
      <c r="A2752" s="25" t="n">
        <v>507996</v>
      </c>
      <c r="B2752" s="25" t="inlineStr">
        <is>
          <t>750ml</t>
        </is>
      </c>
    </row>
    <row r="2753">
      <c r="A2753" s="25" t="n">
        <v>445895</v>
      </c>
      <c r="B2753" s="25" t="inlineStr">
        <is>
          <t>3L</t>
        </is>
      </c>
    </row>
    <row r="2754">
      <c r="A2754" s="25" t="n">
        <v>82211</v>
      </c>
      <c r="B2754" s="25" t="inlineStr">
        <is>
          <t>1L</t>
        </is>
      </c>
    </row>
    <row r="2755">
      <c r="A2755" s="25" t="n">
        <v>40589</v>
      </c>
      <c r="B2755" s="25" t="inlineStr">
        <is>
          <t>750ml</t>
        </is>
      </c>
    </row>
    <row r="2756">
      <c r="A2756" s="25" t="n">
        <v>17543</v>
      </c>
      <c r="B2756" s="25" t="inlineStr">
        <is>
          <t>750ml</t>
        </is>
      </c>
    </row>
    <row r="2757">
      <c r="A2757" s="25" t="n">
        <v>17958</v>
      </c>
      <c r="B2757" s="25" t="inlineStr">
        <is>
          <t>1.75L</t>
        </is>
      </c>
    </row>
    <row r="2758">
      <c r="A2758" s="25" t="n">
        <v>420437</v>
      </c>
      <c r="B2758" s="25" t="inlineStr">
        <is>
          <t>750ml</t>
        </is>
      </c>
    </row>
    <row r="2759">
      <c r="A2759" s="25" t="n">
        <v>43358</v>
      </c>
      <c r="B2759" s="25" t="inlineStr">
        <is>
          <t>1.75L</t>
        </is>
      </c>
    </row>
    <row r="2760">
      <c r="A2760" s="25" t="n">
        <v>496836</v>
      </c>
      <c r="B2760" s="25" t="inlineStr">
        <is>
          <t>750ml</t>
        </is>
      </c>
    </row>
    <row r="2761">
      <c r="A2761" s="25" t="n">
        <v>655200</v>
      </c>
      <c r="B2761" s="25" t="inlineStr">
        <is>
          <t>3L</t>
        </is>
      </c>
    </row>
    <row r="2762">
      <c r="A2762" s="25" t="n">
        <v>734272</v>
      </c>
      <c r="B2762" s="25" t="inlineStr">
        <is>
          <t>750ml</t>
        </is>
      </c>
    </row>
    <row r="2763">
      <c r="A2763" s="25" t="n">
        <v>28043</v>
      </c>
      <c r="B2763" s="25" t="inlineStr">
        <is>
          <t>750ml</t>
        </is>
      </c>
    </row>
    <row r="2764">
      <c r="A2764" s="25" t="n">
        <v>575530</v>
      </c>
      <c r="B2764" s="25" t="inlineStr">
        <is>
          <t>750ml</t>
        </is>
      </c>
    </row>
    <row r="2765">
      <c r="A2765" s="25" t="n">
        <v>5596</v>
      </c>
      <c r="B2765" s="25" t="inlineStr">
        <is>
          <t>750ml</t>
        </is>
      </c>
    </row>
    <row r="2766">
      <c r="A2766" s="25" t="n">
        <v>420688</v>
      </c>
      <c r="B2766" s="25" t="inlineStr">
        <is>
          <t>750ml</t>
        </is>
      </c>
    </row>
    <row r="2767">
      <c r="A2767" s="25" t="n">
        <v>500920</v>
      </c>
      <c r="B2767" s="25" t="inlineStr">
        <is>
          <t>750ml</t>
        </is>
      </c>
    </row>
    <row r="2768">
      <c r="A2768" s="25" t="n">
        <v>73748</v>
      </c>
      <c r="B2768" s="25" t="inlineStr">
        <is>
          <t>750ml</t>
        </is>
      </c>
    </row>
    <row r="2769">
      <c r="A2769" s="25" t="n">
        <v>41279</v>
      </c>
      <c r="B2769" s="25" t="inlineStr">
        <is>
          <t>750ml</t>
        </is>
      </c>
    </row>
    <row r="2770">
      <c r="A2770" s="25" t="n">
        <v>86559</v>
      </c>
      <c r="B2770" s="25" t="inlineStr">
        <is>
          <t>750ml</t>
        </is>
      </c>
    </row>
    <row r="2771">
      <c r="A2771" s="25" t="n">
        <v>43244</v>
      </c>
      <c r="B2771" s="25" t="inlineStr">
        <is>
          <t>750ml</t>
        </is>
      </c>
    </row>
    <row r="2772">
      <c r="A2772" s="25" t="n">
        <v>74805</v>
      </c>
      <c r="B2772" s="25" t="inlineStr">
        <is>
          <t>375ml</t>
        </is>
      </c>
    </row>
    <row r="2773">
      <c r="A2773" s="25" t="n">
        <v>57150</v>
      </c>
      <c r="B2773" s="25" t="inlineStr">
        <is>
          <t>1.75L</t>
        </is>
      </c>
    </row>
    <row r="2774">
      <c r="A2774" s="25" t="n">
        <v>77776</v>
      </c>
      <c r="B2774" s="25" t="inlineStr">
        <is>
          <t>750ml</t>
        </is>
      </c>
    </row>
    <row r="2775">
      <c r="A2775" s="25" t="n">
        <v>429145</v>
      </c>
      <c r="B2775" s="25" t="inlineStr">
        <is>
          <t>1.5L</t>
        </is>
      </c>
    </row>
    <row r="2776">
      <c r="A2776" s="25" t="n">
        <v>36124</v>
      </c>
      <c r="B2776" s="25" t="inlineStr">
        <is>
          <t>1.75L</t>
        </is>
      </c>
    </row>
    <row r="2777">
      <c r="A2777" s="25" t="n">
        <v>429993</v>
      </c>
      <c r="B2777" s="25" t="inlineStr">
        <is>
          <t>1.5L</t>
        </is>
      </c>
    </row>
    <row r="2778">
      <c r="A2778" s="25" t="n">
        <v>65256</v>
      </c>
      <c r="B2778" s="25" t="inlineStr">
        <is>
          <t>750ml</t>
        </is>
      </c>
    </row>
    <row r="2779">
      <c r="A2779" s="25" t="n">
        <v>506200</v>
      </c>
      <c r="B2779" s="25" t="inlineStr">
        <is>
          <t>750ml</t>
        </is>
      </c>
    </row>
    <row r="2780">
      <c r="A2780" s="25" t="n">
        <v>515918</v>
      </c>
      <c r="B2780" s="25" t="inlineStr">
        <is>
          <t>750ml</t>
        </is>
      </c>
    </row>
    <row r="2781">
      <c r="A2781" s="25" t="n">
        <v>469432</v>
      </c>
      <c r="B2781" s="25" t="inlineStr">
        <is>
          <t>1.5L</t>
        </is>
      </c>
    </row>
    <row r="2782">
      <c r="A2782" s="25" t="n">
        <v>44520</v>
      </c>
      <c r="B2782" s="25" t="inlineStr">
        <is>
          <t>750ml</t>
        </is>
      </c>
    </row>
    <row r="2783">
      <c r="A2783" s="25" t="n">
        <v>5345</v>
      </c>
      <c r="B2783" s="25" t="inlineStr">
        <is>
          <t>375ml</t>
        </is>
      </c>
    </row>
    <row r="2784">
      <c r="A2784" s="25" t="n">
        <v>66056</v>
      </c>
      <c r="B2784" s="25" t="inlineStr">
        <is>
          <t>750ml</t>
        </is>
      </c>
    </row>
    <row r="2785">
      <c r="A2785" s="25" t="n">
        <v>382000</v>
      </c>
      <c r="B2785" s="25" t="inlineStr">
        <is>
          <t>750ml</t>
        </is>
      </c>
    </row>
    <row r="2786">
      <c r="A2786" s="25" t="n">
        <v>5006</v>
      </c>
      <c r="B2786" s="25" t="inlineStr">
        <is>
          <t>750ml</t>
        </is>
      </c>
    </row>
    <row r="2787">
      <c r="A2787" s="25" t="n">
        <v>39866</v>
      </c>
      <c r="B2787" s="25" t="inlineStr">
        <is>
          <t>750ml</t>
        </is>
      </c>
    </row>
    <row r="2788">
      <c r="A2788" s="25" t="n">
        <v>87306</v>
      </c>
      <c r="B2788" s="25" t="inlineStr">
        <is>
          <t>750ml</t>
        </is>
      </c>
    </row>
    <row r="2789">
      <c r="A2789" s="25" t="n">
        <v>53208</v>
      </c>
      <c r="B2789" s="25" t="inlineStr">
        <is>
          <t>1.75L</t>
        </is>
      </c>
    </row>
    <row r="2790">
      <c r="A2790" s="25" t="n">
        <v>479350</v>
      </c>
      <c r="B2790" s="25" t="inlineStr">
        <is>
          <t>750ml</t>
        </is>
      </c>
    </row>
    <row r="2791">
      <c r="A2791" s="25" t="n">
        <v>27697</v>
      </c>
      <c r="B2791" s="25" t="inlineStr">
        <is>
          <t>750ml</t>
        </is>
      </c>
    </row>
    <row r="2792">
      <c r="A2792" s="25" t="n">
        <v>64529</v>
      </c>
      <c r="B2792" s="25" t="inlineStr">
        <is>
          <t>750ml</t>
        </is>
      </c>
    </row>
    <row r="2793">
      <c r="A2793" s="25" t="n">
        <v>975000</v>
      </c>
      <c r="B2793" s="25" t="inlineStr">
        <is>
          <t>750ml</t>
        </is>
      </c>
    </row>
    <row r="2794">
      <c r="A2794" s="25" t="n">
        <v>35356</v>
      </c>
      <c r="B2794" s="25" t="inlineStr">
        <is>
          <t>750ml</t>
        </is>
      </c>
    </row>
    <row r="2795">
      <c r="A2795" s="25" t="n">
        <v>40289</v>
      </c>
      <c r="B2795" s="25" t="inlineStr">
        <is>
          <t>750ml</t>
        </is>
      </c>
    </row>
    <row r="2796">
      <c r="A2796" s="25" t="n">
        <v>710909</v>
      </c>
      <c r="B2796" s="25" t="inlineStr">
        <is>
          <t>750ml</t>
        </is>
      </c>
    </row>
    <row r="2797">
      <c r="A2797" s="25" t="n">
        <v>88398</v>
      </c>
      <c r="B2797" s="25" t="inlineStr">
        <is>
          <t>1.75L</t>
        </is>
      </c>
    </row>
    <row r="2798">
      <c r="A2798" s="25" t="n">
        <v>35242</v>
      </c>
      <c r="B2798" s="25" t="inlineStr">
        <is>
          <t>1L</t>
        </is>
      </c>
    </row>
    <row r="2799">
      <c r="A2799" s="25" t="n">
        <v>44275</v>
      </c>
      <c r="B2799" s="25" t="inlineStr">
        <is>
          <t>1.75L</t>
        </is>
      </c>
    </row>
    <row r="2800">
      <c r="A2800" s="25" t="n">
        <v>361728</v>
      </c>
      <c r="B2800" s="25" t="inlineStr">
        <is>
          <t>187ml</t>
        </is>
      </c>
    </row>
    <row r="2801">
      <c r="A2801" s="25" t="n">
        <v>31358</v>
      </c>
      <c r="B2801" s="25" t="inlineStr">
        <is>
          <t>1.75L</t>
        </is>
      </c>
    </row>
    <row r="2802">
      <c r="A2802" s="25" t="n">
        <v>442540</v>
      </c>
      <c r="B2802" s="25" t="inlineStr">
        <is>
          <t>750ml</t>
        </is>
      </c>
    </row>
    <row r="2803">
      <c r="A2803" s="25" t="n">
        <v>68846</v>
      </c>
      <c r="B2803" s="25" t="inlineStr">
        <is>
          <t>750ml</t>
        </is>
      </c>
    </row>
    <row r="2804">
      <c r="A2804" s="25" t="n">
        <v>39322</v>
      </c>
      <c r="B2804" s="25" t="inlineStr">
        <is>
          <t>750ml</t>
        </is>
      </c>
    </row>
    <row r="2805">
      <c r="A2805" s="25" t="n">
        <v>284459</v>
      </c>
      <c r="B2805" s="25" t="inlineStr">
        <is>
          <t>3L</t>
        </is>
      </c>
    </row>
    <row r="2806">
      <c r="A2806" s="25" t="n">
        <v>882304</v>
      </c>
      <c r="B2806" s="25" t="inlineStr">
        <is>
          <t>750ml</t>
        </is>
      </c>
    </row>
    <row r="2807">
      <c r="A2807" s="25" t="n">
        <v>407900</v>
      </c>
      <c r="B2807" s="25" t="inlineStr">
        <is>
          <t>750ml</t>
        </is>
      </c>
    </row>
    <row r="2808">
      <c r="A2808" s="25" t="n">
        <v>28858</v>
      </c>
      <c r="B2808" s="25" t="inlineStr">
        <is>
          <t>750ml</t>
        </is>
      </c>
    </row>
    <row r="2809">
      <c r="A2809" s="25" t="n">
        <v>478261</v>
      </c>
      <c r="B2809" s="25" t="inlineStr">
        <is>
          <t>750ml</t>
        </is>
      </c>
    </row>
    <row r="2810">
      <c r="A2810" s="25" t="n">
        <v>64759</v>
      </c>
      <c r="B2810" s="25" t="inlineStr">
        <is>
          <t>200ml</t>
        </is>
      </c>
    </row>
    <row r="2811">
      <c r="A2811" s="25" t="n">
        <v>451254</v>
      </c>
      <c r="B2811" s="25" t="inlineStr">
        <is>
          <t>4L</t>
        </is>
      </c>
    </row>
    <row r="2812">
      <c r="A2812" s="25" t="n">
        <v>74804</v>
      </c>
      <c r="B2812" s="25" t="inlineStr">
        <is>
          <t>50ml</t>
        </is>
      </c>
    </row>
    <row r="2813">
      <c r="A2813" s="25" t="n">
        <v>44308</v>
      </c>
      <c r="B2813" s="25" t="inlineStr">
        <is>
          <t>1.75L</t>
        </is>
      </c>
    </row>
    <row r="2814">
      <c r="A2814" s="25" t="n">
        <v>89532</v>
      </c>
      <c r="B2814" s="25" t="inlineStr">
        <is>
          <t>375ml</t>
        </is>
      </c>
    </row>
    <row r="2815">
      <c r="A2815" s="25" t="n">
        <v>19028</v>
      </c>
      <c r="B2815" s="25" t="inlineStr">
        <is>
          <t>1.75L</t>
        </is>
      </c>
    </row>
    <row r="2816">
      <c r="A2816" s="25" t="n">
        <v>24176</v>
      </c>
      <c r="B2816" s="25" t="inlineStr">
        <is>
          <t>750ml</t>
        </is>
      </c>
    </row>
    <row r="2817">
      <c r="A2817" s="25" t="n">
        <v>28628</v>
      </c>
      <c r="B2817" s="25" t="inlineStr">
        <is>
          <t>1.75L</t>
        </is>
      </c>
    </row>
    <row r="2818">
      <c r="A2818" s="25" t="n">
        <v>34194</v>
      </c>
      <c r="B2818" s="25" t="inlineStr">
        <is>
          <t>50ml</t>
        </is>
      </c>
    </row>
    <row r="2819">
      <c r="A2819" s="25" t="n">
        <v>42712</v>
      </c>
      <c r="B2819" s="25" t="inlineStr">
        <is>
          <t>50ml</t>
        </is>
      </c>
    </row>
    <row r="2820">
      <c r="A2820" s="25" t="n">
        <v>56850</v>
      </c>
      <c r="B2820" s="25" t="inlineStr">
        <is>
          <t>1.75L</t>
        </is>
      </c>
    </row>
    <row r="2821">
      <c r="A2821" s="25" t="n">
        <v>683345</v>
      </c>
      <c r="B2821" s="25" t="inlineStr">
        <is>
          <t>1.5L</t>
        </is>
      </c>
    </row>
    <row r="2822">
      <c r="A2822" s="25" t="n">
        <v>395464</v>
      </c>
      <c r="B2822" s="25" t="inlineStr">
        <is>
          <t>750ml</t>
        </is>
      </c>
    </row>
    <row r="2823">
      <c r="A2823" s="25" t="n">
        <v>56768</v>
      </c>
      <c r="B2823" s="25" t="inlineStr">
        <is>
          <t>750ml</t>
        </is>
      </c>
    </row>
    <row r="2824">
      <c r="A2824" s="25" t="n">
        <v>80096</v>
      </c>
      <c r="B2824" s="25" t="inlineStr">
        <is>
          <t>750ml</t>
        </is>
      </c>
    </row>
    <row r="2825">
      <c r="A2825" s="25" t="n">
        <v>52582</v>
      </c>
      <c r="B2825" s="25" t="inlineStr">
        <is>
          <t>750ml</t>
        </is>
      </c>
    </row>
    <row r="2826">
      <c r="A2826" s="25" t="n">
        <v>65125</v>
      </c>
      <c r="B2826" s="25" t="inlineStr">
        <is>
          <t>375ml</t>
        </is>
      </c>
    </row>
    <row r="2827">
      <c r="A2827" s="25" t="n">
        <v>28236</v>
      </c>
      <c r="B2827" s="25" t="inlineStr">
        <is>
          <t>750ml</t>
        </is>
      </c>
    </row>
    <row r="2828">
      <c r="A2828" s="25" t="n">
        <v>36967</v>
      </c>
      <c r="B2828" s="25" t="inlineStr">
        <is>
          <t>200ml</t>
        </is>
      </c>
    </row>
    <row r="2829">
      <c r="A2829" s="25" t="n">
        <v>296360</v>
      </c>
      <c r="B2829" s="25" t="inlineStr">
        <is>
          <t>750ml</t>
        </is>
      </c>
    </row>
    <row r="2830">
      <c r="A2830" s="25" t="n">
        <v>441912</v>
      </c>
      <c r="B2830" s="25" t="inlineStr">
        <is>
          <t>750ml</t>
        </is>
      </c>
    </row>
    <row r="2831">
      <c r="A2831" s="25" t="n">
        <v>45068</v>
      </c>
      <c r="B2831" s="25" t="inlineStr">
        <is>
          <t>1.75L</t>
        </is>
      </c>
    </row>
    <row r="2832">
      <c r="A2832" s="25" t="n">
        <v>33647</v>
      </c>
      <c r="B2832" s="25" t="inlineStr">
        <is>
          <t>50ml</t>
        </is>
      </c>
    </row>
    <row r="2833">
      <c r="A2833" s="25" t="n">
        <v>216060</v>
      </c>
      <c r="B2833" s="25" t="inlineStr">
        <is>
          <t>750ml</t>
        </is>
      </c>
    </row>
    <row r="2834">
      <c r="A2834" s="25" t="n">
        <v>642119</v>
      </c>
      <c r="B2834" s="25" t="inlineStr">
        <is>
          <t>3L</t>
        </is>
      </c>
    </row>
    <row r="2835">
      <c r="A2835" s="25" t="n">
        <v>462103</v>
      </c>
      <c r="B2835" s="25" t="inlineStr">
        <is>
          <t>750ml</t>
        </is>
      </c>
    </row>
    <row r="2836">
      <c r="A2836" s="25" t="n">
        <v>579772</v>
      </c>
      <c r="B2836" s="25" t="inlineStr">
        <is>
          <t>750ml</t>
        </is>
      </c>
    </row>
    <row r="2837">
      <c r="A2837" s="25" t="n">
        <v>715101</v>
      </c>
      <c r="B2837" s="25" t="inlineStr">
        <is>
          <t>750ml</t>
        </is>
      </c>
    </row>
    <row r="2838">
      <c r="A2838" s="25" t="n">
        <v>38507</v>
      </c>
      <c r="B2838" s="25" t="inlineStr">
        <is>
          <t>750ml</t>
        </is>
      </c>
    </row>
    <row r="2839">
      <c r="A2839" s="25" t="n">
        <v>483741</v>
      </c>
      <c r="B2839" s="25" t="inlineStr">
        <is>
          <t>750ml</t>
        </is>
      </c>
    </row>
    <row r="2840">
      <c r="A2840" s="25" t="n">
        <v>57179</v>
      </c>
      <c r="B2840" s="25" t="inlineStr">
        <is>
          <t>1.75L</t>
        </is>
      </c>
    </row>
    <row r="2841">
      <c r="A2841" s="25" t="n">
        <v>76410</v>
      </c>
      <c r="B2841" s="25" t="inlineStr">
        <is>
          <t>750ml</t>
        </is>
      </c>
    </row>
    <row r="2842">
      <c r="A2842" s="25" t="n">
        <v>87507</v>
      </c>
      <c r="B2842" s="25" t="inlineStr">
        <is>
          <t>200ml</t>
        </is>
      </c>
    </row>
    <row r="2843">
      <c r="A2843" s="25" t="n">
        <v>481020</v>
      </c>
      <c r="B2843" s="25" t="inlineStr">
        <is>
          <t>750ml</t>
        </is>
      </c>
    </row>
    <row r="2844">
      <c r="A2844" s="25" t="n">
        <v>275896</v>
      </c>
      <c r="B2844" s="25" t="inlineStr">
        <is>
          <t>750ml</t>
        </is>
      </c>
    </row>
    <row r="2845">
      <c r="A2845" s="25" t="n">
        <v>566225</v>
      </c>
      <c r="B2845" s="25" t="inlineStr">
        <is>
          <t>750ml</t>
        </is>
      </c>
    </row>
    <row r="2846">
      <c r="A2846" s="25" t="n">
        <v>101766</v>
      </c>
      <c r="B2846" s="25" t="inlineStr">
        <is>
          <t>750ml</t>
        </is>
      </c>
    </row>
    <row r="2847">
      <c r="A2847" s="25" t="n">
        <v>729491</v>
      </c>
      <c r="B2847" s="25" t="inlineStr">
        <is>
          <t>750ml</t>
        </is>
      </c>
    </row>
    <row r="2848">
      <c r="A2848" s="25" t="n">
        <v>381574</v>
      </c>
      <c r="B2848" s="25" t="inlineStr">
        <is>
          <t>750ml</t>
        </is>
      </c>
    </row>
    <row r="2849">
      <c r="A2849" s="25" t="n">
        <v>39916</v>
      </c>
      <c r="B2849" s="25" t="inlineStr">
        <is>
          <t>200ml</t>
        </is>
      </c>
    </row>
    <row r="2850">
      <c r="A2850" s="25" t="n">
        <v>85526</v>
      </c>
      <c r="B2850" s="25" t="inlineStr">
        <is>
          <t>750ml</t>
        </is>
      </c>
    </row>
    <row r="2851">
      <c r="A2851" s="25" t="n">
        <v>11368</v>
      </c>
      <c r="B2851" s="25" t="inlineStr">
        <is>
          <t>1.75L</t>
        </is>
      </c>
    </row>
    <row r="2852">
      <c r="A2852" s="25" t="n">
        <v>34366</v>
      </c>
      <c r="B2852" s="25" t="inlineStr">
        <is>
          <t>750ml</t>
        </is>
      </c>
    </row>
    <row r="2853">
      <c r="A2853" s="25" t="n">
        <v>43120</v>
      </c>
      <c r="B2853" s="25" t="inlineStr">
        <is>
          <t>1.75L</t>
        </is>
      </c>
    </row>
    <row r="2854">
      <c r="A2854" s="25" t="n">
        <v>287461</v>
      </c>
      <c r="B2854" s="25" t="inlineStr">
        <is>
          <t>750ml</t>
        </is>
      </c>
    </row>
    <row r="2855">
      <c r="A2855" s="25" t="n">
        <v>302350</v>
      </c>
      <c r="B2855" s="25" t="inlineStr">
        <is>
          <t>750ml</t>
        </is>
      </c>
    </row>
    <row r="2856">
      <c r="A2856" s="25" t="n">
        <v>36367</v>
      </c>
      <c r="B2856" s="25" t="inlineStr">
        <is>
          <t>1L</t>
        </is>
      </c>
    </row>
    <row r="2857">
      <c r="A2857" s="25" t="n">
        <v>507998</v>
      </c>
      <c r="B2857" s="25" t="inlineStr">
        <is>
          <t>750ml</t>
        </is>
      </c>
    </row>
    <row r="2858">
      <c r="A2858" s="25" t="n">
        <v>64000</v>
      </c>
      <c r="B2858" s="25" t="inlineStr">
        <is>
          <t>750ml</t>
        </is>
      </c>
    </row>
    <row r="2859">
      <c r="A2859" s="25" t="n">
        <v>64645</v>
      </c>
      <c r="B2859" s="25" t="inlineStr">
        <is>
          <t>750ml</t>
        </is>
      </c>
    </row>
    <row r="2860">
      <c r="A2860" s="25" t="n">
        <v>490850</v>
      </c>
      <c r="B2860" s="25" t="inlineStr">
        <is>
          <t>750ml</t>
        </is>
      </c>
    </row>
    <row r="2861">
      <c r="A2861" s="25" t="n">
        <v>77305</v>
      </c>
      <c r="B2861" s="25" t="inlineStr">
        <is>
          <t>750ml</t>
        </is>
      </c>
    </row>
    <row r="2862">
      <c r="A2862" s="25" t="n">
        <v>84239</v>
      </c>
      <c r="B2862" s="25" t="inlineStr">
        <is>
          <t>50ml</t>
        </is>
      </c>
    </row>
    <row r="2863">
      <c r="A2863" s="25" t="n">
        <v>86673</v>
      </c>
      <c r="B2863" s="25" t="inlineStr">
        <is>
          <t>1.75L</t>
        </is>
      </c>
    </row>
    <row r="2864">
      <c r="A2864" s="25" t="n">
        <v>11786</v>
      </c>
      <c r="B2864" s="25" t="inlineStr">
        <is>
          <t>750ml</t>
        </is>
      </c>
    </row>
    <row r="2865">
      <c r="A2865" s="25" t="n">
        <v>86698</v>
      </c>
      <c r="B2865" s="25" t="inlineStr">
        <is>
          <t>375ml</t>
        </is>
      </c>
    </row>
    <row r="2866">
      <c r="A2866" s="25" t="n">
        <v>906214</v>
      </c>
      <c r="B2866" s="25" t="inlineStr">
        <is>
          <t>750ml</t>
        </is>
      </c>
    </row>
    <row r="2867">
      <c r="A2867" s="25" t="n">
        <v>89443</v>
      </c>
      <c r="B2867" s="25" t="inlineStr">
        <is>
          <t>750ml</t>
        </is>
      </c>
    </row>
    <row r="2868">
      <c r="A2868" s="25" t="n">
        <v>547145</v>
      </c>
      <c r="B2868" s="25" t="inlineStr">
        <is>
          <t>3L</t>
        </is>
      </c>
    </row>
    <row r="2869">
      <c r="A2869" s="25" t="n">
        <v>580162</v>
      </c>
      <c r="B2869" s="25" t="inlineStr">
        <is>
          <t>750ml</t>
        </is>
      </c>
    </row>
    <row r="2870">
      <c r="A2870" s="25" t="n">
        <v>35762</v>
      </c>
      <c r="B2870" s="25" t="inlineStr">
        <is>
          <t>1.75L</t>
        </is>
      </c>
    </row>
    <row r="2871">
      <c r="A2871" s="25" t="n">
        <v>65195</v>
      </c>
      <c r="B2871" s="25" t="inlineStr">
        <is>
          <t>750ml</t>
        </is>
      </c>
    </row>
    <row r="2872">
      <c r="A2872" s="25" t="n">
        <v>38068</v>
      </c>
      <c r="B2872" s="25" t="inlineStr">
        <is>
          <t>1.75L</t>
        </is>
      </c>
    </row>
    <row r="2873">
      <c r="A2873" s="25" t="n">
        <v>86110</v>
      </c>
      <c r="B2873" s="25" t="inlineStr">
        <is>
          <t>750ml</t>
        </is>
      </c>
    </row>
    <row r="2874">
      <c r="A2874" s="25" t="n">
        <v>17085</v>
      </c>
      <c r="B2874" s="25" t="inlineStr">
        <is>
          <t>375ml</t>
        </is>
      </c>
    </row>
    <row r="2875">
      <c r="A2875" s="25" t="n">
        <v>496904</v>
      </c>
      <c r="B2875" s="25" t="inlineStr">
        <is>
          <t>750ml</t>
        </is>
      </c>
    </row>
    <row r="2876">
      <c r="A2876" s="25" t="n">
        <v>43126</v>
      </c>
      <c r="B2876" s="25" t="inlineStr">
        <is>
          <t>750ml</t>
        </is>
      </c>
    </row>
    <row r="2877">
      <c r="A2877" s="25" t="n">
        <v>733238</v>
      </c>
      <c r="B2877" s="25" t="inlineStr">
        <is>
          <t>750ml</t>
        </is>
      </c>
    </row>
    <row r="2878">
      <c r="A2878" s="25" t="n">
        <v>770450</v>
      </c>
      <c r="B2878" s="25" t="inlineStr">
        <is>
          <t>750ml</t>
        </is>
      </c>
    </row>
    <row r="2879">
      <c r="A2879" s="25" t="n">
        <v>560596</v>
      </c>
      <c r="B2879" s="25" t="inlineStr">
        <is>
          <t>750ml</t>
        </is>
      </c>
    </row>
    <row r="2880">
      <c r="A2880" s="25" t="n">
        <v>77647</v>
      </c>
      <c r="B2880" s="25" t="inlineStr">
        <is>
          <t>750ml</t>
        </is>
      </c>
    </row>
    <row r="2881">
      <c r="A2881" s="25" t="n">
        <v>566520</v>
      </c>
      <c r="B2881" s="25" t="inlineStr">
        <is>
          <t>5L</t>
        </is>
      </c>
    </row>
    <row r="2882">
      <c r="A2882" s="25" t="n">
        <v>67556</v>
      </c>
      <c r="B2882" s="25" t="inlineStr">
        <is>
          <t>750ml</t>
        </is>
      </c>
    </row>
    <row r="2883">
      <c r="A2883" s="25" t="n">
        <v>486300</v>
      </c>
      <c r="B2883" s="25" t="inlineStr">
        <is>
          <t>750ml</t>
        </is>
      </c>
    </row>
    <row r="2884">
      <c r="A2884" s="25" t="n">
        <v>882321</v>
      </c>
      <c r="B2884" s="25" t="inlineStr">
        <is>
          <t>4L</t>
        </is>
      </c>
    </row>
    <row r="2885">
      <c r="A2885" s="25" t="n">
        <v>80015</v>
      </c>
      <c r="B2885" s="25" t="inlineStr">
        <is>
          <t>750ml</t>
        </is>
      </c>
    </row>
    <row r="2886">
      <c r="A2886" s="25" t="n">
        <v>27920</v>
      </c>
      <c r="B2886" s="25" t="inlineStr">
        <is>
          <t>750ml</t>
        </is>
      </c>
    </row>
    <row r="2887">
      <c r="A2887" s="25" t="n">
        <v>445882</v>
      </c>
      <c r="B2887" s="25" t="inlineStr">
        <is>
          <t>750ml</t>
        </is>
      </c>
    </row>
    <row r="2888">
      <c r="A2888" s="25" t="n">
        <v>734798</v>
      </c>
      <c r="B2888" s="25" t="inlineStr">
        <is>
          <t>750ml</t>
        </is>
      </c>
    </row>
    <row r="2889">
      <c r="A2889" s="25" t="n">
        <v>370188</v>
      </c>
      <c r="B2889" s="25" t="inlineStr">
        <is>
          <t>1.5L</t>
        </is>
      </c>
    </row>
    <row r="2890">
      <c r="A2890" s="25" t="n">
        <v>887359</v>
      </c>
      <c r="B2890" s="25" t="inlineStr">
        <is>
          <t>375ml</t>
        </is>
      </c>
    </row>
    <row r="2891">
      <c r="A2891" s="25" t="n">
        <v>525396</v>
      </c>
      <c r="B2891" s="25" t="inlineStr">
        <is>
          <t>750ml</t>
        </is>
      </c>
    </row>
    <row r="2892">
      <c r="A2892" s="25" t="n">
        <v>38844</v>
      </c>
      <c r="B2892" s="25" t="inlineStr">
        <is>
          <t>50ml</t>
        </is>
      </c>
    </row>
    <row r="2893">
      <c r="A2893" s="25" t="n">
        <v>429940</v>
      </c>
      <c r="B2893" s="25" t="inlineStr">
        <is>
          <t>750ml</t>
        </is>
      </c>
    </row>
    <row r="2894">
      <c r="A2894" s="25" t="n">
        <v>592908</v>
      </c>
      <c r="B2894" s="25" t="inlineStr">
        <is>
          <t>750ml</t>
        </is>
      </c>
    </row>
    <row r="2895">
      <c r="A2895" s="25" t="n">
        <v>467620</v>
      </c>
      <c r="B2895" s="25" t="inlineStr">
        <is>
          <t>5L</t>
        </is>
      </c>
    </row>
    <row r="2896">
      <c r="A2896" s="25" t="n">
        <v>892854</v>
      </c>
      <c r="B2896" s="25" t="inlineStr">
        <is>
          <t>750ml</t>
        </is>
      </c>
    </row>
    <row r="2897">
      <c r="A2897" s="25" t="n">
        <v>457610</v>
      </c>
      <c r="B2897" s="25" t="inlineStr">
        <is>
          <t>750ml</t>
        </is>
      </c>
    </row>
    <row r="2898">
      <c r="A2898" s="25" t="n">
        <v>67866</v>
      </c>
      <c r="B2898" s="25" t="inlineStr">
        <is>
          <t>750ml</t>
        </is>
      </c>
    </row>
    <row r="2899">
      <c r="A2899" s="25" t="n">
        <v>33309</v>
      </c>
      <c r="B2899" s="25" t="inlineStr">
        <is>
          <t>750ml</t>
        </is>
      </c>
    </row>
    <row r="2900">
      <c r="A2900" s="25" t="n">
        <v>44419</v>
      </c>
      <c r="B2900" s="25" t="inlineStr">
        <is>
          <t>750ml</t>
        </is>
      </c>
    </row>
    <row r="2901">
      <c r="A2901" s="25" t="n">
        <v>57083</v>
      </c>
      <c r="B2901" s="25" t="inlineStr">
        <is>
          <t>200ml</t>
        </is>
      </c>
    </row>
    <row r="2902">
      <c r="A2902" s="25" t="n">
        <v>282420</v>
      </c>
      <c r="B2902" s="25" t="inlineStr">
        <is>
          <t>750ml</t>
        </is>
      </c>
    </row>
    <row r="2903">
      <c r="A2903" s="25" t="n">
        <v>19366</v>
      </c>
      <c r="B2903" s="25" t="inlineStr">
        <is>
          <t>750ml</t>
        </is>
      </c>
    </row>
    <row r="2904">
      <c r="A2904" s="25" t="n">
        <v>15627</v>
      </c>
      <c r="B2904" s="25" t="inlineStr">
        <is>
          <t>1L</t>
        </is>
      </c>
    </row>
    <row r="2905">
      <c r="A2905" s="25" t="n">
        <v>1258</v>
      </c>
      <c r="B2905" s="25" t="inlineStr">
        <is>
          <t>100ml</t>
        </is>
      </c>
    </row>
    <row r="2906">
      <c r="A2906" s="25" t="n">
        <v>93256</v>
      </c>
      <c r="B2906" s="25" t="inlineStr">
        <is>
          <t>1.5L</t>
        </is>
      </c>
    </row>
    <row r="2907">
      <c r="A2907" s="25" t="n">
        <v>441850</v>
      </c>
      <c r="B2907" s="25" t="inlineStr">
        <is>
          <t>750ml</t>
        </is>
      </c>
    </row>
    <row r="2908">
      <c r="A2908" s="25" t="n">
        <v>28283</v>
      </c>
      <c r="B2908" s="25" t="inlineStr">
        <is>
          <t>750ml</t>
        </is>
      </c>
    </row>
    <row r="2909">
      <c r="A2909" s="25" t="n">
        <v>25973</v>
      </c>
      <c r="B2909" s="25" t="inlineStr">
        <is>
          <t>200ml</t>
        </is>
      </c>
    </row>
    <row r="2910">
      <c r="A2910" s="25" t="n">
        <v>884910</v>
      </c>
      <c r="B2910" s="25" t="inlineStr">
        <is>
          <t>750ml</t>
        </is>
      </c>
    </row>
    <row r="2911">
      <c r="A2911" s="25" t="n">
        <v>34454</v>
      </c>
      <c r="B2911" s="25" t="inlineStr">
        <is>
          <t>375ml</t>
        </is>
      </c>
    </row>
    <row r="2912">
      <c r="A2912" s="25" t="n">
        <v>895426</v>
      </c>
      <c r="B2912" s="25" t="inlineStr">
        <is>
          <t>1.5L</t>
        </is>
      </c>
    </row>
    <row r="2913">
      <c r="A2913" s="25" t="n">
        <v>40048</v>
      </c>
      <c r="B2913" s="25" t="inlineStr">
        <is>
          <t>750ml</t>
        </is>
      </c>
    </row>
    <row r="2914">
      <c r="A2914" s="25" t="n">
        <v>888058</v>
      </c>
      <c r="B2914" s="25" t="inlineStr">
        <is>
          <t>3L</t>
        </is>
      </c>
    </row>
    <row r="2915">
      <c r="A2915" s="25" t="n">
        <v>101800</v>
      </c>
      <c r="B2915" s="25" t="inlineStr">
        <is>
          <t>750ml</t>
        </is>
      </c>
    </row>
    <row r="2916">
      <c r="A2916" s="25" t="n">
        <v>632848</v>
      </c>
      <c r="B2916" s="25" t="inlineStr">
        <is>
          <t>750ml</t>
        </is>
      </c>
    </row>
    <row r="2917">
      <c r="A2917" s="25" t="n">
        <v>80686</v>
      </c>
      <c r="B2917" s="25" t="inlineStr">
        <is>
          <t>750ml</t>
        </is>
      </c>
    </row>
    <row r="2918">
      <c r="A2918" s="25" t="n">
        <v>52593</v>
      </c>
      <c r="B2918" s="25" t="inlineStr">
        <is>
          <t>200ml</t>
        </is>
      </c>
    </row>
    <row r="2919">
      <c r="A2919" s="25" t="n">
        <v>589255</v>
      </c>
      <c r="B2919" s="25" t="inlineStr">
        <is>
          <t>750ml</t>
        </is>
      </c>
    </row>
    <row r="2920">
      <c r="A2920" s="25" t="n">
        <v>33254</v>
      </c>
      <c r="B2920" s="25" t="inlineStr">
        <is>
          <t>375ml</t>
        </is>
      </c>
    </row>
    <row r="2921">
      <c r="A2921" s="25" t="n">
        <v>704055</v>
      </c>
      <c r="B2921" s="25" t="inlineStr">
        <is>
          <t>375ml</t>
        </is>
      </c>
    </row>
    <row r="2922">
      <c r="A2922" s="25" t="n">
        <v>62457</v>
      </c>
      <c r="B2922" s="25" t="inlineStr">
        <is>
          <t>1L</t>
        </is>
      </c>
    </row>
    <row r="2923">
      <c r="A2923" s="25" t="n">
        <v>544083</v>
      </c>
      <c r="B2923" s="25" t="inlineStr">
        <is>
          <t>187ml</t>
        </is>
      </c>
    </row>
    <row r="2924">
      <c r="A2924" s="25" t="n">
        <v>460940</v>
      </c>
      <c r="B2924" s="25" t="inlineStr">
        <is>
          <t>750ml</t>
        </is>
      </c>
    </row>
    <row r="2925">
      <c r="A2925" s="25" t="n">
        <v>34328</v>
      </c>
      <c r="B2925" s="25" t="inlineStr">
        <is>
          <t>1.75L</t>
        </is>
      </c>
    </row>
    <row r="2926">
      <c r="A2926" s="25" t="n">
        <v>86190</v>
      </c>
      <c r="B2926" s="25" t="inlineStr">
        <is>
          <t>1L</t>
        </is>
      </c>
    </row>
    <row r="2927">
      <c r="A2927" s="25" t="n">
        <v>89666</v>
      </c>
      <c r="B2927" s="25" t="inlineStr">
        <is>
          <t>750ml</t>
        </is>
      </c>
    </row>
    <row r="2928">
      <c r="A2928" s="25" t="n">
        <v>560599</v>
      </c>
      <c r="B2928" s="25" t="inlineStr">
        <is>
          <t>750ml</t>
        </is>
      </c>
    </row>
    <row r="2929">
      <c r="A2929" s="25" t="n">
        <v>443253</v>
      </c>
      <c r="B2929" s="25" t="inlineStr">
        <is>
          <t>750ml</t>
        </is>
      </c>
    </row>
    <row r="2930">
      <c r="A2930" s="25" t="n">
        <v>88018</v>
      </c>
      <c r="B2930" s="25" t="inlineStr">
        <is>
          <t>750ml</t>
        </is>
      </c>
    </row>
    <row r="2931">
      <c r="A2931" s="25" t="n">
        <v>516720</v>
      </c>
      <c r="B2931" s="25" t="inlineStr">
        <is>
          <t>750ml</t>
        </is>
      </c>
    </row>
    <row r="2932">
      <c r="A2932" s="25" t="n">
        <v>606264</v>
      </c>
      <c r="B2932" s="25" t="inlineStr">
        <is>
          <t>1.5L</t>
        </is>
      </c>
    </row>
    <row r="2933">
      <c r="A2933" s="25" t="n">
        <v>626125</v>
      </c>
      <c r="B2933" s="25" t="inlineStr">
        <is>
          <t>750ml</t>
        </is>
      </c>
    </row>
    <row r="2934">
      <c r="A2934" s="25" t="n">
        <v>65793</v>
      </c>
      <c r="B2934" s="25" t="inlineStr">
        <is>
          <t>750ml</t>
        </is>
      </c>
    </row>
    <row r="2935">
      <c r="A2935" s="25" t="n">
        <v>48866</v>
      </c>
      <c r="B2935" s="25" t="inlineStr">
        <is>
          <t>750ml</t>
        </is>
      </c>
    </row>
    <row r="2936">
      <c r="A2936" s="25" t="n">
        <v>27037</v>
      </c>
      <c r="B2936" s="25" t="inlineStr">
        <is>
          <t>750ml</t>
        </is>
      </c>
    </row>
    <row r="2937">
      <c r="A2937" s="25" t="n">
        <v>744200</v>
      </c>
      <c r="B2937" s="25" t="inlineStr">
        <is>
          <t>1.5L</t>
        </is>
      </c>
    </row>
    <row r="2938">
      <c r="A2938" s="25" t="n">
        <v>86970</v>
      </c>
      <c r="B2938" s="25" t="inlineStr">
        <is>
          <t>50ml</t>
        </is>
      </c>
    </row>
    <row r="2939">
      <c r="A2939" s="25" t="n">
        <v>35022</v>
      </c>
      <c r="B2939" s="25" t="inlineStr">
        <is>
          <t>750ml</t>
        </is>
      </c>
    </row>
    <row r="2940">
      <c r="A2940" s="25" t="n">
        <v>583802</v>
      </c>
      <c r="B2940" s="25" t="inlineStr">
        <is>
          <t>1.5L</t>
        </is>
      </c>
    </row>
    <row r="2941">
      <c r="A2941" s="25" t="n">
        <v>84191</v>
      </c>
      <c r="B2941" s="25" t="inlineStr">
        <is>
          <t>50ml</t>
        </is>
      </c>
    </row>
    <row r="2942">
      <c r="A2942" s="25" t="n">
        <v>607915</v>
      </c>
      <c r="B2942" s="25" t="inlineStr">
        <is>
          <t>750ml</t>
        </is>
      </c>
    </row>
    <row r="2943">
      <c r="A2943" s="25" t="n">
        <v>725510</v>
      </c>
      <c r="B2943" s="25" t="inlineStr">
        <is>
          <t>750ml</t>
        </is>
      </c>
    </row>
    <row r="2944">
      <c r="A2944" s="25" t="n">
        <v>73533</v>
      </c>
      <c r="B2944" s="25" t="inlineStr">
        <is>
          <t>750ml</t>
        </is>
      </c>
    </row>
    <row r="2945">
      <c r="A2945" s="25" t="n">
        <v>882303</v>
      </c>
      <c r="B2945" s="25" t="inlineStr">
        <is>
          <t>187ml</t>
        </is>
      </c>
    </row>
    <row r="2946">
      <c r="A2946" s="25" t="n">
        <v>610081</v>
      </c>
      <c r="B2946" s="25" t="inlineStr">
        <is>
          <t>750ml</t>
        </is>
      </c>
    </row>
    <row r="2947">
      <c r="A2947" s="25" t="n">
        <v>86888</v>
      </c>
      <c r="B2947" s="25" t="inlineStr">
        <is>
          <t>1.75L</t>
        </is>
      </c>
    </row>
    <row r="2948">
      <c r="A2948" s="25" t="n">
        <v>480744</v>
      </c>
      <c r="B2948" s="25" t="inlineStr">
        <is>
          <t>750ml</t>
        </is>
      </c>
    </row>
    <row r="2949">
      <c r="A2949" s="25" t="n">
        <v>511030</v>
      </c>
      <c r="B2949" s="25" t="inlineStr">
        <is>
          <t>750ml</t>
        </is>
      </c>
    </row>
    <row r="2950">
      <c r="A2950" s="25" t="n">
        <v>31472</v>
      </c>
      <c r="B2950" s="25" t="inlineStr">
        <is>
          <t>200ml</t>
        </is>
      </c>
    </row>
    <row r="2951">
      <c r="A2951" s="25" t="n">
        <v>547140</v>
      </c>
      <c r="B2951" s="25" t="inlineStr">
        <is>
          <t>500ml</t>
        </is>
      </c>
    </row>
    <row r="2952">
      <c r="A2952" s="25" t="n">
        <v>5104</v>
      </c>
      <c r="B2952" s="25" t="inlineStr">
        <is>
          <t>750ml</t>
        </is>
      </c>
    </row>
    <row r="2953">
      <c r="A2953" s="25" t="n">
        <v>22178</v>
      </c>
      <c r="B2953" s="25" t="inlineStr">
        <is>
          <t>750ml</t>
        </is>
      </c>
    </row>
    <row r="2954">
      <c r="A2954" s="25" t="n">
        <v>402052</v>
      </c>
      <c r="B2954" s="25" t="inlineStr">
        <is>
          <t>750ml</t>
        </is>
      </c>
    </row>
    <row r="2955">
      <c r="A2955" s="25" t="n">
        <v>22228</v>
      </c>
      <c r="B2955" s="25" t="inlineStr">
        <is>
          <t>750ml</t>
        </is>
      </c>
    </row>
    <row r="2956">
      <c r="A2956" s="25" t="n">
        <v>444570</v>
      </c>
      <c r="B2956" s="25" t="inlineStr">
        <is>
          <t>3L</t>
        </is>
      </c>
    </row>
    <row r="2957">
      <c r="A2957" s="25" t="n">
        <v>429999</v>
      </c>
      <c r="B2957" s="25" t="inlineStr">
        <is>
          <t>1.5L</t>
        </is>
      </c>
    </row>
    <row r="2958">
      <c r="A2958" s="25" t="n">
        <v>544077</v>
      </c>
      <c r="B2958" s="25" t="inlineStr">
        <is>
          <t>1.5L</t>
        </is>
      </c>
    </row>
    <row r="2959">
      <c r="A2959" s="25" t="n">
        <v>513364</v>
      </c>
      <c r="B2959" s="25" t="inlineStr">
        <is>
          <t>187ml</t>
        </is>
      </c>
    </row>
    <row r="2960">
      <c r="A2960" s="25" t="n">
        <v>69945</v>
      </c>
      <c r="B2960" s="25" t="inlineStr">
        <is>
          <t>375ml</t>
        </is>
      </c>
    </row>
    <row r="2961">
      <c r="A2961" s="25" t="n">
        <v>87013</v>
      </c>
      <c r="B2961" s="25" t="inlineStr">
        <is>
          <t>750ml</t>
        </is>
      </c>
    </row>
    <row r="2962">
      <c r="A2962" s="25" t="n">
        <v>476440</v>
      </c>
      <c r="B2962" s="25" t="inlineStr">
        <is>
          <t>750ml</t>
        </is>
      </c>
    </row>
    <row r="2963">
      <c r="A2963" s="25" t="n">
        <v>59161</v>
      </c>
      <c r="B2963" s="25" t="inlineStr">
        <is>
          <t>1.75L</t>
        </is>
      </c>
    </row>
    <row r="2964">
      <c r="A2964" s="25" t="n">
        <v>34162</v>
      </c>
      <c r="B2964" s="25" t="inlineStr">
        <is>
          <t>1L</t>
        </is>
      </c>
    </row>
    <row r="2965">
      <c r="A2965" s="25" t="n">
        <v>498044</v>
      </c>
      <c r="B2965" s="25" t="inlineStr">
        <is>
          <t>750ml</t>
        </is>
      </c>
    </row>
    <row r="2966">
      <c r="A2966" s="25" t="n">
        <v>19478</v>
      </c>
      <c r="B2966" s="25" t="inlineStr">
        <is>
          <t>1.75L</t>
        </is>
      </c>
    </row>
    <row r="2967">
      <c r="A2967" s="25" t="n">
        <v>100398</v>
      </c>
      <c r="B2967" s="25" t="inlineStr">
        <is>
          <t>750ml</t>
        </is>
      </c>
    </row>
    <row r="2968">
      <c r="A2968" s="25" t="n">
        <v>25169</v>
      </c>
      <c r="B2968" s="25" t="inlineStr">
        <is>
          <t>750ml</t>
        </is>
      </c>
    </row>
    <row r="2969">
      <c r="A2969" s="25" t="n">
        <v>5038</v>
      </c>
      <c r="B2969" s="25" t="inlineStr">
        <is>
          <t>1.75L</t>
        </is>
      </c>
    </row>
    <row r="2970">
      <c r="A2970" s="25" t="n">
        <v>517020</v>
      </c>
      <c r="B2970" s="25" t="inlineStr">
        <is>
          <t>750ml</t>
        </is>
      </c>
    </row>
    <row r="2971">
      <c r="A2971" s="25" t="n">
        <v>451754</v>
      </c>
      <c r="B2971" s="25" t="inlineStr">
        <is>
          <t>750ml</t>
        </is>
      </c>
    </row>
    <row r="2972">
      <c r="A2972" s="25" t="n">
        <v>548932</v>
      </c>
      <c r="B2972" s="25" t="inlineStr">
        <is>
          <t>750ml</t>
        </is>
      </c>
    </row>
    <row r="2973">
      <c r="A2973" s="25" t="n">
        <v>53217</v>
      </c>
      <c r="B2973" s="25" t="inlineStr">
        <is>
          <t>1L</t>
        </is>
      </c>
    </row>
    <row r="2974">
      <c r="A2974" s="25" t="n">
        <v>18351</v>
      </c>
      <c r="B2974" s="25" t="inlineStr">
        <is>
          <t>1.75L</t>
        </is>
      </c>
    </row>
    <row r="2975">
      <c r="A2975" s="25" t="n">
        <v>101472</v>
      </c>
      <c r="B2975" s="25" t="inlineStr">
        <is>
          <t>500ml</t>
        </is>
      </c>
    </row>
    <row r="2976">
      <c r="A2976" s="25" t="n">
        <v>82787</v>
      </c>
      <c r="B2976" s="25" t="inlineStr">
        <is>
          <t>1L</t>
        </is>
      </c>
    </row>
    <row r="2977">
      <c r="A2977" s="25" t="n">
        <v>10834</v>
      </c>
      <c r="B2977" s="25" t="inlineStr">
        <is>
          <t>375ml</t>
        </is>
      </c>
    </row>
    <row r="2978">
      <c r="A2978" s="25" t="n">
        <v>39919</v>
      </c>
      <c r="B2978" s="25" t="inlineStr">
        <is>
          <t>1.75L</t>
        </is>
      </c>
    </row>
    <row r="2979">
      <c r="A2979" s="25" t="n">
        <v>101916</v>
      </c>
      <c r="B2979" s="25" t="inlineStr">
        <is>
          <t>750ml</t>
        </is>
      </c>
    </row>
    <row r="2980">
      <c r="A2980" s="25" t="n">
        <v>34003</v>
      </c>
      <c r="B2980" s="25" t="inlineStr">
        <is>
          <t>200ml</t>
        </is>
      </c>
    </row>
    <row r="2981">
      <c r="A2981" s="25" t="n">
        <v>43035</v>
      </c>
      <c r="B2981" s="25" t="inlineStr">
        <is>
          <t>750ml</t>
        </is>
      </c>
    </row>
    <row r="2982">
      <c r="A2982" s="25" t="n">
        <v>5157</v>
      </c>
      <c r="B2982" s="25" t="inlineStr">
        <is>
          <t>750ml</t>
        </is>
      </c>
    </row>
    <row r="2983">
      <c r="A2983" s="25" t="n">
        <v>80579</v>
      </c>
      <c r="B2983" s="25" t="inlineStr">
        <is>
          <t>50ml</t>
        </is>
      </c>
    </row>
    <row r="2984">
      <c r="A2984" s="25" t="n">
        <v>17050</v>
      </c>
      <c r="B2984" s="25" t="inlineStr">
        <is>
          <t>750ml</t>
        </is>
      </c>
    </row>
    <row r="2985">
      <c r="A2985" s="25" t="n">
        <v>478430</v>
      </c>
      <c r="B2985" s="25" t="inlineStr">
        <is>
          <t>750ml</t>
        </is>
      </c>
    </row>
    <row r="2986">
      <c r="A2986" s="25" t="n">
        <v>710924</v>
      </c>
      <c r="B2986" s="25" t="inlineStr">
        <is>
          <t>187ml</t>
        </is>
      </c>
    </row>
    <row r="2987">
      <c r="A2987" s="25" t="n">
        <v>89778</v>
      </c>
      <c r="B2987" s="25" t="inlineStr">
        <is>
          <t>1.75L</t>
        </is>
      </c>
    </row>
    <row r="2988">
      <c r="A2988" s="25" t="n">
        <v>499475</v>
      </c>
      <c r="B2988" s="25" t="inlineStr">
        <is>
          <t>750ml</t>
        </is>
      </c>
    </row>
    <row r="2989">
      <c r="A2989" s="25" t="n">
        <v>5326</v>
      </c>
      <c r="B2989" s="25" t="inlineStr">
        <is>
          <t>750ml</t>
        </is>
      </c>
    </row>
    <row r="2990">
      <c r="A2990" s="25" t="n">
        <v>496260</v>
      </c>
      <c r="B2990" s="25" t="inlineStr">
        <is>
          <t>750ml</t>
        </is>
      </c>
    </row>
    <row r="2991">
      <c r="A2991" s="25" t="n">
        <v>290900</v>
      </c>
      <c r="B2991" s="25" t="inlineStr">
        <is>
          <t>750ml</t>
        </is>
      </c>
    </row>
    <row r="2992">
      <c r="A2992" s="25" t="n">
        <v>101841</v>
      </c>
      <c r="B2992" s="25" t="inlineStr">
        <is>
          <t>750ml</t>
        </is>
      </c>
    </row>
    <row r="2993">
      <c r="A2993" s="25" t="n">
        <v>18412</v>
      </c>
      <c r="B2993" s="25" t="inlineStr">
        <is>
          <t>750ml</t>
        </is>
      </c>
    </row>
    <row r="2994">
      <c r="A2994" s="25" t="n">
        <v>475038</v>
      </c>
      <c r="B2994" s="25" t="inlineStr">
        <is>
          <t>1.5L</t>
        </is>
      </c>
    </row>
    <row r="2995">
      <c r="A2995" s="25" t="n">
        <v>73715</v>
      </c>
      <c r="B2995" s="25" t="inlineStr">
        <is>
          <t>750ml</t>
        </is>
      </c>
    </row>
    <row r="2996">
      <c r="A2996" s="25" t="n">
        <v>40042</v>
      </c>
      <c r="B2996" s="25" t="inlineStr">
        <is>
          <t>1.75L</t>
        </is>
      </c>
    </row>
    <row r="2997">
      <c r="A2997" s="25" t="n">
        <v>38508</v>
      </c>
      <c r="B2997" s="25" t="inlineStr">
        <is>
          <t>1.75L</t>
        </is>
      </c>
    </row>
    <row r="2998">
      <c r="A2998" s="25" t="n">
        <v>882170</v>
      </c>
      <c r="B2998" s="25" t="inlineStr">
        <is>
          <t>1.5L</t>
        </is>
      </c>
    </row>
    <row r="2999">
      <c r="A2999" s="25" t="n">
        <v>34746</v>
      </c>
      <c r="B2999" s="25" t="inlineStr">
        <is>
          <t>750ml</t>
        </is>
      </c>
    </row>
    <row r="3000">
      <c r="A3000" s="25" t="n">
        <v>27605</v>
      </c>
      <c r="B3000" s="25" t="inlineStr">
        <is>
          <t>750ml</t>
        </is>
      </c>
    </row>
    <row r="3001">
      <c r="A3001" s="25" t="n">
        <v>769002</v>
      </c>
      <c r="B3001" s="25" t="inlineStr">
        <is>
          <t>187ml</t>
        </is>
      </c>
    </row>
    <row r="3002">
      <c r="A3002" s="25" t="n">
        <v>20300</v>
      </c>
      <c r="B3002" s="25" t="inlineStr">
        <is>
          <t>750ml</t>
        </is>
      </c>
    </row>
    <row r="3003">
      <c r="A3003" s="25" t="n">
        <v>882055</v>
      </c>
      <c r="B3003" s="25" t="inlineStr">
        <is>
          <t>3L</t>
        </is>
      </c>
    </row>
    <row r="3004">
      <c r="A3004" s="25" t="n">
        <v>88556</v>
      </c>
      <c r="B3004" s="25" t="inlineStr">
        <is>
          <t>750ml</t>
        </is>
      </c>
    </row>
    <row r="3005">
      <c r="A3005" s="25" t="n">
        <v>87414</v>
      </c>
      <c r="B3005" s="25" t="inlineStr">
        <is>
          <t>375ml</t>
        </is>
      </c>
    </row>
    <row r="3006">
      <c r="A3006" s="25" t="n">
        <v>25608</v>
      </c>
      <c r="B3006" s="25" t="inlineStr">
        <is>
          <t>1.75L</t>
        </is>
      </c>
    </row>
    <row r="3007">
      <c r="A3007" s="25" t="n">
        <v>355760</v>
      </c>
      <c r="B3007" s="25" t="inlineStr">
        <is>
          <t>187ml</t>
        </is>
      </c>
    </row>
    <row r="3008">
      <c r="A3008" s="25" t="n">
        <v>418330</v>
      </c>
      <c r="B3008" s="25" t="inlineStr">
        <is>
          <t>750ml</t>
        </is>
      </c>
    </row>
    <row r="3009">
      <c r="A3009" s="25" t="n">
        <v>483100</v>
      </c>
      <c r="B3009" s="25" t="inlineStr">
        <is>
          <t>750ml</t>
        </is>
      </c>
    </row>
    <row r="3010">
      <c r="A3010" s="25" t="n">
        <v>43533</v>
      </c>
      <c r="B3010" s="25" t="inlineStr">
        <is>
          <t>1L</t>
        </is>
      </c>
    </row>
    <row r="3011">
      <c r="A3011" s="25" t="n">
        <v>568905</v>
      </c>
      <c r="B3011" s="25" t="inlineStr">
        <is>
          <t>1.5L</t>
        </is>
      </c>
    </row>
    <row r="3012">
      <c r="A3012" s="25" t="n">
        <v>485537</v>
      </c>
      <c r="B3012" s="25" t="inlineStr">
        <is>
          <t>750ml</t>
        </is>
      </c>
    </row>
    <row r="3013">
      <c r="A3013" s="25" t="n">
        <v>87563</v>
      </c>
      <c r="B3013" s="25" t="inlineStr">
        <is>
          <t>750ml</t>
        </is>
      </c>
    </row>
    <row r="3014">
      <c r="A3014" s="25" t="n">
        <v>480322</v>
      </c>
      <c r="B3014" s="25" t="inlineStr">
        <is>
          <t>1.5L</t>
        </is>
      </c>
    </row>
    <row r="3015">
      <c r="A3015" s="25" t="n">
        <v>508165</v>
      </c>
      <c r="B3015" s="25" t="inlineStr">
        <is>
          <t>750ml</t>
        </is>
      </c>
    </row>
    <row r="3016">
      <c r="A3016" s="25" t="n">
        <v>43801</v>
      </c>
      <c r="B3016" s="25" t="inlineStr">
        <is>
          <t>750ml</t>
        </is>
      </c>
    </row>
    <row r="3017">
      <c r="A3017" s="25" t="n">
        <v>89215</v>
      </c>
      <c r="B3017" s="25" t="inlineStr">
        <is>
          <t>750ml</t>
        </is>
      </c>
    </row>
    <row r="3018">
      <c r="A3018" s="25" t="n">
        <v>48151</v>
      </c>
      <c r="B3018" s="25" t="inlineStr">
        <is>
          <t>200ml</t>
        </is>
      </c>
    </row>
    <row r="3019">
      <c r="A3019" s="25" t="n">
        <v>27544</v>
      </c>
      <c r="B3019" s="25" t="inlineStr">
        <is>
          <t>750ml</t>
        </is>
      </c>
    </row>
    <row r="3020">
      <c r="A3020" s="25" t="n">
        <v>101815</v>
      </c>
      <c r="B3020" s="25" t="inlineStr">
        <is>
          <t>750ml</t>
        </is>
      </c>
    </row>
    <row r="3021">
      <c r="A3021" s="25" t="n">
        <v>10802</v>
      </c>
      <c r="B3021" s="25" t="inlineStr">
        <is>
          <t>750ml</t>
        </is>
      </c>
    </row>
    <row r="3022">
      <c r="A3022" s="25" t="n">
        <v>30322</v>
      </c>
      <c r="B3022" s="25" t="inlineStr">
        <is>
          <t>750ml</t>
        </is>
      </c>
    </row>
    <row r="3023">
      <c r="A3023" s="25" t="n">
        <v>42395</v>
      </c>
      <c r="B3023" s="25" t="inlineStr">
        <is>
          <t>750ml</t>
        </is>
      </c>
    </row>
    <row r="3024">
      <c r="A3024" s="25" t="n">
        <v>429970</v>
      </c>
      <c r="B3024" s="25" t="inlineStr">
        <is>
          <t>750ml</t>
        </is>
      </c>
    </row>
    <row r="3025">
      <c r="A3025" s="25" t="n">
        <v>37419</v>
      </c>
      <c r="B3025" s="25" t="inlineStr">
        <is>
          <t>50ml</t>
        </is>
      </c>
    </row>
    <row r="3026">
      <c r="A3026" s="25" t="n">
        <v>384143</v>
      </c>
      <c r="B3026" s="25" t="inlineStr">
        <is>
          <t>750ml</t>
        </is>
      </c>
    </row>
    <row r="3027">
      <c r="A3027" s="25" t="n">
        <v>485490</v>
      </c>
      <c r="B3027" s="25" t="inlineStr">
        <is>
          <t>750ml</t>
        </is>
      </c>
    </row>
    <row r="3028">
      <c r="A3028" s="25" t="n">
        <v>536950</v>
      </c>
      <c r="B3028" s="25" t="inlineStr">
        <is>
          <t>750ml</t>
        </is>
      </c>
    </row>
    <row r="3029">
      <c r="A3029" s="25" t="n">
        <v>467990</v>
      </c>
      <c r="B3029" s="25" t="inlineStr">
        <is>
          <t>750ml</t>
        </is>
      </c>
    </row>
    <row r="3030">
      <c r="A3030" s="25" t="n">
        <v>467319</v>
      </c>
      <c r="B3030" s="25" t="inlineStr">
        <is>
          <t>750ml</t>
        </is>
      </c>
    </row>
    <row r="3031">
      <c r="A3031" s="25" t="n">
        <v>100932</v>
      </c>
      <c r="B3031" s="25" t="inlineStr">
        <is>
          <t>750ml</t>
        </is>
      </c>
    </row>
    <row r="3032">
      <c r="A3032" s="25" t="n">
        <v>44488</v>
      </c>
      <c r="B3032" s="25" t="inlineStr">
        <is>
          <t>1.75L</t>
        </is>
      </c>
    </row>
    <row r="3033">
      <c r="A3033" s="25" t="n">
        <v>64866</v>
      </c>
      <c r="B3033" s="25" t="inlineStr">
        <is>
          <t>750ml</t>
        </is>
      </c>
    </row>
    <row r="3034">
      <c r="A3034" s="25" t="n">
        <v>29288</v>
      </c>
      <c r="B3034" s="25" t="inlineStr">
        <is>
          <t>1.75L</t>
        </is>
      </c>
    </row>
    <row r="3035">
      <c r="A3035" s="25" t="n">
        <v>27326</v>
      </c>
      <c r="B3035" s="25" t="inlineStr">
        <is>
          <t>750ml</t>
        </is>
      </c>
    </row>
    <row r="3036">
      <c r="A3036" s="25" t="n">
        <v>45884</v>
      </c>
      <c r="B3036" s="25" t="inlineStr">
        <is>
          <t>375ml</t>
        </is>
      </c>
    </row>
    <row r="3037">
      <c r="A3037" s="25" t="n">
        <v>86536</v>
      </c>
      <c r="B3037" s="25" t="inlineStr">
        <is>
          <t>750ml</t>
        </is>
      </c>
    </row>
    <row r="3038">
      <c r="A3038" s="25" t="n">
        <v>300112</v>
      </c>
      <c r="B3038" s="25" t="inlineStr">
        <is>
          <t>750ml</t>
        </is>
      </c>
    </row>
    <row r="3039">
      <c r="A3039" s="25" t="n">
        <v>37991</v>
      </c>
      <c r="B3039" s="25" t="inlineStr">
        <is>
          <t>50ml</t>
        </is>
      </c>
    </row>
    <row r="3040">
      <c r="A3040" s="25" t="n">
        <v>22153</v>
      </c>
      <c r="B3040" s="25" t="inlineStr">
        <is>
          <t>200ml</t>
        </is>
      </c>
    </row>
    <row r="3041">
      <c r="A3041" s="25" t="n">
        <v>97726</v>
      </c>
      <c r="B3041" s="25" t="inlineStr">
        <is>
          <t>1.5L</t>
        </is>
      </c>
    </row>
    <row r="3042">
      <c r="A3042" s="25" t="n">
        <v>75255</v>
      </c>
      <c r="B3042" s="25" t="inlineStr">
        <is>
          <t>100ml</t>
        </is>
      </c>
    </row>
    <row r="3043">
      <c r="A3043" s="25" t="n">
        <v>642105</v>
      </c>
      <c r="B3043" s="25" t="inlineStr">
        <is>
          <t>1.5L</t>
        </is>
      </c>
    </row>
    <row r="3044">
      <c r="A3044" s="25" t="n">
        <v>443943</v>
      </c>
      <c r="B3044" s="25" t="inlineStr">
        <is>
          <t>750ml</t>
        </is>
      </c>
    </row>
    <row r="3045">
      <c r="A3045" s="25" t="n">
        <v>10804</v>
      </c>
      <c r="B3045" s="25" t="inlineStr">
        <is>
          <t>200ml</t>
        </is>
      </c>
    </row>
    <row r="3046">
      <c r="A3046" s="25" t="n">
        <v>19048</v>
      </c>
      <c r="B3046" s="25" t="inlineStr">
        <is>
          <t>750ml</t>
        </is>
      </c>
    </row>
    <row r="3047">
      <c r="A3047" s="25" t="n">
        <v>643050</v>
      </c>
      <c r="B3047" s="25" t="inlineStr">
        <is>
          <t>750ml</t>
        </is>
      </c>
    </row>
    <row r="3048">
      <c r="A3048" s="25" t="n">
        <v>445303</v>
      </c>
      <c r="B3048" s="25" t="inlineStr">
        <is>
          <t>3L</t>
        </is>
      </c>
    </row>
    <row r="3049">
      <c r="A3049" s="25" t="n">
        <v>40193</v>
      </c>
      <c r="B3049" s="25" t="inlineStr">
        <is>
          <t>750ml</t>
        </is>
      </c>
    </row>
    <row r="3050">
      <c r="A3050" s="25" t="n">
        <v>11287</v>
      </c>
      <c r="B3050" s="25" t="inlineStr">
        <is>
          <t>750ml</t>
        </is>
      </c>
    </row>
    <row r="3051">
      <c r="A3051" s="25" t="n">
        <v>26213</v>
      </c>
      <c r="B3051" s="25" t="inlineStr">
        <is>
          <t>750ml</t>
        </is>
      </c>
    </row>
    <row r="3052">
      <c r="A3052" s="25" t="n">
        <v>65792</v>
      </c>
      <c r="B3052" s="25" t="inlineStr">
        <is>
          <t>375ml</t>
        </is>
      </c>
    </row>
    <row r="3053">
      <c r="A3053" s="25" t="n">
        <v>460443</v>
      </c>
      <c r="B3053" s="25" t="inlineStr">
        <is>
          <t>750ml</t>
        </is>
      </c>
    </row>
    <row r="3054">
      <c r="A3054" s="25" t="n">
        <v>501990</v>
      </c>
      <c r="B3054" s="25" t="inlineStr">
        <is>
          <t>750ml</t>
        </is>
      </c>
    </row>
    <row r="3055">
      <c r="A3055" s="25" t="n">
        <v>449660</v>
      </c>
      <c r="B3055" s="25" t="inlineStr">
        <is>
          <t>1.5L</t>
        </is>
      </c>
    </row>
    <row r="3056">
      <c r="A3056" s="25" t="n">
        <v>16682</v>
      </c>
      <c r="B3056" s="25" t="inlineStr">
        <is>
          <t>1.75L</t>
        </is>
      </c>
    </row>
    <row r="3057">
      <c r="A3057" s="25" t="n">
        <v>41785</v>
      </c>
      <c r="B3057" s="25" t="inlineStr">
        <is>
          <t>750ml</t>
        </is>
      </c>
    </row>
    <row r="3058">
      <c r="A3058" s="25" t="n">
        <v>607150</v>
      </c>
      <c r="B3058" s="25" t="inlineStr">
        <is>
          <t>750ml</t>
        </is>
      </c>
    </row>
    <row r="3059">
      <c r="A3059" s="25" t="n">
        <v>745620</v>
      </c>
      <c r="B3059" s="25" t="inlineStr">
        <is>
          <t>750ml</t>
        </is>
      </c>
    </row>
    <row r="3060">
      <c r="A3060" s="25" t="n">
        <v>88921</v>
      </c>
      <c r="B3060" s="25" t="inlineStr">
        <is>
          <t>375ml</t>
        </is>
      </c>
    </row>
    <row r="3061">
      <c r="A3061" s="25" t="n">
        <v>21211</v>
      </c>
      <c r="B3061" s="25" t="inlineStr">
        <is>
          <t>1.75L</t>
        </is>
      </c>
    </row>
    <row r="3062">
      <c r="A3062" s="25" t="n">
        <v>28886</v>
      </c>
      <c r="B3062" s="25" t="inlineStr">
        <is>
          <t>750ml</t>
        </is>
      </c>
    </row>
    <row r="3063">
      <c r="A3063" s="25" t="n">
        <v>726150</v>
      </c>
      <c r="B3063" s="25" t="inlineStr">
        <is>
          <t>750ml</t>
        </is>
      </c>
    </row>
    <row r="3064">
      <c r="A3064" s="25" t="n">
        <v>444103</v>
      </c>
      <c r="B3064" s="25" t="inlineStr">
        <is>
          <t>1.5L</t>
        </is>
      </c>
    </row>
    <row r="3065">
      <c r="A3065" s="25" t="n">
        <v>802995</v>
      </c>
      <c r="B3065" s="25" t="inlineStr">
        <is>
          <t>750ml</t>
        </is>
      </c>
    </row>
    <row r="3066">
      <c r="A3066" s="25" t="n">
        <v>498124</v>
      </c>
      <c r="B3066" s="25" t="inlineStr">
        <is>
          <t>1.5L</t>
        </is>
      </c>
    </row>
    <row r="3067">
      <c r="A3067" s="25" t="n">
        <v>76502</v>
      </c>
      <c r="B3067" s="25" t="inlineStr">
        <is>
          <t>750ml</t>
        </is>
      </c>
    </row>
    <row r="3068">
      <c r="A3068" s="25" t="n">
        <v>730200</v>
      </c>
      <c r="B3068" s="25" t="inlineStr">
        <is>
          <t>750ml</t>
        </is>
      </c>
    </row>
    <row r="3069">
      <c r="A3069" s="25" t="n">
        <v>809136</v>
      </c>
      <c r="B3069" s="25" t="inlineStr">
        <is>
          <t>1.5L</t>
        </is>
      </c>
    </row>
    <row r="3070">
      <c r="A3070" s="25" t="n">
        <v>812810</v>
      </c>
      <c r="B3070" s="25" t="inlineStr">
        <is>
          <t>750ml</t>
        </is>
      </c>
    </row>
    <row r="3071">
      <c r="A3071" s="25" t="n">
        <v>809149</v>
      </c>
      <c r="B3071" s="25" t="inlineStr">
        <is>
          <t>1.5L</t>
        </is>
      </c>
    </row>
    <row r="3072">
      <c r="A3072" s="25" t="n">
        <v>32214</v>
      </c>
      <c r="B3072" s="25" t="inlineStr">
        <is>
          <t>375ml</t>
        </is>
      </c>
    </row>
    <row r="3073">
      <c r="A3073" s="25" t="n">
        <v>33706</v>
      </c>
      <c r="B3073" s="25" t="inlineStr">
        <is>
          <t>200ml</t>
        </is>
      </c>
    </row>
    <row r="3074">
      <c r="A3074" s="25" t="n">
        <v>86487</v>
      </c>
      <c r="B3074" s="25" t="inlineStr">
        <is>
          <t>1L</t>
        </is>
      </c>
    </row>
    <row r="3075">
      <c r="A3075" s="25" t="n">
        <v>42242</v>
      </c>
      <c r="B3075" s="25" t="inlineStr">
        <is>
          <t>750ml</t>
        </is>
      </c>
    </row>
    <row r="3076">
      <c r="A3076" s="25" t="n">
        <v>38515</v>
      </c>
      <c r="B3076" s="25" t="inlineStr">
        <is>
          <t>50ml</t>
        </is>
      </c>
    </row>
    <row r="3077">
      <c r="A3077" s="25" t="n">
        <v>419961</v>
      </c>
      <c r="B3077" s="25" t="inlineStr">
        <is>
          <t>750ml</t>
        </is>
      </c>
    </row>
    <row r="3078">
      <c r="A3078" s="25" t="n">
        <v>26827</v>
      </c>
      <c r="B3078" s="25" t="inlineStr">
        <is>
          <t>1L</t>
        </is>
      </c>
    </row>
    <row r="3079">
      <c r="A3079" s="25" t="n">
        <v>756300</v>
      </c>
      <c r="B3079" s="25" t="inlineStr">
        <is>
          <t>750ml</t>
        </is>
      </c>
    </row>
    <row r="3080">
      <c r="A3080" s="25" t="n">
        <v>448340</v>
      </c>
      <c r="B3080" s="25" t="inlineStr">
        <is>
          <t>750ml</t>
        </is>
      </c>
    </row>
    <row r="3081">
      <c r="A3081" s="25" t="n">
        <v>288240</v>
      </c>
      <c r="B3081" s="25" t="inlineStr">
        <is>
          <t>750ml</t>
        </is>
      </c>
    </row>
    <row r="3082">
      <c r="A3082" s="25" t="n">
        <v>478118</v>
      </c>
      <c r="B3082" s="25" t="inlineStr">
        <is>
          <t>750ml</t>
        </is>
      </c>
    </row>
    <row r="3083">
      <c r="A3083" s="25" t="n">
        <v>64083</v>
      </c>
      <c r="B3083" s="25" t="inlineStr">
        <is>
          <t>750ml</t>
        </is>
      </c>
    </row>
    <row r="3084">
      <c r="A3084" s="25" t="n">
        <v>74090</v>
      </c>
      <c r="B3084" s="25" t="inlineStr">
        <is>
          <t>750ml</t>
        </is>
      </c>
    </row>
    <row r="3085">
      <c r="A3085" s="25" t="n">
        <v>470705</v>
      </c>
      <c r="B3085" s="25" t="inlineStr">
        <is>
          <t>750ml</t>
        </is>
      </c>
    </row>
    <row r="3086">
      <c r="A3086" s="25" t="n">
        <v>84226</v>
      </c>
      <c r="B3086" s="25" t="inlineStr">
        <is>
          <t>50ml</t>
        </is>
      </c>
    </row>
    <row r="3087">
      <c r="A3087" s="25" t="n">
        <v>47785</v>
      </c>
      <c r="B3087" s="25" t="inlineStr">
        <is>
          <t>375ml</t>
        </is>
      </c>
    </row>
    <row r="3088">
      <c r="A3088" s="25" t="n">
        <v>18856</v>
      </c>
      <c r="B3088" s="25" t="inlineStr">
        <is>
          <t>750ml</t>
        </is>
      </c>
    </row>
    <row r="3089">
      <c r="A3089" s="25" t="n">
        <v>728799</v>
      </c>
      <c r="B3089" s="25" t="inlineStr">
        <is>
          <t>750ml</t>
        </is>
      </c>
    </row>
    <row r="3090">
      <c r="A3090" s="25" t="n">
        <v>57049</v>
      </c>
      <c r="B3090" s="25" t="inlineStr">
        <is>
          <t>1.75L</t>
        </is>
      </c>
    </row>
    <row r="3091">
      <c r="A3091" s="25" t="n">
        <v>64933</v>
      </c>
      <c r="B3091" s="25" t="inlineStr">
        <is>
          <t>750ml</t>
        </is>
      </c>
    </row>
    <row r="3092">
      <c r="A3092" s="25" t="n">
        <v>467812</v>
      </c>
      <c r="B3092" s="25" t="inlineStr">
        <is>
          <t>750ml</t>
        </is>
      </c>
    </row>
    <row r="3093">
      <c r="A3093" s="25" t="n">
        <v>35417</v>
      </c>
      <c r="B3093" s="25" t="inlineStr">
        <is>
          <t>1L</t>
        </is>
      </c>
    </row>
    <row r="3094">
      <c r="A3094" s="25" t="n">
        <v>89583</v>
      </c>
      <c r="B3094" s="25" t="inlineStr">
        <is>
          <t>750ml</t>
        </is>
      </c>
    </row>
    <row r="3095">
      <c r="A3095" s="25" t="n">
        <v>76892</v>
      </c>
      <c r="B3095" s="25" t="inlineStr">
        <is>
          <t>750ml</t>
        </is>
      </c>
    </row>
    <row r="3096">
      <c r="A3096" s="25" t="n">
        <v>464316</v>
      </c>
      <c r="B3096" s="25" t="inlineStr">
        <is>
          <t>750ml</t>
        </is>
      </c>
    </row>
    <row r="3097">
      <c r="A3097" s="25" t="n">
        <v>550190</v>
      </c>
      <c r="B3097" s="25" t="inlineStr">
        <is>
          <t>750ml</t>
        </is>
      </c>
    </row>
    <row r="3098">
      <c r="A3098" s="25" t="n">
        <v>89646</v>
      </c>
      <c r="B3098" s="25" t="inlineStr">
        <is>
          <t>750ml</t>
        </is>
      </c>
    </row>
    <row r="3099">
      <c r="A3099" s="25" t="n">
        <v>674030</v>
      </c>
      <c r="B3099" s="25" t="inlineStr">
        <is>
          <t>5L</t>
        </is>
      </c>
    </row>
    <row r="3100">
      <c r="A3100" s="25" t="n">
        <v>882381</v>
      </c>
      <c r="B3100" s="25" t="inlineStr">
        <is>
          <t>750ml</t>
        </is>
      </c>
    </row>
    <row r="3101">
      <c r="A3101" s="25" t="n">
        <v>729080</v>
      </c>
      <c r="B3101" s="25" t="inlineStr">
        <is>
          <t>750ml</t>
        </is>
      </c>
    </row>
    <row r="3102">
      <c r="A3102" s="25" t="n">
        <v>226725</v>
      </c>
      <c r="B3102" s="25" t="inlineStr">
        <is>
          <t>750ml</t>
        </is>
      </c>
    </row>
    <row r="3103">
      <c r="A3103" s="25" t="n">
        <v>32241</v>
      </c>
      <c r="B3103" s="25" t="inlineStr">
        <is>
          <t>200ml</t>
        </is>
      </c>
    </row>
    <row r="3104">
      <c r="A3104" s="25" t="n">
        <v>40597</v>
      </c>
      <c r="B3104" s="25" t="inlineStr">
        <is>
          <t>200ml</t>
        </is>
      </c>
    </row>
    <row r="3105">
      <c r="A3105" s="25" t="n">
        <v>489294</v>
      </c>
      <c r="B3105" s="25" t="inlineStr">
        <is>
          <t>750ml</t>
        </is>
      </c>
    </row>
    <row r="3106">
      <c r="A3106" s="25" t="n">
        <v>474525</v>
      </c>
      <c r="B3106" s="25" t="inlineStr">
        <is>
          <t>750ml</t>
        </is>
      </c>
    </row>
    <row r="3107">
      <c r="A3107" s="25" t="n">
        <v>52317</v>
      </c>
      <c r="B3107" s="25" t="inlineStr">
        <is>
          <t>1L</t>
        </is>
      </c>
    </row>
    <row r="3108">
      <c r="A3108" s="25" t="n">
        <v>16799</v>
      </c>
      <c r="B3108" s="25" t="inlineStr">
        <is>
          <t>750ml</t>
        </is>
      </c>
    </row>
    <row r="3109">
      <c r="A3109" s="25" t="n">
        <v>35816</v>
      </c>
      <c r="B3109" s="25" t="inlineStr">
        <is>
          <t>750ml</t>
        </is>
      </c>
    </row>
    <row r="3110">
      <c r="A3110" s="25" t="n">
        <v>751800</v>
      </c>
      <c r="B3110" s="25" t="inlineStr">
        <is>
          <t>750ml</t>
        </is>
      </c>
    </row>
    <row r="3111">
      <c r="A3111" s="25" t="n">
        <v>735690</v>
      </c>
      <c r="B3111" s="25" t="inlineStr">
        <is>
          <t>750ml</t>
        </is>
      </c>
    </row>
    <row r="3112">
      <c r="A3112" s="25" t="n">
        <v>499452</v>
      </c>
      <c r="B3112" s="25" t="inlineStr">
        <is>
          <t>750ml</t>
        </is>
      </c>
    </row>
    <row r="3113">
      <c r="A3113" s="25" t="n">
        <v>33490</v>
      </c>
      <c r="B3113" s="25" t="inlineStr">
        <is>
          <t>1.75L</t>
        </is>
      </c>
    </row>
    <row r="3114">
      <c r="A3114" s="25" t="n">
        <v>561015</v>
      </c>
      <c r="B3114" s="25" t="inlineStr">
        <is>
          <t>3L</t>
        </is>
      </c>
    </row>
    <row r="3115">
      <c r="A3115" s="25" t="n">
        <v>582305</v>
      </c>
      <c r="B3115" s="25" t="inlineStr">
        <is>
          <t>750ml</t>
        </is>
      </c>
    </row>
    <row r="3116">
      <c r="A3116" s="25" t="n">
        <v>71826</v>
      </c>
      <c r="B3116" s="25" t="inlineStr">
        <is>
          <t>750ml</t>
        </is>
      </c>
    </row>
    <row r="3117">
      <c r="A3117" s="25" t="n">
        <v>39883</v>
      </c>
      <c r="B3117" s="25" t="inlineStr">
        <is>
          <t>200ml</t>
        </is>
      </c>
    </row>
    <row r="3118">
      <c r="A3118" s="25" t="n">
        <v>559128</v>
      </c>
      <c r="B3118" s="25" t="inlineStr">
        <is>
          <t>750ml</t>
        </is>
      </c>
    </row>
    <row r="3119">
      <c r="A3119" s="25" t="n">
        <v>88961</v>
      </c>
      <c r="B3119" s="25" t="inlineStr">
        <is>
          <t>50ml</t>
        </is>
      </c>
    </row>
    <row r="3120">
      <c r="A3120" s="25" t="n">
        <v>15526</v>
      </c>
      <c r="B3120" s="25" t="inlineStr">
        <is>
          <t>750ml</t>
        </is>
      </c>
    </row>
    <row r="3121">
      <c r="A3121" s="25" t="n">
        <v>768678</v>
      </c>
      <c r="B3121" s="25" t="inlineStr">
        <is>
          <t>750ml</t>
        </is>
      </c>
    </row>
    <row r="3122">
      <c r="A3122" s="25" t="n">
        <v>10623</v>
      </c>
      <c r="B3122" s="25" t="inlineStr">
        <is>
          <t>200ml</t>
        </is>
      </c>
    </row>
    <row r="3123">
      <c r="A3123" s="25" t="n">
        <v>59173</v>
      </c>
      <c r="B3123" s="25" t="inlineStr">
        <is>
          <t>1.75L</t>
        </is>
      </c>
    </row>
    <row r="3124">
      <c r="A3124" s="25" t="n">
        <v>76409</v>
      </c>
      <c r="B3124" s="25" t="inlineStr">
        <is>
          <t>750ml</t>
        </is>
      </c>
    </row>
    <row r="3125">
      <c r="A3125" s="25" t="n">
        <v>741404</v>
      </c>
      <c r="B3125" s="25" t="inlineStr">
        <is>
          <t>750ml</t>
        </is>
      </c>
    </row>
    <row r="3126">
      <c r="A3126" s="25" t="n">
        <v>350300</v>
      </c>
      <c r="B3126" s="25" t="inlineStr">
        <is>
          <t>750ml</t>
        </is>
      </c>
    </row>
    <row r="3127">
      <c r="A3127" s="25" t="n">
        <v>43138</v>
      </c>
      <c r="B3127" s="25" t="inlineStr">
        <is>
          <t>1.75L</t>
        </is>
      </c>
    </row>
    <row r="3128">
      <c r="A3128" s="25" t="n">
        <v>18290</v>
      </c>
      <c r="B3128" s="25" t="inlineStr">
        <is>
          <t>750ml</t>
        </is>
      </c>
    </row>
    <row r="3129">
      <c r="A3129" s="25" t="n">
        <v>39806</v>
      </c>
      <c r="B3129" s="25" t="inlineStr">
        <is>
          <t>750ml</t>
        </is>
      </c>
    </row>
    <row r="3130">
      <c r="A3130" s="25" t="n">
        <v>475034</v>
      </c>
      <c r="B3130" s="25" t="inlineStr">
        <is>
          <t>1.5L</t>
        </is>
      </c>
    </row>
    <row r="3131">
      <c r="A3131" s="25" t="n">
        <v>87385</v>
      </c>
      <c r="B3131" s="25" t="inlineStr">
        <is>
          <t>750ml</t>
        </is>
      </c>
    </row>
    <row r="3132">
      <c r="A3132" s="25" t="n">
        <v>379040</v>
      </c>
      <c r="B3132" s="25" t="inlineStr">
        <is>
          <t>1.5L</t>
        </is>
      </c>
    </row>
    <row r="3133">
      <c r="A3133" s="25" t="n">
        <v>36180</v>
      </c>
      <c r="B3133" s="25" t="inlineStr">
        <is>
          <t>750ml</t>
        </is>
      </c>
    </row>
    <row r="3134">
      <c r="A3134" s="25" t="n">
        <v>751605</v>
      </c>
      <c r="B3134" s="25" t="inlineStr">
        <is>
          <t>750ml</t>
        </is>
      </c>
    </row>
    <row r="3135">
      <c r="A3135" s="25" t="n">
        <v>73986</v>
      </c>
      <c r="B3135" s="25" t="inlineStr">
        <is>
          <t>750ml</t>
        </is>
      </c>
    </row>
    <row r="3136">
      <c r="A3136" s="25" t="n">
        <v>89198</v>
      </c>
      <c r="B3136" s="25" t="inlineStr">
        <is>
          <t>1.75L</t>
        </is>
      </c>
    </row>
    <row r="3137">
      <c r="A3137" s="25" t="n">
        <v>638798</v>
      </c>
      <c r="B3137" s="25" t="inlineStr">
        <is>
          <t>3L</t>
        </is>
      </c>
    </row>
    <row r="3138">
      <c r="A3138" s="25" t="n">
        <v>48108</v>
      </c>
      <c r="B3138" s="25" t="inlineStr">
        <is>
          <t>1.75L</t>
        </is>
      </c>
    </row>
    <row r="3139">
      <c r="A3139" s="25" t="n">
        <v>515912</v>
      </c>
      <c r="B3139" s="25" t="inlineStr">
        <is>
          <t>750ml</t>
        </is>
      </c>
    </row>
    <row r="3140">
      <c r="A3140" s="25" t="n">
        <v>68080</v>
      </c>
      <c r="B3140" s="25" t="inlineStr">
        <is>
          <t>750ml</t>
        </is>
      </c>
    </row>
    <row r="3141">
      <c r="A3141" s="25" t="n">
        <v>12882</v>
      </c>
      <c r="B3141" s="25" t="inlineStr">
        <is>
          <t>200ml</t>
        </is>
      </c>
    </row>
    <row r="3142">
      <c r="A3142" s="25" t="n">
        <v>12478</v>
      </c>
      <c r="B3142" s="25" t="inlineStr">
        <is>
          <t>1.75L</t>
        </is>
      </c>
    </row>
    <row r="3143">
      <c r="A3143" s="25" t="n">
        <v>49188</v>
      </c>
      <c r="B3143" s="25" t="inlineStr">
        <is>
          <t>1.75L</t>
        </is>
      </c>
    </row>
    <row r="3144">
      <c r="A3144" s="25" t="n">
        <v>64147</v>
      </c>
      <c r="B3144" s="25" t="inlineStr">
        <is>
          <t>750ml</t>
        </is>
      </c>
    </row>
    <row r="3145">
      <c r="A3145" s="25" t="n">
        <v>100509</v>
      </c>
      <c r="B3145" s="25" t="inlineStr">
        <is>
          <t>750ml</t>
        </is>
      </c>
    </row>
    <row r="3146">
      <c r="A3146" s="25" t="n">
        <v>410927</v>
      </c>
      <c r="B3146" s="25" t="inlineStr">
        <is>
          <t>750ml</t>
        </is>
      </c>
    </row>
    <row r="3147">
      <c r="A3147" s="25" t="n">
        <v>443202</v>
      </c>
      <c r="B3147" s="25" t="inlineStr">
        <is>
          <t>750ml</t>
        </is>
      </c>
    </row>
    <row r="3148">
      <c r="A3148" s="25" t="n">
        <v>27130</v>
      </c>
      <c r="B3148" s="25" t="inlineStr">
        <is>
          <t>750ml</t>
        </is>
      </c>
    </row>
    <row r="3149">
      <c r="A3149" s="25" t="n">
        <v>460674</v>
      </c>
      <c r="B3149" s="25" t="inlineStr">
        <is>
          <t>750ml</t>
        </is>
      </c>
    </row>
    <row r="3150">
      <c r="A3150" s="25" t="n">
        <v>437298</v>
      </c>
      <c r="B3150" s="25" t="inlineStr">
        <is>
          <t>750ml</t>
        </is>
      </c>
    </row>
    <row r="3151">
      <c r="A3151" s="25" t="n">
        <v>22077</v>
      </c>
      <c r="B3151" s="25" t="inlineStr">
        <is>
          <t>750ml</t>
        </is>
      </c>
    </row>
    <row r="3152">
      <c r="A3152" s="25" t="n">
        <v>477510</v>
      </c>
      <c r="B3152" s="25" t="inlineStr">
        <is>
          <t>750ml</t>
        </is>
      </c>
    </row>
    <row r="3153">
      <c r="A3153" s="25" t="n">
        <v>58835</v>
      </c>
      <c r="B3153" s="25" t="inlineStr">
        <is>
          <t>200ml</t>
        </is>
      </c>
    </row>
    <row r="3154">
      <c r="A3154" s="25" t="n">
        <v>19068</v>
      </c>
      <c r="B3154" s="25" t="inlineStr">
        <is>
          <t>1.75L</t>
        </is>
      </c>
    </row>
    <row r="3155">
      <c r="A3155" s="25" t="n">
        <v>17672</v>
      </c>
      <c r="B3155" s="25" t="inlineStr">
        <is>
          <t>750ml</t>
        </is>
      </c>
    </row>
    <row r="3156">
      <c r="A3156" s="25" t="n">
        <v>35903</v>
      </c>
      <c r="B3156" s="25" t="inlineStr">
        <is>
          <t>1.75L</t>
        </is>
      </c>
    </row>
    <row r="3157">
      <c r="A3157" s="25" t="n">
        <v>16886</v>
      </c>
      <c r="B3157" s="25" t="inlineStr">
        <is>
          <t>750ml</t>
        </is>
      </c>
    </row>
    <row r="3158">
      <c r="A3158" s="25" t="n">
        <v>101135</v>
      </c>
      <c r="B3158" s="25" t="inlineStr">
        <is>
          <t>750ml</t>
        </is>
      </c>
    </row>
    <row r="3159">
      <c r="A3159" s="25" t="n">
        <v>382478</v>
      </c>
      <c r="B3159" s="25" t="inlineStr">
        <is>
          <t>750ml</t>
        </is>
      </c>
    </row>
    <row r="3160">
      <c r="A3160" s="25" t="n">
        <v>4718</v>
      </c>
      <c r="B3160" s="25" t="inlineStr">
        <is>
          <t>1.75L</t>
        </is>
      </c>
    </row>
    <row r="3161">
      <c r="A3161" s="25" t="n">
        <v>16222</v>
      </c>
      <c r="B3161" s="25" t="inlineStr">
        <is>
          <t>700ml</t>
        </is>
      </c>
    </row>
    <row r="3162">
      <c r="A3162" s="25" t="n">
        <v>456616</v>
      </c>
      <c r="B3162" s="25" t="inlineStr">
        <is>
          <t>750ml</t>
        </is>
      </c>
    </row>
    <row r="3163">
      <c r="A3163" s="25" t="n">
        <v>33665</v>
      </c>
      <c r="B3163" s="25" t="inlineStr">
        <is>
          <t>1.75L</t>
        </is>
      </c>
    </row>
    <row r="3164">
      <c r="A3164" s="25" t="n">
        <v>445836</v>
      </c>
      <c r="B3164" s="25" t="inlineStr">
        <is>
          <t>750ml</t>
        </is>
      </c>
    </row>
    <row r="3165">
      <c r="A3165" s="25" t="n">
        <v>496902</v>
      </c>
      <c r="B3165" s="25" t="inlineStr">
        <is>
          <t>750ml</t>
        </is>
      </c>
    </row>
    <row r="3166">
      <c r="A3166" s="25" t="n">
        <v>33282</v>
      </c>
      <c r="B3166" s="25" t="inlineStr">
        <is>
          <t>750ml</t>
        </is>
      </c>
    </row>
    <row r="3167">
      <c r="A3167" s="25" t="n">
        <v>34423</v>
      </c>
      <c r="B3167" s="25" t="inlineStr">
        <is>
          <t>375ml</t>
        </is>
      </c>
    </row>
    <row r="3168">
      <c r="A3168" s="25" t="n">
        <v>67902</v>
      </c>
      <c r="B3168" s="25" t="inlineStr">
        <is>
          <t>750ml</t>
        </is>
      </c>
    </row>
    <row r="3169">
      <c r="A3169" s="25" t="n">
        <v>34579</v>
      </c>
      <c r="B3169" s="25" t="inlineStr">
        <is>
          <t>750ml</t>
        </is>
      </c>
    </row>
    <row r="3170">
      <c r="A3170" s="25" t="n">
        <v>34690</v>
      </c>
      <c r="B3170" s="25" t="inlineStr">
        <is>
          <t>750ml</t>
        </is>
      </c>
    </row>
    <row r="3171">
      <c r="A3171" s="25" t="n">
        <v>424606</v>
      </c>
      <c r="B3171" s="25" t="inlineStr">
        <is>
          <t>750ml</t>
        </is>
      </c>
    </row>
    <row r="3172">
      <c r="A3172" s="25" t="n">
        <v>560950</v>
      </c>
      <c r="B3172" s="25" t="inlineStr">
        <is>
          <t>750ml</t>
        </is>
      </c>
    </row>
    <row r="3173">
      <c r="A3173" s="25" t="n">
        <v>415880</v>
      </c>
      <c r="B3173" s="25" t="inlineStr">
        <is>
          <t>750ml</t>
        </is>
      </c>
    </row>
    <row r="3174">
      <c r="A3174" s="25" t="n">
        <v>64714</v>
      </c>
      <c r="B3174" s="25" t="inlineStr">
        <is>
          <t>1.75L</t>
        </is>
      </c>
    </row>
    <row r="3175">
      <c r="A3175" s="25" t="n">
        <v>51269</v>
      </c>
      <c r="B3175" s="25" t="inlineStr">
        <is>
          <t>750ml</t>
        </is>
      </c>
    </row>
    <row r="3176">
      <c r="A3176" s="25" t="n">
        <v>456546</v>
      </c>
      <c r="B3176" s="25" t="inlineStr">
        <is>
          <t>750ml</t>
        </is>
      </c>
    </row>
    <row r="3177">
      <c r="A3177" s="25" t="n">
        <v>467949</v>
      </c>
      <c r="B3177" s="25" t="inlineStr">
        <is>
          <t>750ml</t>
        </is>
      </c>
    </row>
    <row r="3178">
      <c r="A3178" s="25" t="n">
        <v>443275</v>
      </c>
      <c r="B3178" s="25" t="inlineStr">
        <is>
          <t>750ml</t>
        </is>
      </c>
    </row>
    <row r="3179">
      <c r="A3179" s="25" t="n">
        <v>327550</v>
      </c>
      <c r="B3179" s="25" t="inlineStr">
        <is>
          <t>750ml</t>
        </is>
      </c>
    </row>
    <row r="3180">
      <c r="A3180" s="25" t="n">
        <v>67036</v>
      </c>
      <c r="B3180" s="25" t="inlineStr">
        <is>
          <t>100ml</t>
        </is>
      </c>
    </row>
    <row r="3181">
      <c r="A3181" s="25" t="n">
        <v>606472</v>
      </c>
      <c r="B3181" s="25" t="inlineStr">
        <is>
          <t>750ml</t>
        </is>
      </c>
    </row>
    <row r="3182">
      <c r="A3182" s="25" t="n">
        <v>87644</v>
      </c>
      <c r="B3182" s="25" t="inlineStr">
        <is>
          <t>1.75L</t>
        </is>
      </c>
    </row>
    <row r="3183">
      <c r="A3183" s="25" t="n">
        <v>16416</v>
      </c>
      <c r="B3183" s="25" t="inlineStr">
        <is>
          <t>750ml</t>
        </is>
      </c>
    </row>
    <row r="3184">
      <c r="A3184" s="25" t="n">
        <v>18566</v>
      </c>
      <c r="B3184" s="25" t="inlineStr">
        <is>
          <t>750ml</t>
        </is>
      </c>
    </row>
    <row r="3185">
      <c r="A3185" s="25" t="n">
        <v>771052</v>
      </c>
      <c r="B3185" s="25" t="inlineStr">
        <is>
          <t>750ml</t>
        </is>
      </c>
    </row>
    <row r="3186">
      <c r="A3186" s="25" t="n">
        <v>28863</v>
      </c>
      <c r="B3186" s="25" t="inlineStr">
        <is>
          <t>200ml</t>
        </is>
      </c>
    </row>
    <row r="3187">
      <c r="A3187" s="25" t="n">
        <v>66521</v>
      </c>
      <c r="B3187" s="25" t="inlineStr">
        <is>
          <t>1L</t>
        </is>
      </c>
    </row>
    <row r="3188">
      <c r="A3188" s="25" t="n">
        <v>17517</v>
      </c>
      <c r="B3188" s="25" t="inlineStr">
        <is>
          <t>750ml</t>
        </is>
      </c>
    </row>
    <row r="3189">
      <c r="A3189" s="25" t="n">
        <v>4866</v>
      </c>
      <c r="B3189" s="25" t="inlineStr">
        <is>
          <t>750ml</t>
        </is>
      </c>
    </row>
    <row r="3190">
      <c r="A3190" s="25" t="n">
        <v>758005</v>
      </c>
      <c r="B3190" s="25" t="inlineStr">
        <is>
          <t>750ml</t>
        </is>
      </c>
    </row>
    <row r="3191">
      <c r="A3191" s="25" t="n">
        <v>498075</v>
      </c>
      <c r="B3191" s="25" t="inlineStr">
        <is>
          <t>1.5L</t>
        </is>
      </c>
    </row>
    <row r="3192">
      <c r="A3192" s="25" t="n">
        <v>430992</v>
      </c>
      <c r="B3192" s="25" t="inlineStr">
        <is>
          <t>750ml</t>
        </is>
      </c>
    </row>
    <row r="3193">
      <c r="A3193" s="25" t="n">
        <v>327400</v>
      </c>
      <c r="B3193" s="25" t="inlineStr">
        <is>
          <t>750ml</t>
        </is>
      </c>
    </row>
    <row r="3194">
      <c r="A3194" s="25" t="n">
        <v>445073</v>
      </c>
      <c r="B3194" s="25" t="inlineStr">
        <is>
          <t>750ml</t>
        </is>
      </c>
    </row>
    <row r="3195">
      <c r="A3195" s="25" t="n">
        <v>15187</v>
      </c>
      <c r="B3195" s="25" t="inlineStr">
        <is>
          <t>750ml</t>
        </is>
      </c>
    </row>
    <row r="3196">
      <c r="A3196" s="25" t="n">
        <v>92344</v>
      </c>
      <c r="B3196" s="25" t="inlineStr">
        <is>
          <t>750ml</t>
        </is>
      </c>
    </row>
    <row r="3197">
      <c r="A3197" s="25" t="n">
        <v>812772</v>
      </c>
      <c r="B3197" s="25" t="inlineStr">
        <is>
          <t>750ml</t>
        </is>
      </c>
    </row>
    <row r="3198">
      <c r="A3198" s="25" t="n">
        <v>734760</v>
      </c>
      <c r="B3198" s="25" t="inlineStr">
        <is>
          <t>750ml</t>
        </is>
      </c>
    </row>
    <row r="3199">
      <c r="A3199" s="25" t="n">
        <v>604276</v>
      </c>
      <c r="B3199" s="25" t="inlineStr">
        <is>
          <t>750ml</t>
        </is>
      </c>
    </row>
    <row r="3200">
      <c r="A3200" s="25" t="n">
        <v>84367</v>
      </c>
      <c r="B3200" s="25" t="inlineStr">
        <is>
          <t>1L</t>
        </is>
      </c>
    </row>
    <row r="3201">
      <c r="A3201" s="25" t="n">
        <v>662630</v>
      </c>
      <c r="B3201" s="25" t="inlineStr">
        <is>
          <t>750ml</t>
        </is>
      </c>
    </row>
    <row r="3202">
      <c r="A3202" s="25" t="n">
        <v>367465</v>
      </c>
      <c r="B3202" s="25" t="inlineStr">
        <is>
          <t>750ml</t>
        </is>
      </c>
    </row>
    <row r="3203">
      <c r="A3203" s="25" t="n">
        <v>26586</v>
      </c>
      <c r="B3203" s="25" t="inlineStr">
        <is>
          <t>750ml</t>
        </is>
      </c>
    </row>
    <row r="3204">
      <c r="A3204" s="25" t="n">
        <v>444600</v>
      </c>
      <c r="B3204" s="25" t="inlineStr">
        <is>
          <t>750ml</t>
        </is>
      </c>
    </row>
    <row r="3205">
      <c r="A3205" s="25" t="n">
        <v>544110</v>
      </c>
      <c r="B3205" s="25" t="inlineStr">
        <is>
          <t>1.5L</t>
        </is>
      </c>
    </row>
    <row r="3206">
      <c r="A3206" s="25" t="n">
        <v>47541</v>
      </c>
      <c r="B3206" s="25" t="inlineStr">
        <is>
          <t>750ml</t>
        </is>
      </c>
    </row>
    <row r="3207">
      <c r="A3207" s="25" t="n">
        <v>556540</v>
      </c>
      <c r="B3207" s="25" t="inlineStr">
        <is>
          <t>750ml</t>
        </is>
      </c>
    </row>
    <row r="3208">
      <c r="A3208" s="25" t="n">
        <v>63359</v>
      </c>
      <c r="B3208" s="25" t="inlineStr">
        <is>
          <t>750ml</t>
        </is>
      </c>
    </row>
    <row r="3209">
      <c r="A3209" s="25" t="n">
        <v>469662</v>
      </c>
      <c r="B3209" s="25" t="inlineStr">
        <is>
          <t>1.5L</t>
        </is>
      </c>
    </row>
    <row r="3210">
      <c r="A3210" s="25" t="n">
        <v>460540</v>
      </c>
      <c r="B3210" s="25" t="inlineStr">
        <is>
          <t>750ml</t>
        </is>
      </c>
    </row>
    <row r="3211">
      <c r="A3211" s="25" t="n">
        <v>73140</v>
      </c>
      <c r="B3211" s="25" t="inlineStr">
        <is>
          <t>750ml</t>
        </is>
      </c>
    </row>
    <row r="3212">
      <c r="A3212" s="25" t="n">
        <v>86887</v>
      </c>
      <c r="B3212" s="25" t="inlineStr">
        <is>
          <t>1L</t>
        </is>
      </c>
    </row>
    <row r="3213">
      <c r="A3213" s="25" t="n">
        <v>44342</v>
      </c>
      <c r="B3213" s="25" t="inlineStr">
        <is>
          <t>750ml</t>
        </is>
      </c>
    </row>
    <row r="3214">
      <c r="A3214" s="25" t="n">
        <v>643</v>
      </c>
      <c r="B3214" s="25" t="inlineStr">
        <is>
          <t>750ml</t>
        </is>
      </c>
    </row>
    <row r="3215">
      <c r="A3215" s="25" t="n">
        <v>20246</v>
      </c>
      <c r="B3215" s="25" t="inlineStr">
        <is>
          <t>750ml</t>
        </is>
      </c>
    </row>
    <row r="3216">
      <c r="A3216" s="25" t="n">
        <v>35085</v>
      </c>
      <c r="B3216" s="25" t="inlineStr">
        <is>
          <t>750ml</t>
        </is>
      </c>
    </row>
    <row r="3217">
      <c r="A3217" s="25" t="n">
        <v>97831</v>
      </c>
      <c r="B3217" s="25" t="inlineStr">
        <is>
          <t>18L</t>
        </is>
      </c>
    </row>
    <row r="3218">
      <c r="A3218" s="25" t="n">
        <v>6998</v>
      </c>
      <c r="B3218" s="25" t="inlineStr">
        <is>
          <t>1.75L</t>
        </is>
      </c>
    </row>
    <row r="3219">
      <c r="A3219" s="25" t="n">
        <v>37988</v>
      </c>
      <c r="B3219" s="25" t="inlineStr">
        <is>
          <t>1.75L</t>
        </is>
      </c>
    </row>
    <row r="3220">
      <c r="A3220" s="25" t="n">
        <v>39468</v>
      </c>
      <c r="B3220" s="25" t="inlineStr">
        <is>
          <t>1.75L</t>
        </is>
      </c>
    </row>
    <row r="3221">
      <c r="A3221" s="25" t="n">
        <v>727408</v>
      </c>
      <c r="B3221" s="25" t="inlineStr">
        <is>
          <t>187ml</t>
        </is>
      </c>
    </row>
    <row r="3222">
      <c r="A3222" s="25" t="n">
        <v>403864</v>
      </c>
      <c r="B3222" s="25" t="inlineStr">
        <is>
          <t>750ml</t>
        </is>
      </c>
    </row>
    <row r="3223">
      <c r="A3223" s="25" t="n">
        <v>955242</v>
      </c>
      <c r="B3223" s="25" t="inlineStr">
        <is>
          <t>750ml</t>
        </is>
      </c>
    </row>
    <row r="3224">
      <c r="A3224" s="25" t="n">
        <v>11295</v>
      </c>
      <c r="B3224" s="25" t="inlineStr">
        <is>
          <t>375ml</t>
        </is>
      </c>
    </row>
    <row r="3225">
      <c r="A3225" s="25" t="n">
        <v>34030</v>
      </c>
      <c r="B3225" s="25" t="inlineStr">
        <is>
          <t>750ml</t>
        </is>
      </c>
    </row>
    <row r="3226">
      <c r="A3226" s="25" t="n">
        <v>43051</v>
      </c>
      <c r="B3226" s="25" t="inlineStr">
        <is>
          <t>750ml</t>
        </is>
      </c>
    </row>
    <row r="3227">
      <c r="A3227" s="25" t="n">
        <v>52656</v>
      </c>
      <c r="B3227" s="25" t="inlineStr">
        <is>
          <t>750ml</t>
        </is>
      </c>
    </row>
    <row r="3228">
      <c r="A3228" s="25" t="n">
        <v>479315</v>
      </c>
      <c r="B3228" s="25" t="inlineStr">
        <is>
          <t>750ml</t>
        </is>
      </c>
    </row>
    <row r="3229">
      <c r="A3229" s="25" t="n">
        <v>745405</v>
      </c>
      <c r="B3229" s="25" t="inlineStr">
        <is>
          <t>750ml</t>
        </is>
      </c>
    </row>
    <row r="3230">
      <c r="A3230" s="25" t="n">
        <v>5349</v>
      </c>
      <c r="B3230" s="25" t="inlineStr">
        <is>
          <t>1.75L</t>
        </is>
      </c>
    </row>
    <row r="3231">
      <c r="A3231" s="25" t="n">
        <v>425610</v>
      </c>
      <c r="B3231" s="25" t="inlineStr">
        <is>
          <t>750ml</t>
        </is>
      </c>
    </row>
    <row r="3232">
      <c r="A3232" s="25" t="n">
        <v>419693</v>
      </c>
      <c r="B3232" s="25" t="inlineStr">
        <is>
          <t>750ml</t>
        </is>
      </c>
    </row>
    <row r="3233">
      <c r="A3233" s="25" t="n">
        <v>39303</v>
      </c>
      <c r="B3233" s="25" t="inlineStr">
        <is>
          <t>50ml</t>
        </is>
      </c>
    </row>
    <row r="3234">
      <c r="A3234" s="25" t="n">
        <v>465700</v>
      </c>
      <c r="B3234" s="25" t="inlineStr">
        <is>
          <t>750ml</t>
        </is>
      </c>
    </row>
    <row r="3235">
      <c r="A3235" s="25" t="n">
        <v>547428</v>
      </c>
      <c r="B3235" s="25" t="inlineStr">
        <is>
          <t>750ml</t>
        </is>
      </c>
    </row>
    <row r="3236">
      <c r="A3236" s="25" t="n">
        <v>77367</v>
      </c>
      <c r="B3236" s="25" t="inlineStr">
        <is>
          <t>750ml</t>
        </is>
      </c>
    </row>
    <row r="3237">
      <c r="A3237" s="25" t="n">
        <v>41693</v>
      </c>
      <c r="B3237" s="25" t="inlineStr">
        <is>
          <t>750ml</t>
        </is>
      </c>
    </row>
    <row r="3238">
      <c r="A3238" s="25" t="n">
        <v>428700</v>
      </c>
      <c r="B3238" s="25" t="inlineStr">
        <is>
          <t>750ml</t>
        </is>
      </c>
    </row>
    <row r="3239">
      <c r="A3239" s="25" t="n">
        <v>464810</v>
      </c>
      <c r="B3239" s="25" t="inlineStr">
        <is>
          <t>750ml</t>
        </is>
      </c>
    </row>
    <row r="3240">
      <c r="A3240" s="25" t="n">
        <v>882172</v>
      </c>
      <c r="B3240" s="25" t="inlineStr">
        <is>
          <t>1.5L</t>
        </is>
      </c>
    </row>
    <row r="3241">
      <c r="A3241" s="25" t="n">
        <v>40492</v>
      </c>
      <c r="B3241" s="25" t="inlineStr">
        <is>
          <t>375ml</t>
        </is>
      </c>
    </row>
    <row r="3242">
      <c r="A3242" s="25" t="n">
        <v>332650</v>
      </c>
      <c r="B3242" s="25" t="inlineStr">
        <is>
          <t>750ml</t>
        </is>
      </c>
    </row>
    <row r="3243">
      <c r="A3243" s="25" t="n">
        <v>15248</v>
      </c>
      <c r="B3243" s="25" t="inlineStr">
        <is>
          <t>1.75L</t>
        </is>
      </c>
    </row>
    <row r="3244">
      <c r="A3244" s="25" t="n">
        <v>17956</v>
      </c>
      <c r="B3244" s="25" t="inlineStr">
        <is>
          <t>750ml</t>
        </is>
      </c>
    </row>
    <row r="3245">
      <c r="A3245" s="25" t="n">
        <v>491037</v>
      </c>
      <c r="B3245" s="25" t="inlineStr">
        <is>
          <t>750ml</t>
        </is>
      </c>
    </row>
    <row r="3246">
      <c r="A3246" s="25" t="n">
        <v>420435</v>
      </c>
      <c r="B3246" s="25" t="inlineStr">
        <is>
          <t>750ml</t>
        </is>
      </c>
    </row>
    <row r="3247">
      <c r="A3247" s="25" t="n">
        <v>569402</v>
      </c>
      <c r="B3247" s="25" t="inlineStr">
        <is>
          <t>1.5L</t>
        </is>
      </c>
    </row>
    <row r="3248">
      <c r="A3248" s="25" t="n">
        <v>445897</v>
      </c>
      <c r="B3248" s="25" t="inlineStr">
        <is>
          <t>750ml</t>
        </is>
      </c>
    </row>
    <row r="3249">
      <c r="A3249" s="25" t="n">
        <v>629300</v>
      </c>
      <c r="B3249" s="25" t="inlineStr">
        <is>
          <t>750ml</t>
        </is>
      </c>
    </row>
    <row r="3250">
      <c r="A3250" s="25" t="n">
        <v>606478</v>
      </c>
      <c r="B3250" s="25" t="inlineStr">
        <is>
          <t>750ml</t>
        </is>
      </c>
    </row>
    <row r="3251">
      <c r="A3251" s="25" t="n">
        <v>654625</v>
      </c>
      <c r="B3251" s="25" t="inlineStr">
        <is>
          <t>5L</t>
        </is>
      </c>
    </row>
    <row r="3252">
      <c r="A3252" s="25" t="n">
        <v>73496</v>
      </c>
      <c r="B3252" s="25" t="inlineStr">
        <is>
          <t>750ml</t>
        </is>
      </c>
    </row>
    <row r="3253">
      <c r="A3253" s="25" t="n">
        <v>515978</v>
      </c>
      <c r="B3253" s="25" t="inlineStr">
        <is>
          <t>750ml</t>
        </is>
      </c>
    </row>
    <row r="3254">
      <c r="A3254" s="25" t="n">
        <v>89200</v>
      </c>
      <c r="B3254" s="25" t="inlineStr">
        <is>
          <t>750ml</t>
        </is>
      </c>
    </row>
    <row r="3255">
      <c r="A3255" s="25" t="n">
        <v>544095</v>
      </c>
      <c r="B3255" s="25" t="inlineStr">
        <is>
          <t>3L</t>
        </is>
      </c>
    </row>
    <row r="3256">
      <c r="A3256" s="25" t="n">
        <v>64339</v>
      </c>
      <c r="B3256" s="25" t="inlineStr">
        <is>
          <t>750ml</t>
        </is>
      </c>
    </row>
    <row r="3257">
      <c r="A3257" s="25" t="n">
        <v>84142</v>
      </c>
      <c r="B3257" s="25" t="inlineStr">
        <is>
          <t>50ml</t>
        </is>
      </c>
    </row>
    <row r="3258">
      <c r="A3258" s="25" t="n">
        <v>100397</v>
      </c>
      <c r="B3258" s="25" t="inlineStr">
        <is>
          <t>750ml</t>
        </is>
      </c>
    </row>
    <row r="3259">
      <c r="A3259" s="25" t="n">
        <v>41271</v>
      </c>
      <c r="B3259" s="25" t="inlineStr">
        <is>
          <t>750ml</t>
        </is>
      </c>
    </row>
    <row r="3260">
      <c r="A3260" s="25" t="n">
        <v>354253</v>
      </c>
      <c r="B3260" s="25" t="inlineStr">
        <is>
          <t>750ml</t>
        </is>
      </c>
    </row>
    <row r="3261">
      <c r="A3261" s="25" t="n">
        <v>77771</v>
      </c>
      <c r="B3261" s="25" t="inlineStr">
        <is>
          <t>50ml</t>
        </is>
      </c>
    </row>
    <row r="3262">
      <c r="A3262" s="25" t="n">
        <v>429990</v>
      </c>
      <c r="B3262" s="25" t="inlineStr">
        <is>
          <t>750ml</t>
        </is>
      </c>
    </row>
    <row r="3263">
      <c r="A3263" s="25" t="n">
        <v>510510</v>
      </c>
      <c r="B3263" s="25" t="inlineStr">
        <is>
          <t>750ml</t>
        </is>
      </c>
    </row>
    <row r="3264">
      <c r="A3264" s="25" t="n">
        <v>65253</v>
      </c>
      <c r="B3264" s="25" t="inlineStr">
        <is>
          <t>200ml</t>
        </is>
      </c>
    </row>
    <row r="3265">
      <c r="A3265" s="25" t="n">
        <v>344502</v>
      </c>
      <c r="B3265" s="25" t="inlineStr">
        <is>
          <t>750ml</t>
        </is>
      </c>
    </row>
    <row r="3266">
      <c r="A3266" s="25" t="n">
        <v>39281</v>
      </c>
      <c r="B3266" s="25" t="inlineStr">
        <is>
          <t>200ml</t>
        </is>
      </c>
    </row>
    <row r="3267">
      <c r="A3267" s="25" t="n">
        <v>869945</v>
      </c>
      <c r="B3267" s="25" t="inlineStr">
        <is>
          <t>750ml</t>
        </is>
      </c>
    </row>
    <row r="3268">
      <c r="A3268" s="25" t="n">
        <v>443269</v>
      </c>
      <c r="B3268" s="25" t="inlineStr">
        <is>
          <t>3L</t>
        </is>
      </c>
    </row>
    <row r="3269">
      <c r="A3269" s="25" t="n">
        <v>5512</v>
      </c>
      <c r="B3269" s="25" t="inlineStr">
        <is>
          <t>750ml</t>
        </is>
      </c>
    </row>
    <row r="3270">
      <c r="A3270" s="25" t="n">
        <v>57279</v>
      </c>
      <c r="B3270" s="25" t="inlineStr">
        <is>
          <t>1.75L</t>
        </is>
      </c>
    </row>
    <row r="3271">
      <c r="A3271" s="25" t="n">
        <v>38008</v>
      </c>
      <c r="B3271" s="25" t="inlineStr">
        <is>
          <t>1.75L</t>
        </is>
      </c>
    </row>
    <row r="3272">
      <c r="A3272" s="25" t="n">
        <v>53204</v>
      </c>
      <c r="B3272" s="25" t="inlineStr">
        <is>
          <t>375ml</t>
        </is>
      </c>
    </row>
    <row r="3273">
      <c r="A3273" s="25" t="n">
        <v>467063</v>
      </c>
      <c r="B3273" s="25" t="inlineStr">
        <is>
          <t>750ml</t>
        </is>
      </c>
    </row>
    <row r="3274">
      <c r="A3274" s="25" t="n">
        <v>43565</v>
      </c>
      <c r="B3274" s="25" t="inlineStr">
        <is>
          <t>750ml</t>
        </is>
      </c>
    </row>
    <row r="3275">
      <c r="A3275" s="25" t="n">
        <v>525550</v>
      </c>
      <c r="B3275" s="25" t="inlineStr">
        <is>
          <t>750ml</t>
        </is>
      </c>
    </row>
    <row r="3276">
      <c r="A3276" s="25" t="n">
        <v>101333</v>
      </c>
      <c r="B3276" s="25" t="inlineStr">
        <is>
          <t>375ml</t>
        </is>
      </c>
    </row>
    <row r="3277">
      <c r="A3277" s="25" t="n">
        <v>47766</v>
      </c>
      <c r="B3277" s="25" t="inlineStr">
        <is>
          <t>750ml</t>
        </is>
      </c>
    </row>
    <row r="3278">
      <c r="A3278" s="25" t="n">
        <v>86321</v>
      </c>
      <c r="B3278" s="25" t="inlineStr">
        <is>
          <t>1L</t>
        </is>
      </c>
    </row>
    <row r="3279">
      <c r="A3279" s="25" t="n">
        <v>31297</v>
      </c>
      <c r="B3279" s="25" t="inlineStr">
        <is>
          <t>1L</t>
        </is>
      </c>
    </row>
    <row r="3280">
      <c r="A3280" s="25" t="n">
        <v>101532</v>
      </c>
      <c r="B3280" s="25" t="inlineStr">
        <is>
          <t>50ml</t>
        </is>
      </c>
    </row>
    <row r="3281">
      <c r="A3281" s="25" t="n">
        <v>284457</v>
      </c>
      <c r="B3281" s="25" t="inlineStr">
        <is>
          <t>750ml</t>
        </is>
      </c>
    </row>
    <row r="3282">
      <c r="A3282" s="25" t="n">
        <v>892850</v>
      </c>
      <c r="B3282" s="25" t="inlineStr">
        <is>
          <t>750ml</t>
        </is>
      </c>
    </row>
    <row r="3283">
      <c r="A3283" s="25" t="n">
        <v>347200</v>
      </c>
      <c r="B3283" s="25" t="inlineStr">
        <is>
          <t>750ml</t>
        </is>
      </c>
    </row>
    <row r="3284">
      <c r="A3284" s="25" t="n">
        <v>611964</v>
      </c>
      <c r="B3284" s="25" t="inlineStr">
        <is>
          <t>750ml</t>
        </is>
      </c>
    </row>
    <row r="3285">
      <c r="A3285" s="25" t="n">
        <v>64752</v>
      </c>
      <c r="B3285" s="25" t="inlineStr">
        <is>
          <t>1L</t>
        </is>
      </c>
    </row>
    <row r="3286">
      <c r="A3286" s="25" t="n">
        <v>451248</v>
      </c>
      <c r="B3286" s="25" t="inlineStr">
        <is>
          <t>1.5L</t>
        </is>
      </c>
    </row>
    <row r="3287">
      <c r="A3287" s="25" t="n">
        <v>64136</v>
      </c>
      <c r="B3287" s="25" t="inlineStr">
        <is>
          <t>750ml</t>
        </is>
      </c>
    </row>
    <row r="3288">
      <c r="A3288" s="25" t="n">
        <v>523110</v>
      </c>
      <c r="B3288" s="25" t="inlineStr">
        <is>
          <t>750ml</t>
        </is>
      </c>
    </row>
    <row r="3289">
      <c r="A3289" s="25" t="n">
        <v>5159</v>
      </c>
      <c r="B3289" s="25" t="inlineStr">
        <is>
          <t>750ml</t>
        </is>
      </c>
    </row>
    <row r="3290">
      <c r="A3290" s="25" t="n">
        <v>19026</v>
      </c>
      <c r="B3290" s="25" t="inlineStr">
        <is>
          <t>750ml</t>
        </is>
      </c>
    </row>
    <row r="3291">
      <c r="A3291" s="25" t="n">
        <v>24173</v>
      </c>
      <c r="B3291" s="25" t="inlineStr">
        <is>
          <t>200ml</t>
        </is>
      </c>
    </row>
    <row r="3292">
      <c r="A3292" s="25" t="n">
        <v>382572</v>
      </c>
      <c r="B3292" s="25" t="inlineStr">
        <is>
          <t>750ml</t>
        </is>
      </c>
    </row>
    <row r="3293">
      <c r="A3293" s="25" t="n">
        <v>28625</v>
      </c>
      <c r="B3293" s="25" t="inlineStr">
        <is>
          <t>750ml</t>
        </is>
      </c>
    </row>
    <row r="3294">
      <c r="A3294" s="25" t="n">
        <v>38179</v>
      </c>
      <c r="B3294" s="25" t="inlineStr">
        <is>
          <t>200ml</t>
        </is>
      </c>
    </row>
    <row r="3295">
      <c r="A3295" s="25" t="n">
        <v>42699</v>
      </c>
      <c r="B3295" s="25" t="inlineStr">
        <is>
          <t>750ml</t>
        </is>
      </c>
    </row>
    <row r="3296">
      <c r="A3296" s="25" t="n">
        <v>51107</v>
      </c>
      <c r="B3296" s="25" t="inlineStr">
        <is>
          <t>375ml</t>
        </is>
      </c>
    </row>
    <row r="3297">
      <c r="A3297" s="25" t="n">
        <v>444231</v>
      </c>
      <c r="B3297" s="25" t="inlineStr">
        <is>
          <t>750ml</t>
        </is>
      </c>
    </row>
    <row r="3298">
      <c r="A3298" s="25" t="n">
        <v>73761</v>
      </c>
      <c r="B3298" s="25" t="inlineStr">
        <is>
          <t>375ml</t>
        </is>
      </c>
    </row>
    <row r="3299">
      <c r="A3299" s="25" t="n">
        <v>888056</v>
      </c>
      <c r="B3299" s="25" t="inlineStr">
        <is>
          <t>1.5L</t>
        </is>
      </c>
    </row>
    <row r="3300">
      <c r="A3300" s="25" t="n">
        <v>42849</v>
      </c>
      <c r="B3300" s="25" t="inlineStr">
        <is>
          <t>750ml</t>
        </is>
      </c>
    </row>
    <row r="3301">
      <c r="A3301" s="25" t="n">
        <v>683340</v>
      </c>
      <c r="B3301" s="25" t="inlineStr">
        <is>
          <t>750ml</t>
        </is>
      </c>
    </row>
    <row r="3302">
      <c r="A3302" s="25" t="n">
        <v>52580</v>
      </c>
      <c r="B3302" s="25" t="inlineStr">
        <is>
          <t>200ml</t>
        </is>
      </c>
    </row>
    <row r="3303">
      <c r="A3303" s="25" t="n">
        <v>88104</v>
      </c>
      <c r="B3303" s="25" t="inlineStr">
        <is>
          <t>750ml</t>
        </is>
      </c>
    </row>
    <row r="3304">
      <c r="A3304" s="25" t="n">
        <v>302850</v>
      </c>
      <c r="B3304" s="25" t="inlineStr">
        <is>
          <t>750ml</t>
        </is>
      </c>
    </row>
    <row r="3305">
      <c r="A3305" s="25" t="n">
        <v>32237</v>
      </c>
      <c r="B3305" s="25" t="inlineStr">
        <is>
          <t>1L</t>
        </is>
      </c>
    </row>
    <row r="3306">
      <c r="A3306" s="25" t="n">
        <v>36965</v>
      </c>
      <c r="B3306" s="25" t="inlineStr">
        <is>
          <t>50ml</t>
        </is>
      </c>
    </row>
    <row r="3307">
      <c r="A3307" s="25" t="n">
        <v>478136</v>
      </c>
      <c r="B3307" s="25" t="inlineStr">
        <is>
          <t>750ml</t>
        </is>
      </c>
    </row>
    <row r="3308">
      <c r="A3308" s="25" t="n">
        <v>588715</v>
      </c>
      <c r="B3308" s="25" t="inlineStr">
        <is>
          <t>750ml</t>
        </is>
      </c>
    </row>
    <row r="3309">
      <c r="A3309" s="25" t="n">
        <v>21482</v>
      </c>
      <c r="B3309" s="25" t="inlineStr">
        <is>
          <t>1.75L</t>
        </is>
      </c>
    </row>
    <row r="3310">
      <c r="A3310" s="25" t="n">
        <v>420683</v>
      </c>
      <c r="B3310" s="25" t="inlineStr">
        <is>
          <t>750ml</t>
        </is>
      </c>
    </row>
    <row r="3311">
      <c r="A3311" s="25" t="n">
        <v>407746</v>
      </c>
      <c r="B3311" s="25" t="inlineStr">
        <is>
          <t>750ml</t>
        </is>
      </c>
    </row>
    <row r="3312">
      <c r="A3312" s="25" t="n">
        <v>495836</v>
      </c>
      <c r="B3312" s="25" t="inlineStr">
        <is>
          <t>750ml</t>
        </is>
      </c>
    </row>
    <row r="3313">
      <c r="A3313" s="25" t="n">
        <v>43860</v>
      </c>
      <c r="B3313" s="25" t="inlineStr">
        <is>
          <t>750ml</t>
        </is>
      </c>
    </row>
    <row r="3314">
      <c r="A3314" s="25" t="n">
        <v>73051</v>
      </c>
      <c r="B3314" s="25" t="inlineStr">
        <is>
          <t>50ml</t>
        </is>
      </c>
    </row>
    <row r="3315">
      <c r="A3315" s="25" t="n">
        <v>630948</v>
      </c>
      <c r="B3315" s="25" t="inlineStr">
        <is>
          <t>750ml</t>
        </is>
      </c>
    </row>
    <row r="3316">
      <c r="A3316" s="25" t="n">
        <v>616700</v>
      </c>
      <c r="B3316" s="25" t="inlineStr">
        <is>
          <t>750ml</t>
        </is>
      </c>
    </row>
    <row r="3317">
      <c r="A3317" s="25" t="n">
        <v>462101</v>
      </c>
      <c r="B3317" s="25" t="inlineStr">
        <is>
          <t>750ml</t>
        </is>
      </c>
    </row>
    <row r="3318">
      <c r="A3318" s="25" t="n">
        <v>464</v>
      </c>
      <c r="B3318" s="25" t="inlineStr">
        <is>
          <t>750ml</t>
        </is>
      </c>
    </row>
    <row r="3319">
      <c r="A3319" s="25" t="n">
        <v>88361</v>
      </c>
      <c r="B3319" s="25" t="inlineStr">
        <is>
          <t>750ml</t>
        </is>
      </c>
    </row>
    <row r="3320">
      <c r="A3320" s="25" t="n">
        <v>480320</v>
      </c>
      <c r="B3320" s="25" t="inlineStr">
        <is>
          <t>1.5L</t>
        </is>
      </c>
    </row>
    <row r="3321">
      <c r="A3321" s="25" t="n">
        <v>480108</v>
      </c>
      <c r="B3321" s="25" t="inlineStr">
        <is>
          <t>750ml</t>
        </is>
      </c>
    </row>
    <row r="3322">
      <c r="A3322" s="25" t="n">
        <v>15745</v>
      </c>
      <c r="B3322" s="25" t="inlineStr">
        <is>
          <t>750ml</t>
        </is>
      </c>
    </row>
    <row r="3323">
      <c r="A3323" s="25" t="n">
        <v>67032</v>
      </c>
      <c r="B3323" s="25" t="inlineStr">
        <is>
          <t>750ml</t>
        </is>
      </c>
    </row>
    <row r="3324">
      <c r="A3324" s="25" t="n">
        <v>16673</v>
      </c>
      <c r="B3324" s="25" t="inlineStr">
        <is>
          <t>375ml</t>
        </is>
      </c>
    </row>
    <row r="3325">
      <c r="A3325" s="25" t="n">
        <v>38577</v>
      </c>
      <c r="B3325" s="25" t="inlineStr">
        <is>
          <t>750ml</t>
        </is>
      </c>
    </row>
    <row r="3326">
      <c r="A3326" s="25" t="n">
        <v>57157</v>
      </c>
      <c r="B3326" s="25" t="inlineStr">
        <is>
          <t>1.75L</t>
        </is>
      </c>
    </row>
    <row r="3327">
      <c r="A3327" s="25" t="n">
        <v>22788</v>
      </c>
      <c r="B3327" s="25" t="inlineStr">
        <is>
          <t>1.75L</t>
        </is>
      </c>
    </row>
    <row r="3328">
      <c r="A3328" s="25" t="n">
        <v>10098</v>
      </c>
      <c r="B3328" s="25" t="inlineStr">
        <is>
          <t>1.75L</t>
        </is>
      </c>
    </row>
    <row r="3329">
      <c r="A3329" s="25" t="n">
        <v>51109</v>
      </c>
      <c r="B3329" s="25" t="inlineStr">
        <is>
          <t>1L</t>
        </is>
      </c>
    </row>
    <row r="3330">
      <c r="A3330" s="25" t="n">
        <v>564370</v>
      </c>
      <c r="B3330" s="25" t="inlineStr">
        <is>
          <t>750ml</t>
        </is>
      </c>
    </row>
    <row r="3331">
      <c r="A3331" s="25" t="n">
        <v>42668</v>
      </c>
      <c r="B3331" s="25" t="inlineStr">
        <is>
          <t>1.75L</t>
        </is>
      </c>
    </row>
    <row r="3332">
      <c r="A3332" s="25" t="n">
        <v>562810</v>
      </c>
      <c r="B3332" s="25" t="inlineStr">
        <is>
          <t>750ml</t>
        </is>
      </c>
    </row>
    <row r="3333">
      <c r="A3333" s="25" t="n">
        <v>101677</v>
      </c>
      <c r="B3333" s="25" t="inlineStr">
        <is>
          <t>750ml</t>
        </is>
      </c>
    </row>
    <row r="3334">
      <c r="A3334" s="25" t="n">
        <v>370630</v>
      </c>
      <c r="B3334" s="25" t="inlineStr">
        <is>
          <t>750ml</t>
        </is>
      </c>
    </row>
    <row r="3335">
      <c r="A3335" s="25" t="n">
        <v>64348</v>
      </c>
      <c r="B3335" s="25" t="inlineStr">
        <is>
          <t>750ml</t>
        </is>
      </c>
    </row>
    <row r="3336">
      <c r="A3336" s="25" t="n">
        <v>477790</v>
      </c>
      <c r="B3336" s="25" t="inlineStr">
        <is>
          <t>750ml</t>
        </is>
      </c>
    </row>
    <row r="3337">
      <c r="A3337" s="25" t="n">
        <v>728796</v>
      </c>
      <c r="B3337" s="25" t="inlineStr">
        <is>
          <t>1.5L</t>
        </is>
      </c>
    </row>
    <row r="3338">
      <c r="A3338" s="25" t="n">
        <v>39922</v>
      </c>
      <c r="B3338" s="25" t="inlineStr">
        <is>
          <t>750ml</t>
        </is>
      </c>
    </row>
    <row r="3339">
      <c r="A3339" s="25" t="n">
        <v>48996</v>
      </c>
      <c r="B3339" s="25" t="inlineStr">
        <is>
          <t>750ml</t>
        </is>
      </c>
    </row>
    <row r="3340">
      <c r="A3340" s="25" t="n">
        <v>15830</v>
      </c>
      <c r="B3340" s="25" t="inlineStr">
        <is>
          <t>750ml</t>
        </is>
      </c>
    </row>
    <row r="3341">
      <c r="A3341" s="25" t="n">
        <v>11364</v>
      </c>
      <c r="B3341" s="25" t="inlineStr">
        <is>
          <t>375ml</t>
        </is>
      </c>
    </row>
    <row r="3342">
      <c r="A3342" s="25" t="n">
        <v>43112</v>
      </c>
      <c r="B3342" s="25" t="inlineStr">
        <is>
          <t>1.75L</t>
        </is>
      </c>
    </row>
    <row r="3343">
      <c r="A3343" s="25" t="n">
        <v>499600</v>
      </c>
      <c r="B3343" s="25" t="inlineStr">
        <is>
          <t>750ml</t>
        </is>
      </c>
    </row>
    <row r="3344">
      <c r="A3344" s="25" t="n">
        <v>490657</v>
      </c>
      <c r="B3344" s="25" t="inlineStr">
        <is>
          <t>750ml</t>
        </is>
      </c>
    </row>
    <row r="3345">
      <c r="A3345" s="25" t="n">
        <v>65127</v>
      </c>
      <c r="B3345" s="25" t="inlineStr">
        <is>
          <t>1L</t>
        </is>
      </c>
    </row>
    <row r="3346">
      <c r="A3346" s="25" t="n">
        <v>580790</v>
      </c>
      <c r="B3346" s="25" t="inlineStr">
        <is>
          <t>750ml</t>
        </is>
      </c>
    </row>
    <row r="3347">
      <c r="A3347" s="25" t="n">
        <v>87938</v>
      </c>
      <c r="B3347" s="25" t="inlineStr">
        <is>
          <t>1.75L</t>
        </is>
      </c>
    </row>
    <row r="3348">
      <c r="A3348" s="25" t="n">
        <v>454752</v>
      </c>
      <c r="B3348" s="25" t="inlineStr">
        <is>
          <t>750ml</t>
        </is>
      </c>
    </row>
    <row r="3349">
      <c r="A3349" s="25" t="n">
        <v>86670</v>
      </c>
      <c r="B3349" s="25" t="inlineStr">
        <is>
          <t>750ml</t>
        </is>
      </c>
    </row>
    <row r="3350">
      <c r="A3350" s="25" t="n">
        <v>74802</v>
      </c>
      <c r="B3350" s="25" t="inlineStr">
        <is>
          <t>1L</t>
        </is>
      </c>
    </row>
    <row r="3351">
      <c r="A3351" s="25" t="n">
        <v>39418</v>
      </c>
      <c r="B3351" s="25" t="inlineStr">
        <is>
          <t>200ml</t>
        </is>
      </c>
    </row>
    <row r="3352">
      <c r="A3352" s="25" t="n">
        <v>729030</v>
      </c>
      <c r="B3352" s="25" t="inlineStr">
        <is>
          <t>750ml</t>
        </is>
      </c>
    </row>
    <row r="3353">
      <c r="A3353" s="25" t="n">
        <v>771582</v>
      </c>
      <c r="B3353" s="25" t="inlineStr">
        <is>
          <t>750ml</t>
        </is>
      </c>
    </row>
    <row r="3354">
      <c r="A3354" s="25" t="n">
        <v>38575</v>
      </c>
      <c r="B3354" s="25" t="inlineStr">
        <is>
          <t>50ml</t>
        </is>
      </c>
    </row>
    <row r="3355">
      <c r="A3355" s="25" t="n">
        <v>36964</v>
      </c>
      <c r="B3355" s="25" t="inlineStr">
        <is>
          <t>50ml</t>
        </is>
      </c>
    </row>
    <row r="3356">
      <c r="A3356" s="25" t="n">
        <v>58801</v>
      </c>
      <c r="B3356" s="25" t="inlineStr">
        <is>
          <t>1.75L</t>
        </is>
      </c>
    </row>
    <row r="3357">
      <c r="A3357" s="25" t="n">
        <v>267735</v>
      </c>
      <c r="B3357" s="25" t="inlineStr">
        <is>
          <t>750ml</t>
        </is>
      </c>
    </row>
    <row r="3358">
      <c r="A3358" s="25" t="n">
        <v>100215</v>
      </c>
      <c r="B3358" s="25" t="inlineStr">
        <is>
          <t>750ml</t>
        </is>
      </c>
    </row>
    <row r="3359">
      <c r="A3359" s="25" t="n">
        <v>581495</v>
      </c>
      <c r="B3359" s="25" t="inlineStr">
        <is>
          <t>750ml</t>
        </is>
      </c>
    </row>
    <row r="3360">
      <c r="A3360" s="25" t="n">
        <v>74751</v>
      </c>
      <c r="B3360" s="25" t="inlineStr">
        <is>
          <t>750ml</t>
        </is>
      </c>
    </row>
    <row r="3361">
      <c r="A3361" s="25" t="n">
        <v>64145</v>
      </c>
      <c r="B3361" s="25" t="inlineStr">
        <is>
          <t>1L</t>
        </is>
      </c>
    </row>
    <row r="3362">
      <c r="A3362" s="25" t="n">
        <v>38084</v>
      </c>
      <c r="B3362" s="25" t="inlineStr">
        <is>
          <t>375ml</t>
        </is>
      </c>
    </row>
    <row r="3363">
      <c r="A3363" s="25" t="n">
        <v>298080</v>
      </c>
      <c r="B3363" s="25" t="inlineStr">
        <is>
          <t>750ml</t>
        </is>
      </c>
    </row>
    <row r="3364">
      <c r="A3364" s="25" t="n">
        <v>763550</v>
      </c>
      <c r="B3364" s="25" t="inlineStr">
        <is>
          <t>750ml</t>
        </is>
      </c>
    </row>
    <row r="3365">
      <c r="A3365" s="25" t="n">
        <v>498060</v>
      </c>
      <c r="B3365" s="25" t="inlineStr">
        <is>
          <t>750ml</t>
        </is>
      </c>
    </row>
    <row r="3366">
      <c r="A3366" s="25" t="n">
        <v>565236</v>
      </c>
      <c r="B3366" s="25" t="inlineStr">
        <is>
          <t>750ml</t>
        </is>
      </c>
    </row>
    <row r="3367">
      <c r="A3367" s="25" t="n">
        <v>748100</v>
      </c>
      <c r="B3367" s="25" t="inlineStr">
        <is>
          <t>750ml</t>
        </is>
      </c>
    </row>
    <row r="3368">
      <c r="A3368" s="25" t="n">
        <v>58250</v>
      </c>
      <c r="B3368" s="25" t="inlineStr">
        <is>
          <t>355ml</t>
        </is>
      </c>
    </row>
    <row r="3369">
      <c r="A3369" s="25" t="n">
        <v>89609</v>
      </c>
      <c r="B3369" s="25" t="inlineStr">
        <is>
          <t>1L</t>
        </is>
      </c>
    </row>
    <row r="3370">
      <c r="A3370" s="25" t="n">
        <v>90298</v>
      </c>
      <c r="B3370" s="25" t="inlineStr">
        <is>
          <t>750ml</t>
        </is>
      </c>
    </row>
    <row r="3371">
      <c r="A3371" s="25" t="n">
        <v>567410</v>
      </c>
      <c r="B3371" s="25" t="inlineStr">
        <is>
          <t>750ml</t>
        </is>
      </c>
    </row>
    <row r="3372">
      <c r="A3372" s="25" t="n">
        <v>579685</v>
      </c>
      <c r="B3372" s="25" t="inlineStr">
        <is>
          <t>750ml</t>
        </is>
      </c>
    </row>
    <row r="3373">
      <c r="A3373" s="25" t="n">
        <v>58898</v>
      </c>
      <c r="B3373" s="25" t="inlineStr">
        <is>
          <t>1.75L</t>
        </is>
      </c>
    </row>
    <row r="3374">
      <c r="A3374" s="25" t="n">
        <v>758610</v>
      </c>
      <c r="B3374" s="25" t="inlineStr">
        <is>
          <t>750ml</t>
        </is>
      </c>
    </row>
    <row r="3375">
      <c r="A3375" s="25" t="n">
        <v>478128</v>
      </c>
      <c r="B3375" s="25" t="inlineStr">
        <is>
          <t>750ml</t>
        </is>
      </c>
    </row>
    <row r="3376">
      <c r="A3376" s="25" t="n">
        <v>495175</v>
      </c>
      <c r="B3376" s="25" t="inlineStr">
        <is>
          <t>5L</t>
        </is>
      </c>
    </row>
    <row r="3377">
      <c r="A3377" s="25" t="n">
        <v>16063</v>
      </c>
      <c r="B3377" s="25" t="inlineStr">
        <is>
          <t>750ml</t>
        </is>
      </c>
    </row>
    <row r="3378">
      <c r="A3378" s="25" t="n">
        <v>89193</v>
      </c>
      <c r="B3378" s="25" t="inlineStr">
        <is>
          <t>200ml</t>
        </is>
      </c>
    </row>
    <row r="3379">
      <c r="A3379" s="25" t="n">
        <v>48102</v>
      </c>
      <c r="B3379" s="25" t="inlineStr">
        <is>
          <t>100ml</t>
        </is>
      </c>
    </row>
    <row r="3380">
      <c r="A3380" s="25" t="n">
        <v>43909</v>
      </c>
      <c r="B3380" s="25" t="inlineStr">
        <is>
          <t>200ml</t>
        </is>
      </c>
    </row>
    <row r="3381">
      <c r="A3381" s="25" t="n">
        <v>12464</v>
      </c>
      <c r="B3381" s="25" t="inlineStr">
        <is>
          <t>375ml</t>
        </is>
      </c>
    </row>
    <row r="3382">
      <c r="A3382" s="25" t="n">
        <v>49156</v>
      </c>
      <c r="B3382" s="25" t="inlineStr">
        <is>
          <t>750ml</t>
        </is>
      </c>
    </row>
    <row r="3383">
      <c r="A3383" s="25" t="n">
        <v>88413</v>
      </c>
      <c r="B3383" s="25" t="inlineStr">
        <is>
          <t>750ml</t>
        </is>
      </c>
    </row>
    <row r="3384">
      <c r="A3384" s="25" t="n">
        <v>429953</v>
      </c>
      <c r="B3384" s="25" t="inlineStr">
        <is>
          <t>1.5L</t>
        </is>
      </c>
    </row>
    <row r="3385">
      <c r="A3385" s="25" t="n">
        <v>724650</v>
      </c>
      <c r="B3385" s="25" t="inlineStr">
        <is>
          <t>750ml</t>
        </is>
      </c>
    </row>
    <row r="3386">
      <c r="A3386" s="25" t="n">
        <v>77264</v>
      </c>
      <c r="B3386" s="25" t="inlineStr">
        <is>
          <t>375ml</t>
        </is>
      </c>
    </row>
    <row r="3387">
      <c r="A3387" s="25" t="n">
        <v>478060</v>
      </c>
      <c r="B3387" s="25" t="inlineStr">
        <is>
          <t>750ml</t>
        </is>
      </c>
    </row>
    <row r="3388">
      <c r="A3388" s="25" t="n">
        <v>66052</v>
      </c>
      <c r="B3388" s="25" t="inlineStr">
        <is>
          <t>750ml</t>
        </is>
      </c>
    </row>
    <row r="3389">
      <c r="A3389" s="25" t="n">
        <v>43735</v>
      </c>
      <c r="B3389" s="25" t="inlineStr">
        <is>
          <t>750ml</t>
        </is>
      </c>
    </row>
    <row r="3390">
      <c r="A3390" s="25" t="n">
        <v>467738</v>
      </c>
      <c r="B3390" s="25" t="inlineStr">
        <is>
          <t>5L</t>
        </is>
      </c>
    </row>
    <row r="3391">
      <c r="A3391" s="25" t="n">
        <v>58902</v>
      </c>
      <c r="B3391" s="25" t="inlineStr">
        <is>
          <t>200ml</t>
        </is>
      </c>
    </row>
    <row r="3392">
      <c r="A3392" s="25" t="n">
        <v>63319</v>
      </c>
      <c r="B3392" s="25" t="inlineStr">
        <is>
          <t>375ml</t>
        </is>
      </c>
    </row>
    <row r="3393">
      <c r="A3393" s="25" t="n">
        <v>80363</v>
      </c>
      <c r="B3393" s="25" t="inlineStr">
        <is>
          <t>750ml</t>
        </is>
      </c>
    </row>
    <row r="3394">
      <c r="A3394" s="25" t="n">
        <v>496360</v>
      </c>
      <c r="B3394" s="25" t="inlineStr">
        <is>
          <t>750ml</t>
        </is>
      </c>
    </row>
    <row r="3395">
      <c r="A3395" s="25" t="n">
        <v>520784</v>
      </c>
      <c r="B3395" s="25" t="inlineStr">
        <is>
          <t>750ml</t>
        </is>
      </c>
    </row>
    <row r="3396">
      <c r="A3396" s="25" t="n">
        <v>44436</v>
      </c>
      <c r="B3396" s="25" t="inlineStr">
        <is>
          <t>750ml</t>
        </is>
      </c>
    </row>
    <row r="3397">
      <c r="A3397" s="25" t="n">
        <v>57098</v>
      </c>
      <c r="B3397" s="25" t="inlineStr">
        <is>
          <t>200ml</t>
        </is>
      </c>
    </row>
    <row r="3398">
      <c r="A3398" s="25" t="n">
        <v>57065</v>
      </c>
      <c r="B3398" s="25" t="inlineStr">
        <is>
          <t>1.75L</t>
        </is>
      </c>
    </row>
    <row r="3399">
      <c r="A3399" s="25" t="n">
        <v>233650</v>
      </c>
      <c r="B3399" s="25" t="inlineStr">
        <is>
          <t>750ml</t>
        </is>
      </c>
    </row>
    <row r="3400">
      <c r="A3400" s="25" t="n">
        <v>20537</v>
      </c>
      <c r="B3400" s="25" t="inlineStr">
        <is>
          <t>1L</t>
        </is>
      </c>
    </row>
    <row r="3401">
      <c r="A3401" s="25" t="n">
        <v>80365</v>
      </c>
      <c r="B3401" s="25" t="inlineStr">
        <is>
          <t>750ml</t>
        </is>
      </c>
    </row>
    <row r="3402">
      <c r="A3402" s="25" t="n">
        <v>543130</v>
      </c>
      <c r="B3402" s="25" t="inlineStr">
        <is>
          <t>750ml</t>
        </is>
      </c>
    </row>
    <row r="3403">
      <c r="A3403" s="25" t="n">
        <v>101445</v>
      </c>
      <c r="B3403" s="25" t="inlineStr">
        <is>
          <t>50ml</t>
        </is>
      </c>
    </row>
    <row r="3404">
      <c r="A3404" s="25" t="n">
        <v>19063</v>
      </c>
      <c r="B3404" s="25" t="inlineStr">
        <is>
          <t>200ml</t>
        </is>
      </c>
    </row>
    <row r="3405">
      <c r="A3405" s="25" t="n">
        <v>27016</v>
      </c>
      <c r="B3405" s="25" t="inlineStr">
        <is>
          <t>750ml</t>
        </is>
      </c>
    </row>
    <row r="3406">
      <c r="A3406" s="25" t="n">
        <v>42656</v>
      </c>
      <c r="B3406" s="25" t="inlineStr">
        <is>
          <t>750ml</t>
        </is>
      </c>
    </row>
    <row r="3407">
      <c r="A3407" s="25" t="n">
        <v>34856</v>
      </c>
      <c r="B3407" s="25" t="inlineStr">
        <is>
          <t>750ml</t>
        </is>
      </c>
    </row>
    <row r="3408">
      <c r="A3408" s="25" t="n">
        <v>64336</v>
      </c>
      <c r="B3408" s="25" t="inlineStr">
        <is>
          <t>750ml</t>
        </is>
      </c>
    </row>
    <row r="3409">
      <c r="A3409" s="25" t="n">
        <v>95486</v>
      </c>
      <c r="B3409" s="25" t="inlineStr">
        <is>
          <t>1.5L</t>
        </is>
      </c>
    </row>
    <row r="3410">
      <c r="A3410" s="25" t="n">
        <v>36617</v>
      </c>
      <c r="B3410" s="25" t="inlineStr">
        <is>
          <t>375ml</t>
        </is>
      </c>
    </row>
    <row r="3411">
      <c r="A3411" s="25" t="n">
        <v>456565</v>
      </c>
      <c r="B3411" s="25" t="inlineStr">
        <is>
          <t>750ml</t>
        </is>
      </c>
    </row>
    <row r="3412">
      <c r="A3412" s="25" t="n">
        <v>633305</v>
      </c>
      <c r="B3412" s="25" t="inlineStr">
        <is>
          <t>1.5L</t>
        </is>
      </c>
    </row>
    <row r="3413">
      <c r="A3413" s="25" t="n">
        <v>711310</v>
      </c>
      <c r="B3413" s="25" t="inlineStr">
        <is>
          <t>750ml</t>
        </is>
      </c>
    </row>
    <row r="3414">
      <c r="A3414" s="25" t="n">
        <v>63452</v>
      </c>
      <c r="B3414" s="25" t="inlineStr">
        <is>
          <t>355ml</t>
        </is>
      </c>
    </row>
    <row r="3415">
      <c r="A3415" s="25" t="n">
        <v>80706</v>
      </c>
      <c r="B3415" s="25" t="inlineStr">
        <is>
          <t>750ml</t>
        </is>
      </c>
    </row>
    <row r="3416">
      <c r="A3416" s="25" t="n">
        <v>10793</v>
      </c>
      <c r="B3416" s="25" t="inlineStr">
        <is>
          <t>1.75L</t>
        </is>
      </c>
    </row>
    <row r="3417">
      <c r="A3417" s="25" t="n">
        <v>52597</v>
      </c>
      <c r="B3417" s="25" t="inlineStr">
        <is>
          <t>1L</t>
        </is>
      </c>
    </row>
    <row r="3418">
      <c r="A3418" s="25" t="n">
        <v>87276</v>
      </c>
      <c r="B3418" s="25" t="inlineStr">
        <is>
          <t>750ml</t>
        </is>
      </c>
    </row>
    <row r="3419">
      <c r="A3419" s="25" t="n">
        <v>64489</v>
      </c>
      <c r="B3419" s="25" t="inlineStr">
        <is>
          <t>750ml</t>
        </is>
      </c>
    </row>
    <row r="3420">
      <c r="A3420" s="25" t="n">
        <v>40071</v>
      </c>
      <c r="B3420" s="25" t="inlineStr">
        <is>
          <t>750ml</t>
        </is>
      </c>
    </row>
    <row r="3421">
      <c r="A3421" s="25" t="n">
        <v>28778</v>
      </c>
      <c r="B3421" s="25" t="inlineStr">
        <is>
          <t>750ml</t>
        </is>
      </c>
    </row>
    <row r="3422">
      <c r="A3422" s="25" t="n">
        <v>65204</v>
      </c>
      <c r="B3422" s="25" t="inlineStr">
        <is>
          <t>50ml</t>
        </is>
      </c>
    </row>
    <row r="3423">
      <c r="A3423" s="25" t="n">
        <v>27439</v>
      </c>
      <c r="B3423" s="25" t="inlineStr">
        <is>
          <t>750ml</t>
        </is>
      </c>
    </row>
    <row r="3424">
      <c r="A3424" s="25" t="n">
        <v>41834</v>
      </c>
      <c r="B3424" s="25" t="inlineStr">
        <is>
          <t>375ml</t>
        </is>
      </c>
    </row>
    <row r="3425">
      <c r="A3425" s="25" t="n">
        <v>462510</v>
      </c>
      <c r="B3425" s="25" t="inlineStr">
        <is>
          <t>750ml</t>
        </is>
      </c>
    </row>
    <row r="3426">
      <c r="A3426" s="25" t="n">
        <v>86471</v>
      </c>
      <c r="B3426" s="25" t="inlineStr">
        <is>
          <t>750ml</t>
        </is>
      </c>
    </row>
    <row r="3427">
      <c r="A3427" s="25" t="n">
        <v>101548</v>
      </c>
      <c r="B3427" s="25" t="inlineStr">
        <is>
          <t>750ml</t>
        </is>
      </c>
    </row>
    <row r="3428">
      <c r="A3428" s="25" t="n">
        <v>64573</v>
      </c>
      <c r="B3428" s="25" t="inlineStr">
        <is>
          <t>750ml</t>
        </is>
      </c>
    </row>
    <row r="3429">
      <c r="A3429" s="25" t="n">
        <v>443258</v>
      </c>
      <c r="B3429" s="25" t="inlineStr">
        <is>
          <t>1.5L</t>
        </is>
      </c>
    </row>
    <row r="3430">
      <c r="A3430" s="25" t="n">
        <v>471780</v>
      </c>
      <c r="B3430" s="25" t="inlineStr">
        <is>
          <t>750ml</t>
        </is>
      </c>
    </row>
    <row r="3431">
      <c r="A3431" s="25" t="n">
        <v>544111</v>
      </c>
      <c r="B3431" s="25" t="inlineStr">
        <is>
          <t>500ml</t>
        </is>
      </c>
    </row>
    <row r="3432">
      <c r="A3432" s="25" t="n">
        <v>89067</v>
      </c>
      <c r="B3432" s="25" t="inlineStr">
        <is>
          <t>1L</t>
        </is>
      </c>
    </row>
    <row r="3433">
      <c r="A3433" s="25" t="n">
        <v>40714</v>
      </c>
      <c r="B3433" s="25" t="inlineStr">
        <is>
          <t>750ml</t>
        </is>
      </c>
    </row>
    <row r="3434">
      <c r="A3434" s="25" t="n">
        <v>626600</v>
      </c>
      <c r="B3434" s="25" t="inlineStr">
        <is>
          <t>750ml</t>
        </is>
      </c>
    </row>
    <row r="3435">
      <c r="A3435" s="25" t="n">
        <v>87640</v>
      </c>
      <c r="B3435" s="25" t="inlineStr">
        <is>
          <t>50ml</t>
        </is>
      </c>
    </row>
    <row r="3436">
      <c r="A3436" s="25" t="n">
        <v>508560</v>
      </c>
      <c r="B3436" s="25" t="inlineStr">
        <is>
          <t>750ml</t>
        </is>
      </c>
    </row>
    <row r="3437">
      <c r="A3437" s="25" t="n">
        <v>744405</v>
      </c>
      <c r="B3437" s="25" t="inlineStr">
        <is>
          <t>187ml</t>
        </is>
      </c>
    </row>
    <row r="3438">
      <c r="A3438" s="25" t="n">
        <v>27040</v>
      </c>
      <c r="B3438" s="25" t="inlineStr">
        <is>
          <t>750ml</t>
        </is>
      </c>
    </row>
    <row r="3439">
      <c r="A3439" s="25" t="n">
        <v>445020</v>
      </c>
      <c r="B3439" s="25" t="inlineStr">
        <is>
          <t>750ml</t>
        </is>
      </c>
    </row>
    <row r="3440">
      <c r="A3440" s="25" t="n">
        <v>630815</v>
      </c>
      <c r="B3440" s="25" t="inlineStr">
        <is>
          <t>1.5L</t>
        </is>
      </c>
    </row>
    <row r="3441">
      <c r="A3441" s="25" t="n">
        <v>803485</v>
      </c>
      <c r="B3441" s="25" t="inlineStr">
        <is>
          <t>750ml</t>
        </is>
      </c>
    </row>
    <row r="3442">
      <c r="A3442" s="25" t="n">
        <v>84104</v>
      </c>
      <c r="B3442" s="25" t="inlineStr">
        <is>
          <t>50ml</t>
        </is>
      </c>
    </row>
    <row r="3443">
      <c r="A3443" s="25" t="n">
        <v>86753</v>
      </c>
      <c r="B3443" s="25" t="inlineStr">
        <is>
          <t>750ml</t>
        </is>
      </c>
    </row>
    <row r="3444">
      <c r="A3444" s="25" t="n">
        <v>683220</v>
      </c>
      <c r="B3444" s="25" t="inlineStr">
        <is>
          <t>750ml</t>
        </is>
      </c>
    </row>
    <row r="3445">
      <c r="A3445" s="25" t="n">
        <v>443267</v>
      </c>
      <c r="B3445" s="25" t="inlineStr">
        <is>
          <t>3L</t>
        </is>
      </c>
    </row>
    <row r="3446">
      <c r="A3446" s="25" t="n">
        <v>888503</v>
      </c>
      <c r="B3446" s="25" t="inlineStr">
        <is>
          <t>3L</t>
        </is>
      </c>
    </row>
    <row r="3447">
      <c r="A3447" s="25" t="n">
        <v>410467</v>
      </c>
      <c r="B3447" s="25" t="inlineStr">
        <is>
          <t>750ml</t>
        </is>
      </c>
    </row>
    <row r="3448">
      <c r="A3448" s="25" t="n">
        <v>84172</v>
      </c>
      <c r="B3448" s="25" t="inlineStr">
        <is>
          <t>50ml</t>
        </is>
      </c>
    </row>
    <row r="3449">
      <c r="A3449" s="25" t="n">
        <v>43299</v>
      </c>
      <c r="B3449" s="25" t="inlineStr">
        <is>
          <t>750ml</t>
        </is>
      </c>
    </row>
    <row r="3450">
      <c r="A3450" s="25" t="n">
        <v>26581</v>
      </c>
      <c r="B3450" s="25" t="inlineStr">
        <is>
          <t>50ml</t>
        </is>
      </c>
    </row>
    <row r="3451">
      <c r="A3451" s="25" t="n">
        <v>444585</v>
      </c>
      <c r="B3451" s="25" t="inlineStr">
        <is>
          <t>500ml</t>
        </is>
      </c>
    </row>
    <row r="3452">
      <c r="A3452" s="25" t="n">
        <v>776411</v>
      </c>
      <c r="B3452" s="25" t="inlineStr">
        <is>
          <t>750ml</t>
        </is>
      </c>
    </row>
    <row r="3453">
      <c r="A3453" s="25" t="n">
        <v>544090</v>
      </c>
      <c r="B3453" s="25" t="inlineStr">
        <is>
          <t>1.5L</t>
        </is>
      </c>
    </row>
    <row r="3454">
      <c r="A3454" s="25" t="n">
        <v>513505</v>
      </c>
      <c r="B3454" s="25" t="inlineStr">
        <is>
          <t>1.5L</t>
        </is>
      </c>
    </row>
    <row r="3455">
      <c r="A3455" s="25" t="n">
        <v>7208</v>
      </c>
      <c r="B3455" s="25" t="inlineStr">
        <is>
          <t>1.75L</t>
        </is>
      </c>
    </row>
    <row r="3456">
      <c r="A3456" s="25" t="n">
        <v>426381</v>
      </c>
      <c r="B3456" s="25" t="inlineStr">
        <is>
          <t>750ml</t>
        </is>
      </c>
    </row>
    <row r="3457">
      <c r="A3457" s="25" t="n">
        <v>19017</v>
      </c>
      <c r="B3457" s="25" t="inlineStr">
        <is>
          <t>750ml</t>
        </is>
      </c>
    </row>
    <row r="3458">
      <c r="A3458" s="25" t="n">
        <v>562197</v>
      </c>
      <c r="B3458" s="25" t="inlineStr">
        <is>
          <t>750ml</t>
        </is>
      </c>
    </row>
    <row r="3459">
      <c r="A3459" s="25" t="n">
        <v>85987</v>
      </c>
      <c r="B3459" s="25" t="inlineStr">
        <is>
          <t>1L</t>
        </is>
      </c>
    </row>
    <row r="3460">
      <c r="A3460" s="25" t="n">
        <v>75183</v>
      </c>
      <c r="B3460" s="25" t="inlineStr">
        <is>
          <t>750ml</t>
        </is>
      </c>
    </row>
    <row r="3461">
      <c r="A3461" s="25" t="n">
        <v>632869</v>
      </c>
      <c r="B3461" s="25" t="inlineStr">
        <is>
          <t>750ml</t>
        </is>
      </c>
    </row>
    <row r="3462">
      <c r="A3462" s="25" t="n">
        <v>34244</v>
      </c>
      <c r="B3462" s="25" t="inlineStr">
        <is>
          <t>750ml</t>
        </is>
      </c>
    </row>
    <row r="3463">
      <c r="A3463" s="25" t="n">
        <v>19486</v>
      </c>
      <c r="B3463" s="25" t="inlineStr">
        <is>
          <t>750ml</t>
        </is>
      </c>
    </row>
    <row r="3464">
      <c r="A3464" s="25" t="n">
        <v>84100</v>
      </c>
      <c r="B3464" s="25" t="inlineStr">
        <is>
          <t>50ml</t>
        </is>
      </c>
    </row>
    <row r="3465">
      <c r="A3465" s="25" t="n">
        <v>101690</v>
      </c>
      <c r="B3465" s="25" t="inlineStr">
        <is>
          <t>750ml</t>
        </is>
      </c>
    </row>
    <row r="3466">
      <c r="A3466" s="25" t="n">
        <v>65358</v>
      </c>
      <c r="B3466" s="25" t="inlineStr">
        <is>
          <t>100ml</t>
        </is>
      </c>
    </row>
    <row r="3467">
      <c r="A3467" s="25" t="n">
        <v>547124</v>
      </c>
      <c r="B3467" s="25" t="inlineStr">
        <is>
          <t>500ml</t>
        </is>
      </c>
    </row>
    <row r="3468">
      <c r="A3468" s="25" t="n">
        <v>88294</v>
      </c>
      <c r="B3468" s="25" t="inlineStr">
        <is>
          <t>375ml</t>
        </is>
      </c>
    </row>
    <row r="3469">
      <c r="A3469" s="25" t="n">
        <v>656830</v>
      </c>
      <c r="B3469" s="25" t="inlineStr">
        <is>
          <t>3L</t>
        </is>
      </c>
    </row>
    <row r="3470">
      <c r="A3470" s="25" t="n">
        <v>604278</v>
      </c>
      <c r="B3470" s="25" t="inlineStr">
        <is>
          <t>750ml</t>
        </is>
      </c>
    </row>
    <row r="3471">
      <c r="A3471" s="25" t="n">
        <v>915982</v>
      </c>
      <c r="B3471" s="25" t="inlineStr">
        <is>
          <t>750ml</t>
        </is>
      </c>
    </row>
    <row r="3472">
      <c r="A3472" s="25" t="n">
        <v>11285</v>
      </c>
      <c r="B3472" s="25" t="inlineStr">
        <is>
          <t>750ml</t>
        </is>
      </c>
    </row>
    <row r="3473">
      <c r="A3473" s="25" t="n">
        <v>34008</v>
      </c>
      <c r="B3473" s="25" t="inlineStr">
        <is>
          <t>1.75L</t>
        </is>
      </c>
    </row>
    <row r="3474">
      <c r="A3474" s="25" t="n">
        <v>43040</v>
      </c>
      <c r="B3474" s="25" t="inlineStr">
        <is>
          <t>1.75L</t>
        </is>
      </c>
    </row>
    <row r="3475">
      <c r="A3475" s="25" t="n">
        <v>101226</v>
      </c>
      <c r="B3475" s="25" t="inlineStr">
        <is>
          <t>750ml</t>
        </is>
      </c>
    </row>
    <row r="3476">
      <c r="A3476" s="25" t="n">
        <v>479300</v>
      </c>
      <c r="B3476" s="25" t="inlineStr">
        <is>
          <t>750ml</t>
        </is>
      </c>
    </row>
    <row r="3477">
      <c r="A3477" s="25" t="n">
        <v>47544</v>
      </c>
      <c r="B3477" s="25" t="inlineStr">
        <is>
          <t>375ml</t>
        </is>
      </c>
    </row>
    <row r="3478">
      <c r="A3478" s="25" t="n">
        <v>90326</v>
      </c>
      <c r="B3478" s="25" t="inlineStr">
        <is>
          <t>750ml</t>
        </is>
      </c>
    </row>
    <row r="3479">
      <c r="A3479" s="25" t="n">
        <v>86987</v>
      </c>
      <c r="B3479" s="25" t="inlineStr">
        <is>
          <t>750ml</t>
        </is>
      </c>
    </row>
    <row r="3480">
      <c r="A3480" s="25" t="n">
        <v>442562</v>
      </c>
      <c r="B3480" s="25" t="inlineStr">
        <is>
          <t>750ml</t>
        </is>
      </c>
    </row>
    <row r="3481">
      <c r="A3481" s="25" t="n">
        <v>4043</v>
      </c>
      <c r="B3481" s="25" t="inlineStr">
        <is>
          <t>750ml</t>
        </is>
      </c>
    </row>
    <row r="3482">
      <c r="A3482" s="25" t="n">
        <v>809142</v>
      </c>
      <c r="B3482" s="25" t="inlineStr">
        <is>
          <t>750ml</t>
        </is>
      </c>
    </row>
    <row r="3483">
      <c r="A3483" s="25" t="n">
        <v>769006</v>
      </c>
      <c r="B3483" s="25" t="inlineStr">
        <is>
          <t>750ml</t>
        </is>
      </c>
    </row>
    <row r="3484">
      <c r="A3484" s="25" t="n">
        <v>729093</v>
      </c>
      <c r="B3484" s="25" t="inlineStr">
        <is>
          <t>750ml</t>
        </is>
      </c>
    </row>
    <row r="3485">
      <c r="A3485" s="25" t="n">
        <v>26596</v>
      </c>
      <c r="B3485" s="25" t="inlineStr">
        <is>
          <t>750ml</t>
        </is>
      </c>
    </row>
    <row r="3486">
      <c r="A3486" s="25" t="n">
        <v>892843</v>
      </c>
      <c r="B3486" s="25" t="inlineStr">
        <is>
          <t>750ml</t>
        </is>
      </c>
    </row>
    <row r="3487">
      <c r="A3487" s="25" t="n">
        <v>741402</v>
      </c>
      <c r="B3487" s="25" t="inlineStr">
        <is>
          <t>750ml</t>
        </is>
      </c>
    </row>
    <row r="3488">
      <c r="A3488" s="25" t="n">
        <v>26667</v>
      </c>
      <c r="B3488" s="25" t="inlineStr">
        <is>
          <t>750ml</t>
        </is>
      </c>
    </row>
    <row r="3489">
      <c r="A3489" s="25" t="n">
        <v>614114</v>
      </c>
      <c r="B3489" s="25" t="inlineStr">
        <is>
          <t>750ml</t>
        </is>
      </c>
    </row>
    <row r="3490">
      <c r="A3490" s="25" t="n">
        <v>77714</v>
      </c>
      <c r="B3490" s="25" t="inlineStr">
        <is>
          <t>750ml</t>
        </is>
      </c>
    </row>
    <row r="3491">
      <c r="A3491" s="25" t="n">
        <v>460946</v>
      </c>
      <c r="B3491" s="25" t="inlineStr">
        <is>
          <t>750ml</t>
        </is>
      </c>
    </row>
    <row r="3492">
      <c r="A3492" s="25" t="n">
        <v>641000</v>
      </c>
      <c r="B3492" s="25" t="inlineStr">
        <is>
          <t>5L</t>
        </is>
      </c>
    </row>
    <row r="3493">
      <c r="A3493" s="25" t="n">
        <v>73456</v>
      </c>
      <c r="B3493" s="25" t="inlineStr">
        <is>
          <t>750ml</t>
        </is>
      </c>
    </row>
    <row r="3494">
      <c r="A3494" s="25" t="n">
        <v>39374</v>
      </c>
      <c r="B3494" s="25" t="inlineStr">
        <is>
          <t>750ml</t>
        </is>
      </c>
    </row>
    <row r="3495">
      <c r="A3495" s="25" t="n">
        <v>892851</v>
      </c>
      <c r="B3495" s="25" t="inlineStr">
        <is>
          <t>1.5L</t>
        </is>
      </c>
    </row>
    <row r="3496">
      <c r="A3496" s="25" t="n">
        <v>418802</v>
      </c>
      <c r="B3496" s="25" t="inlineStr">
        <is>
          <t>750ml</t>
        </is>
      </c>
    </row>
    <row r="3497">
      <c r="A3497" s="25" t="n">
        <v>20367</v>
      </c>
      <c r="B3497" s="25" t="inlineStr">
        <is>
          <t>1L</t>
        </is>
      </c>
    </row>
    <row r="3498">
      <c r="A3498" s="25" t="n">
        <v>66186</v>
      </c>
      <c r="B3498" s="25" t="inlineStr">
        <is>
          <t>750ml</t>
        </is>
      </c>
    </row>
    <row r="3499">
      <c r="A3499" s="25" t="n">
        <v>64776</v>
      </c>
      <c r="B3499" s="25" t="inlineStr">
        <is>
          <t>750ml</t>
        </is>
      </c>
    </row>
    <row r="3500">
      <c r="A3500" s="25" t="n">
        <v>21226</v>
      </c>
      <c r="B3500" s="25" t="inlineStr">
        <is>
          <t>750ml</t>
        </is>
      </c>
    </row>
    <row r="3501">
      <c r="A3501" s="25" t="n">
        <v>429982</v>
      </c>
      <c r="B3501" s="25" t="inlineStr">
        <is>
          <t>1.5L</t>
        </is>
      </c>
    </row>
    <row r="3502">
      <c r="A3502" s="25" t="n">
        <v>68037</v>
      </c>
      <c r="B3502" s="25" t="inlineStr">
        <is>
          <t>1L</t>
        </is>
      </c>
    </row>
    <row r="3503">
      <c r="A3503" s="25" t="n">
        <v>487020</v>
      </c>
      <c r="B3503" s="25" t="inlineStr">
        <is>
          <t>3L</t>
        </is>
      </c>
    </row>
    <row r="3504">
      <c r="A3504" s="25" t="n">
        <v>566205</v>
      </c>
      <c r="B3504" s="25" t="inlineStr">
        <is>
          <t>750ml</t>
        </is>
      </c>
    </row>
    <row r="3505">
      <c r="A3505" s="25" t="n">
        <v>378490</v>
      </c>
      <c r="B3505" s="25" t="inlineStr">
        <is>
          <t>750ml</t>
        </is>
      </c>
    </row>
    <row r="3506">
      <c r="A3506" s="25" t="n">
        <v>80024</v>
      </c>
      <c r="B3506" s="25" t="inlineStr">
        <is>
          <t>750ml</t>
        </is>
      </c>
    </row>
    <row r="3507">
      <c r="A3507" s="25" t="n">
        <v>66936</v>
      </c>
      <c r="B3507" s="25" t="inlineStr">
        <is>
          <t>750ml</t>
        </is>
      </c>
    </row>
    <row r="3508">
      <c r="A3508" s="25" t="n">
        <v>467810</v>
      </c>
      <c r="B3508" s="25" t="inlineStr">
        <is>
          <t>750ml</t>
        </is>
      </c>
    </row>
    <row r="3509">
      <c r="A3509" s="25" t="n">
        <v>58873</v>
      </c>
      <c r="B3509" s="25" t="inlineStr">
        <is>
          <t>1.75L</t>
        </is>
      </c>
    </row>
    <row r="3510">
      <c r="A3510" s="25" t="n">
        <v>17510</v>
      </c>
      <c r="B3510" s="25" t="inlineStr">
        <is>
          <t>750ml</t>
        </is>
      </c>
    </row>
    <row r="3511">
      <c r="A3511" s="25" t="n">
        <v>19228</v>
      </c>
      <c r="B3511" s="25" t="inlineStr">
        <is>
          <t>1.75L</t>
        </is>
      </c>
    </row>
    <row r="3512">
      <c r="A3512" s="25" t="n">
        <v>45888</v>
      </c>
      <c r="B3512" s="25" t="inlineStr">
        <is>
          <t>1.75L</t>
        </is>
      </c>
    </row>
    <row r="3513">
      <c r="A3513" s="25" t="n">
        <v>37997</v>
      </c>
      <c r="B3513" s="25" t="inlineStr">
        <is>
          <t>1L</t>
        </is>
      </c>
    </row>
    <row r="3514">
      <c r="A3514" s="25" t="n">
        <v>48658</v>
      </c>
      <c r="B3514" s="25" t="inlineStr">
        <is>
          <t>750ml</t>
        </is>
      </c>
    </row>
    <row r="3515">
      <c r="A3515" s="25" t="n">
        <v>22157</v>
      </c>
      <c r="B3515" s="25" t="inlineStr">
        <is>
          <t>1L</t>
        </is>
      </c>
    </row>
    <row r="3516">
      <c r="A3516" s="25" t="n">
        <v>551205</v>
      </c>
      <c r="B3516" s="25" t="inlineStr">
        <is>
          <t>750ml</t>
        </is>
      </c>
    </row>
    <row r="3517">
      <c r="A3517" s="25" t="n">
        <v>10809</v>
      </c>
      <c r="B3517" s="25" t="inlineStr">
        <is>
          <t>1.75L</t>
        </is>
      </c>
    </row>
    <row r="3518">
      <c r="A3518" s="25" t="n">
        <v>18376</v>
      </c>
      <c r="B3518" s="25" t="inlineStr">
        <is>
          <t>750ml</t>
        </is>
      </c>
    </row>
    <row r="3519">
      <c r="A3519" s="25" t="n">
        <v>443945</v>
      </c>
      <c r="B3519" s="25" t="inlineStr">
        <is>
          <t>750ml</t>
        </is>
      </c>
    </row>
    <row r="3520">
      <c r="A3520" s="25" t="n">
        <v>87103</v>
      </c>
      <c r="B3520" s="25" t="inlineStr">
        <is>
          <t>750ml</t>
        </is>
      </c>
    </row>
    <row r="3521">
      <c r="A3521" s="25" t="n">
        <v>44047</v>
      </c>
      <c r="B3521" s="25" t="inlineStr">
        <is>
          <t>1L</t>
        </is>
      </c>
    </row>
    <row r="3522">
      <c r="A3522" s="25" t="n">
        <v>29868</v>
      </c>
      <c r="B3522" s="25" t="inlineStr">
        <is>
          <t>1.75L</t>
        </is>
      </c>
    </row>
    <row r="3523">
      <c r="A3523" s="25" t="n">
        <v>39810</v>
      </c>
      <c r="B3523" s="25" t="inlineStr">
        <is>
          <t>1.75L</t>
        </is>
      </c>
    </row>
    <row r="3524">
      <c r="A3524" s="25" t="n">
        <v>39725</v>
      </c>
      <c r="B3524" s="25" t="inlineStr">
        <is>
          <t>750ml</t>
        </is>
      </c>
    </row>
    <row r="3525">
      <c r="A3525" s="25" t="n">
        <v>52806</v>
      </c>
      <c r="B3525" s="25" t="inlineStr">
        <is>
          <t>750ml</t>
        </is>
      </c>
    </row>
    <row r="3526">
      <c r="A3526" s="25" t="n">
        <v>402914</v>
      </c>
      <c r="B3526" s="25" t="inlineStr">
        <is>
          <t>500ml</t>
        </is>
      </c>
    </row>
    <row r="3527">
      <c r="A3527" s="25" t="n">
        <v>253335</v>
      </c>
      <c r="B3527" s="25" t="inlineStr">
        <is>
          <t>750ml</t>
        </is>
      </c>
    </row>
    <row r="3528">
      <c r="A3528" s="25" t="n">
        <v>511315</v>
      </c>
      <c r="B3528" s="25" t="inlineStr">
        <is>
          <t>750ml</t>
        </is>
      </c>
    </row>
    <row r="3529">
      <c r="A3529" s="25" t="n">
        <v>478324</v>
      </c>
      <c r="B3529" s="25" t="inlineStr">
        <is>
          <t>750ml</t>
        </is>
      </c>
    </row>
    <row r="3530">
      <c r="A3530" s="25" t="n">
        <v>583000</v>
      </c>
      <c r="B3530" s="25" t="inlineStr">
        <is>
          <t>750ml</t>
        </is>
      </c>
    </row>
    <row r="3531">
      <c r="A3531" s="25" t="n">
        <v>43428</v>
      </c>
      <c r="B3531" s="25" t="inlineStr">
        <is>
          <t>1.75L</t>
        </is>
      </c>
    </row>
    <row r="3532">
      <c r="A3532" s="25" t="n">
        <v>87182</v>
      </c>
      <c r="B3532" s="25" t="inlineStr">
        <is>
          <t>750ml</t>
        </is>
      </c>
    </row>
    <row r="3533">
      <c r="A3533" s="25" t="n">
        <v>87181</v>
      </c>
      <c r="B3533" s="25" t="inlineStr">
        <is>
          <t>750ml</t>
        </is>
      </c>
    </row>
    <row r="3534">
      <c r="A3534" s="25" t="n">
        <v>30316</v>
      </c>
      <c r="B3534" s="25" t="inlineStr">
        <is>
          <t>750ml</t>
        </is>
      </c>
    </row>
    <row r="3535">
      <c r="A3535" s="25" t="n">
        <v>38174</v>
      </c>
      <c r="B3535" s="25" t="inlineStr">
        <is>
          <t>375ml</t>
        </is>
      </c>
    </row>
    <row r="3536">
      <c r="A3536" s="25" t="n">
        <v>56840</v>
      </c>
      <c r="B3536" s="25" t="inlineStr">
        <is>
          <t>1.75L</t>
        </is>
      </c>
    </row>
    <row r="3537">
      <c r="A3537" s="25" t="n">
        <v>36606</v>
      </c>
      <c r="B3537" s="25" t="inlineStr">
        <is>
          <t>750ml</t>
        </is>
      </c>
    </row>
    <row r="3538">
      <c r="A3538" s="25" t="n">
        <v>515746</v>
      </c>
      <c r="B3538" s="25" t="inlineStr">
        <is>
          <t>750ml</t>
        </is>
      </c>
    </row>
    <row r="3539">
      <c r="A3539" s="25" t="n">
        <v>498411</v>
      </c>
      <c r="B3539" s="25" t="inlineStr">
        <is>
          <t>1.5L</t>
        </is>
      </c>
    </row>
    <row r="3540">
      <c r="A3540" s="25" t="n">
        <v>345992</v>
      </c>
      <c r="B3540" s="25" t="inlineStr">
        <is>
          <t>750ml</t>
        </is>
      </c>
    </row>
    <row r="3541">
      <c r="A3541" s="25" t="n">
        <v>37063</v>
      </c>
      <c r="B3541" s="25" t="inlineStr">
        <is>
          <t>750ml</t>
        </is>
      </c>
    </row>
    <row r="3542">
      <c r="A3542" s="25" t="n">
        <v>683324</v>
      </c>
      <c r="B3542" s="25" t="inlineStr">
        <is>
          <t>187ml</t>
        </is>
      </c>
    </row>
    <row r="3543">
      <c r="A3543" s="25" t="n">
        <v>58913</v>
      </c>
      <c r="B3543" s="25" t="inlineStr">
        <is>
          <t>1.75L</t>
        </is>
      </c>
    </row>
    <row r="3544">
      <c r="A3544" s="25" t="n">
        <v>78706</v>
      </c>
      <c r="B3544" s="25" t="inlineStr">
        <is>
          <t>750ml</t>
        </is>
      </c>
    </row>
    <row r="3545">
      <c r="A3545" s="25" t="n">
        <v>28207</v>
      </c>
      <c r="B3545" s="25" t="inlineStr">
        <is>
          <t>1L</t>
        </is>
      </c>
    </row>
    <row r="3546">
      <c r="A3546" s="25" t="n">
        <v>17062</v>
      </c>
      <c r="B3546" s="25" t="inlineStr">
        <is>
          <t>750ml</t>
        </is>
      </c>
    </row>
    <row r="3547">
      <c r="A3547" s="25" t="n">
        <v>361620</v>
      </c>
      <c r="B3547" s="25" t="inlineStr">
        <is>
          <t>750ml</t>
        </is>
      </c>
    </row>
    <row r="3548">
      <c r="A3548" s="25" t="n">
        <v>89011</v>
      </c>
      <c r="B3548" s="25" t="inlineStr">
        <is>
          <t>1L</t>
        </is>
      </c>
    </row>
    <row r="3549">
      <c r="A3549" s="25" t="n">
        <v>424347</v>
      </c>
      <c r="B3549" s="25" t="inlineStr">
        <is>
          <t>750ml</t>
        </is>
      </c>
    </row>
    <row r="3550">
      <c r="A3550" s="25" t="n">
        <v>41943</v>
      </c>
      <c r="B3550" s="25" t="inlineStr">
        <is>
          <t>750ml</t>
        </is>
      </c>
    </row>
    <row r="3551">
      <c r="A3551" s="25" t="n">
        <v>43334</v>
      </c>
      <c r="B3551" s="25" t="inlineStr">
        <is>
          <t>375ml</t>
        </is>
      </c>
    </row>
    <row r="3552">
      <c r="A3552" s="25" t="n">
        <v>485524</v>
      </c>
      <c r="B3552" s="25" t="inlineStr">
        <is>
          <t>750ml</t>
        </is>
      </c>
    </row>
    <row r="3553">
      <c r="A3553" s="25" t="n">
        <v>58914</v>
      </c>
      <c r="B3553" s="25" t="inlineStr">
        <is>
          <t>355ml</t>
        </is>
      </c>
    </row>
    <row r="3554">
      <c r="A3554" s="25" t="n">
        <v>26906</v>
      </c>
      <c r="B3554" s="25" t="inlineStr">
        <is>
          <t>750ml</t>
        </is>
      </c>
    </row>
    <row r="3555">
      <c r="A3555" s="25" t="n">
        <v>86746</v>
      </c>
      <c r="B3555" s="25" t="inlineStr">
        <is>
          <t>750ml</t>
        </is>
      </c>
    </row>
    <row r="3556">
      <c r="A3556" s="25" t="n">
        <v>551889</v>
      </c>
      <c r="B3556" s="25" t="inlineStr">
        <is>
          <t>750ml</t>
        </is>
      </c>
    </row>
    <row r="3557">
      <c r="A3557" s="25" t="n">
        <v>37886</v>
      </c>
      <c r="B3557" s="25" t="inlineStr">
        <is>
          <t>750ml</t>
        </is>
      </c>
    </row>
    <row r="3558">
      <c r="A3558" s="25" t="n">
        <v>410975</v>
      </c>
      <c r="B3558" s="25" t="inlineStr">
        <is>
          <t>5L</t>
        </is>
      </c>
    </row>
    <row r="3559">
      <c r="A3559" s="25" t="n">
        <v>376505</v>
      </c>
      <c r="B3559" s="25" t="inlineStr">
        <is>
          <t>1.5L</t>
        </is>
      </c>
    </row>
    <row r="3560">
      <c r="A3560" s="25" t="n">
        <v>480305</v>
      </c>
      <c r="B3560" s="25" t="inlineStr">
        <is>
          <t>1.5L</t>
        </is>
      </c>
    </row>
    <row r="3561">
      <c r="A3561" s="25" t="n">
        <v>22093</v>
      </c>
      <c r="B3561" s="25" t="inlineStr">
        <is>
          <t>1.75L</t>
        </is>
      </c>
    </row>
    <row r="3562">
      <c r="A3562" s="25" t="n">
        <v>47790</v>
      </c>
      <c r="B3562" s="25" t="inlineStr">
        <is>
          <t>200ml</t>
        </is>
      </c>
    </row>
    <row r="3563">
      <c r="A3563" s="25" t="n">
        <v>80458</v>
      </c>
      <c r="B3563" s="25" t="inlineStr">
        <is>
          <t>1.75L</t>
        </is>
      </c>
    </row>
    <row r="3564">
      <c r="A3564" s="25" t="n">
        <v>57129</v>
      </c>
      <c r="B3564" s="25" t="inlineStr">
        <is>
          <t>1.75L</t>
        </is>
      </c>
    </row>
    <row r="3565">
      <c r="A3565" s="25" t="n">
        <v>88139</v>
      </c>
      <c r="B3565" s="25" t="inlineStr">
        <is>
          <t>750ml</t>
        </is>
      </c>
    </row>
    <row r="3566">
      <c r="A3566" s="25" t="n">
        <v>22783</v>
      </c>
      <c r="B3566" s="25" t="inlineStr">
        <is>
          <t>200ml</t>
        </is>
      </c>
    </row>
    <row r="3567">
      <c r="A3567" s="25" t="n">
        <v>39175</v>
      </c>
      <c r="B3567" s="25" t="inlineStr">
        <is>
          <t>1.75L</t>
        </is>
      </c>
    </row>
    <row r="3568">
      <c r="A3568" s="25" t="n">
        <v>579275</v>
      </c>
      <c r="B3568" s="25" t="inlineStr">
        <is>
          <t>750ml</t>
        </is>
      </c>
    </row>
    <row r="3569">
      <c r="A3569" s="25" t="n">
        <v>464550</v>
      </c>
      <c r="B3569" s="25" t="inlineStr">
        <is>
          <t>750ml</t>
        </is>
      </c>
    </row>
    <row r="3570">
      <c r="A3570" s="25" t="n">
        <v>56194</v>
      </c>
      <c r="B3570" s="25" t="inlineStr">
        <is>
          <t>50ml</t>
        </is>
      </c>
    </row>
    <row r="3571">
      <c r="A3571" s="25" t="n">
        <v>444596</v>
      </c>
      <c r="B3571" s="25" t="inlineStr">
        <is>
          <t>500ml</t>
        </is>
      </c>
    </row>
    <row r="3572">
      <c r="A3572" s="25" t="n">
        <v>721006</v>
      </c>
      <c r="B3572" s="25" t="inlineStr">
        <is>
          <t>750ml</t>
        </is>
      </c>
    </row>
    <row r="3573">
      <c r="A3573" s="25" t="n">
        <v>82881</v>
      </c>
      <c r="B3573" s="25" t="inlineStr">
        <is>
          <t>750ml</t>
        </is>
      </c>
    </row>
    <row r="3574">
      <c r="A3574" s="25" t="n">
        <v>11346</v>
      </c>
      <c r="B3574" s="25" t="inlineStr">
        <is>
          <t>750ml</t>
        </is>
      </c>
    </row>
    <row r="3575">
      <c r="A3575" s="25" t="n">
        <v>73776</v>
      </c>
      <c r="B3575" s="25" t="inlineStr">
        <is>
          <t>200ml</t>
        </is>
      </c>
    </row>
    <row r="3576">
      <c r="A3576" s="25" t="n">
        <v>707200</v>
      </c>
      <c r="B3576" s="25" t="inlineStr">
        <is>
          <t>750ml</t>
        </is>
      </c>
    </row>
    <row r="3577">
      <c r="A3577" s="25" t="n">
        <v>633618</v>
      </c>
      <c r="B3577" s="25" t="inlineStr">
        <is>
          <t>750ml</t>
        </is>
      </c>
    </row>
    <row r="3578">
      <c r="A3578" s="25" t="n">
        <v>37586</v>
      </c>
      <c r="B3578" s="25" t="inlineStr">
        <is>
          <t>750ml</t>
        </is>
      </c>
    </row>
    <row r="3579">
      <c r="A3579" s="25" t="n">
        <v>27516</v>
      </c>
      <c r="B3579" s="25" t="inlineStr">
        <is>
          <t>750ml</t>
        </is>
      </c>
    </row>
    <row r="3580">
      <c r="A3580" s="25" t="n">
        <v>882324</v>
      </c>
      <c r="B3580" s="25" t="inlineStr">
        <is>
          <t>750ml</t>
        </is>
      </c>
    </row>
    <row r="3581">
      <c r="A3581" s="25" t="n">
        <v>410519</v>
      </c>
      <c r="B3581" s="25" t="inlineStr">
        <is>
          <t>1.5L</t>
        </is>
      </c>
    </row>
    <row r="3582">
      <c r="A3582" s="25" t="n">
        <v>101796</v>
      </c>
      <c r="B3582" s="25" t="inlineStr">
        <is>
          <t>750ml</t>
        </is>
      </c>
    </row>
    <row r="3583">
      <c r="A3583" s="25" t="n">
        <v>420414</v>
      </c>
      <c r="B3583" s="25" t="inlineStr">
        <is>
          <t>1.5L</t>
        </is>
      </c>
    </row>
    <row r="3584">
      <c r="A3584" s="25" t="n">
        <v>641050</v>
      </c>
      <c r="B3584" s="25" t="inlineStr">
        <is>
          <t>750ml</t>
        </is>
      </c>
    </row>
    <row r="3585">
      <c r="A3585" s="25" t="n">
        <v>39888</v>
      </c>
      <c r="B3585" s="25" t="inlineStr">
        <is>
          <t>1.75L</t>
        </is>
      </c>
    </row>
    <row r="3586">
      <c r="A3586" s="25" t="n">
        <v>15776</v>
      </c>
      <c r="B3586" s="25" t="inlineStr">
        <is>
          <t>750ml</t>
        </is>
      </c>
    </row>
    <row r="3587">
      <c r="A3587" s="25" t="n">
        <v>768692</v>
      </c>
      <c r="B3587" s="25" t="inlineStr">
        <is>
          <t>750ml</t>
        </is>
      </c>
    </row>
    <row r="3588">
      <c r="A3588" s="25" t="n">
        <v>86785</v>
      </c>
      <c r="B3588" s="25" t="inlineStr">
        <is>
          <t>750ml</t>
        </is>
      </c>
    </row>
    <row r="3589">
      <c r="A3589" s="25" t="n">
        <v>75782</v>
      </c>
      <c r="B3589" s="25" t="inlineStr">
        <is>
          <t>50ml</t>
        </is>
      </c>
    </row>
    <row r="3590">
      <c r="A3590" s="25" t="n">
        <v>10627</v>
      </c>
      <c r="B3590" s="25" t="inlineStr">
        <is>
          <t>1L</t>
        </is>
      </c>
    </row>
    <row r="3591">
      <c r="A3591" s="25" t="n">
        <v>88546</v>
      </c>
      <c r="B3591" s="25" t="inlineStr">
        <is>
          <t>1.75L</t>
        </is>
      </c>
    </row>
    <row r="3592">
      <c r="A3592" s="25" t="n">
        <v>25603</v>
      </c>
      <c r="B3592" s="25" t="inlineStr">
        <is>
          <t>200ml</t>
        </is>
      </c>
    </row>
    <row r="3593">
      <c r="A3593" s="25" t="n">
        <v>72356</v>
      </c>
      <c r="B3593" s="25" t="inlineStr">
        <is>
          <t>750ml</t>
        </is>
      </c>
    </row>
    <row r="3594">
      <c r="A3594" s="25" t="n">
        <v>62647</v>
      </c>
      <c r="B3594" s="25" t="inlineStr">
        <is>
          <t>355ml</t>
        </is>
      </c>
    </row>
    <row r="3595">
      <c r="A3595" s="25" t="n">
        <v>404478</v>
      </c>
      <c r="B3595" s="25" t="inlineStr">
        <is>
          <t>750ml</t>
        </is>
      </c>
    </row>
    <row r="3596">
      <c r="A3596" s="25" t="n">
        <v>676965</v>
      </c>
      <c r="B3596" s="25" t="inlineStr">
        <is>
          <t>750ml</t>
        </is>
      </c>
    </row>
    <row r="3597">
      <c r="A3597" s="25" t="n">
        <v>73713</v>
      </c>
      <c r="B3597" s="25" t="inlineStr">
        <is>
          <t>375ml</t>
        </is>
      </c>
    </row>
    <row r="3598">
      <c r="A3598" s="25" t="n">
        <v>588640</v>
      </c>
      <c r="B3598" s="25" t="inlineStr">
        <is>
          <t>750ml</t>
        </is>
      </c>
    </row>
    <row r="3599">
      <c r="A3599" s="25" t="n">
        <v>725493</v>
      </c>
      <c r="B3599" s="25" t="inlineStr">
        <is>
          <t>750ml</t>
        </is>
      </c>
    </row>
    <row r="3600">
      <c r="A3600" s="25" t="n">
        <v>89503</v>
      </c>
      <c r="B3600" s="25" t="inlineStr">
        <is>
          <t>750ml</t>
        </is>
      </c>
    </row>
    <row r="3601">
      <c r="A3601" s="25" t="n">
        <v>87018</v>
      </c>
      <c r="B3601" s="25" t="inlineStr">
        <is>
          <t>750ml</t>
        </is>
      </c>
    </row>
    <row r="3602">
      <c r="A3602" s="25" t="n">
        <v>76477</v>
      </c>
      <c r="B3602" s="25" t="inlineStr">
        <is>
          <t>1L</t>
        </is>
      </c>
    </row>
    <row r="3603">
      <c r="A3603" s="25" t="n">
        <v>43567</v>
      </c>
      <c r="B3603" s="25" t="inlineStr">
        <is>
          <t>1.75L</t>
        </is>
      </c>
    </row>
    <row r="3604">
      <c r="A3604" s="25" t="n">
        <v>27409</v>
      </c>
      <c r="B3604" s="25" t="inlineStr">
        <is>
          <t>375ml</t>
        </is>
      </c>
    </row>
    <row r="3605">
      <c r="A3605" s="25" t="n">
        <v>12888</v>
      </c>
      <c r="B3605" s="25" t="inlineStr">
        <is>
          <t>1.75L</t>
        </is>
      </c>
    </row>
    <row r="3606">
      <c r="A3606" s="25" t="n">
        <v>441988</v>
      </c>
      <c r="B3606" s="25" t="inlineStr">
        <is>
          <t>750ml</t>
        </is>
      </c>
    </row>
    <row r="3607">
      <c r="A3607" s="25" t="n">
        <v>364694</v>
      </c>
      <c r="B3607" s="25" t="inlineStr">
        <is>
          <t>750ml</t>
        </is>
      </c>
    </row>
    <row r="3608">
      <c r="A3608" s="25" t="n">
        <v>101664</v>
      </c>
      <c r="B3608" s="25" t="inlineStr">
        <is>
          <t>750ml</t>
        </is>
      </c>
    </row>
    <row r="3609">
      <c r="A3609" s="25" t="n">
        <v>429966</v>
      </c>
      <c r="B3609" s="25" t="inlineStr">
        <is>
          <t>750ml</t>
        </is>
      </c>
    </row>
    <row r="3610">
      <c r="A3610" s="25" t="n">
        <v>485474</v>
      </c>
      <c r="B3610" s="25" t="inlineStr">
        <is>
          <t>750ml</t>
        </is>
      </c>
    </row>
    <row r="3611">
      <c r="A3611" s="25" t="n">
        <v>67266</v>
      </c>
      <c r="B3611" s="25" t="inlineStr">
        <is>
          <t>750ml</t>
        </is>
      </c>
    </row>
    <row r="3612">
      <c r="A3612" s="25" t="n">
        <v>485514</v>
      </c>
      <c r="B3612" s="25" t="inlineStr">
        <is>
          <t>750ml</t>
        </is>
      </c>
    </row>
    <row r="3613">
      <c r="A3613" s="25" t="n">
        <v>812120</v>
      </c>
      <c r="B3613" s="25" t="inlineStr">
        <is>
          <t>750ml</t>
        </is>
      </c>
    </row>
    <row r="3614">
      <c r="A3614" s="25" t="n">
        <v>44477</v>
      </c>
      <c r="B3614" s="25" t="inlineStr">
        <is>
          <t>1L</t>
        </is>
      </c>
    </row>
    <row r="3615">
      <c r="A3615" s="25" t="n">
        <v>77211</v>
      </c>
      <c r="B3615" s="25" t="inlineStr">
        <is>
          <t>750ml</t>
        </is>
      </c>
    </row>
    <row r="3616">
      <c r="A3616" s="25" t="n">
        <v>21876</v>
      </c>
      <c r="B3616" s="25" t="inlineStr">
        <is>
          <t>750ml</t>
        </is>
      </c>
    </row>
    <row r="3617">
      <c r="A3617" s="25" t="n">
        <v>58840</v>
      </c>
      <c r="B3617" s="25" t="inlineStr">
        <is>
          <t>1.75L</t>
        </is>
      </c>
    </row>
    <row r="3618">
      <c r="A3618" s="25" t="n">
        <v>96008</v>
      </c>
      <c r="B3618" s="25" t="inlineStr">
        <is>
          <t>750ml</t>
        </is>
      </c>
    </row>
    <row r="3619">
      <c r="A3619" s="25" t="n">
        <v>78265</v>
      </c>
      <c r="B3619" s="25" t="inlineStr">
        <is>
          <t>50ml</t>
        </is>
      </c>
    </row>
    <row r="3620">
      <c r="A3620" s="25" t="n">
        <v>101217</v>
      </c>
      <c r="B3620" s="25" t="inlineStr">
        <is>
          <t>1.75L</t>
        </is>
      </c>
    </row>
    <row r="3621">
      <c r="A3621" s="25" t="n">
        <v>37599</v>
      </c>
      <c r="B3621" s="25" t="inlineStr">
        <is>
          <t>1.75L</t>
        </is>
      </c>
    </row>
    <row r="3622">
      <c r="A3622" s="25" t="n">
        <v>419959</v>
      </c>
      <c r="B3622" s="25" t="inlineStr">
        <is>
          <t>750ml</t>
        </is>
      </c>
    </row>
    <row r="3623">
      <c r="A3623" s="25" t="n">
        <v>272535</v>
      </c>
      <c r="B3623" s="25" t="inlineStr">
        <is>
          <t>750ml</t>
        </is>
      </c>
    </row>
    <row r="3624">
      <c r="A3624" s="25" t="n">
        <v>66836</v>
      </c>
      <c r="B3624" s="25" t="inlineStr">
        <is>
          <t>750ml</t>
        </is>
      </c>
    </row>
    <row r="3625">
      <c r="A3625" s="25" t="n">
        <v>22122</v>
      </c>
      <c r="B3625" s="25" t="inlineStr">
        <is>
          <t>1L</t>
        </is>
      </c>
    </row>
    <row r="3626">
      <c r="A3626" s="25" t="n">
        <v>644710</v>
      </c>
      <c r="B3626" s="25" t="inlineStr">
        <is>
          <t>750ml</t>
        </is>
      </c>
    </row>
    <row r="3627">
      <c r="A3627" s="25" t="n">
        <v>80003</v>
      </c>
      <c r="B3627" s="25" t="inlineStr">
        <is>
          <t>50ml</t>
        </is>
      </c>
    </row>
    <row r="3628">
      <c r="A3628" s="25" t="n">
        <v>638090</v>
      </c>
      <c r="B3628" s="25" t="inlineStr">
        <is>
          <t>750ml</t>
        </is>
      </c>
    </row>
    <row r="3629">
      <c r="A3629" s="25" t="n">
        <v>588642</v>
      </c>
      <c r="B3629" s="25" t="inlineStr">
        <is>
          <t>750ml</t>
        </is>
      </c>
    </row>
    <row r="3630">
      <c r="A3630" s="25" t="n">
        <v>497366</v>
      </c>
      <c r="B3630" s="25" t="inlineStr">
        <is>
          <t>750ml</t>
        </is>
      </c>
    </row>
    <row r="3631">
      <c r="A3631" s="25" t="n">
        <v>473024</v>
      </c>
      <c r="B3631" s="25" t="inlineStr">
        <is>
          <t>750ml</t>
        </is>
      </c>
    </row>
    <row r="3632">
      <c r="A3632" s="25" t="n">
        <v>82607</v>
      </c>
      <c r="B3632" s="25" t="inlineStr">
        <is>
          <t>1L</t>
        </is>
      </c>
    </row>
    <row r="3633">
      <c r="A3633" s="25" t="n">
        <v>734278</v>
      </c>
      <c r="B3633" s="25" t="inlineStr">
        <is>
          <t>750ml</t>
        </is>
      </c>
    </row>
    <row r="3634">
      <c r="A3634" s="25" t="n">
        <v>464812</v>
      </c>
      <c r="B3634" s="25" t="inlineStr">
        <is>
          <t>750ml</t>
        </is>
      </c>
    </row>
    <row r="3635">
      <c r="A3635" s="25" t="n">
        <v>86884</v>
      </c>
      <c r="B3635" s="25" t="inlineStr">
        <is>
          <t>375ml</t>
        </is>
      </c>
    </row>
    <row r="3636">
      <c r="A3636" s="25" t="n">
        <v>33287</v>
      </c>
      <c r="B3636" s="25" t="inlineStr">
        <is>
          <t>375ml</t>
        </is>
      </c>
    </row>
    <row r="3637">
      <c r="A3637" s="25" t="n">
        <v>643040</v>
      </c>
      <c r="B3637" s="25" t="inlineStr">
        <is>
          <t>750ml</t>
        </is>
      </c>
    </row>
    <row r="3638">
      <c r="A3638" s="25" t="n">
        <v>62625</v>
      </c>
      <c r="B3638" s="25" t="inlineStr">
        <is>
          <t>355ml</t>
        </is>
      </c>
    </row>
    <row r="3639">
      <c r="A3639" s="25" t="n">
        <v>43026</v>
      </c>
      <c r="B3639" s="25" t="inlineStr">
        <is>
          <t>750ml</t>
        </is>
      </c>
    </row>
    <row r="3640">
      <c r="A3640" s="25" t="n">
        <v>101615</v>
      </c>
      <c r="B3640" s="25" t="inlineStr">
        <is>
          <t>750ml</t>
        </is>
      </c>
    </row>
    <row r="3641">
      <c r="A3641" s="25" t="n">
        <v>24418</v>
      </c>
      <c r="B3641" s="25" t="inlineStr">
        <is>
          <t>1.75L</t>
        </is>
      </c>
    </row>
    <row r="3642">
      <c r="A3642" s="25" t="n">
        <v>17915</v>
      </c>
      <c r="B3642" s="25" t="inlineStr">
        <is>
          <t>375ml</t>
        </is>
      </c>
    </row>
    <row r="3643">
      <c r="A3643" s="25" t="n">
        <v>89621</v>
      </c>
      <c r="B3643" s="25" t="inlineStr">
        <is>
          <t>1.75L</t>
        </is>
      </c>
    </row>
    <row r="3644">
      <c r="A3644" s="25" t="n">
        <v>33110</v>
      </c>
      <c r="B3644" s="25" t="inlineStr">
        <is>
          <t>750ml</t>
        </is>
      </c>
    </row>
    <row r="3645">
      <c r="A3645" s="25" t="n">
        <v>75181</v>
      </c>
      <c r="B3645" s="25" t="inlineStr">
        <is>
          <t>750ml</t>
        </is>
      </c>
    </row>
    <row r="3646">
      <c r="A3646" s="25" t="n">
        <v>449100</v>
      </c>
      <c r="B3646" s="25" t="inlineStr">
        <is>
          <t>750ml</t>
        </is>
      </c>
    </row>
    <row r="3647">
      <c r="A3647" s="25" t="n">
        <v>62770</v>
      </c>
      <c r="B3647" s="25" t="inlineStr">
        <is>
          <t>355ml</t>
        </is>
      </c>
    </row>
    <row r="3648">
      <c r="A3648" s="25" t="n">
        <v>67042</v>
      </c>
      <c r="B3648" s="25" t="inlineStr">
        <is>
          <t>100ml</t>
        </is>
      </c>
    </row>
    <row r="3649">
      <c r="A3649" s="25" t="n">
        <v>882308</v>
      </c>
      <c r="B3649" s="25" t="inlineStr">
        <is>
          <t>1.5L</t>
        </is>
      </c>
    </row>
    <row r="3650">
      <c r="A3650" s="25" t="n">
        <v>26370</v>
      </c>
      <c r="B3650" s="25" t="inlineStr">
        <is>
          <t>750ml</t>
        </is>
      </c>
    </row>
    <row r="3651">
      <c r="A3651" s="25" t="n">
        <v>76437</v>
      </c>
      <c r="B3651" s="25" t="inlineStr">
        <is>
          <t>750ml</t>
        </is>
      </c>
    </row>
    <row r="3652">
      <c r="A3652" s="25" t="n">
        <v>882620</v>
      </c>
      <c r="B3652" s="25" t="inlineStr">
        <is>
          <t>750ml</t>
        </is>
      </c>
    </row>
    <row r="3653">
      <c r="A3653" s="25" t="n">
        <v>101389</v>
      </c>
      <c r="B3653" s="25" t="inlineStr">
        <is>
          <t>750ml</t>
        </is>
      </c>
    </row>
    <row r="3654">
      <c r="A3654" s="25" t="n">
        <v>28868</v>
      </c>
      <c r="B3654" s="25" t="inlineStr">
        <is>
          <t>1.75L</t>
        </is>
      </c>
    </row>
    <row r="3655">
      <c r="A3655" s="25" t="n">
        <v>720416</v>
      </c>
      <c r="B3655" s="25" t="inlineStr">
        <is>
          <t>750ml</t>
        </is>
      </c>
    </row>
    <row r="3656">
      <c r="A3656" s="25" t="n">
        <v>65013</v>
      </c>
      <c r="B3656" s="25" t="inlineStr">
        <is>
          <t>50ml</t>
        </is>
      </c>
    </row>
    <row r="3657">
      <c r="A3657" s="25" t="n">
        <v>4876</v>
      </c>
      <c r="B3657" s="25" t="inlineStr">
        <is>
          <t>750ml</t>
        </is>
      </c>
    </row>
    <row r="3658">
      <c r="A3658" s="25" t="n">
        <v>63321</v>
      </c>
      <c r="B3658" s="25" t="inlineStr">
        <is>
          <t>375ml</t>
        </is>
      </c>
    </row>
    <row r="3659">
      <c r="A3659" s="25" t="n">
        <v>498118</v>
      </c>
      <c r="B3659" s="25" t="inlineStr">
        <is>
          <t>750ml</t>
        </is>
      </c>
    </row>
    <row r="3660">
      <c r="A3660" s="25" t="n">
        <v>547320</v>
      </c>
      <c r="B3660" s="25" t="inlineStr">
        <is>
          <t>750ml</t>
        </is>
      </c>
    </row>
    <row r="3661">
      <c r="A3661" s="25" t="n">
        <v>866</v>
      </c>
      <c r="B3661" s="25" t="inlineStr">
        <is>
          <t>750ml</t>
        </is>
      </c>
    </row>
    <row r="3662">
      <c r="A3662" s="25" t="n">
        <v>515985</v>
      </c>
      <c r="B3662" s="25" t="inlineStr">
        <is>
          <t>750ml</t>
        </is>
      </c>
    </row>
    <row r="3663">
      <c r="A3663" s="25" t="n">
        <v>812794</v>
      </c>
      <c r="B3663" s="25" t="inlineStr">
        <is>
          <t>750ml</t>
        </is>
      </c>
    </row>
    <row r="3664">
      <c r="A3664" s="25" t="n">
        <v>26512</v>
      </c>
      <c r="B3664" s="25" t="inlineStr">
        <is>
          <t>750ml</t>
        </is>
      </c>
    </row>
    <row r="3665">
      <c r="A3665" s="25" t="n">
        <v>17520</v>
      </c>
      <c r="B3665" s="25" t="inlineStr">
        <is>
          <t>750ml</t>
        </is>
      </c>
    </row>
    <row r="3666">
      <c r="A3666" s="25" t="n">
        <v>63355</v>
      </c>
      <c r="B3666" s="25" t="inlineStr">
        <is>
          <t>750ml</t>
        </is>
      </c>
    </row>
    <row r="3667">
      <c r="A3667" s="25" t="n">
        <v>606450</v>
      </c>
      <c r="B3667" s="25" t="inlineStr">
        <is>
          <t>750ml</t>
        </is>
      </c>
    </row>
    <row r="3668">
      <c r="A3668" s="25" t="n">
        <v>28137</v>
      </c>
      <c r="B3668" s="25" t="inlineStr">
        <is>
          <t>750ml</t>
        </is>
      </c>
    </row>
    <row r="3669">
      <c r="A3669" s="25" t="n">
        <v>85437</v>
      </c>
      <c r="B3669" s="25" t="inlineStr">
        <is>
          <t>1L</t>
        </is>
      </c>
    </row>
    <row r="3670">
      <c r="A3670" s="25" t="n">
        <v>56797</v>
      </c>
      <c r="B3670" s="25" t="inlineStr">
        <is>
          <t>375ml</t>
        </is>
      </c>
    </row>
    <row r="3671">
      <c r="A3671" s="25" t="n">
        <v>42204</v>
      </c>
      <c r="B3671" s="25" t="inlineStr">
        <is>
          <t>750ml</t>
        </is>
      </c>
    </row>
    <row r="3672">
      <c r="A3672" s="25" t="n">
        <v>41467</v>
      </c>
      <c r="B3672" s="25" t="inlineStr">
        <is>
          <t>750ml</t>
        </is>
      </c>
    </row>
    <row r="3673">
      <c r="A3673" s="25" t="n">
        <v>41326</v>
      </c>
      <c r="B3673" s="25" t="inlineStr">
        <is>
          <t>750ml</t>
        </is>
      </c>
    </row>
    <row r="3674">
      <c r="A3674" s="25" t="n">
        <v>39538</v>
      </c>
      <c r="B3674" s="25" t="inlineStr">
        <is>
          <t>750ml</t>
        </is>
      </c>
    </row>
    <row r="3675">
      <c r="A3675" s="25" t="n">
        <v>20166</v>
      </c>
      <c r="B3675" s="25" t="inlineStr">
        <is>
          <t>750ml</t>
        </is>
      </c>
    </row>
    <row r="3676">
      <c r="A3676" s="25" t="n">
        <v>88375</v>
      </c>
      <c r="B3676" s="25" t="inlineStr">
        <is>
          <t>1L</t>
        </is>
      </c>
    </row>
    <row r="3677">
      <c r="A3677" s="25" t="n">
        <v>43318</v>
      </c>
      <c r="B3677" s="25" t="inlineStr">
        <is>
          <t>1.75L</t>
        </is>
      </c>
    </row>
    <row r="3678">
      <c r="A3678" s="25" t="n">
        <v>882380</v>
      </c>
      <c r="B3678" s="25" t="inlineStr">
        <is>
          <t>375ml</t>
        </is>
      </c>
    </row>
    <row r="3679">
      <c r="A3679" s="25" t="n">
        <v>26822</v>
      </c>
      <c r="B3679" s="25" t="inlineStr">
        <is>
          <t>100ml</t>
        </is>
      </c>
    </row>
    <row r="3680">
      <c r="A3680" s="25" t="n">
        <v>517010</v>
      </c>
      <c r="B3680" s="25" t="inlineStr">
        <is>
          <t>750ml</t>
        </is>
      </c>
    </row>
    <row r="3681">
      <c r="A3681" s="25" t="n">
        <v>490692</v>
      </c>
      <c r="B3681" s="25" t="inlineStr">
        <is>
          <t>750ml</t>
        </is>
      </c>
    </row>
    <row r="3682">
      <c r="A3682" s="25" t="n">
        <v>515822</v>
      </c>
      <c r="B3682" s="25" t="inlineStr">
        <is>
          <t>750ml</t>
        </is>
      </c>
    </row>
    <row r="3683">
      <c r="A3683" s="25" t="n">
        <v>75197</v>
      </c>
      <c r="B3683" s="25" t="inlineStr">
        <is>
          <t>750ml</t>
        </is>
      </c>
    </row>
    <row r="3684">
      <c r="A3684" s="25" t="n">
        <v>74086</v>
      </c>
      <c r="B3684" s="25" t="inlineStr">
        <is>
          <t>750ml</t>
        </is>
      </c>
    </row>
    <row r="3685">
      <c r="A3685" s="25" t="n">
        <v>359425</v>
      </c>
      <c r="B3685" s="25" t="inlineStr">
        <is>
          <t>750ml</t>
        </is>
      </c>
    </row>
    <row r="3686">
      <c r="A3686" s="25" t="n">
        <v>5153</v>
      </c>
      <c r="B3686" s="25" t="inlineStr">
        <is>
          <t>750ml</t>
        </is>
      </c>
    </row>
    <row r="3687">
      <c r="A3687" s="25" t="n">
        <v>470690</v>
      </c>
      <c r="B3687" s="25" t="inlineStr">
        <is>
          <t>750ml</t>
        </is>
      </c>
    </row>
    <row r="3688">
      <c r="A3688" s="25" t="n">
        <v>473000</v>
      </c>
      <c r="B3688" s="25" t="inlineStr">
        <is>
          <t>750ml</t>
        </is>
      </c>
    </row>
    <row r="3689">
      <c r="A3689" s="25" t="n">
        <v>48763</v>
      </c>
      <c r="B3689" s="25" t="inlineStr">
        <is>
          <t>200ml</t>
        </is>
      </c>
    </row>
    <row r="3690">
      <c r="A3690" s="25" t="n">
        <v>35410</v>
      </c>
      <c r="B3690" s="25" t="inlineStr">
        <is>
          <t>750ml</t>
        </is>
      </c>
    </row>
    <row r="3691">
      <c r="A3691" s="25" t="n">
        <v>562460</v>
      </c>
      <c r="B3691" s="25" t="inlineStr">
        <is>
          <t>750ml</t>
        </is>
      </c>
    </row>
    <row r="3692">
      <c r="A3692" s="25" t="n">
        <v>88116</v>
      </c>
      <c r="B3692" s="25" t="inlineStr">
        <is>
          <t>750ml</t>
        </is>
      </c>
    </row>
    <row r="3693">
      <c r="A3693" s="25" t="n">
        <v>5247</v>
      </c>
      <c r="B3693" s="25" t="inlineStr">
        <is>
          <t>750ml</t>
        </is>
      </c>
    </row>
    <row r="3694">
      <c r="A3694" s="25" t="n">
        <v>89626</v>
      </c>
      <c r="B3694" s="25" t="inlineStr">
        <is>
          <t>750ml</t>
        </is>
      </c>
    </row>
    <row r="3695">
      <c r="A3695" s="25" t="n">
        <v>664502</v>
      </c>
      <c r="B3695" s="25" t="inlineStr">
        <is>
          <t>1.5L</t>
        </is>
      </c>
    </row>
    <row r="3696">
      <c r="A3696" s="25" t="n">
        <v>57122</v>
      </c>
      <c r="B3696" s="25" t="inlineStr">
        <is>
          <t>1.75L</t>
        </is>
      </c>
    </row>
    <row r="3697">
      <c r="A3697" s="25" t="n">
        <v>63963</v>
      </c>
      <c r="B3697" s="25" t="inlineStr">
        <is>
          <t>1.75L</t>
        </is>
      </c>
    </row>
    <row r="3698">
      <c r="A3698" s="25" t="n">
        <v>82849</v>
      </c>
      <c r="B3698" s="25" t="inlineStr">
        <is>
          <t>1.75L</t>
        </is>
      </c>
    </row>
    <row r="3699">
      <c r="A3699" s="25" t="n">
        <v>11299</v>
      </c>
      <c r="B3699" s="25" t="inlineStr">
        <is>
          <t>200ml</t>
        </is>
      </c>
    </row>
    <row r="3700">
      <c r="A3700" s="25" t="n">
        <v>34036</v>
      </c>
      <c r="B3700" s="25" t="inlineStr">
        <is>
          <t>750ml</t>
        </is>
      </c>
    </row>
    <row r="3701">
      <c r="A3701" s="25" t="n">
        <v>614130</v>
      </c>
      <c r="B3701" s="25" t="inlineStr">
        <is>
          <t>750ml</t>
        </is>
      </c>
    </row>
    <row r="3702">
      <c r="A3702" s="25" t="n">
        <v>642108</v>
      </c>
      <c r="B3702" s="25" t="inlineStr">
        <is>
          <t>1.5L</t>
        </is>
      </c>
    </row>
    <row r="3703">
      <c r="A3703" s="25" t="n">
        <v>40592</v>
      </c>
      <c r="B3703" s="25" t="inlineStr">
        <is>
          <t>200ml</t>
        </is>
      </c>
    </row>
    <row r="3704">
      <c r="A3704" s="25" t="n">
        <v>479690</v>
      </c>
      <c r="B3704" s="25" t="inlineStr">
        <is>
          <t>750ml</t>
        </is>
      </c>
    </row>
    <row r="3705">
      <c r="A3705" s="25" t="n">
        <v>52186</v>
      </c>
      <c r="B3705" s="25" t="inlineStr">
        <is>
          <t>750ml</t>
        </is>
      </c>
    </row>
    <row r="3706">
      <c r="A3706" s="25" t="n">
        <v>35647</v>
      </c>
      <c r="B3706" s="25" t="inlineStr">
        <is>
          <t>1L</t>
        </is>
      </c>
    </row>
    <row r="3707">
      <c r="A3707" s="25" t="n">
        <v>10792</v>
      </c>
      <c r="B3707" s="25" t="inlineStr">
        <is>
          <t>1L</t>
        </is>
      </c>
    </row>
    <row r="3708">
      <c r="A3708" s="25" t="n">
        <v>608749</v>
      </c>
      <c r="B3708" s="25" t="inlineStr">
        <is>
          <t>750ml</t>
        </is>
      </c>
    </row>
    <row r="3709">
      <c r="A3709" s="25" t="n">
        <v>734350</v>
      </c>
      <c r="B3709" s="25" t="inlineStr">
        <is>
          <t>750ml</t>
        </is>
      </c>
    </row>
    <row r="3710">
      <c r="A3710" s="25" t="n">
        <v>89278</v>
      </c>
      <c r="B3710" s="25" t="inlineStr">
        <is>
          <t>750ml</t>
        </is>
      </c>
    </row>
    <row r="3711">
      <c r="A3711" s="25" t="n">
        <v>89256</v>
      </c>
      <c r="B3711" s="25" t="inlineStr">
        <is>
          <t>750ml</t>
        </is>
      </c>
    </row>
    <row r="3712">
      <c r="A3712" s="25" t="n">
        <v>442575</v>
      </c>
      <c r="B3712" s="25" t="inlineStr">
        <is>
          <t>750ml</t>
        </is>
      </c>
    </row>
    <row r="3713">
      <c r="A3713" s="25" t="n">
        <v>87126</v>
      </c>
      <c r="B3713" s="25" t="inlineStr">
        <is>
          <t>750ml</t>
        </is>
      </c>
    </row>
    <row r="3714">
      <c r="A3714" s="25" t="n">
        <v>625800</v>
      </c>
      <c r="B3714" s="25" t="inlineStr">
        <is>
          <t>750ml</t>
        </is>
      </c>
    </row>
    <row r="3715">
      <c r="A3715" s="25" t="n">
        <v>217278</v>
      </c>
      <c r="B3715" s="25" t="inlineStr">
        <is>
          <t>750ml</t>
        </is>
      </c>
    </row>
    <row r="3716">
      <c r="A3716" s="25" t="n">
        <v>89787</v>
      </c>
      <c r="B3716" s="25" t="inlineStr">
        <is>
          <t>1L</t>
        </is>
      </c>
    </row>
    <row r="3717">
      <c r="A3717" s="25" t="n">
        <v>26658</v>
      </c>
      <c r="B3717" s="25" t="inlineStr">
        <is>
          <t>1.75L</t>
        </is>
      </c>
    </row>
    <row r="3718">
      <c r="A3718" s="25" t="n">
        <v>63202</v>
      </c>
      <c r="B3718" s="25" t="inlineStr">
        <is>
          <t>355ml</t>
        </is>
      </c>
    </row>
    <row r="3719">
      <c r="A3719" s="25" t="n">
        <v>16796</v>
      </c>
      <c r="B3719" s="25" t="inlineStr">
        <is>
          <t>750ml</t>
        </is>
      </c>
    </row>
    <row r="3720">
      <c r="A3720" s="25" t="n">
        <v>26765</v>
      </c>
      <c r="B3720" s="25" t="inlineStr">
        <is>
          <t>750ml</t>
        </is>
      </c>
    </row>
    <row r="3721">
      <c r="A3721" s="25" t="n">
        <v>630764</v>
      </c>
      <c r="B3721" s="25" t="inlineStr">
        <is>
          <t>187ml</t>
        </is>
      </c>
    </row>
    <row r="3722">
      <c r="A3722" s="25" t="n">
        <v>80014</v>
      </c>
      <c r="B3722" s="25" t="inlineStr">
        <is>
          <t>50ml</t>
        </is>
      </c>
    </row>
    <row r="3723">
      <c r="A3723" s="25" t="n">
        <v>101898</v>
      </c>
      <c r="B3723" s="25" t="inlineStr">
        <is>
          <t>750ml</t>
        </is>
      </c>
    </row>
    <row r="3724">
      <c r="A3724" s="25" t="n">
        <v>515888</v>
      </c>
      <c r="B3724" s="25" t="inlineStr">
        <is>
          <t>750ml</t>
        </is>
      </c>
    </row>
    <row r="3725">
      <c r="A3725" s="25" t="n">
        <v>583650</v>
      </c>
      <c r="B3725" s="25" t="inlineStr">
        <is>
          <t>750ml</t>
        </is>
      </c>
    </row>
    <row r="3726">
      <c r="A3726" s="25" t="n">
        <v>56026</v>
      </c>
      <c r="B3726" s="25" t="inlineStr">
        <is>
          <t>750ml</t>
        </is>
      </c>
    </row>
    <row r="3727">
      <c r="A3727" s="25" t="n">
        <v>80130</v>
      </c>
      <c r="B3727" s="25" t="inlineStr">
        <is>
          <t>750ml</t>
        </is>
      </c>
    </row>
    <row r="3728">
      <c r="A3728" s="25" t="n">
        <v>27782</v>
      </c>
      <c r="B3728" s="25" t="inlineStr">
        <is>
          <t>375ml</t>
        </is>
      </c>
    </row>
    <row r="3729" ht="12" customFormat="1" customHeight="1" s="25">
      <c r="A3729" s="25" t="n">
        <v>43256</v>
      </c>
      <c r="B3729" s="25" t="inlineStr">
        <is>
          <t>750ml</t>
        </is>
      </c>
    </row>
    <row r="3730">
      <c r="A3730" s="25" t="n">
        <v>22215</v>
      </c>
      <c r="B3730" s="25" t="inlineStr">
        <is>
          <t>750ml</t>
        </is>
      </c>
    </row>
    <row r="3731">
      <c r="A3731" s="25" t="n">
        <v>67526</v>
      </c>
      <c r="B3731" s="25" t="inlineStr">
        <is>
          <t>750ml</t>
        </is>
      </c>
    </row>
    <row r="3732" ht="12" customFormat="1" customHeight="1" s="6">
      <c r="A3732" s="25" t="n">
        <v>66296</v>
      </c>
      <c r="B3732" s="25" t="inlineStr">
        <is>
          <t>750ml</t>
        </is>
      </c>
    </row>
    <row r="3733">
      <c r="A3733" s="25" t="n">
        <v>77779</v>
      </c>
      <c r="B3733" s="25" t="inlineStr">
        <is>
          <t>1.75L</t>
        </is>
      </c>
    </row>
    <row r="3734">
      <c r="A3734" s="25" t="n">
        <v>452237</v>
      </c>
      <c r="B3734" s="25" t="inlineStr">
        <is>
          <t>750ml</t>
        </is>
      </c>
    </row>
    <row r="3735">
      <c r="A3735" s="25" t="n">
        <v>63884</v>
      </c>
      <c r="B3735" s="25" t="inlineStr">
        <is>
          <t>355ml</t>
        </is>
      </c>
    </row>
    <row r="3736">
      <c r="A3736" s="25" t="n">
        <v>429995</v>
      </c>
      <c r="B3736" s="25" t="inlineStr">
        <is>
          <t>1.5L</t>
        </is>
      </c>
    </row>
    <row r="3737">
      <c r="A3737" s="25" t="n">
        <v>65258</v>
      </c>
      <c r="B3737" s="25" t="inlineStr">
        <is>
          <t>1.75L</t>
        </is>
      </c>
    </row>
    <row r="3738">
      <c r="A3738" s="25" t="n">
        <v>513352</v>
      </c>
      <c r="B3738" s="25" t="inlineStr">
        <is>
          <t>1.5L</t>
        </is>
      </c>
    </row>
    <row r="3739">
      <c r="A3739" s="25" t="n">
        <v>68307</v>
      </c>
      <c r="B3739" s="25" t="inlineStr">
        <is>
          <t>1L</t>
        </is>
      </c>
    </row>
    <row r="3740">
      <c r="A3740" s="25" t="n">
        <v>349458</v>
      </c>
      <c r="B3740" s="25" t="inlineStr">
        <is>
          <t>1.5L</t>
        </is>
      </c>
    </row>
    <row r="3741">
      <c r="A3741" s="25" t="n">
        <v>729004</v>
      </c>
      <c r="B3741" s="25" t="inlineStr">
        <is>
          <t>750ml</t>
        </is>
      </c>
    </row>
    <row r="3742">
      <c r="A3742" s="25" t="n">
        <v>541262</v>
      </c>
      <c r="B3742" s="25" t="inlineStr">
        <is>
          <t>5L</t>
        </is>
      </c>
    </row>
    <row r="3743">
      <c r="A3743" s="25" t="n">
        <v>469465</v>
      </c>
      <c r="B3743" s="25" t="inlineStr">
        <is>
          <t>1.5L</t>
        </is>
      </c>
    </row>
    <row r="3744">
      <c r="A3744" s="25" t="n">
        <v>85931</v>
      </c>
      <c r="B3744" s="25" t="inlineStr">
        <is>
          <t>750ml</t>
        </is>
      </c>
    </row>
    <row r="3745">
      <c r="A3745" s="25" t="n">
        <v>87369</v>
      </c>
      <c r="B3745" s="25" t="inlineStr">
        <is>
          <t>750ml</t>
        </is>
      </c>
    </row>
    <row r="3746">
      <c r="A3746" s="25" t="n">
        <v>15890</v>
      </c>
      <c r="B3746" s="25" t="inlineStr">
        <is>
          <t>750ml</t>
        </is>
      </c>
    </row>
    <row r="3747">
      <c r="A3747" s="25" t="n">
        <v>37938</v>
      </c>
      <c r="B3747" s="25" t="inlineStr">
        <is>
          <t>1.75L</t>
        </is>
      </c>
    </row>
    <row r="3748">
      <c r="A3748" s="25" t="n">
        <v>68222</v>
      </c>
      <c r="B3748" s="25" t="inlineStr">
        <is>
          <t>750ml</t>
        </is>
      </c>
    </row>
    <row r="3749">
      <c r="A3749" s="25" t="n">
        <v>34154</v>
      </c>
      <c r="B3749" s="25" t="inlineStr">
        <is>
          <t>375ml</t>
        </is>
      </c>
    </row>
    <row r="3750">
      <c r="A3750" s="25" t="n">
        <v>98747</v>
      </c>
      <c r="B3750" s="25" t="inlineStr">
        <is>
          <t>750ml</t>
        </is>
      </c>
    </row>
    <row r="3751">
      <c r="A3751" s="25" t="n">
        <v>19473</v>
      </c>
      <c r="B3751" s="25" t="inlineStr">
        <is>
          <t>200ml</t>
        </is>
      </c>
    </row>
    <row r="3752">
      <c r="A3752" s="25" t="n">
        <v>29098</v>
      </c>
      <c r="B3752" s="25" t="inlineStr">
        <is>
          <t>1.75L</t>
        </is>
      </c>
    </row>
    <row r="3753">
      <c r="A3753" s="25" t="n">
        <v>5008</v>
      </c>
      <c r="B3753" s="25" t="inlineStr">
        <is>
          <t>1.75L</t>
        </is>
      </c>
    </row>
    <row r="3754">
      <c r="A3754" s="25" t="n">
        <v>27126</v>
      </c>
      <c r="B3754" s="25" t="inlineStr">
        <is>
          <t>750ml</t>
        </is>
      </c>
    </row>
    <row r="3755">
      <c r="A3755" s="25" t="n">
        <v>784505</v>
      </c>
      <c r="B3755" s="25" t="inlineStr">
        <is>
          <t>750ml</t>
        </is>
      </c>
    </row>
    <row r="3756">
      <c r="A3756" s="25" t="n">
        <v>27707</v>
      </c>
      <c r="B3756" s="25" t="inlineStr">
        <is>
          <t>750ml</t>
        </is>
      </c>
    </row>
    <row r="3757">
      <c r="A3757" s="25" t="n">
        <v>10828</v>
      </c>
      <c r="B3757" s="25" t="inlineStr">
        <is>
          <t>750ml</t>
        </is>
      </c>
    </row>
    <row r="3758">
      <c r="A3758" s="25" t="n">
        <v>891004</v>
      </c>
      <c r="B3758" s="25" t="inlineStr">
        <is>
          <t>5L</t>
        </is>
      </c>
    </row>
    <row r="3759">
      <c r="A3759" s="25" t="n">
        <v>284113</v>
      </c>
      <c r="B3759" s="25" t="inlineStr">
        <is>
          <t>750ml</t>
        </is>
      </c>
    </row>
    <row r="3760">
      <c r="A3760" s="25" t="n">
        <v>43977</v>
      </c>
      <c r="B3760" s="25" t="inlineStr">
        <is>
          <t>375ml</t>
        </is>
      </c>
    </row>
    <row r="3761">
      <c r="A3761" s="25" t="n">
        <v>28675</v>
      </c>
      <c r="B3761" s="25" t="inlineStr">
        <is>
          <t>750ml</t>
        </is>
      </c>
    </row>
    <row r="3762">
      <c r="A3762" s="25" t="n">
        <v>53840</v>
      </c>
      <c r="B3762" s="25" t="inlineStr">
        <is>
          <t>750ml</t>
        </is>
      </c>
    </row>
    <row r="3763">
      <c r="A3763" s="25" t="n">
        <v>450725</v>
      </c>
      <c r="B3763" s="25" t="inlineStr">
        <is>
          <t>750ml</t>
        </is>
      </c>
    </row>
    <row r="3764">
      <c r="A3764" s="25" t="n">
        <v>44280</v>
      </c>
      <c r="B3764" s="25" t="inlineStr">
        <is>
          <t>1.75L</t>
        </is>
      </c>
    </row>
    <row r="3765">
      <c r="A3765" s="25" t="n">
        <v>32414</v>
      </c>
      <c r="B3765" s="25" t="inlineStr">
        <is>
          <t>375ml</t>
        </is>
      </c>
    </row>
    <row r="3766">
      <c r="A3766" s="25" t="n">
        <v>442544</v>
      </c>
      <c r="B3766" s="25" t="inlineStr">
        <is>
          <t>750ml</t>
        </is>
      </c>
    </row>
    <row r="3767">
      <c r="A3767" s="25" t="n">
        <v>5318</v>
      </c>
      <c r="B3767" s="25" t="inlineStr">
        <is>
          <t>750ml</t>
        </is>
      </c>
    </row>
    <row r="3768">
      <c r="A3768" s="25" t="n">
        <v>26550</v>
      </c>
      <c r="B3768" s="25" t="inlineStr">
        <is>
          <t>750ml</t>
        </is>
      </c>
    </row>
    <row r="3769">
      <c r="A3769" s="25" t="n">
        <v>285100</v>
      </c>
      <c r="B3769" s="25" t="inlineStr">
        <is>
          <t>750ml</t>
        </is>
      </c>
    </row>
    <row r="3770">
      <c r="A3770" s="25" t="n">
        <v>882327</v>
      </c>
      <c r="B3770" s="25" t="inlineStr">
        <is>
          <t>750ml</t>
        </is>
      </c>
    </row>
    <row r="3771">
      <c r="A3771" s="25" t="n">
        <v>64762</v>
      </c>
      <c r="B3771" s="25" t="inlineStr">
        <is>
          <t>375ml</t>
        </is>
      </c>
    </row>
    <row r="3772">
      <c r="A3772" s="25" t="n">
        <v>602730</v>
      </c>
      <c r="B3772" s="25" t="inlineStr">
        <is>
          <t>750ml</t>
        </is>
      </c>
    </row>
    <row r="3773">
      <c r="A3773" s="25" t="n">
        <v>451300</v>
      </c>
      <c r="B3773" s="25" t="inlineStr">
        <is>
          <t>1.5L</t>
        </is>
      </c>
    </row>
    <row r="3774">
      <c r="A3774" s="25" t="n">
        <v>57037</v>
      </c>
      <c r="B3774" s="25" t="inlineStr">
        <is>
          <t>200ml</t>
        </is>
      </c>
    </row>
    <row r="3775">
      <c r="A3775" s="25" t="n">
        <v>12408</v>
      </c>
      <c r="B3775" s="25" t="inlineStr">
        <is>
          <t>1.75L</t>
        </is>
      </c>
    </row>
    <row r="3776">
      <c r="A3776" s="25" t="n">
        <v>89534</v>
      </c>
      <c r="B3776" s="25" t="inlineStr">
        <is>
          <t>1.75L</t>
        </is>
      </c>
    </row>
    <row r="3777">
      <c r="A3777" s="25" t="n">
        <v>24178</v>
      </c>
      <c r="B3777" s="25" t="inlineStr">
        <is>
          <t>1.75L</t>
        </is>
      </c>
    </row>
    <row r="3778">
      <c r="A3778" s="25" t="n">
        <v>34753</v>
      </c>
      <c r="B3778" s="25" t="inlineStr">
        <is>
          <t>750ml</t>
        </is>
      </c>
    </row>
    <row r="3779">
      <c r="A3779" s="25" t="n">
        <v>34201</v>
      </c>
      <c r="B3779" s="25" t="inlineStr">
        <is>
          <t>1.75L</t>
        </is>
      </c>
    </row>
    <row r="3780">
      <c r="A3780" s="25" t="n">
        <v>485433</v>
      </c>
      <c r="B3780" s="25" t="inlineStr">
        <is>
          <t>750ml</t>
        </is>
      </c>
    </row>
    <row r="3781">
      <c r="A3781" s="25" t="n">
        <v>42715</v>
      </c>
      <c r="B3781" s="25" t="inlineStr">
        <is>
          <t>750ml</t>
        </is>
      </c>
    </row>
    <row r="3782">
      <c r="A3782" s="25" t="n">
        <v>101578</v>
      </c>
      <c r="B3782" s="25" t="inlineStr">
        <is>
          <t>750ml</t>
        </is>
      </c>
    </row>
    <row r="3783">
      <c r="A3783" s="25" t="n">
        <v>683362</v>
      </c>
      <c r="B3783" s="25" t="inlineStr">
        <is>
          <t>1.5L</t>
        </is>
      </c>
    </row>
    <row r="3784">
      <c r="A3784" s="25" t="n">
        <v>52584</v>
      </c>
      <c r="B3784" s="25" t="inlineStr">
        <is>
          <t>1.75L</t>
        </is>
      </c>
    </row>
    <row r="3785">
      <c r="A3785" s="25" t="n">
        <v>36969</v>
      </c>
      <c r="B3785" s="25" t="inlineStr">
        <is>
          <t>750ml</t>
        </is>
      </c>
    </row>
    <row r="3786">
      <c r="A3786" s="25" t="n">
        <v>45096</v>
      </c>
      <c r="B3786" s="25" t="inlineStr">
        <is>
          <t>750ml</t>
        </is>
      </c>
    </row>
    <row r="3787">
      <c r="A3787" s="25" t="n">
        <v>43408</v>
      </c>
      <c r="B3787" s="25" t="inlineStr">
        <is>
          <t>1.75L</t>
        </is>
      </c>
    </row>
    <row r="3788">
      <c r="A3788" s="25" t="n">
        <v>378810</v>
      </c>
      <c r="B3788" s="25" t="inlineStr">
        <is>
          <t>750ml</t>
        </is>
      </c>
    </row>
    <row r="3789">
      <c r="A3789" s="25" t="n">
        <v>566375</v>
      </c>
      <c r="B3789" s="25" t="inlineStr">
        <is>
          <t>5L</t>
        </is>
      </c>
    </row>
    <row r="3790">
      <c r="A3790" s="25" t="n">
        <v>59850</v>
      </c>
      <c r="B3790" s="25" t="inlineStr">
        <is>
          <t>1.75L</t>
        </is>
      </c>
    </row>
    <row r="3791">
      <c r="A3791" s="25" t="n">
        <v>379256</v>
      </c>
      <c r="B3791" s="25" t="inlineStr">
        <is>
          <t>750ml</t>
        </is>
      </c>
    </row>
    <row r="3792">
      <c r="A3792" s="25" t="n">
        <v>484705</v>
      </c>
      <c r="B3792" s="25" t="inlineStr">
        <is>
          <t>750ml</t>
        </is>
      </c>
    </row>
    <row r="3793">
      <c r="A3793" s="25" t="n">
        <v>97065</v>
      </c>
      <c r="B3793" s="25" t="inlineStr">
        <is>
          <t>18L</t>
        </is>
      </c>
    </row>
    <row r="3794">
      <c r="A3794" s="25" t="n">
        <v>217281</v>
      </c>
      <c r="B3794" s="25" t="inlineStr">
        <is>
          <t>750ml</t>
        </is>
      </c>
    </row>
    <row r="3795">
      <c r="A3795" s="25" t="n">
        <v>49373</v>
      </c>
      <c r="B3795" s="25" t="inlineStr">
        <is>
          <t>200ml</t>
        </is>
      </c>
    </row>
    <row r="3796">
      <c r="A3796" s="25" t="n">
        <v>75213</v>
      </c>
      <c r="B3796" s="25" t="inlineStr">
        <is>
          <t>375ml</t>
        </is>
      </c>
    </row>
    <row r="3797">
      <c r="A3797" s="25" t="n">
        <v>87509</v>
      </c>
      <c r="B3797" s="25" t="inlineStr">
        <is>
          <t>375ml</t>
        </is>
      </c>
    </row>
    <row r="3798">
      <c r="A3798" s="25" t="n">
        <v>27048</v>
      </c>
      <c r="B3798" s="25" t="inlineStr">
        <is>
          <t>750ml</t>
        </is>
      </c>
    </row>
    <row r="3799">
      <c r="A3799" s="25" t="n">
        <v>12306</v>
      </c>
      <c r="B3799" s="25" t="inlineStr">
        <is>
          <t>750ml</t>
        </is>
      </c>
    </row>
    <row r="3800">
      <c r="A3800" s="25" t="n">
        <v>67319</v>
      </c>
      <c r="B3800" s="25" t="inlineStr">
        <is>
          <t>750ml</t>
        </is>
      </c>
    </row>
    <row r="3801">
      <c r="A3801" s="25" t="n">
        <v>741200</v>
      </c>
      <c r="B3801" s="25" t="inlineStr">
        <is>
          <t>750ml</t>
        </is>
      </c>
    </row>
    <row r="3802">
      <c r="A3802" s="25" t="n">
        <v>85536</v>
      </c>
      <c r="B3802" s="25" t="inlineStr">
        <is>
          <t>750ml</t>
        </is>
      </c>
    </row>
    <row r="3803">
      <c r="A3803" s="25" t="n">
        <v>75264</v>
      </c>
      <c r="B3803" s="25" t="inlineStr">
        <is>
          <t>750ml</t>
        </is>
      </c>
    </row>
    <row r="3804">
      <c r="A3804" s="25" t="n">
        <v>63505</v>
      </c>
      <c r="B3804" s="25" t="inlineStr">
        <is>
          <t>375ml</t>
        </is>
      </c>
    </row>
    <row r="3805">
      <c r="A3805" s="25" t="n">
        <v>87027</v>
      </c>
      <c r="B3805" s="25" t="inlineStr">
        <is>
          <t>750ml</t>
        </is>
      </c>
    </row>
    <row r="3806">
      <c r="A3806" s="25" t="n">
        <v>1400</v>
      </c>
      <c r="B3806" s="25" t="inlineStr">
        <is>
          <t>750ml</t>
        </is>
      </c>
    </row>
    <row r="3807">
      <c r="A3807" s="25" t="n">
        <v>5842</v>
      </c>
      <c r="B3807" s="25" t="inlineStr">
        <is>
          <t>750ml</t>
        </is>
      </c>
    </row>
    <row r="3808">
      <c r="A3808" s="25" t="n">
        <v>357240</v>
      </c>
      <c r="B3808" s="25" t="inlineStr">
        <is>
          <t>750ml</t>
        </is>
      </c>
    </row>
    <row r="3809">
      <c r="A3809" s="25" t="n">
        <v>47647</v>
      </c>
      <c r="B3809" s="25" t="inlineStr">
        <is>
          <t>750ml</t>
        </is>
      </c>
    </row>
    <row r="3810" ht="16" customHeight="1">
      <c r="A3810" s="98" t="n">
        <v>88239</v>
      </c>
      <c r="B3810" s="125" t="inlineStr">
        <is>
          <t>100ml</t>
        </is>
      </c>
    </row>
    <row r="3811" ht="16" customHeight="1">
      <c r="A3811" s="98" t="n">
        <v>88241</v>
      </c>
      <c r="B3811" s="125" t="inlineStr">
        <is>
          <t>100ml</t>
        </is>
      </c>
    </row>
    <row r="3812">
      <c r="A3812" s="25" t="inlineStr">
        <is>
          <t>729099</t>
        </is>
      </c>
      <c r="B3812" s="7" t="inlineStr">
        <is>
          <t>187ml</t>
        </is>
      </c>
    </row>
    <row r="3813">
      <c r="A3813" s="25" t="inlineStr">
        <is>
          <t>729077</t>
        </is>
      </c>
      <c r="B3813" s="7" t="inlineStr">
        <is>
          <t>187ml</t>
        </is>
      </c>
    </row>
    <row r="3814">
      <c r="A3814" s="25" t="inlineStr">
        <is>
          <t>729021</t>
        </is>
      </c>
      <c r="B3814" s="7" t="inlineStr">
        <is>
          <t>187ml</t>
        </is>
      </c>
    </row>
    <row r="3815">
      <c r="A3815" s="25" t="inlineStr">
        <is>
          <t>803475</t>
        </is>
      </c>
      <c r="B3815" s="7" t="inlineStr">
        <is>
          <t>187ml</t>
        </is>
      </c>
    </row>
    <row r="3816" ht="16.5" customHeight="1">
      <c r="A3816" s="25" t="inlineStr">
        <is>
          <t>86751</t>
        </is>
      </c>
      <c r="B3816" s="7" t="inlineStr">
        <is>
          <t>750ml</t>
        </is>
      </c>
    </row>
    <row r="3817" ht="16.5" customHeight="1">
      <c r="A3817" s="98" t="n">
        <v>59536</v>
      </c>
      <c r="B3817" s="7" t="inlineStr">
        <is>
          <t>750ml</t>
        </is>
      </c>
    </row>
    <row r="3818" ht="16.5" customHeight="1">
      <c r="A3818" s="98" t="n">
        <v>59551</v>
      </c>
      <c r="B3818" s="7" t="inlineStr">
        <is>
          <t>750ml</t>
        </is>
      </c>
    </row>
    <row r="3819" ht="16" customHeight="1">
      <c r="A3819" s="98" t="n">
        <v>88291</v>
      </c>
      <c r="B3819" s="7" t="inlineStr">
        <is>
          <t>50ml</t>
        </is>
      </c>
    </row>
    <row r="3820">
      <c r="A3820" s="25" t="n">
        <v>28281</v>
      </c>
      <c r="B3820" s="7" t="inlineStr">
        <is>
          <t>1.75L</t>
        </is>
      </c>
    </row>
    <row r="3821">
      <c r="A3821" s="25" t="n">
        <v>729099</v>
      </c>
      <c r="B3821" s="7" t="inlineStr">
        <is>
          <t>187ml</t>
        </is>
      </c>
    </row>
    <row r="3822" ht="16" customHeight="1">
      <c r="A3822" s="98" t="n">
        <v>88189</v>
      </c>
      <c r="B3822" s="97" t="inlineStr">
        <is>
          <t>375ml</t>
        </is>
      </c>
    </row>
    <row r="3823" ht="16" customHeight="1">
      <c r="A3823" s="98" t="n">
        <v>10776</v>
      </c>
      <c r="B3823" s="97" t="inlineStr">
        <is>
          <t>375ml</t>
        </is>
      </c>
    </row>
    <row r="3824" ht="16" customHeight="1">
      <c r="A3824" s="98" t="n">
        <v>26707</v>
      </c>
      <c r="B3824" s="97" t="inlineStr">
        <is>
          <t>750ml</t>
        </is>
      </c>
    </row>
    <row r="3825" ht="16" customHeight="1">
      <c r="A3825" s="98" t="n">
        <v>425540</v>
      </c>
      <c r="B3825" s="97" t="inlineStr">
        <is>
          <t>187ml</t>
        </is>
      </c>
    </row>
    <row r="3826" ht="16" customHeight="1">
      <c r="A3826" s="98" t="n">
        <v>884912</v>
      </c>
      <c r="B3826" s="97" t="inlineStr">
        <is>
          <t>750ml</t>
        </is>
      </c>
    </row>
    <row r="3827" ht="16" customHeight="1">
      <c r="A3827" s="98" t="n">
        <v>884914</v>
      </c>
      <c r="B3827" s="97" t="inlineStr">
        <is>
          <t>750ml</t>
        </is>
      </c>
    </row>
    <row r="3828" ht="16" customHeight="1">
      <c r="A3828" s="98" t="n">
        <v>26966</v>
      </c>
      <c r="B3828" s="97" t="inlineStr">
        <is>
          <t>750ml</t>
        </is>
      </c>
    </row>
    <row r="3829">
      <c r="A3829" s="25" t="n">
        <v>411122</v>
      </c>
      <c r="B3829" s="25" t="inlineStr">
        <is>
          <t>750ml</t>
        </is>
      </c>
    </row>
    <row r="3830">
      <c r="A3830" s="25" t="n">
        <v>59852</v>
      </c>
      <c r="B3830" s="25" t="inlineStr">
        <is>
          <t>1.75L</t>
        </is>
      </c>
    </row>
    <row r="3831">
      <c r="A3831" s="25" t="n">
        <v>29545</v>
      </c>
      <c r="B3831" s="25" t="inlineStr">
        <is>
          <t>750ml</t>
        </is>
      </c>
    </row>
    <row r="3832">
      <c r="A3832" s="25" t="n">
        <v>86839</v>
      </c>
      <c r="B3832" s="25" t="inlineStr">
        <is>
          <t>750ml</t>
        </is>
      </c>
    </row>
    <row r="3833">
      <c r="A3833" s="25" t="n">
        <v>65189</v>
      </c>
      <c r="B3833" s="25" t="inlineStr">
        <is>
          <t>1L</t>
        </is>
      </c>
    </row>
    <row r="3834">
      <c r="A3834" s="25" t="n">
        <v>38063</v>
      </c>
      <c r="B3834" s="25" t="inlineStr">
        <is>
          <t>200ml</t>
        </is>
      </c>
    </row>
    <row r="3835">
      <c r="A3835" s="25" t="n">
        <v>89182</v>
      </c>
      <c r="B3835" s="25" t="inlineStr">
        <is>
          <t>750ml</t>
        </is>
      </c>
    </row>
    <row r="3836">
      <c r="A3836" s="25" t="n">
        <v>86851</v>
      </c>
      <c r="B3836" s="25" t="inlineStr">
        <is>
          <t>750ml</t>
        </is>
      </c>
    </row>
    <row r="3837">
      <c r="A3837" s="25" t="n">
        <v>429973</v>
      </c>
      <c r="B3837" s="25" t="inlineStr">
        <is>
          <t>1.5L</t>
        </is>
      </c>
    </row>
    <row r="3838">
      <c r="A3838" s="25" t="n">
        <v>882319</v>
      </c>
      <c r="B3838" s="25" t="inlineStr">
        <is>
          <t>1.5L</t>
        </is>
      </c>
    </row>
    <row r="3839">
      <c r="A3839" s="25" t="n">
        <v>11588</v>
      </c>
      <c r="B3839" s="25" t="inlineStr">
        <is>
          <t>1.75L</t>
        </is>
      </c>
    </row>
    <row r="384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1"/>
  <sheetViews>
    <sheetView zoomScaleNormal="100" workbookViewId="0">
      <pane ySplit="2" topLeftCell="A81" activePane="bottomLeft" state="frozen"/>
      <selection pane="bottomLeft" activeCell="I33" sqref="I33"/>
    </sheetView>
  </sheetViews>
  <sheetFormatPr baseColWidth="10" defaultColWidth="8.83203125" defaultRowHeight="15"/>
  <cols>
    <col width="65.33203125" bestFit="1" customWidth="1" min="2" max="2"/>
    <col width="28" customWidth="1" style="49" min="4" max="4"/>
    <col width="11.83203125" bestFit="1" customWidth="1" min="5" max="5"/>
    <col width="12.83203125" customWidth="1" min="6" max="6"/>
    <col width="10.5" bestFit="1" customWidth="1" min="7" max="7"/>
    <col width="9.1640625" customWidth="1" style="28" min="8" max="8"/>
    <col width="11.6640625" bestFit="1" customWidth="1" style="28" min="9" max="9"/>
    <col width="9.1640625" customWidth="1" style="28" min="10" max="20"/>
  </cols>
  <sheetData>
    <row r="1" ht="26" customHeight="1">
      <c r="A1" s="59" t="n"/>
      <c r="B1" s="64">
        <f>TODAY()</f>
        <v/>
      </c>
      <c r="C1" s="59" t="n"/>
      <c r="D1" s="60">
        <f>SUM(D2:D6219)</f>
        <v/>
      </c>
      <c r="F1" s="23" t="n"/>
    </row>
    <row r="2" customFormat="1" s="6">
      <c r="A2" s="5" t="n"/>
      <c r="B2" s="5" t="inlineStr">
        <is>
          <t>Name</t>
        </is>
      </c>
      <c r="C2" s="96" t="inlineStr">
        <is>
          <t>Size</t>
        </is>
      </c>
      <c r="D2" s="5" t="inlineStr">
        <is>
          <t>Reserved Quantity</t>
        </is>
      </c>
      <c r="E2" s="5" t="inlineStr">
        <is>
          <t>Order</t>
        </is>
      </c>
      <c r="F2" s="5" t="inlineStr">
        <is>
          <t>Date</t>
        </is>
      </c>
      <c r="G2" s="5" t="inlineStr">
        <is>
          <t>Note</t>
        </is>
      </c>
    </row>
    <row r="3" ht="16" customHeight="1">
      <c r="A3" s="98" t="n">
        <v>34008</v>
      </c>
      <c r="B3" s="98" t="inlineStr">
        <is>
          <t>ABSOLUT 80 VODKA</t>
        </is>
      </c>
      <c r="C3" s="97">
        <f>VLOOKUP(A3,SizeData!A$2:B$3839,2,FALSE)</f>
        <v/>
      </c>
      <c r="D3" s="98" t="n">
        <v>4</v>
      </c>
      <c r="E3" s="98" t="inlineStr">
        <is>
          <t>R2084427</t>
        </is>
      </c>
      <c r="F3" s="99" t="n">
        <v>45050</v>
      </c>
      <c r="G3" s="100" t="n"/>
    </row>
    <row r="4" ht="16" customHeight="1">
      <c r="A4" s="98" t="n">
        <v>768681</v>
      </c>
      <c r="B4" s="98" t="inlineStr">
        <is>
          <t>ANDRE CHAMPAGNE PEACH MOSCATO</t>
        </is>
      </c>
      <c r="C4" s="97">
        <f>VLOOKUP(A4,SizeData!A$2:B$3839,2,FALSE)</f>
        <v/>
      </c>
      <c r="D4" s="98" t="n">
        <v>4</v>
      </c>
      <c r="E4" s="98" t="inlineStr">
        <is>
          <t>R2084427</t>
        </is>
      </c>
      <c r="F4" s="99" t="n">
        <v>45050</v>
      </c>
      <c r="G4" s="100" t="n"/>
    </row>
    <row r="5" ht="16" customHeight="1">
      <c r="A5" s="98" t="n">
        <v>741200</v>
      </c>
      <c r="B5" s="98" t="inlineStr">
        <is>
          <t>ANDRE EXTRA DRY CHAMPAGNE</t>
        </is>
      </c>
      <c r="C5" s="97">
        <f>VLOOKUP(A5,SizeData!A$2:B$3839,2,FALSE)</f>
        <v/>
      </c>
      <c r="D5" s="98" t="n">
        <v>4</v>
      </c>
      <c r="E5" s="98" t="inlineStr">
        <is>
          <t>R2079568</t>
        </is>
      </c>
      <c r="F5" s="99" t="n">
        <v>45051</v>
      </c>
      <c r="G5" s="100" t="n"/>
    </row>
    <row r="6" ht="16" customHeight="1">
      <c r="A6" s="98" t="n">
        <v>47548</v>
      </c>
      <c r="B6" s="98" t="inlineStr">
        <is>
          <t>ANSAC V S COGNAC</t>
        </is>
      </c>
      <c r="C6" s="97">
        <f>VLOOKUP(A6,SizeData!A$2:B$3839,2,FALSE)</f>
        <v/>
      </c>
      <c r="D6" s="98" t="n">
        <v>2</v>
      </c>
      <c r="E6" s="98" t="inlineStr">
        <is>
          <t>R2088606</t>
        </is>
      </c>
      <c r="F6" s="99" t="n">
        <v>45050</v>
      </c>
      <c r="G6" s="100" t="n"/>
    </row>
    <row r="7" ht="16" customHeight="1">
      <c r="A7" s="98" t="n">
        <v>35083</v>
      </c>
      <c r="B7" s="98" t="inlineStr">
        <is>
          <t>ARISTOCRAT SUPREME VODKA</t>
        </is>
      </c>
      <c r="C7" s="97">
        <f>VLOOKUP(A7,SizeData!A$2:B$3839,2,FALSE)</f>
        <v/>
      </c>
      <c r="D7" s="98" t="n">
        <v>1</v>
      </c>
      <c r="E7" s="98" t="inlineStr">
        <is>
          <t>R2079568</t>
        </is>
      </c>
      <c r="F7" s="99" t="n">
        <v>45051</v>
      </c>
      <c r="G7" s="100" t="n"/>
    </row>
    <row r="8" ht="16" customHeight="1">
      <c r="A8" s="98" t="n">
        <v>442562</v>
      </c>
      <c r="B8" s="98" t="inlineStr">
        <is>
          <t>BAREFOOT CELLARS RED MOSCATO CALIFORNIA</t>
        </is>
      </c>
      <c r="C8" s="97">
        <f>VLOOKUP(A8,SizeData!A$2:B$3839,2,FALSE)</f>
        <v/>
      </c>
      <c r="D8" s="98" t="n">
        <v>1</v>
      </c>
      <c r="E8" s="98" t="inlineStr">
        <is>
          <t>R2079568</t>
        </is>
      </c>
      <c r="F8" s="99" t="n">
        <v>45051</v>
      </c>
      <c r="G8" s="100" t="n"/>
    </row>
    <row r="9" ht="16" customHeight="1">
      <c r="A9" s="98" t="n">
        <v>544109</v>
      </c>
      <c r="B9" s="98" t="inlineStr">
        <is>
          <t>BAREFOOT MOSCATO CALLIFORNIA</t>
        </is>
      </c>
      <c r="C9" s="97">
        <f>VLOOKUP(A9,SizeData!A$2:B$3839,2,FALSE)</f>
        <v/>
      </c>
      <c r="D9" s="98" t="n">
        <v>1</v>
      </c>
      <c r="E9" s="98" t="inlineStr">
        <is>
          <t>R2079568</t>
        </is>
      </c>
      <c r="F9" s="99" t="n">
        <v>45051</v>
      </c>
      <c r="G9" s="100" t="n"/>
    </row>
    <row r="10" ht="16" customHeight="1">
      <c r="A10" s="98" t="n">
        <v>11788</v>
      </c>
      <c r="B10" s="98" t="inlineStr">
        <is>
          <t>BLACK VELVET</t>
        </is>
      </c>
      <c r="C10" s="97">
        <f>VLOOKUP(A10,SizeData!A$2:B$3839,2,FALSE)</f>
        <v/>
      </c>
      <c r="D10" s="98" t="n">
        <v>1</v>
      </c>
      <c r="E10" s="98" t="inlineStr">
        <is>
          <t>R2084427</t>
        </is>
      </c>
      <c r="F10" s="99" t="n">
        <v>45050</v>
      </c>
      <c r="G10" s="100" t="n"/>
    </row>
    <row r="11" ht="16" customHeight="1">
      <c r="A11" s="98" t="n">
        <v>352440</v>
      </c>
      <c r="B11" s="98" t="inlineStr">
        <is>
          <t>BRICCO RIELLA MOSCATO D'ASTI</t>
        </is>
      </c>
      <c r="C11" s="97">
        <f>VLOOKUP(A11,SizeData!A$2:B$3839,2,FALSE)</f>
        <v/>
      </c>
      <c r="D11" s="98" t="n">
        <v>2</v>
      </c>
      <c r="E11" s="98" t="inlineStr">
        <is>
          <t>R2086695</t>
        </is>
      </c>
      <c r="F11" s="99" t="n">
        <v>45051</v>
      </c>
      <c r="G11" s="100" t="n"/>
    </row>
    <row r="12" ht="16" customHeight="1">
      <c r="A12" s="98" t="n">
        <v>643820</v>
      </c>
      <c r="B12" s="98" t="inlineStr">
        <is>
          <t>BULLY HILL SWEET WALTER ROSE</t>
        </is>
      </c>
      <c r="C12" s="97">
        <f>VLOOKUP(A12,SizeData!A$2:B$3839,2,FALSE)</f>
        <v/>
      </c>
      <c r="D12" s="98" t="n">
        <v>1</v>
      </c>
      <c r="E12" s="98" t="inlineStr">
        <is>
          <t>R2086695</t>
        </is>
      </c>
      <c r="F12" s="99" t="n">
        <v>45051</v>
      </c>
      <c r="G12" s="100" t="n"/>
    </row>
    <row r="13" ht="16" customHeight="1">
      <c r="A13" s="98" t="n">
        <v>35410</v>
      </c>
      <c r="B13" s="98" t="inlineStr">
        <is>
          <t>BURNETT'S 80 PROOF VODKA (PET)</t>
        </is>
      </c>
      <c r="C13" s="97">
        <f>VLOOKUP(A13,SizeData!A$2:B$3839,2,FALSE)</f>
        <v/>
      </c>
      <c r="D13" s="98" t="n">
        <v>2</v>
      </c>
      <c r="E13" s="98" t="inlineStr">
        <is>
          <t>R2084427</t>
        </is>
      </c>
      <c r="F13" s="99" t="n">
        <v>45050</v>
      </c>
      <c r="G13" s="100" t="n"/>
    </row>
    <row r="14" ht="16" customHeight="1">
      <c r="A14" s="98" t="n">
        <v>12880</v>
      </c>
      <c r="B14" s="98" t="inlineStr">
        <is>
          <t>CANADIAN RICH &amp; RARE (PET)</t>
        </is>
      </c>
      <c r="C14" s="97">
        <f>VLOOKUP(A14,SizeData!A$2:B$3839,2,FALSE)</f>
        <v/>
      </c>
      <c r="D14" s="98" t="n">
        <v>3</v>
      </c>
      <c r="E14" s="98" t="inlineStr">
        <is>
          <t>R2084427</t>
        </is>
      </c>
      <c r="F14" s="99" t="n">
        <v>45050</v>
      </c>
      <c r="G14" s="100" t="n"/>
    </row>
    <row r="15" ht="16" customHeight="1">
      <c r="A15" s="98" t="n">
        <v>882312</v>
      </c>
      <c r="B15" s="98" t="inlineStr">
        <is>
          <t>CARLO ROSSI SWEET RED</t>
        </is>
      </c>
      <c r="C15" s="97">
        <f>VLOOKUP(A15,SizeData!A$2:B$3839,2,FALSE)</f>
        <v/>
      </c>
      <c r="D15" s="98" t="n">
        <v>1</v>
      </c>
      <c r="E15" s="98" t="inlineStr">
        <is>
          <t>R2079568</t>
        </is>
      </c>
      <c r="F15" s="99" t="n">
        <v>45051</v>
      </c>
      <c r="G15" s="100" t="n"/>
    </row>
    <row r="16" ht="16" customHeight="1">
      <c r="A16" s="98" t="n">
        <v>64512</v>
      </c>
      <c r="B16" s="98" t="inlineStr">
        <is>
          <t>CIROC APPLE FLAVORED VODKA SPECIALTY</t>
        </is>
      </c>
      <c r="C16" s="97">
        <f>VLOOKUP(A16,SizeData!A$2:B$3839,2,FALSE)</f>
        <v/>
      </c>
      <c r="D16" s="98" t="n">
        <v>1</v>
      </c>
      <c r="E16" s="98" t="inlineStr">
        <is>
          <t>R2088606</t>
        </is>
      </c>
      <c r="F16" s="99" t="n">
        <v>45050</v>
      </c>
      <c r="G16" s="100" t="n"/>
    </row>
    <row r="17" ht="16" customHeight="1">
      <c r="A17" s="98" t="n">
        <v>568832</v>
      </c>
      <c r="B17" s="98" t="inlineStr">
        <is>
          <t>COPPERIDGE CHARDONNAY</t>
        </is>
      </c>
      <c r="C17" s="97">
        <f>VLOOKUP(A17,SizeData!A$2:B$3839,2,FALSE)</f>
        <v/>
      </c>
      <c r="D17" s="98" t="n">
        <v>4</v>
      </c>
      <c r="E17" s="98" t="inlineStr">
        <is>
          <t>R2088606</t>
        </is>
      </c>
      <c r="F17" s="99" t="n">
        <v>45050</v>
      </c>
      <c r="G17" s="100" t="n"/>
    </row>
    <row r="18" ht="16" customHeight="1">
      <c r="A18" s="98" t="n">
        <v>85526</v>
      </c>
      <c r="B18" s="98" t="inlineStr">
        <is>
          <t>DEKUYPER BLUE CURACAO</t>
        </is>
      </c>
      <c r="C18" s="97">
        <f>VLOOKUP(A18,SizeData!A$2:B$3839,2,FALSE)</f>
        <v/>
      </c>
      <c r="D18" s="98" t="n">
        <v>1</v>
      </c>
      <c r="E18" s="98" t="inlineStr">
        <is>
          <t>R2086695</t>
        </is>
      </c>
      <c r="F18" s="99" t="n">
        <v>45051</v>
      </c>
      <c r="G18" s="100" t="n"/>
    </row>
    <row r="19" ht="16" customHeight="1">
      <c r="A19" s="98" t="n">
        <v>47865</v>
      </c>
      <c r="B19" s="98" t="inlineStr">
        <is>
          <t>DUSSE VSOP COGNAC</t>
        </is>
      </c>
      <c r="C19" s="97">
        <f>VLOOKUP(A19,SizeData!A$2:B$3839,2,FALSE)</f>
        <v/>
      </c>
      <c r="D19" s="98" t="n">
        <v>2</v>
      </c>
      <c r="E19" s="98" t="inlineStr">
        <is>
          <t>R2086695</t>
        </is>
      </c>
      <c r="F19" s="99" t="n">
        <v>45051</v>
      </c>
      <c r="G19" s="100" t="n"/>
    </row>
    <row r="20" ht="16" customHeight="1">
      <c r="A20" s="98" t="n">
        <v>467800</v>
      </c>
      <c r="B20" s="98" t="inlineStr">
        <is>
          <t>FRANZIA HOUSE WINE FAV CHILLABLE RED</t>
        </is>
      </c>
      <c r="C20" s="97">
        <f>VLOOKUP(A20,SizeData!A$2:B$3839,2,FALSE)</f>
        <v/>
      </c>
      <c r="D20" s="98" t="n">
        <v>1</v>
      </c>
      <c r="E20" s="98" t="inlineStr">
        <is>
          <t>R2079568</t>
        </is>
      </c>
      <c r="F20" s="99" t="n">
        <v>45051</v>
      </c>
      <c r="G20" s="100" t="n"/>
    </row>
    <row r="21" ht="16" customHeight="1">
      <c r="A21" s="101" t="n">
        <v>65120</v>
      </c>
      <c r="B21" s="101" t="inlineStr">
        <is>
          <t>GRAND MARNIER</t>
        </is>
      </c>
      <c r="C21" s="102">
        <f>VLOOKUP(A21,SizeData!A$2:B$3839,2,FALSE)</f>
        <v/>
      </c>
      <c r="D21" s="101" t="n">
        <v>1</v>
      </c>
      <c r="E21" s="101" t="inlineStr">
        <is>
          <t>R2088403</t>
        </is>
      </c>
      <c r="F21" s="103" t="n">
        <v>45049</v>
      </c>
      <c r="G21" s="104" t="n"/>
    </row>
    <row r="22" ht="16" customHeight="1">
      <c r="A22" s="98" t="n">
        <v>34422</v>
      </c>
      <c r="B22" s="98" t="inlineStr">
        <is>
          <t>GREY GOOSE IMPORTED VODKA</t>
        </is>
      </c>
      <c r="C22" s="97">
        <f>VLOOKUP(A22,SizeData!A$2:B$3839,2,FALSE)</f>
        <v/>
      </c>
      <c r="D22" s="98" t="n">
        <v>1</v>
      </c>
      <c r="E22" s="98" t="inlineStr">
        <is>
          <t>R2086695</t>
        </is>
      </c>
      <c r="F22" s="99" t="n">
        <v>45051</v>
      </c>
      <c r="G22" s="100" t="n"/>
    </row>
    <row r="23" ht="16" customHeight="1">
      <c r="A23" s="98" t="n">
        <v>48107</v>
      </c>
      <c r="B23" s="98" t="inlineStr">
        <is>
          <t>HENNESSY V S COGNAC</t>
        </is>
      </c>
      <c r="C23" s="97">
        <f>VLOOKUP(A23,SizeData!A$2:B$3839,2,FALSE)</f>
        <v/>
      </c>
      <c r="D23" s="98" t="n">
        <v>3</v>
      </c>
      <c r="E23" s="98" t="inlineStr">
        <is>
          <t>R2079568</t>
        </is>
      </c>
      <c r="F23" s="99" t="n">
        <v>45051</v>
      </c>
      <c r="G23" s="100" t="n"/>
    </row>
    <row r="24" ht="16" customHeight="1">
      <c r="A24" s="101" t="n">
        <v>88549</v>
      </c>
      <c r="B24" s="101" t="inlineStr">
        <is>
          <t>HORNITOS PLATA SILVER TEQUILA</t>
        </is>
      </c>
      <c r="C24" s="102">
        <f>VLOOKUP(A24,SizeData!A$2:B$3839,2,FALSE)</f>
        <v/>
      </c>
      <c r="D24" s="101" t="n">
        <v>2</v>
      </c>
      <c r="E24" s="101" t="inlineStr">
        <is>
          <t>R2088403</t>
        </is>
      </c>
      <c r="F24" s="103" t="n">
        <v>45049</v>
      </c>
      <c r="G24" s="104" t="n"/>
    </row>
    <row r="25" ht="16" customHeight="1">
      <c r="A25" s="98" t="n">
        <v>15628</v>
      </c>
      <c r="B25" s="98" t="inlineStr">
        <is>
          <t>JAMESON IRISH</t>
        </is>
      </c>
      <c r="C25" s="97">
        <f>VLOOKUP(A25,SizeData!A$2:B$3839,2,FALSE)</f>
        <v/>
      </c>
      <c r="D25" s="98" t="n">
        <v>2</v>
      </c>
      <c r="E25" s="98" t="inlineStr">
        <is>
          <t>R2084427</t>
        </is>
      </c>
      <c r="F25" s="99" t="n">
        <v>45050</v>
      </c>
      <c r="G25" s="100" t="n"/>
    </row>
    <row r="26" ht="16" customHeight="1">
      <c r="A26" s="98" t="n">
        <v>87408</v>
      </c>
      <c r="B26" s="98" t="inlineStr">
        <is>
          <t>JOSE CUERVO ESPECIAL SILVER</t>
        </is>
      </c>
      <c r="C26" s="97">
        <f>VLOOKUP(A26,SizeData!A$2:B$3839,2,FALSE)</f>
        <v/>
      </c>
      <c r="D26" s="98" t="n">
        <v>4</v>
      </c>
      <c r="E26" s="98" t="inlineStr">
        <is>
          <t>R2088606</t>
        </is>
      </c>
      <c r="F26" s="99" t="n">
        <v>45050</v>
      </c>
      <c r="G26" s="100" t="n"/>
    </row>
    <row r="27" ht="16" customHeight="1">
      <c r="A27" s="98" t="n">
        <v>812812</v>
      </c>
      <c r="B27" s="98" t="inlineStr">
        <is>
          <t>MD 20/20 BLUE RASPBERRY</t>
        </is>
      </c>
      <c r="C27" s="97">
        <f>VLOOKUP(A27,SizeData!A$2:B$3839,2,FALSE)</f>
        <v/>
      </c>
      <c r="D27" s="98" t="n">
        <v>2</v>
      </c>
      <c r="E27" s="98" t="inlineStr">
        <is>
          <t>R2088606</t>
        </is>
      </c>
      <c r="F27" s="99" t="n">
        <v>45050</v>
      </c>
      <c r="G27" s="100" t="n"/>
    </row>
    <row r="28" ht="16" customHeight="1">
      <c r="A28" s="98" t="n">
        <v>812796</v>
      </c>
      <c r="B28" s="98" t="inlineStr">
        <is>
          <t>MD 20/20 RED GRAPE</t>
        </is>
      </c>
      <c r="C28" s="97">
        <f>VLOOKUP(A28,SizeData!A$2:B$3839,2,FALSE)</f>
        <v/>
      </c>
      <c r="D28" s="98" t="n">
        <v>1</v>
      </c>
      <c r="E28" s="98" t="inlineStr">
        <is>
          <t>R2088606</t>
        </is>
      </c>
      <c r="F28" s="99" t="n">
        <v>45050</v>
      </c>
      <c r="G28" s="100" t="n"/>
    </row>
    <row r="29" ht="16" customHeight="1">
      <c r="A29" s="98" t="n">
        <v>485449</v>
      </c>
      <c r="B29" s="98" t="inlineStr">
        <is>
          <t>MENAGE SWEET COLLECTION DOLCE RED</t>
        </is>
      </c>
      <c r="C29" s="97">
        <f>VLOOKUP(A29,SizeData!A$2:B$3839,2,FALSE)</f>
        <v/>
      </c>
      <c r="D29" s="98" t="n">
        <v>2</v>
      </c>
      <c r="E29" s="98" t="inlineStr">
        <is>
          <t>R2084427</t>
        </is>
      </c>
      <c r="F29" s="99" t="n">
        <v>45050</v>
      </c>
      <c r="G29" s="100" t="n"/>
    </row>
    <row r="30" ht="16" customHeight="1">
      <c r="A30" s="98" t="n">
        <v>63131</v>
      </c>
      <c r="B30" s="98" t="inlineStr">
        <is>
          <t>ON THE ROCKS CRUZAN DAIQUIRI</t>
        </is>
      </c>
      <c r="C30" s="97">
        <f>VLOOKUP(A30,SizeData!A$2:B$3839,2,FALSE)</f>
        <v/>
      </c>
      <c r="D30" s="98" t="n">
        <v>2</v>
      </c>
      <c r="E30" s="98" t="inlineStr">
        <is>
          <t>R2084427</t>
        </is>
      </c>
      <c r="F30" s="99" t="n">
        <v>45050</v>
      </c>
      <c r="G30" s="100" t="n"/>
    </row>
    <row r="31" ht="16" customHeight="1">
      <c r="A31" s="98" t="n">
        <v>88294</v>
      </c>
      <c r="B31" s="98" t="inlineStr">
        <is>
          <t>PATRON SILVER TEQUILA</t>
        </is>
      </c>
      <c r="C31" s="97">
        <f>VLOOKUP(A31,SizeData!A$2:B$3839,2,FALSE)</f>
        <v/>
      </c>
      <c r="D31" s="98" t="n">
        <v>1</v>
      </c>
      <c r="E31" s="98" t="inlineStr">
        <is>
          <t>R2079568</t>
        </is>
      </c>
      <c r="F31" s="99" t="n">
        <v>45051</v>
      </c>
      <c r="G31" s="100" t="n"/>
    </row>
    <row r="32" ht="16" customHeight="1">
      <c r="A32" s="98" t="n">
        <v>53204</v>
      </c>
      <c r="B32" s="98" t="inlineStr">
        <is>
          <t>PAUL MASSON GRANDE AMBER VSOP BRANDY</t>
        </is>
      </c>
      <c r="C32" s="97">
        <f>VLOOKUP(A32,SizeData!A$2:B$3839,2,FALSE)</f>
        <v/>
      </c>
      <c r="D32" s="98" t="n">
        <v>5</v>
      </c>
      <c r="E32" s="98" t="inlineStr">
        <is>
          <t>R2088606</t>
        </is>
      </c>
      <c r="F32" s="99" t="n">
        <v>45050</v>
      </c>
      <c r="G32" s="100" t="n"/>
    </row>
    <row r="33" ht="16" customHeight="1">
      <c r="A33" s="98" t="n">
        <v>37588</v>
      </c>
      <c r="B33" s="98" t="inlineStr">
        <is>
          <t>RAIN VODKA</t>
        </is>
      </c>
      <c r="C33" s="97">
        <f>VLOOKUP(A33,SizeData!A$2:B$3839,2,FALSE)</f>
        <v/>
      </c>
      <c r="D33" s="98" t="n">
        <v>2</v>
      </c>
      <c r="E33" s="98" t="inlineStr">
        <is>
          <t>R2088606</t>
        </is>
      </c>
      <c r="F33" s="99" t="n">
        <v>45050</v>
      </c>
      <c r="G33" s="100" t="n"/>
    </row>
    <row r="34" ht="16" customHeight="1">
      <c r="A34" s="98" t="n">
        <v>97727</v>
      </c>
      <c r="B34" s="98" t="inlineStr">
        <is>
          <t>RICHARDS WILD ROSE RED</t>
        </is>
      </c>
      <c r="C34" s="97">
        <f>VLOOKUP(A34,SizeData!A$2:B$3839,2,FALSE)</f>
        <v/>
      </c>
      <c r="D34" s="98" t="n">
        <v>2</v>
      </c>
      <c r="E34" s="98" t="inlineStr">
        <is>
          <t>R2088606</t>
        </is>
      </c>
      <c r="F34" s="99" t="n">
        <v>45050</v>
      </c>
      <c r="G34" s="100" t="n"/>
    </row>
    <row r="35" ht="16" customHeight="1">
      <c r="A35" s="98" t="n">
        <v>379260</v>
      </c>
      <c r="B35" s="98" t="inlineStr">
        <is>
          <t>ROSCATO GOLD ROSSO DULCE SWEET RED</t>
        </is>
      </c>
      <c r="C35" s="97">
        <f>VLOOKUP(A35,SizeData!A$2:B$3839,2,FALSE)</f>
        <v/>
      </c>
      <c r="D35" s="98" t="n">
        <v>3</v>
      </c>
      <c r="E35" s="98" t="inlineStr">
        <is>
          <t>R2084427</t>
        </is>
      </c>
      <c r="F35" s="99" t="n">
        <v>45050</v>
      </c>
      <c r="G35" s="100" t="n"/>
    </row>
    <row r="36" ht="16" customHeight="1">
      <c r="A36" s="98" t="n">
        <v>37994</v>
      </c>
      <c r="B36" s="98" t="inlineStr">
        <is>
          <t>SMIRNOFF 80 PROOF VODKA</t>
        </is>
      </c>
      <c r="C36" s="97">
        <f>VLOOKUP(A36,SizeData!A$2:B$3839,2,FALSE)</f>
        <v/>
      </c>
      <c r="D36" s="98" t="n">
        <v>1</v>
      </c>
      <c r="E36" s="98" t="inlineStr">
        <is>
          <t>R2088606</t>
        </is>
      </c>
      <c r="F36" s="99" t="n">
        <v>45050</v>
      </c>
      <c r="G36" s="100" t="n"/>
    </row>
    <row r="37" ht="16" customHeight="1">
      <c r="A37" s="98" t="n">
        <v>381956</v>
      </c>
      <c r="B37" s="98" t="inlineStr">
        <is>
          <t>SONOROSO ROSSO DOLCE</t>
        </is>
      </c>
      <c r="C37" s="97">
        <f>VLOOKUP(A37,SizeData!A$2:B$3839,2,FALSE)</f>
        <v/>
      </c>
      <c r="D37" s="98" t="n">
        <v>1</v>
      </c>
      <c r="E37" s="98" t="inlineStr">
        <is>
          <t>R2086695</t>
        </is>
      </c>
      <c r="F37" s="99" t="n">
        <v>45051</v>
      </c>
      <c r="G37" s="100" t="n"/>
    </row>
    <row r="38" ht="16" customHeight="1">
      <c r="A38" s="98" t="n">
        <v>630810</v>
      </c>
      <c r="B38" s="98" t="inlineStr">
        <is>
          <t>SUTTER HOME CHARDONNAY</t>
        </is>
      </c>
      <c r="C38" s="97">
        <f>VLOOKUP(A38,SizeData!A$2:B$3839,2,FALSE)</f>
        <v/>
      </c>
      <c r="D38" s="98" t="n">
        <v>1</v>
      </c>
      <c r="E38" s="98" t="inlineStr">
        <is>
          <t>R2086695</t>
        </is>
      </c>
      <c r="F38" s="99" t="n">
        <v>45051</v>
      </c>
      <c r="G38" s="100" t="n"/>
    </row>
    <row r="39" ht="16" customHeight="1">
      <c r="A39" s="98" t="n">
        <v>513500</v>
      </c>
      <c r="B39" s="98" t="inlineStr">
        <is>
          <t>SUTTER HOME MERLOT</t>
        </is>
      </c>
      <c r="C39" s="97">
        <f>VLOOKUP(A39,SizeData!A$2:B$3839,2,FALSE)</f>
        <v/>
      </c>
      <c r="D39" s="98" t="n">
        <v>1</v>
      </c>
      <c r="E39" s="98" t="inlineStr">
        <is>
          <t>R2079568</t>
        </is>
      </c>
      <c r="F39" s="99" t="n">
        <v>45051</v>
      </c>
      <c r="G39" s="100" t="n"/>
    </row>
    <row r="40" ht="16" customHeight="1">
      <c r="A40" s="98" t="n">
        <v>606290</v>
      </c>
      <c r="B40" s="98" t="inlineStr">
        <is>
          <t>WOODBRIDGE BY ROBERT MONDAVI CHARDONNAY</t>
        </is>
      </c>
      <c r="C40" s="97">
        <f>VLOOKUP(A40,SizeData!A$2:B$3839,2,FALSE)</f>
        <v/>
      </c>
      <c r="D40" s="98" t="n">
        <v>2</v>
      </c>
      <c r="E40" s="98" t="inlineStr">
        <is>
          <t>R2086695</t>
        </is>
      </c>
      <c r="F40" s="99" t="n">
        <v>45051</v>
      </c>
      <c r="G40" s="100" t="n"/>
    </row>
    <row r="41" ht="16" customHeight="1">
      <c r="A41" s="98" t="n">
        <v>498123</v>
      </c>
      <c r="B41" s="98" t="inlineStr">
        <is>
          <t>WOODBRIDGE BY ROBERT MONDAVI PINOT NOIR</t>
        </is>
      </c>
      <c r="C41" s="97">
        <f>VLOOKUP(A41,SizeData!A$2:B$3839,2,FALSE)</f>
        <v/>
      </c>
      <c r="D41" s="98" t="n">
        <v>3</v>
      </c>
      <c r="E41" s="98" t="inlineStr">
        <is>
          <t>R2086695</t>
        </is>
      </c>
      <c r="F41" s="99" t="n">
        <v>45051</v>
      </c>
      <c r="G41" s="100" t="n"/>
    </row>
  </sheetData>
  <autoFilter ref="A2:G2">
    <sortState ref="A3:G41">
      <sortCondition ref="B2"/>
    </sortState>
  </autoFilter>
  <pageMargins left="0.7" right="0.2" top="0.75" bottom="0" header="0.3" footer="0.3"/>
  <pageSetup orientation="portrait" scale="36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45"/>
  <sheetViews>
    <sheetView zoomScaleNormal="100" workbookViewId="0">
      <pane ySplit="2" topLeftCell="A3" activePane="bottomLeft" state="frozen"/>
      <selection pane="bottomLeft" activeCell="F3" sqref="F3"/>
    </sheetView>
  </sheetViews>
  <sheetFormatPr baseColWidth="10" defaultColWidth="8.83203125" defaultRowHeight="15"/>
  <cols>
    <col width="69.83203125" customWidth="1" min="2" max="2"/>
    <col width="16.83203125" customWidth="1" min="5" max="5"/>
    <col width="29.33203125" customWidth="1" min="7" max="7"/>
  </cols>
  <sheetData>
    <row r="1" ht="24" customHeight="1">
      <c r="B1" s="89">
        <f>TODAY()</f>
        <v/>
      </c>
      <c r="C1" s="14" t="inlineStr">
        <is>
          <t>Total</t>
        </is>
      </c>
      <c r="D1" s="29">
        <f>SUM(D3:D97257)</f>
        <v/>
      </c>
    </row>
    <row r="2" ht="16" customFormat="1" customHeight="1" s="58">
      <c r="A2" s="97" t="inlineStr">
        <is>
          <t>Item #</t>
        </is>
      </c>
      <c r="B2" s="97" t="inlineStr">
        <is>
          <t>Name</t>
        </is>
      </c>
      <c r="C2" s="97" t="inlineStr">
        <is>
          <t>Size</t>
        </is>
      </c>
      <c r="D2" s="97" t="inlineStr">
        <is>
          <t>Reserved Quantity</t>
        </is>
      </c>
      <c r="E2" s="97" t="inlineStr">
        <is>
          <t>Order</t>
        </is>
      </c>
      <c r="F2" s="97" t="inlineStr">
        <is>
          <t>Date</t>
        </is>
      </c>
      <c r="G2" s="97" t="inlineStr">
        <is>
          <t>Notes</t>
        </is>
      </c>
    </row>
    <row r="3" ht="16" customHeight="1">
      <c r="A3" s="98" t="n">
        <v>21236</v>
      </c>
      <c r="B3" s="98" t="inlineStr">
        <is>
          <t>1792 SMALL BATCH BOURBON</t>
        </is>
      </c>
      <c r="C3" s="97">
        <f>VLOOKUP(A3,SizeData!A$2:B$3839,2,FALSE)</f>
        <v/>
      </c>
      <c r="D3" s="98" t="n">
        <v>1</v>
      </c>
      <c r="E3" s="98" t="inlineStr">
        <is>
          <t>R2100722</t>
        </is>
      </c>
      <c r="F3" s="99" t="n">
        <v>45054</v>
      </c>
      <c r="G3" s="100" t="n"/>
    </row>
    <row r="4" ht="16" customHeight="1">
      <c r="A4" s="98" t="n">
        <v>64933</v>
      </c>
      <c r="B4" s="98" t="inlineStr">
        <is>
          <t>1800 COCONUT FLAVORED TEQUILA</t>
        </is>
      </c>
      <c r="C4" s="97">
        <f>VLOOKUP(A4,SizeData!A$2:B$3839,2,FALSE)</f>
        <v/>
      </c>
      <c r="D4" s="98" t="n">
        <v>4</v>
      </c>
      <c r="E4" s="98" t="inlineStr">
        <is>
          <t>R2087639</t>
        </is>
      </c>
      <c r="F4" s="99" t="n">
        <v>45052</v>
      </c>
      <c r="G4" s="100" t="n"/>
    </row>
    <row r="5" ht="16" customHeight="1">
      <c r="A5" s="98" t="n">
        <v>64932</v>
      </c>
      <c r="B5" s="98" t="inlineStr">
        <is>
          <t>1800 COCONUT FLAVORED TEQUILA</t>
        </is>
      </c>
      <c r="C5" s="97">
        <f>VLOOKUP(A5,SizeData!A$2:B$3839,2,FALSE)</f>
        <v/>
      </c>
      <c r="D5" s="98" t="n">
        <v>2</v>
      </c>
      <c r="E5" s="98" t="inlineStr">
        <is>
          <t>R2110019</t>
        </is>
      </c>
      <c r="F5" s="99" t="n">
        <v>45057</v>
      </c>
      <c r="G5" s="100" t="n"/>
    </row>
    <row r="6" ht="16" customHeight="1">
      <c r="A6" s="98" t="n">
        <v>89206</v>
      </c>
      <c r="B6" s="98" t="inlineStr">
        <is>
          <t>1800 REPOSADO TEQUILA</t>
        </is>
      </c>
      <c r="C6" s="97">
        <f>VLOOKUP(A6,SizeData!A$2:B$3839,2,FALSE)</f>
        <v/>
      </c>
      <c r="D6" s="98" t="n">
        <v>5</v>
      </c>
      <c r="E6" s="98" t="inlineStr">
        <is>
          <t>R2096156</t>
        </is>
      </c>
      <c r="F6" s="99" t="n">
        <v>45055</v>
      </c>
      <c r="G6" s="100" t="n"/>
    </row>
    <row r="7" ht="16" customHeight="1">
      <c r="A7" s="98" t="n">
        <v>87510</v>
      </c>
      <c r="B7" s="98" t="inlineStr">
        <is>
          <t>1800 SILVER TEQUILA</t>
        </is>
      </c>
      <c r="C7" s="97">
        <f>VLOOKUP(A7,SizeData!A$2:B$3839,2,FALSE)</f>
        <v/>
      </c>
      <c r="D7" s="98" t="n">
        <v>5</v>
      </c>
      <c r="E7" s="98" t="inlineStr">
        <is>
          <t>R2096156</t>
        </is>
      </c>
      <c r="F7" s="99" t="n">
        <v>45055</v>
      </c>
      <c r="G7" s="100" t="n"/>
    </row>
    <row r="8" ht="16" customHeight="1">
      <c r="A8" s="98" t="n">
        <v>84191</v>
      </c>
      <c r="B8" s="98" t="inlineStr">
        <is>
          <t>99 BRAND BUTTERSCOTCH SCHNAPPS</t>
        </is>
      </c>
      <c r="C8" s="97">
        <f>VLOOKUP(A8,SizeData!A$2:B$3839,2,FALSE)</f>
        <v/>
      </c>
      <c r="D8" s="98" t="n">
        <v>1</v>
      </c>
      <c r="E8" s="98" t="inlineStr">
        <is>
          <t>R2088667</t>
        </is>
      </c>
      <c r="F8" s="99" t="n">
        <v>45058</v>
      </c>
      <c r="G8" s="100" t="n"/>
    </row>
    <row r="9" ht="16" customHeight="1">
      <c r="A9" s="98" t="n">
        <v>84142</v>
      </c>
      <c r="B9" s="98" t="inlineStr">
        <is>
          <t>99 BRAND PEACHES</t>
        </is>
      </c>
      <c r="C9" s="97">
        <f>VLOOKUP(A9,SizeData!A$2:B$3839,2,FALSE)</f>
        <v/>
      </c>
      <c r="D9" s="98" t="n">
        <v>1</v>
      </c>
      <c r="E9" s="98" t="inlineStr">
        <is>
          <t>R2088667</t>
        </is>
      </c>
      <c r="F9" s="99" t="n">
        <v>45058</v>
      </c>
      <c r="G9" s="100" t="n"/>
    </row>
    <row r="10" ht="16" customHeight="1">
      <c r="A10" s="98" t="n">
        <v>87054</v>
      </c>
      <c r="B10" s="98" t="inlineStr">
        <is>
          <t>99 BRAND PEANUT BUTTER WHISKEY</t>
        </is>
      </c>
      <c r="C10" s="97">
        <f>VLOOKUP(A10,SizeData!A$2:B$3839,2,FALSE)</f>
        <v/>
      </c>
      <c r="D10" s="98" t="n">
        <v>1</v>
      </c>
      <c r="E10" s="98" t="inlineStr">
        <is>
          <t>R2088667</t>
        </is>
      </c>
      <c r="F10" s="99" t="n">
        <v>45058</v>
      </c>
      <c r="G10" s="100" t="n"/>
    </row>
    <row r="11" ht="16" customHeight="1">
      <c r="A11" s="98" t="n">
        <v>34003</v>
      </c>
      <c r="B11" s="98" t="inlineStr">
        <is>
          <t>ABSOLUT 80 VODKA</t>
        </is>
      </c>
      <c r="C11" s="97">
        <f>VLOOKUP(A11,SizeData!A$2:B$3839,2,FALSE)</f>
        <v/>
      </c>
      <c r="D11" s="98" t="n">
        <v>1</v>
      </c>
      <c r="E11" s="98" t="inlineStr">
        <is>
          <t>R2098252</t>
        </is>
      </c>
      <c r="F11" s="99" t="n">
        <v>45064</v>
      </c>
      <c r="G11" s="100" t="n"/>
    </row>
    <row r="12" ht="16" customHeight="1">
      <c r="A12" s="98" t="n">
        <v>87027</v>
      </c>
      <c r="B12" s="98" t="inlineStr">
        <is>
          <t>ADICTIVO REPOSADO TEQUILA</t>
        </is>
      </c>
      <c r="C12" s="97">
        <f>VLOOKUP(A12,SizeData!A$2:B$3839,2,FALSE)</f>
        <v/>
      </c>
      <c r="D12" s="98" t="n">
        <v>1</v>
      </c>
      <c r="E12" s="98" t="inlineStr">
        <is>
          <t>R2098904</t>
        </is>
      </c>
      <c r="F12" s="99" t="n">
        <v>45056</v>
      </c>
      <c r="G12" s="100" t="n"/>
    </row>
    <row r="13" ht="16" customHeight="1">
      <c r="A13" s="98" t="n">
        <v>741400</v>
      </c>
      <c r="B13" s="98" t="inlineStr">
        <is>
          <t>ANDRE CHAMPAGNE BRUT</t>
        </is>
      </c>
      <c r="C13" s="97">
        <f>VLOOKUP(A13,SizeData!A$2:B$3839,2,FALSE)</f>
        <v/>
      </c>
      <c r="D13" s="98" t="n">
        <v>2</v>
      </c>
      <c r="E13" s="98" t="inlineStr">
        <is>
          <t>R2106288</t>
        </is>
      </c>
      <c r="F13" s="99" t="n">
        <v>45059</v>
      </c>
      <c r="G13" s="100" t="n"/>
    </row>
    <row r="14" ht="16" customHeight="1">
      <c r="A14" s="98" t="n">
        <v>768681</v>
      </c>
      <c r="B14" s="98" t="inlineStr">
        <is>
          <t>ANDRE CHAMPAGNE PEACH MOSCATO</t>
        </is>
      </c>
      <c r="C14" s="97">
        <f>VLOOKUP(A14,SizeData!A$2:B$3839,2,FALSE)</f>
        <v/>
      </c>
      <c r="D14" s="98" t="n">
        <v>3</v>
      </c>
      <c r="E14" s="98" t="inlineStr">
        <is>
          <t>R2106288</t>
        </is>
      </c>
      <c r="F14" s="99" t="n">
        <v>45059</v>
      </c>
      <c r="G14" s="100" t="n"/>
    </row>
    <row r="15" ht="16" customHeight="1">
      <c r="A15" s="98" t="n">
        <v>768600</v>
      </c>
      <c r="B15" s="98" t="inlineStr">
        <is>
          <t>ANDRE CHAMPAGNE SPUMANTE</t>
        </is>
      </c>
      <c r="C15" s="97">
        <f>VLOOKUP(A15,SizeData!A$2:B$3839,2,FALSE)</f>
        <v/>
      </c>
      <c r="D15" s="98" t="n">
        <v>1</v>
      </c>
      <c r="E15" s="98" t="inlineStr">
        <is>
          <t>R2106288</t>
        </is>
      </c>
      <c r="F15" s="99" t="n">
        <v>45059</v>
      </c>
      <c r="G15" s="100" t="n"/>
    </row>
    <row r="16" ht="16" customHeight="1">
      <c r="A16" s="98" t="n">
        <v>768692</v>
      </c>
      <c r="B16" s="98" t="inlineStr">
        <is>
          <t>ANDRE CHAMPAGNE STRAWBERRY MOSCATO</t>
        </is>
      </c>
      <c r="C16" s="97">
        <f>VLOOKUP(A16,SizeData!A$2:B$3839,2,FALSE)</f>
        <v/>
      </c>
      <c r="D16" s="98" t="n">
        <v>2</v>
      </c>
      <c r="E16" s="98" t="inlineStr">
        <is>
          <t>R2106288</t>
        </is>
      </c>
      <c r="F16" s="99" t="n">
        <v>45059</v>
      </c>
      <c r="G16" s="100" t="n"/>
    </row>
    <row r="17" ht="16" customHeight="1">
      <c r="A17" s="98" t="n">
        <v>741403</v>
      </c>
      <c r="B17" s="98" t="inlineStr">
        <is>
          <t>ANDRE PINEAPPLE MIMOSA</t>
        </is>
      </c>
      <c r="C17" s="97">
        <f>VLOOKUP(A17,SizeData!A$2:B$3839,2,FALSE)</f>
        <v/>
      </c>
      <c r="D17" s="98" t="n">
        <v>10</v>
      </c>
      <c r="E17" s="98" t="inlineStr">
        <is>
          <t>R2084643</t>
        </is>
      </c>
      <c r="F17" s="99" t="n">
        <v>45055</v>
      </c>
      <c r="G17" s="100" t="n"/>
    </row>
    <row r="18" ht="16" customHeight="1">
      <c r="A18" s="98" t="n">
        <v>47548</v>
      </c>
      <c r="B18" s="98" t="inlineStr">
        <is>
          <t>ANSAC V S COGNAC</t>
        </is>
      </c>
      <c r="C18" s="97">
        <f>VLOOKUP(A18,SizeData!A$2:B$3839,2,FALSE)</f>
        <v/>
      </c>
      <c r="D18" s="98" t="n">
        <v>1</v>
      </c>
      <c r="E18" s="98" t="inlineStr">
        <is>
          <t>R2098904</t>
        </is>
      </c>
      <c r="F18" s="99" t="n">
        <v>45056</v>
      </c>
      <c r="G18" s="100" t="n"/>
    </row>
    <row r="19" ht="16" customHeight="1">
      <c r="A19" s="98" t="n">
        <v>47548</v>
      </c>
      <c r="B19" s="98" t="inlineStr">
        <is>
          <t>ANSAC V S COGNAC</t>
        </is>
      </c>
      <c r="C19" s="97">
        <f>VLOOKUP(A19,SizeData!A$2:B$3839,2,FALSE)</f>
        <v/>
      </c>
      <c r="D19" s="98" t="n">
        <v>1</v>
      </c>
      <c r="E19" s="98" t="inlineStr">
        <is>
          <t>R2110019</t>
        </is>
      </c>
      <c r="F19" s="99" t="n">
        <v>45057</v>
      </c>
      <c r="G19" s="100" t="n"/>
    </row>
    <row r="20" ht="16" customHeight="1">
      <c r="A20" s="98" t="n">
        <v>35084</v>
      </c>
      <c r="B20" s="98" t="inlineStr">
        <is>
          <t>ARISTOCRAT SUPREME VODKA</t>
        </is>
      </c>
      <c r="C20" s="97">
        <f>VLOOKUP(A20,SizeData!A$2:B$3839,2,FALSE)</f>
        <v/>
      </c>
      <c r="D20" s="98" t="n">
        <v>1</v>
      </c>
      <c r="E20" s="98" t="inlineStr">
        <is>
          <t>R2087639</t>
        </is>
      </c>
      <c r="F20" s="99" t="n">
        <v>45052</v>
      </c>
      <c r="G20" s="100" t="n"/>
    </row>
    <row r="21" ht="16" customHeight="1">
      <c r="A21" s="98" t="n">
        <v>35084</v>
      </c>
      <c r="B21" s="98" t="inlineStr">
        <is>
          <t>ARISTOCRAT SUPREME VODKA</t>
        </is>
      </c>
      <c r="C21" s="97">
        <f>VLOOKUP(A21,SizeData!A$2:B$3839,2,FALSE)</f>
        <v/>
      </c>
      <c r="D21" s="98" t="n">
        <v>1</v>
      </c>
      <c r="E21" s="98" t="inlineStr">
        <is>
          <t>R2089319</t>
        </is>
      </c>
      <c r="F21" s="99" t="n">
        <v>45055</v>
      </c>
      <c r="G21" s="100" t="n"/>
    </row>
    <row r="22" ht="16" customHeight="1">
      <c r="A22" s="98" t="n">
        <v>35088</v>
      </c>
      <c r="B22" s="98" t="inlineStr">
        <is>
          <t>ARISTOCRAT SUPREME VODKA</t>
        </is>
      </c>
      <c r="C22" s="97">
        <f>VLOOKUP(A22,SizeData!A$2:B$3839,2,FALSE)</f>
        <v/>
      </c>
      <c r="D22" s="98" t="n">
        <v>2</v>
      </c>
      <c r="E22" s="98" t="inlineStr">
        <is>
          <t>R2096176</t>
        </is>
      </c>
      <c r="F22" s="99" t="n">
        <v>45057</v>
      </c>
      <c r="G22" s="100" t="n"/>
    </row>
    <row r="23" ht="16" customHeight="1">
      <c r="A23" s="98" t="n">
        <v>43051</v>
      </c>
      <c r="B23" s="98" t="inlineStr">
        <is>
          <t>BACARDI DRAGON BERRY FLAVORED RUM</t>
        </is>
      </c>
      <c r="C23" s="97">
        <f>VLOOKUP(A23,SizeData!A$2:B$3839,2,FALSE)</f>
        <v/>
      </c>
      <c r="D23" s="98" t="n">
        <v>1</v>
      </c>
      <c r="E23" s="98" t="inlineStr">
        <is>
          <t>R2084653</t>
        </is>
      </c>
      <c r="F23" s="99" t="n">
        <v>45057</v>
      </c>
      <c r="G23" s="100" t="n"/>
    </row>
    <row r="24" ht="16" customHeight="1">
      <c r="A24" s="98" t="n">
        <v>43034</v>
      </c>
      <c r="B24" s="98" t="inlineStr">
        <is>
          <t>BACARDI GOLD DARK RUM</t>
        </is>
      </c>
      <c r="C24" s="97">
        <f>VLOOKUP(A24,SizeData!A$2:B$3839,2,FALSE)</f>
        <v/>
      </c>
      <c r="D24" s="98" t="n">
        <v>1</v>
      </c>
      <c r="E24" s="98" t="inlineStr">
        <is>
          <t>R2110028</t>
        </is>
      </c>
      <c r="F24" s="99" t="n">
        <v>45059</v>
      </c>
      <c r="G24" s="100" t="n"/>
    </row>
    <row r="25" ht="16" customHeight="1">
      <c r="A25" s="98" t="n">
        <v>43124</v>
      </c>
      <c r="B25" s="98" t="inlineStr">
        <is>
          <t>BACARDI LIGHT RUM</t>
        </is>
      </c>
      <c r="C25" s="97">
        <f>VLOOKUP(A25,SizeData!A$2:B$3839,2,FALSE)</f>
        <v/>
      </c>
      <c r="D25" s="98" t="n">
        <v>1</v>
      </c>
      <c r="E25" s="98" t="inlineStr">
        <is>
          <t>R2110028</t>
        </is>
      </c>
      <c r="F25" s="99" t="n">
        <v>45059</v>
      </c>
      <c r="G25" s="100" t="n"/>
    </row>
    <row r="26" ht="16" customHeight="1">
      <c r="A26" s="98" t="n">
        <v>43145</v>
      </c>
      <c r="B26" s="98" t="inlineStr">
        <is>
          <t>BACARDI PINEAPPLE FUSION FLAVORED RUM</t>
        </is>
      </c>
      <c r="C26" s="97">
        <f>VLOOKUP(A26,SizeData!A$2:B$3839,2,FALSE)</f>
        <v/>
      </c>
      <c r="D26" s="98" t="n">
        <v>1</v>
      </c>
      <c r="E26" s="98" t="inlineStr">
        <is>
          <t>R2109273</t>
        </is>
      </c>
      <c r="F26" s="99" t="n">
        <v>45066</v>
      </c>
      <c r="G26" s="100" t="n"/>
    </row>
    <row r="27" ht="16" customHeight="1">
      <c r="A27" s="98" t="n">
        <v>768955</v>
      </c>
      <c r="B27" s="98" t="inlineStr">
        <is>
          <t>BALLATORE MOSCATO ROSE SPARKLING</t>
        </is>
      </c>
      <c r="C27" s="97">
        <f>VLOOKUP(A27,SizeData!A$2:B$3839,2,FALSE)</f>
        <v/>
      </c>
      <c r="D27" s="98" t="n">
        <v>1</v>
      </c>
      <c r="E27" s="98" t="inlineStr">
        <is>
          <t>R2088667</t>
        </is>
      </c>
      <c r="F27" s="99" t="n">
        <v>45058</v>
      </c>
      <c r="G27" s="100" t="n"/>
    </row>
    <row r="28" ht="16" customHeight="1">
      <c r="A28" s="98" t="n">
        <v>768950</v>
      </c>
      <c r="B28" s="98" t="inlineStr">
        <is>
          <t>BALLATORE SPUMANTE</t>
        </is>
      </c>
      <c r="C28" s="97">
        <f>VLOOKUP(A28,SizeData!A$2:B$3839,2,FALSE)</f>
        <v/>
      </c>
      <c r="D28" s="98" t="n">
        <v>1</v>
      </c>
      <c r="E28" s="98" t="inlineStr">
        <is>
          <t>R2087639</t>
        </is>
      </c>
      <c r="F28" s="99" t="n">
        <v>45052</v>
      </c>
      <c r="G28" s="100" t="n"/>
    </row>
    <row r="29" ht="16" customHeight="1">
      <c r="A29" s="98" t="n">
        <v>769007</v>
      </c>
      <c r="B29" s="98" t="inlineStr">
        <is>
          <t>BAREFOOT BUBBLY PINK MOSCATO</t>
        </is>
      </c>
      <c r="C29" s="97">
        <f>VLOOKUP(A29,SizeData!A$2:B$3839,2,FALSE)</f>
        <v/>
      </c>
      <c r="D29" s="98" t="n">
        <v>2</v>
      </c>
      <c r="E29" s="98" t="inlineStr">
        <is>
          <t>R2088667</t>
        </is>
      </c>
      <c r="F29" s="99" t="n">
        <v>45058</v>
      </c>
      <c r="G29" s="100" t="n"/>
    </row>
    <row r="30" ht="16" customHeight="1">
      <c r="A30" s="98" t="n">
        <v>57051</v>
      </c>
      <c r="B30" s="98" t="inlineStr">
        <is>
          <t>BARTON LONG ISLAND ICED TEA</t>
        </is>
      </c>
      <c r="C30" s="97">
        <f>VLOOKUP(A30,SizeData!A$2:B$3839,2,FALSE)</f>
        <v/>
      </c>
      <c r="D30" s="98" t="n">
        <v>1</v>
      </c>
      <c r="E30" s="98" t="inlineStr">
        <is>
          <t>R2098252</t>
        </is>
      </c>
      <c r="F30" s="99" t="n">
        <v>45064</v>
      </c>
      <c r="G30" s="100" t="n"/>
    </row>
    <row r="31" ht="16" customHeight="1">
      <c r="A31" s="98" t="n">
        <v>22784</v>
      </c>
      <c r="B31" s="98" t="inlineStr">
        <is>
          <t>BEAM'S 8 STAR BLENDED WHISKEY</t>
        </is>
      </c>
      <c r="C31" s="97">
        <f>VLOOKUP(A31,SizeData!A$2:B$3839,2,FALSE)</f>
        <v/>
      </c>
      <c r="D31" s="98" t="n">
        <v>1</v>
      </c>
      <c r="E31" s="98" t="inlineStr">
        <is>
          <t>R2102319</t>
        </is>
      </c>
      <c r="F31" s="99" t="n">
        <v>45062</v>
      </c>
      <c r="G31" s="100" t="n"/>
    </row>
    <row r="32" ht="16" customHeight="1">
      <c r="A32" s="98" t="n">
        <v>446150</v>
      </c>
      <c r="B32" s="98" t="inlineStr">
        <is>
          <t>BULLY HILL SWEET WALTER RED</t>
        </is>
      </c>
      <c r="C32" s="97">
        <f>VLOOKUP(A32,SizeData!A$2:B$3839,2,FALSE)</f>
        <v/>
      </c>
      <c r="D32" s="98" t="n">
        <v>2</v>
      </c>
      <c r="E32" s="98" t="inlineStr">
        <is>
          <t>R2102319</t>
        </is>
      </c>
      <c r="F32" s="99" t="n">
        <v>45062</v>
      </c>
      <c r="G32" s="100" t="n"/>
    </row>
    <row r="33" ht="16" customHeight="1">
      <c r="A33" s="98" t="n">
        <v>64529</v>
      </c>
      <c r="B33" s="98" t="inlineStr">
        <is>
          <t>BUMBU RUM</t>
        </is>
      </c>
      <c r="C33" s="97">
        <f>VLOOKUP(A33,SizeData!A$2:B$3839,2,FALSE)</f>
        <v/>
      </c>
      <c r="D33" s="98" t="n">
        <v>2</v>
      </c>
      <c r="E33" s="98" t="inlineStr">
        <is>
          <t>R2115030</t>
        </is>
      </c>
      <c r="F33" s="99" t="n">
        <v>45063</v>
      </c>
      <c r="G33" s="100" t="n"/>
    </row>
    <row r="34" ht="16" customHeight="1">
      <c r="A34" s="98" t="n">
        <v>35414</v>
      </c>
      <c r="B34" s="98" t="inlineStr">
        <is>
          <t>BURNETT'S VODKA 80 PROOF</t>
        </is>
      </c>
      <c r="C34" s="97">
        <f>VLOOKUP(A34,SizeData!A$2:B$3839,2,FALSE)</f>
        <v/>
      </c>
      <c r="D34" s="98" t="n">
        <v>2</v>
      </c>
      <c r="E34" s="98" t="inlineStr">
        <is>
          <t>R2089319</t>
        </is>
      </c>
      <c r="F34" s="99" t="n">
        <v>45055</v>
      </c>
      <c r="G34" s="100" t="n"/>
    </row>
    <row r="35" ht="16" customHeight="1">
      <c r="A35" s="98" t="n">
        <v>44333</v>
      </c>
      <c r="B35" s="98" t="inlineStr">
        <is>
          <t>CALYPSO COCONUT FLAVORED RUM</t>
        </is>
      </c>
      <c r="C35" s="97">
        <f>VLOOKUP(A35,SizeData!A$2:B$3839,2,FALSE)</f>
        <v/>
      </c>
      <c r="D35" s="98" t="n">
        <v>2</v>
      </c>
      <c r="E35" s="98" t="inlineStr">
        <is>
          <t>R2077596</t>
        </is>
      </c>
      <c r="F35" s="99" t="n">
        <v>45054</v>
      </c>
      <c r="G35" s="100" t="n"/>
    </row>
    <row r="36" ht="16" customHeight="1">
      <c r="A36" s="98" t="n">
        <v>44331</v>
      </c>
      <c r="B36" s="98" t="inlineStr">
        <is>
          <t>CALYPSO COCONUT RUM</t>
        </is>
      </c>
      <c r="C36" s="97">
        <f>VLOOKUP(A36,SizeData!A$2:B$3839,2,FALSE)</f>
        <v/>
      </c>
      <c r="D36" s="98" t="n">
        <v>3</v>
      </c>
      <c r="E36" s="98" t="inlineStr">
        <is>
          <t>R2109273</t>
        </is>
      </c>
      <c r="F36" s="99" t="n">
        <v>45066</v>
      </c>
      <c r="G36" s="100" t="n"/>
    </row>
    <row r="37" ht="16" customHeight="1">
      <c r="A37" s="98" t="n">
        <v>44348</v>
      </c>
      <c r="B37" s="98" t="inlineStr">
        <is>
          <t>CALYPSO SILVER RUM PET</t>
        </is>
      </c>
      <c r="C37" s="97">
        <f>VLOOKUP(A37,SizeData!A$2:B$3839,2,FALSE)</f>
        <v/>
      </c>
      <c r="D37" s="98" t="n">
        <v>4</v>
      </c>
      <c r="E37" s="98" t="inlineStr">
        <is>
          <t>R2088667</t>
        </is>
      </c>
      <c r="F37" s="99" t="n">
        <v>45058</v>
      </c>
      <c r="G37" s="100" t="n"/>
    </row>
    <row r="38" ht="16" customHeight="1">
      <c r="A38" s="98" t="n">
        <v>44340</v>
      </c>
      <c r="B38" s="98" t="inlineStr">
        <is>
          <t>CALYPSO SPICED RUM</t>
        </is>
      </c>
      <c r="C38" s="97">
        <f>VLOOKUP(A38,SizeData!A$2:B$3839,2,FALSE)</f>
        <v/>
      </c>
      <c r="D38" s="98" t="n">
        <v>2</v>
      </c>
      <c r="E38" s="98" t="inlineStr">
        <is>
          <t>R2077596</t>
        </is>
      </c>
      <c r="F38" s="99" t="n">
        <v>45054</v>
      </c>
      <c r="G38" s="100" t="n"/>
    </row>
    <row r="39" ht="16" customHeight="1">
      <c r="A39" s="98" t="n">
        <v>44342</v>
      </c>
      <c r="B39" s="98" t="inlineStr">
        <is>
          <t>CALYPSO SPICED RUM</t>
        </is>
      </c>
      <c r="C39" s="97">
        <f>VLOOKUP(A39,SizeData!A$2:B$3839,2,FALSE)</f>
        <v/>
      </c>
      <c r="D39" s="98" t="n">
        <v>3</v>
      </c>
      <c r="E39" s="98" t="inlineStr">
        <is>
          <t>R2109273</t>
        </is>
      </c>
      <c r="F39" s="99" t="n">
        <v>45066</v>
      </c>
      <c r="G39" s="100" t="n"/>
    </row>
    <row r="40" ht="16" customHeight="1">
      <c r="A40" s="98" t="n">
        <v>10624</v>
      </c>
      <c r="B40" s="98" t="inlineStr">
        <is>
          <t>CANADIAN CLUB ORIGINAL 1858</t>
        </is>
      </c>
      <c r="C40" s="97">
        <f>VLOOKUP(A40,SizeData!A$2:B$3839,2,FALSE)</f>
        <v/>
      </c>
      <c r="D40" s="98" t="n">
        <v>1</v>
      </c>
      <c r="E40" s="98" t="inlineStr">
        <is>
          <t>R2087639</t>
        </is>
      </c>
      <c r="F40" s="99" t="n">
        <v>45052</v>
      </c>
      <c r="G40" s="100" t="n"/>
    </row>
    <row r="41" ht="16" customHeight="1">
      <c r="A41" s="98" t="n">
        <v>12464</v>
      </c>
      <c r="B41" s="98" t="inlineStr">
        <is>
          <t>CANADIAN MIST (PET)</t>
        </is>
      </c>
      <c r="C41" s="97">
        <f>VLOOKUP(A41,SizeData!A$2:B$3839,2,FALSE)</f>
        <v/>
      </c>
      <c r="D41" s="98" t="n">
        <v>1</v>
      </c>
      <c r="E41" s="98" t="inlineStr">
        <is>
          <t>R2077596</t>
        </is>
      </c>
      <c r="F41" s="99" t="n">
        <v>45054</v>
      </c>
      <c r="G41" s="100" t="n"/>
    </row>
    <row r="42" ht="16" customHeight="1">
      <c r="A42" s="98" t="n">
        <v>12855</v>
      </c>
      <c r="B42" s="98" t="inlineStr">
        <is>
          <t>CANADIAN RICH AND RARE RESERVE</t>
        </is>
      </c>
      <c r="C42" s="97">
        <f>VLOOKUP(A42,SizeData!A$2:B$3839,2,FALSE)</f>
        <v/>
      </c>
      <c r="D42" s="98" t="n">
        <v>4</v>
      </c>
      <c r="E42" s="98" t="inlineStr">
        <is>
          <t>R2115030</t>
        </is>
      </c>
      <c r="F42" s="99" t="n">
        <v>45063</v>
      </c>
      <c r="G42" s="100" t="n"/>
    </row>
    <row r="43" ht="16" customHeight="1">
      <c r="A43" s="98" t="n">
        <v>882381</v>
      </c>
      <c r="B43" s="98" t="inlineStr">
        <is>
          <t>CAPRICCIO BUBBLY SANGRIA</t>
        </is>
      </c>
      <c r="C43" s="97">
        <f>VLOOKUP(A43,SizeData!A$2:B$3839,2,FALSE)</f>
        <v/>
      </c>
      <c r="D43" s="98" t="n">
        <v>2</v>
      </c>
      <c r="E43" s="98" t="inlineStr">
        <is>
          <t>R2095184</t>
        </is>
      </c>
      <c r="F43" s="99" t="n">
        <v>45059</v>
      </c>
      <c r="G43" s="100" t="n"/>
    </row>
    <row r="44" ht="16" customHeight="1">
      <c r="A44" s="98" t="n">
        <v>882380</v>
      </c>
      <c r="B44" s="98" t="inlineStr">
        <is>
          <t>CAPRICCIO BUBBLY SANGRIA</t>
        </is>
      </c>
      <c r="C44" s="97">
        <f>VLOOKUP(A44,SizeData!A$2:B$3839,2,FALSE)</f>
        <v/>
      </c>
      <c r="D44" s="98" t="n">
        <v>3</v>
      </c>
      <c r="E44" s="98" t="inlineStr">
        <is>
          <t>R2102319</t>
        </is>
      </c>
      <c r="F44" s="99" t="n">
        <v>45062</v>
      </c>
      <c r="G44" s="100" t="n"/>
    </row>
    <row r="45" ht="16" customHeight="1">
      <c r="A45" s="98" t="n">
        <v>552052</v>
      </c>
      <c r="B45" s="98" t="inlineStr">
        <is>
          <t>CARLO ROSSI CHARDONNAY</t>
        </is>
      </c>
      <c r="C45" s="97">
        <f>VLOOKUP(A45,SizeData!A$2:B$3839,2,FALSE)</f>
        <v/>
      </c>
      <c r="D45" s="98" t="n">
        <v>2</v>
      </c>
      <c r="E45" s="98" t="inlineStr">
        <is>
          <t>R2095184</t>
        </is>
      </c>
      <c r="F45" s="99" t="n">
        <v>45059</v>
      </c>
      <c r="G45" s="100" t="n"/>
    </row>
    <row r="46" ht="16" customHeight="1">
      <c r="A46" s="98" t="n">
        <v>552052</v>
      </c>
      <c r="B46" s="98" t="inlineStr">
        <is>
          <t>CARLO ROSSI CHARDONNAY</t>
        </is>
      </c>
      <c r="C46" s="97">
        <f>VLOOKUP(A46,SizeData!A$2:B$3839,2,FALSE)</f>
        <v/>
      </c>
      <c r="D46" s="98" t="n">
        <v>1</v>
      </c>
      <c r="E46" s="98" t="inlineStr">
        <is>
          <t>R2098252</t>
        </is>
      </c>
      <c r="F46" s="99" t="n">
        <v>45064</v>
      </c>
      <c r="G46" s="100" t="n"/>
    </row>
    <row r="47" ht="16" customHeight="1">
      <c r="A47" s="98" t="n">
        <v>882328</v>
      </c>
      <c r="B47" s="98" t="inlineStr">
        <is>
          <t>CARLO ROSSI PEACH SANGRIA</t>
        </is>
      </c>
      <c r="C47" s="97">
        <f>VLOOKUP(A47,SizeData!A$2:B$3839,2,FALSE)</f>
        <v/>
      </c>
      <c r="D47" s="98" t="n">
        <v>2</v>
      </c>
      <c r="E47" s="98" t="inlineStr">
        <is>
          <t>R2087639</t>
        </is>
      </c>
      <c r="F47" s="99" t="n">
        <v>45052</v>
      </c>
      <c r="G47" s="100" t="n"/>
    </row>
    <row r="48" ht="16" customHeight="1">
      <c r="A48" s="98" t="n">
        <v>882304</v>
      </c>
      <c r="B48" s="98" t="inlineStr">
        <is>
          <t>CARLO ROSSI SANGRIA</t>
        </is>
      </c>
      <c r="C48" s="97">
        <f>VLOOKUP(A48,SizeData!A$2:B$3839,2,FALSE)</f>
        <v/>
      </c>
      <c r="D48" s="98" t="n">
        <v>2</v>
      </c>
      <c r="E48" s="98" t="inlineStr">
        <is>
          <t>R2087639</t>
        </is>
      </c>
      <c r="F48" s="99" t="n">
        <v>45052</v>
      </c>
      <c r="G48" s="100" t="n"/>
    </row>
    <row r="49" ht="16" customHeight="1">
      <c r="A49" s="98" t="n">
        <v>882306</v>
      </c>
      <c r="B49" s="98" t="inlineStr">
        <is>
          <t>CARLO ROSSI SPANADA SANGRIA</t>
        </is>
      </c>
      <c r="C49" s="97">
        <f>VLOOKUP(A49,SizeData!A$2:B$3839,2,FALSE)</f>
        <v/>
      </c>
      <c r="D49" s="98" t="n">
        <v>2</v>
      </c>
      <c r="E49" s="98" t="inlineStr">
        <is>
          <t>R2092699</t>
        </is>
      </c>
      <c r="F49" s="99" t="n">
        <v>45063</v>
      </c>
      <c r="G49" s="100" t="n"/>
    </row>
    <row r="50" ht="16" customHeight="1">
      <c r="A50" s="98" t="n">
        <v>882300</v>
      </c>
      <c r="B50" s="98" t="inlineStr">
        <is>
          <t>CARLO ROSSI SPANADA SANGRIA</t>
        </is>
      </c>
      <c r="C50" s="97">
        <f>VLOOKUP(A50,SizeData!A$2:B$3839,2,FALSE)</f>
        <v/>
      </c>
      <c r="D50" s="98" t="n">
        <v>3</v>
      </c>
      <c r="E50" s="98" t="inlineStr">
        <is>
          <t>R2092699</t>
        </is>
      </c>
      <c r="F50" s="99" t="n">
        <v>45063</v>
      </c>
      <c r="G50" s="100" t="n"/>
    </row>
    <row r="51" ht="16" customHeight="1">
      <c r="A51" s="98" t="n">
        <v>415315</v>
      </c>
      <c r="B51" s="98" t="inlineStr">
        <is>
          <t>CARLO ROSSI SWEET RED</t>
        </is>
      </c>
      <c r="C51" s="97">
        <f>VLOOKUP(A51,SizeData!A$2:B$3839,2,FALSE)</f>
        <v/>
      </c>
      <c r="D51" s="98" t="n">
        <v>4</v>
      </c>
      <c r="E51" s="98" t="inlineStr">
        <is>
          <t>R2092699</t>
        </is>
      </c>
      <c r="F51" s="99" t="n">
        <v>45063</v>
      </c>
      <c r="G51" s="100" t="n"/>
    </row>
    <row r="52" ht="16" customHeight="1">
      <c r="A52" s="98" t="n">
        <v>415318</v>
      </c>
      <c r="B52" s="98" t="inlineStr">
        <is>
          <t>CARLO ROSSI SWEET RED</t>
        </is>
      </c>
      <c r="C52" s="97">
        <f>VLOOKUP(A52,SizeData!A$2:B$3839,2,FALSE)</f>
        <v/>
      </c>
      <c r="D52" s="98" t="n">
        <v>4</v>
      </c>
      <c r="E52" s="98" t="inlineStr">
        <is>
          <t>R2092699</t>
        </is>
      </c>
      <c r="F52" s="99" t="n">
        <v>45063</v>
      </c>
      <c r="G52" s="100" t="n"/>
    </row>
    <row r="53" ht="16" customHeight="1">
      <c r="A53" s="98" t="n">
        <v>359029</v>
      </c>
      <c r="B53" s="98" t="inlineStr">
        <is>
          <t>CASTELLO DEL POGGIO MOSCATO PAVIA</t>
        </is>
      </c>
      <c r="C53" s="97">
        <f>VLOOKUP(A53,SizeData!A$2:B$3839,2,FALSE)</f>
        <v/>
      </c>
      <c r="D53" s="98" t="n">
        <v>3</v>
      </c>
      <c r="E53" s="98" t="inlineStr">
        <is>
          <t>R2077596</t>
        </is>
      </c>
      <c r="F53" s="99" t="n">
        <v>45054</v>
      </c>
      <c r="G53" s="100" t="n"/>
    </row>
    <row r="54" ht="16" customHeight="1">
      <c r="A54" s="98" t="n">
        <v>355805</v>
      </c>
      <c r="B54" s="98" t="inlineStr">
        <is>
          <t>CAVIT PINOT GRIGIO</t>
        </is>
      </c>
      <c r="C54" s="97">
        <f>VLOOKUP(A54,SizeData!A$2:B$3839,2,FALSE)</f>
        <v/>
      </c>
      <c r="D54" s="98" t="n">
        <v>2</v>
      </c>
      <c r="E54" s="98" t="inlineStr">
        <is>
          <t>R2077596</t>
        </is>
      </c>
      <c r="F54" s="99" t="n">
        <v>45054</v>
      </c>
      <c r="G54" s="100" t="n"/>
    </row>
    <row r="55" ht="16" customHeight="1">
      <c r="A55" s="98" t="n">
        <v>64509</v>
      </c>
      <c r="B55" s="98" t="inlineStr">
        <is>
          <t>CIROC APPLE FLAVORED VODKA SPECIALTY</t>
        </is>
      </c>
      <c r="C55" s="97">
        <f>VLOOKUP(A55,SizeData!A$2:B$3839,2,FALSE)</f>
        <v/>
      </c>
      <c r="D55" s="98" t="n">
        <v>1</v>
      </c>
      <c r="E55" s="98" t="inlineStr">
        <is>
          <t>R2098904</t>
        </is>
      </c>
      <c r="F55" s="99" t="n">
        <v>45056</v>
      </c>
      <c r="G55" s="100" t="n"/>
    </row>
    <row r="56" ht="16" customHeight="1">
      <c r="A56" s="98" t="n">
        <v>64750</v>
      </c>
      <c r="B56" s="98" t="inlineStr">
        <is>
          <t>CIROC COCONUT FLAVORED VODKA SPECIALTY</t>
        </is>
      </c>
      <c r="C56" s="97">
        <f>VLOOKUP(A56,SizeData!A$2:B$3839,2,FALSE)</f>
        <v/>
      </c>
      <c r="D56" s="98" t="n">
        <v>1</v>
      </c>
      <c r="E56" s="98" t="inlineStr">
        <is>
          <t>R2110019</t>
        </is>
      </c>
      <c r="F56" s="99" t="n">
        <v>45057</v>
      </c>
      <c r="G56" s="100" t="n"/>
    </row>
    <row r="57" ht="16" customHeight="1">
      <c r="A57" s="98" t="n">
        <v>64348</v>
      </c>
      <c r="B57" s="98" t="inlineStr">
        <is>
          <t>CIROC PASSION</t>
        </is>
      </c>
      <c r="C57" s="97">
        <f>VLOOKUP(A57,SizeData!A$2:B$3839,2,FALSE)</f>
        <v/>
      </c>
      <c r="D57" s="98" t="n">
        <v>1</v>
      </c>
      <c r="E57" s="98" t="inlineStr">
        <is>
          <t>R2101079</t>
        </is>
      </c>
      <c r="F57" s="99" t="n">
        <v>45063</v>
      </c>
      <c r="G57" s="100" t="n"/>
    </row>
    <row r="58" ht="16" customHeight="1">
      <c r="A58" s="98" t="n">
        <v>64348</v>
      </c>
      <c r="B58" s="98" t="inlineStr">
        <is>
          <t>CIROC PASSION</t>
        </is>
      </c>
      <c r="C58" s="97">
        <f>VLOOKUP(A58,SizeData!A$2:B$3839,2,FALSE)</f>
        <v/>
      </c>
      <c r="D58" s="98" t="n">
        <v>1</v>
      </c>
      <c r="E58" s="98" t="inlineStr">
        <is>
          <t>R2110019</t>
        </is>
      </c>
      <c r="F58" s="99" t="n">
        <v>45057</v>
      </c>
      <c r="G58" s="100" t="n"/>
    </row>
    <row r="59" ht="16" customHeight="1">
      <c r="A59" s="98" t="n">
        <v>64572</v>
      </c>
      <c r="B59" s="98" t="inlineStr">
        <is>
          <t>CIROC PINEAPPLE FLAVORED VODKA SPECIALTY</t>
        </is>
      </c>
      <c r="C59" s="97">
        <f>VLOOKUP(A59,SizeData!A$2:B$3839,2,FALSE)</f>
        <v/>
      </c>
      <c r="D59" s="98" t="n">
        <v>2</v>
      </c>
      <c r="E59" s="98" t="inlineStr">
        <is>
          <t>R2110019</t>
        </is>
      </c>
      <c r="F59" s="99" t="n">
        <v>45057</v>
      </c>
      <c r="G59" s="100" t="n"/>
    </row>
    <row r="60" ht="16" customHeight="1">
      <c r="A60" s="98" t="n">
        <v>64755</v>
      </c>
      <c r="B60" s="98" t="inlineStr">
        <is>
          <t>CIROC RED BERRY FLAVORED VODKA SPECIALTY</t>
        </is>
      </c>
      <c r="C60" s="97">
        <f>VLOOKUP(A60,SizeData!A$2:B$3839,2,FALSE)</f>
        <v/>
      </c>
      <c r="D60" s="98" t="n">
        <v>1</v>
      </c>
      <c r="E60" s="98" t="inlineStr">
        <is>
          <t>R2101079</t>
        </is>
      </c>
      <c r="F60" s="99" t="n">
        <v>45063</v>
      </c>
      <c r="G60" s="100" t="n"/>
    </row>
    <row r="61" ht="16" customHeight="1">
      <c r="A61" s="98" t="n">
        <v>64328</v>
      </c>
      <c r="B61" s="98" t="inlineStr">
        <is>
          <t>CIROC SUMMER WATERMELON FLAVORED VODKA DSS</t>
        </is>
      </c>
      <c r="C61" s="97">
        <f>VLOOKUP(A61,SizeData!A$2:B$3839,2,FALSE)</f>
        <v/>
      </c>
      <c r="D61" s="98" t="n">
        <v>1</v>
      </c>
      <c r="E61" s="98" t="inlineStr">
        <is>
          <t>R2115030</t>
        </is>
      </c>
      <c r="F61" s="99" t="n">
        <v>45063</v>
      </c>
      <c r="G61" s="100" t="n"/>
    </row>
    <row r="62" ht="16" customHeight="1">
      <c r="A62" s="98" t="n">
        <v>51109</v>
      </c>
      <c r="B62" s="98" t="inlineStr">
        <is>
          <t>CIROC VS FRENCH BRANDY</t>
        </is>
      </c>
      <c r="C62" s="97">
        <f>VLOOKUP(A62,SizeData!A$2:B$3839,2,FALSE)</f>
        <v/>
      </c>
      <c r="D62" s="98" t="n">
        <v>1</v>
      </c>
      <c r="E62" s="98" t="inlineStr">
        <is>
          <t>R2098904</t>
        </is>
      </c>
      <c r="F62" s="99" t="n">
        <v>45056</v>
      </c>
      <c r="G62" s="100" t="n"/>
    </row>
    <row r="63" ht="16" customHeight="1">
      <c r="A63" s="98" t="n">
        <v>51109</v>
      </c>
      <c r="B63" s="98" t="inlineStr">
        <is>
          <t>CIROC VS FRENCH BRANDY</t>
        </is>
      </c>
      <c r="C63" s="97">
        <f>VLOOKUP(A63,SizeData!A$2:B$3839,2,FALSE)</f>
        <v/>
      </c>
      <c r="D63" s="98" t="n">
        <v>4</v>
      </c>
      <c r="E63" s="98" t="inlineStr">
        <is>
          <t>R2103182</t>
        </is>
      </c>
      <c r="F63" s="99" t="n">
        <v>45065</v>
      </c>
      <c r="G63" s="100" t="n"/>
    </row>
    <row r="64" ht="16" customHeight="1">
      <c r="A64" s="98" t="n">
        <v>51107</v>
      </c>
      <c r="B64" s="98" t="inlineStr">
        <is>
          <t>CIROC VS FRENCH BRANDY</t>
        </is>
      </c>
      <c r="C64" s="97">
        <f>VLOOKUP(A64,SizeData!A$2:B$3839,2,FALSE)</f>
        <v/>
      </c>
      <c r="D64" s="98" t="n">
        <v>1</v>
      </c>
      <c r="E64" s="98" t="inlineStr">
        <is>
          <t>R2115030</t>
        </is>
      </c>
      <c r="F64" s="99" t="n">
        <v>45063</v>
      </c>
      <c r="G64" s="100" t="n"/>
    </row>
    <row r="65" ht="16" customHeight="1">
      <c r="A65" s="98" t="n">
        <v>64776</v>
      </c>
      <c r="B65" s="98" t="inlineStr">
        <is>
          <t>COINTREAU</t>
        </is>
      </c>
      <c r="C65" s="97">
        <f>VLOOKUP(A65,SizeData!A$2:B$3839,2,FALSE)</f>
        <v/>
      </c>
      <c r="D65" s="98" t="n">
        <v>1</v>
      </c>
      <c r="E65" s="98" t="inlineStr">
        <is>
          <t>R2109273</t>
        </is>
      </c>
      <c r="F65" s="99" t="n">
        <v>45066</v>
      </c>
      <c r="G65" s="100" t="n"/>
    </row>
    <row r="66" ht="16" customHeight="1">
      <c r="A66" s="98" t="n">
        <v>458530</v>
      </c>
      <c r="B66" s="98" t="inlineStr">
        <is>
          <t>CONUNDRUM RED BLEND</t>
        </is>
      </c>
      <c r="C66" s="97">
        <f>VLOOKUP(A66,SizeData!A$2:B$3839,2,FALSE)</f>
        <v/>
      </c>
      <c r="D66" s="98" t="n">
        <v>1</v>
      </c>
      <c r="E66" s="98" t="inlineStr">
        <is>
          <t>R2087639</t>
        </is>
      </c>
      <c r="F66" s="99" t="n">
        <v>45052</v>
      </c>
      <c r="G66" s="100" t="n"/>
    </row>
    <row r="67" ht="16" customHeight="1">
      <c r="A67" s="98" t="n">
        <v>744200</v>
      </c>
      <c r="B67" s="98" t="inlineStr">
        <is>
          <t>COOK'S BRUT CHAMPAGNE</t>
        </is>
      </c>
      <c r="C67" s="97">
        <f>VLOOKUP(A67,SizeData!A$2:B$3839,2,FALSE)</f>
        <v/>
      </c>
      <c r="D67" s="98" t="n">
        <v>2</v>
      </c>
      <c r="E67" s="98" t="inlineStr">
        <is>
          <t>R2095184</t>
        </is>
      </c>
      <c r="F67" s="99" t="n">
        <v>45059</v>
      </c>
      <c r="G67" s="100" t="n"/>
    </row>
    <row r="68" ht="16" customHeight="1">
      <c r="A68" s="98" t="n">
        <v>47776</v>
      </c>
      <c r="B68" s="98" t="inlineStr">
        <is>
          <t>COURVOISIER VSOP COGNAC</t>
        </is>
      </c>
      <c r="C68" s="97">
        <f>VLOOKUP(A68,SizeData!A$2:B$3839,2,FALSE)</f>
        <v/>
      </c>
      <c r="D68" s="98" t="n">
        <v>1</v>
      </c>
      <c r="E68" s="98" t="inlineStr">
        <is>
          <t>R2110028</t>
        </is>
      </c>
      <c r="F68" s="99" t="n">
        <v>45059</v>
      </c>
      <c r="G68" s="100" t="n"/>
    </row>
    <row r="69" ht="16" customHeight="1">
      <c r="A69" s="98" t="n">
        <v>11297</v>
      </c>
      <c r="B69" s="98" t="inlineStr">
        <is>
          <t>CROWN ROYAL</t>
        </is>
      </c>
      <c r="C69" s="97">
        <f>VLOOKUP(A69,SizeData!A$2:B$3839,2,FALSE)</f>
        <v/>
      </c>
      <c r="D69" s="98" t="n">
        <v>1</v>
      </c>
      <c r="E69" s="98" t="inlineStr">
        <is>
          <t>R2087639</t>
        </is>
      </c>
      <c r="F69" s="99" t="n">
        <v>45052</v>
      </c>
      <c r="G69" s="100" t="n"/>
    </row>
    <row r="70" ht="16" customHeight="1">
      <c r="A70" s="98" t="n">
        <v>11364</v>
      </c>
      <c r="B70" s="98" t="inlineStr">
        <is>
          <t>CROWN ROYAL SPECIAL RESERVE</t>
        </is>
      </c>
      <c r="C70" s="97">
        <f>VLOOKUP(A70,SizeData!A$2:B$3839,2,FALSE)</f>
        <v/>
      </c>
      <c r="D70" s="98" t="n">
        <v>1</v>
      </c>
      <c r="E70" s="98" t="inlineStr">
        <is>
          <t>R2089319</t>
        </is>
      </c>
      <c r="F70" s="99" t="n">
        <v>45055</v>
      </c>
      <c r="G70" s="100" t="n"/>
    </row>
    <row r="71" ht="16" customHeight="1">
      <c r="A71" s="98" t="n">
        <v>44568</v>
      </c>
      <c r="B71" s="98" t="inlineStr">
        <is>
          <t>CRUZAN PEACH FLAVORED RUM</t>
        </is>
      </c>
      <c r="C71" s="97">
        <f>VLOOKUP(A71,SizeData!A$2:B$3839,2,FALSE)</f>
        <v/>
      </c>
      <c r="D71" s="98" t="n">
        <v>1</v>
      </c>
      <c r="E71" s="98" t="inlineStr">
        <is>
          <t>R2102319</t>
        </is>
      </c>
      <c r="F71" s="99" t="n">
        <v>45062</v>
      </c>
      <c r="G71" s="100" t="n"/>
    </row>
    <row r="72" ht="16" customHeight="1">
      <c r="A72" s="98" t="n">
        <v>44557</v>
      </c>
      <c r="B72" s="98" t="inlineStr">
        <is>
          <t>CRUZAN STRAWBERRY GINGER RUM</t>
        </is>
      </c>
      <c r="C72" s="97">
        <f>VLOOKUP(A72,SizeData!A$2:B$3839,2,FALSE)</f>
        <v/>
      </c>
      <c r="D72" s="98" t="n">
        <v>1</v>
      </c>
      <c r="E72" s="98" t="inlineStr">
        <is>
          <t>R2102319</t>
        </is>
      </c>
      <c r="F72" s="99" t="n">
        <v>45062</v>
      </c>
      <c r="G72" s="100" t="n"/>
    </row>
    <row r="73" ht="16" customHeight="1">
      <c r="A73" s="98" t="n">
        <v>58876</v>
      </c>
      <c r="B73" s="98" t="inlineStr">
        <is>
          <t>CUERVO GOLD MARGARITA</t>
        </is>
      </c>
      <c r="C73" s="97">
        <f>VLOOKUP(A73,SizeData!A$2:B$3839,2,FALSE)</f>
        <v/>
      </c>
      <c r="D73" s="98" t="n">
        <v>1</v>
      </c>
      <c r="E73" s="98" t="inlineStr">
        <is>
          <t>R2077596</t>
        </is>
      </c>
      <c r="F73" s="99" t="n">
        <v>45054</v>
      </c>
      <c r="G73" s="100" t="n"/>
    </row>
    <row r="74" ht="16" customHeight="1">
      <c r="A74" s="98" t="n">
        <v>58838</v>
      </c>
      <c r="B74" s="98" t="inlineStr">
        <is>
          <t>CUERVO LIME MARGARITA / 20PF</t>
        </is>
      </c>
      <c r="C74" s="97">
        <f>VLOOKUP(A74,SizeData!A$2:B$3839,2,FALSE)</f>
        <v/>
      </c>
      <c r="D74" s="98" t="n">
        <v>1</v>
      </c>
      <c r="E74" s="98" t="inlineStr">
        <is>
          <t>R2077596</t>
        </is>
      </c>
      <c r="F74" s="99" t="n">
        <v>45054</v>
      </c>
      <c r="G74" s="100" t="n"/>
    </row>
    <row r="75" ht="16" customHeight="1">
      <c r="A75" s="98" t="n">
        <v>58868</v>
      </c>
      <c r="B75" s="98" t="inlineStr">
        <is>
          <t>CUERVO STRAWBERRY MARGARITA / 20PF</t>
        </is>
      </c>
      <c r="C75" s="97">
        <f>VLOOKUP(A75,SizeData!A$2:B$3839,2,FALSE)</f>
        <v/>
      </c>
      <c r="D75" s="98" t="n">
        <v>2</v>
      </c>
      <c r="E75" s="98" t="inlineStr">
        <is>
          <t>R2077596</t>
        </is>
      </c>
      <c r="F75" s="99" t="n">
        <v>45054</v>
      </c>
      <c r="G75" s="100" t="n"/>
    </row>
    <row r="76" ht="16" customHeight="1">
      <c r="A76" s="98" t="n">
        <v>58868</v>
      </c>
      <c r="B76" s="98" t="inlineStr">
        <is>
          <t>CUERVO STRAWBERRY MARGARITA / 20PF</t>
        </is>
      </c>
      <c r="C76" s="97">
        <f>VLOOKUP(A76,SizeData!A$2:B$3839,2,FALSE)</f>
        <v/>
      </c>
      <c r="D76" s="98" t="n">
        <v>1</v>
      </c>
      <c r="E76" s="98" t="inlineStr">
        <is>
          <t>R2109273</t>
        </is>
      </c>
      <c r="F76" s="99" t="n">
        <v>45066</v>
      </c>
      <c r="G76" s="100" t="n"/>
    </row>
    <row r="77" ht="16" customHeight="1">
      <c r="A77" s="98" t="n">
        <v>82606</v>
      </c>
      <c r="B77" s="98" t="inlineStr">
        <is>
          <t>DEKUYPER SOUR APPLE PUCKER SCHNAPPS</t>
        </is>
      </c>
      <c r="C77" s="97">
        <f>VLOOKUP(A77,SizeData!A$2:B$3839,2,FALSE)</f>
        <v/>
      </c>
      <c r="D77" s="98" t="n">
        <v>1</v>
      </c>
      <c r="E77" s="98" t="inlineStr">
        <is>
          <t>R2102319</t>
        </is>
      </c>
      <c r="F77" s="99" t="n">
        <v>45062</v>
      </c>
      <c r="G77" s="100" t="n"/>
    </row>
    <row r="78" ht="16" customHeight="1">
      <c r="A78" s="98" t="n">
        <v>82820</v>
      </c>
      <c r="B78" s="98" t="inlineStr">
        <is>
          <t>DEKUYPER STRAWBERRY PUCKER SCHNAPPS</t>
        </is>
      </c>
      <c r="C78" s="97">
        <f>VLOOKUP(A78,SizeData!A$2:B$3839,2,FALSE)</f>
        <v/>
      </c>
      <c r="D78" s="98" t="n">
        <v>1</v>
      </c>
      <c r="E78" s="98" t="inlineStr">
        <is>
          <t>R2098904</t>
        </is>
      </c>
      <c r="F78" s="99" t="n">
        <v>45056</v>
      </c>
      <c r="G78" s="100" t="n"/>
    </row>
    <row r="79" ht="16" customHeight="1">
      <c r="A79" s="98" t="n">
        <v>87563</v>
      </c>
      <c r="B79" s="98" t="inlineStr">
        <is>
          <t>DELEON BLANCO TEQUILA</t>
        </is>
      </c>
      <c r="C79" s="97">
        <f>VLOOKUP(A79,SizeData!A$2:B$3839,2,FALSE)</f>
        <v/>
      </c>
      <c r="D79" s="98" t="n">
        <v>1</v>
      </c>
      <c r="E79" s="98" t="inlineStr">
        <is>
          <t>R2096176</t>
        </is>
      </c>
      <c r="F79" s="99" t="n">
        <v>45057</v>
      </c>
      <c r="G79" s="100" t="n"/>
    </row>
    <row r="80" ht="16" customHeight="1">
      <c r="A80" s="98" t="n">
        <v>88427</v>
      </c>
      <c r="B80" s="98" t="inlineStr">
        <is>
          <t>DELEON REPOSADO TEQUILA</t>
        </is>
      </c>
      <c r="C80" s="97">
        <f>VLOOKUP(A80,SizeData!A$2:B$3839,2,FALSE)</f>
        <v/>
      </c>
      <c r="D80" s="98" t="n">
        <v>5</v>
      </c>
      <c r="E80" s="98" t="inlineStr">
        <is>
          <t>R2102261</t>
        </is>
      </c>
      <c r="F80" s="99" t="n">
        <v>45062</v>
      </c>
      <c r="G80" s="100" t="n"/>
    </row>
    <row r="81" ht="16" customHeight="1">
      <c r="A81" s="98" t="n">
        <v>89154</v>
      </c>
      <c r="B81" s="98" t="inlineStr">
        <is>
          <t>DON JULIO REPOSADO TEQUILA GOLD</t>
        </is>
      </c>
      <c r="C81" s="97">
        <f>VLOOKUP(A81,SizeData!A$2:B$3839,2,FALSE)</f>
        <v/>
      </c>
      <c r="D81" s="98" t="n">
        <v>2</v>
      </c>
      <c r="E81" s="98" t="inlineStr">
        <is>
          <t>R2096176</t>
        </is>
      </c>
      <c r="F81" s="99" t="n">
        <v>45057</v>
      </c>
      <c r="G81" s="100" t="n"/>
    </row>
    <row r="82" ht="16" customHeight="1">
      <c r="A82" s="98" t="n">
        <v>89154</v>
      </c>
      <c r="B82" s="98" t="inlineStr">
        <is>
          <t>DON JULIO REPOSADO TEQUILA GOLD</t>
        </is>
      </c>
      <c r="C82" s="97">
        <f>VLOOKUP(A82,SizeData!A$2:B$3839,2,FALSE)</f>
        <v/>
      </c>
      <c r="D82" s="98" t="n">
        <v>5</v>
      </c>
      <c r="E82" s="98" t="inlineStr">
        <is>
          <t>R2110028</t>
        </is>
      </c>
      <c r="F82" s="99" t="n">
        <v>45059</v>
      </c>
      <c r="G82" s="100" t="n"/>
    </row>
    <row r="83" ht="16" customHeight="1">
      <c r="A83" s="98" t="n">
        <v>47863</v>
      </c>
      <c r="B83" s="98" t="inlineStr">
        <is>
          <t>DUSSE VSOP COGNAC</t>
        </is>
      </c>
      <c r="C83" s="97">
        <f>VLOOKUP(A83,SizeData!A$2:B$3839,2,FALSE)</f>
        <v/>
      </c>
      <c r="D83" s="98" t="n">
        <v>1</v>
      </c>
      <c r="E83" s="98" t="inlineStr">
        <is>
          <t>R2096176</t>
        </is>
      </c>
      <c r="F83" s="99" t="n">
        <v>45057</v>
      </c>
      <c r="G83" s="100" t="n"/>
    </row>
    <row r="84" ht="16" customHeight="1">
      <c r="A84" s="98" t="n">
        <v>47865</v>
      </c>
      <c r="B84" s="98" t="inlineStr">
        <is>
          <t>DUSSE VSOP COGNAC</t>
        </is>
      </c>
      <c r="C84" s="97">
        <f>VLOOKUP(A84,SizeData!A$2:B$3839,2,FALSE)</f>
        <v/>
      </c>
      <c r="D84" s="98" t="n">
        <v>1</v>
      </c>
      <c r="E84" s="98" t="inlineStr">
        <is>
          <t>R2096176</t>
        </is>
      </c>
      <c r="F84" s="99" t="n">
        <v>45057</v>
      </c>
      <c r="G84" s="100" t="n"/>
    </row>
    <row r="85" ht="16" customHeight="1">
      <c r="A85" s="98" t="n">
        <v>47863</v>
      </c>
      <c r="B85" s="98" t="inlineStr">
        <is>
          <t>DUSSE VSOP COGNAC</t>
        </is>
      </c>
      <c r="C85" s="97">
        <f>VLOOKUP(A85,SizeData!A$2:B$3839,2,FALSE)</f>
        <v/>
      </c>
      <c r="D85" s="98" t="n">
        <v>2</v>
      </c>
      <c r="E85" s="98" t="inlineStr">
        <is>
          <t>R2098904</t>
        </is>
      </c>
      <c r="F85" s="99" t="n">
        <v>45056</v>
      </c>
      <c r="G85" s="100" t="n"/>
    </row>
    <row r="86" ht="16" customHeight="1">
      <c r="A86" s="98" t="n">
        <v>73762</v>
      </c>
      <c r="B86" s="98" t="inlineStr">
        <is>
          <t>E &amp; J PEACH (BRANDY W/PEACH LIQUEUR)</t>
        </is>
      </c>
      <c r="C86" s="97">
        <f>VLOOKUP(A86,SizeData!A$2:B$3839,2,FALSE)</f>
        <v/>
      </c>
      <c r="D86" s="98" t="n">
        <v>1</v>
      </c>
      <c r="E86" s="98" t="inlineStr">
        <is>
          <t>R2077596</t>
        </is>
      </c>
      <c r="F86" s="99" t="n">
        <v>45054</v>
      </c>
      <c r="G86" s="100" t="n"/>
    </row>
    <row r="87" ht="16" customHeight="1">
      <c r="A87" s="98" t="n">
        <v>52582</v>
      </c>
      <c r="B87" s="98" t="inlineStr">
        <is>
          <t>E &amp; J SUPERIOR RESERVE VSOP BRANDY</t>
        </is>
      </c>
      <c r="C87" s="97">
        <f>VLOOKUP(A87,SizeData!A$2:B$3839,2,FALSE)</f>
        <v/>
      </c>
      <c r="D87" s="98" t="n">
        <v>1</v>
      </c>
      <c r="E87" s="98" t="inlineStr">
        <is>
          <t>R2101079</t>
        </is>
      </c>
      <c r="F87" s="99" t="n">
        <v>45063</v>
      </c>
      <c r="G87" s="100" t="n"/>
    </row>
    <row r="88" ht="16" customHeight="1">
      <c r="A88" s="98" t="n">
        <v>52584</v>
      </c>
      <c r="B88" s="98" t="inlineStr">
        <is>
          <t>E &amp; J SUPERIOR RESERVE VSOP BRANDY</t>
        </is>
      </c>
      <c r="C88" s="97">
        <f>VLOOKUP(A88,SizeData!A$2:B$3839,2,FALSE)</f>
        <v/>
      </c>
      <c r="D88" s="98" t="n">
        <v>1</v>
      </c>
      <c r="E88" s="98" t="inlineStr">
        <is>
          <t>R2101079</t>
        </is>
      </c>
      <c r="F88" s="99" t="n">
        <v>45063</v>
      </c>
      <c r="G88" s="100" t="n"/>
    </row>
    <row r="89" ht="16" customHeight="1">
      <c r="A89" s="98" t="n">
        <v>52581</v>
      </c>
      <c r="B89" s="98" t="inlineStr">
        <is>
          <t>E &amp; J SUPERIOR RESERVE VSOP BRANDY</t>
        </is>
      </c>
      <c r="C89" s="97">
        <f>VLOOKUP(A89,SizeData!A$2:B$3839,2,FALSE)</f>
        <v/>
      </c>
      <c r="D89" s="98" t="n">
        <v>1</v>
      </c>
      <c r="E89" s="98" t="inlineStr">
        <is>
          <t>R2115030</t>
        </is>
      </c>
      <c r="F89" s="99" t="n">
        <v>45063</v>
      </c>
      <c r="G89" s="100" t="n"/>
    </row>
    <row r="90" ht="16" customHeight="1">
      <c r="A90" s="98" t="n">
        <v>73780</v>
      </c>
      <c r="B90" s="98" t="inlineStr">
        <is>
          <t>E &amp; J VANILLA (BRANDY W/VANILLA LIQUEUR)</t>
        </is>
      </c>
      <c r="C90" s="97">
        <f>VLOOKUP(A90,SizeData!A$2:B$3839,2,FALSE)</f>
        <v/>
      </c>
      <c r="D90" s="98" t="n">
        <v>1</v>
      </c>
      <c r="E90" s="98" t="inlineStr">
        <is>
          <t>R2077596</t>
        </is>
      </c>
      <c r="F90" s="99" t="n">
        <v>45054</v>
      </c>
      <c r="G90" s="100" t="n"/>
    </row>
    <row r="91" ht="16" customHeight="1">
      <c r="A91" s="98" t="n">
        <v>52596</v>
      </c>
      <c r="B91" s="98" t="inlineStr">
        <is>
          <t>E &amp; J VS BRANDY</t>
        </is>
      </c>
      <c r="C91" s="97">
        <f>VLOOKUP(A91,SizeData!A$2:B$3839,2,FALSE)</f>
        <v/>
      </c>
      <c r="D91" s="98" t="n">
        <v>2</v>
      </c>
      <c r="E91" s="98" t="inlineStr">
        <is>
          <t>R2077596</t>
        </is>
      </c>
      <c r="F91" s="99" t="n">
        <v>45054</v>
      </c>
      <c r="G91" s="100" t="n"/>
    </row>
    <row r="92" ht="16" customHeight="1">
      <c r="A92" s="98" t="n">
        <v>52594</v>
      </c>
      <c r="B92" s="98" t="inlineStr">
        <is>
          <t>E &amp; J VS BRANDY</t>
        </is>
      </c>
      <c r="C92" s="97">
        <f>VLOOKUP(A92,SizeData!A$2:B$3839,2,FALSE)</f>
        <v/>
      </c>
      <c r="D92" s="98" t="n">
        <v>1</v>
      </c>
      <c r="E92" s="98" t="inlineStr">
        <is>
          <t>R2115030</t>
        </is>
      </c>
      <c r="F92" s="99" t="n">
        <v>45063</v>
      </c>
      <c r="G92" s="100" t="n"/>
    </row>
    <row r="93" ht="16" customHeight="1">
      <c r="A93" s="98" t="n">
        <v>52559</v>
      </c>
      <c r="B93" s="98" t="inlineStr">
        <is>
          <t>E &amp; J XO BRANDY</t>
        </is>
      </c>
      <c r="C93" s="97">
        <f>VLOOKUP(A93,SizeData!A$2:B$3839,2,FALSE)</f>
        <v/>
      </c>
      <c r="D93" s="98" t="n">
        <v>1</v>
      </c>
      <c r="E93" s="98" t="inlineStr">
        <is>
          <t>R2100722</t>
        </is>
      </c>
      <c r="F93" s="99" t="n">
        <v>45054</v>
      </c>
      <c r="G93" s="100" t="n"/>
    </row>
    <row r="94" ht="16" customHeight="1">
      <c r="A94" s="98" t="n">
        <v>52563</v>
      </c>
      <c r="B94" s="98" t="inlineStr">
        <is>
          <t>E &amp; J XO BRANDY</t>
        </is>
      </c>
      <c r="C94" s="97">
        <f>VLOOKUP(A94,SizeData!A$2:B$3839,2,FALSE)</f>
        <v/>
      </c>
      <c r="D94" s="98" t="n">
        <v>1</v>
      </c>
      <c r="E94" s="98" t="inlineStr">
        <is>
          <t>R2100722</t>
        </is>
      </c>
      <c r="F94" s="99" t="n">
        <v>45054</v>
      </c>
      <c r="G94" s="100" t="n"/>
    </row>
    <row r="95" ht="16" customHeight="1">
      <c r="A95" s="98" t="n">
        <v>87596</v>
      </c>
      <c r="B95" s="98" t="inlineStr">
        <is>
          <t>EL MAYOR BLANCO TEQUILA</t>
        </is>
      </c>
      <c r="C95" s="97">
        <f>VLOOKUP(A95,SizeData!A$2:B$3839,2,FALSE)</f>
        <v/>
      </c>
      <c r="D95" s="98" t="n">
        <v>2</v>
      </c>
      <c r="E95" s="98" t="inlineStr">
        <is>
          <t>R2100722</t>
        </is>
      </c>
      <c r="F95" s="99" t="n">
        <v>45054</v>
      </c>
      <c r="G95" s="100" t="n"/>
    </row>
    <row r="96" ht="16" customHeight="1">
      <c r="A96" s="98" t="n">
        <v>89182</v>
      </c>
      <c r="B96" s="98" t="inlineStr">
        <is>
          <t>EL MAYOR REPOSADO TEQIULA</t>
        </is>
      </c>
      <c r="C96" s="97">
        <f>VLOOKUP(A96,SizeData!A$2:B$3839,2,FALSE)</f>
        <v/>
      </c>
      <c r="D96" s="98" t="n">
        <v>2</v>
      </c>
      <c r="E96" s="98" t="inlineStr">
        <is>
          <t>R2100722</t>
        </is>
      </c>
      <c r="F96" s="99" t="n">
        <v>45054</v>
      </c>
      <c r="G96" s="100" t="n"/>
    </row>
    <row r="97" ht="16" customHeight="1">
      <c r="A97" s="98" t="n">
        <v>41838</v>
      </c>
      <c r="B97" s="98" t="inlineStr">
        <is>
          <t>EVERCLEAR ALCOHOL 190 (PET)</t>
        </is>
      </c>
      <c r="C97" s="97">
        <f>VLOOKUP(A97,SizeData!A$2:B$3839,2,FALSE)</f>
        <v/>
      </c>
      <c r="D97" s="98" t="n">
        <v>2</v>
      </c>
      <c r="E97" s="98" t="inlineStr">
        <is>
          <t>R2077596</t>
        </is>
      </c>
      <c r="F97" s="99" t="n">
        <v>45054</v>
      </c>
      <c r="G97" s="100" t="n"/>
    </row>
    <row r="98" ht="16" customHeight="1">
      <c r="A98" s="98" t="n">
        <v>467800</v>
      </c>
      <c r="B98" s="98" t="inlineStr">
        <is>
          <t>FRANZIA HOUSE WINE FAV CHILLABLE RED</t>
        </is>
      </c>
      <c r="C98" s="97">
        <f>VLOOKUP(A98,SizeData!A$2:B$3839,2,FALSE)</f>
        <v/>
      </c>
      <c r="D98" s="98" t="n">
        <v>2</v>
      </c>
      <c r="E98" s="98" t="inlineStr">
        <is>
          <t>R2101079</t>
        </is>
      </c>
      <c r="F98" s="99" t="n">
        <v>45063</v>
      </c>
      <c r="G98" s="100" t="n"/>
    </row>
    <row r="99" ht="16" customHeight="1">
      <c r="A99" s="98" t="n">
        <v>5036</v>
      </c>
      <c r="B99" s="98" t="inlineStr">
        <is>
          <t>GLENLIVET 12 YR. SINGLE MALT</t>
        </is>
      </c>
      <c r="C99" s="97">
        <f>VLOOKUP(A99,SizeData!A$2:B$3839,2,FALSE)</f>
        <v/>
      </c>
      <c r="D99" s="98" t="n">
        <v>1</v>
      </c>
      <c r="E99" s="98" t="inlineStr">
        <is>
          <t>R2087639</t>
        </is>
      </c>
      <c r="F99" s="99" t="n">
        <v>45052</v>
      </c>
      <c r="G99" s="100" t="n"/>
    </row>
    <row r="100" ht="16" customHeight="1">
      <c r="A100" s="98" t="n">
        <v>65120</v>
      </c>
      <c r="B100" s="98" t="inlineStr">
        <is>
          <t>GRAND MARNIER</t>
        </is>
      </c>
      <c r="C100" s="97">
        <f>VLOOKUP(A100,SizeData!A$2:B$3839,2,FALSE)</f>
        <v/>
      </c>
      <c r="D100" s="98" t="n">
        <v>1</v>
      </c>
      <c r="E100" s="98" t="inlineStr">
        <is>
          <t>R2109273</t>
        </is>
      </c>
      <c r="F100" s="99" t="n">
        <v>45066</v>
      </c>
      <c r="G100" s="100" t="n"/>
    </row>
    <row r="101" ht="16" customHeight="1">
      <c r="A101" s="98" t="n">
        <v>65121</v>
      </c>
      <c r="B101" s="98" t="inlineStr">
        <is>
          <t>GRAND MARNIER</t>
        </is>
      </c>
      <c r="C101" s="97">
        <f>VLOOKUP(A101,SizeData!A$2:B$3839,2,FALSE)</f>
        <v/>
      </c>
      <c r="D101" s="98" t="n">
        <v>1</v>
      </c>
      <c r="E101" s="98" t="inlineStr">
        <is>
          <t>R2109273</t>
        </is>
      </c>
      <c r="F101" s="99" t="n">
        <v>45066</v>
      </c>
      <c r="G101" s="100" t="n"/>
    </row>
    <row r="102" ht="16" customHeight="1">
      <c r="A102" s="98" t="n">
        <v>34423</v>
      </c>
      <c r="B102" s="98" t="inlineStr">
        <is>
          <t>GREY GOOSE IMPORTED VODKA</t>
        </is>
      </c>
      <c r="C102" s="97">
        <f>VLOOKUP(A102,SizeData!A$2:B$3839,2,FALSE)</f>
        <v/>
      </c>
      <c r="D102" s="98" t="n">
        <v>1</v>
      </c>
      <c r="E102" s="98" t="inlineStr">
        <is>
          <t>R2098904</t>
        </is>
      </c>
      <c r="F102" s="99" t="n">
        <v>45056</v>
      </c>
      <c r="G102" s="100" t="n"/>
    </row>
    <row r="103" ht="16" customHeight="1">
      <c r="A103" s="98" t="n">
        <v>34359</v>
      </c>
      <c r="B103" s="98" t="inlineStr">
        <is>
          <t>GREY GOOSE IMPORTED VODKA</t>
        </is>
      </c>
      <c r="C103" s="97">
        <f>VLOOKUP(A103,SizeData!A$2:B$3839,2,FALSE)</f>
        <v/>
      </c>
      <c r="D103" s="98" t="n">
        <v>1</v>
      </c>
      <c r="E103" s="98" t="inlineStr">
        <is>
          <t>R2098904</t>
        </is>
      </c>
      <c r="F103" s="99" t="n">
        <v>45056</v>
      </c>
      <c r="G103" s="100" t="n"/>
    </row>
    <row r="104" ht="16" customHeight="1">
      <c r="A104" s="98" t="n">
        <v>34422</v>
      </c>
      <c r="B104" s="98" t="inlineStr">
        <is>
          <t>GREY GOOSE IMPORTED VODKA</t>
        </is>
      </c>
      <c r="C104" s="97">
        <f>VLOOKUP(A104,SizeData!A$2:B$3839,2,FALSE)</f>
        <v/>
      </c>
      <c r="D104" s="98" t="n">
        <v>1</v>
      </c>
      <c r="E104" s="98" t="inlineStr">
        <is>
          <t>R2098904</t>
        </is>
      </c>
      <c r="F104" s="99" t="n">
        <v>45056</v>
      </c>
      <c r="G104" s="100" t="n"/>
    </row>
    <row r="105" ht="16" customHeight="1">
      <c r="A105" s="98" t="n">
        <v>34433</v>
      </c>
      <c r="B105" s="98" t="inlineStr">
        <is>
          <t>GREY GOOSE IMPORTED VODKA</t>
        </is>
      </c>
      <c r="C105" s="97">
        <f>VLOOKUP(A105,SizeData!A$2:B$3839,2,FALSE)</f>
        <v/>
      </c>
      <c r="D105" s="98" t="n">
        <v>4</v>
      </c>
      <c r="E105" s="98" t="inlineStr">
        <is>
          <t>R2102319</t>
        </is>
      </c>
      <c r="F105" s="99" t="n">
        <v>45062</v>
      </c>
      <c r="G105" s="100" t="n"/>
    </row>
    <row r="106" ht="16" customHeight="1">
      <c r="A106" s="98" t="n">
        <v>48099</v>
      </c>
      <c r="B106" s="98" t="inlineStr">
        <is>
          <t>HENNESSY V S COGNAC</t>
        </is>
      </c>
      <c r="C106" s="97">
        <f>VLOOKUP(A106,SizeData!A$2:B$3839,2,FALSE)</f>
        <v/>
      </c>
      <c r="D106" s="98" t="n">
        <v>2</v>
      </c>
      <c r="E106" s="98" t="inlineStr">
        <is>
          <t>R2087639</t>
        </is>
      </c>
      <c r="F106" s="99" t="n">
        <v>45052</v>
      </c>
      <c r="G106" s="100" t="n"/>
    </row>
    <row r="107" ht="16" customHeight="1">
      <c r="A107" s="98" t="n">
        <v>48108</v>
      </c>
      <c r="B107" s="98" t="inlineStr">
        <is>
          <t>HENNESSY V S COGNAC</t>
        </is>
      </c>
      <c r="C107" s="97">
        <f>VLOOKUP(A107,SizeData!A$2:B$3839,2,FALSE)</f>
        <v/>
      </c>
      <c r="D107" s="98" t="n">
        <v>1</v>
      </c>
      <c r="E107" s="98" t="inlineStr">
        <is>
          <t>R2098252</t>
        </is>
      </c>
      <c r="F107" s="99" t="n">
        <v>45064</v>
      </c>
      <c r="G107" s="100" t="n"/>
    </row>
    <row r="108" ht="16" customHeight="1">
      <c r="A108" s="98" t="n">
        <v>88549</v>
      </c>
      <c r="B108" s="98" t="inlineStr">
        <is>
          <t>HORNITOS PLATA SILVER TEQUILA</t>
        </is>
      </c>
      <c r="C108" s="97">
        <f>VLOOKUP(A108,SizeData!A$2:B$3839,2,FALSE)</f>
        <v/>
      </c>
      <c r="D108" s="98" t="n">
        <v>6</v>
      </c>
      <c r="E108" s="98" t="inlineStr">
        <is>
          <t>R2096176</t>
        </is>
      </c>
      <c r="F108" s="99" t="n">
        <v>45057</v>
      </c>
      <c r="G108" s="100" t="n"/>
    </row>
    <row r="109" ht="16" customHeight="1">
      <c r="A109" s="98" t="n">
        <v>65193</v>
      </c>
      <c r="B109" s="98" t="inlineStr">
        <is>
          <t>HPNOTIQ VODKA &amp; COGNAC LIQUEUR</t>
        </is>
      </c>
      <c r="C109" s="97">
        <f>VLOOKUP(A109,SizeData!A$2:B$3839,2,FALSE)</f>
        <v/>
      </c>
      <c r="D109" s="98" t="n">
        <v>3</v>
      </c>
      <c r="E109" s="98" t="inlineStr">
        <is>
          <t>R2077596</t>
        </is>
      </c>
      <c r="F109" s="99" t="n">
        <v>45054</v>
      </c>
      <c r="G109" s="100" t="n"/>
    </row>
    <row r="110" ht="16" customHeight="1">
      <c r="A110" s="98" t="n">
        <v>26823</v>
      </c>
      <c r="B110" s="98" t="inlineStr">
        <is>
          <t>JACK DANIELS BLACK LABEL</t>
        </is>
      </c>
      <c r="C110" s="97">
        <f>VLOOKUP(A110,SizeData!A$2:B$3839,2,FALSE)</f>
        <v/>
      </c>
      <c r="D110" s="98" t="n">
        <v>1</v>
      </c>
      <c r="E110" s="98" t="inlineStr">
        <is>
          <t>R2098252</t>
        </is>
      </c>
      <c r="F110" s="99" t="n">
        <v>45064</v>
      </c>
      <c r="G110" s="100" t="n"/>
    </row>
    <row r="111" ht="16" customHeight="1">
      <c r="A111" s="98" t="n">
        <v>420431</v>
      </c>
      <c r="B111" s="98" t="inlineStr">
        <is>
          <t>JACOB'S CREEK CABERNET SAUVIGNON</t>
        </is>
      </c>
      <c r="C111" s="97">
        <f>VLOOKUP(A111,SizeData!A$2:B$3839,2,FALSE)</f>
        <v/>
      </c>
      <c r="D111" s="98" t="n">
        <v>2</v>
      </c>
      <c r="E111" s="98" t="inlineStr">
        <is>
          <t>R2115030</t>
        </is>
      </c>
      <c r="F111" s="99" t="n">
        <v>45063</v>
      </c>
      <c r="G111" s="100" t="n"/>
    </row>
    <row r="112" ht="16" customHeight="1">
      <c r="A112" s="98" t="n">
        <v>420436</v>
      </c>
      <c r="B112" s="98" t="inlineStr">
        <is>
          <t>JACOB'S CREEK CHARDONNAY</t>
        </is>
      </c>
      <c r="C112" s="97">
        <f>VLOOKUP(A112,SizeData!A$2:B$3839,2,FALSE)</f>
        <v/>
      </c>
      <c r="D112" s="98" t="n">
        <v>12</v>
      </c>
      <c r="E112" s="98" t="inlineStr">
        <is>
          <t>R2106177</t>
        </is>
      </c>
      <c r="F112" s="99" t="n">
        <v>45063</v>
      </c>
      <c r="G112" s="100" t="n"/>
    </row>
    <row r="113" ht="16" customHeight="1">
      <c r="A113" s="98" t="n">
        <v>420407</v>
      </c>
      <c r="B113" s="98" t="inlineStr">
        <is>
          <t>JACOB'S CREEK MOSCATO</t>
        </is>
      </c>
      <c r="C113" s="97">
        <f>VLOOKUP(A113,SizeData!A$2:B$3839,2,FALSE)</f>
        <v/>
      </c>
      <c r="D113" s="98" t="n">
        <v>1</v>
      </c>
      <c r="E113" s="98" t="inlineStr">
        <is>
          <t>R2077596</t>
        </is>
      </c>
      <c r="F113" s="99" t="n">
        <v>45054</v>
      </c>
      <c r="G113" s="100" t="n"/>
    </row>
    <row r="114" ht="16" customHeight="1">
      <c r="A114" s="98" t="n">
        <v>420414</v>
      </c>
      <c r="B114" s="98" t="inlineStr">
        <is>
          <t>JACOB'S CREEK PINOT GRIGIO</t>
        </is>
      </c>
      <c r="C114" s="97">
        <f>VLOOKUP(A114,SizeData!A$2:B$3839,2,FALSE)</f>
        <v/>
      </c>
      <c r="D114" s="98" t="n">
        <v>1</v>
      </c>
      <c r="E114" s="98" t="inlineStr">
        <is>
          <t>R2088667</t>
        </is>
      </c>
      <c r="F114" s="99" t="n">
        <v>45058</v>
      </c>
      <c r="G114" s="100" t="n"/>
    </row>
    <row r="115" ht="16" customHeight="1">
      <c r="A115" s="98" t="n">
        <v>65254</v>
      </c>
      <c r="B115" s="98" t="inlineStr">
        <is>
          <t>JAGERMEISTER</t>
        </is>
      </c>
      <c r="C115" s="97">
        <f>VLOOKUP(A115,SizeData!A$2:B$3839,2,FALSE)</f>
        <v/>
      </c>
      <c r="D115" s="98" t="n">
        <v>1</v>
      </c>
      <c r="E115" s="98" t="inlineStr">
        <is>
          <t>R2077596</t>
        </is>
      </c>
      <c r="F115" s="99" t="n">
        <v>45054</v>
      </c>
      <c r="G115" s="100" t="n"/>
    </row>
    <row r="116" ht="16" customHeight="1">
      <c r="A116" s="98" t="n">
        <v>19061</v>
      </c>
      <c r="B116" s="98" t="inlineStr">
        <is>
          <t>JIM BEAM BOURBON WHISKEY</t>
        </is>
      </c>
      <c r="C116" s="97">
        <f>VLOOKUP(A116,SizeData!A$2:B$3839,2,FALSE)</f>
        <v/>
      </c>
      <c r="D116" s="98" t="n">
        <v>2</v>
      </c>
      <c r="E116" s="98" t="inlineStr">
        <is>
          <t>R2098252</t>
        </is>
      </c>
      <c r="F116" s="99" t="n">
        <v>45064</v>
      </c>
      <c r="G116" s="100" t="n"/>
    </row>
    <row r="117" ht="16" customHeight="1">
      <c r="A117" s="98" t="n">
        <v>5326</v>
      </c>
      <c r="B117" s="98" t="inlineStr">
        <is>
          <t>JOHNNIE WALKER BLACK LABEL</t>
        </is>
      </c>
      <c r="C117" s="97">
        <f>VLOOKUP(A117,SizeData!A$2:B$3839,2,FALSE)</f>
        <v/>
      </c>
      <c r="D117" s="98" t="n">
        <v>1</v>
      </c>
      <c r="E117" s="98" t="inlineStr">
        <is>
          <t>R2101079</t>
        </is>
      </c>
      <c r="F117" s="99" t="n">
        <v>45063</v>
      </c>
      <c r="G117" s="100" t="n"/>
    </row>
    <row r="118" ht="16" customHeight="1">
      <c r="A118" s="98" t="n">
        <v>87401</v>
      </c>
      <c r="B118" s="98" t="inlineStr">
        <is>
          <t>JOSE CUERVO ESPECIAL SILVER</t>
        </is>
      </c>
      <c r="C118" s="97">
        <f>VLOOKUP(A118,SizeData!A$2:B$3839,2,FALSE)</f>
        <v/>
      </c>
      <c r="D118" s="98" t="n">
        <v>1</v>
      </c>
      <c r="E118" s="98" t="inlineStr">
        <is>
          <t>R2088667</t>
        </is>
      </c>
      <c r="F118" s="99" t="n">
        <v>45058</v>
      </c>
      <c r="G118" s="100" t="n"/>
    </row>
    <row r="119" ht="16" customHeight="1">
      <c r="A119" s="98" t="n">
        <v>87408</v>
      </c>
      <c r="B119" s="98" t="inlineStr">
        <is>
          <t>JOSE CUERVO ESPECIAL SILVER</t>
        </is>
      </c>
      <c r="C119" s="97">
        <f>VLOOKUP(A119,SizeData!A$2:B$3839,2,FALSE)</f>
        <v/>
      </c>
      <c r="D119" s="98" t="n">
        <v>2</v>
      </c>
      <c r="E119" s="98" t="inlineStr">
        <is>
          <t>R2096176</t>
        </is>
      </c>
      <c r="F119" s="99" t="n">
        <v>45057</v>
      </c>
      <c r="G119" s="100" t="n"/>
    </row>
    <row r="120" ht="16" customHeight="1">
      <c r="A120" s="98" t="n">
        <v>89196</v>
      </c>
      <c r="B120" s="98" t="inlineStr">
        <is>
          <t>JOSE CUERVO ESPECIAL TEQUILA GOLD</t>
        </is>
      </c>
      <c r="C120" s="97">
        <f>VLOOKUP(A120,SizeData!A$2:B$3839,2,FALSE)</f>
        <v/>
      </c>
      <c r="D120" s="98" t="n">
        <v>3</v>
      </c>
      <c r="E120" s="98" t="inlineStr">
        <is>
          <t>R2077596</t>
        </is>
      </c>
      <c r="F120" s="99" t="n">
        <v>45054</v>
      </c>
      <c r="G120" s="100" t="n"/>
    </row>
    <row r="121" ht="16" customHeight="1">
      <c r="A121" s="98" t="n">
        <v>87832</v>
      </c>
      <c r="B121" s="98" t="inlineStr">
        <is>
          <t>JOSE CUERVO TRADICIONAL CRISTALINO TEQUILA</t>
        </is>
      </c>
      <c r="C121" s="97">
        <f>VLOOKUP(A121,SizeData!A$2:B$3839,2,FALSE)</f>
        <v/>
      </c>
      <c r="D121" s="98" t="n">
        <v>2</v>
      </c>
      <c r="E121" s="98" t="inlineStr">
        <is>
          <t>R2095184</t>
        </is>
      </c>
      <c r="F121" s="99" t="n">
        <v>45059</v>
      </c>
      <c r="G121" s="100" t="n"/>
    </row>
    <row r="122" ht="16" customHeight="1">
      <c r="A122" s="98" t="n">
        <v>89214</v>
      </c>
      <c r="B122" s="98" t="inlineStr">
        <is>
          <t>JOSE CUERVO TRADICIONAL REPOSADO</t>
        </is>
      </c>
      <c r="C122" s="97">
        <f>VLOOKUP(A122,SizeData!A$2:B$3839,2,FALSE)</f>
        <v/>
      </c>
      <c r="D122" s="98" t="n">
        <v>2</v>
      </c>
      <c r="E122" s="98" t="inlineStr">
        <is>
          <t>R2095184</t>
        </is>
      </c>
      <c r="F122" s="99" t="n">
        <v>45059</v>
      </c>
      <c r="G122" s="100" t="n"/>
    </row>
    <row r="123" ht="16" customHeight="1">
      <c r="A123" s="98" t="n">
        <v>87411</v>
      </c>
      <c r="B123" s="98" t="inlineStr">
        <is>
          <t>JOSE CUERVO TRADICIONAL SILVER</t>
        </is>
      </c>
      <c r="C123" s="97">
        <f>VLOOKUP(A123,SizeData!A$2:B$3839,2,FALSE)</f>
        <v/>
      </c>
      <c r="D123" s="98" t="n">
        <v>1</v>
      </c>
      <c r="E123" s="98" t="inlineStr">
        <is>
          <t>R2088667</t>
        </is>
      </c>
      <c r="F123" s="99" t="n">
        <v>45058</v>
      </c>
      <c r="G123" s="100" t="n"/>
    </row>
    <row r="124" ht="16" customHeight="1">
      <c r="A124" s="98" t="n">
        <v>87414</v>
      </c>
      <c r="B124" s="98" t="inlineStr">
        <is>
          <t>JOSE CUERVO TRADICIONAL SILVER</t>
        </is>
      </c>
      <c r="C124" s="97">
        <f>VLOOKUP(A124,SizeData!A$2:B$3839,2,FALSE)</f>
        <v/>
      </c>
      <c r="D124" s="98" t="n">
        <v>1</v>
      </c>
      <c r="E124" s="98" t="inlineStr">
        <is>
          <t>R2095184</t>
        </is>
      </c>
      <c r="F124" s="99" t="n">
        <v>45059</v>
      </c>
      <c r="G124" s="100" t="n"/>
    </row>
    <row r="125" ht="16" customHeight="1">
      <c r="A125" s="98" t="n">
        <v>581495</v>
      </c>
      <c r="B125" s="98" t="inlineStr">
        <is>
          <t>KENDALL-JACKSON VINTNERS RSV RIESLING</t>
        </is>
      </c>
      <c r="C125" s="97">
        <f>VLOOKUP(A125,SizeData!A$2:B$3839,2,FALSE)</f>
        <v/>
      </c>
      <c r="D125" s="98" t="n">
        <v>2</v>
      </c>
      <c r="E125" s="98" t="inlineStr">
        <is>
          <t>R2077596</t>
        </is>
      </c>
      <c r="F125" s="99" t="n">
        <v>45054</v>
      </c>
      <c r="G125" s="100" t="n"/>
    </row>
    <row r="126" ht="16" customHeight="1">
      <c r="A126" s="98" t="n">
        <v>75183</v>
      </c>
      <c r="B126" s="98" t="inlineStr">
        <is>
          <t>KETEL ONE PEACH &amp; ORANGE BLOSSOM</t>
        </is>
      </c>
      <c r="C126" s="97">
        <f>VLOOKUP(A126,SizeData!A$2:B$3839,2,FALSE)</f>
        <v/>
      </c>
      <c r="D126" s="98" t="n">
        <v>1</v>
      </c>
      <c r="E126" s="98" t="inlineStr">
        <is>
          <t>R2109273</t>
        </is>
      </c>
      <c r="F126" s="99" t="n">
        <v>45066</v>
      </c>
      <c r="G126" s="100" t="n"/>
    </row>
    <row r="127" ht="16" customHeight="1">
      <c r="A127" s="98" t="n">
        <v>46503</v>
      </c>
      <c r="B127" s="98" t="inlineStr">
        <is>
          <t>KRAKEN BLACK SPICED RUM 94 PROOF</t>
        </is>
      </c>
      <c r="C127" s="97">
        <f>VLOOKUP(A127,SizeData!A$2:B$3839,2,FALSE)</f>
        <v/>
      </c>
      <c r="D127" s="98" t="n">
        <v>1</v>
      </c>
      <c r="E127" s="98" t="inlineStr">
        <is>
          <t>R2109273</t>
        </is>
      </c>
      <c r="F127" s="99" t="n">
        <v>45066</v>
      </c>
      <c r="G127" s="100" t="n"/>
    </row>
    <row r="128" ht="16" customHeight="1">
      <c r="A128" s="98" t="n">
        <v>480318</v>
      </c>
      <c r="B128" s="98" t="inlineStr">
        <is>
          <t>LIBERTY CREEK CALIFORNIA PINOT NOIR</t>
        </is>
      </c>
      <c r="C128" s="97">
        <f>VLOOKUP(A128,SizeData!A$2:B$3839,2,FALSE)</f>
        <v/>
      </c>
      <c r="D128" s="98" t="n">
        <v>1</v>
      </c>
      <c r="E128" s="98" t="inlineStr">
        <is>
          <t>R2089319</t>
        </is>
      </c>
      <c r="F128" s="99" t="n">
        <v>45055</v>
      </c>
      <c r="G128" s="100" t="n"/>
    </row>
    <row r="129" ht="16" customHeight="1">
      <c r="A129" s="98" t="n">
        <v>480320</v>
      </c>
      <c r="B129" s="98" t="inlineStr">
        <is>
          <t>LIBERTY CREEK CALIFORNIA SWEET RED</t>
        </is>
      </c>
      <c r="C129" s="97">
        <f>VLOOKUP(A129,SizeData!A$2:B$3839,2,FALSE)</f>
        <v/>
      </c>
      <c r="D129" s="98" t="n">
        <v>1</v>
      </c>
      <c r="E129" s="98" t="inlineStr">
        <is>
          <t>R2095184</t>
        </is>
      </c>
      <c r="F129" s="99" t="n">
        <v>45059</v>
      </c>
      <c r="G129" s="100" t="n"/>
    </row>
    <row r="130" ht="16" customHeight="1">
      <c r="A130" s="98" t="n">
        <v>584032</v>
      </c>
      <c r="B130" s="98" t="inlineStr">
        <is>
          <t>LINE 39 PINOT GRIGIO CALIFORNIA</t>
        </is>
      </c>
      <c r="C130" s="97">
        <f>VLOOKUP(A130,SizeData!A$2:B$3839,2,FALSE)</f>
        <v/>
      </c>
      <c r="D130" s="98" t="n">
        <v>1</v>
      </c>
      <c r="E130" s="98" t="inlineStr">
        <is>
          <t>R2088667</t>
        </is>
      </c>
      <c r="F130" s="99" t="n">
        <v>45058</v>
      </c>
      <c r="G130" s="100" t="n"/>
    </row>
    <row r="131" ht="16" customHeight="1">
      <c r="A131" s="98" t="n">
        <v>19476</v>
      </c>
      <c r="B131" s="98" t="inlineStr">
        <is>
          <t>MAKER'S MARK</t>
        </is>
      </c>
      <c r="C131" s="97">
        <f>VLOOKUP(A131,SizeData!A$2:B$3839,2,FALSE)</f>
        <v/>
      </c>
      <c r="D131" s="98" t="n">
        <v>2</v>
      </c>
      <c r="E131" s="98" t="inlineStr">
        <is>
          <t>R2077596</t>
        </is>
      </c>
      <c r="F131" s="99" t="n">
        <v>45054</v>
      </c>
      <c r="G131" s="100" t="n"/>
    </row>
    <row r="132" ht="16" customHeight="1">
      <c r="A132" s="98" t="n">
        <v>65793</v>
      </c>
      <c r="B132" s="98" t="inlineStr">
        <is>
          <t>MARTELL BLUESWIFT</t>
        </is>
      </c>
      <c r="C132" s="97">
        <f>VLOOKUP(A132,SizeData!A$2:B$3839,2,FALSE)</f>
        <v/>
      </c>
      <c r="D132" s="98" t="n">
        <v>1</v>
      </c>
      <c r="E132" s="98" t="inlineStr">
        <is>
          <t>R2100722</t>
        </is>
      </c>
      <c r="F132" s="99" t="n">
        <v>45054</v>
      </c>
      <c r="G132" s="100" t="n"/>
    </row>
    <row r="133" ht="16" customHeight="1">
      <c r="A133" s="98" t="n">
        <v>729155</v>
      </c>
      <c r="B133" s="98" t="inlineStr">
        <is>
          <t>MARTINI &amp; ROSSI ASTI SPUMANTE</t>
        </is>
      </c>
      <c r="C133" s="97">
        <f>VLOOKUP(A133,SizeData!A$2:B$3839,2,FALSE)</f>
        <v/>
      </c>
      <c r="D133" s="98" t="n">
        <v>1</v>
      </c>
      <c r="E133" s="98" t="inlineStr">
        <is>
          <t>R2106288</t>
        </is>
      </c>
      <c r="F133" s="99" t="n">
        <v>45059</v>
      </c>
      <c r="G133" s="100" t="n"/>
    </row>
    <row r="134" ht="16" customHeight="1">
      <c r="A134" s="98" t="n">
        <v>729215</v>
      </c>
      <c r="B134" s="98" t="inlineStr">
        <is>
          <t>MARTINI &amp; ROSSI ROSE SPARKLING</t>
        </is>
      </c>
      <c r="C134" s="97">
        <f>VLOOKUP(A134,SizeData!A$2:B$3839,2,FALSE)</f>
        <v/>
      </c>
      <c r="D134" s="98" t="n">
        <v>1</v>
      </c>
      <c r="E134" s="98" t="inlineStr">
        <is>
          <t>R2106288</t>
        </is>
      </c>
      <c r="F134" s="99" t="n">
        <v>45059</v>
      </c>
      <c r="G134" s="100" t="n"/>
    </row>
    <row r="135" ht="16" customHeight="1">
      <c r="A135" s="98" t="n">
        <v>812799</v>
      </c>
      <c r="B135" s="98" t="inlineStr">
        <is>
          <t>MD 20/20 ORANGE JUBILEE</t>
        </is>
      </c>
      <c r="C135" s="97">
        <f>VLOOKUP(A135,SizeData!A$2:B$3839,2,FALSE)</f>
        <v/>
      </c>
      <c r="D135" s="98" t="n">
        <v>1</v>
      </c>
      <c r="E135" s="98" t="inlineStr">
        <is>
          <t>R2098252</t>
        </is>
      </c>
      <c r="F135" s="99" t="n">
        <v>45064</v>
      </c>
      <c r="G135" s="100" t="n"/>
    </row>
    <row r="136" ht="16" customHeight="1">
      <c r="A136" s="98" t="n">
        <v>812799</v>
      </c>
      <c r="B136" s="98" t="inlineStr">
        <is>
          <t>MD 20/20 ORANGE JUBILEE</t>
        </is>
      </c>
      <c r="C136" s="97">
        <f>VLOOKUP(A136,SizeData!A$2:B$3839,2,FALSE)</f>
        <v/>
      </c>
      <c r="D136" s="98" t="n">
        <v>1</v>
      </c>
      <c r="E136" s="98" t="inlineStr">
        <is>
          <t>R2102319</t>
        </is>
      </c>
      <c r="F136" s="99" t="n">
        <v>45062</v>
      </c>
      <c r="G136" s="100" t="n"/>
    </row>
    <row r="137" ht="16" customHeight="1">
      <c r="A137" s="98" t="n">
        <v>812795</v>
      </c>
      <c r="B137" s="98" t="inlineStr">
        <is>
          <t>MD 20/20 RED GRAPE</t>
        </is>
      </c>
      <c r="C137" s="97">
        <f>VLOOKUP(A137,SizeData!A$2:B$3839,2,FALSE)</f>
        <v/>
      </c>
      <c r="D137" s="98" t="n">
        <v>1</v>
      </c>
      <c r="E137" s="98" t="inlineStr">
        <is>
          <t>R2102319</t>
        </is>
      </c>
      <c r="F137" s="99" t="n">
        <v>45062</v>
      </c>
      <c r="G137" s="100" t="n"/>
    </row>
    <row r="138" ht="16" customHeight="1">
      <c r="A138" s="98" t="n">
        <v>812796</v>
      </c>
      <c r="B138" s="98" t="inlineStr">
        <is>
          <t>MD 20/20 RED GRAPE</t>
        </is>
      </c>
      <c r="C138" s="97">
        <f>VLOOKUP(A138,SizeData!A$2:B$3839,2,FALSE)</f>
        <v/>
      </c>
      <c r="D138" s="98" t="n">
        <v>1</v>
      </c>
      <c r="E138" s="98" t="inlineStr">
        <is>
          <t>R2102319</t>
        </is>
      </c>
      <c r="F138" s="99" t="n">
        <v>45062</v>
      </c>
      <c r="G138" s="100" t="n"/>
    </row>
    <row r="139" ht="16" customHeight="1">
      <c r="A139" s="98" t="n">
        <v>5635</v>
      </c>
      <c r="B139" s="98" t="inlineStr">
        <is>
          <t>MONKEY SHOULDER BLENDED MALT SCOTCH WHISKEY</t>
        </is>
      </c>
      <c r="C139" s="97">
        <f>VLOOKUP(A139,SizeData!A$2:B$3839,2,FALSE)</f>
        <v/>
      </c>
      <c r="D139" s="98" t="n">
        <v>1</v>
      </c>
      <c r="E139" s="98" t="inlineStr">
        <is>
          <t>R2088667</t>
        </is>
      </c>
      <c r="F139" s="99" t="n">
        <v>45058</v>
      </c>
      <c r="G139" s="100" t="n"/>
    </row>
    <row r="140" ht="16" customHeight="1">
      <c r="A140" s="98" t="n">
        <v>62116</v>
      </c>
      <c r="B140" s="98" t="inlineStr">
        <is>
          <t>MONTEBELLO LONG ISLAND ICED TEA</t>
        </is>
      </c>
      <c r="C140" s="97">
        <f>VLOOKUP(A140,SizeData!A$2:B$3839,2,FALSE)</f>
        <v/>
      </c>
      <c r="D140" s="98" t="n">
        <v>1</v>
      </c>
      <c r="E140" s="98" t="inlineStr">
        <is>
          <t>R2098252</t>
        </is>
      </c>
      <c r="F140" s="99" t="n">
        <v>45064</v>
      </c>
      <c r="G140" s="100" t="n"/>
    </row>
    <row r="141" ht="16" customHeight="1">
      <c r="A141" s="98" t="n">
        <v>85437</v>
      </c>
      <c r="B141" s="98" t="inlineStr">
        <is>
          <t>MR. BOSTON BLUE CURACAO</t>
        </is>
      </c>
      <c r="C141" s="97">
        <f>VLOOKUP(A141,SizeData!A$2:B$3839,2,FALSE)</f>
        <v/>
      </c>
      <c r="D141" s="98" t="n">
        <v>2</v>
      </c>
      <c r="E141" s="98" t="inlineStr">
        <is>
          <t>R2101079</t>
        </is>
      </c>
      <c r="F141" s="99" t="n">
        <v>45063</v>
      </c>
      <c r="G141" s="100" t="n"/>
    </row>
    <row r="142" ht="16" customHeight="1">
      <c r="A142" s="98" t="n">
        <v>84367</v>
      </c>
      <c r="B142" s="98" t="inlineStr">
        <is>
          <t>MR. BOSTON SOUR APPLE SCHNAPPS</t>
        </is>
      </c>
      <c r="C142" s="97">
        <f>VLOOKUP(A142,SizeData!A$2:B$3839,2,FALSE)</f>
        <v/>
      </c>
      <c r="D142" s="98" t="n">
        <v>1</v>
      </c>
      <c r="E142" s="98" t="inlineStr">
        <is>
          <t>R2101079</t>
        </is>
      </c>
      <c r="F142" s="99" t="n">
        <v>45063</v>
      </c>
      <c r="G142" s="100" t="n"/>
    </row>
    <row r="143" ht="16" customHeight="1">
      <c r="A143" s="98" t="n">
        <v>40193</v>
      </c>
      <c r="B143" s="98" t="inlineStr">
        <is>
          <t>NEW AMSTERDAM PINEAPPLE FLAVORED VODKA</t>
        </is>
      </c>
      <c r="C143" s="97">
        <f>VLOOKUP(A143,SizeData!A$2:B$3839,2,FALSE)</f>
        <v/>
      </c>
      <c r="D143" s="98" t="n">
        <v>1</v>
      </c>
      <c r="E143" s="98" t="inlineStr">
        <is>
          <t>R2098904</t>
        </is>
      </c>
      <c r="F143" s="99" t="n">
        <v>45056</v>
      </c>
      <c r="G143" s="100" t="n"/>
    </row>
    <row r="144" ht="16" customHeight="1">
      <c r="A144" s="98" t="n">
        <v>36971</v>
      </c>
      <c r="B144" s="98" t="inlineStr">
        <is>
          <t>NEW AMSTERDAM VODKA</t>
        </is>
      </c>
      <c r="C144" s="97">
        <f>VLOOKUP(A144,SizeData!A$2:B$3839,2,FALSE)</f>
        <v/>
      </c>
      <c r="D144" s="98" t="n">
        <v>2</v>
      </c>
      <c r="E144" s="98" t="inlineStr">
        <is>
          <t>R2103182</t>
        </is>
      </c>
      <c r="F144" s="99" t="n">
        <v>45065</v>
      </c>
      <c r="G144" s="100" t="n"/>
    </row>
    <row r="145" ht="16" customHeight="1">
      <c r="A145" s="98" t="n">
        <v>86851</v>
      </c>
      <c r="B145" s="98" t="inlineStr">
        <is>
          <t>OLE SMOKEY BLUE FLAME TENNESSEE MOONSHINE</t>
        </is>
      </c>
      <c r="C145" s="97">
        <f>VLOOKUP(A145,SizeData!A$2:B$3839,2,FALSE)</f>
        <v/>
      </c>
      <c r="D145" s="98" t="n">
        <v>4</v>
      </c>
      <c r="E145" s="98" t="inlineStr">
        <is>
          <t>R2103182</t>
        </is>
      </c>
      <c r="F145" s="99" t="n">
        <v>45065</v>
      </c>
      <c r="G145" s="100" t="n"/>
    </row>
    <row r="146" ht="16" customHeight="1">
      <c r="A146" s="98" t="n">
        <v>88298</v>
      </c>
      <c r="B146" s="98" t="inlineStr">
        <is>
          <t>PATRON SILVER TEQUILA</t>
        </is>
      </c>
      <c r="C146" s="97">
        <f>VLOOKUP(A146,SizeData!A$2:B$3839,2,FALSE)</f>
        <v/>
      </c>
      <c r="D146" s="98" t="n">
        <v>2</v>
      </c>
      <c r="E146" s="98" t="inlineStr">
        <is>
          <t>R2087639</t>
        </is>
      </c>
      <c r="F146" s="99" t="n">
        <v>45052</v>
      </c>
      <c r="G146" s="100" t="n"/>
    </row>
    <row r="147" ht="16" customHeight="1">
      <c r="A147" s="98" t="n">
        <v>88294</v>
      </c>
      <c r="B147" s="98" t="inlineStr">
        <is>
          <t>PATRON SILVER TEQUILA</t>
        </is>
      </c>
      <c r="C147" s="97">
        <f>VLOOKUP(A147,SizeData!A$2:B$3839,2,FALSE)</f>
        <v/>
      </c>
      <c r="D147" s="98" t="n">
        <v>3</v>
      </c>
      <c r="E147" s="98" t="inlineStr">
        <is>
          <t>R2087639</t>
        </is>
      </c>
      <c r="F147" s="99" t="n">
        <v>45052</v>
      </c>
      <c r="G147" s="100" t="n"/>
    </row>
    <row r="148" ht="16" customHeight="1">
      <c r="A148" s="98" t="n">
        <v>88296</v>
      </c>
      <c r="B148" s="98" t="inlineStr">
        <is>
          <t>PATRON SILVER TEQUILA</t>
        </is>
      </c>
      <c r="C148" s="97">
        <f>VLOOKUP(A148,SizeData!A$2:B$3839,2,FALSE)</f>
        <v/>
      </c>
      <c r="D148" s="98" t="n">
        <v>1</v>
      </c>
      <c r="E148" s="98" t="inlineStr">
        <is>
          <t>R2096176</t>
        </is>
      </c>
      <c r="F148" s="99" t="n">
        <v>45057</v>
      </c>
      <c r="G148" s="100" t="n"/>
    </row>
    <row r="149" ht="16" customHeight="1">
      <c r="A149" s="98" t="n">
        <v>88296</v>
      </c>
      <c r="B149" s="98" t="inlineStr">
        <is>
          <t>PATRON SILVER TEQUILA</t>
        </is>
      </c>
      <c r="C149" s="97">
        <f>VLOOKUP(A149,SizeData!A$2:B$3839,2,FALSE)</f>
        <v/>
      </c>
      <c r="D149" s="98" t="n">
        <v>3</v>
      </c>
      <c r="E149" s="98" t="inlineStr">
        <is>
          <t>R2098904</t>
        </is>
      </c>
      <c r="F149" s="99" t="n">
        <v>45056</v>
      </c>
      <c r="G149" s="100" t="n"/>
    </row>
    <row r="150" ht="16" customHeight="1">
      <c r="A150" s="98" t="n">
        <v>88298</v>
      </c>
      <c r="B150" s="98" t="inlineStr">
        <is>
          <t>PATRON SILVER TEQUILA</t>
        </is>
      </c>
      <c r="C150" s="97">
        <f>VLOOKUP(A150,SizeData!A$2:B$3839,2,FALSE)</f>
        <v/>
      </c>
      <c r="D150" s="98" t="n">
        <v>2</v>
      </c>
      <c r="E150" s="98" t="inlineStr">
        <is>
          <t>R2102319</t>
        </is>
      </c>
      <c r="F150" s="99" t="n">
        <v>45062</v>
      </c>
      <c r="G150" s="100" t="n"/>
    </row>
    <row r="151" ht="16" customHeight="1">
      <c r="A151" s="98" t="n">
        <v>88296</v>
      </c>
      <c r="B151" s="98" t="inlineStr">
        <is>
          <t>PATRON SILVER TEQUILA</t>
        </is>
      </c>
      <c r="C151" s="97">
        <f>VLOOKUP(A151,SizeData!A$2:B$3839,2,FALSE)</f>
        <v/>
      </c>
      <c r="D151" s="98" t="n">
        <v>5</v>
      </c>
      <c r="E151" s="98" t="inlineStr">
        <is>
          <t>R2109273</t>
        </is>
      </c>
      <c r="F151" s="99" t="n">
        <v>45066</v>
      </c>
      <c r="G151" s="100" t="n"/>
    </row>
    <row r="152" ht="16" customHeight="1">
      <c r="A152" s="98" t="n">
        <v>88294</v>
      </c>
      <c r="B152" s="98" t="inlineStr">
        <is>
          <t>PATRON SILVER TEQUILA</t>
        </is>
      </c>
      <c r="C152" s="97">
        <f>VLOOKUP(A152,SizeData!A$2:B$3839,2,FALSE)</f>
        <v/>
      </c>
      <c r="D152" s="98" t="n">
        <v>2</v>
      </c>
      <c r="E152" s="98" t="inlineStr">
        <is>
          <t>R2109273</t>
        </is>
      </c>
      <c r="F152" s="99" t="n">
        <v>45066</v>
      </c>
      <c r="G152" s="100" t="n"/>
    </row>
    <row r="153" ht="16" customHeight="1">
      <c r="A153" s="98" t="n">
        <v>88294</v>
      </c>
      <c r="B153" s="98" t="inlineStr">
        <is>
          <t>PATRON SILVER TEQUILA</t>
        </is>
      </c>
      <c r="C153" s="97">
        <f>VLOOKUP(A153,SizeData!A$2:B$3839,2,FALSE)</f>
        <v/>
      </c>
      <c r="D153" s="98" t="n">
        <v>3</v>
      </c>
      <c r="E153" s="98" t="inlineStr">
        <is>
          <t>R2110028</t>
        </is>
      </c>
      <c r="F153" s="99" t="n">
        <v>45059</v>
      </c>
      <c r="G153" s="100" t="n"/>
    </row>
    <row r="154" ht="16" customHeight="1">
      <c r="A154" s="98" t="n">
        <v>53213</v>
      </c>
      <c r="B154" s="98" t="inlineStr">
        <is>
          <t>PAUL MASSON GRANDE AMBER BRANDY</t>
        </is>
      </c>
      <c r="C154" s="97">
        <f>VLOOKUP(A154,SizeData!A$2:B$3839,2,FALSE)</f>
        <v/>
      </c>
      <c r="D154" s="98" t="n">
        <v>4</v>
      </c>
      <c r="E154" s="98" t="inlineStr">
        <is>
          <t>R2096176</t>
        </is>
      </c>
      <c r="F154" s="99" t="n">
        <v>45057</v>
      </c>
      <c r="G154" s="100" t="n"/>
    </row>
    <row r="155" ht="16" customHeight="1">
      <c r="A155" s="98" t="n">
        <v>53217</v>
      </c>
      <c r="B155" s="98" t="inlineStr">
        <is>
          <t>PAUL MASSON GRANDE AMBER BRANDY</t>
        </is>
      </c>
      <c r="C155" s="97">
        <f>VLOOKUP(A155,SizeData!A$2:B$3839,2,FALSE)</f>
        <v/>
      </c>
      <c r="D155" s="98" t="n">
        <v>1</v>
      </c>
      <c r="E155" s="98" t="inlineStr">
        <is>
          <t>R2098904</t>
        </is>
      </c>
      <c r="F155" s="99" t="n">
        <v>45056</v>
      </c>
      <c r="G155" s="100" t="n"/>
    </row>
    <row r="156" ht="16" customHeight="1">
      <c r="A156" s="98" t="n">
        <v>53213</v>
      </c>
      <c r="B156" s="98" t="inlineStr">
        <is>
          <t>PAUL MASSON GRANDE AMBER BRANDY</t>
        </is>
      </c>
      <c r="C156" s="97">
        <f>VLOOKUP(A156,SizeData!A$2:B$3839,2,FALSE)</f>
        <v/>
      </c>
      <c r="D156" s="98" t="n">
        <v>2</v>
      </c>
      <c r="E156" s="98" t="inlineStr">
        <is>
          <t>R2100722</t>
        </is>
      </c>
      <c r="F156" s="99" t="n">
        <v>45054</v>
      </c>
      <c r="G156" s="100" t="n"/>
    </row>
    <row r="157" ht="16" customHeight="1">
      <c r="A157" s="98" t="n">
        <v>53204</v>
      </c>
      <c r="B157" s="98" t="inlineStr">
        <is>
          <t>PAUL MASSON GRANDE AMBER VSOP BRANDY</t>
        </is>
      </c>
      <c r="C157" s="97">
        <f>VLOOKUP(A157,SizeData!A$2:B$3839,2,FALSE)</f>
        <v/>
      </c>
      <c r="D157" s="98" t="n">
        <v>1</v>
      </c>
      <c r="E157" s="98" t="inlineStr">
        <is>
          <t>R2096176</t>
        </is>
      </c>
      <c r="F157" s="99" t="n">
        <v>45057</v>
      </c>
      <c r="G157" s="100" t="n"/>
    </row>
    <row r="158" ht="16" customHeight="1">
      <c r="A158" s="98" t="n">
        <v>53203</v>
      </c>
      <c r="B158" s="98" t="inlineStr">
        <is>
          <t>PAUL MASSON GRANDE AMBER VSOP BRANDY</t>
        </is>
      </c>
      <c r="C158" s="97">
        <f>VLOOKUP(A158,SizeData!A$2:B$3839,2,FALSE)</f>
        <v/>
      </c>
      <c r="D158" s="98" t="n">
        <v>1</v>
      </c>
      <c r="E158" s="98" t="inlineStr">
        <is>
          <t>R2098904</t>
        </is>
      </c>
      <c r="F158" s="99" t="n">
        <v>45056</v>
      </c>
      <c r="G158" s="100" t="n"/>
    </row>
    <row r="159" ht="16" customHeight="1">
      <c r="A159" s="98" t="n">
        <v>53221</v>
      </c>
      <c r="B159" s="98" t="inlineStr">
        <is>
          <t>PAUL MASSON VS GRANDE AMBER BRANDY 12 - 10 PACKS</t>
        </is>
      </c>
      <c r="C159" s="97">
        <f>VLOOKUP(A159,SizeData!A$2:B$3839,2,FALSE)</f>
        <v/>
      </c>
      <c r="D159" s="98" t="n">
        <v>3</v>
      </c>
      <c r="E159" s="98" t="inlineStr">
        <is>
          <t>R2098904</t>
        </is>
      </c>
      <c r="F159" s="99" t="n">
        <v>45056</v>
      </c>
      <c r="G159" s="100" t="n"/>
    </row>
    <row r="160" ht="16" customHeight="1">
      <c r="A160" s="98" t="n">
        <v>34566</v>
      </c>
      <c r="B160" s="98" t="inlineStr">
        <is>
          <t>PEARL VODKA (PET)</t>
        </is>
      </c>
      <c r="C160" s="97">
        <f>VLOOKUP(A160,SizeData!A$2:B$3839,2,FALSE)</f>
        <v/>
      </c>
      <c r="D160" s="98" t="n">
        <v>20</v>
      </c>
      <c r="E160" s="98" t="inlineStr">
        <is>
          <t>R2097409</t>
        </is>
      </c>
      <c r="F160" s="99" t="n">
        <v>45054</v>
      </c>
      <c r="G160" s="100" t="n"/>
    </row>
    <row r="161" ht="16" customHeight="1">
      <c r="A161" s="98" t="n">
        <v>891004</v>
      </c>
      <c r="B161" s="98" t="inlineStr">
        <is>
          <t>PETER VELLA PINK MOSCATO SANGRIA</t>
        </is>
      </c>
      <c r="C161" s="97">
        <f>VLOOKUP(A161,SizeData!A$2:B$3839,2,FALSE)</f>
        <v/>
      </c>
      <c r="D161" s="98" t="n">
        <v>1</v>
      </c>
      <c r="E161" s="98" t="inlineStr">
        <is>
          <t>R2101079</t>
        </is>
      </c>
      <c r="F161" s="99" t="n">
        <v>45063</v>
      </c>
      <c r="G161" s="100" t="n"/>
    </row>
    <row r="162" ht="16" customHeight="1">
      <c r="A162" s="98" t="n">
        <v>814577</v>
      </c>
      <c r="B162" s="98" t="inlineStr">
        <is>
          <t>PETER VELLA SWEET RED</t>
        </is>
      </c>
      <c r="C162" s="97">
        <f>VLOOKUP(A162,SizeData!A$2:B$3839,2,FALSE)</f>
        <v/>
      </c>
      <c r="D162" s="98" t="n">
        <v>2</v>
      </c>
      <c r="E162" s="98" t="inlineStr">
        <is>
          <t>R2101079</t>
        </is>
      </c>
      <c r="F162" s="99" t="n">
        <v>45063</v>
      </c>
      <c r="G162" s="100" t="n"/>
    </row>
    <row r="163" ht="16" customHeight="1">
      <c r="A163" s="98" t="n">
        <v>34579</v>
      </c>
      <c r="B163" s="98" t="inlineStr">
        <is>
          <t>PINNACLE VODKA</t>
        </is>
      </c>
      <c r="C163" s="97">
        <f>VLOOKUP(A163,SizeData!A$2:B$3839,2,FALSE)</f>
        <v/>
      </c>
      <c r="D163" s="98" t="n">
        <v>1</v>
      </c>
      <c r="E163" s="98" t="inlineStr">
        <is>
          <t>R2077596</t>
        </is>
      </c>
      <c r="F163" s="99" t="n">
        <v>45054</v>
      </c>
      <c r="G163" s="100" t="n"/>
    </row>
    <row r="164" ht="16" customHeight="1">
      <c r="A164" s="98" t="n">
        <v>42396</v>
      </c>
      <c r="B164" s="98" t="inlineStr">
        <is>
          <t>PLANTATION 3 STAR JAMAICA/BARBADOS/TRNDD WHITE RUM</t>
        </is>
      </c>
      <c r="C164" s="97">
        <f>VLOOKUP(A164,SizeData!A$2:B$3839,2,FALSE)</f>
        <v/>
      </c>
      <c r="D164" s="98" t="n">
        <v>1</v>
      </c>
      <c r="E164" s="98" t="inlineStr">
        <is>
          <t>R2110028</t>
        </is>
      </c>
      <c r="F164" s="99" t="n">
        <v>45059</v>
      </c>
      <c r="G164" s="100" t="n"/>
    </row>
    <row r="165" ht="16" customHeight="1">
      <c r="A165" s="98" t="n">
        <v>24178</v>
      </c>
      <c r="B165" s="98" t="inlineStr">
        <is>
          <t>QUALITY HOUSE BLENDED WHISKEY</t>
        </is>
      </c>
      <c r="C165" s="97">
        <f>VLOOKUP(A165,SizeData!A$2:B$3839,2,FALSE)</f>
        <v/>
      </c>
      <c r="D165" s="98" t="n">
        <v>5</v>
      </c>
      <c r="E165" s="98" t="inlineStr">
        <is>
          <t>R2087639</t>
        </is>
      </c>
      <c r="F165" s="99" t="n">
        <v>45052</v>
      </c>
      <c r="G165" s="100" t="n"/>
    </row>
    <row r="166" ht="16" customHeight="1">
      <c r="A166" s="98" t="n">
        <v>24173</v>
      </c>
      <c r="B166" s="98" t="inlineStr">
        <is>
          <t>QUALITY HOUSE BLENDED WHISKEY</t>
        </is>
      </c>
      <c r="C166" s="97">
        <f>VLOOKUP(A166,SizeData!A$2:B$3839,2,FALSE)</f>
        <v/>
      </c>
      <c r="D166" s="98" t="n">
        <v>1</v>
      </c>
      <c r="E166" s="98" t="inlineStr">
        <is>
          <t>R2088667</t>
        </is>
      </c>
      <c r="F166" s="99" t="n">
        <v>45058</v>
      </c>
      <c r="G166" s="100" t="n"/>
    </row>
    <row r="167" ht="16" customHeight="1">
      <c r="A167" s="98" t="n">
        <v>24174</v>
      </c>
      <c r="B167" s="98" t="inlineStr">
        <is>
          <t>QUALITY HOUSE BLENDED WHISKEY</t>
        </is>
      </c>
      <c r="C167" s="97">
        <f>VLOOKUP(A167,SizeData!A$2:B$3839,2,FALSE)</f>
        <v/>
      </c>
      <c r="D167" s="98" t="n">
        <v>1</v>
      </c>
      <c r="E167" s="98" t="inlineStr">
        <is>
          <t>R2098904</t>
        </is>
      </c>
      <c r="F167" s="99" t="n">
        <v>45056</v>
      </c>
      <c r="G167" s="100" t="n"/>
    </row>
    <row r="168" ht="16" customHeight="1">
      <c r="A168" s="98" t="n">
        <v>24177</v>
      </c>
      <c r="B168" s="98" t="inlineStr">
        <is>
          <t>QUALITY HOUSE BLENDED WHISKEY</t>
        </is>
      </c>
      <c r="C168" s="97">
        <f>VLOOKUP(A168,SizeData!A$2:B$3839,2,FALSE)</f>
        <v/>
      </c>
      <c r="D168" s="98" t="n">
        <v>1</v>
      </c>
      <c r="E168" s="98" t="inlineStr">
        <is>
          <t>R2101079</t>
        </is>
      </c>
      <c r="F168" s="99" t="n">
        <v>45063</v>
      </c>
      <c r="G168" s="100" t="n"/>
    </row>
    <row r="169" ht="16" customHeight="1">
      <c r="A169" s="98" t="n">
        <v>892843</v>
      </c>
      <c r="B169" s="98" t="inlineStr">
        <is>
          <t>RANCHO LA GLORIA BLUEBERRY MARGARITA</t>
        </is>
      </c>
      <c r="C169" s="97">
        <f>VLOOKUP(A169,SizeData!A$2:B$3839,2,FALSE)</f>
        <v/>
      </c>
      <c r="D169" s="98" t="n">
        <v>1</v>
      </c>
      <c r="E169" s="98" t="inlineStr">
        <is>
          <t>R2110019</t>
        </is>
      </c>
      <c r="F169" s="99" t="n">
        <v>45057</v>
      </c>
      <c r="G169" s="100" t="n"/>
    </row>
    <row r="170" ht="16" customHeight="1">
      <c r="A170" s="98" t="n">
        <v>892850</v>
      </c>
      <c r="B170" s="98" t="inlineStr">
        <is>
          <t>RANCHO LA GLORIA MARGARITA WINE COCKTAIL 12-750ML</t>
        </is>
      </c>
      <c r="C170" s="97">
        <f>VLOOKUP(A170,SizeData!A$2:B$3839,2,FALSE)</f>
        <v/>
      </c>
      <c r="D170" s="98" t="n">
        <v>1</v>
      </c>
      <c r="E170" s="98" t="inlineStr">
        <is>
          <t>R2110019</t>
        </is>
      </c>
      <c r="F170" s="99" t="n">
        <v>45057</v>
      </c>
      <c r="G170" s="100" t="n"/>
    </row>
    <row r="171" ht="16" customHeight="1">
      <c r="A171" s="98" t="n">
        <v>892854</v>
      </c>
      <c r="B171" s="98" t="inlineStr">
        <is>
          <t>RANCHO LA GLORIA PEACH MARGARITA WINE COCKTAIL</t>
        </is>
      </c>
      <c r="C171" s="97">
        <f>VLOOKUP(A171,SizeData!A$2:B$3839,2,FALSE)</f>
        <v/>
      </c>
      <c r="D171" s="98" t="n">
        <v>1</v>
      </c>
      <c r="E171" s="98" t="inlineStr">
        <is>
          <t>R2110019</t>
        </is>
      </c>
      <c r="F171" s="99" t="n">
        <v>45057</v>
      </c>
      <c r="G171" s="100" t="n"/>
    </row>
    <row r="172" ht="16" customHeight="1">
      <c r="A172" s="98" t="n">
        <v>892852</v>
      </c>
      <c r="B172" s="98" t="inlineStr">
        <is>
          <t>RANCHO LA GLORIA STRAWBERRY MARG</t>
        </is>
      </c>
      <c r="C172" s="97">
        <f>VLOOKUP(A172,SizeData!A$2:B$3839,2,FALSE)</f>
        <v/>
      </c>
      <c r="D172" s="98" t="n">
        <v>1</v>
      </c>
      <c r="E172" s="98" t="inlineStr">
        <is>
          <t>R2110019</t>
        </is>
      </c>
      <c r="F172" s="99" t="n">
        <v>45057</v>
      </c>
      <c r="G172" s="100" t="n"/>
    </row>
    <row r="173" ht="16" customHeight="1">
      <c r="A173" s="98" t="n">
        <v>66296</v>
      </c>
      <c r="B173" s="98" t="inlineStr">
        <is>
          <t>REMY MARTIN "V" GRAPE BRANDY</t>
        </is>
      </c>
      <c r="C173" s="97">
        <f>VLOOKUP(A173,SizeData!A$2:B$3839,2,FALSE)</f>
        <v/>
      </c>
      <c r="D173" s="98" t="n">
        <v>3</v>
      </c>
      <c r="E173" s="98" t="inlineStr">
        <is>
          <t>R2102319</t>
        </is>
      </c>
      <c r="F173" s="99" t="n">
        <v>45062</v>
      </c>
      <c r="G173" s="100" t="n"/>
    </row>
    <row r="174" ht="16" customHeight="1">
      <c r="A174" s="98" t="n">
        <v>49083</v>
      </c>
      <c r="B174" s="98" t="inlineStr">
        <is>
          <t>REMY MARTIN 1738 ACCORD ROYAL COGNAC</t>
        </is>
      </c>
      <c r="C174" s="97">
        <f>VLOOKUP(A174,SizeData!A$2:B$3839,2,FALSE)</f>
        <v/>
      </c>
      <c r="D174" s="98" t="n">
        <v>1</v>
      </c>
      <c r="E174" s="98" t="inlineStr">
        <is>
          <t>R2087639</t>
        </is>
      </c>
      <c r="F174" s="99" t="n">
        <v>45052</v>
      </c>
      <c r="G174" s="100" t="n"/>
    </row>
    <row r="175" ht="16" customHeight="1">
      <c r="A175" s="98" t="n">
        <v>97722</v>
      </c>
      <c r="B175" s="98" t="inlineStr">
        <is>
          <t>RICHARDS WILD ROSE RED</t>
        </is>
      </c>
      <c r="C175" s="97">
        <f>VLOOKUP(A175,SizeData!A$2:B$3839,2,FALSE)</f>
        <v/>
      </c>
      <c r="D175" s="98" t="n">
        <v>1</v>
      </c>
      <c r="E175" s="98" t="inlineStr">
        <is>
          <t>R2087639</t>
        </is>
      </c>
      <c r="F175" s="99" t="n">
        <v>45052</v>
      </c>
      <c r="G175" s="100" t="n"/>
    </row>
    <row r="176" ht="16" customHeight="1">
      <c r="A176" s="98" t="n">
        <v>97722</v>
      </c>
      <c r="B176" s="98" t="inlineStr">
        <is>
          <t>RICHARDS WILD ROSE RED</t>
        </is>
      </c>
      <c r="C176" s="97">
        <f>VLOOKUP(A176,SizeData!A$2:B$3839,2,FALSE)</f>
        <v/>
      </c>
      <c r="D176" s="98" t="n">
        <v>1</v>
      </c>
      <c r="E176" s="98" t="inlineStr">
        <is>
          <t>R2096176</t>
        </is>
      </c>
      <c r="F176" s="99" t="n">
        <v>45057</v>
      </c>
      <c r="G176" s="100" t="n"/>
    </row>
    <row r="177" ht="16" customHeight="1">
      <c r="A177" s="98" t="n">
        <v>378815</v>
      </c>
      <c r="B177" s="98" t="inlineStr">
        <is>
          <t>RIUNITE D' ORO MOSCATO</t>
        </is>
      </c>
      <c r="C177" s="97">
        <f>VLOOKUP(A177,SizeData!A$2:B$3839,2,FALSE)</f>
        <v/>
      </c>
      <c r="D177" s="98" t="n">
        <v>1</v>
      </c>
      <c r="E177" s="98" t="inlineStr">
        <is>
          <t>R2110028</t>
        </is>
      </c>
      <c r="F177" s="99" t="n">
        <v>45059</v>
      </c>
      <c r="G177" s="100" t="n"/>
    </row>
    <row r="178" ht="16" customHeight="1">
      <c r="A178" s="98" t="n">
        <v>378920</v>
      </c>
      <c r="B178" s="98" t="inlineStr">
        <is>
          <t>RIUNITE LAMBRUSCO</t>
        </is>
      </c>
      <c r="C178" s="97">
        <f>VLOOKUP(A178,SizeData!A$2:B$3839,2,FALSE)</f>
        <v/>
      </c>
      <c r="D178" s="98" t="n">
        <v>2</v>
      </c>
      <c r="E178" s="98" t="inlineStr">
        <is>
          <t>R2110028</t>
        </is>
      </c>
      <c r="F178" s="99" t="n">
        <v>45059</v>
      </c>
      <c r="G178" s="100" t="n"/>
    </row>
    <row r="179" ht="16" customHeight="1">
      <c r="A179" s="98" t="n">
        <v>611940</v>
      </c>
      <c r="B179" s="98" t="inlineStr">
        <is>
          <t>SALT OF THE EARTH FLORE DE MOSCATO</t>
        </is>
      </c>
      <c r="C179" s="97">
        <f>VLOOKUP(A179,SizeData!A$2:B$3839,2,FALSE)</f>
        <v/>
      </c>
      <c r="D179" s="98" t="n">
        <v>10</v>
      </c>
      <c r="E179" s="98" t="inlineStr">
        <is>
          <t>R2108702</t>
        </is>
      </c>
      <c r="F179" s="99" t="n">
        <v>45063</v>
      </c>
      <c r="G179" s="100" t="n"/>
    </row>
    <row r="180" ht="16" customHeight="1">
      <c r="A180" s="98" t="n">
        <v>25606</v>
      </c>
      <c r="B180" s="98" t="inlineStr">
        <is>
          <t>SEAGRAM'S 7 CROWN BLENDED WHISKEY</t>
        </is>
      </c>
      <c r="C180" s="97">
        <f>VLOOKUP(A180,SizeData!A$2:B$3839,2,FALSE)</f>
        <v/>
      </c>
      <c r="D180" s="98" t="n">
        <v>1</v>
      </c>
      <c r="E180" s="98" t="inlineStr">
        <is>
          <t>R2098252</t>
        </is>
      </c>
      <c r="F180" s="99" t="n">
        <v>45064</v>
      </c>
      <c r="G180" s="100" t="n"/>
    </row>
    <row r="181" ht="16" customHeight="1">
      <c r="A181" s="98" t="n">
        <v>25604</v>
      </c>
      <c r="B181" s="98" t="inlineStr">
        <is>
          <t>SEAGRAM'S 7 CROWN BLENDED WHISKEY (PET)</t>
        </is>
      </c>
      <c r="C181" s="97">
        <f>VLOOKUP(A181,SizeData!A$2:B$3839,2,FALSE)</f>
        <v/>
      </c>
      <c r="D181" s="98" t="n">
        <v>1</v>
      </c>
      <c r="E181" s="98" t="inlineStr">
        <is>
          <t>R2084653</t>
        </is>
      </c>
      <c r="F181" s="99" t="n">
        <v>45057</v>
      </c>
      <c r="G181" s="100" t="n"/>
    </row>
    <row r="182" ht="16" customHeight="1">
      <c r="A182" s="98" t="n">
        <v>12308</v>
      </c>
      <c r="B182" s="98" t="inlineStr">
        <is>
          <t>SEAGRAM'S CANADIAN HUNTER</t>
        </is>
      </c>
      <c r="C182" s="97">
        <f>VLOOKUP(A182,SizeData!A$2:B$3839,2,FALSE)</f>
        <v/>
      </c>
      <c r="D182" s="98" t="n">
        <v>1</v>
      </c>
      <c r="E182" s="98" t="inlineStr">
        <is>
          <t>R2098252</t>
        </is>
      </c>
      <c r="F182" s="99" t="n">
        <v>45064</v>
      </c>
      <c r="G182" s="100" t="n"/>
    </row>
    <row r="183" ht="16" customHeight="1">
      <c r="A183" s="98" t="n">
        <v>32236</v>
      </c>
      <c r="B183" s="98" t="inlineStr">
        <is>
          <t>SEAGRAM'S EXTRA DRY GIN</t>
        </is>
      </c>
      <c r="C183" s="97">
        <f>VLOOKUP(A183,SizeData!A$2:B$3839,2,FALSE)</f>
        <v/>
      </c>
      <c r="D183" s="98" t="n">
        <v>1</v>
      </c>
      <c r="E183" s="98" t="inlineStr">
        <is>
          <t>R2089319</t>
        </is>
      </c>
      <c r="F183" s="99" t="n">
        <v>45055</v>
      </c>
      <c r="G183" s="100" t="n"/>
    </row>
    <row r="184" ht="16" customHeight="1">
      <c r="A184" s="98" t="n">
        <v>32234</v>
      </c>
      <c r="B184" s="98" t="inlineStr">
        <is>
          <t>SEAGRAM'S EXTRA DRY GIN</t>
        </is>
      </c>
      <c r="C184" s="97">
        <f>VLOOKUP(A184,SizeData!A$2:B$3839,2,FALSE)</f>
        <v/>
      </c>
      <c r="D184" s="98" t="n">
        <v>2</v>
      </c>
      <c r="E184" s="98" t="inlineStr">
        <is>
          <t>R2095184</t>
        </is>
      </c>
      <c r="F184" s="99" t="n">
        <v>45059</v>
      </c>
      <c r="G184" s="100" t="n"/>
    </row>
    <row r="185" ht="16" customHeight="1">
      <c r="A185" s="98" t="n">
        <v>32236</v>
      </c>
      <c r="B185" s="98" t="inlineStr">
        <is>
          <t>SEAGRAM'S EXTRA DRY GIN</t>
        </is>
      </c>
      <c r="C185" s="97">
        <f>VLOOKUP(A185,SizeData!A$2:B$3839,2,FALSE)</f>
        <v/>
      </c>
      <c r="D185" s="98" t="n">
        <v>2</v>
      </c>
      <c r="E185" s="98" t="inlineStr">
        <is>
          <t>R2095184</t>
        </is>
      </c>
      <c r="F185" s="99" t="n">
        <v>45059</v>
      </c>
      <c r="G185" s="100" t="n"/>
    </row>
    <row r="186" ht="16" customHeight="1">
      <c r="A186" s="98" t="n">
        <v>32238</v>
      </c>
      <c r="B186" s="98" t="inlineStr">
        <is>
          <t>SEAGRAM'S EXTRA DRY GIN</t>
        </is>
      </c>
      <c r="C186" s="97">
        <f>VLOOKUP(A186,SizeData!A$2:B$3839,2,FALSE)</f>
        <v/>
      </c>
      <c r="D186" s="98" t="n">
        <v>2</v>
      </c>
      <c r="E186" s="98" t="inlineStr">
        <is>
          <t>R2096176</t>
        </is>
      </c>
      <c r="F186" s="99" t="n">
        <v>45057</v>
      </c>
      <c r="G186" s="100" t="n"/>
    </row>
    <row r="187" ht="16" customHeight="1">
      <c r="A187" s="98" t="n">
        <v>32236</v>
      </c>
      <c r="B187" s="98" t="inlineStr">
        <is>
          <t>SEAGRAM'S EXTRA DRY GIN</t>
        </is>
      </c>
      <c r="C187" s="97">
        <f>VLOOKUP(A187,SizeData!A$2:B$3839,2,FALSE)</f>
        <v/>
      </c>
      <c r="D187" s="98" t="n">
        <v>1</v>
      </c>
      <c r="E187" s="98" t="inlineStr">
        <is>
          <t>R2098252</t>
        </is>
      </c>
      <c r="F187" s="99" t="n">
        <v>45064</v>
      </c>
      <c r="G187" s="100" t="n"/>
    </row>
    <row r="188" ht="16" customHeight="1">
      <c r="A188" s="98" t="n">
        <v>32236</v>
      </c>
      <c r="B188" s="98" t="inlineStr">
        <is>
          <t>SEAGRAM'S EXTRA DRY GIN</t>
        </is>
      </c>
      <c r="C188" s="97">
        <f>VLOOKUP(A188,SizeData!A$2:B$3839,2,FALSE)</f>
        <v/>
      </c>
      <c r="D188" s="98" t="n">
        <v>1</v>
      </c>
      <c r="E188" s="98" t="inlineStr">
        <is>
          <t>R2098904</t>
        </is>
      </c>
      <c r="F188" s="99" t="n">
        <v>45056</v>
      </c>
      <c r="G188" s="100" t="n"/>
    </row>
    <row r="189" ht="16" customHeight="1">
      <c r="A189" s="98" t="n">
        <v>32241</v>
      </c>
      <c r="B189" s="98" t="inlineStr">
        <is>
          <t>SEAGRAM'S EXTRA DRY GIN (PET)</t>
        </is>
      </c>
      <c r="C189" s="97">
        <f>VLOOKUP(A189,SizeData!A$2:B$3839,2,FALSE)</f>
        <v/>
      </c>
      <c r="D189" s="98" t="n">
        <v>1</v>
      </c>
      <c r="E189" s="98" t="inlineStr">
        <is>
          <t>R2089319</t>
        </is>
      </c>
      <c r="F189" s="99" t="n">
        <v>45055</v>
      </c>
      <c r="G189" s="100" t="n"/>
    </row>
    <row r="190" ht="16" customHeight="1">
      <c r="A190" s="98" t="n">
        <v>33256</v>
      </c>
      <c r="B190" s="98" t="inlineStr">
        <is>
          <t>SEAGRAM'S LIME TWISTED GIN</t>
        </is>
      </c>
      <c r="C190" s="97">
        <f>VLOOKUP(A190,SizeData!A$2:B$3839,2,FALSE)</f>
        <v/>
      </c>
      <c r="D190" s="98" t="n">
        <v>1</v>
      </c>
      <c r="E190" s="98" t="inlineStr">
        <is>
          <t>R2098252</t>
        </is>
      </c>
      <c r="F190" s="99" t="n">
        <v>45064</v>
      </c>
      <c r="G190" s="100" t="n"/>
    </row>
    <row r="191" ht="16" customHeight="1">
      <c r="A191" s="98" t="n">
        <v>34690</v>
      </c>
      <c r="B191" s="98" t="inlineStr">
        <is>
          <t>SOBIESKI POLISH VODKA</t>
        </is>
      </c>
      <c r="C191" s="97">
        <f>VLOOKUP(A191,SizeData!A$2:B$3839,2,FALSE)</f>
        <v/>
      </c>
      <c r="D191" s="98" t="n">
        <v>2</v>
      </c>
      <c r="E191" s="98" t="inlineStr">
        <is>
          <t>R2110028</t>
        </is>
      </c>
      <c r="F191" s="99" t="n">
        <v>45059</v>
      </c>
      <c r="G191" s="100" t="n"/>
    </row>
    <row r="192" ht="16" customHeight="1">
      <c r="A192" s="98" t="n">
        <v>381956</v>
      </c>
      <c r="B192" s="98" t="inlineStr">
        <is>
          <t>SONOROSO ROSSO DOLCE</t>
        </is>
      </c>
      <c r="C192" s="97">
        <f>VLOOKUP(A192,SizeData!A$2:B$3839,2,FALSE)</f>
        <v/>
      </c>
      <c r="D192" s="98" t="n">
        <v>1</v>
      </c>
      <c r="E192" s="98" t="inlineStr">
        <is>
          <t>R2096176</t>
        </is>
      </c>
      <c r="F192" s="99" t="n">
        <v>45057</v>
      </c>
      <c r="G192" s="100" t="n"/>
    </row>
    <row r="193" ht="16" customHeight="1">
      <c r="A193" s="98" t="n">
        <v>382047</v>
      </c>
      <c r="B193" s="98" t="inlineStr">
        <is>
          <t>STELLA ROSA ROYALE</t>
        </is>
      </c>
      <c r="C193" s="97">
        <f>VLOOKUP(A193,SizeData!A$2:B$3839,2,FALSE)</f>
        <v/>
      </c>
      <c r="D193" s="98" t="n">
        <v>1</v>
      </c>
      <c r="E193" s="98" t="inlineStr">
        <is>
          <t>R2087639</t>
        </is>
      </c>
      <c r="F193" s="99" t="n">
        <v>45052</v>
      </c>
      <c r="G193" s="100" t="n"/>
    </row>
    <row r="194" ht="16" customHeight="1">
      <c r="A194" s="98" t="n">
        <v>683360</v>
      </c>
      <c r="B194" s="98" t="inlineStr">
        <is>
          <t>SUTTER HOME WHITE ZINFANDEL</t>
        </is>
      </c>
      <c r="C194" s="97">
        <f>VLOOKUP(A194,SizeData!A$2:B$3839,2,FALSE)</f>
        <v/>
      </c>
      <c r="D194" s="98" t="n">
        <v>1</v>
      </c>
      <c r="E194" s="98" t="inlineStr">
        <is>
          <t>R2098252</t>
        </is>
      </c>
      <c r="F194" s="99" t="n">
        <v>45064</v>
      </c>
      <c r="G194" s="100" t="n"/>
    </row>
    <row r="195" ht="16" customHeight="1">
      <c r="A195" s="98" t="n">
        <v>734350</v>
      </c>
      <c r="B195" s="98" t="inlineStr">
        <is>
          <t>SWEET BITCH MOSCATO PINK BUBBLY</t>
        </is>
      </c>
      <c r="C195" s="97">
        <f>VLOOKUP(A195,SizeData!A$2:B$3839,2,FALSE)</f>
        <v/>
      </c>
      <c r="D195" s="98" t="n">
        <v>1</v>
      </c>
      <c r="E195" s="98" t="inlineStr">
        <is>
          <t>R2077596</t>
        </is>
      </c>
      <c r="F195" s="99" t="n">
        <v>45054</v>
      </c>
      <c r="G195" s="100" t="n"/>
    </row>
    <row r="196" ht="16" customHeight="1">
      <c r="A196" s="98" t="n">
        <v>38063</v>
      </c>
      <c r="B196" s="98" t="inlineStr">
        <is>
          <t>TAAKA VODKA 80</t>
        </is>
      </c>
      <c r="C196" s="97">
        <f>VLOOKUP(A196,SizeData!A$2:B$3839,2,FALSE)</f>
        <v/>
      </c>
      <c r="D196" s="98" t="n">
        <v>2</v>
      </c>
      <c r="E196" s="98" t="inlineStr">
        <is>
          <t>R2089319</t>
        </is>
      </c>
      <c r="F196" s="99" t="n">
        <v>45055</v>
      </c>
      <c r="G196" s="100" t="n"/>
    </row>
    <row r="197" ht="16" customHeight="1">
      <c r="A197" s="98" t="n">
        <v>38067</v>
      </c>
      <c r="B197" s="98" t="inlineStr">
        <is>
          <t>TAAKA VODKA 80</t>
        </is>
      </c>
      <c r="C197" s="97">
        <f>VLOOKUP(A197,SizeData!A$2:B$3839,2,FALSE)</f>
        <v/>
      </c>
      <c r="D197" s="98" t="n">
        <v>10</v>
      </c>
      <c r="E197" s="98" t="inlineStr">
        <is>
          <t>R2094978</t>
        </is>
      </c>
      <c r="F197" s="99" t="n">
        <v>45063</v>
      </c>
      <c r="G197" s="100" t="n"/>
    </row>
    <row r="198" ht="16" customHeight="1">
      <c r="A198" s="98" t="n">
        <v>38063</v>
      </c>
      <c r="B198" s="98" t="inlineStr">
        <is>
          <t>TAAKA VODKA 80</t>
        </is>
      </c>
      <c r="C198" s="97">
        <f>VLOOKUP(A198,SizeData!A$2:B$3839,2,FALSE)</f>
        <v/>
      </c>
      <c r="D198" s="98" t="n">
        <v>15</v>
      </c>
      <c r="E198" s="98" t="inlineStr">
        <is>
          <t>R2102506</t>
        </is>
      </c>
      <c r="F198" s="99" t="n">
        <v>45062</v>
      </c>
      <c r="G198" s="100" t="n"/>
    </row>
    <row r="199" ht="16" customHeight="1">
      <c r="A199" s="98" t="n">
        <v>38076</v>
      </c>
      <c r="B199" s="98" t="inlineStr">
        <is>
          <t>TAAKA VODKA 80 (PET)</t>
        </is>
      </c>
      <c r="C199" s="97">
        <f>VLOOKUP(A199,SizeData!A$2:B$3839,2,FALSE)</f>
        <v/>
      </c>
      <c r="D199" s="98" t="n">
        <v>5</v>
      </c>
      <c r="E199" s="98" t="inlineStr">
        <is>
          <t>R2102261</t>
        </is>
      </c>
      <c r="F199" s="99" t="n">
        <v>45062</v>
      </c>
      <c r="G199" s="100" t="n"/>
    </row>
    <row r="200" ht="16" customHeight="1">
      <c r="A200" s="98" t="n">
        <v>38076</v>
      </c>
      <c r="B200" s="98" t="inlineStr">
        <is>
          <t>TAAKA VODKA 80 (PET)</t>
        </is>
      </c>
      <c r="C200" s="97">
        <f>VLOOKUP(A200,SizeData!A$2:B$3839,2,FALSE)</f>
        <v/>
      </c>
      <c r="D200" s="98" t="n">
        <v>2</v>
      </c>
      <c r="E200" s="98" t="inlineStr">
        <is>
          <t>R2103182</t>
        </is>
      </c>
      <c r="F200" s="99" t="n">
        <v>45065</v>
      </c>
      <c r="G200" s="100" t="n"/>
    </row>
    <row r="201" ht="16" customHeight="1">
      <c r="A201" s="98" t="n">
        <v>38076</v>
      </c>
      <c r="B201" s="98" t="inlineStr">
        <is>
          <t>TAAKA VODKA 80 (PET)</t>
        </is>
      </c>
      <c r="C201" s="97">
        <f>VLOOKUP(A201,SizeData!A$2:B$3839,2,FALSE)</f>
        <v/>
      </c>
      <c r="D201" s="98" t="n">
        <v>10</v>
      </c>
      <c r="E201" s="98" t="inlineStr">
        <is>
          <t>R2108447</t>
        </is>
      </c>
      <c r="F201" s="99" t="n">
        <v>45064</v>
      </c>
      <c r="G201" s="100" t="n"/>
    </row>
    <row r="202" ht="16" customHeight="1">
      <c r="A202" s="98" t="n">
        <v>28863</v>
      </c>
      <c r="B202" s="98" t="inlineStr">
        <is>
          <t>TANQUERAY GIN</t>
        </is>
      </c>
      <c r="C202" s="97">
        <f>VLOOKUP(A202,SizeData!A$2:B$3839,2,FALSE)</f>
        <v/>
      </c>
      <c r="D202" s="98" t="n">
        <v>1</v>
      </c>
      <c r="E202" s="98" t="inlineStr">
        <is>
          <t>R2115030</t>
        </is>
      </c>
      <c r="F202" s="99" t="n">
        <v>45063</v>
      </c>
      <c r="G202" s="100" t="n"/>
    </row>
    <row r="203" ht="16" customHeight="1">
      <c r="A203" s="98" t="n">
        <v>93567</v>
      </c>
      <c r="B203" s="98" t="inlineStr">
        <is>
          <t>TAYLOR PORT</t>
        </is>
      </c>
      <c r="C203" s="97">
        <f>VLOOKUP(A203,SizeData!A$2:B$3839,2,FALSE)</f>
        <v/>
      </c>
      <c r="D203" s="98" t="n">
        <v>8</v>
      </c>
      <c r="E203" s="98" t="inlineStr">
        <is>
          <t>R2084653</t>
        </is>
      </c>
      <c r="F203" s="99" t="n">
        <v>45057</v>
      </c>
      <c r="G203" s="100" t="n"/>
    </row>
    <row r="204" ht="16" customHeight="1">
      <c r="A204" s="98" t="n">
        <v>88369</v>
      </c>
      <c r="B204" s="98" t="inlineStr">
        <is>
          <t>TEREMANA REPOSADO TEQUILA</t>
        </is>
      </c>
      <c r="C204" s="97">
        <f>VLOOKUP(A204,SizeData!A$2:B$3839,2,FALSE)</f>
        <v/>
      </c>
      <c r="D204" s="98" t="n">
        <v>1</v>
      </c>
      <c r="E204" s="98" t="inlineStr">
        <is>
          <t>R2087639</t>
        </is>
      </c>
      <c r="F204" s="99" t="n">
        <v>45052</v>
      </c>
      <c r="G204" s="100" t="n"/>
    </row>
    <row r="205" ht="16" customHeight="1">
      <c r="A205" s="98" t="n">
        <v>88738</v>
      </c>
      <c r="B205" s="98" t="inlineStr">
        <is>
          <t>TORADA WHITE TEQUILA</t>
        </is>
      </c>
      <c r="C205" s="97">
        <f>VLOOKUP(A205,SizeData!A$2:B$3839,2,FALSE)</f>
        <v/>
      </c>
      <c r="D205" s="98" t="n">
        <v>2</v>
      </c>
      <c r="E205" s="98" t="inlineStr">
        <is>
          <t>R2101079</t>
        </is>
      </c>
      <c r="F205" s="99" t="n">
        <v>45063</v>
      </c>
      <c r="G205" s="100" t="n"/>
    </row>
    <row r="206" ht="16" customHeight="1">
      <c r="A206" s="98" t="n">
        <v>88737</v>
      </c>
      <c r="B206" s="98" t="inlineStr">
        <is>
          <t>TORADA WHITE TEQUILA</t>
        </is>
      </c>
      <c r="C206" s="97">
        <f>VLOOKUP(A206,SizeData!A$2:B$3839,2,FALSE)</f>
        <v/>
      </c>
      <c r="D206" s="98" t="n">
        <v>1</v>
      </c>
      <c r="E206" s="98" t="inlineStr">
        <is>
          <t>R2101079</t>
        </is>
      </c>
      <c r="F206" s="99" t="n">
        <v>45063</v>
      </c>
      <c r="G206" s="100" t="n"/>
    </row>
    <row r="207" ht="16" customHeight="1">
      <c r="A207" s="98" t="n">
        <v>32650</v>
      </c>
      <c r="B207" s="98" t="inlineStr">
        <is>
          <t>UNCLE VAL'S BOTANICAL GIN</t>
        </is>
      </c>
      <c r="C207" s="97">
        <f>VLOOKUP(A207,SizeData!A$2:B$3839,2,FALSE)</f>
        <v/>
      </c>
      <c r="D207" s="98" t="n">
        <v>1</v>
      </c>
      <c r="E207" s="98" t="inlineStr">
        <is>
          <t>R2110028</t>
        </is>
      </c>
      <c r="F207" s="99" t="n">
        <v>45059</v>
      </c>
      <c r="G207" s="100" t="n"/>
    </row>
    <row r="208" ht="16" customHeight="1">
      <c r="A208" s="98" t="n">
        <v>90916</v>
      </c>
      <c r="B208" s="98" t="inlineStr">
        <is>
          <t>WARRES PORT OTIMA 10YR TAWNY</t>
        </is>
      </c>
      <c r="C208" s="97">
        <f>VLOOKUP(A208,SizeData!A$2:B$3839,2,FALSE)</f>
        <v/>
      </c>
      <c r="D208" s="98" t="n">
        <v>1</v>
      </c>
      <c r="E208" s="98" t="inlineStr">
        <is>
          <t>R2089319</t>
        </is>
      </c>
      <c r="F208" s="99" t="n">
        <v>45055</v>
      </c>
      <c r="G208" s="100" t="n"/>
    </row>
    <row r="209" ht="16" customHeight="1">
      <c r="A209" s="98" t="n">
        <v>498105</v>
      </c>
      <c r="B209" s="98" t="inlineStr">
        <is>
          <t>WOODBRIDGE BY ROBERET MONDAVI CABERNET SAUVIGNON</t>
        </is>
      </c>
      <c r="C209" s="97">
        <f>VLOOKUP(A209,SizeData!A$2:B$3839,2,FALSE)</f>
        <v/>
      </c>
      <c r="D209" s="98" t="n">
        <v>1</v>
      </c>
      <c r="E209" s="98" t="inlineStr">
        <is>
          <t>R2077596</t>
        </is>
      </c>
      <c r="F209" s="99" t="n">
        <v>45054</v>
      </c>
      <c r="G209" s="100" t="n"/>
    </row>
    <row r="210" ht="16" customHeight="1">
      <c r="A210" s="98" t="n">
        <v>429982</v>
      </c>
      <c r="B210" s="98" t="inlineStr">
        <is>
          <t>YELLOW TAIL RIESLING</t>
        </is>
      </c>
      <c r="C210" s="97">
        <f>VLOOKUP(A210,SizeData!A$2:B$3839,2,FALSE)</f>
        <v/>
      </c>
      <c r="D210" s="98" t="n">
        <v>1</v>
      </c>
      <c r="E210" s="98" t="inlineStr">
        <is>
          <t>R2110028</t>
        </is>
      </c>
      <c r="F210" s="99" t="n">
        <v>45059</v>
      </c>
      <c r="G210" s="100" t="n"/>
    </row>
    <row r="211" ht="16" customHeight="1">
      <c r="A211" s="98" t="n">
        <v>34359</v>
      </c>
      <c r="B211" s="98" t="inlineStr">
        <is>
          <t>GREY GOOSE IMPORTED VODKA</t>
        </is>
      </c>
      <c r="C211" s="97">
        <f>VLOOKUP(A211,SizeData!A$2:B$3839,2,FALSE)</f>
        <v/>
      </c>
      <c r="D211" s="98" t="n">
        <v>1</v>
      </c>
      <c r="E211" s="98" t="inlineStr">
        <is>
          <t>R2104901</t>
        </is>
      </c>
      <c r="F211" s="99" t="n">
        <v>45066</v>
      </c>
      <c r="G211" s="100" t="n"/>
    </row>
    <row r="212" ht="16" customHeight="1">
      <c r="A212" s="98" t="n">
        <v>24174</v>
      </c>
      <c r="B212" s="98" t="inlineStr">
        <is>
          <t>QUALITY HOUSE BLENDED WHISKEY</t>
        </is>
      </c>
      <c r="C212" s="97">
        <f>VLOOKUP(A212,SizeData!A$2:B$3839,2,FALSE)</f>
        <v/>
      </c>
      <c r="D212" s="98" t="n">
        <v>2</v>
      </c>
      <c r="E212" s="98" t="inlineStr">
        <is>
          <t>R2104901</t>
        </is>
      </c>
      <c r="F212" s="99" t="n">
        <v>45066</v>
      </c>
      <c r="G212" s="100" t="n"/>
    </row>
    <row r="213" ht="16" customHeight="1">
      <c r="A213" s="98" t="n">
        <v>420431</v>
      </c>
      <c r="B213" s="98" t="inlineStr">
        <is>
          <t>JACOB'S CREEK CABERNET SAUVIGNON</t>
        </is>
      </c>
      <c r="C213" s="97">
        <f>VLOOKUP(A213,SizeData!A$2:B$3839,2,FALSE)</f>
        <v/>
      </c>
      <c r="D213" s="98" t="n">
        <v>1</v>
      </c>
      <c r="E213" s="98" t="inlineStr">
        <is>
          <t>R2104901</t>
        </is>
      </c>
      <c r="F213" s="99" t="n">
        <v>45066</v>
      </c>
      <c r="G213" s="100" t="n"/>
    </row>
    <row r="214" ht="16" customHeight="1">
      <c r="A214" s="98" t="n">
        <v>34422</v>
      </c>
      <c r="B214" s="98" t="inlineStr">
        <is>
          <t>GREY GOOSE IMPORTED VODKA</t>
        </is>
      </c>
      <c r="C214" s="97">
        <f>VLOOKUP(A214,SizeData!A$2:B$3839,2,FALSE)</f>
        <v/>
      </c>
      <c r="D214" s="98" t="n">
        <v>1</v>
      </c>
      <c r="E214" s="98" t="inlineStr">
        <is>
          <t>R2104901</t>
        </is>
      </c>
      <c r="F214" s="99" t="n">
        <v>45066</v>
      </c>
      <c r="G214" s="100" t="n"/>
    </row>
    <row r="215" ht="16" customHeight="1">
      <c r="A215" s="98" t="n">
        <v>5924</v>
      </c>
      <c r="B215" s="98" t="inlineStr">
        <is>
          <t>THE GLENLIVET CARIBBEAN RESERVE</t>
        </is>
      </c>
      <c r="C215" s="97">
        <f>VLOOKUP(A215,SizeData!A$2:B$3839,2,FALSE)</f>
        <v/>
      </c>
      <c r="D215" s="98" t="n">
        <v>1</v>
      </c>
      <c r="E215" s="98" t="inlineStr">
        <is>
          <t>R2104901</t>
        </is>
      </c>
      <c r="F215" s="99" t="n">
        <v>45066</v>
      </c>
      <c r="G215" s="100" t="n"/>
    </row>
    <row r="216" ht="16" customHeight="1">
      <c r="A216" s="98" t="n">
        <v>26585</v>
      </c>
      <c r="B216" s="98" t="inlineStr">
        <is>
          <t>GENTLEMAN JACK</t>
        </is>
      </c>
      <c r="C216" s="97">
        <f>VLOOKUP(A216,SizeData!A$2:B$3839,2,FALSE)</f>
        <v/>
      </c>
      <c r="D216" s="98" t="n">
        <v>1</v>
      </c>
      <c r="E216" s="98" t="inlineStr">
        <is>
          <t>R2104901</t>
        </is>
      </c>
      <c r="F216" s="99" t="n">
        <v>45066</v>
      </c>
      <c r="G216" s="100" t="n"/>
    </row>
    <row r="217" ht="16" customHeight="1">
      <c r="A217" s="98" t="n">
        <v>53203</v>
      </c>
      <c r="B217" s="98" t="inlineStr">
        <is>
          <t>PAUL MASSON GRANDE AMBER VSOP BRANDY</t>
        </is>
      </c>
      <c r="C217" s="97">
        <f>VLOOKUP(A217,SizeData!A$2:B$3839,2,FALSE)</f>
        <v/>
      </c>
      <c r="D217" s="98" t="n">
        <v>3</v>
      </c>
      <c r="E217" s="98" t="inlineStr">
        <is>
          <t>R2104901</t>
        </is>
      </c>
      <c r="F217" s="99" t="n">
        <v>45066</v>
      </c>
      <c r="G217" s="100" t="n"/>
    </row>
    <row r="218" ht="16" customHeight="1">
      <c r="A218" s="98" t="n">
        <v>26583</v>
      </c>
      <c r="B218" s="98" t="inlineStr">
        <is>
          <t>GENTLEMAN JACK</t>
        </is>
      </c>
      <c r="C218" s="97">
        <f>VLOOKUP(A218,SizeData!A$2:B$3839,2,FALSE)</f>
        <v/>
      </c>
      <c r="D218" s="98" t="n">
        <v>1</v>
      </c>
      <c r="E218" s="98" t="inlineStr">
        <is>
          <t>R2104901</t>
        </is>
      </c>
      <c r="F218" s="99" t="n">
        <v>45066</v>
      </c>
      <c r="G218" s="100" t="n"/>
    </row>
    <row r="219" ht="16" customHeight="1">
      <c r="A219" s="98" t="n">
        <v>35083</v>
      </c>
      <c r="B219" s="98" t="inlineStr">
        <is>
          <t>ARISTOCRAT SUPREME VODKA</t>
        </is>
      </c>
      <c r="C219" s="97">
        <f>VLOOKUP(A219,SizeData!A$2:B$3839,2,FALSE)</f>
        <v/>
      </c>
      <c r="D219" s="98" t="n">
        <v>1</v>
      </c>
      <c r="E219" s="98" t="inlineStr">
        <is>
          <t>R2104901</t>
        </is>
      </c>
      <c r="F219" s="99" t="n">
        <v>45066</v>
      </c>
      <c r="G219" s="100" t="n"/>
    </row>
    <row r="220" ht="16" customHeight="1">
      <c r="A220" s="98" t="n">
        <v>48099</v>
      </c>
      <c r="B220" s="98" t="inlineStr">
        <is>
          <t>HENNESSY V S COGNAC</t>
        </is>
      </c>
      <c r="C220" s="97">
        <f>VLOOKUP(A220,SizeData!A$2:B$3839,2,FALSE)</f>
        <v/>
      </c>
      <c r="D220" s="98" t="n">
        <v>3</v>
      </c>
      <c r="E220" s="98" t="inlineStr">
        <is>
          <t>R2104901</t>
        </is>
      </c>
      <c r="F220" s="99" t="n">
        <v>45066</v>
      </c>
      <c r="G220" s="100" t="n"/>
    </row>
    <row r="221" ht="16" customHeight="1">
      <c r="A221" s="98" t="n">
        <v>19061</v>
      </c>
      <c r="B221" s="98" t="inlineStr">
        <is>
          <t>JIM BEAM BOURBON WHISKEY</t>
        </is>
      </c>
      <c r="C221" s="97">
        <f>VLOOKUP(A221,SizeData!A$2:B$3839,2,FALSE)</f>
        <v/>
      </c>
      <c r="D221" s="98" t="n">
        <v>1</v>
      </c>
      <c r="E221" s="98" t="inlineStr">
        <is>
          <t>R2104901</t>
        </is>
      </c>
      <c r="F221" s="99" t="n">
        <v>45066</v>
      </c>
      <c r="G221" s="100" t="n"/>
    </row>
    <row r="222" ht="16" customHeight="1">
      <c r="A222" s="98" t="n">
        <v>11344</v>
      </c>
      <c r="B222" s="98" t="inlineStr">
        <is>
          <t>SEAGRAM'S V O</t>
        </is>
      </c>
      <c r="C222" s="97">
        <f>VLOOKUP(A222,SizeData!A$2:B$3839,2,FALSE)</f>
        <v/>
      </c>
      <c r="D222" s="98" t="n">
        <v>1</v>
      </c>
      <c r="E222" s="98" t="inlineStr">
        <is>
          <t>R2104901</t>
        </is>
      </c>
      <c r="F222" s="99" t="n">
        <v>45066</v>
      </c>
      <c r="G222" s="100" t="n"/>
    </row>
    <row r="223" ht="16" customHeight="1">
      <c r="A223" s="98" t="n">
        <v>87025</v>
      </c>
      <c r="B223" s="98" t="inlineStr">
        <is>
          <t>ADICTIVO PLATA TEQUILA</t>
        </is>
      </c>
      <c r="C223" s="97">
        <f>VLOOKUP(A223,SizeData!A$2:B$3839,2,FALSE)</f>
        <v/>
      </c>
      <c r="D223" s="98" t="n">
        <v>1</v>
      </c>
      <c r="E223" s="98" t="inlineStr">
        <is>
          <t>R2104901</t>
        </is>
      </c>
      <c r="F223" s="99" t="n">
        <v>45066</v>
      </c>
      <c r="G223" s="100" t="n"/>
    </row>
    <row r="224" ht="16" customHeight="1">
      <c r="A224" s="98" t="n">
        <v>87510</v>
      </c>
      <c r="B224" s="98" t="inlineStr">
        <is>
          <t>1800 SILVER TEQUILA</t>
        </is>
      </c>
      <c r="C224" s="97">
        <f>VLOOKUP(A224,SizeData!A$2:B$3839,2,FALSE)</f>
        <v/>
      </c>
      <c r="D224" s="98" t="n">
        <v>1</v>
      </c>
      <c r="E224" s="98" t="inlineStr">
        <is>
          <t>R2130104</t>
        </is>
      </c>
      <c r="F224" s="99" t="n">
        <v>45066</v>
      </c>
      <c r="G224" s="100" t="n"/>
    </row>
    <row r="225" ht="16" customHeight="1">
      <c r="A225" s="98" t="n">
        <v>382047</v>
      </c>
      <c r="B225" s="98" t="inlineStr">
        <is>
          <t>STELLA ROSA ROYALE</t>
        </is>
      </c>
      <c r="C225" s="97">
        <f>VLOOKUP(A225,SizeData!A$2:B$3839,2,FALSE)</f>
        <v/>
      </c>
      <c r="D225" s="98" t="n">
        <v>2</v>
      </c>
      <c r="E225" s="98" t="inlineStr">
        <is>
          <t>R2130104</t>
        </is>
      </c>
      <c r="F225" s="99" t="n">
        <v>45066</v>
      </c>
      <c r="G225" s="100" t="n"/>
    </row>
    <row r="226" ht="16" customHeight="1">
      <c r="A226" s="98" t="n">
        <v>47863</v>
      </c>
      <c r="B226" s="98" t="inlineStr">
        <is>
          <t>DUSSE VSOP COGNAC</t>
        </is>
      </c>
      <c r="C226" s="97">
        <f>VLOOKUP(A226,SizeData!A$2:B$3839,2,FALSE)</f>
        <v/>
      </c>
      <c r="D226" s="98" t="n">
        <v>1</v>
      </c>
      <c r="E226" s="98" t="inlineStr">
        <is>
          <t>R2130104</t>
        </is>
      </c>
      <c r="F226" s="99" t="n">
        <v>45066</v>
      </c>
      <c r="G226" s="100" t="n"/>
    </row>
    <row r="227" ht="16" customHeight="1">
      <c r="A227" s="98" t="n">
        <v>88241</v>
      </c>
      <c r="B227" s="98" t="inlineStr">
        <is>
          <t>PATRON REPOSADO TEQUILA</t>
        </is>
      </c>
      <c r="C227" s="97">
        <f>VLOOKUP(A227,SizeData!A$2:B$3839,2,FALSE)</f>
        <v/>
      </c>
      <c r="D227" s="98" t="n">
        <v>4</v>
      </c>
      <c r="E227" s="98" t="inlineStr">
        <is>
          <t>R2130104</t>
        </is>
      </c>
      <c r="F227" s="99" t="n">
        <v>45066</v>
      </c>
      <c r="G227" s="100" t="n"/>
    </row>
    <row r="228" ht="16" customHeight="1">
      <c r="A228" s="98" t="n">
        <v>84307</v>
      </c>
      <c r="B228" s="98" t="inlineStr">
        <is>
          <t>MR. BOSTON PEACH SCHNAPPS</t>
        </is>
      </c>
      <c r="C228" s="97">
        <f>VLOOKUP(A228,SizeData!A$2:B$3839,2,FALSE)</f>
        <v/>
      </c>
      <c r="D228" s="98" t="n">
        <v>1</v>
      </c>
      <c r="E228" s="98" t="inlineStr">
        <is>
          <t>R2130104</t>
        </is>
      </c>
      <c r="F228" s="99" t="n">
        <v>45066</v>
      </c>
      <c r="G228" s="100" t="n"/>
    </row>
    <row r="229" ht="16" customHeight="1">
      <c r="A229" s="98" t="n">
        <v>44516</v>
      </c>
      <c r="B229" s="98" t="inlineStr">
        <is>
          <t>CRUZAN WHITE RUM</t>
        </is>
      </c>
      <c r="C229" s="97">
        <f>VLOOKUP(A229,SizeData!A$2:B$3839,2,FALSE)</f>
        <v/>
      </c>
      <c r="D229" s="98" t="n">
        <v>1</v>
      </c>
      <c r="E229" s="98" t="inlineStr">
        <is>
          <t>R2130104</t>
        </is>
      </c>
      <c r="F229" s="99" t="n">
        <v>45066</v>
      </c>
      <c r="G229" s="100" t="n"/>
    </row>
    <row r="230" ht="16" customHeight="1">
      <c r="A230" s="98" t="n">
        <v>88239</v>
      </c>
      <c r="B230" s="98" t="inlineStr">
        <is>
          <t>PATRON ANEJO TEQUILA</t>
        </is>
      </c>
      <c r="C230" s="97">
        <f>VLOOKUP(A230,SizeData!A$2:B$3839,2,FALSE)</f>
        <v/>
      </c>
      <c r="D230" s="98" t="n">
        <v>1</v>
      </c>
      <c r="E230" s="98" t="inlineStr">
        <is>
          <t>R2130104</t>
        </is>
      </c>
      <c r="F230" s="99" t="n">
        <v>45066</v>
      </c>
      <c r="G230" s="100" t="n"/>
    </row>
    <row r="231" ht="16" customHeight="1">
      <c r="A231" s="98" t="n">
        <v>882308</v>
      </c>
      <c r="B231" s="98" t="inlineStr">
        <is>
          <t>CARLO ROSSI SWEET SANGRIA</t>
        </is>
      </c>
      <c r="C231" s="97">
        <f>VLOOKUP(A231,SizeData!A$2:B$3839,2,FALSE)</f>
        <v/>
      </c>
      <c r="D231" s="98" t="n">
        <v>2</v>
      </c>
      <c r="E231" s="98" t="inlineStr">
        <is>
          <t>R2130104</t>
        </is>
      </c>
      <c r="F231" s="99" t="n">
        <v>45066</v>
      </c>
      <c r="G231" s="100" t="n"/>
    </row>
    <row r="232" ht="16" customHeight="1">
      <c r="A232" s="98" t="n">
        <v>415315</v>
      </c>
      <c r="B232" s="98" t="inlineStr">
        <is>
          <t>CARLO ROSSI SWEET RED</t>
        </is>
      </c>
      <c r="C232" s="97">
        <f>VLOOKUP(A232,SizeData!A$2:B$3839,2,FALSE)</f>
        <v/>
      </c>
      <c r="D232" s="98" t="n">
        <v>1</v>
      </c>
      <c r="E232" s="98" t="inlineStr">
        <is>
          <t>R2121304</t>
        </is>
      </c>
      <c r="F232" s="99" t="n">
        <v>45066</v>
      </c>
      <c r="G232" s="100" t="n"/>
    </row>
    <row r="233" ht="16" customHeight="1">
      <c r="A233" s="98" t="n">
        <v>89154</v>
      </c>
      <c r="B233" s="98" t="inlineStr">
        <is>
          <t>DON JULIO REPOSADO TEQUILA GOLD</t>
        </is>
      </c>
      <c r="C233" s="97">
        <f>VLOOKUP(A233,SizeData!A$2:B$3839,2,FALSE)</f>
        <v/>
      </c>
      <c r="D233" s="98" t="n">
        <v>1</v>
      </c>
      <c r="E233" s="98" t="inlineStr">
        <is>
          <t>R2121304</t>
        </is>
      </c>
      <c r="F233" s="99" t="n">
        <v>45066</v>
      </c>
      <c r="G233" s="100" t="n"/>
    </row>
    <row r="234" ht="16" customHeight="1">
      <c r="A234" s="98" t="n">
        <v>66293</v>
      </c>
      <c r="B234" s="98" t="inlineStr">
        <is>
          <t>REMY MARTIN "V" GRAPE BRANDY</t>
        </is>
      </c>
      <c r="C234" s="97">
        <f>VLOOKUP(A234,SizeData!A$2:B$3839,2,FALSE)</f>
        <v/>
      </c>
      <c r="D234" s="98" t="n">
        <v>1</v>
      </c>
      <c r="E234" s="98" t="inlineStr">
        <is>
          <t>R2121304</t>
        </is>
      </c>
      <c r="F234" s="99" t="n">
        <v>45066</v>
      </c>
      <c r="G234" s="100" t="n"/>
    </row>
    <row r="235" ht="16" customHeight="1">
      <c r="A235" s="98" t="n">
        <v>49187</v>
      </c>
      <c r="B235" s="98" t="inlineStr">
        <is>
          <t>REMY MARTIN VSOP COGNAC</t>
        </is>
      </c>
      <c r="C235" s="97">
        <f>VLOOKUP(A235,SizeData!A$2:B$3839,2,FALSE)</f>
        <v/>
      </c>
      <c r="D235" s="98" t="n">
        <v>1</v>
      </c>
      <c r="E235" s="98" t="inlineStr">
        <is>
          <t>R2121304</t>
        </is>
      </c>
      <c r="F235" s="99" t="n">
        <v>45066</v>
      </c>
      <c r="G235" s="100" t="n"/>
    </row>
    <row r="236" ht="16" customHeight="1">
      <c r="A236" s="98" t="n">
        <v>41838</v>
      </c>
      <c r="B236" s="98" t="inlineStr">
        <is>
          <t>EVERCLEAR ALCOHOL 190 (PET)</t>
        </is>
      </c>
      <c r="C236" s="97">
        <f>VLOOKUP(A236,SizeData!A$2:B$3839,2,FALSE)</f>
        <v/>
      </c>
      <c r="D236" s="98" t="n">
        <v>2</v>
      </c>
      <c r="E236" s="98" t="inlineStr">
        <is>
          <t>R2121304</t>
        </is>
      </c>
      <c r="F236" s="99" t="n">
        <v>45066</v>
      </c>
      <c r="G236" s="100" t="n"/>
    </row>
    <row r="237" ht="16" customHeight="1">
      <c r="A237" s="98" t="n">
        <v>52596</v>
      </c>
      <c r="B237" s="98" t="inlineStr">
        <is>
          <t>E &amp; J VS BRANDY</t>
        </is>
      </c>
      <c r="C237" s="97">
        <f>VLOOKUP(A237,SizeData!A$2:B$3839,2,FALSE)</f>
        <v/>
      </c>
      <c r="D237" s="98" t="n">
        <v>2</v>
      </c>
      <c r="E237" s="98" t="inlineStr">
        <is>
          <t>R2121304</t>
        </is>
      </c>
      <c r="F237" s="99" t="n">
        <v>45066</v>
      </c>
      <c r="G237" s="100" t="n"/>
    </row>
    <row r="238" ht="16" customHeight="1">
      <c r="A238" s="98" t="n">
        <v>88354</v>
      </c>
      <c r="B238" s="98" t="inlineStr">
        <is>
          <t>TEREMANA BLANCO TEQUILA</t>
        </is>
      </c>
      <c r="C238" s="97">
        <f>VLOOKUP(A238,SizeData!A$2:B$3839,2,FALSE)</f>
        <v/>
      </c>
      <c r="D238" s="98" t="n">
        <v>1</v>
      </c>
      <c r="E238" s="98" t="inlineStr">
        <is>
          <t>R2121304</t>
        </is>
      </c>
      <c r="F238" s="99" t="n">
        <v>45066</v>
      </c>
      <c r="G238" s="100" t="n"/>
    </row>
    <row r="239" ht="16" customHeight="1">
      <c r="A239" s="98" t="n">
        <v>485449</v>
      </c>
      <c r="B239" s="98" t="inlineStr">
        <is>
          <t>MENAGE SWEET COLLECTION DOLCE RED</t>
        </is>
      </c>
      <c r="C239" s="97">
        <f>VLOOKUP(A239,SizeData!A$2:B$3839,2,FALSE)</f>
        <v/>
      </c>
      <c r="D239" s="98" t="n">
        <v>1</v>
      </c>
      <c r="E239" s="98" t="inlineStr">
        <is>
          <t>R2121304</t>
        </is>
      </c>
      <c r="F239" s="99" t="n">
        <v>45066</v>
      </c>
      <c r="G239" s="100" t="n"/>
    </row>
    <row r="240" ht="16" customHeight="1">
      <c r="A240" s="98" t="n">
        <v>93567</v>
      </c>
      <c r="B240" s="98" t="inlineStr">
        <is>
          <t>TAYLOR PORT</t>
        </is>
      </c>
      <c r="C240" s="97">
        <f>VLOOKUP(A240,SizeData!A$2:B$3839,2,FALSE)</f>
        <v/>
      </c>
      <c r="D240" s="98" t="n">
        <v>4</v>
      </c>
      <c r="E240" s="98" t="inlineStr">
        <is>
          <t>R2121304</t>
        </is>
      </c>
      <c r="F240" s="99" t="n">
        <v>45066</v>
      </c>
      <c r="G240" s="100" t="n"/>
    </row>
    <row r="241" ht="16" customHeight="1">
      <c r="A241" s="98" t="n">
        <v>37890</v>
      </c>
      <c r="B241" s="98" t="inlineStr">
        <is>
          <t>SEAGRAM'S EXTRA SMOOTH VODKA PET</t>
        </is>
      </c>
      <c r="C241" s="97">
        <f>VLOOKUP(A241,SizeData!A$2:B$3839,2,FALSE)</f>
        <v/>
      </c>
      <c r="D241" s="98" t="n">
        <v>1</v>
      </c>
      <c r="E241" s="98" t="inlineStr">
        <is>
          <t>R2121304</t>
        </is>
      </c>
      <c r="F241" s="99" t="n">
        <v>45066</v>
      </c>
      <c r="G241" s="100" t="n"/>
    </row>
    <row r="242" ht="16" customHeight="1">
      <c r="A242" s="98" t="n">
        <v>383950</v>
      </c>
      <c r="B242" s="98" t="inlineStr">
        <is>
          <t>UMBERTO FIORE MOSCATO D' ASTI</t>
        </is>
      </c>
      <c r="C242" s="97">
        <f>VLOOKUP(A242,SizeData!A$2:B$3839,2,FALSE)</f>
        <v/>
      </c>
      <c r="D242" s="98" t="n">
        <v>1</v>
      </c>
      <c r="E242" s="98" t="inlineStr">
        <is>
          <t>R2121304</t>
        </is>
      </c>
      <c r="F242" s="99" t="n">
        <v>45066</v>
      </c>
      <c r="G242" s="100" t="n"/>
    </row>
    <row r="243" ht="16" customHeight="1">
      <c r="A243" s="98" t="n">
        <v>382000</v>
      </c>
      <c r="B243" s="98" t="inlineStr">
        <is>
          <t>SANTA MARGHERITA PINOT GRIGIO</t>
        </is>
      </c>
      <c r="C243" s="97">
        <f>VLOOKUP(A243,SizeData!A$2:B$3839,2,FALSE)</f>
        <v/>
      </c>
      <c r="D243" s="98" t="n">
        <v>1</v>
      </c>
      <c r="E243" s="98" t="inlineStr">
        <is>
          <t>R2121304</t>
        </is>
      </c>
      <c r="F243" s="99" t="n">
        <v>45066</v>
      </c>
      <c r="G243" s="100" t="n"/>
    </row>
    <row r="244" ht="16" customHeight="1">
      <c r="A244" s="98" t="n">
        <v>89626</v>
      </c>
      <c r="B244" s="98" t="inlineStr">
        <is>
          <t>PATRON REPOSADO TEQUILA</t>
        </is>
      </c>
      <c r="C244" s="97">
        <f>VLOOKUP(A244,SizeData!A$2:B$3839,2,FALSE)</f>
        <v/>
      </c>
      <c r="D244" s="98" t="n">
        <v>1</v>
      </c>
      <c r="E244" s="98" t="inlineStr">
        <is>
          <t>R2121304</t>
        </is>
      </c>
      <c r="F244" s="99" t="n">
        <v>45066</v>
      </c>
      <c r="G244" s="100" t="n"/>
    </row>
    <row r="245" ht="16" customHeight="1">
      <c r="A245" s="98" t="n">
        <v>485433</v>
      </c>
      <c r="B245" s="98" t="inlineStr">
        <is>
          <t>MENAGE A TROIS HOT PINK SWEET ROSE COLLC</t>
        </is>
      </c>
      <c r="C245" s="97">
        <f>VLOOKUP(A245,SizeData!A$2:B$3839,2,FALSE)</f>
        <v/>
      </c>
      <c r="D245" s="98" t="n">
        <v>1</v>
      </c>
      <c r="E245" s="98" t="inlineStr">
        <is>
          <t>R2121304</t>
        </is>
      </c>
      <c r="F245" s="99" t="n">
        <v>45066</v>
      </c>
      <c r="G245" s="100" t="n"/>
    </row>
  </sheetData>
  <autoFilter ref="A2:G231">
    <sortState ref="A3:G210">
      <sortCondition ref="B2:B199"/>
    </sortState>
  </autoFilter>
  <pageMargins left="0.7" right="0.7" top="0.75" bottom="0.75" header="0.3" footer="0.3"/>
  <pageSetup orientation="portrait" scale="59" fitToHeight="0" verticalDpi="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85"/>
  <sheetViews>
    <sheetView workbookViewId="0">
      <pane ySplit="2" topLeftCell="A3" activePane="bottomLeft" state="frozen"/>
      <selection pane="bottomLeft" activeCell="E1314" sqref="E1314"/>
    </sheetView>
  </sheetViews>
  <sheetFormatPr baseColWidth="10" defaultColWidth="8.83203125" defaultRowHeight="15"/>
  <cols>
    <col width="71.83203125" customWidth="1" min="2" max="2"/>
    <col width="19.83203125" bestFit="1" customWidth="1" min="4" max="4"/>
    <col width="12" bestFit="1" customWidth="1" min="5" max="5"/>
  </cols>
  <sheetData>
    <row r="1" ht="26" customHeight="1">
      <c r="A1" s="59" t="n"/>
      <c r="B1" s="64">
        <f>TODAY()</f>
        <v/>
      </c>
      <c r="C1" s="59" t="n"/>
      <c r="D1" s="60">
        <f>SUM(D2:D9997)</f>
        <v/>
      </c>
      <c r="F1" s="23" t="n"/>
    </row>
    <row r="2" customFormat="1" s="6">
      <c r="A2" s="1" t="n"/>
      <c r="B2" s="1" t="inlineStr">
        <is>
          <t>Name</t>
        </is>
      </c>
      <c r="C2" s="7" t="inlineStr">
        <is>
          <t>Size</t>
        </is>
      </c>
      <c r="D2" s="1" t="inlineStr">
        <is>
          <t>Reserved Quantity</t>
        </is>
      </c>
      <c r="E2" s="1" t="inlineStr">
        <is>
          <t>Order</t>
        </is>
      </c>
      <c r="F2" s="1" t="inlineStr">
        <is>
          <t>Date</t>
        </is>
      </c>
      <c r="G2" s="5" t="inlineStr">
        <is>
          <t>Note</t>
        </is>
      </c>
    </row>
    <row r="3" ht="16" customHeight="1">
      <c r="A3" s="98" t="n">
        <v>21236</v>
      </c>
      <c r="B3" s="98" t="inlineStr">
        <is>
          <t>1792 SMALL BATCH BOURBON</t>
        </is>
      </c>
      <c r="C3" s="97">
        <f>VLOOKUP(A3,SizeData!A$2:B$3839,2,FALSE)</f>
        <v/>
      </c>
      <c r="D3" s="98" t="n">
        <v>1</v>
      </c>
      <c r="E3" s="98" t="inlineStr">
        <is>
          <t>R1907721</t>
        </is>
      </c>
      <c r="F3" s="99" t="n">
        <v>44908</v>
      </c>
      <c r="G3" s="100" t="n"/>
    </row>
    <row r="4" ht="16" customHeight="1">
      <c r="A4" s="98" t="n">
        <v>21236</v>
      </c>
      <c r="B4" s="98" t="inlineStr">
        <is>
          <t>1792 SMALL BATCH BOURBON</t>
        </is>
      </c>
      <c r="C4" s="97">
        <f>VLOOKUP(A4,SizeData!A$2:B$3839,2,FALSE)</f>
        <v/>
      </c>
      <c r="D4" s="98" t="n">
        <v>1</v>
      </c>
      <c r="E4" s="98" t="inlineStr">
        <is>
          <t>R1939323</t>
        </is>
      </c>
      <c r="F4" s="99" t="n">
        <v>44944</v>
      </c>
      <c r="G4" s="100" t="n"/>
    </row>
    <row r="5" ht="16" customHeight="1">
      <c r="A5" s="101" t="n">
        <v>21236</v>
      </c>
      <c r="B5" s="101" t="inlineStr">
        <is>
          <t>1792 SMALL BATCH BOURBON</t>
        </is>
      </c>
      <c r="C5" s="102">
        <f>VLOOKUP(A5,SizeData!A$2:B$3839,2,FALSE)</f>
        <v/>
      </c>
      <c r="D5" s="101" t="n">
        <v>1</v>
      </c>
      <c r="E5" s="101" t="inlineStr">
        <is>
          <t>R1985201</t>
        </is>
      </c>
      <c r="F5" s="103" t="n">
        <v>44963</v>
      </c>
      <c r="G5" s="104" t="n"/>
    </row>
    <row r="6" ht="16" customHeight="1">
      <c r="A6" s="98" t="n">
        <v>21236</v>
      </c>
      <c r="B6" s="98" t="inlineStr">
        <is>
          <t>1792 SMALL BATCH BOURBON</t>
        </is>
      </c>
      <c r="C6" s="97">
        <f>VLOOKUP(A6,SizeData!A$2:B$3839,2,FALSE)</f>
        <v/>
      </c>
      <c r="D6" s="98" t="n">
        <v>1</v>
      </c>
      <c r="E6" s="98" t="inlineStr">
        <is>
          <t>R1998383</t>
        </is>
      </c>
      <c r="F6" s="99" t="n">
        <v>44991</v>
      </c>
      <c r="G6" s="100" t="n"/>
    </row>
    <row r="7" ht="16" customHeight="1">
      <c r="A7" s="98" t="n">
        <v>64933</v>
      </c>
      <c r="B7" s="98" t="inlineStr">
        <is>
          <t>1800 COCONUT FLAVORED TEQUILA</t>
        </is>
      </c>
      <c r="C7" s="97">
        <f>VLOOKUP(A7,SizeData!A$2:B$3839,2,FALSE)</f>
        <v/>
      </c>
      <c r="D7" s="98" t="n">
        <v>1</v>
      </c>
      <c r="E7" s="98" t="inlineStr">
        <is>
          <t>R1911462</t>
        </is>
      </c>
      <c r="F7" s="99" t="n">
        <v>44917</v>
      </c>
      <c r="G7" s="100" t="n"/>
    </row>
    <row r="8" ht="16" customHeight="1">
      <c r="A8" s="98" t="n">
        <v>64932</v>
      </c>
      <c r="B8" s="98" t="inlineStr">
        <is>
          <t>1800 COCONUT FLAVORED TEQUILA</t>
        </is>
      </c>
      <c r="C8" s="97">
        <f>VLOOKUP(A8,SizeData!A$2:B$3839,2,FALSE)</f>
        <v/>
      </c>
      <c r="D8" s="98" t="n">
        <v>1</v>
      </c>
      <c r="E8" s="98" t="inlineStr">
        <is>
          <t>R2062305</t>
        </is>
      </c>
      <c r="F8" s="99" t="n">
        <v>45024</v>
      </c>
      <c r="G8" s="100" t="n"/>
    </row>
    <row r="9" ht="16" customHeight="1">
      <c r="A9" s="98" t="n">
        <v>89204</v>
      </c>
      <c r="B9" s="98" t="inlineStr">
        <is>
          <t>1800 REPOSADO TEQUILA</t>
        </is>
      </c>
      <c r="C9" s="97">
        <f>VLOOKUP(A9,SizeData!A$2:B$3839,2,FALSE)</f>
        <v/>
      </c>
      <c r="D9" s="98" t="n">
        <v>1</v>
      </c>
      <c r="E9" s="98" t="inlineStr">
        <is>
          <t>R2016308</t>
        </is>
      </c>
      <c r="F9" s="99" t="n">
        <v>44987</v>
      </c>
      <c r="G9" s="100" t="n"/>
    </row>
    <row r="10" ht="16" customHeight="1">
      <c r="A10" s="98" t="n">
        <v>89206</v>
      </c>
      <c r="B10" s="98" t="inlineStr">
        <is>
          <t>1800 REPOSADO TEQUILA</t>
        </is>
      </c>
      <c r="C10" s="97">
        <f>VLOOKUP(A10,SizeData!A$2:B$3839,2,FALSE)</f>
        <v/>
      </c>
      <c r="D10" s="98" t="n">
        <v>1</v>
      </c>
      <c r="E10" s="98" t="inlineStr">
        <is>
          <t>R2020736</t>
        </is>
      </c>
      <c r="F10" s="99" t="n">
        <v>44998</v>
      </c>
      <c r="G10" s="100" t="n"/>
    </row>
    <row r="11" ht="16" customHeight="1">
      <c r="A11" s="98" t="n">
        <v>89208</v>
      </c>
      <c r="B11" s="98" t="inlineStr">
        <is>
          <t>1800 REPOSADO TEQUILA</t>
        </is>
      </c>
      <c r="C11" s="97">
        <f>VLOOKUP(A11,SizeData!A$2:B$3839,2,FALSE)</f>
        <v/>
      </c>
      <c r="D11" s="98" t="n">
        <v>3</v>
      </c>
      <c r="E11" s="98" t="inlineStr">
        <is>
          <t>R2051950</t>
        </is>
      </c>
      <c r="F11" s="99" t="n">
        <v>45027</v>
      </c>
      <c r="G11" s="100" t="n"/>
    </row>
    <row r="12" ht="16" customHeight="1">
      <c r="A12" s="98" t="n">
        <v>87564</v>
      </c>
      <c r="B12" s="98" t="inlineStr">
        <is>
          <t>1800 SILVER</t>
        </is>
      </c>
      <c r="C12" s="97">
        <f>VLOOKUP(A12,SizeData!A$2:B$3839,2,FALSE)</f>
        <v/>
      </c>
      <c r="D12" s="98" t="n">
        <v>3</v>
      </c>
      <c r="E12" s="98" t="inlineStr">
        <is>
          <t>R1951380</t>
        </is>
      </c>
      <c r="F12" s="99" t="n">
        <v>44953</v>
      </c>
      <c r="G12" s="100" t="n"/>
    </row>
    <row r="13" ht="16" customHeight="1">
      <c r="A13" s="98" t="n">
        <v>87564</v>
      </c>
      <c r="B13" s="98" t="inlineStr">
        <is>
          <t>1800 SILVER</t>
        </is>
      </c>
      <c r="C13" s="97">
        <f>VLOOKUP(A13,SizeData!A$2:B$3839,2,FALSE)</f>
        <v/>
      </c>
      <c r="D13" s="98" t="n">
        <v>2</v>
      </c>
      <c r="E13" s="98" t="inlineStr">
        <is>
          <t>R1961502</t>
        </is>
      </c>
      <c r="F13" s="99" t="n">
        <v>44953</v>
      </c>
      <c r="G13" s="100" t="n"/>
    </row>
    <row r="14" ht="16" customHeight="1">
      <c r="A14" s="98" t="n">
        <v>59185</v>
      </c>
      <c r="B14" s="98" t="inlineStr">
        <is>
          <t>1800 ULTIMATE BLOOD ORANGE MARGARITA PET</t>
        </is>
      </c>
      <c r="C14" s="97">
        <f>VLOOKUP(A14,SizeData!A$2:B$3839,2,FALSE)</f>
        <v/>
      </c>
      <c r="D14" s="98" t="n">
        <v>1</v>
      </c>
      <c r="E14" s="98" t="inlineStr">
        <is>
          <t>R1903667</t>
        </is>
      </c>
      <c r="F14" s="99" t="n">
        <v>44915</v>
      </c>
      <c r="G14" s="100" t="n"/>
    </row>
    <row r="15" ht="16" customHeight="1">
      <c r="A15" s="98" t="n">
        <v>59185</v>
      </c>
      <c r="B15" s="98" t="inlineStr">
        <is>
          <t>1800 ULTIMATE BLOOD ORANGE MARGARITA PET</t>
        </is>
      </c>
      <c r="C15" s="97">
        <f>VLOOKUP(A15,SizeData!A$2:B$3839,2,FALSE)</f>
        <v/>
      </c>
      <c r="D15" s="98" t="n">
        <v>1</v>
      </c>
      <c r="E15" s="98" t="inlineStr">
        <is>
          <t>R1903667</t>
        </is>
      </c>
      <c r="F15" s="99" t="n">
        <v>44915</v>
      </c>
      <c r="G15" s="100" t="n"/>
    </row>
    <row r="16" ht="16" customHeight="1">
      <c r="A16" s="98" t="n">
        <v>87513</v>
      </c>
      <c r="B16" s="98" t="inlineStr">
        <is>
          <t>1800 SILVER TEQUILA</t>
        </is>
      </c>
      <c r="C16" s="97">
        <f>VLOOKUP(A16,SizeData!A$2:B$3839,2,FALSE)</f>
        <v/>
      </c>
      <c r="D16" s="98" t="n">
        <v>10</v>
      </c>
      <c r="E16" s="98" t="inlineStr">
        <is>
          <t>R2050494</t>
        </is>
      </c>
      <c r="F16" s="99" t="n">
        <v>45021</v>
      </c>
      <c r="G16" s="100" t="n"/>
    </row>
    <row r="17" ht="16" customHeight="1">
      <c r="A17" s="101" t="n">
        <v>59182</v>
      </c>
      <c r="B17" s="101" t="inlineStr">
        <is>
          <t>1800 ULTIMATE MANGO MARGARITA RTD PET</t>
        </is>
      </c>
      <c r="C17" s="102">
        <f>VLOOKUP(A17,SizeData!A$2:B$3839,2,FALSE)</f>
        <v/>
      </c>
      <c r="D17" s="101" t="n">
        <v>1</v>
      </c>
      <c r="E17" s="101" t="inlineStr">
        <is>
          <t>R2055049</t>
        </is>
      </c>
      <c r="F17" s="103" t="n">
        <v>45017</v>
      </c>
      <c r="G17" s="104" t="n"/>
    </row>
    <row r="18" ht="16" customHeight="1">
      <c r="A18" s="98" t="n">
        <v>59182</v>
      </c>
      <c r="B18" s="98" t="inlineStr">
        <is>
          <t>1800 ULTIMATE MANGO MARGARITA RTD PET</t>
        </is>
      </c>
      <c r="C18" s="97">
        <f>VLOOKUP(A18,SizeData!A$2:B$3839,2,FALSE)</f>
        <v/>
      </c>
      <c r="D18" s="98" t="n">
        <v>3</v>
      </c>
      <c r="E18" s="98" t="inlineStr">
        <is>
          <t>R2049593</t>
        </is>
      </c>
      <c r="F18" s="99" t="n">
        <v>45022</v>
      </c>
      <c r="G18" s="100" t="n"/>
    </row>
    <row r="19" ht="16" customHeight="1">
      <c r="A19" s="98" t="n">
        <v>59154</v>
      </c>
      <c r="B19" s="98" t="inlineStr">
        <is>
          <t>1800 ULTIMATE MARGARITA RTD</t>
        </is>
      </c>
      <c r="C19" s="97">
        <f>VLOOKUP(A19,SizeData!A$2:B$3839,2,FALSE)</f>
        <v/>
      </c>
      <c r="D19" s="98" t="n">
        <v>2</v>
      </c>
      <c r="E19" s="98" t="inlineStr">
        <is>
          <t>R1917442</t>
        </is>
      </c>
      <c r="F19" s="99" t="n">
        <v>44922</v>
      </c>
      <c r="G19" s="100" t="n"/>
    </row>
    <row r="20" ht="16" customHeight="1">
      <c r="A20" s="98" t="n">
        <v>59154</v>
      </c>
      <c r="B20" s="98" t="inlineStr">
        <is>
          <t>1800 ULTIMATE MARGARITA RTD</t>
        </is>
      </c>
      <c r="C20" s="97">
        <f>VLOOKUP(A20,SizeData!A$2:B$3839,2,FALSE)</f>
        <v/>
      </c>
      <c r="D20" s="98" t="n">
        <v>1</v>
      </c>
      <c r="E20" s="98" t="inlineStr">
        <is>
          <t>R1927120</t>
        </is>
      </c>
      <c r="F20" s="99" t="n">
        <v>44924</v>
      </c>
      <c r="G20" s="100" t="n"/>
    </row>
    <row r="21" ht="16" customHeight="1">
      <c r="A21" s="98" t="n">
        <v>59182</v>
      </c>
      <c r="B21" s="98" t="inlineStr">
        <is>
          <t>1800 ULTIMATE MANGO MARGARITA RTD PET</t>
        </is>
      </c>
      <c r="C21" s="97">
        <f>VLOOKUP(A21,SizeData!A$2:B$3839,2,FALSE)</f>
        <v/>
      </c>
      <c r="D21" s="98" t="n">
        <v>2</v>
      </c>
      <c r="E21" s="98" t="inlineStr">
        <is>
          <t>R2061208</t>
        </is>
      </c>
      <c r="F21" s="99" t="n">
        <v>45022</v>
      </c>
      <c r="G21" s="100" t="n"/>
    </row>
    <row r="22" ht="16" customHeight="1">
      <c r="A22" s="98" t="n">
        <v>59161</v>
      </c>
      <c r="B22" s="98" t="inlineStr">
        <is>
          <t>1800 ULTIMATE PEACH MARGARITA PET</t>
        </is>
      </c>
      <c r="C22" s="97">
        <f>VLOOKUP(A22,SizeData!A$2:B$3839,2,FALSE)</f>
        <v/>
      </c>
      <c r="D22" s="98" t="n">
        <v>3</v>
      </c>
      <c r="E22" s="98" t="inlineStr">
        <is>
          <t>R1917442</t>
        </is>
      </c>
      <c r="F22" s="99" t="n">
        <v>44922</v>
      </c>
      <c r="G22" s="100" t="n"/>
    </row>
    <row r="23" ht="16" customHeight="1">
      <c r="A23" s="98" t="n">
        <v>59161</v>
      </c>
      <c r="B23" s="98" t="inlineStr">
        <is>
          <t>1800 ULTIMATE PEACH MARGARITA PET</t>
        </is>
      </c>
      <c r="C23" s="97">
        <f>VLOOKUP(A23,SizeData!A$2:B$3839,2,FALSE)</f>
        <v/>
      </c>
      <c r="D23" s="98" t="n">
        <v>2</v>
      </c>
      <c r="E23" s="98" t="inlineStr">
        <is>
          <t>R1927120</t>
        </is>
      </c>
      <c r="F23" s="99" t="n">
        <v>44924</v>
      </c>
      <c r="G23" s="100" t="n"/>
    </row>
    <row r="24" ht="16" customHeight="1">
      <c r="A24" s="98" t="n">
        <v>59154</v>
      </c>
      <c r="B24" s="98" t="inlineStr">
        <is>
          <t>1800 ULTIMATE MARGARITA RTD</t>
        </is>
      </c>
      <c r="C24" s="97">
        <f>VLOOKUP(A24,SizeData!A$2:B$3839,2,FALSE)</f>
        <v/>
      </c>
      <c r="D24" s="98" t="n">
        <v>2</v>
      </c>
      <c r="E24" s="98" t="inlineStr">
        <is>
          <t>R2065347</t>
        </is>
      </c>
      <c r="F24" s="99" t="n">
        <v>45026</v>
      </c>
      <c r="G24" s="100" t="n"/>
    </row>
    <row r="25" ht="16" customHeight="1">
      <c r="A25" s="98" t="n">
        <v>59161</v>
      </c>
      <c r="B25" s="98" t="inlineStr">
        <is>
          <t>1800 ULTIMATE PEACH MARGARITA PET</t>
        </is>
      </c>
      <c r="C25" s="97">
        <f>VLOOKUP(A25,SizeData!A$2:B$3839,2,FALSE)</f>
        <v/>
      </c>
      <c r="D25" s="98" t="n">
        <v>1</v>
      </c>
      <c r="E25" s="98" t="inlineStr">
        <is>
          <t>R2018722</t>
        </is>
      </c>
      <c r="F25" s="99" t="n">
        <v>44996</v>
      </c>
      <c r="G25" s="100" t="n"/>
    </row>
    <row r="26" ht="16" customHeight="1">
      <c r="A26" s="98" t="n">
        <v>59161</v>
      </c>
      <c r="B26" s="98" t="inlineStr">
        <is>
          <t>1800 ULTIMATE PEACH MARGARITA PET</t>
        </is>
      </c>
      <c r="C26" s="97">
        <f>VLOOKUP(A26,SizeData!A$2:B$3839,2,FALSE)</f>
        <v/>
      </c>
      <c r="D26" s="98" t="n">
        <v>1</v>
      </c>
      <c r="E26" s="98" t="inlineStr">
        <is>
          <t>R2038207</t>
        </is>
      </c>
      <c r="F26" s="99" t="n">
        <v>45010</v>
      </c>
      <c r="G26" s="100" t="n"/>
    </row>
    <row r="27" ht="16" customHeight="1">
      <c r="A27" s="98" t="n">
        <v>59161</v>
      </c>
      <c r="B27" s="98" t="inlineStr">
        <is>
          <t>1800 ULTIMATE PEACH MARGARITA PET</t>
        </is>
      </c>
      <c r="C27" s="97">
        <f>VLOOKUP(A27,SizeData!A$2:B$3839,2,FALSE)</f>
        <v/>
      </c>
      <c r="D27" s="98" t="n">
        <v>2</v>
      </c>
      <c r="E27" s="98" t="inlineStr">
        <is>
          <t>R2055049</t>
        </is>
      </c>
      <c r="F27" s="99" t="n">
        <v>45017</v>
      </c>
      <c r="G27" s="100" t="n"/>
    </row>
    <row r="28" ht="16" customHeight="1">
      <c r="A28" s="98" t="n">
        <v>59161</v>
      </c>
      <c r="B28" s="98" t="inlineStr">
        <is>
          <t>1800 ULTIMATE PEACH MARGARITA PET</t>
        </is>
      </c>
      <c r="C28" s="97">
        <f>VLOOKUP(A28,SizeData!A$2:B$3839,2,FALSE)</f>
        <v/>
      </c>
      <c r="D28" s="98" t="n">
        <v>5</v>
      </c>
      <c r="E28" s="98" t="inlineStr">
        <is>
          <t>R2050459</t>
        </is>
      </c>
      <c r="F28" s="99" t="n">
        <v>45019</v>
      </c>
      <c r="G28" s="100" t="n"/>
    </row>
    <row r="29" ht="16" customHeight="1">
      <c r="A29" s="98" t="n">
        <v>59162</v>
      </c>
      <c r="B29" s="98" t="inlineStr">
        <is>
          <t>1800 ULTIMATE PINEAPPLE MAR.</t>
        </is>
      </c>
      <c r="C29" s="97">
        <f>VLOOKUP(A29,SizeData!A$2:B$3839,2,FALSE)</f>
        <v/>
      </c>
      <c r="D29" s="98" t="n">
        <v>2</v>
      </c>
      <c r="E29" s="98" t="inlineStr">
        <is>
          <t>R2038207</t>
        </is>
      </c>
      <c r="F29" s="99" t="n">
        <v>45010</v>
      </c>
      <c r="G29" s="100" t="n"/>
    </row>
    <row r="30" ht="16" customHeight="1">
      <c r="A30" s="98" t="n">
        <v>59162</v>
      </c>
      <c r="B30" s="98" t="inlineStr">
        <is>
          <t>1800 ULTIMATE PINEAPPLE MAR.</t>
        </is>
      </c>
      <c r="C30" s="97">
        <f>VLOOKUP(A30,SizeData!A$2:B$3839,2,FALSE)</f>
        <v/>
      </c>
      <c r="D30" s="98" t="n">
        <v>5</v>
      </c>
      <c r="E30" s="98" t="inlineStr">
        <is>
          <t>R2050459</t>
        </is>
      </c>
      <c r="F30" s="99" t="n">
        <v>45019</v>
      </c>
      <c r="G30" s="100" t="n"/>
    </row>
    <row r="31" ht="16" customHeight="1">
      <c r="A31" s="101" t="n">
        <v>59162</v>
      </c>
      <c r="B31" s="101" t="inlineStr">
        <is>
          <t>1800 ULTIMATE PINEAPPLE MAR.</t>
        </is>
      </c>
      <c r="C31" s="102">
        <f>VLOOKUP(A31,SizeData!A$2:B$3839,2,FALSE)</f>
        <v/>
      </c>
      <c r="D31" s="101" t="n">
        <v>2</v>
      </c>
      <c r="E31" s="101" t="inlineStr">
        <is>
          <t>R2055049</t>
        </is>
      </c>
      <c r="F31" s="103" t="n">
        <v>45017</v>
      </c>
      <c r="G31" s="104" t="n"/>
    </row>
    <row r="32" ht="16" customHeight="1">
      <c r="A32" s="98" t="n">
        <v>59201</v>
      </c>
      <c r="B32" s="98" t="inlineStr">
        <is>
          <t>1800 ULTIMATE STRAWBERRY MARGARITA RTD</t>
        </is>
      </c>
      <c r="C32" s="97">
        <f>VLOOKUP(A32,SizeData!A$2:B$3839,2,FALSE)</f>
        <v/>
      </c>
      <c r="D32" s="98" t="n">
        <v>1</v>
      </c>
      <c r="E32" s="98" t="inlineStr">
        <is>
          <t>R2055049</t>
        </is>
      </c>
      <c r="F32" s="99" t="n">
        <v>45017</v>
      </c>
      <c r="G32" s="100" t="n"/>
    </row>
    <row r="33" ht="16" customHeight="1">
      <c r="A33" s="98" t="n">
        <v>59163</v>
      </c>
      <c r="B33" s="98" t="inlineStr">
        <is>
          <t>1800 WATERMELON RTD TEQUILA</t>
        </is>
      </c>
      <c r="C33" s="97">
        <f>VLOOKUP(A33,SizeData!A$2:B$3839,2,FALSE)</f>
        <v/>
      </c>
      <c r="D33" s="98" t="n">
        <v>1</v>
      </c>
      <c r="E33" s="98" t="inlineStr">
        <is>
          <t>R2055049</t>
        </is>
      </c>
      <c r="F33" s="99" t="n">
        <v>45017</v>
      </c>
      <c r="G33" s="100" t="n"/>
    </row>
    <row r="34" ht="16" customHeight="1">
      <c r="A34" s="98" t="n">
        <v>59163</v>
      </c>
      <c r="B34" s="98" t="inlineStr">
        <is>
          <t>1800 WATERMELON RTD TEQUILA</t>
        </is>
      </c>
      <c r="C34" s="97">
        <f>VLOOKUP(A34,SizeData!A$2:B$3839,2,FALSE)</f>
        <v/>
      </c>
      <c r="D34" s="98" t="n">
        <v>2</v>
      </c>
      <c r="E34" s="98" t="inlineStr">
        <is>
          <t>R2062305</t>
        </is>
      </c>
      <c r="F34" s="99" t="n">
        <v>45024</v>
      </c>
      <c r="G34" s="100" t="n"/>
    </row>
    <row r="35" ht="16" customHeight="1">
      <c r="A35" s="98" t="n">
        <v>419951</v>
      </c>
      <c r="B35" s="98" t="inlineStr">
        <is>
          <t>19 CRIMES CABERNET SAUVINGON</t>
        </is>
      </c>
      <c r="C35" s="97">
        <f>VLOOKUP(A35,SizeData!A$2:B$3839,2,FALSE)</f>
        <v/>
      </c>
      <c r="D35" s="98" t="n">
        <v>2</v>
      </c>
      <c r="E35" s="98" t="inlineStr">
        <is>
          <t>R1977141</t>
        </is>
      </c>
      <c r="F35" s="99" t="n">
        <v>44970</v>
      </c>
      <c r="G35" s="100" t="n"/>
    </row>
    <row r="36" ht="16" customHeight="1">
      <c r="A36" s="98" t="n">
        <v>419952</v>
      </c>
      <c r="B36" s="98" t="inlineStr">
        <is>
          <t>19 CRIMES RED WINE</t>
        </is>
      </c>
      <c r="C36" s="97">
        <f>VLOOKUP(A36,SizeData!A$2:B$3839,2,FALSE)</f>
        <v/>
      </c>
      <c r="D36" s="98" t="n">
        <v>1</v>
      </c>
      <c r="E36" s="98" t="inlineStr">
        <is>
          <t>R1911923</t>
        </is>
      </c>
      <c r="F36" s="99" t="n">
        <v>44912</v>
      </c>
      <c r="G36" s="100" t="n"/>
    </row>
    <row r="37" ht="16" customHeight="1">
      <c r="A37" s="101" t="n">
        <v>490692</v>
      </c>
      <c r="B37" s="101" t="inlineStr">
        <is>
          <t>19 CRIMES MODERN CALI RED</t>
        </is>
      </c>
      <c r="C37" s="102">
        <f>VLOOKUP(A37,SizeData!A$2:B$3839,2,FALSE)</f>
        <v/>
      </c>
      <c r="D37" s="101" t="n">
        <v>4</v>
      </c>
      <c r="E37" s="101" t="inlineStr">
        <is>
          <t>R1976379</t>
        </is>
      </c>
      <c r="F37" s="103" t="n">
        <v>44970</v>
      </c>
      <c r="G37" s="104" t="n"/>
    </row>
    <row r="38" ht="16" customHeight="1">
      <c r="A38" s="98" t="n">
        <v>490692</v>
      </c>
      <c r="B38" s="98" t="inlineStr">
        <is>
          <t>19 CRIMES MODERN CALI RED</t>
        </is>
      </c>
      <c r="C38" s="97">
        <f>VLOOKUP(A38,SizeData!A$2:B$3839,2,FALSE)</f>
        <v/>
      </c>
      <c r="D38" s="98" t="n">
        <v>1</v>
      </c>
      <c r="E38" s="98" t="inlineStr">
        <is>
          <t>R2072241</t>
        </is>
      </c>
      <c r="F38" s="99" t="n">
        <v>45035</v>
      </c>
      <c r="G38" s="100" t="n"/>
    </row>
    <row r="39" ht="16" customHeight="1">
      <c r="A39" s="98" t="n">
        <v>419961</v>
      </c>
      <c r="B39" s="98" t="inlineStr">
        <is>
          <t>19 CRIMES THE UPRISING RED WINE</t>
        </is>
      </c>
      <c r="C39" s="97">
        <f>VLOOKUP(A39,SizeData!A$2:B$3839,2,FALSE)</f>
        <v/>
      </c>
      <c r="D39" s="98" t="n">
        <v>1</v>
      </c>
      <c r="E39" s="98" t="inlineStr">
        <is>
          <t>R1921439</t>
        </is>
      </c>
      <c r="F39" s="99" t="n">
        <v>44921</v>
      </c>
      <c r="G39" s="100" t="n"/>
    </row>
    <row r="40" ht="16" customHeight="1">
      <c r="A40" s="98" t="n">
        <v>419952</v>
      </c>
      <c r="B40" s="98" t="inlineStr">
        <is>
          <t>19 CRIMES RED WINE</t>
        </is>
      </c>
      <c r="C40" s="97">
        <f>VLOOKUP(A40,SizeData!A$2:B$3839,2,FALSE)</f>
        <v/>
      </c>
      <c r="D40" s="98" t="n">
        <v>2</v>
      </c>
      <c r="E40" s="98" t="inlineStr">
        <is>
          <t>R1977141</t>
        </is>
      </c>
      <c r="F40" s="99" t="n">
        <v>44970</v>
      </c>
      <c r="G40" s="100" t="n"/>
    </row>
    <row r="41" ht="16" customHeight="1">
      <c r="A41" s="98" t="n">
        <v>84172</v>
      </c>
      <c r="B41" s="98" t="inlineStr">
        <is>
          <t>99 BRAND BANANAS SCHNAPPS</t>
        </is>
      </c>
      <c r="C41" s="97">
        <f>VLOOKUP(A41,SizeData!A$2:B$3839,2,FALSE)</f>
        <v/>
      </c>
      <c r="D41" s="98" t="n">
        <v>1</v>
      </c>
      <c r="E41" s="98" t="inlineStr">
        <is>
          <t>R1903748</t>
        </is>
      </c>
      <c r="F41" s="99" t="n">
        <v>44912</v>
      </c>
      <c r="G41" s="100" t="n"/>
    </row>
    <row r="42" ht="16" customHeight="1">
      <c r="A42" s="98" t="n">
        <v>419955</v>
      </c>
      <c r="B42" s="98" t="inlineStr">
        <is>
          <t>19 CRIMES THE BANISHED RED WINE</t>
        </is>
      </c>
      <c r="C42" s="97">
        <f>VLOOKUP(A42,SizeData!A$2:B$3839,2,FALSE)</f>
        <v/>
      </c>
      <c r="D42" s="98" t="n">
        <v>2</v>
      </c>
      <c r="E42" s="98" t="inlineStr">
        <is>
          <t>R1977141</t>
        </is>
      </c>
      <c r="F42" s="99" t="n">
        <v>44970</v>
      </c>
      <c r="G42" s="100" t="n"/>
    </row>
    <row r="43" ht="16" customHeight="1">
      <c r="A43" s="98" t="n">
        <v>84142</v>
      </c>
      <c r="B43" s="98" t="inlineStr">
        <is>
          <t>99 BRAND PEACHES</t>
        </is>
      </c>
      <c r="C43" s="97">
        <f>VLOOKUP(A43,SizeData!A$2:B$3839,2,FALSE)</f>
        <v/>
      </c>
      <c r="D43" s="98" t="n">
        <v>1</v>
      </c>
      <c r="E43" s="98" t="inlineStr">
        <is>
          <t>R1903748</t>
        </is>
      </c>
      <c r="F43" s="99" t="n">
        <v>44912</v>
      </c>
      <c r="G43" s="100" t="n"/>
    </row>
    <row r="44" ht="16" customHeight="1">
      <c r="A44" s="98" t="n">
        <v>34006</v>
      </c>
      <c r="B44" s="98" t="inlineStr">
        <is>
          <t>ABSOLUT 80 VODKA</t>
        </is>
      </c>
      <c r="C44" s="97">
        <f>VLOOKUP(A44,SizeData!A$2:B$3839,2,FALSE)</f>
        <v/>
      </c>
      <c r="D44" s="98" t="n">
        <v>6</v>
      </c>
      <c r="E44" s="98" t="inlineStr">
        <is>
          <t>R1906928</t>
        </is>
      </c>
      <c r="F44" s="99" t="n">
        <v>44908</v>
      </c>
      <c r="G44" s="100" t="n"/>
    </row>
    <row r="45" ht="16" customHeight="1">
      <c r="A45" s="98" t="n">
        <v>419961</v>
      </c>
      <c r="B45" s="98" t="inlineStr">
        <is>
          <t>19 CRIMES THE UPRISING RED WINE</t>
        </is>
      </c>
      <c r="C45" s="97">
        <f>VLOOKUP(A45,SizeData!A$2:B$3839,2,FALSE)</f>
        <v/>
      </c>
      <c r="D45" s="98" t="n">
        <v>4</v>
      </c>
      <c r="E45" s="98" t="inlineStr">
        <is>
          <t>R1976379</t>
        </is>
      </c>
      <c r="F45" s="99" t="n">
        <v>44970</v>
      </c>
      <c r="G45" s="100" t="n"/>
    </row>
    <row r="46" ht="16" customHeight="1">
      <c r="A46" s="98" t="n">
        <v>84222</v>
      </c>
      <c r="B46" s="98" t="inlineStr">
        <is>
          <t>99 BRAND BLUE RASPBERRIES</t>
        </is>
      </c>
      <c r="C46" s="97">
        <f>VLOOKUP(A46,SizeData!A$2:B$3839,2,FALSE)</f>
        <v/>
      </c>
      <c r="D46" s="98" t="n">
        <v>1</v>
      </c>
      <c r="E46" s="98" t="inlineStr">
        <is>
          <t>R2022490</t>
        </is>
      </c>
      <c r="F46" s="99" t="n">
        <v>45014</v>
      </c>
      <c r="G46" s="100" t="n"/>
    </row>
    <row r="47" ht="16" customHeight="1">
      <c r="A47" s="98" t="n">
        <v>34003</v>
      </c>
      <c r="B47" s="98" t="inlineStr">
        <is>
          <t>ABSOLUT 80 VODKA</t>
        </is>
      </c>
      <c r="C47" s="97">
        <f>VLOOKUP(A47,SizeData!A$2:B$3839,2,FALSE)</f>
        <v/>
      </c>
      <c r="D47" s="98" t="n">
        <v>1</v>
      </c>
      <c r="E47" s="98" t="inlineStr">
        <is>
          <t>R1931271</t>
        </is>
      </c>
      <c r="F47" s="99" t="n">
        <v>44944</v>
      </c>
      <c r="G47" s="100" t="n"/>
    </row>
    <row r="48" ht="16" customHeight="1">
      <c r="A48" s="98" t="n">
        <v>34003</v>
      </c>
      <c r="B48" s="98" t="inlineStr">
        <is>
          <t>ABSOLUT 80 VODKA</t>
        </is>
      </c>
      <c r="C48" s="97">
        <f>VLOOKUP(A48,SizeData!A$2:B$3839,2,FALSE)</f>
        <v/>
      </c>
      <c r="D48" s="98" t="n">
        <v>2</v>
      </c>
      <c r="E48" s="98" t="inlineStr">
        <is>
          <t>R1981085</t>
        </is>
      </c>
      <c r="F48" s="99" t="n">
        <v>44973</v>
      </c>
      <c r="G48" s="100" t="n"/>
    </row>
    <row r="49" ht="16" customHeight="1">
      <c r="A49" s="98" t="n">
        <v>34006</v>
      </c>
      <c r="B49" s="98" t="inlineStr">
        <is>
          <t>ABSOLUT 80 VODKA</t>
        </is>
      </c>
      <c r="C49" s="97">
        <f>VLOOKUP(A49,SizeData!A$2:B$3839,2,FALSE)</f>
        <v/>
      </c>
      <c r="D49" s="98" t="n">
        <v>2</v>
      </c>
      <c r="E49" s="98" t="inlineStr">
        <is>
          <t>R2017905</t>
        </is>
      </c>
      <c r="F49" s="99" t="n">
        <v>44993</v>
      </c>
      <c r="G49" s="100" t="n"/>
    </row>
    <row r="50" ht="16" customHeight="1">
      <c r="A50" s="98" t="n">
        <v>34003</v>
      </c>
      <c r="B50" s="98" t="inlineStr">
        <is>
          <t>ABSOLUT 80 VODKA</t>
        </is>
      </c>
      <c r="C50" s="97">
        <f>VLOOKUP(A50,SizeData!A$2:B$3839,2,FALSE)</f>
        <v/>
      </c>
      <c r="D50" s="98" t="n">
        <v>2</v>
      </c>
      <c r="E50" s="98" t="inlineStr">
        <is>
          <t>R2049593</t>
        </is>
      </c>
      <c r="F50" s="99" t="n">
        <v>45022</v>
      </c>
      <c r="G50" s="100" t="n"/>
    </row>
    <row r="51" ht="16" customHeight="1">
      <c r="A51" s="98" t="n">
        <v>87025</v>
      </c>
      <c r="B51" s="98" t="inlineStr">
        <is>
          <t>ADICTIVO PLATA TEQUILA</t>
        </is>
      </c>
      <c r="C51" s="97">
        <f>VLOOKUP(A51,SizeData!A$2:B$3839,2,FALSE)</f>
        <v/>
      </c>
      <c r="D51" s="98" t="n">
        <v>1</v>
      </c>
      <c r="E51" s="98" t="inlineStr">
        <is>
          <t>R2009092</t>
        </is>
      </c>
      <c r="F51" s="99" t="n">
        <v>45001</v>
      </c>
      <c r="G51" s="100" t="n"/>
    </row>
    <row r="52" ht="16" customHeight="1">
      <c r="A52" s="98" t="n">
        <v>87025</v>
      </c>
      <c r="B52" s="98" t="inlineStr">
        <is>
          <t>ADICTIVO PLATA TEQUILA</t>
        </is>
      </c>
      <c r="C52" s="97">
        <f>VLOOKUP(A52,SizeData!A$2:B$3839,2,FALSE)</f>
        <v/>
      </c>
      <c r="D52" s="98" t="n">
        <v>1</v>
      </c>
      <c r="E52" s="98" t="inlineStr">
        <is>
          <t>R2070866</t>
        </is>
      </c>
      <c r="F52" s="99" t="n">
        <v>45033</v>
      </c>
      <c r="G52" s="100" t="n"/>
    </row>
    <row r="53" ht="16" customHeight="1">
      <c r="A53" s="98" t="n">
        <v>64083</v>
      </c>
      <c r="B53" s="98" t="inlineStr">
        <is>
          <t>ALIZE DE FRANCE (GOLD)</t>
        </is>
      </c>
      <c r="C53" s="97">
        <f>VLOOKUP(A53,SizeData!A$2:B$3839,2,FALSE)</f>
        <v/>
      </c>
      <c r="D53" s="98" t="n">
        <v>1</v>
      </c>
      <c r="E53" s="98" t="inlineStr">
        <is>
          <t>R2009092</t>
        </is>
      </c>
      <c r="F53" s="99" t="n">
        <v>45001</v>
      </c>
      <c r="G53" s="100" t="n"/>
    </row>
    <row r="54" ht="16" customHeight="1">
      <c r="A54" s="98" t="n">
        <v>64085</v>
      </c>
      <c r="B54" s="98" t="inlineStr">
        <is>
          <t>ALIZE RED PASSION</t>
        </is>
      </c>
      <c r="C54" s="97">
        <f>VLOOKUP(A54,SizeData!A$2:B$3839,2,FALSE)</f>
        <v/>
      </c>
      <c r="D54" s="98" t="n">
        <v>1</v>
      </c>
      <c r="E54" s="98" t="inlineStr">
        <is>
          <t>R1936420</t>
        </is>
      </c>
      <c r="F54" s="99" t="n">
        <v>44937</v>
      </c>
      <c r="G54" s="100" t="n"/>
    </row>
    <row r="55" ht="16" customHeight="1">
      <c r="A55" s="98" t="n">
        <v>64085</v>
      </c>
      <c r="B55" s="98" t="inlineStr">
        <is>
          <t>ALIZE RED PASSION</t>
        </is>
      </c>
      <c r="C55" s="97">
        <f>VLOOKUP(A55,SizeData!A$2:B$3839,2,FALSE)</f>
        <v/>
      </c>
      <c r="D55" s="98" t="n">
        <v>1</v>
      </c>
      <c r="E55" s="98" t="inlineStr">
        <is>
          <t>R2009092</t>
        </is>
      </c>
      <c r="F55" s="99" t="n">
        <v>45001</v>
      </c>
      <c r="G55" s="100" t="n"/>
    </row>
    <row r="56" ht="16" customHeight="1">
      <c r="A56" s="98" t="n">
        <v>64085</v>
      </c>
      <c r="B56" s="98" t="inlineStr">
        <is>
          <t>ALIZE RED PASSION</t>
        </is>
      </c>
      <c r="C56" s="97">
        <f>VLOOKUP(A56,SizeData!A$2:B$3839,2,FALSE)</f>
        <v/>
      </c>
      <c r="D56" s="98" t="n">
        <v>1</v>
      </c>
      <c r="E56" s="98" t="inlineStr">
        <is>
          <t>R2041213</t>
        </is>
      </c>
      <c r="F56" s="99" t="n">
        <v>45010</v>
      </c>
      <c r="G56" s="100" t="n"/>
    </row>
    <row r="57" ht="16" customHeight="1">
      <c r="A57" s="98" t="n">
        <v>768676</v>
      </c>
      <c r="B57" s="98" t="inlineStr">
        <is>
          <t>ANDRE CHAMPAGNE MOSCATO</t>
        </is>
      </c>
      <c r="C57" s="97">
        <f>VLOOKUP(A57,SizeData!A$2:B$3839,2,FALSE)</f>
        <v/>
      </c>
      <c r="D57" s="98" t="n">
        <v>2</v>
      </c>
      <c r="E57" s="98" t="inlineStr">
        <is>
          <t>R1927120</t>
        </is>
      </c>
      <c r="F57" s="99" t="n">
        <v>44924</v>
      </c>
      <c r="G57" s="100" t="n"/>
    </row>
    <row r="58" ht="16" customHeight="1">
      <c r="A58" s="98" t="n">
        <v>64085</v>
      </c>
      <c r="B58" s="98" t="inlineStr">
        <is>
          <t>ALIZE RED PASSION</t>
        </is>
      </c>
      <c r="C58" s="97">
        <f>VLOOKUP(A58,SizeData!A$2:B$3839,2,FALSE)</f>
        <v/>
      </c>
      <c r="D58" s="98" t="n">
        <v>1</v>
      </c>
      <c r="E58" s="98" t="inlineStr">
        <is>
          <t>R2059149</t>
        </is>
      </c>
      <c r="F58" s="99" t="n">
        <v>45034</v>
      </c>
      <c r="G58" s="100" t="n"/>
    </row>
    <row r="59" ht="16" customHeight="1">
      <c r="A59" s="98" t="n">
        <v>741400</v>
      </c>
      <c r="B59" s="98" t="inlineStr">
        <is>
          <t>ANDRE CHAMPAGNE BRUT</t>
        </is>
      </c>
      <c r="C59" s="97">
        <f>VLOOKUP(A59,SizeData!A$2:B$3839,2,FALSE)</f>
        <v/>
      </c>
      <c r="D59" s="98" t="n">
        <v>3</v>
      </c>
      <c r="E59" s="98" t="inlineStr">
        <is>
          <t>R1919341</t>
        </is>
      </c>
      <c r="F59" s="99" t="n">
        <v>44930</v>
      </c>
      <c r="G59" s="100" t="n"/>
    </row>
    <row r="60" ht="16" customHeight="1">
      <c r="A60" s="98" t="n">
        <v>741400</v>
      </c>
      <c r="B60" s="98" t="inlineStr">
        <is>
          <t>ANDRE CHAMPAGNE BRUT</t>
        </is>
      </c>
      <c r="C60" s="97">
        <f>VLOOKUP(A60,SizeData!A$2:B$3839,2,FALSE)</f>
        <v/>
      </c>
      <c r="D60" s="98" t="n">
        <v>2</v>
      </c>
      <c r="E60" s="98" t="inlineStr">
        <is>
          <t>R2003147</t>
        </is>
      </c>
      <c r="F60" s="99" t="n">
        <v>44987</v>
      </c>
      <c r="G60" s="100" t="n"/>
    </row>
    <row r="61" ht="16" customHeight="1">
      <c r="A61" s="98" t="n">
        <v>768681</v>
      </c>
      <c r="B61" s="98" t="inlineStr">
        <is>
          <t>ANDRE CHAMPAGNE PEACH MOSCATO</t>
        </is>
      </c>
      <c r="C61" s="97">
        <f>VLOOKUP(A61,SizeData!A$2:B$3839,2,FALSE)</f>
        <v/>
      </c>
      <c r="D61" s="98" t="n">
        <v>5</v>
      </c>
      <c r="E61" s="98" t="inlineStr">
        <is>
          <t>R1903202</t>
        </is>
      </c>
      <c r="F61" s="99" t="n">
        <v>44905</v>
      </c>
      <c r="G61" s="100" t="n"/>
    </row>
    <row r="62" ht="16" customHeight="1">
      <c r="A62" s="98" t="n">
        <v>741400</v>
      </c>
      <c r="B62" s="98" t="inlineStr">
        <is>
          <t>ANDRE CHAMPAGNE BRUT</t>
        </is>
      </c>
      <c r="C62" s="97">
        <f>VLOOKUP(A62,SizeData!A$2:B$3839,2,FALSE)</f>
        <v/>
      </c>
      <c r="D62" s="98" t="n">
        <v>2</v>
      </c>
      <c r="E62" s="98" t="inlineStr">
        <is>
          <t>R2027602</t>
        </is>
      </c>
      <c r="F62" s="99" t="n">
        <v>45003</v>
      </c>
      <c r="G62" s="100" t="n"/>
    </row>
    <row r="63" ht="16" customHeight="1">
      <c r="A63" s="98" t="n">
        <v>768676</v>
      </c>
      <c r="B63" s="98" t="inlineStr">
        <is>
          <t>ANDRE CHAMPAGNE MOSCATO</t>
        </is>
      </c>
      <c r="C63" s="97">
        <f>VLOOKUP(A63,SizeData!A$2:B$3839,2,FALSE)</f>
        <v/>
      </c>
      <c r="D63" s="98" t="n">
        <v>2</v>
      </c>
      <c r="E63" s="98" t="inlineStr">
        <is>
          <t>R1984671</t>
        </is>
      </c>
      <c r="F63" s="99" t="n">
        <v>44986</v>
      </c>
      <c r="G63" s="100" t="n"/>
    </row>
    <row r="64" ht="16" customHeight="1">
      <c r="A64" s="98" t="n">
        <v>768676</v>
      </c>
      <c r="B64" s="98" t="inlineStr">
        <is>
          <t>ANDRE CHAMPAGNE MOSCATO</t>
        </is>
      </c>
      <c r="C64" s="97">
        <f>VLOOKUP(A64,SizeData!A$2:B$3839,2,FALSE)</f>
        <v/>
      </c>
      <c r="D64" s="98" t="n">
        <v>1</v>
      </c>
      <c r="E64" s="98" t="inlineStr">
        <is>
          <t>R2030138</t>
        </is>
      </c>
      <c r="F64" s="99" t="n">
        <v>44986</v>
      </c>
      <c r="G64" s="100" t="n"/>
    </row>
    <row r="65" ht="16" customHeight="1">
      <c r="A65" s="101" t="n">
        <v>768676</v>
      </c>
      <c r="B65" s="101" t="inlineStr">
        <is>
          <t>ANDRE CHAMPAGNE MOSCATO</t>
        </is>
      </c>
      <c r="C65" s="102">
        <f>VLOOKUP(A65,SizeData!A$2:B$3839,2,FALSE)</f>
        <v/>
      </c>
      <c r="D65" s="101" t="n">
        <v>1</v>
      </c>
      <c r="E65" s="101" t="inlineStr">
        <is>
          <t>R1984671</t>
        </is>
      </c>
      <c r="F65" s="103" t="n">
        <v>44986</v>
      </c>
      <c r="G65" s="104" t="n"/>
    </row>
    <row r="66" ht="16" customHeight="1">
      <c r="A66" s="98" t="n">
        <v>768681</v>
      </c>
      <c r="B66" s="98" t="inlineStr">
        <is>
          <t>ANDRE CHAMPAGNE PEACH MOSCATO</t>
        </is>
      </c>
      <c r="C66" s="97">
        <f>VLOOKUP(A66,SizeData!A$2:B$3839,2,FALSE)</f>
        <v/>
      </c>
      <c r="D66" s="98" t="n">
        <v>3</v>
      </c>
      <c r="E66" s="98" t="inlineStr">
        <is>
          <t>R1984671</t>
        </is>
      </c>
      <c r="F66" s="99" t="n">
        <v>44986</v>
      </c>
      <c r="G66" s="100" t="n"/>
    </row>
    <row r="67" ht="16" customHeight="1">
      <c r="A67" s="98" t="n">
        <v>768600</v>
      </c>
      <c r="B67" s="98" t="inlineStr">
        <is>
          <t>ANDRE CHAMPAGNE SPUMANTE</t>
        </is>
      </c>
      <c r="C67" s="97">
        <f>VLOOKUP(A67,SizeData!A$2:B$3839,2,FALSE)</f>
        <v/>
      </c>
      <c r="D67" s="98" t="n">
        <v>2</v>
      </c>
      <c r="E67" s="98" t="inlineStr">
        <is>
          <t>R1927120</t>
        </is>
      </c>
      <c r="F67" s="99" t="n">
        <v>44924</v>
      </c>
      <c r="G67" s="100" t="n"/>
    </row>
    <row r="68" ht="16" customHeight="1">
      <c r="A68" s="98" t="n">
        <v>768681</v>
      </c>
      <c r="B68" s="98" t="inlineStr">
        <is>
          <t>ANDRE CHAMPAGNE PEACH MOSCATO</t>
        </is>
      </c>
      <c r="C68" s="97">
        <f>VLOOKUP(A68,SizeData!A$2:B$3839,2,FALSE)</f>
        <v/>
      </c>
      <c r="D68" s="98" t="n">
        <v>1</v>
      </c>
      <c r="E68" s="98" t="inlineStr">
        <is>
          <t>R2030138</t>
        </is>
      </c>
      <c r="F68" s="99" t="n">
        <v>44986</v>
      </c>
      <c r="G68" s="100" t="n"/>
    </row>
    <row r="69" ht="16" customHeight="1">
      <c r="A69" s="98" t="n">
        <v>768678</v>
      </c>
      <c r="B69" s="98" t="inlineStr">
        <is>
          <t>ANDRE CHAMPAGNE PINK MOSCATO</t>
        </is>
      </c>
      <c r="C69" s="97">
        <f>VLOOKUP(A69,SizeData!A$2:B$3839,2,FALSE)</f>
        <v/>
      </c>
      <c r="D69" s="98" t="n">
        <v>1</v>
      </c>
      <c r="E69" s="98" t="inlineStr">
        <is>
          <t>R1919341</t>
        </is>
      </c>
      <c r="F69" s="99" t="n">
        <v>44930</v>
      </c>
      <c r="G69" s="100" t="n"/>
    </row>
    <row r="70" ht="16" customHeight="1">
      <c r="A70" s="98" t="n">
        <v>768678</v>
      </c>
      <c r="B70" s="98" t="inlineStr">
        <is>
          <t>ANDRE CHAMPAGNE PINK MOSCATO</t>
        </is>
      </c>
      <c r="C70" s="97">
        <f>VLOOKUP(A70,SizeData!A$2:B$3839,2,FALSE)</f>
        <v/>
      </c>
      <c r="D70" s="98" t="n">
        <v>2</v>
      </c>
      <c r="E70" s="98" t="inlineStr">
        <is>
          <t>R1984671</t>
        </is>
      </c>
      <c r="F70" s="99" t="n">
        <v>44986</v>
      </c>
      <c r="G70" s="100" t="n"/>
    </row>
    <row r="71" ht="16" customHeight="1">
      <c r="A71" s="98" t="n">
        <v>768678</v>
      </c>
      <c r="B71" s="98" t="inlineStr">
        <is>
          <t>ANDRE CHAMPAGNE PINK MOSCATO</t>
        </is>
      </c>
      <c r="C71" s="97">
        <f>VLOOKUP(A71,SizeData!A$2:B$3839,2,FALSE)</f>
        <v/>
      </c>
      <c r="D71" s="98" t="n">
        <v>1</v>
      </c>
      <c r="E71" s="98" t="inlineStr">
        <is>
          <t>R2030138</t>
        </is>
      </c>
      <c r="F71" s="99" t="n">
        <v>44986</v>
      </c>
      <c r="G71" s="100" t="n"/>
    </row>
    <row r="72" ht="16" customHeight="1">
      <c r="A72" s="98" t="n">
        <v>768600</v>
      </c>
      <c r="B72" s="98" t="inlineStr">
        <is>
          <t>ANDRE CHAMPAGNE SPUMANTE</t>
        </is>
      </c>
      <c r="C72" s="97">
        <f>VLOOKUP(A72,SizeData!A$2:B$3839,2,FALSE)</f>
        <v/>
      </c>
      <c r="D72" s="98" t="n">
        <v>1</v>
      </c>
      <c r="E72" s="98" t="inlineStr">
        <is>
          <t>R1919341</t>
        </is>
      </c>
      <c r="F72" s="99" t="n">
        <v>44930</v>
      </c>
      <c r="G72" s="100" t="n"/>
    </row>
    <row r="73" ht="16" customHeight="1">
      <c r="A73" s="98" t="n">
        <v>768692</v>
      </c>
      <c r="B73" s="98" t="inlineStr">
        <is>
          <t>ANDRE CHAMPAGNE STRAWBERRY MOSCATO</t>
        </is>
      </c>
      <c r="C73" s="97">
        <f>VLOOKUP(A73,SizeData!A$2:B$3839,2,FALSE)</f>
        <v/>
      </c>
      <c r="D73" s="98" t="n">
        <v>2</v>
      </c>
      <c r="E73" s="98" t="inlineStr">
        <is>
          <t>R1984671</t>
        </is>
      </c>
      <c r="F73" s="99" t="n">
        <v>44986</v>
      </c>
      <c r="G73" s="100" t="n"/>
    </row>
    <row r="74" ht="16" customHeight="1">
      <c r="A74" s="98" t="n">
        <v>768692</v>
      </c>
      <c r="B74" s="98" t="inlineStr">
        <is>
          <t>ANDRE CHAMPAGNE STRAWBERRY MOSCATO</t>
        </is>
      </c>
      <c r="C74" s="97">
        <f>VLOOKUP(A74,SizeData!A$2:B$3839,2,FALSE)</f>
        <v/>
      </c>
      <c r="D74" s="98" t="n">
        <v>1</v>
      </c>
      <c r="E74" s="98" t="inlineStr">
        <is>
          <t>R2030138</t>
        </is>
      </c>
      <c r="F74" s="99" t="n">
        <v>44986</v>
      </c>
      <c r="G74" s="100" t="n"/>
    </row>
    <row r="75" ht="16" customHeight="1">
      <c r="A75" s="98" t="n">
        <v>741200</v>
      </c>
      <c r="B75" s="98" t="inlineStr">
        <is>
          <t>ANDRE EXTRA DRY CHAMPAGNE</t>
        </is>
      </c>
      <c r="C75" s="97">
        <f>VLOOKUP(A75,SizeData!A$2:B$3839,2,FALSE)</f>
        <v/>
      </c>
      <c r="D75" s="98" t="n">
        <v>1</v>
      </c>
      <c r="E75" s="98" t="inlineStr">
        <is>
          <t>R1984671</t>
        </is>
      </c>
      <c r="F75" s="99" t="n">
        <v>44986</v>
      </c>
      <c r="G75" s="100" t="n"/>
    </row>
    <row r="76" ht="16" customHeight="1">
      <c r="A76" s="101" t="n">
        <v>741200</v>
      </c>
      <c r="B76" s="101" t="inlineStr">
        <is>
          <t>ANDRE EXTRA DRY CHAMPAGNE</t>
        </is>
      </c>
      <c r="C76" s="102">
        <f>VLOOKUP(A76,SizeData!A$2:B$3839,2,FALSE)</f>
        <v/>
      </c>
      <c r="D76" s="101" t="n">
        <v>1</v>
      </c>
      <c r="E76" s="101" t="inlineStr">
        <is>
          <t>R1984671</t>
        </is>
      </c>
      <c r="F76" s="103" t="n">
        <v>44986</v>
      </c>
      <c r="G76" s="104" t="n"/>
    </row>
    <row r="77" ht="16" customHeight="1">
      <c r="A77" s="98" t="n">
        <v>741200</v>
      </c>
      <c r="B77" s="98" t="inlineStr">
        <is>
          <t>ANDRE EXTRA DRY CHAMPAGNE</t>
        </is>
      </c>
      <c r="C77" s="97">
        <f>VLOOKUP(A77,SizeData!A$2:B$3839,2,FALSE)</f>
        <v/>
      </c>
      <c r="D77" s="98" t="n">
        <v>3</v>
      </c>
      <c r="E77" s="98" t="inlineStr">
        <is>
          <t>R2005977</t>
        </is>
      </c>
      <c r="F77" s="99" t="n">
        <v>44992</v>
      </c>
      <c r="G77" s="100" t="n"/>
    </row>
    <row r="78" ht="16" customHeight="1">
      <c r="A78" s="98" t="n">
        <v>47546</v>
      </c>
      <c r="B78" s="98" t="inlineStr">
        <is>
          <t>ANSAC V S COGNAC</t>
        </is>
      </c>
      <c r="C78" s="97">
        <f>VLOOKUP(A78,SizeData!A$2:B$3839,2,FALSE)</f>
        <v/>
      </c>
      <c r="D78" s="98" t="n">
        <v>3</v>
      </c>
      <c r="E78" s="98" t="inlineStr">
        <is>
          <t>R1906937</t>
        </is>
      </c>
      <c r="F78" s="99" t="n">
        <v>44911</v>
      </c>
      <c r="G78" s="100" t="n"/>
    </row>
    <row r="79" ht="16" customHeight="1">
      <c r="A79" s="98" t="n">
        <v>741200</v>
      </c>
      <c r="B79" s="98" t="inlineStr">
        <is>
          <t>ANDRE EXTRA DRY CHAMPAGNE</t>
        </is>
      </c>
      <c r="C79" s="97">
        <f>VLOOKUP(A79,SizeData!A$2:B$3839,2,FALSE)</f>
        <v/>
      </c>
      <c r="D79" s="98" t="n">
        <v>2</v>
      </c>
      <c r="E79" s="98" t="inlineStr">
        <is>
          <t>R2082317</t>
        </is>
      </c>
      <c r="F79" s="99" t="n">
        <v>45047</v>
      </c>
      <c r="G79" s="100" t="n"/>
    </row>
    <row r="80" ht="16" customHeight="1">
      <c r="A80" s="98" t="n">
        <v>741402</v>
      </c>
      <c r="B80" s="98" t="inlineStr">
        <is>
          <t>ANDRE PEACH BELLINI</t>
        </is>
      </c>
      <c r="C80" s="97">
        <f>VLOOKUP(A80,SizeData!A$2:B$3839,2,FALSE)</f>
        <v/>
      </c>
      <c r="D80" s="98" t="n">
        <v>5</v>
      </c>
      <c r="E80" s="98" t="inlineStr">
        <is>
          <t>R2017204</t>
        </is>
      </c>
      <c r="F80" s="99" t="n">
        <v>44991</v>
      </c>
      <c r="G80" s="100" t="n"/>
    </row>
    <row r="81" ht="16" customHeight="1">
      <c r="A81" s="98" t="n">
        <v>741403</v>
      </c>
      <c r="B81" s="98" t="inlineStr">
        <is>
          <t>ANDRE PINEAPPLE MIMOSA</t>
        </is>
      </c>
      <c r="C81" s="97">
        <f>VLOOKUP(A81,SizeData!A$2:B$3839,2,FALSE)</f>
        <v/>
      </c>
      <c r="D81" s="98" t="n">
        <v>1</v>
      </c>
      <c r="E81" s="98" t="inlineStr">
        <is>
          <t>R1961502</t>
        </is>
      </c>
      <c r="F81" s="99" t="n">
        <v>44953</v>
      </c>
      <c r="G81" s="100" t="n"/>
    </row>
    <row r="82" ht="16" customHeight="1">
      <c r="A82" s="98" t="n">
        <v>741403</v>
      </c>
      <c r="B82" s="98" t="inlineStr">
        <is>
          <t>ANDRE PINEAPPLE MIMOSA</t>
        </is>
      </c>
      <c r="C82" s="97">
        <f>VLOOKUP(A82,SizeData!A$2:B$3839,2,FALSE)</f>
        <v/>
      </c>
      <c r="D82" s="98" t="n">
        <v>1</v>
      </c>
      <c r="E82" s="98" t="inlineStr">
        <is>
          <t>R1967237</t>
        </is>
      </c>
      <c r="F82" s="99" t="n">
        <v>44958</v>
      </c>
      <c r="G82" s="100" t="n"/>
    </row>
    <row r="83" ht="16" customHeight="1">
      <c r="A83" s="98" t="n">
        <v>741403</v>
      </c>
      <c r="B83" s="98" t="inlineStr">
        <is>
          <t>ANDRE PINEAPPLE MIMOSA</t>
        </is>
      </c>
      <c r="C83" s="97">
        <f>VLOOKUP(A83,SizeData!A$2:B$3839,2,FALSE)</f>
        <v/>
      </c>
      <c r="D83" s="98" t="n">
        <v>9</v>
      </c>
      <c r="E83" s="98" t="inlineStr">
        <is>
          <t>R2002371</t>
        </is>
      </c>
      <c r="F83" s="99" t="n">
        <v>44986</v>
      </c>
      <c r="G83" s="100" t="n"/>
    </row>
    <row r="84" ht="16" customHeight="1">
      <c r="A84" s="98" t="n">
        <v>441978</v>
      </c>
      <c r="B84" s="98" t="inlineStr">
        <is>
          <t>APOTHIC INFERNO RED BLEND CALIFORNIA</t>
        </is>
      </c>
      <c r="C84" s="97">
        <f>VLOOKUP(A84,SizeData!A$2:B$3839,2,FALSE)</f>
        <v/>
      </c>
      <c r="D84" s="98" t="n">
        <v>2</v>
      </c>
      <c r="E84" s="98" t="inlineStr">
        <is>
          <t>R1904538</t>
        </is>
      </c>
      <c r="F84" s="99" t="n">
        <v>44917</v>
      </c>
      <c r="G84" s="100" t="n"/>
    </row>
    <row r="85" ht="16" customHeight="1">
      <c r="A85" s="101" t="n">
        <v>47548</v>
      </c>
      <c r="B85" s="101" t="inlineStr">
        <is>
          <t>ANSAC V S COGNAC</t>
        </is>
      </c>
      <c r="C85" s="102">
        <f>VLOOKUP(A85,SizeData!A$2:B$3839,2,FALSE)</f>
        <v/>
      </c>
      <c r="D85" s="101" t="n">
        <v>1</v>
      </c>
      <c r="E85" s="101" t="inlineStr">
        <is>
          <t>R2010122</t>
        </is>
      </c>
      <c r="F85" s="103" t="n">
        <v>44981</v>
      </c>
      <c r="G85" s="104" t="n"/>
    </row>
    <row r="86" ht="16" customHeight="1">
      <c r="A86" s="101" t="n">
        <v>47548</v>
      </c>
      <c r="B86" s="101" t="inlineStr">
        <is>
          <t>ANSAC V S COGNAC</t>
        </is>
      </c>
      <c r="C86" s="102">
        <f>VLOOKUP(A86,SizeData!A$2:B$3839,2,FALSE)</f>
        <v/>
      </c>
      <c r="D86" s="101" t="n">
        <v>1</v>
      </c>
      <c r="E86" s="101" t="inlineStr">
        <is>
          <t>R1999510</t>
        </is>
      </c>
      <c r="F86" s="103" t="n">
        <v>44987</v>
      </c>
      <c r="G86" s="104" t="n"/>
    </row>
    <row r="87" ht="16" customHeight="1">
      <c r="A87" s="98" t="n">
        <v>47548</v>
      </c>
      <c r="B87" s="98" t="inlineStr">
        <is>
          <t>ANSAC V S COGNAC</t>
        </is>
      </c>
      <c r="C87" s="97">
        <f>VLOOKUP(A87,SizeData!A$2:B$3839,2,FALSE)</f>
        <v/>
      </c>
      <c r="D87" s="98" t="n">
        <v>1</v>
      </c>
      <c r="E87" s="98" t="inlineStr">
        <is>
          <t>R2032001</t>
        </is>
      </c>
      <c r="F87" s="99" t="n">
        <v>45000</v>
      </c>
      <c r="G87" s="100" t="n"/>
    </row>
    <row r="88" ht="16" customHeight="1">
      <c r="A88" s="98" t="n">
        <v>47544</v>
      </c>
      <c r="B88" s="98" t="inlineStr">
        <is>
          <t>ANSAC V S COGNAC</t>
        </is>
      </c>
      <c r="C88" s="97">
        <f>VLOOKUP(A88,SizeData!A$2:B$3839,2,FALSE)</f>
        <v/>
      </c>
      <c r="D88" s="98" t="n">
        <v>1</v>
      </c>
      <c r="E88" s="98" t="inlineStr">
        <is>
          <t>R2073309</t>
        </is>
      </c>
      <c r="F88" s="99" t="n">
        <v>45038</v>
      </c>
      <c r="G88" s="100" t="n"/>
    </row>
    <row r="89" ht="16" customHeight="1">
      <c r="A89" s="98" t="n">
        <v>35084</v>
      </c>
      <c r="B89" s="98" t="inlineStr">
        <is>
          <t>ARISTOCRAT SUPREME VODKA</t>
        </is>
      </c>
      <c r="C89" s="97">
        <f>VLOOKUP(A89,SizeData!A$2:B$3839,2,FALSE)</f>
        <v/>
      </c>
      <c r="D89" s="98" t="n">
        <v>1</v>
      </c>
      <c r="E89" s="98" t="inlineStr">
        <is>
          <t>R1910748</t>
        </is>
      </c>
      <c r="F89" s="99" t="n">
        <v>44908</v>
      </c>
      <c r="G89" s="100" t="n"/>
    </row>
    <row r="90" ht="16" customHeight="1">
      <c r="A90" s="101" t="n">
        <v>47548</v>
      </c>
      <c r="B90" s="101" t="inlineStr">
        <is>
          <t>ANSAC V S COGNAC</t>
        </is>
      </c>
      <c r="C90" s="102">
        <f>VLOOKUP(A90,SizeData!A$2:B$3839,2,FALSE)</f>
        <v/>
      </c>
      <c r="D90" s="101" t="n">
        <v>1</v>
      </c>
      <c r="E90" s="101" t="inlineStr">
        <is>
          <t>R2073309</t>
        </is>
      </c>
      <c r="F90" s="103" t="n">
        <v>45038</v>
      </c>
      <c r="G90" s="104" t="n"/>
    </row>
    <row r="91" ht="16" customHeight="1">
      <c r="A91" s="98" t="n">
        <v>96008</v>
      </c>
      <c r="B91" s="98" t="inlineStr">
        <is>
          <t>APOTHIC DARK</t>
        </is>
      </c>
      <c r="C91" s="97">
        <f>VLOOKUP(A91,SizeData!A$2:B$3839,2,FALSE)</f>
        <v/>
      </c>
      <c r="D91" s="98" t="n">
        <v>1</v>
      </c>
      <c r="E91" s="98" t="inlineStr">
        <is>
          <t>R1978112</t>
        </is>
      </c>
      <c r="F91" s="99" t="n">
        <v>44972</v>
      </c>
      <c r="G91" s="100" t="n"/>
    </row>
    <row r="92" ht="16" customHeight="1">
      <c r="A92" s="98" t="n">
        <v>441978</v>
      </c>
      <c r="B92" s="98" t="inlineStr">
        <is>
          <t>APOTHIC INFERNO</t>
        </is>
      </c>
      <c r="C92" s="97">
        <f>VLOOKUP(A92,SizeData!A$2:B$3839,2,FALSE)</f>
        <v/>
      </c>
      <c r="D92" s="98" t="n">
        <v>1</v>
      </c>
      <c r="E92" s="98" t="inlineStr">
        <is>
          <t>R2055049</t>
        </is>
      </c>
      <c r="F92" s="99" t="n">
        <v>45017</v>
      </c>
      <c r="G92" s="100" t="n"/>
    </row>
    <row r="93" ht="16" customHeight="1">
      <c r="A93" s="98" t="n">
        <v>43803</v>
      </c>
      <c r="B93" s="98" t="inlineStr">
        <is>
          <t>APPLETON RARE CASKS 12YR SINGLE ESTATE RUM</t>
        </is>
      </c>
      <c r="C93" s="97">
        <f>VLOOKUP(A93,SizeData!A$2:B$3839,2,FALSE)</f>
        <v/>
      </c>
      <c r="D93" s="98" t="n">
        <v>1</v>
      </c>
      <c r="E93" s="98" t="inlineStr">
        <is>
          <t>R1933022</t>
        </is>
      </c>
      <c r="F93" s="99" t="n">
        <v>44942</v>
      </c>
      <c r="G93" s="100" t="n"/>
    </row>
    <row r="94" ht="16" customHeight="1">
      <c r="A94" s="98" t="n">
        <v>29098</v>
      </c>
      <c r="B94" s="98" t="inlineStr">
        <is>
          <t>ARISTOCRAT GIN</t>
        </is>
      </c>
      <c r="C94" s="97">
        <f>VLOOKUP(A94,SizeData!A$2:B$3839,2,FALSE)</f>
        <v/>
      </c>
      <c r="D94" s="98" t="n">
        <v>1</v>
      </c>
      <c r="E94" s="98" t="inlineStr">
        <is>
          <t>R2039044</t>
        </is>
      </c>
      <c r="F94" s="99" t="n">
        <v>45013</v>
      </c>
      <c r="G94" s="100" t="n"/>
    </row>
    <row r="95" ht="16" customHeight="1">
      <c r="A95" s="98" t="n">
        <v>35085</v>
      </c>
      <c r="B95" s="98" t="inlineStr">
        <is>
          <t>ARISTOCRAT SUPREME VODKA (PET)</t>
        </is>
      </c>
      <c r="C95" s="97">
        <f>VLOOKUP(A95,SizeData!A$2:B$3839,2,FALSE)</f>
        <v/>
      </c>
      <c r="D95" s="98" t="n">
        <v>1</v>
      </c>
      <c r="E95" s="98" t="inlineStr">
        <is>
          <t>R1906771</t>
        </is>
      </c>
      <c r="F95" s="99" t="n">
        <v>44908</v>
      </c>
      <c r="G95" s="100" t="n"/>
    </row>
    <row r="96" ht="16" customHeight="1">
      <c r="A96" s="98" t="n">
        <v>82211</v>
      </c>
      <c r="B96" s="98" t="inlineStr">
        <is>
          <t>ARISTOCRAT PEACH SCHNAPPS</t>
        </is>
      </c>
      <c r="C96" s="97">
        <f>VLOOKUP(A96,SizeData!A$2:B$3839,2,FALSE)</f>
        <v/>
      </c>
      <c r="D96" s="98" t="n">
        <v>1</v>
      </c>
      <c r="E96" s="98" t="inlineStr">
        <is>
          <t>R1944166</t>
        </is>
      </c>
      <c r="F96" s="99" t="n">
        <v>44947</v>
      </c>
      <c r="G96" s="100" t="n"/>
    </row>
    <row r="97" ht="16" customHeight="1">
      <c r="A97" s="98" t="n">
        <v>720850</v>
      </c>
      <c r="B97" s="98" t="inlineStr">
        <is>
          <t>ASTORIA SPARKLING MOSCATO</t>
        </is>
      </c>
      <c r="C97" s="97">
        <f>VLOOKUP(A97,SizeData!A$2:B$3839,2,FALSE)</f>
        <v/>
      </c>
      <c r="D97" s="98" t="n">
        <v>2</v>
      </c>
      <c r="E97" s="98" t="inlineStr">
        <is>
          <t>R1911923</t>
        </is>
      </c>
      <c r="F97" s="99" t="n">
        <v>44912</v>
      </c>
      <c r="G97" s="100" t="n"/>
    </row>
    <row r="98" ht="16" customHeight="1">
      <c r="A98" s="98" t="n">
        <v>43124</v>
      </c>
      <c r="B98" s="98" t="inlineStr">
        <is>
          <t xml:space="preserve">Bacardi </t>
        </is>
      </c>
      <c r="C98" s="97">
        <f>VLOOKUP(A98,SizeData!A$2:B$3839,2,FALSE)</f>
        <v/>
      </c>
      <c r="D98" s="98" t="n">
        <v>1</v>
      </c>
      <c r="E98" s="98" t="n"/>
      <c r="F98" s="99" t="n"/>
      <c r="G98" s="100" t="n"/>
    </row>
    <row r="99" ht="16" customHeight="1">
      <c r="A99" s="98" t="n">
        <v>43034</v>
      </c>
      <c r="B99" s="98" t="inlineStr">
        <is>
          <t>BACARDI GOLD DARK RUM</t>
        </is>
      </c>
      <c r="C99" s="97">
        <f>VLOOKUP(A99,SizeData!A$2:B$3839,2,FALSE)</f>
        <v/>
      </c>
      <c r="D99" s="98" t="n">
        <v>2</v>
      </c>
      <c r="E99" s="98" t="inlineStr">
        <is>
          <t>R1916440</t>
        </is>
      </c>
      <c r="F99" s="99" t="n">
        <v>44916</v>
      </c>
      <c r="G99" s="100" t="n"/>
    </row>
    <row r="100" ht="16" customHeight="1">
      <c r="A100" s="98" t="n">
        <v>82211</v>
      </c>
      <c r="B100" s="98" t="inlineStr">
        <is>
          <t>ARISTOCRAT PEACH SCHNAPPS</t>
        </is>
      </c>
      <c r="C100" s="97">
        <f>VLOOKUP(A100,SizeData!A$2:B$3839,2,FALSE)</f>
        <v/>
      </c>
      <c r="D100" s="98" t="n">
        <v>1</v>
      </c>
      <c r="E100" s="98" t="inlineStr">
        <is>
          <t>R1972521</t>
        </is>
      </c>
      <c r="F100" s="99" t="n">
        <v>44964</v>
      </c>
      <c r="G100" s="100" t="n"/>
    </row>
    <row r="101" ht="16" customHeight="1">
      <c r="A101" s="98" t="n">
        <v>82211</v>
      </c>
      <c r="B101" s="98" t="inlineStr">
        <is>
          <t>ARISTOCRAT PEACH SCHNAPPS</t>
        </is>
      </c>
      <c r="C101" s="97">
        <f>VLOOKUP(A101,SizeData!A$2:B$3839,2,FALSE)</f>
        <v/>
      </c>
      <c r="D101" s="98" t="n">
        <v>2</v>
      </c>
      <c r="E101" s="98" t="inlineStr">
        <is>
          <t>R2051950</t>
        </is>
      </c>
      <c r="F101" s="99" t="n">
        <v>45027</v>
      </c>
      <c r="G101" s="100" t="n"/>
    </row>
    <row r="102" ht="16" customHeight="1">
      <c r="A102" s="98" t="n">
        <v>35083</v>
      </c>
      <c r="B102" s="98" t="inlineStr">
        <is>
          <t>ARISTOCRAT SUPREME VODKA</t>
        </is>
      </c>
      <c r="C102" s="97">
        <f>VLOOKUP(A102,SizeData!A$2:B$3839,2,FALSE)</f>
        <v/>
      </c>
      <c r="D102" s="98" t="n">
        <v>1</v>
      </c>
      <c r="E102" s="98" t="inlineStr">
        <is>
          <t>R1970895</t>
        </is>
      </c>
      <c r="F102" s="99" t="n">
        <v>44961</v>
      </c>
      <c r="G102" s="100" t="n"/>
    </row>
    <row r="103" ht="16" customHeight="1">
      <c r="A103" s="98" t="n">
        <v>35084</v>
      </c>
      <c r="B103" s="98" t="inlineStr">
        <is>
          <t>ARISTOCRAT SUPREME VODKA</t>
        </is>
      </c>
      <c r="C103" s="97">
        <f>VLOOKUP(A103,SizeData!A$2:B$3839,2,FALSE)</f>
        <v/>
      </c>
      <c r="D103" s="98" t="n">
        <v>2</v>
      </c>
      <c r="E103" s="98" t="inlineStr">
        <is>
          <t>R1970895</t>
        </is>
      </c>
      <c r="F103" s="99" t="n">
        <v>44961</v>
      </c>
      <c r="G103" s="100" t="n"/>
    </row>
    <row r="104" ht="16" customHeight="1">
      <c r="A104" s="98" t="n">
        <v>35088</v>
      </c>
      <c r="B104" s="98" t="inlineStr">
        <is>
          <t>ARISTOCRAT SUPREME VODKA</t>
        </is>
      </c>
      <c r="C104" s="97">
        <f>VLOOKUP(A104,SizeData!A$2:B$3839,2,FALSE)</f>
        <v/>
      </c>
      <c r="D104" s="98" t="n">
        <v>3</v>
      </c>
      <c r="E104" s="98" t="inlineStr">
        <is>
          <t>R1971458</t>
        </is>
      </c>
      <c r="F104" s="99" t="n">
        <v>44961</v>
      </c>
      <c r="G104" s="100" t="n"/>
    </row>
    <row r="105" ht="16" customHeight="1">
      <c r="A105" s="98" t="n">
        <v>43040</v>
      </c>
      <c r="B105" s="98" t="inlineStr">
        <is>
          <t>BACARDI GOLD DARK RUM (PET)</t>
        </is>
      </c>
      <c r="C105" s="97">
        <f>VLOOKUP(A105,SizeData!A$2:B$3839,2,FALSE)</f>
        <v/>
      </c>
      <c r="D105" s="98" t="n">
        <v>4</v>
      </c>
      <c r="E105" s="98" t="inlineStr">
        <is>
          <t>R1916440</t>
        </is>
      </c>
      <c r="F105" s="99" t="n">
        <v>44916</v>
      </c>
      <c r="G105" s="100" t="n"/>
    </row>
    <row r="106" ht="16" customHeight="1">
      <c r="A106" s="98" t="n">
        <v>35088</v>
      </c>
      <c r="B106" s="98" t="inlineStr">
        <is>
          <t>ARISTOCRAT SUPREME VODKA</t>
        </is>
      </c>
      <c r="C106" s="97">
        <f>VLOOKUP(A106,SizeData!A$2:B$3839,2,FALSE)</f>
        <v/>
      </c>
      <c r="D106" s="98" t="n">
        <v>1</v>
      </c>
      <c r="E106" s="98" t="inlineStr">
        <is>
          <t>R1992599</t>
        </is>
      </c>
      <c r="F106" s="99" t="n">
        <v>44989</v>
      </c>
      <c r="G106" s="100" t="n"/>
    </row>
    <row r="107" ht="16" customHeight="1">
      <c r="A107" s="98" t="n">
        <v>35084</v>
      </c>
      <c r="B107" s="98" t="inlineStr">
        <is>
          <t>ARISTOCRAT SUPREME VODKA</t>
        </is>
      </c>
      <c r="C107" s="97">
        <f>VLOOKUP(A107,SizeData!A$2:B$3839,2,FALSE)</f>
        <v/>
      </c>
      <c r="D107" s="98" t="n">
        <v>1</v>
      </c>
      <c r="E107" s="98" t="inlineStr">
        <is>
          <t>R2062305</t>
        </is>
      </c>
      <c r="F107" s="99" t="n">
        <v>45024</v>
      </c>
      <c r="G107" s="100" t="n"/>
    </row>
    <row r="108" ht="16" customHeight="1">
      <c r="A108" s="98" t="n">
        <v>35084</v>
      </c>
      <c r="B108" s="98" t="inlineStr">
        <is>
          <t>ARISTOCRAT SUPREME VODKA</t>
        </is>
      </c>
      <c r="C108" s="97">
        <f>VLOOKUP(A108,SizeData!A$2:B$3839,2,FALSE)</f>
        <v/>
      </c>
      <c r="D108" s="98" t="n">
        <v>1</v>
      </c>
      <c r="E108" s="98" t="inlineStr">
        <is>
          <t>R2056672</t>
        </is>
      </c>
      <c r="F108" s="99" t="n">
        <v>45031</v>
      </c>
      <c r="G108" s="100" t="n"/>
    </row>
    <row r="109" ht="16" customHeight="1">
      <c r="A109" s="98" t="n">
        <v>35083</v>
      </c>
      <c r="B109" s="98" t="inlineStr">
        <is>
          <t>ARISTOCRAT SUPREME VODKA</t>
        </is>
      </c>
      <c r="C109" s="97">
        <f>VLOOKUP(A109,SizeData!A$2:B$3839,2,FALSE)</f>
        <v/>
      </c>
      <c r="D109" s="98" t="n">
        <v>1</v>
      </c>
      <c r="E109" s="98" t="inlineStr">
        <is>
          <t>R2073309</t>
        </is>
      </c>
      <c r="F109" s="99" t="n">
        <v>45038</v>
      </c>
      <c r="G109" s="100" t="n"/>
    </row>
    <row r="110" ht="16" customHeight="1">
      <c r="A110" s="98" t="n">
        <v>35088</v>
      </c>
      <c r="B110" s="98" t="inlineStr">
        <is>
          <t>ARISTOCRAT SUPREME VODKA</t>
        </is>
      </c>
      <c r="C110" s="97">
        <f>VLOOKUP(A110,SizeData!A$2:B$3839,2,FALSE)</f>
        <v/>
      </c>
      <c r="D110" s="98" t="n">
        <v>2</v>
      </c>
      <c r="E110" s="98" t="inlineStr">
        <is>
          <t>R2082982</t>
        </is>
      </c>
      <c r="F110" s="99" t="n">
        <v>45048</v>
      </c>
      <c r="G110" s="100" t="n"/>
    </row>
    <row r="111" ht="16" customHeight="1">
      <c r="A111" s="98" t="n">
        <v>35085</v>
      </c>
      <c r="B111" s="98" t="inlineStr">
        <is>
          <t>ARISTOCRAT SUPREME VODKA (PET)</t>
        </is>
      </c>
      <c r="C111" s="97">
        <f>VLOOKUP(A111,SizeData!A$2:B$3839,2,FALSE)</f>
        <v/>
      </c>
      <c r="D111" s="98" t="n">
        <v>1</v>
      </c>
      <c r="E111" s="98" t="inlineStr">
        <is>
          <t>R2036702</t>
        </is>
      </c>
      <c r="F111" s="99" t="n">
        <v>45007</v>
      </c>
      <c r="G111" s="100" t="n"/>
    </row>
    <row r="112" ht="16" customHeight="1">
      <c r="A112" s="98" t="n">
        <v>43038</v>
      </c>
      <c r="B112" s="98" t="inlineStr">
        <is>
          <t>BACARDI GOLD DARK RUM</t>
        </is>
      </c>
      <c r="C112" s="97">
        <f>VLOOKUP(A112,SizeData!A$2:B$3839,2,FALSE)</f>
        <v/>
      </c>
      <c r="D112" s="98" t="n">
        <v>2</v>
      </c>
      <c r="E112" s="98" t="inlineStr">
        <is>
          <t>R1962631</t>
        </is>
      </c>
      <c r="F112" s="99" t="n">
        <v>44959</v>
      </c>
      <c r="G112" s="100" t="n"/>
    </row>
    <row r="113" ht="16" customHeight="1">
      <c r="A113" s="98" t="n">
        <v>43038</v>
      </c>
      <c r="B113" s="98" t="inlineStr">
        <is>
          <t>BACARDI GOLD DARK RUM</t>
        </is>
      </c>
      <c r="C113" s="97">
        <f>VLOOKUP(A113,SizeData!A$2:B$3839,2,FALSE)</f>
        <v/>
      </c>
      <c r="D113" s="98" t="n">
        <v>3</v>
      </c>
      <c r="E113" s="98" t="inlineStr">
        <is>
          <t>R1973788</t>
        </is>
      </c>
      <c r="F113" s="99" t="n">
        <v>44972</v>
      </c>
      <c r="G113" s="100" t="n"/>
    </row>
    <row r="114" ht="16" customHeight="1">
      <c r="A114" s="98" t="n">
        <v>43120</v>
      </c>
      <c r="B114" s="98" t="inlineStr">
        <is>
          <t>BACARDI LIGHT RUM (PET)</t>
        </is>
      </c>
      <c r="C114" s="97">
        <f>VLOOKUP(A114,SizeData!A$2:B$3839,2,FALSE)</f>
        <v/>
      </c>
      <c r="D114" s="98" t="n">
        <v>3</v>
      </c>
      <c r="E114" s="98" t="inlineStr">
        <is>
          <t>R1906916</t>
        </is>
      </c>
      <c r="F114" s="99" t="n">
        <v>44905</v>
      </c>
      <c r="G114" s="100" t="n"/>
    </row>
    <row r="115" ht="16" customHeight="1">
      <c r="A115" s="98" t="n">
        <v>43120</v>
      </c>
      <c r="B115" s="98" t="inlineStr">
        <is>
          <t>BACARDI LIGHT RUM (PET)</t>
        </is>
      </c>
      <c r="C115" s="97">
        <f>VLOOKUP(A115,SizeData!A$2:B$3839,2,FALSE)</f>
        <v/>
      </c>
      <c r="D115" s="98" t="n">
        <v>2</v>
      </c>
      <c r="E115" s="98" t="inlineStr">
        <is>
          <t>R1916440</t>
        </is>
      </c>
      <c r="F115" s="99" t="n">
        <v>44916</v>
      </c>
      <c r="G115" s="100" t="n"/>
    </row>
    <row r="116" ht="16" customHeight="1">
      <c r="A116" s="101" t="n">
        <v>43034</v>
      </c>
      <c r="B116" s="101" t="inlineStr">
        <is>
          <t>BACARDI GOLD DARK RUM</t>
        </is>
      </c>
      <c r="C116" s="102">
        <f>VLOOKUP(A116,SizeData!A$2:B$3839,2,FALSE)</f>
        <v/>
      </c>
      <c r="D116" s="101" t="n">
        <v>1</v>
      </c>
      <c r="E116" s="101" t="inlineStr">
        <is>
          <t>R1987903</t>
        </is>
      </c>
      <c r="F116" s="103" t="n">
        <v>44971</v>
      </c>
      <c r="G116" s="104" t="n"/>
    </row>
    <row r="117" ht="16" customHeight="1">
      <c r="A117" s="98" t="n">
        <v>43036</v>
      </c>
      <c r="B117" s="98" t="inlineStr">
        <is>
          <t>BACARDI GOLD DARK RUM</t>
        </is>
      </c>
      <c r="C117" s="97">
        <f>VLOOKUP(A117,SizeData!A$2:B$3839,2,FALSE)</f>
        <v/>
      </c>
      <c r="D117" s="98" t="n">
        <v>4</v>
      </c>
      <c r="E117" s="98" t="inlineStr">
        <is>
          <t>R1974698</t>
        </is>
      </c>
      <c r="F117" s="99" t="n">
        <v>44979</v>
      </c>
      <c r="G117" s="100" t="n"/>
    </row>
    <row r="118" ht="16" customHeight="1">
      <c r="A118" s="98" t="n">
        <v>768950</v>
      </c>
      <c r="B118" s="98" t="inlineStr">
        <is>
          <t>BALLATORE SPUMANTE</t>
        </is>
      </c>
      <c r="C118" s="97">
        <f>VLOOKUP(A118,SizeData!A$2:B$3839,2,FALSE)</f>
        <v/>
      </c>
      <c r="D118" s="98" t="n">
        <v>2</v>
      </c>
      <c r="E118" s="98" t="inlineStr">
        <is>
          <t>R1903202</t>
        </is>
      </c>
      <c r="F118" s="99" t="n">
        <v>44905</v>
      </c>
      <c r="G118" s="100" t="n"/>
    </row>
    <row r="119" ht="16" customHeight="1">
      <c r="A119" s="98" t="n">
        <v>43034</v>
      </c>
      <c r="B119" s="98" t="inlineStr">
        <is>
          <t>BACARDI GOLD DARK RUM</t>
        </is>
      </c>
      <c r="C119" s="97">
        <f>VLOOKUP(A119,SizeData!A$2:B$3839,2,FALSE)</f>
        <v/>
      </c>
      <c r="D119" s="98" t="n">
        <v>1</v>
      </c>
      <c r="E119" s="98" t="inlineStr">
        <is>
          <t>R2055448</t>
        </is>
      </c>
      <c r="F119" s="99" t="n">
        <v>45021</v>
      </c>
      <c r="G119" s="100" t="n"/>
    </row>
    <row r="120" ht="16" customHeight="1">
      <c r="A120" s="98" t="n">
        <v>43036</v>
      </c>
      <c r="B120" s="98" t="inlineStr">
        <is>
          <t>BACARDI GOLD DARK RUM</t>
        </is>
      </c>
      <c r="C120" s="97">
        <f>VLOOKUP(A120,SizeData!A$2:B$3839,2,FALSE)</f>
        <v/>
      </c>
      <c r="D120" s="98" t="n">
        <v>1</v>
      </c>
      <c r="E120" s="98" t="inlineStr">
        <is>
          <t>R2082317</t>
        </is>
      </c>
      <c r="F120" s="99" t="n">
        <v>45047</v>
      </c>
      <c r="G120" s="100" t="n"/>
    </row>
    <row r="121" ht="16" customHeight="1">
      <c r="A121" s="98" t="n">
        <v>43036</v>
      </c>
      <c r="B121" s="98" t="inlineStr">
        <is>
          <t>BACARDI GOLD DARK RUM</t>
        </is>
      </c>
      <c r="C121" s="97">
        <f>VLOOKUP(A121,SizeData!A$2:B$3839,2,FALSE)</f>
        <v/>
      </c>
      <c r="D121" s="98" t="n">
        <v>4</v>
      </c>
      <c r="E121" s="98" t="inlineStr">
        <is>
          <t>R2083969</t>
        </is>
      </c>
      <c r="F121" s="99" t="n">
        <v>45049</v>
      </c>
      <c r="G121" s="100" t="n"/>
    </row>
    <row r="122" ht="16" customHeight="1">
      <c r="A122" s="98" t="n">
        <v>43040</v>
      </c>
      <c r="B122" s="98" t="inlineStr">
        <is>
          <t>BACARDI GOLD DARK RUM (PET)</t>
        </is>
      </c>
      <c r="C122" s="97">
        <f>VLOOKUP(A122,SizeData!A$2:B$3839,2,FALSE)</f>
        <v/>
      </c>
      <c r="D122" s="98" t="n">
        <v>2</v>
      </c>
      <c r="E122" s="98" t="inlineStr">
        <is>
          <t>R2006814</t>
        </is>
      </c>
      <c r="F122" s="99" t="n">
        <v>44988</v>
      </c>
      <c r="G122" s="100" t="n"/>
    </row>
    <row r="123" ht="16" customHeight="1">
      <c r="A123" s="101" t="n">
        <v>43040</v>
      </c>
      <c r="B123" s="101" t="inlineStr">
        <is>
          <t>BACARDI GOLD DARK RUM (PET)</t>
        </is>
      </c>
      <c r="C123" s="102">
        <f>VLOOKUP(A123,SizeData!A$2:B$3839,2,FALSE)</f>
        <v/>
      </c>
      <c r="D123" s="101" t="n">
        <v>4</v>
      </c>
      <c r="E123" s="101" t="inlineStr">
        <is>
          <t>R2006814</t>
        </is>
      </c>
      <c r="F123" s="103" t="n">
        <v>44988</v>
      </c>
      <c r="G123" s="104" t="n"/>
    </row>
    <row r="124" ht="16" customHeight="1">
      <c r="A124" s="98" t="n">
        <v>442563</v>
      </c>
      <c r="B124" s="98" t="inlineStr">
        <is>
          <t>BAREFOOT CELLARS RED MOSCATO CALIFORNIA</t>
        </is>
      </c>
      <c r="C124" s="97">
        <f>VLOOKUP(A124,SizeData!A$2:B$3839,2,FALSE)</f>
        <v/>
      </c>
      <c r="D124" s="98" t="n">
        <v>1</v>
      </c>
      <c r="E124" s="98" t="inlineStr">
        <is>
          <t>R1911923</t>
        </is>
      </c>
      <c r="F124" s="99" t="n">
        <v>44912</v>
      </c>
      <c r="G124" s="100" t="n"/>
    </row>
    <row r="125" ht="16" customHeight="1">
      <c r="A125" s="98" t="n">
        <v>442563</v>
      </c>
      <c r="B125" s="98" t="inlineStr">
        <is>
          <t>BAREFOOT CELLARS RED MOSCATO CALIFORNIA</t>
        </is>
      </c>
      <c r="C125" s="97">
        <f>VLOOKUP(A125,SizeData!A$2:B$3839,2,FALSE)</f>
        <v/>
      </c>
      <c r="D125" s="98" t="n">
        <v>1</v>
      </c>
      <c r="E125" s="98" t="inlineStr">
        <is>
          <t>R1927120</t>
        </is>
      </c>
      <c r="F125" s="99" t="n">
        <v>44924</v>
      </c>
      <c r="G125" s="100" t="n"/>
    </row>
    <row r="126" ht="16" customHeight="1">
      <c r="A126" s="98" t="n">
        <v>43126</v>
      </c>
      <c r="B126" s="98" t="inlineStr">
        <is>
          <t>BACARDI LIGHT RUM</t>
        </is>
      </c>
      <c r="C126" s="97">
        <f>VLOOKUP(A126,SizeData!A$2:B$3839,2,FALSE)</f>
        <v/>
      </c>
      <c r="D126" s="98" t="n">
        <v>1</v>
      </c>
      <c r="E126" s="98" t="inlineStr">
        <is>
          <t>R1949716</t>
        </is>
      </c>
      <c r="F126" s="99" t="n">
        <v>44950</v>
      </c>
      <c r="G126" s="100" t="n"/>
    </row>
    <row r="127" ht="16" customHeight="1">
      <c r="A127" s="98" t="n">
        <v>442562</v>
      </c>
      <c r="B127" s="98" t="inlineStr">
        <is>
          <t>BAREFOOT CELLARS RED MOSCATO CALIFORNIA</t>
        </is>
      </c>
      <c r="C127" s="97">
        <f>VLOOKUP(A127,SizeData!A$2:B$3839,2,FALSE)</f>
        <v/>
      </c>
      <c r="D127" s="98" t="n">
        <v>2</v>
      </c>
      <c r="E127" s="98" t="n"/>
      <c r="F127" s="99" t="n"/>
      <c r="G127" s="100" t="n"/>
    </row>
    <row r="128" ht="16" customHeight="1">
      <c r="A128" s="98" t="n">
        <v>43128</v>
      </c>
      <c r="B128" s="98" t="inlineStr">
        <is>
          <t>BACARDI LIGHT RUM</t>
        </is>
      </c>
      <c r="C128" s="97">
        <f>VLOOKUP(A128,SizeData!A$2:B$3839,2,FALSE)</f>
        <v/>
      </c>
      <c r="D128" s="98" t="n">
        <v>1</v>
      </c>
      <c r="E128" s="98" t="inlineStr">
        <is>
          <t>R1957712</t>
        </is>
      </c>
      <c r="F128" s="99" t="n">
        <v>44958</v>
      </c>
      <c r="G128" s="100" t="n"/>
    </row>
    <row r="129" ht="16" customHeight="1">
      <c r="A129" s="98" t="n">
        <v>544110</v>
      </c>
      <c r="B129" s="98" t="inlineStr">
        <is>
          <t>BAREFOOT MOSCATO CALIFORNIA</t>
        </is>
      </c>
      <c r="C129" s="97">
        <f>VLOOKUP(A129,SizeData!A$2:B$3839,2,FALSE)</f>
        <v/>
      </c>
      <c r="D129" s="98" t="n">
        <v>1</v>
      </c>
      <c r="E129" s="98" t="inlineStr">
        <is>
          <t>R1911923</t>
        </is>
      </c>
      <c r="F129" s="99" t="n">
        <v>44912</v>
      </c>
      <c r="G129" s="100" t="n"/>
    </row>
    <row r="130" ht="16" customHeight="1">
      <c r="A130" s="98" t="n">
        <v>43128</v>
      </c>
      <c r="B130" s="98" t="inlineStr">
        <is>
          <t>BACARDI LIGHT RUM</t>
        </is>
      </c>
      <c r="C130" s="97">
        <f>VLOOKUP(A130,SizeData!A$2:B$3839,2,FALSE)</f>
        <v/>
      </c>
      <c r="D130" s="98" t="n">
        <v>2</v>
      </c>
      <c r="E130" s="98" t="inlineStr">
        <is>
          <t>R1985947</t>
        </is>
      </c>
      <c r="F130" s="99" t="n">
        <v>44971</v>
      </c>
      <c r="G130" s="100" t="n"/>
    </row>
    <row r="131" ht="16" customHeight="1">
      <c r="A131" s="98" t="n">
        <v>43128</v>
      </c>
      <c r="B131" s="98" t="inlineStr">
        <is>
          <t>BACARDI LIGHT RUM</t>
        </is>
      </c>
      <c r="C131" s="97">
        <f>VLOOKUP(A131,SizeData!A$2:B$3839,2,FALSE)</f>
        <v/>
      </c>
      <c r="D131" s="98" t="n">
        <v>3</v>
      </c>
      <c r="E131" s="98" t="inlineStr">
        <is>
          <t>R1973788</t>
        </is>
      </c>
      <c r="F131" s="99" t="n">
        <v>44972</v>
      </c>
      <c r="G131" s="100" t="n"/>
    </row>
    <row r="132" ht="16" customHeight="1">
      <c r="A132" s="98" t="n">
        <v>43126</v>
      </c>
      <c r="B132" s="98" t="inlineStr">
        <is>
          <t>BACARDI LIGHT RUM</t>
        </is>
      </c>
      <c r="C132" s="97">
        <f>VLOOKUP(A132,SizeData!A$2:B$3839,2,FALSE)</f>
        <v/>
      </c>
      <c r="D132" s="98" t="n">
        <v>5</v>
      </c>
      <c r="E132" s="98" t="inlineStr">
        <is>
          <t>R1992338</t>
        </is>
      </c>
      <c r="F132" s="99" t="n">
        <v>44980</v>
      </c>
      <c r="G132" s="100" t="n"/>
    </row>
    <row r="133" ht="16" customHeight="1">
      <c r="A133" s="98" t="n">
        <v>43124</v>
      </c>
      <c r="B133" s="98" t="inlineStr">
        <is>
          <t>BACARDI LIGHT RUM</t>
        </is>
      </c>
      <c r="C133" s="97">
        <f>VLOOKUP(A133,SizeData!A$2:B$3839,2,FALSE)</f>
        <v/>
      </c>
      <c r="D133" s="98" t="n">
        <v>1</v>
      </c>
      <c r="E133" s="98" t="inlineStr">
        <is>
          <t>R2019856</t>
        </is>
      </c>
      <c r="F133" s="99" t="n">
        <v>45005</v>
      </c>
      <c r="G133" s="100" t="n"/>
    </row>
    <row r="134" ht="16" customHeight="1">
      <c r="A134" s="98" t="n">
        <v>43126</v>
      </c>
      <c r="B134" s="98" t="inlineStr">
        <is>
          <t>BACARDI LIGHT RUM</t>
        </is>
      </c>
      <c r="C134" s="97">
        <f>VLOOKUP(A134,SizeData!A$2:B$3839,2,FALSE)</f>
        <v/>
      </c>
      <c r="D134" s="98" t="n">
        <v>3</v>
      </c>
      <c r="E134" s="98" t="inlineStr">
        <is>
          <t>R2083969</t>
        </is>
      </c>
      <c r="F134" s="99" t="n">
        <v>45049</v>
      </c>
      <c r="G134" s="100" t="n"/>
    </row>
    <row r="135" ht="16" customHeight="1">
      <c r="A135" s="98" t="n">
        <v>43136</v>
      </c>
      <c r="B135" s="98" t="inlineStr">
        <is>
          <t>BACARDI LIMON RUM SPECIALTY</t>
        </is>
      </c>
      <c r="C135" s="97">
        <f>VLOOKUP(A135,SizeData!A$2:B$3839,2,FALSE)</f>
        <v/>
      </c>
      <c r="D135" s="98" t="n">
        <v>1</v>
      </c>
      <c r="E135" s="98" t="inlineStr">
        <is>
          <t>R1978112</t>
        </is>
      </c>
      <c r="F135" s="99" t="n">
        <v>44972</v>
      </c>
      <c r="G135" s="100" t="n"/>
    </row>
    <row r="136" ht="16" customHeight="1">
      <c r="A136" s="98" t="n">
        <v>768955</v>
      </c>
      <c r="B136" s="98" t="inlineStr">
        <is>
          <t>BALLATORE MOSCATO ROSE SPARKLING</t>
        </is>
      </c>
      <c r="C136" s="97">
        <f>VLOOKUP(A136,SizeData!A$2:B$3839,2,FALSE)</f>
        <v/>
      </c>
      <c r="D136" s="98" t="n">
        <v>1</v>
      </c>
      <c r="E136" s="98" t="inlineStr">
        <is>
          <t>R1984929</t>
        </is>
      </c>
      <c r="F136" s="99" t="n">
        <v>44980</v>
      </c>
      <c r="G136" s="100" t="n"/>
    </row>
    <row r="137" ht="16" customHeight="1">
      <c r="A137" s="98" t="n">
        <v>642112</v>
      </c>
      <c r="B137" s="98" t="inlineStr">
        <is>
          <t>BAREFOOT PINK MOSCATO CALIFORNIA</t>
        </is>
      </c>
      <c r="C137" s="97">
        <f>VLOOKUP(A137,SizeData!A$2:B$3839,2,FALSE)</f>
        <v/>
      </c>
      <c r="D137" s="98" t="n">
        <v>2</v>
      </c>
      <c r="E137" s="98" t="inlineStr">
        <is>
          <t>R1927120</t>
        </is>
      </c>
      <c r="F137" s="99" t="n">
        <v>44924</v>
      </c>
      <c r="G137" s="100" t="n"/>
    </row>
    <row r="138" ht="16" customHeight="1">
      <c r="A138" s="101" t="n">
        <v>768955</v>
      </c>
      <c r="B138" s="101" t="inlineStr">
        <is>
          <t>BALLATORE MOSCATO ROSE SPARKLING</t>
        </is>
      </c>
      <c r="C138" s="102">
        <f>VLOOKUP(A138,SizeData!A$2:B$3839,2,FALSE)</f>
        <v/>
      </c>
      <c r="D138" s="101" t="n">
        <v>1</v>
      </c>
      <c r="E138" s="101" t="inlineStr">
        <is>
          <t>R2074828</t>
        </is>
      </c>
      <c r="F138" s="103" t="n">
        <v>45045</v>
      </c>
      <c r="G138" s="104" t="n"/>
    </row>
    <row r="139" ht="16" customHeight="1">
      <c r="A139" s="98" t="n">
        <v>769007</v>
      </c>
      <c r="B139" s="98" t="inlineStr">
        <is>
          <t>BAREFOOT BUBBLY PINK MOSCATO</t>
        </is>
      </c>
      <c r="C139" s="97">
        <f>VLOOKUP(A139,SizeData!A$2:B$3839,2,FALSE)</f>
        <v/>
      </c>
      <c r="D139" s="98" t="n">
        <v>1</v>
      </c>
      <c r="E139" s="98" t="inlineStr">
        <is>
          <t>R2049198</t>
        </is>
      </c>
      <c r="F139" s="99" t="n">
        <v>45028</v>
      </c>
      <c r="G139" s="100" t="n"/>
    </row>
    <row r="140" ht="16" customHeight="1">
      <c r="A140" s="98" t="n">
        <v>809138</v>
      </c>
      <c r="B140" s="98" t="inlineStr">
        <is>
          <t>BAREFOOT CELLARS PEACH FRUIT SCATO</t>
        </is>
      </c>
      <c r="C140" s="97">
        <f>VLOOKUP(A140,SizeData!A$2:B$3839,2,FALSE)</f>
        <v/>
      </c>
      <c r="D140" s="98" t="n">
        <v>2</v>
      </c>
      <c r="E140" s="98" t="inlineStr">
        <is>
          <t>R1995808</t>
        </is>
      </c>
      <c r="F140" s="99" t="n">
        <v>44972</v>
      </c>
      <c r="G140" s="100" t="n"/>
    </row>
    <row r="141" ht="16" customHeight="1">
      <c r="A141" s="101" t="n">
        <v>809138</v>
      </c>
      <c r="B141" s="101" t="inlineStr">
        <is>
          <t>BAREFOOT CELLARS PEACH FRUIT SCATO</t>
        </is>
      </c>
      <c r="C141" s="102">
        <f>VLOOKUP(A141,SizeData!A$2:B$3839,2,FALSE)</f>
        <v/>
      </c>
      <c r="D141" s="101" t="n">
        <v>1</v>
      </c>
      <c r="E141" s="101" t="inlineStr">
        <is>
          <t>R2078944</t>
        </is>
      </c>
      <c r="F141" s="103" t="n">
        <v>45045</v>
      </c>
      <c r="G141" s="104" t="n"/>
    </row>
    <row r="142" ht="16" customHeight="1">
      <c r="A142" s="98" t="n">
        <v>809132</v>
      </c>
      <c r="B142" s="98" t="inlineStr">
        <is>
          <t>BAREFOOT CELLARS PEACH FRUIT-SCATO</t>
        </is>
      </c>
      <c r="C142" s="97">
        <f>VLOOKUP(A142,SizeData!A$2:B$3839,2,FALSE)</f>
        <v/>
      </c>
      <c r="D142" s="98" t="n">
        <v>1</v>
      </c>
      <c r="E142" s="98" t="inlineStr">
        <is>
          <t>R1939404</t>
        </is>
      </c>
      <c r="F142" s="99" t="n">
        <v>44942</v>
      </c>
      <c r="G142" s="100" t="n"/>
    </row>
    <row r="143" ht="16" customHeight="1">
      <c r="A143" s="98" t="n">
        <v>809132</v>
      </c>
      <c r="B143" s="98" t="inlineStr">
        <is>
          <t>BAREFOOT CELLARS PEACH FRUIT-SCATO</t>
        </is>
      </c>
      <c r="C143" s="97">
        <f>VLOOKUP(Warehouse!#REF!,SizeData!A$2:B$3839,2,FALSE)</f>
        <v/>
      </c>
      <c r="D143" s="98" t="n">
        <v>2</v>
      </c>
      <c r="E143" s="98" t="inlineStr">
        <is>
          <t>R1938333</t>
        </is>
      </c>
      <c r="F143" s="99" t="n">
        <v>44945</v>
      </c>
      <c r="G143" s="100" t="n"/>
    </row>
    <row r="144" ht="16" customHeight="1">
      <c r="A144" s="98" t="n">
        <v>809132</v>
      </c>
      <c r="B144" s="98" t="inlineStr">
        <is>
          <t>BAREFOOT CELLARS PEACH FRUIT-SCATO</t>
        </is>
      </c>
      <c r="C144" s="97">
        <f>VLOOKUP(A144,SizeData!A$2:B$3839,2,FALSE)</f>
        <v/>
      </c>
      <c r="D144" s="98" t="n">
        <v>2</v>
      </c>
      <c r="E144" s="98" t="inlineStr">
        <is>
          <t>R1966128</t>
        </is>
      </c>
      <c r="F144" s="99" t="n">
        <v>44956</v>
      </c>
      <c r="G144" s="100" t="n"/>
    </row>
    <row r="145" ht="16" customHeight="1">
      <c r="A145" s="98" t="n">
        <v>809132</v>
      </c>
      <c r="B145" s="98" t="inlineStr">
        <is>
          <t>BAREFOOT CELLARS PEACH FRUIT-SCATO</t>
        </is>
      </c>
      <c r="C145" s="97">
        <f>VLOOKUP(A145,SizeData!A$2:B$3839,2,FALSE)</f>
        <v/>
      </c>
      <c r="D145" s="98" t="n">
        <v>1</v>
      </c>
      <c r="E145" s="98" t="inlineStr">
        <is>
          <t>R2062305</t>
        </is>
      </c>
      <c r="F145" s="99" t="n">
        <v>45024</v>
      </c>
      <c r="G145" s="100" t="n"/>
    </row>
    <row r="146" ht="16" customHeight="1">
      <c r="A146" s="98" t="n">
        <v>442562</v>
      </c>
      <c r="B146" s="98" t="inlineStr">
        <is>
          <t>BAREFOOT CELLARS RED MOSCATO CALIFORNIA</t>
        </is>
      </c>
      <c r="C146" s="97">
        <f>VLOOKUP(A146,SizeData!A$2:B$3839,2,FALSE)</f>
        <v/>
      </c>
      <c r="D146" s="98" t="n">
        <v>2</v>
      </c>
      <c r="E146" s="98" t="inlineStr">
        <is>
          <t>R1924344</t>
        </is>
      </c>
      <c r="F146" s="99" t="n">
        <v>44933</v>
      </c>
      <c r="G146" s="100" t="n"/>
    </row>
    <row r="147" ht="16" customHeight="1">
      <c r="A147" s="98" t="n">
        <v>442562</v>
      </c>
      <c r="B147" s="98" t="inlineStr">
        <is>
          <t>BAREFOOT CELLARS RED MOSCATO CALIFORNIA</t>
        </is>
      </c>
      <c r="C147" s="97">
        <f>VLOOKUP(A147,SizeData!A$2:B$3839,2,FALSE)</f>
        <v/>
      </c>
      <c r="D147" s="98" t="n">
        <v>1</v>
      </c>
      <c r="E147" s="98" t="inlineStr">
        <is>
          <t>R2022490</t>
        </is>
      </c>
      <c r="F147" s="99" t="n">
        <v>45014</v>
      </c>
      <c r="G147" s="100" t="n"/>
    </row>
    <row r="148" ht="16" customHeight="1">
      <c r="A148" s="98" t="n">
        <v>442563</v>
      </c>
      <c r="B148" s="98" t="inlineStr">
        <is>
          <t>BAREFOOT CELLARS RED MOSCATO CALIFORNIA</t>
        </is>
      </c>
      <c r="C148" s="97">
        <f>VLOOKUP(A148,SizeData!A$2:B$3839,2,FALSE)</f>
        <v/>
      </c>
      <c r="D148" s="98" t="n">
        <v>2</v>
      </c>
      <c r="E148" s="98" t="inlineStr">
        <is>
          <t>R2078944</t>
        </is>
      </c>
      <c r="F148" s="99" t="n">
        <v>45045</v>
      </c>
      <c r="G148" s="100" t="n"/>
    </row>
    <row r="149" ht="16" customHeight="1">
      <c r="A149" s="98" t="n">
        <v>544110</v>
      </c>
      <c r="B149" s="98" t="inlineStr">
        <is>
          <t>BAREFOOT MOSCATO CALIFORNIA</t>
        </is>
      </c>
      <c r="C149" s="97">
        <f>VLOOKUP(A149,SizeData!A$2:B$3839,2,FALSE)</f>
        <v/>
      </c>
      <c r="D149" s="98" t="n">
        <v>2</v>
      </c>
      <c r="E149" s="98" t="inlineStr">
        <is>
          <t>R1995714</t>
        </is>
      </c>
      <c r="F149" s="99" t="n">
        <v>44972</v>
      </c>
      <c r="G149" s="100" t="n"/>
    </row>
    <row r="150" ht="16" customHeight="1">
      <c r="A150" s="98" t="n">
        <v>544107</v>
      </c>
      <c r="B150" s="98" t="inlineStr">
        <is>
          <t>BAREFOOT MOSCATO CALIFORNIA (PET)</t>
        </is>
      </c>
      <c r="C150" s="97">
        <f>VLOOKUP(A150,SizeData!A$2:B$3839,2,FALSE)</f>
        <v/>
      </c>
      <c r="D150" s="98" t="n">
        <v>1</v>
      </c>
      <c r="E150" s="98" t="inlineStr">
        <is>
          <t>R1922178</t>
        </is>
      </c>
      <c r="F150" s="99" t="n">
        <v>44929</v>
      </c>
      <c r="G150" s="100" t="n"/>
    </row>
    <row r="151" ht="16" customHeight="1">
      <c r="A151" s="98" t="n">
        <v>544107</v>
      </c>
      <c r="B151" s="98" t="inlineStr">
        <is>
          <t>BAREFOOT MOSCATO CALIFORNIA (PET)</t>
        </is>
      </c>
      <c r="C151" s="97">
        <f>VLOOKUP(A151,SizeData!A$2:B$3839,2,FALSE)</f>
        <v/>
      </c>
      <c r="D151" s="98" t="n">
        <v>1</v>
      </c>
      <c r="E151" s="98" t="inlineStr">
        <is>
          <t>R1933022</t>
        </is>
      </c>
      <c r="F151" s="99" t="n">
        <v>44942</v>
      </c>
      <c r="G151" s="100" t="n"/>
    </row>
    <row r="152" ht="16" customHeight="1">
      <c r="A152" s="98" t="n">
        <v>544107</v>
      </c>
      <c r="B152" s="98" t="inlineStr">
        <is>
          <t>BAREFOOT MOSCATO CALIFORNIA (PET)</t>
        </is>
      </c>
      <c r="C152" s="97">
        <f>VLOOKUP(A152,SizeData!A$2:B$3839,2,FALSE)</f>
        <v/>
      </c>
      <c r="D152" s="98" t="n">
        <v>1</v>
      </c>
      <c r="E152" s="98" t="inlineStr">
        <is>
          <t>R2027408</t>
        </is>
      </c>
      <c r="F152" s="99" t="n">
        <v>45003</v>
      </c>
      <c r="G152" s="100" t="n"/>
    </row>
    <row r="153" ht="16" customHeight="1">
      <c r="A153" s="98" t="n">
        <v>544107</v>
      </c>
      <c r="B153" s="98" t="inlineStr">
        <is>
          <t>BAREFOOT MOSCATO CALIFORNIA (PET)</t>
        </is>
      </c>
      <c r="C153" s="97">
        <f>VLOOKUP(A153,SizeData!A$2:B$3839,2,FALSE)</f>
        <v/>
      </c>
      <c r="D153" s="98" t="n">
        <v>1</v>
      </c>
      <c r="E153" s="98" t="inlineStr">
        <is>
          <t>R2031201</t>
        </is>
      </c>
      <c r="F153" s="99" t="n">
        <v>44999</v>
      </c>
      <c r="G153" s="100" t="n"/>
    </row>
    <row r="154" ht="16" customHeight="1">
      <c r="A154" s="98" t="n">
        <v>544107</v>
      </c>
      <c r="B154" s="98" t="inlineStr">
        <is>
          <t>BAREFOOT MOSCATO CALIFORNIA (PET)</t>
        </is>
      </c>
      <c r="C154" s="97">
        <f>VLOOKUP(A154,SizeData!A$2:B$3839,2,FALSE)</f>
        <v/>
      </c>
      <c r="D154" s="98" t="n">
        <v>1</v>
      </c>
      <c r="E154" s="98" t="inlineStr">
        <is>
          <t>R2027408</t>
        </is>
      </c>
      <c r="F154" s="99" t="n">
        <v>45003</v>
      </c>
      <c r="G154" s="100" t="n"/>
    </row>
    <row r="155" ht="16" customHeight="1">
      <c r="A155" s="98" t="n">
        <v>34163</v>
      </c>
      <c r="B155" s="98" t="inlineStr">
        <is>
          <t>BELVEDERE VODKA</t>
        </is>
      </c>
      <c r="C155" s="97">
        <f>VLOOKUP(A155,SizeData!A$2:B$3839,2,FALSE)</f>
        <v/>
      </c>
      <c r="D155" s="98" t="n">
        <v>3</v>
      </c>
      <c r="E155" s="98" t="inlineStr">
        <is>
          <t>R1911923</t>
        </is>
      </c>
      <c r="F155" s="99" t="n">
        <v>44912</v>
      </c>
      <c r="G155" s="100" t="n"/>
    </row>
    <row r="156" ht="16" customHeight="1">
      <c r="A156" s="98" t="n">
        <v>544109</v>
      </c>
      <c r="B156" s="98" t="inlineStr">
        <is>
          <t>BAREFOOT MOSCATO CALLIFORNIA</t>
        </is>
      </c>
      <c r="C156" s="97">
        <f>VLOOKUP(A156,SizeData!A$2:B$3839,2,FALSE)</f>
        <v/>
      </c>
      <c r="D156" s="98" t="n">
        <v>2</v>
      </c>
      <c r="E156" s="98" t="inlineStr">
        <is>
          <t>R1939404</t>
        </is>
      </c>
      <c r="F156" s="99" t="n">
        <v>44942</v>
      </c>
      <c r="G156" s="100" t="n"/>
    </row>
    <row r="157" ht="16" customHeight="1">
      <c r="A157" s="98" t="n">
        <v>642110</v>
      </c>
      <c r="B157" s="98" t="inlineStr">
        <is>
          <t>BAREFOOT PINK MOSCATO CALIFORNIA</t>
        </is>
      </c>
      <c r="C157" s="97">
        <f>VLOOKUP(A157,SizeData!A$2:B$3839,2,FALSE)</f>
        <v/>
      </c>
      <c r="D157" s="98" t="n">
        <v>1</v>
      </c>
      <c r="E157" s="98" t="inlineStr">
        <is>
          <t>R1939404</t>
        </is>
      </c>
      <c r="F157" s="99" t="n">
        <v>44942</v>
      </c>
      <c r="G157" s="100" t="n"/>
    </row>
    <row r="158" ht="16" customHeight="1">
      <c r="A158" s="98" t="n">
        <v>548561</v>
      </c>
      <c r="B158" s="98" t="inlineStr">
        <is>
          <t>BERINGER CALIF CHARDONNAY (BONUS)</t>
        </is>
      </c>
      <c r="C158" s="97">
        <f>VLOOKUP(A158,SizeData!A$2:B$3839,2,FALSE)</f>
        <v/>
      </c>
      <c r="D158" s="98" t="n">
        <v>1</v>
      </c>
      <c r="E158" s="98" t="inlineStr">
        <is>
          <t>R1911923</t>
        </is>
      </c>
      <c r="F158" s="99" t="n">
        <v>44912</v>
      </c>
      <c r="G158" s="100" t="n"/>
    </row>
    <row r="159" ht="16" customHeight="1">
      <c r="A159" s="98" t="n">
        <v>444231</v>
      </c>
      <c r="B159" s="98" t="inlineStr">
        <is>
          <t>BERINGER CALIF MERLOT (BONUS)</t>
        </is>
      </c>
      <c r="C159" s="97">
        <f>VLOOKUP(A159,SizeData!A$2:B$3839,2,FALSE)</f>
        <v/>
      </c>
      <c r="D159" s="98" t="n">
        <v>1</v>
      </c>
      <c r="E159" s="98" t="inlineStr">
        <is>
          <t>R1927120</t>
        </is>
      </c>
      <c r="F159" s="99" t="n">
        <v>44924</v>
      </c>
      <c r="G159" s="100" t="n"/>
    </row>
    <row r="160" ht="16" customHeight="1">
      <c r="A160" s="98" t="n">
        <v>442569</v>
      </c>
      <c r="B160" s="98" t="inlineStr">
        <is>
          <t>BAREFOOT RED MOSCATO CALIFORNIA (PET)</t>
        </is>
      </c>
      <c r="C160" s="97">
        <f>VLOOKUP(A160,SizeData!A$2:B$3839,2,FALSE)</f>
        <v/>
      </c>
      <c r="D160" s="98" t="n">
        <v>1</v>
      </c>
      <c r="E160" s="98" t="inlineStr">
        <is>
          <t>R1933022</t>
        </is>
      </c>
      <c r="F160" s="99" t="n">
        <v>44942</v>
      </c>
      <c r="G160" s="100" t="n"/>
    </row>
    <row r="161" ht="16" customHeight="1">
      <c r="A161" s="98" t="n">
        <v>643031</v>
      </c>
      <c r="B161" s="98" t="inlineStr">
        <is>
          <t>BERINGER CALIF WHITE MERLOT (BONUS)</t>
        </is>
      </c>
      <c r="C161" s="97">
        <f>VLOOKUP(A161,SizeData!A$2:B$3839,2,FALSE)</f>
        <v/>
      </c>
      <c r="D161" s="98" t="n">
        <v>1</v>
      </c>
      <c r="E161" s="98" t="inlineStr">
        <is>
          <t>R1911923</t>
        </is>
      </c>
      <c r="F161" s="99" t="n">
        <v>44912</v>
      </c>
      <c r="G161" s="100" t="n"/>
    </row>
    <row r="162" ht="16" customHeight="1">
      <c r="A162" s="98" t="n">
        <v>643031</v>
      </c>
      <c r="B162" s="98" t="inlineStr">
        <is>
          <t>BERINGER CALIF WHITE MERLOT (BONUS)</t>
        </is>
      </c>
      <c r="C162" s="97">
        <f>VLOOKUP(A162,SizeData!A$2:B$3839,2,FALSE)</f>
        <v/>
      </c>
      <c r="D162" s="98" t="n">
        <v>1</v>
      </c>
      <c r="E162" s="98" t="inlineStr">
        <is>
          <t>R1927120</t>
        </is>
      </c>
      <c r="F162" s="99" t="n">
        <v>44924</v>
      </c>
      <c r="G162" s="100" t="n"/>
    </row>
    <row r="163" ht="16" customHeight="1">
      <c r="A163" s="98" t="n">
        <v>643041</v>
      </c>
      <c r="B163" s="98" t="inlineStr">
        <is>
          <t>BERINGER CALIF WHITE ZINFANDEL</t>
        </is>
      </c>
      <c r="C163" s="97">
        <f>VLOOKUP(A163,SizeData!A$2:B$3839,2,FALSE)</f>
        <v/>
      </c>
      <c r="D163" s="98" t="n">
        <v>2</v>
      </c>
      <c r="E163" s="98" t="inlineStr">
        <is>
          <t>R1903667</t>
        </is>
      </c>
      <c r="F163" s="99" t="n">
        <v>44915</v>
      </c>
      <c r="G163" s="100" t="n"/>
    </row>
    <row r="164" ht="16" customHeight="1">
      <c r="A164" s="98" t="n">
        <v>442569</v>
      </c>
      <c r="B164" s="98" t="inlineStr">
        <is>
          <t>BAREFOOT RED MOSCATO CALIFORNIA (PET)</t>
        </is>
      </c>
      <c r="C164" s="97">
        <f>VLOOKUP(A164,SizeData!A$2:B$3839,2,FALSE)</f>
        <v/>
      </c>
      <c r="D164" s="98" t="n">
        <v>1</v>
      </c>
      <c r="E164" s="98" t="inlineStr">
        <is>
          <t>R1946720</t>
        </is>
      </c>
      <c r="F164" s="99" t="n">
        <v>44943</v>
      </c>
      <c r="G164" s="100" t="n"/>
    </row>
    <row r="165" ht="16" customHeight="1">
      <c r="A165" s="98" t="n">
        <v>442569</v>
      </c>
      <c r="B165" s="98" t="inlineStr">
        <is>
          <t>BAREFOOT RED MOSCATO CALIFORNIA (PET)</t>
        </is>
      </c>
      <c r="C165" s="97">
        <f>VLOOKUP(A165,SizeData!A$2:B$3839,2,FALSE)</f>
        <v/>
      </c>
      <c r="D165" s="98" t="n">
        <v>1</v>
      </c>
      <c r="E165" s="98" t="inlineStr">
        <is>
          <t>R2022490</t>
        </is>
      </c>
      <c r="F165" s="99" t="n">
        <v>45014</v>
      </c>
      <c r="G165" s="100" t="n"/>
    </row>
    <row r="166" ht="16" customHeight="1">
      <c r="A166" s="98" t="n">
        <v>643024</v>
      </c>
      <c r="B166" s="98" t="inlineStr">
        <is>
          <t>BERINGER MAIN &amp; VINE PINK MOSCATO</t>
        </is>
      </c>
      <c r="C166" s="97">
        <f>VLOOKUP(A166,SizeData!A$2:B$3839,2,FALSE)</f>
        <v/>
      </c>
      <c r="D166" s="98" t="n">
        <v>2</v>
      </c>
      <c r="E166" s="98" t="inlineStr">
        <is>
          <t>R1911923</t>
        </is>
      </c>
      <c r="F166" s="99" t="n">
        <v>44912</v>
      </c>
      <c r="G166" s="100" t="n"/>
    </row>
    <row r="167" ht="16" customHeight="1">
      <c r="A167" s="98" t="n">
        <v>643024</v>
      </c>
      <c r="B167" s="98" t="inlineStr">
        <is>
          <t>BERINGER MAIN &amp; VINE PINK MOSCATO</t>
        </is>
      </c>
      <c r="C167" s="97">
        <f>VLOOKUP(A167,SizeData!A$2:B$3839,2,FALSE)</f>
        <v/>
      </c>
      <c r="D167" s="98" t="n">
        <v>2</v>
      </c>
      <c r="E167" s="98" t="inlineStr">
        <is>
          <t>R1903667</t>
        </is>
      </c>
      <c r="F167" s="99" t="n">
        <v>44915</v>
      </c>
      <c r="G167" s="100" t="n"/>
    </row>
    <row r="168" ht="16" customHeight="1">
      <c r="A168" s="98" t="n">
        <v>445836</v>
      </c>
      <c r="B168" s="98" t="inlineStr">
        <is>
          <t>BERINGER MAIN &amp; VINE RED MOSCATO</t>
        </is>
      </c>
      <c r="C168" s="97">
        <f>VLOOKUP(A168,SizeData!A$2:B$3839,2,FALSE)</f>
        <v/>
      </c>
      <c r="D168" s="98" t="n">
        <v>2</v>
      </c>
      <c r="E168" s="98" t="inlineStr">
        <is>
          <t>R1927120</t>
        </is>
      </c>
      <c r="F168" s="99" t="n">
        <v>44924</v>
      </c>
      <c r="G168" s="100" t="n"/>
    </row>
    <row r="169" ht="16" customHeight="1">
      <c r="A169" s="98" t="n">
        <v>57049</v>
      </c>
      <c r="B169" s="98" t="inlineStr">
        <is>
          <t>BARTON LONG ISLAND ICE TEA</t>
        </is>
      </c>
      <c r="C169" s="97">
        <f>VLOOKUP(A169,SizeData!A$2:B$3839,2,FALSE)</f>
        <v/>
      </c>
      <c r="D169" s="98" t="n">
        <v>3</v>
      </c>
      <c r="E169" s="98" t="inlineStr">
        <is>
          <t>R1984049</t>
        </is>
      </c>
      <c r="F169" s="99" t="n">
        <v>44984</v>
      </c>
      <c r="G169" s="100" t="n"/>
    </row>
    <row r="170" ht="16" customHeight="1">
      <c r="A170" s="98" t="n">
        <v>546437</v>
      </c>
      <c r="B170" s="98" t="inlineStr">
        <is>
          <t>BERINGER PINOT GRIGIO AMERICAN</t>
        </is>
      </c>
      <c r="C170" s="97">
        <f>VLOOKUP(A170,SizeData!A$2:B$3839,2,FALSE)</f>
        <v/>
      </c>
      <c r="D170" s="98" t="n">
        <v>1</v>
      </c>
      <c r="E170" s="98" t="inlineStr">
        <is>
          <t>R1903667</t>
        </is>
      </c>
      <c r="F170" s="99" t="n">
        <v>44915</v>
      </c>
      <c r="G170" s="100" t="n"/>
    </row>
    <row r="171" ht="16" customHeight="1">
      <c r="A171" s="98" t="n">
        <v>57051</v>
      </c>
      <c r="B171" s="98" t="inlineStr">
        <is>
          <t>BARTON LONG ISLAND ICED TEA</t>
        </is>
      </c>
      <c r="C171" s="97">
        <f>VLOOKUP(A171,SizeData!A$2:B$3839,2,FALSE)</f>
        <v/>
      </c>
      <c r="D171" s="98" t="n">
        <v>1</v>
      </c>
      <c r="E171" s="98" t="inlineStr">
        <is>
          <t>R1929741</t>
        </is>
      </c>
      <c r="F171" s="99" t="n">
        <v>44935</v>
      </c>
      <c r="G171" s="100" t="n"/>
    </row>
    <row r="172" ht="16" customHeight="1">
      <c r="A172" s="98" t="n">
        <v>57051</v>
      </c>
      <c r="B172" s="98" t="inlineStr">
        <is>
          <t>BARTON LONG ISLAND ICED TEA</t>
        </is>
      </c>
      <c r="C172" s="97">
        <f>VLOOKUP(A172,SizeData!A$2:B$3839,2,FALSE)</f>
        <v/>
      </c>
      <c r="D172" s="98" t="n">
        <v>1</v>
      </c>
      <c r="E172" s="98" t="inlineStr">
        <is>
          <t>R1939504</t>
        </is>
      </c>
      <c r="F172" s="99" t="n">
        <v>44940</v>
      </c>
      <c r="G172" s="100" t="n"/>
    </row>
    <row r="173" ht="16" customHeight="1">
      <c r="A173" s="98" t="n">
        <v>57051</v>
      </c>
      <c r="B173" s="98" t="inlineStr">
        <is>
          <t>BARTON LONG ISLAND ICED TEA</t>
        </is>
      </c>
      <c r="C173" s="97">
        <f>VLOOKUP(A173,SizeData!A$2:B$3839,2,FALSE)</f>
        <v/>
      </c>
      <c r="D173" s="98" t="n">
        <v>1</v>
      </c>
      <c r="E173" s="98" t="inlineStr">
        <is>
          <t>R1949716</t>
        </is>
      </c>
      <c r="F173" s="99" t="n">
        <v>44950</v>
      </c>
      <c r="G173" s="100" t="n"/>
    </row>
    <row r="174" ht="16" customHeight="1">
      <c r="A174" s="98" t="n">
        <v>11588</v>
      </c>
      <c r="B174" s="98" t="inlineStr">
        <is>
          <t>BLACK VELVET RESERVE PREMIUM SIPPING</t>
        </is>
      </c>
      <c r="C174" s="97">
        <f>VLOOKUP(A174,SizeData!A$2:B$3839,2,FALSE)</f>
        <v/>
      </c>
      <c r="D174" s="98" t="n">
        <v>1</v>
      </c>
      <c r="E174" s="98" t="inlineStr">
        <is>
          <t>R1911923</t>
        </is>
      </c>
      <c r="F174" s="99" t="n">
        <v>44912</v>
      </c>
      <c r="G174" s="100" t="n"/>
    </row>
    <row r="175" ht="16" customHeight="1">
      <c r="A175" s="98" t="n">
        <v>28210</v>
      </c>
      <c r="B175" s="98" t="inlineStr">
        <is>
          <t>BOMBAY SAPPHIRE EAST GIN</t>
        </is>
      </c>
      <c r="C175" s="97">
        <f>VLOOKUP(A175,SizeData!A$2:B$3839,2,FALSE)</f>
        <v/>
      </c>
      <c r="D175" s="98" t="n">
        <v>1</v>
      </c>
      <c r="E175" s="98" t="inlineStr">
        <is>
          <t>R1911923</t>
        </is>
      </c>
      <c r="F175" s="99" t="n">
        <v>44912</v>
      </c>
      <c r="G175" s="100" t="n"/>
    </row>
    <row r="176" ht="16" customHeight="1">
      <c r="A176" s="98" t="n">
        <v>16676</v>
      </c>
      <c r="B176" s="98" t="inlineStr">
        <is>
          <t>BASIL HAYDEN'S STRAIGHT BOURBON</t>
        </is>
      </c>
      <c r="C176" s="97">
        <f>VLOOKUP(A176,SizeData!A$2:B$3839,2,FALSE)</f>
        <v/>
      </c>
      <c r="D176" s="98" t="n">
        <v>1</v>
      </c>
      <c r="E176" s="98" t="inlineStr">
        <is>
          <t>R1991528</t>
        </is>
      </c>
      <c r="F176" s="99" t="n">
        <v>44974</v>
      </c>
      <c r="G176" s="100" t="n"/>
    </row>
    <row r="177" ht="16" customHeight="1">
      <c r="A177" s="98" t="n">
        <v>16676</v>
      </c>
      <c r="B177" s="98" t="inlineStr">
        <is>
          <t>BASIL HAYDEN'S STRAIGHT BOURBON</t>
        </is>
      </c>
      <c r="C177" s="97">
        <f>VLOOKUP(A177,SizeData!A$2:B$3839,2,FALSE)</f>
        <v/>
      </c>
      <c r="D177" s="98" t="n">
        <v>1</v>
      </c>
      <c r="E177" s="98" t="inlineStr">
        <is>
          <t>R2020651</t>
        </is>
      </c>
      <c r="F177" s="99" t="n">
        <v>45000</v>
      </c>
      <c r="G177" s="100" t="n"/>
    </row>
    <row r="178" ht="16" customHeight="1">
      <c r="A178" s="98" t="n">
        <v>16676</v>
      </c>
      <c r="B178" s="98" t="inlineStr">
        <is>
          <t>BASIL HAYDEN'S STRAIGHT BOURBON</t>
        </is>
      </c>
      <c r="C178" s="97">
        <f>VLOOKUP(A178,SizeData!A$2:B$3839,2,FALSE)</f>
        <v/>
      </c>
      <c r="D178" s="98" t="n">
        <v>1</v>
      </c>
      <c r="E178" s="98" t="inlineStr">
        <is>
          <t>R2027602</t>
        </is>
      </c>
      <c r="F178" s="99" t="n">
        <v>45003</v>
      </c>
      <c r="G178" s="100" t="n"/>
    </row>
    <row r="179" ht="16" customHeight="1">
      <c r="A179" s="98" t="n">
        <v>16685</v>
      </c>
      <c r="B179" s="98" t="inlineStr">
        <is>
          <t>BASIL HAYDEN'S TOAST KENTUCKY SBW</t>
        </is>
      </c>
      <c r="C179" s="97">
        <f>VLOOKUP(A179,SizeData!A$2:B$3839,2,FALSE)</f>
        <v/>
      </c>
      <c r="D179" s="98" t="n">
        <v>1</v>
      </c>
      <c r="E179" s="98" t="inlineStr">
        <is>
          <t>R1979406</t>
        </is>
      </c>
      <c r="F179" s="99" t="n">
        <v>44978</v>
      </c>
      <c r="G179" s="100" t="n"/>
    </row>
    <row r="180" ht="16" customHeight="1">
      <c r="A180" s="98" t="n">
        <v>22788</v>
      </c>
      <c r="B180" s="98" t="inlineStr">
        <is>
          <t>BEAM'S 8 STAR BLENDED WHISKEY</t>
        </is>
      </c>
      <c r="C180" s="97">
        <f>VLOOKUP(A180,SizeData!A$2:B$3839,2,FALSE)</f>
        <v/>
      </c>
      <c r="D180" s="98" t="n">
        <v>2</v>
      </c>
      <c r="E180" s="98" t="inlineStr">
        <is>
          <t>R1969406</t>
        </is>
      </c>
      <c r="F180" s="99" t="n">
        <v>44963</v>
      </c>
      <c r="G180" s="100" t="n"/>
    </row>
    <row r="181" ht="16" customHeight="1">
      <c r="A181" s="101" t="n">
        <v>22788</v>
      </c>
      <c r="B181" s="101" t="inlineStr">
        <is>
          <t>BEAM'S 8 STAR BLENDED WHISKEY</t>
        </is>
      </c>
      <c r="C181" s="102">
        <f>VLOOKUP(A181,SizeData!A$2:B$3839,2,FALSE)</f>
        <v/>
      </c>
      <c r="D181" s="101" t="n">
        <v>1</v>
      </c>
      <c r="E181" s="101" t="inlineStr">
        <is>
          <t>R1999510</t>
        </is>
      </c>
      <c r="F181" s="103" t="n">
        <v>44987</v>
      </c>
      <c r="G181" s="104" t="n"/>
    </row>
    <row r="182" ht="16" customHeight="1">
      <c r="A182" s="98" t="n">
        <v>22786</v>
      </c>
      <c r="B182" s="98" t="inlineStr">
        <is>
          <t>BEAM'S 8 STAR BLENDED WHISKEY</t>
        </is>
      </c>
      <c r="C182" s="97">
        <f>VLOOKUP(A182,SizeData!A$2:B$3839,2,FALSE)</f>
        <v/>
      </c>
      <c r="D182" s="98" t="n">
        <v>1</v>
      </c>
      <c r="E182" s="98" t="inlineStr">
        <is>
          <t>R2023718</t>
        </is>
      </c>
      <c r="F182" s="99" t="n">
        <v>45003</v>
      </c>
      <c r="G182" s="100" t="n"/>
    </row>
    <row r="183" ht="16" customHeight="1">
      <c r="A183" s="98" t="n">
        <v>22786</v>
      </c>
      <c r="B183" s="98" t="inlineStr">
        <is>
          <t>BEAM'S 8 STAR BLENDED WHISKEY</t>
        </is>
      </c>
      <c r="C183" s="97">
        <f>VLOOKUP(A183,SizeData!A$2:B$3839,2,FALSE)</f>
        <v/>
      </c>
      <c r="D183" s="98" t="n">
        <v>1</v>
      </c>
      <c r="E183" s="98" t="inlineStr">
        <is>
          <t>R2039044</t>
        </is>
      </c>
      <c r="F183" s="99" t="n">
        <v>45013</v>
      </c>
      <c r="G183" s="100" t="n"/>
    </row>
    <row r="184" ht="16" customHeight="1">
      <c r="A184" s="98" t="n">
        <v>22788</v>
      </c>
      <c r="B184" s="98" t="inlineStr">
        <is>
          <t>BEAM'S 8 STAR BLENDED WHISKEY</t>
        </is>
      </c>
      <c r="C184" s="97">
        <f>VLOOKUP(A184,SizeData!A$2:B$3839,2,FALSE)</f>
        <v/>
      </c>
      <c r="D184" s="98" t="n">
        <v>1</v>
      </c>
      <c r="E184" s="98" t="inlineStr">
        <is>
          <t>R2062305</t>
        </is>
      </c>
      <c r="F184" s="99" t="n">
        <v>45024</v>
      </c>
      <c r="G184" s="100" t="n"/>
    </row>
    <row r="185" ht="16" customHeight="1">
      <c r="A185" s="98" t="n">
        <v>34163</v>
      </c>
      <c r="B185" s="98" t="inlineStr">
        <is>
          <t>BELVEDERE VODKA</t>
        </is>
      </c>
      <c r="C185" s="97">
        <f>VLOOKUP(A185,SizeData!A$2:B$3839,2,FALSE)</f>
        <v/>
      </c>
      <c r="D185" s="98" t="n">
        <v>4</v>
      </c>
      <c r="E185" s="98" t="inlineStr">
        <is>
          <t>R1959731</t>
        </is>
      </c>
      <c r="F185" s="99" t="n">
        <v>44964</v>
      </c>
      <c r="G185" s="100" t="n"/>
    </row>
    <row r="186" ht="16" customHeight="1">
      <c r="A186" s="98" t="n">
        <v>34158</v>
      </c>
      <c r="B186" s="98" t="inlineStr">
        <is>
          <t>BELVEDERE VODKA</t>
        </is>
      </c>
      <c r="C186" s="97">
        <f>VLOOKUP(A186,SizeData!A$2:B$3839,2,FALSE)</f>
        <v/>
      </c>
      <c r="D186" s="98" t="n">
        <v>1</v>
      </c>
      <c r="E186" s="98" t="inlineStr">
        <is>
          <t>R2078944</t>
        </is>
      </c>
      <c r="F186" s="99" t="n">
        <v>45045</v>
      </c>
      <c r="G186" s="100" t="n"/>
    </row>
    <row r="187" ht="16" customHeight="1">
      <c r="A187" s="98" t="n">
        <v>34154</v>
      </c>
      <c r="B187" s="98" t="inlineStr">
        <is>
          <t>BELVEDERE VODKA</t>
        </is>
      </c>
      <c r="C187" s="97">
        <f>VLOOKUP(A187,SizeData!A$2:B$3839,2,FALSE)</f>
        <v/>
      </c>
      <c r="D187" s="98" t="n">
        <v>1</v>
      </c>
      <c r="E187" s="98" t="inlineStr">
        <is>
          <t>R2082317</t>
        </is>
      </c>
      <c r="F187" s="99" t="n">
        <v>45047</v>
      </c>
      <c r="G187" s="100" t="n"/>
    </row>
    <row r="188" ht="16" customHeight="1">
      <c r="A188" s="98" t="n">
        <v>548562</v>
      </c>
      <c r="B188" s="98" t="inlineStr">
        <is>
          <t>BERINGER CALIF CHARDONNAY</t>
        </is>
      </c>
      <c r="C188" s="97">
        <f>VLOOKUP(A188,SizeData!A$2:B$3839,2,FALSE)</f>
        <v/>
      </c>
      <c r="D188" s="98" t="n">
        <v>2</v>
      </c>
      <c r="E188" s="98" t="inlineStr">
        <is>
          <t>R2030013</t>
        </is>
      </c>
      <c r="F188" s="99" t="n">
        <v>44985</v>
      </c>
      <c r="G188" s="100" t="n"/>
    </row>
    <row r="189" ht="16" customHeight="1">
      <c r="A189" s="101" t="n">
        <v>643040</v>
      </c>
      <c r="B189" s="101" t="inlineStr">
        <is>
          <t>BERINGER CALIF WH ZINFANDEL (BONUS)</t>
        </is>
      </c>
      <c r="C189" s="102">
        <f>VLOOKUP(A189,SizeData!A$2:B$3839,2,FALSE)</f>
        <v/>
      </c>
      <c r="D189" s="101" t="n">
        <v>1</v>
      </c>
      <c r="E189" s="101" t="inlineStr">
        <is>
          <t>R2055049</t>
        </is>
      </c>
      <c r="F189" s="103" t="n">
        <v>45017</v>
      </c>
      <c r="G189" s="104" t="n"/>
    </row>
    <row r="190" ht="16" customHeight="1">
      <c r="A190" s="98" t="n">
        <v>643041</v>
      </c>
      <c r="B190" s="98" t="inlineStr">
        <is>
          <t>BERINGER CALIF WHITE ZINFANDEL</t>
        </is>
      </c>
      <c r="C190" s="97">
        <f>VLOOKUP(A190,SizeData!A$2:B$3839,2,FALSE)</f>
        <v/>
      </c>
      <c r="D190" s="98" t="n">
        <v>3</v>
      </c>
      <c r="E190" s="98" t="inlineStr">
        <is>
          <t>R2056924</t>
        </is>
      </c>
      <c r="F190" s="99" t="n">
        <v>45023</v>
      </c>
      <c r="G190" s="100" t="n"/>
    </row>
    <row r="191" ht="16" customHeight="1">
      <c r="A191" s="98" t="n">
        <v>643041</v>
      </c>
      <c r="B191" s="98" t="inlineStr">
        <is>
          <t>BERINGER CALIF WHITE ZINFANDEL</t>
        </is>
      </c>
      <c r="C191" s="97">
        <f>VLOOKUP(A191,SizeData!A$2:B$3839,2,FALSE)</f>
        <v/>
      </c>
      <c r="D191" s="98" t="n">
        <v>5</v>
      </c>
      <c r="E191" s="98" t="inlineStr">
        <is>
          <t>R2059845</t>
        </is>
      </c>
      <c r="F191" s="99" t="n">
        <v>45041</v>
      </c>
      <c r="G191" s="100" t="n"/>
    </row>
    <row r="192" ht="16" customHeight="1">
      <c r="A192" s="101" t="n">
        <v>546630</v>
      </c>
      <c r="B192" s="101" t="inlineStr">
        <is>
          <t>BERINGER MAIN &amp; VINE MOSCATO</t>
        </is>
      </c>
      <c r="C192" s="102">
        <f>VLOOKUP(A192,SizeData!A$2:B$3839,2,FALSE)</f>
        <v/>
      </c>
      <c r="D192" s="101" t="n">
        <v>1</v>
      </c>
      <c r="E192" s="101" t="inlineStr">
        <is>
          <t>R2055049</t>
        </is>
      </c>
      <c r="F192" s="103" t="n">
        <v>45017</v>
      </c>
      <c r="G192" s="104" t="n"/>
    </row>
    <row r="193" ht="16" customHeight="1">
      <c r="A193" s="98" t="n">
        <v>41294</v>
      </c>
      <c r="B193" s="98" t="inlineStr">
        <is>
          <t>BURNETT'S PEACH FLAVORED VODKA</t>
        </is>
      </c>
      <c r="C193" s="97">
        <f>VLOOKUP(A193,SizeData!A$2:B$3839,2,FALSE)</f>
        <v/>
      </c>
      <c r="D193" s="98" t="n">
        <v>1</v>
      </c>
      <c r="E193" s="98" t="inlineStr">
        <is>
          <t>R1921439</t>
        </is>
      </c>
      <c r="F193" s="99" t="n">
        <v>44921</v>
      </c>
      <c r="G193" s="100" t="n"/>
    </row>
    <row r="194" ht="16" customHeight="1">
      <c r="A194" s="98" t="n">
        <v>445837</v>
      </c>
      <c r="B194" s="98" t="inlineStr">
        <is>
          <t>BERINGER MAIN &amp; VINE RED MOSCATO</t>
        </is>
      </c>
      <c r="C194" s="97">
        <f>VLOOKUP(A194,SizeData!A$2:B$3839,2,FALSE)</f>
        <v/>
      </c>
      <c r="D194" s="98" t="n">
        <v>4</v>
      </c>
      <c r="E194" s="98" t="inlineStr">
        <is>
          <t>R2030013</t>
        </is>
      </c>
      <c r="F194" s="99" t="n">
        <v>44985</v>
      </c>
      <c r="G194" s="100" t="n"/>
    </row>
    <row r="195" ht="16" customHeight="1">
      <c r="A195" s="98" t="n">
        <v>445837</v>
      </c>
      <c r="B195" s="98" t="inlineStr">
        <is>
          <t>BERINGER MAIN &amp; VINE RED MOSCATO</t>
        </is>
      </c>
      <c r="C195" s="97">
        <f>VLOOKUP(A195,SizeData!A$2:B$3839,2,FALSE)</f>
        <v/>
      </c>
      <c r="D195" s="98" t="n">
        <v>6</v>
      </c>
      <c r="E195" s="98" t="inlineStr">
        <is>
          <t>R2075331</t>
        </is>
      </c>
      <c r="F195" s="99" t="n">
        <v>45035</v>
      </c>
      <c r="G195" s="100" t="n"/>
    </row>
    <row r="196" ht="16" customHeight="1">
      <c r="A196" s="101" t="n">
        <v>546437</v>
      </c>
      <c r="B196" s="101" t="inlineStr">
        <is>
          <t>BERINGER PINOT GRIGIO AMERICAN</t>
        </is>
      </c>
      <c r="C196" s="102">
        <f>VLOOKUP(A196,SizeData!A$2:B$3839,2,FALSE)</f>
        <v/>
      </c>
      <c r="D196" s="101" t="n">
        <v>1</v>
      </c>
      <c r="E196" s="101" t="inlineStr">
        <is>
          <t>R1995808</t>
        </is>
      </c>
      <c r="F196" s="103" t="n">
        <v>44972</v>
      </c>
      <c r="G196" s="104" t="n"/>
    </row>
    <row r="197" ht="16" customHeight="1">
      <c r="A197" s="101" t="n">
        <v>445883</v>
      </c>
      <c r="B197" s="101" t="inlineStr">
        <is>
          <t>BERINGER WHITE ZINFANDEL MOSCATO</t>
        </is>
      </c>
      <c r="C197" s="102">
        <f>VLOOKUP(A197,SizeData!A$2:B$3839,2,FALSE)</f>
        <v/>
      </c>
      <c r="D197" s="101" t="n">
        <v>2</v>
      </c>
      <c r="E197" s="101" t="inlineStr">
        <is>
          <t>R2030013</t>
        </is>
      </c>
      <c r="F197" s="103" t="n">
        <v>44985</v>
      </c>
      <c r="G197" s="104" t="n"/>
    </row>
    <row r="198" ht="16" customHeight="1">
      <c r="A198" s="98" t="n">
        <v>11788</v>
      </c>
      <c r="B198" s="98" t="inlineStr">
        <is>
          <t>BLACK VELVET</t>
        </is>
      </c>
      <c r="C198" s="97">
        <f>VLOOKUP(A198,SizeData!A$2:B$3839,2,FALSE)</f>
        <v/>
      </c>
      <c r="D198" s="98" t="n">
        <v>1</v>
      </c>
      <c r="E198" s="98" t="inlineStr">
        <is>
          <t>R1992599</t>
        </is>
      </c>
      <c r="F198" s="99" t="n">
        <v>44989</v>
      </c>
      <c r="G198" s="100" t="n"/>
    </row>
    <row r="199" ht="16" customHeight="1">
      <c r="A199" s="98" t="n">
        <v>28210</v>
      </c>
      <c r="B199" s="98" t="inlineStr">
        <is>
          <t>BOMBAY SAPPHIRE EAST GIN</t>
        </is>
      </c>
      <c r="C199" s="97">
        <f>VLOOKUP(A199,SizeData!A$2:B$3839,2,FALSE)</f>
        <v/>
      </c>
      <c r="D199" s="98" t="n">
        <v>1</v>
      </c>
      <c r="E199" s="98" t="inlineStr">
        <is>
          <t>R2005977</t>
        </is>
      </c>
      <c r="F199" s="99" t="n">
        <v>44992</v>
      </c>
      <c r="G199" s="100" t="n"/>
    </row>
    <row r="200" ht="16" customHeight="1">
      <c r="A200" s="98" t="n">
        <v>35413</v>
      </c>
      <c r="B200" s="98" t="inlineStr">
        <is>
          <t>BURNETT'S VODKA 80 PROOF</t>
        </is>
      </c>
      <c r="C200" s="97">
        <f>VLOOKUP(A200,SizeData!A$2:B$3839,2,FALSE)</f>
        <v/>
      </c>
      <c r="D200" s="98" t="n">
        <v>10</v>
      </c>
      <c r="E200" s="98" t="inlineStr">
        <is>
          <t>R1889576</t>
        </is>
      </c>
      <c r="F200" s="99" t="n">
        <v>44905</v>
      </c>
      <c r="G200" s="100" t="n"/>
    </row>
    <row r="201" ht="16" customHeight="1">
      <c r="A201" s="98" t="n">
        <v>35414</v>
      </c>
      <c r="B201" s="98" t="inlineStr">
        <is>
          <t>BURNETT'S VODKA 80 PROOF</t>
        </is>
      </c>
      <c r="C201" s="97">
        <f>VLOOKUP(A201,SizeData!A$2:B$3839,2,FALSE)</f>
        <v/>
      </c>
      <c r="D201" s="98" t="n">
        <v>10</v>
      </c>
      <c r="E201" s="98" t="inlineStr">
        <is>
          <t>R1889576</t>
        </is>
      </c>
      <c r="F201" s="99" t="n">
        <v>44905</v>
      </c>
      <c r="G201" s="100" t="n"/>
    </row>
    <row r="202" ht="16" customHeight="1">
      <c r="A202" s="98" t="n">
        <v>35416</v>
      </c>
      <c r="B202" s="98" t="inlineStr">
        <is>
          <t>BURNETT'S VODKA 80 PROOF</t>
        </is>
      </c>
      <c r="C202" s="97">
        <f>VLOOKUP(A202,SizeData!A$2:B$3839,2,FALSE)</f>
        <v/>
      </c>
      <c r="D202" s="98" t="n">
        <v>7</v>
      </c>
      <c r="E202" s="98" t="inlineStr">
        <is>
          <t>R1889576</t>
        </is>
      </c>
      <c r="F202" s="99" t="n">
        <v>44905</v>
      </c>
      <c r="G202" s="100" t="n"/>
    </row>
    <row r="203" ht="16" customHeight="1">
      <c r="A203" s="98" t="n">
        <v>35413</v>
      </c>
      <c r="B203" s="98" t="inlineStr">
        <is>
          <t>BURNETT'S VODKA 80 PROOF</t>
        </is>
      </c>
      <c r="C203" s="97">
        <f>VLOOKUP(A203,SizeData!A$2:B$3839,2,FALSE)</f>
        <v/>
      </c>
      <c r="D203" s="98" t="n">
        <v>8</v>
      </c>
      <c r="E203" s="98" t="inlineStr">
        <is>
          <t>R1913611</t>
        </is>
      </c>
      <c r="F203" s="99" t="n">
        <v>44914</v>
      </c>
      <c r="G203" s="100" t="n"/>
    </row>
    <row r="204" ht="16" customHeight="1">
      <c r="A204" s="98" t="n">
        <v>35417</v>
      </c>
      <c r="B204" s="98" t="inlineStr">
        <is>
          <t>BURNETT'S VODKA 80 PROOF</t>
        </is>
      </c>
      <c r="C204" s="97">
        <f>VLOOKUP(A204,SizeData!A$2:B$3839,2,FALSE)</f>
        <v/>
      </c>
      <c r="D204" s="98" t="n">
        <v>2</v>
      </c>
      <c r="E204" s="98" t="inlineStr">
        <is>
          <t>R1913611</t>
        </is>
      </c>
      <c r="F204" s="99" t="n">
        <v>44914</v>
      </c>
      <c r="G204" s="100" t="n"/>
    </row>
    <row r="205" ht="16" customHeight="1">
      <c r="A205" s="98" t="n">
        <v>35414</v>
      </c>
      <c r="B205" s="98" t="inlineStr">
        <is>
          <t>BURNETT'S VODKA 80 PROOF</t>
        </is>
      </c>
      <c r="C205" s="97">
        <f>VLOOKUP(A205,SizeData!A$2:B$3839,2,FALSE)</f>
        <v/>
      </c>
      <c r="D205" s="98" t="n">
        <v>5</v>
      </c>
      <c r="E205" s="98" t="inlineStr">
        <is>
          <t>R1913611</t>
        </is>
      </c>
      <c r="F205" s="99" t="n">
        <v>44914</v>
      </c>
      <c r="G205" s="100" t="n"/>
    </row>
    <row r="206" ht="16" customHeight="1">
      <c r="A206" s="98" t="n">
        <v>35413</v>
      </c>
      <c r="B206" s="98" t="inlineStr">
        <is>
          <t>BURNETT'S VODKA 80 PROOF</t>
        </is>
      </c>
      <c r="C206" s="97">
        <f>VLOOKUP(A206,SizeData!A$2:B$3839,2,FALSE)</f>
        <v/>
      </c>
      <c r="D206" s="98" t="n">
        <v>7</v>
      </c>
      <c r="E206" s="98" t="inlineStr">
        <is>
          <t>R1903667</t>
        </is>
      </c>
      <c r="F206" s="99" t="n">
        <v>44915</v>
      </c>
      <c r="G206" s="100" t="n"/>
    </row>
    <row r="207" ht="16" customHeight="1">
      <c r="A207" s="98" t="n">
        <v>35417</v>
      </c>
      <c r="B207" s="98" t="inlineStr">
        <is>
          <t>BURNETT'S VODKA 80 PROOF</t>
        </is>
      </c>
      <c r="C207" s="97">
        <f>VLOOKUP(A207,SizeData!A$2:B$3839,2,FALSE)</f>
        <v/>
      </c>
      <c r="D207" s="98" t="n">
        <v>10</v>
      </c>
      <c r="E207" s="98" t="inlineStr">
        <is>
          <t>R1903667</t>
        </is>
      </c>
      <c r="F207" s="99" t="n">
        <v>44915</v>
      </c>
      <c r="G207" s="100" t="n"/>
    </row>
    <row r="208" ht="16" customHeight="1">
      <c r="A208" s="98" t="n">
        <v>35413</v>
      </c>
      <c r="B208" s="98" t="inlineStr">
        <is>
          <t>BURNETT'S VODKA 80 PROOF</t>
        </is>
      </c>
      <c r="C208" s="97">
        <f>VLOOKUP(A208,SizeData!A$2:B$3839,2,FALSE)</f>
        <v/>
      </c>
      <c r="D208" s="98" t="n">
        <v>1</v>
      </c>
      <c r="E208" s="98" t="inlineStr">
        <is>
          <t>R1912921</t>
        </is>
      </c>
      <c r="F208" s="99" t="n">
        <v>44915</v>
      </c>
      <c r="G208" s="100" t="n"/>
    </row>
    <row r="209" ht="16" customHeight="1">
      <c r="A209" s="98" t="n">
        <v>35414</v>
      </c>
      <c r="B209" s="98" t="inlineStr">
        <is>
          <t>BURNETT'S VODKA 80 PROOF</t>
        </is>
      </c>
      <c r="C209" s="97">
        <f>VLOOKUP(A209,SizeData!A$2:B$3839,2,FALSE)</f>
        <v/>
      </c>
      <c r="D209" s="98" t="n">
        <v>6</v>
      </c>
      <c r="E209" s="98" t="inlineStr">
        <is>
          <t>R1903667</t>
        </is>
      </c>
      <c r="F209" s="99" t="n">
        <v>44915</v>
      </c>
      <c r="G209" s="100" t="n"/>
    </row>
    <row r="210" ht="16" customHeight="1">
      <c r="A210" s="98" t="n">
        <v>35417</v>
      </c>
      <c r="B210" s="98" t="inlineStr">
        <is>
          <t>BURNETT'S VODKA 80 PROOF</t>
        </is>
      </c>
      <c r="C210" s="97">
        <f>VLOOKUP(A210,SizeData!A$2:B$3839,2,FALSE)</f>
        <v/>
      </c>
      <c r="D210" s="98" t="n">
        <v>4</v>
      </c>
      <c r="E210" s="98" t="inlineStr">
        <is>
          <t>R1904959</t>
        </is>
      </c>
      <c r="F210" s="99" t="n">
        <v>44917</v>
      </c>
      <c r="G210" s="100" t="n"/>
    </row>
    <row r="211" ht="16" customHeight="1">
      <c r="A211" s="98" t="n">
        <v>28236</v>
      </c>
      <c r="B211" s="98" t="inlineStr">
        <is>
          <t>BOMBAY SAPPHIRE GIN</t>
        </is>
      </c>
      <c r="C211" s="97">
        <f>VLOOKUP(A211,SizeData!A$2:B$3839,2,FALSE)</f>
        <v/>
      </c>
      <c r="D211" s="98" t="n">
        <v>2</v>
      </c>
      <c r="E211" s="98" t="inlineStr">
        <is>
          <t>R2008912</t>
        </is>
      </c>
      <c r="F211" s="99" t="n">
        <v>44994</v>
      </c>
      <c r="G211" s="100" t="n"/>
    </row>
    <row r="212" ht="16" customHeight="1">
      <c r="A212" s="101" t="n">
        <v>28224</v>
      </c>
      <c r="B212" s="101" t="inlineStr">
        <is>
          <t>BOMBAY SAPPHIRE GIN (FLASK)</t>
        </is>
      </c>
      <c r="C212" s="102">
        <f>VLOOKUP(A212,SizeData!A$2:B$3839,2,FALSE)</f>
        <v/>
      </c>
      <c r="D212" s="101" t="n">
        <v>2</v>
      </c>
      <c r="E212" s="101" t="inlineStr">
        <is>
          <t>R1976594</t>
        </is>
      </c>
      <c r="F212" s="103" t="n">
        <v>44980</v>
      </c>
      <c r="G212" s="104" t="n"/>
    </row>
    <row r="213" ht="16" customHeight="1">
      <c r="A213" s="98" t="n">
        <v>28224</v>
      </c>
      <c r="B213" s="98" t="inlineStr">
        <is>
          <t>BOMBAY SAPPHIRE GIN (FLASK)</t>
        </is>
      </c>
      <c r="C213" s="97">
        <f>VLOOKUP(A213,SizeData!A$2:B$3839,2,FALSE)</f>
        <v/>
      </c>
      <c r="D213" s="98" t="n">
        <v>2</v>
      </c>
      <c r="E213" s="98" t="inlineStr">
        <is>
          <t>R2077522</t>
        </is>
      </c>
      <c r="F213" s="99" t="n">
        <v>45043</v>
      </c>
      <c r="G213" s="100" t="n"/>
    </row>
    <row r="214" ht="16" customHeight="1">
      <c r="A214" s="101" t="n">
        <v>4626</v>
      </c>
      <c r="B214" s="101" t="inlineStr">
        <is>
          <t>BUCHANAN DELUXE 12YR SCOTCH</t>
        </is>
      </c>
      <c r="C214" s="102">
        <f>VLOOKUP(A214,SizeData!A$2:B$3839,2,FALSE)</f>
        <v/>
      </c>
      <c r="D214" s="101" t="n">
        <v>2</v>
      </c>
      <c r="E214" s="101" t="inlineStr">
        <is>
          <t>R1977869</t>
        </is>
      </c>
      <c r="F214" s="103" t="n">
        <v>44977</v>
      </c>
      <c r="G214" s="104" t="n"/>
    </row>
    <row r="215" ht="16" customHeight="1">
      <c r="A215" s="98" t="n">
        <v>27025</v>
      </c>
      <c r="B215" s="98" t="inlineStr">
        <is>
          <t>BULLEIT 95 RYE STRAIGHT RYE WHISKEY</t>
        </is>
      </c>
      <c r="C215" s="97">
        <f>VLOOKUP(A215,SizeData!A$2:B$3839,2,FALSE)</f>
        <v/>
      </c>
      <c r="D215" s="98" t="n">
        <v>1</v>
      </c>
      <c r="E215" s="98" t="inlineStr">
        <is>
          <t>R1997856</t>
        </is>
      </c>
      <c r="F215" s="99" t="n">
        <v>44987</v>
      </c>
      <c r="G215" s="100" t="n"/>
    </row>
    <row r="216" ht="16" customHeight="1">
      <c r="A216" s="98" t="n">
        <v>17085</v>
      </c>
      <c r="B216" s="98" t="inlineStr">
        <is>
          <t>BULLEIT STRAIGHT BOURBON 90 PROOF</t>
        </is>
      </c>
      <c r="C216" s="97">
        <f>VLOOKUP(A216,SizeData!A$2:B$3839,2,FALSE)</f>
        <v/>
      </c>
      <c r="D216" s="98" t="n">
        <v>1</v>
      </c>
      <c r="E216" s="98" t="inlineStr">
        <is>
          <t>R2013233</t>
        </is>
      </c>
      <c r="F216" s="99" t="n">
        <v>44995</v>
      </c>
      <c r="G216" s="100" t="n"/>
    </row>
    <row r="217" ht="16" customHeight="1">
      <c r="A217" s="101" t="n">
        <v>446151</v>
      </c>
      <c r="B217" s="101" t="inlineStr">
        <is>
          <t>BULLY HILL SWEET WALTER RED</t>
        </is>
      </c>
      <c r="C217" s="102">
        <f>VLOOKUP(A217,SizeData!A$2:B$3839,2,FALSE)</f>
        <v/>
      </c>
      <c r="D217" s="101" t="n">
        <v>1</v>
      </c>
      <c r="E217" s="101" t="inlineStr">
        <is>
          <t>R1988715</t>
        </is>
      </c>
      <c r="F217" s="103" t="n">
        <v>44975</v>
      </c>
      <c r="G217" s="104" t="n"/>
    </row>
    <row r="218" ht="16" customHeight="1">
      <c r="A218" s="98" t="n">
        <v>446150</v>
      </c>
      <c r="B218" s="98" t="inlineStr">
        <is>
          <t>BULLY HILL SWEET WALTER RED</t>
        </is>
      </c>
      <c r="C218" s="97">
        <f>VLOOKUP(A218,SizeData!A$2:B$3839,2,FALSE)</f>
        <v/>
      </c>
      <c r="D218" s="98" t="n">
        <v>2</v>
      </c>
      <c r="E218" s="98" t="inlineStr">
        <is>
          <t>R1974698</t>
        </is>
      </c>
      <c r="F218" s="99" t="n">
        <v>44979</v>
      </c>
      <c r="G218" s="100" t="n"/>
    </row>
    <row r="219" ht="16" customHeight="1">
      <c r="A219" s="98" t="n">
        <v>446151</v>
      </c>
      <c r="B219" s="98" t="inlineStr">
        <is>
          <t>BULLY HILL SWEET WALTER RED</t>
        </is>
      </c>
      <c r="C219" s="97">
        <f>VLOOKUP(A219,SizeData!A$2:B$3839,2,FALSE)</f>
        <v/>
      </c>
      <c r="D219" s="98" t="n">
        <v>4</v>
      </c>
      <c r="E219" s="98" t="inlineStr">
        <is>
          <t>R2039044</t>
        </is>
      </c>
      <c r="F219" s="99" t="n">
        <v>45013</v>
      </c>
      <c r="G219" s="100" t="n"/>
    </row>
    <row r="220" ht="16" customHeight="1">
      <c r="A220" s="98" t="n">
        <v>446150</v>
      </c>
      <c r="B220" s="98" t="inlineStr">
        <is>
          <t>BULLY HILL SWEET WALTER RED</t>
        </is>
      </c>
      <c r="C220" s="97">
        <f>VLOOKUP(A220,SizeData!A$2:B$3839,2,FALSE)</f>
        <v/>
      </c>
      <c r="D220" s="98" t="n">
        <v>3</v>
      </c>
      <c r="E220" s="98" t="inlineStr">
        <is>
          <t>R2086467</t>
        </is>
      </c>
      <c r="F220" s="99" t="n">
        <v>45048</v>
      </c>
      <c r="G220" s="100" t="n"/>
    </row>
    <row r="221" ht="16" customHeight="1">
      <c r="A221" s="98" t="n">
        <v>64388</v>
      </c>
      <c r="B221" s="98" t="inlineStr">
        <is>
          <t>BUMBU RUM</t>
        </is>
      </c>
      <c r="C221" s="97">
        <f>VLOOKUP(A221,SizeData!A$2:B$3839,2,FALSE)</f>
        <v/>
      </c>
      <c r="D221" s="98" t="n">
        <v>3</v>
      </c>
      <c r="E221" s="98" t="inlineStr">
        <is>
          <t>R1933625</t>
        </is>
      </c>
      <c r="F221" s="99" t="n">
        <v>44940</v>
      </c>
      <c r="G221" s="100" t="n"/>
    </row>
    <row r="222" ht="16" customHeight="1">
      <c r="A222" s="98" t="n">
        <v>64529</v>
      </c>
      <c r="B222" s="98" t="inlineStr">
        <is>
          <t>BUMBU RUM</t>
        </is>
      </c>
      <c r="C222" s="97">
        <f>VLOOKUP(A222,SizeData!A$2:B$3839,2,FALSE)</f>
        <v/>
      </c>
      <c r="D222" s="98" t="n">
        <v>2</v>
      </c>
      <c r="E222" s="98" t="inlineStr">
        <is>
          <t>R1946720</t>
        </is>
      </c>
      <c r="F222" s="99" t="n">
        <v>44943</v>
      </c>
      <c r="G222" s="100" t="n"/>
    </row>
    <row r="223" ht="16" customHeight="1">
      <c r="A223" s="98" t="n">
        <v>64388</v>
      </c>
      <c r="B223" s="98" t="inlineStr">
        <is>
          <t>BUMBU RUM</t>
        </is>
      </c>
      <c r="C223" s="97">
        <f>VLOOKUP(A223,SizeData!A$2:B$3839,2,FALSE)</f>
        <v/>
      </c>
      <c r="D223" s="98" t="n">
        <v>1</v>
      </c>
      <c r="E223" s="98" t="inlineStr">
        <is>
          <t>R2040211</t>
        </is>
      </c>
      <c r="F223" s="99" t="n">
        <v>45001</v>
      </c>
      <c r="G223" s="100" t="n"/>
    </row>
    <row r="224" ht="16" customHeight="1">
      <c r="A224" s="98" t="n">
        <v>43735</v>
      </c>
      <c r="B224" s="98" t="inlineStr">
        <is>
          <t>BUMBU XO</t>
        </is>
      </c>
      <c r="C224" s="97">
        <f>VLOOKUP(A224,SizeData!A$2:B$3839,2,FALSE)</f>
        <v/>
      </c>
      <c r="D224" s="98" t="n">
        <v>1</v>
      </c>
      <c r="E224" s="98" t="inlineStr">
        <is>
          <t>R2039682</t>
        </is>
      </c>
      <c r="F224" s="99" t="n">
        <v>45022</v>
      </c>
      <c r="G224" s="100" t="n"/>
    </row>
    <row r="225" ht="16" customHeight="1">
      <c r="A225" s="98" t="n">
        <v>42031</v>
      </c>
      <c r="B225" s="98" t="inlineStr">
        <is>
          <t>BURNETT'S WHIPPED CREAM FLAVORED VODKA</t>
        </is>
      </c>
      <c r="C225" s="97">
        <f>VLOOKUP(A225,SizeData!A$2:B$3839,2,FALSE)</f>
        <v/>
      </c>
      <c r="D225" s="98" t="n">
        <v>1</v>
      </c>
      <c r="E225" s="98" t="inlineStr">
        <is>
          <t>R1921439</t>
        </is>
      </c>
      <c r="F225" s="99" t="n">
        <v>44921</v>
      </c>
      <c r="G225" s="100" t="n"/>
    </row>
    <row r="226" ht="16" customHeight="1">
      <c r="A226" s="98" t="n">
        <v>35410</v>
      </c>
      <c r="B226" s="98" t="inlineStr">
        <is>
          <t>BURNETT'S 80 PROOF VODKA (PET)</t>
        </is>
      </c>
      <c r="C226" s="97">
        <f>VLOOKUP(A226,SizeData!A$2:B$3839,2,FALSE)</f>
        <v/>
      </c>
      <c r="D226" s="98" t="n">
        <v>1</v>
      </c>
      <c r="E226" s="98" t="inlineStr">
        <is>
          <t>R1933625</t>
        </is>
      </c>
      <c r="F226" s="99" t="n">
        <v>44940</v>
      </c>
      <c r="G226" s="100" t="n"/>
    </row>
    <row r="227" ht="16" customHeight="1">
      <c r="A227" s="98" t="n">
        <v>35410</v>
      </c>
      <c r="B227" s="98" t="inlineStr">
        <is>
          <t>BURNETT'S 80 PROOF VODKA (PET)</t>
        </is>
      </c>
      <c r="C227" s="97">
        <f>VLOOKUP(A227,SizeData!A$2:B$3839,2,FALSE)</f>
        <v/>
      </c>
      <c r="D227" s="98" t="n">
        <v>1</v>
      </c>
      <c r="E227" s="98" t="inlineStr">
        <is>
          <t>R1939404</t>
        </is>
      </c>
      <c r="F227" s="99" t="n">
        <v>44942</v>
      </c>
      <c r="G227" s="100" t="n"/>
    </row>
    <row r="228" ht="16" customHeight="1">
      <c r="A228" s="98" t="n">
        <v>35410</v>
      </c>
      <c r="B228" s="98" t="inlineStr">
        <is>
          <t>BURNETT'S 80 PROOF VODKA (PET)</t>
        </is>
      </c>
      <c r="C228" s="97">
        <f>VLOOKUP(A228,SizeData!A$2:B$3839,2,FALSE)</f>
        <v/>
      </c>
      <c r="D228" s="98" t="n">
        <v>2</v>
      </c>
      <c r="E228" s="98" t="inlineStr">
        <is>
          <t>R2027408</t>
        </is>
      </c>
      <c r="F228" s="99" t="n">
        <v>45003</v>
      </c>
      <c r="G228" s="100" t="n"/>
    </row>
    <row r="229" ht="16" customHeight="1">
      <c r="A229" s="98" t="n">
        <v>35410</v>
      </c>
      <c r="B229" s="98" t="inlineStr">
        <is>
          <t>BURNETT'S 80 PROOF VODKA (PET)</t>
        </is>
      </c>
      <c r="C229" s="97">
        <f>VLOOKUP(A229,SizeData!A$2:B$3839,2,FALSE)</f>
        <v/>
      </c>
      <c r="D229" s="98" t="n">
        <v>2</v>
      </c>
      <c r="E229" s="98" t="inlineStr">
        <is>
          <t>R2027408</t>
        </is>
      </c>
      <c r="F229" s="99" t="n">
        <v>45003</v>
      </c>
      <c r="G229" s="100" t="n"/>
    </row>
    <row r="230" ht="16" customHeight="1">
      <c r="A230" s="98" t="n">
        <v>41294</v>
      </c>
      <c r="B230" s="98" t="inlineStr">
        <is>
          <t>BURNETT'S PEACH FLAVORED VODKA</t>
        </is>
      </c>
      <c r="C230" s="97">
        <f>VLOOKUP(A230,SizeData!A$2:B$3839,2,FALSE)</f>
        <v/>
      </c>
      <c r="D230" s="98" t="n">
        <v>1</v>
      </c>
      <c r="E230" s="98" t="inlineStr">
        <is>
          <t>R1981085</t>
        </is>
      </c>
      <c r="F230" s="99" t="n">
        <v>44973</v>
      </c>
      <c r="G230" s="100" t="n"/>
    </row>
    <row r="231" ht="16" customHeight="1">
      <c r="A231" s="98" t="n">
        <v>41294</v>
      </c>
      <c r="B231" s="98" t="inlineStr">
        <is>
          <t>BURNETT'S PEACH FLAVORED VODKA</t>
        </is>
      </c>
      <c r="C231" s="97">
        <f>VLOOKUP(A231,SizeData!A$2:B$3839,2,FALSE)</f>
        <v/>
      </c>
      <c r="D231" s="98" t="n">
        <v>1</v>
      </c>
      <c r="E231" s="98" t="inlineStr">
        <is>
          <t>R2030138</t>
        </is>
      </c>
      <c r="F231" s="99" t="n">
        <v>44986</v>
      </c>
      <c r="G231" s="100" t="n"/>
    </row>
    <row r="232" ht="16" customHeight="1">
      <c r="A232" s="98" t="n">
        <v>41294</v>
      </c>
      <c r="B232" s="98" t="inlineStr">
        <is>
          <t>BURNETT'S PEACH FLAVORED VODKA</t>
        </is>
      </c>
      <c r="C232" s="97">
        <f>VLOOKUP(A232,SizeData!A$2:B$3839,2,FALSE)</f>
        <v/>
      </c>
      <c r="D232" s="98" t="n">
        <v>1</v>
      </c>
      <c r="E232" s="98" t="inlineStr">
        <is>
          <t>R2005977</t>
        </is>
      </c>
      <c r="F232" s="99" t="n">
        <v>44992</v>
      </c>
      <c r="G232" s="100" t="n"/>
    </row>
    <row r="233" ht="16" customHeight="1">
      <c r="A233" s="98" t="n">
        <v>41413</v>
      </c>
      <c r="B233" s="98" t="inlineStr">
        <is>
          <t>BURNETT'S PINEAPPLE FLAVORED VODKA</t>
        </is>
      </c>
      <c r="C233" s="97">
        <f>VLOOKUP(A233,SizeData!A$2:B$3839,2,FALSE)</f>
        <v/>
      </c>
      <c r="D233" s="98" t="n">
        <v>1</v>
      </c>
      <c r="E233" s="98" t="inlineStr">
        <is>
          <t>R1943057</t>
        </is>
      </c>
      <c r="F233" s="99" t="n">
        <v>44945</v>
      </c>
      <c r="G233" s="100" t="n"/>
    </row>
    <row r="234" ht="16" customHeight="1">
      <c r="A234" s="98" t="n">
        <v>44331</v>
      </c>
      <c r="B234" s="98" t="inlineStr">
        <is>
          <t>CALYPSO COCONUT RUM</t>
        </is>
      </c>
      <c r="C234" s="97">
        <f>VLOOKUP(A234,SizeData!A$2:B$3839,2,FALSE)</f>
        <v/>
      </c>
      <c r="D234" s="98" t="n">
        <v>1</v>
      </c>
      <c r="E234" s="98" t="inlineStr">
        <is>
          <t>R1911923</t>
        </is>
      </c>
      <c r="F234" s="99" t="n">
        <v>44912</v>
      </c>
      <c r="G234" s="100" t="n"/>
    </row>
    <row r="235" ht="16" customHeight="1">
      <c r="A235" s="98" t="n">
        <v>44331</v>
      </c>
      <c r="B235" s="98" t="inlineStr">
        <is>
          <t>CALYPSO COCONUT RUM</t>
        </is>
      </c>
      <c r="C235" s="97">
        <f>VLOOKUP(A235,SizeData!A$2:B$3839,2,FALSE)</f>
        <v/>
      </c>
      <c r="D235" s="98" t="n">
        <v>1</v>
      </c>
      <c r="E235" s="98" t="inlineStr">
        <is>
          <t>R1913611</t>
        </is>
      </c>
      <c r="F235" s="99" t="n">
        <v>44914</v>
      </c>
      <c r="G235" s="100" t="n"/>
    </row>
    <row r="236" ht="16" customHeight="1">
      <c r="A236" s="98" t="n">
        <v>41060</v>
      </c>
      <c r="B236" s="98" t="inlineStr">
        <is>
          <t>BURNETT'S PINK LEMONADE FLAVORED VODKA</t>
        </is>
      </c>
      <c r="C236" s="97">
        <f>VLOOKUP(A236,SizeData!A$2:B$3839,2,FALSE)</f>
        <v/>
      </c>
      <c r="D236" s="98" t="n">
        <v>1</v>
      </c>
      <c r="E236" s="98" t="inlineStr">
        <is>
          <t>R2036282</t>
        </is>
      </c>
      <c r="F236" s="99" t="n">
        <v>45012</v>
      </c>
      <c r="G236" s="100" t="n"/>
    </row>
    <row r="237" ht="16" customHeight="1">
      <c r="A237" s="98" t="n">
        <v>41306</v>
      </c>
      <c r="B237" s="98" t="inlineStr">
        <is>
          <t>BURNETT'S SOUR APPLE FLAVORED VODKA</t>
        </is>
      </c>
      <c r="C237" s="97">
        <f>VLOOKUP(A237,SizeData!A$2:B$3839,2,FALSE)</f>
        <v/>
      </c>
      <c r="D237" s="98" t="n">
        <v>1</v>
      </c>
      <c r="E237" s="98" t="inlineStr">
        <is>
          <t>R2013233</t>
        </is>
      </c>
      <c r="F237" s="99" t="n">
        <v>44995</v>
      </c>
      <c r="G237" s="100" t="n"/>
    </row>
    <row r="238" ht="16" customHeight="1">
      <c r="A238" s="98" t="n">
        <v>35416</v>
      </c>
      <c r="B238" s="98" t="inlineStr">
        <is>
          <t>BURNETT'S VODKA 80 PROOF</t>
        </is>
      </c>
      <c r="C238" s="97">
        <f>VLOOKUP(A238,SizeData!A$2:B$3839,2,FALSE)</f>
        <v/>
      </c>
      <c r="D238" s="98" t="n">
        <v>7</v>
      </c>
      <c r="E238" s="98" t="inlineStr">
        <is>
          <t>R1924344</t>
        </is>
      </c>
      <c r="F238" s="99" t="n">
        <v>44933</v>
      </c>
      <c r="G238" s="100" t="n"/>
    </row>
    <row r="239" ht="16" customHeight="1">
      <c r="A239" s="98" t="n">
        <v>35416</v>
      </c>
      <c r="B239" s="98" t="inlineStr">
        <is>
          <t>BURNETT'S VODKA 80 PROOF</t>
        </is>
      </c>
      <c r="C239" s="97">
        <f>VLOOKUP(A239,SizeData!A$2:B$3839,2,FALSE)</f>
        <v/>
      </c>
      <c r="D239" s="98" t="n">
        <v>7</v>
      </c>
      <c r="E239" s="98" t="inlineStr">
        <is>
          <t>R1939404</t>
        </is>
      </c>
      <c r="F239" s="99" t="n">
        <v>44942</v>
      </c>
      <c r="G239" s="100" t="n"/>
    </row>
    <row r="240" ht="16" customHeight="1">
      <c r="A240" s="98" t="n">
        <v>35418</v>
      </c>
      <c r="B240" s="98" t="inlineStr">
        <is>
          <t>BURNETT'S VODKA 80 PROOF</t>
        </is>
      </c>
      <c r="C240" s="97">
        <f>VLOOKUP(A240,SizeData!A$2:B$3839,2,FALSE)</f>
        <v/>
      </c>
      <c r="D240" s="98" t="n">
        <v>3</v>
      </c>
      <c r="E240" s="98" t="inlineStr">
        <is>
          <t>R1980359</t>
        </is>
      </c>
      <c r="F240" s="99" t="n">
        <v>44965</v>
      </c>
      <c r="G240" s="100" t="n"/>
    </row>
    <row r="241" ht="16" customHeight="1">
      <c r="A241" s="98" t="n">
        <v>35418</v>
      </c>
      <c r="B241" s="98" t="inlineStr">
        <is>
          <t>BURNETT'S VODKA 80 PROOF</t>
        </is>
      </c>
      <c r="C241" s="97">
        <f>VLOOKUP(A241,SizeData!A$2:B$3839,2,FALSE)</f>
        <v/>
      </c>
      <c r="D241" s="98" t="n">
        <v>10</v>
      </c>
      <c r="E241" s="98" t="inlineStr">
        <is>
          <t>R1988893</t>
        </is>
      </c>
      <c r="F241" s="99" t="n">
        <v>44984</v>
      </c>
      <c r="G241" s="100" t="n"/>
    </row>
    <row r="242" ht="16" customHeight="1">
      <c r="A242" s="98" t="n">
        <v>35416</v>
      </c>
      <c r="B242" s="98" t="inlineStr">
        <is>
          <t>BURNETT'S VODKA 80 PROOF</t>
        </is>
      </c>
      <c r="C242" s="97">
        <f>VLOOKUP(A242,SizeData!A$2:B$3839,2,FALSE)</f>
        <v/>
      </c>
      <c r="D242" s="98" t="n">
        <v>6</v>
      </c>
      <c r="E242" s="98" t="inlineStr">
        <is>
          <t>R2017905</t>
        </is>
      </c>
      <c r="F242" s="99" t="n">
        <v>44993</v>
      </c>
      <c r="G242" s="100" t="n"/>
    </row>
    <row r="243" ht="16" customHeight="1">
      <c r="A243" s="98" t="n">
        <v>35414</v>
      </c>
      <c r="B243" s="98" t="inlineStr">
        <is>
          <t>BURNETT'S VODKA 80 PROOF</t>
        </is>
      </c>
      <c r="C243" s="97">
        <f>VLOOKUP(A243,SizeData!A$2:B$3839,2,FALSE)</f>
        <v/>
      </c>
      <c r="D243" s="98" t="n">
        <v>5</v>
      </c>
      <c r="E243" s="98" t="inlineStr">
        <is>
          <t>R2017536</t>
        </is>
      </c>
      <c r="F243" s="99" t="n">
        <v>44994</v>
      </c>
      <c r="G243" s="100" t="n"/>
    </row>
    <row r="244" ht="16" customHeight="1">
      <c r="A244" s="101" t="n">
        <v>35416</v>
      </c>
      <c r="B244" s="101" t="inlineStr">
        <is>
          <t>BURNETT'S VODKA 80 PROOF</t>
        </is>
      </c>
      <c r="C244" s="102">
        <f>VLOOKUP(A244,SizeData!A$2:B$3839,2,FALSE)</f>
        <v/>
      </c>
      <c r="D244" s="101" t="n">
        <v>1</v>
      </c>
      <c r="E244" s="101" t="inlineStr">
        <is>
          <t>R2017905</t>
        </is>
      </c>
      <c r="F244" s="103" t="n">
        <v>44993</v>
      </c>
      <c r="G244" s="104" t="n"/>
    </row>
    <row r="245" ht="16" customHeight="1">
      <c r="A245" s="98" t="n">
        <v>35416</v>
      </c>
      <c r="B245" s="98" t="inlineStr">
        <is>
          <t>BURNETT'S VODKA 80 PROOF</t>
        </is>
      </c>
      <c r="C245" s="97">
        <f>VLOOKUP(A245,SizeData!A$2:B$3839,2,FALSE)</f>
        <v/>
      </c>
      <c r="D245" s="98" t="n">
        <v>12</v>
      </c>
      <c r="E245" s="98" t="inlineStr">
        <is>
          <t>R1998780</t>
        </is>
      </c>
      <c r="F245" s="99" t="n">
        <v>44999</v>
      </c>
      <c r="G245" s="100" t="n"/>
    </row>
    <row r="246" ht="16" customHeight="1">
      <c r="A246" s="98" t="n">
        <v>35417</v>
      </c>
      <c r="B246" s="98" t="inlineStr">
        <is>
          <t>BURNETT'S VODKA 80 PROOF</t>
        </is>
      </c>
      <c r="C246" s="97">
        <f>VLOOKUP(A246,SizeData!A$2:B$3839,2,FALSE)</f>
        <v/>
      </c>
      <c r="D246" s="98" t="n">
        <v>1</v>
      </c>
      <c r="E246" s="98" t="inlineStr">
        <is>
          <t>R2035192</t>
        </is>
      </c>
      <c r="F246" s="99" t="n">
        <v>45009</v>
      </c>
      <c r="G246" s="100" t="n"/>
    </row>
    <row r="247" ht="16" customHeight="1">
      <c r="A247" s="98" t="n">
        <v>35414</v>
      </c>
      <c r="B247" s="98" t="inlineStr">
        <is>
          <t>BURNETT'S VODKA 80 PROOF</t>
        </is>
      </c>
      <c r="C247" s="97">
        <f>VLOOKUP(A247,SizeData!A$2:B$3839,2,FALSE)</f>
        <v/>
      </c>
      <c r="D247" s="98" t="n">
        <v>4</v>
      </c>
      <c r="E247" s="98" t="inlineStr">
        <is>
          <t>R2039044</t>
        </is>
      </c>
      <c r="F247" s="99" t="n">
        <v>45013</v>
      </c>
      <c r="G247" s="100" t="n"/>
    </row>
    <row r="248" ht="16" customHeight="1">
      <c r="A248" s="98" t="n">
        <v>35414</v>
      </c>
      <c r="B248" s="98" t="inlineStr">
        <is>
          <t>BURNETT'S VODKA 80 PROOF</t>
        </is>
      </c>
      <c r="C248" s="97">
        <f>VLOOKUP(A248,SizeData!A$2:B$3839,2,FALSE)</f>
        <v/>
      </c>
      <c r="D248" s="98" t="n">
        <v>3</v>
      </c>
      <c r="E248" s="98" t="inlineStr">
        <is>
          <t>R2022490</t>
        </is>
      </c>
      <c r="F248" s="99" t="n">
        <v>45014</v>
      </c>
      <c r="G248" s="100" t="n"/>
    </row>
    <row r="249" ht="16" customHeight="1">
      <c r="A249" s="98" t="n">
        <v>35417</v>
      </c>
      <c r="B249" s="98" t="inlineStr">
        <is>
          <t>BURNETT'S VODKA 80 PROOF</t>
        </is>
      </c>
      <c r="C249" s="97">
        <f>VLOOKUP(A249,SizeData!A$2:B$3839,2,FALSE)</f>
        <v/>
      </c>
      <c r="D249" s="98" t="n">
        <v>3</v>
      </c>
      <c r="E249" s="98" t="inlineStr">
        <is>
          <t>R2055049</t>
        </is>
      </c>
      <c r="F249" s="99" t="n">
        <v>45017</v>
      </c>
      <c r="G249" s="100" t="n"/>
    </row>
    <row r="250" ht="16" customHeight="1">
      <c r="A250" s="98" t="n">
        <v>35417</v>
      </c>
      <c r="B250" s="98" t="inlineStr">
        <is>
          <t>BURNETT'S VODKA 80 PROOF</t>
        </is>
      </c>
      <c r="C250" s="97">
        <f>VLOOKUP(A250,SizeData!A$2:B$3839,2,FALSE)</f>
        <v/>
      </c>
      <c r="D250" s="98" t="n">
        <v>10</v>
      </c>
      <c r="E250" s="98" t="inlineStr">
        <is>
          <t>R2044431</t>
        </is>
      </c>
      <c r="F250" s="99" t="n">
        <v>45019</v>
      </c>
      <c r="G250" s="100" t="n"/>
    </row>
    <row r="251" ht="16" customHeight="1">
      <c r="A251" s="98" t="n">
        <v>35417</v>
      </c>
      <c r="B251" s="98" t="inlineStr">
        <is>
          <t>BURNETT'S VODKA 80 PROOF</t>
        </is>
      </c>
      <c r="C251" s="97">
        <f>VLOOKUP(A251,SizeData!A$2:B$3839,2,FALSE)</f>
        <v/>
      </c>
      <c r="D251" s="98" t="n">
        <v>10</v>
      </c>
      <c r="E251" s="98" t="inlineStr">
        <is>
          <t>R2047050</t>
        </is>
      </c>
      <c r="F251" s="99" t="n">
        <v>45021</v>
      </c>
      <c r="G251" s="100" t="n"/>
    </row>
    <row r="252" ht="16" customHeight="1">
      <c r="A252" s="98" t="n">
        <v>35418</v>
      </c>
      <c r="B252" s="98" t="inlineStr">
        <is>
          <t>BURNETT'S VODKA 80 PROOF</t>
        </is>
      </c>
      <c r="C252" s="97">
        <f>VLOOKUP(A252,SizeData!A$2:B$3839,2,FALSE)</f>
        <v/>
      </c>
      <c r="D252" s="98" t="n">
        <v>10</v>
      </c>
      <c r="E252" s="98" t="inlineStr">
        <is>
          <t>R2083969</t>
        </is>
      </c>
      <c r="F252" s="99" t="n">
        <v>45049</v>
      </c>
      <c r="G252" s="100" t="n"/>
    </row>
    <row r="253" ht="16" customHeight="1">
      <c r="A253" s="98" t="n">
        <v>12888</v>
      </c>
      <c r="B253" s="98" t="inlineStr">
        <is>
          <t>CANADIAN RICH &amp; RARE</t>
        </is>
      </c>
      <c r="C253" s="97">
        <f>VLOOKUP(A253,SizeData!A$2:B$3839,2,FALSE)</f>
        <v/>
      </c>
      <c r="D253" s="98" t="n">
        <v>2</v>
      </c>
      <c r="E253" s="98" t="inlineStr">
        <is>
          <t>R1911923</t>
        </is>
      </c>
      <c r="F253" s="99" t="n">
        <v>44912</v>
      </c>
      <c r="G253" s="100" t="n"/>
    </row>
    <row r="254" ht="16" customHeight="1">
      <c r="A254" s="98" t="n">
        <v>35417</v>
      </c>
      <c r="B254" s="98" t="inlineStr">
        <is>
          <t>BURNETT'S VODKA 80 PROOF</t>
        </is>
      </c>
      <c r="C254" s="97">
        <f>VLOOKUP(A254,SizeData!A$2:B$3839,2,FALSE)</f>
        <v/>
      </c>
      <c r="D254" s="98" t="n">
        <v>10</v>
      </c>
      <c r="E254" s="98" t="inlineStr">
        <is>
          <t>R2076671</t>
        </is>
      </c>
      <c r="F254" s="99" t="n">
        <v>45046</v>
      </c>
      <c r="G254" s="100" t="n"/>
    </row>
    <row r="255" ht="16" customHeight="1">
      <c r="A255" s="98" t="n">
        <v>35416</v>
      </c>
      <c r="B255" s="98" t="inlineStr">
        <is>
          <t>BURNETT'S VODKA 80 PROOF</t>
        </is>
      </c>
      <c r="C255" s="97">
        <f>VLOOKUP(A255,SizeData!A$2:B$3839,2,FALSE)</f>
        <v/>
      </c>
      <c r="D255" s="98" t="n">
        <v>5</v>
      </c>
      <c r="E255" s="98" t="inlineStr">
        <is>
          <t>R2082317</t>
        </is>
      </c>
      <c r="F255" s="99" t="n">
        <v>45047</v>
      </c>
      <c r="G255" s="100" t="n"/>
    </row>
    <row r="256" ht="16" customHeight="1">
      <c r="A256" s="98" t="n">
        <v>35416</v>
      </c>
      <c r="B256" s="98" t="inlineStr">
        <is>
          <t>BURNETT'S VODKA 80 PROOF</t>
        </is>
      </c>
      <c r="C256" s="97">
        <f>VLOOKUP(A256,SizeData!A$2:B$3839,2,FALSE)</f>
        <v/>
      </c>
      <c r="D256" s="98" t="n">
        <v>10</v>
      </c>
      <c r="E256" s="98" t="inlineStr">
        <is>
          <t>R2091406</t>
        </is>
      </c>
      <c r="F256" s="99" t="n">
        <v>45048</v>
      </c>
      <c r="G256" s="100" t="n"/>
    </row>
    <row r="257" ht="16" customHeight="1">
      <c r="A257" s="98" t="n">
        <v>42031</v>
      </c>
      <c r="B257" s="98" t="inlineStr">
        <is>
          <t>BURNETT'S WHIPPED CREAM FLAVORED VODKA</t>
        </is>
      </c>
      <c r="C257" s="97">
        <f>VLOOKUP(A257,SizeData!A$2:B$3839,2,FALSE)</f>
        <v/>
      </c>
      <c r="D257" s="98" t="n">
        <v>1</v>
      </c>
      <c r="E257" s="98" t="inlineStr">
        <is>
          <t>R1943057</t>
        </is>
      </c>
      <c r="F257" s="99" t="n">
        <v>44945</v>
      </c>
      <c r="G257" s="100" t="n"/>
    </row>
    <row r="258" ht="16" customHeight="1">
      <c r="A258" s="101" t="n">
        <v>42031</v>
      </c>
      <c r="B258" s="101" t="inlineStr">
        <is>
          <t>BURNETT'S WHIPPED CREAM FLAVORED VODKA</t>
        </is>
      </c>
      <c r="C258" s="102">
        <f>VLOOKUP(A258,SizeData!A$2:B$3839,2,FALSE)</f>
        <v/>
      </c>
      <c r="D258" s="101" t="n">
        <v>1</v>
      </c>
      <c r="E258" s="101" t="inlineStr">
        <is>
          <t>R2036282</t>
        </is>
      </c>
      <c r="F258" s="103" t="n">
        <v>45012</v>
      </c>
      <c r="G258" s="104" t="n"/>
    </row>
    <row r="259" ht="16" customHeight="1">
      <c r="A259" s="98" t="n">
        <v>12858</v>
      </c>
      <c r="B259" s="98" t="inlineStr">
        <is>
          <t>CANADIAN RICH &amp; RARE RESERVE</t>
        </is>
      </c>
      <c r="C259" s="97">
        <f>VLOOKUP(A259,SizeData!A$2:B$3839,2,FALSE)</f>
        <v/>
      </c>
      <c r="D259" s="98" t="n">
        <v>4</v>
      </c>
      <c r="E259" s="98" t="inlineStr">
        <is>
          <t>R1911923</t>
        </is>
      </c>
      <c r="F259" s="99" t="n">
        <v>44912</v>
      </c>
      <c r="G259" s="100" t="n"/>
    </row>
    <row r="260" ht="16" customHeight="1">
      <c r="A260" s="98" t="n">
        <v>57113</v>
      </c>
      <c r="B260" s="98" t="inlineStr">
        <is>
          <t>BUZZBALLZ PEACHBALLZ</t>
        </is>
      </c>
      <c r="C260" s="97">
        <f>VLOOKUP(A260,SizeData!A$2:B$3839,2,FALSE)</f>
        <v/>
      </c>
      <c r="D260" s="98" t="n">
        <v>1</v>
      </c>
      <c r="E260" s="98" t="inlineStr">
        <is>
          <t>R1939504</t>
        </is>
      </c>
      <c r="F260" s="99" t="n">
        <v>44940</v>
      </c>
      <c r="G260" s="100" t="n"/>
    </row>
    <row r="261" ht="16" customHeight="1">
      <c r="A261" s="98" t="n">
        <v>57113</v>
      </c>
      <c r="B261" s="98" t="inlineStr">
        <is>
          <t>BUZZBALLZ PEACHBALLZ</t>
        </is>
      </c>
      <c r="C261" s="97">
        <f>VLOOKUP(A261,SizeData!A$2:B$3839,2,FALSE)</f>
        <v/>
      </c>
      <c r="D261" s="98" t="n">
        <v>1</v>
      </c>
      <c r="E261" s="98" t="inlineStr">
        <is>
          <t>R2074828</t>
        </is>
      </c>
      <c r="F261" s="99" t="n">
        <v>45045</v>
      </c>
      <c r="G261" s="100" t="n"/>
    </row>
    <row r="262" ht="16" customHeight="1">
      <c r="A262" s="98" t="n">
        <v>57095</v>
      </c>
      <c r="B262" s="98" t="inlineStr">
        <is>
          <t>BUZZBALLZ STRAWBERRY RUM JOB</t>
        </is>
      </c>
      <c r="C262" s="97">
        <f>VLOOKUP(A262,SizeData!A$2:B$3839,2,FALSE)</f>
        <v/>
      </c>
      <c r="D262" s="98" t="n">
        <v>1</v>
      </c>
      <c r="E262" s="98" t="inlineStr">
        <is>
          <t>R2020736</t>
        </is>
      </c>
      <c r="F262" s="99" t="n">
        <v>44998</v>
      </c>
      <c r="G262" s="100" t="n"/>
    </row>
    <row r="263" ht="16" customHeight="1">
      <c r="A263" s="101" t="n">
        <v>57095</v>
      </c>
      <c r="B263" s="101" t="inlineStr">
        <is>
          <t>BUZZBALLZ STRAWBERRY RUM JOB</t>
        </is>
      </c>
      <c r="C263" s="102">
        <f>VLOOKUP(A263,SizeData!A$2:B$3839,2,FALSE)</f>
        <v/>
      </c>
      <c r="D263" s="101" t="n">
        <v>1</v>
      </c>
      <c r="E263" s="101" t="inlineStr">
        <is>
          <t>R2074828</t>
        </is>
      </c>
      <c r="F263" s="103" t="n">
        <v>45045</v>
      </c>
      <c r="G263" s="104" t="n"/>
    </row>
    <row r="264" ht="16" customHeight="1">
      <c r="A264" s="98" t="n">
        <v>57098</v>
      </c>
      <c r="B264" s="98" t="inlineStr">
        <is>
          <t>BUZZBALLZ TEQUILA RITA</t>
        </is>
      </c>
      <c r="C264" s="97">
        <f>VLOOKUP(A264,SizeData!A$2:B$3839,2,FALSE)</f>
        <v/>
      </c>
      <c r="D264" s="98" t="n">
        <v>1</v>
      </c>
      <c r="E264" s="98" t="inlineStr">
        <is>
          <t>R1939504</t>
        </is>
      </c>
      <c r="F264" s="99" t="n">
        <v>44940</v>
      </c>
      <c r="G264" s="100" t="n"/>
    </row>
    <row r="265" ht="16" customHeight="1">
      <c r="A265" s="98" t="n">
        <v>57098</v>
      </c>
      <c r="B265" s="98" t="inlineStr">
        <is>
          <t>BUZZBALLZ TEQUILA RITA</t>
        </is>
      </c>
      <c r="C265" s="97">
        <f>VLOOKUP(A265,SizeData!A$2:B$3839,2,FALSE)</f>
        <v/>
      </c>
      <c r="D265" s="98" t="n">
        <v>1</v>
      </c>
      <c r="E265" s="98" t="inlineStr">
        <is>
          <t>R1979406</t>
        </is>
      </c>
      <c r="F265" s="99" t="n">
        <v>44978</v>
      </c>
      <c r="G265" s="100" t="n"/>
    </row>
    <row r="266" ht="16" customHeight="1">
      <c r="A266" s="98" t="n">
        <v>57098</v>
      </c>
      <c r="B266" s="98" t="inlineStr">
        <is>
          <t>BUZZBALLZ TEQUILA RITA</t>
        </is>
      </c>
      <c r="C266" s="97">
        <f>VLOOKUP(A266,SizeData!A$2:B$3839,2,FALSE)</f>
        <v/>
      </c>
      <c r="D266" s="98" t="n">
        <v>2</v>
      </c>
      <c r="E266" s="98" t="inlineStr">
        <is>
          <t>R2047859</t>
        </is>
      </c>
      <c r="F266" s="99" t="n">
        <v>45016</v>
      </c>
      <c r="G266" s="100" t="n"/>
    </row>
    <row r="267" ht="16" customHeight="1">
      <c r="A267" s="101" t="n">
        <v>44333</v>
      </c>
      <c r="B267" s="101" t="inlineStr">
        <is>
          <t>CALYPSO COCONUT FLAVORED RUM</t>
        </is>
      </c>
      <c r="C267" s="102">
        <f>VLOOKUP(A267,SizeData!A$2:B$3839,2,FALSE)</f>
        <v/>
      </c>
      <c r="D267" s="101" t="n">
        <v>3</v>
      </c>
      <c r="E267" s="101" t="inlineStr">
        <is>
          <t>R1998383</t>
        </is>
      </c>
      <c r="F267" s="103" t="n">
        <v>44991</v>
      </c>
      <c r="G267" s="104" t="n"/>
    </row>
    <row r="268" ht="16" customHeight="1">
      <c r="A268" s="98" t="n">
        <v>44331</v>
      </c>
      <c r="B268" s="98" t="inlineStr">
        <is>
          <t>CALYPSO COCONUT RUM</t>
        </is>
      </c>
      <c r="C268" s="97">
        <f>VLOOKUP(A268,SizeData!A$2:B$3839,2,FALSE)</f>
        <v/>
      </c>
      <c r="D268" s="98" t="n">
        <v>1</v>
      </c>
      <c r="E268" s="98" t="inlineStr">
        <is>
          <t>R1997856</t>
        </is>
      </c>
      <c r="F268" s="99" t="n">
        <v>44987</v>
      </c>
      <c r="G268" s="100" t="n"/>
    </row>
    <row r="269" ht="16" customHeight="1">
      <c r="A269" s="98" t="n">
        <v>44348</v>
      </c>
      <c r="B269" s="98" t="inlineStr">
        <is>
          <t>CALYPSO SILVER RUM PET</t>
        </is>
      </c>
      <c r="C269" s="97">
        <f>VLOOKUP(A269,SizeData!A$2:B$3839,2,FALSE)</f>
        <v/>
      </c>
      <c r="D269" s="98" t="n">
        <v>4</v>
      </c>
      <c r="E269" s="98" t="inlineStr">
        <is>
          <t>R1992228</t>
        </is>
      </c>
      <c r="F269" s="99" t="n">
        <v>44978</v>
      </c>
      <c r="G269" s="100" t="n"/>
    </row>
    <row r="270" ht="16" customHeight="1">
      <c r="A270" s="98" t="n">
        <v>44348</v>
      </c>
      <c r="B270" s="98" t="inlineStr">
        <is>
          <t>CALYPSO SILVER RUM PET</t>
        </is>
      </c>
      <c r="C270" s="97">
        <f>VLOOKUP(A270,SizeData!A$2:B$3839,2,FALSE)</f>
        <v/>
      </c>
      <c r="D270" s="98" t="n">
        <v>2</v>
      </c>
      <c r="E270" s="98" t="inlineStr">
        <is>
          <t>R2027602</t>
        </is>
      </c>
      <c r="F270" s="99" t="n">
        <v>45003</v>
      </c>
      <c r="G270" s="100" t="n"/>
    </row>
    <row r="271" ht="16" customHeight="1">
      <c r="A271" s="98" t="n">
        <v>44348</v>
      </c>
      <c r="B271" s="98" t="inlineStr">
        <is>
          <t>CALYPSO SILVER RUM PET</t>
        </is>
      </c>
      <c r="C271" s="97">
        <f>VLOOKUP(A271,SizeData!A$2:B$3839,2,FALSE)</f>
        <v/>
      </c>
      <c r="D271" s="98" t="n">
        <v>1</v>
      </c>
      <c r="E271" s="98" t="inlineStr">
        <is>
          <t>R2035192</t>
        </is>
      </c>
      <c r="F271" s="99" t="n">
        <v>45009</v>
      </c>
      <c r="G271" s="100" t="n"/>
    </row>
    <row r="272" ht="16" customHeight="1">
      <c r="A272" s="98" t="n">
        <v>44348</v>
      </c>
      <c r="B272" s="98" t="inlineStr">
        <is>
          <t>CALYPSO SILVER RUM PET</t>
        </is>
      </c>
      <c r="C272" s="97">
        <f>VLOOKUP(A272,SizeData!A$2:B$3839,2,FALSE)</f>
        <v/>
      </c>
      <c r="D272" s="98" t="n">
        <v>2</v>
      </c>
      <c r="E272" s="98" t="inlineStr">
        <is>
          <t>R2048252</t>
        </is>
      </c>
      <c r="F272" s="99" t="n">
        <v>45021</v>
      </c>
      <c r="G272" s="100" t="n"/>
    </row>
    <row r="273" ht="16" customHeight="1">
      <c r="A273" s="101" t="n">
        <v>44348</v>
      </c>
      <c r="B273" s="101" t="inlineStr">
        <is>
          <t>CALYPSO SILVER RUM PET</t>
        </is>
      </c>
      <c r="C273" s="102">
        <f>VLOOKUP(A273,SizeData!A$2:B$3839,2,FALSE)</f>
        <v/>
      </c>
      <c r="D273" s="101" t="n">
        <v>1</v>
      </c>
      <c r="E273" s="101" t="inlineStr">
        <is>
          <t>R2048252</t>
        </is>
      </c>
      <c r="F273" s="103" t="n">
        <v>45021</v>
      </c>
      <c r="G273" s="104" t="n"/>
    </row>
    <row r="274" ht="16" customHeight="1">
      <c r="A274" s="98" t="n">
        <v>44340</v>
      </c>
      <c r="B274" s="98" t="inlineStr">
        <is>
          <t>CALYPSO SPICED RUM</t>
        </is>
      </c>
      <c r="C274" s="97">
        <f>VLOOKUP(A274,SizeData!A$2:B$3839,2,FALSE)</f>
        <v/>
      </c>
      <c r="D274" s="98" t="n">
        <v>1</v>
      </c>
      <c r="E274" s="98" t="inlineStr">
        <is>
          <t>R1939404</t>
        </is>
      </c>
      <c r="F274" s="99" t="n">
        <v>44942</v>
      </c>
      <c r="G274" s="100" t="n"/>
    </row>
    <row r="275" ht="16" customHeight="1">
      <c r="A275" s="98" t="n">
        <v>882327</v>
      </c>
      <c r="B275" s="98" t="inlineStr">
        <is>
          <t>CARLO ROSSI BLUEBERRY SANGRIA</t>
        </is>
      </c>
      <c r="C275" s="97">
        <f>VLOOKUP(A275,SizeData!A$2:B$3839,2,FALSE)</f>
        <v/>
      </c>
      <c r="D275" s="98" t="n">
        <v>2</v>
      </c>
      <c r="E275" s="98" t="inlineStr">
        <is>
          <t>R1913088</t>
        </is>
      </c>
      <c r="F275" s="99" t="n">
        <v>44921</v>
      </c>
      <c r="G275" s="100" t="n"/>
    </row>
    <row r="276" ht="16" customHeight="1">
      <c r="A276" s="101" t="n">
        <v>44342</v>
      </c>
      <c r="B276" s="101" t="inlineStr">
        <is>
          <t>CALYPSO SPICED RUM</t>
        </is>
      </c>
      <c r="C276" s="102">
        <f>VLOOKUP(A276,SizeData!A$2:B$3839,2,FALSE)</f>
        <v/>
      </c>
      <c r="D276" s="101" t="n">
        <v>1</v>
      </c>
      <c r="E276" s="101" t="inlineStr">
        <is>
          <t>R2030138</t>
        </is>
      </c>
      <c r="F276" s="103" t="n">
        <v>44986</v>
      </c>
      <c r="G276" s="104" t="n"/>
    </row>
    <row r="277" ht="16" customHeight="1">
      <c r="A277" s="98" t="n">
        <v>44340</v>
      </c>
      <c r="B277" s="98" t="inlineStr">
        <is>
          <t>CALYPSO SPICED RUM</t>
        </is>
      </c>
      <c r="C277" s="97">
        <f>VLOOKUP(A277,SizeData!A$2:B$3839,2,FALSE)</f>
        <v/>
      </c>
      <c r="D277" s="98" t="n">
        <v>1</v>
      </c>
      <c r="E277" s="98" t="inlineStr">
        <is>
          <t>R2041213</t>
        </is>
      </c>
      <c r="F277" s="99" t="n">
        <v>45010</v>
      </c>
      <c r="G277" s="100" t="n"/>
    </row>
    <row r="278" ht="16" customHeight="1">
      <c r="A278" s="101" t="n">
        <v>44342</v>
      </c>
      <c r="B278" s="101" t="inlineStr">
        <is>
          <t>CALYPSO SPICED RUM</t>
        </is>
      </c>
      <c r="C278" s="102">
        <f>VLOOKUP(A278,SizeData!A$2:B$3839,2,FALSE)</f>
        <v/>
      </c>
      <c r="D278" s="101" t="n">
        <v>1</v>
      </c>
      <c r="E278" s="101" t="inlineStr">
        <is>
          <t>R2041213</t>
        </is>
      </c>
      <c r="F278" s="103" t="n">
        <v>45010</v>
      </c>
      <c r="G278" s="104" t="n"/>
    </row>
    <row r="279" ht="16" customHeight="1">
      <c r="A279" s="101" t="n">
        <v>10628</v>
      </c>
      <c r="B279" s="101" t="inlineStr">
        <is>
          <t>CANADIAN CLUB ORIGINAL 1858</t>
        </is>
      </c>
      <c r="C279" s="102">
        <f>VLOOKUP(A279,SizeData!A$2:B$3839,2,FALSE)</f>
        <v/>
      </c>
      <c r="D279" s="101" t="n">
        <v>3</v>
      </c>
      <c r="E279" s="101" t="inlineStr">
        <is>
          <t>R2006224</t>
        </is>
      </c>
      <c r="F279" s="103" t="n">
        <v>44986</v>
      </c>
      <c r="G279" s="104" t="n"/>
    </row>
    <row r="280" ht="16" customHeight="1">
      <c r="A280" s="98" t="n">
        <v>10624</v>
      </c>
      <c r="B280" s="98" t="inlineStr">
        <is>
          <t>CANADIAN CLUB ORIGINAL 1858</t>
        </is>
      </c>
      <c r="C280" s="97">
        <f>VLOOKUP(A280,SizeData!A$2:B$3839,2,FALSE)</f>
        <v/>
      </c>
      <c r="D280" s="98" t="n">
        <v>1</v>
      </c>
      <c r="E280" s="98" t="inlineStr">
        <is>
          <t>R2019856</t>
        </is>
      </c>
      <c r="F280" s="99" t="n">
        <v>45005</v>
      </c>
      <c r="G280" s="100" t="n"/>
    </row>
    <row r="281" ht="16" customHeight="1">
      <c r="A281" s="98" t="n">
        <v>10628</v>
      </c>
      <c r="B281" s="98" t="inlineStr">
        <is>
          <t>CANADIAN CLUB ORIGINAL 1858</t>
        </is>
      </c>
      <c r="C281" s="97">
        <f>VLOOKUP(A281,SizeData!A$2:B$3839,2,FALSE)</f>
        <v/>
      </c>
      <c r="D281" s="98" t="n">
        <v>1</v>
      </c>
      <c r="E281" s="98" t="inlineStr">
        <is>
          <t>R2022490</t>
        </is>
      </c>
      <c r="F281" s="99" t="n">
        <v>45014</v>
      </c>
      <c r="G281" s="100" t="n"/>
    </row>
    <row r="282" ht="16" customHeight="1">
      <c r="A282" s="98" t="n">
        <v>10624</v>
      </c>
      <c r="B282" s="98" t="inlineStr">
        <is>
          <t>CANADIAN CLUB ORIGINAL 1858</t>
        </is>
      </c>
      <c r="C282" s="97">
        <f>VLOOKUP(A282,SizeData!A$2:B$3839,2,FALSE)</f>
        <v/>
      </c>
      <c r="D282" s="98" t="n">
        <v>1</v>
      </c>
      <c r="E282" s="98" t="inlineStr">
        <is>
          <t>R2072202</t>
        </is>
      </c>
      <c r="F282" s="99" t="n">
        <v>45033</v>
      </c>
      <c r="G282" s="100" t="n"/>
    </row>
    <row r="283" ht="16" customHeight="1">
      <c r="A283" s="98" t="n">
        <v>10623</v>
      </c>
      <c r="B283" s="98" t="inlineStr">
        <is>
          <t>CANADIAN CLUB ORIGINAL 1858 (PET)</t>
        </is>
      </c>
      <c r="C283" s="97">
        <f>VLOOKUP(A283,SizeData!A$2:B$3839,2,FALSE)</f>
        <v/>
      </c>
      <c r="D283" s="98" t="n">
        <v>1</v>
      </c>
      <c r="E283" s="98" t="inlineStr">
        <is>
          <t>R1980359</t>
        </is>
      </c>
      <c r="F283" s="99" t="n">
        <v>44965</v>
      </c>
      <c r="G283" s="100" t="n"/>
    </row>
    <row r="284" ht="16" customHeight="1">
      <c r="A284" s="98" t="n">
        <v>882307</v>
      </c>
      <c r="B284" s="98" t="inlineStr">
        <is>
          <t>CARLO ROSSI MOSCATO SANGRIA</t>
        </is>
      </c>
      <c r="C284" s="97">
        <f>VLOOKUP(A284,SizeData!A$2:B$3839,2,FALSE)</f>
        <v/>
      </c>
      <c r="D284" s="98" t="n">
        <v>3</v>
      </c>
      <c r="E284" s="98" t="inlineStr">
        <is>
          <t>R1908206</t>
        </is>
      </c>
      <c r="F284" s="99" t="n">
        <v>44908</v>
      </c>
      <c r="G284" s="100" t="n"/>
    </row>
    <row r="285" ht="16" customFormat="1" customHeight="1" s="14">
      <c r="A285" s="98" t="n">
        <v>10623</v>
      </c>
      <c r="B285" s="98" t="inlineStr">
        <is>
          <t>CANADIAN CLUB ORIGINAL 1858 (PET)</t>
        </is>
      </c>
      <c r="C285" s="97">
        <f>VLOOKUP(A285,SizeData!A$2:B$3839,2,FALSE)</f>
        <v/>
      </c>
      <c r="D285" s="98" t="n">
        <v>1</v>
      </c>
      <c r="E285" s="98" t="inlineStr">
        <is>
          <t>R2068757</t>
        </is>
      </c>
      <c r="F285" s="99" t="n">
        <v>45044</v>
      </c>
      <c r="G285" s="100" t="n"/>
    </row>
    <row r="286" ht="16" customHeight="1">
      <c r="A286" s="98" t="n">
        <v>12463</v>
      </c>
      <c r="B286" s="98" t="inlineStr">
        <is>
          <t>CANADIAN MIST</t>
        </is>
      </c>
      <c r="C286" s="97">
        <f>VLOOKUP(A286,SizeData!A$2:B$3839,2,FALSE)</f>
        <v/>
      </c>
      <c r="D286" s="98" t="n">
        <v>1</v>
      </c>
      <c r="E286" s="98" t="inlineStr">
        <is>
          <t>R2068757</t>
        </is>
      </c>
      <c r="F286" s="99" t="n">
        <v>45044</v>
      </c>
      <c r="G286" s="100" t="n"/>
    </row>
    <row r="287" ht="16" customHeight="1">
      <c r="A287" s="98" t="n">
        <v>12478</v>
      </c>
      <c r="B287" s="98" t="inlineStr">
        <is>
          <t>CANADIAN MIST EASY-POUR (PET)</t>
        </is>
      </c>
      <c r="C287" s="97">
        <f>VLOOKUP(A287,SizeData!A$2:B$3839,2,FALSE)</f>
        <v/>
      </c>
      <c r="D287" s="98" t="n">
        <v>2</v>
      </c>
      <c r="E287" s="98" t="inlineStr">
        <is>
          <t>R2030138</t>
        </is>
      </c>
      <c r="F287" s="99" t="n">
        <v>44986</v>
      </c>
      <c r="G287" s="100" t="n"/>
    </row>
    <row r="288" ht="16" customHeight="1">
      <c r="A288" s="98" t="n">
        <v>12478</v>
      </c>
      <c r="B288" s="98" t="inlineStr">
        <is>
          <t>CANADIAN MIST EASY-POUR (PET)</t>
        </is>
      </c>
      <c r="C288" s="97">
        <f>VLOOKUP(A288,SizeData!A$2:B$3839,2,FALSE)</f>
        <v/>
      </c>
      <c r="D288" s="98" t="n">
        <v>6</v>
      </c>
      <c r="E288" s="98" t="inlineStr">
        <is>
          <t>R1999510</t>
        </is>
      </c>
      <c r="F288" s="99" t="n">
        <v>44987</v>
      </c>
      <c r="G288" s="100" t="n"/>
    </row>
    <row r="289" ht="16" customHeight="1">
      <c r="A289" s="98" t="n">
        <v>882307</v>
      </c>
      <c r="B289" s="98" t="inlineStr">
        <is>
          <t>CARLO ROSSI MOSCATO SANGRIA</t>
        </is>
      </c>
      <c r="C289" s="97">
        <f>VLOOKUP(A289,SizeData!A$2:B$3839,2,FALSE)</f>
        <v/>
      </c>
      <c r="D289" s="98" t="n">
        <v>1</v>
      </c>
      <c r="E289" s="98" t="n"/>
      <c r="F289" s="99" t="n"/>
      <c r="G289" s="100" t="n"/>
    </row>
    <row r="290" ht="16" customHeight="1">
      <c r="A290" s="98" t="n">
        <v>12478</v>
      </c>
      <c r="B290" s="98" t="inlineStr">
        <is>
          <t>CANADIAN MIST EASY-POUR (PET)</t>
        </is>
      </c>
      <c r="C290" s="97">
        <f>VLOOKUP(A290,SizeData!A$2:B$3839,2,FALSE)</f>
        <v/>
      </c>
      <c r="D290" s="98" t="n">
        <v>1</v>
      </c>
      <c r="E290" s="98" t="inlineStr">
        <is>
          <t>R2022490</t>
        </is>
      </c>
      <c r="F290" s="99" t="n">
        <v>45014</v>
      </c>
      <c r="G290" s="100" t="n"/>
    </row>
    <row r="291" ht="16" customHeight="1">
      <c r="A291" s="98" t="n">
        <v>12888</v>
      </c>
      <c r="B291" s="98" t="inlineStr">
        <is>
          <t>CANADIAN RICH &amp; RARE</t>
        </is>
      </c>
      <c r="C291" s="97">
        <f>VLOOKUP(A291,SizeData!A$2:B$3839,2,FALSE)</f>
        <v/>
      </c>
      <c r="D291" s="98" t="n">
        <v>1</v>
      </c>
      <c r="E291" s="98" t="inlineStr">
        <is>
          <t>R1962631</t>
        </is>
      </c>
      <c r="F291" s="99" t="n">
        <v>44959</v>
      </c>
      <c r="G291" s="100" t="n"/>
    </row>
    <row r="292" ht="16" customHeight="1">
      <c r="A292" s="98" t="n">
        <v>882328</v>
      </c>
      <c r="B292" s="98" t="inlineStr">
        <is>
          <t>CARLO ROSSI PEACH SANGRIA</t>
        </is>
      </c>
      <c r="C292" s="97">
        <f>VLOOKUP(A292,SizeData!A$2:B$3839,2,FALSE)</f>
        <v/>
      </c>
      <c r="D292" s="98" t="n">
        <v>2</v>
      </c>
      <c r="E292" s="98" t="inlineStr">
        <is>
          <t>R1903202</t>
        </is>
      </c>
      <c r="F292" s="99" t="n">
        <v>44905</v>
      </c>
      <c r="G292" s="100" t="n"/>
    </row>
    <row r="293" ht="16" customHeight="1">
      <c r="A293" s="98" t="n">
        <v>882328</v>
      </c>
      <c r="B293" s="98" t="inlineStr">
        <is>
          <t>CARLO ROSSI PEACH SANGRIA</t>
        </is>
      </c>
      <c r="C293" s="97">
        <f>VLOOKUP(A293,SizeData!A$2:B$3839,2,FALSE)</f>
        <v/>
      </c>
      <c r="D293" s="98" t="n">
        <v>3</v>
      </c>
      <c r="E293" s="98" t="inlineStr">
        <is>
          <t>R1908206</t>
        </is>
      </c>
      <c r="F293" s="99" t="n">
        <v>44908</v>
      </c>
      <c r="G293" s="100" t="n"/>
    </row>
    <row r="294" ht="16" customHeight="1">
      <c r="A294" s="98" t="n">
        <v>882328</v>
      </c>
      <c r="B294" s="98" t="inlineStr">
        <is>
          <t>CARLO ROSSI PEACH SANGRIA</t>
        </is>
      </c>
      <c r="C294" s="97">
        <f>VLOOKUP(A294,SizeData!A$2:B$3839,2,FALSE)</f>
        <v/>
      </c>
      <c r="D294" s="98" t="n">
        <v>3</v>
      </c>
      <c r="E294" s="98" t="inlineStr">
        <is>
          <t>R1913088</t>
        </is>
      </c>
      <c r="F294" s="99" t="n">
        <v>44921</v>
      </c>
      <c r="G294" s="100" t="n"/>
    </row>
    <row r="295" ht="16" customFormat="1" customHeight="1" s="14">
      <c r="A295" s="98" t="n">
        <v>12888</v>
      </c>
      <c r="B295" s="98" t="inlineStr">
        <is>
          <t>CANADIAN RICH &amp; RARE</t>
        </is>
      </c>
      <c r="C295" s="97">
        <f>VLOOKUP(A295,SizeData!A$2:B$3839,2,FALSE)</f>
        <v/>
      </c>
      <c r="D295" s="98" t="n">
        <v>2</v>
      </c>
      <c r="E295" s="98" t="inlineStr">
        <is>
          <t>R1980359</t>
        </is>
      </c>
      <c r="F295" s="99" t="n">
        <v>44965</v>
      </c>
      <c r="G295" s="100" t="n"/>
    </row>
    <row r="296" ht="16" customHeight="1">
      <c r="A296" s="98" t="n">
        <v>12888</v>
      </c>
      <c r="B296" s="98" t="inlineStr">
        <is>
          <t>CANADIAN RICH &amp; RARE</t>
        </is>
      </c>
      <c r="C296" s="97">
        <f>VLOOKUP(A296,SizeData!A$2:B$3839,2,FALSE)</f>
        <v/>
      </c>
      <c r="D296" s="98" t="n">
        <v>2</v>
      </c>
      <c r="E296" s="98" t="inlineStr">
        <is>
          <t>R1995808</t>
        </is>
      </c>
      <c r="F296" s="99" t="n">
        <v>44972</v>
      </c>
      <c r="G296" s="100" t="n"/>
    </row>
    <row r="297" ht="16" customHeight="1">
      <c r="A297" s="98" t="n">
        <v>12888</v>
      </c>
      <c r="B297" s="98" t="inlineStr">
        <is>
          <t>CANADIAN RICH &amp; RARE</t>
        </is>
      </c>
      <c r="C297" s="97">
        <f>VLOOKUP(A297,SizeData!A$2:B$3839,2,FALSE)</f>
        <v/>
      </c>
      <c r="D297" s="98" t="n">
        <v>4</v>
      </c>
      <c r="E297" s="98" t="inlineStr">
        <is>
          <t>R2062305</t>
        </is>
      </c>
      <c r="F297" s="99" t="n">
        <v>44931</v>
      </c>
      <c r="G297" s="100" t="n"/>
    </row>
    <row r="298" ht="16" customHeight="1">
      <c r="A298" s="98" t="n">
        <v>882322</v>
      </c>
      <c r="B298" s="98" t="inlineStr">
        <is>
          <t>CARLO ROSSI PINEAPPLE SANGRIA</t>
        </is>
      </c>
      <c r="C298" s="97">
        <f>VLOOKUP(A298,SizeData!A$2:B$3839,2,FALSE)</f>
        <v/>
      </c>
      <c r="D298" s="98" t="n">
        <v>1</v>
      </c>
      <c r="E298" s="98" t="inlineStr">
        <is>
          <t>R1908206</t>
        </is>
      </c>
      <c r="F298" s="99" t="n">
        <v>44908</v>
      </c>
      <c r="G298" s="100" t="n"/>
    </row>
    <row r="299" ht="16" customHeight="1">
      <c r="A299" s="98" t="n">
        <v>882322</v>
      </c>
      <c r="B299" s="98" t="inlineStr">
        <is>
          <t>CARLO ROSSI PINEAPPLE SANGRIA</t>
        </is>
      </c>
      <c r="C299" s="97">
        <f>VLOOKUP(A299,SizeData!A$2:B$3839,2,FALSE)</f>
        <v/>
      </c>
      <c r="D299" s="98" t="n">
        <v>1</v>
      </c>
      <c r="E299" s="98" t="inlineStr">
        <is>
          <t>R1907823</t>
        </is>
      </c>
      <c r="F299" s="99" t="n">
        <v>44908</v>
      </c>
      <c r="G299" s="100" t="n"/>
    </row>
    <row r="300" ht="16" customHeight="1">
      <c r="A300" s="98" t="n">
        <v>882322</v>
      </c>
      <c r="B300" s="98" t="inlineStr">
        <is>
          <t>CARLO ROSSI PINEAPPLE SANGRIA</t>
        </is>
      </c>
      <c r="C300" s="97">
        <f>VLOOKUP(A300,SizeData!A$2:B$3839,2,FALSE)</f>
        <v/>
      </c>
      <c r="D300" s="98" t="n">
        <v>2</v>
      </c>
      <c r="E300" s="98" t="inlineStr">
        <is>
          <t>R1913088</t>
        </is>
      </c>
      <c r="F300" s="99" t="n">
        <v>44921</v>
      </c>
      <c r="G300" s="100" t="n"/>
    </row>
    <row r="301" ht="16" customHeight="1">
      <c r="A301" s="98" t="n">
        <v>12888</v>
      </c>
      <c r="B301" s="98" t="inlineStr">
        <is>
          <t>CANADIAN RICH &amp; RARE</t>
        </is>
      </c>
      <c r="C301" s="97">
        <f>VLOOKUP(A301,SizeData!A$2:B$3839,2,FALSE)</f>
        <v/>
      </c>
      <c r="D301" s="98" t="n">
        <v>4</v>
      </c>
      <c r="E301" s="98" t="inlineStr">
        <is>
          <t>R2062305</t>
        </is>
      </c>
      <c r="F301" s="99" t="n">
        <v>45024</v>
      </c>
      <c r="G301" s="100" t="n"/>
    </row>
    <row r="302" ht="16" customHeight="1">
      <c r="A302" s="98" t="n">
        <v>12888</v>
      </c>
      <c r="B302" s="98" t="inlineStr">
        <is>
          <t>CANADIAN RICH &amp; RARE</t>
        </is>
      </c>
      <c r="C302" s="97">
        <f>VLOOKUP(A302,SizeData!A$2:B$3839,2,FALSE)</f>
        <v/>
      </c>
      <c r="D302" s="98" t="n">
        <v>1</v>
      </c>
      <c r="E302" s="98" t="inlineStr">
        <is>
          <t>R2054650</t>
        </is>
      </c>
      <c r="F302" s="99" t="n">
        <v>45031</v>
      </c>
      <c r="G302" s="100" t="n"/>
    </row>
    <row r="303" ht="16" customHeight="1">
      <c r="A303" s="98" t="n">
        <v>12858</v>
      </c>
      <c r="B303" s="98" t="inlineStr">
        <is>
          <t>CANADIAN RICH &amp; RARE RESERVE</t>
        </is>
      </c>
      <c r="C303" s="97">
        <f>VLOOKUP(A303,SizeData!A$2:B$3839,2,FALSE)</f>
        <v/>
      </c>
      <c r="D303" s="98" t="n">
        <v>3</v>
      </c>
      <c r="E303" s="98" t="inlineStr">
        <is>
          <t>R1999510</t>
        </is>
      </c>
      <c r="F303" s="99" t="n">
        <v>44987</v>
      </c>
      <c r="G303" s="100" t="n"/>
    </row>
    <row r="304" ht="16" customHeight="1">
      <c r="A304" s="98" t="n">
        <v>12858</v>
      </c>
      <c r="B304" s="98" t="inlineStr">
        <is>
          <t>CANADIAN RICH &amp; RARE RESERVE</t>
        </is>
      </c>
      <c r="C304" s="97">
        <f>VLOOKUP(A304,SizeData!A$2:B$3839,2,FALSE)</f>
        <v/>
      </c>
      <c r="D304" s="98" t="n">
        <v>3</v>
      </c>
      <c r="E304" s="98" t="inlineStr">
        <is>
          <t>R2017905</t>
        </is>
      </c>
      <c r="F304" s="99" t="n">
        <v>44993</v>
      </c>
      <c r="G304" s="100" t="n"/>
    </row>
    <row r="305" ht="16" customHeight="1">
      <c r="A305" s="98" t="n">
        <v>882304</v>
      </c>
      <c r="B305" s="98" t="inlineStr">
        <is>
          <t>CARLO ROSSI SANGRIA</t>
        </is>
      </c>
      <c r="C305" s="97">
        <f>VLOOKUP(A305,SizeData!A$2:B$3839,2,FALSE)</f>
        <v/>
      </c>
      <c r="D305" s="98" t="n">
        <v>3</v>
      </c>
      <c r="E305" s="98" t="inlineStr">
        <is>
          <t>R1908206</t>
        </is>
      </c>
      <c r="F305" s="99" t="n">
        <v>44908</v>
      </c>
      <c r="G305" s="100" t="n"/>
    </row>
    <row r="306" ht="16" customHeight="1">
      <c r="A306" s="98" t="n">
        <v>882304</v>
      </c>
      <c r="B306" s="98" t="inlineStr">
        <is>
          <t>CARLO ROSSI SANGRIA</t>
        </is>
      </c>
      <c r="C306" s="97">
        <f>VLOOKUP(A306,SizeData!A$2:B$3839,2,FALSE)</f>
        <v/>
      </c>
      <c r="D306" s="98" t="n">
        <v>4</v>
      </c>
      <c r="E306" s="98" t="inlineStr">
        <is>
          <t>R1913088</t>
        </is>
      </c>
      <c r="F306" s="99" t="n">
        <v>44921</v>
      </c>
      <c r="G306" s="100" t="n"/>
    </row>
    <row r="307" ht="16" customHeight="1">
      <c r="A307" s="98" t="n">
        <v>12855</v>
      </c>
      <c r="B307" s="98" t="inlineStr">
        <is>
          <t>CANADIAN RICH AND RARE RESERVE</t>
        </is>
      </c>
      <c r="C307" s="97">
        <f>VLOOKUP(A307,SizeData!A$2:B$3839,2,FALSE)</f>
        <v/>
      </c>
      <c r="D307" s="98" t="n">
        <v>0</v>
      </c>
      <c r="E307" s="98" t="inlineStr">
        <is>
          <t>R1949716</t>
        </is>
      </c>
      <c r="F307" s="99" t="n">
        <v>44950</v>
      </c>
      <c r="G307" s="100" t="n"/>
    </row>
    <row r="308" ht="16" customHeight="1">
      <c r="A308" s="98" t="n">
        <v>12855</v>
      </c>
      <c r="B308" s="98" t="inlineStr">
        <is>
          <t>CANADIAN RICH AND RARE RESERVE</t>
        </is>
      </c>
      <c r="C308" s="97">
        <f>VLOOKUP(A308,SizeData!A$2:B$3839,2,FALSE)</f>
        <v/>
      </c>
      <c r="D308" s="98" t="n">
        <v>3</v>
      </c>
      <c r="E308" s="98" t="inlineStr">
        <is>
          <t>R1956061</t>
        </is>
      </c>
      <c r="F308" s="99" t="n">
        <v>44956</v>
      </c>
      <c r="G308" s="100" t="n"/>
    </row>
    <row r="309" ht="16" customHeight="1">
      <c r="A309" s="98" t="n">
        <v>12855</v>
      </c>
      <c r="B309" s="98" t="inlineStr">
        <is>
          <t>CANADIAN RICH AND RARE RESERVE</t>
        </is>
      </c>
      <c r="C309" s="97">
        <f>VLOOKUP(A309,SizeData!A$2:B$3839,2,FALSE)</f>
        <v/>
      </c>
      <c r="D309" s="98" t="n">
        <v>10</v>
      </c>
      <c r="E309" s="98" t="inlineStr">
        <is>
          <t>R1959374</t>
        </is>
      </c>
      <c r="F309" s="99" t="n">
        <v>44965</v>
      </c>
      <c r="G309" s="100" t="n"/>
    </row>
    <row r="310" ht="16" customHeight="1">
      <c r="A310" s="98" t="n">
        <v>882300</v>
      </c>
      <c r="B310" s="98" t="inlineStr">
        <is>
          <t>CARLO ROSSI SPANADA SANGRIA</t>
        </is>
      </c>
      <c r="C310" s="97">
        <f>VLOOKUP(A310,SizeData!A$2:B$3839,2,FALSE)</f>
        <v/>
      </c>
      <c r="D310" s="98" t="n">
        <v>4</v>
      </c>
      <c r="E310" s="98" t="inlineStr">
        <is>
          <t>R1906771</t>
        </is>
      </c>
      <c r="F310" s="99" t="n">
        <v>44908</v>
      </c>
      <c r="G310" s="100" t="n"/>
    </row>
    <row r="311" ht="16" customHeight="1">
      <c r="A311" s="98" t="n">
        <v>882306</v>
      </c>
      <c r="B311" s="98" t="inlineStr">
        <is>
          <t>CARLO ROSSI SPANADA SANGRIA</t>
        </is>
      </c>
      <c r="C311" s="97">
        <f>VLOOKUP(A311,SizeData!A$2:B$3839,2,FALSE)</f>
        <v/>
      </c>
      <c r="D311" s="98" t="n">
        <v>3</v>
      </c>
      <c r="E311" s="98" t="inlineStr">
        <is>
          <t>R1906771</t>
        </is>
      </c>
      <c r="F311" s="99" t="n">
        <v>44908</v>
      </c>
      <c r="G311" s="100" t="n"/>
    </row>
    <row r="312" ht="16" customHeight="1">
      <c r="A312" s="98" t="n">
        <v>882300</v>
      </c>
      <c r="B312" s="98" t="inlineStr">
        <is>
          <t>CARLO ROSSI SPANADA SANGRIA</t>
        </is>
      </c>
      <c r="C312" s="97">
        <f>VLOOKUP(A312,SizeData!A$2:B$3839,2,FALSE)</f>
        <v/>
      </c>
      <c r="D312" s="98" t="n">
        <v>3</v>
      </c>
      <c r="E312" s="98" t="inlineStr">
        <is>
          <t>R1912921</t>
        </is>
      </c>
      <c r="F312" s="99" t="n">
        <v>44915</v>
      </c>
      <c r="G312" s="100" t="n"/>
    </row>
    <row r="313" ht="16" customHeight="1">
      <c r="A313" s="98" t="n">
        <v>882306</v>
      </c>
      <c r="B313" s="98" t="inlineStr">
        <is>
          <t>CARLO ROSSI SPANADA SANGRIA</t>
        </is>
      </c>
      <c r="C313" s="97">
        <f>VLOOKUP(A313,SizeData!A$2:B$3839,2,FALSE)</f>
        <v/>
      </c>
      <c r="D313" s="98" t="n">
        <v>3</v>
      </c>
      <c r="E313" s="98" t="inlineStr">
        <is>
          <t>R1913088</t>
        </is>
      </c>
      <c r="F313" s="99" t="n">
        <v>44921</v>
      </c>
      <c r="G313" s="100" t="n"/>
    </row>
    <row r="314" ht="16" customHeight="1">
      <c r="A314" s="98" t="n">
        <v>882380</v>
      </c>
      <c r="B314" s="98" t="inlineStr">
        <is>
          <t>CAPRICCIO BUBBLY SANGRIA</t>
        </is>
      </c>
      <c r="C314" s="97">
        <f>VLOOKUP(A314,SizeData!A$2:B$3839,2,FALSE)</f>
        <v/>
      </c>
      <c r="D314" s="98" t="n">
        <v>2</v>
      </c>
      <c r="E314" s="98" t="inlineStr">
        <is>
          <t>R1928529</t>
        </is>
      </c>
      <c r="F314" s="99" t="n">
        <v>44933</v>
      </c>
      <c r="G314" s="100" t="n"/>
    </row>
    <row r="315" ht="16" customHeight="1">
      <c r="A315" s="98" t="n">
        <v>882381</v>
      </c>
      <c r="B315" s="98" t="inlineStr">
        <is>
          <t>CAPRICCIO BUBBLY SANGRIA</t>
        </is>
      </c>
      <c r="C315" s="97">
        <f>VLOOKUP(A315,SizeData!A$2:B$3839,2,FALSE)</f>
        <v/>
      </c>
      <c r="D315" s="98" t="n">
        <v>3</v>
      </c>
      <c r="E315" s="98" t="inlineStr">
        <is>
          <t>R1972521</t>
        </is>
      </c>
      <c r="F315" s="99" t="n">
        <v>44964</v>
      </c>
      <c r="G315" s="100" t="n"/>
    </row>
    <row r="316" ht="16" customHeight="1">
      <c r="A316" s="98" t="n">
        <v>882380</v>
      </c>
      <c r="B316" s="98" t="inlineStr">
        <is>
          <t>CAPRICCIO BUBBLY SANGRIA</t>
        </is>
      </c>
      <c r="C316" s="97">
        <f>VLOOKUP(A316,SizeData!A$2:B$3839,2,FALSE)</f>
        <v/>
      </c>
      <c r="D316" s="98" t="n">
        <v>2</v>
      </c>
      <c r="E316" s="98" t="inlineStr">
        <is>
          <t>R2005740</t>
        </is>
      </c>
      <c r="F316" s="99" t="n">
        <v>44987</v>
      </c>
      <c r="G316" s="100" t="n"/>
    </row>
    <row r="317" ht="16" customHeight="1">
      <c r="A317" s="101" t="n">
        <v>882381</v>
      </c>
      <c r="B317" s="101" t="inlineStr">
        <is>
          <t>CAPRICCIO BUBBLY SANGRIA</t>
        </is>
      </c>
      <c r="C317" s="102">
        <f>VLOOKUP(A317,SizeData!A$2:B$3839,2,FALSE)</f>
        <v/>
      </c>
      <c r="D317" s="101" t="n">
        <v>1</v>
      </c>
      <c r="E317" s="101" t="inlineStr">
        <is>
          <t>R2013233</t>
        </is>
      </c>
      <c r="F317" s="103" t="n">
        <v>44995</v>
      </c>
      <c r="G317" s="104" t="n"/>
    </row>
    <row r="318" ht="16" customHeight="1">
      <c r="A318" s="98" t="n">
        <v>882381</v>
      </c>
      <c r="B318" s="98" t="inlineStr">
        <is>
          <t>CAPRICCIO BUBBLY SANGRIA</t>
        </is>
      </c>
      <c r="C318" s="97">
        <f>VLOOKUP(A318,SizeData!A$2:B$3839,2,FALSE)</f>
        <v/>
      </c>
      <c r="D318" s="98" t="n">
        <v>2</v>
      </c>
      <c r="E318" s="98" t="inlineStr">
        <is>
          <t>R2027602</t>
        </is>
      </c>
      <c r="F318" s="99" t="n">
        <v>45003</v>
      </c>
      <c r="G318" s="100" t="n"/>
    </row>
    <row r="319" ht="16" customHeight="1">
      <c r="A319" s="98" t="n">
        <v>882380</v>
      </c>
      <c r="B319" s="98" t="inlineStr">
        <is>
          <t>CAPRICCIO BUBBLY SANGRIA</t>
        </is>
      </c>
      <c r="C319" s="97">
        <f>VLOOKUP(A319,SizeData!A$2:B$3839,2,FALSE)</f>
        <v/>
      </c>
      <c r="D319" s="98" t="n">
        <v>2</v>
      </c>
      <c r="E319" s="98" t="inlineStr">
        <is>
          <t>R2036282</t>
        </is>
      </c>
      <c r="F319" s="99" t="n">
        <v>45012</v>
      </c>
      <c r="G319" s="100" t="n"/>
    </row>
    <row r="320" ht="16" customHeight="1">
      <c r="A320" s="98" t="n">
        <v>882381</v>
      </c>
      <c r="B320" s="98" t="inlineStr">
        <is>
          <t>CAPRICCIO BUBBLY SANGRIA</t>
        </is>
      </c>
      <c r="C320" s="97">
        <f>VLOOKUP(A320,SizeData!A$2:B$3839,2,FALSE)</f>
        <v/>
      </c>
      <c r="D320" s="98" t="n">
        <v>2</v>
      </c>
      <c r="E320" s="98" t="inlineStr">
        <is>
          <t>R2062305</t>
        </is>
      </c>
      <c r="F320" s="99" t="n">
        <v>45024</v>
      </c>
      <c r="G320" s="100" t="n"/>
    </row>
    <row r="321" ht="16" customHeight="1">
      <c r="A321" s="98" t="n">
        <v>882380</v>
      </c>
      <c r="B321" s="98" t="inlineStr">
        <is>
          <t>CAPRICCIO BUBBLY SANGRIA</t>
        </is>
      </c>
      <c r="C321" s="97">
        <f>VLOOKUP(A321,SizeData!A$2:B$3839,2,FALSE)</f>
        <v/>
      </c>
      <c r="D321" s="98" t="n">
        <v>1</v>
      </c>
      <c r="E321" s="98" t="inlineStr">
        <is>
          <t>R2067759</t>
        </is>
      </c>
      <c r="F321" s="99" t="n">
        <v>45037</v>
      </c>
      <c r="G321" s="100" t="n"/>
    </row>
    <row r="322" ht="16" customHeight="1">
      <c r="A322" s="98" t="n">
        <v>43336</v>
      </c>
      <c r="B322" s="98" t="inlineStr">
        <is>
          <t>CAPTAIN MORGAN ORIGINAL SPICED RUM</t>
        </is>
      </c>
      <c r="C322" s="97">
        <f>VLOOKUP(A322,SizeData!A$2:B$3839,2,FALSE)</f>
        <v/>
      </c>
      <c r="D322" s="98" t="n">
        <v>1</v>
      </c>
      <c r="E322" s="98" t="inlineStr">
        <is>
          <t>R1978112</t>
        </is>
      </c>
      <c r="F322" s="99" t="n">
        <v>44972</v>
      </c>
      <c r="G322" s="100" t="n"/>
    </row>
    <row r="323" ht="16" customHeight="1">
      <c r="A323" s="101" t="n">
        <v>43336</v>
      </c>
      <c r="B323" s="101" t="inlineStr">
        <is>
          <t>CAPTAIN MORGAN ORIGINAL SPICED RUM</t>
        </is>
      </c>
      <c r="C323" s="102">
        <f>VLOOKUP(A323,SizeData!A$2:B$3839,2,FALSE)</f>
        <v/>
      </c>
      <c r="D323" s="101" t="n">
        <v>1</v>
      </c>
      <c r="E323" s="101" t="inlineStr">
        <is>
          <t>R1991528</t>
        </is>
      </c>
      <c r="F323" s="103" t="n">
        <v>44974</v>
      </c>
      <c r="G323" s="104" t="n"/>
    </row>
    <row r="324" ht="16" customHeight="1">
      <c r="A324" s="98" t="n">
        <v>43338</v>
      </c>
      <c r="B324" s="98" t="inlineStr">
        <is>
          <t>CAPTAIN MORGAN ORIGINAL SPICED RUM</t>
        </is>
      </c>
      <c r="C324" s="97">
        <f>VLOOKUP(A324,SizeData!A$2:B$3839,2,FALSE)</f>
        <v/>
      </c>
      <c r="D324" s="98" t="n">
        <v>1</v>
      </c>
      <c r="E324" s="98" t="inlineStr">
        <is>
          <t>R1997856</t>
        </is>
      </c>
      <c r="F324" s="99" t="n">
        <v>44987</v>
      </c>
      <c r="G324" s="100" t="n"/>
    </row>
    <row r="325" ht="16" customHeight="1">
      <c r="A325" s="101" t="n">
        <v>882327</v>
      </c>
      <c r="B325" s="101" t="inlineStr">
        <is>
          <t>CARLO ROSSI BLUEBERRY SANGRIA</t>
        </is>
      </c>
      <c r="C325" s="102">
        <f>VLOOKUP(A325,SizeData!A$2:B$3839,2,FALSE)</f>
        <v/>
      </c>
      <c r="D325" s="101" t="n">
        <v>3</v>
      </c>
      <c r="E325" s="101" t="inlineStr">
        <is>
          <t>R1970895</t>
        </is>
      </c>
      <c r="F325" s="103" t="n">
        <v>44961</v>
      </c>
      <c r="G325" s="104" t="n"/>
    </row>
    <row r="326" ht="16" customHeight="1">
      <c r="A326" s="98" t="n">
        <v>451246</v>
      </c>
      <c r="B326" s="98" t="inlineStr">
        <is>
          <t>CARLO ROSSI CABERNET SAUVIGNON CALIFORNIA</t>
        </is>
      </c>
      <c r="C326" s="97">
        <f>VLOOKUP(A326,SizeData!A$2:B$3839,2,FALSE)</f>
        <v/>
      </c>
      <c r="D326" s="98" t="n">
        <v>1</v>
      </c>
      <c r="E326" s="98" t="inlineStr">
        <is>
          <t>R1973563</t>
        </is>
      </c>
      <c r="F326" s="99" t="n">
        <v>44971</v>
      </c>
      <c r="G326" s="100" t="n"/>
    </row>
    <row r="327" ht="16" customHeight="1">
      <c r="A327" s="98" t="n">
        <v>451246</v>
      </c>
      <c r="B327" s="98" t="inlineStr">
        <is>
          <t>CARLO ROSSI CABERNET SAUVIGNON CALIFORNIA</t>
        </is>
      </c>
      <c r="C327" s="97">
        <f>VLOOKUP(A327,SizeData!A$2:B$3839,2,FALSE)</f>
        <v/>
      </c>
      <c r="D327" s="98" t="n">
        <v>1</v>
      </c>
      <c r="E327" s="98" t="inlineStr">
        <is>
          <t>R2049593</t>
        </is>
      </c>
      <c r="F327" s="99" t="n">
        <v>45022</v>
      </c>
      <c r="G327" s="100" t="n"/>
    </row>
    <row r="328" ht="16" customHeight="1">
      <c r="A328" s="98" t="n">
        <v>552052</v>
      </c>
      <c r="B328" s="98" t="inlineStr">
        <is>
          <t>CARLO ROSSI CHARDONNAY</t>
        </is>
      </c>
      <c r="C328" s="97">
        <f>VLOOKUP(A328,SizeData!A$2:B$3839,2,FALSE)</f>
        <v/>
      </c>
      <c r="D328" s="98" t="n">
        <v>2</v>
      </c>
      <c r="E328" s="98" t="inlineStr">
        <is>
          <t>R1919341</t>
        </is>
      </c>
      <c r="F328" s="99" t="n">
        <v>44930</v>
      </c>
      <c r="G328" s="100" t="n"/>
    </row>
    <row r="329" ht="16" customHeight="1">
      <c r="A329" s="98" t="n">
        <v>552052</v>
      </c>
      <c r="B329" s="98" t="inlineStr">
        <is>
          <t>CARLO ROSSI CHARDONNAY</t>
        </is>
      </c>
      <c r="C329" s="97">
        <f>VLOOKUP(A329,SizeData!A$2:B$3839,2,FALSE)</f>
        <v/>
      </c>
      <c r="D329" s="98" t="n">
        <v>1</v>
      </c>
      <c r="E329" s="98" t="inlineStr">
        <is>
          <t>R1945780</t>
        </is>
      </c>
      <c r="F329" s="99" t="n">
        <v>44940</v>
      </c>
      <c r="G329" s="100" t="n"/>
    </row>
    <row r="330" ht="16" customHeight="1">
      <c r="A330" s="98" t="n">
        <v>415315</v>
      </c>
      <c r="B330" s="98" t="inlineStr">
        <is>
          <t>CARLO ROSSI SWEET RED</t>
        </is>
      </c>
      <c r="C330" s="97">
        <f>VLOOKUP(A330,SizeData!A$2:B$3839,2,FALSE)</f>
        <v/>
      </c>
      <c r="D330" s="98" t="n">
        <v>2</v>
      </c>
      <c r="E330" s="98" t="inlineStr">
        <is>
          <t>R1908206</t>
        </is>
      </c>
      <c r="F330" s="99" t="n">
        <v>44908</v>
      </c>
      <c r="G330" s="100" t="n"/>
    </row>
    <row r="331" ht="16" customHeight="1">
      <c r="A331" s="98" t="n">
        <v>882312</v>
      </c>
      <c r="B331" s="98" t="inlineStr">
        <is>
          <t>CARLO ROSSI SWEET RED</t>
        </is>
      </c>
      <c r="C331" s="97">
        <f>VLOOKUP(A331,SizeData!A$2:B$3839,2,FALSE)</f>
        <v/>
      </c>
      <c r="D331" s="98" t="n">
        <v>2</v>
      </c>
      <c r="E331" s="98" t="inlineStr">
        <is>
          <t>R1908206</t>
        </is>
      </c>
      <c r="F331" s="99" t="n">
        <v>44908</v>
      </c>
      <c r="G331" s="100" t="n"/>
    </row>
    <row r="332" ht="16" customHeight="1">
      <c r="A332" s="98" t="n">
        <v>415315</v>
      </c>
      <c r="B332" s="98" t="inlineStr">
        <is>
          <t>CARLO ROSSI SWEET RED</t>
        </is>
      </c>
      <c r="C332" s="97">
        <f>VLOOKUP(A332,SizeData!A$2:B$3839,2,FALSE)</f>
        <v/>
      </c>
      <c r="D332" s="98" t="n">
        <v>2</v>
      </c>
      <c r="E332" s="98" t="inlineStr">
        <is>
          <t>R1913611</t>
        </is>
      </c>
      <c r="F332" s="99" t="n">
        <v>44914</v>
      </c>
      <c r="G332" s="100" t="n"/>
    </row>
    <row r="333" ht="16" customHeight="1">
      <c r="A333" s="98" t="n">
        <v>415318</v>
      </c>
      <c r="B333" s="98" t="inlineStr">
        <is>
          <t>CARLO ROSSI SWEET RED</t>
        </is>
      </c>
      <c r="C333" s="97">
        <f>VLOOKUP(A333,SizeData!A$2:B$3839,2,FALSE)</f>
        <v/>
      </c>
      <c r="D333" s="98" t="n">
        <v>5</v>
      </c>
      <c r="E333" s="98" t="inlineStr">
        <is>
          <t>R1911462</t>
        </is>
      </c>
      <c r="F333" s="99" t="n">
        <v>44917</v>
      </c>
      <c r="G333" s="100" t="n"/>
    </row>
    <row r="334" ht="16" customHeight="1">
      <c r="A334" s="98" t="n">
        <v>882312</v>
      </c>
      <c r="B334" s="98" t="inlineStr">
        <is>
          <t>CARLO ROSSI SWEET RED</t>
        </is>
      </c>
      <c r="C334" s="97">
        <f>VLOOKUP(A334,SizeData!A$2:B$3839,2,FALSE)</f>
        <v/>
      </c>
      <c r="D334" s="98" t="n">
        <v>4</v>
      </c>
      <c r="E334" s="98" t="inlineStr">
        <is>
          <t>R1913088</t>
        </is>
      </c>
      <c r="F334" s="99" t="n">
        <v>44921</v>
      </c>
      <c r="G334" s="100" t="n"/>
    </row>
    <row r="335" ht="16" customHeight="1">
      <c r="A335" s="98" t="n">
        <v>415315</v>
      </c>
      <c r="B335" s="98" t="inlineStr">
        <is>
          <t>CARLO ROSSI SWEET RED</t>
        </is>
      </c>
      <c r="C335" s="97">
        <f>VLOOKUP(A335,SizeData!A$2:B$3839,2,FALSE)</f>
        <v/>
      </c>
      <c r="D335" s="98" t="n">
        <v>3</v>
      </c>
      <c r="E335" s="98" t="inlineStr">
        <is>
          <t>R1913088</t>
        </is>
      </c>
      <c r="F335" s="99" t="n">
        <v>44921</v>
      </c>
      <c r="G335" s="100" t="n"/>
    </row>
    <row r="336" ht="16" customHeight="1">
      <c r="A336" s="101" t="n">
        <v>552052</v>
      </c>
      <c r="B336" s="101" t="inlineStr">
        <is>
          <t>CARLO ROSSI CHARDONNAY</t>
        </is>
      </c>
      <c r="C336" s="102">
        <f>VLOOKUP(A336,SizeData!A$2:B$3839,2,FALSE)</f>
        <v/>
      </c>
      <c r="D336" s="101" t="n">
        <v>3</v>
      </c>
      <c r="E336" s="101" t="inlineStr">
        <is>
          <t>R2028718</t>
        </is>
      </c>
      <c r="F336" s="103" t="n">
        <v>45008</v>
      </c>
      <c r="G336" s="104" t="n"/>
    </row>
    <row r="337" ht="16" customHeight="1">
      <c r="A337" s="98" t="n">
        <v>552052</v>
      </c>
      <c r="B337" s="98" t="inlineStr">
        <is>
          <t>CARLO ROSSI CHARDONNAY</t>
        </is>
      </c>
      <c r="C337" s="97">
        <f>VLOOKUP(A337,SizeData!A$2:B$3839,2,FALSE)</f>
        <v/>
      </c>
      <c r="D337" s="98" t="n">
        <v>4</v>
      </c>
      <c r="E337" s="98" t="inlineStr">
        <is>
          <t>R2062305</t>
        </is>
      </c>
      <c r="F337" s="99" t="n">
        <v>45024</v>
      </c>
      <c r="G337" s="100" t="n"/>
    </row>
    <row r="338" ht="16" customHeight="1">
      <c r="A338" s="101" t="n">
        <v>451249</v>
      </c>
      <c r="B338" s="101" t="inlineStr">
        <is>
          <t>CARLO ROSSI MERLOT CALIFORNIA</t>
        </is>
      </c>
      <c r="C338" s="102">
        <f>VLOOKUP(A338,SizeData!A$2:B$3839,2,FALSE)</f>
        <v/>
      </c>
      <c r="D338" s="101" t="n">
        <v>1</v>
      </c>
      <c r="E338" s="101" t="inlineStr">
        <is>
          <t>R2048252</t>
        </is>
      </c>
      <c r="F338" s="103" t="n">
        <v>45021</v>
      </c>
      <c r="G338" s="104" t="n"/>
    </row>
    <row r="339" ht="16" customHeight="1">
      <c r="A339" s="98" t="n">
        <v>882307</v>
      </c>
      <c r="B339" s="98" t="inlineStr">
        <is>
          <t>CARLO ROSSI MOSCATO SANGRIA</t>
        </is>
      </c>
      <c r="C339" s="97">
        <f>VLOOKUP(A339,SizeData!A$2:B$3839,2,FALSE)</f>
        <v/>
      </c>
      <c r="D339" s="98" t="n">
        <v>1</v>
      </c>
      <c r="E339" s="98" t="inlineStr">
        <is>
          <t>R1926599</t>
        </is>
      </c>
      <c r="F339" s="99" t="n">
        <v>44933</v>
      </c>
      <c r="G339" s="100" t="n"/>
    </row>
    <row r="340" ht="16" customHeight="1">
      <c r="A340" s="98" t="n">
        <v>882307</v>
      </c>
      <c r="B340" s="98" t="inlineStr">
        <is>
          <t>CARLO ROSSI MOSCATO SANGRIA</t>
        </is>
      </c>
      <c r="C340" s="97">
        <f>VLOOKUP(A340,SizeData!A$2:B$3839,2,FALSE)</f>
        <v/>
      </c>
      <c r="D340" s="98" t="n">
        <v>3</v>
      </c>
      <c r="E340" s="98" t="inlineStr">
        <is>
          <t>R1944166</t>
        </is>
      </c>
      <c r="F340" s="99" t="n">
        <v>44947</v>
      </c>
      <c r="G340" s="100" t="n"/>
    </row>
    <row r="341" ht="16" customHeight="1">
      <c r="A341" s="98" t="n">
        <v>882307</v>
      </c>
      <c r="B341" s="98" t="inlineStr">
        <is>
          <t>CARLO ROSSI MOSCATO SANGRIA</t>
        </is>
      </c>
      <c r="C341" s="97">
        <f>VLOOKUP(A341,SizeData!A$2:B$3839,2,FALSE)</f>
        <v/>
      </c>
      <c r="D341" s="98" t="n">
        <v>3</v>
      </c>
      <c r="E341" s="98" t="inlineStr">
        <is>
          <t>R1970895</t>
        </is>
      </c>
      <c r="F341" s="99" t="n">
        <v>44961</v>
      </c>
      <c r="G341" s="100" t="n"/>
    </row>
    <row r="342" ht="16" customHeight="1">
      <c r="A342" s="98" t="n">
        <v>882307</v>
      </c>
      <c r="B342" s="98" t="inlineStr">
        <is>
          <t>CARLO ROSSI MOSCATO SANGRIA</t>
        </is>
      </c>
      <c r="C342" s="97">
        <f>VLOOKUP(A342,SizeData!A$2:B$3839,2,FALSE)</f>
        <v/>
      </c>
      <c r="D342" s="98" t="n">
        <v>2</v>
      </c>
      <c r="E342" s="98" t="inlineStr">
        <is>
          <t>R1959375</t>
        </is>
      </c>
      <c r="F342" s="99" t="n">
        <v>44965</v>
      </c>
      <c r="G342" s="100" t="n"/>
    </row>
    <row r="343" ht="16" customHeight="1">
      <c r="A343" s="98" t="n">
        <v>882307</v>
      </c>
      <c r="B343" s="98" t="inlineStr">
        <is>
          <t>CARLO ROSSI MOSCATO SANGRIA</t>
        </is>
      </c>
      <c r="C343" s="97">
        <f>VLOOKUP(A343,SizeData!A$2:B$3839,2,FALSE)</f>
        <v/>
      </c>
      <c r="D343" s="98" t="n">
        <v>2</v>
      </c>
      <c r="E343" s="98" t="inlineStr">
        <is>
          <t>R2031927</t>
        </is>
      </c>
      <c r="F343" s="99" t="n">
        <v>45003</v>
      </c>
      <c r="G343" s="100" t="n"/>
    </row>
    <row r="344" ht="16" customHeight="1">
      <c r="A344" s="98" t="n">
        <v>882307</v>
      </c>
      <c r="B344" s="98" t="inlineStr">
        <is>
          <t>CARLO ROSSI MOSCATO SANGRIA</t>
        </is>
      </c>
      <c r="C344" s="97">
        <f>VLOOKUP(A344,SizeData!A$2:B$3839,2,FALSE)</f>
        <v/>
      </c>
      <c r="D344" s="98" t="n">
        <v>3</v>
      </c>
      <c r="E344" s="98" t="inlineStr">
        <is>
          <t>R2050545</t>
        </is>
      </c>
      <c r="F344" s="99" t="n">
        <v>45019</v>
      </c>
      <c r="G344" s="100" t="n"/>
    </row>
    <row r="345" ht="16" customHeight="1">
      <c r="A345" s="98" t="n">
        <v>882328</v>
      </c>
      <c r="B345" s="98" t="inlineStr">
        <is>
          <t>CARLO ROSSI PEACH SANGRIA</t>
        </is>
      </c>
      <c r="C345" s="97">
        <f>VLOOKUP(A345,SizeData!A$2:B$3839,2,FALSE)</f>
        <v/>
      </c>
      <c r="D345" s="98" t="n">
        <v>3</v>
      </c>
      <c r="E345" s="98" t="inlineStr">
        <is>
          <t>R1979406</t>
        </is>
      </c>
      <c r="F345" s="99" t="n">
        <v>44978</v>
      </c>
      <c r="G345" s="100" t="n"/>
    </row>
    <row r="346" ht="16" customHeight="1">
      <c r="A346" s="98" t="n">
        <v>882328</v>
      </c>
      <c r="B346" s="98" t="inlineStr">
        <is>
          <t>CARLO ROSSI PEACH SANGRIA</t>
        </is>
      </c>
      <c r="C346" s="97">
        <f>VLOOKUP(A346,SizeData!A$2:B$3839,2,FALSE)</f>
        <v/>
      </c>
      <c r="D346" s="98" t="n">
        <v>2</v>
      </c>
      <c r="E346" s="98" t="inlineStr">
        <is>
          <t>R2005763</t>
        </is>
      </c>
      <c r="F346" s="99" t="n">
        <v>44989</v>
      </c>
      <c r="G346" s="100" t="n"/>
    </row>
    <row r="347" ht="16" customHeight="1">
      <c r="A347" s="98" t="n">
        <v>882328</v>
      </c>
      <c r="B347" s="98" t="inlineStr">
        <is>
          <t>CARLO ROSSI PEACH SANGRIA</t>
        </is>
      </c>
      <c r="C347" s="97">
        <f>VLOOKUP(A347,SizeData!A$2:B$3839,2,FALSE)</f>
        <v/>
      </c>
      <c r="D347" s="98" t="n">
        <v>2</v>
      </c>
      <c r="E347" s="98" t="inlineStr">
        <is>
          <t>R2044661</t>
        </is>
      </c>
      <c r="F347" s="99" t="n">
        <v>45020</v>
      </c>
      <c r="G347" s="100" t="n"/>
    </row>
    <row r="348" ht="16" customHeight="1">
      <c r="A348" s="98" t="n">
        <v>882319</v>
      </c>
      <c r="B348" s="98" t="inlineStr">
        <is>
          <t>CARLO ROSSI PINK MOSCATO SANGRIA</t>
        </is>
      </c>
      <c r="C348" s="97">
        <f>VLOOKUP(A348,SizeData!A$2:B$3839,2,FALSE)</f>
        <v/>
      </c>
      <c r="D348" s="98" t="n">
        <v>2</v>
      </c>
      <c r="E348" s="98" t="inlineStr">
        <is>
          <t>R1930546</t>
        </is>
      </c>
      <c r="F348" s="99" t="n">
        <v>44931</v>
      </c>
      <c r="G348" s="100" t="n"/>
    </row>
    <row r="349" ht="16" customHeight="1">
      <c r="A349" s="98" t="n">
        <v>882321</v>
      </c>
      <c r="B349" s="98" t="inlineStr">
        <is>
          <t>CARLO ROSSI PINK MOSCATO SANGRIA</t>
        </is>
      </c>
      <c r="C349" s="97">
        <f>VLOOKUP(A349,SizeData!A$2:B$3839,2,FALSE)</f>
        <v/>
      </c>
      <c r="D349" s="98" t="n">
        <v>1</v>
      </c>
      <c r="E349" s="98" t="inlineStr">
        <is>
          <t>R1992599</t>
        </is>
      </c>
      <c r="F349" s="99" t="n">
        <v>44989</v>
      </c>
      <c r="G349" s="100" t="n"/>
    </row>
    <row r="350" ht="16" customHeight="1">
      <c r="A350" s="98" t="n">
        <v>882319</v>
      </c>
      <c r="B350" s="98" t="inlineStr">
        <is>
          <t>CARLO ROSSI PINK MOSCATO SANGRIA</t>
        </is>
      </c>
      <c r="C350" s="97">
        <f>VLOOKUP(A350,SizeData!A$2:B$3839,2,FALSE)</f>
        <v/>
      </c>
      <c r="D350" s="98" t="n">
        <v>2</v>
      </c>
      <c r="E350" s="98" t="inlineStr">
        <is>
          <t>R1933625</t>
        </is>
      </c>
      <c r="F350" s="99" t="n">
        <v>44940</v>
      </c>
      <c r="G350" s="100" t="n"/>
    </row>
    <row r="351" ht="16" customHeight="1">
      <c r="A351" s="98" t="n">
        <v>882319</v>
      </c>
      <c r="B351" s="98" t="inlineStr">
        <is>
          <t>CARLO ROSSI PINK MOSCATO SANGRIA</t>
        </is>
      </c>
      <c r="C351" s="97">
        <f>VLOOKUP(A351,SizeData!A$2:B$3839,2,FALSE)</f>
        <v/>
      </c>
      <c r="D351" s="98" t="n">
        <v>1</v>
      </c>
      <c r="E351" s="98" t="inlineStr">
        <is>
          <t>R2036702</t>
        </is>
      </c>
      <c r="F351" s="99" t="n">
        <v>45007</v>
      </c>
      <c r="G351" s="100" t="n"/>
    </row>
    <row r="352" ht="16" customHeight="1">
      <c r="A352" s="98" t="n">
        <v>882321</v>
      </c>
      <c r="B352" s="98" t="inlineStr">
        <is>
          <t>CARLO ROSSI PINK MOSCATO SANGRIA</t>
        </is>
      </c>
      <c r="C352" s="97">
        <f>VLOOKUP(A352,SizeData!A$2:B$3839,2,FALSE)</f>
        <v/>
      </c>
      <c r="D352" s="98" t="n">
        <v>1</v>
      </c>
      <c r="E352" s="98" t="inlineStr">
        <is>
          <t>R2083415</t>
        </is>
      </c>
      <c r="F352" s="99" t="n">
        <v>45048</v>
      </c>
      <c r="G352" s="100" t="n"/>
    </row>
    <row r="353" ht="16" customHeight="1">
      <c r="A353" s="98" t="n">
        <v>647232</v>
      </c>
      <c r="B353" s="98" t="inlineStr">
        <is>
          <t>CARLO ROSSI RESERVE WHITE ZINFANDEL</t>
        </is>
      </c>
      <c r="C353" s="97">
        <f>VLOOKUP(A353,SizeData!A$2:B$3839,2,FALSE)</f>
        <v/>
      </c>
      <c r="D353" s="98" t="n">
        <v>1</v>
      </c>
      <c r="E353" s="98" t="inlineStr">
        <is>
          <t>R2078241</t>
        </is>
      </c>
      <c r="F353" s="99" t="n">
        <v>45047</v>
      </c>
      <c r="G353" s="100" t="n"/>
    </row>
    <row r="354" ht="16" customHeight="1">
      <c r="A354" s="98" t="n">
        <v>882310</v>
      </c>
      <c r="B354" s="98" t="inlineStr">
        <is>
          <t>CARLO ROSSI SWEET SANGRIA</t>
        </is>
      </c>
      <c r="C354" s="97">
        <f>VLOOKUP(A354,SizeData!A$2:B$3839,2,FALSE)</f>
        <v/>
      </c>
      <c r="D354" s="98" t="n">
        <v>1</v>
      </c>
      <c r="E354" s="98" t="inlineStr">
        <is>
          <t>R1906771</t>
        </is>
      </c>
      <c r="F354" s="99" t="n">
        <v>44908</v>
      </c>
      <c r="G354" s="100" t="n"/>
    </row>
    <row r="355" ht="16" customHeight="1">
      <c r="A355" s="98" t="n">
        <v>882310</v>
      </c>
      <c r="B355" s="98" t="inlineStr">
        <is>
          <t>CARLO ROSSI SWEET SANGRIA</t>
        </is>
      </c>
      <c r="C355" s="97">
        <f>VLOOKUP(A355,SizeData!A$2:B$3839,2,FALSE)</f>
        <v/>
      </c>
      <c r="D355" s="98" t="n">
        <v>1</v>
      </c>
      <c r="E355" s="98" t="inlineStr">
        <is>
          <t>R1913611</t>
        </is>
      </c>
      <c r="F355" s="99" t="n">
        <v>44914</v>
      </c>
      <c r="G355" s="100" t="n"/>
    </row>
    <row r="356" ht="16" customHeight="1">
      <c r="A356" s="98" t="n">
        <v>882310</v>
      </c>
      <c r="B356" s="98" t="inlineStr">
        <is>
          <t>CARLO ROSSI SWEET SANGRIA</t>
        </is>
      </c>
      <c r="C356" s="97">
        <f>VLOOKUP(A356,SizeData!A$2:B$3839,2,FALSE)</f>
        <v/>
      </c>
      <c r="D356" s="98" t="n">
        <v>1</v>
      </c>
      <c r="E356" s="98" t="inlineStr">
        <is>
          <t>R1913088</t>
        </is>
      </c>
      <c r="F356" s="99" t="n">
        <v>44921</v>
      </c>
      <c r="G356" s="100" t="n"/>
    </row>
    <row r="357" ht="16" customHeight="1">
      <c r="A357" s="98" t="n">
        <v>882304</v>
      </c>
      <c r="B357" s="98" t="inlineStr">
        <is>
          <t>CARLO ROSSI SANGRIA</t>
        </is>
      </c>
      <c r="C357" s="97">
        <f>VLOOKUP(A357,SizeData!A$2:B$3839,2,FALSE)</f>
        <v/>
      </c>
      <c r="D357" s="98" t="n">
        <v>5</v>
      </c>
      <c r="E357" s="98" t="inlineStr">
        <is>
          <t>R1959377</t>
        </is>
      </c>
      <c r="F357" s="99" t="n">
        <v>44965</v>
      </c>
      <c r="G357" s="100" t="n"/>
    </row>
    <row r="358" ht="16" customHeight="1">
      <c r="A358" s="98" t="n">
        <v>882304</v>
      </c>
      <c r="B358" s="98" t="inlineStr">
        <is>
          <t>CARLO ROSSI SANGRIA</t>
        </is>
      </c>
      <c r="C358" s="97">
        <f>VLOOKUP(A358,SizeData!A$2:B$3839,2,FALSE)</f>
        <v/>
      </c>
      <c r="D358" s="98" t="n">
        <v>1</v>
      </c>
      <c r="E358" s="98" t="inlineStr">
        <is>
          <t>R2020651</t>
        </is>
      </c>
      <c r="F358" s="99" t="n">
        <v>45000</v>
      </c>
      <c r="G358" s="100" t="n"/>
    </row>
    <row r="359" ht="16" customHeight="1">
      <c r="A359" s="98" t="n">
        <v>882304</v>
      </c>
      <c r="B359" s="98" t="inlineStr">
        <is>
          <t>CARLO ROSSI SANGRIA</t>
        </is>
      </c>
      <c r="C359" s="97">
        <f>VLOOKUP(A359,SizeData!A$2:B$3839,2,FALSE)</f>
        <v/>
      </c>
      <c r="D359" s="98" t="n">
        <v>2</v>
      </c>
      <c r="E359" s="98" t="inlineStr">
        <is>
          <t>R2049507</t>
        </is>
      </c>
      <c r="F359" s="99" t="n">
        <v>45019</v>
      </c>
      <c r="G359" s="100" t="n"/>
    </row>
    <row r="360" ht="16" customHeight="1">
      <c r="A360" s="98" t="n">
        <v>882304</v>
      </c>
      <c r="B360" s="98" t="inlineStr">
        <is>
          <t>CARLO ROSSI SANGRIA</t>
        </is>
      </c>
      <c r="C360" s="97">
        <f>VLOOKUP(A360,SizeData!A$2:B$3839,2,FALSE)</f>
        <v/>
      </c>
      <c r="D360" s="98" t="n">
        <v>2</v>
      </c>
      <c r="E360" s="98" t="inlineStr">
        <is>
          <t>R2065393</t>
        </is>
      </c>
      <c r="F360" s="99" t="n">
        <v>45031</v>
      </c>
      <c r="G360" s="100" t="n"/>
    </row>
    <row r="361" ht="16" customHeight="1">
      <c r="A361" s="98" t="n">
        <v>882306</v>
      </c>
      <c r="B361" s="98" t="inlineStr">
        <is>
          <t>CARLO ROSSI SPANADA SANGRIA</t>
        </is>
      </c>
      <c r="C361" s="97">
        <f>VLOOKUP(A361,SizeData!A$2:B$3839,2,FALSE)</f>
        <v/>
      </c>
      <c r="D361" s="98" t="n">
        <v>4</v>
      </c>
      <c r="E361" s="98" t="inlineStr">
        <is>
          <t>R1926599</t>
        </is>
      </c>
      <c r="F361" s="99" t="n">
        <v>44933</v>
      </c>
      <c r="G361" s="100" t="n"/>
    </row>
    <row r="362" ht="16" customHeight="1">
      <c r="A362" s="98" t="n">
        <v>882300</v>
      </c>
      <c r="B362" s="98" t="inlineStr">
        <is>
          <t>CARLO ROSSI SPANADA SANGRIA</t>
        </is>
      </c>
      <c r="C362" s="97">
        <f>VLOOKUP(A362,SizeData!A$2:B$3839,2,FALSE)</f>
        <v/>
      </c>
      <c r="D362" s="98" t="n">
        <v>3</v>
      </c>
      <c r="E362" s="98" t="inlineStr">
        <is>
          <t>R1930546</t>
        </is>
      </c>
      <c r="F362" s="99" t="n">
        <v>44931</v>
      </c>
      <c r="G362" s="100" t="n"/>
    </row>
    <row r="363" ht="16" customHeight="1">
      <c r="A363" s="98" t="n">
        <v>882300</v>
      </c>
      <c r="B363" s="98" t="inlineStr">
        <is>
          <t>CARLO ROSSI SPANADA SANGRIA</t>
        </is>
      </c>
      <c r="C363" s="97">
        <f>VLOOKUP(A363,SizeData!A$2:B$3839,2,FALSE)</f>
        <v/>
      </c>
      <c r="D363" s="98" t="n">
        <v>3</v>
      </c>
      <c r="E363" s="98" t="inlineStr">
        <is>
          <t>R1945780</t>
        </is>
      </c>
      <c r="F363" s="99" t="n">
        <v>44940</v>
      </c>
      <c r="G363" s="100" t="n"/>
    </row>
    <row r="364" ht="16" customHeight="1">
      <c r="A364" s="98" t="n">
        <v>882300</v>
      </c>
      <c r="B364" s="98" t="inlineStr">
        <is>
          <t>CARLO ROSSI SPANADA SANGRIA</t>
        </is>
      </c>
      <c r="C364" s="97">
        <f>VLOOKUP(A364,SizeData!A$2:B$3839,2,FALSE)</f>
        <v/>
      </c>
      <c r="D364" s="98" t="n">
        <v>4</v>
      </c>
      <c r="E364" s="98" t="inlineStr">
        <is>
          <t>R1973563</t>
        </is>
      </c>
      <c r="F364" s="99" t="n">
        <v>44971</v>
      </c>
      <c r="G364" s="100" t="n"/>
    </row>
    <row r="365" ht="16" customHeight="1">
      <c r="A365" s="98" t="n">
        <v>882300</v>
      </c>
      <c r="B365" s="98" t="inlineStr">
        <is>
          <t>CARLO ROSSI SPANADA SANGRIA</t>
        </is>
      </c>
      <c r="C365" s="97">
        <f>VLOOKUP(A365,SizeData!A$2:B$3839,2,FALSE)</f>
        <v/>
      </c>
      <c r="D365" s="98" t="n">
        <v>6</v>
      </c>
      <c r="E365" s="98" t="inlineStr">
        <is>
          <t>R1983449</t>
        </is>
      </c>
      <c r="F365" s="99" t="n">
        <v>44978</v>
      </c>
      <c r="G365" s="100" t="n"/>
    </row>
    <row r="366" ht="16" customHeight="1">
      <c r="A366" s="98" t="n">
        <v>882306</v>
      </c>
      <c r="B366" s="98" t="inlineStr">
        <is>
          <t>CARLO ROSSI SPANADA SANGRIA</t>
        </is>
      </c>
      <c r="C366" s="97">
        <f>VLOOKUP(A366,SizeData!A$2:B$3839,2,FALSE)</f>
        <v/>
      </c>
      <c r="D366" s="98" t="n">
        <v>5</v>
      </c>
      <c r="E366" s="98" t="inlineStr">
        <is>
          <t>R1945780</t>
        </is>
      </c>
      <c r="F366" s="99" t="n">
        <v>44940</v>
      </c>
      <c r="G366" s="100" t="n"/>
    </row>
    <row r="367" ht="16" customHeight="1">
      <c r="A367" s="98" t="n">
        <v>87280</v>
      </c>
      <c r="B367" s="98" t="inlineStr">
        <is>
          <t>CASAMIGOS BLANCO TEQUILA 100% AGAVE</t>
        </is>
      </c>
      <c r="C367" s="97">
        <f>VLOOKUP(A367,SizeData!A$2:B$3839,2,FALSE)</f>
        <v/>
      </c>
      <c r="D367" s="98" t="n">
        <v>5</v>
      </c>
      <c r="E367" s="98" t="inlineStr">
        <is>
          <t>R1906771</t>
        </is>
      </c>
      <c r="F367" s="99" t="n">
        <v>44908</v>
      </c>
      <c r="G367" s="100" t="n"/>
    </row>
    <row r="368" ht="16" customHeight="1">
      <c r="A368" s="98" t="n">
        <v>87280</v>
      </c>
      <c r="B368" s="98" t="inlineStr">
        <is>
          <t>CASAMIGOS BLANCO TEQUILA 100% AGAVE</t>
        </is>
      </c>
      <c r="C368" s="97">
        <f>VLOOKUP(A368,SizeData!A$2:B$3839,2,FALSE)</f>
        <v/>
      </c>
      <c r="D368" s="98" t="n">
        <v>5</v>
      </c>
      <c r="E368" s="98" t="inlineStr">
        <is>
          <t>R1903667</t>
        </is>
      </c>
      <c r="F368" s="99" t="n">
        <v>44915</v>
      </c>
      <c r="G368" s="100" t="n"/>
    </row>
    <row r="369" ht="16" customHeight="1">
      <c r="A369" s="98" t="n">
        <v>882300</v>
      </c>
      <c r="B369" s="98" t="inlineStr">
        <is>
          <t>CARLO ROSSI SPANADA SANGRIA</t>
        </is>
      </c>
      <c r="C369" s="97">
        <f>VLOOKUP(A369,SizeData!A$2:B$3839,2,FALSE)</f>
        <v/>
      </c>
      <c r="D369" s="98" t="n">
        <v>2</v>
      </c>
      <c r="E369" s="98" t="inlineStr">
        <is>
          <t>R2010980</t>
        </is>
      </c>
      <c r="F369" s="99" t="n">
        <v>44995</v>
      </c>
      <c r="G369" s="100" t="n"/>
    </row>
    <row r="370" ht="16" customFormat="1" customHeight="1" s="95">
      <c r="A370" s="98" t="n">
        <v>882300</v>
      </c>
      <c r="B370" s="98" t="inlineStr">
        <is>
          <t>CARLO ROSSI SPANADA SANGRIA</t>
        </is>
      </c>
      <c r="C370" s="97">
        <f>VLOOKUP(A370,SizeData!A$2:B$3839,2,FALSE)</f>
        <v/>
      </c>
      <c r="D370" s="98" t="n">
        <v>1</v>
      </c>
      <c r="E370" s="98" t="inlineStr">
        <is>
          <t>R2041213</t>
        </is>
      </c>
      <c r="F370" s="99" t="n">
        <v>45010</v>
      </c>
      <c r="G370" s="100" t="n"/>
    </row>
    <row r="371" ht="16" customHeight="1">
      <c r="A371" s="101" t="n">
        <v>882300</v>
      </c>
      <c r="B371" s="101" t="inlineStr">
        <is>
          <t>CARLO ROSSI SPANADA SANGRIA</t>
        </is>
      </c>
      <c r="C371" s="102">
        <f>VLOOKUP(A371,SizeData!A$2:B$3839,2,FALSE)</f>
        <v/>
      </c>
      <c r="D371" s="101" t="n">
        <v>2</v>
      </c>
      <c r="E371" s="101" t="inlineStr">
        <is>
          <t>R2041213</t>
        </is>
      </c>
      <c r="F371" s="103" t="n">
        <v>45010</v>
      </c>
      <c r="G371" s="104" t="n"/>
    </row>
    <row r="372" ht="16" customHeight="1">
      <c r="A372" s="98" t="n">
        <v>882300</v>
      </c>
      <c r="B372" s="98" t="inlineStr">
        <is>
          <t>CARLO ROSSI SPANADA SANGRIA</t>
        </is>
      </c>
      <c r="C372" s="97">
        <f>VLOOKUP(A372,SizeData!A$2:B$3839,2,FALSE)</f>
        <v/>
      </c>
      <c r="D372" s="98" t="n">
        <v>3</v>
      </c>
      <c r="E372" s="98" t="inlineStr">
        <is>
          <t>R2049593</t>
        </is>
      </c>
      <c r="F372" s="99" t="n">
        <v>45022</v>
      </c>
      <c r="G372" s="100" t="n"/>
    </row>
    <row r="373" ht="16" customHeight="1">
      <c r="A373" s="98" t="n">
        <v>882306</v>
      </c>
      <c r="B373" s="98" t="inlineStr">
        <is>
          <t>CARLO ROSSI SPANADA SANGRIA</t>
        </is>
      </c>
      <c r="C373" s="97">
        <f>VLOOKUP(A373,SizeData!A$2:B$3839,2,FALSE)</f>
        <v/>
      </c>
      <c r="D373" s="98" t="n">
        <v>2</v>
      </c>
      <c r="E373" s="98" t="inlineStr">
        <is>
          <t>R2006814</t>
        </is>
      </c>
      <c r="F373" s="99" t="n">
        <v>44988</v>
      </c>
      <c r="G373" s="100" t="n"/>
    </row>
    <row r="374" ht="16" customHeight="1">
      <c r="A374" s="98" t="n">
        <v>882306</v>
      </c>
      <c r="B374" s="98" t="inlineStr">
        <is>
          <t>CARLO ROSSI SPANADA SANGRIA</t>
        </is>
      </c>
      <c r="C374" s="97">
        <f>VLOOKUP(A374,SizeData!A$2:B$3839,2,FALSE)</f>
        <v/>
      </c>
      <c r="D374" s="98" t="n">
        <v>4</v>
      </c>
      <c r="E374" s="98" t="inlineStr">
        <is>
          <t>R2017941</t>
        </is>
      </c>
      <c r="F374" s="99" t="n">
        <v>44996</v>
      </c>
      <c r="G374" s="100" t="n"/>
    </row>
    <row r="375" ht="16" customHeight="1">
      <c r="A375" s="98" t="n">
        <v>882306</v>
      </c>
      <c r="B375" s="98" t="inlineStr">
        <is>
          <t>CARLO ROSSI SPANADA SANGRIA</t>
        </is>
      </c>
      <c r="C375" s="97">
        <f>VLOOKUP(A375,SizeData!A$2:B$3839,2,FALSE)</f>
        <v/>
      </c>
      <c r="D375" s="98" t="n">
        <v>3</v>
      </c>
      <c r="E375" s="98" t="inlineStr">
        <is>
          <t>R2027408</t>
        </is>
      </c>
      <c r="F375" s="99" t="n">
        <v>45003</v>
      </c>
      <c r="G375" s="100" t="n"/>
    </row>
    <row r="376" ht="16" customHeight="1">
      <c r="A376" s="98" t="n">
        <v>882306</v>
      </c>
      <c r="B376" s="98" t="inlineStr">
        <is>
          <t>CARLO ROSSI SPANADA SANGRIA</t>
        </is>
      </c>
      <c r="C376" s="97">
        <f>VLOOKUP(A376,SizeData!A$2:B$3839,2,FALSE)</f>
        <v/>
      </c>
      <c r="D376" s="98" t="n">
        <v>3</v>
      </c>
      <c r="E376" s="98" t="inlineStr">
        <is>
          <t>R2027408</t>
        </is>
      </c>
      <c r="F376" s="99" t="n">
        <v>45003</v>
      </c>
      <c r="G376" s="100" t="n"/>
    </row>
    <row r="377" ht="16" customHeight="1">
      <c r="A377" s="98" t="n">
        <v>882306</v>
      </c>
      <c r="B377" s="98" t="inlineStr">
        <is>
          <t>CARLO ROSSI SPANADA SANGRIA</t>
        </is>
      </c>
      <c r="C377" s="97">
        <f>VLOOKUP(A377,SizeData!A$2:B$3839,2,FALSE)</f>
        <v/>
      </c>
      <c r="D377" s="98" t="n">
        <v>2</v>
      </c>
      <c r="E377" s="98" t="inlineStr">
        <is>
          <t>R2035414</t>
        </is>
      </c>
      <c r="F377" s="99" t="n">
        <v>45003</v>
      </c>
      <c r="G377" s="100" t="n"/>
    </row>
    <row r="378" ht="16" customHeight="1">
      <c r="A378" s="98" t="n">
        <v>882300</v>
      </c>
      <c r="B378" s="98" t="inlineStr">
        <is>
          <t>CARLO ROSSI SPANADA SANGRIA</t>
        </is>
      </c>
      <c r="C378" s="97">
        <f>VLOOKUP(A378,SizeData!A$2:B$3839,2,FALSE)</f>
        <v/>
      </c>
      <c r="D378" s="98" t="n">
        <v>1</v>
      </c>
      <c r="E378" s="98" t="inlineStr">
        <is>
          <t>R2049198</t>
        </is>
      </c>
      <c r="F378" s="99" t="n">
        <v>45028</v>
      </c>
      <c r="G378" s="100" t="n"/>
    </row>
    <row r="379" ht="16" customHeight="1">
      <c r="A379" s="98" t="n">
        <v>882300</v>
      </c>
      <c r="B379" s="98" t="inlineStr">
        <is>
          <t>CARLO ROSSI SPANADA SANGRIA</t>
        </is>
      </c>
      <c r="C379" s="97">
        <f>VLOOKUP(A379,SizeData!A$2:B$3839,2,FALSE)</f>
        <v/>
      </c>
      <c r="D379" s="98" t="n">
        <v>5</v>
      </c>
      <c r="E379" s="98" t="inlineStr">
        <is>
          <t>R2069631</t>
        </is>
      </c>
      <c r="F379" s="99" t="n">
        <v>45041</v>
      </c>
      <c r="G379" s="100" t="n"/>
    </row>
    <row r="380" ht="16" customHeight="1">
      <c r="A380" s="98" t="n">
        <v>882323</v>
      </c>
      <c r="B380" s="98" t="inlineStr">
        <is>
          <t>CARLO ROSSI SWEET PINK SANGRIA</t>
        </is>
      </c>
      <c r="C380" s="97">
        <f>VLOOKUP(A380,SizeData!A$2:B$3839,2,FALSE)</f>
        <v/>
      </c>
      <c r="D380" s="98" t="n">
        <v>2</v>
      </c>
      <c r="E380" s="98" t="inlineStr">
        <is>
          <t>R2039044</t>
        </is>
      </c>
      <c r="F380" s="99" t="n">
        <v>45013</v>
      </c>
      <c r="G380" s="100" t="n"/>
    </row>
    <row r="381" ht="16" customHeight="1">
      <c r="A381" s="98" t="n">
        <v>415315</v>
      </c>
      <c r="B381" s="98" t="inlineStr">
        <is>
          <t>CARLO ROSSI SWEET RED</t>
        </is>
      </c>
      <c r="C381" s="97">
        <f>VLOOKUP(A381,SizeData!A$2:B$3839,2,FALSE)</f>
        <v/>
      </c>
      <c r="D381" s="98" t="n">
        <v>3</v>
      </c>
      <c r="E381" s="98" t="inlineStr">
        <is>
          <t>R1930546</t>
        </is>
      </c>
      <c r="F381" s="99" t="n">
        <v>44931</v>
      </c>
      <c r="G381" s="100" t="n"/>
    </row>
    <row r="382" ht="16" customHeight="1">
      <c r="A382" s="98" t="n">
        <v>415315</v>
      </c>
      <c r="B382" s="98" t="inlineStr">
        <is>
          <t>CARLO ROSSI SWEET RED</t>
        </is>
      </c>
      <c r="C382" s="97">
        <f>VLOOKUP(A382,SizeData!A$2:B$3839,2,FALSE)</f>
        <v/>
      </c>
      <c r="D382" s="98" t="n">
        <v>4</v>
      </c>
      <c r="E382" s="98" t="inlineStr">
        <is>
          <t>R1945780</t>
        </is>
      </c>
      <c r="F382" s="99" t="n">
        <v>44940</v>
      </c>
      <c r="G382" s="100" t="n"/>
    </row>
    <row r="383" ht="16" customHeight="1">
      <c r="A383" s="98" t="n">
        <v>415315</v>
      </c>
      <c r="B383" s="98" t="inlineStr">
        <is>
          <t>CARLO ROSSI SWEET RED</t>
        </is>
      </c>
      <c r="C383" s="97">
        <f>VLOOKUP(A383,SizeData!A$2:B$3839,2,FALSE)</f>
        <v/>
      </c>
      <c r="D383" s="98" t="n">
        <v>3</v>
      </c>
      <c r="E383" s="98" t="inlineStr">
        <is>
          <t>R1993316</t>
        </is>
      </c>
      <c r="F383" s="99" t="n">
        <v>44980</v>
      </c>
      <c r="G383" s="100" t="n"/>
    </row>
    <row r="384" ht="16" customHeight="1">
      <c r="A384" s="101" t="n">
        <v>415315</v>
      </c>
      <c r="B384" s="101" t="inlineStr">
        <is>
          <t>CARLO ROSSI SWEET RED</t>
        </is>
      </c>
      <c r="C384" s="102">
        <f>VLOOKUP(A384,SizeData!A$2:B$3839,2,FALSE)</f>
        <v/>
      </c>
      <c r="D384" s="101" t="n">
        <v>1</v>
      </c>
      <c r="E384" s="101" t="inlineStr">
        <is>
          <t>R1993316</t>
        </is>
      </c>
      <c r="F384" s="103" t="n">
        <v>44980</v>
      </c>
      <c r="G384" s="104" t="n"/>
    </row>
    <row r="385" ht="16" customHeight="1">
      <c r="A385" s="98" t="n">
        <v>415315</v>
      </c>
      <c r="B385" s="98" t="inlineStr">
        <is>
          <t>CARLO ROSSI SWEET RED</t>
        </is>
      </c>
      <c r="C385" s="97">
        <f>VLOOKUP(A385,SizeData!A$2:B$3839,2,FALSE)</f>
        <v/>
      </c>
      <c r="D385" s="98" t="n">
        <v>2</v>
      </c>
      <c r="E385" s="98" t="inlineStr">
        <is>
          <t>R1994703</t>
        </is>
      </c>
      <c r="F385" s="99" t="n">
        <v>44984</v>
      </c>
      <c r="G385" s="100" t="n"/>
    </row>
    <row r="386" ht="16" customHeight="1">
      <c r="A386" s="98" t="n">
        <v>415318</v>
      </c>
      <c r="B386" s="98" t="inlineStr">
        <is>
          <t>CARLO ROSSI SWEET RED</t>
        </is>
      </c>
      <c r="C386" s="97">
        <f>VLOOKUP(A386,SizeData!A$2:B$3839,2,FALSE)</f>
        <v/>
      </c>
      <c r="D386" s="98" t="n">
        <v>3</v>
      </c>
      <c r="E386" s="98" t="inlineStr">
        <is>
          <t>R1930546</t>
        </is>
      </c>
      <c r="F386" s="99" t="n">
        <v>44931</v>
      </c>
      <c r="G386" s="100" t="n"/>
    </row>
    <row r="387" ht="16" customHeight="1">
      <c r="A387" s="98" t="n">
        <v>882312</v>
      </c>
      <c r="B387" s="98" t="inlineStr">
        <is>
          <t>CARLO ROSSI SWEET RED</t>
        </is>
      </c>
      <c r="C387" s="97">
        <f>VLOOKUP(A387,SizeData!A$2:B$3839,2,FALSE)</f>
        <v/>
      </c>
      <c r="D387" s="98" t="n">
        <v>4</v>
      </c>
      <c r="E387" s="98" t="inlineStr">
        <is>
          <t>R1930280</t>
        </is>
      </c>
      <c r="F387" s="99" t="n">
        <v>44935</v>
      </c>
      <c r="G387" s="100" t="n"/>
    </row>
    <row r="388" ht="16" customHeight="1">
      <c r="A388" s="98" t="n">
        <v>415315</v>
      </c>
      <c r="B388" s="98" t="inlineStr">
        <is>
          <t>CARLO ROSSI SWEET RED</t>
        </is>
      </c>
      <c r="C388" s="97">
        <f>VLOOKUP(A388,SizeData!A$2:B$3839,2,FALSE)</f>
        <v/>
      </c>
      <c r="D388" s="98" t="n">
        <v>2</v>
      </c>
      <c r="E388" s="98" t="inlineStr">
        <is>
          <t>R2005740</t>
        </is>
      </c>
      <c r="F388" s="99" t="n">
        <v>44987</v>
      </c>
      <c r="G388" s="100" t="n"/>
    </row>
    <row r="389" ht="16" customHeight="1">
      <c r="A389" s="98" t="n">
        <v>882312</v>
      </c>
      <c r="B389" s="98" t="inlineStr">
        <is>
          <t>CARLO ROSSI SWEET RED</t>
        </is>
      </c>
      <c r="C389" s="97">
        <f>VLOOKUP(A389,SizeData!A$2:B$3839,2,FALSE)</f>
        <v/>
      </c>
      <c r="D389" s="98" t="n">
        <v>3</v>
      </c>
      <c r="E389" s="98" t="inlineStr">
        <is>
          <t>R1959376</t>
        </is>
      </c>
      <c r="F389" s="99" t="n">
        <v>44965</v>
      </c>
      <c r="G389" s="100" t="n"/>
    </row>
    <row r="390" ht="16" customHeight="1">
      <c r="A390" s="98" t="n">
        <v>415318</v>
      </c>
      <c r="B390" s="98" t="inlineStr">
        <is>
          <t>CARLO ROSSI SWEET RED</t>
        </is>
      </c>
      <c r="C390" s="97">
        <f>VLOOKUP(A390,SizeData!A$2:B$3839,2,FALSE)</f>
        <v/>
      </c>
      <c r="D390" s="98" t="n">
        <v>5</v>
      </c>
      <c r="E390" s="98" t="inlineStr">
        <is>
          <t>R1992228</t>
        </is>
      </c>
      <c r="F390" s="99" t="n">
        <v>44978</v>
      </c>
      <c r="G390" s="100" t="n"/>
    </row>
    <row r="391" ht="16" customHeight="1">
      <c r="A391" s="98" t="n">
        <v>882312</v>
      </c>
      <c r="B391" s="98" t="inlineStr">
        <is>
          <t>CARLO ROSSI SWEET RED</t>
        </is>
      </c>
      <c r="C391" s="97">
        <f>VLOOKUP(A391,SizeData!A$2:B$3839,2,FALSE)</f>
        <v/>
      </c>
      <c r="D391" s="98" t="n">
        <v>2</v>
      </c>
      <c r="E391" s="98" t="inlineStr">
        <is>
          <t>R1984349</t>
        </is>
      </c>
      <c r="F391" s="99" t="n">
        <v>44982</v>
      </c>
      <c r="G391" s="100" t="n"/>
    </row>
    <row r="392" ht="16" customHeight="1">
      <c r="A392" s="112" t="n">
        <v>882312</v>
      </c>
      <c r="B392" s="112" t="inlineStr">
        <is>
          <t>CARLO ROSSI SWEET RED</t>
        </is>
      </c>
      <c r="C392" s="113">
        <f>VLOOKUP(A392,SizeData!A$2:B$3839,2,FALSE)</f>
        <v/>
      </c>
      <c r="D392" s="112" t="n">
        <v>2</v>
      </c>
      <c r="E392" s="112" t="inlineStr">
        <is>
          <t>R1979058</t>
        </is>
      </c>
      <c r="F392" s="114" t="n">
        <v>44985</v>
      </c>
      <c r="G392" s="115" t="n"/>
    </row>
    <row r="393" ht="16" customHeight="1">
      <c r="A393" s="98" t="n">
        <v>415315</v>
      </c>
      <c r="B393" s="98" t="inlineStr">
        <is>
          <t>CARLO ROSSI SWEET RED</t>
        </is>
      </c>
      <c r="C393" s="97">
        <f>VLOOKUP(A393,SizeData!A$2:B$3839,2,FALSE)</f>
        <v/>
      </c>
      <c r="D393" s="98" t="n">
        <v>3</v>
      </c>
      <c r="E393" s="98" t="inlineStr">
        <is>
          <t>R2017941</t>
        </is>
      </c>
      <c r="F393" s="99" t="n">
        <v>44996</v>
      </c>
      <c r="G393" s="100" t="n"/>
    </row>
    <row r="394" ht="16" customHeight="1">
      <c r="A394" s="98" t="n">
        <v>882312</v>
      </c>
      <c r="B394" s="98" t="inlineStr">
        <is>
          <t>CARLO ROSSI SWEET RED</t>
        </is>
      </c>
      <c r="C394" s="97">
        <f>VLOOKUP(A394,SizeData!A$2:B$3839,2,FALSE)</f>
        <v/>
      </c>
      <c r="D394" s="98" t="n">
        <v>3</v>
      </c>
      <c r="E394" s="98" t="inlineStr">
        <is>
          <t>R2002973</t>
        </is>
      </c>
      <c r="F394" s="99" t="n">
        <v>44992</v>
      </c>
      <c r="G394" s="100" t="n"/>
    </row>
    <row r="395" ht="16" customHeight="1">
      <c r="A395" s="98" t="n">
        <v>415318</v>
      </c>
      <c r="B395" s="98" t="inlineStr">
        <is>
          <t>CARLO ROSSI SWEET RED</t>
        </is>
      </c>
      <c r="C395" s="97">
        <f>VLOOKUP(A395,SizeData!A$2:B$3839,2,FALSE)</f>
        <v/>
      </c>
      <c r="D395" s="98" t="n">
        <v>6</v>
      </c>
      <c r="E395" s="98" t="inlineStr">
        <is>
          <t>R2018001</t>
        </is>
      </c>
      <c r="F395" s="99" t="n">
        <v>44993</v>
      </c>
      <c r="G395" s="100" t="n"/>
    </row>
    <row r="396" ht="16" customHeight="1">
      <c r="A396" s="98" t="n">
        <v>415318</v>
      </c>
      <c r="B396" s="98" t="inlineStr">
        <is>
          <t>CARLO ROSSI SWEET RED</t>
        </is>
      </c>
      <c r="C396" s="97">
        <f>VLOOKUP(A396,SizeData!A$2:B$3839,2,FALSE)</f>
        <v/>
      </c>
      <c r="D396" s="98" t="n">
        <v>2</v>
      </c>
      <c r="E396" s="98" t="inlineStr">
        <is>
          <t>R2019856</t>
        </is>
      </c>
      <c r="F396" s="99" t="n">
        <v>45005</v>
      </c>
      <c r="G396" s="100" t="n"/>
    </row>
    <row r="397" ht="16" customHeight="1">
      <c r="A397" s="98" t="n">
        <v>415318</v>
      </c>
      <c r="B397" s="98" t="inlineStr">
        <is>
          <t>CARLO ROSSI SWEET RED</t>
        </is>
      </c>
      <c r="C397" s="97">
        <f>VLOOKUP(A397,SizeData!A$2:B$3839,2,FALSE)</f>
        <v/>
      </c>
      <c r="D397" s="98" t="n">
        <v>4</v>
      </c>
      <c r="E397" s="98" t="inlineStr">
        <is>
          <t>R2044661</t>
        </is>
      </c>
      <c r="F397" s="99" t="n">
        <v>45020</v>
      </c>
      <c r="G397" s="100" t="n"/>
    </row>
    <row r="398" ht="16" customHeight="1">
      <c r="A398" s="98" t="n">
        <v>882312</v>
      </c>
      <c r="B398" s="98" t="inlineStr">
        <is>
          <t>CARLO ROSSI SWEET RED</t>
        </is>
      </c>
      <c r="C398" s="97">
        <f>VLOOKUP(A398,SizeData!A$2:B$3839,2,FALSE)</f>
        <v/>
      </c>
      <c r="D398" s="98" t="n">
        <v>2</v>
      </c>
      <c r="E398" s="98" t="inlineStr">
        <is>
          <t>R2044661</t>
        </is>
      </c>
      <c r="F398" s="99" t="n">
        <v>45020</v>
      </c>
      <c r="G398" s="100" t="n"/>
    </row>
    <row r="399" ht="16" customHeight="1">
      <c r="A399" s="98" t="n">
        <v>415315</v>
      </c>
      <c r="B399" s="98" t="inlineStr">
        <is>
          <t>CARLO ROSSI SWEET RED</t>
        </is>
      </c>
      <c r="C399" s="97">
        <f>VLOOKUP(A399,SizeData!A$2:B$3839,2,FALSE)</f>
        <v/>
      </c>
      <c r="D399" s="98" t="n">
        <v>3</v>
      </c>
      <c r="E399" s="98" t="inlineStr">
        <is>
          <t>R2061586</t>
        </is>
      </c>
      <c r="F399" s="99" t="n">
        <v>45029</v>
      </c>
      <c r="G399" s="100" t="n"/>
    </row>
    <row r="400" ht="16" customHeight="1">
      <c r="A400" s="98" t="n">
        <v>415315</v>
      </c>
      <c r="B400" s="98" t="inlineStr">
        <is>
          <t>CARLO ROSSI SWEET RED</t>
        </is>
      </c>
      <c r="C400" s="97">
        <f>VLOOKUP(A400,SizeData!A$2:B$3839,2,FALSE)</f>
        <v/>
      </c>
      <c r="D400" s="98" t="n">
        <v>2</v>
      </c>
      <c r="E400" s="98" t="inlineStr">
        <is>
          <t>R2065393</t>
        </is>
      </c>
      <c r="F400" s="99" t="n">
        <v>45031</v>
      </c>
      <c r="G400" s="100" t="n"/>
    </row>
    <row r="401" ht="16" customHeight="1">
      <c r="A401" s="98" t="n">
        <v>64514</v>
      </c>
      <c r="B401" s="98" t="inlineStr">
        <is>
          <t>CIROC APPLE FLAVORED VODKA SPECIALTY</t>
        </is>
      </c>
      <c r="C401" s="97">
        <f>VLOOKUP(A401,SizeData!A$2:B$3839,2,FALSE)</f>
        <v/>
      </c>
      <c r="D401" s="98" t="n">
        <v>1</v>
      </c>
      <c r="E401" s="98" t="inlineStr">
        <is>
          <t>R1888484</t>
        </is>
      </c>
      <c r="F401" s="99" t="n">
        <v>44908</v>
      </c>
      <c r="G401" s="100" t="n"/>
    </row>
    <row r="402" ht="16" customHeight="1">
      <c r="A402" s="98" t="n">
        <v>64512</v>
      </c>
      <c r="B402" s="98" t="inlineStr">
        <is>
          <t>CIROC APPLE FLAVORED VODKA SPECIALTY</t>
        </is>
      </c>
      <c r="C402" s="97">
        <f>VLOOKUP(A402,SizeData!A$2:B$3839,2,FALSE)</f>
        <v/>
      </c>
      <c r="D402" s="98" t="n">
        <v>3</v>
      </c>
      <c r="E402" s="98" t="inlineStr">
        <is>
          <t>R1911923</t>
        </is>
      </c>
      <c r="F402" s="99" t="n">
        <v>44912</v>
      </c>
      <c r="G402" s="100" t="n"/>
    </row>
    <row r="403" ht="16" customHeight="1">
      <c r="A403" s="98" t="n">
        <v>882312</v>
      </c>
      <c r="B403" s="98" t="inlineStr">
        <is>
          <t>CARLO ROSSI SWEET RED</t>
        </is>
      </c>
      <c r="C403" s="97">
        <f>VLOOKUP(A403,SizeData!A$2:B$3839,2,FALSE)</f>
        <v/>
      </c>
      <c r="D403" s="98" t="n">
        <v>4</v>
      </c>
      <c r="E403" s="98" t="inlineStr">
        <is>
          <t>R2067759</t>
        </is>
      </c>
      <c r="F403" s="99" t="n">
        <v>45037</v>
      </c>
      <c r="G403" s="100" t="n"/>
    </row>
    <row r="404" ht="16" customHeight="1">
      <c r="A404" s="98" t="n">
        <v>415315</v>
      </c>
      <c r="B404" s="98" t="inlineStr">
        <is>
          <t>CARLO ROSSI SWEET RED</t>
        </is>
      </c>
      <c r="C404" s="97">
        <f>VLOOKUP(A404,SizeData!A$2:B$3839,2,FALSE)</f>
        <v/>
      </c>
      <c r="D404" s="98" t="n">
        <v>2</v>
      </c>
      <c r="E404" s="98" t="inlineStr">
        <is>
          <t>R2073309</t>
        </is>
      </c>
      <c r="F404" s="99" t="n">
        <v>45038</v>
      </c>
      <c r="G404" s="100" t="n"/>
    </row>
    <row r="405" ht="16" customHeight="1">
      <c r="A405" s="101" t="n">
        <v>882312</v>
      </c>
      <c r="B405" s="101" t="inlineStr">
        <is>
          <t>CARLO ROSSI SWEET RED</t>
        </is>
      </c>
      <c r="C405" s="102">
        <f>VLOOKUP(A405,SizeData!A$2:B$3839,2,FALSE)</f>
        <v/>
      </c>
      <c r="D405" s="101" t="n">
        <v>4</v>
      </c>
      <c r="E405" s="101" t="inlineStr">
        <is>
          <t>R2067759</t>
        </is>
      </c>
      <c r="F405" s="103" t="n">
        <v>45038</v>
      </c>
      <c r="G405" s="104" t="n"/>
    </row>
    <row r="406" ht="16" customHeight="1">
      <c r="A406" s="98" t="n">
        <v>415318</v>
      </c>
      <c r="B406" s="98" t="inlineStr">
        <is>
          <t>CARLO ROSSI SWEET RED</t>
        </is>
      </c>
      <c r="C406" s="97">
        <f>VLOOKUP(A406,SizeData!A$2:B$3839,2,FALSE)</f>
        <v/>
      </c>
      <c r="D406" s="98" t="n">
        <v>4</v>
      </c>
      <c r="E406" s="98" t="inlineStr">
        <is>
          <t>R2069631</t>
        </is>
      </c>
      <c r="F406" s="99" t="n">
        <v>45041</v>
      </c>
      <c r="G406" s="100" t="n"/>
    </row>
    <row r="407" ht="16" customHeight="1">
      <c r="A407" s="101" t="n">
        <v>415318</v>
      </c>
      <c r="B407" s="101" t="inlineStr">
        <is>
          <t>CARLO ROSSI SWEET RED</t>
        </is>
      </c>
      <c r="C407" s="102">
        <f>VLOOKUP(A407,SizeData!A$2:B$3839,2,FALSE)</f>
        <v/>
      </c>
      <c r="D407" s="101" t="n">
        <v>1</v>
      </c>
      <c r="E407" s="101" t="inlineStr">
        <is>
          <t>R2069631</t>
        </is>
      </c>
      <c r="F407" s="103" t="n">
        <v>45041</v>
      </c>
      <c r="G407" s="104" t="n"/>
    </row>
    <row r="408" ht="16" customHeight="1">
      <c r="A408" s="98" t="n">
        <v>882312</v>
      </c>
      <c r="B408" s="98" t="inlineStr">
        <is>
          <t>CARLO ROSSI SWEET RED</t>
        </is>
      </c>
      <c r="C408" s="97">
        <f>VLOOKUP(A408,SizeData!A$2:B$3839,2,FALSE)</f>
        <v/>
      </c>
      <c r="D408" s="98" t="n">
        <v>3</v>
      </c>
      <c r="E408" s="98" t="inlineStr">
        <is>
          <t>R2083415</t>
        </is>
      </c>
      <c r="F408" s="99" t="n">
        <v>45048</v>
      </c>
      <c r="G408" s="100" t="n"/>
    </row>
    <row r="409" ht="16" customHeight="1">
      <c r="A409" s="98" t="n">
        <v>64741</v>
      </c>
      <c r="B409" s="98" t="inlineStr">
        <is>
          <t>CIROC COCONUT FLAVORED VODKA SPECIALTY</t>
        </is>
      </c>
      <c r="C409" s="97">
        <f>VLOOKUP(A409,SizeData!A$2:B$3839,2,FALSE)</f>
        <v/>
      </c>
      <c r="D409" s="98" t="n">
        <v>1</v>
      </c>
      <c r="E409" s="98" t="inlineStr">
        <is>
          <t>R1888484</t>
        </is>
      </c>
      <c r="F409" s="99" t="n">
        <v>44908</v>
      </c>
      <c r="G409" s="100" t="n"/>
    </row>
    <row r="410" ht="16" customHeight="1">
      <c r="A410" s="98" t="n">
        <v>882308</v>
      </c>
      <c r="B410" s="98" t="inlineStr">
        <is>
          <t>CARLO ROSSI SWEET SANGRIA</t>
        </is>
      </c>
      <c r="C410" s="97">
        <f>VLOOKUP(A410,SizeData!A$2:B$3839,2,FALSE)</f>
        <v/>
      </c>
      <c r="D410" s="98" t="n">
        <v>3</v>
      </c>
      <c r="E410" s="98" t="inlineStr">
        <is>
          <t>R1926599</t>
        </is>
      </c>
      <c r="F410" s="99" t="n">
        <v>44933</v>
      </c>
      <c r="G410" s="100" t="n"/>
    </row>
    <row r="411" ht="16" customHeight="1">
      <c r="A411" s="98" t="n">
        <v>882308</v>
      </c>
      <c r="B411" s="98" t="inlineStr">
        <is>
          <t>CARLO ROSSI SWEET SANGRIA</t>
        </is>
      </c>
      <c r="C411" s="97">
        <f>VLOOKUP(A411,SizeData!A$2:B$3839,2,FALSE)</f>
        <v/>
      </c>
      <c r="D411" s="98" t="n">
        <v>3</v>
      </c>
      <c r="E411" s="98" t="inlineStr">
        <is>
          <t>R1945780</t>
        </is>
      </c>
      <c r="F411" s="99" t="n">
        <v>44940</v>
      </c>
      <c r="G411" s="100" t="n"/>
    </row>
    <row r="412" ht="16" customHeight="1">
      <c r="A412" s="101" t="n">
        <v>882308</v>
      </c>
      <c r="B412" s="101" t="inlineStr">
        <is>
          <t>CARLO ROSSI SWEET SANGRIA</t>
        </is>
      </c>
      <c r="C412" s="102">
        <f>VLOOKUP(A412,SizeData!A$2:B$3839,2,FALSE)</f>
        <v/>
      </c>
      <c r="D412" s="101" t="n">
        <v>1</v>
      </c>
      <c r="E412" s="101" t="inlineStr">
        <is>
          <t>R2005740</t>
        </is>
      </c>
      <c r="F412" s="103" t="n">
        <v>44987</v>
      </c>
      <c r="G412" s="100" t="n"/>
    </row>
    <row r="413" ht="16" customHeight="1">
      <c r="A413" s="98" t="n">
        <v>882310</v>
      </c>
      <c r="B413" s="98" t="inlineStr">
        <is>
          <t>CARLO ROSSI SWEET SANGRIA</t>
        </is>
      </c>
      <c r="C413" s="97">
        <f>VLOOKUP(A413,SizeData!A$2:B$3839,2,FALSE)</f>
        <v/>
      </c>
      <c r="D413" s="98" t="n">
        <v>3</v>
      </c>
      <c r="E413" s="98" t="inlineStr">
        <is>
          <t>R1985201</t>
        </is>
      </c>
      <c r="F413" s="99" t="n">
        <v>44963</v>
      </c>
      <c r="G413" s="100" t="n"/>
    </row>
    <row r="414" ht="16" customHeight="1">
      <c r="A414" s="98" t="n">
        <v>882310</v>
      </c>
      <c r="B414" s="98" t="inlineStr">
        <is>
          <t>CARLO ROSSI SWEET SANGRIA</t>
        </is>
      </c>
      <c r="C414" s="97">
        <f>VLOOKUP(A414,SizeData!A$2:B$3839,2,FALSE)</f>
        <v/>
      </c>
      <c r="D414" s="98" t="n">
        <v>1</v>
      </c>
      <c r="E414" s="98" t="inlineStr">
        <is>
          <t>R1973563</t>
        </is>
      </c>
      <c r="F414" s="99" t="n">
        <v>44971</v>
      </c>
      <c r="G414" s="100" t="n"/>
    </row>
    <row r="415" ht="16" customHeight="1">
      <c r="A415" s="98" t="n">
        <v>64348</v>
      </c>
      <c r="B415" s="98" t="inlineStr">
        <is>
          <t>CIROC PASSION</t>
        </is>
      </c>
      <c r="C415" s="97">
        <f>VLOOKUP(A415,SizeData!A$2:B$3839,2,FALSE)</f>
        <v/>
      </c>
      <c r="D415" s="98" t="n">
        <v>10</v>
      </c>
      <c r="E415" s="98" t="inlineStr">
        <is>
          <t>R1922501</t>
        </is>
      </c>
      <c r="F415" s="99" t="n">
        <v>44918</v>
      </c>
      <c r="G415" s="100" t="n"/>
    </row>
    <row r="416" ht="16" customHeight="1">
      <c r="A416" s="98" t="n">
        <v>882310</v>
      </c>
      <c r="B416" s="98" t="inlineStr">
        <is>
          <t>CARLO ROSSI SWEET SANGRIA</t>
        </is>
      </c>
      <c r="C416" s="97">
        <f>VLOOKUP(A416,SizeData!A$2:B$3839,2,FALSE)</f>
        <v/>
      </c>
      <c r="D416" s="98" t="n">
        <v>2</v>
      </c>
      <c r="E416" s="98" t="inlineStr">
        <is>
          <t>R1994703</t>
        </is>
      </c>
      <c r="F416" s="99" t="n">
        <v>44984</v>
      </c>
      <c r="G416" s="100" t="n"/>
    </row>
    <row r="417" ht="16" customHeight="1">
      <c r="A417" s="101" t="n">
        <v>882310</v>
      </c>
      <c r="B417" s="101" t="inlineStr">
        <is>
          <t>CARLO ROSSI SWEET SANGRIA</t>
        </is>
      </c>
      <c r="C417" s="102">
        <f>VLOOKUP(A417,SizeData!A$2:B$3839,2,FALSE)</f>
        <v/>
      </c>
      <c r="D417" s="101" t="n">
        <v>3</v>
      </c>
      <c r="E417" s="101" t="inlineStr">
        <is>
          <t>R2018001</t>
        </is>
      </c>
      <c r="F417" s="103" t="n">
        <v>44993</v>
      </c>
      <c r="G417" s="104" t="n"/>
    </row>
    <row r="418" ht="16" customHeight="1">
      <c r="A418" s="101" t="n">
        <v>882310</v>
      </c>
      <c r="B418" s="101" t="inlineStr">
        <is>
          <t>CARLO ROSSI SWEET SANGRIA</t>
        </is>
      </c>
      <c r="C418" s="102">
        <f>VLOOKUP(A418,SizeData!A$2:B$3839,2,FALSE)</f>
        <v/>
      </c>
      <c r="D418" s="101" t="n">
        <v>2</v>
      </c>
      <c r="E418" s="101" t="inlineStr">
        <is>
          <t>R2049593</t>
        </is>
      </c>
      <c r="F418" s="103" t="n">
        <v>45022</v>
      </c>
      <c r="G418" s="104" t="n"/>
    </row>
    <row r="419" ht="16" customHeight="1">
      <c r="A419" s="101" t="n">
        <v>882310</v>
      </c>
      <c r="B419" s="101" t="inlineStr">
        <is>
          <t>CARLO ROSSI SWEET SANGRIA</t>
        </is>
      </c>
      <c r="C419" s="102">
        <f>VLOOKUP(A419,SizeData!A$2:B$3839,2,FALSE)</f>
        <v/>
      </c>
      <c r="D419" s="101" t="n">
        <v>2</v>
      </c>
      <c r="E419" s="101" t="inlineStr">
        <is>
          <t>R2049198</t>
        </is>
      </c>
      <c r="F419" s="103" t="n">
        <v>45028</v>
      </c>
      <c r="G419" s="104" t="n"/>
    </row>
    <row r="420" ht="16" customHeight="1">
      <c r="A420" s="101" t="n">
        <v>882308</v>
      </c>
      <c r="B420" s="101" t="inlineStr">
        <is>
          <t>CARLO ROSSI SWEET SANGRIA</t>
        </is>
      </c>
      <c r="C420" s="102">
        <f>VLOOKUP(A420,SizeData!A$2:B$3839,2,FALSE)</f>
        <v/>
      </c>
      <c r="D420" s="101" t="n">
        <v>3</v>
      </c>
      <c r="E420" s="101" t="inlineStr">
        <is>
          <t>R2065393</t>
        </is>
      </c>
      <c r="F420" s="103" t="n">
        <v>45031</v>
      </c>
      <c r="G420" s="104" t="n"/>
    </row>
    <row r="421" ht="16" customHeight="1">
      <c r="A421" s="98" t="n">
        <v>68126</v>
      </c>
      <c r="B421" s="98" t="inlineStr">
        <is>
          <t>CAROLANS IRISH CREAM LIQUEUR</t>
        </is>
      </c>
      <c r="C421" s="97">
        <f>VLOOKUP(A421,SizeData!A$2:B$3839,2,FALSE)</f>
        <v/>
      </c>
      <c r="D421" s="98" t="n">
        <v>1</v>
      </c>
      <c r="E421" s="98" t="inlineStr">
        <is>
          <t>R2030138</t>
        </is>
      </c>
      <c r="F421" s="99" t="n">
        <v>44986</v>
      </c>
      <c r="G421" s="100" t="n"/>
    </row>
    <row r="422" ht="16" customHeight="1">
      <c r="A422" s="98" t="n">
        <v>68126</v>
      </c>
      <c r="B422" s="98" t="inlineStr">
        <is>
          <t>CAROLANS IRISH CREAM LIQUEUR</t>
        </is>
      </c>
      <c r="C422" s="97">
        <f>VLOOKUP(A422,SizeData!A$2:B$3839,2,FALSE)</f>
        <v/>
      </c>
      <c r="D422" s="98" t="n">
        <v>1</v>
      </c>
      <c r="E422" s="98" t="inlineStr">
        <is>
          <t>R2010982</t>
        </is>
      </c>
      <c r="F422" s="99" t="n">
        <v>44995</v>
      </c>
      <c r="G422" s="100" t="n"/>
    </row>
    <row r="423" ht="16" customHeight="1">
      <c r="A423" s="98" t="n">
        <v>87282</v>
      </c>
      <c r="B423" s="98" t="inlineStr">
        <is>
          <t>CASAMIGOS BLANCO TEQUILA 100% AGAVE</t>
        </is>
      </c>
      <c r="C423" s="97">
        <f>VLOOKUP(A423,SizeData!A$2:B$3839,2,FALSE)</f>
        <v/>
      </c>
      <c r="D423" s="98" t="n">
        <v>4</v>
      </c>
      <c r="E423" s="98" t="inlineStr">
        <is>
          <t>R1926446</t>
        </is>
      </c>
      <c r="F423" s="99" t="n">
        <v>44930</v>
      </c>
      <c r="G423" s="100" t="n"/>
    </row>
    <row r="424" ht="16" customHeight="1">
      <c r="A424" s="98" t="n">
        <v>64575</v>
      </c>
      <c r="B424" s="98" t="inlineStr">
        <is>
          <t>CIROC PINEAPPLE FLAVORED VODKA SPECIALTY</t>
        </is>
      </c>
      <c r="C424" s="97">
        <f>VLOOKUP(A424,SizeData!A$2:B$3839,2,FALSE)</f>
        <v/>
      </c>
      <c r="D424" s="98" t="n">
        <v>1</v>
      </c>
      <c r="E424" s="98" t="inlineStr">
        <is>
          <t>R1906916</t>
        </is>
      </c>
      <c r="F424" s="99" t="n">
        <v>44905</v>
      </c>
      <c r="G424" s="100" t="n"/>
    </row>
    <row r="425" ht="16" customHeight="1">
      <c r="A425" s="98" t="n">
        <v>64572</v>
      </c>
      <c r="B425" s="98" t="inlineStr">
        <is>
          <t>CIROC PINEAPPLE FLAVORED VODKA SPECIALTY</t>
        </is>
      </c>
      <c r="C425" s="97">
        <f>VLOOKUP(A425,SizeData!A$2:B$3839,2,FALSE)</f>
        <v/>
      </c>
      <c r="D425" s="98" t="n">
        <v>2</v>
      </c>
      <c r="E425" s="98" t="inlineStr">
        <is>
          <t>R1888484</t>
        </is>
      </c>
      <c r="F425" s="99" t="n">
        <v>44908</v>
      </c>
      <c r="G425" s="100" t="n"/>
    </row>
    <row r="426" ht="16" customHeight="1">
      <c r="A426" s="98" t="n">
        <v>87280</v>
      </c>
      <c r="B426" s="98" t="inlineStr">
        <is>
          <t>CASAMIGOS BLANCO TEQUILA 100% AGAVE</t>
        </is>
      </c>
      <c r="C426" s="97">
        <f>VLOOKUP(A426,SizeData!A$2:B$3839,2,FALSE)</f>
        <v/>
      </c>
      <c r="D426" s="98" t="n">
        <v>10</v>
      </c>
      <c r="E426" s="98" t="inlineStr">
        <is>
          <t>R1990782</t>
        </is>
      </c>
      <c r="F426" s="99" t="n">
        <v>44978</v>
      </c>
      <c r="G426" s="100" t="n"/>
    </row>
    <row r="427" ht="16" customHeight="1">
      <c r="A427" s="98" t="n">
        <v>87280</v>
      </c>
      <c r="B427" s="98" t="inlineStr">
        <is>
          <t>CASAMIGOS BLANCO TEQUILA 100% AGAVE</t>
        </is>
      </c>
      <c r="C427" s="97">
        <f>VLOOKUP(A427,SizeData!A$2:B$3839,2,FALSE)</f>
        <v/>
      </c>
      <c r="D427" s="98" t="n">
        <v>5</v>
      </c>
      <c r="E427" s="98" t="inlineStr">
        <is>
          <t>R1988893</t>
        </is>
      </c>
      <c r="F427" s="99" t="n">
        <v>44984</v>
      </c>
      <c r="G427" s="100" t="n"/>
    </row>
    <row r="428" ht="16" customHeight="1">
      <c r="A428" s="98" t="n">
        <v>88830</v>
      </c>
      <c r="B428" s="98" t="inlineStr">
        <is>
          <t>CASAMIGOS REPOSADO TEQUILA 100% AGAVE</t>
        </is>
      </c>
      <c r="C428" s="97">
        <f>VLOOKUP(A428,SizeData!A$2:B$3839,2,FALSE)</f>
        <v/>
      </c>
      <c r="D428" s="98" t="n">
        <v>3</v>
      </c>
      <c r="E428" s="98" t="inlineStr">
        <is>
          <t>R1987992</t>
        </is>
      </c>
      <c r="F428" s="99" t="n">
        <v>44978</v>
      </c>
      <c r="G428" s="100" t="n"/>
    </row>
    <row r="429" ht="16" customHeight="1">
      <c r="A429" s="98" t="n">
        <v>89177</v>
      </c>
      <c r="B429" s="98" t="inlineStr">
        <is>
          <t>CASAMIGOS REPOSADO TEQUILA 100% AGAVE</t>
        </is>
      </c>
      <c r="C429" s="97">
        <f>VLOOKUP(A429,SizeData!A$2:B$3839,2,FALSE)</f>
        <v/>
      </c>
      <c r="D429" s="98" t="n">
        <v>15</v>
      </c>
      <c r="E429" s="98" t="inlineStr">
        <is>
          <t>R1987992</t>
        </is>
      </c>
      <c r="F429" s="99" t="n">
        <v>44978</v>
      </c>
      <c r="G429" s="100" t="n"/>
    </row>
    <row r="430" ht="16" customHeight="1">
      <c r="A430" s="98" t="n">
        <v>64339</v>
      </c>
      <c r="B430" s="98" t="inlineStr">
        <is>
          <t>CIROC POMEGRANATE FLAVORED VODKA SPECIALTY</t>
        </is>
      </c>
      <c r="C430" s="97">
        <f>VLOOKUP(A430,SizeData!A$2:B$3839,2,FALSE)</f>
        <v/>
      </c>
      <c r="D430" s="98" t="n">
        <v>1</v>
      </c>
      <c r="E430" s="98" t="inlineStr">
        <is>
          <t>R1907721</t>
        </is>
      </c>
      <c r="F430" s="99" t="n">
        <v>44908</v>
      </c>
      <c r="G430" s="100" t="n"/>
    </row>
    <row r="431" ht="16" customHeight="1">
      <c r="A431" s="98" t="n">
        <v>64339</v>
      </c>
      <c r="B431" s="98" t="inlineStr">
        <is>
          <t>CIROC POMEGRANATE FLAVORED VODKA SPECIALTY</t>
        </is>
      </c>
      <c r="C431" s="97">
        <f>VLOOKUP(A431,SizeData!A$2:B$3839,2,FALSE)</f>
        <v/>
      </c>
      <c r="D431" s="98" t="n">
        <v>2</v>
      </c>
      <c r="E431" s="98" t="inlineStr">
        <is>
          <t>R1927120</t>
        </is>
      </c>
      <c r="F431" s="99" t="n">
        <v>44924</v>
      </c>
      <c r="G431" s="100" t="n"/>
    </row>
    <row r="432" ht="16" customHeight="1">
      <c r="A432" s="98" t="n">
        <v>64762</v>
      </c>
      <c r="B432" s="98" t="inlineStr">
        <is>
          <t>CIROC RED BERRY FLAVORED VODKA SPECIALTY</t>
        </is>
      </c>
      <c r="C432" s="97">
        <f>VLOOKUP(A432,SizeData!A$2:B$3839,2,FALSE)</f>
        <v/>
      </c>
      <c r="D432" s="98" t="n">
        <v>2</v>
      </c>
      <c r="E432" s="98" t="inlineStr">
        <is>
          <t>R1888484</t>
        </is>
      </c>
      <c r="F432" s="99" t="n">
        <v>44908</v>
      </c>
      <c r="G432" s="100" t="n"/>
    </row>
    <row r="433" ht="16" customHeight="1">
      <c r="A433" s="98" t="n">
        <v>359029</v>
      </c>
      <c r="B433" s="98" t="inlineStr">
        <is>
          <t>CASTELLO DEL POGGIO MOSCATO PAVIA</t>
        </is>
      </c>
      <c r="C433" s="97">
        <f>VLOOKUP(A433,SizeData!A$2:B$3839,2,FALSE)</f>
        <v/>
      </c>
      <c r="D433" s="98" t="n">
        <v>1</v>
      </c>
      <c r="E433" s="98" t="inlineStr">
        <is>
          <t>R1957712</t>
        </is>
      </c>
      <c r="F433" s="99" t="n">
        <v>44958</v>
      </c>
      <c r="G433" s="100" t="n"/>
    </row>
    <row r="434" ht="16" customHeight="1">
      <c r="A434" s="98" t="n">
        <v>359029</v>
      </c>
      <c r="B434" s="98" t="inlineStr">
        <is>
          <t>CASTELLO DEL POGGIO MOSCATO PAVIA</t>
        </is>
      </c>
      <c r="C434" s="97">
        <f>VLOOKUP(A434,SizeData!A$2:B$3839,2,FALSE)</f>
        <v/>
      </c>
      <c r="D434" s="98" t="n">
        <v>5</v>
      </c>
      <c r="E434" s="98" t="inlineStr">
        <is>
          <t>R1995710</t>
        </is>
      </c>
      <c r="F434" s="99" t="n">
        <v>44970</v>
      </c>
      <c r="G434" s="100" t="n"/>
    </row>
    <row r="435" ht="16" customHeight="1">
      <c r="A435" s="98" t="n">
        <v>35592</v>
      </c>
      <c r="B435" s="98" t="inlineStr">
        <is>
          <t>CATHEAD VODKA</t>
        </is>
      </c>
      <c r="C435" s="97">
        <f>VLOOKUP(A435,SizeData!A$2:B$3839,2,FALSE)</f>
        <v/>
      </c>
      <c r="D435" s="98" t="n">
        <v>1</v>
      </c>
      <c r="E435" s="98" t="inlineStr">
        <is>
          <t>R1933625</t>
        </is>
      </c>
      <c r="F435" s="99" t="n">
        <v>44940</v>
      </c>
      <c r="G435" s="100" t="n"/>
    </row>
    <row r="436" ht="16" customHeight="1">
      <c r="A436" s="101" t="n">
        <v>89099</v>
      </c>
      <c r="B436" s="101" t="inlineStr">
        <is>
          <t>CAZADORES ANEJO GOLD TEQUILA</t>
        </is>
      </c>
      <c r="C436" s="102">
        <f>VLOOKUP(A436,SizeData!A$2:B$3839,2,FALSE)</f>
        <v/>
      </c>
      <c r="D436" s="101" t="n">
        <v>1</v>
      </c>
      <c r="E436" s="101" t="inlineStr">
        <is>
          <t>R2055049</t>
        </is>
      </c>
      <c r="F436" s="103" t="n">
        <v>45017</v>
      </c>
      <c r="G436" s="104" t="n"/>
    </row>
    <row r="437" ht="16" customHeight="1">
      <c r="A437" s="98" t="n">
        <v>36871</v>
      </c>
      <c r="B437" s="98" t="inlineStr">
        <is>
          <t>CIROC SNAP FROST VODKA</t>
        </is>
      </c>
      <c r="C437" s="97">
        <f>VLOOKUP(A437,SizeData!A$2:B$3839,2,FALSE)</f>
        <v/>
      </c>
      <c r="D437" s="98" t="n">
        <v>5</v>
      </c>
      <c r="E437" s="98" t="inlineStr">
        <is>
          <t>R1911923</t>
        </is>
      </c>
      <c r="F437" s="99" t="n">
        <v>44912</v>
      </c>
      <c r="G437" s="100" t="n"/>
    </row>
    <row r="438" ht="16" customHeight="1">
      <c r="A438" s="98" t="n">
        <v>87306</v>
      </c>
      <c r="B438" s="98" t="inlineStr">
        <is>
          <t>CAZADORES BLANCO TEQUILA WHITE</t>
        </is>
      </c>
      <c r="C438" s="97">
        <f>VLOOKUP(A438,SizeData!A$2:B$3839,2,FALSE)</f>
        <v/>
      </c>
      <c r="D438" s="98" t="n">
        <v>2</v>
      </c>
      <c r="E438" s="98" t="inlineStr">
        <is>
          <t>R1991319</t>
        </is>
      </c>
      <c r="F438" s="99" t="n">
        <v>44973</v>
      </c>
      <c r="G438" s="100" t="n"/>
    </row>
    <row r="439" ht="16" customHeight="1">
      <c r="A439" s="98" t="n">
        <v>89121</v>
      </c>
      <c r="B439" s="98" t="inlineStr">
        <is>
          <t>CAZADORES REPOSADO GOLD TEQUILA</t>
        </is>
      </c>
      <c r="C439" s="97">
        <f>VLOOKUP(A439,SizeData!A$2:B$3839,2,FALSE)</f>
        <v/>
      </c>
      <c r="D439" s="98" t="n">
        <v>2</v>
      </c>
      <c r="E439" s="98" t="inlineStr">
        <is>
          <t>R1991319</t>
        </is>
      </c>
      <c r="F439" s="99" t="n">
        <v>44973</v>
      </c>
      <c r="G439" s="100" t="n"/>
    </row>
    <row r="440" ht="16" customHeight="1">
      <c r="A440" s="98" t="n">
        <v>89121</v>
      </c>
      <c r="B440" s="98" t="inlineStr">
        <is>
          <t>CAZADORES REPOSADO GOLD TEQUILA</t>
        </is>
      </c>
      <c r="C440" s="97">
        <f>VLOOKUP(A440,SizeData!A$2:B$3839,2,FALSE)</f>
        <v/>
      </c>
      <c r="D440" s="98" t="n">
        <v>1</v>
      </c>
      <c r="E440" s="98" t="inlineStr">
        <is>
          <t>R2054650</t>
        </is>
      </c>
      <c r="F440" s="99" t="n">
        <v>45031</v>
      </c>
      <c r="G440" s="100" t="n"/>
    </row>
    <row r="441" ht="16" customHeight="1">
      <c r="A441" s="98" t="n">
        <v>356530</v>
      </c>
      <c r="B441" s="98" t="inlineStr">
        <is>
          <t>CELLA LAMBRUSCO</t>
        </is>
      </c>
      <c r="C441" s="97">
        <f>VLOOKUP(A441,SizeData!A$2:B$3839,2,FALSE)</f>
        <v/>
      </c>
      <c r="D441" s="98" t="n">
        <v>1</v>
      </c>
      <c r="E441" s="98" t="inlineStr">
        <is>
          <t>R2067759</t>
        </is>
      </c>
      <c r="F441" s="99" t="n">
        <v>45037</v>
      </c>
      <c r="G441" s="100" t="n"/>
    </row>
    <row r="442" ht="16" customHeight="1">
      <c r="A442" s="98" t="n">
        <v>551250</v>
      </c>
      <c r="B442" s="98" t="inlineStr">
        <is>
          <t>CHARLES SMITH WINE KUNG FU GIRL RIESLING</t>
        </is>
      </c>
      <c r="C442" s="97">
        <f>VLOOKUP(A442,SizeData!A$2:B$3839,2,FALSE)</f>
        <v/>
      </c>
      <c r="D442" s="98" t="n">
        <v>2</v>
      </c>
      <c r="E442" s="98" t="inlineStr">
        <is>
          <t>R2017906</t>
        </is>
      </c>
      <c r="F442" s="99" t="n">
        <v>44993</v>
      </c>
      <c r="G442" s="100" t="n"/>
    </row>
    <row r="443" ht="16" customHeight="1">
      <c r="A443" s="98" t="n">
        <v>57120</v>
      </c>
      <c r="B443" s="98" t="inlineStr">
        <is>
          <t>CHI-CHI'S LONG ISLAND ICED TEA</t>
        </is>
      </c>
      <c r="C443" s="97">
        <f>VLOOKUP(A443,SizeData!A$2:B$3839,2,FALSE)</f>
        <v/>
      </c>
      <c r="D443" s="98" t="n">
        <v>3</v>
      </c>
      <c r="E443" s="98" t="inlineStr">
        <is>
          <t>R1925460</t>
        </is>
      </c>
      <c r="F443" s="99" t="n">
        <v>44929</v>
      </c>
      <c r="G443" s="100" t="n"/>
    </row>
    <row r="444" ht="16" customHeight="1">
      <c r="A444" s="98" t="n">
        <v>64389</v>
      </c>
      <c r="B444" s="98" t="inlineStr">
        <is>
          <t>CIROC SUMMER CITRUS FLAVORED VOKDA SPECIALTY</t>
        </is>
      </c>
      <c r="C444" s="97">
        <f>VLOOKUP(A444,SizeData!A$2:B$3839,2,FALSE)</f>
        <v/>
      </c>
      <c r="D444" s="98" t="n">
        <v>2</v>
      </c>
      <c r="E444" s="98" t="inlineStr">
        <is>
          <t>R1927120</t>
        </is>
      </c>
      <c r="F444" s="99" t="n">
        <v>44924</v>
      </c>
      <c r="G444" s="100" t="n"/>
    </row>
    <row r="445" ht="16" customHeight="1">
      <c r="A445" s="98" t="n">
        <v>57120</v>
      </c>
      <c r="B445" s="98" t="inlineStr">
        <is>
          <t>CHI-CHI'S LONG ISLAND ICED TEA</t>
        </is>
      </c>
      <c r="C445" s="97">
        <f>VLOOKUP(A445,SizeData!A$2:B$3839,2,FALSE)</f>
        <v/>
      </c>
      <c r="D445" s="98" t="n">
        <v>1</v>
      </c>
      <c r="E445" s="98" t="inlineStr">
        <is>
          <t>R1948204</t>
        </is>
      </c>
      <c r="F445" s="99" t="n">
        <v>44945</v>
      </c>
      <c r="G445" s="100" t="n"/>
    </row>
    <row r="446" ht="16" customHeight="1">
      <c r="A446" s="98" t="n">
        <v>51109</v>
      </c>
      <c r="B446" s="98" t="inlineStr">
        <is>
          <t>CIROC VS FRENCH BRANDY</t>
        </is>
      </c>
      <c r="C446" s="97">
        <f>VLOOKUP(A446,SizeData!A$2:B$3839,2,FALSE)</f>
        <v/>
      </c>
      <c r="D446" s="98" t="n">
        <v>4</v>
      </c>
      <c r="E446" s="98" t="inlineStr">
        <is>
          <t>R1907823</t>
        </is>
      </c>
      <c r="F446" s="99" t="n">
        <v>44908</v>
      </c>
      <c r="G446" s="100" t="n"/>
    </row>
    <row r="447" ht="16" customHeight="1">
      <c r="A447" s="98" t="n">
        <v>51107</v>
      </c>
      <c r="B447" s="98" t="inlineStr">
        <is>
          <t>CIROC VS FRENCH BRANDY</t>
        </is>
      </c>
      <c r="C447" s="97">
        <f>VLOOKUP(A447,SizeData!A$2:B$3839,2,FALSE)</f>
        <v/>
      </c>
      <c r="D447" s="98" t="n">
        <v>1</v>
      </c>
      <c r="E447" s="98" t="inlineStr">
        <is>
          <t>R1923324</t>
        </is>
      </c>
      <c r="F447" s="99" t="n">
        <v>44923</v>
      </c>
      <c r="G447" s="100" t="n"/>
    </row>
    <row r="448" ht="16" customHeight="1">
      <c r="A448" s="98" t="n">
        <v>57120</v>
      </c>
      <c r="B448" s="98" t="inlineStr">
        <is>
          <t>CHI-CHI'S LONG ISLAND ICED TEA</t>
        </is>
      </c>
      <c r="C448" s="97">
        <f>VLOOKUP(A448,SizeData!A$2:B$3839,2,FALSE)</f>
        <v/>
      </c>
      <c r="D448" s="98" t="n">
        <v>2</v>
      </c>
      <c r="E448" s="98" t="inlineStr">
        <is>
          <t>R2030138</t>
        </is>
      </c>
      <c r="F448" s="99" t="n">
        <v>44986</v>
      </c>
      <c r="G448" s="100" t="n"/>
    </row>
    <row r="449" ht="16" customHeight="1">
      <c r="A449" s="98" t="n">
        <v>57122</v>
      </c>
      <c r="B449" s="98" t="inlineStr">
        <is>
          <t>CHI-CHI'S MANGO MARGARITA</t>
        </is>
      </c>
      <c r="C449" s="97">
        <f>VLOOKUP(A449,SizeData!A$2:B$3839,2,FALSE)</f>
        <v/>
      </c>
      <c r="D449" s="98" t="n">
        <v>1</v>
      </c>
      <c r="E449" s="98" t="inlineStr">
        <is>
          <t>R1914089</t>
        </is>
      </c>
      <c r="F449" s="99" t="n">
        <v>44927</v>
      </c>
      <c r="G449" s="100" t="n"/>
    </row>
    <row r="450" ht="16" customHeight="1">
      <c r="A450" s="98" t="n">
        <v>57122</v>
      </c>
      <c r="B450" s="98" t="inlineStr">
        <is>
          <t>CHI-CHI'S MANGO MARGARITA</t>
        </is>
      </c>
      <c r="C450" s="97">
        <f>VLOOKUP(A450,SizeData!A$2:B$3839,2,FALSE)</f>
        <v/>
      </c>
      <c r="D450" s="98" t="n">
        <v>2</v>
      </c>
      <c r="E450" s="98" t="inlineStr">
        <is>
          <t>R1939504</t>
        </is>
      </c>
      <c r="F450" s="99" t="n">
        <v>44940</v>
      </c>
      <c r="G450" s="100" t="n"/>
    </row>
    <row r="451" ht="16" customHeight="1">
      <c r="A451" s="98" t="n">
        <v>57122</v>
      </c>
      <c r="B451" s="98" t="inlineStr">
        <is>
          <t>CHI-CHI'S MANGO MARGARITA</t>
        </is>
      </c>
      <c r="C451" s="97">
        <f>VLOOKUP(A451,SizeData!A$2:B$3839,2,FALSE)</f>
        <v/>
      </c>
      <c r="D451" s="98" t="n">
        <v>1</v>
      </c>
      <c r="E451" s="98" t="inlineStr">
        <is>
          <t>R2022490</t>
        </is>
      </c>
      <c r="F451" s="99" t="n">
        <v>45014</v>
      </c>
      <c r="G451" s="100" t="n"/>
    </row>
    <row r="452" ht="16" customHeight="1">
      <c r="A452" s="98" t="n">
        <v>57122</v>
      </c>
      <c r="B452" s="98" t="inlineStr">
        <is>
          <t>CHI-CHI'S MANGO MARGARITA</t>
        </is>
      </c>
      <c r="C452" s="97">
        <f>VLOOKUP(A452,SizeData!A$2:B$3839,2,FALSE)</f>
        <v/>
      </c>
      <c r="D452" s="98" t="n">
        <v>1</v>
      </c>
      <c r="E452" s="98" t="inlineStr">
        <is>
          <t>R2078944</t>
        </is>
      </c>
      <c r="F452" s="99" t="n">
        <v>45045</v>
      </c>
      <c r="G452" s="100" t="n"/>
    </row>
    <row r="453" ht="16" customHeight="1">
      <c r="A453" s="98" t="n">
        <v>57150</v>
      </c>
      <c r="B453" s="98" t="inlineStr">
        <is>
          <t>CHI-CHI'S PEACH MARGARITA</t>
        </is>
      </c>
      <c r="C453" s="97">
        <f>VLOOKUP(A453,SizeData!A$2:B$3839,2,FALSE)</f>
        <v/>
      </c>
      <c r="D453" s="98" t="n">
        <v>1</v>
      </c>
      <c r="E453" s="98" t="inlineStr">
        <is>
          <t>R2022490</t>
        </is>
      </c>
      <c r="F453" s="99" t="n">
        <v>45014</v>
      </c>
      <c r="G453" s="100" t="n"/>
    </row>
    <row r="454" ht="16" customHeight="1">
      <c r="A454" s="98" t="n">
        <v>57150</v>
      </c>
      <c r="B454" s="98" t="inlineStr">
        <is>
          <t>CHI-CHI'S PEACH MARGARITA</t>
        </is>
      </c>
      <c r="C454" s="97">
        <f>VLOOKUP(A454,SizeData!A$2:B$3839,2,FALSE)</f>
        <v/>
      </c>
      <c r="D454" s="98" t="n">
        <v>1</v>
      </c>
      <c r="E454" s="98" t="inlineStr">
        <is>
          <t>R2078944</t>
        </is>
      </c>
      <c r="F454" s="99" t="n">
        <v>45045</v>
      </c>
      <c r="G454" s="100" t="n"/>
    </row>
    <row r="455" ht="16" customHeight="1">
      <c r="A455" s="98" t="n">
        <v>57157</v>
      </c>
      <c r="B455" s="98" t="inlineStr">
        <is>
          <t>CHI-CHI'S PINA COLADA</t>
        </is>
      </c>
      <c r="C455" s="97">
        <f>VLOOKUP(A455,SizeData!A$2:B$3839,2,FALSE)</f>
        <v/>
      </c>
      <c r="D455" s="98" t="n">
        <v>2</v>
      </c>
      <c r="E455" s="98" t="inlineStr">
        <is>
          <t>R1943057</t>
        </is>
      </c>
      <c r="F455" s="99" t="n">
        <v>44945</v>
      </c>
      <c r="G455" s="100" t="n"/>
    </row>
    <row r="456" ht="16" customHeight="1">
      <c r="A456" s="98" t="n">
        <v>57157</v>
      </c>
      <c r="B456" s="98" t="inlineStr">
        <is>
          <t>CHI-CHI'S PINA COLADA</t>
        </is>
      </c>
      <c r="C456" s="97">
        <f>VLOOKUP(A456,SizeData!A$2:B$3839,2,FALSE)</f>
        <v/>
      </c>
      <c r="D456" s="98" t="n">
        <v>1</v>
      </c>
      <c r="E456" s="98" t="inlineStr">
        <is>
          <t>R2030138</t>
        </is>
      </c>
      <c r="F456" s="99" t="n">
        <v>44986</v>
      </c>
      <c r="G456" s="100" t="n"/>
    </row>
    <row r="457" ht="16" customHeight="1">
      <c r="A457" s="98" t="n">
        <v>57157</v>
      </c>
      <c r="B457" s="98" t="inlineStr">
        <is>
          <t>CHI-CHI'S PINA COLADA</t>
        </is>
      </c>
      <c r="C457" s="97">
        <f>VLOOKUP(A457,SizeData!A$2:B$3839,2,FALSE)</f>
        <v/>
      </c>
      <c r="D457" s="98" t="n">
        <v>1</v>
      </c>
      <c r="E457" s="98" t="inlineStr">
        <is>
          <t>R2028888</t>
        </is>
      </c>
      <c r="F457" s="99" t="n">
        <v>45015</v>
      </c>
      <c r="G457" s="100" t="n"/>
    </row>
    <row r="458" ht="16" customHeight="1">
      <c r="A458" s="98" t="n">
        <v>57181</v>
      </c>
      <c r="B458" s="98" t="inlineStr">
        <is>
          <t>CHI-CHI'S PINEAPPLE MARGARITA</t>
        </is>
      </c>
      <c r="C458" s="97">
        <f>VLOOKUP(A458,SizeData!A$2:B$3839,2,FALSE)</f>
        <v/>
      </c>
      <c r="D458" s="98" t="n">
        <v>2</v>
      </c>
      <c r="E458" s="98" t="inlineStr">
        <is>
          <t>R1929741</t>
        </is>
      </c>
      <c r="F458" s="99" t="n">
        <v>44935</v>
      </c>
      <c r="G458" s="100" t="n"/>
    </row>
    <row r="459" ht="16" customHeight="1">
      <c r="A459" s="98" t="n">
        <v>57181</v>
      </c>
      <c r="B459" s="98" t="inlineStr">
        <is>
          <t>CHI-CHI'S PINEAPPLE MARGARITA</t>
        </is>
      </c>
      <c r="C459" s="97">
        <f>VLOOKUP(A459,SizeData!A$2:B$3839,2,FALSE)</f>
        <v/>
      </c>
      <c r="D459" s="98" t="n">
        <v>4</v>
      </c>
      <c r="E459" s="98" t="inlineStr">
        <is>
          <t>R1943057</t>
        </is>
      </c>
      <c r="F459" s="99" t="n">
        <v>44945</v>
      </c>
      <c r="G459" s="100" t="n"/>
    </row>
    <row r="460" ht="16" customHeight="1">
      <c r="A460" s="98" t="n">
        <v>744400</v>
      </c>
      <c r="B460" s="98" t="inlineStr">
        <is>
          <t>COOK'S EXTRA DRY CHAMPAGNE</t>
        </is>
      </c>
      <c r="C460" s="97">
        <f>VLOOKUP(A460,SizeData!A$2:B$3839,2,FALSE)</f>
        <v/>
      </c>
      <c r="D460" s="98" t="n">
        <v>2</v>
      </c>
      <c r="E460" s="98" t="inlineStr">
        <is>
          <t>R1911923</t>
        </is>
      </c>
      <c r="F460" s="99" t="n">
        <v>44912</v>
      </c>
      <c r="G460" s="100" t="n"/>
    </row>
    <row r="461" ht="16" customHeight="1">
      <c r="A461" s="98" t="n">
        <v>769925</v>
      </c>
      <c r="B461" s="98" t="inlineStr">
        <is>
          <t>COOK'S SPUMANTE</t>
        </is>
      </c>
      <c r="C461" s="97">
        <f>VLOOKUP(A461,SizeData!A$2:B$3839,2,FALSE)</f>
        <v/>
      </c>
      <c r="D461" s="98" t="n">
        <v>2</v>
      </c>
      <c r="E461" s="98" t="inlineStr">
        <is>
          <t>R1911923</t>
        </is>
      </c>
      <c r="F461" s="99" t="n">
        <v>44912</v>
      </c>
      <c r="G461" s="100" t="n"/>
    </row>
    <row r="462" ht="16" customHeight="1">
      <c r="A462" s="98" t="n">
        <v>469432</v>
      </c>
      <c r="B462" s="98" t="inlineStr">
        <is>
          <t>COPPERIDGE CABERNET SAUVIGNON</t>
        </is>
      </c>
      <c r="C462" s="97">
        <f>VLOOKUP(A462,SizeData!A$2:B$3839,2,FALSE)</f>
        <v/>
      </c>
      <c r="D462" s="98" t="n">
        <v>1</v>
      </c>
      <c r="E462" s="98" t="inlineStr">
        <is>
          <t>R1904253</t>
        </is>
      </c>
      <c r="F462" s="99" t="n">
        <v>44915</v>
      </c>
      <c r="G462" s="100" t="n"/>
    </row>
    <row r="463" ht="16" customHeight="1">
      <c r="A463" s="98" t="n">
        <v>469432</v>
      </c>
      <c r="B463" s="98" t="inlineStr">
        <is>
          <t>COPPERIDGE CABERNET SAUVIGNON</t>
        </is>
      </c>
      <c r="C463" s="97">
        <f>VLOOKUP(A463,SizeData!A$2:B$3839,2,FALSE)</f>
        <v/>
      </c>
      <c r="D463" s="98" t="n">
        <v>1</v>
      </c>
      <c r="E463" s="98" t="inlineStr">
        <is>
          <t>R1904253</t>
        </is>
      </c>
      <c r="F463" s="99" t="n">
        <v>44915</v>
      </c>
      <c r="G463" s="100" t="n"/>
    </row>
    <row r="464" ht="16" customHeight="1">
      <c r="A464" s="98" t="n">
        <v>568832</v>
      </c>
      <c r="B464" s="98" t="inlineStr">
        <is>
          <t>COPPERIDGE CHARDONNAY</t>
        </is>
      </c>
      <c r="C464" s="97">
        <f>VLOOKUP(A464,SizeData!A$2:B$3839,2,FALSE)</f>
        <v/>
      </c>
      <c r="D464" s="98" t="n">
        <v>2</v>
      </c>
      <c r="E464" s="98" t="inlineStr">
        <is>
          <t>R1904253</t>
        </is>
      </c>
      <c r="F464" s="99" t="n">
        <v>44915</v>
      </c>
      <c r="G464" s="100" t="n"/>
    </row>
    <row r="465" ht="16" customHeight="1">
      <c r="A465" s="98" t="n">
        <v>57181</v>
      </c>
      <c r="B465" s="98" t="inlineStr">
        <is>
          <t>CHI-CHI'S PINEAPPLE MARGARITA</t>
        </is>
      </c>
      <c r="C465" s="97">
        <f>VLOOKUP(A465,SizeData!A$2:B$3839,2,FALSE)</f>
        <v/>
      </c>
      <c r="D465" s="98" t="n">
        <v>2</v>
      </c>
      <c r="E465" s="98" t="inlineStr">
        <is>
          <t>R2065113</t>
        </is>
      </c>
      <c r="F465" s="99" t="n">
        <v>45022</v>
      </c>
      <c r="G465" s="100" t="n"/>
    </row>
    <row r="466" ht="16" customHeight="1">
      <c r="A466" s="98" t="n">
        <v>57181</v>
      </c>
      <c r="B466" s="98" t="inlineStr">
        <is>
          <t>CHI-CHI'S PINEAPPLE MARGARITA</t>
        </is>
      </c>
      <c r="C466" s="97">
        <f>VLOOKUP(A466,SizeData!A$2:B$3839,2,FALSE)</f>
        <v/>
      </c>
      <c r="D466" s="98" t="n">
        <v>3</v>
      </c>
      <c r="E466" s="98" t="inlineStr">
        <is>
          <t>R2078944</t>
        </is>
      </c>
      <c r="F466" s="99" t="n">
        <v>45045</v>
      </c>
      <c r="G466" s="100" t="n"/>
    </row>
    <row r="467" ht="16" customHeight="1">
      <c r="A467" s="98" t="n">
        <v>57279</v>
      </c>
      <c r="B467" s="98" t="inlineStr">
        <is>
          <t>CHI-CHI'S PINK LEMONADE MARGARITA</t>
        </is>
      </c>
      <c r="C467" s="97">
        <f>VLOOKUP(A467,SizeData!A$2:B$3839,2,FALSE)</f>
        <v/>
      </c>
      <c r="D467" s="98" t="n">
        <v>2</v>
      </c>
      <c r="E467" s="98" t="inlineStr">
        <is>
          <t>R1939504</t>
        </is>
      </c>
      <c r="F467" s="99" t="n">
        <v>44940</v>
      </c>
      <c r="G467" s="100" t="n"/>
    </row>
    <row r="468" ht="16" customHeight="1">
      <c r="A468" s="98" t="n">
        <v>57279</v>
      </c>
      <c r="B468" s="98" t="inlineStr">
        <is>
          <t>CHI-CHI'S PINK LEMONADE MARGARITA</t>
        </is>
      </c>
      <c r="C468" s="97">
        <f>VLOOKUP(A468,SizeData!A$2:B$3839,2,FALSE)</f>
        <v/>
      </c>
      <c r="D468" s="98" t="n">
        <v>1</v>
      </c>
      <c r="E468" s="98" t="inlineStr">
        <is>
          <t>R2022490</t>
        </is>
      </c>
      <c r="F468" s="99" t="n">
        <v>45014</v>
      </c>
      <c r="G468" s="100" t="n"/>
    </row>
    <row r="469" ht="16" customHeight="1">
      <c r="A469" s="98" t="n">
        <v>92270</v>
      </c>
      <c r="B469" s="98" t="inlineStr">
        <is>
          <t>CHOCOVINE (DUTCH CHOCOLATE &amp; RED WINE)</t>
        </is>
      </c>
      <c r="C469" s="97">
        <f>VLOOKUP(A469,SizeData!A$2:B$3839,2,FALSE)</f>
        <v/>
      </c>
      <c r="D469" s="98" t="n">
        <v>1</v>
      </c>
      <c r="E469" s="98" t="inlineStr">
        <is>
          <t>R1933022</t>
        </is>
      </c>
      <c r="F469" s="99" t="n">
        <v>44942</v>
      </c>
      <c r="G469" s="100" t="n"/>
    </row>
    <row r="470" ht="16" customHeight="1">
      <c r="A470" s="98" t="n">
        <v>52315</v>
      </c>
      <c r="B470" s="98" t="inlineStr">
        <is>
          <t>CHRISTIAN BROTHERS BRANDY VS</t>
        </is>
      </c>
      <c r="C470" s="97">
        <f>VLOOKUP(A470,SizeData!A$2:B$3839,2,FALSE)</f>
        <v/>
      </c>
      <c r="D470" s="98" t="n">
        <v>1</v>
      </c>
      <c r="E470" s="98" t="inlineStr">
        <is>
          <t>R1914089</t>
        </is>
      </c>
      <c r="F470" s="99" t="n">
        <v>44927</v>
      </c>
      <c r="G470" s="100" t="n"/>
    </row>
    <row r="471" ht="16" customHeight="1">
      <c r="A471" s="98" t="n">
        <v>52316</v>
      </c>
      <c r="B471" s="98" t="inlineStr">
        <is>
          <t>CHRISTIAN BROTHERS BRANDY VS</t>
        </is>
      </c>
      <c r="C471" s="97">
        <f>VLOOKUP(A471,SizeData!A$2:B$3839,2,FALSE)</f>
        <v/>
      </c>
      <c r="D471" s="98" t="n">
        <v>1</v>
      </c>
      <c r="E471" s="98" t="inlineStr">
        <is>
          <t>R1998154</t>
        </is>
      </c>
      <c r="F471" s="99" t="n">
        <v>44985</v>
      </c>
      <c r="G471" s="100" t="n"/>
    </row>
    <row r="472" ht="16" customHeight="1">
      <c r="A472" s="98" t="n">
        <v>52315</v>
      </c>
      <c r="B472" s="98" t="inlineStr">
        <is>
          <t>CHRISTIAN BROTHERS BRANDY VS</t>
        </is>
      </c>
      <c r="C472" s="97">
        <f>VLOOKUP(A472,SizeData!A$2:B$3839,2,FALSE)</f>
        <v/>
      </c>
      <c r="D472" s="98" t="n">
        <v>1</v>
      </c>
      <c r="E472" s="98" t="inlineStr">
        <is>
          <t>R2036702</t>
        </is>
      </c>
      <c r="F472" s="99" t="n">
        <v>45007</v>
      </c>
      <c r="G472" s="100" t="n"/>
    </row>
    <row r="473" ht="16" customHeight="1">
      <c r="A473" s="98" t="n">
        <v>27454</v>
      </c>
      <c r="B473" s="98" t="inlineStr">
        <is>
          <t>CINERATOR HOT CINNAMON FLAVORED WHISKEY</t>
        </is>
      </c>
      <c r="C473" s="97">
        <f>VLOOKUP(A473,SizeData!A$2:B$3839,2,FALSE)</f>
        <v/>
      </c>
      <c r="D473" s="98" t="n">
        <v>1</v>
      </c>
      <c r="E473" s="98" t="inlineStr">
        <is>
          <t>R1943057</t>
        </is>
      </c>
      <c r="F473" s="99" t="n">
        <v>44945</v>
      </c>
      <c r="G473" s="100" t="n"/>
    </row>
    <row r="474" ht="16" customHeight="1">
      <c r="A474" s="98" t="n">
        <v>64510</v>
      </c>
      <c r="B474" s="98" t="inlineStr">
        <is>
          <t>CIROC APPLE FLAVORED VODKA SPECIALTY</t>
        </is>
      </c>
      <c r="C474" s="97">
        <f>VLOOKUP(A474,SizeData!A$2:B$3839,2,FALSE)</f>
        <v/>
      </c>
      <c r="D474" s="98" t="n">
        <v>1</v>
      </c>
      <c r="E474" s="98" t="inlineStr">
        <is>
          <t>R1939205</t>
        </is>
      </c>
      <c r="F474" s="99" t="n">
        <v>44940</v>
      </c>
      <c r="G474" s="100" t="n"/>
    </row>
    <row r="475" ht="16" customHeight="1">
      <c r="A475" s="98" t="n">
        <v>64511</v>
      </c>
      <c r="B475" s="98" t="inlineStr">
        <is>
          <t>CIROC APPLE FLAVORED VODKA SPECIALTY</t>
        </is>
      </c>
      <c r="C475" s="97">
        <f>VLOOKUP(A475,SizeData!A$2:B$3839,2,FALSE)</f>
        <v/>
      </c>
      <c r="D475" s="98" t="n">
        <v>1</v>
      </c>
      <c r="E475" s="98" t="inlineStr">
        <is>
          <t>R1960169</t>
        </is>
      </c>
      <c r="F475" s="99" t="n">
        <v>44951</v>
      </c>
      <c r="G475" s="100" t="n"/>
    </row>
    <row r="476" ht="16" customHeight="1">
      <c r="A476" s="98" t="n">
        <v>64511</v>
      </c>
      <c r="B476" s="98" t="inlineStr">
        <is>
          <t>CIROC APPLE FLAVORED VODKA SPECIALTY</t>
        </is>
      </c>
      <c r="C476" s="97">
        <f>VLOOKUP(A476,SizeData!A$2:B$3839,2,FALSE)</f>
        <v/>
      </c>
      <c r="D476" s="98" t="n">
        <v>3</v>
      </c>
      <c r="E476" s="98" t="inlineStr">
        <is>
          <t>R1985947</t>
        </is>
      </c>
      <c r="F476" s="99" t="n">
        <v>44971</v>
      </c>
      <c r="G476" s="100" t="n"/>
    </row>
    <row r="477" ht="16" customHeight="1">
      <c r="A477" s="98" t="n">
        <v>10790</v>
      </c>
      <c r="B477" s="98" t="inlineStr">
        <is>
          <t>CROWN ROYAL VANILLA FLAVORED WHISKEY</t>
        </is>
      </c>
      <c r="C477" s="97">
        <f>VLOOKUP(A477,SizeData!A$2:B$3839,2,FALSE)</f>
        <v/>
      </c>
      <c r="D477" s="98" t="n">
        <v>1</v>
      </c>
      <c r="E477" s="98" t="inlineStr">
        <is>
          <t>R1913611</t>
        </is>
      </c>
      <c r="F477" s="99" t="n">
        <v>44914</v>
      </c>
      <c r="G477" s="100" t="n"/>
    </row>
    <row r="478" ht="16" customHeight="1">
      <c r="A478" s="98" t="n">
        <v>64511</v>
      </c>
      <c r="B478" s="98" t="inlineStr">
        <is>
          <t>CIROC APPLE FLAVORED VODKA SPECIALTY</t>
        </is>
      </c>
      <c r="C478" s="97">
        <f>VLOOKUP(A478,SizeData!A$2:B$3839,2,FALSE)</f>
        <v/>
      </c>
      <c r="D478" s="98" t="n">
        <v>3</v>
      </c>
      <c r="E478" s="98" t="inlineStr">
        <is>
          <t>R1973788</t>
        </is>
      </c>
      <c r="F478" s="99" t="n">
        <v>44972</v>
      </c>
      <c r="G478" s="100" t="n"/>
    </row>
    <row r="479" ht="16" customHeight="1">
      <c r="A479" s="98" t="n">
        <v>64514</v>
      </c>
      <c r="B479" s="98" t="inlineStr">
        <is>
          <t>CIROC APPLE FLAVORED VODKA SPECIALTY</t>
        </is>
      </c>
      <c r="C479" s="97">
        <f>VLOOKUP(A479,SizeData!A$2:B$3839,2,FALSE)</f>
        <v/>
      </c>
      <c r="D479" s="98" t="n">
        <v>1</v>
      </c>
      <c r="E479" s="98" t="inlineStr">
        <is>
          <t>R1994703</t>
        </is>
      </c>
      <c r="F479" s="99" t="n">
        <v>44984</v>
      </c>
      <c r="G479" s="100" t="n"/>
    </row>
    <row r="480" ht="16" customHeight="1">
      <c r="A480" s="98" t="n">
        <v>64512</v>
      </c>
      <c r="B480" s="98" t="inlineStr">
        <is>
          <t>CIROC APPLE FLAVORED VODKA SPECIALTY</t>
        </is>
      </c>
      <c r="C480" s="97">
        <f>VLOOKUP(A480,SizeData!A$2:B$3839,2,FALSE)</f>
        <v/>
      </c>
      <c r="D480" s="98" t="n">
        <v>1</v>
      </c>
      <c r="E480" s="98" t="inlineStr">
        <is>
          <t>R2050459</t>
        </is>
      </c>
      <c r="F480" s="99" t="n">
        <v>45019</v>
      </c>
      <c r="G480" s="100" t="n"/>
    </row>
    <row r="481" ht="16" customHeight="1">
      <c r="A481" s="98" t="n">
        <v>10791</v>
      </c>
      <c r="B481" s="98" t="inlineStr">
        <is>
          <t>CROWN ROYAL VANILLA FLAVORED WHISKEY</t>
        </is>
      </c>
      <c r="C481" s="97">
        <f>VLOOKUP(A481,SizeData!A$2:B$3839,2,FALSE)</f>
        <v/>
      </c>
      <c r="D481" s="98" t="n">
        <v>3</v>
      </c>
      <c r="E481" s="98" t="inlineStr">
        <is>
          <t>R1901273</t>
        </is>
      </c>
      <c r="F481" s="99" t="n">
        <v>44911</v>
      </c>
      <c r="G481" s="100" t="n"/>
    </row>
    <row r="482" ht="16" customHeight="1">
      <c r="A482" s="98" t="n">
        <v>10791</v>
      </c>
      <c r="B482" s="98" t="inlineStr">
        <is>
          <t>CROWN ROYAL VANILLA FLAVORED WHISKEY</t>
        </is>
      </c>
      <c r="C482" s="97">
        <f>VLOOKUP(A482,SizeData!A$2:B$3839,2,FALSE)</f>
        <v/>
      </c>
      <c r="D482" s="98" t="n">
        <v>2</v>
      </c>
      <c r="E482" s="98" t="inlineStr">
        <is>
          <t>R1903667</t>
        </is>
      </c>
      <c r="F482" s="99" t="n">
        <v>44915</v>
      </c>
      <c r="G482" s="100" t="n"/>
    </row>
    <row r="483" ht="16" customHeight="1">
      <c r="A483" s="98" t="n">
        <v>64741</v>
      </c>
      <c r="B483" s="98" t="inlineStr">
        <is>
          <t>CIROC COCONUT FLAVORED VODKA SPECIALTY</t>
        </is>
      </c>
      <c r="C483" s="97">
        <f>VLOOKUP(A483,SizeData!A$2:B$3839,2,FALSE)</f>
        <v/>
      </c>
      <c r="D483" s="98" t="n">
        <v>1</v>
      </c>
      <c r="E483" s="98" t="inlineStr">
        <is>
          <t>R1960169</t>
        </is>
      </c>
      <c r="F483" s="99" t="n">
        <v>44951</v>
      </c>
      <c r="G483" s="100" t="n"/>
    </row>
    <row r="484" ht="16" customHeight="1">
      <c r="A484" s="98" t="n">
        <v>64741</v>
      </c>
      <c r="B484" s="98" t="inlineStr">
        <is>
          <t>CIROC COCONUT FLAVORED VODKA SPECIALTY</t>
        </is>
      </c>
      <c r="C484" s="97">
        <f>VLOOKUP(A484,SizeData!A$2:B$3839,2,FALSE)</f>
        <v/>
      </c>
      <c r="D484" s="98" t="n">
        <v>1</v>
      </c>
      <c r="E484" s="98" t="inlineStr">
        <is>
          <t>R1995808</t>
        </is>
      </c>
      <c r="F484" s="99" t="n">
        <v>44972</v>
      </c>
      <c r="G484" s="100" t="n"/>
    </row>
    <row r="485" ht="16" customHeight="1">
      <c r="A485" s="98" t="n">
        <v>64750</v>
      </c>
      <c r="B485" s="98" t="inlineStr">
        <is>
          <t>CIROC COCONUT FLAVORED VODKA SPECIALTY</t>
        </is>
      </c>
      <c r="C485" s="97">
        <f>VLOOKUP(A485,SizeData!A$2:B$3839,2,FALSE)</f>
        <v/>
      </c>
      <c r="D485" s="98" t="n">
        <v>1</v>
      </c>
      <c r="E485" s="98" t="inlineStr">
        <is>
          <t>R2053884</t>
        </is>
      </c>
      <c r="F485" s="99" t="n">
        <v>45031</v>
      </c>
      <c r="G485" s="100" t="n"/>
    </row>
    <row r="486" ht="16" customHeight="1">
      <c r="A486" s="98" t="n">
        <v>10805</v>
      </c>
      <c r="B486" s="98" t="inlineStr">
        <is>
          <t>CROWN ROYAL REGAL APPLE FLAVORED WHISKEY</t>
        </is>
      </c>
      <c r="C486" s="97">
        <f>VLOOKUP(A486,SizeData!A$2:B$3839,2,FALSE)</f>
        <v/>
      </c>
      <c r="D486" s="98" t="n">
        <v>2</v>
      </c>
      <c r="E486" s="98" t="inlineStr">
        <is>
          <t>R1901365</t>
        </is>
      </c>
      <c r="F486" s="99" t="n">
        <v>44905</v>
      </c>
      <c r="G486" s="100" t="n"/>
    </row>
    <row r="487" ht="16" customHeight="1">
      <c r="A487" s="98" t="n">
        <v>10805</v>
      </c>
      <c r="B487" s="98" t="inlineStr">
        <is>
          <t>CROWN ROYAL REGAL APPLE FLAVORED WHISKEY</t>
        </is>
      </c>
      <c r="C487" s="97">
        <f>VLOOKUP(A487,SizeData!A$2:B$3839,2,FALSE)</f>
        <v/>
      </c>
      <c r="D487" s="98" t="n">
        <v>2</v>
      </c>
      <c r="E487" s="98" t="inlineStr">
        <is>
          <t>R1913611</t>
        </is>
      </c>
      <c r="F487" s="99" t="n">
        <v>44914</v>
      </c>
      <c r="G487" s="100" t="n"/>
    </row>
    <row r="488" ht="16" customHeight="1">
      <c r="A488" s="98" t="n">
        <v>64334</v>
      </c>
      <c r="B488" s="98" t="inlineStr">
        <is>
          <t>CIROC HONEY MELON</t>
        </is>
      </c>
      <c r="C488" s="97">
        <f>VLOOKUP(A488,SizeData!A$2:B$3839,2,FALSE)</f>
        <v/>
      </c>
      <c r="D488" s="98" t="n">
        <v>15</v>
      </c>
      <c r="E488" s="98" t="inlineStr">
        <is>
          <t>R2008597</t>
        </is>
      </c>
      <c r="F488" s="99" t="n">
        <v>44998</v>
      </c>
      <c r="G488" s="100" t="n"/>
    </row>
    <row r="489" ht="16" customHeight="1">
      <c r="A489" s="112" t="n">
        <v>64334</v>
      </c>
      <c r="B489" s="112" t="inlineStr">
        <is>
          <t>CIROC HONEY MELON</t>
        </is>
      </c>
      <c r="C489" s="113">
        <f>VLOOKUP(A489,SizeData!A$2:B$3839,2,FALSE)</f>
        <v/>
      </c>
      <c r="D489" s="112" t="n">
        <v>8</v>
      </c>
      <c r="E489" s="112" t="inlineStr">
        <is>
          <t>R2036013</t>
        </is>
      </c>
      <c r="F489" s="114" t="n">
        <v>45005</v>
      </c>
      <c r="G489" s="115" t="n"/>
    </row>
    <row r="490" ht="16" customHeight="1">
      <c r="A490" s="98" t="n">
        <v>64913</v>
      </c>
      <c r="B490" s="98" t="inlineStr">
        <is>
          <t>CIROC MANGO FLAVORED VODKA SPECIALTY</t>
        </is>
      </c>
      <c r="C490" s="97">
        <f>VLOOKUP(A490,SizeData!A$2:B$3839,2,FALSE)</f>
        <v/>
      </c>
      <c r="D490" s="98" t="n">
        <v>3</v>
      </c>
      <c r="E490" s="98" t="inlineStr">
        <is>
          <t>R2010122</t>
        </is>
      </c>
      <c r="F490" s="99" t="n">
        <v>44981</v>
      </c>
      <c r="G490" s="100" t="n"/>
    </row>
    <row r="491" ht="16" customHeight="1">
      <c r="A491" s="98" t="n">
        <v>64348</v>
      </c>
      <c r="B491" s="98" t="inlineStr">
        <is>
          <t>CIROC PASSION</t>
        </is>
      </c>
      <c r="C491" s="97">
        <f>VLOOKUP(A491,SizeData!A$2:B$3839,2,FALSE)</f>
        <v/>
      </c>
      <c r="D491" s="98" t="n">
        <v>1</v>
      </c>
      <c r="E491" s="98" t="inlineStr">
        <is>
          <t>R2009092</t>
        </is>
      </c>
      <c r="F491" s="99" t="n">
        <v>45001</v>
      </c>
      <c r="G491" s="100" t="n"/>
    </row>
    <row r="492" ht="16" customHeight="1">
      <c r="A492" s="98" t="n">
        <v>64348</v>
      </c>
      <c r="B492" s="98" t="inlineStr">
        <is>
          <t>CIROC PASSION</t>
        </is>
      </c>
      <c r="C492" s="97">
        <f>VLOOKUP(A492,SizeData!A$2:B$3839,2,FALSE)</f>
        <v/>
      </c>
      <c r="D492" s="98" t="n">
        <v>1</v>
      </c>
      <c r="E492" s="98" t="inlineStr">
        <is>
          <t>R2028888</t>
        </is>
      </c>
      <c r="F492" s="99" t="n">
        <v>45015</v>
      </c>
      <c r="G492" s="100" t="n"/>
    </row>
    <row r="493" ht="16" customHeight="1">
      <c r="A493" s="98" t="n">
        <v>64711</v>
      </c>
      <c r="B493" s="98" t="inlineStr">
        <is>
          <t>CIROC PEACH FLAVORED VODKA SPECIALTY</t>
        </is>
      </c>
      <c r="C493" s="97">
        <f>VLOOKUP(A493,SizeData!A$2:B$3839,2,FALSE)</f>
        <v/>
      </c>
      <c r="D493" s="98" t="n">
        <v>2</v>
      </c>
      <c r="E493" s="98" t="inlineStr">
        <is>
          <t>R1926599</t>
        </is>
      </c>
      <c r="F493" s="99" t="n">
        <v>44933</v>
      </c>
      <c r="G493" s="100" t="n"/>
    </row>
    <row r="494" ht="16" customHeight="1">
      <c r="A494" s="98" t="n">
        <v>64714</v>
      </c>
      <c r="B494" s="98" t="inlineStr">
        <is>
          <t>CIROC PEACH FLAVORED VODKA SPECIALTY</t>
        </is>
      </c>
      <c r="C494" s="97">
        <f>VLOOKUP(A494,SizeData!A$2:B$3839,2,FALSE)</f>
        <v/>
      </c>
      <c r="D494" s="98" t="n">
        <v>1</v>
      </c>
      <c r="E494" s="98" t="inlineStr">
        <is>
          <t>R1933022</t>
        </is>
      </c>
      <c r="F494" s="99" t="n">
        <v>44942</v>
      </c>
      <c r="G494" s="100" t="n"/>
    </row>
    <row r="495" ht="16" customHeight="1">
      <c r="A495" s="98" t="n">
        <v>10807</v>
      </c>
      <c r="B495" s="98" t="inlineStr">
        <is>
          <t>CROWN ROYAL REGAL APPLE FLAVORED WHISKEY</t>
        </is>
      </c>
      <c r="C495" s="97">
        <f>VLOOKUP(A495,SizeData!A$2:B$3839,2,FALSE)</f>
        <v/>
      </c>
      <c r="D495" s="98" t="n">
        <v>7</v>
      </c>
      <c r="E495" s="98" t="inlineStr">
        <is>
          <t>R1901273</t>
        </is>
      </c>
      <c r="F495" s="99" t="n">
        <v>44911</v>
      </c>
      <c r="G495" s="100" t="n"/>
    </row>
    <row r="496" ht="16" customHeight="1">
      <c r="A496" s="98" t="n">
        <v>10807</v>
      </c>
      <c r="B496" s="98" t="inlineStr">
        <is>
          <t>CROWN ROYAL REGAL APPLE FLAVORED WHISKEY</t>
        </is>
      </c>
      <c r="C496" s="97">
        <f>VLOOKUP(A496,SizeData!A$2:B$3839,2,FALSE)</f>
        <v/>
      </c>
      <c r="D496" s="98" t="n">
        <v>7</v>
      </c>
      <c r="E496" s="98" t="inlineStr">
        <is>
          <t>R1903667</t>
        </is>
      </c>
      <c r="F496" s="99" t="n">
        <v>44915</v>
      </c>
      <c r="G496" s="100" t="n"/>
    </row>
    <row r="497" ht="16" customHeight="1">
      <c r="A497" s="98" t="n">
        <v>10808</v>
      </c>
      <c r="B497" s="98" t="inlineStr">
        <is>
          <t>CROWN ROYAL REGAL APPLE FLAVORED WHISKEY</t>
        </is>
      </c>
      <c r="C497" s="97">
        <f>VLOOKUP(A497,SizeData!A$2:B$3839,2,FALSE)</f>
        <v/>
      </c>
      <c r="D497" s="98" t="n">
        <v>1</v>
      </c>
      <c r="E497" s="98" t="inlineStr">
        <is>
          <t>R1904253</t>
        </is>
      </c>
      <c r="F497" s="99" t="n">
        <v>44915</v>
      </c>
      <c r="G497" s="100" t="n"/>
    </row>
    <row r="498" ht="16" customHeight="1">
      <c r="A498" s="98" t="n">
        <v>64711</v>
      </c>
      <c r="B498" s="98" t="inlineStr">
        <is>
          <t>CIROC PEACH FLAVORED VODKA SPECIALTY</t>
        </is>
      </c>
      <c r="C498" s="97">
        <f>VLOOKUP(A498,SizeData!A$2:B$3839,2,FALSE)</f>
        <v/>
      </c>
      <c r="D498" s="98" t="n">
        <v>1</v>
      </c>
      <c r="E498" s="98" t="inlineStr">
        <is>
          <t>R1960169</t>
        </is>
      </c>
      <c r="F498" s="99" t="n">
        <v>44951</v>
      </c>
      <c r="G498" s="100" t="n"/>
    </row>
    <row r="499" ht="16" customHeight="1">
      <c r="A499" s="98" t="n">
        <v>10834</v>
      </c>
      <c r="B499" s="98" t="inlineStr">
        <is>
          <t>CROWN ROYAL BLACK</t>
        </is>
      </c>
      <c r="C499" s="97">
        <f>VLOOKUP(A499,SizeData!A$2:B$3839,2,FALSE)</f>
        <v/>
      </c>
      <c r="D499" s="98" t="n">
        <v>4</v>
      </c>
      <c r="E499" s="98" t="inlineStr">
        <is>
          <t>R1916025</t>
        </is>
      </c>
      <c r="F499" s="99" t="n">
        <v>44914</v>
      </c>
      <c r="G499" s="100" t="n"/>
    </row>
    <row r="500" ht="16" customHeight="1">
      <c r="A500" s="98" t="n">
        <v>10836</v>
      </c>
      <c r="B500" s="98" t="inlineStr">
        <is>
          <t>CROWN ROYAL BLACK</t>
        </is>
      </c>
      <c r="C500" s="97">
        <f>VLOOKUP(A500,SizeData!A$2:B$3839,2,FALSE)</f>
        <v/>
      </c>
      <c r="D500" s="98" t="n">
        <v>2</v>
      </c>
      <c r="E500" s="98" t="inlineStr">
        <is>
          <t>R1904253</t>
        </is>
      </c>
      <c r="F500" s="99" t="n">
        <v>44915</v>
      </c>
      <c r="G500" s="100" t="n"/>
    </row>
    <row r="501" ht="16" customHeight="1">
      <c r="A501" s="98" t="n">
        <v>64711</v>
      </c>
      <c r="B501" s="98" t="inlineStr">
        <is>
          <t>CIROC PEACH FLAVORED VODKA SPECIALTY</t>
        </is>
      </c>
      <c r="C501" s="97">
        <f>VLOOKUP(A501,SizeData!A$2:B$3839,2,FALSE)</f>
        <v/>
      </c>
      <c r="D501" s="98" t="n">
        <v>3</v>
      </c>
      <c r="E501" s="98" t="inlineStr">
        <is>
          <t>R1995710</t>
        </is>
      </c>
      <c r="F501" s="99" t="n">
        <v>44970</v>
      </c>
      <c r="G501" s="100" t="n"/>
    </row>
    <row r="502" ht="16" customHeight="1">
      <c r="A502" s="98" t="n">
        <v>64714</v>
      </c>
      <c r="B502" s="98" t="inlineStr">
        <is>
          <t>CIROC PEACH FLAVORED VODKA SPECIALTY</t>
        </is>
      </c>
      <c r="C502" s="97">
        <f>VLOOKUP(A502,SizeData!A$2:B$3839,2,FALSE)</f>
        <v/>
      </c>
      <c r="D502" s="98" t="n">
        <v>1</v>
      </c>
      <c r="E502" s="98" t="inlineStr">
        <is>
          <t>R2023718</t>
        </is>
      </c>
      <c r="F502" s="99" t="n">
        <v>45003</v>
      </c>
      <c r="G502" s="100" t="n"/>
    </row>
    <row r="503" ht="16" customHeight="1">
      <c r="A503" s="98" t="n">
        <v>11294</v>
      </c>
      <c r="B503" s="98" t="inlineStr">
        <is>
          <t>CROWN ROYAL</t>
        </is>
      </c>
      <c r="C503" s="97">
        <f>VLOOKUP(A503,SizeData!A$2:B$3839,2,FALSE)</f>
        <v/>
      </c>
      <c r="D503" s="98" t="n">
        <v>5</v>
      </c>
      <c r="E503" s="98" t="inlineStr">
        <is>
          <t>R1916440</t>
        </is>
      </c>
      <c r="F503" s="99" t="n">
        <v>44916</v>
      </c>
      <c r="G503" s="100" t="n"/>
    </row>
    <row r="504" ht="16" customHeight="1">
      <c r="A504" s="98" t="n">
        <v>64711</v>
      </c>
      <c r="B504" s="98" t="inlineStr">
        <is>
          <t>CIROC PEACH FLAVORED VODKA SPECIALTY</t>
        </is>
      </c>
      <c r="C504" s="97">
        <f>VLOOKUP(A504,SizeData!A$2:B$3839,2,FALSE)</f>
        <v/>
      </c>
      <c r="D504" s="98" t="n">
        <v>1</v>
      </c>
      <c r="E504" s="98" t="inlineStr">
        <is>
          <t>R2028888</t>
        </is>
      </c>
      <c r="F504" s="99" t="n">
        <v>45015</v>
      </c>
      <c r="G504" s="100" t="n"/>
    </row>
    <row r="505" ht="16" customHeight="1">
      <c r="A505" s="98" t="n">
        <v>64716</v>
      </c>
      <c r="B505" s="98" t="inlineStr">
        <is>
          <t>CIROC PEACH FLAVORED VODKA SPECIALTY</t>
        </is>
      </c>
      <c r="C505" s="97">
        <f>VLOOKUP(A505,SizeData!A$2:B$3839,2,FALSE)</f>
        <v/>
      </c>
      <c r="D505" s="98" t="n">
        <v>1</v>
      </c>
      <c r="E505" s="98" t="inlineStr">
        <is>
          <t>R2065393</t>
        </is>
      </c>
      <c r="F505" s="99" t="n">
        <v>45031</v>
      </c>
      <c r="G505" s="100" t="n"/>
    </row>
    <row r="506" ht="16" customHeight="1">
      <c r="A506" s="98" t="n">
        <v>64716</v>
      </c>
      <c r="B506" s="98" t="inlineStr">
        <is>
          <t>CIROC PEACH FLAVORED VODKA SPECIALTY</t>
        </is>
      </c>
      <c r="C506" s="97">
        <f>VLOOKUP(A506,SizeData!A$2:B$3839,2,FALSE)</f>
        <v/>
      </c>
      <c r="D506" s="98" t="n">
        <v>1</v>
      </c>
      <c r="E506" s="98" t="inlineStr">
        <is>
          <t>R2083415</t>
        </is>
      </c>
      <c r="F506" s="99" t="n">
        <v>45048</v>
      </c>
      <c r="G506" s="100" t="n"/>
    </row>
    <row r="507" ht="16" customHeight="1">
      <c r="A507" s="98" t="n">
        <v>64571</v>
      </c>
      <c r="B507" s="98" t="inlineStr">
        <is>
          <t>CIROC PINEAPPLE FLAVORED VODKA SPECIALTY</t>
        </is>
      </c>
      <c r="C507" s="97">
        <f>VLOOKUP(A507,SizeData!A$2:B$3839,2,FALSE)</f>
        <v/>
      </c>
      <c r="D507" s="98" t="n">
        <v>1</v>
      </c>
      <c r="E507" s="98" t="inlineStr">
        <is>
          <t>R1939205</t>
        </is>
      </c>
      <c r="F507" s="99" t="n">
        <v>44940</v>
      </c>
      <c r="G507" s="100" t="n"/>
    </row>
    <row r="508" ht="16" customHeight="1">
      <c r="A508" s="98" t="n">
        <v>64575</v>
      </c>
      <c r="B508" s="98" t="inlineStr">
        <is>
          <t>CIROC PINEAPPLE FLAVORED VODKA SPECIALTY</t>
        </is>
      </c>
      <c r="C508" s="97">
        <f>VLOOKUP(A508,SizeData!A$2:B$3839,2,FALSE)</f>
        <v/>
      </c>
      <c r="D508" s="98" t="n">
        <v>1</v>
      </c>
      <c r="E508" s="98" t="inlineStr">
        <is>
          <t>R2027408</t>
        </is>
      </c>
      <c r="F508" s="99" t="n">
        <v>45003</v>
      </c>
      <c r="G508" s="100" t="n"/>
    </row>
    <row r="509" ht="16" customHeight="1">
      <c r="A509" s="98" t="n">
        <v>64575</v>
      </c>
      <c r="B509" s="98" t="inlineStr">
        <is>
          <t>CIROC PINEAPPLE FLAVORED VODKA SPECIALTY</t>
        </is>
      </c>
      <c r="C509" s="97">
        <f>VLOOKUP(A509,SizeData!A$2:B$3839,2,FALSE)</f>
        <v/>
      </c>
      <c r="D509" s="98" t="n">
        <v>1</v>
      </c>
      <c r="E509" s="98" t="inlineStr">
        <is>
          <t>R2027408</t>
        </is>
      </c>
      <c r="F509" s="99" t="n">
        <v>45003</v>
      </c>
      <c r="G509" s="100" t="n"/>
    </row>
    <row r="510" ht="16" customHeight="1">
      <c r="A510" s="101" t="n">
        <v>64575</v>
      </c>
      <c r="B510" s="101" t="inlineStr">
        <is>
          <t>CIROC PINEAPPLE FLAVORED VODKA SPECIALTY</t>
        </is>
      </c>
      <c r="C510" s="102">
        <f>VLOOKUP(A510,SizeData!A$2:B$3839,2,FALSE)</f>
        <v/>
      </c>
      <c r="D510" s="101" t="n">
        <v>1</v>
      </c>
      <c r="E510" s="101" t="inlineStr">
        <is>
          <t>R2028888</t>
        </is>
      </c>
      <c r="F510" s="103" t="n">
        <v>45015</v>
      </c>
      <c r="G510" s="104" t="n"/>
    </row>
    <row r="511" ht="16" customHeight="1">
      <c r="A511" s="98" t="n">
        <v>64573</v>
      </c>
      <c r="B511" s="98" t="inlineStr">
        <is>
          <t>CIROC PINEAPPLE FLAVORED VODKA SPECIALTY</t>
        </is>
      </c>
      <c r="C511" s="97">
        <f>VLOOKUP(A511,SizeData!A$2:B$3839,2,FALSE)</f>
        <v/>
      </c>
      <c r="D511" s="98" t="n">
        <v>1</v>
      </c>
      <c r="E511" s="98" t="inlineStr">
        <is>
          <t>R2065393</t>
        </is>
      </c>
      <c r="F511" s="99" t="n">
        <v>45031</v>
      </c>
      <c r="G511" s="100" t="n"/>
    </row>
    <row r="512" ht="16" customHeight="1">
      <c r="A512" s="98" t="n">
        <v>64573</v>
      </c>
      <c r="B512" s="98" t="inlineStr">
        <is>
          <t>CIROC PINEAPPLE FLAVORED VODKA SPECIALTY</t>
        </is>
      </c>
      <c r="C512" s="97">
        <f>VLOOKUP(A512,SizeData!A$2:B$3839,2,FALSE)</f>
        <v/>
      </c>
      <c r="D512" s="98" t="n">
        <v>1</v>
      </c>
      <c r="E512" s="98" t="inlineStr">
        <is>
          <t>R2083415</t>
        </is>
      </c>
      <c r="F512" s="99" t="n">
        <v>45048</v>
      </c>
      <c r="G512" s="100" t="n"/>
    </row>
    <row r="513" ht="16" customHeight="1">
      <c r="A513" s="98" t="n">
        <v>64767</v>
      </c>
      <c r="B513" s="98" t="inlineStr">
        <is>
          <t>CIROC RED BERRY FLAVORED VODKA SPECIALTY</t>
        </is>
      </c>
      <c r="C513" s="97">
        <f>VLOOKUP(A513,SizeData!A$2:B$3839,2,FALSE)</f>
        <v/>
      </c>
      <c r="D513" s="98" t="n">
        <v>1</v>
      </c>
      <c r="E513" s="98" t="inlineStr">
        <is>
          <t>R1933022</t>
        </is>
      </c>
      <c r="F513" s="99" t="n">
        <v>44942</v>
      </c>
      <c r="G513" s="100" t="n"/>
    </row>
    <row r="514" ht="16" customHeight="1">
      <c r="A514" s="98" t="n">
        <v>64762</v>
      </c>
      <c r="B514" s="98" t="inlineStr">
        <is>
          <t>CIROC RED BERRY FLAVORED VODKA SPECIALTY</t>
        </is>
      </c>
      <c r="C514" s="97">
        <f>VLOOKUP(A514,SizeData!A$2:B$3839,2,FALSE)</f>
        <v/>
      </c>
      <c r="D514" s="98" t="n">
        <v>2</v>
      </c>
      <c r="E514" s="98" t="inlineStr">
        <is>
          <t>R1960169</t>
        </is>
      </c>
      <c r="F514" s="99" t="n">
        <v>44951</v>
      </c>
      <c r="G514" s="100" t="n"/>
    </row>
    <row r="515" ht="16" customHeight="1">
      <c r="A515" s="98" t="n">
        <v>64759</v>
      </c>
      <c r="B515" s="98" t="inlineStr">
        <is>
          <t>CIROC RED BERRY FLAVORED VODKA SPECIALTY</t>
        </is>
      </c>
      <c r="C515" s="97">
        <f>VLOOKUP(A515,SizeData!A$2:B$3839,2,FALSE)</f>
        <v/>
      </c>
      <c r="D515" s="98" t="n">
        <v>1</v>
      </c>
      <c r="E515" s="98" t="inlineStr">
        <is>
          <t>R1984031</t>
        </is>
      </c>
      <c r="F515" s="99" t="n">
        <v>44980</v>
      </c>
      <c r="G515" s="100" t="n"/>
    </row>
    <row r="516" ht="16" customHeight="1">
      <c r="A516" s="98" t="n">
        <v>11296</v>
      </c>
      <c r="B516" s="98" t="inlineStr">
        <is>
          <t>CROWN ROYAL</t>
        </is>
      </c>
      <c r="C516" s="97">
        <f>VLOOKUP(A516,SizeData!A$2:B$3839,2,FALSE)</f>
        <v/>
      </c>
      <c r="D516" s="98" t="n">
        <v>20</v>
      </c>
      <c r="E516" s="98" t="inlineStr">
        <is>
          <t>R1909531</t>
        </is>
      </c>
      <c r="F516" s="99" t="n">
        <v>44915</v>
      </c>
      <c r="G516" s="100" t="n"/>
    </row>
    <row r="517" ht="16" customHeight="1">
      <c r="A517" s="98" t="n">
        <v>11296</v>
      </c>
      <c r="B517" s="98" t="inlineStr">
        <is>
          <t>CROWN ROYAL</t>
        </is>
      </c>
      <c r="C517" s="97">
        <f>VLOOKUP(A517,SizeData!A$2:B$3839,2,FALSE)</f>
        <v/>
      </c>
      <c r="D517" s="98" t="n">
        <v>10</v>
      </c>
      <c r="E517" s="98" t="inlineStr">
        <is>
          <t>R1917317</t>
        </is>
      </c>
      <c r="F517" s="99" t="n">
        <v>44917</v>
      </c>
      <c r="G517" s="100" t="n"/>
    </row>
    <row r="518" ht="16" customHeight="1">
      <c r="A518" s="98" t="n">
        <v>35648</v>
      </c>
      <c r="B518" s="98" t="inlineStr">
        <is>
          <t>CROWN RUSSE VODKA</t>
        </is>
      </c>
      <c r="C518" s="97">
        <f>VLOOKUP(A518,SizeData!A$2:B$3839,2,FALSE)</f>
        <v/>
      </c>
      <c r="D518" s="98" t="n">
        <v>1</v>
      </c>
      <c r="E518" s="98" t="inlineStr">
        <is>
          <t>R1907823</t>
        </is>
      </c>
      <c r="F518" s="99" t="n">
        <v>44908</v>
      </c>
      <c r="G518" s="100" t="n"/>
    </row>
    <row r="519" ht="16" customHeight="1">
      <c r="A519" s="98" t="n">
        <v>35648</v>
      </c>
      <c r="B519" s="98" t="inlineStr">
        <is>
          <t>CROWN RUSSE VODKA</t>
        </is>
      </c>
      <c r="C519" s="97">
        <f>VLOOKUP(A519,SizeData!A$2:B$3839,2,FALSE)</f>
        <v/>
      </c>
      <c r="D519" s="98" t="n">
        <v>5</v>
      </c>
      <c r="E519" s="98" t="inlineStr">
        <is>
          <t>R1907823</t>
        </is>
      </c>
      <c r="F519" s="99" t="n">
        <v>44908</v>
      </c>
      <c r="G519" s="100" t="n"/>
    </row>
    <row r="520" ht="16" customHeight="1">
      <c r="A520" s="98" t="n">
        <v>64767</v>
      </c>
      <c r="B520" s="98" t="inlineStr">
        <is>
          <t>CIROC RED BERRY FLAVORED VODKA SPECIALTY</t>
        </is>
      </c>
      <c r="C520" s="97">
        <f>VLOOKUP(A520,SizeData!A$2:B$3839,2,FALSE)</f>
        <v/>
      </c>
      <c r="D520" s="98" t="n">
        <v>1</v>
      </c>
      <c r="E520" s="98" t="inlineStr">
        <is>
          <t>R1984031</t>
        </is>
      </c>
      <c r="F520" s="99" t="n">
        <v>44980</v>
      </c>
      <c r="G520" s="100" t="n"/>
    </row>
    <row r="521" ht="16" customHeight="1">
      <c r="A521" s="98" t="n">
        <v>64767</v>
      </c>
      <c r="B521" s="98" t="inlineStr">
        <is>
          <t>CIROC RED BERRY FLAVORED VODKA SPECIALTY</t>
        </is>
      </c>
      <c r="C521" s="97">
        <f>VLOOKUP(A521,SizeData!A$2:B$3839,2,FALSE)</f>
        <v/>
      </c>
      <c r="D521" s="98" t="n">
        <v>1</v>
      </c>
      <c r="E521" s="98" t="inlineStr">
        <is>
          <t>R2049198</t>
        </is>
      </c>
      <c r="F521" s="99" t="n">
        <v>45028</v>
      </c>
      <c r="G521" s="100" t="n"/>
    </row>
    <row r="522" ht="16" customHeight="1">
      <c r="A522" s="98" t="n">
        <v>64762</v>
      </c>
      <c r="B522" s="98" t="inlineStr">
        <is>
          <t>CIROC RED BERRY FLAVORED VODKA SPECIALTY</t>
        </is>
      </c>
      <c r="C522" s="97">
        <f>VLOOKUP(A522,SizeData!A$2:B$3839,2,FALSE)</f>
        <v/>
      </c>
      <c r="D522" s="98" t="n">
        <v>1</v>
      </c>
      <c r="E522" s="98" t="inlineStr">
        <is>
          <t>R2053884</t>
        </is>
      </c>
      <c r="F522" s="99" t="n">
        <v>45031</v>
      </c>
      <c r="G522" s="100" t="n"/>
    </row>
    <row r="523" ht="16" customHeight="1">
      <c r="A523" s="98" t="n">
        <v>64762</v>
      </c>
      <c r="B523" s="98" t="inlineStr">
        <is>
          <t>CIROC RED BERRY FLAVORED VODKA SPECIALTY</t>
        </is>
      </c>
      <c r="C523" s="97">
        <f>VLOOKUP(A523,SizeData!A$2:B$3839,2,FALSE)</f>
        <v/>
      </c>
      <c r="D523" s="98" t="n">
        <v>2</v>
      </c>
      <c r="E523" s="98" t="inlineStr">
        <is>
          <t>R2078241</t>
        </is>
      </c>
      <c r="F523" s="99" t="n">
        <v>45047</v>
      </c>
      <c r="G523" s="100" t="n"/>
    </row>
    <row r="524" ht="16" customHeight="1">
      <c r="A524" s="98" t="n">
        <v>34164</v>
      </c>
      <c r="B524" s="98" t="inlineStr">
        <is>
          <t>CIROC SNAP FROST VODKA</t>
        </is>
      </c>
      <c r="C524" s="97">
        <f>VLOOKUP(A524,SizeData!A$2:B$3839,2,FALSE)</f>
        <v/>
      </c>
      <c r="D524" s="98" t="n">
        <v>1</v>
      </c>
      <c r="E524" s="98" t="inlineStr">
        <is>
          <t>R1939205</t>
        </is>
      </c>
      <c r="F524" s="99" t="n">
        <v>44940</v>
      </c>
      <c r="G524" s="100" t="n"/>
    </row>
    <row r="525" ht="16" customHeight="1">
      <c r="A525" s="98" t="n">
        <v>34197</v>
      </c>
      <c r="B525" s="98" t="inlineStr">
        <is>
          <t>CIROC SNAP FROST VODKA</t>
        </is>
      </c>
      <c r="C525" s="97">
        <f>VLOOKUP(A525,SizeData!A$2:B$3839,2,FALSE)</f>
        <v/>
      </c>
      <c r="D525" s="98" t="n">
        <v>1</v>
      </c>
      <c r="E525" s="98" t="inlineStr">
        <is>
          <t>R1939205</t>
        </is>
      </c>
      <c r="F525" s="99" t="n">
        <v>44940</v>
      </c>
      <c r="G525" s="100" t="n"/>
    </row>
    <row r="526" ht="16" customHeight="1">
      <c r="A526" s="98" t="n">
        <v>34201</v>
      </c>
      <c r="B526" s="98" t="inlineStr">
        <is>
          <t>CIROC SNAP FROST VODKA</t>
        </is>
      </c>
      <c r="C526" s="97">
        <f>VLOOKUP(A526,SizeData!A$2:B$3839,2,FALSE)</f>
        <v/>
      </c>
      <c r="D526" s="98" t="n">
        <v>1</v>
      </c>
      <c r="E526" s="98" t="inlineStr">
        <is>
          <t>R2027408</t>
        </is>
      </c>
      <c r="F526" s="99" t="n">
        <v>45003</v>
      </c>
      <c r="G526" s="100" t="n"/>
    </row>
    <row r="527" ht="16" customHeight="1">
      <c r="A527" s="98" t="n">
        <v>34201</v>
      </c>
      <c r="B527" s="98" t="inlineStr">
        <is>
          <t>CIROC SNAP FROST VODKA</t>
        </is>
      </c>
      <c r="C527" s="97">
        <f>VLOOKUP(A527,SizeData!A$2:B$3839,2,FALSE)</f>
        <v/>
      </c>
      <c r="D527" s="98" t="n">
        <v>1</v>
      </c>
      <c r="E527" s="98" t="inlineStr">
        <is>
          <t>R2027408</t>
        </is>
      </c>
      <c r="F527" s="99" t="n">
        <v>45003</v>
      </c>
      <c r="G527" s="100" t="n"/>
    </row>
    <row r="528" ht="16" customHeight="1">
      <c r="A528" s="98" t="n">
        <v>34201</v>
      </c>
      <c r="B528" s="98" t="inlineStr">
        <is>
          <t>CIROC SNAP FROST VODKA</t>
        </is>
      </c>
      <c r="C528" s="97">
        <f>VLOOKUP(A528,SizeData!A$2:B$3839,2,FALSE)</f>
        <v/>
      </c>
      <c r="D528" s="98" t="n">
        <v>1</v>
      </c>
      <c r="E528" s="98" t="inlineStr">
        <is>
          <t>R2028888</t>
        </is>
      </c>
      <c r="F528" s="99" t="n">
        <v>45015</v>
      </c>
      <c r="G528" s="100" t="n"/>
    </row>
    <row r="529" ht="16" customHeight="1">
      <c r="A529" s="98" t="n">
        <v>34197</v>
      </c>
      <c r="B529" s="98" t="inlineStr">
        <is>
          <t>CIROC SNAP FROST VODKA</t>
        </is>
      </c>
      <c r="C529" s="97">
        <f>VLOOKUP(A529,SizeData!A$2:B$3839,2,FALSE)</f>
        <v/>
      </c>
      <c r="D529" s="98" t="n">
        <v>2</v>
      </c>
      <c r="E529" s="98" t="inlineStr">
        <is>
          <t>R2050459</t>
        </is>
      </c>
      <c r="F529" s="99" t="n">
        <v>45019</v>
      </c>
      <c r="G529" s="100" t="n"/>
    </row>
    <row r="530" ht="16" customHeight="1">
      <c r="A530" s="98" t="n">
        <v>44499</v>
      </c>
      <c r="B530" s="98" t="inlineStr">
        <is>
          <t>CRUZAN MANGO FLAVORED RUM</t>
        </is>
      </c>
      <c r="C530" s="97">
        <f>VLOOKUP(A530,SizeData!A$2:B$3839,2,FALSE)</f>
        <v/>
      </c>
      <c r="D530" s="98" t="n">
        <v>1</v>
      </c>
      <c r="E530" s="98" t="inlineStr">
        <is>
          <t>R1901365</t>
        </is>
      </c>
      <c r="F530" s="99" t="n">
        <v>44905</v>
      </c>
      <c r="G530" s="100" t="n"/>
    </row>
    <row r="531" ht="16" customHeight="1">
      <c r="A531" s="101" t="n">
        <v>36871</v>
      </c>
      <c r="B531" s="101" t="inlineStr">
        <is>
          <t>CIROC SNAP FROST VODKA</t>
        </is>
      </c>
      <c r="C531" s="102">
        <f>VLOOKUP(A531,SizeData!A$2:B$3839,2,FALSE)</f>
        <v/>
      </c>
      <c r="D531" s="101" t="n">
        <v>1</v>
      </c>
      <c r="E531" s="101" t="inlineStr">
        <is>
          <t>R2083415</t>
        </is>
      </c>
      <c r="F531" s="103" t="n">
        <v>45048</v>
      </c>
      <c r="G531" s="104" t="n"/>
    </row>
    <row r="532" ht="16" customHeight="1">
      <c r="A532" s="98" t="n">
        <v>64328</v>
      </c>
      <c r="B532" s="98" t="inlineStr">
        <is>
          <t>CIROC SUMMER WATERMELON FLAVORED VODKA DSS</t>
        </is>
      </c>
      <c r="C532" s="97">
        <f>VLOOKUP(A532,SizeData!A$2:B$3839,2,FALSE)</f>
        <v/>
      </c>
      <c r="D532" s="98" t="n">
        <v>4</v>
      </c>
      <c r="E532" s="98" t="inlineStr">
        <is>
          <t>R1972521</t>
        </is>
      </c>
      <c r="F532" s="99" t="n">
        <v>44964</v>
      </c>
      <c r="G532" s="100" t="n"/>
    </row>
    <row r="533" ht="16" customHeight="1">
      <c r="A533" s="98" t="n">
        <v>51107</v>
      </c>
      <c r="B533" s="98" t="inlineStr">
        <is>
          <t>CIROC VS FRENCH BRANDY</t>
        </is>
      </c>
      <c r="C533" s="97">
        <f>VLOOKUP(A533,SizeData!A$2:B$3839,2,FALSE)</f>
        <v/>
      </c>
      <c r="D533" s="98" t="n">
        <v>1</v>
      </c>
      <c r="E533" s="98" t="inlineStr">
        <is>
          <t>R1926345</t>
        </is>
      </c>
      <c r="F533" s="99" t="n">
        <v>44931</v>
      </c>
      <c r="G533" s="100" t="n"/>
    </row>
    <row r="534" ht="16" customHeight="1">
      <c r="A534" s="98" t="n">
        <v>51109</v>
      </c>
      <c r="B534" s="98" t="inlineStr">
        <is>
          <t>CIROC VS FRENCH BRANDY</t>
        </is>
      </c>
      <c r="C534" s="97">
        <f>VLOOKUP(A534,SizeData!A$2:B$3839,2,FALSE)</f>
        <v/>
      </c>
      <c r="D534" s="98" t="n">
        <v>2</v>
      </c>
      <c r="E534" s="98" t="inlineStr">
        <is>
          <t>R1939504</t>
        </is>
      </c>
      <c r="F534" s="99" t="n">
        <v>44940</v>
      </c>
      <c r="G534" s="100" t="n"/>
    </row>
    <row r="535" ht="16" customHeight="1">
      <c r="A535" s="98" t="n">
        <v>51109</v>
      </c>
      <c r="B535" s="98" t="inlineStr">
        <is>
          <t>CIROC VS FRENCH BRANDY</t>
        </is>
      </c>
      <c r="C535" s="97">
        <f>VLOOKUP(A535,SizeData!A$2:B$3839,2,FALSE)</f>
        <v/>
      </c>
      <c r="D535" s="98" t="n">
        <v>2</v>
      </c>
      <c r="E535" s="98" t="inlineStr">
        <is>
          <t>R1984349</t>
        </is>
      </c>
      <c r="F535" s="99" t="n">
        <v>44982</v>
      </c>
      <c r="G535" s="100" t="n"/>
    </row>
    <row r="536" ht="16" customHeight="1">
      <c r="A536" s="98" t="n">
        <v>51109</v>
      </c>
      <c r="B536" s="98" t="inlineStr">
        <is>
          <t>CIROC VS FRENCH BRANDY</t>
        </is>
      </c>
      <c r="C536" s="97">
        <f>VLOOKUP(A536,SizeData!A$2:B$3839,2,FALSE)</f>
        <v/>
      </c>
      <c r="D536" s="98" t="n">
        <v>2</v>
      </c>
      <c r="E536" s="98" t="inlineStr">
        <is>
          <t>R1992600</t>
        </is>
      </c>
      <c r="F536" s="99" t="n">
        <v>44989</v>
      </c>
      <c r="G536" s="100" t="n"/>
    </row>
    <row r="537" ht="16" customHeight="1">
      <c r="A537" s="98" t="n">
        <v>51107</v>
      </c>
      <c r="B537" s="98" t="inlineStr">
        <is>
          <t>CIROC VS FRENCH BRANDY</t>
        </is>
      </c>
      <c r="C537" s="97">
        <f>VLOOKUP(A537,SizeData!A$2:B$3839,2,FALSE)</f>
        <v/>
      </c>
      <c r="D537" s="98" t="n">
        <v>1</v>
      </c>
      <c r="E537" s="98" t="inlineStr">
        <is>
          <t>R2017941</t>
        </is>
      </c>
      <c r="F537" s="99" t="n">
        <v>44996</v>
      </c>
      <c r="G537" s="100" t="n"/>
    </row>
    <row r="538" ht="16" customHeight="1">
      <c r="A538" s="98" t="n">
        <v>51109</v>
      </c>
      <c r="B538" s="98" t="inlineStr">
        <is>
          <t>CIROC VS FRENCH BRANDY</t>
        </is>
      </c>
      <c r="C538" s="97">
        <f>VLOOKUP(A538,SizeData!A$2:B$3839,2,FALSE)</f>
        <v/>
      </c>
      <c r="D538" s="98" t="n">
        <v>1</v>
      </c>
      <c r="E538" s="98" t="inlineStr">
        <is>
          <t>R2017941</t>
        </is>
      </c>
      <c r="F538" s="99" t="n">
        <v>44996</v>
      </c>
      <c r="G538" s="100" t="n"/>
    </row>
    <row r="539" ht="16" customHeight="1">
      <c r="A539" s="98" t="n">
        <v>51107</v>
      </c>
      <c r="B539" s="98" t="inlineStr">
        <is>
          <t>CIROC VS FRENCH BRANDY</t>
        </is>
      </c>
      <c r="C539" s="97">
        <f>VLOOKUP(A539,SizeData!A$2:B$3839,2,FALSE)</f>
        <v/>
      </c>
      <c r="D539" s="98" t="n">
        <v>1</v>
      </c>
      <c r="E539" s="98" t="inlineStr">
        <is>
          <t>R2065347</t>
        </is>
      </c>
      <c r="F539" s="99" t="n">
        <v>45026</v>
      </c>
      <c r="G539" s="100" t="n"/>
    </row>
    <row r="540" ht="16" customHeight="1">
      <c r="A540" s="98" t="n">
        <v>51109</v>
      </c>
      <c r="B540" s="98" t="inlineStr">
        <is>
          <t>CIROC VS FRENCH BRANDY</t>
        </is>
      </c>
      <c r="C540" s="97">
        <f>VLOOKUP(A540,SizeData!A$2:B$3839,2,FALSE)</f>
        <v/>
      </c>
      <c r="D540" s="98" t="n">
        <v>2</v>
      </c>
      <c r="E540" s="98" t="inlineStr">
        <is>
          <t>R2068837</t>
        </is>
      </c>
      <c r="F540" s="99" t="n">
        <v>45043</v>
      </c>
      <c r="G540" s="100" t="n"/>
    </row>
    <row r="541" ht="16" customHeight="1">
      <c r="A541" s="98" t="n">
        <v>6998</v>
      </c>
      <c r="B541" s="98" t="inlineStr">
        <is>
          <t>CLAN MCGREGOR</t>
        </is>
      </c>
      <c r="C541" s="97">
        <f>VLOOKUP(A541,SizeData!A$2:B$3839,2,FALSE)</f>
        <v/>
      </c>
      <c r="D541" s="98" t="n">
        <v>2</v>
      </c>
      <c r="E541" s="98" t="inlineStr">
        <is>
          <t>R1926599</t>
        </is>
      </c>
      <c r="F541" s="99" t="n">
        <v>44933</v>
      </c>
      <c r="G541" s="100" t="n"/>
    </row>
    <row r="542" ht="16" customHeight="1">
      <c r="A542" s="98" t="n">
        <v>47766</v>
      </c>
      <c r="B542" s="98" t="inlineStr">
        <is>
          <t>CONJURE COGNAC</t>
        </is>
      </c>
      <c r="C542" s="97">
        <f>VLOOKUP(A542,SizeData!A$2:B$3839,2,FALSE)</f>
        <v/>
      </c>
      <c r="D542" s="98" t="n">
        <v>1</v>
      </c>
      <c r="E542" s="98" t="inlineStr">
        <is>
          <t>R2057184</t>
        </is>
      </c>
      <c r="F542" s="99" t="n">
        <v>45034</v>
      </c>
      <c r="G542" s="100" t="n"/>
    </row>
    <row r="543" ht="16" customHeight="1">
      <c r="A543" s="98" t="n">
        <v>458530</v>
      </c>
      <c r="B543" s="98" t="inlineStr">
        <is>
          <t>CONUNDRUM RED BLEND</t>
        </is>
      </c>
      <c r="C543" s="97">
        <f>VLOOKUP(A543,SizeData!A$2:B$3839,2,FALSE)</f>
        <v/>
      </c>
      <c r="D543" s="98" t="n">
        <v>1</v>
      </c>
      <c r="E543" s="98" t="inlineStr">
        <is>
          <t>R1992228</t>
        </is>
      </c>
      <c r="F543" s="99" t="n">
        <v>44978</v>
      </c>
      <c r="G543" s="100" t="n"/>
    </row>
    <row r="544" ht="16" customHeight="1">
      <c r="A544" s="98" t="n">
        <v>744205</v>
      </c>
      <c r="B544" s="98" t="inlineStr">
        <is>
          <t>COOK'S BRUT CHAMPAGNE</t>
        </is>
      </c>
      <c r="C544" s="97">
        <f>VLOOKUP(A544,SizeData!A$2:B$3839,2,FALSE)</f>
        <v/>
      </c>
      <c r="D544" s="98" t="n">
        <v>3</v>
      </c>
      <c r="E544" s="98" t="inlineStr">
        <is>
          <t>R1972222</t>
        </is>
      </c>
      <c r="F544" s="99" t="n">
        <v>44963</v>
      </c>
      <c r="G544" s="100" t="n"/>
    </row>
    <row r="545" ht="16" customHeight="1">
      <c r="A545" s="98" t="n">
        <v>744200</v>
      </c>
      <c r="B545" s="98" t="inlineStr">
        <is>
          <t>COOK'S BRUT CHAMPAGNE</t>
        </is>
      </c>
      <c r="C545" s="97">
        <f>VLOOKUP(A545,SizeData!A$2:B$3839,2,FALSE)</f>
        <v/>
      </c>
      <c r="D545" s="98" t="n">
        <v>2</v>
      </c>
      <c r="E545" s="98" t="inlineStr">
        <is>
          <t>R1980359</t>
        </is>
      </c>
      <c r="F545" s="99" t="n">
        <v>44965</v>
      </c>
      <c r="G545" s="100" t="n"/>
    </row>
    <row r="546" ht="16" customHeight="1">
      <c r="A546" s="98" t="n">
        <v>744200</v>
      </c>
      <c r="B546" s="98" t="inlineStr">
        <is>
          <t>COOK'S BRUT CHAMPAGNE</t>
        </is>
      </c>
      <c r="C546" s="97">
        <f>VLOOKUP(A546,SizeData!A$2:B$3839,2,FALSE)</f>
        <v/>
      </c>
      <c r="D546" s="98" t="n">
        <v>1</v>
      </c>
      <c r="E546" s="98" t="inlineStr">
        <is>
          <t>R2036702</t>
        </is>
      </c>
      <c r="F546" s="99" t="n">
        <v>45007</v>
      </c>
      <c r="G546" s="100" t="n"/>
    </row>
    <row r="547" ht="16" customHeight="1">
      <c r="A547" s="98" t="n">
        <v>744205</v>
      </c>
      <c r="B547" s="98" t="inlineStr">
        <is>
          <t>COOK'S BRUT CHAMPAGNE</t>
        </is>
      </c>
      <c r="C547" s="97">
        <f>VLOOKUP(A547,SizeData!A$2:B$3839,2,FALSE)</f>
        <v/>
      </c>
      <c r="D547" s="98" t="n">
        <v>2</v>
      </c>
      <c r="E547" s="98" t="inlineStr">
        <is>
          <t>R2049198</t>
        </is>
      </c>
      <c r="F547" s="99" t="n">
        <v>45028</v>
      </c>
      <c r="G547" s="100" t="n"/>
    </row>
    <row r="548" ht="16" customHeight="1">
      <c r="A548" s="101" t="n">
        <v>744200</v>
      </c>
      <c r="B548" s="101" t="inlineStr">
        <is>
          <t>COOK'S BRUT CHAMPAGNE</t>
        </is>
      </c>
      <c r="C548" s="102">
        <f>VLOOKUP(A548,SizeData!A$2:B$3839,2,FALSE)</f>
        <v/>
      </c>
      <c r="D548" s="101" t="n">
        <v>2</v>
      </c>
      <c r="E548" s="101" t="inlineStr">
        <is>
          <t>R2049198</t>
        </is>
      </c>
      <c r="F548" s="103" t="n">
        <v>45028</v>
      </c>
      <c r="G548" s="104" t="n"/>
    </row>
    <row r="549" ht="16" customHeight="1">
      <c r="A549" s="98" t="n">
        <v>744205</v>
      </c>
      <c r="B549" s="98" t="inlineStr">
        <is>
          <t>COOK'S BRUT CHAMPAGNE</t>
        </is>
      </c>
      <c r="C549" s="97">
        <f>VLOOKUP(A549,SizeData!A$2:B$3839,2,FALSE)</f>
        <v/>
      </c>
      <c r="D549" s="98" t="n">
        <v>2</v>
      </c>
      <c r="E549" s="98" t="inlineStr">
        <is>
          <t>R2054650</t>
        </is>
      </c>
      <c r="F549" s="99" t="n">
        <v>45031</v>
      </c>
      <c r="G549" s="100" t="n"/>
    </row>
    <row r="550" ht="16" customHeight="1">
      <c r="A550" s="98" t="n">
        <v>568832</v>
      </c>
      <c r="B550" s="98" t="inlineStr">
        <is>
          <t>COPPERIDGE CHARDONNAY</t>
        </is>
      </c>
      <c r="C550" s="97">
        <f>VLOOKUP(A550,SizeData!A$2:B$3839,2,FALSE)</f>
        <v/>
      </c>
      <c r="D550" s="98" t="n">
        <v>3</v>
      </c>
      <c r="E550" s="98" t="inlineStr">
        <is>
          <t>R1944170</t>
        </is>
      </c>
      <c r="F550" s="99" t="n">
        <v>44947</v>
      </c>
      <c r="G550" s="100" t="n"/>
    </row>
    <row r="551" ht="16" customHeight="1">
      <c r="A551" s="98" t="n">
        <v>568832</v>
      </c>
      <c r="B551" s="98" t="inlineStr">
        <is>
          <t>COPPERIDGE CHARDONNAY</t>
        </is>
      </c>
      <c r="C551" s="97">
        <f>VLOOKUP(A551,SizeData!A$2:B$3839,2,FALSE)</f>
        <v/>
      </c>
      <c r="D551" s="98" t="n">
        <v>3</v>
      </c>
      <c r="E551" s="98" t="inlineStr">
        <is>
          <t>R1947923</t>
        </is>
      </c>
      <c r="F551" s="99" t="n">
        <v>44949</v>
      </c>
      <c r="G551" s="100" t="n"/>
    </row>
    <row r="552" ht="16" customHeight="1">
      <c r="A552" s="98" t="n">
        <v>568832</v>
      </c>
      <c r="B552" s="98" t="inlineStr">
        <is>
          <t>COPPERIDGE CHARDONNAY</t>
        </is>
      </c>
      <c r="C552" s="97">
        <f>VLOOKUP(A552,SizeData!A$2:B$3839,2,FALSE)</f>
        <v/>
      </c>
      <c r="D552" s="98" t="n">
        <v>3</v>
      </c>
      <c r="E552" s="98" t="inlineStr">
        <is>
          <t>R2010980</t>
        </is>
      </c>
      <c r="F552" s="99" t="n">
        <v>44995</v>
      </c>
      <c r="G552" s="100" t="n"/>
    </row>
    <row r="553" ht="16" customHeight="1">
      <c r="A553" s="98" t="n">
        <v>568832</v>
      </c>
      <c r="B553" s="98" t="inlineStr">
        <is>
          <t>COPPERIDGE CHARDONNAY</t>
        </is>
      </c>
      <c r="C553" s="97">
        <f>VLOOKUP(A553,SizeData!A$2:B$3839,2,FALSE)</f>
        <v/>
      </c>
      <c r="D553" s="98" t="n">
        <v>2</v>
      </c>
      <c r="E553" s="98" t="inlineStr">
        <is>
          <t>R2032001</t>
        </is>
      </c>
      <c r="F553" s="99" t="n">
        <v>45000</v>
      </c>
      <c r="G553" s="100" t="n"/>
    </row>
    <row r="554" ht="16" customHeight="1">
      <c r="A554" s="98" t="n">
        <v>568832</v>
      </c>
      <c r="B554" s="98" t="inlineStr">
        <is>
          <t>COPPERIDGE CHARDONNAY</t>
        </is>
      </c>
      <c r="C554" s="97">
        <f>VLOOKUP(A554,SizeData!A$2:B$3839,2,FALSE)</f>
        <v/>
      </c>
      <c r="D554" s="98" t="n">
        <v>2</v>
      </c>
      <c r="E554" s="98" t="inlineStr">
        <is>
          <t>R2065393</t>
        </is>
      </c>
      <c r="F554" s="99" t="n">
        <v>45031</v>
      </c>
      <c r="G554" s="100" t="n"/>
    </row>
    <row r="555" ht="16" customHeight="1">
      <c r="A555" s="98" t="n">
        <v>656402</v>
      </c>
      <c r="B555" s="98" t="inlineStr">
        <is>
          <t>COPPERIDGE WHITE ZINFANDEL</t>
        </is>
      </c>
      <c r="C555" s="97">
        <f>VLOOKUP(A555,SizeData!A$2:B$3839,2,FALSE)</f>
        <v/>
      </c>
      <c r="D555" s="98" t="n">
        <v>1</v>
      </c>
      <c r="E555" s="98" t="inlineStr">
        <is>
          <t>R1986800</t>
        </is>
      </c>
      <c r="F555" s="99" t="n">
        <v>44972</v>
      </c>
      <c r="G555" s="100" t="n"/>
    </row>
    <row r="556" ht="16" customHeight="1">
      <c r="A556" s="98" t="n">
        <v>58838</v>
      </c>
      <c r="B556" s="98" t="inlineStr">
        <is>
          <t>CUERVO LIME MARGARITA / 20PF</t>
        </is>
      </c>
      <c r="C556" s="97">
        <f>VLOOKUP(A556,SizeData!A$2:B$3839,2,FALSE)</f>
        <v/>
      </c>
      <c r="D556" s="98" t="n">
        <v>2</v>
      </c>
      <c r="E556" s="98" t="inlineStr">
        <is>
          <t>R1911923</t>
        </is>
      </c>
      <c r="F556" s="99" t="n">
        <v>44912</v>
      </c>
      <c r="G556" s="100" t="n"/>
    </row>
    <row r="557" ht="16" customHeight="1">
      <c r="A557" s="98" t="n">
        <v>58838</v>
      </c>
      <c r="B557" s="98" t="inlineStr">
        <is>
          <t>CUERVO LIME MARGARITA / 20PF</t>
        </is>
      </c>
      <c r="C557" s="97">
        <f>VLOOKUP(A557,SizeData!A$2:B$3839,2,FALSE)</f>
        <v/>
      </c>
      <c r="D557" s="98" t="n">
        <v>1</v>
      </c>
      <c r="E557" s="98" t="inlineStr">
        <is>
          <t>R1927120</t>
        </is>
      </c>
      <c r="F557" s="99" t="n">
        <v>44924</v>
      </c>
      <c r="G557" s="100" t="n"/>
    </row>
    <row r="558" ht="16" customHeight="1">
      <c r="A558" s="98" t="n">
        <v>656402</v>
      </c>
      <c r="B558" s="98" t="inlineStr">
        <is>
          <t>COPPERIDGE WHITE ZINFANDEL</t>
        </is>
      </c>
      <c r="C558" s="97">
        <f>VLOOKUP(A558,SizeData!A$2:B$3839,2,FALSE)</f>
        <v/>
      </c>
      <c r="D558" s="98" t="n">
        <v>2</v>
      </c>
      <c r="E558" s="98" t="inlineStr">
        <is>
          <t>R1996314</t>
        </is>
      </c>
      <c r="F558" s="99" t="n">
        <v>44979</v>
      </c>
      <c r="G558" s="100" t="n"/>
    </row>
    <row r="559" ht="16" customHeight="1">
      <c r="A559" s="98" t="n">
        <v>47790</v>
      </c>
      <c r="B559" s="98" t="inlineStr">
        <is>
          <t>COURVOISIER V S COGNAC</t>
        </is>
      </c>
      <c r="C559" s="97">
        <f>VLOOKUP(A559,SizeData!A$2:B$3839,2,FALSE)</f>
        <v/>
      </c>
      <c r="D559" s="98" t="n">
        <v>5</v>
      </c>
      <c r="E559" s="98" t="inlineStr">
        <is>
          <t>R1948204</t>
        </is>
      </c>
      <c r="F559" s="99" t="n">
        <v>44945</v>
      </c>
      <c r="G559" s="100" t="n"/>
    </row>
    <row r="560" ht="16" customHeight="1">
      <c r="A560" s="98" t="n">
        <v>58868</v>
      </c>
      <c r="B560" s="98" t="inlineStr">
        <is>
          <t>CUERVO STRAWBERRY MARGARITA / 20PF</t>
        </is>
      </c>
      <c r="C560" s="97">
        <f>VLOOKUP(A560,SizeData!A$2:B$3839,2,FALSE)</f>
        <v/>
      </c>
      <c r="D560" s="98" t="n">
        <v>3</v>
      </c>
      <c r="E560" s="98" t="inlineStr">
        <is>
          <t>R1927120</t>
        </is>
      </c>
      <c r="F560" s="99" t="n">
        <v>44924</v>
      </c>
      <c r="G560" s="100" t="n"/>
    </row>
    <row r="561" ht="16" customHeight="1">
      <c r="A561" s="98" t="n">
        <v>47786</v>
      </c>
      <c r="B561" s="98" t="inlineStr">
        <is>
          <t>COURVOISIER V S COGNAC</t>
        </is>
      </c>
      <c r="C561" s="97">
        <f>VLOOKUP(A561,SizeData!A$2:B$3839,2,FALSE)</f>
        <v/>
      </c>
      <c r="D561" s="98" t="n">
        <v>4</v>
      </c>
      <c r="E561" s="98" t="inlineStr">
        <is>
          <t>R2005976</t>
        </is>
      </c>
      <c r="F561" s="99" t="n">
        <v>44992</v>
      </c>
      <c r="G561" s="100" t="n"/>
    </row>
    <row r="562" ht="16" customHeight="1">
      <c r="A562" s="98" t="n">
        <v>47786</v>
      </c>
      <c r="B562" s="98" t="inlineStr">
        <is>
          <t>COURVOISIER V S COGNAC</t>
        </is>
      </c>
      <c r="C562" s="97">
        <f>VLOOKUP(A562,SizeData!A$2:B$3839,2,FALSE)</f>
        <v/>
      </c>
      <c r="D562" s="98" t="n">
        <v>2</v>
      </c>
      <c r="E562" s="98" t="inlineStr">
        <is>
          <t>R2022490</t>
        </is>
      </c>
      <c r="F562" s="99" t="n">
        <v>45014</v>
      </c>
      <c r="G562" s="100" t="n"/>
    </row>
    <row r="563" ht="16" customHeight="1">
      <c r="A563" s="98" t="n">
        <v>47790</v>
      </c>
      <c r="B563" s="98" t="inlineStr">
        <is>
          <t>COURVOISIER V S COGNAC</t>
        </is>
      </c>
      <c r="C563" s="97">
        <f>VLOOKUP(A563,SizeData!A$2:B$3839,2,FALSE)</f>
        <v/>
      </c>
      <c r="D563" s="98" t="n">
        <v>5</v>
      </c>
      <c r="E563" s="98" t="inlineStr">
        <is>
          <t>R2075331</t>
        </is>
      </c>
      <c r="F563" s="99" t="n">
        <v>45035</v>
      </c>
      <c r="G563" s="100" t="n"/>
    </row>
    <row r="564" ht="16" customHeight="1">
      <c r="A564" s="98" t="n">
        <v>47782</v>
      </c>
      <c r="B564" s="98" t="inlineStr">
        <is>
          <t>COURVOISIER VS COGNAC</t>
        </is>
      </c>
      <c r="C564" s="97">
        <f>VLOOKUP(A564,SizeData!A$2:B$3839,2,FALSE)</f>
        <v/>
      </c>
      <c r="D564" s="98" t="n">
        <v>25</v>
      </c>
      <c r="E564" s="98" t="inlineStr">
        <is>
          <t>R1979071</t>
        </is>
      </c>
      <c r="F564" s="99" t="n">
        <v>44986</v>
      </c>
      <c r="G564" s="100" t="n"/>
    </row>
    <row r="565" ht="16" customHeight="1">
      <c r="A565" s="101" t="n">
        <v>47782</v>
      </c>
      <c r="B565" s="101" t="inlineStr">
        <is>
          <t>COURVOISIER VS COGNAC</t>
        </is>
      </c>
      <c r="C565" s="102">
        <f>VLOOKUP(A565,SizeData!A$2:B$3839,2,FALSE)</f>
        <v/>
      </c>
      <c r="D565" s="101" t="n">
        <v>4</v>
      </c>
      <c r="E565" s="101" t="inlineStr">
        <is>
          <t>R2022490</t>
        </is>
      </c>
      <c r="F565" s="103" t="n">
        <v>45014</v>
      </c>
      <c r="G565" s="104" t="n"/>
    </row>
    <row r="566" ht="16" customHeight="1">
      <c r="A566" s="98" t="n">
        <v>47776</v>
      </c>
      <c r="B566" s="98" t="inlineStr">
        <is>
          <t>COURVOISIER VSOP COGNAC</t>
        </is>
      </c>
      <c r="C566" s="97">
        <f>VLOOKUP(A566,SizeData!A$2:B$3839,2,FALSE)</f>
        <v/>
      </c>
      <c r="D566" s="98" t="n">
        <v>1</v>
      </c>
      <c r="E566" s="98" t="inlineStr">
        <is>
          <t>R2088403</t>
        </is>
      </c>
      <c r="F566" s="99" t="n">
        <v>45049</v>
      </c>
      <c r="G566" s="100" t="n"/>
    </row>
    <row r="567" ht="16" customHeight="1">
      <c r="A567" s="98" t="n">
        <v>408185</v>
      </c>
      <c r="B567" s="98" t="inlineStr">
        <is>
          <t>CUPCAKE SAUVIGNON BLANC MARLBOROUGH</t>
        </is>
      </c>
      <c r="C567" s="97">
        <f>VLOOKUP(A567,SizeData!A$2:B$3839,2,FALSE)</f>
        <v/>
      </c>
      <c r="D567" s="98" t="n">
        <v>1</v>
      </c>
      <c r="E567" s="98" t="inlineStr">
        <is>
          <t>R1923324</t>
        </is>
      </c>
      <c r="F567" s="99" t="n">
        <v>44923</v>
      </c>
      <c r="G567" s="100" t="n"/>
    </row>
    <row r="568" ht="16" customHeight="1">
      <c r="A568" s="98" t="n">
        <v>11290</v>
      </c>
      <c r="B568" s="98" t="inlineStr">
        <is>
          <t>CROWN ROYAL</t>
        </is>
      </c>
      <c r="C568" s="97">
        <f>VLOOKUP(A568,SizeData!A$2:B$3839,2,FALSE)</f>
        <v/>
      </c>
      <c r="D568" s="98" t="n">
        <v>2</v>
      </c>
      <c r="E568" s="98" t="inlineStr">
        <is>
          <t>R1967237</t>
        </is>
      </c>
      <c r="F568" s="99" t="n">
        <v>44958</v>
      </c>
      <c r="G568" s="100" t="n"/>
    </row>
    <row r="569" ht="16" customHeight="1">
      <c r="A569" s="98" t="n">
        <v>11294</v>
      </c>
      <c r="B569" s="98" t="inlineStr">
        <is>
          <t>CROWN ROYAL</t>
        </is>
      </c>
      <c r="C569" s="97">
        <f>VLOOKUP(A569,SizeData!A$2:B$3839,2,FALSE)</f>
        <v/>
      </c>
      <c r="D569" s="98" t="n">
        <v>3</v>
      </c>
      <c r="E569" s="98" t="inlineStr">
        <is>
          <t>R1922178</t>
        </is>
      </c>
      <c r="F569" s="99" t="n">
        <v>44929</v>
      </c>
      <c r="G569" s="100" t="n"/>
    </row>
    <row r="570" ht="16" customHeight="1">
      <c r="A570" s="98" t="n">
        <v>11294</v>
      </c>
      <c r="B570" s="98" t="inlineStr">
        <is>
          <t>CROWN ROYAL</t>
        </is>
      </c>
      <c r="C570" s="97">
        <f>VLOOKUP(A570,SizeData!A$2:B$3839,2,FALSE)</f>
        <v/>
      </c>
      <c r="D570" s="98" t="n">
        <v>2</v>
      </c>
      <c r="E570" s="98" t="inlineStr">
        <is>
          <t>R1936420</t>
        </is>
      </c>
      <c r="F570" s="99" t="n">
        <v>44937</v>
      </c>
      <c r="G570" s="100" t="n"/>
    </row>
    <row r="571" ht="16" customHeight="1">
      <c r="A571" s="98" t="n">
        <v>11294</v>
      </c>
      <c r="B571" s="98" t="inlineStr">
        <is>
          <t>CROWN ROYAL</t>
        </is>
      </c>
      <c r="C571" s="97">
        <f>VLOOKUP(A571,SizeData!A$2:B$3839,2,FALSE)</f>
        <v/>
      </c>
      <c r="D571" s="98" t="n">
        <v>5</v>
      </c>
      <c r="E571" s="98" t="inlineStr">
        <is>
          <t>R1993316</t>
        </is>
      </c>
      <c r="F571" s="99" t="n">
        <v>44980</v>
      </c>
      <c r="G571" s="100" t="n"/>
    </row>
    <row r="572" ht="16" customHeight="1">
      <c r="A572" s="98" t="n">
        <v>11294</v>
      </c>
      <c r="B572" s="98" t="inlineStr">
        <is>
          <t>CROWN ROYAL</t>
        </is>
      </c>
      <c r="C572" s="97">
        <f>VLOOKUP(A572,SizeData!A$2:B$3839,2,FALSE)</f>
        <v/>
      </c>
      <c r="D572" s="98" t="n">
        <v>1</v>
      </c>
      <c r="E572" s="98" t="inlineStr">
        <is>
          <t>R2027602</t>
        </is>
      </c>
      <c r="F572" s="99" t="n">
        <v>45003</v>
      </c>
      <c r="G572" s="100" t="n"/>
    </row>
    <row r="573" ht="16" customHeight="1">
      <c r="A573" s="98" t="n">
        <v>11294</v>
      </c>
      <c r="B573" s="98" t="inlineStr">
        <is>
          <t>CROWN ROYAL</t>
        </is>
      </c>
      <c r="C573" s="97">
        <f>VLOOKUP(A573,SizeData!A$2:B$3839,2,FALSE)</f>
        <v/>
      </c>
      <c r="D573" s="98" t="n">
        <v>20</v>
      </c>
      <c r="E573" s="98" t="inlineStr">
        <is>
          <t>R2055322</t>
        </is>
      </c>
      <c r="F573" s="99" t="n">
        <v>45020</v>
      </c>
      <c r="G573" s="100" t="n"/>
    </row>
    <row r="574" ht="16" customHeight="1">
      <c r="A574" s="98" t="n">
        <v>11294</v>
      </c>
      <c r="B574" s="98" t="inlineStr">
        <is>
          <t>CROWN ROYAL</t>
        </is>
      </c>
      <c r="C574" s="97">
        <f>VLOOKUP(A574,SizeData!A$2:B$3839,2,FALSE)</f>
        <v/>
      </c>
      <c r="D574" s="98" t="n">
        <v>20</v>
      </c>
      <c r="E574" s="98" t="inlineStr">
        <is>
          <t>R2070607</t>
        </is>
      </c>
      <c r="F574" s="99" t="n">
        <v>45022</v>
      </c>
      <c r="G574" s="100" t="n"/>
    </row>
    <row r="575" ht="16" customHeight="1">
      <c r="A575" s="98" t="n">
        <v>82866</v>
      </c>
      <c r="B575" s="98" t="inlineStr">
        <is>
          <t>DEKUYPER WATERMELON PUCKER SCHNAPPS</t>
        </is>
      </c>
      <c r="C575" s="97">
        <f>VLOOKUP(A575,SizeData!A$2:B$3839,2,FALSE)</f>
        <v/>
      </c>
      <c r="D575" s="98" t="n">
        <v>1</v>
      </c>
      <c r="E575" s="98" t="inlineStr">
        <is>
          <t>R1916027</t>
        </is>
      </c>
      <c r="F575" s="99" t="n">
        <v>44914</v>
      </c>
      <c r="G575" s="100" t="n"/>
    </row>
    <row r="576" ht="16" customHeight="1">
      <c r="A576" s="98" t="n">
        <v>11294</v>
      </c>
      <c r="B576" s="98" t="inlineStr">
        <is>
          <t>CROWN ROYAL</t>
        </is>
      </c>
      <c r="C576" s="97">
        <f>VLOOKUP(A576,SizeData!A$2:B$3839,2,FALSE)</f>
        <v/>
      </c>
      <c r="D576" s="98" t="n">
        <v>20</v>
      </c>
      <c r="E576" s="98" t="inlineStr">
        <is>
          <t>R2044370</t>
        </is>
      </c>
      <c r="F576" s="99" t="n">
        <v>45023</v>
      </c>
      <c r="G576" s="100" t="n"/>
    </row>
    <row r="577" ht="16" customHeight="1">
      <c r="A577" s="98" t="n">
        <v>11294</v>
      </c>
      <c r="B577" s="98" t="inlineStr">
        <is>
          <t>CROWN ROYAL</t>
        </is>
      </c>
      <c r="C577" s="97">
        <f>VLOOKUP(A577,SizeData!A$2:B$3839,2,FALSE)</f>
        <v/>
      </c>
      <c r="D577" s="98" t="n">
        <v>20</v>
      </c>
      <c r="E577" s="98" t="inlineStr">
        <is>
          <t>R2044370</t>
        </is>
      </c>
      <c r="F577" s="99" t="n">
        <v>45023</v>
      </c>
      <c r="G577" s="100" t="n"/>
    </row>
    <row r="578" ht="16" customHeight="1">
      <c r="A578" s="98" t="n">
        <v>11294</v>
      </c>
      <c r="B578" s="98" t="inlineStr">
        <is>
          <t>CROWN ROYAL</t>
        </is>
      </c>
      <c r="C578" s="97">
        <f>VLOOKUP(A578,SizeData!A$2:B$3839,2,FALSE)</f>
        <v/>
      </c>
      <c r="D578" s="98" t="n">
        <v>20</v>
      </c>
      <c r="E578" s="98" t="inlineStr">
        <is>
          <t>R2043287</t>
        </is>
      </c>
      <c r="F578" s="99" t="n">
        <v>45024</v>
      </c>
      <c r="G578" s="100" t="n"/>
    </row>
    <row r="579" ht="16" customHeight="1">
      <c r="A579" s="98" t="n">
        <v>11294</v>
      </c>
      <c r="B579" s="98" t="inlineStr">
        <is>
          <t>CROWN ROYAL</t>
        </is>
      </c>
      <c r="C579" s="97">
        <f>VLOOKUP(A579,SizeData!A$2:B$3839,2,FALSE)</f>
        <v/>
      </c>
      <c r="D579" s="98" t="n">
        <v>22</v>
      </c>
      <c r="E579" s="98" t="inlineStr">
        <is>
          <t>R2051716</t>
        </is>
      </c>
      <c r="F579" s="99" t="n">
        <v>45019</v>
      </c>
      <c r="G579" s="100" t="n"/>
    </row>
    <row r="580" ht="16" customHeight="1">
      <c r="A580" s="98" t="n">
        <v>11294</v>
      </c>
      <c r="B580" s="98" t="inlineStr">
        <is>
          <t>CROWN ROYAL</t>
        </is>
      </c>
      <c r="C580" s="97">
        <f>VLOOKUP(A580,SizeData!A$2:B$3839,2,FALSE)</f>
        <v/>
      </c>
      <c r="D580" s="98" t="n">
        <v>25</v>
      </c>
      <c r="E580" s="98" t="inlineStr">
        <is>
          <t>R2059410</t>
        </is>
      </c>
      <c r="F580" s="99" t="n">
        <v>45030</v>
      </c>
      <c r="G580" s="100" t="n"/>
    </row>
    <row r="581" ht="16" customHeight="1">
      <c r="A581" s="98" t="n">
        <v>64135</v>
      </c>
      <c r="B581" s="98" t="inlineStr">
        <is>
          <t>DI SARONNO AMARETTO</t>
        </is>
      </c>
      <c r="C581" s="97">
        <f>VLOOKUP(A581,SizeData!A$2:B$3839,2,FALSE)</f>
        <v/>
      </c>
      <c r="D581" s="98" t="n">
        <v>1</v>
      </c>
      <c r="E581" s="98" t="inlineStr">
        <is>
          <t>R1906771</t>
        </is>
      </c>
      <c r="F581" s="99" t="n">
        <v>44908</v>
      </c>
      <c r="G581" s="100" t="n"/>
    </row>
    <row r="582" ht="16" customHeight="1">
      <c r="A582" s="98" t="n">
        <v>11294</v>
      </c>
      <c r="B582" s="98" t="inlineStr">
        <is>
          <t>CROWN ROYAL</t>
        </is>
      </c>
      <c r="C582" s="97">
        <f>VLOOKUP(A582,SizeData!A$2:B$3839,2,FALSE)</f>
        <v/>
      </c>
      <c r="D582" s="98" t="n">
        <v>50</v>
      </c>
      <c r="E582" s="98" t="inlineStr">
        <is>
          <t>R2090097</t>
        </is>
      </c>
      <c r="F582" s="99" t="n">
        <v>45044</v>
      </c>
      <c r="G582" s="100" t="n"/>
    </row>
    <row r="583" ht="16" customHeight="1">
      <c r="A583" s="98" t="n">
        <v>11297</v>
      </c>
      <c r="B583" s="98" t="inlineStr">
        <is>
          <t>CROWN ROYAL</t>
        </is>
      </c>
      <c r="C583" s="97">
        <f>VLOOKUP(A583,SizeData!A$2:B$3839,2,FALSE)</f>
        <v/>
      </c>
      <c r="D583" s="98" t="n">
        <v>3</v>
      </c>
      <c r="E583" s="98" t="inlineStr">
        <is>
          <t>R1998154</t>
        </is>
      </c>
      <c r="F583" s="99" t="n">
        <v>44985</v>
      </c>
      <c r="G583" s="100" t="n"/>
    </row>
    <row r="584" ht="16" customHeight="1">
      <c r="A584" s="98" t="n">
        <v>89175</v>
      </c>
      <c r="B584" s="98" t="inlineStr">
        <is>
          <t>DON JULIO ANEJO TEQUILA GOLD</t>
        </is>
      </c>
      <c r="C584" s="97">
        <f>VLOOKUP(A584,SizeData!A$2:B$3839,2,FALSE)</f>
        <v/>
      </c>
      <c r="D584" s="98" t="n">
        <v>3</v>
      </c>
      <c r="E584" s="98" t="inlineStr">
        <is>
          <t>R1910748</t>
        </is>
      </c>
      <c r="F584" s="99" t="n">
        <v>44908</v>
      </c>
      <c r="G584" s="100" t="n"/>
    </row>
    <row r="585" ht="16" customHeight="1">
      <c r="A585" s="98" t="n">
        <v>89154</v>
      </c>
      <c r="B585" s="98" t="inlineStr">
        <is>
          <t>DON JULIO REPOSADO TEQUILA GOLD</t>
        </is>
      </c>
      <c r="C585" s="97">
        <f>VLOOKUP(A585,SizeData!A$2:B$3839,2,FALSE)</f>
        <v/>
      </c>
      <c r="D585" s="98" t="n">
        <v>3</v>
      </c>
      <c r="E585" s="98" t="inlineStr">
        <is>
          <t>R1916027</t>
        </is>
      </c>
      <c r="F585" s="99" t="n">
        <v>44914</v>
      </c>
      <c r="G585" s="100" t="n"/>
    </row>
    <row r="586" ht="16" customHeight="1">
      <c r="A586" s="98" t="n">
        <v>11298</v>
      </c>
      <c r="B586" s="98" t="inlineStr">
        <is>
          <t>CROWN ROYAL</t>
        </is>
      </c>
      <c r="C586" s="97">
        <f>VLOOKUP(A586,SizeData!A$2:B$3839,2,FALSE)</f>
        <v/>
      </c>
      <c r="D586" s="98" t="n">
        <v>3</v>
      </c>
      <c r="E586" s="98" t="inlineStr">
        <is>
          <t>R2036282</t>
        </is>
      </c>
      <c r="F586" s="99" t="n">
        <v>45012</v>
      </c>
      <c r="G586" s="100" t="n"/>
    </row>
    <row r="587" ht="16" customHeight="1">
      <c r="A587" s="98" t="n">
        <v>11297</v>
      </c>
      <c r="B587" s="98" t="inlineStr">
        <is>
          <t>CROWN ROYAL</t>
        </is>
      </c>
      <c r="C587" s="97">
        <f>VLOOKUP(A587,SizeData!A$2:B$3839,2,FALSE)</f>
        <v/>
      </c>
      <c r="D587" s="98" t="n">
        <v>1</v>
      </c>
      <c r="E587" s="98" t="inlineStr">
        <is>
          <t>R2072241</t>
        </is>
      </c>
      <c r="F587" s="99" t="n">
        <v>45035</v>
      </c>
      <c r="G587" s="100" t="n"/>
    </row>
    <row r="588" ht="16" customHeight="1">
      <c r="A588" s="98" t="n">
        <v>11294</v>
      </c>
      <c r="B588" s="98" t="inlineStr">
        <is>
          <t>CROWN ROYAL</t>
        </is>
      </c>
      <c r="C588" s="97">
        <f>VLOOKUP(A588,SizeData!A$2:B$3839,2,FALSE)</f>
        <v/>
      </c>
      <c r="D588" s="98" t="n">
        <v>50</v>
      </c>
      <c r="E588" s="98" t="inlineStr">
        <is>
          <t>R2090097</t>
        </is>
      </c>
      <c r="F588" s="99" t="n">
        <v>45044</v>
      </c>
      <c r="G588" s="100" t="n"/>
    </row>
    <row r="589" ht="16" customHeight="1">
      <c r="A589" s="98" t="n">
        <v>10836</v>
      </c>
      <c r="B589" s="98" t="inlineStr">
        <is>
          <t>CROWN ROYAL BLACK</t>
        </is>
      </c>
      <c r="C589" s="97">
        <f>VLOOKUP(A589,SizeData!A$2:B$3839,2,FALSE)</f>
        <v/>
      </c>
      <c r="D589" s="98" t="n">
        <v>2</v>
      </c>
      <c r="E589" s="98" t="inlineStr">
        <is>
          <t>R1983449</t>
        </is>
      </c>
      <c r="F589" s="99" t="n">
        <v>44978</v>
      </c>
      <c r="G589" s="100" t="n"/>
    </row>
    <row r="590" ht="16" customHeight="1">
      <c r="A590" s="98" t="n">
        <v>10776</v>
      </c>
      <c r="B590" s="98" t="inlineStr">
        <is>
          <t>CROWN ROYAL PEACH</t>
        </is>
      </c>
      <c r="C590" s="97">
        <f>VLOOKUP(A590,SizeData!A$2:B$3839,2,FALSE)</f>
        <v/>
      </c>
      <c r="D590" s="98" t="n">
        <v>10</v>
      </c>
      <c r="E590" s="98" t="inlineStr">
        <is>
          <t>R1993734</t>
        </is>
      </c>
      <c r="F590" s="99" t="n">
        <v>44985</v>
      </c>
      <c r="G590" s="100" t="n"/>
    </row>
    <row r="591" ht="16" customHeight="1">
      <c r="A591" s="98" t="n">
        <v>87484</v>
      </c>
      <c r="B591" s="98" t="inlineStr">
        <is>
          <t>DON JULIO SILVER TEQUILA WHITE</t>
        </is>
      </c>
      <c r="C591" s="97">
        <f>VLOOKUP(A591,SizeData!A$2:B$3839,2,FALSE)</f>
        <v/>
      </c>
      <c r="D591" s="98" t="n">
        <v>2</v>
      </c>
      <c r="E591" s="98" t="inlineStr">
        <is>
          <t>R1927120</t>
        </is>
      </c>
      <c r="F591" s="99" t="n">
        <v>44924</v>
      </c>
      <c r="G591" s="100" t="n"/>
    </row>
    <row r="592" ht="16" customHeight="1">
      <c r="A592" s="98" t="n">
        <v>10802</v>
      </c>
      <c r="B592" s="98" t="inlineStr">
        <is>
          <t>CROWN ROYAL PEACH FLAVORED WHISKEY</t>
        </is>
      </c>
      <c r="C592" s="97">
        <f>VLOOKUP(A592,SizeData!A$2:B$3839,2,FALSE)</f>
        <v/>
      </c>
      <c r="D592" s="98" t="n">
        <v>2</v>
      </c>
      <c r="E592" s="98" t="inlineStr">
        <is>
          <t>R1939504</t>
        </is>
      </c>
      <c r="F592" s="99" t="n">
        <v>44940</v>
      </c>
      <c r="G592" s="100" t="n"/>
    </row>
    <row r="593" ht="16" customHeight="1">
      <c r="A593" s="101" t="n">
        <v>10802</v>
      </c>
      <c r="B593" s="101" t="inlineStr">
        <is>
          <t>CROWN ROYAL PEACH FLAVORED WHISKEY</t>
        </is>
      </c>
      <c r="C593" s="102">
        <f>VLOOKUP(A593,SizeData!A$2:B$3839,2,FALSE)</f>
        <v/>
      </c>
      <c r="D593" s="101" t="n">
        <v>1</v>
      </c>
      <c r="E593" s="101" t="inlineStr">
        <is>
          <t>R1984349</t>
        </is>
      </c>
      <c r="F593" s="103" t="n">
        <v>44982</v>
      </c>
      <c r="G593" s="104" t="n"/>
    </row>
    <row r="594" ht="16" customHeight="1">
      <c r="A594" s="98" t="n">
        <v>10802</v>
      </c>
      <c r="B594" s="98" t="inlineStr">
        <is>
          <t>CROWN ROYAL PEACH FLAVORED WHISKEY</t>
        </is>
      </c>
      <c r="C594" s="97">
        <f>VLOOKUP(A594,SizeData!A$2:B$3839,2,FALSE)</f>
        <v/>
      </c>
      <c r="D594" s="98" t="n">
        <v>1</v>
      </c>
      <c r="E594" s="98" t="inlineStr">
        <is>
          <t>R2055049</t>
        </is>
      </c>
      <c r="F594" s="99" t="n">
        <v>45017</v>
      </c>
      <c r="G594" s="100" t="n"/>
    </row>
    <row r="595" ht="16" customHeight="1">
      <c r="A595" s="98" t="n">
        <v>10802</v>
      </c>
      <c r="B595" s="98" t="inlineStr">
        <is>
          <t>CROWN ROYAL PEACH FLAVORED WHISKEY</t>
        </is>
      </c>
      <c r="C595" s="97">
        <f>VLOOKUP(A595,SizeData!A$2:B$3839,2,FALSE)</f>
        <v/>
      </c>
      <c r="D595" s="98" t="n">
        <v>2</v>
      </c>
      <c r="E595" s="98" t="inlineStr">
        <is>
          <t>R2059149</t>
        </is>
      </c>
      <c r="F595" s="99" t="n">
        <v>45034</v>
      </c>
      <c r="G595" s="100" t="n"/>
    </row>
    <row r="596" ht="16" customHeight="1">
      <c r="A596" s="98" t="n">
        <v>10805</v>
      </c>
      <c r="B596" s="98" t="inlineStr">
        <is>
          <t>CROWN ROYAL REGAL APPLE FLAVORED WHISKEY</t>
        </is>
      </c>
      <c r="C596" s="97">
        <f>VLOOKUP(A596,SizeData!A$2:B$3839,2,FALSE)</f>
        <v/>
      </c>
      <c r="D596" s="98" t="n">
        <v>1</v>
      </c>
      <c r="E596" s="98" t="inlineStr">
        <is>
          <t>R1993316</t>
        </is>
      </c>
      <c r="F596" s="99" t="n">
        <v>44980</v>
      </c>
      <c r="G596" s="100" t="n"/>
    </row>
    <row r="597" ht="16" customHeight="1">
      <c r="A597" s="98" t="n">
        <v>10805</v>
      </c>
      <c r="B597" s="98" t="inlineStr">
        <is>
          <t>CROWN ROYAL REGAL APPLE FLAVORED WHISKEY</t>
        </is>
      </c>
      <c r="C597" s="97">
        <f>VLOOKUP(A597,SizeData!A$2:B$3839,2,FALSE)</f>
        <v/>
      </c>
      <c r="D597" s="98" t="n">
        <v>1</v>
      </c>
      <c r="E597" s="98" t="inlineStr">
        <is>
          <t>R1976594</t>
        </is>
      </c>
      <c r="F597" s="99" t="n">
        <v>44980</v>
      </c>
      <c r="G597" s="100" t="n"/>
    </row>
    <row r="598" ht="16" customHeight="1">
      <c r="A598" s="98" t="n">
        <v>10805</v>
      </c>
      <c r="B598" s="98" t="inlineStr">
        <is>
          <t>CROWN ROYAL REGAL APPLE FLAVORED WHISKEY</t>
        </is>
      </c>
      <c r="C598" s="97">
        <f>VLOOKUP(A598,SizeData!A$2:B$3839,2,FALSE)</f>
        <v/>
      </c>
      <c r="D598" s="98" t="n">
        <v>2</v>
      </c>
      <c r="E598" s="98" t="inlineStr">
        <is>
          <t>R2027602</t>
        </is>
      </c>
      <c r="F598" s="99" t="n">
        <v>45003</v>
      </c>
      <c r="G598" s="100" t="n"/>
    </row>
    <row r="599" ht="16" customHeight="1">
      <c r="A599" s="98" t="n">
        <v>10805</v>
      </c>
      <c r="B599" s="98" t="inlineStr">
        <is>
          <t>CROWN ROYAL REGAL APPLE FLAVORED WHISKEY</t>
        </is>
      </c>
      <c r="C599" s="97">
        <f>VLOOKUP(A599,SizeData!A$2:B$3839,2,FALSE)</f>
        <v/>
      </c>
      <c r="D599" s="98" t="n">
        <v>4</v>
      </c>
      <c r="E599" s="98" t="inlineStr">
        <is>
          <t>R2055049</t>
        </is>
      </c>
      <c r="F599" s="99" t="n">
        <v>45017</v>
      </c>
      <c r="G599" s="100" t="n"/>
    </row>
    <row r="600" ht="16" customHeight="1">
      <c r="A600" s="98" t="n">
        <v>10805</v>
      </c>
      <c r="B600" s="98" t="inlineStr">
        <is>
          <t>CROWN ROYAL REGAL APPLE FLAVORED WHISKEY</t>
        </is>
      </c>
      <c r="C600" s="97">
        <f>VLOOKUP(A600,SizeData!A$2:B$3839,2,FALSE)</f>
        <v/>
      </c>
      <c r="D600" s="98" t="n">
        <v>30</v>
      </c>
      <c r="E600" s="98" t="inlineStr">
        <is>
          <t>R2042762</t>
        </is>
      </c>
      <c r="F600" s="99" t="n">
        <v>45020</v>
      </c>
      <c r="G600" s="100" t="n"/>
    </row>
    <row r="601" ht="16" customHeight="1">
      <c r="A601" s="98" t="n">
        <v>10807</v>
      </c>
      <c r="B601" s="98" t="inlineStr">
        <is>
          <t>CROWN ROYAL REGAL APPLE FLAVORED WHISKEY</t>
        </is>
      </c>
      <c r="C601" s="97">
        <f>VLOOKUP(A601,SizeData!A$2:B$3839,2,FALSE)</f>
        <v/>
      </c>
      <c r="D601" s="98" t="n">
        <v>2</v>
      </c>
      <c r="E601" s="98" t="inlineStr">
        <is>
          <t>R2059149</t>
        </is>
      </c>
      <c r="F601" s="99" t="n">
        <v>45034</v>
      </c>
      <c r="G601" s="100" t="n"/>
    </row>
    <row r="602" ht="16" customHeight="1">
      <c r="A602" s="98" t="n">
        <v>10809</v>
      </c>
      <c r="B602" s="98" t="inlineStr">
        <is>
          <t>CROWN ROYAL REGAL APPLE FLAVORED WHISKEY</t>
        </is>
      </c>
      <c r="C602" s="97">
        <f>VLOOKUP(A602,SizeData!A$2:B$3839,2,FALSE)</f>
        <v/>
      </c>
      <c r="D602" s="98" t="n">
        <v>2</v>
      </c>
      <c r="E602" s="98" t="inlineStr">
        <is>
          <t>R2036282</t>
        </is>
      </c>
      <c r="F602" s="99" t="n">
        <v>45012</v>
      </c>
      <c r="G602" s="100" t="n"/>
    </row>
    <row r="603" ht="16" customHeight="1">
      <c r="A603" s="98" t="n">
        <v>10805</v>
      </c>
      <c r="B603" s="98" t="inlineStr">
        <is>
          <t>CROWN ROYAL REGAL APPLE FLAVORED WHISKEY</t>
        </is>
      </c>
      <c r="C603" s="97">
        <f>VLOOKUP(A603,SizeData!A$2:B$3839,2,FALSE)</f>
        <v/>
      </c>
      <c r="D603" s="98" t="n">
        <v>25</v>
      </c>
      <c r="E603" s="98" t="inlineStr">
        <is>
          <t>R2063984</t>
        </is>
      </c>
      <c r="F603" s="99" t="n">
        <v>45043</v>
      </c>
      <c r="G603" s="100" t="n"/>
    </row>
    <row r="604" ht="16" customHeight="1">
      <c r="A604" s="98" t="n">
        <v>10805</v>
      </c>
      <c r="B604" s="98" t="inlineStr">
        <is>
          <t>CROWN ROYAL REGAL APPLE FLAVORED WHISKEY</t>
        </is>
      </c>
      <c r="C604" s="97">
        <f>VLOOKUP(A604,SizeData!A$2:B$3839,2,FALSE)</f>
        <v/>
      </c>
      <c r="D604" s="98" t="n">
        <v>25</v>
      </c>
      <c r="E604" s="98" t="inlineStr">
        <is>
          <t>R2085472</t>
        </is>
      </c>
      <c r="F604" s="99" t="n">
        <v>45044</v>
      </c>
      <c r="G604" s="100" t="n"/>
    </row>
    <row r="605" ht="16" customHeight="1">
      <c r="A605" s="98" t="n">
        <v>10805</v>
      </c>
      <c r="B605" s="98" t="inlineStr">
        <is>
          <t>CROWN ROYAL REGAL APPLE FLAVORED WHISKEY</t>
        </is>
      </c>
      <c r="C605" s="97">
        <f>VLOOKUP(A605,SizeData!A$2:B$3839,2,FALSE)</f>
        <v/>
      </c>
      <c r="D605" s="98" t="n">
        <v>25</v>
      </c>
      <c r="E605" s="98" t="inlineStr">
        <is>
          <t>R2063984</t>
        </is>
      </c>
      <c r="F605" s="99" t="n">
        <v>45043</v>
      </c>
      <c r="G605" s="100" t="n"/>
    </row>
    <row r="606" ht="16" customHeight="1">
      <c r="A606" s="98" t="n">
        <v>10805</v>
      </c>
      <c r="B606" s="98" t="inlineStr">
        <is>
          <t>CROWN ROYAL REGAL APPLE FLAVORED WHISKEY</t>
        </is>
      </c>
      <c r="C606" s="97">
        <f>VLOOKUP(A606,SizeData!A$2:B$3839,2,FALSE)</f>
        <v/>
      </c>
      <c r="D606" s="98" t="n">
        <v>25</v>
      </c>
      <c r="E606" s="98" t="inlineStr">
        <is>
          <t>R2085472</t>
        </is>
      </c>
      <c r="F606" s="99" t="n">
        <v>45044</v>
      </c>
      <c r="G606" s="100" t="n"/>
    </row>
    <row r="607" ht="16" customHeight="1">
      <c r="A607" s="98" t="n">
        <v>10805</v>
      </c>
      <c r="B607" s="98" t="inlineStr">
        <is>
          <t>CROWN ROYAL REGAL APPLE FLAVORED WHISKEY</t>
        </is>
      </c>
      <c r="C607" s="97">
        <f>VLOOKUP(A607,SizeData!A$2:B$3839,2,FALSE)</f>
        <v/>
      </c>
      <c r="D607" s="98" t="n">
        <v>18</v>
      </c>
      <c r="E607" s="98" t="inlineStr">
        <is>
          <t>R2081528</t>
        </is>
      </c>
      <c r="F607" s="99" t="n">
        <v>45044</v>
      </c>
      <c r="G607" s="100" t="n"/>
    </row>
    <row r="608" ht="16" customHeight="1">
      <c r="A608" s="98" t="n">
        <v>10790</v>
      </c>
      <c r="B608" s="98" t="inlineStr">
        <is>
          <t>CROWN ROYAL VANILLA FLAVORED WHISKEY</t>
        </is>
      </c>
      <c r="C608" s="97">
        <f>VLOOKUP(A608,SizeData!A$2:B$3839,2,FALSE)</f>
        <v/>
      </c>
      <c r="D608" s="98" t="n">
        <v>1</v>
      </c>
      <c r="E608" s="98" t="inlineStr">
        <is>
          <t>R1993316</t>
        </is>
      </c>
      <c r="F608" s="99" t="n">
        <v>44980</v>
      </c>
      <c r="G608" s="100" t="n"/>
    </row>
    <row r="609" ht="16" customHeight="1">
      <c r="A609" s="98" t="n">
        <v>10790</v>
      </c>
      <c r="B609" s="98" t="inlineStr">
        <is>
          <t>CROWN ROYAL VANILLA FLAVORED WHISKEY</t>
        </is>
      </c>
      <c r="C609" s="97">
        <f>VLOOKUP(A609,SizeData!A$2:B$3839,2,FALSE)</f>
        <v/>
      </c>
      <c r="D609" s="98" t="n">
        <v>2</v>
      </c>
      <c r="E609" s="98" t="inlineStr">
        <is>
          <t>R2055049</t>
        </is>
      </c>
      <c r="F609" s="99" t="n">
        <v>45017</v>
      </c>
      <c r="G609" s="100" t="n"/>
    </row>
    <row r="610" ht="16" customHeight="1">
      <c r="A610" s="98" t="n">
        <v>10790</v>
      </c>
      <c r="B610" s="98" t="inlineStr">
        <is>
          <t>CROWN ROYAL VANILLA FLAVORED WHISKEY</t>
        </is>
      </c>
      <c r="C610" s="97">
        <f>VLOOKUP(A610,SizeData!A$2:B$3839,2,FALSE)</f>
        <v/>
      </c>
      <c r="D610" s="98" t="n">
        <v>7</v>
      </c>
      <c r="E610" s="98" t="inlineStr">
        <is>
          <t>R2042762</t>
        </is>
      </c>
      <c r="F610" s="99" t="n">
        <v>45020</v>
      </c>
      <c r="G610" s="100" t="n"/>
    </row>
    <row r="611" ht="16" customHeight="1">
      <c r="A611" s="98" t="n">
        <v>10790</v>
      </c>
      <c r="B611" s="98" t="inlineStr">
        <is>
          <t>CROWN ROYAL VANILLA FLAVORED WHISKEY</t>
        </is>
      </c>
      <c r="C611" s="97">
        <f>VLOOKUP(A611,SizeData!A$2:B$3839,2,FALSE)</f>
        <v/>
      </c>
      <c r="D611" s="98" t="n">
        <v>10</v>
      </c>
      <c r="E611" s="98" t="inlineStr">
        <is>
          <t>R2085472</t>
        </is>
      </c>
      <c r="F611" s="99" t="n">
        <v>45044</v>
      </c>
      <c r="G611" s="100" t="n"/>
    </row>
    <row r="612" ht="16" customHeight="1">
      <c r="A612" s="98" t="n">
        <v>44476</v>
      </c>
      <c r="B612" s="98" t="inlineStr">
        <is>
          <t>CRUZAN COCONUT FLAVORED V.I. RUM</t>
        </is>
      </c>
      <c r="C612" s="97">
        <f>VLOOKUP(A612,SizeData!A$2:B$3839,2,FALSE)</f>
        <v/>
      </c>
      <c r="D612" s="98" t="n">
        <v>2</v>
      </c>
      <c r="E612" s="98" t="inlineStr">
        <is>
          <t>R1935901</t>
        </is>
      </c>
      <c r="F612" s="99" t="n">
        <v>44931</v>
      </c>
      <c r="G612" s="100" t="n"/>
    </row>
    <row r="613" ht="16" customHeight="1">
      <c r="A613" s="98" t="n">
        <v>44476</v>
      </c>
      <c r="B613" s="98" t="inlineStr">
        <is>
          <t>CRUZAN COCONUT FLAVORED V.I. RUM</t>
        </is>
      </c>
      <c r="C613" s="97">
        <f>VLOOKUP(A613,SizeData!A$2:B$3839,2,FALSE)</f>
        <v/>
      </c>
      <c r="D613" s="98" t="n">
        <v>1</v>
      </c>
      <c r="E613" s="98" t="inlineStr">
        <is>
          <t>R2009092</t>
        </is>
      </c>
      <c r="F613" s="99" t="n">
        <v>45001</v>
      </c>
      <c r="G613" s="100" t="n"/>
    </row>
    <row r="614" ht="16" customFormat="1" customHeight="1" s="6">
      <c r="A614" s="98" t="n">
        <v>44478</v>
      </c>
      <c r="B614" s="98" t="inlineStr">
        <is>
          <t>CRUZAN COCONUT FLAVORED V.I. RUM</t>
        </is>
      </c>
      <c r="C614" s="97">
        <f>VLOOKUP(A614,SizeData!A$2:B$3839,2,FALSE)</f>
        <v/>
      </c>
      <c r="D614" s="98" t="n">
        <v>1</v>
      </c>
      <c r="E614" s="98" t="inlineStr">
        <is>
          <t>R2035913</t>
        </is>
      </c>
      <c r="F614" s="99" t="n">
        <v>45005</v>
      </c>
      <c r="G614" s="100" t="n"/>
    </row>
    <row r="615" ht="16" customHeight="1">
      <c r="A615" s="98" t="n">
        <v>44476</v>
      </c>
      <c r="B615" s="98" t="inlineStr">
        <is>
          <t>CRUZAN COCONUT FLAVORED V.I. RUM</t>
        </is>
      </c>
      <c r="C615" s="97">
        <f>VLOOKUP(A615,SizeData!A$2:B$3839,2,FALSE)</f>
        <v/>
      </c>
      <c r="D615" s="98" t="n">
        <v>5</v>
      </c>
      <c r="E615" s="98" t="inlineStr">
        <is>
          <t>R2050666</t>
        </is>
      </c>
      <c r="F615" s="99" t="n">
        <v>45019</v>
      </c>
      <c r="G615" s="100" t="n"/>
    </row>
    <row r="616" ht="16" customHeight="1">
      <c r="A616" s="98" t="n">
        <v>47861</v>
      </c>
      <c r="B616" s="98" t="inlineStr">
        <is>
          <t>DUSSE VSOP COGNAC FLASK BOTTLE</t>
        </is>
      </c>
      <c r="C616" s="97">
        <f>VLOOKUP(A616,SizeData!A$2:B$3839,2,FALSE)</f>
        <v/>
      </c>
      <c r="D616" s="98" t="n">
        <v>2</v>
      </c>
      <c r="E616" s="98" t="inlineStr">
        <is>
          <t>R1910748</t>
        </is>
      </c>
      <c r="F616" s="99" t="n">
        <v>44908</v>
      </c>
      <c r="G616" s="100" t="n"/>
    </row>
    <row r="617" ht="16" customHeight="1">
      <c r="A617" s="98" t="n">
        <v>47861</v>
      </c>
      <c r="B617" s="98" t="inlineStr">
        <is>
          <t>DUSSE VSOP COGNAC FLASK BOTTLE</t>
        </is>
      </c>
      <c r="C617" s="97">
        <f>VLOOKUP(A617,SizeData!A$2:B$3839,2,FALSE)</f>
        <v/>
      </c>
      <c r="D617" s="98" t="n">
        <v>2</v>
      </c>
      <c r="E617" s="98" t="inlineStr">
        <is>
          <t>R1913611</t>
        </is>
      </c>
      <c r="F617" s="99" t="n">
        <v>44914</v>
      </c>
      <c r="G617" s="100" t="n"/>
    </row>
    <row r="618" ht="16" customHeight="1">
      <c r="A618" s="101" t="n">
        <v>44476</v>
      </c>
      <c r="B618" s="101" t="inlineStr">
        <is>
          <t>CRUZAN COCONUT FLAVORED V.I. RUM</t>
        </is>
      </c>
      <c r="C618" s="102">
        <f>VLOOKUP(A618,SizeData!A$2:B$3839,2,FALSE)</f>
        <v/>
      </c>
      <c r="D618" s="101" t="n">
        <v>1</v>
      </c>
      <c r="E618" s="101" t="inlineStr">
        <is>
          <t>R2055049</t>
        </is>
      </c>
      <c r="F618" s="103" t="n">
        <v>45017</v>
      </c>
      <c r="G618" s="104" t="n"/>
    </row>
    <row r="619" ht="16" customHeight="1">
      <c r="A619" s="98" t="n">
        <v>44486</v>
      </c>
      <c r="B619" s="98" t="inlineStr">
        <is>
          <t>CRUZAN DARK RUM</t>
        </is>
      </c>
      <c r="C619" s="97">
        <f>VLOOKUP(A619,SizeData!A$2:B$3839,2,FALSE)</f>
        <v/>
      </c>
      <c r="D619" s="98" t="n">
        <v>1</v>
      </c>
      <c r="E619" s="98" t="inlineStr">
        <is>
          <t>R1919341</t>
        </is>
      </c>
      <c r="F619" s="99" t="n">
        <v>44930</v>
      </c>
      <c r="G619" s="100" t="n"/>
    </row>
    <row r="620" ht="16" customHeight="1">
      <c r="A620" s="98" t="n">
        <v>44488</v>
      </c>
      <c r="B620" s="98" t="inlineStr">
        <is>
          <t>CRUZAN DARK RUM</t>
        </is>
      </c>
      <c r="C620" s="97">
        <f>VLOOKUP(A620,SizeData!A$2:B$3839,2,FALSE)</f>
        <v/>
      </c>
      <c r="D620" s="98" t="n">
        <v>1</v>
      </c>
      <c r="E620" s="98" t="inlineStr">
        <is>
          <t>R2030138</t>
        </is>
      </c>
      <c r="F620" s="99" t="n">
        <v>44986</v>
      </c>
      <c r="G620" s="100" t="n"/>
    </row>
    <row r="621" ht="16" customHeight="1">
      <c r="A621" s="98" t="n">
        <v>44488</v>
      </c>
      <c r="B621" s="98" t="inlineStr">
        <is>
          <t>CRUZAN DARK RUM</t>
        </is>
      </c>
      <c r="C621" s="97">
        <f>VLOOKUP(A621,SizeData!A$2:B$3839,2,FALSE)</f>
        <v/>
      </c>
      <c r="D621" s="98" t="n">
        <v>2</v>
      </c>
      <c r="E621" s="98" t="inlineStr">
        <is>
          <t>R2027602</t>
        </is>
      </c>
      <c r="F621" s="99" t="n">
        <v>45003</v>
      </c>
      <c r="G621" s="100" t="n"/>
    </row>
    <row r="622" ht="16" customHeight="1">
      <c r="A622" s="98" t="n">
        <v>44488</v>
      </c>
      <c r="B622" s="98" t="inlineStr">
        <is>
          <t>CRUZAN DARK RUM</t>
        </is>
      </c>
      <c r="C622" s="97">
        <f>VLOOKUP(A622,SizeData!A$2:B$3839,2,FALSE)</f>
        <v/>
      </c>
      <c r="D622" s="98" t="n">
        <v>1</v>
      </c>
      <c r="E622" s="98" t="inlineStr">
        <is>
          <t>R2022490</t>
        </is>
      </c>
      <c r="F622" s="99" t="n">
        <v>45014</v>
      </c>
      <c r="G622" s="100" t="n"/>
    </row>
    <row r="623" ht="16" customHeight="1">
      <c r="A623" s="101" t="n">
        <v>44486</v>
      </c>
      <c r="B623" s="101" t="inlineStr">
        <is>
          <t>CRUZAN DARK RUM</t>
        </is>
      </c>
      <c r="C623" s="102">
        <f>VLOOKUP(A623,SizeData!A$2:B$3839,2,FALSE)</f>
        <v/>
      </c>
      <c r="D623" s="101" t="n">
        <v>1</v>
      </c>
      <c r="E623" s="101" t="inlineStr">
        <is>
          <t>R2055049</t>
        </is>
      </c>
      <c r="F623" s="103" t="n">
        <v>45017</v>
      </c>
      <c r="G623" s="104" t="n"/>
    </row>
    <row r="624" ht="16" customHeight="1">
      <c r="A624" s="98" t="n">
        <v>44486</v>
      </c>
      <c r="B624" s="98" t="inlineStr">
        <is>
          <t>CRUZAN DARK RUM</t>
        </is>
      </c>
      <c r="C624" s="97">
        <f>VLOOKUP(A624,SizeData!A$2:B$3839,2,FALSE)</f>
        <v/>
      </c>
      <c r="D624" s="98" t="n">
        <v>2</v>
      </c>
      <c r="E624" s="98" t="inlineStr">
        <is>
          <t>R2070652</t>
        </is>
      </c>
      <c r="F624" s="99" t="n">
        <v>45028</v>
      </c>
      <c r="G624" s="100" t="n"/>
    </row>
    <row r="625" ht="16" customHeight="1">
      <c r="A625" s="98" t="n">
        <v>44486</v>
      </c>
      <c r="B625" s="98" t="inlineStr">
        <is>
          <t>CRUZAN DARK RUM</t>
        </is>
      </c>
      <c r="C625" s="97">
        <f>VLOOKUP(A625,SizeData!A$2:B$3839,2,FALSE)</f>
        <v/>
      </c>
      <c r="D625" s="98" t="n">
        <v>3</v>
      </c>
      <c r="E625" s="98" t="inlineStr">
        <is>
          <t>R2064471</t>
        </is>
      </c>
      <c r="F625" s="99" t="n">
        <v>45043</v>
      </c>
      <c r="G625" s="100" t="n"/>
    </row>
    <row r="626" ht="16" customHeight="1">
      <c r="A626" s="98" t="n">
        <v>52581</v>
      </c>
      <c r="B626" s="98" t="inlineStr">
        <is>
          <t>E &amp; J SUPERIOR RESERVE VSOP BRANDY</t>
        </is>
      </c>
      <c r="C626" s="97">
        <f>VLOOKUP(A626,SizeData!A$2:B$3839,2,FALSE)</f>
        <v/>
      </c>
      <c r="D626" s="98" t="n">
        <v>1</v>
      </c>
      <c r="E626" s="98" t="inlineStr">
        <is>
          <t>R1903425</t>
        </is>
      </c>
      <c r="F626" s="99" t="n">
        <v>44908</v>
      </c>
      <c r="G626" s="100" t="n"/>
    </row>
    <row r="627" ht="16" customHeight="1">
      <c r="A627" s="98" t="n">
        <v>52582</v>
      </c>
      <c r="B627" s="98" t="inlineStr">
        <is>
          <t>E &amp; J SUPERIOR RESERVE VSOP BRANDY</t>
        </is>
      </c>
      <c r="C627" s="97">
        <f>VLOOKUP(A627,SizeData!A$2:B$3839,2,FALSE)</f>
        <v/>
      </c>
      <c r="D627" s="98" t="n">
        <v>1</v>
      </c>
      <c r="E627" s="98" t="inlineStr">
        <is>
          <t>R1916005</t>
        </is>
      </c>
      <c r="F627" s="99" t="n">
        <v>44911</v>
      </c>
      <c r="G627" s="100" t="n"/>
    </row>
    <row r="628" ht="16" customHeight="1">
      <c r="A628" s="98" t="n">
        <v>44499</v>
      </c>
      <c r="B628" s="98" t="inlineStr">
        <is>
          <t>CRUZAN MANGO FLAVORED RUM</t>
        </is>
      </c>
      <c r="C628" s="97">
        <f>VLOOKUP(A628,SizeData!A$2:B$3839,2,FALSE)</f>
        <v/>
      </c>
      <c r="D628" s="98" t="n">
        <v>1</v>
      </c>
      <c r="E628" s="98" t="inlineStr">
        <is>
          <t>R1926599</t>
        </is>
      </c>
      <c r="F628" s="99" t="n">
        <v>44933</v>
      </c>
      <c r="G628" s="100" t="n"/>
    </row>
    <row r="629" ht="16" customHeight="1">
      <c r="A629" s="98" t="n">
        <v>44499</v>
      </c>
      <c r="B629" s="98" t="inlineStr">
        <is>
          <t>CRUZAN MANGO FLAVORED RUM</t>
        </is>
      </c>
      <c r="C629" s="97">
        <f>VLOOKUP(A629,SizeData!A$2:B$3839,2,FALSE)</f>
        <v/>
      </c>
      <c r="D629" s="98" t="n">
        <v>1</v>
      </c>
      <c r="E629" s="98" t="inlineStr">
        <is>
          <t>R1995710</t>
        </is>
      </c>
      <c r="F629" s="99" t="n">
        <v>44970</v>
      </c>
      <c r="G629" s="100" t="n"/>
    </row>
    <row r="630" ht="16" customHeight="1">
      <c r="A630" s="98" t="n">
        <v>44499</v>
      </c>
      <c r="B630" s="98" t="inlineStr">
        <is>
          <t>CRUZAN MANGO FLAVORED RUM</t>
        </is>
      </c>
      <c r="C630" s="97">
        <f>VLOOKUP(A630,SizeData!A$2:B$3839,2,FALSE)</f>
        <v/>
      </c>
      <c r="D630" s="98" t="n">
        <v>1</v>
      </c>
      <c r="E630" s="98" t="inlineStr">
        <is>
          <t>R2009092</t>
        </is>
      </c>
      <c r="F630" s="99" t="n">
        <v>45001</v>
      </c>
      <c r="G630" s="100" t="n"/>
    </row>
    <row r="631" ht="16" customHeight="1">
      <c r="A631" s="101" t="n">
        <v>44499</v>
      </c>
      <c r="B631" s="101" t="inlineStr">
        <is>
          <t>CRUZAN MANGO FLAVORED RUM</t>
        </is>
      </c>
      <c r="C631" s="102">
        <f>VLOOKUP(A631,SizeData!A$2:B$3839,2,FALSE)</f>
        <v/>
      </c>
      <c r="D631" s="101" t="n">
        <v>1</v>
      </c>
      <c r="E631" s="101" t="inlineStr">
        <is>
          <t>R2055049</t>
        </is>
      </c>
      <c r="F631" s="103" t="n">
        <v>45017</v>
      </c>
      <c r="G631" s="104" t="n"/>
    </row>
    <row r="632" ht="16" customHeight="1">
      <c r="A632" s="98" t="n">
        <v>44568</v>
      </c>
      <c r="B632" s="98" t="inlineStr">
        <is>
          <t>CRUZAN PEACH FLAVORED RUM</t>
        </is>
      </c>
      <c r="C632" s="97">
        <f>VLOOKUP(A632,SizeData!A$2:B$3839,2,FALSE)</f>
        <v/>
      </c>
      <c r="D632" s="98" t="n">
        <v>1</v>
      </c>
      <c r="E632" s="98" t="inlineStr">
        <is>
          <t>R2032001</t>
        </is>
      </c>
      <c r="F632" s="99" t="n">
        <v>45000</v>
      </c>
      <c r="G632" s="100" t="n"/>
    </row>
    <row r="633" ht="16" customHeight="1">
      <c r="A633" s="101" t="n">
        <v>44568</v>
      </c>
      <c r="B633" s="101" t="inlineStr">
        <is>
          <t>CRUZAN PEACH FLAVORED RUM</t>
        </is>
      </c>
      <c r="C633" s="102">
        <f>VLOOKUP(A633,SizeData!A$2:B$3839,2,FALSE)</f>
        <v/>
      </c>
      <c r="D633" s="101" t="n">
        <v>1</v>
      </c>
      <c r="E633" s="101" t="inlineStr">
        <is>
          <t>R2055049</t>
        </is>
      </c>
      <c r="F633" s="103" t="n">
        <v>45017</v>
      </c>
      <c r="G633" s="104" t="n"/>
    </row>
    <row r="634" ht="16" customHeight="1">
      <c r="A634" s="98" t="n">
        <v>44506</v>
      </c>
      <c r="B634" s="98" t="inlineStr">
        <is>
          <t>CRUZAN PINEAPPLE FLAVORED V.I. RUM</t>
        </is>
      </c>
      <c r="C634" s="97">
        <f>VLOOKUP(A634,SizeData!A$2:B$3839,2,FALSE)</f>
        <v/>
      </c>
      <c r="D634" s="98" t="n">
        <v>4</v>
      </c>
      <c r="E634" s="98" t="inlineStr">
        <is>
          <t>R1935901</t>
        </is>
      </c>
      <c r="F634" s="99" t="n">
        <v>44931</v>
      </c>
      <c r="G634" s="100" t="n"/>
    </row>
    <row r="635" ht="16" customHeight="1">
      <c r="A635" s="101" t="n">
        <v>44506</v>
      </c>
      <c r="B635" s="101" t="inlineStr">
        <is>
          <t>CRUZAN PINEAPPLE FLAVORED V.I. RUM</t>
        </is>
      </c>
      <c r="C635" s="102">
        <f>VLOOKUP(A635,SizeData!A$2:B$3839,2,FALSE)</f>
        <v/>
      </c>
      <c r="D635" s="101" t="n">
        <v>1</v>
      </c>
      <c r="E635" s="101" t="inlineStr">
        <is>
          <t>R1968845</t>
        </is>
      </c>
      <c r="F635" s="103" t="n">
        <v>44966</v>
      </c>
      <c r="G635" s="104" t="n"/>
    </row>
    <row r="636" ht="16" customHeight="1">
      <c r="A636" s="98" t="n">
        <v>44506</v>
      </c>
      <c r="B636" s="98" t="inlineStr">
        <is>
          <t>CRUZAN PINEAPPLE FLAVORED V.I. RUM</t>
        </is>
      </c>
      <c r="C636" s="97">
        <f>VLOOKUP(A636,SizeData!A$2:B$3839,2,FALSE)</f>
        <v/>
      </c>
      <c r="D636" s="98" t="n">
        <v>2</v>
      </c>
      <c r="E636" s="98" t="inlineStr">
        <is>
          <t>R2027408</t>
        </is>
      </c>
      <c r="F636" s="99" t="n">
        <v>45003</v>
      </c>
      <c r="G636" s="100" t="n"/>
    </row>
    <row r="637" ht="16" customHeight="1">
      <c r="A637" s="98" t="n">
        <v>44506</v>
      </c>
      <c r="B637" s="98" t="inlineStr">
        <is>
          <t>CRUZAN PINEAPPLE FLAVORED V.I. RUM</t>
        </is>
      </c>
      <c r="C637" s="97">
        <f>VLOOKUP(A637,SizeData!A$2:B$3839,2,FALSE)</f>
        <v/>
      </c>
      <c r="D637" s="98" t="n">
        <v>2</v>
      </c>
      <c r="E637" s="98" t="inlineStr">
        <is>
          <t>R2027408</t>
        </is>
      </c>
      <c r="F637" s="99" t="n">
        <v>45003</v>
      </c>
      <c r="G637" s="100" t="n"/>
    </row>
    <row r="638" ht="16" customHeight="1">
      <c r="A638" s="98" t="n">
        <v>44506</v>
      </c>
      <c r="B638" s="98" t="inlineStr">
        <is>
          <t>CRUZAN PINEAPPLE FLAVORED V.I. RUM</t>
        </is>
      </c>
      <c r="C638" s="97">
        <f>VLOOKUP(A638,SizeData!A$2:B$3839,2,FALSE)</f>
        <v/>
      </c>
      <c r="D638" s="98" t="n">
        <v>8</v>
      </c>
      <c r="E638" s="98" t="inlineStr">
        <is>
          <t>R2050666</t>
        </is>
      </c>
      <c r="F638" s="99" t="n">
        <v>45019</v>
      </c>
      <c r="G638" s="100" t="n"/>
    </row>
    <row r="639" ht="16" customHeight="1">
      <c r="A639" s="101" t="n">
        <v>44506</v>
      </c>
      <c r="B639" s="101" t="inlineStr">
        <is>
          <t>CRUZAN PINEAPPLE FLAVORED V.I. RUM</t>
        </is>
      </c>
      <c r="C639" s="102">
        <f>VLOOKUP(A639,SizeData!A$2:B$3839,2,FALSE)</f>
        <v/>
      </c>
      <c r="D639" s="101" t="n">
        <v>1</v>
      </c>
      <c r="E639" s="101" t="inlineStr">
        <is>
          <t>R2055049</t>
        </is>
      </c>
      <c r="F639" s="103" t="n">
        <v>45017</v>
      </c>
      <c r="G639" s="104" t="n"/>
    </row>
    <row r="640" ht="16" customHeight="1">
      <c r="A640" s="98" t="n">
        <v>52598</v>
      </c>
      <c r="B640" s="98" t="inlineStr">
        <is>
          <t>E &amp; J VS BRANDY</t>
        </is>
      </c>
      <c r="C640" s="97">
        <f>VLOOKUP(A640,SizeData!A$2:B$3839,2,FALSE)</f>
        <v/>
      </c>
      <c r="D640" s="98" t="n">
        <v>1</v>
      </c>
      <c r="E640" s="98" t="inlineStr">
        <is>
          <t>R1903425</t>
        </is>
      </c>
      <c r="F640" s="99" t="n">
        <v>44908</v>
      </c>
      <c r="G640" s="100" t="n"/>
    </row>
    <row r="641" ht="16" customHeight="1">
      <c r="A641" s="98" t="n">
        <v>52594</v>
      </c>
      <c r="B641" s="98" t="inlineStr">
        <is>
          <t>E &amp; J VS BRANDY</t>
        </is>
      </c>
      <c r="C641" s="97">
        <f>VLOOKUP(A641,SizeData!A$2:B$3839,2,FALSE)</f>
        <v/>
      </c>
      <c r="D641" s="98" t="n">
        <v>1</v>
      </c>
      <c r="E641" s="98" t="inlineStr">
        <is>
          <t>R1919402</t>
        </is>
      </c>
      <c r="F641" s="99" t="n">
        <v>44924</v>
      </c>
      <c r="G641" s="100" t="n"/>
    </row>
    <row r="642" ht="16" customHeight="1">
      <c r="A642" s="98" t="n">
        <v>44557</v>
      </c>
      <c r="B642" s="98" t="inlineStr">
        <is>
          <t>CRUZAN STRAWBERRY GINGER RUM</t>
        </is>
      </c>
      <c r="C642" s="97">
        <f>VLOOKUP(A642,SizeData!A$2:B$3839,2,FALSE)</f>
        <v/>
      </c>
      <c r="D642" s="98" t="n">
        <v>1</v>
      </c>
      <c r="E642" s="98" t="inlineStr">
        <is>
          <t>R1965714</t>
        </is>
      </c>
      <c r="F642" s="99" t="n">
        <v>44951</v>
      </c>
      <c r="G642" s="100" t="n"/>
    </row>
    <row r="643" ht="16" customFormat="1" customHeight="1" s="58">
      <c r="A643" s="101" t="n">
        <v>44557</v>
      </c>
      <c r="B643" s="101" t="inlineStr">
        <is>
          <t>CRUZAN STRAWBERRY GINGER RUM</t>
        </is>
      </c>
      <c r="C643" s="102">
        <f>VLOOKUP(A643,SizeData!A$2:B$3839,2,FALSE)</f>
        <v/>
      </c>
      <c r="D643" s="101" t="n">
        <v>1</v>
      </c>
      <c r="E643" s="101" t="inlineStr">
        <is>
          <t>R1959013</t>
        </is>
      </c>
      <c r="F643" s="103" t="n">
        <v>44959</v>
      </c>
      <c r="G643" s="104" t="n"/>
    </row>
    <row r="644" ht="16" customFormat="1" customHeight="1" s="58">
      <c r="A644" s="98" t="n">
        <v>44557</v>
      </c>
      <c r="B644" s="98" t="inlineStr">
        <is>
          <t>CRUZAN STRAWBERRY GINGER RUM</t>
        </is>
      </c>
      <c r="C644" s="97">
        <f>VLOOKUP(A644,SizeData!A$2:B$3839,2,FALSE)</f>
        <v/>
      </c>
      <c r="D644" s="98" t="n">
        <v>1</v>
      </c>
      <c r="E644" s="98" t="inlineStr">
        <is>
          <t>R2055049</t>
        </is>
      </c>
      <c r="F644" s="99" t="n">
        <v>45017</v>
      </c>
      <c r="G644" s="100" t="n"/>
    </row>
    <row r="645" ht="16" customFormat="1" customHeight="1" s="58">
      <c r="A645" s="98" t="n">
        <v>44557</v>
      </c>
      <c r="B645" s="98" t="inlineStr">
        <is>
          <t>CRUZAN STRAWBERRY GINGER RUM</t>
        </is>
      </c>
      <c r="C645" s="97">
        <f>VLOOKUP(A645,SizeData!A$2:B$3839,2,FALSE)</f>
        <v/>
      </c>
      <c r="D645" s="98" t="n">
        <v>3</v>
      </c>
      <c r="E645" s="98" t="inlineStr">
        <is>
          <t>R2064188</t>
        </is>
      </c>
      <c r="F645" s="99" t="n">
        <v>45036</v>
      </c>
      <c r="G645" s="100" t="n"/>
    </row>
    <row r="646" ht="16" customFormat="1" customHeight="1" s="58">
      <c r="A646" s="101" t="n">
        <v>44516</v>
      </c>
      <c r="B646" s="101" t="inlineStr">
        <is>
          <t>CRUZAN WHITE RUM</t>
        </is>
      </c>
      <c r="C646" s="102">
        <f>VLOOKUP(A646,SizeData!A$2:B$3839,2,FALSE)</f>
        <v/>
      </c>
      <c r="D646" s="101" t="n">
        <v>1</v>
      </c>
      <c r="E646" s="101" t="inlineStr">
        <is>
          <t>R1976594</t>
        </is>
      </c>
      <c r="F646" s="103" t="n">
        <v>44980</v>
      </c>
      <c r="G646" s="104" t="n"/>
    </row>
    <row r="647" ht="16" customFormat="1" customHeight="1" s="58">
      <c r="A647" s="101" t="n">
        <v>44516</v>
      </c>
      <c r="B647" s="101" t="inlineStr">
        <is>
          <t>CRUZAN WHITE RUM</t>
        </is>
      </c>
      <c r="C647" s="102">
        <f>VLOOKUP(A647,SizeData!A$2:B$3839,2,FALSE)</f>
        <v/>
      </c>
      <c r="D647" s="101" t="n">
        <v>1</v>
      </c>
      <c r="E647" s="101" t="inlineStr">
        <is>
          <t>R2055049</t>
        </is>
      </c>
      <c r="F647" s="103" t="n">
        <v>45017</v>
      </c>
      <c r="G647" s="104" t="n"/>
    </row>
    <row r="648" ht="16" customFormat="1" customHeight="1" s="58">
      <c r="A648" s="101" t="n">
        <v>44516</v>
      </c>
      <c r="B648" s="101" t="inlineStr">
        <is>
          <t>CRUZAN WHITE RUM</t>
        </is>
      </c>
      <c r="C648" s="102">
        <f>VLOOKUP(A648,SizeData!A$2:B$3839,2,FALSE)</f>
        <v/>
      </c>
      <c r="D648" s="101" t="n">
        <v>1</v>
      </c>
      <c r="E648" s="101" t="inlineStr">
        <is>
          <t>R2065113</t>
        </is>
      </c>
      <c r="F648" s="103" t="n">
        <v>45022</v>
      </c>
      <c r="G648" s="104" t="n"/>
    </row>
    <row r="649" ht="16" customFormat="1" customHeight="1" s="58">
      <c r="A649" s="98" t="n">
        <v>58835</v>
      </c>
      <c r="B649" s="98" t="inlineStr">
        <is>
          <t>CUERVO AUTHETIC MARGARITAS</t>
        </is>
      </c>
      <c r="C649" s="97">
        <f>VLOOKUP(A649,SizeData!A$2:B$3839,2,FALSE)</f>
        <v/>
      </c>
      <c r="D649" s="98" t="n">
        <v>2</v>
      </c>
      <c r="E649" s="98" t="inlineStr">
        <is>
          <t>R1986800</t>
        </is>
      </c>
      <c r="F649" s="99" t="n">
        <v>44972</v>
      </c>
      <c r="G649" s="100" t="n"/>
    </row>
    <row r="650" ht="16" customFormat="1" customHeight="1" s="58">
      <c r="A650" s="98" t="n">
        <v>58835</v>
      </c>
      <c r="B650" s="98" t="inlineStr">
        <is>
          <t>CUERVO AUTHETIC MARGARITAS</t>
        </is>
      </c>
      <c r="C650" s="97">
        <f>VLOOKUP(A650,SizeData!A$2:B$3839,2,FALSE)</f>
        <v/>
      </c>
      <c r="D650" s="98" t="n">
        <v>1</v>
      </c>
      <c r="E650" s="98" t="inlineStr">
        <is>
          <t>R1996314</t>
        </is>
      </c>
      <c r="F650" s="99" t="n">
        <v>44979</v>
      </c>
      <c r="G650" s="100" t="n"/>
    </row>
    <row r="651" ht="16" customFormat="1" customHeight="1" s="58">
      <c r="A651" s="98" t="n">
        <v>58835</v>
      </c>
      <c r="B651" s="98" t="inlineStr">
        <is>
          <t>CUERVO AUTHETIC MARGARITAS</t>
        </is>
      </c>
      <c r="C651" s="97">
        <f>VLOOKUP(A651,SizeData!A$2:B$3839,2,FALSE)</f>
        <v/>
      </c>
      <c r="D651" s="98" t="n">
        <v>3</v>
      </c>
      <c r="E651" s="98" t="inlineStr">
        <is>
          <t>R2070652</t>
        </is>
      </c>
      <c r="F651" s="99" t="n">
        <v>45028</v>
      </c>
      <c r="G651" s="100" t="n"/>
    </row>
    <row r="652" ht="16" customFormat="1" customHeight="1" s="58">
      <c r="A652" s="101" t="n">
        <v>58835</v>
      </c>
      <c r="B652" s="101" t="inlineStr">
        <is>
          <t>CUERVO AUTHETIC MARGARITAS</t>
        </is>
      </c>
      <c r="C652" s="102">
        <f>VLOOKUP(A652,SizeData!A$2:B$3839,2,FALSE)</f>
        <v/>
      </c>
      <c r="D652" s="101" t="n">
        <v>1</v>
      </c>
      <c r="E652" s="101" t="inlineStr">
        <is>
          <t>R2070652</t>
        </is>
      </c>
      <c r="F652" s="103" t="n">
        <v>45028</v>
      </c>
      <c r="G652" s="104" t="n"/>
    </row>
    <row r="653" ht="16" customFormat="1" customHeight="1" s="58">
      <c r="A653" s="98" t="n">
        <v>58876</v>
      </c>
      <c r="B653" s="98" t="inlineStr">
        <is>
          <t>CUERVO GOLD MARGARITA</t>
        </is>
      </c>
      <c r="C653" s="97">
        <f>VLOOKUP(A653,SizeData!A$2:B$3839,2,FALSE)</f>
        <v/>
      </c>
      <c r="D653" s="98" t="n">
        <v>1</v>
      </c>
      <c r="E653" s="98" t="inlineStr">
        <is>
          <t>R1914089</t>
        </is>
      </c>
      <c r="F653" s="99" t="n">
        <v>44927</v>
      </c>
      <c r="G653" s="100" t="n"/>
    </row>
    <row r="654" ht="16" customFormat="1" customHeight="1" s="58">
      <c r="A654" s="98" t="n">
        <v>58876</v>
      </c>
      <c r="B654" s="98" t="inlineStr">
        <is>
          <t>CUERVO GOLD MARGARITA</t>
        </is>
      </c>
      <c r="C654" s="97">
        <f>VLOOKUP(A654,SizeData!A$2:B$3839,2,FALSE)</f>
        <v/>
      </c>
      <c r="D654" s="98" t="n">
        <v>1</v>
      </c>
      <c r="E654" s="98" t="inlineStr">
        <is>
          <t>R1924344</t>
        </is>
      </c>
      <c r="F654" s="99" t="n">
        <v>44933</v>
      </c>
      <c r="G654" s="100" t="n"/>
    </row>
    <row r="655" ht="16" customFormat="1" customHeight="1" s="58">
      <c r="A655" s="98" t="n">
        <v>58876</v>
      </c>
      <c r="B655" s="98" t="inlineStr">
        <is>
          <t>CUERVO GOLD MARGARITA</t>
        </is>
      </c>
      <c r="C655" s="97">
        <f>VLOOKUP(A655,SizeData!A$2:B$3839,2,FALSE)</f>
        <v/>
      </c>
      <c r="D655" s="98" t="n">
        <v>1</v>
      </c>
      <c r="E655" s="98" t="inlineStr">
        <is>
          <t>R2010982</t>
        </is>
      </c>
      <c r="F655" s="99" t="n">
        <v>44995</v>
      </c>
      <c r="G655" s="100" t="n"/>
    </row>
    <row r="656" ht="16" customFormat="1" customHeight="1" s="58">
      <c r="A656" s="98" t="n">
        <v>58875</v>
      </c>
      <c r="B656" s="98" t="inlineStr">
        <is>
          <t>CUERVO GOLD MARGARITA</t>
        </is>
      </c>
      <c r="C656" s="97">
        <f>VLOOKUP(A656,SizeData!A$2:B$3839,2,FALSE)</f>
        <v/>
      </c>
      <c r="D656" s="98" t="n">
        <v>1</v>
      </c>
      <c r="E656" s="98" t="inlineStr">
        <is>
          <t>R2055049</t>
        </is>
      </c>
      <c r="F656" s="99" t="n">
        <v>45017</v>
      </c>
      <c r="G656" s="100" t="n"/>
    </row>
    <row r="657" ht="16" customFormat="1" customHeight="1" s="58">
      <c r="A657" s="98" t="n">
        <v>58875</v>
      </c>
      <c r="B657" s="98" t="inlineStr">
        <is>
          <t>CUERVO GOLD MARGARITA</t>
        </is>
      </c>
      <c r="C657" s="97">
        <f>VLOOKUP(A657,SizeData!A$2:B$3839,2,FALSE)</f>
        <v/>
      </c>
      <c r="D657" s="98" t="n">
        <v>1</v>
      </c>
      <c r="E657" s="98" t="inlineStr">
        <is>
          <t>R2065113</t>
        </is>
      </c>
      <c r="F657" s="99" t="n">
        <v>45022</v>
      </c>
      <c r="G657" s="100" t="n"/>
    </row>
    <row r="658" ht="16" customFormat="1" customHeight="1" s="58">
      <c r="A658" s="98" t="n">
        <v>58876</v>
      </c>
      <c r="B658" s="98" t="inlineStr">
        <is>
          <t>CUERVO GOLD MARGARITA</t>
        </is>
      </c>
      <c r="C658" s="97">
        <f>VLOOKUP(A658,SizeData!A$2:B$3839,2,FALSE)</f>
        <v/>
      </c>
      <c r="D658" s="98" t="n">
        <v>1</v>
      </c>
      <c r="E658" s="98" t="inlineStr">
        <is>
          <t>R2082317</t>
        </is>
      </c>
      <c r="F658" s="99" t="n">
        <v>45047</v>
      </c>
      <c r="G658" s="100" t="n"/>
    </row>
    <row r="659" ht="16" customFormat="1" customHeight="1" s="58">
      <c r="A659" s="98" t="n">
        <v>58836</v>
      </c>
      <c r="B659" s="98" t="inlineStr">
        <is>
          <t>CUERVO LIME MARGARITA / 20PF</t>
        </is>
      </c>
      <c r="C659" s="97">
        <f>VLOOKUP(A659,SizeData!A$2:B$3839,2,FALSE)</f>
        <v/>
      </c>
      <c r="D659" s="98" t="n">
        <v>1</v>
      </c>
      <c r="E659" s="98" t="inlineStr">
        <is>
          <t>R1919341</t>
        </is>
      </c>
      <c r="F659" s="99" t="n">
        <v>44930</v>
      </c>
      <c r="G659" s="100" t="n"/>
    </row>
    <row r="660" ht="16" customFormat="1" customHeight="1" s="58">
      <c r="A660" s="98" t="n">
        <v>58836</v>
      </c>
      <c r="B660" s="98" t="inlineStr">
        <is>
          <t>CUERVO LIME MARGARITA / 20PF</t>
        </is>
      </c>
      <c r="C660" s="97">
        <f>VLOOKUP(A660,SizeData!A$2:B$3839,2,FALSE)</f>
        <v/>
      </c>
      <c r="D660" s="98" t="n">
        <v>1</v>
      </c>
      <c r="E660" s="98" t="inlineStr">
        <is>
          <t>R2055049</t>
        </is>
      </c>
      <c r="F660" s="99" t="n">
        <v>45017</v>
      </c>
      <c r="G660" s="100" t="n"/>
    </row>
    <row r="661" ht="16" customFormat="1" customHeight="1" s="58">
      <c r="A661" s="98" t="n">
        <v>58836</v>
      </c>
      <c r="B661" s="98" t="inlineStr">
        <is>
          <t>CUERVO LIME MARGARITA / 20PF</t>
        </is>
      </c>
      <c r="C661" s="97">
        <f>VLOOKUP(A661,SizeData!A$2:B$3839,2,FALSE)</f>
        <v/>
      </c>
      <c r="D661" s="98" t="n">
        <v>1</v>
      </c>
      <c r="E661" s="98" t="inlineStr">
        <is>
          <t>R2070652</t>
        </is>
      </c>
      <c r="F661" s="99" t="n">
        <v>45028</v>
      </c>
      <c r="G661" s="100" t="n"/>
    </row>
    <row r="662" ht="16" customFormat="1" customHeight="1" s="58">
      <c r="A662" s="98" t="n">
        <v>58838</v>
      </c>
      <c r="B662" s="98" t="inlineStr">
        <is>
          <t>CUERVO LIME MARGARITA / 20PF</t>
        </is>
      </c>
      <c r="C662" s="97">
        <f>VLOOKUP(A662,SizeData!A$2:B$3839,2,FALSE)</f>
        <v/>
      </c>
      <c r="D662" s="98" t="n">
        <v>2</v>
      </c>
      <c r="E662" s="98" t="inlineStr">
        <is>
          <t>R2082317</t>
        </is>
      </c>
      <c r="F662" s="99" t="n">
        <v>45047</v>
      </c>
      <c r="G662" s="100" t="n"/>
    </row>
    <row r="663" ht="16" customFormat="1" customHeight="1" s="58">
      <c r="A663" s="98" t="n">
        <v>58866</v>
      </c>
      <c r="B663" s="98" t="inlineStr">
        <is>
          <t>CUERVO STRAWBERRY MARGARITA / 20PF</t>
        </is>
      </c>
      <c r="C663" s="97">
        <f>VLOOKUP(A663,SizeData!A$2:B$3839,2,FALSE)</f>
        <v/>
      </c>
      <c r="D663" s="98" t="n">
        <v>1</v>
      </c>
      <c r="E663" s="98" t="inlineStr">
        <is>
          <t>R1919341</t>
        </is>
      </c>
      <c r="F663" s="99" t="n">
        <v>44930</v>
      </c>
      <c r="G663" s="100" t="n"/>
    </row>
    <row r="664" ht="16" customFormat="1" customHeight="1" s="58">
      <c r="A664" s="101" t="n">
        <v>58868</v>
      </c>
      <c r="B664" s="101" t="inlineStr">
        <is>
          <t>CUERVO STRAWBERRY MARGARITA / 20PF</t>
        </is>
      </c>
      <c r="C664" s="102">
        <f>VLOOKUP(A664,SizeData!A$2:B$3839,2,FALSE)</f>
        <v/>
      </c>
      <c r="D664" s="101" t="n">
        <v>2</v>
      </c>
      <c r="E664" s="101" t="inlineStr">
        <is>
          <t>R2030138</t>
        </is>
      </c>
      <c r="F664" s="103" t="n">
        <v>44986</v>
      </c>
      <c r="G664" s="104" t="n"/>
    </row>
    <row r="665" ht="16" customFormat="1" customHeight="1" s="58">
      <c r="A665" s="101" t="n">
        <v>58868</v>
      </c>
      <c r="B665" s="101" t="inlineStr">
        <is>
          <t>CUERVO STRAWBERRY MARGARITA / 20PF</t>
        </is>
      </c>
      <c r="C665" s="102">
        <f>VLOOKUP(A665,SizeData!A$2:B$3839,2,FALSE)</f>
        <v/>
      </c>
      <c r="D665" s="101" t="n">
        <v>1</v>
      </c>
      <c r="E665" s="101" t="inlineStr">
        <is>
          <t>R2017905</t>
        </is>
      </c>
      <c r="F665" s="103" t="n">
        <v>44993</v>
      </c>
      <c r="G665" s="104" t="n"/>
    </row>
    <row r="666" ht="16" customFormat="1" customHeight="1" s="58">
      <c r="A666" s="98" t="n">
        <v>58866</v>
      </c>
      <c r="B666" s="98" t="inlineStr">
        <is>
          <t>CUERVO STRAWBERRY MARGARITA / 20PF</t>
        </is>
      </c>
      <c r="C666" s="97">
        <f>VLOOKUP(A666,SizeData!A$2:B$3839,2,FALSE)</f>
        <v/>
      </c>
      <c r="D666" s="98" t="n">
        <v>1</v>
      </c>
      <c r="E666" s="98" t="inlineStr">
        <is>
          <t>R2055049</t>
        </is>
      </c>
      <c r="F666" s="99" t="n">
        <v>45017</v>
      </c>
      <c r="G666" s="100" t="n"/>
    </row>
    <row r="667" ht="16" customFormat="1" customHeight="1" s="58">
      <c r="A667" s="98" t="n">
        <v>58866</v>
      </c>
      <c r="B667" s="98" t="inlineStr">
        <is>
          <t>CUERVO STRAWBERRY MARGARITA / 20PF</t>
        </is>
      </c>
      <c r="C667" s="97">
        <f>VLOOKUP(A667,SizeData!A$2:B$3839,2,FALSE)</f>
        <v/>
      </c>
      <c r="D667" s="98" t="n">
        <v>1</v>
      </c>
      <c r="E667" s="98" t="inlineStr">
        <is>
          <t>R2070652</t>
        </is>
      </c>
      <c r="F667" s="99" t="n">
        <v>45028</v>
      </c>
      <c r="G667" s="100" t="n"/>
    </row>
    <row r="668" ht="16" customFormat="1" customHeight="1" s="58">
      <c r="A668" s="98" t="n">
        <v>58868</v>
      </c>
      <c r="B668" s="98" t="inlineStr">
        <is>
          <t>CUERVO STRAWBERRY MARGARITA / 20PF</t>
        </is>
      </c>
      <c r="C668" s="97">
        <f>VLOOKUP(A668,SizeData!A$2:B$3839,2,FALSE)</f>
        <v/>
      </c>
      <c r="D668" s="98" t="n">
        <v>2</v>
      </c>
      <c r="E668" s="98" t="inlineStr">
        <is>
          <t>R2056672</t>
        </is>
      </c>
      <c r="F668" s="99" t="n">
        <v>45031</v>
      </c>
      <c r="G668" s="100" t="n"/>
    </row>
    <row r="669" ht="16" customFormat="1" customHeight="1" s="58">
      <c r="A669" s="98" t="n">
        <v>58868</v>
      </c>
      <c r="B669" s="98" t="inlineStr">
        <is>
          <t>CUERVO STRAWBERRY MARGARITA / 20PF</t>
        </is>
      </c>
      <c r="C669" s="97">
        <f>VLOOKUP(A669,SizeData!A$2:B$3839,2,FALSE)</f>
        <v/>
      </c>
      <c r="D669" s="98" t="n">
        <v>1</v>
      </c>
      <c r="E669" s="98" t="inlineStr">
        <is>
          <t>R2082317</t>
        </is>
      </c>
      <c r="F669" s="99" t="n">
        <v>45047</v>
      </c>
      <c r="G669" s="100" t="n"/>
    </row>
    <row r="670" ht="16" customFormat="1" customHeight="1" s="58">
      <c r="A670" s="98" t="n">
        <v>16098</v>
      </c>
      <c r="B670" s="98" t="inlineStr">
        <is>
          <t>EVAN WILLIAMS WHITE LABEL</t>
        </is>
      </c>
      <c r="C670" s="97">
        <f>VLOOKUP(A670,SizeData!A$2:B$3839,2,FALSE)</f>
        <v/>
      </c>
      <c r="D670" s="98" t="n">
        <v>1</v>
      </c>
      <c r="E670" s="98" t="inlineStr">
        <is>
          <t>R1910748</t>
        </is>
      </c>
      <c r="F670" s="99" t="n">
        <v>44908</v>
      </c>
      <c r="G670" s="100" t="n"/>
    </row>
    <row r="671" ht="16" customFormat="1" customHeight="1" s="58">
      <c r="A671" s="98" t="n">
        <v>16098</v>
      </c>
      <c r="B671" s="98" t="inlineStr">
        <is>
          <t>EVAN WILLIAMS WHITE LABEL</t>
        </is>
      </c>
      <c r="C671" s="97">
        <f>VLOOKUP(A671,SizeData!A$2:B$3839,2,FALSE)</f>
        <v/>
      </c>
      <c r="D671" s="98" t="n">
        <v>2</v>
      </c>
      <c r="E671" s="98" t="inlineStr">
        <is>
          <t>R1916005</t>
        </is>
      </c>
      <c r="F671" s="99" t="n">
        <v>44911</v>
      </c>
      <c r="G671" s="100" t="n"/>
    </row>
    <row r="672" ht="16" customFormat="1" customHeight="1" s="58">
      <c r="A672" s="98" t="n">
        <v>16098</v>
      </c>
      <c r="B672" s="98" t="inlineStr">
        <is>
          <t>EVAN WILLIAMS WHITE LABEL</t>
        </is>
      </c>
      <c r="C672" s="97">
        <f>VLOOKUP(A672,SizeData!A$2:B$3839,2,FALSE)</f>
        <v/>
      </c>
      <c r="D672" s="98" t="n">
        <v>2</v>
      </c>
      <c r="E672" s="98" t="inlineStr">
        <is>
          <t>R1911923</t>
        </is>
      </c>
      <c r="F672" s="99" t="n">
        <v>44912</v>
      </c>
      <c r="G672" s="100" t="n"/>
    </row>
    <row r="673" ht="16" customFormat="1" customHeight="1" s="58">
      <c r="A673" s="98" t="n">
        <v>41836</v>
      </c>
      <c r="B673" s="98" t="inlineStr">
        <is>
          <t>EVERCLEAR 190 ALCOHOL</t>
        </is>
      </c>
      <c r="C673" s="97">
        <f>VLOOKUP(A673,SizeData!A$2:B$3839,2,FALSE)</f>
        <v/>
      </c>
      <c r="D673" s="98" t="n">
        <v>2</v>
      </c>
      <c r="E673" s="98" t="inlineStr">
        <is>
          <t>R1911923</t>
        </is>
      </c>
      <c r="F673" s="99" t="n">
        <v>44912</v>
      </c>
      <c r="G673" s="100" t="n"/>
    </row>
    <row r="674" ht="16" customFormat="1" customHeight="1" s="58">
      <c r="A674" s="98" t="n">
        <v>560350</v>
      </c>
      <c r="B674" s="98" t="inlineStr">
        <is>
          <t>CUPCAKE CHARDONNAY CENTRAL COAST</t>
        </is>
      </c>
      <c r="C674" s="97">
        <f>VLOOKUP(A674,SizeData!A$2:B$3839,2,FALSE)</f>
        <v/>
      </c>
      <c r="D674" s="98" t="n">
        <v>1</v>
      </c>
      <c r="E674" s="98" t="inlineStr">
        <is>
          <t>R1997856</t>
        </is>
      </c>
      <c r="F674" s="99" t="n">
        <v>44987</v>
      </c>
      <c r="G674" s="100" t="n"/>
    </row>
    <row r="675" ht="16" customFormat="1" customHeight="1" s="58">
      <c r="A675" s="98" t="n">
        <v>359592</v>
      </c>
      <c r="B675" s="98" t="inlineStr">
        <is>
          <t>CUPCAKE MOSCATO</t>
        </is>
      </c>
      <c r="C675" s="97">
        <f>VLOOKUP(A675,SizeData!A$2:B$3839,2,FALSE)</f>
        <v/>
      </c>
      <c r="D675" s="98" t="n">
        <v>2</v>
      </c>
      <c r="E675" s="98" t="inlineStr">
        <is>
          <t>R2012784</t>
        </is>
      </c>
      <c r="F675" s="99" t="n">
        <v>44992</v>
      </c>
      <c r="G675" s="100" t="n"/>
    </row>
    <row r="676" ht="16" customHeight="1">
      <c r="A676" s="98" t="n">
        <v>58267</v>
      </c>
      <c r="B676" s="98" t="inlineStr">
        <is>
          <t>CUTWATER PINA COLADA</t>
        </is>
      </c>
      <c r="C676" s="97">
        <f>VLOOKUP(A676,SizeData!A$2:B$3839,2,FALSE)</f>
        <v/>
      </c>
      <c r="D676" s="98" t="n">
        <v>1</v>
      </c>
      <c r="E676" s="98" t="inlineStr">
        <is>
          <t>R1949716</t>
        </is>
      </c>
      <c r="F676" s="99" t="n">
        <v>44950</v>
      </c>
      <c r="G676" s="100" t="n"/>
    </row>
    <row r="677" ht="16" customHeight="1">
      <c r="A677" s="98" t="n">
        <v>58267</v>
      </c>
      <c r="B677" s="98" t="inlineStr">
        <is>
          <t>CUTWATER PINA COLADA</t>
        </is>
      </c>
      <c r="C677" s="97">
        <f>VLOOKUP(A677,SizeData!A$2:B$3839,2,FALSE)</f>
        <v/>
      </c>
      <c r="D677" s="98" t="n">
        <v>1</v>
      </c>
      <c r="E677" s="98" t="inlineStr">
        <is>
          <t>R1965714</t>
        </is>
      </c>
      <c r="F677" s="99" t="n">
        <v>44951</v>
      </c>
      <c r="G677" s="100" t="n"/>
    </row>
    <row r="678" ht="16" customHeight="1">
      <c r="A678" s="98" t="n">
        <v>58269</v>
      </c>
      <c r="B678" s="98" t="inlineStr">
        <is>
          <t>CUTWATER STRAWBERRY MARGARITA</t>
        </is>
      </c>
      <c r="C678" s="97">
        <f>VLOOKUP(A678,SizeData!A$2:B$3839,2,FALSE)</f>
        <v/>
      </c>
      <c r="D678" s="98" t="n">
        <v>1</v>
      </c>
      <c r="E678" s="98" t="inlineStr">
        <is>
          <t>R1965714</t>
        </is>
      </c>
      <c r="F678" s="99" t="n">
        <v>44951</v>
      </c>
      <c r="G678" s="100" t="n"/>
    </row>
    <row r="679" ht="16" customHeight="1">
      <c r="A679" s="98" t="n">
        <v>65013</v>
      </c>
      <c r="B679" s="98" t="inlineStr">
        <is>
          <t>FIREBALL CINNAMON WHISKEY (PET)</t>
        </is>
      </c>
      <c r="C679" s="97">
        <f>VLOOKUP(A679,SizeData!A$2:B$3839,2,FALSE)</f>
        <v/>
      </c>
      <c r="D679" s="98" t="n">
        <v>5</v>
      </c>
      <c r="E679" s="98" t="inlineStr">
        <is>
          <t>R1910748</t>
        </is>
      </c>
      <c r="F679" s="99" t="n">
        <v>44908</v>
      </c>
      <c r="G679" s="100" t="n"/>
    </row>
    <row r="680" ht="16" customHeight="1">
      <c r="A680" s="98" t="n">
        <v>64864</v>
      </c>
      <c r="B680" s="98" t="inlineStr">
        <is>
          <t>FIREBALL CINNAMON WHISKEY (PET)</t>
        </is>
      </c>
      <c r="C680" s="97">
        <f>VLOOKUP(A680,SizeData!A$2:B$3839,2,FALSE)</f>
        <v/>
      </c>
      <c r="D680" s="98" t="n">
        <v>1</v>
      </c>
      <c r="E680" s="98" t="inlineStr">
        <is>
          <t>R1910748</t>
        </is>
      </c>
      <c r="F680" s="99" t="n">
        <v>44908</v>
      </c>
      <c r="G680" s="100" t="n"/>
    </row>
    <row r="681" ht="16" customHeight="1">
      <c r="A681" s="98" t="n">
        <v>40053</v>
      </c>
      <c r="B681" s="98" t="inlineStr">
        <is>
          <t>DEEP EDDY LEMON FLAVORED VODKA</t>
        </is>
      </c>
      <c r="C681" s="97">
        <f>VLOOKUP(A681,SizeData!A$2:B$3839,2,FALSE)</f>
        <v/>
      </c>
      <c r="D681" s="98" t="n">
        <v>2</v>
      </c>
      <c r="E681" s="98" t="inlineStr">
        <is>
          <t>R1938333</t>
        </is>
      </c>
      <c r="F681" s="99" t="n">
        <v>44945</v>
      </c>
      <c r="G681" s="100" t="n"/>
    </row>
    <row r="682" ht="16" customHeight="1">
      <c r="A682" s="98" t="n">
        <v>85526</v>
      </c>
      <c r="B682" s="98" t="inlineStr">
        <is>
          <t>DEKUYPER BLUE CURACAO</t>
        </is>
      </c>
      <c r="C682" s="97">
        <f>VLOOKUP(A682,SizeData!A$2:B$3839,2,FALSE)</f>
        <v/>
      </c>
      <c r="D682" s="98" t="n">
        <v>1</v>
      </c>
      <c r="E682" s="98" t="inlineStr">
        <is>
          <t>R1999510</t>
        </is>
      </c>
      <c r="F682" s="99" t="n">
        <v>44987</v>
      </c>
      <c r="G682" s="100" t="n"/>
    </row>
    <row r="683" ht="16" customHeight="1">
      <c r="A683" s="98" t="n">
        <v>82846</v>
      </c>
      <c r="B683" s="98" t="inlineStr">
        <is>
          <t>DEKUYPER PEACHTREE SCHNAPPS</t>
        </is>
      </c>
      <c r="C683" s="97">
        <f>VLOOKUP(A683,SizeData!A$2:B$3839,2,FALSE)</f>
        <v/>
      </c>
      <c r="D683" s="98" t="n">
        <v>1</v>
      </c>
      <c r="E683" s="98" t="inlineStr">
        <is>
          <t>R2073308</t>
        </is>
      </c>
      <c r="F683" s="99" t="n">
        <v>45038</v>
      </c>
      <c r="G683" s="100" t="n"/>
    </row>
    <row r="684" ht="16" customHeight="1">
      <c r="A684" s="98" t="n">
        <v>82820</v>
      </c>
      <c r="B684" s="98" t="inlineStr">
        <is>
          <t>DEKUYPER STRAWBERRY PUCKER SCHNAPPS</t>
        </is>
      </c>
      <c r="C684" s="97">
        <f>VLOOKUP(A684,SizeData!A$2:B$3839,2,FALSE)</f>
        <v/>
      </c>
      <c r="D684" s="98" t="n">
        <v>1</v>
      </c>
      <c r="E684" s="98" t="inlineStr">
        <is>
          <t>R1993316</t>
        </is>
      </c>
      <c r="F684" s="99" t="n">
        <v>44980</v>
      </c>
      <c r="G684" s="100" t="n"/>
    </row>
    <row r="685" ht="16" customHeight="1">
      <c r="A685" s="98" t="n">
        <v>86110</v>
      </c>
      <c r="B685" s="98" t="inlineStr">
        <is>
          <t>DEKUYPER TRIPLE SEC</t>
        </is>
      </c>
      <c r="C685" s="97">
        <f>VLOOKUP(A685,SizeData!A$2:B$3839,2,FALSE)</f>
        <v/>
      </c>
      <c r="D685" s="98" t="n">
        <v>1</v>
      </c>
      <c r="E685" s="98" t="inlineStr">
        <is>
          <t>R1926599</t>
        </is>
      </c>
      <c r="F685" s="99" t="n">
        <v>44933</v>
      </c>
      <c r="G685" s="100" t="n"/>
    </row>
    <row r="686" ht="16" customHeight="1">
      <c r="A686" s="98" t="n">
        <v>86110</v>
      </c>
      <c r="B686" s="98" t="inlineStr">
        <is>
          <t>DEKUYPER TRIPLE SEC</t>
        </is>
      </c>
      <c r="C686" s="97">
        <f>VLOOKUP(A686,SizeData!A$2:B$3839,2,FALSE)</f>
        <v/>
      </c>
      <c r="D686" s="98" t="n">
        <v>1</v>
      </c>
      <c r="E686" s="98" t="inlineStr">
        <is>
          <t>R2073308</t>
        </is>
      </c>
      <c r="F686" s="99" t="n">
        <v>45038</v>
      </c>
      <c r="G686" s="100" t="n"/>
    </row>
    <row r="687" ht="16" customHeight="1">
      <c r="A687" s="98" t="n">
        <v>87563</v>
      </c>
      <c r="B687" s="98" t="inlineStr">
        <is>
          <t>DELEON BLANCO TEQUILA</t>
        </is>
      </c>
      <c r="C687" s="97">
        <f>VLOOKUP(A687,SizeData!A$2:B$3839,2,FALSE)</f>
        <v/>
      </c>
      <c r="D687" s="98" t="n">
        <v>3</v>
      </c>
      <c r="E687" s="98" t="inlineStr">
        <is>
          <t>R1926446</t>
        </is>
      </c>
      <c r="F687" s="99" t="n">
        <v>44930</v>
      </c>
      <c r="G687" s="100" t="n"/>
    </row>
    <row r="688" ht="16" customFormat="1" customHeight="1" s="58">
      <c r="A688" s="98" t="n">
        <v>87563</v>
      </c>
      <c r="B688" s="98" t="inlineStr">
        <is>
          <t>DELEON BLANCO TEQUILA</t>
        </is>
      </c>
      <c r="C688" s="97">
        <f>VLOOKUP(A688,SizeData!A$2:B$3839,2,FALSE)</f>
        <v/>
      </c>
      <c r="D688" s="98" t="n">
        <v>2</v>
      </c>
      <c r="E688" s="98" t="inlineStr">
        <is>
          <t>R1946720</t>
        </is>
      </c>
      <c r="F688" s="99" t="n">
        <v>44943</v>
      </c>
      <c r="G688" s="100" t="n"/>
    </row>
    <row r="689" ht="16" customFormat="1" customHeight="1" s="58">
      <c r="A689" s="98" t="n">
        <v>87563</v>
      </c>
      <c r="B689" s="98" t="inlineStr">
        <is>
          <t>DELEON BLANCO TEQUILA</t>
        </is>
      </c>
      <c r="C689" s="97">
        <f>VLOOKUP(A689,SizeData!A$2:B$3839,2,FALSE)</f>
        <v/>
      </c>
      <c r="D689" s="98" t="n">
        <v>1</v>
      </c>
      <c r="E689" s="98" t="inlineStr">
        <is>
          <t>R2027408</t>
        </is>
      </c>
      <c r="F689" s="99" t="n">
        <v>45003</v>
      </c>
      <c r="G689" s="100" t="n"/>
    </row>
    <row r="690" ht="16" customFormat="1" customHeight="1" s="58">
      <c r="A690" s="98" t="n">
        <v>87563</v>
      </c>
      <c r="B690" s="98" t="inlineStr">
        <is>
          <t>DELEON BLANCO TEQUILA</t>
        </is>
      </c>
      <c r="C690" s="97">
        <f>VLOOKUP(A690,SizeData!A$2:B$3839,2,FALSE)</f>
        <v/>
      </c>
      <c r="D690" s="98" t="n">
        <v>1</v>
      </c>
      <c r="E690" s="98" t="inlineStr">
        <is>
          <t>R2027408</t>
        </is>
      </c>
      <c r="F690" s="99" t="n">
        <v>45003</v>
      </c>
      <c r="G690" s="100" t="n"/>
    </row>
    <row r="691" ht="16" customFormat="1" customHeight="1" s="58">
      <c r="A691" s="98" t="n">
        <v>87563</v>
      </c>
      <c r="B691" s="98" t="inlineStr">
        <is>
          <t>DELEON BLANCO TEQUILA</t>
        </is>
      </c>
      <c r="C691" s="97">
        <f>VLOOKUP(A691,SizeData!A$2:B$3839,2,FALSE)</f>
        <v/>
      </c>
      <c r="D691" s="98" t="n">
        <v>1</v>
      </c>
      <c r="E691" s="98" t="inlineStr">
        <is>
          <t>R2065347</t>
        </is>
      </c>
      <c r="F691" s="99" t="n">
        <v>45026</v>
      </c>
      <c r="G691" s="100" t="n"/>
    </row>
    <row r="692" ht="16" customFormat="1" customHeight="1" s="58">
      <c r="A692" s="98" t="n">
        <v>87563</v>
      </c>
      <c r="B692" s="98" t="inlineStr">
        <is>
          <t>DELEON BLANCO TEQUILA</t>
        </is>
      </c>
      <c r="C692" s="97">
        <f>VLOOKUP(A692,SizeData!A$2:B$3839,2,FALSE)</f>
        <v/>
      </c>
      <c r="D692" s="98" t="n">
        <v>2</v>
      </c>
      <c r="E692" s="98" t="inlineStr">
        <is>
          <t>R2072241</t>
        </is>
      </c>
      <c r="F692" s="99" t="n">
        <v>45035</v>
      </c>
      <c r="G692" s="100" t="n"/>
    </row>
    <row r="693" ht="16" customFormat="1" customHeight="1" s="58">
      <c r="A693" s="98" t="n">
        <v>87563</v>
      </c>
      <c r="B693" s="98" t="inlineStr">
        <is>
          <t>DELEON BLANCO TEQUILA</t>
        </is>
      </c>
      <c r="C693" s="97">
        <f>VLOOKUP(A693,SizeData!A$2:B$3839,2,FALSE)</f>
        <v/>
      </c>
      <c r="D693" s="98" t="n">
        <v>2</v>
      </c>
      <c r="E693" s="98" t="inlineStr">
        <is>
          <t>R2083415</t>
        </is>
      </c>
      <c r="F693" s="99" t="n">
        <v>45048</v>
      </c>
      <c r="G693" s="100" t="n"/>
    </row>
    <row r="694" ht="16" customFormat="1" customHeight="1" s="58">
      <c r="A694" s="98" t="n">
        <v>565371</v>
      </c>
      <c r="B694" s="98" t="inlineStr">
        <is>
          <t>FLIP FLOP CHARDONNAY</t>
        </is>
      </c>
      <c r="C694" s="97">
        <f>VLOOKUP(A694,SizeData!A$2:B$3839,2,FALSE)</f>
        <v/>
      </c>
      <c r="D694" s="98" t="n">
        <v>1</v>
      </c>
      <c r="E694" s="98" t="inlineStr">
        <is>
          <t>R1923324</t>
        </is>
      </c>
      <c r="F694" s="99" t="n">
        <v>44923</v>
      </c>
      <c r="G694" s="100" t="n"/>
    </row>
    <row r="695" ht="16" customFormat="1" customHeight="1" s="58">
      <c r="A695" s="98" t="n">
        <v>59551</v>
      </c>
      <c r="B695" s="98" t="inlineStr">
        <is>
          <t>DELOLA SPRITZ L'ORANGE</t>
        </is>
      </c>
      <c r="C695" s="97">
        <f>VLOOKUP(A695,SizeData!A$2:B$3839,2,FALSE)</f>
        <v/>
      </c>
      <c r="D695" s="98" t="n">
        <v>1</v>
      </c>
      <c r="E695" s="98" t="inlineStr">
        <is>
          <t>R2059149</t>
        </is>
      </c>
      <c r="F695" s="99" t="n">
        <v>45034</v>
      </c>
      <c r="G695" s="100" t="n"/>
    </row>
    <row r="696" ht="16" customFormat="1" customHeight="1" s="58">
      <c r="A696" s="98" t="n">
        <v>59536</v>
      </c>
      <c r="B696" s="98" t="inlineStr">
        <is>
          <t>DELOLA SPRITZ PALOMA ROSA</t>
        </is>
      </c>
      <c r="C696" s="97">
        <f>VLOOKUP(A696,SizeData!A$2:B$3839,2,FALSE)</f>
        <v/>
      </c>
      <c r="D696" s="98" t="n">
        <v>1</v>
      </c>
      <c r="E696" s="98" t="inlineStr">
        <is>
          <t>R2059149</t>
        </is>
      </c>
      <c r="F696" s="99" t="n">
        <v>45034</v>
      </c>
      <c r="G696" s="100" t="n"/>
    </row>
    <row r="697" ht="16" customFormat="1" customHeight="1" s="58">
      <c r="A697" s="101" t="n">
        <v>64135</v>
      </c>
      <c r="B697" s="101" t="inlineStr">
        <is>
          <t>DI SARONNO AMARETTO</t>
        </is>
      </c>
      <c r="C697" s="102">
        <f>VLOOKUP(A697,SizeData!A$2:B$3839,2,FALSE)</f>
        <v/>
      </c>
      <c r="D697" s="101" t="n">
        <v>1</v>
      </c>
      <c r="E697" s="101" t="inlineStr">
        <is>
          <t>R2062305</t>
        </is>
      </c>
      <c r="F697" s="103" t="n">
        <v>45024</v>
      </c>
      <c r="G697" s="104" t="n"/>
    </row>
    <row r="698" ht="16" customFormat="1" customHeight="1" s="58">
      <c r="A698" s="98" t="n">
        <v>89200</v>
      </c>
      <c r="B698" s="98" t="inlineStr">
        <is>
          <t>DON JULIO ANEJO 70TH ANNIVERSARY</t>
        </is>
      </c>
      <c r="C698" s="97">
        <f>VLOOKUP(A698,SizeData!A$2:B$3839,2,FALSE)</f>
        <v/>
      </c>
      <c r="D698" s="98" t="n">
        <v>4</v>
      </c>
      <c r="E698" s="98" t="inlineStr">
        <is>
          <t>R1972521</t>
        </is>
      </c>
      <c r="F698" s="99" t="n">
        <v>44964</v>
      </c>
      <c r="G698" s="100" t="n"/>
    </row>
    <row r="699" ht="16" customFormat="1" customHeight="1" s="58">
      <c r="A699" s="101" t="n">
        <v>89175</v>
      </c>
      <c r="B699" s="101" t="inlineStr">
        <is>
          <t>DON JULIO ANEJO TEQUILA GOLD</t>
        </is>
      </c>
      <c r="C699" s="102">
        <f>VLOOKUP(A699,SizeData!A$2:B$3839,2,FALSE)</f>
        <v/>
      </c>
      <c r="D699" s="101" t="n">
        <v>2</v>
      </c>
      <c r="E699" s="101" t="inlineStr">
        <is>
          <t>R2075056</t>
        </is>
      </c>
      <c r="F699" s="103" t="n">
        <v>45036</v>
      </c>
      <c r="G699" s="104" t="n"/>
    </row>
    <row r="700" ht="16" customFormat="1" customHeight="1" s="58">
      <c r="A700" s="98" t="n">
        <v>89175</v>
      </c>
      <c r="B700" s="98" t="inlineStr">
        <is>
          <t>DON JULIO ANEJO TEQUILA GOLD</t>
        </is>
      </c>
      <c r="C700" s="97">
        <f>VLOOKUP(A700,SizeData!A$2:B$3839,2,FALSE)</f>
        <v/>
      </c>
      <c r="D700" s="98" t="n">
        <v>1</v>
      </c>
      <c r="E700" s="98" t="inlineStr">
        <is>
          <t>R2074828</t>
        </is>
      </c>
      <c r="F700" s="99" t="n">
        <v>45045</v>
      </c>
      <c r="G700" s="100" t="n"/>
    </row>
    <row r="701" ht="16" customFormat="1" customHeight="1" s="58">
      <c r="A701" s="101" t="n">
        <v>89175</v>
      </c>
      <c r="B701" s="101" t="inlineStr">
        <is>
          <t>DON JULIO ANEJO TEQUILA GOLD</t>
        </is>
      </c>
      <c r="C701" s="102">
        <f>VLOOKUP(A701,SizeData!A$2:B$3839,2,FALSE)</f>
        <v/>
      </c>
      <c r="D701" s="101" t="n">
        <v>1</v>
      </c>
      <c r="E701" s="101" t="inlineStr">
        <is>
          <t>R2074828</t>
        </is>
      </c>
      <c r="F701" s="103" t="n">
        <v>45045</v>
      </c>
      <c r="G701" s="104" t="n"/>
    </row>
    <row r="702" ht="16" customFormat="1" customHeight="1" s="58">
      <c r="A702" s="98" t="n">
        <v>89154</v>
      </c>
      <c r="B702" s="98" t="inlineStr">
        <is>
          <t>DON JULIO REPOSADO TEQUILA GOLD</t>
        </is>
      </c>
      <c r="C702" s="97">
        <f>VLOOKUP(A702,SizeData!A$2:B$3839,2,FALSE)</f>
        <v/>
      </c>
      <c r="D702" s="98" t="n">
        <v>4</v>
      </c>
      <c r="E702" s="98" t="inlineStr">
        <is>
          <t>R1971458</t>
        </is>
      </c>
      <c r="F702" s="99" t="n">
        <v>44961</v>
      </c>
      <c r="G702" s="100" t="n"/>
    </row>
    <row r="703" ht="16" customFormat="1" customHeight="1" s="58">
      <c r="A703" s="98" t="n">
        <v>89154</v>
      </c>
      <c r="B703" s="98" t="inlineStr">
        <is>
          <t>DON JULIO REPOSADO TEQUILA GOLD</t>
        </is>
      </c>
      <c r="C703" s="97">
        <f>VLOOKUP(A703,SizeData!A$2:B$3839,2,FALSE)</f>
        <v/>
      </c>
      <c r="D703" s="98" t="n">
        <v>1</v>
      </c>
      <c r="E703" s="98" t="inlineStr">
        <is>
          <t>R1992600</t>
        </is>
      </c>
      <c r="F703" s="99" t="n">
        <v>44989</v>
      </c>
      <c r="G703" s="100" t="n"/>
    </row>
    <row r="704" ht="16" customFormat="1" customHeight="1" s="58">
      <c r="A704" s="101" t="n">
        <v>89154</v>
      </c>
      <c r="B704" s="101" t="inlineStr">
        <is>
          <t>DON JULIO REPOSADO TEQUILA GOLD</t>
        </is>
      </c>
      <c r="C704" s="102">
        <f>VLOOKUP(A704,SizeData!A$2:B$3839,2,FALSE)</f>
        <v/>
      </c>
      <c r="D704" s="101" t="n">
        <v>3</v>
      </c>
      <c r="E704" s="101" t="inlineStr">
        <is>
          <t>R1992600</t>
        </is>
      </c>
      <c r="F704" s="103" t="n">
        <v>44989</v>
      </c>
      <c r="G704" s="104" t="n"/>
    </row>
    <row r="705" ht="16" customFormat="1" customHeight="1" s="58">
      <c r="A705" s="98" t="n">
        <v>89154</v>
      </c>
      <c r="B705" s="98" t="inlineStr">
        <is>
          <t>DON JULIO REPOSADO TEQUILA GOLD</t>
        </is>
      </c>
      <c r="C705" s="97">
        <f>VLOOKUP(A705,SizeData!A$2:B$3839,2,FALSE)</f>
        <v/>
      </c>
      <c r="D705" s="98" t="n">
        <v>5</v>
      </c>
      <c r="E705" s="98" t="inlineStr">
        <is>
          <t>R2055448</t>
        </is>
      </c>
      <c r="F705" s="99" t="n">
        <v>45021</v>
      </c>
      <c r="G705" s="100" t="n"/>
    </row>
    <row r="706" ht="16" customFormat="1" customHeight="1" s="58">
      <c r="A706" s="101" t="n">
        <v>89154</v>
      </c>
      <c r="B706" s="101" t="inlineStr">
        <is>
          <t>DON JULIO REPOSADO TEQUILA GOLD</t>
        </is>
      </c>
      <c r="C706" s="102">
        <f>VLOOKUP(A706,SizeData!A$2:B$3839,2,FALSE)</f>
        <v/>
      </c>
      <c r="D706" s="101" t="n">
        <v>2</v>
      </c>
      <c r="E706" s="101" t="inlineStr">
        <is>
          <t>R2061586</t>
        </is>
      </c>
      <c r="F706" s="103" t="n">
        <v>45029</v>
      </c>
      <c r="G706" s="104" t="n"/>
    </row>
    <row r="707" ht="16" customFormat="1" customHeight="1" s="58">
      <c r="A707" s="98" t="n">
        <v>89154</v>
      </c>
      <c r="B707" s="98" t="inlineStr">
        <is>
          <t>DON JULIO REPOSADO TEQUILA GOLD</t>
        </is>
      </c>
      <c r="C707" s="97">
        <f>VLOOKUP(A707,SizeData!A$2:B$3839,2,FALSE)</f>
        <v/>
      </c>
      <c r="D707" s="98" t="n">
        <v>2</v>
      </c>
      <c r="E707" s="98" t="inlineStr">
        <is>
          <t>R2074828</t>
        </is>
      </c>
      <c r="F707" s="99" t="n">
        <v>45045</v>
      </c>
      <c r="G707" s="100" t="n"/>
    </row>
    <row r="708" ht="16" customFormat="1" customHeight="1" s="58">
      <c r="A708" s="98" t="n">
        <v>467800</v>
      </c>
      <c r="B708" s="98" t="inlineStr">
        <is>
          <t>FRANZIA HOUSE WINE FAV CHILLABLE RED</t>
        </is>
      </c>
      <c r="C708" s="97">
        <f>VLOOKUP(A708,SizeData!A$2:B$3839,2,FALSE)</f>
        <v/>
      </c>
      <c r="D708" s="98" t="n">
        <v>5</v>
      </c>
      <c r="E708" s="98" t="inlineStr">
        <is>
          <t>R1917173</t>
        </is>
      </c>
      <c r="F708" s="99" t="n">
        <v>44922</v>
      </c>
      <c r="G708" s="100" t="n"/>
    </row>
    <row r="709" ht="16" customFormat="1" customHeight="1" s="58">
      <c r="A709" s="98" t="n">
        <v>85764</v>
      </c>
      <c r="B709" s="98" t="inlineStr">
        <is>
          <t>DON JULIO ROSADO</t>
        </is>
      </c>
      <c r="C709" s="97">
        <f>VLOOKUP(A709,SizeData!A$2:B$3839,2,FALSE)</f>
        <v/>
      </c>
      <c r="D709" s="98" t="n">
        <v>2</v>
      </c>
      <c r="E709" s="98" t="inlineStr">
        <is>
          <t>R2028966</t>
        </is>
      </c>
      <c r="F709" s="99" t="n">
        <v>45013</v>
      </c>
      <c r="G709" s="100" t="n"/>
    </row>
    <row r="710" ht="16" customFormat="1" customHeight="1" s="58">
      <c r="A710" s="98" t="n">
        <v>87485</v>
      </c>
      <c r="B710" s="98" t="inlineStr">
        <is>
          <t>DON JULIO SILVER TEQUILA WHITE</t>
        </is>
      </c>
      <c r="C710" s="97">
        <f>VLOOKUP(A710,SizeData!A$2:B$3839,2,FALSE)</f>
        <v/>
      </c>
      <c r="D710" s="98" t="n">
        <v>4</v>
      </c>
      <c r="E710" s="98" t="inlineStr">
        <is>
          <t>R1931271</t>
        </is>
      </c>
      <c r="F710" s="99" t="n">
        <v>44944</v>
      </c>
      <c r="G710" s="100" t="n"/>
    </row>
    <row r="711" ht="16" customFormat="1" customHeight="1" s="58">
      <c r="A711" s="98" t="n">
        <v>87484</v>
      </c>
      <c r="B711" s="98" t="inlineStr">
        <is>
          <t>DON JULIO SILVER TEQUILA WHITE</t>
        </is>
      </c>
      <c r="C711" s="97">
        <f>VLOOKUP(A711,SizeData!A$2:B$3839,2,FALSE)</f>
        <v/>
      </c>
      <c r="D711" s="98" t="n">
        <v>5</v>
      </c>
      <c r="E711" s="98" t="inlineStr">
        <is>
          <t>R2030138</t>
        </is>
      </c>
      <c r="F711" s="99" t="n">
        <v>44986</v>
      </c>
      <c r="G711" s="100" t="n"/>
    </row>
    <row r="712" ht="16" customFormat="1" customHeight="1" s="58">
      <c r="A712" s="98" t="n">
        <v>87485</v>
      </c>
      <c r="B712" s="98" t="inlineStr">
        <is>
          <t>DON JULIO SILVER TEQUILA WHITE</t>
        </is>
      </c>
      <c r="C712" s="97">
        <f>VLOOKUP(A712,SizeData!A$2:B$3839,2,FALSE)</f>
        <v/>
      </c>
      <c r="D712" s="98" t="n">
        <v>2</v>
      </c>
      <c r="E712" s="98" t="inlineStr">
        <is>
          <t>R2040211</t>
        </is>
      </c>
      <c r="F712" s="99" t="n">
        <v>45001</v>
      </c>
      <c r="G712" s="100" t="n"/>
    </row>
    <row r="713" ht="16" customFormat="1" customHeight="1" s="58">
      <c r="A713" s="98" t="n">
        <v>87484</v>
      </c>
      <c r="B713" s="98" t="inlineStr">
        <is>
          <t>DON JULIO SILVER TEQUILA WHITE</t>
        </is>
      </c>
      <c r="C713" s="97">
        <f>VLOOKUP(A713,SizeData!A$2:B$3839,2,FALSE)</f>
        <v/>
      </c>
      <c r="D713" s="98" t="n">
        <v>2</v>
      </c>
      <c r="E713" s="98" t="inlineStr">
        <is>
          <t>R2047859</t>
        </is>
      </c>
      <c r="F713" s="99" t="n">
        <v>45016</v>
      </c>
      <c r="G713" s="100" t="n"/>
    </row>
    <row r="714" ht="16" customHeight="1">
      <c r="A714" s="98" t="n">
        <v>566375</v>
      </c>
      <c r="B714" s="98" t="inlineStr">
        <is>
          <t>FRANZIA RHINEFLUR CRISP WHITE BOX</t>
        </is>
      </c>
      <c r="C714" s="97">
        <f>VLOOKUP(A714,SizeData!A$2:B$3839,2,FALSE)</f>
        <v/>
      </c>
      <c r="D714" s="98" t="n">
        <v>1</v>
      </c>
      <c r="E714" s="98" t="inlineStr">
        <is>
          <t>R1904253</t>
        </is>
      </c>
      <c r="F714" s="99" t="n">
        <v>44915</v>
      </c>
      <c r="G714" s="100" t="n"/>
    </row>
    <row r="715" ht="16" customHeight="1">
      <c r="A715" s="98" t="n">
        <v>566520</v>
      </c>
      <c r="B715" s="98" t="inlineStr">
        <is>
          <t>FRANZIA VINTNER SELECT CHARDONNAY</t>
        </is>
      </c>
      <c r="C715" s="97">
        <f>VLOOKUP(A715,SizeData!A$2:B$3839,2,FALSE)</f>
        <v/>
      </c>
      <c r="D715" s="98" t="n">
        <v>1</v>
      </c>
      <c r="E715" s="98" t="inlineStr">
        <is>
          <t>R1917173</t>
        </is>
      </c>
      <c r="F715" s="99" t="n">
        <v>44922</v>
      </c>
      <c r="G715" s="100" t="n"/>
    </row>
    <row r="716" ht="16" customHeight="1">
      <c r="A716" s="98" t="n">
        <v>87485</v>
      </c>
      <c r="B716" s="98" t="inlineStr">
        <is>
          <t>DON JULIO SILVER TEQUILA WHITE</t>
        </is>
      </c>
      <c r="C716" s="97">
        <f>VLOOKUP(A716,SizeData!A$2:B$3839,2,FALSE)</f>
        <v/>
      </c>
      <c r="D716" s="98" t="n">
        <v>8</v>
      </c>
      <c r="E716" s="98" t="inlineStr">
        <is>
          <t>R2051716</t>
        </is>
      </c>
      <c r="F716" s="99" t="n">
        <v>45019</v>
      </c>
      <c r="G716" s="100" t="n"/>
    </row>
    <row r="717" ht="16" customHeight="1">
      <c r="A717" s="98" t="n">
        <v>87485</v>
      </c>
      <c r="B717" s="98" t="inlineStr">
        <is>
          <t>DON JULIO SILVER TEQUILA WHITE</t>
        </is>
      </c>
      <c r="C717" s="97">
        <f>VLOOKUP(A717,SizeData!A$2:B$3839,2,FALSE)</f>
        <v/>
      </c>
      <c r="D717" s="98" t="n">
        <v>10</v>
      </c>
      <c r="E717" s="98" t="inlineStr">
        <is>
          <t>R2059403</t>
        </is>
      </c>
      <c r="F717" s="99" t="n">
        <v>45029</v>
      </c>
      <c r="G717" s="100" t="n"/>
    </row>
    <row r="718" ht="16" customHeight="1">
      <c r="A718" s="98" t="n">
        <v>43691</v>
      </c>
      <c r="B718" s="98" t="inlineStr">
        <is>
          <t>DON Q 151</t>
        </is>
      </c>
      <c r="C718" s="97">
        <f>VLOOKUP(A718,SizeData!A$2:B$3839,2,FALSE)</f>
        <v/>
      </c>
      <c r="D718" s="98" t="n">
        <v>1</v>
      </c>
      <c r="E718" s="98" t="inlineStr">
        <is>
          <t>R2075056</t>
        </is>
      </c>
      <c r="F718" s="99" t="n">
        <v>45036</v>
      </c>
      <c r="G718" s="100" t="n"/>
    </row>
    <row r="719" ht="16" customHeight="1">
      <c r="A719" s="98" t="n">
        <v>462522</v>
      </c>
      <c r="B719" s="98" t="inlineStr">
        <is>
          <t>DUPLIN CAROLINA RED</t>
        </is>
      </c>
      <c r="C719" s="97">
        <f>VLOOKUP(A719,SizeData!A$2:B$3839,2,FALSE)</f>
        <v/>
      </c>
      <c r="D719" s="98" t="n">
        <v>2</v>
      </c>
      <c r="E719" s="98" t="inlineStr">
        <is>
          <t>R1988715</t>
        </is>
      </c>
      <c r="F719" s="99" t="n">
        <v>44975</v>
      </c>
      <c r="G719" s="100" t="n"/>
    </row>
    <row r="720" ht="16" customHeight="1">
      <c r="A720" s="98" t="n">
        <v>884910</v>
      </c>
      <c r="B720" s="98" t="inlineStr">
        <is>
          <t>DUPLIN COTTON CANDY</t>
        </is>
      </c>
      <c r="C720" s="97">
        <f>VLOOKUP(A720,SizeData!A$2:B$3839,2,FALSE)</f>
        <v/>
      </c>
      <c r="D720" s="98" t="n">
        <v>1</v>
      </c>
      <c r="E720" s="98" t="inlineStr">
        <is>
          <t>R2059149</t>
        </is>
      </c>
      <c r="F720" s="99" t="n">
        <v>45034</v>
      </c>
      <c r="G720" s="100" t="n"/>
    </row>
    <row r="721" ht="16" customHeight="1">
      <c r="A721" s="98" t="n">
        <v>884910</v>
      </c>
      <c r="B721" s="98" t="inlineStr">
        <is>
          <t>DUPLIN COTTON CANDY</t>
        </is>
      </c>
      <c r="C721" s="97">
        <f>VLOOKUP(A721,SizeData!A$2:B$3839,2,FALSE)</f>
        <v/>
      </c>
      <c r="D721" s="98" t="n">
        <v>1</v>
      </c>
      <c r="E721" s="98" t="inlineStr">
        <is>
          <t>R2072241</t>
        </is>
      </c>
      <c r="F721" s="99" t="n">
        <v>45035</v>
      </c>
      <c r="G721" s="100" t="n"/>
    </row>
    <row r="722" ht="16" customHeight="1">
      <c r="A722" s="98" t="n">
        <v>884912</v>
      </c>
      <c r="B722" s="98" t="inlineStr">
        <is>
          <t>DUPLIN COTTON CANDY WINE BLUEBERRY</t>
        </is>
      </c>
      <c r="C722" s="97">
        <f>VLOOKUP(A722,SizeData!A$2:B$3839,2,FALSE)</f>
        <v/>
      </c>
      <c r="D722" s="98" t="n">
        <v>1</v>
      </c>
      <c r="E722" s="98" t="inlineStr">
        <is>
          <t>R2005976</t>
        </is>
      </c>
      <c r="F722" s="99" t="n">
        <v>44992</v>
      </c>
      <c r="G722" s="100" t="n"/>
    </row>
    <row r="723" ht="16" customHeight="1">
      <c r="A723" s="98" t="n">
        <v>884914</v>
      </c>
      <c r="B723" s="98" t="inlineStr">
        <is>
          <t>DUPLIN COTTON CANDY WINE PEACH</t>
        </is>
      </c>
      <c r="C723" s="97">
        <f>VLOOKUP(A723,SizeData!A$2:B$3839,2,FALSE)</f>
        <v/>
      </c>
      <c r="D723" s="98" t="n">
        <v>1</v>
      </c>
      <c r="E723" s="98" t="inlineStr">
        <is>
          <t>R2005976</t>
        </is>
      </c>
      <c r="F723" s="99" t="n">
        <v>44992</v>
      </c>
      <c r="G723" s="100" t="n"/>
    </row>
    <row r="724" ht="16" customHeight="1">
      <c r="A724" s="98" t="n">
        <v>47865</v>
      </c>
      <c r="B724" s="98" t="inlineStr">
        <is>
          <t>DUSSE VSOP COGNAC</t>
        </is>
      </c>
      <c r="C724" s="97">
        <f>VLOOKUP(A724,SizeData!A$2:B$3839,2,FALSE)</f>
        <v/>
      </c>
      <c r="D724" s="98" t="n">
        <v>4</v>
      </c>
      <c r="E724" s="98" t="inlineStr">
        <is>
          <t>R1931271</t>
        </is>
      </c>
      <c r="F724" s="99" t="n">
        <v>44944</v>
      </c>
      <c r="G724" s="100" t="n"/>
    </row>
    <row r="725" ht="16" customHeight="1">
      <c r="A725" s="98" t="n">
        <v>47863</v>
      </c>
      <c r="B725" s="98" t="inlineStr">
        <is>
          <t>DUSSE VSOP COGNAC</t>
        </is>
      </c>
      <c r="C725" s="97">
        <f>VLOOKUP(A725,SizeData!A$2:B$3839,2,FALSE)</f>
        <v/>
      </c>
      <c r="D725" s="98" t="n">
        <v>4</v>
      </c>
      <c r="E725" s="98" t="inlineStr">
        <is>
          <t>R1931271</t>
        </is>
      </c>
      <c r="F725" s="99" t="n">
        <v>44944</v>
      </c>
      <c r="G725" s="100" t="n"/>
    </row>
    <row r="726" ht="16" customHeight="1">
      <c r="A726" s="98" t="n">
        <v>47865</v>
      </c>
      <c r="B726" s="98" t="inlineStr">
        <is>
          <t>DUSSE VSOP COGNAC</t>
        </is>
      </c>
      <c r="C726" s="97">
        <f>VLOOKUP(A726,SizeData!A$2:B$3839,2,FALSE)</f>
        <v/>
      </c>
      <c r="D726" s="98" t="n">
        <v>3</v>
      </c>
      <c r="E726" s="98" t="inlineStr">
        <is>
          <t>R1944170</t>
        </is>
      </c>
      <c r="F726" s="99" t="n">
        <v>44947</v>
      </c>
      <c r="G726" s="100" t="n"/>
    </row>
    <row r="727" ht="16" customHeight="1">
      <c r="A727" s="98" t="n">
        <v>47865</v>
      </c>
      <c r="B727" s="98" t="inlineStr">
        <is>
          <t>DUSSE VSOP COGNAC</t>
        </is>
      </c>
      <c r="C727" s="97">
        <f>VLOOKUP(A727,SizeData!A$2:B$3839,2,FALSE)</f>
        <v/>
      </c>
      <c r="D727" s="98" t="n">
        <v>3</v>
      </c>
      <c r="E727" s="98" t="inlineStr">
        <is>
          <t>R1947923</t>
        </is>
      </c>
      <c r="F727" s="99" t="n">
        <v>44949</v>
      </c>
      <c r="G727" s="100" t="n"/>
    </row>
    <row r="728" ht="16" customHeight="1">
      <c r="A728" s="98" t="n">
        <v>47863</v>
      </c>
      <c r="B728" s="98" t="inlineStr">
        <is>
          <t>DUSSE VSOP COGNAC</t>
        </is>
      </c>
      <c r="C728" s="97">
        <f>VLOOKUP(A728,SizeData!A$2:B$3839,2,FALSE)</f>
        <v/>
      </c>
      <c r="D728" s="98" t="n">
        <v>2</v>
      </c>
      <c r="E728" s="98" t="inlineStr">
        <is>
          <t>R1976594</t>
        </is>
      </c>
      <c r="F728" s="99" t="n">
        <v>44980</v>
      </c>
      <c r="G728" s="100" t="n"/>
    </row>
    <row r="729" ht="16" customHeight="1">
      <c r="A729" s="98" t="n">
        <v>47865</v>
      </c>
      <c r="B729" s="98" t="inlineStr">
        <is>
          <t>DUSSE VSOP COGNAC</t>
        </is>
      </c>
      <c r="C729" s="97">
        <f>VLOOKUP(A729,SizeData!A$2:B$3839,2,FALSE)</f>
        <v/>
      </c>
      <c r="D729" s="98" t="n">
        <v>5</v>
      </c>
      <c r="E729" s="98" t="inlineStr">
        <is>
          <t>R1984049</t>
        </is>
      </c>
      <c r="F729" s="99" t="n">
        <v>44984</v>
      </c>
      <c r="G729" s="100" t="n"/>
    </row>
    <row r="730" ht="16" customHeight="1">
      <c r="A730" s="98" t="n">
        <v>47863</v>
      </c>
      <c r="B730" s="98" t="inlineStr">
        <is>
          <t>DUSSE VSOP COGNAC</t>
        </is>
      </c>
      <c r="C730" s="97">
        <f>VLOOKUP(A730,SizeData!A$2:B$3839,2,FALSE)</f>
        <v/>
      </c>
      <c r="D730" s="98" t="n">
        <v>3</v>
      </c>
      <c r="E730" s="98" t="inlineStr">
        <is>
          <t>R1992599</t>
        </is>
      </c>
      <c r="F730" s="99" t="n">
        <v>44989</v>
      </c>
      <c r="G730" s="100" t="n"/>
    </row>
    <row r="731" ht="16" customHeight="1">
      <c r="A731" s="98" t="n">
        <v>47865</v>
      </c>
      <c r="B731" s="98" t="inlineStr">
        <is>
          <t>DUSSE VSOP COGNAC</t>
        </is>
      </c>
      <c r="C731" s="97">
        <f>VLOOKUP(A731,SizeData!A$2:B$3839,2,FALSE)</f>
        <v/>
      </c>
      <c r="D731" s="98" t="n">
        <v>2</v>
      </c>
      <c r="E731" s="98" t="inlineStr">
        <is>
          <t>R1998383</t>
        </is>
      </c>
      <c r="F731" s="99" t="n">
        <v>44991</v>
      </c>
      <c r="G731" s="100" t="n"/>
    </row>
    <row r="732" ht="16" customFormat="1" customHeight="1" s="58">
      <c r="A732" s="98" t="n">
        <v>47865</v>
      </c>
      <c r="B732" s="98" t="inlineStr">
        <is>
          <t>DUSSE VSOP COGNAC</t>
        </is>
      </c>
      <c r="C732" s="97">
        <f>VLOOKUP(A732,SizeData!A$2:B$3839,2,FALSE)</f>
        <v/>
      </c>
      <c r="D732" s="98" t="n">
        <v>3</v>
      </c>
      <c r="E732" s="98" t="inlineStr">
        <is>
          <t>R2003600</t>
        </is>
      </c>
      <c r="F732" s="99" t="n">
        <v>44994</v>
      </c>
      <c r="G732" s="100" t="n"/>
    </row>
    <row r="733" ht="16" customFormat="1" customHeight="1" s="58">
      <c r="A733" s="98" t="n">
        <v>47863</v>
      </c>
      <c r="B733" s="98" t="inlineStr">
        <is>
          <t>DUSSE VSOP COGNAC</t>
        </is>
      </c>
      <c r="C733" s="97">
        <f>VLOOKUP(A733,SizeData!A$2:B$3839,2,FALSE)</f>
        <v/>
      </c>
      <c r="D733" s="98" t="n">
        <v>2</v>
      </c>
      <c r="E733" s="98" t="inlineStr">
        <is>
          <t>R2007390</t>
        </is>
      </c>
      <c r="F733" s="99" t="n">
        <v>44996</v>
      </c>
      <c r="G733" s="100" t="n"/>
    </row>
    <row r="734" ht="16" customFormat="1" customHeight="1" s="58">
      <c r="A734" s="98" t="n">
        <v>47863</v>
      </c>
      <c r="B734" s="98" t="inlineStr">
        <is>
          <t>DUSSE VSOP COGNAC</t>
        </is>
      </c>
      <c r="C734" s="97">
        <f>VLOOKUP(A734,SizeData!A$2:B$3839,2,FALSE)</f>
        <v/>
      </c>
      <c r="D734" s="98" t="n">
        <v>1</v>
      </c>
      <c r="E734" s="98" t="inlineStr">
        <is>
          <t>R2009092</t>
        </is>
      </c>
      <c r="F734" s="99" t="n">
        <v>45001</v>
      </c>
      <c r="G734" s="100" t="n"/>
    </row>
    <row r="735" ht="16" customFormat="1" customHeight="1" s="58">
      <c r="A735" s="98" t="n">
        <v>5008</v>
      </c>
      <c r="B735" s="98" t="inlineStr">
        <is>
          <t>GLENFIDDICH 12 YEAR SCOTCH</t>
        </is>
      </c>
      <c r="C735" s="97">
        <f>VLOOKUP(A735,SizeData!A$2:B$3839,2,FALSE)</f>
        <v/>
      </c>
      <c r="D735" s="98" t="n">
        <v>1</v>
      </c>
      <c r="E735" s="98" t="inlineStr">
        <is>
          <t>R1906937</t>
        </is>
      </c>
      <c r="F735" s="99" t="n">
        <v>44911</v>
      </c>
      <c r="G735" s="100" t="n"/>
    </row>
    <row r="736" ht="16" customFormat="1" customHeight="1" s="58">
      <c r="A736" s="98" t="n">
        <v>47865</v>
      </c>
      <c r="B736" s="98" t="inlineStr">
        <is>
          <t>DUSSE VSOP COGNAC</t>
        </is>
      </c>
      <c r="C736" s="97">
        <f>VLOOKUP(A736,SizeData!A$2:B$3839,2,FALSE)</f>
        <v/>
      </c>
      <c r="D736" s="98" t="n">
        <v>3</v>
      </c>
      <c r="E736" s="98" t="inlineStr">
        <is>
          <t>R2009092</t>
        </is>
      </c>
      <c r="F736" s="99" t="n">
        <v>45001</v>
      </c>
      <c r="G736" s="100" t="n"/>
    </row>
    <row r="737" ht="16" customFormat="1" customHeight="1" s="58">
      <c r="A737" s="98" t="n">
        <v>47863</v>
      </c>
      <c r="B737" s="98" t="inlineStr">
        <is>
          <t>DUSSE VSOP COGNAC</t>
        </is>
      </c>
      <c r="C737" s="97">
        <f>VLOOKUP(A737,SizeData!A$2:B$3839,2,FALSE)</f>
        <v/>
      </c>
      <c r="D737" s="98" t="n">
        <v>2</v>
      </c>
      <c r="E737" s="98" t="inlineStr">
        <is>
          <t>R2023718</t>
        </is>
      </c>
      <c r="F737" s="99" t="n">
        <v>45003</v>
      </c>
      <c r="G737" s="100" t="n"/>
    </row>
    <row r="738" ht="16" customFormat="1" customHeight="1" s="58">
      <c r="A738" s="98" t="n">
        <v>47863</v>
      </c>
      <c r="B738" s="98" t="inlineStr">
        <is>
          <t>DUSSE VSOP COGNAC</t>
        </is>
      </c>
      <c r="C738" s="97">
        <f>VLOOKUP(A738,SizeData!A$2:B$3839,2,FALSE)</f>
        <v/>
      </c>
      <c r="D738" s="98" t="n">
        <v>1</v>
      </c>
      <c r="E738" s="98" t="inlineStr">
        <is>
          <t>R2038207</t>
        </is>
      </c>
      <c r="F738" s="99" t="n">
        <v>45010</v>
      </c>
      <c r="G738" s="100" t="n"/>
    </row>
    <row r="739" ht="16" customFormat="1" customHeight="1" s="58">
      <c r="A739" s="98" t="n">
        <v>47865</v>
      </c>
      <c r="B739" s="98" t="inlineStr">
        <is>
          <t>DUSSE VSOP COGNAC</t>
        </is>
      </c>
      <c r="C739" s="97">
        <f>VLOOKUP(A739,SizeData!A$2:B$3839,2,FALSE)</f>
        <v/>
      </c>
      <c r="D739" s="98" t="n">
        <v>3</v>
      </c>
      <c r="E739" s="98" t="inlineStr">
        <is>
          <t>R2038207</t>
        </is>
      </c>
      <c r="F739" s="99" t="n">
        <v>45010</v>
      </c>
      <c r="G739" s="100" t="n"/>
    </row>
    <row r="740" ht="16" customFormat="1" customHeight="1" s="58">
      <c r="A740" s="98" t="n">
        <v>47863</v>
      </c>
      <c r="B740" s="98" t="inlineStr">
        <is>
          <t>DUSSE VSOP COGNAC</t>
        </is>
      </c>
      <c r="C740" s="97">
        <f>VLOOKUP(A740,SizeData!A$2:B$3839,2,FALSE)</f>
        <v/>
      </c>
      <c r="D740" s="98" t="n">
        <v>2</v>
      </c>
      <c r="E740" s="98" t="inlineStr">
        <is>
          <t>R2062305</t>
        </is>
      </c>
      <c r="F740" s="99" t="n">
        <v>45024</v>
      </c>
      <c r="G740" s="100" t="n"/>
    </row>
    <row r="741" ht="16" customFormat="1" customHeight="1" s="58">
      <c r="A741" s="98" t="n">
        <v>87725</v>
      </c>
      <c r="B741" s="98" t="inlineStr">
        <is>
          <t>GRAN CORAMINO CRISTALINO REPOSADO TEQUILA</t>
        </is>
      </c>
      <c r="C741" s="97">
        <f>VLOOKUP(A741,SizeData!A$2:B$3839,2,FALSE)</f>
        <v/>
      </c>
      <c r="D741" s="98" t="n">
        <v>8</v>
      </c>
      <c r="E741" s="98" t="inlineStr">
        <is>
          <t>R1924910</t>
        </is>
      </c>
      <c r="F741" s="99" t="n">
        <v>44925</v>
      </c>
      <c r="G741" s="100" t="n"/>
    </row>
    <row r="742" ht="16" customFormat="1" customHeight="1" s="58">
      <c r="A742" s="98" t="n">
        <v>47865</v>
      </c>
      <c r="B742" s="98" t="inlineStr">
        <is>
          <t>DUSSE VSOP COGNAC</t>
        </is>
      </c>
      <c r="C742" s="97">
        <f>VLOOKUP(A742,SizeData!A$2:B$3839,2,FALSE)</f>
        <v/>
      </c>
      <c r="D742" s="98" t="n">
        <v>3</v>
      </c>
      <c r="E742" s="98" t="inlineStr">
        <is>
          <t>R2061586</t>
        </is>
      </c>
      <c r="F742" s="99" t="n">
        <v>45029</v>
      </c>
      <c r="G742" s="100" t="n"/>
    </row>
    <row r="743" ht="16" customFormat="1" customHeight="1" s="58">
      <c r="A743" s="98" t="n">
        <v>47865</v>
      </c>
      <c r="B743" s="98" t="inlineStr">
        <is>
          <t>DUSSE VSOP COGNAC</t>
        </is>
      </c>
      <c r="C743" s="97">
        <f>VLOOKUP(A743,SizeData!A$2:B$3839,2,FALSE)</f>
        <v/>
      </c>
      <c r="D743" s="98" t="n">
        <v>1</v>
      </c>
      <c r="E743" s="98" t="inlineStr">
        <is>
          <t>R2072202</t>
        </is>
      </c>
      <c r="F743" s="99" t="n">
        <v>45033</v>
      </c>
      <c r="G743" s="100" t="n"/>
    </row>
    <row r="744" ht="16" customFormat="1" customHeight="1" s="58">
      <c r="A744" s="98" t="n">
        <v>65125</v>
      </c>
      <c r="B744" s="98" t="inlineStr">
        <is>
          <t>GRAND MARNIER</t>
        </is>
      </c>
      <c r="C744" s="97">
        <f>VLOOKUP(A744,SizeData!A$2:B$3839,2,FALSE)</f>
        <v/>
      </c>
      <c r="D744" s="98" t="n">
        <v>1</v>
      </c>
      <c r="E744" s="98" t="inlineStr">
        <is>
          <t>R1907823</t>
        </is>
      </c>
      <c r="F744" s="99" t="n">
        <v>44908</v>
      </c>
      <c r="G744" s="100" t="n"/>
    </row>
    <row r="745" ht="16" customFormat="1" customHeight="1" s="58">
      <c r="A745" s="98" t="n">
        <v>47865</v>
      </c>
      <c r="B745" s="98" t="inlineStr">
        <is>
          <t>DUSSE VSOP COGNAC</t>
        </is>
      </c>
      <c r="C745" s="97">
        <f>VLOOKUP(A745,SizeData!A$2:B$3839,2,FALSE)</f>
        <v/>
      </c>
      <c r="D745" s="98" t="n">
        <v>2</v>
      </c>
      <c r="E745" s="98" t="inlineStr">
        <is>
          <t>R2064188</t>
        </is>
      </c>
      <c r="F745" s="99" t="n">
        <v>45036</v>
      </c>
      <c r="G745" s="100" t="n"/>
    </row>
    <row r="746" ht="16" customFormat="1" customHeight="1" s="58">
      <c r="A746" s="98" t="n">
        <v>66936</v>
      </c>
      <c r="B746" s="98" t="inlineStr">
        <is>
          <t>GRANGALA TRIPLE ORANGE PROPRIETARY LIQ</t>
        </is>
      </c>
      <c r="C746" s="97">
        <f>VLOOKUP(A746,SizeData!A$2:B$3839,2,FALSE)</f>
        <v/>
      </c>
      <c r="D746" s="98" t="n">
        <v>2</v>
      </c>
      <c r="E746" s="98" t="inlineStr">
        <is>
          <t>R1911923</t>
        </is>
      </c>
      <c r="F746" s="99" t="n">
        <v>44912</v>
      </c>
      <c r="G746" s="100" t="n"/>
    </row>
    <row r="747" ht="16" customFormat="1" customHeight="1" s="58">
      <c r="A747" s="98" t="n">
        <v>47863</v>
      </c>
      <c r="B747" s="98" t="inlineStr">
        <is>
          <t>DUSSE VSOP COGNAC</t>
        </is>
      </c>
      <c r="C747" s="97">
        <f>VLOOKUP(A747,SizeData!A$2:B$3839,2,FALSE)</f>
        <v/>
      </c>
      <c r="D747" s="98" t="n">
        <v>1</v>
      </c>
      <c r="E747" s="98" t="inlineStr">
        <is>
          <t>R2073309</t>
        </is>
      </c>
      <c r="F747" s="99" t="n">
        <v>45038</v>
      </c>
      <c r="G747" s="100" t="n"/>
    </row>
    <row r="748" ht="16" customFormat="1" customHeight="1" s="58">
      <c r="A748" s="98" t="n">
        <v>47865</v>
      </c>
      <c r="B748" s="98" t="inlineStr">
        <is>
          <t>DUSSE VSOP COGNAC</t>
        </is>
      </c>
      <c r="C748" s="97">
        <f>VLOOKUP(A748,SizeData!A$2:B$3839,2,FALSE)</f>
        <v/>
      </c>
      <c r="D748" s="98" t="n">
        <v>2</v>
      </c>
      <c r="E748" s="98" t="inlineStr">
        <is>
          <t>R2074828</t>
        </is>
      </c>
      <c r="F748" s="99" t="n">
        <v>45045</v>
      </c>
      <c r="G748" s="100" t="n"/>
    </row>
    <row r="749" ht="16" customFormat="1" customHeight="1" s="58">
      <c r="A749" s="98" t="n">
        <v>34425</v>
      </c>
      <c r="B749" s="98" t="inlineStr">
        <is>
          <t>GREY GOOSE IMPORTED VODKA</t>
        </is>
      </c>
      <c r="C749" s="97">
        <f>VLOOKUP(A749,SizeData!A$2:B$3839,2,FALSE)</f>
        <v/>
      </c>
      <c r="D749" s="98" t="n">
        <v>14</v>
      </c>
      <c r="E749" s="98" t="inlineStr">
        <is>
          <t>R1911366</t>
        </is>
      </c>
      <c r="F749" s="99" t="n">
        <v>44909</v>
      </c>
      <c r="G749" s="100" t="n"/>
    </row>
    <row r="750" ht="16" customFormat="1" customHeight="1" s="58">
      <c r="A750" s="98" t="n">
        <v>34422</v>
      </c>
      <c r="B750" s="98" t="inlineStr">
        <is>
          <t>GREY GOOSE IMPORTED VODKA</t>
        </is>
      </c>
      <c r="C750" s="97">
        <f>VLOOKUP(A750,SizeData!A$2:B$3839,2,FALSE)</f>
        <v/>
      </c>
      <c r="D750" s="98" t="n">
        <v>3</v>
      </c>
      <c r="E750" s="98" t="inlineStr">
        <is>
          <t>R1907823</t>
        </is>
      </c>
      <c r="F750" s="99" t="n">
        <v>44908</v>
      </c>
      <c r="G750" s="100" t="n"/>
    </row>
    <row r="751" ht="16" customFormat="1" customHeight="1" s="58">
      <c r="A751" s="98" t="n">
        <v>47861</v>
      </c>
      <c r="B751" s="98" t="inlineStr">
        <is>
          <t>DUSSE VSOP COGNAC FLASK BOTTLE</t>
        </is>
      </c>
      <c r="C751" s="97">
        <f>VLOOKUP(A751,SizeData!A$2:B$3839,2,FALSE)</f>
        <v/>
      </c>
      <c r="D751" s="98" t="n">
        <v>1</v>
      </c>
      <c r="E751" s="98" t="inlineStr">
        <is>
          <t>R1984349</t>
        </is>
      </c>
      <c r="F751" s="99" t="n">
        <v>44982</v>
      </c>
      <c r="G751" s="100" t="n"/>
    </row>
    <row r="752" ht="16" customFormat="1" customHeight="1" s="58">
      <c r="A752" s="98" t="n">
        <v>47861</v>
      </c>
      <c r="B752" s="98" t="inlineStr">
        <is>
          <t>DUSSE VSOP COGNAC FLASK BOTTLE</t>
        </is>
      </c>
      <c r="C752" s="97">
        <f>VLOOKUP(A752,SizeData!A$2:B$3839,2,FALSE)</f>
        <v/>
      </c>
      <c r="D752" s="98" t="n">
        <v>1</v>
      </c>
      <c r="E752" s="98" t="inlineStr">
        <is>
          <t>R2007390</t>
        </is>
      </c>
      <c r="F752" s="99" t="n">
        <v>44996</v>
      </c>
      <c r="G752" s="100" t="n"/>
    </row>
    <row r="753" ht="16" customFormat="1" customHeight="1" s="58">
      <c r="A753" s="98" t="n">
        <v>47861</v>
      </c>
      <c r="B753" s="98" t="inlineStr">
        <is>
          <t>DUSSE VSOP COGNAC FLASK BOTTLE</t>
        </is>
      </c>
      <c r="C753" s="97">
        <f>VLOOKUP(A753,SizeData!A$2:B$3839,2,FALSE)</f>
        <v/>
      </c>
      <c r="D753" s="98" t="n">
        <v>1</v>
      </c>
      <c r="E753" s="98" t="inlineStr">
        <is>
          <t>R2038207</t>
        </is>
      </c>
      <c r="F753" s="99" t="n">
        <v>45010</v>
      </c>
      <c r="G753" s="100" t="n"/>
    </row>
    <row r="754" ht="16" customFormat="1" customHeight="1" s="58">
      <c r="A754" s="98" t="n">
        <v>47861</v>
      </c>
      <c r="B754" s="98" t="inlineStr">
        <is>
          <t>DUSSE VSOP COGNAC FLASK BOTTLE</t>
        </is>
      </c>
      <c r="C754" s="97">
        <f>VLOOKUP(A754,SizeData!A$2:B$3839,2,FALSE)</f>
        <v/>
      </c>
      <c r="D754" s="98" t="n">
        <v>2</v>
      </c>
      <c r="E754" s="98" t="inlineStr">
        <is>
          <t>R2062305</t>
        </is>
      </c>
      <c r="F754" s="99" t="n">
        <v>45024</v>
      </c>
      <c r="G754" s="100" t="n"/>
    </row>
    <row r="755" ht="16" customFormat="1" customHeight="1" s="58">
      <c r="A755" s="98" t="n">
        <v>73757</v>
      </c>
      <c r="B755" s="98" t="inlineStr">
        <is>
          <t>E &amp; J APPLE BRANDY</t>
        </is>
      </c>
      <c r="C755" s="97">
        <f>VLOOKUP(A755,SizeData!A$2:B$3839,2,FALSE)</f>
        <v/>
      </c>
      <c r="D755" s="98" t="n">
        <v>1</v>
      </c>
      <c r="E755" s="98" t="inlineStr">
        <is>
          <t>R1928529</t>
        </is>
      </c>
      <c r="F755" s="99" t="n">
        <v>44933</v>
      </c>
      <c r="G755" s="100" t="n"/>
    </row>
    <row r="756" ht="16" customFormat="1" customHeight="1" s="58">
      <c r="A756" s="98" t="n">
        <v>73753</v>
      </c>
      <c r="B756" s="98" t="inlineStr">
        <is>
          <t>E &amp; J APPLE BRANDY</t>
        </is>
      </c>
      <c r="C756" s="97">
        <f>VLOOKUP(A756,SizeData!A$2:B$3839,2,FALSE)</f>
        <v/>
      </c>
      <c r="D756" s="98" t="n">
        <v>1</v>
      </c>
      <c r="E756" s="98" t="inlineStr">
        <is>
          <t>R1960645</t>
        </is>
      </c>
      <c r="F756" s="99" t="n">
        <v>44954</v>
      </c>
      <c r="G756" s="100" t="n"/>
    </row>
    <row r="757" ht="16" customFormat="1" customHeight="1" s="58">
      <c r="A757" s="101" t="n">
        <v>73753</v>
      </c>
      <c r="B757" s="101" t="inlineStr">
        <is>
          <t>E &amp; J APPLE BRANDY</t>
        </is>
      </c>
      <c r="C757" s="102">
        <f>VLOOKUP(A757,SizeData!A$2:B$3839,2,FALSE)</f>
        <v/>
      </c>
      <c r="D757" s="101" t="n">
        <v>1</v>
      </c>
      <c r="E757" s="101" t="inlineStr">
        <is>
          <t>R1986107</t>
        </is>
      </c>
      <c r="F757" s="103" t="n">
        <v>44968</v>
      </c>
      <c r="G757" s="104" t="n"/>
    </row>
    <row r="758" ht="16" customFormat="1" customHeight="1" s="58">
      <c r="A758" s="98" t="n">
        <v>73755</v>
      </c>
      <c r="B758" s="98" t="inlineStr">
        <is>
          <t>E &amp; J APPLE BRANDY</t>
        </is>
      </c>
      <c r="C758" s="97">
        <f>VLOOKUP(A758,SizeData!A$2:B$3839,2,FALSE)</f>
        <v/>
      </c>
      <c r="D758" s="98" t="n">
        <v>1</v>
      </c>
      <c r="E758" s="98" t="inlineStr">
        <is>
          <t>R2065347</t>
        </is>
      </c>
      <c r="F758" s="99" t="n">
        <v>45026</v>
      </c>
      <c r="G758" s="100" t="n"/>
    </row>
    <row r="759" ht="16" customFormat="1" customHeight="1" s="58">
      <c r="A759" s="98" t="n">
        <v>34423</v>
      </c>
      <c r="B759" s="98" t="inlineStr">
        <is>
          <t>GREY GOOSE IMPORTED VODKA</t>
        </is>
      </c>
      <c r="C759" s="97">
        <f>VLOOKUP(A759,SizeData!A$2:B$3839,2,FALSE)</f>
        <v/>
      </c>
      <c r="D759" s="98" t="n">
        <v>1</v>
      </c>
      <c r="E759" s="98" t="inlineStr">
        <is>
          <t>R1917173</t>
        </is>
      </c>
      <c r="F759" s="99" t="n">
        <v>44922</v>
      </c>
      <c r="G759" s="100" t="n"/>
    </row>
    <row r="760" ht="16" customFormat="1" customHeight="1" s="58">
      <c r="A760" s="98" t="n">
        <v>73754</v>
      </c>
      <c r="B760" s="101" t="inlineStr">
        <is>
          <t>E &amp; J APPLE BRANDY</t>
        </is>
      </c>
      <c r="C760" s="102">
        <f>VLOOKUP(A760,SizeData!A$2:B$3839,2,FALSE)</f>
        <v/>
      </c>
      <c r="D760" s="101" t="n">
        <v>1</v>
      </c>
      <c r="E760" s="101" t="inlineStr">
        <is>
          <t>R2065347</t>
        </is>
      </c>
      <c r="F760" s="103" t="n">
        <v>45026</v>
      </c>
      <c r="G760" s="104" t="n"/>
    </row>
    <row r="761" ht="16" customFormat="1" customHeight="1" s="58">
      <c r="A761" s="98" t="n">
        <v>73755</v>
      </c>
      <c r="B761" s="98" t="inlineStr">
        <is>
          <t>E &amp; J APPLE BRANDY</t>
        </is>
      </c>
      <c r="C761" s="97">
        <f>VLOOKUP(A761,SizeData!A$2:B$3839,2,FALSE)</f>
        <v/>
      </c>
      <c r="D761" s="98" t="n">
        <v>1</v>
      </c>
      <c r="E761" s="98" t="inlineStr">
        <is>
          <t>R2082317</t>
        </is>
      </c>
      <c r="F761" s="99" t="n">
        <v>45047</v>
      </c>
      <c r="G761" s="100" t="n"/>
    </row>
    <row r="762" ht="16" customFormat="1" customHeight="1" s="58">
      <c r="A762" s="98" t="n">
        <v>73755</v>
      </c>
      <c r="B762" s="98" t="inlineStr">
        <is>
          <t>E &amp; J APPLE BRANDY</t>
        </is>
      </c>
      <c r="C762" s="97">
        <f>VLOOKUP(A762,SizeData!A$2:B$3839,2,FALSE)</f>
        <v/>
      </c>
      <c r="D762" s="98" t="n">
        <v>2</v>
      </c>
      <c r="E762" s="98" t="inlineStr">
        <is>
          <t>R2088403</t>
        </is>
      </c>
      <c r="F762" s="99" t="n">
        <v>45049</v>
      </c>
      <c r="G762" s="100" t="n"/>
    </row>
    <row r="763" ht="16" customFormat="1" customHeight="1" s="58">
      <c r="A763" s="98" t="n">
        <v>52581</v>
      </c>
      <c r="B763" s="98" t="inlineStr">
        <is>
          <t>E &amp; J SUPERIOR RESERVE VSOP BRANDY</t>
        </is>
      </c>
      <c r="C763" s="97">
        <f>VLOOKUP(A763,SizeData!A$2:B$3839,2,FALSE)</f>
        <v/>
      </c>
      <c r="D763" s="98" t="n">
        <v>1</v>
      </c>
      <c r="E763" s="98" t="inlineStr">
        <is>
          <t>R1919341</t>
        </is>
      </c>
      <c r="F763" s="99" t="n">
        <v>44930</v>
      </c>
      <c r="G763" s="100" t="n"/>
    </row>
    <row r="764" ht="16" customFormat="1" customHeight="1" s="58">
      <c r="A764" s="98" t="n">
        <v>34433</v>
      </c>
      <c r="B764" s="98" t="inlineStr">
        <is>
          <t>GREY GOOSE IMPORTED VODKA</t>
        </is>
      </c>
      <c r="C764" s="97">
        <f>VLOOKUP(A764,SizeData!A$2:B$3839,2,FALSE)</f>
        <v/>
      </c>
      <c r="D764" s="98" t="n">
        <v>3</v>
      </c>
      <c r="E764" s="98" t="inlineStr">
        <is>
          <t>R1911923</t>
        </is>
      </c>
      <c r="F764" s="99" t="n">
        <v>44912</v>
      </c>
      <c r="G764" s="100" t="n"/>
    </row>
    <row r="765" ht="16" customFormat="1" customHeight="1" s="58">
      <c r="A765" s="98" t="n">
        <v>34433</v>
      </c>
      <c r="B765" s="98" t="inlineStr">
        <is>
          <t>GREY GOOSE IMPORTED VODKA</t>
        </is>
      </c>
      <c r="C765" s="97">
        <f>VLOOKUP(A765,SizeData!A$2:B$3839,2,FALSE)</f>
        <v/>
      </c>
      <c r="D765" s="98" t="n">
        <v>6</v>
      </c>
      <c r="E765" s="98" t="inlineStr">
        <is>
          <t>R1917173</t>
        </is>
      </c>
      <c r="F765" s="99" t="n">
        <v>44922</v>
      </c>
      <c r="G765" s="100" t="n"/>
    </row>
    <row r="766" ht="16" customFormat="1" customHeight="1" s="58">
      <c r="A766" s="98" t="n">
        <v>34433</v>
      </c>
      <c r="B766" s="98" t="inlineStr">
        <is>
          <t>GREY GOOSE IMPORTED VODKA</t>
        </is>
      </c>
      <c r="C766" s="97">
        <f>VLOOKUP(A766,SizeData!A$2:B$3839,2,FALSE)</f>
        <v/>
      </c>
      <c r="D766" s="98" t="n">
        <v>1</v>
      </c>
      <c r="E766" s="98" t="inlineStr">
        <is>
          <t>R1917173</t>
        </is>
      </c>
      <c r="F766" s="99" t="n">
        <v>44922</v>
      </c>
      <c r="G766" s="100" t="n"/>
    </row>
    <row r="767" ht="16" customFormat="1" customHeight="1" s="58">
      <c r="A767" s="98" t="n">
        <v>52582</v>
      </c>
      <c r="B767" s="98" t="inlineStr">
        <is>
          <t>E &amp; J SUPERIOR RESERVE VSOP BRANDY</t>
        </is>
      </c>
      <c r="C767" s="97">
        <f>VLOOKUP(A767,SizeData!A$2:B$3839,2,FALSE)</f>
        <v/>
      </c>
      <c r="D767" s="98" t="n">
        <v>1</v>
      </c>
      <c r="E767" s="98" t="inlineStr">
        <is>
          <t>R1919341</t>
        </is>
      </c>
      <c r="F767" s="99" t="n">
        <v>44930</v>
      </c>
      <c r="G767" s="100" t="n"/>
    </row>
    <row r="768" ht="16" customFormat="1" customHeight="1" s="58">
      <c r="A768" s="98" t="n">
        <v>52584</v>
      </c>
      <c r="B768" s="98" t="inlineStr">
        <is>
          <t>E &amp; J SUPERIOR RESERVE VSOP BRANDY</t>
        </is>
      </c>
      <c r="C768" s="97">
        <f>VLOOKUP(A768,SizeData!A$2:B$3839,2,FALSE)</f>
        <v/>
      </c>
      <c r="D768" s="98" t="n">
        <v>1</v>
      </c>
      <c r="E768" s="98" t="inlineStr">
        <is>
          <t>R1928529</t>
        </is>
      </c>
      <c r="F768" s="99" t="n">
        <v>44933</v>
      </c>
      <c r="G768" s="100" t="n"/>
    </row>
    <row r="769" ht="16" customFormat="1" customHeight="1" s="58">
      <c r="A769" s="98" t="n">
        <v>52584</v>
      </c>
      <c r="B769" s="98" t="inlineStr">
        <is>
          <t>E &amp; J SUPERIOR RESERVE VSOP BRANDY</t>
        </is>
      </c>
      <c r="C769" s="97">
        <f>VLOOKUP(A769,SizeData!A$2:B$3839,2,FALSE)</f>
        <v/>
      </c>
      <c r="D769" s="98" t="n">
        <v>1</v>
      </c>
      <c r="E769" s="98" t="inlineStr">
        <is>
          <t>R1939504</t>
        </is>
      </c>
      <c r="F769" s="99" t="n">
        <v>44940</v>
      </c>
      <c r="G769" s="100" t="n"/>
    </row>
    <row r="770" ht="16" customFormat="1" customHeight="1" s="58">
      <c r="A770" s="98" t="n">
        <v>52582</v>
      </c>
      <c r="B770" s="98" t="inlineStr">
        <is>
          <t>E &amp; J SUPERIOR RESERVE VSOP BRANDY</t>
        </is>
      </c>
      <c r="C770" s="97">
        <f>VLOOKUP(A770,SizeData!A$2:B$3839,2,FALSE)</f>
        <v/>
      </c>
      <c r="D770" s="98" t="n">
        <v>1</v>
      </c>
      <c r="E770" s="98" t="inlineStr">
        <is>
          <t>R1943057</t>
        </is>
      </c>
      <c r="F770" s="99" t="n">
        <v>44945</v>
      </c>
      <c r="G770" s="100" t="n"/>
    </row>
    <row r="771" ht="16" customFormat="1" customHeight="1" s="58">
      <c r="A771" s="98" t="n">
        <v>52581</v>
      </c>
      <c r="B771" s="98" t="inlineStr">
        <is>
          <t>E &amp; J SUPERIOR RESERVE VSOP BRANDY</t>
        </is>
      </c>
      <c r="C771" s="97">
        <f>VLOOKUP(A771,SizeData!A$2:B$3839,2,FALSE)</f>
        <v/>
      </c>
      <c r="D771" s="98" t="n">
        <v>1</v>
      </c>
      <c r="E771" s="98" t="inlineStr">
        <is>
          <t>R1986107</t>
        </is>
      </c>
      <c r="F771" s="99" t="n">
        <v>44968</v>
      </c>
      <c r="G771" s="100" t="n"/>
    </row>
    <row r="772" ht="16" customFormat="1" customHeight="1" s="58">
      <c r="A772" s="101" t="n">
        <v>52580</v>
      </c>
      <c r="B772" s="101" t="inlineStr">
        <is>
          <t>E &amp; J SUPERIOR RESERVE VSOP BRANDY</t>
        </is>
      </c>
      <c r="C772" s="102">
        <f>VLOOKUP(A772,SizeData!A$2:B$3839,2,FALSE)</f>
        <v/>
      </c>
      <c r="D772" s="101" t="n">
        <v>2</v>
      </c>
      <c r="E772" s="101" t="inlineStr">
        <is>
          <t>R1996314</t>
        </is>
      </c>
      <c r="F772" s="103" t="n">
        <v>44979</v>
      </c>
      <c r="G772" s="104" t="n"/>
    </row>
    <row r="773" ht="16" customFormat="1" customHeight="1" s="58">
      <c r="A773" s="101" t="n">
        <v>52582</v>
      </c>
      <c r="B773" s="101" t="inlineStr">
        <is>
          <t>E &amp; J SUPERIOR RESERVE VSOP BRANDY</t>
        </is>
      </c>
      <c r="C773" s="102">
        <f>VLOOKUP(A773,SizeData!A$2:B$3839,2,FALSE)</f>
        <v/>
      </c>
      <c r="D773" s="101" t="n">
        <v>1</v>
      </c>
      <c r="E773" s="101" t="inlineStr">
        <is>
          <t>R1998383</t>
        </is>
      </c>
      <c r="F773" s="103" t="n">
        <v>44991</v>
      </c>
      <c r="G773" s="104" t="n"/>
    </row>
    <row r="774" ht="16" customFormat="1" customHeight="1" s="58">
      <c r="A774" s="98" t="n">
        <v>52581</v>
      </c>
      <c r="B774" s="98" t="inlineStr">
        <is>
          <t>E &amp; J SUPERIOR RESERVE VSOP BRANDY</t>
        </is>
      </c>
      <c r="C774" s="97">
        <f>VLOOKUP(A774,SizeData!A$2:B$3839,2,FALSE)</f>
        <v/>
      </c>
      <c r="D774" s="98" t="n">
        <v>1</v>
      </c>
      <c r="E774" s="98" t="inlineStr">
        <is>
          <t>R2013233</t>
        </is>
      </c>
      <c r="F774" s="99" t="n">
        <v>44995</v>
      </c>
      <c r="G774" s="100" t="n"/>
    </row>
    <row r="775" ht="16" customFormat="1" customHeight="1" s="58">
      <c r="A775" s="98" t="n">
        <v>48105</v>
      </c>
      <c r="B775" s="98" t="inlineStr">
        <is>
          <t>HENNESSY V S COGNAC</t>
        </is>
      </c>
      <c r="C775" s="97">
        <f>VLOOKUP(A775,SizeData!A$2:B$3839,2,FALSE)</f>
        <v/>
      </c>
      <c r="D775" s="98" t="n">
        <v>10</v>
      </c>
      <c r="E775" s="98" t="inlineStr">
        <is>
          <t>R1907823</t>
        </is>
      </c>
      <c r="F775" s="99" t="n">
        <v>44908</v>
      </c>
      <c r="G775" s="100" t="n"/>
    </row>
    <row r="776" ht="16" customFormat="1" customHeight="1" s="58">
      <c r="A776" s="98" t="n">
        <v>48105</v>
      </c>
      <c r="B776" s="98" t="inlineStr">
        <is>
          <t>HENNESSY V S COGNAC</t>
        </is>
      </c>
      <c r="C776" s="97">
        <f>VLOOKUP(A776,SizeData!A$2:B$3839,2,FALSE)</f>
        <v/>
      </c>
      <c r="D776" s="98" t="n">
        <v>3</v>
      </c>
      <c r="E776" s="98" t="inlineStr">
        <is>
          <t>R1906937</t>
        </is>
      </c>
      <c r="F776" s="99" t="n">
        <v>44911</v>
      </c>
      <c r="G776" s="100" t="n"/>
    </row>
    <row r="777" ht="16" customFormat="1" customHeight="1" s="58">
      <c r="A777" s="98" t="n">
        <v>48107</v>
      </c>
      <c r="B777" s="98" t="inlineStr">
        <is>
          <t>HENNESSY V S COGNAC</t>
        </is>
      </c>
      <c r="C777" s="97">
        <f>VLOOKUP(A777,SizeData!A$2:B$3839,2,FALSE)</f>
        <v/>
      </c>
      <c r="D777" s="98" t="n">
        <v>5</v>
      </c>
      <c r="E777" s="98" t="inlineStr">
        <is>
          <t>R1916345</t>
        </is>
      </c>
      <c r="F777" s="99" t="n">
        <v>44916</v>
      </c>
      <c r="G777" s="100" t="n"/>
    </row>
    <row r="778" ht="16" customFormat="1" customHeight="1" s="58">
      <c r="A778" s="98" t="n">
        <v>48099</v>
      </c>
      <c r="B778" s="98" t="inlineStr">
        <is>
          <t>HENNESSY V S COGNAC</t>
        </is>
      </c>
      <c r="C778" s="97">
        <f>VLOOKUP(A778,SizeData!A$2:B$3839,2,FALSE)</f>
        <v/>
      </c>
      <c r="D778" s="98" t="n">
        <v>10</v>
      </c>
      <c r="E778" s="98" t="inlineStr">
        <is>
          <t>R1911462</t>
        </is>
      </c>
      <c r="F778" s="99" t="n">
        <v>44917</v>
      </c>
      <c r="G778" s="100" t="n"/>
    </row>
    <row r="779" ht="16" customFormat="1" customHeight="1" s="58">
      <c r="A779" s="98" t="n">
        <v>48106</v>
      </c>
      <c r="B779" s="98" t="inlineStr">
        <is>
          <t>HENNESSY V S COGNAC</t>
        </is>
      </c>
      <c r="C779" s="97">
        <f>VLOOKUP(A779,SizeData!A$2:B$3839,2,FALSE)</f>
        <v/>
      </c>
      <c r="D779" s="98" t="n">
        <v>10</v>
      </c>
      <c r="E779" s="98" t="inlineStr">
        <is>
          <t>R1922443</t>
        </is>
      </c>
      <c r="F779" s="99" t="n">
        <v>44925</v>
      </c>
      <c r="G779" s="100" t="n"/>
    </row>
    <row r="780" ht="16" customFormat="1" customHeight="1" s="58">
      <c r="A780" s="98" t="n">
        <v>52581</v>
      </c>
      <c r="B780" s="98" t="inlineStr">
        <is>
          <t>E &amp; J SUPERIOR RESERVE VSOP BRANDY</t>
        </is>
      </c>
      <c r="C780" s="97">
        <f>VLOOKUP(A780,SizeData!A$2:B$3839,2,FALSE)</f>
        <v/>
      </c>
      <c r="D780" s="98" t="n">
        <v>1</v>
      </c>
      <c r="E780" s="98" t="inlineStr">
        <is>
          <t>R2019856</t>
        </is>
      </c>
      <c r="F780" s="99" t="n">
        <v>45005</v>
      </c>
      <c r="G780" s="100" t="n"/>
    </row>
    <row r="781" ht="16" customFormat="1" customHeight="1" s="58">
      <c r="A781" s="98" t="n">
        <v>52584</v>
      </c>
      <c r="B781" s="98" t="inlineStr">
        <is>
          <t>E &amp; J SUPERIOR RESERVE VSOP BRANDY</t>
        </is>
      </c>
      <c r="C781" s="97">
        <f>VLOOKUP(A781,SizeData!A$2:B$3839,2,FALSE)</f>
        <v/>
      </c>
      <c r="D781" s="98" t="n">
        <v>1</v>
      </c>
      <c r="E781" s="98" t="inlineStr">
        <is>
          <t>R2022490</t>
        </is>
      </c>
      <c r="F781" s="99" t="n">
        <v>45014</v>
      </c>
      <c r="G781" s="100" t="n"/>
    </row>
    <row r="782" ht="16" customFormat="1" customHeight="1" s="58">
      <c r="A782" s="101" t="n">
        <v>52580</v>
      </c>
      <c r="B782" s="101" t="inlineStr">
        <is>
          <t>E &amp; J SUPERIOR RESERVE VSOP BRANDY</t>
        </is>
      </c>
      <c r="C782" s="102">
        <f>VLOOKUP(A782,SizeData!A$2:B$3839,2,FALSE)</f>
        <v/>
      </c>
      <c r="D782" s="101" t="n">
        <v>1</v>
      </c>
      <c r="E782" s="101" t="inlineStr">
        <is>
          <t>R2049198</t>
        </is>
      </c>
      <c r="F782" s="103" t="n">
        <v>45028</v>
      </c>
      <c r="G782" s="104" t="n"/>
    </row>
    <row r="783" ht="16" customFormat="1" customHeight="1" s="58">
      <c r="A783" s="98" t="n">
        <v>52581</v>
      </c>
      <c r="B783" s="98" t="inlineStr">
        <is>
          <t>E &amp; J SUPERIOR RESERVE VSOP BRANDY</t>
        </is>
      </c>
      <c r="C783" s="97">
        <f>VLOOKUP(A783,SizeData!A$2:B$3839,2,FALSE)</f>
        <v/>
      </c>
      <c r="D783" s="98" t="n">
        <v>1</v>
      </c>
      <c r="E783" s="98" t="inlineStr">
        <is>
          <t>R2072241</t>
        </is>
      </c>
      <c r="F783" s="99" t="n">
        <v>45035</v>
      </c>
      <c r="G783" s="100" t="n"/>
    </row>
    <row r="784" ht="16" customFormat="1" customHeight="1" s="58">
      <c r="A784" s="98" t="n">
        <v>73780</v>
      </c>
      <c r="B784" s="98" t="inlineStr">
        <is>
          <t>E &amp; J VANILLA (BRANDY W/VANILLA LIQUEUR)</t>
        </is>
      </c>
      <c r="C784" s="97">
        <f>VLOOKUP(A784,SizeData!A$2:B$3839,2,FALSE)</f>
        <v/>
      </c>
      <c r="D784" s="98" t="n">
        <v>1</v>
      </c>
      <c r="E784" s="98" t="inlineStr">
        <is>
          <t>R1919341</t>
        </is>
      </c>
      <c r="F784" s="99" t="n">
        <v>44930</v>
      </c>
      <c r="G784" s="100" t="n"/>
    </row>
    <row r="785" ht="16" customFormat="1" customHeight="1" s="58">
      <c r="A785" s="98" t="n">
        <v>73779</v>
      </c>
      <c r="B785" s="98" t="inlineStr">
        <is>
          <t>E &amp; J VANILLA (BRANDY W/VANILLA LIQUEUR)</t>
        </is>
      </c>
      <c r="C785" s="97">
        <f>VLOOKUP(A785,SizeData!A$2:B$3839,2,FALSE)</f>
        <v/>
      </c>
      <c r="D785" s="98" t="n">
        <v>1</v>
      </c>
      <c r="E785" s="98" t="inlineStr">
        <is>
          <t>R2053991</t>
        </is>
      </c>
      <c r="F785" s="99" t="n">
        <v>45036</v>
      </c>
      <c r="G785" s="100" t="n"/>
    </row>
    <row r="786" ht="16" customFormat="1" customHeight="1" s="58">
      <c r="A786" s="98" t="n">
        <v>52598</v>
      </c>
      <c r="B786" s="98" t="inlineStr">
        <is>
          <t>E &amp; J VS BRANDY</t>
        </is>
      </c>
      <c r="C786" s="97">
        <f>VLOOKUP(A786,SizeData!A$2:B$3839,2,FALSE)</f>
        <v/>
      </c>
      <c r="D786" s="98" t="n">
        <v>1</v>
      </c>
      <c r="E786" s="98" t="inlineStr">
        <is>
          <t>R1930280</t>
        </is>
      </c>
      <c r="F786" s="99" t="n">
        <v>44935</v>
      </c>
      <c r="G786" s="100" t="n"/>
    </row>
    <row r="787" ht="16" customFormat="1" customHeight="1" s="58">
      <c r="A787" s="98" t="n">
        <v>52594</v>
      </c>
      <c r="B787" s="98" t="inlineStr">
        <is>
          <t>E &amp; J VS BRANDY</t>
        </is>
      </c>
      <c r="C787" s="97">
        <f>VLOOKUP(A787,SizeData!A$2:B$3839,2,FALSE)</f>
        <v/>
      </c>
      <c r="D787" s="98" t="n">
        <v>1</v>
      </c>
      <c r="E787" s="98" t="inlineStr">
        <is>
          <t>R1939504</t>
        </is>
      </c>
      <c r="F787" s="99" t="n">
        <v>44940</v>
      </c>
      <c r="G787" s="100" t="n"/>
    </row>
    <row r="788" ht="16" customFormat="1" customHeight="1" s="58">
      <c r="A788" s="98" t="n">
        <v>52598</v>
      </c>
      <c r="B788" s="98" t="inlineStr">
        <is>
          <t>E &amp; J VS BRANDY</t>
        </is>
      </c>
      <c r="C788" s="97">
        <f>VLOOKUP(A788,SizeData!A$2:B$3839,2,FALSE)</f>
        <v/>
      </c>
      <c r="D788" s="98" t="n">
        <v>1</v>
      </c>
      <c r="E788" s="98" t="inlineStr">
        <is>
          <t>R1986107</t>
        </is>
      </c>
      <c r="F788" s="99" t="n">
        <v>44968</v>
      </c>
      <c r="G788" s="100" t="n"/>
    </row>
    <row r="789" ht="16" customFormat="1" customHeight="1" s="58">
      <c r="A789" s="101" t="n">
        <v>52594</v>
      </c>
      <c r="B789" s="101" t="inlineStr">
        <is>
          <t>E &amp; J VS BRANDY</t>
        </is>
      </c>
      <c r="C789" s="102">
        <f>VLOOKUP(A789,SizeData!A$2:B$3839,2,FALSE)</f>
        <v/>
      </c>
      <c r="D789" s="101" t="n">
        <v>1</v>
      </c>
      <c r="E789" s="101" t="inlineStr">
        <is>
          <t>R1986107</t>
        </is>
      </c>
      <c r="F789" s="103" t="n">
        <v>44968</v>
      </c>
      <c r="G789" s="104" t="n"/>
    </row>
    <row r="790" ht="16" customFormat="1" customHeight="1" s="58">
      <c r="A790" s="98" t="n">
        <v>52593</v>
      </c>
      <c r="B790" s="98" t="inlineStr">
        <is>
          <t>E &amp; J VS BRANDY</t>
        </is>
      </c>
      <c r="C790" s="97">
        <f>VLOOKUP(A790,SizeData!A$2:B$3839,2,FALSE)</f>
        <v/>
      </c>
      <c r="D790" s="98" t="n">
        <v>1</v>
      </c>
      <c r="E790" s="98" t="inlineStr">
        <is>
          <t>R1996314</t>
        </is>
      </c>
      <c r="F790" s="99" t="n">
        <v>44979</v>
      </c>
      <c r="G790" s="100" t="n"/>
    </row>
    <row r="791" ht="16" customFormat="1" customHeight="1" s="58">
      <c r="A791" s="98" t="n">
        <v>52594</v>
      </c>
      <c r="B791" s="98" t="inlineStr">
        <is>
          <t>E &amp; J VS BRANDY</t>
        </is>
      </c>
      <c r="C791" s="97">
        <f>VLOOKUP(A791,SizeData!A$2:B$3839,2,FALSE)</f>
        <v/>
      </c>
      <c r="D791" s="98" t="n">
        <v>1</v>
      </c>
      <c r="E791" s="98" t="inlineStr">
        <is>
          <t>R1984929</t>
        </is>
      </c>
      <c r="F791" s="99" t="n">
        <v>44980</v>
      </c>
      <c r="G791" s="100" t="n"/>
    </row>
    <row r="792" ht="16" customFormat="1" customHeight="1" s="58">
      <c r="A792" s="98" t="n">
        <v>52596</v>
      </c>
      <c r="B792" s="98" t="inlineStr">
        <is>
          <t>E &amp; J VS BRANDY</t>
        </is>
      </c>
      <c r="C792" s="97">
        <f>VLOOKUP(A792,SizeData!A$2:B$3839,2,FALSE)</f>
        <v/>
      </c>
      <c r="D792" s="98" t="n">
        <v>3</v>
      </c>
      <c r="E792" s="98" t="inlineStr">
        <is>
          <t>R2010122</t>
        </is>
      </c>
      <c r="F792" s="99" t="n">
        <v>44981</v>
      </c>
      <c r="G792" s="100" t="n"/>
    </row>
    <row r="793" ht="16" customFormat="1" customHeight="1" s="58">
      <c r="A793" s="98" t="n">
        <v>52594</v>
      </c>
      <c r="B793" s="98" t="inlineStr">
        <is>
          <t>E &amp; J VS BRANDY</t>
        </is>
      </c>
      <c r="C793" s="97">
        <f>VLOOKUP(A793,SizeData!A$2:B$3839,2,FALSE)</f>
        <v/>
      </c>
      <c r="D793" s="98" t="n">
        <v>1</v>
      </c>
      <c r="E793" s="98" t="inlineStr">
        <is>
          <t>R2019856</t>
        </is>
      </c>
      <c r="F793" s="99" t="n">
        <v>45005</v>
      </c>
      <c r="G793" s="100" t="n"/>
    </row>
    <row r="794" ht="16" customFormat="1" customHeight="1" s="58">
      <c r="A794" s="98" t="n">
        <v>52594</v>
      </c>
      <c r="B794" s="98" t="inlineStr">
        <is>
          <t>E &amp; J VS BRANDY</t>
        </is>
      </c>
      <c r="C794" s="97">
        <f>VLOOKUP(A794,SizeData!A$2:B$3839,2,FALSE)</f>
        <v/>
      </c>
      <c r="D794" s="98" t="n">
        <v>1</v>
      </c>
      <c r="E794" s="98" t="inlineStr">
        <is>
          <t>R2061208</t>
        </is>
      </c>
      <c r="F794" s="99" t="n">
        <v>45022</v>
      </c>
      <c r="G794" s="100" t="n"/>
    </row>
    <row r="795" ht="16" customFormat="1" customHeight="1" s="58">
      <c r="A795" s="98" t="n">
        <v>52598</v>
      </c>
      <c r="B795" s="98" t="inlineStr">
        <is>
          <t>E &amp; J VS BRANDY</t>
        </is>
      </c>
      <c r="C795" s="97">
        <f>VLOOKUP(A795,SizeData!A$2:B$3839,2,FALSE)</f>
        <v/>
      </c>
      <c r="D795" s="98" t="n">
        <v>1</v>
      </c>
      <c r="E795" s="98" t="inlineStr">
        <is>
          <t>R2061208</t>
        </is>
      </c>
      <c r="F795" s="99" t="n">
        <v>45022</v>
      </c>
      <c r="G795" s="100" t="n"/>
    </row>
    <row r="796" ht="16" customFormat="1" customHeight="1" s="58">
      <c r="A796" s="98" t="n">
        <v>52593</v>
      </c>
      <c r="B796" s="98" t="inlineStr">
        <is>
          <t>E &amp; J VS BRANDY</t>
        </is>
      </c>
      <c r="C796" s="97">
        <f>VLOOKUP(A796,SizeData!A$2:B$3839,2,FALSE)</f>
        <v/>
      </c>
      <c r="D796" s="98" t="n">
        <v>1</v>
      </c>
      <c r="E796" s="98" t="inlineStr">
        <is>
          <t>R2049198</t>
        </is>
      </c>
      <c r="F796" s="99" t="n">
        <v>45028</v>
      </c>
      <c r="G796" s="100" t="n"/>
    </row>
    <row r="797" ht="16" customFormat="1" customHeight="1" s="58">
      <c r="A797" s="101" t="n">
        <v>52594</v>
      </c>
      <c r="B797" s="101" t="inlineStr">
        <is>
          <t>E &amp; J VS BRANDY</t>
        </is>
      </c>
      <c r="C797" s="102">
        <f>VLOOKUP(A797,SizeData!A$2:B$3839,2,FALSE)</f>
        <v/>
      </c>
      <c r="D797" s="101" t="n">
        <v>1</v>
      </c>
      <c r="E797" s="101" t="inlineStr">
        <is>
          <t>R2065393</t>
        </is>
      </c>
      <c r="F797" s="103" t="n">
        <v>45031</v>
      </c>
      <c r="G797" s="104" t="n"/>
    </row>
    <row r="798" ht="16" customFormat="1" customHeight="1" s="58">
      <c r="A798" s="98" t="n">
        <v>52563</v>
      </c>
      <c r="B798" s="98" t="inlineStr">
        <is>
          <t>E &amp; J XO BRANDY</t>
        </is>
      </c>
      <c r="C798" s="97">
        <f>VLOOKUP(A798,SizeData!A$2:B$3839,2,FALSE)</f>
        <v/>
      </c>
      <c r="D798" s="98" t="n">
        <v>1</v>
      </c>
      <c r="E798" s="98" t="inlineStr">
        <is>
          <t>R1928529</t>
        </is>
      </c>
      <c r="F798" s="99" t="n">
        <v>44933</v>
      </c>
      <c r="G798" s="100" t="n"/>
    </row>
    <row r="799" ht="16" customFormat="1" customHeight="1" s="58">
      <c r="A799" s="98" t="n">
        <v>52559</v>
      </c>
      <c r="B799" s="98" t="inlineStr">
        <is>
          <t>E &amp; J XO BRANDY</t>
        </is>
      </c>
      <c r="C799" s="97">
        <f>VLOOKUP(A799,SizeData!A$2:B$3839,2,FALSE)</f>
        <v/>
      </c>
      <c r="D799" s="98" t="n">
        <v>1</v>
      </c>
      <c r="E799" s="98" t="inlineStr">
        <is>
          <t>R2010122</t>
        </is>
      </c>
      <c r="F799" s="99" t="n">
        <v>44981</v>
      </c>
      <c r="G799" s="100" t="n"/>
    </row>
    <row r="800" ht="16" customFormat="1" customHeight="1" s="58">
      <c r="A800" s="98" t="n">
        <v>52563</v>
      </c>
      <c r="B800" s="98" t="inlineStr">
        <is>
          <t>E &amp; J XO BRANDY</t>
        </is>
      </c>
      <c r="C800" s="97">
        <f>VLOOKUP(A800,SizeData!A$2:B$3839,2,FALSE)</f>
        <v/>
      </c>
      <c r="D800" s="98" t="n">
        <v>1</v>
      </c>
      <c r="E800" s="98" t="inlineStr">
        <is>
          <t>R1992599</t>
        </is>
      </c>
      <c r="F800" s="99" t="n">
        <v>44989</v>
      </c>
      <c r="G800" s="100" t="n"/>
    </row>
    <row r="801" ht="16" customFormat="1" customHeight="1" s="58">
      <c r="A801" s="98" t="n">
        <v>52562</v>
      </c>
      <c r="B801" s="98" t="inlineStr">
        <is>
          <t>E &amp; J XO BRANDY</t>
        </is>
      </c>
      <c r="C801" s="97">
        <f>VLOOKUP(A801,SizeData!A$2:B$3839,2,FALSE)</f>
        <v/>
      </c>
      <c r="D801" s="98" t="n">
        <v>1</v>
      </c>
      <c r="E801" s="98" t="inlineStr">
        <is>
          <t>R2020651</t>
        </is>
      </c>
      <c r="F801" s="99" t="n">
        <v>45000</v>
      </c>
      <c r="G801" s="100" t="n"/>
    </row>
    <row r="802" ht="16" customFormat="1" customHeight="1" s="58">
      <c r="A802" s="98" t="n">
        <v>52559</v>
      </c>
      <c r="B802" s="98" t="inlineStr">
        <is>
          <t>E &amp; J XO BRANDY</t>
        </is>
      </c>
      <c r="C802" s="97">
        <f>VLOOKUP(A802,SizeData!A$2:B$3839,2,FALSE)</f>
        <v/>
      </c>
      <c r="D802" s="98" t="n">
        <v>1</v>
      </c>
      <c r="E802" s="98" t="inlineStr">
        <is>
          <t>R2022490</t>
        </is>
      </c>
      <c r="F802" s="99" t="n">
        <v>45014</v>
      </c>
      <c r="G802" s="100" t="n"/>
    </row>
    <row r="803" ht="16" customFormat="1" customHeight="1" s="58">
      <c r="A803" s="98" t="n">
        <v>89278</v>
      </c>
      <c r="B803" s="98" t="inlineStr">
        <is>
          <t>EL JIMADOR REPOSADO TEQUILA</t>
        </is>
      </c>
      <c r="C803" s="97">
        <f>VLOOKUP(A803,SizeData!A$2:B$3839,2,FALSE)</f>
        <v/>
      </c>
      <c r="D803" s="98" t="n">
        <v>1</v>
      </c>
      <c r="E803" s="98" t="inlineStr">
        <is>
          <t>R2014390</t>
        </is>
      </c>
      <c r="F803" s="99" t="n">
        <v>45006</v>
      </c>
      <c r="G803" s="100" t="n"/>
    </row>
    <row r="804" ht="16" customFormat="1" customHeight="1" s="58">
      <c r="A804" s="101" t="n">
        <v>87586</v>
      </c>
      <c r="B804" s="101" t="inlineStr">
        <is>
          <t>EL JIMADOR SILVER TEQUILA (WAS BLANCO)</t>
        </is>
      </c>
      <c r="C804" s="102">
        <f>VLOOKUP(A804,SizeData!A$2:B$3839,2,FALSE)</f>
        <v/>
      </c>
      <c r="D804" s="101" t="n">
        <v>1</v>
      </c>
      <c r="E804" s="101" t="inlineStr">
        <is>
          <t>R2005740</t>
        </is>
      </c>
      <c r="F804" s="103" t="n">
        <v>44987</v>
      </c>
      <c r="G804" s="100" t="n"/>
    </row>
    <row r="805" ht="16" customFormat="1" customHeight="1" s="58">
      <c r="A805" s="98" t="n">
        <v>89178</v>
      </c>
      <c r="B805" s="98" t="inlineStr">
        <is>
          <t>EL MAYOR ANEJO TEQUILA</t>
        </is>
      </c>
      <c r="C805" s="97">
        <f>VLOOKUP(A805,SizeData!A$2:B$3839,2,FALSE)</f>
        <v/>
      </c>
      <c r="D805" s="98" t="n">
        <v>3</v>
      </c>
      <c r="E805" s="98" t="inlineStr">
        <is>
          <t>R1969406</t>
        </is>
      </c>
      <c r="F805" s="99" t="n">
        <v>44963</v>
      </c>
      <c r="G805" s="100" t="n"/>
    </row>
    <row r="806" ht="16" customFormat="1" customHeight="1" s="58">
      <c r="A806" s="98" t="n">
        <v>87596</v>
      </c>
      <c r="B806" s="98" t="inlineStr">
        <is>
          <t>EL MAYOR BLANCO TEQUILA</t>
        </is>
      </c>
      <c r="C806" s="97">
        <f>VLOOKUP(A806,SizeData!A$2:B$3839,2,FALSE)</f>
        <v/>
      </c>
      <c r="D806" s="98" t="n">
        <v>1</v>
      </c>
      <c r="E806" s="98" t="inlineStr">
        <is>
          <t>R1962631</t>
        </is>
      </c>
      <c r="F806" s="99" t="n">
        <v>44959</v>
      </c>
      <c r="G806" s="100" t="n"/>
    </row>
    <row r="807" ht="16" customFormat="1" customHeight="1" s="58">
      <c r="A807" s="98" t="n">
        <v>88470</v>
      </c>
      <c r="B807" s="98" t="inlineStr">
        <is>
          <t>EL MAYOR CRISTALINO ANEJO TEQUILA</t>
        </is>
      </c>
      <c r="C807" s="97">
        <f>VLOOKUP(A807,SizeData!A$2:B$3839,2,FALSE)</f>
        <v/>
      </c>
      <c r="D807" s="98" t="n">
        <v>1</v>
      </c>
      <c r="E807" s="98" t="inlineStr">
        <is>
          <t>R2039044</t>
        </is>
      </c>
      <c r="F807" s="99" t="n">
        <v>45013</v>
      </c>
      <c r="G807" s="100" t="n"/>
    </row>
    <row r="808" ht="16" customFormat="1" customHeight="1" s="58">
      <c r="A808" s="98" t="n">
        <v>89182</v>
      </c>
      <c r="B808" s="98" t="inlineStr">
        <is>
          <t>EL MAYOR REPOSADO TEQIULA</t>
        </is>
      </c>
      <c r="C808" s="97">
        <f>VLOOKUP(A808,SizeData!A$2:B$3839,2,FALSE)</f>
        <v/>
      </c>
      <c r="D808" s="98" t="n">
        <v>3</v>
      </c>
      <c r="E808" s="98" t="inlineStr">
        <is>
          <t>R1957712</t>
        </is>
      </c>
      <c r="F808" s="99" t="n">
        <v>44958</v>
      </c>
      <c r="G808" s="100" t="n"/>
    </row>
    <row r="809" ht="16" customFormat="1" customHeight="1" s="58">
      <c r="A809" s="98" t="n">
        <v>17954</v>
      </c>
      <c r="B809" s="98" t="inlineStr">
        <is>
          <t>EVAN WILLIAMS BLACK LABEL</t>
        </is>
      </c>
      <c r="C809" s="97">
        <f>VLOOKUP(A809,SizeData!A$2:B$3839,2,FALSE)</f>
        <v/>
      </c>
      <c r="D809" s="98" t="n">
        <v>1</v>
      </c>
      <c r="E809" s="98" t="inlineStr">
        <is>
          <t>R1924344</t>
        </is>
      </c>
      <c r="F809" s="99" t="n">
        <v>44933</v>
      </c>
      <c r="G809" s="100" t="n"/>
    </row>
    <row r="810" ht="16" customFormat="1" customHeight="1" s="58">
      <c r="A810" s="98" t="n">
        <v>17956</v>
      </c>
      <c r="B810" s="98" t="inlineStr">
        <is>
          <t>EVAN WILLIAMS BLACK LABEL</t>
        </is>
      </c>
      <c r="C810" s="97">
        <f>VLOOKUP(A810,SizeData!A$2:B$3839,2,FALSE)</f>
        <v/>
      </c>
      <c r="D810" s="98" t="n">
        <v>1</v>
      </c>
      <c r="E810" s="98" t="inlineStr">
        <is>
          <t>R1939504</t>
        </is>
      </c>
      <c r="F810" s="99" t="n">
        <v>44940</v>
      </c>
      <c r="G810" s="100" t="n"/>
    </row>
    <row r="811" ht="16" customFormat="1" customHeight="1" s="58">
      <c r="A811" s="98" t="n">
        <v>17956</v>
      </c>
      <c r="B811" s="98" t="inlineStr">
        <is>
          <t>EVAN WILLIAMS BLACK LABEL</t>
        </is>
      </c>
      <c r="C811" s="97">
        <f>VLOOKUP(A811,SizeData!A$2:B$3839,2,FALSE)</f>
        <v/>
      </c>
      <c r="D811" s="98" t="n">
        <v>2</v>
      </c>
      <c r="E811" s="98" t="inlineStr">
        <is>
          <t>R1957712</t>
        </is>
      </c>
      <c r="F811" s="99" t="n">
        <v>44958</v>
      </c>
      <c r="G811" s="100" t="n"/>
    </row>
    <row r="812" ht="16" customFormat="1" customHeight="1" s="58">
      <c r="A812" s="98" t="n">
        <v>17956</v>
      </c>
      <c r="B812" s="98" t="inlineStr">
        <is>
          <t>EVAN WILLIAMS BLACK LABEL</t>
        </is>
      </c>
      <c r="C812" s="97">
        <f>VLOOKUP(A812,SizeData!A$2:B$3839,2,FALSE)</f>
        <v/>
      </c>
      <c r="D812" s="98" t="n">
        <v>2</v>
      </c>
      <c r="E812" s="98" t="inlineStr">
        <is>
          <t>R1962631</t>
        </is>
      </c>
      <c r="F812" s="99" t="n">
        <v>44959</v>
      </c>
      <c r="G812" s="100" t="n"/>
    </row>
    <row r="813" ht="16" customFormat="1" customHeight="1" s="58">
      <c r="A813" s="98" t="n">
        <v>17958</v>
      </c>
      <c r="B813" s="98" t="inlineStr">
        <is>
          <t>EVAN WILLIAMS BLACK LABEL</t>
        </is>
      </c>
      <c r="C813" s="97">
        <f>VLOOKUP(A813,SizeData!A$2:B$3839,2,FALSE)</f>
        <v/>
      </c>
      <c r="D813" s="98" t="n">
        <v>4</v>
      </c>
      <c r="E813" s="98" t="inlineStr">
        <is>
          <t>R1999510</t>
        </is>
      </c>
      <c r="F813" s="99" t="n">
        <v>44987</v>
      </c>
      <c r="G813" s="100" t="n"/>
    </row>
    <row r="814" ht="16" customFormat="1" customHeight="1" s="58">
      <c r="A814" s="98" t="n">
        <v>17958</v>
      </c>
      <c r="B814" s="98" t="inlineStr">
        <is>
          <t>EVAN WILLIAMS BLACK LABEL</t>
        </is>
      </c>
      <c r="C814" s="97">
        <f>VLOOKUP(A814,SizeData!A$2:B$3839,2,FALSE)</f>
        <v/>
      </c>
      <c r="D814" s="98" t="n">
        <v>2</v>
      </c>
      <c r="E814" s="98" t="inlineStr">
        <is>
          <t>R2012784</t>
        </is>
      </c>
      <c r="F814" s="99" t="n">
        <v>44992</v>
      </c>
      <c r="G814" s="100" t="n"/>
    </row>
    <row r="815" ht="16" customFormat="1" customHeight="1" s="58">
      <c r="A815" s="98" t="n">
        <v>17958</v>
      </c>
      <c r="B815" s="98" t="inlineStr">
        <is>
          <t>EVAN WILLIAMS BLACK LABEL</t>
        </is>
      </c>
      <c r="C815" s="97">
        <f>VLOOKUP(A815,SizeData!A$2:B$3839,2,FALSE)</f>
        <v/>
      </c>
      <c r="D815" s="98" t="n">
        <v>2</v>
      </c>
      <c r="E815" s="98" t="inlineStr">
        <is>
          <t>R2017905</t>
        </is>
      </c>
      <c r="F815" s="99" t="n">
        <v>44993</v>
      </c>
      <c r="G815" s="100" t="n"/>
    </row>
    <row r="816" ht="16" customFormat="1" customHeight="1" s="58">
      <c r="A816" s="98" t="n">
        <v>17956</v>
      </c>
      <c r="B816" s="98" t="inlineStr">
        <is>
          <t>EVAN WILLIAMS BLACK LABEL</t>
        </is>
      </c>
      <c r="C816" s="97">
        <f>VLOOKUP(A816,SizeData!A$2:B$3839,2,FALSE)</f>
        <v/>
      </c>
      <c r="D816" s="98" t="n">
        <v>1</v>
      </c>
      <c r="E816" s="98" t="inlineStr">
        <is>
          <t>R2082317</t>
        </is>
      </c>
      <c r="F816" s="99" t="n">
        <v>45047</v>
      </c>
      <c r="G816" s="100" t="n"/>
    </row>
    <row r="817" ht="16" customFormat="1" customHeight="1" s="58">
      <c r="A817" s="98" t="n">
        <v>17956</v>
      </c>
      <c r="B817" s="98" t="inlineStr">
        <is>
          <t>EVAN WILLIAMS BLACK LABEL</t>
        </is>
      </c>
      <c r="C817" s="97">
        <f>VLOOKUP(A817,SizeData!A$2:B$3839,2,FALSE)</f>
        <v/>
      </c>
      <c r="D817" s="98" t="n">
        <v>3</v>
      </c>
      <c r="E817" s="98" t="inlineStr">
        <is>
          <t>R2088403</t>
        </is>
      </c>
      <c r="F817" s="99" t="n">
        <v>45049</v>
      </c>
      <c r="G817" s="100" t="n"/>
    </row>
    <row r="818" ht="16" customFormat="1" customHeight="1" s="58">
      <c r="A818" s="98" t="n">
        <v>41836</v>
      </c>
      <c r="B818" s="98" t="inlineStr">
        <is>
          <t>EVERCLEAR 190 ALCOHOL</t>
        </is>
      </c>
      <c r="C818" s="97">
        <f>VLOOKUP(A818,SizeData!A$2:B$3839,2,FALSE)</f>
        <v/>
      </c>
      <c r="D818" s="98" t="n">
        <v>1</v>
      </c>
      <c r="E818" s="98" t="inlineStr">
        <is>
          <t>R2005740</t>
        </is>
      </c>
      <c r="F818" s="99" t="n">
        <v>44987</v>
      </c>
      <c r="G818" s="100" t="n"/>
    </row>
    <row r="819" ht="16" customFormat="1" customHeight="1" s="58">
      <c r="A819" s="98" t="n">
        <v>41838</v>
      </c>
      <c r="B819" s="98" t="inlineStr">
        <is>
          <t>EVERCLEAR ALCOHOL 190 (PET)</t>
        </is>
      </c>
      <c r="C819" s="97">
        <f>VLOOKUP(A819,SizeData!A$2:B$3839,2,FALSE)</f>
        <v/>
      </c>
      <c r="D819" s="98" t="n">
        <v>5</v>
      </c>
      <c r="E819" s="98" t="inlineStr">
        <is>
          <t>R1984929</t>
        </is>
      </c>
      <c r="F819" s="99" t="n">
        <v>44980</v>
      </c>
      <c r="G819" s="100" t="n"/>
    </row>
    <row r="820" ht="16" customFormat="1" customHeight="1" s="58">
      <c r="A820" s="101" t="n">
        <v>41838</v>
      </c>
      <c r="B820" s="101" t="inlineStr">
        <is>
          <t>EVERCLEAR ALCOHOL 190 (PET)</t>
        </is>
      </c>
      <c r="C820" s="102">
        <f>VLOOKUP(A820,SizeData!A$2:B$3839,2,FALSE)</f>
        <v/>
      </c>
      <c r="D820" s="101" t="n">
        <v>5</v>
      </c>
      <c r="E820" s="101" t="inlineStr">
        <is>
          <t>R2082317</t>
        </is>
      </c>
      <c r="F820" s="103" t="n">
        <v>45047</v>
      </c>
      <c r="G820" s="104" t="n"/>
    </row>
    <row r="821" ht="16" customFormat="1" customHeight="1" s="58">
      <c r="A821" s="101" t="n">
        <v>89533</v>
      </c>
      <c r="B821" s="101" t="inlineStr">
        <is>
          <t>FAMILIA CAMARENA REPOSADO TEQUILA</t>
        </is>
      </c>
      <c r="C821" s="102">
        <f>VLOOKUP(A821,SizeData!A$2:B$3839,2,FALSE)</f>
        <v/>
      </c>
      <c r="D821" s="101" t="n">
        <v>1</v>
      </c>
      <c r="E821" s="101" t="inlineStr">
        <is>
          <t>R2030138</t>
        </is>
      </c>
      <c r="F821" s="103" t="n">
        <v>44986</v>
      </c>
      <c r="G821" s="104" t="n"/>
    </row>
    <row r="822" ht="16" customFormat="1" customHeight="1" s="58">
      <c r="A822" s="98" t="n">
        <v>87643</v>
      </c>
      <c r="B822" s="98" t="inlineStr">
        <is>
          <t>FAMILIA CAMARENA SILVER TEQUILA</t>
        </is>
      </c>
      <c r="C822" s="97">
        <f>VLOOKUP(A822,SizeData!A$2:B$3839,2,FALSE)</f>
        <v/>
      </c>
      <c r="D822" s="98" t="n">
        <v>1</v>
      </c>
      <c r="E822" s="98" t="inlineStr">
        <is>
          <t>R1944170</t>
        </is>
      </c>
      <c r="F822" s="99" t="n">
        <v>44947</v>
      </c>
      <c r="G822" s="100" t="n"/>
    </row>
    <row r="823" ht="16" customFormat="1" customHeight="1" s="58">
      <c r="A823" s="98" t="n">
        <v>87643</v>
      </c>
      <c r="B823" s="98" t="inlineStr">
        <is>
          <t>FAMILIA CAMARENA SILVER TEQUILA</t>
        </is>
      </c>
      <c r="C823" s="97">
        <f>VLOOKUP(A823,SizeData!A$2:B$3839,2,FALSE)</f>
        <v/>
      </c>
      <c r="D823" s="98" t="n">
        <v>1</v>
      </c>
      <c r="E823" s="98" t="inlineStr">
        <is>
          <t>R1947923</t>
        </is>
      </c>
      <c r="F823" s="99" t="n">
        <v>44949</v>
      </c>
      <c r="G823" s="100" t="n"/>
    </row>
    <row r="824" ht="16" customFormat="1" customHeight="1" s="58">
      <c r="A824" s="98" t="n">
        <v>64864</v>
      </c>
      <c r="B824" s="98" t="inlineStr">
        <is>
          <t>FIREBALL CINNAMON WHISKEY (PET)</t>
        </is>
      </c>
      <c r="C824" s="97">
        <f>VLOOKUP(A824,SizeData!A$2:B$3839,2,FALSE)</f>
        <v/>
      </c>
      <c r="D824" s="98" t="n">
        <v>1</v>
      </c>
      <c r="E824" s="98" t="inlineStr">
        <is>
          <t>R1914089</t>
        </is>
      </c>
      <c r="F824" s="99" t="n">
        <v>44927</v>
      </c>
      <c r="G824" s="100" t="n"/>
    </row>
    <row r="825" ht="16" customFormat="1" customHeight="1" s="58">
      <c r="A825" s="98" t="n">
        <v>64864</v>
      </c>
      <c r="B825" s="98" t="inlineStr">
        <is>
          <t>FIREBALL CINNAMON WHISKEY (PET)</t>
        </is>
      </c>
      <c r="C825" s="97">
        <f>VLOOKUP(A825,SizeData!A$2:B$3839,2,FALSE)</f>
        <v/>
      </c>
      <c r="D825" s="98" t="n">
        <v>2</v>
      </c>
      <c r="E825" s="98" t="inlineStr">
        <is>
          <t>R1924344</t>
        </is>
      </c>
      <c r="F825" s="99" t="n">
        <v>44933</v>
      </c>
      <c r="G825" s="100" t="n"/>
    </row>
    <row r="826" ht="16" customFormat="1" customHeight="1" s="58">
      <c r="A826" s="98" t="n">
        <v>65013</v>
      </c>
      <c r="B826" s="98" t="inlineStr">
        <is>
          <t>FIREBALL CINNAMON WHISKEY (PET)</t>
        </is>
      </c>
      <c r="C826" s="97">
        <f>VLOOKUP(A826,SizeData!A$2:B$3839,2,FALSE)</f>
        <v/>
      </c>
      <c r="D826" s="98" t="n">
        <v>10</v>
      </c>
      <c r="E826" s="98" t="inlineStr">
        <is>
          <t>R2005977</t>
        </is>
      </c>
      <c r="F826" s="99" t="n">
        <v>44992</v>
      </c>
      <c r="G826" s="100" t="n"/>
    </row>
    <row r="827" ht="16" customFormat="1" customHeight="1" s="58">
      <c r="A827" s="98" t="n">
        <v>64864</v>
      </c>
      <c r="B827" s="98" t="inlineStr">
        <is>
          <t>FIREBALL CINNAMON WHISKEY (PET)</t>
        </is>
      </c>
      <c r="C827" s="97">
        <f>VLOOKUP(A827,SizeData!A$2:B$3839,2,FALSE)</f>
        <v/>
      </c>
      <c r="D827" s="98" t="n">
        <v>1</v>
      </c>
      <c r="E827" s="98" t="inlineStr">
        <is>
          <t>R2035414</t>
        </is>
      </c>
      <c r="F827" s="99" t="n">
        <v>45003</v>
      </c>
      <c r="G827" s="100" t="n"/>
    </row>
    <row r="828" ht="16" customFormat="1" customHeight="1" s="58">
      <c r="A828" s="98" t="n">
        <v>64864</v>
      </c>
      <c r="B828" s="98" t="inlineStr">
        <is>
          <t>FIREBALL CINNAMON WHISKEY (PET)</t>
        </is>
      </c>
      <c r="C828" s="97">
        <f>VLOOKUP(A828,SizeData!A$2:B$3839,2,FALSE)</f>
        <v/>
      </c>
      <c r="D828" s="98" t="n">
        <v>1</v>
      </c>
      <c r="E828" s="98" t="inlineStr">
        <is>
          <t>R2055049</t>
        </is>
      </c>
      <c r="F828" s="99" t="n">
        <v>45017</v>
      </c>
      <c r="G828" s="100" t="n"/>
    </row>
    <row r="829" ht="16" customFormat="1" customHeight="1" s="58">
      <c r="A829" s="98" t="n">
        <v>64864</v>
      </c>
      <c r="B829" s="98" t="inlineStr">
        <is>
          <t>FIREBALL CINNAMON WHISKEY (PET)</t>
        </is>
      </c>
      <c r="C829" s="97">
        <f>VLOOKUP(A829,SizeData!A$2:B$3839,2,FALSE)</f>
        <v/>
      </c>
      <c r="D829" s="98" t="n">
        <v>3</v>
      </c>
      <c r="E829" s="98" t="inlineStr">
        <is>
          <t>R2043272</t>
        </is>
      </c>
      <c r="F829" s="99" t="n">
        <v>45021</v>
      </c>
      <c r="G829" s="100" t="n"/>
    </row>
    <row r="830" ht="16" customFormat="1" customHeight="1" s="58">
      <c r="A830" s="98" t="n">
        <v>64865</v>
      </c>
      <c r="B830" s="98" t="inlineStr">
        <is>
          <t>FIREBALL CINNAMON WHISKEY PET</t>
        </is>
      </c>
      <c r="C830" s="97">
        <f>VLOOKUP(A830,SizeData!A$2:B$3839,2,FALSE)</f>
        <v/>
      </c>
      <c r="D830" s="98" t="n">
        <v>1</v>
      </c>
      <c r="E830" s="98" t="inlineStr">
        <is>
          <t>R1939404</t>
        </is>
      </c>
      <c r="F830" s="99" t="n">
        <v>44942</v>
      </c>
      <c r="G830" s="100" t="n"/>
    </row>
    <row r="831" ht="16" customFormat="1" customHeight="1" s="58">
      <c r="A831" s="98" t="n">
        <v>64865</v>
      </c>
      <c r="B831" s="98" t="inlineStr">
        <is>
          <t>FIREBALL CINNAMON WHISKEY PET</t>
        </is>
      </c>
      <c r="C831" s="97">
        <f>VLOOKUP(A831,SizeData!A$2:B$3839,2,FALSE)</f>
        <v/>
      </c>
      <c r="D831" s="98" t="n">
        <v>2</v>
      </c>
      <c r="E831" s="98" t="inlineStr">
        <is>
          <t>R1961502</t>
        </is>
      </c>
      <c r="F831" s="99" t="n">
        <v>44953</v>
      </c>
      <c r="G831" s="100" t="n"/>
    </row>
    <row r="832" ht="16" customFormat="1" customHeight="1" s="58">
      <c r="A832" s="98" t="n">
        <v>64863</v>
      </c>
      <c r="B832" s="98" t="inlineStr">
        <is>
          <t>FIREBALL CINNAMON WHISKEY PET</t>
        </is>
      </c>
      <c r="C832" s="97">
        <f>VLOOKUP(A832,SizeData!A$2:B$3839,2,FALSE)</f>
        <v/>
      </c>
      <c r="D832" s="98" t="n">
        <v>1</v>
      </c>
      <c r="E832" s="98" t="inlineStr">
        <is>
          <t>R1978468</t>
        </is>
      </c>
      <c r="F832" s="99" t="n">
        <v>44979</v>
      </c>
      <c r="G832" s="100" t="n"/>
    </row>
    <row r="833" ht="16" customFormat="1" customHeight="1" s="58">
      <c r="A833" s="98" t="n">
        <v>64865</v>
      </c>
      <c r="B833" s="98" t="inlineStr">
        <is>
          <t>FIREBALL CINNAMON WHISKEY PET</t>
        </is>
      </c>
      <c r="C833" s="97">
        <f>VLOOKUP(A833,SizeData!A$2:B$3839,2,FALSE)</f>
        <v/>
      </c>
      <c r="D833" s="98" t="n">
        <v>1</v>
      </c>
      <c r="E833" s="98" t="inlineStr">
        <is>
          <t>R2006814</t>
        </is>
      </c>
      <c r="F833" s="99" t="n">
        <v>44988</v>
      </c>
      <c r="G833" s="100" t="n"/>
    </row>
    <row r="834" ht="16" customFormat="1" customHeight="1" s="58">
      <c r="A834" s="98" t="n">
        <v>64904</v>
      </c>
      <c r="B834" s="98" t="inlineStr">
        <is>
          <t>FIREBALL CINNAMON WHISKY PET</t>
        </is>
      </c>
      <c r="C834" s="97">
        <f>VLOOKUP(A834,SizeData!A$2:B$3839,2,FALSE)</f>
        <v/>
      </c>
      <c r="D834" s="98" t="n">
        <v>2</v>
      </c>
      <c r="E834" s="98" t="inlineStr">
        <is>
          <t>R2005740</t>
        </is>
      </c>
      <c r="F834" s="99" t="n">
        <v>44987</v>
      </c>
      <c r="G834" s="100" t="n"/>
    </row>
    <row r="835" ht="16" customFormat="1" customHeight="1" s="58">
      <c r="A835" s="98" t="n">
        <v>64904</v>
      </c>
      <c r="B835" s="98" t="inlineStr">
        <is>
          <t>FIREBALL CINNAMON WHISKY PET</t>
        </is>
      </c>
      <c r="C835" s="97">
        <f>VLOOKUP(A835,SizeData!A$2:B$3839,2,FALSE)</f>
        <v/>
      </c>
      <c r="D835" s="98" t="n">
        <v>1</v>
      </c>
      <c r="E835" s="98" t="inlineStr">
        <is>
          <t>R2017941</t>
        </is>
      </c>
      <c r="F835" s="99" t="n">
        <v>44996</v>
      </c>
      <c r="G835" s="100" t="n"/>
    </row>
    <row r="836" ht="16" customFormat="1" customHeight="1" s="58">
      <c r="A836" s="98" t="n">
        <v>65195</v>
      </c>
      <c r="B836" s="98" t="inlineStr">
        <is>
          <t>HPNOTIQ VODKA &amp; COGNAC LIQUEUR</t>
        </is>
      </c>
      <c r="C836" s="97">
        <f>VLOOKUP(A836,SizeData!A$2:B$3839,2,FALSE)</f>
        <v/>
      </c>
      <c r="D836" s="98" t="n">
        <v>6</v>
      </c>
      <c r="E836" s="98" t="inlineStr">
        <is>
          <t>R1911923</t>
        </is>
      </c>
      <c r="F836" s="99" t="n">
        <v>44912</v>
      </c>
      <c r="G836" s="100" t="n"/>
    </row>
    <row r="837" ht="16" customFormat="1" customHeight="1" s="58">
      <c r="A837" s="98" t="n">
        <v>466271</v>
      </c>
      <c r="B837" s="98" t="inlineStr">
        <is>
          <t>FLIP FLOP CABERNET SAUVIGNON</t>
        </is>
      </c>
      <c r="C837" s="97">
        <f>VLOOKUP(A837,SizeData!A$2:B$3839,2,FALSE)</f>
        <v/>
      </c>
      <c r="D837" s="98" t="n">
        <v>1</v>
      </c>
      <c r="E837" s="98" t="inlineStr">
        <is>
          <t>R1926599</t>
        </is>
      </c>
      <c r="F837" s="99" t="n">
        <v>44933</v>
      </c>
      <c r="G837" s="100" t="n"/>
    </row>
    <row r="838" ht="16" customFormat="1" customHeight="1" s="58">
      <c r="A838" s="98" t="n">
        <v>565371</v>
      </c>
      <c r="B838" s="98" t="inlineStr">
        <is>
          <t>FLIP FLOP CHARDONNAY</t>
        </is>
      </c>
      <c r="C838" s="97">
        <f>VLOOKUP(A838,SizeData!A$2:B$3839,2,FALSE)</f>
        <v/>
      </c>
      <c r="D838" s="98" t="n">
        <v>3</v>
      </c>
      <c r="E838" s="98" t="inlineStr">
        <is>
          <t>R1926599</t>
        </is>
      </c>
      <c r="F838" s="99" t="n">
        <v>44933</v>
      </c>
      <c r="G838" s="100" t="n"/>
    </row>
    <row r="839" ht="16" customFormat="1" customHeight="1" s="58">
      <c r="A839" s="98" t="n">
        <v>65188</v>
      </c>
      <c r="B839" s="98" t="inlineStr">
        <is>
          <t>HPNOTIQ VODKA &amp; COGNAC LIQUEUR</t>
        </is>
      </c>
      <c r="C839" s="97">
        <f>VLOOKUP(A839,SizeData!A$2:B$3839,2,FALSE)</f>
        <v/>
      </c>
      <c r="D839" s="98" t="n">
        <v>2</v>
      </c>
      <c r="E839" s="98" t="n"/>
      <c r="F839" s="99" t="n"/>
      <c r="G839" s="100" t="n"/>
    </row>
    <row r="840" ht="16" customFormat="1" customHeight="1" s="58">
      <c r="A840" s="98" t="n">
        <v>565371</v>
      </c>
      <c r="B840" s="98" t="inlineStr">
        <is>
          <t>FLIP FLOP CHARDONNAY</t>
        </is>
      </c>
      <c r="C840" s="97">
        <f>VLOOKUP(A840,SizeData!A$2:B$3839,2,FALSE)</f>
        <v/>
      </c>
      <c r="D840" s="98" t="n">
        <v>3</v>
      </c>
      <c r="E840" s="98" t="inlineStr">
        <is>
          <t>R1960024</t>
        </is>
      </c>
      <c r="F840" s="99" t="n">
        <v>44950</v>
      </c>
      <c r="G840" s="100" t="n"/>
    </row>
    <row r="841" ht="16" customFormat="1" customHeight="1" s="58">
      <c r="A841" s="98" t="n">
        <v>565371</v>
      </c>
      <c r="B841" s="98" t="inlineStr">
        <is>
          <t>FLIP FLOP CHARDONNAY</t>
        </is>
      </c>
      <c r="C841" s="97">
        <f>VLOOKUP(A841,SizeData!A$2:B$3839,2,FALSE)</f>
        <v/>
      </c>
      <c r="D841" s="98" t="n">
        <v>1</v>
      </c>
      <c r="E841" s="98" t="inlineStr">
        <is>
          <t>R1991528</t>
        </is>
      </c>
      <c r="F841" s="99" t="n">
        <v>44974</v>
      </c>
      <c r="G841" s="100" t="n"/>
    </row>
    <row r="842" ht="16" customFormat="1" customHeight="1" s="58">
      <c r="A842" s="98" t="n">
        <v>565371</v>
      </c>
      <c r="B842" s="98" t="inlineStr">
        <is>
          <t>FLIP FLOP CHARDONNAY</t>
        </is>
      </c>
      <c r="C842" s="97">
        <f>VLOOKUP(A842,SizeData!A$2:B$3839,2,FALSE)</f>
        <v/>
      </c>
      <c r="D842" s="98" t="n">
        <v>1</v>
      </c>
      <c r="E842" s="98" t="inlineStr">
        <is>
          <t>R2028718</t>
        </is>
      </c>
      <c r="F842" s="99" t="n">
        <v>45008</v>
      </c>
      <c r="G842" s="100" t="n"/>
    </row>
    <row r="843" ht="16" customFormat="1" customHeight="1" s="58">
      <c r="A843" s="98" t="n">
        <v>565371</v>
      </c>
      <c r="B843" s="98" t="inlineStr">
        <is>
          <t>FLIP FLOP CHARDONNAY</t>
        </is>
      </c>
      <c r="C843" s="97">
        <f>VLOOKUP(A843,SizeData!A$2:B$3839,2,FALSE)</f>
        <v/>
      </c>
      <c r="D843" s="98" t="n">
        <v>2</v>
      </c>
      <c r="E843" s="98" t="inlineStr">
        <is>
          <t>R2022490</t>
        </is>
      </c>
      <c r="F843" s="99" t="n">
        <v>45014</v>
      </c>
      <c r="G843" s="100" t="n"/>
    </row>
    <row r="844" ht="16" customFormat="1" customHeight="1" s="58">
      <c r="A844" s="98" t="n">
        <v>477852</v>
      </c>
      <c r="B844" s="98" t="inlineStr">
        <is>
          <t>J VINEYARDS PINOT NOIR MNTRY/SNMA/S BRBR</t>
        </is>
      </c>
      <c r="C844" s="97">
        <f>VLOOKUP(A844,SizeData!A$2:B$3839,2,FALSE)</f>
        <v/>
      </c>
      <c r="D844" s="98" t="n">
        <v>1</v>
      </c>
      <c r="E844" s="98" t="inlineStr">
        <is>
          <t>R1907823</t>
        </is>
      </c>
      <c r="F844" s="99" t="n">
        <v>44908</v>
      </c>
      <c r="G844" s="100" t="n"/>
    </row>
    <row r="845" ht="16" customFormat="1" customHeight="1" s="58">
      <c r="A845" s="98" t="n">
        <v>18352</v>
      </c>
      <c r="B845" s="98" t="inlineStr">
        <is>
          <t>FOUR ROSES KENTUCKY STRAIGHT BOURBON</t>
        </is>
      </c>
      <c r="C845" s="97">
        <f>VLOOKUP(A845,SizeData!A$2:B$3839,2,FALSE)</f>
        <v/>
      </c>
      <c r="D845" s="98" t="n">
        <v>3</v>
      </c>
      <c r="E845" s="98" t="inlineStr">
        <is>
          <t>R1956061</t>
        </is>
      </c>
      <c r="F845" s="99" t="n">
        <v>44956</v>
      </c>
      <c r="G845" s="100" t="n"/>
    </row>
    <row r="846" ht="16" customFormat="1" customHeight="1" s="58">
      <c r="A846" s="98" t="n">
        <v>18351</v>
      </c>
      <c r="B846" s="98" t="inlineStr">
        <is>
          <t>FOUR ROSES KENTUCKY STRAIGHT BOURBON</t>
        </is>
      </c>
      <c r="C846" s="97">
        <f>VLOOKUP(A846,SizeData!A$2:B$3839,2,FALSE)</f>
        <v/>
      </c>
      <c r="D846" s="98" t="n">
        <v>2</v>
      </c>
      <c r="E846" s="98" t="inlineStr">
        <is>
          <t>R1967237</t>
        </is>
      </c>
      <c r="F846" s="99" t="n">
        <v>44958</v>
      </c>
      <c r="G846" s="100" t="n"/>
    </row>
    <row r="847" ht="16" customFormat="1" customHeight="1" s="58">
      <c r="A847" s="98" t="n">
        <v>18348</v>
      </c>
      <c r="B847" s="98" t="inlineStr">
        <is>
          <t>FOUR ROSES SMALL BATCH KENTUCKY BOURBON</t>
        </is>
      </c>
      <c r="C847" s="97">
        <f>VLOOKUP(A847,SizeData!A$2:B$3839,2,FALSE)</f>
        <v/>
      </c>
      <c r="D847" s="98" t="n">
        <v>1</v>
      </c>
      <c r="E847" s="98" t="inlineStr">
        <is>
          <t>R1928529</t>
        </is>
      </c>
      <c r="F847" s="99" t="n">
        <v>44933</v>
      </c>
      <c r="G847" s="100" t="n"/>
    </row>
    <row r="848" ht="16" customFormat="1" customHeight="1" s="58">
      <c r="A848" s="98" t="n">
        <v>18348</v>
      </c>
      <c r="B848" s="98" t="inlineStr">
        <is>
          <t>FOUR ROSES SMALL BATCH KENTUCKY BOURBON</t>
        </is>
      </c>
      <c r="C848" s="97">
        <f>VLOOKUP(A848,SizeData!A$2:B$3839,2,FALSE)</f>
        <v/>
      </c>
      <c r="D848" s="98" t="n">
        <v>1</v>
      </c>
      <c r="E848" s="98" t="inlineStr">
        <is>
          <t>R1967237</t>
        </is>
      </c>
      <c r="F848" s="99" t="n">
        <v>44958</v>
      </c>
      <c r="G848" s="100" t="n"/>
    </row>
    <row r="849" ht="16" customFormat="1" customHeight="1" s="58">
      <c r="A849" s="98" t="n">
        <v>18348</v>
      </c>
      <c r="B849" s="98" t="inlineStr">
        <is>
          <t>FOUR ROSES SMALL BATCH KENTUCKY BOURBON</t>
        </is>
      </c>
      <c r="C849" s="97">
        <f>VLOOKUP(A849,SizeData!A$2:B$3839,2,FALSE)</f>
        <v/>
      </c>
      <c r="D849" s="98" t="n">
        <v>1</v>
      </c>
      <c r="E849" s="98" t="inlineStr">
        <is>
          <t>R2001727</t>
        </is>
      </c>
      <c r="F849" s="99" t="n">
        <v>44985</v>
      </c>
      <c r="G849" s="100" t="n"/>
    </row>
    <row r="850" ht="16" customFormat="1" customHeight="1" s="58">
      <c r="A850" s="98" t="n">
        <v>18376</v>
      </c>
      <c r="B850" s="98" t="inlineStr">
        <is>
          <t>FOUR ROSES SMALL BATCH SELECT BOURBON</t>
        </is>
      </c>
      <c r="C850" s="97">
        <f>VLOOKUP(A850,SizeData!A$2:B$3839,2,FALSE)</f>
        <v/>
      </c>
      <c r="D850" s="98" t="n">
        <v>1</v>
      </c>
      <c r="E850" s="98" t="inlineStr">
        <is>
          <t>R2001727</t>
        </is>
      </c>
      <c r="F850" s="99" t="n">
        <v>44985</v>
      </c>
      <c r="G850" s="100" t="n"/>
    </row>
    <row r="851" ht="16" customFormat="1" customHeight="1" s="58">
      <c r="A851" s="98" t="n">
        <v>886300</v>
      </c>
      <c r="B851" s="98" t="inlineStr">
        <is>
          <t>FRANZIA FRUITY RED SANGRIA</t>
        </is>
      </c>
      <c r="C851" s="97">
        <f>VLOOKUP(A851,SizeData!A$2:B$3839,2,FALSE)</f>
        <v/>
      </c>
      <c r="D851" s="98" t="n">
        <v>1</v>
      </c>
      <c r="E851" s="98" t="inlineStr">
        <is>
          <t>R1946720</t>
        </is>
      </c>
      <c r="F851" s="99" t="n">
        <v>44943</v>
      </c>
      <c r="G851" s="100" t="n"/>
    </row>
    <row r="852" ht="16" customFormat="1" customHeight="1" s="58">
      <c r="A852" s="98" t="n">
        <v>886300</v>
      </c>
      <c r="B852" s="98" t="inlineStr">
        <is>
          <t>FRANZIA FRUITY RED SANGRIA</t>
        </is>
      </c>
      <c r="C852" s="97">
        <f>VLOOKUP(A852,SizeData!A$2:B$3839,2,FALSE)</f>
        <v/>
      </c>
      <c r="D852" s="98" t="n">
        <v>2</v>
      </c>
      <c r="E852" s="98" t="inlineStr">
        <is>
          <t>R2047859</t>
        </is>
      </c>
      <c r="F852" s="99" t="n">
        <v>45016</v>
      </c>
      <c r="G852" s="100" t="n"/>
    </row>
    <row r="853" ht="16" customFormat="1" customHeight="1" s="58">
      <c r="A853" s="98" t="n">
        <v>467800</v>
      </c>
      <c r="B853" s="98" t="inlineStr">
        <is>
          <t>FRANZIA HOUSE WINE FAV CHILLABLE RED</t>
        </is>
      </c>
      <c r="C853" s="97">
        <f>VLOOKUP(A853,SizeData!A$2:B$3839,2,FALSE)</f>
        <v/>
      </c>
      <c r="D853" s="98" t="n">
        <v>2</v>
      </c>
      <c r="E853" s="98" t="inlineStr">
        <is>
          <t>R1921594</t>
        </is>
      </c>
      <c r="F853" s="99" t="n">
        <v>44930</v>
      </c>
      <c r="G853" s="100" t="n"/>
    </row>
    <row r="854" ht="16" customFormat="1" customHeight="1" s="58">
      <c r="A854" s="98" t="n">
        <v>467800</v>
      </c>
      <c r="B854" s="98" t="inlineStr">
        <is>
          <t>FRANZIA HOUSE WINE FAV CHILLABLE RED</t>
        </is>
      </c>
      <c r="C854" s="97">
        <f>VLOOKUP(A854,SizeData!A$2:B$3839,2,FALSE)</f>
        <v/>
      </c>
      <c r="D854" s="98" t="n">
        <v>6</v>
      </c>
      <c r="E854" s="98" t="inlineStr">
        <is>
          <t>R1995714</t>
        </is>
      </c>
      <c r="F854" s="99" t="n">
        <v>44972</v>
      </c>
      <c r="G854" s="100" t="n"/>
    </row>
    <row r="855" ht="16" customFormat="1" customHeight="1" s="58">
      <c r="A855" s="98" t="n">
        <v>467800</v>
      </c>
      <c r="B855" s="98" t="inlineStr">
        <is>
          <t>FRANZIA HOUSE WINE FAV CHILLABLE RED</t>
        </is>
      </c>
      <c r="C855" s="97">
        <f>VLOOKUP(A855,SizeData!A$2:B$3839,2,FALSE)</f>
        <v/>
      </c>
      <c r="D855" s="98" t="n">
        <v>8</v>
      </c>
      <c r="E855" s="98" t="inlineStr">
        <is>
          <t>R1979406</t>
        </is>
      </c>
      <c r="F855" s="99" t="n">
        <v>44978</v>
      </c>
      <c r="G855" s="100" t="n"/>
    </row>
    <row r="856" ht="16" customFormat="1" customHeight="1" s="58">
      <c r="A856" s="98" t="n">
        <v>467800</v>
      </c>
      <c r="B856" s="98" t="inlineStr">
        <is>
          <t>FRANZIA HOUSE WINE FAV CHILLABLE RED</t>
        </is>
      </c>
      <c r="C856" s="97">
        <f>VLOOKUP(A856,SizeData!A$2:B$3839,2,FALSE)</f>
        <v/>
      </c>
      <c r="D856" s="98" t="n">
        <v>3</v>
      </c>
      <c r="E856" s="98" t="inlineStr">
        <is>
          <t>R2083969</t>
        </is>
      </c>
      <c r="F856" s="99" t="n">
        <v>45049</v>
      </c>
      <c r="G856" s="100" t="n"/>
    </row>
    <row r="857" ht="16" customFormat="1" customHeight="1" s="58">
      <c r="A857" s="98" t="n">
        <v>654625</v>
      </c>
      <c r="B857" s="98" t="inlineStr">
        <is>
          <t>FRANZIA HOUSE WINE FAV SUNSET BLUSH</t>
        </is>
      </c>
      <c r="C857" s="97">
        <f>VLOOKUP(A857,SizeData!A$2:B$3839,2,FALSE)</f>
        <v/>
      </c>
      <c r="D857" s="98" t="n">
        <v>1</v>
      </c>
      <c r="E857" s="98" t="inlineStr">
        <is>
          <t>R1987903</t>
        </is>
      </c>
      <c r="F857" s="99" t="n">
        <v>44971</v>
      </c>
      <c r="G857" s="100" t="n"/>
    </row>
    <row r="858" ht="16" customFormat="1" customHeight="1" s="58">
      <c r="A858" s="98" t="n">
        <v>654625</v>
      </c>
      <c r="B858" s="98" t="inlineStr">
        <is>
          <t>FRANZIA HOUSE WINE FAV SUNSET BLUSH</t>
        </is>
      </c>
      <c r="C858" s="97">
        <f>VLOOKUP(A858,SizeData!A$2:B$3839,2,FALSE)</f>
        <v/>
      </c>
      <c r="D858" s="98" t="n">
        <v>1</v>
      </c>
      <c r="E858" s="98" t="inlineStr">
        <is>
          <t>R2035414</t>
        </is>
      </c>
      <c r="F858" s="99" t="n">
        <v>45003</v>
      </c>
      <c r="G858" s="100" t="n"/>
    </row>
    <row r="859" ht="16" customFormat="1" customHeight="1" s="58">
      <c r="A859" s="98" t="n">
        <v>74805</v>
      </c>
      <c r="B859" s="98" t="inlineStr">
        <is>
          <t>JACK DANIELS TENNESSEE APPLE LIQUEUR (PET)</t>
        </is>
      </c>
      <c r="C859" s="97">
        <f>VLOOKUP(A859,SizeData!A$2:B$3839,2,FALSE)</f>
        <v/>
      </c>
      <c r="D859" s="98" t="n">
        <v>1</v>
      </c>
      <c r="E859" s="98" t="inlineStr">
        <is>
          <t>R1903667</t>
        </is>
      </c>
      <c r="F859" s="99" t="n">
        <v>44915</v>
      </c>
      <c r="G859" s="100" t="n"/>
    </row>
    <row r="860" ht="16" customFormat="1" customHeight="1" s="58">
      <c r="A860" s="98" t="n">
        <v>654625</v>
      </c>
      <c r="B860" s="98" t="inlineStr">
        <is>
          <t>FRANZIA HOUSE WINE FAV SUNSET BLUSH</t>
        </is>
      </c>
      <c r="C860" s="97">
        <f>VLOOKUP(A860,SizeData!A$2:B$3839,2,FALSE)</f>
        <v/>
      </c>
      <c r="D860" s="98" t="n">
        <v>1</v>
      </c>
      <c r="E860" s="98" t="inlineStr">
        <is>
          <t>R2083969</t>
        </is>
      </c>
      <c r="F860" s="99" t="n">
        <v>45049</v>
      </c>
      <c r="G860" s="100" t="n"/>
    </row>
    <row r="861" ht="16" customFormat="1" customHeight="1" s="58">
      <c r="A861" s="101" t="n">
        <v>566520</v>
      </c>
      <c r="B861" s="101" t="inlineStr">
        <is>
          <t>FRANZIA VINTNER SELECT CHARDONNAY</t>
        </is>
      </c>
      <c r="C861" s="102">
        <f>VLOOKUP(A861,SizeData!A$2:B$3839,2,FALSE)</f>
        <v/>
      </c>
      <c r="D861" s="101" t="n">
        <v>2</v>
      </c>
      <c r="E861" s="101" t="inlineStr">
        <is>
          <t>R1987903</t>
        </is>
      </c>
      <c r="F861" s="103" t="n">
        <v>44971</v>
      </c>
      <c r="G861" s="104" t="n"/>
    </row>
    <row r="862" ht="16" customFormat="1" customHeight="1" s="58">
      <c r="A862" s="98" t="n">
        <v>566520</v>
      </c>
      <c r="B862" s="98" t="inlineStr">
        <is>
          <t>FRANZIA VINTNER SELECT CHARDONNAY</t>
        </is>
      </c>
      <c r="C862" s="97">
        <f>VLOOKUP(A862,SizeData!A$2:B$3839,2,FALSE)</f>
        <v/>
      </c>
      <c r="D862" s="98" t="n">
        <v>1</v>
      </c>
      <c r="E862" s="98" t="inlineStr">
        <is>
          <t>R2020651</t>
        </is>
      </c>
      <c r="F862" s="99" t="n">
        <v>45000</v>
      </c>
      <c r="G862" s="100" t="n"/>
    </row>
    <row r="863" ht="16" customFormat="1" customHeight="1" s="58">
      <c r="A863" s="98" t="n">
        <v>566520</v>
      </c>
      <c r="B863" s="98" t="inlineStr">
        <is>
          <t>FRANZIA VINTNER SELECT CHARDONNAY</t>
        </is>
      </c>
      <c r="C863" s="97">
        <f>VLOOKUP(A863,SizeData!A$2:B$3839,2,FALSE)</f>
        <v/>
      </c>
      <c r="D863" s="98" t="n">
        <v>1</v>
      </c>
      <c r="E863" s="98" t="inlineStr">
        <is>
          <t>R2072041</t>
        </is>
      </c>
      <c r="F863" s="99" t="n">
        <v>45038</v>
      </c>
      <c r="G863" s="100" t="n"/>
    </row>
    <row r="864" ht="16" customFormat="1" customHeight="1" s="58">
      <c r="A864" s="98" t="n">
        <v>420430</v>
      </c>
      <c r="B864" s="98" t="inlineStr">
        <is>
          <t>JACOB'S CREEK CABERNET SAUVIGNON</t>
        </is>
      </c>
      <c r="C864" s="97">
        <f>VLOOKUP(A864,SizeData!A$2:B$3839,2,FALSE)</f>
        <v/>
      </c>
      <c r="D864" s="98" t="n">
        <v>1</v>
      </c>
      <c r="E864" s="98" t="inlineStr">
        <is>
          <t>R1903202</t>
        </is>
      </c>
      <c r="F864" s="99" t="n">
        <v>44905</v>
      </c>
      <c r="G864" s="100" t="n"/>
    </row>
    <row r="865" ht="16" customFormat="1" customHeight="1" s="58">
      <c r="A865" s="98" t="n">
        <v>467655</v>
      </c>
      <c r="B865" s="98" t="inlineStr">
        <is>
          <t>FRANZIA VINTNER SELECT MERLOT</t>
        </is>
      </c>
      <c r="C865" s="97">
        <f>VLOOKUP(A865,SizeData!A$2:B$3839,2,FALSE)</f>
        <v/>
      </c>
      <c r="D865" s="98" t="n">
        <v>2</v>
      </c>
      <c r="E865" s="98" t="inlineStr">
        <is>
          <t>R1921594</t>
        </is>
      </c>
      <c r="F865" s="99" t="n">
        <v>44930</v>
      </c>
      <c r="G865" s="100" t="n"/>
    </row>
    <row r="866" ht="16" customFormat="1" customHeight="1" s="58">
      <c r="A866" s="98" t="n">
        <v>467655</v>
      </c>
      <c r="B866" s="98" t="inlineStr">
        <is>
          <t>FRANZIA VINTNER SELECT MERLOT</t>
        </is>
      </c>
      <c r="C866" s="97">
        <f>VLOOKUP(A866,SizeData!A$2:B$3839,2,FALSE)</f>
        <v/>
      </c>
      <c r="D866" s="98" t="n">
        <v>2</v>
      </c>
      <c r="E866" s="98" t="inlineStr">
        <is>
          <t>R1939504</t>
        </is>
      </c>
      <c r="F866" s="99" t="n">
        <v>44940</v>
      </c>
      <c r="G866" s="100" t="n"/>
    </row>
    <row r="867" ht="16" customFormat="1" customHeight="1" s="58">
      <c r="A867" s="98" t="n">
        <v>467655</v>
      </c>
      <c r="B867" s="98" t="inlineStr">
        <is>
          <t>FRANZIA VINTNER SELECT MERLOT</t>
        </is>
      </c>
      <c r="C867" s="97">
        <f>VLOOKUP(A867,SizeData!A$2:B$3839,2,FALSE)</f>
        <v/>
      </c>
      <c r="D867" s="98" t="n">
        <v>1</v>
      </c>
      <c r="E867" s="98" t="inlineStr">
        <is>
          <t>R1967237</t>
        </is>
      </c>
      <c r="F867" s="99" t="n">
        <v>44958</v>
      </c>
      <c r="G867" s="100" t="n"/>
    </row>
    <row r="868" ht="16" customFormat="1" customHeight="1" s="58">
      <c r="A868" s="98" t="n">
        <v>420436</v>
      </c>
      <c r="B868" s="98" t="inlineStr">
        <is>
          <t>JACOB'S CREEK CHARDONNAY</t>
        </is>
      </c>
      <c r="C868" s="97">
        <f>VLOOKUP(A868,SizeData!A$2:B$3839,2,FALSE)</f>
        <v/>
      </c>
      <c r="D868" s="98" t="n">
        <v>4</v>
      </c>
      <c r="E868" s="98" t="inlineStr">
        <is>
          <t>R1903202</t>
        </is>
      </c>
      <c r="F868" s="99" t="n">
        <v>44905</v>
      </c>
      <c r="G868" s="100" t="n"/>
    </row>
    <row r="869" ht="16" customFormat="1" customHeight="1" s="58">
      <c r="A869" s="98" t="n">
        <v>467655</v>
      </c>
      <c r="B869" s="98" t="inlineStr">
        <is>
          <t>FRANZIA VINTNER SELECT MERLOT</t>
        </is>
      </c>
      <c r="C869" s="97">
        <f>VLOOKUP(A869,SizeData!A$2:B$3839,2,FALSE)</f>
        <v/>
      </c>
      <c r="D869" s="98" t="n">
        <v>1</v>
      </c>
      <c r="E869" s="98" t="inlineStr">
        <is>
          <t>R1987903</t>
        </is>
      </c>
      <c r="F869" s="99" t="n">
        <v>44971</v>
      </c>
      <c r="G869" s="100" t="n"/>
    </row>
    <row r="870" ht="16" customFormat="1" customHeight="1" s="58">
      <c r="A870" s="98" t="n">
        <v>467655</v>
      </c>
      <c r="B870" s="98" t="inlineStr">
        <is>
          <t>FRANZIA VINTNER SELECT MERLOT</t>
        </is>
      </c>
      <c r="C870" s="97">
        <f>VLOOKUP(A870,SizeData!A$2:B$3839,2,FALSE)</f>
        <v/>
      </c>
      <c r="D870" s="98" t="n">
        <v>1</v>
      </c>
      <c r="E870" s="98" t="inlineStr">
        <is>
          <t>R2072041</t>
        </is>
      </c>
      <c r="F870" s="99" t="n">
        <v>45038</v>
      </c>
      <c r="G870" s="100" t="n"/>
    </row>
    <row r="871" ht="16" customFormat="1" customHeight="1" s="58">
      <c r="A871" s="98" t="n">
        <v>467655</v>
      </c>
      <c r="B871" s="98" t="inlineStr">
        <is>
          <t>FRANZIA VINTNER SELECT MERLOT</t>
        </is>
      </c>
      <c r="C871" s="97">
        <f>VLOOKUP(A871,SizeData!A$2:B$3839,2,FALSE)</f>
        <v/>
      </c>
      <c r="D871" s="98" t="n">
        <v>1</v>
      </c>
      <c r="E871" s="98" t="inlineStr">
        <is>
          <t>R2068757</t>
        </is>
      </c>
      <c r="F871" s="99" t="n">
        <v>45044</v>
      </c>
      <c r="G871" s="100" t="n"/>
    </row>
    <row r="872" ht="16" customFormat="1" customHeight="1" s="58">
      <c r="A872" s="98" t="n">
        <v>655448</v>
      </c>
      <c r="B872" s="98" t="inlineStr">
        <is>
          <t>FRANZIA VINTNER SELECT WH ZINFANDEL</t>
        </is>
      </c>
      <c r="C872" s="97">
        <f>VLOOKUP(A872,SizeData!A$2:B$3839,2,FALSE)</f>
        <v/>
      </c>
      <c r="D872" s="98" t="n">
        <v>2</v>
      </c>
      <c r="E872" s="98" t="inlineStr">
        <is>
          <t>R1931242</t>
        </is>
      </c>
      <c r="F872" s="99" t="n">
        <v>44937</v>
      </c>
      <c r="G872" s="100" t="n"/>
    </row>
    <row r="873" ht="16" customFormat="1" customHeight="1" s="58">
      <c r="A873" s="98" t="n">
        <v>420414</v>
      </c>
      <c r="B873" s="98" t="inlineStr">
        <is>
          <t>JACOB'S CREEK PINOT GRIGIO</t>
        </is>
      </c>
      <c r="C873" s="97">
        <f>VLOOKUP(A873,SizeData!A$2:B$3839,2,FALSE)</f>
        <v/>
      </c>
      <c r="D873" s="98" t="n">
        <v>1</v>
      </c>
      <c r="E873" s="98" t="inlineStr">
        <is>
          <t>R1903425</t>
        </is>
      </c>
      <c r="F873" s="99" t="n">
        <v>44908</v>
      </c>
      <c r="G873" s="100" t="n"/>
    </row>
    <row r="874" ht="16" customFormat="1" customHeight="1" s="58">
      <c r="A874" s="98" t="n">
        <v>420414</v>
      </c>
      <c r="B874" s="98" t="inlineStr">
        <is>
          <t>JACOB'S CREEK PINOT GRIGIO</t>
        </is>
      </c>
      <c r="C874" s="97">
        <f>VLOOKUP(A874,SizeData!A$2:B$3839,2,FALSE)</f>
        <v/>
      </c>
      <c r="D874" s="98" t="n">
        <v>1</v>
      </c>
      <c r="E874" s="98" t="inlineStr">
        <is>
          <t>R1913485</t>
        </is>
      </c>
      <c r="F874" s="99" t="n">
        <v>44922</v>
      </c>
      <c r="G874" s="100" t="n"/>
    </row>
    <row r="875" ht="16" customFormat="1" customHeight="1" s="58">
      <c r="A875" s="98" t="n">
        <v>655448</v>
      </c>
      <c r="B875" s="98" t="inlineStr">
        <is>
          <t>FRANZIA VINTNER SELECT WH ZINFANDEL</t>
        </is>
      </c>
      <c r="C875" s="97">
        <f>VLOOKUP(A875,SizeData!A$2:B$3839,2,FALSE)</f>
        <v/>
      </c>
      <c r="D875" s="98" t="n">
        <v>1</v>
      </c>
      <c r="E875" s="98" t="inlineStr">
        <is>
          <t>R1960024</t>
        </is>
      </c>
      <c r="F875" s="99" t="n">
        <v>44950</v>
      </c>
      <c r="G875" s="100" t="n"/>
    </row>
    <row r="876" ht="16" customFormat="1" customHeight="1" s="58">
      <c r="A876" s="98" t="n">
        <v>655448</v>
      </c>
      <c r="B876" s="98" t="inlineStr">
        <is>
          <t>FRANZIA VINTNER SELECT WH ZINFANDEL</t>
        </is>
      </c>
      <c r="C876" s="97">
        <f>VLOOKUP(A876,SizeData!A$2:B$3839,2,FALSE)</f>
        <v/>
      </c>
      <c r="D876" s="98" t="n">
        <v>1</v>
      </c>
      <c r="E876" s="98" t="inlineStr">
        <is>
          <t>R2035414</t>
        </is>
      </c>
      <c r="F876" s="99" t="n">
        <v>45003</v>
      </c>
      <c r="G876" s="100" t="n"/>
    </row>
    <row r="877" ht="16" customFormat="1" customHeight="1" s="58">
      <c r="A877" s="98" t="n">
        <v>364694</v>
      </c>
      <c r="B877" s="98" t="inlineStr">
        <is>
          <t>FRATELLI PONTE MOSCATO D'ASTI FIORE DI LOTO</t>
        </is>
      </c>
      <c r="C877" s="97">
        <f>VLOOKUP(A877,SizeData!A$2:B$3839,2,FALSE)</f>
        <v/>
      </c>
      <c r="D877" s="98" t="n">
        <v>1</v>
      </c>
      <c r="E877" s="98" t="inlineStr">
        <is>
          <t>R2068757</t>
        </is>
      </c>
      <c r="F877" s="99" t="n">
        <v>45044</v>
      </c>
      <c r="G877" s="100" t="n"/>
    </row>
    <row r="878" ht="16" customFormat="1" customHeight="1" s="58">
      <c r="A878" s="98" t="n">
        <v>467810</v>
      </c>
      <c r="B878" s="98" t="inlineStr">
        <is>
          <t>FREAKSHOW CABERNET SAUVIGNON</t>
        </is>
      </c>
      <c r="C878" s="97">
        <f>VLOOKUP(A878,SizeData!A$2:B$3839,2,FALSE)</f>
        <v/>
      </c>
      <c r="D878" s="98" t="n">
        <v>1</v>
      </c>
      <c r="E878" s="98" t="inlineStr">
        <is>
          <t>R2082317</t>
        </is>
      </c>
      <c r="F878" s="99" t="n">
        <v>45047</v>
      </c>
      <c r="G878" s="100" t="n"/>
    </row>
    <row r="879" ht="16" customFormat="1" customHeight="1" s="58">
      <c r="A879" s="101" t="n">
        <v>467812</v>
      </c>
      <c r="B879" s="101" t="inlineStr">
        <is>
          <t>FREAKSHOW RED</t>
        </is>
      </c>
      <c r="C879" s="102">
        <f>VLOOKUP(A879,SizeData!A$2:B$3839,2,FALSE)</f>
        <v/>
      </c>
      <c r="D879" s="101" t="n">
        <v>1</v>
      </c>
      <c r="E879" s="101" t="inlineStr">
        <is>
          <t>R2082317</t>
        </is>
      </c>
      <c r="F879" s="103" t="n">
        <v>45047</v>
      </c>
      <c r="G879" s="104" t="n"/>
    </row>
    <row r="880" ht="16" customFormat="1" customHeight="1" s="58">
      <c r="A880" s="98" t="n">
        <v>34368</v>
      </c>
      <c r="B880" s="98" t="inlineStr">
        <is>
          <t>FRIS 80 SKANDIA VODKA DENMARK</t>
        </is>
      </c>
      <c r="C880" s="97">
        <f>VLOOKUP(A880,SizeData!A$2:B$3839,2,FALSE)</f>
        <v/>
      </c>
      <c r="D880" s="98" t="n">
        <v>3</v>
      </c>
      <c r="E880" s="98" t="inlineStr">
        <is>
          <t>R1957712</t>
        </is>
      </c>
      <c r="F880" s="99" t="n">
        <v>44958</v>
      </c>
      <c r="G880" s="100" t="n"/>
    </row>
    <row r="881" ht="16" customFormat="1" customHeight="1" s="58">
      <c r="A881" s="98" t="n">
        <v>34368</v>
      </c>
      <c r="B881" s="98" t="inlineStr">
        <is>
          <t>FRIS 80 SKANDIA VODKA DENMARK</t>
        </is>
      </c>
      <c r="C881" s="97">
        <f>VLOOKUP(A881,SizeData!A$2:B$3839,2,FALSE)</f>
        <v/>
      </c>
      <c r="D881" s="98" t="n">
        <v>1</v>
      </c>
      <c r="E881" s="98" t="inlineStr">
        <is>
          <t>R2055049</t>
        </is>
      </c>
      <c r="F881" s="99" t="n">
        <v>45017</v>
      </c>
      <c r="G881" s="100" t="n"/>
    </row>
    <row r="882" ht="16" customFormat="1" customHeight="1" s="58">
      <c r="A882" s="98" t="n">
        <v>34368</v>
      </c>
      <c r="B882" s="98" t="inlineStr">
        <is>
          <t>FRIS 80 SKANDIA VODKA DENMARK</t>
        </is>
      </c>
      <c r="C882" s="97">
        <f>VLOOKUP(A882,SizeData!A$2:B$3839,2,FALSE)</f>
        <v/>
      </c>
      <c r="D882" s="98" t="n">
        <v>2</v>
      </c>
      <c r="E882" s="98" t="inlineStr">
        <is>
          <t>R2053991</t>
        </is>
      </c>
      <c r="F882" s="99" t="n">
        <v>45036</v>
      </c>
      <c r="G882" s="100" t="n"/>
    </row>
    <row r="883" ht="16" customFormat="1" customHeight="1" s="58">
      <c r="A883" s="98" t="n">
        <v>48016</v>
      </c>
      <c r="B883" s="98" t="inlineStr">
        <is>
          <t>GAUTIER COGNAC V S</t>
        </is>
      </c>
      <c r="C883" s="97">
        <f>VLOOKUP(A883,SizeData!A$2:B$3839,2,FALSE)</f>
        <v/>
      </c>
      <c r="D883" s="98" t="n">
        <v>1</v>
      </c>
      <c r="E883" s="98" t="inlineStr">
        <is>
          <t>R2027602</t>
        </is>
      </c>
      <c r="F883" s="99" t="n">
        <v>45003</v>
      </c>
      <c r="G883" s="100" t="n"/>
    </row>
    <row r="884" ht="16" customFormat="1" customHeight="1" s="58">
      <c r="A884" s="98" t="n">
        <v>784505</v>
      </c>
      <c r="B884" s="98" t="inlineStr">
        <is>
          <t>GEKKEIKAN PLUM WINE</t>
        </is>
      </c>
      <c r="C884" s="97">
        <f>VLOOKUP(A884,SizeData!A$2:B$3839,2,FALSE)</f>
        <v/>
      </c>
      <c r="D884" s="98" t="n">
        <v>1</v>
      </c>
      <c r="E884" s="98" t="inlineStr">
        <is>
          <t>R1964057</t>
        </is>
      </c>
      <c r="F884" s="99" t="n">
        <v>44963</v>
      </c>
      <c r="G884" s="100" t="n"/>
    </row>
    <row r="885" ht="16" customFormat="1" customHeight="1" s="58">
      <c r="A885" s="98" t="n">
        <v>727560</v>
      </c>
      <c r="B885" s="98" t="inlineStr">
        <is>
          <t>GEMMA DI LUNA SPARKLING MOSCATO</t>
        </is>
      </c>
      <c r="C885" s="97">
        <f>VLOOKUP(A885,SizeData!A$2:B$3839,2,FALSE)</f>
        <v/>
      </c>
      <c r="D885" s="98" t="n">
        <v>1</v>
      </c>
      <c r="E885" s="98" t="inlineStr">
        <is>
          <t>R1999510</t>
        </is>
      </c>
      <c r="F885" s="99" t="n">
        <v>44987</v>
      </c>
      <c r="G885" s="100" t="n"/>
    </row>
    <row r="886" ht="16" customFormat="1" customHeight="1" s="58">
      <c r="A886" s="98" t="n">
        <v>26583</v>
      </c>
      <c r="B886" s="98" t="inlineStr">
        <is>
          <t>GENTLEMAN JACK</t>
        </is>
      </c>
      <c r="C886" s="97">
        <f>VLOOKUP(A886,SizeData!A$2:B$3839,2,FALSE)</f>
        <v/>
      </c>
      <c r="D886" s="98" t="n">
        <v>1</v>
      </c>
      <c r="E886" s="98" t="inlineStr">
        <is>
          <t>R1946720</t>
        </is>
      </c>
      <c r="F886" s="99" t="n">
        <v>44943</v>
      </c>
      <c r="G886" s="100" t="n"/>
    </row>
    <row r="887" ht="16" customFormat="1" customHeight="1" s="58">
      <c r="A887" s="98" t="n">
        <v>26589</v>
      </c>
      <c r="B887" s="98" t="inlineStr">
        <is>
          <t>GENTLEMAN JACK</t>
        </is>
      </c>
      <c r="C887" s="97">
        <f>VLOOKUP(A887,SizeData!A$2:B$3839,2,FALSE)</f>
        <v/>
      </c>
      <c r="D887" s="98" t="n">
        <v>0</v>
      </c>
      <c r="E887" s="98" t="inlineStr">
        <is>
          <t>R1957712</t>
        </is>
      </c>
      <c r="F887" s="99" t="n">
        <v>44958</v>
      </c>
      <c r="G887" s="100" t="n"/>
    </row>
    <row r="888" ht="16" customFormat="1" customHeight="1" s="58">
      <c r="A888" s="98" t="n">
        <v>26581</v>
      </c>
      <c r="B888" s="98" t="inlineStr">
        <is>
          <t>GENTLEMAN JACK</t>
        </is>
      </c>
      <c r="C888" s="97">
        <f>VLOOKUP(A888,SizeData!A$2:B$3839,2,FALSE)</f>
        <v/>
      </c>
      <c r="D888" s="98" t="n">
        <v>1</v>
      </c>
      <c r="E888" s="98" t="inlineStr">
        <is>
          <t>R2010122</t>
        </is>
      </c>
      <c r="F888" s="99" t="n">
        <v>44981</v>
      </c>
      <c r="G888" s="100" t="n"/>
    </row>
    <row r="889" ht="16" customFormat="1" customHeight="1" s="58">
      <c r="A889" s="98" t="inlineStr">
        <is>
          <t> </t>
        </is>
      </c>
      <c r="B889" s="98" t="inlineStr">
        <is>
          <t>JIM BEAM DEVIL'S CUT KENTUCKY STRAIGHT BOURBON</t>
        </is>
      </c>
      <c r="C889" s="97">
        <f>VLOOKUP(A889,SizeData!A$2:B$3839,2,FALSE)</f>
        <v/>
      </c>
      <c r="D889" s="98" t="n">
        <v>1</v>
      </c>
      <c r="E889" s="98" t="inlineStr">
        <is>
          <t>R1917444</t>
        </is>
      </c>
      <c r="F889" s="99" t="n">
        <v>44922</v>
      </c>
      <c r="G889" s="100" t="n"/>
    </row>
    <row r="890" ht="16" customFormat="1" customHeight="1" s="58">
      <c r="A890" s="98" t="n">
        <v>26589</v>
      </c>
      <c r="B890" s="98" t="inlineStr">
        <is>
          <t>GENTLEMAN JACK</t>
        </is>
      </c>
      <c r="C890" s="97">
        <f>VLOOKUP(A890,SizeData!A$2:B$3839,2,FALSE)</f>
        <v/>
      </c>
      <c r="D890" s="98" t="n">
        <v>10</v>
      </c>
      <c r="E890" s="98" t="inlineStr">
        <is>
          <t>R1993597</t>
        </is>
      </c>
      <c r="F890" s="99" t="n">
        <v>44985</v>
      </c>
      <c r="G890" s="100" t="n"/>
    </row>
    <row r="891" ht="16" customFormat="1" customHeight="1" s="58">
      <c r="A891" s="98" t="n">
        <v>26582</v>
      </c>
      <c r="B891" s="98" t="inlineStr">
        <is>
          <t>GENTLEMAN JACK</t>
        </is>
      </c>
      <c r="C891" s="97">
        <f>VLOOKUP(A891,SizeData!A$2:B$3839,2,FALSE)</f>
        <v/>
      </c>
      <c r="D891" s="98" t="n">
        <v>1</v>
      </c>
      <c r="E891" s="98" t="inlineStr">
        <is>
          <t>R2049198</t>
        </is>
      </c>
      <c r="F891" s="99" t="n">
        <v>45028</v>
      </c>
      <c r="G891" s="100" t="n"/>
    </row>
    <row r="892" ht="16" customFormat="1" customHeight="1" s="58">
      <c r="A892" s="98" t="n">
        <v>26585</v>
      </c>
      <c r="B892" s="98" t="inlineStr">
        <is>
          <t>GENTLEMAN JACK</t>
        </is>
      </c>
      <c r="C892" s="97">
        <f>VLOOKUP(A892,SizeData!A$2:B$3839,2,FALSE)</f>
        <v/>
      </c>
      <c r="D892" s="98" t="n">
        <v>1</v>
      </c>
      <c r="E892" s="98" t="inlineStr">
        <is>
          <t>R2049198</t>
        </is>
      </c>
      <c r="F892" s="99" t="n">
        <v>45028</v>
      </c>
      <c r="G892" s="100" t="n"/>
    </row>
    <row r="893" ht="16" customFormat="1" customHeight="1" s="58">
      <c r="A893" s="98" t="n">
        <v>26582</v>
      </c>
      <c r="B893" s="98" t="inlineStr">
        <is>
          <t>GENTLEMAN JACK</t>
        </is>
      </c>
      <c r="C893" s="97">
        <f>VLOOKUP(A893,SizeData!A$2:B$3839,2,FALSE)</f>
        <v/>
      </c>
      <c r="D893" s="98" t="n">
        <v>1</v>
      </c>
      <c r="E893" s="98" t="inlineStr">
        <is>
          <t>R2083415</t>
        </is>
      </c>
      <c r="F893" s="99" t="n">
        <v>45048</v>
      </c>
      <c r="G893" s="100" t="n"/>
    </row>
    <row r="894" ht="16" customFormat="1" customHeight="1" s="58">
      <c r="A894" s="98" t="n">
        <v>26585</v>
      </c>
      <c r="B894" s="98" t="inlineStr">
        <is>
          <t>GENTLEMAN JACK</t>
        </is>
      </c>
      <c r="C894" s="97">
        <f>VLOOKUP(A894,SizeData!A$2:B$3839,2,FALSE)</f>
        <v/>
      </c>
      <c r="D894" s="98" t="n">
        <v>1</v>
      </c>
      <c r="E894" s="98" t="inlineStr">
        <is>
          <t>R2083415</t>
        </is>
      </c>
      <c r="F894" s="99" t="n">
        <v>45048</v>
      </c>
      <c r="G894" s="100" t="n"/>
    </row>
    <row r="895" ht="16" customFormat="1" customHeight="1" s="58">
      <c r="A895" s="98" t="n">
        <v>19066</v>
      </c>
      <c r="B895" s="98" t="inlineStr">
        <is>
          <t>JIM BEAM STRAIGHT BOURBON WHISKEY</t>
        </is>
      </c>
      <c r="C895" s="97">
        <f>VLOOKUP(A895,SizeData!A$2:B$3839,2,FALSE)</f>
        <v/>
      </c>
      <c r="D895" s="98" t="n">
        <v>1</v>
      </c>
      <c r="E895" s="98" t="inlineStr">
        <is>
          <t>R1901365</t>
        </is>
      </c>
      <c r="F895" s="99" t="n">
        <v>44905</v>
      </c>
      <c r="G895" s="100" t="n"/>
    </row>
    <row r="896" ht="16" customFormat="1" customHeight="1" s="58">
      <c r="A896" s="98" t="n">
        <v>27326</v>
      </c>
      <c r="B896" s="98" t="inlineStr">
        <is>
          <t>GEORGIA MOON FRUIT JAR</t>
        </is>
      </c>
      <c r="C896" s="97">
        <f>VLOOKUP(A896,SizeData!A$2:B$3839,2,FALSE)</f>
        <v/>
      </c>
      <c r="D896" s="98" t="n">
        <v>1</v>
      </c>
      <c r="E896" s="98" t="inlineStr">
        <is>
          <t>R2072241</t>
        </is>
      </c>
      <c r="F896" s="99" t="n">
        <v>45035</v>
      </c>
      <c r="G896" s="100" t="n"/>
    </row>
    <row r="897" ht="16" customFormat="1" customHeight="1" s="58">
      <c r="A897" s="98" t="n">
        <v>27503</v>
      </c>
      <c r="B897" s="98" t="inlineStr">
        <is>
          <t>GEORGIA MOON IT'S PEACH (CORN WHISKEY)</t>
        </is>
      </c>
      <c r="C897" s="97">
        <f>VLOOKUP(A897,SizeData!A$2:B$3839,2,FALSE)</f>
        <v/>
      </c>
      <c r="D897" s="98" t="n">
        <v>1</v>
      </c>
      <c r="E897" s="98" t="inlineStr">
        <is>
          <t>R2032001</t>
        </is>
      </c>
      <c r="F897" s="99" t="n">
        <v>45000</v>
      </c>
      <c r="G897" s="100" t="n"/>
    </row>
    <row r="898" ht="16" customFormat="1" customHeight="1" s="58">
      <c r="A898" s="98" t="n">
        <v>5105</v>
      </c>
      <c r="B898" s="98" t="inlineStr">
        <is>
          <t>GLENMORANGIE QUINTA RUBAN SCOTCH</t>
        </is>
      </c>
      <c r="C898" s="97">
        <f>VLOOKUP(A898,SizeData!A$2:B$3839,2,FALSE)</f>
        <v/>
      </c>
      <c r="D898" s="98" t="n">
        <v>2</v>
      </c>
      <c r="E898" s="98" t="inlineStr">
        <is>
          <t>R1939504</t>
        </is>
      </c>
      <c r="F898" s="99" t="n">
        <v>44940</v>
      </c>
      <c r="G898" s="100" t="n"/>
    </row>
    <row r="899" ht="16" customFormat="1" customHeight="1" s="58">
      <c r="A899" s="98" t="n">
        <v>30316</v>
      </c>
      <c r="B899" s="98" t="inlineStr">
        <is>
          <t>GORDON'S LONDON DRY GIN</t>
        </is>
      </c>
      <c r="C899" s="97">
        <f>VLOOKUP(A899,SizeData!A$2:B$3839,2,FALSE)</f>
        <v/>
      </c>
      <c r="D899" s="98" t="n">
        <v>1</v>
      </c>
      <c r="E899" s="98" t="inlineStr">
        <is>
          <t>R1985201</t>
        </is>
      </c>
      <c r="F899" s="99" t="n">
        <v>44963</v>
      </c>
      <c r="G899" s="100" t="n"/>
    </row>
    <row r="900" ht="16" customFormat="1" customHeight="1" s="58">
      <c r="A900" s="98" t="n">
        <v>19064</v>
      </c>
      <c r="B900" s="98" t="inlineStr">
        <is>
          <t>JIM BEAM WHITE</t>
        </is>
      </c>
      <c r="C900" s="97">
        <f>VLOOKUP(A900,SizeData!A$2:B$3839,2,FALSE)</f>
        <v/>
      </c>
      <c r="D900" s="98" t="n">
        <v>2</v>
      </c>
      <c r="E900" s="98" t="inlineStr">
        <is>
          <t>R1903667</t>
        </is>
      </c>
      <c r="F900" s="99" t="n">
        <v>44915</v>
      </c>
      <c r="G900" s="100" t="n"/>
    </row>
    <row r="901" ht="16" customFormat="1" customHeight="1" s="58">
      <c r="A901" s="98" t="n">
        <v>19063</v>
      </c>
      <c r="B901" s="98" t="inlineStr">
        <is>
          <t>JIM BEAM WHITE</t>
        </is>
      </c>
      <c r="C901" s="97">
        <f>VLOOKUP(A901,SizeData!A$2:B$3839,2,FALSE)</f>
        <v/>
      </c>
      <c r="D901" s="98" t="n">
        <v>1</v>
      </c>
      <c r="E901" s="98" t="inlineStr">
        <is>
          <t>R1927120</t>
        </is>
      </c>
      <c r="F901" s="99" t="n">
        <v>44924</v>
      </c>
      <c r="G901" s="100" t="n"/>
    </row>
    <row r="902" ht="16" customFormat="1" customHeight="1" s="58">
      <c r="A902" s="98" t="n">
        <v>89292</v>
      </c>
      <c r="B902" s="98" t="inlineStr">
        <is>
          <t>GRAN CENTENARIO ANJEO TEQUILA</t>
        </is>
      </c>
      <c r="C902" s="97">
        <f>VLOOKUP(A902,SizeData!A$2:B$3839,2,FALSE)</f>
        <v/>
      </c>
      <c r="D902" s="98" t="n">
        <v>1</v>
      </c>
      <c r="E902" s="98" t="inlineStr">
        <is>
          <t>R2030138</t>
        </is>
      </c>
      <c r="F902" s="99" t="n">
        <v>44986</v>
      </c>
      <c r="G902" s="100" t="n"/>
    </row>
    <row r="903" ht="16" customFormat="1" customHeight="1" s="58">
      <c r="A903" s="98" t="n">
        <v>89292</v>
      </c>
      <c r="B903" s="98" t="inlineStr">
        <is>
          <t>GRAN CENTENARIO ANJEO TEQUILA</t>
        </is>
      </c>
      <c r="C903" s="97">
        <f>VLOOKUP(A903,SizeData!A$2:B$3839,2,FALSE)</f>
        <v/>
      </c>
      <c r="D903" s="98" t="n">
        <v>1</v>
      </c>
      <c r="E903" s="98" t="inlineStr">
        <is>
          <t>R2039044</t>
        </is>
      </c>
      <c r="F903" s="99" t="n">
        <v>45013</v>
      </c>
      <c r="G903" s="100" t="n"/>
    </row>
    <row r="904" ht="16" customFormat="1" customHeight="1" s="58">
      <c r="A904" s="98" t="n">
        <v>89292</v>
      </c>
      <c r="B904" s="98" t="inlineStr">
        <is>
          <t>GRAN CENTENARIO ANJEO TEQUILA</t>
        </is>
      </c>
      <c r="C904" s="97">
        <f>VLOOKUP(A904,SizeData!A$2:B$3839,2,FALSE)</f>
        <v/>
      </c>
      <c r="D904" s="98" t="n">
        <v>1</v>
      </c>
      <c r="E904" s="98" t="inlineStr">
        <is>
          <t>R2022490</t>
        </is>
      </c>
      <c r="F904" s="99" t="n">
        <v>45014</v>
      </c>
      <c r="G904" s="100" t="n"/>
    </row>
    <row r="905" ht="16" customFormat="1" customHeight="1" s="58">
      <c r="A905" s="98" t="n">
        <v>87725</v>
      </c>
      <c r="B905" s="98" t="inlineStr">
        <is>
          <t>GRAN CORAMINO CRISTALINO REPOSADO TEQUILA</t>
        </is>
      </c>
      <c r="C905" s="97">
        <f>VLOOKUP(A905,SizeData!A$2:B$3839,2,FALSE)</f>
        <v/>
      </c>
      <c r="D905" s="98" t="n">
        <v>3</v>
      </c>
      <c r="E905" s="98" t="inlineStr">
        <is>
          <t>R2027602</t>
        </is>
      </c>
      <c r="F905" s="99" t="n">
        <v>45003</v>
      </c>
      <c r="G905" s="100" t="n"/>
    </row>
    <row r="906" ht="16" customFormat="1" customHeight="1" s="58">
      <c r="A906" s="98" t="n">
        <v>87725</v>
      </c>
      <c r="B906" s="98" t="inlineStr">
        <is>
          <t>GRAN CORAMINO CRISTALINO REPOSADO TEQUILA</t>
        </is>
      </c>
      <c r="C906" s="97">
        <f>VLOOKUP(A906,SizeData!A$2:B$3839,2,FALSE)</f>
        <v/>
      </c>
      <c r="D906" s="98" t="n">
        <v>2</v>
      </c>
      <c r="E906" s="98" t="inlineStr">
        <is>
          <t>R2035192</t>
        </is>
      </c>
      <c r="F906" s="99" t="n">
        <v>45009</v>
      </c>
      <c r="G906" s="100" t="n"/>
    </row>
    <row r="907" ht="16" customFormat="1" customHeight="1" s="58">
      <c r="A907" s="98" t="n">
        <v>87725</v>
      </c>
      <c r="B907" s="98" t="inlineStr">
        <is>
          <t>GRAN CORAMINO CRISTALINO REPOSADO TEQUILA</t>
        </is>
      </c>
      <c r="C907" s="97">
        <f>VLOOKUP(A907,SizeData!A$2:B$3839,2,FALSE)</f>
        <v/>
      </c>
      <c r="D907" s="98" t="n">
        <v>2</v>
      </c>
      <c r="E907" s="98" t="inlineStr">
        <is>
          <t>R2053884</t>
        </is>
      </c>
      <c r="F907" s="99" t="n">
        <v>45031</v>
      </c>
      <c r="G907" s="100" t="n"/>
    </row>
    <row r="908" ht="16" customFormat="1" customHeight="1" s="58">
      <c r="A908" s="98" t="n">
        <v>87725</v>
      </c>
      <c r="B908" s="98" t="inlineStr">
        <is>
          <t>GRAN CORAMINO CRISTALINO REPOSADO TEQUILA</t>
        </is>
      </c>
      <c r="C908" s="97">
        <f>VLOOKUP(A908,SizeData!A$2:B$3839,2,FALSE)</f>
        <v/>
      </c>
      <c r="D908" s="98" t="n">
        <v>1</v>
      </c>
      <c r="E908" s="98" t="inlineStr">
        <is>
          <t>R2072241</t>
        </is>
      </c>
      <c r="F908" s="99" t="n">
        <v>45035</v>
      </c>
      <c r="G908" s="100" t="n"/>
    </row>
    <row r="909" ht="16" customFormat="1" customHeight="1" s="58">
      <c r="A909" s="101" t="n">
        <v>65125</v>
      </c>
      <c r="B909" s="101" t="inlineStr">
        <is>
          <t>GRAND MARNIER</t>
        </is>
      </c>
      <c r="C909" s="102">
        <f>VLOOKUP(A909,SizeData!A$2:B$3839,2,FALSE)</f>
        <v/>
      </c>
      <c r="D909" s="101" t="n">
        <v>1</v>
      </c>
      <c r="E909" s="101" t="inlineStr">
        <is>
          <t>R2010980</t>
        </is>
      </c>
      <c r="F909" s="103" t="n">
        <v>44995</v>
      </c>
      <c r="G909" s="104" t="n"/>
    </row>
    <row r="910" ht="16" customFormat="1" customHeight="1" s="58">
      <c r="A910" s="101" t="n">
        <v>65125</v>
      </c>
      <c r="B910" s="101" t="inlineStr">
        <is>
          <t>GRAND MARNIER</t>
        </is>
      </c>
      <c r="C910" s="102">
        <f>VLOOKUP(A910,SizeData!A$2:B$3839,2,FALSE)</f>
        <v/>
      </c>
      <c r="D910" s="101" t="n">
        <v>1</v>
      </c>
      <c r="E910" s="101" t="inlineStr">
        <is>
          <t>R2082317</t>
        </is>
      </c>
      <c r="F910" s="103" t="n">
        <v>45047</v>
      </c>
      <c r="G910" s="104" t="n"/>
    </row>
    <row r="911" ht="16" customHeight="1">
      <c r="A911" s="98" t="n">
        <v>87408</v>
      </c>
      <c r="B911" s="98" t="inlineStr">
        <is>
          <t>JOSE CUERVO ESPECIAL SILVER</t>
        </is>
      </c>
      <c r="C911" s="97">
        <f>VLOOKUP(A911,SizeData!A$2:B$3839,2,FALSE)</f>
        <v/>
      </c>
      <c r="D911" s="98" t="n">
        <v>3</v>
      </c>
      <c r="E911" s="98" t="inlineStr">
        <is>
          <t>R1903667</t>
        </is>
      </c>
      <c r="F911" s="99" t="n">
        <v>44915</v>
      </c>
      <c r="G911" s="100" t="n"/>
    </row>
    <row r="912" ht="16" customHeight="1">
      <c r="A912" s="98" t="n">
        <v>87408</v>
      </c>
      <c r="B912" s="98" t="inlineStr">
        <is>
          <t>JOSE CUERVO ESPECIAL SILVER</t>
        </is>
      </c>
      <c r="C912" s="97">
        <f>VLOOKUP(A912,SizeData!A$2:B$3839,2,FALSE)</f>
        <v/>
      </c>
      <c r="D912" s="98" t="n">
        <v>1</v>
      </c>
      <c r="E912" s="98" t="inlineStr">
        <is>
          <t>R1919402</t>
        </is>
      </c>
      <c r="F912" s="99" t="n">
        <v>44924</v>
      </c>
      <c r="G912" s="100" t="n"/>
    </row>
    <row r="913" ht="16" customHeight="1">
      <c r="A913" s="98" t="n">
        <v>65125</v>
      </c>
      <c r="B913" s="98" t="inlineStr">
        <is>
          <t>GRAND MARNIER</t>
        </is>
      </c>
      <c r="C913" s="97">
        <f>VLOOKUP(A913,SizeData!A$2:B$3839,2,FALSE)</f>
        <v/>
      </c>
      <c r="D913" s="98" t="n">
        <v>3</v>
      </c>
      <c r="E913" s="98" t="inlineStr">
        <is>
          <t>R2088403</t>
        </is>
      </c>
      <c r="F913" s="99" t="n">
        <v>45049</v>
      </c>
      <c r="G913" s="100" t="n"/>
    </row>
    <row r="914" ht="16" customFormat="1" customHeight="1" s="111">
      <c r="A914" s="101" t="n">
        <v>66936</v>
      </c>
      <c r="B914" s="101" t="inlineStr">
        <is>
          <t>GRANGALA TRIPLE ORANGE PROPRIETARY LIQ</t>
        </is>
      </c>
      <c r="C914" s="102">
        <f>VLOOKUP(A914,SizeData!A$2:B$3839,2,FALSE)</f>
        <v/>
      </c>
      <c r="D914" s="101" t="n">
        <v>1</v>
      </c>
      <c r="E914" s="101" t="inlineStr">
        <is>
          <t>R1962631</t>
        </is>
      </c>
      <c r="F914" s="103" t="n">
        <v>44959</v>
      </c>
      <c r="G914" s="104" t="n"/>
    </row>
    <row r="915" ht="16" customHeight="1">
      <c r="A915" s="98" t="n">
        <v>66936</v>
      </c>
      <c r="B915" s="98" t="inlineStr">
        <is>
          <t>GRANGALA TRIPLE ORANGE PROPRIETARY LIQ</t>
        </is>
      </c>
      <c r="C915" s="97">
        <f>VLOOKUP(A915,SizeData!A$2:B$3839,2,FALSE)</f>
        <v/>
      </c>
      <c r="D915" s="98" t="n">
        <v>2</v>
      </c>
      <c r="E915" s="98" t="inlineStr">
        <is>
          <t>R1977141</t>
        </is>
      </c>
      <c r="F915" s="99" t="n">
        <v>44970</v>
      </c>
      <c r="G915" s="100" t="n"/>
    </row>
    <row r="916" ht="16" customHeight="1">
      <c r="A916" s="98" t="n">
        <v>30322</v>
      </c>
      <c r="B916" s="98" t="inlineStr">
        <is>
          <t>GRAY WHALE GIN</t>
        </is>
      </c>
      <c r="C916" s="97">
        <f>VLOOKUP(A916,SizeData!A$2:B$3839,2,FALSE)</f>
        <v/>
      </c>
      <c r="D916" s="98" t="n">
        <v>1</v>
      </c>
      <c r="E916" s="98" t="inlineStr">
        <is>
          <t>R2082317</t>
        </is>
      </c>
      <c r="F916" s="99" t="n">
        <v>45047</v>
      </c>
      <c r="G916" s="100" t="n"/>
    </row>
    <row r="917" ht="16" customHeight="1">
      <c r="A917" s="98" t="n">
        <v>34422</v>
      </c>
      <c r="B917" s="98" t="inlineStr">
        <is>
          <t>GREY GOOSE IMPORTED VODKA</t>
        </is>
      </c>
      <c r="C917" s="97">
        <f>VLOOKUP(A917,SizeData!A$2:B$3839,2,FALSE)</f>
        <v/>
      </c>
      <c r="D917" s="98" t="n">
        <v>1</v>
      </c>
      <c r="E917" s="98" t="inlineStr">
        <is>
          <t>R1991528</t>
        </is>
      </c>
      <c r="F917" s="99" t="n">
        <v>44974</v>
      </c>
      <c r="G917" s="100" t="n"/>
    </row>
    <row r="918" ht="16" customHeight="1">
      <c r="A918" s="101" t="n">
        <v>34422</v>
      </c>
      <c r="B918" s="101" t="inlineStr">
        <is>
          <t>GREY GOOSE IMPORTED VODKA</t>
        </is>
      </c>
      <c r="C918" s="102">
        <f>VLOOKUP(A918,SizeData!A$2:B$3839,2,FALSE)</f>
        <v/>
      </c>
      <c r="D918" s="101" t="n">
        <v>1</v>
      </c>
      <c r="E918" s="101" t="inlineStr">
        <is>
          <t>R1984049</t>
        </is>
      </c>
      <c r="F918" s="103" t="n">
        <v>44984</v>
      </c>
      <c r="G918" s="104" t="n"/>
    </row>
    <row r="919" ht="16" customHeight="1">
      <c r="A919" s="98" t="n">
        <v>34422</v>
      </c>
      <c r="B919" s="98" t="inlineStr">
        <is>
          <t>GREY GOOSE IMPORTED VODKA</t>
        </is>
      </c>
      <c r="C919" s="97">
        <f>VLOOKUP(A919,SizeData!A$2:B$3839,2,FALSE)</f>
        <v/>
      </c>
      <c r="D919" s="98" t="n">
        <v>1</v>
      </c>
      <c r="E919" s="98" t="inlineStr">
        <is>
          <t>R2007390</t>
        </is>
      </c>
      <c r="F919" s="99" t="n">
        <v>44996</v>
      </c>
      <c r="G919" s="100" t="n"/>
    </row>
    <row r="920" ht="16" customHeight="1">
      <c r="A920" s="98" t="n">
        <v>34422</v>
      </c>
      <c r="B920" s="98" t="inlineStr">
        <is>
          <t>GREY GOOSE IMPORTED VODKA</t>
        </is>
      </c>
      <c r="C920" s="97">
        <f>VLOOKUP(A920,SizeData!A$2:B$3839,2,FALSE)</f>
        <v/>
      </c>
      <c r="D920" s="98" t="n">
        <v>1</v>
      </c>
      <c r="E920" s="98" t="inlineStr">
        <is>
          <t>R2023718</t>
        </is>
      </c>
      <c r="F920" s="99" t="n">
        <v>45003</v>
      </c>
      <c r="G920" s="100" t="n"/>
    </row>
    <row r="921" ht="16" customHeight="1">
      <c r="A921" s="98" t="n">
        <v>34422</v>
      </c>
      <c r="B921" s="98" t="inlineStr">
        <is>
          <t>GREY GOOSE IMPORTED VODKA</t>
        </is>
      </c>
      <c r="C921" s="97">
        <f>VLOOKUP(A921,SizeData!A$2:B$3839,2,FALSE)</f>
        <v/>
      </c>
      <c r="D921" s="98" t="n">
        <v>1</v>
      </c>
      <c r="E921" s="98" t="inlineStr">
        <is>
          <t>R2044661</t>
        </is>
      </c>
      <c r="F921" s="99" t="n">
        <v>45020</v>
      </c>
      <c r="G921" s="100" t="n"/>
    </row>
    <row r="922" ht="16" customHeight="1">
      <c r="A922" s="98" t="n">
        <v>34359</v>
      </c>
      <c r="B922" s="98" t="inlineStr">
        <is>
          <t>GREY GOOSE IMPORTED VODKA</t>
        </is>
      </c>
      <c r="C922" s="97">
        <f>VLOOKUP(A922,SizeData!A$2:B$3839,2,FALSE)</f>
        <v/>
      </c>
      <c r="D922" s="98" t="n">
        <v>2</v>
      </c>
      <c r="E922" s="98" t="inlineStr">
        <is>
          <t>R1995710</t>
        </is>
      </c>
      <c r="F922" s="99" t="n">
        <v>44970</v>
      </c>
      <c r="G922" s="100" t="n"/>
    </row>
    <row r="923" ht="16" customHeight="1">
      <c r="A923" s="101" t="n">
        <v>34359</v>
      </c>
      <c r="B923" s="101" t="inlineStr">
        <is>
          <t>GREY GOOSE IMPORTED VODKA</t>
        </is>
      </c>
      <c r="C923" s="102">
        <f>VLOOKUP(A923,SizeData!A$2:B$3839,2,FALSE)</f>
        <v/>
      </c>
      <c r="D923" s="101" t="n">
        <v>1</v>
      </c>
      <c r="E923" s="101" t="inlineStr">
        <is>
          <t>R2035913</t>
        </is>
      </c>
      <c r="F923" s="103" t="n">
        <v>45005</v>
      </c>
      <c r="G923" s="104" t="n"/>
    </row>
    <row r="924" ht="16" customHeight="1">
      <c r="A924" s="98" t="n">
        <v>34359</v>
      </c>
      <c r="B924" s="98" t="inlineStr">
        <is>
          <t>GREY GOOSE IMPORTED VODKA</t>
        </is>
      </c>
      <c r="C924" s="97">
        <f>VLOOKUP(A924,SizeData!A$2:B$3839,2,FALSE)</f>
        <v/>
      </c>
      <c r="D924" s="98" t="n">
        <v>1</v>
      </c>
      <c r="E924" s="98" t="inlineStr">
        <is>
          <t>R2061208</t>
        </is>
      </c>
      <c r="F924" s="99" t="n">
        <v>45022</v>
      </c>
      <c r="G924" s="100" t="n"/>
    </row>
    <row r="925" ht="16" customFormat="1" customHeight="1" s="111">
      <c r="A925" s="98" t="n">
        <v>34423</v>
      </c>
      <c r="B925" s="98" t="inlineStr">
        <is>
          <t>GREY GOOSE IMPORTED VODKA</t>
        </is>
      </c>
      <c r="C925" s="97">
        <f>VLOOKUP(A925,SizeData!A$2:B$3839,2,FALSE)</f>
        <v/>
      </c>
      <c r="D925" s="98" t="n">
        <v>1</v>
      </c>
      <c r="E925" s="98" t="inlineStr">
        <is>
          <t>R1919341</t>
        </is>
      </c>
      <c r="F925" s="99" t="n">
        <v>44930</v>
      </c>
      <c r="G925" s="100" t="n"/>
    </row>
    <row r="926" ht="16" customHeight="1">
      <c r="A926" s="98" t="n">
        <v>89196</v>
      </c>
      <c r="B926" s="98" t="inlineStr">
        <is>
          <t>JOSE CUERVO ESPECIAL TEQUILA GOLD</t>
        </is>
      </c>
      <c r="C926" s="97">
        <f>VLOOKUP(A926,SizeData!A$2:B$3839,2,FALSE)</f>
        <v/>
      </c>
      <c r="D926" s="98" t="n">
        <v>5</v>
      </c>
      <c r="E926" s="98" t="inlineStr">
        <is>
          <t>R1903748</t>
        </is>
      </c>
      <c r="F926" s="99" t="n">
        <v>44912</v>
      </c>
      <c r="G926" s="100" t="n"/>
    </row>
    <row r="927" ht="16" customHeight="1">
      <c r="A927" s="98" t="n">
        <v>34423</v>
      </c>
      <c r="B927" s="98" t="inlineStr">
        <is>
          <t>GREY GOOSE IMPORTED VODKA</t>
        </is>
      </c>
      <c r="C927" s="97">
        <f>VLOOKUP(A927,SizeData!A$2:B$3839,2,FALSE)</f>
        <v/>
      </c>
      <c r="D927" s="98" t="n">
        <v>1</v>
      </c>
      <c r="E927" s="98" t="inlineStr">
        <is>
          <t>R1977869</t>
        </is>
      </c>
      <c r="F927" s="99" t="n">
        <v>44977</v>
      </c>
      <c r="G927" s="100" t="n"/>
    </row>
    <row r="928" ht="16" customHeight="1">
      <c r="A928" s="98" t="n">
        <v>34423</v>
      </c>
      <c r="B928" s="98" t="inlineStr">
        <is>
          <t>GREY GOOSE IMPORTED VODKA</t>
        </is>
      </c>
      <c r="C928" s="97">
        <f>VLOOKUP(A928,SizeData!A$2:B$3839,2,FALSE)</f>
        <v/>
      </c>
      <c r="D928" s="98" t="n">
        <v>1</v>
      </c>
      <c r="E928" s="98" t="inlineStr">
        <is>
          <t>R2007390</t>
        </is>
      </c>
      <c r="F928" s="99" t="n">
        <v>44996</v>
      </c>
      <c r="G928" s="100" t="n"/>
    </row>
    <row r="929" ht="16" customHeight="1">
      <c r="A929" s="98" t="n">
        <v>34423</v>
      </c>
      <c r="B929" s="98" t="inlineStr">
        <is>
          <t>GREY GOOSE IMPORTED VODKA</t>
        </is>
      </c>
      <c r="C929" s="97">
        <f>VLOOKUP(A929,SizeData!A$2:B$3839,2,FALSE)</f>
        <v/>
      </c>
      <c r="D929" s="98" t="n">
        <v>1</v>
      </c>
      <c r="E929" s="98" t="inlineStr">
        <is>
          <t>R2035192</t>
        </is>
      </c>
      <c r="F929" s="99" t="n">
        <v>45009</v>
      </c>
      <c r="G929" s="100" t="n"/>
    </row>
    <row r="930" ht="16" customHeight="1">
      <c r="A930" s="98" t="n">
        <v>34433</v>
      </c>
      <c r="B930" s="98" t="inlineStr">
        <is>
          <t>GREY GOOSE IMPORTED VODKA</t>
        </is>
      </c>
      <c r="C930" s="97">
        <f>VLOOKUP(A930,SizeData!A$2:B$3839,2,FALSE)</f>
        <v/>
      </c>
      <c r="D930" s="98" t="n">
        <v>2</v>
      </c>
      <c r="E930" s="98" t="inlineStr">
        <is>
          <t>R2005976</t>
        </is>
      </c>
      <c r="F930" s="99" t="n">
        <v>44992</v>
      </c>
      <c r="G930" s="100" t="n"/>
    </row>
    <row r="931" ht="16" customHeight="1">
      <c r="A931" s="98" t="n">
        <v>34433</v>
      </c>
      <c r="B931" s="98" t="inlineStr">
        <is>
          <t>GREY GOOSE IMPORTED VODKA</t>
        </is>
      </c>
      <c r="C931" s="97">
        <f>VLOOKUP(A931,SizeData!A$2:B$3839,2,FALSE)</f>
        <v/>
      </c>
      <c r="D931" s="98" t="n">
        <v>2</v>
      </c>
      <c r="E931" s="98" t="inlineStr">
        <is>
          <t>R2021274</t>
        </is>
      </c>
      <c r="F931" s="99" t="n">
        <v>44998</v>
      </c>
      <c r="G931" s="100" t="n"/>
    </row>
    <row r="932" ht="16" customHeight="1">
      <c r="A932" s="98" t="n">
        <v>34433</v>
      </c>
      <c r="B932" s="98" t="inlineStr">
        <is>
          <t>GREY GOOSE IMPORTED VODKA</t>
        </is>
      </c>
      <c r="C932" s="97">
        <f>VLOOKUP(A932,SizeData!A$2:B$3839,2,FALSE)</f>
        <v/>
      </c>
      <c r="D932" s="98" t="n">
        <v>1</v>
      </c>
      <c r="E932" s="98" t="inlineStr">
        <is>
          <t>R2022490</t>
        </is>
      </c>
      <c r="F932" s="99" t="n">
        <v>45014</v>
      </c>
      <c r="G932" s="100" t="n"/>
    </row>
    <row r="933" ht="16" customHeight="1">
      <c r="A933" s="98" t="n">
        <v>34422</v>
      </c>
      <c r="B933" s="98" t="inlineStr">
        <is>
          <t>GREY GOOSE IMPORTED VODKA</t>
        </is>
      </c>
      <c r="C933" s="97">
        <f>VLOOKUP(A933,SizeData!A$2:B$3839,2,FALSE)</f>
        <v/>
      </c>
      <c r="D933" s="98" t="n">
        <v>1</v>
      </c>
      <c r="E933" s="98" t="inlineStr">
        <is>
          <t>R2065393</t>
        </is>
      </c>
      <c r="F933" s="99" t="n">
        <v>45031</v>
      </c>
      <c r="G933" s="100" t="n"/>
    </row>
    <row r="934" ht="16" customHeight="1">
      <c r="A934" s="98" t="n">
        <v>34425</v>
      </c>
      <c r="B934" s="98" t="inlineStr">
        <is>
          <t>GREY GOOSE IMPORTED VODKA</t>
        </is>
      </c>
      <c r="C934" s="97">
        <f>VLOOKUP(A934,SizeData!A$2:B$3839,2,FALSE)</f>
        <v/>
      </c>
      <c r="D934" s="98" t="n">
        <v>10</v>
      </c>
      <c r="E934" s="98" t="inlineStr">
        <is>
          <t>R2053988</t>
        </is>
      </c>
      <c r="F934" s="99" t="n">
        <v>45035</v>
      </c>
      <c r="G934" s="100" t="n"/>
    </row>
    <row r="935" ht="16" customHeight="1">
      <c r="A935" s="98" t="n">
        <v>58877</v>
      </c>
      <c r="B935" s="98" t="inlineStr">
        <is>
          <t>JOSE CUERVO GOLDEN STAW MARG</t>
        </is>
      </c>
      <c r="C935" s="97">
        <f>VLOOKUP(A935,SizeData!A$2:B$3839,2,FALSE)</f>
        <v/>
      </c>
      <c r="D935" s="98" t="n">
        <v>1</v>
      </c>
      <c r="E935" s="98" t="inlineStr">
        <is>
          <t>R1907823</t>
        </is>
      </c>
      <c r="F935" s="99" t="n">
        <v>44908</v>
      </c>
      <c r="G935" s="100" t="n"/>
    </row>
    <row r="936" ht="16" customHeight="1">
      <c r="A936" s="98" t="n">
        <v>34423</v>
      </c>
      <c r="B936" s="98" t="inlineStr">
        <is>
          <t>GREY GOOSE IMPORTED VODKA</t>
        </is>
      </c>
      <c r="C936" s="97">
        <f>VLOOKUP(A936,SizeData!A$2:B$3839,2,FALSE)</f>
        <v/>
      </c>
      <c r="D936" s="98" t="n">
        <v>1</v>
      </c>
      <c r="E936" s="98" t="inlineStr">
        <is>
          <t>R2064188</t>
        </is>
      </c>
      <c r="F936" s="99" t="n">
        <v>45036</v>
      </c>
      <c r="G936" s="100" t="n"/>
    </row>
    <row r="937" ht="16" customHeight="1">
      <c r="A937" s="98" t="n">
        <v>89214</v>
      </c>
      <c r="B937" s="98" t="inlineStr">
        <is>
          <t>JOSE CUERVO TRADICIONAL REPOSADO</t>
        </is>
      </c>
      <c r="C937" s="97">
        <f>VLOOKUP(A937,SizeData!A$2:B$3839,2,FALSE)</f>
        <v/>
      </c>
      <c r="D937" s="98" t="n">
        <v>4</v>
      </c>
      <c r="E937" s="98" t="inlineStr">
        <is>
          <t>R1907721</t>
        </is>
      </c>
      <c r="F937" s="99" t="n">
        <v>44908</v>
      </c>
      <c r="G937" s="100" t="n"/>
    </row>
    <row r="938" ht="16" customHeight="1">
      <c r="A938" s="98" t="n">
        <v>89219</v>
      </c>
      <c r="B938" s="98" t="inlineStr">
        <is>
          <t>JOSE CUERVO TRADICIONAL REPOSADO</t>
        </is>
      </c>
      <c r="C938" s="97">
        <f>VLOOKUP(A938,SizeData!A$2:B$3839,2,FALSE)</f>
        <v/>
      </c>
      <c r="D938" s="98" t="n">
        <v>5</v>
      </c>
      <c r="E938" s="98" t="inlineStr">
        <is>
          <t>R1903748</t>
        </is>
      </c>
      <c r="F938" s="99" t="n">
        <v>44912</v>
      </c>
      <c r="G938" s="100" t="n"/>
    </row>
    <row r="939" ht="16" customHeight="1">
      <c r="A939" s="98" t="n">
        <v>34422</v>
      </c>
      <c r="B939" s="98" t="inlineStr">
        <is>
          <t>GREY GOOSE IMPORTED VODKA</t>
        </is>
      </c>
      <c r="C939" s="97">
        <f>VLOOKUP(A939,SizeData!A$2:B$3839,2,FALSE)</f>
        <v/>
      </c>
      <c r="D939" s="98" t="n">
        <v>1</v>
      </c>
      <c r="E939" s="98" t="inlineStr">
        <is>
          <t>R2073309</t>
        </is>
      </c>
      <c r="F939" s="99" t="n">
        <v>45038</v>
      </c>
      <c r="G939" s="100" t="n"/>
    </row>
    <row r="940" ht="16" customHeight="1">
      <c r="A940" s="101" t="n">
        <v>34425</v>
      </c>
      <c r="B940" s="101" t="inlineStr">
        <is>
          <t>GREY GOOSE IMPORTED VODKA</t>
        </is>
      </c>
      <c r="C940" s="102">
        <f>VLOOKUP(A940,SizeData!A$2:B$3839,2,FALSE)</f>
        <v/>
      </c>
      <c r="D940" s="101" t="n">
        <v>3</v>
      </c>
      <c r="E940" s="101" t="inlineStr">
        <is>
          <t>R2078944</t>
        </is>
      </c>
      <c r="F940" s="103" t="n">
        <v>45045</v>
      </c>
      <c r="G940" s="104" t="n"/>
    </row>
    <row r="941" ht="16" customHeight="1">
      <c r="A941" s="98" t="n">
        <v>52656</v>
      </c>
      <c r="B941" s="98" t="inlineStr">
        <is>
          <t>HARTLEY VSOP BRANDY</t>
        </is>
      </c>
      <c r="C941" s="97">
        <f>VLOOKUP(A941,SizeData!A$2:B$3839,2,FALSE)</f>
        <v/>
      </c>
      <c r="D941" s="98" t="n">
        <v>1</v>
      </c>
      <c r="E941" s="98" t="inlineStr">
        <is>
          <t>R1914089</t>
        </is>
      </c>
      <c r="F941" s="99" t="n">
        <v>44927</v>
      </c>
      <c r="G941" s="100" t="n"/>
    </row>
    <row r="942" ht="16" customHeight="1">
      <c r="A942" s="98" t="n">
        <v>52656</v>
      </c>
      <c r="B942" s="98" t="inlineStr">
        <is>
          <t>HARTLEY VSOP BRANDY</t>
        </is>
      </c>
      <c r="C942" s="97">
        <f>VLOOKUP(A942,SizeData!A$2:B$3839,2,FALSE)</f>
        <v/>
      </c>
      <c r="D942" s="98" t="n">
        <v>2</v>
      </c>
      <c r="E942" s="98" t="inlineStr">
        <is>
          <t>R1924344</t>
        </is>
      </c>
      <c r="F942" s="99" t="n">
        <v>44933</v>
      </c>
      <c r="G942" s="100" t="n"/>
    </row>
    <row r="943" ht="16" customHeight="1">
      <c r="A943" s="98" t="n">
        <v>52656</v>
      </c>
      <c r="B943" s="98" t="inlineStr">
        <is>
          <t>HARTLEY VSOP BRANDY</t>
        </is>
      </c>
      <c r="C943" s="97">
        <f>VLOOKUP(A943,SizeData!A$2:B$3839,2,FALSE)</f>
        <v/>
      </c>
      <c r="D943" s="98" t="n">
        <v>1</v>
      </c>
      <c r="E943" s="98" t="inlineStr">
        <is>
          <t>R2030138</t>
        </is>
      </c>
      <c r="F943" s="99" t="n">
        <v>44986</v>
      </c>
      <c r="G943" s="100" t="n"/>
    </row>
    <row r="944" ht="16" customHeight="1">
      <c r="A944" s="98" t="n">
        <v>52656</v>
      </c>
      <c r="B944" s="98" t="inlineStr">
        <is>
          <t>HARTLEY VSOP BRANDY</t>
        </is>
      </c>
      <c r="C944" s="97">
        <f>VLOOKUP(A944,SizeData!A$2:B$3839,2,FALSE)</f>
        <v/>
      </c>
      <c r="D944" s="98" t="n">
        <v>3</v>
      </c>
      <c r="E944" s="98" t="inlineStr">
        <is>
          <t>R2005740</t>
        </is>
      </c>
      <c r="F944" s="99" t="n">
        <v>44987</v>
      </c>
      <c r="G944" s="100" t="n"/>
    </row>
    <row r="945" ht="16" customHeight="1">
      <c r="A945" s="98" t="n">
        <v>52656</v>
      </c>
      <c r="B945" s="98" t="inlineStr">
        <is>
          <t>HARTLEY VSOP BRANDY</t>
        </is>
      </c>
      <c r="C945" s="97">
        <f>VLOOKUP(A945,SizeData!A$2:B$3839,2,FALSE)</f>
        <v/>
      </c>
      <c r="D945" s="98" t="n">
        <v>1</v>
      </c>
      <c r="E945" s="98" t="inlineStr">
        <is>
          <t>R2082317</t>
        </is>
      </c>
      <c r="F945" s="99" t="n">
        <v>45047</v>
      </c>
      <c r="G945" s="100" t="n"/>
    </row>
    <row r="946" ht="16" customHeight="1">
      <c r="A946" s="101" t="n">
        <v>28625</v>
      </c>
      <c r="B946" s="101" t="inlineStr">
        <is>
          <t>HENDRICK'S SCOTTISH GIN</t>
        </is>
      </c>
      <c r="C946" s="102">
        <f>VLOOKUP(A946,SizeData!A$2:B$3839,2,FALSE)</f>
        <v/>
      </c>
      <c r="D946" s="101" t="n">
        <v>1</v>
      </c>
      <c r="E946" s="101" t="inlineStr">
        <is>
          <t>R1984349</t>
        </is>
      </c>
      <c r="F946" s="103" t="n">
        <v>44982</v>
      </c>
      <c r="G946" s="104" t="n"/>
    </row>
    <row r="947" ht="16" customHeight="1">
      <c r="A947" s="98" t="n">
        <v>28625</v>
      </c>
      <c r="B947" s="98" t="inlineStr">
        <is>
          <t>HENDRICK'S SCOTTISH GIN</t>
        </is>
      </c>
      <c r="C947" s="97">
        <f>VLOOKUP(A947,SizeData!A$2:B$3839,2,FALSE)</f>
        <v/>
      </c>
      <c r="D947" s="98" t="n">
        <v>2</v>
      </c>
      <c r="E947" s="98" t="inlineStr">
        <is>
          <t>R2082317</t>
        </is>
      </c>
      <c r="F947" s="99" t="n">
        <v>45047</v>
      </c>
      <c r="G947" s="100" t="n"/>
    </row>
    <row r="948" ht="16" customHeight="1">
      <c r="A948" s="98" t="n">
        <v>48105</v>
      </c>
      <c r="B948" s="98" t="inlineStr">
        <is>
          <t>HENNESSY V S COGNAC</t>
        </is>
      </c>
      <c r="C948" s="97">
        <f>VLOOKUP(A948,SizeData!A$2:B$3839,2,FALSE)</f>
        <v/>
      </c>
      <c r="D948" s="98" t="n">
        <v>9</v>
      </c>
      <c r="E948" s="98" t="inlineStr">
        <is>
          <t>R1927342</t>
        </is>
      </c>
      <c r="F948" s="99" t="n">
        <v>44930</v>
      </c>
      <c r="G948" s="100" t="n"/>
    </row>
    <row r="949" ht="16" customHeight="1">
      <c r="A949" s="98" t="n">
        <v>48106</v>
      </c>
      <c r="B949" s="98" t="inlineStr">
        <is>
          <t>HENNESSY V S COGNAC</t>
        </is>
      </c>
      <c r="C949" s="97">
        <f>VLOOKUP(A949,SizeData!A$2:B$3839,2,FALSE)</f>
        <v/>
      </c>
      <c r="D949" s="98" t="n">
        <v>9</v>
      </c>
      <c r="E949" s="98" t="inlineStr">
        <is>
          <t>R1938205</t>
        </is>
      </c>
      <c r="F949" s="99" t="n">
        <v>44939</v>
      </c>
      <c r="G949" s="100" t="n"/>
    </row>
    <row r="950" ht="16" customHeight="1">
      <c r="A950" s="98" t="n">
        <v>48106</v>
      </c>
      <c r="B950" s="98" t="inlineStr">
        <is>
          <t>HENNESSY V S COGNAC</t>
        </is>
      </c>
      <c r="C950" s="97">
        <f>VLOOKUP(A950,SizeData!A$2:B$3839,2,FALSE)</f>
        <v/>
      </c>
      <c r="D950" s="98" t="n">
        <v>10</v>
      </c>
      <c r="E950" s="98" t="inlineStr">
        <is>
          <t>R1928377</t>
        </is>
      </c>
      <c r="F950" s="99" t="n">
        <v>44940</v>
      </c>
      <c r="G950" s="100" t="n"/>
    </row>
    <row r="951" ht="16" customHeight="1">
      <c r="A951" s="98" t="n">
        <v>48107</v>
      </c>
      <c r="B951" s="98" t="inlineStr">
        <is>
          <t>HENNESSY V S COGNAC</t>
        </is>
      </c>
      <c r="C951" s="97">
        <f>VLOOKUP(A951,SizeData!A$2:B$3839,2,FALSE)</f>
        <v/>
      </c>
      <c r="D951" s="98" t="n">
        <v>4</v>
      </c>
      <c r="E951" s="98" t="inlineStr">
        <is>
          <t>R1933022</t>
        </is>
      </c>
      <c r="F951" s="99" t="n">
        <v>44942</v>
      </c>
      <c r="G951" s="100" t="n"/>
    </row>
    <row r="952" ht="16" customHeight="1">
      <c r="A952" s="98" t="n">
        <v>48107</v>
      </c>
      <c r="B952" s="98" t="inlineStr">
        <is>
          <t>HENNESSY V S COGNAC</t>
        </is>
      </c>
      <c r="C952" s="97">
        <f>VLOOKUP(A952,SizeData!A$2:B$3839,2,FALSE)</f>
        <v/>
      </c>
      <c r="D952" s="98" t="n">
        <v>1</v>
      </c>
      <c r="E952" s="98" t="inlineStr">
        <is>
          <t>R1931271</t>
        </is>
      </c>
      <c r="F952" s="99" t="n">
        <v>44944</v>
      </c>
      <c r="G952" s="100" t="n"/>
    </row>
    <row r="953" ht="16" customHeight="1">
      <c r="A953" s="98" t="n">
        <v>48108</v>
      </c>
      <c r="B953" s="98" t="inlineStr">
        <is>
          <t>HENNESSY V S COGNAC</t>
        </is>
      </c>
      <c r="C953" s="97">
        <f>VLOOKUP(A953,SizeData!A$2:B$3839,2,FALSE)</f>
        <v/>
      </c>
      <c r="D953" s="98" t="n">
        <v>2</v>
      </c>
      <c r="E953" s="98" t="inlineStr">
        <is>
          <t>R1960645</t>
        </is>
      </c>
      <c r="F953" s="99" t="n">
        <v>44954</v>
      </c>
      <c r="G953" s="100" t="n"/>
    </row>
    <row r="954" ht="16" customHeight="1">
      <c r="A954" s="98" t="n">
        <v>48105</v>
      </c>
      <c r="B954" s="98" t="inlineStr">
        <is>
          <t>HENNESSY V S COGNAC</t>
        </is>
      </c>
      <c r="C954" s="97">
        <f>VLOOKUP(A954,SizeData!A$2:B$3839,2,FALSE)</f>
        <v/>
      </c>
      <c r="D954" s="98" t="n">
        <v>1</v>
      </c>
      <c r="E954" s="98" t="inlineStr">
        <is>
          <t>R1971458</t>
        </is>
      </c>
      <c r="F954" s="99" t="n">
        <v>44961</v>
      </c>
      <c r="G954" s="100" t="n"/>
    </row>
    <row r="955" ht="16" customHeight="1">
      <c r="A955" s="98" t="n">
        <v>48106</v>
      </c>
      <c r="B955" s="98" t="inlineStr">
        <is>
          <t>HENNESSY V S COGNAC</t>
        </is>
      </c>
      <c r="C955" s="97">
        <f>VLOOKUP(A955,SizeData!A$2:B$3839,2,FALSE)</f>
        <v/>
      </c>
      <c r="D955" s="98" t="n">
        <v>10</v>
      </c>
      <c r="E955" s="98" t="inlineStr">
        <is>
          <t>R1984317</t>
        </is>
      </c>
      <c r="F955" s="99" t="n">
        <v>44968</v>
      </c>
      <c r="G955" s="100" t="n"/>
    </row>
    <row r="956" ht="16" customHeight="1">
      <c r="A956" s="101" t="n">
        <v>48105</v>
      </c>
      <c r="B956" s="101" t="inlineStr">
        <is>
          <t>HENNESSY V S COGNAC</t>
        </is>
      </c>
      <c r="C956" s="102">
        <f>VLOOKUP(A956,SizeData!A$2:B$3839,2,FALSE)</f>
        <v/>
      </c>
      <c r="D956" s="101" t="n">
        <v>5</v>
      </c>
      <c r="E956" s="101" t="inlineStr">
        <is>
          <t>R1986107</t>
        </is>
      </c>
      <c r="F956" s="103" t="n">
        <v>44968</v>
      </c>
      <c r="G956" s="104" t="n"/>
    </row>
    <row r="957" ht="16" customHeight="1">
      <c r="A957" s="98" t="n">
        <v>479345</v>
      </c>
      <c r="B957" s="98" t="inlineStr">
        <is>
          <t>KENDALL JACKSON VINTNER'S RESERVE MERLOT</t>
        </is>
      </c>
      <c r="C957" s="97">
        <f>VLOOKUP(A957,SizeData!A$2:B$3839,2,FALSE)</f>
        <v/>
      </c>
      <c r="D957" s="98" t="n">
        <v>1</v>
      </c>
      <c r="E957" s="98" t="inlineStr">
        <is>
          <t>R1903425</t>
        </is>
      </c>
      <c r="F957" s="99" t="n">
        <v>44908</v>
      </c>
      <c r="G957" s="100" t="n"/>
    </row>
    <row r="958" ht="16" customHeight="1">
      <c r="A958" s="98" t="n">
        <v>48099</v>
      </c>
      <c r="B958" s="98" t="inlineStr">
        <is>
          <t>HENNESSY V S COGNAC</t>
        </is>
      </c>
      <c r="C958" s="97">
        <f>VLOOKUP(A958,SizeData!A$2:B$3839,2,FALSE)</f>
        <v/>
      </c>
      <c r="D958" s="98" t="n">
        <v>5</v>
      </c>
      <c r="E958" s="98" t="inlineStr">
        <is>
          <t>R1986107</t>
        </is>
      </c>
      <c r="F958" s="99" t="n">
        <v>44968</v>
      </c>
      <c r="G958" s="100" t="n"/>
    </row>
    <row r="959" ht="16" customHeight="1">
      <c r="A959" s="98" t="n">
        <v>581330</v>
      </c>
      <c r="B959" s="98" t="inlineStr">
        <is>
          <t>KENDALL-JACKSON VINTNERS RSV CHARDONNAY</t>
        </is>
      </c>
      <c r="C959" s="97">
        <f>VLOOKUP(A959,SizeData!A$2:B$3839,2,FALSE)</f>
        <v/>
      </c>
      <c r="D959" s="98" t="n">
        <v>1</v>
      </c>
      <c r="E959" s="98" t="inlineStr">
        <is>
          <t>R1927120</t>
        </is>
      </c>
      <c r="F959" s="99" t="n">
        <v>44924</v>
      </c>
      <c r="G959" s="100" t="n"/>
    </row>
    <row r="960" ht="16" customHeight="1">
      <c r="A960" s="98" t="n">
        <v>48105</v>
      </c>
      <c r="B960" s="98" t="inlineStr">
        <is>
          <t>HENNESSY V S COGNAC</t>
        </is>
      </c>
      <c r="C960" s="97">
        <f>VLOOKUP(A960,SizeData!A$2:B$3839,2,FALSE)</f>
        <v/>
      </c>
      <c r="D960" s="98" t="n">
        <v>10</v>
      </c>
      <c r="E960" s="98" t="inlineStr">
        <is>
          <t>R1984317</t>
        </is>
      </c>
      <c r="F960" s="99" t="n">
        <v>44975</v>
      </c>
      <c r="G960" s="100" t="n"/>
    </row>
    <row r="961" ht="16" customHeight="1">
      <c r="A961" s="98" t="n">
        <v>581565</v>
      </c>
      <c r="B961" s="98" t="inlineStr">
        <is>
          <t>KENDALL-JACKSON VINTNERS RSV SAUVIGNON BLANC</t>
        </is>
      </c>
      <c r="C961" s="97">
        <f>VLOOKUP(A961,SizeData!A$2:B$3839,2,FALSE)</f>
        <v/>
      </c>
      <c r="D961" s="98" t="n">
        <v>1</v>
      </c>
      <c r="E961" s="98" t="inlineStr">
        <is>
          <t>R1927120</t>
        </is>
      </c>
      <c r="F961" s="99" t="n">
        <v>44924</v>
      </c>
      <c r="G961" s="100" t="n"/>
    </row>
    <row r="962" ht="16" customHeight="1">
      <c r="A962" s="98" t="n">
        <v>48107</v>
      </c>
      <c r="B962" s="98" t="inlineStr">
        <is>
          <t>HENNESSY V S COGNAC</t>
        </is>
      </c>
      <c r="C962" s="97">
        <f>VLOOKUP(A962,SizeData!A$2:B$3839,2,FALSE)</f>
        <v/>
      </c>
      <c r="D962" s="98" t="n">
        <v>5</v>
      </c>
      <c r="E962" s="98" t="inlineStr">
        <is>
          <t>R1977869</t>
        </is>
      </c>
      <c r="F962" s="99" t="n">
        <v>44977</v>
      </c>
      <c r="G962" s="100" t="n"/>
    </row>
    <row r="963" ht="16" customHeight="1">
      <c r="A963" s="98" t="n">
        <v>34458</v>
      </c>
      <c r="B963" s="98" t="inlineStr">
        <is>
          <t>KETEL ONE DUTCH VODKA</t>
        </is>
      </c>
      <c r="C963" s="97">
        <f>VLOOKUP(A963,SizeData!A$2:B$3839,2,FALSE)</f>
        <v/>
      </c>
      <c r="D963" s="98" t="n">
        <v>1</v>
      </c>
      <c r="E963" s="98" t="inlineStr">
        <is>
          <t>R1906771</t>
        </is>
      </c>
      <c r="F963" s="99" t="n">
        <v>44908</v>
      </c>
      <c r="G963" s="100" t="n"/>
    </row>
    <row r="964" ht="16" customHeight="1">
      <c r="A964" s="98" t="n">
        <v>48108</v>
      </c>
      <c r="B964" s="98" t="inlineStr">
        <is>
          <t>HENNESSY V S COGNAC</t>
        </is>
      </c>
      <c r="C964" s="97">
        <f>VLOOKUP(A964,SizeData!A$2:B$3839,2,FALSE)</f>
        <v/>
      </c>
      <c r="D964" s="98" t="n">
        <v>1</v>
      </c>
      <c r="E964" s="98" t="inlineStr">
        <is>
          <t>R1977869</t>
        </is>
      </c>
      <c r="F964" s="99" t="n">
        <v>44977</v>
      </c>
      <c r="G964" s="100" t="n"/>
    </row>
    <row r="965" ht="16" customHeight="1">
      <c r="A965" s="98" t="n">
        <v>48105</v>
      </c>
      <c r="B965" s="98" t="inlineStr">
        <is>
          <t>HENNESSY V S COGNAC</t>
        </is>
      </c>
      <c r="C965" s="97">
        <f>VLOOKUP(A965,SizeData!A$2:B$3839,2,FALSE)</f>
        <v/>
      </c>
      <c r="D965" s="98" t="n">
        <v>5</v>
      </c>
      <c r="E965" s="98" t="inlineStr">
        <is>
          <t>R1977494</t>
        </is>
      </c>
      <c r="F965" s="99" t="n">
        <v>44979</v>
      </c>
      <c r="G965" s="100" t="n"/>
    </row>
    <row r="966" ht="16" customHeight="1">
      <c r="A966" s="98" t="n">
        <v>48108</v>
      </c>
      <c r="B966" s="98" t="inlineStr">
        <is>
          <t>HENNESSY V S COGNAC</t>
        </is>
      </c>
      <c r="C966" s="97">
        <f>VLOOKUP(A966,SizeData!A$2:B$3839,2,FALSE)</f>
        <v/>
      </c>
      <c r="D966" s="98" t="n">
        <v>1</v>
      </c>
      <c r="E966" s="98" t="inlineStr">
        <is>
          <t>R1994703</t>
        </is>
      </c>
      <c r="F966" s="99" t="n">
        <v>44984</v>
      </c>
      <c r="G966" s="100" t="n"/>
    </row>
    <row r="967" ht="16" customHeight="1">
      <c r="A967" s="98" t="n">
        <v>48107</v>
      </c>
      <c r="B967" s="98" t="inlineStr">
        <is>
          <t>HENNESSY V S COGNAC</t>
        </is>
      </c>
      <c r="C967" s="97">
        <f>VLOOKUP(A967,SizeData!A$2:B$3839,2,FALSE)</f>
        <v/>
      </c>
      <c r="D967" s="98" t="n">
        <v>1</v>
      </c>
      <c r="E967" s="98" t="inlineStr">
        <is>
          <t>R1994703</t>
        </is>
      </c>
      <c r="F967" s="99" t="n">
        <v>44984</v>
      </c>
      <c r="G967" s="100" t="n"/>
    </row>
    <row r="968" ht="16" customHeight="1">
      <c r="A968" s="98" t="n">
        <v>48099</v>
      </c>
      <c r="B968" s="98" t="inlineStr">
        <is>
          <t>HENNESSY V S COGNAC</t>
        </is>
      </c>
      <c r="C968" s="97">
        <f>VLOOKUP(A968,SizeData!A$2:B$3839,2,FALSE)</f>
        <v/>
      </c>
      <c r="D968" s="98" t="n">
        <v>2</v>
      </c>
      <c r="E968" s="98" t="inlineStr">
        <is>
          <t>R1994703</t>
        </is>
      </c>
      <c r="F968" s="99" t="n">
        <v>44984</v>
      </c>
      <c r="G968" s="100" t="n"/>
    </row>
    <row r="969" ht="16" customHeight="1">
      <c r="A969" s="112" t="n">
        <v>48105</v>
      </c>
      <c r="B969" s="112" t="inlineStr">
        <is>
          <t>HENNESSY V S COGNAC</t>
        </is>
      </c>
      <c r="C969" s="113">
        <f>VLOOKUP(A969,SizeData!A$2:B$3839,2,FALSE)</f>
        <v/>
      </c>
      <c r="D969" s="112" t="n">
        <v>8</v>
      </c>
      <c r="E969" s="112" t="inlineStr">
        <is>
          <t>R1979058</t>
        </is>
      </c>
      <c r="F969" s="114" t="n">
        <v>44985</v>
      </c>
      <c r="G969" s="115" t="n"/>
    </row>
    <row r="970" ht="16" customHeight="1">
      <c r="A970" s="98" t="n">
        <v>48108</v>
      </c>
      <c r="B970" s="98" t="inlineStr">
        <is>
          <t>HENNESSY V S COGNAC</t>
        </is>
      </c>
      <c r="C970" s="97">
        <f>VLOOKUP(A970,SizeData!A$2:B$3839,2,FALSE)</f>
        <v/>
      </c>
      <c r="D970" s="98" t="n">
        <v>2</v>
      </c>
      <c r="E970" s="98" t="inlineStr">
        <is>
          <t>R1998154</t>
        </is>
      </c>
      <c r="F970" s="99" t="n">
        <v>44985</v>
      </c>
      <c r="G970" s="100" t="n"/>
    </row>
    <row r="971" ht="16" customHeight="1">
      <c r="A971" s="98" t="n">
        <v>48107</v>
      </c>
      <c r="B971" s="98" t="inlineStr">
        <is>
          <t>HENNESSY V S COGNAC</t>
        </is>
      </c>
      <c r="C971" s="97">
        <f>VLOOKUP(A971,SizeData!A$2:B$3839,2,FALSE)</f>
        <v/>
      </c>
      <c r="D971" s="98" t="n">
        <v>2</v>
      </c>
      <c r="E971" s="98" t="inlineStr">
        <is>
          <t>R1992599</t>
        </is>
      </c>
      <c r="F971" s="99" t="n">
        <v>44989</v>
      </c>
      <c r="G971" s="100" t="n"/>
    </row>
    <row r="972" ht="16" customHeight="1">
      <c r="A972" s="98" t="n">
        <v>48106</v>
      </c>
      <c r="B972" s="98" t="inlineStr">
        <is>
          <t>HENNESSY V S COGNAC</t>
        </is>
      </c>
      <c r="C972" s="97">
        <f>VLOOKUP(A972,SizeData!A$2:B$3839,2,FALSE)</f>
        <v/>
      </c>
      <c r="D972" s="98" t="n">
        <v>5</v>
      </c>
      <c r="E972" s="98" t="inlineStr">
        <is>
          <t>R1992600</t>
        </is>
      </c>
      <c r="F972" s="99" t="n">
        <v>44989</v>
      </c>
      <c r="G972" s="100" t="n"/>
    </row>
    <row r="973" ht="16" customHeight="1">
      <c r="A973" s="98" t="n">
        <v>48102</v>
      </c>
      <c r="B973" s="98" t="inlineStr">
        <is>
          <t>HENNESSY V S COGNAC</t>
        </is>
      </c>
      <c r="C973" s="97">
        <f>VLOOKUP(A973,SizeData!A$2:B$3839,2,FALSE)</f>
        <v/>
      </c>
      <c r="D973" s="98" t="n">
        <v>1</v>
      </c>
      <c r="E973" s="98" t="inlineStr">
        <is>
          <t>R2003600</t>
        </is>
      </c>
      <c r="F973" s="99" t="n">
        <v>44994</v>
      </c>
      <c r="G973" s="100" t="n"/>
    </row>
    <row r="974" ht="16" customHeight="1">
      <c r="A974" s="98" t="n">
        <v>751419</v>
      </c>
      <c r="B974" s="98" t="inlineStr">
        <is>
          <t>KORBEL BRUT CHAMPAGNE</t>
        </is>
      </c>
      <c r="C974" s="97">
        <f>VLOOKUP(A974,SizeData!A$2:B$3839,2,FALSE)</f>
        <v/>
      </c>
      <c r="D974" s="98" t="n">
        <v>5</v>
      </c>
      <c r="E974" s="98" t="inlineStr">
        <is>
          <t>R1902639</t>
        </is>
      </c>
      <c r="F974" s="99" t="n">
        <v>44911</v>
      </c>
      <c r="G974" s="100" t="n"/>
    </row>
    <row r="975" ht="16" customHeight="1">
      <c r="A975" s="98" t="n">
        <v>48106</v>
      </c>
      <c r="B975" s="98" t="inlineStr">
        <is>
          <t>HENNESSY V S COGNAC</t>
        </is>
      </c>
      <c r="C975" s="97">
        <f>VLOOKUP(A975,SizeData!A$2:B$3839,2,FALSE)</f>
        <v/>
      </c>
      <c r="D975" s="98" t="n">
        <v>5</v>
      </c>
      <c r="E975" s="98" t="inlineStr">
        <is>
          <t>R2003600</t>
        </is>
      </c>
      <c r="F975" s="99" t="n">
        <v>44994</v>
      </c>
      <c r="G975" s="100" t="n"/>
    </row>
    <row r="976" ht="16" customHeight="1">
      <c r="A976" s="98" t="n">
        <v>48102</v>
      </c>
      <c r="B976" s="98" t="inlineStr">
        <is>
          <t>HENNESSY V S COGNAC</t>
        </is>
      </c>
      <c r="C976" s="97">
        <f>VLOOKUP(A976,SizeData!A$2:B$3839,2,FALSE)</f>
        <v/>
      </c>
      <c r="D976" s="98" t="n">
        <v>1</v>
      </c>
      <c r="E976" s="98" t="inlineStr">
        <is>
          <t>R2007390</t>
        </is>
      </c>
      <c r="F976" s="99" t="n">
        <v>44996</v>
      </c>
      <c r="G976" s="100" t="n"/>
    </row>
    <row r="977" ht="16" customHeight="1">
      <c r="A977" s="98" t="n">
        <v>48107</v>
      </c>
      <c r="B977" s="98" t="inlineStr">
        <is>
          <t>HENNESSY V S COGNAC</t>
        </is>
      </c>
      <c r="C977" s="97">
        <f>VLOOKUP(A977,SizeData!A$2:B$3839,2,FALSE)</f>
        <v/>
      </c>
      <c r="D977" s="98" t="n">
        <v>2</v>
      </c>
      <c r="E977" s="98" t="inlineStr">
        <is>
          <t>R2007390</t>
        </is>
      </c>
      <c r="F977" s="99" t="n">
        <v>44996</v>
      </c>
      <c r="G977" s="100" t="n"/>
    </row>
    <row r="978" ht="16" customHeight="1">
      <c r="A978" s="98" t="n">
        <v>48106</v>
      </c>
      <c r="B978" s="98" t="inlineStr">
        <is>
          <t>HENNESSY V S COGNAC</t>
        </is>
      </c>
      <c r="C978" s="97">
        <f>VLOOKUP(A978,SizeData!A$2:B$3839,2,FALSE)</f>
        <v/>
      </c>
      <c r="D978" s="98" t="n">
        <v>10</v>
      </c>
      <c r="E978" s="98" t="inlineStr">
        <is>
          <t>R2008928</t>
        </is>
      </c>
      <c r="F978" s="99" t="n">
        <v>44995</v>
      </c>
      <c r="G978" s="100" t="n"/>
    </row>
    <row r="979" ht="16" customHeight="1">
      <c r="A979" s="98" t="n">
        <v>48099</v>
      </c>
      <c r="B979" s="98" t="inlineStr">
        <is>
          <t>HENNESSY V S COGNAC</t>
        </is>
      </c>
      <c r="C979" s="97">
        <f>VLOOKUP(A979,SizeData!A$2:B$3839,2,FALSE)</f>
        <v/>
      </c>
      <c r="D979" s="98" t="n">
        <v>2</v>
      </c>
      <c r="E979" s="98" t="inlineStr">
        <is>
          <t>R2017941</t>
        </is>
      </c>
      <c r="F979" s="99" t="n">
        <v>44996</v>
      </c>
      <c r="G979" s="100" t="n"/>
    </row>
    <row r="980" ht="16" customHeight="1">
      <c r="A980" s="112" t="n">
        <v>48105</v>
      </c>
      <c r="B980" s="112" t="inlineStr">
        <is>
          <t>HENNESSY V S COGNAC</t>
        </is>
      </c>
      <c r="C980" s="113">
        <f>VLOOKUP(A980,SizeData!A$2:B$3839,2,FALSE)</f>
        <v/>
      </c>
      <c r="D980" s="112" t="n">
        <v>8</v>
      </c>
      <c r="E980" s="112" t="inlineStr">
        <is>
          <t>R2018869</t>
        </is>
      </c>
      <c r="F980" s="114" t="n">
        <v>45001</v>
      </c>
      <c r="G980" s="115" t="n"/>
    </row>
    <row r="981" ht="16" customHeight="1">
      <c r="A981" s="98" t="n">
        <v>48099</v>
      </c>
      <c r="B981" s="98" t="inlineStr">
        <is>
          <t>HENNESSY V S COGNAC</t>
        </is>
      </c>
      <c r="C981" s="97">
        <f>VLOOKUP(A981,SizeData!A$2:B$3839,2,FALSE)</f>
        <v/>
      </c>
      <c r="D981" s="98" t="n">
        <v>2</v>
      </c>
      <c r="E981" s="98" t="inlineStr">
        <is>
          <t>R2020651</t>
        </is>
      </c>
      <c r="F981" s="99" t="n">
        <v>45000</v>
      </c>
      <c r="G981" s="100" t="n"/>
    </row>
    <row r="982" ht="16" customHeight="1">
      <c r="A982" s="98" t="n">
        <v>48102</v>
      </c>
      <c r="B982" s="98" t="inlineStr">
        <is>
          <t>HENNESSY V S COGNAC</t>
        </is>
      </c>
      <c r="C982" s="97">
        <f>VLOOKUP(A982,SizeData!A$2:B$3839,2,FALSE)</f>
        <v/>
      </c>
      <c r="D982" s="98" t="n">
        <v>2</v>
      </c>
      <c r="E982" s="98" t="inlineStr">
        <is>
          <t>R2020651</t>
        </is>
      </c>
      <c r="F982" s="99" t="n">
        <v>45000</v>
      </c>
      <c r="G982" s="100" t="n"/>
    </row>
    <row r="983" ht="16" customHeight="1">
      <c r="A983" s="98" t="n">
        <v>48105</v>
      </c>
      <c r="B983" s="98" t="inlineStr">
        <is>
          <t>HENNESSY V S COGNAC</t>
        </is>
      </c>
      <c r="C983" s="97">
        <f>VLOOKUP(A983,SizeData!A$2:B$3839,2,FALSE)</f>
        <v/>
      </c>
      <c r="D983" s="98" t="n">
        <v>7</v>
      </c>
      <c r="E983" s="98" t="inlineStr">
        <is>
          <t>R2040211</t>
        </is>
      </c>
      <c r="F983" s="99" t="n">
        <v>45001</v>
      </c>
      <c r="G983" s="100" t="n"/>
    </row>
    <row r="984" ht="16" customHeight="1">
      <c r="A984" s="98" t="n">
        <v>515856</v>
      </c>
      <c r="B984" s="98" t="inlineStr">
        <is>
          <t>LINE 39 CABERNET SAUVIGNON LAKE COUNTY</t>
        </is>
      </c>
      <c r="C984" s="97">
        <f>VLOOKUP(A984,SizeData!A$2:B$3839,2,FALSE)</f>
        <v/>
      </c>
      <c r="D984" s="98" t="n">
        <v>1</v>
      </c>
      <c r="E984" s="98" t="inlineStr">
        <is>
          <t>R1921439</t>
        </is>
      </c>
      <c r="F984" s="99" t="n">
        <v>44921</v>
      </c>
      <c r="G984" s="100" t="n"/>
    </row>
    <row r="985" ht="16" customHeight="1">
      <c r="A985" s="98" t="n">
        <v>48106</v>
      </c>
      <c r="B985" s="98" t="inlineStr">
        <is>
          <t>HENNESSY V S COGNAC</t>
        </is>
      </c>
      <c r="C985" s="97">
        <f>VLOOKUP(A985,SizeData!A$2:B$3839,2,FALSE)</f>
        <v/>
      </c>
      <c r="D985" s="98" t="n">
        <v>100</v>
      </c>
      <c r="E985" s="98" t="inlineStr">
        <is>
          <t>R2041287</t>
        </is>
      </c>
      <c r="F985" s="99" t="n">
        <v>45017</v>
      </c>
      <c r="G985" s="100" t="n"/>
    </row>
    <row r="986" ht="16" customHeight="1">
      <c r="A986" s="98" t="n">
        <v>48107</v>
      </c>
      <c r="B986" s="98" t="inlineStr">
        <is>
          <t>HENNESSY V S COGNAC</t>
        </is>
      </c>
      <c r="C986" s="97">
        <f>VLOOKUP(A986,SizeData!A$2:B$3839,2,FALSE)</f>
        <v/>
      </c>
      <c r="D986" s="98" t="n">
        <v>2</v>
      </c>
      <c r="E986" s="98" t="inlineStr">
        <is>
          <t>R2032734</t>
        </is>
      </c>
      <c r="F986" s="99" t="n">
        <v>45007</v>
      </c>
      <c r="G986" s="100" t="n"/>
    </row>
    <row r="987" ht="16" customHeight="1">
      <c r="A987" s="98" t="n">
        <v>48105</v>
      </c>
      <c r="B987" s="98" t="inlineStr">
        <is>
          <t>HENNESSY V S COGNAC</t>
        </is>
      </c>
      <c r="C987" s="97">
        <f>VLOOKUP(A987,SizeData!A$2:B$3839,2,FALSE)</f>
        <v/>
      </c>
      <c r="D987" s="98" t="n">
        <v>10</v>
      </c>
      <c r="E987" s="98" t="inlineStr">
        <is>
          <t>R2050696</t>
        </is>
      </c>
      <c r="F987" s="99" t="n">
        <v>45020</v>
      </c>
      <c r="G987" s="100" t="n"/>
    </row>
    <row r="988" ht="16" customHeight="1">
      <c r="A988" s="98" t="n">
        <v>48099</v>
      </c>
      <c r="B988" s="98" t="inlineStr">
        <is>
          <t>HENNESSY V S COGNAC</t>
        </is>
      </c>
      <c r="C988" s="97">
        <f>VLOOKUP(A988,SizeData!A$2:B$3839,2,FALSE)</f>
        <v/>
      </c>
      <c r="D988" s="98" t="n">
        <v>1</v>
      </c>
      <c r="E988" s="98" t="inlineStr">
        <is>
          <t>R2038207</t>
        </is>
      </c>
      <c r="F988" s="99" t="n">
        <v>45010</v>
      </c>
      <c r="G988" s="100" t="n"/>
    </row>
    <row r="989" ht="16" customHeight="1">
      <c r="A989" s="98" t="n">
        <v>48107</v>
      </c>
      <c r="B989" s="98" t="inlineStr">
        <is>
          <t>HENNESSY V S COGNAC</t>
        </is>
      </c>
      <c r="C989" s="97">
        <f>VLOOKUP(A989,SizeData!A$2:B$3839,2,FALSE)</f>
        <v/>
      </c>
      <c r="D989" s="98" t="n">
        <v>2</v>
      </c>
      <c r="E989" s="98" t="inlineStr">
        <is>
          <t>R2038207</t>
        </is>
      </c>
      <c r="F989" s="99" t="n">
        <v>45010</v>
      </c>
      <c r="G989" s="100" t="n"/>
    </row>
    <row r="990" ht="16" customHeight="1">
      <c r="A990" s="98" t="n">
        <v>48108</v>
      </c>
      <c r="B990" s="98" t="inlineStr">
        <is>
          <t>HENNESSY V S COGNAC</t>
        </is>
      </c>
      <c r="C990" s="97">
        <f>VLOOKUP(A990,SizeData!A$2:B$3839,2,FALSE)</f>
        <v/>
      </c>
      <c r="D990" s="98" t="n">
        <v>2</v>
      </c>
      <c r="E990" s="98" t="inlineStr">
        <is>
          <t>R2038207</t>
        </is>
      </c>
      <c r="F990" s="99" t="n">
        <v>45010</v>
      </c>
      <c r="G990" s="100" t="n"/>
    </row>
    <row r="991" ht="16" customHeight="1">
      <c r="A991" s="101" t="n">
        <v>48099</v>
      </c>
      <c r="B991" s="101" t="inlineStr">
        <is>
          <t>HENNESSY V S COGNAC</t>
        </is>
      </c>
      <c r="C991" s="102">
        <f>VLOOKUP(A991,SizeData!A$2:B$3839,2,FALSE)</f>
        <v/>
      </c>
      <c r="D991" s="101" t="n">
        <v>1</v>
      </c>
      <c r="E991" s="101" t="inlineStr">
        <is>
          <t>R2038207</t>
        </is>
      </c>
      <c r="F991" s="103" t="n">
        <v>45010</v>
      </c>
      <c r="G991" s="104" t="n"/>
    </row>
    <row r="992" ht="16" customHeight="1">
      <c r="A992" s="98" t="n">
        <v>48107</v>
      </c>
      <c r="B992" s="98" t="inlineStr">
        <is>
          <t>HENNESSY V S COGNAC</t>
        </is>
      </c>
      <c r="C992" s="97">
        <f>VLOOKUP(A992,SizeData!A$2:B$3839,2,FALSE)</f>
        <v/>
      </c>
      <c r="D992" s="98" t="n">
        <v>2</v>
      </c>
      <c r="E992" s="98" t="inlineStr">
        <is>
          <t>R2044661</t>
        </is>
      </c>
      <c r="F992" s="99" t="n">
        <v>45020</v>
      </c>
      <c r="G992" s="100" t="n"/>
    </row>
    <row r="993" ht="16" customHeight="1">
      <c r="A993" s="98" t="n">
        <v>48099</v>
      </c>
      <c r="B993" s="98" t="inlineStr">
        <is>
          <t>HENNESSY V S COGNAC</t>
        </is>
      </c>
      <c r="C993" s="97">
        <f>VLOOKUP(A993,SizeData!A$2:B$3839,2,FALSE)</f>
        <v/>
      </c>
      <c r="D993" s="98" t="n">
        <v>3</v>
      </c>
      <c r="E993" s="98" t="inlineStr">
        <is>
          <t>R2062305</t>
        </is>
      </c>
      <c r="F993" s="99" t="n">
        <v>45024</v>
      </c>
      <c r="G993" s="100" t="n"/>
    </row>
    <row r="994" ht="16" customHeight="1">
      <c r="A994" s="98" t="n">
        <v>48107</v>
      </c>
      <c r="B994" s="98" t="inlineStr">
        <is>
          <t>HENNESSY V S COGNAC</t>
        </is>
      </c>
      <c r="C994" s="97">
        <f>VLOOKUP(A994,SizeData!A$2:B$3839,2,FALSE)</f>
        <v/>
      </c>
      <c r="D994" s="98" t="n">
        <v>1</v>
      </c>
      <c r="E994" s="98" t="inlineStr">
        <is>
          <t>R2062305</t>
        </is>
      </c>
      <c r="F994" s="99" t="n">
        <v>45024</v>
      </c>
      <c r="G994" s="100" t="n"/>
    </row>
    <row r="995" ht="16" customHeight="1">
      <c r="A995" s="98" t="n">
        <v>48105</v>
      </c>
      <c r="B995" s="98" t="inlineStr">
        <is>
          <t>HENNESSY V S COGNAC</t>
        </is>
      </c>
      <c r="C995" s="97">
        <f>VLOOKUP(A995,SizeData!A$2:B$3839,2,FALSE)</f>
        <v/>
      </c>
      <c r="D995" s="98" t="n">
        <v>25</v>
      </c>
      <c r="E995" s="98" t="inlineStr">
        <is>
          <t>R2079015</t>
        </is>
      </c>
      <c r="F995" s="99" t="n">
        <v>45047</v>
      </c>
      <c r="G995" s="100" t="n"/>
    </row>
    <row r="996" ht="16" customHeight="1">
      <c r="A996" s="98" t="n">
        <v>48102</v>
      </c>
      <c r="B996" s="98" t="inlineStr">
        <is>
          <t>HENNESSY V S COGNAC</t>
        </is>
      </c>
      <c r="C996" s="97">
        <f>VLOOKUP(A996,SizeData!A$2:B$3839,2,FALSE)</f>
        <v/>
      </c>
      <c r="D996" s="98" t="n">
        <v>1</v>
      </c>
      <c r="E996" s="98" t="inlineStr">
        <is>
          <t>R2053884</t>
        </is>
      </c>
      <c r="F996" s="99" t="n">
        <v>45031</v>
      </c>
      <c r="G996" s="100" t="n"/>
    </row>
    <row r="997" ht="16" customHeight="1">
      <c r="A997" s="98" t="n">
        <v>48107</v>
      </c>
      <c r="B997" s="98" t="inlineStr">
        <is>
          <t>HENNESSY V S COGNAC</t>
        </is>
      </c>
      <c r="C997" s="97">
        <f>VLOOKUP(A997,SizeData!A$2:B$3839,2,FALSE)</f>
        <v/>
      </c>
      <c r="D997" s="98" t="n">
        <v>1</v>
      </c>
      <c r="E997" s="98" t="inlineStr">
        <is>
          <t>R2065393</t>
        </is>
      </c>
      <c r="F997" s="99" t="n">
        <v>45031</v>
      </c>
      <c r="G997" s="100" t="n"/>
    </row>
    <row r="998" ht="16" customHeight="1">
      <c r="A998" s="98" t="n">
        <v>48099</v>
      </c>
      <c r="B998" s="98" t="inlineStr">
        <is>
          <t>HENNESSY V S COGNAC</t>
        </is>
      </c>
      <c r="C998" s="97">
        <f>VLOOKUP(A998,SizeData!A$2:B$3839,2,FALSE)</f>
        <v/>
      </c>
      <c r="D998" s="98" t="n">
        <v>3</v>
      </c>
      <c r="E998" s="98" t="inlineStr">
        <is>
          <t>R2053991</t>
        </is>
      </c>
      <c r="F998" s="99" t="n">
        <v>45036</v>
      </c>
      <c r="G998" s="100" t="n"/>
    </row>
    <row r="999" ht="16" customHeight="1">
      <c r="A999" s="98" t="n">
        <v>48105</v>
      </c>
      <c r="B999" s="98" t="inlineStr">
        <is>
          <t>HENNESSY V S COGNAC</t>
        </is>
      </c>
      <c r="C999" s="97">
        <f>VLOOKUP(A999,SizeData!A$2:B$3839,2,FALSE)</f>
        <v/>
      </c>
      <c r="D999" s="98" t="n">
        <v>25</v>
      </c>
      <c r="E999" s="98" t="inlineStr">
        <is>
          <t>R2079015</t>
        </is>
      </c>
      <c r="F999" s="99" t="n">
        <v>45047</v>
      </c>
      <c r="G999" s="100" t="n"/>
    </row>
    <row r="1000" ht="16" customHeight="1">
      <c r="A1000" s="98" t="n">
        <v>48107</v>
      </c>
      <c r="B1000" s="98" t="inlineStr">
        <is>
          <t>HENNESSY V S COGNAC</t>
        </is>
      </c>
      <c r="C1000" s="97">
        <f>VLOOKUP(A1000,SizeData!A$2:B$3839,2,FALSE)</f>
        <v/>
      </c>
      <c r="D1000" s="98" t="n">
        <v>1</v>
      </c>
      <c r="E1000" s="98" t="inlineStr">
        <is>
          <t>R2073309</t>
        </is>
      </c>
      <c r="F1000" s="99" t="n">
        <v>45038</v>
      </c>
      <c r="G1000" s="100" t="n"/>
    </row>
    <row r="1001" ht="16" customHeight="1">
      <c r="A1001" s="98" t="n">
        <v>88015</v>
      </c>
      <c r="B1001" s="98" t="inlineStr">
        <is>
          <t>LUNAZUL BLANCO TEQUILA</t>
        </is>
      </c>
      <c r="C1001" s="97">
        <f>VLOOKUP(A1001,SizeData!A$2:B$3839,2,FALSE)</f>
        <v/>
      </c>
      <c r="D1001" s="98" t="n">
        <v>1</v>
      </c>
      <c r="E1001" s="98" t="inlineStr">
        <is>
          <t>R1921439</t>
        </is>
      </c>
      <c r="F1001" s="99" t="n">
        <v>44921</v>
      </c>
      <c r="G1001" s="100" t="n"/>
    </row>
    <row r="1002" ht="16" customHeight="1">
      <c r="A1002" s="98" t="n">
        <v>48105</v>
      </c>
      <c r="B1002" s="98" t="inlineStr">
        <is>
          <t>HENNESSY V S COGNAC</t>
        </is>
      </c>
      <c r="C1002" s="97">
        <f>VLOOKUP(A1002,SizeData!A$2:B$3839,2,FALSE)</f>
        <v/>
      </c>
      <c r="D1002" s="98" t="n">
        <v>40</v>
      </c>
      <c r="E1002" s="98" t="inlineStr">
        <is>
          <t>R2074998</t>
        </is>
      </c>
      <c r="F1002" s="99" t="n">
        <v>45054</v>
      </c>
      <c r="G1002" s="100" t="n"/>
    </row>
    <row r="1003" ht="16" customHeight="1">
      <c r="A1003" s="101" t="n">
        <v>48102</v>
      </c>
      <c r="B1003" s="101" t="inlineStr">
        <is>
          <t>HENNESSY V S COGNAC</t>
        </is>
      </c>
      <c r="C1003" s="102">
        <f>VLOOKUP(A1003,SizeData!A$2:B$3839,2,FALSE)</f>
        <v/>
      </c>
      <c r="D1003" s="101" t="n">
        <v>1</v>
      </c>
      <c r="E1003" s="101" t="inlineStr">
        <is>
          <t>R2073309</t>
        </is>
      </c>
      <c r="F1003" s="103" t="n">
        <v>45038</v>
      </c>
      <c r="G1003" s="104" t="n"/>
    </row>
    <row r="1004" ht="16" customHeight="1">
      <c r="A1004" s="98" t="n">
        <v>48099</v>
      </c>
      <c r="B1004" s="98" t="inlineStr">
        <is>
          <t>HENNESSY V S COGNAC</t>
        </is>
      </c>
      <c r="C1004" s="97">
        <f>VLOOKUP(A1004,SizeData!A$2:B$3839,2,FALSE)</f>
        <v/>
      </c>
      <c r="D1004" s="98" t="n">
        <v>2</v>
      </c>
      <c r="E1004" s="98" t="inlineStr">
        <is>
          <t>R2074828</t>
        </is>
      </c>
      <c r="F1004" s="99" t="n">
        <v>45045</v>
      </c>
      <c r="G1004" s="100" t="n"/>
    </row>
    <row r="1005" ht="16" customHeight="1">
      <c r="A1005" s="98" t="n">
        <v>48107</v>
      </c>
      <c r="B1005" s="98" t="inlineStr">
        <is>
          <t>HENNESSY V S COGNAC</t>
        </is>
      </c>
      <c r="C1005" s="97">
        <f>VLOOKUP(A1005,SizeData!A$2:B$3839,2,FALSE)</f>
        <v/>
      </c>
      <c r="D1005" s="98" t="n">
        <v>2</v>
      </c>
      <c r="E1005" s="98" t="inlineStr">
        <is>
          <t>R2074828</t>
        </is>
      </c>
      <c r="F1005" s="99" t="n">
        <v>45045</v>
      </c>
      <c r="G1005" s="100" t="n"/>
    </row>
    <row r="1006" ht="16" customHeight="1">
      <c r="A1006" s="98" t="n">
        <v>89470</v>
      </c>
      <c r="B1006" s="98" t="inlineStr">
        <is>
          <t>LUNAZUL REPOSADO TEQUILA</t>
        </is>
      </c>
      <c r="C1006" s="97">
        <f>VLOOKUP(A1006,SizeData!A$2:B$3839,2,FALSE)</f>
        <v/>
      </c>
      <c r="D1006" s="98" t="n">
        <v>1</v>
      </c>
      <c r="E1006" s="98" t="inlineStr">
        <is>
          <t>R1921439</t>
        </is>
      </c>
      <c r="F1006" s="99" t="n">
        <v>44921</v>
      </c>
      <c r="G1006" s="100" t="n"/>
    </row>
    <row r="1007" ht="16" customHeight="1">
      <c r="A1007" s="98" t="n">
        <v>48105</v>
      </c>
      <c r="B1007" s="98" t="inlineStr">
        <is>
          <t>HENNESSY V S COGNAC</t>
        </is>
      </c>
      <c r="C1007" s="97">
        <f>VLOOKUP(A1007,SizeData!A$2:B$3839,2,FALSE)</f>
        <v/>
      </c>
      <c r="D1007" s="98" t="n">
        <v>100</v>
      </c>
      <c r="E1007" s="98" t="inlineStr">
        <is>
          <t>R2101701</t>
        </is>
      </c>
      <c r="F1007" s="99" t="n">
        <v>45056</v>
      </c>
      <c r="G1007" s="100" t="n"/>
    </row>
    <row r="1008" ht="16" customHeight="1">
      <c r="A1008" s="98" t="n">
        <v>48105</v>
      </c>
      <c r="B1008" s="98" t="inlineStr">
        <is>
          <t>HENNESSY V S COGNAC</t>
        </is>
      </c>
      <c r="C1008" s="97">
        <f>VLOOKUP(A1008,SizeData!A$2:B$3839,2,FALSE)</f>
        <v/>
      </c>
      <c r="D1008" s="98" t="n">
        <v>40</v>
      </c>
      <c r="E1008" s="98" t="inlineStr">
        <is>
          <t>R2100821</t>
        </is>
      </c>
      <c r="F1008" s="99" t="n">
        <v>45056</v>
      </c>
      <c r="G1008" s="100" t="n"/>
    </row>
    <row r="1009" ht="16" customHeight="1">
      <c r="A1009" s="101" t="n">
        <v>48102</v>
      </c>
      <c r="B1009" s="101" t="inlineStr">
        <is>
          <t>HENNESSY V S COGNAC</t>
        </is>
      </c>
      <c r="C1009" s="102">
        <f>VLOOKUP(A1009,SizeData!A$2:B$3839,2,FALSE)</f>
        <v/>
      </c>
      <c r="D1009" s="101" t="n">
        <v>1</v>
      </c>
      <c r="E1009" s="101" t="inlineStr">
        <is>
          <t>R2074828</t>
        </is>
      </c>
      <c r="F1009" s="103" t="n">
        <v>45045</v>
      </c>
      <c r="G1009" s="104" t="n"/>
    </row>
    <row r="1010" ht="16" customHeight="1">
      <c r="A1010" s="101" t="n">
        <v>48151</v>
      </c>
      <c r="B1010" s="101" t="inlineStr">
        <is>
          <t>HENNESSY VSOP PRIVILEGE COGNAC</t>
        </is>
      </c>
      <c r="C1010" s="102">
        <f>VLOOKUP(A1010,SizeData!A$2:B$3839,2,FALSE)</f>
        <v/>
      </c>
      <c r="D1010" s="101" t="n">
        <v>2</v>
      </c>
      <c r="E1010" s="101" t="inlineStr">
        <is>
          <t>R2055049</t>
        </is>
      </c>
      <c r="F1010" s="103" t="n">
        <v>45017</v>
      </c>
      <c r="G1010" s="104" t="n"/>
    </row>
    <row r="1011" ht="16" customHeight="1">
      <c r="A1011" s="98" t="n">
        <v>48151</v>
      </c>
      <c r="B1011" s="98" t="inlineStr">
        <is>
          <t>HENNESSY VSOP PRIVILEGE COGNAC</t>
        </is>
      </c>
      <c r="C1011" s="97">
        <f>VLOOKUP(A1011,SizeData!A$2:B$3839,2,FALSE)</f>
        <v/>
      </c>
      <c r="D1011" s="98" t="n">
        <v>5</v>
      </c>
      <c r="E1011" s="98" t="inlineStr">
        <is>
          <t>R2053991</t>
        </is>
      </c>
      <c r="F1011" s="99" t="n">
        <v>45036</v>
      </c>
      <c r="G1011" s="100" t="n"/>
    </row>
    <row r="1012" ht="16" customHeight="1">
      <c r="A1012" s="98" t="n">
        <v>48164</v>
      </c>
      <c r="B1012" s="98" t="inlineStr">
        <is>
          <t>HENNESSY VSOP PRIVILEGE COGNAC</t>
        </is>
      </c>
      <c r="C1012" s="97">
        <f>VLOOKUP(A1012,SizeData!A$2:B$3839,2,FALSE)</f>
        <v/>
      </c>
      <c r="D1012" s="98" t="n">
        <v>2</v>
      </c>
      <c r="E1012" s="98" t="inlineStr">
        <is>
          <t>R2082317</t>
        </is>
      </c>
      <c r="F1012" s="99" t="n">
        <v>45047</v>
      </c>
      <c r="G1012" s="100" t="n"/>
    </row>
    <row r="1013" ht="16" customHeight="1">
      <c r="A1013" s="98" t="n">
        <v>48164</v>
      </c>
      <c r="B1013" s="98" t="inlineStr">
        <is>
          <t>HENNESSY VSOP PRIVILEGE COGNAC</t>
        </is>
      </c>
      <c r="C1013" s="97">
        <f>VLOOKUP(A1013,SizeData!A$2:B$3839,2,FALSE)</f>
        <v/>
      </c>
      <c r="D1013" s="98" t="n">
        <v>3</v>
      </c>
      <c r="E1013" s="98" t="inlineStr">
        <is>
          <t>R2086903</t>
        </is>
      </c>
      <c r="F1013" s="99" t="n">
        <v>45047</v>
      </c>
      <c r="G1013" s="100" t="n"/>
    </row>
    <row r="1014" ht="16" customHeight="1">
      <c r="A1014" s="98" t="n">
        <v>89329</v>
      </c>
      <c r="B1014" s="98" t="inlineStr">
        <is>
          <t>HERRADURA ANEJO TEQUILA</t>
        </is>
      </c>
      <c r="C1014" s="97">
        <f>VLOOKUP(A1014,SizeData!A$2:B$3839,2,FALSE)</f>
        <v/>
      </c>
      <c r="D1014" s="98" t="n">
        <v>1</v>
      </c>
      <c r="E1014" s="98" t="inlineStr">
        <is>
          <t>R2017905</t>
        </is>
      </c>
      <c r="F1014" s="99" t="n">
        <v>44993</v>
      </c>
      <c r="G1014" s="100" t="n"/>
      <c r="H1014" s="27" t="n"/>
      <c r="I1014" s="28" t="n"/>
    </row>
    <row r="1015" ht="16" customHeight="1">
      <c r="A1015" s="98" t="n">
        <v>89339</v>
      </c>
      <c r="B1015" s="98" t="inlineStr">
        <is>
          <t>HERRADURA REPOSADO TEQUILA</t>
        </is>
      </c>
      <c r="C1015" s="97">
        <f>VLOOKUP(A1015,SizeData!A$2:B$3839,2,FALSE)</f>
        <v/>
      </c>
      <c r="D1015" s="98" t="n">
        <v>3</v>
      </c>
      <c r="E1015" s="98" t="inlineStr">
        <is>
          <t>R2022490</t>
        </is>
      </c>
      <c r="F1015" s="99" t="n">
        <v>45014</v>
      </c>
      <c r="G1015" s="100" t="n"/>
    </row>
    <row r="1016" ht="16" customHeight="1">
      <c r="A1016" s="98" t="n">
        <v>87849</v>
      </c>
      <c r="B1016" s="98" t="inlineStr">
        <is>
          <t>HERRADURA SILVER TEQUILA</t>
        </is>
      </c>
      <c r="C1016" s="97">
        <f>VLOOKUP(A1016,SizeData!A$2:B$3839,2,FALSE)</f>
        <v/>
      </c>
      <c r="D1016" s="98" t="n">
        <v>1</v>
      </c>
      <c r="E1016" s="98" t="inlineStr">
        <is>
          <t>R2039044</t>
        </is>
      </c>
      <c r="F1016" s="99" t="n">
        <v>45013</v>
      </c>
      <c r="G1016" s="100" t="n"/>
    </row>
    <row r="1017" ht="16" customHeight="1">
      <c r="A1017" s="98" t="n">
        <v>100104</v>
      </c>
      <c r="B1017" s="98" t="inlineStr">
        <is>
          <t>HERRADURA ULTRA ANEJO GIFT CARTON G6</t>
        </is>
      </c>
      <c r="C1017" s="97">
        <f>VLOOKUP(A1017,SizeData!A$2:B$3839,2,FALSE)</f>
        <v/>
      </c>
      <c r="D1017" s="98" t="n">
        <v>5</v>
      </c>
      <c r="E1017" s="98" t="inlineStr">
        <is>
          <t>R1993752</t>
        </is>
      </c>
      <c r="F1017" s="99" t="n">
        <v>44987</v>
      </c>
      <c r="G1017" s="100" t="n"/>
    </row>
    <row r="1018" ht="16" customHeight="1">
      <c r="A1018" s="101" t="n">
        <v>100104</v>
      </c>
      <c r="B1018" s="101" t="inlineStr">
        <is>
          <t>HERRADURA ULTRA ANEJO GIFT CARTON G6</t>
        </is>
      </c>
      <c r="C1018" s="102">
        <f>VLOOKUP(A1018,SizeData!A$2:B$3839,2,FALSE)</f>
        <v/>
      </c>
      <c r="D1018" s="101" t="n">
        <v>19</v>
      </c>
      <c r="E1018" s="101" t="inlineStr">
        <is>
          <t>R1993752</t>
        </is>
      </c>
      <c r="F1018" s="103" t="n">
        <v>44987</v>
      </c>
      <c r="G1018" s="104" t="n"/>
    </row>
    <row r="1019" ht="16" customHeight="1">
      <c r="A1019" s="98" t="n">
        <v>575250</v>
      </c>
      <c r="B1019" s="98" t="inlineStr">
        <is>
          <t>HOGUE LATE HARVEST WHITE RIESLING</t>
        </is>
      </c>
      <c r="C1019" s="97">
        <f>VLOOKUP(A1019,SizeData!A$2:B$3839,2,FALSE)</f>
        <v/>
      </c>
      <c r="D1019" s="98" t="n">
        <v>2</v>
      </c>
      <c r="E1019" s="98" t="inlineStr">
        <is>
          <t>R2030138</t>
        </is>
      </c>
      <c r="F1019" s="99" t="n">
        <v>44986</v>
      </c>
      <c r="G1019" s="100" t="n"/>
    </row>
    <row r="1020" ht="16" customHeight="1">
      <c r="A1020" s="98" t="n">
        <v>88549</v>
      </c>
      <c r="B1020" s="98" t="inlineStr">
        <is>
          <t>HORNITOS PLATA SILVER TEQUILA</t>
        </is>
      </c>
      <c r="C1020" s="97">
        <f>VLOOKUP(A1020,SizeData!A$2:B$3839,2,FALSE)</f>
        <v/>
      </c>
      <c r="D1020" s="98" t="n">
        <v>5</v>
      </c>
      <c r="E1020" s="98" t="inlineStr">
        <is>
          <t>R1996314</t>
        </is>
      </c>
      <c r="F1020" s="99" t="n">
        <v>44979</v>
      </c>
      <c r="G1020" s="100" t="n"/>
    </row>
    <row r="1021" ht="16" customHeight="1">
      <c r="A1021" s="101" t="n">
        <v>88549</v>
      </c>
      <c r="B1021" s="101" t="inlineStr">
        <is>
          <t>HORNITOS PLATA SILVER TEQUILA</t>
        </is>
      </c>
      <c r="C1021" s="102">
        <f>VLOOKUP(A1021,SizeData!A$2:B$3839,2,FALSE)</f>
        <v/>
      </c>
      <c r="D1021" s="101" t="n">
        <v>6</v>
      </c>
      <c r="E1021" s="101" t="inlineStr">
        <is>
          <t>R1977141</t>
        </is>
      </c>
      <c r="F1021" s="103" t="n">
        <v>44970</v>
      </c>
      <c r="G1021" s="104" t="n"/>
    </row>
    <row r="1022" ht="16" customHeight="1">
      <c r="A1022" s="98" t="n">
        <v>88548</v>
      </c>
      <c r="B1022" s="98" t="inlineStr">
        <is>
          <t>HORNITOS PLATA SILVER TEQUILA</t>
        </is>
      </c>
      <c r="C1022" s="97">
        <f>VLOOKUP(A1022,SizeData!A$2:B$3839,2,FALSE)</f>
        <v/>
      </c>
      <c r="D1022" s="98" t="n">
        <v>1</v>
      </c>
      <c r="E1022" s="98" t="inlineStr">
        <is>
          <t>R2006814</t>
        </is>
      </c>
      <c r="F1022" s="99" t="n">
        <v>44988</v>
      </c>
      <c r="G1022" s="100" t="n"/>
    </row>
    <row r="1023" ht="16" customHeight="1">
      <c r="A1023" s="101" t="n">
        <v>88548</v>
      </c>
      <c r="B1023" s="101" t="inlineStr">
        <is>
          <t>HORNITOS PLATA SILVER TEQUILA</t>
        </is>
      </c>
      <c r="C1023" s="102">
        <f>VLOOKUP(A1023,SizeData!A$2:B$3839,2,FALSE)</f>
        <v/>
      </c>
      <c r="D1023" s="101" t="n">
        <v>1</v>
      </c>
      <c r="E1023" s="101" t="inlineStr">
        <is>
          <t>R2055049</t>
        </is>
      </c>
      <c r="F1023" s="103" t="n">
        <v>45017</v>
      </c>
      <c r="G1023" s="104" t="n"/>
    </row>
    <row r="1024" ht="16" customHeight="1">
      <c r="A1024" s="98" t="n">
        <v>88549</v>
      </c>
      <c r="B1024" s="98" t="inlineStr">
        <is>
          <t>HORNITOS PLATA SILVER TEQUILA</t>
        </is>
      </c>
      <c r="C1024" s="97">
        <f>VLOOKUP(A1024,SizeData!A$2:B$3839,2,FALSE)</f>
        <v/>
      </c>
      <c r="D1024" s="98" t="n">
        <v>1</v>
      </c>
      <c r="E1024" s="98" t="inlineStr">
        <is>
          <t>R2088403</t>
        </is>
      </c>
      <c r="F1024" s="99" t="n">
        <v>45049</v>
      </c>
      <c r="G1024" s="100" t="n"/>
    </row>
    <row r="1025" ht="16" customHeight="1">
      <c r="A1025" s="101" t="n">
        <v>89834</v>
      </c>
      <c r="B1025" s="101" t="inlineStr">
        <is>
          <t>HORNITOS REPOSADO GOLD TEQUILA</t>
        </is>
      </c>
      <c r="C1025" s="102">
        <f>VLOOKUP(A1025,SizeData!A$2:B$3839,2,FALSE)</f>
        <v/>
      </c>
      <c r="D1025" s="101" t="n">
        <v>2</v>
      </c>
      <c r="E1025" s="101" t="inlineStr">
        <is>
          <t>R2028888</t>
        </is>
      </c>
      <c r="F1025" s="103" t="n">
        <v>45015</v>
      </c>
      <c r="G1025" s="104" t="n"/>
    </row>
    <row r="1026" ht="16" customHeight="1">
      <c r="A1026" s="98" t="n">
        <v>89836</v>
      </c>
      <c r="B1026" s="98" t="inlineStr">
        <is>
          <t>HORNITOS REPOSADO GOLD TEQUILA</t>
        </is>
      </c>
      <c r="C1026" s="97">
        <f>VLOOKUP(A1026,SizeData!A$2:B$3839,2,FALSE)</f>
        <v/>
      </c>
      <c r="D1026" s="98" t="n">
        <v>1</v>
      </c>
      <c r="E1026" s="98" t="inlineStr">
        <is>
          <t>R1914089</t>
        </is>
      </c>
      <c r="F1026" s="99" t="n">
        <v>44927</v>
      </c>
      <c r="G1026" s="100" t="n"/>
    </row>
    <row r="1027" ht="16" customHeight="1">
      <c r="A1027" s="98" t="n">
        <v>89836</v>
      </c>
      <c r="B1027" s="98" t="inlineStr">
        <is>
          <t>HORNITOS REPOSADO GOLD TEQUILA</t>
        </is>
      </c>
      <c r="C1027" s="97">
        <f>VLOOKUP(A1027,SizeData!A$2:B$3839,2,FALSE)</f>
        <v/>
      </c>
      <c r="D1027" s="98" t="n">
        <v>1</v>
      </c>
      <c r="E1027" s="98" t="inlineStr">
        <is>
          <t>R1939504</t>
        </is>
      </c>
      <c r="F1027" s="99" t="n">
        <v>44940</v>
      </c>
      <c r="G1027" s="100" t="n"/>
    </row>
    <row r="1028" ht="16" customHeight="1">
      <c r="A1028" s="98" t="n">
        <v>89836</v>
      </c>
      <c r="B1028" s="98" t="inlineStr">
        <is>
          <t>HORNITOS REPOSADO GOLD TEQUILA</t>
        </is>
      </c>
      <c r="C1028" s="97">
        <f>VLOOKUP(A1028,SizeData!A$2:B$3839,2,FALSE)</f>
        <v/>
      </c>
      <c r="D1028" s="98" t="n">
        <v>1</v>
      </c>
      <c r="E1028" s="98" t="inlineStr">
        <is>
          <t>R2055049</t>
        </is>
      </c>
      <c r="F1028" s="99" t="n">
        <v>45017</v>
      </c>
      <c r="G1028" s="100" t="n"/>
    </row>
    <row r="1029" ht="16" customHeight="1">
      <c r="A1029" s="98" t="n">
        <v>89834</v>
      </c>
      <c r="B1029" s="98" t="inlineStr">
        <is>
          <t>HORNITOS REPOSADO GOLD TEQUILA</t>
        </is>
      </c>
      <c r="C1029" s="97">
        <f>VLOOKUP(A1029,SizeData!A$2:B$3839,2,FALSE)</f>
        <v/>
      </c>
      <c r="D1029" s="98" t="n">
        <v>5</v>
      </c>
      <c r="E1029" s="98" t="inlineStr">
        <is>
          <t>R2082317</t>
        </is>
      </c>
      <c r="F1029" s="99" t="n">
        <v>45047</v>
      </c>
      <c r="G1029" s="100" t="n"/>
    </row>
    <row r="1030" ht="16" customHeight="1">
      <c r="A1030" s="98" t="n">
        <v>89834</v>
      </c>
      <c r="B1030" s="98" t="inlineStr">
        <is>
          <t>HORNITOS REPOSADO GOLD TEQUILA</t>
        </is>
      </c>
      <c r="C1030" s="97">
        <f>VLOOKUP(A1030,SizeData!A$2:B$3839,2,FALSE)</f>
        <v/>
      </c>
      <c r="D1030" s="98" t="n">
        <v>10</v>
      </c>
      <c r="E1030" s="98" t="inlineStr">
        <is>
          <t>R2068896</t>
        </is>
      </c>
      <c r="F1030" s="99" t="n">
        <v>45048</v>
      </c>
      <c r="G1030" s="100" t="n"/>
    </row>
    <row r="1031" ht="16" customHeight="1">
      <c r="A1031" s="98" t="n">
        <v>65188</v>
      </c>
      <c r="B1031" s="98" t="inlineStr">
        <is>
          <t>HPNOTIQ VODKA &amp; COGNAC LIQUEUR</t>
        </is>
      </c>
      <c r="C1031" s="97">
        <f>VLOOKUP(A1031,SizeData!A$2:B$3839,2,FALSE)</f>
        <v/>
      </c>
      <c r="D1031" s="98" t="n">
        <v>2</v>
      </c>
      <c r="E1031" s="98" t="inlineStr">
        <is>
          <t>R1926599</t>
        </is>
      </c>
      <c r="F1031" s="99" t="n">
        <v>44933</v>
      </c>
      <c r="G1031" s="100" t="n"/>
      <c r="H1031" s="27" t="n"/>
      <c r="I1031" s="28" t="n"/>
    </row>
    <row r="1032" ht="16" customHeight="1">
      <c r="A1032" s="98" t="n">
        <v>65194</v>
      </c>
      <c r="B1032" s="98" t="inlineStr">
        <is>
          <t>HPNOTIQ VODKA &amp; COGNAC LIQUEUR</t>
        </is>
      </c>
      <c r="C1032" s="97">
        <f>VLOOKUP(A1032,SizeData!A$2:B$3839,2,FALSE)</f>
        <v/>
      </c>
      <c r="D1032" s="98" t="n">
        <v>2</v>
      </c>
      <c r="E1032" s="98" t="inlineStr">
        <is>
          <t>R1962631</t>
        </is>
      </c>
      <c r="F1032" s="99" t="n">
        <v>44959</v>
      </c>
      <c r="G1032" s="100" t="n"/>
    </row>
    <row r="1033" ht="16" customHeight="1">
      <c r="A1033" s="98" t="n">
        <v>65195</v>
      </c>
      <c r="B1033" s="98" t="inlineStr">
        <is>
          <t>HPNOTIQ VODKA &amp; COGNAC LIQUEUR</t>
        </is>
      </c>
      <c r="C1033" s="97">
        <f>VLOOKUP(A1033,SizeData!A$2:B$3839,2,FALSE)</f>
        <v/>
      </c>
      <c r="D1033" s="98" t="n">
        <v>5</v>
      </c>
      <c r="E1033" s="98" t="inlineStr">
        <is>
          <t>R2002973</t>
        </is>
      </c>
      <c r="F1033" s="99" t="n">
        <v>44992</v>
      </c>
      <c r="G1033" s="100" t="n"/>
    </row>
    <row r="1034" ht="16" customHeight="1">
      <c r="A1034" s="98" t="n">
        <v>48690</v>
      </c>
      <c r="B1034" s="98" t="inlineStr">
        <is>
          <t>MARTELL V S COGNAC</t>
        </is>
      </c>
      <c r="C1034" s="97">
        <f>VLOOKUP(A1034,SizeData!A$2:B$3839,2,FALSE)</f>
        <v/>
      </c>
      <c r="D1034" s="98" t="n">
        <v>2</v>
      </c>
      <c r="E1034" s="98" t="inlineStr">
        <is>
          <t>R1903667</t>
        </is>
      </c>
      <c r="F1034" s="99" t="n">
        <v>44915</v>
      </c>
      <c r="G1034" s="100" t="n"/>
    </row>
    <row r="1035" ht="16" customHeight="1">
      <c r="A1035" s="98" t="n">
        <v>48690</v>
      </c>
      <c r="B1035" s="98" t="inlineStr">
        <is>
          <t>MARTELL V S COGNAC</t>
        </is>
      </c>
      <c r="C1035" s="97">
        <f>VLOOKUP(A1035,SizeData!A$2:B$3839,2,FALSE)</f>
        <v/>
      </c>
      <c r="D1035" s="98" t="n">
        <v>25</v>
      </c>
      <c r="E1035" s="98" t="inlineStr">
        <is>
          <t>R1921914</t>
        </is>
      </c>
      <c r="F1035" s="99" t="n">
        <v>44922</v>
      </c>
      <c r="G1035" s="100" t="n"/>
    </row>
    <row r="1036" ht="16" customHeight="1">
      <c r="A1036" s="98" t="n">
        <v>48690</v>
      </c>
      <c r="B1036" s="98" t="inlineStr">
        <is>
          <t>MARTELL V S COGNAC</t>
        </is>
      </c>
      <c r="C1036" s="97">
        <f>VLOOKUP(A1036,SizeData!A$2:B$3839,2,FALSE)</f>
        <v/>
      </c>
      <c r="D1036" s="98" t="n">
        <v>1</v>
      </c>
      <c r="E1036" s="98" t="inlineStr">
        <is>
          <t>R1921914</t>
        </is>
      </c>
      <c r="F1036" s="99" t="n">
        <v>44922</v>
      </c>
      <c r="G1036" s="100" t="n"/>
    </row>
    <row r="1037" ht="16" customHeight="1">
      <c r="A1037" s="98" t="n">
        <v>65195</v>
      </c>
      <c r="B1037" s="98" t="inlineStr">
        <is>
          <t>HPNOTIQ VODKA &amp; COGNAC LIQUEUR</t>
        </is>
      </c>
      <c r="C1037" s="97">
        <f>VLOOKUP(A1037,SizeData!A$2:B$3839,2,FALSE)</f>
        <v/>
      </c>
      <c r="D1037" s="98" t="n">
        <v>1</v>
      </c>
      <c r="E1037" s="98" t="inlineStr">
        <is>
          <t>R2014242</t>
        </is>
      </c>
      <c r="F1037" s="99" t="n">
        <v>44999</v>
      </c>
      <c r="G1037" s="100" t="n"/>
    </row>
    <row r="1038" ht="16" customHeight="1">
      <c r="A1038" s="98" t="n">
        <v>729160</v>
      </c>
      <c r="B1038" s="98" t="inlineStr">
        <is>
          <t>MARTINI &amp; ROSSI ASTI SPUMANTE</t>
        </is>
      </c>
      <c r="C1038" s="97">
        <f>VLOOKUP(A1038,SizeData!A$2:B$3839,2,FALSE)</f>
        <v/>
      </c>
      <c r="D1038" s="98" t="n">
        <v>7</v>
      </c>
      <c r="E1038" s="98" t="inlineStr">
        <is>
          <t>R1904538</t>
        </is>
      </c>
      <c r="F1038" s="99" t="n">
        <v>44917</v>
      </c>
      <c r="G1038" s="100" t="n"/>
    </row>
    <row r="1039" ht="16" customHeight="1">
      <c r="A1039" s="98" t="n">
        <v>729155</v>
      </c>
      <c r="B1039" s="98" t="inlineStr">
        <is>
          <t>MARTINI &amp; ROSSI ASTI SPUMANTE</t>
        </is>
      </c>
      <c r="C1039" s="97">
        <f>VLOOKUP(A1039,SizeData!A$2:B$3839,2,FALSE)</f>
        <v/>
      </c>
      <c r="D1039" s="98" t="n">
        <v>1</v>
      </c>
      <c r="E1039" s="98" t="inlineStr">
        <is>
          <t>R1927120</t>
        </is>
      </c>
      <c r="F1039" s="99" t="n">
        <v>44924</v>
      </c>
      <c r="G1039" s="100" t="n"/>
    </row>
    <row r="1040" ht="16" customHeight="1">
      <c r="A1040" s="101" t="n">
        <v>65188</v>
      </c>
      <c r="B1040" s="101" t="inlineStr">
        <is>
          <t>HPNOTIQ VODKA &amp; COGNAC LIQUEUR</t>
        </is>
      </c>
      <c r="C1040" s="102">
        <f>VLOOKUP(A1040,SizeData!A$2:B$3839,2,FALSE)</f>
        <v/>
      </c>
      <c r="D1040" s="101" t="n">
        <v>1</v>
      </c>
      <c r="E1040" s="101" t="inlineStr">
        <is>
          <t>R2055049</t>
        </is>
      </c>
      <c r="F1040" s="103" t="n">
        <v>45017</v>
      </c>
      <c r="G1040" s="104" t="n"/>
    </row>
    <row r="1041" ht="16" customHeight="1">
      <c r="A1041" s="98" t="n">
        <v>65188</v>
      </c>
      <c r="B1041" s="98" t="inlineStr">
        <is>
          <t>HPNOTIQ VODKA &amp; COGNAC LIQUEUR</t>
        </is>
      </c>
      <c r="C1041" s="97">
        <f>VLOOKUP(A1041,SizeData!A$2:B$3839,2,FALSE)</f>
        <v/>
      </c>
      <c r="D1041" s="98" t="n">
        <v>4</v>
      </c>
      <c r="E1041" s="98" t="inlineStr">
        <is>
          <t>R2082179</t>
        </is>
      </c>
      <c r="F1041" s="99" t="n">
        <v>45044</v>
      </c>
      <c r="G1041" s="100" t="n"/>
    </row>
    <row r="1042" ht="16" customHeight="1">
      <c r="A1042" s="98" t="n">
        <v>65194</v>
      </c>
      <c r="B1042" s="98" t="inlineStr">
        <is>
          <t>HPNOTIQ VODKA &amp; COGNAC LIQUEUR</t>
        </is>
      </c>
      <c r="C1042" s="97">
        <f>VLOOKUP(A1042,SizeData!A$2:B$3839,2,FALSE)</f>
        <v/>
      </c>
      <c r="D1042" s="98" t="n">
        <v>3</v>
      </c>
      <c r="E1042" s="98" t="inlineStr">
        <is>
          <t>R2088403</t>
        </is>
      </c>
      <c r="F1042" s="99" t="n">
        <v>45049</v>
      </c>
      <c r="G1042" s="100" t="n"/>
    </row>
    <row r="1043" ht="16" customHeight="1">
      <c r="A1043" s="98" t="n">
        <v>812770</v>
      </c>
      <c r="B1043" s="98" t="inlineStr">
        <is>
          <t>MD 20/20 BANANA RED</t>
        </is>
      </c>
      <c r="C1043" s="97">
        <f>VLOOKUP(A1043,SizeData!A$2:B$3839,2,FALSE)</f>
        <v/>
      </c>
      <c r="D1043" s="98" t="n">
        <v>1</v>
      </c>
      <c r="E1043" s="98" t="inlineStr">
        <is>
          <t>R1907721</t>
        </is>
      </c>
      <c r="F1043" s="99" t="n">
        <v>44908</v>
      </c>
      <c r="G1043" s="100" t="n"/>
    </row>
    <row r="1044" ht="16" customHeight="1">
      <c r="A1044" s="98" t="n">
        <v>812772</v>
      </c>
      <c r="B1044" s="98" t="inlineStr">
        <is>
          <t>MD 20/20 BANANA RED</t>
        </is>
      </c>
      <c r="C1044" s="97">
        <f>VLOOKUP(A1044,SizeData!A$2:B$3839,2,FALSE)</f>
        <v/>
      </c>
      <c r="D1044" s="98" t="n">
        <v>2</v>
      </c>
      <c r="E1044" s="98" t="inlineStr">
        <is>
          <t>R1921106</t>
        </is>
      </c>
      <c r="F1044" s="99" t="n">
        <v>44916</v>
      </c>
      <c r="G1044" s="100" t="n"/>
    </row>
    <row r="1045" ht="16" customHeight="1">
      <c r="A1045" s="98" t="n">
        <v>5290</v>
      </c>
      <c r="B1045" s="98" t="inlineStr">
        <is>
          <t>J &amp; B RARE</t>
        </is>
      </c>
      <c r="C1045" s="97">
        <f>VLOOKUP(A1045,SizeData!A$2:B$3839,2,FALSE)</f>
        <v/>
      </c>
      <c r="D1045" s="98" t="n">
        <v>1</v>
      </c>
      <c r="E1045" s="98" t="inlineStr">
        <is>
          <t>R1984929</t>
        </is>
      </c>
      <c r="F1045" s="99" t="n">
        <v>44980</v>
      </c>
      <c r="G1045" s="100" t="n"/>
    </row>
    <row r="1046" ht="16" customHeight="1">
      <c r="A1046" s="98" t="n">
        <v>26827</v>
      </c>
      <c r="B1046" s="98" t="inlineStr">
        <is>
          <t>JACK DANIELS BLACK LABEL</t>
        </is>
      </c>
      <c r="C1046" s="97">
        <f>VLOOKUP(A1046,SizeData!A$2:B$3839,2,FALSE)</f>
        <v/>
      </c>
      <c r="D1046" s="98" t="n">
        <v>1</v>
      </c>
      <c r="E1046" s="98" t="inlineStr">
        <is>
          <t>R1914089</t>
        </is>
      </c>
      <c r="F1046" s="99" t="n">
        <v>44927</v>
      </c>
      <c r="G1046" s="100" t="n"/>
    </row>
    <row r="1047" ht="16" customHeight="1">
      <c r="A1047" s="98" t="n">
        <v>26827</v>
      </c>
      <c r="B1047" s="98" t="inlineStr">
        <is>
          <t>JACK DANIELS BLACK LABEL</t>
        </is>
      </c>
      <c r="C1047" s="97">
        <f>VLOOKUP(A1047,SizeData!A$2:B$3839,2,FALSE)</f>
        <v/>
      </c>
      <c r="D1047" s="98" t="n">
        <v>4</v>
      </c>
      <c r="E1047" s="98" t="inlineStr">
        <is>
          <t>R1924344</t>
        </is>
      </c>
      <c r="F1047" s="99" t="n">
        <v>44933</v>
      </c>
      <c r="G1047" s="100" t="n"/>
    </row>
    <row r="1048" ht="16" customHeight="1">
      <c r="A1048" s="98" t="n">
        <v>812810</v>
      </c>
      <c r="B1048" s="98" t="inlineStr">
        <is>
          <t>MD 20/20 BLUE RASPBERRY</t>
        </is>
      </c>
      <c r="C1048" s="97">
        <f>VLOOKUP(A1048,SizeData!A$2:B$3839,2,FALSE)</f>
        <v/>
      </c>
      <c r="D1048" s="98" t="n">
        <v>1</v>
      </c>
      <c r="E1048" s="98" t="inlineStr">
        <is>
          <t>R1913611</t>
        </is>
      </c>
      <c r="F1048" s="99" t="n">
        <v>44914</v>
      </c>
      <c r="G1048" s="100" t="n"/>
    </row>
    <row r="1049" ht="16" customHeight="1">
      <c r="A1049" s="98" t="n">
        <v>26826</v>
      </c>
      <c r="B1049" s="98" t="inlineStr">
        <is>
          <t>JACK DANIELS BLACK LABEL</t>
        </is>
      </c>
      <c r="C1049" s="97">
        <f>VLOOKUP(A1049,SizeData!A$2:B$3839,2,FALSE)</f>
        <v/>
      </c>
      <c r="D1049" s="98" t="n">
        <v>5</v>
      </c>
      <c r="E1049" s="98" t="inlineStr">
        <is>
          <t>R1957712</t>
        </is>
      </c>
      <c r="F1049" s="99" t="n">
        <v>44958</v>
      </c>
      <c r="G1049" s="100" t="n"/>
    </row>
    <row r="1050" ht="16" customHeight="1">
      <c r="A1050" s="98" t="n">
        <v>26823</v>
      </c>
      <c r="B1050" s="98" t="inlineStr">
        <is>
          <t>JACK DANIELS BLACK LABEL</t>
        </is>
      </c>
      <c r="C1050" s="97">
        <f>VLOOKUP(A1050,SizeData!A$2:B$3839,2,FALSE)</f>
        <v/>
      </c>
      <c r="D1050" s="98" t="n">
        <v>2</v>
      </c>
      <c r="E1050" s="98" t="inlineStr">
        <is>
          <t>R1967237</t>
        </is>
      </c>
      <c r="F1050" s="99" t="n">
        <v>44958</v>
      </c>
      <c r="G1050" s="100" t="n"/>
    </row>
    <row r="1051" ht="16" customHeight="1">
      <c r="A1051" s="98" t="n">
        <v>26826</v>
      </c>
      <c r="B1051" s="98" t="inlineStr">
        <is>
          <t>JACK DANIELS BLACK LABEL</t>
        </is>
      </c>
      <c r="C1051" s="97">
        <f>VLOOKUP(A1051,SizeData!A$2:B$3839,2,FALSE)</f>
        <v/>
      </c>
      <c r="D1051" s="98" t="n">
        <v>20</v>
      </c>
      <c r="E1051" s="98" t="inlineStr">
        <is>
          <t>R1987217</t>
        </is>
      </c>
      <c r="F1051" s="99" t="n">
        <v>44962</v>
      </c>
      <c r="G1051" s="100" t="n"/>
    </row>
    <row r="1052" ht="16" customHeight="1">
      <c r="A1052" s="98" t="n">
        <v>26828</v>
      </c>
      <c r="B1052" s="98" t="inlineStr">
        <is>
          <t>JACK DANIELS BLACK LABEL</t>
        </is>
      </c>
      <c r="C1052" s="97">
        <f>VLOOKUP(A1052,SizeData!A$2:B$3839,2,FALSE)</f>
        <v/>
      </c>
      <c r="D1052" s="98" t="n">
        <v>3</v>
      </c>
      <c r="E1052" s="98" t="inlineStr">
        <is>
          <t>R2030138</t>
        </is>
      </c>
      <c r="F1052" s="99" t="n">
        <v>44986</v>
      </c>
      <c r="G1052" s="100" t="n"/>
    </row>
    <row r="1053" ht="16" customHeight="1">
      <c r="A1053" s="98" t="n">
        <v>26828</v>
      </c>
      <c r="B1053" s="98" t="inlineStr">
        <is>
          <t>JACK DANIELS BLACK LABEL</t>
        </is>
      </c>
      <c r="C1053" s="97">
        <f>VLOOKUP(A1053,SizeData!A$2:B$3839,2,FALSE)</f>
        <v/>
      </c>
      <c r="D1053" s="98" t="n">
        <v>10</v>
      </c>
      <c r="E1053" s="98" t="inlineStr">
        <is>
          <t>R1999510</t>
        </is>
      </c>
      <c r="F1053" s="99" t="n">
        <v>44987</v>
      </c>
      <c r="G1053" s="100" t="n"/>
    </row>
    <row r="1054" ht="16" customHeight="1">
      <c r="A1054" s="98" t="n">
        <v>812826</v>
      </c>
      <c r="B1054" s="98" t="inlineStr">
        <is>
          <t>MD 20/20 GOLD PINEAPPLE</t>
        </is>
      </c>
      <c r="C1054" s="97">
        <f>VLOOKUP(A1054,SizeData!A$2:B$3839,2,FALSE)</f>
        <v/>
      </c>
      <c r="D1054" s="98" t="n">
        <v>1</v>
      </c>
      <c r="E1054" s="98" t="inlineStr">
        <is>
          <t>R1903202</t>
        </is>
      </c>
      <c r="F1054" s="99" t="n">
        <v>44905</v>
      </c>
      <c r="G1054" s="100" t="n"/>
    </row>
    <row r="1055" ht="16" customHeight="1">
      <c r="A1055" s="98" t="n">
        <v>812826</v>
      </c>
      <c r="B1055" s="98" t="inlineStr">
        <is>
          <t>MD 20/20 GOLD PINEAPPLE</t>
        </is>
      </c>
      <c r="C1055" s="97">
        <f>VLOOKUP(A1055,SizeData!A$2:B$3839,2,FALSE)</f>
        <v/>
      </c>
      <c r="D1055" s="98" t="n">
        <v>2</v>
      </c>
      <c r="E1055" s="98" t="inlineStr">
        <is>
          <t>R1913611</t>
        </is>
      </c>
      <c r="F1055" s="99" t="n">
        <v>44914</v>
      </c>
      <c r="G1055" s="100" t="n"/>
    </row>
    <row r="1056" ht="16" customHeight="1">
      <c r="A1056" s="98" t="n">
        <v>26821</v>
      </c>
      <c r="B1056" s="98" t="inlineStr">
        <is>
          <t>JACK DANIELS BLACK LABEL</t>
        </is>
      </c>
      <c r="C1056" s="97">
        <f>VLOOKUP(A1056,SizeData!A$2:B$3839,2,FALSE)</f>
        <v/>
      </c>
      <c r="D1056" s="98" t="n">
        <v>2</v>
      </c>
      <c r="E1056" s="98" t="inlineStr">
        <is>
          <t>R1993998</t>
        </is>
      </c>
      <c r="F1056" s="99" t="n">
        <v>44992</v>
      </c>
      <c r="G1056" s="100" t="n"/>
    </row>
    <row r="1057" ht="16" customHeight="1">
      <c r="A1057" s="98" t="n">
        <v>26823</v>
      </c>
      <c r="B1057" s="98" t="inlineStr">
        <is>
          <t>JACK DANIELS BLACK LABEL</t>
        </is>
      </c>
      <c r="C1057" s="97">
        <f>VLOOKUP(A1057,SizeData!A$2:B$3839,2,FALSE)</f>
        <v/>
      </c>
      <c r="D1057" s="98" t="n">
        <v>1</v>
      </c>
      <c r="E1057" s="98" t="inlineStr">
        <is>
          <t>R2035414</t>
        </is>
      </c>
      <c r="F1057" s="99" t="n">
        <v>45003</v>
      </c>
      <c r="G1057" s="100" t="n"/>
    </row>
    <row r="1058" ht="16" customHeight="1">
      <c r="A1058" s="98" t="n">
        <v>26822</v>
      </c>
      <c r="B1058" s="98" t="inlineStr">
        <is>
          <t>JACK DANIELS BLACK LABEL</t>
        </is>
      </c>
      <c r="C1058" s="97">
        <f>VLOOKUP(A1058,SizeData!A$2:B$3839,2,FALSE)</f>
        <v/>
      </c>
      <c r="D1058" s="98" t="n">
        <v>1</v>
      </c>
      <c r="E1058" s="98" t="inlineStr">
        <is>
          <t>R2036702</t>
        </is>
      </c>
      <c r="F1058" s="99" t="n">
        <v>45007</v>
      </c>
      <c r="G1058" s="100" t="n"/>
    </row>
    <row r="1059" ht="16" customHeight="1">
      <c r="A1059" s="98" t="n">
        <v>812799</v>
      </c>
      <c r="B1059" s="98" t="inlineStr">
        <is>
          <t>MD 20/20 ORANGE JUBILEE</t>
        </is>
      </c>
      <c r="C1059" s="97">
        <f>VLOOKUP(A1059,SizeData!A$2:B$3839,2,FALSE)</f>
        <v/>
      </c>
      <c r="D1059" s="98" t="n">
        <v>3</v>
      </c>
      <c r="E1059" s="98" t="inlineStr">
        <is>
          <t>R1921106</t>
        </is>
      </c>
      <c r="F1059" s="99" t="n">
        <v>44916</v>
      </c>
      <c r="G1059" s="100" t="n"/>
    </row>
    <row r="1060" ht="16" customHeight="1">
      <c r="A1060" s="98" t="n">
        <v>26827</v>
      </c>
      <c r="B1060" s="98" t="inlineStr">
        <is>
          <t>JACK DANIELS BLACK LABEL</t>
        </is>
      </c>
      <c r="C1060" s="97">
        <f>VLOOKUP(A1060,SizeData!A$2:B$3839,2,FALSE)</f>
        <v/>
      </c>
      <c r="D1060" s="98" t="n">
        <v>1</v>
      </c>
      <c r="E1060" s="98" t="inlineStr">
        <is>
          <t>R2082317</t>
        </is>
      </c>
      <c r="F1060" s="99" t="n">
        <v>45047</v>
      </c>
      <c r="G1060" s="100" t="n"/>
    </row>
    <row r="1061" ht="16" customHeight="1">
      <c r="A1061" s="98" t="n">
        <v>26827</v>
      </c>
      <c r="B1061" s="98" t="inlineStr">
        <is>
          <t>JACK DANIELS BLACK LABEL</t>
        </is>
      </c>
      <c r="C1061" s="97">
        <f>VLOOKUP(A1061,SizeData!A$2:B$3839,2,FALSE)</f>
        <v/>
      </c>
      <c r="D1061" s="98" t="n">
        <v>5</v>
      </c>
      <c r="E1061" s="98" t="inlineStr">
        <is>
          <t>R2076986</t>
        </is>
      </c>
      <c r="F1061" s="99" t="n">
        <v>45048</v>
      </c>
      <c r="G1061" s="100" t="n"/>
    </row>
    <row r="1062" ht="16" customHeight="1">
      <c r="A1062" s="98" t="n">
        <v>26823</v>
      </c>
      <c r="B1062" s="98" t="inlineStr">
        <is>
          <t>JACK DANIELS BLACK LABEL</t>
        </is>
      </c>
      <c r="C1062" s="97">
        <f>VLOOKUP(A1062,SizeData!A$2:B$3839,2,FALSE)</f>
        <v/>
      </c>
      <c r="D1062" s="98" t="n">
        <v>1</v>
      </c>
      <c r="E1062" s="98" t="inlineStr">
        <is>
          <t>R2083415</t>
        </is>
      </c>
      <c r="F1062" s="99" t="n">
        <v>45048</v>
      </c>
      <c r="G1062" s="100" t="n"/>
    </row>
    <row r="1063" ht="16" customHeight="1">
      <c r="A1063" s="98" t="n">
        <v>26820</v>
      </c>
      <c r="B1063" s="98" t="inlineStr">
        <is>
          <t>JACK DANIELS BLACK LABEL (PET)</t>
        </is>
      </c>
      <c r="C1063" s="97">
        <f>VLOOKUP(A1063,SizeData!A$2:B$3839,2,FALSE)</f>
        <v/>
      </c>
      <c r="D1063" s="98" t="n">
        <v>1</v>
      </c>
      <c r="E1063" s="98" t="inlineStr">
        <is>
          <t>R2035414</t>
        </is>
      </c>
      <c r="F1063" s="99" t="n">
        <v>45003</v>
      </c>
      <c r="G1063" s="100" t="n"/>
    </row>
    <row r="1064" ht="16" customHeight="1">
      <c r="A1064" s="98" t="n">
        <v>26820</v>
      </c>
      <c r="B1064" s="98" t="inlineStr">
        <is>
          <t>JACK DANIELS BLACK LABEL (PET)</t>
        </is>
      </c>
      <c r="C1064" s="97">
        <f>VLOOKUP(A1064,SizeData!A$2:B$3839,2,FALSE)</f>
        <v/>
      </c>
      <c r="D1064" s="98" t="n">
        <v>1</v>
      </c>
      <c r="E1064" s="98" t="inlineStr">
        <is>
          <t>R2062454</t>
        </is>
      </c>
      <c r="F1064" s="99" t="n">
        <v>45031</v>
      </c>
      <c r="G1064" s="100" t="n"/>
    </row>
    <row r="1065" ht="16" customHeight="1">
      <c r="A1065" s="98" t="n">
        <v>26820</v>
      </c>
      <c r="B1065" s="98" t="inlineStr">
        <is>
          <t>JACK DANIELS BLACK LABEL (PET)</t>
        </is>
      </c>
      <c r="C1065" s="97">
        <f>VLOOKUP(A1065,SizeData!A$2:B$3839,2,FALSE)</f>
        <v/>
      </c>
      <c r="D1065" s="98" t="n">
        <v>5</v>
      </c>
      <c r="E1065" s="98" t="inlineStr">
        <is>
          <t>R2082317</t>
        </is>
      </c>
      <c r="F1065" s="99" t="n">
        <v>45047</v>
      </c>
      <c r="G1065" s="100" t="n"/>
    </row>
    <row r="1066" ht="16" customHeight="1">
      <c r="A1066" s="98" t="n">
        <v>26820</v>
      </c>
      <c r="B1066" s="98" t="inlineStr">
        <is>
          <t>JACK DANIELS BLACK LABEL (PET)</t>
        </is>
      </c>
      <c r="C1066" s="97">
        <f>VLOOKUP(A1066,SizeData!A$2:B$3839,2,FALSE)</f>
        <v/>
      </c>
      <c r="D1066" s="98" t="n">
        <v>6</v>
      </c>
      <c r="E1066" s="98" t="inlineStr">
        <is>
          <t>R2076986</t>
        </is>
      </c>
      <c r="F1066" s="99" t="n">
        <v>45048</v>
      </c>
      <c r="G1066" s="100" t="n"/>
    </row>
    <row r="1067" ht="16" customHeight="1">
      <c r="A1067" s="101" t="n">
        <v>26905</v>
      </c>
      <c r="B1067" s="101" t="inlineStr">
        <is>
          <t>JACK DANIEL'S SINGLE BARREL</t>
        </is>
      </c>
      <c r="C1067" s="102">
        <f>VLOOKUP(A1067,SizeData!A$2:B$3839,2,FALSE)</f>
        <v/>
      </c>
      <c r="D1067" s="101" t="n">
        <v>2</v>
      </c>
      <c r="E1067" s="101" t="inlineStr">
        <is>
          <t>R1978468</t>
        </is>
      </c>
      <c r="F1067" s="103" t="n">
        <v>44979</v>
      </c>
      <c r="G1067" s="104" t="n"/>
    </row>
    <row r="1068" ht="16" customHeight="1">
      <c r="A1068" s="98" t="n">
        <v>26905</v>
      </c>
      <c r="B1068" s="98" t="inlineStr">
        <is>
          <t>JACK DANIEL'S SINGLE BARREL</t>
        </is>
      </c>
      <c r="C1068" s="97">
        <f>VLOOKUP(A1068,SizeData!A$2:B$3839,2,FALSE)</f>
        <v/>
      </c>
      <c r="D1068" s="98" t="n">
        <v>1</v>
      </c>
      <c r="E1068" s="98" t="inlineStr">
        <is>
          <t>R2049198</t>
        </is>
      </c>
      <c r="F1068" s="99" t="n">
        <v>45028</v>
      </c>
      <c r="G1068" s="100" t="n"/>
    </row>
    <row r="1069" ht="16" customHeight="1">
      <c r="A1069" s="101" t="n">
        <v>26729</v>
      </c>
      <c r="B1069" s="101" t="inlineStr">
        <is>
          <t>JACK DANIEL'S SINGLE BARREL BARREL PROOF 100PF</t>
        </is>
      </c>
      <c r="C1069" s="102">
        <f>VLOOKUP(A1069,SizeData!A$2:B$3839,2,FALSE)</f>
        <v/>
      </c>
      <c r="D1069" s="101" t="n">
        <v>2</v>
      </c>
      <c r="E1069" s="101" t="inlineStr">
        <is>
          <t>R2049295</t>
        </is>
      </c>
      <c r="F1069" s="103" t="n">
        <v>45023</v>
      </c>
      <c r="G1069" s="104" t="n"/>
    </row>
    <row r="1070" ht="16" customHeight="1">
      <c r="A1070" s="98" t="n">
        <v>74801</v>
      </c>
      <c r="B1070" s="98" t="inlineStr">
        <is>
          <t>JACK DANIEL'S TENNESSEE APPLE LIQUEUR</t>
        </is>
      </c>
      <c r="C1070" s="97">
        <f>VLOOKUP(A1070,SizeData!A$2:B$3839,2,FALSE)</f>
        <v/>
      </c>
      <c r="D1070" s="98" t="n">
        <v>2</v>
      </c>
      <c r="E1070" s="98" t="inlineStr">
        <is>
          <t>R1993597</t>
        </is>
      </c>
      <c r="F1070" s="99" t="n">
        <v>44985</v>
      </c>
      <c r="G1070" s="100" t="n"/>
    </row>
    <row r="1071" ht="16" customHeight="1">
      <c r="A1071" s="98" t="n">
        <v>86669</v>
      </c>
      <c r="B1071" s="98" t="inlineStr">
        <is>
          <t>JACK DANIELS TENNESSEE HONEY LIQUEUR</t>
        </is>
      </c>
      <c r="C1071" s="97">
        <f>VLOOKUP(A1071,SizeData!A$2:B$3839,2,FALSE)</f>
        <v/>
      </c>
      <c r="D1071" s="98" t="n">
        <v>1</v>
      </c>
      <c r="E1071" s="98" t="inlineStr">
        <is>
          <t>R1960645</t>
        </is>
      </c>
      <c r="F1071" s="99" t="n">
        <v>44954</v>
      </c>
      <c r="G1071" s="100" t="n"/>
    </row>
    <row r="1072" ht="16" customHeight="1">
      <c r="A1072" s="98" t="n">
        <v>86673</v>
      </c>
      <c r="B1072" s="98" t="inlineStr">
        <is>
          <t>JACK DANIELS TENNESSEE HONEY LIQUEUR</t>
        </is>
      </c>
      <c r="C1072" s="97">
        <f>VLOOKUP(A1072,SizeData!A$2:B$3839,2,FALSE)</f>
        <v/>
      </c>
      <c r="D1072" s="98" t="n">
        <v>5</v>
      </c>
      <c r="E1072" s="98" t="inlineStr">
        <is>
          <t>R2030138</t>
        </is>
      </c>
      <c r="F1072" s="99" t="n">
        <v>44986</v>
      </c>
      <c r="G1072" s="100" t="n"/>
    </row>
    <row r="1073" ht="16" customHeight="1">
      <c r="A1073" s="98" t="n">
        <v>812776</v>
      </c>
      <c r="B1073" s="98" t="inlineStr">
        <is>
          <t>MD 20/20 PEACH &amp; CREAM</t>
        </is>
      </c>
      <c r="C1073" s="97">
        <f>VLOOKUP(A1073,SizeData!A$2:B$3839,2,FALSE)</f>
        <v/>
      </c>
      <c r="D1073" s="98" t="n">
        <v>1</v>
      </c>
      <c r="E1073" s="98" t="inlineStr">
        <is>
          <t>R1913611</t>
        </is>
      </c>
      <c r="F1073" s="99" t="n">
        <v>44914</v>
      </c>
      <c r="G1073" s="100" t="n"/>
    </row>
    <row r="1074" ht="16" customHeight="1">
      <c r="A1074" s="101" t="n">
        <v>86670</v>
      </c>
      <c r="B1074" s="101" t="inlineStr">
        <is>
          <t>JACK DANIELS TENNESSEE HONEY LIQUEUR</t>
        </is>
      </c>
      <c r="C1074" s="102">
        <f>VLOOKUP(A1074,SizeData!A$2:B$3839,2,FALSE)</f>
        <v/>
      </c>
      <c r="D1074" s="101" t="n">
        <v>4</v>
      </c>
      <c r="E1074" s="101" t="inlineStr">
        <is>
          <t>R1993597</t>
        </is>
      </c>
      <c r="F1074" s="103" t="n">
        <v>44985</v>
      </c>
      <c r="G1074" s="104" t="n"/>
    </row>
    <row r="1075" ht="16" customHeight="1">
      <c r="A1075" s="101" t="n">
        <v>86672</v>
      </c>
      <c r="B1075" s="101" t="inlineStr">
        <is>
          <t>JACK DANIELS TENNESSEE HONEY LIQUEUR</t>
        </is>
      </c>
      <c r="C1075" s="102">
        <f>VLOOKUP(A1075,SizeData!A$2:B$3839,2,FALSE)</f>
        <v/>
      </c>
      <c r="D1075" s="101" t="n">
        <v>2</v>
      </c>
      <c r="E1075" s="101" t="inlineStr">
        <is>
          <t>R2017906</t>
        </is>
      </c>
      <c r="F1075" s="103" t="n">
        <v>44993</v>
      </c>
      <c r="G1075" s="104" t="n"/>
    </row>
    <row r="1076" ht="16" customHeight="1">
      <c r="A1076" s="98" t="n">
        <v>86669</v>
      </c>
      <c r="B1076" s="98" t="inlineStr">
        <is>
          <t>JACK DANIELS TENNESSEE HONEY LIQUEUR</t>
        </is>
      </c>
      <c r="C1076" s="97">
        <f>VLOOKUP(A1076,SizeData!A$2:B$3839,2,FALSE)</f>
        <v/>
      </c>
      <c r="D1076" s="98" t="n">
        <v>1</v>
      </c>
      <c r="E1076" s="98" t="inlineStr">
        <is>
          <t>R2076986</t>
        </is>
      </c>
      <c r="F1076" s="99" t="n">
        <v>45048</v>
      </c>
      <c r="G1076" s="100" t="n"/>
    </row>
    <row r="1077" ht="16" customHeight="1">
      <c r="A1077" s="101" t="n">
        <v>86669</v>
      </c>
      <c r="B1077" s="101" t="inlineStr">
        <is>
          <t>JACK DANIELS TENNESSEE HONEY LIQUEUR</t>
        </is>
      </c>
      <c r="C1077" s="102">
        <f>VLOOKUP(A1077,SizeData!A$2:B$3839,2,FALSE)</f>
        <v/>
      </c>
      <c r="D1077" s="101" t="n">
        <v>1</v>
      </c>
      <c r="E1077" s="101" t="inlineStr">
        <is>
          <t>R2082317</t>
        </is>
      </c>
      <c r="F1077" s="103" t="n">
        <v>45047</v>
      </c>
      <c r="G1077" s="104" t="n"/>
    </row>
    <row r="1078" ht="16" customHeight="1">
      <c r="A1078" s="98" t="n">
        <v>420431</v>
      </c>
      <c r="B1078" s="98" t="inlineStr">
        <is>
          <t>JACOB'S CREEK CABERNET SAUVIGNON</t>
        </is>
      </c>
      <c r="C1078" s="97">
        <f>VLOOKUP(A1078,SizeData!A$2:B$3839,2,FALSE)</f>
        <v/>
      </c>
      <c r="D1078" s="98" t="n">
        <v>3</v>
      </c>
      <c r="E1078" s="98" t="inlineStr">
        <is>
          <t>R1965714</t>
        </is>
      </c>
      <c r="F1078" s="99" t="n">
        <v>44951</v>
      </c>
      <c r="G1078" s="100" t="n"/>
    </row>
    <row r="1079" ht="16" customHeight="1">
      <c r="A1079" s="98" t="n">
        <v>420430</v>
      </c>
      <c r="B1079" s="98" t="inlineStr">
        <is>
          <t>JACOB'S CREEK CABERNET SAUVIGNON</t>
        </is>
      </c>
      <c r="C1079" s="97">
        <f>VLOOKUP(A1079,SizeData!A$2:B$3839,2,FALSE)</f>
        <v/>
      </c>
      <c r="D1079" s="98" t="n">
        <v>1</v>
      </c>
      <c r="E1079" s="98" t="inlineStr">
        <is>
          <t>R1965714</t>
        </is>
      </c>
      <c r="F1079" s="99" t="n">
        <v>44951</v>
      </c>
      <c r="G1079" s="100" t="n"/>
    </row>
    <row r="1080" ht="16" customHeight="1">
      <c r="A1080" s="98" t="n">
        <v>812796</v>
      </c>
      <c r="B1080" s="98" t="inlineStr">
        <is>
          <t>MD 20/20 RED GRAPE</t>
        </is>
      </c>
      <c r="C1080" s="97">
        <f>VLOOKUP(A1080,SizeData!A$2:B$3839,2,FALSE)</f>
        <v/>
      </c>
      <c r="D1080" s="98" t="n">
        <v>1</v>
      </c>
      <c r="E1080" s="98" t="inlineStr">
        <is>
          <t>R1903202</t>
        </is>
      </c>
      <c r="F1080" s="99" t="n">
        <v>44905</v>
      </c>
      <c r="G1080" s="100" t="n"/>
    </row>
    <row r="1081" ht="16" customHeight="1">
      <c r="A1081" s="98" t="n">
        <v>812794</v>
      </c>
      <c r="B1081" s="98" t="inlineStr">
        <is>
          <t>MD 20/20 RED GRAPE</t>
        </is>
      </c>
      <c r="C1081" s="97">
        <f>VLOOKUP(A1081,SizeData!A$2:B$3839,2,FALSE)</f>
        <v/>
      </c>
      <c r="D1081" s="98" t="n">
        <v>2</v>
      </c>
      <c r="E1081" s="98" t="inlineStr">
        <is>
          <t>R1913611</t>
        </is>
      </c>
      <c r="F1081" s="99" t="n">
        <v>44914</v>
      </c>
      <c r="G1081" s="100" t="n"/>
    </row>
    <row r="1082" ht="16" customHeight="1">
      <c r="A1082" s="98" t="n">
        <v>420431</v>
      </c>
      <c r="B1082" s="98" t="inlineStr">
        <is>
          <t>JACOB'S CREEK CABERNET SAUVIGNON</t>
        </is>
      </c>
      <c r="C1082" s="97">
        <f>VLOOKUP(A1082,SizeData!A$2:B$3839,2,FALSE)</f>
        <v/>
      </c>
      <c r="D1082" s="98" t="n">
        <v>1</v>
      </c>
      <c r="E1082" s="98" t="inlineStr">
        <is>
          <t>R1984349</t>
        </is>
      </c>
      <c r="F1082" s="99" t="n">
        <v>44982</v>
      </c>
      <c r="G1082" s="100" t="n"/>
    </row>
    <row r="1083" ht="16" customHeight="1">
      <c r="A1083" s="98" t="n">
        <v>420430</v>
      </c>
      <c r="B1083" s="98" t="inlineStr">
        <is>
          <t>JACOB'S CREEK CABERNET SAUVIGNON</t>
        </is>
      </c>
      <c r="C1083" s="97">
        <f>VLOOKUP(A1083,SizeData!A$2:B$3839,2,FALSE)</f>
        <v/>
      </c>
      <c r="D1083" s="98" t="n">
        <v>1</v>
      </c>
      <c r="E1083" s="98" t="inlineStr">
        <is>
          <t>R2082317</t>
        </is>
      </c>
      <c r="F1083" s="99" t="n">
        <v>45047</v>
      </c>
      <c r="G1083" s="100" t="n"/>
    </row>
    <row r="1084" ht="16" customHeight="1">
      <c r="A1084" s="98" t="n">
        <v>420436</v>
      </c>
      <c r="B1084" s="98" t="inlineStr">
        <is>
          <t>JACOB'S CREEK CHARDONNAY</t>
        </is>
      </c>
      <c r="C1084" s="97">
        <f>VLOOKUP(A1084,SizeData!A$2:B$3839,2,FALSE)</f>
        <v/>
      </c>
      <c r="D1084" s="98" t="n">
        <v>5</v>
      </c>
      <c r="E1084" s="98" t="inlineStr">
        <is>
          <t>R1984929</t>
        </is>
      </c>
      <c r="F1084" s="99" t="n">
        <v>44980</v>
      </c>
      <c r="G1084" s="100" t="n"/>
    </row>
    <row r="1085" ht="16" customHeight="1">
      <c r="A1085" s="98" t="n">
        <v>420436</v>
      </c>
      <c r="B1085" s="98" t="inlineStr">
        <is>
          <t>JACOB'S CREEK CHARDONNAY</t>
        </is>
      </c>
      <c r="C1085" s="97">
        <f>VLOOKUP(A1085,SizeData!A$2:B$3839,2,FALSE)</f>
        <v/>
      </c>
      <c r="D1085" s="98" t="n">
        <v>5</v>
      </c>
      <c r="E1085" s="98" t="inlineStr">
        <is>
          <t>R2023718</t>
        </is>
      </c>
      <c r="F1085" s="99" t="n">
        <v>45003</v>
      </c>
      <c r="G1085" s="100" t="n"/>
    </row>
    <row r="1086" ht="16" customHeight="1">
      <c r="A1086" s="101" t="n">
        <v>420435</v>
      </c>
      <c r="B1086" s="101" t="inlineStr">
        <is>
          <t>JACOB'S CREEK CHARDONNAY</t>
        </is>
      </c>
      <c r="C1086" s="102">
        <f>VLOOKUP(A1086,SizeData!A$2:B$3839,2,FALSE)</f>
        <v/>
      </c>
      <c r="D1086" s="101" t="n">
        <v>1</v>
      </c>
      <c r="E1086" s="101" t="inlineStr">
        <is>
          <t>R2039044</t>
        </is>
      </c>
      <c r="F1086" s="103" t="n">
        <v>45013</v>
      </c>
      <c r="G1086" s="104" t="n"/>
    </row>
    <row r="1087" ht="16" customHeight="1">
      <c r="A1087" s="98" t="n">
        <v>420437</v>
      </c>
      <c r="B1087" s="98" t="inlineStr">
        <is>
          <t>JACOB'S CREEK MERLOT</t>
        </is>
      </c>
      <c r="C1087" s="97">
        <f>VLOOKUP(A1087,SizeData!A$2:B$3839,2,FALSE)</f>
        <v/>
      </c>
      <c r="D1087" s="98" t="n">
        <v>1</v>
      </c>
      <c r="E1087" s="98" t="inlineStr">
        <is>
          <t>R2005976</t>
        </is>
      </c>
      <c r="F1087" s="99" t="n">
        <v>44992</v>
      </c>
      <c r="G1087" s="100" t="n"/>
    </row>
    <row r="1088" ht="16" customHeight="1">
      <c r="A1088" s="98" t="n">
        <v>420414</v>
      </c>
      <c r="B1088" s="98" t="inlineStr">
        <is>
          <t>JACOB'S CREEK PINOT GRIGIO</t>
        </is>
      </c>
      <c r="C1088" s="97">
        <f>VLOOKUP(A1088,SizeData!A$2:B$3839,2,FALSE)</f>
        <v/>
      </c>
      <c r="D1088" s="98" t="n">
        <v>1</v>
      </c>
      <c r="E1088" s="98" t="inlineStr">
        <is>
          <t>R1992599</t>
        </is>
      </c>
      <c r="F1088" s="99" t="n">
        <v>44989</v>
      </c>
      <c r="G1088" s="100" t="n"/>
    </row>
    <row r="1089" ht="16" customHeight="1">
      <c r="A1089" s="98" t="n">
        <v>65258</v>
      </c>
      <c r="B1089" s="98" t="inlineStr">
        <is>
          <t>JAGERMEISTER</t>
        </is>
      </c>
      <c r="C1089" s="97">
        <f>VLOOKUP(A1089,SizeData!A$2:B$3839,2,FALSE)</f>
        <v/>
      </c>
      <c r="D1089" s="98" t="n">
        <v>1</v>
      </c>
      <c r="E1089" s="98" t="inlineStr">
        <is>
          <t>R1957712</t>
        </is>
      </c>
      <c r="F1089" s="99" t="n">
        <v>44958</v>
      </c>
      <c r="G1089" s="100" t="n"/>
    </row>
    <row r="1090" ht="16" customHeight="1">
      <c r="A1090" s="98" t="n">
        <v>65256</v>
      </c>
      <c r="B1090" s="98" t="inlineStr">
        <is>
          <t>JAGERMEISTER</t>
        </is>
      </c>
      <c r="C1090" s="97">
        <f>VLOOKUP(A1090,SizeData!A$2:B$3839,2,FALSE)</f>
        <v/>
      </c>
      <c r="D1090" s="98" t="n">
        <v>1</v>
      </c>
      <c r="E1090" s="98" t="inlineStr">
        <is>
          <t>R2030138</t>
        </is>
      </c>
      <c r="F1090" s="99" t="n">
        <v>44986</v>
      </c>
      <c r="G1090" s="100" t="n"/>
    </row>
    <row r="1091" ht="16" customHeight="1">
      <c r="A1091" s="101" t="n">
        <v>65256</v>
      </c>
      <c r="B1091" s="101" t="inlineStr">
        <is>
          <t>JAGERMEISTER</t>
        </is>
      </c>
      <c r="C1091" s="102">
        <f>VLOOKUP(A1091,SizeData!A$2:B$3839,2,FALSE)</f>
        <v/>
      </c>
      <c r="D1091" s="101" t="n">
        <v>1</v>
      </c>
      <c r="E1091" s="101" t="inlineStr">
        <is>
          <t>R2017905</t>
        </is>
      </c>
      <c r="F1091" s="103" t="n">
        <v>44993</v>
      </c>
      <c r="G1091" s="104" t="n"/>
    </row>
    <row r="1092" ht="16" customHeight="1">
      <c r="A1092" s="98" t="n">
        <v>413340</v>
      </c>
      <c r="B1092" s="98" t="inlineStr">
        <is>
          <t>JAM JAR SWEET SHIRAZ WESTERN CAPE</t>
        </is>
      </c>
      <c r="C1092" s="97">
        <f>VLOOKUP(A1092,SizeData!A$2:B$3839,2,FALSE)</f>
        <v/>
      </c>
      <c r="D1092" s="98" t="n">
        <v>1</v>
      </c>
      <c r="E1092" s="98" t="inlineStr">
        <is>
          <t>R1985201</t>
        </is>
      </c>
      <c r="F1092" s="99" t="n">
        <v>44963</v>
      </c>
      <c r="G1092" s="100" t="n"/>
    </row>
    <row r="1093" ht="16" customHeight="1">
      <c r="A1093" s="98" t="n">
        <v>413340</v>
      </c>
      <c r="B1093" s="98" t="inlineStr">
        <is>
          <t>JAM JAR SWEET SHIRAZ WESTERN CAPE</t>
        </is>
      </c>
      <c r="C1093" s="97">
        <f>VLOOKUP(A1093,SizeData!A$2:B$3839,2,FALSE)</f>
        <v/>
      </c>
      <c r="D1093" s="98" t="n">
        <v>2</v>
      </c>
      <c r="E1093" s="98" t="inlineStr">
        <is>
          <t>R2010980</t>
        </is>
      </c>
      <c r="F1093" s="99" t="n">
        <v>44995</v>
      </c>
      <c r="G1093" s="100" t="n"/>
    </row>
    <row r="1094" ht="16" customHeight="1">
      <c r="A1094" s="98" t="n">
        <v>413340</v>
      </c>
      <c r="B1094" s="98" t="inlineStr">
        <is>
          <t>JAM JAR SWEET SHIRAZ WESTERN CAPE</t>
        </is>
      </c>
      <c r="C1094" s="97">
        <f>VLOOKUP(A1094,SizeData!A$2:B$3839,2,FALSE)</f>
        <v/>
      </c>
      <c r="D1094" s="98" t="n">
        <v>1</v>
      </c>
      <c r="E1094" s="98" t="inlineStr">
        <is>
          <t>R2028888</t>
        </is>
      </c>
      <c r="F1094" s="99" t="n">
        <v>45015</v>
      </c>
      <c r="G1094" s="100" t="n"/>
    </row>
    <row r="1095" ht="16" customHeight="1">
      <c r="A1095" s="98" t="n">
        <v>15621</v>
      </c>
      <c r="B1095" s="98" t="inlineStr">
        <is>
          <t>JAMESON IRISH</t>
        </is>
      </c>
      <c r="C1095" s="97">
        <f>VLOOKUP(A1095,SizeData!A$2:B$3839,2,FALSE)</f>
        <v/>
      </c>
      <c r="D1095" s="98" t="n">
        <v>1</v>
      </c>
      <c r="E1095" s="98" t="inlineStr">
        <is>
          <t>R1957712</t>
        </is>
      </c>
      <c r="F1095" s="99" t="n">
        <v>44958</v>
      </c>
      <c r="G1095" s="100" t="n"/>
    </row>
    <row r="1096" ht="16" customHeight="1">
      <c r="A1096" s="98" t="n">
        <v>15626</v>
      </c>
      <c r="B1096" s="98" t="inlineStr">
        <is>
          <t>JAMESON IRISH</t>
        </is>
      </c>
      <c r="C1096" s="97">
        <f>VLOOKUP(A1096,SizeData!A$2:B$3839,2,FALSE)</f>
        <v/>
      </c>
      <c r="D1096" s="98" t="n">
        <v>20</v>
      </c>
      <c r="E1096" s="98" t="inlineStr">
        <is>
          <t>R1990212</t>
        </is>
      </c>
      <c r="F1096" s="99" t="n">
        <v>44965</v>
      </c>
      <c r="G1096" s="100" t="n"/>
    </row>
    <row r="1097" ht="16" customHeight="1">
      <c r="A1097" s="98" t="n">
        <v>15626</v>
      </c>
      <c r="B1097" s="98" t="inlineStr">
        <is>
          <t>JAMESON IRISH</t>
        </is>
      </c>
      <c r="C1097" s="97">
        <f>VLOOKUP(A1097,SizeData!A$2:B$3839,2,FALSE)</f>
        <v/>
      </c>
      <c r="D1097" s="98" t="n">
        <v>10</v>
      </c>
      <c r="E1097" s="98" t="inlineStr">
        <is>
          <t>R1967890</t>
        </is>
      </c>
      <c r="F1097" s="99" t="n">
        <v>44965</v>
      </c>
      <c r="G1097" s="100" t="n"/>
    </row>
    <row r="1098" ht="16" customHeight="1">
      <c r="A1098" s="98" t="n">
        <v>15621</v>
      </c>
      <c r="B1098" s="98" t="inlineStr">
        <is>
          <t>JAMESON IRISH</t>
        </is>
      </c>
      <c r="C1098" s="97">
        <f>VLOOKUP(A1098,SizeData!A$2:B$3839,2,FALSE)</f>
        <v/>
      </c>
      <c r="D1098" s="98" t="n">
        <v>1</v>
      </c>
      <c r="E1098" s="98" t="inlineStr">
        <is>
          <t>R1968356</t>
        </is>
      </c>
      <c r="F1098" s="99" t="n">
        <v>44966</v>
      </c>
      <c r="G1098" s="100" t="n"/>
    </row>
    <row r="1099" ht="16" customHeight="1">
      <c r="A1099" s="98" t="n">
        <v>15621</v>
      </c>
      <c r="B1099" s="98" t="inlineStr">
        <is>
          <t>JAMESON IRISH</t>
        </is>
      </c>
      <c r="C1099" s="97">
        <f>VLOOKUP(A1099,SizeData!A$2:B$3839,2,FALSE)</f>
        <v/>
      </c>
      <c r="D1099" s="98" t="n">
        <v>1</v>
      </c>
      <c r="E1099" s="98" t="inlineStr">
        <is>
          <t>R1977869</t>
        </is>
      </c>
      <c r="F1099" s="99" t="n">
        <v>44977</v>
      </c>
      <c r="G1099" s="100" t="n"/>
    </row>
    <row r="1100" ht="16" customHeight="1">
      <c r="A1100" s="98" t="n">
        <v>15628</v>
      </c>
      <c r="B1100" s="98" t="inlineStr">
        <is>
          <t>JAMESON IRISH</t>
        </is>
      </c>
      <c r="C1100" s="97">
        <f>VLOOKUP(A1100,SizeData!A$2:B$3839,2,FALSE)</f>
        <v/>
      </c>
      <c r="D1100" s="98" t="n">
        <v>5</v>
      </c>
      <c r="E1100" s="98" t="inlineStr">
        <is>
          <t>R2071539</t>
        </is>
      </c>
      <c r="F1100" s="99" t="n">
        <v>45034</v>
      </c>
      <c r="G1100" s="100" t="n"/>
    </row>
    <row r="1101" ht="16" customHeight="1">
      <c r="A1101" s="101" t="n">
        <v>15628</v>
      </c>
      <c r="B1101" s="101" t="inlineStr">
        <is>
          <t>JAMESON IRISH</t>
        </is>
      </c>
      <c r="C1101" s="102">
        <f>VLOOKUP(A1101,SizeData!A$2:B$3839,2,FALSE)</f>
        <v/>
      </c>
      <c r="D1101" s="101" t="n">
        <v>2</v>
      </c>
      <c r="E1101" s="101" t="inlineStr">
        <is>
          <t>R2082317</t>
        </is>
      </c>
      <c r="F1101" s="103" t="n">
        <v>45047</v>
      </c>
      <c r="G1101" s="104" t="n"/>
    </row>
    <row r="1102" ht="16" customHeight="1">
      <c r="A1102" s="98" t="n">
        <v>19068</v>
      </c>
      <c r="B1102" s="98" t="inlineStr">
        <is>
          <t>JIM BEAM</t>
        </is>
      </c>
      <c r="C1102" s="97">
        <f>VLOOKUP(A1102,SizeData!A$2:B$3839,2,FALSE)</f>
        <v/>
      </c>
      <c r="D1102" s="98" t="n">
        <v>3</v>
      </c>
      <c r="E1102" s="98" t="inlineStr">
        <is>
          <t>R1962631</t>
        </is>
      </c>
      <c r="F1102" s="99" t="n">
        <v>44959</v>
      </c>
      <c r="G1102" s="100" t="n"/>
    </row>
    <row r="1103" ht="16" customHeight="1">
      <c r="A1103" s="98" t="n">
        <v>19068</v>
      </c>
      <c r="B1103" s="98" t="inlineStr">
        <is>
          <t>JIM BEAM</t>
        </is>
      </c>
      <c r="C1103" s="97">
        <f>VLOOKUP(A1103,SizeData!A$2:B$3839,2,FALSE)</f>
        <v/>
      </c>
      <c r="D1103" s="98" t="n">
        <v>15</v>
      </c>
      <c r="E1103" s="98" t="inlineStr">
        <is>
          <t>R1976013</t>
        </is>
      </c>
      <c r="F1103" s="99" t="n">
        <v>44964</v>
      </c>
      <c r="G1103" s="100" t="n"/>
    </row>
    <row r="1104" ht="16" customHeight="1">
      <c r="A1104" s="98" t="n">
        <v>19112</v>
      </c>
      <c r="B1104" s="98" t="inlineStr">
        <is>
          <t>JIM BEAM DEVIL'S CUT KENTUCKY STRAIGHT BOURBON</t>
        </is>
      </c>
      <c r="C1104" s="97">
        <f>VLOOKUP(A1104,SizeData!A$2:B$3839,2,FALSE)</f>
        <v/>
      </c>
      <c r="D1104" s="98" t="n">
        <v>1</v>
      </c>
      <c r="E1104" s="98" t="inlineStr">
        <is>
          <t>R2014242</t>
        </is>
      </c>
      <c r="F1104" s="99" t="n">
        <v>44999</v>
      </c>
      <c r="G1104" s="100" t="n"/>
    </row>
    <row r="1105" ht="16" customHeight="1">
      <c r="A1105" s="101" t="n">
        <v>27410</v>
      </c>
      <c r="B1105" s="101" t="inlineStr">
        <is>
          <t>JIM BEAM HONEY WHISKEY</t>
        </is>
      </c>
      <c r="C1105" s="102">
        <f>VLOOKUP(A1105,SizeData!A$2:B$3839,2,FALSE)</f>
        <v/>
      </c>
      <c r="D1105" s="101" t="n">
        <v>1</v>
      </c>
      <c r="E1105" s="101" t="inlineStr">
        <is>
          <t>R2055049</t>
        </is>
      </c>
      <c r="F1105" s="103" t="n">
        <v>45017</v>
      </c>
      <c r="G1105" s="104" t="n"/>
    </row>
    <row r="1106" ht="16" customHeight="1">
      <c r="A1106" s="98" t="n">
        <v>28279</v>
      </c>
      <c r="B1106" s="98" t="inlineStr">
        <is>
          <t>JIM BEAM PEACH FLAVORED WHISKEY</t>
        </is>
      </c>
      <c r="C1106" s="97">
        <f>VLOOKUP(A1106,SizeData!A$2:B$3839,2,FALSE)</f>
        <v/>
      </c>
      <c r="D1106" s="98" t="n">
        <v>1</v>
      </c>
      <c r="E1106" s="98" t="inlineStr">
        <is>
          <t>R1924344</t>
        </is>
      </c>
      <c r="F1106" s="99" t="n">
        <v>44933</v>
      </c>
      <c r="G1106" s="100" t="n"/>
    </row>
    <row r="1107" ht="16" customHeight="1">
      <c r="A1107" s="98" t="n">
        <v>28281</v>
      </c>
      <c r="B1107" s="98" t="inlineStr">
        <is>
          <t>JIM BEAM PEACH FLAVORED WHISKEY</t>
        </is>
      </c>
      <c r="C1107" s="97">
        <f>VLOOKUP(A1107,SizeData!A$2:B$3839,2,FALSE)</f>
        <v/>
      </c>
      <c r="D1107" s="98" t="n">
        <v>4</v>
      </c>
      <c r="E1107" s="98" t="inlineStr">
        <is>
          <t>R1977494</t>
        </is>
      </c>
      <c r="F1107" s="99" t="n">
        <v>44979</v>
      </c>
      <c r="G1107" s="100" t="n"/>
    </row>
    <row r="1108" ht="16" customHeight="1">
      <c r="A1108" s="98" t="n">
        <v>28279</v>
      </c>
      <c r="B1108" s="98" t="inlineStr">
        <is>
          <t>JIM BEAM PEACH FLAVORED WHISKEY</t>
        </is>
      </c>
      <c r="C1108" s="97">
        <f>VLOOKUP(A1108,SizeData!A$2:B$3839,2,FALSE)</f>
        <v/>
      </c>
      <c r="D1108" s="98" t="n">
        <v>1</v>
      </c>
      <c r="E1108" s="98" t="inlineStr">
        <is>
          <t>R2055049</t>
        </is>
      </c>
      <c r="F1108" s="99" t="n">
        <v>45017</v>
      </c>
      <c r="G1108" s="100" t="n"/>
    </row>
    <row r="1109" ht="16" customHeight="1">
      <c r="A1109" s="98" t="n">
        <v>19066</v>
      </c>
      <c r="B1109" s="98" t="inlineStr">
        <is>
          <t>JIM BEAM STRAIGHT BOURBON WHISKEY</t>
        </is>
      </c>
      <c r="C1109" s="97">
        <f>VLOOKUP(A1109,SizeData!A$2:B$3839,2,FALSE)</f>
        <v/>
      </c>
      <c r="D1109" s="98" t="n">
        <v>4</v>
      </c>
      <c r="E1109" s="98" t="inlineStr">
        <is>
          <t>R1918990</t>
        </is>
      </c>
      <c r="F1109" s="99" t="n">
        <v>44928</v>
      </c>
      <c r="G1109" s="100" t="n"/>
    </row>
    <row r="1110" ht="16" customHeight="1">
      <c r="A1110" s="98" t="n">
        <v>710921</v>
      </c>
      <c r="B1110" s="98" t="inlineStr">
        <is>
          <t>MOET CHANDON NECTAR IMPERIAL ROSE</t>
        </is>
      </c>
      <c r="C1110" s="97">
        <f>VLOOKUP(A1110,SizeData!A$2:B$3839,2,FALSE)</f>
        <v/>
      </c>
      <c r="D1110" s="98" t="n">
        <v>1</v>
      </c>
      <c r="E1110" s="98" t="inlineStr">
        <is>
          <t>R1901365</t>
        </is>
      </c>
      <c r="F1110" s="99" t="n">
        <v>44905</v>
      </c>
      <c r="G1110" s="100" t="n"/>
    </row>
    <row r="1111" ht="16" customHeight="1">
      <c r="A1111" s="98" t="n">
        <v>710921</v>
      </c>
      <c r="B1111" s="98" t="inlineStr">
        <is>
          <t>MOET CHANDON NECTAR IMPERIAL ROSE</t>
        </is>
      </c>
      <c r="C1111" s="97">
        <f>VLOOKUP(A1111,SizeData!A$2:B$3839,2,FALSE)</f>
        <v/>
      </c>
      <c r="D1111" s="98" t="n">
        <v>3</v>
      </c>
      <c r="E1111" s="98" t="inlineStr">
        <is>
          <t>R1901365</t>
        </is>
      </c>
      <c r="F1111" s="99" t="n">
        <v>44905</v>
      </c>
      <c r="G1111" s="100" t="n"/>
    </row>
    <row r="1112" ht="16" customHeight="1">
      <c r="A1112" s="98" t="n">
        <v>19066</v>
      </c>
      <c r="B1112" s="98" t="inlineStr">
        <is>
          <t>JIM BEAM STRAIGHT BOURBON WHISKEY</t>
        </is>
      </c>
      <c r="C1112" s="97">
        <f>VLOOKUP(A1112,SizeData!A$2:B$3839,2,FALSE)</f>
        <v/>
      </c>
      <c r="D1112" s="98" t="n">
        <v>1</v>
      </c>
      <c r="E1112" s="98" t="inlineStr">
        <is>
          <t>R2019856</t>
        </is>
      </c>
      <c r="F1112" s="99" t="n">
        <v>45005</v>
      </c>
      <c r="G1112" s="100" t="n"/>
    </row>
    <row r="1113" ht="16" customHeight="1">
      <c r="A1113" s="98" t="n">
        <v>803485</v>
      </c>
      <c r="B1113" s="98" t="inlineStr">
        <is>
          <t>MOGEN DAVID BLACKBERRY</t>
        </is>
      </c>
      <c r="C1113" s="97">
        <f>VLOOKUP(A1113,SizeData!A$2:B$3839,2,FALSE)</f>
        <v/>
      </c>
      <c r="D1113" s="98" t="n">
        <v>1</v>
      </c>
      <c r="E1113" s="98" t="inlineStr">
        <is>
          <t>R1903425</t>
        </is>
      </c>
      <c r="F1113" s="99" t="n">
        <v>44908</v>
      </c>
      <c r="G1113" s="100" t="n"/>
    </row>
    <row r="1114" ht="16" customHeight="1">
      <c r="A1114" s="98" t="n">
        <v>803470</v>
      </c>
      <c r="B1114" s="98" t="inlineStr">
        <is>
          <t>MOGEN DAVID BLACKBERRY</t>
        </is>
      </c>
      <c r="C1114" s="97">
        <f>VLOOKUP(A1114,SizeData!A$2:B$3839,2,FALSE)</f>
        <v/>
      </c>
      <c r="D1114" s="98" t="n">
        <v>1</v>
      </c>
      <c r="E1114" s="98" t="inlineStr">
        <is>
          <t>R1903425</t>
        </is>
      </c>
      <c r="F1114" s="99" t="n">
        <v>44908</v>
      </c>
      <c r="G1114" s="100" t="n"/>
    </row>
    <row r="1115" ht="16" customHeight="1">
      <c r="A1115" s="98" t="n">
        <v>19066</v>
      </c>
      <c r="B1115" s="98" t="inlineStr">
        <is>
          <t>JIM BEAM STRAIGHT BOURBON WHISKEY</t>
        </is>
      </c>
      <c r="C1115" s="97">
        <f>VLOOKUP(A1115,SizeData!A$2:B$3839,2,FALSE)</f>
        <v/>
      </c>
      <c r="D1115" s="98" t="n">
        <v>1</v>
      </c>
      <c r="E1115" s="98" t="inlineStr">
        <is>
          <t>R2055049</t>
        </is>
      </c>
      <c r="F1115" s="99" t="n">
        <v>45017</v>
      </c>
      <c r="G1115" s="100" t="n"/>
    </row>
    <row r="1116" ht="16" customHeight="1">
      <c r="A1116" s="98" t="n">
        <v>19066</v>
      </c>
      <c r="B1116" s="98" t="inlineStr">
        <is>
          <t>JIM BEAM STRAIGHT BOURBON WHISKEY</t>
        </is>
      </c>
      <c r="C1116" s="97">
        <f>VLOOKUP(A1116,SizeData!A$2:B$3839,2,FALSE)</f>
        <v/>
      </c>
      <c r="D1116" s="98" t="n">
        <v>5</v>
      </c>
      <c r="E1116" s="98" t="inlineStr">
        <is>
          <t>R2055448</t>
        </is>
      </c>
      <c r="F1116" s="99" t="n">
        <v>45021</v>
      </c>
      <c r="G1116" s="100" t="n"/>
    </row>
    <row r="1117" ht="16" customHeight="1">
      <c r="A1117" s="98" t="n">
        <v>19066</v>
      </c>
      <c r="B1117" s="98" t="inlineStr">
        <is>
          <t>JIM BEAM STRAIGHT BOURBON WHISKEY</t>
        </is>
      </c>
      <c r="C1117" s="97">
        <f>VLOOKUP(A1117,SizeData!A$2:B$3839,2,FALSE)</f>
        <v/>
      </c>
      <c r="D1117" s="98" t="n">
        <v>2</v>
      </c>
      <c r="E1117" s="98" t="inlineStr">
        <is>
          <t>R2059845</t>
        </is>
      </c>
      <c r="F1117" s="99" t="n">
        <v>45041</v>
      </c>
      <c r="G1117" s="100" t="n"/>
    </row>
    <row r="1118" ht="16" customHeight="1">
      <c r="A1118" s="98" t="n">
        <v>19064</v>
      </c>
      <c r="B1118" s="98" t="inlineStr">
        <is>
          <t>JIM BEAM WHITE</t>
        </is>
      </c>
      <c r="C1118" s="97">
        <f>VLOOKUP(A1118,SizeData!A$2:B$3839,2,FALSE)</f>
        <v/>
      </c>
      <c r="D1118" s="98" t="n">
        <v>2</v>
      </c>
      <c r="E1118" s="98" t="inlineStr">
        <is>
          <t>R2012784</t>
        </is>
      </c>
      <c r="F1118" s="99" t="n">
        <v>44992</v>
      </c>
      <c r="G1118" s="100" t="n"/>
    </row>
    <row r="1119" ht="16" customHeight="1">
      <c r="A1119" s="98" t="n">
        <v>19063</v>
      </c>
      <c r="B1119" s="98" t="inlineStr">
        <is>
          <t>JIM BEAM WHITE</t>
        </is>
      </c>
      <c r="C1119" s="97">
        <f>VLOOKUP(A1119,SizeData!A$2:B$3839,2,FALSE)</f>
        <v/>
      </c>
      <c r="D1119" s="98" t="n">
        <v>1</v>
      </c>
      <c r="E1119" s="98" t="inlineStr">
        <is>
          <t>R2072202</t>
        </is>
      </c>
      <c r="F1119" s="99" t="n">
        <v>45033</v>
      </c>
      <c r="G1119" s="100" t="n"/>
    </row>
    <row r="1120" ht="16" customHeight="1">
      <c r="A1120" s="98" t="n">
        <v>19070</v>
      </c>
      <c r="B1120" s="98" t="inlineStr">
        <is>
          <t>JIM BEAM WHITE (PET)</t>
        </is>
      </c>
      <c r="C1120" s="97">
        <f>VLOOKUP(A1120,SizeData!A$2:B$3839,2,FALSE)</f>
        <v/>
      </c>
      <c r="D1120" s="98" t="n">
        <v>1</v>
      </c>
      <c r="E1120" s="98" t="inlineStr">
        <is>
          <t>R1929741</t>
        </is>
      </c>
      <c r="F1120" s="99" t="n">
        <v>44935</v>
      </c>
      <c r="G1120" s="100" t="n"/>
    </row>
    <row r="1121" ht="16" customHeight="1">
      <c r="A1121" s="98" t="n">
        <v>19070</v>
      </c>
      <c r="B1121" s="98" t="inlineStr">
        <is>
          <t>JIM BEAM WHITE (PET)</t>
        </is>
      </c>
      <c r="C1121" s="97">
        <f>VLOOKUP(A1121,SizeData!A$2:B$3839,2,FALSE)</f>
        <v/>
      </c>
      <c r="D1121" s="98" t="n">
        <v>3</v>
      </c>
      <c r="E1121" s="98" t="inlineStr">
        <is>
          <t>R1946720</t>
        </is>
      </c>
      <c r="F1121" s="99" t="n">
        <v>44943</v>
      </c>
      <c r="G1121" s="100" t="n"/>
    </row>
    <row r="1122" ht="16" customHeight="1">
      <c r="A1122" s="98" t="n">
        <v>5339</v>
      </c>
      <c r="B1122" s="98" t="inlineStr">
        <is>
          <t>JOHNNIE WALKER BLACK LABEL</t>
        </is>
      </c>
      <c r="C1122" s="97">
        <f>VLOOKUP(A1122,SizeData!A$2:B$3839,2,FALSE)</f>
        <v/>
      </c>
      <c r="D1122" s="98" t="n">
        <v>2</v>
      </c>
      <c r="E1122" s="98" t="inlineStr">
        <is>
          <t>R2079010</t>
        </is>
      </c>
      <c r="F1122" s="99" t="n">
        <v>45045</v>
      </c>
      <c r="G1122" s="100" t="n"/>
    </row>
    <row r="1123" ht="16" customHeight="1">
      <c r="A1123" s="98" t="n">
        <v>58858</v>
      </c>
      <c r="B1123" s="98" t="inlineStr">
        <is>
          <t>JOSE CUERVO (JC) STRAWBERRY LIME (PET)</t>
        </is>
      </c>
      <c r="C1123" s="97">
        <f>VLOOKUP(A1123,SizeData!A$2:B$3839,2,FALSE)</f>
        <v/>
      </c>
      <c r="D1123" s="98" t="n">
        <v>2</v>
      </c>
      <c r="E1123" s="98" t="inlineStr">
        <is>
          <t>R2065113</t>
        </is>
      </c>
      <c r="F1123" s="99" t="n">
        <v>45022</v>
      </c>
      <c r="G1123" s="100" t="n"/>
    </row>
    <row r="1124" ht="16" customHeight="1">
      <c r="A1124" s="101" t="n">
        <v>58858</v>
      </c>
      <c r="B1124" s="101" t="inlineStr">
        <is>
          <t>JOSE CUERVO (JC) STRAWBERRY LIME (PET)</t>
        </is>
      </c>
      <c r="C1124" s="102">
        <f>VLOOKUP(A1124,SizeData!A$2:B$3839,2,FALSE)</f>
        <v/>
      </c>
      <c r="D1124" s="101" t="n">
        <v>1</v>
      </c>
      <c r="E1124" s="101" t="inlineStr">
        <is>
          <t>R2070652</t>
        </is>
      </c>
      <c r="F1124" s="103" t="n">
        <v>45028</v>
      </c>
      <c r="G1124" s="104" t="n"/>
    </row>
    <row r="1125" ht="16" customHeight="1">
      <c r="A1125" s="101" t="n">
        <v>58874</v>
      </c>
      <c r="B1125" s="101" t="inlineStr">
        <is>
          <t>JOSE CUERVO AUTHENTIC PINK LEMONADE</t>
        </is>
      </c>
      <c r="C1125" s="102">
        <f>VLOOKUP(A1125,SizeData!A$2:B$3839,2,FALSE)</f>
        <v/>
      </c>
      <c r="D1125" s="101" t="n">
        <v>1</v>
      </c>
      <c r="E1125" s="101" t="inlineStr">
        <is>
          <t>R2047859</t>
        </is>
      </c>
      <c r="F1125" s="103" t="n">
        <v>45016</v>
      </c>
      <c r="G1125" s="104" t="n"/>
    </row>
    <row r="1126" ht="16" customHeight="1">
      <c r="A1126" s="98" t="n">
        <v>100686</v>
      </c>
      <c r="B1126" s="98" t="inlineStr">
        <is>
          <t>JOSE CUERVO AUTHENTIC PINK LEMONADE (4PK)</t>
        </is>
      </c>
      <c r="C1126" s="97">
        <f>VLOOKUP(A1126,SizeData!A$2:B$3839,2,FALSE)</f>
        <v/>
      </c>
      <c r="D1126" s="98" t="n">
        <v>2</v>
      </c>
      <c r="E1126" s="98" t="inlineStr">
        <is>
          <t>R2070652</t>
        </is>
      </c>
      <c r="F1126" s="99" t="n">
        <v>45028</v>
      </c>
      <c r="G1126" s="100" t="n"/>
    </row>
    <row r="1127" ht="16" customHeight="1">
      <c r="A1127" s="98" t="n">
        <v>58918</v>
      </c>
      <c r="B1127" s="98" t="inlineStr">
        <is>
          <t>JOSE CUERVO AUTHENTIC STRAWBERRY CANS</t>
        </is>
      </c>
      <c r="C1127" s="97">
        <f>VLOOKUP(A1127,SizeData!A$2:B$3839,2,FALSE)</f>
        <v/>
      </c>
      <c r="D1127" s="98" t="n">
        <v>1</v>
      </c>
      <c r="E1127" s="98" t="inlineStr">
        <is>
          <t>R1919341</t>
        </is>
      </c>
      <c r="F1127" s="99" t="n">
        <v>44930</v>
      </c>
      <c r="G1127" s="100" t="n"/>
    </row>
    <row r="1128" ht="16" customHeight="1">
      <c r="A1128" s="98" t="n">
        <v>58918</v>
      </c>
      <c r="B1128" s="98" t="inlineStr">
        <is>
          <t>JOSE CUERVO AUTHENTIC STRAWBERRY CANS</t>
        </is>
      </c>
      <c r="C1128" s="97">
        <f>VLOOKUP(A1128,SizeData!A$2:B$3839,2,FALSE)</f>
        <v/>
      </c>
      <c r="D1128" s="98" t="n">
        <v>1</v>
      </c>
      <c r="E1128" s="98" t="inlineStr">
        <is>
          <t>R1968356</t>
        </is>
      </c>
      <c r="F1128" s="99" t="n">
        <v>44966</v>
      </c>
      <c r="G1128" s="100" t="n"/>
    </row>
    <row r="1129" ht="16" customHeight="1">
      <c r="A1129" s="98" t="n">
        <v>58918</v>
      </c>
      <c r="B1129" s="98" t="inlineStr">
        <is>
          <t>JOSE CUERVO AUTHENTIC STRAWBERRY CANS</t>
        </is>
      </c>
      <c r="C1129" s="97">
        <f>VLOOKUP(A1129,SizeData!A$2:B$3839,2,FALSE)</f>
        <v/>
      </c>
      <c r="D1129" s="98" t="n">
        <v>1</v>
      </c>
      <c r="E1129" s="98" t="inlineStr">
        <is>
          <t>R2055049</t>
        </is>
      </c>
      <c r="F1129" s="99" t="n">
        <v>45017</v>
      </c>
      <c r="G1129" s="100" t="n"/>
    </row>
    <row r="1130" ht="16" customHeight="1">
      <c r="A1130" s="98" t="n">
        <v>487010</v>
      </c>
      <c r="B1130" s="98" t="inlineStr">
        <is>
          <t>MOGEN DAVID CONCORD</t>
        </is>
      </c>
      <c r="C1130" s="97">
        <f>VLOOKUP(A1130,SizeData!A$2:B$3839,2,FALSE)</f>
        <v/>
      </c>
      <c r="D1130" s="98" t="n">
        <v>2</v>
      </c>
      <c r="E1130" s="98" t="inlineStr">
        <is>
          <t>R1921439</t>
        </is>
      </c>
      <c r="F1130" s="99" t="n">
        <v>44921</v>
      </c>
      <c r="G1130" s="100" t="n"/>
    </row>
    <row r="1131" ht="16" customHeight="1">
      <c r="A1131" s="98" t="n">
        <v>487000</v>
      </c>
      <c r="B1131" s="98" t="inlineStr">
        <is>
          <t>MOGEN DAVID CONCORD</t>
        </is>
      </c>
      <c r="C1131" s="97">
        <f>VLOOKUP(A1131,SizeData!A$2:B$3839,2,FALSE)</f>
        <v/>
      </c>
      <c r="D1131" s="98" t="n">
        <v>1</v>
      </c>
      <c r="E1131" s="98" t="inlineStr">
        <is>
          <t>R1917442</t>
        </is>
      </c>
      <c r="F1131" s="99" t="n">
        <v>44922</v>
      </c>
      <c r="G1131" s="100" t="n"/>
    </row>
    <row r="1132" ht="16" customHeight="1">
      <c r="A1132" s="98" t="n">
        <v>58918</v>
      </c>
      <c r="B1132" s="98" t="inlineStr">
        <is>
          <t>JOSE CUERVO AUTHENTIC STRAWBERRY CANS</t>
        </is>
      </c>
      <c r="C1132" s="97">
        <f>VLOOKUP(A1132,SizeData!A$2:B$3839,2,FALSE)</f>
        <v/>
      </c>
      <c r="D1132" s="98" t="n">
        <v>1</v>
      </c>
      <c r="E1132" s="98" t="inlineStr">
        <is>
          <t>R2065113</t>
        </is>
      </c>
      <c r="F1132" s="99" t="n">
        <v>45022</v>
      </c>
      <c r="G1132" s="100" t="n"/>
    </row>
    <row r="1133" ht="16" customHeight="1">
      <c r="A1133" s="98" t="n">
        <v>87410</v>
      </c>
      <c r="B1133" s="98" t="inlineStr">
        <is>
          <t>JOSE CUERVO ESPECIAL SILVER</t>
        </is>
      </c>
      <c r="C1133" s="97">
        <f>VLOOKUP(A1133,SizeData!A$2:B$3839,2,FALSE)</f>
        <v/>
      </c>
      <c r="D1133" s="98" t="n">
        <v>2</v>
      </c>
      <c r="E1133" s="98" t="inlineStr">
        <is>
          <t>R1977869</t>
        </is>
      </c>
      <c r="F1133" s="99" t="n">
        <v>44977</v>
      </c>
      <c r="G1133" s="100" t="n"/>
    </row>
    <row r="1134" ht="16" customHeight="1">
      <c r="A1134" s="98" t="n">
        <v>87410</v>
      </c>
      <c r="B1134" s="98" t="inlineStr">
        <is>
          <t>JOSE CUERVO ESPECIAL SILVER</t>
        </is>
      </c>
      <c r="C1134" s="97">
        <f>VLOOKUP(A1134,SizeData!A$2:B$3839,2,FALSE)</f>
        <v/>
      </c>
      <c r="D1134" s="98" t="n">
        <v>1</v>
      </c>
      <c r="E1134" s="98" t="inlineStr">
        <is>
          <t>R2055049</t>
        </is>
      </c>
      <c r="F1134" s="99" t="n">
        <v>45017</v>
      </c>
      <c r="G1134" s="100" t="n"/>
    </row>
    <row r="1135" ht="16" customHeight="1">
      <c r="A1135" s="98" t="n">
        <v>87410</v>
      </c>
      <c r="B1135" s="98" t="inlineStr">
        <is>
          <t>JOSE CUERVO ESPECIAL SILVER</t>
        </is>
      </c>
      <c r="C1135" s="97">
        <f>VLOOKUP(A1135,SizeData!A$2:B$3839,2,FALSE)</f>
        <v/>
      </c>
      <c r="D1135" s="98" t="n">
        <v>4</v>
      </c>
      <c r="E1135" s="98" t="inlineStr">
        <is>
          <t>R2039665</t>
        </is>
      </c>
      <c r="F1135" s="99" t="n">
        <v>45021</v>
      </c>
      <c r="G1135" s="100" t="n"/>
    </row>
    <row r="1136" ht="16" customHeight="1">
      <c r="A1136" s="101" t="n">
        <v>87402</v>
      </c>
      <c r="B1136" s="101" t="inlineStr">
        <is>
          <t>JOSE CUERVO ESPECIAL SILVER</t>
        </is>
      </c>
      <c r="C1136" s="102">
        <f>VLOOKUP(A1136,SizeData!A$2:B$3839,2,FALSE)</f>
        <v/>
      </c>
      <c r="D1136" s="101" t="n">
        <v>1</v>
      </c>
      <c r="E1136" s="101" t="inlineStr">
        <is>
          <t>R1986800</t>
        </is>
      </c>
      <c r="F1136" s="103" t="n">
        <v>44972</v>
      </c>
      <c r="G1136" s="104" t="n"/>
    </row>
    <row r="1137" ht="16" customHeight="1">
      <c r="A1137" s="98" t="n">
        <v>87402</v>
      </c>
      <c r="B1137" s="98" t="inlineStr">
        <is>
          <t>JOSE CUERVO ESPECIAL SILVER</t>
        </is>
      </c>
      <c r="C1137" s="97">
        <f>VLOOKUP(A1137,SizeData!A$2:B$3839,2,FALSE)</f>
        <v/>
      </c>
      <c r="D1137" s="98" t="n">
        <v>3</v>
      </c>
      <c r="E1137" s="98" t="inlineStr">
        <is>
          <t>R1984031</t>
        </is>
      </c>
      <c r="F1137" s="99" t="n">
        <v>44980</v>
      </c>
      <c r="G1137" s="100" t="n"/>
    </row>
    <row r="1138" ht="16" customHeight="1">
      <c r="A1138" s="98" t="n">
        <v>87403</v>
      </c>
      <c r="B1138" s="98" t="inlineStr">
        <is>
          <t>JOSE CUERVO ESPECIAL SILVER</t>
        </is>
      </c>
      <c r="C1138" s="97">
        <f>VLOOKUP(A1138,SizeData!A$2:B$3839,2,FALSE)</f>
        <v/>
      </c>
      <c r="D1138" s="98" t="n">
        <v>1</v>
      </c>
      <c r="E1138" s="98" t="inlineStr">
        <is>
          <t>R1919341</t>
        </is>
      </c>
      <c r="F1138" s="99" t="n">
        <v>44930</v>
      </c>
      <c r="G1138" s="100" t="n"/>
    </row>
    <row r="1139" ht="16" customHeight="1">
      <c r="A1139" s="98" t="n">
        <v>87403</v>
      </c>
      <c r="B1139" s="98" t="inlineStr">
        <is>
          <t>JOSE CUERVO ESPECIAL SILVER</t>
        </is>
      </c>
      <c r="C1139" s="97">
        <f>VLOOKUP(A1139,SizeData!A$2:B$3839,2,FALSE)</f>
        <v/>
      </c>
      <c r="D1139" s="98" t="n">
        <v>1</v>
      </c>
      <c r="E1139" s="98" t="inlineStr">
        <is>
          <t>R1930280</t>
        </is>
      </c>
      <c r="F1139" s="99" t="n">
        <v>44935</v>
      </c>
      <c r="G1139" s="100" t="n"/>
    </row>
    <row r="1140" ht="16" customHeight="1">
      <c r="A1140" s="98" t="n">
        <v>87403</v>
      </c>
      <c r="B1140" s="98" t="inlineStr">
        <is>
          <t>JOSE CUERVO ESPECIAL SILVER</t>
        </is>
      </c>
      <c r="C1140" s="97">
        <f>VLOOKUP(A1140,SizeData!A$2:B$3839,2,FALSE)</f>
        <v/>
      </c>
      <c r="D1140" s="98" t="n">
        <v>4</v>
      </c>
      <c r="E1140" s="98" t="inlineStr">
        <is>
          <t>R1967166</t>
        </is>
      </c>
      <c r="F1140" s="99" t="n">
        <v>44958</v>
      </c>
      <c r="G1140" s="100" t="n"/>
    </row>
    <row r="1141" ht="16" customHeight="1">
      <c r="A1141" s="98" t="n">
        <v>87408</v>
      </c>
      <c r="B1141" s="98" t="inlineStr">
        <is>
          <t>JOSE CUERVO ESPECIAL SILVER</t>
        </is>
      </c>
      <c r="C1141" s="97">
        <f>VLOOKUP(A1141,SizeData!A$2:B$3839,2,FALSE)</f>
        <v/>
      </c>
      <c r="D1141" s="98" t="n">
        <v>7</v>
      </c>
      <c r="E1141" s="98" t="inlineStr">
        <is>
          <t>R2016308</t>
        </is>
      </c>
      <c r="F1141" s="99" t="n">
        <v>44987</v>
      </c>
      <c r="G1141" s="100" t="n"/>
    </row>
    <row r="1142" ht="16" customHeight="1">
      <c r="A1142" s="98" t="n">
        <v>89193</v>
      </c>
      <c r="B1142" s="98" t="inlineStr">
        <is>
          <t>JOSE CUERVO ESPECIAL TEQUILA</t>
        </is>
      </c>
      <c r="C1142" s="97">
        <f>VLOOKUP(A1142,SizeData!A$2:B$3839,2,FALSE)</f>
        <v/>
      </c>
      <c r="D1142" s="98" t="n">
        <v>1</v>
      </c>
      <c r="E1142" s="98" t="inlineStr">
        <is>
          <t>R1960169</t>
        </is>
      </c>
      <c r="F1142" s="99" t="n">
        <v>44951</v>
      </c>
      <c r="G1142" s="100" t="n"/>
    </row>
    <row r="1143" ht="16" customHeight="1">
      <c r="A1143" s="101" t="n">
        <v>89193</v>
      </c>
      <c r="B1143" s="101" t="inlineStr">
        <is>
          <t>JOSE CUERVO ESPECIAL TEQUILA</t>
        </is>
      </c>
      <c r="C1143" s="102">
        <f>VLOOKUP(A1143,SizeData!A$2:B$3839,2,FALSE)</f>
        <v/>
      </c>
      <c r="D1143" s="101" t="n">
        <v>1</v>
      </c>
      <c r="E1143" s="101" t="inlineStr">
        <is>
          <t>R1984031</t>
        </is>
      </c>
      <c r="F1143" s="103" t="n">
        <v>44980</v>
      </c>
      <c r="G1143" s="104" t="n"/>
    </row>
    <row r="1144" ht="16" customHeight="1">
      <c r="A1144" s="98" t="n">
        <v>89193</v>
      </c>
      <c r="B1144" s="98" t="inlineStr">
        <is>
          <t>JOSE CUERVO ESPECIAL TEQUILA</t>
        </is>
      </c>
      <c r="C1144" s="97">
        <f>VLOOKUP(A1144,SizeData!A$2:B$3839,2,FALSE)</f>
        <v/>
      </c>
      <c r="D1144" s="98" t="n">
        <v>1</v>
      </c>
      <c r="E1144" s="98" t="inlineStr">
        <is>
          <t>R2070652</t>
        </is>
      </c>
      <c r="F1144" s="99" t="n">
        <v>45028</v>
      </c>
      <c r="G1144" s="100" t="n"/>
    </row>
    <row r="1145" ht="16" customHeight="1">
      <c r="A1145" s="98" t="n">
        <v>89194</v>
      </c>
      <c r="B1145" s="98" t="inlineStr">
        <is>
          <t>JOSE CUERVO ESPECIAL TEQUILA</t>
        </is>
      </c>
      <c r="C1145" s="97">
        <f>VLOOKUP(A1145,SizeData!A$2:B$3839,2,FALSE)</f>
        <v/>
      </c>
      <c r="D1145" s="98" t="n">
        <v>6</v>
      </c>
      <c r="E1145" s="98" t="inlineStr">
        <is>
          <t>R1967166</t>
        </is>
      </c>
      <c r="F1145" s="99" t="n">
        <v>44958</v>
      </c>
      <c r="G1145" s="100" t="n"/>
    </row>
    <row r="1146" ht="16" customHeight="1">
      <c r="A1146" s="98" t="n">
        <v>89194</v>
      </c>
      <c r="B1146" s="98" t="inlineStr">
        <is>
          <t>JOSE CUERVO ESPECIAL TEQUILA</t>
        </is>
      </c>
      <c r="C1146" s="97">
        <f>VLOOKUP(A1146,SizeData!A$2:B$3839,2,FALSE)</f>
        <v/>
      </c>
      <c r="D1146" s="98" t="n">
        <v>5</v>
      </c>
      <c r="E1146" s="98" t="inlineStr">
        <is>
          <t>R1968845</t>
        </is>
      </c>
      <c r="F1146" s="99" t="n">
        <v>44966</v>
      </c>
      <c r="G1146" s="100" t="n"/>
    </row>
    <row r="1147" ht="16" customHeight="1">
      <c r="A1147" s="98" t="n">
        <v>89191</v>
      </c>
      <c r="B1147" s="98" t="inlineStr">
        <is>
          <t>JOSE CUERVO ESPECIAL TEQUILA</t>
        </is>
      </c>
      <c r="C1147" s="97">
        <f>VLOOKUP(A1147,SizeData!A$2:B$3839,2,FALSE)</f>
        <v/>
      </c>
      <c r="D1147" s="98" t="n">
        <v>2</v>
      </c>
      <c r="E1147" s="98" t="inlineStr">
        <is>
          <t>R2072202</t>
        </is>
      </c>
      <c r="F1147" s="99" t="n">
        <v>45033</v>
      </c>
      <c r="G1147" s="100" t="n"/>
    </row>
    <row r="1148" ht="16" customHeight="1">
      <c r="A1148" s="98" t="n">
        <v>89198</v>
      </c>
      <c r="B1148" s="98" t="inlineStr">
        <is>
          <t>JOSE CUERVO ESPECIAL TEQUILA GOLD</t>
        </is>
      </c>
      <c r="C1148" s="97">
        <f>VLOOKUP(A1148,SizeData!A$2:B$3839,2,FALSE)</f>
        <v/>
      </c>
      <c r="D1148" s="98" t="n">
        <v>2</v>
      </c>
      <c r="E1148" s="98" t="inlineStr">
        <is>
          <t>R1957712</t>
        </is>
      </c>
      <c r="F1148" s="99" t="n">
        <v>44958</v>
      </c>
      <c r="G1148" s="100" t="n"/>
    </row>
    <row r="1149" ht="16" customHeight="1">
      <c r="A1149" s="98" t="n">
        <v>89198</v>
      </c>
      <c r="B1149" s="98" t="inlineStr">
        <is>
          <t>JOSE CUERVO ESPECIAL TEQUILA GOLD</t>
        </is>
      </c>
      <c r="C1149" s="97">
        <f>VLOOKUP(A1149,SizeData!A$2:B$3839,2,FALSE)</f>
        <v/>
      </c>
      <c r="D1149" s="98" t="n">
        <v>1</v>
      </c>
      <c r="E1149" s="98" t="inlineStr">
        <is>
          <t>R1977869</t>
        </is>
      </c>
      <c r="F1149" s="99" t="n">
        <v>44977</v>
      </c>
      <c r="G1149" s="100" t="n"/>
    </row>
    <row r="1150" ht="16" customHeight="1">
      <c r="A1150" s="98" t="n">
        <v>89198</v>
      </c>
      <c r="B1150" s="98" t="inlineStr">
        <is>
          <t>JOSE CUERVO ESPECIAL TEQUILA GOLD</t>
        </is>
      </c>
      <c r="C1150" s="97">
        <f>VLOOKUP(A1150,SizeData!A$2:B$3839,2,FALSE)</f>
        <v/>
      </c>
      <c r="D1150" s="98" t="n">
        <v>1</v>
      </c>
      <c r="E1150" s="98" t="inlineStr">
        <is>
          <t>R2035913</t>
        </is>
      </c>
      <c r="F1150" s="99" t="n">
        <v>45005</v>
      </c>
      <c r="G1150" s="100" t="n"/>
    </row>
    <row r="1151" ht="16" customHeight="1">
      <c r="A1151" s="98" t="n">
        <v>89198</v>
      </c>
      <c r="B1151" s="98" t="inlineStr">
        <is>
          <t>JOSE CUERVO ESPECIAL TEQUILA GOLD</t>
        </is>
      </c>
      <c r="C1151" s="97">
        <f>VLOOKUP(A1151,SizeData!A$2:B$3839,2,FALSE)</f>
        <v/>
      </c>
      <c r="D1151" s="98" t="n">
        <v>1</v>
      </c>
      <c r="E1151" s="98" t="inlineStr">
        <is>
          <t>R2055049</t>
        </is>
      </c>
      <c r="F1151" s="99" t="n">
        <v>45017</v>
      </c>
      <c r="G1151" s="100" t="n"/>
    </row>
    <row r="1152" ht="16" customHeight="1">
      <c r="A1152" s="98" t="n">
        <v>89198</v>
      </c>
      <c r="B1152" s="98" t="inlineStr">
        <is>
          <t>JOSE CUERVO ESPECIAL TEQUILA GOLD</t>
        </is>
      </c>
      <c r="C1152" s="97">
        <f>VLOOKUP(A1152,SizeData!A$2:B$3839,2,FALSE)</f>
        <v/>
      </c>
      <c r="D1152" s="98" t="n">
        <v>6</v>
      </c>
      <c r="E1152" s="98" t="inlineStr">
        <is>
          <t>R2039665</t>
        </is>
      </c>
      <c r="F1152" s="99" t="n">
        <v>45021</v>
      </c>
      <c r="G1152" s="100" t="n"/>
    </row>
    <row r="1153" ht="16" customHeight="1">
      <c r="A1153" s="98" t="n">
        <v>89196</v>
      </c>
      <c r="B1153" s="98" t="inlineStr">
        <is>
          <t>JOSE CUERVO ESPECIAL TEQUILA GOLD</t>
        </is>
      </c>
      <c r="C1153" s="97">
        <f>VLOOKUP(A1153,SizeData!A$2:B$3839,2,FALSE)</f>
        <v/>
      </c>
      <c r="D1153" s="98" t="n">
        <v>2</v>
      </c>
      <c r="E1153" s="98" t="inlineStr">
        <is>
          <t>R1988715</t>
        </is>
      </c>
      <c r="F1153" s="99" t="n">
        <v>44975</v>
      </c>
      <c r="G1153" s="100" t="n"/>
    </row>
    <row r="1154" ht="16" customHeight="1">
      <c r="A1154" s="98" t="n">
        <v>89196</v>
      </c>
      <c r="B1154" s="98" t="inlineStr">
        <is>
          <t>JOSE CUERVO ESPECIAL TEQUILA GOLD</t>
        </is>
      </c>
      <c r="C1154" s="97">
        <f>VLOOKUP(A1154,SizeData!A$2:B$3839,2,FALSE)</f>
        <v/>
      </c>
      <c r="D1154" s="98" t="n">
        <v>2</v>
      </c>
      <c r="E1154" s="98" t="inlineStr">
        <is>
          <t>R2030138</t>
        </is>
      </c>
      <c r="F1154" s="99" t="n">
        <v>44986</v>
      </c>
      <c r="G1154" s="100" t="n"/>
    </row>
    <row r="1155" ht="16" customHeight="1">
      <c r="A1155" s="98" t="n">
        <v>89196</v>
      </c>
      <c r="B1155" s="98" t="inlineStr">
        <is>
          <t>JOSE CUERVO ESPECIAL TEQUILA GOLD</t>
        </is>
      </c>
      <c r="C1155" s="97">
        <f>VLOOKUP(A1155,SizeData!A$2:B$3839,2,FALSE)</f>
        <v/>
      </c>
      <c r="D1155" s="98" t="n">
        <v>5</v>
      </c>
      <c r="E1155" s="98" t="inlineStr">
        <is>
          <t>R1999510</t>
        </is>
      </c>
      <c r="F1155" s="99" t="n">
        <v>44987</v>
      </c>
      <c r="G1155" s="100" t="n"/>
    </row>
    <row r="1156" ht="16" customHeight="1">
      <c r="A1156" s="98" t="n">
        <v>89196</v>
      </c>
      <c r="B1156" s="98" t="inlineStr">
        <is>
          <t>JOSE CUERVO ESPECIAL TEQUILA GOLD</t>
        </is>
      </c>
      <c r="C1156" s="97">
        <f>VLOOKUP(A1156,SizeData!A$2:B$3839,2,FALSE)</f>
        <v/>
      </c>
      <c r="D1156" s="98" t="n">
        <v>6</v>
      </c>
      <c r="E1156" s="98" t="inlineStr">
        <is>
          <t>R2068896</t>
        </is>
      </c>
      <c r="F1156" s="99" t="n">
        <v>45048</v>
      </c>
      <c r="G1156" s="100" t="n"/>
    </row>
    <row r="1157" ht="16" customHeight="1">
      <c r="A1157" s="98" t="n">
        <v>58877</v>
      </c>
      <c r="B1157" s="98" t="inlineStr">
        <is>
          <t>JOSE CUERVO GOLDEN STAW MARG</t>
        </is>
      </c>
      <c r="C1157" s="97">
        <f>VLOOKUP(A1157,SizeData!A$2:B$3839,2,FALSE)</f>
        <v/>
      </c>
      <c r="D1157" s="98" t="n">
        <v>1</v>
      </c>
      <c r="E1157" s="98" t="inlineStr">
        <is>
          <t>R2043272</t>
        </is>
      </c>
      <c r="F1157" s="99" t="n">
        <v>45021</v>
      </c>
      <c r="G1157" s="100" t="n"/>
    </row>
    <row r="1158" ht="16" customHeight="1">
      <c r="A1158" s="98" t="n">
        <v>89214</v>
      </c>
      <c r="B1158" s="98" t="inlineStr">
        <is>
          <t>JOSE CUERVO TRADICIONAL REPOSADO</t>
        </is>
      </c>
      <c r="C1158" s="97">
        <f>VLOOKUP(A1158,SizeData!A$2:B$3839,2,FALSE)</f>
        <v/>
      </c>
      <c r="D1158" s="98" t="n">
        <v>1</v>
      </c>
      <c r="E1158" s="98" t="inlineStr">
        <is>
          <t>R2018722</t>
        </is>
      </c>
      <c r="F1158" s="99" t="n">
        <v>44996</v>
      </c>
      <c r="G1158" s="100" t="n"/>
    </row>
    <row r="1159" ht="16" customHeight="1">
      <c r="A1159" s="98" t="n">
        <v>89219</v>
      </c>
      <c r="B1159" s="98" t="inlineStr">
        <is>
          <t>JOSE CUERVO TRADICIONAL REPOSADO</t>
        </is>
      </c>
      <c r="C1159" s="97">
        <f>VLOOKUP(A1159,SizeData!A$2:B$3839,2,FALSE)</f>
        <v/>
      </c>
      <c r="D1159" s="98" t="n">
        <v>7</v>
      </c>
      <c r="E1159" s="98" t="inlineStr">
        <is>
          <t>R2082317</t>
        </is>
      </c>
      <c r="F1159" s="99" t="n">
        <v>45047</v>
      </c>
      <c r="G1159" s="100" t="n"/>
    </row>
    <row r="1160" ht="16" customHeight="1">
      <c r="A1160" s="98" t="n">
        <v>89215</v>
      </c>
      <c r="B1160" s="98" t="inlineStr">
        <is>
          <t>JOSE CUERVO TRADICIONAL REPOSADO TEQ</t>
        </is>
      </c>
      <c r="C1160" s="97">
        <f>VLOOKUP(A1160,SizeData!A$2:B$3839,2,FALSE)</f>
        <v/>
      </c>
      <c r="D1160" s="98" t="n">
        <v>3</v>
      </c>
      <c r="E1160" s="98" t="inlineStr">
        <is>
          <t>R2027602</t>
        </is>
      </c>
      <c r="F1160" s="99" t="n">
        <v>45003</v>
      </c>
      <c r="G1160" s="100" t="n"/>
    </row>
    <row r="1161" ht="16" customHeight="1">
      <c r="A1161" s="101" t="n">
        <v>87418</v>
      </c>
      <c r="B1161" s="101" t="inlineStr">
        <is>
          <t>JOSE CUERVO TRADICIONAL SILVER</t>
        </is>
      </c>
      <c r="C1161" s="102">
        <f>VLOOKUP(A1161,SizeData!A$2:B$3839,2,FALSE)</f>
        <v/>
      </c>
      <c r="D1161" s="101" t="n">
        <v>2</v>
      </c>
      <c r="E1161" s="101" t="inlineStr">
        <is>
          <t>R2016308</t>
        </is>
      </c>
      <c r="F1161" s="103" t="n">
        <v>44987</v>
      </c>
      <c r="G1161" s="100" t="n"/>
    </row>
    <row r="1162" ht="16" customHeight="1">
      <c r="A1162" s="98" t="n">
        <v>87414</v>
      </c>
      <c r="B1162" s="98" t="inlineStr">
        <is>
          <t>JOSE CUERVO TRADICIONAL SILVER</t>
        </is>
      </c>
      <c r="C1162" s="97">
        <f>VLOOKUP(A1162,SizeData!A$2:B$3839,2,FALSE)</f>
        <v/>
      </c>
      <c r="D1162" s="98" t="n">
        <v>2</v>
      </c>
      <c r="E1162" s="98" t="inlineStr">
        <is>
          <t>R2018722</t>
        </is>
      </c>
      <c r="F1162" s="99" t="n">
        <v>44996</v>
      </c>
      <c r="G1162" s="100" t="n"/>
    </row>
    <row r="1163" ht="16" customHeight="1">
      <c r="A1163" s="98" t="n">
        <v>87418</v>
      </c>
      <c r="B1163" s="98" t="inlineStr">
        <is>
          <t>JOSE CUERVO TRADICIONAL SILVER</t>
        </is>
      </c>
      <c r="C1163" s="97">
        <f>VLOOKUP(A1163,SizeData!A$2:B$3839,2,FALSE)</f>
        <v/>
      </c>
      <c r="D1163" s="98" t="n">
        <v>3</v>
      </c>
      <c r="E1163" s="98" t="inlineStr">
        <is>
          <t>R2082317</t>
        </is>
      </c>
      <c r="F1163" s="99" t="n">
        <v>45047</v>
      </c>
      <c r="G1163" s="100" t="n"/>
    </row>
    <row r="1164" ht="16" customHeight="1">
      <c r="A1164" s="98" t="n">
        <v>87416</v>
      </c>
      <c r="B1164" s="98" t="inlineStr">
        <is>
          <t>JOSE CUERVO TRADICIONAL SILVER TEQ</t>
        </is>
      </c>
      <c r="C1164" s="97">
        <f>VLOOKUP(A1164,SizeData!A$2:B$3839,2,FALSE)</f>
        <v/>
      </c>
      <c r="D1164" s="98" t="n">
        <v>2</v>
      </c>
      <c r="E1164" s="98" t="inlineStr">
        <is>
          <t>R2010982</t>
        </is>
      </c>
      <c r="F1164" s="99" t="n">
        <v>44995</v>
      </c>
      <c r="G1164" s="100" t="n"/>
    </row>
    <row r="1165" ht="16" customHeight="1">
      <c r="A1165" s="98" t="n">
        <v>478122</v>
      </c>
      <c r="B1165" s="98" t="inlineStr">
        <is>
          <t>JOSEPH CARR JOSH CELLARS MERLOT SONOMA</t>
        </is>
      </c>
      <c r="C1165" s="97">
        <f>VLOOKUP(A1165,SizeData!A$2:B$3839,2,FALSE)</f>
        <v/>
      </c>
      <c r="D1165" s="98" t="n">
        <v>1</v>
      </c>
      <c r="E1165" s="98" t="inlineStr">
        <is>
          <t>R2057184</t>
        </is>
      </c>
      <c r="F1165" s="99" t="n">
        <v>45034</v>
      </c>
      <c r="G1165" s="100" t="n"/>
    </row>
    <row r="1166" ht="16" customHeight="1">
      <c r="A1166" s="98" t="n">
        <v>478122</v>
      </c>
      <c r="B1166" s="98" t="inlineStr">
        <is>
          <t>JOSEPH CARR JOSH CELLARS MERLOT SONOMA</t>
        </is>
      </c>
      <c r="C1166" s="97">
        <f>VLOOKUP(A1166,SizeData!A$2:B$3839,2,FALSE)</f>
        <v/>
      </c>
      <c r="D1166" s="98" t="n">
        <v>1</v>
      </c>
      <c r="E1166" s="98" t="inlineStr">
        <is>
          <t>R2067759</t>
        </is>
      </c>
      <c r="F1166" s="99" t="n">
        <v>45037</v>
      </c>
      <c r="G1166" s="100" t="n"/>
    </row>
    <row r="1167" ht="16" customHeight="1">
      <c r="A1167" s="98" t="n">
        <v>478120</v>
      </c>
      <c r="B1167" s="98" t="inlineStr">
        <is>
          <t>JOSH CELLARS CABERNET SAUV CALIFORNIA</t>
        </is>
      </c>
      <c r="C1167" s="97">
        <f>VLOOKUP(A1167,SizeData!A$2:B$3839,2,FALSE)</f>
        <v/>
      </c>
      <c r="D1167" s="98" t="n">
        <v>1</v>
      </c>
      <c r="E1167" s="98" t="inlineStr">
        <is>
          <t>R1929741</t>
        </is>
      </c>
      <c r="F1167" s="99" t="n">
        <v>44935</v>
      </c>
      <c r="G1167" s="100" t="n"/>
    </row>
    <row r="1168" ht="16" customHeight="1">
      <c r="A1168" s="101" t="n">
        <v>478120</v>
      </c>
      <c r="B1168" s="101" t="inlineStr">
        <is>
          <t>JOSH CELLARS CABERNET SAUV CALIFORNIA</t>
        </is>
      </c>
      <c r="C1168" s="102">
        <f>VLOOKUP(A1168,SizeData!A$2:B$3839,2,FALSE)</f>
        <v/>
      </c>
      <c r="D1168" s="101" t="n">
        <v>1</v>
      </c>
      <c r="E1168" s="101" t="inlineStr">
        <is>
          <t>R2055049</t>
        </is>
      </c>
      <c r="F1168" s="103" t="n">
        <v>45017</v>
      </c>
      <c r="G1168" s="104" t="n"/>
    </row>
    <row r="1169" ht="16" customHeight="1">
      <c r="A1169" s="98" t="n">
        <v>478120</v>
      </c>
      <c r="B1169" s="98" t="inlineStr">
        <is>
          <t>JOSH CELLARS CABERNET SAUV CALIFORNIA</t>
        </is>
      </c>
      <c r="C1169" s="97">
        <f>VLOOKUP(A1169,SizeData!A$2:B$3839,2,FALSE)</f>
        <v/>
      </c>
      <c r="D1169" s="98" t="n">
        <v>2</v>
      </c>
      <c r="E1169" s="98" t="inlineStr">
        <is>
          <t>R2039682</t>
        </is>
      </c>
      <c r="F1169" s="99" t="n">
        <v>45022</v>
      </c>
      <c r="G1169" s="100" t="n"/>
    </row>
    <row r="1170" ht="16" customHeight="1">
      <c r="A1170" s="98" t="n">
        <v>579770</v>
      </c>
      <c r="B1170" s="98" t="inlineStr">
        <is>
          <t>JOSH CELLARS CHARDONNAY NORTH COAST</t>
        </is>
      </c>
      <c r="C1170" s="97">
        <f>VLOOKUP(A1170,SizeData!A$2:B$3839,2,FALSE)</f>
        <v/>
      </c>
      <c r="D1170" s="98" t="n">
        <v>2</v>
      </c>
      <c r="E1170" s="98" t="inlineStr">
        <is>
          <t>R2057184</t>
        </is>
      </c>
      <c r="F1170" s="99" t="n">
        <v>45034</v>
      </c>
      <c r="G1170" s="100" t="n"/>
    </row>
    <row r="1171" ht="16" customHeight="1">
      <c r="A1171" s="98" t="n">
        <v>478116</v>
      </c>
      <c r="B1171" s="98" t="inlineStr">
        <is>
          <t>JOSH CELLARS LEGACY RED BLEND</t>
        </is>
      </c>
      <c r="C1171" s="97">
        <f>VLOOKUP(A1171,SizeData!A$2:B$3839,2,FALSE)</f>
        <v/>
      </c>
      <c r="D1171" s="98" t="n">
        <v>1</v>
      </c>
      <c r="E1171" s="98" t="inlineStr">
        <is>
          <t>R2067759</t>
        </is>
      </c>
      <c r="F1171" s="99" t="n">
        <v>45037</v>
      </c>
      <c r="G1171" s="100" t="n"/>
    </row>
    <row r="1172" ht="16" customHeight="1">
      <c r="A1172" s="98" t="n">
        <v>478116</v>
      </c>
      <c r="B1172" s="98" t="inlineStr">
        <is>
          <t>JOSH CELLARS LEGACY RED BLEND</t>
        </is>
      </c>
      <c r="C1172" s="97">
        <f>VLOOKUP(A1172,SizeData!A$2:B$3839,2,FALSE)</f>
        <v/>
      </c>
      <c r="D1172" s="98" t="n">
        <v>1</v>
      </c>
      <c r="E1172" s="98" t="inlineStr">
        <is>
          <t>R2068757</t>
        </is>
      </c>
      <c r="F1172" s="99" t="n">
        <v>45044</v>
      </c>
      <c r="G1172" s="100" t="n"/>
    </row>
    <row r="1173" ht="16" customHeight="1">
      <c r="A1173" s="98" t="n">
        <v>478118</v>
      </c>
      <c r="B1173" s="98" t="inlineStr">
        <is>
          <t>JOSH CELLARS PINOT NOIR CALIFORNIA</t>
        </is>
      </c>
      <c r="C1173" s="97">
        <f>VLOOKUP(A1173,SizeData!A$2:B$3839,2,FALSE)</f>
        <v/>
      </c>
      <c r="D1173" s="98" t="n">
        <v>1</v>
      </c>
      <c r="E1173" s="98" t="inlineStr">
        <is>
          <t>R1957712</t>
        </is>
      </c>
      <c r="F1173" s="99" t="n">
        <v>44958</v>
      </c>
      <c r="G1173" s="100" t="n"/>
    </row>
    <row r="1174" ht="16" customHeight="1">
      <c r="A1174" s="98" t="n">
        <v>478118</v>
      </c>
      <c r="B1174" s="98" t="inlineStr">
        <is>
          <t>JOSH CELLARS PINOT NOIR CALIFORNIA</t>
        </is>
      </c>
      <c r="C1174" s="97">
        <f>VLOOKUP(A1174,SizeData!A$2:B$3839,2,FALSE)</f>
        <v/>
      </c>
      <c r="D1174" s="98" t="n">
        <v>2</v>
      </c>
      <c r="E1174" s="98" t="inlineStr">
        <is>
          <t>R1995710</t>
        </is>
      </c>
      <c r="F1174" s="99" t="n">
        <v>44970</v>
      </c>
      <c r="G1174" s="100" t="n"/>
    </row>
    <row r="1175" ht="16" customHeight="1">
      <c r="A1175" s="98" t="n">
        <v>728630</v>
      </c>
      <c r="B1175" s="98" t="inlineStr">
        <is>
          <t>JOSH CELLARS PROSECCO</t>
        </is>
      </c>
      <c r="C1175" s="97">
        <f>VLOOKUP(A1175,SizeData!A$2:B$3839,2,FALSE)</f>
        <v/>
      </c>
      <c r="D1175" s="98" t="n">
        <v>1</v>
      </c>
      <c r="E1175" s="98" t="inlineStr">
        <is>
          <t>R2055049</t>
        </is>
      </c>
      <c r="F1175" s="99" t="n">
        <v>45017</v>
      </c>
      <c r="G1175" s="100" t="n"/>
    </row>
    <row r="1176" ht="16" customHeight="1">
      <c r="A1176" s="98" t="n">
        <v>579772</v>
      </c>
      <c r="B1176" s="98" t="inlineStr">
        <is>
          <t>JOSH CELLARS SAUVIGNON BLANC SONOMA CNTY</t>
        </is>
      </c>
      <c r="C1176" s="97">
        <f>VLOOKUP(A1176,SizeData!A$2:B$3839,2,FALSE)</f>
        <v/>
      </c>
      <c r="D1176" s="98" t="n">
        <v>2</v>
      </c>
      <c r="E1176" s="98" t="inlineStr">
        <is>
          <t>R1976379</t>
        </is>
      </c>
      <c r="F1176" s="99" t="n">
        <v>44970</v>
      </c>
      <c r="G1176" s="100" t="n"/>
    </row>
    <row r="1177" ht="16" customHeight="1">
      <c r="A1177" s="98" t="n">
        <v>579772</v>
      </c>
      <c r="B1177" s="98" t="inlineStr">
        <is>
          <t>JOSH CELLARS SAUVIGNON BLANC SONOMA CNTY</t>
        </is>
      </c>
      <c r="C1177" s="97">
        <f>VLOOKUP(A1177,SizeData!A$2:B$3839,2,FALSE)</f>
        <v/>
      </c>
      <c r="D1177" s="98" t="n">
        <v>1</v>
      </c>
      <c r="E1177" s="98" t="inlineStr">
        <is>
          <t>R2020005</t>
        </is>
      </c>
      <c r="F1177" s="99" t="n">
        <v>44984</v>
      </c>
      <c r="G1177" s="100" t="n"/>
    </row>
    <row r="1178" ht="16" customHeight="1">
      <c r="A1178" s="98" t="n">
        <v>86251</v>
      </c>
      <c r="B1178" s="98" t="inlineStr">
        <is>
          <t>JUAREZ TRIPLE SEC</t>
        </is>
      </c>
      <c r="C1178" s="97">
        <f>VLOOKUP(A1178,SizeData!A$2:B$3839,2,FALSE)</f>
        <v/>
      </c>
      <c r="D1178" s="98" t="n">
        <v>2</v>
      </c>
      <c r="E1178" s="98" t="inlineStr">
        <is>
          <t>R1944170</t>
        </is>
      </c>
      <c r="F1178" s="99" t="n">
        <v>44947</v>
      </c>
      <c r="G1178" s="100" t="n"/>
    </row>
    <row r="1179" ht="16" customHeight="1">
      <c r="A1179" s="98" t="n">
        <v>86251</v>
      </c>
      <c r="B1179" s="98" t="inlineStr">
        <is>
          <t>JUAREZ TRIPLE SEC</t>
        </is>
      </c>
      <c r="C1179" s="97">
        <f>VLOOKUP(A1179,SizeData!A$2:B$3839,2,FALSE)</f>
        <v/>
      </c>
      <c r="D1179" s="98" t="n">
        <v>1</v>
      </c>
      <c r="E1179" s="98" t="inlineStr">
        <is>
          <t>R1944170</t>
        </is>
      </c>
      <c r="F1179" s="99" t="n">
        <v>44947</v>
      </c>
      <c r="G1179" s="100" t="n"/>
    </row>
    <row r="1180" ht="16" customHeight="1">
      <c r="A1180" s="98" t="n">
        <v>39917</v>
      </c>
      <c r="B1180" s="98" t="inlineStr">
        <is>
          <t>NEW AMSTERDAM APPLE FLAVORED VODKA</t>
        </is>
      </c>
      <c r="C1180" s="97">
        <f>VLOOKUP(A1180,SizeData!A$2:B$3839,2,FALSE)</f>
        <v/>
      </c>
      <c r="D1180" s="98" t="n">
        <v>1</v>
      </c>
      <c r="E1180" s="98" t="inlineStr">
        <is>
          <t>R1903667</t>
        </is>
      </c>
      <c r="F1180" s="99" t="n">
        <v>44915</v>
      </c>
      <c r="G1180" s="100" t="n"/>
    </row>
    <row r="1181" ht="16" customHeight="1">
      <c r="A1181" s="98" t="n">
        <v>39917</v>
      </c>
      <c r="B1181" s="98" t="inlineStr">
        <is>
          <t>NEW AMSTERDAM APPLE FLAVORED VODKA</t>
        </is>
      </c>
      <c r="C1181" s="97">
        <f>VLOOKUP(A1181,SizeData!A$2:B$3839,2,FALSE)</f>
        <v/>
      </c>
      <c r="D1181" s="98" t="n">
        <v>1</v>
      </c>
      <c r="E1181" s="98" t="inlineStr">
        <is>
          <t>R1927120</t>
        </is>
      </c>
      <c r="F1181" s="99" t="n">
        <v>44924</v>
      </c>
      <c r="G1181" s="100" t="n"/>
    </row>
    <row r="1182" ht="16" customHeight="1">
      <c r="A1182" s="98" t="n">
        <v>86251</v>
      </c>
      <c r="B1182" s="98" t="inlineStr">
        <is>
          <t>JUAREZ TRIPLE SEC</t>
        </is>
      </c>
      <c r="C1182" s="97">
        <f>VLOOKUP(A1182,SizeData!A$2:B$3839,2,FALSE)</f>
        <v/>
      </c>
      <c r="D1182" s="98" t="n">
        <v>1</v>
      </c>
      <c r="E1182" s="98" t="inlineStr">
        <is>
          <t>R1947923</t>
        </is>
      </c>
      <c r="F1182" s="99" t="n">
        <v>44949</v>
      </c>
      <c r="G1182" s="100" t="n"/>
    </row>
    <row r="1183" ht="16" customHeight="1">
      <c r="A1183" s="101" t="n">
        <v>67526</v>
      </c>
      <c r="B1183" s="101" t="inlineStr">
        <is>
          <t>KAHLUA COFFEE</t>
        </is>
      </c>
      <c r="C1183" s="102">
        <f>VLOOKUP(A1183,SizeData!A$2:B$3839,2,FALSE)</f>
        <v/>
      </c>
      <c r="D1183" s="101" t="n">
        <v>2</v>
      </c>
      <c r="E1183" s="101" t="inlineStr">
        <is>
          <t>R2015823</t>
        </is>
      </c>
      <c r="F1183" s="103" t="n">
        <v>44991</v>
      </c>
      <c r="G1183" s="104" t="n"/>
    </row>
    <row r="1184" ht="16" customHeight="1">
      <c r="A1184" s="101" t="n">
        <v>67526</v>
      </c>
      <c r="B1184" s="101" t="inlineStr">
        <is>
          <t>KAHLUA COFFEE</t>
        </is>
      </c>
      <c r="C1184" s="102">
        <f>VLOOKUP(A1184,SizeData!A$2:B$3839,2,FALSE)</f>
        <v/>
      </c>
      <c r="D1184" s="101" t="n">
        <v>1</v>
      </c>
      <c r="E1184" s="101" t="inlineStr">
        <is>
          <t>R2017204</t>
        </is>
      </c>
      <c r="F1184" s="103" t="n">
        <v>44991</v>
      </c>
      <c r="G1184" s="104" t="n"/>
    </row>
    <row r="1185" ht="16" customHeight="1">
      <c r="A1185" s="98" t="n">
        <v>479300</v>
      </c>
      <c r="B1185" s="98" t="inlineStr">
        <is>
          <t>KENDALL-JACKSON VINTNERS RSV CABERNET SAUVIGNON</t>
        </is>
      </c>
      <c r="C1185" s="97">
        <f>VLOOKUP(A1185,SizeData!A$2:B$3839,2,FALSE)</f>
        <v/>
      </c>
      <c r="D1185" s="98" t="n">
        <v>2</v>
      </c>
      <c r="E1185" s="98" t="inlineStr">
        <is>
          <t>R2039682</t>
        </is>
      </c>
      <c r="F1185" s="99" t="n">
        <v>45022</v>
      </c>
      <c r="G1185" s="100" t="n"/>
    </row>
    <row r="1186" ht="16" customHeight="1">
      <c r="A1186" s="101" t="n">
        <v>478430</v>
      </c>
      <c r="B1186" s="101" t="inlineStr">
        <is>
          <t>KENDALL-JACKSON VINTNERS RSV PINOT NOIR</t>
        </is>
      </c>
      <c r="C1186" s="102">
        <f>VLOOKUP(A1186,SizeData!A$2:B$3839,2,FALSE)</f>
        <v/>
      </c>
      <c r="D1186" s="101" t="n">
        <v>1</v>
      </c>
      <c r="E1186" s="101" t="inlineStr">
        <is>
          <t>R2055049</t>
        </is>
      </c>
      <c r="F1186" s="103" t="n">
        <v>45017</v>
      </c>
      <c r="G1186" s="104" t="n"/>
    </row>
    <row r="1187" ht="16" customHeight="1">
      <c r="A1187" s="98" t="n">
        <v>24418</v>
      </c>
      <c r="B1187" s="98" t="inlineStr">
        <is>
          <t>KENTUCKY DALE BLENDED WHISKEY</t>
        </is>
      </c>
      <c r="C1187" s="97">
        <f>VLOOKUP(A1187,SizeData!A$2:B$3839,2,FALSE)</f>
        <v/>
      </c>
      <c r="D1187" s="98" t="n">
        <v>5</v>
      </c>
      <c r="E1187" s="98" t="inlineStr">
        <is>
          <t>R1993998</t>
        </is>
      </c>
      <c r="F1187" s="99" t="n">
        <v>44992</v>
      </c>
      <c r="G1187" s="100" t="n"/>
    </row>
    <row r="1188" ht="16" customHeight="1">
      <c r="A1188" s="98" t="n">
        <v>31472</v>
      </c>
      <c r="B1188" s="98" t="inlineStr">
        <is>
          <t>NEW AMSTERDAM GIN</t>
        </is>
      </c>
      <c r="C1188" s="97">
        <f>VLOOKUP(A1188,SizeData!A$2:B$3839,2,FALSE)</f>
        <v/>
      </c>
      <c r="D1188" s="98" t="n">
        <v>1</v>
      </c>
      <c r="E1188" s="98" t="inlineStr">
        <is>
          <t>R1916005</t>
        </is>
      </c>
      <c r="F1188" s="99" t="n">
        <v>44911</v>
      </c>
      <c r="G1188" s="100" t="n"/>
    </row>
    <row r="1189" ht="16" customHeight="1">
      <c r="A1189" s="98" t="n">
        <v>31474</v>
      </c>
      <c r="B1189" s="98" t="inlineStr">
        <is>
          <t>NEW AMSTERDAM GIN</t>
        </is>
      </c>
      <c r="C1189" s="97">
        <f>VLOOKUP(A1189,SizeData!A$2:B$3839,2,FALSE)</f>
        <v/>
      </c>
      <c r="D1189" s="98" t="n">
        <v>3</v>
      </c>
      <c r="E1189" s="98" t="inlineStr">
        <is>
          <t>R1911923</t>
        </is>
      </c>
      <c r="F1189" s="99" t="n">
        <v>44912</v>
      </c>
      <c r="G1189" s="100" t="n"/>
    </row>
    <row r="1190" ht="16" customHeight="1">
      <c r="A1190" s="98" t="n">
        <v>31474</v>
      </c>
      <c r="B1190" s="98" t="inlineStr">
        <is>
          <t>NEW AMSTERDAM GIN</t>
        </is>
      </c>
      <c r="C1190" s="97">
        <f>VLOOKUP(A1190,SizeData!A$2:B$3839,2,FALSE)</f>
        <v/>
      </c>
      <c r="D1190" s="98" t="n">
        <v>4</v>
      </c>
      <c r="E1190" s="98" t="inlineStr">
        <is>
          <t>R1903667</t>
        </is>
      </c>
      <c r="F1190" s="99" t="n">
        <v>44915</v>
      </c>
      <c r="G1190" s="100" t="n"/>
    </row>
    <row r="1191" ht="16" customHeight="1">
      <c r="A1191" s="98" t="n">
        <v>31474</v>
      </c>
      <c r="B1191" s="98" t="inlineStr">
        <is>
          <t>NEW AMSTERDAM GIN</t>
        </is>
      </c>
      <c r="C1191" s="97">
        <f>VLOOKUP(A1191,SizeData!A$2:B$3839,2,FALSE)</f>
        <v/>
      </c>
      <c r="D1191" s="98" t="n">
        <v>1</v>
      </c>
      <c r="E1191" s="98" t="inlineStr">
        <is>
          <t>R1921439</t>
        </is>
      </c>
      <c r="F1191" s="99" t="n">
        <v>44921</v>
      </c>
      <c r="G1191" s="100" t="n"/>
    </row>
    <row r="1192" ht="16" customHeight="1">
      <c r="A1192" s="101" t="n">
        <v>34454</v>
      </c>
      <c r="B1192" s="101" t="inlineStr">
        <is>
          <t>KETEL ONE DUTCH VODKA</t>
        </is>
      </c>
      <c r="C1192" s="102">
        <f>VLOOKUP(A1192,SizeData!A$2:B$3839,2,FALSE)</f>
        <v/>
      </c>
      <c r="D1192" s="101" t="n">
        <v>4</v>
      </c>
      <c r="E1192" s="101" t="inlineStr">
        <is>
          <t>R1986800</t>
        </is>
      </c>
      <c r="F1192" s="103" t="n">
        <v>44972</v>
      </c>
      <c r="G1192" s="104" t="n"/>
    </row>
    <row r="1193" ht="16" customHeight="1">
      <c r="A1193" s="98" t="n">
        <v>34454</v>
      </c>
      <c r="B1193" s="98" t="inlineStr">
        <is>
          <t>KETEL ONE DUTCH VODKA</t>
        </is>
      </c>
      <c r="C1193" s="97">
        <f>VLOOKUP(A1193,SizeData!A$2:B$3839,2,FALSE)</f>
        <v/>
      </c>
      <c r="D1193" s="98" t="n">
        <v>4</v>
      </c>
      <c r="E1193" s="98" t="inlineStr">
        <is>
          <t>R2010122</t>
        </is>
      </c>
      <c r="F1193" s="99" t="n">
        <v>44981</v>
      </c>
      <c r="G1193" s="100" t="n"/>
    </row>
    <row r="1194" ht="16" customHeight="1">
      <c r="A1194" s="101" t="n">
        <v>34454</v>
      </c>
      <c r="B1194" s="101" t="inlineStr">
        <is>
          <t>KETEL ONE DUTCH VODKA</t>
        </is>
      </c>
      <c r="C1194" s="102">
        <f>VLOOKUP(A1194,SizeData!A$2:B$3839,2,FALSE)</f>
        <v/>
      </c>
      <c r="D1194" s="101" t="n">
        <v>1</v>
      </c>
      <c r="E1194" s="101" t="inlineStr">
        <is>
          <t>R2010122</t>
        </is>
      </c>
      <c r="F1194" s="103" t="n">
        <v>44981</v>
      </c>
      <c r="G1194" s="104" t="n"/>
    </row>
    <row r="1195" ht="16" customHeight="1">
      <c r="A1195" s="98" t="n">
        <v>39280</v>
      </c>
      <c r="B1195" s="98" t="inlineStr">
        <is>
          <t>NEW AMSTERDAM PASSION FRUIT VODKA</t>
        </is>
      </c>
      <c r="C1195" s="97">
        <f>VLOOKUP(A1195,SizeData!A$2:B$3839,2,FALSE)</f>
        <v/>
      </c>
      <c r="D1195" s="98" t="n">
        <v>1</v>
      </c>
      <c r="E1195" s="98" t="inlineStr">
        <is>
          <t>R1916005</t>
        </is>
      </c>
      <c r="F1195" s="99" t="n">
        <v>44911</v>
      </c>
      <c r="G1195" s="100" t="n"/>
    </row>
    <row r="1196" ht="16" customHeight="1">
      <c r="A1196" s="98" t="n">
        <v>39284</v>
      </c>
      <c r="B1196" s="98" t="inlineStr">
        <is>
          <t>NEW AMSTERDAM PASSION FRUIT VODKA</t>
        </is>
      </c>
      <c r="C1196" s="97">
        <f>VLOOKUP(A1196,SizeData!A$2:B$3839,2,FALSE)</f>
        <v/>
      </c>
      <c r="D1196" s="98" t="n">
        <v>1</v>
      </c>
      <c r="E1196" s="98" t="inlineStr">
        <is>
          <t>R1913485</t>
        </is>
      </c>
      <c r="F1196" s="99" t="n">
        <v>44922</v>
      </c>
      <c r="G1196" s="100" t="n"/>
    </row>
    <row r="1197" ht="16" customHeight="1">
      <c r="A1197" s="98" t="n">
        <v>34458</v>
      </c>
      <c r="B1197" s="98" t="inlineStr">
        <is>
          <t>KETEL ONE DUTCH VODKA</t>
        </is>
      </c>
      <c r="C1197" s="97">
        <f>VLOOKUP(A1197,SizeData!A$2:B$3839,2,FALSE)</f>
        <v/>
      </c>
      <c r="D1197" s="98" t="n">
        <v>5</v>
      </c>
      <c r="E1197" s="98" t="inlineStr">
        <is>
          <t>R2002371</t>
        </is>
      </c>
      <c r="F1197" s="99" t="n">
        <v>44986</v>
      </c>
      <c r="G1197" s="100" t="n"/>
    </row>
    <row r="1198" ht="16" customHeight="1">
      <c r="A1198" s="98" t="n">
        <v>34456</v>
      </c>
      <c r="B1198" s="98" t="inlineStr">
        <is>
          <t>KETEL ONE DUTCH VODKA</t>
        </is>
      </c>
      <c r="C1198" s="97">
        <f>VLOOKUP(A1198,SizeData!A$2:B$3839,2,FALSE)</f>
        <v/>
      </c>
      <c r="D1198" s="98" t="n">
        <v>1</v>
      </c>
      <c r="E1198" s="98" t="inlineStr">
        <is>
          <t>R2082317</t>
        </is>
      </c>
      <c r="F1198" s="99" t="n">
        <v>45047</v>
      </c>
      <c r="G1198" s="100" t="n"/>
      <c r="H1198" s="28" t="n"/>
      <c r="I1198" s="28" t="n"/>
      <c r="J1198" s="28" t="n"/>
      <c r="K1198" s="28" t="n"/>
      <c r="L1198" s="28" t="n"/>
      <c r="M1198" s="28" t="n"/>
      <c r="N1198" s="28" t="n"/>
      <c r="O1198" s="28" t="n"/>
      <c r="P1198" s="28" t="n"/>
      <c r="Q1198" s="28" t="n"/>
      <c r="R1198" s="28" t="n"/>
      <c r="S1198" s="28" t="n"/>
      <c r="T1198" s="28" t="n"/>
    </row>
    <row r="1199" ht="16" customHeight="1">
      <c r="A1199" s="98" t="n">
        <v>34456</v>
      </c>
      <c r="B1199" s="98" t="inlineStr">
        <is>
          <t>KETEL ONE DUTCH VODKA</t>
        </is>
      </c>
      <c r="C1199" s="97">
        <f>VLOOKUP(A1199,SizeData!A$2:B$3839,2,FALSE)</f>
        <v/>
      </c>
      <c r="D1199" s="98" t="n">
        <v>4</v>
      </c>
      <c r="E1199" s="98" t="inlineStr">
        <is>
          <t>R2086467</t>
        </is>
      </c>
      <c r="F1199" s="99" t="n">
        <v>45048</v>
      </c>
      <c r="G1199" s="100" t="n"/>
      <c r="H1199" s="28" t="n"/>
      <c r="I1199" s="28" t="n"/>
      <c r="J1199" s="28" t="n"/>
      <c r="K1199" s="28" t="n"/>
      <c r="L1199" s="28" t="n"/>
      <c r="M1199" s="28" t="n"/>
      <c r="N1199" s="28" t="n"/>
      <c r="O1199" s="28" t="n"/>
      <c r="P1199" s="28" t="n"/>
      <c r="Q1199" s="28" t="n"/>
      <c r="R1199" s="28" t="n"/>
      <c r="S1199" s="28" t="n"/>
      <c r="T1199" s="28" t="n"/>
    </row>
    <row r="1200" ht="16" customHeight="1">
      <c r="A1200" s="98" t="n">
        <v>407766</v>
      </c>
      <c r="B1200" s="98" t="inlineStr">
        <is>
          <t>KIM CRAWFORD SAUVIGNON BLANC</t>
        </is>
      </c>
      <c r="C1200" s="97">
        <f>VLOOKUP(A1200,SizeData!A$2:B$3839,2,FALSE)</f>
        <v/>
      </c>
      <c r="D1200" s="98" t="n">
        <v>1</v>
      </c>
      <c r="E1200" s="98" t="inlineStr">
        <is>
          <t>R1930280</t>
        </is>
      </c>
      <c r="F1200" s="99" t="n">
        <v>44935</v>
      </c>
      <c r="G1200" s="100" t="n"/>
      <c r="H1200" s="28" t="n"/>
      <c r="I1200" s="28" t="n"/>
      <c r="J1200" s="28" t="n"/>
      <c r="K1200" s="28" t="n"/>
      <c r="L1200" s="28" t="n"/>
      <c r="M1200" s="28" t="n"/>
      <c r="N1200" s="28" t="n"/>
      <c r="O1200" s="28" t="n"/>
      <c r="P1200" s="28" t="n"/>
      <c r="Q1200" s="28" t="n"/>
      <c r="R1200" s="28" t="n"/>
      <c r="S1200" s="28" t="n"/>
      <c r="T1200" s="28" t="n"/>
    </row>
    <row r="1201" ht="16" customHeight="1">
      <c r="A1201" s="98" t="n">
        <v>19226</v>
      </c>
      <c r="B1201" s="98" t="inlineStr">
        <is>
          <t>KNOB CREEK STRAIGHT BOURBON WHISKEY</t>
        </is>
      </c>
      <c r="C1201" s="97">
        <f>VLOOKUP(A1201,SizeData!A$2:B$3839,2,FALSE)</f>
        <v/>
      </c>
      <c r="D1201" s="98" t="n">
        <v>4</v>
      </c>
      <c r="E1201" s="98" t="inlineStr">
        <is>
          <t>R1957712</t>
        </is>
      </c>
      <c r="F1201" s="99" t="n">
        <v>44958</v>
      </c>
      <c r="G1201" s="100" t="n"/>
      <c r="H1201" s="28" t="n"/>
      <c r="I1201" s="28" t="n"/>
      <c r="J1201" s="28" t="n"/>
      <c r="K1201" s="28" t="n"/>
      <c r="L1201" s="28" t="n"/>
      <c r="M1201" s="28" t="n"/>
      <c r="N1201" s="28" t="n"/>
      <c r="O1201" s="28" t="n"/>
      <c r="P1201" s="28" t="n"/>
      <c r="Q1201" s="28" t="n"/>
      <c r="R1201" s="28" t="n"/>
      <c r="S1201" s="28" t="n"/>
      <c r="T1201" s="28" t="n"/>
    </row>
    <row r="1202" ht="16" customHeight="1">
      <c r="A1202" s="98" t="n">
        <v>40590</v>
      </c>
      <c r="B1202" s="98" t="inlineStr">
        <is>
          <t>NEW AMSTERDAM PEACH FLAVORED VODKA</t>
        </is>
      </c>
      <c r="C1202" s="97">
        <f>VLOOKUP(A1202,SizeData!A$2:B$3839,2,FALSE)</f>
        <v/>
      </c>
      <c r="D1202" s="98" t="n">
        <v>1</v>
      </c>
      <c r="E1202" s="98" t="inlineStr">
        <is>
          <t>R1916005</t>
        </is>
      </c>
      <c r="F1202" s="99" t="n">
        <v>44911</v>
      </c>
      <c r="G1202" s="100" t="n"/>
      <c r="H1202" s="28" t="n"/>
      <c r="I1202" s="28" t="n"/>
      <c r="J1202" s="28" t="n"/>
      <c r="K1202" s="28" t="n"/>
      <c r="L1202" s="28" t="n"/>
      <c r="M1202" s="28" t="n"/>
      <c r="N1202" s="28" t="n"/>
      <c r="O1202" s="28" t="n"/>
      <c r="P1202" s="28" t="n"/>
      <c r="Q1202" s="28" t="n"/>
      <c r="R1202" s="28" t="n"/>
      <c r="S1202" s="28" t="n"/>
      <c r="T1202" s="28" t="n"/>
    </row>
    <row r="1203" ht="16" customHeight="1">
      <c r="A1203" s="98" t="n">
        <v>40592</v>
      </c>
      <c r="B1203" s="98" t="inlineStr">
        <is>
          <t>NEW AMSTERDAM PEACH FLAVORED VODKA</t>
        </is>
      </c>
      <c r="C1203" s="97">
        <f>VLOOKUP(A1203,SizeData!A$2:B$3839,2,FALSE)</f>
        <v/>
      </c>
      <c r="D1203" s="98" t="n">
        <v>1</v>
      </c>
      <c r="E1203" s="98" t="inlineStr">
        <is>
          <t>R1916005</t>
        </is>
      </c>
      <c r="F1203" s="99" t="n">
        <v>44911</v>
      </c>
      <c r="G1203" s="100" t="n"/>
      <c r="H1203" s="28" t="n"/>
      <c r="I1203" s="28" t="n"/>
      <c r="J1203" s="28" t="n"/>
      <c r="K1203" s="28" t="n"/>
      <c r="L1203" s="28" t="n"/>
      <c r="M1203" s="28" t="n"/>
      <c r="N1203" s="28" t="n"/>
      <c r="O1203" s="28" t="n"/>
      <c r="P1203" s="28" t="n"/>
      <c r="Q1203" s="28" t="n"/>
      <c r="R1203" s="28" t="n"/>
      <c r="S1203" s="28" t="n"/>
      <c r="T1203" s="28" t="n"/>
    </row>
    <row r="1204" ht="16" customHeight="1">
      <c r="A1204" s="98" t="n">
        <v>40593</v>
      </c>
      <c r="B1204" s="98" t="inlineStr">
        <is>
          <t>NEW AMSTERDAM PEACH FLAVORED VODKA</t>
        </is>
      </c>
      <c r="C1204" s="97">
        <f>VLOOKUP(A1204,SizeData!A$2:B$3839,2,FALSE)</f>
        <v/>
      </c>
      <c r="D1204" s="98" t="n">
        <v>3</v>
      </c>
      <c r="E1204" s="98" t="inlineStr">
        <is>
          <t>R1911923</t>
        </is>
      </c>
      <c r="F1204" s="99" t="n">
        <v>44912</v>
      </c>
      <c r="G1204" s="100" t="n"/>
    </row>
    <row r="1205" ht="16" customHeight="1">
      <c r="A1205" s="98" t="n">
        <v>40593</v>
      </c>
      <c r="B1205" s="98" t="inlineStr">
        <is>
          <t>NEW AMSTERDAM PEACH FLAVORED VODKA</t>
        </is>
      </c>
      <c r="C1205" s="97">
        <f>VLOOKUP(A1205,SizeData!A$2:B$3839,2,FALSE)</f>
        <v/>
      </c>
      <c r="D1205" s="98" t="n">
        <v>2</v>
      </c>
      <c r="E1205" s="98" t="inlineStr">
        <is>
          <t>R1927120</t>
        </is>
      </c>
      <c r="F1205" s="99" t="n">
        <v>44924</v>
      </c>
      <c r="G1205" s="100" t="n"/>
    </row>
    <row r="1206" ht="16" customHeight="1">
      <c r="A1206" s="98" t="n">
        <v>40313</v>
      </c>
      <c r="B1206" s="98" t="inlineStr">
        <is>
          <t>NEW AMSTERDAM PEACH FLAVORED VODKA</t>
        </is>
      </c>
      <c r="C1206" s="97">
        <f>VLOOKUP(A1206,SizeData!A$2:B$3839,2,FALSE)</f>
        <v/>
      </c>
      <c r="D1206" s="98" t="n">
        <v>1</v>
      </c>
      <c r="E1206" s="98" t="inlineStr">
        <is>
          <t>R1927120</t>
        </is>
      </c>
      <c r="F1206" s="99" t="n">
        <v>44924</v>
      </c>
      <c r="G1206" s="100" t="n"/>
    </row>
    <row r="1207" ht="16" customHeight="1">
      <c r="A1207" s="98" t="n">
        <v>19226</v>
      </c>
      <c r="B1207" s="98" t="inlineStr">
        <is>
          <t>KNOB CREEK STRAIGHT BOURBON WHISKEY</t>
        </is>
      </c>
      <c r="C1207" s="97">
        <f>VLOOKUP(A1207,SizeData!A$2:B$3839,2,FALSE)</f>
        <v/>
      </c>
      <c r="D1207" s="98" t="n">
        <v>1</v>
      </c>
      <c r="E1207" s="98" t="inlineStr">
        <is>
          <t>R1957712</t>
        </is>
      </c>
      <c r="F1207" s="99" t="n">
        <v>44958</v>
      </c>
      <c r="G1207" s="100" t="n"/>
    </row>
    <row r="1208" ht="16" customHeight="1">
      <c r="A1208" s="98" t="n">
        <v>19224</v>
      </c>
      <c r="B1208" s="98" t="inlineStr">
        <is>
          <t>KNOB CREEK STRAIGHT BOURBON WHISKEY</t>
        </is>
      </c>
      <c r="C1208" s="97">
        <f>VLOOKUP(A1208,SizeData!A$2:B$3839,2,FALSE)</f>
        <v/>
      </c>
      <c r="D1208" s="98" t="n">
        <v>2</v>
      </c>
      <c r="E1208" s="98" t="inlineStr">
        <is>
          <t>R1969406</t>
        </is>
      </c>
      <c r="F1208" s="99" t="n">
        <v>44963</v>
      </c>
      <c r="G1208" s="100" t="n"/>
    </row>
    <row r="1209" ht="16" customHeight="1">
      <c r="A1209" s="98" t="n">
        <v>52806</v>
      </c>
      <c r="B1209" s="98" t="inlineStr">
        <is>
          <t>KORBEL BRANDY</t>
        </is>
      </c>
      <c r="C1209" s="97">
        <f>VLOOKUP(A1209,SizeData!A$2:B$3839,2,FALSE)</f>
        <v/>
      </c>
      <c r="D1209" s="98" t="n">
        <v>1</v>
      </c>
      <c r="E1209" s="98" t="inlineStr">
        <is>
          <t>R1995710</t>
        </is>
      </c>
      <c r="F1209" s="99" t="n">
        <v>44970</v>
      </c>
      <c r="G1209" s="100" t="n"/>
    </row>
    <row r="1210" ht="16" customHeight="1">
      <c r="A1210" s="98" t="n">
        <v>52806</v>
      </c>
      <c r="B1210" s="98" t="inlineStr">
        <is>
          <t>KORBEL BRANDY</t>
        </is>
      </c>
      <c r="C1210" s="97">
        <f>VLOOKUP(A1210,SizeData!A$2:B$3839,2,FALSE)</f>
        <v/>
      </c>
      <c r="D1210" s="98" t="n">
        <v>3</v>
      </c>
      <c r="E1210" s="98" t="inlineStr">
        <is>
          <t>R1993752</t>
        </is>
      </c>
      <c r="F1210" s="99" t="n">
        <v>44987</v>
      </c>
      <c r="G1210" s="100" t="n"/>
    </row>
    <row r="1211" ht="16" customHeight="1">
      <c r="A1211" s="98" t="n">
        <v>751419</v>
      </c>
      <c r="B1211" s="98" t="inlineStr">
        <is>
          <t>KORBEL BRUT CHAMPAGNE</t>
        </is>
      </c>
      <c r="C1211" s="97">
        <f>VLOOKUP(A1211,SizeData!A$2:B$3839,2,FALSE)</f>
        <v/>
      </c>
      <c r="D1211" s="98" t="n">
        <v>1</v>
      </c>
      <c r="E1211" s="98" t="inlineStr">
        <is>
          <t>R1967237</t>
        </is>
      </c>
      <c r="F1211" s="99" t="n">
        <v>44958</v>
      </c>
      <c r="G1211" s="100" t="n"/>
    </row>
    <row r="1212" ht="16" customHeight="1">
      <c r="A1212" s="98" t="n">
        <v>751419</v>
      </c>
      <c r="B1212" s="98" t="inlineStr">
        <is>
          <t>KORBEL BRUT CHAMPAGNE</t>
        </is>
      </c>
      <c r="C1212" s="97">
        <f>VLOOKUP(A1212,SizeData!A$2:B$3839,2,FALSE)</f>
        <v/>
      </c>
      <c r="D1212" s="98" t="n">
        <v>1</v>
      </c>
      <c r="E1212" s="98" t="inlineStr">
        <is>
          <t>R2022490</t>
        </is>
      </c>
      <c r="F1212" s="99" t="n">
        <v>45014</v>
      </c>
      <c r="G1212" s="100" t="n"/>
    </row>
    <row r="1213" ht="16" customHeight="1">
      <c r="A1213" s="98" t="n">
        <v>751800</v>
      </c>
      <c r="B1213" s="98" t="inlineStr">
        <is>
          <t>KORBEL BRUT ROSE CHAMPAGNE</t>
        </is>
      </c>
      <c r="C1213" s="97">
        <f>VLOOKUP(A1213,SizeData!A$2:B$3839,2,FALSE)</f>
        <v/>
      </c>
      <c r="D1213" s="98" t="n">
        <v>1</v>
      </c>
      <c r="E1213" s="98" t="inlineStr">
        <is>
          <t>R1968443</t>
        </is>
      </c>
      <c r="F1213" s="99" t="n">
        <v>44962</v>
      </c>
      <c r="G1213" s="100" t="n"/>
    </row>
    <row r="1214" ht="16" customHeight="1">
      <c r="A1214" s="101" t="n">
        <v>751940</v>
      </c>
      <c r="B1214" s="101" t="inlineStr">
        <is>
          <t>KORBEL SWEET CUVEE CHAMPAGNE</t>
        </is>
      </c>
      <c r="C1214" s="102">
        <f>VLOOKUP(A1214,SizeData!A$2:B$3839,2,FALSE)</f>
        <v/>
      </c>
      <c r="D1214" s="101" t="n">
        <v>1</v>
      </c>
      <c r="E1214" s="101" t="inlineStr">
        <is>
          <t>R1986800</t>
        </is>
      </c>
      <c r="F1214" s="103" t="n">
        <v>44972</v>
      </c>
      <c r="G1214" s="104" t="n"/>
    </row>
    <row r="1215" ht="16" customHeight="1">
      <c r="A1215" s="98" t="n">
        <v>46504</v>
      </c>
      <c r="B1215" s="98" t="inlineStr">
        <is>
          <t>KRAKEN BLACK SPICED RUM 94 PROOF</t>
        </is>
      </c>
      <c r="C1215" s="97">
        <f>VLOOKUP(A1215,SizeData!A$2:B$3839,2,FALSE)</f>
        <v/>
      </c>
      <c r="D1215" s="98" t="n">
        <v>1</v>
      </c>
      <c r="E1215" s="98" t="inlineStr">
        <is>
          <t>R2078944</t>
        </is>
      </c>
      <c r="F1215" s="99" t="n">
        <v>45045</v>
      </c>
      <c r="G1215" s="100" t="n"/>
    </row>
    <row r="1216" ht="16" customHeight="1">
      <c r="A1216" s="98" t="n">
        <v>728795</v>
      </c>
      <c r="B1216" s="98" t="inlineStr">
        <is>
          <t>LA MARCA PROSECCO SPARKLING WINE</t>
        </is>
      </c>
      <c r="C1216" s="97">
        <f>VLOOKUP(A1216,SizeData!A$2:B$3839,2,FALSE)</f>
        <v/>
      </c>
      <c r="D1216" s="98" t="n">
        <v>2</v>
      </c>
      <c r="E1216" s="98" t="inlineStr">
        <is>
          <t>R1964057</t>
        </is>
      </c>
      <c r="F1216" s="99" t="n">
        <v>44963</v>
      </c>
      <c r="G1216" s="100" t="n"/>
    </row>
    <row r="1217" ht="16" customHeight="1">
      <c r="A1217" s="98" t="n">
        <v>728795</v>
      </c>
      <c r="B1217" s="98" t="inlineStr">
        <is>
          <t>LA MARCA PROSECCO SPARKLING WINE</t>
        </is>
      </c>
      <c r="C1217" s="97">
        <f>VLOOKUP(A1217,SizeData!A$2:B$3839,2,FALSE)</f>
        <v/>
      </c>
      <c r="D1217" s="98" t="n">
        <v>2</v>
      </c>
      <c r="E1217" s="98" t="inlineStr">
        <is>
          <t>R1986800</t>
        </is>
      </c>
      <c r="F1217" s="99" t="n">
        <v>44972</v>
      </c>
      <c r="G1217" s="100" t="n"/>
    </row>
    <row r="1218" ht="16" customHeight="1">
      <c r="A1218" s="98" t="n">
        <v>583802</v>
      </c>
      <c r="B1218" s="98" t="inlineStr">
        <is>
          <t>LIBERTY CREEK CALIFORNIA MOSCATO</t>
        </is>
      </c>
      <c r="C1218" s="97">
        <f>VLOOKUP(A1218,SizeData!A$2:B$3839,2,FALSE)</f>
        <v/>
      </c>
      <c r="D1218" s="98" t="n">
        <v>1</v>
      </c>
      <c r="E1218" s="98" t="inlineStr">
        <is>
          <t>R1964057</t>
        </is>
      </c>
      <c r="F1218" s="99" t="n">
        <v>44963</v>
      </c>
      <c r="G1218" s="100" t="n"/>
    </row>
    <row r="1219" ht="16" customHeight="1">
      <c r="A1219" s="101" t="n">
        <v>583802</v>
      </c>
      <c r="B1219" s="101" t="inlineStr">
        <is>
          <t>LIBERTY CREEK CALIFORNIA MOSCATO</t>
        </is>
      </c>
      <c r="C1219" s="102">
        <f>VLOOKUP(A1219,SizeData!A$2:B$3839,2,FALSE)</f>
        <v/>
      </c>
      <c r="D1219" s="101" t="n">
        <v>1</v>
      </c>
      <c r="E1219" s="101" t="inlineStr">
        <is>
          <t>R2062305</t>
        </is>
      </c>
      <c r="F1219" s="103" t="n">
        <v>45024</v>
      </c>
      <c r="G1219" s="104" t="n"/>
    </row>
    <row r="1220" ht="16" customHeight="1">
      <c r="A1220" s="98" t="n">
        <v>480320</v>
      </c>
      <c r="B1220" s="98" t="inlineStr">
        <is>
          <t>LIBERTY CREEK CALIFORNIA SWEET RED</t>
        </is>
      </c>
      <c r="C1220" s="97">
        <f>VLOOKUP(A1220,SizeData!A$2:B$3839,2,FALSE)</f>
        <v/>
      </c>
      <c r="D1220" s="98" t="n">
        <v>2</v>
      </c>
      <c r="E1220" s="98" t="inlineStr">
        <is>
          <t>R1972521</t>
        </is>
      </c>
      <c r="F1220" s="99" t="n">
        <v>44964</v>
      </c>
      <c r="G1220" s="100" t="n"/>
    </row>
    <row r="1221" ht="16" customHeight="1">
      <c r="A1221" s="98" t="n">
        <v>515856</v>
      </c>
      <c r="B1221" s="98" t="inlineStr">
        <is>
          <t>LINE 39 CABERNET SAUVIGNON LAKE COUNTY</t>
        </is>
      </c>
      <c r="C1221" s="97">
        <f>VLOOKUP(A1221,SizeData!A$2:B$3839,2,FALSE)</f>
        <v/>
      </c>
      <c r="D1221" s="98" t="n">
        <v>1</v>
      </c>
      <c r="E1221" s="98" t="inlineStr">
        <is>
          <t>R2065393</t>
        </is>
      </c>
      <c r="F1221" s="99" t="n">
        <v>45031</v>
      </c>
      <c r="G1221" s="100" t="n"/>
    </row>
    <row r="1222" ht="16" customHeight="1">
      <c r="A1222" s="98" t="n">
        <v>40191</v>
      </c>
      <c r="B1222" s="98" t="inlineStr">
        <is>
          <t>NEW AMSTERDAM PINEAPPLE FLAVORED VODKA</t>
        </is>
      </c>
      <c r="C1222" s="97">
        <f>VLOOKUP(A1222,SizeData!A$2:B$3839,2,FALSE)</f>
        <v/>
      </c>
      <c r="D1222" s="98" t="n">
        <v>1</v>
      </c>
      <c r="E1222" s="98" t="inlineStr">
        <is>
          <t>R1910748</t>
        </is>
      </c>
      <c r="F1222" s="99" t="n">
        <v>44908</v>
      </c>
      <c r="G1222" s="100" t="n"/>
    </row>
    <row r="1223" ht="16" customHeight="1">
      <c r="A1223" s="98" t="n">
        <v>40195</v>
      </c>
      <c r="B1223" s="98" t="inlineStr">
        <is>
          <t>NEW AMSTERDAM PINEAPPLE FLAVORED VODKA</t>
        </is>
      </c>
      <c r="C1223" s="97">
        <f>VLOOKUP(A1223,SizeData!A$2:B$3839,2,FALSE)</f>
        <v/>
      </c>
      <c r="D1223" s="98" t="n">
        <v>1</v>
      </c>
      <c r="E1223" s="98" t="inlineStr">
        <is>
          <t>R1927120</t>
        </is>
      </c>
      <c r="F1223" s="99" t="n">
        <v>44924</v>
      </c>
      <c r="G1223" s="100" t="n"/>
    </row>
    <row r="1224" ht="16" customHeight="1">
      <c r="A1224" s="98" t="n">
        <v>40192</v>
      </c>
      <c r="B1224" s="98" t="inlineStr">
        <is>
          <t>NEW AMSTERDAM PINEAPPLE FLAVORED VODKA</t>
        </is>
      </c>
      <c r="C1224" s="97">
        <f>VLOOKUP(A1224,SizeData!A$2:B$3839,2,FALSE)</f>
        <v/>
      </c>
      <c r="D1224" s="98" t="n">
        <v>1</v>
      </c>
      <c r="E1224" s="98" t="inlineStr">
        <is>
          <t>R1927120</t>
        </is>
      </c>
      <c r="F1224" s="99" t="n">
        <v>44924</v>
      </c>
      <c r="G1224" s="100" t="n"/>
    </row>
    <row r="1225" ht="16" customHeight="1">
      <c r="A1225" s="98" t="n">
        <v>515857</v>
      </c>
      <c r="B1225" s="98" t="inlineStr">
        <is>
          <t>LINE 39 MERLOT NORTH COAST</t>
        </is>
      </c>
      <c r="C1225" s="97">
        <f>VLOOKUP(A1225,SizeData!A$2:B$3839,2,FALSE)</f>
        <v/>
      </c>
      <c r="D1225" s="98" t="n">
        <v>1</v>
      </c>
      <c r="E1225" s="98" t="inlineStr">
        <is>
          <t>R1999510</t>
        </is>
      </c>
      <c r="F1225" s="99" t="n">
        <v>44987</v>
      </c>
      <c r="G1225" s="100" t="n"/>
      <c r="H1225" s="28" t="n"/>
      <c r="I1225" s="28" t="n"/>
      <c r="J1225" s="28" t="n"/>
      <c r="K1225" s="28" t="n"/>
      <c r="L1225" s="28" t="n"/>
      <c r="M1225" s="28" t="n"/>
      <c r="N1225" s="28" t="n"/>
      <c r="O1225" s="28" t="n"/>
      <c r="P1225" s="28" t="n"/>
      <c r="Q1225" s="28" t="n"/>
      <c r="R1225" s="28" t="n"/>
      <c r="S1225" s="28" t="n"/>
      <c r="T1225" s="28" t="n"/>
    </row>
    <row r="1226" ht="16" customHeight="1">
      <c r="A1226" s="98" t="n">
        <v>480742</v>
      </c>
      <c r="B1226" s="98" t="inlineStr">
        <is>
          <t>LINE 39 PINOT NOIR CENTRAL COAST</t>
        </is>
      </c>
      <c r="C1226" s="97">
        <f>VLOOKUP(A1226,SizeData!A$2:B$3839,2,FALSE)</f>
        <v/>
      </c>
      <c r="D1226" s="98" t="n">
        <v>1</v>
      </c>
      <c r="E1226" s="98" t="inlineStr">
        <is>
          <t>R2010980</t>
        </is>
      </c>
      <c r="F1226" s="99" t="n">
        <v>44995</v>
      </c>
      <c r="G1226" s="100" t="n"/>
      <c r="H1226" s="28" t="n"/>
      <c r="I1226" s="28" t="n"/>
      <c r="J1226" s="28" t="n"/>
      <c r="K1226" s="28" t="n"/>
      <c r="L1226" s="28" t="n"/>
      <c r="M1226" s="28" t="n"/>
      <c r="N1226" s="28" t="n"/>
      <c r="O1226" s="28" t="n"/>
      <c r="P1226" s="28" t="n"/>
      <c r="Q1226" s="28" t="n"/>
      <c r="R1226" s="28" t="n"/>
      <c r="S1226" s="28" t="n"/>
      <c r="T1226" s="28" t="n"/>
    </row>
    <row r="1227" ht="16" customHeight="1">
      <c r="A1227" s="98" t="n">
        <v>480742</v>
      </c>
      <c r="B1227" s="98" t="inlineStr">
        <is>
          <t>LINE 39 PINOT NOIR CENTRAL COAST</t>
        </is>
      </c>
      <c r="C1227" s="97">
        <f>VLOOKUP(A1227,SizeData!A$2:B$3839,2,FALSE)</f>
        <v/>
      </c>
      <c r="D1227" s="98" t="n">
        <v>1</v>
      </c>
      <c r="E1227" s="98" t="inlineStr">
        <is>
          <t>R2064188</t>
        </is>
      </c>
      <c r="F1227" s="99" t="n">
        <v>45036</v>
      </c>
      <c r="G1227" s="100" t="n"/>
    </row>
    <row r="1228" ht="16" customHeight="1">
      <c r="A1228" s="98" t="n">
        <v>729099</v>
      </c>
      <c r="B1228" s="98" t="inlineStr">
        <is>
          <t>LUC BELAIRE BLEU</t>
        </is>
      </c>
      <c r="C1228" s="97">
        <f>VLOOKUP(A1228,SizeData!A$2:B$3839,2,FALSE)</f>
        <v/>
      </c>
      <c r="D1228" s="98" t="n">
        <v>1</v>
      </c>
      <c r="E1228" s="98" t="inlineStr">
        <is>
          <t>R1933022</t>
        </is>
      </c>
      <c r="F1228" s="99" t="n">
        <v>44942</v>
      </c>
      <c r="G1228" s="100" t="n"/>
    </row>
    <row r="1229" ht="16" customHeight="1">
      <c r="A1229" s="98" t="n">
        <v>729099</v>
      </c>
      <c r="B1229" s="98" t="inlineStr">
        <is>
          <t>LUC BELAIRE BLEU</t>
        </is>
      </c>
      <c r="C1229" s="97">
        <f>VLOOKUP(A1229,SizeData!A$2:B$3839,2,FALSE)</f>
        <v/>
      </c>
      <c r="D1229" s="98" t="n">
        <v>1</v>
      </c>
      <c r="E1229" s="98" t="inlineStr">
        <is>
          <t>R1959013</t>
        </is>
      </c>
      <c r="F1229" s="99" t="n">
        <v>44959</v>
      </c>
      <c r="G1229" s="100" t="n"/>
    </row>
    <row r="1230" ht="16" customHeight="1">
      <c r="A1230" s="98" t="n">
        <v>729099</v>
      </c>
      <c r="B1230" s="98" t="inlineStr">
        <is>
          <t>LUC BELAIRE BLEU</t>
        </is>
      </c>
      <c r="C1230" s="97">
        <f>VLOOKUP(A1230,SizeData!A$2:B$3839,2,FALSE)</f>
        <v/>
      </c>
      <c r="D1230" s="98" t="n">
        <v>2</v>
      </c>
      <c r="E1230" s="98" t="inlineStr">
        <is>
          <t>R1962564</t>
        </is>
      </c>
      <c r="F1230" s="99" t="n">
        <v>44961</v>
      </c>
      <c r="G1230" s="100" t="n"/>
    </row>
    <row r="1231" ht="16" customHeight="1">
      <c r="A1231" s="98" t="n">
        <v>40315</v>
      </c>
      <c r="B1231" s="98" t="inlineStr">
        <is>
          <t>NEW AMSTERDAM RED BERRY FLAVORED VODKA</t>
        </is>
      </c>
      <c r="C1231" s="97">
        <f>VLOOKUP(A1231,SizeData!A$2:B$3839,2,FALSE)</f>
        <v/>
      </c>
      <c r="D1231" s="98" t="n">
        <v>3</v>
      </c>
      <c r="E1231" s="98" t="inlineStr">
        <is>
          <t>R1916005</t>
        </is>
      </c>
      <c r="F1231" s="99" t="n">
        <v>44911</v>
      </c>
      <c r="G1231" s="100" t="n"/>
    </row>
    <row r="1232" ht="16" customHeight="1">
      <c r="A1232" s="98" t="n">
        <v>40598</v>
      </c>
      <c r="B1232" s="98" t="inlineStr">
        <is>
          <t>NEW AMSTERDAM RED BERRY FLAVORED VODKA</t>
        </is>
      </c>
      <c r="C1232" s="97">
        <f>VLOOKUP(A1232,SizeData!A$2:B$3839,2,FALSE)</f>
        <v/>
      </c>
      <c r="D1232" s="98" t="n">
        <v>4</v>
      </c>
      <c r="E1232" s="98" t="inlineStr">
        <is>
          <t>R1916005</t>
        </is>
      </c>
      <c r="F1232" s="99" t="n">
        <v>44911</v>
      </c>
      <c r="G1232" s="100" t="n"/>
    </row>
    <row r="1233" ht="16" customHeight="1">
      <c r="A1233" s="98" t="n">
        <v>729099</v>
      </c>
      <c r="B1233" s="98" t="inlineStr">
        <is>
          <t>LUC BELAIRE BLEU</t>
        </is>
      </c>
      <c r="C1233" s="97">
        <f>VLOOKUP(A1233,SizeData!A$2:B$3839,2,FALSE)</f>
        <v/>
      </c>
      <c r="D1233" s="98" t="n">
        <v>1</v>
      </c>
      <c r="E1233" s="98" t="inlineStr">
        <is>
          <t>R2005976</t>
        </is>
      </c>
      <c r="F1233" s="99" t="n">
        <v>44992</v>
      </c>
      <c r="G1233" s="100" t="n"/>
    </row>
    <row r="1234" ht="16" customHeight="1">
      <c r="A1234" s="101" t="n">
        <v>729099</v>
      </c>
      <c r="B1234" s="101" t="inlineStr">
        <is>
          <t>LUC BELAIRE BLEU</t>
        </is>
      </c>
      <c r="C1234" s="102">
        <f>VLOOKUP(A1234,SizeData!A$2:B$3839,2,FALSE)</f>
        <v/>
      </c>
      <c r="D1234" s="101" t="n">
        <v>1</v>
      </c>
      <c r="E1234" s="101" t="inlineStr">
        <is>
          <t>R2062305</t>
        </is>
      </c>
      <c r="F1234" s="103" t="n">
        <v>45024</v>
      </c>
      <c r="G1234" s="104" t="n"/>
    </row>
    <row r="1235" ht="16" customHeight="1">
      <c r="A1235" s="98" t="n">
        <v>729090</v>
      </c>
      <c r="B1235" s="98" t="inlineStr">
        <is>
          <t>LUC BELAIRE BLEU EDITION LIMITED</t>
        </is>
      </c>
      <c r="C1235" s="97">
        <f>VLOOKUP(A1235,SizeData!A$2:B$3839,2,FALSE)</f>
        <v/>
      </c>
      <c r="D1235" s="98" t="n">
        <v>4</v>
      </c>
      <c r="E1235" s="98" t="inlineStr">
        <is>
          <t>R1957712</t>
        </is>
      </c>
      <c r="F1235" s="99" t="n">
        <v>44958</v>
      </c>
      <c r="G1235" s="100" t="n"/>
    </row>
    <row r="1236" ht="16" customHeight="1">
      <c r="A1236" s="98" t="n">
        <v>729090</v>
      </c>
      <c r="B1236" s="98" t="inlineStr">
        <is>
          <t>LUC BELAIRE BLEU EDITION LIMITED</t>
        </is>
      </c>
      <c r="C1236" s="97">
        <f>VLOOKUP(A1236,SizeData!A$2:B$3839,2,FALSE)</f>
        <v/>
      </c>
      <c r="D1236" s="98" t="n">
        <v>3</v>
      </c>
      <c r="E1236" s="98" t="inlineStr">
        <is>
          <t>R1968443</t>
        </is>
      </c>
      <c r="F1236" s="99" t="n">
        <v>44962</v>
      </c>
      <c r="G1236" s="100" t="n"/>
    </row>
    <row r="1237" ht="16" customHeight="1">
      <c r="A1237" s="98" t="n">
        <v>729090</v>
      </c>
      <c r="B1237" s="98" t="inlineStr">
        <is>
          <t>LUC BELAIRE BLEU EDITION LIMITED</t>
        </is>
      </c>
      <c r="C1237" s="97">
        <f>VLOOKUP(A1237,SizeData!A$2:B$3839,2,FALSE)</f>
        <v/>
      </c>
      <c r="D1237" s="98" t="n">
        <v>3</v>
      </c>
      <c r="E1237" s="98" t="inlineStr">
        <is>
          <t>R2082317</t>
        </is>
      </c>
      <c r="F1237" s="99" t="n">
        <v>45047</v>
      </c>
      <c r="G1237" s="100" t="n"/>
    </row>
    <row r="1238" ht="16" customHeight="1">
      <c r="A1238" s="98" t="n">
        <v>36971</v>
      </c>
      <c r="B1238" s="98" t="inlineStr">
        <is>
          <t>NEW AMSTERDAM VODKA</t>
        </is>
      </c>
      <c r="C1238" s="97">
        <f>VLOOKUP(A1238,SizeData!A$2:B$3839,2,FALSE)</f>
        <v/>
      </c>
      <c r="D1238" s="98" t="n">
        <v>4</v>
      </c>
      <c r="E1238" s="98" t="inlineStr">
        <is>
          <t>R1904538</t>
        </is>
      </c>
      <c r="F1238" s="99" t="n">
        <v>44917</v>
      </c>
      <c r="G1238" s="100" t="n"/>
    </row>
    <row r="1239" ht="16" customHeight="1">
      <c r="A1239" s="98" t="n">
        <v>729090</v>
      </c>
      <c r="B1239" s="98" t="inlineStr">
        <is>
          <t>LUC BELAIRE BLEU EDITION LIMITED</t>
        </is>
      </c>
      <c r="C1239" s="97">
        <f>VLOOKUP(A1239,SizeData!A$2:B$3839,2,FALSE)</f>
        <v/>
      </c>
      <c r="D1239" s="98" t="n">
        <v>10</v>
      </c>
      <c r="E1239" s="98" t="inlineStr">
        <is>
          <t>R2088403</t>
        </is>
      </c>
      <c r="F1239" s="99" t="n">
        <v>45049</v>
      </c>
      <c r="G1239" s="100" t="n"/>
    </row>
    <row r="1240" ht="16" customHeight="1">
      <c r="A1240" s="98" t="n">
        <v>729072</v>
      </c>
      <c r="B1240" s="98" t="inlineStr">
        <is>
          <t>LUC BELAIRE LUXE</t>
        </is>
      </c>
      <c r="C1240" s="97">
        <f>VLOOKUP(A1240,SizeData!A$2:B$3839,2,FALSE)</f>
        <v/>
      </c>
      <c r="D1240" s="98" t="n">
        <v>10</v>
      </c>
      <c r="E1240" s="98" t="inlineStr">
        <is>
          <t>R1957712</t>
        </is>
      </c>
      <c r="F1240" s="99" t="n">
        <v>44958</v>
      </c>
      <c r="G1240" s="100" t="n"/>
    </row>
    <row r="1241" ht="16" customHeight="1">
      <c r="A1241" s="98" t="n">
        <v>729072</v>
      </c>
      <c r="B1241" s="98" t="inlineStr">
        <is>
          <t>LUC BELAIRE LUXE</t>
        </is>
      </c>
      <c r="C1241" s="97">
        <f>VLOOKUP(A1241,SizeData!A$2:B$3839,2,FALSE)</f>
        <v/>
      </c>
      <c r="D1241" s="98" t="n">
        <v>5</v>
      </c>
      <c r="E1241" s="98" t="inlineStr">
        <is>
          <t>R1968443</t>
        </is>
      </c>
      <c r="F1241" s="99" t="n">
        <v>44962</v>
      </c>
      <c r="G1241" s="100" t="n"/>
    </row>
    <row r="1242" ht="16" customHeight="1">
      <c r="A1242" s="98" t="n">
        <v>729077</v>
      </c>
      <c r="B1242" s="98" t="inlineStr">
        <is>
          <t>LUC BELAIRE RARE LUXE 187ML</t>
        </is>
      </c>
      <c r="C1242" s="97">
        <f>VLOOKUP(A1242,SizeData!A$2:B$3839,2,FALSE)</f>
        <v/>
      </c>
      <c r="D1242" s="98" t="n">
        <v>2</v>
      </c>
      <c r="E1242" s="98" t="inlineStr">
        <is>
          <t>R2040211</t>
        </is>
      </c>
      <c r="F1242" s="99" t="n">
        <v>45001</v>
      </c>
      <c r="G1242" s="100" t="n"/>
    </row>
    <row r="1243" ht="16" customHeight="1">
      <c r="A1243" s="98" t="n">
        <v>36968</v>
      </c>
      <c r="B1243" s="98" t="inlineStr">
        <is>
          <t>NEW AMSTERDAM VODKA FLASK</t>
        </is>
      </c>
      <c r="C1243" s="97">
        <f>VLOOKUP(A1243,SizeData!A$2:B$3839,2,FALSE)</f>
        <v/>
      </c>
      <c r="D1243" s="98" t="n">
        <v>8</v>
      </c>
      <c r="E1243" s="98" t="inlineStr">
        <is>
          <t>R1911923</t>
        </is>
      </c>
      <c r="F1243" s="99" t="n">
        <v>44912</v>
      </c>
      <c r="G1243" s="100" t="n"/>
    </row>
    <row r="1244" ht="16" customHeight="1">
      <c r="A1244" s="98" t="n">
        <v>729077</v>
      </c>
      <c r="B1244" s="98" t="inlineStr">
        <is>
          <t>LUC BELAIRE RARE LUXE 187ML</t>
        </is>
      </c>
      <c r="C1244" s="97">
        <f>VLOOKUP(A1244,SizeData!A$2:B$3839,2,FALSE)</f>
        <v/>
      </c>
      <c r="D1244" s="98" t="n">
        <v>1</v>
      </c>
      <c r="E1244" s="98" t="inlineStr">
        <is>
          <t>R2044661</t>
        </is>
      </c>
      <c r="F1244" s="99" t="n">
        <v>45020</v>
      </c>
      <c r="G1244" s="100" t="n"/>
    </row>
    <row r="1245" ht="16" customHeight="1">
      <c r="A1245" s="98" t="n">
        <v>729021</v>
      </c>
      <c r="B1245" s="98" t="inlineStr">
        <is>
          <t>LUC BELAIRE ROSE</t>
        </is>
      </c>
      <c r="C1245" s="97">
        <f>VLOOKUP(A1245,SizeData!A$2:B$3839,2,FALSE)</f>
        <v/>
      </c>
      <c r="D1245" s="98" t="n">
        <v>1</v>
      </c>
      <c r="E1245" s="98" t="inlineStr">
        <is>
          <t>R1962564</t>
        </is>
      </c>
      <c r="F1245" s="99" t="n">
        <v>44961</v>
      </c>
      <c r="G1245" s="100" t="n"/>
    </row>
    <row r="1246" ht="16" customHeight="1">
      <c r="A1246" s="98" t="n">
        <v>729021</v>
      </c>
      <c r="B1246" s="98" t="inlineStr">
        <is>
          <t>LUC BELAIRE ROSE</t>
        </is>
      </c>
      <c r="C1246" s="97">
        <f>VLOOKUP(A1246,SizeData!A$2:B$3839,2,FALSE)</f>
        <v/>
      </c>
      <c r="D1246" s="98" t="n">
        <v>1</v>
      </c>
      <c r="E1246" s="98" t="inlineStr">
        <is>
          <t>R2040211</t>
        </is>
      </c>
      <c r="F1246" s="99" t="n">
        <v>45001</v>
      </c>
      <c r="G1246" s="100" t="n"/>
    </row>
    <row r="1247" ht="16" customHeight="1">
      <c r="A1247" s="98" t="n">
        <v>39382</v>
      </c>
      <c r="B1247" s="98" t="inlineStr">
        <is>
          <t>NEW AMSTERDAM VODKA PINK WHITNEY PINK LEMONADE</t>
        </is>
      </c>
      <c r="C1247" s="97">
        <f>VLOOKUP(A1247,SizeData!A$2:B$3839,2,FALSE)</f>
        <v/>
      </c>
      <c r="D1247" s="98" t="n">
        <v>2</v>
      </c>
      <c r="E1247" s="98" t="inlineStr">
        <is>
          <t>R1911923</t>
        </is>
      </c>
      <c r="F1247" s="99" t="n">
        <v>44912</v>
      </c>
      <c r="G1247" s="100" t="n"/>
    </row>
    <row r="1248" ht="16" customHeight="1">
      <c r="A1248" s="98" t="n">
        <v>729021</v>
      </c>
      <c r="B1248" s="98" t="inlineStr">
        <is>
          <t>LUC BELAIRE ROSE</t>
        </is>
      </c>
      <c r="C1248" s="97">
        <f>VLOOKUP(A1248,SizeData!A$2:B$3839,2,FALSE)</f>
        <v/>
      </c>
      <c r="D1248" s="98" t="n">
        <v>1</v>
      </c>
      <c r="E1248" s="98" t="inlineStr">
        <is>
          <t>R2038207</t>
        </is>
      </c>
      <c r="F1248" s="99" t="n">
        <v>45010</v>
      </c>
      <c r="G1248" s="100" t="n"/>
    </row>
    <row r="1249" ht="16" customHeight="1">
      <c r="A1249" s="98" t="n">
        <v>88015</v>
      </c>
      <c r="B1249" s="98" t="inlineStr">
        <is>
          <t>LUNAZUL BLANCO TEQUILA</t>
        </is>
      </c>
      <c r="C1249" s="97">
        <f>VLOOKUP(A1249,SizeData!A$2:B$3839,2,FALSE)</f>
        <v/>
      </c>
      <c r="D1249" s="98" t="n">
        <v>5</v>
      </c>
      <c r="E1249" s="98" t="inlineStr">
        <is>
          <t>R1957712</t>
        </is>
      </c>
      <c r="F1249" s="99" t="n">
        <v>44958</v>
      </c>
      <c r="G1249" s="100" t="n"/>
    </row>
    <row r="1250" ht="16" customHeight="1">
      <c r="A1250" s="98" t="n">
        <v>88015</v>
      </c>
      <c r="B1250" s="98" t="inlineStr">
        <is>
          <t>LUNAZUL BLANCO TEQUILA</t>
        </is>
      </c>
      <c r="C1250" s="97">
        <f>VLOOKUP(A1250,SizeData!A$2:B$3839,2,FALSE)</f>
        <v/>
      </c>
      <c r="D1250" s="98" t="n">
        <v>2</v>
      </c>
      <c r="E1250" s="98" t="inlineStr">
        <is>
          <t>R1992228</t>
        </is>
      </c>
      <c r="F1250" s="99" t="n">
        <v>44978</v>
      </c>
      <c r="G1250" s="100" t="n"/>
    </row>
    <row r="1251" ht="16" customHeight="1">
      <c r="A1251" s="98" t="n">
        <v>88018</v>
      </c>
      <c r="B1251" s="98" t="inlineStr">
        <is>
          <t>LUNAZUL BLANCO TEQUILA</t>
        </is>
      </c>
      <c r="C1251" s="97">
        <f>VLOOKUP(A1251,SizeData!A$2:B$3839,2,FALSE)</f>
        <v/>
      </c>
      <c r="D1251" s="98" t="n">
        <v>1</v>
      </c>
      <c r="E1251" s="98" t="inlineStr">
        <is>
          <t>R2030138</t>
        </is>
      </c>
      <c r="F1251" s="99" t="n">
        <v>44986</v>
      </c>
      <c r="G1251" s="100" t="n"/>
    </row>
    <row r="1252" ht="16" customHeight="1">
      <c r="A1252" s="98" t="n">
        <v>88018</v>
      </c>
      <c r="B1252" s="98" t="inlineStr">
        <is>
          <t>LUNAZUL BLANCO TEQUILA</t>
        </is>
      </c>
      <c r="C1252" s="97">
        <f>VLOOKUP(A1252,SizeData!A$2:B$3839,2,FALSE)</f>
        <v/>
      </c>
      <c r="D1252" s="98" t="n">
        <v>10</v>
      </c>
      <c r="E1252" s="98" t="inlineStr">
        <is>
          <t>R1998360</t>
        </is>
      </c>
      <c r="F1252" s="99" t="n">
        <v>44989</v>
      </c>
      <c r="G1252" s="100" t="n"/>
    </row>
    <row r="1253" ht="16" customHeight="1">
      <c r="A1253" s="98" t="n">
        <v>89470</v>
      </c>
      <c r="B1253" s="98" t="inlineStr">
        <is>
          <t>LUNAZUL REPOSADO TEQUILA</t>
        </is>
      </c>
      <c r="C1253" s="97">
        <f>VLOOKUP(A1253,SizeData!A$2:B$3839,2,FALSE)</f>
        <v/>
      </c>
      <c r="D1253" s="98" t="n">
        <v>4</v>
      </c>
      <c r="E1253" s="98" t="inlineStr">
        <is>
          <t>R1957712</t>
        </is>
      </c>
      <c r="F1253" s="99" t="n">
        <v>44958</v>
      </c>
      <c r="G1253" s="100" t="n"/>
    </row>
    <row r="1254" ht="16" customHeight="1">
      <c r="A1254" s="98" t="n">
        <v>39419</v>
      </c>
      <c r="B1254" s="98" t="inlineStr">
        <is>
          <t>NEW AMSTERDAM WATERMELON FLAVORED VODKA</t>
        </is>
      </c>
      <c r="C1254" s="97">
        <f>VLOOKUP(A1254,SizeData!A$2:B$3839,2,FALSE)</f>
        <v/>
      </c>
      <c r="D1254" s="98" t="n">
        <v>2</v>
      </c>
      <c r="E1254" s="98" t="inlineStr">
        <is>
          <t>R1927120</t>
        </is>
      </c>
      <c r="F1254" s="99" t="n">
        <v>44924</v>
      </c>
      <c r="G1254" s="100" t="n"/>
    </row>
    <row r="1255" ht="16" customHeight="1">
      <c r="A1255" s="98" t="n">
        <v>89470</v>
      </c>
      <c r="B1255" s="98" t="inlineStr">
        <is>
          <t>LUNAZUL REPOSADO TEQUILA</t>
        </is>
      </c>
      <c r="C1255" s="97">
        <f>VLOOKUP(A1255,SizeData!A$2:B$3839,2,FALSE)</f>
        <v/>
      </c>
      <c r="D1255" s="98" t="n">
        <v>1</v>
      </c>
      <c r="E1255" s="98" t="inlineStr">
        <is>
          <t>R1957712</t>
        </is>
      </c>
      <c r="F1255" s="99" t="n">
        <v>44958</v>
      </c>
      <c r="G1255" s="100" t="n"/>
    </row>
    <row r="1256" ht="16" customHeight="1">
      <c r="A1256" s="98" t="n">
        <v>89470</v>
      </c>
      <c r="B1256" s="98" t="inlineStr">
        <is>
          <t>LUNAZUL REPOSADO TEQUILA</t>
        </is>
      </c>
      <c r="C1256" s="97">
        <f>VLOOKUP(A1256,SizeData!A$2:B$3839,2,FALSE)</f>
        <v/>
      </c>
      <c r="D1256" s="98" t="n">
        <v>1</v>
      </c>
      <c r="E1256" s="98" t="inlineStr">
        <is>
          <t>R1992228</t>
        </is>
      </c>
      <c r="F1256" s="99" t="n">
        <v>44978</v>
      </c>
      <c r="G1256" s="100" t="n"/>
    </row>
    <row r="1257" ht="16" customHeight="1">
      <c r="A1257" s="98" t="n">
        <v>89470</v>
      </c>
      <c r="B1257" s="98" t="inlineStr">
        <is>
          <t>LUNAZUL REPOSADO TEQUILA</t>
        </is>
      </c>
      <c r="C1257" s="97">
        <f>VLOOKUP(A1257,SizeData!A$2:B$3839,2,FALSE)</f>
        <v/>
      </c>
      <c r="D1257" s="98" t="n">
        <v>4</v>
      </c>
      <c r="E1257" s="98" t="inlineStr">
        <is>
          <t>R1984929</t>
        </is>
      </c>
      <c r="F1257" s="99" t="n">
        <v>44980</v>
      </c>
      <c r="G1257" s="100" t="n"/>
    </row>
    <row r="1258" ht="16" customHeight="1">
      <c r="A1258" s="98" t="n">
        <v>89468</v>
      </c>
      <c r="B1258" s="98" t="inlineStr">
        <is>
          <t>LUNAZUL REPOSADO TEQUILA</t>
        </is>
      </c>
      <c r="C1258" s="97">
        <f>VLOOKUP(A1258,SizeData!A$2:B$3839,2,FALSE)</f>
        <v/>
      </c>
      <c r="D1258" s="98" t="n">
        <v>11</v>
      </c>
      <c r="E1258" s="98" t="inlineStr">
        <is>
          <t>R2002769</t>
        </is>
      </c>
      <c r="F1258" s="99" t="n">
        <v>44989</v>
      </c>
      <c r="G1258" s="100" t="n"/>
    </row>
    <row r="1259" ht="16" customHeight="1">
      <c r="A1259" s="101" t="n">
        <v>89468</v>
      </c>
      <c r="B1259" s="101" t="inlineStr">
        <is>
          <t>LUNAZUL REPOSADO TEQUILA</t>
        </is>
      </c>
      <c r="C1259" s="102">
        <f>VLOOKUP(A1259,SizeData!A$2:B$3839,2,FALSE)</f>
        <v/>
      </c>
      <c r="D1259" s="101" t="n">
        <v>4</v>
      </c>
      <c r="E1259" s="101" t="inlineStr">
        <is>
          <t>R2002769</t>
        </is>
      </c>
      <c r="F1259" s="103" t="n">
        <v>44989</v>
      </c>
      <c r="G1259" s="104" t="n"/>
    </row>
    <row r="1260" ht="16" customHeight="1">
      <c r="A1260" s="98" t="n">
        <v>88979</v>
      </c>
      <c r="B1260" s="98" t="inlineStr">
        <is>
          <t>MAESTRO DOBEL 50 CRISTANLINO</t>
        </is>
      </c>
      <c r="C1260" s="97">
        <f>VLOOKUP(A1260,SizeData!A$2:B$3839,2,FALSE)</f>
        <v/>
      </c>
      <c r="D1260" s="98" t="n">
        <v>1</v>
      </c>
      <c r="E1260" s="98" t="inlineStr">
        <is>
          <t>R1993998</t>
        </is>
      </c>
      <c r="F1260" s="99" t="n">
        <v>44992</v>
      </c>
      <c r="G1260" s="100" t="n"/>
    </row>
    <row r="1261" ht="16" customHeight="1">
      <c r="A1261" s="98" t="n">
        <v>89488</v>
      </c>
      <c r="B1261" s="98" t="inlineStr">
        <is>
          <t>MAESTRO DOBEL DIAMOND REPOSADO</t>
        </is>
      </c>
      <c r="C1261" s="97">
        <f>VLOOKUP(A1261,SizeData!A$2:B$3839,2,FALSE)</f>
        <v/>
      </c>
      <c r="D1261" s="98" t="n">
        <v>3</v>
      </c>
      <c r="E1261" s="98" t="inlineStr">
        <is>
          <t>R2082317</t>
        </is>
      </c>
      <c r="F1261" s="99" t="n">
        <v>45047</v>
      </c>
      <c r="G1261" s="100" t="n"/>
    </row>
    <row r="1262" ht="16" customHeight="1">
      <c r="A1262" s="98" t="n">
        <v>89488</v>
      </c>
      <c r="B1262" s="98" t="inlineStr">
        <is>
          <t>MAESTRO DOBEL DIAMOND REPOSADO</t>
        </is>
      </c>
      <c r="C1262" s="97">
        <f>VLOOKUP(A1262,SizeData!A$2:B$3839,2,FALSE)</f>
        <v/>
      </c>
      <c r="D1262" s="98" t="n">
        <v>3</v>
      </c>
      <c r="E1262" s="98" t="inlineStr">
        <is>
          <t>R2086467</t>
        </is>
      </c>
      <c r="F1262" s="99" t="n">
        <v>45048</v>
      </c>
      <c r="G1262" s="100" t="n"/>
    </row>
    <row r="1263" ht="16" customHeight="1">
      <c r="A1263" s="98" t="n">
        <v>19476</v>
      </c>
      <c r="B1263" s="98" t="inlineStr">
        <is>
          <t>MAKER'S MARK</t>
        </is>
      </c>
      <c r="C1263" s="97">
        <f>VLOOKUP(A1263,SizeData!A$2:B$3839,2,FALSE)</f>
        <v/>
      </c>
      <c r="D1263" s="98" t="n">
        <v>3</v>
      </c>
      <c r="E1263" s="98" t="inlineStr">
        <is>
          <t>R1972222</t>
        </is>
      </c>
      <c r="F1263" s="99" t="n">
        <v>44963</v>
      </c>
      <c r="G1263" s="100" t="n"/>
    </row>
    <row r="1264" ht="16" customHeight="1">
      <c r="A1264" s="98" t="n">
        <v>19486</v>
      </c>
      <c r="B1264" s="98" t="inlineStr">
        <is>
          <t>MAKER'S MARK 46</t>
        </is>
      </c>
      <c r="C1264" s="97">
        <f>VLOOKUP(A1264,SizeData!A$2:B$3839,2,FALSE)</f>
        <v/>
      </c>
      <c r="D1264" s="98" t="n">
        <v>2</v>
      </c>
      <c r="E1264" s="98" t="inlineStr">
        <is>
          <t>R1933625</t>
        </is>
      </c>
      <c r="F1264" s="99" t="n">
        <v>44940</v>
      </c>
      <c r="G1264" s="100" t="n"/>
    </row>
    <row r="1265" ht="16" customHeight="1">
      <c r="A1265" s="98" t="n">
        <v>955252</v>
      </c>
      <c r="B1265" s="98" t="inlineStr">
        <is>
          <t>OLD SOUTH SWEET NOBLE MUSCADINE</t>
        </is>
      </c>
      <c r="C1265" s="97">
        <f>VLOOKUP(A1265,SizeData!A$2:B$3839,2,FALSE)</f>
        <v/>
      </c>
      <c r="D1265" s="98" t="n">
        <v>1</v>
      </c>
      <c r="E1265" s="98" t="inlineStr">
        <is>
          <t>R1903202</t>
        </is>
      </c>
      <c r="F1265" s="99" t="n">
        <v>44905</v>
      </c>
      <c r="G1265" s="100" t="n"/>
    </row>
    <row r="1266" ht="16" customHeight="1">
      <c r="A1266" s="101" t="n">
        <v>19485</v>
      </c>
      <c r="B1266" s="101" t="inlineStr">
        <is>
          <t>MAKER'S MARK 46</t>
        </is>
      </c>
      <c r="C1266" s="102">
        <f>VLOOKUP(A1266,SizeData!A$2:B$3839,2,FALSE)</f>
        <v/>
      </c>
      <c r="D1266" s="101" t="n">
        <v>1</v>
      </c>
      <c r="E1266" s="101" t="inlineStr">
        <is>
          <t>R1988715</t>
        </is>
      </c>
      <c r="F1266" s="103" t="n">
        <v>44975</v>
      </c>
      <c r="G1266" s="104" t="n"/>
    </row>
    <row r="1267" ht="16" customHeight="1">
      <c r="A1267" s="98" t="n">
        <v>19485</v>
      </c>
      <c r="B1267" s="98" t="inlineStr">
        <is>
          <t>MAKER'S MARK 46</t>
        </is>
      </c>
      <c r="C1267" s="97">
        <f>VLOOKUP(A1267,SizeData!A$2:B$3839,2,FALSE)</f>
        <v/>
      </c>
      <c r="D1267" s="98" t="n">
        <v>1</v>
      </c>
      <c r="E1267" s="98" t="inlineStr">
        <is>
          <t>R2022490</t>
        </is>
      </c>
      <c r="F1267" s="99" t="n">
        <v>45014</v>
      </c>
      <c r="G1267" s="100" t="n"/>
    </row>
    <row r="1268" ht="16" customHeight="1">
      <c r="A1268" s="98" t="n">
        <v>19475</v>
      </c>
      <c r="B1268" s="98" t="inlineStr">
        <is>
          <t>MAKER'S MARK REPLICA</t>
        </is>
      </c>
      <c r="C1268" s="97">
        <f>VLOOKUP(A1268,SizeData!A$2:B$3839,2,FALSE)</f>
        <v/>
      </c>
      <c r="D1268" s="98" t="n">
        <v>2</v>
      </c>
      <c r="E1268" s="98" t="inlineStr">
        <is>
          <t>R1924344</t>
        </is>
      </c>
      <c r="F1268" s="99" t="n">
        <v>44933</v>
      </c>
      <c r="G1268" s="100" t="n"/>
    </row>
    <row r="1269" ht="16" customHeight="1">
      <c r="A1269" s="98" t="n">
        <v>42687</v>
      </c>
      <c r="B1269" s="98" t="inlineStr">
        <is>
          <t>MALIBU BLACK COCONUT RUM</t>
        </is>
      </c>
      <c r="C1269" s="97">
        <f>VLOOKUP(A1269,SizeData!A$2:B$3839,2,FALSE)</f>
        <v/>
      </c>
      <c r="D1269" s="98" t="n">
        <v>2</v>
      </c>
      <c r="E1269" s="98" t="inlineStr">
        <is>
          <t>R2070652</t>
        </is>
      </c>
      <c r="F1269" s="99" t="n">
        <v>45028</v>
      </c>
      <c r="G1269" s="100" t="n"/>
    </row>
    <row r="1270" ht="16" customHeight="1">
      <c r="A1270" s="98" t="n">
        <v>42699</v>
      </c>
      <c r="B1270" s="98" t="inlineStr">
        <is>
          <t>MALIBU MANGO RUM</t>
        </is>
      </c>
      <c r="C1270" s="97">
        <f>VLOOKUP(A1270,SizeData!A$2:B$3839,2,FALSE)</f>
        <v/>
      </c>
      <c r="D1270" s="98" t="n">
        <v>1</v>
      </c>
      <c r="E1270" s="98" t="inlineStr">
        <is>
          <t>R1988715</t>
        </is>
      </c>
      <c r="F1270" s="99" t="n">
        <v>44975</v>
      </c>
      <c r="G1270" s="100" t="n"/>
    </row>
    <row r="1271" ht="16" customHeight="1">
      <c r="A1271" s="101" t="n">
        <v>42699</v>
      </c>
      <c r="B1271" s="101" t="inlineStr">
        <is>
          <t>MALIBU MANGO RUM</t>
        </is>
      </c>
      <c r="C1271" s="102">
        <f>VLOOKUP(A1271,SizeData!A$2:B$3839,2,FALSE)</f>
        <v/>
      </c>
      <c r="D1271" s="101" t="n">
        <v>1</v>
      </c>
      <c r="E1271" s="101" t="inlineStr">
        <is>
          <t>R2055049</t>
        </is>
      </c>
      <c r="F1271" s="103" t="n">
        <v>45017</v>
      </c>
      <c r="G1271" s="104" t="n"/>
    </row>
    <row r="1272" ht="16" customHeight="1">
      <c r="A1272" s="98" t="n">
        <v>42699</v>
      </c>
      <c r="B1272" s="98" t="inlineStr">
        <is>
          <t>MALIBU MANGO RUM</t>
        </is>
      </c>
      <c r="C1272" s="97">
        <f>VLOOKUP(A1272,SizeData!A$2:B$3839,2,FALSE)</f>
        <v/>
      </c>
      <c r="D1272" s="98" t="n">
        <v>2</v>
      </c>
      <c r="E1272" s="98" t="inlineStr">
        <is>
          <t>R2079010</t>
        </is>
      </c>
      <c r="F1272" s="99" t="n">
        <v>45045</v>
      </c>
      <c r="G1272" s="100" t="n"/>
    </row>
    <row r="1273" ht="16" customHeight="1">
      <c r="A1273" s="98" t="n">
        <v>42703</v>
      </c>
      <c r="B1273" s="98" t="inlineStr">
        <is>
          <t>MALIBU PINEAPPLE RUM</t>
        </is>
      </c>
      <c r="C1273" s="97">
        <f>VLOOKUP(A1273,SizeData!A$2:B$3839,2,FALSE)</f>
        <v/>
      </c>
      <c r="D1273" s="98" t="n">
        <v>1</v>
      </c>
      <c r="E1273" s="98" t="inlineStr">
        <is>
          <t>R1935901</t>
        </is>
      </c>
      <c r="F1273" s="99" t="n">
        <v>44931</v>
      </c>
      <c r="G1273" s="100" t="n"/>
    </row>
    <row r="1274" ht="16" customHeight="1">
      <c r="A1274" s="98" t="n">
        <v>42703</v>
      </c>
      <c r="B1274" s="98" t="inlineStr">
        <is>
          <t>MALIBU PINEAPPLE RUM</t>
        </is>
      </c>
      <c r="C1274" s="97">
        <f>VLOOKUP(A1274,SizeData!A$2:B$3839,2,FALSE)</f>
        <v/>
      </c>
      <c r="D1274" s="98" t="n">
        <v>1</v>
      </c>
      <c r="E1274" s="98" t="inlineStr">
        <is>
          <t>R1933625</t>
        </is>
      </c>
      <c r="F1274" s="99" t="n">
        <v>44940</v>
      </c>
      <c r="G1274" s="100" t="n"/>
    </row>
    <row r="1275" ht="16" customHeight="1">
      <c r="A1275" s="98" t="n">
        <v>42703</v>
      </c>
      <c r="B1275" s="98" t="inlineStr">
        <is>
          <t>MALIBU PINEAPPLE RUM</t>
        </is>
      </c>
      <c r="C1275" s="97">
        <f>VLOOKUP(A1275,SizeData!A$2:B$3839,2,FALSE)</f>
        <v/>
      </c>
      <c r="D1275" s="98" t="n">
        <v>1</v>
      </c>
      <c r="E1275" s="98" t="inlineStr">
        <is>
          <t>R2055049</t>
        </is>
      </c>
      <c r="F1275" s="99" t="n">
        <v>45017</v>
      </c>
      <c r="G1275" s="100" t="n"/>
    </row>
    <row r="1276" ht="16" customHeight="1">
      <c r="A1276" s="98" t="n">
        <v>76413</v>
      </c>
      <c r="B1276" s="98" t="inlineStr">
        <is>
          <t>OLE SMOKY TENN MOONSHINE BUTTER PECAN</t>
        </is>
      </c>
      <c r="C1276" s="97">
        <f>VLOOKUP(A1276,SizeData!A$2:B$3839,2,FALSE)</f>
        <v/>
      </c>
      <c r="D1276" s="98" t="n">
        <v>6</v>
      </c>
      <c r="E1276" s="98" t="inlineStr">
        <is>
          <t>R1921106</t>
        </is>
      </c>
      <c r="F1276" s="99" t="n">
        <v>44916</v>
      </c>
      <c r="G1276" s="100" t="n"/>
    </row>
    <row r="1277" ht="16" customHeight="1">
      <c r="A1277" s="101" t="n">
        <v>42703</v>
      </c>
      <c r="B1277" s="101" t="inlineStr">
        <is>
          <t>MALIBU PINEAPPLE RUM</t>
        </is>
      </c>
      <c r="C1277" s="102">
        <f>VLOOKUP(A1277,SizeData!A$2:B$3839,2,FALSE)</f>
        <v/>
      </c>
      <c r="D1277" s="101" t="n">
        <v>1</v>
      </c>
      <c r="E1277" s="101" t="inlineStr">
        <is>
          <t>R2061208</t>
        </is>
      </c>
      <c r="F1277" s="103" t="n">
        <v>45022</v>
      </c>
      <c r="G1277" s="104" t="n"/>
    </row>
    <row r="1278" ht="16" customHeight="1">
      <c r="A1278" s="98" t="n">
        <v>42716</v>
      </c>
      <c r="B1278" s="98" t="inlineStr">
        <is>
          <t>MALIBU RUM</t>
        </is>
      </c>
      <c r="C1278" s="97">
        <f>VLOOKUP(A1278,SizeData!A$2:B$3839,2,FALSE)</f>
        <v/>
      </c>
      <c r="D1278" s="98" t="n">
        <v>2</v>
      </c>
      <c r="E1278" s="98" t="inlineStr">
        <is>
          <t>R1951380</t>
        </is>
      </c>
      <c r="F1278" s="99" t="n">
        <v>44953</v>
      </c>
      <c r="G1278" s="100" t="n"/>
    </row>
    <row r="1279" ht="16" customHeight="1">
      <c r="A1279" s="101" t="n">
        <v>42716</v>
      </c>
      <c r="B1279" s="101" t="inlineStr">
        <is>
          <t>MALIBU RUM</t>
        </is>
      </c>
      <c r="C1279" s="102">
        <f>VLOOKUP(A1279,SizeData!A$2:B$3839,2,FALSE)</f>
        <v/>
      </c>
      <c r="D1279" s="101" t="n">
        <v>1</v>
      </c>
      <c r="E1279" s="101" t="inlineStr">
        <is>
          <t>R1998383</t>
        </is>
      </c>
      <c r="F1279" s="103" t="n">
        <v>44991</v>
      </c>
      <c r="G1279" s="104" t="n"/>
    </row>
    <row r="1280" ht="16" customHeight="1">
      <c r="A1280" s="98" t="n">
        <v>42716</v>
      </c>
      <c r="B1280" s="98" t="inlineStr">
        <is>
          <t>MALIBU RUM</t>
        </is>
      </c>
      <c r="C1280" s="97">
        <f>VLOOKUP(A1280,SizeData!A$2:B$3839,2,FALSE)</f>
        <v/>
      </c>
      <c r="D1280" s="98" t="n">
        <v>4</v>
      </c>
      <c r="E1280" s="98" t="inlineStr">
        <is>
          <t>R2055072</t>
        </is>
      </c>
      <c r="F1280" s="99" t="n">
        <v>45021</v>
      </c>
      <c r="G1280" s="100" t="n"/>
    </row>
    <row r="1281" ht="16" customHeight="1">
      <c r="A1281" s="98" t="n">
        <v>86751</v>
      </c>
      <c r="B1281" s="98" t="inlineStr">
        <is>
          <t>OLE SMOKY TENN MOONSHINE HUNCH PUNCH LGHT 80P</t>
        </is>
      </c>
      <c r="C1281" s="97">
        <f>VLOOKUP(A1281,SizeData!A$2:B$3839,2,FALSE)</f>
        <v/>
      </c>
      <c r="D1281" s="98" t="n">
        <v>2</v>
      </c>
      <c r="E1281" s="98" t="inlineStr">
        <is>
          <t>R1921106</t>
        </is>
      </c>
      <c r="F1281" s="99" t="n">
        <v>44916</v>
      </c>
      <c r="G1281" s="100" t="n"/>
    </row>
    <row r="1282" ht="16" customHeight="1">
      <c r="A1282" s="98" t="n">
        <v>42716</v>
      </c>
      <c r="B1282" s="98" t="inlineStr">
        <is>
          <t>MALIBU RUM</t>
        </is>
      </c>
      <c r="C1282" s="97">
        <f>VLOOKUP(A1282,SizeData!A$2:B$3839,2,FALSE)</f>
        <v/>
      </c>
      <c r="D1282" s="98" t="n">
        <v>4</v>
      </c>
      <c r="E1282" s="98" t="inlineStr">
        <is>
          <t>R2079010</t>
        </is>
      </c>
      <c r="F1282" s="99" t="n">
        <v>45045</v>
      </c>
      <c r="G1282" s="100" t="n"/>
    </row>
    <row r="1283" ht="16" customHeight="1">
      <c r="A1283" s="98" t="n">
        <v>43902</v>
      </c>
      <c r="B1283" s="98" t="inlineStr">
        <is>
          <t>MALIBU STRAWBERRY</t>
        </is>
      </c>
      <c r="C1283" s="97">
        <f>VLOOKUP(A1283,SizeData!A$2:B$3839,2,FALSE)</f>
        <v/>
      </c>
      <c r="D1283" s="98" t="n">
        <v>1</v>
      </c>
      <c r="E1283" s="98" t="inlineStr">
        <is>
          <t>R1977141</t>
        </is>
      </c>
      <c r="F1283" s="99" t="n">
        <v>44970</v>
      </c>
      <c r="G1283" s="100" t="n"/>
    </row>
    <row r="1284" ht="16" customHeight="1">
      <c r="A1284" s="101" t="n">
        <v>43902</v>
      </c>
      <c r="B1284" s="101" t="inlineStr">
        <is>
          <t>MALIBU STRAWBERRY</t>
        </is>
      </c>
      <c r="C1284" s="102">
        <f>VLOOKUP(A1284,SizeData!A$2:B$3839,2,FALSE)</f>
        <v/>
      </c>
      <c r="D1284" s="101" t="n">
        <v>1</v>
      </c>
      <c r="E1284" s="101" t="inlineStr">
        <is>
          <t>R2055049</t>
        </is>
      </c>
      <c r="F1284" s="103" t="n">
        <v>45017</v>
      </c>
      <c r="G1284" s="104" t="n"/>
    </row>
    <row r="1285" ht="16" customHeight="1">
      <c r="A1285" s="98" t="n">
        <v>43902</v>
      </c>
      <c r="B1285" s="98" t="inlineStr">
        <is>
          <t>MALIBU STRAWBERRY</t>
        </is>
      </c>
      <c r="C1285" s="97">
        <f>VLOOKUP(A1285,SizeData!A$2:B$3839,2,FALSE)</f>
        <v/>
      </c>
      <c r="D1285" s="98" t="n">
        <v>2</v>
      </c>
      <c r="E1285" s="98" t="inlineStr">
        <is>
          <t>R2079010</t>
        </is>
      </c>
      <c r="F1285" s="99" t="n">
        <v>45045</v>
      </c>
      <c r="G1285" s="100" t="n"/>
    </row>
    <row r="1286" ht="16" customHeight="1">
      <c r="A1286" s="98" t="n">
        <v>43860</v>
      </c>
      <c r="B1286" s="98" t="inlineStr">
        <is>
          <t>MALIBU WATERMELON</t>
        </is>
      </c>
      <c r="C1286" s="97">
        <f>VLOOKUP(A1286,SizeData!A$2:B$3839,2,FALSE)</f>
        <v/>
      </c>
      <c r="D1286" s="98" t="n">
        <v>1</v>
      </c>
      <c r="E1286" s="98" t="inlineStr">
        <is>
          <t>R1996314</t>
        </is>
      </c>
      <c r="F1286" s="99" t="n">
        <v>44979</v>
      </c>
      <c r="G1286" s="100" t="n"/>
    </row>
    <row r="1287" ht="16" customHeight="1">
      <c r="A1287" s="98" t="n">
        <v>43860</v>
      </c>
      <c r="B1287" s="98" t="inlineStr">
        <is>
          <t>MALIBU WATERMELON</t>
        </is>
      </c>
      <c r="C1287" s="97">
        <f>VLOOKUP(A1287,SizeData!A$2:B$3839,2,FALSE)</f>
        <v/>
      </c>
      <c r="D1287" s="98" t="n">
        <v>1</v>
      </c>
      <c r="E1287" s="98" t="inlineStr">
        <is>
          <t>R2079010</t>
        </is>
      </c>
      <c r="F1287" s="99" t="n">
        <v>45045</v>
      </c>
      <c r="G1287" s="100" t="n"/>
    </row>
    <row r="1288" ht="16" customHeight="1">
      <c r="A1288" s="98" t="n">
        <v>80365</v>
      </c>
      <c r="B1288" s="98" t="inlineStr">
        <is>
          <t>OLE SMOKY WHITE CHOCOLATE STRAWBERRY MOONSHINE</t>
        </is>
      </c>
      <c r="C1288" s="97">
        <f>VLOOKUP(A1288,SizeData!A$2:B$3839,2,FALSE)</f>
        <v/>
      </c>
      <c r="D1288" s="98" t="n">
        <v>1</v>
      </c>
      <c r="E1288" s="98" t="inlineStr">
        <is>
          <t>R1927120</t>
        </is>
      </c>
      <c r="F1288" s="99" t="n">
        <v>44924</v>
      </c>
      <c r="G1288" s="100" t="n"/>
    </row>
    <row r="1289" ht="16" customHeight="1">
      <c r="A1289" s="98" t="n">
        <v>802875</v>
      </c>
      <c r="B1289" s="98" t="inlineStr">
        <is>
          <t>MANISCHEWITZ BLACKBERRY</t>
        </is>
      </c>
      <c r="C1289" s="97">
        <f>VLOOKUP(A1289,SizeData!A$2:B$3839,2,FALSE)</f>
        <v/>
      </c>
      <c r="D1289" s="98" t="n">
        <v>1</v>
      </c>
      <c r="E1289" s="98" t="inlineStr">
        <is>
          <t>R1919341</t>
        </is>
      </c>
      <c r="F1289" s="99" t="n">
        <v>44930</v>
      </c>
      <c r="G1289" s="100" t="n"/>
    </row>
    <row r="1290" ht="16" customHeight="1">
      <c r="A1290" s="98" t="n">
        <v>482705</v>
      </c>
      <c r="B1290" s="98" t="inlineStr">
        <is>
          <t>MANISCHEWITZ CREAM RED CONCORD</t>
        </is>
      </c>
      <c r="C1290" s="97">
        <f>VLOOKUP(A1290,SizeData!A$2:B$3839,2,FALSE)</f>
        <v/>
      </c>
      <c r="D1290" s="98" t="n">
        <v>1</v>
      </c>
      <c r="E1290" s="98" t="inlineStr">
        <is>
          <t>R1919341</t>
        </is>
      </c>
      <c r="F1290" s="99" t="n">
        <v>44930</v>
      </c>
      <c r="G1290" s="100" t="n"/>
    </row>
    <row r="1291" ht="16" customHeight="1">
      <c r="A1291" s="98" t="n">
        <v>88189</v>
      </c>
      <c r="B1291" s="98" t="inlineStr">
        <is>
          <t>OLMECA ALTOS PLATA</t>
        </is>
      </c>
      <c r="C1291" s="97">
        <f>VLOOKUP(A1291,SizeData!A$2:B$3839,2,FALSE)</f>
        <v/>
      </c>
      <c r="D1291" s="98" t="n">
        <v>1</v>
      </c>
      <c r="E1291" s="98" t="inlineStr">
        <is>
          <t>R1906771</t>
        </is>
      </c>
      <c r="F1291" s="99" t="n">
        <v>44908</v>
      </c>
      <c r="G1291" s="100" t="n"/>
    </row>
    <row r="1292" ht="16" customHeight="1">
      <c r="A1292" s="101" t="n">
        <v>369100</v>
      </c>
      <c r="B1292" s="101" t="inlineStr">
        <is>
          <t>MARCO NEGRI MOSCATO D'ASTI</t>
        </is>
      </c>
      <c r="C1292" s="102">
        <f>VLOOKUP(A1292,SizeData!A$2:B$3839,2,FALSE)</f>
        <v/>
      </c>
      <c r="D1292" s="101" t="n">
        <v>1</v>
      </c>
      <c r="E1292" s="101" t="inlineStr">
        <is>
          <t>R2078241</t>
        </is>
      </c>
      <c r="F1292" s="103" t="n">
        <v>45047</v>
      </c>
      <c r="G1292" s="104" t="n"/>
    </row>
    <row r="1293" ht="16" customHeight="1">
      <c r="A1293" s="101" t="n">
        <v>48658</v>
      </c>
      <c r="B1293" s="101" t="inlineStr">
        <is>
          <t>MARTELL CORDON BLEU COGNAC</t>
        </is>
      </c>
      <c r="C1293" s="102">
        <f>VLOOKUP(A1293,SizeData!A$2:B$3839,2,FALSE)</f>
        <v/>
      </c>
      <c r="D1293" s="101" t="n">
        <v>1</v>
      </c>
      <c r="E1293" s="101" t="inlineStr">
        <is>
          <t>R2049593</t>
        </is>
      </c>
      <c r="F1293" s="103" t="n">
        <v>45022</v>
      </c>
      <c r="G1293" s="104" t="n"/>
    </row>
    <row r="1294" ht="16" customHeight="1">
      <c r="A1294" s="98" t="n">
        <v>89610</v>
      </c>
      <c r="B1294" s="98" t="inlineStr">
        <is>
          <t>OLMECA ALTOS REPOSADO</t>
        </is>
      </c>
      <c r="C1294" s="97">
        <f>VLOOKUP(A1294,SizeData!A$2:B$3839,2,FALSE)</f>
        <v/>
      </c>
      <c r="D1294" s="98" t="n">
        <v>1</v>
      </c>
      <c r="E1294" s="98" t="inlineStr">
        <is>
          <t>R1906771</t>
        </is>
      </c>
      <c r="F1294" s="99" t="n">
        <v>44908</v>
      </c>
      <c r="G1294" s="100" t="n"/>
    </row>
    <row r="1295" ht="16" customHeight="1">
      <c r="A1295" s="98" t="n">
        <v>89610</v>
      </c>
      <c r="B1295" s="98" t="inlineStr">
        <is>
          <t>OLMECA ALTOS REPOSADO</t>
        </is>
      </c>
      <c r="C1295" s="97">
        <f>VLOOKUP(A1295,SizeData!A$2:B$3839,2,FALSE)</f>
        <v/>
      </c>
      <c r="D1295" s="98" t="n">
        <v>1</v>
      </c>
      <c r="E1295" s="98" t="inlineStr">
        <is>
          <t>R1904538</t>
        </is>
      </c>
      <c r="F1295" s="99" t="n">
        <v>44917</v>
      </c>
      <c r="G1295" s="100" t="n"/>
    </row>
    <row r="1296" ht="16" customHeight="1">
      <c r="A1296" s="98" t="n">
        <v>48696</v>
      </c>
      <c r="B1296" s="98" t="inlineStr">
        <is>
          <t>MARTELL V S COGNAC</t>
        </is>
      </c>
      <c r="C1296" s="97">
        <f>VLOOKUP(A1296,SizeData!A$2:B$3839,2,FALSE)</f>
        <v/>
      </c>
      <c r="D1296" s="98" t="n">
        <v>10</v>
      </c>
      <c r="E1296" s="98" t="inlineStr">
        <is>
          <t>R2028201</t>
        </is>
      </c>
      <c r="F1296" s="99" t="n">
        <v>45005</v>
      </c>
      <c r="G1296" s="100" t="n"/>
    </row>
    <row r="1297" ht="16" customHeight="1">
      <c r="A1297" s="101" t="n">
        <v>729155</v>
      </c>
      <c r="B1297" s="101" t="inlineStr">
        <is>
          <t>MARTINI &amp; ROSSI ASTI SPUMANTE</t>
        </is>
      </c>
      <c r="C1297" s="102">
        <f>VLOOKUP(A1297,SizeData!A$2:B$3839,2,FALSE)</f>
        <v/>
      </c>
      <c r="D1297" s="101" t="n">
        <v>2</v>
      </c>
      <c r="E1297" s="101" t="inlineStr">
        <is>
          <t>R1964057</t>
        </is>
      </c>
      <c r="F1297" s="103" t="n">
        <v>44963</v>
      </c>
      <c r="G1297" s="104" t="n"/>
    </row>
    <row r="1298" ht="16" customHeight="1">
      <c r="A1298" s="98" t="n">
        <v>729155</v>
      </c>
      <c r="B1298" s="98" t="inlineStr">
        <is>
          <t>MARTINI &amp; ROSSI ASTI SPUMANTE</t>
        </is>
      </c>
      <c r="C1298" s="97">
        <f>VLOOKUP(A1298,SizeData!A$2:B$3839,2,FALSE)</f>
        <v/>
      </c>
      <c r="D1298" s="98" t="n">
        <v>1</v>
      </c>
      <c r="E1298" s="98" t="inlineStr">
        <is>
          <t>R1992338</t>
        </is>
      </c>
      <c r="F1298" s="99" t="n">
        <v>44980</v>
      </c>
      <c r="G1298" s="100" t="n"/>
    </row>
    <row r="1299" ht="16" customHeight="1">
      <c r="A1299" s="98" t="n">
        <v>98747</v>
      </c>
      <c r="B1299" s="98" t="inlineStr">
        <is>
          <t>MARTINI AND ROSSI ROSSO SWEET RED VERMOUTH</t>
        </is>
      </c>
      <c r="C1299" s="97">
        <f>VLOOKUP(A1299,SizeData!A$2:B$3839,2,FALSE)</f>
        <v/>
      </c>
      <c r="D1299" s="98" t="n">
        <v>1</v>
      </c>
      <c r="E1299" s="98" t="inlineStr">
        <is>
          <t>R1978112</t>
        </is>
      </c>
      <c r="F1299" s="99" t="n">
        <v>44972</v>
      </c>
      <c r="G1299" s="100" t="n"/>
    </row>
    <row r="1300" ht="16" customHeight="1">
      <c r="A1300" s="101" t="n">
        <v>812770</v>
      </c>
      <c r="B1300" s="101" t="inlineStr">
        <is>
          <t>MD 20/20 BANANA RED</t>
        </is>
      </c>
      <c r="C1300" s="102">
        <f>VLOOKUP(A1300,SizeData!A$2:B$3839,2,FALSE)</f>
        <v/>
      </c>
      <c r="D1300" s="101" t="n">
        <v>1</v>
      </c>
      <c r="E1300" s="101" t="inlineStr">
        <is>
          <t>R1978468</t>
        </is>
      </c>
      <c r="F1300" s="103" t="n">
        <v>44979</v>
      </c>
      <c r="G1300" s="104" t="n"/>
    </row>
    <row r="1301" ht="16" customHeight="1">
      <c r="A1301" s="98" t="n">
        <v>812770</v>
      </c>
      <c r="B1301" s="98" t="inlineStr">
        <is>
          <t>MD 20/20 BANANA RED</t>
        </is>
      </c>
      <c r="C1301" s="97">
        <f>VLOOKUP(A1301,SizeData!A$2:B$3839,2,FALSE)</f>
        <v/>
      </c>
      <c r="D1301" s="98" t="n">
        <v>1</v>
      </c>
      <c r="E1301" s="98" t="inlineStr">
        <is>
          <t>R1984929</t>
        </is>
      </c>
      <c r="F1301" s="99" t="n">
        <v>44980</v>
      </c>
      <c r="G1301" s="100" t="n"/>
    </row>
    <row r="1302" ht="16" customHeight="1">
      <c r="A1302" s="98" t="n">
        <v>812770</v>
      </c>
      <c r="B1302" s="98" t="inlineStr">
        <is>
          <t>MD 20/20 BANANA RED</t>
        </is>
      </c>
      <c r="C1302" s="97">
        <f>VLOOKUP(A1302,SizeData!A$2:B$3839,2,FALSE)</f>
        <v/>
      </c>
      <c r="D1302" s="98" t="n">
        <v>1</v>
      </c>
      <c r="E1302" s="98" t="inlineStr">
        <is>
          <t>R2048312</t>
        </is>
      </c>
      <c r="F1302" s="99" t="n">
        <v>45020</v>
      </c>
      <c r="G1302" s="100" t="n"/>
    </row>
    <row r="1303" ht="16" customHeight="1">
      <c r="A1303" s="98" t="n">
        <v>812810</v>
      </c>
      <c r="B1303" s="98" t="inlineStr">
        <is>
          <t>MD 20/20 BLUE RASPBERRY</t>
        </is>
      </c>
      <c r="C1303" s="97">
        <f>VLOOKUP(A1303,SizeData!A$2:B$3839,2,FALSE)</f>
        <v/>
      </c>
      <c r="D1303" s="98" t="n">
        <v>1</v>
      </c>
      <c r="E1303" s="98" t="inlineStr">
        <is>
          <t>R1967237</t>
        </is>
      </c>
      <c r="F1303" s="99" t="n">
        <v>44958</v>
      </c>
      <c r="G1303" s="100" t="n"/>
    </row>
    <row r="1304" ht="16" customHeight="1">
      <c r="A1304" s="98" t="n">
        <v>88294</v>
      </c>
      <c r="B1304" s="98" t="inlineStr">
        <is>
          <t>PATRON SILVER TEQUILA</t>
        </is>
      </c>
      <c r="C1304" s="97">
        <f>VLOOKUP(A1304,SizeData!A$2:B$3839,2,FALSE)</f>
        <v/>
      </c>
      <c r="D1304" s="98" t="n">
        <v>15</v>
      </c>
      <c r="E1304" s="98" t="inlineStr">
        <is>
          <t>R1905397</t>
        </is>
      </c>
      <c r="F1304" s="99" t="n">
        <v>44910</v>
      </c>
      <c r="G1304" s="100" t="n"/>
    </row>
    <row r="1305" ht="16" customHeight="1">
      <c r="A1305" s="98" t="n">
        <v>812810</v>
      </c>
      <c r="B1305" s="98" t="inlineStr">
        <is>
          <t>MD 20/20 BLUE RASPBERRY</t>
        </is>
      </c>
      <c r="C1305" s="97">
        <f>VLOOKUP(A1305,SizeData!A$2:B$3839,2,FALSE)</f>
        <v/>
      </c>
      <c r="D1305" s="98" t="n">
        <v>2</v>
      </c>
      <c r="E1305" s="98" t="inlineStr">
        <is>
          <t>R1987221</t>
        </is>
      </c>
      <c r="F1305" s="99" t="n">
        <v>44970</v>
      </c>
      <c r="G1305" s="100" t="n"/>
    </row>
    <row r="1306" ht="16" customHeight="1">
      <c r="A1306" s="98" t="n">
        <v>88296</v>
      </c>
      <c r="B1306" s="98" t="inlineStr">
        <is>
          <t>PATRON SILVER TEQUILA</t>
        </is>
      </c>
      <c r="C1306" s="97">
        <f>VLOOKUP(A1306,SizeData!A$2:B$3839,2,FALSE)</f>
        <v/>
      </c>
      <c r="D1306" s="98" t="n">
        <v>12</v>
      </c>
      <c r="E1306" s="98" t="n"/>
      <c r="F1306" s="99" t="n"/>
      <c r="G1306" s="100" t="n"/>
    </row>
    <row r="1307" ht="16" customHeight="1">
      <c r="A1307" s="98" t="n">
        <v>88294</v>
      </c>
      <c r="B1307" s="98" t="inlineStr">
        <is>
          <t>PATRON SILVER TEQUILA</t>
        </is>
      </c>
      <c r="C1307" s="97">
        <f>VLOOKUP(A1307,SizeData!A$2:B$3839,2,FALSE)</f>
        <v/>
      </c>
      <c r="D1307" s="98" t="n">
        <v>20</v>
      </c>
      <c r="E1307" s="98" t="n"/>
      <c r="F1307" s="99" t="n"/>
      <c r="G1307" s="100" t="n"/>
    </row>
    <row r="1308" ht="16" customHeight="1">
      <c r="A1308" s="98" t="n">
        <v>812812</v>
      </c>
      <c r="B1308" s="98" t="inlineStr">
        <is>
          <t>MD 20/20 BLUE RASPBERRY</t>
        </is>
      </c>
      <c r="C1308" s="97">
        <f>VLOOKUP(A1308,SizeData!A$2:B$3839,2,FALSE)</f>
        <v/>
      </c>
      <c r="D1308" s="98" t="n">
        <v>3</v>
      </c>
      <c r="E1308" s="98" t="inlineStr">
        <is>
          <t>R1994726</t>
        </is>
      </c>
      <c r="F1308" s="99" t="n">
        <v>44988</v>
      </c>
      <c r="G1308" s="100" t="n"/>
    </row>
    <row r="1309" ht="16" customHeight="1">
      <c r="A1309" s="98" t="n">
        <v>812810</v>
      </c>
      <c r="B1309" s="98" t="inlineStr">
        <is>
          <t>MD 20/20 BLUE RASPBERRY</t>
        </is>
      </c>
      <c r="C1309" s="97">
        <f>VLOOKUP(A1309,SizeData!A$2:B$3839,2,FALSE)</f>
        <v/>
      </c>
      <c r="D1309" s="98" t="n">
        <v>3</v>
      </c>
      <c r="E1309" s="98" t="inlineStr">
        <is>
          <t>R2048312</t>
        </is>
      </c>
      <c r="F1309" s="99" t="n">
        <v>45020</v>
      </c>
      <c r="G1309" s="100" t="n"/>
    </row>
    <row r="1310" ht="16" customHeight="1">
      <c r="A1310" s="98" t="n">
        <v>812812</v>
      </c>
      <c r="B1310" s="98" t="inlineStr">
        <is>
          <t>MD 20/20 BLUE RASPBERRY</t>
        </is>
      </c>
      <c r="C1310" s="97">
        <f>VLOOKUP(A1310,SizeData!A$2:B$3839,2,FALSE)</f>
        <v/>
      </c>
      <c r="D1310" s="98" t="n">
        <v>2</v>
      </c>
      <c r="E1310" s="98" t="inlineStr">
        <is>
          <t>R2048312</t>
        </is>
      </c>
      <c r="F1310" s="99" t="n">
        <v>45020</v>
      </c>
      <c r="G1310" s="100" t="n"/>
    </row>
    <row r="1311" ht="16" customHeight="1">
      <c r="A1311" s="98" t="n">
        <v>812826</v>
      </c>
      <c r="B1311" s="98" t="inlineStr">
        <is>
          <t>MD 20/20 GOLD PINEAPPLE</t>
        </is>
      </c>
      <c r="C1311" s="97">
        <f>VLOOKUP(A1311,SizeData!A$2:B$3839,2,FALSE)</f>
        <v/>
      </c>
      <c r="D1311" s="98" t="n">
        <v>1</v>
      </c>
      <c r="E1311" s="98" t="inlineStr">
        <is>
          <t>R1956061</t>
        </is>
      </c>
      <c r="F1311" s="99" t="n">
        <v>44956</v>
      </c>
      <c r="G1311" s="100" t="n"/>
    </row>
    <row r="1312" ht="16" customHeight="1">
      <c r="A1312" s="98" t="n">
        <v>812826</v>
      </c>
      <c r="B1312" s="98" t="inlineStr">
        <is>
          <t>MD 20/20 GOLD PINEAPPLE</t>
        </is>
      </c>
      <c r="C1312" s="97">
        <f>VLOOKUP(A1312,SizeData!A$2:B$3839,2,FALSE)</f>
        <v/>
      </c>
      <c r="D1312" s="98" t="n">
        <v>2</v>
      </c>
      <c r="E1312" s="98" t="inlineStr">
        <is>
          <t>R1986800</t>
        </is>
      </c>
      <c r="F1312" s="99" t="n">
        <v>44972</v>
      </c>
      <c r="G1312" s="100" t="n"/>
    </row>
    <row r="1313" ht="16" customHeight="1">
      <c r="A1313" s="98" t="n">
        <v>812826</v>
      </c>
      <c r="B1313" s="98" t="inlineStr">
        <is>
          <t>MD 20/20 GOLD PINEAPPLE</t>
        </is>
      </c>
      <c r="C1313" s="97">
        <f>VLOOKUP(A1313,SizeData!A$2:B$3839,2,FALSE)</f>
        <v/>
      </c>
      <c r="D1313" s="98" t="n">
        <v>1</v>
      </c>
      <c r="E1313" s="98" t="inlineStr">
        <is>
          <t>R2032734</t>
        </is>
      </c>
      <c r="F1313" s="99" t="n">
        <v>45007</v>
      </c>
      <c r="G1313" s="100" t="n"/>
    </row>
    <row r="1314" ht="16" customHeight="1">
      <c r="A1314" s="101" t="n">
        <v>812826</v>
      </c>
      <c r="B1314" s="101" t="inlineStr">
        <is>
          <t>MD 20/20 GOLD PINEAPPLE</t>
        </is>
      </c>
      <c r="C1314" s="102">
        <f>VLOOKUP(A1314,SizeData!A$2:B$3839,2,FALSE)</f>
        <v/>
      </c>
      <c r="D1314" s="101" t="n">
        <v>1</v>
      </c>
      <c r="E1314" s="101" t="inlineStr">
        <is>
          <t>R2067759</t>
        </is>
      </c>
      <c r="F1314" s="103" t="n">
        <v>45038</v>
      </c>
      <c r="G1314" s="104" t="n"/>
    </row>
    <row r="1315" ht="16" customHeight="1">
      <c r="A1315" s="98" t="n">
        <v>812799</v>
      </c>
      <c r="B1315" s="98" t="inlineStr">
        <is>
          <t>MD 20/20 ORANGE JUBILEE</t>
        </is>
      </c>
      <c r="C1315" s="97">
        <f>VLOOKUP(A1315,SizeData!A$2:B$3839,2,FALSE)</f>
        <v/>
      </c>
      <c r="D1315" s="98" t="n">
        <v>2</v>
      </c>
      <c r="E1315" s="98" t="inlineStr">
        <is>
          <t>R1929845</t>
        </is>
      </c>
      <c r="F1315" s="99" t="n">
        <v>44939</v>
      </c>
      <c r="G1315" s="100" t="n"/>
    </row>
    <row r="1316" ht="16" customHeight="1">
      <c r="A1316" s="98" t="n">
        <v>812799</v>
      </c>
      <c r="B1316" s="98" t="inlineStr">
        <is>
          <t>MD 20/20 ORANGE JUBILEE</t>
        </is>
      </c>
      <c r="C1316" s="97">
        <f>VLOOKUP(A1316,SizeData!A$2:B$3839,2,FALSE)</f>
        <v/>
      </c>
      <c r="D1316" s="98" t="n">
        <v>1</v>
      </c>
      <c r="E1316" s="98" t="inlineStr">
        <is>
          <t>R1938333</t>
        </is>
      </c>
      <c r="F1316" s="99" t="n">
        <v>44945</v>
      </c>
      <c r="G1316" s="100" t="n"/>
    </row>
    <row r="1317" ht="16" customHeight="1">
      <c r="A1317" s="98" t="n">
        <v>812799</v>
      </c>
      <c r="B1317" s="98" t="inlineStr">
        <is>
          <t>MD 20/20 ORANGE JUBILEE</t>
        </is>
      </c>
      <c r="C1317" s="97">
        <f>VLOOKUP(A1317,SizeData!A$2:B$3839,2,FALSE)</f>
        <v/>
      </c>
      <c r="D1317" s="98" t="n">
        <v>1</v>
      </c>
      <c r="E1317" s="98" t="inlineStr">
        <is>
          <t>R1944170</t>
        </is>
      </c>
      <c r="F1317" s="99" t="n">
        <v>44947</v>
      </c>
      <c r="G1317" s="100" t="n"/>
    </row>
    <row r="1318" ht="16" customHeight="1">
      <c r="A1318" s="98" t="n">
        <v>812799</v>
      </c>
      <c r="B1318" s="98" t="inlineStr">
        <is>
          <t>MD 20/20 ORANGE JUBILEE</t>
        </is>
      </c>
      <c r="C1318" s="97">
        <f>VLOOKUP(A1318,SizeData!A$2:B$3839,2,FALSE)</f>
        <v/>
      </c>
      <c r="D1318" s="98" t="n">
        <v>1</v>
      </c>
      <c r="E1318" s="98" t="inlineStr">
        <is>
          <t>R1947923</t>
        </is>
      </c>
      <c r="F1318" s="99" t="n">
        <v>44949</v>
      </c>
      <c r="G1318" s="100" t="n"/>
    </row>
    <row r="1319" ht="16" customHeight="1">
      <c r="A1319" s="98" t="n">
        <v>812799</v>
      </c>
      <c r="B1319" s="98" t="inlineStr">
        <is>
          <t>MD 20/20 ORANGE JUBILEE</t>
        </is>
      </c>
      <c r="C1319" s="97">
        <f>VLOOKUP(A1319,SizeData!A$2:B$3839,2,FALSE)</f>
        <v/>
      </c>
      <c r="D1319" s="98" t="n">
        <v>3</v>
      </c>
      <c r="E1319" s="98" t="inlineStr">
        <is>
          <t>R1987221</t>
        </is>
      </c>
      <c r="F1319" s="99" t="n">
        <v>44970</v>
      </c>
      <c r="G1319" s="100" t="n"/>
    </row>
    <row r="1320" ht="16" customHeight="1">
      <c r="A1320" s="98" t="n">
        <v>812799</v>
      </c>
      <c r="B1320" s="98" t="inlineStr">
        <is>
          <t>MD 20/20 ORANGE JUBILEE</t>
        </is>
      </c>
      <c r="C1320" s="97">
        <f>VLOOKUP(A1320,SizeData!A$2:B$3839,2,FALSE)</f>
        <v/>
      </c>
      <c r="D1320" s="98" t="n">
        <v>1</v>
      </c>
      <c r="E1320" s="98" t="inlineStr">
        <is>
          <t>R1986800</t>
        </is>
      </c>
      <c r="F1320" s="99" t="n">
        <v>44972</v>
      </c>
      <c r="G1320" s="100" t="n"/>
    </row>
    <row r="1321" ht="16" customHeight="1">
      <c r="A1321" s="98" t="n">
        <v>812791</v>
      </c>
      <c r="B1321" s="98" t="inlineStr">
        <is>
          <t>MD 20/20 ORANGE JUBILEE</t>
        </is>
      </c>
      <c r="C1321" s="97">
        <f>VLOOKUP(A1321,SizeData!A$2:B$3839,2,FALSE)</f>
        <v/>
      </c>
      <c r="D1321" s="98" t="n">
        <v>5</v>
      </c>
      <c r="E1321" s="98" t="inlineStr">
        <is>
          <t>R1976594</t>
        </is>
      </c>
      <c r="F1321" s="99" t="n">
        <v>44980</v>
      </c>
      <c r="G1321" s="100" t="n"/>
    </row>
    <row r="1322" ht="16" customHeight="1">
      <c r="A1322" s="101" t="n">
        <v>812790</v>
      </c>
      <c r="B1322" s="101" t="inlineStr">
        <is>
          <t>MD 20/20 ORANGE JUBILEE</t>
        </is>
      </c>
      <c r="C1322" s="102">
        <f>VLOOKUP(A1322,SizeData!A$2:B$3839,2,FALSE)</f>
        <v/>
      </c>
      <c r="D1322" s="101" t="n">
        <v>2</v>
      </c>
      <c r="E1322" s="101" t="inlineStr">
        <is>
          <t>R1978468</t>
        </is>
      </c>
      <c r="F1322" s="103" t="n">
        <v>44979</v>
      </c>
      <c r="G1322" s="104" t="n"/>
    </row>
    <row r="1323" ht="16" customHeight="1">
      <c r="A1323" s="98" t="n">
        <v>812791</v>
      </c>
      <c r="B1323" s="98" t="inlineStr">
        <is>
          <t>MD 20/20 ORANGE JUBILEE</t>
        </is>
      </c>
      <c r="C1323" s="97">
        <f>VLOOKUP(A1323,SizeData!A$2:B$3839,2,FALSE)</f>
        <v/>
      </c>
      <c r="D1323" s="98" t="n">
        <v>2</v>
      </c>
      <c r="E1323" s="98" t="inlineStr">
        <is>
          <t>R1994726</t>
        </is>
      </c>
      <c r="F1323" s="99" t="n">
        <v>44988</v>
      </c>
      <c r="G1323" s="100" t="n"/>
    </row>
    <row r="1324" ht="16" customHeight="1">
      <c r="A1324" s="98" t="n">
        <v>812791</v>
      </c>
      <c r="B1324" s="98" t="inlineStr">
        <is>
          <t>MD 20/20 ORANGE JUBILEE</t>
        </is>
      </c>
      <c r="C1324" s="97">
        <f>VLOOKUP(A1324,SizeData!A$2:B$3839,2,FALSE)</f>
        <v/>
      </c>
      <c r="D1324" s="98" t="n">
        <v>1</v>
      </c>
      <c r="E1324" s="98" t="inlineStr">
        <is>
          <t>R2032001</t>
        </is>
      </c>
      <c r="F1324" s="99" t="n">
        <v>45000</v>
      </c>
      <c r="G1324" s="100" t="n"/>
    </row>
    <row r="1325" ht="16" customHeight="1">
      <c r="A1325" s="101" t="n">
        <v>812791</v>
      </c>
      <c r="B1325" s="101" t="inlineStr">
        <is>
          <t>MD 20/20 ORANGE JUBILEE</t>
        </is>
      </c>
      <c r="C1325" s="102">
        <f>VLOOKUP(A1325,SizeData!A$2:B$3839,2,FALSE)</f>
        <v/>
      </c>
      <c r="D1325" s="101" t="n">
        <v>1</v>
      </c>
      <c r="E1325" s="101" t="inlineStr">
        <is>
          <t>R2026986</t>
        </is>
      </c>
      <c r="F1325" s="103" t="n">
        <v>45010</v>
      </c>
      <c r="G1325" s="104" t="n"/>
    </row>
    <row r="1326" ht="16" customHeight="1">
      <c r="A1326" s="98" t="n">
        <v>812799</v>
      </c>
      <c r="B1326" s="98" t="inlineStr">
        <is>
          <t>MD 20/20 ORANGE JUBILEE</t>
        </is>
      </c>
      <c r="C1326" s="97">
        <f>VLOOKUP(A1326,SizeData!A$2:B$3839,2,FALSE)</f>
        <v/>
      </c>
      <c r="D1326" s="98" t="n">
        <v>1</v>
      </c>
      <c r="E1326" s="98" t="inlineStr">
        <is>
          <t>R2048312</t>
        </is>
      </c>
      <c r="F1326" s="99" t="n">
        <v>45020</v>
      </c>
      <c r="G1326" s="100" t="n"/>
    </row>
    <row r="1327" ht="16" customHeight="1">
      <c r="A1327" s="98" t="n">
        <v>812799</v>
      </c>
      <c r="B1327" s="98" t="inlineStr">
        <is>
          <t>MD 20/20 ORANGE JUBILEE</t>
        </is>
      </c>
      <c r="C1327" s="97">
        <f>VLOOKUP(A1327,SizeData!A$2:B$3839,2,FALSE)</f>
        <v/>
      </c>
      <c r="D1327" s="98" t="n">
        <v>2</v>
      </c>
      <c r="E1327" s="98" t="inlineStr">
        <is>
          <t>R2062305</t>
        </is>
      </c>
      <c r="F1327" s="99" t="n">
        <v>45024</v>
      </c>
      <c r="G1327" s="100" t="n"/>
    </row>
    <row r="1328" ht="16" customHeight="1">
      <c r="A1328" s="98" t="n">
        <v>812791</v>
      </c>
      <c r="B1328" s="98" t="inlineStr">
        <is>
          <t>MD 20/20 ORANGE JUBILEE</t>
        </is>
      </c>
      <c r="C1328" s="97">
        <f>VLOOKUP(A1328,SizeData!A$2:B$3839,2,FALSE)</f>
        <v/>
      </c>
      <c r="D1328" s="98" t="n">
        <v>3</v>
      </c>
      <c r="E1328" s="98" t="inlineStr">
        <is>
          <t>R2053884</t>
        </is>
      </c>
      <c r="F1328" s="99" t="n">
        <v>45031</v>
      </c>
      <c r="G1328" s="100" t="n"/>
    </row>
    <row r="1329" ht="16" customHeight="1">
      <c r="A1329" s="98" t="n">
        <v>53217</v>
      </c>
      <c r="B1329" s="98" t="inlineStr">
        <is>
          <t>PAUL MASSON GRANDE AMBER BRANDY</t>
        </is>
      </c>
      <c r="C1329" s="97">
        <f>VLOOKUP(A1329,SizeData!A$2:B$3839,2,FALSE)</f>
        <v/>
      </c>
      <c r="D1329" s="98" t="n">
        <v>1</v>
      </c>
      <c r="E1329" s="98" t="inlineStr">
        <is>
          <t>R1902639</t>
        </is>
      </c>
      <c r="F1329" s="99" t="n">
        <v>44911</v>
      </c>
      <c r="G1329" s="100" t="n"/>
    </row>
    <row r="1330" ht="16" customHeight="1">
      <c r="A1330" s="98" t="n">
        <v>53217</v>
      </c>
      <c r="B1330" s="98" t="inlineStr">
        <is>
          <t>PAUL MASSON GRANDE AMBER BRANDY</t>
        </is>
      </c>
      <c r="C1330" s="97">
        <f>VLOOKUP(A1330,SizeData!A$2:B$3839,2,FALSE)</f>
        <v/>
      </c>
      <c r="D1330" s="98" t="n">
        <v>1</v>
      </c>
      <c r="E1330" s="98" t="inlineStr">
        <is>
          <t>R1913485</t>
        </is>
      </c>
      <c r="F1330" s="99" t="n">
        <v>44922</v>
      </c>
      <c r="G1330" s="100" t="n"/>
    </row>
    <row r="1331" ht="16" customHeight="1">
      <c r="A1331" s="98" t="n">
        <v>812776</v>
      </c>
      <c r="B1331" s="98" t="inlineStr">
        <is>
          <t>MD 20/20 PEACH &amp; CREAM</t>
        </is>
      </c>
      <c r="C1331" s="97">
        <f>VLOOKUP(A1331,SizeData!A$2:B$3839,2,FALSE)</f>
        <v/>
      </c>
      <c r="D1331" s="98" t="n">
        <v>1</v>
      </c>
      <c r="E1331" s="98" t="inlineStr">
        <is>
          <t>R1922178</t>
        </is>
      </c>
      <c r="F1331" s="99" t="n">
        <v>44929</v>
      </c>
      <c r="G1331" s="100" t="n"/>
    </row>
    <row r="1332" ht="16" customHeight="1">
      <c r="A1332" s="98" t="n">
        <v>812776</v>
      </c>
      <c r="B1332" s="98" t="inlineStr">
        <is>
          <t>MD 20/20 PEACH &amp; CREAM</t>
        </is>
      </c>
      <c r="C1332" s="97">
        <f>VLOOKUP(A1332,SizeData!A$2:B$3839,2,FALSE)</f>
        <v/>
      </c>
      <c r="D1332" s="98" t="n">
        <v>1</v>
      </c>
      <c r="E1332" s="98" t="inlineStr">
        <is>
          <t>R1943057</t>
        </is>
      </c>
      <c r="F1332" s="99" t="n">
        <v>44945</v>
      </c>
      <c r="G1332" s="100" t="n"/>
    </row>
    <row r="1333" ht="16" customHeight="1">
      <c r="A1333" s="98" t="n">
        <v>812776</v>
      </c>
      <c r="B1333" s="98" t="inlineStr">
        <is>
          <t>MD 20/20 PEACH &amp; CREAM</t>
        </is>
      </c>
      <c r="C1333" s="97">
        <f>VLOOKUP(A1333,SizeData!A$2:B$3839,2,FALSE)</f>
        <v/>
      </c>
      <c r="D1333" s="98" t="n">
        <v>1</v>
      </c>
      <c r="E1333" s="98" t="inlineStr">
        <is>
          <t>R1944166</t>
        </is>
      </c>
      <c r="F1333" s="99" t="n">
        <v>44947</v>
      </c>
      <c r="G1333" s="100" t="n"/>
    </row>
    <row r="1334" ht="16" customHeight="1">
      <c r="A1334" s="98" t="n">
        <v>812776</v>
      </c>
      <c r="B1334" s="98" t="inlineStr">
        <is>
          <t>MD 20/20 PEACH &amp; CREAM</t>
        </is>
      </c>
      <c r="C1334" s="97">
        <f>VLOOKUP(A1334,SizeData!A$2:B$3839,2,FALSE)</f>
        <v/>
      </c>
      <c r="D1334" s="98" t="n">
        <v>2</v>
      </c>
      <c r="E1334" s="98" t="inlineStr">
        <is>
          <t>R1987221</t>
        </is>
      </c>
      <c r="F1334" s="99" t="n">
        <v>44970</v>
      </c>
      <c r="G1334" s="100" t="n"/>
    </row>
    <row r="1335" ht="16" customHeight="1">
      <c r="A1335" s="98" t="n">
        <v>812776</v>
      </c>
      <c r="B1335" s="98" t="inlineStr">
        <is>
          <t>MD 20/20 PEACH &amp; CREAM</t>
        </is>
      </c>
      <c r="C1335" s="97">
        <f>VLOOKUP(A1335,SizeData!A$2:B$3839,2,FALSE)</f>
        <v/>
      </c>
      <c r="D1335" s="98" t="n">
        <v>2</v>
      </c>
      <c r="E1335" s="98" t="inlineStr">
        <is>
          <t>R2028888</t>
        </is>
      </c>
      <c r="F1335" s="99" t="n">
        <v>45015</v>
      </c>
      <c r="G1335" s="100" t="n"/>
    </row>
    <row r="1336" ht="16" customHeight="1">
      <c r="A1336" s="98" t="n">
        <v>812776</v>
      </c>
      <c r="B1336" s="98" t="inlineStr">
        <is>
          <t>MD 20/20 PEACH &amp; CREAM</t>
        </is>
      </c>
      <c r="C1336" s="97">
        <f>VLOOKUP(A1336,SizeData!A$2:B$3839,2,FALSE)</f>
        <v/>
      </c>
      <c r="D1336" s="98" t="n">
        <v>2</v>
      </c>
      <c r="E1336" s="98" t="inlineStr">
        <is>
          <t>R2048312</t>
        </is>
      </c>
      <c r="F1336" s="99" t="n">
        <v>45020</v>
      </c>
      <c r="G1336" s="100" t="n"/>
    </row>
    <row r="1337" ht="16" customHeight="1">
      <c r="A1337" s="98" t="n">
        <v>812794</v>
      </c>
      <c r="B1337" s="98" t="inlineStr">
        <is>
          <t>MD 20/20 RED GRAPE</t>
        </is>
      </c>
      <c r="C1337" s="97">
        <f>VLOOKUP(A1337,SizeData!A$2:B$3839,2,FALSE)</f>
        <v/>
      </c>
      <c r="D1337" s="98" t="n">
        <v>2</v>
      </c>
      <c r="E1337" s="98" t="inlineStr">
        <is>
          <t>R1922178</t>
        </is>
      </c>
      <c r="F1337" s="99" t="n">
        <v>44929</v>
      </c>
      <c r="G1337" s="100" t="n"/>
    </row>
    <row r="1338" ht="16" customHeight="1">
      <c r="A1338" s="98" t="n">
        <v>812796</v>
      </c>
      <c r="B1338" s="98" t="inlineStr">
        <is>
          <t>MD 20/20 RED GRAPE</t>
        </is>
      </c>
      <c r="C1338" s="97">
        <f>VLOOKUP(A1338,SizeData!A$2:B$3839,2,FALSE)</f>
        <v/>
      </c>
      <c r="D1338" s="98" t="n">
        <v>2</v>
      </c>
      <c r="E1338" s="98" t="inlineStr">
        <is>
          <t>R1929845</t>
        </is>
      </c>
      <c r="F1338" s="99" t="n">
        <v>44939</v>
      </c>
      <c r="G1338" s="100" t="n"/>
    </row>
    <row r="1339" ht="16" customHeight="1">
      <c r="A1339" s="98" t="n">
        <v>812796</v>
      </c>
      <c r="B1339" s="98" t="inlineStr">
        <is>
          <t>MD 20/20 RED GRAPE</t>
        </is>
      </c>
      <c r="C1339" s="97">
        <f>VLOOKUP(A1339,SizeData!A$2:B$3839,2,FALSE)</f>
        <v/>
      </c>
      <c r="D1339" s="98" t="n">
        <v>1</v>
      </c>
      <c r="E1339" s="98" t="inlineStr">
        <is>
          <t>R1987221</t>
        </is>
      </c>
      <c r="F1339" s="99" t="n">
        <v>44970</v>
      </c>
      <c r="G1339" s="100" t="n"/>
    </row>
    <row r="1340" ht="16" customHeight="1">
      <c r="A1340" s="101" t="n">
        <v>812794</v>
      </c>
      <c r="B1340" s="101" t="inlineStr">
        <is>
          <t>MD 20/20 RED GRAPE</t>
        </is>
      </c>
      <c r="C1340" s="102">
        <f>VLOOKUP(A1340,SizeData!A$2:B$3839,2,FALSE)</f>
        <v/>
      </c>
      <c r="D1340" s="101" t="n">
        <v>2</v>
      </c>
      <c r="E1340" s="101" t="inlineStr">
        <is>
          <t>R1984349</t>
        </is>
      </c>
      <c r="F1340" s="103" t="n">
        <v>44982</v>
      </c>
      <c r="G1340" s="104" t="n"/>
    </row>
    <row r="1341" ht="16" customHeight="1">
      <c r="A1341" s="98" t="n">
        <v>812794</v>
      </c>
      <c r="B1341" s="98" t="inlineStr">
        <is>
          <t>MD 20/20 RED GRAPE</t>
        </is>
      </c>
      <c r="C1341" s="97">
        <f>VLOOKUP(A1341,SizeData!A$2:B$3839,2,FALSE)</f>
        <v/>
      </c>
      <c r="D1341" s="98" t="n">
        <v>1</v>
      </c>
      <c r="E1341" s="98" t="inlineStr">
        <is>
          <t>R1994726</t>
        </is>
      </c>
      <c r="F1341" s="99" t="n">
        <v>44988</v>
      </c>
      <c r="G1341" s="100" t="n"/>
    </row>
    <row r="1342" ht="16" customHeight="1">
      <c r="A1342" s="98" t="n">
        <v>812794</v>
      </c>
      <c r="B1342" s="98" t="inlineStr">
        <is>
          <t>MD 20/20 RED GRAPE</t>
        </is>
      </c>
      <c r="C1342" s="97">
        <f>VLOOKUP(A1342,SizeData!A$2:B$3839,2,FALSE)</f>
        <v/>
      </c>
      <c r="D1342" s="98" t="n">
        <v>2</v>
      </c>
      <c r="E1342" s="98" t="inlineStr">
        <is>
          <t>R2032734</t>
        </is>
      </c>
      <c r="F1342" s="99" t="n">
        <v>45007</v>
      </c>
      <c r="G1342" s="100" t="n"/>
    </row>
    <row r="1343" ht="16" customHeight="1">
      <c r="A1343" s="98" t="n">
        <v>812796</v>
      </c>
      <c r="B1343" s="98" t="inlineStr">
        <is>
          <t>MD 20/20 RED GRAPE</t>
        </is>
      </c>
      <c r="C1343" s="97">
        <f>VLOOKUP(A1343,SizeData!A$2:B$3839,2,FALSE)</f>
        <v/>
      </c>
      <c r="D1343" s="98" t="n">
        <v>3</v>
      </c>
      <c r="E1343" s="98" t="inlineStr">
        <is>
          <t>R2032734</t>
        </is>
      </c>
      <c r="F1343" s="99" t="n">
        <v>45007</v>
      </c>
      <c r="G1343" s="100" t="n"/>
    </row>
    <row r="1344" ht="16" customHeight="1">
      <c r="A1344" s="98" t="n">
        <v>812795</v>
      </c>
      <c r="B1344" s="98" t="inlineStr">
        <is>
          <t>MD 20/20 RED GRAPE</t>
        </is>
      </c>
      <c r="C1344" s="97">
        <f>VLOOKUP(A1344,SizeData!A$2:B$3839,2,FALSE)</f>
        <v/>
      </c>
      <c r="D1344" s="98" t="n">
        <v>1</v>
      </c>
      <c r="E1344" s="98" t="inlineStr">
        <is>
          <t>R2028888</t>
        </is>
      </c>
      <c r="F1344" s="99" t="n">
        <v>45015</v>
      </c>
      <c r="G1344" s="100" t="n"/>
    </row>
    <row r="1345" ht="16" customHeight="1">
      <c r="A1345" s="98" t="n">
        <v>812794</v>
      </c>
      <c r="B1345" s="98" t="inlineStr">
        <is>
          <t>MD 20/20 RED GRAPE</t>
        </is>
      </c>
      <c r="C1345" s="97">
        <f>VLOOKUP(A1345,SizeData!A$2:B$3839,2,FALSE)</f>
        <v/>
      </c>
      <c r="D1345" s="98" t="n">
        <v>1</v>
      </c>
      <c r="E1345" s="98" t="inlineStr">
        <is>
          <t>R2065393</t>
        </is>
      </c>
      <c r="F1345" s="99" t="n">
        <v>45031</v>
      </c>
      <c r="G1345" s="100" t="n"/>
    </row>
    <row r="1346" ht="16" customHeight="1">
      <c r="A1346" s="98" t="n">
        <v>812795</v>
      </c>
      <c r="B1346" s="98" t="inlineStr">
        <is>
          <t>MD 20/20 RED GRAPE</t>
        </is>
      </c>
      <c r="C1346" s="97">
        <f>VLOOKUP(A1346,SizeData!A$2:B$3839,2,FALSE)</f>
        <v/>
      </c>
      <c r="D1346" s="98" t="n">
        <v>1</v>
      </c>
      <c r="E1346" s="98" t="inlineStr">
        <is>
          <t>R2057184</t>
        </is>
      </c>
      <c r="F1346" s="99" t="n">
        <v>45034</v>
      </c>
      <c r="G1346" s="100" t="n"/>
    </row>
    <row r="1347" ht="16" customHeight="1">
      <c r="A1347" s="101" t="n">
        <v>812794</v>
      </c>
      <c r="B1347" s="101" t="inlineStr">
        <is>
          <t>MD 20/20 RED GRAPE</t>
        </is>
      </c>
      <c r="C1347" s="102">
        <f>VLOOKUP(A1347,SizeData!A$2:B$3839,2,FALSE)</f>
        <v/>
      </c>
      <c r="D1347" s="101" t="n">
        <v>1</v>
      </c>
      <c r="E1347" s="101" t="inlineStr">
        <is>
          <t>R2065393</t>
        </is>
      </c>
      <c r="F1347" s="103" t="n">
        <v>45031</v>
      </c>
      <c r="G1347" s="104" t="n"/>
    </row>
    <row r="1348" ht="16" customHeight="1">
      <c r="A1348" s="101" t="n">
        <v>812796</v>
      </c>
      <c r="B1348" s="101" t="inlineStr">
        <is>
          <t>MD 20/20 RED GRAPE</t>
        </is>
      </c>
      <c r="C1348" s="102">
        <f>VLOOKUP(A1348,SizeData!A$2:B$3839,2,FALSE)</f>
        <v/>
      </c>
      <c r="D1348" s="101" t="n">
        <v>1</v>
      </c>
      <c r="E1348" s="101" t="inlineStr">
        <is>
          <t>R2065393</t>
        </is>
      </c>
      <c r="F1348" s="103" t="n">
        <v>45031</v>
      </c>
      <c r="G1348" s="104" t="n"/>
    </row>
    <row r="1349" ht="16" customHeight="1">
      <c r="A1349" s="98" t="n">
        <v>53216</v>
      </c>
      <c r="B1349" s="98" t="inlineStr">
        <is>
          <t>PAUL MASSON GRANDE AMBER BRANDY</t>
        </is>
      </c>
      <c r="C1349" s="97">
        <f>VLOOKUP(A1349,SizeData!A$2:B$3839,2,FALSE)</f>
        <v/>
      </c>
      <c r="D1349" s="98" t="n">
        <v>2</v>
      </c>
      <c r="E1349" s="98" t="inlineStr">
        <is>
          <t>R1917442</t>
        </is>
      </c>
      <c r="F1349" s="99" t="n">
        <v>44922</v>
      </c>
      <c r="G1349" s="100" t="n"/>
    </row>
    <row r="1350" ht="16" customHeight="1">
      <c r="A1350" s="98" t="n">
        <v>443950</v>
      </c>
      <c r="B1350" s="98" t="inlineStr">
        <is>
          <t>MEIOMI PINOT NOIR MNTRY/SNTA BARB/SONOMA</t>
        </is>
      </c>
      <c r="C1350" s="97">
        <f>VLOOKUP(A1350,SizeData!A$2:B$3839,2,FALSE)</f>
        <v/>
      </c>
      <c r="D1350" s="98" t="n">
        <v>2</v>
      </c>
      <c r="E1350" s="98" t="inlineStr">
        <is>
          <t>R1962631</t>
        </is>
      </c>
      <c r="F1350" s="99" t="n">
        <v>44959</v>
      </c>
      <c r="G1350" s="100" t="n"/>
    </row>
    <row r="1351" ht="16" customHeight="1">
      <c r="A1351" s="98" t="n">
        <v>53216</v>
      </c>
      <c r="B1351" s="98" t="inlineStr">
        <is>
          <t>PAUL MASSON GRANDE AMBER BRANDY</t>
        </is>
      </c>
      <c r="C1351" s="97">
        <f>VLOOKUP(A1351,SizeData!A$2:B$3839,2,FALSE)</f>
        <v/>
      </c>
      <c r="D1351" s="98" t="n">
        <v>18</v>
      </c>
      <c r="E1351" s="98" t="inlineStr">
        <is>
          <t>R1924910</t>
        </is>
      </c>
      <c r="F1351" s="99" t="n">
        <v>44925</v>
      </c>
      <c r="G1351" s="100" t="n"/>
    </row>
    <row r="1352" ht="16" customHeight="1">
      <c r="A1352" s="98" t="n">
        <v>443950</v>
      </c>
      <c r="B1352" s="98" t="inlineStr">
        <is>
          <t>MEIOMI PINOT NOIR MNTRY/SNTA BARB/SONOMA</t>
        </is>
      </c>
      <c r="C1352" s="97">
        <f>VLOOKUP(A1352,SizeData!A$2:B$3839,2,FALSE)</f>
        <v/>
      </c>
      <c r="D1352" s="98" t="n">
        <v>1</v>
      </c>
      <c r="E1352" s="98" t="inlineStr">
        <is>
          <t>R1984929</t>
        </is>
      </c>
      <c r="F1352" s="99" t="n">
        <v>44980</v>
      </c>
      <c r="G1352" s="100" t="n"/>
    </row>
    <row r="1353" ht="16" customHeight="1">
      <c r="A1353" s="98" t="n">
        <v>443950</v>
      </c>
      <c r="B1353" s="98" t="inlineStr">
        <is>
          <t>MEIOMI PINOT NOIR MNTRY/SNTA BARB/SONOMA</t>
        </is>
      </c>
      <c r="C1353" s="97">
        <f>VLOOKUP(A1353,SizeData!A$2:B$3839,2,FALSE)</f>
        <v/>
      </c>
      <c r="D1353" s="98" t="n">
        <v>2</v>
      </c>
      <c r="E1353" s="98" t="inlineStr">
        <is>
          <t>R1993703</t>
        </is>
      </c>
      <c r="F1353" s="99" t="n">
        <v>44981</v>
      </c>
      <c r="G1353" s="100" t="n"/>
    </row>
    <row r="1354" ht="16" customHeight="1">
      <c r="A1354" s="98" t="n">
        <v>27236</v>
      </c>
      <c r="B1354" s="98" t="inlineStr">
        <is>
          <t>MELLOW CORN</t>
        </is>
      </c>
      <c r="C1354" s="97">
        <f>VLOOKUP(A1354,SizeData!A$2:B$3839,2,FALSE)</f>
        <v/>
      </c>
      <c r="D1354" s="98" t="n">
        <v>1</v>
      </c>
      <c r="E1354" s="98" t="inlineStr">
        <is>
          <t>R1956061</t>
        </is>
      </c>
      <c r="F1354" s="99" t="n">
        <v>44956</v>
      </c>
      <c r="G1354" s="100" t="n"/>
    </row>
    <row r="1355" ht="16" customHeight="1">
      <c r="A1355" s="98" t="n">
        <v>53203</v>
      </c>
      <c r="B1355" s="98" t="inlineStr">
        <is>
          <t>PAUL MASSON GRANDE AMBER VSOP BRANDY</t>
        </is>
      </c>
      <c r="C1355" s="97">
        <f>VLOOKUP(A1355,SizeData!A$2:B$3839,2,FALSE)</f>
        <v/>
      </c>
      <c r="D1355" s="98" t="n">
        <v>1</v>
      </c>
      <c r="E1355" s="98" t="inlineStr">
        <is>
          <t>R1919402</t>
        </is>
      </c>
      <c r="F1355" s="99" t="n">
        <v>44924</v>
      </c>
      <c r="G1355" s="100" t="n"/>
    </row>
    <row r="1356" ht="16" customHeight="1">
      <c r="A1356" s="98" t="n">
        <v>53206</v>
      </c>
      <c r="B1356" s="98" t="inlineStr">
        <is>
          <t>PAUL MASSON GRANDE AMBER VSOP BRANDY</t>
        </is>
      </c>
      <c r="C1356" s="97">
        <f>VLOOKUP(A1356,SizeData!A$2:B$3839,2,FALSE)</f>
        <v/>
      </c>
      <c r="D1356" s="98" t="n">
        <v>1</v>
      </c>
      <c r="E1356" s="98" t="inlineStr">
        <is>
          <t>R1927120</t>
        </is>
      </c>
      <c r="F1356" s="99" t="n">
        <v>44924</v>
      </c>
      <c r="G1356" s="100" t="n"/>
    </row>
    <row r="1357" ht="16" customHeight="1">
      <c r="A1357" s="98" t="n">
        <v>485433</v>
      </c>
      <c r="B1357" s="98" t="inlineStr">
        <is>
          <t>MENAGE A TROIS HOT PINK SWEET ROSE COLLC</t>
        </is>
      </c>
      <c r="C1357" s="97">
        <f>VLOOKUP(A1357,SizeData!A$2:B$3839,2,FALSE)</f>
        <v/>
      </c>
      <c r="D1357" s="98" t="n">
        <v>1</v>
      </c>
      <c r="E1357" s="98" t="inlineStr">
        <is>
          <t>R2030138</t>
        </is>
      </c>
      <c r="F1357" s="99" t="n">
        <v>44986</v>
      </c>
      <c r="G1357" s="100" t="n"/>
    </row>
    <row r="1358" ht="16" customHeight="1">
      <c r="A1358" s="98" t="n">
        <v>485433</v>
      </c>
      <c r="B1358" s="98" t="inlineStr">
        <is>
          <t>MENAGE A TROIS HOT PINK SWEET ROSE COLLC</t>
        </is>
      </c>
      <c r="C1358" s="97">
        <f>VLOOKUP(A1358,SizeData!A$2:B$3839,2,FALSE)</f>
        <v/>
      </c>
      <c r="D1358" s="98" t="n">
        <v>1</v>
      </c>
      <c r="E1358" s="98" t="inlineStr">
        <is>
          <t>R2020736</t>
        </is>
      </c>
      <c r="F1358" s="99" t="n">
        <v>44998</v>
      </c>
      <c r="G1358" s="100" t="n"/>
    </row>
    <row r="1359" ht="16" customHeight="1">
      <c r="A1359" s="98" t="n">
        <v>485473</v>
      </c>
      <c r="B1359" s="98" t="inlineStr">
        <is>
          <t>MENAGE A TROIS SILK RED</t>
        </is>
      </c>
      <c r="C1359" s="97">
        <f>VLOOKUP(A1359,SizeData!A$2:B$3839,2,FALSE)</f>
        <v/>
      </c>
      <c r="D1359" s="98" t="n">
        <v>1</v>
      </c>
      <c r="E1359" s="98" t="inlineStr">
        <is>
          <t>R1957712</t>
        </is>
      </c>
      <c r="F1359" s="99" t="n">
        <v>44958</v>
      </c>
      <c r="G1359" s="100" t="n"/>
    </row>
    <row r="1360" ht="16" customHeight="1">
      <c r="A1360" s="101" t="n">
        <v>485473</v>
      </c>
      <c r="B1360" s="101" t="inlineStr">
        <is>
          <t>MENAGE A TROIS SILK RED</t>
        </is>
      </c>
      <c r="C1360" s="102">
        <f>VLOOKUP(A1360,SizeData!A$2:B$3839,2,FALSE)</f>
        <v/>
      </c>
      <c r="D1360" s="101" t="n">
        <v>1</v>
      </c>
      <c r="E1360" s="101" t="inlineStr">
        <is>
          <t>R1995808</t>
        </is>
      </c>
      <c r="F1360" s="103" t="n">
        <v>44972</v>
      </c>
      <c r="G1360" s="104" t="n"/>
    </row>
    <row r="1361" ht="16" customHeight="1">
      <c r="A1361" s="98" t="n">
        <v>56768</v>
      </c>
      <c r="B1361" s="98" t="inlineStr">
        <is>
          <t>PAUL MASSON MANGO GRANDE AMBER BRANDY</t>
        </is>
      </c>
      <c r="C1361" s="97">
        <f>VLOOKUP(A1361,SizeData!A$2:B$3839,2,FALSE)</f>
        <v/>
      </c>
      <c r="D1361" s="98" t="n">
        <v>2</v>
      </c>
      <c r="E1361" s="98" t="inlineStr">
        <is>
          <t>R1906937</t>
        </is>
      </c>
      <c r="F1361" s="99" t="n">
        <v>44911</v>
      </c>
      <c r="G1361" s="100" t="n"/>
    </row>
    <row r="1362" ht="16" customHeight="1">
      <c r="A1362" s="98" t="n">
        <v>56768</v>
      </c>
      <c r="B1362" s="98" t="inlineStr">
        <is>
          <t>PAUL MASSON MANGO GRANDE AMBER BRANDY</t>
        </is>
      </c>
      <c r="C1362" s="97">
        <f>VLOOKUP(A1362,SizeData!A$2:B$3839,2,FALSE)</f>
        <v/>
      </c>
      <c r="D1362" s="98" t="n">
        <v>3</v>
      </c>
      <c r="E1362" s="98" t="inlineStr">
        <is>
          <t>R1923324</t>
        </is>
      </c>
      <c r="F1362" s="99" t="n">
        <v>44923</v>
      </c>
      <c r="G1362" s="100" t="n"/>
    </row>
    <row r="1363" ht="16" customHeight="1">
      <c r="A1363" s="101" t="n">
        <v>485449</v>
      </c>
      <c r="B1363" s="101" t="inlineStr">
        <is>
          <t>MENAGE SWEET COLLECTION DOLCE RED</t>
        </is>
      </c>
      <c r="C1363" s="102">
        <f>VLOOKUP(A1363,SizeData!A$2:B$3839,2,FALSE)</f>
        <v/>
      </c>
      <c r="D1363" s="101" t="n">
        <v>1</v>
      </c>
      <c r="E1363" s="101" t="inlineStr">
        <is>
          <t>R2030138</t>
        </is>
      </c>
      <c r="F1363" s="103" t="n">
        <v>44986</v>
      </c>
      <c r="G1363" s="104" t="n"/>
    </row>
    <row r="1364" ht="16" customHeight="1">
      <c r="A1364" s="98" t="n">
        <v>48764</v>
      </c>
      <c r="B1364" s="98" t="inlineStr">
        <is>
          <t>MEUKOW VS COGNAC (ROUND BOTTLE)</t>
        </is>
      </c>
      <c r="C1364" s="97">
        <f>VLOOKUP(A1364,SizeData!A$2:B$3839,2,FALSE)</f>
        <v/>
      </c>
      <c r="D1364" s="98" t="n">
        <v>1</v>
      </c>
      <c r="E1364" s="98" t="inlineStr">
        <is>
          <t>R1939504</t>
        </is>
      </c>
      <c r="F1364" s="99" t="n">
        <v>44940</v>
      </c>
      <c r="G1364" s="100" t="n"/>
    </row>
    <row r="1365" ht="16" customHeight="1">
      <c r="A1365" s="98" t="n">
        <v>48764</v>
      </c>
      <c r="B1365" s="98" t="inlineStr">
        <is>
          <t>MEUKOW VS COGNAC (ROUND BOTTLE)</t>
        </is>
      </c>
      <c r="C1365" s="97">
        <f>VLOOKUP(A1365,SizeData!A$2:B$3839,2,FALSE)</f>
        <v/>
      </c>
      <c r="D1365" s="98" t="n">
        <v>1</v>
      </c>
      <c r="E1365" s="98" t="inlineStr">
        <is>
          <t>R1976594</t>
        </is>
      </c>
      <c r="F1365" s="99" t="n">
        <v>44980</v>
      </c>
      <c r="G1365" s="100" t="n"/>
    </row>
    <row r="1366" ht="16" customHeight="1">
      <c r="A1366" s="98" t="n">
        <v>48764</v>
      </c>
      <c r="B1366" s="98" t="inlineStr">
        <is>
          <t>MEUKOW VS COGNAC (ROUND BOTTLE)</t>
        </is>
      </c>
      <c r="C1366" s="97">
        <f>VLOOKUP(A1366,SizeData!A$2:B$3839,2,FALSE)</f>
        <v/>
      </c>
      <c r="D1366" s="98" t="n">
        <v>5</v>
      </c>
      <c r="E1366" s="98" t="inlineStr">
        <is>
          <t>R1997856</t>
        </is>
      </c>
      <c r="F1366" s="99" t="n">
        <v>44987</v>
      </c>
      <c r="G1366" s="100" t="n"/>
    </row>
    <row r="1367" ht="16" customHeight="1">
      <c r="A1367" s="98" t="n">
        <v>88095</v>
      </c>
      <c r="B1367" s="98" t="inlineStr">
        <is>
          <t>MI CAMPO BLANCO TEQUILA</t>
        </is>
      </c>
      <c r="C1367" s="97">
        <f>VLOOKUP(A1367,SizeData!A$2:B$3839,2,FALSE)</f>
        <v/>
      </c>
      <c r="D1367" s="98" t="n">
        <v>1</v>
      </c>
      <c r="E1367" s="98" t="inlineStr">
        <is>
          <t>R1919341</t>
        </is>
      </c>
      <c r="F1367" s="99" t="n">
        <v>44930</v>
      </c>
      <c r="G1367" s="100" t="n"/>
    </row>
    <row r="1368" ht="16" customHeight="1">
      <c r="A1368" s="98" t="n">
        <v>88095</v>
      </c>
      <c r="B1368" s="98" t="inlineStr">
        <is>
          <t>MI CAMPO BLANCO TEQUILA</t>
        </is>
      </c>
      <c r="C1368" s="97">
        <f>VLOOKUP(A1368,SizeData!A$2:B$3839,2,FALSE)</f>
        <v/>
      </c>
      <c r="D1368" s="98" t="n">
        <v>1</v>
      </c>
      <c r="E1368" s="98" t="inlineStr">
        <is>
          <t>R2030138</t>
        </is>
      </c>
      <c r="F1368" s="99" t="n">
        <v>44986</v>
      </c>
      <c r="G1368" s="100" t="n"/>
    </row>
    <row r="1369" ht="16" customHeight="1">
      <c r="A1369" s="98" t="n">
        <v>370350</v>
      </c>
      <c r="B1369" s="98" t="inlineStr">
        <is>
          <t>MIA DOLCEA MOSCATO D'ASTI DOCG</t>
        </is>
      </c>
      <c r="C1369" s="97">
        <f>VLOOKUP(A1369,SizeData!A$2:B$3839,2,FALSE)</f>
        <v/>
      </c>
      <c r="D1369" s="98" t="n">
        <v>2</v>
      </c>
      <c r="E1369" s="98" t="inlineStr">
        <is>
          <t>R1918990</t>
        </is>
      </c>
      <c r="F1369" s="99" t="n">
        <v>44928</v>
      </c>
      <c r="G1369" s="100" t="n"/>
    </row>
    <row r="1370" ht="16" customHeight="1">
      <c r="A1370" s="98" t="n">
        <v>56798</v>
      </c>
      <c r="B1370" s="98" t="inlineStr">
        <is>
          <t>PAUL MASSON PINEAPPLE GRAND AMBER BRANDY</t>
        </is>
      </c>
      <c r="C1370" s="97">
        <f>VLOOKUP(A1370,SizeData!A$2:B$3839,2,FALSE)</f>
        <v/>
      </c>
      <c r="D1370" s="98" t="n">
        <v>2</v>
      </c>
      <c r="E1370" s="98" t="inlineStr">
        <is>
          <t>R1906937</t>
        </is>
      </c>
      <c r="F1370" s="99" t="n">
        <v>44911</v>
      </c>
      <c r="G1370" s="100" t="n"/>
    </row>
    <row r="1371" ht="16" customHeight="1">
      <c r="A1371" s="98" t="n">
        <v>370350</v>
      </c>
      <c r="B1371" s="98" t="inlineStr">
        <is>
          <t>MIA DOLCEA MOSCATO D'ASTI DOCG</t>
        </is>
      </c>
      <c r="C1371" s="97">
        <f>VLOOKUP(A1371,SizeData!A$2:B$3839,2,FALSE)</f>
        <v/>
      </c>
      <c r="D1371" s="98" t="n">
        <v>1</v>
      </c>
      <c r="E1371" s="98" t="inlineStr">
        <is>
          <t>R2018722</t>
        </is>
      </c>
      <c r="F1371" s="99" t="n">
        <v>44996</v>
      </c>
      <c r="G1371" s="100" t="n"/>
    </row>
    <row r="1372" ht="16" customHeight="1">
      <c r="A1372" s="98" t="n">
        <v>589255</v>
      </c>
      <c r="B1372" s="98" t="inlineStr">
        <is>
          <t>MIDDLE SISTER DRAMA QUEEN PINOT GRIG</t>
        </is>
      </c>
      <c r="C1372" s="97">
        <f>VLOOKUP(A1372,SizeData!A$2:B$3839,2,FALSE)</f>
        <v/>
      </c>
      <c r="D1372" s="98" t="n">
        <v>1</v>
      </c>
      <c r="E1372" s="98" t="inlineStr">
        <is>
          <t>R1930280</t>
        </is>
      </c>
      <c r="F1372" s="99" t="n">
        <v>44935</v>
      </c>
      <c r="G1372" s="100" t="n"/>
    </row>
    <row r="1373" ht="16" customHeight="1">
      <c r="A1373" s="98" t="n">
        <v>53221</v>
      </c>
      <c r="B1373" s="98" t="inlineStr">
        <is>
          <t>PAUL MASSON VS GRANDE AMBER BRANDY 12 - 10 PACKS</t>
        </is>
      </c>
      <c r="C1373" s="97">
        <f>VLOOKUP(A1373,SizeData!A$2:B$3839,2,FALSE)</f>
        <v/>
      </c>
      <c r="D1373" s="98" t="n">
        <v>2</v>
      </c>
      <c r="E1373" s="98" t="inlineStr">
        <is>
          <t>R1916005</t>
        </is>
      </c>
      <c r="F1373" s="99" t="n">
        <v>44911</v>
      </c>
      <c r="G1373" s="100" t="n"/>
    </row>
    <row r="1374" ht="16" customHeight="1">
      <c r="A1374" s="98" t="n">
        <v>89583</v>
      </c>
      <c r="B1374" s="98" t="inlineStr">
        <is>
          <t>MILAGRO REPOSADO TEQUILA</t>
        </is>
      </c>
      <c r="C1374" s="97">
        <f>VLOOKUP(A1374,SizeData!A$2:B$3839,2,FALSE)</f>
        <v/>
      </c>
      <c r="D1374" s="98" t="n">
        <v>1</v>
      </c>
      <c r="E1374" s="98" t="inlineStr">
        <is>
          <t>R2055049</t>
        </is>
      </c>
      <c r="F1374" s="99" t="n">
        <v>45017</v>
      </c>
      <c r="G1374" s="100" t="n"/>
    </row>
    <row r="1375" ht="16" customHeight="1">
      <c r="A1375" s="98" t="n">
        <v>489388</v>
      </c>
      <c r="B1375" s="98" t="inlineStr">
        <is>
          <t>MIRASSOU PINOT NOIR</t>
        </is>
      </c>
      <c r="C1375" s="97">
        <f>VLOOKUP(A1375,SizeData!A$2:B$3839,2,FALSE)</f>
        <v/>
      </c>
      <c r="D1375" s="98" t="n">
        <v>1</v>
      </c>
      <c r="E1375" s="98" t="inlineStr">
        <is>
          <t>R1994703</t>
        </is>
      </c>
      <c r="F1375" s="99" t="n">
        <v>44984</v>
      </c>
      <c r="G1375" s="100" t="n"/>
    </row>
    <row r="1376" ht="16" customHeight="1">
      <c r="A1376" s="98" t="n">
        <v>710806</v>
      </c>
      <c r="B1376" s="98" t="inlineStr">
        <is>
          <t>MOET &amp; CHANDON IMPERIAL</t>
        </is>
      </c>
      <c r="C1376" s="97">
        <f>VLOOKUP(A1376,SizeData!A$2:B$3839,2,FALSE)</f>
        <v/>
      </c>
      <c r="D1376" s="98" t="n">
        <v>5</v>
      </c>
      <c r="E1376" s="98" t="inlineStr">
        <is>
          <t>R1969292</t>
        </is>
      </c>
      <c r="F1376" s="99" t="n">
        <v>44973</v>
      </c>
      <c r="G1376" s="100" t="n"/>
    </row>
    <row r="1377" ht="16" customHeight="1">
      <c r="A1377" s="98" t="n">
        <v>34546</v>
      </c>
      <c r="B1377" s="98" t="inlineStr">
        <is>
          <t>PEARL VODKA</t>
        </is>
      </c>
      <c r="C1377" s="97">
        <f>VLOOKUP(A1377,SizeData!A$2:B$3839,2,FALSE)</f>
        <v/>
      </c>
      <c r="D1377" s="98" t="n">
        <v>2</v>
      </c>
      <c r="E1377" s="98" t="n"/>
      <c r="F1377" s="99" t="n"/>
      <c r="G1377" s="100" t="n"/>
    </row>
    <row r="1378" ht="16" customHeight="1">
      <c r="A1378" s="98" t="n">
        <v>710921</v>
      </c>
      <c r="B1378" s="98" t="inlineStr">
        <is>
          <t>MOET CHANDON NECTAR IMPERIAL ROSE</t>
        </is>
      </c>
      <c r="C1378" s="97">
        <f>VLOOKUP(A1378,SizeData!A$2:B$3839,2,FALSE)</f>
        <v/>
      </c>
      <c r="D1378" s="98" t="n">
        <v>5</v>
      </c>
      <c r="E1378" s="98" t="inlineStr">
        <is>
          <t>R1944170</t>
        </is>
      </c>
      <c r="F1378" s="99" t="n">
        <v>44947</v>
      </c>
      <c r="G1378" s="100" t="n"/>
    </row>
    <row r="1379" ht="16" customHeight="1">
      <c r="A1379" s="98" t="n">
        <v>710921</v>
      </c>
      <c r="B1379" s="98" t="inlineStr">
        <is>
          <t>MOET CHANDON NECTAR IMPERIAL ROSE</t>
        </is>
      </c>
      <c r="C1379" s="97">
        <f>VLOOKUP(A1379,SizeData!A$2:B$3839,2,FALSE)</f>
        <v/>
      </c>
      <c r="D1379" s="98" t="n">
        <v>2</v>
      </c>
      <c r="E1379" s="98" t="inlineStr">
        <is>
          <t>R2065393</t>
        </is>
      </c>
      <c r="F1379" s="99" t="n">
        <v>45031</v>
      </c>
      <c r="G1379" s="100" t="n"/>
    </row>
    <row r="1380" ht="16" customHeight="1">
      <c r="A1380" s="98" t="n">
        <v>803470</v>
      </c>
      <c r="B1380" s="98" t="inlineStr">
        <is>
          <t>MOGEN DAVID BLACKBERRY</t>
        </is>
      </c>
      <c r="C1380" s="97">
        <f>VLOOKUP(A1380,SizeData!A$2:B$3839,2,FALSE)</f>
        <v/>
      </c>
      <c r="D1380" s="98" t="n">
        <v>1</v>
      </c>
      <c r="E1380" s="98" t="inlineStr">
        <is>
          <t>R1922178</t>
        </is>
      </c>
      <c r="F1380" s="99" t="n">
        <v>44929</v>
      </c>
      <c r="G1380" s="100" t="n"/>
    </row>
    <row r="1381" ht="16" customHeight="1">
      <c r="A1381" s="98" t="n">
        <v>891004</v>
      </c>
      <c r="B1381" s="98" t="inlineStr">
        <is>
          <t>PETER VELLA PINK MOSCATO SANGRIA</t>
        </is>
      </c>
      <c r="C1381" s="97">
        <f>VLOOKUP(A1381,SizeData!A$2:B$3839,2,FALSE)</f>
        <v/>
      </c>
      <c r="D1381" s="98" t="n">
        <v>1</v>
      </c>
      <c r="E1381" s="98" t="inlineStr">
        <is>
          <t>R1904538</t>
        </is>
      </c>
      <c r="F1381" s="99" t="n">
        <v>44917</v>
      </c>
      <c r="G1381" s="100" t="n"/>
    </row>
    <row r="1382" ht="16" customHeight="1">
      <c r="A1382" s="98" t="n">
        <v>803485</v>
      </c>
      <c r="B1382" s="98" t="inlineStr">
        <is>
          <t>MOGEN DAVID BLACKBERRY</t>
        </is>
      </c>
      <c r="C1382" s="97">
        <f>VLOOKUP(A1382,SizeData!A$2:B$3839,2,FALSE)</f>
        <v/>
      </c>
      <c r="D1382" s="98" t="n">
        <v>1</v>
      </c>
      <c r="E1382" s="98" t="inlineStr">
        <is>
          <t>R1922178</t>
        </is>
      </c>
      <c r="F1382" s="99" t="n">
        <v>44929</v>
      </c>
      <c r="G1382" s="100" t="n"/>
    </row>
    <row r="1383" ht="16" customHeight="1">
      <c r="A1383" s="98" t="n">
        <v>803485</v>
      </c>
      <c r="B1383" s="98" t="inlineStr">
        <is>
          <t>MOGEN DAVID BLACKBERRY</t>
        </is>
      </c>
      <c r="C1383" s="97">
        <f>VLOOKUP(A1383,SizeData!A$2:B$3839,2,FALSE)</f>
        <v/>
      </c>
      <c r="D1383" s="98" t="n">
        <v>1</v>
      </c>
      <c r="E1383" s="98" t="inlineStr">
        <is>
          <t>R1919341</t>
        </is>
      </c>
      <c r="F1383" s="99" t="n">
        <v>44930</v>
      </c>
      <c r="G1383" s="100" t="n"/>
    </row>
    <row r="1384" ht="16" customHeight="1">
      <c r="A1384" s="98" t="n">
        <v>803470</v>
      </c>
      <c r="B1384" s="98" t="inlineStr">
        <is>
          <t>MOGEN DAVID BLACKBERRY</t>
        </is>
      </c>
      <c r="C1384" s="97">
        <f>VLOOKUP(A1384,SizeData!A$2:B$3839,2,FALSE)</f>
        <v/>
      </c>
      <c r="D1384" s="98" t="n">
        <v>1</v>
      </c>
      <c r="E1384" s="98" t="inlineStr">
        <is>
          <t>R1939504</t>
        </is>
      </c>
      <c r="F1384" s="99" t="n">
        <v>44940</v>
      </c>
      <c r="G1384" s="100" t="n"/>
    </row>
    <row r="1385" ht="16" customHeight="1">
      <c r="A1385" s="98" t="n">
        <v>803470</v>
      </c>
      <c r="B1385" s="98" t="inlineStr">
        <is>
          <t>MOGEN DAVID BLACKBERRY</t>
        </is>
      </c>
      <c r="C1385" s="97">
        <f>VLOOKUP(A1385,SizeData!A$2:B$3839,2,FALSE)</f>
        <v/>
      </c>
      <c r="D1385" s="98" t="n">
        <v>1</v>
      </c>
      <c r="E1385" s="98" t="inlineStr">
        <is>
          <t>R1944170</t>
        </is>
      </c>
      <c r="F1385" s="99" t="n">
        <v>44947</v>
      </c>
      <c r="G1385" s="100" t="n"/>
    </row>
    <row r="1386" ht="16" customHeight="1">
      <c r="A1386" s="98" t="n">
        <v>803470</v>
      </c>
      <c r="B1386" s="98" t="inlineStr">
        <is>
          <t>MOGEN DAVID BLACKBERRY</t>
        </is>
      </c>
      <c r="C1386" s="97">
        <f>VLOOKUP(A1386,SizeData!A$2:B$3839,2,FALSE)</f>
        <v/>
      </c>
      <c r="D1386" s="98" t="n">
        <v>1</v>
      </c>
      <c r="E1386" s="98" t="inlineStr">
        <is>
          <t>R1947923</t>
        </is>
      </c>
      <c r="F1386" s="99" t="n">
        <v>44949</v>
      </c>
      <c r="G1386" s="100" t="n"/>
    </row>
    <row r="1387" ht="16" customHeight="1">
      <c r="A1387" s="98" t="n">
        <v>803475</v>
      </c>
      <c r="B1387" s="98" t="inlineStr">
        <is>
          <t>MOGEN DAVID BLACKBERRY</t>
        </is>
      </c>
      <c r="C1387" s="97">
        <f>VLOOKUP(A1387,SizeData!A$2:B$3839,2,FALSE)</f>
        <v/>
      </c>
      <c r="D1387" s="98" t="n">
        <v>2</v>
      </c>
      <c r="E1387" s="98" t="inlineStr">
        <is>
          <t>R1962564</t>
        </is>
      </c>
      <c r="F1387" s="99" t="n">
        <v>44961</v>
      </c>
      <c r="G1387" s="100" t="n"/>
    </row>
    <row r="1388" ht="16" customHeight="1">
      <c r="A1388" s="98" t="n">
        <v>803475</v>
      </c>
      <c r="B1388" s="98" t="inlineStr">
        <is>
          <t>MOGEN DAVID BLACKBERRY</t>
        </is>
      </c>
      <c r="C1388" s="97">
        <f>VLOOKUP(A1388,SizeData!A$2:B$3839,2,FALSE)</f>
        <v/>
      </c>
      <c r="D1388" s="98" t="n">
        <v>1</v>
      </c>
      <c r="E1388" s="98" t="inlineStr">
        <is>
          <t>R1976594</t>
        </is>
      </c>
      <c r="F1388" s="99" t="n">
        <v>44980</v>
      </c>
      <c r="G1388" s="100" t="n"/>
    </row>
    <row r="1389" ht="16" customHeight="1">
      <c r="A1389" s="98" t="n">
        <v>803470</v>
      </c>
      <c r="B1389" s="98" t="inlineStr">
        <is>
          <t>MOGEN DAVID BLACKBERRY</t>
        </is>
      </c>
      <c r="C1389" s="97">
        <f>VLOOKUP(A1389,SizeData!A$2:B$3839,2,FALSE)</f>
        <v/>
      </c>
      <c r="D1389" s="98" t="n">
        <v>3</v>
      </c>
      <c r="E1389" s="98" t="inlineStr">
        <is>
          <t>R1984929</t>
        </is>
      </c>
      <c r="F1389" s="99" t="n">
        <v>44980</v>
      </c>
      <c r="G1389" s="100" t="n"/>
    </row>
    <row r="1390" ht="16" customHeight="1">
      <c r="A1390" s="98" t="n">
        <v>803485</v>
      </c>
      <c r="B1390" s="98" t="inlineStr">
        <is>
          <t>MOGEN DAVID BLACKBERRY</t>
        </is>
      </c>
      <c r="C1390" s="97">
        <f>VLOOKUP(A1390,SizeData!A$2:B$3839,2,FALSE)</f>
        <v/>
      </c>
      <c r="D1390" s="98" t="n">
        <v>1</v>
      </c>
      <c r="E1390" s="98" t="inlineStr">
        <is>
          <t>R2027408</t>
        </is>
      </c>
      <c r="F1390" s="99" t="n">
        <v>45003</v>
      </c>
      <c r="G1390" s="100" t="n"/>
    </row>
    <row r="1391" ht="16" customHeight="1">
      <c r="A1391" s="98" t="n">
        <v>803475</v>
      </c>
      <c r="B1391" s="98" t="inlineStr">
        <is>
          <t>MOGEN DAVID BLACKBERRY</t>
        </is>
      </c>
      <c r="C1391" s="97">
        <f>VLOOKUP(A1391,SizeData!A$2:B$3839,2,FALSE)</f>
        <v/>
      </c>
      <c r="D1391" s="98" t="n">
        <v>3</v>
      </c>
      <c r="E1391" s="98" t="inlineStr">
        <is>
          <t>R1994726</t>
        </is>
      </c>
      <c r="F1391" s="99" t="n">
        <v>44988</v>
      </c>
      <c r="G1391" s="100" t="n"/>
    </row>
    <row r="1392" ht="16" customHeight="1">
      <c r="A1392" s="98" t="n">
        <v>803485</v>
      </c>
      <c r="B1392" s="98" t="inlineStr">
        <is>
          <t>MOGEN DAVID BLACKBERRY</t>
        </is>
      </c>
      <c r="C1392" s="97">
        <f>VLOOKUP(A1392,SizeData!A$2:B$3839,2,FALSE)</f>
        <v/>
      </c>
      <c r="D1392" s="98" t="n">
        <v>1</v>
      </c>
      <c r="E1392" s="98" t="inlineStr">
        <is>
          <t>R2018722</t>
        </is>
      </c>
      <c r="F1392" s="99" t="n">
        <v>44996</v>
      </c>
      <c r="G1392" s="100" t="n"/>
    </row>
    <row r="1393" ht="16" customHeight="1">
      <c r="A1393" s="98" t="n">
        <v>803485</v>
      </c>
      <c r="B1393" s="98" t="inlineStr">
        <is>
          <t>MOGEN DAVID BLACKBERRY</t>
        </is>
      </c>
      <c r="C1393" s="97">
        <f>VLOOKUP(A1393,SizeData!A$2:B$3839,2,FALSE)</f>
        <v/>
      </c>
      <c r="D1393" s="98" t="n">
        <v>1</v>
      </c>
      <c r="E1393" s="98" t="inlineStr">
        <is>
          <t>R2027408</t>
        </is>
      </c>
      <c r="F1393" s="99" t="n">
        <v>45003</v>
      </c>
      <c r="G1393" s="100" t="n"/>
    </row>
    <row r="1394" ht="16" customHeight="1">
      <c r="A1394" s="98" t="n">
        <v>803485</v>
      </c>
      <c r="B1394" s="98" t="inlineStr">
        <is>
          <t>MOGEN DAVID BLACKBERRY</t>
        </is>
      </c>
      <c r="C1394" s="97">
        <f>VLOOKUP(A1394,SizeData!A$2:B$3839,2,FALSE)</f>
        <v/>
      </c>
      <c r="D1394" s="98" t="n">
        <v>1</v>
      </c>
      <c r="E1394" s="98" t="inlineStr">
        <is>
          <t>R2026986</t>
        </is>
      </c>
      <c r="F1394" s="99" t="n">
        <v>45010</v>
      </c>
      <c r="G1394" s="100" t="n"/>
    </row>
    <row r="1395" ht="16" customHeight="1">
      <c r="A1395" s="98" t="n">
        <v>803470</v>
      </c>
      <c r="B1395" s="98" t="inlineStr">
        <is>
          <t>MOGEN DAVID BLACKBERRY</t>
        </is>
      </c>
      <c r="C1395" s="97">
        <f>VLOOKUP(A1395,SizeData!A$2:B$3839,2,FALSE)</f>
        <v/>
      </c>
      <c r="D1395" s="98" t="n">
        <v>2</v>
      </c>
      <c r="E1395" s="98" t="inlineStr">
        <is>
          <t>R2039044</t>
        </is>
      </c>
      <c r="F1395" s="99" t="n">
        <v>45013</v>
      </c>
      <c r="G1395" s="100" t="n"/>
    </row>
    <row r="1396" ht="16" customHeight="1">
      <c r="A1396" s="98" t="n">
        <v>803470</v>
      </c>
      <c r="B1396" s="98" t="inlineStr">
        <is>
          <t>MOGEN DAVID BLACKBERRY</t>
        </is>
      </c>
      <c r="C1396" s="97">
        <f>VLOOKUP(A1396,SizeData!A$2:B$3839,2,FALSE)</f>
        <v/>
      </c>
      <c r="D1396" s="98" t="n">
        <v>1</v>
      </c>
      <c r="E1396" s="98" t="inlineStr">
        <is>
          <t>R2067759</t>
        </is>
      </c>
      <c r="F1396" s="99" t="n">
        <v>45037</v>
      </c>
      <c r="G1396" s="100" t="n"/>
    </row>
    <row r="1397" ht="16" customHeight="1">
      <c r="A1397" s="98" t="n">
        <v>803485</v>
      </c>
      <c r="B1397" s="98" t="inlineStr">
        <is>
          <t>MOGEN DAVID BLACKBERRY</t>
        </is>
      </c>
      <c r="C1397" s="97">
        <f>VLOOKUP(A1397,SizeData!A$2:B$3839,2,FALSE)</f>
        <v/>
      </c>
      <c r="D1397" s="98" t="n">
        <v>2</v>
      </c>
      <c r="E1397" s="98" t="inlineStr">
        <is>
          <t>R2059845</t>
        </is>
      </c>
      <c r="F1397" s="99" t="n">
        <v>45041</v>
      </c>
      <c r="G1397" s="100" t="n"/>
    </row>
    <row r="1398" ht="16" customHeight="1">
      <c r="A1398" s="98" t="n">
        <v>35628</v>
      </c>
      <c r="B1398" s="98" t="inlineStr">
        <is>
          <t>PINNACLE WHIPPED CREAM FLAVORED VODKA</t>
        </is>
      </c>
      <c r="C1398" s="97">
        <f>VLOOKUP(A1398,SizeData!A$2:B$3839,2,FALSE)</f>
        <v/>
      </c>
      <c r="D1398" s="98" t="n">
        <v>4</v>
      </c>
      <c r="E1398" s="98" t="inlineStr">
        <is>
          <t>R1916005</t>
        </is>
      </c>
      <c r="F1398" s="99" t="n">
        <v>44911</v>
      </c>
      <c r="G1398" s="100" t="n"/>
    </row>
    <row r="1399" ht="16" customHeight="1">
      <c r="A1399" s="98" t="n">
        <v>487000</v>
      </c>
      <c r="B1399" s="98" t="inlineStr">
        <is>
          <t>MOGEN DAVID CONCORD</t>
        </is>
      </c>
      <c r="C1399" s="97">
        <f>VLOOKUP(A1399,SizeData!A$2:B$3839,2,FALSE)</f>
        <v/>
      </c>
      <c r="D1399" s="98" t="n">
        <v>1</v>
      </c>
      <c r="E1399" s="98" t="inlineStr">
        <is>
          <t>R1922178</t>
        </is>
      </c>
      <c r="F1399" s="99" t="n">
        <v>44929</v>
      </c>
      <c r="G1399" s="100" t="n"/>
    </row>
    <row r="1400" ht="16" customHeight="1">
      <c r="A1400" s="98" t="n">
        <v>487000</v>
      </c>
      <c r="B1400" s="98" t="inlineStr">
        <is>
          <t>MOGEN DAVID CONCORD</t>
        </is>
      </c>
      <c r="C1400" s="97">
        <f>VLOOKUP(A1400,SizeData!A$2:B$3839,2,FALSE)</f>
        <v/>
      </c>
      <c r="D1400" s="98" t="n">
        <v>1</v>
      </c>
      <c r="E1400" s="98" t="inlineStr">
        <is>
          <t>R1919341</t>
        </is>
      </c>
      <c r="F1400" s="99" t="n">
        <v>44930</v>
      </c>
      <c r="G1400" s="100" t="n"/>
    </row>
    <row r="1401" ht="16" customHeight="1">
      <c r="A1401" s="98" t="n">
        <v>24178</v>
      </c>
      <c r="B1401" s="98" t="inlineStr">
        <is>
          <t>QUALITY HOUSE BLENDED WHISKEY</t>
        </is>
      </c>
      <c r="C1401" s="97">
        <f>VLOOKUP(A1401,SizeData!A$2:B$3839,2,FALSE)</f>
        <v/>
      </c>
      <c r="D1401" s="98" t="n">
        <v>3</v>
      </c>
      <c r="E1401" s="98" t="inlineStr">
        <is>
          <t>R1906928</t>
        </is>
      </c>
      <c r="F1401" s="99" t="n">
        <v>44908</v>
      </c>
      <c r="G1401" s="100" t="n"/>
    </row>
    <row r="1402" ht="16" customHeight="1">
      <c r="A1402" s="98" t="n">
        <v>487000</v>
      </c>
      <c r="B1402" s="98" t="inlineStr">
        <is>
          <t>MOGEN DAVID CONCORD</t>
        </is>
      </c>
      <c r="C1402" s="97">
        <f>VLOOKUP(A1402,SizeData!A$2:B$3839,2,FALSE)</f>
        <v/>
      </c>
      <c r="D1402" s="98" t="n">
        <v>1</v>
      </c>
      <c r="E1402" s="98" t="inlineStr">
        <is>
          <t>R1939504</t>
        </is>
      </c>
      <c r="F1402" s="99" t="n">
        <v>44940</v>
      </c>
      <c r="G1402" s="100" t="n"/>
    </row>
    <row r="1403" ht="16" customHeight="1">
      <c r="A1403" s="98" t="n">
        <v>487010</v>
      </c>
      <c r="B1403" s="98" t="inlineStr">
        <is>
          <t>MOGEN DAVID CONCORD</t>
        </is>
      </c>
      <c r="C1403" s="97">
        <f>VLOOKUP(A1403,SizeData!A$2:B$3839,2,FALSE)</f>
        <v/>
      </c>
      <c r="D1403" s="98" t="n">
        <v>1</v>
      </c>
      <c r="E1403" s="98" t="inlineStr">
        <is>
          <t>R1933022</t>
        </is>
      </c>
      <c r="F1403" s="99" t="n">
        <v>44942</v>
      </c>
      <c r="G1403" s="100" t="n"/>
    </row>
    <row r="1404" ht="16" customHeight="1">
      <c r="A1404" s="98" t="n">
        <v>487010</v>
      </c>
      <c r="B1404" s="98" t="inlineStr">
        <is>
          <t>MOGEN DAVID CONCORD</t>
        </is>
      </c>
      <c r="C1404" s="97">
        <f>VLOOKUP(A1404,SizeData!A$2:B$3839,2,FALSE)</f>
        <v/>
      </c>
      <c r="D1404" s="98" t="n">
        <v>2</v>
      </c>
      <c r="E1404" s="98" t="inlineStr">
        <is>
          <t>R1944170</t>
        </is>
      </c>
      <c r="F1404" s="99" t="n">
        <v>44947</v>
      </c>
      <c r="G1404" s="100" t="n"/>
    </row>
    <row r="1405" ht="16" customHeight="1">
      <c r="A1405" s="98" t="n">
        <v>487010</v>
      </c>
      <c r="B1405" s="98" t="inlineStr">
        <is>
          <t>MOGEN DAVID CONCORD</t>
        </is>
      </c>
      <c r="C1405" s="97">
        <f>VLOOKUP(A1405,SizeData!A$2:B$3839,2,FALSE)</f>
        <v/>
      </c>
      <c r="D1405" s="98" t="n">
        <v>2</v>
      </c>
      <c r="E1405" s="98" t="inlineStr">
        <is>
          <t>R1947923</t>
        </is>
      </c>
      <c r="F1405" s="99" t="n">
        <v>44949</v>
      </c>
      <c r="G1405" s="100" t="n"/>
    </row>
    <row r="1406" ht="16" customHeight="1">
      <c r="A1406" s="98" t="n">
        <v>487010</v>
      </c>
      <c r="B1406" s="98" t="inlineStr">
        <is>
          <t>MOGEN DAVID CONCORD</t>
        </is>
      </c>
      <c r="C1406" s="97">
        <f>VLOOKUP(A1406,SizeData!A$2:B$3839,2,FALSE)</f>
        <v/>
      </c>
      <c r="D1406" s="98" t="n">
        <v>3</v>
      </c>
      <c r="E1406" s="98" t="inlineStr">
        <is>
          <t>R1985201</t>
        </is>
      </c>
      <c r="F1406" s="99" t="n">
        <v>44963</v>
      </c>
      <c r="G1406" s="100" t="n"/>
    </row>
    <row r="1407" ht="16" customHeight="1">
      <c r="A1407" s="98" t="n">
        <v>487000</v>
      </c>
      <c r="B1407" s="98" t="inlineStr">
        <is>
          <t>MOGEN DAVID CONCORD</t>
        </is>
      </c>
      <c r="C1407" s="97">
        <f>VLOOKUP(A1407,SizeData!A$2:B$3839,2,FALSE)</f>
        <v/>
      </c>
      <c r="D1407" s="98" t="n">
        <v>2</v>
      </c>
      <c r="E1407" s="98" t="inlineStr">
        <is>
          <t>R1986800</t>
        </is>
      </c>
      <c r="F1407" s="99" t="n">
        <v>44972</v>
      </c>
      <c r="G1407" s="100" t="n"/>
    </row>
    <row r="1408" ht="16" customHeight="1">
      <c r="A1408" s="98" t="n">
        <v>487020</v>
      </c>
      <c r="B1408" s="98" t="inlineStr">
        <is>
          <t>MOGEN DAVID CONCORD</t>
        </is>
      </c>
      <c r="C1408" s="97">
        <f>VLOOKUP(A1408,SizeData!A$2:B$3839,2,FALSE)</f>
        <v/>
      </c>
      <c r="D1408" s="98" t="n">
        <v>3</v>
      </c>
      <c r="E1408" s="98" t="inlineStr">
        <is>
          <t>R1978468</t>
        </is>
      </c>
      <c r="F1408" s="99" t="n">
        <v>44979</v>
      </c>
      <c r="G1408" s="100" t="n"/>
    </row>
    <row r="1409" ht="16" customHeight="1">
      <c r="A1409" s="98" t="n">
        <v>487000</v>
      </c>
      <c r="B1409" s="98" t="inlineStr">
        <is>
          <t>MOGEN DAVID CONCORD</t>
        </is>
      </c>
      <c r="C1409" s="97">
        <f>VLOOKUP(A1409,SizeData!A$2:B$3839,2,FALSE)</f>
        <v/>
      </c>
      <c r="D1409" s="98" t="n">
        <v>1</v>
      </c>
      <c r="E1409" s="98" t="inlineStr">
        <is>
          <t>R1984349</t>
        </is>
      </c>
      <c r="F1409" s="99" t="n">
        <v>44982</v>
      </c>
      <c r="G1409" s="100" t="n"/>
    </row>
    <row r="1410" ht="16" customHeight="1">
      <c r="A1410" s="98" t="n">
        <v>487000</v>
      </c>
      <c r="B1410" s="98" t="inlineStr">
        <is>
          <t>MOGEN DAVID CONCORD</t>
        </is>
      </c>
      <c r="C1410" s="97">
        <f>VLOOKUP(A1410,SizeData!A$2:B$3839,2,FALSE)</f>
        <v/>
      </c>
      <c r="D1410" s="98" t="n">
        <v>1</v>
      </c>
      <c r="E1410" s="98" t="inlineStr">
        <is>
          <t>R2005740</t>
        </is>
      </c>
      <c r="F1410" s="99" t="n">
        <v>44987</v>
      </c>
      <c r="G1410" s="100" t="n"/>
    </row>
    <row r="1411" ht="16" customHeight="1">
      <c r="A1411" s="98" t="n">
        <v>487000</v>
      </c>
      <c r="B1411" s="98" t="inlineStr">
        <is>
          <t>MOGEN DAVID CONCORD</t>
        </is>
      </c>
      <c r="C1411" s="97">
        <f>VLOOKUP(A1411,SizeData!A$2:B$3839,2,FALSE)</f>
        <v/>
      </c>
      <c r="D1411" s="98" t="n">
        <v>2</v>
      </c>
      <c r="E1411" s="98" t="inlineStr">
        <is>
          <t>R2032734</t>
        </is>
      </c>
      <c r="F1411" s="99" t="n">
        <v>45007</v>
      </c>
      <c r="G1411" s="100" t="n"/>
    </row>
    <row r="1412" ht="16" customHeight="1">
      <c r="A1412" s="98" t="n">
        <v>487000</v>
      </c>
      <c r="B1412" s="98" t="inlineStr">
        <is>
          <t>MOGEN DAVID CONCORD</t>
        </is>
      </c>
      <c r="C1412" s="97">
        <f>VLOOKUP(A1412,SizeData!A$2:B$3839,2,FALSE)</f>
        <v/>
      </c>
      <c r="D1412" s="98" t="n">
        <v>1</v>
      </c>
      <c r="E1412" s="98" t="inlineStr">
        <is>
          <t>R2026986</t>
        </is>
      </c>
      <c r="F1412" s="99" t="n">
        <v>45010</v>
      </c>
      <c r="G1412" s="100" t="n"/>
    </row>
    <row r="1413" ht="16" customHeight="1">
      <c r="A1413" s="98" t="n">
        <v>487020</v>
      </c>
      <c r="B1413" s="98" t="inlineStr">
        <is>
          <t>MOGEN DAVID CONCORD</t>
        </is>
      </c>
      <c r="C1413" s="97">
        <f>VLOOKUP(A1413,SizeData!A$2:B$3839,2,FALSE)</f>
        <v/>
      </c>
      <c r="D1413" s="98" t="n">
        <v>1</v>
      </c>
      <c r="E1413" s="98" t="inlineStr">
        <is>
          <t>R2026986</t>
        </is>
      </c>
      <c r="F1413" s="99" t="n">
        <v>45010</v>
      </c>
      <c r="G1413" s="100" t="n"/>
    </row>
    <row r="1414" ht="16" customHeight="1">
      <c r="A1414" s="98" t="n">
        <v>487010</v>
      </c>
      <c r="B1414" s="98" t="inlineStr">
        <is>
          <t>MOGEN DAVID CONCORD</t>
        </is>
      </c>
      <c r="C1414" s="97">
        <f>VLOOKUP(A1414,SizeData!A$2:B$3839,2,FALSE)</f>
        <v/>
      </c>
      <c r="D1414" s="98" t="n">
        <v>1</v>
      </c>
      <c r="E1414" s="98" t="inlineStr">
        <is>
          <t>R2072202</t>
        </is>
      </c>
      <c r="F1414" s="99" t="n">
        <v>45033</v>
      </c>
      <c r="G1414" s="100" t="n"/>
    </row>
    <row r="1415" ht="16" customHeight="1">
      <c r="A1415" s="98" t="n">
        <v>37586</v>
      </c>
      <c r="B1415" s="98" t="inlineStr">
        <is>
          <t>RAIN VODKA</t>
        </is>
      </c>
      <c r="C1415" s="97">
        <f>VLOOKUP(A1415,SizeData!A$2:B$3839,2,FALSE)</f>
        <v/>
      </c>
      <c r="D1415" s="98" t="n">
        <v>1</v>
      </c>
      <c r="E1415" s="98" t="inlineStr">
        <is>
          <t>R1903667</t>
        </is>
      </c>
      <c r="F1415" s="99" t="n">
        <v>44915</v>
      </c>
      <c r="G1415" s="100" t="n"/>
    </row>
    <row r="1416" ht="16" customHeight="1">
      <c r="A1416" s="98" t="n">
        <v>487000</v>
      </c>
      <c r="B1416" s="98" t="inlineStr">
        <is>
          <t>MOGEN DAVID CONCORD</t>
        </is>
      </c>
      <c r="C1416" s="97">
        <f>VLOOKUP(A1416,SizeData!A$2:B$3839,2,FALSE)</f>
        <v/>
      </c>
      <c r="D1416" s="98" t="n">
        <v>1</v>
      </c>
      <c r="E1416" s="98" t="inlineStr">
        <is>
          <t>R2067759</t>
        </is>
      </c>
      <c r="F1416" s="99" t="n">
        <v>45037</v>
      </c>
      <c r="G1416" s="100" t="n"/>
    </row>
    <row r="1417" ht="16" customHeight="1">
      <c r="A1417" s="98" t="n">
        <v>892843</v>
      </c>
      <c r="B1417" s="98" t="inlineStr">
        <is>
          <t>RANCHO LA GLORIA BLUEBERRY MARGARITA</t>
        </is>
      </c>
      <c r="C1417" s="97">
        <f>VLOOKUP(A1417,SizeData!A$2:B$3839,2,FALSE)</f>
        <v/>
      </c>
      <c r="D1417" s="98" t="n">
        <v>1</v>
      </c>
      <c r="E1417" s="98" t="inlineStr">
        <is>
          <t>R1908206</t>
        </is>
      </c>
      <c r="F1417" s="99" t="n">
        <v>44908</v>
      </c>
      <c r="G1417" s="100" t="n"/>
    </row>
    <row r="1418" ht="16" customHeight="1">
      <c r="A1418" s="98" t="n">
        <v>487000</v>
      </c>
      <c r="B1418" s="98" t="inlineStr">
        <is>
          <t>MOGEN DAVID CONCORD</t>
        </is>
      </c>
      <c r="C1418" s="97">
        <f>VLOOKUP(A1418,SizeData!A$2:B$3839,2,FALSE)</f>
        <v/>
      </c>
      <c r="D1418" s="98" t="n">
        <v>2</v>
      </c>
      <c r="E1418" s="98" t="inlineStr">
        <is>
          <t>R2059845</t>
        </is>
      </c>
      <c r="F1418" s="99" t="n">
        <v>45041</v>
      </c>
      <c r="G1418" s="100" t="n"/>
    </row>
    <row r="1419" ht="16" customHeight="1">
      <c r="A1419" s="101" t="n">
        <v>803493</v>
      </c>
      <c r="B1419" s="101" t="inlineStr">
        <is>
          <t>MOGEN DAVID POMEGRANATE</t>
        </is>
      </c>
      <c r="C1419" s="102">
        <f>VLOOKUP(A1419,SizeData!A$2:B$3839,2,FALSE)</f>
        <v/>
      </c>
      <c r="D1419" s="101" t="n">
        <v>2</v>
      </c>
      <c r="E1419" s="101" t="inlineStr">
        <is>
          <t>R2017906</t>
        </is>
      </c>
      <c r="F1419" s="103" t="n">
        <v>44993</v>
      </c>
      <c r="G1419" s="104" t="n"/>
    </row>
    <row r="1420" ht="16" customHeight="1">
      <c r="A1420" s="98" t="n">
        <v>803493</v>
      </c>
      <c r="B1420" s="98" t="inlineStr">
        <is>
          <t>MOGEN DAVID POMEGRANATE</t>
        </is>
      </c>
      <c r="C1420" s="97">
        <f>VLOOKUP(A1420,SizeData!A$2:B$3839,2,FALSE)</f>
        <v/>
      </c>
      <c r="D1420" s="98" t="n">
        <v>2</v>
      </c>
      <c r="E1420" s="98" t="inlineStr">
        <is>
          <t>R2035913</t>
        </is>
      </c>
      <c r="F1420" s="99" t="n">
        <v>45005</v>
      </c>
      <c r="G1420" s="100" t="n"/>
    </row>
    <row r="1421" ht="16" customHeight="1">
      <c r="A1421" s="98" t="n">
        <v>803493</v>
      </c>
      <c r="B1421" s="98" t="inlineStr">
        <is>
          <t>MOGEN DAVID POMEGRANATE</t>
        </is>
      </c>
      <c r="C1421" s="97">
        <f>VLOOKUP(A1421,SizeData!A$2:B$3839,2,FALSE)</f>
        <v/>
      </c>
      <c r="D1421" s="98" t="n">
        <v>1</v>
      </c>
      <c r="E1421" s="98" t="inlineStr">
        <is>
          <t>R2026986</t>
        </is>
      </c>
      <c r="F1421" s="99" t="n">
        <v>45010</v>
      </c>
      <c r="G1421" s="100" t="n"/>
    </row>
    <row r="1422" ht="16" customHeight="1">
      <c r="A1422" s="98" t="n">
        <v>892850</v>
      </c>
      <c r="B1422" s="98" t="inlineStr">
        <is>
          <t>RANCHO LA GLORIA MARGARITA WINE COCKTAIL 12-750ML</t>
        </is>
      </c>
      <c r="C1422" s="97">
        <f>VLOOKUP(A1422,SizeData!A$2:B$3839,2,FALSE)</f>
        <v/>
      </c>
      <c r="D1422" s="98" t="n">
        <v>1</v>
      </c>
      <c r="E1422" s="98" t="n"/>
      <c r="F1422" s="99" t="n"/>
      <c r="G1422" s="100" t="n"/>
    </row>
    <row r="1423" ht="16" customHeight="1">
      <c r="A1423" s="98" t="n">
        <v>62623</v>
      </c>
      <c r="B1423" s="98" t="inlineStr">
        <is>
          <t>MONACO COCKTAILS BLUE CRUSH RTD</t>
        </is>
      </c>
      <c r="C1423" s="97">
        <f>VLOOKUP(A1423,SizeData!A$2:B$3839,2,FALSE)</f>
        <v/>
      </c>
      <c r="D1423" s="98" t="n">
        <v>2</v>
      </c>
      <c r="E1423" s="98" t="inlineStr">
        <is>
          <t>R1929741</t>
        </is>
      </c>
      <c r="F1423" s="99" t="n">
        <v>44935</v>
      </c>
      <c r="G1423" s="100" t="n"/>
    </row>
    <row r="1424" ht="16" customHeight="1">
      <c r="A1424" s="101" t="n">
        <v>62647</v>
      </c>
      <c r="B1424" s="101" t="inlineStr">
        <is>
          <t>MONACO COCKTAILS PURPLE CRUSH RTD</t>
        </is>
      </c>
      <c r="C1424" s="102">
        <f>VLOOKUP(A1424,SizeData!A$2:B$3839,2,FALSE)</f>
        <v/>
      </c>
      <c r="D1424" s="101" t="n">
        <v>1</v>
      </c>
      <c r="E1424" s="101" t="inlineStr">
        <is>
          <t>R2061208</t>
        </is>
      </c>
      <c r="F1424" s="103" t="n">
        <v>45022</v>
      </c>
      <c r="G1424" s="104" t="n"/>
    </row>
    <row r="1425" ht="16" customHeight="1">
      <c r="A1425" s="98" t="n">
        <v>5635</v>
      </c>
      <c r="B1425" s="98" t="inlineStr">
        <is>
          <t>MONKEY SHOULDER BLENDED MALT SCOTCH WHISKEY</t>
        </is>
      </c>
      <c r="C1425" s="97">
        <f>VLOOKUP(A1425,SizeData!A$2:B$3839,2,FALSE)</f>
        <v/>
      </c>
      <c r="D1425" s="98" t="n">
        <v>1</v>
      </c>
      <c r="E1425" s="98" t="inlineStr">
        <is>
          <t>R1966128</t>
        </is>
      </c>
      <c r="F1425" s="99" t="n">
        <v>44956</v>
      </c>
      <c r="G1425" s="100" t="n"/>
    </row>
    <row r="1426" ht="16" customHeight="1">
      <c r="A1426" s="98" t="n">
        <v>892852</v>
      </c>
      <c r="B1426" s="98" t="inlineStr">
        <is>
          <t>RANCHO LA GLORIA STRAWBERRY MARG</t>
        </is>
      </c>
      <c r="C1426" s="97">
        <f>VLOOKUP(A1426,SizeData!A$2:B$3839,2,FALSE)</f>
        <v/>
      </c>
      <c r="D1426" s="98" t="n">
        <v>2</v>
      </c>
      <c r="E1426" s="98" t="inlineStr">
        <is>
          <t>R1913485</t>
        </is>
      </c>
      <c r="F1426" s="99" t="n">
        <v>44922</v>
      </c>
      <c r="G1426" s="100" t="n"/>
    </row>
    <row r="1427" ht="16" customHeight="1">
      <c r="A1427" s="98" t="n">
        <v>62116</v>
      </c>
      <c r="B1427" s="98" t="inlineStr">
        <is>
          <t>MONTEBELLO LONG ISLAND ICED TEA</t>
        </is>
      </c>
      <c r="C1427" s="97">
        <f>VLOOKUP(A1427,SizeData!A$2:B$3839,2,FALSE)</f>
        <v/>
      </c>
      <c r="D1427" s="98" t="n">
        <v>5</v>
      </c>
      <c r="E1427" s="98" t="inlineStr">
        <is>
          <t>R1930280</t>
        </is>
      </c>
      <c r="F1427" s="99" t="n">
        <v>44935</v>
      </c>
      <c r="G1427" s="100" t="n"/>
    </row>
    <row r="1428" ht="16" customHeight="1">
      <c r="A1428" s="98" t="n">
        <v>62116</v>
      </c>
      <c r="B1428" s="98" t="inlineStr">
        <is>
          <t>MONTEBELLO LONG ISLAND ICED TEA</t>
        </is>
      </c>
      <c r="C1428" s="97">
        <f>VLOOKUP(A1428,SizeData!A$2:B$3839,2,FALSE)</f>
        <v/>
      </c>
      <c r="D1428" s="98" t="n">
        <v>2</v>
      </c>
      <c r="E1428" s="98" t="inlineStr">
        <is>
          <t>R1944170</t>
        </is>
      </c>
      <c r="F1428" s="99" t="n">
        <v>44947</v>
      </c>
      <c r="G1428" s="100" t="n"/>
    </row>
    <row r="1429" ht="16" customHeight="1">
      <c r="A1429" s="98" t="n">
        <v>62116</v>
      </c>
      <c r="B1429" s="98" t="inlineStr">
        <is>
          <t>MONTEBELLO LONG ISLAND ICED TEA</t>
        </is>
      </c>
      <c r="C1429" s="97">
        <f>VLOOKUP(A1429,SizeData!A$2:B$3839,2,FALSE)</f>
        <v/>
      </c>
      <c r="D1429" s="98" t="n">
        <v>2</v>
      </c>
      <c r="E1429" s="98" t="inlineStr">
        <is>
          <t>R1947923</t>
        </is>
      </c>
      <c r="F1429" s="99" t="n">
        <v>44949</v>
      </c>
      <c r="G1429" s="100" t="n"/>
    </row>
    <row r="1430" ht="16" customHeight="1">
      <c r="A1430" s="98" t="n">
        <v>62116</v>
      </c>
      <c r="B1430" s="98" t="inlineStr">
        <is>
          <t>MONTEBELLO LONG ISLAND ICED TEA</t>
        </is>
      </c>
      <c r="C1430" s="97">
        <f>VLOOKUP(A1430,SizeData!A$2:B$3839,2,FALSE)</f>
        <v/>
      </c>
      <c r="D1430" s="98" t="n">
        <v>5</v>
      </c>
      <c r="E1430" s="98" t="inlineStr">
        <is>
          <t>R1959013</t>
        </is>
      </c>
      <c r="F1430" s="99" t="n">
        <v>44959</v>
      </c>
      <c r="G1430" s="100" t="n"/>
    </row>
    <row r="1431" ht="16" customHeight="1">
      <c r="A1431" s="98" t="n">
        <v>62116</v>
      </c>
      <c r="B1431" s="98" t="inlineStr">
        <is>
          <t>MONTEBELLO LONG ISLAND ICED TEA</t>
        </is>
      </c>
      <c r="C1431" s="97">
        <f>VLOOKUP(A1431,SizeData!A$2:B$3839,2,FALSE)</f>
        <v/>
      </c>
      <c r="D1431" s="98" t="n">
        <v>3</v>
      </c>
      <c r="E1431" s="98" t="inlineStr">
        <is>
          <t>R2035913</t>
        </is>
      </c>
      <c r="F1431" s="99" t="n">
        <v>45005</v>
      </c>
      <c r="G1431" s="100" t="n"/>
    </row>
    <row r="1432" ht="16" customHeight="1">
      <c r="A1432" s="98" t="n">
        <v>62116</v>
      </c>
      <c r="B1432" s="98" t="inlineStr">
        <is>
          <t>MONTEBELLO LONG ISLAND ICED TEA</t>
        </is>
      </c>
      <c r="C1432" s="97">
        <f>VLOOKUP(A1432,SizeData!A$2:B$3839,2,FALSE)</f>
        <v/>
      </c>
      <c r="D1432" s="98" t="n">
        <v>1</v>
      </c>
      <c r="E1432" s="98" t="inlineStr">
        <is>
          <t>R2059149</t>
        </is>
      </c>
      <c r="F1432" s="99" t="n">
        <v>45034</v>
      </c>
      <c r="G1432" s="100" t="n"/>
    </row>
    <row r="1433" ht="16" customHeight="1">
      <c r="A1433" s="98" t="n">
        <v>50526</v>
      </c>
      <c r="B1433" s="98" t="inlineStr">
        <is>
          <t>RAYNAL NAPOLEAN BRANDY</t>
        </is>
      </c>
      <c r="C1433" s="97">
        <f>VLOOKUP(A1433,SizeData!A$2:B$3839,2,FALSE)</f>
        <v/>
      </c>
      <c r="D1433" s="98" t="n">
        <v>1</v>
      </c>
      <c r="E1433" s="98" t="inlineStr">
        <is>
          <t>R1903202</t>
        </is>
      </c>
      <c r="F1433" s="99" t="n">
        <v>44905</v>
      </c>
      <c r="G1433" s="100" t="n"/>
    </row>
    <row r="1434" ht="16" customHeight="1">
      <c r="A1434" s="98" t="n">
        <v>21215</v>
      </c>
      <c r="B1434" s="98" t="inlineStr">
        <is>
          <t>REBEL 100</t>
        </is>
      </c>
      <c r="C1434" s="97">
        <f>VLOOKUP(A1434,SizeData!A$2:B$3839,2,FALSE)</f>
        <v/>
      </c>
      <c r="D1434" s="98" t="n">
        <v>1</v>
      </c>
      <c r="E1434" s="98" t="inlineStr">
        <is>
          <t>R1927120</t>
        </is>
      </c>
      <c r="F1434" s="99" t="n">
        <v>44924</v>
      </c>
      <c r="G1434" s="100" t="n"/>
    </row>
    <row r="1435" ht="16" customHeight="1">
      <c r="A1435" s="98" t="n">
        <v>62116</v>
      </c>
      <c r="B1435" s="98" t="inlineStr">
        <is>
          <t>MONTEBELLO LONG ISLAND ICED TEA</t>
        </is>
      </c>
      <c r="C1435" s="97">
        <f>VLOOKUP(A1435,SizeData!A$2:B$3839,2,FALSE)</f>
        <v/>
      </c>
      <c r="D1435" s="98" t="n">
        <v>2</v>
      </c>
      <c r="E1435" s="98" t="inlineStr">
        <is>
          <t>R2064188</t>
        </is>
      </c>
      <c r="F1435" s="99" t="n">
        <v>45036</v>
      </c>
      <c r="G1435" s="100" t="n"/>
    </row>
    <row r="1436" ht="16" customHeight="1">
      <c r="A1436" s="98" t="n">
        <v>62116</v>
      </c>
      <c r="B1436" s="98" t="inlineStr">
        <is>
          <t>MONTEBELLO LONG ISLAND ICED TEA</t>
        </is>
      </c>
      <c r="C1436" s="97">
        <f>VLOOKUP(A1436,SizeData!A$2:B$3839,2,FALSE)</f>
        <v/>
      </c>
      <c r="D1436" s="98" t="n">
        <v>1</v>
      </c>
      <c r="E1436" s="98" t="inlineStr">
        <is>
          <t>R2068757</t>
        </is>
      </c>
      <c r="F1436" s="99" t="n">
        <v>45044</v>
      </c>
      <c r="G1436" s="100" t="n"/>
    </row>
    <row r="1437" ht="16" customHeight="1">
      <c r="A1437" s="98" t="n">
        <v>89578</v>
      </c>
      <c r="B1437" s="98" t="inlineStr">
        <is>
          <t>MONTEZUMA GOLD TEQUILA</t>
        </is>
      </c>
      <c r="C1437" s="97">
        <f>VLOOKUP(A1437,SizeData!A$2:B$3839,2,FALSE)</f>
        <v/>
      </c>
      <c r="D1437" s="98" t="n">
        <v>3</v>
      </c>
      <c r="E1437" s="98" t="inlineStr">
        <is>
          <t>R1999001</t>
        </is>
      </c>
      <c r="F1437" s="99" t="n">
        <v>44986</v>
      </c>
      <c r="G1437" s="100" t="n"/>
    </row>
    <row r="1438" ht="16" customHeight="1">
      <c r="A1438" s="98" t="n">
        <v>89578</v>
      </c>
      <c r="B1438" s="98" t="inlineStr">
        <is>
          <t>MONTEZUMA GOLD TEQUILA</t>
        </is>
      </c>
      <c r="C1438" s="97">
        <f>VLOOKUP(A1438,SizeData!A$2:B$3839,2,FALSE)</f>
        <v/>
      </c>
      <c r="D1438" s="98" t="n">
        <v>4</v>
      </c>
      <c r="E1438" s="98" t="inlineStr">
        <is>
          <t>R2062454</t>
        </is>
      </c>
      <c r="F1438" s="99" t="n">
        <v>45031</v>
      </c>
      <c r="G1438" s="100" t="n"/>
    </row>
    <row r="1439" ht="16" customHeight="1">
      <c r="A1439" s="98" t="n">
        <v>88148</v>
      </c>
      <c r="B1439" s="98" t="inlineStr">
        <is>
          <t>MONTEZUMA WHITE TEQUILA</t>
        </is>
      </c>
      <c r="C1439" s="97">
        <f>VLOOKUP(A1439,SizeData!A$2:B$3839,2,FALSE)</f>
        <v/>
      </c>
      <c r="D1439" s="98" t="n">
        <v>3</v>
      </c>
      <c r="E1439" s="98" t="inlineStr">
        <is>
          <t>R1999001</t>
        </is>
      </c>
      <c r="F1439" s="99" t="n">
        <v>44986</v>
      </c>
      <c r="G1439" s="100" t="n"/>
    </row>
    <row r="1440" ht="16" customHeight="1">
      <c r="A1440" s="101" t="n">
        <v>88147</v>
      </c>
      <c r="B1440" s="101" t="inlineStr">
        <is>
          <t>MONTEZUMA WHITE TEQUILA</t>
        </is>
      </c>
      <c r="C1440" s="102">
        <f>VLOOKUP(A1440,SizeData!A$2:B$3839,2,FALSE)</f>
        <v/>
      </c>
      <c r="D1440" s="101" t="n">
        <v>1</v>
      </c>
      <c r="E1440" s="101" t="inlineStr">
        <is>
          <t>R2055049</t>
        </is>
      </c>
      <c r="F1440" s="103" t="n">
        <v>45017</v>
      </c>
      <c r="G1440" s="104" t="n"/>
    </row>
    <row r="1441" ht="16" customHeight="1">
      <c r="A1441" s="98" t="n">
        <v>88148</v>
      </c>
      <c r="B1441" s="98" t="inlineStr">
        <is>
          <t>MONTEZUMA WHITE TEQUILA</t>
        </is>
      </c>
      <c r="C1441" s="97">
        <f>VLOOKUP(A1441,SizeData!A$2:B$3839,2,FALSE)</f>
        <v/>
      </c>
      <c r="D1441" s="98" t="n">
        <v>2</v>
      </c>
      <c r="E1441" s="98" t="inlineStr">
        <is>
          <t>R2048252</t>
        </is>
      </c>
      <c r="F1441" s="99" t="n">
        <v>45021</v>
      </c>
      <c r="G1441" s="100" t="n"/>
    </row>
    <row r="1442" ht="16" customHeight="1">
      <c r="A1442" s="98" t="n">
        <v>88147</v>
      </c>
      <c r="B1442" s="98" t="inlineStr">
        <is>
          <t>MONTEZUMA WHITE TEQUILA</t>
        </is>
      </c>
      <c r="C1442" s="97">
        <f>VLOOKUP(A1442,SizeData!A$2:B$3839,2,FALSE)</f>
        <v/>
      </c>
      <c r="D1442" s="98" t="n">
        <v>4</v>
      </c>
      <c r="E1442" s="98" t="inlineStr">
        <is>
          <t>R2072241</t>
        </is>
      </c>
      <c r="F1442" s="99" t="n">
        <v>45035</v>
      </c>
      <c r="G1442" s="100" t="n"/>
    </row>
    <row r="1443" ht="16" customHeight="1">
      <c r="A1443" s="98" t="n">
        <v>49084</v>
      </c>
      <c r="B1443" s="98" t="inlineStr">
        <is>
          <t>REMY MARTIN 1738 ACCORD ROYAL COGNAC</t>
        </is>
      </c>
      <c r="C1443" s="97">
        <f>VLOOKUP(A1443,SizeData!A$2:B$3839,2,FALSE)</f>
        <v/>
      </c>
      <c r="D1443" s="98" t="n">
        <v>1</v>
      </c>
      <c r="E1443" s="98" t="inlineStr">
        <is>
          <t>R1906226</t>
        </is>
      </c>
      <c r="F1443" s="99" t="n">
        <v>44905</v>
      </c>
      <c r="G1443" s="100" t="n"/>
    </row>
    <row r="1444" ht="16" customHeight="1">
      <c r="A1444" s="98" t="n">
        <v>49084</v>
      </c>
      <c r="B1444" s="98" t="inlineStr">
        <is>
          <t>REMY MARTIN 1738 ACCORD ROYAL COGNAC</t>
        </is>
      </c>
      <c r="C1444" s="97">
        <f>VLOOKUP(A1444,SizeData!A$2:B$3839,2,FALSE)</f>
        <v/>
      </c>
      <c r="D1444" s="98" t="n">
        <v>5</v>
      </c>
      <c r="E1444" s="98" t="inlineStr">
        <is>
          <t>R1899553</t>
        </is>
      </c>
      <c r="F1444" s="99" t="n">
        <v>44912</v>
      </c>
      <c r="G1444" s="100" t="n"/>
    </row>
    <row r="1445" ht="16" customHeight="1">
      <c r="A1445" s="98" t="n">
        <v>88148</v>
      </c>
      <c r="B1445" s="98" t="inlineStr">
        <is>
          <t>MONTEZUMA WHITE TEQUILA</t>
        </is>
      </c>
      <c r="C1445" s="97">
        <f>VLOOKUP(A1445,SizeData!A$2:B$3839,2,FALSE)</f>
        <v/>
      </c>
      <c r="D1445" s="98" t="n">
        <v>6</v>
      </c>
      <c r="E1445" s="98" t="inlineStr">
        <is>
          <t>R2072241</t>
        </is>
      </c>
      <c r="F1445" s="99" t="n">
        <v>45035</v>
      </c>
      <c r="G1445" s="100" t="n"/>
    </row>
    <row r="1446" ht="16" customHeight="1">
      <c r="A1446" s="98" t="n">
        <v>88148</v>
      </c>
      <c r="B1446" s="98" t="inlineStr">
        <is>
          <t>MONTEZUMA WHITE TEQUILA</t>
        </is>
      </c>
      <c r="C1446" s="97">
        <f>VLOOKUP(A1446,SizeData!A$2:B$3839,2,FALSE)</f>
        <v/>
      </c>
      <c r="D1446" s="98" t="n">
        <v>1</v>
      </c>
      <c r="E1446" s="98" t="inlineStr">
        <is>
          <t>R2068757</t>
        </is>
      </c>
      <c r="F1446" s="99" t="n">
        <v>45044</v>
      </c>
      <c r="G1446" s="100" t="n"/>
    </row>
    <row r="1447" ht="16" customHeight="1">
      <c r="A1447" s="98" t="n">
        <v>76467</v>
      </c>
      <c r="B1447" s="98" t="inlineStr">
        <is>
          <t>MR. BOSTON AMARETTO</t>
        </is>
      </c>
      <c r="C1447" s="97">
        <f>VLOOKUP(A1447,SizeData!A$2:B$3839,2,FALSE)</f>
        <v/>
      </c>
      <c r="D1447" s="98" t="n">
        <v>1</v>
      </c>
      <c r="E1447" s="98" t="inlineStr">
        <is>
          <t>R1928529</t>
        </is>
      </c>
      <c r="F1447" s="99" t="n">
        <v>44935</v>
      </c>
      <c r="G1447" s="100" t="n"/>
    </row>
    <row r="1448" ht="16" customHeight="1">
      <c r="A1448" s="101" t="n">
        <v>76467</v>
      </c>
      <c r="B1448" s="101" t="inlineStr">
        <is>
          <t>MR. BOSTON AMARETTO</t>
        </is>
      </c>
      <c r="C1448" s="102">
        <f>VLOOKUP(A1448,SizeData!A$2:B$3839,2,FALSE)</f>
        <v/>
      </c>
      <c r="D1448" s="101" t="n">
        <v>1</v>
      </c>
      <c r="E1448" s="101" t="inlineStr">
        <is>
          <t>R2044661</t>
        </is>
      </c>
      <c r="F1448" s="103" t="n">
        <v>45020</v>
      </c>
      <c r="G1448" s="104" t="n"/>
    </row>
    <row r="1449" ht="16" customHeight="1">
      <c r="A1449" s="98" t="n">
        <v>85437</v>
      </c>
      <c r="B1449" s="98" t="inlineStr">
        <is>
          <t>MR. BOSTON BLUE CURACAO</t>
        </is>
      </c>
      <c r="C1449" s="97">
        <f>VLOOKUP(A1449,SizeData!A$2:B$3839,2,FALSE)</f>
        <v/>
      </c>
      <c r="D1449" s="98" t="n">
        <v>2</v>
      </c>
      <c r="E1449" s="98" t="inlineStr">
        <is>
          <t>R1944166</t>
        </is>
      </c>
      <c r="F1449" s="99" t="n">
        <v>44947</v>
      </c>
      <c r="G1449" s="100" t="n"/>
    </row>
    <row r="1450" ht="16" customHeight="1">
      <c r="A1450" s="98" t="n">
        <v>85437</v>
      </c>
      <c r="B1450" s="98" t="inlineStr">
        <is>
          <t>MR. BOSTON BLUE CURACAO</t>
        </is>
      </c>
      <c r="C1450" s="97">
        <f>VLOOKUP(A1450,SizeData!A$2:B$3839,2,FALSE)</f>
        <v/>
      </c>
      <c r="D1450" s="98" t="n">
        <v>1</v>
      </c>
      <c r="E1450" s="98" t="inlineStr">
        <is>
          <t>R2020651</t>
        </is>
      </c>
      <c r="F1450" s="99" t="n">
        <v>45000</v>
      </c>
      <c r="G1450" s="100" t="n"/>
    </row>
    <row r="1451" ht="16" customHeight="1">
      <c r="A1451" s="98" t="n">
        <v>85437</v>
      </c>
      <c r="B1451" s="98" t="inlineStr">
        <is>
          <t>MR. BOSTON BLUE CURACAO</t>
        </is>
      </c>
      <c r="C1451" s="97">
        <f>VLOOKUP(A1451,SizeData!A$2:B$3839,2,FALSE)</f>
        <v/>
      </c>
      <c r="D1451" s="98" t="n">
        <v>1</v>
      </c>
      <c r="E1451" s="98" t="inlineStr">
        <is>
          <t>R2065393</t>
        </is>
      </c>
      <c r="F1451" s="99" t="n">
        <v>45031</v>
      </c>
      <c r="G1451" s="100" t="n"/>
    </row>
    <row r="1452" ht="16" customHeight="1">
      <c r="A1452" s="98" t="n">
        <v>85437</v>
      </c>
      <c r="B1452" s="98" t="inlineStr">
        <is>
          <t>MR. BOSTON BLUE CURACAO</t>
        </is>
      </c>
      <c r="C1452" s="97">
        <f>VLOOKUP(A1452,SizeData!A$2:B$3839,2,FALSE)</f>
        <v/>
      </c>
      <c r="D1452" s="98" t="n">
        <v>1</v>
      </c>
      <c r="E1452" s="98" t="inlineStr">
        <is>
          <t>R2075056</t>
        </is>
      </c>
      <c r="F1452" s="99" t="n">
        <v>45036</v>
      </c>
      <c r="G1452" s="100" t="n"/>
    </row>
    <row r="1453" ht="16" customHeight="1">
      <c r="A1453" s="98" t="n">
        <v>84257</v>
      </c>
      <c r="B1453" s="98" t="inlineStr">
        <is>
          <t>MR. BOSTON BUTTERSCOTCH SCHNAPPS</t>
        </is>
      </c>
      <c r="C1453" s="97">
        <f>VLOOKUP(A1453,SizeData!A$2:B$3839,2,FALSE)</f>
        <v/>
      </c>
      <c r="D1453" s="98" t="n">
        <v>1</v>
      </c>
      <c r="E1453" s="98" t="inlineStr">
        <is>
          <t>R2044661</t>
        </is>
      </c>
      <c r="F1453" s="99" t="n">
        <v>45020</v>
      </c>
      <c r="G1453" s="100" t="n"/>
    </row>
    <row r="1454" ht="16" customHeight="1">
      <c r="A1454" s="98" t="n">
        <v>76477</v>
      </c>
      <c r="B1454" s="98" t="inlineStr">
        <is>
          <t>MR. BOSTON MELON</t>
        </is>
      </c>
      <c r="C1454" s="97">
        <f>VLOOKUP(A1454,SizeData!A$2:B$3839,2,FALSE)</f>
        <v/>
      </c>
      <c r="D1454" s="98" t="n">
        <v>1</v>
      </c>
      <c r="E1454" s="98" t="inlineStr">
        <is>
          <t>R1928529</t>
        </is>
      </c>
      <c r="F1454" s="99" t="n">
        <v>44935</v>
      </c>
      <c r="G1454" s="100" t="n"/>
    </row>
    <row r="1455" ht="16" customHeight="1">
      <c r="A1455" s="98" t="n">
        <v>76477</v>
      </c>
      <c r="B1455" s="98" t="inlineStr">
        <is>
          <t>MR. BOSTON MELON</t>
        </is>
      </c>
      <c r="C1455" s="97">
        <f>VLOOKUP(A1455,SizeData!A$2:B$3839,2,FALSE)</f>
        <v/>
      </c>
      <c r="D1455" s="98" t="n">
        <v>1</v>
      </c>
      <c r="E1455" s="98" t="inlineStr">
        <is>
          <t>R1991528</t>
        </is>
      </c>
      <c r="F1455" s="99" t="n">
        <v>44974</v>
      </c>
      <c r="G1455" s="100" t="n"/>
    </row>
    <row r="1456" ht="16" customHeight="1">
      <c r="A1456" s="101" t="n">
        <v>76477</v>
      </c>
      <c r="B1456" s="101" t="inlineStr">
        <is>
          <t>MR. BOSTON MELON</t>
        </is>
      </c>
      <c r="C1456" s="102">
        <f>VLOOKUP(A1456,SizeData!A$2:B$3839,2,FALSE)</f>
        <v/>
      </c>
      <c r="D1456" s="101" t="n">
        <v>2</v>
      </c>
      <c r="E1456" s="101" t="inlineStr">
        <is>
          <t>R2061208</t>
        </is>
      </c>
      <c r="F1456" s="103" t="n">
        <v>45022</v>
      </c>
      <c r="G1456" s="104" t="n"/>
    </row>
    <row r="1457" ht="16" customHeight="1">
      <c r="A1457" s="98" t="n">
        <v>49185</v>
      </c>
      <c r="B1457" s="98" t="inlineStr">
        <is>
          <t>REMY MARTIN VSOP COGNAC (FLASK)</t>
        </is>
      </c>
      <c r="C1457" s="97">
        <f>VLOOKUP(A1457,SizeData!A$2:B$3839,2,FALSE)</f>
        <v/>
      </c>
      <c r="D1457" s="98" t="n">
        <v>5</v>
      </c>
      <c r="E1457" s="98" t="inlineStr">
        <is>
          <t>R1903425</t>
        </is>
      </c>
      <c r="F1457" s="99" t="n">
        <v>44908</v>
      </c>
      <c r="G1457" s="100" t="n"/>
    </row>
    <row r="1458" ht="16" customHeight="1">
      <c r="A1458" s="98" t="n">
        <v>49185</v>
      </c>
      <c r="B1458" s="98" t="inlineStr">
        <is>
          <t>REMY MARTIN VSOP COGNAC (FLASK)</t>
        </is>
      </c>
      <c r="C1458" s="97">
        <f>VLOOKUP(A1458,SizeData!A$2:B$3839,2,FALSE)</f>
        <v/>
      </c>
      <c r="D1458" s="98" t="n">
        <v>5</v>
      </c>
      <c r="E1458" s="98" t="inlineStr">
        <is>
          <t>R1899553</t>
        </is>
      </c>
      <c r="F1458" s="99" t="n">
        <v>44912</v>
      </c>
      <c r="G1458" s="100" t="n"/>
    </row>
    <row r="1459" ht="16" customHeight="1">
      <c r="A1459" s="98" t="n">
        <v>76477</v>
      </c>
      <c r="B1459" s="98" t="inlineStr">
        <is>
          <t>MR. BOSTON MELON</t>
        </is>
      </c>
      <c r="C1459" s="97">
        <f>VLOOKUP(A1459,SizeData!A$2:B$3839,2,FALSE)</f>
        <v/>
      </c>
      <c r="D1459" s="98" t="n">
        <v>1</v>
      </c>
      <c r="E1459" s="98" t="inlineStr">
        <is>
          <t>R2051950</t>
        </is>
      </c>
      <c r="F1459" s="99" t="n">
        <v>45027</v>
      </c>
      <c r="G1459" s="100" t="n"/>
    </row>
    <row r="1460" ht="16" customHeight="1">
      <c r="A1460" s="98" t="n">
        <v>76477</v>
      </c>
      <c r="B1460" s="98" t="inlineStr">
        <is>
          <t>MR. BOSTON MELON</t>
        </is>
      </c>
      <c r="C1460" s="97">
        <f>VLOOKUP(A1460,SizeData!A$2:B$3839,2,FALSE)</f>
        <v/>
      </c>
      <c r="D1460" s="98" t="n">
        <v>2</v>
      </c>
      <c r="E1460" s="98" t="inlineStr">
        <is>
          <t>R2068757</t>
        </is>
      </c>
      <c r="F1460" s="99" t="n">
        <v>45044</v>
      </c>
      <c r="G1460" s="100" t="n"/>
    </row>
    <row r="1461" ht="16" customHeight="1">
      <c r="A1461" s="98" t="n">
        <v>84307</v>
      </c>
      <c r="B1461" s="98" t="inlineStr">
        <is>
          <t>MR. BOSTON PEACH SCHNAPPS</t>
        </is>
      </c>
      <c r="C1461" s="97">
        <f>VLOOKUP(A1461,SizeData!A$2:B$3839,2,FALSE)</f>
        <v/>
      </c>
      <c r="D1461" s="98" t="n">
        <v>1</v>
      </c>
      <c r="E1461" s="98" t="inlineStr">
        <is>
          <t>R1928529</t>
        </is>
      </c>
      <c r="F1461" s="99" t="n">
        <v>44935</v>
      </c>
      <c r="G1461" s="100" t="n"/>
    </row>
    <row r="1462" ht="16" customHeight="1">
      <c r="A1462" s="98" t="n">
        <v>84307</v>
      </c>
      <c r="B1462" s="98" t="inlineStr">
        <is>
          <t>MR. BOSTON PEACH SCHNAPPS</t>
        </is>
      </c>
      <c r="C1462" s="97">
        <f>VLOOKUP(A1462,SizeData!A$2:B$3839,2,FALSE)</f>
        <v/>
      </c>
      <c r="D1462" s="98" t="n">
        <v>3</v>
      </c>
      <c r="E1462" s="98" t="inlineStr">
        <is>
          <t>R1957712</t>
        </is>
      </c>
      <c r="F1462" s="99" t="n">
        <v>44958</v>
      </c>
      <c r="G1462" s="100" t="n"/>
    </row>
    <row r="1463" ht="16" customHeight="1">
      <c r="A1463" s="98" t="n">
        <v>12872</v>
      </c>
      <c r="B1463" s="98" t="inlineStr">
        <is>
          <t>RICH &amp; RARE PEACH</t>
        </is>
      </c>
      <c r="C1463" s="97">
        <f>VLOOKUP(A1463,SizeData!A$2:B$3839,2,FALSE)</f>
        <v/>
      </c>
      <c r="D1463" s="98" t="n">
        <v>2</v>
      </c>
      <c r="E1463" s="98" t="inlineStr">
        <is>
          <t>R1903202</t>
        </is>
      </c>
      <c r="F1463" s="99" t="n">
        <v>44905</v>
      </c>
      <c r="G1463" s="100" t="n"/>
    </row>
    <row r="1464" ht="16" customHeight="1">
      <c r="A1464" s="98" t="n">
        <v>12872</v>
      </c>
      <c r="B1464" s="98" t="inlineStr">
        <is>
          <t>RICH &amp; RARE PEACH</t>
        </is>
      </c>
      <c r="C1464" s="97">
        <f>VLOOKUP(A1464,SizeData!A$2:B$3839,2,FALSE)</f>
        <v/>
      </c>
      <c r="D1464" s="98" t="n">
        <v>1</v>
      </c>
      <c r="E1464" s="98" t="inlineStr">
        <is>
          <t>R1903667</t>
        </is>
      </c>
      <c r="F1464" s="99" t="n">
        <v>44915</v>
      </c>
      <c r="G1464" s="100" t="n"/>
    </row>
    <row r="1465" ht="16" customHeight="1">
      <c r="A1465" s="98" t="n">
        <v>84307</v>
      </c>
      <c r="B1465" s="98" t="inlineStr">
        <is>
          <t>MR. BOSTON PEACH SCHNAPPS</t>
        </is>
      </c>
      <c r="C1465" s="97">
        <f>VLOOKUP(A1465,SizeData!A$2:B$3839,2,FALSE)</f>
        <v/>
      </c>
      <c r="D1465" s="98" t="n">
        <v>1</v>
      </c>
      <c r="E1465" s="98" t="inlineStr">
        <is>
          <t>R1991528</t>
        </is>
      </c>
      <c r="F1465" s="99" t="n">
        <v>44974</v>
      </c>
      <c r="G1465" s="100" t="n"/>
    </row>
    <row r="1466" ht="16" customHeight="1">
      <c r="A1466" s="98" t="n">
        <v>97726</v>
      </c>
      <c r="B1466" s="98" t="inlineStr">
        <is>
          <t>RICHARDS WILD ROSE RED</t>
        </is>
      </c>
      <c r="C1466" s="97">
        <f>VLOOKUP(A1466,SizeData!A$2:B$3839,2,FALSE)</f>
        <v/>
      </c>
      <c r="D1466" s="98" t="n">
        <v>2</v>
      </c>
      <c r="E1466" s="98" t="inlineStr">
        <is>
          <t>R1907823</t>
        </is>
      </c>
      <c r="F1466" s="99" t="n">
        <v>44908</v>
      </c>
      <c r="G1466" s="100" t="n"/>
    </row>
    <row r="1467" ht="16" customHeight="1">
      <c r="A1467" s="98" t="n">
        <v>97727</v>
      </c>
      <c r="B1467" s="98" t="inlineStr">
        <is>
          <t>RICHARDS WILD ROSE RED</t>
        </is>
      </c>
      <c r="C1467" s="97">
        <f>VLOOKUP(A1467,SizeData!A$2:B$3839,2,FALSE)</f>
        <v/>
      </c>
      <c r="D1467" s="98" t="n">
        <v>2</v>
      </c>
      <c r="E1467" s="98" t="inlineStr">
        <is>
          <t>R1916005</t>
        </is>
      </c>
      <c r="F1467" s="99" t="n">
        <v>44911</v>
      </c>
      <c r="G1467" s="100" t="n"/>
    </row>
    <row r="1468" ht="16" customHeight="1">
      <c r="A1468" s="98" t="n">
        <v>97724</v>
      </c>
      <c r="B1468" s="98" t="inlineStr">
        <is>
          <t>RICHARDS WILD ROSE RED</t>
        </is>
      </c>
      <c r="C1468" s="97">
        <f>VLOOKUP(A1468,SizeData!A$2:B$3839,2,FALSE)</f>
        <v/>
      </c>
      <c r="D1468" s="98" t="n">
        <v>2</v>
      </c>
      <c r="E1468" s="98" t="inlineStr">
        <is>
          <t>R1917444</t>
        </is>
      </c>
      <c r="F1468" s="99" t="n">
        <v>44922</v>
      </c>
      <c r="G1468" s="100" t="n"/>
    </row>
    <row r="1469" ht="16" customHeight="1">
      <c r="A1469" s="98" t="n">
        <v>97722</v>
      </c>
      <c r="B1469" s="98" t="inlineStr">
        <is>
          <t>RICHARDS WILD ROSE RED</t>
        </is>
      </c>
      <c r="C1469" s="97">
        <f>VLOOKUP(A1469,SizeData!A$2:B$3839,2,FALSE)</f>
        <v/>
      </c>
      <c r="D1469" s="98" t="n">
        <v>1</v>
      </c>
      <c r="E1469" s="98" t="inlineStr">
        <is>
          <t>R1917444</t>
        </is>
      </c>
      <c r="F1469" s="99" t="n">
        <v>44922</v>
      </c>
      <c r="G1469" s="100" t="n"/>
    </row>
    <row r="1470" ht="16" customHeight="1">
      <c r="A1470" s="98" t="n">
        <v>84307</v>
      </c>
      <c r="B1470" s="98" t="inlineStr">
        <is>
          <t>MR. BOSTON PEACH SCHNAPPS</t>
        </is>
      </c>
      <c r="C1470" s="97">
        <f>VLOOKUP(A1470,SizeData!A$2:B$3839,2,FALSE)</f>
        <v/>
      </c>
      <c r="D1470" s="98" t="n">
        <v>2</v>
      </c>
      <c r="E1470" s="98" t="inlineStr">
        <is>
          <t>R1984349</t>
        </is>
      </c>
      <c r="F1470" s="99" t="n">
        <v>44982</v>
      </c>
      <c r="G1470" s="100" t="n"/>
    </row>
    <row r="1471" ht="16" customHeight="1">
      <c r="A1471" s="98" t="n">
        <v>84307</v>
      </c>
      <c r="B1471" s="98" t="inlineStr">
        <is>
          <t>MR. BOSTON PEACH SCHNAPPS</t>
        </is>
      </c>
      <c r="C1471" s="97">
        <f>VLOOKUP(A1471,SizeData!A$2:B$3839,2,FALSE)</f>
        <v/>
      </c>
      <c r="D1471" s="98" t="n">
        <v>1</v>
      </c>
      <c r="E1471" s="98" t="inlineStr">
        <is>
          <t>R2013233</t>
        </is>
      </c>
      <c r="F1471" s="99" t="n">
        <v>44995</v>
      </c>
      <c r="G1471" s="100" t="n"/>
    </row>
    <row r="1472" ht="16" customHeight="1">
      <c r="A1472" s="98" t="n">
        <v>84307</v>
      </c>
      <c r="B1472" s="98" t="inlineStr">
        <is>
          <t>MR. BOSTON PEACH SCHNAPPS</t>
        </is>
      </c>
      <c r="C1472" s="97">
        <f>VLOOKUP(A1472,SizeData!A$2:B$3839,2,FALSE)</f>
        <v/>
      </c>
      <c r="D1472" s="98" t="n">
        <v>2</v>
      </c>
      <c r="E1472" s="98" t="inlineStr">
        <is>
          <t>R2035192</t>
        </is>
      </c>
      <c r="F1472" s="99" t="n">
        <v>45009</v>
      </c>
      <c r="G1472" s="100" t="n"/>
    </row>
    <row r="1473" ht="16" customHeight="1">
      <c r="A1473" s="98" t="n">
        <v>84307</v>
      </c>
      <c r="B1473" s="98" t="inlineStr">
        <is>
          <t>MR. BOSTON PEACH SCHNAPPS</t>
        </is>
      </c>
      <c r="C1473" s="97">
        <f>VLOOKUP(A1473,SizeData!A$2:B$3839,2,FALSE)</f>
        <v/>
      </c>
      <c r="D1473" s="98" t="n">
        <v>2</v>
      </c>
      <c r="E1473" s="98" t="inlineStr">
        <is>
          <t>R2062305</t>
        </is>
      </c>
      <c r="F1473" s="99" t="n">
        <v>45024</v>
      </c>
      <c r="G1473" s="100" t="n"/>
    </row>
    <row r="1474" ht="16" customHeight="1">
      <c r="A1474" s="98" t="n">
        <v>84307</v>
      </c>
      <c r="B1474" s="98" t="inlineStr">
        <is>
          <t>MR. BOSTON PEACH SCHNAPPS</t>
        </is>
      </c>
      <c r="C1474" s="97">
        <f>VLOOKUP(A1474,SizeData!A$2:B$3839,2,FALSE)</f>
        <v/>
      </c>
      <c r="D1474" s="98" t="n">
        <v>2</v>
      </c>
      <c r="E1474" s="98" t="inlineStr">
        <is>
          <t>R2073308</t>
        </is>
      </c>
      <c r="F1474" s="99" t="n">
        <v>45038</v>
      </c>
      <c r="G1474" s="100" t="n"/>
    </row>
    <row r="1475" ht="16" customHeight="1">
      <c r="A1475" s="98" t="n">
        <v>84367</v>
      </c>
      <c r="B1475" s="98" t="inlineStr">
        <is>
          <t>MR. BOSTON SOUR APPLE SCHNAPPS</t>
        </is>
      </c>
      <c r="C1475" s="97">
        <f>VLOOKUP(A1475,SizeData!A$2:B$3839,2,FALSE)</f>
        <v/>
      </c>
      <c r="D1475" s="98" t="n">
        <v>1</v>
      </c>
      <c r="E1475" s="98" t="inlineStr">
        <is>
          <t>R1928529</t>
        </is>
      </c>
      <c r="F1475" s="99" t="n">
        <v>44935</v>
      </c>
      <c r="G1475" s="100" t="n"/>
    </row>
    <row r="1476" ht="16" customHeight="1">
      <c r="A1476" s="98" t="n">
        <v>378915</v>
      </c>
      <c r="B1476" s="98" t="inlineStr">
        <is>
          <t>RIUNITE LAMBRUSCO</t>
        </is>
      </c>
      <c r="C1476" s="97">
        <f>VLOOKUP(A1476,SizeData!A$2:B$3839,2,FALSE)</f>
        <v/>
      </c>
      <c r="D1476" s="98" t="n">
        <v>3</v>
      </c>
      <c r="E1476" s="98" t="inlineStr">
        <is>
          <t>R1903425</t>
        </is>
      </c>
      <c r="F1476" s="99" t="n">
        <v>44908</v>
      </c>
      <c r="G1476" s="100" t="n"/>
    </row>
    <row r="1477" ht="16" customHeight="1">
      <c r="A1477" s="98" t="n">
        <v>378915</v>
      </c>
      <c r="B1477" s="98" t="inlineStr">
        <is>
          <t>RIUNITE LAMBRUSCO</t>
        </is>
      </c>
      <c r="C1477" s="97">
        <f>VLOOKUP(A1477,SizeData!A$2:B$3839,2,FALSE)</f>
        <v/>
      </c>
      <c r="D1477" s="98" t="n">
        <v>2</v>
      </c>
      <c r="E1477" s="98" t="inlineStr">
        <is>
          <t>R1919402</t>
        </is>
      </c>
      <c r="F1477" s="99" t="n">
        <v>44924</v>
      </c>
      <c r="G1477" s="100" t="n"/>
    </row>
    <row r="1478" ht="16" customHeight="1">
      <c r="A1478" s="98" t="n">
        <v>378920</v>
      </c>
      <c r="B1478" s="98" t="inlineStr">
        <is>
          <t>RIUNITE LAMBRUSCO</t>
        </is>
      </c>
      <c r="C1478" s="97">
        <f>VLOOKUP(A1478,SizeData!A$2:B$3839,2,FALSE)</f>
        <v/>
      </c>
      <c r="D1478" s="98" t="n">
        <v>2</v>
      </c>
      <c r="E1478" s="98" t="inlineStr">
        <is>
          <t>R1919402</t>
        </is>
      </c>
      <c r="F1478" s="99" t="n">
        <v>44924</v>
      </c>
      <c r="G1478" s="100" t="n"/>
    </row>
    <row r="1479" ht="16" customHeight="1">
      <c r="A1479" s="98" t="n">
        <v>84367</v>
      </c>
      <c r="B1479" s="98" t="inlineStr">
        <is>
          <t>MR. BOSTON SOUR APPLE SCHNAPPS</t>
        </is>
      </c>
      <c r="C1479" s="97">
        <f>VLOOKUP(A1479,SizeData!A$2:B$3839,2,FALSE)</f>
        <v/>
      </c>
      <c r="D1479" s="98" t="n">
        <v>1</v>
      </c>
      <c r="E1479" s="98" t="inlineStr">
        <is>
          <t>R2073308</t>
        </is>
      </c>
      <c r="F1479" s="99" t="n">
        <v>45038</v>
      </c>
      <c r="G1479" s="100" t="n"/>
    </row>
    <row r="1480" ht="16" customHeight="1">
      <c r="A1480" s="98" t="n">
        <v>86487</v>
      </c>
      <c r="B1480" s="98" t="inlineStr">
        <is>
          <t>MR. BOSTON TRIPLE SEC</t>
        </is>
      </c>
      <c r="C1480" s="97">
        <f>VLOOKUP(A1480,SizeData!A$2:B$3839,2,FALSE)</f>
        <v/>
      </c>
      <c r="D1480" s="98" t="n">
        <v>1</v>
      </c>
      <c r="E1480" s="98" t="inlineStr">
        <is>
          <t>R1944166</t>
        </is>
      </c>
      <c r="F1480" s="99" t="n">
        <v>44947</v>
      </c>
      <c r="G1480" s="100" t="n"/>
      <c r="H1480" s="28" t="n"/>
      <c r="I1480" s="28" t="n"/>
      <c r="J1480" s="28" t="n"/>
      <c r="K1480" s="28" t="n"/>
      <c r="L1480" s="28" t="n"/>
      <c r="M1480" s="28" t="n"/>
      <c r="N1480" s="28" t="n"/>
      <c r="O1480" s="28" t="n"/>
      <c r="P1480" s="28" t="n"/>
    </row>
    <row r="1481" ht="16" customHeight="1">
      <c r="A1481" s="98" t="n">
        <v>86487</v>
      </c>
      <c r="B1481" s="98" t="inlineStr">
        <is>
          <t>MR. BOSTON TRIPLE SEC</t>
        </is>
      </c>
      <c r="C1481" s="97">
        <f>VLOOKUP(A1481,SizeData!A$2:B$3839,2,FALSE)</f>
        <v/>
      </c>
      <c r="D1481" s="98" t="n">
        <v>1</v>
      </c>
      <c r="E1481" s="98" t="inlineStr">
        <is>
          <t>R1985947</t>
        </is>
      </c>
      <c r="F1481" s="99" t="n">
        <v>44971</v>
      </c>
      <c r="G1481" s="100" t="n"/>
      <c r="H1481" s="28" t="n"/>
      <c r="I1481" s="28" t="n"/>
      <c r="J1481" s="28" t="n"/>
      <c r="K1481" s="28" t="n"/>
      <c r="L1481" s="28" t="n"/>
      <c r="M1481" s="28" t="n"/>
      <c r="N1481" s="28" t="n"/>
      <c r="O1481" s="28" t="n"/>
      <c r="P1481" s="28" t="n"/>
    </row>
    <row r="1482" ht="16" customHeight="1">
      <c r="A1482" s="98" t="n">
        <v>86487</v>
      </c>
      <c r="B1482" s="98" t="inlineStr">
        <is>
          <t>MR. BOSTON TRIPLE SEC</t>
        </is>
      </c>
      <c r="C1482" s="97">
        <f>VLOOKUP(A1482,SizeData!A$2:B$3839,2,FALSE)</f>
        <v/>
      </c>
      <c r="D1482" s="98" t="n">
        <v>1</v>
      </c>
      <c r="E1482" s="98" t="inlineStr">
        <is>
          <t>R1973788</t>
        </is>
      </c>
      <c r="F1482" s="99" t="n">
        <v>44972</v>
      </c>
      <c r="G1482" s="100" t="n"/>
      <c r="H1482" s="28" t="n"/>
      <c r="I1482" s="28" t="n"/>
      <c r="J1482" s="28" t="n"/>
      <c r="K1482" s="28" t="n"/>
      <c r="L1482" s="28" t="n"/>
      <c r="M1482" s="28" t="n"/>
      <c r="N1482" s="28" t="n"/>
      <c r="O1482" s="28" t="n"/>
      <c r="P1482" s="28" t="n"/>
    </row>
    <row r="1483" ht="16" customHeight="1">
      <c r="A1483" s="98" t="n">
        <v>86487</v>
      </c>
      <c r="B1483" s="98" t="inlineStr">
        <is>
          <t>MR. BOSTON TRIPLE SEC</t>
        </is>
      </c>
      <c r="C1483" s="97">
        <f>VLOOKUP(A1483,SizeData!A$2:B$3839,2,FALSE)</f>
        <v/>
      </c>
      <c r="D1483" s="98" t="n">
        <v>1</v>
      </c>
      <c r="E1483" s="98" t="inlineStr">
        <is>
          <t>R2075056</t>
        </is>
      </c>
      <c r="F1483" s="99" t="n">
        <v>45036</v>
      </c>
      <c r="G1483" s="100" t="n"/>
      <c r="H1483" s="28" t="n"/>
      <c r="I1483" s="28" t="n"/>
      <c r="J1483" s="28" t="n"/>
      <c r="K1483" s="28" t="n"/>
      <c r="L1483" s="28" t="n"/>
      <c r="M1483" s="28" t="n"/>
      <c r="N1483" s="28" t="n"/>
      <c r="O1483" s="28" t="n"/>
      <c r="P1483" s="28" t="n"/>
    </row>
    <row r="1484" ht="16" customHeight="1">
      <c r="A1484" s="98" t="n">
        <v>39918</v>
      </c>
      <c r="B1484" s="98" t="inlineStr">
        <is>
          <t>NEW AMSTERDAM APPLE FLAVORED VODKA</t>
        </is>
      </c>
      <c r="C1484" s="97">
        <f>VLOOKUP(A1484,SizeData!A$2:B$3839,2,FALSE)</f>
        <v/>
      </c>
      <c r="D1484" s="98" t="n">
        <v>1</v>
      </c>
      <c r="E1484" s="98" t="inlineStr">
        <is>
          <t>R1944166</t>
        </is>
      </c>
      <c r="F1484" s="99" t="n">
        <v>44947</v>
      </c>
      <c r="G1484" s="100" t="n"/>
      <c r="H1484" s="28" t="n"/>
      <c r="I1484" s="28" t="n"/>
      <c r="J1484" s="28" t="n"/>
      <c r="K1484" s="28" t="n"/>
      <c r="L1484" s="28" t="n"/>
      <c r="M1484" s="28" t="n"/>
      <c r="N1484" s="28" t="n"/>
      <c r="O1484" s="28" t="n"/>
      <c r="P1484" s="28" t="n"/>
    </row>
    <row r="1485" ht="16" customHeight="1">
      <c r="A1485" s="98" t="n">
        <v>39918</v>
      </c>
      <c r="B1485" s="98" t="inlineStr">
        <is>
          <t>NEW AMSTERDAM APPLE FLAVORED VODKA</t>
        </is>
      </c>
      <c r="C1485" s="97">
        <f>VLOOKUP(A1485,SizeData!A$2:B$3839,2,FALSE)</f>
        <v/>
      </c>
      <c r="D1485" s="98" t="n">
        <v>1</v>
      </c>
      <c r="E1485" s="98" t="inlineStr">
        <is>
          <t>R2030138</t>
        </is>
      </c>
      <c r="F1485" s="99" t="n">
        <v>44986</v>
      </c>
      <c r="G1485" s="100" t="n"/>
      <c r="H1485" s="28" t="n"/>
      <c r="I1485" s="28" t="n"/>
      <c r="J1485" s="28" t="n"/>
      <c r="K1485" s="28" t="n"/>
      <c r="L1485" s="28" t="n"/>
      <c r="M1485" s="28" t="n"/>
      <c r="N1485" s="28" t="n"/>
      <c r="O1485" s="28" t="n"/>
      <c r="P1485" s="28" t="n"/>
    </row>
    <row r="1486" ht="16" customHeight="1">
      <c r="A1486" s="98" t="n">
        <v>39917</v>
      </c>
      <c r="B1486" s="98" t="inlineStr">
        <is>
          <t>NEW AMSTERDAM APPLE FLAVORED VODKA</t>
        </is>
      </c>
      <c r="C1486" s="97">
        <f>VLOOKUP(A1486,SizeData!A$2:B$3839,2,FALSE)</f>
        <v/>
      </c>
      <c r="D1486" s="98" t="n">
        <v>2</v>
      </c>
      <c r="E1486" s="98" t="inlineStr">
        <is>
          <t>R2012784</t>
        </is>
      </c>
      <c r="F1486" s="99" t="n">
        <v>44992</v>
      </c>
      <c r="G1486" s="100" t="n"/>
      <c r="H1486" s="28" t="n"/>
      <c r="I1486" s="28" t="n"/>
      <c r="J1486" s="28" t="n"/>
      <c r="K1486" s="28" t="n"/>
      <c r="L1486" s="28" t="n"/>
      <c r="M1486" s="28" t="n"/>
      <c r="N1486" s="28" t="n"/>
      <c r="O1486" s="28" t="n"/>
      <c r="P1486" s="28" t="n"/>
    </row>
    <row r="1487" ht="16" customHeight="1">
      <c r="A1487" s="98" t="n">
        <v>378820</v>
      </c>
      <c r="B1487" s="98" t="inlineStr">
        <is>
          <t>RIUNITE TREBBIANO MOSCATO EMILY</t>
        </is>
      </c>
      <c r="C1487" s="97">
        <f>VLOOKUP(A1487,SizeData!A$2:B$3839,2,FALSE)</f>
        <v/>
      </c>
      <c r="D1487" s="98" t="n">
        <v>1</v>
      </c>
      <c r="E1487" s="98" t="inlineStr">
        <is>
          <t>R1919402</t>
        </is>
      </c>
      <c r="F1487" s="99" t="n">
        <v>44924</v>
      </c>
      <c r="G1487" s="100" t="n"/>
      <c r="H1487" s="28" t="n"/>
      <c r="I1487" s="28" t="n"/>
      <c r="J1487" s="28" t="n"/>
      <c r="K1487" s="28" t="n"/>
      <c r="L1487" s="28" t="n"/>
      <c r="M1487" s="28" t="n"/>
      <c r="N1487" s="28" t="n"/>
      <c r="O1487" s="28" t="n"/>
      <c r="P1487" s="28" t="n"/>
    </row>
    <row r="1488" ht="16" customHeight="1">
      <c r="A1488" s="98" t="n">
        <v>498044</v>
      </c>
      <c r="B1488" s="98" t="inlineStr">
        <is>
          <t>ROBERT MONDAVI PRIVATE SEL CAB SAUV BOURBON BARREL</t>
        </is>
      </c>
      <c r="C1488" s="97">
        <f>VLOOKUP(A1488,SizeData!A$2:B$3839,2,FALSE)</f>
        <v/>
      </c>
      <c r="D1488" s="98" t="n">
        <v>1</v>
      </c>
      <c r="E1488" s="98" t="inlineStr">
        <is>
          <t>R1902639</t>
        </is>
      </c>
      <c r="F1488" s="99" t="n">
        <v>44911</v>
      </c>
      <c r="G1488" s="100" t="n"/>
      <c r="H1488" s="28" t="n"/>
      <c r="I1488" s="28" t="n"/>
      <c r="J1488" s="28" t="n"/>
      <c r="K1488" s="28" t="n"/>
      <c r="L1488" s="28" t="n"/>
      <c r="M1488" s="28" t="n"/>
      <c r="N1488" s="28" t="n"/>
      <c r="O1488" s="28" t="n"/>
      <c r="P1488" s="28" t="n"/>
    </row>
    <row r="1489" ht="16" customHeight="1">
      <c r="A1489" s="98" t="n">
        <v>498044</v>
      </c>
      <c r="B1489" s="98" t="inlineStr">
        <is>
          <t>ROBERT MONDAVI PRIVATE SEL CAB SAUV BOURBON BARREL</t>
        </is>
      </c>
      <c r="C1489" s="97">
        <f>VLOOKUP(A1489,SizeData!A$2:B$3839,2,FALSE)</f>
        <v/>
      </c>
      <c r="D1489" s="98" t="n">
        <v>1</v>
      </c>
      <c r="E1489" s="98" t="inlineStr">
        <is>
          <t>R1919402</t>
        </is>
      </c>
      <c r="F1489" s="99" t="n">
        <v>44924</v>
      </c>
      <c r="G1489" s="100" t="n"/>
    </row>
    <row r="1490" ht="16" customHeight="1">
      <c r="A1490" s="98" t="n">
        <v>39918</v>
      </c>
      <c r="B1490" s="98" t="inlineStr">
        <is>
          <t>NEW AMSTERDAM APPLE FLAVORED VODKA</t>
        </is>
      </c>
      <c r="C1490" s="97">
        <f>VLOOKUP(A1490,SizeData!A$2:B$3839,2,FALSE)</f>
        <v/>
      </c>
      <c r="D1490" s="98" t="n">
        <v>1</v>
      </c>
      <c r="E1490" s="98" t="inlineStr">
        <is>
          <t>R2018722</t>
        </is>
      </c>
      <c r="F1490" s="99" t="n">
        <v>44996</v>
      </c>
      <c r="G1490" s="100" t="n"/>
    </row>
    <row r="1491" ht="16" customHeight="1">
      <c r="A1491" s="98" t="n">
        <v>39918</v>
      </c>
      <c r="B1491" s="98" t="inlineStr">
        <is>
          <t>NEW AMSTERDAM APPLE FLAVORED VODKA</t>
        </is>
      </c>
      <c r="C1491" s="97">
        <f>VLOOKUP(A1491,SizeData!A$2:B$3839,2,FALSE)</f>
        <v/>
      </c>
      <c r="D1491" s="98" t="n">
        <v>1</v>
      </c>
      <c r="E1491" s="98" t="inlineStr">
        <is>
          <t>R2027602</t>
        </is>
      </c>
      <c r="F1491" s="99" t="n">
        <v>45003</v>
      </c>
      <c r="G1491" s="100" t="n"/>
    </row>
    <row r="1492" ht="16" customHeight="1">
      <c r="A1492" s="98" t="n">
        <v>40288</v>
      </c>
      <c r="B1492" s="98" t="inlineStr">
        <is>
          <t>NEW AMSTERDAM COCONUT FLAVORED VODKA</t>
        </is>
      </c>
      <c r="C1492" s="97">
        <f>VLOOKUP(A1492,SizeData!A$2:B$3839,2,FALSE)</f>
        <v/>
      </c>
      <c r="D1492" s="98" t="n">
        <v>2</v>
      </c>
      <c r="E1492" s="98" t="inlineStr">
        <is>
          <t>R2021274</t>
        </is>
      </c>
      <c r="F1492" s="99" t="n">
        <v>44998</v>
      </c>
      <c r="G1492" s="100" t="n"/>
    </row>
    <row r="1493" ht="16" customHeight="1">
      <c r="A1493" s="98" t="n">
        <v>31475</v>
      </c>
      <c r="B1493" s="98" t="inlineStr">
        <is>
          <t>NEW AMSTERDAM GIN</t>
        </is>
      </c>
      <c r="C1493" s="97">
        <f>VLOOKUP(A1493,SizeData!A$2:B$3839,2,FALSE)</f>
        <v/>
      </c>
      <c r="D1493" s="98" t="n">
        <v>1</v>
      </c>
      <c r="E1493" s="98" t="inlineStr">
        <is>
          <t>R2035913</t>
        </is>
      </c>
      <c r="F1493" s="99" t="n">
        <v>45005</v>
      </c>
      <c r="G1493" s="100" t="n"/>
    </row>
    <row r="1494" ht="16" customHeight="1">
      <c r="A1494" s="98" t="n">
        <v>31475</v>
      </c>
      <c r="B1494" s="98" t="inlineStr">
        <is>
          <t>NEW AMSTERDAM GIN</t>
        </is>
      </c>
      <c r="C1494" s="97">
        <f>VLOOKUP(A1494,SizeData!A$2:B$3839,2,FALSE)</f>
        <v/>
      </c>
      <c r="D1494" s="98" t="n">
        <v>1</v>
      </c>
      <c r="E1494" s="98" t="inlineStr">
        <is>
          <t>R2039044</t>
        </is>
      </c>
      <c r="F1494" s="99" t="n">
        <v>45013</v>
      </c>
      <c r="G1494" s="100" t="n"/>
    </row>
    <row r="1495" ht="16" customHeight="1">
      <c r="A1495" s="98" t="n">
        <v>31474</v>
      </c>
      <c r="B1495" s="98" t="inlineStr">
        <is>
          <t>NEW AMSTERDAM GIN</t>
        </is>
      </c>
      <c r="C1495" s="97">
        <f>VLOOKUP(A1495,SizeData!A$2:B$3839,2,FALSE)</f>
        <v/>
      </c>
      <c r="D1495" s="98" t="n">
        <v>3</v>
      </c>
      <c r="E1495" s="98" t="inlineStr">
        <is>
          <t>R2022490</t>
        </is>
      </c>
      <c r="F1495" s="99" t="n">
        <v>45014</v>
      </c>
      <c r="G1495" s="100" t="n"/>
    </row>
    <row r="1496" ht="16" customHeight="1">
      <c r="A1496" s="98" t="n">
        <v>31473</v>
      </c>
      <c r="B1496" s="98" t="inlineStr">
        <is>
          <t>NEW AMSTERDAM GIN</t>
        </is>
      </c>
      <c r="C1496" s="97">
        <f>VLOOKUP(A1496,SizeData!A$2:B$3839,2,FALSE)</f>
        <v/>
      </c>
      <c r="D1496" s="98" t="n">
        <v>1</v>
      </c>
      <c r="E1496" s="98" t="inlineStr">
        <is>
          <t>R2070652</t>
        </is>
      </c>
      <c r="F1496" s="99" t="n">
        <v>45028</v>
      </c>
      <c r="G1496" s="100" t="n"/>
    </row>
    <row r="1497" ht="16" customHeight="1">
      <c r="A1497" s="98" t="n">
        <v>49373</v>
      </c>
      <c r="B1497" s="98" t="inlineStr">
        <is>
          <t>SALIGNAC V S</t>
        </is>
      </c>
      <c r="C1497" s="97">
        <f>VLOOKUP(A1497,SizeData!A$2:B$3839,2,FALSE)</f>
        <v/>
      </c>
      <c r="D1497" s="98" t="n">
        <v>1</v>
      </c>
      <c r="E1497" s="98" t="inlineStr">
        <is>
          <t>R1901365</t>
        </is>
      </c>
      <c r="F1497" s="99" t="n">
        <v>44905</v>
      </c>
      <c r="G1497" s="100" t="n"/>
    </row>
    <row r="1498" ht="16" customHeight="1">
      <c r="A1498" s="98" t="n">
        <v>49374</v>
      </c>
      <c r="B1498" s="98" t="inlineStr">
        <is>
          <t>SALIGNAC V S</t>
        </is>
      </c>
      <c r="C1498" s="97">
        <f>VLOOKUP(A1498,SizeData!A$2:B$3839,2,FALSE)</f>
        <v/>
      </c>
      <c r="D1498" s="98" t="n">
        <v>9</v>
      </c>
      <c r="E1498" s="98" t="inlineStr">
        <is>
          <t>R1915910</t>
        </is>
      </c>
      <c r="F1498" s="99" t="n">
        <v>44910</v>
      </c>
      <c r="G1498" s="100" t="n"/>
    </row>
    <row r="1499" ht="16" customHeight="1">
      <c r="A1499" s="98" t="n">
        <v>49374</v>
      </c>
      <c r="B1499" s="98" t="inlineStr">
        <is>
          <t>SALIGNAC V S</t>
        </is>
      </c>
      <c r="C1499" s="97">
        <f>VLOOKUP(A1499,SizeData!A$2:B$3839,2,FALSE)</f>
        <v/>
      </c>
      <c r="D1499" s="98" t="n">
        <v>1</v>
      </c>
      <c r="E1499" s="98" t="inlineStr">
        <is>
          <t>R1915910</t>
        </is>
      </c>
      <c r="F1499" s="99" t="n">
        <v>44910</v>
      </c>
      <c r="G1499" s="100" t="n"/>
    </row>
    <row r="1500" ht="16" customHeight="1">
      <c r="A1500" s="101" t="n">
        <v>40071</v>
      </c>
      <c r="B1500" s="101" t="inlineStr">
        <is>
          <t>NEW AMSTERDAM MANGO FLAVORED VODKA</t>
        </is>
      </c>
      <c r="C1500" s="102">
        <f>VLOOKUP(A1500,SizeData!A$2:B$3839,2,FALSE)</f>
        <v/>
      </c>
      <c r="D1500" s="1" t="n">
        <v>1</v>
      </c>
      <c r="E1500" s="101" t="inlineStr">
        <is>
          <t>R2056672</t>
        </is>
      </c>
      <c r="F1500" s="103" t="n">
        <v>45031</v>
      </c>
      <c r="G1500" s="104" t="n"/>
    </row>
    <row r="1501" ht="16" customHeight="1">
      <c r="A1501" s="98" t="n">
        <v>39280</v>
      </c>
      <c r="B1501" s="98" t="inlineStr">
        <is>
          <t>NEW AMSTERDAM PASSION FRUIT VODKA</t>
        </is>
      </c>
      <c r="C1501" s="97">
        <f>VLOOKUP(A1501,SizeData!A$2:B$3839,2,FALSE)</f>
        <v/>
      </c>
      <c r="D1501" s="98" t="n">
        <v>1</v>
      </c>
      <c r="E1501" s="98" t="inlineStr">
        <is>
          <t>R1928529</t>
        </is>
      </c>
      <c r="F1501" s="99" t="n">
        <v>44935</v>
      </c>
      <c r="G1501" s="100" t="n"/>
    </row>
    <row r="1502" ht="16" customHeight="1">
      <c r="A1502" s="98" t="n">
        <v>39284</v>
      </c>
      <c r="B1502" s="98" t="inlineStr">
        <is>
          <t>NEW AMSTERDAM PASSION FRUIT VODKA</t>
        </is>
      </c>
      <c r="C1502" s="97">
        <f>VLOOKUP(A1502,SizeData!A$2:B$3839,2,FALSE)</f>
        <v/>
      </c>
      <c r="D1502" s="98" t="n">
        <v>3</v>
      </c>
      <c r="E1502" s="98" t="inlineStr">
        <is>
          <t>R1984049</t>
        </is>
      </c>
      <c r="F1502" s="99" t="n">
        <v>44984</v>
      </c>
      <c r="G1502" s="100" t="n"/>
    </row>
    <row r="1503" ht="16" customHeight="1">
      <c r="A1503" s="98" t="n">
        <v>39280</v>
      </c>
      <c r="B1503" s="98" t="inlineStr">
        <is>
          <t>NEW AMSTERDAM PASSION FRUIT VODKA</t>
        </is>
      </c>
      <c r="C1503" s="97">
        <f>VLOOKUP(A1503,SizeData!A$2:B$3839,2,FALSE)</f>
        <v/>
      </c>
      <c r="D1503" s="98" t="n">
        <v>1</v>
      </c>
      <c r="E1503" s="98" t="inlineStr">
        <is>
          <t>R1992599</t>
        </is>
      </c>
      <c r="F1503" s="99" t="n">
        <v>44989</v>
      </c>
      <c r="G1503" s="100" t="n"/>
    </row>
    <row r="1504" ht="16" customHeight="1">
      <c r="A1504" s="98" t="n">
        <v>39284</v>
      </c>
      <c r="B1504" s="98" t="inlineStr">
        <is>
          <t>NEW AMSTERDAM PASSION FRUIT VODKA</t>
        </is>
      </c>
      <c r="C1504" s="97">
        <f>VLOOKUP(A1504,SizeData!A$2:B$3839,2,FALSE)</f>
        <v/>
      </c>
      <c r="D1504" s="98" t="n">
        <v>1</v>
      </c>
      <c r="E1504" s="98" t="inlineStr">
        <is>
          <t>R2028718</t>
        </is>
      </c>
      <c r="F1504" s="99" t="n">
        <v>45008</v>
      </c>
      <c r="G1504" s="100" t="n"/>
    </row>
    <row r="1505" ht="16" customHeight="1">
      <c r="A1505" s="101" t="n">
        <v>39284</v>
      </c>
      <c r="B1505" s="101" t="inlineStr">
        <is>
          <t>NEW AMSTERDAM PASSION FRUIT VODKA</t>
        </is>
      </c>
      <c r="C1505" s="102">
        <f>VLOOKUP(A1505,SizeData!A$2:B$3839,2,FALSE)</f>
        <v/>
      </c>
      <c r="D1505" s="101" t="n">
        <v>1</v>
      </c>
      <c r="E1505" s="101" t="inlineStr">
        <is>
          <t>R2028718</t>
        </is>
      </c>
      <c r="F1505" s="103" t="n">
        <v>45008</v>
      </c>
      <c r="G1505" s="104" t="n"/>
    </row>
    <row r="1506" ht="16" customHeight="1">
      <c r="A1506" s="98" t="n">
        <v>503850</v>
      </c>
      <c r="B1506" s="98" t="inlineStr">
        <is>
          <t>SALT OF THE EARTH MOSCATO RUBINO</t>
        </is>
      </c>
      <c r="C1506" s="97">
        <f>VLOOKUP(A1506,SizeData!A$2:B$3839,2,FALSE)</f>
        <v/>
      </c>
      <c r="D1506" s="98" t="n">
        <v>10</v>
      </c>
      <c r="E1506" s="98" t="inlineStr">
        <is>
          <t>R1915605</t>
        </is>
      </c>
      <c r="F1506" s="99" t="n">
        <v>44909</v>
      </c>
      <c r="G1506" s="100" t="n"/>
    </row>
    <row r="1507" ht="16" customHeight="1">
      <c r="A1507" s="98" t="n">
        <v>503850</v>
      </c>
      <c r="B1507" s="98" t="inlineStr">
        <is>
          <t>SALT OF THE EARTH MOSCATO RUBINO</t>
        </is>
      </c>
      <c r="C1507" s="97">
        <f>VLOOKUP(A1507,SizeData!A$2:B$3839,2,FALSE)</f>
        <v/>
      </c>
      <c r="D1507" s="98" t="n">
        <v>10</v>
      </c>
      <c r="E1507" s="98" t="inlineStr">
        <is>
          <t>R1916345</t>
        </is>
      </c>
      <c r="F1507" s="99" t="n">
        <v>44916</v>
      </c>
      <c r="G1507" s="100" t="n"/>
    </row>
    <row r="1508" ht="16" customHeight="1">
      <c r="A1508" s="101" t="n">
        <v>39280</v>
      </c>
      <c r="B1508" s="101" t="inlineStr">
        <is>
          <t>NEW AMSTERDAM PASSION FRUIT VODKA</t>
        </is>
      </c>
      <c r="C1508" s="102">
        <f>VLOOKUP(A1508,SizeData!A$2:B$3839,2,FALSE)</f>
        <v/>
      </c>
      <c r="D1508" s="101" t="n">
        <v>1</v>
      </c>
      <c r="E1508" s="101" t="inlineStr">
        <is>
          <t>R2056672</t>
        </is>
      </c>
      <c r="F1508" s="103" t="n">
        <v>45031</v>
      </c>
      <c r="G1508" s="104" t="n"/>
    </row>
    <row r="1509" ht="16" customHeight="1">
      <c r="A1509" s="98" t="n">
        <v>39280</v>
      </c>
      <c r="B1509" s="98" t="inlineStr">
        <is>
          <t>NEW AMSTERDAM PASSION FRUIT VODKA</t>
        </is>
      </c>
      <c r="C1509" s="97">
        <f>VLOOKUP(A1509,SizeData!A$2:B$3839,2,FALSE)</f>
        <v/>
      </c>
      <c r="D1509" s="98" t="n">
        <v>1</v>
      </c>
      <c r="E1509" s="98" t="inlineStr">
        <is>
          <t>R2067759</t>
        </is>
      </c>
      <c r="F1509" s="99" t="n">
        <v>45037</v>
      </c>
      <c r="G1509" s="100" t="n"/>
    </row>
    <row r="1510" ht="16" customHeight="1">
      <c r="A1510" s="98" t="n">
        <v>40592</v>
      </c>
      <c r="B1510" s="98" t="inlineStr">
        <is>
          <t>NEW AMSTERDAM PEACH FLAVORED VODKA</t>
        </is>
      </c>
      <c r="C1510" s="97">
        <f>VLOOKUP(A1510,SizeData!A$2:B$3839,2,FALSE)</f>
        <v/>
      </c>
      <c r="D1510" s="98" t="n">
        <v>1</v>
      </c>
      <c r="E1510" s="98" t="inlineStr">
        <is>
          <t>R1936420</t>
        </is>
      </c>
      <c r="F1510" s="99" t="n">
        <v>44937</v>
      </c>
      <c r="G1510" s="100" t="n"/>
    </row>
    <row r="1511" ht="16" customHeight="1">
      <c r="A1511" s="98" t="n">
        <v>40590</v>
      </c>
      <c r="B1511" s="98" t="inlineStr">
        <is>
          <t>NEW AMSTERDAM PEACH FLAVORED VODKA</t>
        </is>
      </c>
      <c r="C1511" s="97">
        <f>VLOOKUP(A1511,SizeData!A$2:B$3839,2,FALSE)</f>
        <v/>
      </c>
      <c r="D1511" s="98" t="n">
        <v>1</v>
      </c>
      <c r="E1511" s="98" t="inlineStr">
        <is>
          <t>R1944166</t>
        </is>
      </c>
      <c r="F1511" s="99" t="n">
        <v>44947</v>
      </c>
      <c r="G1511" s="100" t="n"/>
    </row>
    <row r="1512" ht="16" customHeight="1">
      <c r="A1512" s="98" t="n">
        <v>25603</v>
      </c>
      <c r="B1512" s="98" t="inlineStr">
        <is>
          <t>SEAGRAM'S 7 CROWN BLENDED WHISKEY (PET)</t>
        </is>
      </c>
      <c r="C1512" s="97">
        <f>VLOOKUP(A1512,SizeData!A$2:B$3839,2,FALSE)</f>
        <v/>
      </c>
      <c r="D1512" s="98" t="n">
        <v>2</v>
      </c>
      <c r="E1512" s="98" t="inlineStr">
        <is>
          <t>R1916027</t>
        </is>
      </c>
      <c r="F1512" s="99" t="n">
        <v>44914</v>
      </c>
      <c r="G1512" s="100" t="n"/>
    </row>
    <row r="1513" ht="16" customHeight="1">
      <c r="A1513" s="98" t="n">
        <v>40592</v>
      </c>
      <c r="B1513" s="98" t="inlineStr">
        <is>
          <t>NEW AMSTERDAM PEACH FLAVORED VODKA</t>
        </is>
      </c>
      <c r="C1513" s="97">
        <f>VLOOKUP(A1513,SizeData!A$2:B$3839,2,FALSE)</f>
        <v/>
      </c>
      <c r="D1513" s="98" t="n">
        <v>1</v>
      </c>
      <c r="E1513" s="98" t="inlineStr">
        <is>
          <t>R1960645</t>
        </is>
      </c>
      <c r="F1513" s="99" t="n">
        <v>44954</v>
      </c>
      <c r="G1513" s="100" t="n"/>
    </row>
    <row r="1514" ht="16" customHeight="1">
      <c r="A1514" s="98" t="n">
        <v>40313</v>
      </c>
      <c r="B1514" s="98" t="inlineStr">
        <is>
          <t>NEW AMSTERDAM PEACH FLAVORED VODKA</t>
        </is>
      </c>
      <c r="C1514" s="97">
        <f>VLOOKUP(A1514,SizeData!A$2:B$3839,2,FALSE)</f>
        <v/>
      </c>
      <c r="D1514" s="98" t="n">
        <v>1</v>
      </c>
      <c r="E1514" s="98" t="inlineStr">
        <is>
          <t>R1957712</t>
        </is>
      </c>
      <c r="F1514" s="99" t="n">
        <v>44958</v>
      </c>
      <c r="G1514" s="100" t="n"/>
    </row>
    <row r="1515" ht="16" customHeight="1">
      <c r="A1515" s="98" t="n">
        <v>40313</v>
      </c>
      <c r="B1515" s="98" t="inlineStr">
        <is>
          <t>NEW AMSTERDAM PEACH FLAVORED VODKA</t>
        </is>
      </c>
      <c r="C1515" s="97">
        <f>VLOOKUP(A1515,SizeData!A$2:B$3839,2,FALSE)</f>
        <v/>
      </c>
      <c r="D1515" s="98" t="n">
        <v>2</v>
      </c>
      <c r="E1515" s="98" t="inlineStr">
        <is>
          <t>R1957712</t>
        </is>
      </c>
      <c r="F1515" s="99" t="n">
        <v>44958</v>
      </c>
      <c r="G1515" s="100" t="n"/>
    </row>
    <row r="1516" ht="16" customHeight="1">
      <c r="A1516" s="98" t="n">
        <v>40313</v>
      </c>
      <c r="B1516" s="98" t="inlineStr">
        <is>
          <t>NEW AMSTERDAM PEACH FLAVORED VODKA</t>
        </is>
      </c>
      <c r="C1516" s="97">
        <f>VLOOKUP(A1516,SizeData!A$2:B$3839,2,FALSE)</f>
        <v/>
      </c>
      <c r="D1516" s="98" t="n">
        <v>3</v>
      </c>
      <c r="E1516" s="98" t="inlineStr">
        <is>
          <t>R1962631</t>
        </is>
      </c>
      <c r="F1516" s="99" t="n">
        <v>44959</v>
      </c>
      <c r="G1516" s="100" t="n"/>
    </row>
    <row r="1517" ht="16" customHeight="1">
      <c r="A1517" s="98" t="n">
        <v>32214</v>
      </c>
      <c r="B1517" s="98" t="inlineStr">
        <is>
          <t>SEAGRAM'S DISTILLER'S RESERVE 94 GIN</t>
        </is>
      </c>
      <c r="C1517" s="97">
        <f>VLOOKUP(A1517,SizeData!A$2:B$3839,2,FALSE)</f>
        <v/>
      </c>
      <c r="D1517" s="98" t="n">
        <v>1</v>
      </c>
      <c r="E1517" s="98" t="inlineStr">
        <is>
          <t>R1903202</t>
        </is>
      </c>
      <c r="F1517" s="99" t="n">
        <v>44905</v>
      </c>
      <c r="G1517" s="100" t="n"/>
    </row>
    <row r="1518" ht="16" customHeight="1">
      <c r="A1518" s="98" t="n">
        <v>32216</v>
      </c>
      <c r="B1518" s="98" t="inlineStr">
        <is>
          <t>SEAGRAM'S DISTILLER'S RESERVE 94 GIN</t>
        </is>
      </c>
      <c r="C1518" s="97">
        <f>VLOOKUP(A1518,SizeData!A$2:B$3839,2,FALSE)</f>
        <v/>
      </c>
      <c r="D1518" s="98" t="n">
        <v>2</v>
      </c>
      <c r="E1518" s="98" t="inlineStr">
        <is>
          <t>R1907823</t>
        </is>
      </c>
      <c r="F1518" s="99" t="n">
        <v>44908</v>
      </c>
      <c r="G1518" s="100" t="n"/>
    </row>
    <row r="1519" ht="16" customHeight="1">
      <c r="A1519" s="98" t="n">
        <v>32214</v>
      </c>
      <c r="B1519" s="98" t="inlineStr">
        <is>
          <t>SEAGRAM'S DISTILLER'S RESERVE 94 GIN</t>
        </is>
      </c>
      <c r="C1519" s="97">
        <f>VLOOKUP(A1519,SizeData!A$2:B$3839,2,FALSE)</f>
        <v/>
      </c>
      <c r="D1519" s="98" t="n">
        <v>1</v>
      </c>
      <c r="E1519" s="98" t="inlineStr">
        <is>
          <t>R1917173</t>
        </is>
      </c>
      <c r="F1519" s="99" t="n">
        <v>44922</v>
      </c>
      <c r="G1519" s="100" t="n"/>
    </row>
    <row r="1520" ht="16" customHeight="1">
      <c r="A1520" s="98" t="n">
        <v>40592</v>
      </c>
      <c r="B1520" s="98" t="inlineStr">
        <is>
          <t>NEW AMSTERDAM PEACH FLAVORED VODKA</t>
        </is>
      </c>
      <c r="C1520" s="97">
        <f>VLOOKUP(A1520,SizeData!A$2:B$3839,2,FALSE)</f>
        <v/>
      </c>
      <c r="D1520" s="98" t="n">
        <v>1</v>
      </c>
      <c r="E1520" s="98" t="inlineStr">
        <is>
          <t>R1970895</t>
        </is>
      </c>
      <c r="F1520" s="99" t="n">
        <v>44961</v>
      </c>
      <c r="G1520" s="100" t="n"/>
    </row>
    <row r="1521" ht="16" customHeight="1">
      <c r="A1521" s="98" t="n">
        <v>40594</v>
      </c>
      <c r="B1521" s="98" t="inlineStr">
        <is>
          <t>NEW AMSTERDAM PEACH FLAVORED VODKA</t>
        </is>
      </c>
      <c r="C1521" s="97">
        <f>VLOOKUP(A1521,SizeData!A$2:B$3839,2,FALSE)</f>
        <v/>
      </c>
      <c r="D1521" s="98" t="n">
        <v>1</v>
      </c>
      <c r="E1521" s="98" t="inlineStr">
        <is>
          <t>R1978468</t>
        </is>
      </c>
      <c r="F1521" s="99" t="n">
        <v>44979</v>
      </c>
      <c r="G1521" s="100" t="n"/>
    </row>
    <row r="1522" ht="16" customHeight="1">
      <c r="A1522" s="98" t="n">
        <v>40313</v>
      </c>
      <c r="B1522" s="98" t="inlineStr">
        <is>
          <t>NEW AMSTERDAM PEACH FLAVORED VODKA</t>
        </is>
      </c>
      <c r="C1522" s="97">
        <f>VLOOKUP(A1522,SizeData!A$2:B$3839,2,FALSE)</f>
        <v/>
      </c>
      <c r="D1522" s="98" t="n">
        <v>3</v>
      </c>
      <c r="E1522" s="98" t="inlineStr">
        <is>
          <t>R1996314</t>
        </is>
      </c>
      <c r="F1522" s="99" t="n">
        <v>44979</v>
      </c>
      <c r="G1522" s="100" t="n"/>
    </row>
    <row r="1523" ht="16" customHeight="1">
      <c r="A1523" s="98" t="n">
        <v>32236</v>
      </c>
      <c r="B1523" s="98" t="inlineStr">
        <is>
          <t>SEAGRAM'S EXTRA DRY GIN</t>
        </is>
      </c>
      <c r="C1523" s="97">
        <f>VLOOKUP(A1523,SizeData!A$2:B$3839,2,FALSE)</f>
        <v/>
      </c>
      <c r="D1523" s="98" t="n">
        <v>2</v>
      </c>
      <c r="E1523" s="98" t="inlineStr">
        <is>
          <t>R1902639</t>
        </is>
      </c>
      <c r="F1523" s="99" t="n">
        <v>44911</v>
      </c>
      <c r="G1523" s="100" t="n"/>
    </row>
    <row r="1524" ht="16" customHeight="1">
      <c r="A1524" s="98" t="n">
        <v>40313</v>
      </c>
      <c r="B1524" s="98" t="inlineStr">
        <is>
          <t>NEW AMSTERDAM PEACH FLAVORED VODKA</t>
        </is>
      </c>
      <c r="C1524" s="97">
        <f>VLOOKUP(A1524,SizeData!A$2:B$3839,2,FALSE)</f>
        <v/>
      </c>
      <c r="D1524" s="98" t="n">
        <v>3</v>
      </c>
      <c r="E1524" s="98" t="inlineStr">
        <is>
          <t>R1984049</t>
        </is>
      </c>
      <c r="F1524" s="99" t="n">
        <v>44984</v>
      </c>
      <c r="G1524" s="100" t="n"/>
    </row>
    <row r="1525" ht="16" customHeight="1">
      <c r="A1525" s="98" t="n">
        <v>40593</v>
      </c>
      <c r="B1525" s="98" t="inlineStr">
        <is>
          <t>NEW AMSTERDAM PEACH FLAVORED VODKA</t>
        </is>
      </c>
      <c r="C1525" s="97">
        <f>VLOOKUP(A1525,SizeData!A$2:B$3839,2,FALSE)</f>
        <v/>
      </c>
      <c r="D1525" s="98" t="n">
        <v>4</v>
      </c>
      <c r="E1525" s="98" t="inlineStr">
        <is>
          <t>R1999510</t>
        </is>
      </c>
      <c r="F1525" s="99" t="n">
        <v>44987</v>
      </c>
      <c r="G1525" s="100" t="n"/>
    </row>
    <row r="1526" ht="16" customHeight="1">
      <c r="A1526" s="98" t="n">
        <v>40313</v>
      </c>
      <c r="B1526" s="98" t="inlineStr">
        <is>
          <t>NEW AMSTERDAM PEACH FLAVORED VODKA</t>
        </is>
      </c>
      <c r="C1526" s="97">
        <f>VLOOKUP(A1526,SizeData!A$2:B$3839,2,FALSE)</f>
        <v/>
      </c>
      <c r="D1526" s="98" t="n">
        <v>3</v>
      </c>
      <c r="E1526" s="98" t="inlineStr">
        <is>
          <t>R1998383</t>
        </is>
      </c>
      <c r="F1526" s="99" t="n">
        <v>44991</v>
      </c>
      <c r="G1526" s="100" t="n"/>
    </row>
    <row r="1527" ht="16" customHeight="1">
      <c r="A1527" s="98" t="n">
        <v>40592</v>
      </c>
      <c r="B1527" s="98" t="inlineStr">
        <is>
          <t>NEW AMSTERDAM PEACH FLAVORED VODKA</t>
        </is>
      </c>
      <c r="C1527" s="97">
        <f>VLOOKUP(A1527,SizeData!A$2:B$3839,2,FALSE)</f>
        <v/>
      </c>
      <c r="D1527" s="98" t="n">
        <v>1</v>
      </c>
      <c r="E1527" s="98" t="inlineStr">
        <is>
          <t>R2005763</t>
        </is>
      </c>
      <c r="F1527" s="99" t="n">
        <v>44989</v>
      </c>
      <c r="G1527" s="100" t="n"/>
    </row>
    <row r="1528" ht="16" customHeight="1">
      <c r="A1528" s="98" t="n">
        <v>40590</v>
      </c>
      <c r="B1528" s="98" t="inlineStr">
        <is>
          <t>NEW AMSTERDAM PEACH FLAVORED VODKA</t>
        </is>
      </c>
      <c r="C1528" s="97">
        <f>VLOOKUP(A1528,SizeData!A$2:B$3839,2,FALSE)</f>
        <v/>
      </c>
      <c r="D1528" s="98" t="n">
        <v>1</v>
      </c>
      <c r="E1528" s="98" t="inlineStr">
        <is>
          <t>R2010980</t>
        </is>
      </c>
      <c r="F1528" s="99" t="n">
        <v>44995</v>
      </c>
      <c r="G1528" s="100" t="n"/>
    </row>
    <row r="1529" ht="16" customHeight="1">
      <c r="A1529" s="98" t="n">
        <v>40313</v>
      </c>
      <c r="B1529" s="98" t="inlineStr">
        <is>
          <t>NEW AMSTERDAM PEACH FLAVORED VODKA</t>
        </is>
      </c>
      <c r="C1529" s="97">
        <f>VLOOKUP(A1529,SizeData!A$2:B$3839,2,FALSE)</f>
        <v/>
      </c>
      <c r="D1529" s="98" t="n">
        <v>2</v>
      </c>
      <c r="E1529" s="98" t="inlineStr">
        <is>
          <t>R2009092</t>
        </is>
      </c>
      <c r="F1529" s="99" t="n">
        <v>45001</v>
      </c>
      <c r="G1529" s="100" t="n"/>
    </row>
    <row r="1530" ht="16" customHeight="1">
      <c r="A1530" s="98" t="n">
        <v>40592</v>
      </c>
      <c r="B1530" s="98" t="inlineStr">
        <is>
          <t>NEW AMSTERDAM PEACH FLAVORED VODKA</t>
        </is>
      </c>
      <c r="C1530" s="97">
        <f>VLOOKUP(A1530,SizeData!A$2:B$3839,2,FALSE)</f>
        <v/>
      </c>
      <c r="D1530" s="98" t="n">
        <v>1</v>
      </c>
      <c r="E1530" s="98" t="inlineStr">
        <is>
          <t>R2056672</t>
        </is>
      </c>
      <c r="F1530" s="99" t="n">
        <v>45031</v>
      </c>
      <c r="G1530" s="100" t="n"/>
    </row>
    <row r="1531" ht="16" customHeight="1">
      <c r="A1531" s="101" t="n">
        <v>40193</v>
      </c>
      <c r="B1531" s="101" t="inlineStr">
        <is>
          <t>NEW AMSTERDAM PINEAPPLE FLAVORED VODKA</t>
        </is>
      </c>
      <c r="C1531" s="102">
        <f>VLOOKUP(A1531,SizeData!A$2:B$3839,2,FALSE)</f>
        <v/>
      </c>
      <c r="D1531" s="101" t="n">
        <v>1</v>
      </c>
      <c r="E1531" s="101" t="inlineStr">
        <is>
          <t>R1959013</t>
        </is>
      </c>
      <c r="F1531" s="103" t="n">
        <v>44959</v>
      </c>
      <c r="G1531" s="104" t="n"/>
    </row>
    <row r="1532" ht="16" customHeight="1">
      <c r="A1532" s="98" t="n">
        <v>40195</v>
      </c>
      <c r="B1532" s="98" t="inlineStr">
        <is>
          <t>NEW AMSTERDAM PINEAPPLE FLAVORED VODKA</t>
        </is>
      </c>
      <c r="C1532" s="97">
        <f>VLOOKUP(A1532,SizeData!A$2:B$3839,2,FALSE)</f>
        <v/>
      </c>
      <c r="D1532" s="98" t="n">
        <v>1</v>
      </c>
      <c r="E1532" s="98" t="inlineStr">
        <is>
          <t>R1995808</t>
        </is>
      </c>
      <c r="F1532" s="99" t="n">
        <v>44972</v>
      </c>
      <c r="G1532" s="100" t="n"/>
    </row>
    <row r="1533" ht="16" customHeight="1">
      <c r="A1533" s="98" t="n">
        <v>40191</v>
      </c>
      <c r="B1533" s="98" t="inlineStr">
        <is>
          <t>NEW AMSTERDAM PINEAPPLE FLAVORED VODKA</t>
        </is>
      </c>
      <c r="C1533" s="97">
        <f>VLOOKUP(A1533,SizeData!A$2:B$3839,2,FALSE)</f>
        <v/>
      </c>
      <c r="D1533" s="98" t="n">
        <v>1</v>
      </c>
      <c r="E1533" s="98" t="inlineStr">
        <is>
          <t>R2005763</t>
        </is>
      </c>
      <c r="F1533" s="99" t="n">
        <v>44989</v>
      </c>
      <c r="G1533" s="100" t="n"/>
    </row>
    <row r="1534" ht="16" customHeight="1">
      <c r="A1534" s="98" t="n">
        <v>40195</v>
      </c>
      <c r="B1534" s="98" t="inlineStr">
        <is>
          <t>NEW AMSTERDAM PINEAPPLE FLAVORED VODKA</t>
        </is>
      </c>
      <c r="C1534" s="97">
        <f>VLOOKUP(A1534,SizeData!A$2:B$3839,2,FALSE)</f>
        <v/>
      </c>
      <c r="D1534" s="98" t="n">
        <v>2</v>
      </c>
      <c r="E1534" s="98" t="inlineStr">
        <is>
          <t>R2005977</t>
        </is>
      </c>
      <c r="F1534" s="99" t="n">
        <v>44992</v>
      </c>
      <c r="G1534" s="100" t="n"/>
    </row>
    <row r="1535" ht="16" customHeight="1">
      <c r="A1535" s="98" t="n">
        <v>40195</v>
      </c>
      <c r="B1535" s="98" t="inlineStr">
        <is>
          <t>NEW AMSTERDAM PINEAPPLE FLAVORED VODKA</t>
        </is>
      </c>
      <c r="C1535" s="97">
        <f>VLOOKUP(A1535,SizeData!A$2:B$3839,2,FALSE)</f>
        <v/>
      </c>
      <c r="D1535" s="98" t="n">
        <v>1</v>
      </c>
      <c r="E1535" s="98" t="inlineStr">
        <is>
          <t>R2021274</t>
        </is>
      </c>
      <c r="F1535" s="99" t="n">
        <v>44998</v>
      </c>
      <c r="G1535" s="100" t="n"/>
    </row>
    <row r="1536" ht="16" customHeight="1">
      <c r="A1536" s="98" t="n">
        <v>40189</v>
      </c>
      <c r="B1536" s="98" t="inlineStr">
        <is>
          <t>NEW AMSTERDAM PINEAPPLE FLAVORED VODKA</t>
        </is>
      </c>
      <c r="C1536" s="97">
        <f>VLOOKUP(A1536,SizeData!A$2:B$3839,2,FALSE)</f>
        <v/>
      </c>
      <c r="D1536" s="98" t="n">
        <v>1</v>
      </c>
      <c r="E1536" s="98" t="inlineStr">
        <is>
          <t>R2027602</t>
        </is>
      </c>
      <c r="F1536" s="99" t="n">
        <v>45003</v>
      </c>
      <c r="G1536" s="100" t="n"/>
    </row>
    <row r="1537" ht="16" customHeight="1">
      <c r="A1537" s="98" t="n">
        <v>40193</v>
      </c>
      <c r="B1537" s="98" t="inlineStr">
        <is>
          <t>NEW AMSTERDAM PINEAPPLE FLAVORED VODKA</t>
        </is>
      </c>
      <c r="C1537" s="97">
        <f>VLOOKUP(A1537,SizeData!A$2:B$3839,2,FALSE)</f>
        <v/>
      </c>
      <c r="D1537" s="98" t="n">
        <v>1</v>
      </c>
      <c r="E1537" s="98" t="inlineStr">
        <is>
          <t>R2072202</t>
        </is>
      </c>
      <c r="F1537" s="99" t="n">
        <v>45033</v>
      </c>
      <c r="G1537" s="100" t="n"/>
    </row>
    <row r="1538" ht="16" customHeight="1">
      <c r="A1538" s="98" t="n">
        <v>40189</v>
      </c>
      <c r="B1538" s="98" t="inlineStr">
        <is>
          <t>NEW AMSTERDAM PINEAPPLE FLAVORED VODKA</t>
        </is>
      </c>
      <c r="C1538" s="97">
        <f>VLOOKUP(A1538,SizeData!A$2:B$3839,2,FALSE)</f>
        <v/>
      </c>
      <c r="D1538" s="98" t="n">
        <v>1</v>
      </c>
      <c r="E1538" s="98" t="inlineStr">
        <is>
          <t>R2067759</t>
        </is>
      </c>
      <c r="F1538" s="99" t="n">
        <v>45037</v>
      </c>
      <c r="G1538" s="100" t="n"/>
    </row>
    <row r="1539" ht="16" customHeight="1">
      <c r="A1539" s="101" t="n">
        <v>40189</v>
      </c>
      <c r="B1539" s="101" t="inlineStr">
        <is>
          <t>NEW AMSTERDAM PINEAPPLE FLAVORED VODKA</t>
        </is>
      </c>
      <c r="C1539" s="102">
        <f>VLOOKUP(A1539,SizeData!A$2:B$3839,2,FALSE)</f>
        <v/>
      </c>
      <c r="D1539" s="101" t="n">
        <v>1</v>
      </c>
      <c r="E1539" s="101" t="inlineStr">
        <is>
          <t>R2067759</t>
        </is>
      </c>
      <c r="F1539" s="103" t="n">
        <v>45038</v>
      </c>
      <c r="G1539" s="104" t="n"/>
    </row>
    <row r="1540" ht="16" customHeight="1">
      <c r="A1540" s="98" t="n">
        <v>40315</v>
      </c>
      <c r="B1540" s="98" t="inlineStr">
        <is>
          <t>NEW AMSTERDAM RED BERRY FLAVORED VODKA</t>
        </is>
      </c>
      <c r="C1540" s="97">
        <f>VLOOKUP(A1540,SizeData!A$2:B$3839,2,FALSE)</f>
        <v/>
      </c>
      <c r="D1540" s="98" t="n">
        <v>3</v>
      </c>
      <c r="E1540" s="98" t="inlineStr">
        <is>
          <t>R1976594</t>
        </is>
      </c>
      <c r="F1540" s="99" t="n">
        <v>44980</v>
      </c>
      <c r="G1540" s="100" t="n"/>
    </row>
    <row r="1541" ht="16" customHeight="1">
      <c r="A1541" s="98" t="n">
        <v>40599</v>
      </c>
      <c r="B1541" s="98" t="inlineStr">
        <is>
          <t>NEW AMSTERDAM RED BERRY FLAVORED VODKA</t>
        </is>
      </c>
      <c r="C1541" s="97">
        <f>VLOOKUP(A1541,SizeData!A$2:B$3839,2,FALSE)</f>
        <v/>
      </c>
      <c r="D1541" s="98" t="n">
        <v>1</v>
      </c>
      <c r="E1541" s="98" t="inlineStr">
        <is>
          <t>R2030138</t>
        </is>
      </c>
      <c r="F1541" s="99" t="n">
        <v>44986</v>
      </c>
      <c r="G1541" s="100" t="n"/>
    </row>
    <row r="1542" ht="16" customHeight="1">
      <c r="A1542" s="98" t="n">
        <v>40598</v>
      </c>
      <c r="B1542" s="98" t="inlineStr">
        <is>
          <t>NEW AMSTERDAM RED BERRY FLAVORED VODKA</t>
        </is>
      </c>
      <c r="C1542" s="97">
        <f>VLOOKUP(A1542,SizeData!A$2:B$3839,2,FALSE)</f>
        <v/>
      </c>
      <c r="D1542" s="98" t="n">
        <v>3</v>
      </c>
      <c r="E1542" s="98" t="inlineStr">
        <is>
          <t>R2027408</t>
        </is>
      </c>
      <c r="F1542" s="99" t="n">
        <v>45003</v>
      </c>
      <c r="G1542" s="100" t="n"/>
    </row>
    <row r="1543" ht="16" customHeight="1">
      <c r="A1543" s="101" t="n">
        <v>40598</v>
      </c>
      <c r="B1543" s="101" t="inlineStr">
        <is>
          <t>NEW AMSTERDAM RED BERRY FLAVORED VODKA</t>
        </is>
      </c>
      <c r="C1543" s="102">
        <f>VLOOKUP(A1543,SizeData!A$2:B$3839,2,FALSE)</f>
        <v/>
      </c>
      <c r="D1543" s="101" t="n">
        <v>3</v>
      </c>
      <c r="E1543" s="101" t="inlineStr">
        <is>
          <t>R2027408</t>
        </is>
      </c>
      <c r="F1543" s="103" t="n">
        <v>45003</v>
      </c>
      <c r="G1543" s="104" t="n"/>
    </row>
    <row r="1544" ht="16" customHeight="1">
      <c r="A1544" s="98" t="n">
        <v>40598</v>
      </c>
      <c r="B1544" s="98" t="inlineStr">
        <is>
          <t>NEW AMSTERDAM RED BERRY FLAVORED VODKA</t>
        </is>
      </c>
      <c r="C1544" s="97">
        <f>VLOOKUP(A1544,SizeData!A$2:B$3839,2,FALSE)</f>
        <v/>
      </c>
      <c r="D1544" s="98" t="n">
        <v>3</v>
      </c>
      <c r="E1544" s="98" t="inlineStr">
        <is>
          <t>R2022490</t>
        </is>
      </c>
      <c r="F1544" s="99" t="n">
        <v>45014</v>
      </c>
      <c r="G1544" s="100" t="n"/>
    </row>
    <row r="1545" ht="16" customHeight="1">
      <c r="A1545" s="98" t="n">
        <v>40597</v>
      </c>
      <c r="B1545" s="98" t="inlineStr">
        <is>
          <t>NEW AMSTERDAM RED BERRY FLAVORED VODKA</t>
        </is>
      </c>
      <c r="C1545" s="97">
        <f>VLOOKUP(A1545,SizeData!A$2:B$3839,2,FALSE)</f>
        <v/>
      </c>
      <c r="D1545" s="98" t="n">
        <v>1</v>
      </c>
      <c r="E1545" s="98" t="inlineStr">
        <is>
          <t>R2056672</t>
        </is>
      </c>
      <c r="F1545" s="99" t="n">
        <v>45031</v>
      </c>
      <c r="G1545" s="100" t="n"/>
    </row>
    <row r="1546" ht="16" customHeight="1">
      <c r="A1546" s="98" t="n">
        <v>36967</v>
      </c>
      <c r="B1546" s="98" t="inlineStr">
        <is>
          <t>NEW AMSTERDAM VODKA</t>
        </is>
      </c>
      <c r="C1546" s="97">
        <f>VLOOKUP(A1546,SizeData!A$2:B$3839,2,FALSE)</f>
        <v/>
      </c>
      <c r="D1546" s="98" t="n">
        <v>2</v>
      </c>
      <c r="E1546" s="98" t="inlineStr">
        <is>
          <t>R1970895</t>
        </is>
      </c>
      <c r="F1546" s="99" t="n">
        <v>44961</v>
      </c>
      <c r="G1546" s="100" t="n"/>
    </row>
    <row r="1547" ht="16" customHeight="1">
      <c r="A1547" s="98" t="n">
        <v>32235</v>
      </c>
      <c r="B1547" s="98" t="inlineStr">
        <is>
          <t>SEAGRAM'S EXTRA DRY GIN (PET)</t>
        </is>
      </c>
      <c r="C1547" s="97">
        <f>VLOOKUP(A1547,SizeData!A$2:B$3839,2,FALSE)</f>
        <v/>
      </c>
      <c r="D1547" s="98" t="n">
        <v>1</v>
      </c>
      <c r="E1547" s="98" t="inlineStr">
        <is>
          <t>R1902639</t>
        </is>
      </c>
      <c r="F1547" s="99" t="n">
        <v>44911</v>
      </c>
      <c r="G1547" s="100" t="n"/>
    </row>
    <row r="1548" ht="16" customHeight="1">
      <c r="A1548" s="98" t="n">
        <v>36971</v>
      </c>
      <c r="B1548" s="98" t="inlineStr">
        <is>
          <t>NEW AMSTERDAM VODKA</t>
        </is>
      </c>
      <c r="C1548" s="97">
        <f>VLOOKUP(A1548,SizeData!A$2:B$3839,2,FALSE)</f>
        <v/>
      </c>
      <c r="D1548" s="98" t="n">
        <v>8</v>
      </c>
      <c r="E1548" s="98" t="inlineStr">
        <is>
          <t>R1959731</t>
        </is>
      </c>
      <c r="F1548" s="99" t="n">
        <v>44964</v>
      </c>
      <c r="G1548" s="100" t="n"/>
    </row>
    <row r="1549" ht="16" customHeight="1">
      <c r="A1549" s="98" t="n">
        <v>36971</v>
      </c>
      <c r="B1549" s="98" t="inlineStr">
        <is>
          <t>NEW AMSTERDAM VODKA</t>
        </is>
      </c>
      <c r="C1549" s="97">
        <f>VLOOKUP(A1549,SizeData!A$2:B$3839,2,FALSE)</f>
        <v/>
      </c>
      <c r="D1549" s="98" t="n">
        <v>2</v>
      </c>
      <c r="E1549" s="98" t="inlineStr">
        <is>
          <t>R2021274</t>
        </is>
      </c>
      <c r="F1549" s="99" t="n">
        <v>44998</v>
      </c>
      <c r="G1549" s="100" t="n"/>
    </row>
    <row r="1550" ht="16" customHeight="1">
      <c r="A1550" s="98" t="n">
        <v>36971</v>
      </c>
      <c r="B1550" s="98" t="inlineStr">
        <is>
          <t>NEW AMSTERDAM VODKA</t>
        </is>
      </c>
      <c r="C1550" s="97">
        <f>VLOOKUP(A1550,SizeData!A$2:B$3839,2,FALSE)</f>
        <v/>
      </c>
      <c r="D1550" s="98" t="n">
        <v>1</v>
      </c>
      <c r="E1550" s="98" t="inlineStr">
        <is>
          <t>R2072041</t>
        </is>
      </c>
      <c r="F1550" s="99" t="n">
        <v>45038</v>
      </c>
      <c r="G1550" s="100" t="n"/>
    </row>
    <row r="1551" ht="16" customHeight="1">
      <c r="A1551" s="98" t="n">
        <v>36969</v>
      </c>
      <c r="B1551" s="98" t="inlineStr">
        <is>
          <t>NEW AMSTERDAM VODKA</t>
        </is>
      </c>
      <c r="C1551" s="97">
        <f>VLOOKUP(A1551,SizeData!A$2:B$3839,2,FALSE)</f>
        <v/>
      </c>
      <c r="D1551" s="98" t="n">
        <v>1</v>
      </c>
      <c r="E1551" s="98" t="inlineStr">
        <is>
          <t>R2082317</t>
        </is>
      </c>
      <c r="F1551" s="99" t="n">
        <v>45047</v>
      </c>
      <c r="G1551" s="100" t="n"/>
    </row>
    <row r="1552" ht="16" customHeight="1">
      <c r="A1552" s="101" t="n">
        <v>37233</v>
      </c>
      <c r="B1552" s="101" t="inlineStr">
        <is>
          <t>NEW AMSTERDAM VODKA (PET)</t>
        </is>
      </c>
      <c r="C1552" s="102">
        <f>VLOOKUP(A1552,SizeData!A$2:B$3839,2,FALSE)</f>
        <v/>
      </c>
      <c r="D1552" s="101" t="n">
        <v>1</v>
      </c>
      <c r="E1552" s="101" t="inlineStr">
        <is>
          <t>R2005763</t>
        </is>
      </c>
      <c r="F1552" s="103" t="n">
        <v>44989</v>
      </c>
      <c r="G1552" s="104" t="n"/>
    </row>
    <row r="1553" ht="16" customHeight="1">
      <c r="A1553" s="98" t="n">
        <v>36968</v>
      </c>
      <c r="B1553" s="98" t="inlineStr">
        <is>
          <t>NEW AMSTERDAM VODKA FLASK</t>
        </is>
      </c>
      <c r="C1553" s="97">
        <f>VLOOKUP(A1553,SizeData!A$2:B$3839,2,FALSE)</f>
        <v/>
      </c>
      <c r="D1553" s="98" t="n">
        <v>5</v>
      </c>
      <c r="E1553" s="98" t="inlineStr">
        <is>
          <t>R2015823</t>
        </is>
      </c>
      <c r="F1553" s="99" t="n">
        <v>44991</v>
      </c>
      <c r="G1553" s="100" t="n"/>
    </row>
    <row r="1554" ht="16" customHeight="1">
      <c r="A1554" s="98" t="n">
        <v>36968</v>
      </c>
      <c r="B1554" s="98" t="inlineStr">
        <is>
          <t>NEW AMSTERDAM VODKA FLASK</t>
        </is>
      </c>
      <c r="C1554" s="97">
        <f>VLOOKUP(A1554,SizeData!A$2:B$3839,2,FALSE)</f>
        <v/>
      </c>
      <c r="D1554" s="98" t="n">
        <v>3</v>
      </c>
      <c r="E1554" s="98" t="inlineStr">
        <is>
          <t>R2021274</t>
        </is>
      </c>
      <c r="F1554" s="99" t="n">
        <v>44998</v>
      </c>
      <c r="G1554" s="100" t="n"/>
    </row>
    <row r="1555" ht="16" customHeight="1">
      <c r="A1555" s="98" t="n">
        <v>36968</v>
      </c>
      <c r="B1555" s="98" t="inlineStr">
        <is>
          <t>NEW AMSTERDAM VODKA FLASK</t>
        </is>
      </c>
      <c r="C1555" s="97">
        <f>VLOOKUP(A1555,SizeData!A$2:B$3839,2,FALSE)</f>
        <v/>
      </c>
      <c r="D1555" s="98" t="n">
        <v>5</v>
      </c>
      <c r="E1555" s="98" t="inlineStr">
        <is>
          <t>R2036282</t>
        </is>
      </c>
      <c r="F1555" s="99" t="n">
        <v>45012</v>
      </c>
      <c r="G1555" s="100" t="n"/>
    </row>
    <row r="1556" ht="16" customHeight="1">
      <c r="A1556" s="98" t="n">
        <v>39422</v>
      </c>
      <c r="B1556" s="98" t="inlineStr">
        <is>
          <t>NEW AMSTERDAM VODKA PINK WHITNEY PINK LEMONADE</t>
        </is>
      </c>
      <c r="C1556" s="97">
        <f>VLOOKUP(A1556,SizeData!A$2:B$3839,2,FALSE)</f>
        <v/>
      </c>
      <c r="D1556" s="98" t="n">
        <v>3</v>
      </c>
      <c r="E1556" s="98" t="inlineStr">
        <is>
          <t>R1931242</t>
        </is>
      </c>
      <c r="F1556" s="99" t="n">
        <v>44937</v>
      </c>
      <c r="G1556" s="100" t="n"/>
    </row>
    <row r="1557" ht="16" customHeight="1">
      <c r="A1557" s="98" t="n">
        <v>37890</v>
      </c>
      <c r="B1557" s="98" t="inlineStr">
        <is>
          <t>SEAGRAM'S EXTRA SMOOTH VODKA PET</t>
        </is>
      </c>
      <c r="C1557" s="97">
        <f>VLOOKUP(A1557,SizeData!A$2:B$3839,2,FALSE)</f>
        <v/>
      </c>
      <c r="D1557" s="98" t="n">
        <v>2</v>
      </c>
      <c r="E1557" s="98" t="inlineStr">
        <is>
          <t>R1911923</t>
        </is>
      </c>
      <c r="F1557" s="99" t="n">
        <v>44912</v>
      </c>
      <c r="G1557" s="100" t="n"/>
    </row>
    <row r="1558" ht="16" customHeight="1">
      <c r="A1558" s="98" t="n">
        <v>39422</v>
      </c>
      <c r="B1558" s="98" t="inlineStr">
        <is>
          <t>NEW AMSTERDAM VODKA PINK WHITNEY PINK LEMONADE</t>
        </is>
      </c>
      <c r="C1558" s="97">
        <f>VLOOKUP(A1558,SizeData!A$2:B$3839,2,FALSE)</f>
        <v/>
      </c>
      <c r="D1558" s="98" t="n">
        <v>5</v>
      </c>
      <c r="E1558" s="98" t="inlineStr">
        <is>
          <t>R1943057</t>
        </is>
      </c>
      <c r="F1558" s="99" t="n">
        <v>44945</v>
      </c>
      <c r="G1558" s="100" t="n"/>
    </row>
    <row r="1559" ht="16" customHeight="1">
      <c r="A1559" s="98" t="n">
        <v>39492</v>
      </c>
      <c r="B1559" s="98" t="inlineStr">
        <is>
          <t>NEW AMSTERDAM VODKA PINK WHITNEY PINK LEMONADE</t>
        </is>
      </c>
      <c r="C1559" s="97">
        <f>VLOOKUP(A1559,SizeData!A$2:B$3839,2,FALSE)</f>
        <v/>
      </c>
      <c r="D1559" s="98" t="n">
        <v>1</v>
      </c>
      <c r="E1559" s="98" t="inlineStr">
        <is>
          <t>R1984049</t>
        </is>
      </c>
      <c r="F1559" s="99" t="n">
        <v>44984</v>
      </c>
      <c r="G1559" s="100" t="n"/>
    </row>
    <row r="1560" ht="16" customHeight="1">
      <c r="A1560" s="98" t="n">
        <v>39492</v>
      </c>
      <c r="B1560" s="98" t="inlineStr">
        <is>
          <t>NEW AMSTERDAM VODKA PINK WHITNEY PINK LEMONADE</t>
        </is>
      </c>
      <c r="C1560" s="97">
        <f>VLOOKUP(A1560,SizeData!A$2:B$3839,2,FALSE)</f>
        <v/>
      </c>
      <c r="D1560" s="98" t="n">
        <v>3</v>
      </c>
      <c r="E1560" s="98" t="inlineStr">
        <is>
          <t>R1984349</t>
        </is>
      </c>
      <c r="F1560" s="99" t="n">
        <v>44982</v>
      </c>
      <c r="G1560" s="100" t="n"/>
    </row>
    <row r="1561" ht="16" customHeight="1">
      <c r="A1561" s="98" t="n">
        <v>39382</v>
      </c>
      <c r="B1561" s="98" t="inlineStr">
        <is>
          <t>NEW AMSTERDAM VODKA PINK WHITNEY PINK LEMONADE</t>
        </is>
      </c>
      <c r="C1561" s="97">
        <f>VLOOKUP(A1561,SizeData!A$2:B$3839,2,FALSE)</f>
        <v/>
      </c>
      <c r="D1561" s="98" t="n">
        <v>1</v>
      </c>
      <c r="E1561" s="98" t="inlineStr">
        <is>
          <t>R2030138</t>
        </is>
      </c>
      <c r="F1561" s="99" t="n">
        <v>44986</v>
      </c>
      <c r="G1561" s="100" t="n"/>
    </row>
    <row r="1562" ht="16" customHeight="1">
      <c r="A1562" s="98" t="n">
        <v>39382</v>
      </c>
      <c r="B1562" s="98" t="inlineStr">
        <is>
          <t>NEW AMSTERDAM VODKA PINK WHITNEY PINK LEMONADE</t>
        </is>
      </c>
      <c r="C1562" s="97">
        <f>VLOOKUP(A1562,SizeData!A$2:B$3839,2,FALSE)</f>
        <v/>
      </c>
      <c r="D1562" s="98" t="n">
        <v>4</v>
      </c>
      <c r="E1562" s="98" t="inlineStr">
        <is>
          <t>R2015823</t>
        </is>
      </c>
      <c r="F1562" s="99" t="n">
        <v>44991</v>
      </c>
      <c r="G1562" s="100" t="n"/>
    </row>
    <row r="1563" ht="16" customHeight="1">
      <c r="A1563" s="101" t="n">
        <v>39422</v>
      </c>
      <c r="B1563" s="101" t="inlineStr">
        <is>
          <t>NEW AMSTERDAM VODKA PINK WHITNEY PINK LEMONADE</t>
        </is>
      </c>
      <c r="C1563" s="102">
        <f>VLOOKUP(A1563,SizeData!A$2:B$3839,2,FALSE)</f>
        <v/>
      </c>
      <c r="D1563" s="101" t="n">
        <v>1</v>
      </c>
      <c r="E1563" s="101" t="inlineStr">
        <is>
          <t>R2067759</t>
        </is>
      </c>
      <c r="F1563" s="103" t="n">
        <v>45038</v>
      </c>
      <c r="G1563" s="104" t="n"/>
    </row>
    <row r="1564" ht="16" customHeight="1">
      <c r="A1564" s="98" t="n">
        <v>39419</v>
      </c>
      <c r="B1564" s="98" t="inlineStr">
        <is>
          <t>NEW AMSTERDAM WATERMELON FLAVORED VODKA</t>
        </is>
      </c>
      <c r="C1564" s="97">
        <f>VLOOKUP(A1564,SizeData!A$2:B$3839,2,FALSE)</f>
        <v/>
      </c>
      <c r="D1564" s="98" t="n">
        <v>1</v>
      </c>
      <c r="E1564" s="98" t="inlineStr">
        <is>
          <t>R2012784</t>
        </is>
      </c>
      <c r="F1564" s="99" t="n">
        <v>44992</v>
      </c>
      <c r="G1564" s="100" t="n"/>
    </row>
    <row r="1565" ht="16" customHeight="1">
      <c r="A1565" s="98" t="n">
        <v>20166</v>
      </c>
      <c r="B1565" s="98" t="inlineStr">
        <is>
          <t>OLD CHARTER 8</t>
        </is>
      </c>
      <c r="C1565" s="97">
        <f>VLOOKUP(A1565,SizeData!A$2:B$3839,2,FALSE)</f>
        <v/>
      </c>
      <c r="D1565" s="98" t="n">
        <v>1</v>
      </c>
      <c r="E1565" s="98" t="inlineStr">
        <is>
          <t>R1967237</t>
        </is>
      </c>
      <c r="F1565" s="99" t="n">
        <v>44958</v>
      </c>
      <c r="G1565" s="100" t="n"/>
    </row>
    <row r="1566" ht="16" customHeight="1">
      <c r="A1566" s="98" t="n">
        <v>20166</v>
      </c>
      <c r="B1566" s="98" t="inlineStr">
        <is>
          <t>OLD CHARTER 8</t>
        </is>
      </c>
      <c r="C1566" s="97">
        <f>VLOOKUP(A1566,SizeData!A$2:B$3839,2,FALSE)</f>
        <v/>
      </c>
      <c r="D1566" s="98" t="n">
        <v>1</v>
      </c>
      <c r="E1566" s="98" t="inlineStr">
        <is>
          <t>R1984349</t>
        </is>
      </c>
      <c r="F1566" s="99" t="n">
        <v>44982</v>
      </c>
      <c r="G1566" s="100" t="n"/>
    </row>
    <row r="1567" ht="16" customHeight="1">
      <c r="A1567" s="98" t="n">
        <v>20166</v>
      </c>
      <c r="B1567" s="98" t="inlineStr">
        <is>
          <t>OLD CHARTER 8</t>
        </is>
      </c>
      <c r="C1567" s="97">
        <f>VLOOKUP(A1567,SizeData!A$2:B$3839,2,FALSE)</f>
        <v/>
      </c>
      <c r="D1567" s="98" t="n">
        <v>2</v>
      </c>
      <c r="E1567" s="98" t="inlineStr">
        <is>
          <t>R2005977</t>
        </is>
      </c>
      <c r="F1567" s="99" t="n">
        <v>44992</v>
      </c>
      <c r="G1567" s="100" t="n"/>
    </row>
    <row r="1568" ht="16" customHeight="1">
      <c r="A1568" s="98" t="n">
        <v>20369</v>
      </c>
      <c r="B1568" s="98" t="inlineStr">
        <is>
          <t>OLD FORESTER 1870 CRAFT KENTUCKY STRAIGHT</t>
        </is>
      </c>
      <c r="C1568" s="97">
        <f>VLOOKUP(A1568,SizeData!A$2:B$3839,2,FALSE)</f>
        <v/>
      </c>
      <c r="D1568" s="98" t="n">
        <v>1</v>
      </c>
      <c r="E1568" s="98" t="inlineStr">
        <is>
          <t>R2005740</t>
        </is>
      </c>
      <c r="F1568" s="99" t="n">
        <v>44987</v>
      </c>
      <c r="G1568" s="100" t="n"/>
    </row>
    <row r="1569" ht="16" customHeight="1">
      <c r="A1569" s="98" t="n">
        <v>16416</v>
      </c>
      <c r="B1569" s="98" t="inlineStr">
        <is>
          <t>OLD GRAND DAD</t>
        </is>
      </c>
      <c r="C1569" s="97">
        <f>VLOOKUP(A1569,SizeData!A$2:B$3839,2,FALSE)</f>
        <v/>
      </c>
      <c r="D1569" s="98" t="n">
        <v>1</v>
      </c>
      <c r="E1569" s="98" t="inlineStr">
        <is>
          <t>R1999001</t>
        </is>
      </c>
      <c r="F1569" s="99" t="n">
        <v>44986</v>
      </c>
      <c r="G1569" s="100" t="n"/>
    </row>
    <row r="1570" ht="16" customHeight="1">
      <c r="A1570" s="98" t="n">
        <v>20538</v>
      </c>
      <c r="B1570" s="98" t="inlineStr">
        <is>
          <t>OLD KENTUCKY TAVERN (PET)</t>
        </is>
      </c>
      <c r="C1570" s="97">
        <f>VLOOKUP(A1570,SizeData!A$2:B$3839,2,FALSE)</f>
        <v/>
      </c>
      <c r="D1570" s="98" t="n">
        <v>4</v>
      </c>
      <c r="E1570" s="98" t="inlineStr">
        <is>
          <t>R1956061</t>
        </is>
      </c>
      <c r="F1570" s="99" t="n">
        <v>44956</v>
      </c>
      <c r="G1570" s="100" t="n"/>
    </row>
    <row r="1571" ht="16" customHeight="1">
      <c r="A1571" s="98" t="n">
        <v>20538</v>
      </c>
      <c r="B1571" s="98" t="inlineStr">
        <is>
          <t>OLD KENTUCKY TAVERN (PET)</t>
        </is>
      </c>
      <c r="C1571" s="97">
        <f>VLOOKUP(A1571,SizeData!A$2:B$3839,2,FALSE)</f>
        <v/>
      </c>
      <c r="D1571" s="98" t="n">
        <v>4</v>
      </c>
      <c r="E1571" s="98" t="inlineStr">
        <is>
          <t>R1969406</t>
        </is>
      </c>
      <c r="F1571" s="99" t="n">
        <v>44963</v>
      </c>
      <c r="G1571" s="100" t="n"/>
    </row>
    <row r="1572" ht="16" customHeight="1">
      <c r="A1572" s="98" t="n">
        <v>37996</v>
      </c>
      <c r="B1572" s="98" t="inlineStr">
        <is>
          <t>SMIRNOFF 80 PROOF VODKA</t>
        </is>
      </c>
      <c r="C1572" s="97">
        <f>VLOOKUP(A1572,SizeData!A$2:B$3839,2,FALSE)</f>
        <v/>
      </c>
      <c r="D1572" s="98" t="n">
        <v>4</v>
      </c>
      <c r="E1572" s="98" t="inlineStr">
        <is>
          <t>R1916027</t>
        </is>
      </c>
      <c r="F1572" s="99" t="n">
        <v>44914</v>
      </c>
      <c r="G1572" s="100" t="n"/>
    </row>
    <row r="1573" ht="16" customHeight="1">
      <c r="A1573" s="98" t="n">
        <v>19366</v>
      </c>
      <c r="B1573" s="98" t="inlineStr">
        <is>
          <t>OLD KENTUCKY TAVERN (PET)</t>
        </is>
      </c>
      <c r="C1573" s="97">
        <f>VLOOKUP(A1573,SizeData!A$2:B$3839,2,FALSE)</f>
        <v/>
      </c>
      <c r="D1573" s="98" t="n">
        <v>1</v>
      </c>
      <c r="E1573" s="98" t="inlineStr">
        <is>
          <t>R1987903</t>
        </is>
      </c>
      <c r="F1573" s="99" t="n">
        <v>44971</v>
      </c>
      <c r="G1573" s="100" t="n"/>
    </row>
    <row r="1574" ht="16" customHeight="1">
      <c r="A1574" s="98" t="n">
        <v>955242</v>
      </c>
      <c r="B1574" s="98" t="inlineStr">
        <is>
          <t>OLD SOUTH SWEET MAGNOLIA MUSCADINE</t>
        </is>
      </c>
      <c r="C1574" s="97">
        <f>VLOOKUP(A1574,SizeData!A$2:B$3839,2,FALSE)</f>
        <v/>
      </c>
      <c r="D1574" s="98" t="n">
        <v>1</v>
      </c>
      <c r="E1574" s="98" t="inlineStr">
        <is>
          <t>R2020005</t>
        </is>
      </c>
      <c r="F1574" s="99" t="n">
        <v>44984</v>
      </c>
      <c r="G1574" s="100" t="n"/>
    </row>
    <row r="1575" ht="16" customHeight="1">
      <c r="A1575" s="98" t="n">
        <v>955252</v>
      </c>
      <c r="B1575" s="98" t="inlineStr">
        <is>
          <t>OLD SOUTH SWEET NOBLE MUSCADINE</t>
        </is>
      </c>
      <c r="C1575" s="97">
        <f>VLOOKUP(A1575,SizeData!A$2:B$3839,2,FALSE)</f>
        <v/>
      </c>
      <c r="D1575" s="98" t="n">
        <v>1</v>
      </c>
      <c r="E1575" s="98" t="inlineStr">
        <is>
          <t>R1992599</t>
        </is>
      </c>
      <c r="F1575" s="99" t="n">
        <v>44989</v>
      </c>
      <c r="G1575" s="100" t="n"/>
    </row>
    <row r="1576" ht="16" customHeight="1">
      <c r="A1576" s="98" t="n">
        <v>77683</v>
      </c>
      <c r="B1576" s="98" t="inlineStr">
        <is>
          <t>SMIRNOFF KISSED CARAMEL FLAVORED VODKA (DSS)</t>
        </is>
      </c>
      <c r="C1576" s="97">
        <f>VLOOKUP(A1576,SizeData!A$2:B$3839,2,FALSE)</f>
        <v/>
      </c>
      <c r="D1576" s="98" t="n">
        <v>2</v>
      </c>
      <c r="E1576" s="98" t="inlineStr">
        <is>
          <t>R1903667</t>
        </is>
      </c>
      <c r="F1576" s="99" t="n">
        <v>44915</v>
      </c>
      <c r="G1576" s="100" t="n"/>
    </row>
    <row r="1577" ht="16" customHeight="1">
      <c r="A1577" s="98" t="n">
        <v>86851</v>
      </c>
      <c r="B1577" s="98" t="inlineStr">
        <is>
          <t>OLE SMOKEY BLUE FLAME TENNESSEE MOONSHINE</t>
        </is>
      </c>
      <c r="C1577" s="97">
        <f>VLOOKUP(A1577,SizeData!A$2:B$3839,2,FALSE)</f>
        <v/>
      </c>
      <c r="D1577" s="98" t="n">
        <v>1</v>
      </c>
      <c r="E1577" s="98" t="inlineStr">
        <is>
          <t>R1939504</t>
        </is>
      </c>
      <c r="F1577" s="99" t="n">
        <v>44940</v>
      </c>
      <c r="G1577" s="100" t="n"/>
    </row>
    <row r="1578" ht="16" customHeight="1">
      <c r="A1578" s="98" t="n">
        <v>78293</v>
      </c>
      <c r="B1578" s="98" t="inlineStr">
        <is>
          <t>SMIRNOFF PEACH LEMONADE</t>
        </is>
      </c>
      <c r="C1578" s="97">
        <f>VLOOKUP(A1578,SizeData!A$2:B$3839,2,FALSE)</f>
        <v/>
      </c>
      <c r="D1578" s="98" t="n">
        <v>1</v>
      </c>
      <c r="E1578" s="98" t="inlineStr">
        <is>
          <t>R1916005</t>
        </is>
      </c>
      <c r="F1578" s="99" t="n">
        <v>44911</v>
      </c>
      <c r="G1578" s="100" t="n"/>
    </row>
    <row r="1579" ht="16" customHeight="1">
      <c r="A1579" s="98" t="n">
        <v>86851</v>
      </c>
      <c r="B1579" s="98" t="inlineStr">
        <is>
          <t>OLE SMOKEY BLUE FLAME TENNESSEE MOONSHINE</t>
        </is>
      </c>
      <c r="C1579" s="97">
        <f>VLOOKUP(A1579,SizeData!A$2:B$3839,2,FALSE)</f>
        <v/>
      </c>
      <c r="D1579" s="98" t="n">
        <v>2</v>
      </c>
      <c r="E1579" s="98" t="inlineStr">
        <is>
          <t>R1994703</t>
        </is>
      </c>
      <c r="F1579" s="99" t="n">
        <v>44984</v>
      </c>
      <c r="G1579" s="100" t="n"/>
    </row>
    <row r="1580" ht="16" customHeight="1">
      <c r="A1580" s="101" t="n">
        <v>86851</v>
      </c>
      <c r="B1580" s="101" t="inlineStr">
        <is>
          <t>OLE SMOKEY BLUE FLAME TENNESSEE MOONSHINE</t>
        </is>
      </c>
      <c r="C1580" s="102">
        <f>VLOOKUP(A1580,SizeData!A$2:B$3839,2,FALSE)</f>
        <v/>
      </c>
      <c r="D1580" s="101" t="n">
        <v>1</v>
      </c>
      <c r="E1580" s="101" t="inlineStr">
        <is>
          <t>R2039682</t>
        </is>
      </c>
      <c r="F1580" s="103" t="n">
        <v>45022</v>
      </c>
      <c r="G1580" s="104" t="n"/>
    </row>
    <row r="1581" ht="16" customHeight="1">
      <c r="A1581" s="98" t="n">
        <v>80363</v>
      </c>
      <c r="B1581" s="98" t="inlineStr">
        <is>
          <t>OLE SMOKY BANANA PUDDING CREAM MOONSHINE</t>
        </is>
      </c>
      <c r="C1581" s="97">
        <f>VLOOKUP(A1581,SizeData!A$2:B$3839,2,FALSE)</f>
        <v/>
      </c>
      <c r="D1581" s="98" t="n">
        <v>1</v>
      </c>
      <c r="E1581" s="98" t="inlineStr">
        <is>
          <t>R1951380</t>
        </is>
      </c>
      <c r="F1581" s="99" t="n">
        <v>44953</v>
      </c>
      <c r="G1581" s="100" t="n"/>
    </row>
    <row r="1582" ht="16" customHeight="1">
      <c r="A1582" s="98" t="n">
        <v>80363</v>
      </c>
      <c r="B1582" s="98" t="inlineStr">
        <is>
          <t>OLE SMOKY BANANA PUDDING CREAM MOONSHINE</t>
        </is>
      </c>
      <c r="C1582" s="97">
        <f>VLOOKUP(A1582,SizeData!A$2:B$3839,2,FALSE)</f>
        <v/>
      </c>
      <c r="D1582" s="98" t="n">
        <v>2</v>
      </c>
      <c r="E1582" s="98" t="inlineStr">
        <is>
          <t>R1986107</t>
        </is>
      </c>
      <c r="F1582" s="99" t="n">
        <v>44968</v>
      </c>
      <c r="G1582" s="100" t="n"/>
    </row>
    <row r="1583" ht="16" customHeight="1">
      <c r="A1583" s="98" t="n">
        <v>80363</v>
      </c>
      <c r="B1583" s="98" t="inlineStr">
        <is>
          <t>OLE SMOKY BANANA PUDDING CREAM MOONSHINE</t>
        </is>
      </c>
      <c r="C1583" s="97">
        <f>VLOOKUP(A1583,SizeData!A$2:B$3839,2,FALSE)</f>
        <v/>
      </c>
      <c r="D1583" s="98" t="n">
        <v>2</v>
      </c>
      <c r="E1583" s="98" t="inlineStr">
        <is>
          <t>R1984929</t>
        </is>
      </c>
      <c r="F1583" s="99" t="n">
        <v>44980</v>
      </c>
      <c r="G1583" s="100" t="n"/>
    </row>
    <row r="1584" ht="16" customHeight="1">
      <c r="A1584" s="98" t="n">
        <v>80363</v>
      </c>
      <c r="B1584" s="98" t="inlineStr">
        <is>
          <t>OLE SMOKY BANANA PUDDING CREAM MOONSHINE</t>
        </is>
      </c>
      <c r="C1584" s="97">
        <f>VLOOKUP(A1584,SizeData!A$2:B$3839,2,FALSE)</f>
        <v/>
      </c>
      <c r="D1584" s="98" t="n">
        <v>2</v>
      </c>
      <c r="E1584" s="98" t="inlineStr">
        <is>
          <t>R2065393</t>
        </is>
      </c>
      <c r="F1584" s="99" t="n">
        <v>45031</v>
      </c>
      <c r="G1584" s="100" t="n"/>
    </row>
    <row r="1585" ht="16" customHeight="1">
      <c r="A1585" s="98" t="n">
        <v>87018</v>
      </c>
      <c r="B1585" s="98" t="inlineStr">
        <is>
          <t>OLE SMOKY PEACH WHISKEY 60P</t>
        </is>
      </c>
      <c r="C1585" s="97">
        <f>VLOOKUP(A1585,SizeData!A$2:B$3839,2,FALSE)</f>
        <v/>
      </c>
      <c r="D1585" s="98" t="n">
        <v>1</v>
      </c>
      <c r="E1585" s="98" t="inlineStr">
        <is>
          <t>R1971458</t>
        </is>
      </c>
      <c r="F1585" s="99" t="n">
        <v>44961</v>
      </c>
      <c r="G1585" s="100" t="n"/>
    </row>
    <row r="1586" ht="16" customHeight="1">
      <c r="A1586" s="98" t="n">
        <v>86843</v>
      </c>
      <c r="B1586" s="98" t="inlineStr">
        <is>
          <t>OLE SMOKY TENEESSEE SALTY CARAMEL WHSKEY</t>
        </is>
      </c>
      <c r="C1586" s="97">
        <f>VLOOKUP(A1586,SizeData!A$2:B$3839,2,FALSE)</f>
        <v/>
      </c>
      <c r="D1586" s="98" t="n">
        <v>1</v>
      </c>
      <c r="E1586" s="98" t="inlineStr">
        <is>
          <t>R1994703</t>
        </is>
      </c>
      <c r="F1586" s="99" t="n">
        <v>44984</v>
      </c>
      <c r="G1586" s="100" t="n"/>
    </row>
    <row r="1587" ht="16" customHeight="1">
      <c r="A1587" s="98" t="n">
        <v>77420</v>
      </c>
      <c r="B1587" s="98" t="inlineStr">
        <is>
          <t>STINKY GRINGO MARGARITA RTD</t>
        </is>
      </c>
      <c r="C1587" s="97">
        <f>VLOOKUP(A1587,SizeData!A$2:B$3839,2,FALSE)</f>
        <v/>
      </c>
      <c r="D1587" s="98" t="n">
        <v>1</v>
      </c>
      <c r="E1587" s="98" t="inlineStr">
        <is>
          <t>R1915910</t>
        </is>
      </c>
      <c r="F1587" s="99" t="n">
        <v>44910</v>
      </c>
      <c r="G1587" s="100" t="n"/>
    </row>
    <row r="1588" ht="16" customHeight="1">
      <c r="A1588" s="98" t="n">
        <v>86843</v>
      </c>
      <c r="B1588" s="98" t="inlineStr">
        <is>
          <t>OLE SMOKY TENEESSEE SALTY CARAMEL WHSKEY</t>
        </is>
      </c>
      <c r="C1588" s="97">
        <f>VLOOKUP(A1588,SizeData!A$2:B$3839,2,FALSE)</f>
        <v/>
      </c>
      <c r="D1588" s="98" t="n">
        <v>4</v>
      </c>
      <c r="E1588" s="98" t="inlineStr">
        <is>
          <t>R2070652</t>
        </is>
      </c>
      <c r="F1588" s="99" t="n">
        <v>45028</v>
      </c>
      <c r="G1588" s="100" t="n"/>
    </row>
    <row r="1589" ht="16" customHeight="1">
      <c r="A1589" s="101" t="n">
        <v>86970</v>
      </c>
      <c r="B1589" s="101" t="inlineStr">
        <is>
          <t>OLE SMOKY TENN MOONSHINE BLUE FLAME</t>
        </is>
      </c>
      <c r="C1589" s="102">
        <f>VLOOKUP(A1589,SizeData!A$2:B$3839,2,FALSE)</f>
        <v/>
      </c>
      <c r="D1589" s="101" t="n">
        <v>2</v>
      </c>
      <c r="E1589" s="101" t="inlineStr">
        <is>
          <t>R1964057</t>
        </is>
      </c>
      <c r="F1589" s="103" t="n">
        <v>44963</v>
      </c>
      <c r="G1589" s="104" t="n"/>
    </row>
    <row r="1590" ht="16" customHeight="1">
      <c r="A1590" s="98" t="n">
        <v>37063</v>
      </c>
      <c r="B1590" s="98" t="inlineStr">
        <is>
          <t>STOLI ELIT ULTRA PREMIUM VODKA</t>
        </is>
      </c>
      <c r="C1590" s="97">
        <f>VLOOKUP(A1590,SizeData!A$2:B$3839,2,FALSE)</f>
        <v/>
      </c>
      <c r="D1590" s="98" t="n">
        <v>5</v>
      </c>
      <c r="E1590" s="98" t="inlineStr">
        <is>
          <t>R1917444</t>
        </is>
      </c>
      <c r="F1590" s="99" t="n">
        <v>44922</v>
      </c>
      <c r="G1590" s="100" t="n"/>
    </row>
    <row r="1591" ht="16" customHeight="1">
      <c r="A1591" s="98" t="n">
        <v>37063</v>
      </c>
      <c r="B1591" s="98" t="inlineStr">
        <is>
          <t>STOLI ELIT ULTRA PREMIUM VODKA</t>
        </is>
      </c>
      <c r="C1591" s="97">
        <f>VLOOKUP(A1591,SizeData!A$2:B$3839,2,FALSE)</f>
        <v/>
      </c>
      <c r="D1591" s="98" t="n">
        <v>4</v>
      </c>
      <c r="E1591" s="98" t="inlineStr">
        <is>
          <t>R1917444</t>
        </is>
      </c>
      <c r="F1591" s="99" t="n">
        <v>44922</v>
      </c>
      <c r="G1591" s="100" t="n"/>
    </row>
    <row r="1592" ht="16" customHeight="1">
      <c r="A1592" s="98" t="n">
        <v>76412</v>
      </c>
      <c r="B1592" s="98" t="inlineStr">
        <is>
          <t>OLE SMOKY TENN MOONSHINE BUTTER PECAN</t>
        </is>
      </c>
      <c r="C1592" s="97">
        <f>VLOOKUP(A1592,SizeData!A$2:B$3839,2,FALSE)</f>
        <v/>
      </c>
      <c r="D1592" s="98" t="n">
        <v>1</v>
      </c>
      <c r="E1592" s="98" t="inlineStr">
        <is>
          <t>R1964057</t>
        </is>
      </c>
      <c r="F1592" s="99" t="n">
        <v>44963</v>
      </c>
      <c r="G1592" s="100" t="n"/>
    </row>
    <row r="1593" ht="16" customHeight="1">
      <c r="A1593" s="98" t="n">
        <v>76413</v>
      </c>
      <c r="B1593" s="98" t="inlineStr">
        <is>
          <t>OLE SMOKY TENN MOONSHINE BUTTER PECAN</t>
        </is>
      </c>
      <c r="C1593" s="97">
        <f>VLOOKUP(A1593,SizeData!A$2:B$3839,2,FALSE)</f>
        <v/>
      </c>
      <c r="D1593" s="98" t="n">
        <v>2</v>
      </c>
      <c r="E1593" s="98" t="inlineStr">
        <is>
          <t>R1996314</t>
        </is>
      </c>
      <c r="F1593" s="99" t="n">
        <v>44979</v>
      </c>
      <c r="G1593" s="100" t="n"/>
    </row>
    <row r="1594" ht="16" customHeight="1">
      <c r="A1594" s="98" t="n">
        <v>76413</v>
      </c>
      <c r="B1594" s="98" t="inlineStr">
        <is>
          <t>OLE SMOKY TENN MOONSHINE BUTTER PECAN</t>
        </is>
      </c>
      <c r="C1594" s="97">
        <f>VLOOKUP(A1594,SizeData!A$2:B$3839,2,FALSE)</f>
        <v/>
      </c>
      <c r="D1594" s="98" t="n">
        <v>1</v>
      </c>
      <c r="E1594" s="98" t="inlineStr">
        <is>
          <t>R1984929</t>
        </is>
      </c>
      <c r="F1594" s="99" t="n">
        <v>44980</v>
      </c>
      <c r="G1594" s="100" t="n"/>
    </row>
    <row r="1595" ht="16" customHeight="1">
      <c r="A1595" s="98" t="n">
        <v>76413</v>
      </c>
      <c r="B1595" s="98" t="inlineStr">
        <is>
          <t>OLE SMOKY TENN MOONSHINE BUTTER PECAN</t>
        </is>
      </c>
      <c r="C1595" s="97">
        <f>VLOOKUP(A1595,SizeData!A$2:B$3839,2,FALSE)</f>
        <v/>
      </c>
      <c r="D1595" s="98" t="n">
        <v>1</v>
      </c>
      <c r="E1595" s="98" t="inlineStr">
        <is>
          <t>R2022490</t>
        </is>
      </c>
      <c r="F1595" s="99" t="n">
        <v>45014</v>
      </c>
      <c r="G1595" s="100" t="n"/>
    </row>
    <row r="1596" ht="16" customHeight="1">
      <c r="A1596" s="98" t="n">
        <v>76413</v>
      </c>
      <c r="B1596" s="98" t="inlineStr">
        <is>
          <t>OLE SMOKY TENN MOONSHINE BUTTER PECAN</t>
        </is>
      </c>
      <c r="C1596" s="97">
        <f>VLOOKUP(A1596,SizeData!A$2:B$3839,2,FALSE)</f>
        <v/>
      </c>
      <c r="D1596" s="98" t="n">
        <v>1</v>
      </c>
      <c r="E1596" s="98" t="inlineStr">
        <is>
          <t>R2073309</t>
        </is>
      </c>
      <c r="F1596" s="99" t="n">
        <v>45038</v>
      </c>
      <c r="G1596" s="100" t="n"/>
    </row>
    <row r="1597" ht="16" customHeight="1">
      <c r="A1597" s="98" t="n">
        <v>78107</v>
      </c>
      <c r="B1597" s="98" t="inlineStr">
        <is>
          <t>SUGARLANDS APP BANANA PUDDING SIPPIN' CREAM</t>
        </is>
      </c>
      <c r="C1597" s="97">
        <f>VLOOKUP(A1597,SizeData!A$2:B$3839,2,FALSE)</f>
        <v/>
      </c>
      <c r="D1597" s="98" t="n">
        <v>3</v>
      </c>
      <c r="E1597" s="98" t="inlineStr">
        <is>
          <t>R1912921</t>
        </is>
      </c>
      <c r="F1597" s="99" t="n">
        <v>44915</v>
      </c>
      <c r="G1597" s="100" t="n"/>
    </row>
    <row r="1598" ht="16" customHeight="1">
      <c r="A1598" s="98" t="n">
        <v>76412</v>
      </c>
      <c r="B1598" s="98" t="inlineStr">
        <is>
          <t>OLE SMOKY TENN MOONSHINE BUTTER PECAN</t>
        </is>
      </c>
      <c r="C1598" s="97">
        <f>VLOOKUP(A1598,SizeData!A$2:B$3839,2,FALSE)</f>
        <v/>
      </c>
      <c r="D1598" s="98" t="n">
        <v>1</v>
      </c>
      <c r="E1598" s="98" t="inlineStr">
        <is>
          <t>R2086467</t>
        </is>
      </c>
      <c r="F1598" s="99" t="n">
        <v>45048</v>
      </c>
      <c r="G1598" s="100" t="n"/>
    </row>
    <row r="1599" ht="16" customHeight="1">
      <c r="A1599" s="98" t="n">
        <v>86751</v>
      </c>
      <c r="B1599" s="98" t="inlineStr">
        <is>
          <t>OLE SMOKY TENN MOONSHINE HUNCH PUNCH LGHT 80P</t>
        </is>
      </c>
      <c r="C1599" s="97">
        <f>VLOOKUP(A1599,SizeData!A$2:B$3839,2,FALSE)</f>
        <v/>
      </c>
      <c r="D1599" s="98" t="n">
        <v>2</v>
      </c>
      <c r="E1599" s="98" t="inlineStr">
        <is>
          <t>R1956061</t>
        </is>
      </c>
      <c r="F1599" s="99" t="n">
        <v>44956</v>
      </c>
      <c r="G1599" s="100" t="n"/>
    </row>
    <row r="1600" ht="16" customHeight="1">
      <c r="A1600" s="98" t="n">
        <v>86751</v>
      </c>
      <c r="B1600" s="98" t="inlineStr">
        <is>
          <t>OLE SMOKY TENN MOONSHINE HUNCH PUNCH LGHT 80P</t>
        </is>
      </c>
      <c r="C1600" s="97">
        <f>VLOOKUP(A1600,SizeData!A$2:B$3839,2,FALSE)</f>
        <v/>
      </c>
      <c r="D1600" s="98" t="n">
        <v>1</v>
      </c>
      <c r="E1600" s="98" t="inlineStr">
        <is>
          <t>R1962564</t>
        </is>
      </c>
      <c r="F1600" s="99" t="n">
        <v>44961</v>
      </c>
      <c r="G1600" s="100" t="n"/>
      <c r="H1600" s="28" t="n"/>
      <c r="I1600" s="28" t="n"/>
      <c r="J1600" s="28" t="n"/>
      <c r="K1600" s="28" t="n"/>
      <c r="L1600" s="28" t="n"/>
      <c r="M1600" s="28" t="n"/>
      <c r="N1600" s="28" t="n"/>
      <c r="O1600" s="28" t="n"/>
      <c r="P1600" s="28" t="n"/>
      <c r="Q1600" s="28" t="n"/>
      <c r="R1600" s="28" t="n"/>
      <c r="S1600" s="28" t="n"/>
      <c r="T1600" s="28" t="n"/>
    </row>
    <row r="1601" ht="16" customHeight="1">
      <c r="A1601" s="98" t="n">
        <v>86751</v>
      </c>
      <c r="B1601" s="98" t="inlineStr">
        <is>
          <t>OLE SMOKY TENN MOONSHINE HUNCH PUNCH LGHT 80P</t>
        </is>
      </c>
      <c r="C1601" s="97">
        <f>VLOOKUP(A1601,SizeData!A$2:B$3839,2,FALSE)</f>
        <v/>
      </c>
      <c r="D1601" s="98" t="n">
        <v>1</v>
      </c>
      <c r="E1601" s="98" t="inlineStr">
        <is>
          <t>R1964057</t>
        </is>
      </c>
      <c r="F1601" s="99" t="n">
        <v>44963</v>
      </c>
      <c r="G1601" s="100" t="n"/>
    </row>
    <row r="1602" ht="16" customHeight="1">
      <c r="A1602" s="98" t="n">
        <v>630815</v>
      </c>
      <c r="B1602" s="98" t="inlineStr">
        <is>
          <t>SUTTER HOME CHARDONNAY</t>
        </is>
      </c>
      <c r="C1602" s="97">
        <f>VLOOKUP(A1602,SizeData!A$2:B$3839,2,FALSE)</f>
        <v/>
      </c>
      <c r="D1602" s="98" t="n">
        <v>3</v>
      </c>
      <c r="E1602" s="98" t="inlineStr">
        <is>
          <t>R1923324</t>
        </is>
      </c>
      <c r="F1602" s="99" t="n">
        <v>44923</v>
      </c>
      <c r="G1602" s="100" t="n"/>
    </row>
    <row r="1603" ht="16" customHeight="1">
      <c r="A1603" s="98" t="n">
        <v>630815</v>
      </c>
      <c r="B1603" s="98" t="inlineStr">
        <is>
          <t>SUTTER HOME CHARDONNAY</t>
        </is>
      </c>
      <c r="C1603" s="97">
        <f>VLOOKUP(A1603,SizeData!A$2:B$3839,2,FALSE)</f>
        <v/>
      </c>
      <c r="D1603" s="98" t="n">
        <v>1</v>
      </c>
      <c r="E1603" s="98" t="inlineStr">
        <is>
          <t>R1927120</t>
        </is>
      </c>
      <c r="F1603" s="99" t="n">
        <v>44924</v>
      </c>
      <c r="G1603" s="100" t="n"/>
    </row>
    <row r="1604" ht="16" customHeight="1">
      <c r="A1604" s="98" t="n">
        <v>86753</v>
      </c>
      <c r="B1604" s="98" t="inlineStr">
        <is>
          <t>OLE SMOKY TENNESSEE MOONSHINE PEACH</t>
        </is>
      </c>
      <c r="C1604" s="97">
        <f>VLOOKUP(A1604,SizeData!A$2:B$3839,2,FALSE)</f>
        <v/>
      </c>
      <c r="D1604" s="98" t="n">
        <v>1</v>
      </c>
      <c r="E1604" s="98" t="inlineStr">
        <is>
          <t>R2032001</t>
        </is>
      </c>
      <c r="F1604" s="99" t="n">
        <v>45000</v>
      </c>
      <c r="G1604" s="100" t="n"/>
    </row>
    <row r="1605" ht="16" customHeight="1">
      <c r="A1605" s="98" t="n">
        <v>86771</v>
      </c>
      <c r="B1605" s="98" t="inlineStr">
        <is>
          <t>OLE SMOKY TENNESSEE MOONSHINE WHITE LIGHTNIN</t>
        </is>
      </c>
      <c r="C1605" s="97">
        <f>VLOOKUP(A1605,SizeData!A$2:B$3839,2,FALSE)</f>
        <v/>
      </c>
      <c r="D1605" s="98" t="n">
        <v>1</v>
      </c>
      <c r="E1605" s="98" t="inlineStr">
        <is>
          <t>R1919341</t>
        </is>
      </c>
      <c r="F1605" s="99" t="n">
        <v>44930</v>
      </c>
      <c r="G1605" s="100" t="n"/>
    </row>
    <row r="1606" ht="16" customHeight="1">
      <c r="A1606" s="98" t="n">
        <v>86771</v>
      </c>
      <c r="B1606" s="98" t="inlineStr">
        <is>
          <t>OLE SMOKY TENNESSEE MOONSHINE WHITE LIGHTNIN</t>
        </is>
      </c>
      <c r="C1606" s="97">
        <f>VLOOKUP(A1606,SizeData!A$2:B$3839,2,FALSE)</f>
        <v/>
      </c>
      <c r="D1606" s="98" t="n">
        <v>2</v>
      </c>
      <c r="E1606" s="98" t="inlineStr">
        <is>
          <t>R2083415</t>
        </is>
      </c>
      <c r="F1606" s="99" t="n">
        <v>45048</v>
      </c>
      <c r="G1606" s="100" t="n"/>
    </row>
    <row r="1607" ht="16" customHeight="1">
      <c r="A1607" s="98" t="n">
        <v>87043</v>
      </c>
      <c r="B1607" s="98" t="inlineStr">
        <is>
          <t>OLE SMOKY TENNESSEE PEANUT BUTTER WHISKEY</t>
        </is>
      </c>
      <c r="C1607" s="97">
        <f>VLOOKUP(A1607,SizeData!A$2:B$3839,2,FALSE)</f>
        <v/>
      </c>
      <c r="D1607" s="98" t="n">
        <v>1</v>
      </c>
      <c r="E1607" s="98" t="inlineStr">
        <is>
          <t>R1971458</t>
        </is>
      </c>
      <c r="F1607" s="99" t="n">
        <v>44961</v>
      </c>
      <c r="G1607" s="100" t="n"/>
    </row>
    <row r="1608" ht="16" customHeight="1">
      <c r="A1608" s="98" t="n">
        <v>80365</v>
      </c>
      <c r="B1608" s="98" t="inlineStr">
        <is>
          <t>OLE SMOKY WHITE CHOCOLATE STRAWBERRY MOONSHINE</t>
        </is>
      </c>
      <c r="C1608" s="97">
        <f>VLOOKUP(A1608,SizeData!A$2:B$3839,2,FALSE)</f>
        <v/>
      </c>
      <c r="D1608" s="98" t="n">
        <v>1</v>
      </c>
      <c r="E1608" s="98" t="inlineStr">
        <is>
          <t>R1996314</t>
        </is>
      </c>
      <c r="F1608" s="99" t="n">
        <v>44979</v>
      </c>
      <c r="G1608" s="100" t="n"/>
    </row>
    <row r="1609" ht="16" customHeight="1">
      <c r="A1609" s="101" t="n">
        <v>80365</v>
      </c>
      <c r="B1609" s="101" t="inlineStr">
        <is>
          <t>OLE SMOKY WHITE CHOCOLATE STRAWBERRY MOONSHINE</t>
        </is>
      </c>
      <c r="C1609" s="102">
        <f>VLOOKUP(A1609,SizeData!A$2:B$3839,2,FALSE)</f>
        <v/>
      </c>
      <c r="D1609" s="101" t="n">
        <v>4</v>
      </c>
      <c r="E1609" s="101" t="inlineStr">
        <is>
          <t>R2022490</t>
        </is>
      </c>
      <c r="F1609" s="103" t="n">
        <v>45014</v>
      </c>
      <c r="G1609" s="104" t="n"/>
    </row>
    <row r="1610" ht="16" customHeight="1">
      <c r="A1610" s="98" t="n">
        <v>88189</v>
      </c>
      <c r="B1610" s="98" t="inlineStr">
        <is>
          <t>OLMECA ALTOS PLATA</t>
        </is>
      </c>
      <c r="C1610" s="97">
        <f>VLOOKUP(A1610,SizeData!A$2:B$3839,2,FALSE)</f>
        <v/>
      </c>
      <c r="D1610" s="98" t="n">
        <v>1</v>
      </c>
      <c r="E1610" s="98" t="inlineStr">
        <is>
          <t>R1983449</t>
        </is>
      </c>
      <c r="F1610" s="99" t="n">
        <v>44978</v>
      </c>
      <c r="G1610" s="100" t="n"/>
    </row>
    <row r="1611" ht="16" customHeight="1">
      <c r="A1611" s="98" t="n">
        <v>88186</v>
      </c>
      <c r="B1611" s="98" t="inlineStr">
        <is>
          <t>OLMECA ALTOS PLATA</t>
        </is>
      </c>
      <c r="C1611" s="97">
        <f>VLOOKUP(A1611,SizeData!A$2:B$3839,2,FALSE)</f>
        <v/>
      </c>
      <c r="D1611" s="98" t="n">
        <v>10</v>
      </c>
      <c r="E1611" s="98" t="inlineStr">
        <is>
          <t>R2003146</t>
        </is>
      </c>
      <c r="F1611" s="99" t="n">
        <v>44987</v>
      </c>
      <c r="G1611" s="100" t="n"/>
    </row>
    <row r="1612" ht="16" customHeight="1">
      <c r="A1612" s="98" t="n">
        <v>88189</v>
      </c>
      <c r="B1612" s="98" t="inlineStr">
        <is>
          <t>OLMECA ALTOS PLATA</t>
        </is>
      </c>
      <c r="C1612" s="97">
        <f>VLOOKUP(A1612,SizeData!A$2:B$3839,2,FALSE)</f>
        <v/>
      </c>
      <c r="D1612" s="98" t="n">
        <v>1</v>
      </c>
      <c r="E1612" s="98" t="inlineStr">
        <is>
          <t>R2049198</t>
        </is>
      </c>
      <c r="F1612" s="99" t="n">
        <v>45028</v>
      </c>
      <c r="G1612" s="100" t="n"/>
    </row>
    <row r="1613" ht="16" customHeight="1">
      <c r="A1613" s="98" t="n">
        <v>89610</v>
      </c>
      <c r="B1613" s="98" t="inlineStr">
        <is>
          <t>OLMECA ALTOS REPOSADO</t>
        </is>
      </c>
      <c r="C1613" s="97">
        <f>VLOOKUP(A1613,SizeData!A$2:B$3839,2,FALSE)</f>
        <v/>
      </c>
      <c r="D1613" s="98" t="n">
        <v>1</v>
      </c>
      <c r="E1613" s="98" t="inlineStr">
        <is>
          <t>R1995710</t>
        </is>
      </c>
      <c r="F1613" s="99" t="n">
        <v>44970</v>
      </c>
      <c r="G1613" s="100" t="n"/>
    </row>
    <row r="1614" ht="16" customHeight="1">
      <c r="A1614" s="98" t="n">
        <v>89610</v>
      </c>
      <c r="B1614" s="98" t="inlineStr">
        <is>
          <t>OLMECA ALTOS REPOSADO</t>
        </is>
      </c>
      <c r="C1614" s="97">
        <f>VLOOKUP(A1614,SizeData!A$2:B$3839,2,FALSE)</f>
        <v/>
      </c>
      <c r="D1614" s="98" t="n">
        <v>1</v>
      </c>
      <c r="E1614" s="98" t="inlineStr">
        <is>
          <t>R2030138</t>
        </is>
      </c>
      <c r="F1614" s="99" t="n">
        <v>44986</v>
      </c>
      <c r="G1614" s="100" t="n"/>
    </row>
    <row r="1615" ht="16" customHeight="1">
      <c r="A1615" s="98" t="n">
        <v>89610</v>
      </c>
      <c r="B1615" s="98" t="inlineStr">
        <is>
          <t>OLMECA ALTOS REPOSADO</t>
        </is>
      </c>
      <c r="C1615" s="97">
        <f>VLOOKUP(A1615,SizeData!A$2:B$3839,2,FALSE)</f>
        <v/>
      </c>
      <c r="D1615" s="98" t="n">
        <v>8</v>
      </c>
      <c r="E1615" s="98" t="inlineStr">
        <is>
          <t>R2003146</t>
        </is>
      </c>
      <c r="F1615" s="99" t="n">
        <v>44987</v>
      </c>
      <c r="G1615" s="100" t="n"/>
    </row>
    <row r="1616" ht="16" customHeight="1">
      <c r="A1616" s="98" t="n">
        <v>88255</v>
      </c>
      <c r="B1616" s="98" t="inlineStr">
        <is>
          <t>OLMECA ALTOS REPOSADO</t>
        </is>
      </c>
      <c r="C1616" s="97">
        <f>VLOOKUP(A1616,SizeData!A$2:B$3839,2,FALSE)</f>
        <v/>
      </c>
      <c r="D1616" s="98" t="n">
        <v>1</v>
      </c>
      <c r="E1616" s="98" t="inlineStr">
        <is>
          <t>R2049198</t>
        </is>
      </c>
      <c r="F1616" s="99" t="n">
        <v>45028</v>
      </c>
      <c r="G1616" s="100" t="n"/>
    </row>
    <row r="1617" ht="16" customHeight="1">
      <c r="A1617" s="98" t="n">
        <v>425542</v>
      </c>
      <c r="B1617" s="98" t="inlineStr">
        <is>
          <t>SUTTER HOME MOSCATO</t>
        </is>
      </c>
      <c r="C1617" s="97">
        <f>VLOOKUP(A1617,SizeData!A$2:B$3839,2,FALSE)</f>
        <v/>
      </c>
      <c r="D1617" s="98" t="n">
        <v>2</v>
      </c>
      <c r="E1617" s="98" t="inlineStr">
        <is>
          <t>R1903667</t>
        </is>
      </c>
      <c r="F1617" s="99" t="n">
        <v>44915</v>
      </c>
      <c r="G1617" s="100" t="n"/>
    </row>
    <row r="1618" ht="16" customHeight="1">
      <c r="A1618" s="98" t="n">
        <v>425542</v>
      </c>
      <c r="B1618" s="98" t="inlineStr">
        <is>
          <t>SUTTER HOME MOSCATO</t>
        </is>
      </c>
      <c r="C1618" s="97">
        <f>VLOOKUP(A1618,SizeData!A$2:B$3839,2,FALSE)</f>
        <v/>
      </c>
      <c r="D1618" s="98" t="n">
        <v>1</v>
      </c>
      <c r="E1618" s="98" t="inlineStr">
        <is>
          <t>R1927120</t>
        </is>
      </c>
      <c r="F1618" s="99" t="n">
        <v>44924</v>
      </c>
      <c r="G1618" s="100" t="n"/>
    </row>
    <row r="1619" ht="16" customHeight="1">
      <c r="A1619" s="101" t="n">
        <v>63131</v>
      </c>
      <c r="B1619" s="101" t="inlineStr">
        <is>
          <t>ON THE ROCKS CRUZAN DAIQUIRI</t>
        </is>
      </c>
      <c r="C1619" s="102">
        <f>VLOOKUP(A1619,SizeData!A$2:B$3839,2,FALSE)</f>
        <v/>
      </c>
      <c r="D1619" s="101" t="n">
        <v>2</v>
      </c>
      <c r="E1619" s="101" t="inlineStr">
        <is>
          <t>R1986107</t>
        </is>
      </c>
      <c r="F1619" s="103" t="n">
        <v>44968</v>
      </c>
      <c r="G1619" s="104" t="n"/>
    </row>
    <row r="1620" ht="16" customHeight="1">
      <c r="A1620" s="98" t="n">
        <v>76478</v>
      </c>
      <c r="B1620" s="98" t="inlineStr">
        <is>
          <t>PAMA POMEGRANATE LIQUEUR</t>
        </is>
      </c>
      <c r="C1620" s="97">
        <f>VLOOKUP(A1620,SizeData!A$2:B$3839,2,FALSE)</f>
        <v/>
      </c>
      <c r="D1620" s="98" t="n">
        <v>1</v>
      </c>
      <c r="E1620" s="98" t="inlineStr">
        <is>
          <t>R2020005</t>
        </is>
      </c>
      <c r="F1620" s="99" t="n">
        <v>44984</v>
      </c>
      <c r="G1620" s="100" t="n"/>
    </row>
    <row r="1621" ht="16" customHeight="1">
      <c r="A1621" s="98" t="n">
        <v>89644</v>
      </c>
      <c r="B1621" s="98" t="inlineStr">
        <is>
          <t>PATRON ANEJO TEQUILA</t>
        </is>
      </c>
      <c r="C1621" s="97">
        <f>VLOOKUP(A1621,SizeData!A$2:B$3839,2,FALSE)</f>
        <v/>
      </c>
      <c r="D1621" s="98" t="n">
        <v>25</v>
      </c>
      <c r="E1621" s="98" t="inlineStr">
        <is>
          <t>R1921160</t>
        </is>
      </c>
      <c r="F1621" s="99" t="n">
        <v>44927</v>
      </c>
      <c r="G1621" s="100" t="n"/>
    </row>
    <row r="1622" ht="16" customHeight="1">
      <c r="A1622" s="98" t="n">
        <v>88239</v>
      </c>
      <c r="B1622" s="98" t="inlineStr">
        <is>
          <t>PATRON ANEJO TEQUILA</t>
        </is>
      </c>
      <c r="C1622" s="97">
        <f>VLOOKUP(A1622,SizeData!A$2:B$3839,2,FALSE)</f>
        <v/>
      </c>
      <c r="D1622" s="98" t="n">
        <v>1</v>
      </c>
      <c r="E1622" s="98" t="inlineStr">
        <is>
          <t>R2067106</t>
        </is>
      </c>
      <c r="F1622" s="99" t="n">
        <v>45028</v>
      </c>
      <c r="G1622" s="100" t="n"/>
    </row>
    <row r="1623" ht="16" customHeight="1">
      <c r="A1623" s="98" t="n">
        <v>64352</v>
      </c>
      <c r="B1623" s="98" t="inlineStr">
        <is>
          <t>PATRON CITRONGE ORANGE LIQUEUR</t>
        </is>
      </c>
      <c r="C1623" s="97">
        <f>VLOOKUP(A1623,SizeData!A$2:B$3839,2,FALSE)</f>
        <v/>
      </c>
      <c r="D1623" s="98" t="n">
        <v>1</v>
      </c>
      <c r="E1623" s="98" t="inlineStr">
        <is>
          <t>R1976594</t>
        </is>
      </c>
      <c r="F1623" s="99" t="n">
        <v>44980</v>
      </c>
      <c r="G1623" s="100" t="n"/>
    </row>
    <row r="1624" ht="16" customHeight="1">
      <c r="A1624" s="98" t="n">
        <v>89624</v>
      </c>
      <c r="B1624" s="98" t="inlineStr">
        <is>
          <t>PATRON REPOSADO TEQUILA</t>
        </is>
      </c>
      <c r="C1624" s="97">
        <f>VLOOKUP(A1624,SizeData!A$2:B$3839,2,FALSE)</f>
        <v/>
      </c>
      <c r="D1624" s="98" t="n">
        <v>19</v>
      </c>
      <c r="E1624" s="98" t="inlineStr">
        <is>
          <t>R1925848</t>
        </is>
      </c>
      <c r="F1624" s="99" t="n">
        <v>44927</v>
      </c>
      <c r="G1624" s="100" t="n"/>
    </row>
    <row r="1625" ht="16" customHeight="1">
      <c r="A1625" s="98" t="n">
        <v>88298</v>
      </c>
      <c r="B1625" s="98" t="inlineStr">
        <is>
          <t>PATRON SILVER TEQUILA</t>
        </is>
      </c>
      <c r="C1625" s="97">
        <f>VLOOKUP(A1625,SizeData!A$2:B$3839,2,FALSE)</f>
        <v/>
      </c>
      <c r="D1625" s="98" t="n">
        <v>4</v>
      </c>
      <c r="E1625" s="98" t="inlineStr">
        <is>
          <t>R1970895</t>
        </is>
      </c>
      <c r="F1625" s="99" t="n">
        <v>44961</v>
      </c>
      <c r="G1625" s="100" t="n"/>
    </row>
    <row r="1626" ht="16" customHeight="1">
      <c r="A1626" s="101" t="n">
        <v>88298</v>
      </c>
      <c r="B1626" s="101" t="inlineStr">
        <is>
          <t>PATRON SILVER TEQUILA</t>
        </is>
      </c>
      <c r="C1626" s="102">
        <f>VLOOKUP(A1626,SizeData!A$2:B$3839,2,FALSE)</f>
        <v/>
      </c>
      <c r="D1626" s="101" t="n">
        <v>2</v>
      </c>
      <c r="E1626" s="101" t="inlineStr">
        <is>
          <t>R2028718</t>
        </is>
      </c>
      <c r="F1626" s="103" t="n">
        <v>45008</v>
      </c>
      <c r="G1626" s="104" t="n"/>
    </row>
    <row r="1627" ht="16" customHeight="1">
      <c r="A1627" s="98" t="n">
        <v>683324</v>
      </c>
      <c r="B1627" s="98" t="inlineStr">
        <is>
          <t>SUTTER HOME PINK MOSCATO CALIFORNIA</t>
        </is>
      </c>
      <c r="C1627" s="97">
        <f>VLOOKUP(A1627,SizeData!A$2:B$3839,2,FALSE)</f>
        <v/>
      </c>
      <c r="D1627" s="98" t="n">
        <v>2</v>
      </c>
      <c r="E1627" s="98" t="n"/>
      <c r="F1627" s="99" t="n"/>
      <c r="G1627" s="100" t="n"/>
    </row>
    <row r="1628" ht="16" customHeight="1">
      <c r="A1628" s="98" t="n">
        <v>88298</v>
      </c>
      <c r="B1628" s="98" t="inlineStr">
        <is>
          <t>PATRON SILVER TEQUILA</t>
        </is>
      </c>
      <c r="C1628" s="97">
        <f>VLOOKUP(A1628,SizeData!A$2:B$3839,2,FALSE)</f>
        <v/>
      </c>
      <c r="D1628" s="98" t="n">
        <v>1</v>
      </c>
      <c r="E1628" s="98" t="inlineStr">
        <is>
          <t>R2028888</t>
        </is>
      </c>
      <c r="F1628" s="99" t="n">
        <v>45015</v>
      </c>
      <c r="G1628" s="100" t="n"/>
    </row>
    <row r="1629" ht="16" customHeight="1">
      <c r="A1629" s="101" t="n">
        <v>88298</v>
      </c>
      <c r="B1629" s="101" t="inlineStr">
        <is>
          <t>PATRON SILVER TEQUILA</t>
        </is>
      </c>
      <c r="C1629" s="102">
        <f>VLOOKUP(A1629,SizeData!A$2:B$3839,2,FALSE)</f>
        <v/>
      </c>
      <c r="D1629" s="101" t="n">
        <v>2</v>
      </c>
      <c r="E1629" s="101" t="inlineStr">
        <is>
          <t>R2065393</t>
        </is>
      </c>
      <c r="F1629" s="103" t="n">
        <v>45031</v>
      </c>
      <c r="G1629" s="104" t="n"/>
    </row>
    <row r="1630" ht="16" customHeight="1">
      <c r="A1630" s="98" t="n">
        <v>88285</v>
      </c>
      <c r="B1630" s="98" t="inlineStr">
        <is>
          <t>PATRON SILVER TEQUILA</t>
        </is>
      </c>
      <c r="C1630" s="97">
        <f>VLOOKUP(A1630,SizeData!A$2:B$3839,2,FALSE)</f>
        <v/>
      </c>
      <c r="D1630" s="98" t="n">
        <v>10</v>
      </c>
      <c r="E1630" s="98" t="inlineStr">
        <is>
          <t>R2035353</t>
        </is>
      </c>
      <c r="F1630" s="99" t="n">
        <v>45007</v>
      </c>
      <c r="G1630" s="100" t="n"/>
    </row>
    <row r="1631" ht="16" customHeight="1">
      <c r="A1631" s="98" t="n">
        <v>88294</v>
      </c>
      <c r="B1631" s="98" t="inlineStr">
        <is>
          <t>PATRON SILVER TEQUILA</t>
        </is>
      </c>
      <c r="C1631" s="97">
        <f>VLOOKUP(A1631,SizeData!A$2:B$3839,2,FALSE)</f>
        <v/>
      </c>
      <c r="D1631" s="98" t="n">
        <v>5</v>
      </c>
      <c r="E1631" s="98" t="inlineStr">
        <is>
          <t>R2006224</t>
        </is>
      </c>
      <c r="F1631" s="99" t="n">
        <v>44986</v>
      </c>
      <c r="G1631" s="100" t="n"/>
    </row>
    <row r="1632" ht="16" customHeight="1">
      <c r="A1632" s="98" t="n">
        <v>88294</v>
      </c>
      <c r="B1632" s="98" t="inlineStr">
        <is>
          <t>PATRON SILVER TEQUILA</t>
        </is>
      </c>
      <c r="C1632" s="97">
        <f>VLOOKUP(A1632,SizeData!A$2:B$3839,2,FALSE)</f>
        <v/>
      </c>
      <c r="D1632" s="98" t="n">
        <v>3</v>
      </c>
      <c r="E1632" s="98" t="inlineStr">
        <is>
          <t>R2012784</t>
        </is>
      </c>
      <c r="F1632" s="99" t="n">
        <v>44992</v>
      </c>
      <c r="G1632" s="100" t="n"/>
    </row>
    <row r="1633" ht="16" customHeight="1">
      <c r="A1633" s="98" t="n">
        <v>88294</v>
      </c>
      <c r="B1633" s="98" t="inlineStr">
        <is>
          <t>PATRON SILVER TEQUILA</t>
        </is>
      </c>
      <c r="C1633" s="97">
        <f>VLOOKUP(A1633,SizeData!A$2:B$3839,2,FALSE)</f>
        <v/>
      </c>
      <c r="D1633" s="98" t="n">
        <v>2</v>
      </c>
      <c r="E1633" s="98" t="inlineStr">
        <is>
          <t>R2020736</t>
        </is>
      </c>
      <c r="F1633" s="99" t="n">
        <v>44998</v>
      </c>
      <c r="G1633" s="100" t="n"/>
    </row>
    <row r="1634" ht="16" customHeight="1">
      <c r="A1634" s="98" t="n">
        <v>88294</v>
      </c>
      <c r="B1634" s="98" t="inlineStr">
        <is>
          <t>PATRON SILVER TEQUILA</t>
        </is>
      </c>
      <c r="C1634" s="97">
        <f>VLOOKUP(A1634,SizeData!A$2:B$3839,2,FALSE)</f>
        <v/>
      </c>
      <c r="D1634" s="98" t="n">
        <v>2</v>
      </c>
      <c r="E1634" s="98" t="inlineStr">
        <is>
          <t>R2020651</t>
        </is>
      </c>
      <c r="F1634" s="99" t="n">
        <v>45000</v>
      </c>
      <c r="G1634" s="100" t="n"/>
    </row>
    <row r="1635" ht="16" customHeight="1">
      <c r="A1635" s="98" t="n">
        <v>88294</v>
      </c>
      <c r="B1635" s="98" t="inlineStr">
        <is>
          <t>PATRON SILVER TEQUILA</t>
        </is>
      </c>
      <c r="C1635" s="97">
        <f>VLOOKUP(A1635,SizeData!A$2:B$3839,2,FALSE)</f>
        <v/>
      </c>
      <c r="D1635" s="98" t="n">
        <v>5</v>
      </c>
      <c r="E1635" s="98" t="inlineStr">
        <is>
          <t>R2035300</t>
        </is>
      </c>
      <c r="F1635" s="99" t="n">
        <v>45010</v>
      </c>
      <c r="G1635" s="100" t="n"/>
    </row>
    <row r="1636" ht="16" customHeight="1">
      <c r="A1636" s="98" t="n">
        <v>88294</v>
      </c>
      <c r="B1636" s="98" t="inlineStr">
        <is>
          <t>PATRON SILVER TEQUILA</t>
        </is>
      </c>
      <c r="C1636" s="97">
        <f>VLOOKUP(A1636,SizeData!A$2:B$3839,2,FALSE)</f>
        <v/>
      </c>
      <c r="D1636" s="98" t="n">
        <v>5</v>
      </c>
      <c r="E1636" s="98" t="inlineStr">
        <is>
          <t>R2048252</t>
        </is>
      </c>
      <c r="F1636" s="99" t="n">
        <v>45021</v>
      </c>
      <c r="G1636" s="100" t="n"/>
    </row>
    <row r="1637" ht="16" customHeight="1">
      <c r="A1637" s="101" t="n">
        <v>88294</v>
      </c>
      <c r="B1637" s="101" t="inlineStr">
        <is>
          <t>PATRON SILVER TEQUILA</t>
        </is>
      </c>
      <c r="C1637" s="102">
        <f>VLOOKUP(A1637,SizeData!A$2:B$3839,2,FALSE)</f>
        <v/>
      </c>
      <c r="D1637" s="101" t="n">
        <v>1</v>
      </c>
      <c r="E1637" s="101" t="inlineStr">
        <is>
          <t>R2048252</t>
        </is>
      </c>
      <c r="F1637" s="103" t="n">
        <v>45021</v>
      </c>
      <c r="G1637" s="104" t="n"/>
    </row>
    <row r="1638" ht="16" customHeight="1">
      <c r="A1638" s="98" t="n">
        <v>683345</v>
      </c>
      <c r="B1638" s="98" t="inlineStr">
        <is>
          <t>SUTTER HOME WHITE MERLOT</t>
        </is>
      </c>
      <c r="C1638" s="97">
        <f>VLOOKUP(A1638,SizeData!A$2:B$3839,2,FALSE)</f>
        <v/>
      </c>
      <c r="D1638" s="98" t="n">
        <v>1</v>
      </c>
      <c r="E1638" s="98" t="inlineStr">
        <is>
          <t>R1927120</t>
        </is>
      </c>
      <c r="F1638" s="99" t="n">
        <v>44924</v>
      </c>
      <c r="G1638" s="100" t="n"/>
    </row>
    <row r="1639" ht="16" customHeight="1">
      <c r="A1639" s="98" t="n">
        <v>88294</v>
      </c>
      <c r="B1639" s="98" t="inlineStr">
        <is>
          <t>PATRON SILVER TEQUILA</t>
        </is>
      </c>
      <c r="C1639" s="97">
        <f>VLOOKUP(A1639,SizeData!A$2:B$3839,2,FALSE)</f>
        <v/>
      </c>
      <c r="D1639" s="98" t="n">
        <v>3</v>
      </c>
      <c r="E1639" s="98" t="inlineStr">
        <is>
          <t>R2061586</t>
        </is>
      </c>
      <c r="F1639" s="99" t="n">
        <v>45029</v>
      </c>
      <c r="G1639" s="100" t="n"/>
    </row>
    <row r="1640" ht="16" customHeight="1">
      <c r="A1640" s="98" t="n">
        <v>88294</v>
      </c>
      <c r="B1640" s="98" t="inlineStr">
        <is>
          <t>PATRON SILVER TEQUILA</t>
        </is>
      </c>
      <c r="C1640" s="97">
        <f>VLOOKUP(A1640,SizeData!A$2:B$3839,2,FALSE)</f>
        <v/>
      </c>
      <c r="D1640" s="98" t="n">
        <v>3</v>
      </c>
      <c r="E1640" s="98" t="inlineStr">
        <is>
          <t>R2065393</t>
        </is>
      </c>
      <c r="F1640" s="99" t="n">
        <v>45031</v>
      </c>
      <c r="G1640" s="100" t="n"/>
    </row>
    <row r="1641" ht="16" customHeight="1">
      <c r="A1641" s="98" t="n">
        <v>88294</v>
      </c>
      <c r="B1641" s="98" t="inlineStr">
        <is>
          <t>PATRON SILVER TEQUILA</t>
        </is>
      </c>
      <c r="C1641" s="97">
        <f>VLOOKUP(A1641,SizeData!A$2:B$3839,2,FALSE)</f>
        <v/>
      </c>
      <c r="D1641" s="98" t="n">
        <v>2</v>
      </c>
      <c r="E1641" s="98" t="inlineStr">
        <is>
          <t>R2072241</t>
        </is>
      </c>
      <c r="F1641" s="99" t="n">
        <v>45035</v>
      </c>
      <c r="G1641" s="100" t="n"/>
    </row>
    <row r="1642" ht="16" customHeight="1">
      <c r="A1642" s="98" t="n">
        <v>88294</v>
      </c>
      <c r="B1642" s="98" t="inlineStr">
        <is>
          <t>PATRON SILVER TEQUILA</t>
        </is>
      </c>
      <c r="C1642" s="97">
        <f>VLOOKUP(A1642,SizeData!A$2:B$3839,2,FALSE)</f>
        <v/>
      </c>
      <c r="D1642" s="98" t="n">
        <v>4</v>
      </c>
      <c r="E1642" s="98" t="inlineStr">
        <is>
          <t>R2074828</t>
        </is>
      </c>
      <c r="F1642" s="99" t="n">
        <v>45045</v>
      </c>
      <c r="G1642" s="100" t="n"/>
    </row>
    <row r="1643" ht="16" customHeight="1">
      <c r="A1643" s="98" t="n">
        <v>88291</v>
      </c>
      <c r="B1643" s="98" t="inlineStr">
        <is>
          <t>PATRON SILVER TEQUILA</t>
        </is>
      </c>
      <c r="C1643" s="97">
        <f>VLOOKUP(A1643,SizeData!A$2:B$3839,2,FALSE)</f>
        <v/>
      </c>
      <c r="D1643" s="98" t="n">
        <v>3</v>
      </c>
      <c r="E1643" s="98" t="inlineStr">
        <is>
          <t>R2028718</t>
        </is>
      </c>
      <c r="F1643" s="99" t="n">
        <v>45008</v>
      </c>
      <c r="G1643" s="100" t="n"/>
    </row>
    <row r="1644" ht="16" customHeight="1">
      <c r="A1644" s="98" t="n">
        <v>88296</v>
      </c>
      <c r="B1644" s="98" t="inlineStr">
        <is>
          <t>PATRON SILVER TEQUILA</t>
        </is>
      </c>
      <c r="C1644" s="97">
        <f>VLOOKUP(A1644,SizeData!A$2:B$3839,2,FALSE)</f>
        <v/>
      </c>
      <c r="D1644" s="98" t="n">
        <v>5</v>
      </c>
      <c r="E1644" s="98" t="inlineStr">
        <is>
          <t>R2005763</t>
        </is>
      </c>
      <c r="F1644" s="99" t="n">
        <v>44989</v>
      </c>
      <c r="G1644" s="100" t="n"/>
    </row>
    <row r="1645" ht="16" customHeight="1">
      <c r="A1645" s="98" t="n">
        <v>88296</v>
      </c>
      <c r="B1645" s="98" t="inlineStr">
        <is>
          <t>PATRON SILVER TEQUILA</t>
        </is>
      </c>
      <c r="C1645" s="97">
        <f>VLOOKUP(A1645,SizeData!A$2:B$3839,2,FALSE)</f>
        <v/>
      </c>
      <c r="D1645" s="98" t="n">
        <v>2</v>
      </c>
      <c r="E1645" s="98" t="inlineStr">
        <is>
          <t>R2020651</t>
        </is>
      </c>
      <c r="F1645" s="99" t="n">
        <v>45000</v>
      </c>
      <c r="G1645" s="100" t="n"/>
    </row>
    <row r="1646" ht="16" customHeight="1">
      <c r="A1646" s="98" t="n">
        <v>88296</v>
      </c>
      <c r="B1646" s="98" t="inlineStr">
        <is>
          <t>PATRON SILVER TEQUILA</t>
        </is>
      </c>
      <c r="C1646" s="97">
        <f>VLOOKUP(A1646,SizeData!A$2:B$3839,2,FALSE)</f>
        <v/>
      </c>
      <c r="D1646" s="98" t="n">
        <v>5</v>
      </c>
      <c r="E1646" s="98" t="inlineStr">
        <is>
          <t>R2035300</t>
        </is>
      </c>
      <c r="F1646" s="99" t="n">
        <v>45010</v>
      </c>
      <c r="G1646" s="100" t="n"/>
    </row>
    <row r="1647" ht="16" customHeight="1">
      <c r="A1647" s="98" t="n">
        <v>88296</v>
      </c>
      <c r="B1647" s="98" t="inlineStr">
        <is>
          <t>PATRON SILVER TEQUILA</t>
        </is>
      </c>
      <c r="C1647" s="97">
        <f>VLOOKUP(A1647,SizeData!A$2:B$3839,2,FALSE)</f>
        <v/>
      </c>
      <c r="D1647" s="98" t="n">
        <v>5</v>
      </c>
      <c r="E1647" s="98" t="inlineStr">
        <is>
          <t>R2049507</t>
        </is>
      </c>
      <c r="F1647" s="99" t="n">
        <v>45019</v>
      </c>
      <c r="G1647" s="100" t="n"/>
    </row>
    <row r="1648" ht="16" customHeight="1">
      <c r="A1648" s="98" t="n">
        <v>34821</v>
      </c>
      <c r="B1648" s="98" t="inlineStr">
        <is>
          <t>SVEDKA SWEDISH VODKA</t>
        </is>
      </c>
      <c r="C1648" s="97">
        <f>VLOOKUP(A1648,SizeData!A$2:B$3839,2,FALSE)</f>
        <v/>
      </c>
      <c r="D1648" s="98" t="n">
        <v>1</v>
      </c>
      <c r="E1648" s="98" t="inlineStr">
        <is>
          <t>R1904538</t>
        </is>
      </c>
      <c r="F1648" s="99" t="n">
        <v>44917</v>
      </c>
      <c r="G1648" s="100" t="n"/>
    </row>
    <row r="1649" ht="16" customHeight="1">
      <c r="A1649" s="98" t="n">
        <v>34821</v>
      </c>
      <c r="B1649" s="98" t="inlineStr">
        <is>
          <t>SVEDKA SWEDISH VODKA</t>
        </is>
      </c>
      <c r="C1649" s="97">
        <f>VLOOKUP(A1649,SizeData!A$2:B$3839,2,FALSE)</f>
        <v/>
      </c>
      <c r="D1649" s="98" t="n">
        <v>1</v>
      </c>
      <c r="E1649" s="98" t="inlineStr">
        <is>
          <t>R1904538</t>
        </is>
      </c>
      <c r="F1649" s="99" t="n">
        <v>44917</v>
      </c>
      <c r="G1649" s="100" t="n"/>
    </row>
    <row r="1650" ht="16" customHeight="1">
      <c r="A1650" s="98" t="n">
        <v>88296</v>
      </c>
      <c r="B1650" s="98" t="inlineStr">
        <is>
          <t>PATRON SILVER TEQUILA</t>
        </is>
      </c>
      <c r="C1650" s="97">
        <f>VLOOKUP(A1650,SizeData!A$2:B$3839,2,FALSE)</f>
        <v/>
      </c>
      <c r="D1650" s="98" t="n">
        <v>1</v>
      </c>
      <c r="E1650" s="98" t="inlineStr">
        <is>
          <t>R2062305</t>
        </is>
      </c>
      <c r="F1650" s="99" t="n">
        <v>45024</v>
      </c>
      <c r="G1650" s="100" t="n"/>
    </row>
    <row r="1651" ht="16" customHeight="1">
      <c r="A1651" s="98" t="n">
        <v>513645</v>
      </c>
      <c r="B1651" s="98" t="inlineStr">
        <is>
          <t>SWEET BITCH MERLOT</t>
        </is>
      </c>
      <c r="C1651" s="97">
        <f>VLOOKUP(A1651,SizeData!A$2:B$3839,2,FALSE)</f>
        <v/>
      </c>
      <c r="D1651" s="98" t="n">
        <v>1</v>
      </c>
      <c r="E1651" s="98" t="inlineStr">
        <is>
          <t>R1908206</t>
        </is>
      </c>
      <c r="F1651" s="99" t="n">
        <v>44908</v>
      </c>
      <c r="G1651" s="100" t="n"/>
    </row>
    <row r="1652" ht="16" customHeight="1">
      <c r="A1652" s="98" t="n">
        <v>88296</v>
      </c>
      <c r="B1652" s="98" t="inlineStr">
        <is>
          <t>PATRON SILVER TEQUILA</t>
        </is>
      </c>
      <c r="C1652" s="97">
        <f>VLOOKUP(A1652,SizeData!A$2:B$3839,2,FALSE)</f>
        <v/>
      </c>
      <c r="D1652" s="98" t="n">
        <v>2</v>
      </c>
      <c r="E1652" s="98" t="inlineStr">
        <is>
          <t>R2083415</t>
        </is>
      </c>
      <c r="F1652" s="99" t="n">
        <v>45048</v>
      </c>
      <c r="G1652" s="100" t="n"/>
    </row>
    <row r="1653" ht="16" customHeight="1">
      <c r="A1653" s="98" t="n">
        <v>425611</v>
      </c>
      <c r="B1653" s="98" t="inlineStr">
        <is>
          <t>SWEET BITCH MOSCATO ROSE</t>
        </is>
      </c>
      <c r="C1653" s="97">
        <f>VLOOKUP(A1653,SizeData!A$2:B$3839,2,FALSE)</f>
        <v/>
      </c>
      <c r="D1653" s="98" t="n">
        <v>2</v>
      </c>
      <c r="E1653" s="98" t="inlineStr">
        <is>
          <t>R1913485</t>
        </is>
      </c>
      <c r="F1653" s="99" t="n">
        <v>44922</v>
      </c>
      <c r="G1653" s="100" t="n"/>
    </row>
    <row r="1654" ht="16" customHeight="1">
      <c r="A1654" s="98" t="n">
        <v>425610</v>
      </c>
      <c r="B1654" s="98" t="inlineStr">
        <is>
          <t>SWEET BITCH MOSCATO ROSE</t>
        </is>
      </c>
      <c r="C1654" s="97">
        <f>VLOOKUP(A1654,SizeData!A$2:B$3839,2,FALSE)</f>
        <v/>
      </c>
      <c r="D1654" s="98" t="n">
        <v>1</v>
      </c>
      <c r="E1654" s="98" t="inlineStr">
        <is>
          <t>R1913485</t>
        </is>
      </c>
      <c r="F1654" s="99" t="n">
        <v>44922</v>
      </c>
      <c r="G1654" s="100" t="n"/>
    </row>
    <row r="1655" ht="16" customHeight="1">
      <c r="A1655" s="98" t="n">
        <v>425611</v>
      </c>
      <c r="B1655" s="98" t="inlineStr">
        <is>
          <t>SWEET BITCH MOSCATO ROSE</t>
        </is>
      </c>
      <c r="C1655" s="97">
        <f>VLOOKUP(A1655,SizeData!A$2:B$3839,2,FALSE)</f>
        <v/>
      </c>
      <c r="D1655" s="98" t="n">
        <v>1</v>
      </c>
      <c r="E1655" s="98" t="n"/>
      <c r="F1655" s="99" t="n"/>
      <c r="G1655" s="100" t="n"/>
    </row>
    <row r="1656" ht="16" customHeight="1">
      <c r="A1656" s="101" t="n">
        <v>56793</v>
      </c>
      <c r="B1656" s="101" t="inlineStr">
        <is>
          <t>PAUL MASSON APPLE GRAND AMBER BRANDY</t>
        </is>
      </c>
      <c r="C1656" s="102">
        <f>VLOOKUP(A1656,SizeData!A$2:B$3839,2,FALSE)</f>
        <v/>
      </c>
      <c r="D1656" s="101" t="n">
        <v>1</v>
      </c>
      <c r="E1656" s="101" t="inlineStr">
        <is>
          <t>R2030138</t>
        </is>
      </c>
      <c r="F1656" s="103" t="n">
        <v>44986</v>
      </c>
      <c r="G1656" s="104" t="n"/>
    </row>
    <row r="1657" ht="16" customHeight="1">
      <c r="A1657" s="98" t="n">
        <v>56793</v>
      </c>
      <c r="B1657" s="98" t="inlineStr">
        <is>
          <t>PAUL MASSON APPLE GRAND AMBER BRANDY</t>
        </is>
      </c>
      <c r="C1657" s="97">
        <f>VLOOKUP(A1657,SizeData!A$2:B$3839,2,FALSE)</f>
        <v/>
      </c>
      <c r="D1657" s="98" t="n">
        <v>1</v>
      </c>
      <c r="E1657" s="98" t="inlineStr">
        <is>
          <t>R2005977</t>
        </is>
      </c>
      <c r="F1657" s="99" t="n">
        <v>44992</v>
      </c>
      <c r="G1657" s="100" t="n"/>
    </row>
    <row r="1658" ht="16" customHeight="1">
      <c r="A1658" s="98" t="n">
        <v>53218</v>
      </c>
      <c r="B1658" s="98" t="inlineStr">
        <is>
          <t>PAUL MASSON GRANDE AMBER BRANDY</t>
        </is>
      </c>
      <c r="C1658" s="97">
        <f>VLOOKUP(A1658,SizeData!A$2:B$3839,2,FALSE)</f>
        <v/>
      </c>
      <c r="D1658" s="98" t="n">
        <v>5</v>
      </c>
      <c r="E1658" s="98" t="inlineStr">
        <is>
          <t>R1924344</t>
        </is>
      </c>
      <c r="F1658" s="99" t="n">
        <v>44933</v>
      </c>
      <c r="G1658" s="100" t="n"/>
    </row>
    <row r="1659" ht="16" customHeight="1">
      <c r="A1659" s="98" t="n">
        <v>816234</v>
      </c>
      <c r="B1659" s="98" t="inlineStr">
        <is>
          <t>SWEET WALTER PINEAPPLE</t>
        </is>
      </c>
      <c r="C1659" s="97">
        <f>VLOOKUP(A1659,SizeData!A$2:B$3839,2,FALSE)</f>
        <v/>
      </c>
      <c r="D1659" s="98" t="n">
        <v>1</v>
      </c>
      <c r="E1659" s="98" t="inlineStr">
        <is>
          <t>R1927120</t>
        </is>
      </c>
      <c r="F1659" s="99" t="n">
        <v>44924</v>
      </c>
      <c r="G1659" s="100" t="n"/>
    </row>
    <row r="1660" ht="16" customHeight="1">
      <c r="A1660" s="98" t="n">
        <v>53218</v>
      </c>
      <c r="B1660" s="98" t="inlineStr">
        <is>
          <t>PAUL MASSON GRANDE AMBER BRANDY</t>
        </is>
      </c>
      <c r="C1660" s="97">
        <f>VLOOKUP(A1660,SizeData!A$2:B$3839,2,FALSE)</f>
        <v/>
      </c>
      <c r="D1660" s="98" t="n">
        <v>5</v>
      </c>
      <c r="E1660" s="98" t="inlineStr">
        <is>
          <t>R1933625</t>
        </is>
      </c>
      <c r="F1660" s="99" t="n">
        <v>44940</v>
      </c>
      <c r="G1660" s="100" t="n"/>
    </row>
    <row r="1661" ht="16" customHeight="1">
      <c r="A1661" s="98" t="n">
        <v>53218</v>
      </c>
      <c r="B1661" s="98" t="inlineStr">
        <is>
          <t>PAUL MASSON GRANDE AMBER BRANDY</t>
        </is>
      </c>
      <c r="C1661" s="97">
        <f>VLOOKUP(A1661,SizeData!A$2:B$3839,2,FALSE)</f>
        <v/>
      </c>
      <c r="D1661" s="98" t="n">
        <v>5</v>
      </c>
      <c r="E1661" s="98" t="inlineStr">
        <is>
          <t>R2055072</t>
        </is>
      </c>
      <c r="F1661" s="99" t="n">
        <v>45021</v>
      </c>
      <c r="G1661" s="100" t="n"/>
    </row>
    <row r="1662" ht="16" customHeight="1">
      <c r="A1662" s="98" t="n">
        <v>53217</v>
      </c>
      <c r="B1662" s="98" t="inlineStr">
        <is>
          <t>PAUL MASSON GRANDE AMBER BRANDY</t>
        </is>
      </c>
      <c r="C1662" s="97">
        <f>VLOOKUP(A1662,SizeData!A$2:B$3839,2,FALSE)</f>
        <v/>
      </c>
      <c r="D1662" s="98" t="n">
        <v>1</v>
      </c>
      <c r="E1662" s="98" t="inlineStr">
        <is>
          <t>R1984349</t>
        </is>
      </c>
      <c r="F1662" s="99" t="n">
        <v>44982</v>
      </c>
      <c r="G1662" s="100" t="n"/>
    </row>
    <row r="1663" ht="16" customHeight="1">
      <c r="A1663" s="98" t="n">
        <v>53213</v>
      </c>
      <c r="B1663" s="98" t="inlineStr">
        <is>
          <t>PAUL MASSON GRANDE AMBER BRANDY</t>
        </is>
      </c>
      <c r="C1663" s="97">
        <f>VLOOKUP(A1663,SizeData!A$2:B$3839,2,FALSE)</f>
        <v/>
      </c>
      <c r="D1663" s="98" t="n">
        <v>10</v>
      </c>
      <c r="E1663" s="98" t="inlineStr">
        <is>
          <t>R1936066</t>
        </is>
      </c>
      <c r="F1663" s="99" t="n">
        <v>44935</v>
      </c>
      <c r="G1663" s="100" t="n"/>
    </row>
    <row r="1664" ht="16" customHeight="1">
      <c r="A1664" s="98" t="n">
        <v>32414</v>
      </c>
      <c r="B1664" s="98" t="inlineStr">
        <is>
          <t>TAAKA GIN</t>
        </is>
      </c>
      <c r="C1664" s="97">
        <f>VLOOKUP(A1664,SizeData!A$2:B$3839,2,FALSE)</f>
        <v/>
      </c>
      <c r="D1664" s="98" t="n">
        <v>1</v>
      </c>
      <c r="E1664" s="98" t="n"/>
      <c r="F1664" s="99" t="n"/>
      <c r="G1664" s="100" t="n"/>
    </row>
    <row r="1665" ht="16" customHeight="1">
      <c r="A1665" s="98" t="n">
        <v>53213</v>
      </c>
      <c r="B1665" s="98" t="inlineStr">
        <is>
          <t>PAUL MASSON GRANDE AMBER BRANDY</t>
        </is>
      </c>
      <c r="C1665" s="97">
        <f>VLOOKUP(A1665,SizeData!A$2:B$3839,2,FALSE)</f>
        <v/>
      </c>
      <c r="D1665" s="98" t="n">
        <v>8</v>
      </c>
      <c r="E1665" s="98" t="inlineStr">
        <is>
          <t>R1949716</t>
        </is>
      </c>
      <c r="F1665" s="99" t="n">
        <v>44950</v>
      </c>
      <c r="G1665" s="100" t="n"/>
    </row>
    <row r="1666" ht="16" customHeight="1">
      <c r="A1666" s="98" t="n">
        <v>53213</v>
      </c>
      <c r="B1666" s="98" t="inlineStr">
        <is>
          <t>PAUL MASSON GRANDE AMBER BRANDY</t>
        </is>
      </c>
      <c r="C1666" s="97">
        <f>VLOOKUP(A1666,SizeData!A$2:B$3839,2,FALSE)</f>
        <v/>
      </c>
      <c r="D1666" s="98" t="n">
        <v>1</v>
      </c>
      <c r="E1666" s="98" t="inlineStr">
        <is>
          <t>R1949716</t>
        </is>
      </c>
      <c r="F1666" s="99" t="n">
        <v>44950</v>
      </c>
      <c r="G1666" s="100" t="n"/>
    </row>
    <row r="1667" ht="16" customHeight="1">
      <c r="A1667" s="98" t="n">
        <v>52199</v>
      </c>
      <c r="B1667" s="98" t="inlineStr">
        <is>
          <t>PAUL MASSON GRANDE AMBER BRANDY</t>
        </is>
      </c>
      <c r="C1667" s="97">
        <f>VLOOKUP(A1667,SizeData!A$2:B$3839,2,FALSE)</f>
        <v/>
      </c>
      <c r="D1667" s="98" t="n">
        <v>2</v>
      </c>
      <c r="E1667" s="98" t="inlineStr">
        <is>
          <t>R1951380</t>
        </is>
      </c>
      <c r="F1667" s="99" t="n">
        <v>44953</v>
      </c>
      <c r="G1667" s="100" t="n"/>
    </row>
    <row r="1668" ht="16" customHeight="1">
      <c r="A1668" s="98" t="n">
        <v>53213</v>
      </c>
      <c r="B1668" s="98" t="inlineStr">
        <is>
          <t>PAUL MASSON GRANDE AMBER BRANDY</t>
        </is>
      </c>
      <c r="C1668" s="97">
        <f>VLOOKUP(A1668,SizeData!A$2:B$3839,2,FALSE)</f>
        <v/>
      </c>
      <c r="D1668" s="98" t="n">
        <v>3</v>
      </c>
      <c r="E1668" s="98" t="inlineStr">
        <is>
          <t>R1984049</t>
        </is>
      </c>
      <c r="F1668" s="99" t="n">
        <v>44984</v>
      </c>
      <c r="G1668" s="100" t="n"/>
    </row>
    <row r="1669" ht="16" customHeight="1">
      <c r="A1669" s="98" t="n">
        <v>39888</v>
      </c>
      <c r="B1669" s="98" t="inlineStr">
        <is>
          <t>TAAKA SUPREME 100 (PET) VODKA</t>
        </is>
      </c>
      <c r="C1669" s="97">
        <f>VLOOKUP(A1669,SizeData!A$2:B$3839,2,FALSE)</f>
        <v/>
      </c>
      <c r="D1669" s="98" t="n">
        <v>1</v>
      </c>
      <c r="E1669" s="98" t="inlineStr">
        <is>
          <t>R1888484</t>
        </is>
      </c>
      <c r="F1669" s="99" t="n">
        <v>44908</v>
      </c>
      <c r="G1669" s="100" t="n"/>
    </row>
    <row r="1670" ht="16" customHeight="1">
      <c r="A1670" s="98" t="n">
        <v>53213</v>
      </c>
      <c r="B1670" s="98" t="inlineStr">
        <is>
          <t>PAUL MASSON GRANDE AMBER BRANDY</t>
        </is>
      </c>
      <c r="C1670" s="97">
        <f>VLOOKUP(A1670,SizeData!A$2:B$3839,2,FALSE)</f>
        <v/>
      </c>
      <c r="D1670" s="98" t="n">
        <v>1</v>
      </c>
      <c r="E1670" s="98" t="inlineStr">
        <is>
          <t>R1984349</t>
        </is>
      </c>
      <c r="F1670" s="99" t="n">
        <v>44982</v>
      </c>
      <c r="G1670" s="100" t="n"/>
    </row>
    <row r="1671" ht="16" customHeight="1">
      <c r="A1671" s="101" t="n">
        <v>53213</v>
      </c>
      <c r="B1671" s="101" t="inlineStr">
        <is>
          <t>PAUL MASSON GRANDE AMBER BRANDY</t>
        </is>
      </c>
      <c r="C1671" s="102">
        <f>VLOOKUP(A1671,SizeData!A$2:B$3839,2,FALSE)</f>
        <v/>
      </c>
      <c r="D1671" s="101" t="n">
        <v>1</v>
      </c>
      <c r="E1671" s="101" t="inlineStr">
        <is>
          <t>R1984349</t>
        </is>
      </c>
      <c r="F1671" s="103" t="n">
        <v>44982</v>
      </c>
      <c r="G1671" s="104" t="n"/>
    </row>
    <row r="1672" ht="16" customHeight="1">
      <c r="A1672" s="98" t="n">
        <v>53213</v>
      </c>
      <c r="B1672" s="98" t="inlineStr">
        <is>
          <t>PAUL MASSON GRANDE AMBER BRANDY</t>
        </is>
      </c>
      <c r="C1672" s="97">
        <f>VLOOKUP(A1672,SizeData!A$2:B$3839,2,FALSE)</f>
        <v/>
      </c>
      <c r="D1672" s="98" t="n">
        <v>5</v>
      </c>
      <c r="E1672" s="98" t="inlineStr">
        <is>
          <t>R2017536</t>
        </is>
      </c>
      <c r="F1672" s="99" t="n">
        <v>44994</v>
      </c>
      <c r="G1672" s="100" t="n"/>
    </row>
    <row r="1673" ht="16" customHeight="1">
      <c r="A1673" s="98" t="n">
        <v>53213</v>
      </c>
      <c r="B1673" s="98" t="inlineStr">
        <is>
          <t>PAUL MASSON GRANDE AMBER BRANDY</t>
        </is>
      </c>
      <c r="C1673" s="97">
        <f>VLOOKUP(A1673,SizeData!A$2:B$3839,2,FALSE)</f>
        <v/>
      </c>
      <c r="D1673" s="98" t="n">
        <v>6</v>
      </c>
      <c r="E1673" s="98" t="inlineStr">
        <is>
          <t>R2062305</t>
        </is>
      </c>
      <c r="F1673" s="99" t="n">
        <v>45024</v>
      </c>
      <c r="G1673" s="100" t="n"/>
    </row>
    <row r="1674" ht="16" customHeight="1">
      <c r="A1674" s="98" t="n">
        <v>38064</v>
      </c>
      <c r="B1674" s="98" t="inlineStr">
        <is>
          <t>TAAKA VODKA 80</t>
        </is>
      </c>
      <c r="C1674" s="97">
        <f>VLOOKUP(A1674,SizeData!A$2:B$3839,2,FALSE)</f>
        <v/>
      </c>
      <c r="D1674" s="98" t="n">
        <v>4</v>
      </c>
      <c r="E1674" s="98" t="inlineStr">
        <is>
          <t>R1901365</t>
        </is>
      </c>
      <c r="F1674" s="99" t="n">
        <v>44905</v>
      </c>
      <c r="G1674" s="100" t="n"/>
    </row>
    <row r="1675" ht="16" customHeight="1">
      <c r="A1675" s="98" t="n">
        <v>38067</v>
      </c>
      <c r="B1675" s="98" t="inlineStr">
        <is>
          <t>TAAKA VODKA 80</t>
        </is>
      </c>
      <c r="C1675" s="97">
        <f>VLOOKUP(A1675,SizeData!A$2:B$3839,2,FALSE)</f>
        <v/>
      </c>
      <c r="D1675" s="98" t="n">
        <v>7</v>
      </c>
      <c r="E1675" s="98" t="inlineStr">
        <is>
          <t>R1915211</t>
        </is>
      </c>
      <c r="F1675" s="99" t="n">
        <v>44907</v>
      </c>
      <c r="G1675" s="100" t="n"/>
    </row>
    <row r="1676" ht="16" customHeight="1">
      <c r="A1676" s="98" t="n">
        <v>38066</v>
      </c>
      <c r="B1676" s="98" t="inlineStr">
        <is>
          <t>TAAKA VODKA 80</t>
        </is>
      </c>
      <c r="C1676" s="97">
        <f>VLOOKUP(A1676,SizeData!A$2:B$3839,2,FALSE)</f>
        <v/>
      </c>
      <c r="D1676" s="98" t="n">
        <v>9</v>
      </c>
      <c r="E1676" s="98" t="inlineStr">
        <is>
          <t>R1906928</t>
        </is>
      </c>
      <c r="F1676" s="99" t="n">
        <v>44908</v>
      </c>
      <c r="G1676" s="100" t="n"/>
    </row>
    <row r="1677" ht="16" customHeight="1">
      <c r="A1677" s="98" t="n">
        <v>38064</v>
      </c>
      <c r="B1677" s="98" t="inlineStr">
        <is>
          <t>TAAKA VODKA 80</t>
        </is>
      </c>
      <c r="C1677" s="97">
        <f>VLOOKUP(A1677,SizeData!A$2:B$3839,2,FALSE)</f>
        <v/>
      </c>
      <c r="D1677" s="98" t="n">
        <v>9</v>
      </c>
      <c r="E1677" s="98" t="inlineStr">
        <is>
          <t>R1916025</t>
        </is>
      </c>
      <c r="F1677" s="99" t="n">
        <v>44914</v>
      </c>
      <c r="G1677" s="100" t="n"/>
    </row>
    <row r="1678" ht="16" customHeight="1">
      <c r="A1678" s="98" t="n">
        <v>38064</v>
      </c>
      <c r="B1678" s="98" t="inlineStr">
        <is>
          <t>TAAKA VODKA 80</t>
        </is>
      </c>
      <c r="C1678" s="97">
        <f>VLOOKUP(A1678,SizeData!A$2:B$3839,2,FALSE)</f>
        <v/>
      </c>
      <c r="D1678" s="98" t="n">
        <v>1</v>
      </c>
      <c r="E1678" s="98" t="inlineStr">
        <is>
          <t>R1916025</t>
        </is>
      </c>
      <c r="F1678" s="99" t="n">
        <v>44914</v>
      </c>
      <c r="G1678" s="100" t="n"/>
    </row>
    <row r="1679" ht="16" customHeight="1">
      <c r="A1679" s="98" t="n">
        <v>38067</v>
      </c>
      <c r="B1679" s="98" t="inlineStr">
        <is>
          <t>TAAKA VODKA 80</t>
        </is>
      </c>
      <c r="C1679" s="97">
        <f>VLOOKUP(A1679,SizeData!A$2:B$3839,2,FALSE)</f>
        <v/>
      </c>
      <c r="D1679" s="98" t="n">
        <v>6</v>
      </c>
      <c r="E1679" s="98" t="inlineStr">
        <is>
          <t>R1927120</t>
        </is>
      </c>
      <c r="F1679" s="99" t="n">
        <v>44924</v>
      </c>
      <c r="G1679" s="100" t="n"/>
    </row>
    <row r="1680" ht="16" customHeight="1">
      <c r="A1680" s="98" t="n">
        <v>53213</v>
      </c>
      <c r="B1680" s="98" t="inlineStr">
        <is>
          <t>PAUL MASSON GRANDE AMBER BRANDY</t>
        </is>
      </c>
      <c r="C1680" s="97">
        <f>VLOOKUP(A1680,SizeData!A$2:B$3839,2,FALSE)</f>
        <v/>
      </c>
      <c r="D1680" s="98" t="n">
        <v>5</v>
      </c>
      <c r="E1680" s="98" t="inlineStr">
        <is>
          <t>R2065347</t>
        </is>
      </c>
      <c r="F1680" s="99" t="n">
        <v>45026</v>
      </c>
      <c r="G1680" s="100" t="n"/>
    </row>
    <row r="1681" ht="16" customHeight="1">
      <c r="A1681" s="98" t="n">
        <v>53214</v>
      </c>
      <c r="B1681" s="98" t="inlineStr">
        <is>
          <t>PAUL MASSON GRANDE AMBER BRANDY</t>
        </is>
      </c>
      <c r="C1681" s="97">
        <f>VLOOKUP(A1681,SizeData!A$2:B$3839,2,FALSE)</f>
        <v/>
      </c>
      <c r="D1681" s="98" t="n">
        <v>20</v>
      </c>
      <c r="E1681" s="98" t="inlineStr">
        <is>
          <t>R1962962</t>
        </is>
      </c>
      <c r="F1681" s="99" t="n">
        <v>44961</v>
      </c>
      <c r="G1681" s="100" t="n"/>
    </row>
    <row r="1682" ht="16" customHeight="1">
      <c r="A1682" s="98" t="n">
        <v>53214</v>
      </c>
      <c r="B1682" s="98" t="inlineStr">
        <is>
          <t>PAUL MASSON GRANDE AMBER BRANDY</t>
        </is>
      </c>
      <c r="C1682" s="97">
        <f>VLOOKUP(A1682,SizeData!A$2:B$3839,2,FALSE)</f>
        <v/>
      </c>
      <c r="D1682" s="98" t="n">
        <v>25</v>
      </c>
      <c r="E1682" s="98" t="inlineStr">
        <is>
          <t>R1984317</t>
        </is>
      </c>
      <c r="F1682" s="99" t="n">
        <v>44974</v>
      </c>
      <c r="G1682" s="100" t="n"/>
    </row>
    <row r="1683" ht="16" customHeight="1">
      <c r="A1683" s="98" t="n">
        <v>53214</v>
      </c>
      <c r="B1683" s="98" t="inlineStr">
        <is>
          <t>PAUL MASSON GRANDE AMBER BRANDY</t>
        </is>
      </c>
      <c r="C1683" s="97">
        <f>VLOOKUP(A1683,SizeData!A$2:B$3839,2,FALSE)</f>
        <v/>
      </c>
      <c r="D1683" s="98" t="n">
        <v>30</v>
      </c>
      <c r="E1683" s="98" t="inlineStr">
        <is>
          <t>R1992009</t>
        </is>
      </c>
      <c r="F1683" s="99" t="n">
        <v>44974</v>
      </c>
      <c r="G1683" s="100" t="n"/>
    </row>
    <row r="1684" ht="16" customHeight="1">
      <c r="A1684" s="101" t="n">
        <v>52199</v>
      </c>
      <c r="B1684" s="101" t="inlineStr">
        <is>
          <t>PAUL MASSON GRANDE AMBER BRANDY</t>
        </is>
      </c>
      <c r="C1684" s="102">
        <f>VLOOKUP(A1684,SizeData!A$2:B$3839,2,FALSE)</f>
        <v/>
      </c>
      <c r="D1684" s="101" t="n">
        <v>1</v>
      </c>
      <c r="E1684" s="101" t="inlineStr">
        <is>
          <t>R1984929</t>
        </is>
      </c>
      <c r="F1684" s="103" t="n">
        <v>44980</v>
      </c>
      <c r="G1684" s="104" t="n"/>
    </row>
    <row r="1685" ht="16" customHeight="1">
      <c r="A1685" s="98" t="n">
        <v>53214</v>
      </c>
      <c r="B1685" s="98" t="inlineStr">
        <is>
          <t>PAUL MASSON GRANDE AMBER BRANDY</t>
        </is>
      </c>
      <c r="C1685" s="97">
        <f>VLOOKUP(A1685,SizeData!A$2:B$3839,2,FALSE)</f>
        <v/>
      </c>
      <c r="D1685" s="98" t="n">
        <v>5</v>
      </c>
      <c r="E1685" s="98" t="inlineStr">
        <is>
          <t>R1969292</t>
        </is>
      </c>
      <c r="F1685" s="99" t="n">
        <v>44973</v>
      </c>
      <c r="G1685" s="100" t="n"/>
    </row>
    <row r="1686" ht="16" customHeight="1">
      <c r="A1686" s="98" t="n">
        <v>53214</v>
      </c>
      <c r="B1686" s="98" t="inlineStr">
        <is>
          <t>PAUL MASSON GRANDE AMBER BRANDY</t>
        </is>
      </c>
      <c r="C1686" s="97">
        <f>VLOOKUP(A1686,SizeData!A$2:B$3839,2,FALSE)</f>
        <v/>
      </c>
      <c r="D1686" s="98" t="n">
        <v>7</v>
      </c>
      <c r="E1686" s="98" t="inlineStr">
        <is>
          <t>R1981085</t>
        </is>
      </c>
      <c r="F1686" s="99" t="n">
        <v>44973</v>
      </c>
      <c r="G1686" s="100" t="n"/>
    </row>
    <row r="1687" ht="16" customHeight="1">
      <c r="A1687" s="98" t="n">
        <v>53214</v>
      </c>
      <c r="B1687" s="98" t="inlineStr">
        <is>
          <t>PAUL MASSON GRANDE AMBER BRANDY</t>
        </is>
      </c>
      <c r="C1687" s="97">
        <f>VLOOKUP(A1687,SizeData!A$2:B$3839,2,FALSE)</f>
        <v/>
      </c>
      <c r="D1687" s="98" t="n">
        <v>4</v>
      </c>
      <c r="E1687" s="98" t="inlineStr">
        <is>
          <t>R1991319</t>
        </is>
      </c>
      <c r="F1687" s="99" t="n">
        <v>44973</v>
      </c>
      <c r="G1687" s="100" t="n"/>
    </row>
    <row r="1688" ht="16" customHeight="1">
      <c r="A1688" s="101" t="n">
        <v>52199</v>
      </c>
      <c r="B1688" s="101" t="inlineStr">
        <is>
          <t>PAUL MASSON GRANDE AMBER BRANDY</t>
        </is>
      </c>
      <c r="C1688" s="102">
        <f>VLOOKUP(A1688,SizeData!A$2:B$3839,2,FALSE)</f>
        <v/>
      </c>
      <c r="D1688" s="101" t="n">
        <v>1</v>
      </c>
      <c r="E1688" s="101" t="inlineStr">
        <is>
          <t>R2020736</t>
        </is>
      </c>
      <c r="F1688" s="103" t="n">
        <v>44998</v>
      </c>
      <c r="G1688" s="104" t="n"/>
    </row>
    <row r="1689" ht="16" customHeight="1">
      <c r="A1689" s="98" t="n">
        <v>53216</v>
      </c>
      <c r="B1689" s="98" t="inlineStr">
        <is>
          <t>PAUL MASSON GRANDE AMBER BRANDY</t>
        </is>
      </c>
      <c r="C1689" s="97">
        <f>VLOOKUP(A1689,SizeData!A$2:B$3839,2,FALSE)</f>
        <v/>
      </c>
      <c r="D1689" s="98" t="n">
        <v>30</v>
      </c>
      <c r="E1689" s="98" t="inlineStr">
        <is>
          <t>R2004079</t>
        </is>
      </c>
      <c r="F1689" s="99" t="n">
        <v>44990</v>
      </c>
      <c r="G1689" s="100" t="n"/>
    </row>
    <row r="1690" ht="16" customHeight="1">
      <c r="A1690" s="98" t="n">
        <v>53216</v>
      </c>
      <c r="B1690" s="98" t="inlineStr">
        <is>
          <t>PAUL MASSON GRANDE AMBER BRANDY</t>
        </is>
      </c>
      <c r="C1690" s="97">
        <f>VLOOKUP(A1690,SizeData!A$2:B$3839,2,FALSE)</f>
        <v/>
      </c>
      <c r="D1690" s="98" t="n">
        <v>40</v>
      </c>
      <c r="E1690" s="98" t="inlineStr">
        <is>
          <t>R2030569</t>
        </is>
      </c>
      <c r="F1690" s="99" t="n">
        <v>45003</v>
      </c>
      <c r="G1690" s="100" t="n"/>
    </row>
    <row r="1691" ht="16" customHeight="1">
      <c r="A1691" s="98" t="n">
        <v>53216</v>
      </c>
      <c r="B1691" s="98" t="inlineStr">
        <is>
          <t>PAUL MASSON GRANDE AMBER BRANDY</t>
        </is>
      </c>
      <c r="C1691" s="97">
        <f>VLOOKUP(A1691,SizeData!A$2:B$3839,2,FALSE)</f>
        <v/>
      </c>
      <c r="D1691" s="98" t="n">
        <v>10</v>
      </c>
      <c r="E1691" s="98" t="inlineStr">
        <is>
          <t>R2046141</t>
        </is>
      </c>
      <c r="F1691" s="99" t="n">
        <v>45016</v>
      </c>
      <c r="G1691" s="100" t="n"/>
    </row>
    <row r="1692" ht="16" customHeight="1">
      <c r="A1692" s="98" t="n">
        <v>53218</v>
      </c>
      <c r="B1692" s="98" t="inlineStr">
        <is>
          <t>PAUL MASSON GRANDE AMBER BRANDY</t>
        </is>
      </c>
      <c r="C1692" s="97">
        <f>VLOOKUP(A1692,SizeData!A$2:B$3839,2,FALSE)</f>
        <v/>
      </c>
      <c r="D1692" s="98" t="n">
        <v>5</v>
      </c>
      <c r="E1692" s="98" t="inlineStr">
        <is>
          <t>R2062454</t>
        </is>
      </c>
      <c r="F1692" s="99" t="n">
        <v>45031</v>
      </c>
      <c r="G1692" s="100" t="n"/>
    </row>
    <row r="1693" ht="16" customHeight="1">
      <c r="A1693" s="98" t="n">
        <v>53213</v>
      </c>
      <c r="B1693" s="98" t="inlineStr">
        <is>
          <t>PAUL MASSON GRANDE AMBER BRANDY</t>
        </is>
      </c>
      <c r="C1693" s="97">
        <f>VLOOKUP(A1693,SizeData!A$2:B$3839,2,FALSE)</f>
        <v/>
      </c>
      <c r="D1693" s="98" t="n">
        <v>4</v>
      </c>
      <c r="E1693" s="98" t="inlineStr">
        <is>
          <t>R2082982</t>
        </is>
      </c>
      <c r="F1693" s="99" t="n">
        <v>45048</v>
      </c>
      <c r="G1693" s="100" t="n"/>
    </row>
    <row r="1694" ht="16" customHeight="1">
      <c r="A1694" s="98" t="n">
        <v>53208</v>
      </c>
      <c r="B1694" s="98" t="inlineStr">
        <is>
          <t>PAUL MASSON GRANDE AMBER VSOP BRANDY</t>
        </is>
      </c>
      <c r="C1694" s="97">
        <f>VLOOKUP(A1694,SizeData!A$2:B$3839,2,FALSE)</f>
        <v/>
      </c>
      <c r="D1694" s="98" t="n">
        <v>1</v>
      </c>
      <c r="E1694" s="98" t="inlineStr">
        <is>
          <t>R1924344</t>
        </is>
      </c>
      <c r="F1694" s="99" t="n">
        <v>44933</v>
      </c>
      <c r="G1694" s="100" t="n"/>
    </row>
    <row r="1695" ht="16" customHeight="1">
      <c r="A1695" s="98" t="n">
        <v>53208</v>
      </c>
      <c r="B1695" s="98" t="inlineStr">
        <is>
          <t>PAUL MASSON GRANDE AMBER VSOP BRANDY</t>
        </is>
      </c>
      <c r="C1695" s="97">
        <f>VLOOKUP(A1695,SizeData!A$2:B$3839,2,FALSE)</f>
        <v/>
      </c>
      <c r="D1695" s="98" t="n">
        <v>1</v>
      </c>
      <c r="E1695" s="98" t="inlineStr">
        <is>
          <t>R1933625</t>
        </is>
      </c>
      <c r="F1695" s="99" t="n">
        <v>44940</v>
      </c>
      <c r="G1695" s="100" t="n"/>
    </row>
    <row r="1696" ht="16" customHeight="1">
      <c r="A1696" s="98" t="n">
        <v>53206</v>
      </c>
      <c r="B1696" s="98" t="inlineStr">
        <is>
          <t>PAUL MASSON GRANDE AMBER VSOP BRANDY</t>
        </is>
      </c>
      <c r="C1696" s="97">
        <f>VLOOKUP(A1696,SizeData!A$2:B$3839,2,FALSE)</f>
        <v/>
      </c>
      <c r="D1696" s="98" t="n">
        <v>3</v>
      </c>
      <c r="E1696" s="98" t="inlineStr">
        <is>
          <t>R2005977</t>
        </is>
      </c>
      <c r="F1696" s="99" t="n">
        <v>44992</v>
      </c>
      <c r="G1696" s="100" t="n"/>
    </row>
    <row r="1697" ht="16" customHeight="1">
      <c r="A1697" s="98" t="n">
        <v>53203</v>
      </c>
      <c r="B1697" s="98" t="inlineStr">
        <is>
          <t>PAUL MASSON GRANDE AMBER VSOP BRANDY</t>
        </is>
      </c>
      <c r="C1697" s="97">
        <f>VLOOKUP(A1697,SizeData!A$2:B$3839,2,FALSE)</f>
        <v/>
      </c>
      <c r="D1697" s="98" t="n">
        <v>1</v>
      </c>
      <c r="E1697" s="98" t="inlineStr">
        <is>
          <t>R2003600</t>
        </is>
      </c>
      <c r="F1697" s="99" t="n">
        <v>44994</v>
      </c>
      <c r="G1697" s="100" t="n"/>
    </row>
    <row r="1698" ht="16" customHeight="1">
      <c r="A1698" s="98" t="n">
        <v>53203</v>
      </c>
      <c r="B1698" s="98" t="inlineStr">
        <is>
          <t>PAUL MASSON GRANDE AMBER VSOP BRANDY</t>
        </is>
      </c>
      <c r="C1698" s="97">
        <f>VLOOKUP(A1698,SizeData!A$2:B$3839,2,FALSE)</f>
        <v/>
      </c>
      <c r="D1698" s="98" t="n">
        <v>1</v>
      </c>
      <c r="E1698" s="98" t="inlineStr">
        <is>
          <t>R2073308</t>
        </is>
      </c>
      <c r="F1698" s="99" t="n">
        <v>45038</v>
      </c>
      <c r="G1698" s="100" t="n"/>
    </row>
    <row r="1699" ht="16" customHeight="1">
      <c r="A1699" s="98" t="n">
        <v>53206</v>
      </c>
      <c r="B1699" s="98" t="inlineStr">
        <is>
          <t>PAUL MASSON GRANDE AMBER VSOP BRANDY</t>
        </is>
      </c>
      <c r="C1699" s="97">
        <f>VLOOKUP(A1699,SizeData!A$2:B$3839,2,FALSE)</f>
        <v/>
      </c>
      <c r="D1699" s="98" t="n">
        <v>3</v>
      </c>
      <c r="E1699" s="98" t="inlineStr">
        <is>
          <t>R2090341</t>
        </is>
      </c>
      <c r="F1699" s="99" t="n">
        <v>45043</v>
      </c>
      <c r="G1699" s="100" t="n"/>
    </row>
    <row r="1700" ht="16" customHeight="1">
      <c r="A1700" s="101" t="n">
        <v>53208</v>
      </c>
      <c r="B1700" s="101" t="inlineStr">
        <is>
          <t>PAUL MASSON GRANDE AMBER VSOP BRANDY</t>
        </is>
      </c>
      <c r="C1700" s="102">
        <f>VLOOKUP(A1700,SizeData!A$2:B$3839,2,FALSE)</f>
        <v/>
      </c>
      <c r="D1700" s="101" t="n">
        <v>3</v>
      </c>
      <c r="E1700" s="101" t="inlineStr">
        <is>
          <t>R2090341</t>
        </is>
      </c>
      <c r="F1700" s="103" t="n">
        <v>45043</v>
      </c>
      <c r="G1700" s="104" t="n"/>
    </row>
    <row r="1701" ht="16" customHeight="1">
      <c r="A1701" s="98" t="n">
        <v>53204</v>
      </c>
      <c r="B1701" s="98" t="inlineStr">
        <is>
          <t>PAUL MASSON GRANDE AMBER VSOP BRANDY</t>
        </is>
      </c>
      <c r="C1701" s="97">
        <f>VLOOKUP(A1701,SizeData!A$2:B$3839,2,FALSE)</f>
        <v/>
      </c>
      <c r="D1701" s="98" t="n">
        <v>1</v>
      </c>
      <c r="E1701" s="98" t="inlineStr">
        <is>
          <t>R2082317</t>
        </is>
      </c>
      <c r="F1701" s="99" t="n">
        <v>45047</v>
      </c>
      <c r="G1701" s="100" t="n"/>
    </row>
    <row r="1702" ht="16" customHeight="1">
      <c r="A1702" s="98" t="n">
        <v>56195</v>
      </c>
      <c r="B1702" s="98" t="inlineStr">
        <is>
          <t>PAUL MASSON PEACH GRAND AMBER BRANDY</t>
        </is>
      </c>
      <c r="C1702" s="97">
        <f>VLOOKUP(A1702,SizeData!A$2:B$3839,2,FALSE)</f>
        <v/>
      </c>
      <c r="D1702" s="98" t="n">
        <v>1</v>
      </c>
      <c r="E1702" s="98" t="inlineStr">
        <is>
          <t>R1957712</t>
        </is>
      </c>
      <c r="F1702" s="99" t="n">
        <v>44958</v>
      </c>
      <c r="G1702" s="100" t="n"/>
    </row>
    <row r="1703" ht="16" customHeight="1">
      <c r="A1703" s="98" t="n">
        <v>56195</v>
      </c>
      <c r="B1703" s="98" t="inlineStr">
        <is>
          <t>PAUL MASSON PEACH GRAND AMBER BRANDY</t>
        </is>
      </c>
      <c r="C1703" s="97">
        <f>VLOOKUP(A1703,SizeData!A$2:B$3839,2,FALSE)</f>
        <v/>
      </c>
      <c r="D1703" s="98" t="n">
        <v>2</v>
      </c>
      <c r="E1703" s="98" t="inlineStr">
        <is>
          <t>R2000125</t>
        </is>
      </c>
      <c r="F1703" s="99" t="n">
        <v>44974</v>
      </c>
      <c r="G1703" s="100" t="n"/>
    </row>
    <row r="1704" ht="16" customHeight="1">
      <c r="A1704" s="98" t="n">
        <v>56195</v>
      </c>
      <c r="B1704" s="98" t="inlineStr">
        <is>
          <t>PAUL MASSON PEACH GRAND AMBER BRANDY</t>
        </is>
      </c>
      <c r="C1704" s="97">
        <f>VLOOKUP(A1704,SizeData!A$2:B$3839,2,FALSE)</f>
        <v/>
      </c>
      <c r="D1704" s="98" t="n">
        <v>2</v>
      </c>
      <c r="E1704" s="98" t="inlineStr">
        <is>
          <t>R1984031</t>
        </is>
      </c>
      <c r="F1704" s="99" t="n">
        <v>44980</v>
      </c>
      <c r="G1704" s="100" t="n"/>
    </row>
    <row r="1705" ht="16" customHeight="1">
      <c r="A1705" s="98" t="n">
        <v>56196</v>
      </c>
      <c r="B1705" s="98" t="inlineStr">
        <is>
          <t>PAUL MASSON PEACH GRAND AMBER BRANDY</t>
        </is>
      </c>
      <c r="C1705" s="97">
        <f>VLOOKUP(A1705,SizeData!A$2:B$3839,2,FALSE)</f>
        <v/>
      </c>
      <c r="D1705" s="98" t="n">
        <v>1</v>
      </c>
      <c r="E1705" s="98" t="inlineStr">
        <is>
          <t>R2030138</t>
        </is>
      </c>
      <c r="F1705" s="99" t="n">
        <v>44986</v>
      </c>
      <c r="G1705" s="100" t="n"/>
    </row>
    <row r="1706" ht="16" customHeight="1">
      <c r="A1706" s="98" t="n">
        <v>56196</v>
      </c>
      <c r="B1706" s="98" t="inlineStr">
        <is>
          <t>PAUL MASSON PEACH GRAND AMBER BRANDY</t>
        </is>
      </c>
      <c r="C1706" s="97">
        <f>VLOOKUP(A1706,SizeData!A$2:B$3839,2,FALSE)</f>
        <v/>
      </c>
      <c r="D1706" s="98" t="n">
        <v>5</v>
      </c>
      <c r="E1706" s="98" t="inlineStr">
        <is>
          <t>R1999510</t>
        </is>
      </c>
      <c r="F1706" s="99" t="n">
        <v>44987</v>
      </c>
      <c r="G1706" s="100" t="n"/>
    </row>
    <row r="1707" ht="16" customHeight="1">
      <c r="A1707" s="98" t="n">
        <v>56198</v>
      </c>
      <c r="B1707" s="98" t="inlineStr">
        <is>
          <t>PAUL MASSON PEACH GRANDE AMBER</t>
        </is>
      </c>
      <c r="C1707" s="97">
        <f>VLOOKUP(A1707,SizeData!A$2:B$3839,2,FALSE)</f>
        <v/>
      </c>
      <c r="D1707" s="98" t="n">
        <v>2</v>
      </c>
      <c r="E1707" s="98" t="inlineStr">
        <is>
          <t>R1930280</t>
        </is>
      </c>
      <c r="F1707" s="99" t="n">
        <v>44935</v>
      </c>
      <c r="G1707" s="100" t="n"/>
    </row>
    <row r="1708" ht="16" customHeight="1">
      <c r="A1708" s="98" t="n">
        <v>56198</v>
      </c>
      <c r="B1708" s="98" t="inlineStr">
        <is>
          <t>PAUL MASSON PEACH GRANDE AMBER</t>
        </is>
      </c>
      <c r="C1708" s="97">
        <f>VLOOKUP(A1708,SizeData!A$2:B$3839,2,FALSE)</f>
        <v/>
      </c>
      <c r="D1708" s="98" t="n">
        <v>3</v>
      </c>
      <c r="E1708" s="98" t="inlineStr">
        <is>
          <t>R1960024</t>
        </is>
      </c>
      <c r="F1708" s="99" t="n">
        <v>44950</v>
      </c>
      <c r="G1708" s="100" t="n"/>
    </row>
    <row r="1709" ht="16" customHeight="1">
      <c r="A1709" s="98" t="n">
        <v>56198</v>
      </c>
      <c r="B1709" s="98" t="inlineStr">
        <is>
          <t>PAUL MASSON PEACH GRANDE AMBER</t>
        </is>
      </c>
      <c r="C1709" s="97">
        <f>VLOOKUP(A1709,SizeData!A$2:B$3839,2,FALSE)</f>
        <v/>
      </c>
      <c r="D1709" s="98" t="n">
        <v>3</v>
      </c>
      <c r="E1709" s="98" t="inlineStr">
        <is>
          <t>R2062454</t>
        </is>
      </c>
      <c r="F1709" s="99" t="n">
        <v>45031</v>
      </c>
      <c r="G1709" s="100" t="n"/>
    </row>
    <row r="1710" ht="16" customHeight="1">
      <c r="A1710" s="98" t="n">
        <v>56798</v>
      </c>
      <c r="B1710" s="98" t="inlineStr">
        <is>
          <t>PAUL MASSON PINEAPPLE GRAND AMBER BRANDY</t>
        </is>
      </c>
      <c r="C1710" s="97">
        <f>VLOOKUP(A1710,SizeData!A$2:B$3839,2,FALSE)</f>
        <v/>
      </c>
      <c r="D1710" s="98" t="n">
        <v>2</v>
      </c>
      <c r="E1710" s="98" t="inlineStr">
        <is>
          <t>R2005977</t>
        </is>
      </c>
      <c r="F1710" s="99" t="n">
        <v>44992</v>
      </c>
      <c r="G1710" s="100" t="n"/>
    </row>
    <row r="1711" ht="16" customHeight="1">
      <c r="A1711" s="98" t="n">
        <v>56798</v>
      </c>
      <c r="B1711" s="98" t="inlineStr">
        <is>
          <t>PAUL MASSON PINEAPPLE GRAND AMBER BRANDY</t>
        </is>
      </c>
      <c r="C1711" s="97">
        <f>VLOOKUP(A1711,SizeData!A$2:B$3839,2,FALSE)</f>
        <v/>
      </c>
      <c r="D1711" s="98" t="n">
        <v>1</v>
      </c>
      <c r="E1711" s="98" t="inlineStr">
        <is>
          <t>R2039044</t>
        </is>
      </c>
      <c r="F1711" s="99" t="n">
        <v>45013</v>
      </c>
      <c r="G1711" s="100" t="n"/>
    </row>
    <row r="1712" ht="16" customHeight="1">
      <c r="A1712" s="98" t="n">
        <v>53221</v>
      </c>
      <c r="B1712" s="98" t="inlineStr">
        <is>
          <t>PAUL MASSON VS GRANDE AMBER BRANDY 12 - 10 PACKS</t>
        </is>
      </c>
      <c r="C1712" s="97">
        <f>VLOOKUP(A1712,SizeData!A$2:B$3839,2,FALSE)</f>
        <v/>
      </c>
      <c r="D1712" s="98" t="n">
        <v>2</v>
      </c>
      <c r="E1712" s="98" t="inlineStr">
        <is>
          <t>R1984929</t>
        </is>
      </c>
      <c r="F1712" s="99" t="n">
        <v>44980</v>
      </c>
      <c r="G1712" s="100" t="n"/>
    </row>
    <row r="1713" ht="16" customHeight="1">
      <c r="A1713" s="98" t="n">
        <v>53221</v>
      </c>
      <c r="B1713" s="98" t="inlineStr">
        <is>
          <t>PAUL MASSON VS GRANDE AMBER BRANDY 12 - 10 PACKS</t>
        </is>
      </c>
      <c r="C1713" s="97">
        <f>VLOOKUP(A1713,SizeData!A$2:B$3839,2,FALSE)</f>
        <v/>
      </c>
      <c r="D1713" s="98" t="n">
        <v>5</v>
      </c>
      <c r="E1713" s="98" t="inlineStr">
        <is>
          <t>R2010980</t>
        </is>
      </c>
      <c r="F1713" s="99" t="n">
        <v>44995</v>
      </c>
      <c r="G1713" s="100" t="n"/>
    </row>
    <row r="1714" ht="16" customHeight="1">
      <c r="A1714" s="98" t="n">
        <v>56664</v>
      </c>
      <c r="B1714" s="98" t="inlineStr">
        <is>
          <t>PAUL MASSON WATERMELON BRANDY</t>
        </is>
      </c>
      <c r="C1714" s="97">
        <f>VLOOKUP(A1714,SizeData!A$2:B$3839,2,FALSE)</f>
        <v/>
      </c>
      <c r="D1714" s="98" t="n">
        <v>2</v>
      </c>
      <c r="E1714" s="98" t="inlineStr">
        <is>
          <t>R2035192</t>
        </is>
      </c>
      <c r="F1714" s="99" t="n">
        <v>45009</v>
      </c>
      <c r="G1714" s="100" t="n"/>
    </row>
    <row r="1715" ht="16" customHeight="1">
      <c r="A1715" s="98" t="n">
        <v>34566</v>
      </c>
      <c r="B1715" s="98" t="inlineStr">
        <is>
          <t>PEARL VODKA (PET)</t>
        </is>
      </c>
      <c r="C1715" s="97">
        <f>VLOOKUP(A1715,SizeData!A$2:B$3839,2,FALSE)</f>
        <v/>
      </c>
      <c r="D1715" s="98" t="n">
        <v>20</v>
      </c>
      <c r="E1715" s="98" t="inlineStr">
        <is>
          <t>R1991150</t>
        </is>
      </c>
      <c r="F1715" s="99" t="n">
        <v>44978</v>
      </c>
      <c r="G1715" s="100" t="n"/>
    </row>
    <row r="1716" ht="16" customHeight="1">
      <c r="A1716" s="98" t="n">
        <v>891002</v>
      </c>
      <c r="B1716" s="98" t="inlineStr">
        <is>
          <t>PETER VELLA MOSCATO SANGRIA</t>
        </is>
      </c>
      <c r="C1716" s="97">
        <f>VLOOKUP(A1716,SizeData!A$2:B$3839,2,FALSE)</f>
        <v/>
      </c>
      <c r="D1716" s="98" t="n">
        <v>1</v>
      </c>
      <c r="E1716" s="98" t="inlineStr">
        <is>
          <t>R1979406</t>
        </is>
      </c>
      <c r="F1716" s="99" t="n">
        <v>44978</v>
      </c>
      <c r="G1716" s="100" t="n"/>
    </row>
    <row r="1717" ht="16" customHeight="1">
      <c r="A1717" s="98" t="n">
        <v>891002</v>
      </c>
      <c r="B1717" s="98" t="inlineStr">
        <is>
          <t>PETER VELLA MOSCATO SANGRIA</t>
        </is>
      </c>
      <c r="C1717" s="97">
        <f>VLOOKUP(A1717,SizeData!A$2:B$3839,2,FALSE)</f>
        <v/>
      </c>
      <c r="D1717" s="98" t="n">
        <v>1</v>
      </c>
      <c r="E1717" s="98" t="inlineStr">
        <is>
          <t>R1983449</t>
        </is>
      </c>
      <c r="F1717" s="99" t="n">
        <v>44978</v>
      </c>
      <c r="G1717" s="100" t="n"/>
    </row>
    <row r="1718" ht="16" customHeight="1">
      <c r="A1718" s="98" t="n">
        <v>891004</v>
      </c>
      <c r="B1718" s="98" t="inlineStr">
        <is>
          <t>PETER VELLA PINK MOSCATO SANGRIA</t>
        </is>
      </c>
      <c r="C1718" s="97">
        <f>VLOOKUP(A1718,SizeData!A$2:B$3839,2,FALSE)</f>
        <v/>
      </c>
      <c r="D1718" s="98" t="n">
        <v>1</v>
      </c>
      <c r="E1718" s="98" t="inlineStr">
        <is>
          <t>R1930280</t>
        </is>
      </c>
      <c r="F1718" s="99" t="n">
        <v>44935</v>
      </c>
      <c r="G1718" s="100" t="n"/>
    </row>
    <row r="1719" ht="16" customHeight="1">
      <c r="A1719" s="98" t="n">
        <v>891004</v>
      </c>
      <c r="B1719" s="98" t="inlineStr">
        <is>
          <t>PETER VELLA PINK MOSCATO SANGRIA</t>
        </is>
      </c>
      <c r="C1719" s="97">
        <f>VLOOKUP(A1719,SizeData!A$2:B$3839,2,FALSE)</f>
        <v/>
      </c>
      <c r="D1719" s="98" t="n">
        <v>1</v>
      </c>
      <c r="E1719" s="98" t="inlineStr">
        <is>
          <t>R1980359</t>
        </is>
      </c>
      <c r="F1719" s="99" t="n">
        <v>44965</v>
      </c>
      <c r="G1719" s="100" t="n"/>
    </row>
    <row r="1720" ht="16" customHeight="1">
      <c r="A1720" s="101" t="n">
        <v>891004</v>
      </c>
      <c r="B1720" s="101" t="inlineStr">
        <is>
          <t>PETER VELLA PINK MOSCATO SANGRIA</t>
        </is>
      </c>
      <c r="C1720" s="102">
        <f>VLOOKUP(A1720,SizeData!A$2:B$3839,2,FALSE)</f>
        <v/>
      </c>
      <c r="D1720" s="101" t="n">
        <v>1</v>
      </c>
      <c r="E1720" s="101" t="inlineStr">
        <is>
          <t>R1996314</t>
        </is>
      </c>
      <c r="F1720" s="103" t="n">
        <v>44979</v>
      </c>
      <c r="G1720" s="104" t="n"/>
    </row>
    <row r="1721" ht="16" customHeight="1">
      <c r="A1721" s="98" t="n">
        <v>891004</v>
      </c>
      <c r="B1721" s="98" t="inlineStr">
        <is>
          <t>PETER VELLA PINK MOSCATO SANGRIA</t>
        </is>
      </c>
      <c r="C1721" s="97">
        <f>VLOOKUP(A1721,SizeData!A$2:B$3839,2,FALSE)</f>
        <v/>
      </c>
      <c r="D1721" s="98" t="n">
        <v>1</v>
      </c>
      <c r="E1721" s="98" t="inlineStr">
        <is>
          <t>R2065347</t>
        </is>
      </c>
      <c r="F1721" s="99" t="n">
        <v>45026</v>
      </c>
      <c r="G1721" s="100" t="n"/>
    </row>
    <row r="1722" ht="16" customHeight="1">
      <c r="A1722" s="98" t="n">
        <v>891000</v>
      </c>
      <c r="B1722" s="98" t="inlineStr">
        <is>
          <t>PETER VELLA SANGRIA</t>
        </is>
      </c>
      <c r="C1722" s="97">
        <f>VLOOKUP(A1722,SizeData!A$2:B$3839,2,FALSE)</f>
        <v/>
      </c>
      <c r="D1722" s="98" t="n">
        <v>3</v>
      </c>
      <c r="E1722" s="98" t="inlineStr">
        <is>
          <t>R1996314</t>
        </is>
      </c>
      <c r="F1722" s="99" t="n">
        <v>44979</v>
      </c>
      <c r="G1722" s="100" t="n"/>
    </row>
    <row r="1723" ht="16" customHeight="1">
      <c r="A1723" s="98" t="n">
        <v>891000</v>
      </c>
      <c r="B1723" s="98" t="inlineStr">
        <is>
          <t>PETER VELLA SANGRIA</t>
        </is>
      </c>
      <c r="C1723" s="97">
        <f>VLOOKUP(A1723,SizeData!A$2:B$3839,2,FALSE)</f>
        <v/>
      </c>
      <c r="D1723" s="98" t="n">
        <v>1</v>
      </c>
      <c r="E1723" s="98" t="inlineStr">
        <is>
          <t>R2016308</t>
        </is>
      </c>
      <c r="F1723" s="99" t="n">
        <v>44987</v>
      </c>
      <c r="G1723" s="100" t="n"/>
    </row>
    <row r="1724" ht="16" customHeight="1">
      <c r="A1724" s="98" t="n">
        <v>891000</v>
      </c>
      <c r="B1724" s="98" t="inlineStr">
        <is>
          <t>PETER VELLA SANGRIA</t>
        </is>
      </c>
      <c r="C1724" s="97">
        <f>VLOOKUP(A1724,SizeData!A$2:B$3839,2,FALSE)</f>
        <v/>
      </c>
      <c r="D1724" s="98" t="n">
        <v>1</v>
      </c>
      <c r="E1724" s="98" t="inlineStr">
        <is>
          <t>R2049198</t>
        </is>
      </c>
      <c r="F1724" s="99" t="n">
        <v>45028</v>
      </c>
      <c r="G1724" s="100" t="n"/>
    </row>
    <row r="1725" ht="16" customHeight="1">
      <c r="A1725" s="98" t="n">
        <v>814577</v>
      </c>
      <c r="B1725" s="98" t="inlineStr">
        <is>
          <t>PETER VELLA SWEET RED</t>
        </is>
      </c>
      <c r="C1725" s="97">
        <f>VLOOKUP(A1725,SizeData!A$2:B$3839,2,FALSE)</f>
        <v/>
      </c>
      <c r="D1725" s="98" t="n">
        <v>1</v>
      </c>
      <c r="E1725" s="98" t="inlineStr">
        <is>
          <t>R1972521</t>
        </is>
      </c>
      <c r="F1725" s="99" t="n">
        <v>44964</v>
      </c>
      <c r="G1725" s="100" t="n"/>
    </row>
    <row r="1726" ht="16" customHeight="1">
      <c r="A1726" s="98" t="n">
        <v>814577</v>
      </c>
      <c r="B1726" s="98" t="inlineStr">
        <is>
          <t>PETER VELLA SWEET RED</t>
        </is>
      </c>
      <c r="C1726" s="97">
        <f>VLOOKUP(A1726,SizeData!A$2:B$3839,2,FALSE)</f>
        <v/>
      </c>
      <c r="D1726" s="98" t="n">
        <v>1</v>
      </c>
      <c r="E1726" s="98" t="inlineStr">
        <is>
          <t>R1978112</t>
        </is>
      </c>
      <c r="F1726" s="99" t="n">
        <v>44972</v>
      </c>
      <c r="G1726" s="100" t="n"/>
    </row>
    <row r="1727" ht="16" customHeight="1">
      <c r="A1727" s="98" t="n">
        <v>814577</v>
      </c>
      <c r="B1727" s="98" t="inlineStr">
        <is>
          <t>PETER VELLA SWEET RED</t>
        </is>
      </c>
      <c r="C1727" s="97">
        <f>VLOOKUP(A1727,SizeData!A$2:B$3839,2,FALSE)</f>
        <v/>
      </c>
      <c r="D1727" s="98" t="n">
        <v>1</v>
      </c>
      <c r="E1727" s="98" t="inlineStr">
        <is>
          <t>R1984929</t>
        </is>
      </c>
      <c r="F1727" s="99" t="n">
        <v>44980</v>
      </c>
      <c r="G1727" s="100" t="n"/>
    </row>
    <row r="1728" ht="16" customHeight="1">
      <c r="A1728" s="98" t="n">
        <v>814577</v>
      </c>
      <c r="B1728" s="98" t="inlineStr">
        <is>
          <t>PETER VELLA SWEET RED</t>
        </is>
      </c>
      <c r="C1728" s="97">
        <f>VLOOKUP(A1728,SizeData!A$2:B$3839,2,FALSE)</f>
        <v/>
      </c>
      <c r="D1728" s="98" t="n">
        <v>1</v>
      </c>
      <c r="E1728" s="98" t="inlineStr">
        <is>
          <t>R1998383</t>
        </is>
      </c>
      <c r="F1728" s="99" t="n">
        <v>44991</v>
      </c>
      <c r="G1728" s="100" t="n"/>
    </row>
    <row r="1729" ht="16" customHeight="1">
      <c r="A1729" s="98" t="n">
        <v>814577</v>
      </c>
      <c r="B1729" s="98" t="inlineStr">
        <is>
          <t>PETER VELLA SWEET RED</t>
        </is>
      </c>
      <c r="C1729" s="97">
        <f>VLOOKUP(A1729,SizeData!A$2:B$3839,2,FALSE)</f>
        <v/>
      </c>
      <c r="D1729" s="98" t="n">
        <v>1</v>
      </c>
      <c r="E1729" s="98" t="inlineStr">
        <is>
          <t>R2020651</t>
        </is>
      </c>
      <c r="F1729" s="99" t="n">
        <v>45000</v>
      </c>
      <c r="G1729" s="100" t="n"/>
    </row>
    <row r="1730" ht="16" customHeight="1">
      <c r="A1730" s="98" t="n">
        <v>814577</v>
      </c>
      <c r="B1730" s="98" t="inlineStr">
        <is>
          <t>PETER VELLA SWEET RED</t>
        </is>
      </c>
      <c r="C1730" s="97">
        <f>VLOOKUP(A1730,SizeData!A$2:B$3839,2,FALSE)</f>
        <v/>
      </c>
      <c r="D1730" s="98" t="n">
        <v>2</v>
      </c>
      <c r="E1730" s="98" t="inlineStr">
        <is>
          <t>R2075056</t>
        </is>
      </c>
      <c r="F1730" s="99" t="n">
        <v>45036</v>
      </c>
      <c r="G1730" s="100" t="n"/>
    </row>
    <row r="1731" ht="16" customHeight="1">
      <c r="A1731" s="98" t="n">
        <v>93567</v>
      </c>
      <c r="B1731" s="98" t="inlineStr">
        <is>
          <t>TAYLOR DESSERTS PORT</t>
        </is>
      </c>
      <c r="C1731" s="97">
        <f>VLOOKUP(A1731,SizeData!A$2:B$3839,2,FALSE)</f>
        <v/>
      </c>
      <c r="D1731" s="98" t="n">
        <v>10</v>
      </c>
      <c r="E1731" s="98" t="inlineStr">
        <is>
          <t>R1911115</t>
        </is>
      </c>
      <c r="F1731" s="99" t="n">
        <v>44908</v>
      </c>
      <c r="G1731" s="100" t="n"/>
    </row>
    <row r="1732" ht="16" customHeight="1">
      <c r="A1732" s="98" t="n">
        <v>93567</v>
      </c>
      <c r="B1732" s="98" t="inlineStr">
        <is>
          <t>TAYLOR DESSERTS PORT</t>
        </is>
      </c>
      <c r="C1732" s="97">
        <f>VLOOKUP(A1732,SizeData!A$2:B$3839,2,FALSE)</f>
        <v/>
      </c>
      <c r="D1732" s="98" t="n">
        <v>5</v>
      </c>
      <c r="E1732" s="98" t="inlineStr">
        <is>
          <t>R1903049</t>
        </is>
      </c>
      <c r="F1732" s="99" t="n">
        <v>44916</v>
      </c>
      <c r="G1732" s="100" t="n"/>
    </row>
    <row r="1733" ht="16" customHeight="1">
      <c r="A1733" s="98" t="n">
        <v>93568</v>
      </c>
      <c r="B1733" s="98" t="inlineStr">
        <is>
          <t>TAYLOR DESSERTS PORT</t>
        </is>
      </c>
      <c r="C1733" s="97">
        <f>VLOOKUP(A1733,SizeData!A$2:B$3839,2,FALSE)</f>
        <v/>
      </c>
      <c r="D1733" s="98" t="n">
        <v>4</v>
      </c>
      <c r="E1733" s="98" t="inlineStr">
        <is>
          <t>R1903049</t>
        </is>
      </c>
      <c r="F1733" s="99" t="n">
        <v>44916</v>
      </c>
      <c r="G1733" s="100" t="n"/>
    </row>
    <row r="1734" ht="16" customHeight="1">
      <c r="A1734" s="101" t="n">
        <v>48996</v>
      </c>
      <c r="B1734" s="101" t="inlineStr">
        <is>
          <t>PIERRE FERRAND AMBRE</t>
        </is>
      </c>
      <c r="C1734" s="102">
        <f>VLOOKUP(A1734,SizeData!A$2:B$3839,2,FALSE)</f>
        <v/>
      </c>
      <c r="D1734" s="101" t="n">
        <v>1</v>
      </c>
      <c r="E1734" s="101" t="inlineStr">
        <is>
          <t>R1984031</t>
        </is>
      </c>
      <c r="F1734" s="103" t="n">
        <v>44980</v>
      </c>
      <c r="G1734" s="104" t="n"/>
    </row>
    <row r="1735" ht="16" customHeight="1">
      <c r="A1735" s="98" t="n">
        <v>49000</v>
      </c>
      <c r="B1735" s="98" t="inlineStr">
        <is>
          <t>PIERRE FERRAND ORIGINAL 1840 FORMULA</t>
        </is>
      </c>
      <c r="C1735" s="97">
        <f>VLOOKUP(A1735,SizeData!A$2:B$3839,2,FALSE)</f>
        <v/>
      </c>
      <c r="D1735" s="98" t="n">
        <v>1</v>
      </c>
      <c r="E1735" s="98" t="inlineStr">
        <is>
          <t>R1984031</t>
        </is>
      </c>
      <c r="F1735" s="99" t="n">
        <v>44980</v>
      </c>
      <c r="G1735" s="100" t="n"/>
    </row>
    <row r="1736" ht="16" customHeight="1">
      <c r="A1736" s="98" t="n">
        <v>93566</v>
      </c>
      <c r="B1736" s="98" t="inlineStr">
        <is>
          <t>TAYLOR N Y PORT</t>
        </is>
      </c>
      <c r="C1736" s="97">
        <f>VLOOKUP(A1736,SizeData!A$2:B$3839,2,FALSE)</f>
        <v/>
      </c>
      <c r="D1736" s="98" t="n">
        <v>10</v>
      </c>
      <c r="E1736" s="98" t="inlineStr">
        <is>
          <t>R1903049</t>
        </is>
      </c>
      <c r="F1736" s="99" t="n">
        <v>44916</v>
      </c>
      <c r="G1736" s="100" t="n"/>
    </row>
    <row r="1737" ht="16" customHeight="1">
      <c r="A1737" s="98" t="n">
        <v>35953</v>
      </c>
      <c r="B1737" s="98" t="inlineStr">
        <is>
          <t>PINNACLE PINEAPPLE FLAVORED VODKA</t>
        </is>
      </c>
      <c r="C1737" s="97">
        <f>VLOOKUP(A1737,SizeData!A$2:B$3839,2,FALSE)</f>
        <v/>
      </c>
      <c r="D1737" s="98" t="n">
        <v>3</v>
      </c>
      <c r="E1737" s="98" t="inlineStr">
        <is>
          <t>R2059845</t>
        </is>
      </c>
      <c r="F1737" s="99" t="n">
        <v>45041</v>
      </c>
      <c r="G1737" s="100" t="n"/>
    </row>
    <row r="1738" ht="16" customHeight="1">
      <c r="A1738" s="98" t="n">
        <v>34578</v>
      </c>
      <c r="B1738" s="98" t="inlineStr">
        <is>
          <t>PINNACLE VODKA</t>
        </is>
      </c>
      <c r="C1738" s="97">
        <f>VLOOKUP(A1738,SizeData!A$2:B$3839,2,FALSE)</f>
        <v/>
      </c>
      <c r="D1738" s="98" t="n">
        <v>1</v>
      </c>
      <c r="E1738" s="98" t="inlineStr">
        <is>
          <t>R2030138</t>
        </is>
      </c>
      <c r="F1738" s="99" t="n">
        <v>44986</v>
      </c>
      <c r="G1738" s="100" t="n"/>
    </row>
    <row r="1739" ht="16" customHeight="1">
      <c r="A1739" s="98" t="n">
        <v>34578</v>
      </c>
      <c r="B1739" s="98" t="inlineStr">
        <is>
          <t>PINNACLE VODKA</t>
        </is>
      </c>
      <c r="C1739" s="97">
        <f>VLOOKUP(A1739,SizeData!A$2:B$3839,2,FALSE)</f>
        <v/>
      </c>
      <c r="D1739" s="98" t="n">
        <v>4</v>
      </c>
      <c r="E1739" s="98" t="inlineStr">
        <is>
          <t>R1999510</t>
        </is>
      </c>
      <c r="F1739" s="99" t="n">
        <v>44987</v>
      </c>
      <c r="G1739" s="100" t="n"/>
    </row>
    <row r="1740" ht="16" customHeight="1">
      <c r="A1740" s="98" t="n">
        <v>34578</v>
      </c>
      <c r="B1740" s="98" t="inlineStr">
        <is>
          <t>PINNACLE VODKA</t>
        </is>
      </c>
      <c r="C1740" s="97">
        <f>VLOOKUP(A1740,SizeData!A$2:B$3839,2,FALSE)</f>
        <v/>
      </c>
      <c r="D1740" s="98" t="n">
        <v>1</v>
      </c>
      <c r="E1740" s="98" t="inlineStr">
        <is>
          <t>R2015823</t>
        </is>
      </c>
      <c r="F1740" s="99" t="n">
        <v>44991</v>
      </c>
      <c r="G1740" s="100" t="n"/>
    </row>
    <row r="1741" ht="16" customHeight="1">
      <c r="A1741" s="98" t="n">
        <v>34579</v>
      </c>
      <c r="B1741" s="98" t="inlineStr">
        <is>
          <t>PINNACLE VODKA</t>
        </is>
      </c>
      <c r="C1741" s="97">
        <f>VLOOKUP(A1741,SizeData!A$2:B$3839,2,FALSE)</f>
        <v/>
      </c>
      <c r="D1741" s="98" t="n">
        <v>1</v>
      </c>
      <c r="E1741" s="98" t="inlineStr">
        <is>
          <t>R2082317</t>
        </is>
      </c>
      <c r="F1741" s="99" t="n">
        <v>45047</v>
      </c>
      <c r="G1741" s="100" t="n"/>
    </row>
    <row r="1742" ht="16" customHeight="1">
      <c r="A1742" s="101" t="n">
        <v>35626</v>
      </c>
      <c r="B1742" s="101" t="inlineStr">
        <is>
          <t>PINNACLE WHIPPED CREAM FLAVORED VODKA</t>
        </is>
      </c>
      <c r="C1742" s="102">
        <f>VLOOKUP(A1742,SizeData!A$2:B$3839,2,FALSE)</f>
        <v/>
      </c>
      <c r="D1742" s="101" t="n">
        <v>1</v>
      </c>
      <c r="E1742" s="101" t="inlineStr">
        <is>
          <t>R2010122</t>
        </is>
      </c>
      <c r="F1742" s="103" t="n">
        <v>44981</v>
      </c>
      <c r="G1742" s="104" t="n"/>
    </row>
    <row r="1743" ht="16" customHeight="1">
      <c r="A1743" s="98" t="n">
        <v>76892</v>
      </c>
      <c r="B1743" s="98" t="inlineStr">
        <is>
          <t>PLANTATION PINEAPPPLE STIGGINS FANCY 1824</t>
        </is>
      </c>
      <c r="C1743" s="97">
        <f>VLOOKUP(A1743,SizeData!A$2:B$3839,2,FALSE)</f>
        <v/>
      </c>
      <c r="D1743" s="98" t="n">
        <v>1</v>
      </c>
      <c r="E1743" s="98" t="inlineStr">
        <is>
          <t>R2022490</t>
        </is>
      </c>
      <c r="F1743" s="99" t="n">
        <v>45014</v>
      </c>
      <c r="G1743" s="100" t="n"/>
    </row>
    <row r="1744" ht="16" customHeight="1">
      <c r="A1744" s="98" t="n">
        <v>24174</v>
      </c>
      <c r="B1744" s="98" t="inlineStr">
        <is>
          <t>QUALITY HOUSE BLENDED WHISKEY</t>
        </is>
      </c>
      <c r="C1744" s="97">
        <f>VLOOKUP(A1744,SizeData!A$2:B$3839,2,FALSE)</f>
        <v/>
      </c>
      <c r="D1744" s="98" t="n">
        <v>2</v>
      </c>
      <c r="E1744" s="98" t="inlineStr">
        <is>
          <t>R1929741</t>
        </is>
      </c>
      <c r="F1744" s="99" t="n">
        <v>44935</v>
      </c>
      <c r="G1744" s="100" t="n"/>
    </row>
    <row r="1745" ht="16" customHeight="1">
      <c r="A1745" s="98" t="n">
        <v>24173</v>
      </c>
      <c r="B1745" s="98" t="inlineStr">
        <is>
          <t>QUALITY HOUSE BLENDED WHISKEY</t>
        </is>
      </c>
      <c r="C1745" s="97">
        <f>VLOOKUP(A1745,SizeData!A$2:B$3839,2,FALSE)</f>
        <v/>
      </c>
      <c r="D1745" s="98" t="n">
        <v>1</v>
      </c>
      <c r="E1745" s="98" t="inlineStr">
        <is>
          <t>R1929741</t>
        </is>
      </c>
      <c r="F1745" s="99" t="n">
        <v>44935</v>
      </c>
      <c r="G1745" s="100" t="n"/>
    </row>
    <row r="1746" ht="16" customHeight="1">
      <c r="A1746" s="98" t="n">
        <v>24178</v>
      </c>
      <c r="B1746" s="98" t="inlineStr">
        <is>
          <t>QUALITY HOUSE BLENDED WHISKEY</t>
        </is>
      </c>
      <c r="C1746" s="97">
        <f>VLOOKUP(A1746,SizeData!A$2:B$3839,2,FALSE)</f>
        <v/>
      </c>
      <c r="D1746" s="98" t="n">
        <v>2</v>
      </c>
      <c r="E1746" s="98" t="inlineStr">
        <is>
          <t>R1943057</t>
        </is>
      </c>
      <c r="F1746" s="99" t="n">
        <v>44945</v>
      </c>
      <c r="G1746" s="100" t="n"/>
    </row>
    <row r="1747" ht="16" customHeight="1">
      <c r="A1747" s="98" t="n">
        <v>24174</v>
      </c>
      <c r="B1747" s="98" t="inlineStr">
        <is>
          <t>QUALITY HOUSE BLENDED WHISKEY</t>
        </is>
      </c>
      <c r="C1747" s="97">
        <f>VLOOKUP(A1747,SizeData!A$2:B$3839,2,FALSE)</f>
        <v/>
      </c>
      <c r="D1747" s="98" t="n">
        <v>2</v>
      </c>
      <c r="E1747" s="98" t="inlineStr">
        <is>
          <t>R1960024</t>
        </is>
      </c>
      <c r="F1747" s="99" t="n">
        <v>44950</v>
      </c>
      <c r="G1747" s="100" t="n"/>
    </row>
    <row r="1748" ht="16" customHeight="1">
      <c r="A1748" s="98" t="n">
        <v>24178</v>
      </c>
      <c r="B1748" s="98" t="inlineStr">
        <is>
          <t>QUALITY HOUSE BLENDED WHISKEY</t>
        </is>
      </c>
      <c r="C1748" s="97">
        <f>VLOOKUP(A1748,SizeData!A$2:B$3839,2,FALSE)</f>
        <v/>
      </c>
      <c r="D1748" s="98" t="n">
        <v>1</v>
      </c>
      <c r="E1748" s="98" t="inlineStr">
        <is>
          <t>R1951380</t>
        </is>
      </c>
      <c r="F1748" s="99" t="n">
        <v>44953</v>
      </c>
      <c r="G1748" s="100" t="n"/>
    </row>
    <row r="1749" ht="16" customHeight="1">
      <c r="A1749" s="101" t="n">
        <v>24176</v>
      </c>
      <c r="B1749" s="101" t="inlineStr">
        <is>
          <t>QUALITY HOUSE BLENDED WHISKEY</t>
        </is>
      </c>
      <c r="C1749" s="102">
        <f>VLOOKUP(A1749,SizeData!A$2:B$3839,2,FALSE)</f>
        <v/>
      </c>
      <c r="D1749" s="101" t="n">
        <v>1</v>
      </c>
      <c r="E1749" s="101" t="inlineStr">
        <is>
          <t>R1971458</t>
        </is>
      </c>
      <c r="F1749" s="103" t="n">
        <v>44961</v>
      </c>
      <c r="G1749" s="104" t="n"/>
    </row>
    <row r="1750" ht="16" customHeight="1">
      <c r="A1750" s="98" t="n">
        <v>24174</v>
      </c>
      <c r="B1750" s="98" t="inlineStr">
        <is>
          <t>QUALITY HOUSE BLENDED WHISKEY</t>
        </is>
      </c>
      <c r="C1750" s="97">
        <f>VLOOKUP(A1750,SizeData!A$2:B$3839,2,FALSE)</f>
        <v/>
      </c>
      <c r="D1750" s="98" t="n">
        <v>2</v>
      </c>
      <c r="E1750" s="98" t="inlineStr">
        <is>
          <t>R1991528</t>
        </is>
      </c>
      <c r="F1750" s="99" t="n">
        <v>44974</v>
      </c>
      <c r="G1750" s="100" t="n"/>
    </row>
    <row r="1751" ht="16" customFormat="1" customHeight="1" s="14">
      <c r="A1751" s="98" t="n">
        <v>24176</v>
      </c>
      <c r="B1751" s="98" t="inlineStr">
        <is>
          <t>QUALITY HOUSE BLENDED WHISKEY</t>
        </is>
      </c>
      <c r="C1751" s="97">
        <f>VLOOKUP(A1751,SizeData!A$2:B$3839,2,FALSE)</f>
        <v/>
      </c>
      <c r="D1751" s="98" t="n">
        <v>1</v>
      </c>
      <c r="E1751" s="98" t="inlineStr">
        <is>
          <t>R1984049</t>
        </is>
      </c>
      <c r="F1751" s="99" t="n">
        <v>44984</v>
      </c>
      <c r="G1751" s="100" t="n"/>
    </row>
    <row r="1752" ht="16" customFormat="1" customHeight="1" s="14">
      <c r="A1752" s="98" t="n">
        <v>24178</v>
      </c>
      <c r="B1752" s="98" t="inlineStr">
        <is>
          <t>QUALITY HOUSE BLENDED WHISKEY</t>
        </is>
      </c>
      <c r="C1752" s="97">
        <f>VLOOKUP(A1752,SizeData!A$2:B$3839,2,FALSE)</f>
        <v/>
      </c>
      <c r="D1752" s="98" t="n">
        <v>2</v>
      </c>
      <c r="E1752" s="98" t="inlineStr">
        <is>
          <t>R1984049</t>
        </is>
      </c>
      <c r="F1752" s="99" t="n">
        <v>44984</v>
      </c>
      <c r="G1752" s="100" t="n"/>
    </row>
    <row r="1753" ht="16" customFormat="1" customHeight="1" s="14">
      <c r="A1753" s="101" t="n">
        <v>24173</v>
      </c>
      <c r="B1753" s="101" t="inlineStr">
        <is>
          <t>QUALITY HOUSE BLENDED WHISKEY</t>
        </is>
      </c>
      <c r="C1753" s="102">
        <f>VLOOKUP(A1753,SizeData!A$2:B$3839,2,FALSE)</f>
        <v/>
      </c>
      <c r="D1753" s="101" t="n">
        <v>1</v>
      </c>
      <c r="E1753" s="101" t="inlineStr">
        <is>
          <t>R1992599</t>
        </is>
      </c>
      <c r="F1753" s="103" t="n">
        <v>44989</v>
      </c>
      <c r="G1753" s="104" t="n"/>
    </row>
    <row r="1754" ht="16" customHeight="1">
      <c r="A1754" s="98" t="n">
        <v>24174</v>
      </c>
      <c r="B1754" s="98" t="inlineStr">
        <is>
          <t>QUALITY HOUSE BLENDED WHISKEY</t>
        </is>
      </c>
      <c r="C1754" s="97">
        <f>VLOOKUP(A1754,SizeData!A$2:B$3839,2,FALSE)</f>
        <v/>
      </c>
      <c r="D1754" s="98" t="n">
        <v>1</v>
      </c>
      <c r="E1754" s="98" t="inlineStr">
        <is>
          <t>R2023718</t>
        </is>
      </c>
      <c r="F1754" s="99" t="n">
        <v>45003</v>
      </c>
      <c r="G1754" s="100" t="n"/>
    </row>
    <row r="1755" ht="16" customHeight="1">
      <c r="A1755" s="98" t="n">
        <v>24177</v>
      </c>
      <c r="B1755" s="98" t="inlineStr">
        <is>
          <t>QUALITY HOUSE BLENDED WHISKEY</t>
        </is>
      </c>
      <c r="C1755" s="97">
        <f>VLOOKUP(A1755,SizeData!A$2:B$3839,2,FALSE)</f>
        <v/>
      </c>
      <c r="D1755" s="98" t="n">
        <v>1</v>
      </c>
      <c r="E1755" s="98" t="inlineStr">
        <is>
          <t>R2023718</t>
        </is>
      </c>
      <c r="F1755" s="99" t="n">
        <v>45003</v>
      </c>
      <c r="G1755" s="100" t="n"/>
    </row>
    <row r="1756" ht="16" customHeight="1">
      <c r="A1756" s="101" t="n">
        <v>24176</v>
      </c>
      <c r="B1756" s="101" t="inlineStr">
        <is>
          <t>QUALITY HOUSE BLENDED WHISKEY</t>
        </is>
      </c>
      <c r="C1756" s="102">
        <f>VLOOKUP(A1756,SizeData!A$2:B$3839,2,FALSE)</f>
        <v/>
      </c>
      <c r="D1756" s="101" t="n">
        <v>1</v>
      </c>
      <c r="E1756" s="101" t="inlineStr">
        <is>
          <t>R2041213</t>
        </is>
      </c>
      <c r="F1756" s="103" t="n">
        <v>45010</v>
      </c>
      <c r="G1756" s="104" t="n"/>
    </row>
    <row r="1757" ht="16" customHeight="1">
      <c r="A1757" s="98" t="n">
        <v>24176</v>
      </c>
      <c r="B1757" s="98" t="inlineStr">
        <is>
          <t>QUALITY HOUSE BLENDED WHISKEY</t>
        </is>
      </c>
      <c r="C1757" s="97">
        <f>VLOOKUP(A1757,SizeData!A$2:B$3839,2,FALSE)</f>
        <v/>
      </c>
      <c r="D1757" s="98" t="n">
        <v>1</v>
      </c>
      <c r="E1757" s="98" t="inlineStr">
        <is>
          <t>R2073308</t>
        </is>
      </c>
      <c r="F1757" s="99" t="n">
        <v>45038</v>
      </c>
      <c r="G1757" s="100" t="n"/>
    </row>
    <row r="1758" ht="16" customHeight="1">
      <c r="A1758" s="98" t="n">
        <v>24174</v>
      </c>
      <c r="B1758" s="98" t="inlineStr">
        <is>
          <t>QUALITY HOUSE BLENDED WHISKEY</t>
        </is>
      </c>
      <c r="C1758" s="97">
        <f>VLOOKUP(A1758,SizeData!A$2:B$3839,2,FALSE)</f>
        <v/>
      </c>
      <c r="D1758" s="98" t="n">
        <v>2</v>
      </c>
      <c r="E1758" s="98" t="inlineStr">
        <is>
          <t>R2074828</t>
        </is>
      </c>
      <c r="F1758" s="99" t="n">
        <v>45045</v>
      </c>
      <c r="G1758" s="100" t="n"/>
    </row>
    <row r="1759" ht="16" customHeight="1">
      <c r="A1759" s="98" t="n">
        <v>24176</v>
      </c>
      <c r="B1759" s="98" t="inlineStr">
        <is>
          <t>QUALITY HOUSE BLENDED WHISKEY</t>
        </is>
      </c>
      <c r="C1759" s="97">
        <f>VLOOKUP(A1759,SizeData!A$2:B$3839,2,FALSE)</f>
        <v/>
      </c>
      <c r="D1759" s="98" t="n">
        <v>1</v>
      </c>
      <c r="E1759" s="98" t="inlineStr">
        <is>
          <t>R2083969</t>
        </is>
      </c>
      <c r="F1759" s="99" t="n">
        <v>45049</v>
      </c>
      <c r="G1759" s="100" t="n"/>
    </row>
    <row r="1760" ht="16" customHeight="1">
      <c r="A1760" s="98" t="n">
        <v>65200</v>
      </c>
      <c r="B1760" s="98" t="inlineStr">
        <is>
          <t>TEQUILA ROSE STRAWBERRY LIQUEUR</t>
        </is>
      </c>
      <c r="C1760" s="97">
        <f>VLOOKUP(A1760,SizeData!A$2:B$3839,2,FALSE)</f>
        <v/>
      </c>
      <c r="D1760" s="98" t="n">
        <v>1</v>
      </c>
      <c r="E1760" s="98" t="inlineStr">
        <is>
          <t>R1910748</t>
        </is>
      </c>
      <c r="F1760" s="99" t="n">
        <v>44908</v>
      </c>
      <c r="G1760" s="100" t="n"/>
    </row>
    <row r="1761" ht="16" customHeight="1">
      <c r="A1761" s="98" t="n">
        <v>65204</v>
      </c>
      <c r="B1761" s="98" t="inlineStr">
        <is>
          <t>TEQUILA ROSE STRAWBERRY LIQUEUR</t>
        </is>
      </c>
      <c r="C1761" s="97">
        <f>VLOOKUP(A1761,SizeData!A$2:B$3839,2,FALSE)</f>
        <v/>
      </c>
      <c r="D1761" s="98" t="n">
        <v>4</v>
      </c>
      <c r="E1761" s="98" t="inlineStr">
        <is>
          <t>R1904959</t>
        </is>
      </c>
      <c r="F1761" s="99" t="n">
        <v>44917</v>
      </c>
      <c r="G1761" s="100" t="n"/>
    </row>
    <row r="1762" ht="16" customHeight="1">
      <c r="A1762" s="98" t="n">
        <v>65204</v>
      </c>
      <c r="B1762" s="98" t="inlineStr">
        <is>
          <t>TEQUILA ROSE STRAWBERRY LIQUEUR</t>
        </is>
      </c>
      <c r="C1762" s="97">
        <f>VLOOKUP(A1762,SizeData!A$2:B$3839,2,FALSE)</f>
        <v/>
      </c>
      <c r="D1762" s="98" t="n">
        <v>23</v>
      </c>
      <c r="E1762" s="98" t="inlineStr">
        <is>
          <t>R1907698</t>
        </is>
      </c>
      <c r="F1762" s="99" t="n">
        <v>44917</v>
      </c>
      <c r="G1762" s="100" t="n"/>
    </row>
    <row r="1763" ht="16" customHeight="1">
      <c r="A1763" s="98" t="n">
        <v>37588</v>
      </c>
      <c r="B1763" s="98" t="inlineStr">
        <is>
          <t>RAIN VODKA</t>
        </is>
      </c>
      <c r="C1763" s="97">
        <f>VLOOKUP(A1763,SizeData!A$2:B$3839,2,FALSE)</f>
        <v/>
      </c>
      <c r="D1763" s="98" t="n">
        <v>1</v>
      </c>
      <c r="E1763" s="98" t="inlineStr">
        <is>
          <t>R2014242</t>
        </is>
      </c>
      <c r="F1763" s="99" t="n">
        <v>44999</v>
      </c>
      <c r="G1763" s="100" t="n"/>
    </row>
    <row r="1764" ht="16" customHeight="1">
      <c r="A1764" s="98" t="n">
        <v>37586</v>
      </c>
      <c r="B1764" s="98" t="inlineStr">
        <is>
          <t>RAIN VODKA</t>
        </is>
      </c>
      <c r="C1764" s="97">
        <f>VLOOKUP(A1764,SizeData!A$2:B$3839,2,FALSE)</f>
        <v/>
      </c>
      <c r="D1764" s="98" t="n">
        <v>1</v>
      </c>
      <c r="E1764" s="98" t="inlineStr">
        <is>
          <t>R2073308</t>
        </is>
      </c>
      <c r="F1764" s="99" t="n">
        <v>45038</v>
      </c>
      <c r="G1764" s="100" t="n"/>
    </row>
    <row r="1765" ht="16" customHeight="1">
      <c r="A1765" s="101" t="n">
        <v>37588</v>
      </c>
      <c r="B1765" s="101" t="inlineStr">
        <is>
          <t>RAIN VODKA</t>
        </is>
      </c>
      <c r="C1765" s="102">
        <f>VLOOKUP(A1765,SizeData!A$2:B$3839,2,FALSE)</f>
        <v/>
      </c>
      <c r="D1765" s="101" t="n">
        <v>3</v>
      </c>
      <c r="E1765" s="101" t="inlineStr">
        <is>
          <t>R2082317</t>
        </is>
      </c>
      <c r="F1765" s="103" t="n">
        <v>45047</v>
      </c>
      <c r="G1765" s="104" t="n"/>
    </row>
    <row r="1766" ht="16" customHeight="1">
      <c r="A1766" s="98" t="n">
        <v>892843</v>
      </c>
      <c r="B1766" s="98" t="inlineStr">
        <is>
          <t>RANCHO LA GLORIA BLUEBERRY MARGARITA</t>
        </is>
      </c>
      <c r="C1766" s="97">
        <f>VLOOKUP(A1766,SizeData!A$2:B$3839,2,FALSE)</f>
        <v/>
      </c>
      <c r="D1766" s="98" t="n">
        <v>2</v>
      </c>
      <c r="E1766" s="98" t="inlineStr">
        <is>
          <t>R1926599</t>
        </is>
      </c>
      <c r="F1766" s="99" t="n">
        <v>44933</v>
      </c>
      <c r="G1766" s="100" t="n"/>
    </row>
    <row r="1767" ht="16" customHeight="1">
      <c r="A1767" s="98" t="n">
        <v>892843</v>
      </c>
      <c r="B1767" s="98" t="inlineStr">
        <is>
          <t>RANCHO LA GLORIA BLUEBERRY MARGARITA</t>
        </is>
      </c>
      <c r="C1767" s="97">
        <f>VLOOKUP(A1767,SizeData!A$2:B$3839,2,FALSE)</f>
        <v/>
      </c>
      <c r="D1767" s="98" t="n">
        <v>1</v>
      </c>
      <c r="E1767" s="98" t="inlineStr">
        <is>
          <t>R1992599</t>
        </is>
      </c>
      <c r="F1767" s="99" t="n">
        <v>44989</v>
      </c>
      <c r="G1767" s="100" t="n"/>
    </row>
    <row r="1768" ht="16" customHeight="1">
      <c r="A1768" s="98" t="n">
        <v>892843</v>
      </c>
      <c r="B1768" s="98" t="inlineStr">
        <is>
          <t>RANCHO LA GLORIA BLUEBERRY MARGARITA</t>
        </is>
      </c>
      <c r="C1768" s="97">
        <f>VLOOKUP(A1768,SizeData!A$2:B$3839,2,FALSE)</f>
        <v/>
      </c>
      <c r="D1768" s="98" t="n">
        <v>1</v>
      </c>
      <c r="E1768" s="98" t="inlineStr">
        <is>
          <t>R2021274</t>
        </is>
      </c>
      <c r="F1768" s="99" t="n">
        <v>44998</v>
      </c>
      <c r="G1768" s="100" t="n"/>
    </row>
    <row r="1769" ht="16" customHeight="1">
      <c r="A1769" s="98" t="n">
        <v>892843</v>
      </c>
      <c r="B1769" s="98" t="inlineStr">
        <is>
          <t>RANCHO LA GLORIA BLUEBERRY MARGARITA</t>
        </is>
      </c>
      <c r="C1769" s="97">
        <f>VLOOKUP(A1769,SizeData!A$2:B$3839,2,FALSE)</f>
        <v/>
      </c>
      <c r="D1769" s="98" t="n">
        <v>1</v>
      </c>
      <c r="E1769" s="98" t="inlineStr">
        <is>
          <t>R2035192</t>
        </is>
      </c>
      <c r="F1769" s="99" t="n">
        <v>45009</v>
      </c>
      <c r="G1769" s="100" t="n"/>
    </row>
    <row r="1770" ht="16" customHeight="1">
      <c r="A1770" s="98" t="n">
        <v>892843</v>
      </c>
      <c r="B1770" s="98" t="inlineStr">
        <is>
          <t>RANCHO LA GLORIA BLUEBERRY MARGARITA</t>
        </is>
      </c>
      <c r="C1770" s="97">
        <f>VLOOKUP(A1770,SizeData!A$2:B$3839,2,FALSE)</f>
        <v/>
      </c>
      <c r="D1770" s="98" t="n">
        <v>1</v>
      </c>
      <c r="E1770" s="98" t="inlineStr">
        <is>
          <t>R2067759</t>
        </is>
      </c>
      <c r="F1770" s="99" t="n">
        <v>45037</v>
      </c>
      <c r="G1770" s="100" t="n"/>
    </row>
    <row r="1771" ht="16" customHeight="1">
      <c r="A1771" s="98" t="n">
        <v>892850</v>
      </c>
      <c r="B1771" s="98" t="inlineStr">
        <is>
          <t>RANCHO LA GLORIA MARGARITA WINE COCKTAIL 12-750ML</t>
        </is>
      </c>
      <c r="C1771" s="97">
        <f>VLOOKUP(A1771,SizeData!A$2:B$3839,2,FALSE)</f>
        <v/>
      </c>
      <c r="D1771" s="98" t="n">
        <v>1</v>
      </c>
      <c r="E1771" s="98" t="inlineStr">
        <is>
          <t>R2010980</t>
        </is>
      </c>
      <c r="F1771" s="99" t="n">
        <v>44995</v>
      </c>
      <c r="G1771" s="100" t="n"/>
    </row>
    <row r="1772" ht="16" customHeight="1">
      <c r="A1772" s="98" t="n">
        <v>892850</v>
      </c>
      <c r="B1772" s="98" t="inlineStr">
        <is>
          <t>RANCHO LA GLORIA MARGARITA WINE COCKTAIL 12-750ML</t>
        </is>
      </c>
      <c r="C1772" s="97">
        <f>VLOOKUP(A1772,SizeData!A$2:B$3839,2,FALSE)</f>
        <v/>
      </c>
      <c r="D1772" s="98" t="n">
        <v>1</v>
      </c>
      <c r="E1772" s="98" t="inlineStr">
        <is>
          <t>R2035192</t>
        </is>
      </c>
      <c r="F1772" s="99" t="n">
        <v>45009</v>
      </c>
      <c r="G1772" s="100" t="n"/>
    </row>
    <row r="1773" ht="16" customHeight="1">
      <c r="A1773" s="98" t="n">
        <v>892850</v>
      </c>
      <c r="B1773" s="98" t="inlineStr">
        <is>
          <t>RANCHO LA GLORIA MARGARITA WINE COCKTAIL 12-750ML</t>
        </is>
      </c>
      <c r="C1773" s="97">
        <f>VLOOKUP(A1773,SizeData!A$2:B$3839,2,FALSE)</f>
        <v/>
      </c>
      <c r="D1773" s="98" t="n">
        <v>1</v>
      </c>
      <c r="E1773" s="98" t="inlineStr">
        <is>
          <t>R2044661</t>
        </is>
      </c>
      <c r="F1773" s="99" t="n">
        <v>45020</v>
      </c>
      <c r="G1773" s="100" t="n"/>
    </row>
    <row r="1774" ht="16" customHeight="1">
      <c r="A1774" s="98" t="n">
        <v>892847</v>
      </c>
      <c r="B1774" s="98" t="inlineStr">
        <is>
          <t>RANCHO LA GLORIA PINK LEMONADE MARGARITA</t>
        </is>
      </c>
      <c r="C1774" s="97">
        <f>VLOOKUP(A1774,SizeData!A$2:B$3839,2,FALSE)</f>
        <v/>
      </c>
      <c r="D1774" s="98" t="n">
        <v>1</v>
      </c>
      <c r="E1774" s="98" t="inlineStr">
        <is>
          <t>R2056672</t>
        </is>
      </c>
      <c r="F1774" s="99" t="n">
        <v>45031</v>
      </c>
      <c r="G1774" s="100" t="n"/>
    </row>
    <row r="1775" ht="16" customHeight="1">
      <c r="A1775" s="98" t="n">
        <v>892852</v>
      </c>
      <c r="B1775" s="98" t="inlineStr">
        <is>
          <t>RANCHO LA GLORIA STRAWBERRY MARG</t>
        </is>
      </c>
      <c r="C1775" s="97">
        <f>VLOOKUP(A1775,SizeData!A$2:B$3839,2,FALSE)</f>
        <v/>
      </c>
      <c r="D1775" s="98" t="n">
        <v>2</v>
      </c>
      <c r="E1775" s="98" t="inlineStr">
        <is>
          <t>R1949716</t>
        </is>
      </c>
      <c r="F1775" s="99" t="n">
        <v>44950</v>
      </c>
      <c r="G1775" s="100" t="n"/>
    </row>
    <row r="1776" ht="16" customHeight="1">
      <c r="A1776" s="98" t="n">
        <v>892852</v>
      </c>
      <c r="B1776" s="98" t="inlineStr">
        <is>
          <t>RANCHO LA GLORIA STRAWBERRY MARG</t>
        </is>
      </c>
      <c r="C1776" s="97">
        <f>VLOOKUP(A1776,SizeData!A$2:B$3839,2,FALSE)</f>
        <v/>
      </c>
      <c r="D1776" s="98" t="n">
        <v>2</v>
      </c>
      <c r="E1776" s="98" t="inlineStr">
        <is>
          <t>R2021274</t>
        </is>
      </c>
      <c r="F1776" s="99" t="n">
        <v>44998</v>
      </c>
      <c r="G1776" s="100" t="n"/>
    </row>
    <row r="1777" ht="16" customHeight="1">
      <c r="A1777" s="98" t="n">
        <v>892852</v>
      </c>
      <c r="B1777" s="98" t="inlineStr">
        <is>
          <t>RANCHO LA GLORIA STRAWBERRY MARG</t>
        </is>
      </c>
      <c r="C1777" s="97">
        <f>VLOOKUP(A1777,SizeData!A$2:B$3839,2,FALSE)</f>
        <v/>
      </c>
      <c r="D1777" s="98" t="n">
        <v>2</v>
      </c>
      <c r="E1777" s="98" t="inlineStr">
        <is>
          <t>R2035192</t>
        </is>
      </c>
      <c r="F1777" s="99" t="n">
        <v>45009</v>
      </c>
      <c r="G1777" s="100" t="n"/>
    </row>
    <row r="1778" ht="16" customHeight="1">
      <c r="A1778" s="98" t="n">
        <v>892856</v>
      </c>
      <c r="B1778" s="98" t="inlineStr">
        <is>
          <t>RANCHO LA GLORIA WATERMELON MARG WINE COCKTAIL</t>
        </is>
      </c>
      <c r="C1778" s="97">
        <f>VLOOKUP(A1778,SizeData!A$2:B$3839,2,FALSE)</f>
        <v/>
      </c>
      <c r="D1778" s="98" t="n">
        <v>2</v>
      </c>
      <c r="E1778" s="98" t="inlineStr">
        <is>
          <t>R1956061</t>
        </is>
      </c>
      <c r="F1778" s="99" t="n">
        <v>44956</v>
      </c>
      <c r="G1778" s="100" t="n"/>
    </row>
    <row r="1779" ht="16" customHeight="1">
      <c r="A1779" s="98" t="n">
        <v>892856</v>
      </c>
      <c r="B1779" s="98" t="inlineStr">
        <is>
          <t>RANCHO LA GLORIA WATERMELON MARG WINE COCKTAIL</t>
        </is>
      </c>
      <c r="C1779" s="97">
        <f>VLOOKUP(A1779,SizeData!A$2:B$3839,2,FALSE)</f>
        <v/>
      </c>
      <c r="D1779" s="98" t="n">
        <v>1</v>
      </c>
      <c r="E1779" s="98" t="inlineStr">
        <is>
          <t>R1998154</t>
        </is>
      </c>
      <c r="F1779" s="99" t="n">
        <v>44985</v>
      </c>
      <c r="G1779" s="100" t="n"/>
    </row>
    <row r="1780" ht="16" customHeight="1">
      <c r="A1780" s="98" t="n">
        <v>22199</v>
      </c>
      <c r="B1780" s="98" t="inlineStr">
        <is>
          <t>RARE BREED BARREL PROOF</t>
        </is>
      </c>
      <c r="C1780" s="97">
        <f>VLOOKUP(A1780,SizeData!A$2:B$3839,2,FALSE)</f>
        <v/>
      </c>
      <c r="D1780" s="98" t="n">
        <v>2</v>
      </c>
      <c r="E1780" s="98" t="inlineStr">
        <is>
          <t>R2012784</t>
        </is>
      </c>
      <c r="F1780" s="99" t="n">
        <v>44992</v>
      </c>
      <c r="G1780" s="100" t="n"/>
    </row>
    <row r="1781" ht="16" customHeight="1">
      <c r="A1781" s="98" t="n">
        <v>66296</v>
      </c>
      <c r="B1781" s="98" t="inlineStr">
        <is>
          <t>REMY MARTIN "V" GRAPE BRANDY</t>
        </is>
      </c>
      <c r="C1781" s="97">
        <f>VLOOKUP(A1781,SizeData!A$2:B$3839,2,FALSE)</f>
        <v/>
      </c>
      <c r="D1781" s="98" t="n">
        <v>5</v>
      </c>
      <c r="E1781" s="98" t="inlineStr">
        <is>
          <t>R1921594</t>
        </is>
      </c>
      <c r="F1781" s="99" t="n">
        <v>44930</v>
      </c>
      <c r="G1781" s="100" t="n"/>
    </row>
    <row r="1782" ht="16" customHeight="1">
      <c r="A1782" s="98" t="n">
        <v>66293</v>
      </c>
      <c r="B1782" s="98" t="inlineStr">
        <is>
          <t>REMY MARTIN "V" GRAPE BRANDY</t>
        </is>
      </c>
      <c r="C1782" s="97">
        <f>VLOOKUP(A1782,SizeData!A$2:B$3839,2,FALSE)</f>
        <v/>
      </c>
      <c r="D1782" s="98" t="n">
        <v>3</v>
      </c>
      <c r="E1782" s="98" t="inlineStr">
        <is>
          <t>R1921594</t>
        </is>
      </c>
      <c r="F1782" s="99" t="n">
        <v>44930</v>
      </c>
      <c r="G1782" s="100" t="n"/>
    </row>
    <row r="1783" ht="16" customHeight="1">
      <c r="A1783" s="98" t="n">
        <v>38176</v>
      </c>
      <c r="B1783" s="98" t="inlineStr">
        <is>
          <t>TITO'S HANDMADE VODKA</t>
        </is>
      </c>
      <c r="C1783" s="97">
        <f>VLOOKUP(A1783,SizeData!A$2:B$3839,2,FALSE)</f>
        <v/>
      </c>
      <c r="D1783" s="98" t="n">
        <v>7</v>
      </c>
      <c r="E1783" s="98" t="inlineStr">
        <is>
          <t>R1902639</t>
        </is>
      </c>
      <c r="F1783" s="99" t="n">
        <v>44911</v>
      </c>
      <c r="G1783" s="100" t="n"/>
    </row>
    <row r="1784" ht="16" customHeight="1">
      <c r="A1784" s="98" t="n">
        <v>38176</v>
      </c>
      <c r="B1784" s="98" t="inlineStr">
        <is>
          <t>TITO'S HANDMADE VODKA</t>
        </is>
      </c>
      <c r="C1784" s="97">
        <f>VLOOKUP(A1784,SizeData!A$2:B$3839,2,FALSE)</f>
        <v/>
      </c>
      <c r="D1784" s="98" t="n">
        <v>2</v>
      </c>
      <c r="E1784" s="98" t="inlineStr">
        <is>
          <t>R1927120</t>
        </is>
      </c>
      <c r="F1784" s="99" t="n">
        <v>44924</v>
      </c>
      <c r="G1784" s="100" t="n"/>
    </row>
    <row r="1785" ht="16" customHeight="1">
      <c r="A1785" s="98" t="n">
        <v>66293</v>
      </c>
      <c r="B1785" s="98" t="inlineStr">
        <is>
          <t>REMY MARTIN "V" GRAPE BRANDY</t>
        </is>
      </c>
      <c r="C1785" s="97">
        <f>VLOOKUP(A1785,SizeData!A$2:B$3839,2,FALSE)</f>
        <v/>
      </c>
      <c r="D1785" s="98" t="n">
        <v>1</v>
      </c>
      <c r="E1785" s="98" t="inlineStr">
        <is>
          <t>R1974698</t>
        </is>
      </c>
      <c r="F1785" s="99" t="n">
        <v>44979</v>
      </c>
      <c r="G1785" s="100" t="n"/>
    </row>
    <row r="1786" ht="16" customFormat="1" customHeight="1" s="14">
      <c r="A1786" s="98" t="n">
        <v>66293</v>
      </c>
      <c r="B1786" s="98" t="inlineStr">
        <is>
          <t>REMY MARTIN "V" GRAPE BRANDY</t>
        </is>
      </c>
      <c r="C1786" s="97">
        <f>VLOOKUP(A1786,SizeData!A$2:B$3839,2,FALSE)</f>
        <v/>
      </c>
      <c r="D1786" s="98" t="n">
        <v>2</v>
      </c>
      <c r="E1786" s="98" t="inlineStr">
        <is>
          <t>R2064188</t>
        </is>
      </c>
      <c r="F1786" s="99" t="n">
        <v>45036</v>
      </c>
      <c r="G1786" s="100" t="n"/>
    </row>
    <row r="1787" ht="16" customHeight="1">
      <c r="A1787" s="98" t="n">
        <v>49087</v>
      </c>
      <c r="B1787" s="98" t="inlineStr">
        <is>
          <t>REMY MARTIN 1738 ACCORD ROYAL</t>
        </is>
      </c>
      <c r="C1787" s="97">
        <f>VLOOKUP(A1787,SizeData!A$2:B$3839,2,FALSE)</f>
        <v/>
      </c>
      <c r="D1787" s="98" t="n">
        <v>3</v>
      </c>
      <c r="E1787" s="98" t="inlineStr">
        <is>
          <t>R1935901</t>
        </is>
      </c>
      <c r="F1787" s="99" t="n">
        <v>44931</v>
      </c>
      <c r="G1787" s="100" t="n"/>
    </row>
    <row r="1788" ht="16" customHeight="1">
      <c r="A1788" s="98" t="n">
        <v>49087</v>
      </c>
      <c r="B1788" s="98" t="inlineStr">
        <is>
          <t>REMY MARTIN 1738 ACCORD ROYAL</t>
        </is>
      </c>
      <c r="C1788" s="97">
        <f>VLOOKUP(A1788,SizeData!A$2:B$3839,2,FALSE)</f>
        <v/>
      </c>
      <c r="D1788" s="98" t="n">
        <v>1</v>
      </c>
      <c r="E1788" s="98" t="inlineStr">
        <is>
          <t>R1970895</t>
        </is>
      </c>
      <c r="F1788" s="99" t="n">
        <v>44961</v>
      </c>
      <c r="G1788" s="100" t="n"/>
    </row>
    <row r="1789" ht="16" customHeight="1">
      <c r="A1789" s="98" t="n">
        <v>89888</v>
      </c>
      <c r="B1789" s="98" t="inlineStr">
        <is>
          <t>TORADA REPOSADA TEQUILA</t>
        </is>
      </c>
      <c r="C1789" s="97">
        <f>VLOOKUP(A1789,SizeData!A$2:B$3839,2,FALSE)</f>
        <v/>
      </c>
      <c r="D1789" s="98" t="n">
        <v>1</v>
      </c>
      <c r="E1789" s="98" t="inlineStr">
        <is>
          <t>R1917173</t>
        </is>
      </c>
      <c r="F1789" s="99" t="n">
        <v>44922</v>
      </c>
      <c r="G1789" s="100" t="n"/>
    </row>
    <row r="1790" ht="16" customHeight="1">
      <c r="A1790" s="98" t="n">
        <v>89888</v>
      </c>
      <c r="B1790" s="98" t="inlineStr">
        <is>
          <t>TORADA REPOSADA TEQUILA</t>
        </is>
      </c>
      <c r="C1790" s="97">
        <f>VLOOKUP(A1790,SizeData!A$2:B$3839,2,FALSE)</f>
        <v/>
      </c>
      <c r="D1790" s="98" t="n">
        <v>1</v>
      </c>
      <c r="E1790" s="98" t="inlineStr">
        <is>
          <t>R1917442</t>
        </is>
      </c>
      <c r="F1790" s="99" t="n">
        <v>44922</v>
      </c>
      <c r="G1790" s="100" t="n"/>
    </row>
    <row r="1791" ht="16" customHeight="1">
      <c r="A1791" s="98" t="n">
        <v>49087</v>
      </c>
      <c r="B1791" s="98" t="inlineStr">
        <is>
          <t>REMY MARTIN 1738 ACCORD ROYAL</t>
        </is>
      </c>
      <c r="C1791" s="97">
        <f>VLOOKUP(A1791,SizeData!A$2:B$3839,2,FALSE)</f>
        <v/>
      </c>
      <c r="D1791" s="98" t="n">
        <v>1</v>
      </c>
      <c r="E1791" s="98" t="inlineStr">
        <is>
          <t>R2020005</t>
        </is>
      </c>
      <c r="F1791" s="99" t="n">
        <v>44984</v>
      </c>
      <c r="G1791" s="100" t="n"/>
    </row>
    <row r="1792" ht="16" customHeight="1">
      <c r="A1792" s="98" t="n">
        <v>88737</v>
      </c>
      <c r="B1792" s="98" t="inlineStr">
        <is>
          <t>TORADA WHITE TEQUILA</t>
        </is>
      </c>
      <c r="C1792" s="97">
        <f>VLOOKUP(A1792,SizeData!A$2:B$3839,2,FALSE)</f>
        <v/>
      </c>
      <c r="D1792" s="98" t="n">
        <v>1</v>
      </c>
      <c r="E1792" s="98" t="inlineStr">
        <is>
          <t>R1916005</t>
        </is>
      </c>
      <c r="F1792" s="99" t="n">
        <v>44911</v>
      </c>
      <c r="G1792" s="100" t="n"/>
    </row>
    <row r="1793" ht="16" customHeight="1">
      <c r="A1793" s="98" t="n">
        <v>88738</v>
      </c>
      <c r="B1793" s="98" t="inlineStr">
        <is>
          <t>TORADA WHITE TEQUILA</t>
        </is>
      </c>
      <c r="C1793" s="97">
        <f>VLOOKUP(A1793,SizeData!A$2:B$3839,2,FALSE)</f>
        <v/>
      </c>
      <c r="D1793" s="98" t="n">
        <v>4</v>
      </c>
      <c r="E1793" s="98" t="inlineStr">
        <is>
          <t>R1903748</t>
        </is>
      </c>
      <c r="F1793" s="99" t="n">
        <v>44912</v>
      </c>
      <c r="G1793" s="100" t="n"/>
    </row>
    <row r="1794" ht="16" customHeight="1">
      <c r="A1794" s="98" t="n">
        <v>88738</v>
      </c>
      <c r="B1794" s="98" t="inlineStr">
        <is>
          <t>TORADA WHITE TEQUILA</t>
        </is>
      </c>
      <c r="C1794" s="97">
        <f>VLOOKUP(A1794,SizeData!A$2:B$3839,2,FALSE)</f>
        <v/>
      </c>
      <c r="D1794" s="98" t="n">
        <v>1</v>
      </c>
      <c r="E1794" s="98" t="inlineStr">
        <is>
          <t>R1917442</t>
        </is>
      </c>
      <c r="F1794" s="99" t="n">
        <v>44922</v>
      </c>
      <c r="G1794" s="100" t="n"/>
    </row>
    <row r="1795" ht="16" customHeight="1">
      <c r="A1795" s="98" t="n">
        <v>49087</v>
      </c>
      <c r="B1795" s="98" t="inlineStr">
        <is>
          <t>REMY MARTIN 1738 ACCORD ROYAL</t>
        </is>
      </c>
      <c r="C1795" s="97">
        <f>VLOOKUP(A1795,SizeData!A$2:B$3839,2,FALSE)</f>
        <v/>
      </c>
      <c r="D1795" s="98" t="n">
        <v>1</v>
      </c>
      <c r="E1795" s="98" t="inlineStr">
        <is>
          <t>R2031927</t>
        </is>
      </c>
      <c r="F1795" s="99" t="n">
        <v>45003</v>
      </c>
      <c r="G1795" s="100" t="n"/>
    </row>
    <row r="1796" ht="16" customHeight="1">
      <c r="A1796" s="101" t="n">
        <v>49087</v>
      </c>
      <c r="B1796" s="101" t="inlineStr">
        <is>
          <t>REMY MARTIN 1738 ACCORD ROYAL</t>
        </is>
      </c>
      <c r="C1796" s="102">
        <f>VLOOKUP(A1796,SizeData!A$2:B$3839,2,FALSE)</f>
        <v/>
      </c>
      <c r="D1796" s="101" t="n">
        <v>1</v>
      </c>
      <c r="E1796" s="101" t="inlineStr">
        <is>
          <t>R2062305</t>
        </is>
      </c>
      <c r="F1796" s="103" t="n">
        <v>45024</v>
      </c>
      <c r="G1796" s="104" t="n"/>
    </row>
    <row r="1797" ht="16" customHeight="1">
      <c r="A1797" s="98" t="n">
        <v>49087</v>
      </c>
      <c r="B1797" s="98" t="inlineStr">
        <is>
          <t>REMY MARTIN 1738 ACCORD ROYAL</t>
        </is>
      </c>
      <c r="C1797" s="97">
        <f>VLOOKUP(A1797,SizeData!A$2:B$3839,2,FALSE)</f>
        <v/>
      </c>
      <c r="D1797" s="98" t="n">
        <v>1</v>
      </c>
      <c r="E1797" s="98" t="inlineStr">
        <is>
          <t>R2072241</t>
        </is>
      </c>
      <c r="F1797" s="99" t="n">
        <v>45035</v>
      </c>
      <c r="G1797" s="100" t="n"/>
    </row>
    <row r="1798" ht="16" customHeight="1">
      <c r="A1798" s="98" t="n">
        <v>49086</v>
      </c>
      <c r="B1798" s="98" t="inlineStr">
        <is>
          <t>REMY MARTIN 1738 ACCORD ROYAL COGNAC</t>
        </is>
      </c>
      <c r="C1798" s="97">
        <f>VLOOKUP(A1798,SizeData!A$2:B$3839,2,FALSE)</f>
        <v/>
      </c>
      <c r="D1798" s="98" t="n">
        <v>4</v>
      </c>
      <c r="E1798" s="98" t="inlineStr">
        <is>
          <t>R1965810</t>
        </is>
      </c>
      <c r="F1798" s="99" t="n">
        <v>44950</v>
      </c>
      <c r="G1798" s="100" t="n"/>
    </row>
    <row r="1799" ht="16" customHeight="1">
      <c r="A1799" s="98" t="n">
        <v>49086</v>
      </c>
      <c r="B1799" s="98" t="inlineStr">
        <is>
          <t>REMY MARTIN 1738 ACCORD ROYAL COGNAC</t>
        </is>
      </c>
      <c r="C1799" s="97">
        <f>VLOOKUP(A1799,SizeData!A$2:B$3839,2,FALSE)</f>
        <v/>
      </c>
      <c r="D1799" s="98" t="n">
        <v>2</v>
      </c>
      <c r="E1799" s="98" t="inlineStr">
        <is>
          <t>R1960169</t>
        </is>
      </c>
      <c r="F1799" s="99" t="n">
        <v>44951</v>
      </c>
      <c r="G1799" s="100" t="n"/>
    </row>
    <row r="1800" ht="16" customHeight="1">
      <c r="A1800" s="98" t="n">
        <v>49084</v>
      </c>
      <c r="B1800" s="98" t="inlineStr">
        <is>
          <t>REMY MARTIN 1738 ACCORD ROYAL COGNAC</t>
        </is>
      </c>
      <c r="C1800" s="97">
        <f>VLOOKUP(A1800,SizeData!A$2:B$3839,2,FALSE)</f>
        <v/>
      </c>
      <c r="D1800" s="98" t="n">
        <v>10</v>
      </c>
      <c r="E1800" s="98" t="inlineStr">
        <is>
          <t>R2016144</t>
        </is>
      </c>
      <c r="F1800" s="99" t="n">
        <v>44991</v>
      </c>
      <c r="G1800" s="100" t="n"/>
    </row>
    <row r="1801" ht="16" customHeight="1">
      <c r="A1801" s="98" t="n">
        <v>49084</v>
      </c>
      <c r="B1801" s="98" t="inlineStr">
        <is>
          <t>REMY MARTIN 1738 ACCORD ROYAL COGNAC</t>
        </is>
      </c>
      <c r="C1801" s="97">
        <f>VLOOKUP(A1801,SizeData!A$2:B$3839,2,FALSE)</f>
        <v/>
      </c>
      <c r="D1801" s="98" t="n">
        <v>6</v>
      </c>
      <c r="E1801" s="98" t="inlineStr">
        <is>
          <t>R2008912</t>
        </is>
      </c>
      <c r="F1801" s="99" t="n">
        <v>44994</v>
      </c>
      <c r="G1801" s="100" t="n"/>
    </row>
    <row r="1802" ht="16" customHeight="1">
      <c r="A1802" s="101" t="n">
        <v>49084</v>
      </c>
      <c r="B1802" s="101" t="inlineStr">
        <is>
          <t>REMY MARTIN 1738 ACCORD ROYAL COGNAC</t>
        </is>
      </c>
      <c r="C1802" s="102">
        <f>VLOOKUP(A1802,SizeData!A$2:B$3839,2,FALSE)</f>
        <v/>
      </c>
      <c r="D1802" s="101" t="n">
        <v>1</v>
      </c>
      <c r="E1802" s="101" t="inlineStr">
        <is>
          <t>R2008912</t>
        </is>
      </c>
      <c r="F1802" s="103" t="n">
        <v>44994</v>
      </c>
      <c r="G1802" s="104" t="n"/>
    </row>
    <row r="1803" ht="16" customHeight="1">
      <c r="A1803" s="98" t="n">
        <v>49084</v>
      </c>
      <c r="B1803" s="98" t="inlineStr">
        <is>
          <t>REMY MARTIN 1738 ACCORD ROYAL COGNAC</t>
        </is>
      </c>
      <c r="C1803" s="97">
        <f>VLOOKUP(A1803,SizeData!A$2:B$3839,2,FALSE)</f>
        <v/>
      </c>
      <c r="D1803" s="98" t="n">
        <v>9</v>
      </c>
      <c r="E1803" s="98" t="inlineStr">
        <is>
          <t>R2008922</t>
        </is>
      </c>
      <c r="F1803" s="99" t="n">
        <v>44994</v>
      </c>
      <c r="G1803" s="100" t="n"/>
    </row>
    <row r="1804" ht="16" customHeight="1">
      <c r="A1804" s="101" t="n">
        <v>49084</v>
      </c>
      <c r="B1804" s="101" t="inlineStr">
        <is>
          <t>REMY MARTIN 1738 ACCORD ROYAL COGNAC</t>
        </is>
      </c>
      <c r="C1804" s="102">
        <f>VLOOKUP(A1804,SizeData!A$2:B$3839,2,FALSE)</f>
        <v/>
      </c>
      <c r="D1804" s="101" t="n">
        <v>1</v>
      </c>
      <c r="E1804" s="101" t="inlineStr">
        <is>
          <t>R2008922</t>
        </is>
      </c>
      <c r="F1804" s="103" t="n">
        <v>44994</v>
      </c>
      <c r="G1804" s="104" t="n"/>
    </row>
    <row r="1805" ht="16" customHeight="1">
      <c r="A1805" s="98" t="n">
        <v>49186</v>
      </c>
      <c r="B1805" s="98" t="inlineStr">
        <is>
          <t>REMY MARTIN VSOP COGNAC</t>
        </is>
      </c>
      <c r="C1805" s="97">
        <f>VLOOKUP(A1805,SizeData!A$2:B$3839,2,FALSE)</f>
        <v/>
      </c>
      <c r="D1805" s="98" t="n">
        <v>30</v>
      </c>
      <c r="E1805" s="98" t="inlineStr">
        <is>
          <t>R1954778</t>
        </is>
      </c>
      <c r="F1805" s="99" t="n">
        <v>44966</v>
      </c>
      <c r="G1805" s="100" t="n"/>
    </row>
    <row r="1806" ht="16" customHeight="1">
      <c r="A1806" s="98" t="n">
        <v>49186</v>
      </c>
      <c r="B1806" s="98" t="inlineStr">
        <is>
          <t>REMY MARTIN VSOP COGNAC</t>
        </is>
      </c>
      <c r="C1806" s="97">
        <f>VLOOKUP(A1806,SizeData!A$2:B$3839,2,FALSE)</f>
        <v/>
      </c>
      <c r="D1806" s="98" t="n">
        <v>25</v>
      </c>
      <c r="E1806" s="98" t="inlineStr">
        <is>
          <t>R1982452</t>
        </is>
      </c>
      <c r="F1806" s="99" t="n">
        <v>44977</v>
      </c>
      <c r="G1806" s="100" t="n"/>
    </row>
    <row r="1807" ht="16" customHeight="1">
      <c r="A1807" s="98" t="n">
        <v>49186</v>
      </c>
      <c r="B1807" s="98" t="inlineStr">
        <is>
          <t>REMY MARTIN VSOP COGNAC</t>
        </is>
      </c>
      <c r="C1807" s="97">
        <f>VLOOKUP(A1807,SizeData!A$2:B$3839,2,FALSE)</f>
        <v/>
      </c>
      <c r="D1807" s="98" t="n">
        <v>15</v>
      </c>
      <c r="E1807" s="98" t="inlineStr">
        <is>
          <t>R1988666</t>
        </is>
      </c>
      <c r="F1807" s="99" t="n">
        <v>44982</v>
      </c>
      <c r="G1807" s="100" t="n"/>
    </row>
    <row r="1808" ht="16" customHeight="1">
      <c r="A1808" s="98" t="n">
        <v>49187</v>
      </c>
      <c r="B1808" s="98" t="inlineStr">
        <is>
          <t>REMY MARTIN VSOP COGNAC</t>
        </is>
      </c>
      <c r="C1808" s="97">
        <f>VLOOKUP(A1808,SizeData!A$2:B$3839,2,FALSE)</f>
        <v/>
      </c>
      <c r="D1808" s="98" t="n">
        <v>1</v>
      </c>
      <c r="E1808" s="98" t="inlineStr">
        <is>
          <t>R2010122</t>
        </is>
      </c>
      <c r="F1808" s="99" t="n">
        <v>44981</v>
      </c>
      <c r="G1808" s="100" t="n"/>
    </row>
    <row r="1809" ht="16" customHeight="1">
      <c r="A1809" s="98" t="n">
        <v>49187</v>
      </c>
      <c r="B1809" s="98" t="inlineStr">
        <is>
          <t>REMY MARTIN VSOP COGNAC</t>
        </is>
      </c>
      <c r="C1809" s="97">
        <f>VLOOKUP(A1809,SizeData!A$2:B$3839,2,FALSE)</f>
        <v/>
      </c>
      <c r="D1809" s="98" t="n">
        <v>1</v>
      </c>
      <c r="E1809" s="98" t="inlineStr">
        <is>
          <t>R2062305</t>
        </is>
      </c>
      <c r="F1809" s="99" t="n">
        <v>45024</v>
      </c>
      <c r="G1809" s="100" t="n"/>
    </row>
    <row r="1810" ht="16" customHeight="1">
      <c r="A1810" s="98" t="n">
        <v>49185</v>
      </c>
      <c r="B1810" s="98" t="inlineStr">
        <is>
          <t>REMY MARTIN VSOP COGNAC (FLASK)</t>
        </is>
      </c>
      <c r="C1810" s="97">
        <f>VLOOKUP(A1810,SizeData!A$2:B$3839,2,FALSE)</f>
        <v/>
      </c>
      <c r="D1810" s="98" t="n">
        <v>5</v>
      </c>
      <c r="E1810" s="98" t="inlineStr">
        <is>
          <t>R1968443</t>
        </is>
      </c>
      <c r="F1810" s="99" t="n">
        <v>44962</v>
      </c>
      <c r="G1810" s="100" t="n"/>
    </row>
    <row r="1811" ht="16" customHeight="1">
      <c r="A1811" s="98" t="n">
        <v>49185</v>
      </c>
      <c r="B1811" s="98" t="inlineStr">
        <is>
          <t>REMY MARTIN VSOP COGNAC (FLASK)</t>
        </is>
      </c>
      <c r="C1811" s="97">
        <f>VLOOKUP(A1811,SizeData!A$2:B$3839,2,FALSE)</f>
        <v/>
      </c>
      <c r="D1811" s="98" t="n">
        <v>9</v>
      </c>
      <c r="E1811" s="98" t="inlineStr">
        <is>
          <t>R2002591</t>
        </is>
      </c>
      <c r="F1811" s="99" t="n">
        <v>44985</v>
      </c>
      <c r="G1811" s="100" t="n"/>
    </row>
    <row r="1812" ht="16" customHeight="1">
      <c r="A1812" s="101" t="n">
        <v>49185</v>
      </c>
      <c r="B1812" s="101" t="inlineStr">
        <is>
          <t>REMY MARTIN VSOP COGNAC (FLASK)</t>
        </is>
      </c>
      <c r="C1812" s="102">
        <f>VLOOKUP(A1812,SizeData!A$2:B$3839,2,FALSE)</f>
        <v/>
      </c>
      <c r="D1812" s="101" t="n">
        <v>1</v>
      </c>
      <c r="E1812" s="101" t="inlineStr">
        <is>
          <t>R2002591</t>
        </is>
      </c>
      <c r="F1812" s="103" t="n">
        <v>44985</v>
      </c>
      <c r="G1812" s="104" t="n"/>
    </row>
    <row r="1813" ht="16" customHeight="1">
      <c r="A1813" s="101" t="n">
        <v>49255</v>
      </c>
      <c r="B1813" s="101" t="inlineStr">
        <is>
          <t>REVANCHE FRENCH COGNAC</t>
        </is>
      </c>
      <c r="C1813" s="102">
        <f>VLOOKUP(A1813,SizeData!A$2:B$3839,2,FALSE)</f>
        <v/>
      </c>
      <c r="D1813" s="101" t="n">
        <v>2</v>
      </c>
      <c r="E1813" s="101" t="inlineStr">
        <is>
          <t>R2039682</t>
        </is>
      </c>
      <c r="F1813" s="103" t="n">
        <v>45022</v>
      </c>
      <c r="G1813" s="104" t="n"/>
    </row>
    <row r="1814" ht="16" customHeight="1">
      <c r="A1814" s="98" t="n">
        <v>12872</v>
      </c>
      <c r="B1814" s="98" t="inlineStr">
        <is>
          <t>RICH &amp; RARE PEACH</t>
        </is>
      </c>
      <c r="C1814" s="97">
        <f>VLOOKUP(A1814,SizeData!A$2:B$3839,2,FALSE)</f>
        <v/>
      </c>
      <c r="D1814" s="98" t="n">
        <v>2</v>
      </c>
      <c r="E1814" s="98" t="inlineStr">
        <is>
          <t>R1939404</t>
        </is>
      </c>
      <c r="F1814" s="99" t="n">
        <v>44942</v>
      </c>
      <c r="G1814" s="100" t="n"/>
    </row>
    <row r="1815" ht="16" customHeight="1">
      <c r="A1815" s="98" t="n">
        <v>22154</v>
      </c>
      <c r="B1815" s="98" t="inlineStr">
        <is>
          <t>WILD TURKEY 101 STRAIGHT BOURBON</t>
        </is>
      </c>
      <c r="C1815" s="97">
        <f>VLOOKUP(A1815,SizeData!A$2:B$3839,2,FALSE)</f>
        <v/>
      </c>
      <c r="D1815" s="98" t="n">
        <v>1</v>
      </c>
      <c r="E1815" s="98" t="inlineStr">
        <is>
          <t>R1915910</t>
        </is>
      </c>
      <c r="F1815" s="99" t="n">
        <v>44910</v>
      </c>
      <c r="G1815" s="100" t="n"/>
    </row>
    <row r="1816" ht="16" customHeight="1">
      <c r="A1816" s="98" t="n">
        <v>22156</v>
      </c>
      <c r="B1816" s="98" t="inlineStr">
        <is>
          <t>WILD TURKEY 101 STRAIGHT BOURBON</t>
        </is>
      </c>
      <c r="C1816" s="97">
        <f>VLOOKUP(A1816,SizeData!A$2:B$3839,2,FALSE)</f>
        <v/>
      </c>
      <c r="D1816" s="98" t="n">
        <v>2</v>
      </c>
      <c r="E1816" s="98" t="inlineStr">
        <is>
          <t>R1903667</t>
        </is>
      </c>
      <c r="F1816" s="99" t="n">
        <v>44915</v>
      </c>
      <c r="G1816" s="100" t="n"/>
    </row>
    <row r="1817" ht="16" customHeight="1">
      <c r="A1817" s="98" t="n">
        <v>22156</v>
      </c>
      <c r="B1817" s="98" t="inlineStr">
        <is>
          <t>WILD TURKEY 101 STRAIGHT BOURBON</t>
        </is>
      </c>
      <c r="C1817" s="97">
        <f>VLOOKUP(A1817,SizeData!A$2:B$3839,2,FALSE)</f>
        <v/>
      </c>
      <c r="D1817" s="98" t="n">
        <v>1</v>
      </c>
      <c r="E1817" s="98" t="inlineStr">
        <is>
          <t>R1904538</t>
        </is>
      </c>
      <c r="F1817" s="99" t="n">
        <v>44917</v>
      </c>
      <c r="G1817" s="100" t="n"/>
    </row>
    <row r="1818" ht="16" customHeight="1">
      <c r="A1818" s="98" t="n">
        <v>12872</v>
      </c>
      <c r="B1818" s="98" t="inlineStr">
        <is>
          <t>RICH &amp; RARE PEACH</t>
        </is>
      </c>
      <c r="C1818" s="97">
        <f>VLOOKUP(A1818,SizeData!A$2:B$3839,2,FALSE)</f>
        <v/>
      </c>
      <c r="D1818" s="98" t="n">
        <v>2</v>
      </c>
      <c r="E1818" s="98" t="inlineStr">
        <is>
          <t>R2073309</t>
        </is>
      </c>
      <c r="F1818" s="99" t="n">
        <v>45038</v>
      </c>
      <c r="G1818" s="100" t="n"/>
    </row>
    <row r="1819" ht="16" customHeight="1">
      <c r="A1819" s="98" t="n">
        <v>97726</v>
      </c>
      <c r="B1819" s="98" t="inlineStr">
        <is>
          <t>RICHARDS WILD ROSE RED</t>
        </is>
      </c>
      <c r="C1819" s="97">
        <f>VLOOKUP(A1819,SizeData!A$2:B$3839,2,FALSE)</f>
        <v/>
      </c>
      <c r="D1819" s="98" t="n">
        <v>1</v>
      </c>
      <c r="E1819" s="98" t="inlineStr">
        <is>
          <t>R1995710</t>
        </is>
      </c>
      <c r="F1819" s="99" t="n">
        <v>44970</v>
      </c>
      <c r="G1819" s="100" t="n"/>
    </row>
    <row r="1820" ht="16" customHeight="1">
      <c r="A1820" s="98" t="n">
        <v>97726</v>
      </c>
      <c r="B1820" s="98" t="inlineStr">
        <is>
          <t>RICHARDS WILD ROSE RED</t>
        </is>
      </c>
      <c r="C1820" s="97">
        <f>VLOOKUP(A1820,SizeData!A$2:B$3839,2,FALSE)</f>
        <v/>
      </c>
      <c r="D1820" s="98" t="n">
        <v>2</v>
      </c>
      <c r="E1820" s="98" t="inlineStr">
        <is>
          <t>R2036702</t>
        </is>
      </c>
      <c r="F1820" s="99" t="n">
        <v>45007</v>
      </c>
      <c r="G1820" s="100" t="n"/>
    </row>
    <row r="1821" ht="16" customHeight="1">
      <c r="A1821" s="98" t="n">
        <v>97727</v>
      </c>
      <c r="B1821" s="98" t="inlineStr">
        <is>
          <t>RICHARDS WILD ROSE RED</t>
        </is>
      </c>
      <c r="C1821" s="97">
        <f>VLOOKUP(A1821,SizeData!A$2:B$3839,2,FALSE)</f>
        <v/>
      </c>
      <c r="D1821" s="98" t="n">
        <v>1</v>
      </c>
      <c r="E1821" s="98" t="inlineStr">
        <is>
          <t>R2022490</t>
        </is>
      </c>
      <c r="F1821" s="99" t="n">
        <v>45014</v>
      </c>
      <c r="G1821" s="100" t="n"/>
    </row>
    <row r="1822" ht="16" customHeight="1">
      <c r="A1822" s="98" t="n">
        <v>97724</v>
      </c>
      <c r="B1822" s="98" t="inlineStr">
        <is>
          <t>RICHARDS WILD ROSE RED</t>
        </is>
      </c>
      <c r="C1822" s="97">
        <f>VLOOKUP(A1822,SizeData!A$2:B$3839,2,FALSE)</f>
        <v/>
      </c>
      <c r="D1822" s="98" t="n">
        <v>2</v>
      </c>
      <c r="E1822" s="98" t="inlineStr">
        <is>
          <t>R2049593</t>
        </is>
      </c>
      <c r="F1822" s="99" t="n">
        <v>45022</v>
      </c>
      <c r="G1822" s="100" t="n"/>
    </row>
    <row r="1823" ht="16" customHeight="1">
      <c r="A1823" s="101" t="n">
        <v>97723</v>
      </c>
      <c r="B1823" s="101" t="inlineStr">
        <is>
          <t>RICHARDS WILD ROSE RED</t>
        </is>
      </c>
      <c r="C1823" s="102">
        <f>VLOOKUP(A1823,SizeData!A$2:B$3839,2,FALSE)</f>
        <v/>
      </c>
      <c r="D1823" s="101" t="n">
        <v>2</v>
      </c>
      <c r="E1823" s="101" t="inlineStr">
        <is>
          <t>R2061208</t>
        </is>
      </c>
      <c r="F1823" s="103" t="n">
        <v>45022</v>
      </c>
      <c r="G1823" s="104" t="n"/>
    </row>
    <row r="1824" ht="16" customHeight="1">
      <c r="A1824" s="98" t="n">
        <v>378810</v>
      </c>
      <c r="B1824" s="98" t="inlineStr">
        <is>
          <t>RIUNITE D' ORO MOSCATO</t>
        </is>
      </c>
      <c r="C1824" s="97">
        <f>VLOOKUP(A1824,SizeData!A$2:B$3839,2,FALSE)</f>
        <v/>
      </c>
      <c r="D1824" s="98" t="n">
        <v>1</v>
      </c>
      <c r="E1824" s="98" t="inlineStr">
        <is>
          <t>R2020005</t>
        </is>
      </c>
      <c r="F1824" s="99" t="n">
        <v>44984</v>
      </c>
      <c r="G1824" s="100" t="n"/>
    </row>
    <row r="1825" ht="16" customHeight="1">
      <c r="A1825" s="98" t="n">
        <v>378920</v>
      </c>
      <c r="B1825" s="98" t="inlineStr">
        <is>
          <t>RIUNITE LAMBRUSCO</t>
        </is>
      </c>
      <c r="C1825" s="97">
        <f>VLOOKUP(A1825,SizeData!A$2:B$3839,2,FALSE)</f>
        <v/>
      </c>
      <c r="D1825" s="98" t="n">
        <v>2</v>
      </c>
      <c r="E1825" s="98" t="inlineStr">
        <is>
          <t>R1930280</t>
        </is>
      </c>
      <c r="F1825" s="99" t="n">
        <v>44935</v>
      </c>
      <c r="G1825" s="100" t="n"/>
    </row>
    <row r="1826" ht="16" customHeight="1">
      <c r="A1826" s="98" t="n">
        <v>378915</v>
      </c>
      <c r="B1826" s="98" t="inlineStr">
        <is>
          <t>RIUNITE LAMBRUSCO</t>
        </is>
      </c>
      <c r="C1826" s="97">
        <f>VLOOKUP(A1826,SizeData!A$2:B$3839,2,FALSE)</f>
        <v/>
      </c>
      <c r="D1826" s="98" t="n">
        <v>3</v>
      </c>
      <c r="E1826" s="98" t="inlineStr">
        <is>
          <t>R1931242</t>
        </is>
      </c>
      <c r="F1826" s="99" t="n">
        <v>44937</v>
      </c>
      <c r="G1826" s="100" t="n"/>
    </row>
    <row r="1827" ht="16" customHeight="1">
      <c r="A1827" s="98" t="n">
        <v>378910</v>
      </c>
      <c r="B1827" s="98" t="inlineStr">
        <is>
          <t>RIUNITE LAMBRUSCO</t>
        </is>
      </c>
      <c r="C1827" s="97">
        <f>VLOOKUP(A1827,SizeData!A$2:B$3839,2,FALSE)</f>
        <v/>
      </c>
      <c r="D1827" s="98" t="n">
        <v>1</v>
      </c>
      <c r="E1827" s="98" t="inlineStr">
        <is>
          <t>R1931242</t>
        </is>
      </c>
      <c r="F1827" s="99" t="n">
        <v>44937</v>
      </c>
      <c r="G1827" s="100" t="n"/>
    </row>
    <row r="1828" ht="16" customHeight="1">
      <c r="A1828" s="98" t="n">
        <v>378920</v>
      </c>
      <c r="B1828" s="98" t="inlineStr">
        <is>
          <t>RIUNITE LAMBRUSCO</t>
        </is>
      </c>
      <c r="C1828" s="97">
        <f>VLOOKUP(A1828,SizeData!A$2:B$3839,2,FALSE)</f>
        <v/>
      </c>
      <c r="D1828" s="98" t="n">
        <v>3</v>
      </c>
      <c r="E1828" s="98" t="inlineStr">
        <is>
          <t>R1931271</t>
        </is>
      </c>
      <c r="F1828" s="99" t="n">
        <v>44944</v>
      </c>
      <c r="G1828" s="100" t="n"/>
    </row>
    <row r="1829" ht="16" customHeight="1">
      <c r="A1829" s="101" t="n">
        <v>378920</v>
      </c>
      <c r="B1829" s="101" t="inlineStr">
        <is>
          <t>RIUNITE LAMBRUSCO</t>
        </is>
      </c>
      <c r="C1829" s="102">
        <f>VLOOKUP(A1829,SizeData!A$2:B$3839,2,FALSE)</f>
        <v/>
      </c>
      <c r="D1829" s="101" t="n">
        <v>1</v>
      </c>
      <c r="E1829" s="101" t="inlineStr">
        <is>
          <t>R2020005</t>
        </is>
      </c>
      <c r="F1829" s="103" t="n">
        <v>44984</v>
      </c>
      <c r="G1829" s="104" t="n"/>
    </row>
    <row r="1830" ht="16" customHeight="1">
      <c r="A1830" s="98" t="n">
        <v>378915</v>
      </c>
      <c r="B1830" s="98" t="inlineStr">
        <is>
          <t>RIUNITE LAMBRUSCO</t>
        </is>
      </c>
      <c r="C1830" s="97">
        <f>VLOOKUP(A1830,SizeData!A$2:B$3839,2,FALSE)</f>
        <v/>
      </c>
      <c r="D1830" s="98" t="n">
        <v>2</v>
      </c>
      <c r="E1830" s="98" t="inlineStr">
        <is>
          <t>R2036702</t>
        </is>
      </c>
      <c r="F1830" s="99" t="n">
        <v>45007</v>
      </c>
      <c r="G1830" s="100" t="n"/>
    </row>
    <row r="1831" ht="16" customHeight="1">
      <c r="A1831" s="98" t="n">
        <v>378920</v>
      </c>
      <c r="B1831" s="98" t="inlineStr">
        <is>
          <t>RIUNITE LAMBRUSCO</t>
        </is>
      </c>
      <c r="C1831" s="97">
        <f>VLOOKUP(A1831,SizeData!A$2:B$3839,2,FALSE)</f>
        <v/>
      </c>
      <c r="D1831" s="98" t="n">
        <v>3</v>
      </c>
      <c r="E1831" s="98" t="inlineStr">
        <is>
          <t>R2036702</t>
        </is>
      </c>
      <c r="F1831" s="99" t="n">
        <v>45007</v>
      </c>
      <c r="G1831" s="100" t="n"/>
    </row>
    <row r="1832" ht="16" customHeight="1">
      <c r="A1832" s="98" t="n">
        <v>378915</v>
      </c>
      <c r="B1832" s="98" t="inlineStr">
        <is>
          <t>RIUNITE LAMBRUSCO</t>
        </is>
      </c>
      <c r="C1832" s="97">
        <f>VLOOKUP(A1832,SizeData!A$2:B$3839,2,FALSE)</f>
        <v/>
      </c>
      <c r="D1832" s="98" t="n">
        <v>1</v>
      </c>
      <c r="E1832" s="98" t="inlineStr">
        <is>
          <t>R2041213</t>
        </is>
      </c>
      <c r="F1832" s="99" t="n">
        <v>45010</v>
      </c>
      <c r="G1832" s="100" t="n"/>
    </row>
    <row r="1833" ht="16" customHeight="1">
      <c r="A1833" s="98" t="n">
        <v>378915</v>
      </c>
      <c r="B1833" s="98" t="inlineStr">
        <is>
          <t>RIUNITE LAMBRUSCO</t>
        </is>
      </c>
      <c r="C1833" s="97">
        <f>VLOOKUP(A1833,SizeData!A$2:B$3839,2,FALSE)</f>
        <v/>
      </c>
      <c r="D1833" s="98" t="n">
        <v>2</v>
      </c>
      <c r="E1833" s="98" t="inlineStr">
        <is>
          <t>R2057184</t>
        </is>
      </c>
      <c r="F1833" s="99" t="n">
        <v>45034</v>
      </c>
      <c r="G1833" s="100" t="n"/>
    </row>
    <row r="1834" ht="16" customHeight="1">
      <c r="A1834" s="98" t="n">
        <v>378920</v>
      </c>
      <c r="B1834" s="98" t="inlineStr">
        <is>
          <t>RIUNITE LAMBRUSCO</t>
        </is>
      </c>
      <c r="C1834" s="97">
        <f>VLOOKUP(A1834,SizeData!A$2:B$3839,2,FALSE)</f>
        <v/>
      </c>
      <c r="D1834" s="98" t="n">
        <v>1</v>
      </c>
      <c r="E1834" s="98" t="inlineStr">
        <is>
          <t>R2057184</t>
        </is>
      </c>
      <c r="F1834" s="99" t="n">
        <v>45034</v>
      </c>
      <c r="G1834" s="100" t="n"/>
    </row>
    <row r="1835" ht="16" customHeight="1">
      <c r="A1835" s="98" t="n">
        <v>378920</v>
      </c>
      <c r="B1835" s="98" t="inlineStr">
        <is>
          <t>RIUNITE LAMBRUSCO</t>
        </is>
      </c>
      <c r="C1835" s="97">
        <f>VLOOKUP(A1835,SizeData!A$2:B$3839,2,FALSE)</f>
        <v/>
      </c>
      <c r="D1835" s="98" t="n">
        <v>1</v>
      </c>
      <c r="E1835" s="98" t="inlineStr">
        <is>
          <t>R2064188</t>
        </is>
      </c>
      <c r="F1835" s="99" t="n">
        <v>45036</v>
      </c>
      <c r="G1835" s="100" t="n"/>
    </row>
    <row r="1836" ht="16" customHeight="1">
      <c r="A1836" s="98" t="n">
        <v>378915</v>
      </c>
      <c r="B1836" s="98" t="inlineStr">
        <is>
          <t>RIUNITE LAMBRUSCO</t>
        </is>
      </c>
      <c r="C1836" s="97">
        <f>VLOOKUP(A1836,SizeData!A$2:B$3839,2,FALSE)</f>
        <v/>
      </c>
      <c r="D1836" s="98" t="n">
        <v>3</v>
      </c>
      <c r="E1836" s="98" t="inlineStr">
        <is>
          <t>R2082982</t>
        </is>
      </c>
      <c r="F1836" s="99" t="n">
        <v>45048</v>
      </c>
      <c r="G1836" s="100" t="n"/>
    </row>
    <row r="1837" ht="16" customHeight="1">
      <c r="A1837" s="98" t="n">
        <v>379260</v>
      </c>
      <c r="B1837" s="98" t="inlineStr">
        <is>
          <t>ROSCATO GOLD ROSSO DULCE SWEET RED</t>
        </is>
      </c>
      <c r="C1837" s="97">
        <f>VLOOKUP(A1837,SizeData!A$2:B$3839,2,FALSE)</f>
        <v/>
      </c>
      <c r="D1837" s="98" t="n">
        <v>2</v>
      </c>
      <c r="E1837" s="98" t="inlineStr">
        <is>
          <t>R2022490</t>
        </is>
      </c>
      <c r="F1837" s="99" t="n">
        <v>45014</v>
      </c>
      <c r="G1837" s="100" t="n"/>
    </row>
    <row r="1838" ht="16" customHeight="1">
      <c r="A1838" s="98" t="n">
        <v>379250</v>
      </c>
      <c r="B1838" s="98" t="inlineStr">
        <is>
          <t>ROSCATO ROSSO DOLCE PROVENCIA DI PAVIA</t>
        </is>
      </c>
      <c r="C1838" s="97">
        <f>VLOOKUP(A1838,SizeData!A$2:B$3839,2,FALSE)</f>
        <v/>
      </c>
      <c r="D1838" s="98" t="n">
        <v>1</v>
      </c>
      <c r="E1838" s="98" t="inlineStr">
        <is>
          <t>R2030138</t>
        </is>
      </c>
      <c r="F1838" s="99" t="n">
        <v>44986</v>
      </c>
      <c r="G1838" s="100" t="n"/>
    </row>
    <row r="1839" ht="16" customHeight="1">
      <c r="A1839" s="98" t="n">
        <v>379250</v>
      </c>
      <c r="B1839" s="98" t="inlineStr">
        <is>
          <t>ROSCATO ROSSO DOLCE PROVENCIA DI PAVIA</t>
        </is>
      </c>
      <c r="C1839" s="97">
        <f>VLOOKUP(A1839,SizeData!A$2:B$3839,2,FALSE)</f>
        <v/>
      </c>
      <c r="D1839" s="98" t="n">
        <v>5</v>
      </c>
      <c r="E1839" s="98" t="inlineStr">
        <is>
          <t>R2005977</t>
        </is>
      </c>
      <c r="F1839" s="99" t="n">
        <v>44992</v>
      </c>
      <c r="G1839" s="100" t="n"/>
    </row>
    <row r="1840" ht="16" customHeight="1">
      <c r="A1840" s="98" t="n">
        <v>73052</v>
      </c>
      <c r="B1840" s="98" t="inlineStr">
        <is>
          <t>RUM CHATA HORCHATA CREAM LIQUEUR (RUM BASE)</t>
        </is>
      </c>
      <c r="C1840" s="97">
        <f>VLOOKUP(A1840,SizeData!A$2:B$3839,2,FALSE)</f>
        <v/>
      </c>
      <c r="D1840" s="98" t="n">
        <v>1</v>
      </c>
      <c r="E1840" s="98" t="inlineStr">
        <is>
          <t>R2065393</t>
        </is>
      </c>
      <c r="F1840" s="99" t="n">
        <v>45031</v>
      </c>
      <c r="G1840" s="100" t="n"/>
    </row>
    <row r="1841" ht="16" customHeight="1">
      <c r="A1841" s="98" t="n">
        <v>73051</v>
      </c>
      <c r="B1841" s="98" t="inlineStr">
        <is>
          <t>RUMCHATA CREAM LIQUER</t>
        </is>
      </c>
      <c r="C1841" s="97">
        <f>VLOOKUP(A1841,SizeData!A$2:B$3839,2,FALSE)</f>
        <v/>
      </c>
      <c r="D1841" s="98" t="n">
        <v>1</v>
      </c>
      <c r="E1841" s="98" t="inlineStr">
        <is>
          <t>R2067759</t>
        </is>
      </c>
      <c r="F1841" s="99" t="n">
        <v>45037</v>
      </c>
      <c r="G1841" s="100" t="n"/>
    </row>
    <row r="1842" ht="16" customHeight="1">
      <c r="A1842" s="98" t="n">
        <v>80456</v>
      </c>
      <c r="B1842" s="98" t="inlineStr">
        <is>
          <t>RYAN'S ORIGINAL CREME</t>
        </is>
      </c>
      <c r="C1842" s="97">
        <f>VLOOKUP(A1842,SizeData!A$2:B$3839,2,FALSE)</f>
        <v/>
      </c>
      <c r="D1842" s="98" t="n">
        <v>1</v>
      </c>
      <c r="E1842" s="98" t="inlineStr">
        <is>
          <t>R1979406</t>
        </is>
      </c>
      <c r="F1842" s="99" t="n">
        <v>44978</v>
      </c>
      <c r="G1842" s="100" t="n"/>
    </row>
    <row r="1843" ht="16" customHeight="1">
      <c r="A1843" s="98" t="n">
        <v>80458</v>
      </c>
      <c r="B1843" s="98" t="inlineStr">
        <is>
          <t>RYAN'S ORIGINAL CREME</t>
        </is>
      </c>
      <c r="C1843" s="97">
        <f>VLOOKUP(A1843,SizeData!A$2:B$3839,2,FALSE)</f>
        <v/>
      </c>
      <c r="D1843" s="98" t="n">
        <v>2</v>
      </c>
      <c r="E1843" s="98" t="inlineStr">
        <is>
          <t>R2003147</t>
        </is>
      </c>
      <c r="F1843" s="99" t="n">
        <v>44987</v>
      </c>
      <c r="G1843" s="100" t="n"/>
    </row>
    <row r="1844" ht="16" customHeight="1">
      <c r="A1844" s="98" t="n">
        <v>80456</v>
      </c>
      <c r="B1844" s="98" t="inlineStr">
        <is>
          <t>RYAN'S ORIGINAL CREME</t>
        </is>
      </c>
      <c r="C1844" s="97">
        <f>VLOOKUP(A1844,SizeData!A$2:B$3839,2,FALSE)</f>
        <v/>
      </c>
      <c r="D1844" s="98" t="n">
        <v>1</v>
      </c>
      <c r="E1844" s="98" t="inlineStr">
        <is>
          <t>R2039044</t>
        </is>
      </c>
      <c r="F1844" s="99" t="n">
        <v>45013</v>
      </c>
      <c r="G1844" s="100" t="n"/>
    </row>
    <row r="1845" ht="16" customHeight="1">
      <c r="A1845" s="98" t="n">
        <v>80456</v>
      </c>
      <c r="B1845" s="98" t="inlineStr">
        <is>
          <t>RYAN'S ORIGINAL CREME</t>
        </is>
      </c>
      <c r="C1845" s="97">
        <f>VLOOKUP(A1845,SizeData!A$2:B$3839,2,FALSE)</f>
        <v/>
      </c>
      <c r="D1845" s="98" t="n">
        <v>2</v>
      </c>
      <c r="E1845" s="98" t="inlineStr">
        <is>
          <t>R2043272</t>
        </is>
      </c>
      <c r="F1845" s="99" t="n">
        <v>45021</v>
      </c>
      <c r="G1845" s="100" t="n"/>
    </row>
    <row r="1846" ht="16" customHeight="1">
      <c r="A1846" s="98" t="n">
        <v>49376</v>
      </c>
      <c r="B1846" s="98" t="inlineStr">
        <is>
          <t>SALIGNAC V S</t>
        </is>
      </c>
      <c r="C1846" s="97">
        <f>VLOOKUP(A1846,SizeData!A$2:B$3839,2,FALSE)</f>
        <v/>
      </c>
      <c r="D1846" s="98" t="n">
        <v>20</v>
      </c>
      <c r="E1846" s="98" t="inlineStr">
        <is>
          <t>R1930750</t>
        </is>
      </c>
      <c r="F1846" s="99" t="n">
        <v>44933</v>
      </c>
      <c r="G1846" s="100" t="n"/>
    </row>
    <row r="1847" ht="16" customHeight="1">
      <c r="A1847" s="98" t="n">
        <v>49376</v>
      </c>
      <c r="B1847" s="98" t="inlineStr">
        <is>
          <t>SALIGNAC V S</t>
        </is>
      </c>
      <c r="C1847" s="97">
        <f>VLOOKUP(A1847,SizeData!A$2:B$3839,2,FALSE)</f>
        <v/>
      </c>
      <c r="D1847" s="98" t="n">
        <v>10</v>
      </c>
      <c r="E1847" s="98" t="inlineStr">
        <is>
          <t>R1931308</t>
        </is>
      </c>
      <c r="F1847" s="99" t="n">
        <v>44933</v>
      </c>
      <c r="G1847" s="100" t="n"/>
    </row>
    <row r="1848" ht="16" customHeight="1">
      <c r="A1848" s="98" t="n">
        <v>49373</v>
      </c>
      <c r="B1848" s="98" t="inlineStr">
        <is>
          <t>SALIGNAC V S</t>
        </is>
      </c>
      <c r="C1848" s="97">
        <f>VLOOKUP(A1848,SizeData!A$2:B$3839,2,FALSE)</f>
        <v/>
      </c>
      <c r="D1848" s="98" t="n">
        <v>1</v>
      </c>
      <c r="E1848" s="98" t="inlineStr">
        <is>
          <t>R1998154</t>
        </is>
      </c>
      <c r="F1848" s="99" t="n">
        <v>44985</v>
      </c>
      <c r="G1848" s="100" t="n"/>
    </row>
    <row r="1849" ht="16" customHeight="1">
      <c r="A1849" s="98" t="n">
        <v>49374</v>
      </c>
      <c r="B1849" s="98" t="inlineStr">
        <is>
          <t>SALIGNAC V S</t>
        </is>
      </c>
      <c r="C1849" s="97">
        <f>VLOOKUP(A1849,SizeData!A$2:B$3839,2,FALSE)</f>
        <v/>
      </c>
      <c r="D1849" s="98" t="n">
        <v>3</v>
      </c>
      <c r="E1849" s="98" t="inlineStr">
        <is>
          <t>R2020651</t>
        </is>
      </c>
      <c r="F1849" s="99" t="n">
        <v>45000</v>
      </c>
      <c r="G1849" s="100" t="n"/>
    </row>
    <row r="1850" ht="16" customHeight="1">
      <c r="A1850" s="98" t="n">
        <v>49374</v>
      </c>
      <c r="B1850" s="98" t="inlineStr">
        <is>
          <t>SALIGNAC V S</t>
        </is>
      </c>
      <c r="C1850" s="97">
        <f>VLOOKUP(A1850,SizeData!A$2:B$3839,2,FALSE)</f>
        <v/>
      </c>
      <c r="D1850" s="98" t="n">
        <v>3</v>
      </c>
      <c r="E1850" s="98" t="inlineStr">
        <is>
          <t>R2031927</t>
        </is>
      </c>
      <c r="F1850" s="99" t="n">
        <v>45003</v>
      </c>
      <c r="G1850" s="100" t="n"/>
    </row>
    <row r="1851" ht="16" customHeight="1">
      <c r="A1851" s="101" t="n">
        <v>49374</v>
      </c>
      <c r="B1851" s="101" t="inlineStr">
        <is>
          <t>SALIGNAC V S</t>
        </is>
      </c>
      <c r="C1851" s="102">
        <f>VLOOKUP(A1851,SizeData!A$2:B$3839,2,FALSE)</f>
        <v/>
      </c>
      <c r="D1851" s="101" t="n">
        <v>2</v>
      </c>
      <c r="E1851" s="101" t="inlineStr">
        <is>
          <t>R2031927</t>
        </is>
      </c>
      <c r="F1851" s="103" t="n">
        <v>45003</v>
      </c>
      <c r="G1851" s="104" t="n"/>
    </row>
    <row r="1852" ht="16" customHeight="1">
      <c r="A1852" s="98" t="n">
        <v>503850</v>
      </c>
      <c r="B1852" s="98" t="inlineStr">
        <is>
          <t>SALT OF THE EARTH MOSCATO RUBINO</t>
        </is>
      </c>
      <c r="C1852" s="97">
        <f>VLOOKUP(A1852,SizeData!A$2:B$3839,2,FALSE)</f>
        <v/>
      </c>
      <c r="D1852" s="98" t="n">
        <v>10</v>
      </c>
      <c r="E1852" s="98" t="inlineStr">
        <is>
          <t>R2078104</t>
        </is>
      </c>
      <c r="F1852" s="99" t="n">
        <v>45042</v>
      </c>
      <c r="G1852" s="100" t="n"/>
    </row>
    <row r="1853" ht="16" customHeight="1">
      <c r="A1853" s="98" t="n">
        <v>63530</v>
      </c>
      <c r="B1853" s="98" t="inlineStr">
        <is>
          <t>SALVADOR'S ORIGINAL MARGARITA 26PRF RTD</t>
        </is>
      </c>
      <c r="C1853" s="97">
        <f>VLOOKUP(A1853,SizeData!A$2:B$3839,2,FALSE)</f>
        <v/>
      </c>
      <c r="D1853" s="98" t="n">
        <v>1</v>
      </c>
      <c r="E1853" s="98" t="inlineStr">
        <is>
          <t>R1944170</t>
        </is>
      </c>
      <c r="F1853" s="99" t="n">
        <v>44947</v>
      </c>
      <c r="G1853" s="100" t="n"/>
    </row>
    <row r="1854" ht="16" customHeight="1">
      <c r="A1854" s="98" t="n">
        <v>63530</v>
      </c>
      <c r="B1854" s="98" t="inlineStr">
        <is>
          <t>SALVADOR'S ORIGINAL MARGARITA 26PRF RTD</t>
        </is>
      </c>
      <c r="C1854" s="97">
        <f>VLOOKUP(A1854,SizeData!A$2:B$3839,2,FALSE)</f>
        <v/>
      </c>
      <c r="D1854" s="98" t="n">
        <v>1</v>
      </c>
      <c r="E1854" s="98" t="inlineStr">
        <is>
          <t>R1947923</t>
        </is>
      </c>
      <c r="F1854" s="99" t="n">
        <v>44949</v>
      </c>
      <c r="G1854" s="100" t="n"/>
    </row>
    <row r="1855" ht="16" customHeight="1">
      <c r="A1855" s="98" t="n">
        <v>25606</v>
      </c>
      <c r="B1855" s="98" t="inlineStr">
        <is>
          <t>SEAGRAM'S 7 CROWN BLENDED WHISKEY</t>
        </is>
      </c>
      <c r="C1855" s="97">
        <f>VLOOKUP(A1855,SizeData!A$2:B$3839,2,FALSE)</f>
        <v/>
      </c>
      <c r="D1855" s="98" t="n">
        <v>2</v>
      </c>
      <c r="E1855" s="98" t="inlineStr">
        <is>
          <t>R1992338</t>
        </is>
      </c>
      <c r="F1855" s="99" t="n">
        <v>44980</v>
      </c>
      <c r="G1855" s="100" t="n"/>
    </row>
    <row r="1856" ht="16" customHeight="1">
      <c r="A1856" s="98" t="n">
        <v>25608</v>
      </c>
      <c r="B1856" s="98" t="inlineStr">
        <is>
          <t>SEAGRAM'S 7 CROWN BLENDED WHISKEY</t>
        </is>
      </c>
      <c r="C1856" s="97">
        <f>VLOOKUP(A1856,SizeData!A$2:B$3839,2,FALSE)</f>
        <v/>
      </c>
      <c r="D1856" s="98" t="n">
        <v>10</v>
      </c>
      <c r="E1856" s="98" t="inlineStr">
        <is>
          <t>R2004241</t>
        </is>
      </c>
      <c r="F1856" s="99" t="n">
        <v>44992</v>
      </c>
      <c r="G1856" s="100" t="n"/>
    </row>
    <row r="1857" ht="16" customHeight="1">
      <c r="A1857" s="98" t="n">
        <v>25604</v>
      </c>
      <c r="B1857" s="98" t="inlineStr">
        <is>
          <t>SEAGRAM'S 7 CROWN BLENDED WHISKEY (PET)</t>
        </is>
      </c>
      <c r="C1857" s="97">
        <f>VLOOKUP(A1857,SizeData!A$2:B$3839,2,FALSE)</f>
        <v/>
      </c>
      <c r="D1857" s="98" t="n">
        <v>2</v>
      </c>
      <c r="E1857" s="98" t="inlineStr">
        <is>
          <t>R1931242</t>
        </is>
      </c>
      <c r="F1857" s="99" t="n">
        <v>44937</v>
      </c>
      <c r="G1857" s="100" t="n"/>
    </row>
    <row r="1858" ht="16" customHeight="1">
      <c r="A1858" s="98" t="n">
        <v>25604</v>
      </c>
      <c r="B1858" s="98" t="inlineStr">
        <is>
          <t>SEAGRAM'S 7 CROWN BLENDED WHISKEY (PET)</t>
        </is>
      </c>
      <c r="C1858" s="97">
        <f>VLOOKUP(A1858,SizeData!A$2:B$3839,2,FALSE)</f>
        <v/>
      </c>
      <c r="D1858" s="98" t="n">
        <v>3</v>
      </c>
      <c r="E1858" s="98" t="inlineStr">
        <is>
          <t>R1978112</t>
        </is>
      </c>
      <c r="F1858" s="99" t="n">
        <v>44972</v>
      </c>
      <c r="G1858" s="100" t="n"/>
    </row>
    <row r="1859" ht="16" customHeight="1">
      <c r="A1859" s="98" t="n">
        <v>25603</v>
      </c>
      <c r="B1859" s="98" t="inlineStr">
        <is>
          <t>SEAGRAM'S 7 CROWN BLENDED WHISKEY (PET)</t>
        </is>
      </c>
      <c r="C1859" s="97">
        <f>VLOOKUP(A1859,SizeData!A$2:B$3839,2,FALSE)</f>
        <v/>
      </c>
      <c r="D1859" s="98" t="n">
        <v>1</v>
      </c>
      <c r="E1859" s="98" t="inlineStr">
        <is>
          <t>R1996314</t>
        </is>
      </c>
      <c r="F1859" s="99" t="n">
        <v>44979</v>
      </c>
      <c r="G1859" s="100" t="n"/>
    </row>
    <row r="1860" ht="16" customHeight="1">
      <c r="A1860" s="98" t="n">
        <v>25603</v>
      </c>
      <c r="B1860" s="98" t="inlineStr">
        <is>
          <t>SEAGRAM'S 7 CROWN BLENDED WHISKEY (PET)</t>
        </is>
      </c>
      <c r="C1860" s="97">
        <f>VLOOKUP(A1860,SizeData!A$2:B$3839,2,FALSE)</f>
        <v/>
      </c>
      <c r="D1860" s="98" t="n">
        <v>2</v>
      </c>
      <c r="E1860" s="98" t="inlineStr">
        <is>
          <t>R2078241</t>
        </is>
      </c>
      <c r="F1860" s="99" t="n">
        <v>45047</v>
      </c>
      <c r="G1860" s="100" t="n"/>
    </row>
    <row r="1861" ht="16" customHeight="1">
      <c r="A1861" s="98" t="n">
        <v>25604</v>
      </c>
      <c r="B1861" s="98" t="inlineStr">
        <is>
          <t>SEAGRAM'S 7 CROWN BLENDED WHISKEY (PET)</t>
        </is>
      </c>
      <c r="C1861" s="97">
        <f>VLOOKUP(A1861,SizeData!A$2:B$3839,2,FALSE)</f>
        <v/>
      </c>
      <c r="D1861" s="98" t="n">
        <v>4</v>
      </c>
      <c r="E1861" s="98" t="inlineStr">
        <is>
          <t>R2078241</t>
        </is>
      </c>
      <c r="F1861" s="99" t="n">
        <v>45047</v>
      </c>
      <c r="G1861" s="100" t="n"/>
    </row>
    <row r="1862" ht="16" customHeight="1">
      <c r="A1862" s="98" t="n">
        <v>76836</v>
      </c>
      <c r="B1862" s="98" t="inlineStr">
        <is>
          <t>SEAGRAM'S 83</t>
        </is>
      </c>
      <c r="C1862" s="97">
        <f>VLOOKUP(A1862,SizeData!A$2:B$3839,2,FALSE)</f>
        <v/>
      </c>
      <c r="D1862" s="98" t="n">
        <v>1</v>
      </c>
      <c r="E1862" s="98" t="inlineStr">
        <is>
          <t>R2055049</t>
        </is>
      </c>
      <c r="F1862" s="99" t="n">
        <v>45017</v>
      </c>
      <c r="G1862" s="100" t="n"/>
    </row>
    <row r="1863" ht="16" customHeight="1">
      <c r="A1863" s="98" t="n">
        <v>76836</v>
      </c>
      <c r="B1863" s="98" t="inlineStr">
        <is>
          <t>SEAGRAM'S 83</t>
        </is>
      </c>
      <c r="C1863" s="97">
        <f>VLOOKUP(A1863,SizeData!A$2:B$3839,2,FALSE)</f>
        <v/>
      </c>
      <c r="D1863" s="98" t="n">
        <v>2</v>
      </c>
      <c r="E1863" s="98" t="inlineStr">
        <is>
          <t>R2073308</t>
        </is>
      </c>
      <c r="F1863" s="99" t="n">
        <v>45038</v>
      </c>
      <c r="G1863" s="100" t="n"/>
    </row>
    <row r="1864" ht="16" customHeight="1">
      <c r="A1864" s="98" t="n">
        <v>12308</v>
      </c>
      <c r="B1864" s="98" t="inlineStr">
        <is>
          <t>SEAGRAM'S CANADIAN HUNTER</t>
        </is>
      </c>
      <c r="C1864" s="97">
        <f>VLOOKUP(A1864,SizeData!A$2:B$3839,2,FALSE)</f>
        <v/>
      </c>
      <c r="D1864" s="98" t="n">
        <v>2</v>
      </c>
      <c r="E1864" s="98" t="inlineStr">
        <is>
          <t>R2083415</t>
        </is>
      </c>
      <c r="F1864" s="99" t="n">
        <v>45048</v>
      </c>
      <c r="G1864" s="100" t="n"/>
    </row>
    <row r="1865" ht="16" customHeight="1">
      <c r="A1865" s="98" t="n">
        <v>32214</v>
      </c>
      <c r="B1865" s="98" t="inlineStr">
        <is>
          <t>SEAGRAM'S DISTILLER'S RESERVE 94 GIN</t>
        </is>
      </c>
      <c r="C1865" s="97">
        <f>VLOOKUP(A1865,SizeData!A$2:B$3839,2,FALSE)</f>
        <v/>
      </c>
      <c r="D1865" s="98" t="n">
        <v>1</v>
      </c>
      <c r="E1865" s="98" t="inlineStr">
        <is>
          <t>R1930280</t>
        </is>
      </c>
      <c r="F1865" s="99" t="n">
        <v>44935</v>
      </c>
      <c r="G1865" s="100" t="n"/>
    </row>
    <row r="1866" ht="16" customHeight="1">
      <c r="A1866" s="98" t="n">
        <v>32216</v>
      </c>
      <c r="B1866" s="98" t="inlineStr">
        <is>
          <t>SEAGRAM'S DISTILLER'S RESERVE 94 GIN</t>
        </is>
      </c>
      <c r="C1866" s="97">
        <f>VLOOKUP(A1866,SizeData!A$2:B$3839,2,FALSE)</f>
        <v/>
      </c>
      <c r="D1866" s="98" t="n">
        <v>1</v>
      </c>
      <c r="E1866" s="98" t="inlineStr">
        <is>
          <t>R1939504</t>
        </is>
      </c>
      <c r="F1866" s="99" t="n">
        <v>44940</v>
      </c>
      <c r="G1866" s="100" t="n"/>
    </row>
    <row r="1867" ht="16" customHeight="1">
      <c r="A1867" s="101" t="n">
        <v>32216</v>
      </c>
      <c r="B1867" s="101" t="inlineStr">
        <is>
          <t>SEAGRAM'S DISTILLER'S RESERVE 94 GIN</t>
        </is>
      </c>
      <c r="C1867" s="102">
        <f>VLOOKUP(A1867,SizeData!A$2:B$3839,2,FALSE)</f>
        <v/>
      </c>
      <c r="D1867" s="101" t="n">
        <v>2</v>
      </c>
      <c r="E1867" s="101" t="inlineStr">
        <is>
          <t>R2039044</t>
        </is>
      </c>
      <c r="F1867" s="103" t="n">
        <v>45013</v>
      </c>
      <c r="G1867" s="104" t="n"/>
    </row>
    <row r="1868" ht="16" customHeight="1">
      <c r="A1868" s="98" t="n">
        <v>32238</v>
      </c>
      <c r="B1868" s="98" t="inlineStr">
        <is>
          <t>SEAGRAM'S EXTRA DRY GIN</t>
        </is>
      </c>
      <c r="C1868" s="97">
        <f>VLOOKUP(A1868,SizeData!A$2:B$3839,2,FALSE)</f>
        <v/>
      </c>
      <c r="D1868" s="98" t="n">
        <v>2</v>
      </c>
      <c r="E1868" s="98" t="inlineStr">
        <is>
          <t>R1926345</t>
        </is>
      </c>
      <c r="F1868" s="99" t="n">
        <v>44931</v>
      </c>
      <c r="G1868" s="100" t="n"/>
    </row>
    <row r="1869" ht="16" customHeight="1">
      <c r="A1869" s="98" t="n">
        <v>32238</v>
      </c>
      <c r="B1869" s="98" t="inlineStr">
        <is>
          <t>SEAGRAM'S EXTRA DRY GIN</t>
        </is>
      </c>
      <c r="C1869" s="97">
        <f>VLOOKUP(A1869,SizeData!A$2:B$3839,2,FALSE)</f>
        <v/>
      </c>
      <c r="D1869" s="98" t="n">
        <v>2</v>
      </c>
      <c r="E1869" s="98" t="inlineStr">
        <is>
          <t>R1939205</t>
        </is>
      </c>
      <c r="F1869" s="99" t="n">
        <v>44940</v>
      </c>
      <c r="G1869" s="100" t="n"/>
    </row>
    <row r="1870" ht="16" customHeight="1">
      <c r="A1870" s="98" t="n">
        <v>32238</v>
      </c>
      <c r="B1870" s="98" t="inlineStr">
        <is>
          <t>SEAGRAM'S EXTRA DRY GIN</t>
        </is>
      </c>
      <c r="C1870" s="97">
        <f>VLOOKUP(A1870,SizeData!A$2:B$3839,2,FALSE)</f>
        <v/>
      </c>
      <c r="D1870" s="98" t="n">
        <v>5</v>
      </c>
      <c r="E1870" s="98" t="inlineStr">
        <is>
          <t>R1956061</t>
        </is>
      </c>
      <c r="F1870" s="99" t="n">
        <v>44956</v>
      </c>
      <c r="G1870" s="100" t="n"/>
    </row>
    <row r="1871" ht="16" customHeight="1">
      <c r="A1871" s="98" t="n">
        <v>32238</v>
      </c>
      <c r="B1871" s="98" t="inlineStr">
        <is>
          <t>SEAGRAM'S EXTRA DRY GIN</t>
        </is>
      </c>
      <c r="C1871" s="97">
        <f>VLOOKUP(A1871,SizeData!A$2:B$3839,2,FALSE)</f>
        <v/>
      </c>
      <c r="D1871" s="98" t="n">
        <v>6</v>
      </c>
      <c r="E1871" s="98" t="inlineStr">
        <is>
          <t>R2017204</t>
        </is>
      </c>
      <c r="F1871" s="99" t="n">
        <v>44991</v>
      </c>
      <c r="G1871" s="100" t="n"/>
    </row>
    <row r="1872" ht="16" customHeight="1">
      <c r="A1872" s="98" t="n">
        <v>32238</v>
      </c>
      <c r="B1872" s="98" t="inlineStr">
        <is>
          <t>SEAGRAM'S EXTRA DRY GIN</t>
        </is>
      </c>
      <c r="C1872" s="97">
        <f>VLOOKUP(A1872,SizeData!A$2:B$3839,2,FALSE)</f>
        <v/>
      </c>
      <c r="D1872" s="98" t="n">
        <v>2</v>
      </c>
      <c r="E1872" s="98" t="inlineStr">
        <is>
          <t>R2021274</t>
        </is>
      </c>
      <c r="F1872" s="99" t="n">
        <v>44998</v>
      </c>
      <c r="G1872" s="100" t="n"/>
    </row>
    <row r="1873" ht="16" customHeight="1">
      <c r="A1873" s="98" t="n">
        <v>32238</v>
      </c>
      <c r="B1873" s="98" t="inlineStr">
        <is>
          <t>SEAGRAM'S EXTRA DRY GIN</t>
        </is>
      </c>
      <c r="C1873" s="97">
        <f>VLOOKUP(A1873,SizeData!A$2:B$3839,2,FALSE)</f>
        <v/>
      </c>
      <c r="D1873" s="98" t="n">
        <v>2</v>
      </c>
      <c r="E1873" s="98" t="inlineStr">
        <is>
          <t>R2035913</t>
        </is>
      </c>
      <c r="F1873" s="99" t="n">
        <v>45005</v>
      </c>
      <c r="G1873" s="100" t="n"/>
    </row>
    <row r="1874" ht="16" customHeight="1">
      <c r="A1874" s="98" t="n">
        <v>32238</v>
      </c>
      <c r="B1874" s="98" t="inlineStr">
        <is>
          <t>SEAGRAM'S EXTRA DRY GIN</t>
        </is>
      </c>
      <c r="C1874" s="97">
        <f>VLOOKUP(A1874,SizeData!A$2:B$3839,2,FALSE)</f>
        <v/>
      </c>
      <c r="D1874" s="98" t="n">
        <v>1</v>
      </c>
      <c r="E1874" s="98" t="inlineStr">
        <is>
          <t>R2067759</t>
        </is>
      </c>
      <c r="F1874" s="99" t="n">
        <v>45037</v>
      </c>
      <c r="G1874" s="100" t="n"/>
    </row>
    <row r="1875" ht="16" customHeight="1">
      <c r="A1875" s="98" t="n">
        <v>32232</v>
      </c>
      <c r="B1875" s="98" t="inlineStr">
        <is>
          <t>SEAGRAM'S EXTRA DRY GIN</t>
        </is>
      </c>
      <c r="C1875" s="97">
        <f>VLOOKUP(A1875,SizeData!A$2:B$3839,2,FALSE)</f>
        <v/>
      </c>
      <c r="D1875" s="98" t="n">
        <v>3</v>
      </c>
      <c r="E1875" s="98" t="inlineStr">
        <is>
          <t>R1926345</t>
        </is>
      </c>
      <c r="F1875" s="99" t="n">
        <v>44931</v>
      </c>
      <c r="G1875" s="100" t="n"/>
    </row>
    <row r="1876" ht="16" customHeight="1">
      <c r="A1876" s="98" t="n">
        <v>32234</v>
      </c>
      <c r="B1876" s="98" t="inlineStr">
        <is>
          <t>SEAGRAM'S EXTRA DRY GIN</t>
        </is>
      </c>
      <c r="C1876" s="97">
        <f>VLOOKUP(A1876,SizeData!A$2:B$3839,2,FALSE)</f>
        <v/>
      </c>
      <c r="D1876" s="98" t="n">
        <v>5</v>
      </c>
      <c r="E1876" s="98" t="inlineStr">
        <is>
          <t>R1965810</t>
        </is>
      </c>
      <c r="F1876" s="99" t="n">
        <v>44950</v>
      </c>
      <c r="G1876" s="100" t="n"/>
    </row>
    <row r="1877" ht="16" customHeight="1">
      <c r="A1877" s="98" t="n">
        <v>32234</v>
      </c>
      <c r="B1877" s="98" t="inlineStr">
        <is>
          <t>SEAGRAM'S EXTRA DRY GIN</t>
        </is>
      </c>
      <c r="C1877" s="97">
        <f>VLOOKUP(A1877,SizeData!A$2:B$3839,2,FALSE)</f>
        <v/>
      </c>
      <c r="D1877" s="98" t="n">
        <v>2</v>
      </c>
      <c r="E1877" s="98" t="inlineStr">
        <is>
          <t>R1992338</t>
        </is>
      </c>
      <c r="F1877" s="99" t="n">
        <v>44980</v>
      </c>
      <c r="G1877" s="100" t="n"/>
    </row>
    <row r="1878" ht="16" customHeight="1">
      <c r="A1878" s="98" t="n">
        <v>32234</v>
      </c>
      <c r="B1878" s="98" t="inlineStr">
        <is>
          <t>SEAGRAM'S EXTRA DRY GIN</t>
        </is>
      </c>
      <c r="C1878" s="97">
        <f>VLOOKUP(A1878,SizeData!A$2:B$3839,2,FALSE)</f>
        <v/>
      </c>
      <c r="D1878" s="98" t="n">
        <v>2</v>
      </c>
      <c r="E1878" s="98" t="inlineStr">
        <is>
          <t>R2005740</t>
        </is>
      </c>
      <c r="F1878" s="99" t="n">
        <v>44987</v>
      </c>
      <c r="G1878" s="100" t="n"/>
    </row>
    <row r="1879" ht="16" customHeight="1">
      <c r="A1879" s="98" t="n">
        <v>32234</v>
      </c>
      <c r="B1879" s="98" t="inlineStr">
        <is>
          <t>SEAGRAM'S EXTRA DRY GIN</t>
        </is>
      </c>
      <c r="C1879" s="97">
        <f>VLOOKUP(A1879,SizeData!A$2:B$3839,2,FALSE)</f>
        <v/>
      </c>
      <c r="D1879" s="98" t="n">
        <v>1</v>
      </c>
      <c r="E1879" s="98" t="inlineStr">
        <is>
          <t>R2017906</t>
        </is>
      </c>
      <c r="F1879" s="99" t="n">
        <v>44993</v>
      </c>
      <c r="G1879" s="100" t="n"/>
    </row>
    <row r="1880" ht="16" customHeight="1">
      <c r="A1880" s="98" t="n">
        <v>32234</v>
      </c>
      <c r="B1880" s="98" t="inlineStr">
        <is>
          <t>SEAGRAM'S EXTRA DRY GIN</t>
        </is>
      </c>
      <c r="C1880" s="97">
        <f>VLOOKUP(A1880,SizeData!A$2:B$3839,2,FALSE)</f>
        <v/>
      </c>
      <c r="D1880" s="98" t="n">
        <v>2</v>
      </c>
      <c r="E1880" s="98" t="inlineStr">
        <is>
          <t>R2026986</t>
        </is>
      </c>
      <c r="F1880" s="99" t="n">
        <v>45010</v>
      </c>
      <c r="G1880" s="100" t="n"/>
    </row>
    <row r="1881" ht="16" customHeight="1">
      <c r="A1881" s="98" t="n">
        <v>32234</v>
      </c>
      <c r="B1881" s="98" t="inlineStr">
        <is>
          <t>SEAGRAM'S EXTRA DRY GIN</t>
        </is>
      </c>
      <c r="C1881" s="97">
        <f>VLOOKUP(A1881,SizeData!A$2:B$3839,2,FALSE)</f>
        <v/>
      </c>
      <c r="D1881" s="98" t="n">
        <v>2</v>
      </c>
      <c r="E1881" s="98" t="inlineStr">
        <is>
          <t>R2055448</t>
        </is>
      </c>
      <c r="F1881" s="99" t="n">
        <v>45021</v>
      </c>
      <c r="G1881" s="100" t="n"/>
    </row>
    <row r="1882" ht="16" customHeight="1">
      <c r="A1882" s="98" t="n">
        <v>32234</v>
      </c>
      <c r="B1882" s="98" t="inlineStr">
        <is>
          <t>SEAGRAM'S EXTRA DRY GIN</t>
        </is>
      </c>
      <c r="C1882" s="97">
        <f>VLOOKUP(A1882,SizeData!A$2:B$3839,2,FALSE)</f>
        <v/>
      </c>
      <c r="D1882" s="98" t="n">
        <v>1</v>
      </c>
      <c r="E1882" s="98" t="inlineStr">
        <is>
          <t>R2062305</t>
        </is>
      </c>
      <c r="F1882" s="99" t="n">
        <v>45024</v>
      </c>
      <c r="G1882" s="100" t="n"/>
    </row>
    <row r="1883" ht="16" customHeight="1">
      <c r="A1883" s="98" t="n">
        <v>32234</v>
      </c>
      <c r="B1883" s="98" t="inlineStr">
        <is>
          <t>SEAGRAM'S EXTRA DRY GIN</t>
        </is>
      </c>
      <c r="C1883" s="97">
        <f>VLOOKUP(A1883,SizeData!A$2:B$3839,2,FALSE)</f>
        <v/>
      </c>
      <c r="D1883" s="98" t="n">
        <v>2</v>
      </c>
      <c r="E1883" s="98" t="inlineStr">
        <is>
          <t>R2049198</t>
        </is>
      </c>
      <c r="F1883" s="99" t="n">
        <v>45028</v>
      </c>
      <c r="G1883" s="100" t="n"/>
    </row>
    <row r="1884" ht="16" customHeight="1">
      <c r="A1884" s="98" t="n">
        <v>32236</v>
      </c>
      <c r="B1884" s="98" t="inlineStr">
        <is>
          <t>SEAGRAM'S EXTRA DRY GIN</t>
        </is>
      </c>
      <c r="C1884" s="97">
        <f>VLOOKUP(A1884,SizeData!A$2:B$3839,2,FALSE)</f>
        <v/>
      </c>
      <c r="D1884" s="98" t="n">
        <v>4</v>
      </c>
      <c r="E1884" s="98" t="inlineStr">
        <is>
          <t>R1926345</t>
        </is>
      </c>
      <c r="F1884" s="99" t="n">
        <v>44931</v>
      </c>
      <c r="G1884" s="100" t="n"/>
    </row>
    <row r="1885" ht="16" customHeight="1">
      <c r="A1885" s="98" t="n">
        <v>32236</v>
      </c>
      <c r="B1885" s="98" t="inlineStr">
        <is>
          <t>SEAGRAM'S EXTRA DRY GIN</t>
        </is>
      </c>
      <c r="C1885" s="97">
        <f>VLOOKUP(A1885,SizeData!A$2:B$3839,2,FALSE)</f>
        <v/>
      </c>
      <c r="D1885" s="98" t="n">
        <v>3</v>
      </c>
      <c r="E1885" s="98" t="inlineStr">
        <is>
          <t>R1961502</t>
        </is>
      </c>
      <c r="F1885" s="99" t="n">
        <v>44953</v>
      </c>
      <c r="G1885" s="100" t="n"/>
    </row>
    <row r="1886" ht="16" customHeight="1">
      <c r="A1886" s="98" t="n">
        <v>32236</v>
      </c>
      <c r="B1886" s="98" t="inlineStr">
        <is>
          <t>SEAGRAM'S EXTRA DRY GIN</t>
        </is>
      </c>
      <c r="C1886" s="97">
        <f>VLOOKUP(A1886,SizeData!A$2:B$3839,2,FALSE)</f>
        <v/>
      </c>
      <c r="D1886" s="98" t="n">
        <v>2</v>
      </c>
      <c r="E1886" s="98" t="inlineStr">
        <is>
          <t>R1959013</t>
        </is>
      </c>
      <c r="F1886" s="99" t="n">
        <v>44959</v>
      </c>
      <c r="G1886" s="100" t="n"/>
    </row>
    <row r="1887" ht="16" customHeight="1">
      <c r="A1887" s="98" t="n">
        <v>32236</v>
      </c>
      <c r="B1887" s="98" t="inlineStr">
        <is>
          <t>SEAGRAM'S EXTRA DRY GIN</t>
        </is>
      </c>
      <c r="C1887" s="97">
        <f>VLOOKUP(A1887,SizeData!A$2:B$3839,2,FALSE)</f>
        <v/>
      </c>
      <c r="D1887" s="98" t="n">
        <v>3</v>
      </c>
      <c r="E1887" s="98" t="inlineStr">
        <is>
          <t>R2003147</t>
        </is>
      </c>
      <c r="F1887" s="99" t="n">
        <v>44987</v>
      </c>
      <c r="G1887" s="100" t="n"/>
    </row>
    <row r="1888" ht="16" customHeight="1">
      <c r="A1888" s="101" t="n">
        <v>32236</v>
      </c>
      <c r="B1888" s="101" t="inlineStr">
        <is>
          <t>SEAGRAM'S EXTRA DRY GIN</t>
        </is>
      </c>
      <c r="C1888" s="102">
        <f>VLOOKUP(A1888,SizeData!A$2:B$3839,2,FALSE)</f>
        <v/>
      </c>
      <c r="D1888" s="101" t="n">
        <v>1</v>
      </c>
      <c r="E1888" s="101" t="inlineStr">
        <is>
          <t>R2003147</t>
        </is>
      </c>
      <c r="F1888" s="103" t="n">
        <v>44987</v>
      </c>
      <c r="G1888" s="100" t="n"/>
    </row>
    <row r="1889" ht="16" customHeight="1">
      <c r="A1889" s="98" t="n">
        <v>32236</v>
      </c>
      <c r="B1889" s="98" t="inlineStr">
        <is>
          <t>SEAGRAM'S EXTRA DRY GIN</t>
        </is>
      </c>
      <c r="C1889" s="97">
        <f>VLOOKUP(A1889,SizeData!A$2:B$3839,2,FALSE)</f>
        <v/>
      </c>
      <c r="D1889" s="98" t="n">
        <v>2</v>
      </c>
      <c r="E1889" s="98" t="inlineStr">
        <is>
          <t>R2021274</t>
        </is>
      </c>
      <c r="F1889" s="99" t="n">
        <v>44998</v>
      </c>
      <c r="G1889" s="100" t="n"/>
    </row>
    <row r="1890" ht="16" customHeight="1">
      <c r="A1890" s="98" t="n">
        <v>32236</v>
      </c>
      <c r="B1890" s="98" t="inlineStr">
        <is>
          <t>SEAGRAM'S EXTRA DRY GIN</t>
        </is>
      </c>
      <c r="C1890" s="97">
        <f>VLOOKUP(A1890,SizeData!A$2:B$3839,2,FALSE)</f>
        <v/>
      </c>
      <c r="D1890" s="98" t="n">
        <v>2</v>
      </c>
      <c r="E1890" s="98" t="inlineStr">
        <is>
          <t>R2035192</t>
        </is>
      </c>
      <c r="F1890" s="99" t="n">
        <v>45009</v>
      </c>
      <c r="G1890" s="100" t="n"/>
    </row>
    <row r="1891" ht="16" customHeight="1">
      <c r="A1891" s="98" t="n">
        <v>32236</v>
      </c>
      <c r="B1891" s="98" t="inlineStr">
        <is>
          <t>SEAGRAM'S EXTRA DRY GIN</t>
        </is>
      </c>
      <c r="C1891" s="97">
        <f>VLOOKUP(A1891,SizeData!A$2:B$3839,2,FALSE)</f>
        <v/>
      </c>
      <c r="D1891" s="98" t="n">
        <v>3</v>
      </c>
      <c r="E1891" s="98" t="inlineStr">
        <is>
          <t>R2049507</t>
        </is>
      </c>
      <c r="F1891" s="99" t="n">
        <v>45019</v>
      </c>
      <c r="G1891" s="100" t="n"/>
    </row>
    <row r="1892" ht="16" customHeight="1">
      <c r="A1892" s="98" t="n">
        <v>32236</v>
      </c>
      <c r="B1892" s="98" t="inlineStr">
        <is>
          <t>SEAGRAM'S EXTRA DRY GIN</t>
        </is>
      </c>
      <c r="C1892" s="97">
        <f>VLOOKUP(A1892,SizeData!A$2:B$3839,2,FALSE)</f>
        <v/>
      </c>
      <c r="D1892" s="98" t="n">
        <v>1</v>
      </c>
      <c r="E1892" s="98" t="inlineStr">
        <is>
          <t>R2062305</t>
        </is>
      </c>
      <c r="F1892" s="99" t="n">
        <v>45024</v>
      </c>
      <c r="G1892" s="100" t="n"/>
    </row>
    <row r="1893" ht="16" customHeight="1">
      <c r="A1893" s="98" t="n">
        <v>32236</v>
      </c>
      <c r="B1893" s="98" t="inlineStr">
        <is>
          <t>SEAGRAM'S EXTRA DRY GIN</t>
        </is>
      </c>
      <c r="C1893" s="97">
        <f>VLOOKUP(A1893,SizeData!A$2:B$3839,2,FALSE)</f>
        <v/>
      </c>
      <c r="D1893" s="98" t="n">
        <v>1</v>
      </c>
      <c r="E1893" s="98" t="inlineStr">
        <is>
          <t>R2049198</t>
        </is>
      </c>
      <c r="F1893" s="99" t="n">
        <v>45028</v>
      </c>
      <c r="G1893" s="100" t="n"/>
    </row>
    <row r="1894" ht="16" customHeight="1">
      <c r="A1894" s="98" t="n">
        <v>32238</v>
      </c>
      <c r="B1894" s="98" t="inlineStr">
        <is>
          <t>SEAGRAM'S EXTRA DRY GIN</t>
        </is>
      </c>
      <c r="C1894" s="97">
        <f>VLOOKUP(A1894,SizeData!A$2:B$3839,2,FALSE)</f>
        <v/>
      </c>
      <c r="D1894" s="98" t="n">
        <v>2</v>
      </c>
      <c r="E1894" s="98" t="inlineStr">
        <is>
          <t>R2082982</t>
        </is>
      </c>
      <c r="F1894" s="99" t="n">
        <v>45048</v>
      </c>
      <c r="G1894" s="100" t="n"/>
    </row>
    <row r="1895" ht="16" customHeight="1">
      <c r="A1895" s="98" t="n">
        <v>32241</v>
      </c>
      <c r="B1895" s="98" t="inlineStr">
        <is>
          <t>SEAGRAM'S EXTRA DRY GIN (PET)</t>
        </is>
      </c>
      <c r="C1895" s="97">
        <f>VLOOKUP(A1895,SizeData!A$2:B$3839,2,FALSE)</f>
        <v/>
      </c>
      <c r="D1895" s="98" t="n">
        <v>20</v>
      </c>
      <c r="E1895" s="98" t="inlineStr">
        <is>
          <t>R1928776</t>
        </is>
      </c>
      <c r="F1895" s="99" t="n">
        <v>44935</v>
      </c>
      <c r="G1895" s="100" t="n"/>
    </row>
    <row r="1896" ht="16" customHeight="1">
      <c r="A1896" s="98" t="n">
        <v>32241</v>
      </c>
      <c r="B1896" s="98" t="inlineStr">
        <is>
          <t>SEAGRAM'S EXTRA DRY GIN (PET)</t>
        </is>
      </c>
      <c r="C1896" s="97">
        <f>VLOOKUP(A1896,SizeData!A$2:B$3839,2,FALSE)</f>
        <v/>
      </c>
      <c r="D1896" s="98" t="n">
        <v>15</v>
      </c>
      <c r="E1896" s="98" t="inlineStr">
        <is>
          <t>R2011644</t>
        </is>
      </c>
      <c r="F1896" s="99" t="n">
        <v>44989</v>
      </c>
      <c r="G1896" s="100" t="n"/>
    </row>
    <row r="1897" ht="16" customHeight="1">
      <c r="A1897" s="98" t="n">
        <v>32241</v>
      </c>
      <c r="B1897" s="98" t="inlineStr">
        <is>
          <t>SEAGRAM'S EXTRA DRY GIN (PET)</t>
        </is>
      </c>
      <c r="C1897" s="97">
        <f>VLOOKUP(A1897,SizeData!A$2:B$3839,2,FALSE)</f>
        <v/>
      </c>
      <c r="D1897" s="98" t="n">
        <v>19</v>
      </c>
      <c r="E1897" s="98" t="inlineStr">
        <is>
          <t>R2065345</t>
        </is>
      </c>
      <c r="F1897" s="99" t="n">
        <v>45026</v>
      </c>
      <c r="G1897" s="100" t="n"/>
    </row>
    <row r="1898" ht="16" customHeight="1">
      <c r="A1898" s="98" t="n">
        <v>32241</v>
      </c>
      <c r="B1898" s="101" t="inlineStr">
        <is>
          <t>SEAGRAM'S EXTRA DRY GIN (PET)</t>
        </is>
      </c>
      <c r="C1898" s="102">
        <f>VLOOKUP(A1898,SizeData!A$2:B$3839,2,FALSE)</f>
        <v/>
      </c>
      <c r="D1898" s="101" t="n">
        <v>1</v>
      </c>
      <c r="E1898" s="101" t="inlineStr">
        <is>
          <t>R2065345</t>
        </is>
      </c>
      <c r="F1898" s="103" t="n">
        <v>45026</v>
      </c>
      <c r="G1898" s="104" t="n"/>
    </row>
    <row r="1899" ht="16" customHeight="1">
      <c r="A1899" s="98" t="n">
        <v>32235</v>
      </c>
      <c r="B1899" s="98" t="inlineStr">
        <is>
          <t>SEAGRAM'S EXTRA DRY GIN (PET)</t>
        </is>
      </c>
      <c r="C1899" s="97">
        <f>VLOOKUP(A1899,SizeData!A$2:B$3839,2,FALSE)</f>
        <v/>
      </c>
      <c r="D1899" s="98" t="n">
        <v>2</v>
      </c>
      <c r="E1899" s="98" t="inlineStr">
        <is>
          <t>R1926345</t>
        </is>
      </c>
      <c r="F1899" s="99" t="n">
        <v>44931</v>
      </c>
      <c r="G1899" s="100" t="n"/>
    </row>
    <row r="1900" ht="16" customHeight="1">
      <c r="A1900" s="98" t="n">
        <v>32235</v>
      </c>
      <c r="B1900" s="98" t="inlineStr">
        <is>
          <t>SEAGRAM'S EXTRA DRY GIN (PET)</t>
        </is>
      </c>
      <c r="C1900" s="97">
        <f>VLOOKUP(A1900,SizeData!A$2:B$3839,2,FALSE)</f>
        <v/>
      </c>
      <c r="D1900" s="98" t="n">
        <v>2</v>
      </c>
      <c r="E1900" s="98" t="inlineStr">
        <is>
          <t>R1937054</t>
        </is>
      </c>
      <c r="F1900" s="99" t="n">
        <v>44937</v>
      </c>
      <c r="G1900" s="100" t="n"/>
    </row>
    <row r="1901" ht="16" customHeight="1">
      <c r="A1901" s="98" t="n">
        <v>32235</v>
      </c>
      <c r="B1901" s="98" t="inlineStr">
        <is>
          <t>SEAGRAM'S EXTRA DRY GIN (PET)</t>
        </is>
      </c>
      <c r="C1901" s="97">
        <f>VLOOKUP(A1901,SizeData!A$2:B$3839,2,FALSE)</f>
        <v/>
      </c>
      <c r="D1901" s="98" t="n">
        <v>1</v>
      </c>
      <c r="E1901" s="98" t="inlineStr">
        <is>
          <t>R2036702</t>
        </is>
      </c>
      <c r="F1901" s="99" t="n">
        <v>45007</v>
      </c>
      <c r="G1901" s="100" t="n"/>
    </row>
    <row r="1902" ht="16" customHeight="1">
      <c r="A1902" s="101" t="n">
        <v>32235</v>
      </c>
      <c r="B1902" s="101" t="inlineStr">
        <is>
          <t>SEAGRAM'S EXTRA DRY GIN (PET)</t>
        </is>
      </c>
      <c r="C1902" s="102">
        <f>VLOOKUP(A1902,SizeData!A$2:B$3839,2,FALSE)</f>
        <v/>
      </c>
      <c r="D1902" s="101" t="n">
        <v>1</v>
      </c>
      <c r="E1902" s="101" t="inlineStr">
        <is>
          <t>R2036702</t>
        </is>
      </c>
      <c r="F1902" s="103" t="n">
        <v>45007</v>
      </c>
      <c r="G1902" s="104" t="n"/>
    </row>
    <row r="1903" ht="16" customHeight="1">
      <c r="A1903" s="98" t="n">
        <v>32241</v>
      </c>
      <c r="B1903" s="98" t="inlineStr">
        <is>
          <t>SEAGRAM'S EXTRA DRY GIN (PET)</t>
        </is>
      </c>
      <c r="C1903" s="97">
        <f>VLOOKUP(A1903,SizeData!A$2:B$3839,2,FALSE)</f>
        <v/>
      </c>
      <c r="D1903" s="98" t="n">
        <v>9</v>
      </c>
      <c r="E1903" s="98" t="inlineStr">
        <is>
          <t>R2087114</t>
        </is>
      </c>
      <c r="F1903" s="99" t="n">
        <v>45047</v>
      </c>
      <c r="G1903" s="100" t="n"/>
    </row>
    <row r="1904" ht="16" customHeight="1">
      <c r="A1904" s="101" t="n">
        <v>37880</v>
      </c>
      <c r="B1904" s="101" t="inlineStr">
        <is>
          <t>SEAGRAM'S EXTRA SMOOTH VODKA</t>
        </is>
      </c>
      <c r="C1904" s="102">
        <f>VLOOKUP(A1904,SizeData!A$2:B$3839,2,FALSE)</f>
        <v/>
      </c>
      <c r="D1904" s="101" t="n">
        <v>1</v>
      </c>
      <c r="E1904" s="101" t="inlineStr">
        <is>
          <t>R1984349</t>
        </is>
      </c>
      <c r="F1904" s="103" t="n">
        <v>44982</v>
      </c>
      <c r="G1904" s="104" t="n"/>
    </row>
    <row r="1905" ht="16" customHeight="1">
      <c r="A1905" s="98" t="n">
        <v>37889</v>
      </c>
      <c r="B1905" s="98" t="inlineStr">
        <is>
          <t>SEAGRAM'S EXTRA SMOOTH VODKA</t>
        </is>
      </c>
      <c r="C1905" s="97">
        <f>VLOOKUP(A1905,SizeData!A$2:B$3839,2,FALSE)</f>
        <v/>
      </c>
      <c r="D1905" s="98" t="n">
        <v>2</v>
      </c>
      <c r="E1905" s="98" t="inlineStr">
        <is>
          <t>R1978468</t>
        </is>
      </c>
      <c r="F1905" s="99" t="n">
        <v>44979</v>
      </c>
      <c r="G1905" s="100" t="n"/>
    </row>
    <row r="1906" ht="16" customHeight="1">
      <c r="A1906" s="98" t="n">
        <v>37889</v>
      </c>
      <c r="B1906" s="98" t="inlineStr">
        <is>
          <t>SEAGRAM'S EXTRA SMOOTH VODKA</t>
        </is>
      </c>
      <c r="C1906" s="97">
        <f>VLOOKUP(A1906,SizeData!A$2:B$3839,2,FALSE)</f>
        <v/>
      </c>
      <c r="D1906" s="98" t="n">
        <v>1</v>
      </c>
      <c r="E1906" s="98" t="inlineStr">
        <is>
          <t>R2077522</t>
        </is>
      </c>
      <c r="F1906" s="99" t="n">
        <v>45043</v>
      </c>
      <c r="G1906" s="100" t="n"/>
    </row>
    <row r="1907" ht="16" customHeight="1">
      <c r="A1907" s="98" t="n">
        <v>37890</v>
      </c>
      <c r="B1907" s="98" t="inlineStr">
        <is>
          <t>SEAGRAM'S EXTRA SMOOTH VODKA PET</t>
        </is>
      </c>
      <c r="C1907" s="97">
        <f>VLOOKUP(A1907,SizeData!A$2:B$3839,2,FALSE)</f>
        <v/>
      </c>
      <c r="D1907" s="98" t="n">
        <v>1</v>
      </c>
      <c r="E1907" s="98" t="inlineStr">
        <is>
          <t>R2047859</t>
        </is>
      </c>
      <c r="F1907" s="99" t="n">
        <v>45016</v>
      </c>
      <c r="G1907" s="100" t="n"/>
    </row>
    <row r="1908" ht="16" customHeight="1">
      <c r="A1908" s="98" t="n">
        <v>33256</v>
      </c>
      <c r="B1908" s="98" t="inlineStr">
        <is>
          <t>SEAGRAM'S LIME TWISTED GIN</t>
        </is>
      </c>
      <c r="C1908" s="97">
        <f>VLOOKUP(A1908,SizeData!A$2:B$3839,2,FALSE)</f>
        <v/>
      </c>
      <c r="D1908" s="98" t="n">
        <v>1</v>
      </c>
      <c r="E1908" s="98" t="inlineStr">
        <is>
          <t>R1948204</t>
        </is>
      </c>
      <c r="F1908" s="99" t="n">
        <v>44945</v>
      </c>
      <c r="G1908" s="100" t="n"/>
    </row>
    <row r="1909" ht="16" customHeight="1">
      <c r="A1909" s="98" t="n">
        <v>33258</v>
      </c>
      <c r="B1909" s="98" t="inlineStr">
        <is>
          <t>SEAGRAM'S LIME TWISTED GIN</t>
        </is>
      </c>
      <c r="C1909" s="97">
        <f>VLOOKUP(A1909,SizeData!A$2:B$3839,2,FALSE)</f>
        <v/>
      </c>
      <c r="D1909" s="98" t="n">
        <v>1</v>
      </c>
      <c r="E1909" s="98" t="inlineStr">
        <is>
          <t>R1948204</t>
        </is>
      </c>
      <c r="F1909" s="99" t="n">
        <v>44945</v>
      </c>
      <c r="G1909" s="100" t="n"/>
    </row>
    <row r="1910" ht="16" customHeight="1">
      <c r="A1910" s="98" t="n">
        <v>33256</v>
      </c>
      <c r="B1910" s="98" t="inlineStr">
        <is>
          <t>SEAGRAM'S LIME TWISTED GIN</t>
        </is>
      </c>
      <c r="C1910" s="97">
        <f>VLOOKUP(A1910,SizeData!A$2:B$3839,2,FALSE)</f>
        <v/>
      </c>
      <c r="D1910" s="98" t="n">
        <v>1</v>
      </c>
      <c r="E1910" s="98" t="inlineStr">
        <is>
          <t>R2044661</t>
        </is>
      </c>
      <c r="F1910" s="99" t="n">
        <v>45020</v>
      </c>
      <c r="G1910" s="100" t="n"/>
    </row>
    <row r="1911" ht="16" customHeight="1">
      <c r="A1911" s="98" t="n">
        <v>33284</v>
      </c>
      <c r="B1911" s="98" t="inlineStr">
        <is>
          <t>SEAGRAM'S PEACH TWISTED GIN</t>
        </is>
      </c>
      <c r="C1911" s="97">
        <f>VLOOKUP(A1911,SizeData!A$2:B$3839,2,FALSE)</f>
        <v/>
      </c>
      <c r="D1911" s="98" t="n">
        <v>3</v>
      </c>
      <c r="E1911" s="98" t="inlineStr">
        <is>
          <t>R1939205</t>
        </is>
      </c>
      <c r="F1911" s="99" t="n">
        <v>44940</v>
      </c>
      <c r="G1911" s="100" t="n"/>
    </row>
    <row r="1912" ht="16" customHeight="1">
      <c r="A1912" s="98" t="n">
        <v>33286</v>
      </c>
      <c r="B1912" s="98" t="inlineStr">
        <is>
          <t>SEAGRAM'S PEACH TWISTED GIN</t>
        </is>
      </c>
      <c r="C1912" s="97">
        <f>VLOOKUP(A1912,SizeData!A$2:B$3839,2,FALSE)</f>
        <v/>
      </c>
      <c r="D1912" s="98" t="n">
        <v>1</v>
      </c>
      <c r="E1912" s="98" t="inlineStr">
        <is>
          <t>R1978112</t>
        </is>
      </c>
      <c r="F1912" s="99" t="n">
        <v>44972</v>
      </c>
      <c r="G1912" s="100" t="n"/>
    </row>
    <row r="1913" ht="16" customHeight="1">
      <c r="A1913" s="98" t="n">
        <v>33286</v>
      </c>
      <c r="B1913" s="98" t="inlineStr">
        <is>
          <t>SEAGRAM'S PEACH TWISTED GIN</t>
        </is>
      </c>
      <c r="C1913" s="97">
        <f>VLOOKUP(A1913,SizeData!A$2:B$3839,2,FALSE)</f>
        <v/>
      </c>
      <c r="D1913" s="98" t="n">
        <v>1</v>
      </c>
      <c r="E1913" s="98" t="inlineStr">
        <is>
          <t>R2036282</t>
        </is>
      </c>
      <c r="F1913" s="99" t="n">
        <v>45012</v>
      </c>
      <c r="G1913" s="100" t="n"/>
    </row>
    <row r="1914" ht="16" customHeight="1">
      <c r="A1914" s="98" t="n">
        <v>33284</v>
      </c>
      <c r="B1914" s="98" t="inlineStr">
        <is>
          <t>SEAGRAM'S PEACH TWISTED GIN</t>
        </is>
      </c>
      <c r="C1914" s="97">
        <f>VLOOKUP(A1914,SizeData!A$2:B$3839,2,FALSE)</f>
        <v/>
      </c>
      <c r="D1914" s="98" t="n">
        <v>2</v>
      </c>
      <c r="E1914" s="98" t="inlineStr">
        <is>
          <t>R2049507</t>
        </is>
      </c>
      <c r="F1914" s="99" t="n">
        <v>45019</v>
      </c>
      <c r="G1914" s="100" t="n"/>
    </row>
    <row r="1915" ht="16" customHeight="1">
      <c r="A1915" s="98" t="n">
        <v>33282</v>
      </c>
      <c r="B1915" s="98" t="inlineStr">
        <is>
          <t>SEAGRAM'S PINEAPPLE TWISTED GIN</t>
        </is>
      </c>
      <c r="C1915" s="97">
        <f>VLOOKUP(A1915,SizeData!A$2:B$3839,2,FALSE)</f>
        <v/>
      </c>
      <c r="D1915" s="98" t="n">
        <v>1</v>
      </c>
      <c r="E1915" s="98" t="inlineStr">
        <is>
          <t>R2021274</t>
        </is>
      </c>
      <c r="F1915" s="99" t="n">
        <v>44998</v>
      </c>
      <c r="G1915" s="100" t="n"/>
    </row>
    <row r="1916" ht="16" customHeight="1">
      <c r="A1916" s="98" t="n">
        <v>11344</v>
      </c>
      <c r="B1916" s="98" t="inlineStr">
        <is>
          <t>SEAGRAM'S V O</t>
        </is>
      </c>
      <c r="C1916" s="97">
        <f>VLOOKUP(A1916,SizeData!A$2:B$3839,2,FALSE)</f>
        <v/>
      </c>
      <c r="D1916" s="98" t="n">
        <v>1</v>
      </c>
      <c r="E1916" s="98" t="inlineStr">
        <is>
          <t>R2026986</t>
        </is>
      </c>
      <c r="F1916" s="99" t="n">
        <v>45010</v>
      </c>
      <c r="G1916" s="100" t="n"/>
    </row>
    <row r="1917" ht="16" customHeight="1">
      <c r="A1917" s="98" t="n">
        <v>11326</v>
      </c>
      <c r="B1917" s="98" t="inlineStr">
        <is>
          <t>SEAGRAM'S V O GOLD</t>
        </is>
      </c>
      <c r="C1917" s="97">
        <f>VLOOKUP(A1917,SizeData!A$2:B$3839,2,FALSE)</f>
        <v/>
      </c>
      <c r="D1917" s="126" t="n">
        <v>1</v>
      </c>
      <c r="E1917" s="98" t="inlineStr">
        <is>
          <t>R1968356</t>
        </is>
      </c>
      <c r="F1917" s="99" t="n">
        <v>44966</v>
      </c>
      <c r="G1917" s="100" t="n"/>
    </row>
    <row r="1918" ht="16" customHeight="1">
      <c r="A1918" s="98" t="n">
        <v>32251</v>
      </c>
      <c r="B1918" s="98" t="inlineStr">
        <is>
          <t>SEERSUCKER SOUTHERN STYLE GIN</t>
        </is>
      </c>
      <c r="C1918" s="97">
        <f>VLOOKUP(A1918,SizeData!A$2:B$3839,2,FALSE)</f>
        <v/>
      </c>
      <c r="D1918" s="98" t="n">
        <v>1</v>
      </c>
      <c r="E1918" s="98" t="inlineStr">
        <is>
          <t>R2082317</t>
        </is>
      </c>
      <c r="F1918" s="99" t="n">
        <v>45047</v>
      </c>
      <c r="G1918" s="100" t="n"/>
    </row>
    <row r="1919" ht="16" customHeight="1">
      <c r="A1919" s="101" t="n">
        <v>86439</v>
      </c>
      <c r="B1919" s="101" t="inlineStr">
        <is>
          <t>SKREWBALL PEANUT BUTTER WHISKEY</t>
        </is>
      </c>
      <c r="C1919" s="102">
        <f>VLOOKUP(A1919,SizeData!A$2:B$3839,2,FALSE)</f>
        <v/>
      </c>
      <c r="D1919" s="101" t="n">
        <v>1</v>
      </c>
      <c r="E1919" s="101" t="inlineStr">
        <is>
          <t>R2020736</t>
        </is>
      </c>
      <c r="F1919" s="103" t="n">
        <v>44998</v>
      </c>
      <c r="G1919" s="104" t="n"/>
    </row>
    <row r="1920" ht="16" customHeight="1">
      <c r="A1920" s="98" t="n">
        <v>37988</v>
      </c>
      <c r="B1920" s="98" t="inlineStr">
        <is>
          <t>SKYY VODKA</t>
        </is>
      </c>
      <c r="C1920" s="97">
        <f>VLOOKUP(A1920,SizeData!A$2:B$3839,2,FALSE)</f>
        <v/>
      </c>
      <c r="D1920" s="98" t="n">
        <v>1</v>
      </c>
      <c r="E1920" s="98" t="inlineStr">
        <is>
          <t>R1984349</t>
        </is>
      </c>
      <c r="F1920" s="99" t="n">
        <v>44982</v>
      </c>
      <c r="G1920" s="100" t="n"/>
    </row>
    <row r="1921" ht="16" customHeight="1">
      <c r="A1921" s="98" t="n">
        <v>37986</v>
      </c>
      <c r="B1921" s="98" t="inlineStr">
        <is>
          <t>SKYY VODKA</t>
        </is>
      </c>
      <c r="C1921" s="97">
        <f>VLOOKUP(A1921,SizeData!A$2:B$3839,2,FALSE)</f>
        <v/>
      </c>
      <c r="D1921" s="98" t="n">
        <v>1</v>
      </c>
      <c r="E1921" s="98" t="inlineStr">
        <is>
          <t>R2014242</t>
        </is>
      </c>
      <c r="F1921" s="99" t="n">
        <v>44999</v>
      </c>
      <c r="G1921" s="100" t="n"/>
    </row>
    <row r="1922" ht="16" customHeight="1">
      <c r="A1922" s="98" t="n">
        <v>38008</v>
      </c>
      <c r="B1922" s="98" t="inlineStr">
        <is>
          <t>SMIRNOFF 80 PROOF VODKA (PET)</t>
        </is>
      </c>
      <c r="C1922" s="97">
        <f>VLOOKUP(A1922,SizeData!A$2:B$3839,2,FALSE)</f>
        <v/>
      </c>
      <c r="D1922" s="98" t="n">
        <v>5</v>
      </c>
      <c r="E1922" s="98" t="inlineStr">
        <is>
          <t>R1957712</t>
        </is>
      </c>
      <c r="F1922" s="99" t="n">
        <v>44958</v>
      </c>
      <c r="G1922" s="100" t="n"/>
    </row>
    <row r="1923" ht="16" customHeight="1">
      <c r="A1923" s="98" t="n">
        <v>38008</v>
      </c>
      <c r="B1923" s="98" t="inlineStr">
        <is>
          <t>SMIRNOFF 80 PROOF VODKA (PET)</t>
        </is>
      </c>
      <c r="C1923" s="97">
        <f>VLOOKUP(A1923,SizeData!A$2:B$3839,2,FALSE)</f>
        <v/>
      </c>
      <c r="D1923" s="98" t="n">
        <v>10</v>
      </c>
      <c r="E1923" s="98" t="inlineStr">
        <is>
          <t>R1962631</t>
        </is>
      </c>
      <c r="F1923" s="99" t="n">
        <v>44959</v>
      </c>
      <c r="G1923" s="100" t="n"/>
    </row>
    <row r="1924" ht="16" customHeight="1">
      <c r="A1924" s="98" t="n">
        <v>38008</v>
      </c>
      <c r="B1924" s="98" t="inlineStr">
        <is>
          <t>SMIRNOFF 80 PROOF VODKA (PET)</t>
        </is>
      </c>
      <c r="C1924" s="97">
        <f>VLOOKUP(A1924,SizeData!A$2:B$3839,2,FALSE)</f>
        <v/>
      </c>
      <c r="D1924" s="98" t="n">
        <v>30</v>
      </c>
      <c r="E1924" s="98" t="inlineStr">
        <is>
          <t>R1964718</t>
        </is>
      </c>
      <c r="F1924" s="99" t="n">
        <v>44964</v>
      </c>
      <c r="G1924" s="100" t="n"/>
    </row>
    <row r="1925" ht="16" customHeight="1">
      <c r="A1925" s="98" t="n">
        <v>77683</v>
      </c>
      <c r="B1925" s="98" t="inlineStr">
        <is>
          <t>SMIRNOFF KISSED CARAMEL FLAVORED VODKA (DSS)</t>
        </is>
      </c>
      <c r="C1925" s="97">
        <f>VLOOKUP(A1925,SizeData!A$2:B$3839,2,FALSE)</f>
        <v/>
      </c>
      <c r="D1925" s="98" t="n">
        <v>2</v>
      </c>
      <c r="E1925" s="98" t="inlineStr">
        <is>
          <t>R2020651</t>
        </is>
      </c>
      <c r="F1925" s="99" t="n">
        <v>45000</v>
      </c>
      <c r="G1925" s="100" t="n"/>
    </row>
    <row r="1926" ht="16" customHeight="1">
      <c r="A1926" s="98" t="n">
        <v>78133</v>
      </c>
      <c r="B1926" s="98" t="inlineStr">
        <is>
          <t>SMIRNOFF PINK LEMONADE FLAVORED VODKA</t>
        </is>
      </c>
      <c r="C1926" s="97">
        <f>VLOOKUP(A1926,SizeData!A$2:B$3839,2,FALSE)</f>
        <v/>
      </c>
      <c r="D1926" s="98" t="n">
        <v>1</v>
      </c>
      <c r="E1926" s="98" t="inlineStr">
        <is>
          <t>R2030138</t>
        </is>
      </c>
      <c r="F1926" s="99" t="n">
        <v>44986</v>
      </c>
      <c r="G1926" s="100" t="n"/>
    </row>
    <row r="1927" ht="16" customHeight="1">
      <c r="A1927" s="98" t="n">
        <v>35213</v>
      </c>
      <c r="B1927" s="98" t="inlineStr">
        <is>
          <t>SOBIESKI POLISH VODKA</t>
        </is>
      </c>
      <c r="C1927" s="97">
        <f>VLOOKUP(A1927,SizeData!A$2:B$3839,2,FALSE)</f>
        <v/>
      </c>
      <c r="D1927" s="98" t="n">
        <v>1</v>
      </c>
      <c r="E1927" s="98" t="inlineStr">
        <is>
          <t>R1960645</t>
        </is>
      </c>
      <c r="F1927" s="99" t="n">
        <v>44954</v>
      </c>
      <c r="G1927" s="100" t="n"/>
    </row>
    <row r="1928" ht="16" customHeight="1">
      <c r="A1928" s="101" t="n">
        <v>35213</v>
      </c>
      <c r="B1928" s="101" t="inlineStr">
        <is>
          <t>SOBIESKI POLISH VODKA</t>
        </is>
      </c>
      <c r="C1928" s="102">
        <f>VLOOKUP(A1928,SizeData!A$2:B$3839,2,FALSE)</f>
        <v/>
      </c>
      <c r="D1928" s="101" t="n">
        <v>1</v>
      </c>
      <c r="E1928" s="101" t="inlineStr">
        <is>
          <t>R2030138</t>
        </is>
      </c>
      <c r="F1928" s="103" t="n">
        <v>44986</v>
      </c>
      <c r="G1928" s="104" t="n"/>
    </row>
    <row r="1929" ht="16" customHeight="1">
      <c r="A1929" s="98" t="n">
        <v>35213</v>
      </c>
      <c r="B1929" s="98" t="inlineStr">
        <is>
          <t>SOBIESKI POLISH VODKA</t>
        </is>
      </c>
      <c r="C1929" s="97">
        <f>VLOOKUP(A1929,SizeData!A$2:B$3839,2,FALSE)</f>
        <v/>
      </c>
      <c r="D1929" s="98" t="n">
        <v>1</v>
      </c>
      <c r="E1929" s="98" t="inlineStr">
        <is>
          <t>R2010982</t>
        </is>
      </c>
      <c r="F1929" s="99" t="n">
        <v>44995</v>
      </c>
      <c r="G1929" s="100" t="n"/>
    </row>
    <row r="1930" ht="16" customHeight="1">
      <c r="A1930" s="98" t="n">
        <v>86886</v>
      </c>
      <c r="B1930" s="98" t="inlineStr">
        <is>
          <t>SOUTHERN COMFORT</t>
        </is>
      </c>
      <c r="C1930" s="97">
        <f>VLOOKUP(A1930,SizeData!A$2:B$3839,2,FALSE)</f>
        <v/>
      </c>
      <c r="D1930" s="98" t="n">
        <v>1</v>
      </c>
      <c r="E1930" s="98" t="inlineStr">
        <is>
          <t>R2062454</t>
        </is>
      </c>
      <c r="F1930" s="99" t="n">
        <v>45031</v>
      </c>
      <c r="G1930" s="100" t="n"/>
    </row>
    <row r="1931" ht="16" customHeight="1">
      <c r="A1931" s="98" t="n">
        <v>86916</v>
      </c>
      <c r="B1931" s="98" t="inlineStr">
        <is>
          <t>SOUTHERN COMFORT 100 PROOF</t>
        </is>
      </c>
      <c r="C1931" s="97">
        <f>VLOOKUP(A1931,SizeData!A$2:B$3839,2,FALSE)</f>
        <v/>
      </c>
      <c r="D1931" s="98" t="n">
        <v>1</v>
      </c>
      <c r="E1931" s="98" t="inlineStr">
        <is>
          <t>R2062454</t>
        </is>
      </c>
      <c r="F1931" s="99" t="n">
        <v>45031</v>
      </c>
      <c r="G1931" s="100" t="n"/>
    </row>
    <row r="1932" ht="16" customHeight="1">
      <c r="A1932" s="98" t="n">
        <v>50686</v>
      </c>
      <c r="B1932" s="98" t="inlineStr">
        <is>
          <t>ST. REMY VSOP BRANDY</t>
        </is>
      </c>
      <c r="C1932" s="97">
        <f>VLOOKUP(A1932,SizeData!A$2:B$3839,2,FALSE)</f>
        <v/>
      </c>
      <c r="D1932" s="98" t="n">
        <v>2</v>
      </c>
      <c r="E1932" s="98" t="inlineStr">
        <is>
          <t>R1944170</t>
        </is>
      </c>
      <c r="F1932" s="99" t="n">
        <v>44947</v>
      </c>
      <c r="G1932" s="100" t="n"/>
    </row>
    <row r="1933" ht="16" customHeight="1">
      <c r="A1933" s="98" t="n">
        <v>50686</v>
      </c>
      <c r="B1933" s="98" t="inlineStr">
        <is>
          <t>ST. REMY VSOP BRANDY</t>
        </is>
      </c>
      <c r="C1933" s="97">
        <f>VLOOKUP(A1933,SizeData!A$2:B$3839,2,FALSE)</f>
        <v/>
      </c>
      <c r="D1933" s="98" t="n">
        <v>2</v>
      </c>
      <c r="E1933" s="98" t="inlineStr">
        <is>
          <t>R1947923</t>
        </is>
      </c>
      <c r="F1933" s="99" t="n">
        <v>44949</v>
      </c>
      <c r="G1933" s="100" t="n"/>
    </row>
    <row r="1934" ht="16" customHeight="1">
      <c r="A1934" s="98" t="n">
        <v>626210</v>
      </c>
      <c r="B1934" s="98" t="inlineStr">
        <is>
          <t>STE MICHELLE COLUMBIA VL RIESLING</t>
        </is>
      </c>
      <c r="C1934" s="97">
        <f>VLOOKUP(A1934,SizeData!A$2:B$3839,2,FALSE)</f>
        <v/>
      </c>
      <c r="D1934" s="98" t="n">
        <v>1</v>
      </c>
      <c r="E1934" s="98" t="inlineStr">
        <is>
          <t>R1957712</t>
        </is>
      </c>
      <c r="F1934" s="99" t="n">
        <v>44958</v>
      </c>
      <c r="G1934" s="100" t="n"/>
    </row>
    <row r="1935" ht="16" customHeight="1">
      <c r="A1935" s="98" t="n">
        <v>734272</v>
      </c>
      <c r="B1935" s="98" t="inlineStr">
        <is>
          <t>STELLA ROSA BLACK LUX</t>
        </is>
      </c>
      <c r="C1935" s="97">
        <f>VLOOKUP(A1935,SizeData!A$2:B$3839,2,FALSE)</f>
        <v/>
      </c>
      <c r="D1935" s="98" t="n">
        <v>1</v>
      </c>
      <c r="E1935" s="98" t="inlineStr">
        <is>
          <t>R2072041</t>
        </is>
      </c>
      <c r="F1935" s="99" t="n">
        <v>45038</v>
      </c>
      <c r="G1935" s="100" t="n"/>
    </row>
    <row r="1936" ht="16" customHeight="1">
      <c r="A1936" s="98" t="n">
        <v>734276</v>
      </c>
      <c r="B1936" s="98" t="inlineStr">
        <is>
          <t>STELLA ROSA MOSCATO ROSE</t>
        </is>
      </c>
      <c r="C1936" s="97">
        <f>VLOOKUP(A1936,SizeData!A$2:B$3839,2,FALSE)</f>
        <v/>
      </c>
      <c r="D1936" s="98" t="n">
        <v>1</v>
      </c>
      <c r="E1936" s="98" t="inlineStr">
        <is>
          <t>R2072041</t>
        </is>
      </c>
      <c r="F1936" s="99" t="n">
        <v>45038</v>
      </c>
      <c r="G1936" s="100" t="n"/>
    </row>
    <row r="1937" ht="16" customHeight="1">
      <c r="A1937" s="98" t="n">
        <v>382047</v>
      </c>
      <c r="B1937" s="98" t="inlineStr">
        <is>
          <t>STELLA ROSA ROYALE</t>
        </is>
      </c>
      <c r="C1937" s="97">
        <f>VLOOKUP(A1937,SizeData!A$2:B$3839,2,FALSE)</f>
        <v/>
      </c>
      <c r="D1937" s="98" t="n">
        <v>1</v>
      </c>
      <c r="E1937" s="98" t="inlineStr">
        <is>
          <t>R2062305</t>
        </is>
      </c>
      <c r="F1937" s="99" t="n">
        <v>45024</v>
      </c>
      <c r="G1937" s="100" t="n"/>
    </row>
    <row r="1938" ht="16" customHeight="1">
      <c r="A1938" s="98" t="n">
        <v>77420</v>
      </c>
      <c r="B1938" s="98" t="inlineStr">
        <is>
          <t>STINKY GRINGO MARGARITA RTD</t>
        </is>
      </c>
      <c r="C1938" s="97">
        <f>VLOOKUP(A1938,SizeData!A$2:B$3839,2,FALSE)</f>
        <v/>
      </c>
      <c r="D1938" s="98" t="n">
        <v>1</v>
      </c>
      <c r="E1938" s="98" t="inlineStr">
        <is>
          <t>R1919341</t>
        </is>
      </c>
      <c r="F1938" s="99" t="n">
        <v>44930</v>
      </c>
      <c r="G1938" s="100" t="n"/>
    </row>
    <row r="1939" ht="16" customHeight="1">
      <c r="A1939" s="98" t="n">
        <v>77420</v>
      </c>
      <c r="B1939" s="98" t="inlineStr">
        <is>
          <t>STINKY GRINGO MARGARITA RTD</t>
        </is>
      </c>
      <c r="C1939" s="97">
        <f>VLOOKUP(A1939,SizeData!A$2:B$3839,2,FALSE)</f>
        <v/>
      </c>
      <c r="D1939" s="98" t="n">
        <v>1</v>
      </c>
      <c r="E1939" s="98" t="inlineStr">
        <is>
          <t>R2014242</t>
        </is>
      </c>
      <c r="F1939" s="99" t="n">
        <v>44999</v>
      </c>
      <c r="G1939" s="100" t="n"/>
    </row>
    <row r="1940" ht="16" customHeight="1">
      <c r="A1940" s="98" t="n">
        <v>11297</v>
      </c>
      <c r="B1940" s="98" t="inlineStr">
        <is>
          <t>CROWN ROYAL</t>
        </is>
      </c>
      <c r="C1940" s="97">
        <f>VLOOKUP(A1940,SizeData!A$2:B$3839,2,FALSE)</f>
        <v/>
      </c>
      <c r="D1940" s="98" t="n">
        <v>2</v>
      </c>
      <c r="E1940" s="98" t="inlineStr">
        <is>
          <t>R1904253</t>
        </is>
      </c>
      <c r="F1940" s="99" t="n">
        <v>44915</v>
      </c>
      <c r="G1940" s="100" t="n"/>
    </row>
    <row r="1941" ht="16" customHeight="1">
      <c r="A1941" s="101" t="n">
        <v>37063</v>
      </c>
      <c r="B1941" s="101" t="inlineStr">
        <is>
          <t>STOLI ELIT ULTRA PREMIUM VODKA</t>
        </is>
      </c>
      <c r="C1941" s="102">
        <f>VLOOKUP(A1941,SizeData!A$2:B$3839,2,FALSE)</f>
        <v/>
      </c>
      <c r="D1941" s="101" t="n">
        <v>3</v>
      </c>
      <c r="E1941" s="101" t="inlineStr">
        <is>
          <t>R2030138</t>
        </is>
      </c>
      <c r="F1941" s="103" t="n">
        <v>44986</v>
      </c>
      <c r="G1941" s="104" t="n"/>
    </row>
    <row r="1942" ht="16" customHeight="1">
      <c r="A1942" s="101" t="n">
        <v>37063</v>
      </c>
      <c r="B1942" s="101" t="inlineStr">
        <is>
          <t>STOLI ELIT ULTRA PREMIUM VODKA</t>
        </is>
      </c>
      <c r="C1942" s="102">
        <f>VLOOKUP(A1942,SizeData!A$2:B$3839,2,FALSE)</f>
        <v/>
      </c>
      <c r="D1942" s="101" t="n">
        <v>2</v>
      </c>
      <c r="E1942" s="101" t="inlineStr">
        <is>
          <t>R2017905</t>
        </is>
      </c>
      <c r="F1942" s="103" t="n">
        <v>44993</v>
      </c>
      <c r="G1942" s="104" t="n"/>
    </row>
    <row r="1943" ht="16" customHeight="1">
      <c r="A1943" s="98" t="n">
        <v>37063</v>
      </c>
      <c r="B1943" s="98" t="inlineStr">
        <is>
          <t>STOLI ELIT ULTRA PREMIUM VODKA</t>
        </is>
      </c>
      <c r="C1943" s="97">
        <f>VLOOKUP(A1943,SizeData!A$2:B$3839,2,FALSE)</f>
        <v/>
      </c>
      <c r="D1943" s="98" t="n">
        <v>1</v>
      </c>
      <c r="E1943" s="98" t="inlineStr">
        <is>
          <t>R2032734</t>
        </is>
      </c>
      <c r="F1943" s="99" t="n">
        <v>45007</v>
      </c>
      <c r="G1943" s="100" t="n"/>
    </row>
    <row r="1944" ht="16" customHeight="1">
      <c r="A1944" s="101" t="n">
        <v>37063</v>
      </c>
      <c r="B1944" s="101" t="inlineStr">
        <is>
          <t>STOLI ELIT ULTRA PREMIUM VODKA</t>
        </is>
      </c>
      <c r="C1944" s="102">
        <f>VLOOKUP(A1944,SizeData!A$2:B$3839,2,FALSE)</f>
        <v/>
      </c>
      <c r="D1944" s="101" t="n">
        <v>5</v>
      </c>
      <c r="E1944" s="101" t="inlineStr">
        <is>
          <t>R2032734</t>
        </is>
      </c>
      <c r="F1944" s="103" t="n">
        <v>45007</v>
      </c>
      <c r="G1944" s="104" t="n"/>
    </row>
    <row r="1945" ht="16" customHeight="1">
      <c r="A1945" s="98" t="n">
        <v>34746</v>
      </c>
      <c r="B1945" s="98" t="inlineStr">
        <is>
          <t>STOLICHNAYA 80 VODKA</t>
        </is>
      </c>
      <c r="C1945" s="97">
        <f>VLOOKUP(A1945,SizeData!A$2:B$3839,2,FALSE)</f>
        <v/>
      </c>
      <c r="D1945" s="98" t="n">
        <v>2</v>
      </c>
      <c r="E1945" s="98" t="inlineStr">
        <is>
          <t>R1993703</t>
        </is>
      </c>
      <c r="F1945" s="99" t="n">
        <v>44981</v>
      </c>
      <c r="G1945" s="100" t="n"/>
    </row>
    <row r="1946" ht="16" customHeight="1">
      <c r="A1946" s="98" t="n">
        <v>78107</v>
      </c>
      <c r="B1946" s="98" t="inlineStr">
        <is>
          <t>SUGARLANDS APP BANANA PUDDING SIPPIN' CREAM</t>
        </is>
      </c>
      <c r="C1946" s="97">
        <f>VLOOKUP(A1946,SizeData!A$2:B$3839,2,FALSE)</f>
        <v/>
      </c>
      <c r="D1946" s="98" t="n">
        <v>1</v>
      </c>
      <c r="E1946" s="98" t="inlineStr">
        <is>
          <t>R1987903</t>
        </is>
      </c>
      <c r="F1946" s="99" t="n">
        <v>44971</v>
      </c>
      <c r="G1946" s="100" t="n"/>
    </row>
    <row r="1947" ht="16" customHeight="1">
      <c r="A1947" s="98" t="n">
        <v>78107</v>
      </c>
      <c r="B1947" s="98" t="inlineStr">
        <is>
          <t>SUGARLANDS APP BANANA PUDDING SIPPIN' CREAM</t>
        </is>
      </c>
      <c r="C1947" s="97">
        <f>VLOOKUP(A1947,SizeData!A$2:B$3839,2,FALSE)</f>
        <v/>
      </c>
      <c r="D1947" s="98" t="n">
        <v>1</v>
      </c>
      <c r="E1947" s="98" t="inlineStr">
        <is>
          <t>R1992599</t>
        </is>
      </c>
      <c r="F1947" s="99" t="n">
        <v>44989</v>
      </c>
      <c r="G1947" s="100" t="n"/>
    </row>
    <row r="1948" ht="16" customHeight="1">
      <c r="A1948" s="98" t="n">
        <v>80518</v>
      </c>
      <c r="B1948" s="98" t="inlineStr">
        <is>
          <t>SUGARLANDS SHINE DARK BUTTER PECAN SIPPIN' CREAM</t>
        </is>
      </c>
      <c r="C1948" s="97">
        <f>VLOOKUP(A1948,SizeData!A$2:B$3839,2,FALSE)</f>
        <v/>
      </c>
      <c r="D1948" s="98" t="n">
        <v>2</v>
      </c>
      <c r="E1948" s="98" t="inlineStr">
        <is>
          <t>R1987903</t>
        </is>
      </c>
      <c r="F1948" s="99" t="n">
        <v>44971</v>
      </c>
      <c r="G1948" s="100" t="n"/>
    </row>
    <row r="1949" ht="16" customHeight="1">
      <c r="A1949" s="98" t="n">
        <v>67006</v>
      </c>
      <c r="B1949" s="98" t="inlineStr">
        <is>
          <t>SUNTORY MIDORI MELON</t>
        </is>
      </c>
      <c r="C1949" s="97">
        <f>VLOOKUP(A1949,SizeData!A$2:B$3839,2,FALSE)</f>
        <v/>
      </c>
      <c r="D1949" s="98" t="n">
        <v>1</v>
      </c>
      <c r="E1949" s="98" t="inlineStr">
        <is>
          <t>R2015823</t>
        </is>
      </c>
      <c r="F1949" s="99" t="n">
        <v>44991</v>
      </c>
      <c r="G1949" s="100" t="n"/>
    </row>
    <row r="1950" ht="16" customHeight="1">
      <c r="A1950" s="98" t="n">
        <v>630810</v>
      </c>
      <c r="B1950" s="98" t="inlineStr">
        <is>
          <t>SUTTER HOME CHARDONNAY</t>
        </is>
      </c>
      <c r="C1950" s="97">
        <f>VLOOKUP(A1950,SizeData!A$2:B$3839,2,FALSE)</f>
        <v/>
      </c>
      <c r="D1950" s="98" t="n">
        <v>1</v>
      </c>
      <c r="E1950" s="98" t="inlineStr">
        <is>
          <t>R1914089</t>
        </is>
      </c>
      <c r="F1950" s="99" t="n">
        <v>44927</v>
      </c>
      <c r="G1950" s="100" t="n"/>
    </row>
    <row r="1951" ht="16" customHeight="1">
      <c r="A1951" s="98" t="n">
        <v>630814</v>
      </c>
      <c r="B1951" s="98" t="inlineStr">
        <is>
          <t>SUTTER HOME CHARDONNAY</t>
        </is>
      </c>
      <c r="C1951" s="97">
        <f>VLOOKUP(A1951,SizeData!A$2:B$3839,2,FALSE)</f>
        <v/>
      </c>
      <c r="D1951" s="98" t="n">
        <v>2</v>
      </c>
      <c r="E1951" s="98" t="inlineStr">
        <is>
          <t>R1924344</t>
        </is>
      </c>
      <c r="F1951" s="99" t="n">
        <v>44933</v>
      </c>
      <c r="G1951" s="100" t="n"/>
    </row>
    <row r="1952" ht="16" customHeight="1">
      <c r="A1952" s="98" t="n">
        <v>630814</v>
      </c>
      <c r="B1952" s="98" t="inlineStr">
        <is>
          <t>SUTTER HOME CHARDONNAY</t>
        </is>
      </c>
      <c r="C1952" s="97">
        <f>VLOOKUP(A1952,SizeData!A$2:B$3839,2,FALSE)</f>
        <v/>
      </c>
      <c r="D1952" s="98" t="n">
        <v>2</v>
      </c>
      <c r="E1952" s="98" t="inlineStr">
        <is>
          <t>R1939404</t>
        </is>
      </c>
      <c r="F1952" s="99" t="n">
        <v>44942</v>
      </c>
      <c r="G1952" s="100" t="n"/>
    </row>
    <row r="1953" ht="16" customHeight="1">
      <c r="A1953" s="98" t="n">
        <v>630814</v>
      </c>
      <c r="B1953" s="98" t="inlineStr">
        <is>
          <t>SUTTER HOME CHARDONNAY</t>
        </is>
      </c>
      <c r="C1953" s="97">
        <f>VLOOKUP(A1953,SizeData!A$2:B$3839,2,FALSE)</f>
        <v/>
      </c>
      <c r="D1953" s="98" t="n">
        <v>2</v>
      </c>
      <c r="E1953" s="98" t="inlineStr">
        <is>
          <t>R1931271</t>
        </is>
      </c>
      <c r="F1953" s="99" t="n">
        <v>44944</v>
      </c>
      <c r="G1953" s="100" t="n"/>
    </row>
    <row r="1954" ht="16" customHeight="1">
      <c r="A1954" s="98" t="n">
        <v>630815</v>
      </c>
      <c r="B1954" s="98" t="inlineStr">
        <is>
          <t>SUTTER HOME CHARDONNAY</t>
        </is>
      </c>
      <c r="C1954" s="97">
        <f>VLOOKUP(A1954,SizeData!A$2:B$3839,2,FALSE)</f>
        <v/>
      </c>
      <c r="D1954" s="98" t="n">
        <v>3</v>
      </c>
      <c r="E1954" s="98" t="inlineStr">
        <is>
          <t>R1962631</t>
        </is>
      </c>
      <c r="F1954" s="99" t="n">
        <v>44959</v>
      </c>
      <c r="G1954" s="100" t="n"/>
    </row>
    <row r="1955" ht="16" customHeight="1">
      <c r="A1955" s="98" t="n">
        <v>630815</v>
      </c>
      <c r="B1955" s="98" t="inlineStr">
        <is>
          <t>SUTTER HOME CHARDONNAY</t>
        </is>
      </c>
      <c r="C1955" s="97">
        <f>VLOOKUP(A1955,SizeData!A$2:B$3839,2,FALSE)</f>
        <v/>
      </c>
      <c r="D1955" s="98" t="n">
        <v>4</v>
      </c>
      <c r="E1955" s="98" t="inlineStr">
        <is>
          <t>R2048310</t>
        </is>
      </c>
      <c r="F1955" s="99" t="n">
        <v>45019</v>
      </c>
      <c r="G1955" s="100" t="n"/>
    </row>
    <row r="1956" ht="16" customHeight="1">
      <c r="A1956" s="101" t="n">
        <v>630815</v>
      </c>
      <c r="B1956" s="101" t="inlineStr">
        <is>
          <t>SUTTER HOME CHARDONNAY</t>
        </is>
      </c>
      <c r="C1956" s="102">
        <f>VLOOKUP(A1956,SizeData!A$2:B$3839,2,FALSE)</f>
        <v/>
      </c>
      <c r="D1956" s="101" t="n">
        <v>1</v>
      </c>
      <c r="E1956" s="101" t="inlineStr">
        <is>
          <t>R2055049</t>
        </is>
      </c>
      <c r="F1956" s="103" t="n">
        <v>45017</v>
      </c>
      <c r="G1956" s="104" t="n"/>
    </row>
    <row r="1957" ht="16" customHeight="1">
      <c r="A1957" s="98" t="n">
        <v>513500</v>
      </c>
      <c r="B1957" s="98" t="inlineStr">
        <is>
          <t>SUTTER HOME MERLOT</t>
        </is>
      </c>
      <c r="C1957" s="97">
        <f>VLOOKUP(A1957,SizeData!A$2:B$3839,2,FALSE)</f>
        <v/>
      </c>
      <c r="D1957" s="98" t="n">
        <v>4</v>
      </c>
      <c r="E1957" s="98" t="inlineStr">
        <is>
          <t>R1914089</t>
        </is>
      </c>
      <c r="F1957" s="99" t="n">
        <v>44927</v>
      </c>
      <c r="G1957" s="100" t="n"/>
    </row>
    <row r="1958" ht="16" customHeight="1">
      <c r="A1958" s="98" t="n">
        <v>513505</v>
      </c>
      <c r="B1958" s="98" t="inlineStr">
        <is>
          <t>SUTTER HOME MERLOT</t>
        </is>
      </c>
      <c r="C1958" s="97">
        <f>VLOOKUP(A1958,SizeData!A$2:B$3839,2,FALSE)</f>
        <v/>
      </c>
      <c r="D1958" s="98" t="n">
        <v>1</v>
      </c>
      <c r="E1958" s="98" t="inlineStr">
        <is>
          <t>R1957712</t>
        </is>
      </c>
      <c r="F1958" s="99" t="n">
        <v>44958</v>
      </c>
      <c r="G1958" s="100" t="n"/>
    </row>
    <row r="1959" ht="16" customHeight="1">
      <c r="A1959" s="98" t="n">
        <v>513505</v>
      </c>
      <c r="B1959" s="98" t="inlineStr">
        <is>
          <t>SUTTER HOME MERLOT</t>
        </is>
      </c>
      <c r="C1959" s="97">
        <f>VLOOKUP(A1959,SizeData!A$2:B$3839,2,FALSE)</f>
        <v/>
      </c>
      <c r="D1959" s="98" t="n">
        <v>2</v>
      </c>
      <c r="E1959" s="98" t="inlineStr">
        <is>
          <t>R1957712</t>
        </is>
      </c>
      <c r="F1959" s="99" t="n">
        <v>44958</v>
      </c>
      <c r="G1959" s="100" t="n"/>
    </row>
    <row r="1960" ht="16" customHeight="1">
      <c r="A1960" s="98" t="n">
        <v>513505</v>
      </c>
      <c r="B1960" s="98" t="inlineStr">
        <is>
          <t>SUTTER HOME MERLOT</t>
        </is>
      </c>
      <c r="C1960" s="97">
        <f>VLOOKUP(A1960,SizeData!A$2:B$3839,2,FALSE)</f>
        <v/>
      </c>
      <c r="D1960" s="98" t="n">
        <v>6</v>
      </c>
      <c r="E1960" s="98" t="inlineStr">
        <is>
          <t>R1976379</t>
        </is>
      </c>
      <c r="F1960" s="99" t="n">
        <v>44970</v>
      </c>
      <c r="G1960" s="100" t="n"/>
    </row>
    <row r="1961" ht="16" customHeight="1">
      <c r="A1961" s="98" t="n">
        <v>513500</v>
      </c>
      <c r="B1961" s="98" t="inlineStr">
        <is>
          <t>SUTTER HOME MERLOT</t>
        </is>
      </c>
      <c r="C1961" s="97">
        <f>VLOOKUP(A1961,SizeData!A$2:B$3839,2,FALSE)</f>
        <v/>
      </c>
      <c r="D1961" s="98" t="n">
        <v>2</v>
      </c>
      <c r="E1961" s="98" t="inlineStr">
        <is>
          <t>R2030138</t>
        </is>
      </c>
      <c r="F1961" s="99" t="n">
        <v>44986</v>
      </c>
      <c r="G1961" s="100" t="n"/>
      <c r="K1961" t="inlineStr">
        <is>
          <t> </t>
        </is>
      </c>
    </row>
    <row r="1962" ht="16" customHeight="1">
      <c r="A1962" s="101" t="n">
        <v>513500</v>
      </c>
      <c r="B1962" s="101" t="inlineStr">
        <is>
          <t>SUTTER HOME MERLOT</t>
        </is>
      </c>
      <c r="C1962" s="102">
        <f>VLOOKUP(A1962,SizeData!A$2:B$3839,2,FALSE)</f>
        <v/>
      </c>
      <c r="D1962" s="101" t="n">
        <v>2</v>
      </c>
      <c r="E1962" s="101" t="inlineStr">
        <is>
          <t>R2017905</t>
        </is>
      </c>
      <c r="F1962" s="103" t="n">
        <v>44993</v>
      </c>
      <c r="G1962" s="104" t="n"/>
    </row>
    <row r="1963" ht="16" customHeight="1">
      <c r="A1963" s="98" t="n">
        <v>513500</v>
      </c>
      <c r="B1963" s="98" t="inlineStr">
        <is>
          <t>SUTTER HOME MERLOT</t>
        </is>
      </c>
      <c r="C1963" s="97">
        <f>VLOOKUP(A1963,SizeData!A$2:B$3839,2,FALSE)</f>
        <v/>
      </c>
      <c r="D1963" s="98" t="n">
        <v>1</v>
      </c>
      <c r="E1963" s="98" t="inlineStr">
        <is>
          <t>R2082317</t>
        </is>
      </c>
      <c r="F1963" s="99" t="n">
        <v>45047</v>
      </c>
      <c r="G1963" s="100" t="n"/>
    </row>
    <row r="1964" ht="16" customHeight="1">
      <c r="A1964" s="98" t="n">
        <v>513500</v>
      </c>
      <c r="B1964" s="98" t="inlineStr">
        <is>
          <t>SUTTER HOME MERLOT</t>
        </is>
      </c>
      <c r="C1964" s="97">
        <f>VLOOKUP(A1964,SizeData!A$2:B$3839,2,FALSE)</f>
        <v/>
      </c>
      <c r="D1964" s="98" t="n">
        <v>3</v>
      </c>
      <c r="E1964" s="98" t="inlineStr">
        <is>
          <t>R2086467</t>
        </is>
      </c>
      <c r="F1964" s="99" t="n">
        <v>45048</v>
      </c>
      <c r="G1964" s="100" t="n"/>
    </row>
    <row r="1965" ht="16" customHeight="1">
      <c r="A1965" s="98" t="n">
        <v>425541</v>
      </c>
      <c r="B1965" s="98" t="inlineStr">
        <is>
          <t>SUTTER HOME MOSCATO</t>
        </is>
      </c>
      <c r="C1965" s="97">
        <f>VLOOKUP(A1965,SizeData!A$2:B$3839,2,FALSE)</f>
        <v/>
      </c>
      <c r="D1965" s="98" t="n">
        <v>1</v>
      </c>
      <c r="E1965" s="98" t="inlineStr">
        <is>
          <t>R1914089</t>
        </is>
      </c>
      <c r="F1965" s="99" t="n">
        <v>44927</v>
      </c>
      <c r="G1965" s="100" t="n"/>
    </row>
    <row r="1966" ht="16" customHeight="1">
      <c r="A1966" s="98" t="n">
        <v>425541</v>
      </c>
      <c r="B1966" s="98" t="inlineStr">
        <is>
          <t>SUTTER HOME MOSCATO</t>
        </is>
      </c>
      <c r="C1966" s="97">
        <f>VLOOKUP(A1966,SizeData!A$2:B$3839,2,FALSE)</f>
        <v/>
      </c>
      <c r="D1966" s="98" t="n">
        <v>3</v>
      </c>
      <c r="E1966" s="98" t="inlineStr">
        <is>
          <t>R1949716</t>
        </is>
      </c>
      <c r="F1966" s="99" t="n">
        <v>44950</v>
      </c>
      <c r="G1966" s="100" t="n"/>
    </row>
    <row r="1967" ht="16" customHeight="1">
      <c r="A1967" s="98" t="n">
        <v>425540</v>
      </c>
      <c r="B1967" s="98" t="inlineStr">
        <is>
          <t>SUTTER HOME MOSCATO</t>
        </is>
      </c>
      <c r="C1967" s="97">
        <f>VLOOKUP(A1967,SizeData!A$2:B$3839,2,FALSE)</f>
        <v/>
      </c>
      <c r="D1967" s="98" t="n">
        <v>3</v>
      </c>
      <c r="E1967" s="98" t="inlineStr">
        <is>
          <t>R1994726</t>
        </is>
      </c>
      <c r="F1967" s="99" t="n">
        <v>44988</v>
      </c>
      <c r="G1967" s="100" t="n"/>
    </row>
    <row r="1968" ht="16" customHeight="1">
      <c r="A1968" s="98" t="n">
        <v>425541</v>
      </c>
      <c r="B1968" s="98" t="inlineStr">
        <is>
          <t>SUTTER HOME MOSCATO</t>
        </is>
      </c>
      <c r="C1968" s="97">
        <f>VLOOKUP(A1968,SizeData!A$2:B$3839,2,FALSE)</f>
        <v/>
      </c>
      <c r="D1968" s="98" t="n">
        <v>1</v>
      </c>
      <c r="E1968" s="98" t="inlineStr">
        <is>
          <t>R2003600</t>
        </is>
      </c>
      <c r="F1968" s="99" t="n">
        <v>44994</v>
      </c>
      <c r="G1968" s="100" t="n"/>
    </row>
    <row r="1969" ht="16" customHeight="1">
      <c r="A1969" s="98" t="n">
        <v>629305</v>
      </c>
      <c r="B1969" s="98" t="inlineStr">
        <is>
          <t>SUTTER HOME MOSCATO</t>
        </is>
      </c>
      <c r="C1969" s="97">
        <f>VLOOKUP(A1969,SizeData!A$2:B$3839,2,FALSE)</f>
        <v/>
      </c>
      <c r="D1969" s="98" t="n">
        <v>2</v>
      </c>
      <c r="E1969" s="98" t="inlineStr">
        <is>
          <t>R2055049</t>
        </is>
      </c>
      <c r="F1969" s="99" t="n">
        <v>45017</v>
      </c>
      <c r="G1969" s="100" t="n"/>
    </row>
    <row r="1970" ht="16" customHeight="1">
      <c r="A1970" s="98" t="n">
        <v>683325</v>
      </c>
      <c r="B1970" s="98" t="inlineStr">
        <is>
          <t>SUTTER HOME PINK MOSCATO CALIFORNIA</t>
        </is>
      </c>
      <c r="C1970" s="97">
        <f>VLOOKUP(A1970,SizeData!A$2:B$3839,2,FALSE)</f>
        <v/>
      </c>
      <c r="D1970" s="98" t="n">
        <v>1</v>
      </c>
      <c r="E1970" s="98" t="inlineStr">
        <is>
          <t>R1914089</t>
        </is>
      </c>
      <c r="F1970" s="99" t="n">
        <v>44927</v>
      </c>
      <c r="G1970" s="100" t="n"/>
    </row>
    <row r="1971" ht="16" customHeight="1">
      <c r="A1971" s="98" t="n">
        <v>683325</v>
      </c>
      <c r="B1971" s="98" t="inlineStr">
        <is>
          <t>SUTTER HOME PINK MOSCATO CALIFORNIA</t>
        </is>
      </c>
      <c r="C1971" s="97">
        <f>VLOOKUP(A1971,SizeData!A$2:B$3839,2,FALSE)</f>
        <v/>
      </c>
      <c r="D1971" s="98" t="n">
        <v>1</v>
      </c>
      <c r="E1971" s="98" t="inlineStr">
        <is>
          <t>R1949716</t>
        </is>
      </c>
      <c r="F1971" s="99" t="n">
        <v>44950</v>
      </c>
      <c r="G1971" s="100" t="n"/>
    </row>
    <row r="1972" ht="16" customHeight="1">
      <c r="A1972" s="98" t="n">
        <v>683325</v>
      </c>
      <c r="B1972" s="98" t="inlineStr">
        <is>
          <t>SUTTER HOME PINK MOSCATO CALIFORNIA</t>
        </is>
      </c>
      <c r="C1972" s="97">
        <f>VLOOKUP(A1972,SizeData!A$2:B$3839,2,FALSE)</f>
        <v/>
      </c>
      <c r="D1972" s="98" t="n">
        <v>2</v>
      </c>
      <c r="E1972" s="98" t="inlineStr">
        <is>
          <t>R1949716</t>
        </is>
      </c>
      <c r="F1972" s="99" t="n">
        <v>44950</v>
      </c>
      <c r="G1972" s="100" t="n"/>
    </row>
    <row r="1973" ht="16" customHeight="1">
      <c r="A1973" s="101" t="n">
        <v>683324</v>
      </c>
      <c r="B1973" s="101" t="inlineStr">
        <is>
          <t>SUTTER HOME PINK MOSCATO CALIFORNIA</t>
        </is>
      </c>
      <c r="C1973" s="102">
        <f>VLOOKUP(A1973,SizeData!A$2:B$3839,2,FALSE)</f>
        <v/>
      </c>
      <c r="D1973" s="101" t="n">
        <v>2</v>
      </c>
      <c r="E1973" s="101" t="inlineStr">
        <is>
          <t>R2014242</t>
        </is>
      </c>
      <c r="F1973" s="103" t="n">
        <v>44999</v>
      </c>
      <c r="G1973" s="104" t="n"/>
    </row>
    <row r="1974" ht="16" customHeight="1">
      <c r="A1974" s="101" t="n">
        <v>683326</v>
      </c>
      <c r="B1974" s="101" t="inlineStr">
        <is>
          <t>SUTTER HOME PINK MOSCATO CALIFORNIA</t>
        </is>
      </c>
      <c r="C1974" s="102">
        <f>VLOOKUP(A1974,SizeData!A$2:B$3839,2,FALSE)</f>
        <v/>
      </c>
      <c r="D1974" s="101" t="n">
        <v>2</v>
      </c>
      <c r="E1974" s="101" t="inlineStr">
        <is>
          <t>R2055049</t>
        </is>
      </c>
      <c r="F1974" s="103" t="n">
        <v>45017</v>
      </c>
      <c r="G1974" s="104" t="n"/>
    </row>
    <row r="1975" ht="16" customHeight="1">
      <c r="A1975" s="98" t="n">
        <v>513360</v>
      </c>
      <c r="B1975" s="98" t="inlineStr">
        <is>
          <t>SUTTER HOME SWEET RED</t>
        </is>
      </c>
      <c r="C1975" s="97">
        <f>VLOOKUP(A1975,SizeData!A$2:B$3839,2,FALSE)</f>
        <v/>
      </c>
      <c r="D1975" s="98" t="n">
        <v>2</v>
      </c>
      <c r="E1975" s="98" t="inlineStr">
        <is>
          <t>R1914089</t>
        </is>
      </c>
      <c r="F1975" s="99" t="n">
        <v>44927</v>
      </c>
      <c r="G1975" s="100" t="n"/>
    </row>
    <row r="1976" ht="16" customHeight="1">
      <c r="A1976" s="98" t="n">
        <v>513364</v>
      </c>
      <c r="B1976" s="98" t="inlineStr">
        <is>
          <t>SUTTER HOME SWEET RED</t>
        </is>
      </c>
      <c r="C1976" s="97">
        <f>VLOOKUP(A1976,SizeData!A$2:B$3839,2,FALSE)</f>
        <v/>
      </c>
      <c r="D1976" s="98" t="n">
        <v>4</v>
      </c>
      <c r="E1976" s="98" t="inlineStr">
        <is>
          <t>R1919341</t>
        </is>
      </c>
      <c r="F1976" s="99" t="n">
        <v>44930</v>
      </c>
      <c r="G1976" s="100" t="n"/>
    </row>
    <row r="1977" ht="16" customHeight="1">
      <c r="A1977" s="98" t="n">
        <v>513360</v>
      </c>
      <c r="B1977" s="98" t="inlineStr">
        <is>
          <t>SUTTER HOME SWEET RED</t>
        </is>
      </c>
      <c r="C1977" s="97">
        <f>VLOOKUP(A1977,SizeData!A$2:B$3839,2,FALSE)</f>
        <v/>
      </c>
      <c r="D1977" s="98" t="n">
        <v>3</v>
      </c>
      <c r="E1977" s="98" t="inlineStr">
        <is>
          <t>R1936420</t>
        </is>
      </c>
      <c r="F1977" s="99" t="n">
        <v>44937</v>
      </c>
      <c r="G1977" s="100" t="n"/>
    </row>
    <row r="1978" ht="16" customHeight="1">
      <c r="A1978" s="98" t="n">
        <v>513360</v>
      </c>
      <c r="B1978" s="98" t="inlineStr">
        <is>
          <t>SUTTER HOME SWEET RED</t>
        </is>
      </c>
      <c r="C1978" s="97">
        <f>VLOOKUP(A1978,SizeData!A$2:B$3839,2,FALSE)</f>
        <v/>
      </c>
      <c r="D1978" s="98" t="n">
        <v>1</v>
      </c>
      <c r="E1978" s="98" t="inlineStr">
        <is>
          <t>R2017905</t>
        </is>
      </c>
      <c r="F1978" s="99" t="n">
        <v>44993</v>
      </c>
      <c r="G1978" s="100" t="n"/>
    </row>
    <row r="1979" ht="16" customHeight="1">
      <c r="A1979" s="98" t="n">
        <v>513364</v>
      </c>
      <c r="B1979" s="98" t="inlineStr">
        <is>
          <t>SUTTER HOME SWEET RED</t>
        </is>
      </c>
      <c r="C1979" s="97">
        <f>VLOOKUP(A1979,SizeData!A$2:B$3839,2,FALSE)</f>
        <v/>
      </c>
      <c r="D1979" s="98" t="n">
        <v>3</v>
      </c>
      <c r="E1979" s="98" t="inlineStr">
        <is>
          <t>R2014242</t>
        </is>
      </c>
      <c r="F1979" s="99" t="n">
        <v>44999</v>
      </c>
      <c r="G1979" s="100" t="n"/>
    </row>
    <row r="1980" ht="16" customHeight="1">
      <c r="A1980" s="98" t="n">
        <v>513360</v>
      </c>
      <c r="B1980" s="98" t="inlineStr">
        <is>
          <t>SUTTER HOME SWEET RED</t>
        </is>
      </c>
      <c r="C1980" s="97">
        <f>VLOOKUP(A1980,SizeData!A$2:B$3839,2,FALSE)</f>
        <v/>
      </c>
      <c r="D1980" s="98" t="n">
        <v>1</v>
      </c>
      <c r="E1980" s="98" t="inlineStr">
        <is>
          <t>R2022490</t>
        </is>
      </c>
      <c r="F1980" s="99" t="n">
        <v>45014</v>
      </c>
      <c r="G1980" s="100" t="n"/>
    </row>
    <row r="1981" ht="16" customHeight="1">
      <c r="A1981" s="98" t="n">
        <v>513365</v>
      </c>
      <c r="B1981" s="98" t="inlineStr">
        <is>
          <t>SUTTER HOME SWEET RED</t>
        </is>
      </c>
      <c r="C1981" s="97">
        <f>VLOOKUP(A1981,SizeData!A$2:B$3839,2,FALSE)</f>
        <v/>
      </c>
      <c r="D1981" s="98" t="n">
        <v>7</v>
      </c>
      <c r="E1981" s="98" t="inlineStr">
        <is>
          <t>R2048310</t>
        </is>
      </c>
      <c r="F1981" s="99" t="n">
        <v>45019</v>
      </c>
      <c r="G1981" s="100" t="n"/>
    </row>
    <row r="1982" ht="16" customHeight="1">
      <c r="A1982" s="101" t="n">
        <v>513365</v>
      </c>
      <c r="B1982" s="101" t="inlineStr">
        <is>
          <t>SUTTER HOME SWEET RED</t>
        </is>
      </c>
      <c r="C1982" s="102">
        <f>VLOOKUP(A1982,SizeData!A$2:B$3839,2,FALSE)</f>
        <v/>
      </c>
      <c r="D1982" s="101" t="n">
        <v>2</v>
      </c>
      <c r="E1982" s="101" t="inlineStr">
        <is>
          <t>R2055049</t>
        </is>
      </c>
      <c r="F1982" s="103" t="n">
        <v>45017</v>
      </c>
      <c r="G1982" s="104" t="n"/>
    </row>
    <row r="1983" ht="16" customHeight="1">
      <c r="A1983" s="101" t="n">
        <v>683345</v>
      </c>
      <c r="B1983" s="101" t="inlineStr">
        <is>
          <t>SUTTER HOME WHITE MERLOT</t>
        </is>
      </c>
      <c r="C1983" s="102">
        <f>VLOOKUP(A1983,SizeData!A$2:B$3839,2,FALSE)</f>
        <v/>
      </c>
      <c r="D1983" s="101" t="n">
        <v>2</v>
      </c>
      <c r="E1983" s="101" t="inlineStr">
        <is>
          <t>R2039682</t>
        </is>
      </c>
      <c r="F1983" s="103" t="n">
        <v>45022</v>
      </c>
      <c r="G1983" s="104" t="n"/>
    </row>
    <row r="1984" ht="16" customHeight="1">
      <c r="A1984" s="98" t="n">
        <v>683362</v>
      </c>
      <c r="B1984" s="98" t="inlineStr">
        <is>
          <t>SUTTER HOME WHITE ZINFANDEL</t>
        </is>
      </c>
      <c r="C1984" s="97">
        <f>VLOOKUP(A1984,SizeData!A$2:B$3839,2,FALSE)</f>
        <v/>
      </c>
      <c r="D1984" s="98" t="n">
        <v>3</v>
      </c>
      <c r="E1984" s="98" t="inlineStr">
        <is>
          <t>R1980359</t>
        </is>
      </c>
      <c r="F1984" s="99" t="n">
        <v>44965</v>
      </c>
      <c r="G1984" s="100" t="n"/>
    </row>
    <row r="1985" ht="16" customHeight="1">
      <c r="A1985" s="101" t="n">
        <v>683362</v>
      </c>
      <c r="B1985" s="101" t="inlineStr">
        <is>
          <t>SUTTER HOME WHITE ZINFANDEL</t>
        </is>
      </c>
      <c r="C1985" s="102">
        <f>VLOOKUP(A1985,SizeData!A$2:B$3839,2,FALSE)</f>
        <v/>
      </c>
      <c r="D1985" s="101" t="n">
        <v>2</v>
      </c>
      <c r="E1985" s="101" t="inlineStr">
        <is>
          <t>R1984929</t>
        </is>
      </c>
      <c r="F1985" s="103" t="n">
        <v>44980</v>
      </c>
      <c r="G1985" s="104" t="n"/>
    </row>
    <row r="1986" ht="16" customHeight="1">
      <c r="A1986" s="98" t="n">
        <v>683362</v>
      </c>
      <c r="B1986" s="98" t="inlineStr">
        <is>
          <t>SUTTER HOME WHITE ZINFANDEL</t>
        </is>
      </c>
      <c r="C1986" s="97">
        <f>VLOOKUP(A1986,SizeData!A$2:B$3839,2,FALSE)</f>
        <v/>
      </c>
      <c r="D1986" s="98" t="n">
        <v>3</v>
      </c>
      <c r="E1986" s="98" t="inlineStr">
        <is>
          <t>R2048310</t>
        </is>
      </c>
      <c r="F1986" s="99" t="n">
        <v>45019</v>
      </c>
      <c r="G1986" s="100" t="n"/>
    </row>
    <row r="1987" ht="16" customHeight="1">
      <c r="A1987" s="101" t="n">
        <v>683362</v>
      </c>
      <c r="B1987" s="101" t="inlineStr">
        <is>
          <t>SUTTER HOME WHITE ZINFANDEL</t>
        </is>
      </c>
      <c r="C1987" s="102">
        <f>VLOOKUP(A1987,SizeData!A$2:B$3839,2,FALSE)</f>
        <v/>
      </c>
      <c r="D1987" s="101" t="n">
        <v>1</v>
      </c>
      <c r="E1987" s="101" t="inlineStr">
        <is>
          <t>R2048310</t>
        </is>
      </c>
      <c r="F1987" s="103" t="n">
        <v>45019</v>
      </c>
      <c r="G1987" s="104" t="n"/>
    </row>
    <row r="1988" ht="16" customHeight="1">
      <c r="A1988" s="98" t="n">
        <v>683364</v>
      </c>
      <c r="B1988" s="98" t="inlineStr">
        <is>
          <t>SUTTER HOME WHITE ZINFANDEL PET</t>
        </is>
      </c>
      <c r="C1988" s="97">
        <f>VLOOKUP(A1988,SizeData!A$2:B$3839,2,FALSE)</f>
        <v/>
      </c>
      <c r="D1988" s="98" t="n">
        <v>3</v>
      </c>
      <c r="E1988" s="98" t="inlineStr">
        <is>
          <t>R1946720</t>
        </is>
      </c>
      <c r="F1988" s="99" t="n">
        <v>44943</v>
      </c>
      <c r="G1988" s="100" t="n"/>
    </row>
    <row r="1989" ht="16" customHeight="1">
      <c r="A1989" s="98" t="n">
        <v>36576</v>
      </c>
      <c r="B1989" s="98" t="inlineStr">
        <is>
          <t>SVEDKA BLUE RASPBERRY FLAVORED VODKA</t>
        </is>
      </c>
      <c r="C1989" s="97">
        <f>VLOOKUP(A1989,SizeData!A$2:B$3839,2,FALSE)</f>
        <v/>
      </c>
      <c r="D1989" s="98" t="n">
        <v>1</v>
      </c>
      <c r="E1989" s="98" t="inlineStr">
        <is>
          <t>R1922178</t>
        </is>
      </c>
      <c r="F1989" s="99" t="n">
        <v>44929</v>
      </c>
      <c r="G1989" s="100" t="n"/>
    </row>
    <row r="1990" ht="16" customHeight="1">
      <c r="A1990" s="98" t="n">
        <v>33658</v>
      </c>
      <c r="B1990" s="98" t="inlineStr">
        <is>
          <t>SVEDKA MANGO PINEAPPLE FLAVORED VODKA</t>
        </is>
      </c>
      <c r="C1990" s="97">
        <f>VLOOKUP(A1990,SizeData!A$2:B$3839,2,FALSE)</f>
        <v/>
      </c>
      <c r="D1990" s="98" t="n">
        <v>1</v>
      </c>
      <c r="E1990" s="98" t="inlineStr">
        <is>
          <t>R1914089</t>
        </is>
      </c>
      <c r="F1990" s="99" t="n">
        <v>44927</v>
      </c>
      <c r="G1990" s="100" t="n"/>
    </row>
    <row r="1991" ht="16" customHeight="1">
      <c r="A1991" s="98" t="n">
        <v>33663</v>
      </c>
      <c r="B1991" s="98" t="inlineStr">
        <is>
          <t>SVEDKA STRAWBERRY LEMONADE FLAVORED VODKA</t>
        </is>
      </c>
      <c r="C1991" s="97">
        <f>VLOOKUP(A1991,SizeData!A$2:B$3839,2,FALSE)</f>
        <v/>
      </c>
      <c r="D1991" s="98" t="n">
        <v>1</v>
      </c>
      <c r="E1991" s="98" t="inlineStr">
        <is>
          <t>R1914089</t>
        </is>
      </c>
      <c r="F1991" s="99" t="n">
        <v>44927</v>
      </c>
      <c r="G1991" s="100" t="n"/>
    </row>
    <row r="1992" ht="16" customHeight="1">
      <c r="A1992" s="98" t="n">
        <v>630817</v>
      </c>
      <c r="B1992" s="98" t="inlineStr">
        <is>
          <t>SWEET BITCH CHARDONNAY</t>
        </is>
      </c>
      <c r="C1992" s="97">
        <f>VLOOKUP(A1992,SizeData!A$2:B$3839,2,FALSE)</f>
        <v/>
      </c>
      <c r="D1992" s="98" t="n">
        <v>1</v>
      </c>
      <c r="E1992" s="98" t="inlineStr">
        <is>
          <t>R1995808</t>
        </is>
      </c>
      <c r="F1992" s="99" t="n">
        <v>44972</v>
      </c>
      <c r="G1992" s="100" t="n"/>
    </row>
    <row r="1993" ht="16" customHeight="1">
      <c r="A1993" s="98" t="n">
        <v>425605</v>
      </c>
      <c r="B1993" s="98" t="inlineStr">
        <is>
          <t>SWEET BITCH MERLOT</t>
        </is>
      </c>
      <c r="C1993" s="97">
        <f>VLOOKUP(A1993,SizeData!A$2:B$3839,2,FALSE)</f>
        <v/>
      </c>
      <c r="D1993" s="98" t="n">
        <v>3</v>
      </c>
      <c r="E1993" s="98" t="inlineStr">
        <is>
          <t>R2010122</t>
        </is>
      </c>
      <c r="F1993" s="99" t="n">
        <v>44981</v>
      </c>
      <c r="G1993" s="100" t="n"/>
    </row>
    <row r="1994" ht="16" customHeight="1">
      <c r="A1994" s="98" t="n">
        <v>425610</v>
      </c>
      <c r="B1994" s="98" t="inlineStr">
        <is>
          <t>SWEET BITCH MOSCATO ROSE</t>
        </is>
      </c>
      <c r="C1994" s="97">
        <f>VLOOKUP(A1994,SizeData!A$2:B$3839,2,FALSE)</f>
        <v/>
      </c>
      <c r="D1994" s="98" t="n">
        <v>1</v>
      </c>
      <c r="E1994" s="98" t="inlineStr">
        <is>
          <t>R1974698</t>
        </is>
      </c>
      <c r="F1994" s="99" t="n">
        <v>44979</v>
      </c>
      <c r="G1994" s="100" t="n"/>
    </row>
    <row r="1995" ht="16" customHeight="1">
      <c r="A1995" s="98" t="n">
        <v>425611</v>
      </c>
      <c r="B1995" s="98" t="inlineStr">
        <is>
          <t>SWEET BITCH MOSCATO ROSE</t>
        </is>
      </c>
      <c r="C1995" s="97">
        <f>VLOOKUP(A1995,SizeData!A$2:B$3839,2,FALSE)</f>
        <v/>
      </c>
      <c r="D1995" s="98" t="n">
        <v>2</v>
      </c>
      <c r="E1995" s="98" t="inlineStr">
        <is>
          <t>R1974698</t>
        </is>
      </c>
      <c r="F1995" s="99" t="n">
        <v>44979</v>
      </c>
      <c r="G1995" s="100" t="n"/>
    </row>
    <row r="1996" ht="16" customHeight="1">
      <c r="A1996" s="101" t="n">
        <v>425610</v>
      </c>
      <c r="B1996" s="101" t="inlineStr">
        <is>
          <t>SWEET BITCH MOSCATO ROSE</t>
        </is>
      </c>
      <c r="C1996" s="102">
        <f>VLOOKUP(A1996,SizeData!A$2:B$3839,2,FALSE)</f>
        <v/>
      </c>
      <c r="D1996" s="101" t="n">
        <v>1</v>
      </c>
      <c r="E1996" s="101" t="inlineStr">
        <is>
          <t>R1974698</t>
        </is>
      </c>
      <c r="F1996" s="103" t="n">
        <v>44979</v>
      </c>
      <c r="G1996" s="104" t="n"/>
    </row>
    <row r="1997" ht="16" customHeight="1">
      <c r="A1997" s="98" t="n">
        <v>39806</v>
      </c>
      <c r="B1997" s="98" t="inlineStr">
        <is>
          <t>TAAKA APPLE VODKA</t>
        </is>
      </c>
      <c r="C1997" s="97">
        <f>VLOOKUP(A1997,SizeData!A$2:B$3839,2,FALSE)</f>
        <v/>
      </c>
      <c r="D1997" s="98" t="n">
        <v>1</v>
      </c>
      <c r="E1997" s="98" t="inlineStr">
        <is>
          <t>R1933625</t>
        </is>
      </c>
      <c r="F1997" s="99" t="n">
        <v>44940</v>
      </c>
      <c r="G1997" s="100" t="n"/>
    </row>
    <row r="1998" ht="16" customHeight="1">
      <c r="A1998" s="98" t="n">
        <v>39806</v>
      </c>
      <c r="B1998" s="98" t="inlineStr">
        <is>
          <t>TAAKA APPLE VODKA</t>
        </is>
      </c>
      <c r="C1998" s="97">
        <f>VLOOKUP(A1998,SizeData!A$2:B$3839,2,FALSE)</f>
        <v/>
      </c>
      <c r="D1998" s="98" t="n">
        <v>1</v>
      </c>
      <c r="E1998" s="98" t="inlineStr">
        <is>
          <t>R1939504</t>
        </is>
      </c>
      <c r="F1998" s="99" t="n">
        <v>44940</v>
      </c>
      <c r="G1998" s="100" t="n"/>
    </row>
    <row r="1999" ht="16" customHeight="1">
      <c r="A1999" s="98" t="n">
        <v>32414</v>
      </c>
      <c r="B1999" s="98" t="inlineStr">
        <is>
          <t>TAAKA GIN</t>
        </is>
      </c>
      <c r="C1999" s="97">
        <f>VLOOKUP(A1999,SizeData!A$2:B$3839,2,FALSE)</f>
        <v/>
      </c>
      <c r="D1999" s="98" t="n">
        <v>1</v>
      </c>
      <c r="E1999" s="98" t="inlineStr">
        <is>
          <t>R1914089</t>
        </is>
      </c>
      <c r="F1999" s="99" t="n">
        <v>44927</v>
      </c>
      <c r="G1999" s="100" t="n"/>
    </row>
    <row r="2000" ht="16" customHeight="1">
      <c r="A2000" s="98" t="n">
        <v>32414</v>
      </c>
      <c r="B2000" s="98" t="inlineStr">
        <is>
          <t>TAAKA GIN</t>
        </is>
      </c>
      <c r="C2000" s="97">
        <f>VLOOKUP(A2000,SizeData!A$2:B$3839,2,FALSE)</f>
        <v/>
      </c>
      <c r="D2000" s="98" t="n">
        <v>1</v>
      </c>
      <c r="E2000" s="98" t="inlineStr">
        <is>
          <t>R1949716</t>
        </is>
      </c>
      <c r="F2000" s="99" t="n">
        <v>44950</v>
      </c>
      <c r="G2000" s="100" t="n"/>
    </row>
    <row r="2001" ht="16" customHeight="1">
      <c r="A2001" s="98" t="n">
        <v>32418</v>
      </c>
      <c r="B2001" s="98" t="inlineStr">
        <is>
          <t>TAAKA GIN (PET)</t>
        </is>
      </c>
      <c r="C2001" s="97">
        <f>VLOOKUP(A2001,SizeData!A$2:B$3839,2,FALSE)</f>
        <v/>
      </c>
      <c r="D2001" s="98" t="n">
        <v>2</v>
      </c>
      <c r="E2001" s="98" t="inlineStr">
        <is>
          <t>R1957712</t>
        </is>
      </c>
      <c r="F2001" s="99" t="n">
        <v>44958</v>
      </c>
      <c r="G2001" s="100" t="n"/>
    </row>
    <row r="2002" ht="16" customHeight="1">
      <c r="A2002" s="98" t="n">
        <v>32418</v>
      </c>
      <c r="B2002" s="98" t="inlineStr">
        <is>
          <t>TAAKA GIN (PET)</t>
        </is>
      </c>
      <c r="C2002" s="97">
        <f>VLOOKUP(A2002,SizeData!A$2:B$3839,2,FALSE)</f>
        <v/>
      </c>
      <c r="D2002" s="98" t="n">
        <v>2</v>
      </c>
      <c r="E2002" s="98" t="inlineStr">
        <is>
          <t>R1962631</t>
        </is>
      </c>
      <c r="F2002" s="99" t="n">
        <v>44959</v>
      </c>
      <c r="G2002" s="100" t="n"/>
    </row>
    <row r="2003" ht="16" customHeight="1">
      <c r="A2003" s="98" t="n">
        <v>40589</v>
      </c>
      <c r="B2003" s="98" t="inlineStr">
        <is>
          <t>TAAKA PEACH VODKA</t>
        </is>
      </c>
      <c r="C2003" s="97">
        <f>VLOOKUP(A2003,SizeData!A$2:B$3839,2,FALSE)</f>
        <v/>
      </c>
      <c r="D2003" s="98" t="n">
        <v>1</v>
      </c>
      <c r="E2003" s="98" t="inlineStr">
        <is>
          <t>R2022490</t>
        </is>
      </c>
      <c r="F2003" s="99" t="n">
        <v>45014</v>
      </c>
      <c r="G2003" s="100" t="n"/>
    </row>
    <row r="2004" ht="16" customHeight="1">
      <c r="A2004" s="98" t="n">
        <v>40589</v>
      </c>
      <c r="B2004" s="98" t="inlineStr">
        <is>
          <t>TAAKA PEACH VODKA</t>
        </is>
      </c>
      <c r="C2004" s="97">
        <f>VLOOKUP(A2004,SizeData!A$2:B$3839,2,FALSE)</f>
        <v/>
      </c>
      <c r="D2004" s="98" t="n">
        <v>2</v>
      </c>
      <c r="E2004" s="98" t="inlineStr">
        <is>
          <t>R2049198</t>
        </is>
      </c>
      <c r="F2004" s="99" t="n">
        <v>45028</v>
      </c>
      <c r="G2004" s="100" t="n"/>
    </row>
    <row r="2005" ht="16" customHeight="1">
      <c r="A2005" s="98" t="n">
        <v>40040</v>
      </c>
      <c r="B2005" s="98" t="inlineStr">
        <is>
          <t>TAAKA PINEAPPLE VODKA</t>
        </is>
      </c>
      <c r="C2005" s="97">
        <f>VLOOKUP(A2005,SizeData!A$2:B$3839,2,FALSE)</f>
        <v/>
      </c>
      <c r="D2005" s="98" t="n">
        <v>1</v>
      </c>
      <c r="E2005" s="98" t="inlineStr">
        <is>
          <t>R1939504</t>
        </is>
      </c>
      <c r="F2005" s="99" t="n">
        <v>44940</v>
      </c>
      <c r="G2005" s="100" t="n"/>
    </row>
    <row r="2006" ht="16" customHeight="1">
      <c r="A2006" s="98" t="n">
        <v>39888</v>
      </c>
      <c r="B2006" s="98" t="inlineStr">
        <is>
          <t>TAAKA SUPREME 100 (PET) VODKA</t>
        </is>
      </c>
      <c r="C2006" s="97">
        <f>VLOOKUP(A2006,SizeData!A$2:B$3839,2,FALSE)</f>
        <v/>
      </c>
      <c r="D2006" s="98" t="n">
        <v>1</v>
      </c>
      <c r="E2006" s="98" t="inlineStr">
        <is>
          <t>R1991528</t>
        </is>
      </c>
      <c r="F2006" s="99" t="n">
        <v>44974</v>
      </c>
      <c r="G2006" s="100" t="n"/>
    </row>
    <row r="2007" ht="16" customHeight="1">
      <c r="A2007" s="98" t="n">
        <v>39884</v>
      </c>
      <c r="B2007" s="98" t="inlineStr">
        <is>
          <t>TAAKA SUPREME 100 VODKA</t>
        </is>
      </c>
      <c r="C2007" s="97">
        <f>VLOOKUP(A2007,SizeData!A$2:B$3839,2,FALSE)</f>
        <v/>
      </c>
      <c r="D2007" s="98" t="n">
        <v>1</v>
      </c>
      <c r="E2007" s="98" t="inlineStr">
        <is>
          <t>R1933022</t>
        </is>
      </c>
      <c r="F2007" s="99" t="n">
        <v>44942</v>
      </c>
      <c r="G2007" s="100" t="n"/>
    </row>
    <row r="2008" ht="16" customHeight="1">
      <c r="A2008" s="98" t="n">
        <v>39884</v>
      </c>
      <c r="B2008" s="98" t="inlineStr">
        <is>
          <t>TAAKA SUPREME 100 VODKA</t>
        </is>
      </c>
      <c r="C2008" s="97">
        <f>VLOOKUP(A2008,SizeData!A$2:B$3839,2,FALSE)</f>
        <v/>
      </c>
      <c r="D2008" s="98" t="n">
        <v>1</v>
      </c>
      <c r="E2008" s="98" t="inlineStr">
        <is>
          <t>R1988715</t>
        </is>
      </c>
      <c r="F2008" s="99" t="n">
        <v>44975</v>
      </c>
      <c r="G2008" s="100" t="n"/>
    </row>
    <row r="2009" ht="16" customHeight="1">
      <c r="A2009" s="98" t="n">
        <v>39886</v>
      </c>
      <c r="B2009" s="98" t="inlineStr">
        <is>
          <t>TAAKA SUPREME 100 VODKA</t>
        </is>
      </c>
      <c r="C2009" s="97">
        <f>VLOOKUP(A2009,SizeData!A$2:B$3839,2,FALSE)</f>
        <v/>
      </c>
      <c r="D2009" s="98" t="n">
        <v>1</v>
      </c>
      <c r="E2009" s="98" t="inlineStr">
        <is>
          <t>R1996314</t>
        </is>
      </c>
      <c r="F2009" s="99" t="n">
        <v>44979</v>
      </c>
      <c r="G2009" s="100" t="n"/>
    </row>
    <row r="2010" ht="16" customHeight="1">
      <c r="A2010" s="98" t="n">
        <v>38069</v>
      </c>
      <c r="B2010" s="98" t="inlineStr">
        <is>
          <t>TAAKA VODKA 80</t>
        </is>
      </c>
      <c r="C2010" s="97">
        <f>VLOOKUP(A2010,SizeData!A$2:B$3839,2,FALSE)</f>
        <v/>
      </c>
      <c r="D2010" s="98" t="n">
        <v>20</v>
      </c>
      <c r="E2010" s="98" t="inlineStr">
        <is>
          <t>R1914089</t>
        </is>
      </c>
      <c r="F2010" s="99" t="n">
        <v>44927</v>
      </c>
      <c r="G2010" s="100" t="n"/>
    </row>
    <row r="2011" ht="16" customHeight="1">
      <c r="A2011" s="98" t="n">
        <v>38069</v>
      </c>
      <c r="B2011" s="98" t="inlineStr">
        <is>
          <t>TAAKA VODKA 80</t>
        </is>
      </c>
      <c r="C2011" s="97">
        <f>VLOOKUP(A2011,SizeData!A$2:B$3839,2,FALSE)</f>
        <v/>
      </c>
      <c r="D2011" s="98" t="n">
        <v>4</v>
      </c>
      <c r="E2011" s="98" t="inlineStr">
        <is>
          <t>R1918990</t>
        </is>
      </c>
      <c r="F2011" s="99" t="n">
        <v>44928</v>
      </c>
      <c r="G2011" s="100" t="n"/>
    </row>
    <row r="2012" ht="16" customHeight="1">
      <c r="A2012" s="98" t="n">
        <v>38069</v>
      </c>
      <c r="B2012" s="98" t="inlineStr">
        <is>
          <t>TAAKA VODKA 80</t>
        </is>
      </c>
      <c r="C2012" s="97">
        <f>VLOOKUP(A2012,SizeData!A$2:B$3839,2,FALSE)</f>
        <v/>
      </c>
      <c r="D2012" s="98" t="n">
        <v>50</v>
      </c>
      <c r="E2012" s="98" t="inlineStr">
        <is>
          <t>R1914275</t>
        </is>
      </c>
      <c r="F2012" s="99" t="n">
        <v>44929</v>
      </c>
      <c r="G2012" s="100" t="n"/>
    </row>
    <row r="2013" ht="16" customHeight="1">
      <c r="A2013" s="98" t="n">
        <v>38069</v>
      </c>
      <c r="B2013" s="98" t="inlineStr">
        <is>
          <t>TAAKA VODKA 80</t>
        </is>
      </c>
      <c r="C2013" s="97">
        <f>VLOOKUP(A2013,SizeData!A$2:B$3839,2,FALSE)</f>
        <v/>
      </c>
      <c r="D2013" s="98" t="n">
        <v>50</v>
      </c>
      <c r="E2013" s="98" t="inlineStr">
        <is>
          <t>R1924828</t>
        </is>
      </c>
      <c r="F2013" s="99" t="n">
        <v>44929</v>
      </c>
      <c r="G2013" s="100" t="n"/>
    </row>
    <row r="2014" ht="16" customHeight="1">
      <c r="A2014" s="98" t="n">
        <v>38069</v>
      </c>
      <c r="B2014" s="98" t="inlineStr">
        <is>
          <t>TAAKA VODKA 80</t>
        </is>
      </c>
      <c r="C2014" s="97">
        <f>VLOOKUP(A2014,SizeData!A$2:B$3839,2,FALSE)</f>
        <v/>
      </c>
      <c r="D2014" s="98" t="n">
        <v>50</v>
      </c>
      <c r="E2014" s="98" t="inlineStr">
        <is>
          <t>R1926642</t>
        </is>
      </c>
      <c r="F2014" s="99" t="n">
        <v>44929</v>
      </c>
      <c r="G2014" s="100" t="n"/>
    </row>
    <row r="2015" ht="16" customHeight="1">
      <c r="A2015" s="98" t="n">
        <v>38069</v>
      </c>
      <c r="B2015" s="98" t="inlineStr">
        <is>
          <t>TAAKA VODKA 80</t>
        </is>
      </c>
      <c r="C2015" s="97">
        <f>VLOOKUP(A2015,SizeData!A$2:B$3839,2,FALSE)</f>
        <v/>
      </c>
      <c r="D2015" s="98" t="n">
        <v>50</v>
      </c>
      <c r="E2015" s="98" t="inlineStr">
        <is>
          <t>R1928701</t>
        </is>
      </c>
      <c r="F2015" s="99" t="n">
        <v>44929</v>
      </c>
      <c r="G2015" s="100" t="n"/>
    </row>
    <row r="2016" ht="16" customHeight="1">
      <c r="A2016" s="98" t="n">
        <v>38069</v>
      </c>
      <c r="B2016" s="98" t="inlineStr">
        <is>
          <t>TAAKA VODKA 80</t>
        </is>
      </c>
      <c r="C2016" s="97">
        <f>VLOOKUP(A2016,SizeData!A$2:B$3839,2,FALSE)</f>
        <v/>
      </c>
      <c r="D2016" s="98" t="n">
        <v>50</v>
      </c>
      <c r="E2016" s="98" t="inlineStr">
        <is>
          <t>R1919988</t>
        </is>
      </c>
      <c r="F2016" s="99" t="n">
        <v>44930</v>
      </c>
      <c r="G2016" s="100" t="n"/>
    </row>
    <row r="2017" ht="16" customHeight="1">
      <c r="A2017" s="98" t="n">
        <v>38069</v>
      </c>
      <c r="B2017" s="98" t="inlineStr">
        <is>
          <t>TAAKA VODKA 80</t>
        </is>
      </c>
      <c r="C2017" s="97">
        <f>VLOOKUP(A2017,SizeData!A$2:B$3839,2,FALSE)</f>
        <v/>
      </c>
      <c r="D2017" s="98" t="n">
        <v>50</v>
      </c>
      <c r="E2017" s="98" t="inlineStr">
        <is>
          <t>R1924030</t>
        </is>
      </c>
      <c r="F2017" s="99" t="n">
        <v>44930</v>
      </c>
      <c r="G2017" s="100" t="n"/>
    </row>
    <row r="2018" ht="16" customHeight="1">
      <c r="A2018" s="98" t="n">
        <v>38069</v>
      </c>
      <c r="B2018" s="98" t="inlineStr">
        <is>
          <t>TAAKA VODKA 80</t>
        </is>
      </c>
      <c r="C2018" s="97">
        <f>VLOOKUP(A2018,SizeData!A$2:B$3839,2,FALSE)</f>
        <v/>
      </c>
      <c r="D2018" s="98" t="n">
        <v>50</v>
      </c>
      <c r="E2018" s="98" t="inlineStr">
        <is>
          <t>R1928077</t>
        </is>
      </c>
      <c r="F2018" s="99" t="n">
        <v>44930</v>
      </c>
      <c r="G2018" s="100" t="n"/>
    </row>
    <row r="2019" ht="16" customHeight="1">
      <c r="A2019" s="98" t="n">
        <v>38069</v>
      </c>
      <c r="B2019" s="98" t="inlineStr">
        <is>
          <t>TAAKA VODKA 80</t>
        </is>
      </c>
      <c r="C2019" s="97">
        <f>VLOOKUP(A2019,SizeData!A$2:B$3839,2,FALSE)</f>
        <v/>
      </c>
      <c r="D2019" s="98" t="n">
        <v>1</v>
      </c>
      <c r="E2019" s="98" t="inlineStr">
        <is>
          <t>R1927342</t>
        </is>
      </c>
      <c r="F2019" s="99" t="n">
        <v>44930</v>
      </c>
      <c r="G2019" s="100" t="n"/>
    </row>
    <row r="2020" ht="16" customHeight="1">
      <c r="A2020" s="98" t="n">
        <v>38069</v>
      </c>
      <c r="B2020" s="98" t="inlineStr">
        <is>
          <t>TAAKA VODKA 80</t>
        </is>
      </c>
      <c r="C2020" s="97">
        <f>VLOOKUP(A2020,SizeData!A$2:B$3839,2,FALSE)</f>
        <v/>
      </c>
      <c r="D2020" s="98" t="n">
        <v>50</v>
      </c>
      <c r="E2020" s="98" t="inlineStr">
        <is>
          <t>R1941003</t>
        </is>
      </c>
      <c r="F2020" s="99" t="n">
        <v>44931</v>
      </c>
      <c r="G2020" s="100" t="n"/>
    </row>
    <row r="2021" ht="16" customHeight="1">
      <c r="A2021" s="98" t="n">
        <v>38069</v>
      </c>
      <c r="B2021" s="98" t="inlineStr">
        <is>
          <t>TAAKA VODKA 80</t>
        </is>
      </c>
      <c r="C2021" s="97">
        <f>VLOOKUP(A2021,SizeData!A$2:B$3839,2,FALSE)</f>
        <v/>
      </c>
      <c r="D2021" s="98" t="n">
        <v>70</v>
      </c>
      <c r="E2021" s="98" t="inlineStr">
        <is>
          <t>R1940516</t>
        </is>
      </c>
      <c r="F2021" s="99" t="n">
        <v>44932</v>
      </c>
      <c r="G2021" s="100" t="n"/>
    </row>
    <row r="2022" ht="16" customHeight="1">
      <c r="A2022" s="98" t="n">
        <v>38069</v>
      </c>
      <c r="B2022" s="98" t="inlineStr">
        <is>
          <t>TAAKA VODKA 80</t>
        </is>
      </c>
      <c r="C2022" s="97">
        <f>VLOOKUP(A2022,SizeData!A$2:B$3839,2,FALSE)</f>
        <v/>
      </c>
      <c r="D2022" s="98" t="n">
        <v>4</v>
      </c>
      <c r="E2022" s="98" t="inlineStr">
        <is>
          <t>R1929845</t>
        </is>
      </c>
      <c r="F2022" s="99" t="n">
        <v>44939</v>
      </c>
      <c r="G2022" s="100" t="n"/>
    </row>
    <row r="2023" ht="16" customHeight="1">
      <c r="A2023" s="98" t="n">
        <v>38069</v>
      </c>
      <c r="B2023" s="98" t="inlineStr">
        <is>
          <t>TAAKA VODKA 80</t>
        </is>
      </c>
      <c r="C2023" s="97">
        <f>VLOOKUP(A2023,SizeData!A$2:B$3839,2,FALSE)</f>
        <v/>
      </c>
      <c r="D2023" s="98" t="n">
        <v>1</v>
      </c>
      <c r="E2023" s="98" t="inlineStr">
        <is>
          <t>R1938205</t>
        </is>
      </c>
      <c r="F2023" s="99" t="n">
        <v>44939</v>
      </c>
      <c r="G2023" s="100" t="n"/>
    </row>
    <row r="2024" ht="16" customHeight="1">
      <c r="A2024" s="98" t="n">
        <v>38069</v>
      </c>
      <c r="B2024" s="98" t="inlineStr">
        <is>
          <t>TAAKA VODKA 80</t>
        </is>
      </c>
      <c r="C2024" s="97">
        <f>VLOOKUP(A2024,SizeData!A$2:B$3839,2,FALSE)</f>
        <v/>
      </c>
      <c r="D2024" s="98" t="n">
        <v>9</v>
      </c>
      <c r="E2024" s="98" t="inlineStr">
        <is>
          <t>R1939323</t>
        </is>
      </c>
      <c r="F2024" s="99" t="n">
        <v>44944</v>
      </c>
      <c r="G2024" s="100" t="n"/>
    </row>
    <row r="2025" ht="16" customHeight="1">
      <c r="A2025" s="98" t="n">
        <v>38069</v>
      </c>
      <c r="B2025" s="98" t="inlineStr">
        <is>
          <t>TAAKA VODKA 80</t>
        </is>
      </c>
      <c r="C2025" s="97">
        <f>VLOOKUP(A2025,SizeData!A$2:B$3839,2,FALSE)</f>
        <v/>
      </c>
      <c r="D2025" s="98" t="n">
        <v>1</v>
      </c>
      <c r="E2025" s="98" t="inlineStr">
        <is>
          <t>R1948204</t>
        </is>
      </c>
      <c r="F2025" s="99" t="n">
        <v>44945</v>
      </c>
      <c r="G2025" s="100" t="n"/>
    </row>
    <row r="2026" ht="16" customHeight="1">
      <c r="A2026" s="98" t="n">
        <v>38063</v>
      </c>
      <c r="B2026" s="98" t="inlineStr">
        <is>
          <t>TAAKA VODKA 80</t>
        </is>
      </c>
      <c r="C2026" s="97">
        <f>VLOOKUP(A2026,SizeData!A$2:B$3839,2,FALSE)</f>
        <v/>
      </c>
      <c r="D2026" s="98" t="n">
        <v>10</v>
      </c>
      <c r="E2026" s="98" t="inlineStr">
        <is>
          <t>R1966128</t>
        </is>
      </c>
      <c r="F2026" s="99" t="n">
        <v>44956</v>
      </c>
      <c r="G2026" s="100" t="n"/>
    </row>
    <row r="2027" ht="16" customHeight="1">
      <c r="A2027" s="98" t="n">
        <v>38067</v>
      </c>
      <c r="B2027" s="98" t="inlineStr">
        <is>
          <t>TAAKA VODKA 80</t>
        </is>
      </c>
      <c r="C2027" s="97">
        <f>VLOOKUP(A2027,SizeData!A$2:B$3839,2,FALSE)</f>
        <v/>
      </c>
      <c r="D2027" s="98" t="n">
        <v>4</v>
      </c>
      <c r="E2027" s="98" t="inlineStr">
        <is>
          <t>R2030013</t>
        </is>
      </c>
      <c r="F2027" s="99" t="n">
        <v>44985</v>
      </c>
      <c r="G2027" s="100" t="n"/>
    </row>
    <row r="2028" ht="16" customHeight="1">
      <c r="A2028" s="101" t="n">
        <v>38064</v>
      </c>
      <c r="B2028" s="101" t="inlineStr">
        <is>
          <t>TAAKA VODKA 80</t>
        </is>
      </c>
      <c r="C2028" s="102">
        <f>VLOOKUP(A2028,SizeData!A$2:B$3839,2,FALSE)</f>
        <v/>
      </c>
      <c r="D2028" s="101" t="n">
        <v>4</v>
      </c>
      <c r="E2028" s="101" t="inlineStr">
        <is>
          <t>R2006224</t>
        </is>
      </c>
      <c r="F2028" s="103" t="n">
        <v>44986</v>
      </c>
      <c r="G2028" s="104" t="n"/>
    </row>
    <row r="2029" ht="16" customHeight="1">
      <c r="A2029" s="98" t="n">
        <v>38061</v>
      </c>
      <c r="B2029" s="98" t="inlineStr">
        <is>
          <t>TAAKA VODKA 80</t>
        </is>
      </c>
      <c r="C2029" s="97">
        <f>VLOOKUP(A2029,SizeData!A$2:B$3839,2,FALSE)</f>
        <v/>
      </c>
      <c r="D2029" s="98" t="n">
        <v>2</v>
      </c>
      <c r="E2029" s="98" t="inlineStr">
        <is>
          <t>R1998360</t>
        </is>
      </c>
      <c r="F2029" s="99" t="n">
        <v>44989</v>
      </c>
      <c r="G2029" s="100" t="n"/>
    </row>
    <row r="2030" ht="16" customHeight="1">
      <c r="A2030" s="98" t="n">
        <v>38063</v>
      </c>
      <c r="B2030" s="98" t="inlineStr">
        <is>
          <t>TAAKA VODKA 80</t>
        </is>
      </c>
      <c r="C2030" s="97">
        <f>VLOOKUP(A2030,SizeData!A$2:B$3839,2,FALSE)</f>
        <v/>
      </c>
      <c r="D2030" s="98" t="n">
        <v>10</v>
      </c>
      <c r="E2030" s="98" t="inlineStr">
        <is>
          <t>R2006985</t>
        </is>
      </c>
      <c r="F2030" s="99" t="n">
        <v>44991</v>
      </c>
      <c r="G2030" s="100" t="n"/>
    </row>
    <row r="2031" ht="16" customHeight="1">
      <c r="A2031" s="101" t="n">
        <v>38064</v>
      </c>
      <c r="B2031" s="101" t="inlineStr">
        <is>
          <t>TAAKA VODKA 80</t>
        </is>
      </c>
      <c r="C2031" s="102">
        <f>VLOOKUP(A2031,SizeData!A$2:B$3839,2,FALSE)</f>
        <v/>
      </c>
      <c r="D2031" s="101" t="n">
        <v>2</v>
      </c>
      <c r="E2031" s="101" t="inlineStr">
        <is>
          <t>R2002973</t>
        </is>
      </c>
      <c r="F2031" s="103" t="n">
        <v>44992</v>
      </c>
      <c r="G2031" s="104" t="n"/>
    </row>
    <row r="2032" ht="16" customHeight="1">
      <c r="A2032" s="98" t="n">
        <v>38063</v>
      </c>
      <c r="B2032" s="98" t="inlineStr">
        <is>
          <t>TAAKA VODKA 80</t>
        </is>
      </c>
      <c r="C2032" s="97">
        <f>VLOOKUP(A2032,SizeData!A$2:B$3839,2,FALSE)</f>
        <v/>
      </c>
      <c r="D2032" s="98" t="n">
        <v>7</v>
      </c>
      <c r="E2032" s="98" t="inlineStr">
        <is>
          <t>R2010982</t>
        </is>
      </c>
      <c r="F2032" s="99" t="n">
        <v>44995</v>
      </c>
      <c r="G2032" s="100" t="n"/>
    </row>
    <row r="2033" ht="16" customHeight="1">
      <c r="A2033" s="98" t="n">
        <v>38064</v>
      </c>
      <c r="B2033" s="98" t="inlineStr">
        <is>
          <t>TAAKA VODKA 80</t>
        </is>
      </c>
      <c r="C2033" s="97">
        <f>VLOOKUP(A2033,SizeData!A$2:B$3839,2,FALSE)</f>
        <v/>
      </c>
      <c r="D2033" s="98" t="n">
        <v>2</v>
      </c>
      <c r="E2033" s="98" t="inlineStr">
        <is>
          <t>R2013233</t>
        </is>
      </c>
      <c r="F2033" s="99" t="n">
        <v>44995</v>
      </c>
      <c r="G2033" s="100" t="n"/>
    </row>
    <row r="2034" ht="16" customHeight="1">
      <c r="A2034" s="98" t="n">
        <v>38064</v>
      </c>
      <c r="B2034" s="98" t="inlineStr">
        <is>
          <t>TAAKA VODKA 80</t>
        </is>
      </c>
      <c r="C2034" s="97">
        <f>VLOOKUP(A2034,SizeData!A$2:B$3839,2,FALSE)</f>
        <v/>
      </c>
      <c r="D2034" s="98" t="n">
        <v>2</v>
      </c>
      <c r="E2034" s="98" t="inlineStr">
        <is>
          <t>R2020651</t>
        </is>
      </c>
      <c r="F2034" s="99" t="n">
        <v>45000</v>
      </c>
      <c r="G2034" s="100" t="n"/>
    </row>
    <row r="2035" ht="16" customHeight="1">
      <c r="A2035" s="98" t="n">
        <v>38069</v>
      </c>
      <c r="B2035" s="98" t="inlineStr">
        <is>
          <t>TAAKA VODKA 80</t>
        </is>
      </c>
      <c r="C2035" s="97">
        <f>VLOOKUP(A2035,SizeData!A$2:B$3839,2,FALSE)</f>
        <v/>
      </c>
      <c r="D2035" s="98" t="n">
        <v>50</v>
      </c>
      <c r="E2035" s="98" t="inlineStr">
        <is>
          <t>R2050926</t>
        </is>
      </c>
      <c r="F2035" s="99" t="n">
        <v>45020</v>
      </c>
      <c r="G2035" s="100" t="n"/>
    </row>
    <row r="2036" ht="16" customHeight="1">
      <c r="A2036" s="98" t="n">
        <v>38069</v>
      </c>
      <c r="B2036" s="98" t="inlineStr">
        <is>
          <t>TAAKA VODKA 80</t>
        </is>
      </c>
      <c r="C2036" s="97">
        <f>VLOOKUP(A2036,SizeData!A$2:B$3839,2,FALSE)</f>
        <v/>
      </c>
      <c r="D2036" s="98" t="n">
        <v>50</v>
      </c>
      <c r="E2036" s="98" t="inlineStr">
        <is>
          <t>R2043695</t>
        </is>
      </c>
      <c r="F2036" s="99" t="n">
        <v>45022</v>
      </c>
      <c r="G2036" s="100" t="n"/>
      <c r="H2036" s="28" t="n"/>
      <c r="I2036" s="28" t="n"/>
      <c r="J2036" s="28" t="n"/>
      <c r="K2036" s="28" t="n"/>
      <c r="L2036" s="28" t="n"/>
      <c r="M2036" s="28" t="n"/>
      <c r="N2036" s="28" t="n"/>
      <c r="O2036" s="28" t="n"/>
      <c r="P2036" s="28" t="n"/>
    </row>
    <row r="2037" ht="16" customHeight="1">
      <c r="A2037" s="98" t="n">
        <v>38063</v>
      </c>
      <c r="B2037" s="98" t="inlineStr">
        <is>
          <t>TAAKA VODKA 80</t>
        </is>
      </c>
      <c r="C2037" s="97">
        <f>VLOOKUP(A2037,SizeData!A$2:B$3839,2,FALSE)</f>
        <v/>
      </c>
      <c r="D2037" s="98" t="n">
        <v>8</v>
      </c>
      <c r="E2037" s="98" t="inlineStr">
        <is>
          <t>R2046141</t>
        </is>
      </c>
      <c r="F2037" s="99" t="n">
        <v>45016</v>
      </c>
      <c r="G2037" s="100" t="n"/>
      <c r="H2037" s="28" t="n"/>
      <c r="I2037" s="28" t="n"/>
      <c r="J2037" s="28" t="n"/>
      <c r="K2037" s="28" t="n"/>
      <c r="L2037" s="28" t="n"/>
      <c r="M2037" s="28" t="n"/>
      <c r="N2037" s="28" t="n"/>
      <c r="O2037" s="28" t="n"/>
      <c r="P2037" s="28" t="n"/>
    </row>
    <row r="2038" ht="16" customHeight="1">
      <c r="A2038" s="98" t="n">
        <v>38069</v>
      </c>
      <c r="B2038" s="98" t="inlineStr">
        <is>
          <t>TAAKA VODKA 80</t>
        </is>
      </c>
      <c r="C2038" s="97">
        <f>VLOOKUP(A2038,SizeData!A$2:B$3839,2,FALSE)</f>
        <v/>
      </c>
      <c r="D2038" s="98" t="n">
        <v>7</v>
      </c>
      <c r="E2038" s="98" t="inlineStr">
        <is>
          <t>R2049295</t>
        </is>
      </c>
      <c r="F2038" s="99" t="n">
        <v>45023</v>
      </c>
      <c r="G2038" s="100" t="n"/>
      <c r="H2038" s="28" t="n"/>
      <c r="I2038" s="28" t="n"/>
      <c r="J2038" s="28" t="n"/>
      <c r="K2038" s="28" t="n"/>
      <c r="L2038" s="28" t="n"/>
      <c r="M2038" s="28" t="n"/>
      <c r="N2038" s="28" t="n"/>
      <c r="O2038" s="28" t="n"/>
      <c r="P2038" s="28" t="n"/>
    </row>
    <row r="2039" ht="16" customHeight="1">
      <c r="A2039" s="98" t="n">
        <v>38069</v>
      </c>
      <c r="B2039" s="98" t="inlineStr">
        <is>
          <t>TAAKA VODKA 80</t>
        </is>
      </c>
      <c r="C2039" s="97">
        <f>VLOOKUP(A2039,SizeData!A$2:B$3839,2,FALSE)</f>
        <v/>
      </c>
      <c r="D2039" s="98" t="n">
        <v>4</v>
      </c>
      <c r="E2039" s="98" t="inlineStr">
        <is>
          <t>R2056924</t>
        </is>
      </c>
      <c r="F2039" s="99" t="n">
        <v>45023</v>
      </c>
      <c r="G2039" s="100" t="n"/>
      <c r="H2039" s="28" t="n"/>
      <c r="I2039" s="28" t="n"/>
      <c r="J2039" s="28" t="n"/>
      <c r="K2039" s="28" t="n"/>
      <c r="L2039" s="28" t="n"/>
      <c r="M2039" s="28" t="n"/>
      <c r="N2039" s="28" t="n"/>
      <c r="O2039" s="28" t="n"/>
      <c r="P2039" s="28" t="n"/>
    </row>
    <row r="2040" ht="16" customHeight="1">
      <c r="A2040" s="101" t="n">
        <v>38069</v>
      </c>
      <c r="B2040" s="101" t="inlineStr">
        <is>
          <t>TAAKA VODKA 80</t>
        </is>
      </c>
      <c r="C2040" s="102">
        <f>VLOOKUP(A2040,SizeData!A$2:B$3839,2,FALSE)</f>
        <v/>
      </c>
      <c r="D2040" s="101" t="n">
        <v>1</v>
      </c>
      <c r="E2040" s="101" t="inlineStr">
        <is>
          <t>R2056924</t>
        </is>
      </c>
      <c r="F2040" s="103" t="n">
        <v>45023</v>
      </c>
      <c r="G2040" s="104" t="n"/>
    </row>
    <row r="2041" ht="16" customHeight="1">
      <c r="A2041" s="98" t="n">
        <v>38069</v>
      </c>
      <c r="B2041" s="98" t="inlineStr">
        <is>
          <t>TAAKA VODKA 80</t>
        </is>
      </c>
      <c r="C2041" s="97">
        <f>VLOOKUP(A2041,SizeData!A$2:B$3839,2,FALSE)</f>
        <v/>
      </c>
      <c r="D2041" s="98" t="n">
        <v>5</v>
      </c>
      <c r="E2041" s="98" t="inlineStr">
        <is>
          <t>R2051950</t>
        </is>
      </c>
      <c r="F2041" s="99" t="n">
        <v>45027</v>
      </c>
      <c r="G2041" s="100" t="n"/>
    </row>
    <row r="2042" ht="16" customHeight="1">
      <c r="A2042" s="98" t="n">
        <v>38069</v>
      </c>
      <c r="B2042" s="98" t="inlineStr">
        <is>
          <t>TAAKA VODKA 80</t>
        </is>
      </c>
      <c r="C2042" s="97">
        <f>VLOOKUP(A2042,SizeData!A$2:B$3839,2,FALSE)</f>
        <v/>
      </c>
      <c r="D2042" s="98" t="n">
        <v>70</v>
      </c>
      <c r="E2042" s="98" t="inlineStr">
        <is>
          <t>R2086207</t>
        </is>
      </c>
      <c r="F2042" s="99" t="n">
        <v>45046</v>
      </c>
      <c r="G2042" s="100" t="n"/>
    </row>
    <row r="2043" ht="16" customHeight="1">
      <c r="A2043" s="98" t="n">
        <v>38064</v>
      </c>
      <c r="B2043" s="98" t="inlineStr">
        <is>
          <t>TAAKA VODKA 80</t>
        </is>
      </c>
      <c r="C2043" s="97">
        <f>VLOOKUP(A2043,SizeData!A$2:B$3839,2,FALSE)</f>
        <v/>
      </c>
      <c r="D2043" s="98" t="n">
        <v>5</v>
      </c>
      <c r="E2043" s="98" t="inlineStr">
        <is>
          <t>R2070652</t>
        </is>
      </c>
      <c r="F2043" s="99" t="n">
        <v>45028</v>
      </c>
      <c r="G2043" s="100" t="n"/>
    </row>
    <row r="2044" ht="16" customHeight="1">
      <c r="A2044" s="98" t="n">
        <v>38069</v>
      </c>
      <c r="B2044" s="98" t="inlineStr">
        <is>
          <t>TAAKA VODKA 80</t>
        </is>
      </c>
      <c r="C2044" s="97">
        <f>VLOOKUP(A2044,SizeData!A$2:B$3839,2,FALSE)</f>
        <v/>
      </c>
      <c r="D2044" s="98" t="n">
        <v>1</v>
      </c>
      <c r="E2044" s="98" t="inlineStr">
        <is>
          <t>R2057184</t>
        </is>
      </c>
      <c r="F2044" s="99" t="n">
        <v>45034</v>
      </c>
      <c r="G2044" s="100" t="n"/>
    </row>
    <row r="2045" ht="16" customHeight="1">
      <c r="A2045" s="98" t="n">
        <v>38069</v>
      </c>
      <c r="B2045" s="98" t="inlineStr">
        <is>
          <t>TAAKA VODKA 80</t>
        </is>
      </c>
      <c r="C2045" s="97">
        <f>VLOOKUP(A2045,SizeData!A$2:B$3839,2,FALSE)</f>
        <v/>
      </c>
      <c r="D2045" s="98" t="n">
        <v>5</v>
      </c>
      <c r="E2045" s="98" t="inlineStr">
        <is>
          <t>R2071539</t>
        </is>
      </c>
      <c r="F2045" s="99" t="n">
        <v>45034</v>
      </c>
      <c r="G2045" s="100" t="n"/>
    </row>
    <row r="2046" ht="16" customHeight="1">
      <c r="A2046" s="98" t="n">
        <v>38069</v>
      </c>
      <c r="B2046" s="98" t="inlineStr">
        <is>
          <t>TAAKA VODKA 80</t>
        </is>
      </c>
      <c r="C2046" s="97">
        <f>VLOOKUP(A2046,SizeData!A$2:B$3839,2,FALSE)</f>
        <v/>
      </c>
      <c r="D2046" s="98" t="n">
        <v>70</v>
      </c>
      <c r="E2046" s="98" t="inlineStr">
        <is>
          <t>R2086207</t>
        </is>
      </c>
      <c r="F2046" s="99" t="n">
        <v>45046</v>
      </c>
      <c r="G2046" s="100" t="n"/>
    </row>
    <row r="2047" ht="16" customHeight="1">
      <c r="A2047" s="98" t="n">
        <v>38064</v>
      </c>
      <c r="B2047" s="98" t="inlineStr">
        <is>
          <t>TAAKA VODKA 80</t>
        </is>
      </c>
      <c r="C2047" s="97">
        <f>VLOOKUP(A2047,SizeData!A$2:B$3839,2,FALSE)</f>
        <v/>
      </c>
      <c r="D2047" s="98" t="n">
        <v>10</v>
      </c>
      <c r="E2047" s="98" t="inlineStr">
        <is>
          <t>R2075267</t>
        </is>
      </c>
      <c r="F2047" s="99" t="n">
        <v>45043</v>
      </c>
      <c r="G2047" s="100" t="n"/>
    </row>
    <row r="2048" ht="16" customHeight="1">
      <c r="A2048" s="98" t="n">
        <v>38069</v>
      </c>
      <c r="B2048" s="98" t="inlineStr">
        <is>
          <t>TAAKA VODKA 80</t>
        </is>
      </c>
      <c r="C2048" s="97">
        <f>VLOOKUP(A2048,SizeData!A$2:B$3839,2,FALSE)</f>
        <v/>
      </c>
      <c r="D2048" s="98" t="n">
        <v>4</v>
      </c>
      <c r="E2048" s="98" t="inlineStr">
        <is>
          <t>R2082179</t>
        </is>
      </c>
      <c r="F2048" s="99" t="n">
        <v>45044</v>
      </c>
      <c r="G2048" s="100" t="n"/>
    </row>
    <row r="2049" ht="16" customHeight="1">
      <c r="A2049" s="98" t="n">
        <v>38063</v>
      </c>
      <c r="B2049" s="98" t="inlineStr">
        <is>
          <t>TAAKA VODKA 80</t>
        </is>
      </c>
      <c r="C2049" s="97">
        <f>VLOOKUP(A2049,SizeData!A$2:B$3839,2,FALSE)</f>
        <v/>
      </c>
      <c r="D2049" s="98" t="n">
        <v>10</v>
      </c>
      <c r="E2049" s="98" t="inlineStr">
        <is>
          <t>R2086903</t>
        </is>
      </c>
      <c r="F2049" s="99" t="n">
        <v>45047</v>
      </c>
      <c r="G2049" s="100" t="n"/>
    </row>
    <row r="2050" ht="16" customHeight="1">
      <c r="A2050" s="98" t="n">
        <v>38076</v>
      </c>
      <c r="B2050" s="98" t="inlineStr">
        <is>
          <t>TAAKA VODKA 80 (PET)</t>
        </is>
      </c>
      <c r="C2050" s="97">
        <f>VLOOKUP(A2050,SizeData!A$2:B$3839,2,FALSE)</f>
        <v/>
      </c>
      <c r="D2050" s="98" t="n">
        <v>20</v>
      </c>
      <c r="E2050" s="98" t="inlineStr">
        <is>
          <t>R1925460</t>
        </is>
      </c>
      <c r="F2050" s="99" t="n">
        <v>44929</v>
      </c>
      <c r="G2050" s="100" t="n"/>
    </row>
    <row r="2051" ht="16" customHeight="1">
      <c r="A2051" s="98" t="n">
        <v>38076</v>
      </c>
      <c r="B2051" s="98" t="inlineStr">
        <is>
          <t>TAAKA VODKA 80 (PET)</t>
        </is>
      </c>
      <c r="C2051" s="97">
        <f>VLOOKUP(A2051,SizeData!A$2:B$3839,2,FALSE)</f>
        <v/>
      </c>
      <c r="D2051" s="98" t="n">
        <v>7</v>
      </c>
      <c r="E2051" s="98" t="inlineStr">
        <is>
          <t>R1939404</t>
        </is>
      </c>
      <c r="F2051" s="99" t="n">
        <v>44942</v>
      </c>
      <c r="G2051" s="100" t="n"/>
    </row>
    <row r="2052" ht="16" customHeight="1">
      <c r="A2052" s="98" t="n">
        <v>38076</v>
      </c>
      <c r="B2052" s="98" t="inlineStr">
        <is>
          <t>TAAKA VODKA 80 (PET)</t>
        </is>
      </c>
      <c r="C2052" s="97">
        <f>VLOOKUP(A2052,SizeData!A$2:B$3839,2,FALSE)</f>
        <v/>
      </c>
      <c r="D2052" s="98" t="n">
        <v>1</v>
      </c>
      <c r="E2052" s="98" t="inlineStr">
        <is>
          <t>R1972222</t>
        </is>
      </c>
      <c r="F2052" s="99" t="n">
        <v>44963</v>
      </c>
      <c r="G2052" s="100" t="n"/>
    </row>
    <row r="2053" ht="16" customHeight="1">
      <c r="A2053" s="98" t="n">
        <v>38076</v>
      </c>
      <c r="B2053" s="98" t="inlineStr">
        <is>
          <t>TAAKA VODKA 80 (PET)</t>
        </is>
      </c>
      <c r="C2053" s="97">
        <f>VLOOKUP(A2053,SizeData!A$2:B$3839,2,FALSE)</f>
        <v/>
      </c>
      <c r="D2053" s="98" t="n">
        <v>3</v>
      </c>
      <c r="E2053" s="98" t="inlineStr">
        <is>
          <t>R1968356</t>
        </is>
      </c>
      <c r="F2053" s="99" t="n">
        <v>44966</v>
      </c>
      <c r="G2053" s="100" t="n"/>
    </row>
    <row r="2054" ht="16" customHeight="1">
      <c r="A2054" s="98" t="n">
        <v>38076</v>
      </c>
      <c r="B2054" s="98" t="inlineStr">
        <is>
          <t>TAAKA VODKA 80 (PET)</t>
        </is>
      </c>
      <c r="C2054" s="97">
        <f>VLOOKUP(A2054,SizeData!A$2:B$3839,2,FALSE)</f>
        <v/>
      </c>
      <c r="D2054" s="98" t="n">
        <v>25</v>
      </c>
      <c r="E2054" s="98" t="inlineStr">
        <is>
          <t>R1995805</t>
        </is>
      </c>
      <c r="F2054" s="99" t="n">
        <v>44971</v>
      </c>
      <c r="G2054" s="100" t="n"/>
    </row>
    <row r="2055" ht="16" customHeight="1">
      <c r="A2055" s="98" t="n">
        <v>38068</v>
      </c>
      <c r="B2055" s="98" t="inlineStr">
        <is>
          <t>TAAKA VODKA 80 (PET)</t>
        </is>
      </c>
      <c r="C2055" s="97">
        <f>VLOOKUP(A2055,SizeData!A$2:B$3839,2,FALSE)</f>
        <v/>
      </c>
      <c r="D2055" s="98" t="n">
        <v>15</v>
      </c>
      <c r="E2055" s="98" t="inlineStr">
        <is>
          <t>R2011354</t>
        </is>
      </c>
      <c r="F2055" s="99" t="n">
        <v>44993</v>
      </c>
      <c r="G2055" s="100" t="n"/>
    </row>
    <row r="2056" ht="16" customHeight="1">
      <c r="A2056" s="98" t="n">
        <v>38076</v>
      </c>
      <c r="B2056" s="98" t="inlineStr">
        <is>
          <t>TAAKA VODKA 80 (PET)</t>
        </is>
      </c>
      <c r="C2056" s="97">
        <f>VLOOKUP(A2056,SizeData!A$2:B$3839,2,FALSE)</f>
        <v/>
      </c>
      <c r="D2056" s="98" t="n">
        <v>5</v>
      </c>
      <c r="E2056" s="98" t="inlineStr">
        <is>
          <t>R2022016</t>
        </is>
      </c>
      <c r="F2056" s="99" t="n">
        <v>44998</v>
      </c>
      <c r="G2056" s="100" t="n"/>
    </row>
    <row r="2057" ht="16" customHeight="1">
      <c r="A2057" s="112" t="n">
        <v>38076</v>
      </c>
      <c r="B2057" s="112" t="inlineStr">
        <is>
          <t>TAAKA VODKA 80 (PET)</t>
        </is>
      </c>
      <c r="C2057" s="113">
        <f>VLOOKUP(A2057,SizeData!A$2:B$3839,2,FALSE)</f>
        <v/>
      </c>
      <c r="D2057" s="112" t="n">
        <v>2</v>
      </c>
      <c r="E2057" s="112" t="inlineStr">
        <is>
          <t>R2018869</t>
        </is>
      </c>
      <c r="F2057" s="114" t="n">
        <v>45001</v>
      </c>
      <c r="G2057" s="115" t="n"/>
    </row>
    <row r="2058" ht="16" customHeight="1">
      <c r="A2058" s="98" t="n">
        <v>38076</v>
      </c>
      <c r="B2058" s="98" t="inlineStr">
        <is>
          <t>TAAKA VODKA 80 (PET)</t>
        </is>
      </c>
      <c r="C2058" s="97">
        <f>VLOOKUP(A2058,SizeData!A$2:B$3839,2,FALSE)</f>
        <v/>
      </c>
      <c r="D2058" s="98" t="n">
        <v>10</v>
      </c>
      <c r="E2058" s="98" t="inlineStr">
        <is>
          <t>R2032270</t>
        </is>
      </c>
      <c r="F2058" s="99" t="n">
        <v>45003</v>
      </c>
      <c r="G2058" s="100" t="n"/>
    </row>
    <row r="2059" ht="16" customHeight="1">
      <c r="A2059" s="112" t="n">
        <v>38076</v>
      </c>
      <c r="B2059" s="112" t="inlineStr">
        <is>
          <t>TAAKA VODKA 80 (PET)</t>
        </is>
      </c>
      <c r="C2059" s="113">
        <f>VLOOKUP(A2059,SizeData!A$2:B$3839,2,FALSE)</f>
        <v/>
      </c>
      <c r="D2059" s="112" t="n">
        <v>2</v>
      </c>
      <c r="E2059" s="112" t="inlineStr">
        <is>
          <t>R2036013</t>
        </is>
      </c>
      <c r="F2059" s="114" t="n">
        <v>45005</v>
      </c>
      <c r="G2059" s="115" t="n"/>
    </row>
    <row r="2060" ht="16" customHeight="1">
      <c r="A2060" s="112" t="n">
        <v>38076</v>
      </c>
      <c r="B2060" s="112" t="inlineStr">
        <is>
          <t>TAAKA VODKA 80 (PET)</t>
        </is>
      </c>
      <c r="C2060" s="113">
        <f>VLOOKUP(A2060,SizeData!A$2:B$3839,2,FALSE)</f>
        <v/>
      </c>
      <c r="D2060" s="112" t="n">
        <v>7</v>
      </c>
      <c r="E2060" s="112" t="inlineStr">
        <is>
          <t>R2027562</t>
        </is>
      </c>
      <c r="F2060" s="114" t="n">
        <v>45007</v>
      </c>
      <c r="G2060" s="115" t="n"/>
    </row>
    <row r="2061" ht="16" customHeight="1">
      <c r="A2061" s="121" t="n">
        <v>38076</v>
      </c>
      <c r="B2061" s="121" t="inlineStr">
        <is>
          <t>TAAKA VODKA 80 (PET)</t>
        </is>
      </c>
      <c r="C2061" s="122">
        <f>VLOOKUP(A2061,SizeData!A$2:B$3839,2,FALSE)</f>
        <v/>
      </c>
      <c r="D2061" s="121" t="n">
        <v>1</v>
      </c>
      <c r="E2061" s="121" t="inlineStr">
        <is>
          <t>R2027562</t>
        </is>
      </c>
      <c r="F2061" s="123" t="n">
        <v>45007</v>
      </c>
      <c r="G2061" s="124" t="n"/>
    </row>
    <row r="2062" ht="16" customHeight="1">
      <c r="A2062" s="98" t="n">
        <v>38076</v>
      </c>
      <c r="B2062" s="98" t="inlineStr">
        <is>
          <t>TAAKA VODKA 80 (PET)</t>
        </is>
      </c>
      <c r="C2062" s="97">
        <f>VLOOKUP(A2062,SizeData!A$2:B$3839,2,FALSE)</f>
        <v/>
      </c>
      <c r="D2062" s="98" t="n">
        <v>10</v>
      </c>
      <c r="E2062" s="98" t="inlineStr">
        <is>
          <t>R2044435</t>
        </is>
      </c>
      <c r="F2062" s="99" t="n">
        <v>45020</v>
      </c>
      <c r="G2062" s="100" t="n"/>
    </row>
    <row r="2063" ht="16" customHeight="1">
      <c r="A2063" s="98" t="n">
        <v>38076</v>
      </c>
      <c r="B2063" s="98" t="inlineStr">
        <is>
          <t>TAAKA VODKA 80 (PET)</t>
        </is>
      </c>
      <c r="C2063" s="97">
        <f>VLOOKUP(A2063,SizeData!A$2:B$3839,2,FALSE)</f>
        <v/>
      </c>
      <c r="D2063" s="98" t="n">
        <v>20</v>
      </c>
      <c r="E2063" s="98" t="inlineStr">
        <is>
          <t>R2086744</t>
        </is>
      </c>
      <c r="F2063" s="99" t="n">
        <v>45048</v>
      </c>
      <c r="G2063" s="100" t="n"/>
    </row>
    <row r="2064" ht="16" customHeight="1">
      <c r="A2064" s="98" t="n">
        <v>38076</v>
      </c>
      <c r="B2064" s="98" t="inlineStr">
        <is>
          <t>TAAKA VODKA 80 (PET)</t>
        </is>
      </c>
      <c r="C2064" s="97">
        <f>VLOOKUP(A2064,SizeData!A$2:B$3839,2,FALSE)</f>
        <v/>
      </c>
      <c r="D2064" s="98" t="n">
        <v>20</v>
      </c>
      <c r="E2064" s="98" t="inlineStr">
        <is>
          <t>R2086744</t>
        </is>
      </c>
      <c r="F2064" s="99" t="n">
        <v>45048</v>
      </c>
      <c r="G2064" s="100" t="n"/>
    </row>
    <row r="2065" ht="16" customHeight="1">
      <c r="A2065" s="98" t="n">
        <v>38076</v>
      </c>
      <c r="B2065" s="98" t="inlineStr">
        <is>
          <t>TAAKA VODKA 80 (PET)</t>
        </is>
      </c>
      <c r="C2065" s="97">
        <f>VLOOKUP(A2065,SizeData!A$2:B$3839,2,FALSE)</f>
        <v/>
      </c>
      <c r="D2065" s="98" t="n">
        <v>5</v>
      </c>
      <c r="E2065" s="98" t="inlineStr">
        <is>
          <t>R2072041</t>
        </is>
      </c>
      <c r="F2065" s="99" t="n">
        <v>45038</v>
      </c>
      <c r="G2065" s="100" t="n"/>
    </row>
    <row r="2066" ht="16" customHeight="1">
      <c r="A2066" s="98" t="n">
        <v>38076</v>
      </c>
      <c r="B2066" s="98" t="inlineStr">
        <is>
          <t>TAAKA VODKA 80 (PET)</t>
        </is>
      </c>
      <c r="C2066" s="97">
        <f>VLOOKUP(A2066,SizeData!A$2:B$3839,2,FALSE)</f>
        <v/>
      </c>
      <c r="D2066" s="98" t="n">
        <v>1</v>
      </c>
      <c r="E2066" s="98" t="inlineStr">
        <is>
          <t>R2087114</t>
        </is>
      </c>
      <c r="F2066" s="99" t="n">
        <v>45047</v>
      </c>
      <c r="G2066" s="100" t="n"/>
    </row>
    <row r="2067" ht="16" customHeight="1">
      <c r="A2067" s="98" t="n">
        <v>790900</v>
      </c>
      <c r="B2067" s="98" t="inlineStr">
        <is>
          <t>TAKARA PLUM</t>
        </is>
      </c>
      <c r="C2067" s="97">
        <f>VLOOKUP(A2067,SizeData!A$2:B$3839,2,FALSE)</f>
        <v/>
      </c>
      <c r="D2067" s="98" t="n">
        <v>1</v>
      </c>
      <c r="E2067" s="98" t="inlineStr">
        <is>
          <t>R2006224</t>
        </is>
      </c>
      <c r="F2067" s="99" t="n">
        <v>44986</v>
      </c>
      <c r="G2067" s="100" t="n"/>
    </row>
    <row r="2068" ht="16" customHeight="1">
      <c r="A2068" s="98" t="n">
        <v>28864</v>
      </c>
      <c r="B2068" s="98" t="inlineStr">
        <is>
          <t>TANQUERAY GIN</t>
        </is>
      </c>
      <c r="C2068" s="97">
        <f>VLOOKUP(A2068,SizeData!A$2:B$3839,2,FALSE)</f>
        <v/>
      </c>
      <c r="D2068" s="98" t="n">
        <v>10</v>
      </c>
      <c r="E2068" s="98" t="inlineStr">
        <is>
          <t>R1929541</t>
        </is>
      </c>
      <c r="F2068" s="99" t="n">
        <v>44938</v>
      </c>
      <c r="G2068" s="100" t="n"/>
    </row>
    <row r="2069" ht="16" customHeight="1">
      <c r="A2069" s="98" t="n">
        <v>28863</v>
      </c>
      <c r="B2069" s="98" t="inlineStr">
        <is>
          <t>TANQUERAY GIN</t>
        </is>
      </c>
      <c r="C2069" s="97">
        <f>VLOOKUP(A2069,SizeData!A$2:B$3839,2,FALSE)</f>
        <v/>
      </c>
      <c r="D2069" s="98" t="n">
        <v>1</v>
      </c>
      <c r="E2069" s="98" t="inlineStr">
        <is>
          <t>R1939205</t>
        </is>
      </c>
      <c r="F2069" s="99" t="n">
        <v>44940</v>
      </c>
      <c r="G2069" s="100" t="n"/>
    </row>
    <row r="2070" ht="16" customHeight="1">
      <c r="A2070" s="98" t="n">
        <v>28868</v>
      </c>
      <c r="B2070" s="98" t="inlineStr">
        <is>
          <t>TANQUERAY GIN</t>
        </is>
      </c>
      <c r="C2070" s="97">
        <f>VLOOKUP(A2070,SizeData!A$2:B$3839,2,FALSE)</f>
        <v/>
      </c>
      <c r="D2070" s="98" t="n">
        <v>1</v>
      </c>
      <c r="E2070" s="98" t="inlineStr">
        <is>
          <t>R1949716</t>
        </is>
      </c>
      <c r="F2070" s="99" t="n">
        <v>44950</v>
      </c>
      <c r="G2070" s="100" t="n"/>
    </row>
    <row r="2071" ht="16" customHeight="1">
      <c r="A2071" s="98" t="n">
        <v>28868</v>
      </c>
      <c r="B2071" s="98" t="inlineStr">
        <is>
          <t>TANQUERAY GIN</t>
        </is>
      </c>
      <c r="C2071" s="97">
        <f>VLOOKUP(A2071,SizeData!A$2:B$3839,2,FALSE)</f>
        <v/>
      </c>
      <c r="D2071" s="98" t="n">
        <v>1</v>
      </c>
      <c r="E2071" s="98" t="inlineStr">
        <is>
          <t>R1992599</t>
        </is>
      </c>
      <c r="F2071" s="99" t="n">
        <v>44989</v>
      </c>
      <c r="G2071" s="100" t="n"/>
    </row>
    <row r="2072" ht="16" customHeight="1">
      <c r="A2072" s="98" t="n">
        <v>28866</v>
      </c>
      <c r="B2072" s="98" t="inlineStr">
        <is>
          <t>TANQUERAY GIN</t>
        </is>
      </c>
      <c r="C2072" s="97">
        <f>VLOOKUP(A2072,SizeData!A$2:B$3839,2,FALSE)</f>
        <v/>
      </c>
      <c r="D2072" s="98" t="n">
        <v>3</v>
      </c>
      <c r="E2072" s="98" t="inlineStr">
        <is>
          <t>R2049507</t>
        </is>
      </c>
      <c r="F2072" s="99" t="n">
        <v>45019</v>
      </c>
      <c r="G2072" s="100" t="n"/>
    </row>
    <row r="2073" ht="16" customHeight="1">
      <c r="A2073" s="101" t="n">
        <v>28890</v>
      </c>
      <c r="B2073" s="101" t="inlineStr">
        <is>
          <t>TANQUERAY RANGPUR DISTILLED GIN</t>
        </is>
      </c>
      <c r="C2073" s="102">
        <f>VLOOKUP(A2073,SizeData!A$2:B$3839,2,FALSE)</f>
        <v/>
      </c>
      <c r="D2073" s="101" t="n">
        <v>1</v>
      </c>
      <c r="E2073" s="101" t="inlineStr">
        <is>
          <t>R2055049</t>
        </is>
      </c>
      <c r="F2073" s="103" t="n">
        <v>45017</v>
      </c>
      <c r="G2073" s="104" t="n"/>
    </row>
    <row r="2074" ht="16" customHeight="1">
      <c r="A2074" s="98" t="n">
        <v>28890</v>
      </c>
      <c r="B2074" s="98" t="inlineStr">
        <is>
          <t>TANQUERAY RANGPUR DISTILLED GIN</t>
        </is>
      </c>
      <c r="C2074" s="97">
        <f>VLOOKUP(A2074,SizeData!A$2:B$3839,2,FALSE)</f>
        <v/>
      </c>
      <c r="D2074" s="98" t="n">
        <v>1</v>
      </c>
      <c r="E2074" s="98" t="inlineStr">
        <is>
          <t>R2073309</t>
        </is>
      </c>
      <c r="F2074" s="99" t="n">
        <v>45038</v>
      </c>
      <c r="G2074" s="100" t="n"/>
    </row>
    <row r="2075" ht="16" customHeight="1">
      <c r="A2075" s="98" t="n">
        <v>95486</v>
      </c>
      <c r="B2075" s="98" t="inlineStr">
        <is>
          <t>TAYLOR N Y CREAM SHERRY</t>
        </is>
      </c>
      <c r="C2075" s="97">
        <f>VLOOKUP(A2075,SizeData!A$2:B$3839,2,FALSE)</f>
        <v/>
      </c>
      <c r="D2075" s="98" t="n">
        <v>1</v>
      </c>
      <c r="E2075" s="98" t="inlineStr">
        <is>
          <t>R1919341</t>
        </is>
      </c>
      <c r="F2075" s="99" t="n">
        <v>44930</v>
      </c>
      <c r="G2075" s="100" t="n"/>
    </row>
    <row r="2076" ht="16" customHeight="1">
      <c r="A2076" s="98" t="n">
        <v>95916</v>
      </c>
      <c r="B2076" s="98" t="inlineStr">
        <is>
          <t>TAYLOR N Y DRY SHERRY</t>
        </is>
      </c>
      <c r="C2076" s="97">
        <f>VLOOKUP(A2076,SizeData!A$2:B$3839,2,FALSE)</f>
        <v/>
      </c>
      <c r="D2076" s="98" t="n">
        <v>2</v>
      </c>
      <c r="E2076" s="98" t="inlineStr">
        <is>
          <t>R1919341</t>
        </is>
      </c>
      <c r="F2076" s="99" t="n">
        <v>44930</v>
      </c>
      <c r="G2076" s="100" t="n"/>
    </row>
    <row r="2077" ht="16" customHeight="1">
      <c r="A2077" s="98" t="n">
        <v>93564</v>
      </c>
      <c r="B2077" s="98" t="inlineStr">
        <is>
          <t>TAYLOR N Y PORT</t>
        </is>
      </c>
      <c r="C2077" s="97">
        <f>VLOOKUP(A2077,SizeData!A$2:B$3839,2,FALSE)</f>
        <v/>
      </c>
      <c r="D2077" s="98" t="n">
        <v>9</v>
      </c>
      <c r="E2077" s="98" t="inlineStr">
        <is>
          <t>R1942167</t>
        </is>
      </c>
      <c r="F2077" s="99" t="n">
        <v>44944</v>
      </c>
      <c r="G2077" s="100" t="n"/>
    </row>
    <row r="2078" ht="16" customHeight="1">
      <c r="A2078" s="98" t="n">
        <v>93564</v>
      </c>
      <c r="B2078" s="98" t="inlineStr">
        <is>
          <t>TAYLOR N Y PORT</t>
        </is>
      </c>
      <c r="C2078" s="97">
        <f>VLOOKUP(A2078,SizeData!A$2:B$3839,2,FALSE)</f>
        <v/>
      </c>
      <c r="D2078" s="98" t="n">
        <v>1</v>
      </c>
      <c r="E2078" s="98" t="inlineStr">
        <is>
          <t>R1947039</t>
        </is>
      </c>
      <c r="F2078" s="99" t="n">
        <v>44944</v>
      </c>
      <c r="G2078" s="100" t="n"/>
    </row>
    <row r="2079" ht="16" customHeight="1">
      <c r="A2079" s="98" t="n">
        <v>93566</v>
      </c>
      <c r="B2079" s="98" t="inlineStr">
        <is>
          <t>TAYLOR N Y PORT</t>
        </is>
      </c>
      <c r="C2079" s="97">
        <f>VLOOKUP(A2079,SizeData!A$2:B$3839,2,FALSE)</f>
        <v/>
      </c>
      <c r="D2079" s="98" t="n">
        <v>1</v>
      </c>
      <c r="E2079" s="98" t="inlineStr">
        <is>
          <t>R1960024</t>
        </is>
      </c>
      <c r="F2079" s="99" t="n">
        <v>44950</v>
      </c>
      <c r="G2079" s="100" t="n"/>
    </row>
    <row r="2080" ht="16" customHeight="1">
      <c r="A2080" s="98" t="n">
        <v>93566</v>
      </c>
      <c r="B2080" s="98" t="inlineStr">
        <is>
          <t>TAYLOR N Y PORT</t>
        </is>
      </c>
      <c r="C2080" s="97">
        <f>VLOOKUP(A2080,SizeData!A$2:B$3839,2,FALSE)</f>
        <v/>
      </c>
      <c r="D2080" s="98" t="n">
        <v>4</v>
      </c>
      <c r="E2080" s="98" t="inlineStr">
        <is>
          <t>R1965129</t>
        </is>
      </c>
      <c r="F2080" s="99" t="n">
        <v>44950</v>
      </c>
      <c r="G2080" s="100" t="n"/>
    </row>
    <row r="2081" ht="16" customHeight="1">
      <c r="A2081" s="98" t="n">
        <v>93566</v>
      </c>
      <c r="B2081" s="98" t="inlineStr">
        <is>
          <t>TAYLOR PORT</t>
        </is>
      </c>
      <c r="C2081" s="97">
        <f>VLOOKUP(A2081,SizeData!A$2:B$3839,2,FALSE)</f>
        <v/>
      </c>
      <c r="D2081" s="98" t="n">
        <v>20</v>
      </c>
      <c r="E2081" s="98" t="inlineStr">
        <is>
          <t>R1984317</t>
        </is>
      </c>
      <c r="F2081" s="99" t="n">
        <v>44974</v>
      </c>
      <c r="G2081" s="100" t="n"/>
    </row>
    <row r="2082" ht="16" customHeight="1">
      <c r="A2082" s="98" t="n">
        <v>93564</v>
      </c>
      <c r="B2082" s="98" t="inlineStr">
        <is>
          <t>TAYLOR PORT</t>
        </is>
      </c>
      <c r="C2082" s="97">
        <f>VLOOKUP(A2082,SizeData!A$2:B$3839,2,FALSE)</f>
        <v/>
      </c>
      <c r="D2082" s="98" t="n">
        <v>15</v>
      </c>
      <c r="E2082" s="98" t="inlineStr">
        <is>
          <t>R1984317</t>
        </is>
      </c>
      <c r="F2082" s="99" t="n">
        <v>44974</v>
      </c>
      <c r="G2082" s="100" t="n"/>
    </row>
    <row r="2083" ht="16" customHeight="1">
      <c r="A2083" s="98" t="n">
        <v>93567</v>
      </c>
      <c r="B2083" s="98" t="inlineStr">
        <is>
          <t>TAYLOR PORT</t>
        </is>
      </c>
      <c r="C2083" s="97">
        <f>VLOOKUP(A2083,SizeData!A$2:B$3839,2,FALSE)</f>
        <v/>
      </c>
      <c r="D2083" s="98" t="n">
        <v>25</v>
      </c>
      <c r="E2083" s="98" t="inlineStr">
        <is>
          <t>R2002904</t>
        </is>
      </c>
      <c r="F2083" s="99" t="n">
        <v>44985</v>
      </c>
      <c r="G2083" s="100" t="n"/>
    </row>
    <row r="2084" ht="16" customHeight="1">
      <c r="A2084" s="98" t="n">
        <v>93566</v>
      </c>
      <c r="B2084" s="98" t="inlineStr">
        <is>
          <t>TAYLOR PORT</t>
        </is>
      </c>
      <c r="C2084" s="97">
        <f>VLOOKUP(A2084,SizeData!A$2:B$3839,2,FALSE)</f>
        <v/>
      </c>
      <c r="D2084" s="98" t="n">
        <v>5</v>
      </c>
      <c r="E2084" s="98" t="inlineStr">
        <is>
          <t>R1996314</t>
        </is>
      </c>
      <c r="F2084" s="99" t="n">
        <v>44979</v>
      </c>
      <c r="G2084" s="100" t="n"/>
    </row>
    <row r="2085" ht="16" customHeight="1">
      <c r="A2085" s="98" t="n">
        <v>93564</v>
      </c>
      <c r="B2085" s="98" t="inlineStr">
        <is>
          <t>TAYLOR PORT</t>
        </is>
      </c>
      <c r="C2085" s="97">
        <f>VLOOKUP(A2085,SizeData!A$2:B$3839,2,FALSE)</f>
        <v/>
      </c>
      <c r="D2085" s="98" t="n">
        <v>2</v>
      </c>
      <c r="E2085" s="98" t="inlineStr">
        <is>
          <t>R1984349</t>
        </is>
      </c>
      <c r="F2085" s="99" t="n">
        <v>44982</v>
      </c>
      <c r="G2085" s="100" t="n"/>
    </row>
    <row r="2086" ht="16" customHeight="1">
      <c r="A2086" s="101" t="n">
        <v>93566</v>
      </c>
      <c r="B2086" s="101" t="inlineStr">
        <is>
          <t>TAYLOR PORT</t>
        </is>
      </c>
      <c r="C2086" s="102">
        <f>VLOOKUP(A2086,SizeData!A$2:B$3839,2,FALSE)</f>
        <v/>
      </c>
      <c r="D2086" s="101" t="n">
        <v>5</v>
      </c>
      <c r="E2086" s="101" t="inlineStr">
        <is>
          <t>R1984349</t>
        </is>
      </c>
      <c r="F2086" s="103" t="n">
        <v>44982</v>
      </c>
      <c r="G2086" s="104" t="n"/>
    </row>
    <row r="2087" ht="16" customHeight="1">
      <c r="A2087" s="98" t="n">
        <v>93566</v>
      </c>
      <c r="B2087" s="98" t="inlineStr">
        <is>
          <t>TAYLOR PORT</t>
        </is>
      </c>
      <c r="C2087" s="97">
        <f>VLOOKUP(A2087,SizeData!A$2:B$3839,2,FALSE)</f>
        <v/>
      </c>
      <c r="D2087" s="98" t="n">
        <v>9</v>
      </c>
      <c r="E2087" s="98" t="inlineStr">
        <is>
          <t>R2001727</t>
        </is>
      </c>
      <c r="F2087" s="99" t="n">
        <v>44985</v>
      </c>
      <c r="G2087" s="100" t="n"/>
    </row>
    <row r="2088" ht="16" customHeight="1">
      <c r="A2088" s="98" t="n">
        <v>93566</v>
      </c>
      <c r="B2088" s="98" t="inlineStr">
        <is>
          <t>TAYLOR PORT</t>
        </is>
      </c>
      <c r="C2088" s="97">
        <f>VLOOKUP(A2088,SizeData!A$2:B$3839,2,FALSE)</f>
        <v/>
      </c>
      <c r="D2088" s="98" t="n">
        <v>10</v>
      </c>
      <c r="E2088" s="98" t="inlineStr">
        <is>
          <t>R2016859</t>
        </is>
      </c>
      <c r="F2088" s="99" t="n">
        <v>44992</v>
      </c>
      <c r="G2088" s="100" t="n"/>
    </row>
    <row r="2089" ht="16" customHeight="1">
      <c r="A2089" s="98" t="n">
        <v>93564</v>
      </c>
      <c r="B2089" s="98" t="inlineStr">
        <is>
          <t>TAYLOR PORT</t>
        </is>
      </c>
      <c r="C2089" s="97">
        <f>VLOOKUP(A2089,SizeData!A$2:B$3839,2,FALSE)</f>
        <v/>
      </c>
      <c r="D2089" s="98" t="n">
        <v>10</v>
      </c>
      <c r="E2089" s="98" t="inlineStr">
        <is>
          <t>R2016867</t>
        </is>
      </c>
      <c r="F2089" s="99" t="n">
        <v>44993</v>
      </c>
      <c r="G2089" s="100" t="n"/>
    </row>
    <row r="2090" ht="16" customHeight="1">
      <c r="A2090" s="98" t="n">
        <v>93564</v>
      </c>
      <c r="B2090" s="98" t="inlineStr">
        <is>
          <t>TAYLOR PORT</t>
        </is>
      </c>
      <c r="C2090" s="97">
        <f>VLOOKUP(A2090,SizeData!A$2:B$3839,2,FALSE)</f>
        <v/>
      </c>
      <c r="D2090" s="98" t="n">
        <v>4</v>
      </c>
      <c r="E2090" s="98" t="inlineStr">
        <is>
          <t>R2002973</t>
        </is>
      </c>
      <c r="F2090" s="99" t="n">
        <v>44992</v>
      </c>
      <c r="G2090" s="100" t="n"/>
    </row>
    <row r="2091" ht="16" customHeight="1">
      <c r="A2091" s="101" t="n">
        <v>93568</v>
      </c>
      <c r="B2091" s="101" t="inlineStr">
        <is>
          <t>TAYLOR PORT</t>
        </is>
      </c>
      <c r="C2091" s="102">
        <f>VLOOKUP(A2091,SizeData!A$2:B$3839,2,FALSE)</f>
        <v/>
      </c>
      <c r="D2091" s="101" t="n">
        <v>5</v>
      </c>
      <c r="E2091" s="101" t="inlineStr">
        <is>
          <t>R2022016</t>
        </is>
      </c>
      <c r="F2091" s="103" t="n">
        <v>44998</v>
      </c>
      <c r="G2091" s="104" t="n"/>
    </row>
    <row r="2092" ht="16" customHeight="1">
      <c r="A2092" s="98" t="n">
        <v>93566</v>
      </c>
      <c r="B2092" s="98" t="inlineStr">
        <is>
          <t>TAYLOR PORT</t>
        </is>
      </c>
      <c r="C2092" s="97">
        <f>VLOOKUP(A2092,SizeData!A$2:B$3839,2,FALSE)</f>
        <v/>
      </c>
      <c r="D2092" s="98" t="n">
        <v>8</v>
      </c>
      <c r="E2092" s="98" t="inlineStr">
        <is>
          <t>R2028966</t>
        </is>
      </c>
      <c r="F2092" s="99" t="n">
        <v>45013</v>
      </c>
      <c r="G2092" s="100" t="n"/>
    </row>
    <row r="2093" ht="16" customHeight="1">
      <c r="A2093" s="98" t="n">
        <v>93567</v>
      </c>
      <c r="B2093" s="98" t="inlineStr">
        <is>
          <t>TAYLOR PORT</t>
        </is>
      </c>
      <c r="C2093" s="97">
        <f>VLOOKUP(A2093,SizeData!A$2:B$3839,2,FALSE)</f>
        <v/>
      </c>
      <c r="D2093" s="98" t="n">
        <v>10</v>
      </c>
      <c r="E2093" s="98" t="inlineStr">
        <is>
          <t>R2045721</t>
        </is>
      </c>
      <c r="F2093" s="99" t="n">
        <v>45012</v>
      </c>
      <c r="G2093" s="100" t="n"/>
    </row>
    <row r="2094" ht="16" customHeight="1">
      <c r="A2094" s="98" t="n">
        <v>93566</v>
      </c>
      <c r="B2094" s="98" t="inlineStr">
        <is>
          <t>TAYLOR PORT</t>
        </is>
      </c>
      <c r="C2094" s="97">
        <f>VLOOKUP(A2094,SizeData!A$2:B$3839,2,FALSE)</f>
        <v/>
      </c>
      <c r="D2094" s="98" t="n">
        <v>40</v>
      </c>
      <c r="E2094" s="98" t="inlineStr">
        <is>
          <t>R2059509</t>
        </is>
      </c>
      <c r="F2094" s="99" t="n">
        <v>45031</v>
      </c>
      <c r="G2094" s="100" t="n"/>
    </row>
    <row r="2095" ht="16" customHeight="1">
      <c r="A2095" s="98" t="n">
        <v>93566</v>
      </c>
      <c r="B2095" s="98" t="inlineStr">
        <is>
          <t>TAYLOR PORT</t>
        </is>
      </c>
      <c r="C2095" s="97">
        <f>VLOOKUP(A2095,SizeData!A$2:B$3839,2,FALSE)</f>
        <v/>
      </c>
      <c r="D2095" s="98" t="n">
        <v>10</v>
      </c>
      <c r="E2095" s="98" t="inlineStr">
        <is>
          <t>R2043272</t>
        </is>
      </c>
      <c r="F2095" s="99" t="n">
        <v>45021</v>
      </c>
      <c r="G2095" s="100" t="n"/>
    </row>
    <row r="2096" ht="16" customHeight="1">
      <c r="A2096" s="98" t="n">
        <v>93566</v>
      </c>
      <c r="B2096" s="98" t="inlineStr">
        <is>
          <t>TAYLOR PORT</t>
        </is>
      </c>
      <c r="C2096" s="97">
        <f>VLOOKUP(A2096,SizeData!A$2:B$3839,2,FALSE)</f>
        <v/>
      </c>
      <c r="D2096" s="98" t="n">
        <v>6</v>
      </c>
      <c r="E2096" s="98" t="inlineStr">
        <is>
          <t>R2054650</t>
        </is>
      </c>
      <c r="F2096" s="99" t="n">
        <v>45031</v>
      </c>
      <c r="G2096" s="100" t="n"/>
    </row>
    <row r="2097" ht="16" customHeight="1">
      <c r="A2097" s="98" t="n">
        <v>93564</v>
      </c>
      <c r="B2097" s="98" t="inlineStr">
        <is>
          <t>TAYLOR PORT</t>
        </is>
      </c>
      <c r="C2097" s="97">
        <f>VLOOKUP(A2097,SizeData!A$2:B$3839,2,FALSE)</f>
        <v/>
      </c>
      <c r="D2097" s="98" t="n">
        <v>4</v>
      </c>
      <c r="E2097" s="98" t="inlineStr">
        <is>
          <t>R2065393</t>
        </is>
      </c>
      <c r="F2097" s="99" t="n">
        <v>45031</v>
      </c>
      <c r="G2097" s="100" t="n"/>
    </row>
    <row r="2098" ht="16" customHeight="1">
      <c r="A2098" s="98" t="n">
        <v>93564</v>
      </c>
      <c r="B2098" s="98" t="inlineStr">
        <is>
          <t>TAYLOR PORT</t>
        </is>
      </c>
      <c r="C2098" s="97">
        <f>VLOOKUP(A2098,SizeData!A$2:B$3839,2,FALSE)</f>
        <v/>
      </c>
      <c r="D2098" s="98" t="n">
        <v>10</v>
      </c>
      <c r="E2098" s="98" t="inlineStr">
        <is>
          <t>R2070866</t>
        </is>
      </c>
      <c r="F2098" s="99" t="n">
        <v>45033</v>
      </c>
      <c r="G2098" s="100" t="n"/>
    </row>
    <row r="2099" ht="16" customHeight="1">
      <c r="A2099" s="98" t="n">
        <v>93566</v>
      </c>
      <c r="B2099" s="98" t="inlineStr">
        <is>
          <t>TAYLOR PORT</t>
        </is>
      </c>
      <c r="C2099" s="97">
        <f>VLOOKUP(A2099,SizeData!A$2:B$3839,2,FALSE)</f>
        <v/>
      </c>
      <c r="D2099" s="98" t="n">
        <v>30</v>
      </c>
      <c r="E2099" s="98" t="inlineStr">
        <is>
          <t>R2072246</t>
        </is>
      </c>
      <c r="F2099" s="99" t="n">
        <v>45036</v>
      </c>
      <c r="G2099" s="100" t="n"/>
    </row>
    <row r="2100" ht="16" customHeight="1">
      <c r="A2100" s="98" t="n">
        <v>93564</v>
      </c>
      <c r="B2100" s="98" t="inlineStr">
        <is>
          <t>TAYLOR PORT</t>
        </is>
      </c>
      <c r="C2100" s="97">
        <f>VLOOKUP(A2100,SizeData!A$2:B$3839,2,FALSE)</f>
        <v/>
      </c>
      <c r="D2100" s="98" t="n">
        <v>4</v>
      </c>
      <c r="E2100" s="98" t="inlineStr">
        <is>
          <t>R2075056</t>
        </is>
      </c>
      <c r="F2100" s="99" t="n">
        <v>45036</v>
      </c>
      <c r="G2100" s="100" t="n"/>
    </row>
    <row r="2101" ht="16" customHeight="1">
      <c r="A2101" s="98" t="n">
        <v>93566</v>
      </c>
      <c r="B2101" s="98" t="inlineStr">
        <is>
          <t>TAYLOR PORT</t>
        </is>
      </c>
      <c r="C2101" s="97">
        <f>VLOOKUP(A2101,SizeData!A$2:B$3839,2,FALSE)</f>
        <v/>
      </c>
      <c r="D2101" s="98" t="n">
        <v>30</v>
      </c>
      <c r="E2101" s="98" t="inlineStr">
        <is>
          <t>R2072246</t>
        </is>
      </c>
      <c r="F2101" s="99" t="n">
        <v>45036</v>
      </c>
      <c r="G2101" s="100" t="n"/>
    </row>
    <row r="2102" ht="16" customHeight="1">
      <c r="A2102" s="98" t="n">
        <v>93567</v>
      </c>
      <c r="B2102" s="98" t="inlineStr">
        <is>
          <t>TAYLOR PORT</t>
        </is>
      </c>
      <c r="C2102" s="97">
        <f>VLOOKUP(A2102,SizeData!A$2:B$3839,2,FALSE)</f>
        <v/>
      </c>
      <c r="D2102" s="98" t="n">
        <v>10</v>
      </c>
      <c r="E2102" s="98" t="inlineStr">
        <is>
          <t>R2078182</t>
        </is>
      </c>
      <c r="F2102" s="99" t="n">
        <v>45050</v>
      </c>
      <c r="G2102" s="100" t="n"/>
    </row>
    <row r="2103" ht="16" customHeight="1">
      <c r="A2103" s="98" t="n">
        <v>93564</v>
      </c>
      <c r="B2103" s="98" t="inlineStr">
        <is>
          <t>TAYLOR PORT</t>
        </is>
      </c>
      <c r="C2103" s="97">
        <f>VLOOKUP(A2103,SizeData!A$2:B$3839,2,FALSE)</f>
        <v/>
      </c>
      <c r="D2103" s="98" t="n">
        <v>5</v>
      </c>
      <c r="E2103" s="98" t="inlineStr">
        <is>
          <t>R2068757</t>
        </is>
      </c>
      <c r="F2103" s="99" t="n">
        <v>45044</v>
      </c>
      <c r="G2103" s="100" t="n"/>
    </row>
    <row r="2104" ht="16" customHeight="1">
      <c r="A2104" s="98" t="n">
        <v>93568</v>
      </c>
      <c r="B2104" s="98" t="inlineStr">
        <is>
          <t>TAYLOR PORT</t>
        </is>
      </c>
      <c r="C2104" s="97">
        <f>VLOOKUP(A2104,SizeData!A$2:B$3839,2,FALSE)</f>
        <v/>
      </c>
      <c r="D2104" s="98" t="n">
        <v>5</v>
      </c>
      <c r="E2104" s="98" t="inlineStr">
        <is>
          <t>R2077522</t>
        </is>
      </c>
      <c r="F2104" s="99" t="n">
        <v>45043</v>
      </c>
      <c r="G2104" s="100" t="n"/>
    </row>
    <row r="2105" ht="16" customHeight="1">
      <c r="A2105" s="98" t="n">
        <v>93569</v>
      </c>
      <c r="B2105" s="98" t="inlineStr">
        <is>
          <t>TAYLOR PORT BLACK LABEL</t>
        </is>
      </c>
      <c r="C2105" s="97">
        <f>VLOOKUP(A2105,SizeData!A$2:B$3839,2,FALSE)</f>
        <v/>
      </c>
      <c r="D2105" s="98" t="n">
        <v>10</v>
      </c>
      <c r="E2105" s="98" t="inlineStr">
        <is>
          <t>R1992929</t>
        </is>
      </c>
      <c r="F2105" s="99" t="n">
        <v>44980</v>
      </c>
      <c r="G2105" s="100" t="n"/>
    </row>
    <row r="2106" ht="16" customHeight="1">
      <c r="A2106" s="98" t="n">
        <v>93569</v>
      </c>
      <c r="B2106" s="98" t="inlineStr">
        <is>
          <t>TAYLOR PORT BLACK LABEL</t>
        </is>
      </c>
      <c r="C2106" s="97">
        <f>VLOOKUP(A2106,SizeData!A$2:B$3839,2,FALSE)</f>
        <v/>
      </c>
      <c r="D2106" s="98" t="n">
        <v>2</v>
      </c>
      <c r="E2106" s="98" t="inlineStr">
        <is>
          <t>R2014242</t>
        </is>
      </c>
      <c r="F2106" s="99" t="n">
        <v>44999</v>
      </c>
      <c r="G2106" s="100" t="n"/>
    </row>
    <row r="2107" ht="16" customHeight="1">
      <c r="A2107" s="98" t="n">
        <v>93569</v>
      </c>
      <c r="B2107" s="98" t="inlineStr">
        <is>
          <t>TAYLOR PORT BLACK LABEL</t>
        </is>
      </c>
      <c r="C2107" s="97">
        <f>VLOOKUP(A2107,SizeData!A$2:B$3839,2,FALSE)</f>
        <v/>
      </c>
      <c r="D2107" s="98" t="n">
        <v>2</v>
      </c>
      <c r="E2107" s="98" t="inlineStr">
        <is>
          <t>R2031927</t>
        </is>
      </c>
      <c r="F2107" s="99" t="n">
        <v>45003</v>
      </c>
      <c r="G2107" s="100" t="n"/>
    </row>
    <row r="2108" ht="16" customHeight="1">
      <c r="A2108" s="101" t="n">
        <v>93569</v>
      </c>
      <c r="B2108" s="101" t="inlineStr">
        <is>
          <t>TAYLOR PORT BLACK LABEL</t>
        </is>
      </c>
      <c r="C2108" s="102">
        <f>VLOOKUP(A2108,SizeData!A$2:B$3839,2,FALSE)</f>
        <v/>
      </c>
      <c r="D2108" s="101" t="n">
        <v>12</v>
      </c>
      <c r="E2108" s="101" t="inlineStr">
        <is>
          <t>R2050545</t>
        </is>
      </c>
      <c r="F2108" s="103" t="n">
        <v>45019</v>
      </c>
      <c r="G2108" s="104" t="n"/>
    </row>
    <row r="2109" ht="16" customHeight="1">
      <c r="A2109" s="98" t="n">
        <v>93569</v>
      </c>
      <c r="B2109" s="98" t="inlineStr">
        <is>
          <t>TAYLOR PORT BLACK LABEL</t>
        </is>
      </c>
      <c r="C2109" s="97">
        <f>VLOOKUP(A2109,SizeData!A$2:B$3839,2,FALSE)</f>
        <v/>
      </c>
      <c r="D2109" s="98" t="n">
        <v>10</v>
      </c>
      <c r="E2109" s="98" t="inlineStr">
        <is>
          <t>R2077522</t>
        </is>
      </c>
      <c r="F2109" s="99" t="n">
        <v>45043</v>
      </c>
      <c r="G2109" s="100" t="n"/>
    </row>
    <row r="2110" ht="16" customHeight="1">
      <c r="A2110" s="98" t="n">
        <v>65200</v>
      </c>
      <c r="B2110" s="98" t="inlineStr">
        <is>
          <t>TEQUILA ROSE STRAWBERRY LIQUEUR</t>
        </is>
      </c>
      <c r="C2110" s="97">
        <f>VLOOKUP(A2110,SizeData!A$2:B$3839,2,FALSE)</f>
        <v/>
      </c>
      <c r="D2110" s="98" t="n">
        <v>1</v>
      </c>
      <c r="E2110" s="98" t="inlineStr">
        <is>
          <t>R1978468</t>
        </is>
      </c>
      <c r="F2110" s="99" t="n">
        <v>44979</v>
      </c>
      <c r="G2110" s="100" t="n"/>
    </row>
    <row r="2111" ht="16" customHeight="1">
      <c r="A2111" s="98" t="n">
        <v>88371</v>
      </c>
      <c r="B2111" s="98" t="inlineStr">
        <is>
          <t>TEREMANA BLANCO TEQUILA</t>
        </is>
      </c>
      <c r="C2111" s="97">
        <f>VLOOKUP(A2111,SizeData!A$2:B$3839,2,FALSE)</f>
        <v/>
      </c>
      <c r="D2111" s="98" t="n">
        <v>1</v>
      </c>
      <c r="E2111" s="98" t="inlineStr">
        <is>
          <t>R2018722</t>
        </is>
      </c>
      <c r="F2111" s="99" t="n">
        <v>44996</v>
      </c>
      <c r="G2111" s="100" t="n"/>
    </row>
    <row r="2112" ht="16" customHeight="1">
      <c r="A2112" s="98" t="n">
        <v>88354</v>
      </c>
      <c r="B2112" s="98" t="inlineStr">
        <is>
          <t>TEREMANA BLANCO TEQUILA</t>
        </is>
      </c>
      <c r="C2112" s="97">
        <f>VLOOKUP(A2112,SizeData!A$2:B$3839,2,FALSE)</f>
        <v/>
      </c>
      <c r="D2112" s="98" t="n">
        <v>1</v>
      </c>
      <c r="E2112" s="98" t="inlineStr">
        <is>
          <t>R2032001</t>
        </is>
      </c>
      <c r="F2112" s="99" t="n">
        <v>45000</v>
      </c>
      <c r="G2112" s="100" t="n"/>
    </row>
    <row r="2113" ht="16" customHeight="1">
      <c r="A2113" s="98" t="n">
        <v>88371</v>
      </c>
      <c r="B2113" s="98" t="inlineStr">
        <is>
          <t>TEREMANA BLANCO TEQUILA</t>
        </is>
      </c>
      <c r="C2113" s="97">
        <f>VLOOKUP(A2113,SizeData!A$2:B$3839,2,FALSE)</f>
        <v/>
      </c>
      <c r="D2113" s="98" t="n">
        <v>1</v>
      </c>
      <c r="E2113" s="98" t="inlineStr">
        <is>
          <t>R2031927</t>
        </is>
      </c>
      <c r="F2113" s="99" t="n">
        <v>45003</v>
      </c>
      <c r="G2113" s="100" t="n"/>
    </row>
    <row r="2114" ht="16" customHeight="1">
      <c r="A2114" s="98" t="n">
        <v>88371</v>
      </c>
      <c r="B2114" s="98" t="inlineStr">
        <is>
          <t>TEREMANA BLANCO TEQUILA</t>
        </is>
      </c>
      <c r="C2114" s="97">
        <f>VLOOKUP(A2114,SizeData!A$2:B$3839,2,FALSE)</f>
        <v/>
      </c>
      <c r="D2114" s="98" t="n">
        <v>2</v>
      </c>
      <c r="E2114" s="98" t="inlineStr">
        <is>
          <t>R2055049</t>
        </is>
      </c>
      <c r="F2114" s="99" t="n">
        <v>45017</v>
      </c>
      <c r="G2114" s="100" t="n"/>
    </row>
    <row r="2115" ht="16" customHeight="1">
      <c r="A2115" s="98" t="n">
        <v>88371</v>
      </c>
      <c r="B2115" s="98" t="inlineStr">
        <is>
          <t>TEREMANA BLANCO TEQUILA</t>
        </is>
      </c>
      <c r="C2115" s="97">
        <f>VLOOKUP(A2115,SizeData!A$2:B$3839,2,FALSE)</f>
        <v/>
      </c>
      <c r="D2115" s="98" t="n">
        <v>8</v>
      </c>
      <c r="E2115" s="98" t="inlineStr">
        <is>
          <t>R2050697</t>
        </is>
      </c>
      <c r="F2115" s="99" t="n">
        <v>45020</v>
      </c>
      <c r="G2115" s="100" t="n"/>
    </row>
    <row r="2116" ht="16" customHeight="1">
      <c r="A2116" s="98" t="n">
        <v>88372</v>
      </c>
      <c r="B2116" s="98" t="inlineStr">
        <is>
          <t>TEREMANA REPOSADO TEQUILA</t>
        </is>
      </c>
      <c r="C2116" s="97">
        <f>VLOOKUP(A2116,SizeData!A$2:B$3839,2,FALSE)</f>
        <v/>
      </c>
      <c r="D2116" s="98" t="n">
        <v>5</v>
      </c>
      <c r="E2116" s="98" t="inlineStr">
        <is>
          <t>R2050697</t>
        </is>
      </c>
      <c r="F2116" s="99" t="n">
        <v>45020</v>
      </c>
      <c r="G2116" s="100" t="n"/>
    </row>
    <row r="2117" ht="16" customHeight="1">
      <c r="A2117" s="98" t="n">
        <v>88372</v>
      </c>
      <c r="B2117" s="98" t="inlineStr">
        <is>
          <t>TEREMANA REPOSADO TEQUILA</t>
        </is>
      </c>
      <c r="C2117" s="97">
        <f>VLOOKUP(A2117,SizeData!A$2:B$3839,2,FALSE)</f>
        <v/>
      </c>
      <c r="D2117" s="98" t="n">
        <v>2</v>
      </c>
      <c r="E2117" s="98" t="inlineStr">
        <is>
          <t>R2065113</t>
        </is>
      </c>
      <c r="F2117" s="99" t="n">
        <v>45022</v>
      </c>
      <c r="G2117" s="100" t="n"/>
    </row>
    <row r="2118" ht="16" customHeight="1">
      <c r="A2118" s="98" t="n">
        <v>38178</v>
      </c>
      <c r="B2118" s="98" t="inlineStr">
        <is>
          <t>TITO'S HANDMADE VODKA</t>
        </is>
      </c>
      <c r="C2118" s="97">
        <f>VLOOKUP(A2118,SizeData!A$2:B$3839,2,FALSE)</f>
        <v/>
      </c>
      <c r="D2118" s="98" t="n">
        <v>10</v>
      </c>
      <c r="E2118" s="98" t="inlineStr">
        <is>
          <t>R1957712</t>
        </is>
      </c>
      <c r="F2118" s="99" t="n">
        <v>44958</v>
      </c>
      <c r="G2118" s="100" t="n"/>
    </row>
    <row r="2119" ht="16" customHeight="1">
      <c r="A2119" s="98" t="n">
        <v>38178</v>
      </c>
      <c r="B2119" s="98" t="inlineStr">
        <is>
          <t>TITO'S HANDMADE VODKA</t>
        </is>
      </c>
      <c r="C2119" s="97">
        <f>VLOOKUP(A2119,SizeData!A$2:B$3839,2,FALSE)</f>
        <v/>
      </c>
      <c r="D2119" s="98" t="n">
        <v>10</v>
      </c>
      <c r="E2119" s="98" t="inlineStr">
        <is>
          <t>R1962631</t>
        </is>
      </c>
      <c r="F2119" s="99" t="n">
        <v>44959</v>
      </c>
      <c r="G2119" s="100" t="n"/>
    </row>
    <row r="2120" ht="16" customHeight="1">
      <c r="A2120" s="98" t="n">
        <v>38178</v>
      </c>
      <c r="B2120" s="98" t="inlineStr">
        <is>
          <t>TITO'S HANDMADE VODKA</t>
        </is>
      </c>
      <c r="C2120" s="97">
        <f>VLOOKUP(A2120,SizeData!A$2:B$3839,2,FALSE)</f>
        <v/>
      </c>
      <c r="D2120" s="98" t="n">
        <v>6</v>
      </c>
      <c r="E2120" s="98" t="inlineStr">
        <is>
          <t>R1984349</t>
        </is>
      </c>
      <c r="F2120" s="99" t="n">
        <v>44982</v>
      </c>
      <c r="G2120" s="100" t="n"/>
    </row>
    <row r="2121" ht="16" customHeight="1">
      <c r="A2121" s="98" t="n">
        <v>38177</v>
      </c>
      <c r="B2121" s="98" t="inlineStr">
        <is>
          <t>TITO'S HANDMADE VODKA</t>
        </is>
      </c>
      <c r="C2121" s="97">
        <f>VLOOKUP(A2121,SizeData!A$2:B$3839,2,FALSE)</f>
        <v/>
      </c>
      <c r="D2121" s="98" t="n">
        <v>10</v>
      </c>
      <c r="E2121" s="98" t="inlineStr">
        <is>
          <t>R1935515</t>
        </is>
      </c>
      <c r="F2121" s="99" t="n">
        <v>44931</v>
      </c>
      <c r="G2121" s="100" t="n"/>
    </row>
    <row r="2122" ht="16" customHeight="1">
      <c r="A2122" s="98" t="n">
        <v>38177</v>
      </c>
      <c r="B2122" s="98" t="inlineStr">
        <is>
          <t>TITO'S HANDMADE VODKA</t>
        </is>
      </c>
      <c r="C2122" s="97">
        <f>VLOOKUP(A2122,SizeData!A$2:B$3839,2,FALSE)</f>
        <v/>
      </c>
      <c r="D2122" s="98" t="n">
        <v>3</v>
      </c>
      <c r="E2122" s="98" t="inlineStr">
        <is>
          <t>R1939404</t>
        </is>
      </c>
      <c r="F2122" s="99" t="n">
        <v>44942</v>
      </c>
      <c r="G2122" s="100" t="n"/>
    </row>
    <row r="2123" ht="16" customHeight="1">
      <c r="A2123" s="98" t="n">
        <v>38177</v>
      </c>
      <c r="B2123" s="98" t="inlineStr">
        <is>
          <t>TITO'S HANDMADE VODKA</t>
        </is>
      </c>
      <c r="C2123" s="97">
        <f>VLOOKUP(A2123,SizeData!A$2:B$3839,2,FALSE)</f>
        <v/>
      </c>
      <c r="D2123" s="98" t="n">
        <v>5</v>
      </c>
      <c r="E2123" s="98" t="inlineStr">
        <is>
          <t>R2050697</t>
        </is>
      </c>
      <c r="F2123" s="99" t="n">
        <v>45020</v>
      </c>
      <c r="G2123" s="100" t="n"/>
    </row>
    <row r="2124" ht="16" customHeight="1">
      <c r="A2124" s="98" t="n">
        <v>38179</v>
      </c>
      <c r="B2124" s="98" t="inlineStr">
        <is>
          <t>TITO'S HANDMADE VODKA</t>
        </is>
      </c>
      <c r="C2124" s="97">
        <f>VLOOKUP(A2124,SizeData!A$2:B$3839,2,FALSE)</f>
        <v/>
      </c>
      <c r="D2124" s="98" t="n">
        <v>1</v>
      </c>
      <c r="E2124" s="98" t="inlineStr">
        <is>
          <t>R1939404</t>
        </is>
      </c>
      <c r="F2124" s="99" t="n">
        <v>44942</v>
      </c>
      <c r="G2124" s="100" t="n"/>
    </row>
    <row r="2125" ht="16" customHeight="1">
      <c r="A2125" s="98" t="n">
        <v>38179</v>
      </c>
      <c r="B2125" s="98" t="inlineStr">
        <is>
          <t>TITO'S HANDMADE VODKA</t>
        </is>
      </c>
      <c r="C2125" s="97">
        <f>VLOOKUP(A2125,SizeData!A$2:B$3839,2,FALSE)</f>
        <v/>
      </c>
      <c r="D2125" s="98" t="n">
        <v>1</v>
      </c>
      <c r="E2125" s="98" t="inlineStr">
        <is>
          <t>R2036702</t>
        </is>
      </c>
      <c r="F2125" s="99" t="n">
        <v>45007</v>
      </c>
      <c r="G2125" s="100" t="n"/>
    </row>
    <row r="2126" ht="16" customHeight="1">
      <c r="A2126" s="98" t="n">
        <v>38179</v>
      </c>
      <c r="B2126" s="98" t="inlineStr">
        <is>
          <t>TITO'S HANDMADE VODKA</t>
        </is>
      </c>
      <c r="C2126" s="97">
        <f>VLOOKUP(A2126,SizeData!A$2:B$3839,2,FALSE)</f>
        <v/>
      </c>
      <c r="D2126" s="98" t="n">
        <v>1</v>
      </c>
      <c r="E2126" s="98" t="inlineStr">
        <is>
          <t>R2055049</t>
        </is>
      </c>
      <c r="F2126" s="99" t="n">
        <v>45017</v>
      </c>
      <c r="G2126" s="100" t="n"/>
    </row>
    <row r="2127" ht="16" customHeight="1">
      <c r="A2127" s="98" t="n">
        <v>38179</v>
      </c>
      <c r="B2127" s="98" t="inlineStr">
        <is>
          <t>TITO'S HANDMADE VODKA</t>
        </is>
      </c>
      <c r="C2127" s="97">
        <f>VLOOKUP(A2127,SizeData!A$2:B$3839,2,FALSE)</f>
        <v/>
      </c>
      <c r="D2127" s="98" t="n">
        <v>2</v>
      </c>
      <c r="E2127" s="98" t="inlineStr">
        <is>
          <t>R2050697</t>
        </is>
      </c>
      <c r="F2127" s="99" t="n">
        <v>45020</v>
      </c>
      <c r="G2127" s="100" t="n"/>
    </row>
    <row r="2128" ht="16" customHeight="1">
      <c r="A2128" s="98" t="n">
        <v>38174</v>
      </c>
      <c r="B2128" s="98" t="inlineStr">
        <is>
          <t>TITO'S HANDMADE VODKA</t>
        </is>
      </c>
      <c r="C2128" s="97">
        <f>VLOOKUP(A2128,SizeData!A$2:B$3839,2,FALSE)</f>
        <v/>
      </c>
      <c r="D2128" s="98" t="n">
        <v>1</v>
      </c>
      <c r="E2128" s="98" t="inlineStr">
        <is>
          <t>R2014242</t>
        </is>
      </c>
      <c r="F2128" s="99" t="n">
        <v>44999</v>
      </c>
      <c r="G2128" s="100" t="n"/>
    </row>
    <row r="2129" ht="16" customHeight="1">
      <c r="A2129" s="98" t="n">
        <v>38174</v>
      </c>
      <c r="B2129" s="98" t="inlineStr">
        <is>
          <t>TITO'S HANDMADE VODKA</t>
        </is>
      </c>
      <c r="C2129" s="97">
        <f>VLOOKUP(A2129,SizeData!A$2:B$3839,2,FALSE)</f>
        <v/>
      </c>
      <c r="D2129" s="98" t="n">
        <v>2</v>
      </c>
      <c r="E2129" s="98" t="inlineStr">
        <is>
          <t>R2055049</t>
        </is>
      </c>
      <c r="F2129" s="99" t="n">
        <v>45017</v>
      </c>
      <c r="G2129" s="100" t="n"/>
    </row>
    <row r="2130" ht="16" customHeight="1">
      <c r="A2130" s="98" t="n">
        <v>38176</v>
      </c>
      <c r="B2130" s="98" t="inlineStr">
        <is>
          <t>TITO'S HANDMADE VODKA</t>
        </is>
      </c>
      <c r="C2130" s="97">
        <f>VLOOKUP(A2130,SizeData!A$2:B$3839,2,FALSE)</f>
        <v/>
      </c>
      <c r="D2130" s="98" t="n">
        <v>20</v>
      </c>
      <c r="E2130" s="98" t="inlineStr">
        <is>
          <t>R1999412</t>
        </is>
      </c>
      <c r="F2130" s="99" t="n">
        <v>44988</v>
      </c>
      <c r="G2130" s="100" t="n"/>
    </row>
    <row r="2131" ht="16" customHeight="1">
      <c r="A2131" s="98" t="n">
        <v>38176</v>
      </c>
      <c r="B2131" s="98" t="inlineStr">
        <is>
          <t>TITO'S HANDMADE VODKA</t>
        </is>
      </c>
      <c r="C2131" s="97">
        <f>VLOOKUP(A2131,SizeData!A$2:B$3839,2,FALSE)</f>
        <v/>
      </c>
      <c r="D2131" s="98" t="n">
        <v>1</v>
      </c>
      <c r="E2131" s="98" t="inlineStr">
        <is>
          <t>R2022490</t>
        </is>
      </c>
      <c r="F2131" s="99" t="n">
        <v>45014</v>
      </c>
      <c r="G2131" s="100" t="n"/>
    </row>
    <row r="2132" ht="16" customHeight="1">
      <c r="A2132" s="98" t="n">
        <v>38176</v>
      </c>
      <c r="B2132" s="98" t="inlineStr">
        <is>
          <t>TITO'S HANDMADE VODKA</t>
        </is>
      </c>
      <c r="C2132" s="97">
        <f>VLOOKUP(A2132,SizeData!A$2:B$3839,2,FALSE)</f>
        <v/>
      </c>
      <c r="D2132" s="98" t="n">
        <v>4</v>
      </c>
      <c r="E2132" s="98" t="inlineStr">
        <is>
          <t>R2047859</t>
        </is>
      </c>
      <c r="F2132" s="99" t="n">
        <v>45016</v>
      </c>
      <c r="G2132" s="100" t="n"/>
    </row>
    <row r="2133" ht="16" customHeight="1">
      <c r="A2133" s="98" t="n">
        <v>38174</v>
      </c>
      <c r="B2133" s="98" t="inlineStr">
        <is>
          <t>TITO'S HANDMADE VODKA</t>
        </is>
      </c>
      <c r="C2133" s="97">
        <f>VLOOKUP(A2133,SizeData!A$2:B$3839,2,FALSE)</f>
        <v/>
      </c>
      <c r="D2133" s="98" t="n">
        <v>12</v>
      </c>
      <c r="E2133" s="98" t="inlineStr">
        <is>
          <t>R2071410</t>
        </is>
      </c>
      <c r="F2133" s="99" t="n">
        <v>45028</v>
      </c>
      <c r="G2133" s="100" t="n"/>
    </row>
    <row r="2134" ht="16" customHeight="1">
      <c r="A2134" s="98" t="n">
        <v>38179</v>
      </c>
      <c r="B2134" s="98" t="inlineStr">
        <is>
          <t>TITO'S HANDMADE VODKA</t>
        </is>
      </c>
      <c r="C2134" s="97">
        <f>VLOOKUP(A2134,SizeData!A$2:B$3839,2,FALSE)</f>
        <v/>
      </c>
      <c r="D2134" s="98" t="n">
        <v>2</v>
      </c>
      <c r="E2134" s="98" t="inlineStr">
        <is>
          <t>R2065393</t>
        </is>
      </c>
      <c r="F2134" s="99" t="n">
        <v>45031</v>
      </c>
      <c r="G2134" s="100" t="n"/>
    </row>
    <row r="2135" ht="16" customHeight="1">
      <c r="A2135" s="98" t="n">
        <v>38178</v>
      </c>
      <c r="B2135" s="98" t="inlineStr">
        <is>
          <t>TITO'S HANDMADE VODKA</t>
        </is>
      </c>
      <c r="C2135" s="97">
        <f>VLOOKUP(A2135,SizeData!A$2:B$3839,2,FALSE)</f>
        <v/>
      </c>
      <c r="D2135" s="98" t="n">
        <v>15</v>
      </c>
      <c r="E2135" s="98" t="inlineStr">
        <is>
          <t>R2088119</t>
        </is>
      </c>
      <c r="F2135" s="99" t="n">
        <v>45049</v>
      </c>
      <c r="G2135" s="100" t="n"/>
    </row>
    <row r="2136" ht="16" customHeight="1">
      <c r="A2136" s="98" t="n">
        <v>38177</v>
      </c>
      <c r="B2136" s="98" t="inlineStr">
        <is>
          <t>TITO'S HANDMADE VODKA</t>
        </is>
      </c>
      <c r="C2136" s="97">
        <f>VLOOKUP(A2136,SizeData!A$2:B$3839,2,FALSE)</f>
        <v/>
      </c>
      <c r="D2136" s="98" t="n">
        <v>1</v>
      </c>
      <c r="E2136" s="98" t="inlineStr">
        <is>
          <t>R2067759</t>
        </is>
      </c>
      <c r="F2136" s="99" t="n">
        <v>45037</v>
      </c>
      <c r="G2136" s="100" t="n"/>
    </row>
    <row r="2137" ht="16" customHeight="1">
      <c r="A2137" s="98" t="n">
        <v>38177</v>
      </c>
      <c r="B2137" s="98" t="inlineStr">
        <is>
          <t>TITO'S HANDMADE VODKA</t>
        </is>
      </c>
      <c r="C2137" s="97">
        <f>VLOOKUP(A2137,SizeData!A$2:B$3839,2,FALSE)</f>
        <v/>
      </c>
      <c r="D2137" s="98" t="n">
        <v>5</v>
      </c>
      <c r="E2137" s="98" t="inlineStr">
        <is>
          <t>R2078944</t>
        </is>
      </c>
      <c r="F2137" s="99" t="n">
        <v>45045</v>
      </c>
      <c r="G2137" s="100" t="n"/>
    </row>
    <row r="2138" ht="16" customHeight="1">
      <c r="A2138" s="98" t="n">
        <v>38194</v>
      </c>
      <c r="B2138" s="98" t="inlineStr">
        <is>
          <t>TITO'S HANDMADE VODKA/12B-SHRINKWRAP SLV</t>
        </is>
      </c>
      <c r="C2138" s="97">
        <f>VLOOKUP(A2138,SizeData!A$2:B$3839,2,FALSE)</f>
        <v/>
      </c>
      <c r="D2138" s="98" t="n">
        <v>2</v>
      </c>
      <c r="E2138" s="98" t="inlineStr">
        <is>
          <t>R1935515</t>
        </is>
      </c>
      <c r="F2138" s="99" t="n">
        <v>44931</v>
      </c>
      <c r="G2138" s="100" t="n"/>
    </row>
    <row r="2139" ht="16" customHeight="1">
      <c r="A2139" s="98" t="n">
        <v>38194</v>
      </c>
      <c r="B2139" s="98" t="inlineStr">
        <is>
          <t>TITO'S HANDMADE VODKA/12B-SHRINKWRAP SLV</t>
        </is>
      </c>
      <c r="C2139" s="97">
        <f>VLOOKUP(A2139,SizeData!A$2:B$3839,2,FALSE)</f>
        <v/>
      </c>
      <c r="D2139" s="98" t="n">
        <v>3</v>
      </c>
      <c r="E2139" s="98" t="inlineStr">
        <is>
          <t>R2072202</t>
        </is>
      </c>
      <c r="F2139" s="99" t="n">
        <v>45033</v>
      </c>
      <c r="G2139" s="100" t="n"/>
    </row>
    <row r="2140" ht="16" customHeight="1">
      <c r="A2140" s="101" t="n">
        <v>89888</v>
      </c>
      <c r="B2140" s="101" t="inlineStr">
        <is>
          <t>TORADA REPOSADA TEQUILA</t>
        </is>
      </c>
      <c r="C2140" s="102">
        <f>VLOOKUP(A2140,SizeData!A$2:B$3839,2,FALSE)</f>
        <v/>
      </c>
      <c r="D2140" s="101" t="n">
        <v>2</v>
      </c>
      <c r="E2140" s="101" t="inlineStr">
        <is>
          <t>R1995710</t>
        </is>
      </c>
      <c r="F2140" s="103" t="n">
        <v>44970</v>
      </c>
      <c r="G2140" s="104" t="n"/>
    </row>
    <row r="2141" ht="16" customHeight="1">
      <c r="A2141" s="98" t="n">
        <v>88737</v>
      </c>
      <c r="B2141" s="98" t="inlineStr">
        <is>
          <t>TORADA WHITE TEQUILA</t>
        </is>
      </c>
      <c r="C2141" s="97">
        <f>VLOOKUP(A2141,SizeData!A$2:B$3839,2,FALSE)</f>
        <v/>
      </c>
      <c r="D2141" s="98" t="n">
        <v>1</v>
      </c>
      <c r="E2141" s="98" t="inlineStr">
        <is>
          <t>R1930280</t>
        </is>
      </c>
      <c r="F2141" s="99" t="n">
        <v>44935</v>
      </c>
      <c r="G2141" s="100" t="n"/>
    </row>
    <row r="2142" ht="16" customHeight="1">
      <c r="A2142" s="98" t="n">
        <v>88737</v>
      </c>
      <c r="B2142" s="98" t="inlineStr">
        <is>
          <t>TORADA WHITE TEQUILA</t>
        </is>
      </c>
      <c r="C2142" s="97">
        <f>VLOOKUP(A2142,SizeData!A$2:B$3839,2,FALSE)</f>
        <v/>
      </c>
      <c r="D2142" s="98" t="n">
        <v>1</v>
      </c>
      <c r="E2142" s="98" t="inlineStr">
        <is>
          <t>R1936420</t>
        </is>
      </c>
      <c r="F2142" s="99" t="n">
        <v>44937</v>
      </c>
      <c r="G2142" s="100" t="n"/>
    </row>
    <row r="2143" ht="16" customHeight="1">
      <c r="A2143" s="101" t="n">
        <v>88738</v>
      </c>
      <c r="B2143" s="101" t="inlineStr">
        <is>
          <t>TORADA WHITE TEQUILA</t>
        </is>
      </c>
      <c r="C2143" s="102">
        <f>VLOOKUP(A2143,SizeData!A$2:B$3839,2,FALSE)</f>
        <v/>
      </c>
      <c r="D2143" s="101" t="n">
        <v>2</v>
      </c>
      <c r="E2143" s="101" t="inlineStr">
        <is>
          <t>R2027602</t>
        </is>
      </c>
      <c r="F2143" s="103" t="n">
        <v>45003</v>
      </c>
      <c r="G2143" s="104" t="n"/>
    </row>
    <row r="2144" ht="16" customHeight="1">
      <c r="A2144" s="98" t="n">
        <v>88738</v>
      </c>
      <c r="B2144" s="98" t="inlineStr">
        <is>
          <t>TORADA WHITE TEQUILA</t>
        </is>
      </c>
      <c r="C2144" s="97">
        <f>VLOOKUP(A2144,SizeData!A$2:B$3839,2,FALSE)</f>
        <v/>
      </c>
      <c r="D2144" s="98" t="n">
        <v>2</v>
      </c>
      <c r="E2144" s="98" t="inlineStr">
        <is>
          <t>R2062454</t>
        </is>
      </c>
      <c r="F2144" s="99" t="n">
        <v>45031</v>
      </c>
      <c r="G2144" s="100" t="n"/>
    </row>
    <row r="2145" ht="16" customHeight="1">
      <c r="A2145" s="98" t="n">
        <v>77897</v>
      </c>
      <c r="B2145" s="98" t="inlineStr">
        <is>
          <t>TWENTY GRAND PEACH:VODKA/COGNAC &amp; PEACH</t>
        </is>
      </c>
      <c r="C2145" s="97">
        <f>VLOOKUP(A2145,SizeData!A$2:B$3839,2,FALSE)</f>
        <v/>
      </c>
      <c r="D2145" s="98" t="n">
        <v>1</v>
      </c>
      <c r="E2145" s="98" t="inlineStr">
        <is>
          <t>R2012784</t>
        </is>
      </c>
      <c r="F2145" s="99" t="n">
        <v>44992</v>
      </c>
      <c r="G2145" s="100" t="n"/>
    </row>
    <row r="2146" ht="16" customHeight="1">
      <c r="A2146" s="98" t="n">
        <v>77897</v>
      </c>
      <c r="B2146" s="98" t="inlineStr">
        <is>
          <t>TWENTY GRAND PEACH:VODKA/COGNAC &amp; PEACH</t>
        </is>
      </c>
      <c r="C2146" s="97">
        <f>VLOOKUP(A2146,SizeData!A$2:B$3839,2,FALSE)</f>
        <v/>
      </c>
      <c r="D2146" s="98" t="n">
        <v>1</v>
      </c>
      <c r="E2146" s="98" t="inlineStr">
        <is>
          <t>R2027602</t>
        </is>
      </c>
      <c r="F2146" s="99" t="n">
        <v>45003</v>
      </c>
      <c r="G2146" s="100" t="n"/>
    </row>
    <row r="2147" ht="16" customHeight="1">
      <c r="A2147" s="101" t="n">
        <v>77577</v>
      </c>
      <c r="B2147" s="101" t="inlineStr">
        <is>
          <t>TWENTY GRAND VODKA INFUSED W/COGNAC</t>
        </is>
      </c>
      <c r="C2147" s="102">
        <f>VLOOKUP(A2147,SizeData!A$2:B$3839,2,FALSE)</f>
        <v/>
      </c>
      <c r="D2147" s="101" t="n">
        <v>1</v>
      </c>
      <c r="E2147" s="101" t="inlineStr">
        <is>
          <t>R2030138</t>
        </is>
      </c>
      <c r="F2147" s="103" t="n">
        <v>44986</v>
      </c>
      <c r="G2147" s="104" t="n"/>
    </row>
    <row r="2148" ht="16" customHeight="1">
      <c r="A2148" s="101" t="n">
        <v>77577</v>
      </c>
      <c r="B2148" s="101" t="inlineStr">
        <is>
          <t>TWENTY GRAND VODKA INFUSED W/COGNAC</t>
        </is>
      </c>
      <c r="C2148" s="102">
        <f>VLOOKUP(A2148,SizeData!A$2:B$3839,2,FALSE)</f>
        <v/>
      </c>
      <c r="D2148" s="101" t="n">
        <v>2</v>
      </c>
      <c r="E2148" s="101" t="inlineStr">
        <is>
          <t>R2039044</t>
        </is>
      </c>
      <c r="F2148" s="103" t="n">
        <v>45013</v>
      </c>
      <c r="G2148" s="104" t="n"/>
    </row>
    <row r="2149" ht="16" customHeight="1">
      <c r="A2149" s="98" t="n">
        <v>67037</v>
      </c>
      <c r="B2149" s="98" t="inlineStr">
        <is>
          <t>TWISTED SHOTZ BUTTERY NIPPLE:VODKA BASED</t>
        </is>
      </c>
      <c r="C2149" s="97">
        <f>VLOOKUP(A2149,SizeData!A$2:B$3839,2,FALSE)</f>
        <v/>
      </c>
      <c r="D2149" s="98" t="n">
        <v>1</v>
      </c>
      <c r="E2149" s="98" t="inlineStr">
        <is>
          <t>R1992228</t>
        </is>
      </c>
      <c r="F2149" s="99" t="n">
        <v>44978</v>
      </c>
      <c r="G2149" s="100" t="n"/>
    </row>
    <row r="2150" ht="16" customHeight="1">
      <c r="A2150" s="98" t="n">
        <v>67037</v>
      </c>
      <c r="B2150" s="98" t="inlineStr">
        <is>
          <t>TWISTED SHOTZ BUTTERY NIPPLE:VODKA BASED</t>
        </is>
      </c>
      <c r="C2150" s="97">
        <f>VLOOKUP(A2150,SizeData!A$2:B$3839,2,FALSE)</f>
        <v/>
      </c>
      <c r="D2150" s="98" t="n">
        <v>1</v>
      </c>
      <c r="E2150" s="98" t="inlineStr">
        <is>
          <t>R2030138</t>
        </is>
      </c>
      <c r="F2150" s="99" t="n">
        <v>44986</v>
      </c>
      <c r="G2150" s="100" t="n"/>
    </row>
    <row r="2151" ht="16" customHeight="1">
      <c r="A2151" s="98" t="n">
        <v>67037</v>
      </c>
      <c r="B2151" s="98" t="inlineStr">
        <is>
          <t>TWISTED SHOTZ BUTTERY NIPPLE:VODKA BASED</t>
        </is>
      </c>
      <c r="C2151" s="97">
        <f>VLOOKUP(A2151,SizeData!A$2:B$3839,2,FALSE)</f>
        <v/>
      </c>
      <c r="D2151" s="98" t="n">
        <v>7</v>
      </c>
      <c r="E2151" s="98" t="inlineStr">
        <is>
          <t>R2021002</t>
        </is>
      </c>
      <c r="F2151" s="99" t="n">
        <v>44992</v>
      </c>
      <c r="G2151" s="100" t="n"/>
    </row>
    <row r="2152" ht="16" customHeight="1">
      <c r="A2152" s="98" t="n">
        <v>67037</v>
      </c>
      <c r="B2152" s="98" t="inlineStr">
        <is>
          <t>TWISTED SHOTZ BUTTERY NIPPLE:VODKA BASED</t>
        </is>
      </c>
      <c r="C2152" s="97">
        <f>VLOOKUP(A2152,SizeData!A$2:B$3839,2,FALSE)</f>
        <v/>
      </c>
      <c r="D2152" s="98" t="n">
        <v>1</v>
      </c>
      <c r="E2152" s="98" t="inlineStr">
        <is>
          <t>R2039044</t>
        </is>
      </c>
      <c r="F2152" s="99" t="n">
        <v>45013</v>
      </c>
      <c r="G2152" s="100" t="n"/>
    </row>
    <row r="2153" ht="16" customHeight="1">
      <c r="A2153" s="98" t="n">
        <v>67245</v>
      </c>
      <c r="B2153" s="98" t="inlineStr">
        <is>
          <t>TWISTED SHOTZ JOLLI JOLLI</t>
        </is>
      </c>
      <c r="C2153" s="97">
        <f>VLOOKUP(A2153,SizeData!A$2:B$3839,2,FALSE)</f>
        <v/>
      </c>
      <c r="D2153" s="98" t="n">
        <v>1</v>
      </c>
      <c r="E2153" s="98" t="inlineStr">
        <is>
          <t>R2030138</t>
        </is>
      </c>
      <c r="F2153" s="99" t="n">
        <v>44986</v>
      </c>
      <c r="G2153" s="100" t="n"/>
    </row>
    <row r="2154" ht="16" customHeight="1">
      <c r="A2154" s="98" t="n">
        <v>67245</v>
      </c>
      <c r="B2154" s="98" t="inlineStr">
        <is>
          <t>TWISTED SHOTZ JOLLI JOLLI</t>
        </is>
      </c>
      <c r="C2154" s="97">
        <f>VLOOKUP(A2154,SizeData!A$2:B$3839,2,FALSE)</f>
        <v/>
      </c>
      <c r="D2154" s="98" t="n">
        <v>2</v>
      </c>
      <c r="E2154" s="98" t="inlineStr">
        <is>
          <t>R2021002</t>
        </is>
      </c>
      <c r="F2154" s="99" t="n">
        <v>44992</v>
      </c>
      <c r="G2154" s="100" t="n"/>
    </row>
    <row r="2155" ht="16" customHeight="1">
      <c r="A2155" s="98" t="n">
        <v>67043</v>
      </c>
      <c r="B2155" s="98" t="inlineStr">
        <is>
          <t>TWISTED SHOTZ PORN STAR</t>
        </is>
      </c>
      <c r="C2155" s="97">
        <f>VLOOKUP(A2155,SizeData!A$2:B$3839,2,FALSE)</f>
        <v/>
      </c>
      <c r="D2155" s="98" t="n">
        <v>1</v>
      </c>
      <c r="E2155" s="98" t="inlineStr">
        <is>
          <t>R2030138</t>
        </is>
      </c>
      <c r="F2155" s="99" t="n">
        <v>44986</v>
      </c>
      <c r="G2155" s="100" t="n"/>
    </row>
    <row r="2156" ht="16" customHeight="1">
      <c r="A2156" s="98" t="n">
        <v>67043</v>
      </c>
      <c r="B2156" s="98" t="inlineStr">
        <is>
          <t>TWISTED SHOTZ PORN STAR</t>
        </is>
      </c>
      <c r="C2156" s="97">
        <f>VLOOKUP(A2156,SizeData!A$2:B$3839,2,FALSE)</f>
        <v/>
      </c>
      <c r="D2156" s="98" t="n">
        <v>4</v>
      </c>
      <c r="E2156" s="98" t="inlineStr">
        <is>
          <t>R2021002</t>
        </is>
      </c>
      <c r="F2156" s="99" t="n">
        <v>44992</v>
      </c>
      <c r="G2156" s="100" t="n"/>
    </row>
    <row r="2157" ht="16" customHeight="1">
      <c r="A2157" s="98" t="n">
        <v>67075</v>
      </c>
      <c r="B2157" s="98" t="inlineStr">
        <is>
          <t>TWISTED SHOTZ SEX ON THE BEACH</t>
        </is>
      </c>
      <c r="C2157" s="97">
        <f>VLOOKUP(A2157,SizeData!A$2:B$3839,2,FALSE)</f>
        <v/>
      </c>
      <c r="D2157" s="98" t="n">
        <v>4</v>
      </c>
      <c r="E2157" s="98" t="inlineStr">
        <is>
          <t>R2021002</t>
        </is>
      </c>
      <c r="F2157" s="99" t="n">
        <v>44992</v>
      </c>
      <c r="G2157" s="100" t="n"/>
    </row>
    <row r="2158" ht="16" customHeight="1">
      <c r="A2158" s="98" t="n">
        <v>26966</v>
      </c>
      <c r="B2158" s="98" t="inlineStr">
        <is>
          <t>UNCLE NEAREST 1856 AGED PREMIUM WHISKEY</t>
        </is>
      </c>
      <c r="C2158" s="97">
        <f>VLOOKUP(A2158,SizeData!A$2:B$3839,2,FALSE)</f>
        <v/>
      </c>
      <c r="D2158" s="98" t="n">
        <v>2</v>
      </c>
      <c r="E2158" s="98" t="inlineStr">
        <is>
          <t>R2012784</t>
        </is>
      </c>
      <c r="F2158" s="99" t="n">
        <v>44992</v>
      </c>
      <c r="G2158" s="100" t="n"/>
    </row>
    <row r="2159" ht="16" customHeight="1">
      <c r="A2159" s="98" t="n">
        <v>26707</v>
      </c>
      <c r="B2159" s="98" t="inlineStr">
        <is>
          <t>UNCLE NEAREST 1884 SMALL BATCH WHISKEY</t>
        </is>
      </c>
      <c r="C2159" s="97">
        <f>VLOOKUP(A2159,SizeData!A$2:B$3839,2,FALSE)</f>
        <v/>
      </c>
      <c r="D2159" s="98" t="n">
        <v>3</v>
      </c>
      <c r="E2159" s="98" t="inlineStr">
        <is>
          <t>R1937054</t>
        </is>
      </c>
      <c r="F2159" s="99" t="n">
        <v>44937</v>
      </c>
      <c r="G2159" s="100" t="n"/>
    </row>
    <row r="2160" ht="16" customHeight="1">
      <c r="A2160" s="98" t="n">
        <v>26707</v>
      </c>
      <c r="B2160" s="98" t="inlineStr">
        <is>
          <t>UNCLE NEAREST 1884 SMALL BATCH WHISKEY</t>
        </is>
      </c>
      <c r="C2160" s="97">
        <f>VLOOKUP(A2160,SizeData!A$2:B$3839,2,FALSE)</f>
        <v/>
      </c>
      <c r="D2160" s="98" t="n">
        <v>3</v>
      </c>
      <c r="E2160" s="98" t="inlineStr">
        <is>
          <t>R2003147</t>
        </is>
      </c>
      <c r="F2160" s="99" t="n">
        <v>44987</v>
      </c>
      <c r="G2160" s="100" t="n"/>
    </row>
    <row r="2161" ht="16" customHeight="1">
      <c r="A2161" s="98" t="n">
        <v>735192</v>
      </c>
      <c r="B2161" s="98" t="inlineStr">
        <is>
          <t>VILLA JOLANDA PEACH MOSCATO</t>
        </is>
      </c>
      <c r="C2161" s="97">
        <f>VLOOKUP(A2161,SizeData!A$2:B$3839,2,FALSE)</f>
        <v/>
      </c>
      <c r="D2161" s="98" t="n">
        <v>1</v>
      </c>
      <c r="E2161" s="98" t="inlineStr">
        <is>
          <t>R2067106</t>
        </is>
      </c>
      <c r="F2161" s="99" t="n">
        <v>45028</v>
      </c>
      <c r="G2161" s="100" t="n"/>
    </row>
    <row r="2162" ht="16" customHeight="1">
      <c r="A2162" s="98" t="n">
        <v>90916</v>
      </c>
      <c r="B2162" s="98" t="inlineStr">
        <is>
          <t>WARRES PORT OTIMA 10YR TAWNY</t>
        </is>
      </c>
      <c r="C2162" s="97">
        <f>VLOOKUP(A2162,SizeData!A$2:B$3839,2,FALSE)</f>
        <v/>
      </c>
      <c r="D2162" s="98" t="n">
        <v>1</v>
      </c>
      <c r="E2162" s="98" t="inlineStr">
        <is>
          <t>R2009092</t>
        </is>
      </c>
      <c r="F2162" s="99" t="n">
        <v>45001</v>
      </c>
      <c r="G2162" s="100" t="n"/>
    </row>
    <row r="2163" ht="16" customHeight="1">
      <c r="A2163" s="98" t="n">
        <v>22154</v>
      </c>
      <c r="B2163" s="98" t="inlineStr">
        <is>
          <t>WILD TURKEY 101 STRAIGHT BOURBON</t>
        </is>
      </c>
      <c r="C2163" s="97">
        <f>VLOOKUP(A2163,SizeData!A$2:B$3839,2,FALSE)</f>
        <v/>
      </c>
      <c r="D2163" s="98" t="n">
        <v>1</v>
      </c>
      <c r="E2163" s="98" t="inlineStr">
        <is>
          <t>R2057184</t>
        </is>
      </c>
      <c r="F2163" s="99" t="n">
        <v>45034</v>
      </c>
      <c r="G2163" s="100" t="n"/>
    </row>
    <row r="2164" ht="16" customHeight="1">
      <c r="A2164" s="98" t="n">
        <v>22121</v>
      </c>
      <c r="B2164" s="98" t="inlineStr">
        <is>
          <t>WILD TURKEY 81 STRAIGHT BOURBON</t>
        </is>
      </c>
      <c r="C2164" s="97">
        <f>VLOOKUP(A2164,SizeData!A$2:B$3839,2,FALSE)</f>
        <v/>
      </c>
      <c r="D2164" s="98" t="n">
        <v>1</v>
      </c>
      <c r="E2164" s="98" t="inlineStr">
        <is>
          <t>R1957712</t>
        </is>
      </c>
      <c r="F2164" s="99" t="n">
        <v>44958</v>
      </c>
      <c r="G2164" s="100" t="n"/>
    </row>
    <row r="2165" ht="16" customHeight="1">
      <c r="A2165" s="98" t="n">
        <v>35903</v>
      </c>
      <c r="B2165" s="98" t="inlineStr">
        <is>
          <t>WODKA VODKA POLISH VODKA</t>
        </is>
      </c>
      <c r="C2165" s="97">
        <f>VLOOKUP(A2165,SizeData!A$2:B$3839,2,FALSE)</f>
        <v/>
      </c>
      <c r="D2165" s="98" t="n">
        <v>2</v>
      </c>
      <c r="E2165" s="98" t="inlineStr">
        <is>
          <t>R1926446</t>
        </is>
      </c>
      <c r="F2165" s="99" t="n">
        <v>44930</v>
      </c>
      <c r="G2165" s="100" t="n"/>
    </row>
    <row r="2166" ht="16" customHeight="1">
      <c r="A2166" s="98" t="n">
        <v>498105</v>
      </c>
      <c r="B2166" s="98" t="inlineStr">
        <is>
          <t>WOODBRIDGE BY ROBERET MONDAVI CABERNET SAUVIGNON</t>
        </is>
      </c>
      <c r="C2166" s="97">
        <f>VLOOKUP(A2166,SizeData!A$2:B$3839,2,FALSE)</f>
        <v/>
      </c>
      <c r="D2166" s="98" t="n">
        <v>4</v>
      </c>
      <c r="E2166" s="98" t="inlineStr">
        <is>
          <t>R1993703</t>
        </is>
      </c>
      <c r="F2166" s="99" t="n">
        <v>44981</v>
      </c>
      <c r="G2166" s="100" t="n"/>
    </row>
    <row r="2167" ht="16" customHeight="1">
      <c r="A2167" s="98" t="n">
        <v>638809</v>
      </c>
      <c r="B2167" s="98" t="inlineStr">
        <is>
          <t>WOODBRIDGE BY ROBERT MONDAVI CHARDONNAY</t>
        </is>
      </c>
      <c r="C2167" s="97">
        <f>VLOOKUP(A2167,SizeData!A$2:B$3839,2,FALSE)</f>
        <v/>
      </c>
      <c r="D2167" s="98" t="n">
        <v>1</v>
      </c>
      <c r="E2167" s="98" t="inlineStr">
        <is>
          <t>R2027602</t>
        </is>
      </c>
      <c r="F2167" s="99" t="n">
        <v>45003</v>
      </c>
      <c r="G2167" s="100" t="n"/>
    </row>
    <row r="2168" ht="16" customHeight="1">
      <c r="A2168" s="101" t="n">
        <v>607140</v>
      </c>
      <c r="B2168" s="101" t="inlineStr">
        <is>
          <t>WOODBRIDGE BY ROBERT MONDAVI PINOT GRIGIO</t>
        </is>
      </c>
      <c r="C2168" s="102">
        <f>VLOOKUP(A2168,SizeData!A$2:B$3839,2,FALSE)</f>
        <v/>
      </c>
      <c r="D2168" s="101" t="n">
        <v>2</v>
      </c>
      <c r="E2168" s="101" t="inlineStr">
        <is>
          <t>R2082317</t>
        </is>
      </c>
      <c r="F2168" s="103" t="n">
        <v>45047</v>
      </c>
      <c r="G2168" s="104" t="n"/>
    </row>
    <row r="2169" ht="16" customHeight="1">
      <c r="A2169" s="101" t="n">
        <v>498123</v>
      </c>
      <c r="B2169" s="101" t="inlineStr">
        <is>
          <t>WOODBRIDGE BY ROBERT MONDAVI PINOT NOIR</t>
        </is>
      </c>
      <c r="C2169" s="102">
        <f>VLOOKUP(A2169,SizeData!A$2:B$3839,2,FALSE)</f>
        <v/>
      </c>
      <c r="D2169" s="101" t="n">
        <v>2</v>
      </c>
      <c r="E2169" s="101" t="inlineStr">
        <is>
          <t>R1993703</t>
        </is>
      </c>
      <c r="F2169" s="103" t="n">
        <v>44981</v>
      </c>
      <c r="G2169" s="104" t="n"/>
    </row>
    <row r="2170" ht="16" customHeight="1">
      <c r="A2170" s="98" t="n">
        <v>498124</v>
      </c>
      <c r="B2170" s="98" t="inlineStr">
        <is>
          <t>WOODBRIDGE BY ROBERT MONDAVI PINOT NOIR</t>
        </is>
      </c>
      <c r="C2170" s="97">
        <f>VLOOKUP(A2170,SizeData!A$2:B$3839,2,FALSE)</f>
        <v/>
      </c>
      <c r="D2170" s="98" t="n">
        <v>2</v>
      </c>
      <c r="E2170" s="98" t="inlineStr">
        <is>
          <t>R2055049</t>
        </is>
      </c>
      <c r="F2170" s="99" t="n">
        <v>45017</v>
      </c>
      <c r="G2170" s="100" t="n"/>
    </row>
    <row r="2171" ht="16" customHeight="1">
      <c r="A2171" s="98" t="n">
        <v>498124</v>
      </c>
      <c r="B2171" s="98" t="inlineStr">
        <is>
          <t>WOODBRIDGE BY ROBERT MONDAVI PINOT NOIR</t>
        </is>
      </c>
      <c r="C2171" s="97">
        <f>VLOOKUP(A2171,SizeData!A$2:B$3839,2,FALSE)</f>
        <v/>
      </c>
      <c r="D2171" s="98" t="n">
        <v>2</v>
      </c>
      <c r="E2171" s="98" t="inlineStr">
        <is>
          <t>R2072241</t>
        </is>
      </c>
      <c r="F2171" s="99" t="n">
        <v>45035</v>
      </c>
      <c r="G2171" s="100" t="n"/>
    </row>
    <row r="2172" ht="16" customHeight="1">
      <c r="A2172" s="98" t="n">
        <v>22215</v>
      </c>
      <c r="B2172" s="98" t="inlineStr">
        <is>
          <t>WOODFORD RESERVE KENTUCKY STRAIGHT BOURBON</t>
        </is>
      </c>
      <c r="C2172" s="97">
        <f>VLOOKUP(A2172,SizeData!A$2:B$3839,2,FALSE)</f>
        <v/>
      </c>
      <c r="D2172" s="98" t="n">
        <v>1</v>
      </c>
      <c r="E2172" s="98" t="inlineStr">
        <is>
          <t>R1991528</t>
        </is>
      </c>
      <c r="F2172" s="99" t="n">
        <v>44974</v>
      </c>
      <c r="G2172" s="100" t="n"/>
    </row>
    <row r="2173" ht="16" customHeight="1">
      <c r="A2173" s="98" t="n">
        <v>22215</v>
      </c>
      <c r="B2173" s="98" t="inlineStr">
        <is>
          <t>WOODFORD RESERVE KENTUCKY STRAIGHT BOURBON</t>
        </is>
      </c>
      <c r="C2173" s="97">
        <f>VLOOKUP(A2173,SizeData!A$2:B$3839,2,FALSE)</f>
        <v/>
      </c>
      <c r="D2173" s="98" t="n">
        <v>1</v>
      </c>
      <c r="E2173" s="98" t="inlineStr">
        <is>
          <t>R2030138</t>
        </is>
      </c>
      <c r="F2173" s="99" t="n">
        <v>44986</v>
      </c>
      <c r="G2173" s="100" t="n"/>
    </row>
    <row r="2174" ht="16" customHeight="1">
      <c r="A2174" s="98" t="n">
        <v>22215</v>
      </c>
      <c r="B2174" s="98" t="inlineStr">
        <is>
          <t>WOODFORD RESERVE KENTUCKY STRAIGHT BOURBON</t>
        </is>
      </c>
      <c r="C2174" s="97">
        <f>VLOOKUP(A2174,SizeData!A$2:B$3839,2,FALSE)</f>
        <v/>
      </c>
      <c r="D2174" s="98" t="n">
        <v>3</v>
      </c>
      <c r="E2174" s="98" t="inlineStr">
        <is>
          <t>R2005740</t>
        </is>
      </c>
      <c r="F2174" s="99" t="n">
        <v>44987</v>
      </c>
      <c r="G2174" s="100" t="n"/>
    </row>
    <row r="2175" ht="16" customHeight="1">
      <c r="A2175" s="101" t="n">
        <v>22215</v>
      </c>
      <c r="B2175" s="101" t="inlineStr">
        <is>
          <t>WOODFORD RESERVE KENTUCKY STRAIGHT BOURBON</t>
        </is>
      </c>
      <c r="C2175" s="102">
        <f>VLOOKUP(A2175,SizeData!A$2:B$3839,2,FALSE)</f>
        <v/>
      </c>
      <c r="D2175" s="101" t="n">
        <v>1</v>
      </c>
      <c r="E2175" s="101" t="inlineStr">
        <is>
          <t>R2005740</t>
        </is>
      </c>
      <c r="F2175" s="103" t="n">
        <v>44987</v>
      </c>
      <c r="G2175" s="100" t="n"/>
    </row>
    <row r="2176" ht="16" customHeight="1">
      <c r="A2176" s="98" t="n">
        <v>22214</v>
      </c>
      <c r="B2176" s="98" t="inlineStr">
        <is>
          <t>WOODFORD RESERVE KENTUCKY STRAIGHT BOURBON</t>
        </is>
      </c>
      <c r="C2176" s="97">
        <f>VLOOKUP(A2176,SizeData!A$2:B$3839,2,FALSE)</f>
        <v/>
      </c>
      <c r="D2176" s="98" t="n">
        <v>1</v>
      </c>
      <c r="E2176" s="98" t="inlineStr">
        <is>
          <t>R2053991</t>
        </is>
      </c>
      <c r="F2176" s="99" t="n">
        <v>45036</v>
      </c>
      <c r="G2176" s="100" t="n"/>
    </row>
    <row r="2177" ht="16" customHeight="1">
      <c r="A2177" s="98" t="n">
        <v>429955</v>
      </c>
      <c r="B2177" s="98" t="inlineStr">
        <is>
          <t>YELLOW TAIL CHARDONNAY SOUTH EASTERN AUST</t>
        </is>
      </c>
      <c r="C2177" s="97">
        <f>VLOOKUP(A2177,SizeData!A$2:B$3839,2,FALSE)</f>
        <v/>
      </c>
      <c r="D2177" s="98" t="n">
        <v>15</v>
      </c>
      <c r="E2177" s="98" t="inlineStr">
        <is>
          <t>R2087862</t>
        </is>
      </c>
      <c r="F2177" s="99" t="n">
        <v>45051</v>
      </c>
      <c r="G2177" s="100" t="n"/>
    </row>
    <row r="2178" ht="16" customHeight="1">
      <c r="A2178" s="98" t="n">
        <v>429955</v>
      </c>
      <c r="B2178" s="98" t="inlineStr">
        <is>
          <t>YELLOW TAIL CHARDONNAY SOUTH EASTERN AUST</t>
        </is>
      </c>
      <c r="C2178" s="97">
        <f>VLOOKUP(A2178,SizeData!A$2:B$3839,2,FALSE)</f>
        <v/>
      </c>
      <c r="D2178" s="98" t="n">
        <v>5</v>
      </c>
      <c r="E2178" s="98" t="inlineStr">
        <is>
          <t>R2082317</t>
        </is>
      </c>
      <c r="F2178" s="99" t="n">
        <v>45047</v>
      </c>
      <c r="G2178" s="100" t="n"/>
    </row>
    <row r="2179" ht="16" customHeight="1">
      <c r="A2179" s="101" t="n">
        <v>429999</v>
      </c>
      <c r="B2179" s="101" t="inlineStr">
        <is>
          <t>YELLOW TAIL JAMMY RED ROO</t>
        </is>
      </c>
      <c r="C2179" s="102">
        <f>VLOOKUP(A2179,SizeData!A$2:B$3839,2,FALSE)</f>
        <v/>
      </c>
      <c r="D2179" s="101" t="n">
        <v>2</v>
      </c>
      <c r="E2179" s="101" t="inlineStr">
        <is>
          <t>R2017905</t>
        </is>
      </c>
      <c r="F2179" s="103" t="n">
        <v>44993</v>
      </c>
      <c r="G2179" s="104" t="n"/>
    </row>
    <row r="2180" ht="16" customHeight="1">
      <c r="A2180" s="98" t="n">
        <v>429975</v>
      </c>
      <c r="B2180" s="98" t="inlineStr">
        <is>
          <t>YELLOW TAIL MERLOT</t>
        </is>
      </c>
      <c r="C2180" s="97">
        <f>VLOOKUP(A2180,SizeData!A$2:B$3839,2,FALSE)</f>
        <v/>
      </c>
      <c r="D2180" s="98" t="n">
        <v>3</v>
      </c>
      <c r="E2180" s="98" t="inlineStr">
        <is>
          <t>R1961502</t>
        </is>
      </c>
      <c r="F2180" s="99" t="n">
        <v>44953</v>
      </c>
      <c r="G2180" s="100" t="n"/>
    </row>
    <row r="2181" ht="16" customHeight="1">
      <c r="A2181" s="98" t="n">
        <v>429964</v>
      </c>
      <c r="B2181" s="98" t="inlineStr">
        <is>
          <t>YELLOW TAIL MOSCATO SE AUSTRALIA</t>
        </is>
      </c>
      <c r="C2181" s="97">
        <f>VLOOKUP(A2181,SizeData!A$2:B$3839,2,FALSE)</f>
        <v/>
      </c>
      <c r="D2181" s="98" t="n">
        <v>1</v>
      </c>
      <c r="E2181" s="98" t="inlineStr">
        <is>
          <t>R2017905</t>
        </is>
      </c>
      <c r="F2181" s="99" t="n">
        <v>44993</v>
      </c>
      <c r="G2181" s="100" t="n"/>
    </row>
    <row r="2182" ht="16" customHeight="1">
      <c r="A2182" s="98" t="n">
        <v>430012</v>
      </c>
      <c r="B2182" s="98" t="inlineStr">
        <is>
          <t>YELLOW TAIL PINOT GRIGIO</t>
        </is>
      </c>
      <c r="C2182" s="97">
        <f>VLOOKUP(A2182,SizeData!A$2:B$3839,2,FALSE)</f>
        <v/>
      </c>
      <c r="D2182" s="98" t="n">
        <v>1</v>
      </c>
      <c r="E2182" s="98" t="inlineStr">
        <is>
          <t>R2047859</t>
        </is>
      </c>
      <c r="F2182" s="99" t="n">
        <v>45016</v>
      </c>
      <c r="G2182" s="100" t="n"/>
    </row>
    <row r="2183" ht="16" customHeight="1">
      <c r="A2183" s="98" t="n">
        <v>429993</v>
      </c>
      <c r="B2183" s="98" t="inlineStr">
        <is>
          <t>YELLOW TAIL SANGRIA</t>
        </is>
      </c>
      <c r="C2183" s="97">
        <f>VLOOKUP(A2183,SizeData!A$2:B$3839,2,FALSE)</f>
        <v/>
      </c>
      <c r="D2183" s="98" t="n">
        <v>1</v>
      </c>
      <c r="E2183" s="98" t="inlineStr">
        <is>
          <t>R2030138</t>
        </is>
      </c>
      <c r="F2183" s="99" t="n">
        <v>44986</v>
      </c>
      <c r="G2183" s="100" t="n"/>
    </row>
    <row r="2184" ht="16" customHeight="1">
      <c r="A2184" s="98" t="n">
        <v>429993</v>
      </c>
      <c r="B2184" s="98" t="inlineStr">
        <is>
          <t>YELLOW TAIL SANGRIA</t>
        </is>
      </c>
      <c r="C2184" s="97">
        <f>VLOOKUP(A2184,SizeData!A$2:B$3839,2,FALSE)</f>
        <v/>
      </c>
      <c r="D2184" s="98" t="n">
        <v>1</v>
      </c>
      <c r="E2184" s="98" t="inlineStr">
        <is>
          <t>R2082317</t>
        </is>
      </c>
      <c r="F2184" s="99" t="n">
        <v>45047</v>
      </c>
      <c r="G2184" s="100" t="n"/>
    </row>
    <row r="2185" ht="16" customHeight="1">
      <c r="A2185" s="98" t="n">
        <v>429973</v>
      </c>
      <c r="B2185" s="98" t="inlineStr">
        <is>
          <t>YELLOW TAIL SMOOTH RED BLEND</t>
        </is>
      </c>
      <c r="C2185" s="97">
        <f>VLOOKUP(A2185,SizeData!A$2:B$3839,2,FALSE)</f>
        <v/>
      </c>
      <c r="D2185" s="98" t="n">
        <v>1</v>
      </c>
      <c r="E2185" s="98" t="inlineStr">
        <is>
          <t>R1914089</t>
        </is>
      </c>
      <c r="F2185" s="99" t="n">
        <v>44927</v>
      </c>
      <c r="G2185" s="100" t="n"/>
    </row>
  </sheetData>
  <autoFilter ref="A2:G2185">
    <sortState ref="A3:G2185">
      <sortCondition ref="B2:B2185"/>
    </sortState>
  </autoFilter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tabSelected="1" workbookViewId="0">
      <selection activeCell="D11" sqref="D11"/>
    </sheetView>
  </sheetViews>
  <sheetFormatPr baseColWidth="10" defaultColWidth="8.83203125" defaultRowHeight="15"/>
  <cols>
    <col width="12" customWidth="1" min="1" max="1"/>
    <col width="39.5" bestFit="1" customWidth="1" min="2" max="2"/>
    <col width="17.83203125" bestFit="1" customWidth="1" min="3" max="3"/>
    <col width="34.5" customWidth="1" min="4" max="4"/>
    <col width="11.83203125" bestFit="1" customWidth="1" min="5" max="5"/>
  </cols>
  <sheetData>
    <row r="1" ht="21" customHeight="1">
      <c r="D1" s="36">
        <f>SUM(D3:D475)</f>
        <v/>
      </c>
    </row>
    <row r="2">
      <c r="A2" s="1" t="inlineStr">
        <is>
          <t>Item #</t>
        </is>
      </c>
      <c r="B2" s="1" t="inlineStr">
        <is>
          <t>Name</t>
        </is>
      </c>
      <c r="C2" s="7" t="inlineStr">
        <is>
          <t>Size</t>
        </is>
      </c>
      <c r="D2" s="1" t="inlineStr">
        <is>
          <t>Reserved Quantity</t>
        </is>
      </c>
      <c r="E2" s="1" t="inlineStr">
        <is>
          <t>Order</t>
        </is>
      </c>
      <c r="F2" s="2" t="inlineStr">
        <is>
          <t>Date</t>
        </is>
      </c>
      <c r="G2" s="1" t="inlineStr">
        <is>
          <t>Note</t>
        </is>
      </c>
    </row>
    <row r="4" ht="16" customHeight="1">
      <c r="A4" s="98" t="n">
        <v>48105</v>
      </c>
      <c r="B4" s="98" t="inlineStr">
        <is>
          <t>HENNESSY V S COGNAC</t>
        </is>
      </c>
      <c r="C4" s="97">
        <f>VLOOKUP(A4,SizeData!A$2:B$3839,2,FALSE)</f>
        <v/>
      </c>
      <c r="D4" s="98" t="n">
        <v>100</v>
      </c>
      <c r="E4" s="98" t="inlineStr">
        <is>
          <t>R2101701</t>
        </is>
      </c>
      <c r="F4" s="99" t="n">
        <v>45056</v>
      </c>
      <c r="G4" s="100" t="n"/>
    </row>
    <row r="5" ht="16" customHeight="1">
      <c r="A5" s="98" t="n">
        <v>48105</v>
      </c>
      <c r="B5" s="98" t="inlineStr">
        <is>
          <t>HENNESSY V S COGNAC</t>
        </is>
      </c>
      <c r="C5" s="97">
        <f>VLOOKUP(A5,SizeData!A$2:B$3839,2,FALSE)</f>
        <v/>
      </c>
      <c r="D5" s="98" t="n">
        <v>40</v>
      </c>
      <c r="E5" s="98" t="inlineStr">
        <is>
          <t>R2100821</t>
        </is>
      </c>
      <c r="F5" s="99" t="n">
        <v>45056</v>
      </c>
      <c r="G5" s="100" t="n"/>
    </row>
    <row r="6" ht="16" customHeight="1">
      <c r="A6" s="98" t="n">
        <v>429955</v>
      </c>
      <c r="B6" s="98" t="inlineStr">
        <is>
          <t>YELLOW TAIL CHARDONNAY SOUTH EASTERN AUST</t>
        </is>
      </c>
      <c r="C6" s="97">
        <f>VLOOKUP(A6,SizeData!A$2:B$3839,2,FALSE)</f>
        <v/>
      </c>
      <c r="D6" s="98" t="n">
        <v>15</v>
      </c>
      <c r="E6" s="98" t="inlineStr">
        <is>
          <t>R2087862</t>
        </is>
      </c>
      <c r="F6" s="99" t="n">
        <v>45051</v>
      </c>
      <c r="G6" s="100" t="n"/>
    </row>
    <row r="7">
      <c r="A7" t="inlineStr">
        <is>
          <t>hello</t>
        </is>
      </c>
    </row>
  </sheetData>
  <autoFilter ref="A2:G2">
    <sortState ref="A3:G10">
      <sortCondition ref="A2"/>
    </sortState>
  </autoFilter>
  <pageMargins left="0.7" right="0.7" top="0.75" bottom="0.75" header="0.3" footer="0.3"/>
  <pageSetup orientation="portrait" scale="67" fitToHeight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T409"/>
  <sheetViews>
    <sheetView topLeftCell="A391" workbookViewId="0">
      <selection activeCell="A409" sqref="A409:XFD409"/>
    </sheetView>
  </sheetViews>
  <sheetFormatPr baseColWidth="10" defaultColWidth="8.83203125" defaultRowHeight="15"/>
  <cols>
    <col width="72" bestFit="1" customWidth="1" min="2" max="2"/>
    <col width="12" bestFit="1" customWidth="1" min="5" max="5"/>
  </cols>
  <sheetData>
    <row r="2">
      <c r="A2" s="1" t="inlineStr">
        <is>
          <t>Item #</t>
        </is>
      </c>
      <c r="B2" s="1" t="inlineStr">
        <is>
          <t>Name</t>
        </is>
      </c>
      <c r="C2" s="1" t="inlineStr">
        <is>
          <t>Size</t>
        </is>
      </c>
      <c r="D2" s="1" t="inlineStr">
        <is>
          <t>Reserved Quantity</t>
        </is>
      </c>
      <c r="E2" s="1" t="inlineStr">
        <is>
          <t>Order</t>
        </is>
      </c>
      <c r="F2" s="1" t="inlineStr">
        <is>
          <t>Date</t>
        </is>
      </c>
      <c r="G2" s="71" t="inlineStr">
        <is>
          <t>Notes</t>
        </is>
      </c>
    </row>
    <row r="3">
      <c r="A3" s="84" t="n">
        <v>48099</v>
      </c>
      <c r="B3" s="84" t="inlineStr">
        <is>
          <t>HENNESSY V S COGNAC</t>
        </is>
      </c>
      <c r="C3" s="85">
        <f>VLOOKUP(A3,SizeData!A$2:B$3839,2,FALSE)</f>
        <v/>
      </c>
      <c r="D3" s="84" t="n">
        <v>9</v>
      </c>
      <c r="E3" s="84" t="inlineStr">
        <is>
          <t>R1834724</t>
        </is>
      </c>
      <c r="F3" s="86" t="n">
        <v>44860</v>
      </c>
      <c r="G3" s="87" t="n"/>
    </row>
    <row r="4">
      <c r="A4" s="26" t="n">
        <v>4725</v>
      </c>
      <c r="B4" s="26" t="inlineStr">
        <is>
          <t>CHIVAS REGAL (ROUND)</t>
        </is>
      </c>
      <c r="C4" s="75">
        <f>VLOOKUP(A4,SizeData!A$2:B$3839,2,FALSE)</f>
        <v/>
      </c>
      <c r="D4" s="26" t="n">
        <v>2</v>
      </c>
      <c r="E4" s="26" t="inlineStr">
        <is>
          <t>R1837345</t>
        </is>
      </c>
      <c r="F4" s="72" t="n">
        <v>44859</v>
      </c>
      <c r="G4" s="73" t="n"/>
    </row>
    <row r="5">
      <c r="A5" s="26" t="n">
        <v>87725</v>
      </c>
      <c r="B5" s="26" t="inlineStr">
        <is>
          <t>GRAN CORAMINO CRISTALINO REPOSADO TEQUILA LTO</t>
        </is>
      </c>
      <c r="C5" s="75">
        <f>VLOOKUP(A5,SizeData!A$2:B$3839,2,FALSE)</f>
        <v/>
      </c>
      <c r="D5" s="26" t="n">
        <v>5</v>
      </c>
      <c r="E5" s="26" t="inlineStr">
        <is>
          <t>R1850607</t>
        </is>
      </c>
      <c r="F5" s="72" t="n">
        <v>44860</v>
      </c>
      <c r="G5" s="73" t="n"/>
    </row>
    <row r="6">
      <c r="A6" s="26" t="n">
        <v>44486</v>
      </c>
      <c r="B6" s="26" t="inlineStr">
        <is>
          <t>CRUZAN ESTATE DARK RUM</t>
        </is>
      </c>
      <c r="C6" s="75">
        <f>VLOOKUP(A6,SizeData!A$2:B$3839,2,FALSE)</f>
        <v/>
      </c>
      <c r="D6" s="26" t="n">
        <v>1</v>
      </c>
      <c r="E6" s="26" t="inlineStr">
        <is>
          <t>R1816996</t>
        </is>
      </c>
      <c r="F6" s="72" t="n">
        <v>44859</v>
      </c>
      <c r="G6" s="73" t="n"/>
    </row>
    <row r="7">
      <c r="A7" s="26" t="n">
        <v>43533</v>
      </c>
      <c r="B7" s="26" t="inlineStr">
        <is>
          <t>PLANTATION O.F.T.D OVERPROOF DARK RUM</t>
        </is>
      </c>
      <c r="C7" s="75">
        <f>VLOOKUP(A7,SizeData!A$2:B$3839,2,FALSE)</f>
        <v/>
      </c>
      <c r="D7" s="26" t="n">
        <v>1</v>
      </c>
      <c r="E7" s="26" t="inlineStr">
        <is>
          <t>R1829977</t>
        </is>
      </c>
      <c r="F7" s="72" t="n">
        <v>44861</v>
      </c>
      <c r="G7" s="73" t="n"/>
    </row>
    <row r="8">
      <c r="A8" s="26" t="n">
        <v>552052</v>
      </c>
      <c r="B8" s="26" t="inlineStr">
        <is>
          <t>CARLO ROSSI CHARDONNAY</t>
        </is>
      </c>
      <c r="C8" s="75">
        <f>VLOOKUP(A8,SizeData!A$2:B$3839,2,FALSE)</f>
        <v/>
      </c>
      <c r="D8" s="26" t="n">
        <v>1</v>
      </c>
      <c r="E8" s="26" t="inlineStr">
        <is>
          <t>R1829977</t>
        </is>
      </c>
      <c r="F8" s="72" t="n">
        <v>44861</v>
      </c>
      <c r="G8" s="73" t="n"/>
    </row>
    <row r="9">
      <c r="A9" s="84" t="n">
        <v>683326</v>
      </c>
      <c r="B9" s="84" t="inlineStr">
        <is>
          <t>SUTTER HOME PINK MOSCATO CALIFORNIA</t>
        </is>
      </c>
      <c r="C9" s="85">
        <f>VLOOKUP(A9,SizeData!A$2:B$3839,2,FALSE)</f>
        <v/>
      </c>
      <c r="D9" s="84" t="n">
        <v>3</v>
      </c>
      <c r="E9" s="84" t="inlineStr">
        <is>
          <t>R1834547</t>
        </is>
      </c>
      <c r="F9" s="86" t="n">
        <v>44861</v>
      </c>
      <c r="G9" s="87" t="n"/>
    </row>
    <row r="10">
      <c r="A10" s="26" t="n">
        <v>5555</v>
      </c>
      <c r="B10" s="26" t="inlineStr">
        <is>
          <t>THE MACALLAN DOUBLE CASK 12Y HIGHLAND SINGLE MALT</t>
        </is>
      </c>
      <c r="C10" s="75">
        <f>VLOOKUP(A10,SizeData!A$2:B$3839,2,FALSE)</f>
        <v/>
      </c>
      <c r="D10" s="26" t="n">
        <v>2</v>
      </c>
      <c r="E10" s="26" t="inlineStr">
        <is>
          <t>R1841287</t>
        </is>
      </c>
      <c r="F10" s="72" t="n">
        <v>44861</v>
      </c>
      <c r="G10" s="73" t="n"/>
    </row>
    <row r="11">
      <c r="A11" s="26" t="n">
        <v>44516</v>
      </c>
      <c r="B11" s="26" t="inlineStr">
        <is>
          <t>CRUZAN ESTATE LIGHT RUM</t>
        </is>
      </c>
      <c r="C11" s="75">
        <f>VLOOKUP(A11,SizeData!A$2:B$3839,2,FALSE)</f>
        <v/>
      </c>
      <c r="D11" s="26" t="n">
        <v>2</v>
      </c>
      <c r="E11" s="26" t="inlineStr">
        <is>
          <t>R1834591</t>
        </is>
      </c>
      <c r="F11" s="72" t="n">
        <v>44863</v>
      </c>
      <c r="G11" s="73" t="n"/>
    </row>
    <row r="12">
      <c r="A12" s="26" t="n">
        <v>49376</v>
      </c>
      <c r="B12" s="26" t="inlineStr">
        <is>
          <t>SALIGNAC V S</t>
        </is>
      </c>
      <c r="C12" s="75">
        <f>VLOOKUP(A12,SizeData!A$2:B$3839,2,FALSE)</f>
        <v/>
      </c>
      <c r="D12" s="26" t="n">
        <v>1</v>
      </c>
      <c r="E12" s="26" t="inlineStr">
        <is>
          <t>R1834591</t>
        </is>
      </c>
      <c r="F12" s="72" t="n">
        <v>44863</v>
      </c>
      <c r="G12" s="73" t="n"/>
    </row>
    <row r="13">
      <c r="A13" s="26" t="n">
        <v>51109</v>
      </c>
      <c r="B13" s="26" t="inlineStr">
        <is>
          <t>CIROC VS FRENCH BRANDY</t>
        </is>
      </c>
      <c r="C13" s="75">
        <f>VLOOKUP(A13,SizeData!A$2:B$3839,2,FALSE)</f>
        <v/>
      </c>
      <c r="D13" s="26" t="n">
        <v>2</v>
      </c>
      <c r="E13" s="26" t="inlineStr">
        <is>
          <t>R1834591</t>
        </is>
      </c>
      <c r="F13" s="72" t="n">
        <v>44863</v>
      </c>
      <c r="G13" s="73" t="n"/>
    </row>
    <row r="14">
      <c r="A14" s="26" t="n">
        <v>87484</v>
      </c>
      <c r="B14" s="26" t="inlineStr">
        <is>
          <t>DON JULIO SILVER TEQUILA WHITE</t>
        </is>
      </c>
      <c r="C14" s="75">
        <f>VLOOKUP(A14,SizeData!A$2:B$3839,2,FALSE)</f>
        <v/>
      </c>
      <c r="D14" s="26" t="n">
        <v>2</v>
      </c>
      <c r="E14" s="26" t="inlineStr">
        <is>
          <t>R1840965</t>
        </is>
      </c>
      <c r="F14" s="72" t="n">
        <v>44863</v>
      </c>
      <c r="G14" s="73" t="n"/>
    </row>
    <row r="15">
      <c r="A15" s="26" t="n">
        <v>89214</v>
      </c>
      <c r="B15" s="26" t="inlineStr">
        <is>
          <t>JOSE CUERVO TRADICIONAL REPOSADO</t>
        </is>
      </c>
      <c r="C15" s="75">
        <f>VLOOKUP(A15,SizeData!A$2:B$3839,2,FALSE)</f>
        <v/>
      </c>
      <c r="D15" s="26" t="n">
        <v>2</v>
      </c>
      <c r="E15" s="26" t="inlineStr">
        <is>
          <t>R1840965</t>
        </is>
      </c>
      <c r="F15" s="72" t="n">
        <v>44863</v>
      </c>
      <c r="G15" s="73" t="n"/>
    </row>
    <row r="16">
      <c r="A16" s="26" t="n">
        <v>467655</v>
      </c>
      <c r="B16" s="26" t="inlineStr">
        <is>
          <t>FRANZIA VINTNER SELECT MERLOT</t>
        </is>
      </c>
      <c r="C16" s="75">
        <f>VLOOKUP(A16,SizeData!A$2:B$3839,2,FALSE)</f>
        <v/>
      </c>
      <c r="D16" s="26" t="n">
        <v>1</v>
      </c>
      <c r="E16" s="26" t="inlineStr">
        <is>
          <t>R1834243</t>
        </is>
      </c>
      <c r="F16" s="72" t="n">
        <v>44865</v>
      </c>
      <c r="G16" s="73" t="n"/>
    </row>
    <row r="17">
      <c r="A17" s="26" t="n">
        <v>34326</v>
      </c>
      <c r="B17" s="26" t="inlineStr">
        <is>
          <t>FINLANDIA VODKA</t>
        </is>
      </c>
      <c r="C17" s="75">
        <f>VLOOKUP(A17,SizeData!A$2:B$3839,2,FALSE)</f>
        <v/>
      </c>
      <c r="D17" s="26" t="n">
        <v>1</v>
      </c>
      <c r="E17" s="26" t="inlineStr">
        <is>
          <t>R1841934</t>
        </is>
      </c>
      <c r="F17" s="72" t="n">
        <v>44866</v>
      </c>
      <c r="G17" s="73" t="n"/>
    </row>
    <row r="18">
      <c r="A18" s="26" t="n">
        <v>43095</v>
      </c>
      <c r="B18" s="26" t="inlineStr">
        <is>
          <t>BACARDI MANGO FUSION FLAVORED RUM</t>
        </is>
      </c>
      <c r="C18" s="75">
        <f>VLOOKUP(A18,SizeData!A$2:B$3839,2,FALSE)</f>
        <v/>
      </c>
      <c r="D18" s="26" t="n">
        <v>1</v>
      </c>
      <c r="E18" s="26" t="inlineStr">
        <is>
          <t>R1841934</t>
        </is>
      </c>
      <c r="F18" s="72" t="n">
        <v>44866</v>
      </c>
      <c r="G18" s="73" t="n"/>
    </row>
    <row r="19">
      <c r="A19" s="26" t="n">
        <v>48996</v>
      </c>
      <c r="B19" s="26" t="inlineStr">
        <is>
          <t>PIERRE FERRAND AMBRE</t>
        </is>
      </c>
      <c r="C19" s="75">
        <f>VLOOKUP(A19,SizeData!A$2:B$3839,2,FALSE)</f>
        <v/>
      </c>
      <c r="D19" s="26" t="n">
        <v>5</v>
      </c>
      <c r="E19" s="26" t="inlineStr">
        <is>
          <t>R1841934</t>
        </is>
      </c>
      <c r="F19" s="72" t="n">
        <v>44866</v>
      </c>
      <c r="G19" s="73" t="n"/>
    </row>
    <row r="20">
      <c r="A20" s="26" t="n">
        <v>49000</v>
      </c>
      <c r="B20" s="26" t="inlineStr">
        <is>
          <t>PIERRE FERRAND ORIGINAL 1840 FORMULA</t>
        </is>
      </c>
      <c r="C20" s="75">
        <f>VLOOKUP(A20,SizeData!A$2:B$3839,2,FALSE)</f>
        <v/>
      </c>
      <c r="D20" s="26" t="n">
        <v>5</v>
      </c>
      <c r="E20" s="26" t="inlineStr">
        <is>
          <t>R1841934</t>
        </is>
      </c>
      <c r="F20" s="72" t="n">
        <v>44866</v>
      </c>
      <c r="G20" s="73" t="n"/>
    </row>
    <row r="21">
      <c r="A21" s="26" t="n">
        <v>66936</v>
      </c>
      <c r="B21" s="26" t="inlineStr">
        <is>
          <t>GRANGALA TRIPLE ORANGE PROPRIETARY LIQ</t>
        </is>
      </c>
      <c r="C21" s="75">
        <f>VLOOKUP(A21,SizeData!A$2:B$3839,2,FALSE)</f>
        <v/>
      </c>
      <c r="D21" s="26" t="n">
        <v>2</v>
      </c>
      <c r="E21" s="26" t="inlineStr">
        <is>
          <t>R1841934</t>
        </is>
      </c>
      <c r="F21" s="72" t="n">
        <v>44866</v>
      </c>
      <c r="G21" s="73" t="n"/>
    </row>
    <row r="22">
      <c r="A22" s="26" t="n">
        <v>89182</v>
      </c>
      <c r="B22" s="26" t="inlineStr">
        <is>
          <t>EL MAYOR REPOSADO TEQIULA</t>
        </is>
      </c>
      <c r="C22" s="75">
        <f>VLOOKUP(A22,SizeData!A$2:B$3839,2,FALSE)</f>
        <v/>
      </c>
      <c r="D22" s="26" t="n">
        <v>2</v>
      </c>
      <c r="E22" s="26" t="inlineStr">
        <is>
          <t>R1841934</t>
        </is>
      </c>
      <c r="F22" s="72" t="n">
        <v>44866</v>
      </c>
      <c r="G22" s="73" t="n"/>
    </row>
    <row r="23">
      <c r="A23" s="26" t="n">
        <v>97726</v>
      </c>
      <c r="B23" s="26" t="inlineStr">
        <is>
          <t>RICHARDS WILD ROSE RED</t>
        </is>
      </c>
      <c r="C23" s="75">
        <f>VLOOKUP(A23,SizeData!A$2:B$3839,2,FALSE)</f>
        <v/>
      </c>
      <c r="D23" s="26" t="n">
        <v>2</v>
      </c>
      <c r="E23" s="26" t="inlineStr">
        <is>
          <t>R1841934</t>
        </is>
      </c>
      <c r="F23" s="72" t="n">
        <v>44866</v>
      </c>
      <c r="G23" s="73" t="n"/>
    </row>
    <row r="24">
      <c r="A24" s="26" t="n">
        <v>5977</v>
      </c>
      <c r="B24" s="26" t="inlineStr">
        <is>
          <t>THE MACALLAN DOUBLE CASK 15YR HIGHLND SINGLE MALT</t>
        </is>
      </c>
      <c r="C24" s="75">
        <f>VLOOKUP(A24,SizeData!A$2:B$3839,2,FALSE)</f>
        <v/>
      </c>
      <c r="D24" s="26" t="n">
        <v>2</v>
      </c>
      <c r="E24" s="26" t="inlineStr">
        <is>
          <t>R1850553</t>
        </is>
      </c>
      <c r="F24" s="72" t="n">
        <v>44865</v>
      </c>
      <c r="G24" s="73" t="n"/>
    </row>
    <row r="25">
      <c r="A25" s="26" t="n">
        <v>89624</v>
      </c>
      <c r="B25" s="26" t="inlineStr">
        <is>
          <t>PATRON REPOSADO TEQUILA</t>
        </is>
      </c>
      <c r="C25" s="75">
        <f>VLOOKUP(A25,SizeData!A$2:B$3839,2,FALSE)</f>
        <v/>
      </c>
      <c r="D25" s="26" t="n">
        <v>2</v>
      </c>
      <c r="E25" s="26" t="inlineStr">
        <is>
          <t>R1842887</t>
        </is>
      </c>
      <c r="F25" s="72" t="n">
        <v>44867</v>
      </c>
      <c r="G25" s="73" t="n"/>
    </row>
    <row r="26">
      <c r="A26" s="26" t="n">
        <v>420431</v>
      </c>
      <c r="B26" s="26" t="inlineStr">
        <is>
          <t>JACOB'S CREEK CABERNET SAUVIGNON</t>
        </is>
      </c>
      <c r="C26" s="75">
        <f>VLOOKUP(A26,SizeData!A$2:B$3839,2,FALSE)</f>
        <v/>
      </c>
      <c r="D26" s="26" t="n">
        <v>1</v>
      </c>
      <c r="E26" s="26" t="inlineStr">
        <is>
          <t>R1842887</t>
        </is>
      </c>
      <c r="F26" s="72" t="n">
        <v>44867</v>
      </c>
      <c r="G26" s="73" t="n"/>
    </row>
    <row r="27">
      <c r="A27" s="26" t="n">
        <v>643035</v>
      </c>
      <c r="B27" s="26" t="inlineStr">
        <is>
          <t>BERINGER CALIF WHITE MERLOT</t>
        </is>
      </c>
      <c r="C27" s="75">
        <f>VLOOKUP(A27,SizeData!A$2:B$3839,2,FALSE)</f>
        <v/>
      </c>
      <c r="D27" s="26" t="n">
        <v>2</v>
      </c>
      <c r="E27" s="26" t="inlineStr">
        <is>
          <t>R1842887</t>
        </is>
      </c>
      <c r="F27" s="72" t="n">
        <v>44867</v>
      </c>
      <c r="G27" s="73" t="n"/>
    </row>
    <row r="28">
      <c r="A28" s="26" t="n">
        <v>65790</v>
      </c>
      <c r="B28" s="26" t="inlineStr">
        <is>
          <t>MARTELL BLUE SWIFT</t>
        </is>
      </c>
      <c r="C28" s="75">
        <f>VLOOKUP(A28,SizeData!A$2:B$3839,2,FALSE)</f>
        <v/>
      </c>
      <c r="D28" s="26" t="n">
        <v>4</v>
      </c>
      <c r="E28" s="26" t="inlineStr">
        <is>
          <t>R1843425</t>
        </is>
      </c>
      <c r="F28" s="72" t="n">
        <v>44866</v>
      </c>
      <c r="G28" s="73" t="n"/>
    </row>
    <row r="29">
      <c r="A29" s="26" t="n">
        <v>65792</v>
      </c>
      <c r="B29" s="26" t="inlineStr">
        <is>
          <t>MARTELL BLUE SWIFT COGNAC BRANDY</t>
        </is>
      </c>
      <c r="C29" s="75">
        <f>VLOOKUP(A29,SizeData!A$2:B$3839,2,FALSE)</f>
        <v/>
      </c>
      <c r="D29" s="26" t="n">
        <v>8</v>
      </c>
      <c r="E29" s="26" t="inlineStr">
        <is>
          <t>R1843425</t>
        </is>
      </c>
      <c r="F29" s="72" t="n">
        <v>44866</v>
      </c>
      <c r="G29" s="73" t="n"/>
    </row>
    <row r="30">
      <c r="A30" s="26" t="n">
        <v>65790</v>
      </c>
      <c r="B30" s="26" t="inlineStr">
        <is>
          <t>MARTELL BLUE SWIFT</t>
        </is>
      </c>
      <c r="C30" s="75">
        <f>VLOOKUP(A30,SizeData!A$2:B$3839,2,FALSE)</f>
        <v/>
      </c>
      <c r="D30" s="26" t="n">
        <v>8</v>
      </c>
      <c r="E30" s="26" t="inlineStr">
        <is>
          <t>R1846865</t>
        </is>
      </c>
      <c r="F30" s="72" t="n">
        <v>44866</v>
      </c>
      <c r="G30" s="73" t="n"/>
    </row>
    <row r="31">
      <c r="A31" s="26" t="n">
        <v>65792</v>
      </c>
      <c r="B31" s="26" t="inlineStr">
        <is>
          <t>MARTELL BLUE SWIFT COGNAC BRANDY</t>
        </is>
      </c>
      <c r="C31" s="75">
        <f>VLOOKUP(A31,SizeData!A$2:B$3839,2,FALSE)</f>
        <v/>
      </c>
      <c r="D31" s="26" t="n">
        <v>2</v>
      </c>
      <c r="E31" s="26" t="inlineStr">
        <is>
          <t>R1846865</t>
        </is>
      </c>
      <c r="F31" s="72" t="n">
        <v>44866</v>
      </c>
      <c r="G31" s="73" t="n"/>
    </row>
    <row r="32">
      <c r="A32" s="26" t="n">
        <v>39280</v>
      </c>
      <c r="B32" s="26" t="inlineStr">
        <is>
          <t>NEW AMSTERDAM PASSION FRUIT VODKA</t>
        </is>
      </c>
      <c r="C32" s="75">
        <f>VLOOKUP(A32,SizeData!A$2:B$3839,2,FALSE)</f>
        <v/>
      </c>
      <c r="D32" s="26" t="n">
        <v>1</v>
      </c>
      <c r="E32" s="26" t="inlineStr">
        <is>
          <t>R1852440</t>
        </is>
      </c>
      <c r="F32" s="72" t="n">
        <v>44867</v>
      </c>
      <c r="G32" s="73" t="n"/>
    </row>
    <row r="33">
      <c r="A33" s="26" t="n">
        <v>451249</v>
      </c>
      <c r="B33" s="26" t="inlineStr">
        <is>
          <t>CARLO ROSSI MERLOT CALIFORNIA</t>
        </is>
      </c>
      <c r="C33" s="75">
        <f>VLOOKUP(A33,SizeData!A$2:B$3839,2,FALSE)</f>
        <v/>
      </c>
      <c r="D33" s="26" t="n">
        <v>1</v>
      </c>
      <c r="E33" s="26" t="inlineStr">
        <is>
          <t>R1852440</t>
        </is>
      </c>
      <c r="F33" s="72" t="n">
        <v>44867</v>
      </c>
      <c r="G33" s="73" t="n"/>
    </row>
    <row r="34">
      <c r="A34" s="26" t="n">
        <v>34456</v>
      </c>
      <c r="B34" s="26" t="inlineStr">
        <is>
          <t>KETEL ONE DUTCH VODKA</t>
        </is>
      </c>
      <c r="C34" s="75">
        <f>VLOOKUP(A34,SizeData!A$2:B$3839,2,FALSE)</f>
        <v/>
      </c>
      <c r="D34" s="26" t="n">
        <v>5</v>
      </c>
      <c r="E34" s="26" t="inlineStr">
        <is>
          <t>R1843731</t>
        </is>
      </c>
      <c r="F34" s="72" t="n">
        <v>44867</v>
      </c>
      <c r="G34" s="73" t="n"/>
    </row>
    <row r="35">
      <c r="A35" s="26" t="n">
        <v>88424</v>
      </c>
      <c r="B35" s="26" t="inlineStr">
        <is>
          <t>JOSE CUERVO TRADICIONAL ANEJO</t>
        </is>
      </c>
      <c r="C35" s="75">
        <f>VLOOKUP(A35,SizeData!A$2:B$3839,2,FALSE)</f>
        <v/>
      </c>
      <c r="D35" s="26" t="n">
        <v>2</v>
      </c>
      <c r="E35" s="26" t="inlineStr">
        <is>
          <t>R1856811</t>
        </is>
      </c>
      <c r="F35" s="72" t="n">
        <v>44868</v>
      </c>
      <c r="G35" s="73" t="n"/>
    </row>
    <row r="36">
      <c r="A36" s="26" t="n">
        <v>882323</v>
      </c>
      <c r="B36" s="26" t="inlineStr">
        <is>
          <t>CARLO ROSSI SWEET PINK SANGRIA</t>
        </is>
      </c>
      <c r="C36" s="75">
        <f>VLOOKUP(A36,SizeData!A$2:B$3839,2,FALSE)</f>
        <v/>
      </c>
      <c r="D36" s="26" t="n">
        <v>2</v>
      </c>
      <c r="E36" s="26" t="inlineStr">
        <is>
          <t>R1856811</t>
        </is>
      </c>
      <c r="F36" s="72" t="n">
        <v>44868</v>
      </c>
      <c r="G36" s="73" t="n"/>
    </row>
    <row r="37">
      <c r="A37" s="26" t="n">
        <v>513360</v>
      </c>
      <c r="B37" s="26" t="inlineStr">
        <is>
          <t>SUTTER HOME SWEET RED</t>
        </is>
      </c>
      <c r="C37" s="75">
        <f>VLOOKUP(A37,SizeData!A$2:B$3839,2,FALSE)</f>
        <v/>
      </c>
      <c r="D37" s="26" t="n">
        <v>2</v>
      </c>
      <c r="E37" s="26" t="inlineStr">
        <is>
          <t>R1841387</t>
        </is>
      </c>
      <c r="F37" s="72" t="n">
        <v>44869</v>
      </c>
      <c r="G37" s="73" t="n"/>
    </row>
    <row r="38">
      <c r="A38" s="26" t="n">
        <v>65188</v>
      </c>
      <c r="B38" s="26" t="inlineStr">
        <is>
          <t>HPNOTIQ VODKA &amp; COGNAC LIQUEUR</t>
        </is>
      </c>
      <c r="C38" s="75">
        <f>VLOOKUP(A38,SizeData!A$2:B$3839,2,FALSE)</f>
        <v/>
      </c>
      <c r="D38" s="26" t="n">
        <v>1</v>
      </c>
      <c r="E38" s="26" t="inlineStr">
        <is>
          <t>R1849692</t>
        </is>
      </c>
      <c r="F38" s="72" t="n">
        <v>44870</v>
      </c>
      <c r="G38" s="73" t="n"/>
    </row>
    <row r="39">
      <c r="A39" s="26" t="n">
        <v>89219</v>
      </c>
      <c r="B39" s="26" t="inlineStr">
        <is>
          <t>JOSE CUERVO TRADICIONAL REPOSADO</t>
        </is>
      </c>
      <c r="C39" s="75">
        <f>VLOOKUP(A39,SizeData!A$2:B$3839,2,FALSE)</f>
        <v/>
      </c>
      <c r="D39" s="26" t="n">
        <v>1</v>
      </c>
      <c r="E39" s="26" t="inlineStr">
        <is>
          <t>R1849692</t>
        </is>
      </c>
      <c r="F39" s="72" t="n">
        <v>44870</v>
      </c>
      <c r="G39" s="73" t="n"/>
    </row>
    <row r="40">
      <c r="A40" s="26" t="n">
        <v>812795</v>
      </c>
      <c r="B40" s="26" t="inlineStr">
        <is>
          <t>MD 20/20 RED GRAPE</t>
        </is>
      </c>
      <c r="C40" s="75">
        <f>VLOOKUP(A40,SizeData!A$2:B$3839,2,FALSE)</f>
        <v/>
      </c>
      <c r="D40" s="26" t="n">
        <v>1</v>
      </c>
      <c r="E40" s="26" t="inlineStr">
        <is>
          <t>R1849692</t>
        </is>
      </c>
      <c r="F40" s="72" t="n">
        <v>44870</v>
      </c>
      <c r="G40" s="73" t="n"/>
    </row>
    <row r="41">
      <c r="A41" s="26" t="n">
        <v>5103</v>
      </c>
      <c r="B41" s="26" t="inlineStr">
        <is>
          <t>GLENMORANGIE LASANTA SCOTCH</t>
        </is>
      </c>
      <c r="C41" s="75">
        <f>VLOOKUP(A41,SizeData!A$2:B$3839,2,FALSE)</f>
        <v/>
      </c>
      <c r="D41" s="26" t="n">
        <v>1</v>
      </c>
      <c r="E41" s="26" t="inlineStr">
        <is>
          <t>R1846759</t>
        </is>
      </c>
      <c r="F41" s="72" t="n">
        <v>44872</v>
      </c>
      <c r="G41" s="73" t="n"/>
    </row>
    <row r="42">
      <c r="A42" s="26" t="n">
        <v>48164</v>
      </c>
      <c r="B42" s="26" t="inlineStr">
        <is>
          <t>HENNESSY VSOP PRIVILEGE COGNAC</t>
        </is>
      </c>
      <c r="C42" s="75">
        <f>VLOOKUP(A42,SizeData!A$2:B$3839,2,FALSE)</f>
        <v/>
      </c>
      <c r="D42" s="26" t="n">
        <v>5</v>
      </c>
      <c r="E42" s="26" t="inlineStr">
        <is>
          <t>R1846759</t>
        </is>
      </c>
      <c r="F42" s="72" t="n">
        <v>44872</v>
      </c>
      <c r="G42" s="73" t="n"/>
    </row>
    <row r="43">
      <c r="A43" s="26" t="n">
        <v>73780</v>
      </c>
      <c r="B43" s="26" t="inlineStr">
        <is>
          <t>E &amp; J VANILLA (BRANDY W/VANILLA LIQUEUR)</t>
        </is>
      </c>
      <c r="C43" s="75">
        <f>VLOOKUP(A43,SizeData!A$2:B$3839,2,FALSE)</f>
        <v/>
      </c>
      <c r="D43" s="26" t="n">
        <v>2</v>
      </c>
      <c r="E43" s="26" t="inlineStr">
        <is>
          <t>R1846759</t>
        </is>
      </c>
      <c r="F43" s="72" t="n">
        <v>44872</v>
      </c>
      <c r="G43" s="73" t="n"/>
    </row>
    <row r="44">
      <c r="A44" s="26" t="n">
        <v>48164</v>
      </c>
      <c r="B44" s="26" t="inlineStr">
        <is>
          <t>HENNESSY VSOP PRIVILEGE COGNAC</t>
        </is>
      </c>
      <c r="C44" s="75">
        <f>VLOOKUP(A44,SizeData!A$2:B$3839,2,FALSE)</f>
        <v/>
      </c>
      <c r="D44" s="26" t="n">
        <v>2</v>
      </c>
      <c r="E44" s="26" t="inlineStr">
        <is>
          <t>R1853571</t>
        </is>
      </c>
      <c r="F44" s="72" t="n">
        <v>44873</v>
      </c>
      <c r="G44" s="73" t="n"/>
    </row>
    <row r="45">
      <c r="A45" s="26" t="n">
        <v>89182</v>
      </c>
      <c r="B45" s="26" t="inlineStr">
        <is>
          <t>EL MAYOR REPOSADO TEQIULA</t>
        </is>
      </c>
      <c r="C45" s="75">
        <f>VLOOKUP(A45,SizeData!A$2:B$3839,2,FALSE)</f>
        <v/>
      </c>
      <c r="D45" s="26" t="n">
        <v>2</v>
      </c>
      <c r="E45" s="26" t="inlineStr">
        <is>
          <t>R1853571</t>
        </is>
      </c>
      <c r="F45" s="72" t="n">
        <v>44873</v>
      </c>
      <c r="G45" s="73" t="n"/>
    </row>
    <row r="46">
      <c r="A46" s="26" t="n">
        <v>89215</v>
      </c>
      <c r="B46" s="26" t="inlineStr">
        <is>
          <t>JOSE CUERVO TRADICIONAL REPOSADO TEQ</t>
        </is>
      </c>
      <c r="C46" s="75">
        <f>VLOOKUP(A46,SizeData!A$2:B$3839,2,FALSE)</f>
        <v/>
      </c>
      <c r="D46" s="26" t="n">
        <v>1</v>
      </c>
      <c r="E46" s="26" t="inlineStr">
        <is>
          <t>R1853571</t>
        </is>
      </c>
      <c r="F46" s="72" t="n">
        <v>44873</v>
      </c>
      <c r="G46" s="73" t="n"/>
    </row>
    <row r="47">
      <c r="A47" s="26" t="n">
        <v>34201</v>
      </c>
      <c r="B47" s="26" t="inlineStr">
        <is>
          <t>CIROC SNAP FROST VODKA</t>
        </is>
      </c>
      <c r="C47" s="75">
        <f>VLOOKUP(A47,SizeData!A$2:B$3839,2,FALSE)</f>
        <v/>
      </c>
      <c r="D47" s="26" t="n">
        <v>1</v>
      </c>
      <c r="E47" s="26" t="inlineStr">
        <is>
          <t>R1854075</t>
        </is>
      </c>
      <c r="F47" s="72" t="n">
        <v>44873</v>
      </c>
      <c r="G47" s="73" t="n"/>
    </row>
    <row r="48">
      <c r="A48" s="26" t="n">
        <v>429975</v>
      </c>
      <c r="B48" s="26" t="inlineStr">
        <is>
          <t>YELLOW TAIL MERLOT</t>
        </is>
      </c>
      <c r="C48" s="75">
        <f>VLOOKUP(A48,SizeData!A$2:B$3839,2,FALSE)</f>
        <v/>
      </c>
      <c r="D48" s="26" t="n">
        <v>2</v>
      </c>
      <c r="E48" s="26" t="inlineStr">
        <is>
          <t>R1854075</t>
        </is>
      </c>
      <c r="F48" s="72" t="n">
        <v>44873</v>
      </c>
      <c r="G48" s="73" t="n"/>
    </row>
    <row r="49">
      <c r="A49" s="26" t="n">
        <v>552052</v>
      </c>
      <c r="B49" s="26" t="inlineStr">
        <is>
          <t>CARLO ROSSI CHARDONNAY</t>
        </is>
      </c>
      <c r="C49" s="75">
        <f>VLOOKUP(A49,SizeData!A$2:B$3839,2,FALSE)</f>
        <v/>
      </c>
      <c r="D49" s="26" t="n">
        <v>1</v>
      </c>
      <c r="E49" s="26" t="inlineStr">
        <is>
          <t>R1854075</t>
        </is>
      </c>
      <c r="F49" s="72" t="n">
        <v>44873</v>
      </c>
      <c r="G49" s="73" t="n"/>
    </row>
    <row r="50">
      <c r="A50" s="26" t="n">
        <v>26905</v>
      </c>
      <c r="B50" s="26" t="inlineStr">
        <is>
          <t>JACK DANIEL'S SINGLE BARREL</t>
        </is>
      </c>
      <c r="C50" s="75">
        <f>VLOOKUP(A50,SizeData!A$2:B$3839,2,FALSE)</f>
        <v/>
      </c>
      <c r="D50" s="26" t="n">
        <v>2</v>
      </c>
      <c r="E50" s="26" t="inlineStr">
        <is>
          <t>R1865180</t>
        </is>
      </c>
      <c r="F50" s="72" t="n">
        <v>44874</v>
      </c>
      <c r="G50" s="73" t="n"/>
    </row>
    <row r="51">
      <c r="A51" s="26" t="n">
        <v>53206</v>
      </c>
      <c r="B51" s="26" t="inlineStr">
        <is>
          <t>PAUL MASSON GRANDE AMBER VSOP BRANDY</t>
        </is>
      </c>
      <c r="C51" s="75">
        <f>VLOOKUP(A51,SizeData!A$2:B$3839,2,FALSE)</f>
        <v/>
      </c>
      <c r="D51" s="26" t="n">
        <v>1</v>
      </c>
      <c r="E51" s="26" t="inlineStr">
        <is>
          <t>R1865180</t>
        </is>
      </c>
      <c r="F51" s="72" t="n">
        <v>44874</v>
      </c>
      <c r="G51" s="73" t="n"/>
    </row>
    <row r="52">
      <c r="A52" s="26" t="n">
        <v>84172</v>
      </c>
      <c r="B52" s="26" t="inlineStr">
        <is>
          <t>99 BRAND BANANAS SCHNAPPS</t>
        </is>
      </c>
      <c r="C52" s="75">
        <f>VLOOKUP(A52,SizeData!A$2:B$3839,2,FALSE)</f>
        <v/>
      </c>
      <c r="D52" s="26" t="n">
        <v>1</v>
      </c>
      <c r="E52" s="26" t="inlineStr">
        <is>
          <t>R1865180</t>
        </is>
      </c>
      <c r="F52" s="72" t="n">
        <v>44874</v>
      </c>
      <c r="G52" s="73" t="n"/>
    </row>
    <row r="53">
      <c r="A53" s="26" t="n">
        <v>100433</v>
      </c>
      <c r="B53" s="26" t="inlineStr">
        <is>
          <t>SUNTORY TOKI JAPANESE WHISKEY W/HIGHBALL MUG</t>
        </is>
      </c>
      <c r="C53" s="75">
        <f>VLOOKUP(A53,SizeData!A$2:B$3839,2,FALSE)</f>
        <v/>
      </c>
      <c r="D53" s="26" t="n">
        <v>1</v>
      </c>
      <c r="E53" s="26" t="inlineStr">
        <is>
          <t>R1865180</t>
        </is>
      </c>
      <c r="F53" s="72" t="n">
        <v>44874</v>
      </c>
      <c r="G53" s="73" t="n"/>
    </row>
    <row r="54">
      <c r="A54" s="26" t="n">
        <v>356530</v>
      </c>
      <c r="B54" s="26" t="inlineStr">
        <is>
          <t>CELLA LAMBRUSCO</t>
        </is>
      </c>
      <c r="C54" s="75">
        <f>VLOOKUP(A54,SizeData!A$2:B$3839,2,FALSE)</f>
        <v/>
      </c>
      <c r="D54" s="26" t="n">
        <v>1</v>
      </c>
      <c r="E54" s="26" t="inlineStr">
        <is>
          <t>R1865180</t>
        </is>
      </c>
      <c r="F54" s="72" t="n">
        <v>44874</v>
      </c>
      <c r="G54" s="73" t="n"/>
    </row>
    <row r="55">
      <c r="A55" s="26" t="n">
        <v>892858</v>
      </c>
      <c r="B55" s="26" t="inlineStr">
        <is>
          <t>RANCHO LA GLORIA MANGO MARG WINE COCKTAIL</t>
        </is>
      </c>
      <c r="C55" s="75">
        <f>VLOOKUP(A55,SizeData!A$2:B$3839,2,FALSE)</f>
        <v/>
      </c>
      <c r="D55" s="26" t="n">
        <v>1</v>
      </c>
      <c r="E55" s="26" t="inlineStr">
        <is>
          <t>R1865180</t>
        </is>
      </c>
      <c r="F55" s="72" t="n">
        <v>44874</v>
      </c>
      <c r="G55" s="73" t="n"/>
    </row>
    <row r="56">
      <c r="A56" s="26" t="n">
        <v>89215</v>
      </c>
      <c r="B56" s="26" t="inlineStr">
        <is>
          <t>JOSE CUERVO TRADICIONAL REPOSADO TEQ</t>
        </is>
      </c>
      <c r="C56" s="75">
        <f>VLOOKUP(A56,SizeData!A$2:B$3839,2,FALSE)</f>
        <v/>
      </c>
      <c r="D56" s="26" t="n">
        <v>1</v>
      </c>
      <c r="E56" s="26" t="inlineStr">
        <is>
          <t>R1860872</t>
        </is>
      </c>
      <c r="F56" s="72" t="n">
        <v>44875</v>
      </c>
      <c r="G56" s="73" t="n"/>
    </row>
    <row r="57">
      <c r="A57" s="26" t="n">
        <v>89194</v>
      </c>
      <c r="B57" s="26" t="inlineStr">
        <is>
          <t>JOSE CUERVO ESPECIAL TEQUILA</t>
        </is>
      </c>
      <c r="C57" s="75">
        <f>VLOOKUP(A57,SizeData!A$2:B$3839,2,FALSE)</f>
        <v/>
      </c>
      <c r="D57" s="26" t="n">
        <v>5</v>
      </c>
      <c r="E57" s="26" t="inlineStr">
        <is>
          <t>R1870474</t>
        </is>
      </c>
      <c r="F57" s="72" t="n">
        <v>44875</v>
      </c>
      <c r="G57" s="73" t="n"/>
    </row>
    <row r="58">
      <c r="A58" s="26" t="n">
        <v>812791</v>
      </c>
      <c r="B58" s="26" t="inlineStr">
        <is>
          <t>MD 20/20 ORANGE JUBILEE</t>
        </is>
      </c>
      <c r="C58" s="75">
        <f>VLOOKUP(A58,SizeData!A$2:B$3839,2,FALSE)</f>
        <v/>
      </c>
      <c r="D58" s="26" t="n">
        <v>4</v>
      </c>
      <c r="E58" s="26" t="inlineStr">
        <is>
          <t>R1858281</t>
        </is>
      </c>
      <c r="F58" s="72" t="n">
        <v>44877</v>
      </c>
      <c r="G58" s="73" t="n"/>
    </row>
    <row r="59">
      <c r="A59" s="26" t="n">
        <v>812812</v>
      </c>
      <c r="B59" s="26" t="inlineStr">
        <is>
          <t>MD 20/20 BLUE RASPBERRY</t>
        </is>
      </c>
      <c r="C59" s="75">
        <f>VLOOKUP(A59,SizeData!A$2:B$3839,2,FALSE)</f>
        <v/>
      </c>
      <c r="D59" s="26" t="n">
        <v>1</v>
      </c>
      <c r="E59" s="26" t="inlineStr">
        <is>
          <t>R1858281</t>
        </is>
      </c>
      <c r="F59" s="72" t="n">
        <v>44877</v>
      </c>
      <c r="G59" s="73" t="n"/>
    </row>
    <row r="60">
      <c r="A60" s="26" t="n">
        <v>87725</v>
      </c>
      <c r="B60" s="26" t="inlineStr">
        <is>
          <t>GRAN CORAMINO CRISTALINO REPOSADO TEQUILA LTO</t>
        </is>
      </c>
      <c r="C60" s="75">
        <f>VLOOKUP(A60,SizeData!A$2:B$3839,2,FALSE)</f>
        <v/>
      </c>
      <c r="D60" s="26" t="n">
        <v>3</v>
      </c>
      <c r="E60" s="26" t="inlineStr">
        <is>
          <t>R1866529</t>
        </is>
      </c>
      <c r="F60" s="72" t="n">
        <v>44876</v>
      </c>
      <c r="G60" s="73" t="n"/>
    </row>
    <row r="61">
      <c r="A61" s="26" t="n">
        <v>89626</v>
      </c>
      <c r="B61" s="26" t="inlineStr">
        <is>
          <t>PATRON REPOSADO TEQUILA</t>
        </is>
      </c>
      <c r="C61" s="75">
        <f>VLOOKUP(A61,SizeData!A$2:B$3839,2,FALSE)</f>
        <v/>
      </c>
      <c r="D61" s="26" t="n">
        <v>1</v>
      </c>
      <c r="E61" s="26" t="inlineStr">
        <is>
          <t>R1866529</t>
        </is>
      </c>
      <c r="F61" s="72" t="n">
        <v>44876</v>
      </c>
      <c r="G61" s="73" t="n"/>
    </row>
    <row r="62">
      <c r="A62" s="26" t="n">
        <v>21236</v>
      </c>
      <c r="B62" s="26" t="inlineStr">
        <is>
          <t>1792 SMALL BATCH BOURBON</t>
        </is>
      </c>
      <c r="C62" s="75">
        <f>VLOOKUP(A62,SizeData!A$2:B$3839,2,FALSE)</f>
        <v/>
      </c>
      <c r="D62" s="26" t="n">
        <v>1</v>
      </c>
      <c r="E62" s="26" t="inlineStr">
        <is>
          <t>R1849372</t>
        </is>
      </c>
      <c r="F62" s="72" t="n">
        <v>44879</v>
      </c>
      <c r="G62" s="73" t="n"/>
    </row>
    <row r="63">
      <c r="A63" s="26" t="n">
        <v>33256</v>
      </c>
      <c r="B63" s="26" t="inlineStr">
        <is>
          <t>SEAGRAM'S LIME TWISTED GIN</t>
        </is>
      </c>
      <c r="C63" s="75">
        <f>VLOOKUP(A63,SizeData!A$2:B$3839,2,FALSE)</f>
        <v/>
      </c>
      <c r="D63" s="26" t="n">
        <v>1</v>
      </c>
      <c r="E63" s="26" t="inlineStr">
        <is>
          <t>R1865535</t>
        </is>
      </c>
      <c r="F63" s="72" t="n">
        <v>44879</v>
      </c>
      <c r="G63" s="73" t="n"/>
    </row>
    <row r="64">
      <c r="A64" s="26" t="n">
        <v>34454</v>
      </c>
      <c r="B64" s="26" t="inlineStr">
        <is>
          <t>KETEL ONE DUTCH VODKA</t>
        </is>
      </c>
      <c r="C64" s="75">
        <f>VLOOKUP(A64,SizeData!A$2:B$3839,2,FALSE)</f>
        <v/>
      </c>
      <c r="D64" s="26" t="n">
        <v>1</v>
      </c>
      <c r="E64" s="26" t="inlineStr">
        <is>
          <t>R1865535</t>
        </is>
      </c>
      <c r="F64" s="72" t="n">
        <v>44879</v>
      </c>
      <c r="G64" s="73" t="n"/>
    </row>
    <row r="65">
      <c r="A65" s="26" t="n">
        <v>48996</v>
      </c>
      <c r="B65" s="26" t="inlineStr">
        <is>
          <t>PIERRE FERRAND AMBRE</t>
        </is>
      </c>
      <c r="C65" s="75">
        <f>VLOOKUP(A65,SizeData!A$2:B$3839,2,FALSE)</f>
        <v/>
      </c>
      <c r="D65" s="26" t="n">
        <v>5</v>
      </c>
      <c r="E65" s="26" t="inlineStr">
        <is>
          <t>R1872530</t>
        </is>
      </c>
      <c r="F65" s="72" t="n">
        <v>44882</v>
      </c>
      <c r="G65" s="73" t="n"/>
    </row>
    <row r="66">
      <c r="A66" s="26" t="n">
        <v>49000</v>
      </c>
      <c r="B66" s="26" t="inlineStr">
        <is>
          <t>PIERRE FERRAND ORIGINAL 1840 FORMULA</t>
        </is>
      </c>
      <c r="C66" s="75">
        <f>VLOOKUP(A66,SizeData!A$2:B$3839,2,FALSE)</f>
        <v/>
      </c>
      <c r="D66" s="26" t="n">
        <v>5</v>
      </c>
      <c r="E66" s="26" t="inlineStr">
        <is>
          <t>R1872530</t>
        </is>
      </c>
      <c r="F66" s="72" t="n">
        <v>44882</v>
      </c>
      <c r="G66" s="73" t="n"/>
    </row>
    <row r="67">
      <c r="A67" s="26" t="n">
        <v>43095</v>
      </c>
      <c r="B67" s="26" t="inlineStr">
        <is>
          <t>BACARDI MANGO FUSION FLAVORED RUM</t>
        </is>
      </c>
      <c r="C67" s="75">
        <f>VLOOKUP(A67,SizeData!A$2:B$3839,2,FALSE)</f>
        <v/>
      </c>
      <c r="D67" s="26" t="n">
        <v>1</v>
      </c>
      <c r="E67" s="26" t="inlineStr">
        <is>
          <t>R1866868</t>
        </is>
      </c>
      <c r="F67" s="72" t="n">
        <v>44882</v>
      </c>
      <c r="G67" s="73" t="n"/>
    </row>
    <row r="68">
      <c r="A68" s="26" t="n">
        <v>57098</v>
      </c>
      <c r="B68" s="26" t="inlineStr">
        <is>
          <t>BUZZBALLZ TEQUILA RITA</t>
        </is>
      </c>
      <c r="C68" s="75">
        <f>VLOOKUP(A68,SizeData!A$2:B$3839,2,FALSE)</f>
        <v/>
      </c>
      <c r="D68" s="26" t="n">
        <v>1</v>
      </c>
      <c r="E68" s="26" t="inlineStr">
        <is>
          <t>R1866868</t>
        </is>
      </c>
      <c r="F68" s="72" t="n">
        <v>44882</v>
      </c>
      <c r="G68" s="73" t="n"/>
    </row>
    <row r="69">
      <c r="A69" s="26" t="n">
        <v>89182</v>
      </c>
      <c r="B69" s="26" t="inlineStr">
        <is>
          <t>EL MAYOR REPOSADO TEQIULA</t>
        </is>
      </c>
      <c r="C69" s="75">
        <f>VLOOKUP(A69,SizeData!A$2:B$3839,2,FALSE)</f>
        <v/>
      </c>
      <c r="D69" s="26" t="n">
        <v>2</v>
      </c>
      <c r="E69" s="26" t="inlineStr">
        <is>
          <t>R1866868</t>
        </is>
      </c>
      <c r="F69" s="72" t="n">
        <v>44882</v>
      </c>
      <c r="G69" s="73" t="n"/>
    </row>
    <row r="70">
      <c r="A70" s="26" t="n">
        <v>420436</v>
      </c>
      <c r="B70" s="26" t="inlineStr">
        <is>
          <t>JACOB'S CREEK CHARDONNAY</t>
        </is>
      </c>
      <c r="C70" s="75">
        <f>VLOOKUP(A70,SizeData!A$2:B$3839,2,FALSE)</f>
        <v/>
      </c>
      <c r="D70" s="26" t="n">
        <v>5</v>
      </c>
      <c r="E70" s="26" t="inlineStr">
        <is>
          <t>R1866868</t>
        </is>
      </c>
      <c r="F70" s="72" t="n">
        <v>44882</v>
      </c>
      <c r="G70" s="73" t="n"/>
    </row>
    <row r="71">
      <c r="A71" s="26" t="n">
        <v>65792</v>
      </c>
      <c r="B71" s="26" t="inlineStr">
        <is>
          <t>MARTELL BLUE SWIFT COGNAC BRANDY</t>
        </is>
      </c>
      <c r="C71" s="75">
        <f>VLOOKUP(A71,SizeData!A$2:B$3839,2,FALSE)</f>
        <v/>
      </c>
      <c r="D71" s="26" t="n">
        <v>7</v>
      </c>
      <c r="E71" s="26" t="inlineStr">
        <is>
          <t>R1867266</t>
        </is>
      </c>
      <c r="F71" s="72" t="n">
        <v>44884</v>
      </c>
      <c r="G71" s="73" t="n"/>
    </row>
    <row r="72">
      <c r="A72" s="26" t="n">
        <v>97723</v>
      </c>
      <c r="B72" s="26" t="inlineStr">
        <is>
          <t>RICHARDS WILD ROSE RED</t>
        </is>
      </c>
      <c r="C72" s="75">
        <f>VLOOKUP(A72,SizeData!A$2:B$3839,2,FALSE)</f>
        <v/>
      </c>
      <c r="D72" s="26" t="n">
        <v>1</v>
      </c>
      <c r="E72" s="26" t="inlineStr">
        <is>
          <t>R1867266</t>
        </is>
      </c>
      <c r="F72" s="72" t="n">
        <v>44884</v>
      </c>
      <c r="G72" s="73" t="n"/>
    </row>
    <row r="73">
      <c r="A73" s="26" t="n">
        <v>34454</v>
      </c>
      <c r="B73" s="26" t="inlineStr">
        <is>
          <t>KETEL ONE DUTCH VODKA</t>
        </is>
      </c>
      <c r="C73" s="75">
        <f>VLOOKUP(A73,SizeData!A$2:B$3839,2,FALSE)</f>
        <v/>
      </c>
      <c r="D73" s="26" t="n">
        <v>1</v>
      </c>
      <c r="E73" s="26" t="inlineStr">
        <is>
          <t>R1869434</t>
        </is>
      </c>
      <c r="F73" s="72" t="n">
        <v>44884</v>
      </c>
      <c r="G73" s="73" t="n"/>
    </row>
    <row r="74">
      <c r="A74" s="26" t="n">
        <v>429999</v>
      </c>
      <c r="B74" s="26" t="inlineStr">
        <is>
          <t>YELLOW TAIL JAMMY RED ROO</t>
        </is>
      </c>
      <c r="C74" s="75">
        <f>VLOOKUP(A74,SizeData!A$2:B$3839,2,FALSE)</f>
        <v/>
      </c>
      <c r="D74" s="26" t="n">
        <v>2</v>
      </c>
      <c r="E74" s="26" t="inlineStr">
        <is>
          <t>R1869434</t>
        </is>
      </c>
      <c r="F74" s="72" t="n">
        <v>44884</v>
      </c>
      <c r="G74" s="73" t="n"/>
    </row>
    <row r="75">
      <c r="A75" s="26" t="n">
        <v>53206</v>
      </c>
      <c r="B75" s="26" t="inlineStr">
        <is>
          <t>PAUL MASSON GRANDE AMBER VSOP BRANDY</t>
        </is>
      </c>
      <c r="C75" s="75">
        <f>VLOOKUP(A75,SizeData!A$2:B$3839,2,FALSE)</f>
        <v/>
      </c>
      <c r="D75" s="26" t="n">
        <v>1</v>
      </c>
      <c r="E75" s="26" t="inlineStr">
        <is>
          <t>R1875960</t>
        </is>
      </c>
      <c r="F75" s="72" t="n">
        <v>44884</v>
      </c>
      <c r="G75" s="73" t="n"/>
    </row>
    <row r="76">
      <c r="A76" s="26" t="n">
        <v>37588</v>
      </c>
      <c r="B76" s="26" t="inlineStr">
        <is>
          <t>RAIN VODKA</t>
        </is>
      </c>
      <c r="C76" s="75">
        <f>VLOOKUP(A76,SizeData!A$2:B$3839,2,FALSE)</f>
        <v/>
      </c>
      <c r="D76" s="26" t="n">
        <v>4</v>
      </c>
      <c r="E76" s="26" t="inlineStr">
        <is>
          <t>R1876430</t>
        </is>
      </c>
      <c r="F76" s="72" t="n">
        <v>44886</v>
      </c>
      <c r="G76" s="73" t="n"/>
    </row>
    <row r="77">
      <c r="A77" s="26" t="n">
        <v>50686</v>
      </c>
      <c r="B77" s="26" t="inlineStr">
        <is>
          <t>ST. REMY VSOP BRANDY</t>
        </is>
      </c>
      <c r="C77" s="75">
        <f>VLOOKUP(A77,SizeData!A$2:B$3839,2,FALSE)</f>
        <v/>
      </c>
      <c r="D77" s="26" t="n">
        <v>2</v>
      </c>
      <c r="E77" s="26" t="inlineStr">
        <is>
          <t>R1876430</t>
        </is>
      </c>
      <c r="F77" s="72" t="n">
        <v>44886</v>
      </c>
      <c r="G77" s="73" t="n"/>
    </row>
    <row r="78">
      <c r="A78" s="26" t="n">
        <v>89624</v>
      </c>
      <c r="B78" s="26" t="inlineStr">
        <is>
          <t>PATRON REPOSADO TEQUILA</t>
        </is>
      </c>
      <c r="C78" s="75">
        <f>VLOOKUP(A78,SizeData!A$2:B$3839,2,FALSE)</f>
        <v/>
      </c>
      <c r="D78" s="26" t="n">
        <v>2</v>
      </c>
      <c r="E78" s="26" t="inlineStr">
        <is>
          <t>R1876430</t>
        </is>
      </c>
      <c r="F78" s="72" t="n">
        <v>44886</v>
      </c>
      <c r="G78" s="73" t="n"/>
    </row>
    <row r="79">
      <c r="A79" s="6" t="n">
        <v>48164</v>
      </c>
      <c r="B79" s="6" t="inlineStr">
        <is>
          <t>HENNESSY VSOP PRIVILEGE COGNAC</t>
        </is>
      </c>
      <c r="C79" s="7">
        <f>VLOOKUP(A79,SizeData!A$2:B$3839,2,FALSE)</f>
        <v/>
      </c>
      <c r="D79" s="6" t="n">
        <v>5</v>
      </c>
      <c r="E79" s="6" t="inlineStr">
        <is>
          <t>R1873845</t>
        </is>
      </c>
      <c r="F79" s="67" t="n">
        <v>44888</v>
      </c>
      <c r="G79" s="68" t="n"/>
    </row>
    <row r="80">
      <c r="A80" s="6" t="n">
        <v>44499</v>
      </c>
      <c r="B80" s="6" t="inlineStr">
        <is>
          <t>CRUZAN MANGO FLAVORED RUM</t>
        </is>
      </c>
      <c r="C80" s="7">
        <f>VLOOKUP(A80,SizeData!A$2:B$3839,2,FALSE)</f>
        <v/>
      </c>
      <c r="D80" s="6" t="n">
        <v>1</v>
      </c>
      <c r="E80" s="6" t="inlineStr">
        <is>
          <t>R1878226</t>
        </is>
      </c>
      <c r="F80" s="67" t="n">
        <v>44887</v>
      </c>
      <c r="G80" s="68" t="n"/>
    </row>
    <row r="81">
      <c r="A81" s="6" t="n">
        <v>76413</v>
      </c>
      <c r="B81" s="6" t="inlineStr">
        <is>
          <t>OLE SMOKY TENN MOONSHINE BUTTER PECAN</t>
        </is>
      </c>
      <c r="C81" s="7">
        <f>VLOOKUP(A81,SizeData!A$2:B$3839,2,FALSE)</f>
        <v/>
      </c>
      <c r="D81" s="6" t="n">
        <v>4</v>
      </c>
      <c r="E81" s="6" t="inlineStr">
        <is>
          <t>R1880771</t>
        </is>
      </c>
      <c r="F81" s="67" t="n">
        <v>44895</v>
      </c>
      <c r="G81" s="68" t="n"/>
    </row>
    <row r="82">
      <c r="A82" s="6" t="n">
        <v>429983</v>
      </c>
      <c r="B82" s="6" t="inlineStr">
        <is>
          <t>YELLOW TAIL PINOT NOIR/SHIRAZ</t>
        </is>
      </c>
      <c r="C82" s="7">
        <f>VLOOKUP(A82,SizeData!A$2:B$3839,2,FALSE)</f>
        <v/>
      </c>
      <c r="D82" s="6" t="n">
        <v>1</v>
      </c>
      <c r="E82" s="6" t="inlineStr">
        <is>
          <t>R1880771</t>
        </is>
      </c>
      <c r="F82" s="67" t="n">
        <v>44895</v>
      </c>
      <c r="G82" s="68" t="n"/>
    </row>
    <row r="83">
      <c r="A83" s="6" t="n">
        <v>73780</v>
      </c>
      <c r="B83" s="6" t="inlineStr">
        <is>
          <t>E &amp; J VANILLA (BRANDY W/VANILLA LIQUEUR)</t>
        </is>
      </c>
      <c r="C83" s="7">
        <f>VLOOKUP(A83,SizeData!A$2:B$3839,2,FALSE)</f>
        <v/>
      </c>
      <c r="D83" s="6" t="n">
        <v>2</v>
      </c>
      <c r="E83" s="6" t="inlineStr">
        <is>
          <t>R1883576</t>
        </is>
      </c>
      <c r="F83" s="67" t="n">
        <v>44895</v>
      </c>
      <c r="G83" s="68" t="n"/>
    </row>
    <row r="84">
      <c r="A84" s="6" t="n">
        <v>477852</v>
      </c>
      <c r="B84" s="6" t="inlineStr">
        <is>
          <t>J VINEYARDS PINOT NOIR MNTRY/SNMA/S BRBR</t>
        </is>
      </c>
      <c r="C84" s="7">
        <f>VLOOKUP(A84,SizeData!A$2:B$3839,2,FALSE)</f>
        <v/>
      </c>
      <c r="D84" s="6" t="n">
        <v>1</v>
      </c>
      <c r="E84" s="6" t="inlineStr">
        <is>
          <t>R1883576</t>
        </is>
      </c>
      <c r="F84" s="67" t="n">
        <v>44895</v>
      </c>
      <c r="G84" s="68" t="n"/>
    </row>
    <row r="85">
      <c r="A85" s="6" t="n">
        <v>802875</v>
      </c>
      <c r="B85" s="6" t="inlineStr">
        <is>
          <t>MANISCHEWITZ BLACKBERRY</t>
        </is>
      </c>
      <c r="C85" s="7">
        <f>VLOOKUP(A85,SizeData!A$2:B$3839,2,FALSE)</f>
        <v/>
      </c>
      <c r="D85" s="6" t="n">
        <v>2</v>
      </c>
      <c r="E85" s="6" t="inlineStr">
        <is>
          <t>R1883576</t>
        </is>
      </c>
      <c r="F85" s="67" t="n">
        <v>44895</v>
      </c>
      <c r="G85" s="68" t="n"/>
    </row>
    <row r="86">
      <c r="A86" s="6" t="n">
        <v>12855</v>
      </c>
      <c r="B86" s="6" t="inlineStr">
        <is>
          <t>CANADIAN RICH AND RARE RESERVE</t>
        </is>
      </c>
      <c r="C86" s="7">
        <f>VLOOKUP(A86,SizeData!A$2:B$3839,2,FALSE)</f>
        <v/>
      </c>
      <c r="D86" s="6" t="n">
        <v>3</v>
      </c>
      <c r="E86" s="6" t="inlineStr">
        <is>
          <t>R1887698</t>
        </is>
      </c>
      <c r="F86" s="67" t="n">
        <v>44902</v>
      </c>
      <c r="G86" s="68" t="n"/>
    </row>
    <row r="87">
      <c r="A87" s="6" t="n">
        <v>86110</v>
      </c>
      <c r="B87" s="6" t="inlineStr">
        <is>
          <t>DEKUYPER TRIPLE SEC</t>
        </is>
      </c>
      <c r="C87" s="7">
        <f>VLOOKUP(A87,SizeData!A$2:B$3839,2,FALSE)</f>
        <v/>
      </c>
      <c r="D87" s="6" t="n">
        <v>1</v>
      </c>
      <c r="E87" s="6" t="inlineStr">
        <is>
          <t>R1887698</t>
        </is>
      </c>
      <c r="F87" s="67" t="n">
        <v>44902</v>
      </c>
      <c r="G87" s="68" t="n"/>
    </row>
    <row r="88">
      <c r="A88" s="6" t="n">
        <v>485449</v>
      </c>
      <c r="B88" s="6" t="inlineStr">
        <is>
          <t>MENAGE SWEET COLLECTION DOLCE RED</t>
        </is>
      </c>
      <c r="C88" s="7">
        <f>VLOOKUP(A88,SizeData!A$2:B$3839,2,FALSE)</f>
        <v/>
      </c>
      <c r="D88" s="6" t="n">
        <v>1</v>
      </c>
      <c r="E88" s="6" t="inlineStr">
        <is>
          <t>R1887698</t>
        </is>
      </c>
      <c r="F88" s="67" t="n">
        <v>44902</v>
      </c>
      <c r="G88" s="68" t="n"/>
    </row>
    <row r="89">
      <c r="A89" s="6" t="n">
        <v>32216</v>
      </c>
      <c r="B89" s="6" t="inlineStr">
        <is>
          <t>SEAGRAM'S DISTILLER'S RESERVE 94 GIN</t>
        </is>
      </c>
      <c r="C89" s="7">
        <f>VLOOKUP(A89,SizeData!A$2:B$3839,2,FALSE)</f>
        <v/>
      </c>
      <c r="D89" s="6" t="n">
        <v>1</v>
      </c>
      <c r="E89" s="6" t="inlineStr">
        <is>
          <t>R1888886</t>
        </is>
      </c>
      <c r="F89" s="67" t="n">
        <v>44902</v>
      </c>
      <c r="G89" s="68" t="n"/>
    </row>
    <row r="90">
      <c r="A90" s="6" t="n">
        <v>33286</v>
      </c>
      <c r="B90" s="6" t="inlineStr">
        <is>
          <t>SEAGRAM'S PEACH TWISTED GIN</t>
        </is>
      </c>
      <c r="C90" s="7">
        <f>VLOOKUP(A90,SizeData!A$2:B$3839,2,FALSE)</f>
        <v/>
      </c>
      <c r="D90" s="6" t="n">
        <v>1</v>
      </c>
      <c r="E90" s="6" t="inlineStr">
        <is>
          <t>R1888886</t>
        </is>
      </c>
      <c r="F90" s="67" t="n">
        <v>44902</v>
      </c>
      <c r="G90" s="68" t="n"/>
    </row>
    <row r="91">
      <c r="A91" s="6" t="n">
        <v>42703</v>
      </c>
      <c r="B91" s="6" t="inlineStr">
        <is>
          <t>MALIBU PINEAPPLE RUM</t>
        </is>
      </c>
      <c r="C91" s="7">
        <f>VLOOKUP(A91,SizeData!A$2:B$3839,2,FALSE)</f>
        <v/>
      </c>
      <c r="D91" s="6" t="n">
        <v>1</v>
      </c>
      <c r="E91" s="6" t="inlineStr">
        <is>
          <t>R1888886</t>
        </is>
      </c>
      <c r="F91" s="67" t="n">
        <v>44902</v>
      </c>
      <c r="G91" s="68" t="n"/>
    </row>
    <row r="92">
      <c r="A92" s="6" t="n">
        <v>64339</v>
      </c>
      <c r="B92" s="6" t="inlineStr">
        <is>
          <t>CIROC POMEGRANATE FLAVORED VODKA SPECIALTY</t>
        </is>
      </c>
      <c r="C92" s="7">
        <f>VLOOKUP(A92,SizeData!A$2:B$3839,2,FALSE)</f>
        <v/>
      </c>
      <c r="D92" s="6" t="n">
        <v>1</v>
      </c>
      <c r="E92" s="6" t="inlineStr">
        <is>
          <t>R1888886</t>
        </is>
      </c>
      <c r="F92" s="67" t="n">
        <v>44902</v>
      </c>
      <c r="G92" s="68" t="n"/>
    </row>
    <row r="93">
      <c r="A93" s="6" t="n">
        <v>65125</v>
      </c>
      <c r="B93" s="6" t="inlineStr">
        <is>
          <t>GRAND MARNIER</t>
        </is>
      </c>
      <c r="C93" s="7">
        <f>VLOOKUP(A93,SizeData!A$2:B$3839,2,FALSE)</f>
        <v/>
      </c>
      <c r="D93" s="6" t="n">
        <v>1</v>
      </c>
      <c r="E93" s="6" t="inlineStr">
        <is>
          <t>R1889340</t>
        </is>
      </c>
      <c r="F93" s="67" t="n">
        <v>44902</v>
      </c>
      <c r="G93" s="68" t="n"/>
    </row>
    <row r="94">
      <c r="A94" s="6" t="n">
        <v>65188</v>
      </c>
      <c r="B94" s="6" t="inlineStr">
        <is>
          <t>HPNOTIQ VODKA &amp; COGNAC LIQUEUR</t>
        </is>
      </c>
      <c r="C94" s="7">
        <f>VLOOKUP(A94,SizeData!A$2:B$3839,2,FALSE)</f>
        <v/>
      </c>
      <c r="D94" s="6" t="n">
        <v>5</v>
      </c>
      <c r="E94" s="6" t="inlineStr">
        <is>
          <t>R1889523</t>
        </is>
      </c>
      <c r="F94" s="67" t="n">
        <v>44902</v>
      </c>
      <c r="G94" s="68" t="n"/>
    </row>
    <row r="95">
      <c r="A95" s="6" t="n">
        <v>87725</v>
      </c>
      <c r="B95" s="6" t="inlineStr">
        <is>
          <t>GRAN CORAMINO CRISTALINO REPOSADO TEQUILA</t>
        </is>
      </c>
      <c r="C95" s="7">
        <f>VLOOKUP(A95,SizeData!A$2:B$3839,2,FALSE)</f>
        <v/>
      </c>
      <c r="D95" s="6" t="n">
        <v>6</v>
      </c>
      <c r="E95" s="6" t="inlineStr">
        <is>
          <t>R1889523</t>
        </is>
      </c>
      <c r="F95" s="67" t="n">
        <v>44902</v>
      </c>
      <c r="G95" s="68" t="n"/>
    </row>
    <row r="96">
      <c r="A96" s="6" t="n">
        <v>92270</v>
      </c>
      <c r="B96" s="6" t="inlineStr">
        <is>
          <t>CHOCOVINE (DUTCH CHOCOLATE &amp; RED WINE)</t>
        </is>
      </c>
      <c r="C96" s="7">
        <f>VLOOKUP(A96,SizeData!A$2:B$3839,2,FALSE)</f>
        <v/>
      </c>
      <c r="D96" s="6" t="n">
        <v>1</v>
      </c>
      <c r="E96" s="6" t="inlineStr">
        <is>
          <t>R1889523</t>
        </is>
      </c>
      <c r="F96" s="67" t="n">
        <v>44902</v>
      </c>
      <c r="G96" s="68" t="n"/>
    </row>
    <row r="97">
      <c r="A97" s="6" t="n">
        <v>89214</v>
      </c>
      <c r="B97" s="6" t="inlineStr">
        <is>
          <t>JOSE CUERVO TRADICIONAL REPOSADO</t>
        </is>
      </c>
      <c r="C97" s="7">
        <f>VLOOKUP(A97,SizeData!A$2:B$3839,2,FALSE)</f>
        <v/>
      </c>
      <c r="D97" s="6" t="n">
        <v>4</v>
      </c>
      <c r="E97" s="6" t="inlineStr">
        <is>
          <t>R1891609</t>
        </is>
      </c>
      <c r="F97" s="67" t="n">
        <v>44895</v>
      </c>
      <c r="G97" s="68" t="n"/>
    </row>
    <row r="98">
      <c r="A98" s="6" t="n">
        <v>35648</v>
      </c>
      <c r="B98" s="6" t="inlineStr">
        <is>
          <t>CROWN RUSSE VODKA</t>
        </is>
      </c>
      <c r="C98" s="7">
        <f>VLOOKUP(A98,SizeData!A$2:B$3839,2,FALSE)</f>
        <v/>
      </c>
      <c r="D98" s="6" t="n">
        <v>3</v>
      </c>
      <c r="E98" s="6" t="inlineStr">
        <is>
          <t>R1892470</t>
        </is>
      </c>
      <c r="F98" s="67" t="n">
        <v>44902</v>
      </c>
      <c r="G98" s="68" t="n"/>
    </row>
    <row r="99">
      <c r="A99" s="6" t="n">
        <v>892854</v>
      </c>
      <c r="B99" s="6" t="inlineStr">
        <is>
          <t>RANCHO LA GLORIA PEACH MARGARITA WINE COCKTAIL</t>
        </is>
      </c>
      <c r="C99" s="7">
        <f>VLOOKUP(A99,SizeData!A$2:B$3839,2,FALSE)</f>
        <v/>
      </c>
      <c r="D99" s="6" t="n">
        <v>1</v>
      </c>
      <c r="E99" s="6" t="inlineStr">
        <is>
          <t>R1893163</t>
        </is>
      </c>
      <c r="F99" s="67" t="n">
        <v>44873</v>
      </c>
      <c r="G99" s="68" t="n"/>
    </row>
    <row r="100">
      <c r="A100" s="6" t="n">
        <v>27236</v>
      </c>
      <c r="B100" s="6" t="inlineStr">
        <is>
          <t>MELLOW CORN</t>
        </is>
      </c>
      <c r="C100" s="7">
        <f>VLOOKUP(A100,SizeData!A$2:B$3839,2,FALSE)</f>
        <v/>
      </c>
      <c r="D100" s="6" t="n">
        <v>1</v>
      </c>
      <c r="E100" s="6" t="inlineStr">
        <is>
          <t>R1893830</t>
        </is>
      </c>
      <c r="F100" s="67" t="n">
        <v>44902</v>
      </c>
      <c r="G100" s="68" t="n"/>
    </row>
    <row r="101">
      <c r="A101" s="6" t="n">
        <v>87282</v>
      </c>
      <c r="B101" s="6" t="inlineStr">
        <is>
          <t>CASAMIGOS BLANCO TEQUILA 100% AGAVE</t>
        </is>
      </c>
      <c r="C101" s="7">
        <f>VLOOKUP(A101,SizeData!A$2:B$3839,2,FALSE)</f>
        <v/>
      </c>
      <c r="D101" s="6" t="n">
        <v>3</v>
      </c>
      <c r="E101" s="6" t="inlineStr">
        <is>
          <t>R1893830</t>
        </is>
      </c>
      <c r="F101" s="67" t="n">
        <v>44902</v>
      </c>
      <c r="G101" s="68" t="n"/>
    </row>
    <row r="102">
      <c r="A102" s="6" t="n">
        <v>6998</v>
      </c>
      <c r="B102" s="6" t="inlineStr">
        <is>
          <t>CLAN MCGREGOR</t>
        </is>
      </c>
      <c r="C102" s="7">
        <f>VLOOKUP(A102,SizeData!A$2:B$3839,2,FALSE)</f>
        <v/>
      </c>
      <c r="D102" s="6" t="n">
        <v>1</v>
      </c>
      <c r="E102" s="6" t="inlineStr">
        <is>
          <t>R1894245</t>
        </is>
      </c>
      <c r="F102" s="67" t="n">
        <v>44902</v>
      </c>
      <c r="G102" s="68" t="n"/>
    </row>
    <row r="103">
      <c r="A103" s="6" t="n">
        <v>21236</v>
      </c>
      <c r="B103" s="6" t="inlineStr">
        <is>
          <t>1792 SMALL BATCH BOURBON</t>
        </is>
      </c>
      <c r="C103" s="7">
        <f>VLOOKUP(A103,SizeData!A$2:B$3839,2,FALSE)</f>
        <v/>
      </c>
      <c r="D103" s="6" t="n">
        <v>1</v>
      </c>
      <c r="E103" s="6" t="inlineStr">
        <is>
          <t>R1894245</t>
        </is>
      </c>
      <c r="F103" s="67" t="n">
        <v>44902</v>
      </c>
      <c r="G103" s="68" t="n"/>
    </row>
    <row r="104">
      <c r="A104" s="6" t="n">
        <v>34454</v>
      </c>
      <c r="B104" s="6" t="inlineStr">
        <is>
          <t>KETEL ONE DUTCH VODKA</t>
        </is>
      </c>
      <c r="C104" s="7">
        <f>VLOOKUP(A104,SizeData!A$2:B$3839,2,FALSE)</f>
        <v/>
      </c>
      <c r="D104" s="6" t="n">
        <v>3</v>
      </c>
      <c r="E104" s="6" t="inlineStr">
        <is>
          <t>R1894245</t>
        </is>
      </c>
      <c r="F104" s="67" t="n">
        <v>44902</v>
      </c>
      <c r="G104" s="68" t="n"/>
    </row>
    <row r="105">
      <c r="A105" s="6" t="n">
        <v>35648</v>
      </c>
      <c r="B105" s="6" t="inlineStr">
        <is>
          <t>CROWN RUSSE VODKA</t>
        </is>
      </c>
      <c r="C105" s="7">
        <f>VLOOKUP(A105,SizeData!A$2:B$3839,2,FALSE)</f>
        <v/>
      </c>
      <c r="D105" s="6" t="n">
        <v>3</v>
      </c>
      <c r="E105" s="6" t="inlineStr">
        <is>
          <t>R1894248</t>
        </is>
      </c>
      <c r="F105" s="67" t="n">
        <v>44902</v>
      </c>
      <c r="G105" s="68" t="n"/>
    </row>
    <row r="106">
      <c r="A106" s="6" t="n">
        <v>51109</v>
      </c>
      <c r="B106" s="6" t="inlineStr">
        <is>
          <t>CIROC VS FRENCH BRANDY</t>
        </is>
      </c>
      <c r="C106" s="7">
        <f>VLOOKUP(A106,SizeData!A$2:B$3839,2,FALSE)</f>
        <v/>
      </c>
      <c r="D106" s="6" t="n">
        <v>1</v>
      </c>
      <c r="E106" s="6" t="inlineStr">
        <is>
          <t>R1894248</t>
        </is>
      </c>
      <c r="F106" s="67" t="n">
        <v>44902</v>
      </c>
      <c r="G106" s="68" t="n"/>
    </row>
    <row r="107">
      <c r="A107" s="6" t="n">
        <v>97726</v>
      </c>
      <c r="B107" s="6" t="inlineStr">
        <is>
          <t>RICHARDS WILD ROSE RED</t>
        </is>
      </c>
      <c r="C107" s="7">
        <f>VLOOKUP(A107,SizeData!A$2:B$3839,2,FALSE)</f>
        <v/>
      </c>
      <c r="D107" s="6" t="n">
        <v>1</v>
      </c>
      <c r="E107" s="6" t="inlineStr">
        <is>
          <t>R1894248</t>
        </is>
      </c>
      <c r="F107" s="67" t="n">
        <v>44902</v>
      </c>
      <c r="G107" s="68" t="n"/>
    </row>
    <row r="108">
      <c r="A108" s="6" t="n">
        <v>58877</v>
      </c>
      <c r="B108" s="6" t="inlineStr">
        <is>
          <t>JOSE CUERVO GOLDEN STAW MARG</t>
        </is>
      </c>
      <c r="C108" s="7">
        <f>VLOOKUP(A108,SizeData!A$2:B$3839,2,FALSE)</f>
        <v/>
      </c>
      <c r="D108" s="6" t="n">
        <v>1</v>
      </c>
      <c r="E108" s="6" t="inlineStr">
        <is>
          <t>R1894250</t>
        </is>
      </c>
      <c r="F108" s="67" t="n">
        <v>44902</v>
      </c>
      <c r="G108" s="68" t="n"/>
    </row>
    <row r="109">
      <c r="A109" s="6" t="n">
        <v>882319</v>
      </c>
      <c r="B109" s="6" t="inlineStr">
        <is>
          <t>CARLO ROSSI PINK MOSCATO SANGRIA</t>
        </is>
      </c>
      <c r="C109" s="7">
        <f>VLOOKUP(A109,SizeData!A$2:B$3839,2,FALSE)</f>
        <v/>
      </c>
      <c r="D109" s="6" t="n">
        <v>1</v>
      </c>
      <c r="E109" s="6" t="inlineStr">
        <is>
          <t>R1894250</t>
        </is>
      </c>
      <c r="F109" s="67" t="n">
        <v>44902</v>
      </c>
      <c r="G109" s="68" t="n"/>
    </row>
    <row r="110">
      <c r="A110" s="6" t="n">
        <v>882322</v>
      </c>
      <c r="B110" s="6" t="inlineStr">
        <is>
          <t>CARLO ROSSI PINEAPPLE SANGRIA</t>
        </is>
      </c>
      <c r="C110" s="7">
        <f>VLOOKUP(A110,SizeData!A$2:B$3839,2,FALSE)</f>
        <v/>
      </c>
      <c r="D110" s="6" t="n">
        <v>1</v>
      </c>
      <c r="E110" s="6" t="inlineStr">
        <is>
          <t>R1894250</t>
        </is>
      </c>
      <c r="F110" s="67" t="n">
        <v>44902</v>
      </c>
      <c r="G110" s="68" t="n"/>
    </row>
    <row r="111">
      <c r="A111" s="6" t="n">
        <v>882327</v>
      </c>
      <c r="B111" s="6" t="inlineStr">
        <is>
          <t>CARLO ROSSI BLUEBERRY SANGRIA</t>
        </is>
      </c>
      <c r="C111" s="7">
        <f>VLOOKUP(A111,SizeData!A$2:B$3839,2,FALSE)</f>
        <v/>
      </c>
      <c r="D111" s="6" t="n">
        <v>1</v>
      </c>
      <c r="E111" s="6" t="inlineStr">
        <is>
          <t>R1894250</t>
        </is>
      </c>
      <c r="F111" s="67" t="n">
        <v>44902</v>
      </c>
      <c r="G111" s="68" t="n"/>
    </row>
    <row r="112">
      <c r="A112" s="6" t="n">
        <v>24176</v>
      </c>
      <c r="B112" s="6" t="inlineStr">
        <is>
          <t>QUALITY HOUSE BLENDED WHISKEY</t>
        </is>
      </c>
      <c r="C112" s="7">
        <f>VLOOKUP(A112,SizeData!A$2:B$3839,2,FALSE)</f>
        <v/>
      </c>
      <c r="D112" s="6" t="n">
        <v>1</v>
      </c>
      <c r="E112" s="6" t="inlineStr">
        <is>
          <t>R1894827</t>
        </is>
      </c>
      <c r="F112" s="67" t="n">
        <v>44902</v>
      </c>
      <c r="G112" s="68" t="n"/>
    </row>
    <row r="113">
      <c r="A113" s="6" t="n">
        <v>44476</v>
      </c>
      <c r="B113" s="6" t="inlineStr">
        <is>
          <t>CRUZAN COCONUT FLAVORED V.I. RUM</t>
        </is>
      </c>
      <c r="C113" s="7">
        <f>VLOOKUP(A113,SizeData!A$2:B$3839,2,FALSE)</f>
        <v/>
      </c>
      <c r="D113" s="6" t="n">
        <v>1</v>
      </c>
      <c r="E113" s="6" t="inlineStr">
        <is>
          <t>R1894827</t>
        </is>
      </c>
      <c r="F113" s="67" t="n">
        <v>44902</v>
      </c>
      <c r="G113" s="68" t="n"/>
    </row>
    <row r="114">
      <c r="A114" s="6" t="n">
        <v>80520</v>
      </c>
      <c r="B114" s="6" t="inlineStr">
        <is>
          <t>SUGARLANDS SHINE DK CHOCOLATE COFFEE SIPPIN CREAM</t>
        </is>
      </c>
      <c r="C114" s="7">
        <f>VLOOKUP(A114,SizeData!A$2:B$3839,2,FALSE)</f>
        <v/>
      </c>
      <c r="D114" s="6" t="n">
        <v>1</v>
      </c>
      <c r="E114" s="6" t="inlineStr">
        <is>
          <t>R1894827</t>
        </is>
      </c>
      <c r="F114" s="67" t="n">
        <v>44902</v>
      </c>
      <c r="G114" s="68" t="n"/>
    </row>
    <row r="115">
      <c r="A115" s="6" t="n">
        <v>812770</v>
      </c>
      <c r="B115" s="6" t="inlineStr">
        <is>
          <t>MD 20/20 BANANA RED</t>
        </is>
      </c>
      <c r="C115" s="7">
        <f>VLOOKUP(A115,SizeData!A$2:B$3839,2,FALSE)</f>
        <v/>
      </c>
      <c r="D115" s="6" t="n">
        <v>1</v>
      </c>
      <c r="E115" s="6" t="inlineStr">
        <is>
          <t>R1897460</t>
        </is>
      </c>
      <c r="F115" s="67" t="n">
        <v>44902</v>
      </c>
      <c r="G115" s="68" t="n"/>
    </row>
    <row r="116">
      <c r="A116" s="6" t="n">
        <v>812799</v>
      </c>
      <c r="B116" s="6" t="inlineStr">
        <is>
          <t>MD 20/20 ORANGE JUBILEE</t>
        </is>
      </c>
      <c r="C116" s="7">
        <f>VLOOKUP(A116,SizeData!A$2:B$3839,2,FALSE)</f>
        <v/>
      </c>
      <c r="D116" s="6" t="n">
        <v>3</v>
      </c>
      <c r="E116" s="6" t="inlineStr">
        <is>
          <t>R1897460</t>
        </is>
      </c>
      <c r="F116" s="67" t="n">
        <v>44902</v>
      </c>
      <c r="G116" s="68" t="n"/>
    </row>
    <row r="117">
      <c r="A117" s="6" t="n">
        <v>420431</v>
      </c>
      <c r="B117" s="6" t="inlineStr">
        <is>
          <t>JACOB'S CREEK CABERNET SAUVIGNON</t>
        </is>
      </c>
      <c r="C117" s="7">
        <f>VLOOKUP(A117,SizeData!A$2:B$3839,2,FALSE)</f>
        <v/>
      </c>
      <c r="D117" s="6" t="n">
        <v>2</v>
      </c>
      <c r="E117" s="6" t="inlineStr">
        <is>
          <t>R1898101</t>
        </is>
      </c>
      <c r="F117" s="67" t="n">
        <v>44902</v>
      </c>
      <c r="G117" s="68" t="n"/>
    </row>
    <row r="118">
      <c r="A118" s="6" t="n">
        <v>10006</v>
      </c>
      <c r="B118" s="6" t="inlineStr">
        <is>
          <t>SCORESBY RARE</t>
        </is>
      </c>
      <c r="C118" s="7">
        <f>VLOOKUP(A118,SizeData!A$2:B$3839,2,FALSE)</f>
        <v/>
      </c>
      <c r="D118" s="6" t="n">
        <v>1</v>
      </c>
      <c r="E118" s="6" t="inlineStr">
        <is>
          <t>R1900430</t>
        </is>
      </c>
      <c r="F118" s="67" t="n">
        <v>44896</v>
      </c>
      <c r="G118" s="68" t="n"/>
    </row>
    <row r="119">
      <c r="A119" s="6" t="n">
        <v>35213</v>
      </c>
      <c r="B119" s="6" t="inlineStr">
        <is>
          <t>SOBIESKI POLISH VODKA</t>
        </is>
      </c>
      <c r="C119" s="7">
        <f>VLOOKUP(A119,SizeData!A$2:B$3839,2,FALSE)</f>
        <v/>
      </c>
      <c r="D119" s="6" t="n">
        <v>1</v>
      </c>
      <c r="E119" s="6" t="inlineStr">
        <is>
          <t>R1900430</t>
        </is>
      </c>
      <c r="F119" s="67" t="n">
        <v>44896</v>
      </c>
      <c r="G119" s="68" t="n"/>
    </row>
    <row r="120">
      <c r="A120" s="6" t="n">
        <v>37063</v>
      </c>
      <c r="B120" s="6" t="inlineStr">
        <is>
          <t>STOLI ELIT ULTRA PREMIUM VODKA</t>
        </is>
      </c>
      <c r="C120" s="7">
        <f>VLOOKUP(A120,SizeData!A$2:B$3839,2,FALSE)</f>
        <v/>
      </c>
      <c r="D120" s="6" t="n">
        <v>3</v>
      </c>
      <c r="E120" s="6" t="inlineStr">
        <is>
          <t>R1900430</t>
        </is>
      </c>
      <c r="F120" s="67" t="n">
        <v>44896</v>
      </c>
      <c r="G120" s="68" t="n"/>
    </row>
    <row r="121">
      <c r="A121" s="6" t="n">
        <v>65188</v>
      </c>
      <c r="B121" s="6" t="inlineStr">
        <is>
          <t>HPNOTIQ VODKA &amp; COGNAC LIQUEUR</t>
        </is>
      </c>
      <c r="C121" s="7">
        <f>VLOOKUP(A121,SizeData!A$2:B$3839,2,FALSE)</f>
        <v/>
      </c>
      <c r="D121" s="6" t="n">
        <v>2</v>
      </c>
      <c r="E121" s="6" t="inlineStr">
        <is>
          <t>R1900430</t>
        </is>
      </c>
      <c r="F121" s="67" t="n">
        <v>44896</v>
      </c>
      <c r="G121" s="68" t="n"/>
    </row>
    <row r="122">
      <c r="A122" s="6" t="n">
        <v>89099</v>
      </c>
      <c r="B122" s="6" t="inlineStr">
        <is>
          <t>CAZADORES ANEJO GOLD TEQUILA</t>
        </is>
      </c>
      <c r="C122" s="7">
        <f>VLOOKUP(A122,SizeData!A$2:B$3839,2,FALSE)</f>
        <v/>
      </c>
      <c r="D122" s="6" t="n">
        <v>1</v>
      </c>
      <c r="E122" s="6" t="inlineStr">
        <is>
          <t>R1900430</t>
        </is>
      </c>
      <c r="F122" s="67" t="n">
        <v>44896</v>
      </c>
      <c r="G122" s="68" t="n"/>
    </row>
    <row r="123">
      <c r="A123" s="6" t="n">
        <v>28890</v>
      </c>
      <c r="B123" s="6" t="inlineStr">
        <is>
          <t>TANQUERAY RANGPUR DISTILLED GIN</t>
        </is>
      </c>
      <c r="C123" s="7">
        <f>VLOOKUP(A123,SizeData!A$2:B$3839,2,FALSE)</f>
        <v/>
      </c>
      <c r="D123" s="6" t="n">
        <v>1</v>
      </c>
      <c r="E123" s="6" t="inlineStr">
        <is>
          <t>R1906202</t>
        </is>
      </c>
      <c r="F123" s="67" t="n">
        <v>44902</v>
      </c>
      <c r="G123" s="68" t="n"/>
    </row>
    <row r="124">
      <c r="A124" s="6" t="n">
        <v>6998</v>
      </c>
      <c r="B124" s="6" t="inlineStr">
        <is>
          <t>CLAN MCGREGOR</t>
        </is>
      </c>
      <c r="C124" s="7">
        <f>VLOOKUP(A124,SizeData!A$2:B$3839,2,FALSE)</f>
        <v/>
      </c>
      <c r="D124" s="6" t="n">
        <v>1</v>
      </c>
      <c r="E124" s="6" t="inlineStr">
        <is>
          <t>R1906601</t>
        </is>
      </c>
      <c r="F124" s="67" t="n">
        <v>44902</v>
      </c>
      <c r="G124" s="68" t="n"/>
    </row>
    <row r="125">
      <c r="A125" s="6" t="n">
        <v>89644</v>
      </c>
      <c r="B125" s="6" t="inlineStr">
        <is>
          <t>PATRON ANEJO TEQUILA</t>
        </is>
      </c>
      <c r="C125" s="7">
        <f>VLOOKUP(A125,SizeData!A$2:B$3839,2,FALSE)</f>
        <v/>
      </c>
      <c r="D125" s="6" t="n">
        <v>1</v>
      </c>
      <c r="E125" s="6" t="inlineStr">
        <is>
          <t>R1906601</t>
        </is>
      </c>
      <c r="F125" s="67" t="n">
        <v>44902</v>
      </c>
      <c r="G125" s="68" t="n"/>
    </row>
    <row r="126">
      <c r="A126" s="6" t="n">
        <v>466271</v>
      </c>
      <c r="B126" s="6" t="inlineStr">
        <is>
          <t>FLIP FLOP CABERNET SAUVIGNON</t>
        </is>
      </c>
      <c r="C126" s="7">
        <f>VLOOKUP(A126,SizeData!A$2:B$3839,2,FALSE)</f>
        <v/>
      </c>
      <c r="D126" s="6" t="n">
        <v>1</v>
      </c>
      <c r="E126" s="6" t="inlineStr">
        <is>
          <t>R1906601</t>
        </is>
      </c>
      <c r="F126" s="67" t="n">
        <v>44902</v>
      </c>
      <c r="G126" s="68" t="n"/>
    </row>
    <row r="127">
      <c r="A127" s="6" t="n">
        <v>565371</v>
      </c>
      <c r="B127" s="6" t="inlineStr">
        <is>
          <t>FLIP FLOP CHARDONNAY</t>
        </is>
      </c>
      <c r="C127" s="7">
        <f>VLOOKUP(A127,SizeData!A$2:B$3839,2,FALSE)</f>
        <v/>
      </c>
      <c r="D127" s="6" t="n">
        <v>2</v>
      </c>
      <c r="E127" s="6" t="inlineStr">
        <is>
          <t>R1906601</t>
        </is>
      </c>
      <c r="F127" s="67" t="n">
        <v>44902</v>
      </c>
      <c r="G127" s="68" t="n"/>
    </row>
    <row r="128">
      <c r="A128" s="6" t="n">
        <v>37063</v>
      </c>
      <c r="B128" s="6" t="inlineStr">
        <is>
          <t>STOLI ELIT ULTRA PREMIUM VODKA</t>
        </is>
      </c>
      <c r="C128" s="7">
        <f>VLOOKUP(A128,SizeData!A$2:B$3839,2,FALSE)</f>
        <v/>
      </c>
      <c r="D128" s="6" t="n">
        <v>3</v>
      </c>
      <c r="E128" s="6" t="inlineStr">
        <is>
          <t>R1906602</t>
        </is>
      </c>
      <c r="F128" s="67" t="n">
        <v>44902</v>
      </c>
      <c r="G128" s="68" t="n"/>
    </row>
    <row r="129">
      <c r="A129" s="26" t="n">
        <v>59182</v>
      </c>
      <c r="B129" s="26" t="inlineStr">
        <is>
          <t>1800 ULTIMATE MANGO MARGARITA RTD PET</t>
        </is>
      </c>
      <c r="C129" s="75">
        <f>VLOOKUP(A129,SizeData!A$2:B$3839,2,FALSE)</f>
        <v/>
      </c>
      <c r="D129" s="26" t="n">
        <v>2</v>
      </c>
      <c r="E129" s="26" t="inlineStr">
        <is>
          <t>R1906226</t>
        </is>
      </c>
      <c r="F129" s="72" t="n">
        <v>44905</v>
      </c>
      <c r="G129" s="73" t="n"/>
    </row>
    <row r="130">
      <c r="A130" s="26" t="n">
        <v>65188</v>
      </c>
      <c r="B130" s="26" t="inlineStr">
        <is>
          <t>HPNOTIQ VODKA &amp; COGNAC LIQUEUR</t>
        </is>
      </c>
      <c r="C130" s="75">
        <f>VLOOKUP(A130,SizeData!A$2:B$3839,2,FALSE)</f>
        <v/>
      </c>
      <c r="D130" s="26" t="n">
        <v>2</v>
      </c>
      <c r="E130" s="26" t="inlineStr">
        <is>
          <t>R1906226</t>
        </is>
      </c>
      <c r="F130" s="72" t="n">
        <v>44905</v>
      </c>
      <c r="G130" s="73" t="n"/>
    </row>
    <row r="131">
      <c r="A131" s="26" t="n">
        <v>44476</v>
      </c>
      <c r="B131" s="26" t="inlineStr">
        <is>
          <t>CRUZAN COCONUT FLAVORED V.I. RUM</t>
        </is>
      </c>
      <c r="C131" s="75">
        <f>VLOOKUP(A131,SizeData!A$2:B$3839,2,FALSE)</f>
        <v/>
      </c>
      <c r="D131" s="26" t="n">
        <v>1</v>
      </c>
      <c r="E131" s="26" t="inlineStr">
        <is>
          <t>R1901365</t>
        </is>
      </c>
      <c r="F131" s="72" t="n">
        <v>44905</v>
      </c>
      <c r="G131" s="73" t="n"/>
    </row>
    <row r="132">
      <c r="A132" s="26" t="n">
        <v>44506</v>
      </c>
      <c r="B132" s="26" t="inlineStr">
        <is>
          <t>CRUZAN PINEAPPLE FLAVORED V.I. RUM</t>
        </is>
      </c>
      <c r="C132" s="75">
        <f>VLOOKUP(A132,SizeData!A$2:B$3839,2,FALSE)</f>
        <v/>
      </c>
      <c r="D132" s="26" t="n">
        <v>4</v>
      </c>
      <c r="E132" s="26" t="inlineStr">
        <is>
          <t>R1901365</t>
        </is>
      </c>
      <c r="F132" s="72" t="n">
        <v>44905</v>
      </c>
      <c r="G132" s="73" t="n"/>
    </row>
    <row r="133" customFormat="1" s="14">
      <c r="A133" s="26" t="n">
        <v>33256</v>
      </c>
      <c r="B133" s="26" t="inlineStr">
        <is>
          <t>SEAGRAM'S LIME TWISTED GIN</t>
        </is>
      </c>
      <c r="C133" s="75">
        <f>VLOOKUP(A133,SizeData!A$2:B$3839,2,FALSE)</f>
        <v/>
      </c>
      <c r="D133" s="26" t="n">
        <v>1</v>
      </c>
      <c r="E133" s="26" t="inlineStr">
        <is>
          <t>R1903202</t>
        </is>
      </c>
      <c r="F133" s="72" t="n">
        <v>44905</v>
      </c>
      <c r="G133" s="73" t="n"/>
    </row>
    <row r="134" customFormat="1" s="14">
      <c r="A134" s="26" t="n">
        <v>87416</v>
      </c>
      <c r="B134" s="26" t="inlineStr">
        <is>
          <t>JOSE CUERVO TRADICIONAL SILVER TEQ</t>
        </is>
      </c>
      <c r="C134" s="75">
        <f>VLOOKUP(A134,SizeData!A$2:B$3839,2,FALSE)</f>
        <v/>
      </c>
      <c r="D134" s="26" t="n">
        <v>1</v>
      </c>
      <c r="E134" s="26" t="inlineStr">
        <is>
          <t>R1903202</t>
        </is>
      </c>
      <c r="F134" s="72" t="n">
        <v>44905</v>
      </c>
      <c r="G134" s="73" t="n"/>
    </row>
    <row r="135">
      <c r="A135" s="26" t="n">
        <v>89215</v>
      </c>
      <c r="B135" s="26" t="inlineStr">
        <is>
          <t>JOSE CUERVO TRADICIONAL REPOSADO TEQ</t>
        </is>
      </c>
      <c r="C135" s="75">
        <f>VLOOKUP(A135,SizeData!A$2:B$3839,2,FALSE)</f>
        <v/>
      </c>
      <c r="D135" s="26" t="n">
        <v>2</v>
      </c>
      <c r="E135" s="26" t="inlineStr">
        <is>
          <t>R1903202</t>
        </is>
      </c>
      <c r="F135" s="72" t="n">
        <v>44905</v>
      </c>
      <c r="G135" s="73" t="n"/>
    </row>
    <row r="136">
      <c r="A136" s="26" t="n">
        <v>359592</v>
      </c>
      <c r="B136" s="26" t="inlineStr">
        <is>
          <t>CUPCAKE MOSCATO</t>
        </is>
      </c>
      <c r="C136" s="75">
        <f>VLOOKUP(A136,SizeData!A$2:B$3839,2,FALSE)</f>
        <v/>
      </c>
      <c r="D136" s="26" t="n">
        <v>1</v>
      </c>
      <c r="E136" s="26" t="inlineStr">
        <is>
          <t>R1903202</t>
        </is>
      </c>
      <c r="F136" s="72" t="n">
        <v>44905</v>
      </c>
      <c r="G136" s="73" t="n"/>
    </row>
    <row r="137">
      <c r="A137" s="26" t="n">
        <v>812810</v>
      </c>
      <c r="B137" s="26" t="inlineStr">
        <is>
          <t>MD 20/20 BLUE RASPBERRY</t>
        </is>
      </c>
      <c r="C137" s="75">
        <f>VLOOKUP(A137,SizeData!A$2:B$3839,2,FALSE)</f>
        <v/>
      </c>
      <c r="D137" s="26" t="n">
        <v>1</v>
      </c>
      <c r="E137" s="26" t="inlineStr">
        <is>
          <t>R1903202</t>
        </is>
      </c>
      <c r="F137" s="72" t="n">
        <v>44905</v>
      </c>
      <c r="G137" s="73" t="n"/>
    </row>
    <row r="138">
      <c r="A138" s="26" t="n">
        <v>49087</v>
      </c>
      <c r="B138" s="26" t="inlineStr">
        <is>
          <t>REMY MARTIN 1738 ACCORD ROYAL</t>
        </is>
      </c>
      <c r="C138" s="75">
        <f>VLOOKUP(A138,SizeData!A$2:B$3839,2,FALSE)</f>
        <v/>
      </c>
      <c r="D138" s="26" t="n">
        <v>3</v>
      </c>
      <c r="E138" s="26" t="inlineStr">
        <is>
          <t>R1915211</t>
        </is>
      </c>
      <c r="F138" s="72" t="n">
        <v>44907</v>
      </c>
      <c r="G138" s="73" t="n"/>
    </row>
    <row r="139">
      <c r="A139" s="26" t="n">
        <v>64328</v>
      </c>
      <c r="B139" s="26" t="inlineStr">
        <is>
          <t>CIROC SUMMER WATERMELON FLAVORED VODKA DSS</t>
        </is>
      </c>
      <c r="C139" s="75">
        <f>VLOOKUP(A139,SizeData!A$2:B$3839,2,FALSE)</f>
        <v/>
      </c>
      <c r="D139" s="26" t="n">
        <v>1</v>
      </c>
      <c r="E139" s="26" t="inlineStr">
        <is>
          <t>R1888484</t>
        </is>
      </c>
      <c r="F139" s="72" t="n">
        <v>44908</v>
      </c>
      <c r="G139" s="73" t="n"/>
    </row>
    <row r="140">
      <c r="A140" s="26" t="n">
        <v>64511</v>
      </c>
      <c r="B140" s="26" t="inlineStr">
        <is>
          <t>CIROC APPLE FLAVORED VODKA SPECIALTY</t>
        </is>
      </c>
      <c r="C140" s="75">
        <f>VLOOKUP(A140,SizeData!A$2:B$3839,2,FALSE)</f>
        <v/>
      </c>
      <c r="D140" s="26" t="n">
        <v>2</v>
      </c>
      <c r="E140" s="26" t="inlineStr">
        <is>
          <t>R1888484</t>
        </is>
      </c>
      <c r="F140" s="72" t="n">
        <v>44908</v>
      </c>
      <c r="G140" s="73" t="n"/>
    </row>
    <row r="141">
      <c r="A141" s="26" t="n">
        <v>64913</v>
      </c>
      <c r="B141" s="26" t="inlineStr">
        <is>
          <t>CIROC MANGO FLAVORED VODKA SPECIALTY</t>
        </is>
      </c>
      <c r="C141" s="75">
        <f>VLOOKUP(A141,SizeData!A$2:B$3839,2,FALSE)</f>
        <v/>
      </c>
      <c r="D141" s="26" t="n">
        <v>1</v>
      </c>
      <c r="E141" s="26" t="inlineStr">
        <is>
          <t>R1888484</t>
        </is>
      </c>
      <c r="F141" s="72" t="n">
        <v>44908</v>
      </c>
      <c r="G141" s="73" t="n"/>
    </row>
    <row r="142">
      <c r="A142" s="26" t="n">
        <v>420436</v>
      </c>
      <c r="B142" s="26" t="inlineStr">
        <is>
          <t>JACOB'S CREEK CHARDONNAY</t>
        </is>
      </c>
      <c r="C142" s="75">
        <f>VLOOKUP(A142,SizeData!A$2:B$3839,2,FALSE)</f>
        <v/>
      </c>
      <c r="D142" s="26" t="n">
        <v>5</v>
      </c>
      <c r="E142" s="26" t="inlineStr">
        <is>
          <t>R1903425</t>
        </is>
      </c>
      <c r="F142" s="72" t="n">
        <v>44908</v>
      </c>
      <c r="G142" s="73" t="n"/>
    </row>
    <row r="143">
      <c r="A143" s="26" t="n">
        <v>751950</v>
      </c>
      <c r="B143" s="26" t="inlineStr">
        <is>
          <t>KORBEL SWEET ROSE CHAMPAGNE</t>
        </is>
      </c>
      <c r="C143" s="75">
        <f>VLOOKUP(A143,SizeData!A$2:B$3839,2,FALSE)</f>
        <v/>
      </c>
      <c r="D143" s="26" t="n">
        <v>1</v>
      </c>
      <c r="E143" s="26" t="inlineStr">
        <is>
          <t>R1903425</t>
        </is>
      </c>
      <c r="F143" s="72" t="n">
        <v>44908</v>
      </c>
      <c r="G143" s="73" t="n"/>
    </row>
    <row r="144">
      <c r="A144" s="26" t="n">
        <v>34746</v>
      </c>
      <c r="B144" s="26" t="inlineStr">
        <is>
          <t>STOLICHNAYA 80 VODKA</t>
        </is>
      </c>
      <c r="C144" s="75">
        <f>VLOOKUP(A144,SizeData!A$2:B$3839,2,FALSE)</f>
        <v/>
      </c>
      <c r="D144" s="26" t="n">
        <v>1</v>
      </c>
      <c r="E144" s="26" t="inlineStr">
        <is>
          <t>R1906771</t>
        </is>
      </c>
      <c r="F144" s="72" t="n">
        <v>44908</v>
      </c>
      <c r="G144" s="73" t="n"/>
    </row>
    <row r="145">
      <c r="A145" s="26" t="n">
        <v>89099</v>
      </c>
      <c r="B145" s="26" t="inlineStr">
        <is>
          <t>CAZADORES ANEJO GOLD TEQUILA</t>
        </is>
      </c>
      <c r="C145" s="75">
        <f>VLOOKUP(A145,SizeData!A$2:B$3839,2,FALSE)</f>
        <v/>
      </c>
      <c r="D145" s="26" t="n">
        <v>1</v>
      </c>
      <c r="E145" s="26" t="inlineStr">
        <is>
          <t>R1907721</t>
        </is>
      </c>
      <c r="F145" s="72" t="n">
        <v>44908</v>
      </c>
      <c r="G145" s="73" t="n"/>
    </row>
    <row r="146">
      <c r="A146" s="26" t="n">
        <v>812791</v>
      </c>
      <c r="B146" s="26" t="inlineStr">
        <is>
          <t>MD 20/20 ORANGE JUBILEE</t>
        </is>
      </c>
      <c r="C146" s="75">
        <f>VLOOKUP(A146,SizeData!A$2:B$3839,2,FALSE)</f>
        <v/>
      </c>
      <c r="D146" s="26" t="n">
        <v>4</v>
      </c>
      <c r="E146" s="26" t="inlineStr">
        <is>
          <t>R1907721</t>
        </is>
      </c>
      <c r="F146" s="72" t="n">
        <v>44908</v>
      </c>
      <c r="G146" s="73" t="n"/>
    </row>
    <row r="147">
      <c r="A147" s="26" t="n">
        <v>6998</v>
      </c>
      <c r="B147" s="26" t="inlineStr">
        <is>
          <t>CLAN MCGREGOR</t>
        </is>
      </c>
      <c r="C147" s="75">
        <f>VLOOKUP(A147,SizeData!A$2:B$3839,2,FALSE)</f>
        <v/>
      </c>
      <c r="D147" s="26" t="n">
        <v>2</v>
      </c>
      <c r="E147" s="26" t="inlineStr">
        <is>
          <t>R1907823</t>
        </is>
      </c>
      <c r="F147" s="72" t="n">
        <v>44908</v>
      </c>
      <c r="G147" s="73" t="n"/>
    </row>
    <row r="148">
      <c r="A148" s="26" t="n">
        <v>24176</v>
      </c>
      <c r="B148" s="26" t="inlineStr">
        <is>
          <t>QUALITY HOUSE BLENDED WHISKEY</t>
        </is>
      </c>
      <c r="C148" s="75">
        <f>VLOOKUP(A148,SizeData!A$2:B$3839,2,FALSE)</f>
        <v/>
      </c>
      <c r="D148" s="26" t="n">
        <v>1</v>
      </c>
      <c r="E148" s="26" t="inlineStr">
        <is>
          <t>R1907823</t>
        </is>
      </c>
      <c r="F148" s="72" t="n">
        <v>44908</v>
      </c>
      <c r="G148" s="73" t="n"/>
    </row>
    <row r="149">
      <c r="A149" s="26" t="n">
        <v>27236</v>
      </c>
      <c r="B149" s="26" t="inlineStr">
        <is>
          <t>MELLOW CORN</t>
        </is>
      </c>
      <c r="C149" s="75">
        <f>VLOOKUP(A149,SizeData!A$2:B$3839,2,FALSE)</f>
        <v/>
      </c>
      <c r="D149" s="26" t="n">
        <v>1</v>
      </c>
      <c r="E149" s="26" t="inlineStr">
        <is>
          <t>R1907823</t>
        </is>
      </c>
      <c r="F149" s="72" t="n">
        <v>44908</v>
      </c>
      <c r="G149" s="73" t="n"/>
    </row>
    <row r="150">
      <c r="A150" s="26" t="n">
        <v>34454</v>
      </c>
      <c r="B150" s="26" t="inlineStr">
        <is>
          <t>KETEL ONE DUTCH VODKA</t>
        </is>
      </c>
      <c r="C150" s="75">
        <f>VLOOKUP(A150,SizeData!A$2:B$3839,2,FALSE)</f>
        <v/>
      </c>
      <c r="D150" s="26" t="n">
        <v>2</v>
      </c>
      <c r="E150" s="26" t="inlineStr">
        <is>
          <t>R1907823</t>
        </is>
      </c>
      <c r="F150" s="72" t="n">
        <v>44908</v>
      </c>
      <c r="G150" s="73" t="n"/>
    </row>
    <row r="151">
      <c r="A151" s="26" t="n">
        <v>44476</v>
      </c>
      <c r="B151" s="26" t="inlineStr">
        <is>
          <t>CRUZAN COCONUT FLAVORED V.I. RUM</t>
        </is>
      </c>
      <c r="C151" s="75">
        <f>VLOOKUP(A151,SizeData!A$2:B$3839,2,FALSE)</f>
        <v/>
      </c>
      <c r="D151" s="26" t="n">
        <v>2</v>
      </c>
      <c r="E151" s="26" t="inlineStr">
        <is>
          <t>R1907823</t>
        </is>
      </c>
      <c r="F151" s="72" t="n">
        <v>44908</v>
      </c>
      <c r="G151" s="73" t="n"/>
    </row>
    <row r="152">
      <c r="A152" s="26" t="n">
        <v>44499</v>
      </c>
      <c r="B152" s="26" t="inlineStr">
        <is>
          <t>CRUZAN MANGO FLAVORED RUM</t>
        </is>
      </c>
      <c r="C152" s="75">
        <f>VLOOKUP(A152,SizeData!A$2:B$3839,2,FALSE)</f>
        <v/>
      </c>
      <c r="D152" s="26" t="n">
        <v>1</v>
      </c>
      <c r="E152" s="26" t="inlineStr">
        <is>
          <t>R1907823</t>
        </is>
      </c>
      <c r="F152" s="72" t="n">
        <v>44908</v>
      </c>
      <c r="G152" s="73" t="n"/>
    </row>
    <row r="153">
      <c r="A153" s="26" t="n">
        <v>65188</v>
      </c>
      <c r="B153" s="26" t="inlineStr">
        <is>
          <t>HPNOTIQ VODKA &amp; COGNAC LIQUEUR</t>
        </is>
      </c>
      <c r="C153" s="75">
        <f>VLOOKUP(A153,SizeData!A$2:B$3839,2,FALSE)</f>
        <v/>
      </c>
      <c r="D153" s="26" t="n">
        <v>6</v>
      </c>
      <c r="E153" s="26" t="inlineStr">
        <is>
          <t>R1907823</t>
        </is>
      </c>
      <c r="F153" s="72" t="n">
        <v>44908</v>
      </c>
      <c r="G153" s="73" t="n"/>
    </row>
    <row r="154">
      <c r="A154" s="26" t="n">
        <v>80520</v>
      </c>
      <c r="B154" s="26" t="inlineStr">
        <is>
          <t>SUGARLANDS SHINE DK CHOCOLATE COFFEE SIPPIN CREAM</t>
        </is>
      </c>
      <c r="C154" s="75">
        <f>VLOOKUP(A154,SizeData!A$2:B$3839,2,FALSE)</f>
        <v/>
      </c>
      <c r="D154" s="26" t="n">
        <v>1</v>
      </c>
      <c r="E154" s="26" t="inlineStr">
        <is>
          <t>R1907823</t>
        </is>
      </c>
      <c r="F154" s="72" t="n">
        <v>44908</v>
      </c>
      <c r="G154" s="73" t="n"/>
    </row>
    <row r="155">
      <c r="A155" s="26" t="n">
        <v>86110</v>
      </c>
      <c r="B155" s="26" t="inlineStr">
        <is>
          <t>DEKUYPER TRIPLE SEC</t>
        </is>
      </c>
      <c r="C155" s="75">
        <f>VLOOKUP(A155,SizeData!A$2:B$3839,2,FALSE)</f>
        <v/>
      </c>
      <c r="D155" s="26" t="n">
        <v>1</v>
      </c>
      <c r="E155" s="26" t="inlineStr">
        <is>
          <t>R1907823</t>
        </is>
      </c>
      <c r="F155" s="72" t="n">
        <v>44908</v>
      </c>
      <c r="G155" s="73" t="n"/>
    </row>
    <row r="156">
      <c r="A156" s="26" t="n">
        <v>89644</v>
      </c>
      <c r="B156" s="26" t="inlineStr">
        <is>
          <t>PATRON ANEJO TEQUILA</t>
        </is>
      </c>
      <c r="C156" s="75">
        <f>VLOOKUP(A156,SizeData!A$2:B$3839,2,FALSE)</f>
        <v/>
      </c>
      <c r="D156" s="26" t="n">
        <v>2</v>
      </c>
      <c r="E156" s="26" t="inlineStr">
        <is>
          <t>R1907823</t>
        </is>
      </c>
      <c r="F156" s="72" t="n">
        <v>44908</v>
      </c>
      <c r="G156" s="73" t="n"/>
    </row>
    <row r="157">
      <c r="A157" s="26" t="n">
        <v>92270</v>
      </c>
      <c r="B157" s="26" t="inlineStr">
        <is>
          <t>CHOCOVINE (DUTCH CHOCOLATE &amp; RED WINE)</t>
        </is>
      </c>
      <c r="C157" s="75">
        <f>VLOOKUP(A157,SizeData!A$2:B$3839,2,FALSE)</f>
        <v/>
      </c>
      <c r="D157" s="26" t="n">
        <v>2</v>
      </c>
      <c r="E157" s="26" t="inlineStr">
        <is>
          <t>R1907823</t>
        </is>
      </c>
      <c r="F157" s="72" t="n">
        <v>44908</v>
      </c>
      <c r="G157" s="73" t="n"/>
    </row>
    <row r="158">
      <c r="A158" s="26" t="n">
        <v>466271</v>
      </c>
      <c r="B158" s="26" t="inlineStr">
        <is>
          <t>FLIP FLOP CABERNET SAUVIGNON</t>
        </is>
      </c>
      <c r="C158" s="75">
        <f>VLOOKUP(A158,SizeData!A$2:B$3839,2,FALSE)</f>
        <v/>
      </c>
      <c r="D158" s="26" t="n">
        <v>1</v>
      </c>
      <c r="E158" s="26" t="inlineStr">
        <is>
          <t>R1907823</t>
        </is>
      </c>
      <c r="F158" s="72" t="n">
        <v>44908</v>
      </c>
      <c r="G158" s="73" t="n"/>
    </row>
    <row r="159">
      <c r="A159" s="26" t="n">
        <v>565371</v>
      </c>
      <c r="B159" s="26" t="inlineStr">
        <is>
          <t>FLIP FLOP CHARDONNAY</t>
        </is>
      </c>
      <c r="C159" s="75">
        <f>VLOOKUP(A159,SizeData!A$2:B$3839,2,FALSE)</f>
        <v/>
      </c>
      <c r="D159" s="26" t="n">
        <v>2</v>
      </c>
      <c r="E159" s="26" t="inlineStr">
        <is>
          <t>R1907823</t>
        </is>
      </c>
      <c r="F159" s="72" t="n">
        <v>44908</v>
      </c>
      <c r="G159" s="73" t="n"/>
    </row>
    <row r="160">
      <c r="A160" s="26" t="n">
        <v>882319</v>
      </c>
      <c r="B160" s="26" t="inlineStr">
        <is>
          <t>CARLO ROSSI PINK MOSCATO SANGRIA</t>
        </is>
      </c>
      <c r="C160" s="75">
        <f>VLOOKUP(A160,SizeData!A$2:B$3839,2,FALSE)</f>
        <v/>
      </c>
      <c r="D160" s="26" t="n">
        <v>2</v>
      </c>
      <c r="E160" s="26" t="inlineStr">
        <is>
          <t>R1907823</t>
        </is>
      </c>
      <c r="F160" s="72" t="n">
        <v>44908</v>
      </c>
      <c r="G160" s="73" t="n"/>
    </row>
    <row r="161">
      <c r="A161" s="26" t="n">
        <v>892854</v>
      </c>
      <c r="B161" s="26" t="inlineStr">
        <is>
          <t>RANCHO LA GLORIA PEACH MARGARITA WINE COCKTAIL</t>
        </is>
      </c>
      <c r="C161" s="75">
        <f>VLOOKUP(A161,SizeData!A$2:B$3839,2,FALSE)</f>
        <v/>
      </c>
      <c r="D161" s="26" t="n">
        <v>1</v>
      </c>
      <c r="E161" s="26" t="inlineStr">
        <is>
          <t>R1907823</t>
        </is>
      </c>
      <c r="F161" s="72" t="n">
        <v>44908</v>
      </c>
      <c r="G161" s="73" t="n"/>
    </row>
    <row r="162">
      <c r="A162" s="26" t="n">
        <v>814577</v>
      </c>
      <c r="B162" s="26" t="inlineStr">
        <is>
          <t>PETER VELLA SWEET RED</t>
        </is>
      </c>
      <c r="C162" s="75">
        <f>VLOOKUP(A162,SizeData!A$2:B$3839,2,FALSE)</f>
        <v/>
      </c>
      <c r="D162" s="26" t="n">
        <v>2</v>
      </c>
      <c r="E162" s="26" t="inlineStr">
        <is>
          <t>R1908206</t>
        </is>
      </c>
      <c r="F162" s="72" t="n">
        <v>44908</v>
      </c>
      <c r="G162" s="73" t="n"/>
    </row>
    <row r="163">
      <c r="A163" s="26" t="n">
        <v>884910</v>
      </c>
      <c r="B163" s="26" t="inlineStr">
        <is>
          <t>DUPLIN COTTON CANDY</t>
        </is>
      </c>
      <c r="C163" s="75">
        <f>VLOOKUP(A163,SizeData!A$2:B$3839,2,FALSE)</f>
        <v/>
      </c>
      <c r="D163" s="26" t="n">
        <v>2</v>
      </c>
      <c r="E163" s="26" t="inlineStr">
        <is>
          <t>R1908206</t>
        </is>
      </c>
      <c r="F163" s="72" t="n">
        <v>44908</v>
      </c>
      <c r="G163" s="73" t="n"/>
    </row>
    <row r="164">
      <c r="A164" s="26" t="n">
        <v>892843</v>
      </c>
      <c r="B164" s="26" t="inlineStr">
        <is>
          <t>RANCHO LA GLORIA BLUEBERRY MARGARITA</t>
        </is>
      </c>
      <c r="C164" s="75">
        <f>VLOOKUP(A164,SizeData!A$2:B$3839,2,FALSE)</f>
        <v/>
      </c>
      <c r="D164" s="26" t="n">
        <v>1</v>
      </c>
      <c r="E164" s="26" t="inlineStr">
        <is>
          <t>R1908206</t>
        </is>
      </c>
      <c r="F164" s="72" t="n">
        <v>44908</v>
      </c>
      <c r="G164" s="73" t="n"/>
    </row>
    <row r="165">
      <c r="A165" s="26" t="n">
        <v>892858</v>
      </c>
      <c r="B165" s="26" t="inlineStr">
        <is>
          <t>RANCHO LA GLORIA MANGO MARG WINE COCKTAIL</t>
        </is>
      </c>
      <c r="C165" s="75">
        <f>VLOOKUP(A165,SizeData!A$2:B$3839,2,FALSE)</f>
        <v/>
      </c>
      <c r="D165" s="26" t="n">
        <v>2</v>
      </c>
      <c r="E165" s="26" t="inlineStr">
        <is>
          <t>R1908206</t>
        </is>
      </c>
      <c r="F165" s="72" t="n">
        <v>44908</v>
      </c>
      <c r="G165" s="73" t="n"/>
    </row>
    <row r="166">
      <c r="A166" s="26" t="n">
        <v>730200</v>
      </c>
      <c r="B166" s="26" t="inlineStr">
        <is>
          <t>MONTSARRA CAVA BRUT</t>
        </is>
      </c>
      <c r="C166" s="75">
        <f>VLOOKUP(A166,SizeData!A$2:B$3839,2,FALSE)</f>
        <v/>
      </c>
      <c r="D166" s="26" t="n">
        <v>1</v>
      </c>
      <c r="E166" s="26" t="inlineStr">
        <is>
          <t>R1911115</t>
        </is>
      </c>
      <c r="F166" s="72" t="n">
        <v>44908</v>
      </c>
      <c r="G166" s="73" t="n"/>
    </row>
    <row r="167">
      <c r="A167" s="26" t="n">
        <v>34425</v>
      </c>
      <c r="B167" s="26" t="inlineStr">
        <is>
          <t>GREY GOOSE IMPORTED VODKA</t>
        </is>
      </c>
      <c r="C167" s="75">
        <f>VLOOKUP(A167,SizeData!A$2:B$3839,2,FALSE)</f>
        <v/>
      </c>
      <c r="D167" s="26" t="n">
        <v>4</v>
      </c>
      <c r="E167" s="26" t="inlineStr">
        <is>
          <t>R1911366</t>
        </is>
      </c>
      <c r="F167" s="72" t="n">
        <v>44909</v>
      </c>
      <c r="G167" s="73" t="n"/>
    </row>
    <row r="168">
      <c r="A168" s="26" t="n">
        <v>33286</v>
      </c>
      <c r="B168" s="26" t="inlineStr">
        <is>
          <t>SEAGRAM'S PEACH TWISTED GIN</t>
        </is>
      </c>
      <c r="C168" s="75">
        <f>VLOOKUP(A168,SizeData!A$2:B$3839,2,FALSE)</f>
        <v/>
      </c>
      <c r="D168" s="26" t="n">
        <v>1</v>
      </c>
      <c r="E168" s="26" t="inlineStr">
        <is>
          <t>R1910748</t>
        </is>
      </c>
      <c r="F168" s="72" t="n">
        <v>44908</v>
      </c>
      <c r="G168" s="73" t="n"/>
    </row>
    <row r="169">
      <c r="A169" s="26" t="n">
        <v>5038</v>
      </c>
      <c r="B169" s="26" t="inlineStr">
        <is>
          <t>GLENLIVET</t>
        </is>
      </c>
      <c r="C169" s="75">
        <f>VLOOKUP(A169,SizeData!A$2:B$3839,2,FALSE)</f>
        <v/>
      </c>
      <c r="D169" s="26" t="n">
        <v>1</v>
      </c>
      <c r="E169" s="26" t="inlineStr">
        <is>
          <t>R1902639</t>
        </is>
      </c>
      <c r="F169" s="72" t="n">
        <v>44911</v>
      </c>
      <c r="G169" s="73" t="n"/>
    </row>
    <row r="170">
      <c r="A170" s="26" t="n">
        <v>44568</v>
      </c>
      <c r="B170" s="26" t="inlineStr">
        <is>
          <t>CRUZAN PEACH FLAVORED RUM</t>
        </is>
      </c>
      <c r="C170" s="75">
        <f>VLOOKUP(A170,SizeData!A$2:B$3839,2,FALSE)</f>
        <v/>
      </c>
      <c r="D170" s="26" t="n">
        <v>1</v>
      </c>
      <c r="E170" s="26" t="inlineStr">
        <is>
          <t>R1902639</t>
        </is>
      </c>
      <c r="F170" s="72" t="n">
        <v>44911</v>
      </c>
      <c r="G170" s="73" t="n"/>
    </row>
    <row r="171">
      <c r="A171" s="26" t="n">
        <v>28236</v>
      </c>
      <c r="B171" s="26" t="inlineStr">
        <is>
          <t>BOMBAY SAPPHIRE GIN</t>
        </is>
      </c>
      <c r="C171" s="75">
        <f>VLOOKUP(A171,SizeData!A$2:B$3839,2,FALSE)</f>
        <v/>
      </c>
      <c r="D171" s="26" t="n">
        <v>2</v>
      </c>
      <c r="E171" s="26" t="inlineStr">
        <is>
          <t>R1915910</t>
        </is>
      </c>
      <c r="F171" s="72" t="n">
        <v>44910</v>
      </c>
      <c r="G171" s="73" t="n"/>
    </row>
    <row r="172">
      <c r="A172" s="26" t="n">
        <v>78133</v>
      </c>
      <c r="B172" s="26" t="inlineStr">
        <is>
          <t>SMIRNOFF PINK LEMONADE FLAVORED VODKA</t>
        </is>
      </c>
      <c r="C172" s="75">
        <f>VLOOKUP(A172,SizeData!A$2:B$3839,2,FALSE)</f>
        <v/>
      </c>
      <c r="D172" s="26" t="n">
        <v>1</v>
      </c>
      <c r="E172" s="26" t="inlineStr">
        <is>
          <t>R1916005</t>
        </is>
      </c>
      <c r="F172" s="72" t="n">
        <v>44911</v>
      </c>
      <c r="G172" s="73" t="n"/>
    </row>
    <row r="173">
      <c r="A173" s="26" t="n">
        <v>84222</v>
      </c>
      <c r="B173" s="26" t="inlineStr">
        <is>
          <t>99 BRAND BLUE RASPBERRIES</t>
        </is>
      </c>
      <c r="C173" s="75">
        <f>VLOOKUP(A173,SizeData!A$2:B$3839,2,FALSE)</f>
        <v/>
      </c>
      <c r="D173" s="26" t="n">
        <v>1</v>
      </c>
      <c r="E173" s="26" t="inlineStr">
        <is>
          <t>R1903748</t>
        </is>
      </c>
      <c r="F173" s="72" t="n">
        <v>44912</v>
      </c>
      <c r="G173" s="73" t="n"/>
    </row>
    <row r="174">
      <c r="A174" s="26" t="n">
        <v>87402</v>
      </c>
      <c r="B174" s="26" t="inlineStr">
        <is>
          <t>JOSE CUERVO ESPECIAL SILVER</t>
        </is>
      </c>
      <c r="C174" s="75">
        <f>VLOOKUP(A174,SizeData!A$2:B$3839,2,FALSE)</f>
        <v/>
      </c>
      <c r="D174" s="26" t="n">
        <v>1</v>
      </c>
      <c r="E174" s="26" t="inlineStr">
        <is>
          <t>R1903748</t>
        </is>
      </c>
      <c r="F174" s="72" t="n">
        <v>44912</v>
      </c>
      <c r="G174" s="73" t="n"/>
    </row>
    <row r="175">
      <c r="A175" s="26" t="n">
        <v>44342</v>
      </c>
      <c r="B175" s="26" t="inlineStr">
        <is>
          <t>CALYPSO SPICED RUM</t>
        </is>
      </c>
      <c r="C175" s="75">
        <f>VLOOKUP(A175,SizeData!A$2:B$3839,2,FALSE)</f>
        <v/>
      </c>
      <c r="D175" s="26" t="n">
        <v>2</v>
      </c>
      <c r="E175" s="26" t="inlineStr">
        <is>
          <t>R1911923</t>
        </is>
      </c>
      <c r="F175" s="72" t="n">
        <v>44912</v>
      </c>
      <c r="G175" s="73" t="n"/>
    </row>
    <row r="176">
      <c r="A176" s="26" t="n">
        <v>47786</v>
      </c>
      <c r="B176" s="26" t="inlineStr">
        <is>
          <t>COURVOISIER V S COGNAC</t>
        </is>
      </c>
      <c r="C176" s="75">
        <f>VLOOKUP(A176,SizeData!A$2:B$3839,2,FALSE)</f>
        <v/>
      </c>
      <c r="D176" s="26" t="n">
        <v>2</v>
      </c>
      <c r="E176" s="26" t="inlineStr">
        <is>
          <t>R1911923</t>
        </is>
      </c>
      <c r="F176" s="72" t="n">
        <v>44912</v>
      </c>
      <c r="G176" s="73" t="n"/>
    </row>
    <row r="177">
      <c r="A177" s="26" t="n">
        <v>359592</v>
      </c>
      <c r="B177" s="26" t="inlineStr">
        <is>
          <t>CUPCAKE MOSCATO</t>
        </is>
      </c>
      <c r="C177" s="75">
        <f>VLOOKUP(A177,SizeData!A$2:B$3839,2,FALSE)</f>
        <v/>
      </c>
      <c r="D177" s="26" t="n">
        <v>1</v>
      </c>
      <c r="E177" s="26" t="inlineStr">
        <is>
          <t>R1911923</t>
        </is>
      </c>
      <c r="F177" s="72" t="n">
        <v>44912</v>
      </c>
      <c r="G177" s="73" t="n"/>
    </row>
    <row r="178">
      <c r="A178" s="26" t="n">
        <v>419961</v>
      </c>
      <c r="B178" s="26" t="inlineStr">
        <is>
          <t>19 CRIMES THE UPRISING RED WINE</t>
        </is>
      </c>
      <c r="C178" s="75">
        <f>VLOOKUP(A178,SizeData!A$2:B$3839,2,FALSE)</f>
        <v/>
      </c>
      <c r="D178" s="26" t="n">
        <v>2</v>
      </c>
      <c r="E178" s="26" t="inlineStr">
        <is>
          <t>R1911923</t>
        </is>
      </c>
      <c r="F178" s="72" t="n">
        <v>44912</v>
      </c>
      <c r="G178" s="73" t="n"/>
    </row>
    <row r="179">
      <c r="A179" s="26" t="n">
        <v>769925</v>
      </c>
      <c r="B179" s="26" t="inlineStr">
        <is>
          <t>COOK'S SPUMANTE</t>
        </is>
      </c>
      <c r="C179" s="75">
        <f>VLOOKUP(A179,SizeData!A$2:B$3839,2,FALSE)</f>
        <v/>
      </c>
      <c r="D179" s="26" t="n">
        <v>1</v>
      </c>
      <c r="E179" s="26" t="inlineStr">
        <is>
          <t>R1903667</t>
        </is>
      </c>
      <c r="F179" s="72" t="n">
        <v>44915</v>
      </c>
      <c r="G179" s="73" t="n"/>
    </row>
    <row r="180">
      <c r="A180" s="26" t="n">
        <v>420431</v>
      </c>
      <c r="B180" s="26" t="inlineStr">
        <is>
          <t>JACOB'S CREEK CABERNET SAUVIGNON</t>
        </is>
      </c>
      <c r="C180" s="75">
        <f>VLOOKUP(A180,SizeData!A$2:B$3839,2,FALSE)</f>
        <v/>
      </c>
      <c r="D180" s="26" t="n">
        <v>2</v>
      </c>
      <c r="E180" s="26" t="inlineStr">
        <is>
          <t>R1904253</t>
        </is>
      </c>
      <c r="F180" s="72" t="n">
        <v>44915</v>
      </c>
      <c r="G180" s="73" t="n"/>
    </row>
    <row r="181">
      <c r="A181" s="26" t="n">
        <v>44518</v>
      </c>
      <c r="B181" s="26" t="inlineStr">
        <is>
          <t>CRUZAN ESTATE LIGHT RUM</t>
        </is>
      </c>
      <c r="C181" s="75">
        <f>VLOOKUP(A181,SizeData!A$2:B$3839,2,FALSE)</f>
        <v/>
      </c>
      <c r="D181" s="26" t="n">
        <v>2</v>
      </c>
      <c r="E181" s="26" t="inlineStr">
        <is>
          <t>R1912921</t>
        </is>
      </c>
      <c r="F181" s="72" t="n">
        <v>44915</v>
      </c>
      <c r="G181" s="73" t="n"/>
    </row>
    <row r="182">
      <c r="A182" s="26" t="n">
        <v>80520</v>
      </c>
      <c r="B182" s="26" t="inlineStr">
        <is>
          <t>SUGARLANDS SHINE DK CHOCOLATE COFFEE SIPPIN CREAM</t>
        </is>
      </c>
      <c r="C182" s="75">
        <f>VLOOKUP(A182,SizeData!A$2:B$3839,2,FALSE)</f>
        <v/>
      </c>
      <c r="D182" s="26" t="n">
        <v>1</v>
      </c>
      <c r="E182" s="26" t="inlineStr">
        <is>
          <t>R1912921</t>
        </is>
      </c>
      <c r="F182" s="72" t="n">
        <v>44915</v>
      </c>
      <c r="G182" s="73" t="n"/>
    </row>
    <row r="183">
      <c r="A183" s="26" t="n">
        <v>35592</v>
      </c>
      <c r="B183" s="26" t="inlineStr">
        <is>
          <t>CATHEAD VODKA</t>
        </is>
      </c>
      <c r="C183" s="75">
        <f>VLOOKUP(A183,SizeData!A$2:B$3839,2,FALSE)</f>
        <v/>
      </c>
      <c r="D183" s="26" t="n">
        <v>1</v>
      </c>
      <c r="E183" s="26" t="inlineStr">
        <is>
          <t>R1913611</t>
        </is>
      </c>
      <c r="F183" s="72" t="n">
        <v>44914</v>
      </c>
      <c r="G183" s="73" t="n"/>
    </row>
    <row r="184">
      <c r="A184" s="26" t="n">
        <v>44342</v>
      </c>
      <c r="B184" s="26" t="inlineStr">
        <is>
          <t>CALYPSO SPICED RUM</t>
        </is>
      </c>
      <c r="C184" s="75">
        <f>VLOOKUP(A184,SizeData!A$2:B$3839,2,FALSE)</f>
        <v/>
      </c>
      <c r="D184" s="26" t="n">
        <v>1</v>
      </c>
      <c r="E184" s="26" t="inlineStr">
        <is>
          <t>R1913611</t>
        </is>
      </c>
      <c r="F184" s="72" t="n">
        <v>44914</v>
      </c>
      <c r="G184" s="73" t="n"/>
    </row>
    <row r="185">
      <c r="A185" s="26" t="n">
        <v>812812</v>
      </c>
      <c r="B185" s="26" t="inlineStr">
        <is>
          <t>MD 20/20 BLUE RASPBERRY</t>
        </is>
      </c>
      <c r="C185" s="75">
        <f>VLOOKUP(A185,SizeData!A$2:B$3839,2,FALSE)</f>
        <v/>
      </c>
      <c r="D185" s="26" t="n">
        <v>1</v>
      </c>
      <c r="E185" s="26" t="inlineStr">
        <is>
          <t>R1913611</t>
        </is>
      </c>
      <c r="F185" s="72" t="n">
        <v>44914</v>
      </c>
      <c r="G185" s="73" t="n"/>
    </row>
    <row r="186">
      <c r="A186" s="26" t="n">
        <v>882319</v>
      </c>
      <c r="B186" s="26" t="inlineStr">
        <is>
          <t>CARLO ROSSI PINK MOSCATO SANGRIA</t>
        </is>
      </c>
      <c r="C186" s="75">
        <f>VLOOKUP(A186,SizeData!A$2:B$3839,2,FALSE)</f>
        <v/>
      </c>
      <c r="D186" s="26" t="n">
        <v>1</v>
      </c>
      <c r="E186" s="26" t="inlineStr">
        <is>
          <t>R1913611</t>
        </is>
      </c>
      <c r="F186" s="72" t="n">
        <v>44914</v>
      </c>
      <c r="G186" s="73" t="n"/>
    </row>
    <row r="187">
      <c r="A187" s="26" t="n">
        <v>64933</v>
      </c>
      <c r="B187" s="26" t="inlineStr">
        <is>
          <t>1800 COCONUT FLAVORED TEQUILA</t>
        </is>
      </c>
      <c r="C187" s="75">
        <f>VLOOKUP(A187,SizeData!A$2:B$3839,2,FALSE)</f>
        <v/>
      </c>
      <c r="D187" s="26" t="n">
        <v>1</v>
      </c>
      <c r="E187" s="26" t="inlineStr">
        <is>
          <t>R1911462</t>
        </is>
      </c>
      <c r="F187" s="72" t="n">
        <v>44917</v>
      </c>
      <c r="G187" s="73" t="n"/>
    </row>
    <row r="188">
      <c r="A188" s="26" t="n">
        <v>89193</v>
      </c>
      <c r="B188" s="26" t="inlineStr">
        <is>
          <t>JOSE CUERVO ESPECIAL TEQUILA</t>
        </is>
      </c>
      <c r="C188" s="75">
        <f>VLOOKUP(A188,SizeData!A$2:B$3839,2,FALSE)</f>
        <v/>
      </c>
      <c r="D188" s="26" t="n">
        <v>1</v>
      </c>
      <c r="E188" s="26" t="inlineStr">
        <is>
          <t>R1921106</t>
        </is>
      </c>
      <c r="F188" s="72" t="n">
        <v>44916</v>
      </c>
      <c r="G188" s="73" t="n"/>
    </row>
    <row r="189">
      <c r="A189" s="26" t="n">
        <v>812791</v>
      </c>
      <c r="B189" s="26" t="inlineStr">
        <is>
          <t>MD 20/20 ORANGE JUBILEE</t>
        </is>
      </c>
      <c r="C189" s="75">
        <f>VLOOKUP(A189,SizeData!A$2:B$3839,2,FALSE)</f>
        <v/>
      </c>
      <c r="D189" s="26" t="n">
        <v>2</v>
      </c>
      <c r="E189" s="26" t="inlineStr">
        <is>
          <t>R1921106</t>
        </is>
      </c>
      <c r="F189" s="72" t="n">
        <v>44916</v>
      </c>
      <c r="G189" s="73" t="n"/>
    </row>
    <row r="190">
      <c r="A190" s="26" t="n">
        <v>803470</v>
      </c>
      <c r="B190" s="26" t="inlineStr">
        <is>
          <t>MOGEN DAVID BLACKBERRY</t>
        </is>
      </c>
      <c r="C190" s="75">
        <f>VLOOKUP(A190,SizeData!A$2:B$3839,2,FALSE)</f>
        <v/>
      </c>
      <c r="D190" s="26" t="n">
        <v>1</v>
      </c>
      <c r="E190" s="26" t="inlineStr">
        <is>
          <t>R1904538</t>
        </is>
      </c>
      <c r="F190" s="72" t="n">
        <v>44917</v>
      </c>
      <c r="G190" s="73" t="n"/>
    </row>
    <row r="191">
      <c r="A191" s="26" t="n">
        <v>80363</v>
      </c>
      <c r="B191" s="26" t="inlineStr">
        <is>
          <t>OLE SMOKY BANANA PUDDING CREAM MOONSHINE</t>
        </is>
      </c>
      <c r="C191" s="75">
        <f>VLOOKUP(A191,SizeData!A$2:B$3839,2,FALSE)</f>
        <v/>
      </c>
      <c r="D191" s="26" t="n">
        <v>1</v>
      </c>
      <c r="E191" s="26" t="inlineStr">
        <is>
          <t>R1921106</t>
        </is>
      </c>
      <c r="F191" s="72" t="n">
        <v>44916</v>
      </c>
      <c r="G191" s="73" t="n"/>
    </row>
    <row r="192">
      <c r="A192" s="26" t="n">
        <v>65204</v>
      </c>
      <c r="B192" s="26" t="inlineStr">
        <is>
          <t>TEQUILA ROSE STRAWBERRY LIQUEUR</t>
        </is>
      </c>
      <c r="C192" s="75">
        <f>VLOOKUP(A192,SizeData!A$2:B$3839,2,FALSE)</f>
        <v/>
      </c>
      <c r="D192" s="26" t="n">
        <v>2</v>
      </c>
      <c r="E192" s="26" t="inlineStr">
        <is>
          <t>R1904959</t>
        </is>
      </c>
      <c r="F192" s="72" t="n">
        <v>44917</v>
      </c>
      <c r="G192" s="73" t="n"/>
    </row>
    <row r="193">
      <c r="A193" s="26" t="n">
        <v>65204</v>
      </c>
      <c r="B193" s="26" t="inlineStr">
        <is>
          <t>TEQUILA ROSE STRAWBERRY LIQUEUR</t>
        </is>
      </c>
      <c r="C193" s="75">
        <f>VLOOKUP(A193,SizeData!A$2:B$3839,2,FALSE)</f>
        <v/>
      </c>
      <c r="D193" s="26" t="n">
        <v>2</v>
      </c>
      <c r="E193" s="26" t="inlineStr">
        <is>
          <t>R1907698</t>
        </is>
      </c>
      <c r="F193" s="72" t="n">
        <v>44917</v>
      </c>
      <c r="G193" s="73" t="n"/>
    </row>
    <row r="194" ht="16" customFormat="1" customHeight="1" s="58">
      <c r="A194" s="101" t="n">
        <v>28224</v>
      </c>
      <c r="B194" s="101" t="inlineStr">
        <is>
          <t>BOMBAY SAPPHIRE GIN (FLASK)</t>
        </is>
      </c>
      <c r="C194" s="102">
        <f>VLOOKUP(A194,SizeData!A$2:B$3839,2,FALSE)</f>
        <v/>
      </c>
      <c r="D194" s="101" t="n">
        <v>2</v>
      </c>
      <c r="E194" s="101" t="inlineStr">
        <is>
          <t>R1959013</t>
        </is>
      </c>
      <c r="F194" s="103" t="n">
        <v>44959</v>
      </c>
      <c r="G194" s="104" t="n"/>
    </row>
    <row r="195" ht="16" customFormat="1" customHeight="1" s="58">
      <c r="A195" s="101" t="n">
        <v>44568</v>
      </c>
      <c r="B195" s="101" t="inlineStr">
        <is>
          <t>CRUZAN PEACH FLAVORED RUM</t>
        </is>
      </c>
      <c r="C195" s="102">
        <f>VLOOKUP(A195,SizeData!A$2:B$3839,2,FALSE)</f>
        <v/>
      </c>
      <c r="D195" s="101" t="n">
        <v>1</v>
      </c>
      <c r="E195" s="101" t="inlineStr">
        <is>
          <t>R1959013</t>
        </is>
      </c>
      <c r="F195" s="103" t="n">
        <v>44959</v>
      </c>
      <c r="G195" s="104" t="n"/>
    </row>
    <row r="196" ht="16" customFormat="1" customHeight="1" s="58">
      <c r="A196" s="101" t="n">
        <v>45096</v>
      </c>
      <c r="B196" s="101" t="inlineStr">
        <is>
          <t>MONTEGO BAY LIGHT RUM (PET)</t>
        </is>
      </c>
      <c r="C196" s="102">
        <f>VLOOKUP(A196,SizeData!A$2:B$3839,2,FALSE)</f>
        <v/>
      </c>
      <c r="D196" s="101" t="n">
        <v>2</v>
      </c>
      <c r="E196" s="101" t="inlineStr">
        <is>
          <t>R1959013</t>
        </is>
      </c>
      <c r="F196" s="103" t="n">
        <v>44959</v>
      </c>
      <c r="G196" s="104" t="n"/>
    </row>
    <row r="197" ht="16" customFormat="1" customHeight="1" s="58">
      <c r="A197" s="101" t="n">
        <v>28890</v>
      </c>
      <c r="B197" s="101" t="inlineStr">
        <is>
          <t>TANQUERAY RANGPUR DISTILLED GIN</t>
        </is>
      </c>
      <c r="C197" s="102">
        <f>VLOOKUP(A197,SizeData!A$2:B$3839,2,FALSE)</f>
        <v/>
      </c>
      <c r="D197" s="101" t="n">
        <v>1</v>
      </c>
      <c r="E197" s="101" t="inlineStr">
        <is>
          <t>R1962564</t>
        </is>
      </c>
      <c r="F197" s="103" t="n">
        <v>44961</v>
      </c>
      <c r="G197" s="104" t="n"/>
    </row>
    <row r="198" ht="16" customFormat="1" customHeight="1" s="58">
      <c r="A198" s="101" t="n">
        <v>729077</v>
      </c>
      <c r="B198" s="101" t="inlineStr">
        <is>
          <t>LUC BELAIRE RARE LUXE 187ML</t>
        </is>
      </c>
      <c r="C198" s="102">
        <f>VLOOKUP(A198,SizeData!A$2:B$3839,2,FALSE)</f>
        <v/>
      </c>
      <c r="D198" s="101" t="n">
        <v>2</v>
      </c>
      <c r="E198" s="101" t="inlineStr">
        <is>
          <t>R1962564</t>
        </is>
      </c>
      <c r="F198" s="103" t="n">
        <v>44961</v>
      </c>
      <c r="G198" s="104" t="n"/>
    </row>
    <row r="199" ht="16" customFormat="1" customHeight="1" s="58">
      <c r="A199" s="101" t="n">
        <v>803475</v>
      </c>
      <c r="B199" s="101" t="inlineStr">
        <is>
          <t>MOGEN DAVID BLACKBERRY</t>
        </is>
      </c>
      <c r="C199" s="102">
        <f>VLOOKUP(A199,SizeData!A$2:B$3839,2,FALSE)</f>
        <v/>
      </c>
      <c r="D199" s="101" t="n">
        <v>1</v>
      </c>
      <c r="E199" s="101" t="inlineStr">
        <is>
          <t>R1962564</t>
        </is>
      </c>
      <c r="F199" s="103" t="n">
        <v>44961</v>
      </c>
      <c r="G199" s="104" t="n"/>
    </row>
    <row r="200" ht="16" customFormat="1" customHeight="1" s="58">
      <c r="A200" s="101" t="n">
        <v>28281</v>
      </c>
      <c r="B200" s="101" t="inlineStr">
        <is>
          <t>JIM BEAM PEACH FLAVORED WHISKEY</t>
        </is>
      </c>
      <c r="C200" s="102">
        <f>VLOOKUP(A200,SizeData!A$2:B$3839,2,FALSE)</f>
        <v/>
      </c>
      <c r="D200" s="101" t="n">
        <v>1</v>
      </c>
      <c r="E200" s="101" t="inlineStr">
        <is>
          <t>R1962631</t>
        </is>
      </c>
      <c r="F200" s="103" t="n">
        <v>44959</v>
      </c>
      <c r="G200" s="104" t="n"/>
    </row>
    <row r="201" ht="16" customFormat="1" customHeight="1" s="58">
      <c r="A201" s="101" t="n">
        <v>40315</v>
      </c>
      <c r="B201" s="101" t="inlineStr">
        <is>
          <t>NEW AMSTERDAM RED BERRY FLAVORED VODKA</t>
        </is>
      </c>
      <c r="C201" s="102">
        <f>VLOOKUP(A201,SizeData!A$2:B$3839,2,FALSE)</f>
        <v/>
      </c>
      <c r="D201" s="101" t="n">
        <v>3</v>
      </c>
      <c r="E201" s="101" t="inlineStr">
        <is>
          <t>R1962631</t>
        </is>
      </c>
      <c r="F201" s="103" t="n">
        <v>44959</v>
      </c>
      <c r="G201" s="104" t="n"/>
    </row>
    <row r="202" ht="17.25" customFormat="1" customHeight="1" s="58">
      <c r="A202" s="101" t="n">
        <v>43126</v>
      </c>
      <c r="B202" s="101" t="inlineStr">
        <is>
          <t>BACARDI LIGHT RUM</t>
        </is>
      </c>
      <c r="C202" s="102">
        <f>VLOOKUP(A202,SizeData!A$2:B$3839,2,FALSE)</f>
        <v/>
      </c>
      <c r="D202" s="101" t="n">
        <v>3</v>
      </c>
      <c r="E202" s="101" t="inlineStr">
        <is>
          <t>R1962631</t>
        </is>
      </c>
      <c r="F202" s="103" t="n">
        <v>44959</v>
      </c>
      <c r="G202" s="104" t="n"/>
    </row>
    <row r="203" ht="16" customFormat="1" customHeight="1" s="58">
      <c r="A203" s="101" t="n">
        <v>49187</v>
      </c>
      <c r="B203" s="101" t="inlineStr">
        <is>
          <t>REMY MARTIN VSOP COGNAC</t>
        </is>
      </c>
      <c r="C203" s="102">
        <f>VLOOKUP(A203,SizeData!A$2:B$3839,2,FALSE)</f>
        <v/>
      </c>
      <c r="D203" s="101" t="n">
        <v>1</v>
      </c>
      <c r="E203" s="101" t="inlineStr">
        <is>
          <t>R1968443</t>
        </is>
      </c>
      <c r="F203" s="103" t="n">
        <v>44962</v>
      </c>
      <c r="G203" s="104" t="n"/>
    </row>
    <row r="204" ht="16" customFormat="1" customHeight="1" s="58">
      <c r="A204" s="101" t="n">
        <v>52559</v>
      </c>
      <c r="B204" s="101" t="inlineStr">
        <is>
          <t>E &amp; J XO BRANDY</t>
        </is>
      </c>
      <c r="C204" s="102">
        <f>VLOOKUP(A204,SizeData!A$2:B$3839,2,FALSE)</f>
        <v/>
      </c>
      <c r="D204" s="101" t="n">
        <v>1</v>
      </c>
      <c r="E204" s="101" t="inlineStr">
        <is>
          <t>R1970895</t>
        </is>
      </c>
      <c r="F204" s="103" t="n">
        <v>44961</v>
      </c>
      <c r="G204" s="104" t="n"/>
    </row>
    <row r="205" ht="16" customFormat="1" customHeight="1" s="58">
      <c r="A205" s="101" t="n">
        <v>47548</v>
      </c>
      <c r="B205" s="101" t="inlineStr">
        <is>
          <t>ANSAC V S COGNAC</t>
        </is>
      </c>
      <c r="C205" s="102">
        <f>VLOOKUP(A205,SizeData!A$2:B$3839,2,FALSE)</f>
        <v/>
      </c>
      <c r="D205" s="101" t="n">
        <v>1</v>
      </c>
      <c r="E205" s="101" t="inlineStr">
        <is>
          <t>R1971458</t>
        </is>
      </c>
      <c r="F205" s="103" t="n">
        <v>44961</v>
      </c>
      <c r="G205" s="104" t="n"/>
    </row>
    <row r="206" ht="16" customFormat="1" customHeight="1" s="58">
      <c r="A206" s="101" t="n">
        <v>89154</v>
      </c>
      <c r="B206" s="101" t="inlineStr">
        <is>
          <t>DON JULIO REPOSADO TEQUILA GOLD</t>
        </is>
      </c>
      <c r="C206" s="102">
        <f>VLOOKUP(A206,SizeData!A$2:B$3839,2,FALSE)</f>
        <v/>
      </c>
      <c r="D206" s="101" t="n">
        <v>1</v>
      </c>
      <c r="E206" s="101" t="inlineStr">
        <is>
          <t>R1971458</t>
        </is>
      </c>
      <c r="F206" s="103" t="n">
        <v>44961</v>
      </c>
      <c r="G206" s="104" t="n"/>
    </row>
    <row r="207" ht="16" customFormat="1" customHeight="1" s="58">
      <c r="A207" s="101" t="n">
        <v>425605</v>
      </c>
      <c r="B207" s="101" t="inlineStr">
        <is>
          <t>SWEET BITCH MERLOT</t>
        </is>
      </c>
      <c r="C207" s="102">
        <f>VLOOKUP(A207,SizeData!A$2:B$3839,2,FALSE)</f>
        <v/>
      </c>
      <c r="D207" s="101" t="n">
        <v>3</v>
      </c>
      <c r="E207" s="101" t="inlineStr">
        <is>
          <t>R1971458</t>
        </is>
      </c>
      <c r="F207" s="103" t="n">
        <v>44961</v>
      </c>
      <c r="G207" s="104" t="n"/>
    </row>
    <row r="208" ht="16" customFormat="1" customHeight="1" s="58">
      <c r="A208" s="101" t="n">
        <v>64913</v>
      </c>
      <c r="B208" s="101" t="inlineStr">
        <is>
          <t>CIROC MANGO FLAVORED VODKA SPECIALTY</t>
        </is>
      </c>
      <c r="C208" s="102">
        <f>VLOOKUP(A208,SizeData!A$2:B$3839,2,FALSE)</f>
        <v/>
      </c>
      <c r="D208" s="101" t="n">
        <v>3</v>
      </c>
      <c r="E208" s="101" t="inlineStr">
        <is>
          <t>R1972222</t>
        </is>
      </c>
      <c r="F208" s="103" t="n">
        <v>44963</v>
      </c>
      <c r="G208" s="104" t="n"/>
    </row>
    <row r="209" ht="16" customFormat="1" customHeight="1" s="58">
      <c r="A209" s="101" t="n">
        <v>89193</v>
      </c>
      <c r="B209" s="101" t="inlineStr">
        <is>
          <t>JOSE CUERVO ESPECIAL TEQUILA</t>
        </is>
      </c>
      <c r="C209" s="102">
        <f>VLOOKUP(A209,SizeData!A$2:B$3839,2,FALSE)</f>
        <v/>
      </c>
      <c r="D209" s="101" t="n">
        <v>4</v>
      </c>
      <c r="E209" s="101" t="inlineStr">
        <is>
          <t>R1968356</t>
        </is>
      </c>
      <c r="F209" s="103" t="n">
        <v>44966</v>
      </c>
      <c r="G209" s="104" t="n"/>
    </row>
    <row r="210" ht="16" customFormat="1" customHeight="1" s="58">
      <c r="A210" s="101" t="n">
        <v>24173</v>
      </c>
      <c r="B210" s="101" t="inlineStr">
        <is>
          <t>QUALITY HOUSE BLENDED WHISKEY</t>
        </is>
      </c>
      <c r="C210" s="102">
        <f>VLOOKUP(A210,SizeData!A$2:B$3839,2,FALSE)</f>
        <v/>
      </c>
      <c r="D210" s="101" t="n">
        <v>2</v>
      </c>
      <c r="E210" s="101" t="inlineStr">
        <is>
          <t>R1968845</t>
        </is>
      </c>
      <c r="F210" s="103" t="n">
        <v>44966</v>
      </c>
      <c r="G210" s="104" t="n"/>
    </row>
    <row r="211" ht="16" customFormat="1" customHeight="1" s="58">
      <c r="A211" s="101" t="n">
        <v>44506</v>
      </c>
      <c r="B211" s="101" t="inlineStr">
        <is>
          <t>CRUZAN PINEAPPLE FLAVORED V.I. RUM</t>
        </is>
      </c>
      <c r="C211" s="102">
        <f>VLOOKUP(A211,SizeData!A$2:B$3839,2,FALSE)</f>
        <v/>
      </c>
      <c r="D211" s="101" t="n">
        <v>1</v>
      </c>
      <c r="E211" s="101" t="inlineStr">
        <is>
          <t>R1968845</t>
        </is>
      </c>
      <c r="F211" s="103" t="n">
        <v>44966</v>
      </c>
      <c r="G211" s="104" t="n"/>
    </row>
    <row r="212" ht="16" customFormat="1" customHeight="1" s="58">
      <c r="A212" s="101" t="n">
        <v>47548</v>
      </c>
      <c r="B212" s="101" t="inlineStr">
        <is>
          <t>ANSAC V S COGNAC</t>
        </is>
      </c>
      <c r="C212" s="102">
        <f>VLOOKUP(A212,SizeData!A$2:B$3839,2,FALSE)</f>
        <v/>
      </c>
      <c r="D212" s="101" t="n">
        <v>1</v>
      </c>
      <c r="E212" s="101" t="inlineStr">
        <is>
          <t>R1968845</t>
        </is>
      </c>
      <c r="F212" s="103" t="n">
        <v>44966</v>
      </c>
      <c r="G212" s="104" t="n"/>
    </row>
    <row r="213" ht="16" customFormat="1" customHeight="1" s="58">
      <c r="A213" s="101" t="n">
        <v>53221</v>
      </c>
      <c r="B213" s="101" t="inlineStr">
        <is>
          <t>PAUL MASSON VS GRANDE AMBER BRANDY 12 - 10 PACKS</t>
        </is>
      </c>
      <c r="C213" s="102">
        <f>VLOOKUP(A213,SizeData!A$2:B$3839,2,FALSE)</f>
        <v/>
      </c>
      <c r="D213" s="101" t="n">
        <v>3</v>
      </c>
      <c r="E213" s="101" t="inlineStr">
        <is>
          <t>R1986107</t>
        </is>
      </c>
      <c r="F213" s="103" t="n">
        <v>44968</v>
      </c>
      <c r="G213" s="104" t="n"/>
    </row>
    <row r="214" ht="16" customFormat="1" customHeight="1" s="58">
      <c r="A214" s="101" t="n">
        <v>80365</v>
      </c>
      <c r="B214" s="101" t="inlineStr">
        <is>
          <t>OLE SMOKY WHITE CHOCOLATE STRAWBERRY MOONSHINE</t>
        </is>
      </c>
      <c r="C214" s="102">
        <f>VLOOKUP(A214,SizeData!A$2:B$3839,2,FALSE)</f>
        <v/>
      </c>
      <c r="D214" s="101" t="n">
        <v>2</v>
      </c>
      <c r="E214" s="101" t="inlineStr">
        <is>
          <t>R1986107</t>
        </is>
      </c>
      <c r="F214" s="103" t="n">
        <v>44968</v>
      </c>
      <c r="G214" s="104" t="n"/>
    </row>
    <row r="215" ht="16" customFormat="1" customHeight="1" s="58">
      <c r="A215" s="101" t="n">
        <v>812812</v>
      </c>
      <c r="B215" s="101" t="inlineStr">
        <is>
          <t>MD 20/20 BLUE RASPBERRY</t>
        </is>
      </c>
      <c r="C215" s="102">
        <f>VLOOKUP(A215,SizeData!A$2:B$3839,2,FALSE)</f>
        <v/>
      </c>
      <c r="D215" s="101" t="n">
        <v>3</v>
      </c>
      <c r="E215" s="101" t="inlineStr">
        <is>
          <t>R1987221</t>
        </is>
      </c>
      <c r="F215" s="103" t="n">
        <v>44970</v>
      </c>
      <c r="G215" s="104" t="n"/>
    </row>
    <row r="216" ht="16" customFormat="1" customHeight="1" s="58">
      <c r="A216" s="101" t="n">
        <v>44568</v>
      </c>
      <c r="B216" s="101" t="inlineStr">
        <is>
          <t>CRUZAN PEACH FLAVORED RUM</t>
        </is>
      </c>
      <c r="C216" s="102">
        <f>VLOOKUP(A216,SizeData!A$2:B$3839,2,FALSE)</f>
        <v/>
      </c>
      <c r="D216" s="101" t="n">
        <v>1</v>
      </c>
      <c r="E216" s="101" t="inlineStr">
        <is>
          <t>R1995710</t>
        </is>
      </c>
      <c r="F216" s="103" t="n">
        <v>44970</v>
      </c>
      <c r="G216" s="104" t="n"/>
    </row>
    <row r="217" ht="16" customFormat="1" customHeight="1" s="58">
      <c r="A217" s="101" t="n">
        <v>413340</v>
      </c>
      <c r="B217" s="101" t="inlineStr">
        <is>
          <t>JAM JAR SWEET SHIRAZ WESTERN CAPE</t>
        </is>
      </c>
      <c r="C217" s="102">
        <f>VLOOKUP(A217,SizeData!A$2:B$3839,2,FALSE)</f>
        <v/>
      </c>
      <c r="D217" s="101" t="n">
        <v>1</v>
      </c>
      <c r="E217" s="101" t="inlineStr">
        <is>
          <t>R1995710</t>
        </is>
      </c>
      <c r="F217" s="103" t="n">
        <v>44970</v>
      </c>
      <c r="G217" s="104" t="n"/>
    </row>
    <row r="218" ht="16" customFormat="1" customHeight="1" s="58">
      <c r="A218" s="101" t="n">
        <v>552052</v>
      </c>
      <c r="B218" s="101" t="inlineStr">
        <is>
          <t>CARLO ROSSI CHARDONNAY</t>
        </is>
      </c>
      <c r="C218" s="102">
        <f>VLOOKUP(A218,SizeData!A$2:B$3839,2,FALSE)</f>
        <v/>
      </c>
      <c r="D218" s="101" t="n">
        <v>3</v>
      </c>
      <c r="E218" s="101" t="inlineStr">
        <is>
          <t>R1973563</t>
        </is>
      </c>
      <c r="F218" s="103" t="n">
        <v>44971</v>
      </c>
      <c r="G218" s="104" t="n"/>
    </row>
    <row r="219" ht="16" customFormat="1" customHeight="1" s="58">
      <c r="A219" s="101" t="n">
        <v>882321</v>
      </c>
      <c r="B219" s="101" t="inlineStr">
        <is>
          <t>CARLO ROSSI PINK MOSCATO SANGRIA</t>
        </is>
      </c>
      <c r="C219" s="102">
        <f>VLOOKUP(A219,SizeData!A$2:B$3839,2,FALSE)</f>
        <v/>
      </c>
      <c r="D219" s="101" t="n">
        <v>1</v>
      </c>
      <c r="E219" s="101" t="inlineStr">
        <is>
          <t>R1973563</t>
        </is>
      </c>
      <c r="F219" s="103" t="n">
        <v>44971</v>
      </c>
      <c r="G219" s="104" t="n"/>
    </row>
    <row r="220" ht="16" customFormat="1" customHeight="1" s="58">
      <c r="A220" s="101" t="n">
        <v>78107</v>
      </c>
      <c r="B220" s="101" t="inlineStr">
        <is>
          <t>SUGARLANDS APP BANANA PUDDING SIPPIN' CREAM</t>
        </is>
      </c>
      <c r="C220" s="102">
        <f>VLOOKUP(A220,SizeData!A$2:B$3839,2,FALSE)</f>
        <v/>
      </c>
      <c r="D220" s="101" t="n">
        <v>1</v>
      </c>
      <c r="E220" s="101" t="inlineStr">
        <is>
          <t>R1987903</t>
        </is>
      </c>
      <c r="F220" s="103" t="n">
        <v>44971</v>
      </c>
      <c r="G220" s="104" t="n"/>
    </row>
    <row r="221" ht="16" customFormat="1" customHeight="1" s="58">
      <c r="A221" s="101" t="n">
        <v>43086</v>
      </c>
      <c r="B221" s="101" t="inlineStr">
        <is>
          <t>BACARDI COCO FLAVORED RUM</t>
        </is>
      </c>
      <c r="C221" s="102">
        <f>VLOOKUP(A221,SizeData!A$2:B$3839,2,FALSE)</f>
        <v/>
      </c>
      <c r="D221" s="101" t="n">
        <v>1</v>
      </c>
      <c r="E221" s="101" t="inlineStr">
        <is>
          <t>R1978112</t>
        </is>
      </c>
      <c r="F221" s="103" t="n">
        <v>44972</v>
      </c>
      <c r="G221" s="104" t="n"/>
    </row>
    <row r="222" ht="16" customFormat="1" customHeight="1" s="58">
      <c r="A222" s="101" t="n">
        <v>43145</v>
      </c>
      <c r="B222" s="101" t="inlineStr">
        <is>
          <t>BACARDI PINEAPPLE FUSION FLAVORED RUM</t>
        </is>
      </c>
      <c r="C222" s="102">
        <f>VLOOKUP(A222,SizeData!A$2:B$3839,2,FALSE)</f>
        <v/>
      </c>
      <c r="D222" s="101" t="n">
        <v>1</v>
      </c>
      <c r="E222" s="101" t="inlineStr">
        <is>
          <t>R1995714</t>
        </is>
      </c>
      <c r="F222" s="103" t="n">
        <v>44972</v>
      </c>
      <c r="G222" s="104" t="n"/>
    </row>
    <row r="223" ht="16" customFormat="1" customHeight="1" s="58">
      <c r="A223" s="101" t="n">
        <v>378810</v>
      </c>
      <c r="B223" s="101" t="inlineStr">
        <is>
          <t>RIUNITE D' ORO MOSCATO</t>
        </is>
      </c>
      <c r="C223" s="102">
        <f>VLOOKUP(A223,SizeData!A$2:B$3839,2,FALSE)</f>
        <v/>
      </c>
      <c r="D223" s="101" t="n">
        <v>1</v>
      </c>
      <c r="E223" s="101" t="inlineStr">
        <is>
          <t>R1995714</t>
        </is>
      </c>
      <c r="F223" s="103" t="n">
        <v>44972</v>
      </c>
      <c r="G223" s="104" t="n"/>
    </row>
    <row r="224" ht="16" customHeight="1">
      <c r="A224" s="101" t="n">
        <v>40195</v>
      </c>
      <c r="B224" s="101" t="inlineStr">
        <is>
          <t>NEW AMSTERDAM PINEAPPLE FLAVORED VODKA</t>
        </is>
      </c>
      <c r="C224" s="102">
        <f>VLOOKUP(A224,SizeData!A$2:B$3839,2,FALSE)</f>
        <v/>
      </c>
      <c r="D224" s="101" t="n">
        <v>2</v>
      </c>
      <c r="E224" s="101" t="inlineStr">
        <is>
          <t>R1995808</t>
        </is>
      </c>
      <c r="F224" s="103" t="n">
        <v>44972</v>
      </c>
      <c r="G224" s="104" t="n"/>
    </row>
    <row r="225" ht="16" customHeight="1">
      <c r="A225" s="101" t="n">
        <v>485490</v>
      </c>
      <c r="B225" s="101" t="inlineStr">
        <is>
          <t>MENAGE A TROIS ORIGINAL RED BLEND</t>
        </is>
      </c>
      <c r="C225" s="102">
        <f>VLOOKUP(A225,SizeData!A$2:B$3839,2,FALSE)</f>
        <v/>
      </c>
      <c r="D225" s="101" t="n">
        <v>1</v>
      </c>
      <c r="E225" s="101" t="inlineStr">
        <is>
          <t>R1995808</t>
        </is>
      </c>
      <c r="F225" s="103" t="n">
        <v>44972</v>
      </c>
      <c r="G225" s="104" t="n"/>
    </row>
    <row r="226" ht="16" customHeight="1">
      <c r="A226" s="101" t="n">
        <v>32216</v>
      </c>
      <c r="B226" s="101" t="inlineStr">
        <is>
          <t>SEAGRAM'S DISTILLER'S RESERVE 94 GIN</t>
        </is>
      </c>
      <c r="C226" s="102">
        <f>VLOOKUP(A226,SizeData!A$2:B$3839,2,FALSE)</f>
        <v/>
      </c>
      <c r="D226" s="101" t="n">
        <v>2</v>
      </c>
      <c r="E226" s="101" t="inlineStr">
        <is>
          <t>R1991319</t>
        </is>
      </c>
      <c r="F226" s="103" t="n">
        <v>44973</v>
      </c>
      <c r="G226" s="104" t="n"/>
    </row>
    <row r="227" ht="16" customHeight="1">
      <c r="A227" s="101" t="n">
        <v>48102</v>
      </c>
      <c r="B227" s="101" t="inlineStr">
        <is>
          <t>HENNESSY V S COGNAC</t>
        </is>
      </c>
      <c r="C227" s="102">
        <f>VLOOKUP(A227,SizeData!A$2:B$3839,2,FALSE)</f>
        <v/>
      </c>
      <c r="D227" s="101" t="n">
        <v>1</v>
      </c>
      <c r="E227" s="101" t="inlineStr">
        <is>
          <t>R1977869</t>
        </is>
      </c>
      <c r="F227" s="103" t="n">
        <v>44977</v>
      </c>
      <c r="G227" s="104" t="n"/>
    </row>
    <row r="228" ht="16" customHeight="1">
      <c r="A228" s="101" t="n">
        <v>882306</v>
      </c>
      <c r="B228" s="101" t="inlineStr">
        <is>
          <t>CARLO ROSSI SPANADA SANGRIA</t>
        </is>
      </c>
      <c r="C228" s="102">
        <f>VLOOKUP(A228,SizeData!A$2:B$3839,2,FALSE)</f>
        <v/>
      </c>
      <c r="D228" s="101" t="n">
        <v>2</v>
      </c>
      <c r="E228" s="101" t="inlineStr">
        <is>
          <t>R1978468</t>
        </is>
      </c>
      <c r="F228" s="103" t="n">
        <v>44979</v>
      </c>
      <c r="G228" s="104" t="n"/>
    </row>
    <row r="229" ht="16" customHeight="1">
      <c r="A229" s="101" t="n">
        <v>34201</v>
      </c>
      <c r="B229" s="101" t="inlineStr">
        <is>
          <t>CIROC SNAP FROST VODKA</t>
        </is>
      </c>
      <c r="C229" s="102">
        <f>VLOOKUP(A229,SizeData!A$2:B$3839,2,FALSE)</f>
        <v/>
      </c>
      <c r="D229" s="101" t="n">
        <v>1</v>
      </c>
      <c r="E229" s="101" t="inlineStr">
        <is>
          <t>R1984031</t>
        </is>
      </c>
      <c r="F229" s="103" t="n">
        <v>44980</v>
      </c>
      <c r="G229" s="104" t="n"/>
    </row>
    <row r="230" ht="16" customHeight="1">
      <c r="A230" s="101" t="n">
        <v>44499</v>
      </c>
      <c r="B230" s="101" t="inlineStr">
        <is>
          <t>CRUZAN MANGO FLAVORED RUM</t>
        </is>
      </c>
      <c r="C230" s="102">
        <f>VLOOKUP(A230,SizeData!A$2:B$3839,2,FALSE)</f>
        <v/>
      </c>
      <c r="D230" s="101" t="n">
        <v>1</v>
      </c>
      <c r="E230" s="101" t="inlineStr">
        <is>
          <t>R1996314</t>
        </is>
      </c>
      <c r="F230" s="103" t="n">
        <v>44979</v>
      </c>
      <c r="G230" s="104" t="n"/>
    </row>
    <row r="231" ht="16" customHeight="1">
      <c r="A231" s="101" t="n">
        <v>44506</v>
      </c>
      <c r="B231" s="101" t="inlineStr">
        <is>
          <t>CRUZAN PINEAPPLE FLAVORED V.I. RUM</t>
        </is>
      </c>
      <c r="C231" s="102">
        <f>VLOOKUP(A231,SizeData!A$2:B$3839,2,FALSE)</f>
        <v/>
      </c>
      <c r="D231" s="101" t="n">
        <v>3</v>
      </c>
      <c r="E231" s="101" t="inlineStr">
        <is>
          <t>R1996314</t>
        </is>
      </c>
      <c r="F231" s="103" t="n">
        <v>44979</v>
      </c>
      <c r="G231" s="104" t="n"/>
    </row>
    <row r="232" ht="16" customHeight="1">
      <c r="A232" s="101" t="n">
        <v>27503</v>
      </c>
      <c r="B232" s="101" t="inlineStr">
        <is>
          <t>GEORGIA MOON IT'S PEACH (CORN WHISKEY)</t>
        </is>
      </c>
      <c r="C232" s="102">
        <f>VLOOKUP(A232,SizeData!A$2:B$3839,2,FALSE)</f>
        <v/>
      </c>
      <c r="D232" s="101" t="n">
        <v>1</v>
      </c>
      <c r="E232" s="101" t="inlineStr">
        <is>
          <t>R1976594</t>
        </is>
      </c>
      <c r="F232" s="103" t="n">
        <v>44980</v>
      </c>
      <c r="G232" s="104" t="n"/>
    </row>
    <row r="233" ht="16" customFormat="1" customHeight="1" s="120">
      <c r="A233" s="116" t="n">
        <v>28890</v>
      </c>
      <c r="B233" s="116" t="inlineStr">
        <is>
          <t>TANQUERAY RANGPUR DISTILLED GIN</t>
        </is>
      </c>
      <c r="C233" s="117">
        <f>VLOOKUP(A233,SizeData!A$2:B$3839,2,FALSE)</f>
        <v/>
      </c>
      <c r="D233" s="116" t="n">
        <v>1</v>
      </c>
      <c r="E233" s="116" t="inlineStr">
        <is>
          <t>R1976594</t>
        </is>
      </c>
      <c r="F233" s="118" t="n">
        <v>44980</v>
      </c>
      <c r="G233" s="119" t="n"/>
    </row>
    <row r="234" ht="16" customFormat="1" customHeight="1" s="120">
      <c r="A234" s="116" t="n">
        <v>44486</v>
      </c>
      <c r="B234" s="116" t="inlineStr">
        <is>
          <t>CRUZAN DARK RUM</t>
        </is>
      </c>
      <c r="C234" s="117">
        <f>VLOOKUP(A234,SizeData!A$2:B$3839,2,FALSE)</f>
        <v/>
      </c>
      <c r="D234" s="116" t="n">
        <v>1</v>
      </c>
      <c r="E234" s="116" t="inlineStr">
        <is>
          <t>R1976594</t>
        </is>
      </c>
      <c r="F234" s="118" t="n">
        <v>44980</v>
      </c>
      <c r="G234" s="119" t="n"/>
    </row>
    <row r="235" ht="16" customFormat="1" customHeight="1" s="120">
      <c r="A235" s="116" t="n">
        <v>44568</v>
      </c>
      <c r="B235" s="116" t="inlineStr">
        <is>
          <t>CRUZAN PEACH FLAVORED RUM</t>
        </is>
      </c>
      <c r="C235" s="117">
        <f>VLOOKUP(A235,SizeData!A$2:B$3839,2,FALSE)</f>
        <v/>
      </c>
      <c r="D235" s="116" t="n">
        <v>2</v>
      </c>
      <c r="E235" s="116" t="inlineStr">
        <is>
          <t>R1976594</t>
        </is>
      </c>
      <c r="F235" s="118" t="n">
        <v>44980</v>
      </c>
      <c r="G235" s="119" t="n"/>
    </row>
    <row r="236" ht="16" customFormat="1" customHeight="1" s="120">
      <c r="A236" s="116" t="n">
        <v>643035</v>
      </c>
      <c r="B236" s="116" t="inlineStr">
        <is>
          <t>BERINGER CALIF WHITE MERLOT</t>
        </is>
      </c>
      <c r="C236" s="117">
        <f>VLOOKUP(A236,SizeData!A$2:B$3839,2,FALSE)</f>
        <v/>
      </c>
      <c r="D236" s="116" t="n">
        <v>3</v>
      </c>
      <c r="E236" s="116" t="inlineStr">
        <is>
          <t>R1976594</t>
        </is>
      </c>
      <c r="F236" s="118" t="n">
        <v>44980</v>
      </c>
      <c r="G236" s="119" t="n"/>
    </row>
    <row r="237" ht="16" customHeight="1">
      <c r="A237" s="101" t="n">
        <v>812791</v>
      </c>
      <c r="B237" s="101" t="inlineStr">
        <is>
          <t>MD 20/20 ORANGE JUBILEE</t>
        </is>
      </c>
      <c r="C237" s="102">
        <f>VLOOKUP(A237,SizeData!A$2:B$3839,2,FALSE)</f>
        <v/>
      </c>
      <c r="D237" s="101" t="n">
        <v>1</v>
      </c>
      <c r="E237" s="101" t="inlineStr">
        <is>
          <t>R1976594</t>
        </is>
      </c>
      <c r="F237" s="103" t="n">
        <v>44980</v>
      </c>
      <c r="G237" s="104" t="n"/>
    </row>
    <row r="238" ht="16" customHeight="1">
      <c r="A238" s="101" t="n">
        <v>86753</v>
      </c>
      <c r="B238" s="101" t="inlineStr">
        <is>
          <t>OLE SMOKY TENNESSEE MOONSHINE PEACH</t>
        </is>
      </c>
      <c r="C238" s="102">
        <f>VLOOKUP(A238,SizeData!A$2:B$3839,2,FALSE)</f>
        <v/>
      </c>
      <c r="D238" s="101" t="n">
        <v>1</v>
      </c>
      <c r="E238" s="101" t="inlineStr">
        <is>
          <t>R1984929</t>
        </is>
      </c>
      <c r="F238" s="103" t="n">
        <v>44980</v>
      </c>
      <c r="G238" s="104" t="n"/>
    </row>
    <row r="239" ht="16" customFormat="1" customHeight="1" s="120">
      <c r="A239" s="116" t="n">
        <v>88015</v>
      </c>
      <c r="B239" s="116" t="inlineStr">
        <is>
          <t>LUNAZUL BLANCO TEQUILA</t>
        </is>
      </c>
      <c r="C239" s="117">
        <f>VLOOKUP(A239,SizeData!A$2:B$3839,2,FALSE)</f>
        <v/>
      </c>
      <c r="D239" s="116" t="n">
        <v>2</v>
      </c>
      <c r="E239" s="116" t="inlineStr">
        <is>
          <t>R1984929</t>
        </is>
      </c>
      <c r="F239" s="118" t="n">
        <v>44980</v>
      </c>
      <c r="G239" s="119" t="n"/>
    </row>
    <row r="240" ht="16" customHeight="1">
      <c r="A240" s="101" t="n">
        <v>97723</v>
      </c>
      <c r="B240" s="101" t="inlineStr">
        <is>
          <t>RICHARDS WILD ROSE RED</t>
        </is>
      </c>
      <c r="C240" s="102">
        <f>VLOOKUP(A240,SizeData!A$2:B$3839,2,FALSE)</f>
        <v/>
      </c>
      <c r="D240" s="101" t="n">
        <v>1</v>
      </c>
      <c r="E240" s="101" t="inlineStr">
        <is>
          <t>R1984929</t>
        </is>
      </c>
      <c r="F240" s="103" t="n">
        <v>44980</v>
      </c>
      <c r="G240" s="104" t="n"/>
    </row>
    <row r="241" ht="16" customFormat="1" customHeight="1" s="120">
      <c r="A241" s="116" t="n">
        <v>478430</v>
      </c>
      <c r="B241" s="116" t="inlineStr">
        <is>
          <t>KENDALL-JACKSON VINTNERS RSV PINOT NOIR</t>
        </is>
      </c>
      <c r="C241" s="117">
        <f>VLOOKUP(A241,SizeData!A$2:B$3839,2,FALSE)</f>
        <v/>
      </c>
      <c r="D241" s="116" t="n">
        <v>2</v>
      </c>
      <c r="E241" s="116" t="inlineStr">
        <is>
          <t>R1993703</t>
        </is>
      </c>
      <c r="F241" s="118" t="n">
        <v>44981</v>
      </c>
      <c r="G241" s="119" t="n"/>
    </row>
    <row r="242" ht="16" customHeight="1">
      <c r="A242" s="101" t="n">
        <v>47548</v>
      </c>
      <c r="B242" s="101" t="inlineStr">
        <is>
          <t>ANSAC V S COGNAC</t>
        </is>
      </c>
      <c r="C242" s="102">
        <f>VLOOKUP(A242,SizeData!A$2:B$3839,2,FALSE)</f>
        <v/>
      </c>
      <c r="D242" s="101" t="n">
        <v>1</v>
      </c>
      <c r="E242" s="101" t="inlineStr">
        <is>
          <t>R2010122</t>
        </is>
      </c>
      <c r="F242" s="103" t="n">
        <v>44981</v>
      </c>
      <c r="G242" s="104" t="n"/>
    </row>
    <row r="243" ht="16" customHeight="1">
      <c r="A243" s="101" t="n">
        <v>44476</v>
      </c>
      <c r="B243" s="101" t="inlineStr">
        <is>
          <t>CRUZAN COCONUT FLAVORED V.I. RUM</t>
        </is>
      </c>
      <c r="C243" s="102">
        <f>VLOOKUP(A243,SizeData!A$2:B$3839,2,FALSE)</f>
        <v/>
      </c>
      <c r="D243" s="101" t="n">
        <v>3</v>
      </c>
      <c r="E243" s="101" t="inlineStr">
        <is>
          <t>R1984049</t>
        </is>
      </c>
      <c r="F243" s="103" t="n">
        <v>44984</v>
      </c>
      <c r="G243" s="104" t="n"/>
    </row>
    <row r="244" ht="16" customHeight="1">
      <c r="A244" s="101" t="n">
        <v>44499</v>
      </c>
      <c r="B244" s="101" t="inlineStr">
        <is>
          <t>CRUZAN MANGO FLAVORED RUM</t>
        </is>
      </c>
      <c r="C244" s="102">
        <f>VLOOKUP(A244,SizeData!A$2:B$3839,2,FALSE)</f>
        <v/>
      </c>
      <c r="D244" s="101" t="n">
        <v>1</v>
      </c>
      <c r="E244" s="101" t="inlineStr">
        <is>
          <t>R1984049</t>
        </is>
      </c>
      <c r="F244" s="103" t="n">
        <v>44984</v>
      </c>
      <c r="G244" s="104" t="n"/>
    </row>
    <row r="245" ht="16" customHeight="1">
      <c r="A245" s="101" t="n">
        <v>87025</v>
      </c>
      <c r="B245" s="101" t="inlineStr">
        <is>
          <t>ADICTIVO PLATA TEQUILA</t>
        </is>
      </c>
      <c r="C245" s="102">
        <f>VLOOKUP(A245,SizeData!A$2:B$3839,2,FALSE)</f>
        <v/>
      </c>
      <c r="D245" s="101" t="n">
        <v>1</v>
      </c>
      <c r="E245" s="101" t="inlineStr">
        <is>
          <t>R1984349</t>
        </is>
      </c>
      <c r="F245" s="103" t="n">
        <v>44982</v>
      </c>
      <c r="G245" s="104" t="n"/>
    </row>
    <row r="246" ht="16" customHeight="1">
      <c r="A246" s="101" t="n">
        <v>48102</v>
      </c>
      <c r="B246" s="101" t="inlineStr">
        <is>
          <t>HENNESSY V S COGNAC</t>
        </is>
      </c>
      <c r="C246" s="102">
        <f>VLOOKUP(A246,SizeData!A$2:B$3839,2,FALSE)</f>
        <v/>
      </c>
      <c r="D246" s="101" t="n">
        <v>2</v>
      </c>
      <c r="E246" s="101" t="inlineStr">
        <is>
          <t>R2020005</t>
        </is>
      </c>
      <c r="F246" s="103" t="n">
        <v>44984</v>
      </c>
      <c r="G246" s="104" t="n"/>
    </row>
    <row r="247" ht="16" customHeight="1">
      <c r="A247" s="101" t="n">
        <v>378820</v>
      </c>
      <c r="B247" s="101" t="inlineStr">
        <is>
          <t>RIUNITE TREBBIANO MOSCATO EMILY</t>
        </is>
      </c>
      <c r="C247" s="102">
        <f>VLOOKUP(A247,SizeData!A$2:B$3839,2,FALSE)</f>
        <v/>
      </c>
      <c r="D247" s="101" t="n">
        <v>1</v>
      </c>
      <c r="E247" s="101" t="inlineStr">
        <is>
          <t>R2020005</t>
        </is>
      </c>
      <c r="F247" s="103" t="n">
        <v>44984</v>
      </c>
      <c r="G247" s="104" t="n"/>
    </row>
    <row r="248" ht="16" customHeight="1">
      <c r="A248" s="101" t="n">
        <v>580162</v>
      </c>
      <c r="B248" s="101" t="inlineStr">
        <is>
          <t>KENDALL-JACKSON VINTNERS RSV PINOT GRIS</t>
        </is>
      </c>
      <c r="C248" s="102">
        <f>VLOOKUP(A248,SizeData!A$2:B$3839,2,FALSE)</f>
        <v/>
      </c>
      <c r="D248" s="101" t="n">
        <v>1</v>
      </c>
      <c r="E248" s="101" t="inlineStr">
        <is>
          <t>R2020005</t>
        </is>
      </c>
      <c r="F248" s="103" t="n">
        <v>44984</v>
      </c>
      <c r="G248" s="104" t="n"/>
    </row>
    <row r="249" ht="16" customHeight="1">
      <c r="A249" s="101" t="n">
        <v>683326</v>
      </c>
      <c r="B249" s="101" t="inlineStr">
        <is>
          <t>SUTTER HOME PINK MOSCATO CALIFORNIA</t>
        </is>
      </c>
      <c r="C249" s="102">
        <f>VLOOKUP(A249,SizeData!A$2:B$3839,2,FALSE)</f>
        <v/>
      </c>
      <c r="D249" s="101" t="n">
        <v>5</v>
      </c>
      <c r="E249" s="101" t="inlineStr">
        <is>
          <t>R1993597</t>
        </is>
      </c>
      <c r="F249" s="103" t="n">
        <v>44985</v>
      </c>
      <c r="G249" s="104" t="n"/>
    </row>
    <row r="250" ht="16" customHeight="1">
      <c r="A250" s="101" t="n">
        <v>5038</v>
      </c>
      <c r="B250" s="101" t="inlineStr">
        <is>
          <t>GLENLIVET</t>
        </is>
      </c>
      <c r="C250" s="102">
        <f>VLOOKUP(A250,SizeData!A$2:B$3839,2,FALSE)</f>
        <v/>
      </c>
      <c r="D250" s="101" t="n">
        <v>1</v>
      </c>
      <c r="E250" s="101" t="inlineStr">
        <is>
          <t>R1998154</t>
        </is>
      </c>
      <c r="F250" s="103" t="n">
        <v>44985</v>
      </c>
      <c r="G250" s="104" t="n"/>
    </row>
    <row r="251" ht="16" customHeight="1">
      <c r="A251" s="101" t="n">
        <v>22786</v>
      </c>
      <c r="B251" s="101" t="inlineStr">
        <is>
          <t>BEAM'S 8 STAR BLENDED WHISKEY</t>
        </is>
      </c>
      <c r="C251" s="102">
        <f>VLOOKUP(A251,SizeData!A$2:B$3839,2,FALSE)</f>
        <v/>
      </c>
      <c r="D251" s="101" t="n">
        <v>1</v>
      </c>
      <c r="E251" s="101" t="inlineStr">
        <is>
          <t>R1998154</t>
        </is>
      </c>
      <c r="F251" s="103" t="n">
        <v>44985</v>
      </c>
      <c r="G251" s="104" t="n"/>
    </row>
    <row r="252" ht="16" customHeight="1">
      <c r="A252" s="101" t="n">
        <v>16676</v>
      </c>
      <c r="B252" s="101" t="inlineStr">
        <is>
          <t>BASIL HAYDEN'S STRAIGHT BOURBON</t>
        </is>
      </c>
      <c r="C252" s="102">
        <f>VLOOKUP(A252,SizeData!A$2:B$3839,2,FALSE)</f>
        <v/>
      </c>
      <c r="D252" s="101" t="n">
        <v>1</v>
      </c>
      <c r="E252" s="101" t="inlineStr">
        <is>
          <t>R2030138</t>
        </is>
      </c>
      <c r="F252" s="103" t="n">
        <v>44986</v>
      </c>
      <c r="G252" s="104" t="n"/>
    </row>
    <row r="253" ht="16" customHeight="1">
      <c r="A253" s="101" t="n">
        <v>19485</v>
      </c>
      <c r="B253" s="101" t="inlineStr">
        <is>
          <t>MAKER'S MARK 46</t>
        </is>
      </c>
      <c r="C253" s="102">
        <f>VLOOKUP(A253,SizeData!A$2:B$3839,2,FALSE)</f>
        <v/>
      </c>
      <c r="D253" s="101" t="n">
        <v>1</v>
      </c>
      <c r="E253" s="101" t="inlineStr">
        <is>
          <t>R2030138</t>
        </is>
      </c>
      <c r="F253" s="103" t="n">
        <v>44986</v>
      </c>
      <c r="G253" s="104" t="n"/>
    </row>
    <row r="254" ht="16" customHeight="1">
      <c r="A254" s="101" t="n">
        <v>44518</v>
      </c>
      <c r="B254" s="101" t="inlineStr">
        <is>
          <t>CRUZAN WHITE RUM</t>
        </is>
      </c>
      <c r="C254" s="102">
        <f>VLOOKUP(A254,SizeData!A$2:B$3839,2,FALSE)</f>
        <v/>
      </c>
      <c r="D254" s="101" t="n">
        <v>1</v>
      </c>
      <c r="E254" s="101" t="inlineStr">
        <is>
          <t>R2030138</t>
        </is>
      </c>
      <c r="F254" s="103" t="n">
        <v>44986</v>
      </c>
      <c r="G254" s="104" t="n"/>
    </row>
    <row r="255" ht="16" customHeight="1">
      <c r="A255" s="101" t="n">
        <v>89215</v>
      </c>
      <c r="B255" s="101" t="inlineStr">
        <is>
          <t>JOSE CUERVO TRADICIONAL REPOSADO TEQ</t>
        </is>
      </c>
      <c r="C255" s="102">
        <f>VLOOKUP(A255,SizeData!A$2:B$3839,2,FALSE)</f>
        <v/>
      </c>
      <c r="D255" s="101" t="n">
        <v>2</v>
      </c>
      <c r="E255" s="101" t="inlineStr">
        <is>
          <t>R2030138</t>
        </is>
      </c>
      <c r="F255" s="103" t="n">
        <v>44986</v>
      </c>
      <c r="G255" s="104" t="n"/>
    </row>
    <row r="256" ht="16" customHeight="1">
      <c r="A256" s="101" t="n">
        <v>89468</v>
      </c>
      <c r="B256" s="101" t="inlineStr">
        <is>
          <t>LUNAZUL REPOSADO TEQUILA</t>
        </is>
      </c>
      <c r="C256" s="102">
        <f>VLOOKUP(A256,SizeData!A$2:B$3839,2,FALSE)</f>
        <v/>
      </c>
      <c r="D256" s="101" t="n">
        <v>1</v>
      </c>
      <c r="E256" s="101" t="inlineStr">
        <is>
          <t>R2030138</t>
        </is>
      </c>
      <c r="F256" s="103" t="n">
        <v>44986</v>
      </c>
      <c r="G256" s="104" t="n"/>
    </row>
    <row r="257" ht="16" customHeight="1">
      <c r="A257" s="101" t="n">
        <v>43338</v>
      </c>
      <c r="B257" s="101" t="inlineStr">
        <is>
          <t>CAPTAIN MORGAN ORIGINAL SPICED RUM</t>
        </is>
      </c>
      <c r="C257" s="102">
        <f>VLOOKUP(A257,SizeData!A$2:B$3839,2,FALSE)</f>
        <v/>
      </c>
      <c r="D257" s="101" t="n">
        <v>1</v>
      </c>
      <c r="E257" s="101" t="inlineStr">
        <is>
          <t>R1997856</t>
        </is>
      </c>
      <c r="F257" s="103" t="n">
        <v>44987</v>
      </c>
      <c r="G257" s="100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</row>
    <row r="258" ht="16" customHeight="1">
      <c r="A258" s="101" t="n">
        <v>44342</v>
      </c>
      <c r="B258" s="101" t="inlineStr">
        <is>
          <t>CALYPSO SPICED RUM</t>
        </is>
      </c>
      <c r="C258" s="102">
        <f>VLOOKUP(A258,SizeData!A$2:B$3839,2,FALSE)</f>
        <v/>
      </c>
      <c r="D258" s="101" t="n">
        <v>1</v>
      </c>
      <c r="E258" s="101" t="inlineStr">
        <is>
          <t>R1997856</t>
        </is>
      </c>
      <c r="F258" s="103" t="n">
        <v>44987</v>
      </c>
      <c r="G258" s="100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</row>
    <row r="259" ht="16" customHeight="1">
      <c r="A259" s="101" t="n">
        <v>43788</v>
      </c>
      <c r="B259" s="101" t="inlineStr">
        <is>
          <t>RONRICO GOLD RUM</t>
        </is>
      </c>
      <c r="C259" s="102">
        <f>VLOOKUP(A259,SizeData!A$2:B$3839,2,FALSE)</f>
        <v/>
      </c>
      <c r="D259" s="101" t="n">
        <v>4</v>
      </c>
      <c r="E259" s="101" t="inlineStr">
        <is>
          <t>R1999001</t>
        </is>
      </c>
      <c r="F259" s="103" t="n">
        <v>44986</v>
      </c>
      <c r="G259" s="100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</row>
    <row r="260" ht="16" customHeight="1">
      <c r="A260" s="101" t="n">
        <v>89219</v>
      </c>
      <c r="B260" s="101" t="inlineStr">
        <is>
          <t>JOSE CUERVO TRADICIONAL REPOSADO</t>
        </is>
      </c>
      <c r="C260" s="102">
        <f>VLOOKUP(A260,SizeData!A$2:B$3839,2,FALSE)</f>
        <v/>
      </c>
      <c r="D260" s="101" t="n">
        <v>3</v>
      </c>
      <c r="E260" s="101" t="inlineStr">
        <is>
          <t>R2005740</t>
        </is>
      </c>
      <c r="F260" s="103" t="n">
        <v>44987</v>
      </c>
      <c r="G260" s="100" t="n"/>
    </row>
    <row r="261" ht="16" customHeight="1">
      <c r="A261" s="101" t="n">
        <v>89278</v>
      </c>
      <c r="B261" s="101" t="inlineStr">
        <is>
          <t>EL JIMADOR REPOSADO TEQUILA</t>
        </is>
      </c>
      <c r="C261" s="102">
        <f>VLOOKUP(A261,SizeData!A$2:B$3839,2,FALSE)</f>
        <v/>
      </c>
      <c r="D261" s="101" t="n">
        <v>1</v>
      </c>
      <c r="E261" s="101" t="inlineStr">
        <is>
          <t>R2005740</t>
        </is>
      </c>
      <c r="F261" s="103" t="n">
        <v>44987</v>
      </c>
      <c r="G261" s="100" t="n"/>
    </row>
    <row r="262" ht="16" customHeight="1">
      <c r="A262" s="101" t="n">
        <v>882381</v>
      </c>
      <c r="B262" s="101" t="inlineStr">
        <is>
          <t>CAPRICCIO BUBBLY SANGRIA</t>
        </is>
      </c>
      <c r="C262" s="102">
        <f>VLOOKUP(A262,SizeData!A$2:B$3839,2,FALSE)</f>
        <v/>
      </c>
      <c r="D262" s="101" t="n">
        <v>1</v>
      </c>
      <c r="E262" s="101" t="inlineStr">
        <is>
          <t>R2005740</t>
        </is>
      </c>
      <c r="F262" s="103" t="n">
        <v>44987</v>
      </c>
      <c r="G262" s="100" t="n"/>
    </row>
    <row r="263" ht="16" customHeight="1">
      <c r="A263" s="101" t="n">
        <v>24173</v>
      </c>
      <c r="B263" s="101" t="inlineStr">
        <is>
          <t>QUALITY HOUSE BLENDED WHISKEY</t>
        </is>
      </c>
      <c r="C263" s="102">
        <f>VLOOKUP(A263,SizeData!A$2:B$3839,2,FALSE)</f>
        <v/>
      </c>
      <c r="D263" s="101" t="n">
        <v>1</v>
      </c>
      <c r="E263" s="101" t="inlineStr">
        <is>
          <t>R1999510</t>
        </is>
      </c>
      <c r="F263" s="103" t="n">
        <v>44987</v>
      </c>
      <c r="G263" s="104" t="n"/>
    </row>
    <row r="264" ht="16" customHeight="1">
      <c r="A264" s="101" t="n">
        <v>37063</v>
      </c>
      <c r="B264" s="101" t="inlineStr">
        <is>
          <t>STOLI ELIT ULTRA PREMIUM VODKA</t>
        </is>
      </c>
      <c r="C264" s="102">
        <f>VLOOKUP(A264,SizeData!A$2:B$3839,2,FALSE)</f>
        <v/>
      </c>
      <c r="D264" s="101" t="n">
        <v>4</v>
      </c>
      <c r="E264" s="101" t="inlineStr">
        <is>
          <t>R1999510</t>
        </is>
      </c>
      <c r="F264" s="103" t="n">
        <v>44987</v>
      </c>
      <c r="G264" s="104" t="n"/>
    </row>
    <row r="265" ht="16" customHeight="1">
      <c r="A265" s="101" t="n">
        <v>52315</v>
      </c>
      <c r="B265" s="101" t="inlineStr">
        <is>
          <t>CHRISTIAN BROTHERS BRANDY VS</t>
        </is>
      </c>
      <c r="C265" s="102">
        <f>VLOOKUP(A265,SizeData!A$2:B$3839,2,FALSE)</f>
        <v/>
      </c>
      <c r="D265" s="101" t="n">
        <v>1</v>
      </c>
      <c r="E265" s="101" t="inlineStr">
        <is>
          <t>R1999510</t>
        </is>
      </c>
      <c r="F265" s="103" t="n">
        <v>44987</v>
      </c>
      <c r="G265" s="104" t="n"/>
    </row>
    <row r="266" ht="16" customHeight="1">
      <c r="A266" s="101" t="n">
        <v>35083</v>
      </c>
      <c r="B266" s="101" t="inlineStr">
        <is>
          <t>ARISTOCRAT SUPREME VODKA</t>
        </is>
      </c>
      <c r="C266" s="102">
        <f>VLOOKUP(A266,SizeData!A$2:B$3839,2,FALSE)</f>
        <v/>
      </c>
      <c r="D266" s="101" t="n">
        <v>1</v>
      </c>
      <c r="E266" s="101" t="inlineStr">
        <is>
          <t>R1992599</t>
        </is>
      </c>
      <c r="F266" s="103" t="n">
        <v>44989</v>
      </c>
      <c r="G266" s="104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</row>
    <row r="267" ht="16" customHeight="1">
      <c r="A267" s="101" t="n">
        <v>552052</v>
      </c>
      <c r="B267" s="101" t="inlineStr">
        <is>
          <t>CARLO ROSSI CHARDONNAY</t>
        </is>
      </c>
      <c r="C267" s="102">
        <f>VLOOKUP(A267,SizeData!A$2:B$3839,2,FALSE)</f>
        <v/>
      </c>
      <c r="D267" s="101" t="n">
        <v>3</v>
      </c>
      <c r="E267" s="101" t="inlineStr">
        <is>
          <t>R1992599</t>
        </is>
      </c>
      <c r="F267" s="103" t="n">
        <v>44989</v>
      </c>
      <c r="G267" s="104" t="n"/>
    </row>
    <row r="268" ht="16" customHeight="1">
      <c r="A268" s="101" t="n">
        <v>565371</v>
      </c>
      <c r="B268" s="101" t="inlineStr">
        <is>
          <t>FLIP FLOP CHARDONNAY</t>
        </is>
      </c>
      <c r="C268" s="102">
        <f>VLOOKUP(A268,SizeData!A$2:B$3839,2,FALSE)</f>
        <v/>
      </c>
      <c r="D268" s="101" t="n">
        <v>1</v>
      </c>
      <c r="E268" s="101" t="inlineStr">
        <is>
          <t>R1992599</t>
        </is>
      </c>
      <c r="F268" s="103" t="n">
        <v>44989</v>
      </c>
      <c r="G268" s="104" t="n"/>
    </row>
    <row r="269" ht="16" customHeight="1">
      <c r="A269" s="101" t="n">
        <v>88298</v>
      </c>
      <c r="B269" s="101" t="inlineStr">
        <is>
          <t>PATRON SILVER TEQUILA</t>
        </is>
      </c>
      <c r="C269" s="102">
        <f>VLOOKUP(A269,SizeData!A$2:B$3839,2,FALSE)</f>
        <v/>
      </c>
      <c r="D269" s="101" t="n">
        <v>1</v>
      </c>
      <c r="E269" s="101" t="inlineStr">
        <is>
          <t>R2005763</t>
        </is>
      </c>
      <c r="F269" s="103" t="n">
        <v>44989</v>
      </c>
      <c r="G269" s="104" t="n"/>
    </row>
    <row r="270" ht="16" customHeight="1">
      <c r="A270" s="101" t="n">
        <v>20116</v>
      </c>
      <c r="B270" s="101" t="inlineStr">
        <is>
          <t>OLD GRAND DAD SPECIAL SELECTION</t>
        </is>
      </c>
      <c r="C270" s="102">
        <f>VLOOKUP(A270,SizeData!A$2:B$3839,2,FALSE)</f>
        <v/>
      </c>
      <c r="D270" s="101" t="n">
        <v>1</v>
      </c>
      <c r="E270" s="101" t="inlineStr">
        <is>
          <t>R1993998</t>
        </is>
      </c>
      <c r="F270" s="103" t="n">
        <v>44992</v>
      </c>
      <c r="G270" s="104" t="n"/>
    </row>
    <row r="271" ht="16" customHeight="1">
      <c r="A271" s="101" t="n">
        <v>34003</v>
      </c>
      <c r="B271" s="101" t="inlineStr">
        <is>
          <t>ABSOLUT 80 VODKA</t>
        </is>
      </c>
      <c r="C271" s="102">
        <f>VLOOKUP(A271,SizeData!A$2:B$3839,2,FALSE)</f>
        <v/>
      </c>
      <c r="D271" s="101" t="n">
        <v>1</v>
      </c>
      <c r="E271" s="101" t="inlineStr">
        <is>
          <t>R1993998</t>
        </is>
      </c>
      <c r="F271" s="103" t="n">
        <v>44992</v>
      </c>
      <c r="G271" s="104" t="n"/>
    </row>
    <row r="272" ht="16" customHeight="1">
      <c r="A272" s="101" t="n">
        <v>88470</v>
      </c>
      <c r="B272" s="101" t="inlineStr">
        <is>
          <t>EL MAYOR CRISTALINO ANEJO TEQUILA</t>
        </is>
      </c>
      <c r="C272" s="102">
        <f>VLOOKUP(A272,SizeData!A$2:B$3839,2,FALSE)</f>
        <v/>
      </c>
      <c r="D272" s="101" t="n">
        <v>1</v>
      </c>
      <c r="E272" s="101" t="inlineStr">
        <is>
          <t>R2002973</t>
        </is>
      </c>
      <c r="F272" s="103" t="n">
        <v>44992</v>
      </c>
      <c r="G272" s="104" t="n"/>
    </row>
    <row r="273" ht="16" customHeight="1">
      <c r="A273" s="101" t="n">
        <v>89292</v>
      </c>
      <c r="B273" s="101" t="inlineStr">
        <is>
          <t>GRAN CENTENARIO ANJEO TEQUILA</t>
        </is>
      </c>
      <c r="C273" s="102">
        <f>VLOOKUP(A273,SizeData!A$2:B$3839,2,FALSE)</f>
        <v/>
      </c>
      <c r="D273" s="101" t="n">
        <v>1</v>
      </c>
      <c r="E273" s="101" t="inlineStr">
        <is>
          <t>R2005976</t>
        </is>
      </c>
      <c r="F273" s="103" t="n">
        <v>44992</v>
      </c>
      <c r="G273" s="104" t="n"/>
    </row>
    <row r="274" ht="16" customHeight="1">
      <c r="A274" s="101" t="n">
        <v>420435</v>
      </c>
      <c r="B274" s="101" t="inlineStr">
        <is>
          <t>JACOB'S CREEK CHARDONNAY</t>
        </is>
      </c>
      <c r="C274" s="102">
        <f>VLOOKUP(A274,SizeData!A$2:B$3839,2,FALSE)</f>
        <v/>
      </c>
      <c r="D274" s="101" t="n">
        <v>1</v>
      </c>
      <c r="E274" s="101" t="inlineStr">
        <is>
          <t>R2005976</t>
        </is>
      </c>
      <c r="F274" s="103" t="n">
        <v>44992</v>
      </c>
      <c r="G274" s="104" t="n"/>
    </row>
    <row r="275" ht="16" customHeight="1">
      <c r="A275" s="101" t="n">
        <v>77577</v>
      </c>
      <c r="B275" s="101" t="inlineStr">
        <is>
          <t>TWENTY GRAND VODKA INFUSED W/COGNAC</t>
        </is>
      </c>
      <c r="C275" s="102">
        <f>VLOOKUP(A275,SizeData!A$2:B$3839,2,FALSE)</f>
        <v/>
      </c>
      <c r="D275" s="101" t="n">
        <v>2</v>
      </c>
      <c r="E275" s="101" t="inlineStr">
        <is>
          <t>R2012784</t>
        </is>
      </c>
      <c r="F275" s="103" t="n">
        <v>44992</v>
      </c>
      <c r="G275" s="104" t="n"/>
    </row>
    <row r="276" ht="16" customHeight="1">
      <c r="A276" s="101" t="n">
        <v>87849</v>
      </c>
      <c r="B276" s="101" t="inlineStr">
        <is>
          <t>HERRADURA SILVER TEQUILA</t>
        </is>
      </c>
      <c r="C276" s="102">
        <f>VLOOKUP(A276,SizeData!A$2:B$3839,2,FALSE)</f>
        <v/>
      </c>
      <c r="D276" s="101" t="n">
        <v>2</v>
      </c>
      <c r="E276" s="101" t="inlineStr">
        <is>
          <t>R2012784</t>
        </is>
      </c>
      <c r="F276" s="103" t="n">
        <v>44992</v>
      </c>
      <c r="G276" s="104" t="n"/>
    </row>
    <row r="277" ht="16" customHeight="1">
      <c r="A277" s="101" t="n">
        <v>67037</v>
      </c>
      <c r="B277" s="101" t="inlineStr">
        <is>
          <t>TWISTED SHOTZ BUTTERY NIPPLE:VODKA BASED</t>
        </is>
      </c>
      <c r="C277" s="102">
        <f>VLOOKUP(A277,SizeData!A$2:B$3839,2,FALSE)</f>
        <v/>
      </c>
      <c r="D277" s="101" t="n">
        <v>1</v>
      </c>
      <c r="E277" s="101" t="inlineStr">
        <is>
          <t>R2021002</t>
        </is>
      </c>
      <c r="F277" s="103" t="n">
        <v>44992</v>
      </c>
      <c r="G277" s="104" t="n"/>
    </row>
    <row r="278" ht="16" customHeight="1">
      <c r="A278" s="101" t="n">
        <v>89191</v>
      </c>
      <c r="B278" s="101" t="inlineStr">
        <is>
          <t>JOSE CUERVO ESPECIAL TEQUILA</t>
        </is>
      </c>
      <c r="C278" s="102">
        <f>VLOOKUP(A278,SizeData!A$2:B$3839,2,FALSE)</f>
        <v/>
      </c>
      <c r="D278" s="101" t="n">
        <v>1</v>
      </c>
      <c r="E278" s="101" t="inlineStr">
        <is>
          <t>R2008912</t>
        </is>
      </c>
      <c r="F278" s="103" t="n">
        <v>44994</v>
      </c>
      <c r="G278" s="104" t="n"/>
    </row>
    <row r="279" ht="16" customHeight="1">
      <c r="A279" s="98" t="n">
        <v>86771</v>
      </c>
      <c r="B279" s="98" t="inlineStr">
        <is>
          <t>OLE SMOKY TENNESSEE MOONSHINE WHITE LIGHTNIN</t>
        </is>
      </c>
      <c r="C279" s="97">
        <f>VLOOKUP(A279,SizeData!A$2:B$3839,2,FALSE)</f>
        <v/>
      </c>
      <c r="D279" s="98" t="n">
        <v>2</v>
      </c>
      <c r="E279" s="98" t="inlineStr">
        <is>
          <t>R2010980</t>
        </is>
      </c>
      <c r="F279" s="99" t="n">
        <v>44995</v>
      </c>
      <c r="G279" s="100" t="n"/>
    </row>
    <row r="280" ht="16" customHeight="1">
      <c r="A280" s="101" t="n">
        <v>31475</v>
      </c>
      <c r="B280" s="101" t="inlineStr">
        <is>
          <t>NEW AMSTERDAM GIN</t>
        </is>
      </c>
      <c r="C280" s="102">
        <f>VLOOKUP(A280,SizeData!A$2:B$3839,2,FALSE)</f>
        <v/>
      </c>
      <c r="D280" s="101" t="n">
        <v>1</v>
      </c>
      <c r="E280" s="101" t="inlineStr">
        <is>
          <t>R2017905</t>
        </is>
      </c>
      <c r="F280" s="103" t="n">
        <v>44993</v>
      </c>
      <c r="G280" s="104" t="n"/>
    </row>
    <row r="281" ht="16" customHeight="1">
      <c r="A281" s="101" t="n">
        <v>37588</v>
      </c>
      <c r="B281" s="101" t="inlineStr">
        <is>
          <t>RAIN VODKA</t>
        </is>
      </c>
      <c r="C281" s="102">
        <f>VLOOKUP(A281,SizeData!A$2:B$3839,2,FALSE)</f>
        <v/>
      </c>
      <c r="D281" s="101" t="n">
        <v>1</v>
      </c>
      <c r="E281" s="101" t="inlineStr">
        <is>
          <t>R2017905</t>
        </is>
      </c>
      <c r="F281" s="103" t="n">
        <v>44993</v>
      </c>
      <c r="G281" s="104" t="n"/>
    </row>
    <row r="282" ht="16" customHeight="1">
      <c r="A282" s="101" t="n">
        <v>429993</v>
      </c>
      <c r="B282" s="101" t="inlineStr">
        <is>
          <t>YELLOW TAIL SANGRIA</t>
        </is>
      </c>
      <c r="C282" s="102">
        <f>VLOOKUP(A282,SizeData!A$2:B$3839,2,FALSE)</f>
        <v/>
      </c>
      <c r="D282" s="101" t="n">
        <v>1</v>
      </c>
      <c r="E282" s="101" t="inlineStr">
        <is>
          <t>R2017905</t>
        </is>
      </c>
      <c r="F282" s="103" t="n">
        <v>44993</v>
      </c>
      <c r="G282" s="104" t="n"/>
    </row>
    <row r="283" ht="16" customHeight="1">
      <c r="A283" s="101" t="n">
        <v>32216</v>
      </c>
      <c r="B283" s="101" t="inlineStr">
        <is>
          <t>SEAGRAM'S DISTILLER'S RESERVE 94 GIN</t>
        </is>
      </c>
      <c r="C283" s="102">
        <f>VLOOKUP(A283,SizeData!A$2:B$3839,2,FALSE)</f>
        <v/>
      </c>
      <c r="D283" s="101" t="n">
        <v>2</v>
      </c>
      <c r="E283" s="101" t="inlineStr">
        <is>
          <t>R2017906</t>
        </is>
      </c>
      <c r="F283" s="103" t="n">
        <v>44993</v>
      </c>
      <c r="G283" s="104" t="n"/>
    </row>
    <row r="284" ht="16" customHeight="1">
      <c r="A284" s="101" t="n">
        <v>35084</v>
      </c>
      <c r="B284" s="101" t="inlineStr">
        <is>
          <t>ARISTOCRAT SUPREME VODKA</t>
        </is>
      </c>
      <c r="C284" s="102">
        <f>VLOOKUP(A284,SizeData!A$2:B$3839,2,FALSE)</f>
        <v/>
      </c>
      <c r="D284" s="101" t="n">
        <v>1</v>
      </c>
      <c r="E284" s="101" t="inlineStr">
        <is>
          <t>R2017906</t>
        </is>
      </c>
      <c r="F284" s="103" t="n">
        <v>44993</v>
      </c>
      <c r="G284" s="104" t="n"/>
    </row>
    <row r="285" ht="16" customHeight="1">
      <c r="A285" s="101" t="n">
        <v>56798</v>
      </c>
      <c r="B285" s="101" t="inlineStr">
        <is>
          <t>PAUL MASSON PINEAPPLE GRAND AMBER BRANDY</t>
        </is>
      </c>
      <c r="C285" s="102">
        <f>VLOOKUP(A285,SizeData!A$2:B$3839,2,FALSE)</f>
        <v/>
      </c>
      <c r="D285" s="101" t="n">
        <v>1</v>
      </c>
      <c r="E285" s="101" t="inlineStr">
        <is>
          <t>R2017906</t>
        </is>
      </c>
      <c r="F285" s="103" t="n">
        <v>44993</v>
      </c>
      <c r="G285" s="104" t="n"/>
    </row>
    <row r="286" ht="16" customHeight="1">
      <c r="A286" s="101" t="n">
        <v>882323</v>
      </c>
      <c r="B286" s="101" t="inlineStr">
        <is>
          <t>CARLO ROSSI SWEET PINK SANGRIA</t>
        </is>
      </c>
      <c r="C286" s="102">
        <f>VLOOKUP(A286,SizeData!A$2:B$3839,2,FALSE)</f>
        <v/>
      </c>
      <c r="D286" s="101" t="n">
        <v>2</v>
      </c>
      <c r="E286" s="101" t="inlineStr">
        <is>
          <t>R2018001</t>
        </is>
      </c>
      <c r="F286" s="103" t="n">
        <v>44993</v>
      </c>
      <c r="G286" s="104" t="n"/>
    </row>
    <row r="287" ht="16" customHeight="1">
      <c r="A287" s="101" t="n">
        <v>89339</v>
      </c>
      <c r="B287" s="101" t="inlineStr">
        <is>
          <t>HERRADURA REPOSADO TEQUILA</t>
        </is>
      </c>
      <c r="C287" s="102">
        <f>VLOOKUP(A287,SizeData!A$2:B$3839,2,FALSE)</f>
        <v/>
      </c>
      <c r="D287" s="101" t="n">
        <v>3</v>
      </c>
      <c r="E287" s="101" t="inlineStr">
        <is>
          <t>R2007390</t>
        </is>
      </c>
      <c r="F287" s="103" t="n">
        <v>44996</v>
      </c>
      <c r="G287" s="104" t="n"/>
    </row>
    <row r="288" ht="16" customHeight="1">
      <c r="A288" s="101" t="n">
        <v>40189</v>
      </c>
      <c r="B288" s="101" t="inlineStr">
        <is>
          <t>NEW AMSTERDAM PINEAPPLE FLAVORED VODKA</t>
        </is>
      </c>
      <c r="C288" s="102">
        <f>VLOOKUP(A288,SizeData!A$2:B$3839,2,FALSE)</f>
        <v/>
      </c>
      <c r="D288" s="101" t="n">
        <v>1</v>
      </c>
      <c r="E288" s="101" t="inlineStr">
        <is>
          <t>R2010980</t>
        </is>
      </c>
      <c r="F288" s="103" t="n">
        <v>44995</v>
      </c>
      <c r="G288" s="104" t="n"/>
    </row>
    <row r="289" ht="16" customHeight="1">
      <c r="A289" s="101" t="n">
        <v>52559</v>
      </c>
      <c r="B289" s="101" t="inlineStr">
        <is>
          <t>E &amp; J XO BRANDY</t>
        </is>
      </c>
      <c r="C289" s="102">
        <f>VLOOKUP(A289,SizeData!A$2:B$3839,2,FALSE)</f>
        <v/>
      </c>
      <c r="D289" s="101" t="n">
        <v>1</v>
      </c>
      <c r="E289" s="101" t="inlineStr">
        <is>
          <t>R2010980</t>
        </is>
      </c>
      <c r="F289" s="103" t="n">
        <v>44995</v>
      </c>
      <c r="G289" s="104" t="n"/>
    </row>
    <row r="290" ht="16" customHeight="1">
      <c r="A290" s="101" t="n">
        <v>52584</v>
      </c>
      <c r="B290" s="101" t="inlineStr">
        <is>
          <t>E &amp; J SUPERIOR RESERVE VSOP BRANDY</t>
        </is>
      </c>
      <c r="C290" s="102">
        <f>VLOOKUP(A290,SizeData!A$2:B$3839,2,FALSE)</f>
        <v/>
      </c>
      <c r="D290" s="101" t="n">
        <v>1</v>
      </c>
      <c r="E290" s="101" t="inlineStr">
        <is>
          <t>R2010980</t>
        </is>
      </c>
      <c r="F290" s="103" t="n">
        <v>44995</v>
      </c>
      <c r="G290" s="104" t="n"/>
    </row>
    <row r="291" ht="16" customHeight="1">
      <c r="A291" s="101" t="n">
        <v>76413</v>
      </c>
      <c r="B291" s="101" t="inlineStr">
        <is>
          <t>OLE SMOKY TENN MOONSHINE BUTTER PECAN</t>
        </is>
      </c>
      <c r="C291" s="102">
        <f>VLOOKUP(A291,SizeData!A$2:B$3839,2,FALSE)</f>
        <v/>
      </c>
      <c r="D291" s="101" t="n">
        <v>2</v>
      </c>
      <c r="E291" s="101" t="inlineStr">
        <is>
          <t>R2010980</t>
        </is>
      </c>
      <c r="F291" s="103" t="n">
        <v>44995</v>
      </c>
      <c r="G291" s="104" t="n"/>
    </row>
    <row r="292" ht="16" customHeight="1">
      <c r="A292" s="101" t="n">
        <v>80365</v>
      </c>
      <c r="B292" s="101" t="inlineStr">
        <is>
          <t>OLE SMOKY WHITE CHOCOLATE STRAWBERRY MOONSHINE</t>
        </is>
      </c>
      <c r="C292" s="102">
        <f>VLOOKUP(A292,SizeData!A$2:B$3839,2,FALSE)</f>
        <v/>
      </c>
      <c r="D292" s="101" t="n">
        <v>4</v>
      </c>
      <c r="E292" s="101" t="inlineStr">
        <is>
          <t>R2010980</t>
        </is>
      </c>
      <c r="F292" s="103" t="n">
        <v>44995</v>
      </c>
      <c r="G292" s="104" t="n"/>
    </row>
    <row r="293" ht="16" customHeight="1">
      <c r="A293" s="101" t="n">
        <v>420436</v>
      </c>
      <c r="B293" s="101" t="inlineStr">
        <is>
          <t>JACOB'S CREEK CHARDONNAY</t>
        </is>
      </c>
      <c r="C293" s="102">
        <f>VLOOKUP(A293,SizeData!A$2:B$3839,2,FALSE)</f>
        <v/>
      </c>
      <c r="D293" s="101" t="n">
        <v>3</v>
      </c>
      <c r="E293" s="101" t="inlineStr">
        <is>
          <t>R2010980</t>
        </is>
      </c>
      <c r="F293" s="103" t="n">
        <v>44995</v>
      </c>
      <c r="G293" s="104" t="n"/>
    </row>
    <row r="294" ht="16" customHeight="1">
      <c r="A294" s="101" t="n">
        <v>19485</v>
      </c>
      <c r="B294" s="101" t="inlineStr">
        <is>
          <t>MAKER'S MARK 46</t>
        </is>
      </c>
      <c r="C294" s="102">
        <f>VLOOKUP(A294,SizeData!A$2:B$3839,2,FALSE)</f>
        <v/>
      </c>
      <c r="D294" s="101" t="n">
        <v>1</v>
      </c>
      <c r="E294" s="101" t="inlineStr">
        <is>
          <t>R2013233</t>
        </is>
      </c>
      <c r="F294" s="103" t="n">
        <v>44995</v>
      </c>
      <c r="G294" s="104" t="n"/>
    </row>
    <row r="295" ht="16" customHeight="1">
      <c r="A295" s="101" t="n">
        <v>76892</v>
      </c>
      <c r="B295" s="101" t="inlineStr">
        <is>
          <t>PLANTATION PINEAPPPLE STIGGINS FANCY 1824</t>
        </is>
      </c>
      <c r="C295" s="102">
        <f>VLOOKUP(A295,SizeData!A$2:B$3839,2,FALSE)</f>
        <v/>
      </c>
      <c r="D295" s="101" t="n">
        <v>1</v>
      </c>
      <c r="E295" s="101" t="inlineStr">
        <is>
          <t>R2013233</t>
        </is>
      </c>
      <c r="F295" s="103" t="n">
        <v>44995</v>
      </c>
      <c r="G295" s="104" t="n"/>
    </row>
    <row r="296" ht="16" customHeight="1">
      <c r="A296" s="101" t="n">
        <v>89191</v>
      </c>
      <c r="B296" s="101" t="inlineStr">
        <is>
          <t>JOSE CUERVO ESPECIAL TEQUILA</t>
        </is>
      </c>
      <c r="C296" s="102">
        <f>VLOOKUP(A296,SizeData!A$2:B$3839,2,FALSE)</f>
        <v/>
      </c>
      <c r="D296" s="101" t="n">
        <v>1</v>
      </c>
      <c r="E296" s="101" t="inlineStr">
        <is>
          <t>R2013233</t>
        </is>
      </c>
      <c r="F296" s="103" t="n">
        <v>44995</v>
      </c>
      <c r="G296" s="104" t="n"/>
    </row>
    <row r="297" ht="16" customHeight="1">
      <c r="A297" s="101" t="n">
        <v>84222</v>
      </c>
      <c r="B297" s="101" t="inlineStr">
        <is>
          <t>99 BRAND BLUE RASPBERRIES</t>
        </is>
      </c>
      <c r="C297" s="102">
        <f>VLOOKUP(A297,SizeData!A$2:B$3839,2,FALSE)</f>
        <v/>
      </c>
      <c r="D297" s="101" t="n">
        <v>2</v>
      </c>
      <c r="E297" s="101" t="inlineStr">
        <is>
          <t>R2017941</t>
        </is>
      </c>
      <c r="F297" s="103" t="n">
        <v>44996</v>
      </c>
      <c r="G297" s="104" t="n"/>
    </row>
    <row r="298" ht="16" customHeight="1">
      <c r="A298" s="101" t="n">
        <v>565371</v>
      </c>
      <c r="B298" s="101" t="inlineStr">
        <is>
          <t>FLIP FLOP CHARDONNAY</t>
        </is>
      </c>
      <c r="C298" s="102">
        <f>VLOOKUP(A298,SizeData!A$2:B$3839,2,FALSE)</f>
        <v/>
      </c>
      <c r="D298" s="101" t="n">
        <v>2</v>
      </c>
      <c r="E298" s="101" t="inlineStr">
        <is>
          <t>R2017941</t>
        </is>
      </c>
      <c r="F298" s="103" t="n">
        <v>44996</v>
      </c>
      <c r="G298" s="104" t="n"/>
    </row>
    <row r="299" ht="16" customHeight="1">
      <c r="A299" s="101" t="n">
        <v>20376</v>
      </c>
      <c r="B299" s="101" t="inlineStr">
        <is>
          <t>OLD FORESTER 1920 PROHIBITION STYLE</t>
        </is>
      </c>
      <c r="C299" s="102">
        <f>VLOOKUP(A299,SizeData!A$2:B$3839,2,FALSE)</f>
        <v/>
      </c>
      <c r="D299" s="101" t="n">
        <v>1</v>
      </c>
      <c r="E299" s="101" t="inlineStr">
        <is>
          <t>R2018722</t>
        </is>
      </c>
      <c r="F299" s="103" t="n">
        <v>44996</v>
      </c>
      <c r="G299" s="104" t="n"/>
    </row>
    <row r="300" ht="16" customHeight="1">
      <c r="A300" s="101" t="n">
        <v>97727</v>
      </c>
      <c r="B300" s="101" t="inlineStr">
        <is>
          <t>RICHARDS WILD ROSE RED</t>
        </is>
      </c>
      <c r="C300" s="102">
        <f>VLOOKUP(A300,SizeData!A$2:B$3839,2,FALSE)</f>
        <v/>
      </c>
      <c r="D300" s="101" t="n">
        <v>1</v>
      </c>
      <c r="E300" s="101" t="inlineStr">
        <is>
          <t>R2018722</t>
        </is>
      </c>
      <c r="F300" s="103" t="n">
        <v>44996</v>
      </c>
      <c r="G300" s="104" t="n"/>
    </row>
    <row r="301" ht="16" customHeight="1">
      <c r="A301" s="101" t="n">
        <v>57157</v>
      </c>
      <c r="B301" s="101" t="inlineStr">
        <is>
          <t>CHI-CHI'S PINA COLADA</t>
        </is>
      </c>
      <c r="C301" s="102">
        <f>VLOOKUP(A301,SizeData!A$2:B$3839,2,FALSE)</f>
        <v/>
      </c>
      <c r="D301" s="101" t="n">
        <v>1</v>
      </c>
      <c r="E301" s="101" t="inlineStr">
        <is>
          <t>R2020736</t>
        </is>
      </c>
      <c r="F301" s="103" t="n">
        <v>44998</v>
      </c>
      <c r="G301" s="104" t="n"/>
    </row>
    <row r="302" ht="16" customHeight="1">
      <c r="A302" s="101" t="n">
        <v>88298</v>
      </c>
      <c r="B302" s="101" t="inlineStr">
        <is>
          <t>PATRON SILVER TEQUILA</t>
        </is>
      </c>
      <c r="C302" s="102">
        <f>VLOOKUP(A302,SizeData!A$2:B$3839,2,FALSE)</f>
        <v/>
      </c>
      <c r="D302" s="101" t="n">
        <v>1</v>
      </c>
      <c r="E302" s="101" t="inlineStr">
        <is>
          <t>R2020736</t>
        </is>
      </c>
      <c r="F302" s="103" t="n">
        <v>44998</v>
      </c>
      <c r="G302" s="104" t="n"/>
    </row>
    <row r="303" ht="16" customHeight="1">
      <c r="A303" s="101" t="n">
        <v>89204</v>
      </c>
      <c r="B303" s="101" t="inlineStr">
        <is>
          <t>1800 REPOSADO TEQUILA</t>
        </is>
      </c>
      <c r="C303" s="102">
        <f>VLOOKUP(A303,SizeData!A$2:B$3839,2,FALSE)</f>
        <v/>
      </c>
      <c r="D303" s="101" t="n">
        <v>1</v>
      </c>
      <c r="E303" s="101" t="inlineStr">
        <is>
          <t>R2020736</t>
        </is>
      </c>
      <c r="F303" s="103" t="n">
        <v>44998</v>
      </c>
      <c r="G303" s="104" t="n"/>
    </row>
    <row r="304" ht="16" customHeight="1">
      <c r="A304" s="101" t="n">
        <v>53206</v>
      </c>
      <c r="B304" s="101" t="inlineStr">
        <is>
          <t>PAUL MASSON GRANDE AMBER VSOP BRANDY</t>
        </is>
      </c>
      <c r="C304" s="102">
        <f>VLOOKUP(A304,SizeData!A$2:B$3839,2,FALSE)</f>
        <v/>
      </c>
      <c r="D304" s="101" t="n">
        <v>1</v>
      </c>
      <c r="E304" s="101" t="inlineStr">
        <is>
          <t>R2020651</t>
        </is>
      </c>
      <c r="F304" s="103" t="n">
        <v>45000</v>
      </c>
      <c r="G304" s="104" t="n"/>
    </row>
    <row r="305" ht="16" customHeight="1">
      <c r="A305" s="101" t="n">
        <v>97722</v>
      </c>
      <c r="B305" s="101" t="inlineStr">
        <is>
          <t>RICHARDS WILD ROSE RED</t>
        </is>
      </c>
      <c r="C305" s="102">
        <f>VLOOKUP(A305,SizeData!A$2:B$3839,2,FALSE)</f>
        <v/>
      </c>
      <c r="D305" s="101" t="n">
        <v>1</v>
      </c>
      <c r="E305" s="101" t="inlineStr">
        <is>
          <t>R2032001</t>
        </is>
      </c>
      <c r="F305" s="103" t="n">
        <v>45000</v>
      </c>
      <c r="G305" s="104" t="n"/>
    </row>
    <row r="306" ht="16" customHeight="1">
      <c r="A306" s="101" t="n">
        <v>97723</v>
      </c>
      <c r="B306" s="101" t="inlineStr">
        <is>
          <t>RICHARDS WILD ROSE RED</t>
        </is>
      </c>
      <c r="C306" s="102">
        <f>VLOOKUP(A306,SizeData!A$2:B$3839,2,FALSE)</f>
        <v/>
      </c>
      <c r="D306" s="101" t="n">
        <v>1</v>
      </c>
      <c r="E306" s="101" t="inlineStr">
        <is>
          <t>R2032001</t>
        </is>
      </c>
      <c r="F306" s="103" t="n">
        <v>45000</v>
      </c>
      <c r="G306" s="104" t="n"/>
    </row>
    <row r="307" ht="16" customHeight="1">
      <c r="A307" s="101" t="n">
        <v>19485</v>
      </c>
      <c r="B307" s="101" t="inlineStr">
        <is>
          <t>MAKER'S MARK 46</t>
        </is>
      </c>
      <c r="C307" s="102">
        <f>VLOOKUP(A307,SizeData!A$2:B$3839,2,FALSE)</f>
        <v/>
      </c>
      <c r="D307" s="101" t="n">
        <v>1</v>
      </c>
      <c r="E307" s="101" t="inlineStr">
        <is>
          <t>R2027602</t>
        </is>
      </c>
      <c r="F307" s="103" t="n">
        <v>45003</v>
      </c>
      <c r="G307" s="104" t="n"/>
    </row>
    <row r="308" ht="16" customHeight="1">
      <c r="A308" s="101" t="n">
        <v>44518</v>
      </c>
      <c r="B308" s="101" t="inlineStr">
        <is>
          <t>CRUZAN WHITE RUM</t>
        </is>
      </c>
      <c r="C308" s="102">
        <f>VLOOKUP(A308,SizeData!A$2:B$3839,2,FALSE)</f>
        <v/>
      </c>
      <c r="D308" s="101" t="n">
        <v>2</v>
      </c>
      <c r="E308" s="101" t="inlineStr">
        <is>
          <t>R2027602</t>
        </is>
      </c>
      <c r="F308" s="103" t="n">
        <v>45003</v>
      </c>
      <c r="G308" s="104" t="n"/>
    </row>
    <row r="309" ht="16" customHeight="1">
      <c r="A309" s="101" t="n">
        <v>568832</v>
      </c>
      <c r="B309" s="101" t="inlineStr">
        <is>
          <t>COPPERIDGE CHARDONNAY</t>
        </is>
      </c>
      <c r="C309" s="102">
        <f>VLOOKUP(A309,SizeData!A$2:B$3839,2,FALSE)</f>
        <v/>
      </c>
      <c r="D309" s="101" t="n">
        <v>2</v>
      </c>
      <c r="E309" s="101" t="inlineStr">
        <is>
          <t>R2027602</t>
        </is>
      </c>
      <c r="F309" s="103" t="n">
        <v>45003</v>
      </c>
      <c r="G309" s="104" t="n"/>
    </row>
    <row r="310" ht="16" customHeight="1">
      <c r="A310" s="101" t="n">
        <v>451249</v>
      </c>
      <c r="B310" s="101" t="inlineStr">
        <is>
          <t>CARLO ROSSI MERLOT CALIFORNIA</t>
        </is>
      </c>
      <c r="C310" s="102">
        <f>VLOOKUP(A310,SizeData!A$2:B$3839,2,FALSE)</f>
        <v/>
      </c>
      <c r="D310" s="101" t="n">
        <v>1</v>
      </c>
      <c r="E310" s="101" t="inlineStr">
        <is>
          <t>R2035414</t>
        </is>
      </c>
      <c r="F310" s="103" t="n">
        <v>45003</v>
      </c>
      <c r="G310" s="104" t="n"/>
    </row>
    <row r="311" ht="16" customHeight="1">
      <c r="A311" s="101" t="n">
        <v>882308</v>
      </c>
      <c r="B311" s="101" t="inlineStr">
        <is>
          <t>CARLO ROSSI SWEET SANGRIA</t>
        </is>
      </c>
      <c r="C311" s="102">
        <f>VLOOKUP(A311,SizeData!A$2:B$3839,2,FALSE)</f>
        <v/>
      </c>
      <c r="D311" s="101" t="n">
        <v>2</v>
      </c>
      <c r="E311" s="101" t="inlineStr">
        <is>
          <t>R2035414</t>
        </is>
      </c>
      <c r="F311" s="103" t="n">
        <v>45003</v>
      </c>
      <c r="G311" s="104" t="n"/>
    </row>
    <row r="312" ht="16" customHeight="1">
      <c r="A312" s="101" t="n">
        <v>5038</v>
      </c>
      <c r="B312" s="101" t="inlineStr">
        <is>
          <t>GLENLIVET</t>
        </is>
      </c>
      <c r="C312" s="102">
        <f>VLOOKUP(A312,SizeData!A$2:B$3839,2,FALSE)</f>
        <v/>
      </c>
      <c r="D312" s="101" t="n">
        <v>1</v>
      </c>
      <c r="E312" s="101" t="inlineStr">
        <is>
          <t>R2014390</t>
        </is>
      </c>
      <c r="F312" s="103" t="n">
        <v>45006</v>
      </c>
      <c r="G312" s="104" t="n"/>
    </row>
    <row r="313" ht="16" customHeight="1">
      <c r="A313" s="101" t="n">
        <v>43788</v>
      </c>
      <c r="B313" s="101" t="inlineStr">
        <is>
          <t>RONRICO GOLD RUM</t>
        </is>
      </c>
      <c r="C313" s="102">
        <f>VLOOKUP(A313,SizeData!A$2:B$3839,2,FALSE)</f>
        <v/>
      </c>
      <c r="D313" s="101" t="n">
        <v>3</v>
      </c>
      <c r="E313" s="101" t="inlineStr">
        <is>
          <t>R2014390</t>
        </is>
      </c>
      <c r="F313" s="103" t="n">
        <v>45006</v>
      </c>
      <c r="G313" s="104" t="n"/>
    </row>
    <row r="314" ht="16" customHeight="1">
      <c r="A314" s="101" t="n">
        <v>44342</v>
      </c>
      <c r="B314" s="101" t="inlineStr">
        <is>
          <t>CALYPSO SPICED RUM</t>
        </is>
      </c>
      <c r="C314" s="102">
        <f>VLOOKUP(A314,SizeData!A$2:B$3839,2,FALSE)</f>
        <v/>
      </c>
      <c r="D314" s="101" t="n">
        <v>2</v>
      </c>
      <c r="E314" s="101" t="inlineStr">
        <is>
          <t>R2014390</t>
        </is>
      </c>
      <c r="F314" s="103" t="n">
        <v>45006</v>
      </c>
      <c r="G314" s="104" t="n"/>
    </row>
    <row r="315" ht="16" customHeight="1">
      <c r="A315" s="101" t="n">
        <v>87418</v>
      </c>
      <c r="B315" s="101" t="inlineStr">
        <is>
          <t>JOSE CUERVO TRADICIONAL SILVER</t>
        </is>
      </c>
      <c r="C315" s="102">
        <f>VLOOKUP(A315,SizeData!A$2:B$3839,2,FALSE)</f>
        <v/>
      </c>
      <c r="D315" s="101" t="n">
        <v>3</v>
      </c>
      <c r="E315" s="101" t="inlineStr">
        <is>
          <t>R2014390</t>
        </is>
      </c>
      <c r="F315" s="103" t="n">
        <v>45006</v>
      </c>
      <c r="G315" s="104" t="n"/>
    </row>
    <row r="316" ht="16" customHeight="1">
      <c r="A316" s="101" t="n">
        <v>89215</v>
      </c>
      <c r="B316" s="101" t="inlineStr">
        <is>
          <t>JOSE CUERVO TRADICIONAL REPOSADO TEQ</t>
        </is>
      </c>
      <c r="C316" s="102">
        <f>VLOOKUP(A316,SizeData!A$2:B$3839,2,FALSE)</f>
        <v/>
      </c>
      <c r="D316" s="101" t="n">
        <v>2</v>
      </c>
      <c r="E316" s="101" t="inlineStr">
        <is>
          <t>R2014390</t>
        </is>
      </c>
      <c r="F316" s="103" t="n">
        <v>45006</v>
      </c>
      <c r="G316" s="104" t="n"/>
    </row>
    <row r="317" ht="16" customHeight="1">
      <c r="A317" s="101" t="n">
        <v>89219</v>
      </c>
      <c r="B317" s="101" t="inlineStr">
        <is>
          <t>JOSE CUERVO TRADICIONAL REPOSADO</t>
        </is>
      </c>
      <c r="C317" s="102">
        <f>VLOOKUP(A317,SizeData!A$2:B$3839,2,FALSE)</f>
        <v/>
      </c>
      <c r="D317" s="101" t="n">
        <v>4</v>
      </c>
      <c r="E317" s="101" t="inlineStr">
        <is>
          <t>R2014390</t>
        </is>
      </c>
      <c r="F317" s="103" t="n">
        <v>45006</v>
      </c>
      <c r="G317" s="104" t="n"/>
    </row>
    <row r="318" ht="16" customHeight="1">
      <c r="A318" s="101" t="n">
        <v>43034</v>
      </c>
      <c r="B318" s="101" t="inlineStr">
        <is>
          <t>BACARDI GOLD DARK RUM</t>
        </is>
      </c>
      <c r="C318" s="102">
        <f>VLOOKUP(A318,SizeData!A$2:B$3839,2,FALSE)</f>
        <v/>
      </c>
      <c r="D318" s="101" t="n">
        <v>1</v>
      </c>
      <c r="E318" s="101" t="inlineStr">
        <is>
          <t>R2019856</t>
        </is>
      </c>
      <c r="F318" s="103" t="n">
        <v>45005</v>
      </c>
      <c r="G318" s="104" t="n"/>
    </row>
    <row r="319" ht="16" customHeight="1">
      <c r="A319" s="101" t="n">
        <v>48102</v>
      </c>
      <c r="B319" s="101" t="inlineStr">
        <is>
          <t>HENNESSY V S COGNAC</t>
        </is>
      </c>
      <c r="C319" s="102">
        <f>VLOOKUP(A319,SizeData!A$2:B$3839,2,FALSE)</f>
        <v/>
      </c>
      <c r="D319" s="101" t="n">
        <v>1</v>
      </c>
      <c r="E319" s="101" t="inlineStr">
        <is>
          <t>R2019856</t>
        </is>
      </c>
      <c r="F319" s="103" t="n">
        <v>45005</v>
      </c>
      <c r="G319" s="104" t="n"/>
    </row>
    <row r="320" ht="16" customHeight="1">
      <c r="A320" s="101" t="n">
        <v>76477</v>
      </c>
      <c r="B320" s="101" t="inlineStr">
        <is>
          <t>MR. BOSTON MELON</t>
        </is>
      </c>
      <c r="C320" s="102">
        <f>VLOOKUP(A320,SizeData!A$2:B$3839,2,FALSE)</f>
        <v/>
      </c>
      <c r="D320" s="101" t="n">
        <v>1</v>
      </c>
      <c r="E320" s="101" t="inlineStr">
        <is>
          <t>R2019856</t>
        </is>
      </c>
      <c r="F320" s="103" t="n">
        <v>45005</v>
      </c>
      <c r="G320" s="104" t="n"/>
    </row>
    <row r="321" ht="16" customHeight="1">
      <c r="A321" s="101" t="n">
        <v>40071</v>
      </c>
      <c r="B321" s="101" t="inlineStr">
        <is>
          <t>NEW AMSTERDAM MANGO FLAVORED VODKA</t>
        </is>
      </c>
      <c r="C321" s="102">
        <f>VLOOKUP(A321,SizeData!A$2:B$3839,2,FALSE)</f>
        <v/>
      </c>
      <c r="D321" s="101" t="n">
        <v>1</v>
      </c>
      <c r="E321" s="101" t="inlineStr">
        <is>
          <t>R2035913</t>
        </is>
      </c>
      <c r="F321" s="103" t="n">
        <v>45005</v>
      </c>
      <c r="G321" s="104" t="n"/>
    </row>
    <row r="322" ht="16" customHeight="1">
      <c r="A322" s="101" t="n">
        <v>87410</v>
      </c>
      <c r="B322" s="101" t="inlineStr">
        <is>
          <t>JOSE CUERVO ESPECIAL SILVER</t>
        </is>
      </c>
      <c r="C322" s="102">
        <f>VLOOKUP(A322,SizeData!A$2:B$3839,2,FALSE)</f>
        <v/>
      </c>
      <c r="D322" s="101" t="n">
        <v>1</v>
      </c>
      <c r="E322" s="101" t="inlineStr">
        <is>
          <t>R2035913</t>
        </is>
      </c>
      <c r="F322" s="103" t="n">
        <v>45005</v>
      </c>
      <c r="G322" s="104" t="n"/>
    </row>
    <row r="323" ht="16" customHeight="1">
      <c r="A323" s="121" t="n">
        <v>26729</v>
      </c>
      <c r="B323" s="121" t="inlineStr">
        <is>
          <t>JACK DANIEL'S SINGLE BARREL BARREL PROOF 100PF</t>
        </is>
      </c>
      <c r="C323" s="122">
        <f>VLOOKUP(A323,SizeData!A$2:B$3839,2,FALSE)</f>
        <v/>
      </c>
      <c r="D323" s="121" t="n">
        <v>5</v>
      </c>
      <c r="E323" s="121" t="inlineStr">
        <is>
          <t>R2027562</t>
        </is>
      </c>
      <c r="F323" s="123" t="n">
        <v>45007</v>
      </c>
      <c r="G323" s="124" t="n"/>
    </row>
    <row r="324" ht="16" customHeight="1">
      <c r="A324" s="101" t="n">
        <v>882300</v>
      </c>
      <c r="B324" s="101" t="inlineStr">
        <is>
          <t>CARLO ROSSI SPANADA SANGRIA</t>
        </is>
      </c>
      <c r="C324" s="102">
        <f>VLOOKUP(A324,SizeData!A$2:B$3839,2,FALSE)</f>
        <v/>
      </c>
      <c r="D324" s="101" t="n">
        <v>4</v>
      </c>
      <c r="E324" s="101" t="inlineStr">
        <is>
          <t>R2036702</t>
        </is>
      </c>
      <c r="F324" s="103" t="n">
        <v>45007</v>
      </c>
      <c r="G324" s="104" t="n"/>
    </row>
    <row r="325" ht="16" customHeight="1">
      <c r="A325" s="101" t="n">
        <v>44506</v>
      </c>
      <c r="B325" s="101" t="inlineStr">
        <is>
          <t>CRUZAN PINEAPPLE FLAVORED V.I. RUM</t>
        </is>
      </c>
      <c r="C325" s="102">
        <f>VLOOKUP(A325,SizeData!A$2:B$3839,2,FALSE)</f>
        <v/>
      </c>
      <c r="D325" s="101" t="n">
        <v>2</v>
      </c>
      <c r="E325" s="101" t="inlineStr">
        <is>
          <t>R2026986</t>
        </is>
      </c>
      <c r="F325" s="103" t="n">
        <v>45010</v>
      </c>
      <c r="G325" s="104" t="n"/>
    </row>
    <row r="326" ht="16" customHeight="1">
      <c r="A326" s="101" t="n">
        <v>76477</v>
      </c>
      <c r="B326" s="101" t="inlineStr">
        <is>
          <t>MR. BOSTON MELON</t>
        </is>
      </c>
      <c r="C326" s="102">
        <f>VLOOKUP(A326,SizeData!A$2:B$3839,2,FALSE)</f>
        <v/>
      </c>
      <c r="D326" s="101" t="n">
        <v>1</v>
      </c>
      <c r="E326" s="101" t="inlineStr">
        <is>
          <t>R2035192</t>
        </is>
      </c>
      <c r="F326" s="103" t="n">
        <v>45009</v>
      </c>
      <c r="G326" s="104" t="n"/>
    </row>
    <row r="327" ht="16" customHeight="1">
      <c r="A327" s="101" t="n">
        <v>44331</v>
      </c>
      <c r="B327" s="101" t="inlineStr">
        <is>
          <t>CALYPSO COCONUT RUM</t>
        </is>
      </c>
      <c r="C327" s="102">
        <f>VLOOKUP(A327,SizeData!A$2:B$3839,2,FALSE)</f>
        <v/>
      </c>
      <c r="D327" s="101" t="n">
        <v>1</v>
      </c>
      <c r="E327" s="101" t="inlineStr">
        <is>
          <t>R2041213</t>
        </is>
      </c>
      <c r="F327" s="103" t="n">
        <v>45010</v>
      </c>
      <c r="G327" s="104" t="n"/>
    </row>
    <row r="328" ht="16" customHeight="1">
      <c r="A328" s="101" t="n">
        <v>378820</v>
      </c>
      <c r="B328" s="101" t="inlineStr">
        <is>
          <t>RIUNITE TREBBIANO MOSCATO EMILY</t>
        </is>
      </c>
      <c r="C328" s="102">
        <f>VLOOKUP(A328,SizeData!A$2:B$3839,2,FALSE)</f>
        <v/>
      </c>
      <c r="D328" s="101" t="n">
        <v>1</v>
      </c>
      <c r="E328" s="101" t="inlineStr">
        <is>
          <t>R2041213</t>
        </is>
      </c>
      <c r="F328" s="103" t="n">
        <v>45010</v>
      </c>
      <c r="G328" s="104" t="n"/>
    </row>
    <row r="329" ht="16" customHeight="1">
      <c r="A329" s="101" t="n">
        <v>882310</v>
      </c>
      <c r="B329" s="101" t="inlineStr">
        <is>
          <t>CARLO ROSSI SWEET SANGRIA</t>
        </is>
      </c>
      <c r="C329" s="102">
        <f>VLOOKUP(A329,SizeData!A$2:B$3839,2,FALSE)</f>
        <v/>
      </c>
      <c r="D329" s="101" t="n">
        <v>1</v>
      </c>
      <c r="E329" s="101" t="inlineStr">
        <is>
          <t>R2041213</t>
        </is>
      </c>
      <c r="F329" s="103" t="n">
        <v>45010</v>
      </c>
      <c r="G329" s="104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</row>
    <row r="330" ht="16" customHeight="1">
      <c r="A330" s="101" t="n">
        <v>88298</v>
      </c>
      <c r="B330" s="101" t="inlineStr">
        <is>
          <t>PATRON SILVER TEQUILA</t>
        </is>
      </c>
      <c r="C330" s="102">
        <f>VLOOKUP(A330,SizeData!A$2:B$3839,2,FALSE)</f>
        <v/>
      </c>
      <c r="D330" s="101" t="n">
        <v>2</v>
      </c>
      <c r="E330" s="101" t="inlineStr">
        <is>
          <t>R2036282</t>
        </is>
      </c>
      <c r="F330" s="103" t="n">
        <v>45012</v>
      </c>
      <c r="G330" s="104" t="n"/>
    </row>
    <row r="331" ht="16" customHeight="1">
      <c r="A331" s="101" t="n">
        <v>35084</v>
      </c>
      <c r="B331" s="101" t="inlineStr">
        <is>
          <t>ARISTOCRAT SUPREME VODKA</t>
        </is>
      </c>
      <c r="C331" s="102">
        <f>VLOOKUP(A331,SizeData!A$2:B$3839,2,FALSE)</f>
        <v/>
      </c>
      <c r="D331" s="101" t="n">
        <v>1</v>
      </c>
      <c r="E331" s="101" t="inlineStr">
        <is>
          <t>R2039044</t>
        </is>
      </c>
      <c r="F331" s="103" t="n">
        <v>45013</v>
      </c>
      <c r="G331" s="104" t="n"/>
    </row>
    <row r="332" ht="16" customHeight="1">
      <c r="A332" s="101" t="n">
        <v>37588</v>
      </c>
      <c r="B332" s="101" t="inlineStr">
        <is>
          <t>RAIN VODKA</t>
        </is>
      </c>
      <c r="C332" s="102">
        <f>VLOOKUP(A332,SizeData!A$2:B$3839,2,FALSE)</f>
        <v/>
      </c>
      <c r="D332" s="101" t="n">
        <v>2</v>
      </c>
      <c r="E332" s="101" t="inlineStr">
        <is>
          <t>R2039044</t>
        </is>
      </c>
      <c r="F332" s="103" t="n">
        <v>45013</v>
      </c>
      <c r="G332" s="104" t="n"/>
    </row>
    <row r="333" ht="16" customHeight="1">
      <c r="A333" s="101" t="n">
        <v>64932</v>
      </c>
      <c r="B333" s="101" t="inlineStr">
        <is>
          <t>1800 COCONUT FLAVORED TEQUILA</t>
        </is>
      </c>
      <c r="C333" s="102">
        <f>VLOOKUP(A333,SizeData!A$2:B$3839,2,FALSE)</f>
        <v/>
      </c>
      <c r="D333" s="101" t="n">
        <v>1</v>
      </c>
      <c r="E333" s="101" t="inlineStr">
        <is>
          <t>R2039044</t>
        </is>
      </c>
      <c r="F333" s="103" t="n">
        <v>45013</v>
      </c>
      <c r="G333" s="104" t="n"/>
    </row>
    <row r="334" ht="16" customHeight="1">
      <c r="A334" s="101" t="n">
        <v>87849</v>
      </c>
      <c r="B334" s="101" t="inlineStr">
        <is>
          <t>HERRADURA SILVER TEQUILA</t>
        </is>
      </c>
      <c r="C334" s="102">
        <f>VLOOKUP(A334,SizeData!A$2:B$3839,2,FALSE)</f>
        <v/>
      </c>
      <c r="D334" s="101" t="n">
        <v>1</v>
      </c>
      <c r="E334" s="101" t="inlineStr">
        <is>
          <t>R2039044</t>
        </is>
      </c>
      <c r="F334" s="103" t="n">
        <v>45013</v>
      </c>
      <c r="G334" s="104" t="n"/>
    </row>
    <row r="335" ht="16" customHeight="1">
      <c r="A335" s="101" t="n">
        <v>10628</v>
      </c>
      <c r="B335" s="101" t="inlineStr">
        <is>
          <t>CANADIAN CLUB ORIGINAL 1858</t>
        </is>
      </c>
      <c r="C335" s="102">
        <f>VLOOKUP(A335,SizeData!A$2:B$3839,2,FALSE)</f>
        <v/>
      </c>
      <c r="D335" s="101" t="n">
        <v>1</v>
      </c>
      <c r="E335" s="101" t="inlineStr">
        <is>
          <t>R2022490</t>
        </is>
      </c>
      <c r="F335" s="103" t="n">
        <v>45014</v>
      </c>
      <c r="G335" s="104" t="n"/>
    </row>
    <row r="336" ht="16" customHeight="1">
      <c r="A336" s="101" t="n">
        <v>20376</v>
      </c>
      <c r="B336" s="101" t="inlineStr">
        <is>
          <t>OLD FORESTER 1920 PROHIBITION STYLE</t>
        </is>
      </c>
      <c r="C336" s="102">
        <f>VLOOKUP(A336,SizeData!A$2:B$3839,2,FALSE)</f>
        <v/>
      </c>
      <c r="D336" s="101" t="n">
        <v>2</v>
      </c>
      <c r="E336" s="101" t="inlineStr">
        <is>
          <t>R2022490</t>
        </is>
      </c>
      <c r="F336" s="103" t="n">
        <v>45014</v>
      </c>
      <c r="G336" s="104" t="n"/>
    </row>
    <row r="337" ht="16" customHeight="1">
      <c r="A337" s="101" t="n">
        <v>56798</v>
      </c>
      <c r="B337" s="101" t="inlineStr">
        <is>
          <t>PAUL MASSON PINEAPPLE GRAND AMBER BRANDY</t>
        </is>
      </c>
      <c r="C337" s="102">
        <f>VLOOKUP(A337,SizeData!A$2:B$3839,2,FALSE)</f>
        <v/>
      </c>
      <c r="D337" s="101" t="n">
        <v>1</v>
      </c>
      <c r="E337" s="101" t="inlineStr">
        <is>
          <t>R2022490</t>
        </is>
      </c>
      <c r="F337" s="103" t="n">
        <v>45014</v>
      </c>
      <c r="G337" s="104" t="n"/>
    </row>
    <row r="338" ht="16" customHeight="1">
      <c r="A338" s="101" t="n">
        <v>84222</v>
      </c>
      <c r="B338" s="101" t="inlineStr">
        <is>
          <t>99 BRAND BLUE RASPBERRIES</t>
        </is>
      </c>
      <c r="C338" s="102">
        <f>VLOOKUP(A338,SizeData!A$2:B$3839,2,FALSE)</f>
        <v/>
      </c>
      <c r="D338" s="101" t="n">
        <v>1</v>
      </c>
      <c r="E338" s="101" t="inlineStr">
        <is>
          <t>R2022490</t>
        </is>
      </c>
      <c r="F338" s="103" t="n">
        <v>45014</v>
      </c>
      <c r="G338" s="104" t="n"/>
    </row>
    <row r="339" ht="16" customHeight="1">
      <c r="A339" s="101" t="n">
        <v>87418</v>
      </c>
      <c r="B339" s="101" t="inlineStr">
        <is>
          <t>JOSE CUERVO TRADICIONAL SILVER</t>
        </is>
      </c>
      <c r="C339" s="102">
        <f>VLOOKUP(A339,SizeData!A$2:B$3839,2,FALSE)</f>
        <v/>
      </c>
      <c r="D339" s="101" t="n">
        <v>1</v>
      </c>
      <c r="E339" s="101" t="inlineStr">
        <is>
          <t>R2022490</t>
        </is>
      </c>
      <c r="F339" s="103" t="n">
        <v>45014</v>
      </c>
      <c r="G339" s="104" t="n"/>
    </row>
    <row r="340" ht="16" customHeight="1">
      <c r="A340" s="101" t="n">
        <v>89191</v>
      </c>
      <c r="B340" s="101" t="inlineStr">
        <is>
          <t>JOSE CUERVO ESPECIAL TEQUILA</t>
        </is>
      </c>
      <c r="C340" s="102">
        <f>VLOOKUP(A340,SizeData!A$2:B$3839,2,FALSE)</f>
        <v/>
      </c>
      <c r="D340" s="101" t="n">
        <v>1</v>
      </c>
      <c r="E340" s="101" t="inlineStr">
        <is>
          <t>R2022490</t>
        </is>
      </c>
      <c r="F340" s="103" t="n">
        <v>45014</v>
      </c>
      <c r="G340" s="104" t="n"/>
    </row>
    <row r="341" ht="16" customHeight="1">
      <c r="A341" s="101" t="n">
        <v>89219</v>
      </c>
      <c r="B341" s="101" t="inlineStr">
        <is>
          <t>JOSE CUERVO TRADICIONAL REPOSADO</t>
        </is>
      </c>
      <c r="C341" s="102">
        <f>VLOOKUP(A341,SizeData!A$2:B$3839,2,FALSE)</f>
        <v/>
      </c>
      <c r="D341" s="101" t="n">
        <v>1</v>
      </c>
      <c r="E341" s="101" t="inlineStr">
        <is>
          <t>R2022490</t>
        </is>
      </c>
      <c r="F341" s="103" t="n">
        <v>45014</v>
      </c>
      <c r="G341" s="104" t="n"/>
    </row>
    <row r="342" ht="16" customHeight="1">
      <c r="A342" s="101" t="n">
        <v>884910</v>
      </c>
      <c r="B342" s="101" t="inlineStr">
        <is>
          <t>DUPLIN COTTON CANDY</t>
        </is>
      </c>
      <c r="C342" s="102">
        <f>VLOOKUP(A342,SizeData!A$2:B$3839,2,FALSE)</f>
        <v/>
      </c>
      <c r="D342" s="101" t="n">
        <v>1</v>
      </c>
      <c r="E342" s="101" t="inlineStr">
        <is>
          <t>R2028888</t>
        </is>
      </c>
      <c r="F342" s="103" t="n">
        <v>45015</v>
      </c>
      <c r="G342" s="104" t="n"/>
    </row>
    <row r="343" ht="16" customHeight="1">
      <c r="A343" s="101" t="n">
        <v>35953</v>
      </c>
      <c r="B343" s="101" t="inlineStr">
        <is>
          <t>PINNACLE PINEAPPLE FLAVORED VODKA</t>
        </is>
      </c>
      <c r="C343" s="102">
        <f>VLOOKUP(A343,SizeData!A$2:B$3839,2,FALSE)</f>
        <v/>
      </c>
      <c r="D343" s="101" t="n">
        <v>2</v>
      </c>
      <c r="E343" s="101" t="inlineStr">
        <is>
          <t>R2055049</t>
        </is>
      </c>
      <c r="F343" s="103" t="n">
        <v>45017</v>
      </c>
      <c r="G343" s="104" t="n"/>
    </row>
    <row r="344" ht="16" customHeight="1">
      <c r="A344" s="101" t="n">
        <v>643035</v>
      </c>
      <c r="B344" s="101" t="inlineStr">
        <is>
          <t>BERINGER CALIF WHITE MERLOT</t>
        </is>
      </c>
      <c r="C344" s="102">
        <f>VLOOKUP(A344,SizeData!A$2:B$3839,2,FALSE)</f>
        <v/>
      </c>
      <c r="D344" s="101" t="n">
        <v>1</v>
      </c>
      <c r="E344" s="101" t="inlineStr">
        <is>
          <t>R2055049</t>
        </is>
      </c>
      <c r="F344" s="103" t="n">
        <v>45017</v>
      </c>
      <c r="G344" s="104" t="n"/>
    </row>
    <row r="345" ht="16" customHeight="1">
      <c r="A345" s="101" t="n">
        <v>683326</v>
      </c>
      <c r="B345" s="101" t="inlineStr">
        <is>
          <t>SUTTER HOME PINK MOSCATO CALIFORNIA</t>
        </is>
      </c>
      <c r="C345" s="102">
        <f>VLOOKUP(A345,SizeData!A$2:B$3839,2,FALSE)</f>
        <v/>
      </c>
      <c r="D345" s="101" t="n">
        <v>5</v>
      </c>
      <c r="E345" s="101" t="inlineStr">
        <is>
          <t>R2048310</t>
        </is>
      </c>
      <c r="F345" s="103" t="n">
        <v>45019</v>
      </c>
      <c r="G345" s="104" t="n"/>
    </row>
    <row r="346" ht="16" customHeight="1">
      <c r="A346" s="101" t="n">
        <v>44557</v>
      </c>
      <c r="B346" s="101" t="inlineStr">
        <is>
          <t>CRUZAN STRAWBERRY GINGER RUM</t>
        </is>
      </c>
      <c r="C346" s="102">
        <f>VLOOKUP(A346,SizeData!A$2:B$3839,2,FALSE)</f>
        <v/>
      </c>
      <c r="D346" s="101" t="n">
        <v>3</v>
      </c>
      <c r="E346" s="101" t="inlineStr">
        <is>
          <t>R2050666</t>
        </is>
      </c>
      <c r="F346" s="103" t="n">
        <v>45019</v>
      </c>
      <c r="G346" s="104" t="n"/>
    </row>
    <row r="347" ht="16" customHeight="1">
      <c r="A347" s="101" t="n">
        <v>44568</v>
      </c>
      <c r="B347" s="101" t="inlineStr">
        <is>
          <t>CRUZAN PEACH FLAVORED RUM</t>
        </is>
      </c>
      <c r="C347" s="102">
        <f>VLOOKUP(A347,SizeData!A$2:B$3839,2,FALSE)</f>
        <v/>
      </c>
      <c r="D347" s="101" t="n">
        <v>3</v>
      </c>
      <c r="E347" s="101" t="inlineStr">
        <is>
          <t>R2050666</t>
        </is>
      </c>
      <c r="F347" s="103" t="n">
        <v>45019</v>
      </c>
      <c r="G347" s="104" t="n"/>
    </row>
    <row r="348" ht="16" customHeight="1">
      <c r="A348" s="101" t="n">
        <v>882380</v>
      </c>
      <c r="B348" s="101" t="inlineStr">
        <is>
          <t>CAPRICCIO BUBBLY SANGRIA</t>
        </is>
      </c>
      <c r="C348" s="102">
        <f>VLOOKUP(A348,SizeData!A$2:B$3839,2,FALSE)</f>
        <v/>
      </c>
      <c r="D348" s="101" t="n">
        <v>1</v>
      </c>
      <c r="E348" s="101" t="inlineStr">
        <is>
          <t>R2044661</t>
        </is>
      </c>
      <c r="F348" s="103" t="n">
        <v>45020</v>
      </c>
      <c r="G348" s="104" t="n"/>
    </row>
    <row r="349" ht="16" customHeight="1">
      <c r="A349" s="101" t="n">
        <v>892843</v>
      </c>
      <c r="B349" s="101" t="inlineStr">
        <is>
          <t>RANCHO LA GLORIA BLUEBERRY MARGARITA</t>
        </is>
      </c>
      <c r="C349" s="102">
        <f>VLOOKUP(A349,SizeData!A$2:B$3839,2,FALSE)</f>
        <v/>
      </c>
      <c r="D349" s="101" t="n">
        <v>1</v>
      </c>
      <c r="E349" s="101" t="inlineStr">
        <is>
          <t>R2044661</t>
        </is>
      </c>
      <c r="F349" s="103" t="n">
        <v>45020</v>
      </c>
      <c r="G349" s="104" t="n"/>
    </row>
    <row r="350" ht="16" customHeight="1">
      <c r="A350" s="101" t="n">
        <v>812826</v>
      </c>
      <c r="B350" s="101" t="inlineStr">
        <is>
          <t>MD 20/20 GOLD PINEAPPLE</t>
        </is>
      </c>
      <c r="C350" s="102">
        <f>VLOOKUP(A350,SizeData!A$2:B$3839,2,FALSE)</f>
        <v/>
      </c>
      <c r="D350" s="101" t="n">
        <v>2</v>
      </c>
      <c r="E350" s="101" t="inlineStr">
        <is>
          <t>R2048312</t>
        </is>
      </c>
      <c r="F350" s="103" t="n">
        <v>45020</v>
      </c>
      <c r="G350" s="104" t="n"/>
    </row>
    <row r="351" ht="16" customFormat="1" customHeight="1" s="14">
      <c r="A351" s="101" t="n">
        <v>86771</v>
      </c>
      <c r="B351" s="101" t="inlineStr">
        <is>
          <t>OLE SMOKY TENNESSEE MOONSHINE WHITE LIGHTNIN</t>
        </is>
      </c>
      <c r="C351" s="102">
        <f>VLOOKUP(A351,SizeData!A$2:B$3839,2,FALSE)</f>
        <v/>
      </c>
      <c r="D351" s="101" t="n">
        <v>2</v>
      </c>
      <c r="E351" s="101" t="inlineStr">
        <is>
          <t>R2039682</t>
        </is>
      </c>
      <c r="F351" s="103" t="n">
        <v>45022</v>
      </c>
      <c r="G351" s="104" t="n"/>
    </row>
    <row r="352" ht="16" customHeight="1">
      <c r="A352" s="101" t="n">
        <v>647232</v>
      </c>
      <c r="B352" s="101" t="inlineStr">
        <is>
          <t>CARLO ROSSI RESERVE WHITE ZINFANDEL</t>
        </is>
      </c>
      <c r="C352" s="102">
        <f>VLOOKUP(A352,SizeData!A$2:B$3839,2,FALSE)</f>
        <v/>
      </c>
      <c r="D352" s="101" t="n">
        <v>1</v>
      </c>
      <c r="E352" s="101" t="inlineStr">
        <is>
          <t>R2049593</t>
        </is>
      </c>
      <c r="F352" s="103" t="n">
        <v>45022</v>
      </c>
      <c r="G352" s="104" t="n"/>
    </row>
    <row r="353" ht="16" customHeight="1">
      <c r="A353" s="101" t="n">
        <v>53206</v>
      </c>
      <c r="B353" s="101" t="inlineStr">
        <is>
          <t>PAUL MASSON GRANDE AMBER VSOP BRANDY</t>
        </is>
      </c>
      <c r="C353" s="102">
        <f>VLOOKUP(A353,SizeData!A$2:B$3839,2,FALSE)</f>
        <v/>
      </c>
      <c r="D353" s="101" t="n">
        <v>4</v>
      </c>
      <c r="E353" s="101" t="inlineStr">
        <is>
          <t>R2055072</t>
        </is>
      </c>
      <c r="F353" s="103" t="n">
        <v>45021</v>
      </c>
      <c r="G353" s="104" t="n"/>
    </row>
    <row r="354" ht="16" customHeight="1">
      <c r="A354" s="101" t="n">
        <v>369105</v>
      </c>
      <c r="B354" s="101" t="inlineStr">
        <is>
          <t>MARCO NEGRI SWEET ROSSO</t>
        </is>
      </c>
      <c r="C354" s="102">
        <f>VLOOKUP(A354,SizeData!A$2:B$3839,2,FALSE)</f>
        <v/>
      </c>
      <c r="D354" s="101" t="n">
        <v>1</v>
      </c>
      <c r="E354" s="101" t="inlineStr">
        <is>
          <t>R2049593</t>
        </is>
      </c>
      <c r="F354" s="103" t="n">
        <v>45022</v>
      </c>
      <c r="G354" s="104" t="n"/>
    </row>
    <row r="355" ht="16" customHeight="1">
      <c r="A355" s="101" t="n">
        <v>42703</v>
      </c>
      <c r="B355" s="101" t="inlineStr">
        <is>
          <t>MALIBU PINEAPPLE RUM</t>
        </is>
      </c>
      <c r="C355" s="102">
        <f>VLOOKUP(A355,SizeData!A$2:B$3839,2,FALSE)</f>
        <v/>
      </c>
      <c r="D355" s="101" t="n">
        <v>1</v>
      </c>
      <c r="E355" s="101" t="inlineStr">
        <is>
          <t>R2061208</t>
        </is>
      </c>
      <c r="F355" s="103" t="n">
        <v>45022</v>
      </c>
      <c r="G355" s="104" t="n"/>
    </row>
    <row r="356" ht="16" customHeight="1">
      <c r="A356" s="101" t="n">
        <v>43902</v>
      </c>
      <c r="B356" s="101" t="inlineStr">
        <is>
          <t>MALIBU STRAWBERRY</t>
        </is>
      </c>
      <c r="C356" s="102">
        <f>VLOOKUP(A356,SizeData!A$2:B$3839,2,FALSE)</f>
        <v/>
      </c>
      <c r="D356" s="101" t="n">
        <v>1</v>
      </c>
      <c r="E356" s="101" t="inlineStr">
        <is>
          <t>R2061208</t>
        </is>
      </c>
      <c r="F356" s="103" t="n">
        <v>45022</v>
      </c>
      <c r="G356" s="104" t="n"/>
    </row>
    <row r="357" ht="16" customHeight="1">
      <c r="A357" s="101" t="n">
        <v>58269</v>
      </c>
      <c r="B357" s="101" t="inlineStr">
        <is>
          <t>CUTWATER STRAWBERRY MARGARITA</t>
        </is>
      </c>
      <c r="C357" s="102">
        <f>VLOOKUP(A357,SizeData!A$2:B$3839,2,FALSE)</f>
        <v/>
      </c>
      <c r="D357" s="101" t="n">
        <v>1</v>
      </c>
      <c r="E357" s="101" t="inlineStr">
        <is>
          <t>R2061208</t>
        </is>
      </c>
      <c r="F357" s="103" t="n">
        <v>45022</v>
      </c>
      <c r="G357" s="104" t="n"/>
    </row>
    <row r="358" ht="16" customHeight="1">
      <c r="A358" s="101" t="n">
        <v>44499</v>
      </c>
      <c r="B358" s="101" t="inlineStr">
        <is>
          <t>CRUZAN MANGO FLAVORED RUM</t>
        </is>
      </c>
      <c r="C358" s="102">
        <f>VLOOKUP(A358,SizeData!A$2:B$3839,2,FALSE)</f>
        <v/>
      </c>
      <c r="D358" s="101" t="n">
        <v>2</v>
      </c>
      <c r="E358" s="101" t="inlineStr">
        <is>
          <t>R2065113</t>
        </is>
      </c>
      <c r="F358" s="103" t="n">
        <v>45022</v>
      </c>
      <c r="G358" s="104" t="n"/>
    </row>
    <row r="359" ht="16" customHeight="1">
      <c r="A359" s="101" t="n">
        <v>24178</v>
      </c>
      <c r="B359" s="101" t="inlineStr">
        <is>
          <t>QUALITY HOUSE BLENDED WHISKEY</t>
        </is>
      </c>
      <c r="C359" s="102">
        <f>VLOOKUP(A359,SizeData!A$2:B$3839,2,FALSE)</f>
        <v/>
      </c>
      <c r="D359" s="101" t="n">
        <v>3</v>
      </c>
      <c r="E359" s="101" t="inlineStr">
        <is>
          <t>R2056924</t>
        </is>
      </c>
      <c r="F359" s="103" t="n">
        <v>45023</v>
      </c>
      <c r="G359" s="104" t="n"/>
    </row>
    <row r="360" ht="16" customHeight="1">
      <c r="A360" s="101" t="n">
        <v>546630</v>
      </c>
      <c r="B360" s="101" t="inlineStr">
        <is>
          <t>BERINGER MAIN &amp; VINE MOSCATO</t>
        </is>
      </c>
      <c r="C360" s="102">
        <f>VLOOKUP(A360,SizeData!A$2:B$3839,2,FALSE)</f>
        <v/>
      </c>
      <c r="D360" s="101" t="n">
        <v>2</v>
      </c>
      <c r="E360" s="101" t="inlineStr">
        <is>
          <t>R2062305</t>
        </is>
      </c>
      <c r="F360" s="103" t="n">
        <v>45024</v>
      </c>
      <c r="G360" s="104" t="n"/>
    </row>
    <row r="361" ht="16" customHeight="1">
      <c r="A361" s="101" t="n">
        <v>568832</v>
      </c>
      <c r="B361" s="101" t="inlineStr">
        <is>
          <t>COPPERIDGE CHARDONNAY</t>
        </is>
      </c>
      <c r="C361" s="102">
        <f>VLOOKUP(A361,SizeData!A$2:B$3839,2,FALSE)</f>
        <v/>
      </c>
      <c r="D361" s="101" t="n">
        <v>3</v>
      </c>
      <c r="E361" s="101" t="inlineStr">
        <is>
          <t>R2062305</t>
        </is>
      </c>
      <c r="F361" s="103" t="n">
        <v>45024</v>
      </c>
      <c r="G361" s="104" t="n"/>
    </row>
    <row r="362" ht="16" customHeight="1">
      <c r="A362" s="101" t="n">
        <v>65188</v>
      </c>
      <c r="B362" s="101" t="inlineStr">
        <is>
          <t>HPNOTIQ VODKA &amp; COGNAC LIQUEUR</t>
        </is>
      </c>
      <c r="C362" s="102">
        <f>VLOOKUP(A362,SizeData!A$2:B$3839,2,FALSE)</f>
        <v/>
      </c>
      <c r="D362" s="101" t="n">
        <v>6</v>
      </c>
      <c r="E362" s="101" t="inlineStr">
        <is>
          <t>R2067106</t>
        </is>
      </c>
      <c r="F362" s="103" t="n">
        <v>45028</v>
      </c>
      <c r="G362" s="104" t="n"/>
    </row>
    <row r="363" ht="16" customHeight="1">
      <c r="A363" s="101" t="n">
        <v>88241</v>
      </c>
      <c r="B363" s="101" t="inlineStr">
        <is>
          <t>PATRON REPOSADO TEQUILA</t>
        </is>
      </c>
      <c r="C363" s="102">
        <f>VLOOKUP(A363,SizeData!A$2:B$3839,2,FALSE)</f>
        <v/>
      </c>
      <c r="D363" s="101" t="n">
        <v>2</v>
      </c>
      <c r="E363" s="101" t="inlineStr">
        <is>
          <t>R2067106</t>
        </is>
      </c>
      <c r="F363" s="103" t="n">
        <v>45028</v>
      </c>
      <c r="G363" s="104" t="n"/>
    </row>
    <row r="364" ht="16" customHeight="1">
      <c r="A364" s="101" t="n">
        <v>43860</v>
      </c>
      <c r="B364" s="101" t="inlineStr">
        <is>
          <t>MALIBU WATERMELON</t>
        </is>
      </c>
      <c r="C364" s="102">
        <f>VLOOKUP(A364,SizeData!A$2:B$3839,2,FALSE)</f>
        <v/>
      </c>
      <c r="D364" s="101" t="n">
        <v>1</v>
      </c>
      <c r="E364" s="101" t="inlineStr">
        <is>
          <t>R2070652</t>
        </is>
      </c>
      <c r="F364" s="103" t="n">
        <v>45028</v>
      </c>
      <c r="G364" s="104" t="n"/>
    </row>
    <row r="365" ht="16" customHeight="1">
      <c r="A365" s="101" t="n">
        <v>47548</v>
      </c>
      <c r="B365" s="101" t="inlineStr">
        <is>
          <t>ANSAC V S COGNAC</t>
        </is>
      </c>
      <c r="C365" s="102">
        <f>VLOOKUP(A365,SizeData!A$2:B$3839,2,FALSE)</f>
        <v/>
      </c>
      <c r="D365" s="101" t="n">
        <v>1</v>
      </c>
      <c r="E365" s="101" t="inlineStr">
        <is>
          <t>R2053884</t>
        </is>
      </c>
      <c r="F365" s="103" t="n">
        <v>45031</v>
      </c>
      <c r="G365" s="104" t="n"/>
    </row>
    <row r="366" ht="16" customHeight="1">
      <c r="A366" s="101" t="n">
        <v>64512</v>
      </c>
      <c r="B366" s="101" t="inlineStr">
        <is>
          <t>CIROC APPLE FLAVORED VODKA SPECIALTY</t>
        </is>
      </c>
      <c r="C366" s="102">
        <f>VLOOKUP(A366,SizeData!A$2:B$3839,2,FALSE)</f>
        <v/>
      </c>
      <c r="D366" s="101" t="n">
        <v>1</v>
      </c>
      <c r="E366" s="101" t="inlineStr">
        <is>
          <t>R2053884</t>
        </is>
      </c>
      <c r="F366" s="103" t="n">
        <v>45031</v>
      </c>
      <c r="G366" s="104" t="n"/>
    </row>
    <row r="367" ht="16" customHeight="1">
      <c r="A367" s="101" t="n">
        <v>97727</v>
      </c>
      <c r="B367" s="101" t="inlineStr">
        <is>
          <t>RICHARDS WILD ROSE RED</t>
        </is>
      </c>
      <c r="C367" s="102">
        <f>VLOOKUP(A367,SizeData!A$2:B$3839,2,FALSE)</f>
        <v/>
      </c>
      <c r="D367" s="101" t="n">
        <v>2</v>
      </c>
      <c r="E367" s="101" t="inlineStr">
        <is>
          <t>R2053884</t>
        </is>
      </c>
      <c r="F367" s="103" t="n">
        <v>45031</v>
      </c>
      <c r="G367" s="104" t="n"/>
    </row>
    <row r="368" ht="16" customHeight="1">
      <c r="A368" s="101" t="n">
        <v>37588</v>
      </c>
      <c r="B368" s="101" t="inlineStr">
        <is>
          <t>RAIN VODKA</t>
        </is>
      </c>
      <c r="C368" s="102">
        <f>VLOOKUP(A368,SizeData!A$2:B$3839,2,FALSE)</f>
        <v/>
      </c>
      <c r="D368" s="101" t="n">
        <v>2</v>
      </c>
      <c r="E368" s="101" t="inlineStr">
        <is>
          <t>R2056672</t>
        </is>
      </c>
      <c r="F368" s="103" t="n">
        <v>45031</v>
      </c>
      <c r="G368" s="104" t="n"/>
    </row>
    <row r="369" ht="16" customHeight="1">
      <c r="A369" s="101" t="n">
        <v>89219</v>
      </c>
      <c r="B369" s="101" t="inlineStr">
        <is>
          <t>JOSE CUERVO TRADICIONAL REPOSADO</t>
        </is>
      </c>
      <c r="C369" s="102">
        <f>VLOOKUP(A369,SizeData!A$2:B$3839,2,FALSE)</f>
        <v/>
      </c>
      <c r="D369" s="101" t="n">
        <v>2</v>
      </c>
      <c r="E369" s="101" t="inlineStr">
        <is>
          <t>R2072202</t>
        </is>
      </c>
      <c r="F369" s="103" t="n">
        <v>45033</v>
      </c>
      <c r="G369" s="104" t="n"/>
    </row>
    <row r="370" ht="16" customHeight="1">
      <c r="A370" s="101" t="n">
        <v>40193</v>
      </c>
      <c r="B370" s="101" t="inlineStr">
        <is>
          <t>NEW AMSTERDAM PINEAPPLE FLAVORED VODKA</t>
        </is>
      </c>
      <c r="C370" s="102">
        <f>VLOOKUP(A370,SizeData!A$2:B$3839,2,FALSE)</f>
        <v/>
      </c>
      <c r="D370" s="101" t="n">
        <v>1</v>
      </c>
      <c r="E370" s="101" t="inlineStr">
        <is>
          <t>R2072202</t>
        </is>
      </c>
      <c r="F370" s="103" t="n">
        <v>45033</v>
      </c>
      <c r="G370" s="104" t="n"/>
    </row>
    <row r="371" ht="16" customHeight="1">
      <c r="A371" s="98" t="n">
        <v>87725</v>
      </c>
      <c r="B371" s="98" t="inlineStr">
        <is>
          <t>GRAN CORAMINO CRISTALINO REPOSADO TEQUILA</t>
        </is>
      </c>
      <c r="C371" s="97">
        <f>VLOOKUP(A371,SizeData!A$2:B$3839,2,FALSE)</f>
        <v/>
      </c>
      <c r="D371" s="98" t="n">
        <v>1</v>
      </c>
      <c r="E371" s="98" t="inlineStr">
        <is>
          <t>R2059149</t>
        </is>
      </c>
      <c r="F371" s="99" t="n">
        <v>45034</v>
      </c>
      <c r="G371" s="100" t="n"/>
    </row>
    <row r="372" ht="16" customHeight="1">
      <c r="A372" s="98" t="n">
        <v>88298</v>
      </c>
      <c r="B372" s="98" t="inlineStr">
        <is>
          <t>PATRON SILVER TEQUILA</t>
        </is>
      </c>
      <c r="C372" s="97">
        <f>VLOOKUP(A372,SizeData!A$2:B$3839,2,FALSE)</f>
        <v/>
      </c>
      <c r="D372" s="98" t="n">
        <v>3</v>
      </c>
      <c r="E372" s="98" t="inlineStr">
        <is>
          <t>R2072241</t>
        </is>
      </c>
      <c r="F372" s="99" t="n">
        <v>45035</v>
      </c>
      <c r="G372" s="100" t="n"/>
    </row>
    <row r="373" ht="16" customHeight="1">
      <c r="A373" s="101" t="n">
        <v>44568</v>
      </c>
      <c r="B373" s="101" t="inlineStr">
        <is>
          <t>CRUZAN PEACH FLAVORED RUM</t>
        </is>
      </c>
      <c r="C373" s="102">
        <f>VLOOKUP(A373,SizeData!A$2:B$3839,2,FALSE)</f>
        <v/>
      </c>
      <c r="D373" s="101" t="n">
        <v>3</v>
      </c>
      <c r="E373" s="101" t="inlineStr">
        <is>
          <t>R2064188</t>
        </is>
      </c>
      <c r="F373" s="103" t="n">
        <v>45036</v>
      </c>
      <c r="G373" s="104" t="n"/>
    </row>
    <row r="374" ht="16" customHeight="1">
      <c r="A374" s="101" t="n">
        <v>87027</v>
      </c>
      <c r="B374" s="101" t="inlineStr">
        <is>
          <t>ADICTIVO REPOSADO TEQUILA</t>
        </is>
      </c>
      <c r="C374" s="102">
        <f>VLOOKUP(A374,SizeData!A$2:B$3839,2,FALSE)</f>
        <v/>
      </c>
      <c r="D374" s="101" t="n">
        <v>1</v>
      </c>
      <c r="E374" s="101" t="inlineStr">
        <is>
          <t>R2053991</t>
        </is>
      </c>
      <c r="F374" s="103" t="n">
        <v>45036</v>
      </c>
      <c r="G374" s="104" t="n"/>
    </row>
    <row r="375" ht="16" customHeight="1">
      <c r="A375" s="101" t="n">
        <v>51109</v>
      </c>
      <c r="B375" s="101" t="inlineStr">
        <is>
          <t>CIROC VS FRENCH BRANDY</t>
        </is>
      </c>
      <c r="C375" s="102">
        <f>VLOOKUP(A375,SizeData!A$2:B$3839,2,FALSE)</f>
        <v/>
      </c>
      <c r="D375" s="101" t="n">
        <v>1</v>
      </c>
      <c r="E375" s="101" t="inlineStr">
        <is>
          <t>R2075056</t>
        </is>
      </c>
      <c r="F375" s="103" t="n">
        <v>45036</v>
      </c>
      <c r="G375" s="104" t="n"/>
    </row>
    <row r="376" ht="16" customHeight="1">
      <c r="A376" s="101" t="n">
        <v>356530</v>
      </c>
      <c r="B376" s="101" t="inlineStr">
        <is>
          <t>CELLA LAMBRUSCO</t>
        </is>
      </c>
      <c r="C376" s="102">
        <f>VLOOKUP(A376,SizeData!A$2:B$3839,2,FALSE)</f>
        <v/>
      </c>
      <c r="D376" s="101" t="n">
        <v>1</v>
      </c>
      <c r="E376" s="101" t="inlineStr">
        <is>
          <t>R2067759</t>
        </is>
      </c>
      <c r="F376" s="103" t="n">
        <v>45038</v>
      </c>
      <c r="G376" s="104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</row>
    <row r="377" ht="16" customHeight="1">
      <c r="A377" s="101" t="n">
        <v>882380</v>
      </c>
      <c r="B377" s="101" t="inlineStr">
        <is>
          <t>CAPRICCIO BUBBLY SANGRIA</t>
        </is>
      </c>
      <c r="C377" s="102">
        <f>VLOOKUP(A377,SizeData!A$2:B$3839,2,FALSE)</f>
        <v/>
      </c>
      <c r="D377" s="101" t="n">
        <v>1</v>
      </c>
      <c r="E377" s="101" t="inlineStr">
        <is>
          <t>R2067759</t>
        </is>
      </c>
      <c r="F377" s="103" t="n">
        <v>45038</v>
      </c>
      <c r="G377" s="104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</row>
    <row r="378" ht="16" customHeight="1">
      <c r="A378" s="101" t="n">
        <v>31473</v>
      </c>
      <c r="B378" s="101" t="inlineStr">
        <is>
          <t>NEW AMSTERDAM GIN</t>
        </is>
      </c>
      <c r="C378" s="102">
        <f>VLOOKUP(A378,SizeData!A$2:B$3839,2,FALSE)</f>
        <v/>
      </c>
      <c r="D378" s="101" t="n">
        <v>1</v>
      </c>
      <c r="E378" s="101" t="inlineStr">
        <is>
          <t>R2073309</t>
        </is>
      </c>
      <c r="F378" s="103" t="n">
        <v>45038</v>
      </c>
      <c r="G378" s="104" t="n"/>
    </row>
    <row r="379" ht="16" customHeight="1">
      <c r="A379" s="101" t="n">
        <v>882380</v>
      </c>
      <c r="B379" s="101" t="inlineStr">
        <is>
          <t>CAPRICCIO BUBBLY SANGRIA</t>
        </is>
      </c>
      <c r="C379" s="102">
        <f>VLOOKUP(A379,SizeData!A$2:B$3839,2,FALSE)</f>
        <v/>
      </c>
      <c r="D379" s="101" t="n">
        <v>1</v>
      </c>
      <c r="E379" s="101" t="inlineStr">
        <is>
          <t>R2059845</t>
        </is>
      </c>
      <c r="F379" s="103" t="n">
        <v>45041</v>
      </c>
      <c r="G379" s="104" t="n"/>
    </row>
    <row r="380" ht="16" customHeight="1">
      <c r="A380" s="101" t="n">
        <v>44476</v>
      </c>
      <c r="B380" s="101" t="inlineStr">
        <is>
          <t>CRUZAN COCONUT FLAVORED V.I. RUM</t>
        </is>
      </c>
      <c r="C380" s="102">
        <f>VLOOKUP(A380,SizeData!A$2:B$3839,2,FALSE)</f>
        <v/>
      </c>
      <c r="D380" s="101" t="n">
        <v>2</v>
      </c>
      <c r="E380" s="101" t="inlineStr">
        <is>
          <t>R2064471</t>
        </is>
      </c>
      <c r="F380" s="103" t="n">
        <v>45043</v>
      </c>
      <c r="G380" s="104" t="n"/>
    </row>
    <row r="381" ht="16" customHeight="1">
      <c r="A381" s="101" t="n">
        <v>44499</v>
      </c>
      <c r="B381" s="101" t="inlineStr">
        <is>
          <t>CRUZAN MANGO FLAVORED RUM</t>
        </is>
      </c>
      <c r="C381" s="102">
        <f>VLOOKUP(A381,SizeData!A$2:B$3839,2,FALSE)</f>
        <v/>
      </c>
      <c r="D381" s="101" t="n">
        <v>4</v>
      </c>
      <c r="E381" s="101" t="inlineStr">
        <is>
          <t>R2064471</t>
        </is>
      </c>
      <c r="F381" s="103" t="n">
        <v>45043</v>
      </c>
      <c r="G381" s="104" t="n"/>
    </row>
    <row r="382" ht="16" customHeight="1">
      <c r="A382" s="101" t="n">
        <v>44506</v>
      </c>
      <c r="B382" s="101" t="inlineStr">
        <is>
          <t>CRUZAN PINEAPPLE FLAVORED V.I. RUM</t>
        </is>
      </c>
      <c r="C382" s="102">
        <f>VLOOKUP(A382,SizeData!A$2:B$3839,2,FALSE)</f>
        <v/>
      </c>
      <c r="D382" s="101" t="n">
        <v>2</v>
      </c>
      <c r="E382" s="101" t="inlineStr">
        <is>
          <t>R2064471</t>
        </is>
      </c>
      <c r="F382" s="103" t="n">
        <v>45043</v>
      </c>
      <c r="G382" s="104" t="n"/>
    </row>
    <row r="383" ht="16" customHeight="1">
      <c r="A383" s="101" t="n">
        <v>44516</v>
      </c>
      <c r="B383" s="101" t="inlineStr">
        <is>
          <t>CRUZAN WHITE RUM</t>
        </is>
      </c>
      <c r="C383" s="102">
        <f>VLOOKUP(A383,SizeData!A$2:B$3839,2,FALSE)</f>
        <v/>
      </c>
      <c r="D383" s="101" t="n">
        <v>3</v>
      </c>
      <c r="E383" s="101" t="inlineStr">
        <is>
          <t>R2064471</t>
        </is>
      </c>
      <c r="F383" s="103" t="n">
        <v>45043</v>
      </c>
      <c r="G383" s="104" t="n"/>
    </row>
    <row r="384" ht="16" customHeight="1">
      <c r="A384" s="101" t="n">
        <v>44557</v>
      </c>
      <c r="B384" s="101" t="inlineStr">
        <is>
          <t>CRUZAN STRAWBERRY GINGER RUM</t>
        </is>
      </c>
      <c r="C384" s="102">
        <f>VLOOKUP(A384,SizeData!A$2:B$3839,2,FALSE)</f>
        <v/>
      </c>
      <c r="D384" s="101" t="n">
        <v>2</v>
      </c>
      <c r="E384" s="101" t="inlineStr">
        <is>
          <t>R2064471</t>
        </is>
      </c>
      <c r="F384" s="103" t="n">
        <v>45043</v>
      </c>
      <c r="G384" s="104" t="n"/>
    </row>
    <row r="385" ht="16" customHeight="1">
      <c r="A385" s="101" t="n">
        <v>44568</v>
      </c>
      <c r="B385" s="101" t="inlineStr">
        <is>
          <t>CRUZAN PEACH FLAVORED RUM</t>
        </is>
      </c>
      <c r="C385" s="102">
        <f>VLOOKUP(A385,SizeData!A$2:B$3839,2,FALSE)</f>
        <v/>
      </c>
      <c r="D385" s="101" t="n">
        <v>3</v>
      </c>
      <c r="E385" s="101" t="inlineStr">
        <is>
          <t>R2064471</t>
        </is>
      </c>
      <c r="F385" s="103" t="n">
        <v>45043</v>
      </c>
      <c r="G385" s="104" t="n"/>
    </row>
    <row r="386" ht="16" customHeight="1">
      <c r="A386" s="101" t="n">
        <v>44499</v>
      </c>
      <c r="B386" s="101" t="inlineStr">
        <is>
          <t>CRUZAN MANGO FLAVORED RUM</t>
        </is>
      </c>
      <c r="C386" s="102">
        <f>VLOOKUP(A386,SizeData!A$2:B$3839,2,FALSE)</f>
        <v/>
      </c>
      <c r="D386" s="101" t="n">
        <v>1</v>
      </c>
      <c r="E386" s="101" t="inlineStr">
        <is>
          <t>R2068757</t>
        </is>
      </c>
      <c r="F386" s="103" t="n">
        <v>45044</v>
      </c>
      <c r="G386" s="104" t="n"/>
    </row>
    <row r="387" ht="16" customHeight="1">
      <c r="A387" s="101" t="n">
        <v>73526</v>
      </c>
      <c r="B387" s="101" t="inlineStr">
        <is>
          <t>DEKUYPER MELON DEW LIQUEUR</t>
        </is>
      </c>
      <c r="C387" s="102">
        <f>VLOOKUP(A387,SizeData!A$2:B$3839,2,FALSE)</f>
        <v/>
      </c>
      <c r="D387" s="101" t="n">
        <v>1</v>
      </c>
      <c r="E387" s="101" t="inlineStr">
        <is>
          <t>R2068757</t>
        </is>
      </c>
      <c r="F387" s="103" t="n">
        <v>45044</v>
      </c>
      <c r="G387" s="104" t="n"/>
    </row>
    <row r="388" ht="16" customHeight="1">
      <c r="A388" s="101" t="n">
        <v>369105</v>
      </c>
      <c r="B388" s="101" t="inlineStr">
        <is>
          <t>MARCO NEGRI SWEET ROSSO</t>
        </is>
      </c>
      <c r="C388" s="102">
        <f>VLOOKUP(A388,SizeData!A$2:B$3839,2,FALSE)</f>
        <v/>
      </c>
      <c r="D388" s="101" t="n">
        <v>1</v>
      </c>
      <c r="E388" s="101" t="inlineStr">
        <is>
          <t>R2077522</t>
        </is>
      </c>
      <c r="F388" s="103" t="n">
        <v>45043</v>
      </c>
      <c r="G388" s="104" t="n"/>
    </row>
    <row r="389" ht="16" customHeight="1">
      <c r="A389" s="101" t="n">
        <v>891004</v>
      </c>
      <c r="B389" s="101" t="inlineStr">
        <is>
          <t>PETER VELLA PINK MOSCATO SANGRIA</t>
        </is>
      </c>
      <c r="C389" s="102">
        <f>VLOOKUP(A389,SizeData!A$2:B$3839,2,FALSE)</f>
        <v/>
      </c>
      <c r="D389" s="101" t="n">
        <v>1</v>
      </c>
      <c r="E389" s="101" t="inlineStr">
        <is>
          <t>R2077522</t>
        </is>
      </c>
      <c r="F389" s="103" t="n">
        <v>45043</v>
      </c>
      <c r="G389" s="104" t="n"/>
    </row>
    <row r="390" ht="16" customHeight="1">
      <c r="A390" s="101" t="n">
        <v>65188</v>
      </c>
      <c r="B390" s="101" t="inlineStr">
        <is>
          <t>HPNOTIQ VODKA &amp; COGNAC LIQUEUR</t>
        </is>
      </c>
      <c r="C390" s="102">
        <f>VLOOKUP(A390,SizeData!A$2:B$3839,2,FALSE)</f>
        <v/>
      </c>
      <c r="D390" s="101" t="n">
        <v>2</v>
      </c>
      <c r="E390" s="101" t="inlineStr">
        <is>
          <t>R2082179</t>
        </is>
      </c>
      <c r="F390" s="103" t="n">
        <v>45044</v>
      </c>
      <c r="G390" s="104" t="n"/>
    </row>
    <row r="391" ht="16" customHeight="1">
      <c r="A391" s="101" t="n">
        <v>53206</v>
      </c>
      <c r="B391" s="101" t="inlineStr">
        <is>
          <t>PAUL MASSON GRANDE AMBER VSOP BRANDY</t>
        </is>
      </c>
      <c r="C391" s="102">
        <f>VLOOKUP(A391,SizeData!A$2:B$3839,2,FALSE)</f>
        <v/>
      </c>
      <c r="D391" s="101" t="n">
        <v>1</v>
      </c>
      <c r="E391" s="101" t="inlineStr">
        <is>
          <t>R2090341</t>
        </is>
      </c>
      <c r="F391" s="103" t="n">
        <v>45043</v>
      </c>
      <c r="G391" s="104" t="n"/>
    </row>
    <row r="392" ht="16" customHeight="1">
      <c r="A392" s="101" t="n">
        <v>57148</v>
      </c>
      <c r="B392" s="101" t="inlineStr">
        <is>
          <t>CHI-CHI'S MARGARITA</t>
        </is>
      </c>
      <c r="C392" s="102">
        <f>VLOOKUP(A392,SizeData!A$2:B$3839,2,FALSE)</f>
        <v/>
      </c>
      <c r="D392" s="101" t="n">
        <v>1</v>
      </c>
      <c r="E392" s="101" t="inlineStr">
        <is>
          <t>R2078944</t>
        </is>
      </c>
      <c r="F392" s="103" t="n">
        <v>45045</v>
      </c>
      <c r="G392" s="104" t="n"/>
    </row>
    <row r="393" ht="16" customHeight="1">
      <c r="A393" s="101" t="n">
        <v>88424</v>
      </c>
      <c r="B393" s="101" t="inlineStr">
        <is>
          <t>JOSE CUERVO TRADICIONAL ANEJO</t>
        </is>
      </c>
      <c r="C393" s="102">
        <f>VLOOKUP(A393,SizeData!A$2:B$3839,2,FALSE)</f>
        <v/>
      </c>
      <c r="D393" s="101" t="n">
        <v>1</v>
      </c>
      <c r="E393" s="101" t="inlineStr">
        <is>
          <t>R2078944</t>
        </is>
      </c>
      <c r="F393" s="103" t="n">
        <v>45045</v>
      </c>
      <c r="G393" s="104" t="n"/>
    </row>
    <row r="394" ht="16" customHeight="1">
      <c r="A394" s="101" t="n">
        <v>683326</v>
      </c>
      <c r="B394" s="101" t="inlineStr">
        <is>
          <t>SUTTER HOME PINK MOSCATO CALIFORNIA</t>
        </is>
      </c>
      <c r="C394" s="102">
        <f>VLOOKUP(A394,SizeData!A$2:B$3839,2,FALSE)</f>
        <v/>
      </c>
      <c r="D394" s="101" t="n">
        <v>2</v>
      </c>
      <c r="E394" s="101" t="inlineStr">
        <is>
          <t>R2078944</t>
        </is>
      </c>
      <c r="F394" s="103" t="n">
        <v>45045</v>
      </c>
      <c r="G394" s="104" t="n"/>
    </row>
    <row r="395" ht="16" customHeight="1">
      <c r="A395" s="101" t="n">
        <v>43145</v>
      </c>
      <c r="B395" s="101" t="inlineStr">
        <is>
          <t>BACARDI PINEAPPLE FUSION FLAVORED RUM</t>
        </is>
      </c>
      <c r="C395" s="102">
        <f>VLOOKUP(A395,SizeData!A$2:B$3839,2,FALSE)</f>
        <v/>
      </c>
      <c r="D395" s="101" t="n">
        <v>1</v>
      </c>
      <c r="E395" s="101" t="inlineStr">
        <is>
          <t>R2082317</t>
        </is>
      </c>
      <c r="F395" s="103" t="n">
        <v>45047</v>
      </c>
      <c r="G395" s="104" t="n"/>
    </row>
    <row r="396" ht="16" customHeight="1">
      <c r="A396" s="101" t="n">
        <v>44331</v>
      </c>
      <c r="B396" s="101" t="inlineStr">
        <is>
          <t>CALYPSO COCONUT RUM</t>
        </is>
      </c>
      <c r="C396" s="102">
        <f>VLOOKUP(A396,SizeData!A$2:B$3839,2,FALSE)</f>
        <v/>
      </c>
      <c r="D396" s="101" t="n">
        <v>2</v>
      </c>
      <c r="E396" s="101" t="inlineStr">
        <is>
          <t>R2082317</t>
        </is>
      </c>
      <c r="F396" s="103" t="n">
        <v>45047</v>
      </c>
      <c r="G396" s="104" t="n"/>
    </row>
    <row r="397" ht="16" customHeight="1">
      <c r="A397" s="101" t="n">
        <v>44342</v>
      </c>
      <c r="B397" s="101" t="inlineStr">
        <is>
          <t>CALYPSO SPICED RUM</t>
        </is>
      </c>
      <c r="C397" s="102">
        <f>VLOOKUP(A397,SizeData!A$2:B$3839,2,FALSE)</f>
        <v/>
      </c>
      <c r="D397" s="101" t="n">
        <v>1</v>
      </c>
      <c r="E397" s="101" t="inlineStr">
        <is>
          <t>R2082317</t>
        </is>
      </c>
      <c r="F397" s="103" t="n">
        <v>45047</v>
      </c>
      <c r="G397" s="104" t="n"/>
    </row>
    <row r="398" ht="16" customHeight="1">
      <c r="A398" s="101" t="n">
        <v>46503</v>
      </c>
      <c r="B398" s="101" t="inlineStr">
        <is>
          <t>KRAKEN BLACK SPICED RUM 94 PROOF</t>
        </is>
      </c>
      <c r="C398" s="102">
        <f>VLOOKUP(A398,SizeData!A$2:B$3839,2,FALSE)</f>
        <v/>
      </c>
      <c r="D398" s="101" t="n">
        <v>1</v>
      </c>
      <c r="E398" s="101" t="inlineStr">
        <is>
          <t>R2082317</t>
        </is>
      </c>
      <c r="F398" s="103" t="n">
        <v>45047</v>
      </c>
      <c r="G398" s="104" t="n"/>
    </row>
    <row r="399" ht="16" customHeight="1">
      <c r="A399" s="101" t="n">
        <v>58868</v>
      </c>
      <c r="B399" s="101" t="inlineStr">
        <is>
          <t>CUERVO STRAWBERRY MARGARITA / 20PF</t>
        </is>
      </c>
      <c r="C399" s="102">
        <f>VLOOKUP(A399,SizeData!A$2:B$3839,2,FALSE)</f>
        <v/>
      </c>
      <c r="D399" s="101" t="n">
        <v>1</v>
      </c>
      <c r="E399" s="101" t="inlineStr">
        <is>
          <t>R2082317</t>
        </is>
      </c>
      <c r="F399" s="103" t="n">
        <v>45047</v>
      </c>
      <c r="G399" s="104" t="n"/>
    </row>
    <row r="400" ht="16" customHeight="1">
      <c r="A400" s="101" t="n">
        <v>64776</v>
      </c>
      <c r="B400" s="101" t="inlineStr">
        <is>
          <t>COINTREAU</t>
        </is>
      </c>
      <c r="C400" s="102">
        <f>VLOOKUP(A400,SizeData!A$2:B$3839,2,FALSE)</f>
        <v/>
      </c>
      <c r="D400" s="101" t="n">
        <v>1</v>
      </c>
      <c r="E400" s="101" t="inlineStr">
        <is>
          <t>R2082317</t>
        </is>
      </c>
      <c r="F400" s="103" t="n">
        <v>45047</v>
      </c>
      <c r="G400" s="104" t="n"/>
    </row>
    <row r="401" ht="16" customHeight="1">
      <c r="A401" s="101" t="n">
        <v>65120</v>
      </c>
      <c r="B401" s="101" t="inlineStr">
        <is>
          <t>GRAND MARNIER</t>
        </is>
      </c>
      <c r="C401" s="102">
        <f>VLOOKUP(A401,SizeData!A$2:B$3839,2,FALSE)</f>
        <v/>
      </c>
      <c r="D401" s="101" t="n">
        <v>1</v>
      </c>
      <c r="E401" s="101" t="inlineStr">
        <is>
          <t>R2082317</t>
        </is>
      </c>
      <c r="F401" s="103" t="n">
        <v>45047</v>
      </c>
      <c r="G401" s="104" t="n"/>
    </row>
    <row r="402" ht="16" customHeight="1">
      <c r="A402" s="101" t="n">
        <v>65121</v>
      </c>
      <c r="B402" s="101" t="inlineStr">
        <is>
          <t>GRAND MARNIER</t>
        </is>
      </c>
      <c r="C402" s="102">
        <f>VLOOKUP(A402,SizeData!A$2:B$3839,2,FALSE)</f>
        <v/>
      </c>
      <c r="D402" s="101" t="n">
        <v>1</v>
      </c>
      <c r="E402" s="101" t="inlineStr">
        <is>
          <t>R2082317</t>
        </is>
      </c>
      <c r="F402" s="103" t="n">
        <v>45047</v>
      </c>
      <c r="G402" s="104" t="n"/>
    </row>
    <row r="403" ht="16" customHeight="1">
      <c r="A403" s="101" t="n">
        <v>75183</v>
      </c>
      <c r="B403" s="101" t="inlineStr">
        <is>
          <t>KETEL ONE PEACH &amp; ORANGE BLOSSOM</t>
        </is>
      </c>
      <c r="C403" s="102">
        <f>VLOOKUP(A403,SizeData!A$2:B$3839,2,FALSE)</f>
        <v/>
      </c>
      <c r="D403" s="101" t="n">
        <v>1</v>
      </c>
      <c r="E403" s="101" t="inlineStr">
        <is>
          <t>R2082317</t>
        </is>
      </c>
      <c r="F403" s="103" t="n">
        <v>45047</v>
      </c>
      <c r="G403" s="104" t="n"/>
    </row>
    <row r="404" ht="16" customHeight="1">
      <c r="A404" s="101" t="n">
        <v>87418</v>
      </c>
      <c r="B404" s="101" t="inlineStr">
        <is>
          <t>JOSE CUERVO TRADICIONAL SILVER</t>
        </is>
      </c>
      <c r="C404" s="102">
        <f>VLOOKUP(A404,SizeData!A$2:B$3839,2,FALSE)</f>
        <v/>
      </c>
      <c r="D404" s="101" t="n">
        <v>2</v>
      </c>
      <c r="E404" s="101" t="inlineStr">
        <is>
          <t>R2082317</t>
        </is>
      </c>
      <c r="F404" s="103" t="n">
        <v>45047</v>
      </c>
      <c r="G404" s="104" t="n"/>
    </row>
    <row r="405" ht="16" customHeight="1">
      <c r="A405" s="101" t="n">
        <v>89206</v>
      </c>
      <c r="B405" s="101" t="inlineStr">
        <is>
          <t>1800 REPOSADO TEQUILA</t>
        </is>
      </c>
      <c r="C405" s="102">
        <f>VLOOKUP(A405,SizeData!A$2:B$3839,2,FALSE)</f>
        <v/>
      </c>
      <c r="D405" s="101" t="n">
        <v>2</v>
      </c>
      <c r="E405" s="101" t="inlineStr">
        <is>
          <t>R2082317</t>
        </is>
      </c>
      <c r="F405" s="103" t="n">
        <v>45047</v>
      </c>
      <c r="G405" s="104" t="n"/>
    </row>
    <row r="406" ht="16" customHeight="1">
      <c r="A406" s="101" t="n">
        <v>44331</v>
      </c>
      <c r="B406" s="101" t="inlineStr">
        <is>
          <t>CALYPSO COCONUT RUM</t>
        </is>
      </c>
      <c r="C406" s="102">
        <f>VLOOKUP(A406,SizeData!A$2:B$3839,2,FALSE)</f>
        <v/>
      </c>
      <c r="D406" s="101" t="n">
        <v>2</v>
      </c>
      <c r="E406" s="101" t="inlineStr">
        <is>
          <t>R2086467</t>
        </is>
      </c>
      <c r="F406" s="103" t="n">
        <v>45048</v>
      </c>
      <c r="G406" s="104" t="n"/>
    </row>
    <row r="407" ht="16" customHeight="1">
      <c r="A407" s="101" t="n">
        <v>44342</v>
      </c>
      <c r="B407" s="101" t="inlineStr">
        <is>
          <t>CALYPSO SPICED RUM</t>
        </is>
      </c>
      <c r="C407" s="102">
        <f>VLOOKUP(A407,SizeData!A$2:B$3839,2,FALSE)</f>
        <v/>
      </c>
      <c r="D407" s="101" t="n">
        <v>2</v>
      </c>
      <c r="E407" s="101" t="inlineStr">
        <is>
          <t>R2086467</t>
        </is>
      </c>
      <c r="F407" s="103" t="n">
        <v>45048</v>
      </c>
      <c r="G407" s="104" t="n"/>
    </row>
    <row r="408" ht="16" customHeight="1">
      <c r="A408" s="101" t="n">
        <v>51109</v>
      </c>
      <c r="B408" s="101" t="inlineStr">
        <is>
          <t>CIROC VS FRENCH BRANDY</t>
        </is>
      </c>
      <c r="C408" s="102">
        <f>VLOOKUP(A408,SizeData!A$2:B$3839,2,FALSE)</f>
        <v/>
      </c>
      <c r="D408" s="101" t="n">
        <v>3</v>
      </c>
      <c r="E408" s="101" t="inlineStr">
        <is>
          <t>R2083415</t>
        </is>
      </c>
      <c r="F408" s="103" t="n">
        <v>45048</v>
      </c>
      <c r="G408" s="104" t="n"/>
    </row>
    <row r="409" ht="16" customHeight="1">
      <c r="A409" s="101" t="n">
        <v>86851</v>
      </c>
      <c r="B409" s="101" t="inlineStr">
        <is>
          <t>OLE SMOKEY BLUE FLAME TENNESSEE MOONSHINE</t>
        </is>
      </c>
      <c r="C409" s="102">
        <f>VLOOKUP(A409,SizeData!A$2:B$3839,2,FALSE)</f>
        <v/>
      </c>
      <c r="D409" s="101" t="n">
        <v>2</v>
      </c>
      <c r="E409" s="101" t="inlineStr">
        <is>
          <t>R2083415</t>
        </is>
      </c>
      <c r="F409" s="103" t="n">
        <v>45048</v>
      </c>
      <c r="G409" s="104" t="n"/>
    </row>
  </sheetData>
  <autoFilter ref="A2:G2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27"/>
  <sheetViews>
    <sheetView workbookViewId="0">
      <pane ySplit="3" topLeftCell="A73" activePane="bottomLeft" state="frozen"/>
      <selection pane="bottomLeft" activeCell="B81" sqref="B81"/>
    </sheetView>
  </sheetViews>
  <sheetFormatPr baseColWidth="10" defaultColWidth="8.83203125" defaultRowHeight="15"/>
  <cols>
    <col width="51.33203125" customWidth="1" min="2" max="2"/>
    <col width="11.5" customWidth="1" min="3" max="3"/>
    <col width="18.6640625" bestFit="1" customWidth="1" min="7" max="7"/>
  </cols>
  <sheetData>
    <row r="1" ht="21" customHeight="1">
      <c r="D1" s="127" t="inlineStr">
        <is>
          <t>Total</t>
        </is>
      </c>
      <c r="F1" s="127">
        <f>SUM(D4:D8751)</f>
        <v/>
      </c>
    </row>
    <row r="3">
      <c r="A3" s="1" t="inlineStr">
        <is>
          <t>Item #</t>
        </is>
      </c>
      <c r="B3" s="1" t="inlineStr">
        <is>
          <t>Name</t>
        </is>
      </c>
      <c r="C3" s="7" t="inlineStr">
        <is>
          <t>Size</t>
        </is>
      </c>
      <c r="D3" s="1" t="inlineStr">
        <is>
          <t>Reserved Quantity</t>
        </is>
      </c>
      <c r="E3" s="1" t="inlineStr">
        <is>
          <t>Order</t>
        </is>
      </c>
      <c r="F3" s="2" t="inlineStr">
        <is>
          <t>Date</t>
        </is>
      </c>
      <c r="G3" s="1" t="inlineStr">
        <is>
          <t>Note</t>
        </is>
      </c>
      <c r="J3" s="14" t="inlineStr">
        <is>
          <t>Taaka 100 ml - 252 on Oct 1st</t>
        </is>
      </c>
      <c r="K3" s="14" t="n"/>
      <c r="L3" s="14" t="n"/>
      <c r="M3" s="14" t="inlineStr">
        <is>
          <t>Martell 375ml - 325 on Oct 6th</t>
        </is>
      </c>
      <c r="N3" s="14" t="n"/>
      <c r="O3" s="14" t="n"/>
      <c r="Q3" t="inlineStr">
        <is>
          <t>42 HENNESSY 750ML ON 11/17/2022 FROM 36.99 SALE</t>
        </is>
      </c>
    </row>
    <row r="4">
      <c r="A4" s="6" t="n">
        <v>302850</v>
      </c>
      <c r="B4" s="6" t="inlineStr">
        <is>
          <t>"DR" LOOSEN RIESLING "DR. L"</t>
        </is>
      </c>
      <c r="C4" s="7">
        <f>VLOOKUP(A4,SizeData!A$2:B$3839,2,FALSE)</f>
        <v/>
      </c>
      <c r="D4" s="6" t="n">
        <v>1</v>
      </c>
      <c r="E4" s="6" t="inlineStr">
        <is>
          <t>R1761638</t>
        </is>
      </c>
      <c r="F4" s="2" t="n">
        <v>44807</v>
      </c>
      <c r="G4" s="1" t="n"/>
    </row>
    <row r="5">
      <c r="A5" s="6" t="n">
        <v>21236</v>
      </c>
      <c r="B5" s="6" t="inlineStr">
        <is>
          <t>1792 SMALL BATCH BOURBON</t>
        </is>
      </c>
      <c r="C5" s="7">
        <f>VLOOKUP(A5,SizeData!A$2:B$3839,2,FALSE)</f>
        <v/>
      </c>
      <c r="D5" s="6" t="n">
        <v>1</v>
      </c>
      <c r="E5" s="6" t="inlineStr">
        <is>
          <t>R1376605</t>
        </is>
      </c>
      <c r="F5" s="2" t="n">
        <v>44544</v>
      </c>
      <c r="G5" s="1" t="n"/>
    </row>
    <row r="6">
      <c r="A6" s="6" t="n">
        <v>21236</v>
      </c>
      <c r="B6" s="6" t="inlineStr">
        <is>
          <t>1792 SMALL BATCH BOURBON</t>
        </is>
      </c>
      <c r="C6" s="7">
        <f>VLOOKUP(A6,SizeData!A$2:B$3839,2,FALSE)</f>
        <v/>
      </c>
      <c r="D6" s="6" t="n">
        <v>1</v>
      </c>
      <c r="E6" s="6" t="inlineStr">
        <is>
          <t>R1413566</t>
        </is>
      </c>
      <c r="F6" s="2" t="n">
        <v>44580</v>
      </c>
      <c r="G6" s="1" t="n"/>
    </row>
    <row r="7">
      <c r="A7" s="6" t="n">
        <v>21236</v>
      </c>
      <c r="B7" s="6" t="inlineStr">
        <is>
          <t>1792 SMALL BATCH BOURBON</t>
        </is>
      </c>
      <c r="C7" s="7">
        <f>VLOOKUP(A7,SizeData!A$2:B$3839,2,FALSE)</f>
        <v/>
      </c>
      <c r="D7" s="6" t="n">
        <v>1</v>
      </c>
      <c r="E7" s="6" t="inlineStr">
        <is>
          <t>R1471479</t>
        </is>
      </c>
      <c r="F7" s="2" t="n">
        <v>44614</v>
      </c>
      <c r="G7" s="1" t="n"/>
    </row>
    <row r="8">
      <c r="A8" s="6" t="n">
        <v>21236</v>
      </c>
      <c r="B8" s="6" t="inlineStr">
        <is>
          <t>1792 SMALL BATCH BOURBON</t>
        </is>
      </c>
      <c r="C8" s="7">
        <f>VLOOKUP(A8,SizeData!A$2:B$3839,2,FALSE)</f>
        <v/>
      </c>
      <c r="D8" s="6" t="n">
        <v>1</v>
      </c>
      <c r="E8" s="6" t="inlineStr">
        <is>
          <t>R1512696</t>
        </is>
      </c>
      <c r="F8" s="2" t="n">
        <v>44637</v>
      </c>
      <c r="G8" s="1" t="n"/>
    </row>
    <row r="9">
      <c r="A9" s="6" t="n">
        <v>21236</v>
      </c>
      <c r="B9" s="6" t="inlineStr">
        <is>
          <t>1792 SMALL BATCH BOURBON</t>
        </is>
      </c>
      <c r="C9" s="7">
        <f>VLOOKUP(A9,SizeData!A$2:B$3839,2,FALSE)</f>
        <v/>
      </c>
      <c r="D9" s="6" t="n">
        <v>1</v>
      </c>
      <c r="E9" s="6" t="inlineStr">
        <is>
          <t>R1568544</t>
        </is>
      </c>
      <c r="F9" s="2" t="n">
        <v>44669</v>
      </c>
      <c r="G9" s="1" t="n"/>
    </row>
    <row r="10">
      <c r="A10" s="6" t="n">
        <v>21236</v>
      </c>
      <c r="B10" s="6" t="inlineStr">
        <is>
          <t>1792 SMALL BATCH BOURBON</t>
        </is>
      </c>
      <c r="C10" s="7">
        <f>VLOOKUP(A10,SizeData!A$2:B$3839,2,FALSE)</f>
        <v/>
      </c>
      <c r="D10" s="6" t="n">
        <v>1</v>
      </c>
      <c r="E10" s="6" t="inlineStr">
        <is>
          <t>R1624762</t>
        </is>
      </c>
      <c r="F10" s="2" t="n">
        <v>44712</v>
      </c>
      <c r="G10" s="1" t="n"/>
      <c r="H10" s="38" t="n"/>
      <c r="I10" s="38" t="n"/>
    </row>
    <row r="11">
      <c r="A11" s="6" t="n">
        <v>21236</v>
      </c>
      <c r="B11" s="6" t="inlineStr">
        <is>
          <t>1792 SMALL BATCH BOURBON</t>
        </is>
      </c>
      <c r="C11" s="7">
        <f>VLOOKUP(A11,SizeData!A$2:B$3839,2,FALSE)</f>
        <v/>
      </c>
      <c r="D11" s="6" t="n">
        <v>1</v>
      </c>
      <c r="E11" s="6" t="inlineStr">
        <is>
          <t>R1809877</t>
        </is>
      </c>
      <c r="F11" s="2" t="n">
        <v>44851</v>
      </c>
      <c r="G11" s="1" t="n"/>
    </row>
    <row r="12">
      <c r="A12" s="6" t="n">
        <v>59192</v>
      </c>
      <c r="B12" s="6" t="inlineStr">
        <is>
          <t>1800 BLACK CHERRY ULTIMATE MARGARITA</t>
        </is>
      </c>
      <c r="C12" s="7">
        <f>VLOOKUP(A12,SizeData!A$2:B$3839,2,FALSE)</f>
        <v/>
      </c>
      <c r="D12" s="6" t="n">
        <v>2</v>
      </c>
      <c r="E12" s="6" t="inlineStr">
        <is>
          <t>R1383976</t>
        </is>
      </c>
      <c r="F12" s="2" t="n">
        <v>44561</v>
      </c>
      <c r="G12" s="1" t="n"/>
    </row>
    <row r="13">
      <c r="A13" s="6" t="n">
        <v>59192</v>
      </c>
      <c r="B13" s="6" t="inlineStr">
        <is>
          <t>1800 BLACK CHERRY ULTIMATE MARGARITA</t>
        </is>
      </c>
      <c r="C13" s="7">
        <f>VLOOKUP(A13,SizeData!A$2:B$3839,2,FALSE)</f>
        <v/>
      </c>
      <c r="D13" s="6" t="n">
        <v>3</v>
      </c>
      <c r="E13" s="6" t="inlineStr">
        <is>
          <t>R1529670</t>
        </is>
      </c>
      <c r="F13" s="2" t="n">
        <v>44652</v>
      </c>
      <c r="G13" s="1" t="n"/>
    </row>
    <row r="14">
      <c r="A14" s="6" t="n">
        <v>59192</v>
      </c>
      <c r="B14" s="6" t="inlineStr">
        <is>
          <t>1800 BLACK CHERRY ULTIMATE MARGARITA</t>
        </is>
      </c>
      <c r="C14" s="7">
        <f>VLOOKUP(A14,SizeData!A$2:B$3839,2,FALSE)</f>
        <v/>
      </c>
      <c r="D14" s="6" t="n">
        <v>2</v>
      </c>
      <c r="E14" s="6" t="inlineStr">
        <is>
          <t>R1583381</t>
        </is>
      </c>
      <c r="F14" s="2" t="n">
        <v>44679</v>
      </c>
      <c r="G14" s="1" t="n"/>
    </row>
    <row r="15">
      <c r="A15" s="6" t="n">
        <v>59192</v>
      </c>
      <c r="B15" s="6" t="inlineStr">
        <is>
          <t>1800 BLACK CHERRY ULTIMATE MARGARITA</t>
        </is>
      </c>
      <c r="C15" s="7">
        <f>VLOOKUP(A15,SizeData!A$2:B$3839,2,FALSE)</f>
        <v/>
      </c>
      <c r="D15" s="6" t="n">
        <v>1</v>
      </c>
      <c r="E15" s="6" t="inlineStr">
        <is>
          <t>R1671975</t>
        </is>
      </c>
      <c r="F15" s="2" t="n">
        <v>44742</v>
      </c>
      <c r="G15" s="1" t="n"/>
    </row>
    <row r="16">
      <c r="A16" s="6" t="n">
        <v>64932</v>
      </c>
      <c r="B16" s="6" t="inlineStr">
        <is>
          <t>1800 COCONUT FLAVORED TEQUILA</t>
        </is>
      </c>
      <c r="C16" s="7">
        <f>VLOOKUP(A16,SizeData!A$2:B$3839,2,FALSE)</f>
        <v/>
      </c>
      <c r="D16" s="6" t="n">
        <v>1</v>
      </c>
      <c r="E16" s="6" t="inlineStr">
        <is>
          <t>R1650316</t>
        </is>
      </c>
      <c r="F16" s="2" t="n">
        <v>44714</v>
      </c>
      <c r="G16" s="1" t="n"/>
    </row>
    <row r="17">
      <c r="A17" s="31" t="n">
        <v>64932</v>
      </c>
      <c r="B17" s="31" t="inlineStr">
        <is>
          <t>1800 COCONUT FLAVORED TEQUILA</t>
        </is>
      </c>
      <c r="C17" s="7">
        <f>VLOOKUP(A17,SizeData!A$2:B$3839,2,FALSE)</f>
        <v/>
      </c>
      <c r="D17" s="31" t="n">
        <v>1</v>
      </c>
      <c r="E17" s="31" t="inlineStr">
        <is>
          <t>R1672578</t>
        </is>
      </c>
      <c r="F17" s="33" t="n">
        <v>44740</v>
      </c>
      <c r="G17" s="34" t="n"/>
    </row>
    <row r="18">
      <c r="A18" s="6" t="n">
        <v>64932</v>
      </c>
      <c r="B18" s="6" t="inlineStr">
        <is>
          <t>1800 COCONUT FLAVORED TEQUILA</t>
        </is>
      </c>
      <c r="C18" s="7">
        <f>VLOOKUP(A18,SizeData!A$2:B$3839,2,FALSE)</f>
        <v/>
      </c>
      <c r="D18" s="6" t="n">
        <v>6</v>
      </c>
      <c r="E18" s="6" t="inlineStr">
        <is>
          <t>R1750002</t>
        </is>
      </c>
      <c r="F18" s="2" t="n">
        <v>44776</v>
      </c>
      <c r="G18" s="1" t="n"/>
    </row>
    <row r="19">
      <c r="A19" s="6" t="n">
        <v>64932</v>
      </c>
      <c r="B19" s="6" t="inlineStr">
        <is>
          <t>1800 COCONUT FLAVORED TEQUILA</t>
        </is>
      </c>
      <c r="C19" s="7">
        <f>VLOOKUP(A19,SizeData!A$2:B$3839,2,FALSE)</f>
        <v/>
      </c>
      <c r="D19" s="6" t="n">
        <v>2</v>
      </c>
      <c r="E19" s="6" t="inlineStr">
        <is>
          <t>R1727741</t>
        </is>
      </c>
      <c r="F19" s="2" t="n">
        <v>44786</v>
      </c>
      <c r="G19" s="1" t="n"/>
    </row>
    <row r="20">
      <c r="A20" s="26" t="n">
        <v>64932</v>
      </c>
      <c r="B20" s="26" t="inlineStr">
        <is>
          <t>1800 COCONUT FLAVORED TEQUILA</t>
        </is>
      </c>
      <c r="C20" s="7">
        <f>VLOOKUP(A20,SizeData!A$2:B$3839,2,FALSE)</f>
        <v/>
      </c>
      <c r="D20" s="26" t="n">
        <v>4</v>
      </c>
      <c r="E20" s="26" t="inlineStr">
        <is>
          <t>R1727741</t>
        </is>
      </c>
      <c r="F20" s="61" t="n">
        <v>44786</v>
      </c>
      <c r="G20" s="62" t="n"/>
    </row>
    <row r="21">
      <c r="A21" s="6" t="n">
        <v>64933</v>
      </c>
      <c r="B21" s="6" t="inlineStr">
        <is>
          <t>1800 COCONUT FLAVORED TEQUILA</t>
        </is>
      </c>
      <c r="C21" s="7">
        <f>VLOOKUP(A21,SizeData!A$2:B$3839,2,FALSE)</f>
        <v/>
      </c>
      <c r="D21" s="6" t="n">
        <v>1</v>
      </c>
      <c r="E21" s="6" t="inlineStr">
        <is>
          <t>R1383976</t>
        </is>
      </c>
      <c r="F21" s="2" t="n">
        <v>44561</v>
      </c>
      <c r="G21" s="1" t="n"/>
    </row>
    <row r="22">
      <c r="A22" s="6" t="n">
        <v>64933</v>
      </c>
      <c r="B22" s="6" t="inlineStr">
        <is>
          <t>1800 COCONUT FLAVORED TEQUILA</t>
        </is>
      </c>
      <c r="C22" s="7">
        <f>VLOOKUP(A22,SizeData!A$2:B$3839,2,FALSE)</f>
        <v/>
      </c>
      <c r="D22" s="6" t="n">
        <v>1</v>
      </c>
      <c r="E22" s="6" t="inlineStr">
        <is>
          <t>R1489956</t>
        </is>
      </c>
      <c r="F22" s="2" t="n">
        <v>44631</v>
      </c>
      <c r="G22" s="1" t="n"/>
    </row>
    <row r="23">
      <c r="A23" s="6" t="n">
        <v>64933</v>
      </c>
      <c r="B23" s="6" t="inlineStr">
        <is>
          <t>1800 COCONUT FLAVORED TEQUILA</t>
        </is>
      </c>
      <c r="C23" s="7">
        <f>VLOOKUP(A23,SizeData!A$2:B$3839,2,FALSE)</f>
        <v/>
      </c>
      <c r="D23" s="6" t="n">
        <v>1</v>
      </c>
      <c r="E23" s="6" t="inlineStr">
        <is>
          <t>R1512696</t>
        </is>
      </c>
      <c r="F23" s="2" t="n">
        <v>44637</v>
      </c>
      <c r="G23" s="1" t="n"/>
    </row>
    <row r="24">
      <c r="A24" s="6" t="n">
        <v>64933</v>
      </c>
      <c r="B24" s="6" t="inlineStr">
        <is>
          <t>1800 COCONUT FLAVORED TEQUILA</t>
        </is>
      </c>
      <c r="C24" s="7">
        <f>VLOOKUP(A24,SizeData!A$2:B$3839,2,FALSE)</f>
        <v/>
      </c>
      <c r="D24" s="6" t="n">
        <v>2</v>
      </c>
      <c r="E24" s="6" t="inlineStr">
        <is>
          <t>R1550755</t>
        </is>
      </c>
      <c r="F24" s="2" t="n">
        <v>44650</v>
      </c>
      <c r="G24" s="1" t="n"/>
    </row>
    <row r="25">
      <c r="A25" s="6" t="n">
        <v>64933</v>
      </c>
      <c r="B25" s="6" t="inlineStr">
        <is>
          <t>1800 COCONUT FLAVORED TEQUILA</t>
        </is>
      </c>
      <c r="C25" s="7">
        <f>VLOOKUP(A25,SizeData!A$2:B$3839,2,FALSE)</f>
        <v/>
      </c>
      <c r="D25" s="6" t="n">
        <v>1</v>
      </c>
      <c r="E25" s="6" t="inlineStr">
        <is>
          <t>R1683818</t>
        </is>
      </c>
      <c r="F25" s="2" t="n">
        <v>44754</v>
      </c>
      <c r="G25" s="1" t="n"/>
    </row>
    <row r="26">
      <c r="A26" s="6" t="n">
        <v>64933</v>
      </c>
      <c r="B26" s="6" t="inlineStr">
        <is>
          <t>1800 COCONUT FLAVORED TEQUILA</t>
        </is>
      </c>
      <c r="C26" s="7">
        <f>VLOOKUP(A26,SizeData!A$2:B$3839,2,FALSE)</f>
        <v/>
      </c>
      <c r="D26" s="6" t="n">
        <v>1</v>
      </c>
      <c r="E26" s="6" t="inlineStr">
        <is>
          <t>R1699078</t>
        </is>
      </c>
      <c r="F26" s="2" t="n">
        <v>44769</v>
      </c>
      <c r="G26" s="1" t="n"/>
    </row>
    <row r="27">
      <c r="A27" s="6" t="n">
        <v>89204</v>
      </c>
      <c r="B27" s="6" t="inlineStr">
        <is>
          <t>1800 REPOSADO TEQUILA</t>
        </is>
      </c>
      <c r="C27" s="7">
        <f>VLOOKUP(A27,SizeData!A$2:B$3839,2,FALSE)</f>
        <v/>
      </c>
      <c r="D27" s="6" t="n">
        <v>2</v>
      </c>
      <c r="E27" s="6" t="inlineStr">
        <is>
          <t>R1472202</t>
        </is>
      </c>
      <c r="F27" s="2" t="n">
        <v>44608</v>
      </c>
      <c r="G27" s="1" t="n"/>
    </row>
    <row r="28">
      <c r="A28" s="6" t="n">
        <v>89204</v>
      </c>
      <c r="B28" s="6" t="inlineStr">
        <is>
          <t>1800 REPOSADO TEQUILA</t>
        </is>
      </c>
      <c r="C28" s="7">
        <f>VLOOKUP(A28,SizeData!A$2:B$3839,2,FALSE)</f>
        <v/>
      </c>
      <c r="D28" s="6" t="n">
        <v>1</v>
      </c>
      <c r="E28" s="6" t="inlineStr">
        <is>
          <t>R1569610</t>
        </is>
      </c>
      <c r="F28" s="2" t="n">
        <v>44669</v>
      </c>
      <c r="G28" s="1" t="n"/>
    </row>
    <row r="29">
      <c r="A29" s="6" t="n">
        <v>89204</v>
      </c>
      <c r="B29" s="6" t="inlineStr">
        <is>
          <t>1800 REPOSADO TEQUILA</t>
        </is>
      </c>
      <c r="C29" s="7">
        <f>VLOOKUP(A29,SizeData!A$2:B$3839,2,FALSE)</f>
        <v/>
      </c>
      <c r="D29" s="6" t="n">
        <v>2</v>
      </c>
      <c r="E29" s="6" t="inlineStr">
        <is>
          <t>R1587377</t>
        </is>
      </c>
      <c r="F29" s="2" t="n">
        <v>44681</v>
      </c>
      <c r="G29" s="1" t="n"/>
    </row>
    <row r="30">
      <c r="A30" s="6" t="n">
        <v>89206</v>
      </c>
      <c r="B30" s="6" t="inlineStr">
        <is>
          <t>1800 REPOSADO TEQUILA</t>
        </is>
      </c>
      <c r="C30" s="7">
        <f>VLOOKUP(A30,SizeData!A$2:B$3839,2,FALSE)</f>
        <v/>
      </c>
      <c r="D30" s="6" t="n">
        <v>2</v>
      </c>
      <c r="E30" s="6" t="inlineStr">
        <is>
          <t>R1489956</t>
        </is>
      </c>
      <c r="F30" s="2" t="n">
        <v>44631</v>
      </c>
      <c r="G30" s="1" t="n"/>
    </row>
    <row r="31">
      <c r="A31" s="6" t="n">
        <v>89206</v>
      </c>
      <c r="B31" s="6" t="inlineStr">
        <is>
          <t>1800 REPOSADO TEQUILA</t>
        </is>
      </c>
      <c r="C31" s="7">
        <f>VLOOKUP(A31,SizeData!A$2:B$3839,2,FALSE)</f>
        <v/>
      </c>
      <c r="D31" s="6" t="n">
        <v>3</v>
      </c>
      <c r="E31" s="6" t="inlineStr">
        <is>
          <t>R1550755</t>
        </is>
      </c>
      <c r="F31" s="2" t="n">
        <v>44650</v>
      </c>
      <c r="G31" s="1" t="n"/>
    </row>
    <row r="32" customFormat="1" s="42">
      <c r="A32" s="31" t="n">
        <v>89206</v>
      </c>
      <c r="B32" s="31" t="inlineStr">
        <is>
          <t>1800 REPOSADO TEQUILA</t>
        </is>
      </c>
      <c r="C32" s="7">
        <f>VLOOKUP(A32,SizeData!A$2:B$3839,2,FALSE)</f>
        <v/>
      </c>
      <c r="D32" s="31" t="n">
        <v>2</v>
      </c>
      <c r="E32" s="31" t="inlineStr">
        <is>
          <t>R1560319</t>
        </is>
      </c>
      <c r="F32" s="33" t="n">
        <v>44651</v>
      </c>
      <c r="G32" s="34" t="n"/>
    </row>
    <row r="33">
      <c r="A33" s="6" t="n">
        <v>89208</v>
      </c>
      <c r="B33" s="6" t="inlineStr">
        <is>
          <t>1800 REPOSADO TEQUILA</t>
        </is>
      </c>
      <c r="C33" s="7">
        <f>VLOOKUP(A33,SizeData!A$2:B$3839,2,FALSE)</f>
        <v/>
      </c>
      <c r="D33" s="6" t="n">
        <v>4</v>
      </c>
      <c r="E33" s="6" t="inlineStr">
        <is>
          <t>R1573895</t>
        </is>
      </c>
      <c r="F33" s="2" t="n">
        <v>44677</v>
      </c>
      <c r="G33" s="1" t="n"/>
    </row>
    <row r="34">
      <c r="A34" s="6" t="n">
        <v>87513</v>
      </c>
      <c r="B34" s="6" t="inlineStr">
        <is>
          <t>1800 SILVER TEQUILA</t>
        </is>
      </c>
      <c r="C34" s="7">
        <f>VLOOKUP(A34,SizeData!A$2:B$3839,2,FALSE)</f>
        <v/>
      </c>
      <c r="D34" s="6" t="n">
        <v>5</v>
      </c>
      <c r="E34" s="6" t="inlineStr">
        <is>
          <t>R1529670</t>
        </is>
      </c>
      <c r="F34" s="2" t="n">
        <v>44652</v>
      </c>
      <c r="G34" s="1" t="n"/>
    </row>
    <row r="35" customFormat="1" s="35">
      <c r="A35" s="6" t="n">
        <v>87513</v>
      </c>
      <c r="B35" s="6" t="inlineStr">
        <is>
          <t>1800 SILVER TEQUILA</t>
        </is>
      </c>
      <c r="C35" s="7">
        <f>VLOOKUP(A35,SizeData!A$2:B$3839,2,FALSE)</f>
        <v/>
      </c>
      <c r="D35" s="6" t="n">
        <v>15</v>
      </c>
      <c r="E35" s="6" t="inlineStr">
        <is>
          <t>R1572421</t>
        </is>
      </c>
      <c r="F35" s="2" t="n">
        <v>44667</v>
      </c>
      <c r="G35" s="1" t="n"/>
    </row>
    <row r="36" customFormat="1" s="35">
      <c r="A36" s="6" t="n">
        <v>87513</v>
      </c>
      <c r="B36" s="6" t="inlineStr">
        <is>
          <t>1800 SILVER TEQUILA</t>
        </is>
      </c>
      <c r="C36" s="7">
        <f>VLOOKUP(A36,SizeData!A$2:B$3839,2,FALSE)</f>
        <v/>
      </c>
      <c r="D36" s="6" t="n">
        <v>10</v>
      </c>
      <c r="E36" s="6" t="inlineStr">
        <is>
          <t>R1573895</t>
        </is>
      </c>
      <c r="F36" s="2" t="n">
        <v>44677</v>
      </c>
      <c r="G36" s="1" t="n"/>
    </row>
    <row r="37" customFormat="1" s="35">
      <c r="A37" s="6" t="n">
        <v>87513</v>
      </c>
      <c r="B37" s="6" t="inlineStr">
        <is>
          <t>1800 SILVER TEQUILA</t>
        </is>
      </c>
      <c r="C37" s="7">
        <f>VLOOKUP(A37,SizeData!A$2:B$3839,2,FALSE)</f>
        <v/>
      </c>
      <c r="D37" s="6" t="n">
        <v>5</v>
      </c>
      <c r="E37" s="6" t="inlineStr">
        <is>
          <t>R1577697</t>
        </is>
      </c>
      <c r="F37" s="2" t="n">
        <v>44677</v>
      </c>
      <c r="G37" s="1" t="n"/>
    </row>
    <row r="38">
      <c r="A38" s="6" t="n">
        <v>87513</v>
      </c>
      <c r="B38" s="6" t="inlineStr">
        <is>
          <t>1800 SILVER TEQUILA</t>
        </is>
      </c>
      <c r="C38" s="7">
        <f>VLOOKUP(A38,SizeData!A$2:B$3839,2,FALSE)</f>
        <v/>
      </c>
      <c r="D38" s="6" t="n">
        <v>7</v>
      </c>
      <c r="E38" s="6" t="inlineStr">
        <is>
          <t>R1585685</t>
        </is>
      </c>
      <c r="F38" s="2" t="n">
        <v>44679</v>
      </c>
      <c r="G38" s="1" t="n"/>
    </row>
    <row r="39">
      <c r="A39" s="6" t="n">
        <v>87513</v>
      </c>
      <c r="B39" s="6" t="inlineStr">
        <is>
          <t>1800 SILVER TEQUILA</t>
        </is>
      </c>
      <c r="C39" s="7">
        <f>VLOOKUP(A39,SizeData!A$2:B$3839,2,FALSE)</f>
        <v/>
      </c>
      <c r="D39" s="6" t="n">
        <v>7</v>
      </c>
      <c r="E39" s="6" t="inlineStr">
        <is>
          <t>R1856811</t>
        </is>
      </c>
      <c r="F39" s="2" t="n">
        <v>44868</v>
      </c>
      <c r="G39" s="1" t="n"/>
    </row>
    <row r="40">
      <c r="A40" s="26" t="n">
        <v>87513</v>
      </c>
      <c r="B40" s="26" t="inlineStr">
        <is>
          <t>1800 SILVER TEQUILA</t>
        </is>
      </c>
      <c r="C40" s="75">
        <f>VLOOKUP(A40,SizeData!A$2:B$3839,2,FALSE)</f>
        <v/>
      </c>
      <c r="D40" s="26" t="n">
        <v>10</v>
      </c>
      <c r="E40" s="26" t="inlineStr">
        <is>
          <t>R1868085</t>
        </is>
      </c>
      <c r="F40" s="61" t="n">
        <v>44890</v>
      </c>
      <c r="G40" s="62" t="n"/>
    </row>
    <row r="41">
      <c r="A41" s="6" t="n">
        <v>87564</v>
      </c>
      <c r="B41" s="6" t="inlineStr">
        <is>
          <t>1800 SILVER</t>
        </is>
      </c>
      <c r="C41" s="7">
        <f>VLOOKUP(A41,SizeData!A$2:B$3839,2,FALSE)</f>
        <v/>
      </c>
      <c r="D41" s="6" t="n">
        <v>5</v>
      </c>
      <c r="E41" s="6" t="inlineStr">
        <is>
          <t>R1567357</t>
        </is>
      </c>
      <c r="F41" s="2" t="n">
        <v>44665</v>
      </c>
      <c r="G41" s="1" t="n"/>
    </row>
    <row r="42">
      <c r="A42" s="31" t="n">
        <v>87507</v>
      </c>
      <c r="B42" s="31" t="inlineStr">
        <is>
          <t>1800 SILVER TEQUILA</t>
        </is>
      </c>
      <c r="C42" s="32">
        <f>VLOOKUP(A42,SizeData!A$2:B$3839,2,FALSE)</f>
        <v/>
      </c>
      <c r="D42" s="31" t="n">
        <v>1</v>
      </c>
      <c r="E42" s="31" t="inlineStr">
        <is>
          <t>R1413566</t>
        </is>
      </c>
      <c r="F42" s="33" t="n">
        <v>44580</v>
      </c>
      <c r="G42" s="34" t="n"/>
    </row>
    <row r="43">
      <c r="A43" s="31" t="n">
        <v>87507</v>
      </c>
      <c r="B43" s="31" t="inlineStr">
        <is>
          <t>1800 SILVER TEQUILA</t>
        </is>
      </c>
      <c r="C43" s="32">
        <f>VLOOKUP(A43,SizeData!A$2:B$3839,2,FALSE)</f>
        <v/>
      </c>
      <c r="D43" s="31" t="n">
        <v>1</v>
      </c>
      <c r="E43" s="31" t="inlineStr">
        <is>
          <t>R1592767</t>
        </is>
      </c>
      <c r="F43" s="33" t="n">
        <v>44683</v>
      </c>
      <c r="G43" s="34" t="n"/>
    </row>
    <row r="44">
      <c r="A44" s="6" t="n">
        <v>87509</v>
      </c>
      <c r="B44" s="6" t="inlineStr">
        <is>
          <t>1800 SILVER TEQUILA</t>
        </is>
      </c>
      <c r="C44" s="7">
        <f>VLOOKUP(A44,SizeData!A$2:B$3839,2,FALSE)</f>
        <v/>
      </c>
      <c r="D44" s="6" t="n">
        <v>8</v>
      </c>
      <c r="E44" s="6" t="inlineStr">
        <is>
          <t>R1390043</t>
        </is>
      </c>
      <c r="F44" s="2" t="n">
        <v>44552</v>
      </c>
      <c r="G44" s="1" t="n"/>
    </row>
    <row r="45">
      <c r="A45" s="31" t="n">
        <v>87509</v>
      </c>
      <c r="B45" s="31" t="inlineStr">
        <is>
          <t>1800 SILVER TEQUILA</t>
        </is>
      </c>
      <c r="C45" s="32">
        <f>VLOOKUP(A45,SizeData!A$2:B$3839,2,FALSE)</f>
        <v/>
      </c>
      <c r="D45" s="31" t="n">
        <v>10</v>
      </c>
      <c r="E45" s="31" t="inlineStr">
        <is>
          <t>R1483559</t>
        </is>
      </c>
      <c r="F45" s="33" t="n">
        <v>44622</v>
      </c>
      <c r="G45" s="34" t="n"/>
    </row>
    <row r="46">
      <c r="A46" s="6" t="n">
        <v>87509</v>
      </c>
      <c r="B46" s="6" t="inlineStr">
        <is>
          <t>1800 SILVER TEQUILA</t>
        </is>
      </c>
      <c r="C46" s="7">
        <f>VLOOKUP(A46,SizeData!A$2:B$3839,2,FALSE)</f>
        <v/>
      </c>
      <c r="D46" s="6" t="n">
        <v>2</v>
      </c>
      <c r="E46" s="6" t="inlineStr">
        <is>
          <t>R1625943</t>
        </is>
      </c>
      <c r="F46" s="2" t="n">
        <v>44707</v>
      </c>
      <c r="G46" s="1" t="n"/>
    </row>
    <row r="47">
      <c r="A47" s="6" t="n">
        <v>87509</v>
      </c>
      <c r="B47" s="6" t="inlineStr">
        <is>
          <t>1800 SILVER TEQUILA</t>
        </is>
      </c>
      <c r="C47" s="7">
        <f>VLOOKUP(A47,SizeData!A$2:B$3839,2,FALSE)</f>
        <v/>
      </c>
      <c r="D47" s="6" t="n">
        <v>3</v>
      </c>
      <c r="E47" s="6" t="inlineStr">
        <is>
          <t>R1624762</t>
        </is>
      </c>
      <c r="F47" s="2" t="n">
        <v>44712</v>
      </c>
      <c r="G47" s="1" t="n"/>
    </row>
    <row r="48">
      <c r="A48" s="6" t="n">
        <v>87509</v>
      </c>
      <c r="B48" s="6" t="inlineStr">
        <is>
          <t>1800 SILVER TEQUILA</t>
        </is>
      </c>
      <c r="C48" s="7">
        <f>VLOOKUP(A48,SizeData!A$2:B$3839,2,FALSE)</f>
        <v/>
      </c>
      <c r="D48" s="6" t="n">
        <v>2</v>
      </c>
      <c r="E48" s="6" t="inlineStr">
        <is>
          <t>R1658904</t>
        </is>
      </c>
      <c r="F48" s="2" t="n">
        <v>44732</v>
      </c>
      <c r="G48" s="1" t="n"/>
    </row>
    <row r="49">
      <c r="A49" s="6" t="n">
        <v>87509</v>
      </c>
      <c r="B49" s="6" t="inlineStr">
        <is>
          <t>1800 SILVER TEQUILA</t>
        </is>
      </c>
      <c r="C49" s="7">
        <f>VLOOKUP(A49,SizeData!A$2:B$3839,2,FALSE)</f>
        <v/>
      </c>
      <c r="D49" s="6" t="n">
        <v>2</v>
      </c>
      <c r="E49" s="6" t="inlineStr">
        <is>
          <t>R1660842</t>
        </is>
      </c>
      <c r="F49" s="2" t="n">
        <v>44732</v>
      </c>
      <c r="G49" s="1" t="n"/>
    </row>
    <row r="50">
      <c r="A50" s="31" t="n">
        <v>87509</v>
      </c>
      <c r="B50" s="31" t="inlineStr">
        <is>
          <t>1800 SILVER TEQUILA</t>
        </is>
      </c>
      <c r="C50" s="7">
        <f>VLOOKUP(A50,SizeData!A$2:B$3839,2,FALSE)</f>
        <v/>
      </c>
      <c r="D50" s="31" t="n">
        <v>10</v>
      </c>
      <c r="E50" s="31" t="inlineStr">
        <is>
          <t>R1653897</t>
        </is>
      </c>
      <c r="F50" s="33" t="n">
        <v>44738</v>
      </c>
      <c r="G50" s="34" t="n"/>
    </row>
    <row r="51">
      <c r="A51" s="6" t="n">
        <v>87509</v>
      </c>
      <c r="B51" s="6" t="inlineStr">
        <is>
          <t>1800 SILVER TEQUILA</t>
        </is>
      </c>
      <c r="C51" s="7">
        <f>VLOOKUP(A51,SizeData!A$2:B$3839,2,FALSE)</f>
        <v/>
      </c>
      <c r="D51" s="6" t="n">
        <v>18</v>
      </c>
      <c r="E51" s="6" t="inlineStr">
        <is>
          <t>R1709113</t>
        </is>
      </c>
      <c r="F51" s="2" t="n">
        <v>44774</v>
      </c>
      <c r="G51" s="1" t="n"/>
    </row>
    <row r="52">
      <c r="A52" s="6" t="n">
        <v>87509</v>
      </c>
      <c r="B52" s="6" t="inlineStr">
        <is>
          <t>1800 SILVER TEQUILA</t>
        </is>
      </c>
      <c r="C52" s="7">
        <f>VLOOKUP(A52,SizeData!A$2:B$3839,2,FALSE)</f>
        <v/>
      </c>
      <c r="D52" s="6" t="n">
        <v>18</v>
      </c>
      <c r="E52" s="6" t="inlineStr">
        <is>
          <t>R1712076</t>
        </is>
      </c>
      <c r="F52" s="2" t="n">
        <v>44774</v>
      </c>
      <c r="G52" s="1" t="n"/>
    </row>
    <row r="53">
      <c r="A53" s="6" t="n">
        <v>87509</v>
      </c>
      <c r="B53" s="6" t="inlineStr">
        <is>
          <t>1800 SILVER TEQUILA</t>
        </is>
      </c>
      <c r="C53" s="7">
        <f>VLOOKUP(A53,SizeData!A$2:B$3839,2,FALSE)</f>
        <v/>
      </c>
      <c r="D53" s="6" t="n">
        <v>18</v>
      </c>
      <c r="E53" s="6" t="inlineStr">
        <is>
          <t>R1712077</t>
        </is>
      </c>
      <c r="F53" s="2" t="n">
        <v>44774</v>
      </c>
      <c r="G53" s="1" t="n"/>
    </row>
    <row r="54">
      <c r="A54" s="6" t="n">
        <v>87509</v>
      </c>
      <c r="B54" s="6" t="inlineStr">
        <is>
          <t>1800 SILVER TEQUILA</t>
        </is>
      </c>
      <c r="C54" s="7">
        <f>VLOOKUP(A54,SizeData!A$2:B$3839,2,FALSE)</f>
        <v/>
      </c>
      <c r="D54" s="6" t="n">
        <v>65</v>
      </c>
      <c r="E54" s="6" t="inlineStr">
        <is>
          <t>R1708681</t>
        </is>
      </c>
      <c r="F54" s="2" t="n">
        <v>44776</v>
      </c>
      <c r="G54" s="1" t="n"/>
    </row>
    <row r="55">
      <c r="A55" s="6" t="n">
        <v>87509</v>
      </c>
      <c r="B55" s="6" t="inlineStr">
        <is>
          <t xml:space="preserve">1800 SILVER TEQUILA                                     </t>
        </is>
      </c>
      <c r="C55" s="7">
        <f>VLOOKUP(A55,SizeData!A$2:B$3839,2,FALSE)</f>
        <v/>
      </c>
      <c r="D55" s="6" t="n">
        <v>18</v>
      </c>
      <c r="E55" s="6" t="inlineStr">
        <is>
          <t>R1715356</t>
        </is>
      </c>
      <c r="F55" s="2" t="n">
        <v>44774</v>
      </c>
      <c r="G55" s="1" t="n"/>
    </row>
    <row r="56">
      <c r="A56" s="6" t="n">
        <v>87510</v>
      </c>
      <c r="B56" s="6" t="inlineStr">
        <is>
          <t>1800 SILVER TEQUILA</t>
        </is>
      </c>
      <c r="C56" s="7">
        <f>VLOOKUP(A56,SizeData!A$2:B$3839,2,FALSE)</f>
        <v/>
      </c>
      <c r="D56" s="6" t="n">
        <v>2</v>
      </c>
      <c r="E56" s="6" t="inlineStr">
        <is>
          <t>R1390043</t>
        </is>
      </c>
      <c r="F56" s="2" t="n">
        <v>44552</v>
      </c>
      <c r="G56" s="1" t="n"/>
    </row>
    <row r="57">
      <c r="A57" s="6" t="n">
        <v>87510</v>
      </c>
      <c r="B57" s="6" t="inlineStr">
        <is>
          <t>1800 SILVER TEQUILA</t>
        </is>
      </c>
      <c r="C57" s="7">
        <f>VLOOKUP(A57,SizeData!A$2:B$3839,2,FALSE)</f>
        <v/>
      </c>
      <c r="D57" s="6" t="n">
        <v>4</v>
      </c>
      <c r="E57" s="6" t="inlineStr">
        <is>
          <t>R1393111</t>
        </is>
      </c>
      <c r="F57" s="2" t="n">
        <v>44559</v>
      </c>
      <c r="G57" s="1" t="n"/>
    </row>
    <row r="58">
      <c r="A58" s="6" t="n">
        <v>87510</v>
      </c>
      <c r="B58" s="6" t="inlineStr">
        <is>
          <t>1800 SILVER TEQUILA</t>
        </is>
      </c>
      <c r="C58" s="7">
        <f>VLOOKUP(A58,SizeData!A$2:B$3839,2,FALSE)</f>
        <v/>
      </c>
      <c r="D58" s="6" t="n">
        <v>4</v>
      </c>
      <c r="E58" s="6" t="inlineStr">
        <is>
          <t>R1525413</t>
        </is>
      </c>
      <c r="F58" s="2" t="n">
        <v>44631</v>
      </c>
      <c r="G58" s="1" t="n"/>
    </row>
    <row r="59">
      <c r="A59" s="6" t="n">
        <v>87510</v>
      </c>
      <c r="B59" s="6" t="inlineStr">
        <is>
          <t>1800 SILVER TEQUILA</t>
        </is>
      </c>
      <c r="C59" s="7">
        <f>VLOOKUP(A59,SizeData!A$2:B$3839,2,FALSE)</f>
        <v/>
      </c>
      <c r="D59" s="6" t="n">
        <v>2</v>
      </c>
      <c r="E59" s="6" t="inlineStr">
        <is>
          <t>R1512696</t>
        </is>
      </c>
      <c r="F59" s="2" t="n">
        <v>44637</v>
      </c>
      <c r="G59" s="1" t="n"/>
    </row>
    <row r="60">
      <c r="A60" s="6" t="n">
        <v>87510</v>
      </c>
      <c r="B60" s="6" t="inlineStr">
        <is>
          <t>1800 SILVER TEQUILA</t>
        </is>
      </c>
      <c r="C60" s="7">
        <f>VLOOKUP(A60,SizeData!A$2:B$3839,2,FALSE)</f>
        <v/>
      </c>
      <c r="D60" s="6" t="n">
        <v>2</v>
      </c>
      <c r="E60" s="6" t="inlineStr">
        <is>
          <t>R1545849</t>
        </is>
      </c>
      <c r="F60" s="2" t="n">
        <v>44648</v>
      </c>
      <c r="G60" s="1" t="n"/>
    </row>
    <row r="61">
      <c r="A61" s="6" t="n">
        <v>87510</v>
      </c>
      <c r="B61" s="6" t="inlineStr">
        <is>
          <t>1800 SILVER TEQUILA</t>
        </is>
      </c>
      <c r="C61" s="7">
        <f>VLOOKUP(A61,SizeData!A$2:B$3839,2,FALSE)</f>
        <v/>
      </c>
      <c r="D61" s="6" t="n">
        <v>6</v>
      </c>
      <c r="E61" s="6" t="inlineStr">
        <is>
          <t>R1550755</t>
        </is>
      </c>
      <c r="F61" s="2" t="n">
        <v>44650</v>
      </c>
      <c r="G61" s="1" t="n"/>
    </row>
    <row r="62">
      <c r="A62" s="6" t="n">
        <v>87510</v>
      </c>
      <c r="B62" s="6" t="inlineStr">
        <is>
          <t>1800 SILVER TEQUILA</t>
        </is>
      </c>
      <c r="C62" s="7">
        <f>VLOOKUP(A62,SizeData!A$2:B$3839,2,FALSE)</f>
        <v/>
      </c>
      <c r="D62" s="6" t="n">
        <v>5</v>
      </c>
      <c r="E62" s="6" t="inlineStr">
        <is>
          <t>R1551208</t>
        </is>
      </c>
      <c r="F62" s="2" t="n">
        <v>44651</v>
      </c>
      <c r="G62" s="1" t="n"/>
    </row>
    <row r="63">
      <c r="A63" s="6" t="n">
        <v>87510</v>
      </c>
      <c r="B63" s="6" t="inlineStr">
        <is>
          <t>1800 SILVER TEQUILA</t>
        </is>
      </c>
      <c r="C63" s="7">
        <f>VLOOKUP(A63,SizeData!A$2:B$3839,2,FALSE)</f>
        <v/>
      </c>
      <c r="D63" s="6" t="n">
        <v>20</v>
      </c>
      <c r="E63" s="6" t="inlineStr">
        <is>
          <t>R1560319</t>
        </is>
      </c>
      <c r="F63" s="2" t="n">
        <v>44651</v>
      </c>
      <c r="G63" s="1" t="n"/>
    </row>
    <row r="64">
      <c r="A64" s="6" t="n">
        <v>59185</v>
      </c>
      <c r="B64" s="6" t="inlineStr">
        <is>
          <t>1800 ULTIMATE BLOOD ORANGE MARGARITA PET</t>
        </is>
      </c>
      <c r="C64" s="7">
        <f>VLOOKUP(A64,SizeData!A$2:B$3839,2,FALSE)</f>
        <v/>
      </c>
      <c r="D64" s="6" t="n">
        <v>1</v>
      </c>
      <c r="E64" s="6" t="inlineStr">
        <is>
          <t>R1704437</t>
        </is>
      </c>
      <c r="F64" s="2" t="n">
        <v>44775</v>
      </c>
      <c r="G64" s="1" t="n"/>
    </row>
    <row r="65">
      <c r="A65" s="31" t="n">
        <v>59182</v>
      </c>
      <c r="B65" s="31" t="inlineStr">
        <is>
          <t>1800 ULTIMATE MANGO MARGARITA RTD PET</t>
        </is>
      </c>
      <c r="C65" s="7">
        <f>VLOOKUP(A65,SizeData!A$2:B$3839,2,FALSE)</f>
        <v/>
      </c>
      <c r="D65" s="31" t="n">
        <v>10</v>
      </c>
      <c r="E65" s="31" t="inlineStr">
        <is>
          <t>R1550659</t>
        </is>
      </c>
      <c r="F65" s="33" t="n">
        <v>44652</v>
      </c>
      <c r="G65" s="34" t="n"/>
    </row>
    <row r="66">
      <c r="A66" s="31" t="n">
        <v>59182</v>
      </c>
      <c r="B66" s="31" t="inlineStr">
        <is>
          <t>1800 ULTIMATE MANGO MARGARITA RTD PET</t>
        </is>
      </c>
      <c r="C66" s="7">
        <f>VLOOKUP(A66,SizeData!A$2:B$3839,2,FALSE)</f>
        <v/>
      </c>
      <c r="D66" s="31" t="n">
        <v>1</v>
      </c>
      <c r="E66" s="31" t="inlineStr">
        <is>
          <t>R1648489</t>
        </is>
      </c>
      <c r="F66" s="33" t="n">
        <v>44736</v>
      </c>
      <c r="G66" s="34" t="n"/>
    </row>
    <row r="67">
      <c r="A67" s="31" t="n">
        <v>59182</v>
      </c>
      <c r="B67" s="31" t="inlineStr">
        <is>
          <t>1800 ULTIMATE MANGO MARGARITA RTD PET</t>
        </is>
      </c>
      <c r="C67" s="7">
        <f>VLOOKUP(A67,SizeData!A$2:B$3839,2,FALSE)</f>
        <v/>
      </c>
      <c r="D67" s="31" t="n">
        <v>1</v>
      </c>
      <c r="E67" s="31" t="inlineStr">
        <is>
          <t>R1648489</t>
        </is>
      </c>
      <c r="F67" s="33" t="n">
        <v>44736</v>
      </c>
      <c r="G67" s="34" t="n"/>
    </row>
    <row r="68">
      <c r="A68" s="6" t="n">
        <v>59154</v>
      </c>
      <c r="B68" s="6" t="inlineStr">
        <is>
          <t>1800 ULTIMATE MARGARITA RTD</t>
        </is>
      </c>
      <c r="C68" s="7">
        <f>VLOOKUP(A68,SizeData!A$2:B$3839,2,FALSE)</f>
        <v/>
      </c>
      <c r="D68" s="6" t="n">
        <v>2</v>
      </c>
      <c r="E68" s="6" t="inlineStr">
        <is>
          <t>R1439543</t>
        </is>
      </c>
      <c r="F68" s="2" t="n">
        <v>44594</v>
      </c>
      <c r="G68" s="1" t="n"/>
    </row>
    <row r="69">
      <c r="A69" s="6" t="n">
        <v>59154</v>
      </c>
      <c r="B69" s="6" t="inlineStr">
        <is>
          <t>1800 ULTIMATE MARGARITA RTD</t>
        </is>
      </c>
      <c r="C69" s="7">
        <f>VLOOKUP(A69,SizeData!A$2:B$3839,2,FALSE)</f>
        <v/>
      </c>
      <c r="D69" s="6" t="n">
        <v>1</v>
      </c>
      <c r="E69" s="6" t="inlineStr">
        <is>
          <t>R1497382</t>
        </is>
      </c>
      <c r="F69" s="2" t="n">
        <v>44627</v>
      </c>
      <c r="G69" s="1" t="n"/>
    </row>
    <row r="70">
      <c r="A70" s="6" t="n">
        <v>59154</v>
      </c>
      <c r="B70" s="6" t="inlineStr">
        <is>
          <t>1800 ULTIMATE MARGARITA RTD</t>
        </is>
      </c>
      <c r="C70" s="7">
        <f>VLOOKUP(A70,SizeData!A$2:B$3839,2,FALSE)</f>
        <v/>
      </c>
      <c r="D70" s="6" t="n">
        <v>6</v>
      </c>
      <c r="E70" s="6" t="inlineStr">
        <is>
          <t>R1567031</t>
        </is>
      </c>
      <c r="F70" s="2" t="n">
        <v>44664</v>
      </c>
      <c r="G70" s="1" t="n"/>
    </row>
    <row r="71">
      <c r="A71" s="6" t="n">
        <v>59154</v>
      </c>
      <c r="B71" s="6" t="inlineStr">
        <is>
          <t>1800 ULTIMATE MARGARITA RTD</t>
        </is>
      </c>
      <c r="C71" s="7">
        <f>VLOOKUP(A71,SizeData!A$2:B$3839,2,FALSE)</f>
        <v/>
      </c>
      <c r="D71" s="6" t="n">
        <v>4</v>
      </c>
      <c r="E71" s="6" t="inlineStr">
        <is>
          <t>R1671604</t>
        </is>
      </c>
      <c r="F71" s="2" t="n">
        <v>44735</v>
      </c>
      <c r="G71" s="1" t="n"/>
    </row>
    <row r="72">
      <c r="A72" s="31" t="n">
        <v>59154</v>
      </c>
      <c r="B72" s="31" t="inlineStr">
        <is>
          <t>1800 ULTIMATE MARGARITA RTD</t>
        </is>
      </c>
      <c r="C72" s="7">
        <f>VLOOKUP(A72,SizeData!A$2:B$3839,2,FALSE)</f>
        <v/>
      </c>
      <c r="D72" s="31" t="n">
        <v>6</v>
      </c>
      <c r="E72" s="31" t="inlineStr">
        <is>
          <t>R1648489</t>
        </is>
      </c>
      <c r="F72" s="33" t="n">
        <v>44736</v>
      </c>
      <c r="G72" s="34" t="n"/>
    </row>
    <row r="73">
      <c r="A73" s="6" t="n">
        <v>59161</v>
      </c>
      <c r="B73" s="6" t="inlineStr">
        <is>
          <t>1800 ULTIMATE PEACH MARGARITA</t>
        </is>
      </c>
      <c r="C73" s="7">
        <f>VLOOKUP(A73,SizeData!A$2:B$3839,2,FALSE)</f>
        <v/>
      </c>
      <c r="D73" s="6" t="n">
        <v>5</v>
      </c>
      <c r="E73" s="6" t="inlineStr">
        <is>
          <t>R1493246</t>
        </is>
      </c>
      <c r="F73" s="2" t="n">
        <v>44623</v>
      </c>
      <c r="G73" s="1" t="n"/>
    </row>
    <row r="74">
      <c r="A74" s="6" t="n">
        <v>59161</v>
      </c>
      <c r="B74" s="6" t="inlineStr">
        <is>
          <t>1800 ULTIMATE PEACH MARGARITA PET</t>
        </is>
      </c>
      <c r="C74" s="7">
        <f>VLOOKUP(A74,SizeData!A$2:B$3839,2,FALSE)</f>
        <v/>
      </c>
      <c r="D74" s="6" t="n">
        <v>2</v>
      </c>
      <c r="E74" s="6" t="inlineStr">
        <is>
          <t>R1530051</t>
        </is>
      </c>
      <c r="F74" s="2" t="n">
        <v>44637</v>
      </c>
      <c r="G74" s="1" t="n"/>
    </row>
    <row r="75">
      <c r="A75" s="31" t="n">
        <v>59161</v>
      </c>
      <c r="B75" s="31" t="inlineStr">
        <is>
          <t>1800 ULTIMATE PEACH MARGARITA PET</t>
        </is>
      </c>
      <c r="C75" s="7">
        <f>VLOOKUP(A75,SizeData!A$2:B$3839,2,FALSE)</f>
        <v/>
      </c>
      <c r="D75" s="31" t="n">
        <v>10</v>
      </c>
      <c r="E75" s="31" t="inlineStr">
        <is>
          <t>R1529670</t>
        </is>
      </c>
      <c r="F75" s="33" t="n">
        <v>44652</v>
      </c>
      <c r="G75" s="34" t="n"/>
    </row>
    <row r="76">
      <c r="A76" s="31" t="n">
        <v>59161</v>
      </c>
      <c r="B76" s="31" t="inlineStr">
        <is>
          <t>1800 ULTIMATE PEACH MARGARITA PET</t>
        </is>
      </c>
      <c r="C76" s="7">
        <f>VLOOKUP(A76,SizeData!A$2:B$3839,2,FALSE)</f>
        <v/>
      </c>
      <c r="D76" s="31" t="n">
        <v>20</v>
      </c>
      <c r="E76" s="31" t="inlineStr">
        <is>
          <t>R1648489</t>
        </is>
      </c>
      <c r="F76" s="33" t="n">
        <v>44736</v>
      </c>
      <c r="G76" s="34" t="n"/>
    </row>
    <row r="77">
      <c r="A77" s="6" t="n">
        <v>59162</v>
      </c>
      <c r="B77" s="6" t="inlineStr">
        <is>
          <t>1800 ULTIMATE PINEAPPLE MAR.</t>
        </is>
      </c>
      <c r="C77" s="7">
        <f>VLOOKUP(A77,SizeData!A$2:B$3839,2,FALSE)</f>
        <v/>
      </c>
      <c r="D77" s="6" t="n">
        <v>2</v>
      </c>
      <c r="E77" s="6" t="inlineStr">
        <is>
          <t>R1439543</t>
        </is>
      </c>
      <c r="F77" s="2" t="n">
        <v>44594</v>
      </c>
      <c r="G77" s="1" t="n"/>
    </row>
    <row r="78">
      <c r="A78" s="6" t="n">
        <v>59162</v>
      </c>
      <c r="B78" s="6" t="inlineStr">
        <is>
          <t>1800 ULTIMATE PINEAPPLE MAR.</t>
        </is>
      </c>
      <c r="C78" s="7">
        <f>VLOOKUP(A78,SizeData!A$2:B$3839,2,FALSE)</f>
        <v/>
      </c>
      <c r="D78" s="6" t="n">
        <v>4</v>
      </c>
      <c r="E78" s="6" t="inlineStr">
        <is>
          <t>R1471358</t>
        </is>
      </c>
      <c r="F78" s="2" t="n">
        <v>44608</v>
      </c>
      <c r="G78" s="1" t="n"/>
    </row>
    <row r="79">
      <c r="A79" s="6" t="n">
        <v>59162</v>
      </c>
      <c r="B79" s="6" t="inlineStr">
        <is>
          <t>1800 ULTIMATE PINEAPPLE MAR.</t>
        </is>
      </c>
      <c r="C79" s="7">
        <f>VLOOKUP(A79,SizeData!A$2:B$3839,2,FALSE)</f>
        <v/>
      </c>
      <c r="D79" s="6" t="n">
        <v>3</v>
      </c>
      <c r="E79" s="6" t="inlineStr">
        <is>
          <t>R1471889</t>
        </is>
      </c>
      <c r="F79" s="2" t="n">
        <v>44611</v>
      </c>
      <c r="G79" s="1" t="n"/>
    </row>
    <row r="80">
      <c r="A80" s="6" t="n">
        <v>59162</v>
      </c>
      <c r="B80" s="6" t="inlineStr">
        <is>
          <t>1800 ULTIMATE PINEAPPLE MAR.</t>
        </is>
      </c>
      <c r="C80" s="7">
        <f>VLOOKUP(A80,SizeData!A$2:B$3839,2,FALSE)</f>
        <v/>
      </c>
      <c r="D80" s="6" t="n">
        <v>20</v>
      </c>
      <c r="E80" s="6" t="inlineStr">
        <is>
          <t>R1554218</t>
        </is>
      </c>
      <c r="F80" s="2" t="n">
        <v>44658</v>
      </c>
      <c r="G80" s="1" t="n"/>
    </row>
    <row r="81">
      <c r="A81" s="31" t="n">
        <v>59162</v>
      </c>
      <c r="B81" s="31" t="inlineStr">
        <is>
          <t>1800 ULTIMATE PINEAPPLE MAR.</t>
        </is>
      </c>
      <c r="C81" s="7">
        <f>VLOOKUP(A81,SizeData!A$2:B$3839,2,FALSE)</f>
        <v/>
      </c>
      <c r="D81" s="31" t="n">
        <v>10</v>
      </c>
      <c r="E81" s="31" t="inlineStr">
        <is>
          <t>R1648489</t>
        </is>
      </c>
      <c r="F81" s="33" t="n">
        <v>44736</v>
      </c>
      <c r="G81" s="34" t="n"/>
    </row>
    <row r="82">
      <c r="A82" s="31" t="n">
        <v>59162</v>
      </c>
      <c r="B82" s="31" t="inlineStr">
        <is>
          <t>1800 ULTIMATE PINEAPPLE MAR.</t>
        </is>
      </c>
      <c r="C82" s="7">
        <f>VLOOKUP(A82,SizeData!A$2:B$3839,2,FALSE)</f>
        <v/>
      </c>
      <c r="D82" s="31" t="n">
        <v>10</v>
      </c>
      <c r="E82" s="31" t="inlineStr">
        <is>
          <t>R1665256</t>
        </is>
      </c>
      <c r="F82" s="33" t="n">
        <v>44736</v>
      </c>
      <c r="G82" s="34" t="n"/>
    </row>
    <row r="83">
      <c r="A83" s="6" t="n">
        <v>59201</v>
      </c>
      <c r="B83" s="6" t="inlineStr">
        <is>
          <t>1800 ULTIMATE STRAWBERRY MARGARITA RTD LTO</t>
        </is>
      </c>
      <c r="C83" s="7">
        <f>VLOOKUP(A83,SizeData!A$2:B$3839,2,FALSE)</f>
        <v/>
      </c>
      <c r="D83" s="6" t="n">
        <v>25</v>
      </c>
      <c r="E83" s="6" t="inlineStr">
        <is>
          <t>R1473430</t>
        </is>
      </c>
      <c r="F83" s="2" t="n">
        <v>44615</v>
      </c>
      <c r="G83" s="1" t="n"/>
    </row>
    <row r="84">
      <c r="A84" s="6" t="n">
        <v>59201</v>
      </c>
      <c r="B84" s="6" t="inlineStr">
        <is>
          <t>1800 ULTIMATE STRAWBERRY MARGARITA RTD LTO</t>
        </is>
      </c>
      <c r="C84" s="7">
        <f>VLOOKUP(A84,SizeData!A$2:B$3839,2,FALSE)</f>
        <v/>
      </c>
      <c r="D84" s="6" t="n">
        <v>11</v>
      </c>
      <c r="E84" s="6" t="inlineStr">
        <is>
          <t>R1559743</t>
        </is>
      </c>
      <c r="F84" s="2" t="n">
        <v>44667</v>
      </c>
      <c r="G84" s="1" t="n"/>
    </row>
    <row r="85">
      <c r="A85" s="6" t="n">
        <v>59201</v>
      </c>
      <c r="B85" s="6" t="inlineStr">
        <is>
          <t>1800 ULTIMATE STRAWBERRY MARGARITA RTD LTO</t>
        </is>
      </c>
      <c r="C85" s="7">
        <f>VLOOKUP(A85,SizeData!A$2:B$3839,2,FALSE)</f>
        <v/>
      </c>
      <c r="D85" s="6" t="n">
        <v>9</v>
      </c>
      <c r="E85" s="6" t="inlineStr">
        <is>
          <t>R1572904</t>
        </is>
      </c>
      <c r="F85" s="2" t="n">
        <v>44667</v>
      </c>
      <c r="G85" s="1" t="n"/>
    </row>
    <row r="86">
      <c r="A86" s="6" t="n">
        <v>59163</v>
      </c>
      <c r="B86" s="6" t="inlineStr">
        <is>
          <t>1800 WATERMELON RTD TEQUILA</t>
        </is>
      </c>
      <c r="C86" s="7">
        <f>VLOOKUP(A86,SizeData!A$2:B$3839,2,FALSE)</f>
        <v/>
      </c>
      <c r="D86" s="6" t="n">
        <v>4</v>
      </c>
      <c r="E86" s="6" t="inlineStr">
        <is>
          <t>R1567031</t>
        </is>
      </c>
      <c r="F86" s="2" t="n">
        <v>44664</v>
      </c>
      <c r="G86" s="1" t="n"/>
    </row>
    <row r="87">
      <c r="A87" s="6" t="n">
        <v>59163</v>
      </c>
      <c r="B87" s="6" t="inlineStr">
        <is>
          <t>1800 WATERMELON RTD TEQUILA</t>
        </is>
      </c>
      <c r="C87" s="7">
        <f>VLOOKUP(A87,SizeData!A$2:B$3839,2,FALSE)</f>
        <v/>
      </c>
      <c r="D87" s="6" t="n">
        <v>1</v>
      </c>
      <c r="E87" s="6" t="inlineStr">
        <is>
          <t>R1567031</t>
        </is>
      </c>
      <c r="F87" s="2" t="n">
        <v>44664</v>
      </c>
      <c r="G87" s="1" t="n"/>
    </row>
    <row r="88">
      <c r="A88" s="6" t="n">
        <v>59163</v>
      </c>
      <c r="B88" s="6" t="inlineStr">
        <is>
          <t>1800 WATERMELON RTD TEQUILA</t>
        </is>
      </c>
      <c r="C88" s="7">
        <f>VLOOKUP(A88,SizeData!A$2:B$3839,2,FALSE)</f>
        <v/>
      </c>
      <c r="D88" s="6" t="n">
        <v>3</v>
      </c>
      <c r="E88" s="6" t="inlineStr">
        <is>
          <t>R1644631</t>
        </is>
      </c>
      <c r="F88" s="2" t="n">
        <v>44725</v>
      </c>
      <c r="G88" s="1" t="n"/>
    </row>
    <row r="89">
      <c r="A89" s="6" t="n">
        <v>59163</v>
      </c>
      <c r="B89" s="6" t="inlineStr">
        <is>
          <t>1800 WATERMELON RTD TEQUILA</t>
        </is>
      </c>
      <c r="C89" s="7">
        <f>VLOOKUP(A89,SizeData!A$2:B$3839,2,FALSE)</f>
        <v/>
      </c>
      <c r="D89" s="6" t="n">
        <v>3</v>
      </c>
      <c r="E89" s="6" t="inlineStr">
        <is>
          <t>R1793644</t>
        </is>
      </c>
      <c r="F89" s="2" t="n">
        <v>44839</v>
      </c>
      <c r="G89" s="1" t="n"/>
    </row>
    <row r="90">
      <c r="A90" s="6" t="n">
        <v>419951</v>
      </c>
      <c r="B90" s="6" t="inlineStr">
        <is>
          <t>19 CRIMES CABERNET SAUVINGON</t>
        </is>
      </c>
      <c r="C90" s="7">
        <f>VLOOKUP(A90,SizeData!A$2:B$3839,2,FALSE)</f>
        <v/>
      </c>
      <c r="D90" s="6" t="n">
        <v>2</v>
      </c>
      <c r="E90" s="6" t="inlineStr">
        <is>
          <t>R1380576</t>
        </is>
      </c>
      <c r="F90" s="2" t="n">
        <v>44550</v>
      </c>
      <c r="G90" s="1" t="n"/>
    </row>
    <row r="91">
      <c r="A91" s="6" t="n">
        <v>419951</v>
      </c>
      <c r="B91" s="6" t="inlineStr">
        <is>
          <t>19 CRIMES CABERNET SAUVINGON</t>
        </is>
      </c>
      <c r="C91" s="7">
        <f>VLOOKUP(A91,SizeData!A$2:B$3839,2,FALSE)</f>
        <v/>
      </c>
      <c r="D91" s="6" t="n">
        <v>1</v>
      </c>
      <c r="E91" s="6" t="inlineStr">
        <is>
          <t>R1759302</t>
        </is>
      </c>
      <c r="F91" s="2" t="n">
        <v>44806</v>
      </c>
      <c r="G91" s="1" t="n"/>
    </row>
    <row r="92">
      <c r="A92" s="6" t="n">
        <v>671421</v>
      </c>
      <c r="B92" s="6" t="inlineStr">
        <is>
          <t>19 CRIMES CALI ROSE</t>
        </is>
      </c>
      <c r="C92" s="7">
        <f>VLOOKUP(A92,SizeData!A$2:B$3839,2,FALSE)</f>
        <v/>
      </c>
      <c r="D92" s="6" t="n">
        <v>2</v>
      </c>
      <c r="E92" s="6" t="inlineStr">
        <is>
          <t>R1380576</t>
        </is>
      </c>
      <c r="F92" s="2" t="n">
        <v>44550</v>
      </c>
      <c r="G92" s="1" t="n"/>
    </row>
    <row r="93">
      <c r="A93" s="26" t="n">
        <v>671421</v>
      </c>
      <c r="B93" s="26" t="inlineStr">
        <is>
          <t>19 CRIMES CALI ROSE</t>
        </is>
      </c>
      <c r="C93" s="7">
        <f>VLOOKUP(A93,SizeData!A$2:B$3839,2,FALSE)</f>
        <v/>
      </c>
      <c r="D93" s="26" t="n">
        <v>1</v>
      </c>
      <c r="E93" s="26" t="inlineStr">
        <is>
          <t>R1768452</t>
        </is>
      </c>
      <c r="F93" s="61" t="n">
        <v>44818</v>
      </c>
      <c r="G93" s="62" t="n"/>
    </row>
    <row r="94">
      <c r="A94" s="6" t="n">
        <v>671421</v>
      </c>
      <c r="B94" s="6" t="inlineStr">
        <is>
          <t>19 CRIMES CALI ROSE</t>
        </is>
      </c>
      <c r="C94" s="7">
        <f>VLOOKUP(A94,SizeData!A$2:B$3839,2,FALSE)</f>
        <v/>
      </c>
      <c r="D94" s="6" t="n">
        <v>1</v>
      </c>
      <c r="E94" s="6" t="inlineStr">
        <is>
          <t>R1900430</t>
        </is>
      </c>
      <c r="F94" s="2" t="n">
        <v>44896</v>
      </c>
      <c r="G94" s="1" t="n"/>
    </row>
    <row r="95">
      <c r="A95" s="6" t="n">
        <v>419959</v>
      </c>
      <c r="B95" s="6" t="inlineStr">
        <is>
          <t>19 CRIMES HARD CHARD CHARDONNAY</t>
        </is>
      </c>
      <c r="C95" s="7">
        <f>VLOOKUP(A95,SizeData!A$2:B$3839,2,FALSE)</f>
        <v/>
      </c>
      <c r="D95" s="6" t="n">
        <v>1</v>
      </c>
      <c r="E95" s="6" t="inlineStr">
        <is>
          <t>R1393008</t>
        </is>
      </c>
      <c r="F95" s="2" t="n">
        <v>44558</v>
      </c>
      <c r="G95" s="1" t="n"/>
    </row>
    <row r="96">
      <c r="A96" s="6" t="n">
        <v>490692</v>
      </c>
      <c r="B96" s="6" t="inlineStr">
        <is>
          <t>19 CRIMES MODERN CALI RED</t>
        </is>
      </c>
      <c r="C96" s="7">
        <f>VLOOKUP(A96,SizeData!A$2:B$3839,2,FALSE)</f>
        <v/>
      </c>
      <c r="D96" s="6" t="n">
        <v>2</v>
      </c>
      <c r="E96" s="6" t="inlineStr">
        <is>
          <t>R1556367</t>
        </is>
      </c>
      <c r="F96" s="2" t="n">
        <v>44664</v>
      </c>
      <c r="G96" s="1" t="n"/>
    </row>
    <row r="97">
      <c r="A97" s="6" t="n">
        <v>490692</v>
      </c>
      <c r="B97" s="6" t="inlineStr">
        <is>
          <t>19 CRIMES MODERN CALI RED</t>
        </is>
      </c>
      <c r="C97" s="7">
        <f>VLOOKUP(A97,SizeData!A$2:B$3839,2,FALSE)</f>
        <v/>
      </c>
      <c r="D97" s="6" t="n">
        <v>1</v>
      </c>
      <c r="E97" s="6" t="inlineStr">
        <is>
          <t>R1738647</t>
        </is>
      </c>
      <c r="F97" s="2" t="n">
        <v>44791</v>
      </c>
      <c r="G97" s="1" t="n"/>
    </row>
    <row r="98">
      <c r="A98" s="6" t="n">
        <v>490692</v>
      </c>
      <c r="B98" s="6" t="inlineStr">
        <is>
          <t>19 CRIMES MODERN CALI RED</t>
        </is>
      </c>
      <c r="C98" s="7">
        <f>VLOOKUP(A98,SizeData!A$2:B$3839,2,FALSE)</f>
        <v/>
      </c>
      <c r="D98" s="6" t="n">
        <v>1</v>
      </c>
      <c r="E98" s="6" t="inlineStr">
        <is>
          <t>R1900430</t>
        </is>
      </c>
      <c r="F98" s="2" t="n">
        <v>44896</v>
      </c>
      <c r="G98" s="1" t="n"/>
    </row>
    <row r="99">
      <c r="A99" s="6" t="n">
        <v>419952</v>
      </c>
      <c r="B99" s="6" t="inlineStr">
        <is>
          <t>19 CRIMES RED WINE</t>
        </is>
      </c>
      <c r="C99" s="7">
        <f>VLOOKUP(A99,SizeData!A$2:B$3839,2,FALSE)</f>
        <v/>
      </c>
      <c r="D99" s="6" t="n">
        <v>1</v>
      </c>
      <c r="E99" s="6" t="inlineStr">
        <is>
          <t>R1759302</t>
        </is>
      </c>
      <c r="F99" s="2" t="n">
        <v>44806</v>
      </c>
      <c r="G99" s="1" t="n"/>
    </row>
    <row r="100">
      <c r="A100" s="6" t="n">
        <v>419952</v>
      </c>
      <c r="B100" s="6" t="inlineStr">
        <is>
          <t>19 CRIMES RED WINE</t>
        </is>
      </c>
      <c r="C100" s="7">
        <f>VLOOKUP(A100,SizeData!A$2:B$3839,2,FALSE)</f>
        <v/>
      </c>
      <c r="D100" s="6" t="n">
        <v>1</v>
      </c>
      <c r="E100" s="6" t="inlineStr">
        <is>
          <t>R1900430</t>
        </is>
      </c>
      <c r="F100" s="2" t="n">
        <v>44896</v>
      </c>
      <c r="G100" s="1" t="n"/>
    </row>
    <row r="101">
      <c r="A101" s="6" t="n">
        <v>419955</v>
      </c>
      <c r="B101" s="6" t="inlineStr">
        <is>
          <t>19 CRIMES THE BANISHED RED WINE</t>
        </is>
      </c>
      <c r="C101" s="7">
        <f>VLOOKUP(A101,SizeData!A$2:B$3839,2,FALSE)</f>
        <v/>
      </c>
      <c r="D101" s="6" t="n">
        <v>1</v>
      </c>
      <c r="E101" s="6" t="inlineStr">
        <is>
          <t>R1762971</t>
        </is>
      </c>
      <c r="F101" s="2" t="n">
        <v>44814</v>
      </c>
      <c r="G101" s="1" t="n"/>
    </row>
    <row r="102">
      <c r="A102" s="6" t="n">
        <v>419961</v>
      </c>
      <c r="B102" s="6" t="inlineStr">
        <is>
          <t>19 CRIMES THE UPRISING RED WINE</t>
        </is>
      </c>
      <c r="C102" s="7">
        <f>VLOOKUP(A102,SizeData!A$2:B$3839,2,FALSE)</f>
        <v/>
      </c>
      <c r="D102" s="6" t="n">
        <v>1</v>
      </c>
      <c r="E102" s="6" t="inlineStr">
        <is>
          <t>R1496401</t>
        </is>
      </c>
      <c r="F102" s="2" t="n">
        <v>44621</v>
      </c>
      <c r="G102" s="1" t="n"/>
    </row>
    <row r="103">
      <c r="A103" s="6" t="n">
        <v>419961</v>
      </c>
      <c r="B103" s="6" t="inlineStr">
        <is>
          <t>19 CRIMES THE UPRISING RED WINE</t>
        </is>
      </c>
      <c r="C103" s="7">
        <f>VLOOKUP(A103,SizeData!A$2:B$3839,2,FALSE)</f>
        <v/>
      </c>
      <c r="D103" s="6" t="n">
        <v>1</v>
      </c>
      <c r="E103" s="6" t="inlineStr">
        <is>
          <t>R1725567</t>
        </is>
      </c>
      <c r="F103" s="2" t="n">
        <v>44779</v>
      </c>
      <c r="G103" s="1" t="n"/>
    </row>
    <row r="104">
      <c r="A104" s="6" t="n">
        <v>419961</v>
      </c>
      <c r="B104" s="6" t="inlineStr">
        <is>
          <t>19 CRIMES THE UPRISING RED WINE</t>
        </is>
      </c>
      <c r="C104" s="7">
        <f>VLOOKUP(A104,SizeData!A$2:B$3839,2,FALSE)</f>
        <v/>
      </c>
      <c r="D104" s="6" t="n">
        <v>1</v>
      </c>
      <c r="E104" s="6" t="inlineStr">
        <is>
          <t>R1762971</t>
        </is>
      </c>
      <c r="F104" s="2" t="n">
        <v>44814</v>
      </c>
      <c r="G104" s="1" t="n"/>
    </row>
    <row r="105">
      <c r="A105" s="6" t="n">
        <v>419961</v>
      </c>
      <c r="B105" s="6" t="inlineStr">
        <is>
          <t>19 CRIMES THE UPRISING RED WINE</t>
        </is>
      </c>
      <c r="C105" s="7">
        <f>VLOOKUP(A105,SizeData!A$2:B$3839,2,FALSE)</f>
        <v/>
      </c>
      <c r="D105" s="6" t="n">
        <v>1</v>
      </c>
      <c r="E105" s="6" t="inlineStr">
        <is>
          <t>R1811635</t>
        </is>
      </c>
      <c r="F105" s="2" t="n">
        <v>44845</v>
      </c>
      <c r="G105" s="1" t="n"/>
    </row>
    <row r="106">
      <c r="A106" s="6" t="n">
        <v>419961</v>
      </c>
      <c r="B106" s="6" t="inlineStr">
        <is>
          <t>19 CRIMES THE UPRISING RED WINE</t>
        </is>
      </c>
      <c r="C106" s="7">
        <f>VLOOKUP(A106,SizeData!A$2:B$3839,2,FALSE)</f>
        <v/>
      </c>
      <c r="D106" s="6" t="n">
        <v>1</v>
      </c>
      <c r="E106" s="6" t="inlineStr">
        <is>
          <t>R1849692</t>
        </is>
      </c>
      <c r="F106" s="2" t="n">
        <v>44870</v>
      </c>
      <c r="G106" s="1" t="n"/>
    </row>
    <row r="107">
      <c r="A107" s="26" t="n">
        <v>419961</v>
      </c>
      <c r="B107" s="26" t="inlineStr">
        <is>
          <t>19 CRIMES THE UPRISING RED WINE</t>
        </is>
      </c>
      <c r="C107" s="75">
        <f>VLOOKUP(A107,SizeData!A$2:B$3839,2,FALSE)</f>
        <v/>
      </c>
      <c r="D107" s="26" t="n">
        <v>1</v>
      </c>
      <c r="E107" s="26" t="inlineStr">
        <is>
          <t>R1900430</t>
        </is>
      </c>
      <c r="F107" s="61" t="n">
        <v>44896</v>
      </c>
      <c r="G107" s="62" t="n"/>
    </row>
    <row r="108">
      <c r="A108" s="6" t="n">
        <v>41943</v>
      </c>
      <c r="B108" s="6" t="inlineStr">
        <is>
          <t>360 GEORGIA PEACH FLAVOR VODKA</t>
        </is>
      </c>
      <c r="C108" s="7">
        <f>VLOOKUP(A108,SizeData!A$2:B$3839,2,FALSE)</f>
        <v/>
      </c>
      <c r="D108" s="6" t="n">
        <v>1</v>
      </c>
      <c r="E108" s="6" t="inlineStr">
        <is>
          <t>R1443217</t>
        </is>
      </c>
      <c r="F108" s="2" t="n">
        <v>44593</v>
      </c>
      <c r="G108" s="1" t="n"/>
    </row>
    <row r="109">
      <c r="A109" s="6" t="n">
        <v>41943</v>
      </c>
      <c r="B109" s="6" t="inlineStr">
        <is>
          <t>360 GEORGIA PEACH FLAVORED VODKA</t>
        </is>
      </c>
      <c r="C109" s="7">
        <f>VLOOKUP(A109,SizeData!A$2:B$3839,2,FALSE)</f>
        <v/>
      </c>
      <c r="D109" s="6" t="n">
        <v>1</v>
      </c>
      <c r="E109" s="6" t="inlineStr">
        <is>
          <t>R1751391</t>
        </is>
      </c>
      <c r="F109" s="2" t="n">
        <v>44805</v>
      </c>
      <c r="G109" s="1" t="n"/>
    </row>
    <row r="110">
      <c r="A110" s="6" t="n">
        <v>84222</v>
      </c>
      <c r="B110" s="6" t="inlineStr">
        <is>
          <t>99 BLUE RASPBERRIES</t>
        </is>
      </c>
      <c r="C110" s="7">
        <f>VLOOKUP(A110,SizeData!A$2:B$3839,2,FALSE)</f>
        <v/>
      </c>
      <c r="D110" s="6" t="n">
        <v>2</v>
      </c>
      <c r="E110" s="6" t="inlineStr">
        <is>
          <t>R1710843</t>
        </is>
      </c>
      <c r="F110" s="2" t="n">
        <v>44764</v>
      </c>
      <c r="G110" s="1" t="n"/>
    </row>
    <row r="111">
      <c r="A111" s="26" t="n">
        <v>84170</v>
      </c>
      <c r="B111" s="26" t="inlineStr">
        <is>
          <t>99 BRAND BANANAS</t>
        </is>
      </c>
      <c r="C111" s="7">
        <f>VLOOKUP(A111,SizeData!A$2:B$3839,2,FALSE)</f>
        <v/>
      </c>
      <c r="D111" s="26" t="n">
        <v>1</v>
      </c>
      <c r="E111" s="26" t="inlineStr">
        <is>
          <t>R1778047</t>
        </is>
      </c>
      <c r="F111" s="61" t="n">
        <v>44825</v>
      </c>
      <c r="G111" s="1" t="n"/>
    </row>
    <row r="112">
      <c r="A112" s="6" t="n">
        <v>84191</v>
      </c>
      <c r="B112" s="6" t="inlineStr">
        <is>
          <t>99 BRAND BUTTERSCOTCH SCHNAPPS</t>
        </is>
      </c>
      <c r="C112" s="7">
        <f>VLOOKUP(A112,SizeData!A$2:B$3839,2,FALSE)</f>
        <v/>
      </c>
      <c r="D112" s="6" t="n">
        <v>1</v>
      </c>
      <c r="E112" s="6" t="inlineStr">
        <is>
          <t>R1796778</t>
        </is>
      </c>
      <c r="F112" s="2" t="n">
        <v>44834</v>
      </c>
      <c r="G112" s="1" t="n"/>
    </row>
    <row r="113">
      <c r="A113" s="6" t="n">
        <v>84142</v>
      </c>
      <c r="B113" s="6" t="inlineStr">
        <is>
          <t>99 BRAND PEACHES</t>
        </is>
      </c>
      <c r="C113" s="7">
        <f>VLOOKUP(A113,SizeData!A$2:B$3839,2,FALSE)</f>
        <v/>
      </c>
      <c r="D113" s="6" t="n">
        <v>1</v>
      </c>
      <c r="E113" s="6" t="inlineStr">
        <is>
          <t>R1761638</t>
        </is>
      </c>
      <c r="F113" s="2" t="n">
        <v>44807</v>
      </c>
      <c r="G113" s="1" t="n"/>
    </row>
    <row r="114">
      <c r="A114" s="6" t="n">
        <v>87054</v>
      </c>
      <c r="B114" s="6" t="inlineStr">
        <is>
          <t>99 BRAND PEANUT BUTTER WHISKEY</t>
        </is>
      </c>
      <c r="C114" s="7">
        <f>VLOOKUP(A114,SizeData!A$2:B$3839,2,FALSE)</f>
        <v/>
      </c>
      <c r="D114" s="6" t="n">
        <v>1</v>
      </c>
      <c r="E114" s="6" t="inlineStr">
        <is>
          <t>R1817613</t>
        </is>
      </c>
      <c r="F114" s="2" t="n">
        <v>44849</v>
      </c>
      <c r="G114" s="1" t="n"/>
    </row>
    <row r="115">
      <c r="A115" s="6" t="n">
        <v>84191</v>
      </c>
      <c r="B115" s="6" t="inlineStr">
        <is>
          <t>99 BUTTERSCOTCH SCHNAPPS</t>
        </is>
      </c>
      <c r="C115" s="7">
        <f>VLOOKUP(A115,SizeData!A$2:B$3839,2,FALSE)</f>
        <v/>
      </c>
      <c r="D115" s="6" t="n">
        <v>1</v>
      </c>
      <c r="E115" s="6" t="inlineStr">
        <is>
          <t>R1579709</t>
        </is>
      </c>
      <c r="F115" s="2" t="n">
        <v>44674</v>
      </c>
      <c r="G115" s="1" t="n"/>
    </row>
    <row r="116">
      <c r="A116" s="6" t="n">
        <v>84142</v>
      </c>
      <c r="B116" s="6" t="inlineStr">
        <is>
          <t>99 PEACHES</t>
        </is>
      </c>
      <c r="C116" s="7">
        <f>VLOOKUP(A116,SizeData!A$2:B$3839,2,FALSE)</f>
        <v/>
      </c>
      <c r="D116" s="6" t="n">
        <v>1</v>
      </c>
      <c r="E116" s="6" t="inlineStr">
        <is>
          <t>R1465191</t>
        </is>
      </c>
      <c r="F116" s="2" t="n">
        <v>44602</v>
      </c>
      <c r="G116" s="1" t="n"/>
    </row>
    <row r="117">
      <c r="A117" s="6" t="n">
        <v>100959</v>
      </c>
      <c r="B117" s="6" t="inlineStr">
        <is>
          <t>99 PEANUT BUTTER WHISKEY COUNTER UNIT</t>
        </is>
      </c>
      <c r="C117" s="7">
        <f>VLOOKUP(A117,SizeData!A$2:B$3839,2,FALSE)</f>
        <v/>
      </c>
      <c r="D117" s="6" t="n">
        <v>1</v>
      </c>
      <c r="E117" s="6" t="inlineStr">
        <is>
          <t>R1537124</t>
        </is>
      </c>
      <c r="F117" s="2" t="n">
        <v>44646</v>
      </c>
      <c r="G117" s="1" t="n"/>
    </row>
    <row r="118">
      <c r="A118" s="6" t="n">
        <v>34003</v>
      </c>
      <c r="B118" s="6" t="inlineStr">
        <is>
          <t>ABSOLUT 80 VODKA</t>
        </is>
      </c>
      <c r="C118" s="7">
        <f>VLOOKUP(A118,SizeData!A$2:B$3839,2,FALSE)</f>
        <v/>
      </c>
      <c r="D118" s="6" t="n">
        <v>1</v>
      </c>
      <c r="E118" s="6" t="inlineStr">
        <is>
          <t>R1386761</t>
        </is>
      </c>
      <c r="F118" s="2" t="n">
        <v>44557</v>
      </c>
      <c r="G118" s="1" t="n"/>
    </row>
    <row r="119">
      <c r="A119" s="6" t="n">
        <v>34003</v>
      </c>
      <c r="B119" s="6" t="inlineStr">
        <is>
          <t>ABSOLUT 80 VODKA</t>
        </is>
      </c>
      <c r="C119" s="7">
        <f>VLOOKUP(A119,SizeData!A$2:B$3839,2,FALSE)</f>
        <v/>
      </c>
      <c r="D119" s="6" t="n">
        <v>1</v>
      </c>
      <c r="E119" s="6" t="inlineStr">
        <is>
          <t>R1472921</t>
        </is>
      </c>
      <c r="F119" s="2" t="n">
        <v>44613</v>
      </c>
      <c r="G119" s="1" t="n"/>
    </row>
    <row r="120">
      <c r="A120" s="6" t="n">
        <v>34003</v>
      </c>
      <c r="B120" s="6" t="inlineStr">
        <is>
          <t>ABSOLUT 80 VODKA</t>
        </is>
      </c>
      <c r="C120" s="7">
        <f>VLOOKUP(A120,SizeData!A$2:B$3839,2,FALSE)</f>
        <v/>
      </c>
      <c r="D120" s="6" t="n">
        <v>2</v>
      </c>
      <c r="E120" s="6" t="inlineStr">
        <is>
          <t>R1496619</t>
        </is>
      </c>
      <c r="F120" s="2" t="n">
        <v>44621</v>
      </c>
      <c r="G120" s="1" t="n"/>
    </row>
    <row r="121">
      <c r="A121" s="6" t="n">
        <v>34003</v>
      </c>
      <c r="B121" s="6" t="inlineStr">
        <is>
          <t>ABSOLUT 80 VODKA</t>
        </is>
      </c>
      <c r="C121" s="7">
        <f>VLOOKUP(A121,SizeData!A$2:B$3839,2,FALSE)</f>
        <v/>
      </c>
      <c r="D121" s="6" t="n">
        <v>1</v>
      </c>
      <c r="E121" s="6" t="inlineStr">
        <is>
          <t>R1625943</t>
        </is>
      </c>
      <c r="F121" s="2" t="n">
        <v>44707</v>
      </c>
      <c r="G121" s="1" t="n"/>
    </row>
    <row r="122">
      <c r="A122" s="6" t="n">
        <v>34003</v>
      </c>
      <c r="B122" s="6" t="inlineStr">
        <is>
          <t>ABSOLUT 80 VODKA</t>
        </is>
      </c>
      <c r="C122" s="7">
        <f>VLOOKUP(A122,SizeData!A$2:B$3839,2,FALSE)</f>
        <v/>
      </c>
      <c r="D122" s="6" t="n">
        <v>1</v>
      </c>
      <c r="E122" s="6" t="inlineStr">
        <is>
          <t>R1650316</t>
        </is>
      </c>
      <c r="F122" s="2" t="n">
        <v>44714</v>
      </c>
      <c r="G122" s="1" t="n"/>
    </row>
    <row r="123">
      <c r="A123" s="6" t="n">
        <v>34003</v>
      </c>
      <c r="B123" s="6" t="inlineStr">
        <is>
          <t>ABSOLUT 80 VODKA</t>
        </is>
      </c>
      <c r="C123" s="7">
        <f>VLOOKUP(A123,SizeData!A$2:B$3839,2,FALSE)</f>
        <v/>
      </c>
      <c r="D123" s="6" t="n">
        <v>2</v>
      </c>
      <c r="E123" s="6" t="inlineStr">
        <is>
          <t>R1664209</t>
        </is>
      </c>
      <c r="F123" s="2" t="n">
        <v>44739</v>
      </c>
      <c r="G123" s="1" t="n"/>
    </row>
    <row r="124">
      <c r="A124" s="6" t="n">
        <v>34003</v>
      </c>
      <c r="B124" s="6" t="inlineStr">
        <is>
          <t>ABSOLUT 80 VODKA</t>
        </is>
      </c>
      <c r="C124" s="7">
        <f>VLOOKUP(A124,SizeData!A$2:B$3839,2,FALSE)</f>
        <v/>
      </c>
      <c r="D124" s="6" t="n">
        <v>1</v>
      </c>
      <c r="E124" s="6" t="inlineStr">
        <is>
          <t>R1725567</t>
        </is>
      </c>
      <c r="F124" s="2" t="n">
        <v>44779</v>
      </c>
      <c r="G124" s="1" t="n"/>
    </row>
    <row r="125">
      <c r="A125" s="6" t="n">
        <v>34003</v>
      </c>
      <c r="B125" s="6" t="inlineStr">
        <is>
          <t>ABSOLUT 80 VODKA</t>
        </is>
      </c>
      <c r="C125" s="7">
        <f>VLOOKUP(A125,SizeData!A$2:B$3839,2,FALSE)</f>
        <v/>
      </c>
      <c r="D125" s="6" t="n">
        <v>1</v>
      </c>
      <c r="E125" s="6" t="inlineStr">
        <is>
          <t>R1744940</t>
        </is>
      </c>
      <c r="F125" s="2" t="n">
        <v>44804</v>
      </c>
      <c r="G125" s="1" t="n"/>
    </row>
    <row r="126">
      <c r="A126" s="6" t="n">
        <v>34003</v>
      </c>
      <c r="B126" s="6" t="inlineStr">
        <is>
          <t>ABSOLUT 80 VODKA</t>
        </is>
      </c>
      <c r="C126" s="7">
        <f>VLOOKUP(A126,SizeData!A$2:B$3839,2,FALSE)</f>
        <v/>
      </c>
      <c r="D126" s="6" t="n">
        <v>1</v>
      </c>
      <c r="E126" s="6" t="inlineStr">
        <is>
          <t>R1768922</t>
        </is>
      </c>
      <c r="F126" s="2" t="n">
        <v>44819</v>
      </c>
      <c r="G126" s="1" t="n"/>
    </row>
    <row r="127">
      <c r="A127" s="26" t="n">
        <v>34003</v>
      </c>
      <c r="B127" s="26" t="inlineStr">
        <is>
          <t>ABSOLUT 80 VODKA</t>
        </is>
      </c>
      <c r="C127" s="7">
        <f>VLOOKUP(A127,SizeData!A$2:B$3839,2,FALSE)</f>
        <v/>
      </c>
      <c r="D127" s="26" t="n">
        <v>1</v>
      </c>
      <c r="E127" s="26" t="inlineStr">
        <is>
          <t>R1782657</t>
        </is>
      </c>
      <c r="F127" s="61" t="n">
        <v>44828</v>
      </c>
      <c r="G127" s="62" t="n"/>
    </row>
    <row r="128">
      <c r="A128" s="6" t="n">
        <v>34003</v>
      </c>
      <c r="B128" s="6" t="inlineStr">
        <is>
          <t>ABSOLUT 80 VODKA</t>
        </is>
      </c>
      <c r="C128" s="7">
        <f>VLOOKUP(A128,SizeData!A$2:B$3839,2,FALSE)</f>
        <v/>
      </c>
      <c r="D128" s="6" t="n">
        <v>2</v>
      </c>
      <c r="E128" s="6" t="inlineStr">
        <is>
          <t>R1830260</t>
        </is>
      </c>
      <c r="F128" s="2" t="n">
        <v>44853</v>
      </c>
      <c r="G128" s="1" t="n"/>
    </row>
    <row r="129">
      <c r="A129" s="6" t="n">
        <v>34003</v>
      </c>
      <c r="B129" s="6" t="inlineStr">
        <is>
          <t>ABSOLUT 80 VODKA</t>
        </is>
      </c>
      <c r="C129" s="7">
        <f>VLOOKUP(A129,SizeData!A$2:B$3839,2,FALSE)</f>
        <v/>
      </c>
      <c r="D129" s="6" t="n">
        <v>1</v>
      </c>
      <c r="E129" s="6" t="inlineStr">
        <is>
          <t>R1880771</t>
        </is>
      </c>
      <c r="F129" s="2" t="n">
        <v>44895</v>
      </c>
      <c r="G129" s="1" t="n"/>
    </row>
    <row r="130">
      <c r="A130" s="6" t="n">
        <v>34004</v>
      </c>
      <c r="B130" s="6" t="inlineStr">
        <is>
          <t>ABSOLUT 80 VODKA</t>
        </is>
      </c>
      <c r="C130" s="7">
        <f>VLOOKUP(A130,SizeData!A$2:B$3839,2,FALSE)</f>
        <v/>
      </c>
      <c r="D130" s="6" t="n">
        <v>20</v>
      </c>
      <c r="E130" s="6" t="inlineStr">
        <is>
          <t>R1411995</t>
        </is>
      </c>
      <c r="F130" s="2" t="n">
        <v>44579</v>
      </c>
      <c r="G130" s="1" t="n"/>
    </row>
    <row r="131">
      <c r="A131" s="6" t="n">
        <v>34004</v>
      </c>
      <c r="B131" s="6" t="inlineStr">
        <is>
          <t>ABSOLUT 80 VODKA</t>
        </is>
      </c>
      <c r="C131" s="7">
        <f>VLOOKUP(A131,SizeData!A$2:B$3839,2,FALSE)</f>
        <v/>
      </c>
      <c r="D131" s="6" t="n">
        <v>6</v>
      </c>
      <c r="E131" s="6" t="inlineStr">
        <is>
          <t>R1684230</t>
        </is>
      </c>
      <c r="F131" s="2" t="n">
        <v>44756</v>
      </c>
      <c r="G131" s="1" t="n"/>
    </row>
    <row r="132">
      <c r="A132" s="6" t="n">
        <v>34006</v>
      </c>
      <c r="B132" s="6" t="inlineStr">
        <is>
          <t>ABSOLUT 80 VODKA</t>
        </is>
      </c>
      <c r="C132" s="7">
        <f>VLOOKUP(A132,SizeData!A$2:B$3839,2,FALSE)</f>
        <v/>
      </c>
      <c r="D132" s="6" t="n">
        <v>15</v>
      </c>
      <c r="E132" s="6" t="inlineStr">
        <is>
          <t>R1368898</t>
        </is>
      </c>
      <c r="F132" s="2" t="n">
        <v>44546</v>
      </c>
      <c r="G132" s="1" t="n"/>
    </row>
    <row r="133">
      <c r="A133" s="6" t="n">
        <v>34006</v>
      </c>
      <c r="B133" s="6" t="inlineStr">
        <is>
          <t>ABSOLUT 80 VODKA</t>
        </is>
      </c>
      <c r="C133" s="7">
        <f>VLOOKUP(A133,SizeData!A$2:B$3839,2,FALSE)</f>
        <v/>
      </c>
      <c r="D133" s="6" t="n">
        <v>6</v>
      </c>
      <c r="E133" s="6" t="inlineStr">
        <is>
          <t>R1504703</t>
        </is>
      </c>
      <c r="F133" s="2" t="n">
        <v>44632</v>
      </c>
      <c r="G133" s="1" t="n"/>
    </row>
    <row r="134">
      <c r="A134" s="6" t="n">
        <v>34006</v>
      </c>
      <c r="B134" s="6" t="inlineStr">
        <is>
          <t>ABSOLUT 80 VODKA</t>
        </is>
      </c>
      <c r="C134" s="7">
        <f>VLOOKUP(A134,SizeData!A$2:B$3839,2,FALSE)</f>
        <v/>
      </c>
      <c r="D134" s="6" t="n">
        <v>5</v>
      </c>
      <c r="E134" s="6" t="inlineStr">
        <is>
          <t>R1624394</t>
        </is>
      </c>
      <c r="F134" s="2" t="n">
        <v>44717</v>
      </c>
      <c r="G134" s="1" t="n"/>
    </row>
    <row r="135">
      <c r="A135" s="6" t="n">
        <v>34006</v>
      </c>
      <c r="B135" s="6" t="inlineStr">
        <is>
          <t>ABSOLUT 80 VODKA</t>
        </is>
      </c>
      <c r="C135" s="7">
        <f>VLOOKUP(A135,SizeData!A$2:B$3839,2,FALSE)</f>
        <v/>
      </c>
      <c r="D135" s="6" t="n">
        <v>10</v>
      </c>
      <c r="E135" s="6" t="inlineStr">
        <is>
          <t>R1752888</t>
        </is>
      </c>
      <c r="F135" s="2" t="n">
        <v>44805</v>
      </c>
      <c r="G135" s="1" t="n"/>
    </row>
    <row r="136">
      <c r="A136" s="6" t="n">
        <v>34006</v>
      </c>
      <c r="B136" s="6" t="inlineStr">
        <is>
          <t>ABSOLUT 80 VODKA</t>
        </is>
      </c>
      <c r="C136" s="7">
        <f>VLOOKUP(A136,SizeData!A$2:B$3839,2,FALSE)</f>
        <v/>
      </c>
      <c r="D136" s="6" t="n">
        <v>3</v>
      </c>
      <c r="E136" s="6" t="inlineStr">
        <is>
          <t>R1777984</t>
        </is>
      </c>
      <c r="F136" s="2" t="n">
        <v>44826</v>
      </c>
      <c r="G136" s="1" t="n"/>
    </row>
    <row r="137">
      <c r="A137" s="6" t="n">
        <v>34006</v>
      </c>
      <c r="B137" s="6" t="inlineStr">
        <is>
          <t>ABSOLUT 80 VODKA</t>
        </is>
      </c>
      <c r="C137" s="7">
        <f>VLOOKUP(A137,SizeData!A$2:B$3839,2,FALSE)</f>
        <v/>
      </c>
      <c r="D137" s="6" t="n">
        <v>2</v>
      </c>
      <c r="E137" s="6" t="inlineStr">
        <is>
          <t>R1900430</t>
        </is>
      </c>
      <c r="F137" s="2" t="n">
        <v>44896</v>
      </c>
      <c r="G137" s="1" t="n"/>
    </row>
    <row r="138">
      <c r="A138" s="6" t="n">
        <v>34006</v>
      </c>
      <c r="B138" s="6" t="inlineStr">
        <is>
          <t>ABSOLUT 80 VODKA</t>
        </is>
      </c>
      <c r="C138" s="7">
        <f>VLOOKUP(A138,SizeData!A$2:B$3839,2,FALSE)</f>
        <v/>
      </c>
      <c r="D138" s="6" t="n">
        <v>3</v>
      </c>
      <c r="E138" s="6" t="inlineStr">
        <is>
          <t>R1906202</t>
        </is>
      </c>
      <c r="F138" s="2" t="n">
        <v>44902</v>
      </c>
      <c r="G138" s="1" t="n"/>
    </row>
    <row r="139">
      <c r="A139" s="6" t="n">
        <v>34007</v>
      </c>
      <c r="B139" s="6" t="inlineStr">
        <is>
          <t>ABSOLUT 80 VODKA</t>
        </is>
      </c>
      <c r="C139" s="7">
        <f>VLOOKUP(A139,SizeData!A$2:B$3839,2,FALSE)</f>
        <v/>
      </c>
      <c r="D139" s="6" t="n">
        <v>1</v>
      </c>
      <c r="E139" s="6" t="inlineStr">
        <is>
          <t>R1721375</t>
        </is>
      </c>
      <c r="F139" s="2" t="n">
        <v>44775</v>
      </c>
      <c r="G139" s="1" t="n"/>
    </row>
    <row r="140">
      <c r="A140" s="6" t="n">
        <v>34007</v>
      </c>
      <c r="B140" s="6" t="inlineStr">
        <is>
          <t>ABSOLUT 80 VODKA</t>
        </is>
      </c>
      <c r="C140" s="7">
        <f>VLOOKUP(A140,SizeData!A$2:B$3839,2,FALSE)</f>
        <v/>
      </c>
      <c r="D140" s="6" t="n">
        <v>1</v>
      </c>
      <c r="E140" s="6" t="inlineStr">
        <is>
          <t>R1744940</t>
        </is>
      </c>
      <c r="F140" s="2" t="n">
        <v>44804</v>
      </c>
      <c r="G140" s="1" t="n"/>
    </row>
    <row r="141">
      <c r="A141" s="6" t="n">
        <v>34007</v>
      </c>
      <c r="B141" s="6" t="inlineStr">
        <is>
          <t>ABSOLUT 80 VODKA</t>
        </is>
      </c>
      <c r="C141" s="7">
        <f>VLOOKUP(A141,SizeData!A$2:B$3839,2,FALSE)</f>
        <v/>
      </c>
      <c r="D141" s="6" t="n">
        <v>1</v>
      </c>
      <c r="E141" s="6" t="inlineStr">
        <is>
          <t>R1841934</t>
        </is>
      </c>
      <c r="F141" s="2" t="n">
        <v>44866</v>
      </c>
      <c r="G141" s="1" t="n"/>
    </row>
    <row r="142">
      <c r="A142" s="6" t="n">
        <v>34007</v>
      </c>
      <c r="B142" s="6" t="inlineStr">
        <is>
          <t>ABSOLUT 80 VODKA</t>
        </is>
      </c>
      <c r="C142" s="7">
        <f>VLOOKUP(A142,SizeData!A$2:B$3839,2,FALSE)</f>
        <v/>
      </c>
      <c r="D142" s="6" t="n">
        <v>10</v>
      </c>
      <c r="E142" s="6" t="inlineStr">
        <is>
          <t>R1856308</t>
        </is>
      </c>
      <c r="F142" s="2" t="n">
        <v>44867</v>
      </c>
      <c r="G142" s="1" t="n"/>
    </row>
    <row r="143">
      <c r="A143" s="6" t="n">
        <v>34007</v>
      </c>
      <c r="B143" s="6" t="inlineStr">
        <is>
          <t>ABSOLUT 80 VODKA</t>
        </is>
      </c>
      <c r="C143" s="7">
        <f>VLOOKUP(A143,SizeData!A$2:B$3839,2,FALSE)</f>
        <v/>
      </c>
      <c r="D143" s="6" t="n">
        <v>2</v>
      </c>
      <c r="E143" s="6" t="inlineStr">
        <is>
          <t>R1883576</t>
        </is>
      </c>
      <c r="F143" s="2" t="n">
        <v>44895</v>
      </c>
      <c r="G143" s="1" t="n"/>
    </row>
    <row r="144">
      <c r="A144" s="6" t="n">
        <v>34008</v>
      </c>
      <c r="B144" s="6" t="inlineStr">
        <is>
          <t>ABSOLUT 80 VODKA</t>
        </is>
      </c>
      <c r="C144" s="7">
        <f>VLOOKUP(A144,SizeData!A$2:B$3839,2,FALSE)</f>
        <v/>
      </c>
      <c r="D144" s="6" t="n">
        <v>5</v>
      </c>
      <c r="E144" s="6" t="inlineStr">
        <is>
          <t>R1434590</t>
        </is>
      </c>
      <c r="F144" s="2" t="n">
        <v>44594</v>
      </c>
      <c r="G144" s="1" t="n"/>
    </row>
    <row r="145">
      <c r="A145" s="6" t="n">
        <v>34008</v>
      </c>
      <c r="B145" s="6" t="inlineStr">
        <is>
          <t>ABSOLUT 80 VODKA</t>
        </is>
      </c>
      <c r="C145" s="7">
        <f>VLOOKUP(A145,SizeData!A$2:B$3839,2,FALSE)</f>
        <v/>
      </c>
      <c r="D145" s="6" t="n">
        <v>3</v>
      </c>
      <c r="E145" s="6" t="inlineStr">
        <is>
          <t>R1471358</t>
        </is>
      </c>
      <c r="F145" s="2" t="n">
        <v>44608</v>
      </c>
      <c r="G145" s="1" t="n"/>
    </row>
    <row r="146">
      <c r="A146" s="6" t="n">
        <v>34008</v>
      </c>
      <c r="B146" s="6" t="inlineStr">
        <is>
          <t>ABSOLUT 80 VODKA</t>
        </is>
      </c>
      <c r="C146" s="7">
        <f>VLOOKUP(A146,SizeData!A$2:B$3839,2,FALSE)</f>
        <v/>
      </c>
      <c r="D146" s="6" t="n">
        <v>2</v>
      </c>
      <c r="E146" s="6" t="inlineStr">
        <is>
          <t>R1625235</t>
        </is>
      </c>
      <c r="F146" s="2" t="n">
        <v>44698</v>
      </c>
      <c r="G146" s="1" t="n"/>
    </row>
    <row r="147">
      <c r="A147" s="6" t="n">
        <v>34008</v>
      </c>
      <c r="B147" s="6" t="inlineStr">
        <is>
          <t>ABSOLUT 80 VODKA</t>
        </is>
      </c>
      <c r="C147" s="7">
        <f>VLOOKUP(A147,SizeData!A$2:B$3839,2,FALSE)</f>
        <v/>
      </c>
      <c r="D147" s="6" t="n">
        <v>5</v>
      </c>
      <c r="E147" s="6" t="inlineStr">
        <is>
          <t>R1704437</t>
        </is>
      </c>
      <c r="F147" s="2" t="n">
        <v>44775</v>
      </c>
      <c r="G147" s="1" t="n"/>
    </row>
    <row r="148">
      <c r="A148" s="26" t="n">
        <v>34008</v>
      </c>
      <c r="B148" s="26" t="inlineStr">
        <is>
          <t>ABSOLUT 80 VODKA</t>
        </is>
      </c>
      <c r="C148" s="7">
        <f>VLOOKUP(A148,SizeData!A$2:B$3839,2,FALSE)</f>
        <v/>
      </c>
      <c r="D148" s="26" t="n">
        <v>1</v>
      </c>
      <c r="E148" s="26" t="inlineStr">
        <is>
          <t>R1725227</t>
        </is>
      </c>
      <c r="F148" s="61" t="n">
        <v>44779</v>
      </c>
      <c r="G148" s="62" t="n"/>
    </row>
    <row r="149">
      <c r="A149" s="6" t="n">
        <v>34008</v>
      </c>
      <c r="B149" s="6" t="inlineStr">
        <is>
          <t>ABSOLUT 80 VODKA</t>
        </is>
      </c>
      <c r="C149" s="7">
        <f>VLOOKUP(A149,SizeData!A$2:B$3839,2,FALSE)</f>
        <v/>
      </c>
      <c r="D149" s="6" t="n">
        <v>1</v>
      </c>
      <c r="E149" s="6" t="inlineStr">
        <is>
          <t>R1866529</t>
        </is>
      </c>
      <c r="F149" s="2" t="n">
        <v>44876</v>
      </c>
      <c r="G149" s="1" t="n"/>
    </row>
    <row r="150">
      <c r="A150" s="6" t="n">
        <v>34008</v>
      </c>
      <c r="B150" s="6" t="inlineStr">
        <is>
          <t>ABSOLUT 80 VODKA</t>
        </is>
      </c>
      <c r="C150" s="7">
        <f>VLOOKUP(A150,SizeData!A$2:B$3839,2,FALSE)</f>
        <v/>
      </c>
      <c r="D150" s="6" t="n">
        <v>1</v>
      </c>
      <c r="E150" s="6" t="inlineStr">
        <is>
          <t>R1866868</t>
        </is>
      </c>
      <c r="F150" s="2" t="n">
        <v>44882</v>
      </c>
      <c r="G150" s="1" t="n"/>
    </row>
    <row r="151">
      <c r="A151" s="6" t="n">
        <v>34008</v>
      </c>
      <c r="B151" s="6" t="inlineStr">
        <is>
          <t>ABSOLUT 80 VODKA</t>
        </is>
      </c>
      <c r="C151" s="7">
        <f>VLOOKUP(A151,SizeData!A$2:B$3839,2,FALSE)</f>
        <v/>
      </c>
      <c r="D151" s="6" t="n">
        <v>10</v>
      </c>
      <c r="E151" s="6" t="inlineStr">
        <is>
          <t>R1900268</t>
        </is>
      </c>
      <c r="F151" s="2" t="n">
        <v>44902</v>
      </c>
      <c r="G151" s="1" t="n"/>
    </row>
    <row r="152">
      <c r="A152" s="6" t="n">
        <v>87033</v>
      </c>
      <c r="B152" s="6" t="inlineStr">
        <is>
          <t>ADICTIVO ANEJO TEQUILA</t>
        </is>
      </c>
      <c r="C152" s="7">
        <f>VLOOKUP(A152,SizeData!A$2:B$3839,2,FALSE)</f>
        <v/>
      </c>
      <c r="D152" s="6" t="n">
        <v>1</v>
      </c>
      <c r="E152" s="6" t="inlineStr">
        <is>
          <t>R1533907</t>
        </is>
      </c>
      <c r="F152" s="2" t="n">
        <v>44646</v>
      </c>
      <c r="G152" s="1" t="n"/>
    </row>
    <row r="153">
      <c r="A153" s="6" t="n">
        <v>87033</v>
      </c>
      <c r="B153" s="6" t="inlineStr">
        <is>
          <t>ADICTIVO ANEJO TEQUILA</t>
        </is>
      </c>
      <c r="C153" s="7">
        <f>VLOOKUP(A153,SizeData!A$2:B$3839,2,FALSE)</f>
        <v/>
      </c>
      <c r="D153" s="6" t="n">
        <v>1</v>
      </c>
      <c r="E153" s="6" t="inlineStr">
        <is>
          <t>R1602016</t>
        </is>
      </c>
      <c r="F153" s="2" t="n">
        <v>44688</v>
      </c>
      <c r="G153" s="1" t="n"/>
    </row>
    <row r="154">
      <c r="A154" s="6" t="n">
        <v>87033</v>
      </c>
      <c r="B154" s="6" t="inlineStr">
        <is>
          <t>ADICTIVO ANEJO TEQUILA</t>
        </is>
      </c>
      <c r="C154" s="7">
        <f>VLOOKUP(A154,SizeData!A$2:B$3839,2,FALSE)</f>
        <v/>
      </c>
      <c r="D154" s="6" t="n">
        <v>1</v>
      </c>
      <c r="E154" s="6" t="inlineStr">
        <is>
          <t>R1781063</t>
        </is>
      </c>
      <c r="F154" s="2" t="n">
        <v>44823</v>
      </c>
      <c r="G154" s="1" t="n"/>
    </row>
    <row r="155">
      <c r="A155" s="6" t="n">
        <v>87029</v>
      </c>
      <c r="B155" s="6" t="inlineStr">
        <is>
          <t>ADICTIVO EXTRA ANEJO TEQUILA</t>
        </is>
      </c>
      <c r="C155" s="7">
        <f>VLOOKUP(A155,SizeData!A$2:B$3839,2,FALSE)</f>
        <v/>
      </c>
      <c r="D155" s="6" t="n">
        <v>1</v>
      </c>
      <c r="E155" s="6" t="inlineStr">
        <is>
          <t>R1602016</t>
        </is>
      </c>
      <c r="F155" s="2" t="n">
        <v>44688</v>
      </c>
      <c r="G155" s="1" t="n"/>
    </row>
    <row r="156">
      <c r="A156" s="6" t="n">
        <v>87025</v>
      </c>
      <c r="B156" s="6" t="inlineStr">
        <is>
          <t>ADICTIVO PLATA TEQUILA</t>
        </is>
      </c>
      <c r="C156" s="7">
        <f>VLOOKUP(A156,SizeData!A$2:B$3839,2,FALSE)</f>
        <v/>
      </c>
      <c r="D156" s="6" t="n">
        <v>2</v>
      </c>
      <c r="E156" s="6" t="inlineStr">
        <is>
          <t>R1533907</t>
        </is>
      </c>
      <c r="F156" s="2" t="n">
        <v>44646</v>
      </c>
      <c r="G156" s="1" t="n"/>
    </row>
    <row r="157">
      <c r="A157" s="6" t="n">
        <v>87025</v>
      </c>
      <c r="B157" s="6" t="inlineStr">
        <is>
          <t>ADICTIVO PLATA TEQUILA</t>
        </is>
      </c>
      <c r="C157" s="7">
        <f>VLOOKUP(A157,SizeData!A$2:B$3839,2,FALSE)</f>
        <v/>
      </c>
      <c r="D157" s="6" t="n">
        <v>1</v>
      </c>
      <c r="E157" s="6" t="inlineStr">
        <is>
          <t>R1619359</t>
        </is>
      </c>
      <c r="F157" s="2" t="n">
        <v>44716</v>
      </c>
      <c r="G157" s="1" t="n"/>
    </row>
    <row r="158">
      <c r="A158" s="6" t="n">
        <v>87025</v>
      </c>
      <c r="B158" s="6" t="inlineStr">
        <is>
          <t>ADICTIVO PLATA TEQUILA</t>
        </is>
      </c>
      <c r="C158" s="7">
        <f>VLOOKUP(A158,SizeData!A$2:B$3839,2,FALSE)</f>
        <v/>
      </c>
      <c r="D158" s="6" t="n">
        <v>2</v>
      </c>
      <c r="E158" s="6" t="inlineStr">
        <is>
          <t>R1767069</t>
        </is>
      </c>
      <c r="F158" s="2" t="n">
        <v>44814</v>
      </c>
      <c r="G158" s="1" t="n"/>
    </row>
    <row r="159">
      <c r="A159" s="6" t="n">
        <v>87025</v>
      </c>
      <c r="B159" s="6" t="inlineStr">
        <is>
          <t>ADICTIVO PLATA TEQUILA</t>
        </is>
      </c>
      <c r="C159" s="7">
        <f>VLOOKUP(A159,SizeData!A$2:B$3839,2,FALSE)</f>
        <v/>
      </c>
      <c r="D159" s="6" t="n">
        <v>2</v>
      </c>
      <c r="E159" s="6" t="inlineStr">
        <is>
          <t>R1771175</t>
        </is>
      </c>
      <c r="F159" s="2" t="n">
        <v>44814</v>
      </c>
      <c r="G159" s="1" t="n"/>
    </row>
    <row r="160">
      <c r="A160" s="6" t="n">
        <v>87027</v>
      </c>
      <c r="B160" s="6" t="inlineStr">
        <is>
          <t>ADICTIVO REPOSADO TEQUILA</t>
        </is>
      </c>
      <c r="C160" s="7">
        <f>VLOOKUP(A160,SizeData!A$2:B$3839,2,FALSE)</f>
        <v/>
      </c>
      <c r="D160" s="6" t="n">
        <v>2</v>
      </c>
      <c r="E160" s="6" t="inlineStr">
        <is>
          <t>R1533907</t>
        </is>
      </c>
      <c r="F160" s="2" t="n">
        <v>44646</v>
      </c>
      <c r="G160" s="1" t="n"/>
    </row>
    <row r="161">
      <c r="A161" s="6" t="n">
        <v>87027</v>
      </c>
      <c r="B161" s="6" t="inlineStr">
        <is>
          <t>ADICTIVO REPOSADO TEQUILA</t>
        </is>
      </c>
      <c r="C161" s="7">
        <f>VLOOKUP(A161,SizeData!A$2:B$3839,2,FALSE)</f>
        <v/>
      </c>
      <c r="D161" s="6" t="n">
        <v>1</v>
      </c>
      <c r="E161" s="6" t="inlineStr">
        <is>
          <t>R1694782</t>
        </is>
      </c>
      <c r="F161" s="2" t="n">
        <v>44769</v>
      </c>
      <c r="G161" s="1" t="n"/>
    </row>
    <row r="162">
      <c r="A162" s="6" t="n">
        <v>87027</v>
      </c>
      <c r="B162" s="6" t="inlineStr">
        <is>
          <t>ADICTIVO REPOSADO TEQUILA</t>
        </is>
      </c>
      <c r="C162" s="7">
        <f>VLOOKUP(A162,SizeData!A$2:B$3839,2,FALSE)</f>
        <v/>
      </c>
      <c r="D162" s="6" t="n">
        <v>1</v>
      </c>
      <c r="E162" s="6" t="inlineStr">
        <is>
          <t>R1781063</t>
        </is>
      </c>
      <c r="F162" s="2" t="n">
        <v>44823</v>
      </c>
      <c r="G162" s="1" t="n"/>
    </row>
    <row r="163">
      <c r="A163" s="6" t="n">
        <v>43078</v>
      </c>
      <c r="B163" s="6" t="inlineStr">
        <is>
          <t>ADMIRAL NELSON'S COCONUT FLAVORED RUM 42PF</t>
        </is>
      </c>
      <c r="C163" s="7">
        <f>VLOOKUP(A163,SizeData!A$2:B$3839,2,FALSE)</f>
        <v/>
      </c>
      <c r="D163" s="6" t="n">
        <v>2</v>
      </c>
      <c r="E163" s="6" t="inlineStr">
        <is>
          <t>R1444066</t>
        </is>
      </c>
      <c r="F163" s="2" t="n">
        <v>44595</v>
      </c>
      <c r="G163" s="1" t="n"/>
    </row>
    <row r="164">
      <c r="A164" s="6" t="n">
        <v>43028</v>
      </c>
      <c r="B164" s="6" t="inlineStr">
        <is>
          <t>ADMIRAL NELSON'S SPICED RUM</t>
        </is>
      </c>
      <c r="C164" s="7">
        <f>VLOOKUP(A164,SizeData!A$2:B$3839,2,FALSE)</f>
        <v/>
      </c>
      <c r="D164" s="6" t="n">
        <v>3</v>
      </c>
      <c r="E164" s="6" t="inlineStr">
        <is>
          <t>R1486326</t>
        </is>
      </c>
      <c r="F164" s="2" t="n">
        <v>44616</v>
      </c>
      <c r="G164" s="1" t="n"/>
    </row>
    <row r="165">
      <c r="A165" s="26" t="n">
        <v>43028</v>
      </c>
      <c r="B165" s="26" t="inlineStr">
        <is>
          <t>ADMIRAL NELSON'S SPICED RUM</t>
        </is>
      </c>
      <c r="C165" s="7">
        <f>VLOOKUP(A165,SizeData!A$2:B$3839,2,FALSE)</f>
        <v/>
      </c>
      <c r="D165" s="26" t="n">
        <v>2</v>
      </c>
      <c r="E165" s="26" t="inlineStr">
        <is>
          <t>R1749316</t>
        </is>
      </c>
      <c r="F165" s="61" t="n">
        <v>44803</v>
      </c>
      <c r="G165" s="62" t="n"/>
    </row>
    <row r="166">
      <c r="A166" s="6" t="n">
        <v>43028</v>
      </c>
      <c r="B166" s="6" t="inlineStr">
        <is>
          <t>ADMIRAL NELSON'S SPICED RUM</t>
        </is>
      </c>
      <c r="C166" s="7">
        <f>VLOOKUP(A166,SizeData!A$2:B$3839,2,FALSE)</f>
        <v/>
      </c>
      <c r="D166" s="6" t="n">
        <v>2</v>
      </c>
      <c r="E166" s="6" t="inlineStr">
        <is>
          <t>R1883576</t>
        </is>
      </c>
      <c r="F166" s="2" t="n">
        <v>44895</v>
      </c>
      <c r="G166" s="1" t="n"/>
    </row>
    <row r="167">
      <c r="A167" s="6" t="n">
        <v>64083</v>
      </c>
      <c r="B167" s="6" t="inlineStr">
        <is>
          <t>ALIZE DE FRANCE (GOLD)</t>
        </is>
      </c>
      <c r="C167" s="7">
        <f>VLOOKUP(A167,SizeData!A$2:B$3839,2,FALSE)</f>
        <v/>
      </c>
      <c r="D167" s="6" t="n">
        <v>1</v>
      </c>
      <c r="E167" s="6" t="inlineStr">
        <is>
          <t>R1677409</t>
        </is>
      </c>
      <c r="F167" s="2" t="n">
        <v>44746</v>
      </c>
      <c r="G167" s="1" t="n"/>
    </row>
    <row r="168" ht="15.75" customHeight="1">
      <c r="A168" s="6" t="n">
        <v>64083</v>
      </c>
      <c r="B168" s="6" t="inlineStr">
        <is>
          <t>ALIZE DE FRANCE (GOLD)</t>
        </is>
      </c>
      <c r="C168" s="7">
        <f>VLOOKUP(A168,SizeData!A$2:B$3839,2,FALSE)</f>
        <v/>
      </c>
      <c r="D168" s="6" t="n">
        <v>1</v>
      </c>
      <c r="E168" s="6" t="inlineStr">
        <is>
          <t>R1738647</t>
        </is>
      </c>
      <c r="F168" s="2" t="n">
        <v>44791</v>
      </c>
      <c r="G168" s="1" t="n"/>
    </row>
    <row r="169">
      <c r="A169" s="6" t="n">
        <v>64083</v>
      </c>
      <c r="B169" s="6" t="inlineStr">
        <is>
          <t>ALIZE DE FRANCE (GOLD)</t>
        </is>
      </c>
      <c r="C169" s="7">
        <f>VLOOKUP(A169,SizeData!A$2:B$3839,2,FALSE)</f>
        <v/>
      </c>
      <c r="D169" s="6" t="n">
        <v>1</v>
      </c>
      <c r="E169" s="6" t="inlineStr">
        <is>
          <t>R1798963</t>
        </is>
      </c>
      <c r="F169" s="2" t="n">
        <v>44844</v>
      </c>
      <c r="G169" s="1" t="n"/>
    </row>
    <row r="170">
      <c r="A170" s="6" t="n">
        <v>64083</v>
      </c>
      <c r="B170" s="6" t="inlineStr">
        <is>
          <t>ALIZE DE FRANCE (GOLD)</t>
        </is>
      </c>
      <c r="C170" s="7">
        <f>VLOOKUP(A170,SizeData!A$2:B$3839,2,FALSE)</f>
        <v/>
      </c>
      <c r="D170" s="6" t="n">
        <v>2</v>
      </c>
      <c r="E170" s="6" t="inlineStr">
        <is>
          <t>R1894245</t>
        </is>
      </c>
      <c r="F170" s="2" t="n">
        <v>44902</v>
      </c>
      <c r="G170" s="1" t="n"/>
    </row>
    <row r="171">
      <c r="A171" s="6" t="n">
        <v>64083</v>
      </c>
      <c r="B171" s="6" t="inlineStr">
        <is>
          <t>ALIZE GOLD PASSION</t>
        </is>
      </c>
      <c r="C171" s="7">
        <f>VLOOKUP(A171,SizeData!A$2:B$3839,2,FALSE)</f>
        <v/>
      </c>
      <c r="D171" s="6" t="n">
        <v>1</v>
      </c>
      <c r="E171" s="6" t="inlineStr">
        <is>
          <t>R1421358</t>
        </is>
      </c>
      <c r="F171" s="2" t="n">
        <v>44579</v>
      </c>
      <c r="G171" s="1" t="n"/>
    </row>
    <row r="172">
      <c r="A172" s="6" t="n">
        <v>64085</v>
      </c>
      <c r="B172" s="6" t="inlineStr">
        <is>
          <t>ALIZE RED PASSION</t>
        </is>
      </c>
      <c r="C172" s="7">
        <f>VLOOKUP(A172,SizeData!A$2:B$3839,2,FALSE)</f>
        <v/>
      </c>
      <c r="D172" s="6" t="n">
        <v>2</v>
      </c>
      <c r="E172" s="6" t="inlineStr">
        <is>
          <t>R1403892</t>
        </is>
      </c>
      <c r="F172" s="2" t="n">
        <v>44573</v>
      </c>
      <c r="G172" s="1" t="n"/>
    </row>
    <row r="173">
      <c r="A173" s="6" t="n">
        <v>64085</v>
      </c>
      <c r="B173" s="6" t="inlineStr">
        <is>
          <t>ALIZE RED PASSION</t>
        </is>
      </c>
      <c r="C173" s="7">
        <f>VLOOKUP(A173,SizeData!A$2:B$3839,2,FALSE)</f>
        <v/>
      </c>
      <c r="D173" s="6" t="n">
        <v>1</v>
      </c>
      <c r="E173" s="6" t="inlineStr">
        <is>
          <t>R1481181</t>
        </is>
      </c>
      <c r="F173" s="2" t="n">
        <v>44614</v>
      </c>
      <c r="G173" s="1" t="n"/>
    </row>
    <row r="174">
      <c r="A174" s="6" t="n">
        <v>64085</v>
      </c>
      <c r="B174" s="6" t="inlineStr">
        <is>
          <t>ALIZE RED PASSION</t>
        </is>
      </c>
      <c r="C174" s="7">
        <f>VLOOKUP(A174,SizeData!A$2:B$3839,2,FALSE)</f>
        <v/>
      </c>
      <c r="D174" s="6" t="n">
        <v>1</v>
      </c>
      <c r="E174" s="6" t="inlineStr">
        <is>
          <t>R1768318</t>
        </is>
      </c>
      <c r="F174" s="2" t="n">
        <v>44816</v>
      </c>
      <c r="G174" s="1" t="n"/>
    </row>
    <row r="175">
      <c r="A175" s="6" t="n">
        <v>64085</v>
      </c>
      <c r="B175" s="6" t="inlineStr">
        <is>
          <t>ALIZE RED PASSION</t>
        </is>
      </c>
      <c r="C175" s="7">
        <f>VLOOKUP(A175,SizeData!A$2:B$3839,2,FALSE)</f>
        <v/>
      </c>
      <c r="D175" s="6" t="n">
        <v>2</v>
      </c>
      <c r="E175" s="6" t="inlineStr">
        <is>
          <t>R1839907</t>
        </is>
      </c>
      <c r="F175" s="2" t="n">
        <v>44861</v>
      </c>
      <c r="G175" s="1" t="n"/>
    </row>
    <row r="176">
      <c r="A176" s="6" t="n">
        <v>64085</v>
      </c>
      <c r="B176" s="6" t="inlineStr">
        <is>
          <t>ALIZE RED PASSION</t>
        </is>
      </c>
      <c r="C176" s="7">
        <f>VLOOKUP(A176,SizeData!A$2:B$3839,2,FALSE)</f>
        <v/>
      </c>
      <c r="D176" s="6" t="n">
        <v>3</v>
      </c>
      <c r="E176" s="6" t="inlineStr">
        <is>
          <t>R1894245</t>
        </is>
      </c>
      <c r="F176" s="2" t="n">
        <v>44902</v>
      </c>
      <c r="G176" s="1" t="n"/>
    </row>
    <row r="177">
      <c r="A177" s="6" t="n">
        <v>73986</v>
      </c>
      <c r="B177" s="6" t="inlineStr">
        <is>
          <t>AMARETTO DI AMORE</t>
        </is>
      </c>
      <c r="C177" s="7">
        <f>VLOOKUP(A177,SizeData!A$2:B$3839,2,FALSE)</f>
        <v/>
      </c>
      <c r="D177" s="6" t="n">
        <v>1</v>
      </c>
      <c r="E177" s="6" t="inlineStr">
        <is>
          <t>R1452246</t>
        </is>
      </c>
      <c r="F177" s="2" t="n">
        <v>44600</v>
      </c>
      <c r="G177" s="1" t="n"/>
    </row>
    <row r="178">
      <c r="A178" s="6" t="n">
        <v>73986</v>
      </c>
      <c r="B178" s="6" t="inlineStr">
        <is>
          <t>AMARETTO DI AMORE</t>
        </is>
      </c>
      <c r="C178" s="7">
        <f>VLOOKUP(A178,SizeData!A$2:B$3839,2,FALSE)</f>
        <v/>
      </c>
      <c r="D178" s="6" t="n">
        <v>1</v>
      </c>
      <c r="E178" s="6" t="inlineStr">
        <is>
          <t>R1550755</t>
        </is>
      </c>
      <c r="F178" s="2" t="n">
        <v>44650</v>
      </c>
      <c r="G178" s="1" t="n"/>
    </row>
    <row r="179">
      <c r="A179" s="6" t="n">
        <v>73986</v>
      </c>
      <c r="B179" s="6" t="inlineStr">
        <is>
          <t>AMARETTO DI AMORE</t>
        </is>
      </c>
      <c r="C179" s="7">
        <f>VLOOKUP(A179,SizeData!A$2:B$3839,2,FALSE)</f>
        <v/>
      </c>
      <c r="D179" s="6" t="n">
        <v>2</v>
      </c>
      <c r="E179" s="6" t="inlineStr">
        <is>
          <t>R1645266</t>
        </is>
      </c>
      <c r="F179" s="2" t="n">
        <v>44718</v>
      </c>
      <c r="G179" s="1" t="n"/>
    </row>
    <row r="180">
      <c r="A180" s="26" t="n">
        <v>73986</v>
      </c>
      <c r="B180" s="26" t="inlineStr">
        <is>
          <t>AMARETTO DI AMORE</t>
        </is>
      </c>
      <c r="C180" s="75">
        <f>VLOOKUP(A180,SizeData!A$2:B$3839,2,FALSE)</f>
        <v/>
      </c>
      <c r="D180" s="26" t="n">
        <v>2</v>
      </c>
      <c r="E180" s="26" t="inlineStr">
        <is>
          <t>R1865535</t>
        </is>
      </c>
      <c r="F180" s="61" t="n">
        <v>44879</v>
      </c>
      <c r="G180" s="62" t="n"/>
    </row>
    <row r="181">
      <c r="A181" s="6" t="n">
        <v>71827</v>
      </c>
      <c r="B181" s="6" t="inlineStr">
        <is>
          <t>AMARITO AMARETTO</t>
        </is>
      </c>
      <c r="C181" s="7">
        <f>VLOOKUP(A181,SizeData!A$2:B$3839,2,FALSE)</f>
        <v/>
      </c>
      <c r="D181" s="6" t="n">
        <v>1</v>
      </c>
      <c r="E181" s="6" t="inlineStr">
        <is>
          <t>R1630969</t>
        </is>
      </c>
      <c r="F181" s="2" t="n">
        <v>44711</v>
      </c>
      <c r="G181" s="1" t="n"/>
    </row>
    <row r="182">
      <c r="A182" s="6" t="n">
        <v>71827</v>
      </c>
      <c r="B182" s="6" t="inlineStr">
        <is>
          <t>AMARITO AMARETTO</t>
        </is>
      </c>
      <c r="C182" s="7">
        <f>VLOOKUP(A182,SizeData!A$2:B$3839,2,FALSE)</f>
        <v/>
      </c>
      <c r="D182" s="6" t="n">
        <v>1</v>
      </c>
      <c r="E182" s="6" t="inlineStr">
        <is>
          <t>R1893163</t>
        </is>
      </c>
      <c r="F182" s="2" t="n">
        <v>44873</v>
      </c>
      <c r="G182" s="1" t="n"/>
    </row>
    <row r="183">
      <c r="A183" s="6" t="n">
        <v>741400</v>
      </c>
      <c r="B183" s="6" t="inlineStr">
        <is>
          <t>ANDRE CHAMPAGNE BRUT</t>
        </is>
      </c>
      <c r="C183" s="7">
        <f>VLOOKUP(A183,SizeData!A$2:B$3839,2,FALSE)</f>
        <v/>
      </c>
      <c r="D183" s="6" t="n">
        <v>5</v>
      </c>
      <c r="E183" s="6" t="inlineStr">
        <is>
          <t>R1400477</t>
        </is>
      </c>
      <c r="F183" s="2" t="n">
        <v>44561</v>
      </c>
      <c r="G183" s="1" t="n"/>
    </row>
    <row r="184">
      <c r="A184" s="6" t="n">
        <v>741400</v>
      </c>
      <c r="B184" s="6" t="inlineStr">
        <is>
          <t>ANDRE CHAMPAGNE BRUT</t>
        </is>
      </c>
      <c r="C184" s="7">
        <f>VLOOKUP(A184,SizeData!A$2:B$3839,2,FALSE)</f>
        <v/>
      </c>
      <c r="D184" s="6" t="n">
        <v>2</v>
      </c>
      <c r="E184" s="6" t="inlineStr">
        <is>
          <t>R1525413</t>
        </is>
      </c>
      <c r="F184" s="2" t="n">
        <v>44631</v>
      </c>
      <c r="G184" s="1" t="n"/>
    </row>
    <row r="185">
      <c r="A185" s="6" t="n">
        <v>741400</v>
      </c>
      <c r="B185" s="6" t="inlineStr">
        <is>
          <t>ANDRE CHAMPAGNE BRUT</t>
        </is>
      </c>
      <c r="C185" s="7">
        <f>VLOOKUP(A185,SizeData!A$2:B$3839,2,FALSE)</f>
        <v/>
      </c>
      <c r="D185" s="6" t="n">
        <v>3</v>
      </c>
      <c r="E185" s="6" t="inlineStr">
        <is>
          <t>R1515367</t>
        </is>
      </c>
      <c r="F185" s="2" t="n">
        <v>44635</v>
      </c>
      <c r="G185" s="1" t="n"/>
    </row>
    <row r="186">
      <c r="A186" s="6" t="n">
        <v>741400</v>
      </c>
      <c r="B186" s="6" t="inlineStr">
        <is>
          <t>ANDRE CHAMPAGNE BRUT</t>
        </is>
      </c>
      <c r="C186" s="7">
        <f>VLOOKUP(A186,SizeData!A$2:B$3839,2,FALSE)</f>
        <v/>
      </c>
      <c r="D186" s="6" t="n">
        <v>2</v>
      </c>
      <c r="E186" s="6" t="inlineStr">
        <is>
          <t>R1512696</t>
        </is>
      </c>
      <c r="F186" s="2" t="n">
        <v>44637</v>
      </c>
      <c r="G186" s="1" t="n"/>
    </row>
    <row r="187">
      <c r="A187" s="6" t="n">
        <v>741400</v>
      </c>
      <c r="B187" s="6" t="inlineStr">
        <is>
          <t>ANDRE CHAMPAGNE BRUT</t>
        </is>
      </c>
      <c r="C187" s="7">
        <f>VLOOKUP(A187,SizeData!A$2:B$3839,2,FALSE)</f>
        <v/>
      </c>
      <c r="D187" s="6" t="n">
        <v>2</v>
      </c>
      <c r="E187" s="6" t="inlineStr">
        <is>
          <t>R1625235</t>
        </is>
      </c>
      <c r="F187" s="2" t="n">
        <v>44698</v>
      </c>
      <c r="G187" s="1" t="n"/>
    </row>
    <row r="188">
      <c r="A188" s="6" t="n">
        <v>741400</v>
      </c>
      <c r="B188" s="6" t="inlineStr">
        <is>
          <t>ANDRE CHAMPAGNE BRUT</t>
        </is>
      </c>
      <c r="C188" s="7">
        <f>VLOOKUP(A188,SizeData!A$2:B$3839,2,FALSE)</f>
        <v/>
      </c>
      <c r="D188" s="6" t="n">
        <v>4</v>
      </c>
      <c r="E188" s="6" t="inlineStr">
        <is>
          <t>R1782657</t>
        </is>
      </c>
      <c r="F188" s="2" t="n">
        <v>44828</v>
      </c>
      <c r="G188" s="1" t="n"/>
    </row>
    <row r="189">
      <c r="A189" s="6" t="n">
        <v>741400</v>
      </c>
      <c r="B189" s="6" t="inlineStr">
        <is>
          <t>ANDRE CHAMPAGNE BRUT</t>
        </is>
      </c>
      <c r="C189" s="7">
        <f>VLOOKUP(A189,SizeData!A$2:B$3839,2,FALSE)</f>
        <v/>
      </c>
      <c r="D189" s="6" t="n">
        <v>2</v>
      </c>
      <c r="E189" s="6" t="inlineStr">
        <is>
          <t>R1853571</t>
        </is>
      </c>
      <c r="F189" s="2" t="n">
        <v>44873</v>
      </c>
      <c r="G189" s="1" t="n"/>
    </row>
    <row r="190">
      <c r="A190" s="6" t="n">
        <v>741400</v>
      </c>
      <c r="B190" s="6" t="inlineStr">
        <is>
          <t>ANDRE CHAMPAGNE BRUT</t>
        </is>
      </c>
      <c r="C190" s="7">
        <f>VLOOKUP(A190,SizeData!A$2:B$3839,2,FALSE)</f>
        <v/>
      </c>
      <c r="D190" s="6" t="n">
        <v>3</v>
      </c>
      <c r="E190" s="6" t="inlineStr">
        <is>
          <t>R1858355</t>
        </is>
      </c>
      <c r="F190" s="2" t="n">
        <v>44880</v>
      </c>
      <c r="G190" s="1" t="n"/>
    </row>
    <row r="191">
      <c r="A191" s="6" t="n">
        <v>768676</v>
      </c>
      <c r="B191" s="6" t="inlineStr">
        <is>
          <t>ANDRE CHAMPAGNE MOSCATO</t>
        </is>
      </c>
      <c r="C191" s="7">
        <f>VLOOKUP(A191,SizeData!A$2:B$3839,2,FALSE)</f>
        <v/>
      </c>
      <c r="D191" s="6" t="n">
        <v>2</v>
      </c>
      <c r="E191" s="6" t="inlineStr">
        <is>
          <t>R1393008</t>
        </is>
      </c>
      <c r="F191" s="2" t="n">
        <v>44558</v>
      </c>
      <c r="G191" s="1" t="n"/>
    </row>
    <row r="192">
      <c r="A192" s="6" t="n">
        <v>768676</v>
      </c>
      <c r="B192" s="6" t="inlineStr">
        <is>
          <t>ANDRE CHAMPAGNE MOSCATO</t>
        </is>
      </c>
      <c r="C192" s="7">
        <f>VLOOKUP(A192,SizeData!A$2:B$3839,2,FALSE)</f>
        <v/>
      </c>
      <c r="D192" s="6" t="n">
        <v>2</v>
      </c>
      <c r="E192" s="6" t="inlineStr">
        <is>
          <t>R1496401</t>
        </is>
      </c>
      <c r="F192" s="2" t="n">
        <v>44621</v>
      </c>
      <c r="G192" s="1" t="n"/>
    </row>
    <row r="193">
      <c r="A193" s="6" t="n">
        <v>768676</v>
      </c>
      <c r="B193" s="6" t="inlineStr">
        <is>
          <t>ANDRE CHAMPAGNE MOSCATO</t>
        </is>
      </c>
      <c r="C193" s="7">
        <f>VLOOKUP(A193,SizeData!A$2:B$3839,2,FALSE)</f>
        <v/>
      </c>
      <c r="D193" s="6" t="n">
        <v>4</v>
      </c>
      <c r="E193" s="6" t="inlineStr">
        <is>
          <t>R1515367</t>
        </is>
      </c>
      <c r="F193" s="2" t="n">
        <v>44635</v>
      </c>
      <c r="G193" s="1" t="n"/>
    </row>
    <row r="194">
      <c r="A194" s="6" t="n">
        <v>768676</v>
      </c>
      <c r="B194" s="6" t="inlineStr">
        <is>
          <t>ANDRE CHAMPAGNE MOSCATO</t>
        </is>
      </c>
      <c r="C194" s="7">
        <f>VLOOKUP(A194,SizeData!A$2:B$3839,2,FALSE)</f>
        <v/>
      </c>
      <c r="D194" s="6" t="n">
        <v>3</v>
      </c>
      <c r="E194" s="6" t="inlineStr">
        <is>
          <t>R1762660</t>
        </is>
      </c>
      <c r="F194" s="2" t="n">
        <v>44817</v>
      </c>
      <c r="G194" s="1" t="n"/>
    </row>
    <row r="195">
      <c r="A195" s="6" t="n">
        <v>768681</v>
      </c>
      <c r="B195" s="6" t="inlineStr">
        <is>
          <t>ANDRE CHAMPAGNE PEACH MOSCATO</t>
        </is>
      </c>
      <c r="C195" s="7">
        <f>VLOOKUP(A195,SizeData!A$2:B$3839,2,FALSE)</f>
        <v/>
      </c>
      <c r="D195" s="6" t="n">
        <v>4</v>
      </c>
      <c r="E195" s="6" t="inlineStr">
        <is>
          <t>R1400477</t>
        </is>
      </c>
      <c r="F195" s="2" t="n">
        <v>44561</v>
      </c>
      <c r="G195" s="1" t="n"/>
    </row>
    <row r="196">
      <c r="A196" s="6" t="n">
        <v>768681</v>
      </c>
      <c r="B196" s="6" t="inlineStr">
        <is>
          <t>ANDRE CHAMPAGNE PEACH MOSCATO</t>
        </is>
      </c>
      <c r="C196" s="7">
        <f>VLOOKUP(A196,SizeData!A$2:B$3839,2,FALSE)</f>
        <v/>
      </c>
      <c r="D196" s="6" t="n">
        <v>3</v>
      </c>
      <c r="E196" s="6" t="inlineStr">
        <is>
          <t>R1762660</t>
        </is>
      </c>
      <c r="F196" s="2" t="n">
        <v>44817</v>
      </c>
      <c r="G196" s="1" t="n"/>
    </row>
    <row r="197">
      <c r="A197" s="6" t="n">
        <v>768678</v>
      </c>
      <c r="B197" s="6" t="inlineStr">
        <is>
          <t>ANDRE CHAMPAGNE PINK MOSCATO</t>
        </is>
      </c>
      <c r="C197" s="7">
        <f>VLOOKUP(A197,SizeData!A$2:B$3839,2,FALSE)</f>
        <v/>
      </c>
      <c r="D197" s="6" t="n">
        <v>5</v>
      </c>
      <c r="E197" s="6" t="inlineStr">
        <is>
          <t>R1400477</t>
        </is>
      </c>
      <c r="F197" s="2" t="n">
        <v>44561</v>
      </c>
      <c r="G197" s="1" t="n"/>
    </row>
    <row r="198">
      <c r="A198" s="6" t="n">
        <v>768678</v>
      </c>
      <c r="B198" s="6" t="inlineStr">
        <is>
          <t>ANDRE CHAMPAGNE PINK MOSCATO</t>
        </is>
      </c>
      <c r="C198" s="7">
        <f>VLOOKUP(A198,SizeData!A$2:B$3839,2,FALSE)</f>
        <v/>
      </c>
      <c r="D198" s="6" t="n">
        <v>2</v>
      </c>
      <c r="E198" s="6" t="inlineStr">
        <is>
          <t>R1515367</t>
        </is>
      </c>
      <c r="F198" s="2" t="n">
        <v>44635</v>
      </c>
      <c r="G198" s="1" t="n"/>
    </row>
    <row r="199">
      <c r="A199" s="6" t="n">
        <v>768678</v>
      </c>
      <c r="B199" s="6" t="inlineStr">
        <is>
          <t>ANDRE CHAMPAGNE PINK MOSCATO</t>
        </is>
      </c>
      <c r="C199" s="7">
        <f>VLOOKUP(A199,SizeData!A$2:B$3839,2,FALSE)</f>
        <v/>
      </c>
      <c r="D199" s="6" t="n">
        <v>1</v>
      </c>
      <c r="E199" s="6" t="inlineStr">
        <is>
          <t>R1699078</t>
        </is>
      </c>
      <c r="F199" s="2" t="n">
        <v>44769</v>
      </c>
      <c r="G199" s="1" t="n"/>
    </row>
    <row r="200">
      <c r="A200" s="6" t="n">
        <v>768678</v>
      </c>
      <c r="B200" s="6" t="inlineStr">
        <is>
          <t>ANDRE CHAMPAGNE PINK MOSCATO</t>
        </is>
      </c>
      <c r="C200" s="7">
        <f>VLOOKUP(A200,SizeData!A$2:B$3839,2,FALSE)</f>
        <v/>
      </c>
      <c r="D200" s="6" t="n">
        <v>1</v>
      </c>
      <c r="E200" s="6" t="inlineStr">
        <is>
          <t>R1762660</t>
        </is>
      </c>
      <c r="F200" s="2" t="n">
        <v>44817</v>
      </c>
      <c r="G200" s="1" t="n"/>
    </row>
    <row r="201">
      <c r="A201" s="6" t="n">
        <v>768678</v>
      </c>
      <c r="B201" s="6" t="inlineStr">
        <is>
          <t>ANDRE CHAMPAGNE PINK MOSCATO</t>
        </is>
      </c>
      <c r="C201" s="7">
        <f>VLOOKUP(A201,SizeData!A$2:B$3839,2,FALSE)</f>
        <v/>
      </c>
      <c r="D201" s="6" t="n">
        <v>1</v>
      </c>
      <c r="E201" s="6" t="inlineStr">
        <is>
          <t>R1782657</t>
        </is>
      </c>
      <c r="F201" s="2" t="n">
        <v>44828</v>
      </c>
      <c r="G201" s="1" t="n"/>
    </row>
    <row r="202">
      <c r="A202" s="6" t="n">
        <v>768600</v>
      </c>
      <c r="B202" s="6" t="inlineStr">
        <is>
          <t>ANDRE CHAMPAGNE SPUMANTE</t>
        </is>
      </c>
      <c r="C202" s="7">
        <f>VLOOKUP(A202,SizeData!A$2:B$3839,2,FALSE)</f>
        <v/>
      </c>
      <c r="D202" s="6" t="n">
        <v>3</v>
      </c>
      <c r="E202" s="6" t="inlineStr">
        <is>
          <t>R1400477</t>
        </is>
      </c>
      <c r="F202" s="2" t="n">
        <v>44561</v>
      </c>
      <c r="G202" s="1" t="n"/>
    </row>
    <row r="203">
      <c r="A203" s="6" t="n">
        <v>768692</v>
      </c>
      <c r="B203" s="6" t="inlineStr">
        <is>
          <t>ANDRE CHAMPAGNE STRAWBERRY MOSCATO</t>
        </is>
      </c>
      <c r="C203" s="7">
        <f>VLOOKUP(A203,SizeData!A$2:B$3839,2,FALSE)</f>
        <v/>
      </c>
      <c r="D203" s="6" t="n">
        <v>2</v>
      </c>
      <c r="E203" s="6" t="inlineStr">
        <is>
          <t>R1393008</t>
        </is>
      </c>
      <c r="F203" s="2" t="n">
        <v>44558</v>
      </c>
      <c r="G203" s="1" t="n"/>
    </row>
    <row r="204">
      <c r="A204" s="6" t="n">
        <v>768692</v>
      </c>
      <c r="B204" s="6" t="inlineStr">
        <is>
          <t>ANDRE CHAMPAGNE STRAWBERRY MOSCATO</t>
        </is>
      </c>
      <c r="C204" s="7">
        <f>VLOOKUP(A204,SizeData!A$2:B$3839,2,FALSE)</f>
        <v/>
      </c>
      <c r="D204" s="6" t="n">
        <v>2</v>
      </c>
      <c r="E204" s="6" t="inlineStr">
        <is>
          <t>R1400477</t>
        </is>
      </c>
      <c r="F204" s="2" t="n">
        <v>44561</v>
      </c>
      <c r="G204" s="1" t="n"/>
    </row>
    <row r="205">
      <c r="A205" s="6" t="n">
        <v>768692</v>
      </c>
      <c r="B205" s="6" t="inlineStr">
        <is>
          <t>ANDRE CHAMPAGNE STRAWBERRY MOSCATO</t>
        </is>
      </c>
      <c r="C205" s="7">
        <f>VLOOKUP(A205,SizeData!A$2:B$3839,2,FALSE)</f>
        <v/>
      </c>
      <c r="D205" s="6" t="n">
        <v>2</v>
      </c>
      <c r="E205" s="6" t="inlineStr">
        <is>
          <t>R1496401</t>
        </is>
      </c>
      <c r="F205" s="2" t="n">
        <v>44621</v>
      </c>
      <c r="G205" s="1" t="n"/>
    </row>
    <row r="206">
      <c r="A206" s="6" t="n">
        <v>768692</v>
      </c>
      <c r="B206" s="6" t="inlineStr">
        <is>
          <t>ANDRE CHAMPAGNE STRAWBERRY MOSCATO</t>
        </is>
      </c>
      <c r="C206" s="7">
        <f>VLOOKUP(A206,SizeData!A$2:B$3839,2,FALSE)</f>
        <v/>
      </c>
      <c r="D206" s="6" t="n">
        <v>2</v>
      </c>
      <c r="E206" s="6" t="inlineStr">
        <is>
          <t>R1515367</t>
        </is>
      </c>
      <c r="F206" s="2" t="n">
        <v>44635</v>
      </c>
      <c r="G206" s="1" t="n"/>
    </row>
    <row r="207">
      <c r="A207" s="6" t="n">
        <v>768692</v>
      </c>
      <c r="B207" s="6" t="inlineStr">
        <is>
          <t>ANDRE CHAMPAGNE STRAWBERRY MOSCATO</t>
        </is>
      </c>
      <c r="C207" s="7">
        <f>VLOOKUP(A207,SizeData!A$2:B$3839,2,FALSE)</f>
        <v/>
      </c>
      <c r="D207" s="6" t="n">
        <v>1</v>
      </c>
      <c r="E207" s="6" t="inlineStr">
        <is>
          <t>R1699078</t>
        </is>
      </c>
      <c r="F207" s="2" t="n">
        <v>44769</v>
      </c>
      <c r="G207" s="1" t="n"/>
    </row>
    <row r="208">
      <c r="A208" s="6" t="n">
        <v>768692</v>
      </c>
      <c r="B208" s="6" t="inlineStr">
        <is>
          <t>ANDRE CHAMPAGNE STRAWBERRY MOSCATO</t>
        </is>
      </c>
      <c r="C208" s="7">
        <f>VLOOKUP(A208,SizeData!A$2:B$3839,2,FALSE)</f>
        <v/>
      </c>
      <c r="D208" s="6" t="n">
        <v>2</v>
      </c>
      <c r="E208" s="6" t="inlineStr">
        <is>
          <t>R1762660</t>
        </is>
      </c>
      <c r="F208" s="2" t="n">
        <v>44817</v>
      </c>
      <c r="G208" s="1" t="n"/>
    </row>
    <row r="209">
      <c r="A209" s="6" t="n">
        <v>741200</v>
      </c>
      <c r="B209" s="6" t="inlineStr">
        <is>
          <t>ANDRE EXTRA DRY CHAMPAGNE</t>
        </is>
      </c>
      <c r="C209" s="7">
        <f>VLOOKUP(A209,SizeData!A$2:B$3839,2,FALSE)</f>
        <v/>
      </c>
      <c r="D209" s="6" t="n">
        <v>15</v>
      </c>
      <c r="E209" s="6" t="inlineStr">
        <is>
          <t>R1400477</t>
        </is>
      </c>
      <c r="F209" s="2" t="n">
        <v>44561</v>
      </c>
      <c r="G209" s="1" t="n"/>
    </row>
    <row r="210">
      <c r="A210" s="6" t="n">
        <v>741200</v>
      </c>
      <c r="B210" s="6" t="inlineStr">
        <is>
          <t>ANDRE EXTRA DRY CHAMPAGNE</t>
        </is>
      </c>
      <c r="C210" s="7">
        <f>VLOOKUP(A210,SizeData!A$2:B$3839,2,FALSE)</f>
        <v/>
      </c>
      <c r="D210" s="6" t="n">
        <v>8</v>
      </c>
      <c r="E210" s="6" t="inlineStr">
        <is>
          <t>R1525413</t>
        </is>
      </c>
      <c r="F210" s="2" t="n">
        <v>44631</v>
      </c>
      <c r="G210" s="1" t="n"/>
    </row>
    <row r="211">
      <c r="A211" s="6" t="n">
        <v>741200</v>
      </c>
      <c r="B211" s="6" t="inlineStr">
        <is>
          <t>ANDRE EXTRA DRY CHAMPAGNE</t>
        </is>
      </c>
      <c r="C211" s="7">
        <f>VLOOKUP(A211,SizeData!A$2:B$3839,2,FALSE)</f>
        <v/>
      </c>
      <c r="D211" s="6" t="n">
        <v>2</v>
      </c>
      <c r="E211" s="6" t="inlineStr">
        <is>
          <t>R1672878</t>
        </is>
      </c>
      <c r="F211" s="2" t="n">
        <v>44743</v>
      </c>
      <c r="G211" s="1" t="n"/>
    </row>
    <row r="212">
      <c r="A212" s="6" t="n">
        <v>741200</v>
      </c>
      <c r="B212" s="6" t="inlineStr">
        <is>
          <t>ANDRE EXTRA DRY CHAMPAGNE</t>
        </is>
      </c>
      <c r="C212" s="7">
        <f>VLOOKUP(A212,SizeData!A$2:B$3839,2,FALSE)</f>
        <v/>
      </c>
      <c r="D212" s="6" t="n">
        <v>3</v>
      </c>
      <c r="E212" s="6" t="inlineStr">
        <is>
          <t>R1699078</t>
        </is>
      </c>
      <c r="F212" s="2" t="n">
        <v>44769</v>
      </c>
      <c r="G212" s="1" t="n"/>
    </row>
    <row r="213">
      <c r="A213" s="6" t="n">
        <v>741200</v>
      </c>
      <c r="B213" s="6" t="inlineStr">
        <is>
          <t>ANDRE EXTRA DRY CHAMPAGNE</t>
        </is>
      </c>
      <c r="C213" s="7">
        <f>VLOOKUP(A213,SizeData!A$2:B$3839,2,FALSE)</f>
        <v/>
      </c>
      <c r="D213" s="6" t="n">
        <v>2</v>
      </c>
      <c r="E213" s="6" t="inlineStr">
        <is>
          <t>R1762660</t>
        </is>
      </c>
      <c r="F213" s="2" t="n">
        <v>44817</v>
      </c>
      <c r="G213" s="1" t="n"/>
    </row>
    <row r="214">
      <c r="A214" s="6" t="n">
        <v>741200</v>
      </c>
      <c r="B214" s="6" t="inlineStr">
        <is>
          <t>ANDRE EXTRA DRY CHAMPAGNE</t>
        </is>
      </c>
      <c r="C214" s="7">
        <f>VLOOKUP(A214,SizeData!A$2:B$3839,2,FALSE)</f>
        <v/>
      </c>
      <c r="D214" s="6" t="n">
        <v>6</v>
      </c>
      <c r="E214" s="6" t="inlineStr">
        <is>
          <t>R1858355</t>
        </is>
      </c>
      <c r="F214" s="2" t="n">
        <v>44880</v>
      </c>
      <c r="G214" s="1" t="n"/>
    </row>
    <row r="215">
      <c r="A215" s="1" t="n">
        <v>741402</v>
      </c>
      <c r="B215" s="1" t="inlineStr">
        <is>
          <t>ANDRE PEACH BELLINI</t>
        </is>
      </c>
      <c r="C215" s="7">
        <f>VLOOKUP(A215,SizeData!A$2:B$3839,2,FALSE)</f>
        <v/>
      </c>
      <c r="D215" s="1" t="n">
        <v>5</v>
      </c>
      <c r="E215" s="1" t="inlineStr">
        <is>
          <t>R1540387</t>
        </is>
      </c>
      <c r="F215" s="33" t="n">
        <v>44649</v>
      </c>
      <c r="G215" s="1" t="n"/>
    </row>
    <row r="216">
      <c r="A216" s="6" t="n">
        <v>741402</v>
      </c>
      <c r="B216" s="6" t="inlineStr">
        <is>
          <t>ANDRE PEACH BELLINI</t>
        </is>
      </c>
      <c r="C216" s="7">
        <f>VLOOKUP(A216,SizeData!A$2:B$3839,2,FALSE)</f>
        <v/>
      </c>
      <c r="D216" s="6" t="n">
        <v>3</v>
      </c>
      <c r="E216" s="6" t="inlineStr">
        <is>
          <t>R1565902</t>
        </is>
      </c>
      <c r="F216" s="2" t="n">
        <v>44658</v>
      </c>
      <c r="G216" s="1" t="n"/>
    </row>
    <row r="217">
      <c r="A217" s="6" t="n">
        <v>741402</v>
      </c>
      <c r="B217" s="6" t="inlineStr">
        <is>
          <t>ANDRE PEACH BELLINI</t>
        </is>
      </c>
      <c r="C217" s="7">
        <f>VLOOKUP(A217,SizeData!A$2:B$3839,2,FALSE)</f>
        <v/>
      </c>
      <c r="D217" s="6" t="n">
        <v>3</v>
      </c>
      <c r="E217" s="6" t="inlineStr">
        <is>
          <t>R1585397</t>
        </is>
      </c>
      <c r="F217" s="2" t="n">
        <v>44677</v>
      </c>
      <c r="G217" s="1" t="n"/>
    </row>
    <row r="218">
      <c r="A218" s="6" t="n">
        <v>741402</v>
      </c>
      <c r="B218" s="6" t="inlineStr">
        <is>
          <t>ANDRE PEACH BELLINI</t>
        </is>
      </c>
      <c r="C218" s="7">
        <f>VLOOKUP(A218,SizeData!A$2:B$3839,2,FALSE)</f>
        <v/>
      </c>
      <c r="D218" s="6" t="n">
        <v>5</v>
      </c>
      <c r="E218" s="6" t="inlineStr">
        <is>
          <t>R1605436</t>
        </is>
      </c>
      <c r="F218" s="2" t="n">
        <v>44686</v>
      </c>
      <c r="G218" s="1" t="n"/>
    </row>
    <row r="219">
      <c r="A219" s="6" t="n">
        <v>741402</v>
      </c>
      <c r="B219" s="6" t="inlineStr">
        <is>
          <t>ANDRE PEACH BELLINI</t>
        </is>
      </c>
      <c r="C219" s="7">
        <f>VLOOKUP(A219,SizeData!A$2:B$3839,2,FALSE)</f>
        <v/>
      </c>
      <c r="D219" s="6" t="n">
        <v>2</v>
      </c>
      <c r="E219" s="6" t="inlineStr">
        <is>
          <t>R1624762</t>
        </is>
      </c>
      <c r="F219" s="2" t="n">
        <v>44712</v>
      </c>
      <c r="G219" s="1" t="n"/>
    </row>
    <row r="220">
      <c r="A220" s="6" t="n">
        <v>741402</v>
      </c>
      <c r="B220" s="6" t="inlineStr">
        <is>
          <t>ANDRE PEACH BELLINI</t>
        </is>
      </c>
      <c r="C220" s="7">
        <f>VLOOKUP(A220,SizeData!A$2:B$3839,2,FALSE)</f>
        <v/>
      </c>
      <c r="D220" s="6" t="n">
        <v>6</v>
      </c>
      <c r="E220" s="6" t="inlineStr">
        <is>
          <t>R1674336</t>
        </is>
      </c>
      <c r="F220" s="2" t="n">
        <v>44747</v>
      </c>
      <c r="G220" s="1" t="n"/>
    </row>
    <row r="221">
      <c r="A221" s="6" t="n">
        <v>741402</v>
      </c>
      <c r="B221" s="6" t="inlineStr">
        <is>
          <t>ANDRE PEACH BELLINI</t>
        </is>
      </c>
      <c r="C221" s="7">
        <f>VLOOKUP(A221,SizeData!A$2:B$3839,2,FALSE)</f>
        <v/>
      </c>
      <c r="D221" s="6" t="n">
        <v>2</v>
      </c>
      <c r="E221" s="6" t="inlineStr">
        <is>
          <t>R1715015</t>
        </is>
      </c>
      <c r="F221" s="2" t="n">
        <v>44768</v>
      </c>
      <c r="G221" s="1" t="n"/>
    </row>
    <row r="222">
      <c r="A222" s="6" t="n">
        <v>741402</v>
      </c>
      <c r="B222" s="6" t="inlineStr">
        <is>
          <t>ANDRE PEACH BELLINI</t>
        </is>
      </c>
      <c r="C222" s="7">
        <f>VLOOKUP(A222,SizeData!A$2:B$3839,2,FALSE)</f>
        <v/>
      </c>
      <c r="D222" s="6" t="n">
        <v>4</v>
      </c>
      <c r="E222" s="6" t="inlineStr">
        <is>
          <t>R1702995</t>
        </is>
      </c>
      <c r="F222" s="2" t="n">
        <v>44772</v>
      </c>
      <c r="G222" s="1" t="n"/>
    </row>
    <row r="223">
      <c r="A223" s="6" t="n">
        <v>741402</v>
      </c>
      <c r="B223" s="6" t="inlineStr">
        <is>
          <t>ANDRE PEACH BELLINI</t>
        </is>
      </c>
      <c r="C223" s="7">
        <f>VLOOKUP(A223,SizeData!A$2:B$3839,2,FALSE)</f>
        <v/>
      </c>
      <c r="D223" s="6" t="n">
        <v>2</v>
      </c>
      <c r="E223" s="6" t="inlineStr">
        <is>
          <t>R1712710</t>
        </is>
      </c>
      <c r="F223" s="2" t="n">
        <v>44772</v>
      </c>
      <c r="G223" s="1" t="n"/>
    </row>
    <row r="224">
      <c r="A224" s="6" t="n">
        <v>741402</v>
      </c>
      <c r="B224" s="6" t="inlineStr">
        <is>
          <t>ANDRE PEACH BELLINI</t>
        </is>
      </c>
      <c r="C224" s="7">
        <f>VLOOKUP(A224,SizeData!A$2:B$3839,2,FALSE)</f>
        <v/>
      </c>
      <c r="D224" s="6" t="n">
        <v>4</v>
      </c>
      <c r="E224" s="6" t="inlineStr">
        <is>
          <t>R1759269</t>
        </is>
      </c>
      <c r="F224" s="2" t="n">
        <v>44811</v>
      </c>
      <c r="G224" s="1" t="n"/>
    </row>
    <row r="225">
      <c r="A225" s="6" t="n">
        <v>741402</v>
      </c>
      <c r="B225" s="6" t="inlineStr">
        <is>
          <t>ANDRE PEACH BELLINI</t>
        </is>
      </c>
      <c r="C225" s="7">
        <f>VLOOKUP(A225,SizeData!A$2:B$3839,2,FALSE)</f>
        <v/>
      </c>
      <c r="D225" s="6" t="n">
        <v>10</v>
      </c>
      <c r="E225" s="6" t="inlineStr">
        <is>
          <t>R1772638</t>
        </is>
      </c>
      <c r="F225" s="2" t="n">
        <v>44824</v>
      </c>
      <c r="G225" s="1" t="n"/>
    </row>
    <row r="226">
      <c r="A226" s="6" t="n">
        <v>741402</v>
      </c>
      <c r="B226" s="6" t="inlineStr">
        <is>
          <t>ANDRE PEACH BELLINI</t>
        </is>
      </c>
      <c r="C226" s="7">
        <f>VLOOKUP(A226,SizeData!A$2:B$3839,2,FALSE)</f>
        <v/>
      </c>
      <c r="D226" s="6" t="n">
        <v>2</v>
      </c>
      <c r="E226" s="6" t="inlineStr">
        <is>
          <t>R1858355</t>
        </is>
      </c>
      <c r="F226" s="2" t="n">
        <v>44880</v>
      </c>
      <c r="G226" s="1" t="n"/>
    </row>
    <row r="227">
      <c r="A227" s="1" t="n">
        <v>741403</v>
      </c>
      <c r="B227" s="1" t="inlineStr">
        <is>
          <t>ANDRE PINEAPPLE MIMOSA</t>
        </is>
      </c>
      <c r="C227" s="7">
        <f>VLOOKUP(A227,SizeData!A$2:B$3839,2,FALSE)</f>
        <v/>
      </c>
      <c r="D227" s="1" t="n">
        <v>5</v>
      </c>
      <c r="E227" s="1" t="inlineStr">
        <is>
          <t>R1540387</t>
        </is>
      </c>
      <c r="F227" s="33" t="n">
        <v>44649</v>
      </c>
      <c r="G227" s="1" t="n"/>
    </row>
    <row r="228">
      <c r="A228" s="6" t="n">
        <v>741403</v>
      </c>
      <c r="B228" s="6" t="inlineStr">
        <is>
          <t>ANDRE PINEAPPLE MIMOSA</t>
        </is>
      </c>
      <c r="C228" s="7">
        <f>VLOOKUP(A228,SizeData!A$2:B$3839,2,FALSE)</f>
        <v/>
      </c>
      <c r="D228" s="6" t="n">
        <v>5</v>
      </c>
      <c r="E228" s="6" t="inlineStr">
        <is>
          <t>R1567034</t>
        </is>
      </c>
      <c r="F228" s="2" t="n">
        <v>44665</v>
      </c>
      <c r="G228" s="1" t="n"/>
    </row>
    <row r="229">
      <c r="A229" s="6" t="n">
        <v>741403</v>
      </c>
      <c r="B229" s="6" t="inlineStr">
        <is>
          <t>ANDRE PINEAPPLE MIMOSA</t>
        </is>
      </c>
      <c r="C229" s="7">
        <f>VLOOKUP(A229,SizeData!A$2:B$3839,2,FALSE)</f>
        <v/>
      </c>
      <c r="D229" s="6" t="n">
        <v>5</v>
      </c>
      <c r="E229" s="6" t="inlineStr">
        <is>
          <t>R1585397</t>
        </is>
      </c>
      <c r="F229" s="2" t="n">
        <v>44677</v>
      </c>
      <c r="G229" s="1" t="n"/>
    </row>
    <row r="230">
      <c r="A230" s="6" t="n">
        <v>741403</v>
      </c>
      <c r="B230" s="6" t="inlineStr">
        <is>
          <t>ANDRE PINEAPPLE MIMOSA</t>
        </is>
      </c>
      <c r="C230" s="7">
        <f>VLOOKUP(A230,SizeData!A$2:B$3839,2,FALSE)</f>
        <v/>
      </c>
      <c r="D230" s="6" t="n">
        <v>10</v>
      </c>
      <c r="E230" s="6" t="inlineStr">
        <is>
          <t>R1605436</t>
        </is>
      </c>
      <c r="F230" s="2" t="n">
        <v>44686</v>
      </c>
      <c r="G230" s="1" t="n"/>
    </row>
    <row r="231">
      <c r="A231" s="6" t="n">
        <v>741403</v>
      </c>
      <c r="B231" s="6" t="inlineStr">
        <is>
          <t>ANDRE PINEAPPLE MIMOSA</t>
        </is>
      </c>
      <c r="C231" s="7">
        <f>VLOOKUP(A231,SizeData!A$2:B$3839,2,FALSE)</f>
        <v/>
      </c>
      <c r="D231" s="6" t="n">
        <v>3</v>
      </c>
      <c r="E231" s="6" t="inlineStr">
        <is>
          <t>R1624762</t>
        </is>
      </c>
      <c r="F231" s="2" t="n">
        <v>44712</v>
      </c>
      <c r="G231" s="1" t="n"/>
    </row>
    <row r="232">
      <c r="A232" s="6" t="n">
        <v>741403</v>
      </c>
      <c r="B232" s="6" t="inlineStr">
        <is>
          <t>ANDRE PINEAPPLE MIMOSA</t>
        </is>
      </c>
      <c r="C232" s="7">
        <f>VLOOKUP(A232,SizeData!A$2:B$3839,2,FALSE)</f>
        <v/>
      </c>
      <c r="D232" s="6" t="n">
        <v>4</v>
      </c>
      <c r="E232" s="6" t="inlineStr">
        <is>
          <t>R1674336</t>
        </is>
      </c>
      <c r="F232" s="2" t="n">
        <v>44747</v>
      </c>
      <c r="G232" s="1" t="n"/>
    </row>
    <row r="233">
      <c r="A233" s="6" t="n">
        <v>741403</v>
      </c>
      <c r="B233" s="6" t="inlineStr">
        <is>
          <t>ANDRE PINEAPPLE MIMOSA</t>
        </is>
      </c>
      <c r="C233" s="7">
        <f>VLOOKUP(A233,SizeData!A$2:B$3839,2,FALSE)</f>
        <v/>
      </c>
      <c r="D233" s="6" t="n">
        <v>2</v>
      </c>
      <c r="E233" s="6" t="inlineStr">
        <is>
          <t>R1707277</t>
        </is>
      </c>
      <c r="F233" s="2" t="n">
        <v>44768</v>
      </c>
      <c r="G233" s="1" t="n"/>
    </row>
    <row r="234">
      <c r="A234" s="6" t="n">
        <v>741403</v>
      </c>
      <c r="B234" s="6" t="inlineStr">
        <is>
          <t>ANDRE PINEAPPLE MIMOSA</t>
        </is>
      </c>
      <c r="C234" s="7">
        <f>VLOOKUP(A234,SizeData!A$2:B$3839,2,FALSE)</f>
        <v/>
      </c>
      <c r="D234" s="6" t="n">
        <v>4</v>
      </c>
      <c r="E234" s="6" t="inlineStr">
        <is>
          <t>R1702995</t>
        </is>
      </c>
      <c r="F234" s="2" t="n">
        <v>44772</v>
      </c>
      <c r="G234" s="1" t="n"/>
    </row>
    <row r="235">
      <c r="A235" s="6" t="n">
        <v>741403</v>
      </c>
      <c r="B235" s="6" t="inlineStr">
        <is>
          <t>ANDRE PINEAPPLE MIMOSA</t>
        </is>
      </c>
      <c r="C235" s="7">
        <f>VLOOKUP(A235,SizeData!A$2:B$3839,2,FALSE)</f>
        <v/>
      </c>
      <c r="D235" s="6" t="n">
        <v>3</v>
      </c>
      <c r="E235" s="6" t="inlineStr">
        <is>
          <t>R1818650</t>
        </is>
      </c>
      <c r="F235" s="2" t="n">
        <v>44856</v>
      </c>
      <c r="G235" s="1" t="n"/>
    </row>
    <row r="236">
      <c r="A236" s="26" t="n">
        <v>741403</v>
      </c>
      <c r="B236" s="26" t="inlineStr">
        <is>
          <t>ANDRE PINEAPPLE MIMOSA</t>
        </is>
      </c>
      <c r="C236" s="75">
        <f>VLOOKUP(A236,SizeData!A$2:B$3839,2,FALSE)</f>
        <v/>
      </c>
      <c r="D236" s="26" t="n">
        <v>10</v>
      </c>
      <c r="E236" s="26" t="inlineStr">
        <is>
          <t>R1841934</t>
        </is>
      </c>
      <c r="F236" s="61" t="n">
        <v>44866</v>
      </c>
      <c r="G236" s="62" t="n"/>
    </row>
    <row r="237">
      <c r="A237" s="6" t="n">
        <v>16562</v>
      </c>
      <c r="B237" s="6" t="inlineStr">
        <is>
          <t>ANGELS ENVY WHISKEY</t>
        </is>
      </c>
      <c r="C237" s="7">
        <f>VLOOKUP(A237,SizeData!A$2:B$3839,2,FALSE)</f>
        <v/>
      </c>
      <c r="D237" s="6" t="n">
        <v>1</v>
      </c>
      <c r="E237" s="6" t="inlineStr">
        <is>
          <t>R1744308</t>
        </is>
      </c>
      <c r="F237" s="2" t="n">
        <v>44797</v>
      </c>
      <c r="G237" s="1" t="n"/>
    </row>
    <row r="238">
      <c r="A238" s="26" t="n">
        <v>16562</v>
      </c>
      <c r="B238" s="26" t="inlineStr">
        <is>
          <t>ANGELS ENVY WHISKEY</t>
        </is>
      </c>
      <c r="C238" s="7">
        <f>VLOOKUP(A238,SizeData!A$2:B$3839,2,FALSE)</f>
        <v/>
      </c>
      <c r="D238" s="26" t="n">
        <v>2</v>
      </c>
      <c r="E238" s="26" t="inlineStr">
        <is>
          <t>R1773123</t>
        </is>
      </c>
      <c r="F238" s="61" t="n">
        <v>44823</v>
      </c>
      <c r="G238" s="62" t="n"/>
    </row>
    <row r="239">
      <c r="A239" s="26" t="n">
        <v>16562</v>
      </c>
      <c r="B239" s="26" t="inlineStr">
        <is>
          <t>ANGELS ENVY WHISKEY</t>
        </is>
      </c>
      <c r="C239" s="7">
        <f>VLOOKUP(A239,SizeData!A$2:B$3839,2,FALSE)</f>
        <v/>
      </c>
      <c r="D239" s="26" t="n">
        <v>1</v>
      </c>
      <c r="E239" s="26" t="inlineStr">
        <is>
          <t>R1782657</t>
        </is>
      </c>
      <c r="F239" s="61" t="n">
        <v>44828</v>
      </c>
      <c r="G239" s="62" t="n"/>
    </row>
    <row r="240">
      <c r="A240" s="6" t="n">
        <v>47541</v>
      </c>
      <c r="B240" s="6" t="inlineStr">
        <is>
          <t>ANSAC BLACK KNIGHT SELECTION COGNAC</t>
        </is>
      </c>
      <c r="C240" s="7">
        <f>VLOOKUP(A240,SizeData!A$2:B$3839,2,FALSE)</f>
        <v/>
      </c>
      <c r="D240" s="6" t="n">
        <v>1</v>
      </c>
      <c r="E240" s="6" t="inlineStr">
        <is>
          <t>R1569610</t>
        </is>
      </c>
      <c r="F240" s="2" t="n">
        <v>44669</v>
      </c>
      <c r="G240" s="1" t="n"/>
    </row>
    <row r="241">
      <c r="A241" s="6" t="n">
        <v>47541</v>
      </c>
      <c r="B241" s="6" t="inlineStr">
        <is>
          <t>ANSAC BLACK KNIGHT SELECTION COGNAC</t>
        </is>
      </c>
      <c r="C241" s="7">
        <f>VLOOKUP(A241,SizeData!A$2:B$3839,2,FALSE)</f>
        <v/>
      </c>
      <c r="D241" s="6" t="n">
        <v>1</v>
      </c>
      <c r="E241" s="6" t="inlineStr">
        <is>
          <t>R1624394</t>
        </is>
      </c>
      <c r="F241" s="2" t="n">
        <v>44717</v>
      </c>
      <c r="G241" s="1" t="n"/>
    </row>
    <row r="242">
      <c r="A242" s="6" t="n">
        <v>47541</v>
      </c>
      <c r="B242" s="6" t="inlineStr">
        <is>
          <t>ANSAC BLACK KNIGHT SELECTION COGNAC</t>
        </is>
      </c>
      <c r="C242" s="7">
        <f>VLOOKUP(A242,SizeData!A$2:B$3839,2,FALSE)</f>
        <v/>
      </c>
      <c r="D242" s="6" t="n">
        <v>2</v>
      </c>
      <c r="E242" s="6" t="inlineStr">
        <is>
          <t>R1677409</t>
        </is>
      </c>
      <c r="F242" s="2" t="n">
        <v>44746</v>
      </c>
      <c r="G242" s="1" t="n"/>
    </row>
    <row r="243">
      <c r="A243" s="6" t="n">
        <v>47541</v>
      </c>
      <c r="B243" s="6" t="inlineStr">
        <is>
          <t>ANSAC BLACK KNIGHT SELECTION COGNAC</t>
        </is>
      </c>
      <c r="C243" s="7">
        <f>VLOOKUP(A243,SizeData!A$2:B$3839,2,FALSE)</f>
        <v/>
      </c>
      <c r="D243" s="6" t="n">
        <v>2</v>
      </c>
      <c r="E243" s="6" t="inlineStr">
        <is>
          <t>R1713939</t>
        </is>
      </c>
      <c r="F243" s="2" t="n">
        <v>44779</v>
      </c>
      <c r="G243" s="1" t="n"/>
    </row>
    <row r="244">
      <c r="A244" s="6" t="n">
        <v>47543</v>
      </c>
      <c r="B244" s="6" t="inlineStr">
        <is>
          <t>ANSAC V S COGNAC</t>
        </is>
      </c>
      <c r="C244" s="7">
        <f>VLOOKUP(A244,SizeData!A$2:B$3839,2,FALSE)</f>
        <v/>
      </c>
      <c r="D244" s="6" t="n">
        <v>1</v>
      </c>
      <c r="E244" s="6" t="inlineStr">
        <is>
          <t>R1432109</t>
        </is>
      </c>
      <c r="F244" s="2" t="n">
        <v>44585</v>
      </c>
      <c r="G244" s="1" t="n"/>
    </row>
    <row r="245">
      <c r="A245" s="6" t="n">
        <v>47543</v>
      </c>
      <c r="B245" s="6" t="inlineStr">
        <is>
          <t>ANSAC V S COGNAC</t>
        </is>
      </c>
      <c r="C245" s="7">
        <f>VLOOKUP(A245,SizeData!A$2:B$3839,2,FALSE)</f>
        <v/>
      </c>
      <c r="D245" s="6" t="n">
        <v>1</v>
      </c>
      <c r="E245" s="6" t="inlineStr">
        <is>
          <t>R1432109</t>
        </is>
      </c>
      <c r="F245" s="2" t="n">
        <v>44585</v>
      </c>
      <c r="G245" s="1" t="n"/>
    </row>
    <row r="246">
      <c r="A246" s="6" t="n">
        <v>47543</v>
      </c>
      <c r="B246" s="6" t="inlineStr">
        <is>
          <t>ANSAC V S COGNAC</t>
        </is>
      </c>
      <c r="C246" s="7">
        <f>VLOOKUP(A246,SizeData!A$2:B$3839,2,FALSE)</f>
        <v/>
      </c>
      <c r="D246" s="6" t="n">
        <v>5</v>
      </c>
      <c r="E246" s="6" t="inlineStr">
        <is>
          <t>R1633944</t>
        </is>
      </c>
      <c r="F246" s="2" t="n">
        <v>44718</v>
      </c>
      <c r="G246" s="1" t="n"/>
    </row>
    <row r="247">
      <c r="A247" s="6" t="n">
        <v>47544</v>
      </c>
      <c r="B247" s="6" t="inlineStr">
        <is>
          <t>ANSAC V S COGNAC</t>
        </is>
      </c>
      <c r="C247" s="7">
        <f>VLOOKUP(A247,SizeData!A$2:B$3839,2,FALSE)</f>
        <v/>
      </c>
      <c r="D247" s="6" t="n">
        <v>1</v>
      </c>
      <c r="E247" s="6" t="inlineStr">
        <is>
          <t>R1425372</t>
        </is>
      </c>
      <c r="F247" s="2" t="n">
        <v>44574</v>
      </c>
      <c r="G247" s="1" t="n"/>
    </row>
    <row r="248">
      <c r="A248" s="1" t="n">
        <v>47544</v>
      </c>
      <c r="B248" s="1" t="inlineStr">
        <is>
          <t>ANSAC V S COGNAC</t>
        </is>
      </c>
      <c r="C248" s="7">
        <f>VLOOKUP(A248,SizeData!A$2:B$3839,2,FALSE)</f>
        <v/>
      </c>
      <c r="D248" s="1" t="n">
        <v>2</v>
      </c>
      <c r="E248" s="1" t="inlineStr">
        <is>
          <t>R1537267</t>
        </is>
      </c>
      <c r="F248" s="33" t="n">
        <v>44649</v>
      </c>
      <c r="G248" s="1" t="n"/>
    </row>
    <row r="249">
      <c r="A249" s="6" t="n">
        <v>47544</v>
      </c>
      <c r="B249" s="6" t="inlineStr">
        <is>
          <t>ANSAC V S COGNAC</t>
        </is>
      </c>
      <c r="C249" s="7">
        <f>VLOOKUP(A249,SizeData!A$2:B$3839,2,FALSE)</f>
        <v/>
      </c>
      <c r="D249" s="6" t="n">
        <v>1</v>
      </c>
      <c r="E249" s="6" t="inlineStr">
        <is>
          <t>R1734629</t>
        </is>
      </c>
      <c r="F249" s="2" t="n">
        <v>44792</v>
      </c>
      <c r="G249" s="1" t="n"/>
    </row>
    <row r="250">
      <c r="A250" s="6" t="n">
        <v>47544</v>
      </c>
      <c r="B250" s="6" t="inlineStr">
        <is>
          <t>ANSAC V S COGNAC</t>
        </is>
      </c>
      <c r="C250" s="7">
        <f>VLOOKUP(A250,SizeData!A$2:B$3839,2,FALSE)</f>
        <v/>
      </c>
      <c r="D250" s="6" t="n">
        <v>1</v>
      </c>
      <c r="E250" s="6" t="inlineStr">
        <is>
          <t>R1823347</t>
        </is>
      </c>
      <c r="F250" s="2" t="n">
        <v>44853</v>
      </c>
      <c r="G250" s="1" t="n"/>
    </row>
    <row r="251">
      <c r="A251" s="6" t="n">
        <v>47544</v>
      </c>
      <c r="B251" s="6" t="inlineStr">
        <is>
          <t>ANSAC V S COGNAC</t>
        </is>
      </c>
      <c r="C251" s="7">
        <f>VLOOKUP(A251,SizeData!A$2:B$3839,2,FALSE)</f>
        <v/>
      </c>
      <c r="D251" s="6" t="n">
        <v>1</v>
      </c>
      <c r="E251" s="6" t="inlineStr">
        <is>
          <t>R1816996</t>
        </is>
      </c>
      <c r="F251" s="2" t="n">
        <v>44859</v>
      </c>
      <c r="G251" s="1" t="n"/>
    </row>
    <row r="252">
      <c r="A252" s="6" t="n">
        <v>47546</v>
      </c>
      <c r="B252" s="6" t="inlineStr">
        <is>
          <t>ANSAC V S COGNAC</t>
        </is>
      </c>
      <c r="C252" s="7">
        <f>VLOOKUP(A252,SizeData!A$2:B$3839,2,FALSE)</f>
        <v/>
      </c>
      <c r="D252" s="6" t="n">
        <v>6</v>
      </c>
      <c r="E252" s="6" t="inlineStr">
        <is>
          <t>R1530051</t>
        </is>
      </c>
      <c r="F252" s="2" t="n">
        <v>44637</v>
      </c>
      <c r="G252" s="1" t="n"/>
    </row>
    <row r="253">
      <c r="A253" s="6" t="n">
        <v>47546</v>
      </c>
      <c r="B253" s="6" t="inlineStr">
        <is>
          <t>ANSAC V S COGNAC</t>
        </is>
      </c>
      <c r="C253" s="7">
        <f>VLOOKUP(A253,SizeData!A$2:B$3839,2,FALSE)</f>
        <v/>
      </c>
      <c r="D253" s="6" t="n">
        <v>2</v>
      </c>
      <c r="E253" s="6" t="inlineStr">
        <is>
          <t>R1793644</t>
        </is>
      </c>
      <c r="F253" s="2" t="n">
        <v>44839</v>
      </c>
      <c r="G253" s="1" t="n"/>
    </row>
    <row r="254">
      <c r="A254" s="6" t="n">
        <v>47548</v>
      </c>
      <c r="B254" s="6" t="inlineStr">
        <is>
          <t>ANSAC V S COGNAC</t>
        </is>
      </c>
      <c r="C254" s="7">
        <f>VLOOKUP(A254,SizeData!A$2:B$3839,2,FALSE)</f>
        <v/>
      </c>
      <c r="D254" s="6" t="n">
        <v>1</v>
      </c>
      <c r="E254" s="6" t="inlineStr">
        <is>
          <t>R1632057</t>
        </is>
      </c>
      <c r="F254" s="2" t="n">
        <v>44716</v>
      </c>
      <c r="G254" s="1" t="n"/>
    </row>
    <row r="255">
      <c r="A255" s="6" t="n">
        <v>47548</v>
      </c>
      <c r="B255" s="6" t="inlineStr">
        <is>
          <t>ANSAC V S COGNAC</t>
        </is>
      </c>
      <c r="C255" s="7">
        <f>VLOOKUP(A255,SizeData!A$2:B$3839,2,FALSE)</f>
        <v/>
      </c>
      <c r="D255" s="6" t="n">
        <v>1</v>
      </c>
      <c r="E255" s="6" t="inlineStr">
        <is>
          <t>R1905562</t>
        </is>
      </c>
      <c r="F255" s="2" t="n">
        <v>44902</v>
      </c>
      <c r="G255" s="1" t="n"/>
    </row>
    <row r="256">
      <c r="A256" s="6" t="n">
        <v>64147</v>
      </c>
      <c r="B256" s="6" t="inlineStr">
        <is>
          <t>APEROL LIQUEUR</t>
        </is>
      </c>
      <c r="C256" s="7">
        <f>VLOOKUP(A256,SizeData!A$2:B$3839,2,FALSE)</f>
        <v/>
      </c>
      <c r="D256" s="6" t="n">
        <v>1</v>
      </c>
      <c r="E256" s="6" t="inlineStr">
        <is>
          <t>R1699703</t>
        </is>
      </c>
      <c r="F256" s="2" t="n">
        <v>44765</v>
      </c>
      <c r="G256" s="1" t="n"/>
    </row>
    <row r="257">
      <c r="A257" s="6" t="n">
        <v>441977</v>
      </c>
      <c r="B257" s="6" t="inlineStr">
        <is>
          <t>APOTHIC CRUSH</t>
        </is>
      </c>
      <c r="C257" s="7">
        <f>VLOOKUP(A257,SizeData!A$2:B$3839,2,FALSE)</f>
        <v/>
      </c>
      <c r="D257" s="6" t="n">
        <v>3</v>
      </c>
      <c r="E257" s="6" t="inlineStr">
        <is>
          <t>R1447041</t>
        </is>
      </c>
      <c r="F257" s="2" t="n">
        <v>44595</v>
      </c>
      <c r="G257" s="1" t="n"/>
    </row>
    <row r="258">
      <c r="A258" s="6" t="n">
        <v>441977</v>
      </c>
      <c r="B258" s="6" t="inlineStr">
        <is>
          <t>APOTHIC CRUSH</t>
        </is>
      </c>
      <c r="C258" s="7">
        <f>VLOOKUP(A258,SizeData!A$2:B$3839,2,FALSE)</f>
        <v/>
      </c>
      <c r="D258" s="6" t="n">
        <v>2</v>
      </c>
      <c r="E258" s="6" t="inlineStr">
        <is>
          <t>R1585685</t>
        </is>
      </c>
      <c r="F258" s="2" t="n">
        <v>44679</v>
      </c>
      <c r="G258" s="1" t="n"/>
    </row>
    <row r="259">
      <c r="A259" s="6" t="n">
        <v>441977</v>
      </c>
      <c r="B259" s="6" t="inlineStr">
        <is>
          <t>APOTHIC CRUSH</t>
        </is>
      </c>
      <c r="C259" s="7">
        <f>VLOOKUP(A259,SizeData!A$2:B$3839,2,FALSE)</f>
        <v/>
      </c>
      <c r="D259" s="6" t="n">
        <v>1</v>
      </c>
      <c r="E259" s="6" t="inlineStr">
        <is>
          <t>R1671975</t>
        </is>
      </c>
      <c r="F259" s="2" t="n">
        <v>44742</v>
      </c>
      <c r="G259" s="1" t="n"/>
    </row>
    <row r="260">
      <c r="A260" s="6" t="n">
        <v>96008</v>
      </c>
      <c r="B260" s="6" t="inlineStr">
        <is>
          <t>APOTHIC DARK LIMITED RELEASE CALIFORNIA</t>
        </is>
      </c>
      <c r="C260" s="7">
        <f>VLOOKUP(A260,SizeData!A$2:B$3839,2,FALSE)</f>
        <v/>
      </c>
      <c r="D260" s="6" t="n">
        <v>1</v>
      </c>
      <c r="E260" s="6" t="inlineStr">
        <is>
          <t>R1471448</t>
        </is>
      </c>
      <c r="F260" s="2" t="n">
        <v>44610</v>
      </c>
      <c r="G260" s="1" t="n"/>
    </row>
    <row r="261">
      <c r="A261" s="6" t="n">
        <v>96008</v>
      </c>
      <c r="B261" s="6" t="inlineStr">
        <is>
          <t>APOTHIC DARK LIMITED RELEASE CALIFORNIA</t>
        </is>
      </c>
      <c r="C261" s="7">
        <f>VLOOKUP(A261,SizeData!A$2:B$3839,2,FALSE)</f>
        <v/>
      </c>
      <c r="D261" s="6" t="n">
        <v>1</v>
      </c>
      <c r="E261" s="6" t="inlineStr">
        <is>
          <t>R1713939</t>
        </is>
      </c>
      <c r="F261" s="2" t="n">
        <v>44779</v>
      </c>
      <c r="G261" s="1" t="n"/>
    </row>
    <row r="262">
      <c r="A262" s="6" t="n">
        <v>96008</v>
      </c>
      <c r="B262" s="6" t="inlineStr">
        <is>
          <t>APOTHIC DARK LIMITED RELEASE CALIFORNIA</t>
        </is>
      </c>
      <c r="C262" s="7">
        <f>VLOOKUP(A262,SizeData!A$2:B$3839,2,FALSE)</f>
        <v/>
      </c>
      <c r="D262" s="6" t="n">
        <v>1</v>
      </c>
      <c r="E262" s="6" t="inlineStr">
        <is>
          <t>R1719137</t>
        </is>
      </c>
      <c r="F262" s="2" t="n">
        <v>44781</v>
      </c>
      <c r="G262" s="1" t="n"/>
    </row>
    <row r="263">
      <c r="A263" s="6" t="n">
        <v>441978</v>
      </c>
      <c r="B263" s="6" t="inlineStr">
        <is>
          <t>APOTHIC INFERNO RED BLEND CALIFORNIA</t>
        </is>
      </c>
      <c r="C263" s="7">
        <f>VLOOKUP(A263,SizeData!A$2:B$3839,2,FALSE)</f>
        <v/>
      </c>
      <c r="D263" s="6" t="n">
        <v>2</v>
      </c>
      <c r="E263" s="6" t="inlineStr">
        <is>
          <t>R1472811</t>
        </is>
      </c>
      <c r="F263" s="2" t="n">
        <v>44609</v>
      </c>
      <c r="G263" s="1" t="n"/>
    </row>
    <row r="264">
      <c r="A264" s="6" t="n">
        <v>441978</v>
      </c>
      <c r="B264" s="6" t="inlineStr">
        <is>
          <t>APOTHIC INFERNO RED BLEND CALIFORNIA</t>
        </is>
      </c>
      <c r="C264" s="7">
        <f>VLOOKUP(A264,SizeData!A$2:B$3839,2,FALSE)</f>
        <v/>
      </c>
      <c r="D264" s="6" t="n">
        <v>1</v>
      </c>
      <c r="E264" s="6" t="inlineStr">
        <is>
          <t>R1567269</t>
        </is>
      </c>
      <c r="F264" s="2" t="n">
        <v>44667</v>
      </c>
      <c r="G264" s="1" t="n"/>
    </row>
    <row r="265">
      <c r="A265" s="6" t="n">
        <v>441988</v>
      </c>
      <c r="B265" s="6" t="inlineStr">
        <is>
          <t>APOTHIC MERLOT CALIFORNIA</t>
        </is>
      </c>
      <c r="C265" s="7">
        <f>VLOOKUP(A265,SizeData!A$2:B$3839,2,FALSE)</f>
        <v/>
      </c>
      <c r="D265" s="6" t="n">
        <v>2</v>
      </c>
      <c r="E265" s="6" t="inlineStr">
        <is>
          <t>R1793644</t>
        </is>
      </c>
      <c r="F265" s="2" t="n">
        <v>44839</v>
      </c>
      <c r="G265" s="1" t="n"/>
    </row>
    <row r="266">
      <c r="A266" s="6" t="n">
        <v>441976</v>
      </c>
      <c r="B266" s="6" t="inlineStr">
        <is>
          <t>APOTHIC WINEMAKER'S BLND:SHR/ZIN/MER CAL</t>
        </is>
      </c>
      <c r="C266" s="7">
        <f>VLOOKUP(A266,SizeData!A$2:B$3839,2,FALSE)</f>
        <v/>
      </c>
      <c r="D266" s="6" t="n">
        <v>2</v>
      </c>
      <c r="E266" s="6" t="inlineStr">
        <is>
          <t>R1424786</t>
        </is>
      </c>
      <c r="F266" s="2" t="n">
        <v>44593</v>
      </c>
      <c r="G266" s="1" t="n"/>
    </row>
    <row r="267">
      <c r="A267" s="6" t="n">
        <v>441976</v>
      </c>
      <c r="B267" s="6" t="inlineStr">
        <is>
          <t>APOTHIC WINEMAKER'S BLND:SHR/ZIN/MER CAL</t>
        </is>
      </c>
      <c r="C267" s="7">
        <f>VLOOKUP(A267,SizeData!A$2:B$3839,2,FALSE)</f>
        <v/>
      </c>
      <c r="D267" s="6" t="n">
        <v>1</v>
      </c>
      <c r="E267" s="6" t="inlineStr">
        <is>
          <t>R1471448</t>
        </is>
      </c>
      <c r="F267" s="2" t="n">
        <v>44610</v>
      </c>
      <c r="G267" s="1" t="n"/>
    </row>
    <row r="268">
      <c r="A268" s="6" t="n">
        <v>441976</v>
      </c>
      <c r="B268" s="6" t="inlineStr">
        <is>
          <t>APOTHIC WINEMAKER'S BLND:SHR/ZIN/MER CAL</t>
        </is>
      </c>
      <c r="C268" s="7">
        <f>VLOOKUP(A268,SizeData!A$2:B$3839,2,FALSE)</f>
        <v/>
      </c>
      <c r="D268" s="6" t="n">
        <v>1</v>
      </c>
      <c r="E268" s="6" t="inlineStr">
        <is>
          <t>R1478101</t>
        </is>
      </c>
      <c r="F268" s="2" t="n">
        <v>44610</v>
      </c>
      <c r="G268" s="1" t="n"/>
    </row>
    <row r="269">
      <c r="A269" s="6" t="n">
        <v>441976</v>
      </c>
      <c r="B269" s="6" t="inlineStr">
        <is>
          <t>APOTHIC WINEMAKER'S BLND:SHR/ZIN/MER CAL</t>
        </is>
      </c>
      <c r="C269" s="7">
        <f>VLOOKUP(A269,SizeData!A$2:B$3839,2,FALSE)</f>
        <v/>
      </c>
      <c r="D269" s="6" t="n">
        <v>5</v>
      </c>
      <c r="E269" s="6" t="inlineStr">
        <is>
          <t>R1567269</t>
        </is>
      </c>
      <c r="F269" s="2" t="n">
        <v>44667</v>
      </c>
      <c r="G269" s="1" t="n"/>
    </row>
    <row r="270">
      <c r="A270" s="6" t="n">
        <v>441976</v>
      </c>
      <c r="B270" s="6" t="inlineStr">
        <is>
          <t>APOTHIC WINEMAKER'S BLND:SHR/ZIN/MER CAL</t>
        </is>
      </c>
      <c r="C270" s="7">
        <f>VLOOKUP(A270,SizeData!A$2:B$3839,2,FALSE)</f>
        <v/>
      </c>
      <c r="D270" s="6" t="n">
        <v>5</v>
      </c>
      <c r="E270" s="6" t="inlineStr">
        <is>
          <t>R1587377</t>
        </is>
      </c>
      <c r="F270" s="2" t="n">
        <v>44681</v>
      </c>
      <c r="G270" s="1" t="n"/>
    </row>
    <row r="271">
      <c r="A271" s="6" t="n">
        <v>441976</v>
      </c>
      <c r="B271" s="6" t="inlineStr">
        <is>
          <t>APOTHIC WINEMAKER'S BLND:SHR/ZIN/MER CAL</t>
        </is>
      </c>
      <c r="C271" s="7">
        <f>VLOOKUP(A271,SizeData!A$2:B$3839,2,FALSE)</f>
        <v/>
      </c>
      <c r="D271" s="6" t="n">
        <v>3</v>
      </c>
      <c r="E271" s="6" t="inlineStr">
        <is>
          <t>R1713939</t>
        </is>
      </c>
      <c r="F271" s="2" t="n">
        <v>44779</v>
      </c>
      <c r="G271" s="1" t="n"/>
    </row>
    <row r="272">
      <c r="A272" s="6" t="n">
        <v>441976</v>
      </c>
      <c r="B272" s="6" t="inlineStr">
        <is>
          <t>APOTHIC WINEMAKER'S BLND:SHR/ZIN/MER CAL</t>
        </is>
      </c>
      <c r="C272" s="7">
        <f>VLOOKUP(A272,SizeData!A$2:B$3839,2,FALSE)</f>
        <v/>
      </c>
      <c r="D272" s="6" t="n">
        <v>1</v>
      </c>
      <c r="E272" s="6" t="inlineStr">
        <is>
          <t>R1744939</t>
        </is>
      </c>
      <c r="F272" s="2" t="n">
        <v>44804</v>
      </c>
      <c r="G272" s="1" t="n"/>
    </row>
    <row r="273">
      <c r="A273" s="6" t="n">
        <v>441976</v>
      </c>
      <c r="B273" s="6" t="inlineStr">
        <is>
          <t>APOTHIC WINEMAKER'S BLND:SHR/ZIN/MER CAL</t>
        </is>
      </c>
      <c r="C273" s="7">
        <f>VLOOKUP(A273,SizeData!A$2:B$3839,2,FALSE)</f>
        <v/>
      </c>
      <c r="D273" s="6" t="n">
        <v>6</v>
      </c>
      <c r="E273" s="6" t="inlineStr">
        <is>
          <t>R1793644</t>
        </is>
      </c>
      <c r="F273" s="2" t="n">
        <v>44839</v>
      </c>
      <c r="G273" s="1" t="n"/>
    </row>
    <row r="274">
      <c r="A274" s="6" t="n">
        <v>441976</v>
      </c>
      <c r="B274" s="6" t="inlineStr">
        <is>
          <t>APOTHIC WINEMAKER'S BLND:SHR/ZIN/MER CAL</t>
        </is>
      </c>
      <c r="C274" s="7">
        <f>VLOOKUP(A274,SizeData!A$2:B$3839,2,FALSE)</f>
        <v/>
      </c>
      <c r="D274" s="6" t="n">
        <v>10</v>
      </c>
      <c r="E274" s="6" t="inlineStr">
        <is>
          <t>R1839907</t>
        </is>
      </c>
      <c r="F274" s="2" t="n">
        <v>44861</v>
      </c>
      <c r="G274" s="1" t="n"/>
    </row>
    <row r="275">
      <c r="A275" s="6" t="n">
        <v>43797</v>
      </c>
      <c r="B275" s="6" t="inlineStr">
        <is>
          <t>APPLETON ESTATE SIGNATURE SINGLE ESTATE RUM</t>
        </is>
      </c>
      <c r="C275" s="7">
        <f>VLOOKUP(A275,SizeData!A$2:B$3839,2,FALSE)</f>
        <v/>
      </c>
      <c r="D275" s="6" t="n">
        <v>1</v>
      </c>
      <c r="E275" s="6" t="inlineStr">
        <is>
          <t>R1746324</t>
        </is>
      </c>
      <c r="F275" s="2" t="n">
        <v>44796</v>
      </c>
      <c r="G275" s="1" t="n"/>
    </row>
    <row r="276">
      <c r="A276" s="6" t="n">
        <v>29098</v>
      </c>
      <c r="B276" s="6" t="inlineStr">
        <is>
          <t>ARISTOCRAT GIN</t>
        </is>
      </c>
      <c r="C276" s="7">
        <f>VLOOKUP(A276,SizeData!A$2:B$3839,2,FALSE)</f>
        <v/>
      </c>
      <c r="D276" s="6" t="n">
        <v>1</v>
      </c>
      <c r="E276" s="6" t="inlineStr">
        <is>
          <t>R1480080</t>
        </is>
      </c>
      <c r="F276" s="2" t="n">
        <v>44611</v>
      </c>
      <c r="G276" s="1" t="n"/>
    </row>
    <row r="277">
      <c r="A277" s="6" t="n">
        <v>29098</v>
      </c>
      <c r="B277" s="6" t="inlineStr">
        <is>
          <t>ARISTOCRAT GIN</t>
        </is>
      </c>
      <c r="C277" s="7">
        <f>VLOOKUP(A277,SizeData!A$2:B$3839,2,FALSE)</f>
        <v/>
      </c>
      <c r="D277" s="6" t="n">
        <v>1</v>
      </c>
      <c r="E277" s="6" t="inlineStr">
        <is>
          <t>R1866531</t>
        </is>
      </c>
      <c r="F277" s="2" t="n">
        <v>44877</v>
      </c>
      <c r="G277" s="1" t="n"/>
    </row>
    <row r="278">
      <c r="A278" s="6" t="n">
        <v>82211</v>
      </c>
      <c r="B278" s="6" t="inlineStr">
        <is>
          <t>ARISTOCRAT PEACH SCHNAPPS</t>
        </is>
      </c>
      <c r="C278" s="7">
        <f>VLOOKUP(A278,SizeData!A$2:B$3839,2,FALSE)</f>
        <v/>
      </c>
      <c r="D278" s="6" t="n">
        <v>1</v>
      </c>
      <c r="E278" s="6" t="inlineStr">
        <is>
          <t>R1704212</t>
        </is>
      </c>
      <c r="F278" s="2" t="n">
        <v>44771</v>
      </c>
      <c r="G278" s="1" t="n"/>
    </row>
    <row r="279">
      <c r="A279" s="6" t="n">
        <v>82211</v>
      </c>
      <c r="B279" s="6" t="inlineStr">
        <is>
          <t>ARISTOCRAT PEACH SCHNAPPS</t>
        </is>
      </c>
      <c r="C279" s="7">
        <f>VLOOKUP(A279,SizeData!A$2:B$3839,2,FALSE)</f>
        <v/>
      </c>
      <c r="D279" s="6" t="n">
        <v>1</v>
      </c>
      <c r="E279" s="6" t="inlineStr">
        <is>
          <t>R1740281</t>
        </is>
      </c>
      <c r="F279" s="2" t="n">
        <v>44788</v>
      </c>
      <c r="G279" s="1" t="n"/>
    </row>
    <row r="280">
      <c r="A280" s="6" t="n">
        <v>82211</v>
      </c>
      <c r="B280" s="6" t="inlineStr">
        <is>
          <t>ARISTOCRAT PEACH SCHNAPPS</t>
        </is>
      </c>
      <c r="C280" s="7">
        <f>VLOOKUP(A280,SizeData!A$2:B$3839,2,FALSE)</f>
        <v/>
      </c>
      <c r="D280" s="6" t="n">
        <v>1</v>
      </c>
      <c r="E280" s="6" t="inlineStr">
        <is>
          <t>R1751568</t>
        </is>
      </c>
      <c r="F280" s="2" t="n">
        <v>44799</v>
      </c>
      <c r="G280" s="1" t="n"/>
    </row>
    <row r="281">
      <c r="A281" s="6" t="n">
        <v>82212</v>
      </c>
      <c r="B281" s="6" t="inlineStr">
        <is>
          <t>ARISTOCRAT PEACH SCHNAPPS</t>
        </is>
      </c>
      <c r="C281" s="7">
        <f>VLOOKUP(A281,SizeData!A$2:B$3839,2,FALSE)</f>
        <v/>
      </c>
      <c r="D281" s="6" t="n">
        <v>1</v>
      </c>
      <c r="E281" s="6" t="inlineStr">
        <is>
          <t>R1704212</t>
        </is>
      </c>
      <c r="F281" s="2" t="n">
        <v>44771</v>
      </c>
      <c r="G281" s="1" t="n"/>
    </row>
    <row r="282">
      <c r="A282" s="39" t="n">
        <v>35083</v>
      </c>
      <c r="B282" s="39" t="inlineStr">
        <is>
          <t>ARISTOCRAT SUPREME VODKA</t>
        </is>
      </c>
      <c r="C282" s="7">
        <f>VLOOKUP(A282,SizeData!A$2:B$3839,2,FALSE)</f>
        <v/>
      </c>
      <c r="D282" s="39" t="n">
        <v>1</v>
      </c>
      <c r="E282" s="39" t="inlineStr">
        <is>
          <t>R1376605</t>
        </is>
      </c>
      <c r="F282" s="40" t="n">
        <v>44544</v>
      </c>
      <c r="G282" s="41" t="n"/>
    </row>
    <row r="283">
      <c r="A283" s="6" t="n">
        <v>35083</v>
      </c>
      <c r="B283" s="6" t="inlineStr">
        <is>
          <t>ARISTOCRAT SUPREME VODKA</t>
        </is>
      </c>
      <c r="C283" s="7">
        <f>VLOOKUP(A283,SizeData!A$2:B$3839,2,FALSE)</f>
        <v/>
      </c>
      <c r="D283" s="6" t="n">
        <v>1</v>
      </c>
      <c r="E283" s="6" t="inlineStr">
        <is>
          <t>R1601838</t>
        </is>
      </c>
      <c r="F283" s="2" t="n">
        <v>44687</v>
      </c>
      <c r="G283" s="1" t="n"/>
    </row>
    <row r="284">
      <c r="A284" s="31" t="n">
        <v>35083</v>
      </c>
      <c r="B284" s="31" t="inlineStr">
        <is>
          <t>ARISTOCRAT SUPREME VODKA</t>
        </is>
      </c>
      <c r="C284" s="7">
        <f>VLOOKUP(A284,SizeData!A$2:B$3839,2,FALSE)</f>
        <v/>
      </c>
      <c r="D284" s="31" t="n">
        <v>3</v>
      </c>
      <c r="E284" s="31" t="inlineStr">
        <is>
          <t>R1653897</t>
        </is>
      </c>
      <c r="F284" s="33" t="n">
        <v>44738</v>
      </c>
      <c r="G284" s="34" t="n"/>
    </row>
    <row r="285">
      <c r="A285" s="39" t="n">
        <v>35083</v>
      </c>
      <c r="B285" s="39" t="inlineStr">
        <is>
          <t>ARISTOCRAT SUPREME VODKA</t>
        </is>
      </c>
      <c r="C285" s="7">
        <f>VLOOKUP(A285,SizeData!A$2:B$3839,2,FALSE)</f>
        <v/>
      </c>
      <c r="D285" s="39" t="n">
        <v>2</v>
      </c>
      <c r="E285" s="39" t="inlineStr">
        <is>
          <t>R1667718</t>
        </is>
      </c>
      <c r="F285" s="40" t="n">
        <v>44739</v>
      </c>
      <c r="G285" s="41" t="n"/>
    </row>
    <row r="286">
      <c r="A286" s="6" t="n">
        <v>35083</v>
      </c>
      <c r="B286" s="6" t="inlineStr">
        <is>
          <t>ARISTOCRAT SUPREME VODKA</t>
        </is>
      </c>
      <c r="C286" s="7">
        <f>VLOOKUP(A286,SizeData!A$2:B$3839,2,FALSE)</f>
        <v/>
      </c>
      <c r="D286" s="6" t="n">
        <v>1</v>
      </c>
      <c r="E286" s="6" t="inlineStr">
        <is>
          <t>R1782657</t>
        </is>
      </c>
      <c r="F286" s="2" t="n">
        <v>44828</v>
      </c>
      <c r="G286" s="1" t="n"/>
    </row>
    <row r="287">
      <c r="A287" s="6" t="n">
        <v>35083</v>
      </c>
      <c r="B287" s="6" t="inlineStr">
        <is>
          <t>ARISTOCRAT SUPREME VODKA</t>
        </is>
      </c>
      <c r="C287" s="7">
        <f>VLOOKUP(A287,SizeData!A$2:B$3839,2,FALSE)</f>
        <v/>
      </c>
      <c r="D287" s="6" t="n">
        <v>1</v>
      </c>
      <c r="E287" s="6" t="inlineStr">
        <is>
          <t>R1818650</t>
        </is>
      </c>
      <c r="F287" s="2" t="n">
        <v>44856</v>
      </c>
      <c r="G287" s="1" t="n"/>
    </row>
    <row r="288">
      <c r="A288" s="6" t="n">
        <v>35084</v>
      </c>
      <c r="B288" s="6" t="inlineStr">
        <is>
          <t>ARISTOCRAT SUPREME VODKA</t>
        </is>
      </c>
      <c r="C288" s="7">
        <f>VLOOKUP(A288,SizeData!A$2:B$3839,2,FALSE)</f>
        <v/>
      </c>
      <c r="D288" s="6" t="n">
        <v>1</v>
      </c>
      <c r="E288" s="6" t="inlineStr">
        <is>
          <t>R1590929</t>
        </is>
      </c>
      <c r="F288" s="2" t="n">
        <v>44677</v>
      </c>
      <c r="G288" s="1" t="n"/>
    </row>
    <row r="289">
      <c r="A289" s="6" t="n">
        <v>35084</v>
      </c>
      <c r="B289" s="6" t="inlineStr">
        <is>
          <t>ARISTOCRAT SUPREME VODKA</t>
        </is>
      </c>
      <c r="C289" s="7">
        <f>VLOOKUP(A289,SizeData!A$2:B$3839,2,FALSE)</f>
        <v/>
      </c>
      <c r="D289" s="6" t="n">
        <v>1</v>
      </c>
      <c r="E289" s="6" t="inlineStr">
        <is>
          <t>R1612379</t>
        </is>
      </c>
      <c r="F289" s="2" t="n">
        <v>44701</v>
      </c>
      <c r="G289" s="1" t="n"/>
    </row>
    <row r="290">
      <c r="A290" s="31" t="n">
        <v>35084</v>
      </c>
      <c r="B290" s="31" t="inlineStr">
        <is>
          <t>ARISTOCRAT SUPREME VODKA</t>
        </is>
      </c>
      <c r="C290" s="7">
        <f>VLOOKUP(A290,SizeData!A$2:B$3839,2,FALSE)</f>
        <v/>
      </c>
      <c r="D290" s="31" t="n">
        <v>1</v>
      </c>
      <c r="E290" s="31" t="inlineStr">
        <is>
          <t>R1653897</t>
        </is>
      </c>
      <c r="F290" s="33" t="n">
        <v>44738</v>
      </c>
      <c r="G290" s="34" t="n"/>
    </row>
    <row r="291">
      <c r="A291" s="6" t="n">
        <v>35084</v>
      </c>
      <c r="B291" s="6" t="inlineStr">
        <is>
          <t>ARISTOCRAT SUPREME VODKA</t>
        </is>
      </c>
      <c r="C291" s="7">
        <f>VLOOKUP(A291,SizeData!A$2:B$3839,2,FALSE)</f>
        <v/>
      </c>
      <c r="D291" s="6" t="n">
        <v>1</v>
      </c>
      <c r="E291" s="6" t="inlineStr">
        <is>
          <t>R1710119</t>
        </is>
      </c>
      <c r="F291" s="2" t="n">
        <v>44763</v>
      </c>
      <c r="G291" s="1" t="n"/>
    </row>
    <row r="292">
      <c r="A292" s="6" t="n">
        <v>35084</v>
      </c>
      <c r="B292" s="6" t="inlineStr">
        <is>
          <t>ARISTOCRAT SUPREME VODKA</t>
        </is>
      </c>
      <c r="C292" s="7">
        <f>VLOOKUP(A292,SizeData!A$2:B$3839,2,FALSE)</f>
        <v/>
      </c>
      <c r="D292" s="6" t="n">
        <v>2</v>
      </c>
      <c r="E292" s="6" t="inlineStr">
        <is>
          <t>R1738647</t>
        </is>
      </c>
      <c r="F292" s="2" t="n">
        <v>44791</v>
      </c>
      <c r="G292" s="1" t="n"/>
    </row>
    <row r="293">
      <c r="A293" s="6" t="n">
        <v>35084</v>
      </c>
      <c r="B293" s="6" t="inlineStr">
        <is>
          <t>ARISTOCRAT SUPREME VODKA</t>
        </is>
      </c>
      <c r="C293" s="7">
        <f>VLOOKUP(A293,SizeData!A$2:B$3839,2,FALSE)</f>
        <v/>
      </c>
      <c r="D293" s="6" t="n">
        <v>1</v>
      </c>
      <c r="E293" s="6" t="inlineStr">
        <is>
          <t>R1777984</t>
        </is>
      </c>
      <c r="F293" s="2" t="n">
        <v>44826</v>
      </c>
      <c r="G293" s="1" t="n"/>
    </row>
    <row r="294">
      <c r="A294" s="26" t="n">
        <v>35084</v>
      </c>
      <c r="B294" s="26" t="inlineStr">
        <is>
          <t>ARISTOCRAT SUPREME VODKA</t>
        </is>
      </c>
      <c r="C294" s="75">
        <f>VLOOKUP(A294,SizeData!A$2:B$3839,2,FALSE)</f>
        <v/>
      </c>
      <c r="D294" s="26" t="n">
        <v>1</v>
      </c>
      <c r="E294" s="26" t="inlineStr">
        <is>
          <t>R1818650</t>
        </is>
      </c>
      <c r="F294" s="61" t="n">
        <v>44856</v>
      </c>
      <c r="G294" s="62" t="n"/>
    </row>
    <row r="295">
      <c r="A295" s="6" t="n">
        <v>35084</v>
      </c>
      <c r="B295" s="6" t="inlineStr">
        <is>
          <t>ARISTOCRAT SUPREME VODKA</t>
        </is>
      </c>
      <c r="C295" s="7">
        <f>VLOOKUP(A295,SizeData!A$2:B$3839,2,FALSE)</f>
        <v/>
      </c>
      <c r="D295" s="6" t="n">
        <v>1</v>
      </c>
      <c r="E295" s="6" t="inlineStr">
        <is>
          <t>R1894245</t>
        </is>
      </c>
      <c r="F295" s="2" t="n">
        <v>44902</v>
      </c>
      <c r="G295" s="1" t="n"/>
    </row>
    <row r="296">
      <c r="A296" s="6" t="n">
        <v>35086</v>
      </c>
      <c r="B296" s="6" t="inlineStr">
        <is>
          <t>ARISTOCRAT SUPREME VODKA</t>
        </is>
      </c>
      <c r="C296" s="7">
        <f>VLOOKUP(A296,SizeData!A$2:B$3839,2,FALSE)</f>
        <v/>
      </c>
      <c r="D296" s="6" t="n">
        <v>1</v>
      </c>
      <c r="E296" s="6" t="inlineStr">
        <is>
          <t>R1697777</t>
        </is>
      </c>
      <c r="F296" s="2" t="n">
        <v>44767</v>
      </c>
      <c r="G296" s="1" t="n"/>
    </row>
    <row r="297">
      <c r="A297" s="6" t="n">
        <v>35088</v>
      </c>
      <c r="B297" s="6" t="inlineStr">
        <is>
          <t>ARISTOCRAT SUPREME VODKA</t>
        </is>
      </c>
      <c r="C297" s="7">
        <f>VLOOKUP(A297,SizeData!A$2:B$3839,2,FALSE)</f>
        <v/>
      </c>
      <c r="D297" s="6" t="n">
        <v>1</v>
      </c>
      <c r="E297" s="6" t="inlineStr">
        <is>
          <t>R1467109</t>
        </is>
      </c>
      <c r="F297" s="2" t="n">
        <v>44604</v>
      </c>
      <c r="G297" s="1" t="n"/>
    </row>
    <row r="298">
      <c r="A298" s="6" t="n">
        <v>35088</v>
      </c>
      <c r="B298" s="6" t="inlineStr">
        <is>
          <t>ARISTOCRAT SUPREME VODKA</t>
        </is>
      </c>
      <c r="C298" s="7">
        <f>VLOOKUP(A298,SizeData!A$2:B$3839,2,FALSE)</f>
        <v/>
      </c>
      <c r="D298" s="6" t="n">
        <v>1</v>
      </c>
      <c r="E298" s="6" t="inlineStr">
        <is>
          <t>R1710119</t>
        </is>
      </c>
      <c r="F298" s="2" t="n">
        <v>44763</v>
      </c>
      <c r="G298" s="1" t="n"/>
    </row>
    <row r="299">
      <c r="A299" s="6" t="n">
        <v>35088</v>
      </c>
      <c r="B299" s="6" t="inlineStr">
        <is>
          <t>ARISTOCRAT SUPREME VODKA</t>
        </is>
      </c>
      <c r="C299" s="7">
        <f>VLOOKUP(A299,SizeData!A$2:B$3839,2,FALSE)</f>
        <v/>
      </c>
      <c r="D299" s="6" t="n">
        <v>2</v>
      </c>
      <c r="E299" s="6" t="inlineStr">
        <is>
          <t>R1701532</t>
        </is>
      </c>
      <c r="F299" s="2" t="n">
        <v>44765</v>
      </c>
      <c r="G299" s="1" t="n"/>
    </row>
    <row r="300">
      <c r="A300" s="6" t="n">
        <v>35088</v>
      </c>
      <c r="B300" s="6" t="inlineStr">
        <is>
          <t>ARISTOCRAT SUPREME VODKA</t>
        </is>
      </c>
      <c r="C300" s="7">
        <f>VLOOKUP(A300,SizeData!A$2:B$3839,2,FALSE)</f>
        <v/>
      </c>
      <c r="D300" s="6" t="n">
        <v>2</v>
      </c>
      <c r="E300" s="6" t="inlineStr">
        <is>
          <t>R1728783</t>
        </is>
      </c>
      <c r="F300" s="2" t="n">
        <v>44793</v>
      </c>
      <c r="G300" s="1" t="n"/>
    </row>
    <row r="301">
      <c r="A301" s="6" t="n">
        <v>35088</v>
      </c>
      <c r="B301" s="6" t="inlineStr">
        <is>
          <t>ARISTOCRAT SUPREME VODKA</t>
        </is>
      </c>
      <c r="C301" s="7">
        <f>VLOOKUP(A301,SizeData!A$2:B$3839,2,FALSE)</f>
        <v/>
      </c>
      <c r="D301" s="6" t="n">
        <v>1</v>
      </c>
      <c r="E301" s="6" t="inlineStr">
        <is>
          <t>R1761638</t>
        </is>
      </c>
      <c r="F301" s="2" t="n">
        <v>44807</v>
      </c>
      <c r="G301" s="1" t="n"/>
    </row>
    <row r="302">
      <c r="A302" s="6" t="n">
        <v>35088</v>
      </c>
      <c r="B302" s="6" t="inlineStr">
        <is>
          <t>ARISTOCRAT SUPREME VODKA</t>
        </is>
      </c>
      <c r="C302" s="7">
        <f>VLOOKUP(A302,SizeData!A$2:B$3839,2,FALSE)</f>
        <v/>
      </c>
      <c r="D302" s="6" t="n">
        <v>2</v>
      </c>
      <c r="E302" s="6" t="inlineStr">
        <is>
          <t>R1806604</t>
        </is>
      </c>
      <c r="F302" s="2" t="n">
        <v>44837</v>
      </c>
      <c r="G302" s="1" t="n"/>
    </row>
    <row r="303">
      <c r="A303" s="6" t="n">
        <v>35088</v>
      </c>
      <c r="B303" s="6" t="inlineStr">
        <is>
          <t>ARISTOCRAT SUPREME VODKA</t>
        </is>
      </c>
      <c r="C303" s="7">
        <f>VLOOKUP(A303,SizeData!A$2:B$3839,2,FALSE)</f>
        <v/>
      </c>
      <c r="D303" s="6" t="n">
        <v>1</v>
      </c>
      <c r="E303" s="6" t="inlineStr">
        <is>
          <t>R1816996</t>
        </is>
      </c>
      <c r="F303" s="2" t="n">
        <v>44859</v>
      </c>
      <c r="G303" s="1" t="n"/>
    </row>
    <row r="304">
      <c r="A304" s="6" t="n">
        <v>35088</v>
      </c>
      <c r="B304" s="6" t="inlineStr">
        <is>
          <t>ARISTOCRAT SUPREME VODKA</t>
        </is>
      </c>
      <c r="C304" s="7">
        <f>VLOOKUP(A304,SizeData!A$2:B$3839,2,FALSE)</f>
        <v/>
      </c>
      <c r="D304" s="6" t="n">
        <v>2</v>
      </c>
      <c r="E304" s="6" t="inlineStr">
        <is>
          <t>R1834591</t>
        </is>
      </c>
      <c r="F304" s="2" t="n">
        <v>44863</v>
      </c>
      <c r="G304" s="1" t="n"/>
    </row>
    <row r="305">
      <c r="A305" s="6" t="n">
        <v>35088</v>
      </c>
      <c r="B305" s="6" t="inlineStr">
        <is>
          <t>ARISTOCRAT SUPREME VODKA</t>
        </is>
      </c>
      <c r="C305" s="7">
        <f>VLOOKUP(A305,SizeData!A$2:B$3839,2,FALSE)</f>
        <v/>
      </c>
      <c r="D305" s="6" t="n">
        <v>1</v>
      </c>
      <c r="E305" s="6" t="inlineStr">
        <is>
          <t>R1852440</t>
        </is>
      </c>
      <c r="F305" s="2" t="n">
        <v>44867</v>
      </c>
      <c r="G305" s="1" t="n"/>
    </row>
    <row r="306">
      <c r="A306" s="6" t="n">
        <v>35088</v>
      </c>
      <c r="B306" s="6" t="inlineStr">
        <is>
          <t>ARISTOCRAT SUPREME VODKA</t>
        </is>
      </c>
      <c r="C306" s="7">
        <f>VLOOKUP(A306,SizeData!A$2:B$3839,2,FALSE)</f>
        <v/>
      </c>
      <c r="D306" s="6" t="n">
        <v>1</v>
      </c>
      <c r="E306" s="6" t="inlineStr">
        <is>
          <t>R1892470</t>
        </is>
      </c>
      <c r="F306" s="2" t="n">
        <v>44902</v>
      </c>
      <c r="G306" s="1" t="n"/>
    </row>
    <row r="307">
      <c r="A307" s="6" t="n">
        <v>35088</v>
      </c>
      <c r="B307" s="6" t="inlineStr">
        <is>
          <t>ARISTOCRAT SUPREME VODKA</t>
        </is>
      </c>
      <c r="C307" s="7">
        <f>VLOOKUP(A307,SizeData!A$2:B$3839,2,FALSE)</f>
        <v/>
      </c>
      <c r="D307" s="6" t="n">
        <v>2</v>
      </c>
      <c r="E307" s="6" t="inlineStr">
        <is>
          <t>R1894245</t>
        </is>
      </c>
      <c r="F307" s="2" t="n">
        <v>44902</v>
      </c>
      <c r="G307" s="1" t="n"/>
    </row>
    <row r="308">
      <c r="A308" s="6" t="n">
        <v>35085</v>
      </c>
      <c r="B308" s="6" t="inlineStr">
        <is>
          <t>ARISTOCRAT SUPREME VODKA (PET)</t>
        </is>
      </c>
      <c r="C308" s="7">
        <f>VLOOKUP(A308,SizeData!A$2:B$3839,2,FALSE)</f>
        <v/>
      </c>
      <c r="D308" s="6" t="n">
        <v>1</v>
      </c>
      <c r="E308" s="6" t="inlineStr">
        <is>
          <t>R1528002</t>
        </is>
      </c>
      <c r="F308" s="2" t="n">
        <v>44641</v>
      </c>
      <c r="G308" s="1" t="n"/>
    </row>
    <row r="309">
      <c r="A309" s="6" t="n">
        <v>35085</v>
      </c>
      <c r="B309" s="6" t="inlineStr">
        <is>
          <t>ARISTOCRAT SUPREME VODKA (PET)</t>
        </is>
      </c>
      <c r="C309" s="7">
        <f>VLOOKUP(A309,SizeData!A$2:B$3839,2,FALSE)</f>
        <v/>
      </c>
      <c r="D309" s="6" t="n">
        <v>1</v>
      </c>
      <c r="E309" s="6" t="inlineStr">
        <is>
          <t>R1697777</t>
        </is>
      </c>
      <c r="F309" s="2" t="n">
        <v>44767</v>
      </c>
      <c r="G309" s="1" t="n"/>
    </row>
    <row r="310">
      <c r="A310" s="6" t="n">
        <v>720850</v>
      </c>
      <c r="B310" s="6" t="inlineStr">
        <is>
          <t>ASTORIA SPARKLING MOSCATO</t>
        </is>
      </c>
      <c r="C310" s="7">
        <f>VLOOKUP(A310,SizeData!A$2:B$3839,2,FALSE)</f>
        <v/>
      </c>
      <c r="D310" s="6" t="n">
        <v>3</v>
      </c>
      <c r="E310" s="6" t="inlineStr">
        <is>
          <t>R1569610</t>
        </is>
      </c>
      <c r="F310" s="2" t="n">
        <v>44669</v>
      </c>
      <c r="G310" s="1" t="n"/>
    </row>
    <row r="311">
      <c r="A311" s="6" t="n">
        <v>720850</v>
      </c>
      <c r="B311" s="6" t="inlineStr">
        <is>
          <t>ASTORIA SPARKLING MOSCATO</t>
        </is>
      </c>
      <c r="C311" s="7">
        <f>VLOOKUP(A311,SizeData!A$2:B$3839,2,FALSE)</f>
        <v/>
      </c>
      <c r="D311" s="6" t="n">
        <v>1</v>
      </c>
      <c r="E311" s="6" t="inlineStr">
        <is>
          <t>R1681827</t>
        </is>
      </c>
      <c r="F311" s="2" t="n">
        <v>44748</v>
      </c>
      <c r="G311" s="1" t="n"/>
    </row>
    <row r="312">
      <c r="A312" s="6" t="n">
        <v>720850</v>
      </c>
      <c r="B312" s="6" t="inlineStr">
        <is>
          <t>ASTORIA SPARKLING MOSCATO</t>
        </is>
      </c>
      <c r="C312" s="7">
        <f>VLOOKUP(A312,SizeData!A$2:B$3839,2,FALSE)</f>
        <v/>
      </c>
      <c r="D312" s="6" t="n">
        <v>1</v>
      </c>
      <c r="E312" s="6" t="inlineStr">
        <is>
          <t>R1681827</t>
        </is>
      </c>
      <c r="F312" s="2" t="n">
        <v>44748</v>
      </c>
      <c r="G312" s="1" t="n"/>
    </row>
    <row r="313">
      <c r="A313" s="6" t="n">
        <v>720850</v>
      </c>
      <c r="B313" s="6" t="inlineStr">
        <is>
          <t>ASTORIA SPARKLING MOSCATO</t>
        </is>
      </c>
      <c r="C313" s="7">
        <f>VLOOKUP(A313,SizeData!A$2:B$3839,2,FALSE)</f>
        <v/>
      </c>
      <c r="D313" s="6" t="n">
        <v>1</v>
      </c>
      <c r="E313" s="6" t="inlineStr">
        <is>
          <t>R1744939</t>
        </is>
      </c>
      <c r="F313" s="2" t="n">
        <v>44804</v>
      </c>
      <c r="G313" s="1" t="n"/>
    </row>
    <row r="314">
      <c r="A314" s="6" t="n">
        <v>720850</v>
      </c>
      <c r="B314" s="6" t="inlineStr">
        <is>
          <t>ASTORIA SPARKLING MOSCATO</t>
        </is>
      </c>
      <c r="C314" s="7">
        <f>VLOOKUP(A314,SizeData!A$2:B$3839,2,FALSE)</f>
        <v/>
      </c>
      <c r="D314" s="6" t="n">
        <v>1</v>
      </c>
      <c r="E314" s="6" t="inlineStr">
        <is>
          <t>R1744940</t>
        </is>
      </c>
      <c r="F314" s="2" t="n">
        <v>44804</v>
      </c>
      <c r="G314" s="1" t="n"/>
    </row>
    <row r="315">
      <c r="A315" s="6" t="n">
        <v>100397</v>
      </c>
      <c r="B315" s="6" t="inlineStr">
        <is>
          <t>AVION SILVER CANISTER</t>
        </is>
      </c>
      <c r="C315" s="7">
        <f>VLOOKUP(A315,SizeData!A$2:B$3839,2,FALSE)</f>
        <v/>
      </c>
      <c r="D315" s="6" t="n">
        <v>2</v>
      </c>
      <c r="E315" s="6" t="inlineStr">
        <is>
          <t>R1529670</t>
        </is>
      </c>
      <c r="F315" s="2" t="n">
        <v>44652</v>
      </c>
      <c r="G315" s="1" t="n"/>
    </row>
    <row r="316">
      <c r="A316" s="6" t="n">
        <v>100397</v>
      </c>
      <c r="B316" s="6" t="inlineStr">
        <is>
          <t>AVION SILVER CANISTER</t>
        </is>
      </c>
      <c r="C316" s="7">
        <f>VLOOKUP(A316,SizeData!A$2:B$3839,2,FALSE)</f>
        <v/>
      </c>
      <c r="D316" s="6" t="n">
        <v>2</v>
      </c>
      <c r="E316" s="6" t="inlineStr">
        <is>
          <t>R1567357</t>
        </is>
      </c>
      <c r="F316" s="2" t="n">
        <v>44665</v>
      </c>
      <c r="G316" s="1" t="n"/>
    </row>
    <row r="317">
      <c r="A317" s="6" t="n">
        <v>100397</v>
      </c>
      <c r="B317" s="6" t="inlineStr">
        <is>
          <t>AVION SILVER CANISTER</t>
        </is>
      </c>
      <c r="C317" s="7">
        <f>VLOOKUP(A317,SizeData!A$2:B$3839,2,FALSE)</f>
        <v/>
      </c>
      <c r="D317" s="6" t="n">
        <v>1</v>
      </c>
      <c r="E317" s="6" t="inlineStr">
        <is>
          <t>R1567357</t>
        </is>
      </c>
      <c r="F317" s="2" t="n">
        <v>44665</v>
      </c>
      <c r="G317" s="1" t="n"/>
    </row>
    <row r="318">
      <c r="A318" s="31" t="n">
        <v>87152</v>
      </c>
      <c r="B318" s="31" t="inlineStr">
        <is>
          <t>AVION SILVER TEQUILA</t>
        </is>
      </c>
      <c r="C318" s="7">
        <f>VLOOKUP(A318,SizeData!A$2:B$3839,2,FALSE)</f>
        <v/>
      </c>
      <c r="D318" s="31" t="n">
        <v>20</v>
      </c>
      <c r="E318" s="31" t="inlineStr">
        <is>
          <t>R1543514</t>
        </is>
      </c>
      <c r="F318" s="33" t="n">
        <v>44652</v>
      </c>
      <c r="G318" s="34" t="n"/>
    </row>
    <row r="319">
      <c r="A319" s="26" t="n">
        <v>43051</v>
      </c>
      <c r="B319" s="26" t="inlineStr">
        <is>
          <t>BACARDI DRAGON BERRY FLAVORED RUM</t>
        </is>
      </c>
      <c r="C319" s="75">
        <f>VLOOKUP(A319,SizeData!A$2:B$3839,2,FALSE)</f>
        <v/>
      </c>
      <c r="D319" s="26" t="n">
        <v>1</v>
      </c>
      <c r="E319" s="26" t="inlineStr">
        <is>
          <t>R1841934</t>
        </is>
      </c>
      <c r="F319" s="61" t="n">
        <v>44866</v>
      </c>
      <c r="G319" s="62" t="n"/>
    </row>
    <row r="320">
      <c r="A320" s="6" t="n">
        <v>43034</v>
      </c>
      <c r="B320" s="6" t="inlineStr">
        <is>
          <t>BACARDI GOLD DARK RUM</t>
        </is>
      </c>
      <c r="C320" s="7">
        <f>VLOOKUP(A320,SizeData!A$2:B$3839,2,FALSE)</f>
        <v/>
      </c>
      <c r="D320" s="6" t="n">
        <v>1</v>
      </c>
      <c r="E320" s="6" t="inlineStr">
        <is>
          <t>R1671604</t>
        </is>
      </c>
      <c r="F320" s="2" t="n">
        <v>44735</v>
      </c>
      <c r="G320" s="1" t="n"/>
    </row>
    <row r="321">
      <c r="A321" s="26" t="n">
        <v>43034</v>
      </c>
      <c r="B321" s="26" t="inlineStr">
        <is>
          <t>BACARDI GOLD DARK RUM</t>
        </is>
      </c>
      <c r="C321" s="7">
        <f>VLOOKUP(A321,SizeData!A$2:B$3839,2,FALSE)</f>
        <v/>
      </c>
      <c r="D321" s="26" t="n">
        <v>1</v>
      </c>
      <c r="E321" s="26" t="inlineStr">
        <is>
          <t>R1716704</t>
        </is>
      </c>
      <c r="F321" s="61" t="n">
        <v>44770</v>
      </c>
      <c r="G321" s="62" t="n"/>
    </row>
    <row r="322">
      <c r="A322" s="6" t="n">
        <v>43034</v>
      </c>
      <c r="B322" s="6" t="inlineStr">
        <is>
          <t>BACARDI GOLD DARK RUM</t>
        </is>
      </c>
      <c r="C322" s="7">
        <f>VLOOKUP(A322,SizeData!A$2:B$3839,2,FALSE)</f>
        <v/>
      </c>
      <c r="D322" s="6" t="n">
        <v>1</v>
      </c>
      <c r="E322" s="6" t="inlineStr">
        <is>
          <t>R1743204</t>
        </is>
      </c>
      <c r="F322" s="2" t="n">
        <v>44795</v>
      </c>
      <c r="G322" s="1" t="n"/>
    </row>
    <row r="323">
      <c r="A323" s="6" t="n">
        <v>43034</v>
      </c>
      <c r="B323" s="6" t="inlineStr">
        <is>
          <t>BACARDI GOLD DARK RUM</t>
        </is>
      </c>
      <c r="C323" s="7">
        <f>VLOOKUP(A323,SizeData!A$2:B$3839,2,FALSE)</f>
        <v/>
      </c>
      <c r="D323" s="6" t="n">
        <v>1</v>
      </c>
      <c r="E323" s="6" t="inlineStr">
        <is>
          <t>R1830533</t>
        </is>
      </c>
      <c r="F323" s="2" t="n">
        <v>44852</v>
      </c>
      <c r="G323" s="1" t="n"/>
    </row>
    <row r="324">
      <c r="A324" s="6" t="n">
        <v>43036</v>
      </c>
      <c r="B324" s="6" t="inlineStr">
        <is>
          <t>BACARDI GOLD DARK RUM</t>
        </is>
      </c>
      <c r="C324" s="7">
        <f>VLOOKUP(A324,SizeData!A$2:B$3839,2,FALSE)</f>
        <v/>
      </c>
      <c r="D324" s="6" t="n">
        <v>2</v>
      </c>
      <c r="E324" s="6" t="inlineStr">
        <is>
          <t>R1596033</t>
        </is>
      </c>
      <c r="F324" s="2" t="n">
        <v>44683</v>
      </c>
      <c r="G324" s="1" t="n"/>
    </row>
    <row r="325">
      <c r="A325" s="6" t="n">
        <v>43036</v>
      </c>
      <c r="B325" s="6" t="inlineStr">
        <is>
          <t>BACARDI GOLD DARK RUM</t>
        </is>
      </c>
      <c r="C325" s="7">
        <f>VLOOKUP(A325,SizeData!A$2:B$3839,2,FALSE)</f>
        <v/>
      </c>
      <c r="D325" s="6" t="n">
        <v>1</v>
      </c>
      <c r="E325" s="6" t="inlineStr">
        <is>
          <t>R1683790</t>
        </is>
      </c>
      <c r="F325" s="2" t="n">
        <v>44761</v>
      </c>
      <c r="G325" s="1" t="n"/>
    </row>
    <row r="326">
      <c r="A326" s="6" t="n">
        <v>43036</v>
      </c>
      <c r="B326" s="6" t="inlineStr">
        <is>
          <t>BACARDI GOLD DARK RUM</t>
        </is>
      </c>
      <c r="C326" s="7">
        <f>VLOOKUP(A326,SizeData!A$2:B$3839,2,FALSE)</f>
        <v/>
      </c>
      <c r="D326" s="6" t="n">
        <v>2</v>
      </c>
      <c r="E326" s="6" t="inlineStr">
        <is>
          <t>R1701532</t>
        </is>
      </c>
      <c r="F326" s="2" t="n">
        <v>44765</v>
      </c>
      <c r="G326" s="1" t="n"/>
    </row>
    <row r="327">
      <c r="A327" s="6" t="n">
        <v>43036</v>
      </c>
      <c r="B327" s="6" t="inlineStr">
        <is>
          <t>BACARDI GOLD DARK RUM</t>
        </is>
      </c>
      <c r="C327" s="7">
        <f>VLOOKUP(A327,SizeData!A$2:B$3839,2,FALSE)</f>
        <v/>
      </c>
      <c r="D327" s="6" t="n">
        <v>1</v>
      </c>
      <c r="E327" s="6" t="inlineStr">
        <is>
          <t>R1841934</t>
        </is>
      </c>
      <c r="F327" s="2" t="n">
        <v>44866</v>
      </c>
      <c r="G327" s="1" t="n"/>
    </row>
    <row r="328">
      <c r="A328" s="6" t="n">
        <v>43036</v>
      </c>
      <c r="B328" s="6" t="inlineStr">
        <is>
          <t>BACARDI GOLD DARK RUM</t>
        </is>
      </c>
      <c r="C328" s="7">
        <f>VLOOKUP(A328,SizeData!A$2:B$3839,2,FALSE)</f>
        <v/>
      </c>
      <c r="D328" s="6" t="n">
        <v>2</v>
      </c>
      <c r="E328" s="6" t="inlineStr">
        <is>
          <t>R1846759</t>
        </is>
      </c>
      <c r="F328" s="2" t="n">
        <v>44872</v>
      </c>
      <c r="G328" s="1" t="n"/>
    </row>
    <row r="329">
      <c r="A329" s="6" t="n">
        <v>43038</v>
      </c>
      <c r="B329" s="6" t="inlineStr">
        <is>
          <t>BACARDI GOLD DARK RUM</t>
        </is>
      </c>
      <c r="C329" s="7">
        <f>VLOOKUP(A329,SizeData!A$2:B$3839,2,FALSE)</f>
        <v/>
      </c>
      <c r="D329" s="6" t="n">
        <v>1</v>
      </c>
      <c r="E329" s="6" t="inlineStr">
        <is>
          <t>R1527957</t>
        </is>
      </c>
      <c r="F329" s="2" t="n">
        <v>44644</v>
      </c>
      <c r="G329" s="1" t="n"/>
    </row>
    <row r="330">
      <c r="A330" s="6" t="n">
        <v>43040</v>
      </c>
      <c r="B330" s="6" t="inlineStr">
        <is>
          <t>BACARDI GOLD DARK RUM (PET)</t>
        </is>
      </c>
      <c r="C330" s="7">
        <f>VLOOKUP(A330,SizeData!A$2:B$3839,2,FALSE)</f>
        <v/>
      </c>
      <c r="D330" s="6" t="n">
        <v>7</v>
      </c>
      <c r="E330" s="6" t="inlineStr">
        <is>
          <t>R1373822</t>
        </is>
      </c>
      <c r="F330" s="2" t="n">
        <v>44546</v>
      </c>
      <c r="G330" s="1" t="n"/>
    </row>
    <row r="331">
      <c r="A331" s="6" t="n">
        <v>43040</v>
      </c>
      <c r="B331" s="6" t="inlineStr">
        <is>
          <t>BACARDI GOLD DARK RUM (PET)</t>
        </is>
      </c>
      <c r="C331" s="7">
        <f>VLOOKUP(A331,SizeData!A$2:B$3839,2,FALSE)</f>
        <v/>
      </c>
      <c r="D331" s="6" t="n">
        <v>2</v>
      </c>
      <c r="E331" s="6" t="inlineStr">
        <is>
          <t>R1572421</t>
        </is>
      </c>
      <c r="F331" s="2" t="n">
        <v>44667</v>
      </c>
      <c r="G331" s="1" t="n"/>
    </row>
    <row r="332">
      <c r="A332" s="6" t="n">
        <v>43040</v>
      </c>
      <c r="B332" s="6" t="inlineStr">
        <is>
          <t>BACARDI GOLD DARK RUM (PET)</t>
        </is>
      </c>
      <c r="C332" s="7">
        <f>VLOOKUP(A332,SizeData!A$2:B$3839,2,FALSE)</f>
        <v/>
      </c>
      <c r="D332" s="6" t="n">
        <v>1</v>
      </c>
      <c r="E332" s="6" t="inlineStr">
        <is>
          <t>R1568562</t>
        </is>
      </c>
      <c r="F332" s="2" t="n">
        <v>44670</v>
      </c>
      <c r="G332" s="1" t="n"/>
    </row>
    <row r="333">
      <c r="A333" s="6" t="n">
        <v>43040</v>
      </c>
      <c r="B333" s="6" t="inlineStr">
        <is>
          <t>BACARDI GOLD DARK RUM (PET)</t>
        </is>
      </c>
      <c r="C333" s="7">
        <f>VLOOKUP(A333,SizeData!A$2:B$3839,2,FALSE)</f>
        <v/>
      </c>
      <c r="D333" s="6" t="n">
        <v>4</v>
      </c>
      <c r="E333" s="6" t="inlineStr">
        <is>
          <t>R1629823</t>
        </is>
      </c>
      <c r="F333" s="2" t="n">
        <v>44713</v>
      </c>
      <c r="G333" s="1" t="n"/>
    </row>
    <row r="334">
      <c r="A334" s="6" t="n">
        <v>43040</v>
      </c>
      <c r="B334" s="6" t="inlineStr">
        <is>
          <t>BACARDI GOLD DARK RUM (PET)</t>
        </is>
      </c>
      <c r="C334" s="7">
        <f>VLOOKUP(A334,SizeData!A$2:B$3839,2,FALSE)</f>
        <v/>
      </c>
      <c r="D334" s="6" t="n">
        <v>4</v>
      </c>
      <c r="E334" s="6" t="inlineStr">
        <is>
          <t>R1639364</t>
        </is>
      </c>
      <c r="F334" s="2" t="n">
        <v>44725</v>
      </c>
      <c r="G334" s="1" t="n"/>
    </row>
    <row r="335">
      <c r="A335" s="6" t="n">
        <v>43040</v>
      </c>
      <c r="B335" s="6" t="inlineStr">
        <is>
          <t>BACARDI GOLD DARK RUM (PET)</t>
        </is>
      </c>
      <c r="C335" s="7">
        <f>VLOOKUP(A335,SizeData!A$2:B$3839,2,FALSE)</f>
        <v/>
      </c>
      <c r="D335" s="6" t="n">
        <v>5</v>
      </c>
      <c r="E335" s="6" t="inlineStr">
        <is>
          <t>R1668776</t>
        </is>
      </c>
      <c r="F335" s="2" t="n">
        <v>44742</v>
      </c>
      <c r="G335" s="1" t="n"/>
    </row>
    <row r="336">
      <c r="A336" s="6" t="n">
        <v>43040</v>
      </c>
      <c r="B336" s="6" t="inlineStr">
        <is>
          <t>BACARDI GOLD DARK RUM (PET)</t>
        </is>
      </c>
      <c r="C336" s="7">
        <f>VLOOKUP(A336,SizeData!A$2:B$3839,2,FALSE)</f>
        <v/>
      </c>
      <c r="D336" s="6" t="n">
        <v>8</v>
      </c>
      <c r="E336" s="6" t="inlineStr">
        <is>
          <t>R1766262</t>
        </is>
      </c>
      <c r="F336" s="2" t="n">
        <v>44811</v>
      </c>
      <c r="G336" s="1" t="n"/>
    </row>
    <row r="337">
      <c r="A337" s="6" t="n">
        <v>43040</v>
      </c>
      <c r="B337" s="6" t="inlineStr">
        <is>
          <t>BACARDI GOLD DARK RUM (PET)</t>
        </is>
      </c>
      <c r="C337" s="7">
        <f>VLOOKUP(A337,SizeData!A$2:B$3839,2,FALSE)</f>
        <v/>
      </c>
      <c r="D337" s="6" t="n">
        <v>1</v>
      </c>
      <c r="E337" s="6" t="inlineStr">
        <is>
          <t>R1777984</t>
        </is>
      </c>
      <c r="F337" s="2" t="n">
        <v>44826</v>
      </c>
      <c r="G337" s="1" t="n"/>
    </row>
    <row r="338">
      <c r="A338" s="26" t="n">
        <v>43040</v>
      </c>
      <c r="B338" s="26" t="inlineStr">
        <is>
          <t>BACARDI GOLD DARK RUM (PET)</t>
        </is>
      </c>
      <c r="C338" s="75">
        <f>VLOOKUP(A338,SizeData!A$2:B$3839,2,FALSE)</f>
        <v/>
      </c>
      <c r="D338" s="26" t="n">
        <v>2</v>
      </c>
      <c r="E338" s="26" t="inlineStr">
        <is>
          <t>R1796778</t>
        </is>
      </c>
      <c r="F338" s="61" t="n">
        <v>44834</v>
      </c>
      <c r="G338" s="62" t="n"/>
    </row>
    <row r="339">
      <c r="A339" s="6" t="n">
        <v>43040</v>
      </c>
      <c r="B339" s="6" t="inlineStr">
        <is>
          <t>BACARDI GOLD DARK RUM (PET)</t>
        </is>
      </c>
      <c r="C339" s="7">
        <f>VLOOKUP(A339,SizeData!A$2:B$3839,2,FALSE)</f>
        <v/>
      </c>
      <c r="D339" s="6" t="n">
        <v>3</v>
      </c>
      <c r="E339" s="6" t="inlineStr">
        <is>
          <t>R1900430</t>
        </is>
      </c>
      <c r="F339" s="2" t="n">
        <v>44896</v>
      </c>
      <c r="G339" s="1" t="n"/>
    </row>
    <row r="340">
      <c r="A340" s="6" t="n">
        <v>43124</v>
      </c>
      <c r="B340" s="6" t="inlineStr">
        <is>
          <t>BACARDI LIGHT RUM</t>
        </is>
      </c>
      <c r="C340" s="7">
        <f>VLOOKUP(A340,SizeData!A$2:B$3839,2,FALSE)</f>
        <v/>
      </c>
      <c r="D340" s="6" t="n">
        <v>1</v>
      </c>
      <c r="E340" s="6" t="inlineStr">
        <is>
          <t>R1421358</t>
        </is>
      </c>
      <c r="F340" s="2" t="n">
        <v>44579</v>
      </c>
      <c r="G340" s="1" t="n"/>
    </row>
    <row r="341">
      <c r="A341" s="6" t="n">
        <v>43124</v>
      </c>
      <c r="B341" s="6" t="inlineStr">
        <is>
          <t>BACARDI LIGHT RUM</t>
        </is>
      </c>
      <c r="C341" s="7">
        <f>VLOOKUP(A341,SizeData!A$2:B$3839,2,FALSE)</f>
        <v/>
      </c>
      <c r="D341" s="6" t="n">
        <v>1</v>
      </c>
      <c r="E341" s="6" t="inlineStr">
        <is>
          <t>R1421358</t>
        </is>
      </c>
      <c r="F341" s="2" t="n">
        <v>44579</v>
      </c>
      <c r="G341" s="1" t="n"/>
    </row>
    <row r="342">
      <c r="A342" s="6" t="n">
        <v>43124</v>
      </c>
      <c r="B342" s="6" t="inlineStr">
        <is>
          <t>BACARDI LIGHT RUM</t>
        </is>
      </c>
      <c r="C342" s="7">
        <f>VLOOKUP(A342,SizeData!A$2:B$3839,2,FALSE)</f>
        <v/>
      </c>
      <c r="D342" s="6" t="n">
        <v>1</v>
      </c>
      <c r="E342" s="6" t="inlineStr">
        <is>
          <t>R1518696</t>
        </is>
      </c>
      <c r="F342" s="2" t="n">
        <v>44643</v>
      </c>
      <c r="G342" s="1" t="n"/>
    </row>
    <row r="343">
      <c r="A343" s="6" t="n">
        <v>43124</v>
      </c>
      <c r="B343" s="6" t="inlineStr">
        <is>
          <t>BACARDI LIGHT RUM</t>
        </is>
      </c>
      <c r="C343" s="7">
        <f>VLOOKUP(A343,SizeData!A$2:B$3839,2,FALSE)</f>
        <v/>
      </c>
      <c r="D343" s="6" t="n">
        <v>1</v>
      </c>
      <c r="E343" s="6" t="inlineStr">
        <is>
          <t>R1527957</t>
        </is>
      </c>
      <c r="F343" s="2" t="n">
        <v>44644</v>
      </c>
      <c r="G343" s="1" t="n"/>
    </row>
    <row r="344">
      <c r="A344" s="6" t="n">
        <v>43124</v>
      </c>
      <c r="B344" s="6" t="inlineStr">
        <is>
          <t>BACARDI LIGHT RUM</t>
        </is>
      </c>
      <c r="C344" s="7">
        <f>VLOOKUP(A344,SizeData!A$2:B$3839,2,FALSE)</f>
        <v/>
      </c>
      <c r="D344" s="6" t="n">
        <v>1</v>
      </c>
      <c r="E344" s="6" t="inlineStr">
        <is>
          <t>R1671604</t>
        </is>
      </c>
      <c r="F344" s="2" t="n">
        <v>44735</v>
      </c>
      <c r="G344" s="1" t="n"/>
    </row>
    <row r="345">
      <c r="A345" s="6" t="n">
        <v>43124</v>
      </c>
      <c r="B345" s="6" t="inlineStr">
        <is>
          <t>BACARDI LIGHT RUM</t>
        </is>
      </c>
      <c r="C345" s="7">
        <f>VLOOKUP(A345,SizeData!A$2:B$3839,2,FALSE)</f>
        <v/>
      </c>
      <c r="D345" s="6" t="n">
        <v>1</v>
      </c>
      <c r="E345" s="6" t="inlineStr">
        <is>
          <t>R1743204</t>
        </is>
      </c>
      <c r="F345" s="2" t="n">
        <v>44795</v>
      </c>
      <c r="G345" s="1" t="n"/>
    </row>
    <row r="346">
      <c r="A346" s="6" t="n">
        <v>43126</v>
      </c>
      <c r="B346" s="6" t="inlineStr">
        <is>
          <t>BACARDI LIGHT RUM</t>
        </is>
      </c>
      <c r="C346" s="7">
        <f>VLOOKUP(A346,SizeData!A$2:B$3839,2,FALSE)</f>
        <v/>
      </c>
      <c r="D346" s="6" t="n">
        <v>2</v>
      </c>
      <c r="E346" s="6" t="inlineStr">
        <is>
          <t>R1499946</t>
        </is>
      </c>
      <c r="F346" s="2" t="n">
        <v>44627</v>
      </c>
      <c r="G346" s="1" t="n"/>
    </row>
    <row r="347">
      <c r="A347" s="6" t="n">
        <v>43126</v>
      </c>
      <c r="B347" s="6" t="inlineStr">
        <is>
          <t>BACARDI LIGHT RUM</t>
        </is>
      </c>
      <c r="C347" s="7">
        <f>VLOOKUP(A347,SizeData!A$2:B$3839,2,FALSE)</f>
        <v/>
      </c>
      <c r="D347" s="6" t="n">
        <v>5</v>
      </c>
      <c r="E347" s="6" t="inlineStr">
        <is>
          <t>R1515367</t>
        </is>
      </c>
      <c r="F347" s="2" t="n">
        <v>44635</v>
      </c>
      <c r="G347" s="1" t="n"/>
    </row>
    <row r="348">
      <c r="A348" s="6" t="n">
        <v>43126</v>
      </c>
      <c r="B348" s="6" t="inlineStr">
        <is>
          <t>BACARDI LIGHT RUM</t>
        </is>
      </c>
      <c r="C348" s="7">
        <f>VLOOKUP(A348,SizeData!A$2:B$3839,2,FALSE)</f>
        <v/>
      </c>
      <c r="D348" s="6" t="n">
        <v>1</v>
      </c>
      <c r="E348" s="6" t="inlineStr">
        <is>
          <t>R1602626</t>
        </is>
      </c>
      <c r="F348" s="2" t="n">
        <v>44690</v>
      </c>
      <c r="G348" s="1" t="n"/>
    </row>
    <row r="349">
      <c r="A349" s="6" t="n">
        <v>43126</v>
      </c>
      <c r="B349" s="6" t="inlineStr">
        <is>
          <t>BACARDI LIGHT RUM</t>
        </is>
      </c>
      <c r="C349" s="7">
        <f>VLOOKUP(A349,SizeData!A$2:B$3839,2,FALSE)</f>
        <v/>
      </c>
      <c r="D349" s="6" t="n">
        <v>1</v>
      </c>
      <c r="E349" s="6" t="inlineStr">
        <is>
          <t>R1630969</t>
        </is>
      </c>
      <c r="F349" s="2" t="n">
        <v>44711</v>
      </c>
      <c r="G349" s="1" t="n"/>
    </row>
    <row r="350">
      <c r="A350" s="6" t="n">
        <v>43126</v>
      </c>
      <c r="B350" s="6" t="inlineStr">
        <is>
          <t>BACARDI LIGHT RUM</t>
        </is>
      </c>
      <c r="C350" s="7">
        <f>VLOOKUP(A350,SizeData!A$2:B$3839,2,FALSE)</f>
        <v/>
      </c>
      <c r="D350" s="6" t="n">
        <v>2</v>
      </c>
      <c r="E350" s="6" t="inlineStr">
        <is>
          <t>R1675261</t>
        </is>
      </c>
      <c r="F350" s="2" t="n">
        <v>44747</v>
      </c>
      <c r="G350" s="1" t="n"/>
    </row>
    <row r="351">
      <c r="A351" s="6" t="n">
        <v>43126</v>
      </c>
      <c r="B351" s="6" t="inlineStr">
        <is>
          <t>BACARDI LIGHT RUM</t>
        </is>
      </c>
      <c r="C351" s="7">
        <f>VLOOKUP(A351,SizeData!A$2:B$3839,2,FALSE)</f>
        <v/>
      </c>
      <c r="D351" s="6" t="n">
        <v>4</v>
      </c>
      <c r="E351" s="6" t="inlineStr">
        <is>
          <t>R1701532</t>
        </is>
      </c>
      <c r="F351" s="2" t="n">
        <v>44765</v>
      </c>
      <c r="G351" s="1" t="n"/>
    </row>
    <row r="352">
      <c r="A352" s="6" t="n">
        <v>43128</v>
      </c>
      <c r="B352" s="6" t="inlineStr">
        <is>
          <t>BACARDI LIGHT RUM</t>
        </is>
      </c>
      <c r="C352" s="7">
        <f>VLOOKUP(A352,SizeData!A$2:B$3839,2,FALSE)</f>
        <v/>
      </c>
      <c r="D352" s="6" t="n">
        <v>2</v>
      </c>
      <c r="E352" s="6" t="inlineStr">
        <is>
          <t>R1628381</t>
        </is>
      </c>
      <c r="F352" s="2" t="n">
        <v>44713</v>
      </c>
      <c r="G352" s="1" t="n"/>
    </row>
    <row r="353">
      <c r="A353" s="6" t="n">
        <v>43120</v>
      </c>
      <c r="B353" s="6" t="inlineStr">
        <is>
          <t>BACARDI LIGHT RUM (PET)</t>
        </is>
      </c>
      <c r="C353" s="7">
        <f>VLOOKUP(A353,SizeData!A$2:B$3839,2,FALSE)</f>
        <v/>
      </c>
      <c r="D353" s="6" t="n">
        <v>3</v>
      </c>
      <c r="E353" s="6" t="inlineStr">
        <is>
          <t>R1373822</t>
        </is>
      </c>
      <c r="F353" s="2" t="n">
        <v>44546</v>
      </c>
      <c r="G353" s="1" t="n"/>
    </row>
    <row r="354">
      <c r="A354" s="6" t="n">
        <v>43120</v>
      </c>
      <c r="B354" s="6" t="inlineStr">
        <is>
          <t>BACARDI LIGHT RUM (PET)</t>
        </is>
      </c>
      <c r="C354" s="7">
        <f>VLOOKUP(A354,SizeData!A$2:B$3839,2,FALSE)</f>
        <v/>
      </c>
      <c r="D354" s="6" t="n">
        <v>1</v>
      </c>
      <c r="E354" s="6" t="inlineStr">
        <is>
          <t>R1515367</t>
        </is>
      </c>
      <c r="F354" s="2" t="n">
        <v>44635</v>
      </c>
      <c r="G354" s="1" t="n"/>
    </row>
    <row r="355">
      <c r="A355" s="6" t="n">
        <v>43120</v>
      </c>
      <c r="B355" s="6" t="inlineStr">
        <is>
          <t>BACARDI LIGHT RUM (PET)</t>
        </is>
      </c>
      <c r="C355" s="7">
        <f>VLOOKUP(A355,SizeData!A$2:B$3839,2,FALSE)</f>
        <v/>
      </c>
      <c r="D355" s="6" t="n">
        <v>1</v>
      </c>
      <c r="E355" s="6" t="inlineStr">
        <is>
          <t>R1518696</t>
        </is>
      </c>
      <c r="F355" s="2" t="n">
        <v>44643</v>
      </c>
      <c r="G355" s="1" t="n"/>
    </row>
    <row r="356">
      <c r="A356" s="6" t="n">
        <v>43120</v>
      </c>
      <c r="B356" s="6" t="inlineStr">
        <is>
          <t>BACARDI LIGHT RUM (PET)</t>
        </is>
      </c>
      <c r="C356" s="7">
        <f>VLOOKUP(A356,SizeData!A$2:B$3839,2,FALSE)</f>
        <v/>
      </c>
      <c r="D356" s="6" t="n">
        <v>1</v>
      </c>
      <c r="E356" s="6" t="inlineStr">
        <is>
          <t>R1527957</t>
        </is>
      </c>
      <c r="F356" s="2" t="n">
        <v>44644</v>
      </c>
      <c r="G356" s="1" t="n"/>
    </row>
    <row r="357">
      <c r="A357" s="6" t="n">
        <v>43120</v>
      </c>
      <c r="B357" s="6" t="inlineStr">
        <is>
          <t>BACARDI LIGHT RUM (PET)</t>
        </is>
      </c>
      <c r="C357" s="7">
        <f>VLOOKUP(A357,SizeData!A$2:B$3839,2,FALSE)</f>
        <v/>
      </c>
      <c r="D357" s="6" t="n">
        <v>1</v>
      </c>
      <c r="E357" s="6" t="inlineStr">
        <is>
          <t>R1550755</t>
        </is>
      </c>
      <c r="F357" s="2" t="n">
        <v>44650</v>
      </c>
      <c r="G357" s="1" t="n"/>
    </row>
    <row r="358">
      <c r="A358" s="6" t="n">
        <v>43120</v>
      </c>
      <c r="B358" s="6" t="inlineStr">
        <is>
          <t>BACARDI LIGHT RUM (PET)</t>
        </is>
      </c>
      <c r="C358" s="7">
        <f>VLOOKUP(A358,SizeData!A$2:B$3839,2,FALSE)</f>
        <v/>
      </c>
      <c r="D358" s="6" t="n">
        <v>2</v>
      </c>
      <c r="E358" s="6" t="inlineStr">
        <is>
          <t>R1568562</t>
        </is>
      </c>
      <c r="F358" s="2" t="n">
        <v>44670</v>
      </c>
      <c r="G358" s="1" t="n"/>
    </row>
    <row r="359">
      <c r="A359" s="6" t="n">
        <v>43120</v>
      </c>
      <c r="B359" s="6" t="inlineStr">
        <is>
          <t>BACARDI LIGHT RUM (PET)</t>
        </is>
      </c>
      <c r="C359" s="7">
        <f>VLOOKUP(A359,SizeData!A$2:B$3839,2,FALSE)</f>
        <v/>
      </c>
      <c r="D359" s="6" t="n">
        <v>1</v>
      </c>
      <c r="E359" s="6" t="inlineStr">
        <is>
          <t>R1602016</t>
        </is>
      </c>
      <c r="F359" s="2" t="n">
        <v>44688</v>
      </c>
      <c r="G359" s="1" t="n"/>
    </row>
    <row r="360">
      <c r="A360" s="6" t="n">
        <v>43120</v>
      </c>
      <c r="B360" s="6" t="inlineStr">
        <is>
          <t>BACARDI LIGHT RUM (PET)</t>
        </is>
      </c>
      <c r="C360" s="7">
        <f>VLOOKUP(A360,SizeData!A$2:B$3839,2,FALSE)</f>
        <v/>
      </c>
      <c r="D360" s="6" t="n">
        <v>6</v>
      </c>
      <c r="E360" s="6" t="inlineStr">
        <is>
          <t>R1639364</t>
        </is>
      </c>
      <c r="F360" s="2" t="n">
        <v>44725</v>
      </c>
      <c r="G360" s="1" t="n"/>
    </row>
    <row r="361">
      <c r="A361" s="6" t="n">
        <v>43120</v>
      </c>
      <c r="B361" s="6" t="inlineStr">
        <is>
          <t>BACARDI LIGHT RUM (PET)</t>
        </is>
      </c>
      <c r="C361" s="7">
        <f>VLOOKUP(A361,SizeData!A$2:B$3839,2,FALSE)</f>
        <v/>
      </c>
      <c r="D361" s="6" t="n">
        <v>3</v>
      </c>
      <c r="E361" s="6" t="inlineStr">
        <is>
          <t>R1668776</t>
        </is>
      </c>
      <c r="F361" s="2" t="n">
        <v>44742</v>
      </c>
      <c r="G361" s="1" t="n"/>
    </row>
    <row r="362">
      <c r="A362" s="6" t="n">
        <v>43120</v>
      </c>
      <c r="B362" s="6" t="inlineStr">
        <is>
          <t>BACARDI LIGHT RUM (PET)</t>
        </is>
      </c>
      <c r="C362" s="7">
        <f>VLOOKUP(A362,SizeData!A$2:B$3839,2,FALSE)</f>
        <v/>
      </c>
      <c r="D362" s="6" t="n">
        <v>4</v>
      </c>
      <c r="E362" s="6" t="inlineStr">
        <is>
          <t>R1759269</t>
        </is>
      </c>
      <c r="F362" s="2" t="n">
        <v>44811</v>
      </c>
      <c r="G362" s="1" t="n"/>
    </row>
    <row r="363">
      <c r="A363" s="6" t="n">
        <v>43136</v>
      </c>
      <c r="B363" s="6" t="inlineStr">
        <is>
          <t>BACARDI LIMON RUM SPECIALTY</t>
        </is>
      </c>
      <c r="C363" s="7">
        <f>VLOOKUP(A363,SizeData!A$2:B$3839,2,FALSE)</f>
        <v/>
      </c>
      <c r="D363" s="6" t="n">
        <v>1</v>
      </c>
      <c r="E363" s="6" t="inlineStr">
        <is>
          <t>R1841934</t>
        </is>
      </c>
      <c r="F363" s="2" t="n">
        <v>44866</v>
      </c>
      <c r="G363" s="1" t="n"/>
    </row>
    <row r="364">
      <c r="A364" s="6" t="n">
        <v>68036</v>
      </c>
      <c r="B364" s="6" t="inlineStr">
        <is>
          <t>BAILEYS ORIGINAL IRISH CREAM</t>
        </is>
      </c>
      <c r="C364" s="7">
        <f>VLOOKUP(A364,SizeData!A$2:B$3839,2,FALSE)</f>
        <v/>
      </c>
      <c r="D364" s="6" t="n">
        <v>3</v>
      </c>
      <c r="E364" s="6" t="inlineStr">
        <is>
          <t>R1375337</t>
        </is>
      </c>
      <c r="F364" s="2" t="n">
        <v>44543</v>
      </c>
      <c r="G364" s="1" t="n"/>
    </row>
    <row r="365">
      <c r="A365" s="6" t="n">
        <v>68036</v>
      </c>
      <c r="B365" s="6" t="inlineStr">
        <is>
          <t>BAILEYS ORIGINAL IRISH CREAM LIQUEUR</t>
        </is>
      </c>
      <c r="C365" s="7">
        <f>VLOOKUP(A365,SizeData!A$2:B$3839,2,FALSE)</f>
        <v/>
      </c>
      <c r="D365" s="6" t="n">
        <v>2</v>
      </c>
      <c r="E365" s="6" t="inlineStr">
        <is>
          <t>R1792137</t>
        </is>
      </c>
      <c r="F365" s="2" t="n">
        <v>44835</v>
      </c>
      <c r="G365" s="1" t="n"/>
    </row>
    <row r="366">
      <c r="A366" s="6" t="n">
        <v>68022</v>
      </c>
      <c r="B366" s="6" t="inlineStr">
        <is>
          <t>BAILEYS SALTED CARAMEL</t>
        </is>
      </c>
      <c r="C366" s="7">
        <f>VLOOKUP(A366,SizeData!A$2:B$3839,2,FALSE)</f>
        <v/>
      </c>
      <c r="D366" s="6" t="n">
        <v>1</v>
      </c>
      <c r="E366" s="6" t="inlineStr">
        <is>
          <t>R1375337</t>
        </is>
      </c>
      <c r="F366" s="2" t="n">
        <v>44543</v>
      </c>
      <c r="G366" s="1" t="n"/>
    </row>
    <row r="367">
      <c r="A367" s="6" t="n">
        <v>768955</v>
      </c>
      <c r="B367" s="6" t="inlineStr">
        <is>
          <t>BALLATORE MOSCATO ROSE SPARKLING</t>
        </is>
      </c>
      <c r="C367" s="7">
        <f>VLOOKUP(A367,SizeData!A$2:B$3839,2,FALSE)</f>
        <v/>
      </c>
      <c r="D367" s="6" t="n">
        <v>2</v>
      </c>
      <c r="E367" s="6" t="inlineStr">
        <is>
          <t>R1427149</t>
        </is>
      </c>
      <c r="F367" s="2" t="n">
        <v>44585</v>
      </c>
      <c r="G367" s="1" t="n"/>
    </row>
    <row r="368">
      <c r="A368" s="6" t="n">
        <v>768955</v>
      </c>
      <c r="B368" s="6" t="inlineStr">
        <is>
          <t>BALLATORE MOSCATO ROSE SPARKLING</t>
        </is>
      </c>
      <c r="C368" s="7">
        <f>VLOOKUP(A368,SizeData!A$2:B$3839,2,FALSE)</f>
        <v/>
      </c>
      <c r="D368" s="6" t="n">
        <v>1</v>
      </c>
      <c r="E368" s="6" t="inlineStr">
        <is>
          <t>R1540227</t>
        </is>
      </c>
      <c r="F368" s="2" t="n">
        <v>44636</v>
      </c>
      <c r="G368" s="1" t="n"/>
    </row>
    <row r="369">
      <c r="A369" s="6" t="n">
        <v>768955</v>
      </c>
      <c r="B369" s="6" t="inlineStr">
        <is>
          <t>BALLATORE MOSCATO ROSE SPARKLING</t>
        </is>
      </c>
      <c r="C369" s="7">
        <f>VLOOKUP(A369,SizeData!A$2:B$3839,2,FALSE)</f>
        <v/>
      </c>
      <c r="D369" s="6" t="n">
        <v>1</v>
      </c>
      <c r="E369" s="6" t="inlineStr">
        <is>
          <t>R1537124</t>
        </is>
      </c>
      <c r="F369" s="2" t="n">
        <v>44646</v>
      </c>
      <c r="G369" s="1" t="n"/>
    </row>
    <row r="370">
      <c r="A370" s="6" t="n">
        <v>768955</v>
      </c>
      <c r="B370" s="6" t="inlineStr">
        <is>
          <t>BALLATORE MOSCATO ROSE SPARKLING</t>
        </is>
      </c>
      <c r="C370" s="7">
        <f>VLOOKUP(A370,SizeData!A$2:B$3839,2,FALSE)</f>
        <v/>
      </c>
      <c r="D370" s="6" t="n">
        <v>1</v>
      </c>
      <c r="E370" s="6" t="inlineStr">
        <is>
          <t>R1606546</t>
        </is>
      </c>
      <c r="F370" s="2" t="n">
        <v>44690</v>
      </c>
      <c r="G370" s="1" t="n"/>
    </row>
    <row r="371">
      <c r="A371" s="6" t="n">
        <v>768955</v>
      </c>
      <c r="B371" s="6" t="inlineStr">
        <is>
          <t>BALLATORE MOSCATO ROSE SPARKLING</t>
        </is>
      </c>
      <c r="C371" s="7">
        <f>VLOOKUP(A371,SizeData!A$2:B$3839,2,FALSE)</f>
        <v/>
      </c>
      <c r="D371" s="6" t="n">
        <v>2</v>
      </c>
      <c r="E371" s="6" t="inlineStr">
        <is>
          <t>R1607750</t>
        </is>
      </c>
      <c r="F371" s="2" t="n">
        <v>44691</v>
      </c>
      <c r="G371" s="1" t="n"/>
    </row>
    <row r="372">
      <c r="A372" s="6" t="n">
        <v>768955</v>
      </c>
      <c r="B372" s="6" t="inlineStr">
        <is>
          <t>BALLATORE MOSCATO ROSE SPARKLING</t>
        </is>
      </c>
      <c r="C372" s="7">
        <f>VLOOKUP(A372,SizeData!A$2:B$3839,2,FALSE)</f>
        <v/>
      </c>
      <c r="D372" s="6" t="n">
        <v>1</v>
      </c>
      <c r="E372" s="6" t="inlineStr">
        <is>
          <t>R1646609</t>
        </is>
      </c>
      <c r="F372" s="2" t="n">
        <v>44719</v>
      </c>
      <c r="G372" s="1" t="n"/>
    </row>
    <row r="373">
      <c r="A373" s="6" t="n">
        <v>768955</v>
      </c>
      <c r="B373" s="6" t="inlineStr">
        <is>
          <t>BALLATORE MOSCATO ROSE SPARKLING</t>
        </is>
      </c>
      <c r="C373" s="7">
        <f>VLOOKUP(A373,SizeData!A$2:B$3839,2,FALSE)</f>
        <v/>
      </c>
      <c r="D373" s="6" t="n">
        <v>1</v>
      </c>
      <c r="E373" s="6" t="inlineStr">
        <is>
          <t>R1699703</t>
        </is>
      </c>
      <c r="F373" s="2" t="n">
        <v>44765</v>
      </c>
      <c r="G373" s="1" t="n"/>
    </row>
    <row r="374">
      <c r="A374" s="6" t="n">
        <v>768955</v>
      </c>
      <c r="B374" s="6" t="inlineStr">
        <is>
          <t>BALLATORE MOSCATO ROSE SPARKLING</t>
        </is>
      </c>
      <c r="C374" s="7">
        <f>VLOOKUP(A374,SizeData!A$2:B$3839,2,FALSE)</f>
        <v/>
      </c>
      <c r="D374" s="6" t="n">
        <v>1</v>
      </c>
      <c r="E374" s="6" t="inlineStr">
        <is>
          <t>R1734766</t>
        </is>
      </c>
      <c r="F374" s="2" t="n">
        <v>44799</v>
      </c>
      <c r="G374" s="1" t="n"/>
    </row>
    <row r="375">
      <c r="A375" s="6" t="n">
        <v>768955</v>
      </c>
      <c r="B375" s="6" t="inlineStr">
        <is>
          <t>BALLATORE MOSCATO ROSE SPARKLING</t>
        </is>
      </c>
      <c r="C375" s="7">
        <f>VLOOKUP(A375,SizeData!A$2:B$3839,2,FALSE)</f>
        <v/>
      </c>
      <c r="D375" s="6" t="n">
        <v>1</v>
      </c>
      <c r="E375" s="6" t="inlineStr">
        <is>
          <t>R1852440</t>
        </is>
      </c>
      <c r="F375" s="2" t="n">
        <v>44867</v>
      </c>
      <c r="G375" s="1" t="n"/>
    </row>
    <row r="376">
      <c r="A376" s="6" t="n">
        <v>768955</v>
      </c>
      <c r="B376" s="6" t="inlineStr">
        <is>
          <t>BALLATORE MOSCATO ROSE SPARKLING</t>
        </is>
      </c>
      <c r="C376" s="7">
        <f>VLOOKUP(A376,SizeData!A$2:B$3839,2,FALSE)</f>
        <v/>
      </c>
      <c r="D376" s="6" t="n">
        <v>1</v>
      </c>
      <c r="E376" s="6" t="inlineStr">
        <is>
          <t>R1866529</t>
        </is>
      </c>
      <c r="F376" s="2" t="n">
        <v>44876</v>
      </c>
      <c r="G376" s="1" t="n"/>
    </row>
    <row r="377">
      <c r="A377" s="6" t="n">
        <v>768955</v>
      </c>
      <c r="B377" s="6" t="inlineStr">
        <is>
          <t>BALLATORE MOSCATO ROSE SPARKLING</t>
        </is>
      </c>
      <c r="C377" s="7">
        <f>VLOOKUP(A377,SizeData!A$2:B$3839,2,FALSE)</f>
        <v/>
      </c>
      <c r="D377" s="6" t="n">
        <v>1</v>
      </c>
      <c r="E377" s="6" t="inlineStr">
        <is>
          <t>R1858355</t>
        </is>
      </c>
      <c r="F377" s="2" t="n">
        <v>44880</v>
      </c>
      <c r="G377" s="1" t="n"/>
    </row>
    <row r="378">
      <c r="A378" s="6" t="n">
        <v>768950</v>
      </c>
      <c r="B378" s="6" t="inlineStr">
        <is>
          <t>BALLATORE SPUMANTE</t>
        </is>
      </c>
      <c r="C378" s="7">
        <f>VLOOKUP(A378,SizeData!A$2:B$3839,2,FALSE)</f>
        <v/>
      </c>
      <c r="D378" s="6" t="n">
        <v>1</v>
      </c>
      <c r="E378" s="6" t="inlineStr">
        <is>
          <t>R1465191</t>
        </is>
      </c>
      <c r="F378" s="2" t="n">
        <v>44602</v>
      </c>
      <c r="G378" s="1" t="n"/>
    </row>
    <row r="379">
      <c r="A379" s="6" t="n">
        <v>768950</v>
      </c>
      <c r="B379" s="6" t="inlineStr">
        <is>
          <t>BALLATORE SPUMANTE</t>
        </is>
      </c>
      <c r="C379" s="7">
        <f>VLOOKUP(A379,SizeData!A$2:B$3839,2,FALSE)</f>
        <v/>
      </c>
      <c r="D379" s="6" t="n">
        <v>1</v>
      </c>
      <c r="E379" s="6" t="inlineStr">
        <is>
          <t>R1488872</t>
        </is>
      </c>
      <c r="F379" s="2" t="n">
        <v>44627</v>
      </c>
      <c r="G379" s="1" t="n"/>
    </row>
    <row r="380">
      <c r="A380" s="6" t="n">
        <v>768950</v>
      </c>
      <c r="B380" s="6" t="inlineStr">
        <is>
          <t>BALLATORE SPUMANTE</t>
        </is>
      </c>
      <c r="C380" s="7">
        <f>VLOOKUP(A380,SizeData!A$2:B$3839,2,FALSE)</f>
        <v/>
      </c>
      <c r="D380" s="6" t="n">
        <v>1</v>
      </c>
      <c r="E380" s="6" t="inlineStr">
        <is>
          <t>R1605719</t>
        </is>
      </c>
      <c r="F380" s="2" t="n">
        <v>44685</v>
      </c>
      <c r="G380" s="1" t="n"/>
    </row>
    <row r="381">
      <c r="A381" s="39" t="n">
        <v>768950</v>
      </c>
      <c r="B381" s="39" t="inlineStr">
        <is>
          <t>BALLATORE SPUMANTE</t>
        </is>
      </c>
      <c r="C381" s="7">
        <f>VLOOKUP(A381,SizeData!A$2:B$3839,2,FALSE)</f>
        <v/>
      </c>
      <c r="D381" s="39" t="n">
        <v>1</v>
      </c>
      <c r="E381" s="39" t="inlineStr">
        <is>
          <t>R1672578</t>
        </is>
      </c>
      <c r="F381" s="40" t="n">
        <v>44740</v>
      </c>
      <c r="G381" s="41" t="n"/>
    </row>
    <row r="382">
      <c r="A382" s="6" t="n">
        <v>768950</v>
      </c>
      <c r="B382" s="6" t="inlineStr">
        <is>
          <t>BALLATORE SPUMANTE</t>
        </is>
      </c>
      <c r="C382" s="7">
        <f>VLOOKUP(A382,SizeData!A$2:B$3839,2,FALSE)</f>
        <v/>
      </c>
      <c r="D382" s="6" t="n">
        <v>1</v>
      </c>
      <c r="E382" s="6" t="inlineStr">
        <is>
          <t>R1699703</t>
        </is>
      </c>
      <c r="F382" s="2" t="n">
        <v>44765</v>
      </c>
      <c r="G382" s="1" t="n"/>
    </row>
    <row r="383">
      <c r="A383" s="6" t="n">
        <v>768950</v>
      </c>
      <c r="B383" s="6" t="inlineStr">
        <is>
          <t>BALLATORE SPUMANTE</t>
        </is>
      </c>
      <c r="C383" s="7">
        <f>VLOOKUP(A383,SizeData!A$2:B$3839,2,FALSE)</f>
        <v/>
      </c>
      <c r="D383" s="6" t="n">
        <v>1</v>
      </c>
      <c r="E383" s="6" t="inlineStr">
        <is>
          <t>R1852440</t>
        </is>
      </c>
      <c r="F383" s="2" t="n">
        <v>44867</v>
      </c>
      <c r="G383" s="1" t="n"/>
    </row>
    <row r="384">
      <c r="A384" s="6" t="n">
        <v>735551</v>
      </c>
      <c r="B384" s="6" t="inlineStr">
        <is>
          <t>BANFI ROSA REGALE BRACHETTO D'ACQUI</t>
        </is>
      </c>
      <c r="C384" s="7">
        <f>VLOOKUP(A384,SizeData!A$2:B$3839,2,FALSE)</f>
        <v/>
      </c>
      <c r="D384" s="6" t="n">
        <v>1</v>
      </c>
      <c r="E384" s="6" t="inlineStr">
        <is>
          <t>R1900430</t>
        </is>
      </c>
      <c r="F384" s="2" t="n">
        <v>44896</v>
      </c>
      <c r="G384" s="1" t="n"/>
    </row>
    <row r="385">
      <c r="A385" s="6" t="n">
        <v>16652</v>
      </c>
      <c r="B385" s="6" t="inlineStr">
        <is>
          <t>BARDSTOWN BOURBON COMPANY FUSION SERIES</t>
        </is>
      </c>
      <c r="C385" s="7">
        <f>VLOOKUP(A385,SizeData!A$2:B$3839,2,FALSE)</f>
        <v/>
      </c>
      <c r="D385" s="6" t="n">
        <v>2</v>
      </c>
      <c r="E385" s="6" t="inlineStr">
        <is>
          <t>R1501158</t>
        </is>
      </c>
      <c r="F385" s="2" t="n">
        <v>44627</v>
      </c>
      <c r="G385" s="1" t="n"/>
    </row>
    <row r="386">
      <c r="A386" s="6" t="n">
        <v>769001</v>
      </c>
      <c r="B386" s="6" t="inlineStr">
        <is>
          <t>BAREFOOT BUBBLY MOSCATO SPUMANTE</t>
        </is>
      </c>
      <c r="C386" s="7">
        <f>VLOOKUP(A386,SizeData!A$2:B$3839,2,FALSE)</f>
        <v/>
      </c>
      <c r="D386" s="6" t="n">
        <v>2</v>
      </c>
      <c r="E386" s="6" t="inlineStr">
        <is>
          <t>R1418605</t>
        </is>
      </c>
      <c r="F386" s="2" t="n">
        <v>44576</v>
      </c>
      <c r="G386" s="1" t="n"/>
    </row>
    <row r="387">
      <c r="A387" s="6" t="n">
        <v>769001</v>
      </c>
      <c r="B387" s="6" t="inlineStr">
        <is>
          <t>BAREFOOT BUBBLY MOSCATO SPUMANTE</t>
        </is>
      </c>
      <c r="C387" s="7">
        <f>VLOOKUP(A387,SizeData!A$2:B$3839,2,FALSE)</f>
        <v/>
      </c>
      <c r="D387" s="6" t="n">
        <v>2</v>
      </c>
      <c r="E387" s="6" t="inlineStr">
        <is>
          <t>R1449976</t>
        </is>
      </c>
      <c r="F387" s="2" t="n">
        <v>44604</v>
      </c>
      <c r="G387" s="1" t="n"/>
    </row>
    <row r="388">
      <c r="A388" s="6" t="n">
        <v>769001</v>
      </c>
      <c r="B388" s="6" t="inlineStr">
        <is>
          <t>BAREFOOT BUBBLY MOSCATO SPUMANTE</t>
        </is>
      </c>
      <c r="C388" s="7">
        <f>VLOOKUP(A388,SizeData!A$2:B$3839,2,FALSE)</f>
        <v/>
      </c>
      <c r="D388" s="6" t="n">
        <v>1</v>
      </c>
      <c r="E388" s="6" t="inlineStr">
        <is>
          <t>R1679342</t>
        </is>
      </c>
      <c r="F388" s="2" t="n">
        <v>44753</v>
      </c>
      <c r="G388" s="1" t="n"/>
    </row>
    <row r="389">
      <c r="A389" s="6" t="n">
        <v>769001</v>
      </c>
      <c r="B389" s="6" t="inlineStr">
        <is>
          <t>BAREFOOT BUBBLY MOSCATO SPUMANTE</t>
        </is>
      </c>
      <c r="C389" s="7">
        <f>VLOOKUP(A389,SizeData!A$2:B$3839,2,FALSE)</f>
        <v/>
      </c>
      <c r="D389" s="6" t="n">
        <v>2</v>
      </c>
      <c r="E389" s="6" t="inlineStr">
        <is>
          <t>R1682790</t>
        </is>
      </c>
      <c r="F389" s="2" t="n">
        <v>44762</v>
      </c>
      <c r="G389" s="1" t="n"/>
    </row>
    <row r="390">
      <c r="A390" s="6" t="n">
        <v>769005</v>
      </c>
      <c r="B390" s="6" t="inlineStr">
        <is>
          <t>BAREFOOT BUBBLY MOSCATO SPUMANTE</t>
        </is>
      </c>
      <c r="C390" s="7">
        <f>VLOOKUP(A390,SizeData!A$2:B$3839,2,FALSE)</f>
        <v/>
      </c>
      <c r="D390" s="6" t="n">
        <v>1</v>
      </c>
      <c r="E390" s="6" t="inlineStr">
        <is>
          <t>R1453720</t>
        </is>
      </c>
      <c r="F390" s="2" t="n">
        <v>44599</v>
      </c>
      <c r="G390" s="1" t="n"/>
    </row>
    <row r="391">
      <c r="A391" s="6" t="n">
        <v>769005</v>
      </c>
      <c r="B391" s="6" t="inlineStr">
        <is>
          <t>BAREFOOT BUBBLY MOSCATO SPUMANTE</t>
        </is>
      </c>
      <c r="C391" s="7">
        <f>VLOOKUP(A391,SizeData!A$2:B$3839,2,FALSE)</f>
        <v/>
      </c>
      <c r="D391" s="6" t="n">
        <v>1</v>
      </c>
      <c r="E391" s="6" t="inlineStr">
        <is>
          <t>R1629823</t>
        </is>
      </c>
      <c r="F391" s="2" t="n">
        <v>44713</v>
      </c>
      <c r="G391" s="1" t="n"/>
    </row>
    <row r="392">
      <c r="A392" s="6" t="n">
        <v>769005</v>
      </c>
      <c r="B392" s="6" t="inlineStr">
        <is>
          <t>BAREFOOT BUBBLY MOSCATO SPUMANTE</t>
        </is>
      </c>
      <c r="C392" s="7">
        <f>VLOOKUP(A392,SizeData!A$2:B$3839,2,FALSE)</f>
        <v/>
      </c>
      <c r="D392" s="6" t="n">
        <v>1</v>
      </c>
      <c r="E392" s="6" t="inlineStr">
        <is>
          <t>R1713113</t>
        </is>
      </c>
      <c r="F392" s="2" t="n">
        <v>44774</v>
      </c>
      <c r="G392" s="1" t="n"/>
    </row>
    <row r="393">
      <c r="A393" s="6" t="n">
        <v>769005</v>
      </c>
      <c r="B393" s="6" t="inlineStr">
        <is>
          <t>BAREFOOT BUBBLY MOSCATO SPUMANTE</t>
        </is>
      </c>
      <c r="C393" s="7">
        <f>VLOOKUP(A393,SizeData!A$2:B$3839,2,FALSE)</f>
        <v/>
      </c>
      <c r="D393" s="6" t="n">
        <v>2</v>
      </c>
      <c r="E393" s="6" t="inlineStr">
        <is>
          <t>R1704437</t>
        </is>
      </c>
      <c r="F393" s="2" t="n">
        <v>44775</v>
      </c>
      <c r="G393" s="1" t="n"/>
    </row>
    <row r="394">
      <c r="A394" s="6" t="n">
        <v>769006</v>
      </c>
      <c r="B394" s="6" t="inlineStr">
        <is>
          <t>BAREFOOT BUBBLY PEACH</t>
        </is>
      </c>
      <c r="C394" s="7">
        <f>VLOOKUP(A394,SizeData!A$2:B$3839,2,FALSE)</f>
        <v/>
      </c>
      <c r="D394" s="6" t="n">
        <v>1</v>
      </c>
      <c r="E394" s="6" t="inlineStr">
        <is>
          <t>R1386245</t>
        </is>
      </c>
      <c r="F394" s="2" t="n">
        <v>44557</v>
      </c>
      <c r="G394" s="1" t="n"/>
    </row>
    <row r="395">
      <c r="A395" s="6" t="n">
        <v>769006</v>
      </c>
      <c r="B395" s="6" t="inlineStr">
        <is>
          <t>BAREFOOT BUBBLY PEACH</t>
        </is>
      </c>
      <c r="C395" s="7">
        <f>VLOOKUP(A395,SizeData!A$2:B$3839,2,FALSE)</f>
        <v/>
      </c>
      <c r="D395" s="6" t="n">
        <v>1</v>
      </c>
      <c r="E395" s="6" t="inlineStr">
        <is>
          <t>R1449976</t>
        </is>
      </c>
      <c r="F395" s="2" t="n">
        <v>44604</v>
      </c>
      <c r="G395" s="1" t="n"/>
    </row>
    <row r="396">
      <c r="A396" s="6" t="n">
        <v>769006</v>
      </c>
      <c r="B396" s="6" t="inlineStr">
        <is>
          <t>BAREFOOT BUBBLY PEACH</t>
        </is>
      </c>
      <c r="C396" s="7">
        <f>VLOOKUP(A396,SizeData!A$2:B$3839,2,FALSE)</f>
        <v/>
      </c>
      <c r="D396" s="6" t="n">
        <v>1</v>
      </c>
      <c r="E396" s="6" t="inlineStr">
        <is>
          <t>R1588623</t>
        </is>
      </c>
      <c r="F396" s="2" t="n">
        <v>44681</v>
      </c>
      <c r="G396" s="1" t="n"/>
    </row>
    <row r="397">
      <c r="A397" s="31" t="n">
        <v>769006</v>
      </c>
      <c r="B397" s="31" t="inlineStr">
        <is>
          <t>BAREFOOT BUBBLY PEACH</t>
        </is>
      </c>
      <c r="C397" s="7">
        <f>VLOOKUP(A397,SizeData!A$2:B$3839,2,FALSE)</f>
        <v/>
      </c>
      <c r="D397" s="31" t="n">
        <v>2</v>
      </c>
      <c r="E397" s="31" t="inlineStr">
        <is>
          <t>R1661463</t>
        </is>
      </c>
      <c r="F397" s="33" t="n">
        <v>44735</v>
      </c>
      <c r="G397" s="34" t="n"/>
    </row>
    <row r="398">
      <c r="A398" s="6" t="n">
        <v>769006</v>
      </c>
      <c r="B398" s="6" t="inlineStr">
        <is>
          <t>BAREFOOT BUBBLY PEACH</t>
        </is>
      </c>
      <c r="C398" s="7">
        <f>VLOOKUP(A398,SizeData!A$2:B$3839,2,FALSE)</f>
        <v/>
      </c>
      <c r="D398" s="6" t="n">
        <v>1</v>
      </c>
      <c r="E398" s="6" t="inlineStr">
        <is>
          <t>R1713113</t>
        </is>
      </c>
      <c r="F398" s="2" t="n">
        <v>44774</v>
      </c>
      <c r="G398" s="1" t="n"/>
    </row>
    <row r="399">
      <c r="A399" s="26" t="n">
        <v>769006</v>
      </c>
      <c r="B399" s="26" t="inlineStr">
        <is>
          <t>BAREFOOT BUBBLY PEACH</t>
        </is>
      </c>
      <c r="C399" s="7">
        <f>VLOOKUP(A399,SizeData!A$2:B$3839,2,FALSE)</f>
        <v/>
      </c>
      <c r="D399" s="26" t="n">
        <v>2</v>
      </c>
      <c r="E399" s="26" t="inlineStr">
        <is>
          <t>R1744308</t>
        </is>
      </c>
      <c r="F399" s="61" t="n">
        <v>44797</v>
      </c>
      <c r="G399" s="62" t="n"/>
    </row>
    <row r="400">
      <c r="A400" s="6" t="n">
        <v>769007</v>
      </c>
      <c r="B400" s="6" t="inlineStr">
        <is>
          <t>BAREFOOT BUBBLY PINK MOSCATO</t>
        </is>
      </c>
      <c r="C400" s="7">
        <f>VLOOKUP(A400,SizeData!A$2:B$3839,2,FALSE)</f>
        <v/>
      </c>
      <c r="D400" s="6" t="n">
        <v>3</v>
      </c>
      <c r="E400" s="6" t="inlineStr">
        <is>
          <t>R1431061</t>
        </is>
      </c>
      <c r="F400" s="2" t="n">
        <v>44583</v>
      </c>
      <c r="G400" s="1" t="n"/>
    </row>
    <row r="401">
      <c r="A401" s="6" t="n">
        <v>769007</v>
      </c>
      <c r="B401" s="6" t="inlineStr">
        <is>
          <t>BAREFOOT BUBBLY PINK MOSCATO</t>
        </is>
      </c>
      <c r="C401" s="7">
        <f>VLOOKUP(A401,SizeData!A$2:B$3839,2,FALSE)</f>
        <v/>
      </c>
      <c r="D401" s="6" t="n">
        <v>1</v>
      </c>
      <c r="E401" s="6" t="inlineStr">
        <is>
          <t>R1449976</t>
        </is>
      </c>
      <c r="F401" s="2" t="n">
        <v>44604</v>
      </c>
      <c r="G401" s="1" t="n"/>
    </row>
    <row r="402">
      <c r="A402" s="6" t="n">
        <v>769007</v>
      </c>
      <c r="B402" s="6" t="inlineStr">
        <is>
          <t>BAREFOOT BUBBLY PINK MOSCATO</t>
        </is>
      </c>
      <c r="C402" s="7">
        <f>VLOOKUP(A402,SizeData!A$2:B$3839,2,FALSE)</f>
        <v/>
      </c>
      <c r="D402" s="6" t="n">
        <v>1</v>
      </c>
      <c r="E402" s="6" t="inlineStr">
        <is>
          <t>R1605719</t>
        </is>
      </c>
      <c r="F402" s="2" t="n">
        <v>44685</v>
      </c>
      <c r="G402" s="1" t="n"/>
    </row>
    <row r="403">
      <c r="A403" s="6" t="n">
        <v>769007</v>
      </c>
      <c r="B403" s="6" t="inlineStr">
        <is>
          <t>BAREFOOT BUBBLY PINK MOSCATO</t>
        </is>
      </c>
      <c r="C403" s="7">
        <f>VLOOKUP(A403,SizeData!A$2:B$3839,2,FALSE)</f>
        <v/>
      </c>
      <c r="D403" s="6" t="n">
        <v>1</v>
      </c>
      <c r="E403" s="6" t="inlineStr">
        <is>
          <t>R1679342</t>
        </is>
      </c>
      <c r="F403" s="2" t="n">
        <v>44753</v>
      </c>
      <c r="G403" s="1" t="n"/>
    </row>
    <row r="404">
      <c r="A404" s="6" t="n">
        <v>769007</v>
      </c>
      <c r="B404" s="6" t="inlineStr">
        <is>
          <t>BAREFOOT BUBBLY PINK MOSCATO</t>
        </is>
      </c>
      <c r="C404" s="7">
        <f>VLOOKUP(A404,SizeData!A$2:B$3839,2,FALSE)</f>
        <v/>
      </c>
      <c r="D404" s="6" t="n">
        <v>4</v>
      </c>
      <c r="E404" s="6" t="inlineStr">
        <is>
          <t>R1682790</t>
        </is>
      </c>
      <c r="F404" s="2" t="n">
        <v>44762</v>
      </c>
      <c r="G404" s="1" t="n"/>
    </row>
    <row r="405">
      <c r="A405" s="6" t="n">
        <v>769008</v>
      </c>
      <c r="B405" s="6" t="inlineStr">
        <is>
          <t>BAREFOOT BUBBLY PINK MOSCATO</t>
        </is>
      </c>
      <c r="C405" s="7">
        <f>VLOOKUP(A405,SizeData!A$2:B$3839,2,FALSE)</f>
        <v/>
      </c>
      <c r="D405" s="6" t="n">
        <v>2</v>
      </c>
      <c r="E405" s="6" t="inlineStr">
        <is>
          <t>R1449976</t>
        </is>
      </c>
      <c r="F405" s="2" t="n">
        <v>44604</v>
      </c>
      <c r="G405" s="1" t="n"/>
    </row>
    <row r="406">
      <c r="A406" s="6" t="n">
        <v>769008</v>
      </c>
      <c r="B406" s="6" t="inlineStr">
        <is>
          <t>BAREFOOT BUBBLY PINK MOSCATO</t>
        </is>
      </c>
      <c r="C406" s="7">
        <f>VLOOKUP(A406,SizeData!A$2:B$3839,2,FALSE)</f>
        <v/>
      </c>
      <c r="D406" s="6" t="n">
        <v>1</v>
      </c>
      <c r="E406" s="6" t="inlineStr">
        <is>
          <t>R1596233</t>
        </is>
      </c>
      <c r="F406" s="2" t="n">
        <v>44681</v>
      </c>
      <c r="G406" s="1" t="n"/>
    </row>
    <row r="407">
      <c r="A407" s="6" t="n">
        <v>769008</v>
      </c>
      <c r="B407" s="6" t="inlineStr">
        <is>
          <t>BAREFOOT BUBBLY PINK MOSCATO</t>
        </is>
      </c>
      <c r="C407" s="7">
        <f>VLOOKUP(A407,SizeData!A$2:B$3839,2,FALSE)</f>
        <v/>
      </c>
      <c r="D407" s="6" t="n">
        <v>2</v>
      </c>
      <c r="E407" s="6" t="inlineStr">
        <is>
          <t>R1646609</t>
        </is>
      </c>
      <c r="F407" s="2" t="n">
        <v>44719</v>
      </c>
      <c r="G407" s="1" t="n"/>
    </row>
    <row r="408">
      <c r="A408" s="6" t="n">
        <v>769008</v>
      </c>
      <c r="B408" s="6" t="inlineStr">
        <is>
          <t>BAREFOOT BUBBLY PINK MOSCATO</t>
        </is>
      </c>
      <c r="C408" s="7">
        <f>VLOOKUP(A408,SizeData!A$2:B$3839,2,FALSE)</f>
        <v/>
      </c>
      <c r="D408" s="6" t="n">
        <v>1</v>
      </c>
      <c r="E408" s="6" t="inlineStr">
        <is>
          <t>R1840965</t>
        </is>
      </c>
      <c r="F408" s="2" t="n">
        <v>44863</v>
      </c>
      <c r="G408" s="1" t="n"/>
    </row>
    <row r="409">
      <c r="A409" s="6" t="n">
        <v>402536</v>
      </c>
      <c r="B409" s="6" t="inlineStr">
        <is>
          <t>BAREFOOT CABERNET SAUVIGNON ARGENTINA</t>
        </is>
      </c>
      <c r="C409" s="7">
        <f>VLOOKUP(A409,SizeData!A$2:B$3839,2,FALSE)</f>
        <v/>
      </c>
      <c r="D409" s="6" t="n">
        <v>1</v>
      </c>
      <c r="E409" s="6" t="inlineStr">
        <is>
          <t>R1515367</t>
        </is>
      </c>
      <c r="F409" s="2" t="n">
        <v>44635</v>
      </c>
      <c r="G409" s="1" t="n"/>
    </row>
    <row r="410">
      <c r="A410" s="6" t="n">
        <v>402537</v>
      </c>
      <c r="B410" s="6" t="inlineStr">
        <is>
          <t>BAREFOOT CABERNET SAUVIGNON ARGENTINA</t>
        </is>
      </c>
      <c r="C410" s="7">
        <f>VLOOKUP(A410,SizeData!A$2:B$3839,2,FALSE)</f>
        <v/>
      </c>
      <c r="D410" s="6" t="n">
        <v>1</v>
      </c>
      <c r="E410" s="6" t="inlineStr">
        <is>
          <t>R1811635</t>
        </is>
      </c>
      <c r="F410" s="2" t="n">
        <v>44845</v>
      </c>
      <c r="G410" s="1" t="n"/>
    </row>
    <row r="411">
      <c r="A411" s="6" t="n">
        <v>544077</v>
      </c>
      <c r="B411" s="6" t="inlineStr">
        <is>
          <t>BAREFOOT CELLARS CALIFORNIA CHARDONNAY</t>
        </is>
      </c>
      <c r="C411" s="7">
        <f>VLOOKUP(A411,SizeData!A$2:B$3839,2,FALSE)</f>
        <v/>
      </c>
      <c r="D411" s="6" t="n">
        <v>1</v>
      </c>
      <c r="E411" s="6" t="inlineStr">
        <is>
          <t>R1529670</t>
        </is>
      </c>
      <c r="F411" s="2" t="n">
        <v>44652</v>
      </c>
      <c r="G411" s="1" t="n"/>
    </row>
    <row r="412">
      <c r="A412" s="6" t="n">
        <v>544077</v>
      </c>
      <c r="B412" s="6" t="inlineStr">
        <is>
          <t>BAREFOOT CELLARS CALIFORNIA CHARDONNAY</t>
        </is>
      </c>
      <c r="C412" s="7">
        <f>VLOOKUP(A412,SizeData!A$2:B$3839,2,FALSE)</f>
        <v/>
      </c>
      <c r="D412" s="6" t="n">
        <v>1</v>
      </c>
      <c r="E412" s="6" t="inlineStr">
        <is>
          <t>R1645266</t>
        </is>
      </c>
      <c r="F412" s="2" t="n">
        <v>44718</v>
      </c>
      <c r="G412" s="1" t="n"/>
    </row>
    <row r="413">
      <c r="A413" s="6" t="n">
        <v>544077</v>
      </c>
      <c r="B413" s="6" t="inlineStr">
        <is>
          <t>BAREFOOT CELLARS CALIFORNIA CHARDONNAY</t>
        </is>
      </c>
      <c r="C413" s="7">
        <f>VLOOKUP(A413,SizeData!A$2:B$3839,2,FALSE)</f>
        <v/>
      </c>
      <c r="D413" s="6" t="n">
        <v>1</v>
      </c>
      <c r="E413" s="6" t="inlineStr">
        <is>
          <t>R1811635</t>
        </is>
      </c>
      <c r="F413" s="2" t="n">
        <v>44845</v>
      </c>
      <c r="G413" s="1" t="n"/>
    </row>
    <row r="414">
      <c r="A414" s="6" t="n">
        <v>544077</v>
      </c>
      <c r="B414" s="6" t="inlineStr">
        <is>
          <t>BAREFOOT CELLARS CALIFORNIA CHARDONNAY</t>
        </is>
      </c>
      <c r="C414" s="7">
        <f>VLOOKUP(A414,SizeData!A$2:B$3839,2,FALSE)</f>
        <v/>
      </c>
      <c r="D414" s="6" t="n">
        <v>1</v>
      </c>
      <c r="E414" s="6" t="inlineStr">
        <is>
          <t>R1840965</t>
        </is>
      </c>
      <c r="F414" s="2" t="n">
        <v>44863</v>
      </c>
      <c r="G414" s="1" t="n"/>
    </row>
    <row r="415">
      <c r="A415" s="6" t="n">
        <v>809138</v>
      </c>
      <c r="B415" s="6" t="inlineStr">
        <is>
          <t>BAREFOOT CELLARS PEACH FRUIT SCATO</t>
        </is>
      </c>
      <c r="C415" s="7">
        <f>VLOOKUP(A415,SizeData!A$2:B$3839,2,FALSE)</f>
        <v/>
      </c>
      <c r="D415" s="6" t="n">
        <v>1</v>
      </c>
      <c r="E415" s="6" t="inlineStr">
        <is>
          <t>R1443217</t>
        </is>
      </c>
      <c r="F415" s="2" t="n">
        <v>44593</v>
      </c>
      <c r="G415" s="1" t="n"/>
    </row>
    <row r="416">
      <c r="A416" s="6" t="n">
        <v>809138</v>
      </c>
      <c r="B416" s="6" t="inlineStr">
        <is>
          <t>BAREFOOT CELLARS PEACH FRUIT SCATO</t>
        </is>
      </c>
      <c r="C416" s="7">
        <f>VLOOKUP(A416,SizeData!A$2:B$3839,2,FALSE)</f>
        <v/>
      </c>
      <c r="D416" s="6" t="n">
        <v>1</v>
      </c>
      <c r="E416" s="6" t="inlineStr">
        <is>
          <t>R1660776</t>
        </is>
      </c>
      <c r="F416" s="2" t="n">
        <v>44733</v>
      </c>
      <c r="G416" s="1" t="n"/>
    </row>
    <row r="417">
      <c r="A417" s="6" t="n">
        <v>809138</v>
      </c>
      <c r="B417" s="6" t="inlineStr">
        <is>
          <t>BAREFOOT CELLARS PEACH FRUIT SCATO</t>
        </is>
      </c>
      <c r="C417" s="7">
        <f>VLOOKUP(A417,SizeData!A$2:B$3839,2,FALSE)</f>
        <v/>
      </c>
      <c r="D417" s="6" t="n">
        <v>1</v>
      </c>
      <c r="E417" s="6" t="inlineStr">
        <is>
          <t>R1661076</t>
        </is>
      </c>
      <c r="F417" s="2" t="n">
        <v>44734</v>
      </c>
      <c r="G417" s="1" t="n"/>
    </row>
    <row r="418">
      <c r="A418" s="6" t="n">
        <v>809132</v>
      </c>
      <c r="B418" s="6" t="inlineStr">
        <is>
          <t>BAREFOOT CELLARS PEACH FRUIT-SCATO</t>
        </is>
      </c>
      <c r="C418" s="7">
        <f>VLOOKUP(A418,SizeData!A$2:B$3839,2,FALSE)</f>
        <v/>
      </c>
      <c r="D418" s="6" t="n">
        <v>1</v>
      </c>
      <c r="E418" s="6" t="inlineStr">
        <is>
          <t>R1496401</t>
        </is>
      </c>
      <c r="F418" s="2" t="n">
        <v>44621</v>
      </c>
      <c r="G418" s="1" t="n"/>
    </row>
    <row r="419">
      <c r="A419" s="6" t="n">
        <v>809132</v>
      </c>
      <c r="B419" s="6" t="inlineStr">
        <is>
          <t>BAREFOOT CELLARS PEACH FRUIT-SCATO</t>
        </is>
      </c>
      <c r="C419" s="7">
        <f>VLOOKUP(A419,SizeData!A$2:B$3839,2,FALSE)</f>
        <v/>
      </c>
      <c r="D419" s="6" t="n">
        <v>3</v>
      </c>
      <c r="E419" s="6" t="inlineStr">
        <is>
          <t>R1515367</t>
        </is>
      </c>
      <c r="F419" s="2" t="n">
        <v>44635</v>
      </c>
      <c r="G419" s="1" t="n"/>
    </row>
    <row r="420">
      <c r="A420" s="6" t="n">
        <v>809132</v>
      </c>
      <c r="B420" s="6" t="inlineStr">
        <is>
          <t>BAREFOOT CELLARS PEACH FRUIT-SCATO</t>
        </is>
      </c>
      <c r="C420" s="7">
        <f>VLOOKUP(A420,SizeData!A$2:B$3839,2,FALSE)</f>
        <v/>
      </c>
      <c r="D420" s="6" t="n">
        <v>1</v>
      </c>
      <c r="E420" s="6" t="inlineStr">
        <is>
          <t>R1695857</t>
        </is>
      </c>
      <c r="F420" s="2" t="n">
        <v>44758</v>
      </c>
      <c r="G420" s="1" t="n"/>
    </row>
    <row r="421">
      <c r="A421" s="6" t="n">
        <v>809132</v>
      </c>
      <c r="B421" s="6" t="inlineStr">
        <is>
          <t>BAREFOOT CELLARS PEACH FRUIT-SCATO</t>
        </is>
      </c>
      <c r="C421" s="7">
        <f>VLOOKUP(A421,SizeData!A$2:B$3839,2,FALSE)</f>
        <v/>
      </c>
      <c r="D421" s="6" t="n">
        <v>1</v>
      </c>
      <c r="E421" s="6" t="inlineStr">
        <is>
          <t>R1701532</t>
        </is>
      </c>
      <c r="F421" s="2" t="n">
        <v>44765</v>
      </c>
      <c r="G421" s="1" t="n"/>
    </row>
    <row r="422">
      <c r="A422" s="6" t="n">
        <v>809134</v>
      </c>
      <c r="B422" s="6" t="inlineStr">
        <is>
          <t>BAREFOOT CELLARS PEACH FRUIT-SCATO</t>
        </is>
      </c>
      <c r="C422" s="7">
        <f>VLOOKUP(A422,SizeData!A$2:B$3839,2,FALSE)</f>
        <v/>
      </c>
      <c r="D422" s="6" t="n">
        <v>1</v>
      </c>
      <c r="E422" s="6" t="inlineStr">
        <is>
          <t>R1695857</t>
        </is>
      </c>
      <c r="F422" s="2" t="n">
        <v>44758</v>
      </c>
      <c r="G422" s="1" t="n"/>
    </row>
    <row r="423">
      <c r="A423" s="6" t="n">
        <v>442562</v>
      </c>
      <c r="B423" s="6" t="inlineStr">
        <is>
          <t>BAREFOOT CELLARS RED MOSCATO CALIFORNIA</t>
        </is>
      </c>
      <c r="C423" s="7">
        <f>VLOOKUP(A423,SizeData!A$2:B$3839,2,FALSE)</f>
        <v/>
      </c>
      <c r="D423" s="6" t="n">
        <v>1</v>
      </c>
      <c r="E423" s="6" t="inlineStr">
        <is>
          <t>R1629067</t>
        </is>
      </c>
      <c r="F423" s="2" t="n">
        <v>44714</v>
      </c>
      <c r="G423" s="1" t="n"/>
    </row>
    <row r="424">
      <c r="A424" s="6" t="n">
        <v>442562</v>
      </c>
      <c r="B424" s="6" t="inlineStr">
        <is>
          <t>BAREFOOT CELLARS RED MOSCATO CALIFORNIA</t>
        </is>
      </c>
      <c r="C424" s="7">
        <f>VLOOKUP(A424,SizeData!A$2:B$3839,2,FALSE)</f>
        <v/>
      </c>
      <c r="D424" s="6" t="n">
        <v>2</v>
      </c>
      <c r="E424" s="6" t="inlineStr">
        <is>
          <t>R1672878</t>
        </is>
      </c>
      <c r="F424" s="2" t="n">
        <v>44743</v>
      </c>
      <c r="G424" s="1" t="n"/>
    </row>
    <row r="425">
      <c r="A425" s="6" t="n">
        <v>442562</v>
      </c>
      <c r="B425" s="6" t="inlineStr">
        <is>
          <t>BAREFOOT CELLARS RED MOSCATO CALIFORNIA</t>
        </is>
      </c>
      <c r="C425" s="7">
        <f>VLOOKUP(A425,SizeData!A$2:B$3839,2,FALSE)</f>
        <v/>
      </c>
      <c r="D425" s="6" t="n">
        <v>1</v>
      </c>
      <c r="E425" s="6" t="inlineStr">
        <is>
          <t>R1675261</t>
        </is>
      </c>
      <c r="F425" s="2" t="n">
        <v>44747</v>
      </c>
      <c r="G425" s="1" t="n"/>
    </row>
    <row r="426">
      <c r="A426" s="6" t="n">
        <v>442562</v>
      </c>
      <c r="B426" s="6" t="inlineStr">
        <is>
          <t>BAREFOOT CELLARS RED MOSCATO CALIFORNIA</t>
        </is>
      </c>
      <c r="C426" s="7">
        <f>VLOOKUP(A426,SizeData!A$2:B$3839,2,FALSE)</f>
        <v/>
      </c>
      <c r="D426" s="6" t="n">
        <v>2</v>
      </c>
      <c r="E426" s="6" t="inlineStr">
        <is>
          <t>R1699078</t>
        </is>
      </c>
      <c r="F426" s="2" t="n">
        <v>44769</v>
      </c>
      <c r="G426" s="1" t="n"/>
    </row>
    <row r="427">
      <c r="A427" s="6" t="n">
        <v>442562</v>
      </c>
      <c r="B427" s="6" t="inlineStr">
        <is>
          <t>BAREFOOT CELLARS RED MOSCATO CALIFORNIA</t>
        </is>
      </c>
      <c r="C427" s="7">
        <f>VLOOKUP(A427,SizeData!A$2:B$3839,2,FALSE)</f>
        <v/>
      </c>
      <c r="D427" s="6" t="n">
        <v>1</v>
      </c>
      <c r="E427" s="6" t="inlineStr">
        <is>
          <t>R1894248</t>
        </is>
      </c>
      <c r="F427" s="2" t="n">
        <v>44902</v>
      </c>
      <c r="G427" s="1" t="n"/>
    </row>
    <row r="428">
      <c r="A428" s="6" t="n">
        <v>442563</v>
      </c>
      <c r="B428" s="6" t="inlineStr">
        <is>
          <t>BAREFOOT CELLARS RED MOSCATO CALIFORNIA</t>
        </is>
      </c>
      <c r="C428" s="7">
        <f>VLOOKUP(A428,SizeData!A$2:B$3839,2,FALSE)</f>
        <v/>
      </c>
      <c r="D428" s="6" t="n">
        <v>2</v>
      </c>
      <c r="E428" s="6" t="inlineStr">
        <is>
          <t>R1443217</t>
        </is>
      </c>
      <c r="F428" s="2" t="n">
        <v>44593</v>
      </c>
      <c r="G428" s="1" t="n"/>
    </row>
    <row r="429">
      <c r="A429" s="6" t="n">
        <v>442563</v>
      </c>
      <c r="B429" s="6" t="inlineStr">
        <is>
          <t>BAREFOOT CELLARS RED MOSCATO CALIFORNIA</t>
        </is>
      </c>
      <c r="C429" s="7">
        <f>VLOOKUP(A429,SizeData!A$2:B$3839,2,FALSE)</f>
        <v/>
      </c>
      <c r="D429" s="6" t="n">
        <v>3</v>
      </c>
      <c r="E429" s="6" t="inlineStr">
        <is>
          <t>R1467109</t>
        </is>
      </c>
      <c r="F429" s="2" t="n">
        <v>44604</v>
      </c>
      <c r="G429" s="1" t="n"/>
    </row>
    <row r="430">
      <c r="A430" s="6" t="n">
        <v>442563</v>
      </c>
      <c r="B430" s="6" t="inlineStr">
        <is>
          <t>BAREFOOT CELLARS RED MOSCATO CALIFORNIA</t>
        </is>
      </c>
      <c r="C430" s="7">
        <f>VLOOKUP(A430,SizeData!A$2:B$3839,2,FALSE)</f>
        <v/>
      </c>
      <c r="D430" s="6" t="n">
        <v>1</v>
      </c>
      <c r="E430" s="6" t="inlineStr">
        <is>
          <t>R1660776</t>
        </is>
      </c>
      <c r="F430" s="2" t="n">
        <v>44733</v>
      </c>
      <c r="G430" s="1" t="n"/>
    </row>
    <row r="431">
      <c r="A431" s="6" t="n">
        <v>442563</v>
      </c>
      <c r="B431" s="6" t="inlineStr">
        <is>
          <t>BAREFOOT CELLARS RED MOSCATO CALIFORNIA</t>
        </is>
      </c>
      <c r="C431" s="7">
        <f>VLOOKUP(A431,SizeData!A$2:B$3839,2,FALSE)</f>
        <v/>
      </c>
      <c r="D431" s="6" t="n">
        <v>1</v>
      </c>
      <c r="E431" s="6" t="inlineStr">
        <is>
          <t>R1719137</t>
        </is>
      </c>
      <c r="F431" s="2" t="n">
        <v>44781</v>
      </c>
      <c r="G431" s="1" t="n"/>
    </row>
    <row r="432">
      <c r="A432" s="26" t="n">
        <v>442563</v>
      </c>
      <c r="B432" s="26" t="inlineStr">
        <is>
          <t>BAREFOOT CELLARS RED MOSCATO CALIFORNIA</t>
        </is>
      </c>
      <c r="C432" s="7">
        <f>VLOOKUP(A432,SizeData!A$2:B$3839,2,FALSE)</f>
        <v/>
      </c>
      <c r="D432" s="26" t="n">
        <v>2</v>
      </c>
      <c r="E432" s="26" t="inlineStr">
        <is>
          <t>R1727399</t>
        </is>
      </c>
      <c r="F432" s="61" t="n">
        <v>44786</v>
      </c>
      <c r="G432" s="62" t="n"/>
    </row>
    <row r="433">
      <c r="A433" s="6" t="n">
        <v>442563</v>
      </c>
      <c r="B433" s="6" t="inlineStr">
        <is>
          <t>BAREFOOT CELLARS RED MOSCATO CALIFORNIA</t>
        </is>
      </c>
      <c r="C433" s="7">
        <f>VLOOKUP(A433,SizeData!A$2:B$3839,2,FALSE)</f>
        <v/>
      </c>
      <c r="D433" s="6" t="n">
        <v>1</v>
      </c>
      <c r="E433" s="6" t="inlineStr">
        <is>
          <t>R1744939</t>
        </is>
      </c>
      <c r="F433" s="2" t="n">
        <v>44804</v>
      </c>
      <c r="G433" s="1" t="n"/>
    </row>
    <row r="434">
      <c r="A434" s="6" t="n">
        <v>442563</v>
      </c>
      <c r="B434" s="6" t="inlineStr">
        <is>
          <t>BAREFOOT CELLARS RED MOSCATO CALIFORNIA</t>
        </is>
      </c>
      <c r="C434" s="7">
        <f>VLOOKUP(A434,SizeData!A$2:B$3839,2,FALSE)</f>
        <v/>
      </c>
      <c r="D434" s="6" t="n">
        <v>2</v>
      </c>
      <c r="E434" s="6" t="inlineStr">
        <is>
          <t>R1820979</t>
        </is>
      </c>
      <c r="F434" s="2" t="n">
        <v>44849</v>
      </c>
      <c r="G434" s="1" t="n"/>
    </row>
    <row r="435">
      <c r="A435" s="6" t="n">
        <v>442563</v>
      </c>
      <c r="B435" s="6" t="inlineStr">
        <is>
          <t>BAREFOOT CELLARS RED MOSCATO CALIFORNIA</t>
        </is>
      </c>
      <c r="C435" s="7">
        <f>VLOOKUP(A435,SizeData!A$2:B$3839,2,FALSE)</f>
        <v/>
      </c>
      <c r="D435" s="6" t="n">
        <v>1</v>
      </c>
      <c r="E435" s="6" t="inlineStr">
        <is>
          <t>R1830533</t>
        </is>
      </c>
      <c r="F435" s="2" t="n">
        <v>44852</v>
      </c>
      <c r="G435" s="1" t="n"/>
    </row>
    <row r="436">
      <c r="A436" s="6" t="n">
        <v>809134</v>
      </c>
      <c r="B436" s="6" t="inlineStr">
        <is>
          <t>BAREFOOT CELLARS STRAWBERRY FRUIT-SCATO</t>
        </is>
      </c>
      <c r="C436" s="7">
        <f>VLOOKUP(A436,SizeData!A$2:B$3839,2,FALSE)</f>
        <v/>
      </c>
      <c r="D436" s="6" t="n">
        <v>1</v>
      </c>
      <c r="E436" s="6" t="inlineStr">
        <is>
          <t>R1496401</t>
        </is>
      </c>
      <c r="F436" s="2" t="n">
        <v>44621</v>
      </c>
      <c r="G436" s="1" t="n"/>
    </row>
    <row r="437">
      <c r="A437" s="6" t="n">
        <v>809134</v>
      </c>
      <c r="B437" s="6" t="inlineStr">
        <is>
          <t>BAREFOOT CELLARS STRAWBERRY FRUIT-SCATO</t>
        </is>
      </c>
      <c r="C437" s="7">
        <f>VLOOKUP(A437,SizeData!A$2:B$3839,2,FALSE)</f>
        <v/>
      </c>
      <c r="D437" s="6" t="n">
        <v>2</v>
      </c>
      <c r="E437" s="6" t="inlineStr">
        <is>
          <t>R1518411</t>
        </is>
      </c>
      <c r="F437" s="2" t="n">
        <v>44637</v>
      </c>
      <c r="G437" s="1" t="n"/>
    </row>
    <row r="438">
      <c r="A438" s="6" t="n">
        <v>809134</v>
      </c>
      <c r="B438" s="6" t="inlineStr">
        <is>
          <t>BAREFOOT CELLARS STRAWBERRY FRUIT-SCATO</t>
        </is>
      </c>
      <c r="C438" s="7">
        <f>VLOOKUP(A438,SizeData!A$2:B$3839,2,FALSE)</f>
        <v/>
      </c>
      <c r="D438" s="6" t="n">
        <v>2</v>
      </c>
      <c r="E438" s="6" t="inlineStr">
        <is>
          <t>R1695857</t>
        </is>
      </c>
      <c r="F438" s="2" t="n">
        <v>44758</v>
      </c>
      <c r="G438" s="1" t="n"/>
    </row>
    <row r="439">
      <c r="A439" s="6" t="n">
        <v>809134</v>
      </c>
      <c r="B439" s="6" t="inlineStr">
        <is>
          <t>BAREFOOT CELLARS STRAWBERRY FRUIT-SCATO</t>
        </is>
      </c>
      <c r="C439" s="7">
        <f>VLOOKUP(A439,SizeData!A$2:B$3839,2,FALSE)</f>
        <v/>
      </c>
      <c r="D439" s="6" t="n">
        <v>2</v>
      </c>
      <c r="E439" s="6" t="inlineStr">
        <is>
          <t>R1683790</t>
        </is>
      </c>
      <c r="F439" s="2" t="n">
        <v>44761</v>
      </c>
      <c r="G439" s="1" t="n"/>
    </row>
    <row r="440">
      <c r="A440" s="6" t="n">
        <v>642105</v>
      </c>
      <c r="B440" s="6" t="inlineStr">
        <is>
          <t>BAREFOOT CELLARS WH ZINFANDEL CALIFORNIA</t>
        </is>
      </c>
      <c r="C440" s="7">
        <f>VLOOKUP(A440,SizeData!A$2:B$3839,2,FALSE)</f>
        <v/>
      </c>
      <c r="D440" s="6" t="n">
        <v>1</v>
      </c>
      <c r="E440" s="6" t="inlineStr">
        <is>
          <t>R1900430</t>
        </is>
      </c>
      <c r="F440" s="2" t="n">
        <v>44896</v>
      </c>
      <c r="G440" s="1" t="n"/>
    </row>
    <row r="441">
      <c r="A441" s="6" t="n">
        <v>544110</v>
      </c>
      <c r="B441" s="6" t="inlineStr">
        <is>
          <t>BAREFOOT MOSCATO CALIFORNIA</t>
        </is>
      </c>
      <c r="C441" s="7">
        <f>VLOOKUP(A441,SizeData!A$2:B$3839,2,FALSE)</f>
        <v/>
      </c>
      <c r="D441" s="6" t="n">
        <v>3</v>
      </c>
      <c r="E441" s="6" t="inlineStr">
        <is>
          <t>R1467109</t>
        </is>
      </c>
      <c r="F441" s="2" t="n">
        <v>44604</v>
      </c>
      <c r="G441" s="1" t="n"/>
    </row>
    <row r="442">
      <c r="A442" s="6" t="n">
        <v>544110</v>
      </c>
      <c r="B442" s="6" t="inlineStr">
        <is>
          <t>BAREFOOT MOSCATO CALIFORNIA</t>
        </is>
      </c>
      <c r="C442" s="7">
        <f>VLOOKUP(A442,SizeData!A$2:B$3839,2,FALSE)</f>
        <v/>
      </c>
      <c r="D442" s="6" t="n">
        <v>2</v>
      </c>
      <c r="E442" s="6" t="inlineStr">
        <is>
          <t>R1549891</t>
        </is>
      </c>
      <c r="F442" s="2" t="n">
        <v>44656</v>
      </c>
      <c r="G442" s="1" t="n"/>
    </row>
    <row r="443">
      <c r="A443" s="6" t="n">
        <v>544110</v>
      </c>
      <c r="B443" s="6" t="inlineStr">
        <is>
          <t>BAREFOOT MOSCATO CALIFORNIA</t>
        </is>
      </c>
      <c r="C443" s="7">
        <f>VLOOKUP(A443,SizeData!A$2:B$3839,2,FALSE)</f>
        <v/>
      </c>
      <c r="D443" s="6" t="n">
        <v>2</v>
      </c>
      <c r="E443" s="6" t="inlineStr">
        <is>
          <t>R1579357</t>
        </is>
      </c>
      <c r="F443" s="2" t="n">
        <v>44676</v>
      </c>
      <c r="G443" s="1" t="n"/>
    </row>
    <row r="444">
      <c r="A444" s="6" t="n">
        <v>544110</v>
      </c>
      <c r="B444" s="6" t="inlineStr">
        <is>
          <t>BAREFOOT MOSCATO CALIFORNIA</t>
        </is>
      </c>
      <c r="C444" s="7">
        <f>VLOOKUP(A444,SizeData!A$2:B$3839,2,FALSE)</f>
        <v/>
      </c>
      <c r="D444" s="6" t="n">
        <v>1</v>
      </c>
      <c r="E444" s="6" t="inlineStr">
        <is>
          <t>R1585685</t>
        </is>
      </c>
      <c r="F444" s="2" t="n">
        <v>44679</v>
      </c>
      <c r="G444" s="1" t="n"/>
    </row>
    <row r="445">
      <c r="A445" s="6" t="n">
        <v>544110</v>
      </c>
      <c r="B445" s="6" t="inlineStr">
        <is>
          <t>BAREFOOT MOSCATO CALIFORNIA</t>
        </is>
      </c>
      <c r="C445" s="7">
        <f>VLOOKUP(A445,SizeData!A$2:B$3839,2,FALSE)</f>
        <v/>
      </c>
      <c r="D445" s="6" t="n">
        <v>1</v>
      </c>
      <c r="E445" s="6" t="inlineStr">
        <is>
          <t>R1596233</t>
        </is>
      </c>
      <c r="F445" s="2" t="n">
        <v>44681</v>
      </c>
      <c r="G445" s="1" t="n"/>
    </row>
    <row r="446">
      <c r="A446" s="26" t="n">
        <v>544110</v>
      </c>
      <c r="B446" s="26" t="inlineStr">
        <is>
          <t>BAREFOOT MOSCATO CALIFORNIA</t>
        </is>
      </c>
      <c r="C446" s="7">
        <f>VLOOKUP(A446,SizeData!A$2:B$3839,2,FALSE)</f>
        <v/>
      </c>
      <c r="D446" s="26" t="n">
        <v>1</v>
      </c>
      <c r="E446" s="26" t="inlineStr">
        <is>
          <t>R1719137</t>
        </is>
      </c>
      <c r="F446" s="61" t="n">
        <v>44781</v>
      </c>
      <c r="G446" s="62" t="n"/>
    </row>
    <row r="447">
      <c r="A447" s="6" t="n">
        <v>544110</v>
      </c>
      <c r="B447" s="6" t="inlineStr">
        <is>
          <t>BAREFOOT MOSCATO CALIFORNIA</t>
        </is>
      </c>
      <c r="C447" s="7">
        <f>VLOOKUP(A447,SizeData!A$2:B$3839,2,FALSE)</f>
        <v/>
      </c>
      <c r="D447" s="6" t="n">
        <v>1</v>
      </c>
      <c r="E447" s="6" t="inlineStr">
        <is>
          <t>R1744939</t>
        </is>
      </c>
      <c r="F447" s="2" t="n">
        <v>44804</v>
      </c>
      <c r="G447" s="1" t="n"/>
    </row>
    <row r="448">
      <c r="A448" s="6" t="n">
        <v>544107</v>
      </c>
      <c r="B448" s="6" t="inlineStr">
        <is>
          <t>BAREFOOT MOSCATO CALIFORNIA (PET)</t>
        </is>
      </c>
      <c r="C448" s="7">
        <f>VLOOKUP(A448,SizeData!A$2:B$3839,2,FALSE)</f>
        <v/>
      </c>
      <c r="D448" s="6" t="n">
        <v>1</v>
      </c>
      <c r="E448" s="6" t="inlineStr">
        <is>
          <t>R1644631</t>
        </is>
      </c>
      <c r="F448" s="2" t="n">
        <v>44725</v>
      </c>
      <c r="G448" s="1" t="n"/>
    </row>
    <row r="449">
      <c r="A449" s="6" t="n">
        <v>544107</v>
      </c>
      <c r="B449" s="6" t="inlineStr">
        <is>
          <t>BAREFOOT MOSCATO CALIFORNIA (PET)</t>
        </is>
      </c>
      <c r="C449" s="7">
        <f>VLOOKUP(A449,SizeData!A$2:B$3839,2,FALSE)</f>
        <v/>
      </c>
      <c r="D449" s="6" t="n">
        <v>1</v>
      </c>
      <c r="E449" s="6" t="inlineStr">
        <is>
          <t>R1711866</t>
        </is>
      </c>
      <c r="F449" s="2" t="n">
        <v>44772</v>
      </c>
      <c r="G449" s="1" t="n"/>
    </row>
    <row r="450">
      <c r="A450" s="6" t="n">
        <v>544107</v>
      </c>
      <c r="B450" s="6" t="inlineStr">
        <is>
          <t>BAREFOOT MOSCATO CALIFORNIA (PET)</t>
        </is>
      </c>
      <c r="C450" s="7">
        <f>VLOOKUP(A450,SizeData!A$2:B$3839,2,FALSE)</f>
        <v/>
      </c>
      <c r="D450" s="6" t="n">
        <v>1</v>
      </c>
      <c r="E450" s="6" t="inlineStr">
        <is>
          <t>R1764571</t>
        </is>
      </c>
      <c r="F450" s="2" t="n">
        <v>44824</v>
      </c>
      <c r="G450" s="1" t="n"/>
    </row>
    <row r="451">
      <c r="A451" s="6" t="n">
        <v>544109</v>
      </c>
      <c r="B451" s="6" t="inlineStr">
        <is>
          <t>BAREFOOT MOSCATO CALLIFORNIA</t>
        </is>
      </c>
      <c r="C451" s="7">
        <f>VLOOKUP(A451,SizeData!A$2:B$3839,2,FALSE)</f>
        <v/>
      </c>
      <c r="D451" s="6" t="n">
        <v>4</v>
      </c>
      <c r="E451" s="6" t="inlineStr">
        <is>
          <t>R1515367</t>
        </is>
      </c>
      <c r="F451" s="2" t="n">
        <v>44635</v>
      </c>
      <c r="G451" s="1" t="n"/>
    </row>
    <row r="452">
      <c r="A452" s="6" t="n">
        <v>544109</v>
      </c>
      <c r="B452" s="6" t="inlineStr">
        <is>
          <t>BAREFOOT MOSCATO CALLIFORNIA</t>
        </is>
      </c>
      <c r="C452" s="7">
        <f>VLOOKUP(A452,SizeData!A$2:B$3839,2,FALSE)</f>
        <v/>
      </c>
      <c r="D452" s="6" t="n">
        <v>4</v>
      </c>
      <c r="E452" s="6" t="inlineStr">
        <is>
          <t>R1683790</t>
        </is>
      </c>
      <c r="F452" s="2" t="n">
        <v>44761</v>
      </c>
      <c r="G452" s="1" t="n"/>
    </row>
    <row r="453">
      <c r="A453" s="6" t="n">
        <v>544109</v>
      </c>
      <c r="B453" s="6" t="inlineStr">
        <is>
          <t>BAREFOOT MOSCATO CALLIFORNIA</t>
        </is>
      </c>
      <c r="C453" s="7">
        <f>VLOOKUP(A453,SizeData!A$2:B$3839,2,FALSE)</f>
        <v/>
      </c>
      <c r="D453" s="6" t="n">
        <v>3</v>
      </c>
      <c r="E453" s="6" t="inlineStr">
        <is>
          <t>R1883576</t>
        </is>
      </c>
      <c r="F453" s="2" t="n">
        <v>44895</v>
      </c>
      <c r="G453" s="1" t="n"/>
    </row>
    <row r="454">
      <c r="A454" s="6" t="n">
        <v>642110</v>
      </c>
      <c r="B454" s="6" t="inlineStr">
        <is>
          <t>BAREFOOT PINK MOSCATO CALIFORNIA</t>
        </is>
      </c>
      <c r="C454" s="7">
        <f>VLOOKUP(A454,SizeData!A$2:B$3839,2,FALSE)</f>
        <v/>
      </c>
      <c r="D454" s="6" t="n">
        <v>2</v>
      </c>
      <c r="E454" s="6" t="inlineStr">
        <is>
          <t>R1525413</t>
        </is>
      </c>
      <c r="F454" s="2" t="n">
        <v>44631</v>
      </c>
      <c r="G454" s="1" t="n"/>
    </row>
    <row r="455">
      <c r="A455" s="6" t="n">
        <v>642110</v>
      </c>
      <c r="B455" s="6" t="inlineStr">
        <is>
          <t>BAREFOOT PINK MOSCATO CALIFORNIA</t>
        </is>
      </c>
      <c r="C455" s="7">
        <f>VLOOKUP(A455,SizeData!A$2:B$3839,2,FALSE)</f>
        <v/>
      </c>
      <c r="D455" s="6" t="n">
        <v>1</v>
      </c>
      <c r="E455" s="6" t="inlineStr">
        <is>
          <t>R1846759</t>
        </is>
      </c>
      <c r="F455" s="2" t="n">
        <v>44872</v>
      </c>
      <c r="G455" s="1" t="n"/>
    </row>
    <row r="456">
      <c r="A456" s="6" t="n">
        <v>642112</v>
      </c>
      <c r="B456" s="6" t="inlineStr">
        <is>
          <t>BAREFOOT PINK MOSCATO CALIFORNIA</t>
        </is>
      </c>
      <c r="C456" s="7">
        <f>VLOOKUP(A456,SizeData!A$2:B$3839,2,FALSE)</f>
        <v/>
      </c>
      <c r="D456" s="6" t="n">
        <v>1</v>
      </c>
      <c r="E456" s="6" t="inlineStr">
        <is>
          <t>R1588623</t>
        </is>
      </c>
      <c r="F456" s="2" t="n">
        <v>44681</v>
      </c>
      <c r="G456" s="1" t="n"/>
    </row>
    <row r="457">
      <c r="A457" s="6" t="n">
        <v>642112</v>
      </c>
      <c r="B457" s="6" t="inlineStr">
        <is>
          <t>BAREFOOT PINK MOSCATO CALIFORNIA</t>
        </is>
      </c>
      <c r="C457" s="7">
        <f>VLOOKUP(A457,SizeData!A$2:B$3839,2,FALSE)</f>
        <v/>
      </c>
      <c r="D457" s="6" t="n">
        <v>1</v>
      </c>
      <c r="E457" s="6" t="inlineStr">
        <is>
          <t>R1629823</t>
        </is>
      </c>
      <c r="F457" s="2" t="n">
        <v>44713</v>
      </c>
      <c r="G457" s="1" t="n"/>
    </row>
    <row r="458">
      <c r="A458" s="6" t="n">
        <v>642112</v>
      </c>
      <c r="B458" s="6" t="inlineStr">
        <is>
          <t>BAREFOOT PINK MOSCATO CALIFORNIA</t>
        </is>
      </c>
      <c r="C458" s="7">
        <f>VLOOKUP(A458,SizeData!A$2:B$3839,2,FALSE)</f>
        <v/>
      </c>
      <c r="D458" s="6" t="n">
        <v>1</v>
      </c>
      <c r="E458" s="6" t="inlineStr">
        <is>
          <t>R1719137</t>
        </is>
      </c>
      <c r="F458" s="2" t="n">
        <v>44781</v>
      </c>
      <c r="G458" s="1" t="n"/>
    </row>
    <row r="459">
      <c r="A459" s="26" t="n">
        <v>642112</v>
      </c>
      <c r="B459" s="26" t="inlineStr">
        <is>
          <t>BAREFOOT PINK MOSCATO CALIFORNIA</t>
        </is>
      </c>
      <c r="C459" s="75">
        <f>VLOOKUP(A459,SizeData!A$2:B$3839,2,FALSE)</f>
        <v/>
      </c>
      <c r="D459" s="26" t="n">
        <v>1</v>
      </c>
      <c r="E459" s="26" t="inlineStr">
        <is>
          <t>R1840965</t>
        </is>
      </c>
      <c r="F459" s="61" t="n">
        <v>44863</v>
      </c>
      <c r="G459" s="62" t="n"/>
    </row>
    <row r="460">
      <c r="A460" s="6" t="n">
        <v>443255</v>
      </c>
      <c r="B460" s="6" t="inlineStr">
        <is>
          <t>BAREFOOT PINOT NOIR CALIFORNIA</t>
        </is>
      </c>
      <c r="C460" s="7">
        <f>VLOOKUP(A460,SizeData!A$2:B$3839,2,FALSE)</f>
        <v/>
      </c>
      <c r="D460" s="6" t="n">
        <v>1</v>
      </c>
      <c r="E460" s="6" t="inlineStr">
        <is>
          <t>R1665833</t>
        </is>
      </c>
      <c r="F460" s="2" t="n">
        <v>44734</v>
      </c>
      <c r="G460" s="1" t="n"/>
    </row>
    <row r="461">
      <c r="A461" s="6" t="n">
        <v>442569</v>
      </c>
      <c r="B461" s="6" t="inlineStr">
        <is>
          <t>BAREFOOT RED MOSCATO CALIFORNIA (PET)</t>
        </is>
      </c>
      <c r="C461" s="7">
        <f>VLOOKUP(A461,SizeData!A$2:B$3839,2,FALSE)</f>
        <v/>
      </c>
      <c r="D461" s="6" t="n">
        <v>1</v>
      </c>
      <c r="E461" s="6" t="inlineStr">
        <is>
          <t>R1426776</t>
        </is>
      </c>
      <c r="F461" s="2" t="n">
        <v>44585</v>
      </c>
      <c r="G461" s="1" t="n"/>
    </row>
    <row r="462">
      <c r="A462" s="6" t="n">
        <v>442569</v>
      </c>
      <c r="B462" s="6" t="inlineStr">
        <is>
          <t>BAREFOOT RED MOSCATO CALIFORNIA (PET)</t>
        </is>
      </c>
      <c r="C462" s="7">
        <f>VLOOKUP(A462,SizeData!A$2:B$3839,2,FALSE)</f>
        <v/>
      </c>
      <c r="D462" s="6" t="n">
        <v>1</v>
      </c>
      <c r="E462" s="6" t="inlineStr">
        <is>
          <t>R1644631</t>
        </is>
      </c>
      <c r="F462" s="2" t="n">
        <v>44725</v>
      </c>
      <c r="G462" s="1" t="n"/>
    </row>
    <row r="463">
      <c r="A463" s="6" t="n">
        <v>442569</v>
      </c>
      <c r="B463" s="6" t="inlineStr">
        <is>
          <t>BAREFOOT RED MOSCATO CALIFORNIA (PET)</t>
        </is>
      </c>
      <c r="C463" s="7">
        <f>VLOOKUP(A463,SizeData!A$2:B$3839,2,FALSE)</f>
        <v/>
      </c>
      <c r="D463" s="6" t="n">
        <v>1</v>
      </c>
      <c r="E463" s="6" t="inlineStr">
        <is>
          <t>R1854075</t>
        </is>
      </c>
      <c r="F463" s="2" t="n">
        <v>44873</v>
      </c>
      <c r="G463" s="1" t="n"/>
    </row>
    <row r="464">
      <c r="A464" s="6" t="n">
        <v>544115</v>
      </c>
      <c r="B464" s="6" t="inlineStr">
        <is>
          <t>BAREFOOT RIESLING CALIFORNIA</t>
        </is>
      </c>
      <c r="C464" s="7">
        <f>VLOOKUP(A464,SizeData!A$2:B$3839,2,FALSE)</f>
        <v/>
      </c>
      <c r="D464" s="6" t="n">
        <v>1</v>
      </c>
      <c r="E464" s="6" t="inlineStr">
        <is>
          <t>R1496401</t>
        </is>
      </c>
      <c r="F464" s="2" t="n">
        <v>44621</v>
      </c>
      <c r="G464" s="1" t="n"/>
    </row>
    <row r="465">
      <c r="A465" s="6" t="n">
        <v>544117</v>
      </c>
      <c r="B465" s="6" t="inlineStr">
        <is>
          <t>BAREFOOT RIESLING CALIFORNIA</t>
        </is>
      </c>
      <c r="C465" s="7">
        <f>VLOOKUP(A465,SizeData!A$2:B$3839,2,FALSE)</f>
        <v/>
      </c>
      <c r="D465" s="6" t="n">
        <v>1</v>
      </c>
      <c r="E465" s="6" t="inlineStr">
        <is>
          <t>R1644631</t>
        </is>
      </c>
      <c r="F465" s="2" t="n">
        <v>44725</v>
      </c>
      <c r="G465" s="1" t="n"/>
    </row>
    <row r="466">
      <c r="A466" s="6" t="n">
        <v>544117</v>
      </c>
      <c r="B466" s="6" t="inlineStr">
        <is>
          <t>BAREFOOT RIESLING CALIFORNIA</t>
        </is>
      </c>
      <c r="C466" s="7">
        <f>VLOOKUP(A466,SizeData!A$2:B$3839,2,FALSE)</f>
        <v/>
      </c>
      <c r="D466" s="6" t="n">
        <v>1</v>
      </c>
      <c r="E466" s="6" t="inlineStr">
        <is>
          <t>R1660776</t>
        </is>
      </c>
      <c r="F466" s="2" t="n">
        <v>44733</v>
      </c>
      <c r="G466" s="1" t="n"/>
    </row>
    <row r="467">
      <c r="A467" s="6" t="n">
        <v>57049</v>
      </c>
      <c r="B467" s="6" t="inlineStr">
        <is>
          <t>BARTON LONG ISLAND ICE TEA</t>
        </is>
      </c>
      <c r="C467" s="7">
        <f>VLOOKUP(A467,SizeData!A$2:B$3839,2,FALSE)</f>
        <v/>
      </c>
      <c r="D467" s="6" t="n">
        <v>2</v>
      </c>
      <c r="E467" s="6" t="inlineStr">
        <is>
          <t>R1472767</t>
        </is>
      </c>
      <c r="F467" s="2" t="n">
        <v>44616</v>
      </c>
      <c r="G467" s="1" t="n"/>
    </row>
    <row r="468">
      <c r="A468" s="6" t="n">
        <v>57049</v>
      </c>
      <c r="B468" s="6" t="inlineStr">
        <is>
          <t>BARTON LONG ISLAND ICE TEA</t>
        </is>
      </c>
      <c r="C468" s="7">
        <f>VLOOKUP(A468,SizeData!A$2:B$3839,2,FALSE)</f>
        <v/>
      </c>
      <c r="D468" s="6" t="n">
        <v>1</v>
      </c>
      <c r="E468" s="6" t="inlineStr">
        <is>
          <t>R1767069</t>
        </is>
      </c>
      <c r="F468" s="2" t="n">
        <v>44814</v>
      </c>
      <c r="G468" s="1" t="n"/>
    </row>
    <row r="469">
      <c r="A469" s="6" t="n">
        <v>57049</v>
      </c>
      <c r="B469" s="6" t="inlineStr">
        <is>
          <t>BARTON LONG ISLAND ICE TEA</t>
        </is>
      </c>
      <c r="C469" s="7">
        <f>VLOOKUP(A469,SizeData!A$2:B$3839,2,FALSE)</f>
        <v/>
      </c>
      <c r="D469" s="6" t="n">
        <v>1</v>
      </c>
      <c r="E469" s="6" t="inlineStr">
        <is>
          <t>R1763684</t>
        </is>
      </c>
      <c r="F469" s="2" t="n">
        <v>44821</v>
      </c>
      <c r="G469" s="1" t="n"/>
    </row>
    <row r="470">
      <c r="A470" s="6" t="n">
        <v>57049</v>
      </c>
      <c r="B470" s="6" t="inlineStr">
        <is>
          <t>BARTON LONG ISLAND ICE TEA</t>
        </is>
      </c>
      <c r="C470" s="7">
        <f>VLOOKUP(A470,SizeData!A$2:B$3839,2,FALSE)</f>
        <v/>
      </c>
      <c r="D470" s="6" t="n">
        <v>1</v>
      </c>
      <c r="E470" s="6" t="inlineStr">
        <is>
          <t>R1793212</t>
        </is>
      </c>
      <c r="F470" s="2" t="n">
        <v>44833</v>
      </c>
      <c r="G470" s="1" t="n"/>
    </row>
    <row r="471">
      <c r="A471" s="6" t="n">
        <v>57051</v>
      </c>
      <c r="B471" s="6" t="inlineStr">
        <is>
          <t>BARTON LONG ISLAND ICED TEA</t>
        </is>
      </c>
      <c r="C471" s="7">
        <f>VLOOKUP(A471,SizeData!A$2:B$3839,2,FALSE)</f>
        <v/>
      </c>
      <c r="D471" s="6" t="n">
        <v>2</v>
      </c>
      <c r="E471" s="6" t="inlineStr">
        <is>
          <t>R1466461</t>
        </is>
      </c>
      <c r="F471" s="2" t="n">
        <v>44606</v>
      </c>
      <c r="G471" s="1" t="n"/>
    </row>
    <row r="472">
      <c r="A472" s="6" t="n">
        <v>57051</v>
      </c>
      <c r="B472" s="6" t="inlineStr">
        <is>
          <t>BARTON LONG ISLAND ICED TEA</t>
        </is>
      </c>
      <c r="C472" s="7">
        <f>VLOOKUP(A472,SizeData!A$2:B$3839,2,FALSE)</f>
        <v/>
      </c>
      <c r="D472" s="6" t="n">
        <v>1</v>
      </c>
      <c r="E472" s="6" t="inlineStr">
        <is>
          <t>R1515367</t>
        </is>
      </c>
      <c r="F472" s="2" t="n">
        <v>44635</v>
      </c>
      <c r="G472" s="1" t="n"/>
    </row>
    <row r="473">
      <c r="A473" s="26" t="n">
        <v>57051</v>
      </c>
      <c r="B473" s="26" t="inlineStr">
        <is>
          <t>BARTON LONG ISLAND ICED TEA</t>
        </is>
      </c>
      <c r="C473" s="7">
        <f>VLOOKUP(A473,SizeData!A$2:B$3839,2,FALSE)</f>
        <v/>
      </c>
      <c r="D473" s="26" t="n">
        <v>1</v>
      </c>
      <c r="E473" s="26" t="inlineStr">
        <is>
          <t>R1767069</t>
        </is>
      </c>
      <c r="F473" s="61" t="n">
        <v>44814</v>
      </c>
      <c r="G473" s="62" t="n"/>
    </row>
    <row r="474">
      <c r="A474" s="6" t="n">
        <v>57051</v>
      </c>
      <c r="B474" s="6" t="inlineStr">
        <is>
          <t>BARTON LONG ISLAND ICED TEA</t>
        </is>
      </c>
      <c r="C474" s="7">
        <f>VLOOKUP(A474,SizeData!A$2:B$3839,2,FALSE)</f>
        <v/>
      </c>
      <c r="D474" s="6" t="n">
        <v>1</v>
      </c>
      <c r="E474" s="6" t="inlineStr">
        <is>
          <t>R1763684</t>
        </is>
      </c>
      <c r="F474" s="2" t="n">
        <v>44821</v>
      </c>
      <c r="G474" s="1" t="n"/>
    </row>
    <row r="475">
      <c r="A475" s="6" t="n">
        <v>44217</v>
      </c>
      <c r="B475" s="6" t="inlineStr">
        <is>
          <t>BARTON'S LIGHT RUM</t>
        </is>
      </c>
      <c r="C475" s="7">
        <f>VLOOKUP(A475,SizeData!A$2:B$3839,2,FALSE)</f>
        <v/>
      </c>
      <c r="D475" s="6" t="n">
        <v>1</v>
      </c>
      <c r="E475" s="6" t="inlineStr">
        <is>
          <t>R1747750</t>
        </is>
      </c>
      <c r="F475" s="2" t="n">
        <v>44802</v>
      </c>
      <c r="G475" s="1" t="n"/>
    </row>
    <row r="476">
      <c r="A476" s="6" t="n">
        <v>27189</v>
      </c>
      <c r="B476" s="6" t="inlineStr">
        <is>
          <t>BASIL HAYDEN'S DARK RYE WHISKEY</t>
        </is>
      </c>
      <c r="C476" s="7">
        <f>VLOOKUP(A476,SizeData!A$2:B$3839,2,FALSE)</f>
        <v/>
      </c>
      <c r="D476" s="6" t="n">
        <v>2</v>
      </c>
      <c r="E476" s="6" t="inlineStr">
        <is>
          <t>R1567357</t>
        </is>
      </c>
      <c r="F476" s="2" t="n">
        <v>44665</v>
      </c>
      <c r="G476" s="1" t="n"/>
    </row>
    <row r="477">
      <c r="A477" s="6" t="n">
        <v>16673</v>
      </c>
      <c r="B477" s="6" t="inlineStr">
        <is>
          <t>BASIL HAYDEN'S STRAIGHT BOURBON</t>
        </is>
      </c>
      <c r="C477" s="7">
        <f>VLOOKUP(A477,SizeData!A$2:B$3839,2,FALSE)</f>
        <v/>
      </c>
      <c r="D477" s="6" t="n">
        <v>2</v>
      </c>
      <c r="E477" s="6" t="inlineStr">
        <is>
          <t>R1568562</t>
        </is>
      </c>
      <c r="F477" s="2" t="n">
        <v>44670</v>
      </c>
      <c r="G477" s="1" t="n"/>
    </row>
    <row r="478">
      <c r="A478" s="6" t="n">
        <v>16673</v>
      </c>
      <c r="B478" s="6" t="inlineStr">
        <is>
          <t>BASIL HAYDEN'S STRAIGHT BOURBON</t>
        </is>
      </c>
      <c r="C478" s="7">
        <f>VLOOKUP(A478,SizeData!A$2:B$3839,2,FALSE)</f>
        <v/>
      </c>
      <c r="D478" s="6" t="n">
        <v>1</v>
      </c>
      <c r="E478" s="6" t="inlineStr">
        <is>
          <t>R1568562</t>
        </is>
      </c>
      <c r="F478" s="2" t="n">
        <v>44670</v>
      </c>
      <c r="G478" s="1" t="n"/>
    </row>
    <row r="479">
      <c r="A479" s="6" t="n">
        <v>16676</v>
      </c>
      <c r="B479" s="6" t="inlineStr">
        <is>
          <t>BASIL HAYDEN'S STRAIGHT BOURBON</t>
        </is>
      </c>
      <c r="C479" s="7">
        <f>VLOOKUP(A479,SizeData!A$2:B$3839,2,FALSE)</f>
        <v/>
      </c>
      <c r="D479" s="6" t="n">
        <v>1</v>
      </c>
      <c r="E479" s="6" t="inlineStr">
        <is>
          <t>R1469832</t>
        </is>
      </c>
      <c r="F479" s="2" t="n">
        <v>44615</v>
      </c>
      <c r="G479" s="1" t="n"/>
    </row>
    <row r="480">
      <c r="A480" s="6" t="n">
        <v>16676</v>
      </c>
      <c r="B480" s="6" t="inlineStr">
        <is>
          <t>BASIL HAYDEN'S STRAIGHT BOURBON</t>
        </is>
      </c>
      <c r="C480" s="7">
        <f>VLOOKUP(A480,SizeData!A$2:B$3839,2,FALSE)</f>
        <v/>
      </c>
      <c r="D480" s="6" t="n">
        <v>3</v>
      </c>
      <c r="E480" s="6" t="inlineStr">
        <is>
          <t>R1549891</t>
        </is>
      </c>
      <c r="F480" s="2" t="n">
        <v>44656</v>
      </c>
      <c r="G480" s="1" t="n"/>
    </row>
    <row r="481">
      <c r="A481" s="6" t="n">
        <v>16676</v>
      </c>
      <c r="B481" s="6" t="inlineStr">
        <is>
          <t>BASIL HAYDEN'S STRAIGHT BOURBON</t>
        </is>
      </c>
      <c r="C481" s="7">
        <f>VLOOKUP(A481,SizeData!A$2:B$3839,2,FALSE)</f>
        <v/>
      </c>
      <c r="D481" s="6" t="n">
        <v>1</v>
      </c>
      <c r="E481" s="6" t="inlineStr">
        <is>
          <t>R1668331</t>
        </is>
      </c>
      <c r="F481" s="2" t="n">
        <v>44742</v>
      </c>
      <c r="G481" s="1" t="n"/>
    </row>
    <row r="482">
      <c r="A482" s="6" t="n">
        <v>16685</v>
      </c>
      <c r="B482" s="6" t="inlineStr">
        <is>
          <t>BASIL HAYDEN'S TOAST KENTUCKY SBW</t>
        </is>
      </c>
      <c r="C482" s="7">
        <f>VLOOKUP(A482,SizeData!A$2:B$3839,2,FALSE)</f>
        <v/>
      </c>
      <c r="D482" s="6" t="n">
        <v>1</v>
      </c>
      <c r="E482" s="6" t="inlineStr">
        <is>
          <t>R1563525</t>
        </is>
      </c>
      <c r="F482" s="2" t="n">
        <v>44666</v>
      </c>
      <c r="G482" s="1" t="n"/>
    </row>
    <row r="483">
      <c r="A483" s="6" t="n">
        <v>22783</v>
      </c>
      <c r="B483" s="6" t="inlineStr">
        <is>
          <t>BEAM'S 8 STAR BLENDED WHISKEY</t>
        </is>
      </c>
      <c r="C483" s="7">
        <f>VLOOKUP(A483,SizeData!A$2:B$3839,2,FALSE)</f>
        <v/>
      </c>
      <c r="D483" s="6" t="n">
        <v>1</v>
      </c>
      <c r="E483" s="6" t="inlineStr">
        <is>
          <t>R1373822</t>
        </is>
      </c>
      <c r="F483" s="2" t="n">
        <v>44546</v>
      </c>
      <c r="G483" s="1" t="n"/>
    </row>
    <row r="484">
      <c r="A484" s="6" t="n">
        <v>22783</v>
      </c>
      <c r="B484" s="6" t="inlineStr">
        <is>
          <t>BEAM'S 8 STAR BLENDED WHISKEY</t>
        </is>
      </c>
      <c r="C484" s="7">
        <f>VLOOKUP(A484,SizeData!A$2:B$3839,2,FALSE)</f>
        <v/>
      </c>
      <c r="D484" s="6" t="n">
        <v>1</v>
      </c>
      <c r="E484" s="6" t="inlineStr">
        <is>
          <t>R1626725</t>
        </is>
      </c>
      <c r="F484" s="2" t="n">
        <v>44705</v>
      </c>
      <c r="G484" s="1" t="n"/>
    </row>
    <row r="485">
      <c r="A485" s="6" t="n">
        <v>22784</v>
      </c>
      <c r="B485" s="6" t="inlineStr">
        <is>
          <t>BEAM'S 8 STAR BLENDED WHISKEY</t>
        </is>
      </c>
      <c r="C485" s="7">
        <f>VLOOKUP(A485,SizeData!A$2:B$3839,2,FALSE)</f>
        <v/>
      </c>
      <c r="D485" s="6" t="n">
        <v>2</v>
      </c>
      <c r="E485" s="6" t="inlineStr">
        <is>
          <t>R1373822</t>
        </is>
      </c>
      <c r="F485" s="2" t="n">
        <v>44546</v>
      </c>
      <c r="G485" s="1" t="n"/>
    </row>
    <row r="486">
      <c r="A486" s="6" t="n">
        <v>22784</v>
      </c>
      <c r="B486" s="6" t="inlineStr">
        <is>
          <t>BEAM'S 8 STAR BLENDED WHISKEY</t>
        </is>
      </c>
      <c r="C486" s="7">
        <f>VLOOKUP(A486,SizeData!A$2:B$3839,2,FALSE)</f>
        <v/>
      </c>
      <c r="D486" s="6" t="n">
        <v>1</v>
      </c>
      <c r="E486" s="6" t="inlineStr">
        <is>
          <t>R1501625</t>
        </is>
      </c>
      <c r="F486" s="2" t="n">
        <v>44627</v>
      </c>
      <c r="G486" s="1" t="n"/>
    </row>
    <row r="487">
      <c r="A487" s="6" t="n">
        <v>22784</v>
      </c>
      <c r="B487" s="6" t="inlineStr">
        <is>
          <t>BEAM'S 8 STAR BLENDED WHISKEY</t>
        </is>
      </c>
      <c r="C487" s="7">
        <f>VLOOKUP(A487,SizeData!A$2:B$3839,2,FALSE)</f>
        <v/>
      </c>
      <c r="D487" s="6" t="n">
        <v>2</v>
      </c>
      <c r="E487" s="6" t="inlineStr">
        <is>
          <t>R1489956</t>
        </is>
      </c>
      <c r="F487" s="2" t="n">
        <v>44631</v>
      </c>
      <c r="G487" s="1" t="n"/>
    </row>
    <row r="488">
      <c r="A488" s="26" t="n">
        <v>22784</v>
      </c>
      <c r="B488" s="26" t="inlineStr">
        <is>
          <t>BEAM'S 8 STAR BLENDED WHISKEY</t>
        </is>
      </c>
      <c r="C488" s="7">
        <f>VLOOKUP(A488,SizeData!A$2:B$3839,2,FALSE)</f>
        <v/>
      </c>
      <c r="D488" s="26" t="n">
        <v>1</v>
      </c>
      <c r="E488" s="26" t="inlineStr">
        <is>
          <t>R1784903</t>
        </is>
      </c>
      <c r="F488" s="61" t="n">
        <v>44828</v>
      </c>
      <c r="G488" s="62" t="n"/>
    </row>
    <row r="489">
      <c r="A489" s="26" t="n">
        <v>22784</v>
      </c>
      <c r="B489" s="26" t="inlineStr">
        <is>
          <t>BEAM'S 8 STAR BLENDED WHISKEY</t>
        </is>
      </c>
      <c r="C489" s="75">
        <f>VLOOKUP(A489,SizeData!A$2:B$3839,2,FALSE)</f>
        <v/>
      </c>
      <c r="D489" s="26" t="n">
        <v>1</v>
      </c>
      <c r="E489" s="26" t="inlineStr">
        <is>
          <t>R1791500</t>
        </is>
      </c>
      <c r="F489" s="61" t="n">
        <v>44835</v>
      </c>
      <c r="G489" s="62" t="n"/>
    </row>
    <row r="490">
      <c r="A490" s="6" t="n">
        <v>22786</v>
      </c>
      <c r="B490" s="6" t="inlineStr">
        <is>
          <t>BEAM'S 8 STAR BLENDED WHISKEY</t>
        </is>
      </c>
      <c r="C490" s="7">
        <f>VLOOKUP(A490,SizeData!A$2:B$3839,2,FALSE)</f>
        <v/>
      </c>
      <c r="D490" s="6" t="n">
        <v>1</v>
      </c>
      <c r="E490" s="6" t="inlineStr">
        <is>
          <t>R1471479</t>
        </is>
      </c>
      <c r="F490" s="2" t="n">
        <v>44614</v>
      </c>
      <c r="G490" s="1" t="n"/>
    </row>
    <row r="491">
      <c r="A491" s="6" t="n">
        <v>22788</v>
      </c>
      <c r="B491" s="6" t="inlineStr">
        <is>
          <t>BEAM'S 8 STAR BLENDED WHISKEY</t>
        </is>
      </c>
      <c r="C491" s="7">
        <f>VLOOKUP(A491,SizeData!A$2:B$3839,2,FALSE)</f>
        <v/>
      </c>
      <c r="D491" s="6" t="n">
        <v>1</v>
      </c>
      <c r="E491" s="6" t="inlineStr">
        <is>
          <t>R1424786</t>
        </is>
      </c>
      <c r="F491" s="2" t="n">
        <v>44593</v>
      </c>
      <c r="G491" s="1" t="n"/>
    </row>
    <row r="492">
      <c r="A492" s="6" t="n">
        <v>22788</v>
      </c>
      <c r="B492" s="6" t="inlineStr">
        <is>
          <t>BEAM'S 8 STAR BLENDED WHISKEY</t>
        </is>
      </c>
      <c r="C492" s="7">
        <f>VLOOKUP(A492,SizeData!A$2:B$3839,2,FALSE)</f>
        <v/>
      </c>
      <c r="D492" s="6" t="n">
        <v>1</v>
      </c>
      <c r="E492" s="6" t="inlineStr">
        <is>
          <t>R1601838</t>
        </is>
      </c>
      <c r="F492" s="2" t="n">
        <v>44687</v>
      </c>
      <c r="G492" s="1" t="n"/>
    </row>
    <row r="493">
      <c r="A493" s="6" t="n">
        <v>22788</v>
      </c>
      <c r="B493" s="6" t="inlineStr">
        <is>
          <t>BEAM'S 8 STAR BLENDED WHISKEY</t>
        </is>
      </c>
      <c r="C493" s="7">
        <f>VLOOKUP(A493,SizeData!A$2:B$3839,2,FALSE)</f>
        <v/>
      </c>
      <c r="D493" s="6" t="n">
        <v>1</v>
      </c>
      <c r="E493" s="6" t="inlineStr">
        <is>
          <t>R1677409</t>
        </is>
      </c>
      <c r="F493" s="2" t="n">
        <v>44746</v>
      </c>
      <c r="G493" s="1" t="n"/>
    </row>
    <row r="494">
      <c r="A494" s="6" t="n">
        <v>22788</v>
      </c>
      <c r="B494" s="6" t="inlineStr">
        <is>
          <t>BEAM'S 8 STAR BLENDED WHISKEY</t>
        </is>
      </c>
      <c r="C494" s="7">
        <f>VLOOKUP(A494,SizeData!A$2:B$3839,2,FALSE)</f>
        <v/>
      </c>
      <c r="D494" s="6" t="n">
        <v>1</v>
      </c>
      <c r="E494" s="6" t="inlineStr">
        <is>
          <t>R1734629</t>
        </is>
      </c>
      <c r="F494" s="2" t="n">
        <v>44792</v>
      </c>
      <c r="G494" s="1" t="n"/>
    </row>
    <row r="495">
      <c r="A495" s="6" t="n">
        <v>22788</v>
      </c>
      <c r="B495" s="6" t="inlineStr">
        <is>
          <t>BEAM'S 8 STAR BLENDED WHISKEY</t>
        </is>
      </c>
      <c r="C495" s="7">
        <f>VLOOKUP(A495,SizeData!A$2:B$3839,2,FALSE)</f>
        <v/>
      </c>
      <c r="D495" s="6" t="n">
        <v>1</v>
      </c>
      <c r="E495" s="6" t="inlineStr">
        <is>
          <t>R1759302</t>
        </is>
      </c>
      <c r="F495" s="2" t="n">
        <v>44806</v>
      </c>
      <c r="G495" s="1" t="n"/>
    </row>
    <row r="496">
      <c r="A496" s="6" t="n">
        <v>22788</v>
      </c>
      <c r="B496" s="6" t="inlineStr">
        <is>
          <t>BEAM'S 8 STAR BLENDED WHISKEY</t>
        </is>
      </c>
      <c r="C496" s="7">
        <f>VLOOKUP(A496,SizeData!A$2:B$3839,2,FALSE)</f>
        <v/>
      </c>
      <c r="D496" s="6" t="n">
        <v>1</v>
      </c>
      <c r="E496" s="6" t="inlineStr">
        <is>
          <t>R1762606</t>
        </is>
      </c>
      <c r="F496" s="2" t="n">
        <v>44809</v>
      </c>
      <c r="G496" s="1" t="n"/>
    </row>
    <row r="497">
      <c r="A497" s="6" t="n">
        <v>22788</v>
      </c>
      <c r="B497" s="6" t="inlineStr">
        <is>
          <t>BEAM'S 8 STAR BLENDED WHISKEY</t>
        </is>
      </c>
      <c r="C497" s="7">
        <f>VLOOKUP(A497,SizeData!A$2:B$3839,2,FALSE)</f>
        <v/>
      </c>
      <c r="D497" s="6" t="n">
        <v>1</v>
      </c>
      <c r="E497" s="6" t="inlineStr">
        <is>
          <t>R1817613</t>
        </is>
      </c>
      <c r="F497" s="2" t="n">
        <v>44849</v>
      </c>
      <c r="G497" s="1" t="n"/>
    </row>
    <row r="498">
      <c r="A498" s="6" t="n">
        <v>22788</v>
      </c>
      <c r="B498" s="6" t="inlineStr">
        <is>
          <t>BEAM'S 8 STAR BLENDED WHISKEY</t>
        </is>
      </c>
      <c r="C498" s="7">
        <f>VLOOKUP(A498,SizeData!A$2:B$3839,2,FALSE)</f>
        <v/>
      </c>
      <c r="D498" s="6" t="n">
        <v>1</v>
      </c>
      <c r="E498" s="6" t="inlineStr">
        <is>
          <t>R1830533</t>
        </is>
      </c>
      <c r="F498" s="2" t="n">
        <v>44852</v>
      </c>
      <c r="G498" s="1" t="n"/>
    </row>
    <row r="499">
      <c r="A499" s="6" t="n">
        <v>443945</v>
      </c>
      <c r="B499" s="6" t="inlineStr">
        <is>
          <t>BELLE GLOS CLARK &amp; TELEPHONE VINEYARD PINOT NOIR</t>
        </is>
      </c>
      <c r="C499" s="7">
        <f>VLOOKUP(A499,SizeData!A$2:B$3839,2,FALSE)</f>
        <v/>
      </c>
      <c r="D499" s="6" t="n">
        <v>1</v>
      </c>
      <c r="E499" s="6" t="inlineStr">
        <is>
          <t>R1632057</t>
        </is>
      </c>
      <c r="F499" s="2" t="n">
        <v>44716</v>
      </c>
      <c r="G499" s="1" t="n"/>
    </row>
    <row r="500">
      <c r="A500" s="6" t="n">
        <v>36697</v>
      </c>
      <c r="B500" s="6" t="inlineStr">
        <is>
          <t>BELVEDERE UNFILTERED SOMGORY FOREST SINGLE ESTATE</t>
        </is>
      </c>
      <c r="C500" s="7">
        <f>VLOOKUP(A500,SizeData!A$2:B$3839,2,FALSE)</f>
        <v/>
      </c>
      <c r="D500" s="6" t="n">
        <v>1</v>
      </c>
      <c r="E500" s="6" t="inlineStr">
        <is>
          <t>R1453720</t>
        </is>
      </c>
      <c r="F500" s="2" t="n">
        <v>44599</v>
      </c>
      <c r="G500" s="1" t="n"/>
    </row>
    <row r="501">
      <c r="A501" s="6" t="n">
        <v>36697</v>
      </c>
      <c r="B501" s="6" t="inlineStr">
        <is>
          <t>BELVEDERE UNFILTERED SOMGORY FOREST SINGLE ESTATE</t>
        </is>
      </c>
      <c r="C501" s="7">
        <f>VLOOKUP(A501,SizeData!A$2:B$3839,2,FALSE)</f>
        <v/>
      </c>
      <c r="D501" s="6" t="n">
        <v>3</v>
      </c>
      <c r="E501" s="6" t="inlineStr">
        <is>
          <t>R1579357</t>
        </is>
      </c>
      <c r="F501" s="2" t="n">
        <v>44676</v>
      </c>
      <c r="G501" s="1" t="n"/>
    </row>
    <row r="502">
      <c r="A502" s="6" t="n">
        <v>36697</v>
      </c>
      <c r="B502" s="6" t="inlineStr">
        <is>
          <t>BELVEDERE UNFILTERED SOMGORY FOREST SINGLE ESTATE</t>
        </is>
      </c>
      <c r="C502" s="7">
        <f>VLOOKUP(A502,SizeData!A$2:B$3839,2,FALSE)</f>
        <v/>
      </c>
      <c r="D502" s="6" t="n">
        <v>2</v>
      </c>
      <c r="E502" s="6" t="inlineStr">
        <is>
          <t>R1632057</t>
        </is>
      </c>
      <c r="F502" s="2" t="n">
        <v>44716</v>
      </c>
      <c r="G502" s="1" t="n"/>
    </row>
    <row r="503">
      <c r="A503" s="6" t="n">
        <v>36697</v>
      </c>
      <c r="B503" s="6" t="inlineStr">
        <is>
          <t>BELVEDERE UNFILTERED SOMGORY FOREST SINGLE ESTATE</t>
        </is>
      </c>
      <c r="C503" s="7">
        <f>VLOOKUP(A503,SizeData!A$2:B$3839,2,FALSE)</f>
        <v/>
      </c>
      <c r="D503" s="6" t="n">
        <v>1</v>
      </c>
      <c r="E503" s="6" t="inlineStr">
        <is>
          <t>R1725227</t>
        </is>
      </c>
      <c r="F503" s="2" t="n">
        <v>44779</v>
      </c>
      <c r="G503" s="1" t="n"/>
    </row>
    <row r="504">
      <c r="A504" s="6" t="n">
        <v>36697</v>
      </c>
      <c r="B504" s="6" t="inlineStr">
        <is>
          <t>BELVEDERE UNFILTERED SOMGORY FOREST SINGLE ESTATE</t>
        </is>
      </c>
      <c r="C504" s="7">
        <f>VLOOKUP(A504,SizeData!A$2:B$3839,2,FALSE)</f>
        <v/>
      </c>
      <c r="D504" s="6" t="n">
        <v>1</v>
      </c>
      <c r="E504" s="6" t="inlineStr">
        <is>
          <t>R1725567</t>
        </is>
      </c>
      <c r="F504" s="2" t="n">
        <v>44779</v>
      </c>
      <c r="G504" s="1" t="n"/>
    </row>
    <row r="505">
      <c r="A505" s="6" t="n">
        <v>36697</v>
      </c>
      <c r="B505" s="6" t="inlineStr">
        <is>
          <t>BELVEDERE UNFILTERED SOMGORY FOREST SINGLE ESTATE</t>
        </is>
      </c>
      <c r="C505" s="7">
        <f>VLOOKUP(A505,SizeData!A$2:B$3839,2,FALSE)</f>
        <v/>
      </c>
      <c r="D505" s="6" t="n">
        <v>1</v>
      </c>
      <c r="E505" s="6" t="inlineStr">
        <is>
          <t>R1727741</t>
        </is>
      </c>
      <c r="F505" s="2" t="n">
        <v>44786</v>
      </c>
      <c r="G505" s="1" t="n"/>
    </row>
    <row r="506">
      <c r="A506" s="6" t="n">
        <v>36697</v>
      </c>
      <c r="B506" s="6" t="inlineStr">
        <is>
          <t>BELVEDERE UNFILTERED SOMGORY FOREST SINGLE ESTATE</t>
        </is>
      </c>
      <c r="C506" s="7">
        <f>VLOOKUP(A506,SizeData!A$2:B$3839,2,FALSE)</f>
        <v/>
      </c>
      <c r="D506" s="6" t="n">
        <v>2</v>
      </c>
      <c r="E506" s="6" t="inlineStr">
        <is>
          <t>R1734629</t>
        </is>
      </c>
      <c r="F506" s="2" t="n">
        <v>44792</v>
      </c>
      <c r="G506" s="1" t="n"/>
    </row>
    <row r="507">
      <c r="A507" s="6" t="n">
        <v>36697</v>
      </c>
      <c r="B507" s="6" t="inlineStr">
        <is>
          <t>BELVEDERE UNFILTERED SOMGORY FOREST SINGLE ESTATE</t>
        </is>
      </c>
      <c r="C507" s="7">
        <f>VLOOKUP(A507,SizeData!A$2:B$3839,2,FALSE)</f>
        <v/>
      </c>
      <c r="D507" s="6" t="n">
        <v>1</v>
      </c>
      <c r="E507" s="6" t="inlineStr">
        <is>
          <t>R1744939</t>
        </is>
      </c>
      <c r="F507" s="2" t="n">
        <v>44804</v>
      </c>
      <c r="G507" s="1" t="n"/>
    </row>
    <row r="508">
      <c r="A508" s="6" t="n">
        <v>36697</v>
      </c>
      <c r="B508" s="6" t="inlineStr">
        <is>
          <t>BELVEDERE UNFILTERED SOMGORY FOREST SINGLE ESTATE</t>
        </is>
      </c>
      <c r="C508" s="7">
        <f>VLOOKUP(A508,SizeData!A$2:B$3839,2,FALSE)</f>
        <v/>
      </c>
      <c r="D508" s="6" t="n">
        <v>1</v>
      </c>
      <c r="E508" s="6" t="inlineStr">
        <is>
          <t>R1763315</t>
        </is>
      </c>
      <c r="F508" s="2" t="n">
        <v>44814</v>
      </c>
      <c r="G508" s="1" t="n"/>
    </row>
    <row r="509">
      <c r="A509" s="6" t="n">
        <v>36697</v>
      </c>
      <c r="B509" s="6" t="inlineStr">
        <is>
          <t>BELVEDERE UNFILTERED SOMGORY FOREST SINGLE ESTATE</t>
        </is>
      </c>
      <c r="C509" s="7">
        <f>VLOOKUP(A509,SizeData!A$2:B$3839,2,FALSE)</f>
        <v/>
      </c>
      <c r="D509" s="6" t="n">
        <v>3</v>
      </c>
      <c r="E509" s="6" t="inlineStr">
        <is>
          <t>R1880771</t>
        </is>
      </c>
      <c r="F509" s="2" t="n">
        <v>44895</v>
      </c>
      <c r="G509" s="1" t="n"/>
    </row>
    <row r="510">
      <c r="A510" s="6" t="n">
        <v>34154</v>
      </c>
      <c r="B510" s="6" t="inlineStr">
        <is>
          <t>BELVEDERE VODKA</t>
        </is>
      </c>
      <c r="C510" s="7">
        <f>VLOOKUP(A510,SizeData!A$2:B$3839,2,FALSE)</f>
        <v/>
      </c>
      <c r="D510" s="6" t="n">
        <v>2</v>
      </c>
      <c r="E510" s="6" t="inlineStr">
        <is>
          <t>R1751391</t>
        </is>
      </c>
      <c r="F510" s="2" t="n">
        <v>44805</v>
      </c>
      <c r="G510" s="1" t="n"/>
    </row>
    <row r="511">
      <c r="A511" s="6" t="n">
        <v>34154</v>
      </c>
      <c r="B511" s="6" t="inlineStr">
        <is>
          <t>BELVEDERE VODKA</t>
        </is>
      </c>
      <c r="C511" s="7">
        <f>VLOOKUP(A511,SizeData!A$2:B$3839,2,FALSE)</f>
        <v/>
      </c>
      <c r="D511" s="6" t="n">
        <v>2</v>
      </c>
      <c r="E511" s="6" t="inlineStr">
        <is>
          <t>R1767202</t>
        </is>
      </c>
      <c r="F511" s="2" t="n">
        <v>44812</v>
      </c>
      <c r="G511" s="1" t="n"/>
    </row>
    <row r="512">
      <c r="A512" s="6" t="n">
        <v>34155</v>
      </c>
      <c r="B512" s="6" t="inlineStr">
        <is>
          <t>BELVEDERE VODKA</t>
        </is>
      </c>
      <c r="C512" s="7">
        <f>VLOOKUP(A512,SizeData!A$2:B$3839,2,FALSE)</f>
        <v/>
      </c>
      <c r="D512" s="6" t="n">
        <v>3</v>
      </c>
      <c r="E512" s="6" t="inlineStr">
        <is>
          <t>R1496401</t>
        </is>
      </c>
      <c r="F512" s="2" t="n">
        <v>44621</v>
      </c>
      <c r="G512" s="1" t="n"/>
    </row>
    <row r="513">
      <c r="A513" s="6" t="n">
        <v>34155</v>
      </c>
      <c r="B513" s="6" t="inlineStr">
        <is>
          <t>BELVEDERE VODKA</t>
        </is>
      </c>
      <c r="C513" s="7">
        <f>VLOOKUP(A513,SizeData!A$2:B$3839,2,FALSE)</f>
        <v/>
      </c>
      <c r="D513" s="6" t="n">
        <v>4</v>
      </c>
      <c r="E513" s="6" t="inlineStr">
        <is>
          <t>R1503957</t>
        </is>
      </c>
      <c r="F513" s="2" t="n">
        <v>44636</v>
      </c>
      <c r="G513" s="1" t="n"/>
    </row>
    <row r="514">
      <c r="A514" s="6" t="n">
        <v>34155</v>
      </c>
      <c r="B514" s="6" t="inlineStr">
        <is>
          <t>BELVEDERE VODKA</t>
        </is>
      </c>
      <c r="C514" s="7">
        <f>VLOOKUP(A514,SizeData!A$2:B$3839,2,FALSE)</f>
        <v/>
      </c>
      <c r="D514" s="6" t="n">
        <v>1</v>
      </c>
      <c r="E514" s="6" t="inlineStr">
        <is>
          <t>R1503957</t>
        </is>
      </c>
      <c r="F514" s="2" t="n">
        <v>44636</v>
      </c>
      <c r="G514" s="1" t="n"/>
    </row>
    <row r="515">
      <c r="A515" s="6" t="n">
        <v>34155</v>
      </c>
      <c r="B515" s="6" t="inlineStr">
        <is>
          <t>BELVEDERE VODKA</t>
        </is>
      </c>
      <c r="C515" s="7">
        <f>VLOOKUP(A515,SizeData!A$2:B$3839,2,FALSE)</f>
        <v/>
      </c>
      <c r="D515" s="6" t="n">
        <v>8</v>
      </c>
      <c r="E515" s="6" t="inlineStr">
        <is>
          <t>R1792137</t>
        </is>
      </c>
      <c r="F515" s="2" t="n">
        <v>44835</v>
      </c>
      <c r="G515" s="1" t="n"/>
    </row>
    <row r="516">
      <c r="A516" s="26" t="n">
        <v>34158</v>
      </c>
      <c r="B516" s="26" t="inlineStr">
        <is>
          <t>BELVEDERE VODKA</t>
        </is>
      </c>
      <c r="C516" s="7">
        <f>VLOOKUP(A516,SizeData!A$2:B$3839,2,FALSE)</f>
        <v/>
      </c>
      <c r="D516" s="26" t="n">
        <v>1</v>
      </c>
      <c r="E516" s="26" t="inlineStr">
        <is>
          <t>R1772452</t>
        </is>
      </c>
      <c r="F516" s="61" t="n">
        <v>44823</v>
      </c>
      <c r="G516" s="62" t="n"/>
    </row>
    <row r="517">
      <c r="A517" s="6" t="n">
        <v>34158</v>
      </c>
      <c r="B517" s="6" t="inlineStr">
        <is>
          <t>BELVEDERE VODKA</t>
        </is>
      </c>
      <c r="C517" s="7">
        <f>VLOOKUP(A517,SizeData!A$2:B$3839,2,FALSE)</f>
        <v/>
      </c>
      <c r="D517" s="6" t="n">
        <v>7</v>
      </c>
      <c r="E517" s="6" t="inlineStr">
        <is>
          <t>R1801215</t>
        </is>
      </c>
      <c r="F517" s="2" t="n">
        <v>44835</v>
      </c>
      <c r="G517" s="1" t="n"/>
    </row>
    <row r="518">
      <c r="A518" s="6" t="n">
        <v>34163</v>
      </c>
      <c r="B518" s="6" t="inlineStr">
        <is>
          <t>BELVEDERE VODKA</t>
        </is>
      </c>
      <c r="C518" s="7">
        <f>VLOOKUP(A518,SizeData!A$2:B$3839,2,FALSE)</f>
        <v/>
      </c>
      <c r="D518" s="6" t="n">
        <v>5</v>
      </c>
      <c r="E518" s="6" t="inlineStr">
        <is>
          <t>R1768318</t>
        </is>
      </c>
      <c r="F518" s="2" t="n">
        <v>44816</v>
      </c>
      <c r="G518" s="1" t="n"/>
    </row>
    <row r="519">
      <c r="A519" s="6" t="n">
        <v>34163</v>
      </c>
      <c r="B519" s="6" t="inlineStr">
        <is>
          <t>BELVEDERE VODKA</t>
        </is>
      </c>
      <c r="C519" s="7">
        <f>VLOOKUP(A519,SizeData!A$2:B$3839,2,FALSE)</f>
        <v/>
      </c>
      <c r="D519" s="6" t="n">
        <v>3</v>
      </c>
      <c r="E519" s="6" t="inlineStr">
        <is>
          <t>R1906505</t>
        </is>
      </c>
      <c r="F519" s="2" t="n">
        <v>44902</v>
      </c>
      <c r="G519" s="1" t="n"/>
    </row>
    <row r="520">
      <c r="A520" s="6" t="n">
        <v>21480</v>
      </c>
      <c r="B520" s="6" t="inlineStr">
        <is>
          <t>BENCHMARK STRAIGHT BOURBON</t>
        </is>
      </c>
      <c r="C520" s="7">
        <f>VLOOKUP(A520,SizeData!A$2:B$3839,2,FALSE)</f>
        <v/>
      </c>
      <c r="D520" s="6" t="n">
        <v>5</v>
      </c>
      <c r="E520" s="6" t="inlineStr">
        <is>
          <t>R1384544</t>
        </is>
      </c>
      <c r="F520" s="2" t="n">
        <v>44560</v>
      </c>
      <c r="G520" s="1" t="n"/>
    </row>
    <row r="521">
      <c r="A521" s="6" t="n">
        <v>21480</v>
      </c>
      <c r="B521" s="6" t="inlineStr">
        <is>
          <t>BENCHMARK STRAIGHT BOURBON</t>
        </is>
      </c>
      <c r="C521" s="7">
        <f>VLOOKUP(A521,SizeData!A$2:B$3839,2,FALSE)</f>
        <v/>
      </c>
      <c r="D521" s="6" t="n">
        <v>1</v>
      </c>
      <c r="E521" s="6" t="inlineStr">
        <is>
          <t>R1559467</t>
        </is>
      </c>
      <c r="F521" s="2" t="n">
        <v>44669</v>
      </c>
      <c r="G521" s="1" t="n"/>
    </row>
    <row r="522">
      <c r="A522" s="6" t="n">
        <v>21480</v>
      </c>
      <c r="B522" s="6" t="inlineStr">
        <is>
          <t>BENCHMARK STRAIGHT BOURBON</t>
        </is>
      </c>
      <c r="C522" s="7">
        <f>VLOOKUP(A522,SizeData!A$2:B$3839,2,FALSE)</f>
        <v/>
      </c>
      <c r="D522" s="6" t="n">
        <v>5</v>
      </c>
      <c r="E522" s="6" t="inlineStr">
        <is>
          <t>R1689738</t>
        </is>
      </c>
      <c r="F522" s="2" t="n">
        <v>44762</v>
      </c>
      <c r="G522" s="1" t="n"/>
    </row>
    <row r="523">
      <c r="A523" s="6" t="n">
        <v>21482</v>
      </c>
      <c r="B523" s="6" t="inlineStr">
        <is>
          <t>BENCHMARK STRAIGHT BOURBON (PET)</t>
        </is>
      </c>
      <c r="C523" s="7">
        <f>VLOOKUP(A523,SizeData!A$2:B$3839,2,FALSE)</f>
        <v/>
      </c>
      <c r="D523" s="6" t="n">
        <v>10</v>
      </c>
      <c r="E523" s="6" t="inlineStr">
        <is>
          <t>R1384544</t>
        </is>
      </c>
      <c r="F523" s="2" t="n">
        <v>44560</v>
      </c>
      <c r="G523" s="1" t="n"/>
    </row>
    <row r="524">
      <c r="A524" s="6" t="n">
        <v>21482</v>
      </c>
      <c r="B524" s="6" t="inlineStr">
        <is>
          <t>BENCHMARK STRAIGHT BOURBON (PET)</t>
        </is>
      </c>
      <c r="C524" s="7">
        <f>VLOOKUP(A524,SizeData!A$2:B$3839,2,FALSE)</f>
        <v/>
      </c>
      <c r="D524" s="6" t="n">
        <v>5</v>
      </c>
      <c r="E524" s="6" t="inlineStr">
        <is>
          <t>R1559467</t>
        </is>
      </c>
      <c r="F524" s="2" t="n">
        <v>44669</v>
      </c>
      <c r="G524" s="1" t="n"/>
    </row>
    <row r="525">
      <c r="A525" s="6" t="n">
        <v>21482</v>
      </c>
      <c r="B525" s="6" t="inlineStr">
        <is>
          <t>BENCHMARK STRAIGHT BOURBON (PET)</t>
        </is>
      </c>
      <c r="C525" s="7">
        <f>VLOOKUP(A525,SizeData!A$2:B$3839,2,FALSE)</f>
        <v/>
      </c>
      <c r="D525" s="6" t="n">
        <v>9</v>
      </c>
      <c r="E525" s="6" t="inlineStr">
        <is>
          <t>R1689738</t>
        </is>
      </c>
      <c r="F525" s="2" t="n">
        <v>44762</v>
      </c>
      <c r="G525" s="1" t="n"/>
    </row>
    <row r="526">
      <c r="A526" s="6" t="n">
        <v>548562</v>
      </c>
      <c r="B526" s="6" t="inlineStr">
        <is>
          <t>BERINGER CALIF CHARDONNAY</t>
        </is>
      </c>
      <c r="C526" s="7">
        <f>VLOOKUP(A526,SizeData!A$2:B$3839,2,FALSE)</f>
        <v/>
      </c>
      <c r="D526" s="6" t="n">
        <v>3</v>
      </c>
      <c r="E526" s="6" t="inlineStr">
        <is>
          <t>R1378991</t>
        </is>
      </c>
      <c r="F526" s="2" t="n">
        <v>44552</v>
      </c>
      <c r="G526" s="1" t="n"/>
    </row>
    <row r="527">
      <c r="A527" s="6" t="n">
        <v>548562</v>
      </c>
      <c r="B527" s="6" t="inlineStr">
        <is>
          <t>BERINGER CALIF CHARDONNAY</t>
        </is>
      </c>
      <c r="C527" s="7">
        <f>VLOOKUP(A527,SizeData!A$2:B$3839,2,FALSE)</f>
        <v/>
      </c>
      <c r="D527" s="6" t="n">
        <v>5</v>
      </c>
      <c r="E527" s="6" t="inlineStr">
        <is>
          <t>R1494781</t>
        </is>
      </c>
      <c r="F527" s="2" t="n">
        <v>44634</v>
      </c>
      <c r="G527" s="1" t="n"/>
    </row>
    <row r="528">
      <c r="A528" s="6" t="n">
        <v>548562</v>
      </c>
      <c r="B528" s="6" t="inlineStr">
        <is>
          <t>BERINGER CALIF CHARDONNAY</t>
        </is>
      </c>
      <c r="C528" s="7">
        <f>VLOOKUP(A528,SizeData!A$2:B$3839,2,FALSE)</f>
        <v/>
      </c>
      <c r="D528" s="6" t="n">
        <v>2</v>
      </c>
      <c r="E528" s="6" t="inlineStr">
        <is>
          <t>R1515367</t>
        </is>
      </c>
      <c r="F528" s="2" t="n">
        <v>44635</v>
      </c>
      <c r="G528" s="1" t="n"/>
    </row>
    <row r="529">
      <c r="A529" s="6" t="n">
        <v>643040</v>
      </c>
      <c r="B529" s="6" t="inlineStr">
        <is>
          <t>BERINGER CALIF WH ZINFANDEL (BONUS)</t>
        </is>
      </c>
      <c r="C529" s="7">
        <f>VLOOKUP(A529,SizeData!A$2:B$3839,2,FALSE)</f>
        <v/>
      </c>
      <c r="D529" s="6" t="n">
        <v>1</v>
      </c>
      <c r="E529" s="6" t="inlineStr">
        <is>
          <t>R1827574</t>
        </is>
      </c>
      <c r="F529" s="2" t="n">
        <v>44859</v>
      </c>
      <c r="G529" s="1" t="n"/>
    </row>
    <row r="530">
      <c r="A530" s="6" t="n">
        <v>643035</v>
      </c>
      <c r="B530" s="6" t="inlineStr">
        <is>
          <t>BERINGER CALIF WHITE MERLOT</t>
        </is>
      </c>
      <c r="C530" s="7">
        <f>VLOOKUP(A530,SizeData!A$2:B$3839,2,FALSE)</f>
        <v/>
      </c>
      <c r="D530" s="6" t="n">
        <v>3</v>
      </c>
      <c r="E530" s="6" t="inlineStr">
        <is>
          <t>R1378991</t>
        </is>
      </c>
      <c r="F530" s="2" t="n">
        <v>44552</v>
      </c>
      <c r="G530" s="1" t="n"/>
    </row>
    <row r="531">
      <c r="A531" s="6" t="n">
        <v>643035</v>
      </c>
      <c r="B531" s="6" t="inlineStr">
        <is>
          <t>BERINGER CALIF WHITE MERLOT</t>
        </is>
      </c>
      <c r="C531" s="7">
        <f>VLOOKUP(A531,SizeData!A$2:B$3839,2,FALSE)</f>
        <v/>
      </c>
      <c r="D531" s="6" t="n">
        <v>2</v>
      </c>
      <c r="E531" s="6" t="inlineStr">
        <is>
          <t>R1515367</t>
        </is>
      </c>
      <c r="F531" s="2" t="n">
        <v>44635</v>
      </c>
      <c r="G531" s="1" t="n"/>
    </row>
    <row r="532">
      <c r="A532" s="6" t="n">
        <v>643035</v>
      </c>
      <c r="B532" s="6" t="inlineStr">
        <is>
          <t>BERINGER CALIF WHITE MERLOT</t>
        </is>
      </c>
      <c r="C532" s="7">
        <f>VLOOKUP(A532,SizeData!A$2:B$3839,2,FALSE)</f>
        <v/>
      </c>
      <c r="D532" s="6" t="n">
        <v>2</v>
      </c>
      <c r="E532" s="6" t="inlineStr">
        <is>
          <t>R1679342</t>
        </is>
      </c>
      <c r="F532" s="2" t="n">
        <v>44753</v>
      </c>
      <c r="G532" s="1" t="n"/>
    </row>
    <row r="533">
      <c r="A533" s="6" t="n">
        <v>643031</v>
      </c>
      <c r="B533" s="6" t="inlineStr">
        <is>
          <t>BERINGER CALIF WHITE MERLOT (BONUS)</t>
        </is>
      </c>
      <c r="C533" s="7">
        <f>VLOOKUP(A533,SizeData!A$2:B$3839,2,FALSE)</f>
        <v/>
      </c>
      <c r="D533" s="6" t="n">
        <v>1</v>
      </c>
      <c r="E533" s="6" t="inlineStr">
        <is>
          <t>R1629823</t>
        </is>
      </c>
      <c r="F533" s="2" t="n">
        <v>44713</v>
      </c>
      <c r="G533" s="1" t="n"/>
    </row>
    <row r="534">
      <c r="A534" s="6" t="n">
        <v>643031</v>
      </c>
      <c r="B534" s="6" t="inlineStr">
        <is>
          <t>BERINGER CALIF WHITE MERLOT (BONUS)</t>
        </is>
      </c>
      <c r="C534" s="7">
        <f>VLOOKUP(A534,SizeData!A$2:B$3839,2,FALSE)</f>
        <v/>
      </c>
      <c r="D534" s="6" t="n">
        <v>1</v>
      </c>
      <c r="E534" s="6" t="inlineStr">
        <is>
          <t>R1816996</t>
        </is>
      </c>
      <c r="F534" s="2" t="n">
        <v>44859</v>
      </c>
      <c r="G534" s="1" t="n"/>
    </row>
    <row r="535">
      <c r="A535" s="6" t="n">
        <v>643041</v>
      </c>
      <c r="B535" s="6" t="inlineStr">
        <is>
          <t>BERINGER CALIF WHITE ZINFANDEL</t>
        </is>
      </c>
      <c r="C535" s="7">
        <f>VLOOKUP(A535,SizeData!A$2:B$3839,2,FALSE)</f>
        <v/>
      </c>
      <c r="D535" s="6" t="n">
        <v>4</v>
      </c>
      <c r="E535" s="6" t="inlineStr">
        <is>
          <t>R1496401</t>
        </is>
      </c>
      <c r="F535" s="2" t="n">
        <v>44621</v>
      </c>
      <c r="G535" s="1" t="n"/>
    </row>
    <row r="536">
      <c r="A536" s="6" t="n">
        <v>643041</v>
      </c>
      <c r="B536" s="6" t="inlineStr">
        <is>
          <t>BERINGER CALIF WHITE ZINFANDEL</t>
        </is>
      </c>
      <c r="C536" s="7">
        <f>VLOOKUP(A536,SizeData!A$2:B$3839,2,FALSE)</f>
        <v/>
      </c>
      <c r="D536" s="6" t="n">
        <v>3</v>
      </c>
      <c r="E536" s="6" t="inlineStr">
        <is>
          <t>R1525413</t>
        </is>
      </c>
      <c r="F536" s="2" t="n">
        <v>44631</v>
      </c>
      <c r="G536" s="1" t="n"/>
    </row>
    <row r="537">
      <c r="A537" s="6" t="n">
        <v>643041</v>
      </c>
      <c r="B537" s="6" t="inlineStr">
        <is>
          <t>BERINGER CALIF WHITE ZINFANDEL</t>
        </is>
      </c>
      <c r="C537" s="7">
        <f>VLOOKUP(A537,SizeData!A$2:B$3839,2,FALSE)</f>
        <v/>
      </c>
      <c r="D537" s="6" t="n">
        <v>4</v>
      </c>
      <c r="E537" s="6" t="inlineStr">
        <is>
          <t>R1759269</t>
        </is>
      </c>
      <c r="F537" s="2" t="n">
        <v>44811</v>
      </c>
      <c r="G537" s="1" t="n"/>
    </row>
    <row r="538">
      <c r="A538" s="6" t="n">
        <v>445818</v>
      </c>
      <c r="B538" s="6" t="inlineStr">
        <is>
          <t>BERINGER MAIN &amp; VINE CAB SAUV</t>
        </is>
      </c>
      <c r="C538" s="7">
        <f>VLOOKUP(A538,SizeData!A$2:B$3839,2,FALSE)</f>
        <v/>
      </c>
      <c r="D538" s="6" t="n">
        <v>1</v>
      </c>
      <c r="E538" s="6" t="inlineStr">
        <is>
          <t>R1515367</t>
        </is>
      </c>
      <c r="F538" s="2" t="n">
        <v>44635</v>
      </c>
      <c r="G538" s="1" t="n"/>
    </row>
    <row r="539">
      <c r="A539" s="6" t="n">
        <v>546630</v>
      </c>
      <c r="B539" s="6" t="inlineStr">
        <is>
          <t>BERINGER MAIN &amp; VINE MOSCATO</t>
        </is>
      </c>
      <c r="C539" s="7">
        <f>VLOOKUP(A539,SizeData!A$2:B$3839,2,FALSE)</f>
        <v/>
      </c>
      <c r="D539" s="6" t="n">
        <v>2</v>
      </c>
      <c r="E539" s="6" t="inlineStr">
        <is>
          <t>R1699078</t>
        </is>
      </c>
      <c r="F539" s="2" t="n">
        <v>44769</v>
      </c>
      <c r="G539" s="1" t="n"/>
    </row>
    <row r="540">
      <c r="A540" s="6" t="n">
        <v>546636</v>
      </c>
      <c r="B540" s="6" t="inlineStr">
        <is>
          <t>BERINGER MAIN &amp; VINE MOSCATO</t>
        </is>
      </c>
      <c r="C540" s="7">
        <f>VLOOKUP(A540,SizeData!A$2:B$3839,2,FALSE)</f>
        <v/>
      </c>
      <c r="D540" s="6" t="n">
        <v>1</v>
      </c>
      <c r="E540" s="6" t="inlineStr">
        <is>
          <t>R1453720</t>
        </is>
      </c>
      <c r="F540" s="2" t="n">
        <v>44599</v>
      </c>
      <c r="G540" s="1" t="n"/>
    </row>
    <row r="541">
      <c r="A541" s="6" t="n">
        <v>643024</v>
      </c>
      <c r="B541" s="6" t="inlineStr">
        <is>
          <t>BERINGER MAIN &amp; VINE PINK MOSCATO</t>
        </is>
      </c>
      <c r="C541" s="7">
        <f>VLOOKUP(A541,SizeData!A$2:B$3839,2,FALSE)</f>
        <v/>
      </c>
      <c r="D541" s="6" t="n">
        <v>1</v>
      </c>
      <c r="E541" s="6" t="inlineStr">
        <is>
          <t>R1699078</t>
        </is>
      </c>
      <c r="F541" s="2" t="n">
        <v>44769</v>
      </c>
      <c r="G541" s="1" t="n"/>
    </row>
    <row r="542">
      <c r="A542" s="6" t="n">
        <v>643024</v>
      </c>
      <c r="B542" s="6" t="inlineStr">
        <is>
          <t>BERINGER MAIN &amp; VINE PINK MOSCATO</t>
        </is>
      </c>
      <c r="C542" s="7">
        <f>VLOOKUP(A542,SizeData!A$2:B$3839,2,FALSE)</f>
        <v/>
      </c>
      <c r="D542" s="6" t="n">
        <v>2</v>
      </c>
      <c r="E542" s="6" t="inlineStr">
        <is>
          <t>R1770681</t>
        </is>
      </c>
      <c r="F542" s="2" t="n">
        <v>44812</v>
      </c>
      <c r="G542" s="1" t="n"/>
    </row>
    <row r="543">
      <c r="A543" s="6" t="n">
        <v>445836</v>
      </c>
      <c r="B543" s="6" t="inlineStr">
        <is>
          <t>BERINGER MAIN &amp; VINE RED MOSCATO</t>
        </is>
      </c>
      <c r="C543" s="7">
        <f>VLOOKUP(A543,SizeData!A$2:B$3839,2,FALSE)</f>
        <v/>
      </c>
      <c r="D543" s="6" t="n">
        <v>1</v>
      </c>
      <c r="E543" s="6" t="inlineStr">
        <is>
          <t>R1439543</t>
        </is>
      </c>
      <c r="F543" s="2" t="n">
        <v>44594</v>
      </c>
      <c r="G543" s="1" t="n"/>
    </row>
    <row r="544">
      <c r="A544" s="6" t="n">
        <v>445836</v>
      </c>
      <c r="B544" s="6" t="inlineStr">
        <is>
          <t>BERINGER MAIN &amp; VINE RED MOSCATO</t>
        </is>
      </c>
      <c r="C544" s="7">
        <f>VLOOKUP(A544,SizeData!A$2:B$3839,2,FALSE)</f>
        <v/>
      </c>
      <c r="D544" s="6" t="n">
        <v>1</v>
      </c>
      <c r="E544" s="6" t="inlineStr">
        <is>
          <t>R1453720</t>
        </is>
      </c>
      <c r="F544" s="2" t="n">
        <v>44599</v>
      </c>
      <c r="G544" s="1" t="n"/>
    </row>
    <row r="545">
      <c r="A545" s="6" t="n">
        <v>445836</v>
      </c>
      <c r="B545" s="6" t="inlineStr">
        <is>
          <t>BERINGER MAIN &amp; VINE RED MOSCATO</t>
        </is>
      </c>
      <c r="C545" s="7">
        <f>VLOOKUP(A545,SizeData!A$2:B$3839,2,FALSE)</f>
        <v/>
      </c>
      <c r="D545" s="6" t="n">
        <v>1</v>
      </c>
      <c r="E545" s="6" t="inlineStr">
        <is>
          <t>R1671975</t>
        </is>
      </c>
      <c r="F545" s="2" t="n">
        <v>44742</v>
      </c>
      <c r="G545" s="1" t="n"/>
    </row>
    <row r="546">
      <c r="A546" s="6" t="n">
        <v>445836</v>
      </c>
      <c r="B546" s="6" t="inlineStr">
        <is>
          <t>BERINGER MAIN &amp; VINE RED MOSCATO</t>
        </is>
      </c>
      <c r="C546" s="7">
        <f>VLOOKUP(A546,SizeData!A$2:B$3839,2,FALSE)</f>
        <v/>
      </c>
      <c r="D546" s="6" t="n">
        <v>1</v>
      </c>
      <c r="E546" s="6" t="inlineStr">
        <is>
          <t>R1796778</t>
        </is>
      </c>
      <c r="F546" s="2" t="n">
        <v>44834</v>
      </c>
      <c r="G546" s="1" t="n"/>
    </row>
    <row r="547">
      <c r="A547" s="6" t="n">
        <v>445836</v>
      </c>
      <c r="B547" s="6" t="inlineStr">
        <is>
          <t>BERINGER MAIN &amp; VINE RED MOSCATO</t>
        </is>
      </c>
      <c r="C547" s="7">
        <f>VLOOKUP(A547,SizeData!A$2:B$3839,2,FALSE)</f>
        <v/>
      </c>
      <c r="D547" s="6" t="n">
        <v>1</v>
      </c>
      <c r="E547" s="6" t="inlineStr">
        <is>
          <t>R1792137</t>
        </is>
      </c>
      <c r="F547" s="2" t="n">
        <v>44835</v>
      </c>
      <c r="G547" s="1" t="n"/>
    </row>
    <row r="548">
      <c r="A548" s="6" t="n">
        <v>445836</v>
      </c>
      <c r="B548" s="6" t="inlineStr">
        <is>
          <t>BERINGER MAIN &amp; VINE RED MOSCATO</t>
        </is>
      </c>
      <c r="C548" s="7">
        <f>VLOOKUP(A548,SizeData!A$2:B$3839,2,FALSE)</f>
        <v/>
      </c>
      <c r="D548" s="6" t="n">
        <v>1</v>
      </c>
      <c r="E548" s="6" t="inlineStr">
        <is>
          <t>R1827574</t>
        </is>
      </c>
      <c r="F548" s="2" t="n">
        <v>44859</v>
      </c>
      <c r="G548" s="1" t="n"/>
    </row>
    <row r="549">
      <c r="A549" s="6" t="n">
        <v>445837</v>
      </c>
      <c r="B549" s="6" t="inlineStr">
        <is>
          <t>BERINGER MAIN &amp; VINE RED MOSCATO</t>
        </is>
      </c>
      <c r="C549" s="7">
        <f>VLOOKUP(A549,SizeData!A$2:B$3839,2,FALSE)</f>
        <v/>
      </c>
      <c r="D549" s="6" t="n">
        <v>10</v>
      </c>
      <c r="E549" s="6" t="inlineStr">
        <is>
          <t>R1773142</t>
        </is>
      </c>
      <c r="F549" s="2" t="n">
        <v>44825</v>
      </c>
      <c r="G549" s="1" t="n"/>
    </row>
    <row r="550">
      <c r="A550" s="6" t="n">
        <v>546630</v>
      </c>
      <c r="B550" s="6" t="inlineStr">
        <is>
          <t>BERINGER MAIN AND VINE MOSCATO</t>
        </is>
      </c>
      <c r="C550" s="7">
        <f>VLOOKUP(A550,SizeData!A$2:B$3839,2,FALSE)</f>
        <v/>
      </c>
      <c r="D550" s="6" t="n">
        <v>3</v>
      </c>
      <c r="E550" s="6" t="inlineStr">
        <is>
          <t>R1393008</t>
        </is>
      </c>
      <c r="F550" s="2" t="n">
        <v>44558</v>
      </c>
      <c r="G550" s="1" t="n"/>
    </row>
    <row r="551">
      <c r="A551" s="6" t="n">
        <v>546437</v>
      </c>
      <c r="B551" s="6" t="inlineStr">
        <is>
          <t>BERINGER PINOT GRIGIO AMERICAN</t>
        </is>
      </c>
      <c r="C551" s="7">
        <f>VLOOKUP(A551,SizeData!A$2:B$3839,2,FALSE)</f>
        <v/>
      </c>
      <c r="D551" s="6" t="n">
        <v>1</v>
      </c>
      <c r="E551" s="6" t="inlineStr">
        <is>
          <t>R1494781</t>
        </is>
      </c>
      <c r="F551" s="2" t="n">
        <v>44634</v>
      </c>
      <c r="G551" s="1" t="n"/>
    </row>
    <row r="552">
      <c r="A552" s="6" t="n">
        <v>445882</v>
      </c>
      <c r="B552" s="6" t="inlineStr">
        <is>
          <t>BERINGER WHITE ZINFANDEL MOSCATO</t>
        </is>
      </c>
      <c r="C552" s="7">
        <f>VLOOKUP(A552,SizeData!A$2:B$3839,2,FALSE)</f>
        <v/>
      </c>
      <c r="D552" s="6" t="n">
        <v>1</v>
      </c>
      <c r="E552" s="6" t="inlineStr">
        <is>
          <t>R1529670</t>
        </is>
      </c>
      <c r="F552" s="2" t="n">
        <v>44652</v>
      </c>
      <c r="G552" s="1" t="n"/>
    </row>
    <row r="553">
      <c r="A553" s="6" t="n">
        <v>445882</v>
      </c>
      <c r="B553" s="6" t="inlineStr">
        <is>
          <t>BERINGER WHITE ZINFANDEL MOSCATO</t>
        </is>
      </c>
      <c r="C553" s="7">
        <f>VLOOKUP(A553,SizeData!A$2:B$3839,2,FALSE)</f>
        <v/>
      </c>
      <c r="D553" s="6" t="n">
        <v>1</v>
      </c>
      <c r="E553" s="6" t="inlineStr">
        <is>
          <t>R1629823</t>
        </is>
      </c>
      <c r="F553" s="2" t="n">
        <v>44713</v>
      </c>
      <c r="G553" s="1" t="n"/>
    </row>
    <row r="554">
      <c r="A554" s="6" t="n">
        <v>445883</v>
      </c>
      <c r="B554" s="6" t="inlineStr">
        <is>
          <t>BERINGER WHITE ZINFANDEL MOSCATO</t>
        </is>
      </c>
      <c r="C554" s="7">
        <f>VLOOKUP(A554,SizeData!A$2:B$3839,2,FALSE)</f>
        <v/>
      </c>
      <c r="D554" s="6" t="n">
        <v>2</v>
      </c>
      <c r="E554" s="6" t="inlineStr">
        <is>
          <t>R1672878</t>
        </is>
      </c>
      <c r="F554" s="2" t="n">
        <v>44743</v>
      </c>
      <c r="G554" s="1" t="n"/>
    </row>
    <row r="555">
      <c r="A555" s="6" t="n">
        <v>445883</v>
      </c>
      <c r="B555" s="6" t="inlineStr">
        <is>
          <t>BERINGER WHITE ZINFANDEL MOSCATO</t>
        </is>
      </c>
      <c r="C555" s="7">
        <f>VLOOKUP(A555,SizeData!A$2:B$3839,2,FALSE)</f>
        <v/>
      </c>
      <c r="D555" s="6" t="n">
        <v>2</v>
      </c>
      <c r="E555" s="6" t="inlineStr">
        <is>
          <t>R1699078</t>
        </is>
      </c>
      <c r="F555" s="2" t="n">
        <v>44769</v>
      </c>
      <c r="G555" s="1" t="n"/>
    </row>
    <row r="556">
      <c r="A556" s="6" t="n">
        <v>11788</v>
      </c>
      <c r="B556" s="6" t="inlineStr">
        <is>
          <t>BLACK VELVET</t>
        </is>
      </c>
      <c r="C556" s="7">
        <f>VLOOKUP(A556,SizeData!A$2:B$3839,2,FALSE)</f>
        <v/>
      </c>
      <c r="D556" s="6" t="n">
        <v>2</v>
      </c>
      <c r="E556" s="6" t="inlineStr">
        <is>
          <t>R1625943</t>
        </is>
      </c>
      <c r="F556" s="2" t="n">
        <v>44707</v>
      </c>
      <c r="G556" s="1" t="n"/>
    </row>
    <row r="557">
      <c r="A557" s="6" t="n">
        <v>11788</v>
      </c>
      <c r="B557" s="6" t="inlineStr">
        <is>
          <t>BLACK VELVET</t>
        </is>
      </c>
      <c r="C557" s="7">
        <f>VLOOKUP(A557,SizeData!A$2:B$3839,2,FALSE)</f>
        <v/>
      </c>
      <c r="D557" s="6" t="n">
        <v>1</v>
      </c>
      <c r="E557" s="6" t="inlineStr">
        <is>
          <t>R1894827</t>
        </is>
      </c>
      <c r="F557" s="2" t="n">
        <v>44902</v>
      </c>
      <c r="G557" s="1" t="n"/>
    </row>
    <row r="558">
      <c r="A558" s="6" t="n">
        <v>301235</v>
      </c>
      <c r="B558" s="6" t="inlineStr">
        <is>
          <t>BLUE NUN RIVANER RHEINHESSEN</t>
        </is>
      </c>
      <c r="C558" s="7">
        <f>VLOOKUP(A558,SizeData!A$2:B$3839,2,FALSE)</f>
        <v/>
      </c>
      <c r="D558" s="6" t="n">
        <v>1</v>
      </c>
      <c r="E558" s="6" t="inlineStr">
        <is>
          <t>R1457066</t>
        </is>
      </c>
      <c r="F558" s="2" t="n">
        <v>44602</v>
      </c>
      <c r="G558" s="1" t="n"/>
    </row>
    <row r="559">
      <c r="A559" s="6" t="n">
        <v>445040</v>
      </c>
      <c r="B559" s="6" t="inlineStr">
        <is>
          <t>BOGLE MERLOT</t>
        </is>
      </c>
      <c r="C559" s="7">
        <f>VLOOKUP(A559,SizeData!A$2:B$3839,2,FALSE)</f>
        <v/>
      </c>
      <c r="D559" s="6" t="n">
        <v>1</v>
      </c>
      <c r="E559" s="6" t="inlineStr">
        <is>
          <t>R1612379</t>
        </is>
      </c>
      <c r="F559" s="2" t="n">
        <v>44701</v>
      </c>
      <c r="G559" s="1" t="n"/>
    </row>
    <row r="560">
      <c r="A560" s="6" t="n">
        <v>28210</v>
      </c>
      <c r="B560" s="6" t="inlineStr">
        <is>
          <t>BOMBAY SAPPHIRE EAST GIN</t>
        </is>
      </c>
      <c r="C560" s="7">
        <f>VLOOKUP(A560,SizeData!A$2:B$3839,2,FALSE)</f>
        <v/>
      </c>
      <c r="D560" s="6" t="n">
        <v>1</v>
      </c>
      <c r="E560" s="6" t="inlineStr">
        <is>
          <t>R1770681</t>
        </is>
      </c>
      <c r="F560" s="2" t="n">
        <v>44812</v>
      </c>
      <c r="G560" s="1" t="n"/>
    </row>
    <row r="561">
      <c r="A561" s="6" t="n">
        <v>28236</v>
      </c>
      <c r="B561" s="6" t="inlineStr">
        <is>
          <t>BOMBAY SAPPHIRE GIN</t>
        </is>
      </c>
      <c r="C561" s="7">
        <f>VLOOKUP(A561,SizeData!A$2:B$3839,2,FALSE)</f>
        <v/>
      </c>
      <c r="D561" s="6" t="n">
        <v>1</v>
      </c>
      <c r="E561" s="6" t="inlineStr">
        <is>
          <t>R1530051</t>
        </is>
      </c>
      <c r="F561" s="2" t="n">
        <v>44637</v>
      </c>
      <c r="G561" s="1" t="n"/>
    </row>
    <row r="562">
      <c r="A562" s="6" t="n">
        <v>28236</v>
      </c>
      <c r="B562" s="6" t="inlineStr">
        <is>
          <t>BOMBAY SAPPHIRE GIN</t>
        </is>
      </c>
      <c r="C562" s="7">
        <f>VLOOKUP(A562,SizeData!A$2:B$3839,2,FALSE)</f>
        <v/>
      </c>
      <c r="D562" s="6" t="n">
        <v>2</v>
      </c>
      <c r="E562" s="6" t="inlineStr">
        <is>
          <t>R1638121</t>
        </is>
      </c>
      <c r="F562" s="2" t="n">
        <v>44721</v>
      </c>
      <c r="G562" s="1" t="n"/>
    </row>
    <row r="563">
      <c r="A563" s="6" t="n">
        <v>28236</v>
      </c>
      <c r="B563" s="6" t="inlineStr">
        <is>
          <t>BOMBAY SAPPHIRE GIN</t>
        </is>
      </c>
      <c r="C563" s="7">
        <f>VLOOKUP(A563,SizeData!A$2:B$3839,2,FALSE)</f>
        <v/>
      </c>
      <c r="D563" s="6" t="n">
        <v>1</v>
      </c>
      <c r="E563" s="6" t="inlineStr">
        <is>
          <t>R1770681</t>
        </is>
      </c>
      <c r="F563" s="2" t="n">
        <v>44812</v>
      </c>
      <c r="G563" s="1" t="n"/>
    </row>
    <row r="564">
      <c r="A564" s="6" t="n">
        <v>28236</v>
      </c>
      <c r="B564" s="6" t="inlineStr">
        <is>
          <t>BOMBAY SAPPHIRE GIN</t>
        </is>
      </c>
      <c r="C564" s="7">
        <f>VLOOKUP(A564,SizeData!A$2:B$3839,2,FALSE)</f>
        <v/>
      </c>
      <c r="D564" s="6" t="n">
        <v>1</v>
      </c>
      <c r="E564" s="6" t="inlineStr">
        <is>
          <t>R1777984</t>
        </is>
      </c>
      <c r="F564" s="2" t="n">
        <v>44826</v>
      </c>
      <c r="G564" s="1" t="n"/>
    </row>
    <row r="565">
      <c r="A565" s="6" t="n">
        <v>445897</v>
      </c>
      <c r="B565" s="6" t="inlineStr">
        <is>
          <t>BONANZA LOT 1 CABERNET SAUVIGNON</t>
        </is>
      </c>
      <c r="C565" s="7">
        <f>VLOOKUP(A565,SizeData!A$2:B$3839,2,FALSE)</f>
        <v/>
      </c>
      <c r="D565" s="6" t="n">
        <v>10</v>
      </c>
      <c r="E565" s="6" t="inlineStr">
        <is>
          <t>R1536642</t>
        </is>
      </c>
      <c r="F565" s="2" t="n">
        <v>44644</v>
      </c>
      <c r="G565" s="1" t="n"/>
    </row>
    <row r="566">
      <c r="A566" s="6" t="n">
        <v>47647</v>
      </c>
      <c r="B566" s="6" t="inlineStr">
        <is>
          <t>BRANSON VSOP ROYAL COGNAC</t>
        </is>
      </c>
      <c r="C566" s="7">
        <f>VLOOKUP(A566,SizeData!A$2:B$3839,2,FALSE)</f>
        <v/>
      </c>
      <c r="D566" s="6" t="n">
        <v>1</v>
      </c>
      <c r="E566" s="6" t="inlineStr">
        <is>
          <t>R1761638</t>
        </is>
      </c>
      <c r="F566" s="2" t="n">
        <v>44807</v>
      </c>
      <c r="G566" s="1" t="n"/>
    </row>
    <row r="567">
      <c r="A567" s="6" t="n">
        <v>47647</v>
      </c>
      <c r="B567" s="6" t="inlineStr">
        <is>
          <t>BRANSON VSOP ROYAL COGNAC</t>
        </is>
      </c>
      <c r="C567" s="7">
        <f>VLOOKUP(A567,SizeData!A$2:B$3839,2,FALSE)</f>
        <v/>
      </c>
      <c r="D567" s="6" t="n">
        <v>1</v>
      </c>
      <c r="E567" s="6" t="inlineStr">
        <is>
          <t>R1905562</t>
        </is>
      </c>
      <c r="F567" s="2" t="n">
        <v>44902</v>
      </c>
      <c r="G567" s="1" t="n"/>
    </row>
    <row r="568">
      <c r="A568" s="6" t="n">
        <v>352440</v>
      </c>
      <c r="B568" s="6" t="inlineStr">
        <is>
          <t>BRICCO RIELLA MOSCATO D'ASTI</t>
        </is>
      </c>
      <c r="C568" s="7">
        <f>VLOOKUP(A568,SizeData!A$2:B$3839,2,FALSE)</f>
        <v/>
      </c>
      <c r="D568" s="6" t="n">
        <v>2</v>
      </c>
      <c r="E568" s="6" t="inlineStr">
        <is>
          <t>R1442964</t>
        </is>
      </c>
      <c r="F568" s="2" t="n">
        <v>44593</v>
      </c>
      <c r="G568" s="1" t="n"/>
    </row>
    <row r="569">
      <c r="A569" s="6" t="n">
        <v>352440</v>
      </c>
      <c r="B569" s="6" t="inlineStr">
        <is>
          <t>BRICCO RIELLA MOSCATO D'ASTI</t>
        </is>
      </c>
      <c r="C569" s="7">
        <f>VLOOKUP(A569,SizeData!A$2:B$3839,2,FALSE)</f>
        <v/>
      </c>
      <c r="D569" s="6" t="n">
        <v>5</v>
      </c>
      <c r="E569" s="6" t="inlineStr">
        <is>
          <t>R1442964</t>
        </is>
      </c>
      <c r="F569" s="2" t="n">
        <v>44593</v>
      </c>
      <c r="G569" s="1" t="n"/>
    </row>
    <row r="570">
      <c r="A570" s="6" t="n">
        <v>352440</v>
      </c>
      <c r="B570" s="6" t="inlineStr">
        <is>
          <t>BRICCO RIELLA MOSCATO D'ASTI</t>
        </is>
      </c>
      <c r="C570" s="7">
        <f>VLOOKUP(A570,SizeData!A$2:B$3839,2,FALSE)</f>
        <v/>
      </c>
      <c r="D570" s="6" t="n">
        <v>1</v>
      </c>
      <c r="E570" s="6" t="inlineStr">
        <is>
          <t>R1879903</t>
        </is>
      </c>
      <c r="F570" s="2" t="n">
        <v>44892</v>
      </c>
      <c r="G570" s="1" t="n"/>
    </row>
    <row r="571">
      <c r="A571" s="6" t="n">
        <v>352440</v>
      </c>
      <c r="B571" s="6" t="inlineStr">
        <is>
          <t>BRICCO RIELLA MOSCATO D'ASTI</t>
        </is>
      </c>
      <c r="C571" s="7">
        <f>VLOOKUP(A571,SizeData!A$2:B$3839,2,FALSE)</f>
        <v/>
      </c>
      <c r="D571" s="6" t="n">
        <v>1</v>
      </c>
      <c r="E571" s="6" t="inlineStr">
        <is>
          <t>R1906202</t>
        </is>
      </c>
      <c r="F571" s="2" t="n">
        <v>44902</v>
      </c>
      <c r="G571" s="1" t="n"/>
    </row>
    <row r="572">
      <c r="A572" s="6" t="n">
        <v>4616</v>
      </c>
      <c r="B572" s="6" t="inlineStr">
        <is>
          <t>BUCHANANS 18YR OLD SPECIAL RESERVE</t>
        </is>
      </c>
      <c r="C572" s="7">
        <f>VLOOKUP(A572,SizeData!A$2:B$3839,2,FALSE)</f>
        <v/>
      </c>
      <c r="D572" s="6" t="n">
        <v>2</v>
      </c>
      <c r="E572" s="6" t="inlineStr">
        <is>
          <t>R1738647</t>
        </is>
      </c>
      <c r="F572" s="2" t="n">
        <v>44791</v>
      </c>
      <c r="G572" s="1" t="n"/>
    </row>
    <row r="573">
      <c r="A573" s="6" t="n">
        <v>4616</v>
      </c>
      <c r="B573" s="6" t="inlineStr">
        <is>
          <t>BUCHANANS 18YR OLD SPECIAL RESERVE</t>
        </is>
      </c>
      <c r="C573" s="7">
        <f>VLOOKUP(A573,SizeData!A$2:B$3839,2,FALSE)</f>
        <v/>
      </c>
      <c r="D573" s="6" t="n">
        <v>1</v>
      </c>
      <c r="E573" s="6" t="inlineStr">
        <is>
          <t>R1826558</t>
        </is>
      </c>
      <c r="F573" s="2" t="n">
        <v>44854</v>
      </c>
      <c r="G573" s="1" t="n"/>
    </row>
    <row r="574">
      <c r="A574" s="6" t="n">
        <v>27025</v>
      </c>
      <c r="B574" s="6" t="inlineStr">
        <is>
          <t>BULLEIT 95 RYE STRAIGHT RYE WHISKEY</t>
        </is>
      </c>
      <c r="C574" s="7">
        <f>VLOOKUP(A574,SizeData!A$2:B$3839,2,FALSE)</f>
        <v/>
      </c>
      <c r="D574" s="6" t="n">
        <v>1</v>
      </c>
      <c r="E574" s="6" t="inlineStr">
        <is>
          <t>R1499122</t>
        </is>
      </c>
      <c r="F574" s="2" t="n">
        <v>44627</v>
      </c>
      <c r="G574" s="1" t="n"/>
    </row>
    <row r="575">
      <c r="A575" s="26" t="n">
        <v>27025</v>
      </c>
      <c r="B575" s="26" t="inlineStr">
        <is>
          <t>BULLEIT 95 RYE STRAIGHT RYE WHISKEY</t>
        </is>
      </c>
      <c r="C575" s="75">
        <f>VLOOKUP(A575,SizeData!A$2:B$3839,2,FALSE)</f>
        <v/>
      </c>
      <c r="D575" s="26" t="n">
        <v>1</v>
      </c>
      <c r="E575" s="26" t="inlineStr">
        <is>
          <t>R1841934</t>
        </is>
      </c>
      <c r="F575" s="61" t="n">
        <v>44866</v>
      </c>
      <c r="G575" s="62" t="n"/>
    </row>
    <row r="576">
      <c r="A576" s="6" t="n">
        <v>27025</v>
      </c>
      <c r="B576" s="6" t="inlineStr">
        <is>
          <t>BULLEIT 95 RYE STRAIGHT RYE WHISKEY</t>
        </is>
      </c>
      <c r="C576" s="7">
        <f>VLOOKUP(A576,SizeData!A$2:B$3839,2,FALSE)</f>
        <v/>
      </c>
      <c r="D576" s="6" t="n">
        <v>1</v>
      </c>
      <c r="E576" s="6" t="inlineStr">
        <is>
          <t>R1846759</t>
        </is>
      </c>
      <c r="F576" s="2" t="n">
        <v>44872</v>
      </c>
      <c r="G576" s="1" t="n"/>
    </row>
    <row r="577">
      <c r="A577" s="6" t="n">
        <v>17086</v>
      </c>
      <c r="B577" s="6" t="inlineStr">
        <is>
          <t>BULLEIT STRAIGHT BOURBON 90 PROOF</t>
        </is>
      </c>
      <c r="C577" s="7">
        <f>VLOOKUP(A577,SizeData!A$2:B$3839,2,FALSE)</f>
        <v/>
      </c>
      <c r="D577" s="6" t="n">
        <v>1</v>
      </c>
      <c r="E577" s="6" t="inlineStr">
        <is>
          <t>R1421358</t>
        </is>
      </c>
      <c r="F577" s="2" t="n">
        <v>44579</v>
      </c>
      <c r="G577" s="1" t="n"/>
    </row>
    <row r="578">
      <c r="A578" s="6" t="n">
        <v>17086</v>
      </c>
      <c r="B578" s="6" t="inlineStr">
        <is>
          <t>BULLEIT STRAIGHT BOURBON 90 PROOF</t>
        </is>
      </c>
      <c r="C578" s="7">
        <f>VLOOKUP(A578,SizeData!A$2:B$3839,2,FALSE)</f>
        <v/>
      </c>
      <c r="D578" s="6" t="n">
        <v>2</v>
      </c>
      <c r="E578" s="6" t="inlineStr">
        <is>
          <t>R1499122</t>
        </is>
      </c>
      <c r="F578" s="2" t="n">
        <v>44627</v>
      </c>
      <c r="G578" s="1" t="n"/>
    </row>
    <row r="579">
      <c r="A579" s="26" t="n">
        <v>17086</v>
      </c>
      <c r="B579" s="26" t="inlineStr">
        <is>
          <t>BULLEIT STRAIGHT BOURBON 90 PROOF</t>
        </is>
      </c>
      <c r="C579" s="75">
        <f>VLOOKUP(A579,SizeData!A$2:B$3839,2,FALSE)</f>
        <v/>
      </c>
      <c r="D579" s="26" t="n">
        <v>1</v>
      </c>
      <c r="E579" s="26" t="inlineStr">
        <is>
          <t>R1846759</t>
        </is>
      </c>
      <c r="F579" s="61" t="n">
        <v>44872</v>
      </c>
      <c r="G579" s="62" t="n"/>
    </row>
    <row r="580">
      <c r="A580" s="6" t="n">
        <v>446150</v>
      </c>
      <c r="B580" s="6" t="inlineStr">
        <is>
          <t>BULLY HILL SWEET WALTER RED</t>
        </is>
      </c>
      <c r="C580" s="7">
        <f>VLOOKUP(A580,SizeData!A$2:B$3839,2,FALSE)</f>
        <v/>
      </c>
      <c r="D580" s="6" t="n">
        <v>4</v>
      </c>
      <c r="E580" s="6" t="inlineStr">
        <is>
          <t>R1443217</t>
        </is>
      </c>
      <c r="F580" s="2" t="n">
        <v>44593</v>
      </c>
      <c r="G580" s="1" t="n"/>
    </row>
    <row r="581">
      <c r="A581" s="6" t="n">
        <v>446150</v>
      </c>
      <c r="B581" s="6" t="inlineStr">
        <is>
          <t>BULLY HILL SWEET WALTER RED</t>
        </is>
      </c>
      <c r="C581" s="7">
        <f>VLOOKUP(A581,SizeData!A$2:B$3839,2,FALSE)</f>
        <v/>
      </c>
      <c r="D581" s="6" t="n">
        <v>4</v>
      </c>
      <c r="E581" s="6" t="inlineStr">
        <is>
          <t>R1467109</t>
        </is>
      </c>
      <c r="F581" s="2" t="n">
        <v>44604</v>
      </c>
      <c r="G581" s="1" t="n"/>
    </row>
    <row r="582">
      <c r="A582" s="6" t="n">
        <v>446150</v>
      </c>
      <c r="B582" s="6" t="inlineStr">
        <is>
          <t>BULLY HILL SWEET WALTER RED</t>
        </is>
      </c>
      <c r="C582" s="7">
        <f>VLOOKUP(A582,SizeData!A$2:B$3839,2,FALSE)</f>
        <v/>
      </c>
      <c r="D582" s="6" t="n">
        <v>5</v>
      </c>
      <c r="E582" s="6" t="inlineStr">
        <is>
          <t>R1472306</t>
        </is>
      </c>
      <c r="F582" s="2" t="n">
        <v>44609</v>
      </c>
      <c r="G582" s="1" t="n"/>
    </row>
    <row r="583">
      <c r="A583" s="6" t="n">
        <v>446150</v>
      </c>
      <c r="B583" s="6" t="inlineStr">
        <is>
          <t>BULLY HILL SWEET WALTER RED</t>
        </is>
      </c>
      <c r="C583" s="7">
        <f>VLOOKUP(A583,SizeData!A$2:B$3839,2,FALSE)</f>
        <v/>
      </c>
      <c r="D583" s="6" t="n">
        <v>1</v>
      </c>
      <c r="E583" s="6" t="inlineStr">
        <is>
          <t>R1713113</t>
        </is>
      </c>
      <c r="F583" s="2" t="n">
        <v>44774</v>
      </c>
      <c r="G583" s="1" t="n"/>
    </row>
    <row r="584">
      <c r="A584" s="6" t="n">
        <v>446150</v>
      </c>
      <c r="B584" s="6" t="inlineStr">
        <is>
          <t>BULLY HILL SWEET WALTER RED</t>
        </is>
      </c>
      <c r="C584" s="7">
        <f>VLOOKUP(A584,SizeData!A$2:B$3839,2,FALSE)</f>
        <v/>
      </c>
      <c r="D584" s="6" t="n">
        <v>3</v>
      </c>
      <c r="E584" s="6" t="inlineStr">
        <is>
          <t>R1704437</t>
        </is>
      </c>
      <c r="F584" s="2" t="n">
        <v>44775</v>
      </c>
      <c r="G584" s="1" t="n"/>
    </row>
    <row r="585">
      <c r="A585" s="6" t="n">
        <v>446150</v>
      </c>
      <c r="B585" s="6" t="inlineStr">
        <is>
          <t>BULLY HILL SWEET WALTER RED</t>
        </is>
      </c>
      <c r="C585" s="7">
        <f>VLOOKUP(A585,SizeData!A$2:B$3839,2,FALSE)</f>
        <v/>
      </c>
      <c r="D585" s="6" t="n">
        <v>2</v>
      </c>
      <c r="E585" s="6" t="inlineStr">
        <is>
          <t>R1719137</t>
        </is>
      </c>
      <c r="F585" s="2" t="n">
        <v>44781</v>
      </c>
      <c r="G585" s="1" t="n"/>
    </row>
    <row r="586">
      <c r="A586" s="6" t="n">
        <v>446150</v>
      </c>
      <c r="B586" s="6" t="inlineStr">
        <is>
          <t>BULLY HILL SWEET WALTER RED</t>
        </is>
      </c>
      <c r="C586" s="7">
        <f>VLOOKUP(A586,SizeData!A$2:B$3839,2,FALSE)</f>
        <v/>
      </c>
      <c r="D586" s="6" t="n">
        <v>1</v>
      </c>
      <c r="E586" s="6" t="inlineStr">
        <is>
          <t>R1744939</t>
        </is>
      </c>
      <c r="F586" s="2" t="n">
        <v>44804</v>
      </c>
      <c r="G586" s="1" t="n"/>
    </row>
    <row r="587">
      <c r="A587" s="6" t="n">
        <v>446150</v>
      </c>
      <c r="B587" s="6" t="inlineStr">
        <is>
          <t>BULLY HILL SWEET WALTER RED</t>
        </is>
      </c>
      <c r="C587" s="7">
        <f>VLOOKUP(A587,SizeData!A$2:B$3839,2,FALSE)</f>
        <v/>
      </c>
      <c r="D587" s="6" t="n">
        <v>3</v>
      </c>
      <c r="E587" s="6" t="inlineStr">
        <is>
          <t>R1866868</t>
        </is>
      </c>
      <c r="F587" s="2" t="n">
        <v>44882</v>
      </c>
      <c r="G587" s="1" t="n"/>
    </row>
    <row r="588">
      <c r="A588" s="6" t="n">
        <v>446150</v>
      </c>
      <c r="B588" s="6" t="inlineStr">
        <is>
          <t>BULLY HILL SWEET WALTER RED</t>
        </is>
      </c>
      <c r="C588" s="7">
        <f>VLOOKUP(A588,SizeData!A$2:B$3839,2,FALSE)</f>
        <v/>
      </c>
      <c r="D588" s="6" t="n">
        <v>2</v>
      </c>
      <c r="E588" s="6" t="inlineStr">
        <is>
          <t>R1883576</t>
        </is>
      </c>
      <c r="F588" s="2" t="n">
        <v>44895</v>
      </c>
      <c r="G588" s="1" t="n"/>
    </row>
    <row r="589">
      <c r="A589" s="6" t="n">
        <v>446151</v>
      </c>
      <c r="B589" s="6" t="inlineStr">
        <is>
          <t>BULLY HILL SWEET WALTER RED</t>
        </is>
      </c>
      <c r="C589" s="7">
        <f>VLOOKUP(A589,SizeData!A$2:B$3839,2,FALSE)</f>
        <v/>
      </c>
      <c r="D589" s="6" t="n">
        <v>10</v>
      </c>
      <c r="E589" s="6" t="inlineStr">
        <is>
          <t>R1525376</t>
        </is>
      </c>
      <c r="F589" s="2" t="n">
        <v>44636</v>
      </c>
      <c r="G589" s="1" t="n"/>
    </row>
    <row r="590">
      <c r="A590" s="6" t="n">
        <v>446151</v>
      </c>
      <c r="B590" s="6" t="inlineStr">
        <is>
          <t>BULLY HILL SWEET WALTER RED</t>
        </is>
      </c>
      <c r="C590" s="7">
        <f>VLOOKUP(A590,SizeData!A$2:B$3839,2,FALSE)</f>
        <v/>
      </c>
      <c r="D590" s="6" t="n">
        <v>4</v>
      </c>
      <c r="E590" s="6" t="inlineStr">
        <is>
          <t>R1770681</t>
        </is>
      </c>
      <c r="F590" s="2" t="n">
        <v>44812</v>
      </c>
      <c r="G590" s="1" t="n"/>
    </row>
    <row r="591">
      <c r="A591" s="6" t="n">
        <v>643820</v>
      </c>
      <c r="B591" s="6" t="inlineStr">
        <is>
          <t>BULLY HILL SWEET WALTER ROSE</t>
        </is>
      </c>
      <c r="C591" s="7">
        <f>VLOOKUP(A591,SizeData!A$2:B$3839,2,FALSE)</f>
        <v/>
      </c>
      <c r="D591" s="6" t="n">
        <v>2</v>
      </c>
      <c r="E591" s="6" t="inlineStr">
        <is>
          <t>R1448139</t>
        </is>
      </c>
      <c r="F591" s="2" t="n">
        <v>44597</v>
      </c>
      <c r="G591" s="1" t="n"/>
    </row>
    <row r="592">
      <c r="A592" s="6" t="n">
        <v>643820</v>
      </c>
      <c r="B592" s="6" t="inlineStr">
        <is>
          <t>BULLY HILL SWEET WALTER ROSE</t>
        </is>
      </c>
      <c r="C592" s="7">
        <f>VLOOKUP(A592,SizeData!A$2:B$3839,2,FALSE)</f>
        <v/>
      </c>
      <c r="D592" s="6" t="n">
        <v>1</v>
      </c>
      <c r="E592" s="6" t="inlineStr">
        <is>
          <t>R1617499</t>
        </is>
      </c>
      <c r="F592" s="2" t="n">
        <v>44706</v>
      </c>
      <c r="G592" s="1" t="n"/>
    </row>
    <row r="593">
      <c r="A593" s="6" t="n">
        <v>643820</v>
      </c>
      <c r="B593" s="6" t="inlineStr">
        <is>
          <t>BULLY HILL SWEET WALTER ROSE</t>
        </is>
      </c>
      <c r="C593" s="7">
        <f>VLOOKUP(A593,SizeData!A$2:B$3839,2,FALSE)</f>
        <v/>
      </c>
      <c r="D593" s="6" t="n">
        <v>1</v>
      </c>
      <c r="E593" s="6" t="inlineStr">
        <is>
          <t>R1713939</t>
        </is>
      </c>
      <c r="F593" s="2" t="n">
        <v>44779</v>
      </c>
      <c r="G593" s="1" t="n"/>
    </row>
    <row r="594">
      <c r="A594" s="6" t="n">
        <v>548992</v>
      </c>
      <c r="B594" s="6" t="inlineStr">
        <is>
          <t>BULLY HILL SWEET WALTER WHITE</t>
        </is>
      </c>
      <c r="C594" s="7">
        <f>VLOOKUP(A594,SizeData!A$2:B$3839,2,FALSE)</f>
        <v/>
      </c>
      <c r="D594" s="6" t="n">
        <v>2</v>
      </c>
      <c r="E594" s="6" t="inlineStr">
        <is>
          <t>R1536813</t>
        </is>
      </c>
      <c r="F594" s="2" t="n">
        <v>44643</v>
      </c>
      <c r="G594" s="1" t="n"/>
    </row>
    <row r="595">
      <c r="A595" s="6" t="n">
        <v>548992</v>
      </c>
      <c r="B595" s="6" t="inlineStr">
        <is>
          <t>BULLY HILL SWEET WALTER WHITE</t>
        </is>
      </c>
      <c r="C595" s="7">
        <f>VLOOKUP(A595,SizeData!A$2:B$3839,2,FALSE)</f>
        <v/>
      </c>
      <c r="D595" s="6" t="n">
        <v>1</v>
      </c>
      <c r="E595" s="6" t="inlineStr">
        <is>
          <t>R1713939</t>
        </is>
      </c>
      <c r="F595" s="2" t="n">
        <v>44779</v>
      </c>
      <c r="G595" s="1" t="n"/>
    </row>
    <row r="596">
      <c r="A596" s="6" t="n">
        <v>64388</v>
      </c>
      <c r="B596" s="6" t="inlineStr">
        <is>
          <t>BUMBU RUM</t>
        </is>
      </c>
      <c r="C596" s="7">
        <f>VLOOKUP(A596,SizeData!A$2:B$3839,2,FALSE)</f>
        <v/>
      </c>
      <c r="D596" s="6" t="n">
        <v>1</v>
      </c>
      <c r="E596" s="6" t="inlineStr">
        <is>
          <t>R1469430</t>
        </is>
      </c>
      <c r="F596" s="2" t="n">
        <v>44610</v>
      </c>
      <c r="G596" s="1" t="n"/>
    </row>
    <row r="597">
      <c r="A597" s="6" t="n">
        <v>64388</v>
      </c>
      <c r="B597" s="6" t="inlineStr">
        <is>
          <t>BUMBU RUM</t>
        </is>
      </c>
      <c r="C597" s="7">
        <f>VLOOKUP(A597,SizeData!A$2:B$3839,2,FALSE)</f>
        <v/>
      </c>
      <c r="D597" s="6" t="n">
        <v>1</v>
      </c>
      <c r="E597" s="6" t="inlineStr">
        <is>
          <t>R1472921</t>
        </is>
      </c>
      <c r="F597" s="2" t="n">
        <v>44613</v>
      </c>
      <c r="G597" s="1" t="n"/>
    </row>
    <row r="598">
      <c r="A598" s="6" t="n">
        <v>64388</v>
      </c>
      <c r="B598" s="6" t="inlineStr">
        <is>
          <t>BUMBU RUM</t>
        </is>
      </c>
      <c r="C598" s="7">
        <f>VLOOKUP(A598,SizeData!A$2:B$3839,2,FALSE)</f>
        <v/>
      </c>
      <c r="D598" s="6" t="n">
        <v>2</v>
      </c>
      <c r="E598" s="6" t="inlineStr">
        <is>
          <t>R1501158</t>
        </is>
      </c>
      <c r="F598" s="2" t="n">
        <v>44627</v>
      </c>
      <c r="G598" s="1" t="n"/>
    </row>
    <row r="599">
      <c r="A599" s="6" t="n">
        <v>64388</v>
      </c>
      <c r="B599" s="6" t="inlineStr">
        <is>
          <t>BUMBU RUM</t>
        </is>
      </c>
      <c r="C599" s="7">
        <f>VLOOKUP(A599,SizeData!A$2:B$3839,2,FALSE)</f>
        <v/>
      </c>
      <c r="D599" s="6" t="n">
        <v>1</v>
      </c>
      <c r="E599" s="6" t="inlineStr">
        <is>
          <t>R1549891</t>
        </is>
      </c>
      <c r="F599" s="2" t="n">
        <v>44656</v>
      </c>
      <c r="G599" s="1" t="n"/>
    </row>
    <row r="600">
      <c r="A600" s="6" t="n">
        <v>64388</v>
      </c>
      <c r="B600" s="6" t="inlineStr">
        <is>
          <t>BUMBU RUM</t>
        </is>
      </c>
      <c r="C600" s="7">
        <f>VLOOKUP(A600,SizeData!A$2:B$3839,2,FALSE)</f>
        <v/>
      </c>
      <c r="D600" s="6" t="n">
        <v>1</v>
      </c>
      <c r="E600" s="6" t="inlineStr">
        <is>
          <t>R1549891</t>
        </is>
      </c>
      <c r="F600" s="2" t="n">
        <v>44656</v>
      </c>
      <c r="G600" s="1" t="n"/>
    </row>
    <row r="601">
      <c r="A601" s="6" t="n">
        <v>64388</v>
      </c>
      <c r="B601" s="6" t="inlineStr">
        <is>
          <t>BUMBU RUM</t>
        </is>
      </c>
      <c r="C601" s="7">
        <f>VLOOKUP(A601,SizeData!A$2:B$3839,2,FALSE)</f>
        <v/>
      </c>
      <c r="D601" s="6" t="n">
        <v>1</v>
      </c>
      <c r="E601" s="6" t="inlineStr">
        <is>
          <t>R1604328</t>
        </is>
      </c>
      <c r="F601" s="2" t="n">
        <v>44694</v>
      </c>
      <c r="G601" s="1" t="n"/>
    </row>
    <row r="602">
      <c r="A602" s="6" t="n">
        <v>64388</v>
      </c>
      <c r="B602" s="6" t="inlineStr">
        <is>
          <t>BUMBU RUM</t>
        </is>
      </c>
      <c r="C602" s="7">
        <f>VLOOKUP(A602,SizeData!A$2:B$3839,2,FALSE)</f>
        <v/>
      </c>
      <c r="D602" s="6" t="n">
        <v>1</v>
      </c>
      <c r="E602" s="6" t="inlineStr">
        <is>
          <t>R1617418</t>
        </is>
      </c>
      <c r="F602" s="2" t="n">
        <v>44699</v>
      </c>
      <c r="G602" s="1" t="n"/>
    </row>
    <row r="603">
      <c r="A603" s="6" t="n">
        <v>64388</v>
      </c>
      <c r="B603" s="6" t="inlineStr">
        <is>
          <t>BUMBU RUM</t>
        </is>
      </c>
      <c r="C603" s="7">
        <f>VLOOKUP(A603,SizeData!A$2:B$3839,2,FALSE)</f>
        <v/>
      </c>
      <c r="D603" s="6" t="n">
        <v>1</v>
      </c>
      <c r="E603" s="6" t="inlineStr">
        <is>
          <t>R1658904</t>
        </is>
      </c>
      <c r="F603" s="2" t="n">
        <v>44732</v>
      </c>
      <c r="G603" s="1" t="n"/>
    </row>
    <row r="604">
      <c r="A604" s="6" t="n">
        <v>64388</v>
      </c>
      <c r="B604" s="6" t="inlineStr">
        <is>
          <t>BUMBU RUM</t>
        </is>
      </c>
      <c r="C604" s="7">
        <f>VLOOKUP(A604,SizeData!A$2:B$3839,2,FALSE)</f>
        <v/>
      </c>
      <c r="D604" s="6" t="n">
        <v>1</v>
      </c>
      <c r="E604" s="6" t="inlineStr">
        <is>
          <t>R1719137</t>
        </is>
      </c>
      <c r="F604" s="2" t="n">
        <v>44781</v>
      </c>
      <c r="G604" s="1" t="n"/>
    </row>
    <row r="605">
      <c r="A605" s="6" t="n">
        <v>64388</v>
      </c>
      <c r="B605" s="6" t="inlineStr">
        <is>
          <t>BUMBU RUM</t>
        </is>
      </c>
      <c r="C605" s="7">
        <f>VLOOKUP(A605,SizeData!A$2:B$3839,2,FALSE)</f>
        <v/>
      </c>
      <c r="D605" s="6" t="n">
        <v>1</v>
      </c>
      <c r="E605" s="6" t="inlineStr">
        <is>
          <t>R1763315</t>
        </is>
      </c>
      <c r="F605" s="2" t="n">
        <v>44814</v>
      </c>
      <c r="G605" s="1" t="n"/>
    </row>
    <row r="606">
      <c r="A606" s="6" t="n">
        <v>64388</v>
      </c>
      <c r="B606" s="6" t="inlineStr">
        <is>
          <t>BUMBU RUM</t>
        </is>
      </c>
      <c r="C606" s="7">
        <f>VLOOKUP(A606,SizeData!A$2:B$3839,2,FALSE)</f>
        <v/>
      </c>
      <c r="D606" s="6" t="n">
        <v>1</v>
      </c>
      <c r="E606" s="6" t="inlineStr">
        <is>
          <t>R1782657</t>
        </is>
      </c>
      <c r="F606" s="2" t="n">
        <v>44828</v>
      </c>
      <c r="G606" s="1" t="n"/>
    </row>
    <row r="607">
      <c r="A607" s="26" t="n">
        <v>64388</v>
      </c>
      <c r="B607" s="26" t="inlineStr">
        <is>
          <t>BUMBU RUM</t>
        </is>
      </c>
      <c r="C607" s="75">
        <f>VLOOKUP(A607,SizeData!A$2:B$3839,2,FALSE)</f>
        <v/>
      </c>
      <c r="D607" s="26" t="n">
        <v>2</v>
      </c>
      <c r="E607" s="26" t="inlineStr">
        <is>
          <t>R1871415</t>
        </is>
      </c>
      <c r="F607" s="61" t="n">
        <v>44875</v>
      </c>
      <c r="G607" s="62" t="n"/>
    </row>
    <row r="608">
      <c r="A608" s="6" t="n">
        <v>64388</v>
      </c>
      <c r="B608" s="6" t="inlineStr">
        <is>
          <t>BUMBU RUM</t>
        </is>
      </c>
      <c r="C608" s="7">
        <f>VLOOKUP(A608,SizeData!A$2:B$3839,2,FALSE)</f>
        <v/>
      </c>
      <c r="D608" s="6" t="n">
        <v>1</v>
      </c>
      <c r="E608" s="6" t="inlineStr">
        <is>
          <t>R1891653</t>
        </is>
      </c>
      <c r="F608" s="2" t="n">
        <v>44900</v>
      </c>
      <c r="G608" s="1" t="n"/>
    </row>
    <row r="609">
      <c r="A609" s="26" t="n">
        <v>101578</v>
      </c>
      <c r="B609" s="26" t="inlineStr">
        <is>
          <t>BUMBU OG GIFT SET WITH TWO ROCKS GLASSES</t>
        </is>
      </c>
      <c r="C609" s="75">
        <f>VLOOKUP(A609,SizeData!A$2:B$3839,2,FALSE)</f>
        <v/>
      </c>
      <c r="D609" s="26" t="n">
        <v>5</v>
      </c>
      <c r="E609" s="26" t="inlineStr">
        <is>
          <t>R1821836</t>
        </is>
      </c>
      <c r="F609" s="61" t="n">
        <v>44851</v>
      </c>
      <c r="G609" s="62" t="n"/>
    </row>
    <row r="610">
      <c r="A610" s="6" t="n">
        <v>64529</v>
      </c>
      <c r="B610" s="6" t="inlineStr">
        <is>
          <t>BUMBU RUM</t>
        </is>
      </c>
      <c r="C610" s="7">
        <f>VLOOKUP(A610,SizeData!A$2:B$3839,2,FALSE)</f>
        <v/>
      </c>
      <c r="D610" s="6" t="n">
        <v>2</v>
      </c>
      <c r="E610" s="6" t="inlineStr">
        <is>
          <t>R1401044</t>
        </is>
      </c>
      <c r="F610" s="2" t="n">
        <v>44562</v>
      </c>
      <c r="G610" s="1" t="n"/>
    </row>
    <row r="611">
      <c r="A611" s="6" t="n">
        <v>64529</v>
      </c>
      <c r="B611" s="6" t="inlineStr">
        <is>
          <t>BUMBU RUM</t>
        </is>
      </c>
      <c r="C611" s="7">
        <f>VLOOKUP(A611,SizeData!A$2:B$3839,2,FALSE)</f>
        <v/>
      </c>
      <c r="D611" s="6" t="n">
        <v>2</v>
      </c>
      <c r="E611" s="6" t="inlineStr">
        <is>
          <t>R1446818</t>
        </is>
      </c>
      <c r="F611" s="2" t="n">
        <v>44592</v>
      </c>
      <c r="G611" s="1" t="n"/>
    </row>
    <row r="612">
      <c r="A612" s="6" t="n">
        <v>64529</v>
      </c>
      <c r="B612" s="6" t="inlineStr">
        <is>
          <t>BUMBU RUM</t>
        </is>
      </c>
      <c r="C612" s="7">
        <f>VLOOKUP(A612,SizeData!A$2:B$3839,2,FALSE)</f>
        <v/>
      </c>
      <c r="D612" s="6" t="n">
        <v>6</v>
      </c>
      <c r="E612" s="6" t="inlineStr">
        <is>
          <t>R1546066</t>
        </is>
      </c>
      <c r="F612" s="2" t="n">
        <v>44652</v>
      </c>
      <c r="G612" s="1" t="n"/>
    </row>
    <row r="613">
      <c r="A613" s="6" t="n">
        <v>64529</v>
      </c>
      <c r="B613" s="6" t="inlineStr">
        <is>
          <t>BUMBU RUM</t>
        </is>
      </c>
      <c r="C613" s="7">
        <f>VLOOKUP(A613,SizeData!A$2:B$3839,2,FALSE)</f>
        <v/>
      </c>
      <c r="D613" s="6" t="n">
        <v>10</v>
      </c>
      <c r="E613" s="6" t="inlineStr">
        <is>
          <t>R1574781</t>
        </is>
      </c>
      <c r="F613" s="2" t="n">
        <v>44681</v>
      </c>
      <c r="G613" s="1" t="n"/>
    </row>
    <row r="614">
      <c r="A614" s="6" t="n">
        <v>43735</v>
      </c>
      <c r="B614" s="6" t="inlineStr">
        <is>
          <t>BUMBU XO</t>
        </is>
      </c>
      <c r="C614" s="7">
        <f>VLOOKUP(A614,SizeData!A$2:B$3839,2,FALSE)</f>
        <v/>
      </c>
      <c r="D614" s="6" t="n">
        <v>2</v>
      </c>
      <c r="E614" s="6" t="inlineStr">
        <is>
          <t>R1547143</t>
        </is>
      </c>
      <c r="F614" s="2" t="n">
        <v>44655</v>
      </c>
      <c r="G614" s="1" t="n"/>
    </row>
    <row r="615">
      <c r="A615" s="6" t="n">
        <v>101577</v>
      </c>
      <c r="B615" s="6" t="inlineStr">
        <is>
          <t>BUMBU XO GIFT SET WITH TWO ROCKS GLASSES</t>
        </is>
      </c>
      <c r="C615" s="7">
        <f>VLOOKUP(A615,SizeData!A$2:B$3839,2,FALSE)</f>
        <v/>
      </c>
      <c r="D615" s="6" t="n">
        <v>3</v>
      </c>
      <c r="E615" s="6" t="inlineStr">
        <is>
          <t>R1834243</t>
        </is>
      </c>
      <c r="F615" s="2" t="n">
        <v>44865</v>
      </c>
      <c r="G615" s="1" t="n"/>
    </row>
    <row r="616">
      <c r="A616" s="6" t="n">
        <v>35410</v>
      </c>
      <c r="B616" s="6" t="inlineStr">
        <is>
          <t>BURNETT'S 80 PROOF VODKA (CARRY PACK/PET)</t>
        </is>
      </c>
      <c r="C616" s="7">
        <f>VLOOKUP(A616,SizeData!A$2:B$3839,2,FALSE)</f>
        <v/>
      </c>
      <c r="D616" s="6" t="n">
        <v>3</v>
      </c>
      <c r="E616" s="6" t="inlineStr">
        <is>
          <t>R1437002</t>
        </is>
      </c>
      <c r="F616" s="2" t="n">
        <v>44586</v>
      </c>
      <c r="G616" s="1" t="n"/>
    </row>
    <row r="617">
      <c r="A617" s="6" t="n">
        <v>35410</v>
      </c>
      <c r="B617" s="6" t="inlineStr">
        <is>
          <t>BURNETT'S 80 PROOF VODKA (PET)</t>
        </is>
      </c>
      <c r="C617" s="7">
        <f>VLOOKUP(A617,SizeData!A$2:B$3839,2,FALSE)</f>
        <v/>
      </c>
      <c r="D617" s="6" t="n">
        <v>1</v>
      </c>
      <c r="E617" s="6" t="inlineStr">
        <is>
          <t>R1525413</t>
        </is>
      </c>
      <c r="F617" s="2" t="n">
        <v>44631</v>
      </c>
      <c r="G617" s="1" t="n"/>
    </row>
    <row r="618">
      <c r="A618" s="6" t="n">
        <v>35410</v>
      </c>
      <c r="B618" s="6" t="inlineStr">
        <is>
          <t>BURNETT'S 80 PROOF VODKA (PET)</t>
        </is>
      </c>
      <c r="C618" s="7">
        <f>VLOOKUP(A618,SizeData!A$2:B$3839,2,FALSE)</f>
        <v/>
      </c>
      <c r="D618" s="6" t="n">
        <v>3</v>
      </c>
      <c r="E618" s="6" t="inlineStr">
        <is>
          <t>R1623135</t>
        </is>
      </c>
      <c r="F618" s="2" t="n">
        <v>44705</v>
      </c>
      <c r="G618" s="1" t="n"/>
    </row>
    <row r="619">
      <c r="A619" s="6" t="n">
        <v>35410</v>
      </c>
      <c r="B619" s="6" t="inlineStr">
        <is>
          <t>BURNETT'S 80 PROOF VODKA (PET)</t>
        </is>
      </c>
      <c r="C619" s="7">
        <f>VLOOKUP(A619,SizeData!A$2:B$3839,2,FALSE)</f>
        <v/>
      </c>
      <c r="D619" s="6" t="n">
        <v>1</v>
      </c>
      <c r="E619" s="6" t="inlineStr">
        <is>
          <t>R1699078</t>
        </is>
      </c>
      <c r="F619" s="2" t="n">
        <v>44769</v>
      </c>
      <c r="G619" s="1" t="n"/>
    </row>
    <row r="620">
      <c r="A620" s="6" t="n">
        <v>35410</v>
      </c>
      <c r="B620" s="6" t="inlineStr">
        <is>
          <t>BURNETT'S 80 PROOF VODKA (PET)</t>
        </is>
      </c>
      <c r="C620" s="7">
        <f>VLOOKUP(A620,SizeData!A$2:B$3839,2,FALSE)</f>
        <v/>
      </c>
      <c r="D620" s="6" t="n">
        <v>2</v>
      </c>
      <c r="E620" s="6" t="inlineStr">
        <is>
          <t>R1792137</t>
        </is>
      </c>
      <c r="F620" s="2" t="n">
        <v>44835</v>
      </c>
      <c r="G620" s="1" t="n"/>
    </row>
    <row r="621">
      <c r="A621" s="6" t="n">
        <v>35410</v>
      </c>
      <c r="B621" s="6" t="inlineStr">
        <is>
          <t>BURNETT'S 80 PROOF VODKA (PET)</t>
        </is>
      </c>
      <c r="C621" s="7">
        <f>VLOOKUP(A621,SizeData!A$2:B$3839,2,FALSE)</f>
        <v/>
      </c>
      <c r="D621" s="6" t="n">
        <v>2</v>
      </c>
      <c r="E621" s="6" t="inlineStr">
        <is>
          <t>R1794246</t>
        </is>
      </c>
      <c r="F621" s="2" t="n">
        <v>44837</v>
      </c>
      <c r="G621" s="1" t="n"/>
    </row>
    <row r="622">
      <c r="A622" s="6" t="n">
        <v>35410</v>
      </c>
      <c r="B622" s="6" t="inlineStr">
        <is>
          <t>BURNETT'S 80 PROOF VODKA (PET)</t>
        </is>
      </c>
      <c r="C622" s="7">
        <f>VLOOKUP(A622,SizeData!A$2:B$3839,2,FALSE)</f>
        <v/>
      </c>
      <c r="D622" s="6" t="n">
        <v>1</v>
      </c>
      <c r="E622" s="6" t="inlineStr">
        <is>
          <t>R1897750</t>
        </is>
      </c>
      <c r="F622" s="2" t="n">
        <v>44902</v>
      </c>
      <c r="G622" s="1" t="n"/>
    </row>
    <row r="623">
      <c r="A623" s="6" t="n">
        <v>41310</v>
      </c>
      <c r="B623" s="6" t="inlineStr">
        <is>
          <t>BURNETT'S COCONUT FLAVORED VODKA</t>
        </is>
      </c>
      <c r="C623" s="7">
        <f>VLOOKUP(A623,SizeData!A$2:B$3839,2,FALSE)</f>
        <v/>
      </c>
      <c r="D623" s="6" t="n">
        <v>1</v>
      </c>
      <c r="E623" s="6" t="inlineStr">
        <is>
          <t>R1900430</t>
        </is>
      </c>
      <c r="F623" s="2" t="n">
        <v>44896</v>
      </c>
      <c r="G623" s="1" t="n"/>
    </row>
    <row r="624">
      <c r="A624" s="6" t="n">
        <v>41294</v>
      </c>
      <c r="B624" s="6" t="inlineStr">
        <is>
          <t>BURNETT'S PEACH FLAVORED VODKA</t>
        </is>
      </c>
      <c r="C624" s="7">
        <f>VLOOKUP(A624,SizeData!A$2:B$3839,2,FALSE)</f>
        <v/>
      </c>
      <c r="D624" s="6" t="n">
        <v>1</v>
      </c>
      <c r="E624" s="6" t="inlineStr">
        <is>
          <t>R1605719</t>
        </is>
      </c>
      <c r="F624" s="2" t="n">
        <v>44685</v>
      </c>
      <c r="G624" s="1" t="n"/>
    </row>
    <row r="625">
      <c r="A625" s="6" t="n">
        <v>41294</v>
      </c>
      <c r="B625" s="6" t="inlineStr">
        <is>
          <t>BURNETT'S PEACH FLAVORED VODKA</t>
        </is>
      </c>
      <c r="C625" s="7">
        <f>VLOOKUP(A625,SizeData!A$2:B$3839,2,FALSE)</f>
        <v/>
      </c>
      <c r="D625" s="6" t="n">
        <v>1</v>
      </c>
      <c r="E625" s="6" t="inlineStr">
        <is>
          <t>R1675261</t>
        </is>
      </c>
      <c r="F625" s="2" t="n">
        <v>44747</v>
      </c>
      <c r="G625" s="1" t="n"/>
    </row>
    <row r="626">
      <c r="A626" s="6" t="n">
        <v>41294</v>
      </c>
      <c r="B626" s="6" t="inlineStr">
        <is>
          <t>BURNETT'S PEACH FLAVORED VODKA</t>
        </is>
      </c>
      <c r="C626" s="7">
        <f>VLOOKUP(A626,SizeData!A$2:B$3839,2,FALSE)</f>
        <v/>
      </c>
      <c r="D626" s="6" t="n">
        <v>1</v>
      </c>
      <c r="E626" s="6" t="inlineStr">
        <is>
          <t>R1749860</t>
        </is>
      </c>
      <c r="F626" s="2" t="n">
        <v>44811</v>
      </c>
      <c r="G626" s="1" t="n"/>
    </row>
    <row r="627">
      <c r="A627" s="26" t="n">
        <v>41294</v>
      </c>
      <c r="B627" s="26" t="inlineStr">
        <is>
          <t>BURNETT'S PEACH FLAVORED VODKA</t>
        </is>
      </c>
      <c r="C627" s="75">
        <f>VLOOKUP(A627,SizeData!A$2:B$3839,2,FALSE)</f>
        <v/>
      </c>
      <c r="D627" s="26" t="n">
        <v>1</v>
      </c>
      <c r="E627" s="26" t="inlineStr">
        <is>
          <t>R1792137</t>
        </is>
      </c>
      <c r="F627" s="61" t="n">
        <v>44835</v>
      </c>
      <c r="G627" s="62" t="n"/>
    </row>
    <row r="628">
      <c r="A628" s="6" t="n">
        <v>41413</v>
      </c>
      <c r="B628" s="6" t="inlineStr">
        <is>
          <t>BURNETT'S PINEAPPLE FLAVORED VODKA</t>
        </is>
      </c>
      <c r="C628" s="7">
        <f>VLOOKUP(A628,SizeData!A$2:B$3839,2,FALSE)</f>
        <v/>
      </c>
      <c r="D628" s="6" t="n">
        <v>1</v>
      </c>
      <c r="E628" s="6" t="inlineStr">
        <is>
          <t>R1496401</t>
        </is>
      </c>
      <c r="F628" s="2" t="n">
        <v>44621</v>
      </c>
      <c r="G628" s="1" t="n"/>
    </row>
    <row r="629">
      <c r="A629" s="6" t="n">
        <v>41413</v>
      </c>
      <c r="B629" s="6" t="inlineStr">
        <is>
          <t>BURNETT'S PINEAPPLE FLAVORED VODKA</t>
        </is>
      </c>
      <c r="C629" s="7">
        <f>VLOOKUP(A629,SizeData!A$2:B$3839,2,FALSE)</f>
        <v/>
      </c>
      <c r="D629" s="6" t="n">
        <v>1</v>
      </c>
      <c r="E629" s="6" t="inlineStr">
        <is>
          <t>R1763684</t>
        </is>
      </c>
      <c r="F629" s="2" t="n">
        <v>44821</v>
      </c>
      <c r="G629" s="1" t="n"/>
    </row>
    <row r="630">
      <c r="A630" s="6" t="n">
        <v>41413</v>
      </c>
      <c r="B630" s="6" t="inlineStr">
        <is>
          <t>BURNETT'S PINEAPPLE FLAVORED VODKA</t>
        </is>
      </c>
      <c r="C630" s="7">
        <f>VLOOKUP(A630,SizeData!A$2:B$3839,2,FALSE)</f>
        <v/>
      </c>
      <c r="D630" s="6" t="n">
        <v>1</v>
      </c>
      <c r="E630" s="6" t="inlineStr">
        <is>
          <t>R1900430</t>
        </is>
      </c>
      <c r="F630" s="2" t="n">
        <v>44896</v>
      </c>
      <c r="G630" s="1" t="n"/>
    </row>
    <row r="631">
      <c r="A631" s="6" t="n">
        <v>41060</v>
      </c>
      <c r="B631" s="6" t="inlineStr">
        <is>
          <t>BURNETT'S PINK LEMONADE FLAVORED VODKA</t>
        </is>
      </c>
      <c r="C631" s="7">
        <f>VLOOKUP(A631,SizeData!A$2:B$3839,2,FALSE)</f>
        <v/>
      </c>
      <c r="D631" s="6" t="n">
        <v>1</v>
      </c>
      <c r="E631" s="6" t="inlineStr">
        <is>
          <t>R1605719</t>
        </is>
      </c>
      <c r="F631" s="2" t="n">
        <v>44685</v>
      </c>
      <c r="G631" s="1" t="n"/>
    </row>
    <row r="632">
      <c r="A632" s="6" t="n">
        <v>41060</v>
      </c>
      <c r="B632" s="6" t="inlineStr">
        <is>
          <t>BURNETT'S PINK LEMONADE FLAVORED VODKA</t>
        </is>
      </c>
      <c r="C632" s="7">
        <f>VLOOKUP(A632,SizeData!A$2:B$3839,2,FALSE)</f>
        <v/>
      </c>
      <c r="D632" s="6" t="n">
        <v>1</v>
      </c>
      <c r="E632" s="6" t="inlineStr">
        <is>
          <t>R1763684</t>
        </is>
      </c>
      <c r="F632" s="2" t="n">
        <v>44821</v>
      </c>
      <c r="G632" s="1" t="n"/>
    </row>
    <row r="633">
      <c r="A633" s="6" t="n">
        <v>41306</v>
      </c>
      <c r="B633" s="6" t="inlineStr">
        <is>
          <t>BURNETT'S SOUR APPLE FLAVORED VODKA</t>
        </is>
      </c>
      <c r="C633" s="7">
        <f>VLOOKUP(A633,SizeData!A$2:B$3839,2,FALSE)</f>
        <v/>
      </c>
      <c r="D633" s="6" t="n">
        <v>1</v>
      </c>
      <c r="E633" s="6" t="inlineStr">
        <is>
          <t>R1617499</t>
        </is>
      </c>
      <c r="F633" s="2" t="n">
        <v>44706</v>
      </c>
      <c r="G633" s="1" t="n"/>
    </row>
    <row r="634">
      <c r="A634" s="6" t="n">
        <v>41306</v>
      </c>
      <c r="B634" s="6" t="inlineStr">
        <is>
          <t>BURNETT'S SOUR APPLE FLAVORED VODKA</t>
        </is>
      </c>
      <c r="C634" s="7">
        <f>VLOOKUP(A634,SizeData!A$2:B$3839,2,FALSE)</f>
        <v/>
      </c>
      <c r="D634" s="6" t="n">
        <v>1</v>
      </c>
      <c r="E634" s="6" t="inlineStr">
        <is>
          <t>R1763684</t>
        </is>
      </c>
      <c r="F634" s="2" t="n">
        <v>44821</v>
      </c>
      <c r="G634" s="1" t="n"/>
    </row>
    <row r="635">
      <c r="A635" s="6" t="n">
        <v>41226</v>
      </c>
      <c r="B635" s="6" t="inlineStr">
        <is>
          <t>BURNETT'S STRAWBERRY FLAVORED VODKA</t>
        </is>
      </c>
      <c r="C635" s="7">
        <f>VLOOKUP(A635,SizeData!A$2:B$3839,2,FALSE)</f>
        <v/>
      </c>
      <c r="D635" s="6" t="n">
        <v>1</v>
      </c>
      <c r="E635" s="6" t="inlineStr">
        <is>
          <t>R1823347</t>
        </is>
      </c>
      <c r="F635" s="2" t="n">
        <v>44853</v>
      </c>
      <c r="G635" s="1" t="n"/>
    </row>
    <row r="636">
      <c r="A636" s="6" t="n">
        <v>35413</v>
      </c>
      <c r="B636" s="6" t="inlineStr">
        <is>
          <t>BURNETT'S VODKA</t>
        </is>
      </c>
      <c r="C636" s="7">
        <f>VLOOKUP(A636,SizeData!A$2:B$3839,2,FALSE)</f>
        <v/>
      </c>
      <c r="D636" s="6" t="n">
        <v>8</v>
      </c>
      <c r="E636" s="6" t="inlineStr">
        <is>
          <t>R1377144</t>
        </is>
      </c>
      <c r="F636" s="2" t="n">
        <v>44548</v>
      </c>
      <c r="G636" s="1" t="n"/>
    </row>
    <row r="637">
      <c r="A637" s="6" t="n">
        <v>35413</v>
      </c>
      <c r="B637" s="6" t="inlineStr">
        <is>
          <t>BURNETT'S VODKA</t>
        </is>
      </c>
      <c r="C637" s="7">
        <f>VLOOKUP(A637,SizeData!A$2:B$3839,2,FALSE)</f>
        <v/>
      </c>
      <c r="D637" s="6" t="n">
        <v>10</v>
      </c>
      <c r="E637" s="6" t="inlineStr">
        <is>
          <t>R1405717</t>
        </is>
      </c>
      <c r="F637" s="2" t="n">
        <v>44560</v>
      </c>
      <c r="G637" s="1" t="n"/>
    </row>
    <row r="638">
      <c r="A638" s="6" t="n">
        <v>35416</v>
      </c>
      <c r="B638" s="6" t="inlineStr">
        <is>
          <t>BURNETT'S VODKA</t>
        </is>
      </c>
      <c r="C638" s="7">
        <f>VLOOKUP(A638,SizeData!A$2:B$3839,2,FALSE)</f>
        <v/>
      </c>
      <c r="D638" s="6" t="n">
        <v>6</v>
      </c>
      <c r="E638" s="6" t="inlineStr">
        <is>
          <t>R1410056</t>
        </is>
      </c>
      <c r="F638" s="2" t="n">
        <v>44564</v>
      </c>
      <c r="G638" s="1" t="n"/>
    </row>
    <row r="639">
      <c r="A639" s="6" t="n">
        <v>35417</v>
      </c>
      <c r="B639" s="6" t="inlineStr">
        <is>
          <t>BURNETT'S VODKA</t>
        </is>
      </c>
      <c r="C639" s="7">
        <f>VLOOKUP(A639,SizeData!A$2:B$3839,2,FALSE)</f>
        <v/>
      </c>
      <c r="D639" s="6" t="n">
        <v>10</v>
      </c>
      <c r="E639" s="6" t="inlineStr">
        <is>
          <t xml:space="preserve"> R1344376</t>
        </is>
      </c>
      <c r="F639" s="2" t="n">
        <v>44543</v>
      </c>
      <c r="G639" s="1" t="n"/>
    </row>
    <row r="640">
      <c r="A640" s="6" t="n">
        <v>39176</v>
      </c>
      <c r="B640" s="6" t="inlineStr">
        <is>
          <t>BURNETT'S VODKA 100 PROOF</t>
        </is>
      </c>
      <c r="C640" s="7">
        <f>VLOOKUP(A640,SizeData!A$2:B$3839,2,FALSE)</f>
        <v/>
      </c>
      <c r="D640" s="6" t="n">
        <v>1</v>
      </c>
      <c r="E640" s="6" t="inlineStr">
        <is>
          <t>R1846759</t>
        </is>
      </c>
      <c r="F640" s="2" t="n">
        <v>44872</v>
      </c>
      <c r="G640" s="1" t="n"/>
    </row>
    <row r="641">
      <c r="A641" s="6" t="n">
        <v>35413</v>
      </c>
      <c r="B641" s="6" t="inlineStr">
        <is>
          <t>BURNETT'S VODKA 80 PROOF</t>
        </is>
      </c>
      <c r="C641" s="7">
        <f>VLOOKUP(A641,SizeData!A$2:B$3839,2,FALSE)</f>
        <v/>
      </c>
      <c r="D641" s="6" t="n">
        <v>10</v>
      </c>
      <c r="E641" s="6" t="inlineStr">
        <is>
          <t>R1496401</t>
        </is>
      </c>
      <c r="F641" s="2" t="n">
        <v>44621</v>
      </c>
      <c r="G641" s="1" t="n"/>
    </row>
    <row r="642">
      <c r="A642" s="6" t="n">
        <v>35413</v>
      </c>
      <c r="B642" s="6" t="inlineStr">
        <is>
          <t>BURNETT'S VODKA 80 PROOF</t>
        </is>
      </c>
      <c r="C642" s="7">
        <f>VLOOKUP(A642,SizeData!A$2:B$3839,2,FALSE)</f>
        <v/>
      </c>
      <c r="D642" s="6" t="n">
        <v>7</v>
      </c>
      <c r="E642" s="6" t="inlineStr">
        <is>
          <t>R1525413</t>
        </is>
      </c>
      <c r="F642" s="2" t="n">
        <v>44631</v>
      </c>
      <c r="G642" s="1" t="n"/>
    </row>
    <row r="643">
      <c r="A643" s="6" t="n">
        <v>35413</v>
      </c>
      <c r="B643" s="6" t="inlineStr">
        <is>
          <t>BURNETT'S VODKA 80 PROOF</t>
        </is>
      </c>
      <c r="C643" s="7">
        <f>VLOOKUP(A643,SizeData!A$2:B$3839,2,FALSE)</f>
        <v/>
      </c>
      <c r="D643" s="6" t="n">
        <v>4</v>
      </c>
      <c r="E643" s="6" t="inlineStr">
        <is>
          <t>R1515367</t>
        </is>
      </c>
      <c r="F643" s="2" t="n">
        <v>44635</v>
      </c>
      <c r="G643" s="1" t="n"/>
    </row>
    <row r="644">
      <c r="A644" s="6" t="n">
        <v>35413</v>
      </c>
      <c r="B644" s="6" t="inlineStr">
        <is>
          <t>BURNETT'S VODKA 80 PROOF</t>
        </is>
      </c>
      <c r="C644" s="7">
        <f>VLOOKUP(A644,SizeData!A$2:B$3839,2,FALSE)</f>
        <v/>
      </c>
      <c r="D644" s="6" t="n">
        <v>5</v>
      </c>
      <c r="E644" s="6" t="inlineStr">
        <is>
          <t>R1537124</t>
        </is>
      </c>
      <c r="F644" s="2" t="n">
        <v>44646</v>
      </c>
      <c r="G644" s="1" t="n"/>
    </row>
    <row r="645">
      <c r="A645" s="6" t="n">
        <v>35413</v>
      </c>
      <c r="B645" s="6" t="inlineStr">
        <is>
          <t>BURNETT'S VODKA 80 PROOF</t>
        </is>
      </c>
      <c r="C645" s="7">
        <f>VLOOKUP(A645,SizeData!A$2:B$3839,2,FALSE)</f>
        <v/>
      </c>
      <c r="D645" s="6" t="n">
        <v>10</v>
      </c>
      <c r="E645" s="6" t="inlineStr">
        <is>
          <t>R1624394</t>
        </is>
      </c>
      <c r="F645" s="2" t="n">
        <v>44717</v>
      </c>
      <c r="G645" s="1" t="n"/>
    </row>
    <row r="646">
      <c r="A646" s="6" t="n">
        <v>35413</v>
      </c>
      <c r="B646" s="6" t="inlineStr">
        <is>
          <t>BURNETT'S VODKA 80 PROOF</t>
        </is>
      </c>
      <c r="C646" s="7">
        <f>VLOOKUP(A646,SizeData!A$2:B$3839,2,FALSE)</f>
        <v/>
      </c>
      <c r="D646" s="6" t="n">
        <v>14</v>
      </c>
      <c r="E646" s="6" t="inlineStr">
        <is>
          <t>R1766206</t>
        </is>
      </c>
      <c r="F646" s="2" t="n">
        <v>44806</v>
      </c>
      <c r="G646" s="1" t="n"/>
    </row>
    <row r="647">
      <c r="A647" s="26" t="n">
        <v>35413</v>
      </c>
      <c r="B647" s="26" t="inlineStr">
        <is>
          <t>BURNETT'S VODKA 80 PROOF</t>
        </is>
      </c>
      <c r="C647" s="7">
        <f>VLOOKUP(A647,SizeData!A$2:B$3839,2,FALSE)</f>
        <v/>
      </c>
      <c r="D647" s="26" t="n">
        <v>1</v>
      </c>
      <c r="E647" s="26" t="inlineStr">
        <is>
          <t>R1766206</t>
        </is>
      </c>
      <c r="F647" s="61" t="n">
        <v>44806</v>
      </c>
      <c r="G647" s="62" t="n"/>
    </row>
    <row r="648">
      <c r="A648" s="6" t="n">
        <v>35413</v>
      </c>
      <c r="B648" s="6" t="inlineStr">
        <is>
          <t>BURNETT'S VODKA 80 PROOF</t>
        </is>
      </c>
      <c r="C648" s="7">
        <f>VLOOKUP(A648,SizeData!A$2:B$3839,2,FALSE)</f>
        <v/>
      </c>
      <c r="D648" s="6" t="n">
        <v>2</v>
      </c>
      <c r="E648" s="6" t="inlineStr">
        <is>
          <t>R1900430</t>
        </is>
      </c>
      <c r="F648" s="2" t="n">
        <v>44896</v>
      </c>
      <c r="G648" s="1" t="n"/>
    </row>
    <row r="649">
      <c r="A649" s="6" t="n">
        <v>35414</v>
      </c>
      <c r="B649" s="6" t="inlineStr">
        <is>
          <t>BURNETT'S VODKA 80 PROOF</t>
        </is>
      </c>
      <c r="C649" s="7">
        <f>VLOOKUP(A649,SizeData!A$2:B$3839,2,FALSE)</f>
        <v/>
      </c>
      <c r="D649" s="6" t="n">
        <v>10</v>
      </c>
      <c r="E649" s="6" t="inlineStr">
        <is>
          <t>R1496401</t>
        </is>
      </c>
      <c r="F649" s="2" t="n">
        <v>44621</v>
      </c>
      <c r="G649" s="1" t="n"/>
    </row>
    <row r="650">
      <c r="A650" s="6" t="n">
        <v>35414</v>
      </c>
      <c r="B650" s="6" t="inlineStr">
        <is>
          <t>BURNETT'S VODKA 80 PROOF</t>
        </is>
      </c>
      <c r="C650" s="7">
        <f>VLOOKUP(A650,SizeData!A$2:B$3839,2,FALSE)</f>
        <v/>
      </c>
      <c r="D650" s="6" t="n">
        <v>8</v>
      </c>
      <c r="E650" s="6" t="inlineStr">
        <is>
          <t>R1516281</t>
        </is>
      </c>
      <c r="F650" s="2" t="n">
        <v>44634</v>
      </c>
      <c r="G650" s="1" t="n"/>
    </row>
    <row r="651">
      <c r="A651" s="6" t="n">
        <v>35414</v>
      </c>
      <c r="B651" s="6" t="inlineStr">
        <is>
          <t>BURNETT'S VODKA 80 PROOF</t>
        </is>
      </c>
      <c r="C651" s="7">
        <f>VLOOKUP(A651,SizeData!A$2:B$3839,2,FALSE)</f>
        <v/>
      </c>
      <c r="D651" s="6" t="n">
        <v>6</v>
      </c>
      <c r="E651" s="6" t="inlineStr">
        <is>
          <t>R1624394</t>
        </is>
      </c>
      <c r="F651" s="2" t="n">
        <v>44717</v>
      </c>
      <c r="G651" s="1" t="n"/>
    </row>
    <row r="652">
      <c r="A652" s="6" t="n">
        <v>35414</v>
      </c>
      <c r="B652" s="6" t="inlineStr">
        <is>
          <t>BURNETT'S VODKA 80 PROOF</t>
        </is>
      </c>
      <c r="C652" s="7">
        <f>VLOOKUP(A652,SizeData!A$2:B$3839,2,FALSE)</f>
        <v/>
      </c>
      <c r="D652" s="6" t="n">
        <v>2</v>
      </c>
      <c r="E652" s="6" t="inlineStr">
        <is>
          <t>R1644631</t>
        </is>
      </c>
      <c r="F652" s="2" t="n">
        <v>44725</v>
      </c>
      <c r="G652" s="1" t="n"/>
    </row>
    <row r="653">
      <c r="A653" s="26" t="n">
        <v>35414</v>
      </c>
      <c r="B653" s="26" t="inlineStr">
        <is>
          <t>BURNETT'S VODKA 80 PROOF</t>
        </is>
      </c>
      <c r="C653" s="7">
        <f>VLOOKUP(A653,SizeData!A$2:B$3839,2,FALSE)</f>
        <v/>
      </c>
      <c r="D653" s="26" t="n">
        <v>12</v>
      </c>
      <c r="E653" s="26" t="inlineStr">
        <is>
          <t>R1762606</t>
        </is>
      </c>
      <c r="F653" s="61" t="n">
        <v>44809</v>
      </c>
      <c r="G653" s="62" t="n"/>
    </row>
    <row r="654">
      <c r="A654" s="6" t="n">
        <v>35414</v>
      </c>
      <c r="B654" s="6" t="inlineStr">
        <is>
          <t>BURNETT'S VODKA 80 PROOF</t>
        </is>
      </c>
      <c r="C654" s="7">
        <f>VLOOKUP(A654,SizeData!A$2:B$3839,2,FALSE)</f>
        <v/>
      </c>
      <c r="D654" s="6" t="n">
        <v>2</v>
      </c>
      <c r="E654" s="6" t="inlineStr">
        <is>
          <t>R1796778</t>
        </is>
      </c>
      <c r="F654" s="2" t="n">
        <v>44834</v>
      </c>
      <c r="G654" s="1" t="n"/>
    </row>
    <row r="655">
      <c r="A655" s="6" t="n">
        <v>35414</v>
      </c>
      <c r="B655" s="6" t="inlineStr">
        <is>
          <t>BURNETT'S VODKA 80 PROOF</t>
        </is>
      </c>
      <c r="C655" s="7">
        <f>VLOOKUP(A655,SizeData!A$2:B$3839,2,FALSE)</f>
        <v/>
      </c>
      <c r="D655" s="6" t="n">
        <v>5</v>
      </c>
      <c r="E655" s="6" t="inlineStr">
        <is>
          <t>R1897750</t>
        </is>
      </c>
      <c r="F655" s="2" t="n">
        <v>44902</v>
      </c>
      <c r="G655" s="1" t="n"/>
    </row>
    <row r="656">
      <c r="A656" s="6" t="n">
        <v>35416</v>
      </c>
      <c r="B656" s="6" t="inlineStr">
        <is>
          <t>BURNETT'S VODKA 80 PROOF</t>
        </is>
      </c>
      <c r="C656" s="7">
        <f>VLOOKUP(A656,SizeData!A$2:B$3839,2,FALSE)</f>
        <v/>
      </c>
      <c r="D656" s="6" t="n">
        <v>10</v>
      </c>
      <c r="E656" s="6" t="inlineStr">
        <is>
          <t>R1525413</t>
        </is>
      </c>
      <c r="F656" s="2" t="n">
        <v>44631</v>
      </c>
      <c r="G656" s="1" t="n"/>
    </row>
    <row r="657">
      <c r="A657" s="6" t="n">
        <v>35416</v>
      </c>
      <c r="B657" s="6" t="inlineStr">
        <is>
          <t>BURNETT'S VODKA 80 PROOF</t>
        </is>
      </c>
      <c r="C657" s="7">
        <f>VLOOKUP(A657,SizeData!A$2:B$3839,2,FALSE)</f>
        <v/>
      </c>
      <c r="D657" s="6" t="n">
        <v>5</v>
      </c>
      <c r="E657" s="6" t="inlineStr">
        <is>
          <t>R1550755</t>
        </is>
      </c>
      <c r="F657" s="2" t="n">
        <v>44650</v>
      </c>
      <c r="G657" s="1" t="n"/>
    </row>
    <row r="658">
      <c r="A658" s="6" t="n">
        <v>35416</v>
      </c>
      <c r="B658" s="6" t="inlineStr">
        <is>
          <t>BURNETT'S VODKA 80 PROOF</t>
        </is>
      </c>
      <c r="C658" s="7">
        <f>VLOOKUP(A658,SizeData!A$2:B$3839,2,FALSE)</f>
        <v/>
      </c>
      <c r="D658" s="6" t="n">
        <v>4</v>
      </c>
      <c r="E658" s="6" t="inlineStr">
        <is>
          <t>R1623135</t>
        </is>
      </c>
      <c r="F658" s="2" t="n">
        <v>44705</v>
      </c>
      <c r="G658" s="1" t="n"/>
    </row>
    <row r="659">
      <c r="A659" s="6" t="n">
        <v>35416</v>
      </c>
      <c r="B659" s="6" t="inlineStr">
        <is>
          <t>BURNETT'S VODKA 80 PROOF</t>
        </is>
      </c>
      <c r="C659" s="7">
        <f>VLOOKUP(A659,SizeData!A$2:B$3839,2,FALSE)</f>
        <v/>
      </c>
      <c r="D659" s="6" t="n">
        <v>6</v>
      </c>
      <c r="E659" s="6" t="inlineStr">
        <is>
          <t>R1675261</t>
        </is>
      </c>
      <c r="F659" s="2" t="n">
        <v>44747</v>
      </c>
      <c r="G659" s="1" t="n"/>
    </row>
    <row r="660">
      <c r="A660" s="6" t="n">
        <v>35416</v>
      </c>
      <c r="B660" s="6" t="inlineStr">
        <is>
          <t>BURNETT'S VODKA 80 PROOF</t>
        </is>
      </c>
      <c r="C660" s="7">
        <f>VLOOKUP(A660,SizeData!A$2:B$3839,2,FALSE)</f>
        <v/>
      </c>
      <c r="D660" s="6" t="n">
        <v>2</v>
      </c>
      <c r="E660" s="6" t="inlineStr">
        <is>
          <t>R1707277</t>
        </is>
      </c>
      <c r="F660" s="2" t="n">
        <v>44768</v>
      </c>
      <c r="G660" s="1" t="n"/>
    </row>
    <row r="661">
      <c r="A661" s="6" t="n">
        <v>35416</v>
      </c>
      <c r="B661" s="6" t="inlineStr">
        <is>
          <t>BURNETT'S VODKA 80 PROOF</t>
        </is>
      </c>
      <c r="C661" s="7">
        <f>VLOOKUP(A661,SizeData!A$2:B$3839,2,FALSE)</f>
        <v/>
      </c>
      <c r="D661" s="6" t="n">
        <v>4</v>
      </c>
      <c r="E661" s="6" t="inlineStr">
        <is>
          <t>R1749860</t>
        </is>
      </c>
      <c r="F661" s="2" t="n">
        <v>44811</v>
      </c>
      <c r="G661" s="1" t="n"/>
    </row>
    <row r="662">
      <c r="A662" s="6" t="n">
        <v>35416</v>
      </c>
      <c r="B662" s="6" t="inlineStr">
        <is>
          <t>BURNETT'S VODKA 80 PROOF</t>
        </is>
      </c>
      <c r="C662" s="7">
        <f>VLOOKUP(A662,SizeData!A$2:B$3839,2,FALSE)</f>
        <v/>
      </c>
      <c r="D662" s="6" t="n">
        <v>5</v>
      </c>
      <c r="E662" s="6" t="inlineStr">
        <is>
          <t>R1792137</t>
        </is>
      </c>
      <c r="F662" s="2" t="n">
        <v>44835</v>
      </c>
      <c r="G662" s="1" t="n"/>
    </row>
    <row r="663">
      <c r="A663" s="6" t="n">
        <v>35416</v>
      </c>
      <c r="B663" s="6" t="inlineStr">
        <is>
          <t>BURNETT'S VODKA 80 PROOF</t>
        </is>
      </c>
      <c r="C663" s="7">
        <f>VLOOKUP(A663,SizeData!A$2:B$3839,2,FALSE)</f>
        <v/>
      </c>
      <c r="D663" s="6" t="n">
        <v>10</v>
      </c>
      <c r="E663" s="6" t="inlineStr">
        <is>
          <t>R1794246</t>
        </is>
      </c>
      <c r="F663" s="2" t="n">
        <v>44837</v>
      </c>
      <c r="G663" s="1" t="n"/>
    </row>
    <row r="664">
      <c r="A664" s="6" t="n">
        <v>35416</v>
      </c>
      <c r="B664" s="6" t="inlineStr">
        <is>
          <t>BURNETT'S VODKA 80 PROOF</t>
        </is>
      </c>
      <c r="C664" s="7">
        <f>VLOOKUP(A664,SizeData!A$2:B$3839,2,FALSE)</f>
        <v/>
      </c>
      <c r="D664" s="6" t="n">
        <v>5</v>
      </c>
      <c r="E664" s="6" t="inlineStr">
        <is>
          <t>R1897750</t>
        </is>
      </c>
      <c r="F664" s="2" t="n">
        <v>44902</v>
      </c>
      <c r="G664" s="1" t="n"/>
    </row>
    <row r="665">
      <c r="A665" s="26" t="n">
        <v>35416</v>
      </c>
      <c r="B665" s="26" t="inlineStr">
        <is>
          <t>BURNETT'S VODKA 80 PROOF</t>
        </is>
      </c>
      <c r="C665" s="75">
        <f>VLOOKUP(A665,SizeData!A$2:B$3839,2,FALSE)</f>
        <v/>
      </c>
      <c r="D665" s="26" t="n">
        <v>1</v>
      </c>
      <c r="E665" s="26" t="inlineStr">
        <is>
          <t>R1897750</t>
        </is>
      </c>
      <c r="F665" s="61" t="n">
        <v>44902</v>
      </c>
      <c r="G665" s="62" t="n"/>
    </row>
    <row r="666">
      <c r="A666" s="6" t="n">
        <v>35417</v>
      </c>
      <c r="B666" s="6" t="inlineStr">
        <is>
          <t>BURNETT'S VODKA 80 PROOF</t>
        </is>
      </c>
      <c r="C666" s="7">
        <f>VLOOKUP(A666,SizeData!A$2:B$3839,2,FALSE)</f>
        <v/>
      </c>
      <c r="D666" s="6" t="n">
        <v>10</v>
      </c>
      <c r="E666" s="6" t="inlineStr">
        <is>
          <t>R1547633</t>
        </is>
      </c>
      <c r="F666" s="2" t="n">
        <v>44653</v>
      </c>
      <c r="G666" s="1" t="n"/>
    </row>
    <row r="667">
      <c r="A667" s="6" t="n">
        <v>35417</v>
      </c>
      <c r="B667" s="6" t="inlineStr">
        <is>
          <t>BURNETT'S VODKA 80 PROOF</t>
        </is>
      </c>
      <c r="C667" s="7">
        <f>VLOOKUP(A667,SizeData!A$2:B$3839,2,FALSE)</f>
        <v/>
      </c>
      <c r="D667" s="6" t="n">
        <v>6</v>
      </c>
      <c r="E667" s="6" t="inlineStr">
        <is>
          <t>R1588623</t>
        </is>
      </c>
      <c r="F667" s="2" t="n">
        <v>44681</v>
      </c>
      <c r="G667" s="1" t="n"/>
    </row>
    <row r="668">
      <c r="A668" s="6" t="n">
        <v>35417</v>
      </c>
      <c r="B668" s="6" t="inlineStr">
        <is>
          <t>BURNETT'S VODKA 80 PROOF</t>
        </is>
      </c>
      <c r="C668" s="7">
        <f>VLOOKUP(A668,SizeData!A$2:B$3839,2,FALSE)</f>
        <v/>
      </c>
      <c r="D668" s="6" t="n">
        <v>4</v>
      </c>
      <c r="E668" s="6" t="inlineStr">
        <is>
          <t>R1624394</t>
        </is>
      </c>
      <c r="F668" s="2" t="n">
        <v>44717</v>
      </c>
      <c r="G668" s="1" t="n"/>
    </row>
    <row r="669">
      <c r="A669" s="6" t="n">
        <v>35417</v>
      </c>
      <c r="B669" s="6" t="inlineStr">
        <is>
          <t>BURNETT'S VODKA 80 PROOF</t>
        </is>
      </c>
      <c r="C669" s="7">
        <f>VLOOKUP(A669,SizeData!A$2:B$3839,2,FALSE)</f>
        <v/>
      </c>
      <c r="D669" s="6" t="n">
        <v>3</v>
      </c>
      <c r="E669" s="6" t="inlineStr">
        <is>
          <t>R1645266</t>
        </is>
      </c>
      <c r="F669" s="2" t="n">
        <v>44718</v>
      </c>
      <c r="G669" s="1" t="n"/>
    </row>
    <row r="670">
      <c r="A670" s="6" t="n">
        <v>35417</v>
      </c>
      <c r="B670" s="6" t="inlineStr">
        <is>
          <t>BURNETT'S VODKA 80 PROOF</t>
        </is>
      </c>
      <c r="C670" s="7">
        <f>VLOOKUP(A670,SizeData!A$2:B$3839,2,FALSE)</f>
        <v/>
      </c>
      <c r="D670" s="6" t="n">
        <v>4</v>
      </c>
      <c r="E670" s="6" t="inlineStr">
        <is>
          <t>R1660776</t>
        </is>
      </c>
      <c r="F670" s="2" t="n">
        <v>44733</v>
      </c>
      <c r="G670" s="1" t="n"/>
    </row>
    <row r="671">
      <c r="A671" s="6" t="n">
        <v>35417</v>
      </c>
      <c r="B671" s="6" t="inlineStr">
        <is>
          <t>BURNETT'S VODKA 80 PROOF</t>
        </is>
      </c>
      <c r="C671" s="7">
        <f>VLOOKUP(A671,SizeData!A$2:B$3839,2,FALSE)</f>
        <v/>
      </c>
      <c r="D671" s="6" t="n">
        <v>12</v>
      </c>
      <c r="E671" s="6" t="inlineStr">
        <is>
          <t>R1766206</t>
        </is>
      </c>
      <c r="F671" s="2" t="n">
        <v>44806</v>
      </c>
      <c r="G671" s="54" t="inlineStr">
        <is>
          <t>Weekly Average 2.3</t>
        </is>
      </c>
    </row>
    <row r="672">
      <c r="A672" s="6" t="n">
        <v>35417</v>
      </c>
      <c r="B672" s="6" t="inlineStr">
        <is>
          <t>BURNETT'S VODKA 80 PROOF</t>
        </is>
      </c>
      <c r="C672" s="7">
        <f>VLOOKUP(A672,SizeData!A$2:B$3839,2,FALSE)</f>
        <v/>
      </c>
      <c r="D672" s="6" t="n">
        <v>5</v>
      </c>
      <c r="E672" s="6" t="inlineStr">
        <is>
          <t>R1777984</t>
        </is>
      </c>
      <c r="F672" s="2" t="n">
        <v>44826</v>
      </c>
      <c r="G672" s="1" t="n"/>
    </row>
    <row r="673">
      <c r="A673" s="6" t="n">
        <v>35417</v>
      </c>
      <c r="B673" s="6" t="inlineStr">
        <is>
          <t>BURNETT'S VODKA 80 PROOF</t>
        </is>
      </c>
      <c r="C673" s="7">
        <f>VLOOKUP(A673,SizeData!A$2:B$3839,2,FALSE)</f>
        <v/>
      </c>
      <c r="D673" s="6" t="n">
        <v>2</v>
      </c>
      <c r="E673" s="6" t="inlineStr">
        <is>
          <t>R1796778</t>
        </is>
      </c>
      <c r="F673" s="2" t="n">
        <v>44834</v>
      </c>
      <c r="G673" s="1" t="n"/>
    </row>
    <row r="674">
      <c r="A674" s="6" t="n">
        <v>35417</v>
      </c>
      <c r="B674" s="6" t="inlineStr">
        <is>
          <t>BURNETT'S VODKA 80 PROOF</t>
        </is>
      </c>
      <c r="C674" s="7">
        <f>VLOOKUP(A674,SizeData!A$2:B$3839,2,FALSE)</f>
        <v/>
      </c>
      <c r="D674" s="6" t="n">
        <v>5</v>
      </c>
      <c r="E674" s="6" t="inlineStr">
        <is>
          <t>R1900430</t>
        </is>
      </c>
      <c r="F674" s="2" t="n">
        <v>44896</v>
      </c>
      <c r="G674" s="1" t="n"/>
    </row>
    <row r="675">
      <c r="A675" s="6" t="n">
        <v>35417</v>
      </c>
      <c r="B675" s="6" t="inlineStr">
        <is>
          <t>BURNETT'S VODKA 80 PROOF</t>
        </is>
      </c>
      <c r="C675" s="7">
        <f>VLOOKUP(A675,SizeData!A$2:B$3839,2,FALSE)</f>
        <v/>
      </c>
      <c r="D675" s="6" t="n">
        <v>5</v>
      </c>
      <c r="E675" s="6" t="inlineStr">
        <is>
          <t>R1906202</t>
        </is>
      </c>
      <c r="F675" s="2" t="n">
        <v>44902</v>
      </c>
      <c r="G675" s="1" t="n"/>
    </row>
    <row r="676">
      <c r="A676" s="6" t="n">
        <v>35418</v>
      </c>
      <c r="B676" s="6" t="inlineStr">
        <is>
          <t>BURNETT'S VODKA 80 PROOF</t>
        </is>
      </c>
      <c r="C676" s="7">
        <f>VLOOKUP(A676,SizeData!A$2:B$3839,2,FALSE)</f>
        <v/>
      </c>
      <c r="D676" s="6" t="n">
        <v>5</v>
      </c>
      <c r="E676" s="6" t="inlineStr">
        <is>
          <t>R1630969</t>
        </is>
      </c>
      <c r="F676" s="2" t="n">
        <v>44711</v>
      </c>
      <c r="G676" s="1" t="n"/>
    </row>
    <row r="677">
      <c r="A677" s="6" t="n">
        <v>35418</v>
      </c>
      <c r="B677" s="6" t="inlineStr">
        <is>
          <t>BURNETT'S VODKA 80 PROOF</t>
        </is>
      </c>
      <c r="C677" s="7">
        <f>VLOOKUP(A677,SizeData!A$2:B$3839,2,FALSE)</f>
        <v/>
      </c>
      <c r="D677" s="6" t="n">
        <v>8</v>
      </c>
      <c r="E677" s="6" t="inlineStr">
        <is>
          <t>R1713939</t>
        </is>
      </c>
      <c r="F677" s="2" t="n">
        <v>44779</v>
      </c>
      <c r="G677" s="1" t="n"/>
    </row>
    <row r="678">
      <c r="A678" s="6" t="n">
        <v>35418</v>
      </c>
      <c r="B678" s="6" t="inlineStr">
        <is>
          <t>BURNETT'S VODKA 80 PROOF</t>
        </is>
      </c>
      <c r="C678" s="7">
        <f>VLOOKUP(A678,SizeData!A$2:B$3839,2,FALSE)</f>
        <v/>
      </c>
      <c r="D678" s="6" t="n">
        <v>5</v>
      </c>
      <c r="E678" s="6" t="inlineStr">
        <is>
          <t>R1756377</t>
        </is>
      </c>
      <c r="F678" s="2" t="n">
        <v>44804</v>
      </c>
      <c r="G678" s="1" t="n"/>
    </row>
    <row r="679">
      <c r="A679" s="6" t="n">
        <v>35418</v>
      </c>
      <c r="B679" s="6" t="inlineStr">
        <is>
          <t>BURNETT'S VODKA 80 PROOF</t>
        </is>
      </c>
      <c r="C679" s="7">
        <f>VLOOKUP(A679,SizeData!A$2:B$3839,2,FALSE)</f>
        <v/>
      </c>
      <c r="D679" s="6" t="n">
        <v>20</v>
      </c>
      <c r="E679" s="6" t="inlineStr">
        <is>
          <t>R1856308</t>
        </is>
      </c>
      <c r="F679" s="2" t="n">
        <v>44867</v>
      </c>
      <c r="G679" s="1" t="n"/>
    </row>
    <row r="680">
      <c r="A680" s="6" t="n">
        <v>35418</v>
      </c>
      <c r="B680" s="6" t="inlineStr">
        <is>
          <t>BURNETT'S VODKA 80 PROOF</t>
        </is>
      </c>
      <c r="C680" s="7">
        <f>VLOOKUP(A680,SizeData!A$2:B$3839,2,FALSE)</f>
        <v/>
      </c>
      <c r="D680" s="6" t="n">
        <v>4</v>
      </c>
      <c r="E680" s="6" t="inlineStr">
        <is>
          <t>R1881344</t>
        </is>
      </c>
      <c r="F680" s="2" t="n">
        <v>44893</v>
      </c>
      <c r="G680" s="1" t="n"/>
    </row>
    <row r="681">
      <c r="A681" s="6" t="n">
        <v>35418</v>
      </c>
      <c r="B681" s="6" t="inlineStr">
        <is>
          <t>BURNETT'S VODKA 80 PROOF</t>
        </is>
      </c>
      <c r="C681" s="7">
        <f>VLOOKUP(A681,SizeData!A$2:B$3839,2,FALSE)</f>
        <v/>
      </c>
      <c r="D681" s="6" t="n">
        <v>5</v>
      </c>
      <c r="E681" s="6" t="inlineStr">
        <is>
          <t>R1891609</t>
        </is>
      </c>
      <c r="F681" s="2" t="n">
        <v>44895</v>
      </c>
      <c r="G681" s="1" t="n"/>
    </row>
    <row r="682">
      <c r="A682" s="26" t="n">
        <v>35418</v>
      </c>
      <c r="B682" s="26" t="inlineStr">
        <is>
          <t>BURNETT'S VODKA 80 PROOF</t>
        </is>
      </c>
      <c r="C682" s="75">
        <f>VLOOKUP(A682,SizeData!A$2:B$3839,2,FALSE)</f>
        <v/>
      </c>
      <c r="D682" s="26" t="n">
        <v>1</v>
      </c>
      <c r="E682" s="26" t="inlineStr">
        <is>
          <t>R1881344</t>
        </is>
      </c>
      <c r="F682" s="61" t="n">
        <v>44893</v>
      </c>
      <c r="G682" s="62" t="n"/>
    </row>
    <row r="683">
      <c r="A683" s="6" t="n">
        <v>42031</v>
      </c>
      <c r="B683" s="6" t="inlineStr">
        <is>
          <t>BURNETT'S WHIPPED CREAM FLAVORED VODKA</t>
        </is>
      </c>
      <c r="C683" s="7">
        <f>VLOOKUP(A683,SizeData!A$2:B$3839,2,FALSE)</f>
        <v/>
      </c>
      <c r="D683" s="6" t="n">
        <v>2</v>
      </c>
      <c r="E683" s="6" t="inlineStr">
        <is>
          <t>R1436614</t>
        </is>
      </c>
      <c r="F683" s="2" t="n">
        <v>44586</v>
      </c>
      <c r="G683" s="1" t="n"/>
    </row>
    <row r="684">
      <c r="A684" s="6" t="n">
        <v>42031</v>
      </c>
      <c r="B684" s="6" t="inlineStr">
        <is>
          <t>BURNETT'S WHIPPED CREAM FLAVORED VODKA</t>
        </is>
      </c>
      <c r="C684" s="7">
        <f>VLOOKUP(A684,SizeData!A$2:B$3839,2,FALSE)</f>
        <v/>
      </c>
      <c r="D684" s="6" t="n">
        <v>1</v>
      </c>
      <c r="E684" s="6" t="inlineStr">
        <is>
          <t>R1740439</t>
        </is>
      </c>
      <c r="F684" s="2" t="n">
        <v>44793</v>
      </c>
      <c r="G684" s="1" t="n"/>
    </row>
    <row r="685">
      <c r="A685" s="6" t="n">
        <v>42031</v>
      </c>
      <c r="B685" s="6" t="inlineStr">
        <is>
          <t>BURNETT'S WHIPPED CREAM FLAVORED VODKA</t>
        </is>
      </c>
      <c r="C685" s="7">
        <f>VLOOKUP(A685,SizeData!A$2:B$3839,2,FALSE)</f>
        <v/>
      </c>
      <c r="D685" s="6" t="n">
        <v>1</v>
      </c>
      <c r="E685" s="6" t="inlineStr">
        <is>
          <t>R1792137</t>
        </is>
      </c>
      <c r="F685" s="2" t="n">
        <v>44835</v>
      </c>
      <c r="G685" s="1" t="n"/>
    </row>
    <row r="686">
      <c r="A686" s="6" t="n">
        <v>57113</v>
      </c>
      <c r="B686" s="6" t="inlineStr">
        <is>
          <t>BUZZBALLZ PEACHBALLZ</t>
        </is>
      </c>
      <c r="C686" s="7">
        <f>VLOOKUP(A686,SizeData!A$2:B$3839,2,FALSE)</f>
        <v/>
      </c>
      <c r="D686" s="6" t="n">
        <v>1</v>
      </c>
      <c r="E686" s="6" t="inlineStr">
        <is>
          <t>R1806604</t>
        </is>
      </c>
      <c r="F686" s="2" t="n">
        <v>44837</v>
      </c>
      <c r="G686" s="1" t="n"/>
    </row>
    <row r="687">
      <c r="A687" s="6" t="n">
        <v>57113</v>
      </c>
      <c r="B687" s="6" t="inlineStr">
        <is>
          <t>BUZZBALLZ PEACHBALLZ</t>
        </is>
      </c>
      <c r="C687" s="7">
        <f>VLOOKUP(A687,SizeData!A$2:B$3839,2,FALSE)</f>
        <v/>
      </c>
      <c r="D687" s="6" t="n">
        <v>1</v>
      </c>
      <c r="E687" s="6" t="inlineStr">
        <is>
          <t>R1888886</t>
        </is>
      </c>
      <c r="F687" s="2" t="n">
        <v>44902</v>
      </c>
      <c r="G687" s="1" t="n"/>
    </row>
    <row r="688">
      <c r="A688" s="6" t="n">
        <v>57095</v>
      </c>
      <c r="B688" s="6" t="inlineStr">
        <is>
          <t>BUZZBALLZ STRAWBERRY RUM JOB</t>
        </is>
      </c>
      <c r="C688" s="7">
        <f>VLOOKUP(A688,SizeData!A$2:B$3839,2,FALSE)</f>
        <v/>
      </c>
      <c r="D688" s="6" t="n">
        <v>1</v>
      </c>
      <c r="E688" s="6" t="inlineStr">
        <is>
          <t>R1806604</t>
        </is>
      </c>
      <c r="F688" s="2" t="n">
        <v>44837</v>
      </c>
      <c r="G688" s="1" t="n"/>
    </row>
    <row r="689">
      <c r="A689" s="6" t="n">
        <v>57098</v>
      </c>
      <c r="B689" s="6" t="inlineStr">
        <is>
          <t>BUZZBALLZ TEQUILA RITA</t>
        </is>
      </c>
      <c r="C689" s="7">
        <f>VLOOKUP(A689,SizeData!A$2:B$3839,2,FALSE)</f>
        <v/>
      </c>
      <c r="D689" s="6" t="n">
        <v>3</v>
      </c>
      <c r="E689" s="6" t="inlineStr">
        <is>
          <t>R1537124</t>
        </is>
      </c>
      <c r="F689" s="2" t="n">
        <v>44646</v>
      </c>
      <c r="G689" s="1" t="n"/>
    </row>
    <row r="690">
      <c r="A690" s="6" t="n">
        <v>57098</v>
      </c>
      <c r="B690" s="6" t="inlineStr">
        <is>
          <t>BUZZBALLZ TEQUILA RITA</t>
        </is>
      </c>
      <c r="C690" s="7">
        <f>VLOOKUP(A690,SizeData!A$2:B$3839,2,FALSE)</f>
        <v/>
      </c>
      <c r="D690" s="6" t="n">
        <v>1</v>
      </c>
      <c r="E690" s="6" t="inlineStr">
        <is>
          <t>R1826558</t>
        </is>
      </c>
      <c r="F690" s="2" t="n">
        <v>44854</v>
      </c>
      <c r="G690" s="1" t="n"/>
    </row>
    <row r="691">
      <c r="A691" s="6" t="n">
        <v>57098</v>
      </c>
      <c r="B691" s="6" t="inlineStr">
        <is>
          <t>BUZZBALLZ TEQUILA RITA</t>
        </is>
      </c>
      <c r="C691" s="7">
        <f>VLOOKUP(A691,SizeData!A$2:B$3839,2,FALSE)</f>
        <v/>
      </c>
      <c r="D691" s="6" t="n">
        <v>2</v>
      </c>
      <c r="E691" s="6" t="inlineStr">
        <is>
          <t>R1888886</t>
        </is>
      </c>
      <c r="F691" s="2" t="n">
        <v>44902</v>
      </c>
      <c r="G691" s="1" t="n"/>
    </row>
    <row r="692">
      <c r="A692" s="6" t="n">
        <v>17190</v>
      </c>
      <c r="B692" s="6" t="inlineStr">
        <is>
          <t>CALUMET FARM 8 YEAR OLD BOURBON</t>
        </is>
      </c>
      <c r="C692" s="7">
        <f>VLOOKUP(A692,SizeData!A$2:B$3839,2,FALSE)</f>
        <v/>
      </c>
      <c r="D692" s="6" t="n">
        <v>1</v>
      </c>
      <c r="E692" s="6" t="inlineStr">
        <is>
          <t>R1792137</t>
        </is>
      </c>
      <c r="F692" s="2" t="n">
        <v>44835</v>
      </c>
      <c r="G692" s="1" t="n"/>
    </row>
    <row r="693">
      <c r="A693" s="6" t="n">
        <v>44333</v>
      </c>
      <c r="B693" s="6" t="inlineStr">
        <is>
          <t>CALYPSO COCONUT FLAVORED RUM</t>
        </is>
      </c>
      <c r="C693" s="7">
        <f>VLOOKUP(A693,SizeData!A$2:B$3839,2,FALSE)</f>
        <v/>
      </c>
      <c r="D693" s="6" t="n">
        <v>1</v>
      </c>
      <c r="E693" s="6" t="inlineStr">
        <is>
          <t>R1496401</t>
        </is>
      </c>
      <c r="F693" s="2" t="n">
        <v>44621</v>
      </c>
      <c r="G693" s="1" t="n"/>
    </row>
    <row r="694">
      <c r="A694" s="6" t="n">
        <v>44333</v>
      </c>
      <c r="B694" s="6" t="inlineStr">
        <is>
          <t>CALYPSO COCONUT FLAVORED RUM</t>
        </is>
      </c>
      <c r="C694" s="7">
        <f>VLOOKUP(A694,SizeData!A$2:B$3839,2,FALSE)</f>
        <v/>
      </c>
      <c r="D694" s="6" t="n">
        <v>2</v>
      </c>
      <c r="E694" s="6" t="inlineStr">
        <is>
          <t>R1537124</t>
        </is>
      </c>
      <c r="F694" s="2" t="n">
        <v>44646</v>
      </c>
      <c r="G694" s="1" t="n"/>
    </row>
    <row r="695">
      <c r="A695" s="6" t="n">
        <v>44333</v>
      </c>
      <c r="B695" s="6" t="inlineStr">
        <is>
          <t>CALYPSO COCONUT FLAVORED RUM</t>
        </is>
      </c>
      <c r="C695" s="7">
        <f>VLOOKUP(A695,SizeData!A$2:B$3839,2,FALSE)</f>
        <v/>
      </c>
      <c r="D695" s="6" t="n">
        <v>1</v>
      </c>
      <c r="E695" s="6" t="inlineStr">
        <is>
          <t>R1762606</t>
        </is>
      </c>
      <c r="F695" s="2" t="n">
        <v>44809</v>
      </c>
      <c r="G695" s="1" t="n"/>
    </row>
    <row r="696">
      <c r="A696" s="6" t="n">
        <v>44333</v>
      </c>
      <c r="B696" s="6" t="inlineStr">
        <is>
          <t>CALYPSO COCONUT FLAVORED RUM</t>
        </is>
      </c>
      <c r="C696" s="7">
        <f>VLOOKUP(A696,SizeData!A$2:B$3839,2,FALSE)</f>
        <v/>
      </c>
      <c r="D696" s="6" t="n">
        <v>2</v>
      </c>
      <c r="E696" s="6" t="inlineStr">
        <is>
          <t>R1768922</t>
        </is>
      </c>
      <c r="F696" s="2" t="n">
        <v>44819</v>
      </c>
      <c r="G696" s="1" t="n"/>
    </row>
    <row r="697">
      <c r="A697" s="6" t="n">
        <v>44333</v>
      </c>
      <c r="B697" s="6" t="inlineStr">
        <is>
          <t>CALYPSO COCONUT FLAVORED RUM</t>
        </is>
      </c>
      <c r="C697" s="7">
        <f>VLOOKUP(A697,SizeData!A$2:B$3839,2,FALSE)</f>
        <v/>
      </c>
      <c r="D697" s="6" t="n">
        <v>3</v>
      </c>
      <c r="E697" s="6" t="inlineStr">
        <is>
          <t>R1842887</t>
        </is>
      </c>
      <c r="F697" s="2" t="n">
        <v>44867</v>
      </c>
      <c r="G697" s="1" t="n"/>
    </row>
    <row r="698">
      <c r="A698" s="6" t="n">
        <v>44333</v>
      </c>
      <c r="B698" s="6" t="inlineStr">
        <is>
          <t>CALYPSO COCONUT FLAVORED RUM</t>
        </is>
      </c>
      <c r="C698" s="7">
        <f>VLOOKUP(A698,SizeData!A$2:B$3839,2,FALSE)</f>
        <v/>
      </c>
      <c r="D698" s="6" t="n">
        <v>2</v>
      </c>
      <c r="E698" s="6" t="inlineStr">
        <is>
          <t>R1846759</t>
        </is>
      </c>
      <c r="F698" s="2" t="n">
        <v>44872</v>
      </c>
      <c r="G698" s="1" t="n"/>
    </row>
    <row r="699">
      <c r="A699" s="6" t="n">
        <v>44333</v>
      </c>
      <c r="B699" s="6" t="inlineStr">
        <is>
          <t>CALYPSO COCONUT FLAVORED RUM</t>
        </is>
      </c>
      <c r="C699" s="7">
        <f>VLOOKUP(A699,SizeData!A$2:B$3839,2,FALSE)</f>
        <v/>
      </c>
      <c r="D699" s="6" t="n">
        <v>3</v>
      </c>
      <c r="E699" s="6" t="inlineStr">
        <is>
          <t>R1866868</t>
        </is>
      </c>
      <c r="F699" s="2" t="n">
        <v>44882</v>
      </c>
      <c r="G699" s="1" t="n"/>
    </row>
    <row r="700">
      <c r="A700" s="6" t="n">
        <v>44331</v>
      </c>
      <c r="B700" s="6" t="inlineStr">
        <is>
          <t>CALYPSO COCONUT RUM</t>
        </is>
      </c>
      <c r="C700" s="7">
        <f>VLOOKUP(A700,SizeData!A$2:B$3839,2,FALSE)</f>
        <v/>
      </c>
      <c r="D700" s="6" t="n">
        <v>2</v>
      </c>
      <c r="E700" s="6" t="inlineStr">
        <is>
          <t>R1393008</t>
        </is>
      </c>
      <c r="F700" s="2" t="n">
        <v>44558</v>
      </c>
      <c r="G700" s="1" t="n"/>
    </row>
    <row r="701">
      <c r="A701" s="6" t="n">
        <v>44331</v>
      </c>
      <c r="B701" s="6" t="inlineStr">
        <is>
          <t>CALYPSO COCONUT RUM</t>
        </is>
      </c>
      <c r="C701" s="7">
        <f>VLOOKUP(A701,SizeData!A$2:B$3839,2,FALSE)</f>
        <v/>
      </c>
      <c r="D701" s="6" t="n">
        <v>1</v>
      </c>
      <c r="E701" s="6" t="inlineStr">
        <is>
          <t>R1613626</t>
        </is>
      </c>
      <c r="F701" s="2" t="n">
        <v>44697</v>
      </c>
      <c r="G701" s="1" t="n"/>
    </row>
    <row r="702">
      <c r="A702" s="6" t="n">
        <v>44331</v>
      </c>
      <c r="B702" s="6" t="inlineStr">
        <is>
          <t>CALYPSO COCONUT RUM</t>
        </is>
      </c>
      <c r="C702" s="7">
        <f>VLOOKUP(A702,SizeData!A$2:B$3839,2,FALSE)</f>
        <v/>
      </c>
      <c r="D702" s="6" t="n">
        <v>1</v>
      </c>
      <c r="E702" s="6" t="inlineStr">
        <is>
          <t>R1860872</t>
        </is>
      </c>
      <c r="F702" s="2" t="n">
        <v>44875</v>
      </c>
      <c r="G702" s="1" t="n"/>
    </row>
    <row r="703">
      <c r="A703" s="26" t="n">
        <v>44331</v>
      </c>
      <c r="B703" s="26" t="inlineStr">
        <is>
          <t>CALYPSO COCONUT RUM</t>
        </is>
      </c>
      <c r="C703" s="75">
        <f>VLOOKUP(A703,SizeData!A$2:B$3839,2,FALSE)</f>
        <v/>
      </c>
      <c r="D703" s="26" t="n">
        <v>1</v>
      </c>
      <c r="E703" s="26" t="inlineStr">
        <is>
          <t>R1900430</t>
        </is>
      </c>
      <c r="F703" s="61" t="n">
        <v>44896</v>
      </c>
      <c r="G703" s="62" t="n"/>
    </row>
    <row r="704">
      <c r="A704" s="6" t="n">
        <v>44348</v>
      </c>
      <c r="B704" s="6" t="inlineStr">
        <is>
          <t>CALYPSO SILVER RUM PET</t>
        </is>
      </c>
      <c r="C704" s="7">
        <f>VLOOKUP(A704,SizeData!A$2:B$3839,2,FALSE)</f>
        <v/>
      </c>
      <c r="D704" s="6" t="n">
        <v>1</v>
      </c>
      <c r="E704" s="6" t="inlineStr">
        <is>
          <t>R1408146</t>
        </is>
      </c>
      <c r="F704" s="2" t="n">
        <v>44569</v>
      </c>
      <c r="G704" s="1" t="n"/>
    </row>
    <row r="705">
      <c r="A705" s="6" t="n">
        <v>44348</v>
      </c>
      <c r="B705" s="6" t="inlineStr">
        <is>
          <t>CALYPSO SILVER RUM PET</t>
        </is>
      </c>
      <c r="C705" s="7">
        <f>VLOOKUP(A705,SizeData!A$2:B$3839,2,FALSE)</f>
        <v/>
      </c>
      <c r="D705" s="6" t="n">
        <v>1</v>
      </c>
      <c r="E705" s="6" t="inlineStr">
        <is>
          <t>R1536813</t>
        </is>
      </c>
      <c r="F705" s="2" t="n">
        <v>44643</v>
      </c>
      <c r="G705" s="1" t="n"/>
    </row>
    <row r="706">
      <c r="A706" s="6" t="n">
        <v>44348</v>
      </c>
      <c r="B706" s="6" t="inlineStr">
        <is>
          <t>CALYPSO SILVER RUM PET</t>
        </is>
      </c>
      <c r="C706" s="7">
        <f>VLOOKUP(A706,SizeData!A$2:B$3839,2,FALSE)</f>
        <v/>
      </c>
      <c r="D706" s="6" t="n">
        <v>1</v>
      </c>
      <c r="E706" s="6" t="inlineStr">
        <is>
          <t>R1550755</t>
        </is>
      </c>
      <c r="F706" s="2" t="n">
        <v>44650</v>
      </c>
      <c r="G706" s="1" t="n"/>
    </row>
    <row r="707">
      <c r="A707" s="6" t="n">
        <v>44348</v>
      </c>
      <c r="B707" s="6" t="inlineStr">
        <is>
          <t>CALYPSO SILVER RUM PET</t>
        </is>
      </c>
      <c r="C707" s="7">
        <f>VLOOKUP(A707,SizeData!A$2:B$3839,2,FALSE)</f>
        <v/>
      </c>
      <c r="D707" s="6" t="n">
        <v>1</v>
      </c>
      <c r="E707" s="6" t="inlineStr">
        <is>
          <t>R1613626</t>
        </is>
      </c>
      <c r="F707" s="2" t="n">
        <v>44697</v>
      </c>
      <c r="G707" s="1" t="n"/>
    </row>
    <row r="708">
      <c r="A708" s="6" t="n">
        <v>44348</v>
      </c>
      <c r="B708" s="6" t="inlineStr">
        <is>
          <t>CALYPSO SILVER RUM PET</t>
        </is>
      </c>
      <c r="C708" s="7">
        <f>VLOOKUP(A708,SizeData!A$2:B$3839,2,FALSE)</f>
        <v/>
      </c>
      <c r="D708" s="6" t="n">
        <v>2</v>
      </c>
      <c r="E708" s="6" t="inlineStr">
        <is>
          <t>R1625943</t>
        </is>
      </c>
      <c r="F708" s="2" t="n">
        <v>44707</v>
      </c>
      <c r="G708" s="1" t="n"/>
    </row>
    <row r="709">
      <c r="A709" s="6" t="n">
        <v>44348</v>
      </c>
      <c r="B709" s="6" t="inlineStr">
        <is>
          <t>CALYPSO SILVER RUM PET</t>
        </is>
      </c>
      <c r="C709" s="7">
        <f>VLOOKUP(A709,SizeData!A$2:B$3839,2,FALSE)</f>
        <v/>
      </c>
      <c r="D709" s="6" t="n">
        <v>1</v>
      </c>
      <c r="E709" s="6" t="inlineStr">
        <is>
          <t>R1639026</t>
        </is>
      </c>
      <c r="F709" s="2" t="n">
        <v>44720</v>
      </c>
      <c r="G709" s="1" t="n"/>
    </row>
    <row r="710">
      <c r="A710" s="6" t="n">
        <v>44348</v>
      </c>
      <c r="B710" s="6" t="inlineStr">
        <is>
          <t>CALYPSO SILVER RUM PET</t>
        </is>
      </c>
      <c r="C710" s="7">
        <f>VLOOKUP(A710,SizeData!A$2:B$3839,2,FALSE)</f>
        <v/>
      </c>
      <c r="D710" s="6" t="n">
        <v>1</v>
      </c>
      <c r="E710" s="6" t="inlineStr">
        <is>
          <t>R1658904</t>
        </is>
      </c>
      <c r="F710" s="2" t="n">
        <v>44732</v>
      </c>
      <c r="G710" s="1" t="n"/>
    </row>
    <row r="711">
      <c r="A711" s="6" t="n">
        <v>44348</v>
      </c>
      <c r="B711" s="6" t="inlineStr">
        <is>
          <t>CALYPSO SILVER RUM PET</t>
        </is>
      </c>
      <c r="C711" s="7">
        <f>VLOOKUP(A711,SizeData!A$2:B$3839,2,FALSE)</f>
        <v/>
      </c>
      <c r="D711" s="6" t="n">
        <v>2</v>
      </c>
      <c r="E711" s="6" t="inlineStr">
        <is>
          <t>R1658911</t>
        </is>
      </c>
      <c r="F711" s="2" t="n">
        <v>44733</v>
      </c>
      <c r="G711" s="1" t="n"/>
    </row>
    <row r="712">
      <c r="A712" s="6" t="n">
        <v>44348</v>
      </c>
      <c r="B712" s="6" t="inlineStr">
        <is>
          <t>CALYPSO SILVER RUM PET</t>
        </is>
      </c>
      <c r="C712" s="7">
        <f>VLOOKUP(A712,SizeData!A$2:B$3839,2,FALSE)</f>
        <v/>
      </c>
      <c r="D712" s="6" t="n">
        <v>2</v>
      </c>
      <c r="E712" s="6" t="inlineStr">
        <is>
          <t>R1716704</t>
        </is>
      </c>
      <c r="F712" s="2" t="n">
        <v>44770</v>
      </c>
      <c r="G712" s="1" t="n"/>
    </row>
    <row r="713">
      <c r="A713" s="6" t="n">
        <v>44348</v>
      </c>
      <c r="B713" s="6" t="inlineStr">
        <is>
          <t>CALYPSO SILVER RUM PET</t>
        </is>
      </c>
      <c r="C713" s="7">
        <f>VLOOKUP(A713,SizeData!A$2:B$3839,2,FALSE)</f>
        <v/>
      </c>
      <c r="D713" s="6" t="n">
        <v>2</v>
      </c>
      <c r="E713" s="6" t="inlineStr">
        <is>
          <t>R1759302</t>
        </is>
      </c>
      <c r="F713" s="2" t="n">
        <v>44806</v>
      </c>
      <c r="G713" s="1" t="n"/>
    </row>
    <row r="714">
      <c r="A714" s="6" t="n">
        <v>44348</v>
      </c>
      <c r="B714" s="6" t="inlineStr">
        <is>
          <t>CALYPSO SILVER RUM PET</t>
        </is>
      </c>
      <c r="C714" s="7">
        <f>VLOOKUP(A714,SizeData!A$2:B$3839,2,FALSE)</f>
        <v/>
      </c>
      <c r="D714" s="6" t="n">
        <v>2</v>
      </c>
      <c r="E714" s="6" t="inlineStr">
        <is>
          <t>R1778047</t>
        </is>
      </c>
      <c r="F714" s="2" t="n">
        <v>44825</v>
      </c>
      <c r="G714" s="1" t="n"/>
    </row>
    <row r="715">
      <c r="A715" s="6" t="n">
        <v>44348</v>
      </c>
      <c r="B715" s="6" t="inlineStr">
        <is>
          <t>CALYPSO SILVER RUM PET</t>
        </is>
      </c>
      <c r="C715" s="7">
        <f>VLOOKUP(A715,SizeData!A$2:B$3839,2,FALSE)</f>
        <v/>
      </c>
      <c r="D715" s="6" t="n">
        <v>2</v>
      </c>
      <c r="E715" s="6" t="inlineStr">
        <is>
          <t>R1826558</t>
        </is>
      </c>
      <c r="F715" s="2" t="n">
        <v>44854</v>
      </c>
      <c r="G715" s="1" t="n"/>
    </row>
    <row r="716">
      <c r="A716" s="6" t="n">
        <v>44348</v>
      </c>
      <c r="B716" s="6" t="inlineStr">
        <is>
          <t>CALYPSO SILVER RUM PET</t>
        </is>
      </c>
      <c r="C716" s="7">
        <f>VLOOKUP(A716,SizeData!A$2:B$3839,2,FALSE)</f>
        <v/>
      </c>
      <c r="D716" s="6" t="n">
        <v>2</v>
      </c>
      <c r="E716" s="6" t="inlineStr">
        <is>
          <t>R1827574</t>
        </is>
      </c>
      <c r="F716" s="2" t="n">
        <v>44859</v>
      </c>
      <c r="G716" s="1" t="n"/>
    </row>
    <row r="717">
      <c r="A717" s="26" t="n">
        <v>44348</v>
      </c>
      <c r="B717" s="26" t="inlineStr">
        <is>
          <t>CALYPSO SILVER RUM PET</t>
        </is>
      </c>
      <c r="C717" s="75">
        <f>VLOOKUP(A717,SizeData!A$2:B$3839,2,FALSE)</f>
        <v/>
      </c>
      <c r="D717" s="26" t="n">
        <v>1</v>
      </c>
      <c r="E717" s="26" t="inlineStr">
        <is>
          <t>R1869434</t>
        </is>
      </c>
      <c r="F717" s="61" t="n">
        <v>44884</v>
      </c>
      <c r="G717" s="62" t="n"/>
    </row>
    <row r="718">
      <c r="A718" s="6" t="n">
        <v>44348</v>
      </c>
      <c r="B718" s="6" t="inlineStr">
        <is>
          <t>CALYPSO SILVER RUM PET</t>
        </is>
      </c>
      <c r="C718" s="7">
        <f>VLOOKUP(A718,SizeData!A$2:B$3839,2,FALSE)</f>
        <v/>
      </c>
      <c r="D718" s="6" t="n">
        <v>2</v>
      </c>
      <c r="E718" s="6" t="inlineStr">
        <is>
          <t>R1892470</t>
        </is>
      </c>
      <c r="F718" s="2" t="n">
        <v>44902</v>
      </c>
      <c r="G718" s="1" t="n"/>
    </row>
    <row r="719">
      <c r="A719" s="6" t="n">
        <v>44340</v>
      </c>
      <c r="B719" s="6" t="inlineStr">
        <is>
          <t>CALYPSO SPICED RUM</t>
        </is>
      </c>
      <c r="C719" s="7">
        <f>VLOOKUP(A719,SizeData!A$2:B$3839,2,FALSE)</f>
        <v/>
      </c>
      <c r="D719" s="6" t="n">
        <v>2</v>
      </c>
      <c r="E719" s="6" t="inlineStr">
        <is>
          <t>R1446818</t>
        </is>
      </c>
      <c r="F719" s="2" t="n">
        <v>44592</v>
      </c>
      <c r="G719" s="1" t="n"/>
    </row>
    <row r="720">
      <c r="A720" s="6" t="n">
        <v>44340</v>
      </c>
      <c r="B720" s="6" t="inlineStr">
        <is>
          <t>CALYPSO SPICED RUM</t>
        </is>
      </c>
      <c r="C720" s="7">
        <f>VLOOKUP(A720,SizeData!A$2:B$3839,2,FALSE)</f>
        <v/>
      </c>
      <c r="D720" s="6" t="n">
        <v>1</v>
      </c>
      <c r="E720" s="6" t="inlineStr">
        <is>
          <t>R1710843</t>
        </is>
      </c>
      <c r="F720" s="2" t="n">
        <v>44764</v>
      </c>
      <c r="G720" s="1" t="n"/>
    </row>
    <row r="721">
      <c r="A721" s="6" t="n">
        <v>44340</v>
      </c>
      <c r="B721" s="6" t="inlineStr">
        <is>
          <t>CALYPSO SPICED RUM</t>
        </is>
      </c>
      <c r="C721" s="7">
        <f>VLOOKUP(A721,SizeData!A$2:B$3839,2,FALSE)</f>
        <v/>
      </c>
      <c r="D721" s="6" t="n">
        <v>2</v>
      </c>
      <c r="E721" s="6" t="inlineStr">
        <is>
          <t>R1768922</t>
        </is>
      </c>
      <c r="F721" s="2" t="n">
        <v>44819</v>
      </c>
      <c r="G721" s="1" t="n"/>
    </row>
    <row r="722">
      <c r="A722" s="6" t="n">
        <v>44340</v>
      </c>
      <c r="B722" s="6" t="inlineStr">
        <is>
          <t>CALYPSO SPICED RUM</t>
        </is>
      </c>
      <c r="C722" s="7">
        <f>VLOOKUP(A722,SizeData!A$2:B$3839,2,FALSE)</f>
        <v/>
      </c>
      <c r="D722" s="6" t="n">
        <v>1</v>
      </c>
      <c r="E722" s="6" t="inlineStr">
        <is>
          <t>R1796778</t>
        </is>
      </c>
      <c r="F722" s="2" t="n">
        <v>44834</v>
      </c>
      <c r="G722" s="1" t="n"/>
    </row>
    <row r="723">
      <c r="A723" s="6" t="n">
        <v>44340</v>
      </c>
      <c r="B723" s="6" t="inlineStr">
        <is>
          <t>CALYPSO SPICED RUM</t>
        </is>
      </c>
      <c r="C723" s="7">
        <f>VLOOKUP(A723,SizeData!A$2:B$3839,2,FALSE)</f>
        <v/>
      </c>
      <c r="D723" s="6" t="n">
        <v>2</v>
      </c>
      <c r="E723" s="6" t="inlineStr">
        <is>
          <t>R1856308</t>
        </is>
      </c>
      <c r="F723" s="2" t="n">
        <v>44867</v>
      </c>
      <c r="G723" s="1" t="n"/>
    </row>
    <row r="724">
      <c r="A724" s="6" t="n">
        <v>44340</v>
      </c>
      <c r="B724" s="6" t="inlineStr">
        <is>
          <t>CALYPSO SPICED RUM</t>
        </is>
      </c>
      <c r="C724" s="7">
        <f>VLOOKUP(A724,SizeData!A$2:B$3839,2,FALSE)</f>
        <v/>
      </c>
      <c r="D724" s="6" t="n">
        <v>2</v>
      </c>
      <c r="E724" s="6" t="inlineStr">
        <is>
          <t>R1846759</t>
        </is>
      </c>
      <c r="F724" s="2" t="n">
        <v>44872</v>
      </c>
      <c r="G724" s="1" t="n"/>
    </row>
    <row r="725">
      <c r="A725" s="6" t="n">
        <v>44340</v>
      </c>
      <c r="B725" s="6" t="inlineStr">
        <is>
          <t>CALYPSO SPICED RUM</t>
        </is>
      </c>
      <c r="C725" s="7">
        <f>VLOOKUP(A725,SizeData!A$2:B$3839,2,FALSE)</f>
        <v/>
      </c>
      <c r="D725" s="6" t="n">
        <v>2</v>
      </c>
      <c r="E725" s="6" t="inlineStr">
        <is>
          <t>R1866868</t>
        </is>
      </c>
      <c r="F725" s="2" t="n">
        <v>44882</v>
      </c>
      <c r="G725" s="1" t="n"/>
    </row>
    <row r="726">
      <c r="A726" s="6" t="n">
        <v>44342</v>
      </c>
      <c r="B726" s="6" t="inlineStr">
        <is>
          <t>CALYPSO SPICED RUM</t>
        </is>
      </c>
      <c r="C726" s="7">
        <f>VLOOKUP(A726,SizeData!A$2:B$3839,2,FALSE)</f>
        <v/>
      </c>
      <c r="D726" s="6" t="n">
        <v>1</v>
      </c>
      <c r="E726" s="6" t="inlineStr">
        <is>
          <t>R1710843</t>
        </is>
      </c>
      <c r="F726" s="2" t="n">
        <v>44764</v>
      </c>
      <c r="G726" s="1" t="n"/>
    </row>
    <row r="727">
      <c r="A727" s="6" t="n">
        <v>10624</v>
      </c>
      <c r="B727" s="6" t="inlineStr">
        <is>
          <t>CANADIAN CLUB ORIGINAL 1858</t>
        </is>
      </c>
      <c r="C727" s="7">
        <f>VLOOKUP(A727,SizeData!A$2:B$3839,2,FALSE)</f>
        <v/>
      </c>
      <c r="D727" s="6" t="n">
        <v>1</v>
      </c>
      <c r="E727" s="6" t="inlineStr">
        <is>
          <t>R1743204</t>
        </is>
      </c>
      <c r="F727" s="2" t="n">
        <v>44795</v>
      </c>
      <c r="G727" s="1" t="n"/>
    </row>
    <row r="728">
      <c r="A728" s="6" t="n">
        <v>10626</v>
      </c>
      <c r="B728" s="6" t="inlineStr">
        <is>
          <t>CANADIAN CLUB ORIGINAL 1858</t>
        </is>
      </c>
      <c r="C728" s="7">
        <f>VLOOKUP(A728,SizeData!A$2:B$3839,2,FALSE)</f>
        <v/>
      </c>
      <c r="D728" s="6" t="n">
        <v>1</v>
      </c>
      <c r="E728" s="6" t="inlineStr">
        <is>
          <t>R1461859</t>
        </is>
      </c>
      <c r="F728" s="2" t="n">
        <v>44606</v>
      </c>
      <c r="G728" s="1" t="n"/>
    </row>
    <row r="729">
      <c r="A729" s="6" t="n">
        <v>10626</v>
      </c>
      <c r="B729" s="6" t="inlineStr">
        <is>
          <t>CANADIAN CLUB ORIGINAL 1858</t>
        </is>
      </c>
      <c r="C729" s="7">
        <f>VLOOKUP(A729,SizeData!A$2:B$3839,2,FALSE)</f>
        <v/>
      </c>
      <c r="D729" s="6" t="n">
        <v>1</v>
      </c>
      <c r="E729" s="6" t="inlineStr">
        <is>
          <t>R1529670</t>
        </is>
      </c>
      <c r="F729" s="2" t="n">
        <v>44652</v>
      </c>
      <c r="G729" s="1" t="n"/>
    </row>
    <row r="730">
      <c r="A730" s="6" t="n">
        <v>10626</v>
      </c>
      <c r="B730" s="6" t="inlineStr">
        <is>
          <t>CANADIAN CLUB ORIGINAL 1858</t>
        </is>
      </c>
      <c r="C730" s="7">
        <f>VLOOKUP(A730,SizeData!A$2:B$3839,2,FALSE)</f>
        <v/>
      </c>
      <c r="D730" s="6" t="n">
        <v>1</v>
      </c>
      <c r="E730" s="6" t="inlineStr">
        <is>
          <t>R1529670A</t>
        </is>
      </c>
      <c r="F730" s="2" t="n">
        <v>44652</v>
      </c>
      <c r="G730" s="1" t="n"/>
    </row>
    <row r="731">
      <c r="A731" s="6" t="n">
        <v>10626</v>
      </c>
      <c r="B731" s="6" t="inlineStr">
        <is>
          <t>CANADIAN CLUB ORIGINAL 1858</t>
        </is>
      </c>
      <c r="C731" s="7">
        <f>VLOOKUP(A731,SizeData!A$2:B$3839,2,FALSE)</f>
        <v/>
      </c>
      <c r="D731" s="6" t="n">
        <v>3</v>
      </c>
      <c r="E731" s="6" t="inlineStr">
        <is>
          <t>R1555356</t>
        </is>
      </c>
      <c r="F731" s="2" t="n">
        <v>44654</v>
      </c>
      <c r="G731" s="1" t="n"/>
    </row>
    <row r="732">
      <c r="A732" s="6" t="n">
        <v>10626</v>
      </c>
      <c r="B732" s="6" t="inlineStr">
        <is>
          <t>CANADIAN CLUB ORIGINAL 1858</t>
        </is>
      </c>
      <c r="C732" s="7">
        <f>VLOOKUP(A732,SizeData!A$2:B$3839,2,FALSE)</f>
        <v/>
      </c>
      <c r="D732" s="6" t="n">
        <v>3</v>
      </c>
      <c r="E732" s="6" t="inlineStr">
        <is>
          <t>R1765359</t>
        </is>
      </c>
      <c r="F732" s="2" t="n">
        <v>44810</v>
      </c>
      <c r="G732" s="1" t="n"/>
    </row>
    <row r="733">
      <c r="A733" s="6" t="n">
        <v>10623</v>
      </c>
      <c r="B733" s="6" t="inlineStr">
        <is>
          <t>CANADIAN CLUB ORIGINAL 1858 (PET)</t>
        </is>
      </c>
      <c r="C733" s="7">
        <f>VLOOKUP(A733,SizeData!A$2:B$3839,2,FALSE)</f>
        <v/>
      </c>
      <c r="D733" s="6" t="n">
        <v>1</v>
      </c>
      <c r="E733" s="6" t="inlineStr">
        <is>
          <t>R1629067</t>
        </is>
      </c>
      <c r="F733" s="2" t="n">
        <v>44714</v>
      </c>
      <c r="G733" s="1" t="n"/>
    </row>
    <row r="734">
      <c r="A734" s="6" t="n">
        <v>12463</v>
      </c>
      <c r="B734" s="6" t="inlineStr">
        <is>
          <t>CANADIAN MIST</t>
        </is>
      </c>
      <c r="C734" s="7">
        <f>VLOOKUP(A734,SizeData!A$2:B$3839,2,FALSE)</f>
        <v/>
      </c>
      <c r="D734" s="6" t="n">
        <v>1</v>
      </c>
      <c r="E734" s="6" t="inlineStr">
        <is>
          <t>R1696453</t>
        </is>
      </c>
      <c r="F734" s="2" t="n">
        <v>44758</v>
      </c>
      <c r="G734" s="1" t="n"/>
    </row>
    <row r="735">
      <c r="A735" s="6" t="n">
        <v>12464</v>
      </c>
      <c r="B735" s="6" t="inlineStr">
        <is>
          <t>CANADIAN MIST (PET)</t>
        </is>
      </c>
      <c r="C735" s="7">
        <f>VLOOKUP(A735,SizeData!A$2:B$3839,2,FALSE)</f>
        <v/>
      </c>
      <c r="D735" s="6" t="n">
        <v>1</v>
      </c>
      <c r="E735" s="6" t="inlineStr">
        <is>
          <t>R1743204</t>
        </is>
      </c>
      <c r="F735" s="2" t="n">
        <v>44795</v>
      </c>
      <c r="G735" s="1" t="n"/>
    </row>
    <row r="736">
      <c r="A736" s="6" t="n">
        <v>12464</v>
      </c>
      <c r="B736" s="6" t="inlineStr">
        <is>
          <t>CANADIAN MIST (PET)</t>
        </is>
      </c>
      <c r="C736" s="7">
        <f>VLOOKUP(A736,SizeData!A$2:B$3839,2,FALSE)</f>
        <v/>
      </c>
      <c r="D736" s="6" t="n">
        <v>2</v>
      </c>
      <c r="E736" s="6" t="inlineStr">
        <is>
          <t>R1751391</t>
        </is>
      </c>
      <c r="F736" s="2" t="n">
        <v>44805</v>
      </c>
      <c r="G736" s="1" t="n"/>
    </row>
    <row r="737">
      <c r="A737" s="6" t="n">
        <v>12464</v>
      </c>
      <c r="B737" s="6" t="inlineStr">
        <is>
          <t>CANADIAN MIST (PET)</t>
        </is>
      </c>
      <c r="C737" s="7">
        <f>VLOOKUP(A737,SizeData!A$2:B$3839,2,FALSE)</f>
        <v/>
      </c>
      <c r="D737" s="6" t="n">
        <v>2</v>
      </c>
      <c r="E737" s="6" t="inlineStr">
        <is>
          <t>R1768922</t>
        </is>
      </c>
      <c r="F737" s="2" t="n">
        <v>44819</v>
      </c>
      <c r="G737" s="1" t="n"/>
    </row>
    <row r="738">
      <c r="A738" s="6" t="n">
        <v>12476</v>
      </c>
      <c r="B738" s="6" t="inlineStr">
        <is>
          <t>CANADIAN MIST (PET)</t>
        </is>
      </c>
      <c r="C738" s="7">
        <f>VLOOKUP(A738,SizeData!A$2:B$3839,2,FALSE)</f>
        <v/>
      </c>
      <c r="D738" s="6" t="n">
        <v>1</v>
      </c>
      <c r="E738" s="6" t="inlineStr">
        <is>
          <t>R1605719</t>
        </is>
      </c>
      <c r="F738" s="2" t="n">
        <v>44685</v>
      </c>
      <c r="G738" s="1" t="n"/>
    </row>
    <row r="739">
      <c r="A739" s="6" t="n">
        <v>12476</v>
      </c>
      <c r="B739" s="6" t="inlineStr">
        <is>
          <t>CANADIAN MIST (PET)</t>
        </is>
      </c>
      <c r="C739" s="7">
        <f>VLOOKUP(A739,SizeData!A$2:B$3839,2,FALSE)</f>
        <v/>
      </c>
      <c r="D739" s="6" t="n">
        <v>1</v>
      </c>
      <c r="E739" s="6" t="inlineStr">
        <is>
          <t>R1599922</t>
        </is>
      </c>
      <c r="F739" s="2" t="n">
        <v>44696</v>
      </c>
      <c r="G739" s="1" t="n"/>
    </row>
    <row r="740">
      <c r="A740" s="6" t="n">
        <v>12476</v>
      </c>
      <c r="B740" s="6" t="inlineStr">
        <is>
          <t>CANADIAN MIST (PET)</t>
        </is>
      </c>
      <c r="C740" s="7">
        <f>VLOOKUP(A740,SizeData!A$2:B$3839,2,FALSE)</f>
        <v/>
      </c>
      <c r="D740" s="6" t="n">
        <v>8</v>
      </c>
      <c r="E740" s="6" t="inlineStr">
        <is>
          <t>R1629823</t>
        </is>
      </c>
      <c r="F740" s="2" t="n">
        <v>44713</v>
      </c>
      <c r="G740" s="1" t="n"/>
    </row>
    <row r="741">
      <c r="A741" s="6" t="n">
        <v>12476</v>
      </c>
      <c r="B741" s="6" t="inlineStr">
        <is>
          <t>CANADIAN MIST (PET)</t>
        </is>
      </c>
      <c r="C741" s="7">
        <f>VLOOKUP(A741,SizeData!A$2:B$3839,2,FALSE)</f>
        <v/>
      </c>
      <c r="D741" s="6" t="n">
        <v>2</v>
      </c>
      <c r="E741" s="6" t="inlineStr">
        <is>
          <t>R1629823</t>
        </is>
      </c>
      <c r="F741" s="2" t="n">
        <v>44713</v>
      </c>
      <c r="G741" s="1" t="n"/>
    </row>
    <row r="742">
      <c r="A742" s="6" t="n">
        <v>12476</v>
      </c>
      <c r="B742" s="6" t="inlineStr">
        <is>
          <t>CANADIAN MIST (PET)</t>
        </is>
      </c>
      <c r="C742" s="7">
        <f>VLOOKUP(A742,SizeData!A$2:B$3839,2,FALSE)</f>
        <v/>
      </c>
      <c r="D742" s="6" t="n">
        <v>4</v>
      </c>
      <c r="E742" s="6" t="inlineStr">
        <is>
          <t>R1683818</t>
        </is>
      </c>
      <c r="F742" s="2" t="n">
        <v>44754</v>
      </c>
      <c r="G742" s="1" t="n"/>
    </row>
    <row r="743">
      <c r="A743" s="6" t="n">
        <v>12476</v>
      </c>
      <c r="B743" s="6" t="inlineStr">
        <is>
          <t>CANADIAN MIST (PET)</t>
        </is>
      </c>
      <c r="C743" s="7">
        <f>VLOOKUP(A743,SizeData!A$2:B$3839,2,FALSE)</f>
        <v/>
      </c>
      <c r="D743" s="6" t="n">
        <v>10</v>
      </c>
      <c r="E743" s="6" t="inlineStr">
        <is>
          <t>R1696740</t>
        </is>
      </c>
      <c r="F743" s="2" t="n">
        <v>44762</v>
      </c>
      <c r="G743" s="1" t="n"/>
    </row>
    <row r="744">
      <c r="A744" s="6" t="n">
        <v>12476</v>
      </c>
      <c r="B744" s="6" t="inlineStr">
        <is>
          <t>CANADIAN MIST (PET)</t>
        </is>
      </c>
      <c r="C744" s="7">
        <f>VLOOKUP(A744,SizeData!A$2:B$3839,2,FALSE)</f>
        <v/>
      </c>
      <c r="D744" s="6" t="n">
        <v>15</v>
      </c>
      <c r="E744" s="6" t="inlineStr">
        <is>
          <t>R1692380</t>
        </is>
      </c>
      <c r="F744" s="2" t="n">
        <v>44763</v>
      </c>
      <c r="G744" s="1" t="n"/>
    </row>
    <row r="745">
      <c r="A745" s="6" t="n">
        <v>12478</v>
      </c>
      <c r="B745" s="6" t="inlineStr">
        <is>
          <t>CANADIAN MIST EASY-POUR (PET)</t>
        </is>
      </c>
      <c r="C745" s="7">
        <f>VLOOKUP(A745,SizeData!A$2:B$3839,2,FALSE)</f>
        <v/>
      </c>
      <c r="D745" s="6" t="n">
        <v>4</v>
      </c>
      <c r="E745" s="6" t="inlineStr">
        <is>
          <t>R1619334</t>
        </is>
      </c>
      <c r="F745" s="2" t="n">
        <v>44713</v>
      </c>
      <c r="G745" s="1" t="n"/>
    </row>
    <row r="746">
      <c r="A746" s="6" t="n">
        <v>12478</v>
      </c>
      <c r="B746" s="6" t="inlineStr">
        <is>
          <t>CANADIAN MIST EASY-POUR (PET)</t>
        </is>
      </c>
      <c r="C746" s="7">
        <f>VLOOKUP(A746,SizeData!A$2:B$3839,2,FALSE)</f>
        <v/>
      </c>
      <c r="D746" s="6" t="n">
        <v>2</v>
      </c>
      <c r="E746" s="6" t="inlineStr">
        <is>
          <t>R1645266</t>
        </is>
      </c>
      <c r="F746" s="2" t="n">
        <v>44718</v>
      </c>
      <c r="G746" s="1" t="n"/>
    </row>
    <row r="747">
      <c r="A747" s="6" t="n">
        <v>12478</v>
      </c>
      <c r="B747" s="6" t="inlineStr">
        <is>
          <t>CANADIAN MIST EASY-POUR (PET)</t>
        </is>
      </c>
      <c r="C747" s="7">
        <f>VLOOKUP(A747,SizeData!A$2:B$3839,2,FALSE)</f>
        <v/>
      </c>
      <c r="D747" s="6" t="n">
        <v>2</v>
      </c>
      <c r="E747" s="6" t="inlineStr">
        <is>
          <t>R1671604</t>
        </is>
      </c>
      <c r="F747" s="2" t="n">
        <v>44735</v>
      </c>
      <c r="G747" s="1" t="n"/>
    </row>
    <row r="748">
      <c r="A748" s="6" t="n">
        <v>12478</v>
      </c>
      <c r="B748" s="6" t="inlineStr">
        <is>
          <t>CANADIAN MIST EASY-POUR (PET)</t>
        </is>
      </c>
      <c r="C748" s="7">
        <f>VLOOKUP(A748,SizeData!A$2:B$3839,2,FALSE)</f>
        <v/>
      </c>
      <c r="D748" s="6" t="n">
        <v>2</v>
      </c>
      <c r="E748" s="6" t="inlineStr">
        <is>
          <t>R1671975</t>
        </is>
      </c>
      <c r="F748" s="2" t="n">
        <v>44742</v>
      </c>
      <c r="G748" s="1" t="n"/>
    </row>
    <row r="749">
      <c r="A749" s="6" t="n">
        <v>12478</v>
      </c>
      <c r="B749" s="6" t="inlineStr">
        <is>
          <t>CANADIAN MIST EASY-POUR (PET)</t>
        </is>
      </c>
      <c r="C749" s="7">
        <f>VLOOKUP(A749,SizeData!A$2:B$3839,2,FALSE)</f>
        <v/>
      </c>
      <c r="D749" s="6" t="n">
        <v>8</v>
      </c>
      <c r="E749" s="6" t="inlineStr">
        <is>
          <t>R1846759</t>
        </is>
      </c>
      <c r="F749" s="2" t="n">
        <v>44872</v>
      </c>
      <c r="G749" s="1" t="n"/>
    </row>
    <row r="750">
      <c r="A750" s="6" t="n">
        <v>12478</v>
      </c>
      <c r="B750" s="6" t="inlineStr">
        <is>
          <t>CANADIAN MIST EASY-POUR (PET)</t>
        </is>
      </c>
      <c r="C750" s="7">
        <f>VLOOKUP(A750,SizeData!A$2:B$3839,2,FALSE)</f>
        <v/>
      </c>
      <c r="D750" s="6" t="n">
        <v>2</v>
      </c>
      <c r="E750" s="6" t="inlineStr">
        <is>
          <t>R1865535</t>
        </is>
      </c>
      <c r="F750" s="2" t="n">
        <v>44879</v>
      </c>
      <c r="G750" s="1" t="n"/>
    </row>
    <row r="751">
      <c r="A751" s="6" t="n">
        <v>12886</v>
      </c>
      <c r="B751" s="6" t="inlineStr">
        <is>
          <t>CANADIAN RICH &amp; RARE</t>
        </is>
      </c>
      <c r="C751" s="7">
        <f>VLOOKUP(A751,SizeData!A$2:B$3839,2,FALSE)</f>
        <v/>
      </c>
      <c r="D751" s="6" t="n">
        <v>1</v>
      </c>
      <c r="E751" s="6" t="inlineStr">
        <is>
          <t>R1446818</t>
        </is>
      </c>
      <c r="F751" s="2" t="n">
        <v>44592</v>
      </c>
      <c r="G751" s="1" t="n"/>
    </row>
    <row r="752">
      <c r="A752" s="6" t="n">
        <v>12886</v>
      </c>
      <c r="B752" s="6" t="inlineStr">
        <is>
          <t>CANADIAN RICH &amp; RARE</t>
        </is>
      </c>
      <c r="C752" s="7">
        <f>VLOOKUP(A752,SizeData!A$2:B$3839,2,FALSE)</f>
        <v/>
      </c>
      <c r="D752" s="6" t="n">
        <v>1</v>
      </c>
      <c r="E752" s="6" t="inlineStr">
        <is>
          <t>R1503957</t>
        </is>
      </c>
      <c r="F752" s="2" t="n">
        <v>44636</v>
      </c>
      <c r="G752" s="1" t="n"/>
    </row>
    <row r="753">
      <c r="A753" s="6" t="n">
        <v>12886</v>
      </c>
      <c r="B753" s="6" t="inlineStr">
        <is>
          <t>CANADIAN RICH &amp; RARE</t>
        </is>
      </c>
      <c r="C753" s="7">
        <f>VLOOKUP(A753,SizeData!A$2:B$3839,2,FALSE)</f>
        <v/>
      </c>
      <c r="D753" s="6" t="n">
        <v>1</v>
      </c>
      <c r="E753" s="6" t="inlineStr">
        <is>
          <t>R1568562</t>
        </is>
      </c>
      <c r="F753" s="2" t="n">
        <v>44670</v>
      </c>
      <c r="G753" s="1" t="n"/>
    </row>
    <row r="754">
      <c r="A754" s="6" t="n">
        <v>12886</v>
      </c>
      <c r="B754" s="6" t="inlineStr">
        <is>
          <t>CANADIAN RICH &amp; RARE</t>
        </is>
      </c>
      <c r="C754" s="7">
        <f>VLOOKUP(A754,SizeData!A$2:B$3839,2,FALSE)</f>
        <v/>
      </c>
      <c r="D754" s="6" t="n">
        <v>2</v>
      </c>
      <c r="E754" s="6" t="inlineStr">
        <is>
          <t>R1699078</t>
        </is>
      </c>
      <c r="F754" s="2" t="n">
        <v>44769</v>
      </c>
      <c r="G754" s="1" t="n"/>
    </row>
    <row r="755">
      <c r="A755" s="6" t="n">
        <v>12886</v>
      </c>
      <c r="B755" s="6" t="inlineStr">
        <is>
          <t>CANADIAN RICH &amp; RARE</t>
        </is>
      </c>
      <c r="C755" s="7">
        <f>VLOOKUP(A755,SizeData!A$2:B$3839,2,FALSE)</f>
        <v/>
      </c>
      <c r="D755" s="6" t="n">
        <v>1</v>
      </c>
      <c r="E755" s="6" t="inlineStr">
        <is>
          <t>R1825198</t>
        </is>
      </c>
      <c r="F755" s="2" t="n">
        <v>44853</v>
      </c>
      <c r="G755" s="1" t="n"/>
    </row>
    <row r="756">
      <c r="A756" s="26" t="n">
        <v>12886</v>
      </c>
      <c r="B756" s="26" t="inlineStr">
        <is>
          <t>CANADIAN RICH &amp; RARE</t>
        </is>
      </c>
      <c r="C756" s="75">
        <f>VLOOKUP(A756,SizeData!A$2:B$3839,2,FALSE)</f>
        <v/>
      </c>
      <c r="D756" s="26" t="n">
        <v>1</v>
      </c>
      <c r="E756" s="26" t="inlineStr">
        <is>
          <t>R1854075</t>
        </is>
      </c>
      <c r="F756" s="61" t="n">
        <v>44873</v>
      </c>
      <c r="G756" s="62" t="n"/>
    </row>
    <row r="757">
      <c r="A757" s="6" t="n">
        <v>12886</v>
      </c>
      <c r="B757" s="6" t="inlineStr">
        <is>
          <t>CANADIAN RICH &amp; RARE</t>
        </is>
      </c>
      <c r="C757" s="7">
        <f>VLOOKUP(A757,SizeData!A$2:B$3839,2,FALSE)</f>
        <v/>
      </c>
      <c r="D757" s="6" t="n">
        <v>2</v>
      </c>
      <c r="E757" s="6" t="inlineStr">
        <is>
          <t>R1866868</t>
        </is>
      </c>
      <c r="F757" s="2" t="n">
        <v>44882</v>
      </c>
      <c r="G757" s="1" t="n"/>
    </row>
    <row r="758">
      <c r="A758" s="6" t="n">
        <v>12888</v>
      </c>
      <c r="B758" s="6" t="inlineStr">
        <is>
          <t>CANADIAN RICH &amp; RARE</t>
        </is>
      </c>
      <c r="C758" s="7">
        <f>VLOOKUP(A758,SizeData!A$2:B$3839,2,FALSE)</f>
        <v/>
      </c>
      <c r="D758" s="6" t="n">
        <v>3</v>
      </c>
      <c r="E758" s="6" t="inlineStr">
        <is>
          <t>R1469430</t>
        </is>
      </c>
      <c r="F758" s="2" t="n">
        <v>44610</v>
      </c>
      <c r="G758" s="1" t="n"/>
    </row>
    <row r="759">
      <c r="A759" s="6" t="n">
        <v>12888</v>
      </c>
      <c r="B759" s="6" t="inlineStr">
        <is>
          <t>CANADIAN RICH &amp; RARE</t>
        </is>
      </c>
      <c r="C759" s="7">
        <f>VLOOKUP(A759,SizeData!A$2:B$3839,2,FALSE)</f>
        <v/>
      </c>
      <c r="D759" s="6" t="n">
        <v>4</v>
      </c>
      <c r="E759" s="6" t="inlineStr">
        <is>
          <t>R1619334</t>
        </is>
      </c>
      <c r="F759" s="2" t="n">
        <v>44713</v>
      </c>
      <c r="G759" s="1" t="n"/>
    </row>
    <row r="760">
      <c r="A760" s="6" t="n">
        <v>12888</v>
      </c>
      <c r="B760" s="6" t="inlineStr">
        <is>
          <t>CANADIAN RICH &amp; RARE</t>
        </is>
      </c>
      <c r="C760" s="7">
        <f>VLOOKUP(A760,SizeData!A$2:B$3839,2,FALSE)</f>
        <v/>
      </c>
      <c r="D760" s="6" t="n">
        <v>4</v>
      </c>
      <c r="E760" s="6" t="inlineStr">
        <is>
          <t>R1729512</t>
        </is>
      </c>
      <c r="F760" s="2" t="n">
        <v>44788</v>
      </c>
      <c r="G760" s="1" t="n"/>
    </row>
    <row r="761">
      <c r="A761" s="6" t="n">
        <v>12888</v>
      </c>
      <c r="B761" s="6" t="inlineStr">
        <is>
          <t>CANADIAN RICH &amp; RARE</t>
        </is>
      </c>
      <c r="C761" s="7">
        <f>VLOOKUP(A761,SizeData!A$2:B$3839,2,FALSE)</f>
        <v/>
      </c>
      <c r="D761" s="6" t="n">
        <v>7</v>
      </c>
      <c r="E761" s="6" t="inlineStr">
        <is>
          <t>R1825198</t>
        </is>
      </c>
      <c r="F761" s="2" t="n">
        <v>44853</v>
      </c>
      <c r="G761" s="1" t="n"/>
    </row>
    <row r="762">
      <c r="A762" s="6" t="n">
        <v>12880</v>
      </c>
      <c r="B762" s="6" t="inlineStr">
        <is>
          <t>CANADIAN RICH &amp; RARE (PET)</t>
        </is>
      </c>
      <c r="C762" s="7">
        <f>VLOOKUP(A762,SizeData!A$2:B$3839,2,FALSE)</f>
        <v/>
      </c>
      <c r="D762" s="6" t="n">
        <v>2</v>
      </c>
      <c r="E762" s="6" t="inlineStr">
        <is>
          <t>R1496401</t>
        </is>
      </c>
      <c r="F762" s="2" t="n">
        <v>44621</v>
      </c>
      <c r="G762" s="1" t="n"/>
    </row>
    <row r="763">
      <c r="A763" s="6" t="n">
        <v>12880</v>
      </c>
      <c r="B763" s="6" t="inlineStr">
        <is>
          <t>CANADIAN RICH &amp; RARE (PET)</t>
        </is>
      </c>
      <c r="C763" s="7">
        <f>VLOOKUP(A763,SizeData!A$2:B$3839,2,FALSE)</f>
        <v/>
      </c>
      <c r="D763" s="6" t="n">
        <v>2</v>
      </c>
      <c r="E763" s="6" t="inlineStr">
        <is>
          <t>R1681827</t>
        </is>
      </c>
      <c r="F763" s="2" t="n">
        <v>44748</v>
      </c>
      <c r="G763" s="1" t="n"/>
    </row>
    <row r="764">
      <c r="A764" s="6" t="n">
        <v>12880</v>
      </c>
      <c r="B764" s="6" t="inlineStr">
        <is>
          <t>CANADIAN RICH &amp; RARE (PET)</t>
        </is>
      </c>
      <c r="C764" s="7">
        <f>VLOOKUP(A764,SizeData!A$2:B$3839,2,FALSE)</f>
        <v/>
      </c>
      <c r="D764" s="6" t="n">
        <v>2</v>
      </c>
      <c r="E764" s="6" t="inlineStr">
        <is>
          <t>R1841934</t>
        </is>
      </c>
      <c r="F764" s="2" t="n">
        <v>44866</v>
      </c>
      <c r="G764" s="1" t="n"/>
    </row>
    <row r="765">
      <c r="A765" s="6" t="n">
        <v>12880</v>
      </c>
      <c r="B765" s="6" t="inlineStr">
        <is>
          <t>CANADIAN RICH &amp; RARE (PET)</t>
        </is>
      </c>
      <c r="C765" s="7">
        <f>VLOOKUP(A765,SizeData!A$2:B$3839,2,FALSE)</f>
        <v/>
      </c>
      <c r="D765" s="6" t="n">
        <v>6</v>
      </c>
      <c r="E765" s="6" t="inlineStr">
        <is>
          <t>R1860872</t>
        </is>
      </c>
      <c r="F765" s="2" t="n">
        <v>44875</v>
      </c>
      <c r="G765" s="1" t="n"/>
    </row>
    <row r="766">
      <c r="A766" s="6" t="n">
        <v>12858</v>
      </c>
      <c r="B766" s="6" t="inlineStr">
        <is>
          <t>CANADIAN RICH &amp; RARE RESERVE</t>
        </is>
      </c>
      <c r="C766" s="7">
        <f>VLOOKUP(A766,SizeData!A$2:B$3839,2,FALSE)</f>
        <v/>
      </c>
      <c r="D766" s="6" t="n">
        <v>1</v>
      </c>
      <c r="E766" s="6" t="inlineStr">
        <is>
          <t>R1379703</t>
        </is>
      </c>
      <c r="F766" s="2" t="n">
        <v>44552</v>
      </c>
      <c r="G766" s="1" t="n"/>
    </row>
    <row r="767">
      <c r="A767" s="6" t="n">
        <v>12858</v>
      </c>
      <c r="B767" s="6" t="inlineStr">
        <is>
          <t>CANADIAN RICH &amp; RARE RESERVE</t>
        </is>
      </c>
      <c r="C767" s="7">
        <f>VLOOKUP(A767,SizeData!A$2:B$3839,2,FALSE)</f>
        <v/>
      </c>
      <c r="D767" s="6" t="n">
        <v>3</v>
      </c>
      <c r="E767" s="6" t="inlineStr">
        <is>
          <t>R1383976</t>
        </is>
      </c>
      <c r="F767" s="2" t="n">
        <v>44561</v>
      </c>
      <c r="G767" s="1" t="n"/>
    </row>
    <row r="768">
      <c r="A768" s="6" t="n">
        <v>12858</v>
      </c>
      <c r="B768" s="6" t="inlineStr">
        <is>
          <t>CANADIAN RICH &amp; RARE RESERVE</t>
        </is>
      </c>
      <c r="C768" s="7">
        <f>VLOOKUP(A768,SizeData!A$2:B$3839,2,FALSE)</f>
        <v/>
      </c>
      <c r="D768" s="6" t="n">
        <v>14</v>
      </c>
      <c r="E768" s="6" t="inlineStr">
        <is>
          <t>R1494841</t>
        </is>
      </c>
      <c r="F768" s="2" t="n">
        <v>44628</v>
      </c>
      <c r="G768" s="1" t="n"/>
    </row>
    <row r="769">
      <c r="A769" s="31" t="n">
        <v>12858</v>
      </c>
      <c r="B769" s="31" t="inlineStr">
        <is>
          <t>CANADIAN RICH &amp; RARE RESERVE</t>
        </is>
      </c>
      <c r="C769" s="7">
        <f>VLOOKUP(A769,SizeData!A$2:B$3839,2,FALSE)</f>
        <v/>
      </c>
      <c r="D769" s="31" t="n">
        <v>11</v>
      </c>
      <c r="E769" s="31" t="inlineStr">
        <is>
          <t>R1675074</t>
        </is>
      </c>
      <c r="F769" s="33" t="n">
        <v>44741</v>
      </c>
      <c r="G769" s="34" t="n"/>
    </row>
    <row r="770">
      <c r="A770" s="31" t="n">
        <v>12858</v>
      </c>
      <c r="B770" s="31" t="inlineStr">
        <is>
          <t>CANADIAN RICH &amp; RARE RESERVE</t>
        </is>
      </c>
      <c r="C770" s="7">
        <f>VLOOKUP(A770,SizeData!A$2:B$3839,2,FALSE)</f>
        <v/>
      </c>
      <c r="D770" s="31" t="n">
        <v>1</v>
      </c>
      <c r="E770" s="31" t="inlineStr">
        <is>
          <t>R1675074</t>
        </is>
      </c>
      <c r="F770" s="33" t="n">
        <v>44741</v>
      </c>
      <c r="G770" s="34" t="n"/>
    </row>
    <row r="771">
      <c r="A771" s="6" t="n">
        <v>12858</v>
      </c>
      <c r="B771" s="6" t="inlineStr">
        <is>
          <t>CANADIAN RICH &amp; RARE RESERVE</t>
        </is>
      </c>
      <c r="C771" s="7">
        <f>VLOOKUP(A771,SizeData!A$2:B$3839,2,FALSE)</f>
        <v/>
      </c>
      <c r="D771" s="6" t="n">
        <v>5</v>
      </c>
      <c r="E771" s="6" t="inlineStr">
        <is>
          <t>R1900430</t>
        </is>
      </c>
      <c r="F771" s="2" t="n">
        <v>44896</v>
      </c>
      <c r="G771" s="1" t="n"/>
    </row>
    <row r="772">
      <c r="A772" s="6" t="n">
        <v>12855</v>
      </c>
      <c r="B772" s="6" t="inlineStr">
        <is>
          <t>CANADIAN RICH AND RARE RESERVE</t>
        </is>
      </c>
      <c r="C772" s="7">
        <f>VLOOKUP(A772,SizeData!A$2:B$3839,2,FALSE)</f>
        <v/>
      </c>
      <c r="D772" s="6" t="n">
        <v>30</v>
      </c>
      <c r="E772" s="6" t="inlineStr">
        <is>
          <t>R1487584</t>
        </is>
      </c>
      <c r="F772" s="2" t="n">
        <v>44623</v>
      </c>
      <c r="G772" s="1" t="n"/>
    </row>
    <row r="773">
      <c r="A773" s="6" t="n">
        <v>12855</v>
      </c>
      <c r="B773" s="6" t="inlineStr">
        <is>
          <t>CANADIAN RICH AND RARE RESERVE</t>
        </is>
      </c>
      <c r="C773" s="7">
        <f>VLOOKUP(A773,SizeData!A$2:B$3839,2,FALSE)</f>
        <v/>
      </c>
      <c r="D773" s="6" t="n">
        <v>15</v>
      </c>
      <c r="E773" s="6" t="inlineStr">
        <is>
          <t>R1672413</t>
        </is>
      </c>
      <c r="F773" s="2" t="n">
        <v>44740</v>
      </c>
      <c r="G773" s="1" t="n"/>
    </row>
    <row r="774">
      <c r="A774" s="6" t="n">
        <v>12855</v>
      </c>
      <c r="B774" s="6" t="inlineStr">
        <is>
          <t>CANADIAN RICH AND RARE RESERVE</t>
        </is>
      </c>
      <c r="C774" s="7">
        <f>VLOOKUP(A774,SizeData!A$2:B$3839,2,FALSE)</f>
        <v/>
      </c>
      <c r="D774" s="6" t="n">
        <v>10</v>
      </c>
      <c r="E774" s="6" t="inlineStr">
        <is>
          <t>R1663535</t>
        </is>
      </c>
      <c r="F774" s="2" t="n">
        <v>44740</v>
      </c>
      <c r="G774" s="1" t="n"/>
    </row>
    <row r="775">
      <c r="A775" s="6" t="n">
        <v>354249</v>
      </c>
      <c r="B775" s="6" t="inlineStr">
        <is>
          <t>CANDONI MOSCATO D'ITALIA WHITE</t>
        </is>
      </c>
      <c r="C775" s="7">
        <f>VLOOKUP(A775,SizeData!A$2:B$3839,2,FALSE)</f>
        <v/>
      </c>
      <c r="D775" s="6" t="n">
        <v>1</v>
      </c>
      <c r="E775" s="6" t="inlineStr">
        <is>
          <t>R1591903</t>
        </is>
      </c>
      <c r="F775" s="2" t="n">
        <v>44678</v>
      </c>
      <c r="G775" s="1" t="n"/>
    </row>
    <row r="776">
      <c r="A776" s="6" t="n">
        <v>354249</v>
      </c>
      <c r="B776" s="6" t="inlineStr">
        <is>
          <t>CANDONI MOSCATO D'ITALIA WHITE</t>
        </is>
      </c>
      <c r="C776" s="7">
        <f>VLOOKUP(A776,SizeData!A$2:B$3839,2,FALSE)</f>
        <v/>
      </c>
      <c r="D776" s="6" t="n">
        <v>4</v>
      </c>
      <c r="E776" s="6" t="inlineStr">
        <is>
          <t>R1623135</t>
        </is>
      </c>
      <c r="F776" s="2" t="n">
        <v>44705</v>
      </c>
      <c r="G776" s="1" t="n"/>
    </row>
    <row r="777">
      <c r="A777" s="6" t="n">
        <v>882380</v>
      </c>
      <c r="B777" s="6" t="inlineStr">
        <is>
          <t>CAPRICCIO BUBBLY SANGRIA</t>
        </is>
      </c>
      <c r="C777" s="7">
        <f>VLOOKUP(A777,SizeData!A$2:B$3839,2,FALSE)</f>
        <v/>
      </c>
      <c r="D777" s="6" t="n">
        <v>2</v>
      </c>
      <c r="E777" s="6" t="inlineStr">
        <is>
          <t>R1431061</t>
        </is>
      </c>
      <c r="F777" s="2" t="n">
        <v>44583</v>
      </c>
      <c r="G777" s="1" t="n"/>
    </row>
    <row r="778">
      <c r="A778" s="6" t="n">
        <v>882380</v>
      </c>
      <c r="B778" s="6" t="inlineStr">
        <is>
          <t>CAPRICCIO BUBBLY SANGRIA</t>
        </is>
      </c>
      <c r="C778" s="7">
        <f>VLOOKUP(A778,SizeData!A$2:B$3839,2,FALSE)</f>
        <v/>
      </c>
      <c r="D778" s="6" t="n">
        <v>1</v>
      </c>
      <c r="E778" s="6" t="inlineStr">
        <is>
          <t>R1471479</t>
        </is>
      </c>
      <c r="F778" s="2" t="n">
        <v>44614</v>
      </c>
      <c r="G778" s="1" t="n"/>
    </row>
    <row r="779">
      <c r="A779" s="6" t="n">
        <v>882380</v>
      </c>
      <c r="B779" s="6" t="inlineStr">
        <is>
          <t>CAPRICCIO BUBBLY SANGRIA</t>
        </is>
      </c>
      <c r="C779" s="7">
        <f>VLOOKUP(A779,SizeData!A$2:B$3839,2,FALSE)</f>
        <v/>
      </c>
      <c r="D779" s="6" t="n">
        <v>1</v>
      </c>
      <c r="E779" s="6" t="inlineStr">
        <is>
          <t>R1537124</t>
        </is>
      </c>
      <c r="F779" s="2" t="n">
        <v>44646</v>
      </c>
      <c r="G779" s="1" t="n"/>
    </row>
    <row r="780">
      <c r="A780" s="6" t="n">
        <v>882380</v>
      </c>
      <c r="B780" s="6" t="inlineStr">
        <is>
          <t>CAPRICCIO BUBBLY SANGRIA</t>
        </is>
      </c>
      <c r="C780" s="7">
        <f>VLOOKUP(A780,SizeData!A$2:B$3839,2,FALSE)</f>
        <v/>
      </c>
      <c r="D780" s="6" t="n">
        <v>1</v>
      </c>
      <c r="E780" s="6" t="inlineStr">
        <is>
          <t>R1583381</t>
        </is>
      </c>
      <c r="F780" s="2" t="n">
        <v>44679</v>
      </c>
      <c r="G780" s="1" t="n"/>
    </row>
    <row r="781">
      <c r="A781" s="6" t="n">
        <v>882380</v>
      </c>
      <c r="B781" s="6" t="inlineStr">
        <is>
          <t>CAPRICCIO BUBBLY SANGRIA</t>
        </is>
      </c>
      <c r="C781" s="7">
        <f>VLOOKUP(A781,SizeData!A$2:B$3839,2,FALSE)</f>
        <v/>
      </c>
      <c r="D781" s="6" t="n">
        <v>1</v>
      </c>
      <c r="E781" s="6" t="inlineStr">
        <is>
          <t>R1619359</t>
        </is>
      </c>
      <c r="F781" s="2" t="n">
        <v>44716</v>
      </c>
      <c r="G781" s="1" t="n"/>
    </row>
    <row r="782">
      <c r="A782" s="6" t="n">
        <v>882380</v>
      </c>
      <c r="B782" s="6" t="inlineStr">
        <is>
          <t>CAPRICCIO BUBBLY SANGRIA</t>
        </is>
      </c>
      <c r="C782" s="7">
        <f>VLOOKUP(A782,SizeData!A$2:B$3839,2,FALSE)</f>
        <v/>
      </c>
      <c r="D782" s="6" t="n">
        <v>1</v>
      </c>
      <c r="E782" s="6" t="inlineStr">
        <is>
          <t>R1677409</t>
        </is>
      </c>
      <c r="F782" s="2" t="n">
        <v>44746</v>
      </c>
      <c r="G782" s="1" t="n"/>
    </row>
    <row r="783">
      <c r="A783" s="6" t="n">
        <v>882380</v>
      </c>
      <c r="B783" s="6" t="inlineStr">
        <is>
          <t>CAPRICCIO BUBBLY SANGRIA</t>
        </is>
      </c>
      <c r="C783" s="7">
        <f>VLOOKUP(A783,SizeData!A$2:B$3839,2,FALSE)</f>
        <v/>
      </c>
      <c r="D783" s="6" t="n">
        <v>1</v>
      </c>
      <c r="E783" s="6" t="inlineStr">
        <is>
          <t>R1695857</t>
        </is>
      </c>
      <c r="F783" s="2" t="n">
        <v>44758</v>
      </c>
      <c r="G783" s="1" t="n"/>
    </row>
    <row r="784">
      <c r="A784" s="6" t="n">
        <v>882380</v>
      </c>
      <c r="B784" s="6" t="inlineStr">
        <is>
          <t>CAPRICCIO BUBBLY SANGRIA</t>
        </is>
      </c>
      <c r="C784" s="7">
        <f>VLOOKUP(A784,SizeData!A$2:B$3839,2,FALSE)</f>
        <v/>
      </c>
      <c r="D784" s="6" t="n">
        <v>1</v>
      </c>
      <c r="E784" s="6" t="inlineStr">
        <is>
          <t>R1814504</t>
        </is>
      </c>
      <c r="F784" s="2" t="n">
        <v>44846</v>
      </c>
      <c r="G784" s="1" t="n"/>
    </row>
    <row r="785">
      <c r="A785" s="6" t="n">
        <v>882380</v>
      </c>
      <c r="B785" s="6" t="inlineStr">
        <is>
          <t>CAPRICCIO BUBBLY SANGRIA</t>
        </is>
      </c>
      <c r="C785" s="7">
        <f>VLOOKUP(A785,SizeData!A$2:B$3839,2,FALSE)</f>
        <v/>
      </c>
      <c r="D785" s="6" t="n">
        <v>1</v>
      </c>
      <c r="E785" s="6" t="inlineStr">
        <is>
          <t>R1830533</t>
        </is>
      </c>
      <c r="F785" s="2" t="n">
        <v>44852</v>
      </c>
      <c r="G785" s="1" t="n"/>
    </row>
    <row r="786">
      <c r="A786" s="6" t="n">
        <v>882380</v>
      </c>
      <c r="B786" s="6" t="inlineStr">
        <is>
          <t>CAPRICCIO BUBBLY SANGRIA</t>
        </is>
      </c>
      <c r="C786" s="7">
        <f>VLOOKUP(A786,SizeData!A$2:B$3839,2,FALSE)</f>
        <v/>
      </c>
      <c r="D786" s="6" t="n">
        <v>1</v>
      </c>
      <c r="E786" s="6" t="inlineStr">
        <is>
          <t>R1834591</t>
        </is>
      </c>
      <c r="F786" s="2" t="n">
        <v>44863</v>
      </c>
      <c r="G786" s="1" t="n"/>
    </row>
    <row r="787">
      <c r="A787" s="6" t="n">
        <v>882381</v>
      </c>
      <c r="B787" s="6" t="inlineStr">
        <is>
          <t>CAPRICCIO BUBBLY SANGRIA</t>
        </is>
      </c>
      <c r="C787" s="7">
        <f>VLOOKUP(A787,SizeData!A$2:B$3839,2,FALSE)</f>
        <v/>
      </c>
      <c r="D787" s="6" t="n">
        <v>1</v>
      </c>
      <c r="E787" s="6" t="inlineStr">
        <is>
          <t>R1393111</t>
        </is>
      </c>
      <c r="F787" s="2" t="n">
        <v>44559</v>
      </c>
      <c r="G787" s="1" t="n"/>
    </row>
    <row r="788">
      <c r="A788" s="6" t="n">
        <v>882381</v>
      </c>
      <c r="B788" s="6" t="inlineStr">
        <is>
          <t>CAPRICCIO BUBBLY SANGRIA</t>
        </is>
      </c>
      <c r="C788" s="7">
        <f>VLOOKUP(A788,SizeData!A$2:B$3839,2,FALSE)</f>
        <v/>
      </c>
      <c r="D788" s="6" t="n">
        <v>2</v>
      </c>
      <c r="E788" s="6" t="inlineStr">
        <is>
          <t>R1436614</t>
        </is>
      </c>
      <c r="F788" s="2" t="n">
        <v>44586</v>
      </c>
      <c r="G788" s="1" t="n"/>
    </row>
    <row r="789">
      <c r="A789" s="6" t="n">
        <v>882381</v>
      </c>
      <c r="B789" s="6" t="inlineStr">
        <is>
          <t>CAPRICCIO BUBBLY SANGRIA</t>
        </is>
      </c>
      <c r="C789" s="7">
        <f>VLOOKUP(A789,SizeData!A$2:B$3839,2,FALSE)</f>
        <v/>
      </c>
      <c r="D789" s="6" t="n">
        <v>1</v>
      </c>
      <c r="E789" s="6" t="inlineStr">
        <is>
          <t>R1471479</t>
        </is>
      </c>
      <c r="F789" s="2" t="n">
        <v>44614</v>
      </c>
      <c r="G789" s="1" t="n"/>
    </row>
    <row r="790">
      <c r="A790" s="6" t="n">
        <v>882381</v>
      </c>
      <c r="B790" s="6" t="inlineStr">
        <is>
          <t>CAPRICCIO BUBBLY SANGRIA</t>
        </is>
      </c>
      <c r="C790" s="7">
        <f>VLOOKUP(A790,SizeData!A$2:B$3839,2,FALSE)</f>
        <v/>
      </c>
      <c r="D790" s="6" t="n">
        <v>1</v>
      </c>
      <c r="E790" s="6" t="inlineStr">
        <is>
          <t>R1486336</t>
        </is>
      </c>
      <c r="F790" s="2" t="n">
        <v>44620</v>
      </c>
      <c r="G790" s="1" t="n"/>
    </row>
    <row r="791">
      <c r="A791" s="6" t="n">
        <v>882381</v>
      </c>
      <c r="B791" s="6" t="inlineStr">
        <is>
          <t>CAPRICCIO BUBBLY SANGRIA</t>
        </is>
      </c>
      <c r="C791" s="7">
        <f>VLOOKUP(A791,SizeData!A$2:B$3839,2,FALSE)</f>
        <v/>
      </c>
      <c r="D791" s="6" t="n">
        <v>2</v>
      </c>
      <c r="E791" s="6" t="inlineStr">
        <is>
          <t>R1530081</t>
        </is>
      </c>
      <c r="F791" s="2" t="n">
        <v>44641</v>
      </c>
      <c r="G791" s="1" t="n"/>
    </row>
    <row r="792">
      <c r="A792" s="6" t="n">
        <v>882381</v>
      </c>
      <c r="B792" s="6" t="inlineStr">
        <is>
          <t>CAPRICCIO BUBBLY SANGRIA</t>
        </is>
      </c>
      <c r="C792" s="7">
        <f>VLOOKUP(A792,SizeData!A$2:B$3839,2,FALSE)</f>
        <v/>
      </c>
      <c r="D792" s="6" t="n">
        <v>2</v>
      </c>
      <c r="E792" s="6" t="inlineStr">
        <is>
          <t>R1763315</t>
        </is>
      </c>
      <c r="F792" s="2" t="n">
        <v>44814</v>
      </c>
      <c r="G792" s="1" t="n"/>
    </row>
    <row r="793">
      <c r="A793" s="26" t="n">
        <v>882381</v>
      </c>
      <c r="B793" s="26" t="inlineStr">
        <is>
          <t>CAPRICCIO BUBBLY SANGRIA</t>
        </is>
      </c>
      <c r="C793" s="75">
        <f>VLOOKUP(A793,SizeData!A$2:B$3839,2,FALSE)</f>
        <v/>
      </c>
      <c r="D793" s="26" t="n">
        <v>2</v>
      </c>
      <c r="E793" s="26" t="inlineStr">
        <is>
          <t>R1835862</t>
        </is>
      </c>
      <c r="F793" s="61" t="n">
        <v>44856</v>
      </c>
      <c r="G793" s="62" t="n"/>
    </row>
    <row r="794">
      <c r="A794" s="6" t="n">
        <v>882381</v>
      </c>
      <c r="B794" s="6" t="inlineStr">
        <is>
          <t>CAPRICCIO BUBBLY SANGRIA</t>
        </is>
      </c>
      <c r="C794" s="7">
        <f>VLOOKUP(A794,SizeData!A$2:B$3839,2,FALSE)</f>
        <v/>
      </c>
      <c r="D794" s="6" t="n">
        <v>2</v>
      </c>
      <c r="E794" s="6" t="inlineStr">
        <is>
          <t>R1897750</t>
        </is>
      </c>
      <c r="F794" s="2" t="n">
        <v>44902</v>
      </c>
      <c r="G794" s="1" t="n"/>
    </row>
    <row r="795">
      <c r="A795" s="6" t="n">
        <v>58800</v>
      </c>
      <c r="B795" s="6" t="inlineStr">
        <is>
          <t>CAPTAIN MORGAN LONG ISLAND ICED TEA RTD</t>
        </is>
      </c>
      <c r="C795" s="7">
        <f>VLOOKUP(A795,SizeData!A$2:B$3839,2,FALSE)</f>
        <v/>
      </c>
      <c r="D795" s="6" t="n">
        <v>1</v>
      </c>
      <c r="E795" s="6" t="inlineStr">
        <is>
          <t>R1599922</t>
        </is>
      </c>
      <c r="F795" s="2" t="n">
        <v>44696</v>
      </c>
      <c r="G795" s="1" t="n"/>
    </row>
    <row r="796">
      <c r="A796" s="26" t="n">
        <v>58800</v>
      </c>
      <c r="B796" s="26" t="inlineStr">
        <is>
          <t>CAPTAIN MORGAN LONG ISLAND ICED TEA RTD</t>
        </is>
      </c>
      <c r="C796" s="7">
        <f>VLOOKUP(A796,SizeData!A$2:B$3839,2,FALSE)</f>
        <v/>
      </c>
      <c r="D796" s="26" t="n">
        <v>1</v>
      </c>
      <c r="E796" s="26" t="inlineStr">
        <is>
          <t>R1763684</t>
        </is>
      </c>
      <c r="F796" s="61" t="n">
        <v>44821</v>
      </c>
      <c r="G796" s="62" t="n"/>
    </row>
    <row r="797">
      <c r="A797" s="6" t="n">
        <v>43336</v>
      </c>
      <c r="B797" s="6" t="inlineStr">
        <is>
          <t>CAPTAIN MORGAN ORIGINAL SPICED RUM</t>
        </is>
      </c>
      <c r="C797" s="7">
        <f>VLOOKUP(A797,SizeData!A$2:B$3839,2,FALSE)</f>
        <v/>
      </c>
      <c r="D797" s="6" t="n">
        <v>1</v>
      </c>
      <c r="E797" s="6" t="inlineStr">
        <is>
          <t>R1617418</t>
        </is>
      </c>
      <c r="F797" s="2" t="n">
        <v>44699</v>
      </c>
      <c r="G797" s="1" t="n"/>
    </row>
    <row r="798">
      <c r="A798" s="6" t="n">
        <v>43336</v>
      </c>
      <c r="B798" s="6" t="inlineStr">
        <is>
          <t>CAPTAIN MORGAN ORIGINAL SPICED RUM</t>
        </is>
      </c>
      <c r="C798" s="7">
        <f>VLOOKUP(A798,SizeData!A$2:B$3839,2,FALSE)</f>
        <v/>
      </c>
      <c r="D798" s="6" t="n">
        <v>1</v>
      </c>
      <c r="E798" s="6" t="inlineStr">
        <is>
          <t>R1744308</t>
        </is>
      </c>
      <c r="F798" s="2" t="n">
        <v>44797</v>
      </c>
      <c r="G798" s="1" t="n"/>
    </row>
    <row r="799">
      <c r="A799" s="6" t="n">
        <v>43338</v>
      </c>
      <c r="B799" s="6" t="inlineStr">
        <is>
          <t>CAPTAIN MORGAN ORIGINAL SPICED RUM</t>
        </is>
      </c>
      <c r="C799" s="7">
        <f>VLOOKUP(A799,SizeData!A$2:B$3839,2,FALSE)</f>
        <v/>
      </c>
      <c r="D799" s="6" t="n">
        <v>1</v>
      </c>
      <c r="E799" s="6" t="inlineStr">
        <is>
          <t>R1762660</t>
        </is>
      </c>
      <c r="F799" s="2" t="n">
        <v>44817</v>
      </c>
      <c r="G799" s="1" t="n"/>
    </row>
    <row r="800">
      <c r="A800" s="6" t="n">
        <v>64601</v>
      </c>
      <c r="B800" s="6" t="inlineStr">
        <is>
          <t>CARAVELLA LIMONCELLO LEMON LIQUEUR</t>
        </is>
      </c>
      <c r="C800" s="7">
        <f>VLOOKUP(A800,SizeData!A$2:B$3839,2,FALSE)</f>
        <v/>
      </c>
      <c r="D800" s="6" t="n">
        <v>1</v>
      </c>
      <c r="E800" s="6" t="inlineStr">
        <is>
          <t>R1740439</t>
        </is>
      </c>
      <c r="F800" s="2" t="n">
        <v>44793</v>
      </c>
      <c r="G800" s="1" t="n"/>
    </row>
    <row r="801">
      <c r="A801" s="6" t="n">
        <v>64601</v>
      </c>
      <c r="B801" s="6" t="inlineStr">
        <is>
          <t>CARAVELLA LIMONCELLO LEMON LIQUEUR</t>
        </is>
      </c>
      <c r="C801" s="7">
        <f>VLOOKUP(A801,SizeData!A$2:B$3839,2,FALSE)</f>
        <v/>
      </c>
      <c r="D801" s="6" t="n">
        <v>1</v>
      </c>
      <c r="E801" s="6" t="inlineStr">
        <is>
          <t>R1817613</t>
        </is>
      </c>
      <c r="F801" s="2" t="n">
        <v>44849</v>
      </c>
      <c r="G801" s="1" t="n"/>
    </row>
    <row r="802">
      <c r="A802" s="6" t="n">
        <v>64601</v>
      </c>
      <c r="B802" s="6" t="inlineStr">
        <is>
          <t>CARAVELLA LIMONCELLO LEMON LIQUEUR</t>
        </is>
      </c>
      <c r="C802" s="7">
        <f>VLOOKUP(A802,SizeData!A$2:B$3839,2,FALSE)</f>
        <v/>
      </c>
      <c r="D802" s="6" t="n">
        <v>1</v>
      </c>
      <c r="E802" s="6" t="inlineStr">
        <is>
          <t>R1905562</t>
        </is>
      </c>
      <c r="F802" s="2" t="n">
        <v>44902</v>
      </c>
      <c r="G802" s="1" t="n"/>
    </row>
    <row r="803">
      <c r="A803" s="6" t="n">
        <v>882327</v>
      </c>
      <c r="B803" s="6" t="inlineStr">
        <is>
          <t>CARLO ROSSI BLUEBERRY SANGRIA</t>
        </is>
      </c>
      <c r="C803" s="7">
        <f>VLOOKUP(A803,SizeData!A$2:B$3839,2,FALSE)</f>
        <v/>
      </c>
      <c r="D803" s="6" t="n">
        <v>5</v>
      </c>
      <c r="E803" s="6" t="inlineStr">
        <is>
          <t>R1375337</t>
        </is>
      </c>
      <c r="F803" s="2" t="n">
        <v>44543</v>
      </c>
      <c r="G803" s="1" t="n"/>
    </row>
    <row r="804">
      <c r="A804" s="6" t="n">
        <v>882327</v>
      </c>
      <c r="B804" s="6" t="inlineStr">
        <is>
          <t>CARLO ROSSI BLUEBERRY SANGRIA</t>
        </is>
      </c>
      <c r="C804" s="7">
        <f>VLOOKUP(A804,SizeData!A$2:B$3839,2,FALSE)</f>
        <v/>
      </c>
      <c r="D804" s="6" t="n">
        <v>6</v>
      </c>
      <c r="E804" s="6" t="inlineStr">
        <is>
          <t>R1432781</t>
        </is>
      </c>
      <c r="F804" s="2" t="n">
        <v>44592</v>
      </c>
      <c r="G804" s="1" t="n"/>
    </row>
    <row r="805">
      <c r="A805" s="6" t="n">
        <v>882327</v>
      </c>
      <c r="B805" s="6" t="inlineStr">
        <is>
          <t>CARLO ROSSI BLUEBERRY SANGRIA</t>
        </is>
      </c>
      <c r="C805" s="7">
        <f>VLOOKUP(A805,SizeData!A$2:B$3839,2,FALSE)</f>
        <v/>
      </c>
      <c r="D805" s="6" t="n">
        <v>1</v>
      </c>
      <c r="E805" s="6" t="inlineStr">
        <is>
          <t>R1432781</t>
        </is>
      </c>
      <c r="F805" s="2" t="n">
        <v>44592</v>
      </c>
      <c r="G805" s="1" t="n"/>
    </row>
    <row r="806">
      <c r="A806" s="6" t="n">
        <v>882327</v>
      </c>
      <c r="B806" s="6" t="inlineStr">
        <is>
          <t>CARLO ROSSI BLUEBERRY SANGRIA</t>
        </is>
      </c>
      <c r="C806" s="7">
        <f>VLOOKUP(A806,SizeData!A$2:B$3839,2,FALSE)</f>
        <v/>
      </c>
      <c r="D806" s="6" t="n">
        <v>3</v>
      </c>
      <c r="E806" s="6" t="inlineStr">
        <is>
          <t>R1493246</t>
        </is>
      </c>
      <c r="F806" s="2" t="n">
        <v>44623</v>
      </c>
      <c r="G806" s="1" t="n"/>
    </row>
    <row r="807">
      <c r="A807" s="6" t="n">
        <v>882327</v>
      </c>
      <c r="B807" s="6" t="inlineStr">
        <is>
          <t>CARLO ROSSI BLUEBERRY SANGRIA</t>
        </is>
      </c>
      <c r="C807" s="7">
        <f>VLOOKUP(A807,SizeData!A$2:B$3839,2,FALSE)</f>
        <v/>
      </c>
      <c r="D807" s="6" t="n">
        <v>3</v>
      </c>
      <c r="E807" s="6" t="inlineStr">
        <is>
          <t>R1518411</t>
        </is>
      </c>
      <c r="F807" s="2" t="n">
        <v>44637</v>
      </c>
      <c r="G807" s="1" t="n"/>
    </row>
    <row r="808">
      <c r="A808" s="6" t="n">
        <v>882327</v>
      </c>
      <c r="B808" s="6" t="inlineStr">
        <is>
          <t>CARLO ROSSI BLUEBERRY SANGRIA</t>
        </is>
      </c>
      <c r="C808" s="7">
        <f>VLOOKUP(A808,SizeData!A$2:B$3839,2,FALSE)</f>
        <v/>
      </c>
      <c r="D808" s="6" t="n">
        <v>1</v>
      </c>
      <c r="E808" s="6" t="inlineStr">
        <is>
          <t>R1518411</t>
        </is>
      </c>
      <c r="F808" s="2" t="n">
        <v>44637</v>
      </c>
      <c r="G808" s="1" t="n"/>
    </row>
    <row r="809">
      <c r="A809" s="6" t="n">
        <v>882327</v>
      </c>
      <c r="B809" s="6" t="inlineStr">
        <is>
          <t>CARLO ROSSI BLUEBERRY SANGRIA</t>
        </is>
      </c>
      <c r="C809" s="7">
        <f>VLOOKUP(A809,SizeData!A$2:B$3839,2,FALSE)</f>
        <v/>
      </c>
      <c r="D809" s="6" t="n">
        <v>2</v>
      </c>
      <c r="E809" s="6" t="inlineStr">
        <is>
          <t>R1696453</t>
        </is>
      </c>
      <c r="F809" s="2" t="n">
        <v>44758</v>
      </c>
      <c r="G809" s="1" t="n"/>
    </row>
    <row r="810">
      <c r="A810" s="6" t="n">
        <v>882327</v>
      </c>
      <c r="B810" s="6" t="inlineStr">
        <is>
          <t>CARLO ROSSI BLUEBERRY SANGRIA</t>
        </is>
      </c>
      <c r="C810" s="7">
        <f>VLOOKUP(A810,SizeData!A$2:B$3839,2,FALSE)</f>
        <v/>
      </c>
      <c r="D810" s="6" t="n">
        <v>2</v>
      </c>
      <c r="E810" s="6" t="inlineStr">
        <is>
          <t>R1739883</t>
        </is>
      </c>
      <c r="F810" s="2" t="n">
        <v>44800</v>
      </c>
      <c r="G810" s="1" t="n"/>
    </row>
    <row r="811">
      <c r="A811" s="6" t="n">
        <v>882327</v>
      </c>
      <c r="B811" s="6" t="inlineStr">
        <is>
          <t>CARLO ROSSI BLUEBERRY SANGRIA</t>
        </is>
      </c>
      <c r="C811" s="7">
        <f>VLOOKUP(A811,SizeData!A$2:B$3839,2,FALSE)</f>
        <v/>
      </c>
      <c r="D811" s="6" t="n">
        <v>1</v>
      </c>
      <c r="E811" s="6" t="inlineStr">
        <is>
          <t>R1781063</t>
        </is>
      </c>
      <c r="F811" s="2" t="n">
        <v>44823</v>
      </c>
      <c r="G811" s="1" t="n"/>
    </row>
    <row r="812">
      <c r="A812" s="6" t="n">
        <v>882327</v>
      </c>
      <c r="B812" s="6" t="inlineStr">
        <is>
          <t>CARLO ROSSI BLUEBERRY SANGRIA</t>
        </is>
      </c>
      <c r="C812" s="7">
        <f>VLOOKUP(A812,SizeData!A$2:B$3839,2,FALSE)</f>
        <v/>
      </c>
      <c r="D812" s="6" t="n">
        <v>1</v>
      </c>
      <c r="E812" s="6" t="inlineStr">
        <is>
          <t>R1784903</t>
        </is>
      </c>
      <c r="F812" s="2" t="n">
        <v>44828</v>
      </c>
      <c r="G812" s="1" t="n"/>
    </row>
    <row r="813">
      <c r="A813" s="6" t="n">
        <v>451246</v>
      </c>
      <c r="B813" s="6" t="inlineStr">
        <is>
          <t>CARLO ROSSI CABERNET SAUVIGNON CALIFORNIA</t>
        </is>
      </c>
      <c r="C813" s="7">
        <f>VLOOKUP(A813,SizeData!A$2:B$3839,2,FALSE)</f>
        <v/>
      </c>
      <c r="D813" s="6" t="n">
        <v>1</v>
      </c>
      <c r="E813" s="6" t="inlineStr">
        <is>
          <t>R1457066</t>
        </is>
      </c>
      <c r="F813" s="2" t="n">
        <v>44602</v>
      </c>
      <c r="G813" s="1" t="n"/>
    </row>
    <row r="814">
      <c r="A814" s="6" t="n">
        <v>451246</v>
      </c>
      <c r="B814" s="6" t="inlineStr">
        <is>
          <t>CARLO ROSSI CABERNET SAUVIGNON CALIFORNIA</t>
        </is>
      </c>
      <c r="C814" s="7">
        <f>VLOOKUP(A814,SizeData!A$2:B$3839,2,FALSE)</f>
        <v/>
      </c>
      <c r="D814" s="6" t="n">
        <v>1</v>
      </c>
      <c r="E814" s="6" t="inlineStr">
        <is>
          <t>R1620910</t>
        </is>
      </c>
      <c r="F814" s="2" t="n">
        <v>44694</v>
      </c>
      <c r="G814" s="1" t="n"/>
    </row>
    <row r="815">
      <c r="A815" s="6" t="n">
        <v>552052</v>
      </c>
      <c r="B815" s="6" t="inlineStr">
        <is>
          <t>CARLO ROSSI CHARDONNAY</t>
        </is>
      </c>
      <c r="C815" s="7">
        <f>VLOOKUP(A815,SizeData!A$2:B$3839,2,FALSE)</f>
        <v/>
      </c>
      <c r="D815" s="6" t="n">
        <v>1</v>
      </c>
      <c r="E815" s="6" t="inlineStr">
        <is>
          <t>R1418605</t>
        </is>
      </c>
      <c r="F815" s="2" t="n">
        <v>44576</v>
      </c>
      <c r="G815" s="1" t="n"/>
    </row>
    <row r="816">
      <c r="A816" s="6" t="n">
        <v>552052</v>
      </c>
      <c r="B816" s="6" t="inlineStr">
        <is>
          <t>CARLO ROSSI CHARDONNAY</t>
        </is>
      </c>
      <c r="C816" s="7">
        <f>VLOOKUP(A816,SizeData!A$2:B$3839,2,FALSE)</f>
        <v/>
      </c>
      <c r="D816" s="6" t="n">
        <v>1</v>
      </c>
      <c r="E816" s="6" t="inlineStr">
        <is>
          <t>R1499946</t>
        </is>
      </c>
      <c r="F816" s="2" t="n">
        <v>44627</v>
      </c>
      <c r="G816" s="1" t="n"/>
    </row>
    <row r="817">
      <c r="A817" s="26" t="n">
        <v>552052</v>
      </c>
      <c r="B817" s="26" t="inlineStr">
        <is>
          <t>CARLO ROSSI CHARDONNAY</t>
        </is>
      </c>
      <c r="C817" s="7">
        <f>VLOOKUP(A817,SizeData!A$2:B$3839,2,FALSE)</f>
        <v/>
      </c>
      <c r="D817" s="26" t="n">
        <v>1</v>
      </c>
      <c r="E817" s="26" t="inlineStr">
        <is>
          <t>R1727399</t>
        </is>
      </c>
      <c r="F817" s="61" t="n">
        <v>44786</v>
      </c>
      <c r="G817" s="62" t="n"/>
    </row>
    <row r="818">
      <c r="A818" s="6" t="n">
        <v>552052</v>
      </c>
      <c r="B818" s="6" t="inlineStr">
        <is>
          <t>CARLO ROSSI CHARDONNAY</t>
        </is>
      </c>
      <c r="C818" s="7">
        <f>VLOOKUP(A818,SizeData!A$2:B$3839,2,FALSE)</f>
        <v/>
      </c>
      <c r="D818" s="6" t="n">
        <v>1</v>
      </c>
      <c r="E818" s="6" t="inlineStr">
        <is>
          <t>R1768452</t>
        </is>
      </c>
      <c r="F818" s="2" t="n">
        <v>44818</v>
      </c>
      <c r="G818" s="1" t="n"/>
    </row>
    <row r="819">
      <c r="A819" s="26" t="n">
        <v>552052</v>
      </c>
      <c r="B819" s="26" t="inlineStr">
        <is>
          <t>CARLO ROSSI CHARDONNAY</t>
        </is>
      </c>
      <c r="C819" s="75">
        <f>VLOOKUP(A819,SizeData!A$2:B$3839,2,FALSE)</f>
        <v/>
      </c>
      <c r="D819" s="26" t="n">
        <v>1</v>
      </c>
      <c r="E819" s="26" t="inlineStr">
        <is>
          <t>R1861865</t>
        </is>
      </c>
      <c r="F819" s="61" t="n">
        <v>44881</v>
      </c>
      <c r="G819" s="62" t="n"/>
    </row>
    <row r="820">
      <c r="A820" s="6" t="n">
        <v>552052</v>
      </c>
      <c r="B820" s="6" t="inlineStr">
        <is>
          <t>CARLO ROSSI CHARDONNAY</t>
        </is>
      </c>
      <c r="C820" s="7">
        <f>VLOOKUP(A820,SizeData!A$2:B$3839,2,FALSE)</f>
        <v/>
      </c>
      <c r="D820" s="6" t="n">
        <v>1</v>
      </c>
      <c r="E820" s="6" t="inlineStr">
        <is>
          <t>R1894250</t>
        </is>
      </c>
      <c r="F820" s="2" t="n">
        <v>44902</v>
      </c>
      <c r="G820" s="1" t="n"/>
    </row>
    <row r="821">
      <c r="A821" s="6" t="n">
        <v>451249</v>
      </c>
      <c r="B821" s="6" t="inlineStr">
        <is>
          <t>CARLO ROSSI MERLOT CALIFORNIA</t>
        </is>
      </c>
      <c r="C821" s="7">
        <f>VLOOKUP(A821,SizeData!A$2:B$3839,2,FALSE)</f>
        <v/>
      </c>
      <c r="D821" s="6" t="n">
        <v>1</v>
      </c>
      <c r="E821" s="6" t="inlineStr">
        <is>
          <t>R1416309</t>
        </is>
      </c>
      <c r="F821" s="2" t="n">
        <v>44571</v>
      </c>
      <c r="G821" s="1" t="n"/>
    </row>
    <row r="822">
      <c r="A822" s="6" t="n">
        <v>451249</v>
      </c>
      <c r="B822" s="6" t="inlineStr">
        <is>
          <t>CARLO ROSSI MERLOT CALIFORNIA</t>
        </is>
      </c>
      <c r="C822" s="7">
        <f>VLOOKUP(A822,SizeData!A$2:B$3839,2,FALSE)</f>
        <v/>
      </c>
      <c r="D822" s="6" t="n">
        <v>1</v>
      </c>
      <c r="E822" s="6" t="inlineStr">
        <is>
          <t>R1605719</t>
        </is>
      </c>
      <c r="F822" s="2" t="n">
        <v>44685</v>
      </c>
      <c r="G822" s="1" t="n"/>
    </row>
    <row r="823">
      <c r="A823" s="6" t="n">
        <v>451249</v>
      </c>
      <c r="B823" s="6" t="inlineStr">
        <is>
          <t>CARLO ROSSI MERLOT CALIFORNIA</t>
        </is>
      </c>
      <c r="C823" s="7">
        <f>VLOOKUP(A823,SizeData!A$2:B$3839,2,FALSE)</f>
        <v/>
      </c>
      <c r="D823" s="6" t="n">
        <v>1</v>
      </c>
      <c r="E823" s="6" t="inlineStr">
        <is>
          <t>R1727399</t>
        </is>
      </c>
      <c r="F823" s="2" t="n">
        <v>44786</v>
      </c>
      <c r="G823" s="1" t="n"/>
    </row>
    <row r="824">
      <c r="A824" s="26" t="n">
        <v>451249</v>
      </c>
      <c r="B824" s="26" t="inlineStr">
        <is>
          <t>CARLO ROSSI MERLOT CALIFORNIA</t>
        </is>
      </c>
      <c r="C824" s="75">
        <f>VLOOKUP(A824,SizeData!A$2:B$3839,2,FALSE)</f>
        <v/>
      </c>
      <c r="D824" s="26" t="n">
        <v>1</v>
      </c>
      <c r="E824" s="26" t="inlineStr">
        <is>
          <t>R1894250</t>
        </is>
      </c>
      <c r="F824" s="61" t="n">
        <v>44902</v>
      </c>
      <c r="G824" s="62" t="n"/>
    </row>
    <row r="825">
      <c r="A825" s="6" t="n">
        <v>882307</v>
      </c>
      <c r="B825" s="6" t="inlineStr">
        <is>
          <t>CARLO ROSSI MOSCATO SANGRIA</t>
        </is>
      </c>
      <c r="C825" s="7">
        <f>VLOOKUP(A825,SizeData!A$2:B$3839,2,FALSE)</f>
        <v/>
      </c>
      <c r="D825" s="6" t="n">
        <v>3</v>
      </c>
      <c r="E825" s="6" t="inlineStr">
        <is>
          <t>R1412656</t>
        </is>
      </c>
      <c r="F825" s="2" t="n">
        <v>44574</v>
      </c>
      <c r="G825" s="1" t="n"/>
    </row>
    <row r="826">
      <c r="A826" s="6" t="n">
        <v>882307</v>
      </c>
      <c r="B826" s="6" t="inlineStr">
        <is>
          <t>CARLO ROSSI MOSCATO SANGRIA</t>
        </is>
      </c>
      <c r="C826" s="7">
        <f>VLOOKUP(A826,SizeData!A$2:B$3839,2,FALSE)</f>
        <v/>
      </c>
      <c r="D826" s="6" t="n">
        <v>1</v>
      </c>
      <c r="E826" s="6" t="inlineStr">
        <is>
          <t>R1425372</t>
        </is>
      </c>
      <c r="F826" s="2" t="n">
        <v>44574</v>
      </c>
      <c r="G826" s="1" t="n"/>
    </row>
    <row r="827">
      <c r="A827" s="6" t="n">
        <v>882307</v>
      </c>
      <c r="B827" s="6" t="inlineStr">
        <is>
          <t>CARLO ROSSI MOSCATO SANGRIA</t>
        </is>
      </c>
      <c r="C827" s="7">
        <f>VLOOKUP(A827,SizeData!A$2:B$3839,2,FALSE)</f>
        <v/>
      </c>
      <c r="D827" s="6" t="n">
        <v>4</v>
      </c>
      <c r="E827" s="6" t="inlineStr">
        <is>
          <t>R1453720</t>
        </is>
      </c>
      <c r="F827" s="2" t="n">
        <v>44599</v>
      </c>
      <c r="G827" s="1" t="n"/>
    </row>
    <row r="828">
      <c r="A828" s="6" t="n">
        <v>882307</v>
      </c>
      <c r="B828" s="6" t="inlineStr">
        <is>
          <t>CARLO ROSSI MOSCATO SANGRIA</t>
        </is>
      </c>
      <c r="C828" s="7">
        <f>VLOOKUP(A828,SizeData!A$2:B$3839,2,FALSE)</f>
        <v/>
      </c>
      <c r="D828" s="6" t="n">
        <v>4</v>
      </c>
      <c r="E828" s="6" t="inlineStr">
        <is>
          <t>R1461859</t>
        </is>
      </c>
      <c r="F828" s="2" t="n">
        <v>44606</v>
      </c>
      <c r="G828" s="1" t="n"/>
    </row>
    <row r="829">
      <c r="A829" s="6" t="n">
        <v>882307</v>
      </c>
      <c r="B829" s="6" t="inlineStr">
        <is>
          <t>CARLO ROSSI MOSCATO SANGRIA</t>
        </is>
      </c>
      <c r="C829" s="7">
        <f>VLOOKUP(A829,SizeData!A$2:B$3839,2,FALSE)</f>
        <v/>
      </c>
      <c r="D829" s="6" t="n">
        <v>10</v>
      </c>
      <c r="E829" s="6" t="inlineStr">
        <is>
          <t>R1519562</t>
        </is>
      </c>
      <c r="F829" s="2" t="n">
        <v>44643</v>
      </c>
      <c r="G829" s="1" t="n"/>
    </row>
    <row r="830">
      <c r="A830" s="6" t="n">
        <v>882307</v>
      </c>
      <c r="B830" s="6" t="inlineStr">
        <is>
          <t>CARLO ROSSI MOSCATO SANGRIA</t>
        </is>
      </c>
      <c r="C830" s="7">
        <f>VLOOKUP(A830,SizeData!A$2:B$3839,2,FALSE)</f>
        <v/>
      </c>
      <c r="D830" s="6" t="n">
        <v>4</v>
      </c>
      <c r="E830" s="6" t="inlineStr">
        <is>
          <t>R1625943</t>
        </is>
      </c>
      <c r="F830" s="2" t="n">
        <v>44707</v>
      </c>
      <c r="G830" s="1" t="n"/>
    </row>
    <row r="831">
      <c r="A831" s="6" t="n">
        <v>882307</v>
      </c>
      <c r="B831" s="6" t="inlineStr">
        <is>
          <t>CARLO ROSSI MOSCATO SANGRIA</t>
        </is>
      </c>
      <c r="C831" s="7">
        <f>VLOOKUP(A831,SizeData!A$2:B$3839,2,FALSE)</f>
        <v/>
      </c>
      <c r="D831" s="6" t="n">
        <v>4</v>
      </c>
      <c r="E831" s="6" t="inlineStr">
        <is>
          <t>R1647521</t>
        </is>
      </c>
      <c r="F831" s="2" t="n">
        <v>44723</v>
      </c>
      <c r="G831" s="1" t="n"/>
    </row>
    <row r="832">
      <c r="A832" s="6" t="n">
        <v>882307</v>
      </c>
      <c r="B832" s="6" t="inlineStr">
        <is>
          <t>CARLO ROSSI MOSCATO SANGRIA</t>
        </is>
      </c>
      <c r="C832" s="7">
        <f>VLOOKUP(A832,SizeData!A$2:B$3839,2,FALSE)</f>
        <v/>
      </c>
      <c r="D832" s="6" t="n">
        <v>2</v>
      </c>
      <c r="E832" s="6" t="inlineStr">
        <is>
          <t>R1660842</t>
        </is>
      </c>
      <c r="F832" s="2" t="n">
        <v>44732</v>
      </c>
      <c r="G832" s="1" t="n"/>
    </row>
    <row r="833">
      <c r="A833" s="6" t="n">
        <v>882307</v>
      </c>
      <c r="B833" s="6" t="inlineStr">
        <is>
          <t>CARLO ROSSI MOSCATO SANGRIA</t>
        </is>
      </c>
      <c r="C833" s="7">
        <f>VLOOKUP(A833,SizeData!A$2:B$3839,2,FALSE)</f>
        <v/>
      </c>
      <c r="D833" s="6" t="n">
        <v>4</v>
      </c>
      <c r="E833" s="6" t="inlineStr">
        <is>
          <t>R1712710</t>
        </is>
      </c>
      <c r="F833" s="2" t="n">
        <v>44772</v>
      </c>
      <c r="G833" s="1" t="n"/>
    </row>
    <row r="834">
      <c r="A834" s="6" t="n">
        <v>882307</v>
      </c>
      <c r="B834" s="6" t="inlineStr">
        <is>
          <t>CARLO ROSSI MOSCATO SANGRIA</t>
        </is>
      </c>
      <c r="C834" s="7">
        <f>VLOOKUP(A834,SizeData!A$2:B$3839,2,FALSE)</f>
        <v/>
      </c>
      <c r="D834" s="6" t="n">
        <v>1</v>
      </c>
      <c r="E834" s="6" t="inlineStr">
        <is>
          <t>R1762971</t>
        </is>
      </c>
      <c r="F834" s="2" t="n">
        <v>44814</v>
      </c>
      <c r="G834" s="1" t="n"/>
    </row>
    <row r="835">
      <c r="A835" s="6" t="n">
        <v>882307</v>
      </c>
      <c r="B835" s="6" t="inlineStr">
        <is>
          <t>CARLO ROSSI MOSCATO SANGRIA</t>
        </is>
      </c>
      <c r="C835" s="7">
        <f>VLOOKUP(A835,SizeData!A$2:B$3839,2,FALSE)</f>
        <v/>
      </c>
      <c r="D835" s="6" t="n">
        <v>2</v>
      </c>
      <c r="E835" s="6" t="inlineStr">
        <is>
          <t>R1784903</t>
        </is>
      </c>
      <c r="F835" s="2" t="n">
        <v>44828</v>
      </c>
      <c r="G835" s="1" t="n"/>
    </row>
    <row r="836">
      <c r="A836" s="6" t="n">
        <v>882307</v>
      </c>
      <c r="B836" s="6" t="inlineStr">
        <is>
          <t>CARLO ROSSI MOSCATO SANGRIA</t>
        </is>
      </c>
      <c r="C836" s="7">
        <f>VLOOKUP(A836,SizeData!A$2:B$3839,2,FALSE)</f>
        <v/>
      </c>
      <c r="D836" s="6" t="n">
        <v>1</v>
      </c>
      <c r="E836" s="6" t="inlineStr">
        <is>
          <t>R1820979</t>
        </is>
      </c>
      <c r="F836" s="2" t="n">
        <v>44849</v>
      </c>
      <c r="G836" s="1" t="n"/>
    </row>
    <row r="837">
      <c r="A837" s="6" t="n">
        <v>882307</v>
      </c>
      <c r="B837" s="6" t="inlineStr">
        <is>
          <t>CARLO ROSSI MOSCATO SANGRIA</t>
        </is>
      </c>
      <c r="C837" s="7">
        <f>VLOOKUP(A837,SizeData!A$2:B$3839,2,FALSE)</f>
        <v/>
      </c>
      <c r="D837" s="6" t="n">
        <v>2</v>
      </c>
      <c r="E837" s="6" t="inlineStr">
        <is>
          <t>R1818650</t>
        </is>
      </c>
      <c r="F837" s="2" t="n">
        <v>44856</v>
      </c>
      <c r="G837" s="1" t="n"/>
    </row>
    <row r="838">
      <c r="A838" s="26" t="n">
        <v>882307</v>
      </c>
      <c r="B838" s="26" t="inlineStr">
        <is>
          <t>CARLO ROSSI MOSCATO SANGRIA</t>
        </is>
      </c>
      <c r="C838" s="75">
        <f>VLOOKUP(A838,SizeData!A$2:B$3839,2,FALSE)</f>
        <v/>
      </c>
      <c r="D838" s="26" t="n">
        <v>1</v>
      </c>
      <c r="E838" s="26" t="inlineStr">
        <is>
          <t>R1858355</t>
        </is>
      </c>
      <c r="F838" s="61" t="n">
        <v>44880</v>
      </c>
      <c r="G838" s="62" t="n"/>
    </row>
    <row r="839">
      <c r="A839" s="6" t="n">
        <v>882307</v>
      </c>
      <c r="B839" s="6" t="inlineStr">
        <is>
          <t>CARLO ROSSI MOSCATO SANGRIA</t>
        </is>
      </c>
      <c r="C839" s="7">
        <f>VLOOKUP(A839,SizeData!A$2:B$3839,2,FALSE)</f>
        <v/>
      </c>
      <c r="D839" s="6" t="n">
        <v>3</v>
      </c>
      <c r="E839" s="6" t="inlineStr">
        <is>
          <t>R1894250</t>
        </is>
      </c>
      <c r="F839" s="2" t="n">
        <v>44902</v>
      </c>
      <c r="G839" s="1" t="n"/>
    </row>
    <row r="840">
      <c r="A840" s="6" t="n">
        <v>882328</v>
      </c>
      <c r="B840" s="6" t="inlineStr">
        <is>
          <t>CARLO ROSSI PEACH SANGRIA</t>
        </is>
      </c>
      <c r="C840" s="7">
        <f>VLOOKUP(A840,SizeData!A$2:B$3839,2,FALSE)</f>
        <v/>
      </c>
      <c r="D840" s="6" t="n">
        <v>5</v>
      </c>
      <c r="E840" s="6" t="inlineStr">
        <is>
          <t>R1426022</t>
        </is>
      </c>
      <c r="F840" s="2" t="n">
        <v>44574</v>
      </c>
      <c r="G840" s="1" t="n"/>
    </row>
    <row r="841">
      <c r="A841" s="6" t="n">
        <v>882328</v>
      </c>
      <c r="B841" s="6" t="inlineStr">
        <is>
          <t>CARLO ROSSI PEACH SANGRIA</t>
        </is>
      </c>
      <c r="C841" s="7">
        <f>VLOOKUP(A841,SizeData!A$2:B$3839,2,FALSE)</f>
        <v/>
      </c>
      <c r="D841" s="6" t="n">
        <v>2</v>
      </c>
      <c r="E841" s="6" t="inlineStr">
        <is>
          <t>R1418605</t>
        </is>
      </c>
      <c r="F841" s="2" t="n">
        <v>44576</v>
      </c>
      <c r="G841" s="1" t="n"/>
    </row>
    <row r="842">
      <c r="A842" s="6" t="n">
        <v>882328</v>
      </c>
      <c r="B842" s="6" t="inlineStr">
        <is>
          <t>CARLO ROSSI PEACH SANGRIA</t>
        </is>
      </c>
      <c r="C842" s="7">
        <f>VLOOKUP(A842,SizeData!A$2:B$3839,2,FALSE)</f>
        <v/>
      </c>
      <c r="D842" s="6" t="n">
        <v>2</v>
      </c>
      <c r="E842" s="6" t="inlineStr">
        <is>
          <t>R1437002</t>
        </is>
      </c>
      <c r="F842" s="2" t="n">
        <v>44586</v>
      </c>
      <c r="G842" s="1" t="n"/>
    </row>
    <row r="843">
      <c r="A843" s="6" t="n">
        <v>882328</v>
      </c>
      <c r="B843" s="6" t="inlineStr">
        <is>
          <t>CARLO ROSSI PEACH SANGRIA</t>
        </is>
      </c>
      <c r="C843" s="7">
        <f>VLOOKUP(A843,SizeData!A$2:B$3839,2,FALSE)</f>
        <v/>
      </c>
      <c r="D843" s="6" t="n">
        <v>2</v>
      </c>
      <c r="E843" s="6" t="inlineStr">
        <is>
          <t>R1452246</t>
        </is>
      </c>
      <c r="F843" s="2" t="n">
        <v>44600</v>
      </c>
      <c r="G843" s="1" t="n"/>
    </row>
    <row r="844">
      <c r="A844" s="6" t="n">
        <v>882328</v>
      </c>
      <c r="B844" s="6" t="inlineStr">
        <is>
          <t>CARLO ROSSI PEACH SANGRIA</t>
        </is>
      </c>
      <c r="C844" s="7">
        <f>VLOOKUP(A844,SizeData!A$2:B$3839,2,FALSE)</f>
        <v/>
      </c>
      <c r="D844" s="6" t="n">
        <v>5</v>
      </c>
      <c r="E844" s="6" t="inlineStr">
        <is>
          <t>R1461859</t>
        </is>
      </c>
      <c r="F844" s="2" t="n">
        <v>44606</v>
      </c>
      <c r="G844" s="1" t="n"/>
    </row>
    <row r="845">
      <c r="A845" s="6" t="n">
        <v>882328</v>
      </c>
      <c r="B845" s="6" t="inlineStr">
        <is>
          <t>CARLO ROSSI PEACH SANGRIA</t>
        </is>
      </c>
      <c r="C845" s="7">
        <f>VLOOKUP(A845,SizeData!A$2:B$3839,2,FALSE)</f>
        <v/>
      </c>
      <c r="D845" s="6" t="n">
        <v>2</v>
      </c>
      <c r="E845" s="6" t="inlineStr">
        <is>
          <t>R1471479</t>
        </is>
      </c>
      <c r="F845" s="2" t="n">
        <v>44614</v>
      </c>
      <c r="G845" s="1" t="n"/>
    </row>
    <row r="846">
      <c r="A846" s="6" t="n">
        <v>882328</v>
      </c>
      <c r="B846" s="6" t="inlineStr">
        <is>
          <t>CARLO ROSSI PEACH SANGRIA</t>
        </is>
      </c>
      <c r="C846" s="7">
        <f>VLOOKUP(A846,SizeData!A$2:B$3839,2,FALSE)</f>
        <v/>
      </c>
      <c r="D846" s="6" t="n">
        <v>7</v>
      </c>
      <c r="E846" s="6" t="inlineStr">
        <is>
          <t>R1537124</t>
        </is>
      </c>
      <c r="F846" s="2" t="n">
        <v>44646</v>
      </c>
      <c r="G846" s="1" t="n"/>
    </row>
    <row r="847">
      <c r="A847" s="6" t="n">
        <v>882328</v>
      </c>
      <c r="B847" s="6" t="inlineStr">
        <is>
          <t>CARLO ROSSI PEACH SANGRIA</t>
        </is>
      </c>
      <c r="C847" s="7">
        <f>VLOOKUP(A847,SizeData!A$2:B$3839,2,FALSE)</f>
        <v/>
      </c>
      <c r="D847" s="6" t="n">
        <v>5</v>
      </c>
      <c r="E847" s="6" t="inlineStr">
        <is>
          <t>R1565902</t>
        </is>
      </c>
      <c r="F847" s="2" t="n">
        <v>44658</v>
      </c>
      <c r="G847" s="1" t="n"/>
    </row>
    <row r="848">
      <c r="A848" s="6" t="n">
        <v>882328</v>
      </c>
      <c r="B848" s="6" t="inlineStr">
        <is>
          <t>CARLO ROSSI PEACH SANGRIA</t>
        </is>
      </c>
      <c r="C848" s="7">
        <f>VLOOKUP(A848,SizeData!A$2:B$3839,2,FALSE)</f>
        <v/>
      </c>
      <c r="D848" s="6" t="n">
        <v>5</v>
      </c>
      <c r="E848" s="6" t="inlineStr">
        <is>
          <t>R1606911</t>
        </is>
      </c>
      <c r="F848" s="2" t="n">
        <v>44688</v>
      </c>
      <c r="G848" s="1" t="n"/>
    </row>
    <row r="849">
      <c r="A849" s="6" t="n">
        <v>882328</v>
      </c>
      <c r="B849" s="6" t="inlineStr">
        <is>
          <t>CARLO ROSSI PEACH SANGRIA</t>
        </is>
      </c>
      <c r="C849" s="7">
        <f>VLOOKUP(A849,SizeData!A$2:B$3839,2,FALSE)</f>
        <v/>
      </c>
      <c r="D849" s="6" t="n">
        <v>2</v>
      </c>
      <c r="E849" s="6" t="inlineStr">
        <is>
          <t>R1625943</t>
        </is>
      </c>
      <c r="F849" s="2" t="n">
        <v>44707</v>
      </c>
      <c r="G849" s="1" t="n"/>
    </row>
    <row r="850">
      <c r="A850" s="6" t="n">
        <v>882328</v>
      </c>
      <c r="B850" s="6" t="inlineStr">
        <is>
          <t>CARLO ROSSI PEACH SANGRIA</t>
        </is>
      </c>
      <c r="C850" s="7">
        <f>VLOOKUP(A850,SizeData!A$2:B$3839,2,FALSE)</f>
        <v/>
      </c>
      <c r="D850" s="6" t="n">
        <v>3</v>
      </c>
      <c r="E850" s="6" t="inlineStr">
        <is>
          <t>R1645015</t>
        </is>
      </c>
      <c r="F850" s="2" t="n">
        <v>44712</v>
      </c>
      <c r="G850" s="1" t="n"/>
    </row>
    <row r="851">
      <c r="A851" s="6" t="n">
        <v>882328</v>
      </c>
      <c r="B851" s="6" t="inlineStr">
        <is>
          <t>CARLO ROSSI PEACH SANGRIA</t>
        </is>
      </c>
      <c r="C851" s="7">
        <f>VLOOKUP(A851,SizeData!A$2:B$3839,2,FALSE)</f>
        <v/>
      </c>
      <c r="D851" s="6" t="n">
        <v>2</v>
      </c>
      <c r="E851" s="6" t="inlineStr">
        <is>
          <t>R1660842</t>
        </is>
      </c>
      <c r="F851" s="2" t="n">
        <v>44732</v>
      </c>
      <c r="G851" s="1" t="n"/>
    </row>
    <row r="852">
      <c r="A852" s="39" t="n">
        <v>882328</v>
      </c>
      <c r="B852" s="39" t="inlineStr">
        <is>
          <t>CARLO ROSSI PEACH SANGRIA</t>
        </is>
      </c>
      <c r="C852" s="7">
        <f>VLOOKUP(A852,SizeData!A$2:B$3839,2,FALSE)</f>
        <v/>
      </c>
      <c r="D852" s="39" t="n">
        <v>6</v>
      </c>
      <c r="E852" s="39" t="inlineStr">
        <is>
          <t>R1667718</t>
        </is>
      </c>
      <c r="F852" s="40" t="n">
        <v>44739</v>
      </c>
      <c r="G852" s="41" t="n"/>
    </row>
    <row r="853">
      <c r="A853" s="6" t="n">
        <v>882328</v>
      </c>
      <c r="B853" s="6" t="inlineStr">
        <is>
          <t>CARLO ROSSI PEACH SANGRIA</t>
        </is>
      </c>
      <c r="C853" s="7">
        <f>VLOOKUP(A853,SizeData!A$2:B$3839,2,FALSE)</f>
        <v/>
      </c>
      <c r="D853" s="6" t="n">
        <v>2</v>
      </c>
      <c r="E853" s="6" t="inlineStr">
        <is>
          <t>R1727399</t>
        </is>
      </c>
      <c r="F853" s="2" t="n">
        <v>44786</v>
      </c>
      <c r="G853" s="1" t="n"/>
    </row>
    <row r="854">
      <c r="A854" s="6" t="n">
        <v>882328</v>
      </c>
      <c r="B854" s="6" t="inlineStr">
        <is>
          <t>CARLO ROSSI PEACH SANGRIA</t>
        </is>
      </c>
      <c r="C854" s="7">
        <f>VLOOKUP(A854,SizeData!A$2:B$3839,2,FALSE)</f>
        <v/>
      </c>
      <c r="D854" s="6" t="n">
        <v>2</v>
      </c>
      <c r="E854" s="6" t="inlineStr">
        <is>
          <t>R1739883</t>
        </is>
      </c>
      <c r="F854" s="2" t="n">
        <v>44800</v>
      </c>
      <c r="G854" s="1" t="n"/>
    </row>
    <row r="855">
      <c r="A855" s="6" t="n">
        <v>882328</v>
      </c>
      <c r="B855" s="6" t="inlineStr">
        <is>
          <t>CARLO ROSSI PEACH SANGRIA</t>
        </is>
      </c>
      <c r="C855" s="7">
        <f>VLOOKUP(A855,SizeData!A$2:B$3839,2,FALSE)</f>
        <v/>
      </c>
      <c r="D855" s="6" t="n">
        <v>1</v>
      </c>
      <c r="E855" s="6" t="inlineStr">
        <is>
          <t>R1762606</t>
        </is>
      </c>
      <c r="F855" s="2" t="n">
        <v>44809</v>
      </c>
      <c r="G855" s="1" t="n"/>
    </row>
    <row r="856">
      <c r="A856" s="6" t="n">
        <v>882328</v>
      </c>
      <c r="B856" s="6" t="inlineStr">
        <is>
          <t>CARLO ROSSI PEACH SANGRIA</t>
        </is>
      </c>
      <c r="C856" s="7">
        <f>VLOOKUP(A856,SizeData!A$2:B$3839,2,FALSE)</f>
        <v/>
      </c>
      <c r="D856" s="6" t="n">
        <v>2</v>
      </c>
      <c r="E856" s="6" t="inlineStr">
        <is>
          <t>R1763684</t>
        </is>
      </c>
      <c r="F856" s="2" t="n">
        <v>44821</v>
      </c>
      <c r="G856" s="1" t="n"/>
    </row>
    <row r="857">
      <c r="A857" s="6" t="n">
        <v>882328</v>
      </c>
      <c r="B857" s="6" t="inlineStr">
        <is>
          <t>CARLO ROSSI PEACH SANGRIA</t>
        </is>
      </c>
      <c r="C857" s="7">
        <f>VLOOKUP(A857,SizeData!A$2:B$3839,2,FALSE)</f>
        <v/>
      </c>
      <c r="D857" s="6" t="n">
        <v>2</v>
      </c>
      <c r="E857" s="6" t="inlineStr">
        <is>
          <t>R1781063</t>
        </is>
      </c>
      <c r="F857" s="2" t="n">
        <v>44823</v>
      </c>
      <c r="G857" s="1" t="n"/>
    </row>
    <row r="858">
      <c r="A858" s="6" t="n">
        <v>882328</v>
      </c>
      <c r="B858" s="6" t="inlineStr">
        <is>
          <t>CARLO ROSSI PEACH SANGRIA</t>
        </is>
      </c>
      <c r="C858" s="7">
        <f>VLOOKUP(A858,SizeData!A$2:B$3839,2,FALSE)</f>
        <v/>
      </c>
      <c r="D858" s="6" t="n">
        <v>2</v>
      </c>
      <c r="E858" s="6" t="inlineStr">
        <is>
          <t>R1820979</t>
        </is>
      </c>
      <c r="F858" s="2" t="n">
        <v>44849</v>
      </c>
      <c r="G858" s="1" t="n"/>
    </row>
    <row r="859">
      <c r="A859" s="6" t="n">
        <v>882328</v>
      </c>
      <c r="B859" s="6" t="inlineStr">
        <is>
          <t>CARLO ROSSI PEACH SANGRIA</t>
        </is>
      </c>
      <c r="C859" s="7">
        <f>VLOOKUP(A859,SizeData!A$2:B$3839,2,FALSE)</f>
        <v/>
      </c>
      <c r="D859" s="6" t="n">
        <v>1</v>
      </c>
      <c r="E859" s="6" t="inlineStr">
        <is>
          <t>R1834591</t>
        </is>
      </c>
      <c r="F859" s="2" t="n">
        <v>44863</v>
      </c>
      <c r="G859" s="1" t="n"/>
    </row>
    <row r="860">
      <c r="A860" s="6" t="n">
        <v>882328</v>
      </c>
      <c r="B860" s="6" t="inlineStr">
        <is>
          <t>CARLO ROSSI PEACH SANGRIA</t>
        </is>
      </c>
      <c r="C860" s="7">
        <f>VLOOKUP(A860,SizeData!A$2:B$3839,2,FALSE)</f>
        <v/>
      </c>
      <c r="D860" s="6" t="n">
        <v>2</v>
      </c>
      <c r="E860" s="6" t="inlineStr">
        <is>
          <t>R1858355</t>
        </is>
      </c>
      <c r="F860" s="2" t="n">
        <v>44880</v>
      </c>
      <c r="G860" s="1" t="n"/>
    </row>
    <row r="861">
      <c r="A861" s="6" t="n">
        <v>882328</v>
      </c>
      <c r="B861" s="6" t="inlineStr">
        <is>
          <t>CARLO ROSSI PEACH SANGRIA</t>
        </is>
      </c>
      <c r="C861" s="7">
        <f>VLOOKUP(A861,SizeData!A$2:B$3839,2,FALSE)</f>
        <v/>
      </c>
      <c r="D861" s="6" t="n">
        <v>2</v>
      </c>
      <c r="E861" s="6" t="inlineStr">
        <is>
          <t>R1894250</t>
        </is>
      </c>
      <c r="F861" s="2" t="n">
        <v>44902</v>
      </c>
      <c r="G861" s="1" t="n"/>
    </row>
    <row r="862">
      <c r="A862" s="6" t="n">
        <v>882322</v>
      </c>
      <c r="B862" s="6" t="inlineStr">
        <is>
          <t>CARLO ROSSI PINEAPPLE SANGRIA</t>
        </is>
      </c>
      <c r="C862" s="7">
        <f>VLOOKUP(A862,SizeData!A$2:B$3839,2,FALSE)</f>
        <v/>
      </c>
      <c r="D862" s="6" t="n">
        <v>4</v>
      </c>
      <c r="E862" s="6" t="inlineStr">
        <is>
          <t>R1418605</t>
        </is>
      </c>
      <c r="F862" s="2" t="n">
        <v>44576</v>
      </c>
      <c r="G862" s="1" t="n"/>
    </row>
    <row r="863">
      <c r="A863" s="6" t="n">
        <v>882322</v>
      </c>
      <c r="B863" s="6" t="inlineStr">
        <is>
          <t>CARLO ROSSI PINEAPPLE SANGRIA</t>
        </is>
      </c>
      <c r="C863" s="7">
        <f>VLOOKUP(A863,SizeData!A$2:B$3839,2,FALSE)</f>
        <v/>
      </c>
      <c r="D863" s="6" t="n">
        <v>3</v>
      </c>
      <c r="E863" s="6" t="inlineStr">
        <is>
          <t>R1453720</t>
        </is>
      </c>
      <c r="F863" s="2" t="n">
        <v>44599</v>
      </c>
      <c r="G863" s="1" t="n"/>
    </row>
    <row r="864">
      <c r="A864" s="6" t="n">
        <v>882322</v>
      </c>
      <c r="B864" s="6" t="inlineStr">
        <is>
          <t>CARLO ROSSI PINEAPPLE SANGRIA</t>
        </is>
      </c>
      <c r="C864" s="7">
        <f>VLOOKUP(A864,SizeData!A$2:B$3839,2,FALSE)</f>
        <v/>
      </c>
      <c r="D864" s="6" t="n">
        <v>2</v>
      </c>
      <c r="E864" s="6" t="inlineStr">
        <is>
          <t>R1452246</t>
        </is>
      </c>
      <c r="F864" s="2" t="n">
        <v>44600</v>
      </c>
      <c r="G864" s="1" t="n"/>
    </row>
    <row r="865">
      <c r="A865" s="6" t="n">
        <v>882322</v>
      </c>
      <c r="B865" s="6" t="inlineStr">
        <is>
          <t>CARLO ROSSI PINEAPPLE SANGRIA</t>
        </is>
      </c>
      <c r="C865" s="7">
        <f>VLOOKUP(A865,SizeData!A$2:B$3839,2,FALSE)</f>
        <v/>
      </c>
      <c r="D865" s="6" t="n">
        <v>4</v>
      </c>
      <c r="E865" s="6" t="inlineStr">
        <is>
          <t>R1552114</t>
        </is>
      </c>
      <c r="F865" s="2" t="n">
        <v>44653</v>
      </c>
      <c r="G865" s="1" t="n"/>
    </row>
    <row r="866">
      <c r="A866" s="6" t="n">
        <v>882322</v>
      </c>
      <c r="B866" s="6" t="inlineStr">
        <is>
          <t>CARLO ROSSI PINEAPPLE SANGRIA</t>
        </is>
      </c>
      <c r="C866" s="7">
        <f>VLOOKUP(A866,SizeData!A$2:B$3839,2,FALSE)</f>
        <v/>
      </c>
      <c r="D866" s="6" t="n">
        <v>3</v>
      </c>
      <c r="E866" s="6" t="inlineStr">
        <is>
          <t>R1566604</t>
        </is>
      </c>
      <c r="F866" s="2" t="n">
        <v>44660</v>
      </c>
      <c r="G866" s="1" t="n"/>
    </row>
    <row r="867">
      <c r="A867" s="6" t="n">
        <v>882322</v>
      </c>
      <c r="B867" s="6" t="inlineStr">
        <is>
          <t>CARLO ROSSI PINEAPPLE SANGRIA</t>
        </is>
      </c>
      <c r="C867" s="7">
        <f>VLOOKUP(A867,SizeData!A$2:B$3839,2,FALSE)</f>
        <v/>
      </c>
      <c r="D867" s="6" t="n">
        <v>2</v>
      </c>
      <c r="E867" s="6" t="inlineStr">
        <is>
          <t>R1645266</t>
        </is>
      </c>
      <c r="F867" s="2" t="n">
        <v>44718</v>
      </c>
      <c r="G867" s="1" t="n"/>
    </row>
    <row r="868">
      <c r="A868" s="6" t="n">
        <v>882322</v>
      </c>
      <c r="B868" s="6" t="inlineStr">
        <is>
          <t>CARLO ROSSI PINEAPPLE SANGRIA</t>
        </is>
      </c>
      <c r="C868" s="7">
        <f>VLOOKUP(A868,SizeData!A$2:B$3839,2,FALSE)</f>
        <v/>
      </c>
      <c r="D868" s="6" t="n">
        <v>2</v>
      </c>
      <c r="E868" s="6" t="inlineStr">
        <is>
          <t>R1781063</t>
        </is>
      </c>
      <c r="F868" s="2" t="n">
        <v>44823</v>
      </c>
      <c r="G868" s="1" t="n"/>
    </row>
    <row r="869">
      <c r="A869" s="6" t="n">
        <v>882322</v>
      </c>
      <c r="B869" s="6" t="inlineStr">
        <is>
          <t>CARLO ROSSI PINEAPPLE SANGRIA</t>
        </is>
      </c>
      <c r="C869" s="7">
        <f>VLOOKUP(A869,SizeData!A$2:B$3839,2,FALSE)</f>
        <v/>
      </c>
      <c r="D869" s="6" t="n">
        <v>1</v>
      </c>
      <c r="E869" s="6" t="inlineStr">
        <is>
          <t>R1825803</t>
        </is>
      </c>
      <c r="F869" s="2" t="n">
        <v>44847</v>
      </c>
      <c r="G869" s="1" t="n"/>
    </row>
    <row r="870">
      <c r="A870" s="6" t="n">
        <v>882322</v>
      </c>
      <c r="B870" s="6" t="inlineStr">
        <is>
          <t>CARLO ROSSI PINEAPPLE SANGRIA</t>
        </is>
      </c>
      <c r="C870" s="7">
        <f>VLOOKUP(A870,SizeData!A$2:B$3839,2,FALSE)</f>
        <v/>
      </c>
      <c r="D870" s="6" t="n">
        <v>1</v>
      </c>
      <c r="E870" s="6" t="inlineStr">
        <is>
          <t>R1820979</t>
        </is>
      </c>
      <c r="F870" s="2" t="n">
        <v>44849</v>
      </c>
      <c r="G870" s="1" t="n"/>
    </row>
    <row r="871">
      <c r="A871" s="6" t="n">
        <v>882322</v>
      </c>
      <c r="B871" s="6" t="inlineStr">
        <is>
          <t>CARLO ROSSI PINEAPPLE SANGRIA</t>
        </is>
      </c>
      <c r="C871" s="7">
        <f>VLOOKUP(A871,SizeData!A$2:B$3839,2,FALSE)</f>
        <v/>
      </c>
      <c r="D871" s="6" t="n">
        <v>2</v>
      </c>
      <c r="E871" s="6" t="inlineStr">
        <is>
          <t>R1849692</t>
        </is>
      </c>
      <c r="F871" s="2" t="n">
        <v>44870</v>
      </c>
      <c r="G871" s="1" t="n"/>
    </row>
    <row r="872">
      <c r="A872" s="6" t="n">
        <v>882322</v>
      </c>
      <c r="B872" s="6" t="inlineStr">
        <is>
          <t>CARLO ROSSI PINEAPPLE SANGRIA</t>
        </is>
      </c>
      <c r="C872" s="7">
        <f>VLOOKUP(A872,SizeData!A$2:B$3839,2,FALSE)</f>
        <v/>
      </c>
      <c r="D872" s="6" t="n">
        <v>1</v>
      </c>
      <c r="E872" s="6" t="inlineStr">
        <is>
          <t>R1894250</t>
        </is>
      </c>
      <c r="F872" s="2" t="n">
        <v>44902</v>
      </c>
      <c r="G872" s="1" t="n"/>
    </row>
    <row r="873">
      <c r="A873" s="6" t="n">
        <v>882319</v>
      </c>
      <c r="B873" s="6" t="inlineStr">
        <is>
          <t>CARLO ROSSI PINK MOSCATO SANGRIA</t>
        </is>
      </c>
      <c r="C873" s="7">
        <f>VLOOKUP(A873,SizeData!A$2:B$3839,2,FALSE)</f>
        <v/>
      </c>
      <c r="D873" s="6" t="n">
        <v>3</v>
      </c>
      <c r="E873" s="6" t="inlineStr">
        <is>
          <t>R1376605</t>
        </is>
      </c>
      <c r="F873" s="2" t="n">
        <v>44544</v>
      </c>
      <c r="G873" s="1" t="n"/>
    </row>
    <row r="874">
      <c r="A874" s="6" t="n">
        <v>882319</v>
      </c>
      <c r="B874" s="6" t="inlineStr">
        <is>
          <t>CARLO ROSSI PINK MOSCATO SANGRIA</t>
        </is>
      </c>
      <c r="C874" s="7">
        <f>VLOOKUP(A874,SizeData!A$2:B$3839,2,FALSE)</f>
        <v/>
      </c>
      <c r="D874" s="6" t="n">
        <v>1</v>
      </c>
      <c r="E874" s="6" t="inlineStr">
        <is>
          <t>R1504703</t>
        </is>
      </c>
      <c r="F874" s="2" t="n">
        <v>44632</v>
      </c>
      <c r="G874" s="1" t="n"/>
    </row>
    <row r="875">
      <c r="A875" s="6" t="n">
        <v>882319</v>
      </c>
      <c r="B875" s="6" t="inlineStr">
        <is>
          <t>CARLO ROSSI PINK MOSCATO SANGRIA</t>
        </is>
      </c>
      <c r="C875" s="7">
        <f>VLOOKUP(A875,SizeData!A$2:B$3839,2,FALSE)</f>
        <v/>
      </c>
      <c r="D875" s="6" t="n">
        <v>2</v>
      </c>
      <c r="E875" s="6" t="inlineStr">
        <is>
          <t>R1527957</t>
        </is>
      </c>
      <c r="F875" s="2" t="n">
        <v>44644</v>
      </c>
      <c r="G875" s="1" t="n"/>
    </row>
    <row r="876">
      <c r="A876" s="6" t="n">
        <v>882319</v>
      </c>
      <c r="B876" s="6" t="inlineStr">
        <is>
          <t>CARLO ROSSI PINK MOSCATO SANGRIA</t>
        </is>
      </c>
      <c r="C876" s="7">
        <f>VLOOKUP(A876,SizeData!A$2:B$3839,2,FALSE)</f>
        <v/>
      </c>
      <c r="D876" s="6" t="n">
        <v>2</v>
      </c>
      <c r="E876" s="6" t="inlineStr">
        <is>
          <t>R1566604</t>
        </is>
      </c>
      <c r="F876" s="2" t="n">
        <v>44660</v>
      </c>
      <c r="G876" s="1" t="n"/>
    </row>
    <row r="877">
      <c r="A877" s="6" t="n">
        <v>882319</v>
      </c>
      <c r="B877" s="6" t="inlineStr">
        <is>
          <t>CARLO ROSSI PINK MOSCATO SANGRIA</t>
        </is>
      </c>
      <c r="C877" s="7">
        <f>VLOOKUP(A877,SizeData!A$2:B$3839,2,FALSE)</f>
        <v/>
      </c>
      <c r="D877" s="6" t="n">
        <v>1</v>
      </c>
      <c r="E877" s="6" t="inlineStr">
        <is>
          <t>R1625943</t>
        </is>
      </c>
      <c r="F877" s="2" t="n">
        <v>44707</v>
      </c>
      <c r="G877" s="1" t="n"/>
    </row>
    <row r="878">
      <c r="A878" s="6" t="n">
        <v>882319</v>
      </c>
      <c r="B878" s="6" t="inlineStr">
        <is>
          <t>CARLO ROSSI PINK MOSCATO SANGRIA</t>
        </is>
      </c>
      <c r="C878" s="7">
        <f>VLOOKUP(A878,SizeData!A$2:B$3839,2,FALSE)</f>
        <v/>
      </c>
      <c r="D878" s="6" t="n">
        <v>2</v>
      </c>
      <c r="E878" s="6" t="inlineStr">
        <is>
          <t>R1695763</t>
        </is>
      </c>
      <c r="F878" s="2" t="n">
        <v>44756</v>
      </c>
      <c r="G878" s="1" t="n"/>
    </row>
    <row r="879">
      <c r="A879" s="6" t="n">
        <v>882319</v>
      </c>
      <c r="B879" s="6" t="inlineStr">
        <is>
          <t>CARLO ROSSI PINK MOSCATO SANGRIA</t>
        </is>
      </c>
      <c r="C879" s="7">
        <f>VLOOKUP(A879,SizeData!A$2:B$3839,2,FALSE)</f>
        <v/>
      </c>
      <c r="D879" s="6" t="n">
        <v>1</v>
      </c>
      <c r="E879" s="6" t="inlineStr">
        <is>
          <t>R1727399</t>
        </is>
      </c>
      <c r="F879" s="2" t="n">
        <v>44786</v>
      </c>
      <c r="G879" s="1" t="n"/>
    </row>
    <row r="880">
      <c r="A880" s="6" t="n">
        <v>882319</v>
      </c>
      <c r="B880" s="6" t="inlineStr">
        <is>
          <t>CARLO ROSSI PINK MOSCATO SANGRIA</t>
        </is>
      </c>
      <c r="C880" s="7">
        <f>VLOOKUP(A880,SizeData!A$2:B$3839,2,FALSE)</f>
        <v/>
      </c>
      <c r="D880" s="6" t="n">
        <v>2</v>
      </c>
      <c r="E880" s="6" t="inlineStr">
        <is>
          <t>R1763684</t>
        </is>
      </c>
      <c r="F880" s="2" t="n">
        <v>44821</v>
      </c>
      <c r="G880" s="1" t="n"/>
    </row>
    <row r="881">
      <c r="A881" s="6" t="n">
        <v>882321</v>
      </c>
      <c r="B881" s="6" t="inlineStr">
        <is>
          <t>CARLO ROSSI PINK MOSCATO SANGRIA</t>
        </is>
      </c>
      <c r="C881" s="7">
        <f>VLOOKUP(A881,SizeData!A$2:B$3839,2,FALSE)</f>
        <v/>
      </c>
      <c r="D881" s="6" t="n">
        <v>1</v>
      </c>
      <c r="E881" s="6" t="inlineStr">
        <is>
          <t>R1418605</t>
        </is>
      </c>
      <c r="F881" s="2" t="n">
        <v>44576</v>
      </c>
      <c r="G881" s="1" t="n"/>
    </row>
    <row r="882">
      <c r="A882" s="6" t="n">
        <v>882321</v>
      </c>
      <c r="B882" s="6" t="inlineStr">
        <is>
          <t>CARLO ROSSI PINK MOSCATO SANGRIA</t>
        </is>
      </c>
      <c r="C882" s="7">
        <f>VLOOKUP(A882,SizeData!A$2:B$3839,2,FALSE)</f>
        <v/>
      </c>
      <c r="D882" s="6" t="n">
        <v>1</v>
      </c>
      <c r="E882" s="6" t="inlineStr">
        <is>
          <t>R1461859</t>
        </is>
      </c>
      <c r="F882" s="2" t="n">
        <v>44606</v>
      </c>
      <c r="G882" s="1" t="n"/>
    </row>
    <row r="883">
      <c r="A883" s="6" t="n">
        <v>882321</v>
      </c>
      <c r="B883" s="6" t="inlineStr">
        <is>
          <t>CARLO ROSSI PINK MOSCATO SANGRIA</t>
        </is>
      </c>
      <c r="C883" s="7">
        <f>VLOOKUP(A883,SizeData!A$2:B$3839,2,FALSE)</f>
        <v/>
      </c>
      <c r="D883" s="6" t="n">
        <v>1</v>
      </c>
      <c r="E883" s="6" t="inlineStr">
        <is>
          <t>R1503957</t>
        </is>
      </c>
      <c r="F883" s="2" t="n">
        <v>44636</v>
      </c>
      <c r="G883" s="1" t="n"/>
    </row>
    <row r="884">
      <c r="A884" s="6" t="n">
        <v>882321</v>
      </c>
      <c r="B884" s="6" t="inlineStr">
        <is>
          <t>CARLO ROSSI PINK MOSCATO SANGRIA</t>
        </is>
      </c>
      <c r="C884" s="7">
        <f>VLOOKUP(A884,SizeData!A$2:B$3839,2,FALSE)</f>
        <v/>
      </c>
      <c r="D884" s="6" t="n">
        <v>1</v>
      </c>
      <c r="E884" s="6" t="inlineStr">
        <is>
          <t>R1503957</t>
        </is>
      </c>
      <c r="F884" s="2" t="n">
        <v>44636</v>
      </c>
      <c r="G884" s="1" t="n"/>
    </row>
    <row r="885">
      <c r="A885" s="6" t="n">
        <v>882321</v>
      </c>
      <c r="B885" s="6" t="inlineStr">
        <is>
          <t>CARLO ROSSI PINK MOSCATO SANGRIA</t>
        </is>
      </c>
      <c r="C885" s="7">
        <f>VLOOKUP(A885,SizeData!A$2:B$3839,2,FALSE)</f>
        <v/>
      </c>
      <c r="D885" s="6" t="n">
        <v>2</v>
      </c>
      <c r="E885" s="6" t="inlineStr">
        <is>
          <t>R1650337</t>
        </is>
      </c>
      <c r="F885" s="2" t="n">
        <v>44719</v>
      </c>
      <c r="G885" s="1" t="n"/>
    </row>
    <row r="886">
      <c r="A886" s="6" t="n">
        <v>882321</v>
      </c>
      <c r="B886" s="6" t="inlineStr">
        <is>
          <t>CARLO ROSSI PINK MOSCATO SANGRIA</t>
        </is>
      </c>
      <c r="C886" s="7">
        <f>VLOOKUP(A886,SizeData!A$2:B$3839,2,FALSE)</f>
        <v/>
      </c>
      <c r="D886" s="6" t="n">
        <v>1</v>
      </c>
      <c r="E886" s="6" t="inlineStr">
        <is>
          <t>R1723520</t>
        </is>
      </c>
      <c r="F886" s="2" t="n">
        <v>44782</v>
      </c>
      <c r="G886" s="1" t="n"/>
    </row>
    <row r="887">
      <c r="A887" s="6" t="n">
        <v>882321</v>
      </c>
      <c r="B887" s="6" t="inlineStr">
        <is>
          <t>CARLO ROSSI PINK MOSCATO SANGRIA</t>
        </is>
      </c>
      <c r="C887" s="7">
        <f>VLOOKUP(A887,SizeData!A$2:B$3839,2,FALSE)</f>
        <v/>
      </c>
      <c r="D887" s="6" t="n">
        <v>2</v>
      </c>
      <c r="E887" s="6" t="inlineStr">
        <is>
          <t>R1746324</t>
        </is>
      </c>
      <c r="F887" s="2" t="n">
        <v>44796</v>
      </c>
      <c r="G887" s="1" t="n"/>
    </row>
    <row r="888">
      <c r="A888" s="6" t="n">
        <v>882321</v>
      </c>
      <c r="B888" s="6" t="inlineStr">
        <is>
          <t>CARLO ROSSI PINK MOSCATO SANGRIA</t>
        </is>
      </c>
      <c r="C888" s="7">
        <f>VLOOKUP(A888,SizeData!A$2:B$3839,2,FALSE)</f>
        <v/>
      </c>
      <c r="D888" s="6" t="n">
        <v>2</v>
      </c>
      <c r="E888" s="6" t="inlineStr">
        <is>
          <t>R1765359</t>
        </is>
      </c>
      <c r="F888" s="2" t="n">
        <v>44810</v>
      </c>
      <c r="G888" s="1" t="n"/>
    </row>
    <row r="889">
      <c r="A889" s="6" t="n">
        <v>647232</v>
      </c>
      <c r="B889" s="6" t="inlineStr">
        <is>
          <t>CARLO ROSSI RESERVE WHITE ZINFANDEL</t>
        </is>
      </c>
      <c r="C889" s="7">
        <f>VLOOKUP(A889,SizeData!A$2:B$3839,2,FALSE)</f>
        <v/>
      </c>
      <c r="D889" s="6" t="n">
        <v>1</v>
      </c>
      <c r="E889" s="6" t="inlineStr">
        <is>
          <t>R1705386</t>
        </is>
      </c>
      <c r="F889" s="2" t="n">
        <v>44762</v>
      </c>
      <c r="G889" s="1" t="n"/>
    </row>
    <row r="890">
      <c r="A890" s="6" t="n">
        <v>882304</v>
      </c>
      <c r="B890" s="6" t="inlineStr">
        <is>
          <t>CARLO ROSSI SANGRIA</t>
        </is>
      </c>
      <c r="C890" s="7">
        <f>VLOOKUP(A890,SizeData!A$2:B$3839,2,FALSE)</f>
        <v/>
      </c>
      <c r="D890" s="6" t="n">
        <v>5</v>
      </c>
      <c r="E890" s="6" t="inlineStr">
        <is>
          <t>R1354778</t>
        </is>
      </c>
      <c r="F890" s="2" t="n">
        <v>44543</v>
      </c>
      <c r="G890" s="1" t="n"/>
    </row>
    <row r="891">
      <c r="A891" s="6" t="n">
        <v>882304</v>
      </c>
      <c r="B891" s="6" t="inlineStr">
        <is>
          <t>CARLO ROSSI SANGRIA</t>
        </is>
      </c>
      <c r="C891" s="7">
        <f>VLOOKUP(A891,SizeData!A$2:B$3839,2,FALSE)</f>
        <v/>
      </c>
      <c r="D891" s="6" t="n">
        <v>1</v>
      </c>
      <c r="E891" s="6" t="inlineStr">
        <is>
          <t>R1354778</t>
        </is>
      </c>
      <c r="F891" s="2" t="n">
        <v>44543</v>
      </c>
      <c r="G891" s="1" t="n"/>
    </row>
    <row r="892">
      <c r="A892" s="6" t="n">
        <v>882304</v>
      </c>
      <c r="B892" s="6" t="inlineStr">
        <is>
          <t>CARLO ROSSI SANGRIA</t>
        </is>
      </c>
      <c r="C892" s="7">
        <f>VLOOKUP(A892,SizeData!A$2:B$3839,2,FALSE)</f>
        <v/>
      </c>
      <c r="D892" s="6" t="n">
        <v>5</v>
      </c>
      <c r="E892" s="6" t="inlineStr">
        <is>
          <t>R1402705</t>
        </is>
      </c>
      <c r="F892" s="2" t="n">
        <v>44562</v>
      </c>
      <c r="G892" s="1" t="n"/>
    </row>
    <row r="893">
      <c r="A893" s="6" t="n">
        <v>882304</v>
      </c>
      <c r="B893" s="6" t="inlineStr">
        <is>
          <t>CARLO ROSSI SANGRIA</t>
        </is>
      </c>
      <c r="C893" s="7">
        <f>VLOOKUP(A893,SizeData!A$2:B$3839,2,FALSE)</f>
        <v/>
      </c>
      <c r="D893" s="6" t="n">
        <v>4</v>
      </c>
      <c r="E893" s="6" t="inlineStr">
        <is>
          <t>R1423276</t>
        </is>
      </c>
      <c r="F893" s="2" t="n">
        <v>44580</v>
      </c>
      <c r="G893" s="1" t="n"/>
    </row>
    <row r="894">
      <c r="A894" s="6" t="n">
        <v>882304</v>
      </c>
      <c r="B894" s="6" t="inlineStr">
        <is>
          <t>CARLO ROSSI SANGRIA</t>
        </is>
      </c>
      <c r="C894" s="7">
        <f>VLOOKUP(A894,SizeData!A$2:B$3839,2,FALSE)</f>
        <v/>
      </c>
      <c r="D894" s="6" t="n">
        <v>10</v>
      </c>
      <c r="E894" s="6" t="inlineStr">
        <is>
          <t>R1434427</t>
        </is>
      </c>
      <c r="F894" s="2" t="n">
        <v>44588</v>
      </c>
      <c r="G894" s="1" t="n"/>
    </row>
    <row r="895">
      <c r="A895" s="6" t="n">
        <v>882304</v>
      </c>
      <c r="B895" s="6" t="inlineStr">
        <is>
          <t>CARLO ROSSI SANGRIA</t>
        </is>
      </c>
      <c r="C895" s="7">
        <f>VLOOKUP(A895,SizeData!A$2:B$3839,2,FALSE)</f>
        <v/>
      </c>
      <c r="D895" s="6" t="n">
        <v>20</v>
      </c>
      <c r="E895" s="6" t="inlineStr">
        <is>
          <t>R1432781</t>
        </is>
      </c>
      <c r="F895" s="2" t="n">
        <v>44592</v>
      </c>
      <c r="G895" s="1" t="n"/>
    </row>
    <row r="896">
      <c r="A896" s="6" t="n">
        <v>882304</v>
      </c>
      <c r="B896" s="6" t="inlineStr">
        <is>
          <t>CARLO ROSSI SANGRIA</t>
        </is>
      </c>
      <c r="C896" s="7">
        <f>VLOOKUP(A896,SizeData!A$2:B$3839,2,FALSE)</f>
        <v/>
      </c>
      <c r="D896" s="6" t="n">
        <v>3</v>
      </c>
      <c r="E896" s="6" t="inlineStr">
        <is>
          <t>R1646609</t>
        </is>
      </c>
      <c r="F896" s="2" t="n">
        <v>44719</v>
      </c>
      <c r="G896" s="1" t="n"/>
    </row>
    <row r="897">
      <c r="A897" s="39" t="n">
        <v>882304</v>
      </c>
      <c r="B897" s="39" t="inlineStr">
        <is>
          <t>CARLO ROSSI SANGRIA</t>
        </is>
      </c>
      <c r="C897" s="7">
        <f>VLOOKUP(A897,SizeData!A$2:B$3839,2,FALSE)</f>
        <v/>
      </c>
      <c r="D897" s="39" t="n">
        <v>10</v>
      </c>
      <c r="E897" s="39" t="inlineStr">
        <is>
          <t>R1667718</t>
        </is>
      </c>
      <c r="F897" s="40" t="n">
        <v>44739</v>
      </c>
      <c r="G897" s="41" t="n"/>
    </row>
    <row r="898">
      <c r="A898" s="6" t="n">
        <v>882304</v>
      </c>
      <c r="B898" s="6" t="inlineStr">
        <is>
          <t>CARLO ROSSI SANGRIA</t>
        </is>
      </c>
      <c r="C898" s="7">
        <f>VLOOKUP(A898,SizeData!A$2:B$3839,2,FALSE)</f>
        <v/>
      </c>
      <c r="D898" s="6" t="n">
        <v>1</v>
      </c>
      <c r="E898" s="6" t="inlineStr">
        <is>
          <t>R1784903</t>
        </is>
      </c>
      <c r="F898" s="2" t="n">
        <v>44828</v>
      </c>
      <c r="G898" s="1" t="n"/>
    </row>
    <row r="899">
      <c r="A899" s="6" t="n">
        <v>882304</v>
      </c>
      <c r="B899" s="6" t="inlineStr">
        <is>
          <t>CARLO ROSSI SANGRIA</t>
        </is>
      </c>
      <c r="C899" s="7">
        <f>VLOOKUP(A899,SizeData!A$2:B$3839,2,FALSE)</f>
        <v/>
      </c>
      <c r="D899" s="6" t="n">
        <v>2</v>
      </c>
      <c r="E899" s="6" t="inlineStr">
        <is>
          <t>R1808552</t>
        </is>
      </c>
      <c r="F899" s="2" t="n">
        <v>44841</v>
      </c>
      <c r="G899" s="1" t="n"/>
    </row>
    <row r="900">
      <c r="A900" s="6" t="n">
        <v>882304</v>
      </c>
      <c r="B900" s="6" t="inlineStr">
        <is>
          <t>CARLO ROSSI SANGRIA</t>
        </is>
      </c>
      <c r="C900" s="7">
        <f>VLOOKUP(A900,SizeData!A$2:B$3839,2,FALSE)</f>
        <v/>
      </c>
      <c r="D900" s="6" t="n">
        <v>2</v>
      </c>
      <c r="E900" s="6" t="inlineStr">
        <is>
          <t>R1818650</t>
        </is>
      </c>
      <c r="F900" s="2" t="n">
        <v>44856</v>
      </c>
      <c r="G900" s="1" t="n"/>
    </row>
    <row r="901">
      <c r="A901" s="6" t="n">
        <v>882304</v>
      </c>
      <c r="B901" s="6" t="inlineStr">
        <is>
          <t>CARLO ROSSI SANGRIA</t>
        </is>
      </c>
      <c r="C901" s="7">
        <f>VLOOKUP(A901,SizeData!A$2:B$3839,2,FALSE)</f>
        <v/>
      </c>
      <c r="D901" s="6" t="n">
        <v>1</v>
      </c>
      <c r="E901" s="6" t="inlineStr">
        <is>
          <t>R1834591</t>
        </is>
      </c>
      <c r="F901" s="2" t="n">
        <v>44863</v>
      </c>
      <c r="G901" s="1" t="n"/>
    </row>
    <row r="902">
      <c r="A902" s="6" t="n">
        <v>882304</v>
      </c>
      <c r="B902" s="6" t="inlineStr">
        <is>
          <t>CARLO ROSSI SANGRIA</t>
        </is>
      </c>
      <c r="C902" s="7">
        <f>VLOOKUP(A902,SizeData!A$2:B$3839,2,FALSE)</f>
        <v/>
      </c>
      <c r="D902" s="6" t="n">
        <v>3</v>
      </c>
      <c r="E902" s="6" t="inlineStr">
        <is>
          <t>R1894250</t>
        </is>
      </c>
      <c r="F902" s="2" t="n">
        <v>44902</v>
      </c>
      <c r="G902" s="1" t="n"/>
    </row>
    <row r="903">
      <c r="A903" s="6" t="n">
        <v>882303</v>
      </c>
      <c r="B903" s="6" t="inlineStr">
        <is>
          <t>CARLO ROSSI SANGRIA LTO</t>
        </is>
      </c>
      <c r="C903" s="7">
        <f>VLOOKUP(A903,SizeData!A$2:B$3839,2,FALSE)</f>
        <v/>
      </c>
      <c r="D903" s="6" t="n">
        <v>2</v>
      </c>
      <c r="E903" s="6" t="inlineStr">
        <is>
          <t>R1690045</t>
        </is>
      </c>
      <c r="F903" s="2" t="n">
        <v>44753</v>
      </c>
      <c r="G903" s="1" t="n"/>
    </row>
    <row r="904">
      <c r="A904" s="6" t="n">
        <v>882300</v>
      </c>
      <c r="B904" s="6" t="inlineStr">
        <is>
          <t>CARLO ROSSI SPANADA SANGRIA</t>
        </is>
      </c>
      <c r="C904" s="7">
        <f>VLOOKUP(A904,SizeData!A$2:B$3839,2,FALSE)</f>
        <v/>
      </c>
      <c r="D904" s="6" t="n">
        <v>4</v>
      </c>
      <c r="E904" s="6" t="inlineStr">
        <is>
          <t>R1374780</t>
        </is>
      </c>
      <c r="F904" s="2" t="n">
        <v>44557</v>
      </c>
      <c r="G904" s="1" t="n"/>
    </row>
    <row r="905">
      <c r="A905" s="6" t="n">
        <v>882300</v>
      </c>
      <c r="B905" s="6" t="inlineStr">
        <is>
          <t>CARLO ROSSI SPANADA SANGRIA</t>
        </is>
      </c>
      <c r="C905" s="7">
        <f>VLOOKUP(A905,SizeData!A$2:B$3839,2,FALSE)</f>
        <v/>
      </c>
      <c r="D905" s="6" t="n">
        <v>4</v>
      </c>
      <c r="E905" s="6" t="inlineStr">
        <is>
          <t>R1398653</t>
        </is>
      </c>
      <c r="F905" s="2" t="n">
        <v>44571</v>
      </c>
      <c r="G905" s="1" t="n"/>
    </row>
    <row r="906">
      <c r="A906" s="6" t="n">
        <v>882300</v>
      </c>
      <c r="B906" s="6" t="inlineStr">
        <is>
          <t>CARLO ROSSI SPANADA SANGRIA</t>
        </is>
      </c>
      <c r="C906" s="7">
        <f>VLOOKUP(A906,SizeData!A$2:B$3839,2,FALSE)</f>
        <v/>
      </c>
      <c r="D906" s="6" t="n">
        <v>5</v>
      </c>
      <c r="E906" s="6" t="inlineStr">
        <is>
          <t>R1437002</t>
        </is>
      </c>
      <c r="F906" s="2" t="n">
        <v>44586</v>
      </c>
      <c r="G906" s="1" t="n"/>
    </row>
    <row r="907">
      <c r="A907" s="6" t="n">
        <v>882300</v>
      </c>
      <c r="B907" s="6" t="inlineStr">
        <is>
          <t>CARLO ROSSI SPANADA SANGRIA</t>
        </is>
      </c>
      <c r="C907" s="7">
        <f>VLOOKUP(A907,SizeData!A$2:B$3839,2,FALSE)</f>
        <v/>
      </c>
      <c r="D907" s="6" t="n">
        <v>4</v>
      </c>
      <c r="E907" s="6" t="inlineStr">
        <is>
          <t>R1437025</t>
        </is>
      </c>
      <c r="F907" s="2" t="n">
        <v>44587</v>
      </c>
      <c r="G907" s="1" t="n"/>
    </row>
    <row r="908">
      <c r="A908" s="6" t="n">
        <v>882300</v>
      </c>
      <c r="B908" s="6" t="inlineStr">
        <is>
          <t>CARLO ROSSI SPANADA SANGRIA</t>
        </is>
      </c>
      <c r="C908" s="7">
        <f>VLOOKUP(A908,SizeData!A$2:B$3839,2,FALSE)</f>
        <v/>
      </c>
      <c r="D908" s="6" t="n">
        <v>2</v>
      </c>
      <c r="E908" s="6" t="inlineStr">
        <is>
          <t>R1456927</t>
        </is>
      </c>
      <c r="F908" s="2" t="n">
        <v>44600</v>
      </c>
      <c r="G908" s="1" t="n"/>
    </row>
    <row r="909">
      <c r="A909" s="6" t="n">
        <v>882300</v>
      </c>
      <c r="B909" s="6" t="inlineStr">
        <is>
          <t>CARLO ROSSI SPANADA SANGRIA</t>
        </is>
      </c>
      <c r="C909" s="7">
        <f>VLOOKUP(A909,SizeData!A$2:B$3839,2,FALSE)</f>
        <v/>
      </c>
      <c r="D909" s="6" t="n">
        <v>2</v>
      </c>
      <c r="E909" s="6" t="inlineStr">
        <is>
          <t>R1461859</t>
        </is>
      </c>
      <c r="F909" s="2" t="n">
        <v>44606</v>
      </c>
      <c r="G909" s="1" t="n"/>
    </row>
    <row r="910">
      <c r="A910" s="6" t="n">
        <v>882300</v>
      </c>
      <c r="B910" s="6" t="inlineStr">
        <is>
          <t>CARLO ROSSI SPANADA SANGRIA</t>
        </is>
      </c>
      <c r="C910" s="7">
        <f>VLOOKUP(A910,SizeData!A$2:B$3839,2,FALSE)</f>
        <v/>
      </c>
      <c r="D910" s="6" t="n">
        <v>1</v>
      </c>
      <c r="E910" s="6" t="inlineStr">
        <is>
          <t>R1504703</t>
        </is>
      </c>
      <c r="F910" s="2" t="n">
        <v>44632</v>
      </c>
      <c r="G910" s="1" t="n"/>
    </row>
    <row r="911">
      <c r="A911" s="6" t="n">
        <v>882300</v>
      </c>
      <c r="B911" s="6" t="inlineStr">
        <is>
          <t>CARLO ROSSI SPANADA SANGRIA</t>
        </is>
      </c>
      <c r="C911" s="7">
        <f>VLOOKUP(A911,SizeData!A$2:B$3839,2,FALSE)</f>
        <v/>
      </c>
      <c r="D911" s="6" t="n">
        <v>1</v>
      </c>
      <c r="E911" s="6" t="inlineStr">
        <is>
          <t>R1504620</t>
        </is>
      </c>
      <c r="F911" s="2" t="n">
        <v>44634</v>
      </c>
      <c r="G911" s="1" t="n"/>
    </row>
    <row r="912">
      <c r="A912" s="6" t="n">
        <v>882300</v>
      </c>
      <c r="B912" s="6" t="inlineStr">
        <is>
          <t>CARLO ROSSI SPANADA SANGRIA</t>
        </is>
      </c>
      <c r="C912" s="7">
        <f>VLOOKUP(A912,SizeData!A$2:B$3839,2,FALSE)</f>
        <v/>
      </c>
      <c r="D912" s="6" t="n">
        <v>2</v>
      </c>
      <c r="E912" s="6" t="inlineStr">
        <is>
          <t>R1504620</t>
        </is>
      </c>
      <c r="F912" s="2" t="n">
        <v>44634</v>
      </c>
      <c r="G912" s="1" t="n"/>
    </row>
    <row r="913">
      <c r="A913" s="6" t="n">
        <v>882300</v>
      </c>
      <c r="B913" s="6" t="inlineStr">
        <is>
          <t>CARLO ROSSI SPANADA SANGRIA</t>
        </is>
      </c>
      <c r="C913" s="7">
        <f>VLOOKUP(A913,SizeData!A$2:B$3839,2,FALSE)</f>
        <v/>
      </c>
      <c r="D913" s="6" t="n">
        <v>4</v>
      </c>
      <c r="E913" s="6" t="inlineStr">
        <is>
          <t>R1552114</t>
        </is>
      </c>
      <c r="F913" s="2" t="n">
        <v>44653</v>
      </c>
      <c r="G913" s="1" t="n"/>
    </row>
    <row r="914">
      <c r="A914" s="6" t="n">
        <v>882300</v>
      </c>
      <c r="B914" s="6" t="inlineStr">
        <is>
          <t>CARLO ROSSI SPANADA SANGRIA</t>
        </is>
      </c>
      <c r="C914" s="7">
        <f>VLOOKUP(A914,SizeData!A$2:B$3839,2,FALSE)</f>
        <v/>
      </c>
      <c r="D914" s="6" t="n">
        <v>2</v>
      </c>
      <c r="E914" s="6" t="inlineStr">
        <is>
          <t>R1563525</t>
        </is>
      </c>
      <c r="F914" s="2" t="n">
        <v>44666</v>
      </c>
      <c r="G914" s="1" t="n"/>
    </row>
    <row r="915">
      <c r="A915" s="6" t="n">
        <v>882300</v>
      </c>
      <c r="B915" s="6" t="inlineStr">
        <is>
          <t>CARLO ROSSI SPANADA SANGRIA</t>
        </is>
      </c>
      <c r="C915" s="7">
        <f>VLOOKUP(A915,SizeData!A$2:B$3839,2,FALSE)</f>
        <v/>
      </c>
      <c r="D915" s="6" t="n">
        <v>1</v>
      </c>
      <c r="E915" s="6" t="inlineStr">
        <is>
          <t>R1563525</t>
        </is>
      </c>
      <c r="F915" s="2" t="n">
        <v>44666</v>
      </c>
      <c r="G915" s="1" t="n"/>
    </row>
    <row r="916">
      <c r="A916" s="6" t="n">
        <v>882300</v>
      </c>
      <c r="B916" s="6" t="inlineStr">
        <is>
          <t>CARLO ROSSI SPANADA SANGRIA</t>
        </is>
      </c>
      <c r="C916" s="7">
        <f>VLOOKUP(A916,SizeData!A$2:B$3839,2,FALSE)</f>
        <v/>
      </c>
      <c r="D916" s="6" t="n">
        <v>4</v>
      </c>
      <c r="E916" s="6" t="inlineStr">
        <is>
          <t>R1590929</t>
        </is>
      </c>
      <c r="F916" s="2" t="n">
        <v>44677</v>
      </c>
      <c r="G916" s="1" t="n"/>
    </row>
    <row r="917">
      <c r="A917" s="6" t="n">
        <v>882300</v>
      </c>
      <c r="B917" s="6" t="inlineStr">
        <is>
          <t>CARLO ROSSI SPANADA SANGRIA</t>
        </is>
      </c>
      <c r="C917" s="7">
        <f>VLOOKUP(A917,SizeData!A$2:B$3839,2,FALSE)</f>
        <v/>
      </c>
      <c r="D917" s="6" t="n">
        <v>2</v>
      </c>
      <c r="E917" s="6" t="inlineStr">
        <is>
          <t>R1620910</t>
        </is>
      </c>
      <c r="F917" s="2" t="n">
        <v>44694</v>
      </c>
      <c r="G917" s="1" t="n"/>
    </row>
    <row r="918">
      <c r="A918" s="6" t="n">
        <v>882300</v>
      </c>
      <c r="B918" s="6" t="inlineStr">
        <is>
          <t>CARLO ROSSI SPANADA SANGRIA</t>
        </is>
      </c>
      <c r="C918" s="7">
        <f>VLOOKUP(A918,SizeData!A$2:B$3839,2,FALSE)</f>
        <v/>
      </c>
      <c r="D918" s="6" t="n">
        <v>2</v>
      </c>
      <c r="E918" s="6" t="inlineStr">
        <is>
          <t>R1626065</t>
        </is>
      </c>
      <c r="F918" s="2" t="n">
        <v>44708</v>
      </c>
      <c r="G918" s="1" t="n"/>
    </row>
    <row r="919">
      <c r="A919" s="6" t="n">
        <v>882300</v>
      </c>
      <c r="B919" s="6" t="inlineStr">
        <is>
          <t>CARLO ROSSI SPANADA SANGRIA</t>
        </is>
      </c>
      <c r="C919" s="7">
        <f>VLOOKUP(A919,SizeData!A$2:B$3839,2,FALSE)</f>
        <v/>
      </c>
      <c r="D919" s="6" t="n">
        <v>2</v>
      </c>
      <c r="E919" s="6" t="inlineStr">
        <is>
          <t>R1630969</t>
        </is>
      </c>
      <c r="F919" s="2" t="n">
        <v>44711</v>
      </c>
      <c r="G919" s="1" t="n"/>
    </row>
    <row r="920">
      <c r="A920" s="6" t="n">
        <v>882300</v>
      </c>
      <c r="B920" s="6" t="inlineStr">
        <is>
          <t>CARLO ROSSI SPANADA SANGRIA</t>
        </is>
      </c>
      <c r="C920" s="7">
        <f>VLOOKUP(A920,SizeData!A$2:B$3839,2,FALSE)</f>
        <v/>
      </c>
      <c r="D920" s="6" t="n">
        <v>2</v>
      </c>
      <c r="E920" s="6" t="inlineStr">
        <is>
          <t>R1638121</t>
        </is>
      </c>
      <c r="F920" s="2" t="n">
        <v>44721</v>
      </c>
      <c r="G920" s="1" t="n"/>
    </row>
    <row r="921">
      <c r="A921" s="6" t="n">
        <v>882300</v>
      </c>
      <c r="B921" s="6" t="inlineStr">
        <is>
          <t>CARLO ROSSI SPANADA SANGRIA</t>
        </is>
      </c>
      <c r="C921" s="7">
        <f>VLOOKUP(A921,SizeData!A$2:B$3839,2,FALSE)</f>
        <v/>
      </c>
      <c r="D921" s="6" t="n">
        <v>3</v>
      </c>
      <c r="E921" s="6" t="inlineStr">
        <is>
          <t>R1658904</t>
        </is>
      </c>
      <c r="F921" s="2" t="n">
        <v>44732</v>
      </c>
      <c r="G921" s="1" t="n"/>
    </row>
    <row r="922">
      <c r="A922" s="6" t="n">
        <v>882300</v>
      </c>
      <c r="B922" s="6" t="inlineStr">
        <is>
          <t>CARLO ROSSI SPANADA SANGRIA</t>
        </is>
      </c>
      <c r="C922" s="7">
        <f>VLOOKUP(A922,SizeData!A$2:B$3839,2,FALSE)</f>
        <v/>
      </c>
      <c r="D922" s="6" t="n">
        <v>2</v>
      </c>
      <c r="E922" s="6" t="inlineStr">
        <is>
          <t>R1683818</t>
        </is>
      </c>
      <c r="F922" s="2" t="n">
        <v>44754</v>
      </c>
      <c r="G922" s="1" t="n"/>
    </row>
    <row r="923">
      <c r="A923" s="6" t="n">
        <v>882300</v>
      </c>
      <c r="B923" s="6" t="inlineStr">
        <is>
          <t>CARLO ROSSI SPANADA SANGRIA</t>
        </is>
      </c>
      <c r="C923" s="7">
        <f>VLOOKUP(A923,SizeData!A$2:B$3839,2,FALSE)</f>
        <v/>
      </c>
      <c r="D923" s="6" t="n">
        <v>4</v>
      </c>
      <c r="E923" s="6" t="inlineStr">
        <is>
          <t>R1698359</t>
        </is>
      </c>
      <c r="F923" s="2" t="n">
        <v>44765</v>
      </c>
      <c r="G923" s="1" t="n"/>
    </row>
    <row r="924">
      <c r="A924" s="6" t="n">
        <v>882300</v>
      </c>
      <c r="B924" s="6" t="inlineStr">
        <is>
          <t>CARLO ROSSI SPANADA SANGRIA</t>
        </is>
      </c>
      <c r="C924" s="7">
        <f>VLOOKUP(A924,SizeData!A$2:B$3839,2,FALSE)</f>
        <v/>
      </c>
      <c r="D924" s="6" t="n">
        <v>2</v>
      </c>
      <c r="E924" s="6" t="inlineStr">
        <is>
          <t>R1721804</t>
        </is>
      </c>
      <c r="F924" s="2" t="n">
        <v>44775</v>
      </c>
      <c r="G924" s="1" t="n"/>
    </row>
    <row r="925">
      <c r="A925" s="6" t="n">
        <v>882300</v>
      </c>
      <c r="B925" s="6" t="inlineStr">
        <is>
          <t>CARLO ROSSI SPANADA SANGRIA</t>
        </is>
      </c>
      <c r="C925" s="7">
        <f>VLOOKUP(A925,SizeData!A$2:B$3839,2,FALSE)</f>
        <v/>
      </c>
      <c r="D925" s="6" t="n">
        <v>4</v>
      </c>
      <c r="E925" s="6" t="inlineStr">
        <is>
          <t>R1742052</t>
        </is>
      </c>
      <c r="F925" s="2" t="n">
        <v>44795</v>
      </c>
      <c r="G925" s="1" t="n"/>
    </row>
    <row r="926">
      <c r="A926" s="6" t="n">
        <v>882300</v>
      </c>
      <c r="B926" s="6" t="inlineStr">
        <is>
          <t>CARLO ROSSI SPANADA SANGRIA</t>
        </is>
      </c>
      <c r="C926" s="7">
        <f>VLOOKUP(A926,SizeData!A$2:B$3839,2,FALSE)</f>
        <v/>
      </c>
      <c r="D926" s="6" t="n">
        <v>3</v>
      </c>
      <c r="E926" s="6" t="inlineStr">
        <is>
          <t>R1744940</t>
        </is>
      </c>
      <c r="F926" s="2" t="n">
        <v>44804</v>
      </c>
      <c r="G926" s="1" t="n"/>
    </row>
    <row r="927">
      <c r="A927" s="6" t="n">
        <v>882300</v>
      </c>
      <c r="B927" s="6" t="inlineStr">
        <is>
          <t>CARLO ROSSI SPANADA SANGRIA</t>
        </is>
      </c>
      <c r="C927" s="7">
        <f>VLOOKUP(A927,SizeData!A$2:B$3839,2,FALSE)</f>
        <v/>
      </c>
      <c r="D927" s="6" t="n">
        <v>2</v>
      </c>
      <c r="E927" s="6" t="inlineStr">
        <is>
          <t>R1761638</t>
        </is>
      </c>
      <c r="F927" s="2" t="n">
        <v>44807</v>
      </c>
      <c r="G927" s="1" t="n"/>
    </row>
    <row r="928">
      <c r="A928" s="6" t="n">
        <v>882300</v>
      </c>
      <c r="B928" s="6" t="inlineStr">
        <is>
          <t>CARLO ROSSI SPANADA SANGRIA</t>
        </is>
      </c>
      <c r="C928" s="7">
        <f>VLOOKUP(A928,SizeData!A$2:B$3839,2,FALSE)</f>
        <v/>
      </c>
      <c r="D928" s="6" t="n">
        <v>4</v>
      </c>
      <c r="E928" s="6" t="inlineStr">
        <is>
          <t>R1784903</t>
        </is>
      </c>
      <c r="F928" s="2" t="n">
        <v>44828</v>
      </c>
      <c r="G928" s="1" t="n"/>
    </row>
    <row r="929">
      <c r="A929" s="6" t="n">
        <v>882300</v>
      </c>
      <c r="B929" s="6" t="inlineStr">
        <is>
          <t>CARLO ROSSI SPANADA SANGRIA</t>
        </is>
      </c>
      <c r="C929" s="7">
        <f>VLOOKUP(A929,SizeData!A$2:B$3839,2,FALSE)</f>
        <v/>
      </c>
      <c r="D929" s="6" t="n">
        <v>2</v>
      </c>
      <c r="E929" s="6" t="inlineStr">
        <is>
          <t>R1791500</t>
        </is>
      </c>
      <c r="F929" s="2" t="n">
        <v>44835</v>
      </c>
      <c r="G929" s="1" t="n"/>
    </row>
    <row r="930">
      <c r="A930" s="6" t="n">
        <v>882300</v>
      </c>
      <c r="B930" s="6" t="inlineStr">
        <is>
          <t>CARLO ROSSI SPANADA SANGRIA</t>
        </is>
      </c>
      <c r="C930" s="7">
        <f>VLOOKUP(A930,SizeData!A$2:B$3839,2,FALSE)</f>
        <v/>
      </c>
      <c r="D930" s="6" t="n">
        <v>2</v>
      </c>
      <c r="E930" s="6" t="inlineStr">
        <is>
          <t>R1827327</t>
        </is>
      </c>
      <c r="F930" s="2" t="n">
        <v>44856</v>
      </c>
      <c r="G930" s="1" t="n"/>
    </row>
    <row r="931">
      <c r="A931" s="6" t="n">
        <v>882300</v>
      </c>
      <c r="B931" s="6" t="inlineStr">
        <is>
          <t>CARLO ROSSI SPANADA SANGRIA</t>
        </is>
      </c>
      <c r="C931" s="7">
        <f>VLOOKUP(A931,SizeData!A$2:B$3839,2,FALSE)</f>
        <v/>
      </c>
      <c r="D931" s="6" t="n">
        <v>3</v>
      </c>
      <c r="E931" s="6" t="inlineStr">
        <is>
          <t>R1834243</t>
        </is>
      </c>
      <c r="F931" s="2" t="n">
        <v>44865</v>
      </c>
      <c r="G931" s="1" t="n"/>
    </row>
    <row r="932">
      <c r="A932" s="6" t="n">
        <v>882300</v>
      </c>
      <c r="B932" s="6" t="inlineStr">
        <is>
          <t>CARLO ROSSI SPANADA SANGRIA</t>
        </is>
      </c>
      <c r="C932" s="7">
        <f>VLOOKUP(A932,SizeData!A$2:B$3839,2,FALSE)</f>
        <v/>
      </c>
      <c r="D932" s="6" t="n">
        <v>3</v>
      </c>
      <c r="E932" s="6" t="inlineStr">
        <is>
          <t>R1858281</t>
        </is>
      </c>
      <c r="F932" s="2" t="n">
        <v>44877</v>
      </c>
      <c r="G932" s="1" t="n"/>
    </row>
    <row r="933">
      <c r="A933" s="6" t="n">
        <v>882300</v>
      </c>
      <c r="B933" s="6" t="inlineStr">
        <is>
          <t>CARLO ROSSI SPANADA SANGRIA</t>
        </is>
      </c>
      <c r="C933" s="7">
        <f>VLOOKUP(A933,SizeData!A$2:B$3839,2,FALSE)</f>
        <v/>
      </c>
      <c r="D933" s="6" t="n">
        <v>3</v>
      </c>
      <c r="E933" s="6" t="inlineStr">
        <is>
          <t>R1858355</t>
        </is>
      </c>
      <c r="F933" s="2" t="n">
        <v>44880</v>
      </c>
      <c r="G933" s="1" t="n"/>
    </row>
    <row r="934">
      <c r="A934" s="6" t="n">
        <v>882300</v>
      </c>
      <c r="B934" s="6" t="inlineStr">
        <is>
          <t>CARLO ROSSI SPANADA SANGRIA</t>
        </is>
      </c>
      <c r="C934" s="7">
        <f>VLOOKUP(A934,SizeData!A$2:B$3839,2,FALSE)</f>
        <v/>
      </c>
      <c r="D934" s="6" t="n">
        <v>3</v>
      </c>
      <c r="E934" s="6" t="inlineStr">
        <is>
          <t>R1894250</t>
        </is>
      </c>
      <c r="F934" s="2" t="n">
        <v>44902</v>
      </c>
      <c r="G934" s="1" t="n"/>
    </row>
    <row r="935">
      <c r="A935" s="6" t="n">
        <v>882306</v>
      </c>
      <c r="B935" s="6" t="inlineStr">
        <is>
          <t>CARLO ROSSI SPANADA SANGRIA</t>
        </is>
      </c>
      <c r="C935" s="7">
        <f>VLOOKUP(A935,SizeData!A$2:B$3839,2,FALSE)</f>
        <v/>
      </c>
      <c r="D935" s="6" t="n">
        <v>5</v>
      </c>
      <c r="E935" s="6" t="inlineStr">
        <is>
          <t>R1373032</t>
        </is>
      </c>
      <c r="F935" s="2" t="n">
        <v>44546</v>
      </c>
      <c r="G935" s="1" t="n"/>
    </row>
    <row r="936">
      <c r="A936" s="6" t="n">
        <v>882306</v>
      </c>
      <c r="B936" s="6" t="inlineStr">
        <is>
          <t>CARLO ROSSI SPANADA SANGRIA</t>
        </is>
      </c>
      <c r="C936" s="7">
        <f>VLOOKUP(A936,SizeData!A$2:B$3839,2,FALSE)</f>
        <v/>
      </c>
      <c r="D936" s="6" t="n">
        <v>5</v>
      </c>
      <c r="E936" s="6" t="inlineStr">
        <is>
          <t>R1412656</t>
        </is>
      </c>
      <c r="F936" s="2" t="n">
        <v>44574</v>
      </c>
      <c r="G936" s="1" t="n"/>
    </row>
    <row r="937">
      <c r="A937" s="6" t="n">
        <v>882306</v>
      </c>
      <c r="B937" s="6" t="inlineStr">
        <is>
          <t>CARLO ROSSI SPANADA SANGRIA</t>
        </is>
      </c>
      <c r="C937" s="7">
        <f>VLOOKUP(A937,SizeData!A$2:B$3839,2,FALSE)</f>
        <v/>
      </c>
      <c r="D937" s="6" t="n">
        <v>5</v>
      </c>
      <c r="E937" s="6" t="inlineStr">
        <is>
          <t>R1437102</t>
        </is>
      </c>
      <c r="F937" s="2" t="n">
        <v>44587</v>
      </c>
      <c r="G937" s="1" t="n"/>
    </row>
    <row r="938">
      <c r="A938" s="6" t="n">
        <v>882306</v>
      </c>
      <c r="B938" s="6" t="inlineStr">
        <is>
          <t>CARLO ROSSI SPANADA SANGRIA</t>
        </is>
      </c>
      <c r="C938" s="7">
        <f>VLOOKUP(A938,SizeData!A$2:B$3839,2,FALSE)</f>
        <v/>
      </c>
      <c r="D938" s="6" t="n">
        <v>2</v>
      </c>
      <c r="E938" s="6" t="inlineStr">
        <is>
          <t>R1461859</t>
        </is>
      </c>
      <c r="F938" s="2" t="n">
        <v>44606</v>
      </c>
      <c r="G938" s="1" t="n"/>
    </row>
    <row r="939">
      <c r="A939" s="6" t="n">
        <v>882306</v>
      </c>
      <c r="B939" s="6" t="inlineStr">
        <is>
          <t>CARLO ROSSI SPANADA SANGRIA</t>
        </is>
      </c>
      <c r="C939" s="7">
        <f>VLOOKUP(A939,SizeData!A$2:B$3839,2,FALSE)</f>
        <v/>
      </c>
      <c r="D939" s="6" t="n">
        <v>2</v>
      </c>
      <c r="E939" s="6" t="inlineStr">
        <is>
          <t>R1472202</t>
        </is>
      </c>
      <c r="F939" s="2" t="n">
        <v>44608</v>
      </c>
      <c r="G939" s="1" t="n"/>
    </row>
    <row r="940">
      <c r="A940" s="6" t="n">
        <v>882306</v>
      </c>
      <c r="B940" s="6" t="inlineStr">
        <is>
          <t>CARLO ROSSI SPANADA SANGRIA</t>
        </is>
      </c>
      <c r="C940" s="7">
        <f>VLOOKUP(A940,SizeData!A$2:B$3839,2,FALSE)</f>
        <v/>
      </c>
      <c r="D940" s="6" t="n">
        <v>4</v>
      </c>
      <c r="E940" s="6" t="inlineStr">
        <is>
          <t>R1540227</t>
        </is>
      </c>
      <c r="F940" s="2" t="n">
        <v>44636</v>
      </c>
      <c r="G940" s="1" t="n"/>
    </row>
    <row r="941">
      <c r="A941" s="6" t="n">
        <v>882306</v>
      </c>
      <c r="B941" s="6" t="inlineStr">
        <is>
          <t>CARLO ROSSI SPANADA SANGRIA</t>
        </is>
      </c>
      <c r="C941" s="7">
        <f>VLOOKUP(A941,SizeData!A$2:B$3839,2,FALSE)</f>
        <v/>
      </c>
      <c r="D941" s="6" t="n">
        <v>4</v>
      </c>
      <c r="E941" s="6" t="inlineStr">
        <is>
          <t>R1552114</t>
        </is>
      </c>
      <c r="F941" s="2" t="n">
        <v>44653</v>
      </c>
      <c r="G941" s="1" t="n"/>
    </row>
    <row r="942">
      <c r="A942" s="6" t="n">
        <v>882306</v>
      </c>
      <c r="B942" s="6" t="inlineStr">
        <is>
          <t>CARLO ROSSI SPANADA SANGRIA</t>
        </is>
      </c>
      <c r="C942" s="7">
        <f>VLOOKUP(A942,SizeData!A$2:B$3839,2,FALSE)</f>
        <v/>
      </c>
      <c r="D942" s="6" t="n">
        <v>4</v>
      </c>
      <c r="E942" s="6" t="inlineStr">
        <is>
          <t>R1605719</t>
        </is>
      </c>
      <c r="F942" s="2" t="n">
        <v>44685</v>
      </c>
      <c r="G942" s="1" t="n"/>
    </row>
    <row r="943">
      <c r="A943" s="6" t="n">
        <v>882306</v>
      </c>
      <c r="B943" s="6" t="inlineStr">
        <is>
          <t>CARLO ROSSI SPANADA SANGRIA</t>
        </is>
      </c>
      <c r="C943" s="7">
        <f>VLOOKUP(A943,SizeData!A$2:B$3839,2,FALSE)</f>
        <v/>
      </c>
      <c r="D943" s="6" t="n">
        <v>4</v>
      </c>
      <c r="E943" s="6" t="inlineStr">
        <is>
          <t>R1630969</t>
        </is>
      </c>
      <c r="F943" s="2" t="n">
        <v>44711</v>
      </c>
      <c r="G943" s="1" t="n"/>
    </row>
    <row r="944">
      <c r="A944" s="6" t="n">
        <v>882306</v>
      </c>
      <c r="B944" s="6" t="inlineStr">
        <is>
          <t>CARLO ROSSI SPANADA SANGRIA</t>
        </is>
      </c>
      <c r="C944" s="7">
        <f>VLOOKUP(A944,SizeData!A$2:B$3839,2,FALSE)</f>
        <v/>
      </c>
      <c r="D944" s="6" t="n">
        <v>2</v>
      </c>
      <c r="E944" s="6" t="inlineStr">
        <is>
          <t>R1619359</t>
        </is>
      </c>
      <c r="F944" s="2" t="n">
        <v>44716</v>
      </c>
      <c r="G944" s="1" t="n"/>
    </row>
    <row r="945">
      <c r="A945" s="39" t="n">
        <v>882306</v>
      </c>
      <c r="B945" s="39" t="inlineStr">
        <is>
          <t>CARLO ROSSI SPANADA SANGRIA</t>
        </is>
      </c>
      <c r="C945" s="7">
        <f>VLOOKUP(A945,SizeData!A$2:B$3839,2,FALSE)</f>
        <v/>
      </c>
      <c r="D945" s="39" t="n">
        <v>7</v>
      </c>
      <c r="E945" s="39" t="inlineStr">
        <is>
          <t>R1667718</t>
        </is>
      </c>
      <c r="F945" s="40" t="n">
        <v>44739</v>
      </c>
      <c r="G945" s="41" t="n"/>
    </row>
    <row r="946">
      <c r="A946" s="6" t="n">
        <v>882306</v>
      </c>
      <c r="B946" s="6" t="inlineStr">
        <is>
          <t>CARLO ROSSI SPANADA SANGRIA</t>
        </is>
      </c>
      <c r="C946" s="7">
        <f>VLOOKUP(A946,SizeData!A$2:B$3839,2,FALSE)</f>
        <v/>
      </c>
      <c r="D946" s="6" t="n">
        <v>2</v>
      </c>
      <c r="E946" s="6" t="inlineStr">
        <is>
          <t>R1668331</t>
        </is>
      </c>
      <c r="F946" s="2" t="n">
        <v>44742</v>
      </c>
      <c r="G946" s="1" t="n"/>
    </row>
    <row r="947">
      <c r="A947" s="26" t="n">
        <v>882306</v>
      </c>
      <c r="B947" s="26" t="inlineStr">
        <is>
          <t>CARLO ROSSI SPANADA SANGRIA</t>
        </is>
      </c>
      <c r="C947" s="7">
        <f>VLOOKUP(A947,SizeData!A$2:B$3839,2,FALSE)</f>
        <v/>
      </c>
      <c r="D947" s="26" t="n">
        <v>2</v>
      </c>
      <c r="E947" s="26" t="inlineStr">
        <is>
          <t>R1698359</t>
        </is>
      </c>
      <c r="F947" s="61" t="n">
        <v>44765</v>
      </c>
      <c r="G947" s="62" t="n"/>
    </row>
    <row r="948">
      <c r="A948" s="6" t="n">
        <v>882306</v>
      </c>
      <c r="B948" s="6" t="inlineStr">
        <is>
          <t>CARLO ROSSI SPANADA SANGRIA</t>
        </is>
      </c>
      <c r="C948" s="7">
        <f>VLOOKUP(A948,SizeData!A$2:B$3839,2,FALSE)</f>
        <v/>
      </c>
      <c r="D948" s="6" t="n">
        <v>2</v>
      </c>
      <c r="E948" s="6" t="inlineStr">
        <is>
          <t>R1721804</t>
        </is>
      </c>
      <c r="F948" s="2" t="n">
        <v>44775</v>
      </c>
      <c r="G948" s="1" t="n"/>
    </row>
    <row r="949">
      <c r="A949" s="6" t="n">
        <v>882306</v>
      </c>
      <c r="B949" s="6" t="inlineStr">
        <is>
          <t>CARLO ROSSI SPANADA SANGRIA</t>
        </is>
      </c>
      <c r="C949" s="7">
        <f>VLOOKUP(A949,SizeData!A$2:B$3839,2,FALSE)</f>
        <v/>
      </c>
      <c r="D949" s="6" t="n">
        <v>4</v>
      </c>
      <c r="E949" s="6" t="inlineStr">
        <is>
          <t>R1767069</t>
        </is>
      </c>
      <c r="F949" s="2" t="n">
        <v>44814</v>
      </c>
      <c r="G949" s="1" t="n"/>
    </row>
    <row r="950">
      <c r="A950" s="6" t="n">
        <v>882306</v>
      </c>
      <c r="B950" s="6" t="inlineStr">
        <is>
          <t>CARLO ROSSI SPANADA SANGRIA</t>
        </is>
      </c>
      <c r="C950" s="7">
        <f>VLOOKUP(A950,SizeData!A$2:B$3839,2,FALSE)</f>
        <v/>
      </c>
      <c r="D950" s="6" t="n">
        <v>2</v>
      </c>
      <c r="E950" s="6" t="inlineStr">
        <is>
          <t>R1763684</t>
        </is>
      </c>
      <c r="F950" s="2" t="n">
        <v>44821</v>
      </c>
      <c r="G950" s="1" t="n"/>
    </row>
    <row r="951">
      <c r="A951" s="6" t="n">
        <v>882306</v>
      </c>
      <c r="B951" s="6" t="inlineStr">
        <is>
          <t>CARLO ROSSI SPANADA SANGRIA</t>
        </is>
      </c>
      <c r="C951" s="7">
        <f>VLOOKUP(A951,SizeData!A$2:B$3839,2,FALSE)</f>
        <v/>
      </c>
      <c r="D951" s="6" t="n">
        <v>2</v>
      </c>
      <c r="E951" s="6" t="inlineStr">
        <is>
          <t>R1791500</t>
        </is>
      </c>
      <c r="F951" s="2" t="n">
        <v>44835</v>
      </c>
      <c r="G951" s="1" t="n"/>
    </row>
    <row r="952">
      <c r="A952" s="6" t="n">
        <v>882306</v>
      </c>
      <c r="B952" s="6" t="inlineStr">
        <is>
          <t>CARLO ROSSI SPANADA SANGRIA</t>
        </is>
      </c>
      <c r="C952" s="7">
        <f>VLOOKUP(A952,SizeData!A$2:B$3839,2,FALSE)</f>
        <v/>
      </c>
      <c r="D952" s="6" t="n">
        <v>3</v>
      </c>
      <c r="E952" s="6" t="inlineStr">
        <is>
          <t>R1798963</t>
        </is>
      </c>
      <c r="F952" s="2" t="n">
        <v>44844</v>
      </c>
      <c r="G952" s="1" t="n"/>
    </row>
    <row r="953">
      <c r="A953" s="6" t="n">
        <v>882306</v>
      </c>
      <c r="B953" s="6" t="inlineStr">
        <is>
          <t>CARLO ROSSI SPANADA SANGRIA</t>
        </is>
      </c>
      <c r="C953" s="7">
        <f>VLOOKUP(A953,SizeData!A$2:B$3839,2,FALSE)</f>
        <v/>
      </c>
      <c r="D953" s="6" t="n">
        <v>6</v>
      </c>
      <c r="E953" s="6" t="inlineStr">
        <is>
          <t>R1852440</t>
        </is>
      </c>
      <c r="F953" s="2" t="n">
        <v>44867</v>
      </c>
      <c r="G953" s="1" t="n"/>
    </row>
    <row r="954">
      <c r="A954" s="6" t="n">
        <v>882306</v>
      </c>
      <c r="B954" s="6" t="inlineStr">
        <is>
          <t>CARLO ROSSI SPANADA SANGRIA</t>
        </is>
      </c>
      <c r="C954" s="7">
        <f>VLOOKUP(A954,SizeData!A$2:B$3839,2,FALSE)</f>
        <v/>
      </c>
      <c r="D954" s="6" t="n">
        <v>2</v>
      </c>
      <c r="E954" s="6" t="inlineStr">
        <is>
          <t>R1858281</t>
        </is>
      </c>
      <c r="F954" s="2" t="n">
        <v>44877</v>
      </c>
      <c r="G954" s="1" t="n"/>
    </row>
    <row r="955">
      <c r="A955" s="6" t="n">
        <v>882306</v>
      </c>
      <c r="B955" s="6" t="inlineStr">
        <is>
          <t>CARLO ROSSI SPANADA SANGRIA</t>
        </is>
      </c>
      <c r="C955" s="7">
        <f>VLOOKUP(A955,SizeData!A$2:B$3839,2,FALSE)</f>
        <v/>
      </c>
      <c r="D955" s="6" t="n">
        <v>3</v>
      </c>
      <c r="E955" s="6" t="inlineStr">
        <is>
          <t>R1894250</t>
        </is>
      </c>
      <c r="F955" s="2" t="n">
        <v>44902</v>
      </c>
      <c r="G955" s="1" t="n"/>
    </row>
    <row r="956">
      <c r="A956" s="6" t="n">
        <v>882323</v>
      </c>
      <c r="B956" s="6" t="inlineStr">
        <is>
          <t>CARLO ROSSI SWEET PINK SANGRIA</t>
        </is>
      </c>
      <c r="C956" s="7">
        <f>VLOOKUP(A956,SizeData!A$2:B$3839,2,FALSE)</f>
        <v/>
      </c>
      <c r="D956" s="6" t="n">
        <v>2</v>
      </c>
      <c r="E956" s="6" t="inlineStr">
        <is>
          <t>R1569610</t>
        </is>
      </c>
      <c r="F956" s="2" t="n">
        <v>44669</v>
      </c>
      <c r="G956" s="1" t="n"/>
    </row>
    <row r="957">
      <c r="A957" s="6" t="n">
        <v>882323</v>
      </c>
      <c r="B957" s="6" t="inlineStr">
        <is>
          <t>CARLO ROSSI SWEET PINK SANGRIA</t>
        </is>
      </c>
      <c r="C957" s="7">
        <f>VLOOKUP(A957,SizeData!A$2:B$3839,2,FALSE)</f>
        <v/>
      </c>
      <c r="D957" s="6" t="n">
        <v>1</v>
      </c>
      <c r="E957" s="6" t="inlineStr">
        <is>
          <t>R1599922</t>
        </is>
      </c>
      <c r="F957" s="2" t="n">
        <v>44696</v>
      </c>
      <c r="G957" s="1" t="n"/>
    </row>
    <row r="958">
      <c r="A958" s="6" t="n">
        <v>882323</v>
      </c>
      <c r="B958" s="6" t="inlineStr">
        <is>
          <t>CARLO ROSSI SWEET PINK SANGRIA</t>
        </is>
      </c>
      <c r="C958" s="7">
        <f>VLOOKUP(A958,SizeData!A$2:B$3839,2,FALSE)</f>
        <v/>
      </c>
      <c r="D958" s="6" t="n">
        <v>2</v>
      </c>
      <c r="E958" s="6" t="inlineStr">
        <is>
          <t>R1690045</t>
        </is>
      </c>
      <c r="F958" s="2" t="n">
        <v>44753</v>
      </c>
      <c r="G958" s="1" t="n"/>
    </row>
    <row r="959">
      <c r="A959" s="6" t="n">
        <v>415315</v>
      </c>
      <c r="B959" s="6" t="inlineStr">
        <is>
          <t>CARLO ROSSI SWEET RED</t>
        </is>
      </c>
      <c r="C959" s="7">
        <f>VLOOKUP(A959,SizeData!A$2:B$3839,2,FALSE)</f>
        <v/>
      </c>
      <c r="D959" s="6" t="n">
        <v>5</v>
      </c>
      <c r="E959" s="6" t="inlineStr">
        <is>
          <t>R1373032</t>
        </is>
      </c>
      <c r="F959" s="2" t="n">
        <v>44546</v>
      </c>
      <c r="G959" s="1" t="n"/>
    </row>
    <row r="960">
      <c r="A960" s="6" t="n">
        <v>415315</v>
      </c>
      <c r="B960" s="6" t="inlineStr">
        <is>
          <t>CARLO ROSSI SWEET RED</t>
        </is>
      </c>
      <c r="C960" s="7">
        <f>VLOOKUP(A960,SizeData!A$2:B$3839,2,FALSE)</f>
        <v/>
      </c>
      <c r="D960" s="6" t="n">
        <v>9</v>
      </c>
      <c r="E960" s="6" t="inlineStr">
        <is>
          <t>R1387575</t>
        </is>
      </c>
      <c r="F960" s="2" t="n">
        <v>44559</v>
      </c>
      <c r="G960" s="1" t="n"/>
    </row>
    <row r="961">
      <c r="A961" s="6" t="n">
        <v>415315</v>
      </c>
      <c r="B961" s="6" t="inlineStr">
        <is>
          <t>CARLO ROSSI SWEET RED</t>
        </is>
      </c>
      <c r="C961" s="7">
        <f>VLOOKUP(A961,SizeData!A$2:B$3839,2,FALSE)</f>
        <v/>
      </c>
      <c r="D961" s="6" t="n">
        <v>4</v>
      </c>
      <c r="E961" s="6" t="inlineStr">
        <is>
          <t>R1501625</t>
        </is>
      </c>
      <c r="F961" s="2" t="n">
        <v>44627</v>
      </c>
      <c r="G961" s="1" t="n"/>
    </row>
    <row r="962">
      <c r="A962" s="6" t="n">
        <v>415315</v>
      </c>
      <c r="B962" s="6" t="inlineStr">
        <is>
          <t>CARLO ROSSI SWEET RED</t>
        </is>
      </c>
      <c r="C962" s="7">
        <f>VLOOKUP(A962,SizeData!A$2:B$3839,2,FALSE)</f>
        <v/>
      </c>
      <c r="D962" s="6" t="n">
        <v>5</v>
      </c>
      <c r="E962" s="6" t="inlineStr">
        <is>
          <t>R1540227</t>
        </is>
      </c>
      <c r="F962" s="2" t="n">
        <v>44636</v>
      </c>
      <c r="G962" s="1" t="n"/>
    </row>
    <row r="963">
      <c r="A963" s="6" t="n">
        <v>415315</v>
      </c>
      <c r="B963" s="6" t="inlineStr">
        <is>
          <t>CARLO ROSSI SWEET RED</t>
        </is>
      </c>
      <c r="C963" s="7">
        <f>VLOOKUP(A963,SizeData!A$2:B$3839,2,FALSE)</f>
        <v/>
      </c>
      <c r="D963" s="6" t="n">
        <v>2</v>
      </c>
      <c r="E963" s="6" t="inlineStr">
        <is>
          <t>R1503957</t>
        </is>
      </c>
      <c r="F963" s="2" t="n">
        <v>44636</v>
      </c>
      <c r="G963" s="1" t="n"/>
    </row>
    <row r="964">
      <c r="A964" s="6" t="n">
        <v>415315</v>
      </c>
      <c r="B964" s="6" t="inlineStr">
        <is>
          <t>CARLO ROSSI SWEET RED</t>
        </is>
      </c>
      <c r="C964" s="7">
        <f>VLOOKUP(A964,SizeData!A$2:B$3839,2,FALSE)</f>
        <v/>
      </c>
      <c r="D964" s="6" t="n">
        <v>5</v>
      </c>
      <c r="E964" s="6" t="inlineStr">
        <is>
          <t>R1545849</t>
        </is>
      </c>
      <c r="F964" s="2" t="n">
        <v>44648</v>
      </c>
      <c r="G964" s="1" t="n"/>
    </row>
    <row r="965">
      <c r="A965" s="6" t="n">
        <v>415315</v>
      </c>
      <c r="B965" s="6" t="inlineStr">
        <is>
          <t>CARLO ROSSI SWEET RED</t>
        </is>
      </c>
      <c r="C965" s="7">
        <f>VLOOKUP(A965,SizeData!A$2:B$3839,2,FALSE)</f>
        <v/>
      </c>
      <c r="D965" s="6" t="n">
        <v>5</v>
      </c>
      <c r="E965" s="6" t="inlineStr">
        <is>
          <t>R1608212</t>
        </is>
      </c>
      <c r="F965" s="2" t="n">
        <v>44692</v>
      </c>
      <c r="G965" s="1" t="n"/>
    </row>
    <row r="966">
      <c r="A966" s="6" t="n">
        <v>415315</v>
      </c>
      <c r="B966" s="6" t="inlineStr">
        <is>
          <t>CARLO ROSSI SWEET RED</t>
        </is>
      </c>
      <c r="C966" s="7">
        <f>VLOOKUP(A966,SizeData!A$2:B$3839,2,FALSE)</f>
        <v/>
      </c>
      <c r="D966" s="6" t="n">
        <v>1</v>
      </c>
      <c r="E966" s="6" t="inlineStr">
        <is>
          <t>R1619359</t>
        </is>
      </c>
      <c r="F966" s="2" t="n">
        <v>44716</v>
      </c>
      <c r="G966" s="1" t="n"/>
    </row>
    <row r="967">
      <c r="A967" s="6" t="n">
        <v>415315</v>
      </c>
      <c r="B967" s="6" t="inlineStr">
        <is>
          <t>CARLO ROSSI SWEET RED</t>
        </is>
      </c>
      <c r="C967" s="7">
        <f>VLOOKUP(A967,SizeData!A$2:B$3839,2,FALSE)</f>
        <v/>
      </c>
      <c r="D967" s="6" t="n">
        <v>1</v>
      </c>
      <c r="E967" s="6" t="inlineStr">
        <is>
          <t>R1619359</t>
        </is>
      </c>
      <c r="F967" s="2" t="n">
        <v>44716</v>
      </c>
      <c r="G967" s="1" t="n"/>
    </row>
    <row r="968">
      <c r="A968" s="39" t="n">
        <v>415315</v>
      </c>
      <c r="B968" s="39" t="inlineStr">
        <is>
          <t>CARLO ROSSI SWEET RED</t>
        </is>
      </c>
      <c r="C968" s="7">
        <f>VLOOKUP(A968,SizeData!A$2:B$3839,2,FALSE)</f>
        <v/>
      </c>
      <c r="D968" s="39" t="n">
        <v>7</v>
      </c>
      <c r="E968" s="39" t="inlineStr">
        <is>
          <t>R1667718</t>
        </is>
      </c>
      <c r="F968" s="40" t="n">
        <v>44739</v>
      </c>
      <c r="G968" s="41" t="n"/>
    </row>
    <row r="969">
      <c r="A969" s="6" t="n">
        <v>415315</v>
      </c>
      <c r="B969" s="6" t="inlineStr">
        <is>
          <t>CARLO ROSSI SWEET RED</t>
        </is>
      </c>
      <c r="C969" s="7">
        <f>VLOOKUP(A969,SizeData!A$2:B$3839,2,FALSE)</f>
        <v/>
      </c>
      <c r="D969" s="6" t="n">
        <v>2</v>
      </c>
      <c r="E969" s="6" t="inlineStr">
        <is>
          <t>R1721804</t>
        </is>
      </c>
      <c r="F969" s="2" t="n">
        <v>44775</v>
      </c>
      <c r="G969" s="1" t="n"/>
    </row>
    <row r="970">
      <c r="A970" s="6" t="n">
        <v>415315</v>
      </c>
      <c r="B970" s="6" t="inlineStr">
        <is>
          <t>CARLO ROSSI SWEET RED</t>
        </is>
      </c>
      <c r="C970" s="7">
        <f>VLOOKUP(A970,SizeData!A$2:B$3839,2,FALSE)</f>
        <v/>
      </c>
      <c r="D970" s="6" t="n">
        <v>2</v>
      </c>
      <c r="E970" s="6" t="inlineStr">
        <is>
          <t>R1761638</t>
        </is>
      </c>
      <c r="F970" s="2" t="n">
        <v>44807</v>
      </c>
      <c r="G970" s="1" t="n"/>
    </row>
    <row r="971">
      <c r="A971" s="6" t="n">
        <v>415315</v>
      </c>
      <c r="B971" s="6" t="inlineStr">
        <is>
          <t>CARLO ROSSI SWEET RED</t>
        </is>
      </c>
      <c r="C971" s="7">
        <f>VLOOKUP(A971,SizeData!A$2:B$3839,2,FALSE)</f>
        <v/>
      </c>
      <c r="D971" s="6" t="n">
        <v>2</v>
      </c>
      <c r="E971" s="6" t="inlineStr">
        <is>
          <t>R1768452</t>
        </is>
      </c>
      <c r="F971" s="2" t="n">
        <v>44818</v>
      </c>
      <c r="G971" s="1" t="n"/>
    </row>
    <row r="972">
      <c r="A972" s="6" t="n">
        <v>415315</v>
      </c>
      <c r="B972" s="6" t="inlineStr">
        <is>
          <t>CARLO ROSSI SWEET RED</t>
        </is>
      </c>
      <c r="C972" s="7">
        <f>VLOOKUP(A972,SizeData!A$2:B$3839,2,FALSE)</f>
        <v/>
      </c>
      <c r="D972" s="6" t="n">
        <v>6</v>
      </c>
      <c r="E972" s="6" t="inlineStr">
        <is>
          <t>R1782657</t>
        </is>
      </c>
      <c r="F972" s="2" t="n">
        <v>44828</v>
      </c>
      <c r="G972" s="1" t="n"/>
    </row>
    <row r="973">
      <c r="A973" s="6" t="n">
        <v>415315</v>
      </c>
      <c r="B973" s="6" t="inlineStr">
        <is>
          <t>CARLO ROSSI SWEET RED</t>
        </is>
      </c>
      <c r="C973" s="7">
        <f>VLOOKUP(A973,SizeData!A$2:B$3839,2,FALSE)</f>
        <v/>
      </c>
      <c r="D973" s="6" t="n">
        <v>2</v>
      </c>
      <c r="E973" s="6" t="inlineStr">
        <is>
          <t>R1820979</t>
        </is>
      </c>
      <c r="F973" s="2" t="n">
        <v>44849</v>
      </c>
      <c r="G973" s="1" t="n"/>
    </row>
    <row r="974">
      <c r="A974" s="6" t="n">
        <v>415315</v>
      </c>
      <c r="B974" s="6" t="inlineStr">
        <is>
          <t>CARLO ROSSI SWEET RED</t>
        </is>
      </c>
      <c r="C974" s="7">
        <f>VLOOKUP(A974,SizeData!A$2:B$3839,2,FALSE)</f>
        <v/>
      </c>
      <c r="D974" s="6" t="n">
        <v>2</v>
      </c>
      <c r="E974" s="6" t="inlineStr">
        <is>
          <t>R1834591</t>
        </is>
      </c>
      <c r="F974" s="2" t="n">
        <v>44863</v>
      </c>
      <c r="G974" s="1" t="n"/>
    </row>
    <row r="975">
      <c r="A975" s="6" t="n">
        <v>415315</v>
      </c>
      <c r="B975" s="6" t="inlineStr">
        <is>
          <t>CARLO ROSSI SWEET RED</t>
        </is>
      </c>
      <c r="C975" s="7">
        <f>VLOOKUP(A975,SizeData!A$2:B$3839,2,FALSE)</f>
        <v/>
      </c>
      <c r="D975" s="6" t="n">
        <v>2</v>
      </c>
      <c r="E975" s="6" t="inlineStr">
        <is>
          <t>R1852440</t>
        </is>
      </c>
      <c r="F975" s="2" t="n">
        <v>44867</v>
      </c>
      <c r="G975" s="1" t="n"/>
    </row>
    <row r="976">
      <c r="A976" s="6" t="n">
        <v>415315</v>
      </c>
      <c r="B976" s="6" t="inlineStr">
        <is>
          <t>CARLO ROSSI SWEET RED</t>
        </is>
      </c>
      <c r="C976" s="7">
        <f>VLOOKUP(A976,SizeData!A$2:B$3839,2,FALSE)</f>
        <v/>
      </c>
      <c r="D976" s="6" t="n">
        <v>3</v>
      </c>
      <c r="E976" s="6" t="inlineStr">
        <is>
          <t>R1858281</t>
        </is>
      </c>
      <c r="F976" s="2" t="n">
        <v>44877</v>
      </c>
      <c r="G976" s="1" t="n"/>
    </row>
    <row r="977">
      <c r="A977" s="6" t="n">
        <v>415318</v>
      </c>
      <c r="B977" s="6" t="inlineStr">
        <is>
          <t>CARLO ROSSI SWEET RED</t>
        </is>
      </c>
      <c r="C977" s="7">
        <f>VLOOKUP(A977,SizeData!A$2:B$3839,2,FALSE)</f>
        <v/>
      </c>
      <c r="D977" s="6" t="n">
        <v>4</v>
      </c>
      <c r="E977" s="6" t="inlineStr">
        <is>
          <t>R1374780</t>
        </is>
      </c>
      <c r="F977" s="2" t="n">
        <v>44557</v>
      </c>
      <c r="G977" s="1" t="n"/>
    </row>
    <row r="978">
      <c r="A978" s="6" t="n">
        <v>415318</v>
      </c>
      <c r="B978" s="6" t="inlineStr">
        <is>
          <t>CARLO ROSSI SWEET RED</t>
        </is>
      </c>
      <c r="C978" s="7">
        <f>VLOOKUP(A978,SizeData!A$2:B$3839,2,FALSE)</f>
        <v/>
      </c>
      <c r="D978" s="6" t="n">
        <v>4</v>
      </c>
      <c r="E978" s="6" t="inlineStr">
        <is>
          <t>R1398653</t>
        </is>
      </c>
      <c r="F978" s="2" t="n">
        <v>44571</v>
      </c>
      <c r="G978" s="1" t="n"/>
    </row>
    <row r="979">
      <c r="A979" s="6" t="n">
        <v>415318</v>
      </c>
      <c r="B979" s="6" t="inlineStr">
        <is>
          <t>CARLO ROSSI SWEET RED</t>
        </is>
      </c>
      <c r="C979" s="7">
        <f>VLOOKUP(A979,SizeData!A$2:B$3839,2,FALSE)</f>
        <v/>
      </c>
      <c r="D979" s="6" t="n">
        <v>4</v>
      </c>
      <c r="E979" s="6" t="inlineStr">
        <is>
          <t>R1495781</t>
        </is>
      </c>
      <c r="F979" s="2" t="n">
        <v>44627</v>
      </c>
      <c r="G979" s="1" t="n"/>
    </row>
    <row r="980">
      <c r="A980" s="6" t="n">
        <v>415318</v>
      </c>
      <c r="B980" s="6" t="inlineStr">
        <is>
          <t>CARLO ROSSI SWEET RED</t>
        </is>
      </c>
      <c r="C980" s="7">
        <f>VLOOKUP(A980,SizeData!A$2:B$3839,2,FALSE)</f>
        <v/>
      </c>
      <c r="D980" s="6" t="n">
        <v>6</v>
      </c>
      <c r="E980" s="6" t="inlineStr">
        <is>
          <t>R1504620</t>
        </is>
      </c>
      <c r="F980" s="2" t="n">
        <v>44634</v>
      </c>
      <c r="G980" s="1" t="n"/>
    </row>
    <row r="981">
      <c r="A981" s="6" t="n">
        <v>415318</v>
      </c>
      <c r="B981" s="6" t="inlineStr">
        <is>
          <t>CARLO ROSSI SWEET RED</t>
        </is>
      </c>
      <c r="C981" s="7">
        <f>VLOOKUP(A981,SizeData!A$2:B$3839,2,FALSE)</f>
        <v/>
      </c>
      <c r="D981" s="6" t="n">
        <v>4</v>
      </c>
      <c r="E981" s="6" t="inlineStr">
        <is>
          <t>R1527957</t>
        </is>
      </c>
      <c r="F981" s="2" t="n">
        <v>44644</v>
      </c>
      <c r="G981" s="1" t="n"/>
    </row>
    <row r="982">
      <c r="A982" s="6" t="n">
        <v>415318</v>
      </c>
      <c r="B982" s="6" t="inlineStr">
        <is>
          <t>CARLO ROSSI SWEET RED</t>
        </is>
      </c>
      <c r="C982" s="7">
        <f>VLOOKUP(A982,SizeData!A$2:B$3839,2,FALSE)</f>
        <v/>
      </c>
      <c r="D982" s="6" t="n">
        <v>3</v>
      </c>
      <c r="E982" s="6" t="inlineStr">
        <is>
          <t>R1567357</t>
        </is>
      </c>
      <c r="F982" s="2" t="n">
        <v>44665</v>
      </c>
      <c r="G982" s="1" t="n"/>
    </row>
    <row r="983">
      <c r="A983" s="6" t="n">
        <v>415318</v>
      </c>
      <c r="B983" s="6" t="inlineStr">
        <is>
          <t>CARLO ROSSI SWEET RED</t>
        </is>
      </c>
      <c r="C983" s="7">
        <f>VLOOKUP(A983,SizeData!A$2:B$3839,2,FALSE)</f>
        <v/>
      </c>
      <c r="D983" s="6" t="n">
        <v>4</v>
      </c>
      <c r="E983" s="6" t="inlineStr">
        <is>
          <t>R1590929</t>
        </is>
      </c>
      <c r="F983" s="2" t="n">
        <v>44677</v>
      </c>
      <c r="G983" s="1" t="n"/>
    </row>
    <row r="984">
      <c r="A984" s="6" t="n">
        <v>415318</v>
      </c>
      <c r="B984" s="6" t="inlineStr">
        <is>
          <t>CARLO ROSSI SWEET RED</t>
        </is>
      </c>
      <c r="C984" s="7">
        <f>VLOOKUP(A984,SizeData!A$2:B$3839,2,FALSE)</f>
        <v/>
      </c>
      <c r="D984" s="6" t="n">
        <v>2</v>
      </c>
      <c r="E984" s="6" t="inlineStr">
        <is>
          <t>R1620910</t>
        </is>
      </c>
      <c r="F984" s="2" t="n">
        <v>44694</v>
      </c>
      <c r="G984" s="1" t="n"/>
    </row>
    <row r="985">
      <c r="A985" s="6" t="n">
        <v>415318</v>
      </c>
      <c r="B985" s="6" t="inlineStr">
        <is>
          <t>CARLO ROSSI SWEET RED</t>
        </is>
      </c>
      <c r="C985" s="7">
        <f>VLOOKUP(A985,SizeData!A$2:B$3839,2,FALSE)</f>
        <v/>
      </c>
      <c r="D985" s="6" t="n">
        <v>4</v>
      </c>
      <c r="E985" s="6" t="inlineStr">
        <is>
          <t>R1617418</t>
        </is>
      </c>
      <c r="F985" s="2" t="n">
        <v>44699</v>
      </c>
      <c r="G985" s="1" t="n"/>
    </row>
    <row r="986">
      <c r="A986" s="6" t="n">
        <v>415318</v>
      </c>
      <c r="B986" s="6" t="inlineStr">
        <is>
          <t>CARLO ROSSI SWEET RED</t>
        </is>
      </c>
      <c r="C986" s="7">
        <f>VLOOKUP(A986,SizeData!A$2:B$3839,2,FALSE)</f>
        <v/>
      </c>
      <c r="D986" s="6" t="n">
        <v>3</v>
      </c>
      <c r="E986" s="6" t="inlineStr">
        <is>
          <t>R1626065</t>
        </is>
      </c>
      <c r="F986" s="2" t="n">
        <v>44708</v>
      </c>
      <c r="G986" s="1" t="n"/>
    </row>
    <row r="987">
      <c r="A987" s="6" t="n">
        <v>415318</v>
      </c>
      <c r="B987" s="6" t="inlineStr">
        <is>
          <t>CARLO ROSSI SWEET RED</t>
        </is>
      </c>
      <c r="C987" s="7">
        <f>VLOOKUP(A987,SizeData!A$2:B$3839,2,FALSE)</f>
        <v/>
      </c>
      <c r="D987" s="6" t="n">
        <v>3</v>
      </c>
      <c r="E987" s="6" t="inlineStr">
        <is>
          <t>R1658904</t>
        </is>
      </c>
      <c r="F987" s="2" t="n">
        <v>44732</v>
      </c>
      <c r="G987" s="1" t="n"/>
    </row>
    <row r="988">
      <c r="A988" s="6" t="n">
        <v>415318</v>
      </c>
      <c r="B988" s="6" t="inlineStr">
        <is>
          <t>CARLO ROSSI SWEET RED</t>
        </is>
      </c>
      <c r="C988" s="7">
        <f>VLOOKUP(A988,SizeData!A$2:B$3839,2,FALSE)</f>
        <v/>
      </c>
      <c r="D988" s="6" t="n">
        <v>3</v>
      </c>
      <c r="E988" s="6" t="inlineStr">
        <is>
          <t>R1671604</t>
        </is>
      </c>
      <c r="F988" s="2" t="n">
        <v>44735</v>
      </c>
      <c r="G988" s="1" t="n"/>
    </row>
    <row r="989">
      <c r="A989" s="6" t="n">
        <v>415318</v>
      </c>
      <c r="B989" s="6" t="inlineStr">
        <is>
          <t>CARLO ROSSI SWEET RED</t>
        </is>
      </c>
      <c r="C989" s="7">
        <f>VLOOKUP(A989,SizeData!A$2:B$3839,2,FALSE)</f>
        <v/>
      </c>
      <c r="D989" s="6" t="n">
        <v>4</v>
      </c>
      <c r="E989" s="6" t="inlineStr">
        <is>
          <t>R1683818</t>
        </is>
      </c>
      <c r="F989" s="2" t="n">
        <v>44754</v>
      </c>
      <c r="G989" s="1" t="n"/>
    </row>
    <row r="990">
      <c r="A990" s="6" t="n">
        <v>415318</v>
      </c>
      <c r="B990" s="6" t="inlineStr">
        <is>
          <t>CARLO ROSSI SWEET RED</t>
        </is>
      </c>
      <c r="C990" s="7">
        <f>VLOOKUP(A990,SizeData!A$2:B$3839,2,FALSE)</f>
        <v/>
      </c>
      <c r="D990" s="6" t="n">
        <v>2</v>
      </c>
      <c r="E990" s="6" t="inlineStr">
        <is>
          <t>R1697003</t>
        </is>
      </c>
      <c r="F990" s="2" t="n">
        <v>44757</v>
      </c>
      <c r="G990" s="1" t="n"/>
    </row>
    <row r="991">
      <c r="A991" s="6" t="n">
        <v>415318</v>
      </c>
      <c r="B991" s="6" t="inlineStr">
        <is>
          <t>CARLO ROSSI SWEET RED</t>
        </is>
      </c>
      <c r="C991" s="7">
        <f>VLOOKUP(A991,SizeData!A$2:B$3839,2,FALSE)</f>
        <v/>
      </c>
      <c r="D991" s="6" t="n">
        <v>3</v>
      </c>
      <c r="E991" s="6" t="inlineStr">
        <is>
          <t>R1705386</t>
        </is>
      </c>
      <c r="F991" s="2" t="n">
        <v>44762</v>
      </c>
      <c r="G991" s="1" t="n"/>
    </row>
    <row r="992">
      <c r="A992" s="6" t="n">
        <v>415318</v>
      </c>
      <c r="B992" s="6" t="inlineStr">
        <is>
          <t>CARLO ROSSI SWEET RED</t>
        </is>
      </c>
      <c r="C992" s="7">
        <f>VLOOKUP(A992,SizeData!A$2:B$3839,2,FALSE)</f>
        <v/>
      </c>
      <c r="D992" s="6" t="n">
        <v>2</v>
      </c>
      <c r="E992" s="6" t="inlineStr">
        <is>
          <t>R1727399</t>
        </is>
      </c>
      <c r="F992" s="2" t="n">
        <v>44786</v>
      </c>
      <c r="G992" s="1" t="n"/>
    </row>
    <row r="993">
      <c r="A993" s="6" t="n">
        <v>415318</v>
      </c>
      <c r="B993" s="6" t="inlineStr">
        <is>
          <t>CARLO ROSSI SWEET RED</t>
        </is>
      </c>
      <c r="C993" s="7">
        <f>VLOOKUP(A993,SizeData!A$2:B$3839,2,FALSE)</f>
        <v/>
      </c>
      <c r="D993" s="6" t="n">
        <v>1</v>
      </c>
      <c r="E993" s="6" t="inlineStr">
        <is>
          <t>R1744940</t>
        </is>
      </c>
      <c r="F993" s="2" t="n">
        <v>44804</v>
      </c>
      <c r="G993" s="1" t="n"/>
    </row>
    <row r="994">
      <c r="A994" s="6" t="n">
        <v>415318</v>
      </c>
      <c r="B994" s="6" t="inlineStr">
        <is>
          <t>CARLO ROSSI SWEET RED</t>
        </is>
      </c>
      <c r="C994" s="7">
        <f>VLOOKUP(A994,SizeData!A$2:B$3839,2,FALSE)</f>
        <v/>
      </c>
      <c r="D994" s="6" t="n">
        <v>2</v>
      </c>
      <c r="E994" s="6" t="inlineStr">
        <is>
          <t>R1761638</t>
        </is>
      </c>
      <c r="F994" s="2" t="n">
        <v>44807</v>
      </c>
      <c r="G994" s="1" t="n"/>
    </row>
    <row r="995">
      <c r="A995" s="6" t="n">
        <v>415318</v>
      </c>
      <c r="B995" s="6" t="inlineStr">
        <is>
          <t>CARLO ROSSI SWEET RED</t>
        </is>
      </c>
      <c r="C995" s="7">
        <f>VLOOKUP(A995,SizeData!A$2:B$3839,2,FALSE)</f>
        <v/>
      </c>
      <c r="D995" s="6" t="n">
        <v>2</v>
      </c>
      <c r="E995" s="6" t="inlineStr">
        <is>
          <t>R1768452</t>
        </is>
      </c>
      <c r="F995" s="2" t="n">
        <v>44818</v>
      </c>
      <c r="G995" s="1" t="n"/>
    </row>
    <row r="996">
      <c r="A996" s="26" t="n">
        <v>415318</v>
      </c>
      <c r="B996" s="26" t="inlineStr">
        <is>
          <t>CARLO ROSSI SWEET RED</t>
        </is>
      </c>
      <c r="C996" s="7">
        <f>VLOOKUP(A996,SizeData!A$2:B$3839,2,FALSE)</f>
        <v/>
      </c>
      <c r="D996" s="26" t="n">
        <v>1</v>
      </c>
      <c r="E996" s="26" t="inlineStr">
        <is>
          <t>R1768452</t>
        </is>
      </c>
      <c r="F996" s="61" t="n">
        <v>44818</v>
      </c>
      <c r="G996" s="62" t="n"/>
    </row>
    <row r="997">
      <c r="A997" s="6" t="n">
        <v>415318</v>
      </c>
      <c r="B997" s="6" t="inlineStr">
        <is>
          <t>CARLO ROSSI SWEET RED</t>
        </is>
      </c>
      <c r="C997" s="7">
        <f>VLOOKUP(A997,SizeData!A$2:B$3839,2,FALSE)</f>
        <v/>
      </c>
      <c r="D997" s="6" t="n">
        <v>4</v>
      </c>
      <c r="E997" s="6" t="inlineStr">
        <is>
          <t>R1782657</t>
        </is>
      </c>
      <c r="F997" s="2" t="n">
        <v>44828</v>
      </c>
      <c r="G997" s="1" t="n"/>
    </row>
    <row r="998">
      <c r="A998" s="6" t="n">
        <v>415318</v>
      </c>
      <c r="B998" s="6" t="inlineStr">
        <is>
          <t>CARLO ROSSI SWEET RED</t>
        </is>
      </c>
      <c r="C998" s="7">
        <f>VLOOKUP(A998,SizeData!A$2:B$3839,2,FALSE)</f>
        <v/>
      </c>
      <c r="D998" s="6" t="n">
        <v>1</v>
      </c>
      <c r="E998" s="6" t="inlineStr">
        <is>
          <t>R1784903</t>
        </is>
      </c>
      <c r="F998" s="2" t="n">
        <v>44828</v>
      </c>
      <c r="G998" s="1" t="n"/>
    </row>
    <row r="999">
      <c r="A999" s="6" t="n">
        <v>415318</v>
      </c>
      <c r="B999" s="6" t="inlineStr">
        <is>
          <t>CARLO ROSSI SWEET RED</t>
        </is>
      </c>
      <c r="C999" s="7">
        <f>VLOOKUP(A999,SizeData!A$2:B$3839,2,FALSE)</f>
        <v/>
      </c>
      <c r="D999" s="6" t="n">
        <v>2</v>
      </c>
      <c r="E999" s="6" t="inlineStr">
        <is>
          <t>R1791500</t>
        </is>
      </c>
      <c r="F999" s="2" t="n">
        <v>44835</v>
      </c>
      <c r="G999" s="1" t="n"/>
    </row>
    <row r="1000">
      <c r="A1000" s="6" t="n">
        <v>415318</v>
      </c>
      <c r="B1000" s="6" t="inlineStr">
        <is>
          <t>CARLO ROSSI SWEET RED</t>
        </is>
      </c>
      <c r="C1000" s="7">
        <f>VLOOKUP(A1000,SizeData!A$2:B$3839,2,FALSE)</f>
        <v/>
      </c>
      <c r="D1000" s="6" t="n">
        <v>4</v>
      </c>
      <c r="E1000" s="6" t="inlineStr">
        <is>
          <t>R1798963</t>
        </is>
      </c>
      <c r="F1000" s="2" t="n">
        <v>44844</v>
      </c>
      <c r="G1000" s="1" t="n"/>
    </row>
    <row r="1001">
      <c r="A1001" s="6" t="n">
        <v>415318</v>
      </c>
      <c r="B1001" s="6" t="inlineStr">
        <is>
          <t>CARLO ROSSI SWEET RED</t>
        </is>
      </c>
      <c r="C1001" s="7">
        <f>VLOOKUP(A1001,SizeData!A$2:B$3839,2,FALSE)</f>
        <v/>
      </c>
      <c r="D1001" s="6" t="n">
        <v>4</v>
      </c>
      <c r="E1001" s="6" t="inlineStr">
        <is>
          <t>R1834243</t>
        </is>
      </c>
      <c r="F1001" s="2" t="n">
        <v>44865</v>
      </c>
      <c r="G1001" s="1" t="n"/>
    </row>
    <row r="1002">
      <c r="A1002" s="6" t="n">
        <v>415318</v>
      </c>
      <c r="B1002" s="6" t="inlineStr">
        <is>
          <t>CARLO ROSSI SWEET RED</t>
        </is>
      </c>
      <c r="C1002" s="7">
        <f>VLOOKUP(A1002,SizeData!A$2:B$3839,2,FALSE)</f>
        <v/>
      </c>
      <c r="D1002" s="6" t="n">
        <v>2</v>
      </c>
      <c r="E1002" s="6" t="inlineStr">
        <is>
          <t>R1858281</t>
        </is>
      </c>
      <c r="F1002" s="2" t="n">
        <v>44877</v>
      </c>
      <c r="G1002" s="1" t="n"/>
    </row>
    <row r="1003">
      <c r="A1003" s="6" t="n">
        <v>882312</v>
      </c>
      <c r="B1003" s="6" t="inlineStr">
        <is>
          <t>CARLO ROSSI SWEET RED</t>
        </is>
      </c>
      <c r="C1003" s="7">
        <f>VLOOKUP(A1003,SizeData!A$2:B$3839,2,FALSE)</f>
        <v/>
      </c>
      <c r="D1003" s="6" t="n">
        <v>4</v>
      </c>
      <c r="E1003" s="6" t="inlineStr">
        <is>
          <t>R1354778</t>
        </is>
      </c>
      <c r="F1003" s="2" t="n">
        <v>44543</v>
      </c>
      <c r="G1003" s="1" t="n"/>
    </row>
    <row r="1004">
      <c r="A1004" s="6" t="n">
        <v>882312</v>
      </c>
      <c r="B1004" s="6" t="inlineStr">
        <is>
          <t>CARLO ROSSI SWEET RED</t>
        </is>
      </c>
      <c r="C1004" s="7">
        <f>VLOOKUP(A1004,SizeData!A$2:B$3839,2,FALSE)</f>
        <v/>
      </c>
      <c r="D1004" s="6" t="n">
        <v>6</v>
      </c>
      <c r="E1004" s="6" t="inlineStr">
        <is>
          <t>R1402705</t>
        </is>
      </c>
      <c r="F1004" s="2" t="n">
        <v>44562</v>
      </c>
      <c r="G1004" s="1" t="n"/>
    </row>
    <row r="1005">
      <c r="A1005" s="6" t="n">
        <v>882312</v>
      </c>
      <c r="B1005" s="6" t="inlineStr">
        <is>
          <t>CARLO ROSSI SWEET RED</t>
        </is>
      </c>
      <c r="C1005" s="7">
        <f>VLOOKUP(A1005,SizeData!A$2:B$3839,2,FALSE)</f>
        <v/>
      </c>
      <c r="D1005" s="6" t="n">
        <v>6</v>
      </c>
      <c r="E1005" s="6" t="inlineStr">
        <is>
          <t>R1423276</t>
        </is>
      </c>
      <c r="F1005" s="2" t="n">
        <v>44580</v>
      </c>
      <c r="G1005" s="1" t="n"/>
    </row>
    <row r="1006">
      <c r="A1006" s="6" t="n">
        <v>882312</v>
      </c>
      <c r="B1006" s="6" t="inlineStr">
        <is>
          <t>CARLO ROSSI SWEET RED</t>
        </is>
      </c>
      <c r="C1006" s="7">
        <f>VLOOKUP(A1006,SizeData!A$2:B$3839,2,FALSE)</f>
        <v/>
      </c>
      <c r="D1006" s="6" t="n">
        <v>15</v>
      </c>
      <c r="E1006" s="6" t="inlineStr">
        <is>
          <t>R1432781</t>
        </is>
      </c>
      <c r="F1006" s="2" t="n">
        <v>44592</v>
      </c>
      <c r="G1006" s="1" t="n"/>
    </row>
    <row r="1007">
      <c r="A1007" s="6" t="n">
        <v>882312</v>
      </c>
      <c r="B1007" s="6" t="inlineStr">
        <is>
          <t>CARLO ROSSI SWEET RED</t>
        </is>
      </c>
      <c r="C1007" s="7">
        <f>VLOOKUP(A1007,SizeData!A$2:B$3839,2,FALSE)</f>
        <v/>
      </c>
      <c r="D1007" s="6" t="n">
        <v>5</v>
      </c>
      <c r="E1007" s="6" t="inlineStr">
        <is>
          <t>R1507714</t>
        </is>
      </c>
      <c r="F1007" s="2" t="n">
        <v>44634</v>
      </c>
      <c r="G1007" s="1" t="n"/>
    </row>
    <row r="1008">
      <c r="A1008" s="6" t="n">
        <v>882312</v>
      </c>
      <c r="B1008" s="6" t="inlineStr">
        <is>
          <t>CARLO ROSSI SWEET RED</t>
        </is>
      </c>
      <c r="C1008" s="7">
        <f>VLOOKUP(A1008,SizeData!A$2:B$3839,2,FALSE)</f>
        <v/>
      </c>
      <c r="D1008" s="6" t="n">
        <v>9</v>
      </c>
      <c r="E1008" s="6" t="inlineStr">
        <is>
          <t>R1519908</t>
        </is>
      </c>
      <c r="F1008" s="2" t="n">
        <v>44641</v>
      </c>
      <c r="G1008" s="1" t="n"/>
    </row>
    <row r="1009">
      <c r="A1009" s="6" t="n">
        <v>882312</v>
      </c>
      <c r="B1009" s="6" t="inlineStr">
        <is>
          <t>CARLO ROSSI SWEET RED</t>
        </is>
      </c>
      <c r="C1009" s="7">
        <f>VLOOKUP(A1009,SizeData!A$2:B$3839,2,FALSE)</f>
        <v/>
      </c>
      <c r="D1009" s="6" t="n">
        <v>1</v>
      </c>
      <c r="E1009" s="6" t="inlineStr">
        <is>
          <t>R1519908</t>
        </is>
      </c>
      <c r="F1009" s="2" t="n">
        <v>44641</v>
      </c>
      <c r="G1009" s="1" t="n"/>
    </row>
    <row r="1010">
      <c r="A1010" s="6" t="n">
        <v>882312</v>
      </c>
      <c r="B1010" s="6" t="inlineStr">
        <is>
          <t>CARLO ROSSI SWEET RED</t>
        </is>
      </c>
      <c r="C1010" s="7">
        <f>VLOOKUP(A1010,SizeData!A$2:B$3839,2,FALSE)</f>
        <v/>
      </c>
      <c r="D1010" s="6" t="n">
        <v>5</v>
      </c>
      <c r="E1010" s="6" t="inlineStr">
        <is>
          <t>R1612379</t>
        </is>
      </c>
      <c r="F1010" s="2" t="n">
        <v>44701</v>
      </c>
      <c r="G1010" s="1" t="n"/>
    </row>
    <row r="1011">
      <c r="A1011" s="6" t="n">
        <v>882312</v>
      </c>
      <c r="B1011" s="6" t="inlineStr">
        <is>
          <t>CARLO ROSSI SWEET RED</t>
        </is>
      </c>
      <c r="C1011" s="7">
        <f>VLOOKUP(A1011,SizeData!A$2:B$3839,2,FALSE)</f>
        <v/>
      </c>
      <c r="D1011" s="6" t="n">
        <v>4</v>
      </c>
      <c r="E1011" s="6" t="inlineStr">
        <is>
          <t>R1646609</t>
        </is>
      </c>
      <c r="F1011" s="2" t="n">
        <v>44719</v>
      </c>
      <c r="G1011" s="1" t="n"/>
    </row>
    <row r="1012">
      <c r="A1012" s="6" t="n">
        <v>882312</v>
      </c>
      <c r="B1012" s="6" t="inlineStr">
        <is>
          <t>CARLO ROSSI SWEET RED</t>
        </is>
      </c>
      <c r="C1012" s="7">
        <f>VLOOKUP(A1012,SizeData!A$2:B$3839,2,FALSE)</f>
        <v/>
      </c>
      <c r="D1012" s="6" t="n">
        <v>3</v>
      </c>
      <c r="E1012" s="6" t="inlineStr">
        <is>
          <t>R1647521</t>
        </is>
      </c>
      <c r="F1012" s="2" t="n">
        <v>44723</v>
      </c>
      <c r="G1012" s="1" t="n"/>
    </row>
    <row r="1013">
      <c r="A1013" s="39" t="n">
        <v>882312</v>
      </c>
      <c r="B1013" s="39" t="inlineStr">
        <is>
          <t>CARLO ROSSI SWEET RED</t>
        </is>
      </c>
      <c r="C1013" s="7">
        <f>VLOOKUP(A1013,SizeData!A$2:B$3839,2,FALSE)</f>
        <v/>
      </c>
      <c r="D1013" s="39" t="n">
        <v>6</v>
      </c>
      <c r="E1013" s="39" t="inlineStr">
        <is>
          <t>R1667718</t>
        </is>
      </c>
      <c r="F1013" s="40" t="n">
        <v>44739</v>
      </c>
      <c r="G1013" s="41" t="n"/>
    </row>
    <row r="1014">
      <c r="A1014" s="6" t="n">
        <v>882312</v>
      </c>
      <c r="B1014" s="6" t="inlineStr">
        <is>
          <t>CARLO ROSSI SWEET RED</t>
        </is>
      </c>
      <c r="C1014" s="7">
        <f>VLOOKUP(A1014,SizeData!A$2:B$3839,2,FALSE)</f>
        <v/>
      </c>
      <c r="D1014" s="6" t="n">
        <v>4</v>
      </c>
      <c r="E1014" s="6" t="inlineStr">
        <is>
          <t>R1739883</t>
        </is>
      </c>
      <c r="F1014" s="2" t="n">
        <v>44800</v>
      </c>
      <c r="G1014" s="1" t="n"/>
    </row>
    <row r="1015">
      <c r="A1015" s="6" t="n">
        <v>882312</v>
      </c>
      <c r="B1015" s="6" t="inlineStr">
        <is>
          <t>CARLO ROSSI SWEET RED</t>
        </is>
      </c>
      <c r="C1015" s="7">
        <f>VLOOKUP(A1015,SizeData!A$2:B$3839,2,FALSE)</f>
        <v/>
      </c>
      <c r="D1015" s="6" t="n">
        <v>1</v>
      </c>
      <c r="E1015" s="6" t="inlineStr">
        <is>
          <t>R1762606</t>
        </is>
      </c>
      <c r="F1015" s="2" t="n">
        <v>44809</v>
      </c>
      <c r="G1015" s="1" t="n"/>
    </row>
    <row r="1016">
      <c r="A1016" s="6" t="n">
        <v>882312</v>
      </c>
      <c r="B1016" s="6" t="inlineStr">
        <is>
          <t>CARLO ROSSI SWEET RED</t>
        </is>
      </c>
      <c r="C1016" s="7">
        <f>VLOOKUP(A1016,SizeData!A$2:B$3839,2,FALSE)</f>
        <v/>
      </c>
      <c r="D1016" s="6" t="n">
        <v>2</v>
      </c>
      <c r="E1016" s="6" t="inlineStr">
        <is>
          <t>R1781063</t>
        </is>
      </c>
      <c r="F1016" s="2" t="n">
        <v>44823</v>
      </c>
      <c r="G1016" s="1" t="n"/>
    </row>
    <row r="1017">
      <c r="A1017" s="6" t="n">
        <v>882312</v>
      </c>
      <c r="B1017" s="6" t="inlineStr">
        <is>
          <t>CARLO ROSSI SWEET RED</t>
        </is>
      </c>
      <c r="C1017" s="7">
        <f>VLOOKUP(A1017,SizeData!A$2:B$3839,2,FALSE)</f>
        <v/>
      </c>
      <c r="D1017" s="6" t="n">
        <v>2</v>
      </c>
      <c r="E1017" s="6" t="inlineStr">
        <is>
          <t>R1820979</t>
        </is>
      </c>
      <c r="F1017" s="2" t="n">
        <v>44849</v>
      </c>
      <c r="G1017" s="1" t="n"/>
    </row>
    <row r="1018">
      <c r="A1018" s="6" t="n">
        <v>882312</v>
      </c>
      <c r="B1018" s="6" t="inlineStr">
        <is>
          <t>CARLO ROSSI SWEET RED</t>
        </is>
      </c>
      <c r="C1018" s="7">
        <f>VLOOKUP(A1018,SizeData!A$2:B$3839,2,FALSE)</f>
        <v/>
      </c>
      <c r="D1018" s="6" t="n">
        <v>2</v>
      </c>
      <c r="E1018" s="6" t="inlineStr">
        <is>
          <t>R1818650</t>
        </is>
      </c>
      <c r="F1018" s="2" t="n">
        <v>44856</v>
      </c>
      <c r="G1018" s="1" t="n"/>
    </row>
    <row r="1019">
      <c r="A1019" s="6" t="n">
        <v>882312</v>
      </c>
      <c r="B1019" s="6" t="inlineStr">
        <is>
          <t>CARLO ROSSI SWEET RED</t>
        </is>
      </c>
      <c r="C1019" s="7">
        <f>VLOOKUP(A1019,SizeData!A$2:B$3839,2,FALSE)</f>
        <v/>
      </c>
      <c r="D1019" s="6" t="n">
        <v>2</v>
      </c>
      <c r="E1019" s="6" t="inlineStr">
        <is>
          <t>R1858355</t>
        </is>
      </c>
      <c r="F1019" s="2" t="n">
        <v>44880</v>
      </c>
      <c r="G1019" s="1" t="n"/>
    </row>
    <row r="1020">
      <c r="A1020" s="6" t="n">
        <v>882312</v>
      </c>
      <c r="B1020" s="6" t="inlineStr">
        <is>
          <t>CARLO ROSSI SWEET RED</t>
        </is>
      </c>
      <c r="C1020" s="7">
        <f>VLOOKUP(A1020,SizeData!A$2:B$3839,2,FALSE)</f>
        <v/>
      </c>
      <c r="D1020" s="6" t="n">
        <v>4</v>
      </c>
      <c r="E1020" s="6" t="inlineStr">
        <is>
          <t>R1894250</t>
        </is>
      </c>
      <c r="F1020" s="2" t="n">
        <v>44902</v>
      </c>
      <c r="G1020" s="1" t="n"/>
    </row>
    <row r="1021">
      <c r="A1021" s="6" t="n">
        <v>646105</v>
      </c>
      <c r="B1021" s="6" t="inlineStr">
        <is>
          <t>CARLO ROSSI SWEET ROSE</t>
        </is>
      </c>
      <c r="C1021" s="7">
        <f>VLOOKUP(A1021,SizeData!A$2:B$3839,2,FALSE)</f>
        <v/>
      </c>
      <c r="D1021" s="6" t="n">
        <v>1</v>
      </c>
      <c r="E1021" s="6" t="inlineStr">
        <is>
          <t>R1434427</t>
        </is>
      </c>
      <c r="F1021" s="2" t="n">
        <v>44588</v>
      </c>
      <c r="G1021" s="1" t="n"/>
    </row>
    <row r="1022">
      <c r="A1022" s="6" t="n">
        <v>882308</v>
      </c>
      <c r="B1022" s="6" t="inlineStr">
        <is>
          <t>CARLO ROSSI SWEET SANGRIA</t>
        </is>
      </c>
      <c r="C1022" s="7">
        <f>VLOOKUP(A1022,SizeData!A$2:B$3839,2,FALSE)</f>
        <v/>
      </c>
      <c r="D1022" s="6" t="n">
        <v>4</v>
      </c>
      <c r="E1022" s="6" t="inlineStr">
        <is>
          <t>R1376605</t>
        </is>
      </c>
      <c r="F1022" s="2" t="n">
        <v>44544</v>
      </c>
      <c r="G1022" s="1" t="n"/>
    </row>
    <row r="1023">
      <c r="A1023" s="6" t="n">
        <v>882308</v>
      </c>
      <c r="B1023" s="6" t="inlineStr">
        <is>
          <t>CARLO ROSSI SWEET SANGRIA</t>
        </is>
      </c>
      <c r="C1023" s="7">
        <f>VLOOKUP(A1023,SizeData!A$2:B$3839,2,FALSE)</f>
        <v/>
      </c>
      <c r="D1023" s="6" t="n">
        <v>6</v>
      </c>
      <c r="E1023" s="6" t="inlineStr">
        <is>
          <t>R1379703</t>
        </is>
      </c>
      <c r="F1023" s="2" t="n">
        <v>44552</v>
      </c>
      <c r="G1023" s="1" t="n"/>
    </row>
    <row r="1024">
      <c r="A1024" s="6" t="n">
        <v>882308</v>
      </c>
      <c r="B1024" s="6" t="inlineStr">
        <is>
          <t>CARLO ROSSI SWEET SANGRIA</t>
        </is>
      </c>
      <c r="C1024" s="7">
        <f>VLOOKUP(A1024,SizeData!A$2:B$3839,2,FALSE)</f>
        <v/>
      </c>
      <c r="D1024" s="6" t="n">
        <v>3</v>
      </c>
      <c r="E1024" s="6" t="inlineStr">
        <is>
          <t>R1540227</t>
        </is>
      </c>
      <c r="F1024" s="2" t="n">
        <v>44636</v>
      </c>
      <c r="G1024" s="1" t="n"/>
    </row>
    <row r="1025">
      <c r="A1025" s="6" t="n">
        <v>882308</v>
      </c>
      <c r="B1025" s="6" t="inlineStr">
        <is>
          <t>CARLO ROSSI SWEET SANGRIA</t>
        </is>
      </c>
      <c r="C1025" s="7">
        <f>VLOOKUP(A1025,SizeData!A$2:B$3839,2,FALSE)</f>
        <v/>
      </c>
      <c r="D1025" s="6" t="n">
        <v>2</v>
      </c>
      <c r="E1025" s="6" t="inlineStr">
        <is>
          <t>R1531072</t>
        </is>
      </c>
      <c r="F1025" s="2" t="n">
        <v>44642</v>
      </c>
      <c r="G1025" s="1" t="n"/>
    </row>
    <row r="1026">
      <c r="A1026" s="6" t="n">
        <v>882308</v>
      </c>
      <c r="B1026" s="6" t="inlineStr">
        <is>
          <t>CARLO ROSSI SWEET SANGRIA</t>
        </is>
      </c>
      <c r="C1026" s="7">
        <f>VLOOKUP(A1026,SizeData!A$2:B$3839,2,FALSE)</f>
        <v/>
      </c>
      <c r="D1026" s="6" t="n">
        <v>3</v>
      </c>
      <c r="E1026" s="6" t="inlineStr">
        <is>
          <t>R1602016</t>
        </is>
      </c>
      <c r="F1026" s="2" t="n">
        <v>44688</v>
      </c>
      <c r="G1026" s="1" t="n"/>
    </row>
    <row r="1027">
      <c r="A1027" s="6" t="n">
        <v>882308</v>
      </c>
      <c r="B1027" s="6" t="inlineStr">
        <is>
          <t>CARLO ROSSI SWEET SANGRIA</t>
        </is>
      </c>
      <c r="C1027" s="7">
        <f>VLOOKUP(A1027,SizeData!A$2:B$3839,2,FALSE)</f>
        <v/>
      </c>
      <c r="D1027" s="6" t="n">
        <v>2</v>
      </c>
      <c r="E1027" s="6" t="inlineStr">
        <is>
          <t>R1606546</t>
        </is>
      </c>
      <c r="F1027" s="2" t="n">
        <v>44690</v>
      </c>
      <c r="G1027" s="1" t="n"/>
    </row>
    <row r="1028">
      <c r="A1028" s="6" t="n">
        <v>882308</v>
      </c>
      <c r="B1028" s="6" t="inlineStr">
        <is>
          <t>CARLO ROSSI SWEET SANGRIA</t>
        </is>
      </c>
      <c r="C1028" s="7">
        <f>VLOOKUP(A1028,SizeData!A$2:B$3839,2,FALSE)</f>
        <v/>
      </c>
      <c r="D1028" s="6" t="n">
        <v>2</v>
      </c>
      <c r="E1028" s="6" t="inlineStr">
        <is>
          <t>R1665833</t>
        </is>
      </c>
      <c r="F1028" s="2" t="n">
        <v>44734</v>
      </c>
      <c r="G1028" s="1" t="n"/>
    </row>
    <row r="1029">
      <c r="A1029" s="6" t="n">
        <v>882308</v>
      </c>
      <c r="B1029" s="6" t="inlineStr">
        <is>
          <t>CARLO ROSSI SWEET SANGRIA</t>
        </is>
      </c>
      <c r="C1029" s="7">
        <f>VLOOKUP(A1029,SizeData!A$2:B$3839,2,FALSE)</f>
        <v/>
      </c>
      <c r="D1029" s="6" t="n">
        <v>2</v>
      </c>
      <c r="E1029" s="6" t="inlineStr">
        <is>
          <t>R1727399</t>
        </is>
      </c>
      <c r="F1029" s="2" t="n">
        <v>44786</v>
      </c>
      <c r="G1029" s="1" t="n"/>
    </row>
    <row r="1030">
      <c r="A1030" s="6" t="n">
        <v>882308</v>
      </c>
      <c r="B1030" s="6" t="inlineStr">
        <is>
          <t>CARLO ROSSI SWEET SANGRIA</t>
        </is>
      </c>
      <c r="C1030" s="7">
        <f>VLOOKUP(A1030,SizeData!A$2:B$3839,2,FALSE)</f>
        <v/>
      </c>
      <c r="D1030" s="6" t="n">
        <v>2</v>
      </c>
      <c r="E1030" s="6" t="inlineStr">
        <is>
          <t>R1749860</t>
        </is>
      </c>
      <c r="F1030" s="2" t="n">
        <v>44811</v>
      </c>
      <c r="G1030" s="1" t="n"/>
    </row>
    <row r="1031">
      <c r="A1031" s="6" t="n">
        <v>882308</v>
      </c>
      <c r="B1031" s="6" t="inlineStr">
        <is>
          <t>CARLO ROSSI SWEET SANGRIA</t>
        </is>
      </c>
      <c r="C1031" s="7">
        <f>VLOOKUP(A1031,SizeData!A$2:B$3839,2,FALSE)</f>
        <v/>
      </c>
      <c r="D1031" s="6" t="n">
        <v>2</v>
      </c>
      <c r="E1031" s="6" t="inlineStr">
        <is>
          <t>R1784903</t>
        </is>
      </c>
      <c r="F1031" s="2" t="n">
        <v>44828</v>
      </c>
      <c r="G1031" s="1" t="n"/>
    </row>
    <row r="1032">
      <c r="A1032" s="6" t="n">
        <v>882308</v>
      </c>
      <c r="B1032" s="6" t="inlineStr">
        <is>
          <t>CARLO ROSSI SWEET SANGRIA</t>
        </is>
      </c>
      <c r="C1032" s="7">
        <f>VLOOKUP(A1032,SizeData!A$2:B$3839,2,FALSE)</f>
        <v/>
      </c>
      <c r="D1032" s="6" t="n">
        <v>2</v>
      </c>
      <c r="E1032" s="6" t="inlineStr">
        <is>
          <t>R1834591</t>
        </is>
      </c>
      <c r="F1032" s="2" t="n">
        <v>44863</v>
      </c>
      <c r="G1032" s="1" t="n"/>
    </row>
    <row r="1033">
      <c r="A1033" s="6" t="n">
        <v>882308</v>
      </c>
      <c r="B1033" s="6" t="inlineStr">
        <is>
          <t>CARLO ROSSI SWEET SANGRIA</t>
        </is>
      </c>
      <c r="C1033" s="7">
        <f>VLOOKUP(A1033,SizeData!A$2:B$3839,2,FALSE)</f>
        <v/>
      </c>
      <c r="D1033" s="6" t="n">
        <v>2</v>
      </c>
      <c r="E1033" s="6" t="inlineStr">
        <is>
          <t>R1894250</t>
        </is>
      </c>
      <c r="F1033" s="2" t="n">
        <v>44902</v>
      </c>
      <c r="G1033" s="1" t="n"/>
    </row>
    <row r="1034">
      <c r="A1034" s="6" t="n">
        <v>882310</v>
      </c>
      <c r="B1034" s="6" t="inlineStr">
        <is>
          <t>CARLO ROSSI SWEET SANGRIA</t>
        </is>
      </c>
      <c r="C1034" s="7">
        <f>VLOOKUP(A1034,SizeData!A$2:B$3839,2,FALSE)</f>
        <v/>
      </c>
      <c r="D1034" s="6" t="n">
        <v>2</v>
      </c>
      <c r="E1034" s="6" t="inlineStr">
        <is>
          <t>R1374780</t>
        </is>
      </c>
      <c r="F1034" s="2" t="n">
        <v>44557</v>
      </c>
      <c r="G1034" s="1" t="n"/>
    </row>
    <row r="1035">
      <c r="A1035" s="6" t="n">
        <v>882310</v>
      </c>
      <c r="B1035" s="6" t="inlineStr">
        <is>
          <t>CARLO ROSSI SWEET SANGRIA</t>
        </is>
      </c>
      <c r="C1035" s="7">
        <f>VLOOKUP(A1035,SizeData!A$2:B$3839,2,FALSE)</f>
        <v/>
      </c>
      <c r="D1035" s="6" t="n">
        <v>2</v>
      </c>
      <c r="E1035" s="6" t="inlineStr">
        <is>
          <t>R1540219</t>
        </is>
      </c>
      <c r="F1035" s="2" t="n">
        <v>44635</v>
      </c>
      <c r="G1035" s="1" t="n"/>
    </row>
    <row r="1036">
      <c r="A1036" s="6" t="n">
        <v>882310</v>
      </c>
      <c r="B1036" s="6" t="inlineStr">
        <is>
          <t>CARLO ROSSI SWEET SANGRIA</t>
        </is>
      </c>
      <c r="C1036" s="7">
        <f>VLOOKUP(A1036,SizeData!A$2:B$3839,2,FALSE)</f>
        <v/>
      </c>
      <c r="D1036" s="6" t="n">
        <v>1</v>
      </c>
      <c r="E1036" s="6" t="inlineStr">
        <is>
          <t>R1590929</t>
        </is>
      </c>
      <c r="F1036" s="2" t="n">
        <v>44677</v>
      </c>
      <c r="G1036" s="1" t="n"/>
    </row>
    <row r="1037">
      <c r="A1037" s="6" t="n">
        <v>882310</v>
      </c>
      <c r="B1037" s="6" t="inlineStr">
        <is>
          <t>CARLO ROSSI SWEET SANGRIA</t>
        </is>
      </c>
      <c r="C1037" s="7">
        <f>VLOOKUP(A1037,SizeData!A$2:B$3839,2,FALSE)</f>
        <v/>
      </c>
      <c r="D1037" s="6" t="n">
        <v>2</v>
      </c>
      <c r="E1037" s="6" t="inlineStr">
        <is>
          <t>R1605719</t>
        </is>
      </c>
      <c r="F1037" s="2" t="n">
        <v>44685</v>
      </c>
      <c r="G1037" s="1" t="n"/>
    </row>
    <row r="1038">
      <c r="A1038" s="6" t="n">
        <v>882310</v>
      </c>
      <c r="B1038" s="6" t="inlineStr">
        <is>
          <t>CARLO ROSSI SWEET SANGRIA</t>
        </is>
      </c>
      <c r="C1038" s="7">
        <f>VLOOKUP(A1038,SizeData!A$2:B$3839,2,FALSE)</f>
        <v/>
      </c>
      <c r="D1038" s="6" t="n">
        <v>2</v>
      </c>
      <c r="E1038" s="6" t="inlineStr">
        <is>
          <t>R1630969</t>
        </is>
      </c>
      <c r="F1038" s="2" t="n">
        <v>44711</v>
      </c>
      <c r="G1038" s="1" t="n"/>
    </row>
    <row r="1039">
      <c r="A1039" s="6" t="n">
        <v>882310</v>
      </c>
      <c r="B1039" s="6" t="inlineStr">
        <is>
          <t>CARLO ROSSI SWEET SANGRIA</t>
        </is>
      </c>
      <c r="C1039" s="7">
        <f>VLOOKUP(A1039,SizeData!A$2:B$3839,2,FALSE)</f>
        <v/>
      </c>
      <c r="D1039" s="6" t="n">
        <v>2</v>
      </c>
      <c r="E1039" s="6" t="inlineStr">
        <is>
          <t>R1646165</t>
        </is>
      </c>
      <c r="F1039" s="2" t="n">
        <v>44723</v>
      </c>
      <c r="G1039" s="1" t="n"/>
    </row>
    <row r="1040">
      <c r="A1040" s="6" t="n">
        <v>882310</v>
      </c>
      <c r="B1040" s="6" t="inlineStr">
        <is>
          <t>CARLO ROSSI SWEET SANGRIA</t>
        </is>
      </c>
      <c r="C1040" s="7">
        <f>VLOOKUP(A1040,SizeData!A$2:B$3839,2,FALSE)</f>
        <v/>
      </c>
      <c r="D1040" s="6" t="n">
        <v>2</v>
      </c>
      <c r="E1040" s="6" t="inlineStr">
        <is>
          <t>R1677409</t>
        </is>
      </c>
      <c r="F1040" s="2" t="n">
        <v>44746</v>
      </c>
      <c r="G1040" s="1" t="n"/>
    </row>
    <row r="1041">
      <c r="A1041" s="6" t="n">
        <v>882310</v>
      </c>
      <c r="B1041" s="6" t="inlineStr">
        <is>
          <t>CARLO ROSSI SWEET SANGRIA</t>
        </is>
      </c>
      <c r="C1041" s="7">
        <f>VLOOKUP(A1041,SizeData!A$2:B$3839,2,FALSE)</f>
        <v/>
      </c>
      <c r="D1041" s="6" t="n">
        <v>2</v>
      </c>
      <c r="E1041" s="6" t="inlineStr">
        <is>
          <t>R1723520</t>
        </is>
      </c>
      <c r="F1041" s="2" t="n">
        <v>44782</v>
      </c>
      <c r="G1041" s="1" t="n"/>
    </row>
    <row r="1042">
      <c r="A1042" s="6" t="n">
        <v>882310</v>
      </c>
      <c r="B1042" s="6" t="inlineStr">
        <is>
          <t>CARLO ROSSI SWEET SANGRIA</t>
        </is>
      </c>
      <c r="C1042" s="7">
        <f>VLOOKUP(A1042,SizeData!A$2:B$3839,2,FALSE)</f>
        <v/>
      </c>
      <c r="D1042" s="6" t="n">
        <v>2</v>
      </c>
      <c r="E1042" s="6" t="inlineStr">
        <is>
          <t>R1762606</t>
        </is>
      </c>
      <c r="F1042" s="2" t="n">
        <v>44809</v>
      </c>
      <c r="G1042" s="1" t="n"/>
    </row>
    <row r="1043">
      <c r="A1043" s="6" t="n">
        <v>882310</v>
      </c>
      <c r="B1043" s="6" t="inlineStr">
        <is>
          <t>CARLO ROSSI SWEET SANGRIA</t>
        </is>
      </c>
      <c r="C1043" s="7">
        <f>VLOOKUP(A1043,SizeData!A$2:B$3839,2,FALSE)</f>
        <v/>
      </c>
      <c r="D1043" s="6" t="n">
        <v>1</v>
      </c>
      <c r="E1043" s="6" t="inlineStr">
        <is>
          <t>R1767069</t>
        </is>
      </c>
      <c r="F1043" s="2" t="n">
        <v>44814</v>
      </c>
      <c r="G1043" s="1" t="n"/>
    </row>
    <row r="1044">
      <c r="A1044" s="6" t="n">
        <v>882310</v>
      </c>
      <c r="B1044" s="6" t="inlineStr">
        <is>
          <t>CARLO ROSSI SWEET SANGRIA</t>
        </is>
      </c>
      <c r="C1044" s="7">
        <f>VLOOKUP(A1044,SizeData!A$2:B$3839,2,FALSE)</f>
        <v/>
      </c>
      <c r="D1044" s="6" t="n">
        <v>2</v>
      </c>
      <c r="E1044" s="6" t="inlineStr">
        <is>
          <t>R1784903</t>
        </is>
      </c>
      <c r="F1044" s="2" t="n">
        <v>44828</v>
      </c>
      <c r="G1044" s="1" t="n"/>
    </row>
    <row r="1045">
      <c r="A1045" s="6" t="n">
        <v>882310</v>
      </c>
      <c r="B1045" s="6" t="inlineStr">
        <is>
          <t>CARLO ROSSI SWEET SANGRIA</t>
        </is>
      </c>
      <c r="C1045" s="7">
        <f>VLOOKUP(A1045,SizeData!A$2:B$3839,2,FALSE)</f>
        <v/>
      </c>
      <c r="D1045" s="6" t="n">
        <v>2</v>
      </c>
      <c r="E1045" s="6" t="inlineStr">
        <is>
          <t>R1820979</t>
        </is>
      </c>
      <c r="F1045" s="2" t="n">
        <v>44849</v>
      </c>
      <c r="G1045" s="1" t="n"/>
    </row>
    <row r="1046">
      <c r="A1046" s="6" t="n">
        <v>882310</v>
      </c>
      <c r="B1046" s="6" t="inlineStr">
        <is>
          <t>CARLO ROSSI SWEET SANGRIA</t>
        </is>
      </c>
      <c r="C1046" s="7">
        <f>VLOOKUP(A1046,SizeData!A$2:B$3839,2,FALSE)</f>
        <v/>
      </c>
      <c r="D1046" s="6" t="n">
        <v>1</v>
      </c>
      <c r="E1046" s="6" t="inlineStr">
        <is>
          <t>R1818650</t>
        </is>
      </c>
      <c r="F1046" s="2" t="n">
        <v>44856</v>
      </c>
      <c r="G1046" s="1" t="n"/>
    </row>
    <row r="1047">
      <c r="A1047" s="6" t="n">
        <v>882310</v>
      </c>
      <c r="B1047" s="6" t="inlineStr">
        <is>
          <t>CARLO ROSSI SWEET SANGRIA</t>
        </is>
      </c>
      <c r="C1047" s="7">
        <f>VLOOKUP(A1047,SizeData!A$2:B$3839,2,FALSE)</f>
        <v/>
      </c>
      <c r="D1047" s="6" t="n">
        <v>2</v>
      </c>
      <c r="E1047" s="6" t="inlineStr">
        <is>
          <t>R1894250</t>
        </is>
      </c>
      <c r="F1047" s="2" t="n">
        <v>44902</v>
      </c>
      <c r="G1047" s="1" t="n"/>
    </row>
    <row r="1048">
      <c r="A1048" s="6" t="n">
        <v>882325</v>
      </c>
      <c r="B1048" s="6" t="inlineStr">
        <is>
          <t>CARLO ROSSI WATERMELON SANGRIA</t>
        </is>
      </c>
      <c r="C1048" s="7">
        <f>VLOOKUP(A1048,SizeData!A$2:B$3839,2,FALSE)</f>
        <v/>
      </c>
      <c r="D1048" s="6" t="n">
        <v>6</v>
      </c>
      <c r="E1048" s="6" t="inlineStr">
        <is>
          <t>R1402705</t>
        </is>
      </c>
      <c r="F1048" s="2" t="n">
        <v>44562</v>
      </c>
      <c r="G1048" s="1" t="n"/>
    </row>
    <row r="1049">
      <c r="A1049" s="6" t="n">
        <v>882325</v>
      </c>
      <c r="B1049" s="6" t="inlineStr">
        <is>
          <t>CARLO ROSSI WATERMELON SANGRIA</t>
        </is>
      </c>
      <c r="C1049" s="7">
        <f>VLOOKUP(A1049,SizeData!A$2:B$3839,2,FALSE)</f>
        <v/>
      </c>
      <c r="D1049" s="6" t="n">
        <v>1</v>
      </c>
      <c r="E1049" s="6" t="inlineStr">
        <is>
          <t>R1397487</t>
        </is>
      </c>
      <c r="F1049" s="2" t="n">
        <v>44567</v>
      </c>
      <c r="G1049" s="1" t="n"/>
    </row>
    <row r="1050">
      <c r="A1050" s="6" t="n">
        <v>882325</v>
      </c>
      <c r="B1050" s="6" t="inlineStr">
        <is>
          <t>CARLO ROSSI WATERMELON SANGRIA</t>
        </is>
      </c>
      <c r="C1050" s="7">
        <f>VLOOKUP(A1050,SizeData!A$2:B$3839,2,FALSE)</f>
        <v/>
      </c>
      <c r="D1050" s="6" t="n">
        <v>3</v>
      </c>
      <c r="E1050" s="6" t="inlineStr">
        <is>
          <t>R1458236</t>
        </is>
      </c>
      <c r="F1050" s="2" t="n">
        <v>44607</v>
      </c>
      <c r="G1050" s="1" t="n"/>
    </row>
    <row r="1051">
      <c r="A1051" s="6" t="n">
        <v>882325</v>
      </c>
      <c r="B1051" s="6" t="inlineStr">
        <is>
          <t>CARLO ROSSI WATERMELON SANGRIA</t>
        </is>
      </c>
      <c r="C1051" s="7">
        <f>VLOOKUP(A1051,SizeData!A$2:B$3839,2,FALSE)</f>
        <v/>
      </c>
      <c r="D1051" s="6" t="n">
        <v>2</v>
      </c>
      <c r="E1051" s="6" t="inlineStr">
        <is>
          <t>R1563525</t>
        </is>
      </c>
      <c r="F1051" s="2" t="n">
        <v>44666</v>
      </c>
      <c r="G1051" s="1" t="n"/>
    </row>
    <row r="1052">
      <c r="A1052" s="6" t="n">
        <v>882325</v>
      </c>
      <c r="B1052" s="6" t="inlineStr">
        <is>
          <t>CARLO ROSSI WATERMELON SANGRIA</t>
        </is>
      </c>
      <c r="C1052" s="7">
        <f>VLOOKUP(A1052,SizeData!A$2:B$3839,2,FALSE)</f>
        <v/>
      </c>
      <c r="D1052" s="6" t="n">
        <v>2</v>
      </c>
      <c r="E1052" s="6" t="inlineStr">
        <is>
          <t>R1645015</t>
        </is>
      </c>
      <c r="F1052" s="2" t="n">
        <v>44712</v>
      </c>
      <c r="G1052" s="1" t="n"/>
    </row>
    <row r="1053">
      <c r="A1053" s="6" t="n">
        <v>882325</v>
      </c>
      <c r="B1053" s="6" t="inlineStr">
        <is>
          <t>CARLO ROSSI WATERMELON SANGRIA</t>
        </is>
      </c>
      <c r="C1053" s="7">
        <f>VLOOKUP(A1053,SizeData!A$2:B$3839,2,FALSE)</f>
        <v/>
      </c>
      <c r="D1053" s="6" t="n">
        <v>1</v>
      </c>
      <c r="E1053" s="6" t="inlineStr">
        <is>
          <t>R1660842</t>
        </is>
      </c>
      <c r="F1053" s="2" t="n">
        <v>44732</v>
      </c>
      <c r="G1053" s="1" t="n"/>
    </row>
    <row r="1054">
      <c r="A1054" s="6" t="n">
        <v>882325</v>
      </c>
      <c r="B1054" s="6" t="inlineStr">
        <is>
          <t>CARLO ROSSI WATERMELON SANGRIA</t>
        </is>
      </c>
      <c r="C1054" s="7">
        <f>VLOOKUP(A1054,SizeData!A$2:B$3839,2,FALSE)</f>
        <v/>
      </c>
      <c r="D1054" s="6" t="n">
        <v>1</v>
      </c>
      <c r="E1054" s="6" t="inlineStr">
        <is>
          <t>R1683818</t>
        </is>
      </c>
      <c r="F1054" s="2" t="n">
        <v>44754</v>
      </c>
      <c r="G1054" s="1" t="n"/>
    </row>
    <row r="1055">
      <c r="A1055" s="6" t="n">
        <v>882325</v>
      </c>
      <c r="B1055" s="6" t="inlineStr">
        <is>
          <t>CARLO ROSSI WATERMELON SANGRIA</t>
        </is>
      </c>
      <c r="C1055" s="7">
        <f>VLOOKUP(A1055,SizeData!A$2:B$3839,2,FALSE)</f>
        <v/>
      </c>
      <c r="D1055" s="6" t="n">
        <v>2</v>
      </c>
      <c r="E1055" s="6" t="inlineStr">
        <is>
          <t>R1696453</t>
        </is>
      </c>
      <c r="F1055" s="2" t="n">
        <v>44758</v>
      </c>
      <c r="G1055" s="1" t="n"/>
    </row>
    <row r="1056">
      <c r="A1056" s="6" t="n">
        <v>451754</v>
      </c>
      <c r="B1056" s="6" t="inlineStr">
        <is>
          <t>CARNIVOR CABERNET SAUVIGNON BOURBON BARREL AGED</t>
        </is>
      </c>
      <c r="C1056" s="7">
        <f>VLOOKUP(A1056,SizeData!A$2:B$3839,2,FALSE)</f>
        <v/>
      </c>
      <c r="D1056" s="6" t="n">
        <v>1</v>
      </c>
      <c r="E1056" s="6" t="inlineStr">
        <is>
          <t>R1900430</t>
        </is>
      </c>
      <c r="F1056" s="2" t="n">
        <v>44896</v>
      </c>
      <c r="G1056" s="1" t="n"/>
    </row>
    <row r="1057">
      <c r="A1057" s="6" t="n">
        <v>68126</v>
      </c>
      <c r="B1057" s="6" t="inlineStr">
        <is>
          <t>CAROLANS IRISH CREAM LIQUEUR</t>
        </is>
      </c>
      <c r="C1057" s="7">
        <f>VLOOKUP(A1057,SizeData!A$2:B$3839,2,FALSE)</f>
        <v/>
      </c>
      <c r="D1057" s="6" t="n">
        <v>1</v>
      </c>
      <c r="E1057" s="6" t="inlineStr">
        <is>
          <t>R1515367</t>
        </is>
      </c>
      <c r="F1057" s="2" t="n">
        <v>44635</v>
      </c>
      <c r="G1057" s="1" t="n"/>
    </row>
    <row r="1058">
      <c r="A1058" s="6" t="n">
        <v>68126</v>
      </c>
      <c r="B1058" s="6" t="inlineStr">
        <is>
          <t>CAROLANS IRISH CREAM LIQUEUR</t>
        </is>
      </c>
      <c r="C1058" s="7">
        <f>VLOOKUP(A1058,SizeData!A$2:B$3839,2,FALSE)</f>
        <v/>
      </c>
      <c r="D1058" s="6" t="n">
        <v>1</v>
      </c>
      <c r="E1058" s="6" t="inlineStr">
        <is>
          <t>R1519908</t>
        </is>
      </c>
      <c r="F1058" s="2" t="n">
        <v>44641</v>
      </c>
      <c r="G1058" s="1" t="n"/>
    </row>
    <row r="1059">
      <c r="A1059" s="6" t="n">
        <v>87278</v>
      </c>
      <c r="B1059" s="6" t="inlineStr">
        <is>
          <t>CASA DRAGONES BLANCO PURO AGAVE AZUL</t>
        </is>
      </c>
      <c r="C1059" s="7">
        <f>VLOOKUP(A1059,SizeData!A$2:B$3839,2,FALSE)</f>
        <v/>
      </c>
      <c r="D1059" s="6" t="n">
        <v>1</v>
      </c>
      <c r="E1059" s="6" t="inlineStr">
        <is>
          <t>R1408146</t>
        </is>
      </c>
      <c r="F1059" s="2" t="n">
        <v>44569</v>
      </c>
      <c r="G1059" s="1" t="n"/>
    </row>
    <row r="1060">
      <c r="A1060" s="6" t="n">
        <v>87278</v>
      </c>
      <c r="B1060" s="6" t="inlineStr">
        <is>
          <t>CASA DRAGONES BLANCO PURO AGAVE AZUL</t>
        </is>
      </c>
      <c r="C1060" s="7">
        <f>VLOOKUP(A1060,SizeData!A$2:B$3839,2,FALSE)</f>
        <v/>
      </c>
      <c r="D1060" s="6" t="n">
        <v>1</v>
      </c>
      <c r="E1060" s="6" t="inlineStr">
        <is>
          <t>R1408146</t>
        </is>
      </c>
      <c r="F1060" s="2" t="n">
        <v>44569</v>
      </c>
      <c r="G1060" s="1" t="n"/>
    </row>
    <row r="1061">
      <c r="A1061" s="6" t="n">
        <v>87278</v>
      </c>
      <c r="B1061" s="6" t="inlineStr">
        <is>
          <t>CASA DRAGONES BLANCO PURO AGAVE AZUL</t>
        </is>
      </c>
      <c r="C1061" s="7">
        <f>VLOOKUP(A1061,SizeData!A$2:B$3839,2,FALSE)</f>
        <v/>
      </c>
      <c r="D1061" s="6" t="n">
        <v>3</v>
      </c>
      <c r="E1061" s="6" t="inlineStr">
        <is>
          <t>R1527308</t>
        </is>
      </c>
      <c r="F1061" s="2" t="n">
        <v>44639</v>
      </c>
      <c r="G1061" s="1" t="n"/>
    </row>
    <row r="1062">
      <c r="A1062" s="6" t="n">
        <v>88833</v>
      </c>
      <c r="B1062" s="6" t="inlineStr">
        <is>
          <t>CASAMIGOS ANEJO TEQUILA 100% AGAVE</t>
        </is>
      </c>
      <c r="C1062" s="7">
        <f>VLOOKUP(A1062,SizeData!A$2:B$3839,2,FALSE)</f>
        <v/>
      </c>
      <c r="D1062" s="6" t="n">
        <v>5</v>
      </c>
      <c r="E1062" s="6" t="inlineStr">
        <is>
          <t>R1490138</t>
        </is>
      </c>
      <c r="F1062" s="2" t="n">
        <v>44614</v>
      </c>
      <c r="G1062" s="1" t="n"/>
    </row>
    <row r="1063">
      <c r="A1063" s="6" t="n">
        <v>88833</v>
      </c>
      <c r="B1063" s="6" t="inlineStr">
        <is>
          <t>CASAMIGOS ANEJO TEQUILA 100% AGAVE</t>
        </is>
      </c>
      <c r="C1063" s="7">
        <f>VLOOKUP(A1063,SizeData!A$2:B$3839,2,FALSE)</f>
        <v/>
      </c>
      <c r="D1063" s="6" t="n">
        <v>5</v>
      </c>
      <c r="E1063" s="6" t="inlineStr">
        <is>
          <t>R1479095</t>
        </is>
      </c>
      <c r="F1063" s="2" t="n">
        <v>44621</v>
      </c>
      <c r="G1063" s="1" t="n"/>
    </row>
    <row r="1064">
      <c r="A1064" s="6" t="n">
        <v>88833</v>
      </c>
      <c r="B1064" s="6" t="inlineStr">
        <is>
          <t>CASAMIGOS ANEJO TEQUILA 100% AGAVE</t>
        </is>
      </c>
      <c r="C1064" s="7">
        <f>VLOOKUP(A1064,SizeData!A$2:B$3839,2,FALSE)</f>
        <v/>
      </c>
      <c r="D1064" s="6" t="n">
        <v>5</v>
      </c>
      <c r="E1064" s="6" t="inlineStr">
        <is>
          <t>R1504818</t>
        </is>
      </c>
      <c r="F1064" s="2" t="n">
        <v>44635</v>
      </c>
      <c r="G1064" s="1" t="n"/>
    </row>
    <row r="1065">
      <c r="A1065" s="6" t="n">
        <v>88833</v>
      </c>
      <c r="B1065" s="6" t="inlineStr">
        <is>
          <t>CASAMIGOS ANEJO TEQUILA 100% AGAVE</t>
        </is>
      </c>
      <c r="C1065" s="7">
        <f>VLOOKUP(A1065,SizeData!A$2:B$3839,2,FALSE)</f>
        <v/>
      </c>
      <c r="D1065" s="6" t="n">
        <v>5</v>
      </c>
      <c r="E1065" s="6" t="inlineStr">
        <is>
          <t>R1518852</t>
        </is>
      </c>
      <c r="F1065" s="2" t="n">
        <v>44643</v>
      </c>
      <c r="G1065" s="1" t="n"/>
    </row>
    <row r="1066">
      <c r="A1066" s="31" t="n">
        <v>88833</v>
      </c>
      <c r="B1066" s="31" t="inlineStr">
        <is>
          <t>CASAMIGOS ANEJO TEQUILA 100% AGAVE</t>
        </is>
      </c>
      <c r="C1066" s="7">
        <f>VLOOKUP(A1066,SizeData!A$2:B$3839,2,FALSE)</f>
        <v/>
      </c>
      <c r="D1066" s="31" t="n">
        <v>4</v>
      </c>
      <c r="E1066" s="31" t="inlineStr">
        <is>
          <t>R1670522</t>
        </is>
      </c>
      <c r="F1066" s="33" t="n">
        <v>44734</v>
      </c>
      <c r="G1066" s="34" t="n"/>
    </row>
    <row r="1067">
      <c r="A1067" s="6" t="n">
        <v>87280</v>
      </c>
      <c r="B1067" s="6" t="inlineStr">
        <is>
          <t>CASAMIGOS BLANCO TEQUILA 100% AGAVE</t>
        </is>
      </c>
      <c r="C1067" s="7">
        <f>VLOOKUP(A1067,SizeData!A$2:B$3839,2,FALSE)</f>
        <v/>
      </c>
      <c r="D1067" s="6" t="n">
        <v>5</v>
      </c>
      <c r="E1067" s="6" t="inlineStr">
        <is>
          <t>R1426022</t>
        </is>
      </c>
      <c r="F1067" s="2" t="n">
        <v>44574</v>
      </c>
      <c r="G1067" s="1" t="n"/>
    </row>
    <row r="1068">
      <c r="A1068" s="6" t="n">
        <v>87280</v>
      </c>
      <c r="B1068" s="6" t="inlineStr">
        <is>
          <t>CASAMIGOS BLANCO TEQUILA 100% AGAVE</t>
        </is>
      </c>
      <c r="C1068" s="7">
        <f>VLOOKUP(A1068,SizeData!A$2:B$3839,2,FALSE)</f>
        <v/>
      </c>
      <c r="D1068" s="6" t="n">
        <v>5</v>
      </c>
      <c r="E1068" s="6" t="inlineStr">
        <is>
          <t>R1490138</t>
        </is>
      </c>
      <c r="F1068" s="2" t="n">
        <v>44614</v>
      </c>
      <c r="G1068" s="1" t="n"/>
    </row>
    <row r="1069">
      <c r="A1069" s="6" t="n">
        <v>87280</v>
      </c>
      <c r="B1069" s="6" t="inlineStr">
        <is>
          <t>CASAMIGOS BLANCO TEQUILA 100% AGAVE</t>
        </is>
      </c>
      <c r="C1069" s="7">
        <f>VLOOKUP(A1069,SizeData!A$2:B$3839,2,FALSE)</f>
        <v/>
      </c>
      <c r="D1069" s="6" t="n">
        <v>5</v>
      </c>
      <c r="E1069" s="6" t="inlineStr">
        <is>
          <t>R1479095</t>
        </is>
      </c>
      <c r="F1069" s="2" t="n">
        <v>44621</v>
      </c>
      <c r="G1069" s="1" t="n"/>
    </row>
    <row r="1070">
      <c r="A1070" s="6" t="n">
        <v>87280</v>
      </c>
      <c r="B1070" s="6" t="inlineStr">
        <is>
          <t>CASAMIGOS BLANCO TEQUILA 100% AGAVE</t>
        </is>
      </c>
      <c r="C1070" s="7">
        <f>VLOOKUP(A1070,SizeData!A$2:B$3839,2,FALSE)</f>
        <v/>
      </c>
      <c r="D1070" s="6" t="n">
        <v>5</v>
      </c>
      <c r="E1070" s="6" t="inlineStr">
        <is>
          <t>R1518852</t>
        </is>
      </c>
      <c r="F1070" s="2" t="n">
        <v>44643</v>
      </c>
      <c r="G1070" s="1" t="n"/>
    </row>
    <row r="1071">
      <c r="A1071" s="6" t="n">
        <v>87280</v>
      </c>
      <c r="B1071" s="6" t="inlineStr">
        <is>
          <t>CASAMIGOS BLANCO TEQUILA 100% AGAVE</t>
        </is>
      </c>
      <c r="C1071" s="7">
        <f>VLOOKUP(A1071,SizeData!A$2:B$3839,2,FALSE)</f>
        <v/>
      </c>
      <c r="D1071" s="6" t="n">
        <v>5</v>
      </c>
      <c r="E1071" s="6" t="inlineStr">
        <is>
          <t>R1537274</t>
        </is>
      </c>
      <c r="F1071" s="2" t="n">
        <v>44650</v>
      </c>
      <c r="G1071" s="1" t="n"/>
    </row>
    <row r="1072">
      <c r="A1072" s="6" t="n">
        <v>87280</v>
      </c>
      <c r="B1072" s="6" t="inlineStr">
        <is>
          <t>CASAMIGOS BLANCO TEQUILA 100% AGAVE</t>
        </is>
      </c>
      <c r="C1072" s="7">
        <f>VLOOKUP(A1072,SizeData!A$2:B$3839,2,FALSE)</f>
        <v/>
      </c>
      <c r="D1072" s="6" t="n">
        <v>5</v>
      </c>
      <c r="E1072" s="6" t="inlineStr">
        <is>
          <t>R1552612</t>
        </is>
      </c>
      <c r="F1072" s="2" t="n">
        <v>44656</v>
      </c>
      <c r="G1072" s="1" t="n"/>
    </row>
    <row r="1073">
      <c r="A1073" s="6" t="n">
        <v>87280</v>
      </c>
      <c r="B1073" s="6" t="inlineStr">
        <is>
          <t>CASAMIGOS BLANCO TEQUILA 100% AGAVE</t>
        </is>
      </c>
      <c r="C1073" s="7">
        <f>VLOOKUP(A1073,SizeData!A$2:B$3839,2,FALSE)</f>
        <v/>
      </c>
      <c r="D1073" s="6" t="n">
        <v>5</v>
      </c>
      <c r="E1073" s="6" t="inlineStr">
        <is>
          <t>R1600517</t>
        </is>
      </c>
      <c r="F1073" s="2" t="n">
        <v>44684</v>
      </c>
      <c r="G1073" s="1" t="n"/>
    </row>
    <row r="1074">
      <c r="A1074" s="6" t="n">
        <v>87280</v>
      </c>
      <c r="B1074" s="6" t="inlineStr">
        <is>
          <t>CASAMIGOS BLANCO TEQUILA 100% AGAVE</t>
        </is>
      </c>
      <c r="C1074" s="7">
        <f>VLOOKUP(A1074,SizeData!A$2:B$3839,2,FALSE)</f>
        <v/>
      </c>
      <c r="D1074" s="6" t="n">
        <v>5</v>
      </c>
      <c r="E1074" s="6" t="inlineStr">
        <is>
          <t>R1601694</t>
        </is>
      </c>
      <c r="F1074" s="2" t="n">
        <v>44697</v>
      </c>
      <c r="G1074" s="1" t="n"/>
    </row>
    <row r="1075">
      <c r="A1075" s="6" t="n">
        <v>87280</v>
      </c>
      <c r="B1075" s="6" t="inlineStr">
        <is>
          <t>CASAMIGOS BLANCO TEQUILA 100% AGAVE</t>
        </is>
      </c>
      <c r="C1075" s="7">
        <f>VLOOKUP(A1075,SizeData!A$2:B$3839,2,FALSE)</f>
        <v/>
      </c>
      <c r="D1075" s="6" t="n">
        <v>2</v>
      </c>
      <c r="E1075" s="6" t="inlineStr">
        <is>
          <t>R1624762</t>
        </is>
      </c>
      <c r="F1075" s="2" t="n">
        <v>44712</v>
      </c>
      <c r="G1075" s="1" t="n"/>
    </row>
    <row r="1076">
      <c r="A1076" s="6" t="n">
        <v>87280</v>
      </c>
      <c r="B1076" s="6" t="inlineStr">
        <is>
          <t>CASAMIGOS BLANCO TEQUILA 100% AGAVE</t>
        </is>
      </c>
      <c r="C1076" s="7">
        <f>VLOOKUP(A1076,SizeData!A$2:B$3839,2,FALSE)</f>
        <v/>
      </c>
      <c r="D1076" s="6" t="n">
        <v>3</v>
      </c>
      <c r="E1076" s="6" t="inlineStr">
        <is>
          <t>R1739883</t>
        </is>
      </c>
      <c r="F1076" s="2" t="n">
        <v>44800</v>
      </c>
      <c r="G1076" s="1" t="n"/>
    </row>
    <row r="1077">
      <c r="A1077" s="6" t="n">
        <v>87280</v>
      </c>
      <c r="B1077" s="6" t="inlineStr">
        <is>
          <t>CASAMIGOS BLANCO TEQUILA 100% AGAVE</t>
        </is>
      </c>
      <c r="C1077" s="7">
        <f>VLOOKUP(A1077,SizeData!A$2:B$3839,2,FALSE)</f>
        <v/>
      </c>
      <c r="D1077" s="6" t="n">
        <v>2</v>
      </c>
      <c r="E1077" s="6" t="inlineStr">
        <is>
          <t>R1767069</t>
        </is>
      </c>
      <c r="F1077" s="2" t="n">
        <v>44814</v>
      </c>
      <c r="G1077" s="1" t="n"/>
    </row>
    <row r="1078">
      <c r="A1078" s="6" t="n">
        <v>87280</v>
      </c>
      <c r="B1078" s="6" t="inlineStr">
        <is>
          <t>CASAMIGOS BLANCO TEQUILA 100% AGAVE</t>
        </is>
      </c>
      <c r="C1078" s="7">
        <f>VLOOKUP(A1078,SizeData!A$2:B$3839,2,FALSE)</f>
        <v/>
      </c>
      <c r="D1078" s="6" t="n">
        <v>2</v>
      </c>
      <c r="E1078" s="6" t="inlineStr">
        <is>
          <t>R1782657</t>
        </is>
      </c>
      <c r="F1078" s="2" t="n">
        <v>44828</v>
      </c>
      <c r="G1078" s="1" t="n"/>
    </row>
    <row r="1079">
      <c r="A1079" s="6" t="n">
        <v>87280</v>
      </c>
      <c r="B1079" s="6" t="inlineStr">
        <is>
          <t>CASAMIGOS BLANCO TEQUILA 100% AGAVE</t>
        </is>
      </c>
      <c r="C1079" s="7">
        <f>VLOOKUP(A1079,SizeData!A$2:B$3839,2,FALSE)</f>
        <v/>
      </c>
      <c r="D1079" s="6" t="n">
        <v>2</v>
      </c>
      <c r="E1079" s="6" t="inlineStr">
        <is>
          <t>R1808552</t>
        </is>
      </c>
      <c r="F1079" s="2" t="n">
        <v>44841</v>
      </c>
      <c r="G1079" s="1" t="n"/>
    </row>
    <row r="1080">
      <c r="A1080" s="6" t="n">
        <v>87280</v>
      </c>
      <c r="B1080" s="6" t="inlineStr">
        <is>
          <t>CASAMIGOS BLANCO TEQUILA 100% AGAVE</t>
        </is>
      </c>
      <c r="C1080" s="7">
        <f>VLOOKUP(A1080,SizeData!A$2:B$3839,2,FALSE)</f>
        <v/>
      </c>
      <c r="D1080" s="6" t="n">
        <v>2</v>
      </c>
      <c r="E1080" s="6" t="inlineStr">
        <is>
          <t>R1798963</t>
        </is>
      </c>
      <c r="F1080" s="2" t="n">
        <v>44844</v>
      </c>
      <c r="G1080" s="1" t="n"/>
    </row>
    <row r="1081">
      <c r="A1081" s="6" t="n">
        <v>87280</v>
      </c>
      <c r="B1081" s="6" t="inlineStr">
        <is>
          <t>CASAMIGOS BLANCO TEQUILA 100% AGAVE</t>
        </is>
      </c>
      <c r="C1081" s="7">
        <f>VLOOKUP(A1081,SizeData!A$2:B$3839,2,FALSE)</f>
        <v/>
      </c>
      <c r="D1081" s="6" t="n">
        <v>2</v>
      </c>
      <c r="E1081" s="6" t="inlineStr">
        <is>
          <t>R1837216</t>
        </is>
      </c>
      <c r="F1081" s="2" t="n">
        <v>44855</v>
      </c>
      <c r="G1081" s="1" t="n"/>
    </row>
    <row r="1082">
      <c r="A1082" s="6" t="n">
        <v>87280</v>
      </c>
      <c r="B1082" s="6" t="inlineStr">
        <is>
          <t>CASAMIGOS BLANCO TEQUILA 100% AGAVE</t>
        </is>
      </c>
      <c r="C1082" s="7">
        <f>VLOOKUP(A1082,SizeData!A$2:B$3839,2,FALSE)</f>
        <v/>
      </c>
      <c r="D1082" s="6" t="n">
        <v>2</v>
      </c>
      <c r="E1082" s="6" t="inlineStr">
        <is>
          <t>R1840965</t>
        </is>
      </c>
      <c r="F1082" s="2" t="n">
        <v>44863</v>
      </c>
      <c r="G1082" s="1" t="n"/>
    </row>
    <row r="1083">
      <c r="A1083" s="6" t="n">
        <v>87280</v>
      </c>
      <c r="B1083" s="6" t="inlineStr">
        <is>
          <t>CASAMIGOS BLANCO TEQUILA 100% AGAVE</t>
        </is>
      </c>
      <c r="C1083" s="7">
        <f>VLOOKUP(A1083,SizeData!A$2:B$3839,2,FALSE)</f>
        <v/>
      </c>
      <c r="D1083" s="6" t="n">
        <v>5</v>
      </c>
      <c r="E1083" s="6" t="inlineStr">
        <is>
          <t>R1900430</t>
        </is>
      </c>
      <c r="F1083" s="2" t="n">
        <v>44896</v>
      </c>
      <c r="G1083" s="1" t="n"/>
    </row>
    <row r="1084">
      <c r="A1084" s="6" t="n">
        <v>87280</v>
      </c>
      <c r="B1084" s="6" t="inlineStr">
        <is>
          <t>CASAMIGOS BLANCO TEQUILA 100% AGAVE</t>
        </is>
      </c>
      <c r="C1084" s="7">
        <f>VLOOKUP(A1084,SizeData!A$2:B$3839,2,FALSE)</f>
        <v/>
      </c>
      <c r="D1084" s="6" t="n">
        <v>2</v>
      </c>
      <c r="E1084" s="6" t="inlineStr">
        <is>
          <t>R1906202</t>
        </is>
      </c>
      <c r="F1084" s="2" t="n">
        <v>44902</v>
      </c>
      <c r="G1084" s="1" t="n"/>
    </row>
    <row r="1085">
      <c r="A1085" s="6" t="n">
        <v>87282</v>
      </c>
      <c r="B1085" s="6" t="inlineStr">
        <is>
          <t>CASAMIGOS BLANCO TEQUILA 100% AGAVE</t>
        </is>
      </c>
      <c r="C1085" s="7">
        <f>VLOOKUP(A1085,SizeData!A$2:B$3839,2,FALSE)</f>
        <v/>
      </c>
      <c r="D1085" s="6" t="n">
        <v>5</v>
      </c>
      <c r="E1085" s="6" t="inlineStr">
        <is>
          <t>R1626725</t>
        </is>
      </c>
      <c r="F1085" s="2" t="n">
        <v>44705</v>
      </c>
      <c r="G1085" s="1" t="n"/>
    </row>
    <row r="1086">
      <c r="A1086" s="6" t="n">
        <v>87282</v>
      </c>
      <c r="B1086" s="6" t="inlineStr">
        <is>
          <t>CASAMIGOS BLANCO TEQUILA 100% AGAVE</t>
        </is>
      </c>
      <c r="C1086" s="7">
        <f>VLOOKUP(A1086,SizeData!A$2:B$3839,2,FALSE)</f>
        <v/>
      </c>
      <c r="D1086" s="6" t="n">
        <v>3</v>
      </c>
      <c r="E1086" s="6" t="inlineStr">
        <is>
          <t>R1742052</t>
        </is>
      </c>
      <c r="F1086" s="2" t="n">
        <v>44795</v>
      </c>
      <c r="G1086" s="1" t="n"/>
    </row>
    <row r="1087">
      <c r="A1087" s="6" t="n">
        <v>87283</v>
      </c>
      <c r="B1087" s="6" t="inlineStr">
        <is>
          <t>CASAMIGOS BLANCO TEQUILA 100% AGAVE</t>
        </is>
      </c>
      <c r="C1087" s="7">
        <f>VLOOKUP(A1087,SizeData!A$2:B$3839,2,FALSE)</f>
        <v/>
      </c>
      <c r="D1087" s="6" t="n">
        <v>2</v>
      </c>
      <c r="E1087" s="6" t="inlineStr">
        <is>
          <t>R1602637</t>
        </is>
      </c>
      <c r="F1087" s="2" t="n">
        <v>44691</v>
      </c>
      <c r="G1087" s="1" t="n"/>
    </row>
    <row r="1088">
      <c r="A1088" s="6" t="n">
        <v>87283</v>
      </c>
      <c r="B1088" s="6" t="inlineStr">
        <is>
          <t>CASAMIGOS BLANCO TEQUILA 100% AGAVE</t>
        </is>
      </c>
      <c r="C1088" s="7">
        <f>VLOOKUP(A1088,SizeData!A$2:B$3839,2,FALSE)</f>
        <v/>
      </c>
      <c r="D1088" s="6" t="n">
        <v>2</v>
      </c>
      <c r="E1088" s="6" t="inlineStr">
        <is>
          <t>R1635756</t>
        </is>
      </c>
      <c r="F1088" s="2" t="n">
        <v>44714</v>
      </c>
      <c r="G1088" s="1" t="n"/>
    </row>
    <row r="1089">
      <c r="A1089" s="6" t="n">
        <v>87283</v>
      </c>
      <c r="B1089" s="6" t="inlineStr">
        <is>
          <t>CASAMIGOS BLANCO TEQUILA 100% AGAVE</t>
        </is>
      </c>
      <c r="C1089" s="7">
        <f>VLOOKUP(A1089,SizeData!A$2:B$3839,2,FALSE)</f>
        <v/>
      </c>
      <c r="D1089" s="6" t="n">
        <v>3</v>
      </c>
      <c r="E1089" s="6" t="inlineStr">
        <is>
          <t>R1716704</t>
        </is>
      </c>
      <c r="F1089" s="2" t="n">
        <v>44770</v>
      </c>
      <c r="G1089" s="1" t="n"/>
    </row>
    <row r="1090">
      <c r="A1090" s="6" t="n">
        <v>87288</v>
      </c>
      <c r="B1090" s="6" t="inlineStr">
        <is>
          <t>CASAMIGOS MEZCAL JOVEN</t>
        </is>
      </c>
      <c r="C1090" s="7">
        <f>VLOOKUP(A1090,SizeData!A$2:B$3839,2,FALSE)</f>
        <v/>
      </c>
      <c r="D1090" s="6" t="n">
        <v>1</v>
      </c>
      <c r="E1090" s="6" t="inlineStr">
        <is>
          <t>R1376786</t>
        </is>
      </c>
      <c r="F1090" s="2" t="n">
        <v>44552</v>
      </c>
      <c r="G1090" s="1" t="n"/>
    </row>
    <row r="1091">
      <c r="A1091" s="6" t="n">
        <v>87288</v>
      </c>
      <c r="B1091" s="6" t="inlineStr">
        <is>
          <t>CASAMIGOS MEZCAL JOVEN</t>
        </is>
      </c>
      <c r="C1091" s="7">
        <f>VLOOKUP(A1091,SizeData!A$2:B$3839,2,FALSE)</f>
        <v/>
      </c>
      <c r="D1091" s="6" t="n">
        <v>1</v>
      </c>
      <c r="E1091" s="6" t="inlineStr">
        <is>
          <t>R1376786</t>
        </is>
      </c>
      <c r="F1091" s="2" t="n">
        <v>44552</v>
      </c>
      <c r="G1091" s="1" t="n"/>
    </row>
    <row r="1092">
      <c r="A1092" s="6" t="n">
        <v>89177</v>
      </c>
      <c r="B1092" s="6" t="inlineStr">
        <is>
          <t>CASAMIGOS REPOSADO TEQUILA</t>
        </is>
      </c>
      <c r="C1092" s="7">
        <f>VLOOKUP(A1092,SizeData!A$2:B$3839,2,FALSE)</f>
        <v/>
      </c>
      <c r="D1092" s="6" t="n">
        <v>4</v>
      </c>
      <c r="E1092" s="6" t="inlineStr">
        <is>
          <t>R1405811</t>
        </is>
      </c>
      <c r="F1092" s="2" t="n">
        <v>44560</v>
      </c>
      <c r="G1092" s="1" t="n"/>
    </row>
    <row r="1093">
      <c r="A1093" s="6" t="n">
        <v>88830</v>
      </c>
      <c r="B1093" s="6" t="inlineStr">
        <is>
          <t>CASAMIGOS REPOSADO TEQUILA 100% AGAVE</t>
        </is>
      </c>
      <c r="C1093" s="7">
        <f>VLOOKUP(A1093,SizeData!A$2:B$3839,2,FALSE)</f>
        <v/>
      </c>
      <c r="D1093" s="6" t="n">
        <v>4</v>
      </c>
      <c r="E1093" s="6" t="inlineStr">
        <is>
          <t>R1602637</t>
        </is>
      </c>
      <c r="F1093" s="2" t="n">
        <v>44691</v>
      </c>
      <c r="G1093" s="1" t="n"/>
    </row>
    <row r="1094">
      <c r="A1094" s="6" t="n">
        <v>88830</v>
      </c>
      <c r="B1094" s="6" t="inlineStr">
        <is>
          <t>CASAMIGOS REPOSADO TEQUILA 100% AGAVE</t>
        </is>
      </c>
      <c r="C1094" s="7">
        <f>VLOOKUP(A1094,SizeData!A$2:B$3839,2,FALSE)</f>
        <v/>
      </c>
      <c r="D1094" s="6" t="n">
        <v>4</v>
      </c>
      <c r="E1094" s="6" t="inlineStr">
        <is>
          <t>R1671604</t>
        </is>
      </c>
      <c r="F1094" s="2" t="n">
        <v>44735</v>
      </c>
      <c r="G1094" s="1" t="n"/>
    </row>
    <row r="1095">
      <c r="A1095" s="6" t="n">
        <v>88830</v>
      </c>
      <c r="B1095" s="6" t="inlineStr">
        <is>
          <t>CASAMIGOS REPOSADO TEQUILA 100% AGAVE</t>
        </is>
      </c>
      <c r="C1095" s="7">
        <f>VLOOKUP(A1095,SizeData!A$2:B$3839,2,FALSE)</f>
        <v/>
      </c>
      <c r="D1095" s="6" t="n">
        <v>3</v>
      </c>
      <c r="E1095" s="6" t="inlineStr">
        <is>
          <t>R1839907</t>
        </is>
      </c>
      <c r="F1095" s="2" t="n">
        <v>44861</v>
      </c>
      <c r="G1095" s="1" t="n"/>
    </row>
    <row r="1096">
      <c r="A1096" s="6" t="n">
        <v>88830</v>
      </c>
      <c r="B1096" s="6" t="inlineStr">
        <is>
          <t>CASAMIGOS REPOSADO TEQUILA 100% AGAVE</t>
        </is>
      </c>
      <c r="C1096" s="7">
        <f>VLOOKUP(A1096,SizeData!A$2:B$3839,2,FALSE)</f>
        <v/>
      </c>
      <c r="D1096" s="6" t="n">
        <v>3</v>
      </c>
      <c r="E1096" s="6" t="inlineStr">
        <is>
          <t>R1893830</t>
        </is>
      </c>
      <c r="F1096" s="2" t="n">
        <v>44902</v>
      </c>
      <c r="G1096" s="1" t="n"/>
    </row>
    <row r="1097">
      <c r="A1097" s="6" t="n">
        <v>89177</v>
      </c>
      <c r="B1097" s="6" t="inlineStr">
        <is>
          <t>CASAMIGOS REPOSADO TEQUILA 100% AGAVE</t>
        </is>
      </c>
      <c r="C1097" s="7">
        <f>VLOOKUP(A1097,SizeData!A$2:B$3839,2,FALSE)</f>
        <v/>
      </c>
      <c r="D1097" s="6" t="n">
        <v>5</v>
      </c>
      <c r="E1097" s="6" t="inlineStr">
        <is>
          <t>R1412905</t>
        </is>
      </c>
      <c r="F1097" s="2" t="n">
        <v>44572</v>
      </c>
      <c r="G1097" s="1" t="n"/>
    </row>
    <row r="1098">
      <c r="A1098" s="6" t="n">
        <v>89177</v>
      </c>
      <c r="B1098" s="6" t="inlineStr">
        <is>
          <t>CASAMIGOS REPOSADO TEQUILA 100% AGAVE</t>
        </is>
      </c>
      <c r="C1098" s="7">
        <f>VLOOKUP(A1098,SizeData!A$2:B$3839,2,FALSE)</f>
        <v/>
      </c>
      <c r="D1098" s="6" t="n">
        <v>5</v>
      </c>
      <c r="E1098" s="6" t="inlineStr">
        <is>
          <t>R1437025</t>
        </is>
      </c>
      <c r="F1098" s="2" t="n">
        <v>44587</v>
      </c>
      <c r="G1098" s="1" t="n"/>
    </row>
    <row r="1099">
      <c r="A1099" s="6" t="n">
        <v>89177</v>
      </c>
      <c r="B1099" s="6" t="inlineStr">
        <is>
          <t>CASAMIGOS REPOSADO TEQUILA 100% AGAVE</t>
        </is>
      </c>
      <c r="C1099" s="7">
        <f>VLOOKUP(A1099,SizeData!A$2:B$3839,2,FALSE)</f>
        <v/>
      </c>
      <c r="D1099" s="6" t="n">
        <v>5</v>
      </c>
      <c r="E1099" s="6" t="inlineStr">
        <is>
          <t>R1490138</t>
        </is>
      </c>
      <c r="F1099" s="2" t="n">
        <v>44614</v>
      </c>
      <c r="G1099" s="1" t="n"/>
    </row>
    <row r="1100">
      <c r="A1100" s="6" t="n">
        <v>89177</v>
      </c>
      <c r="B1100" s="6" t="inlineStr">
        <is>
          <t>CASAMIGOS REPOSADO TEQUILA 100% AGAVE</t>
        </is>
      </c>
      <c r="C1100" s="7">
        <f>VLOOKUP(A1100,SizeData!A$2:B$3839,2,FALSE)</f>
        <v/>
      </c>
      <c r="D1100" s="6" t="n">
        <v>5</v>
      </c>
      <c r="E1100" s="6" t="inlineStr">
        <is>
          <t>R1479095</t>
        </is>
      </c>
      <c r="F1100" s="2" t="n">
        <v>44621</v>
      </c>
      <c r="G1100" s="1" t="n"/>
    </row>
    <row r="1101">
      <c r="A1101" s="6" t="n">
        <v>89177</v>
      </c>
      <c r="B1101" s="6" t="inlineStr">
        <is>
          <t>CASAMIGOS REPOSADO TEQUILA 100% AGAVE</t>
        </is>
      </c>
      <c r="C1101" s="7">
        <f>VLOOKUP(A1101,SizeData!A$2:B$3839,2,FALSE)</f>
        <v/>
      </c>
      <c r="D1101" s="6" t="n">
        <v>5</v>
      </c>
      <c r="E1101" s="6" t="inlineStr">
        <is>
          <t>R1540219</t>
        </is>
      </c>
      <c r="F1101" s="2" t="n">
        <v>44635</v>
      </c>
      <c r="G1101" s="1" t="n"/>
    </row>
    <row r="1102">
      <c r="A1102" s="6" t="n">
        <v>89177</v>
      </c>
      <c r="B1102" s="6" t="inlineStr">
        <is>
          <t>CASAMIGOS REPOSADO TEQUILA 100% AGAVE</t>
        </is>
      </c>
      <c r="C1102" s="7">
        <f>VLOOKUP(A1102,SizeData!A$2:B$3839,2,FALSE)</f>
        <v/>
      </c>
      <c r="D1102" s="6" t="n">
        <v>5</v>
      </c>
      <c r="E1102" s="6" t="inlineStr">
        <is>
          <t>R1523938</t>
        </is>
      </c>
      <c r="F1102" s="2" t="n">
        <v>44642</v>
      </c>
      <c r="G1102" s="1" t="n"/>
    </row>
    <row r="1103">
      <c r="A1103" s="6" t="n">
        <v>89177</v>
      </c>
      <c r="B1103" s="6" t="inlineStr">
        <is>
          <t>CASAMIGOS REPOSADO TEQUILA 100% AGAVE</t>
        </is>
      </c>
      <c r="C1103" s="7">
        <f>VLOOKUP(A1103,SizeData!A$2:B$3839,2,FALSE)</f>
        <v/>
      </c>
      <c r="D1103" s="6" t="n">
        <v>1</v>
      </c>
      <c r="E1103" s="6" t="inlineStr">
        <is>
          <t>R1552612</t>
        </is>
      </c>
      <c r="F1103" s="2" t="n">
        <v>44656</v>
      </c>
      <c r="G1103" s="1" t="n"/>
    </row>
    <row r="1104">
      <c r="A1104" s="6" t="n">
        <v>89177</v>
      </c>
      <c r="B1104" s="6" t="inlineStr">
        <is>
          <t>CASAMIGOS REPOSADO TEQUILA 100% AGAVE</t>
        </is>
      </c>
      <c r="C1104" s="7">
        <f>VLOOKUP(A1104,SizeData!A$2:B$3839,2,FALSE)</f>
        <v/>
      </c>
      <c r="D1104" s="6" t="n">
        <v>4</v>
      </c>
      <c r="E1104" s="6" t="inlineStr">
        <is>
          <t>R1552612</t>
        </is>
      </c>
      <c r="F1104" s="2" t="n">
        <v>44656</v>
      </c>
      <c r="G1104" s="1" t="n"/>
    </row>
    <row r="1105">
      <c r="A1105" s="6" t="n">
        <v>89177</v>
      </c>
      <c r="B1105" s="6" t="inlineStr">
        <is>
          <t>CASAMIGOS REPOSADO TEQUILA 100% AGAVE</t>
        </is>
      </c>
      <c r="C1105" s="7">
        <f>VLOOKUP(A1105,SizeData!A$2:B$3839,2,FALSE)</f>
        <v/>
      </c>
      <c r="D1105" s="6" t="n">
        <v>5</v>
      </c>
      <c r="E1105" s="6" t="inlineStr">
        <is>
          <t>R1561698</t>
        </is>
      </c>
      <c r="F1105" s="2" t="n">
        <v>44663</v>
      </c>
      <c r="G1105" s="1" t="n"/>
    </row>
    <row r="1106">
      <c r="A1106" s="6" t="n">
        <v>89177</v>
      </c>
      <c r="B1106" s="6" t="inlineStr">
        <is>
          <t>CASAMIGOS REPOSADO TEQUILA 100% AGAVE</t>
        </is>
      </c>
      <c r="C1106" s="7">
        <f>VLOOKUP(A1106,SizeData!A$2:B$3839,2,FALSE)</f>
        <v/>
      </c>
      <c r="D1106" s="6" t="n">
        <v>5</v>
      </c>
      <c r="E1106" s="6" t="inlineStr">
        <is>
          <t>R1700571</t>
        </is>
      </c>
      <c r="F1106" s="2" t="n">
        <v>44767</v>
      </c>
      <c r="G1106" s="1" t="n"/>
    </row>
    <row r="1107">
      <c r="A1107" s="6" t="n">
        <v>89177</v>
      </c>
      <c r="B1107" s="6" t="inlineStr">
        <is>
          <t>CASAMIGOS REPOSADO TEQUILA 100% AGAVE</t>
        </is>
      </c>
      <c r="C1107" s="7">
        <f>VLOOKUP(A1107,SizeData!A$2:B$3839,2,FALSE)</f>
        <v/>
      </c>
      <c r="D1107" s="6" t="n">
        <v>1</v>
      </c>
      <c r="E1107" s="6" t="inlineStr">
        <is>
          <t>R1712710</t>
        </is>
      </c>
      <c r="F1107" s="2" t="n">
        <v>44772</v>
      </c>
      <c r="G1107" s="62" t="n"/>
    </row>
    <row r="1108">
      <c r="A1108" s="6" t="n">
        <v>89177</v>
      </c>
      <c r="B1108" s="6" t="inlineStr">
        <is>
          <t>CASAMIGOS REPOSADO TEQUILA 100% AGAVE</t>
        </is>
      </c>
      <c r="C1108" s="7">
        <f>VLOOKUP(A1108,SizeData!A$2:B$3839,2,FALSE)</f>
        <v/>
      </c>
      <c r="D1108" s="6" t="n">
        <v>4</v>
      </c>
      <c r="E1108" s="6" t="inlineStr">
        <is>
          <t>R1712710</t>
        </is>
      </c>
      <c r="F1108" s="2" t="n">
        <v>44772</v>
      </c>
      <c r="G1108" s="1" t="n"/>
    </row>
    <row r="1109">
      <c r="A1109" s="26" t="n">
        <v>89177</v>
      </c>
      <c r="B1109" s="26" t="inlineStr">
        <is>
          <t>CASAMIGOS REPOSADO TEQUILA 100% AGAVE</t>
        </is>
      </c>
      <c r="C1109" s="7">
        <f>VLOOKUP(A1109,SizeData!A$2:B$3839,2,FALSE)</f>
        <v/>
      </c>
      <c r="D1109" s="26" t="n">
        <v>2</v>
      </c>
      <c r="E1109" s="26" t="inlineStr">
        <is>
          <t>R1767069</t>
        </is>
      </c>
      <c r="F1109" s="61" t="n">
        <v>44814</v>
      </c>
      <c r="G1109" s="62" t="n"/>
    </row>
    <row r="1110">
      <c r="A1110" s="6" t="n">
        <v>89177</v>
      </c>
      <c r="B1110" s="6" t="inlineStr">
        <is>
          <t>CASAMIGOS REPOSADO TEQUILA 100% AGAVE</t>
        </is>
      </c>
      <c r="C1110" s="7">
        <f>VLOOKUP(A1110,SizeData!A$2:B$3839,2,FALSE)</f>
        <v/>
      </c>
      <c r="D1110" s="6" t="n">
        <v>2</v>
      </c>
      <c r="E1110" s="6" t="inlineStr">
        <is>
          <t>R1784903</t>
        </is>
      </c>
      <c r="F1110" s="2" t="n">
        <v>44828</v>
      </c>
      <c r="G1110" s="1" t="n"/>
    </row>
    <row r="1111">
      <c r="A1111" s="6" t="n">
        <v>89177</v>
      </c>
      <c r="B1111" s="6" t="inlineStr">
        <is>
          <t>CASAMIGOS REPOSADO TEQUILA 100% AGAVE</t>
        </is>
      </c>
      <c r="C1111" s="7">
        <f>VLOOKUP(A1111,SizeData!A$2:B$3839,2,FALSE)</f>
        <v/>
      </c>
      <c r="D1111" s="6" t="n">
        <v>2</v>
      </c>
      <c r="E1111" s="6" t="inlineStr">
        <is>
          <t>R1808552</t>
        </is>
      </c>
      <c r="F1111" s="2" t="n">
        <v>44841</v>
      </c>
      <c r="G1111" s="1" t="n"/>
    </row>
    <row r="1112">
      <c r="A1112" s="6" t="n">
        <v>89177</v>
      </c>
      <c r="B1112" s="6" t="inlineStr">
        <is>
          <t>CASAMIGOS REPOSADO TEQUILA 100% AGAVE</t>
        </is>
      </c>
      <c r="C1112" s="7">
        <f>VLOOKUP(A1112,SizeData!A$2:B$3839,2,FALSE)</f>
        <v/>
      </c>
      <c r="D1112" s="6" t="n">
        <v>1</v>
      </c>
      <c r="E1112" s="6" t="inlineStr">
        <is>
          <t>R1798963</t>
        </is>
      </c>
      <c r="F1112" s="2" t="n">
        <v>44844</v>
      </c>
      <c r="G1112" s="1" t="n"/>
    </row>
    <row r="1113">
      <c r="A1113" s="6" t="n">
        <v>89177</v>
      </c>
      <c r="B1113" s="6" t="inlineStr">
        <is>
          <t>CASAMIGOS REPOSADO TEQUILA 100% AGAVE</t>
        </is>
      </c>
      <c r="C1113" s="7">
        <f>VLOOKUP(A1113,SizeData!A$2:B$3839,2,FALSE)</f>
        <v/>
      </c>
      <c r="D1113" s="6" t="n">
        <v>2</v>
      </c>
      <c r="E1113" s="6" t="inlineStr">
        <is>
          <t>R1837216</t>
        </is>
      </c>
      <c r="F1113" s="2" t="n">
        <v>44855</v>
      </c>
      <c r="G1113" s="1" t="n"/>
    </row>
    <row r="1114">
      <c r="A1114" s="6" t="n">
        <v>89177</v>
      </c>
      <c r="B1114" s="6" t="inlineStr">
        <is>
          <t>CASAMIGOS REPOSADO TEQUILA 100% AGAVE</t>
        </is>
      </c>
      <c r="C1114" s="7">
        <f>VLOOKUP(A1114,SizeData!A$2:B$3839,2,FALSE)</f>
        <v/>
      </c>
      <c r="D1114" s="6" t="n">
        <v>2</v>
      </c>
      <c r="E1114" s="6" t="inlineStr">
        <is>
          <t>R1840965</t>
        </is>
      </c>
      <c r="F1114" s="2" t="n">
        <v>44863</v>
      </c>
      <c r="G1114" s="1" t="n"/>
    </row>
    <row r="1115">
      <c r="A1115" s="6" t="n">
        <v>89177</v>
      </c>
      <c r="B1115" s="6" t="inlineStr">
        <is>
          <t>CASAMIGOS REPOSADO TEQUILA 100% AGAVE</t>
        </is>
      </c>
      <c r="C1115" s="7">
        <f>VLOOKUP(A1115,SizeData!A$2:B$3839,2,FALSE)</f>
        <v/>
      </c>
      <c r="D1115" s="6" t="n">
        <v>15</v>
      </c>
      <c r="E1115" s="6" t="inlineStr">
        <is>
          <t>R1900430</t>
        </is>
      </c>
      <c r="F1115" s="2" t="n">
        <v>44896</v>
      </c>
      <c r="G1115" s="1" t="n"/>
    </row>
    <row r="1116">
      <c r="A1116" s="6" t="n">
        <v>359029</v>
      </c>
      <c r="B1116" s="6" t="inlineStr">
        <is>
          <t>CASTELLO DEL POGGIO MOSCATO PAVIA</t>
        </is>
      </c>
      <c r="C1116" s="7">
        <f>VLOOKUP(A1116,SizeData!A$2:B$3839,2,FALSE)</f>
        <v/>
      </c>
      <c r="D1116" s="6" t="n">
        <v>10</v>
      </c>
      <c r="E1116" s="6" t="inlineStr">
        <is>
          <t>R1424691</t>
        </is>
      </c>
      <c r="F1116" s="2" t="n">
        <v>44588</v>
      </c>
      <c r="G1116" s="1" t="n"/>
    </row>
    <row r="1117">
      <c r="A1117" s="6" t="n">
        <v>359029</v>
      </c>
      <c r="B1117" s="6" t="inlineStr">
        <is>
          <t>CASTELLO DEL POGGIO MOSCATO PAVIA</t>
        </is>
      </c>
      <c r="C1117" s="7">
        <f>VLOOKUP(A1117,SizeData!A$2:B$3839,2,FALSE)</f>
        <v/>
      </c>
      <c r="D1117" s="6" t="n">
        <v>3</v>
      </c>
      <c r="E1117" s="6" t="inlineStr">
        <is>
          <t>R1711866</t>
        </is>
      </c>
      <c r="F1117" s="2" t="n">
        <v>44772</v>
      </c>
      <c r="G1117" s="1" t="n"/>
    </row>
    <row r="1118">
      <c r="A1118" s="6" t="n">
        <v>41570</v>
      </c>
      <c r="B1118" s="6" t="inlineStr">
        <is>
          <t>CATHEAD HONEYSUCKLE FLAVORED VODKA</t>
        </is>
      </c>
      <c r="C1118" s="7">
        <f>VLOOKUP(A1118,SizeData!A$2:B$3839,2,FALSE)</f>
        <v/>
      </c>
      <c r="D1118" s="6" t="n">
        <v>1</v>
      </c>
      <c r="E1118" s="6" t="inlineStr">
        <is>
          <t>R1408146</t>
        </is>
      </c>
      <c r="F1118" s="2" t="n">
        <v>44569</v>
      </c>
      <c r="G1118" s="1" t="n"/>
    </row>
    <row r="1119">
      <c r="A1119" s="6" t="n">
        <v>35592</v>
      </c>
      <c r="B1119" s="6" t="inlineStr">
        <is>
          <t>CATHEAD VODKA</t>
        </is>
      </c>
      <c r="C1119" s="7">
        <f>VLOOKUP(A1119,SizeData!A$2:B$3839,2,FALSE)</f>
        <v/>
      </c>
      <c r="D1119" s="6" t="n">
        <v>1</v>
      </c>
      <c r="E1119" s="6" t="inlineStr">
        <is>
          <t>R1629823</t>
        </is>
      </c>
      <c r="F1119" s="2" t="n">
        <v>44713</v>
      </c>
      <c r="G1119" s="1" t="n"/>
    </row>
    <row r="1120">
      <c r="A1120" s="6" t="n">
        <v>35592</v>
      </c>
      <c r="B1120" s="6" t="inlineStr">
        <is>
          <t>CATHEAD VODKA</t>
        </is>
      </c>
      <c r="C1120" s="7">
        <f>VLOOKUP(A1120,SizeData!A$2:B$3839,2,FALSE)</f>
        <v/>
      </c>
      <c r="D1120" s="6" t="n">
        <v>1</v>
      </c>
      <c r="E1120" s="6" t="inlineStr">
        <is>
          <t>R1900430</t>
        </is>
      </c>
      <c r="F1120" s="2" t="n">
        <v>44896</v>
      </c>
      <c r="G1120" s="1" t="n"/>
    </row>
    <row r="1121">
      <c r="A1121" s="6" t="n">
        <v>355618</v>
      </c>
      <c r="B1121" s="6" t="inlineStr">
        <is>
          <t>CAVIT COLLECTION MOSCATO PROVENCIA D PVA</t>
        </is>
      </c>
      <c r="C1121" s="7">
        <f>VLOOKUP(A1121,SizeData!A$2:B$3839,2,FALSE)</f>
        <v/>
      </c>
      <c r="D1121" s="6" t="n">
        <v>1</v>
      </c>
      <c r="E1121" s="6" t="inlineStr">
        <is>
          <t>R1629823</t>
        </is>
      </c>
      <c r="F1121" s="2" t="n">
        <v>44713</v>
      </c>
      <c r="G1121" s="1" t="n"/>
    </row>
    <row r="1122">
      <c r="A1122" s="6" t="n">
        <v>355755</v>
      </c>
      <c r="B1122" s="6" t="inlineStr">
        <is>
          <t>CAVIT COLLECTION PINOT NOIR DELLE VENZIE</t>
        </is>
      </c>
      <c r="C1122" s="7">
        <f>VLOOKUP(A1122,SizeData!A$2:B$3839,2,FALSE)</f>
        <v/>
      </c>
      <c r="D1122" s="6" t="n">
        <v>1</v>
      </c>
      <c r="E1122" s="6" t="inlineStr">
        <is>
          <t>R1661076</t>
        </is>
      </c>
      <c r="F1122" s="2" t="n">
        <v>44734</v>
      </c>
      <c r="G1122" s="1" t="n"/>
    </row>
    <row r="1123">
      <c r="A1123" s="31" t="n">
        <v>355857</v>
      </c>
      <c r="B1123" s="31" t="inlineStr">
        <is>
          <t>CAVIT COLLECTION RIESLING TRENTINO</t>
        </is>
      </c>
      <c r="C1123" s="7">
        <f>VLOOKUP(A1123,SizeData!A$2:B$3839,2,FALSE)</f>
        <v/>
      </c>
      <c r="D1123" s="31" t="n">
        <v>1</v>
      </c>
      <c r="E1123" s="31" t="inlineStr">
        <is>
          <t>R1661076</t>
        </is>
      </c>
      <c r="F1123" s="33" t="n">
        <v>44734</v>
      </c>
      <c r="G1123" s="34" t="n"/>
    </row>
    <row r="1124">
      <c r="A1124" s="6" t="n">
        <v>355618</v>
      </c>
      <c r="B1124" s="6" t="inlineStr">
        <is>
          <t>CAVIT MOSCATO</t>
        </is>
      </c>
      <c r="C1124" s="7">
        <f>VLOOKUP(A1124,SizeData!A$2:B$3839,2,FALSE)</f>
        <v/>
      </c>
      <c r="D1124" s="6" t="n">
        <v>1</v>
      </c>
      <c r="E1124" s="6" t="inlineStr">
        <is>
          <t>R1444066</t>
        </is>
      </c>
      <c r="F1124" s="2" t="n">
        <v>44595</v>
      </c>
      <c r="G1124" s="1" t="n"/>
    </row>
    <row r="1125">
      <c r="A1125" s="6" t="n">
        <v>355800</v>
      </c>
      <c r="B1125" s="6" t="inlineStr">
        <is>
          <t>CAVIT PINOT GRIGIO</t>
        </is>
      </c>
      <c r="C1125" s="7">
        <f>VLOOKUP(A1125,SizeData!A$2:B$3839,2,FALSE)</f>
        <v/>
      </c>
      <c r="D1125" s="6" t="n">
        <v>1</v>
      </c>
      <c r="E1125" s="6" t="inlineStr">
        <is>
          <t>R1402608</t>
        </is>
      </c>
      <c r="F1125" s="2" t="n">
        <v>44562</v>
      </c>
      <c r="G1125" s="1" t="n"/>
    </row>
    <row r="1126">
      <c r="A1126" s="26" t="n">
        <v>355805</v>
      </c>
      <c r="B1126" s="26" t="inlineStr">
        <is>
          <t>CAVIT PINOT GRIGIO</t>
        </is>
      </c>
      <c r="C1126" s="75">
        <f>VLOOKUP(A1126,SizeData!A$2:B$3839,2,FALSE)</f>
        <v/>
      </c>
      <c r="D1126" s="26" t="n">
        <v>1</v>
      </c>
      <c r="E1126" s="26" t="inlineStr">
        <is>
          <t>R1889523</t>
        </is>
      </c>
      <c r="F1126" s="61" t="n">
        <v>44902</v>
      </c>
      <c r="G1126" s="62" t="n"/>
    </row>
    <row r="1127">
      <c r="A1127" s="6" t="n">
        <v>89121</v>
      </c>
      <c r="B1127" s="6" t="inlineStr">
        <is>
          <t>CAZADORES REPOSADO GOLD TEQUILA</t>
        </is>
      </c>
      <c r="C1127" s="7">
        <f>VLOOKUP(A1127,SizeData!A$2:B$3839,2,FALSE)</f>
        <v/>
      </c>
      <c r="D1127" s="6" t="n">
        <v>1</v>
      </c>
      <c r="E1127" s="6" t="inlineStr">
        <is>
          <t>R1900430</t>
        </is>
      </c>
      <c r="F1127" s="2" t="n">
        <v>44896</v>
      </c>
      <c r="G1127" s="1" t="n"/>
    </row>
    <row r="1128">
      <c r="A1128" s="26" t="n">
        <v>356530</v>
      </c>
      <c r="B1128" s="26" t="inlineStr">
        <is>
          <t>CELLA LAMBRUSCO</t>
        </is>
      </c>
      <c r="C1128" s="75">
        <f>VLOOKUP(A1128,SizeData!A$2:B$3839,2,FALSE)</f>
        <v/>
      </c>
      <c r="D1128" s="26" t="n">
        <v>1</v>
      </c>
      <c r="E1128" s="26" t="inlineStr">
        <is>
          <t>R1865180</t>
        </is>
      </c>
      <c r="F1128" s="61" t="n">
        <v>44874</v>
      </c>
      <c r="G1128" s="62" t="n"/>
    </row>
    <row r="1129">
      <c r="A1129" s="6" t="n">
        <v>551250</v>
      </c>
      <c r="B1129" s="6" t="inlineStr">
        <is>
          <t>CHARLES SMITH WINE KUNG FU GIRL RIESLING</t>
        </is>
      </c>
      <c r="C1129" s="7">
        <f>VLOOKUP(A1129,SizeData!A$2:B$3839,2,FALSE)</f>
        <v/>
      </c>
      <c r="D1129" s="6" t="n">
        <v>1</v>
      </c>
      <c r="E1129" s="6" t="inlineStr">
        <is>
          <t>R1421358</t>
        </is>
      </c>
      <c r="F1129" s="2" t="n">
        <v>44579</v>
      </c>
      <c r="G1129" s="1" t="n"/>
    </row>
    <row r="1130">
      <c r="A1130" s="6" t="n">
        <v>57120</v>
      </c>
      <c r="B1130" s="6" t="inlineStr">
        <is>
          <t>CHI CHI'S LONG ISLAND ICED TEA</t>
        </is>
      </c>
      <c r="C1130" s="7">
        <f>VLOOKUP(A1130,SizeData!A$2:B$3839,2,FALSE)</f>
        <v/>
      </c>
      <c r="D1130" s="6" t="n">
        <v>1</v>
      </c>
      <c r="E1130" s="6" t="inlineStr">
        <is>
          <t>R1496401</t>
        </is>
      </c>
      <c r="F1130" s="2" t="n">
        <v>44621</v>
      </c>
      <c r="G1130" s="1" t="n"/>
    </row>
    <row r="1131">
      <c r="A1131" s="6" t="n">
        <v>57120</v>
      </c>
      <c r="B1131" s="6" t="inlineStr">
        <is>
          <t>CHI CHI'S LONG ISLAND ICED TEA</t>
        </is>
      </c>
      <c r="C1131" s="7">
        <f>VLOOKUP(A1131,SizeData!A$2:B$3839,2,FALSE)</f>
        <v/>
      </c>
      <c r="D1131" s="6" t="n">
        <v>2</v>
      </c>
      <c r="E1131" s="6" t="inlineStr">
        <is>
          <t>R1516281</t>
        </is>
      </c>
      <c r="F1131" s="2" t="n">
        <v>44634</v>
      </c>
      <c r="G1131" s="1" t="n"/>
    </row>
    <row r="1132">
      <c r="A1132" s="6" t="n">
        <v>57120</v>
      </c>
      <c r="B1132" s="6" t="inlineStr">
        <is>
          <t>CHI CHI'S LONG ISLAND ICED TEA</t>
        </is>
      </c>
      <c r="C1132" s="7">
        <f>VLOOKUP(A1132,SizeData!A$2:B$3839,2,FALSE)</f>
        <v/>
      </c>
      <c r="D1132" s="6" t="n">
        <v>2</v>
      </c>
      <c r="E1132" s="6" t="inlineStr">
        <is>
          <t>R1512696</t>
        </is>
      </c>
      <c r="F1132" s="2" t="n">
        <v>44637</v>
      </c>
      <c r="G1132" s="1" t="n"/>
    </row>
    <row r="1133">
      <c r="A1133" s="6" t="n">
        <v>57120</v>
      </c>
      <c r="B1133" s="6" t="inlineStr">
        <is>
          <t>CHI CHI'S LONG ISLAND ICED TEA</t>
        </is>
      </c>
      <c r="C1133" s="7">
        <f>VLOOKUP(A1133,SizeData!A$2:B$3839,2,FALSE)</f>
        <v/>
      </c>
      <c r="D1133" s="6" t="n">
        <v>1</v>
      </c>
      <c r="E1133" s="6" t="inlineStr">
        <is>
          <t>R1619334</t>
        </is>
      </c>
      <c r="F1133" s="2" t="n">
        <v>44713</v>
      </c>
      <c r="G1133" s="1" t="n"/>
    </row>
    <row r="1134">
      <c r="A1134" s="26" t="n">
        <v>57120</v>
      </c>
      <c r="B1134" s="26" t="inlineStr">
        <is>
          <t>CHI CHI'S LONG ISLAND ICED TEA</t>
        </is>
      </c>
      <c r="C1134" s="7">
        <f>VLOOKUP(A1134,SizeData!A$2:B$3839,2,FALSE)</f>
        <v/>
      </c>
      <c r="D1134" s="26" t="n">
        <v>2</v>
      </c>
      <c r="E1134" s="26" t="inlineStr">
        <is>
          <t>R1732339</t>
        </is>
      </c>
      <c r="F1134" s="61" t="n">
        <v>44786</v>
      </c>
      <c r="G1134" s="62" t="n"/>
    </row>
    <row r="1135">
      <c r="A1135" s="6" t="n">
        <v>57120</v>
      </c>
      <c r="B1135" s="6" t="inlineStr">
        <is>
          <t>CHI CHI'S LONG ISLAND ICED TEA</t>
        </is>
      </c>
      <c r="C1135" s="7">
        <f>VLOOKUP(A1135,SizeData!A$2:B$3839,2,FALSE)</f>
        <v/>
      </c>
      <c r="D1135" s="6" t="n">
        <v>2</v>
      </c>
      <c r="E1135" s="6" t="inlineStr">
        <is>
          <t>R1794246</t>
        </is>
      </c>
      <c r="F1135" s="2" t="n">
        <v>44837</v>
      </c>
      <c r="G1135" s="1" t="n"/>
    </row>
    <row r="1136">
      <c r="A1136" s="6" t="n">
        <v>57181</v>
      </c>
      <c r="B1136" s="6" t="inlineStr">
        <is>
          <t>CHI CHI'S PINEAPPLE MARGARITA</t>
        </is>
      </c>
      <c r="C1136" s="7">
        <f>VLOOKUP(A1136,SizeData!A$2:B$3839,2,FALSE)</f>
        <v/>
      </c>
      <c r="D1136" s="6" t="n">
        <v>3</v>
      </c>
      <c r="E1136" s="6" t="inlineStr">
        <is>
          <t>R1434427</t>
        </is>
      </c>
      <c r="F1136" s="2" t="n">
        <v>44588</v>
      </c>
      <c r="G1136" s="1" t="n"/>
    </row>
    <row r="1137">
      <c r="A1137" s="6" t="n">
        <v>57181</v>
      </c>
      <c r="B1137" s="6" t="inlineStr">
        <is>
          <t>CHI CHI'S PINEAPPLE MARGARITA</t>
        </is>
      </c>
      <c r="C1137" s="7">
        <f>VLOOKUP(A1137,SizeData!A$2:B$3839,2,FALSE)</f>
        <v/>
      </c>
      <c r="D1137" s="6" t="n">
        <v>1</v>
      </c>
      <c r="E1137" s="6" t="inlineStr">
        <is>
          <t>R1496401</t>
        </is>
      </c>
      <c r="F1137" s="2" t="n">
        <v>44621</v>
      </c>
      <c r="G1137" s="1" t="n"/>
    </row>
    <row r="1138">
      <c r="A1138" s="6" t="n">
        <v>57181</v>
      </c>
      <c r="B1138" s="6" t="inlineStr">
        <is>
          <t>CHI CHI'S PINEAPPLE MARGARITA</t>
        </is>
      </c>
      <c r="C1138" s="7">
        <f>VLOOKUP(A1138,SizeData!A$2:B$3839,2,FALSE)</f>
        <v/>
      </c>
      <c r="D1138" s="6" t="n">
        <v>2</v>
      </c>
      <c r="E1138" s="6" t="inlineStr">
        <is>
          <t>R1516281</t>
        </is>
      </c>
      <c r="F1138" s="2" t="n">
        <v>44634</v>
      </c>
      <c r="G1138" s="1" t="n"/>
    </row>
    <row r="1139">
      <c r="A1139" s="6" t="n">
        <v>57181</v>
      </c>
      <c r="B1139" s="6" t="inlineStr">
        <is>
          <t>CHI CHI'S PINEAPPLE MARGARITA</t>
        </is>
      </c>
      <c r="C1139" s="7">
        <f>VLOOKUP(A1139,SizeData!A$2:B$3839,2,FALSE)</f>
        <v/>
      </c>
      <c r="D1139" s="6" t="n">
        <v>2</v>
      </c>
      <c r="E1139" s="6" t="inlineStr">
        <is>
          <t>R1629823</t>
        </is>
      </c>
      <c r="F1139" s="2" t="n">
        <v>44713</v>
      </c>
      <c r="G1139" s="1" t="n"/>
    </row>
    <row r="1140">
      <c r="A1140" s="6" t="n">
        <v>57181</v>
      </c>
      <c r="B1140" s="6" t="inlineStr">
        <is>
          <t>CHI CHI'S PINEAPPLE MARGARITA</t>
        </is>
      </c>
      <c r="C1140" s="7">
        <f>VLOOKUP(A1140,SizeData!A$2:B$3839,2,FALSE)</f>
        <v/>
      </c>
      <c r="D1140" s="6" t="n">
        <v>2</v>
      </c>
      <c r="E1140" s="6" t="inlineStr">
        <is>
          <t>R1629067</t>
        </is>
      </c>
      <c r="F1140" s="2" t="n">
        <v>44714</v>
      </c>
      <c r="G1140" s="1" t="n"/>
    </row>
    <row r="1141">
      <c r="A1141" s="6" t="n">
        <v>57181</v>
      </c>
      <c r="B1141" s="6" t="inlineStr">
        <is>
          <t>CHI CHI'S PINEAPPLE MARGARITA</t>
        </is>
      </c>
      <c r="C1141" s="7">
        <f>VLOOKUP(A1141,SizeData!A$2:B$3839,2,FALSE)</f>
        <v/>
      </c>
      <c r="D1141" s="6" t="n">
        <v>4</v>
      </c>
      <c r="E1141" s="6" t="inlineStr">
        <is>
          <t>R1732339</t>
        </is>
      </c>
      <c r="F1141" s="2" t="n">
        <v>44786</v>
      </c>
      <c r="G1141" s="1" t="n"/>
    </row>
    <row r="1142">
      <c r="A1142" s="6" t="n">
        <v>57148</v>
      </c>
      <c r="B1142" s="6" t="inlineStr">
        <is>
          <t>CHI-CHI'S MARGARITA</t>
        </is>
      </c>
      <c r="C1142" s="7">
        <f>VLOOKUP(A1142,SizeData!A$2:B$3839,2,FALSE)</f>
        <v/>
      </c>
      <c r="D1142" s="6" t="n">
        <v>4</v>
      </c>
      <c r="E1142" s="6" t="inlineStr">
        <is>
          <t>R1446818</t>
        </is>
      </c>
      <c r="F1142" s="2" t="n">
        <v>44592</v>
      </c>
      <c r="G1142" s="1" t="n"/>
    </row>
    <row r="1143">
      <c r="A1143" s="6" t="n">
        <v>57148</v>
      </c>
      <c r="B1143" s="6" t="inlineStr">
        <is>
          <t>CHI-CHI'S MARGARITA</t>
        </is>
      </c>
      <c r="C1143" s="7">
        <f>VLOOKUP(A1143,SizeData!A$2:B$3839,2,FALSE)</f>
        <v/>
      </c>
      <c r="D1143" s="6" t="n">
        <v>2</v>
      </c>
      <c r="E1143" s="6" t="inlineStr">
        <is>
          <t>R1496401</t>
        </is>
      </c>
      <c r="F1143" s="2" t="n">
        <v>44621</v>
      </c>
      <c r="G1143" s="1" t="n"/>
    </row>
    <row r="1144">
      <c r="A1144" s="6" t="n">
        <v>57148</v>
      </c>
      <c r="B1144" s="6" t="inlineStr">
        <is>
          <t>CHI-CHI'S MARGARITA</t>
        </is>
      </c>
      <c r="C1144" s="7">
        <f>VLOOKUP(A1144,SizeData!A$2:B$3839,2,FALSE)</f>
        <v/>
      </c>
      <c r="D1144" s="6" t="n">
        <v>1</v>
      </c>
      <c r="E1144" s="6" t="inlineStr">
        <is>
          <t>R1537124</t>
        </is>
      </c>
      <c r="F1144" s="2" t="n">
        <v>44646</v>
      </c>
      <c r="G1144" s="1" t="n"/>
    </row>
    <row r="1145">
      <c r="A1145" s="6" t="n">
        <v>57148</v>
      </c>
      <c r="B1145" s="6" t="inlineStr">
        <is>
          <t>CHI-CHI'S MARGARITA</t>
        </is>
      </c>
      <c r="C1145" s="7">
        <f>VLOOKUP(A1145,SizeData!A$2:B$3839,2,FALSE)</f>
        <v/>
      </c>
      <c r="D1145" s="6" t="n">
        <v>2</v>
      </c>
      <c r="E1145" s="6" t="inlineStr">
        <is>
          <t>R1629823</t>
        </is>
      </c>
      <c r="F1145" s="2" t="n">
        <v>44713</v>
      </c>
      <c r="G1145" s="1" t="n"/>
    </row>
    <row r="1146">
      <c r="A1146" s="6" t="n">
        <v>57148</v>
      </c>
      <c r="B1146" s="6" t="inlineStr">
        <is>
          <t>CHI-CHI'S MARGARITA</t>
        </is>
      </c>
      <c r="C1146" s="7">
        <f>VLOOKUP(A1146,SizeData!A$2:B$3839,2,FALSE)</f>
        <v/>
      </c>
      <c r="D1146" s="6" t="n">
        <v>3</v>
      </c>
      <c r="E1146" s="6" t="inlineStr">
        <is>
          <t>R1671604</t>
        </is>
      </c>
      <c r="F1146" s="2" t="n">
        <v>44735</v>
      </c>
      <c r="G1146" s="1" t="n"/>
    </row>
    <row r="1147">
      <c r="A1147" s="6" t="n">
        <v>57148</v>
      </c>
      <c r="B1147" s="6" t="inlineStr">
        <is>
          <t>CHI-CHI'S MARGARITA</t>
        </is>
      </c>
      <c r="C1147" s="7">
        <f>VLOOKUP(A1147,SizeData!A$2:B$3839,2,FALSE)</f>
        <v/>
      </c>
      <c r="D1147" s="6" t="n">
        <v>4</v>
      </c>
      <c r="E1147" s="6" t="inlineStr">
        <is>
          <t>R1725199</t>
        </is>
      </c>
      <c r="F1147" s="2" t="n">
        <v>44775</v>
      </c>
      <c r="G1147" s="1" t="n"/>
    </row>
    <row r="1148">
      <c r="A1148" s="6" t="n">
        <v>57148</v>
      </c>
      <c r="B1148" s="6" t="inlineStr">
        <is>
          <t>CHI-CHI'S MARGARITA</t>
        </is>
      </c>
      <c r="C1148" s="7">
        <f>VLOOKUP(A1148,SizeData!A$2:B$3839,2,FALSE)</f>
        <v/>
      </c>
      <c r="D1148" s="6" t="n">
        <v>3</v>
      </c>
      <c r="E1148" s="6" t="inlineStr">
        <is>
          <t>R1719137</t>
        </is>
      </c>
      <c r="F1148" s="2" t="n">
        <v>44781</v>
      </c>
      <c r="G1148" s="1" t="n"/>
    </row>
    <row r="1149">
      <c r="A1149" s="6" t="n">
        <v>57157</v>
      </c>
      <c r="B1149" s="6" t="inlineStr">
        <is>
          <t>CHI-CHI'S PINA COLADA</t>
        </is>
      </c>
      <c r="C1149" s="7">
        <f>VLOOKUP(A1149,SizeData!A$2:B$3839,2,FALSE)</f>
        <v/>
      </c>
      <c r="D1149" s="6" t="n">
        <v>1</v>
      </c>
      <c r="E1149" s="6" t="inlineStr">
        <is>
          <t>R1744308</t>
        </is>
      </c>
      <c r="F1149" s="2" t="n">
        <v>44797</v>
      </c>
      <c r="G1149" s="1" t="n"/>
    </row>
    <row r="1150">
      <c r="A1150" s="6" t="n">
        <v>57144</v>
      </c>
      <c r="B1150" s="6" t="inlineStr">
        <is>
          <t>CHI-CHI'S WHITE RUSSIAN</t>
        </is>
      </c>
      <c r="C1150" s="7">
        <f>VLOOKUP(A1150,SizeData!A$2:B$3839,2,FALSE)</f>
        <v/>
      </c>
      <c r="D1150" s="6" t="n">
        <v>1</v>
      </c>
      <c r="E1150" s="6" t="inlineStr">
        <is>
          <t>R1496401</t>
        </is>
      </c>
      <c r="F1150" s="2" t="n">
        <v>44621</v>
      </c>
      <c r="G1150" s="1" t="n"/>
    </row>
    <row r="1151">
      <c r="A1151" s="6" t="n">
        <v>57144</v>
      </c>
      <c r="B1151" s="6" t="inlineStr">
        <is>
          <t>CHI-CHI'S WHITE RUSSIAN</t>
        </is>
      </c>
      <c r="C1151" s="7">
        <f>VLOOKUP(A1151,SizeData!A$2:B$3839,2,FALSE)</f>
        <v/>
      </c>
      <c r="D1151" s="6" t="n">
        <v>2</v>
      </c>
      <c r="E1151" s="6" t="inlineStr">
        <is>
          <t>R1566604</t>
        </is>
      </c>
      <c r="F1151" s="2" t="n">
        <v>44660</v>
      </c>
      <c r="G1151" s="1" t="n"/>
    </row>
    <row r="1152">
      <c r="A1152" s="6" t="n">
        <v>57144</v>
      </c>
      <c r="B1152" s="6" t="inlineStr">
        <is>
          <t>CHI-CHI'S WHITE RUSSIAN</t>
        </is>
      </c>
      <c r="C1152" s="7">
        <f>VLOOKUP(A1152,SizeData!A$2:B$3839,2,FALSE)</f>
        <v/>
      </c>
      <c r="D1152" s="6" t="n">
        <v>3</v>
      </c>
      <c r="E1152" s="6" t="inlineStr">
        <is>
          <t>R1749316</t>
        </is>
      </c>
      <c r="F1152" s="2" t="n">
        <v>44803</v>
      </c>
      <c r="G1152" s="1" t="n"/>
    </row>
    <row r="1153">
      <c r="A1153" s="26" t="n">
        <v>57144</v>
      </c>
      <c r="B1153" s="26" t="inlineStr">
        <is>
          <t>CHI-CHI'S WHITE RUSSIAN</t>
        </is>
      </c>
      <c r="C1153" s="7">
        <f>VLOOKUP(A1153,SizeData!A$2:B$3839,2,FALSE)</f>
        <v/>
      </c>
      <c r="D1153" s="26" t="n">
        <v>2</v>
      </c>
      <c r="E1153" s="26" t="inlineStr">
        <is>
          <t>R1749316</t>
        </is>
      </c>
      <c r="F1153" s="61" t="n">
        <v>44803</v>
      </c>
      <c r="G1153" s="62" t="n"/>
    </row>
    <row r="1154">
      <c r="A1154" s="6" t="n">
        <v>4716</v>
      </c>
      <c r="B1154" s="6" t="inlineStr">
        <is>
          <t>CHIVAS REGAL</t>
        </is>
      </c>
      <c r="C1154" s="7">
        <f>VLOOKUP(A1154,SizeData!A$2:B$3839,2,FALSE)</f>
        <v/>
      </c>
      <c r="D1154" s="6" t="n">
        <v>1</v>
      </c>
      <c r="E1154" s="6" t="inlineStr">
        <is>
          <t>R1523938</t>
        </is>
      </c>
      <c r="F1154" s="2" t="n">
        <v>44642</v>
      </c>
      <c r="G1154" s="1" t="n"/>
    </row>
    <row r="1155">
      <c r="A1155" s="6" t="n">
        <v>4716</v>
      </c>
      <c r="B1155" s="6" t="inlineStr">
        <is>
          <t>CHIVAS REGAL</t>
        </is>
      </c>
      <c r="C1155" s="7">
        <f>VLOOKUP(A1155,SizeData!A$2:B$3839,2,FALSE)</f>
        <v/>
      </c>
      <c r="D1155" s="6" t="n">
        <v>2</v>
      </c>
      <c r="E1155" s="6" t="inlineStr">
        <is>
          <t>R1764571</t>
        </is>
      </c>
      <c r="F1155" s="2" t="n">
        <v>44824</v>
      </c>
      <c r="G1155" s="1" t="n"/>
    </row>
    <row r="1156">
      <c r="A1156" s="6" t="n">
        <v>4716</v>
      </c>
      <c r="B1156" s="6" t="inlineStr">
        <is>
          <t>CHIVAS REGAL</t>
        </is>
      </c>
      <c r="C1156" s="7">
        <f>VLOOKUP(A1156,SizeData!A$2:B$3839,2,FALSE)</f>
        <v/>
      </c>
      <c r="D1156" s="6" t="n">
        <v>2</v>
      </c>
      <c r="E1156" s="6" t="inlineStr">
        <is>
          <t>R1782657</t>
        </is>
      </c>
      <c r="F1156" s="2" t="n">
        <v>44828</v>
      </c>
      <c r="G1156" s="1" t="n"/>
    </row>
    <row r="1157">
      <c r="A1157" s="6" t="n">
        <v>4725</v>
      </c>
      <c r="B1157" s="6" t="inlineStr">
        <is>
          <t>CHIVAS REGAL (ROUND)</t>
        </is>
      </c>
      <c r="C1157" s="7">
        <f>VLOOKUP(A1157,SizeData!A$2:B$3839,2,FALSE)</f>
        <v/>
      </c>
      <c r="D1157" s="6" t="n">
        <v>9</v>
      </c>
      <c r="E1157" s="6" t="inlineStr">
        <is>
          <t>R1384476</t>
        </is>
      </c>
      <c r="F1157" s="2" t="n">
        <v>44562</v>
      </c>
      <c r="G1157" s="1" t="n"/>
    </row>
    <row r="1158">
      <c r="A1158" s="6" t="n">
        <v>4725</v>
      </c>
      <c r="B1158" s="6" t="inlineStr">
        <is>
          <t>CHIVAS REGAL (ROUND)</t>
        </is>
      </c>
      <c r="C1158" s="7">
        <f>VLOOKUP(A1158,SizeData!A$2:B$3839,2,FALSE)</f>
        <v/>
      </c>
      <c r="D1158" s="6" t="n">
        <v>4</v>
      </c>
      <c r="E1158" s="6" t="inlineStr">
        <is>
          <t>R1837345</t>
        </is>
      </c>
      <c r="F1158" s="2" t="n">
        <v>44859</v>
      </c>
      <c r="G1158" s="1" t="n"/>
    </row>
    <row r="1159">
      <c r="A1159" s="6" t="n">
        <v>92270</v>
      </c>
      <c r="B1159" s="6" t="inlineStr">
        <is>
          <t>CHOCOVINE (DUTCH CHOCOLATE &amp; RED WINE)</t>
        </is>
      </c>
      <c r="C1159" s="7">
        <f>VLOOKUP(A1159,SizeData!A$2:B$3839,2,FALSE)</f>
        <v/>
      </c>
      <c r="D1159" s="6" t="n">
        <v>2</v>
      </c>
      <c r="E1159" s="6" t="inlineStr">
        <is>
          <t>R1579709</t>
        </is>
      </c>
      <c r="F1159" s="2" t="n">
        <v>44674</v>
      </c>
      <c r="G1159" s="1" t="n"/>
    </row>
    <row r="1160">
      <c r="A1160" s="6" t="n">
        <v>52315</v>
      </c>
      <c r="B1160" s="6" t="inlineStr">
        <is>
          <t>CHRISTIAN BROTHERS BRANDY VS</t>
        </is>
      </c>
      <c r="C1160" s="7">
        <f>VLOOKUP(A1160,SizeData!A$2:B$3839,2,FALSE)</f>
        <v/>
      </c>
      <c r="D1160" s="6" t="n">
        <v>1</v>
      </c>
      <c r="E1160" s="6" t="inlineStr">
        <is>
          <t>R1781063</t>
        </is>
      </c>
      <c r="F1160" s="2" t="n">
        <v>44823</v>
      </c>
      <c r="G1160" s="1" t="n"/>
    </row>
    <row r="1161">
      <c r="A1161" s="6" t="n">
        <v>52316</v>
      </c>
      <c r="B1161" s="6" t="inlineStr">
        <is>
          <t>CHRISTIAN BROTHERS BRANDY VS</t>
        </is>
      </c>
      <c r="C1161" s="7">
        <f>VLOOKUP(A1161,SizeData!A$2:B$3839,2,FALSE)</f>
        <v/>
      </c>
      <c r="D1161" s="6" t="n">
        <v>1</v>
      </c>
      <c r="E1161" s="6" t="inlineStr">
        <is>
          <t>R1860872</t>
        </is>
      </c>
      <c r="F1161" s="2" t="n">
        <v>44875</v>
      </c>
      <c r="G1161" s="1" t="n"/>
    </row>
    <row r="1162">
      <c r="A1162" s="6" t="n">
        <v>64509</v>
      </c>
      <c r="B1162" s="6" t="inlineStr">
        <is>
          <t>CIROC APPLE FLAVORED VODKA SPECIALTY</t>
        </is>
      </c>
      <c r="C1162" s="7">
        <f>VLOOKUP(A1162,SizeData!A$2:B$3839,2,FALSE)</f>
        <v/>
      </c>
      <c r="D1162" s="6" t="n">
        <v>1</v>
      </c>
      <c r="E1162" s="6" t="inlineStr">
        <is>
          <t>R1639026</t>
        </is>
      </c>
      <c r="F1162" s="2" t="n">
        <v>44720</v>
      </c>
      <c r="G1162" s="1" t="n"/>
    </row>
    <row r="1163">
      <c r="A1163" s="6" t="n">
        <v>64510</v>
      </c>
      <c r="B1163" s="6" t="inlineStr">
        <is>
          <t>CIROC APPLE FLAVORED VODKA SPECIALTY</t>
        </is>
      </c>
      <c r="C1163" s="7">
        <f>VLOOKUP(A1163,SizeData!A$2:B$3839,2,FALSE)</f>
        <v/>
      </c>
      <c r="D1163" s="6" t="n">
        <v>1</v>
      </c>
      <c r="E1163" s="6" t="inlineStr">
        <is>
          <t>R1471889</t>
        </is>
      </c>
      <c r="F1163" s="2" t="n">
        <v>44611</v>
      </c>
      <c r="G1163" s="1" t="n"/>
    </row>
    <row r="1164">
      <c r="A1164" s="6" t="n">
        <v>64510</v>
      </c>
      <c r="B1164" s="6" t="inlineStr">
        <is>
          <t>CIROC APPLE FLAVORED VODKA SPECIALTY</t>
        </is>
      </c>
      <c r="C1164" s="7">
        <f>VLOOKUP(A1164,SizeData!A$2:B$3839,2,FALSE)</f>
        <v/>
      </c>
      <c r="D1164" s="6" t="n">
        <v>1</v>
      </c>
      <c r="E1164" s="6" t="inlineStr">
        <is>
          <t>R1646165</t>
        </is>
      </c>
      <c r="F1164" s="2" t="n">
        <v>44723</v>
      </c>
      <c r="G1164" s="1" t="n"/>
    </row>
    <row r="1165">
      <c r="A1165" s="6" t="n">
        <v>64510</v>
      </c>
      <c r="B1165" s="6" t="inlineStr">
        <is>
          <t>CIROC APPLE FLAVORED VODKA SPECIALTY</t>
        </is>
      </c>
      <c r="C1165" s="7">
        <f>VLOOKUP(A1165,SizeData!A$2:B$3839,2,FALSE)</f>
        <v/>
      </c>
      <c r="D1165" s="6" t="n">
        <v>1</v>
      </c>
      <c r="E1165" s="6" t="inlineStr">
        <is>
          <t>R1747750</t>
        </is>
      </c>
      <c r="F1165" s="2" t="n">
        <v>44802</v>
      </c>
      <c r="G1165" s="1" t="n"/>
    </row>
    <row r="1166">
      <c r="A1166" s="6" t="n">
        <v>64510</v>
      </c>
      <c r="B1166" s="6" t="inlineStr">
        <is>
          <t>CIROC APPLE FLAVORED VODKA SPECIALTY</t>
        </is>
      </c>
      <c r="C1166" s="7">
        <f>VLOOKUP(A1166,SizeData!A$2:B$3839,2,FALSE)</f>
        <v/>
      </c>
      <c r="D1166" s="6" t="n">
        <v>1</v>
      </c>
      <c r="E1166" s="6" t="inlineStr">
        <is>
          <t>R1880771</t>
        </is>
      </c>
      <c r="F1166" s="2" t="n">
        <v>44895</v>
      </c>
      <c r="G1166" s="1" t="n"/>
    </row>
    <row r="1167">
      <c r="A1167" s="6" t="n">
        <v>64511</v>
      </c>
      <c r="B1167" s="6" t="inlineStr">
        <is>
          <t>CIROC APPLE FLAVORED VODKA SPECIALTY</t>
        </is>
      </c>
      <c r="C1167" s="7">
        <f>VLOOKUP(A1167,SizeData!A$2:B$3839,2,FALSE)</f>
        <v/>
      </c>
      <c r="D1167" s="6" t="n">
        <v>3</v>
      </c>
      <c r="E1167" s="6" t="inlineStr">
        <is>
          <t>R1767202</t>
        </is>
      </c>
      <c r="F1167" s="2" t="n">
        <v>44812</v>
      </c>
      <c r="G1167" s="1" t="n"/>
    </row>
    <row r="1168">
      <c r="A1168" s="6" t="n">
        <v>64511</v>
      </c>
      <c r="B1168" s="6" t="inlineStr">
        <is>
          <t>CIROC APPLE FLAVORED VODKA SPECIALTY</t>
        </is>
      </c>
      <c r="C1168" s="7">
        <f>VLOOKUP(A1168,SizeData!A$2:B$3839,2,FALSE)</f>
        <v/>
      </c>
      <c r="D1168" s="6" t="n">
        <v>2</v>
      </c>
      <c r="E1168" s="6" t="inlineStr">
        <is>
          <t>R1906601</t>
        </is>
      </c>
      <c r="F1168" s="2" t="n">
        <v>44902</v>
      </c>
      <c r="G1168" s="1" t="n"/>
    </row>
    <row r="1169">
      <c r="A1169" s="6" t="n">
        <v>64512</v>
      </c>
      <c r="B1169" s="6" t="inlineStr">
        <is>
          <t>CIROC APPLE FLAVORED VODKA SPECIALTY</t>
        </is>
      </c>
      <c r="C1169" s="7">
        <f>VLOOKUP(A1169,SizeData!A$2:B$3839,2,FALSE)</f>
        <v/>
      </c>
      <c r="D1169" s="6" t="n">
        <v>2</v>
      </c>
      <c r="E1169" s="6" t="inlineStr">
        <is>
          <t>R1537124</t>
        </is>
      </c>
      <c r="F1169" s="2" t="n">
        <v>44646</v>
      </c>
      <c r="G1169" s="1" t="n"/>
    </row>
    <row r="1170">
      <c r="A1170" s="1" t="n">
        <v>64512</v>
      </c>
      <c r="B1170" s="1" t="inlineStr">
        <is>
          <t>CIROC APPLE FLAVORED VODKA SPECIALTY</t>
        </is>
      </c>
      <c r="C1170" s="7">
        <f>VLOOKUP(A1170,SizeData!A$2:B$3839,2,FALSE)</f>
        <v/>
      </c>
      <c r="D1170" s="1" t="n">
        <v>1</v>
      </c>
      <c r="E1170" s="1" t="inlineStr">
        <is>
          <t>R1537267</t>
        </is>
      </c>
      <c r="F1170" s="33" t="n">
        <v>44649</v>
      </c>
      <c r="G1170" s="1" t="n"/>
    </row>
    <row r="1171">
      <c r="A1171" s="6" t="n">
        <v>64512</v>
      </c>
      <c r="B1171" s="6" t="inlineStr">
        <is>
          <t>CIROC APPLE FLAVORED VODKA SPECIALTY</t>
        </is>
      </c>
      <c r="C1171" s="7">
        <f>VLOOKUP(A1171,SizeData!A$2:B$3839,2,FALSE)</f>
        <v/>
      </c>
      <c r="D1171" s="6" t="n">
        <v>3</v>
      </c>
      <c r="E1171" s="6" t="inlineStr">
        <is>
          <t>R1599993</t>
        </is>
      </c>
      <c r="F1171" s="2" t="n">
        <v>44701</v>
      </c>
      <c r="G1171" s="1" t="n"/>
    </row>
    <row r="1172">
      <c r="A1172" s="6" t="n">
        <v>64512</v>
      </c>
      <c r="B1172" s="6" t="inlineStr">
        <is>
          <t>CIROC APPLE FLAVORED VODKA SPECIALTY</t>
        </is>
      </c>
      <c r="C1172" s="7">
        <f>VLOOKUP(A1172,SizeData!A$2:B$3839,2,FALSE)</f>
        <v/>
      </c>
      <c r="D1172" s="6" t="n">
        <v>2</v>
      </c>
      <c r="E1172" s="6" t="inlineStr">
        <is>
          <t>R1742861</t>
        </is>
      </c>
      <c r="F1172" s="2" t="n">
        <v>44798</v>
      </c>
      <c r="G1172" s="1" t="n"/>
    </row>
    <row r="1173">
      <c r="A1173" s="26" t="n">
        <v>64512</v>
      </c>
      <c r="B1173" s="26" t="inlineStr">
        <is>
          <t>CIROC APPLE FLAVORED VODKA SPECIALTY</t>
        </is>
      </c>
      <c r="C1173" s="7">
        <f>VLOOKUP(A1173,SizeData!A$2:B$3839,2,FALSE)</f>
        <v/>
      </c>
      <c r="D1173" s="26" t="n">
        <v>1</v>
      </c>
      <c r="E1173" s="26" t="inlineStr">
        <is>
          <t>R1742861</t>
        </is>
      </c>
      <c r="F1173" s="61" t="n">
        <v>44798</v>
      </c>
      <c r="G1173" s="62" t="n"/>
    </row>
    <row r="1174">
      <c r="A1174" s="26" t="n">
        <v>64512</v>
      </c>
      <c r="B1174" s="26" t="inlineStr">
        <is>
          <t>CIROC APPLE FLAVORED VODKA SPECIALTY</t>
        </is>
      </c>
      <c r="C1174" s="7">
        <f>VLOOKUP(A1174,SizeData!A$2:B$3839,2,FALSE)</f>
        <v/>
      </c>
      <c r="D1174" s="26" t="n">
        <v>5</v>
      </c>
      <c r="E1174" s="26" t="inlineStr">
        <is>
          <t>R1756377</t>
        </is>
      </c>
      <c r="F1174" s="61" t="n">
        <v>44804</v>
      </c>
      <c r="G1174" s="62" t="n"/>
    </row>
    <row r="1175">
      <c r="A1175" s="6" t="n">
        <v>64514</v>
      </c>
      <c r="B1175" s="6" t="inlineStr">
        <is>
          <t>CIROC APPLE FLAVORED VODKA SPECIALTY</t>
        </is>
      </c>
      <c r="C1175" s="7">
        <f>VLOOKUP(A1175,SizeData!A$2:B$3839,2,FALSE)</f>
        <v/>
      </c>
      <c r="D1175" s="6" t="n">
        <v>1</v>
      </c>
      <c r="E1175" s="6" t="inlineStr">
        <is>
          <t>R1426776</t>
        </is>
      </c>
      <c r="F1175" s="2" t="n">
        <v>44585</v>
      </c>
      <c r="G1175" s="1" t="n"/>
    </row>
    <row r="1176">
      <c r="A1176" s="6" t="n">
        <v>64514</v>
      </c>
      <c r="B1176" s="6" t="inlineStr">
        <is>
          <t>CIROC APPLE FLAVORED VODKA SPECIALTY</t>
        </is>
      </c>
      <c r="C1176" s="7">
        <f>VLOOKUP(A1176,SizeData!A$2:B$3839,2,FALSE)</f>
        <v/>
      </c>
      <c r="D1176" s="6" t="n">
        <v>1</v>
      </c>
      <c r="E1176" s="6" t="inlineStr">
        <is>
          <t>R1488872</t>
        </is>
      </c>
      <c r="F1176" s="2" t="n">
        <v>44627</v>
      </c>
      <c r="G1176" s="1" t="n"/>
    </row>
    <row r="1177">
      <c r="A1177" s="26" t="n">
        <v>64514</v>
      </c>
      <c r="B1177" s="26" t="inlineStr">
        <is>
          <t>CIROC APPLE FLAVORED VODKA SPECIALTY</t>
        </is>
      </c>
      <c r="C1177" s="7">
        <f>VLOOKUP(A1177,SizeData!A$2:B$3839,2,FALSE)</f>
        <v/>
      </c>
      <c r="D1177" s="26" t="n">
        <v>1</v>
      </c>
      <c r="E1177" s="26" t="inlineStr">
        <is>
          <t>R1771175</t>
        </is>
      </c>
      <c r="F1177" s="61" t="n">
        <v>44814</v>
      </c>
      <c r="G1177" s="62" t="n"/>
    </row>
    <row r="1178">
      <c r="A1178" s="6" t="n">
        <v>64741</v>
      </c>
      <c r="B1178" s="6" t="inlineStr">
        <is>
          <t>CIROC COCONUT FLAVORED VODKA SPECIALTY</t>
        </is>
      </c>
      <c r="C1178" s="7">
        <f>VLOOKUP(A1178,SizeData!A$2:B$3839,2,FALSE)</f>
        <v/>
      </c>
      <c r="D1178" s="6" t="n">
        <v>1</v>
      </c>
      <c r="E1178" s="6" t="inlineStr">
        <is>
          <t>R1684174</t>
        </is>
      </c>
      <c r="F1178" s="2" t="n">
        <v>44760</v>
      </c>
      <c r="G1178" s="1" t="n"/>
    </row>
    <row r="1179">
      <c r="A1179" s="6" t="n">
        <v>64741</v>
      </c>
      <c r="B1179" s="6" t="inlineStr">
        <is>
          <t>CIROC COCONUT FLAVORED VODKA SPECIALTY</t>
        </is>
      </c>
      <c r="C1179" s="7">
        <f>VLOOKUP(A1179,SizeData!A$2:B$3839,2,FALSE)</f>
        <v/>
      </c>
      <c r="D1179" s="6" t="n">
        <v>1</v>
      </c>
      <c r="E1179" s="6" t="inlineStr">
        <is>
          <t>R1719137</t>
        </is>
      </c>
      <c r="F1179" s="2" t="n">
        <v>44781</v>
      </c>
      <c r="G1179" s="1" t="n"/>
    </row>
    <row r="1180">
      <c r="A1180" s="6" t="n">
        <v>64741</v>
      </c>
      <c r="B1180" s="6" t="inlineStr">
        <is>
          <t>CIROC COCONUT FLAVORED VODKA SPECIALTY</t>
        </is>
      </c>
      <c r="C1180" s="7">
        <f>VLOOKUP(A1180,SizeData!A$2:B$3839,2,FALSE)</f>
        <v/>
      </c>
      <c r="D1180" s="6" t="n">
        <v>1</v>
      </c>
      <c r="E1180" s="6" t="inlineStr">
        <is>
          <t>R1849692</t>
        </is>
      </c>
      <c r="F1180" s="2" t="n">
        <v>44870</v>
      </c>
      <c r="G1180" s="1" t="n"/>
    </row>
    <row r="1181">
      <c r="A1181" s="6" t="n">
        <v>64744</v>
      </c>
      <c r="B1181" s="6" t="inlineStr">
        <is>
          <t>CIROC COCONUT FLAVORED VODKA SPECIALTY</t>
        </is>
      </c>
      <c r="C1181" s="7">
        <f>VLOOKUP(A1181,SizeData!A$2:B$3839,2,FALSE)</f>
        <v/>
      </c>
      <c r="D1181" s="6" t="n">
        <v>1</v>
      </c>
      <c r="E1181" s="6" t="inlineStr">
        <is>
          <t>R1488872</t>
        </is>
      </c>
      <c r="F1181" s="2" t="n">
        <v>44627</v>
      </c>
      <c r="G1181" s="1" t="n"/>
    </row>
    <row r="1182">
      <c r="A1182" s="6" t="n">
        <v>64750</v>
      </c>
      <c r="B1182" s="6" t="inlineStr">
        <is>
          <t>CIROC COCONUT FLAVORED VODKA SPECIALTY</t>
        </is>
      </c>
      <c r="C1182" s="7">
        <f>VLOOKUP(A1182,SizeData!A$2:B$3839,2,FALSE)</f>
        <v/>
      </c>
      <c r="D1182" s="6" t="n">
        <v>1</v>
      </c>
      <c r="E1182" s="6" t="inlineStr">
        <is>
          <t>R1452246</t>
        </is>
      </c>
      <c r="F1182" s="2" t="n">
        <v>44600</v>
      </c>
      <c r="G1182" s="1" t="n"/>
    </row>
    <row r="1183">
      <c r="A1183" s="6" t="n">
        <v>64750</v>
      </c>
      <c r="B1183" s="6" t="inlineStr">
        <is>
          <t>CIROC COCONUT FLAVORED VODKA SPECIALTY</t>
        </is>
      </c>
      <c r="C1183" s="7">
        <f>VLOOKUP(A1183,SizeData!A$2:B$3839,2,FALSE)</f>
        <v/>
      </c>
      <c r="D1183" s="6" t="n">
        <v>1</v>
      </c>
      <c r="E1183" s="6" t="inlineStr">
        <is>
          <t>R1507714</t>
        </is>
      </c>
      <c r="F1183" s="2" t="n">
        <v>44634</v>
      </c>
      <c r="G1183" s="1" t="n"/>
    </row>
    <row r="1184">
      <c r="A1184" s="1" t="n">
        <v>64750</v>
      </c>
      <c r="B1184" s="1" t="inlineStr">
        <is>
          <t>CIROC COCONUT FLAVORED VODKA SPECIALTY</t>
        </is>
      </c>
      <c r="C1184" s="7">
        <f>VLOOKUP(A1184,SizeData!A$2:B$3839,2,FALSE)</f>
        <v/>
      </c>
      <c r="D1184" s="1" t="n">
        <v>1</v>
      </c>
      <c r="E1184" s="1" t="inlineStr">
        <is>
          <t>R1537267</t>
        </is>
      </c>
      <c r="F1184" s="33" t="n">
        <v>44649</v>
      </c>
      <c r="G1184" s="1" t="n"/>
    </row>
    <row r="1185">
      <c r="A1185" s="6" t="n">
        <v>64750</v>
      </c>
      <c r="B1185" s="6" t="inlineStr">
        <is>
          <t>CIROC COCONUT FLAVORED VODKA SPECIALTY</t>
        </is>
      </c>
      <c r="C1185" s="7">
        <f>VLOOKUP(A1185,SizeData!A$2:B$3839,2,FALSE)</f>
        <v/>
      </c>
      <c r="D1185" s="6" t="n">
        <v>1</v>
      </c>
      <c r="E1185" s="6" t="inlineStr">
        <is>
          <t>R1572421</t>
        </is>
      </c>
      <c r="F1185" s="2" t="n">
        <v>44667</v>
      </c>
      <c r="G1185" s="1" t="n"/>
    </row>
    <row r="1186">
      <c r="A1186" s="6" t="n">
        <v>64750</v>
      </c>
      <c r="B1186" s="6" t="inlineStr">
        <is>
          <t>CIROC COCONUT FLAVORED VODKA SPECIALTY</t>
        </is>
      </c>
      <c r="C1186" s="7">
        <f>VLOOKUP(A1186,SizeData!A$2:B$3839,2,FALSE)</f>
        <v/>
      </c>
      <c r="D1186" s="6" t="n">
        <v>1</v>
      </c>
      <c r="E1186" s="6" t="inlineStr">
        <is>
          <t>R1599922</t>
        </is>
      </c>
      <c r="F1186" s="2" t="n">
        <v>44696</v>
      </c>
      <c r="G1186" s="1" t="n"/>
    </row>
    <row r="1187">
      <c r="A1187" s="6" t="n">
        <v>64750</v>
      </c>
      <c r="B1187" s="6" t="inlineStr">
        <is>
          <t>CIROC COCONUT FLAVORED VODKA SPECIALTY</t>
        </is>
      </c>
      <c r="C1187" s="7">
        <f>VLOOKUP(A1187,SizeData!A$2:B$3839,2,FALSE)</f>
        <v/>
      </c>
      <c r="D1187" s="6" t="n">
        <v>2</v>
      </c>
      <c r="E1187" s="6" t="inlineStr">
        <is>
          <t>R1677409</t>
        </is>
      </c>
      <c r="F1187" s="2" t="n">
        <v>44746</v>
      </c>
      <c r="G1187" s="1" t="n"/>
    </row>
    <row r="1188">
      <c r="A1188" s="6" t="n">
        <v>64750</v>
      </c>
      <c r="B1188" s="6" t="inlineStr">
        <is>
          <t>CIROC COCONUT FLAVORED VODKA SPECIALTY</t>
        </is>
      </c>
      <c r="C1188" s="7">
        <f>VLOOKUP(A1188,SizeData!A$2:B$3839,2,FALSE)</f>
        <v/>
      </c>
      <c r="D1188" s="6" t="n">
        <v>7</v>
      </c>
      <c r="E1188" s="6" t="inlineStr">
        <is>
          <t>R1709111</t>
        </is>
      </c>
      <c r="F1188" s="2" t="n">
        <v>44774</v>
      </c>
      <c r="G1188" s="62" t="n"/>
    </row>
    <row r="1189">
      <c r="A1189" s="6" t="n">
        <v>64912</v>
      </c>
      <c r="B1189" s="6" t="inlineStr">
        <is>
          <t>CIROC MANGO FLAVORED VODKA SPECIALTY</t>
        </is>
      </c>
      <c r="C1189" s="7">
        <f>VLOOKUP(A1189,SizeData!A$2:B$3839,2,FALSE)</f>
        <v/>
      </c>
      <c r="D1189" s="6" t="n">
        <v>1</v>
      </c>
      <c r="E1189" s="6" t="inlineStr">
        <is>
          <t>R1569610</t>
        </is>
      </c>
      <c r="F1189" s="2" t="n">
        <v>44669</v>
      </c>
      <c r="G1189" s="1" t="n"/>
    </row>
    <row r="1190">
      <c r="A1190" s="6" t="n">
        <v>64912</v>
      </c>
      <c r="B1190" s="6" t="inlineStr">
        <is>
          <t>CIROC MANGO FLAVORED VODKA SPECIALTY</t>
        </is>
      </c>
      <c r="C1190" s="7">
        <f>VLOOKUP(A1190,SizeData!A$2:B$3839,2,FALSE)</f>
        <v/>
      </c>
      <c r="D1190" s="6" t="n">
        <v>1</v>
      </c>
      <c r="E1190" s="6" t="inlineStr">
        <is>
          <t>R1738647</t>
        </is>
      </c>
      <c r="F1190" s="2" t="n">
        <v>44791</v>
      </c>
      <c r="G1190" s="1" t="n"/>
    </row>
    <row r="1191">
      <c r="A1191" s="6" t="n">
        <v>64912</v>
      </c>
      <c r="B1191" s="6" t="inlineStr">
        <is>
          <t>CIROC MANGO FLAVORED VODKA SPECIALTY</t>
        </is>
      </c>
      <c r="C1191" s="7">
        <f>VLOOKUP(A1191,SizeData!A$2:B$3839,2,FALSE)</f>
        <v/>
      </c>
      <c r="D1191" s="6" t="n">
        <v>1</v>
      </c>
      <c r="E1191" s="6" t="inlineStr">
        <is>
          <t>R1781063</t>
        </is>
      </c>
      <c r="F1191" s="2" t="n">
        <v>44823</v>
      </c>
      <c r="G1191" s="1" t="n"/>
    </row>
    <row r="1192">
      <c r="A1192" s="6" t="n">
        <v>64914</v>
      </c>
      <c r="B1192" s="6" t="inlineStr">
        <is>
          <t>CIROC MANGO FLAVORED VODKA SPECIALTY</t>
        </is>
      </c>
      <c r="C1192" s="7">
        <f>VLOOKUP(A1192,SizeData!A$2:B$3839,2,FALSE)</f>
        <v/>
      </c>
      <c r="D1192" s="6" t="n">
        <v>4</v>
      </c>
      <c r="E1192" s="6" t="inlineStr">
        <is>
          <t>R1713939</t>
        </is>
      </c>
      <c r="F1192" s="2" t="n">
        <v>44779</v>
      </c>
      <c r="G1192" s="1" t="n"/>
    </row>
    <row r="1193">
      <c r="A1193" s="6" t="n">
        <v>64348</v>
      </c>
      <c r="B1193" s="6" t="inlineStr">
        <is>
          <t>CIROC PASSION</t>
        </is>
      </c>
      <c r="C1193" s="7">
        <f>VLOOKUP(A1193,SizeData!A$2:B$3839,2,FALSE)</f>
        <v/>
      </c>
      <c r="D1193" s="6" t="n">
        <v>5</v>
      </c>
      <c r="E1193" s="6" t="inlineStr">
        <is>
          <t>R1705386</t>
        </is>
      </c>
      <c r="F1193" s="2" t="n">
        <v>44762</v>
      </c>
      <c r="G1193" s="1" t="n"/>
    </row>
    <row r="1194">
      <c r="A1194" s="6" t="n">
        <v>64348</v>
      </c>
      <c r="B1194" s="6" t="inlineStr">
        <is>
          <t>CIROC PASSION</t>
        </is>
      </c>
      <c r="C1194" s="7">
        <f>VLOOKUP(A1194,SizeData!A$2:B$3839,2,FALSE)</f>
        <v/>
      </c>
      <c r="D1194" s="6" t="n">
        <v>5</v>
      </c>
      <c r="E1194" s="6" t="inlineStr">
        <is>
          <t>R1729512</t>
        </is>
      </c>
      <c r="F1194" s="2" t="n">
        <v>44788</v>
      </c>
      <c r="G1194" s="1" t="n"/>
    </row>
    <row r="1195">
      <c r="A1195" s="6" t="n">
        <v>64348</v>
      </c>
      <c r="B1195" s="6" t="inlineStr">
        <is>
          <t>CIROC PASSION</t>
        </is>
      </c>
      <c r="C1195" s="7">
        <f>VLOOKUP(A1195,SizeData!A$2:B$3839,2,FALSE)</f>
        <v/>
      </c>
      <c r="D1195" s="6" t="n">
        <v>5</v>
      </c>
      <c r="E1195" s="6" t="inlineStr">
        <is>
          <t>R1739947</t>
        </is>
      </c>
      <c r="F1195" s="2" t="n">
        <v>44798</v>
      </c>
      <c r="G1195" s="1" t="n"/>
    </row>
    <row r="1196">
      <c r="A1196" s="6" t="n">
        <v>64348</v>
      </c>
      <c r="B1196" s="6" t="inlineStr">
        <is>
          <t>CIROC PASSION</t>
        </is>
      </c>
      <c r="C1196" s="7">
        <f>VLOOKUP(A1196,SizeData!A$2:B$3839,2,FALSE)</f>
        <v/>
      </c>
      <c r="D1196" s="6" t="n">
        <v>5</v>
      </c>
      <c r="E1196" s="6" t="inlineStr">
        <is>
          <t>R1755367</t>
        </is>
      </c>
      <c r="F1196" s="2" t="n">
        <v>44798</v>
      </c>
      <c r="G1196" s="1" t="n"/>
    </row>
    <row r="1197">
      <c r="A1197" s="6" t="n">
        <v>64348</v>
      </c>
      <c r="B1197" s="6" t="inlineStr">
        <is>
          <t>CIROC PASSION</t>
        </is>
      </c>
      <c r="C1197" s="7">
        <f>VLOOKUP(A1197,SizeData!A$2:B$3839,2,FALSE)</f>
        <v/>
      </c>
      <c r="D1197" s="6" t="n">
        <v>8</v>
      </c>
      <c r="E1197" s="6" t="inlineStr">
        <is>
          <t>R1734766</t>
        </is>
      </c>
      <c r="F1197" s="2" t="n">
        <v>44799</v>
      </c>
      <c r="G1197" s="1" t="n"/>
    </row>
    <row r="1198">
      <c r="A1198" s="6" t="n">
        <v>64710</v>
      </c>
      <c r="B1198" s="6" t="inlineStr">
        <is>
          <t>CIROC PEACH FLAVORED VODKA SPECIALTY</t>
        </is>
      </c>
      <c r="C1198" s="7">
        <f>VLOOKUP(A1198,SizeData!A$2:B$3839,2,FALSE)</f>
        <v/>
      </c>
      <c r="D1198" s="6" t="n">
        <v>1</v>
      </c>
      <c r="E1198" s="6" t="inlineStr">
        <is>
          <t>R1408146</t>
        </is>
      </c>
      <c r="F1198" s="2" t="n">
        <v>44569</v>
      </c>
      <c r="G1198" s="1" t="n"/>
    </row>
    <row r="1199">
      <c r="A1199" s="6" t="n">
        <v>64711</v>
      </c>
      <c r="B1199" s="6" t="inlineStr">
        <is>
          <t>CIROC PEACH FLAVORED VODKA SPECIALTY</t>
        </is>
      </c>
      <c r="C1199" s="7">
        <f>VLOOKUP(A1199,SizeData!A$2:B$3839,2,FALSE)</f>
        <v/>
      </c>
      <c r="D1199" s="6" t="n">
        <v>2</v>
      </c>
      <c r="E1199" s="6" t="inlineStr">
        <is>
          <t>R1437025</t>
        </is>
      </c>
      <c r="F1199" s="2" t="n">
        <v>44587</v>
      </c>
      <c r="G1199" s="1" t="n"/>
    </row>
    <row r="1200">
      <c r="A1200" s="6" t="n">
        <v>64711</v>
      </c>
      <c r="B1200" s="6" t="inlineStr">
        <is>
          <t>CIROC PEACH FLAVORED VODKA SPECIALTY</t>
        </is>
      </c>
      <c r="C1200" s="7">
        <f>VLOOKUP(A1200,SizeData!A$2:B$3839,2,FALSE)</f>
        <v/>
      </c>
      <c r="D1200" s="6" t="n">
        <v>2</v>
      </c>
      <c r="E1200" s="6" t="inlineStr">
        <is>
          <t>R1549891</t>
        </is>
      </c>
      <c r="F1200" s="2" t="n">
        <v>44656</v>
      </c>
      <c r="G1200" s="1" t="n"/>
    </row>
    <row r="1201">
      <c r="A1201" s="6" t="n">
        <v>64711</v>
      </c>
      <c r="B1201" s="6" t="inlineStr">
        <is>
          <t>CIROC PEACH FLAVORED VODKA SPECIALTY</t>
        </is>
      </c>
      <c r="C1201" s="7">
        <f>VLOOKUP(A1201,SizeData!A$2:B$3839,2,FALSE)</f>
        <v/>
      </c>
      <c r="D1201" s="6" t="n">
        <v>2</v>
      </c>
      <c r="E1201" s="6" t="inlineStr">
        <is>
          <t>R1760922</t>
        </is>
      </c>
      <c r="F1201" s="2" t="n">
        <v>44805</v>
      </c>
      <c r="G1201" s="1" t="n"/>
    </row>
    <row r="1202">
      <c r="A1202" s="26" t="n">
        <v>64711</v>
      </c>
      <c r="B1202" s="26" t="inlineStr">
        <is>
          <t>CIROC PEACH FLAVORED VODKA SPECIALTY</t>
        </is>
      </c>
      <c r="C1202" s="7">
        <f>VLOOKUP(A1202,SizeData!A$2:B$3839,2,FALSE)</f>
        <v/>
      </c>
      <c r="D1202" s="26" t="n">
        <v>1</v>
      </c>
      <c r="E1202" s="26" t="inlineStr">
        <is>
          <t>R1781063</t>
        </is>
      </c>
      <c r="F1202" s="61" t="n">
        <v>44823</v>
      </c>
      <c r="G1202" s="62" t="n"/>
    </row>
    <row r="1203">
      <c r="A1203" s="6" t="n">
        <v>64714</v>
      </c>
      <c r="B1203" s="6" t="inlineStr">
        <is>
          <t>CIROC PEACH FLAVORED VODKA SPECIALTY</t>
        </is>
      </c>
      <c r="C1203" s="7">
        <f>VLOOKUP(A1203,SizeData!A$2:B$3839,2,FALSE)</f>
        <v/>
      </c>
      <c r="D1203" s="6" t="n">
        <v>1</v>
      </c>
      <c r="E1203" s="6" t="inlineStr">
        <is>
          <t>R1426776</t>
        </is>
      </c>
      <c r="F1203" s="2" t="n">
        <v>44585</v>
      </c>
      <c r="G1203" s="1" t="n"/>
    </row>
    <row r="1204">
      <c r="A1204" s="6" t="n">
        <v>64714</v>
      </c>
      <c r="B1204" s="6" t="inlineStr">
        <is>
          <t>CIROC PEACH FLAVORED VODKA SPECIALTY</t>
        </is>
      </c>
      <c r="C1204" s="7">
        <f>VLOOKUP(A1204,SizeData!A$2:B$3839,2,FALSE)</f>
        <v/>
      </c>
      <c r="D1204" s="6" t="n">
        <v>1</v>
      </c>
      <c r="E1204" s="6" t="inlineStr">
        <is>
          <t>R1495781</t>
        </is>
      </c>
      <c r="F1204" s="2" t="n">
        <v>44627</v>
      </c>
      <c r="G1204" s="1" t="n"/>
    </row>
    <row r="1205">
      <c r="A1205" s="6" t="n">
        <v>64714</v>
      </c>
      <c r="B1205" s="6" t="inlineStr">
        <is>
          <t>CIROC PEACH FLAVORED VODKA SPECIALTY</t>
        </is>
      </c>
      <c r="C1205" s="7">
        <f>VLOOKUP(A1205,SizeData!A$2:B$3839,2,FALSE)</f>
        <v/>
      </c>
      <c r="D1205" s="6" t="n">
        <v>1</v>
      </c>
      <c r="E1205" s="6" t="inlineStr">
        <is>
          <t>R1646165</t>
        </is>
      </c>
      <c r="F1205" s="2" t="n">
        <v>44723</v>
      </c>
      <c r="G1205" s="1" t="n"/>
    </row>
    <row r="1206">
      <c r="A1206" s="6" t="n">
        <v>64714</v>
      </c>
      <c r="B1206" s="6" t="inlineStr">
        <is>
          <t>CIROC PEACH FLAVORED VODKA SPECIALTY</t>
        </is>
      </c>
      <c r="C1206" s="7">
        <f>VLOOKUP(A1206,SizeData!A$2:B$3839,2,FALSE)</f>
        <v/>
      </c>
      <c r="D1206" s="6" t="n">
        <v>1</v>
      </c>
      <c r="E1206" s="6" t="inlineStr">
        <is>
          <t>R1771175</t>
        </is>
      </c>
      <c r="F1206" s="2" t="n">
        <v>44814</v>
      </c>
      <c r="G1206" s="1" t="n"/>
    </row>
    <row r="1207">
      <c r="A1207" s="6" t="n">
        <v>64716</v>
      </c>
      <c r="B1207" s="6" t="inlineStr">
        <is>
          <t>CIROC PEACH FLAVORED VODKA SPECIALTY</t>
        </is>
      </c>
      <c r="C1207" s="7">
        <f>VLOOKUP(A1207,SizeData!A$2:B$3839,2,FALSE)</f>
        <v/>
      </c>
      <c r="D1207" s="6" t="n">
        <v>1</v>
      </c>
      <c r="E1207" s="6" t="inlineStr">
        <is>
          <t>R1606911</t>
        </is>
      </c>
      <c r="F1207" s="2" t="n">
        <v>44688</v>
      </c>
      <c r="G1207" s="1" t="n"/>
    </row>
    <row r="1208">
      <c r="A1208" s="6" t="n">
        <v>64716</v>
      </c>
      <c r="B1208" s="6" t="inlineStr">
        <is>
          <t>CIROC PEACH FLAVORED VODKA SPECIALTY</t>
        </is>
      </c>
      <c r="C1208" s="7">
        <f>VLOOKUP(A1208,SizeData!A$2:B$3839,2,FALSE)</f>
        <v/>
      </c>
      <c r="D1208" s="6" t="n">
        <v>1</v>
      </c>
      <c r="E1208" s="6" t="inlineStr">
        <is>
          <t>R1620910</t>
        </is>
      </c>
      <c r="F1208" s="2" t="n">
        <v>44694</v>
      </c>
      <c r="G1208" s="1" t="n"/>
    </row>
    <row r="1209">
      <c r="A1209" s="6" t="n">
        <v>64716</v>
      </c>
      <c r="B1209" s="6" t="inlineStr">
        <is>
          <t>CIROC PEACH FLAVORED VODKA SPECIALTY</t>
        </is>
      </c>
      <c r="C1209" s="7">
        <f>VLOOKUP(A1209,SizeData!A$2:B$3839,2,FALSE)</f>
        <v/>
      </c>
      <c r="D1209" s="6" t="n">
        <v>1</v>
      </c>
      <c r="E1209" s="6" t="inlineStr">
        <is>
          <t>R1679342</t>
        </is>
      </c>
      <c r="F1209" s="2" t="n">
        <v>44753</v>
      </c>
      <c r="G1209" s="1" t="n"/>
    </row>
    <row r="1210">
      <c r="A1210" s="6" t="n">
        <v>64716</v>
      </c>
      <c r="B1210" s="6" t="inlineStr">
        <is>
          <t>CIROC PEACH FLAVORED VODKA SPECIALTY</t>
        </is>
      </c>
      <c r="C1210" s="7">
        <f>VLOOKUP(A1210,SizeData!A$2:B$3839,2,FALSE)</f>
        <v/>
      </c>
      <c r="D1210" s="6" t="n">
        <v>2</v>
      </c>
      <c r="E1210" s="6" t="inlineStr">
        <is>
          <t>R1684174</t>
        </is>
      </c>
      <c r="F1210" s="2" t="n">
        <v>44760</v>
      </c>
      <c r="G1210" s="1" t="n"/>
    </row>
    <row r="1211">
      <c r="A1211" s="6" t="n">
        <v>64716</v>
      </c>
      <c r="B1211" s="6" t="inlineStr">
        <is>
          <t>CIROC PEACH FLAVORED VODKA SPECIALTY</t>
        </is>
      </c>
      <c r="C1211" s="7">
        <f>VLOOKUP(A1211,SizeData!A$2:B$3839,2,FALSE)</f>
        <v/>
      </c>
      <c r="D1211" s="6" t="n">
        <v>7</v>
      </c>
      <c r="E1211" s="6" t="inlineStr">
        <is>
          <t>R1709111</t>
        </is>
      </c>
      <c r="F1211" s="2" t="n">
        <v>44774</v>
      </c>
      <c r="G1211" s="1" t="n"/>
    </row>
    <row r="1212">
      <c r="A1212" s="6" t="n">
        <v>64722</v>
      </c>
      <c r="B1212" s="6" t="inlineStr">
        <is>
          <t>CIROC PEACH FLAVORED VODKA SPECIALTY</t>
        </is>
      </c>
      <c r="C1212" s="7">
        <f>VLOOKUP(A1212,SizeData!A$2:B$3839,2,FALSE)</f>
        <v/>
      </c>
      <c r="D1212" s="6" t="n">
        <v>1</v>
      </c>
      <c r="E1212" s="6" t="inlineStr">
        <is>
          <t>R1547633</t>
        </is>
      </c>
      <c r="F1212" s="2" t="n">
        <v>44653</v>
      </c>
      <c r="G1212" s="1" t="n"/>
    </row>
    <row r="1213">
      <c r="A1213" s="6" t="n">
        <v>64722</v>
      </c>
      <c r="B1213" s="6" t="inlineStr">
        <is>
          <t>CIROC PEACH FLAVORED VODKA SPECIALTY</t>
        </is>
      </c>
      <c r="C1213" s="7">
        <f>VLOOKUP(A1213,SizeData!A$2:B$3839,2,FALSE)</f>
        <v/>
      </c>
      <c r="D1213" s="6" t="n">
        <v>1</v>
      </c>
      <c r="E1213" s="6" t="inlineStr">
        <is>
          <t>R1781063</t>
        </is>
      </c>
      <c r="F1213" s="2" t="n">
        <v>44823</v>
      </c>
      <c r="G1213" s="1" t="n"/>
    </row>
    <row r="1214">
      <c r="A1214" s="6" t="n">
        <v>64722</v>
      </c>
      <c r="B1214" s="6" t="inlineStr">
        <is>
          <t>CIROC PEACH FLAVORED VODKA SPECIALTY</t>
        </is>
      </c>
      <c r="C1214" s="7">
        <f>VLOOKUP(A1214,SizeData!A$2:B$3839,2,FALSE)</f>
        <v/>
      </c>
      <c r="D1214" s="6" t="n">
        <v>1</v>
      </c>
      <c r="E1214" s="6" t="inlineStr">
        <is>
          <t>R1880771</t>
        </is>
      </c>
      <c r="F1214" s="2" t="n">
        <v>44895</v>
      </c>
      <c r="G1214" s="1" t="n"/>
    </row>
    <row r="1215">
      <c r="A1215" s="6" t="n">
        <v>64571</v>
      </c>
      <c r="B1215" s="6" t="inlineStr">
        <is>
          <t>CIROC PINEAPPLE FLAVORED VODKA SPECIALTY</t>
        </is>
      </c>
      <c r="C1215" s="7">
        <f>VLOOKUP(A1215,SizeData!A$2:B$3839,2,FALSE)</f>
        <v/>
      </c>
      <c r="D1215" s="6" t="n">
        <v>1</v>
      </c>
      <c r="E1215" s="6" t="inlineStr">
        <is>
          <t>R1403892</t>
        </is>
      </c>
      <c r="F1215" s="2" t="n">
        <v>44573</v>
      </c>
      <c r="G1215" s="1" t="n"/>
    </row>
    <row r="1216">
      <c r="A1216" s="6" t="n">
        <v>64571</v>
      </c>
      <c r="B1216" s="6" t="inlineStr">
        <is>
          <t>CIROC PINEAPPLE FLAVORED VODKA SPECIALTY</t>
        </is>
      </c>
      <c r="C1216" s="7">
        <f>VLOOKUP(A1216,SizeData!A$2:B$3839,2,FALSE)</f>
        <v/>
      </c>
      <c r="D1216" s="6" t="n">
        <v>1</v>
      </c>
      <c r="E1216" s="6" t="inlineStr">
        <is>
          <t>R1532042</t>
        </is>
      </c>
      <c r="F1216" s="2" t="n">
        <v>44644</v>
      </c>
      <c r="G1216" s="1" t="n"/>
    </row>
    <row r="1217">
      <c r="A1217" s="6" t="n">
        <v>64571</v>
      </c>
      <c r="B1217" s="6" t="inlineStr">
        <is>
          <t>CIROC PINEAPPLE FLAVORED VODKA SPECIALTY</t>
        </is>
      </c>
      <c r="C1217" s="7">
        <f>VLOOKUP(A1217,SizeData!A$2:B$3839,2,FALSE)</f>
        <v/>
      </c>
      <c r="D1217" s="6" t="n">
        <v>1</v>
      </c>
      <c r="E1217" s="6" t="inlineStr">
        <is>
          <t>R1684174</t>
        </is>
      </c>
      <c r="F1217" s="2" t="n">
        <v>44760</v>
      </c>
      <c r="G1217" s="1" t="n"/>
    </row>
    <row r="1218">
      <c r="A1218" s="6" t="n">
        <v>64571</v>
      </c>
      <c r="B1218" s="6" t="inlineStr">
        <is>
          <t>CIROC PINEAPPLE FLAVORED VODKA SPECIALTY</t>
        </is>
      </c>
      <c r="C1218" s="7">
        <f>VLOOKUP(A1218,SizeData!A$2:B$3839,2,FALSE)</f>
        <v/>
      </c>
      <c r="D1218" s="6" t="n">
        <v>1</v>
      </c>
      <c r="E1218" s="6" t="inlineStr">
        <is>
          <t>R1860108</t>
        </is>
      </c>
      <c r="F1218" s="2" t="n">
        <v>44868</v>
      </c>
      <c r="G1218" s="1" t="n"/>
    </row>
    <row r="1219">
      <c r="A1219" s="6" t="n">
        <v>64572</v>
      </c>
      <c r="B1219" s="6" t="inlineStr">
        <is>
          <t>CIROC PINEAPPLE FLAVORED VODKA SPECIALTY</t>
        </is>
      </c>
      <c r="C1219" s="7">
        <f>VLOOKUP(A1219,SizeData!A$2:B$3839,2,FALSE)</f>
        <v/>
      </c>
      <c r="D1219" s="6" t="n">
        <v>1</v>
      </c>
      <c r="E1219" s="6" t="inlineStr">
        <is>
          <t>R1472921</t>
        </is>
      </c>
      <c r="F1219" s="2" t="n">
        <v>44613</v>
      </c>
      <c r="G1219" s="1" t="n"/>
    </row>
    <row r="1220">
      <c r="A1220" s="6" t="n">
        <v>64572</v>
      </c>
      <c r="B1220" s="6" t="inlineStr">
        <is>
          <t>CIROC PINEAPPLE FLAVORED VODKA SPECIALTY</t>
        </is>
      </c>
      <c r="C1220" s="7">
        <f>VLOOKUP(A1220,SizeData!A$2:B$3839,2,FALSE)</f>
        <v/>
      </c>
      <c r="D1220" s="6" t="n">
        <v>1</v>
      </c>
      <c r="E1220" s="6" t="inlineStr">
        <is>
          <t>R1499946</t>
        </is>
      </c>
      <c r="F1220" s="2" t="n">
        <v>44627</v>
      </c>
      <c r="G1220" s="1" t="n"/>
    </row>
    <row r="1221">
      <c r="A1221" s="6" t="n">
        <v>64572</v>
      </c>
      <c r="B1221" s="6" t="inlineStr">
        <is>
          <t>CIROC PINEAPPLE FLAVORED VODKA SPECIALTY</t>
        </is>
      </c>
      <c r="C1221" s="7">
        <f>VLOOKUP(A1221,SizeData!A$2:B$3839,2,FALSE)</f>
        <v/>
      </c>
      <c r="D1221" s="6" t="n">
        <v>1</v>
      </c>
      <c r="E1221" s="6" t="inlineStr">
        <is>
          <t>R1549891</t>
        </is>
      </c>
      <c r="F1221" s="2" t="n">
        <v>44656</v>
      </c>
      <c r="G1221" s="1" t="n"/>
    </row>
    <row r="1222">
      <c r="A1222" s="6" t="n">
        <v>64572</v>
      </c>
      <c r="B1222" s="6" t="inlineStr">
        <is>
          <t>CIROC PINEAPPLE FLAVORED VODKA SPECIALTY</t>
        </is>
      </c>
      <c r="C1222" s="7">
        <f>VLOOKUP(A1222,SizeData!A$2:B$3839,2,FALSE)</f>
        <v/>
      </c>
      <c r="D1222" s="6" t="n">
        <v>4</v>
      </c>
      <c r="E1222" s="6" t="inlineStr">
        <is>
          <t>R1691195</t>
        </is>
      </c>
      <c r="F1222" s="2" t="n">
        <v>44762</v>
      </c>
      <c r="G1222" s="1" t="n"/>
    </row>
    <row r="1223">
      <c r="A1223" s="6" t="n">
        <v>64572</v>
      </c>
      <c r="B1223" s="6" t="inlineStr">
        <is>
          <t>CIROC PINEAPPLE FLAVORED VODKA SPECIALTY</t>
        </is>
      </c>
      <c r="C1223" s="7">
        <f>VLOOKUP(A1223,SizeData!A$2:B$3839,2,FALSE)</f>
        <v/>
      </c>
      <c r="D1223" s="6" t="n">
        <v>2</v>
      </c>
      <c r="E1223" s="6" t="inlineStr">
        <is>
          <t>R1860108</t>
        </is>
      </c>
      <c r="F1223" s="2" t="n">
        <v>44868</v>
      </c>
      <c r="G1223" s="1" t="n"/>
    </row>
    <row r="1224">
      <c r="A1224" s="6" t="n">
        <v>64573</v>
      </c>
      <c r="B1224" s="6" t="inlineStr">
        <is>
          <t>CIROC PINEAPPLE FLAVORED VODKA SPECIALTY</t>
        </is>
      </c>
      <c r="C1224" s="7">
        <f>VLOOKUP(A1224,SizeData!A$2:B$3839,2,FALSE)</f>
        <v/>
      </c>
      <c r="D1224" s="6" t="n">
        <v>1</v>
      </c>
      <c r="E1224" s="6" t="inlineStr">
        <is>
          <t>R1537124</t>
        </is>
      </c>
      <c r="F1224" s="2" t="n">
        <v>44646</v>
      </c>
      <c r="G1224" s="1" t="n"/>
    </row>
    <row r="1225">
      <c r="A1225" s="6" t="n">
        <v>64573</v>
      </c>
      <c r="B1225" s="6" t="inlineStr">
        <is>
          <t>CIROC PINEAPPLE FLAVORED VODKA SPECIALTY</t>
        </is>
      </c>
      <c r="C1225" s="7">
        <f>VLOOKUP(A1225,SizeData!A$2:B$3839,2,FALSE)</f>
        <v/>
      </c>
      <c r="D1225" s="6" t="n">
        <v>1</v>
      </c>
      <c r="E1225" s="6" t="inlineStr">
        <is>
          <t>R1572421</t>
        </is>
      </c>
      <c r="F1225" s="2" t="n">
        <v>44667</v>
      </c>
      <c r="G1225" s="1" t="n"/>
    </row>
    <row r="1226">
      <c r="A1226" s="6" t="n">
        <v>64573</v>
      </c>
      <c r="B1226" s="6" t="inlineStr">
        <is>
          <t>CIROC PINEAPPLE FLAVORED VODKA SPECIALTY</t>
        </is>
      </c>
      <c r="C1226" s="7">
        <f>VLOOKUP(A1226,SizeData!A$2:B$3839,2,FALSE)</f>
        <v/>
      </c>
      <c r="D1226" s="6" t="n">
        <v>1</v>
      </c>
      <c r="E1226" s="6" t="inlineStr">
        <is>
          <t>R1577697</t>
        </is>
      </c>
      <c r="F1226" s="2" t="n">
        <v>44677</v>
      </c>
      <c r="G1226" s="1" t="n"/>
    </row>
    <row r="1227">
      <c r="A1227" s="6" t="n">
        <v>64573</v>
      </c>
      <c r="B1227" s="6" t="inlineStr">
        <is>
          <t>CIROC PINEAPPLE FLAVORED VODKA SPECIALTY</t>
        </is>
      </c>
      <c r="C1227" s="7">
        <f>VLOOKUP(A1227,SizeData!A$2:B$3839,2,FALSE)</f>
        <v/>
      </c>
      <c r="D1227" s="6" t="n">
        <v>1</v>
      </c>
      <c r="E1227" s="6" t="inlineStr">
        <is>
          <t>R1620910</t>
        </is>
      </c>
      <c r="F1227" s="2" t="n">
        <v>44694</v>
      </c>
      <c r="G1227" s="1" t="n"/>
    </row>
    <row r="1228">
      <c r="A1228" s="6" t="n">
        <v>64573</v>
      </c>
      <c r="B1228" s="6" t="inlineStr">
        <is>
          <t>CIROC PINEAPPLE FLAVORED VODKA SPECIALTY</t>
        </is>
      </c>
      <c r="C1228" s="7">
        <f>VLOOKUP(A1228,SizeData!A$2:B$3839,2,FALSE)</f>
        <v/>
      </c>
      <c r="D1228" s="6" t="n">
        <v>3</v>
      </c>
      <c r="E1228" s="6" t="inlineStr">
        <is>
          <t>R1684174</t>
        </is>
      </c>
      <c r="F1228" s="2" t="n">
        <v>44760</v>
      </c>
      <c r="G1228" s="1" t="n"/>
    </row>
    <row r="1229">
      <c r="A1229" s="6" t="n">
        <v>64573</v>
      </c>
      <c r="B1229" s="6" t="inlineStr">
        <is>
          <t>CIROC PINEAPPLE FLAVORED VODKA SPECIALTY</t>
        </is>
      </c>
      <c r="C1229" s="7">
        <f>VLOOKUP(A1229,SizeData!A$2:B$3839,2,FALSE)</f>
        <v/>
      </c>
      <c r="D1229" s="6" t="n">
        <v>8</v>
      </c>
      <c r="E1229" s="6" t="inlineStr">
        <is>
          <t>R1709111</t>
        </is>
      </c>
      <c r="F1229" s="2" t="n">
        <v>44774</v>
      </c>
      <c r="G1229" s="1" t="n"/>
    </row>
    <row r="1230">
      <c r="A1230" s="26" t="n">
        <v>64573</v>
      </c>
      <c r="B1230" s="26" t="inlineStr">
        <is>
          <t>CIROC PINEAPPLE FLAVORED VODKA SPECIALTY</t>
        </is>
      </c>
      <c r="C1230" s="75">
        <f>VLOOKUP(A1230,SizeData!A$2:B$3839,2,FALSE)</f>
        <v/>
      </c>
      <c r="D1230" s="26" t="n">
        <v>1</v>
      </c>
      <c r="E1230" s="26" t="inlineStr">
        <is>
          <t>R1906602</t>
        </is>
      </c>
      <c r="F1230" s="61" t="n">
        <v>44902</v>
      </c>
      <c r="G1230" s="62" t="n"/>
    </row>
    <row r="1231">
      <c r="A1231" s="6" t="n">
        <v>64575</v>
      </c>
      <c r="B1231" s="6" t="inlineStr">
        <is>
          <t>CIROC PINEAPPLE FLAVORED VODKA SPECIALTY</t>
        </is>
      </c>
      <c r="C1231" s="7">
        <f>VLOOKUP(A1231,SizeData!A$2:B$3839,2,FALSE)</f>
        <v/>
      </c>
      <c r="D1231" s="6" t="n">
        <v>1</v>
      </c>
      <c r="E1231" s="6" t="inlineStr">
        <is>
          <t>R1495781</t>
        </is>
      </c>
      <c r="F1231" s="2" t="n">
        <v>44627</v>
      </c>
      <c r="G1231" s="1" t="n"/>
    </row>
    <row r="1232">
      <c r="A1232" s="6" t="n">
        <v>64575</v>
      </c>
      <c r="B1232" s="6" t="inlineStr">
        <is>
          <t>CIROC PINEAPPLE FLAVORED VODKA SPECIALTY</t>
        </is>
      </c>
      <c r="C1232" s="7">
        <f>VLOOKUP(A1232,SizeData!A$2:B$3839,2,FALSE)</f>
        <v/>
      </c>
      <c r="D1232" s="6" t="n">
        <v>1</v>
      </c>
      <c r="E1232" s="6" t="inlineStr">
        <is>
          <t>R1601838</t>
        </is>
      </c>
      <c r="F1232" s="2" t="n">
        <v>44687</v>
      </c>
      <c r="G1232" s="1" t="n"/>
    </row>
    <row r="1233">
      <c r="A1233" s="6" t="n">
        <v>64575</v>
      </c>
      <c r="B1233" s="6" t="inlineStr">
        <is>
          <t>CIROC PINEAPPLE FLAVORED VODKA SPECIALTY</t>
        </is>
      </c>
      <c r="C1233" s="7">
        <f>VLOOKUP(A1233,SizeData!A$2:B$3839,2,FALSE)</f>
        <v/>
      </c>
      <c r="D1233" s="6" t="n">
        <v>1</v>
      </c>
      <c r="E1233" s="6" t="inlineStr">
        <is>
          <t>R1683818</t>
        </is>
      </c>
      <c r="F1233" s="2" t="n">
        <v>44754</v>
      </c>
      <c r="G1233" s="1" t="n"/>
    </row>
    <row r="1234">
      <c r="A1234" s="6" t="n">
        <v>64755</v>
      </c>
      <c r="B1234" s="6" t="inlineStr">
        <is>
          <t>CIROC RED BERRY FLAVORED VODKA SPECIALTY</t>
        </is>
      </c>
      <c r="C1234" s="7">
        <f>VLOOKUP(A1234,SizeData!A$2:B$3839,2,FALSE)</f>
        <v/>
      </c>
      <c r="D1234" s="6" t="n">
        <v>1</v>
      </c>
      <c r="E1234" s="6" t="inlineStr">
        <is>
          <t>R1537124</t>
        </is>
      </c>
      <c r="F1234" s="2" t="n">
        <v>44646</v>
      </c>
      <c r="G1234" s="1" t="n"/>
    </row>
    <row r="1235">
      <c r="A1235" s="6" t="n">
        <v>64755</v>
      </c>
      <c r="B1235" s="6" t="inlineStr">
        <is>
          <t>CIROC RED BERRY FLAVORED VODKA SPECIALTY</t>
        </is>
      </c>
      <c r="C1235" s="7">
        <f>VLOOKUP(A1235,SizeData!A$2:B$3839,2,FALSE)</f>
        <v/>
      </c>
      <c r="D1235" s="6" t="n">
        <v>4</v>
      </c>
      <c r="E1235" s="6" t="inlineStr">
        <is>
          <t>R1568190</t>
        </is>
      </c>
      <c r="F1235" s="2" t="n">
        <v>44671</v>
      </c>
      <c r="G1235" s="1" t="n"/>
    </row>
    <row r="1236">
      <c r="A1236" s="6" t="n">
        <v>64755</v>
      </c>
      <c r="B1236" s="6" t="inlineStr">
        <is>
          <t>CIROC RED BERRY FLAVORED VODKA SPECIALTY</t>
        </is>
      </c>
      <c r="C1236" s="7">
        <f>VLOOKUP(A1236,SizeData!A$2:B$3839,2,FALSE)</f>
        <v/>
      </c>
      <c r="D1236" s="6" t="n">
        <v>1</v>
      </c>
      <c r="E1236" s="6" t="inlineStr">
        <is>
          <t>R1679342</t>
        </is>
      </c>
      <c r="F1236" s="2" t="n">
        <v>44753</v>
      </c>
      <c r="G1236" s="1" t="n"/>
    </row>
    <row r="1237">
      <c r="A1237" s="6" t="n">
        <v>64755</v>
      </c>
      <c r="B1237" s="6" t="inlineStr">
        <is>
          <t>CIROC RED BERRY FLAVORED VODKA SPECIALTY</t>
        </is>
      </c>
      <c r="C1237" s="7">
        <f>VLOOKUP(A1237,SizeData!A$2:B$3839,2,FALSE)</f>
        <v/>
      </c>
      <c r="D1237" s="6" t="n">
        <v>6</v>
      </c>
      <c r="E1237" s="6" t="inlineStr">
        <is>
          <t>R1729512</t>
        </is>
      </c>
      <c r="F1237" s="2" t="n">
        <v>44788</v>
      </c>
      <c r="G1237" s="1" t="n"/>
    </row>
    <row r="1238">
      <c r="A1238" s="6" t="n">
        <v>64755</v>
      </c>
      <c r="B1238" s="6" t="inlineStr">
        <is>
          <t>CIROC RED BERRY FLAVORED VODKA SPECIALTY</t>
        </is>
      </c>
      <c r="C1238" s="7">
        <f>VLOOKUP(A1238,SizeData!A$2:B$3839,2,FALSE)</f>
        <v/>
      </c>
      <c r="D1238" s="6" t="n">
        <v>2</v>
      </c>
      <c r="E1238" s="6" t="inlineStr">
        <is>
          <t>R1728783</t>
        </is>
      </c>
      <c r="F1238" s="2" t="n">
        <v>44793</v>
      </c>
      <c r="G1238" s="1" t="n"/>
    </row>
    <row r="1239">
      <c r="A1239" s="6" t="n">
        <v>64759</v>
      </c>
      <c r="B1239" s="6" t="inlineStr">
        <is>
          <t>CIROC RED BERRY FLAVORED VODKA SPECIALTY</t>
        </is>
      </c>
      <c r="C1239" s="7">
        <f>VLOOKUP(A1239,SizeData!A$2:B$3839,2,FALSE)</f>
        <v/>
      </c>
      <c r="D1239" s="6" t="n">
        <v>1</v>
      </c>
      <c r="E1239" s="6" t="inlineStr">
        <is>
          <t>R1569460</t>
        </is>
      </c>
      <c r="F1239" s="2" t="n">
        <v>44672</v>
      </c>
      <c r="G1239" s="1" t="n"/>
    </row>
    <row r="1240">
      <c r="A1240" s="26" t="n">
        <v>64759</v>
      </c>
      <c r="B1240" s="26" t="inlineStr">
        <is>
          <t>CIROC RED BERRY FLAVORED VODKA SPECIALTY</t>
        </is>
      </c>
      <c r="C1240" s="7">
        <f>VLOOKUP(A1240,SizeData!A$2:B$3839,2,FALSE)</f>
        <v/>
      </c>
      <c r="D1240" s="26" t="n">
        <v>1</v>
      </c>
      <c r="E1240" s="26" t="inlineStr">
        <is>
          <t>R1747750</t>
        </is>
      </c>
      <c r="F1240" s="61" t="n">
        <v>44802</v>
      </c>
      <c r="G1240" s="62" t="n"/>
    </row>
    <row r="1241">
      <c r="A1241" s="6" t="n">
        <v>64761</v>
      </c>
      <c r="B1241" s="6" t="inlineStr">
        <is>
          <t>CIROC RED BERRY FLAVORED VODKA SPECIALTY</t>
        </is>
      </c>
      <c r="C1241" s="7">
        <f>VLOOKUP(A1241,SizeData!A$2:B$3839,2,FALSE)</f>
        <v/>
      </c>
      <c r="D1241" s="6" t="n">
        <v>1</v>
      </c>
      <c r="E1241" s="6" t="inlineStr">
        <is>
          <t>R1699078</t>
        </is>
      </c>
      <c r="F1241" s="2" t="n">
        <v>44769</v>
      </c>
      <c r="G1241" s="1" t="n"/>
    </row>
    <row r="1242">
      <c r="A1242" s="6" t="n">
        <v>64762</v>
      </c>
      <c r="B1242" s="6" t="inlineStr">
        <is>
          <t>CIROC RED BERRY FLAVORED VODKA SPECIALTY</t>
        </is>
      </c>
      <c r="C1242" s="7">
        <f>VLOOKUP(A1242,SizeData!A$2:B$3839,2,FALSE)</f>
        <v/>
      </c>
      <c r="D1242" s="6" t="n">
        <v>2</v>
      </c>
      <c r="E1242" s="6" t="inlineStr">
        <is>
          <t>R1452246</t>
        </is>
      </c>
      <c r="F1242" s="2" t="n">
        <v>44600</v>
      </c>
      <c r="G1242" s="1" t="n"/>
    </row>
    <row r="1243">
      <c r="A1243" s="6" t="n">
        <v>64762</v>
      </c>
      <c r="B1243" s="6" t="inlineStr">
        <is>
          <t>CIROC RED BERRY FLAVORED VODKA SPECIALTY</t>
        </is>
      </c>
      <c r="C1243" s="7">
        <f>VLOOKUP(A1243,SizeData!A$2:B$3839,2,FALSE)</f>
        <v/>
      </c>
      <c r="D1243" s="6" t="n">
        <v>1</v>
      </c>
      <c r="E1243" s="6" t="inlineStr">
        <is>
          <t>R1620910</t>
        </is>
      </c>
      <c r="F1243" s="2" t="n">
        <v>44694</v>
      </c>
      <c r="G1243" s="1" t="n"/>
    </row>
    <row r="1244">
      <c r="A1244" s="6" t="n">
        <v>64762</v>
      </c>
      <c r="B1244" s="6" t="inlineStr">
        <is>
          <t>CIROC RED BERRY FLAVORED VODKA SPECIALTY</t>
        </is>
      </c>
      <c r="C1244" s="7">
        <f>VLOOKUP(A1244,SizeData!A$2:B$3839,2,FALSE)</f>
        <v/>
      </c>
      <c r="D1244" s="6" t="n">
        <v>3</v>
      </c>
      <c r="E1244" s="6" t="inlineStr">
        <is>
          <t>R1767202</t>
        </is>
      </c>
      <c r="F1244" s="2" t="n">
        <v>44812</v>
      </c>
      <c r="G1244" s="1" t="n"/>
    </row>
    <row r="1245">
      <c r="A1245" s="6" t="n">
        <v>64767</v>
      </c>
      <c r="B1245" s="6" t="inlineStr">
        <is>
          <t>CIROC RED BERRY FLAVORED VODKA SPECIALTY</t>
        </is>
      </c>
      <c r="C1245" s="7">
        <f>VLOOKUP(A1245,SizeData!A$2:B$3839,2,FALSE)</f>
        <v/>
      </c>
      <c r="D1245" s="6" t="n">
        <v>1</v>
      </c>
      <c r="E1245" s="6" t="inlineStr">
        <is>
          <t>R1606911</t>
        </is>
      </c>
      <c r="F1245" s="2" t="n">
        <v>44688</v>
      </c>
      <c r="G1245" s="1" t="n"/>
    </row>
    <row r="1246">
      <c r="A1246" s="6" t="n">
        <v>64767</v>
      </c>
      <c r="B1246" s="6" t="inlineStr">
        <is>
          <t>CIROC RED BERRY FLAVORED VODKA SPECIALTY</t>
        </is>
      </c>
      <c r="C1246" s="7">
        <f>VLOOKUP(A1246,SizeData!A$2:B$3839,2,FALSE)</f>
        <v/>
      </c>
      <c r="D1246" s="6" t="n">
        <v>1</v>
      </c>
      <c r="E1246" s="6" t="inlineStr">
        <is>
          <t>R1892470</t>
        </is>
      </c>
      <c r="F1246" s="2" t="n">
        <v>44902</v>
      </c>
      <c r="G1246" s="1" t="n"/>
    </row>
    <row r="1247">
      <c r="A1247" s="6" t="n">
        <v>34164</v>
      </c>
      <c r="B1247" s="6" t="inlineStr">
        <is>
          <t>CIROC SNAP FROST VODKA</t>
        </is>
      </c>
      <c r="C1247" s="7">
        <f>VLOOKUP(A1247,SizeData!A$2:B$3839,2,FALSE)</f>
        <v/>
      </c>
      <c r="D1247" s="6" t="n">
        <v>1</v>
      </c>
      <c r="E1247" s="6" t="inlineStr">
        <is>
          <t>R1532042</t>
        </is>
      </c>
      <c r="F1247" s="2" t="n">
        <v>44644</v>
      </c>
      <c r="G1247" s="1" t="n"/>
    </row>
    <row r="1248">
      <c r="A1248" s="6" t="n">
        <v>34164</v>
      </c>
      <c r="B1248" s="6" t="inlineStr">
        <is>
          <t>CIROC SNAP FROST VODKA</t>
        </is>
      </c>
      <c r="C1248" s="7">
        <f>VLOOKUP(A1248,SizeData!A$2:B$3839,2,FALSE)</f>
        <v/>
      </c>
      <c r="D1248" s="6" t="n">
        <v>1</v>
      </c>
      <c r="E1248" s="6" t="inlineStr">
        <is>
          <t>R1781063</t>
        </is>
      </c>
      <c r="F1248" s="2" t="n">
        <v>44823</v>
      </c>
      <c r="G1248" s="1" t="n"/>
    </row>
    <row r="1249">
      <c r="A1249" s="6" t="n">
        <v>34194</v>
      </c>
      <c r="B1249" s="6" t="inlineStr">
        <is>
          <t>CIROC SNAP FROST VODKA</t>
        </is>
      </c>
      <c r="C1249" s="7">
        <f>VLOOKUP(A1249,SizeData!A$2:B$3839,2,FALSE)</f>
        <v/>
      </c>
      <c r="D1249" s="6" t="n">
        <v>1</v>
      </c>
      <c r="E1249" s="6" t="inlineStr">
        <is>
          <t>R1699078</t>
        </is>
      </c>
      <c r="F1249" s="2" t="n">
        <v>44769</v>
      </c>
      <c r="G1249" s="1" t="n"/>
    </row>
    <row r="1250">
      <c r="A1250" s="6" t="n">
        <v>34201</v>
      </c>
      <c r="B1250" s="6" t="inlineStr">
        <is>
          <t>CIROC SNAP FROST VODKA</t>
        </is>
      </c>
      <c r="C1250" s="7">
        <f>VLOOKUP(A1250,SizeData!A$2:B$3839,2,FALSE)</f>
        <v/>
      </c>
      <c r="D1250" s="6" t="n">
        <v>1</v>
      </c>
      <c r="E1250" s="6" t="inlineStr">
        <is>
          <t>R1499946</t>
        </is>
      </c>
      <c r="F1250" s="2" t="n">
        <v>44627</v>
      </c>
      <c r="G1250" s="1" t="n"/>
    </row>
    <row r="1251">
      <c r="A1251" s="6" t="n">
        <v>34201</v>
      </c>
      <c r="B1251" s="6" t="inlineStr">
        <is>
          <t>CIROC SNAP FROST VODKA</t>
        </is>
      </c>
      <c r="C1251" s="7">
        <f>VLOOKUP(A1251,SizeData!A$2:B$3839,2,FALSE)</f>
        <v/>
      </c>
      <c r="D1251" s="6" t="n">
        <v>1</v>
      </c>
      <c r="E1251" s="6" t="inlineStr">
        <is>
          <t>R1537124</t>
        </is>
      </c>
      <c r="F1251" s="2" t="n">
        <v>44646</v>
      </c>
      <c r="G1251" s="1" t="n"/>
    </row>
    <row r="1252">
      <c r="A1252" s="6" t="n">
        <v>34201</v>
      </c>
      <c r="B1252" s="6" t="inlineStr">
        <is>
          <t>CIROC SNAP FROST VODKA</t>
        </is>
      </c>
      <c r="C1252" s="7">
        <f>VLOOKUP(A1252,SizeData!A$2:B$3839,2,FALSE)</f>
        <v/>
      </c>
      <c r="D1252" s="6" t="n">
        <v>1</v>
      </c>
      <c r="E1252" s="6" t="inlineStr">
        <is>
          <t>R1620910</t>
        </is>
      </c>
      <c r="F1252" s="2" t="n">
        <v>44694</v>
      </c>
      <c r="G1252" s="1" t="n"/>
    </row>
    <row r="1253">
      <c r="A1253" s="26" t="n">
        <v>34201</v>
      </c>
      <c r="B1253" s="26" t="inlineStr">
        <is>
          <t>CIROC SNAP FROST VODKA</t>
        </is>
      </c>
      <c r="C1253" s="7">
        <f>VLOOKUP(A1253,SizeData!A$2:B$3839,2,FALSE)</f>
        <v/>
      </c>
      <c r="D1253" s="26" t="n">
        <v>1</v>
      </c>
      <c r="E1253" s="26" t="inlineStr">
        <is>
          <t>R1725227</t>
        </is>
      </c>
      <c r="F1253" s="61" t="n">
        <v>44779</v>
      </c>
      <c r="G1253" s="62" t="n"/>
    </row>
    <row r="1254">
      <c r="A1254" s="6" t="n">
        <v>34201</v>
      </c>
      <c r="B1254" s="6" t="inlineStr">
        <is>
          <t>CIROC SNAP FROST VODKA</t>
        </is>
      </c>
      <c r="C1254" s="7">
        <f>VLOOKUP(A1254,SizeData!A$2:B$3839,2,FALSE)</f>
        <v/>
      </c>
      <c r="D1254" s="6" t="n">
        <v>1</v>
      </c>
      <c r="E1254" s="6" t="inlineStr">
        <is>
          <t>R1746324</t>
        </is>
      </c>
      <c r="F1254" s="2" t="n">
        <v>44796</v>
      </c>
      <c r="G1254" s="1" t="n"/>
    </row>
    <row r="1255">
      <c r="A1255" s="6" t="n">
        <v>36871</v>
      </c>
      <c r="B1255" s="6" t="inlineStr">
        <is>
          <t>CIROC SNAP FROST VODKA</t>
        </is>
      </c>
      <c r="C1255" s="7">
        <f>VLOOKUP(A1255,SizeData!A$2:B$3839,2,FALSE)</f>
        <v/>
      </c>
      <c r="D1255" s="6" t="n">
        <v>1</v>
      </c>
      <c r="E1255" s="6" t="inlineStr">
        <is>
          <t>R1577697</t>
        </is>
      </c>
      <c r="F1255" s="2" t="n">
        <v>44677</v>
      </c>
      <c r="G1255" s="1" t="n"/>
    </row>
    <row r="1256">
      <c r="A1256" s="26" t="n">
        <v>36871</v>
      </c>
      <c r="B1256" s="26" t="inlineStr">
        <is>
          <t>CIROC SNAP FROST VODKA</t>
        </is>
      </c>
      <c r="C1256" s="75">
        <f>VLOOKUP(A1256,SizeData!A$2:B$3839,2,FALSE)</f>
        <v/>
      </c>
      <c r="D1256" s="26" t="n">
        <v>2</v>
      </c>
      <c r="E1256" s="26" t="inlineStr">
        <is>
          <t>R1900430</t>
        </is>
      </c>
      <c r="F1256" s="61" t="n">
        <v>44896</v>
      </c>
      <c r="G1256" s="62" t="n"/>
    </row>
    <row r="1257">
      <c r="A1257" s="6" t="n">
        <v>64389</v>
      </c>
      <c r="B1257" s="6" t="inlineStr">
        <is>
          <t>CIROC SUMMER CITRUS FLAVORED VOKDA SPECIALTY</t>
        </is>
      </c>
      <c r="C1257" s="7">
        <f>VLOOKUP(A1257,SizeData!A$2:B$3839,2,FALSE)</f>
        <v/>
      </c>
      <c r="D1257" s="6" t="n">
        <v>1</v>
      </c>
      <c r="E1257" s="6" t="inlineStr">
        <is>
          <t>R1709111</t>
        </is>
      </c>
      <c r="F1257" s="2" t="n">
        <v>44774</v>
      </c>
      <c r="G1257" s="1" t="n"/>
    </row>
    <row r="1258">
      <c r="A1258" s="6" t="n">
        <v>64389</v>
      </c>
      <c r="B1258" s="6" t="inlineStr">
        <is>
          <t>CIROC SUMMER CITRUS FLAVORED VOKDA SPECIALTY</t>
        </is>
      </c>
      <c r="C1258" s="7">
        <f>VLOOKUP(A1258,SizeData!A$2:B$3839,2,FALSE)</f>
        <v/>
      </c>
      <c r="D1258" s="6" t="n">
        <v>2</v>
      </c>
      <c r="E1258" s="6" t="inlineStr">
        <is>
          <t>R1743714</t>
        </is>
      </c>
      <c r="F1258" s="2" t="n">
        <v>44797</v>
      </c>
      <c r="G1258" s="1" t="n"/>
    </row>
    <row r="1259">
      <c r="A1259" s="6" t="n">
        <v>64328</v>
      </c>
      <c r="B1259" s="6" t="inlineStr">
        <is>
          <t>CIROC SUMMER WATERMELON FLAVORED VODKA DSS</t>
        </is>
      </c>
      <c r="C1259" s="7">
        <f>VLOOKUP(A1259,SizeData!A$2:B$3839,2,FALSE)</f>
        <v/>
      </c>
      <c r="D1259" s="6" t="n">
        <v>1</v>
      </c>
      <c r="E1259" s="6" t="inlineStr">
        <is>
          <t>R1470632</t>
        </is>
      </c>
      <c r="F1259" s="2" t="n">
        <v>44605</v>
      </c>
      <c r="G1259" s="1" t="n"/>
    </row>
    <row r="1260">
      <c r="A1260" s="6" t="n">
        <v>64328</v>
      </c>
      <c r="B1260" s="6" t="inlineStr">
        <is>
          <t>CIROC SUMMER WATERMELON FLAVORED VODKA DSS</t>
        </is>
      </c>
      <c r="C1260" s="7">
        <f>VLOOKUP(A1260,SizeData!A$2:B$3839,2,FALSE)</f>
        <v/>
      </c>
      <c r="D1260" s="6" t="n">
        <v>1</v>
      </c>
      <c r="E1260" s="6" t="inlineStr">
        <is>
          <t>R1620910</t>
        </is>
      </c>
      <c r="F1260" s="2" t="n">
        <v>44694</v>
      </c>
      <c r="G1260" s="1" t="n"/>
    </row>
    <row r="1261">
      <c r="A1261" s="6" t="n">
        <v>64328</v>
      </c>
      <c r="B1261" s="6" t="inlineStr">
        <is>
          <t>CIROC SUMMER WATERMELON FLAVORED VODKA DSS</t>
        </is>
      </c>
      <c r="C1261" s="7">
        <f>VLOOKUP(A1261,SizeData!A$2:B$3839,2,FALSE)</f>
        <v/>
      </c>
      <c r="D1261" s="6" t="n">
        <v>3</v>
      </c>
      <c r="E1261" s="6" t="inlineStr">
        <is>
          <t>R1644630</t>
        </is>
      </c>
      <c r="F1261" s="2" t="n">
        <v>44725</v>
      </c>
      <c r="G1261" s="1" t="n"/>
    </row>
    <row r="1262">
      <c r="A1262" s="6" t="n">
        <v>64328</v>
      </c>
      <c r="B1262" s="6" t="inlineStr">
        <is>
          <t>CIROC SUMMER WATERMELON FLAVORED VODKA DSS</t>
        </is>
      </c>
      <c r="C1262" s="7">
        <f>VLOOKUP(A1262,SizeData!A$2:B$3839,2,FALSE)</f>
        <v/>
      </c>
      <c r="D1262" s="6" t="n">
        <v>1</v>
      </c>
      <c r="E1262" s="6" t="inlineStr">
        <is>
          <t>R1729512</t>
        </is>
      </c>
      <c r="F1262" s="2" t="n">
        <v>44788</v>
      </c>
      <c r="G1262" s="1" t="n"/>
    </row>
    <row r="1263">
      <c r="A1263" s="6" t="n">
        <v>64328</v>
      </c>
      <c r="B1263" s="6" t="inlineStr">
        <is>
          <t>CIROC SUMMER WATERMELON FLAVORED VODKA DSS</t>
        </is>
      </c>
      <c r="C1263" s="7">
        <f>VLOOKUP(A1263,SizeData!A$2:B$3839,2,FALSE)</f>
        <v/>
      </c>
      <c r="D1263" s="6" t="n">
        <v>1</v>
      </c>
      <c r="E1263" s="6" t="inlineStr">
        <is>
          <t>R1814504</t>
        </is>
      </c>
      <c r="F1263" s="2" t="n">
        <v>44846</v>
      </c>
      <c r="G1263" s="1" t="n"/>
    </row>
    <row r="1264">
      <c r="A1264" s="6" t="n">
        <v>64328</v>
      </c>
      <c r="B1264" s="6" t="inlineStr">
        <is>
          <t>CIROC SUMMER WATERMELON FLAVORED VODKA DSS</t>
        </is>
      </c>
      <c r="C1264" s="7">
        <f>VLOOKUP(A1264,SizeData!A$2:B$3839,2,FALSE)</f>
        <v/>
      </c>
      <c r="D1264" s="6" t="n">
        <v>1</v>
      </c>
      <c r="E1264" s="6" t="inlineStr">
        <is>
          <t>R1860108</t>
        </is>
      </c>
      <c r="F1264" s="2" t="n">
        <v>44868</v>
      </c>
      <c r="G1264" s="1" t="n"/>
    </row>
    <row r="1265">
      <c r="A1265" s="6" t="n">
        <v>64418</v>
      </c>
      <c r="B1265" s="6" t="inlineStr">
        <is>
          <t>CIROC SUMMER WATERMELON FLAVORED VODKA DSS</t>
        </is>
      </c>
      <c r="C1265" s="7">
        <f>VLOOKUP(A1265,SizeData!A$2:B$3839,2,FALSE)</f>
        <v/>
      </c>
      <c r="D1265" s="6" t="n">
        <v>2</v>
      </c>
      <c r="E1265" s="6" t="inlineStr">
        <is>
          <t>R1709111</t>
        </is>
      </c>
      <c r="F1265" s="2" t="n">
        <v>44774</v>
      </c>
      <c r="G1265" s="1" t="n"/>
    </row>
    <row r="1266">
      <c r="A1266" s="6" t="n">
        <v>64418</v>
      </c>
      <c r="B1266" s="6" t="inlineStr">
        <is>
          <t>CIROC SUMMER WATERMELON FLAVORED VODKA DSS</t>
        </is>
      </c>
      <c r="C1266" s="7">
        <f>VLOOKUP(A1266,SizeData!A$2:B$3839,2,FALSE)</f>
        <v/>
      </c>
      <c r="D1266" s="6" t="n">
        <v>2</v>
      </c>
      <c r="E1266" s="6" t="inlineStr">
        <is>
          <t>R1709111</t>
        </is>
      </c>
      <c r="F1266" s="2" t="n">
        <v>44774</v>
      </c>
      <c r="G1266" s="62" t="n"/>
    </row>
    <row r="1267">
      <c r="A1267" s="6" t="n">
        <v>101792</v>
      </c>
      <c r="B1267" s="6" t="inlineStr">
        <is>
          <t>CIROC VODKA W/GLASS</t>
        </is>
      </c>
      <c r="C1267" s="7">
        <f>VLOOKUP(A1267,SizeData!A$2:B$3839,2,FALSE)</f>
        <v/>
      </c>
      <c r="D1267" s="6" t="n">
        <v>1</v>
      </c>
      <c r="E1267" s="6" t="inlineStr">
        <is>
          <t>R1865180</t>
        </is>
      </c>
      <c r="F1267" s="2" t="n">
        <v>44874</v>
      </c>
      <c r="G1267" s="1" t="n"/>
    </row>
    <row r="1268">
      <c r="A1268" s="6" t="n">
        <v>51107</v>
      </c>
      <c r="B1268" s="6" t="inlineStr">
        <is>
          <t>CIROC VS</t>
        </is>
      </c>
      <c r="C1268" s="7">
        <f>VLOOKUP(A1268,SizeData!A$2:B$3839,2,FALSE)</f>
        <v/>
      </c>
      <c r="D1268" s="6" t="n">
        <v>1</v>
      </c>
      <c r="E1268" s="6" t="inlineStr">
        <is>
          <t>R1375917</t>
        </is>
      </c>
      <c r="F1268" s="2" t="n">
        <v>44543</v>
      </c>
      <c r="G1268" s="1" t="n"/>
    </row>
    <row r="1269">
      <c r="A1269" s="6" t="n">
        <v>51107</v>
      </c>
      <c r="B1269" s="6" t="inlineStr">
        <is>
          <t>CIROC VS FRENCH BRANDY</t>
        </is>
      </c>
      <c r="C1269" s="7">
        <f>VLOOKUP(A1269,SizeData!A$2:B$3839,2,FALSE)</f>
        <v/>
      </c>
      <c r="D1269" s="6" t="n">
        <v>1</v>
      </c>
      <c r="E1269" s="6" t="inlineStr">
        <is>
          <t>R1486326</t>
        </is>
      </c>
      <c r="F1269" s="2" t="n">
        <v>44616</v>
      </c>
      <c r="G1269" s="1" t="n"/>
    </row>
    <row r="1270">
      <c r="A1270" s="26" t="n">
        <v>51107</v>
      </c>
      <c r="B1270" s="26" t="inlineStr">
        <is>
          <t>CIROC VS FRENCH BRANDY</t>
        </is>
      </c>
      <c r="C1270" s="7">
        <f>VLOOKUP(A1270,SizeData!A$2:B$3839,2,FALSE)</f>
        <v/>
      </c>
      <c r="D1270" s="26" t="n">
        <v>1</v>
      </c>
      <c r="E1270" s="26" t="inlineStr">
        <is>
          <t>R1738647</t>
        </is>
      </c>
      <c r="F1270" s="61" t="n">
        <v>44791</v>
      </c>
      <c r="G1270" s="62" t="n"/>
    </row>
    <row r="1271">
      <c r="A1271" s="6" t="n">
        <v>51107</v>
      </c>
      <c r="B1271" s="6" t="inlineStr">
        <is>
          <t>CIROC VS FRENCH BRANDY</t>
        </is>
      </c>
      <c r="C1271" s="7">
        <f>VLOOKUP(A1271,SizeData!A$2:B$3839,2,FALSE)</f>
        <v/>
      </c>
      <c r="D1271" s="6" t="n">
        <v>1</v>
      </c>
      <c r="E1271" s="6" t="inlineStr">
        <is>
          <t>R1860108</t>
        </is>
      </c>
      <c r="F1271" s="2" t="n">
        <v>44868</v>
      </c>
      <c r="G1271" s="1" t="n"/>
    </row>
    <row r="1272">
      <c r="A1272" s="6" t="n">
        <v>51107</v>
      </c>
      <c r="B1272" s="6" t="inlineStr">
        <is>
          <t>CIROC VS FRENCH BRANDY</t>
        </is>
      </c>
      <c r="C1272" s="7">
        <f>VLOOKUP(A1272,SizeData!A$2:B$3839,2,FALSE)</f>
        <v/>
      </c>
      <c r="D1272" s="6" t="n">
        <v>1</v>
      </c>
      <c r="E1272" s="6" t="inlineStr">
        <is>
          <t>R1905562</t>
        </is>
      </c>
      <c r="F1272" s="2" t="n">
        <v>44902</v>
      </c>
      <c r="G1272" s="1" t="n"/>
    </row>
    <row r="1273">
      <c r="A1273" s="6" t="n">
        <v>51109</v>
      </c>
      <c r="B1273" s="6" t="inlineStr">
        <is>
          <t>CIROC VS FRENCH BRANDY</t>
        </is>
      </c>
      <c r="C1273" s="7">
        <f>VLOOKUP(A1273,SizeData!A$2:B$3839,2,FALSE)</f>
        <v/>
      </c>
      <c r="D1273" s="6" t="n">
        <v>3</v>
      </c>
      <c r="E1273" s="6" t="inlineStr">
        <is>
          <t>R1403892</t>
        </is>
      </c>
      <c r="F1273" s="2" t="n">
        <v>44573</v>
      </c>
      <c r="G1273" s="1" t="n"/>
    </row>
    <row r="1274">
      <c r="A1274" s="6" t="n">
        <v>51109</v>
      </c>
      <c r="B1274" s="6" t="inlineStr">
        <is>
          <t>CIROC VS FRENCH BRANDY</t>
        </is>
      </c>
      <c r="C1274" s="7">
        <f>VLOOKUP(A1274,SizeData!A$2:B$3839,2,FALSE)</f>
        <v/>
      </c>
      <c r="D1274" s="6" t="n">
        <v>1</v>
      </c>
      <c r="E1274" s="6" t="inlineStr">
        <is>
          <t>R1447041</t>
        </is>
      </c>
      <c r="F1274" s="2" t="n">
        <v>44595</v>
      </c>
      <c r="G1274" s="1" t="n"/>
    </row>
    <row r="1275">
      <c r="A1275" s="6" t="n">
        <v>51109</v>
      </c>
      <c r="B1275" s="6" t="inlineStr">
        <is>
          <t>CIROC VS FRENCH BRANDY</t>
        </is>
      </c>
      <c r="C1275" s="7">
        <f>VLOOKUP(A1275,SizeData!A$2:B$3839,2,FALSE)</f>
        <v/>
      </c>
      <c r="D1275" s="6" t="n">
        <v>2</v>
      </c>
      <c r="E1275" s="6" t="inlineStr">
        <is>
          <t>R1461859</t>
        </is>
      </c>
      <c r="F1275" s="2" t="n">
        <v>44606</v>
      </c>
      <c r="G1275" s="1" t="n"/>
    </row>
    <row r="1276">
      <c r="A1276" s="6" t="n">
        <v>51109</v>
      </c>
      <c r="B1276" s="6" t="inlineStr">
        <is>
          <t>CIROC VS FRENCH BRANDY</t>
        </is>
      </c>
      <c r="C1276" s="7">
        <f>VLOOKUP(A1276,SizeData!A$2:B$3839,2,FALSE)</f>
        <v/>
      </c>
      <c r="D1276" s="6" t="n">
        <v>2</v>
      </c>
      <c r="E1276" s="6" t="inlineStr">
        <is>
          <t>R1567269</t>
        </is>
      </c>
      <c r="F1276" s="2" t="n">
        <v>44667</v>
      </c>
      <c r="G1276" s="1" t="n"/>
    </row>
    <row r="1277" customFormat="1" s="35">
      <c r="A1277" s="6" t="n">
        <v>51109</v>
      </c>
      <c r="B1277" s="6" t="inlineStr">
        <is>
          <t>CIROC VS FRENCH BRANDY</t>
        </is>
      </c>
      <c r="C1277" s="7">
        <f>VLOOKUP(A1277,SizeData!A$2:B$3839,2,FALSE)</f>
        <v/>
      </c>
      <c r="D1277" s="6" t="n">
        <v>1</v>
      </c>
      <c r="E1277" s="6" t="inlineStr">
        <is>
          <t>R1591879</t>
        </is>
      </c>
      <c r="F1277" s="2" t="n">
        <v>44687</v>
      </c>
      <c r="G1277" s="1" t="n"/>
    </row>
    <row r="1278">
      <c r="A1278" s="6" t="n">
        <v>51109</v>
      </c>
      <c r="B1278" s="6" t="inlineStr">
        <is>
          <t>CIROC VS FRENCH BRANDY</t>
        </is>
      </c>
      <c r="C1278" s="7">
        <f>VLOOKUP(A1278,SizeData!A$2:B$3839,2,FALSE)</f>
        <v/>
      </c>
      <c r="D1278" s="6" t="n">
        <v>2</v>
      </c>
      <c r="E1278" s="6" t="inlineStr">
        <is>
          <t>R1617418</t>
        </is>
      </c>
      <c r="F1278" s="2" t="n">
        <v>44699</v>
      </c>
      <c r="G1278" s="1" t="n"/>
    </row>
    <row r="1279">
      <c r="A1279" s="6" t="n">
        <v>51109</v>
      </c>
      <c r="B1279" s="6" t="inlineStr">
        <is>
          <t>CIROC VS FRENCH BRANDY</t>
        </is>
      </c>
      <c r="C1279" s="7">
        <f>VLOOKUP(A1279,SizeData!A$2:B$3839,2,FALSE)</f>
        <v/>
      </c>
      <c r="D1279" s="6" t="n">
        <v>2</v>
      </c>
      <c r="E1279" s="6" t="inlineStr">
        <is>
          <t>R1681827</t>
        </is>
      </c>
      <c r="F1279" s="2" t="n">
        <v>44748</v>
      </c>
      <c r="G1279" s="1" t="n"/>
    </row>
    <row r="1280">
      <c r="A1280" s="6" t="n">
        <v>51109</v>
      </c>
      <c r="B1280" s="6" t="inlineStr">
        <is>
          <t>CIROC VS FRENCH BRANDY</t>
        </is>
      </c>
      <c r="C1280" s="7">
        <f>VLOOKUP(A1280,SizeData!A$2:B$3839,2,FALSE)</f>
        <v/>
      </c>
      <c r="D1280" s="6" t="n">
        <v>2</v>
      </c>
      <c r="E1280" s="6" t="inlineStr">
        <is>
          <t>R1683790</t>
        </is>
      </c>
      <c r="F1280" s="2" t="n">
        <v>44761</v>
      </c>
      <c r="G1280" s="1" t="n"/>
    </row>
    <row r="1281">
      <c r="A1281" s="6" t="n">
        <v>51109</v>
      </c>
      <c r="B1281" s="6" t="inlineStr">
        <is>
          <t>CIROC VS FRENCH BRANDY</t>
        </is>
      </c>
      <c r="C1281" s="7">
        <f>VLOOKUP(A1281,SizeData!A$2:B$3839,2,FALSE)</f>
        <v/>
      </c>
      <c r="D1281" s="6" t="n">
        <v>2</v>
      </c>
      <c r="E1281" s="6" t="inlineStr">
        <is>
          <t>R1710843</t>
        </is>
      </c>
      <c r="F1281" s="2" t="n">
        <v>44764</v>
      </c>
      <c r="G1281" s="1" t="n"/>
    </row>
    <row r="1282">
      <c r="A1282" s="6" t="n">
        <v>51109</v>
      </c>
      <c r="B1282" s="6" t="inlineStr">
        <is>
          <t>CIROC VS FRENCH BRANDY</t>
        </is>
      </c>
      <c r="C1282" s="7">
        <f>VLOOKUP(A1282,SizeData!A$2:B$3839,2,FALSE)</f>
        <v/>
      </c>
      <c r="D1282" s="6" t="n">
        <v>1</v>
      </c>
      <c r="E1282" s="6" t="inlineStr">
        <is>
          <t>R1762971</t>
        </is>
      </c>
      <c r="F1282" s="2" t="n">
        <v>44814</v>
      </c>
      <c r="G1282" s="1" t="n"/>
    </row>
    <row r="1283">
      <c r="A1283" s="6" t="n">
        <v>51109</v>
      </c>
      <c r="B1283" s="6" t="inlineStr">
        <is>
          <t>CIROC VS FRENCH BRANDY</t>
        </is>
      </c>
      <c r="C1283" s="7">
        <f>VLOOKUP(A1283,SizeData!A$2:B$3839,2,FALSE)</f>
        <v/>
      </c>
      <c r="D1283" s="6" t="n">
        <v>1</v>
      </c>
      <c r="E1283" s="6" t="inlineStr">
        <is>
          <t>R1763315</t>
        </is>
      </c>
      <c r="F1283" s="2" t="n">
        <v>44814</v>
      </c>
      <c r="G1283" s="1" t="n"/>
    </row>
    <row r="1284">
      <c r="A1284" s="6" t="n">
        <v>51109</v>
      </c>
      <c r="B1284" s="6" t="inlineStr">
        <is>
          <t>CIROC VS FRENCH BRANDY</t>
        </is>
      </c>
      <c r="C1284" s="7">
        <f>VLOOKUP(A1284,SizeData!A$2:B$3839,2,FALSE)</f>
        <v/>
      </c>
      <c r="D1284" s="6" t="n">
        <v>2</v>
      </c>
      <c r="E1284" s="6" t="inlineStr">
        <is>
          <t>R1782454</t>
        </is>
      </c>
      <c r="F1284" s="2" t="n">
        <v>44827</v>
      </c>
      <c r="G1284" s="1" t="n"/>
    </row>
    <row r="1285">
      <c r="A1285" s="6" t="n">
        <v>51109</v>
      </c>
      <c r="B1285" s="6" t="inlineStr">
        <is>
          <t>CIROC VS FRENCH BRANDY</t>
        </is>
      </c>
      <c r="C1285" s="7">
        <f>VLOOKUP(A1285,SizeData!A$2:B$3839,2,FALSE)</f>
        <v/>
      </c>
      <c r="D1285" s="6" t="n">
        <v>1</v>
      </c>
      <c r="E1285" s="6" t="inlineStr">
        <is>
          <t>R1808552</t>
        </is>
      </c>
      <c r="F1285" s="2" t="n">
        <v>44841</v>
      </c>
      <c r="G1285" s="1" t="n"/>
    </row>
    <row r="1286">
      <c r="A1286" s="6" t="n">
        <v>51109</v>
      </c>
      <c r="B1286" s="6" t="inlineStr">
        <is>
          <t>CIROC VS FRENCH BRANDY</t>
        </is>
      </c>
      <c r="C1286" s="7">
        <f>VLOOKUP(A1286,SizeData!A$2:B$3839,2,FALSE)</f>
        <v/>
      </c>
      <c r="D1286" s="6" t="n">
        <v>1</v>
      </c>
      <c r="E1286" s="6" t="inlineStr">
        <is>
          <t>R1832815</t>
        </is>
      </c>
      <c r="F1286" s="2" t="n">
        <v>44855</v>
      </c>
      <c r="G1286" s="1" t="n"/>
    </row>
    <row r="1287">
      <c r="A1287" s="6" t="n">
        <v>51109</v>
      </c>
      <c r="B1287" s="6" t="inlineStr">
        <is>
          <t>CIROC VS FRENCH BRANDY</t>
        </is>
      </c>
      <c r="C1287" s="7">
        <f>VLOOKUP(A1287,SizeData!A$2:B$3839,2,FALSE)</f>
        <v/>
      </c>
      <c r="D1287" s="6" t="n">
        <v>1</v>
      </c>
      <c r="E1287" s="6" t="inlineStr">
        <is>
          <t>R1861865</t>
        </is>
      </c>
      <c r="F1287" s="2" t="n">
        <v>44881</v>
      </c>
      <c r="G1287" s="1" t="n"/>
    </row>
    <row r="1288">
      <c r="A1288" s="26" t="n">
        <v>51109</v>
      </c>
      <c r="B1288" s="26" t="inlineStr">
        <is>
          <t>CIROC VS FRENCH BRANDY</t>
        </is>
      </c>
      <c r="C1288" s="75">
        <f>VLOOKUP(A1288,SizeData!A$2:B$3839,2,FALSE)</f>
        <v/>
      </c>
      <c r="D1288" s="26" t="n">
        <v>1</v>
      </c>
      <c r="E1288" s="26" t="inlineStr">
        <is>
          <t>R1861865</t>
        </is>
      </c>
      <c r="F1288" s="61" t="n">
        <v>44881</v>
      </c>
      <c r="G1288" s="62" t="n"/>
    </row>
    <row r="1289">
      <c r="A1289" s="6" t="n">
        <v>51109</v>
      </c>
      <c r="B1289" s="6" t="inlineStr">
        <is>
          <t>CIROC VS FRENCH BRANDY</t>
        </is>
      </c>
      <c r="C1289" s="7">
        <f>VLOOKUP(A1289,SizeData!A$2:B$3839,2,FALSE)</f>
        <v/>
      </c>
      <c r="D1289" s="6" t="n">
        <v>2</v>
      </c>
      <c r="E1289" s="6" t="inlineStr">
        <is>
          <t>R1905562</t>
        </is>
      </c>
      <c r="F1289" s="2" t="n">
        <v>44902</v>
      </c>
      <c r="G1289" s="1" t="n"/>
    </row>
    <row r="1290">
      <c r="A1290" s="6" t="n">
        <v>101631</v>
      </c>
      <c r="B1290" s="6" t="inlineStr">
        <is>
          <t>CIROC W/50 ML PEACH &amp; 50ML SUMMER WATERMELON VAP</t>
        </is>
      </c>
      <c r="C1290" s="7">
        <f>VLOOKUP(A1290,SizeData!A$2:B$3839,2,FALSE)</f>
        <v/>
      </c>
      <c r="D1290" s="6" t="n">
        <v>2</v>
      </c>
      <c r="E1290" s="6" t="inlineStr">
        <is>
          <t>R1679342</t>
        </is>
      </c>
      <c r="F1290" s="2" t="n">
        <v>44753</v>
      </c>
      <c r="G1290" s="1" t="n"/>
    </row>
    <row r="1291">
      <c r="A1291" s="6" t="n">
        <v>101631</v>
      </c>
      <c r="B1291" s="6" t="inlineStr">
        <is>
          <t>CIROC W/50 ML PEACH &amp; 50ML SUMMER WATERMELON VAP</t>
        </is>
      </c>
      <c r="C1291" s="7">
        <f>VLOOKUP(A1291,SizeData!A$2:B$3839,2,FALSE)</f>
        <v/>
      </c>
      <c r="D1291" s="6" t="n">
        <v>2</v>
      </c>
      <c r="E1291" s="6" t="inlineStr">
        <is>
          <t>R1751568</t>
        </is>
      </c>
      <c r="F1291" s="2" t="n">
        <v>44799</v>
      </c>
      <c r="G1291" s="1" t="n"/>
    </row>
    <row r="1292">
      <c r="A1292" s="6" t="n">
        <v>6998</v>
      </c>
      <c r="B1292" s="6" t="inlineStr">
        <is>
          <t>CLAN MCGREGOR</t>
        </is>
      </c>
      <c r="C1292" s="7">
        <f>VLOOKUP(A1292,SizeData!A$2:B$3839,2,FALSE)</f>
        <v/>
      </c>
      <c r="D1292" s="6" t="n">
        <v>1</v>
      </c>
      <c r="E1292" s="6" t="inlineStr">
        <is>
          <t>R1547143</t>
        </is>
      </c>
      <c r="F1292" s="2" t="n">
        <v>44655</v>
      </c>
      <c r="G1292" s="1" t="n"/>
    </row>
    <row r="1293">
      <c r="A1293" s="6" t="n">
        <v>6998</v>
      </c>
      <c r="B1293" s="6" t="inlineStr">
        <is>
          <t>CLAN MCGREGOR</t>
        </is>
      </c>
      <c r="C1293" s="7">
        <f>VLOOKUP(A1293,SizeData!A$2:B$3839,2,FALSE)</f>
        <v/>
      </c>
      <c r="D1293" s="6" t="n">
        <v>1</v>
      </c>
      <c r="E1293" s="6" t="inlineStr">
        <is>
          <t>R1684665</t>
        </is>
      </c>
      <c r="F1293" s="2" t="n">
        <v>44765</v>
      </c>
      <c r="G1293" s="1" t="n"/>
    </row>
    <row r="1294">
      <c r="A1294" s="6" t="n">
        <v>6998</v>
      </c>
      <c r="B1294" s="6" t="inlineStr">
        <is>
          <t>CLAN MCGREGOR</t>
        </is>
      </c>
      <c r="C1294" s="7">
        <f>VLOOKUP(A1294,SizeData!A$2:B$3839,2,FALSE)</f>
        <v/>
      </c>
      <c r="D1294" s="6" t="n">
        <v>1</v>
      </c>
      <c r="E1294" s="6" t="inlineStr">
        <is>
          <t>R1711866</t>
        </is>
      </c>
      <c r="F1294" s="2" t="n">
        <v>44772</v>
      </c>
      <c r="G1294" s="62" t="n"/>
    </row>
    <row r="1295">
      <c r="A1295" s="6" t="n">
        <v>549885</v>
      </c>
      <c r="B1295" s="6" t="inlineStr">
        <is>
          <t>CLOS DU BOIS CHARDONNAY NC BARREL FERM</t>
        </is>
      </c>
      <c r="C1295" s="7">
        <f>VLOOKUP(A1295,SizeData!A$2:B$3839,2,FALSE)</f>
        <v/>
      </c>
      <c r="D1295" s="6" t="n">
        <v>1</v>
      </c>
      <c r="E1295" s="6" t="inlineStr">
        <is>
          <t>R1566604</t>
        </is>
      </c>
      <c r="F1295" s="2" t="n">
        <v>44660</v>
      </c>
      <c r="G1295" s="1" t="n"/>
    </row>
    <row r="1296">
      <c r="A1296" s="6" t="n">
        <v>64776</v>
      </c>
      <c r="B1296" s="6" t="inlineStr">
        <is>
          <t>COINTREAU</t>
        </is>
      </c>
      <c r="C1296" s="7">
        <f>VLOOKUP(A1296,SizeData!A$2:B$3839,2,FALSE)</f>
        <v/>
      </c>
      <c r="D1296" s="6" t="n">
        <v>1</v>
      </c>
      <c r="E1296" s="6" t="inlineStr">
        <is>
          <t>R1457066</t>
        </is>
      </c>
      <c r="F1296" s="2" t="n">
        <v>44602</v>
      </c>
      <c r="G1296" s="1" t="n"/>
    </row>
    <row r="1297">
      <c r="A1297" s="6" t="n">
        <v>407180</v>
      </c>
      <c r="B1297" s="6" t="inlineStr">
        <is>
          <t>CONCHA Y TORO FRONTERA MALBEC MENDOZA</t>
        </is>
      </c>
      <c r="C1297" s="7">
        <f>VLOOKUP(A1297,SizeData!A$2:B$3839,2,FALSE)</f>
        <v/>
      </c>
      <c r="D1297" s="6" t="n">
        <v>1</v>
      </c>
      <c r="E1297" s="6" t="inlineStr">
        <is>
          <t>R1650316</t>
        </is>
      </c>
      <c r="F1297" s="2" t="n">
        <v>44714</v>
      </c>
      <c r="G1297" s="1" t="n"/>
    </row>
    <row r="1298">
      <c r="A1298" s="6" t="n">
        <v>47766</v>
      </c>
      <c r="B1298" s="6" t="inlineStr">
        <is>
          <t>CONJURE COGNAC</t>
        </is>
      </c>
      <c r="C1298" s="7">
        <f>VLOOKUP(A1298,SizeData!A$2:B$3839,2,FALSE)</f>
        <v/>
      </c>
      <c r="D1298" s="6" t="n">
        <v>1</v>
      </c>
      <c r="E1298" s="6" t="inlineStr">
        <is>
          <t>R1566604</t>
        </is>
      </c>
      <c r="F1298" s="2" t="n">
        <v>44660</v>
      </c>
      <c r="G1298" s="1" t="n"/>
    </row>
    <row r="1299">
      <c r="A1299" s="6" t="n">
        <v>47766</v>
      </c>
      <c r="B1299" s="6" t="inlineStr">
        <is>
          <t>CONJURE COGNAC</t>
        </is>
      </c>
      <c r="C1299" s="7">
        <f>VLOOKUP(A1299,SizeData!A$2:B$3839,2,FALSE)</f>
        <v/>
      </c>
      <c r="D1299" s="6" t="n">
        <v>1</v>
      </c>
      <c r="E1299" s="6" t="inlineStr">
        <is>
          <t>R1620910</t>
        </is>
      </c>
      <c r="F1299" s="2" t="n">
        <v>44694</v>
      </c>
      <c r="G1299" s="1" t="n"/>
    </row>
    <row r="1300">
      <c r="A1300" s="6" t="n">
        <v>47766</v>
      </c>
      <c r="B1300" s="6" t="inlineStr">
        <is>
          <t>CONJURE COGNAC</t>
        </is>
      </c>
      <c r="C1300" s="7">
        <f>VLOOKUP(A1300,SizeData!A$2:B$3839,2,FALSE)</f>
        <v/>
      </c>
      <c r="D1300" s="6" t="n">
        <v>1</v>
      </c>
      <c r="E1300" s="6" t="inlineStr">
        <is>
          <t>R1728783</t>
        </is>
      </c>
      <c r="F1300" s="2" t="n">
        <v>44793</v>
      </c>
      <c r="G1300" s="1" t="n"/>
    </row>
    <row r="1301">
      <c r="A1301" s="6" t="n">
        <v>47766</v>
      </c>
      <c r="B1301" s="6" t="inlineStr">
        <is>
          <t>CONJURE COGNAC</t>
        </is>
      </c>
      <c r="C1301" s="7">
        <f>VLOOKUP(A1301,SizeData!A$2:B$3839,2,FALSE)</f>
        <v/>
      </c>
      <c r="D1301" s="6" t="n">
        <v>1</v>
      </c>
      <c r="E1301" s="6" t="inlineStr">
        <is>
          <t>R1728783</t>
        </is>
      </c>
      <c r="F1301" s="2" t="n">
        <v>44793</v>
      </c>
      <c r="G1301" s="1" t="n"/>
    </row>
    <row r="1302">
      <c r="A1302" s="6" t="n">
        <v>47766</v>
      </c>
      <c r="B1302" s="6" t="inlineStr">
        <is>
          <t>CONJURE COGNAC</t>
        </is>
      </c>
      <c r="C1302" s="7">
        <f>VLOOKUP(A1302,SizeData!A$2:B$3839,2,FALSE)</f>
        <v/>
      </c>
      <c r="D1302" s="6" t="n">
        <v>1</v>
      </c>
      <c r="E1302" s="6" t="inlineStr">
        <is>
          <t>R1817613</t>
        </is>
      </c>
      <c r="F1302" s="2" t="n">
        <v>44849</v>
      </c>
      <c r="G1302" s="1" t="n"/>
    </row>
    <row r="1303">
      <c r="A1303" s="6" t="n">
        <v>458530</v>
      </c>
      <c r="B1303" s="6" t="inlineStr">
        <is>
          <t>CONUNDRUM RED BLEND</t>
        </is>
      </c>
      <c r="C1303" s="7">
        <f>VLOOKUP(A1303,SizeData!A$2:B$3839,2,FALSE)</f>
        <v/>
      </c>
      <c r="D1303" s="6" t="n">
        <v>1</v>
      </c>
      <c r="E1303" s="6" t="inlineStr">
        <is>
          <t>R1579709</t>
        </is>
      </c>
      <c r="F1303" s="2" t="n">
        <v>44674</v>
      </c>
      <c r="G1303" s="1" t="n"/>
    </row>
    <row r="1304">
      <c r="A1304" s="6" t="n">
        <v>744200</v>
      </c>
      <c r="B1304" s="6" t="inlineStr">
        <is>
          <t>COOK'S BRUT CHAMPAGNE</t>
        </is>
      </c>
      <c r="C1304" s="7">
        <f>VLOOKUP(A1304,SizeData!A$2:B$3839,2,FALSE)</f>
        <v/>
      </c>
      <c r="D1304" s="6" t="n">
        <v>1</v>
      </c>
      <c r="E1304" s="6" t="inlineStr">
        <is>
          <t>R1472921</t>
        </is>
      </c>
      <c r="F1304" s="2" t="n">
        <v>44613</v>
      </c>
      <c r="G1304" s="1" t="n"/>
    </row>
    <row r="1305">
      <c r="A1305" s="6" t="n">
        <v>744200</v>
      </c>
      <c r="B1305" s="6" t="inlineStr">
        <is>
          <t>COOK'S BRUT CHAMPAGNE</t>
        </is>
      </c>
      <c r="C1305" s="7">
        <f>VLOOKUP(A1305,SizeData!A$2:B$3839,2,FALSE)</f>
        <v/>
      </c>
      <c r="D1305" s="6" t="n">
        <v>1</v>
      </c>
      <c r="E1305" s="6" t="inlineStr">
        <is>
          <t>R1489956</t>
        </is>
      </c>
      <c r="F1305" s="2" t="n">
        <v>44631</v>
      </c>
      <c r="G1305" s="1" t="n"/>
    </row>
    <row r="1306">
      <c r="A1306" s="6" t="n">
        <v>744200</v>
      </c>
      <c r="B1306" s="6" t="inlineStr">
        <is>
          <t>COOK'S BRUT CHAMPAGNE</t>
        </is>
      </c>
      <c r="C1306" s="7">
        <f>VLOOKUP(A1306,SizeData!A$2:B$3839,2,FALSE)</f>
        <v/>
      </c>
      <c r="D1306" s="6" t="n">
        <v>1</v>
      </c>
      <c r="E1306" s="6" t="inlineStr">
        <is>
          <t>R1512696</t>
        </is>
      </c>
      <c r="F1306" s="2" t="n">
        <v>44637</v>
      </c>
      <c r="G1306" s="1" t="n"/>
    </row>
    <row r="1307">
      <c r="A1307" s="6" t="n">
        <v>744200</v>
      </c>
      <c r="B1307" s="6" t="inlineStr">
        <is>
          <t>COOK'S BRUT CHAMPAGNE</t>
        </is>
      </c>
      <c r="C1307" s="7">
        <f>VLOOKUP(A1307,SizeData!A$2:B$3839,2,FALSE)</f>
        <v/>
      </c>
      <c r="D1307" s="6" t="n">
        <v>2</v>
      </c>
      <c r="E1307" s="6" t="inlineStr">
        <is>
          <t>R1544902</t>
        </is>
      </c>
      <c r="F1307" s="2" t="n">
        <v>44653</v>
      </c>
      <c r="G1307" s="1" t="n"/>
    </row>
    <row r="1308">
      <c r="A1308" s="6" t="n">
        <v>744200</v>
      </c>
      <c r="B1308" s="6" t="inlineStr">
        <is>
          <t>COOK'S BRUT CHAMPAGNE</t>
        </is>
      </c>
      <c r="C1308" s="7">
        <f>VLOOKUP(A1308,SizeData!A$2:B$3839,2,FALSE)</f>
        <v/>
      </c>
      <c r="D1308" s="6" t="n">
        <v>5</v>
      </c>
      <c r="E1308" s="6" t="inlineStr">
        <is>
          <t>R1547143</t>
        </is>
      </c>
      <c r="F1308" s="2" t="n">
        <v>44655</v>
      </c>
      <c r="G1308" s="1" t="n"/>
    </row>
    <row r="1309">
      <c r="A1309" s="6" t="n">
        <v>744200</v>
      </c>
      <c r="B1309" s="6" t="inlineStr">
        <is>
          <t>COOK'S BRUT CHAMPAGNE</t>
        </is>
      </c>
      <c r="C1309" s="7">
        <f>VLOOKUP(A1309,SizeData!A$2:B$3839,2,FALSE)</f>
        <v/>
      </c>
      <c r="D1309" s="6" t="n">
        <v>3</v>
      </c>
      <c r="E1309" s="6" t="inlineStr">
        <is>
          <t>R1566604</t>
        </is>
      </c>
      <c r="F1309" s="2" t="n">
        <v>44660</v>
      </c>
      <c r="G1309" s="1" t="n"/>
    </row>
    <row r="1310">
      <c r="A1310" s="6" t="n">
        <v>744200</v>
      </c>
      <c r="B1310" s="6" t="inlineStr">
        <is>
          <t>COOK'S BRUT CHAMPAGNE</t>
        </is>
      </c>
      <c r="C1310" s="7">
        <f>VLOOKUP(A1310,SizeData!A$2:B$3839,2,FALSE)</f>
        <v/>
      </c>
      <c r="D1310" s="6" t="n">
        <v>2</v>
      </c>
      <c r="E1310" s="6" t="inlineStr">
        <is>
          <t>R1614837</t>
        </is>
      </c>
      <c r="F1310" s="2" t="n">
        <v>44702</v>
      </c>
      <c r="G1310" s="1" t="n"/>
    </row>
    <row r="1311">
      <c r="A1311" s="6" t="n">
        <v>744200</v>
      </c>
      <c r="B1311" s="6" t="inlineStr">
        <is>
          <t>COOK'S BRUT CHAMPAGNE</t>
        </is>
      </c>
      <c r="C1311" s="7">
        <f>VLOOKUP(A1311,SizeData!A$2:B$3839,2,FALSE)</f>
        <v/>
      </c>
      <c r="D1311" s="6" t="n">
        <v>3</v>
      </c>
      <c r="E1311" s="6" t="inlineStr">
        <is>
          <t>R1630969</t>
        </is>
      </c>
      <c r="F1311" s="2" t="n">
        <v>44711</v>
      </c>
      <c r="G1311" s="1" t="n"/>
    </row>
    <row r="1312">
      <c r="A1312" s="6" t="n">
        <v>744200</v>
      </c>
      <c r="B1312" s="6" t="inlineStr">
        <is>
          <t>COOK'S BRUT CHAMPAGNE</t>
        </is>
      </c>
      <c r="C1312" s="7">
        <f>VLOOKUP(A1312,SizeData!A$2:B$3839,2,FALSE)</f>
        <v/>
      </c>
      <c r="D1312" s="6" t="n">
        <v>1</v>
      </c>
      <c r="E1312" s="6" t="inlineStr">
        <is>
          <t>R1679342</t>
        </is>
      </c>
      <c r="F1312" s="2" t="n">
        <v>44753</v>
      </c>
      <c r="G1312" s="1" t="n"/>
    </row>
    <row r="1313">
      <c r="A1313" s="6" t="n">
        <v>744200</v>
      </c>
      <c r="B1313" s="6" t="inlineStr">
        <is>
          <t>COOK'S BRUT CHAMPAGNE</t>
        </is>
      </c>
      <c r="C1313" s="7">
        <f>VLOOKUP(A1313,SizeData!A$2:B$3839,2,FALSE)</f>
        <v/>
      </c>
      <c r="D1313" s="6" t="n">
        <v>2</v>
      </c>
      <c r="E1313" s="6" t="inlineStr">
        <is>
          <t>R1696453</t>
        </is>
      </c>
      <c r="F1313" s="2" t="n">
        <v>44758</v>
      </c>
      <c r="G1313" s="1" t="n"/>
    </row>
    <row r="1314">
      <c r="A1314" s="6" t="n">
        <v>744200</v>
      </c>
      <c r="B1314" s="6" t="inlineStr">
        <is>
          <t>COOK'S BRUT CHAMPAGNE</t>
        </is>
      </c>
      <c r="C1314" s="7">
        <f>VLOOKUP(A1314,SizeData!A$2:B$3839,2,FALSE)</f>
        <v/>
      </c>
      <c r="D1314" s="6" t="n">
        <v>20</v>
      </c>
      <c r="E1314" s="6" t="n">
        <v>1059.6</v>
      </c>
      <c r="F1314" s="2" t="n">
        <v>44760</v>
      </c>
      <c r="G1314" s="1" t="n"/>
    </row>
    <row r="1315">
      <c r="A1315" s="6" t="n">
        <v>744200</v>
      </c>
      <c r="B1315" s="6" t="inlineStr">
        <is>
          <t>COOK'S BRUT CHAMPAGNE</t>
        </is>
      </c>
      <c r="C1315" s="7">
        <f>VLOOKUP(A1315,SizeData!A$2:B$3839,2,FALSE)</f>
        <v/>
      </c>
      <c r="D1315" s="6" t="n">
        <v>5</v>
      </c>
      <c r="E1315" s="6" t="inlineStr">
        <is>
          <t>R1684665</t>
        </is>
      </c>
      <c r="F1315" s="2" t="n">
        <v>44765</v>
      </c>
      <c r="G1315" s="1" t="n"/>
    </row>
    <row r="1316">
      <c r="A1316" s="6" t="n">
        <v>744205</v>
      </c>
      <c r="B1316" s="6" t="inlineStr">
        <is>
          <t>COOK'S BRUT CHAMPAGNE</t>
        </is>
      </c>
      <c r="C1316" s="7">
        <f>VLOOKUP(A1316,SizeData!A$2:B$3839,2,FALSE)</f>
        <v/>
      </c>
      <c r="D1316" s="6" t="n">
        <v>5</v>
      </c>
      <c r="E1316" s="6" t="inlineStr">
        <is>
          <t>R1681159</t>
        </is>
      </c>
      <c r="F1316" s="2" t="n">
        <v>44757</v>
      </c>
      <c r="G1316" s="1" t="n"/>
    </row>
    <row r="1317">
      <c r="A1317" s="6" t="n">
        <v>744205</v>
      </c>
      <c r="B1317" s="6" t="inlineStr">
        <is>
          <t>COOK'S BRUT CHAMPAGNE</t>
        </is>
      </c>
      <c r="C1317" s="7">
        <f>VLOOKUP(A1317,SizeData!A$2:B$3839,2,FALSE)</f>
        <v/>
      </c>
      <c r="D1317" s="6" t="n">
        <v>10</v>
      </c>
      <c r="E1317" s="6" t="inlineStr">
        <is>
          <t>R1695784</t>
        </is>
      </c>
      <c r="F1317" s="2" t="n">
        <v>44760</v>
      </c>
      <c r="G1317" s="1" t="n"/>
    </row>
    <row r="1318">
      <c r="A1318" s="6" t="n">
        <v>744205</v>
      </c>
      <c r="B1318" s="6" t="inlineStr">
        <is>
          <t>COOK'S BRUT CHAMPAGNE</t>
        </is>
      </c>
      <c r="C1318" s="7">
        <f>VLOOKUP(A1318,SizeData!A$2:B$3839,2,FALSE)</f>
        <v/>
      </c>
      <c r="D1318" s="6" t="n">
        <v>8</v>
      </c>
      <c r="E1318" s="6" t="inlineStr">
        <is>
          <t>R1702988</t>
        </is>
      </c>
      <c r="F1318" s="2" t="n">
        <v>44771</v>
      </c>
      <c r="G1318" s="1" t="n"/>
    </row>
    <row r="1319">
      <c r="A1319" s="6" t="n">
        <v>744400</v>
      </c>
      <c r="B1319" s="6" t="inlineStr">
        <is>
          <t>COOK'S EXTRA DRY CHAMPAGNE</t>
        </is>
      </c>
      <c r="C1319" s="7">
        <f>VLOOKUP(A1319,SizeData!A$2:B$3839,2,FALSE)</f>
        <v/>
      </c>
      <c r="D1319" s="6" t="n">
        <v>3</v>
      </c>
      <c r="E1319" s="6" t="inlineStr">
        <is>
          <t>R1681159</t>
        </is>
      </c>
      <c r="F1319" s="2" t="n">
        <v>44757</v>
      </c>
      <c r="G1319" s="1" t="n"/>
    </row>
    <row r="1320">
      <c r="A1320" s="6" t="n">
        <v>744400</v>
      </c>
      <c r="B1320" s="6" t="inlineStr">
        <is>
          <t>COOK'S EXTRA DRY CHAMPAGNE</t>
        </is>
      </c>
      <c r="C1320" s="7">
        <f>VLOOKUP(A1320,SizeData!A$2:B$3839,2,FALSE)</f>
        <v/>
      </c>
      <c r="D1320" s="6" t="n">
        <v>10</v>
      </c>
      <c r="E1320" s="6" t="inlineStr">
        <is>
          <t>R1695784</t>
        </is>
      </c>
      <c r="F1320" s="2" t="n">
        <v>44760</v>
      </c>
      <c r="G1320" s="1" t="n"/>
    </row>
    <row r="1321">
      <c r="A1321" s="6" t="n">
        <v>744405</v>
      </c>
      <c r="B1321" s="6" t="inlineStr">
        <is>
          <t>COOK'S EXTRA DRY CHAMPAGNE</t>
        </is>
      </c>
      <c r="C1321" s="7">
        <f>VLOOKUP(A1321,SizeData!A$2:B$3839,2,FALSE)</f>
        <v/>
      </c>
      <c r="D1321" s="6" t="n">
        <v>1</v>
      </c>
      <c r="E1321" s="6" t="inlineStr">
        <is>
          <t>R1572421</t>
        </is>
      </c>
      <c r="F1321" s="2" t="n">
        <v>44667</v>
      </c>
      <c r="G1321" s="1" t="n"/>
    </row>
    <row r="1322">
      <c r="A1322" s="6" t="n">
        <v>744405</v>
      </c>
      <c r="B1322" s="6" t="inlineStr">
        <is>
          <t>COOK'S EXTRA DRY CHAMPAGNE</t>
        </is>
      </c>
      <c r="C1322" s="7">
        <f>VLOOKUP(A1322,SizeData!A$2:B$3839,2,FALSE)</f>
        <v/>
      </c>
      <c r="D1322" s="6" t="n">
        <v>1</v>
      </c>
      <c r="E1322" s="6" t="inlineStr">
        <is>
          <t>R1604328</t>
        </is>
      </c>
      <c r="F1322" s="2" t="n">
        <v>44694</v>
      </c>
      <c r="G1322" s="1" t="n"/>
    </row>
    <row r="1323">
      <c r="A1323" s="6" t="n">
        <v>744405</v>
      </c>
      <c r="B1323" s="6" t="inlineStr">
        <is>
          <t>COOK'S EXTRA DRY CHAMPAGNE</t>
        </is>
      </c>
      <c r="C1323" s="7">
        <f>VLOOKUP(A1323,SizeData!A$2:B$3839,2,FALSE)</f>
        <v/>
      </c>
      <c r="D1323" s="6" t="n">
        <v>1</v>
      </c>
      <c r="E1323" s="6" t="inlineStr">
        <is>
          <t>R1679342</t>
        </is>
      </c>
      <c r="F1323" s="2" t="n">
        <v>44753</v>
      </c>
      <c r="G1323" s="1" t="n"/>
    </row>
    <row r="1324">
      <c r="A1324" s="6" t="n">
        <v>769925</v>
      </c>
      <c r="B1324" s="6" t="inlineStr">
        <is>
          <t>COOK'S SPUMANTE</t>
        </is>
      </c>
      <c r="C1324" s="7">
        <f>VLOOKUP(A1324,SizeData!A$2:B$3839,2,FALSE)</f>
        <v/>
      </c>
      <c r="D1324" s="6" t="n">
        <v>1</v>
      </c>
      <c r="E1324" s="6" t="inlineStr">
        <is>
          <t>R1512696</t>
        </is>
      </c>
      <c r="F1324" s="2" t="n">
        <v>44637</v>
      </c>
      <c r="G1324" s="1" t="n"/>
    </row>
    <row r="1325">
      <c r="A1325" s="6" t="n">
        <v>769925</v>
      </c>
      <c r="B1325" s="6" t="inlineStr">
        <is>
          <t>COOK'S SPUMANTE</t>
        </is>
      </c>
      <c r="C1325" s="7">
        <f>VLOOKUP(A1325,SizeData!A$2:B$3839,2,FALSE)</f>
        <v/>
      </c>
      <c r="D1325" s="6" t="n">
        <v>2</v>
      </c>
      <c r="E1325" s="6" t="inlineStr">
        <is>
          <t>R1518696</t>
        </is>
      </c>
      <c r="F1325" s="2" t="n">
        <v>44643</v>
      </c>
      <c r="G1325" s="1" t="n"/>
    </row>
    <row r="1326">
      <c r="A1326" s="6" t="n">
        <v>769925</v>
      </c>
      <c r="B1326" s="6" t="inlineStr">
        <is>
          <t>COOK'S SPUMANTE</t>
        </is>
      </c>
      <c r="C1326" s="7">
        <f>VLOOKUP(A1326,SizeData!A$2:B$3839,2,FALSE)</f>
        <v/>
      </c>
      <c r="D1326" s="6" t="n">
        <v>1</v>
      </c>
      <c r="E1326" s="6" t="inlineStr">
        <is>
          <t>R1537124</t>
        </is>
      </c>
      <c r="F1326" s="2" t="n">
        <v>44646</v>
      </c>
      <c r="G1326" s="1" t="n"/>
    </row>
    <row r="1327">
      <c r="A1327" s="6" t="n">
        <v>17517</v>
      </c>
      <c r="B1327" s="6" t="inlineStr">
        <is>
          <t>COOPERS' CRAFT KENTUCKY STRAIGHT BOURBON</t>
        </is>
      </c>
      <c r="C1327" s="7">
        <f>VLOOKUP(A1327,SizeData!A$2:B$3839,2,FALSE)</f>
        <v/>
      </c>
      <c r="D1327" s="6" t="n">
        <v>1</v>
      </c>
      <c r="E1327" s="6" t="inlineStr">
        <is>
          <t>R1629823</t>
        </is>
      </c>
      <c r="F1327" s="2" t="n">
        <v>44713</v>
      </c>
      <c r="G1327" s="1" t="n"/>
    </row>
    <row r="1328">
      <c r="A1328" s="6" t="n">
        <v>17517</v>
      </c>
      <c r="B1328" s="6" t="inlineStr">
        <is>
          <t>COOPERS' CRAFT KENTUCKY STRAIGHT BOURBON</t>
        </is>
      </c>
      <c r="C1328" s="7">
        <f>VLOOKUP(A1328,SizeData!A$2:B$3839,2,FALSE)</f>
        <v/>
      </c>
      <c r="D1328" s="6" t="n">
        <v>1</v>
      </c>
      <c r="E1328" s="6" t="inlineStr">
        <is>
          <t>R1648285</t>
        </is>
      </c>
      <c r="F1328" s="2" t="n">
        <v>44729</v>
      </c>
      <c r="G1328" s="1" t="n"/>
    </row>
    <row r="1329">
      <c r="A1329" s="6" t="n">
        <v>17517</v>
      </c>
      <c r="B1329" s="6" t="inlineStr">
        <is>
          <t>COOPERS' CRAFT KENTUCKY STRAIGHT BOURBON</t>
        </is>
      </c>
      <c r="C1329" s="7">
        <f>VLOOKUP(A1329,SizeData!A$2:B$3839,2,FALSE)</f>
        <v/>
      </c>
      <c r="D1329" s="6" t="n">
        <v>1</v>
      </c>
      <c r="E1329" s="6" t="inlineStr">
        <is>
          <t>R1894827</t>
        </is>
      </c>
      <c r="F1329" s="2" t="n">
        <v>44902</v>
      </c>
      <c r="G1329" s="1" t="n"/>
    </row>
    <row r="1330">
      <c r="A1330" s="26" t="n">
        <v>469432</v>
      </c>
      <c r="B1330" s="26" t="inlineStr">
        <is>
          <t>COPPERIDGE CABERNET SAUVIGNON</t>
        </is>
      </c>
      <c r="C1330" s="7">
        <f>VLOOKUP(A1330,SizeData!A$2:B$3839,2,FALSE)</f>
        <v/>
      </c>
      <c r="D1330" s="26" t="n">
        <v>3</v>
      </c>
      <c r="E1330" s="26" t="inlineStr">
        <is>
          <t>R1747750</t>
        </is>
      </c>
      <c r="F1330" s="61" t="n">
        <v>44802</v>
      </c>
      <c r="G1330" s="62" t="n"/>
    </row>
    <row r="1331">
      <c r="A1331" s="6" t="n">
        <v>469432</v>
      </c>
      <c r="B1331" s="6" t="inlineStr">
        <is>
          <t>COPPERIDGE CABERNET SAUVIGNON</t>
        </is>
      </c>
      <c r="C1331" s="7">
        <f>VLOOKUP(A1331,SizeData!A$2:B$3839,2,FALSE)</f>
        <v/>
      </c>
      <c r="D1331" s="6" t="n">
        <v>1</v>
      </c>
      <c r="E1331" s="6" t="inlineStr">
        <is>
          <t>R1854075</t>
        </is>
      </c>
      <c r="F1331" s="2" t="n">
        <v>44873</v>
      </c>
      <c r="G1331" s="1" t="n"/>
    </row>
    <row r="1332">
      <c r="A1332" s="26" t="n">
        <v>469432</v>
      </c>
      <c r="B1332" s="26" t="inlineStr">
        <is>
          <t>COPPERIDGE CABERNET SAUVIGNON</t>
        </is>
      </c>
      <c r="C1332" s="75">
        <f>VLOOKUP(A1332,SizeData!A$2:B$3839,2,FALSE)</f>
        <v/>
      </c>
      <c r="D1332" s="26" t="n">
        <v>1</v>
      </c>
      <c r="E1332" s="26" t="inlineStr">
        <is>
          <t>R1897750</t>
        </is>
      </c>
      <c r="F1332" s="61" t="n">
        <v>44902</v>
      </c>
      <c r="G1332" s="62" t="n"/>
    </row>
    <row r="1333">
      <c r="A1333" s="26" t="n">
        <v>469432</v>
      </c>
      <c r="B1333" s="26" t="inlineStr">
        <is>
          <t>COPPERIDGE CABERNET SAUVIGNON</t>
        </is>
      </c>
      <c r="C1333" s="75">
        <f>VLOOKUP(A1333,SizeData!A$2:B$3839,2,FALSE)</f>
        <v/>
      </c>
      <c r="D1333" s="26" t="n">
        <v>1</v>
      </c>
      <c r="E1333" s="26" t="inlineStr">
        <is>
          <t>R1906601</t>
        </is>
      </c>
      <c r="F1333" s="61" t="n">
        <v>44902</v>
      </c>
      <c r="G1333" s="62" t="n"/>
    </row>
    <row r="1334">
      <c r="A1334" s="6" t="n">
        <v>568832</v>
      </c>
      <c r="B1334" s="6" t="inlineStr">
        <is>
          <t>COPPERIDGE CHARDONNAY</t>
        </is>
      </c>
      <c r="C1334" s="7">
        <f>VLOOKUP(A1334,SizeData!A$2:B$3839,2,FALSE)</f>
        <v/>
      </c>
      <c r="D1334" s="6" t="n">
        <v>2</v>
      </c>
      <c r="E1334" s="6" t="inlineStr">
        <is>
          <t>R1768922</t>
        </is>
      </c>
      <c r="F1334" s="2" t="n">
        <v>44819</v>
      </c>
      <c r="G1334" s="1" t="n"/>
    </row>
    <row r="1335">
      <c r="A1335" s="6" t="n">
        <v>568832</v>
      </c>
      <c r="B1335" s="6" t="inlineStr">
        <is>
          <t>COPPERIDGE CHARDONNAY</t>
        </is>
      </c>
      <c r="C1335" s="7">
        <f>VLOOKUP(A1335,SizeData!A$2:B$3839,2,FALSE)</f>
        <v/>
      </c>
      <c r="D1335" s="6" t="n">
        <v>2</v>
      </c>
      <c r="E1335" s="6" t="inlineStr">
        <is>
          <t>R1840965</t>
        </is>
      </c>
      <c r="F1335" s="2" t="n">
        <v>44863</v>
      </c>
      <c r="G1335" s="1" t="n"/>
    </row>
    <row r="1336">
      <c r="A1336" s="6" t="n">
        <v>568832</v>
      </c>
      <c r="B1336" s="6" t="inlineStr">
        <is>
          <t>COPPERIDGE CHARDONNAY</t>
        </is>
      </c>
      <c r="C1336" s="7">
        <f>VLOOKUP(A1336,SizeData!A$2:B$3839,2,FALSE)</f>
        <v/>
      </c>
      <c r="D1336" s="6" t="n">
        <v>2</v>
      </c>
      <c r="E1336" s="6" t="inlineStr">
        <is>
          <t>R1866868</t>
        </is>
      </c>
      <c r="F1336" s="2" t="n">
        <v>44882</v>
      </c>
      <c r="G1336" s="1" t="n"/>
    </row>
    <row r="1337">
      <c r="A1337" s="26" t="n">
        <v>568832</v>
      </c>
      <c r="B1337" s="26" t="inlineStr">
        <is>
          <t>COPPERIDGE CHARDONNAY</t>
        </is>
      </c>
      <c r="C1337" s="75">
        <f>VLOOKUP(A1337,SizeData!A$2:B$3839,2,FALSE)</f>
        <v/>
      </c>
      <c r="D1337" s="26" t="n">
        <v>1</v>
      </c>
      <c r="E1337" s="26" t="inlineStr">
        <is>
          <t>R1897750</t>
        </is>
      </c>
      <c r="F1337" s="61" t="n">
        <v>44902</v>
      </c>
      <c r="G1337" s="62" t="n"/>
    </row>
    <row r="1338">
      <c r="A1338" s="6" t="n">
        <v>656402</v>
      </c>
      <c r="B1338" s="6" t="inlineStr">
        <is>
          <t>COPPERIDGE WHITE ZINFANDEL</t>
        </is>
      </c>
      <c r="C1338" s="7">
        <f>VLOOKUP(A1338,SizeData!A$2:B$3839,2,FALSE)</f>
        <v/>
      </c>
      <c r="D1338" s="6" t="n">
        <v>1</v>
      </c>
      <c r="E1338" s="6" t="inlineStr">
        <is>
          <t>R1768922</t>
        </is>
      </c>
      <c r="F1338" s="2" t="n">
        <v>44819</v>
      </c>
      <c r="G1338" s="1" t="n"/>
    </row>
    <row r="1339">
      <c r="A1339" s="6" t="n">
        <v>656402</v>
      </c>
      <c r="B1339" s="6" t="inlineStr">
        <is>
          <t>COPPERIDGE WHITE ZINFANDEL</t>
        </is>
      </c>
      <c r="C1339" s="7">
        <f>VLOOKUP(A1339,SizeData!A$2:B$3839,2,FALSE)</f>
        <v/>
      </c>
      <c r="D1339" s="6" t="n">
        <v>2</v>
      </c>
      <c r="E1339" s="6" t="inlineStr">
        <is>
          <t>R1852440</t>
        </is>
      </c>
      <c r="F1339" s="2" t="n">
        <v>44867</v>
      </c>
      <c r="G1339" s="1" t="n"/>
    </row>
    <row r="1340">
      <c r="A1340" s="6" t="n">
        <v>89242</v>
      </c>
      <c r="B1340" s="6" t="inlineStr">
        <is>
          <t>CORRALEJO REPOSADO GOLD TEQUILA</t>
        </is>
      </c>
      <c r="C1340" s="7">
        <f>VLOOKUP(A1340,SizeData!A$2:B$3839,2,FALSE)</f>
        <v/>
      </c>
      <c r="D1340" s="6" t="n">
        <v>1</v>
      </c>
      <c r="E1340" s="6" t="inlineStr">
        <is>
          <t>R1759302</t>
        </is>
      </c>
      <c r="F1340" s="2" t="n">
        <v>44806</v>
      </c>
      <c r="G1340" s="1" t="n"/>
    </row>
    <row r="1341">
      <c r="A1341" s="6" t="n">
        <v>89242</v>
      </c>
      <c r="B1341" s="6" t="inlineStr">
        <is>
          <t>CORRALEJO REPOSADO GOLD TEQUILA</t>
        </is>
      </c>
      <c r="C1341" s="7">
        <f>VLOOKUP(A1341,SizeData!A$2:B$3839,2,FALSE)</f>
        <v/>
      </c>
      <c r="D1341" s="6" t="n">
        <v>1</v>
      </c>
      <c r="E1341" s="6" t="inlineStr">
        <is>
          <t>R1900430</t>
        </is>
      </c>
      <c r="F1341" s="2" t="n">
        <v>44896</v>
      </c>
      <c r="G1341" s="1" t="n"/>
    </row>
    <row r="1342">
      <c r="A1342" s="6" t="n">
        <v>47788</v>
      </c>
      <c r="B1342" s="6" t="inlineStr">
        <is>
          <t>COURVOISIER V S COGNAC</t>
        </is>
      </c>
      <c r="C1342" s="7">
        <f>VLOOKUP(A1342,SizeData!A$2:B$3839,2,FALSE)</f>
        <v/>
      </c>
      <c r="D1342" s="6" t="n">
        <v>10</v>
      </c>
      <c r="E1342" s="6" t="inlineStr">
        <is>
          <t>R1620625</t>
        </is>
      </c>
      <c r="F1342" s="2" t="n">
        <v>44698</v>
      </c>
      <c r="G1342" s="1" t="n"/>
    </row>
    <row r="1343">
      <c r="A1343" s="6" t="n">
        <v>47782</v>
      </c>
      <c r="B1343" s="6" t="inlineStr">
        <is>
          <t>COURVOISIER VS COGNAC</t>
        </is>
      </c>
      <c r="C1343" s="7">
        <f>VLOOKUP(A1343,SizeData!A$2:B$3839,2,FALSE)</f>
        <v/>
      </c>
      <c r="D1343" s="6" t="n">
        <v>28</v>
      </c>
      <c r="E1343" s="6" t="inlineStr">
        <is>
          <t>R1393446</t>
        </is>
      </c>
      <c r="F1343" s="2" t="n">
        <v>44563</v>
      </c>
      <c r="G1343" s="1" t="n"/>
    </row>
    <row r="1344">
      <c r="A1344" s="6" t="n">
        <v>47782</v>
      </c>
      <c r="B1344" s="6" t="inlineStr">
        <is>
          <t>COURVOISIER VS COGNAC</t>
        </is>
      </c>
      <c r="C1344" s="7">
        <f>VLOOKUP(A1344,SizeData!A$2:B$3839,2,FALSE)</f>
        <v/>
      </c>
      <c r="D1344" s="6" t="n">
        <v>16</v>
      </c>
      <c r="E1344" s="6" t="inlineStr">
        <is>
          <t>R1393445</t>
        </is>
      </c>
      <c r="F1344" s="2" t="n">
        <v>44563</v>
      </c>
      <c r="G1344" s="1" t="n"/>
    </row>
    <row r="1345">
      <c r="A1345" s="6" t="n">
        <v>47782</v>
      </c>
      <c r="B1345" s="6" t="inlineStr">
        <is>
          <t>COURVOISIER VS COGNAC</t>
        </is>
      </c>
      <c r="C1345" s="7">
        <f>VLOOKUP(A1345,SizeData!A$2:B$3839,2,FALSE)</f>
        <v/>
      </c>
      <c r="D1345" s="6" t="n">
        <v>20</v>
      </c>
      <c r="E1345" s="6" t="inlineStr">
        <is>
          <t>R1768432</t>
        </is>
      </c>
      <c r="F1345" s="2" t="n">
        <v>44817</v>
      </c>
      <c r="G1345" s="1" t="n"/>
    </row>
    <row r="1346">
      <c r="A1346" s="6" t="n">
        <v>47787</v>
      </c>
      <c r="B1346" s="6" t="inlineStr">
        <is>
          <t>COURVOISIER V S COGNAC</t>
        </is>
      </c>
      <c r="C1346" s="7">
        <f>VLOOKUP(A1346,SizeData!A$2:B$3839,2,FALSE)</f>
        <v/>
      </c>
      <c r="D1346" s="6" t="n">
        <v>5</v>
      </c>
      <c r="E1346" s="6" t="inlineStr">
        <is>
          <t>R1458236</t>
        </is>
      </c>
      <c r="F1346" s="2" t="n">
        <v>44607</v>
      </c>
      <c r="G1346" s="1" t="n"/>
    </row>
    <row r="1347">
      <c r="A1347" s="31" t="n">
        <v>47787</v>
      </c>
      <c r="B1347" s="31" t="inlineStr">
        <is>
          <t>COURVOISIER V S COGNAC</t>
        </is>
      </c>
      <c r="C1347" s="7">
        <f>VLOOKUP(A1347,SizeData!A$2:B$3839,2,FALSE)</f>
        <v/>
      </c>
      <c r="D1347" s="31" t="n">
        <v>15</v>
      </c>
      <c r="E1347" s="31" t="inlineStr">
        <is>
          <t>R1565908</t>
        </is>
      </c>
      <c r="F1347" s="33" t="n">
        <v>44658</v>
      </c>
      <c r="G1347" s="34" t="n"/>
    </row>
    <row r="1348">
      <c r="A1348" s="6" t="n">
        <v>47790</v>
      </c>
      <c r="B1348" s="6" t="inlineStr">
        <is>
          <t>COURVOISIER V S COGNAC</t>
        </is>
      </c>
      <c r="C1348" s="7">
        <f>VLOOKUP(A1348,SizeData!A$2:B$3839,2,FALSE)</f>
        <v/>
      </c>
      <c r="D1348" s="6" t="n">
        <v>20</v>
      </c>
      <c r="E1348" s="6" t="inlineStr">
        <is>
          <t>R1393049</t>
        </is>
      </c>
      <c r="F1348" s="2" t="n">
        <v>44562</v>
      </c>
      <c r="G1348" s="1" t="n"/>
    </row>
    <row r="1349">
      <c r="A1349" s="6" t="n">
        <v>47790</v>
      </c>
      <c r="B1349" s="6" t="inlineStr">
        <is>
          <t>COURVOISIER V S COGNAC</t>
        </is>
      </c>
      <c r="C1349" s="7">
        <f>VLOOKUP(A1349,SizeData!A$2:B$3839,2,FALSE)</f>
        <v/>
      </c>
      <c r="D1349" s="6" t="n">
        <v>20</v>
      </c>
      <c r="E1349" s="6" t="inlineStr">
        <is>
          <t>R1393049</t>
        </is>
      </c>
      <c r="F1349" s="2" t="n">
        <v>44562</v>
      </c>
      <c r="G1349" s="1" t="n"/>
    </row>
    <row r="1350">
      <c r="A1350" s="6" t="n">
        <v>47790</v>
      </c>
      <c r="B1350" s="6" t="inlineStr">
        <is>
          <t>COURVOISIER V S COGNAC</t>
        </is>
      </c>
      <c r="C1350" s="7">
        <f>VLOOKUP(A1350,SizeData!A$2:B$3839,2,FALSE)</f>
        <v/>
      </c>
      <c r="D1350" s="6" t="n">
        <v>10</v>
      </c>
      <c r="E1350" s="6" t="inlineStr">
        <is>
          <t>R1664988</t>
        </is>
      </c>
      <c r="F1350" s="2" t="n">
        <v>44747</v>
      </c>
      <c r="G1350" s="1" t="n"/>
    </row>
    <row r="1351">
      <c r="A1351" s="6" t="n">
        <v>47790</v>
      </c>
      <c r="B1351" s="6" t="inlineStr">
        <is>
          <t>COURVOISIER V S COGNAC</t>
        </is>
      </c>
      <c r="C1351" s="7">
        <f>VLOOKUP(A1351,SizeData!A$2:B$3839,2,FALSE)</f>
        <v/>
      </c>
      <c r="D1351" s="6" t="n">
        <v>4</v>
      </c>
      <c r="E1351" s="6" t="inlineStr">
        <is>
          <t>R1695857</t>
        </is>
      </c>
      <c r="F1351" s="2" t="n">
        <v>44758</v>
      </c>
      <c r="G1351" s="1" t="n"/>
    </row>
    <row r="1352">
      <c r="A1352" s="6" t="n">
        <v>47790</v>
      </c>
      <c r="B1352" s="6" t="inlineStr">
        <is>
          <t>COURVOISIER V S COGNAC</t>
        </is>
      </c>
      <c r="C1352" s="7">
        <f>VLOOKUP(A1352,SizeData!A$2:B$3839,2,FALSE)</f>
        <v/>
      </c>
      <c r="D1352" s="6" t="n">
        <v>5</v>
      </c>
      <c r="E1352" s="6" t="inlineStr">
        <is>
          <t>R1688168</t>
        </is>
      </c>
      <c r="F1352" s="2" t="n">
        <v>44761</v>
      </c>
      <c r="G1352" s="1" t="n"/>
    </row>
    <row r="1353">
      <c r="A1353" s="6" t="n">
        <v>47790</v>
      </c>
      <c r="B1353" s="6" t="inlineStr">
        <is>
          <t>COURVOISIER V S COGNAC</t>
        </is>
      </c>
      <c r="C1353" s="7">
        <f>VLOOKUP(A1353,SizeData!A$2:B$3839,2,FALSE)</f>
        <v/>
      </c>
      <c r="D1353" s="6" t="n">
        <v>5</v>
      </c>
      <c r="E1353" s="6" t="inlineStr">
        <is>
          <t>R1814504</t>
        </is>
      </c>
      <c r="F1353" s="2" t="n">
        <v>44846</v>
      </c>
      <c r="G1353" s="1" t="n"/>
    </row>
    <row r="1354">
      <c r="A1354" s="6" t="n">
        <v>47785</v>
      </c>
      <c r="B1354" s="6" t="inlineStr">
        <is>
          <t>COURVOISIER V S COGNAC</t>
        </is>
      </c>
      <c r="C1354" s="7">
        <f>VLOOKUP(A1354,SizeData!A$2:B$3839,2,FALSE)</f>
        <v/>
      </c>
      <c r="D1354" s="6" t="n">
        <v>80</v>
      </c>
      <c r="E1354" s="6" t="inlineStr">
        <is>
          <t>R1473361</t>
        </is>
      </c>
      <c r="F1354" s="2" t="n">
        <v>44620</v>
      </c>
      <c r="G1354" s="1" t="n"/>
    </row>
    <row r="1355">
      <c r="A1355" s="6" t="n">
        <v>47785</v>
      </c>
      <c r="B1355" s="6" t="inlineStr">
        <is>
          <t>COURVOISIER V S COGNAC</t>
        </is>
      </c>
      <c r="C1355" s="7">
        <f>VLOOKUP(A1355,SizeData!A$2:B$3839,2,FALSE)</f>
        <v/>
      </c>
      <c r="D1355" s="6" t="n">
        <v>20</v>
      </c>
      <c r="E1355" s="6" t="inlineStr">
        <is>
          <t>R1478289</t>
        </is>
      </c>
      <c r="F1355" s="2" t="n">
        <v>44620</v>
      </c>
      <c r="G1355" s="1" t="n"/>
    </row>
    <row r="1356">
      <c r="A1356" s="6" t="n">
        <v>47785</v>
      </c>
      <c r="B1356" s="6" t="inlineStr">
        <is>
          <t>COURVOISIER V S COGNAC</t>
        </is>
      </c>
      <c r="C1356" s="7">
        <f>VLOOKUP(A1356,SizeData!A$2:B$3839,2,FALSE)</f>
        <v/>
      </c>
      <c r="D1356" s="6" t="n">
        <v>9</v>
      </c>
      <c r="E1356" s="6" t="inlineStr">
        <is>
          <t>R1623135</t>
        </is>
      </c>
      <c r="F1356" s="2" t="n">
        <v>44705</v>
      </c>
      <c r="G1356" s="1" t="n"/>
    </row>
    <row r="1357">
      <c r="A1357" s="6" t="n">
        <v>47785</v>
      </c>
      <c r="B1357" s="6" t="inlineStr">
        <is>
          <t>COURVOISIER V S COGNAC</t>
        </is>
      </c>
      <c r="C1357" s="7">
        <f>VLOOKUP(A1357,SizeData!A$2:B$3839,2,FALSE)</f>
        <v/>
      </c>
      <c r="D1357" s="6" t="n">
        <v>1</v>
      </c>
      <c r="E1357" s="6" t="inlineStr">
        <is>
          <t>R1623135</t>
        </is>
      </c>
      <c r="F1357" s="2" t="n">
        <v>44705</v>
      </c>
      <c r="G1357" s="1" t="n"/>
    </row>
    <row r="1358">
      <c r="A1358" s="6" t="n">
        <v>47785</v>
      </c>
      <c r="B1358" s="6" t="inlineStr">
        <is>
          <t>COURVOISIER V S COGNAC</t>
        </is>
      </c>
      <c r="C1358" s="7">
        <f>VLOOKUP(A1358,SizeData!A$2:B$3839,2,FALSE)</f>
        <v/>
      </c>
      <c r="D1358" s="6" t="n">
        <v>25</v>
      </c>
      <c r="E1358" s="6" t="inlineStr">
        <is>
          <t>R1713939</t>
        </is>
      </c>
      <c r="F1358" s="2" t="n">
        <v>44779</v>
      </c>
      <c r="G1358" s="1" t="n"/>
    </row>
    <row r="1359">
      <c r="A1359" s="6" t="n">
        <v>47785</v>
      </c>
      <c r="B1359" s="6" t="inlineStr">
        <is>
          <t xml:space="preserve">COURVOISIER V S COGNAC                                </t>
        </is>
      </c>
      <c r="C1359" s="7">
        <f>VLOOKUP(A1359,SizeData!A$2:B$3839,2,FALSE)</f>
        <v/>
      </c>
      <c r="D1359" s="6" t="n">
        <v>20</v>
      </c>
      <c r="E1359" s="6" t="inlineStr">
        <is>
          <t>R1719137</t>
        </is>
      </c>
      <c r="F1359" s="2" t="n">
        <v>44781</v>
      </c>
      <c r="G1359" s="1" t="n"/>
    </row>
    <row r="1360">
      <c r="A1360" s="6" t="n">
        <v>47775</v>
      </c>
      <c r="B1360" s="6" t="inlineStr">
        <is>
          <t>COURVOISIER VSOP COGNAC</t>
        </is>
      </c>
      <c r="C1360" s="7">
        <f>VLOOKUP(A1360,SizeData!A$2:B$3839,2,FALSE)</f>
        <v/>
      </c>
      <c r="D1360" s="6" t="n">
        <v>2</v>
      </c>
      <c r="E1360" s="6" t="inlineStr">
        <is>
          <t>R1830533</t>
        </is>
      </c>
      <c r="F1360" s="2" t="n">
        <v>44852</v>
      </c>
      <c r="G1360" s="1" t="n"/>
    </row>
    <row r="1361">
      <c r="A1361" s="6" t="n">
        <v>47775</v>
      </c>
      <c r="B1361" s="6" t="inlineStr">
        <is>
          <t>COURVOISIER VSOP COGNAC</t>
        </is>
      </c>
      <c r="C1361" s="7">
        <f>VLOOKUP(A1361,SizeData!A$2:B$3839,2,FALSE)</f>
        <v/>
      </c>
      <c r="D1361" s="6" t="n">
        <v>5</v>
      </c>
      <c r="E1361" s="6" t="inlineStr">
        <is>
          <t>R1834591</t>
        </is>
      </c>
      <c r="F1361" s="2" t="n">
        <v>44863</v>
      </c>
      <c r="G1361" s="1" t="n"/>
    </row>
    <row r="1362">
      <c r="A1362" s="6" t="n">
        <v>47786</v>
      </c>
      <c r="B1362" s="6" t="inlineStr">
        <is>
          <t>COURVOISIER V S COGNAC</t>
        </is>
      </c>
      <c r="C1362" s="7">
        <f>VLOOKUP(A1362,SizeData!A$2:B$3839,2,FALSE)</f>
        <v/>
      </c>
      <c r="D1362" s="6" t="n">
        <v>4</v>
      </c>
      <c r="E1362" s="6" t="inlineStr">
        <is>
          <t>R1375917</t>
        </is>
      </c>
      <c r="F1362" s="2" t="n">
        <v>44543</v>
      </c>
      <c r="G1362" s="1" t="n"/>
    </row>
    <row r="1363">
      <c r="A1363" s="6" t="n">
        <v>47786</v>
      </c>
      <c r="B1363" s="6" t="inlineStr">
        <is>
          <t>COURVOISIER V S COGNAC</t>
        </is>
      </c>
      <c r="C1363" s="7">
        <f>VLOOKUP(A1363,SizeData!A$2:B$3839,2,FALSE)</f>
        <v/>
      </c>
      <c r="D1363" s="6" t="n">
        <v>20</v>
      </c>
      <c r="E1363" s="6" t="inlineStr">
        <is>
          <t>R1499436</t>
        </is>
      </c>
      <c r="F1363" s="2" t="n">
        <v>44628</v>
      </c>
      <c r="G1363" s="1" t="n"/>
    </row>
    <row r="1364">
      <c r="A1364" s="6" t="n">
        <v>47786</v>
      </c>
      <c r="B1364" s="6" t="inlineStr">
        <is>
          <t>COURVOISIER V S COGNAC</t>
        </is>
      </c>
      <c r="C1364" s="7">
        <f>VLOOKUP(A1364,SizeData!A$2:B$3839,2,FALSE)</f>
        <v/>
      </c>
      <c r="D1364" s="6" t="n">
        <v>5</v>
      </c>
      <c r="E1364" s="6" t="inlineStr">
        <is>
          <t>R1668331</t>
        </is>
      </c>
      <c r="F1364" s="2" t="n">
        <v>44742</v>
      </c>
      <c r="G1364" s="1" t="n"/>
    </row>
    <row r="1365">
      <c r="A1365" s="6" t="n">
        <v>47786</v>
      </c>
      <c r="B1365" s="6" t="inlineStr">
        <is>
          <t>COURVOISIER V S COGNAC</t>
        </is>
      </c>
      <c r="C1365" s="7">
        <f>VLOOKUP(A1365,SizeData!A$2:B$3839,2,FALSE)</f>
        <v/>
      </c>
      <c r="D1365" s="6" t="n">
        <v>2</v>
      </c>
      <c r="E1365" s="6" t="inlineStr">
        <is>
          <t>R1770694</t>
        </is>
      </c>
      <c r="F1365" s="2" t="n">
        <v>44816</v>
      </c>
      <c r="G1365" s="1" t="n"/>
    </row>
    <row r="1366">
      <c r="A1366" s="6" t="n">
        <v>47786</v>
      </c>
      <c r="B1366" s="6" t="inlineStr">
        <is>
          <t>COURVOISIER V S COGNAC</t>
        </is>
      </c>
      <c r="C1366" s="7">
        <f>VLOOKUP(A1366,SizeData!A$2:B$3839,2,FALSE)</f>
        <v/>
      </c>
      <c r="D1366" s="6" t="n">
        <v>2</v>
      </c>
      <c r="E1366" s="6" t="inlineStr">
        <is>
          <t>R1784903</t>
        </is>
      </c>
      <c r="F1366" s="2" t="n">
        <v>44828</v>
      </c>
      <c r="G1366" s="1" t="n"/>
    </row>
    <row r="1367">
      <c r="A1367" s="6" t="n">
        <v>47776</v>
      </c>
      <c r="B1367" s="6" t="inlineStr">
        <is>
          <t>COURVOISIER VSOP COGNAC</t>
        </is>
      </c>
      <c r="C1367" s="7">
        <f>VLOOKUP(A1367,SizeData!A$2:B$3839,2,FALSE)</f>
        <v/>
      </c>
      <c r="D1367" s="6" t="n">
        <v>1</v>
      </c>
      <c r="E1367" s="6" t="inlineStr">
        <is>
          <t>R1434873</t>
        </is>
      </c>
      <c r="F1367" s="2" t="n">
        <v>44595</v>
      </c>
      <c r="G1367" s="1" t="n"/>
    </row>
    <row r="1368">
      <c r="A1368" s="6" t="n">
        <v>47776</v>
      </c>
      <c r="B1368" s="6" t="inlineStr">
        <is>
          <t>COURVOISIER VSOP COGNAC</t>
        </is>
      </c>
      <c r="C1368" s="7">
        <f>VLOOKUP(A1368,SizeData!A$2:B$3839,2,FALSE)</f>
        <v/>
      </c>
      <c r="D1368" s="6" t="n">
        <v>3</v>
      </c>
      <c r="E1368" s="6" t="inlineStr">
        <is>
          <t>R1588903</t>
        </is>
      </c>
      <c r="F1368" s="2" t="n">
        <v>44679</v>
      </c>
      <c r="G1368" s="1" t="n"/>
    </row>
    <row r="1369">
      <c r="A1369" s="6" t="n">
        <v>47776</v>
      </c>
      <c r="B1369" s="6" t="inlineStr">
        <is>
          <t>COURVOISIER VSOP COGNAC</t>
        </is>
      </c>
      <c r="C1369" s="7">
        <f>VLOOKUP(A1369,SizeData!A$2:B$3839,2,FALSE)</f>
        <v/>
      </c>
      <c r="D1369" s="6" t="n">
        <v>1</v>
      </c>
      <c r="E1369" s="6" t="inlineStr">
        <is>
          <t>R1894827</t>
        </is>
      </c>
      <c r="F1369" s="2" t="n">
        <v>44902</v>
      </c>
      <c r="G1369" s="1" t="n"/>
    </row>
    <row r="1370">
      <c r="A1370" s="6" t="n">
        <v>11290</v>
      </c>
      <c r="B1370" s="6" t="inlineStr">
        <is>
          <t>CROWN ROYAL</t>
        </is>
      </c>
      <c r="C1370" s="7">
        <f>VLOOKUP(A1370,SizeData!A$2:B$3839,2,FALSE)</f>
        <v/>
      </c>
      <c r="D1370" s="6" t="n">
        <v>3</v>
      </c>
      <c r="E1370" s="6" t="inlineStr">
        <is>
          <t>R1426022</t>
        </is>
      </c>
      <c r="F1370" s="2" t="n">
        <v>44574</v>
      </c>
      <c r="G1370" s="1" t="n"/>
    </row>
    <row r="1371">
      <c r="A1371" s="6" t="n">
        <v>11290</v>
      </c>
      <c r="B1371" s="6" t="inlineStr">
        <is>
          <t>CROWN ROYAL</t>
        </is>
      </c>
      <c r="C1371" s="7">
        <f>VLOOKUP(A1371,SizeData!A$2:B$3839,2,FALSE)</f>
        <v/>
      </c>
      <c r="D1371" s="6" t="n">
        <v>2</v>
      </c>
      <c r="E1371" s="6" t="inlineStr">
        <is>
          <t>R1568562</t>
        </is>
      </c>
      <c r="F1371" s="2" t="n">
        <v>44670</v>
      </c>
      <c r="G1371" s="1" t="n"/>
    </row>
    <row r="1372">
      <c r="A1372" s="6" t="n">
        <v>11290</v>
      </c>
      <c r="B1372" s="6" t="inlineStr">
        <is>
          <t>CROWN ROYAL</t>
        </is>
      </c>
      <c r="C1372" s="7">
        <f>VLOOKUP(A1372,SizeData!A$2:B$3839,2,FALSE)</f>
        <v/>
      </c>
      <c r="D1372" s="6" t="n">
        <v>2</v>
      </c>
      <c r="E1372" s="6" t="inlineStr">
        <is>
          <t>R1852440</t>
        </is>
      </c>
      <c r="F1372" s="2" t="n">
        <v>44867</v>
      </c>
      <c r="G1372" s="1" t="n"/>
    </row>
    <row r="1373">
      <c r="A1373" s="6" t="n">
        <v>11294</v>
      </c>
      <c r="B1373" s="6" t="inlineStr">
        <is>
          <t>CROWN ROYAL</t>
        </is>
      </c>
      <c r="C1373" s="7">
        <f>VLOOKUP(A1373,SizeData!A$2:B$3839,2,FALSE)</f>
        <v/>
      </c>
      <c r="D1373" s="6" t="n">
        <v>5</v>
      </c>
      <c r="E1373" s="6" t="inlineStr">
        <is>
          <t>R1839907</t>
        </is>
      </c>
      <c r="F1373" s="2" t="n">
        <v>44861</v>
      </c>
      <c r="G1373" s="1" t="n"/>
    </row>
    <row r="1374">
      <c r="A1374" s="6" t="n">
        <v>11294</v>
      </c>
      <c r="B1374" s="6" t="inlineStr">
        <is>
          <t>CROWN ROYAL</t>
        </is>
      </c>
      <c r="C1374" s="7">
        <f>VLOOKUP(A1374,SizeData!A$2:B$3839,2,FALSE)</f>
        <v/>
      </c>
      <c r="D1374" s="6" t="n">
        <v>5</v>
      </c>
      <c r="E1374" s="6" t="inlineStr">
        <is>
          <t>R1893163</t>
        </is>
      </c>
      <c r="F1374" s="2" t="n">
        <v>44873</v>
      </c>
      <c r="G1374" s="1" t="n"/>
    </row>
    <row r="1375">
      <c r="A1375" s="6" t="n">
        <v>11296</v>
      </c>
      <c r="B1375" s="6" t="inlineStr">
        <is>
          <t>CROWN ROYAL</t>
        </is>
      </c>
      <c r="C1375" s="7">
        <f>VLOOKUP(A1375,SizeData!A$2:B$3839,2,FALSE)</f>
        <v/>
      </c>
      <c r="D1375" s="6" t="n">
        <v>5</v>
      </c>
      <c r="E1375" s="6" t="inlineStr">
        <is>
          <t>R1432581</t>
        </is>
      </c>
      <c r="F1375" s="2" t="n">
        <v>44591</v>
      </c>
      <c r="G1375" s="1" t="n"/>
    </row>
    <row r="1376">
      <c r="A1376" s="6" t="n">
        <v>11296</v>
      </c>
      <c r="B1376" s="6" t="inlineStr">
        <is>
          <t>CROWN ROYAL</t>
        </is>
      </c>
      <c r="C1376" s="7">
        <f>VLOOKUP(A1376,SizeData!A$2:B$3839,2,FALSE)</f>
        <v/>
      </c>
      <c r="D1376" s="6" t="n">
        <v>5</v>
      </c>
      <c r="E1376" s="6" t="inlineStr">
        <is>
          <t>R1442339</t>
        </is>
      </c>
      <c r="F1376" s="2" t="n">
        <v>44592</v>
      </c>
      <c r="G1376" s="1" t="n"/>
    </row>
    <row r="1377">
      <c r="A1377" s="6" t="n">
        <v>11296</v>
      </c>
      <c r="B1377" s="6" t="inlineStr">
        <is>
          <t>CROWN ROYAL</t>
        </is>
      </c>
      <c r="C1377" s="7">
        <f>VLOOKUP(A1377,SizeData!A$2:B$3839,2,FALSE)</f>
        <v/>
      </c>
      <c r="D1377" s="6" t="n">
        <v>5</v>
      </c>
      <c r="E1377" s="6" t="inlineStr">
        <is>
          <t>R1530081</t>
        </is>
      </c>
      <c r="F1377" s="2" t="n">
        <v>44641</v>
      </c>
      <c r="G1377" s="1" t="n"/>
    </row>
    <row r="1378">
      <c r="A1378" s="6" t="n">
        <v>11296</v>
      </c>
      <c r="B1378" s="6" t="inlineStr">
        <is>
          <t>CROWN ROYAL</t>
        </is>
      </c>
      <c r="C1378" s="7">
        <f>VLOOKUP(A1378,SizeData!A$2:B$3839,2,FALSE)</f>
        <v/>
      </c>
      <c r="D1378" s="6" t="n">
        <v>10</v>
      </c>
      <c r="E1378" s="6" t="inlineStr">
        <is>
          <t>R1761242</t>
        </is>
      </c>
      <c r="F1378" s="2" t="n">
        <v>44806</v>
      </c>
      <c r="G1378" s="1" t="n"/>
    </row>
    <row r="1379">
      <c r="A1379" s="6" t="n">
        <v>11296</v>
      </c>
      <c r="B1379" s="6" t="inlineStr">
        <is>
          <t>CROWN ROYAL</t>
        </is>
      </c>
      <c r="C1379" s="7">
        <f>VLOOKUP(A1379,SizeData!A$2:B$3839,2,FALSE)</f>
        <v/>
      </c>
      <c r="D1379" s="6" t="n">
        <v>15</v>
      </c>
      <c r="E1379" s="6" t="inlineStr">
        <is>
          <t>R1781638</t>
        </is>
      </c>
      <c r="F1379" s="2" t="n">
        <v>44824</v>
      </c>
      <c r="G1379" s="1" t="n"/>
    </row>
    <row r="1380">
      <c r="A1380" s="6" t="n">
        <v>11296</v>
      </c>
      <c r="B1380" s="6" t="inlineStr">
        <is>
          <t>CROWN ROYAL</t>
        </is>
      </c>
      <c r="C1380" s="7">
        <f>VLOOKUP(A1380,SizeData!A$2:B$3839,2,FALSE)</f>
        <v/>
      </c>
      <c r="D1380" s="6" t="n">
        <v>20</v>
      </c>
      <c r="E1380" s="6" t="inlineStr">
        <is>
          <t>R1874592</t>
        </is>
      </c>
      <c r="F1380" s="2" t="n">
        <v>44896</v>
      </c>
      <c r="G1380" s="1" t="n"/>
    </row>
    <row r="1381">
      <c r="A1381" s="6" t="n">
        <v>11297</v>
      </c>
      <c r="B1381" s="6" t="inlineStr">
        <is>
          <t>CROWN ROYAL</t>
        </is>
      </c>
      <c r="C1381" s="7">
        <f>VLOOKUP(A1381,SizeData!A$2:B$3839,2,FALSE)</f>
        <v/>
      </c>
      <c r="D1381" s="6" t="n">
        <v>6</v>
      </c>
      <c r="E1381" s="6" t="inlineStr">
        <is>
          <t>R1421155</t>
        </is>
      </c>
      <c r="F1381" s="2" t="n">
        <v>44579</v>
      </c>
      <c r="G1381" s="1" t="n"/>
    </row>
    <row r="1382">
      <c r="A1382" s="6" t="n">
        <v>11297</v>
      </c>
      <c r="B1382" s="6" t="inlineStr">
        <is>
          <t>CROWN ROYAL</t>
        </is>
      </c>
      <c r="C1382" s="7">
        <f>VLOOKUP(A1382,SizeData!A$2:B$3839,2,FALSE)</f>
        <v/>
      </c>
      <c r="D1382" s="6" t="n">
        <v>5</v>
      </c>
      <c r="E1382" s="6" t="inlineStr">
        <is>
          <t>R1537525</t>
        </is>
      </c>
      <c r="F1382" s="2" t="n">
        <v>44648</v>
      </c>
      <c r="G1382" s="1" t="n"/>
    </row>
    <row r="1383">
      <c r="A1383" s="6" t="n">
        <v>11297</v>
      </c>
      <c r="B1383" s="6" t="inlineStr">
        <is>
          <t>CROWN ROYAL</t>
        </is>
      </c>
      <c r="C1383" s="7">
        <f>VLOOKUP(A1383,SizeData!A$2:B$3839,2,FALSE)</f>
        <v/>
      </c>
      <c r="D1383" s="6" t="n">
        <v>2</v>
      </c>
      <c r="E1383" s="6" t="inlineStr">
        <is>
          <t>R1630969</t>
        </is>
      </c>
      <c r="F1383" s="2" t="n">
        <v>44711</v>
      </c>
      <c r="G1383" s="1" t="n"/>
    </row>
    <row r="1384">
      <c r="A1384" s="6" t="n">
        <v>11297</v>
      </c>
      <c r="B1384" s="6" t="inlineStr">
        <is>
          <t>CROWN ROYAL</t>
        </is>
      </c>
      <c r="C1384" s="7">
        <f>VLOOKUP(A1384,SizeData!A$2:B$3839,2,FALSE)</f>
        <v/>
      </c>
      <c r="D1384" s="6" t="n">
        <v>2</v>
      </c>
      <c r="E1384" s="6" t="inlineStr">
        <is>
          <t>R1674336</t>
        </is>
      </c>
      <c r="F1384" s="2" t="n">
        <v>44747</v>
      </c>
      <c r="G1384" s="1" t="n"/>
    </row>
    <row r="1385">
      <c r="A1385" s="6" t="n">
        <v>11297</v>
      </c>
      <c r="B1385" s="6" t="inlineStr">
        <is>
          <t>CROWN ROYAL</t>
        </is>
      </c>
      <c r="C1385" s="7">
        <f>VLOOKUP(A1385,SizeData!A$2:B$3839,2,FALSE)</f>
        <v/>
      </c>
      <c r="D1385" s="6" t="n">
        <v>1</v>
      </c>
      <c r="E1385" s="6" t="inlineStr">
        <is>
          <t>R1697777</t>
        </is>
      </c>
      <c r="F1385" s="2" t="n">
        <v>44767</v>
      </c>
      <c r="G1385" s="1" t="n"/>
    </row>
    <row r="1386">
      <c r="A1386" s="6" t="n">
        <v>11297</v>
      </c>
      <c r="B1386" s="6" t="inlineStr">
        <is>
          <t>CROWN ROYAL</t>
        </is>
      </c>
      <c r="C1386" s="7">
        <f>VLOOKUP(A1386,SizeData!A$2:B$3839,2,FALSE)</f>
        <v/>
      </c>
      <c r="D1386" s="6" t="n">
        <v>1</v>
      </c>
      <c r="E1386" s="6" t="inlineStr">
        <is>
          <t>R1727399</t>
        </is>
      </c>
      <c r="F1386" s="2" t="n">
        <v>44786</v>
      </c>
      <c r="G1386" s="1" t="n"/>
    </row>
    <row r="1387">
      <c r="A1387" s="6" t="n">
        <v>11297</v>
      </c>
      <c r="B1387" s="6" t="inlineStr">
        <is>
          <t>CROWN ROYAL</t>
        </is>
      </c>
      <c r="C1387" s="7">
        <f>VLOOKUP(A1387,SizeData!A$2:B$3839,2,FALSE)</f>
        <v/>
      </c>
      <c r="D1387" s="6" t="n">
        <v>1</v>
      </c>
      <c r="E1387" s="6" t="inlineStr">
        <is>
          <t>R1763315</t>
        </is>
      </c>
      <c r="F1387" s="2" t="n">
        <v>44814</v>
      </c>
      <c r="G1387" s="1" t="n"/>
    </row>
    <row r="1388">
      <c r="A1388" s="6" t="n">
        <v>11297</v>
      </c>
      <c r="B1388" s="6" t="inlineStr">
        <is>
          <t>CROWN ROYAL</t>
        </is>
      </c>
      <c r="C1388" s="7">
        <f>VLOOKUP(A1388,SizeData!A$2:B$3839,2,FALSE)</f>
        <v/>
      </c>
      <c r="D1388" s="6" t="n">
        <v>2</v>
      </c>
      <c r="E1388" s="6" t="inlineStr">
        <is>
          <t>R1781035</t>
        </is>
      </c>
      <c r="F1388" s="2" t="n">
        <v>44819</v>
      </c>
      <c r="G1388" s="1" t="n"/>
    </row>
    <row r="1389">
      <c r="A1389" s="26" t="n">
        <v>11297</v>
      </c>
      <c r="B1389" s="26" t="inlineStr">
        <is>
          <t>CROWN ROYAL</t>
        </is>
      </c>
      <c r="C1389" s="75">
        <f>VLOOKUP(A1389,SizeData!A$2:B$3839,2,FALSE)</f>
        <v/>
      </c>
      <c r="D1389" s="26" t="n">
        <v>2</v>
      </c>
      <c r="E1389" s="26" t="inlineStr">
        <is>
          <t>R1809877</t>
        </is>
      </c>
      <c r="F1389" s="61" t="n">
        <v>44851</v>
      </c>
      <c r="G1389" s="62" t="n"/>
    </row>
    <row r="1390">
      <c r="A1390" s="6" t="n">
        <v>11297</v>
      </c>
      <c r="B1390" s="6" t="inlineStr">
        <is>
          <t>CROWN ROYAL</t>
        </is>
      </c>
      <c r="C1390" s="7">
        <f>VLOOKUP(A1390,SizeData!A$2:B$3839,2,FALSE)</f>
        <v/>
      </c>
      <c r="D1390" s="6" t="n">
        <v>1</v>
      </c>
      <c r="E1390" s="6" t="inlineStr">
        <is>
          <t>R1840965</t>
        </is>
      </c>
      <c r="F1390" s="2" t="n">
        <v>44863</v>
      </c>
      <c r="G1390" s="1" t="n"/>
    </row>
    <row r="1391">
      <c r="A1391" s="6" t="n">
        <v>11298</v>
      </c>
      <c r="B1391" s="6" t="inlineStr">
        <is>
          <t>CROWN ROYAL</t>
        </is>
      </c>
      <c r="C1391" s="7">
        <f>VLOOKUP(A1391,SizeData!A$2:B$3839,2,FALSE)</f>
        <v/>
      </c>
      <c r="D1391" s="6" t="n">
        <v>10</v>
      </c>
      <c r="E1391" s="6" t="inlineStr">
        <is>
          <t>R1704437</t>
        </is>
      </c>
      <c r="F1391" s="2" t="n">
        <v>44775</v>
      </c>
      <c r="G1391" s="1" t="n"/>
    </row>
    <row r="1392">
      <c r="A1392" s="31" t="n">
        <v>11298</v>
      </c>
      <c r="B1392" s="31" t="inlineStr">
        <is>
          <t>CROWN ROYAL</t>
        </is>
      </c>
      <c r="C1392" s="32">
        <f>VLOOKUP(A1392,SizeData!A$2:B$3839,2,FALSE)</f>
        <v/>
      </c>
      <c r="D1392" s="31" t="n">
        <v>7</v>
      </c>
      <c r="E1392" s="31" t="inlineStr">
        <is>
          <t>R1851653</t>
        </is>
      </c>
      <c r="F1392" s="33" t="n">
        <v>44867</v>
      </c>
      <c r="G1392" s="34" t="n"/>
    </row>
    <row r="1393">
      <c r="A1393" s="6" t="n">
        <v>11298</v>
      </c>
      <c r="B1393" s="6" t="inlineStr">
        <is>
          <t>CROWN ROYAL</t>
        </is>
      </c>
      <c r="C1393" s="7">
        <f>VLOOKUP(A1393,SizeData!A$2:B$3839,2,FALSE)</f>
        <v/>
      </c>
      <c r="D1393" s="6" t="n">
        <v>8</v>
      </c>
      <c r="E1393" s="6" t="inlineStr">
        <is>
          <t>R1880024</t>
        </is>
      </c>
      <c r="F1393" s="2" t="n">
        <v>44873</v>
      </c>
      <c r="G1393" s="1" t="n"/>
    </row>
    <row r="1394">
      <c r="A1394" s="6" t="n">
        <v>11299</v>
      </c>
      <c r="B1394" s="6" t="inlineStr">
        <is>
          <t>CROWN ROYAL</t>
        </is>
      </c>
      <c r="C1394" s="7">
        <f>VLOOKUP(A1394,SizeData!A$2:B$3839,2,FALSE)</f>
        <v/>
      </c>
      <c r="D1394" s="6" t="n">
        <v>7</v>
      </c>
      <c r="E1394" s="6" t="inlineStr">
        <is>
          <t>R1412905</t>
        </is>
      </c>
      <c r="F1394" s="2" t="n">
        <v>44572</v>
      </c>
      <c r="G1394" s="1" t="n"/>
    </row>
    <row r="1395">
      <c r="A1395" s="6" t="n">
        <v>11299</v>
      </c>
      <c r="B1395" s="6" t="inlineStr">
        <is>
          <t>CROWN ROYAL</t>
        </is>
      </c>
      <c r="C1395" s="7">
        <f>VLOOKUP(A1395,SizeData!A$2:B$3839,2,FALSE)</f>
        <v/>
      </c>
      <c r="D1395" s="6" t="n">
        <v>10</v>
      </c>
      <c r="E1395" s="6" t="inlineStr">
        <is>
          <t>R1585487</t>
        </is>
      </c>
      <c r="F1395" s="2" t="n">
        <v>44670</v>
      </c>
      <c r="G1395" s="1" t="n"/>
    </row>
    <row r="1396">
      <c r="A1396" s="6" t="n">
        <v>11299</v>
      </c>
      <c r="B1396" s="6" t="inlineStr">
        <is>
          <t>CROWN ROYAL</t>
        </is>
      </c>
      <c r="C1396" s="7">
        <f>VLOOKUP(A1396,SizeData!A$2:B$3839,2,FALSE)</f>
        <v/>
      </c>
      <c r="D1396" s="6" t="n">
        <v>10</v>
      </c>
      <c r="E1396" s="6" t="inlineStr">
        <is>
          <t>R1682108</t>
        </is>
      </c>
      <c r="F1396" s="2" t="n">
        <v>44749</v>
      </c>
      <c r="G1396" s="1" t="n"/>
    </row>
    <row r="1397">
      <c r="A1397" s="6" t="n">
        <v>11299</v>
      </c>
      <c r="B1397" s="6" t="inlineStr">
        <is>
          <t>CROWN ROYAL</t>
        </is>
      </c>
      <c r="C1397" s="7">
        <f>VLOOKUP(A1397,SizeData!A$2:B$3839,2,FALSE)</f>
        <v/>
      </c>
      <c r="D1397" s="6" t="n">
        <v>9</v>
      </c>
      <c r="E1397" s="6" t="inlineStr">
        <is>
          <t>R1702424</t>
        </is>
      </c>
      <c r="F1397" s="2" t="n">
        <v>44767</v>
      </c>
      <c r="G1397" s="1" t="n"/>
    </row>
    <row r="1398">
      <c r="A1398" s="26" t="n">
        <v>11299</v>
      </c>
      <c r="B1398" s="26" t="inlineStr">
        <is>
          <t>CROWN ROYAL</t>
        </is>
      </c>
      <c r="C1398" s="7">
        <f>VLOOKUP(A1398,SizeData!A$2:B$3839,2,FALSE)</f>
        <v/>
      </c>
      <c r="D1398" s="26" t="n">
        <v>1</v>
      </c>
      <c r="E1398" s="26" t="inlineStr">
        <is>
          <t>R1702424</t>
        </is>
      </c>
      <c r="F1398" s="61" t="n">
        <v>44767</v>
      </c>
      <c r="G1398" s="62" t="n"/>
    </row>
    <row r="1399">
      <c r="A1399" s="6" t="n">
        <v>11299</v>
      </c>
      <c r="B1399" s="6" t="inlineStr">
        <is>
          <t>CROWN ROYAL</t>
        </is>
      </c>
      <c r="C1399" s="7">
        <f>VLOOKUP(A1399,SizeData!A$2:B$3839,2,FALSE)</f>
        <v/>
      </c>
      <c r="D1399" s="6" t="n">
        <v>10</v>
      </c>
      <c r="E1399" s="6" t="inlineStr">
        <is>
          <t>R1705841</t>
        </is>
      </c>
      <c r="F1399" s="2" t="n">
        <v>44769</v>
      </c>
      <c r="G1399" s="1" t="n"/>
    </row>
    <row r="1400">
      <c r="A1400" s="6" t="n">
        <v>10836</v>
      </c>
      <c r="B1400" s="6" t="inlineStr">
        <is>
          <t>CROWN ROYAL BLACK</t>
        </is>
      </c>
      <c r="C1400" s="7">
        <f>VLOOKUP(A1400,SizeData!A$2:B$3839,2,FALSE)</f>
        <v/>
      </c>
      <c r="D1400" s="6" t="n">
        <v>6</v>
      </c>
      <c r="E1400" s="6" t="inlineStr">
        <is>
          <t>R1491658</t>
        </is>
      </c>
      <c r="F1400" s="2" t="n">
        <v>44622</v>
      </c>
      <c r="G1400" s="1" t="n"/>
    </row>
    <row r="1401">
      <c r="A1401" s="6" t="n">
        <v>10836</v>
      </c>
      <c r="B1401" s="6" t="inlineStr">
        <is>
          <t>CROWN ROYAL BLACK</t>
        </is>
      </c>
      <c r="C1401" s="7">
        <f>VLOOKUP(A1401,SizeData!A$2:B$3839,2,FALSE)</f>
        <v/>
      </c>
      <c r="D1401" s="6" t="n">
        <v>3</v>
      </c>
      <c r="E1401" s="6" t="inlineStr">
        <is>
          <t>R1591995</t>
        </is>
      </c>
      <c r="F1401" s="2" t="n">
        <v>44683</v>
      </c>
      <c r="G1401" s="1" t="n"/>
    </row>
    <row r="1402">
      <c r="A1402" s="6" t="n">
        <v>10836</v>
      </c>
      <c r="B1402" s="6" t="inlineStr">
        <is>
          <t>CROWN ROYAL BLACK</t>
        </is>
      </c>
      <c r="C1402" s="7">
        <f>VLOOKUP(A1402,SizeData!A$2:B$3839,2,FALSE)</f>
        <v/>
      </c>
      <c r="D1402" s="6" t="n">
        <v>2</v>
      </c>
      <c r="E1402" s="6" t="inlineStr">
        <is>
          <t>R1674336</t>
        </is>
      </c>
      <c r="F1402" s="2" t="n">
        <v>44747</v>
      </c>
      <c r="G1402" s="1" t="n"/>
    </row>
    <row r="1403">
      <c r="A1403" s="26" t="n">
        <v>10836</v>
      </c>
      <c r="B1403" s="26" t="inlineStr">
        <is>
          <t>CROWN ROYAL BLACK</t>
        </is>
      </c>
      <c r="C1403" s="7">
        <f>VLOOKUP(A1403,SizeData!A$2:B$3839,2,FALSE)</f>
        <v/>
      </c>
      <c r="D1403" s="26" t="n">
        <v>3</v>
      </c>
      <c r="E1403" s="26" t="inlineStr">
        <is>
          <t>R1744308</t>
        </is>
      </c>
      <c r="F1403" s="61" t="n">
        <v>44797</v>
      </c>
      <c r="G1403" s="62" t="n"/>
    </row>
    <row r="1404">
      <c r="A1404" s="6" t="n">
        <v>10836</v>
      </c>
      <c r="B1404" s="6" t="inlineStr">
        <is>
          <t>CROWN ROYAL BLACK</t>
        </is>
      </c>
      <c r="C1404" s="7">
        <f>VLOOKUP(A1404,SizeData!A$2:B$3839,2,FALSE)</f>
        <v/>
      </c>
      <c r="D1404" s="6" t="n">
        <v>2</v>
      </c>
      <c r="E1404" s="6" t="inlineStr">
        <is>
          <t>R1809606</t>
        </is>
      </c>
      <c r="F1404" s="2" t="n">
        <v>44845</v>
      </c>
      <c r="G1404" s="1" t="n"/>
    </row>
    <row r="1405">
      <c r="A1405" s="6" t="n">
        <v>10838</v>
      </c>
      <c r="B1405" s="6" t="inlineStr">
        <is>
          <t>CROWN ROYAL BLACK</t>
        </is>
      </c>
      <c r="C1405" s="7">
        <f>VLOOKUP(A1405,SizeData!A$2:B$3839,2,FALSE)</f>
        <v/>
      </c>
      <c r="D1405" s="6" t="n">
        <v>10</v>
      </c>
      <c r="E1405" s="6" t="inlineStr">
        <is>
          <t>R1491658</t>
        </is>
      </c>
      <c r="F1405" s="2" t="n">
        <v>44622</v>
      </c>
      <c r="G1405" s="1" t="n"/>
    </row>
    <row r="1406">
      <c r="A1406" s="6" t="n">
        <v>10838</v>
      </c>
      <c r="B1406" s="6" t="inlineStr">
        <is>
          <t>CROWN ROYAL BLACK</t>
        </is>
      </c>
      <c r="C1406" s="7">
        <f>VLOOKUP(A1406,SizeData!A$2:B$3839,2,FALSE)</f>
        <v/>
      </c>
      <c r="D1406" s="6" t="n">
        <v>5</v>
      </c>
      <c r="E1406" s="6" t="inlineStr">
        <is>
          <t>R1572762</t>
        </is>
      </c>
      <c r="F1406" s="2" t="n">
        <v>44677</v>
      </c>
      <c r="G1406" s="1" t="n"/>
    </row>
    <row r="1407">
      <c r="A1407" s="6" t="n">
        <v>10838</v>
      </c>
      <c r="B1407" s="6" t="inlineStr">
        <is>
          <t>CROWN ROYAL BLACK</t>
        </is>
      </c>
      <c r="C1407" s="7">
        <f>VLOOKUP(A1407,SizeData!A$2:B$3839,2,FALSE)</f>
        <v/>
      </c>
      <c r="D1407" s="6" t="n">
        <v>3</v>
      </c>
      <c r="E1407" s="6" t="inlineStr">
        <is>
          <t>R1809877</t>
        </is>
      </c>
      <c r="F1407" s="2" t="n">
        <v>44851</v>
      </c>
      <c r="G1407" s="1" t="n"/>
    </row>
    <row r="1408">
      <c r="A1408" s="6" t="n">
        <v>100700</v>
      </c>
      <c r="B1408" s="6" t="inlineStr">
        <is>
          <t>CROWN ROYAL DELUXE W/50M APPLE &amp; VANILLA VAP</t>
        </is>
      </c>
      <c r="C1408" s="7">
        <f>VLOOKUP(A1408,SizeData!A$2:B$3839,2,FALSE)</f>
        <v/>
      </c>
      <c r="D1408" s="6" t="n">
        <v>10</v>
      </c>
      <c r="E1408" s="6" t="inlineStr">
        <is>
          <t>R1635756</t>
        </is>
      </c>
      <c r="F1408" s="2" t="n">
        <v>44714</v>
      </c>
      <c r="G1408" s="1" t="n"/>
    </row>
    <row r="1409">
      <c r="A1409" s="6" t="n">
        <v>1400</v>
      </c>
      <c r="B1409" s="6" t="inlineStr">
        <is>
          <t>CROWN ROYAL DELUXE WITH 2 GLASSES</t>
        </is>
      </c>
      <c r="C1409" s="7">
        <f>VLOOKUP(A1409,SizeData!A$2:B$3839,2,FALSE)</f>
        <v/>
      </c>
      <c r="D1409" s="6" t="n">
        <v>20</v>
      </c>
      <c r="E1409" s="6" t="inlineStr">
        <is>
          <t>R1889504</t>
        </is>
      </c>
      <c r="F1409" s="2" t="n">
        <v>44898</v>
      </c>
      <c r="G1409" s="1" t="n"/>
    </row>
    <row r="1410">
      <c r="A1410" s="6" t="n">
        <v>1400</v>
      </c>
      <c r="B1410" s="6" t="inlineStr">
        <is>
          <t>CROWN ROYAL DELUXE WITH 2 GLASSES</t>
        </is>
      </c>
      <c r="C1410" s="7">
        <f>VLOOKUP(A1410,SizeData!A$2:B$3839,2,FALSE)</f>
        <v/>
      </c>
      <c r="D1410" s="6" t="n">
        <v>5</v>
      </c>
      <c r="E1410" s="6" t="inlineStr">
        <is>
          <t>R1900430</t>
        </is>
      </c>
      <c r="F1410" s="2" t="n">
        <v>44896</v>
      </c>
      <c r="G1410" s="1" t="n"/>
    </row>
    <row r="1411">
      <c r="A1411" s="6" t="n">
        <v>10802</v>
      </c>
      <c r="B1411" s="6" t="inlineStr">
        <is>
          <t>CROWN ROYAL PEACH FLAVORED WHISKEY</t>
        </is>
      </c>
      <c r="C1411" s="7">
        <f>VLOOKUP(A1411,SizeData!A$2:B$3839,2,FALSE)</f>
        <v/>
      </c>
      <c r="D1411" s="6" t="n">
        <v>10</v>
      </c>
      <c r="E1411" s="6" t="inlineStr">
        <is>
          <t>R1446806</t>
        </is>
      </c>
      <c r="F1411" s="2" t="n">
        <v>44592</v>
      </c>
      <c r="G1411" s="1" t="n"/>
    </row>
    <row r="1412">
      <c r="A1412" s="6" t="n">
        <v>10802</v>
      </c>
      <c r="B1412" s="6" t="inlineStr">
        <is>
          <t>CROWN ROYAL PEACH FLAVORED WHISKEY</t>
        </is>
      </c>
      <c r="C1412" s="7">
        <f>VLOOKUP(A1412,SizeData!A$2:B$3839,2,FALSE)</f>
        <v/>
      </c>
      <c r="D1412" s="6" t="n">
        <v>5</v>
      </c>
      <c r="E1412" s="6" t="inlineStr">
        <is>
          <t>R1858355</t>
        </is>
      </c>
      <c r="F1412" s="2" t="n">
        <v>44880</v>
      </c>
      <c r="G1412" s="1" t="n"/>
    </row>
    <row r="1413">
      <c r="A1413" s="6" t="n">
        <v>10807</v>
      </c>
      <c r="B1413" s="6" t="inlineStr">
        <is>
          <t>CROWN ROYAL REGAL APPLE</t>
        </is>
      </c>
      <c r="C1413" s="7">
        <f>VLOOKUP(A1413,SizeData!A$2:B$3839,2,FALSE)</f>
        <v/>
      </c>
      <c r="D1413" s="6" t="n">
        <v>6</v>
      </c>
      <c r="E1413" s="6" t="inlineStr">
        <is>
          <t xml:space="preserve"> R1368459</t>
        </is>
      </c>
      <c r="F1413" s="2" t="n">
        <v>44546</v>
      </c>
      <c r="G1413" s="1" t="n"/>
    </row>
    <row r="1414">
      <c r="A1414" s="6" t="n">
        <v>10803</v>
      </c>
      <c r="B1414" s="6" t="inlineStr">
        <is>
          <t>CROWN ROYAL REGAL APPLE FLAVORED WHISKEY</t>
        </is>
      </c>
      <c r="C1414" s="7">
        <f>VLOOKUP(A1414,SizeData!A$2:B$3839,2,FALSE)</f>
        <v/>
      </c>
      <c r="D1414" s="6" t="n">
        <v>3</v>
      </c>
      <c r="E1414" s="6" t="inlineStr">
        <is>
          <t>R1696584</t>
        </is>
      </c>
      <c r="F1414" s="2" t="n">
        <v>44768</v>
      </c>
      <c r="G1414" s="1" t="n"/>
    </row>
    <row r="1415">
      <c r="A1415" s="6" t="n">
        <v>10804</v>
      </c>
      <c r="B1415" s="6" t="inlineStr">
        <is>
          <t>CROWN ROYAL REGAL APPLE FLAVORED WHISKEY</t>
        </is>
      </c>
      <c r="C1415" s="7">
        <f>VLOOKUP(A1415,SizeData!A$2:B$3839,2,FALSE)</f>
        <v/>
      </c>
      <c r="D1415" s="6" t="n">
        <v>3</v>
      </c>
      <c r="E1415" s="6" t="inlineStr">
        <is>
          <t>R1412905</t>
        </is>
      </c>
      <c r="F1415" s="2" t="n">
        <v>44572</v>
      </c>
      <c r="G1415" s="1" t="n"/>
    </row>
    <row r="1416">
      <c r="A1416" s="6" t="n">
        <v>10804</v>
      </c>
      <c r="B1416" s="6" t="inlineStr">
        <is>
          <t>CROWN ROYAL REGAL APPLE FLAVORED WHISKEY</t>
        </is>
      </c>
      <c r="C1416" s="7">
        <f>VLOOKUP(A1416,SizeData!A$2:B$3839,2,FALSE)</f>
        <v/>
      </c>
      <c r="D1416" s="6" t="n">
        <v>8</v>
      </c>
      <c r="E1416" s="6" t="inlineStr">
        <is>
          <t>R1696584</t>
        </is>
      </c>
      <c r="F1416" s="2" t="n">
        <v>44768</v>
      </c>
      <c r="G1416" s="1" t="n"/>
    </row>
    <row r="1417">
      <c r="A1417" s="6" t="n">
        <v>10805</v>
      </c>
      <c r="B1417" s="6" t="inlineStr">
        <is>
          <t>CROWN ROYAL REGAL APPLE FLAVORED WHISKEY</t>
        </is>
      </c>
      <c r="C1417" s="7">
        <f>VLOOKUP(A1417,SizeData!A$2:B$3839,2,FALSE)</f>
        <v/>
      </c>
      <c r="D1417" s="6" t="n">
        <v>5</v>
      </c>
      <c r="E1417" s="6" t="inlineStr">
        <is>
          <t>R1421155</t>
        </is>
      </c>
      <c r="F1417" s="2" t="n">
        <v>44579</v>
      </c>
      <c r="G1417" s="1" t="n"/>
    </row>
    <row r="1418">
      <c r="A1418" s="6" t="n">
        <v>10805</v>
      </c>
      <c r="B1418" s="6" t="inlineStr">
        <is>
          <t>CROWN ROYAL REGAL APPLE FLAVORED WHISKEY</t>
        </is>
      </c>
      <c r="C1418" s="7">
        <f>VLOOKUP(A1418,SizeData!A$2:B$3839,2,FALSE)</f>
        <v/>
      </c>
      <c r="D1418" s="6" t="n">
        <v>10</v>
      </c>
      <c r="E1418" s="6" t="inlineStr">
        <is>
          <t>R1531072</t>
        </is>
      </c>
      <c r="F1418" s="2" t="n">
        <v>44642</v>
      </c>
      <c r="G1418" s="1" t="n"/>
    </row>
    <row r="1419">
      <c r="A1419" s="6" t="n">
        <v>10805</v>
      </c>
      <c r="B1419" s="6" t="inlineStr">
        <is>
          <t>CROWN ROYAL REGAL APPLE FLAVORED WHISKEY</t>
        </is>
      </c>
      <c r="C1419" s="7">
        <f>VLOOKUP(A1419,SizeData!A$2:B$3839,2,FALSE)</f>
        <v/>
      </c>
      <c r="D1419" s="6" t="n">
        <v>9</v>
      </c>
      <c r="E1419" s="6" t="inlineStr">
        <is>
          <t>R1566241</t>
        </is>
      </c>
      <c r="F1419" s="2" t="n">
        <v>44663</v>
      </c>
      <c r="G1419" s="1" t="n"/>
    </row>
    <row r="1420">
      <c r="A1420" s="6" t="n">
        <v>10805</v>
      </c>
      <c r="B1420" s="6" t="inlineStr">
        <is>
          <t>CROWN ROYAL REGAL APPLE FLAVORED WHISKEY</t>
        </is>
      </c>
      <c r="C1420" s="7">
        <f>VLOOKUP(A1420,SizeData!A$2:B$3839,2,FALSE)</f>
        <v/>
      </c>
      <c r="D1420" s="6" t="n">
        <v>9</v>
      </c>
      <c r="E1420" s="6" t="inlineStr">
        <is>
          <t>R1567619</t>
        </is>
      </c>
      <c r="F1420" s="2" t="n">
        <v>44663</v>
      </c>
      <c r="G1420" s="1" t="n"/>
    </row>
    <row r="1421">
      <c r="A1421" s="52" t="n">
        <v>10805</v>
      </c>
      <c r="B1421" s="52" t="inlineStr">
        <is>
          <t>CROWN ROYAL REGAL APPLE FLAVORED WHISKEY</t>
        </is>
      </c>
      <c r="C1421" s="7">
        <f>VLOOKUP(A1421,SizeData!A$2:B$3839,2,FALSE)</f>
        <v/>
      </c>
      <c r="D1421" s="52" t="n">
        <v>12</v>
      </c>
      <c r="E1421" s="52" t="inlineStr">
        <is>
          <t>R1572683</t>
        </is>
      </c>
      <c r="F1421" s="53" t="n">
        <v>44671</v>
      </c>
      <c r="G1421" s="54" t="inlineStr">
        <is>
          <t>Delay 30-apr</t>
        </is>
      </c>
    </row>
    <row r="1422">
      <c r="A1422" s="6" t="n">
        <v>10805</v>
      </c>
      <c r="B1422" s="6" t="inlineStr">
        <is>
          <t>CROWN ROYAL REGAL APPLE FLAVORED WHISKEY</t>
        </is>
      </c>
      <c r="C1422" s="7">
        <f>VLOOKUP(A1422,SizeData!A$2:B$3839,2,FALSE)</f>
        <v/>
      </c>
      <c r="D1422" s="6" t="n">
        <v>5</v>
      </c>
      <c r="E1422" s="6" t="inlineStr">
        <is>
          <t>R1572762</t>
        </is>
      </c>
      <c r="F1422" s="2" t="n">
        <v>44677</v>
      </c>
      <c r="G1422" s="1" t="n"/>
    </row>
    <row r="1423">
      <c r="A1423" s="6" t="n">
        <v>10805</v>
      </c>
      <c r="B1423" s="6" t="inlineStr">
        <is>
          <t>CROWN ROYAL REGAL APPLE FLAVORED WHISKEY</t>
        </is>
      </c>
      <c r="C1423" s="7">
        <f>VLOOKUP(A1423,SizeData!A$2:B$3839,2,FALSE)</f>
        <v/>
      </c>
      <c r="D1423" s="6" t="n">
        <v>3</v>
      </c>
      <c r="E1423" s="6" t="inlineStr">
        <is>
          <t>R1816996</t>
        </is>
      </c>
      <c r="F1423" s="2" t="n">
        <v>44859</v>
      </c>
      <c r="G1423" s="1" t="n"/>
    </row>
    <row r="1424">
      <c r="A1424" s="6" t="n">
        <v>10805</v>
      </c>
      <c r="B1424" s="6" t="inlineStr">
        <is>
          <t>CROWN ROYAL REGAL APPLE FLAVORED WHISKEY</t>
        </is>
      </c>
      <c r="C1424" s="7">
        <f>VLOOKUP(A1424,SizeData!A$2:B$3839,2,FALSE)</f>
        <v/>
      </c>
      <c r="D1424" s="6" t="n">
        <v>2</v>
      </c>
      <c r="E1424" s="6" t="inlineStr">
        <is>
          <t>R1841387</t>
        </is>
      </c>
      <c r="F1424" s="2" t="n">
        <v>44869</v>
      </c>
      <c r="G1424" s="1" t="n"/>
    </row>
    <row r="1425">
      <c r="A1425" s="6" t="n">
        <v>10805</v>
      </c>
      <c r="B1425" s="6" t="inlineStr">
        <is>
          <t>CROWN ROYAL REGAL APPLE FLAVORED WHISKEY</t>
        </is>
      </c>
      <c r="C1425" s="7">
        <f>VLOOKUP(A1425,SizeData!A$2:B$3839,2,FALSE)</f>
        <v/>
      </c>
      <c r="D1425" s="6" t="n">
        <v>2</v>
      </c>
      <c r="E1425" s="6" t="inlineStr">
        <is>
          <t>R1906602</t>
        </is>
      </c>
      <c r="F1425" s="2" t="n">
        <v>44902</v>
      </c>
      <c r="G1425" s="1" t="n"/>
    </row>
    <row r="1426">
      <c r="A1426" s="6" t="n">
        <v>10807</v>
      </c>
      <c r="B1426" s="6" t="inlineStr">
        <is>
          <t>CROWN ROYAL REGAL APPLE FLAVORED WHISKEY</t>
        </is>
      </c>
      <c r="C1426" s="7">
        <f>VLOOKUP(A1426,SizeData!A$2:B$3839,2,FALSE)</f>
        <v/>
      </c>
      <c r="D1426" s="6" t="n">
        <v>3</v>
      </c>
      <c r="E1426" s="6" t="inlineStr">
        <is>
          <t>R1442339</t>
        </is>
      </c>
      <c r="F1426" s="2" t="n">
        <v>44592</v>
      </c>
      <c r="G1426" s="1" t="n"/>
    </row>
    <row r="1427">
      <c r="A1427" s="31" t="n">
        <v>10807</v>
      </c>
      <c r="B1427" s="31" t="inlineStr">
        <is>
          <t>CROWN ROYAL REGAL APPLE FLAVORED WHISKEY</t>
        </is>
      </c>
      <c r="C1427" s="7">
        <f>VLOOKUP(A1427,SizeData!A$2:B$3839,2,FALSE)</f>
        <v/>
      </c>
      <c r="D1427" s="31" t="n">
        <v>5</v>
      </c>
      <c r="E1427" s="31" t="inlineStr">
        <is>
          <t>R1473686</t>
        </is>
      </c>
      <c r="F1427" s="33" t="n">
        <v>44620</v>
      </c>
      <c r="G1427" s="34" t="n"/>
    </row>
    <row r="1428">
      <c r="A1428" s="6" t="n">
        <v>10807</v>
      </c>
      <c r="B1428" s="6" t="inlineStr">
        <is>
          <t>CROWN ROYAL REGAL APPLE FLAVORED WHISKEY</t>
        </is>
      </c>
      <c r="C1428" s="7">
        <f>VLOOKUP(A1428,SizeData!A$2:B$3839,2,FALSE)</f>
        <v/>
      </c>
      <c r="D1428" s="6" t="n">
        <v>2</v>
      </c>
      <c r="E1428" s="6" t="inlineStr">
        <is>
          <t>R1614837</t>
        </is>
      </c>
      <c r="F1428" s="2" t="n">
        <v>44702</v>
      </c>
      <c r="G1428" s="1" t="n"/>
    </row>
    <row r="1429">
      <c r="A1429" s="6" t="n">
        <v>10807</v>
      </c>
      <c r="B1429" s="6" t="inlineStr">
        <is>
          <t>CROWN ROYAL REGAL APPLE FLAVORED WHISKEY</t>
        </is>
      </c>
      <c r="C1429" s="7">
        <f>VLOOKUP(A1429,SizeData!A$2:B$3839,2,FALSE)</f>
        <v/>
      </c>
      <c r="D1429" s="6" t="n">
        <v>1</v>
      </c>
      <c r="E1429" s="6" t="inlineStr">
        <is>
          <t>R1677409</t>
        </is>
      </c>
      <c r="F1429" s="2" t="n">
        <v>44746</v>
      </c>
      <c r="G1429" s="1" t="n"/>
    </row>
    <row r="1430">
      <c r="A1430" s="6" t="n">
        <v>10807</v>
      </c>
      <c r="B1430" s="6" t="inlineStr">
        <is>
          <t>CROWN ROYAL REGAL APPLE FLAVORED WHISKEY</t>
        </is>
      </c>
      <c r="C1430" s="7">
        <f>VLOOKUP(A1430,SizeData!A$2:B$3839,2,FALSE)</f>
        <v/>
      </c>
      <c r="D1430" s="6" t="n">
        <v>2</v>
      </c>
      <c r="E1430" s="6" t="inlineStr">
        <is>
          <t>R1683818</t>
        </is>
      </c>
      <c r="F1430" s="2" t="n">
        <v>44754</v>
      </c>
      <c r="G1430" s="1" t="n"/>
    </row>
    <row r="1431">
      <c r="A1431" s="6" t="n">
        <v>10807</v>
      </c>
      <c r="B1431" s="6" t="inlineStr">
        <is>
          <t>CROWN ROYAL REGAL APPLE FLAVORED WHISKEY</t>
        </is>
      </c>
      <c r="C1431" s="7">
        <f>VLOOKUP(A1431,SizeData!A$2:B$3839,2,FALSE)</f>
        <v/>
      </c>
      <c r="D1431" s="6" t="n">
        <v>2</v>
      </c>
      <c r="E1431" s="6" t="inlineStr">
        <is>
          <t>R1751391</t>
        </is>
      </c>
      <c r="F1431" s="2" t="n">
        <v>44805</v>
      </c>
      <c r="G1431" s="1" t="n"/>
    </row>
    <row r="1432">
      <c r="A1432" s="6" t="n">
        <v>10807</v>
      </c>
      <c r="B1432" s="6" t="inlineStr">
        <is>
          <t>CROWN ROYAL REGAL APPLE FLAVORED WHISKEY</t>
        </is>
      </c>
      <c r="C1432" s="7">
        <f>VLOOKUP(A1432,SizeData!A$2:B$3839,2,FALSE)</f>
        <v/>
      </c>
      <c r="D1432" s="6" t="n">
        <v>10</v>
      </c>
      <c r="E1432" s="6" t="inlineStr">
        <is>
          <t>R1761242</t>
        </is>
      </c>
      <c r="F1432" s="2" t="n">
        <v>44806</v>
      </c>
      <c r="G1432" s="1" t="n"/>
    </row>
    <row r="1433">
      <c r="A1433" s="26" t="n">
        <v>10807</v>
      </c>
      <c r="B1433" s="26" t="inlineStr">
        <is>
          <t>CROWN ROYAL REGAL APPLE FLAVORED WHISKEY</t>
        </is>
      </c>
      <c r="C1433" s="7">
        <f>VLOOKUP(A1433,SizeData!A$2:B$3839,2,FALSE)</f>
        <v/>
      </c>
      <c r="D1433" s="26" t="n">
        <v>5</v>
      </c>
      <c r="E1433" s="26" t="inlineStr">
        <is>
          <t>R1781638</t>
        </is>
      </c>
      <c r="F1433" s="61" t="n">
        <v>44824</v>
      </c>
      <c r="G1433" s="1" t="n"/>
    </row>
    <row r="1434">
      <c r="A1434" s="6" t="n">
        <v>10807</v>
      </c>
      <c r="B1434" s="6" t="inlineStr">
        <is>
          <t>CROWN ROYAL REGAL APPLE FLAVORED WHISKEY</t>
        </is>
      </c>
      <c r="C1434" s="7">
        <f>VLOOKUP(A1434,SizeData!A$2:B$3839,2,FALSE)</f>
        <v/>
      </c>
      <c r="D1434" s="6" t="n">
        <v>4</v>
      </c>
      <c r="E1434" s="6" t="inlineStr">
        <is>
          <t>R1897750</t>
        </is>
      </c>
      <c r="F1434" s="2" t="n">
        <v>44902</v>
      </c>
      <c r="G1434" s="1" t="n"/>
    </row>
    <row r="1435">
      <c r="A1435" s="6" t="n">
        <v>10808</v>
      </c>
      <c r="B1435" s="6" t="inlineStr">
        <is>
          <t>CROWN ROYAL REGAL APPLE FLAVORED WHISKEY</t>
        </is>
      </c>
      <c r="C1435" s="7">
        <f>VLOOKUP(A1435,SizeData!A$2:B$3839,2,FALSE)</f>
        <v/>
      </c>
      <c r="D1435" s="6" t="n">
        <v>5</v>
      </c>
      <c r="E1435" s="6" t="inlineStr">
        <is>
          <t>R1421663</t>
        </is>
      </c>
      <c r="F1435" s="2" t="n">
        <v>44580</v>
      </c>
      <c r="G1435" s="1" t="n"/>
    </row>
    <row r="1436">
      <c r="A1436" s="6" t="n">
        <v>10808</v>
      </c>
      <c r="B1436" s="6" t="inlineStr">
        <is>
          <t>CROWN ROYAL REGAL APPLE FLAVORED WHISKEY</t>
        </is>
      </c>
      <c r="C1436" s="7">
        <f>VLOOKUP(A1436,SizeData!A$2:B$3839,2,FALSE)</f>
        <v/>
      </c>
      <c r="D1436" s="6" t="n">
        <v>2</v>
      </c>
      <c r="E1436" s="6" t="inlineStr">
        <is>
          <t>R1531250</t>
        </is>
      </c>
      <c r="F1436" s="2" t="n">
        <v>44639</v>
      </c>
      <c r="G1436" s="1" t="n"/>
    </row>
    <row r="1437">
      <c r="A1437" s="6" t="n">
        <v>10808</v>
      </c>
      <c r="B1437" s="6" t="inlineStr">
        <is>
          <t>CROWN ROYAL REGAL APPLE FLAVORED WHISKEY</t>
        </is>
      </c>
      <c r="C1437" s="7">
        <f>VLOOKUP(A1437,SizeData!A$2:B$3839,2,FALSE)</f>
        <v/>
      </c>
      <c r="D1437" s="6" t="n">
        <v>1</v>
      </c>
      <c r="E1437" s="6" t="inlineStr">
        <is>
          <t>R1751568</t>
        </is>
      </c>
      <c r="F1437" s="2" t="n">
        <v>44799</v>
      </c>
      <c r="G1437" s="1" t="n"/>
    </row>
    <row r="1438">
      <c r="A1438" s="6" t="n">
        <v>10808</v>
      </c>
      <c r="B1438" s="6" t="inlineStr">
        <is>
          <t>CROWN ROYAL REGAL APPLE FLAVORED WHISKEY</t>
        </is>
      </c>
      <c r="C1438" s="7">
        <f>VLOOKUP(A1438,SizeData!A$2:B$3839,2,FALSE)</f>
        <v/>
      </c>
      <c r="D1438" s="6" t="n">
        <v>1</v>
      </c>
      <c r="E1438" s="6" t="inlineStr">
        <is>
          <t>R1809877</t>
        </is>
      </c>
      <c r="F1438" s="2" t="n">
        <v>44851</v>
      </c>
      <c r="G1438" s="1" t="n"/>
    </row>
    <row r="1439">
      <c r="A1439" s="6" t="n">
        <v>10808</v>
      </c>
      <c r="B1439" s="6" t="inlineStr">
        <is>
          <t>CROWN ROYAL REGAL APPLE FLAVORED WHISKEY</t>
        </is>
      </c>
      <c r="C1439" s="7">
        <f>VLOOKUP(A1439,SizeData!A$2:B$3839,2,FALSE)</f>
        <v/>
      </c>
      <c r="D1439" s="6" t="n">
        <v>1</v>
      </c>
      <c r="E1439" s="6" t="inlineStr">
        <is>
          <t>R1876430</t>
        </is>
      </c>
      <c r="F1439" s="2" t="n">
        <v>44886</v>
      </c>
      <c r="G1439" s="1" t="n"/>
    </row>
    <row r="1440">
      <c r="A1440" s="26" t="n">
        <v>10808</v>
      </c>
      <c r="B1440" s="26" t="inlineStr">
        <is>
          <t>CROWN ROYAL REGAL APPLE FLAVORED WHISKEY</t>
        </is>
      </c>
      <c r="C1440" s="75">
        <f>VLOOKUP(A1440,SizeData!A$2:B$3839,2,FALSE)</f>
        <v/>
      </c>
      <c r="D1440" s="26" t="n">
        <v>1</v>
      </c>
      <c r="E1440" s="26" t="inlineStr">
        <is>
          <t>R1892470</t>
        </is>
      </c>
      <c r="F1440" s="61" t="n">
        <v>44902</v>
      </c>
      <c r="G1440" s="62" t="n"/>
    </row>
    <row r="1441">
      <c r="A1441" s="6" t="n">
        <v>10809</v>
      </c>
      <c r="B1441" s="6" t="inlineStr">
        <is>
          <t>CROWN ROYAL REGAL APPLE FLAVORED WHISKEY</t>
        </is>
      </c>
      <c r="C1441" s="7">
        <f>VLOOKUP(A1441,SizeData!A$2:B$3839,2,FALSE)</f>
        <v/>
      </c>
      <c r="D1441" s="6" t="n">
        <v>1</v>
      </c>
      <c r="E1441" s="6" t="inlineStr">
        <is>
          <t>R1486336</t>
        </is>
      </c>
      <c r="F1441" s="2" t="n">
        <v>44620</v>
      </c>
      <c r="G1441" s="1" t="n"/>
    </row>
    <row r="1442">
      <c r="A1442" s="6" t="n">
        <v>10809</v>
      </c>
      <c r="B1442" s="6" t="inlineStr">
        <is>
          <t>CROWN ROYAL REGAL APPLE FLAVORED WHISKEY</t>
        </is>
      </c>
      <c r="C1442" s="7">
        <f>VLOOKUP(A1442,SizeData!A$2:B$3839,2,FALSE)</f>
        <v/>
      </c>
      <c r="D1442" s="6" t="n">
        <v>3</v>
      </c>
      <c r="E1442" s="6" t="inlineStr">
        <is>
          <t>R1574781</t>
        </is>
      </c>
      <c r="F1442" s="2" t="n">
        <v>44681</v>
      </c>
      <c r="G1442" s="1" t="n"/>
    </row>
    <row r="1443">
      <c r="A1443" s="6" t="n">
        <v>10809</v>
      </c>
      <c r="B1443" s="6" t="inlineStr">
        <is>
          <t>CROWN ROYAL REGAL APPLE FLAVORED WHISKEY</t>
        </is>
      </c>
      <c r="C1443" s="7">
        <f>VLOOKUP(A1443,SizeData!A$2:B$3839,2,FALSE)</f>
        <v/>
      </c>
      <c r="D1443" s="6" t="n">
        <v>1</v>
      </c>
      <c r="E1443" s="6" t="inlineStr">
        <is>
          <t>R1630969</t>
        </is>
      </c>
      <c r="F1443" s="2" t="n">
        <v>44711</v>
      </c>
      <c r="G1443" s="1" t="n"/>
    </row>
    <row r="1444">
      <c r="A1444" s="6" t="n">
        <v>10809</v>
      </c>
      <c r="B1444" s="6" t="inlineStr">
        <is>
          <t>CROWN ROYAL REGAL APPLE FLAVORED WHISKEY</t>
        </is>
      </c>
      <c r="C1444" s="7">
        <f>VLOOKUP(A1444,SizeData!A$2:B$3839,2,FALSE)</f>
        <v/>
      </c>
      <c r="D1444" s="6" t="n">
        <v>1</v>
      </c>
      <c r="E1444" s="6" t="inlineStr">
        <is>
          <t>R1677409</t>
        </is>
      </c>
      <c r="F1444" s="2" t="n">
        <v>44746</v>
      </c>
      <c r="G1444" s="1" t="n"/>
    </row>
    <row r="1445">
      <c r="A1445" s="6" t="n">
        <v>10809</v>
      </c>
      <c r="B1445" s="6" t="inlineStr">
        <is>
          <t>CROWN ROYAL REGAL APPLE FLAVORED WHISKEY</t>
        </is>
      </c>
      <c r="C1445" s="7">
        <f>VLOOKUP(A1445,SizeData!A$2:B$3839,2,FALSE)</f>
        <v/>
      </c>
      <c r="D1445" s="6" t="n">
        <v>1</v>
      </c>
      <c r="E1445" s="6" t="inlineStr">
        <is>
          <t>R1697777</t>
        </is>
      </c>
      <c r="F1445" s="2" t="n">
        <v>44767</v>
      </c>
      <c r="G1445" s="1" t="n"/>
    </row>
    <row r="1446">
      <c r="A1446" s="6" t="n">
        <v>10809</v>
      </c>
      <c r="B1446" s="6" t="inlineStr">
        <is>
          <t>CROWN ROYAL REGAL APPLE FLAVORED WHISKEY</t>
        </is>
      </c>
      <c r="C1446" s="7">
        <f>VLOOKUP(A1446,SizeData!A$2:B$3839,2,FALSE)</f>
        <v/>
      </c>
      <c r="D1446" s="6" t="n">
        <v>5</v>
      </c>
      <c r="E1446" s="6" t="inlineStr">
        <is>
          <t>R1704437</t>
        </is>
      </c>
      <c r="F1446" s="2" t="n">
        <v>44775</v>
      </c>
      <c r="G1446" s="1" t="n"/>
    </row>
    <row r="1447">
      <c r="A1447" s="6" t="n">
        <v>10809</v>
      </c>
      <c r="B1447" s="6" t="inlineStr">
        <is>
          <t>CROWN ROYAL REGAL APPLE FLAVORED WHISKEY</t>
        </is>
      </c>
      <c r="C1447" s="7">
        <f>VLOOKUP(A1447,SizeData!A$2:B$3839,2,FALSE)</f>
        <v/>
      </c>
      <c r="D1447" s="6" t="n">
        <v>6</v>
      </c>
      <c r="E1447" s="6" t="inlineStr">
        <is>
          <t>R1858355</t>
        </is>
      </c>
      <c r="F1447" s="2" t="n">
        <v>44880</v>
      </c>
      <c r="G1447" s="1" t="n"/>
    </row>
    <row r="1448">
      <c r="A1448" s="6" t="n">
        <v>10784</v>
      </c>
      <c r="B1448" s="6" t="inlineStr">
        <is>
          <t>CROWN ROYAL SALTED CARAMEL FLAVORED WHISKEY</t>
        </is>
      </c>
      <c r="C1448" s="7">
        <f>VLOOKUP(A1448,SizeData!A$2:B$3839,2,FALSE)</f>
        <v/>
      </c>
      <c r="D1448" s="6" t="n">
        <v>8</v>
      </c>
      <c r="E1448" s="6" t="inlineStr">
        <is>
          <t>R1774764</t>
        </is>
      </c>
      <c r="F1448" s="2" t="n">
        <v>44826</v>
      </c>
      <c r="G1448" s="1" t="n"/>
    </row>
    <row r="1449">
      <c r="A1449" s="6" t="n">
        <v>11364</v>
      </c>
      <c r="B1449" s="6" t="inlineStr">
        <is>
          <t>CROWN ROYAL SPECIAL RESERVE</t>
        </is>
      </c>
      <c r="C1449" s="7">
        <f>VLOOKUP(A1449,SizeData!A$2:B$3839,2,FALSE)</f>
        <v/>
      </c>
      <c r="D1449" s="6" t="n">
        <v>1</v>
      </c>
      <c r="E1449" s="6" t="inlineStr">
        <is>
          <t>R1894245</t>
        </is>
      </c>
      <c r="F1449" s="2" t="n">
        <v>44902</v>
      </c>
      <c r="G1449" s="1" t="n"/>
    </row>
    <row r="1450">
      <c r="A1450" s="6" t="n">
        <v>11366</v>
      </c>
      <c r="B1450" s="6" t="inlineStr">
        <is>
          <t>CROWN ROYAL SPECIAL RESERVE</t>
        </is>
      </c>
      <c r="C1450" s="7">
        <f>VLOOKUP(A1450,SizeData!A$2:B$3839,2,FALSE)</f>
        <v/>
      </c>
      <c r="D1450" s="6" t="n">
        <v>3</v>
      </c>
      <c r="E1450" s="6" t="inlineStr">
        <is>
          <t>R1376786</t>
        </is>
      </c>
      <c r="F1450" s="2" t="n">
        <v>44552</v>
      </c>
      <c r="G1450" s="1" t="n"/>
    </row>
    <row r="1451">
      <c r="A1451" s="6" t="n">
        <v>11366</v>
      </c>
      <c r="B1451" s="6" t="inlineStr">
        <is>
          <t>CROWN ROYAL SPECIAL RESERVE</t>
        </is>
      </c>
      <c r="C1451" s="7">
        <f>VLOOKUP(A1451,SizeData!A$2:B$3839,2,FALSE)</f>
        <v/>
      </c>
      <c r="D1451" s="6" t="n">
        <v>2</v>
      </c>
      <c r="E1451" s="6" t="inlineStr">
        <is>
          <t>R1544767</t>
        </is>
      </c>
      <c r="F1451" s="2" t="n">
        <v>44664</v>
      </c>
      <c r="G1451" s="1" t="n"/>
    </row>
    <row r="1452">
      <c r="A1452" s="6" t="n">
        <v>11366</v>
      </c>
      <c r="B1452" s="6" t="inlineStr">
        <is>
          <t>CROWN ROYAL SPECIAL RESERVE</t>
        </is>
      </c>
      <c r="C1452" s="7">
        <f>VLOOKUP(A1452,SizeData!A$2:B$3839,2,FALSE)</f>
        <v/>
      </c>
      <c r="D1452" s="6" t="n">
        <v>2</v>
      </c>
      <c r="E1452" s="6" t="inlineStr">
        <is>
          <t>R1683818</t>
        </is>
      </c>
      <c r="F1452" s="2" t="n">
        <v>44754</v>
      </c>
      <c r="G1452" s="1" t="n"/>
    </row>
    <row r="1453">
      <c r="A1453" s="6" t="n">
        <v>11366</v>
      </c>
      <c r="B1453" s="6" t="inlineStr">
        <is>
          <t>CROWN ROYAL SPECIAL RESERVE</t>
        </is>
      </c>
      <c r="C1453" s="7">
        <f>VLOOKUP(A1453,SizeData!A$2:B$3839,2,FALSE)</f>
        <v/>
      </c>
      <c r="D1453" s="6" t="n">
        <v>3</v>
      </c>
      <c r="E1453" s="6" t="inlineStr">
        <is>
          <t>R1894245</t>
        </is>
      </c>
      <c r="F1453" s="2" t="n">
        <v>44902</v>
      </c>
      <c r="G1453" s="1" t="n"/>
    </row>
    <row r="1454">
      <c r="A1454" s="6" t="n">
        <v>10789</v>
      </c>
      <c r="B1454" s="6" t="inlineStr">
        <is>
          <t>CROWN ROYAL VANILLA FLAVORED WHISKEY</t>
        </is>
      </c>
      <c r="C1454" s="7">
        <f>VLOOKUP(A1454,SizeData!A$2:B$3839,2,FALSE)</f>
        <v/>
      </c>
      <c r="D1454" s="6" t="n">
        <v>2</v>
      </c>
      <c r="E1454" s="6" t="inlineStr">
        <is>
          <t>R1696584</t>
        </is>
      </c>
      <c r="F1454" s="2" t="n">
        <v>44768</v>
      </c>
      <c r="G1454" s="1" t="n"/>
    </row>
    <row r="1455">
      <c r="A1455" s="6" t="n">
        <v>10790</v>
      </c>
      <c r="B1455" s="6" t="inlineStr">
        <is>
          <t>CROWN ROYAL VANILLA FLAVORED WHISKEY</t>
        </is>
      </c>
      <c r="C1455" s="7">
        <f>VLOOKUP(A1455,SizeData!A$2:B$3839,2,FALSE)</f>
        <v/>
      </c>
      <c r="D1455" s="6" t="n">
        <v>5</v>
      </c>
      <c r="E1455" s="6" t="inlineStr">
        <is>
          <t>R1421663</t>
        </is>
      </c>
      <c r="F1455" s="2" t="n">
        <v>44580</v>
      </c>
      <c r="G1455" s="1" t="n"/>
    </row>
    <row r="1456">
      <c r="A1456" s="6" t="n">
        <v>10790</v>
      </c>
      <c r="B1456" s="6" t="inlineStr">
        <is>
          <t>CROWN ROYAL VANILLA FLAVORED WHISKEY</t>
        </is>
      </c>
      <c r="C1456" s="7">
        <f>VLOOKUP(A1456,SizeData!A$2:B$3839,2,FALSE)</f>
        <v/>
      </c>
      <c r="D1456" s="6" t="n">
        <v>10</v>
      </c>
      <c r="E1456" s="6" t="inlineStr">
        <is>
          <t>R1526285</t>
        </is>
      </c>
      <c r="F1456" s="2" t="n">
        <v>44641</v>
      </c>
      <c r="G1456" s="1" t="n"/>
    </row>
    <row r="1457">
      <c r="A1457" s="6" t="n">
        <v>10790</v>
      </c>
      <c r="B1457" s="6" t="inlineStr">
        <is>
          <t>CROWN ROYAL VANILLA FLAVORED WHISKEY</t>
        </is>
      </c>
      <c r="C1457" s="7">
        <f>VLOOKUP(A1457,SizeData!A$2:B$3839,2,FALSE)</f>
        <v/>
      </c>
      <c r="D1457" s="6" t="n">
        <v>5</v>
      </c>
      <c r="E1457" s="6" t="inlineStr">
        <is>
          <t>R1716148</t>
        </is>
      </c>
      <c r="F1457" s="2" t="n">
        <v>44774</v>
      </c>
      <c r="G1457" s="1" t="n"/>
    </row>
    <row r="1458">
      <c r="A1458" s="6" t="n">
        <v>10790</v>
      </c>
      <c r="B1458" s="6" t="inlineStr">
        <is>
          <t>CROWN ROYAL VANILLA FLAVORED WHISKEY</t>
        </is>
      </c>
      <c r="C1458" s="7">
        <f>VLOOKUP(A1458,SizeData!A$2:B$3839,2,FALSE)</f>
        <v/>
      </c>
      <c r="D1458" s="6" t="n">
        <v>1</v>
      </c>
      <c r="E1458" s="6" t="inlineStr">
        <is>
          <t>R1755075</t>
        </is>
      </c>
      <c r="F1458" s="2" t="n">
        <v>44798</v>
      </c>
      <c r="G1458" s="1" t="n"/>
    </row>
    <row r="1459">
      <c r="A1459" s="6" t="n">
        <v>10790</v>
      </c>
      <c r="B1459" s="6" t="inlineStr">
        <is>
          <t>CROWN ROYAL VANILLA FLAVORED WHISKEY</t>
        </is>
      </c>
      <c r="C1459" s="7">
        <f>VLOOKUP(A1459,SizeData!A$2:B$3839,2,FALSE)</f>
        <v/>
      </c>
      <c r="D1459" s="6" t="n">
        <v>1</v>
      </c>
      <c r="E1459" s="6" t="inlineStr">
        <is>
          <t>R1816996</t>
        </is>
      </c>
      <c r="F1459" s="2" t="n">
        <v>44859</v>
      </c>
      <c r="G1459" s="1" t="n"/>
    </row>
    <row r="1460">
      <c r="A1460" s="6" t="n">
        <v>10790</v>
      </c>
      <c r="B1460" s="6" t="inlineStr">
        <is>
          <t>CROWN ROYAL VANILLA FLAVORED WHISKEY</t>
        </is>
      </c>
      <c r="C1460" s="7">
        <f>VLOOKUP(A1460,SizeData!A$2:B$3839,2,FALSE)</f>
        <v/>
      </c>
      <c r="D1460" s="6" t="n">
        <v>2</v>
      </c>
      <c r="E1460" s="6" t="inlineStr">
        <is>
          <t>R1866868</t>
        </is>
      </c>
      <c r="F1460" s="2" t="n">
        <v>44882</v>
      </c>
      <c r="G1460" s="1" t="n"/>
    </row>
    <row r="1461">
      <c r="A1461" s="6" t="n">
        <v>10791</v>
      </c>
      <c r="B1461" s="6" t="inlineStr">
        <is>
          <t>CROWN ROYAL VANILLA FLAVORED WHISKEY</t>
        </is>
      </c>
      <c r="C1461" s="7">
        <f>VLOOKUP(A1461,SizeData!A$2:B$3839,2,FALSE)</f>
        <v/>
      </c>
      <c r="D1461" s="6" t="n">
        <v>2</v>
      </c>
      <c r="E1461" s="6" t="inlineStr">
        <is>
          <t>R1526285</t>
        </is>
      </c>
      <c r="F1461" s="2" t="n">
        <v>44641</v>
      </c>
      <c r="G1461" s="1" t="n"/>
    </row>
    <row r="1462">
      <c r="A1462" s="6" t="n">
        <v>10791</v>
      </c>
      <c r="B1462" s="6" t="inlineStr">
        <is>
          <t>CROWN ROYAL VANILLA FLAVORED WHISKEY</t>
        </is>
      </c>
      <c r="C1462" s="7">
        <f>VLOOKUP(A1462,SizeData!A$2:B$3839,2,FALSE)</f>
        <v/>
      </c>
      <c r="D1462" s="6" t="n">
        <v>1</v>
      </c>
      <c r="E1462" s="6" t="inlineStr">
        <is>
          <t>R1751391</t>
        </is>
      </c>
      <c r="F1462" s="2" t="n">
        <v>44805</v>
      </c>
      <c r="G1462" s="1" t="n"/>
    </row>
    <row r="1463">
      <c r="A1463" s="6" t="n">
        <v>10791</v>
      </c>
      <c r="B1463" s="6" t="inlineStr">
        <is>
          <t>CROWN ROYAL VANILLA FLAVORED WHISKEY</t>
        </is>
      </c>
      <c r="C1463" s="7">
        <f>VLOOKUP(A1463,SizeData!A$2:B$3839,2,FALSE)</f>
        <v/>
      </c>
      <c r="D1463" s="6" t="n">
        <v>3</v>
      </c>
      <c r="E1463" s="6" t="inlineStr">
        <is>
          <t>R1759269</t>
        </is>
      </c>
      <c r="F1463" s="2" t="n">
        <v>44811</v>
      </c>
      <c r="G1463" s="1" t="n"/>
    </row>
    <row r="1464">
      <c r="A1464" s="6" t="n">
        <v>10791</v>
      </c>
      <c r="B1464" s="6" t="inlineStr">
        <is>
          <t>CROWN ROYAL VANILLA FLAVORED WHISKEY</t>
        </is>
      </c>
      <c r="C1464" s="7">
        <f>VLOOKUP(A1464,SizeData!A$2:B$3839,2,FALSE)</f>
        <v/>
      </c>
      <c r="D1464" s="6" t="n">
        <v>3</v>
      </c>
      <c r="E1464" s="6" t="inlineStr">
        <is>
          <t>R1897750</t>
        </is>
      </c>
      <c r="F1464" s="2" t="n">
        <v>44902</v>
      </c>
      <c r="G1464" s="1" t="n"/>
    </row>
    <row r="1465">
      <c r="A1465" s="6" t="n">
        <v>10791</v>
      </c>
      <c r="B1465" s="6" t="inlineStr">
        <is>
          <t>CROWN ROYAL VANILLA FLAVORED WHISKEY</t>
        </is>
      </c>
      <c r="C1465" s="7">
        <f>VLOOKUP(A1465,SizeData!A$2:B$3839,2,FALSE)</f>
        <v/>
      </c>
      <c r="D1465" s="6" t="n">
        <v>1</v>
      </c>
      <c r="E1465" s="6" t="inlineStr">
        <is>
          <t>R1900430</t>
        </is>
      </c>
      <c r="F1465" s="2" t="n">
        <v>44896</v>
      </c>
      <c r="G1465" s="1" t="n"/>
    </row>
    <row r="1466">
      <c r="A1466" s="6" t="n">
        <v>10793</v>
      </c>
      <c r="B1466" s="6" t="inlineStr">
        <is>
          <t>CROWN ROYAL VANILLA FLAVORED WHISKEY</t>
        </is>
      </c>
      <c r="C1466" s="7">
        <f>VLOOKUP(A1466,SizeData!A$2:B$3839,2,FALSE)</f>
        <v/>
      </c>
      <c r="D1466" s="6" t="n">
        <v>2</v>
      </c>
      <c r="E1466" s="6" t="inlineStr">
        <is>
          <t>R1858355</t>
        </is>
      </c>
      <c r="F1466" s="2" t="n">
        <v>44880</v>
      </c>
      <c r="G1466" s="1" t="n"/>
    </row>
    <row r="1467">
      <c r="A1467" s="6" t="n">
        <v>29868</v>
      </c>
      <c r="B1467" s="6" t="inlineStr">
        <is>
          <t>CROWN RUSSE GIN</t>
        </is>
      </c>
      <c r="C1467" s="7">
        <f>VLOOKUP(A1467,SizeData!A$2:B$3839,2,FALSE)</f>
        <v/>
      </c>
      <c r="D1467" s="6" t="n">
        <v>2</v>
      </c>
      <c r="E1467" s="6" t="inlineStr">
        <is>
          <t>R1437002</t>
        </is>
      </c>
      <c r="F1467" s="2" t="n">
        <v>44586</v>
      </c>
      <c r="G1467" s="1" t="n"/>
    </row>
    <row r="1468">
      <c r="A1468" s="6" t="n">
        <v>29868</v>
      </c>
      <c r="B1468" s="6" t="inlineStr">
        <is>
          <t>CROWN RUSSE GIN</t>
        </is>
      </c>
      <c r="C1468" s="7">
        <f>VLOOKUP(A1468,SizeData!A$2:B$3839,2,FALSE)</f>
        <v/>
      </c>
      <c r="D1468" s="6" t="n">
        <v>1</v>
      </c>
      <c r="E1468" s="6" t="inlineStr">
        <is>
          <t>R1504703</t>
        </is>
      </c>
      <c r="F1468" s="2" t="n">
        <v>44632</v>
      </c>
      <c r="G1468" s="1" t="n"/>
    </row>
    <row r="1469">
      <c r="A1469" s="6" t="n">
        <v>29868</v>
      </c>
      <c r="B1469" s="6" t="inlineStr">
        <is>
          <t>CROWN RUSSE GIN</t>
        </is>
      </c>
      <c r="C1469" s="7">
        <f>VLOOKUP(A1469,SizeData!A$2:B$3839,2,FALSE)</f>
        <v/>
      </c>
      <c r="D1469" s="6" t="n">
        <v>1</v>
      </c>
      <c r="E1469" s="6" t="inlineStr">
        <is>
          <t>R1512696</t>
        </is>
      </c>
      <c r="F1469" s="2" t="n">
        <v>44637</v>
      </c>
      <c r="G1469" s="1" t="n"/>
    </row>
    <row r="1470">
      <c r="A1470" s="6" t="n">
        <v>29868</v>
      </c>
      <c r="B1470" s="6" t="inlineStr">
        <is>
          <t>CROWN RUSSE GIN</t>
        </is>
      </c>
      <c r="C1470" s="7">
        <f>VLOOKUP(A1470,SizeData!A$2:B$3839,2,FALSE)</f>
        <v/>
      </c>
      <c r="D1470" s="6" t="n">
        <v>3</v>
      </c>
      <c r="E1470" s="6" t="inlineStr">
        <is>
          <t>R1688168</t>
        </is>
      </c>
      <c r="F1470" s="2" t="n">
        <v>44761</v>
      </c>
      <c r="G1470" s="1" t="n"/>
    </row>
    <row r="1471">
      <c r="A1471" s="6" t="n">
        <v>35648</v>
      </c>
      <c r="B1471" s="6" t="inlineStr">
        <is>
          <t>CROWN RUSSE VODKA</t>
        </is>
      </c>
      <c r="C1471" s="7">
        <f>VLOOKUP(A1471,SizeData!A$2:B$3839,2,FALSE)</f>
        <v/>
      </c>
      <c r="D1471" s="6" t="n">
        <v>1</v>
      </c>
      <c r="E1471" s="6" t="inlineStr">
        <is>
          <t>R1421358</t>
        </is>
      </c>
      <c r="F1471" s="2" t="n">
        <v>44579</v>
      </c>
      <c r="G1471" s="1" t="n"/>
    </row>
    <row r="1472">
      <c r="A1472" s="6" t="n">
        <v>35648</v>
      </c>
      <c r="B1472" s="6" t="inlineStr">
        <is>
          <t>CROWN RUSSE VODKA</t>
        </is>
      </c>
      <c r="C1472" s="7">
        <f>VLOOKUP(A1472,SizeData!A$2:B$3839,2,FALSE)</f>
        <v/>
      </c>
      <c r="D1472" s="6" t="n">
        <v>1</v>
      </c>
      <c r="E1472" s="6" t="inlineStr">
        <is>
          <t>R1413566</t>
        </is>
      </c>
      <c r="F1472" s="2" t="n">
        <v>44580</v>
      </c>
      <c r="G1472" s="1" t="n"/>
    </row>
    <row r="1473">
      <c r="A1473" s="6" t="n">
        <v>35648</v>
      </c>
      <c r="B1473" s="6" t="inlineStr">
        <is>
          <t>CROWN RUSSE VODKA</t>
        </is>
      </c>
      <c r="C1473" s="7">
        <f>VLOOKUP(A1473,SizeData!A$2:B$3839,2,FALSE)</f>
        <v/>
      </c>
      <c r="D1473" s="6" t="n">
        <v>3</v>
      </c>
      <c r="E1473" s="6" t="inlineStr">
        <is>
          <t>R1437002</t>
        </is>
      </c>
      <c r="F1473" s="2" t="n">
        <v>44586</v>
      </c>
      <c r="G1473" s="1" t="n"/>
    </row>
    <row r="1474">
      <c r="A1474" s="6" t="n">
        <v>35648</v>
      </c>
      <c r="B1474" s="6" t="inlineStr">
        <is>
          <t>CROWN RUSSE VODKA</t>
        </is>
      </c>
      <c r="C1474" s="7">
        <f>VLOOKUP(A1474,SizeData!A$2:B$3839,2,FALSE)</f>
        <v/>
      </c>
      <c r="D1474" s="6" t="n">
        <v>2</v>
      </c>
      <c r="E1474" s="6" t="inlineStr">
        <is>
          <t>R1439543</t>
        </is>
      </c>
      <c r="F1474" s="2" t="n">
        <v>44594</v>
      </c>
      <c r="G1474" s="1" t="n"/>
    </row>
    <row r="1475">
      <c r="A1475" s="6" t="n">
        <v>35648</v>
      </c>
      <c r="B1475" s="6" t="inlineStr">
        <is>
          <t>CROWN RUSSE VODKA</t>
        </is>
      </c>
      <c r="C1475" s="7">
        <f>VLOOKUP(A1475,SizeData!A$2:B$3839,2,FALSE)</f>
        <v/>
      </c>
      <c r="D1475" s="6" t="n">
        <v>1</v>
      </c>
      <c r="E1475" s="6" t="inlineStr">
        <is>
          <t>R1461859</t>
        </is>
      </c>
      <c r="F1475" s="2" t="n">
        <v>44606</v>
      </c>
      <c r="G1475" s="1" t="n"/>
    </row>
    <row r="1476">
      <c r="A1476" s="6" t="n">
        <v>35648</v>
      </c>
      <c r="B1476" s="6" t="inlineStr">
        <is>
          <t>CROWN RUSSE VODKA</t>
        </is>
      </c>
      <c r="C1476" s="7">
        <f>VLOOKUP(A1476,SizeData!A$2:B$3839,2,FALSE)</f>
        <v/>
      </c>
      <c r="D1476" s="6" t="n">
        <v>1</v>
      </c>
      <c r="E1476" s="6" t="inlineStr">
        <is>
          <t>R1497382</t>
        </is>
      </c>
      <c r="F1476" s="2" t="n">
        <v>44627</v>
      </c>
      <c r="G1476" s="1" t="n"/>
    </row>
    <row r="1477">
      <c r="A1477" s="6" t="n">
        <v>35648</v>
      </c>
      <c r="B1477" s="6" t="inlineStr">
        <is>
          <t>CROWN RUSSE VODKA</t>
        </is>
      </c>
      <c r="C1477" s="7">
        <f>VLOOKUP(A1477,SizeData!A$2:B$3839,2,FALSE)</f>
        <v/>
      </c>
      <c r="D1477" s="6" t="n">
        <v>2</v>
      </c>
      <c r="E1477" s="6" t="inlineStr">
        <is>
          <t>R1512696</t>
        </is>
      </c>
      <c r="F1477" s="2" t="n">
        <v>44637</v>
      </c>
      <c r="G1477" s="1" t="n"/>
    </row>
    <row r="1478">
      <c r="A1478" s="6" t="n">
        <v>35648</v>
      </c>
      <c r="B1478" s="6" t="inlineStr">
        <is>
          <t>CROWN RUSSE VODKA</t>
        </is>
      </c>
      <c r="C1478" s="7">
        <f>VLOOKUP(A1478,SizeData!A$2:B$3839,2,FALSE)</f>
        <v/>
      </c>
      <c r="D1478" s="6" t="n">
        <v>4</v>
      </c>
      <c r="E1478" s="6" t="inlineStr">
        <is>
          <t>R1661076</t>
        </is>
      </c>
      <c r="F1478" s="2" t="n">
        <v>44734</v>
      </c>
      <c r="G1478" s="1" t="n"/>
    </row>
    <row r="1479">
      <c r="A1479" s="6" t="n">
        <v>35648</v>
      </c>
      <c r="B1479" s="6" t="inlineStr">
        <is>
          <t>CROWN RUSSE VODKA</t>
        </is>
      </c>
      <c r="C1479" s="7">
        <f>VLOOKUP(A1479,SizeData!A$2:B$3839,2,FALSE)</f>
        <v/>
      </c>
      <c r="D1479" s="6" t="n">
        <v>3</v>
      </c>
      <c r="E1479" s="6" t="inlineStr">
        <is>
          <t>R1710119</t>
        </is>
      </c>
      <c r="F1479" s="2" t="n">
        <v>44763</v>
      </c>
      <c r="G1479" s="1" t="n"/>
    </row>
    <row r="1480">
      <c r="A1480" s="6" t="n">
        <v>35648</v>
      </c>
      <c r="B1480" s="6" t="inlineStr">
        <is>
          <t>CROWN RUSSE VODKA</t>
        </is>
      </c>
      <c r="C1480" s="7">
        <f>VLOOKUP(A1480,SizeData!A$2:B$3839,2,FALSE)</f>
        <v/>
      </c>
      <c r="D1480" s="6" t="n">
        <v>1</v>
      </c>
      <c r="E1480" s="6" t="inlineStr">
        <is>
          <t>R1728993</t>
        </is>
      </c>
      <c r="F1480" s="2" t="n">
        <v>44790</v>
      </c>
      <c r="G1480" s="1" t="n"/>
    </row>
    <row r="1481">
      <c r="A1481" s="6" t="n">
        <v>35648</v>
      </c>
      <c r="B1481" s="6" t="inlineStr">
        <is>
          <t>CROWN RUSSE VODKA</t>
        </is>
      </c>
      <c r="C1481" s="7">
        <f>VLOOKUP(A1481,SizeData!A$2:B$3839,2,FALSE)</f>
        <v/>
      </c>
      <c r="D1481" s="6" t="n">
        <v>3</v>
      </c>
      <c r="E1481" s="6" t="inlineStr">
        <is>
          <t>R1747641</t>
        </is>
      </c>
      <c r="F1481" s="2" t="n">
        <v>44800</v>
      </c>
      <c r="G1481" s="1" t="n"/>
    </row>
    <row r="1482">
      <c r="A1482" s="6" t="n">
        <v>35648</v>
      </c>
      <c r="B1482" s="6" t="inlineStr">
        <is>
          <t>CROWN RUSSE VODKA</t>
        </is>
      </c>
      <c r="C1482" s="7">
        <f>VLOOKUP(A1482,SizeData!A$2:B$3839,2,FALSE)</f>
        <v/>
      </c>
      <c r="D1482" s="6" t="n">
        <v>1</v>
      </c>
      <c r="E1482" s="6" t="inlineStr">
        <is>
          <t>R1841387</t>
        </is>
      </c>
      <c r="F1482" s="2" t="n">
        <v>44869</v>
      </c>
      <c r="G1482" s="1" t="n"/>
    </row>
    <row r="1483">
      <c r="A1483" s="6" t="n">
        <v>44436</v>
      </c>
      <c r="B1483" s="6" t="inlineStr">
        <is>
          <t>CRUZAN BANANA FLAVORED V.I. RUM</t>
        </is>
      </c>
      <c r="C1483" s="7">
        <f>VLOOKUP(A1483,SizeData!A$2:B$3839,2,FALSE)</f>
        <v/>
      </c>
      <c r="D1483" s="6" t="n">
        <v>1</v>
      </c>
      <c r="E1483" s="6" t="inlineStr">
        <is>
          <t>R1740102</t>
        </is>
      </c>
      <c r="F1483" s="2" t="n">
        <v>44781</v>
      </c>
      <c r="G1483" s="1" t="n"/>
    </row>
    <row r="1484">
      <c r="A1484" s="6" t="n">
        <v>44436</v>
      </c>
      <c r="B1484" s="6" t="inlineStr">
        <is>
          <t>CRUZAN BANANA FLAVORED V.I. RUM</t>
        </is>
      </c>
      <c r="C1484" s="7">
        <f>VLOOKUP(A1484,SizeData!A$2:B$3839,2,FALSE)</f>
        <v/>
      </c>
      <c r="D1484" s="6" t="n">
        <v>1</v>
      </c>
      <c r="E1484" s="6" t="inlineStr">
        <is>
          <t>R1866529</t>
        </is>
      </c>
      <c r="F1484" s="2" t="n">
        <v>44876</v>
      </c>
      <c r="G1484" s="1" t="n"/>
    </row>
    <row r="1485">
      <c r="A1485" s="26" t="n">
        <v>44486</v>
      </c>
      <c r="B1485" s="26" t="inlineStr">
        <is>
          <t>CRUZAN ESTATE DARK RUM</t>
        </is>
      </c>
      <c r="C1485" s="75">
        <f>VLOOKUP(A1485,SizeData!A$2:B$3839,2,FALSE)</f>
        <v/>
      </c>
      <c r="D1485" s="26" t="n">
        <v>1</v>
      </c>
      <c r="E1485" s="26" t="inlineStr">
        <is>
          <t>R1792137</t>
        </is>
      </c>
      <c r="F1485" s="61" t="n">
        <v>44835</v>
      </c>
      <c r="G1485" s="62" t="n"/>
    </row>
    <row r="1486">
      <c r="A1486" s="6" t="n">
        <v>44516</v>
      </c>
      <c r="B1486" s="6" t="inlineStr">
        <is>
          <t>CRUZAN ESTATE LIGHT RUM</t>
        </is>
      </c>
      <c r="C1486" s="7">
        <f>VLOOKUP(A1486,SizeData!A$2:B$3839,2,FALSE)</f>
        <v/>
      </c>
      <c r="D1486" s="6" t="n">
        <v>1</v>
      </c>
      <c r="E1486" s="6" t="inlineStr">
        <is>
          <t>R1746324</t>
        </is>
      </c>
      <c r="F1486" s="2" t="n">
        <v>44796</v>
      </c>
      <c r="G1486" s="1" t="n"/>
    </row>
    <row r="1487">
      <c r="A1487" s="26" t="n">
        <v>44516</v>
      </c>
      <c r="B1487" s="26" t="inlineStr">
        <is>
          <t>CRUZAN ESTATE LIGHT RUM</t>
        </is>
      </c>
      <c r="C1487" s="75">
        <f>VLOOKUP(A1487,SizeData!A$2:B$3839,2,FALSE)</f>
        <v/>
      </c>
      <c r="D1487" s="26" t="n">
        <v>1</v>
      </c>
      <c r="E1487" s="26" t="inlineStr">
        <is>
          <t>R1792137</t>
        </is>
      </c>
      <c r="F1487" s="61" t="n">
        <v>44835</v>
      </c>
      <c r="G1487" s="62" t="n"/>
    </row>
    <row r="1488">
      <c r="A1488" s="6" t="n">
        <v>44499</v>
      </c>
      <c r="B1488" s="6" t="inlineStr">
        <is>
          <t>CRUZAN MANGO FLAVORED RUM</t>
        </is>
      </c>
      <c r="C1488" s="7">
        <f>VLOOKUP(A1488,SizeData!A$2:B$3839,2,FALSE)</f>
        <v/>
      </c>
      <c r="D1488" s="6" t="n">
        <v>1</v>
      </c>
      <c r="E1488" s="6" t="inlineStr">
        <is>
          <t>R1740102</t>
        </is>
      </c>
      <c r="F1488" s="2" t="n">
        <v>44781</v>
      </c>
      <c r="G1488" s="1" t="n"/>
    </row>
    <row r="1489">
      <c r="A1489" s="6" t="n">
        <v>44499</v>
      </c>
      <c r="B1489" s="6" t="inlineStr">
        <is>
          <t>CRUZAN MANGO FLAVORED RUM</t>
        </is>
      </c>
      <c r="C1489" s="7">
        <f>VLOOKUP(A1489,SizeData!A$2:B$3839,2,FALSE)</f>
        <v/>
      </c>
      <c r="D1489" s="6" t="n">
        <v>2</v>
      </c>
      <c r="E1489" s="6" t="inlineStr">
        <is>
          <t>R1782454</t>
        </is>
      </c>
      <c r="F1489" s="2" t="n">
        <v>44827</v>
      </c>
      <c r="G1489" s="1" t="n"/>
    </row>
    <row r="1490">
      <c r="A1490" s="6" t="n">
        <v>44568</v>
      </c>
      <c r="B1490" s="6" t="inlineStr">
        <is>
          <t>CRUZAN PEACH FLAVORED RUM</t>
        </is>
      </c>
      <c r="C1490" s="7">
        <f>VLOOKUP(A1490,SizeData!A$2:B$3839,2,FALSE)</f>
        <v/>
      </c>
      <c r="D1490" s="6" t="n">
        <v>1</v>
      </c>
      <c r="E1490" s="6" t="inlineStr">
        <is>
          <t>R1696453</t>
        </is>
      </c>
      <c r="F1490" s="2" t="n">
        <v>44758</v>
      </c>
      <c r="G1490" s="1" t="n"/>
    </row>
    <row r="1491">
      <c r="A1491" s="6" t="n">
        <v>44506</v>
      </c>
      <c r="B1491" s="6" t="inlineStr">
        <is>
          <t>CRUZAN PINEAPPLE FLAVORED V.I. RUM</t>
        </is>
      </c>
      <c r="C1491" s="7">
        <f>VLOOKUP(A1491,SizeData!A$2:B$3839,2,FALSE)</f>
        <v/>
      </c>
      <c r="D1491" s="6" t="n">
        <v>1</v>
      </c>
      <c r="E1491" s="6" t="inlineStr">
        <is>
          <t>R1749316</t>
        </is>
      </c>
      <c r="F1491" s="2" t="n">
        <v>44803</v>
      </c>
      <c r="G1491" s="1" t="n"/>
    </row>
    <row r="1492">
      <c r="A1492" s="6" t="n">
        <v>44506</v>
      </c>
      <c r="B1492" s="6" t="inlineStr">
        <is>
          <t>CRUZAN PINEAPPLE FLAVORED V.I. RUM</t>
        </is>
      </c>
      <c r="C1492" s="7">
        <f>VLOOKUP(A1492,SizeData!A$2:B$3839,2,FALSE)</f>
        <v/>
      </c>
      <c r="D1492" s="6" t="n">
        <v>1</v>
      </c>
      <c r="E1492" s="6" t="inlineStr">
        <is>
          <t>R1759302</t>
        </is>
      </c>
      <c r="F1492" s="2" t="n">
        <v>44806</v>
      </c>
      <c r="G1492" s="1" t="n"/>
    </row>
    <row r="1493">
      <c r="A1493" s="6" t="n">
        <v>44506</v>
      </c>
      <c r="B1493" s="6" t="inlineStr">
        <is>
          <t>CRUZAN PINEAPPLE FLAVORED V.I. RUM</t>
        </is>
      </c>
      <c r="C1493" s="7">
        <f>VLOOKUP(A1493,SizeData!A$2:B$3839,2,FALSE)</f>
        <v/>
      </c>
      <c r="D1493" s="6" t="n">
        <v>1</v>
      </c>
      <c r="E1493" s="6" t="inlineStr">
        <is>
          <t>R1811635</t>
        </is>
      </c>
      <c r="F1493" s="2" t="n">
        <v>44845</v>
      </c>
      <c r="G1493" s="1" t="n"/>
    </row>
    <row r="1494">
      <c r="A1494" s="6" t="n">
        <v>44506</v>
      </c>
      <c r="B1494" s="6" t="inlineStr">
        <is>
          <t>CRUZAN PINEAPPLE FLAVORED V.I. RUM</t>
        </is>
      </c>
      <c r="C1494" s="7">
        <f>VLOOKUP(A1494,SizeData!A$2:B$3839,2,FALSE)</f>
        <v/>
      </c>
      <c r="D1494" s="6" t="n">
        <v>1</v>
      </c>
      <c r="E1494" s="6" t="inlineStr">
        <is>
          <t>R1817613</t>
        </is>
      </c>
      <c r="F1494" s="2" t="n">
        <v>44849</v>
      </c>
      <c r="G1494" s="1" t="n"/>
    </row>
    <row r="1495">
      <c r="A1495" s="26" t="n">
        <v>44506</v>
      </c>
      <c r="B1495" s="26" t="inlineStr">
        <is>
          <t>CRUZAN PINEAPPLE FLAVORED V.I. RUM</t>
        </is>
      </c>
      <c r="C1495" s="75">
        <f>VLOOKUP(A1495,SizeData!A$2:B$3839,2,FALSE)</f>
        <v/>
      </c>
      <c r="D1495" s="26" t="n">
        <v>1</v>
      </c>
      <c r="E1495" s="26" t="inlineStr">
        <is>
          <t>R1817613</t>
        </is>
      </c>
      <c r="F1495" s="61" t="n">
        <v>44849</v>
      </c>
      <c r="G1495" s="62" t="n"/>
    </row>
    <row r="1496">
      <c r="A1496" s="6" t="n">
        <v>44506</v>
      </c>
      <c r="B1496" s="6" t="inlineStr">
        <is>
          <t>CRUZAN PINEAPPLE FLAVORED V.I. RUM</t>
        </is>
      </c>
      <c r="C1496" s="7">
        <f>VLOOKUP(A1496,SizeData!A$2:B$3839,2,FALSE)</f>
        <v/>
      </c>
      <c r="D1496" s="6" t="n">
        <v>1</v>
      </c>
      <c r="E1496" s="6" t="inlineStr">
        <is>
          <t>R1834591</t>
        </is>
      </c>
      <c r="F1496" s="2" t="n">
        <v>44863</v>
      </c>
      <c r="G1496" s="1" t="n"/>
    </row>
    <row r="1497">
      <c r="A1497" s="6" t="n">
        <v>44557</v>
      </c>
      <c r="B1497" s="6" t="inlineStr">
        <is>
          <t>CRUZAN STRAWBERRY GINGER RUM</t>
        </is>
      </c>
      <c r="C1497" s="7">
        <f>VLOOKUP(A1497,SizeData!A$2:B$3839,2,FALSE)</f>
        <v/>
      </c>
      <c r="D1497" s="6" t="n">
        <v>1</v>
      </c>
      <c r="E1497" s="6" t="inlineStr">
        <is>
          <t>R1530081</t>
        </is>
      </c>
      <c r="F1497" s="2" t="n">
        <v>44641</v>
      </c>
      <c r="G1497" s="1" t="n"/>
    </row>
    <row r="1498">
      <c r="A1498" s="6" t="n">
        <v>44557</v>
      </c>
      <c r="B1498" s="6" t="inlineStr">
        <is>
          <t>CRUZAN STRAWBERRY GINGER RUM</t>
        </is>
      </c>
      <c r="C1498" s="7">
        <f>VLOOKUP(A1498,SizeData!A$2:B$3839,2,FALSE)</f>
        <v/>
      </c>
      <c r="D1498" s="6" t="n">
        <v>1</v>
      </c>
      <c r="E1498" s="6" t="inlineStr">
        <is>
          <t>R1768452</t>
        </is>
      </c>
      <c r="F1498" s="2" t="n">
        <v>44818</v>
      </c>
      <c r="G1498" s="1" t="n"/>
    </row>
    <row r="1499">
      <c r="A1499" s="6" t="n">
        <v>44557</v>
      </c>
      <c r="B1499" s="6" t="inlineStr">
        <is>
          <t>CRUZAN STRAWBERRY GINGER RUM</t>
        </is>
      </c>
      <c r="C1499" s="7">
        <f>VLOOKUP(A1499,SizeData!A$2:B$3839,2,FALSE)</f>
        <v/>
      </c>
      <c r="D1499" s="6" t="n">
        <v>1</v>
      </c>
      <c r="E1499" s="6" t="inlineStr">
        <is>
          <t>R1782454</t>
        </is>
      </c>
      <c r="F1499" s="2" t="n">
        <v>44827</v>
      </c>
      <c r="G1499" s="1" t="n"/>
    </row>
    <row r="1500">
      <c r="A1500" s="6" t="n">
        <v>44557</v>
      </c>
      <c r="B1500" s="6" t="inlineStr">
        <is>
          <t>CRUZAN STRAWBERRY GINGER RUM</t>
        </is>
      </c>
      <c r="C1500" s="7">
        <f>VLOOKUP(A1500,SizeData!A$2:B$3839,2,FALSE)</f>
        <v/>
      </c>
      <c r="D1500" s="6" t="n">
        <v>1</v>
      </c>
      <c r="E1500" s="6" t="inlineStr">
        <is>
          <t>R1866529</t>
        </is>
      </c>
      <c r="F1500" s="2" t="n">
        <v>44876</v>
      </c>
      <c r="G1500" s="1" t="n"/>
    </row>
    <row r="1501">
      <c r="A1501" s="6" t="n">
        <v>58835</v>
      </c>
      <c r="B1501" s="6" t="inlineStr">
        <is>
          <t>CUERVO AUTHETIC MARGARITAS</t>
        </is>
      </c>
      <c r="C1501" s="7">
        <f>VLOOKUP(A1501,SizeData!A$2:B$3839,2,FALSE)</f>
        <v/>
      </c>
      <c r="D1501" s="6" t="n">
        <v>3</v>
      </c>
      <c r="E1501" s="6" t="inlineStr">
        <is>
          <t>R1471448</t>
        </is>
      </c>
      <c r="F1501" s="2" t="n">
        <v>44610</v>
      </c>
      <c r="G1501" s="1" t="n"/>
    </row>
    <row r="1502">
      <c r="A1502" s="6" t="n">
        <v>58835</v>
      </c>
      <c r="B1502" s="6" t="inlineStr">
        <is>
          <t>CUERVO AUTHETIC MARGARITAS</t>
        </is>
      </c>
      <c r="C1502" s="7">
        <f>VLOOKUP(A1502,SizeData!A$2:B$3839,2,FALSE)</f>
        <v/>
      </c>
      <c r="D1502" s="6" t="n">
        <v>2</v>
      </c>
      <c r="E1502" s="6" t="inlineStr">
        <is>
          <t>R1596233</t>
        </is>
      </c>
      <c r="F1502" s="2" t="n">
        <v>44681</v>
      </c>
      <c r="G1502" s="1" t="n"/>
    </row>
    <row r="1503">
      <c r="A1503" s="6" t="n">
        <v>58835</v>
      </c>
      <c r="B1503" s="6" t="inlineStr">
        <is>
          <t>CUERVO AUTHETIC MARGARITAS</t>
        </is>
      </c>
      <c r="C1503" s="7">
        <f>VLOOKUP(A1503,SizeData!A$2:B$3839,2,FALSE)</f>
        <v/>
      </c>
      <c r="D1503" s="6" t="n">
        <v>1</v>
      </c>
      <c r="E1503" s="6" t="inlineStr">
        <is>
          <t>R1695763</t>
        </is>
      </c>
      <c r="F1503" s="2" t="n">
        <v>44756</v>
      </c>
      <c r="G1503" s="1" t="n"/>
    </row>
    <row r="1504">
      <c r="A1504" s="6" t="n">
        <v>58835</v>
      </c>
      <c r="B1504" s="6" t="inlineStr">
        <is>
          <t>CUERVO AUTHETIC MARGARITAS</t>
        </is>
      </c>
      <c r="C1504" s="7">
        <f>VLOOKUP(A1504,SizeData!A$2:B$3839,2,FALSE)</f>
        <v/>
      </c>
      <c r="D1504" s="6" t="n">
        <v>1</v>
      </c>
      <c r="E1504" s="6" t="inlineStr">
        <is>
          <t>R1713113</t>
        </is>
      </c>
      <c r="F1504" s="2" t="n">
        <v>44774</v>
      </c>
      <c r="G1504" s="62" t="n"/>
    </row>
    <row r="1505">
      <c r="A1505" s="6" t="n">
        <v>58835</v>
      </c>
      <c r="B1505" s="6" t="inlineStr">
        <is>
          <t>CUERVO AUTHETIC MARGARITAS</t>
        </is>
      </c>
      <c r="C1505" s="7">
        <f>VLOOKUP(A1505,SizeData!A$2:B$3839,2,FALSE)</f>
        <v/>
      </c>
      <c r="D1505" s="6" t="n">
        <v>1</v>
      </c>
      <c r="E1505" s="6" t="inlineStr">
        <is>
          <t>R1713939</t>
        </is>
      </c>
      <c r="F1505" s="2" t="n">
        <v>44779</v>
      </c>
      <c r="G1505" s="1" t="n"/>
    </row>
    <row r="1506">
      <c r="A1506" s="26" t="n">
        <v>58835</v>
      </c>
      <c r="B1506" s="26" t="inlineStr">
        <is>
          <t>CUERVO AUTHETIC MARGARITAS</t>
        </is>
      </c>
      <c r="C1506" s="7">
        <f>VLOOKUP(A1506,SizeData!A$2:B$3839,2,FALSE)</f>
        <v/>
      </c>
      <c r="D1506" s="26" t="n">
        <v>1</v>
      </c>
      <c r="E1506" s="26" t="inlineStr">
        <is>
          <t>R1719137</t>
        </is>
      </c>
      <c r="F1506" s="61" t="n">
        <v>44781</v>
      </c>
      <c r="G1506" s="62" t="n"/>
    </row>
    <row r="1507">
      <c r="A1507" s="6" t="n">
        <v>58875</v>
      </c>
      <c r="B1507" s="6" t="inlineStr">
        <is>
          <t>CUERVO GOLD MARGARITA</t>
        </is>
      </c>
      <c r="C1507" s="7">
        <f>VLOOKUP(A1507,SizeData!A$2:B$3839,2,FALSE)</f>
        <v/>
      </c>
      <c r="D1507" s="6" t="n">
        <v>3</v>
      </c>
      <c r="E1507" s="6" t="inlineStr">
        <is>
          <t>R1591903</t>
        </is>
      </c>
      <c r="F1507" s="2" t="n">
        <v>44678</v>
      </c>
      <c r="G1507" s="1" t="n"/>
    </row>
    <row r="1508">
      <c r="A1508" s="6" t="n">
        <v>58875</v>
      </c>
      <c r="B1508" s="6" t="inlineStr">
        <is>
          <t>CUERVO GOLD MARGARITA</t>
        </is>
      </c>
      <c r="C1508" s="7">
        <f>VLOOKUP(A1508,SizeData!A$2:B$3839,2,FALSE)</f>
        <v/>
      </c>
      <c r="D1508" s="6" t="n">
        <v>2</v>
      </c>
      <c r="E1508" s="6" t="inlineStr">
        <is>
          <t>R1675261</t>
        </is>
      </c>
      <c r="F1508" s="2" t="n">
        <v>44747</v>
      </c>
      <c r="G1508" s="1" t="n"/>
    </row>
    <row r="1509">
      <c r="A1509" s="6" t="n">
        <v>58875</v>
      </c>
      <c r="B1509" s="6" t="inlineStr">
        <is>
          <t>CUERVO GOLD MARGARITA</t>
        </is>
      </c>
      <c r="C1509" s="7">
        <f>VLOOKUP(A1509,SizeData!A$2:B$3839,2,FALSE)</f>
        <v/>
      </c>
      <c r="D1509" s="6" t="n">
        <v>3</v>
      </c>
      <c r="E1509" s="6" t="inlineStr">
        <is>
          <t>R1825198</t>
        </is>
      </c>
      <c r="F1509" s="2" t="n">
        <v>44853</v>
      </c>
      <c r="G1509" s="1" t="n"/>
    </row>
    <row r="1510">
      <c r="A1510" s="6" t="n">
        <v>58875</v>
      </c>
      <c r="B1510" s="6" t="inlineStr">
        <is>
          <t>CUERVO GOLD MARGARITA</t>
        </is>
      </c>
      <c r="C1510" s="7">
        <f>VLOOKUP(A1510,SizeData!A$2:B$3839,2,FALSE)</f>
        <v/>
      </c>
      <c r="D1510" s="6" t="n">
        <v>1</v>
      </c>
      <c r="E1510" s="6" t="inlineStr">
        <is>
          <t>R1816996</t>
        </is>
      </c>
      <c r="F1510" s="2" t="n">
        <v>44859</v>
      </c>
      <c r="G1510" s="1" t="n"/>
    </row>
    <row r="1511">
      <c r="A1511" s="6" t="n">
        <v>58876</v>
      </c>
      <c r="B1511" s="6" t="inlineStr">
        <is>
          <t>CUERVO GOLD MARGARITA</t>
        </is>
      </c>
      <c r="C1511" s="7">
        <f>VLOOKUP(A1511,SizeData!A$2:B$3839,2,FALSE)</f>
        <v/>
      </c>
      <c r="D1511" s="6" t="n">
        <v>1</v>
      </c>
      <c r="E1511" s="6" t="inlineStr">
        <is>
          <t>R1426776</t>
        </is>
      </c>
      <c r="F1511" s="2" t="n">
        <v>44585</v>
      </c>
      <c r="G1511" s="1" t="n"/>
    </row>
    <row r="1512">
      <c r="A1512" s="6" t="n">
        <v>58876</v>
      </c>
      <c r="B1512" s="6" t="inlineStr">
        <is>
          <t>CUERVO GOLD MARGARITA</t>
        </is>
      </c>
      <c r="C1512" s="7">
        <f>VLOOKUP(A1512,SizeData!A$2:B$3839,2,FALSE)</f>
        <v/>
      </c>
      <c r="D1512" s="6" t="n">
        <v>1</v>
      </c>
      <c r="E1512" s="6" t="inlineStr">
        <is>
          <t>R1516281</t>
        </is>
      </c>
      <c r="F1512" s="2" t="n">
        <v>44634</v>
      </c>
      <c r="G1512" s="1" t="n"/>
    </row>
    <row r="1513">
      <c r="A1513" s="6" t="n">
        <v>58876</v>
      </c>
      <c r="B1513" s="6" t="inlineStr">
        <is>
          <t>CUERVO GOLD MARGARITA</t>
        </is>
      </c>
      <c r="C1513" s="7">
        <f>VLOOKUP(A1513,SizeData!A$2:B$3839,2,FALSE)</f>
        <v/>
      </c>
      <c r="D1513" s="6" t="n">
        <v>1</v>
      </c>
      <c r="E1513" s="6" t="inlineStr">
        <is>
          <t>R1515367</t>
        </is>
      </c>
      <c r="F1513" s="2" t="n">
        <v>44635</v>
      </c>
      <c r="G1513" s="1" t="n"/>
    </row>
    <row r="1514">
      <c r="A1514" s="6" t="n">
        <v>58876</v>
      </c>
      <c r="B1514" s="6" t="inlineStr">
        <is>
          <t>CUERVO GOLD MARGARITA</t>
        </is>
      </c>
      <c r="C1514" s="7">
        <f>VLOOKUP(A1514,SizeData!A$2:B$3839,2,FALSE)</f>
        <v/>
      </c>
      <c r="D1514" s="6" t="n">
        <v>1</v>
      </c>
      <c r="E1514" s="6" t="inlineStr">
        <is>
          <t>R1617499</t>
        </is>
      </c>
      <c r="F1514" s="2" t="n">
        <v>44706</v>
      </c>
      <c r="G1514" s="1" t="n"/>
    </row>
    <row r="1515">
      <c r="A1515" s="6" t="n">
        <v>58836</v>
      </c>
      <c r="B1515" s="6" t="inlineStr">
        <is>
          <t>CUERVO LIME MARGARITA / 20PF</t>
        </is>
      </c>
      <c r="C1515" s="7">
        <f>VLOOKUP(A1515,SizeData!A$2:B$3839,2,FALSE)</f>
        <v/>
      </c>
      <c r="D1515" s="6" t="n">
        <v>1</v>
      </c>
      <c r="E1515" s="6" t="inlineStr">
        <is>
          <t>R1713113</t>
        </is>
      </c>
      <c r="F1515" s="2" t="n">
        <v>44774</v>
      </c>
      <c r="G1515" s="62" t="n"/>
    </row>
    <row r="1516">
      <c r="A1516" s="6" t="n">
        <v>58836</v>
      </c>
      <c r="B1516" s="6" t="inlineStr">
        <is>
          <t>CUERVO LIME MARGARITA / 20PF</t>
        </is>
      </c>
      <c r="C1516" s="7">
        <f>VLOOKUP(A1516,SizeData!A$2:B$3839,2,FALSE)</f>
        <v/>
      </c>
      <c r="D1516" s="6" t="n">
        <v>1</v>
      </c>
      <c r="E1516" s="6" t="inlineStr">
        <is>
          <t>R1719137</t>
        </is>
      </c>
      <c r="F1516" s="2" t="n">
        <v>44781</v>
      </c>
      <c r="G1516" s="1" t="n"/>
    </row>
    <row r="1517">
      <c r="A1517" s="26" t="n">
        <v>58836</v>
      </c>
      <c r="B1517" s="26" t="inlineStr">
        <is>
          <t>CUERVO LIME MARGARITA / 20PF</t>
        </is>
      </c>
      <c r="C1517" s="75">
        <f>VLOOKUP(A1517,SizeData!A$2:B$3839,2,FALSE)</f>
        <v/>
      </c>
      <c r="D1517" s="26" t="n">
        <v>1</v>
      </c>
      <c r="E1517" s="26" t="inlineStr">
        <is>
          <t>R1853571</t>
        </is>
      </c>
      <c r="F1517" s="61" t="n">
        <v>44873</v>
      </c>
      <c r="G1517" s="62" t="n"/>
    </row>
    <row r="1518">
      <c r="A1518" s="6" t="n">
        <v>58838</v>
      </c>
      <c r="B1518" s="6" t="inlineStr">
        <is>
          <t>CUERVO LIME MARGARITA / 20PF</t>
        </is>
      </c>
      <c r="C1518" s="7">
        <f>VLOOKUP(A1518,SizeData!A$2:B$3839,2,FALSE)</f>
        <v/>
      </c>
      <c r="D1518" s="6" t="n">
        <v>1</v>
      </c>
      <c r="E1518" s="6" t="inlineStr">
        <is>
          <t>R1472811</t>
        </is>
      </c>
      <c r="F1518" s="2" t="n">
        <v>44609</v>
      </c>
      <c r="G1518" s="1" t="n"/>
    </row>
    <row r="1519">
      <c r="A1519" s="6" t="n">
        <v>58838</v>
      </c>
      <c r="B1519" s="6" t="inlineStr">
        <is>
          <t>CUERVO LIME MARGARITA / 20PF</t>
        </is>
      </c>
      <c r="C1519" s="7">
        <f>VLOOKUP(A1519,SizeData!A$2:B$3839,2,FALSE)</f>
        <v/>
      </c>
      <c r="D1519" s="6" t="n">
        <v>2</v>
      </c>
      <c r="E1519" s="6" t="inlineStr">
        <is>
          <t>R1496401</t>
        </is>
      </c>
      <c r="F1519" s="2" t="n">
        <v>44621</v>
      </c>
      <c r="G1519" s="1" t="n"/>
    </row>
    <row r="1520">
      <c r="A1520" s="6" t="n">
        <v>58838</v>
      </c>
      <c r="B1520" s="6" t="inlineStr">
        <is>
          <t>CUERVO LIME MARGARITA / 20PF</t>
        </is>
      </c>
      <c r="C1520" s="7">
        <f>VLOOKUP(A1520,SizeData!A$2:B$3839,2,FALSE)</f>
        <v/>
      </c>
      <c r="D1520" s="6" t="n">
        <v>2</v>
      </c>
      <c r="E1520" s="6" t="inlineStr">
        <is>
          <t>R1550755</t>
        </is>
      </c>
      <c r="F1520" s="2" t="n">
        <v>44650</v>
      </c>
      <c r="G1520" s="1" t="n"/>
    </row>
    <row r="1521">
      <c r="A1521" s="6" t="n">
        <v>58838</v>
      </c>
      <c r="B1521" s="6" t="inlineStr">
        <is>
          <t>CUERVO LIME MARGARITA / 20PF</t>
        </is>
      </c>
      <c r="C1521" s="7">
        <f>VLOOKUP(A1521,SizeData!A$2:B$3839,2,FALSE)</f>
        <v/>
      </c>
      <c r="D1521" s="6" t="n">
        <v>1</v>
      </c>
      <c r="E1521" s="6" t="inlineStr">
        <is>
          <t>R1605719</t>
        </is>
      </c>
      <c r="F1521" s="2" t="n">
        <v>44685</v>
      </c>
      <c r="G1521" s="1" t="n"/>
    </row>
    <row r="1522">
      <c r="A1522" s="6" t="n">
        <v>58838</v>
      </c>
      <c r="B1522" s="6" t="inlineStr">
        <is>
          <t>CUERVO LIME MARGARITA / 20PF</t>
        </is>
      </c>
      <c r="C1522" s="7">
        <f>VLOOKUP(A1522,SizeData!A$2:B$3839,2,FALSE)</f>
        <v/>
      </c>
      <c r="D1522" s="6" t="n">
        <v>1</v>
      </c>
      <c r="E1522" s="6" t="inlineStr">
        <is>
          <t>R1602626</t>
        </is>
      </c>
      <c r="F1522" s="2" t="n">
        <v>44690</v>
      </c>
      <c r="G1522" s="1" t="n"/>
    </row>
    <row r="1523">
      <c r="A1523" s="6" t="n">
        <v>58838</v>
      </c>
      <c r="B1523" s="6" t="inlineStr">
        <is>
          <t>CUERVO LIME MARGARITA / 20PF</t>
        </is>
      </c>
      <c r="C1523" s="7">
        <f>VLOOKUP(A1523,SizeData!A$2:B$3839,2,FALSE)</f>
        <v/>
      </c>
      <c r="D1523" s="6" t="n">
        <v>2</v>
      </c>
      <c r="E1523" s="6" t="inlineStr">
        <is>
          <t>R1630969</t>
        </is>
      </c>
      <c r="F1523" s="2" t="n">
        <v>44711</v>
      </c>
      <c r="G1523" s="1" t="n"/>
    </row>
    <row r="1524">
      <c r="A1524" s="6" t="n">
        <v>58838</v>
      </c>
      <c r="B1524" s="6" t="inlineStr">
        <is>
          <t>CUERVO LIME MARGARITA / 20PF</t>
        </is>
      </c>
      <c r="C1524" s="7">
        <f>VLOOKUP(A1524,SizeData!A$2:B$3839,2,FALSE)</f>
        <v/>
      </c>
      <c r="D1524" s="6" t="n">
        <v>2</v>
      </c>
      <c r="E1524" s="6" t="inlineStr">
        <is>
          <t>R1645015</t>
        </is>
      </c>
      <c r="F1524" s="2" t="n">
        <v>44712</v>
      </c>
      <c r="G1524" s="1" t="n"/>
    </row>
    <row r="1525">
      <c r="A1525" s="6" t="n">
        <v>58838</v>
      </c>
      <c r="B1525" s="6" t="inlineStr">
        <is>
          <t>CUERVO LIME MARGARITA / 20PF</t>
        </is>
      </c>
      <c r="C1525" s="7">
        <f>VLOOKUP(A1525,SizeData!A$2:B$3839,2,FALSE)</f>
        <v/>
      </c>
      <c r="D1525" s="6" t="n">
        <v>2</v>
      </c>
      <c r="E1525" s="6" t="inlineStr">
        <is>
          <t>R1672878</t>
        </is>
      </c>
      <c r="F1525" s="2" t="n">
        <v>44743</v>
      </c>
      <c r="G1525" s="1" t="n"/>
    </row>
    <row r="1526">
      <c r="A1526" s="6" t="n">
        <v>58838</v>
      </c>
      <c r="B1526" s="6" t="inlineStr">
        <is>
          <t>CUERVO LIME MARGARITA / 20PF</t>
        </is>
      </c>
      <c r="C1526" s="7">
        <f>VLOOKUP(A1526,SizeData!A$2:B$3839,2,FALSE)</f>
        <v/>
      </c>
      <c r="D1526" s="6" t="n">
        <v>4</v>
      </c>
      <c r="E1526" s="6" t="inlineStr">
        <is>
          <t>R1678551</t>
        </is>
      </c>
      <c r="F1526" s="2" t="n">
        <v>44751</v>
      </c>
      <c r="G1526" s="1" t="n"/>
    </row>
    <row r="1527">
      <c r="A1527" s="6" t="n">
        <v>58838</v>
      </c>
      <c r="B1527" s="6" t="inlineStr">
        <is>
          <t>CUERVO LIME MARGARITA / 20PF</t>
        </is>
      </c>
      <c r="C1527" s="7">
        <f>VLOOKUP(A1527,SizeData!A$2:B$3839,2,FALSE)</f>
        <v/>
      </c>
      <c r="D1527" s="6" t="n">
        <v>1</v>
      </c>
      <c r="E1527" s="6" t="inlineStr">
        <is>
          <t>R1699078</t>
        </is>
      </c>
      <c r="F1527" s="2" t="n">
        <v>44769</v>
      </c>
      <c r="G1527" s="1" t="n"/>
    </row>
    <row r="1528">
      <c r="A1528" s="6" t="n">
        <v>58838</v>
      </c>
      <c r="B1528" s="6" t="inlineStr">
        <is>
          <t>CUERVO LIME MARGARITA / 20PF</t>
        </is>
      </c>
      <c r="C1528" s="7">
        <f>VLOOKUP(A1528,SizeData!A$2:B$3839,2,FALSE)</f>
        <v/>
      </c>
      <c r="D1528" s="6" t="n">
        <v>2</v>
      </c>
      <c r="E1528" s="6" t="inlineStr">
        <is>
          <t>R1768452</t>
        </is>
      </c>
      <c r="F1528" s="2" t="n">
        <v>44818</v>
      </c>
      <c r="G1528" s="1" t="n"/>
    </row>
    <row r="1529">
      <c r="A1529" s="6" t="n">
        <v>58866</v>
      </c>
      <c r="B1529" s="6" t="inlineStr">
        <is>
          <t>CUERVO STRAWBERRY MARGARITA / 20PF</t>
        </is>
      </c>
      <c r="C1529" s="7">
        <f>VLOOKUP(A1529,SizeData!A$2:B$3839,2,FALSE)</f>
        <v/>
      </c>
      <c r="D1529" s="6" t="n">
        <v>1</v>
      </c>
      <c r="E1529" s="6" t="inlineStr">
        <is>
          <t>R1478101</t>
        </is>
      </c>
      <c r="F1529" s="2" t="n">
        <v>44610</v>
      </c>
      <c r="G1529" s="1" t="n"/>
    </row>
    <row r="1530">
      <c r="A1530" s="6" t="n">
        <v>58866</v>
      </c>
      <c r="B1530" s="6" t="inlineStr">
        <is>
          <t>CUERVO STRAWBERRY MARGARITA / 20PF</t>
        </is>
      </c>
      <c r="C1530" s="7">
        <f>VLOOKUP(A1530,SizeData!A$2:B$3839,2,FALSE)</f>
        <v/>
      </c>
      <c r="D1530" s="6" t="n">
        <v>1</v>
      </c>
      <c r="E1530" s="6" t="inlineStr">
        <is>
          <t>R1596233</t>
        </is>
      </c>
      <c r="F1530" s="2" t="n">
        <v>44681</v>
      </c>
      <c r="G1530" s="1" t="n"/>
    </row>
    <row r="1531">
      <c r="A1531" s="6" t="n">
        <v>58866</v>
      </c>
      <c r="B1531" s="6" t="inlineStr">
        <is>
          <t>CUERVO STRAWBERRY MARGARITA / 20PF</t>
        </is>
      </c>
      <c r="C1531" s="7">
        <f>VLOOKUP(A1531,SizeData!A$2:B$3839,2,FALSE)</f>
        <v/>
      </c>
      <c r="D1531" s="6" t="n">
        <v>1</v>
      </c>
      <c r="E1531" s="6" t="inlineStr">
        <is>
          <t>R1629823</t>
        </is>
      </c>
      <c r="F1531" s="2" t="n">
        <v>44713</v>
      </c>
      <c r="G1531" s="1" t="n"/>
    </row>
    <row r="1532">
      <c r="A1532" s="6" t="n">
        <v>58866</v>
      </c>
      <c r="B1532" s="6" t="inlineStr">
        <is>
          <t>CUERVO STRAWBERRY MARGARITA / 20PF</t>
        </is>
      </c>
      <c r="C1532" s="7">
        <f>VLOOKUP(A1532,SizeData!A$2:B$3839,2,FALSE)</f>
        <v/>
      </c>
      <c r="D1532" s="6" t="n">
        <v>1</v>
      </c>
      <c r="E1532" s="6" t="inlineStr">
        <is>
          <t>R1719137</t>
        </is>
      </c>
      <c r="F1532" s="2" t="n">
        <v>44781</v>
      </c>
      <c r="G1532" s="1" t="n"/>
    </row>
    <row r="1533">
      <c r="A1533" s="6" t="n">
        <v>58866</v>
      </c>
      <c r="B1533" s="6" t="inlineStr">
        <is>
          <t>CUERVO STRAWBERRY MARGARITA / 20PF</t>
        </is>
      </c>
      <c r="C1533" s="7">
        <f>VLOOKUP(A1533,SizeData!A$2:B$3839,2,FALSE)</f>
        <v/>
      </c>
      <c r="D1533" s="6" t="n">
        <v>1</v>
      </c>
      <c r="E1533" s="6" t="inlineStr">
        <is>
          <t>R1738647</t>
        </is>
      </c>
      <c r="F1533" s="2" t="n">
        <v>44791</v>
      </c>
      <c r="G1533" s="1" t="n"/>
    </row>
    <row r="1534">
      <c r="A1534" s="6" t="n">
        <v>58868</v>
      </c>
      <c r="B1534" s="6" t="inlineStr">
        <is>
          <t>CUERVO STRAWBERRY MARGARITA / 20PF</t>
        </is>
      </c>
      <c r="C1534" s="7">
        <f>VLOOKUP(A1534,SizeData!A$2:B$3839,2,FALSE)</f>
        <v/>
      </c>
      <c r="D1534" s="6" t="n">
        <v>2</v>
      </c>
      <c r="E1534" s="6" t="inlineStr">
        <is>
          <t>R1496401</t>
        </is>
      </c>
      <c r="F1534" s="2" t="n">
        <v>44621</v>
      </c>
      <c r="G1534" s="1" t="n"/>
    </row>
    <row r="1535">
      <c r="A1535" s="6" t="n">
        <v>58868</v>
      </c>
      <c r="B1535" s="6" t="inlineStr">
        <is>
          <t>CUERVO STRAWBERRY MARGARITA / 20PF</t>
        </is>
      </c>
      <c r="C1535" s="7">
        <f>VLOOKUP(A1535,SizeData!A$2:B$3839,2,FALSE)</f>
        <v/>
      </c>
      <c r="D1535" s="6" t="n">
        <v>2</v>
      </c>
      <c r="E1535" s="6" t="inlineStr">
        <is>
          <t>R1515367</t>
        </is>
      </c>
      <c r="F1535" s="2" t="n">
        <v>44635</v>
      </c>
      <c r="G1535" s="1" t="n"/>
    </row>
    <row r="1536">
      <c r="A1536" s="6" t="n">
        <v>58868</v>
      </c>
      <c r="B1536" s="6" t="inlineStr">
        <is>
          <t>CUERVO STRAWBERRY MARGARITA / 20PF</t>
        </is>
      </c>
      <c r="C1536" s="7">
        <f>VLOOKUP(A1536,SizeData!A$2:B$3839,2,FALSE)</f>
        <v/>
      </c>
      <c r="D1536" s="6" t="n">
        <v>3</v>
      </c>
      <c r="E1536" s="6" t="inlineStr">
        <is>
          <t>R1605719</t>
        </is>
      </c>
      <c r="F1536" s="2" t="n">
        <v>44685</v>
      </c>
      <c r="G1536" s="1" t="n"/>
    </row>
    <row r="1537">
      <c r="A1537" s="6" t="n">
        <v>58868</v>
      </c>
      <c r="B1537" s="6" t="inlineStr">
        <is>
          <t>CUERVO STRAWBERRY MARGARITA / 20PF</t>
        </is>
      </c>
      <c r="C1537" s="7">
        <f>VLOOKUP(A1537,SizeData!A$2:B$3839,2,FALSE)</f>
        <v/>
      </c>
      <c r="D1537" s="6" t="n">
        <v>1</v>
      </c>
      <c r="E1537" s="6" t="inlineStr">
        <is>
          <t>R1630969</t>
        </is>
      </c>
      <c r="F1537" s="2" t="n">
        <v>44711</v>
      </c>
      <c r="G1537" s="1" t="n"/>
    </row>
    <row r="1538">
      <c r="A1538" s="6" t="n">
        <v>58868</v>
      </c>
      <c r="B1538" s="6" t="inlineStr">
        <is>
          <t>CUERVO STRAWBERRY MARGARITA / 20PF</t>
        </is>
      </c>
      <c r="C1538" s="7">
        <f>VLOOKUP(A1538,SizeData!A$2:B$3839,2,FALSE)</f>
        <v/>
      </c>
      <c r="D1538" s="6" t="n">
        <v>4</v>
      </c>
      <c r="E1538" s="6" t="inlineStr">
        <is>
          <t>R1645015</t>
        </is>
      </c>
      <c r="F1538" s="2" t="n">
        <v>44712</v>
      </c>
      <c r="G1538" s="1" t="n"/>
    </row>
    <row r="1539">
      <c r="A1539" s="6" t="n">
        <v>58868</v>
      </c>
      <c r="B1539" s="6" t="inlineStr">
        <is>
          <t>CUERVO STRAWBERRY MARGARITA / 20PF</t>
        </is>
      </c>
      <c r="C1539" s="7">
        <f>VLOOKUP(A1539,SizeData!A$2:B$3839,2,FALSE)</f>
        <v/>
      </c>
      <c r="D1539" s="6" t="n">
        <v>3</v>
      </c>
      <c r="E1539" s="6" t="inlineStr">
        <is>
          <t>R1678551</t>
        </is>
      </c>
      <c r="F1539" s="2" t="n">
        <v>44751</v>
      </c>
      <c r="G1539" s="1" t="n"/>
    </row>
    <row r="1540">
      <c r="A1540" s="6" t="n">
        <v>58868</v>
      </c>
      <c r="B1540" s="6" t="inlineStr">
        <is>
          <t>CUERVO STRAWBERRY MARGARITA / 20PF</t>
        </is>
      </c>
      <c r="C1540" s="7">
        <f>VLOOKUP(A1540,SizeData!A$2:B$3839,2,FALSE)</f>
        <v/>
      </c>
      <c r="D1540" s="6" t="n">
        <v>2</v>
      </c>
      <c r="E1540" s="6" t="inlineStr">
        <is>
          <t>R1683818</t>
        </is>
      </c>
      <c r="F1540" s="2" t="n">
        <v>44754</v>
      </c>
      <c r="G1540" s="1" t="n"/>
    </row>
    <row r="1541">
      <c r="A1541" s="6" t="n">
        <v>58868</v>
      </c>
      <c r="B1541" s="6" t="inlineStr">
        <is>
          <t>CUERVO STRAWBERRY MARGARITA / 20PF</t>
        </is>
      </c>
      <c r="C1541" s="7">
        <f>VLOOKUP(A1541,SizeData!A$2:B$3839,2,FALSE)</f>
        <v/>
      </c>
      <c r="D1541" s="6" t="n">
        <v>1</v>
      </c>
      <c r="E1541" s="6" t="inlineStr">
        <is>
          <t>R1701532</t>
        </is>
      </c>
      <c r="F1541" s="2" t="n">
        <v>44765</v>
      </c>
      <c r="G1541" s="1" t="n"/>
    </row>
    <row r="1542">
      <c r="A1542" s="6" t="n">
        <v>58868</v>
      </c>
      <c r="B1542" s="6" t="inlineStr">
        <is>
          <t>CUERVO STRAWBERRY MARGARITA / 20PF</t>
        </is>
      </c>
      <c r="C1542" s="7">
        <f>VLOOKUP(A1542,SizeData!A$2:B$3839,2,FALSE)</f>
        <v/>
      </c>
      <c r="D1542" s="6" t="n">
        <v>1</v>
      </c>
      <c r="E1542" s="6" t="inlineStr">
        <is>
          <t>R1699078</t>
        </is>
      </c>
      <c r="F1542" s="2" t="n">
        <v>44769</v>
      </c>
      <c r="G1542" s="1" t="n"/>
    </row>
    <row r="1543">
      <c r="A1543" s="6" t="n">
        <v>560350</v>
      </c>
      <c r="B1543" s="6" t="inlineStr">
        <is>
          <t>CUPCAKE CHARDONNAY CENTRAL COAST</t>
        </is>
      </c>
      <c r="C1543" s="7">
        <f>VLOOKUP(A1543,SizeData!A$2:B$3839,2,FALSE)</f>
        <v/>
      </c>
      <c r="D1543" s="6" t="n">
        <v>1</v>
      </c>
      <c r="E1543" s="6" t="inlineStr">
        <is>
          <t>R1650316</t>
        </is>
      </c>
      <c r="F1543" s="2" t="n">
        <v>44714</v>
      </c>
      <c r="G1543" s="1" t="n"/>
    </row>
    <row r="1544">
      <c r="A1544" s="6" t="n">
        <v>359592</v>
      </c>
      <c r="B1544" s="6" t="inlineStr">
        <is>
          <t>CUPCAKE MOSCATO</t>
        </is>
      </c>
      <c r="C1544" s="7">
        <f>VLOOKUP(A1544,SizeData!A$2:B$3839,2,FALSE)</f>
        <v/>
      </c>
      <c r="D1544" s="6" t="n">
        <v>2</v>
      </c>
      <c r="E1544" s="6" t="inlineStr">
        <is>
          <t>R1393111</t>
        </is>
      </c>
      <c r="F1544" s="2" t="n">
        <v>44559</v>
      </c>
      <c r="G1544" s="1" t="n"/>
    </row>
    <row r="1545">
      <c r="A1545" s="6" t="n">
        <v>359592</v>
      </c>
      <c r="B1545" s="6" t="inlineStr">
        <is>
          <t>CUPCAKE MOSCATO</t>
        </is>
      </c>
      <c r="C1545" s="7">
        <f>VLOOKUP(A1545,SizeData!A$2:B$3839,2,FALSE)</f>
        <v/>
      </c>
      <c r="D1545" s="6" t="n">
        <v>2</v>
      </c>
      <c r="E1545" s="6" t="inlineStr">
        <is>
          <t>R1494781</t>
        </is>
      </c>
      <c r="F1545" s="2" t="n">
        <v>44634</v>
      </c>
      <c r="G1545" s="1" t="n"/>
    </row>
    <row r="1546">
      <c r="A1546" s="6" t="n">
        <v>359592</v>
      </c>
      <c r="B1546" s="6" t="inlineStr">
        <is>
          <t>CUPCAKE MOSCATO</t>
        </is>
      </c>
      <c r="C1546" s="7">
        <f>VLOOKUP(A1546,SizeData!A$2:B$3839,2,FALSE)</f>
        <v/>
      </c>
      <c r="D1546" s="6" t="n">
        <v>2</v>
      </c>
      <c r="E1546" s="6" t="inlineStr">
        <is>
          <t>R1494781</t>
        </is>
      </c>
      <c r="F1546" s="2" t="n">
        <v>44634</v>
      </c>
      <c r="G1546" s="1" t="n"/>
    </row>
    <row r="1547">
      <c r="A1547" s="26" t="n">
        <v>359592</v>
      </c>
      <c r="B1547" s="26" t="inlineStr">
        <is>
          <t>CUPCAKE MOSCATO</t>
        </is>
      </c>
      <c r="C1547" s="75">
        <f>VLOOKUP(A1547,SizeData!A$2:B$3839,2,FALSE)</f>
        <v/>
      </c>
      <c r="D1547" s="26" t="n">
        <v>1</v>
      </c>
      <c r="E1547" s="26" t="inlineStr">
        <is>
          <t>R1792137</t>
        </is>
      </c>
      <c r="F1547" s="61" t="n">
        <v>44835</v>
      </c>
      <c r="G1547" s="62" t="n"/>
    </row>
    <row r="1548">
      <c r="A1548" s="6" t="n">
        <v>58263</v>
      </c>
      <c r="B1548" s="6" t="inlineStr">
        <is>
          <t>CUTWATER MANGO MARGARITA</t>
        </is>
      </c>
      <c r="C1548" s="7">
        <f>VLOOKUP(A1548,SizeData!A$2:B$3839,2,FALSE)</f>
        <v/>
      </c>
      <c r="D1548" s="6" t="n">
        <v>1</v>
      </c>
      <c r="E1548" s="6" t="inlineStr">
        <is>
          <t>R1739883</t>
        </is>
      </c>
      <c r="F1548" s="2" t="n">
        <v>44800</v>
      </c>
      <c r="G1548" s="1" t="n"/>
    </row>
    <row r="1549">
      <c r="A1549" s="6" t="n">
        <v>58263</v>
      </c>
      <c r="B1549" s="6" t="inlineStr">
        <is>
          <t>CUTWATER MANGO MARGARITA</t>
        </is>
      </c>
      <c r="C1549" s="7">
        <f>VLOOKUP(A1549,SizeData!A$2:B$3839,2,FALSE)</f>
        <v/>
      </c>
      <c r="D1549" s="6" t="n">
        <v>1</v>
      </c>
      <c r="E1549" s="6" t="inlineStr">
        <is>
          <t>R1827574</t>
        </is>
      </c>
      <c r="F1549" s="2" t="n">
        <v>44859</v>
      </c>
      <c r="G1549" s="1" t="n"/>
    </row>
    <row r="1550">
      <c r="A1550" s="6" t="n">
        <v>58263</v>
      </c>
      <c r="B1550" s="6" t="inlineStr">
        <is>
          <t>CUTWATER MANGO MARGARITA</t>
        </is>
      </c>
      <c r="C1550" s="7">
        <f>VLOOKUP(A1550,SizeData!A$2:B$3839,2,FALSE)</f>
        <v/>
      </c>
      <c r="D1550" s="6" t="n">
        <v>1</v>
      </c>
      <c r="E1550" s="6" t="inlineStr">
        <is>
          <t>R1892470</t>
        </is>
      </c>
      <c r="F1550" s="2" t="n">
        <v>44902</v>
      </c>
      <c r="G1550" s="1" t="n"/>
    </row>
    <row r="1551">
      <c r="A1551" s="6" t="n">
        <v>58263</v>
      </c>
      <c r="B1551" s="6" t="inlineStr">
        <is>
          <t>CUTWATER MANGO MARGARITA</t>
        </is>
      </c>
      <c r="C1551" s="7">
        <f>VLOOKUP(A1551,SizeData!A$2:B$3839,2,FALSE)</f>
        <v/>
      </c>
      <c r="D1551" s="6" t="n">
        <v>2</v>
      </c>
      <c r="E1551" s="6" t="inlineStr">
        <is>
          <t>R1906505</t>
        </is>
      </c>
      <c r="F1551" s="2" t="n">
        <v>44902</v>
      </c>
      <c r="G1551" s="1" t="n"/>
    </row>
    <row r="1552">
      <c r="A1552" s="6" t="n">
        <v>58267</v>
      </c>
      <c r="B1552" s="6" t="inlineStr">
        <is>
          <t>CUTWATER PINA COLADA</t>
        </is>
      </c>
      <c r="C1552" s="7">
        <f>VLOOKUP(A1552,SizeData!A$2:B$3839,2,FALSE)</f>
        <v/>
      </c>
      <c r="D1552" s="6" t="n">
        <v>1</v>
      </c>
      <c r="E1552" s="6" t="inlineStr">
        <is>
          <t>R1728783</t>
        </is>
      </c>
      <c r="F1552" s="2" t="n">
        <v>44793</v>
      </c>
      <c r="G1552" s="1" t="n"/>
    </row>
    <row r="1553">
      <c r="A1553" s="6" t="n">
        <v>58267</v>
      </c>
      <c r="B1553" s="6" t="inlineStr">
        <is>
          <t>CUTWATER PINA COLADA</t>
        </is>
      </c>
      <c r="C1553" s="7">
        <f>VLOOKUP(A1553,SizeData!A$2:B$3839,2,FALSE)</f>
        <v/>
      </c>
      <c r="D1553" s="6" t="n">
        <v>1</v>
      </c>
      <c r="E1553" s="6" t="inlineStr">
        <is>
          <t>R1834243</t>
        </is>
      </c>
      <c r="F1553" s="2" t="n">
        <v>44865</v>
      </c>
      <c r="G1553" s="1" t="n"/>
    </row>
    <row r="1554">
      <c r="A1554" s="6" t="n">
        <v>58269</v>
      </c>
      <c r="B1554" s="6" t="inlineStr">
        <is>
          <t>CUTWATER STRAWBERRY MARGARITA</t>
        </is>
      </c>
      <c r="C1554" s="7">
        <f>VLOOKUP(A1554,SizeData!A$2:B$3839,2,FALSE)</f>
        <v/>
      </c>
      <c r="D1554" s="6" t="n">
        <v>1</v>
      </c>
      <c r="E1554" s="6" t="inlineStr">
        <is>
          <t>R1827574</t>
        </is>
      </c>
      <c r="F1554" s="2" t="n">
        <v>44859</v>
      </c>
      <c r="G1554" s="1" t="n"/>
    </row>
    <row r="1555">
      <c r="A1555" s="6" t="n">
        <v>47858</v>
      </c>
      <c r="B1555" s="6" t="inlineStr">
        <is>
          <t>DAVIDOFF SPECIAL V COGNAC</t>
        </is>
      </c>
      <c r="C1555" s="7">
        <f>VLOOKUP(A1555,SizeData!A$2:B$3839,2,FALSE)</f>
        <v/>
      </c>
      <c r="D1555" s="6" t="n">
        <v>1</v>
      </c>
      <c r="E1555" s="6" t="inlineStr">
        <is>
          <t>R1841387</t>
        </is>
      </c>
      <c r="F1555" s="2" t="n">
        <v>44869</v>
      </c>
      <c r="G1555" s="1" t="n"/>
    </row>
    <row r="1556">
      <c r="A1556" s="6" t="n">
        <v>47876</v>
      </c>
      <c r="B1556" s="6" t="inlineStr">
        <is>
          <t>DE LUZE VS COGNAC</t>
        </is>
      </c>
      <c r="C1556" s="7">
        <f>VLOOKUP(A1556,SizeData!A$2:B$3839,2,FALSE)</f>
        <v/>
      </c>
      <c r="D1556" s="6" t="n">
        <v>5</v>
      </c>
      <c r="E1556" s="6" t="inlineStr">
        <is>
          <t>R1672878</t>
        </is>
      </c>
      <c r="F1556" s="2" t="n">
        <v>44743</v>
      </c>
      <c r="G1556" s="1" t="n"/>
    </row>
    <row r="1557">
      <c r="A1557" s="26" t="n">
        <v>40053</v>
      </c>
      <c r="B1557" s="26" t="inlineStr">
        <is>
          <t>DEEP EDDY LEMON FLAVORED VODKA</t>
        </is>
      </c>
      <c r="C1557" s="75">
        <f>VLOOKUP(A1557,SizeData!A$2:B$3839,2,FALSE)</f>
        <v/>
      </c>
      <c r="D1557" s="26" t="n">
        <v>1</v>
      </c>
      <c r="E1557" s="26" t="inlineStr">
        <is>
          <t>R1842887</t>
        </is>
      </c>
      <c r="F1557" s="61" t="n">
        <v>44867</v>
      </c>
      <c r="G1557" s="62" t="n"/>
    </row>
    <row r="1558">
      <c r="A1558" s="6" t="n">
        <v>39922</v>
      </c>
      <c r="B1558" s="6" t="inlineStr">
        <is>
          <t>DEEP EDDY PEACH FLAVORED VODKA</t>
        </is>
      </c>
      <c r="C1558" s="7">
        <f>VLOOKUP(A1558,SizeData!A$2:B$3839,2,FALSE)</f>
        <v/>
      </c>
      <c r="D1558" s="6" t="n">
        <v>1</v>
      </c>
      <c r="E1558" s="6" t="inlineStr">
        <is>
          <t>R1842887</t>
        </is>
      </c>
      <c r="F1558" s="2" t="n">
        <v>44867</v>
      </c>
      <c r="G1558" s="1" t="n"/>
    </row>
    <row r="1559">
      <c r="A1559" s="6" t="n">
        <v>40327</v>
      </c>
      <c r="B1559" s="6" t="inlineStr">
        <is>
          <t>DEEP EDDY RUBY RED GRAPEFRUIT FLAVORED VODKA</t>
        </is>
      </c>
      <c r="C1559" s="7">
        <f>VLOOKUP(A1559,SizeData!A$2:B$3839,2,FALSE)</f>
        <v/>
      </c>
      <c r="D1559" s="6" t="n">
        <v>1</v>
      </c>
      <c r="E1559" s="6" t="inlineStr">
        <is>
          <t>R1842887</t>
        </is>
      </c>
      <c r="F1559" s="2" t="n">
        <v>44867</v>
      </c>
      <c r="G1559" s="1" t="n"/>
    </row>
    <row r="1560">
      <c r="A1560" s="26" t="n">
        <v>36122</v>
      </c>
      <c r="B1560" s="26" t="inlineStr">
        <is>
          <t>DEEP EDDY VODKA</t>
        </is>
      </c>
      <c r="C1560" s="75">
        <f>VLOOKUP(A1560,SizeData!A$2:B$3839,2,FALSE)</f>
        <v/>
      </c>
      <c r="D1560" s="26" t="n">
        <v>1</v>
      </c>
      <c r="E1560" s="26" t="inlineStr">
        <is>
          <t>R1842887</t>
        </is>
      </c>
      <c r="F1560" s="61" t="n">
        <v>44867</v>
      </c>
      <c r="G1560" s="62" t="n"/>
    </row>
    <row r="1561">
      <c r="A1561" s="6" t="n">
        <v>85526</v>
      </c>
      <c r="B1561" s="6" t="inlineStr">
        <is>
          <t>DEKUYPER BLUE CURACAO</t>
        </is>
      </c>
      <c r="C1561" s="7">
        <f>VLOOKUP(A1561,SizeData!A$2:B$3839,2,FALSE)</f>
        <v/>
      </c>
      <c r="D1561" s="6" t="n">
        <v>1</v>
      </c>
      <c r="E1561" s="6" t="inlineStr">
        <is>
          <t>R1694782</t>
        </is>
      </c>
      <c r="F1561" s="2" t="n">
        <v>44769</v>
      </c>
      <c r="G1561" s="1" t="n"/>
    </row>
    <row r="1562">
      <c r="A1562" s="6" t="n">
        <v>80684</v>
      </c>
      <c r="B1562" s="6" t="inlineStr">
        <is>
          <t>DEKUYPER BLUSTERY PEPPERMINT SCHNAPPS</t>
        </is>
      </c>
      <c r="C1562" s="7">
        <f>VLOOKUP(A1562,SizeData!A$2:B$3839,2,FALSE)</f>
        <v/>
      </c>
      <c r="D1562" s="6" t="n">
        <v>1</v>
      </c>
      <c r="E1562" s="6" t="inlineStr">
        <is>
          <t>R1888886</t>
        </is>
      </c>
      <c r="F1562" s="2" t="n">
        <v>44902</v>
      </c>
      <c r="G1562" s="1" t="n"/>
    </row>
    <row r="1563">
      <c r="A1563" s="6" t="n">
        <v>73526</v>
      </c>
      <c r="B1563" s="6" t="inlineStr">
        <is>
          <t>DEKUYPER MELON DEW LIQUEUR</t>
        </is>
      </c>
      <c r="C1563" s="7">
        <f>VLOOKUP(A1563,SizeData!A$2:B$3839,2,FALSE)</f>
        <v/>
      </c>
      <c r="D1563" s="6" t="n">
        <v>1</v>
      </c>
      <c r="E1563" s="6" t="inlineStr">
        <is>
          <t>R1683808</t>
        </is>
      </c>
      <c r="F1563" s="2" t="n">
        <v>44754</v>
      </c>
      <c r="G1563" s="1" t="n"/>
    </row>
    <row r="1564">
      <c r="A1564" s="6" t="n">
        <v>82846</v>
      </c>
      <c r="B1564" s="6" t="inlineStr">
        <is>
          <t>DEKUYPER PEACHTREE SCHNAPPS</t>
        </is>
      </c>
      <c r="C1564" s="7">
        <f>VLOOKUP(A1564,SizeData!A$2:B$3839,2,FALSE)</f>
        <v/>
      </c>
      <c r="D1564" s="6" t="n">
        <v>1</v>
      </c>
      <c r="E1564" s="6" t="inlineStr">
        <is>
          <t>R1504703</t>
        </is>
      </c>
      <c r="F1564" s="2" t="n">
        <v>44632</v>
      </c>
      <c r="G1564" s="1" t="n"/>
    </row>
    <row r="1565">
      <c r="A1565" s="6" t="n">
        <v>82846</v>
      </c>
      <c r="B1565" s="6" t="inlineStr">
        <is>
          <t>DEKUYPER PEACHTREE SCHNAPPS</t>
        </is>
      </c>
      <c r="C1565" s="7">
        <f>VLOOKUP(A1565,SizeData!A$2:B$3839,2,FALSE)</f>
        <v/>
      </c>
      <c r="D1565" s="6" t="n">
        <v>1</v>
      </c>
      <c r="E1565" s="6" t="inlineStr">
        <is>
          <t>R1563525</t>
        </is>
      </c>
      <c r="F1565" s="2" t="n">
        <v>44666</v>
      </c>
      <c r="G1565" s="1" t="n"/>
    </row>
    <row r="1566">
      <c r="A1566" s="6" t="n">
        <v>82846</v>
      </c>
      <c r="B1566" s="6" t="inlineStr">
        <is>
          <t>DEKUYPER PEACHTREE SCHNAPPS</t>
        </is>
      </c>
      <c r="C1566" s="7">
        <f>VLOOKUP(A1566,SizeData!A$2:B$3839,2,FALSE)</f>
        <v/>
      </c>
      <c r="D1566" s="6" t="n">
        <v>1</v>
      </c>
      <c r="E1566" s="6" t="inlineStr">
        <is>
          <t>R1569610</t>
        </is>
      </c>
      <c r="F1566" s="2" t="n">
        <v>44669</v>
      </c>
      <c r="G1566" s="1" t="n"/>
    </row>
    <row r="1567">
      <c r="A1567" s="6" t="n">
        <v>82846</v>
      </c>
      <c r="B1567" s="6" t="inlineStr">
        <is>
          <t>DEKUYPER PEACHTREE SCHNAPPS</t>
        </is>
      </c>
      <c r="C1567" s="7">
        <f>VLOOKUP(A1567,SizeData!A$2:B$3839,2,FALSE)</f>
        <v/>
      </c>
      <c r="D1567" s="6" t="n">
        <v>1</v>
      </c>
      <c r="E1567" s="6" t="inlineStr">
        <is>
          <t>R1742052</t>
        </is>
      </c>
      <c r="F1567" s="2" t="n">
        <v>44795</v>
      </c>
      <c r="G1567" s="1" t="n"/>
    </row>
    <row r="1568">
      <c r="A1568" s="6" t="n">
        <v>73456</v>
      </c>
      <c r="B1568" s="6" t="inlineStr">
        <is>
          <t>DEKUYPER RAZZMATAZZ RASP/LMNADE LIQUEUR</t>
        </is>
      </c>
      <c r="C1568" s="7">
        <f>VLOOKUP(A1568,SizeData!A$2:B$3839,2,FALSE)</f>
        <v/>
      </c>
      <c r="D1568" s="6" t="n">
        <v>1</v>
      </c>
      <c r="E1568" s="6" t="inlineStr">
        <is>
          <t>R1569610</t>
        </is>
      </c>
      <c r="F1568" s="2" t="n">
        <v>44669</v>
      </c>
      <c r="G1568" s="1" t="n"/>
    </row>
    <row r="1569">
      <c r="A1569" s="6" t="n">
        <v>82606</v>
      </c>
      <c r="B1569" s="6" t="inlineStr">
        <is>
          <t>DEKUYPER SOUR APPLE PUCKER SCHNAPPS</t>
        </is>
      </c>
      <c r="C1569" s="7">
        <f>VLOOKUP(A1569,SizeData!A$2:B$3839,2,FALSE)</f>
        <v/>
      </c>
      <c r="D1569" s="6" t="n">
        <v>1</v>
      </c>
      <c r="E1569" s="6" t="inlineStr">
        <is>
          <t>R1614837</t>
        </is>
      </c>
      <c r="F1569" s="2" t="n">
        <v>44702</v>
      </c>
      <c r="G1569" s="1" t="n"/>
    </row>
    <row r="1570">
      <c r="A1570" s="26" t="n">
        <v>82820</v>
      </c>
      <c r="B1570" s="26" t="inlineStr">
        <is>
          <t>DEKUYPER STRAWBERRY PUCKER SCHNAPPS</t>
        </is>
      </c>
      <c r="C1570" s="7">
        <f>VLOOKUP(A1570,SizeData!A$2:B$3839,2,FALSE)</f>
        <v/>
      </c>
      <c r="D1570" s="26" t="n">
        <v>1</v>
      </c>
      <c r="E1570" s="26" t="inlineStr">
        <is>
          <t>R1760203</t>
        </is>
      </c>
      <c r="F1570" s="61" t="n">
        <v>44791</v>
      </c>
      <c r="G1570" s="62" t="n"/>
    </row>
    <row r="1571">
      <c r="A1571" s="6" t="n">
        <v>86110</v>
      </c>
      <c r="B1571" s="6" t="inlineStr">
        <is>
          <t>DEKUYPER TRIPLE SEC</t>
        </is>
      </c>
      <c r="C1571" s="7">
        <f>VLOOKUP(A1571,SizeData!A$2:B$3839,2,FALSE)</f>
        <v/>
      </c>
      <c r="D1571" s="6" t="n">
        <v>1</v>
      </c>
      <c r="E1571" s="6" t="inlineStr">
        <is>
          <t>R1426776</t>
        </is>
      </c>
      <c r="F1571" s="2" t="n">
        <v>44585</v>
      </c>
      <c r="G1571" s="1" t="n"/>
    </row>
    <row r="1572">
      <c r="A1572" s="6" t="n">
        <v>86110</v>
      </c>
      <c r="B1572" s="6" t="inlineStr">
        <is>
          <t>DEKUYPER TRIPLE SEC</t>
        </is>
      </c>
      <c r="C1572" s="7">
        <f>VLOOKUP(A1572,SizeData!A$2:B$3839,2,FALSE)</f>
        <v/>
      </c>
      <c r="D1572" s="6" t="n">
        <v>1</v>
      </c>
      <c r="E1572" s="6" t="inlineStr">
        <is>
          <t>R1472202</t>
        </is>
      </c>
      <c r="F1572" s="2" t="n">
        <v>44608</v>
      </c>
      <c r="G1572" s="1" t="n"/>
    </row>
    <row r="1573">
      <c r="A1573" s="6" t="n">
        <v>86110</v>
      </c>
      <c r="B1573" s="6" t="inlineStr">
        <is>
          <t>DEKUYPER TRIPLE SEC</t>
        </is>
      </c>
      <c r="C1573" s="7">
        <f>VLOOKUP(A1573,SizeData!A$2:B$3839,2,FALSE)</f>
        <v/>
      </c>
      <c r="D1573" s="6" t="n">
        <v>1</v>
      </c>
      <c r="E1573" s="6" t="inlineStr">
        <is>
          <t>R1486336</t>
        </is>
      </c>
      <c r="F1573" s="2" t="n">
        <v>44620</v>
      </c>
      <c r="G1573" s="1" t="n"/>
    </row>
    <row r="1574">
      <c r="A1574" s="6" t="n">
        <v>86110</v>
      </c>
      <c r="B1574" s="6" t="inlineStr">
        <is>
          <t>DEKUYPER TRIPLE SEC</t>
        </is>
      </c>
      <c r="C1574" s="7">
        <f>VLOOKUP(A1574,SizeData!A$2:B$3839,2,FALSE)</f>
        <v/>
      </c>
      <c r="D1574" s="6" t="n">
        <v>2</v>
      </c>
      <c r="E1574" s="6" t="inlineStr">
        <is>
          <t>R1569610</t>
        </is>
      </c>
      <c r="F1574" s="2" t="n">
        <v>44669</v>
      </c>
      <c r="G1574" s="1" t="n"/>
    </row>
    <row r="1575">
      <c r="A1575" s="6" t="n">
        <v>86110</v>
      </c>
      <c r="B1575" s="6" t="inlineStr">
        <is>
          <t>DEKUYPER TRIPLE SEC</t>
        </is>
      </c>
      <c r="C1575" s="7">
        <f>VLOOKUP(A1575,SizeData!A$2:B$3839,2,FALSE)</f>
        <v/>
      </c>
      <c r="D1575" s="6" t="n">
        <v>1</v>
      </c>
      <c r="E1575" s="6" t="inlineStr">
        <is>
          <t>R1746324</t>
        </is>
      </c>
      <c r="F1575" s="2" t="n">
        <v>44796</v>
      </c>
      <c r="G1575" s="1" t="n"/>
    </row>
    <row r="1576">
      <c r="A1576" s="6" t="n">
        <v>82866</v>
      </c>
      <c r="B1576" s="6" t="inlineStr">
        <is>
          <t>DEKUYPER WATERMELON PUCKER SCHNAPPS</t>
        </is>
      </c>
      <c r="C1576" s="7">
        <f>VLOOKUP(A1576,SizeData!A$2:B$3839,2,FALSE)</f>
        <v/>
      </c>
      <c r="D1576" s="6" t="n">
        <v>1</v>
      </c>
      <c r="E1576" s="6" t="inlineStr">
        <is>
          <t>R1425372</t>
        </is>
      </c>
      <c r="F1576" s="2" t="n">
        <v>44574</v>
      </c>
      <c r="G1576" s="1" t="n"/>
    </row>
    <row r="1577">
      <c r="A1577" s="6" t="n">
        <v>82866</v>
      </c>
      <c r="B1577" s="6" t="inlineStr">
        <is>
          <t>DEKUYPER WATERMELON PUCKER SCHNAPPS</t>
        </is>
      </c>
      <c r="C1577" s="7">
        <f>VLOOKUP(A1577,SizeData!A$2:B$3839,2,FALSE)</f>
        <v/>
      </c>
      <c r="D1577" s="6" t="n">
        <v>1</v>
      </c>
      <c r="E1577" s="6" t="inlineStr">
        <is>
          <t>R1718725</t>
        </is>
      </c>
      <c r="F1577" s="2" t="n">
        <v>44777</v>
      </c>
      <c r="G1577" s="1" t="n"/>
    </row>
    <row r="1578">
      <c r="A1578" s="6" t="n">
        <v>87563</v>
      </c>
      <c r="B1578" s="6" t="inlineStr">
        <is>
          <t>DELEON BLANCO TEQUILA</t>
        </is>
      </c>
      <c r="C1578" s="7">
        <f>VLOOKUP(A1578,SizeData!A$2:B$3839,2,FALSE)</f>
        <v/>
      </c>
      <c r="D1578" s="6" t="n">
        <v>1</v>
      </c>
      <c r="E1578" s="6" t="inlineStr">
        <is>
          <t>R1572421</t>
        </is>
      </c>
      <c r="F1578" s="2" t="n">
        <v>44667</v>
      </c>
      <c r="G1578" s="1" t="n"/>
    </row>
    <row r="1579">
      <c r="A1579" s="6" t="n">
        <v>87563</v>
      </c>
      <c r="B1579" s="6" t="inlineStr">
        <is>
          <t>DELEON BLANCO TEQUILA</t>
        </is>
      </c>
      <c r="C1579" s="7">
        <f>VLOOKUP(A1579,SizeData!A$2:B$3839,2,FALSE)</f>
        <v/>
      </c>
      <c r="D1579" s="6" t="n">
        <v>2</v>
      </c>
      <c r="E1579" s="6" t="inlineStr">
        <is>
          <t>R1725199</t>
        </is>
      </c>
      <c r="F1579" s="2" t="n">
        <v>44775</v>
      </c>
      <c r="G1579" s="1" t="n"/>
    </row>
    <row r="1580">
      <c r="A1580" s="26" t="n">
        <v>87563</v>
      </c>
      <c r="B1580" s="26" t="inlineStr">
        <is>
          <t>DELEON BLANCO TEQUILA</t>
        </is>
      </c>
      <c r="C1580" s="7">
        <f>VLOOKUP(A1580,SizeData!A$2:B$3839,2,FALSE)</f>
        <v/>
      </c>
      <c r="D1580" s="26" t="n">
        <v>1</v>
      </c>
      <c r="E1580" s="26" t="inlineStr">
        <is>
          <t>R1727741</t>
        </is>
      </c>
      <c r="F1580" s="61" t="n">
        <v>44786</v>
      </c>
      <c r="G1580" s="62" t="n"/>
    </row>
    <row r="1581">
      <c r="A1581" s="6" t="n">
        <v>87563</v>
      </c>
      <c r="B1581" s="6" t="inlineStr">
        <is>
          <t>DELEON BLANCO TEQUILA</t>
        </is>
      </c>
      <c r="C1581" s="7">
        <f>VLOOKUP(A1581,SizeData!A$2:B$3839,2,FALSE)</f>
        <v/>
      </c>
      <c r="D1581" s="6" t="n">
        <v>3</v>
      </c>
      <c r="E1581" s="6" t="inlineStr">
        <is>
          <t>R1764772</t>
        </is>
      </c>
      <c r="F1581" s="2" t="n">
        <v>44819</v>
      </c>
      <c r="G1581" s="1" t="n"/>
    </row>
    <row r="1582">
      <c r="A1582" s="26" t="n">
        <v>87563</v>
      </c>
      <c r="B1582" s="26" t="inlineStr">
        <is>
          <t>DELEON BLANCO TEQUILA</t>
        </is>
      </c>
      <c r="C1582" s="7">
        <f>VLOOKUP(A1582,SizeData!A$2:B$3839,2,FALSE)</f>
        <v/>
      </c>
      <c r="D1582" s="26" t="n">
        <v>1</v>
      </c>
      <c r="E1582" s="26" t="inlineStr">
        <is>
          <t>R1764772</t>
        </is>
      </c>
      <c r="F1582" s="61" t="n">
        <v>44819</v>
      </c>
      <c r="G1582" s="62" t="n"/>
    </row>
    <row r="1583">
      <c r="A1583" s="6" t="n">
        <v>87563</v>
      </c>
      <c r="B1583" s="6" t="inlineStr">
        <is>
          <t>DELEON BLANCO TEQUILA</t>
        </is>
      </c>
      <c r="C1583" s="7">
        <f>VLOOKUP(A1583,SizeData!A$2:B$3839,2,FALSE)</f>
        <v/>
      </c>
      <c r="D1583" s="6" t="n">
        <v>1</v>
      </c>
      <c r="E1583" s="6" t="inlineStr">
        <is>
          <t>R1830260</t>
        </is>
      </c>
      <c r="F1583" s="2" t="n">
        <v>44853</v>
      </c>
      <c r="G1583" s="1" t="n"/>
    </row>
    <row r="1584">
      <c r="A1584" s="26" t="n">
        <v>87563</v>
      </c>
      <c r="B1584" s="26" t="inlineStr">
        <is>
          <t>DELEON BLANCO TEQUILA</t>
        </is>
      </c>
      <c r="C1584" s="75">
        <f>VLOOKUP(A1584,SizeData!A$2:B$3839,2,FALSE)</f>
        <v/>
      </c>
      <c r="D1584" s="26" t="n">
        <v>1</v>
      </c>
      <c r="E1584" s="26" t="inlineStr">
        <is>
          <t>R1837216</t>
        </is>
      </c>
      <c r="F1584" s="61" t="n">
        <v>44855</v>
      </c>
      <c r="G1584" s="62" t="n"/>
    </row>
    <row r="1585">
      <c r="A1585" s="6" t="n">
        <v>87563</v>
      </c>
      <c r="B1585" s="6" t="inlineStr">
        <is>
          <t>DELEON BLANCO TEQUILA</t>
        </is>
      </c>
      <c r="C1585" s="7">
        <f>VLOOKUP(A1585,SizeData!A$2:B$3839,2,FALSE)</f>
        <v/>
      </c>
      <c r="D1585" s="6" t="n">
        <v>4</v>
      </c>
      <c r="E1585" s="6" t="inlineStr">
        <is>
          <t>R1893830</t>
        </is>
      </c>
      <c r="F1585" s="2" t="n">
        <v>44902</v>
      </c>
      <c r="G1585" s="1" t="n"/>
    </row>
    <row r="1586">
      <c r="A1586" s="6" t="n">
        <v>4868</v>
      </c>
      <c r="B1586" s="6" t="inlineStr">
        <is>
          <t>DEWAR'S WHITE LABEL</t>
        </is>
      </c>
      <c r="C1586" s="7">
        <f>VLOOKUP(A1586,SizeData!A$2:B$3839,2,FALSE)</f>
        <v/>
      </c>
      <c r="D1586" s="6" t="n">
        <v>1</v>
      </c>
      <c r="E1586" s="6" t="inlineStr">
        <is>
          <t>R1646609</t>
        </is>
      </c>
      <c r="F1586" s="2" t="n">
        <v>44719</v>
      </c>
      <c r="G1586" s="1" t="n"/>
    </row>
    <row r="1587">
      <c r="A1587" s="6" t="n">
        <v>4868</v>
      </c>
      <c r="B1587" s="6" t="inlineStr">
        <is>
          <t>DEWAR'S WHITE LABEL</t>
        </is>
      </c>
      <c r="C1587" s="7">
        <f>VLOOKUP(A1587,SizeData!A$2:B$3839,2,FALSE)</f>
        <v/>
      </c>
      <c r="D1587" s="6" t="n">
        <v>1</v>
      </c>
      <c r="E1587" s="6" t="inlineStr">
        <is>
          <t>R1646609</t>
        </is>
      </c>
      <c r="F1587" s="2" t="n">
        <v>44719</v>
      </c>
      <c r="G1587" s="1" t="n"/>
    </row>
    <row r="1588">
      <c r="A1588" s="6" t="n">
        <v>4868</v>
      </c>
      <c r="B1588" s="6" t="inlineStr">
        <is>
          <t>DEWAR'S WHITE LABEL</t>
        </is>
      </c>
      <c r="C1588" s="7">
        <f>VLOOKUP(A1588,SizeData!A$2:B$3839,2,FALSE)</f>
        <v/>
      </c>
      <c r="D1588" s="6" t="n">
        <v>3</v>
      </c>
      <c r="E1588" s="6" t="inlineStr">
        <is>
          <t>R1638121</t>
        </is>
      </c>
      <c r="F1588" s="2" t="n">
        <v>44721</v>
      </c>
      <c r="G1588" s="1" t="n"/>
    </row>
    <row r="1589">
      <c r="A1589" s="6" t="n">
        <v>64135</v>
      </c>
      <c r="B1589" s="6" t="inlineStr">
        <is>
          <t>DI SARONNO AMARETTO</t>
        </is>
      </c>
      <c r="C1589" s="7">
        <f>VLOOKUP(A1589,SizeData!A$2:B$3839,2,FALSE)</f>
        <v/>
      </c>
      <c r="D1589" s="6" t="n">
        <v>1</v>
      </c>
      <c r="E1589" s="6" t="inlineStr">
        <is>
          <t>R1697777</t>
        </is>
      </c>
      <c r="F1589" s="2" t="n">
        <v>44767</v>
      </c>
      <c r="G1589" s="1" t="n"/>
    </row>
    <row r="1590">
      <c r="A1590" s="6" t="n">
        <v>64136</v>
      </c>
      <c r="B1590" s="6" t="inlineStr">
        <is>
          <t>DI SARONNO AMARETTO</t>
        </is>
      </c>
      <c r="C1590" s="7">
        <f>VLOOKUP(A1590,SizeData!A$2:B$3839,2,FALSE)</f>
        <v/>
      </c>
      <c r="D1590" s="6" t="n">
        <v>10</v>
      </c>
      <c r="E1590" s="6" t="inlineStr">
        <is>
          <t>R1550755</t>
        </is>
      </c>
      <c r="F1590" s="2" t="n">
        <v>44650</v>
      </c>
      <c r="G1590" s="1" t="n"/>
    </row>
    <row r="1591">
      <c r="A1591" s="6" t="n">
        <v>64136</v>
      </c>
      <c r="B1591" s="6" t="inlineStr">
        <is>
          <t>DI SARONNO AMARETTO</t>
        </is>
      </c>
      <c r="C1591" s="7">
        <f>VLOOKUP(A1591,SizeData!A$2:B$3839,2,FALSE)</f>
        <v/>
      </c>
      <c r="D1591" s="6" t="n">
        <v>1</v>
      </c>
      <c r="E1591" s="6" t="inlineStr">
        <is>
          <t>R1569460</t>
        </is>
      </c>
      <c r="F1591" s="2" t="n">
        <v>44672</v>
      </c>
      <c r="G1591" s="1" t="n"/>
    </row>
    <row r="1592">
      <c r="A1592" s="6" t="n">
        <v>64136</v>
      </c>
      <c r="B1592" s="6" t="inlineStr">
        <is>
          <t>DI SARONNO AMARETTO</t>
        </is>
      </c>
      <c r="C1592" s="7">
        <f>VLOOKUP(A1592,SizeData!A$2:B$3839,2,FALSE)</f>
        <v/>
      </c>
      <c r="D1592" s="6" t="n">
        <v>1</v>
      </c>
      <c r="E1592" s="6" t="inlineStr">
        <is>
          <t>R1747750</t>
        </is>
      </c>
      <c r="F1592" s="2" t="n">
        <v>44802</v>
      </c>
      <c r="G1592" s="1" t="n"/>
    </row>
    <row r="1593">
      <c r="A1593" s="6" t="n">
        <v>64136</v>
      </c>
      <c r="B1593" s="6" t="inlineStr">
        <is>
          <t>DI SARONNO AMARETTO</t>
        </is>
      </c>
      <c r="C1593" s="7">
        <f>VLOOKUP(A1593,SizeData!A$2:B$3839,2,FALSE)</f>
        <v/>
      </c>
      <c r="D1593" s="6" t="n">
        <v>3</v>
      </c>
      <c r="E1593" s="6" t="inlineStr">
        <is>
          <t>R1792137</t>
        </is>
      </c>
      <c r="F1593" s="2" t="n">
        <v>44835</v>
      </c>
      <c r="G1593" s="1" t="n"/>
    </row>
    <row r="1594">
      <c r="A1594" s="6" t="n">
        <v>64136</v>
      </c>
      <c r="B1594" s="6" t="inlineStr">
        <is>
          <t>DI SARONNO AMARETTO</t>
        </is>
      </c>
      <c r="C1594" s="7">
        <f>VLOOKUP(A1594,SizeData!A$2:B$3839,2,FALSE)</f>
        <v/>
      </c>
      <c r="D1594" s="6" t="n">
        <v>1</v>
      </c>
      <c r="E1594" s="6" t="inlineStr">
        <is>
          <t>R1794246</t>
        </is>
      </c>
      <c r="F1594" s="2" t="n">
        <v>44837</v>
      </c>
      <c r="G1594" s="1" t="n"/>
    </row>
    <row r="1595">
      <c r="A1595" s="6" t="n">
        <v>43641</v>
      </c>
      <c r="B1595" s="6" t="inlineStr">
        <is>
          <t>DIPLOMATICO RESERVA EXCLUSIVA RUM</t>
        </is>
      </c>
      <c r="C1595" s="7">
        <f>VLOOKUP(A1595,SizeData!A$2:B$3839,2,FALSE)</f>
        <v/>
      </c>
      <c r="D1595" s="6" t="n">
        <v>1</v>
      </c>
      <c r="E1595" s="6" t="inlineStr">
        <is>
          <t>R1905562</t>
        </is>
      </c>
      <c r="F1595" s="2" t="n">
        <v>44902</v>
      </c>
      <c r="G1595" s="1" t="n"/>
    </row>
    <row r="1596">
      <c r="A1596" s="6" t="n">
        <v>64135</v>
      </c>
      <c r="B1596" s="6" t="inlineStr">
        <is>
          <t>DISARONNO AMARETTO</t>
        </is>
      </c>
      <c r="C1596" s="7">
        <f>VLOOKUP(A1596,SizeData!A$2:B$3839,2,FALSE)</f>
        <v/>
      </c>
      <c r="D1596" s="6" t="n">
        <v>1</v>
      </c>
      <c r="E1596" s="6" t="inlineStr">
        <is>
          <t>R1386245</t>
        </is>
      </c>
      <c r="F1596" s="2" t="n">
        <v>44557</v>
      </c>
      <c r="G1596" s="1" t="n"/>
    </row>
    <row r="1597">
      <c r="A1597" s="6" t="n">
        <v>89200</v>
      </c>
      <c r="B1597" s="6" t="inlineStr">
        <is>
          <t>DON JULIO ANEJO 70TH ANNIVERSARY</t>
        </is>
      </c>
      <c r="C1597" s="7">
        <f>VLOOKUP(A1597,SizeData!A$2:B$3839,2,FALSE)</f>
        <v/>
      </c>
      <c r="D1597" s="6" t="n">
        <v>2</v>
      </c>
      <c r="E1597" s="6" t="inlineStr">
        <is>
          <t>R1453745</t>
        </is>
      </c>
      <c r="F1597" s="2" t="n">
        <v>44600</v>
      </c>
      <c r="G1597" s="1" t="n"/>
    </row>
    <row r="1598">
      <c r="A1598" s="6" t="n">
        <v>89200</v>
      </c>
      <c r="B1598" s="6" t="inlineStr">
        <is>
          <t>DON JULIO ANEJO 70TH ANNIVERSARY</t>
        </is>
      </c>
      <c r="C1598" s="7">
        <f>VLOOKUP(A1598,SizeData!A$2:B$3839,2,FALSE)</f>
        <v/>
      </c>
      <c r="D1598" s="6" t="n">
        <v>2</v>
      </c>
      <c r="E1598" s="6" t="inlineStr">
        <is>
          <t>R1565306</t>
        </is>
      </c>
      <c r="F1598" s="2" t="n">
        <v>44655</v>
      </c>
      <c r="G1598" s="1" t="n"/>
    </row>
    <row r="1599">
      <c r="A1599" s="6" t="n">
        <v>89200</v>
      </c>
      <c r="B1599" s="6" t="inlineStr">
        <is>
          <t>DON JULIO ANEJO 70TH ANNIVERSARY</t>
        </is>
      </c>
      <c r="C1599" s="7">
        <f>VLOOKUP(A1599,SizeData!A$2:B$3839,2,FALSE)</f>
        <v/>
      </c>
      <c r="D1599" s="6" t="n">
        <v>2</v>
      </c>
      <c r="E1599" s="6" t="inlineStr">
        <is>
          <t>R1624762</t>
        </is>
      </c>
      <c r="F1599" s="2" t="n">
        <v>44712</v>
      </c>
      <c r="G1599" s="1" t="n"/>
    </row>
    <row r="1600">
      <c r="A1600" s="6" t="n">
        <v>89200</v>
      </c>
      <c r="B1600" s="6" t="inlineStr">
        <is>
          <t>DON JULIO ANEJO 70TH ANNIVERSARY</t>
        </is>
      </c>
      <c r="C1600" s="7">
        <f>VLOOKUP(A1600,SizeData!A$2:B$3839,2,FALSE)</f>
        <v/>
      </c>
      <c r="D1600" s="6" t="n">
        <v>2</v>
      </c>
      <c r="E1600" s="6" t="inlineStr">
        <is>
          <t>R1725199</t>
        </is>
      </c>
      <c r="F1600" s="2" t="n">
        <v>44775</v>
      </c>
      <c r="G1600" s="1" t="n"/>
    </row>
    <row r="1601">
      <c r="A1601" s="6" t="n">
        <v>89200</v>
      </c>
      <c r="B1601" s="6" t="inlineStr">
        <is>
          <t>DON JULIO ANEJO 70TH ANNIVERSARY</t>
        </is>
      </c>
      <c r="C1601" s="7">
        <f>VLOOKUP(A1601,SizeData!A$2:B$3839,2,FALSE)</f>
        <v/>
      </c>
      <c r="D1601" s="6" t="n">
        <v>2</v>
      </c>
      <c r="E1601" s="6" t="inlineStr">
        <is>
          <t>R1721451</t>
        </is>
      </c>
      <c r="F1601" s="2" t="n">
        <v>44776</v>
      </c>
      <c r="G1601" s="1" t="n"/>
    </row>
    <row r="1602">
      <c r="A1602" s="6" t="n">
        <v>89200</v>
      </c>
      <c r="B1602" s="6" t="inlineStr">
        <is>
          <t>DON JULIO ANEJO 70TH ANNIVERSARY</t>
        </is>
      </c>
      <c r="C1602" s="7">
        <f>VLOOKUP(A1602,SizeData!A$2:B$3839,2,FALSE)</f>
        <v/>
      </c>
      <c r="D1602" s="6" t="n">
        <v>2</v>
      </c>
      <c r="E1602" s="6" t="inlineStr">
        <is>
          <t>R1723520</t>
        </is>
      </c>
      <c r="F1602" s="2" t="n">
        <v>44782</v>
      </c>
      <c r="G1602" s="1" t="n"/>
    </row>
    <row r="1603">
      <c r="A1603" s="6" t="n">
        <v>89200</v>
      </c>
      <c r="B1603" s="6" t="inlineStr">
        <is>
          <t>DON JULIO ANEJO 70TH ANNIVERSARY</t>
        </is>
      </c>
      <c r="C1603" s="7">
        <f>VLOOKUP(A1603,SizeData!A$2:B$3839,2,FALSE)</f>
        <v/>
      </c>
      <c r="D1603" s="6" t="n">
        <v>8</v>
      </c>
      <c r="E1603" s="6" t="inlineStr">
        <is>
          <t>R1772452</t>
        </is>
      </c>
      <c r="F1603" s="2" t="n">
        <v>44823</v>
      </c>
      <c r="G1603" s="1" t="n"/>
    </row>
    <row r="1604">
      <c r="A1604" s="6" t="n">
        <v>89200</v>
      </c>
      <c r="B1604" s="6" t="inlineStr">
        <is>
          <t>DON JULIO ANEJO 70TH ANNIVERSARY</t>
        </is>
      </c>
      <c r="C1604" s="7">
        <f>VLOOKUP(A1604,SizeData!A$2:B$3839,2,FALSE)</f>
        <v/>
      </c>
      <c r="D1604" s="6" t="n">
        <v>2</v>
      </c>
      <c r="E1604" s="6" t="inlineStr">
        <is>
          <t>R1834591</t>
        </is>
      </c>
      <c r="F1604" s="2" t="n">
        <v>44863</v>
      </c>
      <c r="G1604" s="1" t="n"/>
    </row>
    <row r="1605">
      <c r="A1605" s="6" t="n">
        <v>89175</v>
      </c>
      <c r="B1605" s="6" t="inlineStr">
        <is>
          <t>DON JULIO ANEJO TEQUILA GOLD</t>
        </is>
      </c>
      <c r="C1605" s="7">
        <f>VLOOKUP(A1605,SizeData!A$2:B$3839,2,FALSE)</f>
        <v/>
      </c>
      <c r="D1605" s="6" t="n">
        <v>5</v>
      </c>
      <c r="E1605" s="6" t="inlineStr">
        <is>
          <t>R1453745</t>
        </is>
      </c>
      <c r="F1605" s="2" t="n">
        <v>44600</v>
      </c>
      <c r="G1605" s="1" t="n"/>
    </row>
    <row r="1606">
      <c r="A1606" s="6" t="n">
        <v>89175</v>
      </c>
      <c r="B1606" s="6" t="inlineStr">
        <is>
          <t>DON JULIO ANEJO TEQUILA GOLD</t>
        </is>
      </c>
      <c r="C1606" s="7">
        <f>VLOOKUP(A1606,SizeData!A$2:B$3839,2,FALSE)</f>
        <v/>
      </c>
      <c r="D1606" s="6" t="n">
        <v>5</v>
      </c>
      <c r="E1606" s="6" t="inlineStr">
        <is>
          <t>R1504818</t>
        </is>
      </c>
      <c r="F1606" s="2" t="n">
        <v>44635</v>
      </c>
      <c r="G1606" s="1" t="n"/>
    </row>
    <row r="1607">
      <c r="A1607" s="6" t="n">
        <v>89175</v>
      </c>
      <c r="B1607" s="6" t="inlineStr">
        <is>
          <t>DON JULIO ANEJO TEQUILA GOLD</t>
        </is>
      </c>
      <c r="C1607" s="7">
        <f>VLOOKUP(A1607,SizeData!A$2:B$3839,2,FALSE)</f>
        <v/>
      </c>
      <c r="D1607" s="6" t="n">
        <v>2</v>
      </c>
      <c r="E1607" s="6" t="inlineStr">
        <is>
          <t>R1528002</t>
        </is>
      </c>
      <c r="F1607" s="2" t="n">
        <v>44641</v>
      </c>
      <c r="G1607" s="1" t="n"/>
    </row>
    <row r="1608">
      <c r="A1608" s="6" t="n">
        <v>89175</v>
      </c>
      <c r="B1608" s="6" t="inlineStr">
        <is>
          <t>DON JULIO ANEJO TEQUILA GOLD</t>
        </is>
      </c>
      <c r="C1608" s="7">
        <f>VLOOKUP(A1608,SizeData!A$2:B$3839,2,FALSE)</f>
        <v/>
      </c>
      <c r="D1608" s="6" t="n">
        <v>5</v>
      </c>
      <c r="E1608" s="6" t="inlineStr">
        <is>
          <t>R1601694</t>
        </is>
      </c>
      <c r="F1608" s="2" t="n">
        <v>44697</v>
      </c>
      <c r="G1608" s="1" t="n"/>
    </row>
    <row r="1609">
      <c r="A1609" s="6" t="n">
        <v>89175</v>
      </c>
      <c r="B1609" s="6" t="inlineStr">
        <is>
          <t>DON JULIO ANEJO TEQUILA GOLD</t>
        </is>
      </c>
      <c r="C1609" s="7">
        <f>VLOOKUP(A1609,SizeData!A$2:B$3839,2,FALSE)</f>
        <v/>
      </c>
      <c r="D1609" s="6" t="n">
        <v>5</v>
      </c>
      <c r="E1609" s="6" t="inlineStr">
        <is>
          <t>R1625544</t>
        </is>
      </c>
      <c r="F1609" s="2" t="n">
        <v>44699</v>
      </c>
      <c r="G1609" s="1" t="n"/>
    </row>
    <row r="1610">
      <c r="A1610" s="6" t="n">
        <v>89175</v>
      </c>
      <c r="B1610" s="6" t="inlineStr">
        <is>
          <t>DON JULIO ANEJO TEQUILA GOLD</t>
        </is>
      </c>
      <c r="C1610" s="7">
        <f>VLOOKUP(A1610,SizeData!A$2:B$3839,2,FALSE)</f>
        <v/>
      </c>
      <c r="D1610" s="6" t="n">
        <v>5</v>
      </c>
      <c r="E1610" s="6" t="inlineStr">
        <is>
          <t>R1613943</t>
        </is>
      </c>
      <c r="F1610" s="2" t="n">
        <v>44700</v>
      </c>
      <c r="G1610" s="1" t="n"/>
    </row>
    <row r="1611">
      <c r="A1611" s="6" t="n">
        <v>89175</v>
      </c>
      <c r="B1611" s="6" t="inlineStr">
        <is>
          <t>DON JULIO ANEJO TEQUILA GOLD</t>
        </is>
      </c>
      <c r="C1611" s="7">
        <f>VLOOKUP(A1611,SizeData!A$2:B$3839,2,FALSE)</f>
        <v/>
      </c>
      <c r="D1611" s="6" t="n">
        <v>2</v>
      </c>
      <c r="E1611" s="6" t="inlineStr">
        <is>
          <t>R1749860</t>
        </is>
      </c>
      <c r="F1611" s="2" t="n">
        <v>44811</v>
      </c>
      <c r="G1611" s="1" t="n"/>
    </row>
    <row r="1612">
      <c r="A1612" s="6" t="n">
        <v>89175</v>
      </c>
      <c r="B1612" s="6" t="inlineStr">
        <is>
          <t>DON JULIO ANEJO TEQUILA GOLD</t>
        </is>
      </c>
      <c r="C1612" s="7">
        <f>VLOOKUP(A1612,SizeData!A$2:B$3839,2,FALSE)</f>
        <v/>
      </c>
      <c r="D1612" s="6" t="n">
        <v>1</v>
      </c>
      <c r="E1612" s="6" t="inlineStr">
        <is>
          <t>R1781063</t>
        </is>
      </c>
      <c r="F1612" s="2" t="n">
        <v>44823</v>
      </c>
      <c r="G1612" s="1" t="n"/>
    </row>
    <row r="1613">
      <c r="A1613" s="6" t="n">
        <v>89175</v>
      </c>
      <c r="B1613" s="6" t="inlineStr">
        <is>
          <t>DON JULIO ANEJO TEQUILA GOLD</t>
        </is>
      </c>
      <c r="C1613" s="7">
        <f>VLOOKUP(A1613,SizeData!A$2:B$3839,2,FALSE)</f>
        <v/>
      </c>
      <c r="D1613" s="6" t="n">
        <v>2</v>
      </c>
      <c r="E1613" s="6" t="inlineStr">
        <is>
          <t>R1778047</t>
        </is>
      </c>
      <c r="F1613" s="2" t="n">
        <v>44825</v>
      </c>
      <c r="G1613" s="1" t="n"/>
    </row>
    <row r="1614">
      <c r="A1614" s="6" t="n">
        <v>89175</v>
      </c>
      <c r="B1614" s="6" t="inlineStr">
        <is>
          <t>DON JULIO ANEJO TEQUILA GOLD</t>
        </is>
      </c>
      <c r="C1614" s="7">
        <f>VLOOKUP(A1614,SizeData!A$2:B$3839,2,FALSE)</f>
        <v/>
      </c>
      <c r="D1614" s="6" t="n">
        <v>1</v>
      </c>
      <c r="E1614" s="6" t="inlineStr">
        <is>
          <t>R1842887</t>
        </is>
      </c>
      <c r="F1614" s="2" t="n">
        <v>44867</v>
      </c>
      <c r="G1614" s="1" t="n"/>
    </row>
    <row r="1615">
      <c r="A1615" s="6" t="n">
        <v>89175</v>
      </c>
      <c r="B1615" s="6" t="inlineStr">
        <is>
          <t>DON JULIO ANEJO TEQUILA GOLD</t>
        </is>
      </c>
      <c r="C1615" s="7">
        <f>VLOOKUP(A1615,SizeData!A$2:B$3839,2,FALSE)</f>
        <v/>
      </c>
      <c r="D1615" s="6" t="n">
        <v>2</v>
      </c>
      <c r="E1615" s="6" t="inlineStr">
        <is>
          <t>R1849692</t>
        </is>
      </c>
      <c r="F1615" s="2" t="n">
        <v>44870</v>
      </c>
      <c r="G1615" s="1" t="n"/>
    </row>
    <row r="1616">
      <c r="A1616" s="6" t="n">
        <v>87485</v>
      </c>
      <c r="B1616" s="6" t="inlineStr">
        <is>
          <t>DON JULIO BLANCO TEQUILA</t>
        </is>
      </c>
      <c r="C1616" s="7">
        <f>VLOOKUP(A1616,SizeData!A$2:B$3839,2,FALSE)</f>
        <v/>
      </c>
      <c r="D1616" s="6" t="n">
        <v>5</v>
      </c>
      <c r="E1616" s="6" t="inlineStr">
        <is>
          <t>R1377144</t>
        </is>
      </c>
      <c r="F1616" s="2" t="n">
        <v>44548</v>
      </c>
      <c r="G1616" s="1" t="n"/>
    </row>
    <row r="1617">
      <c r="A1617" s="6" t="n">
        <v>89154</v>
      </c>
      <c r="B1617" s="6" t="inlineStr">
        <is>
          <t>DON JULIO REPOSADO TEQUILA GOLD</t>
        </is>
      </c>
      <c r="C1617" s="7">
        <f>VLOOKUP(A1617,SizeData!A$2:B$3839,2,FALSE)</f>
        <v/>
      </c>
      <c r="D1617" s="6" t="n">
        <v>5</v>
      </c>
      <c r="E1617" s="6" t="inlineStr">
        <is>
          <t>R1412905</t>
        </is>
      </c>
      <c r="F1617" s="2" t="n">
        <v>44572</v>
      </c>
      <c r="G1617" s="1" t="n"/>
    </row>
    <row r="1618">
      <c r="A1618" s="6" t="n">
        <v>89154</v>
      </c>
      <c r="B1618" s="6" t="inlineStr">
        <is>
          <t>DON JULIO REPOSADO TEQUILA GOLD</t>
        </is>
      </c>
      <c r="C1618" s="7">
        <f>VLOOKUP(A1618,SizeData!A$2:B$3839,2,FALSE)</f>
        <v/>
      </c>
      <c r="D1618" s="6" t="n">
        <v>5</v>
      </c>
      <c r="E1618" s="6" t="inlineStr">
        <is>
          <t>R1453745</t>
        </is>
      </c>
      <c r="F1618" s="2" t="n">
        <v>44600</v>
      </c>
      <c r="G1618" s="1" t="n"/>
    </row>
    <row r="1619">
      <c r="A1619" s="6" t="n">
        <v>89154</v>
      </c>
      <c r="B1619" s="6" t="inlineStr">
        <is>
          <t>DON JULIO REPOSADO TEQUILA GOLD</t>
        </is>
      </c>
      <c r="C1619" s="7">
        <f>VLOOKUP(A1619,SizeData!A$2:B$3839,2,FALSE)</f>
        <v/>
      </c>
      <c r="D1619" s="6" t="n">
        <v>4</v>
      </c>
      <c r="E1619" s="6" t="inlineStr">
        <is>
          <t>R1476738</t>
        </is>
      </c>
      <c r="F1619" s="2" t="n">
        <v>44614</v>
      </c>
      <c r="G1619" s="1" t="n"/>
    </row>
    <row r="1620">
      <c r="A1620" s="6" t="n">
        <v>89154</v>
      </c>
      <c r="B1620" s="6" t="inlineStr">
        <is>
          <t>DON JULIO REPOSADO TEQUILA GOLD</t>
        </is>
      </c>
      <c r="C1620" s="7">
        <f>VLOOKUP(A1620,SizeData!A$2:B$3839,2,FALSE)</f>
        <v/>
      </c>
      <c r="D1620" s="6" t="n">
        <v>1</v>
      </c>
      <c r="E1620" s="6" t="inlineStr">
        <is>
          <t>R1476738</t>
        </is>
      </c>
      <c r="F1620" s="2" t="n">
        <v>44614</v>
      </c>
      <c r="G1620" s="1" t="n"/>
    </row>
    <row r="1621">
      <c r="A1621" s="6" t="n">
        <v>89154</v>
      </c>
      <c r="B1621" s="6" t="inlineStr">
        <is>
          <t>DON JULIO REPOSADO TEQUILA GOLD</t>
        </is>
      </c>
      <c r="C1621" s="7">
        <f>VLOOKUP(A1621,SizeData!A$2:B$3839,2,FALSE)</f>
        <v/>
      </c>
      <c r="D1621" s="6" t="n">
        <v>5</v>
      </c>
      <c r="E1621" s="6" t="inlineStr">
        <is>
          <t>R1504818</t>
        </is>
      </c>
      <c r="F1621" s="2" t="n">
        <v>44635</v>
      </c>
      <c r="G1621" s="1" t="n"/>
    </row>
    <row r="1622">
      <c r="A1622" s="6" t="n">
        <v>89154</v>
      </c>
      <c r="B1622" s="6" t="inlineStr">
        <is>
          <t>DON JULIO REPOSADO TEQUILA GOLD</t>
        </is>
      </c>
      <c r="C1622" s="7">
        <f>VLOOKUP(A1622,SizeData!A$2:B$3839,2,FALSE)</f>
        <v/>
      </c>
      <c r="D1622" s="6" t="n">
        <v>5</v>
      </c>
      <c r="E1622" s="6" t="inlineStr">
        <is>
          <t>R1537274</t>
        </is>
      </c>
      <c r="F1622" s="2" t="n">
        <v>44650</v>
      </c>
      <c r="G1622" s="1" t="n"/>
    </row>
    <row r="1623">
      <c r="A1623" s="26" t="n">
        <v>89154</v>
      </c>
      <c r="B1623" s="26" t="inlineStr">
        <is>
          <t>DON JULIO REPOSADO TEQUILA GOLD</t>
        </is>
      </c>
      <c r="C1623" s="7">
        <f>VLOOKUP(A1623,SizeData!A$2:B$3839,2,FALSE)</f>
        <v/>
      </c>
      <c r="D1623" s="26" t="n">
        <v>5</v>
      </c>
      <c r="E1623" s="26" t="inlineStr">
        <is>
          <t>R1749860</t>
        </is>
      </c>
      <c r="F1623" s="61" t="n">
        <v>44811</v>
      </c>
      <c r="G1623" s="62" t="n"/>
    </row>
    <row r="1624">
      <c r="A1624" s="6" t="n">
        <v>89154</v>
      </c>
      <c r="B1624" s="6" t="inlineStr">
        <is>
          <t>DON JULIO REPOSADO TEQUILA GOLD</t>
        </is>
      </c>
      <c r="C1624" s="7">
        <f>VLOOKUP(A1624,SizeData!A$2:B$3839,2,FALSE)</f>
        <v/>
      </c>
      <c r="D1624" s="6" t="n">
        <v>2</v>
      </c>
      <c r="E1624" s="6" t="inlineStr">
        <is>
          <t>R1781063</t>
        </is>
      </c>
      <c r="F1624" s="2" t="n">
        <v>44823</v>
      </c>
      <c r="G1624" s="1" t="n"/>
    </row>
    <row r="1625">
      <c r="A1625" s="6" t="n">
        <v>89154</v>
      </c>
      <c r="B1625" s="6" t="inlineStr">
        <is>
          <t>DON JULIO REPOSADO TEQUILA GOLD</t>
        </is>
      </c>
      <c r="C1625" s="7">
        <f>VLOOKUP(A1625,SizeData!A$2:B$3839,2,FALSE)</f>
        <v/>
      </c>
      <c r="D1625" s="6" t="n">
        <v>1</v>
      </c>
      <c r="E1625" s="6" t="inlineStr">
        <is>
          <t>R1823347</t>
        </is>
      </c>
      <c r="F1625" s="2" t="n">
        <v>44853</v>
      </c>
      <c r="G1625" s="1" t="n"/>
    </row>
    <row r="1626">
      <c r="A1626" s="6" t="n">
        <v>89154</v>
      </c>
      <c r="B1626" s="6" t="inlineStr">
        <is>
          <t>DON JULIO REPOSADO TEQUILA GOLD</t>
        </is>
      </c>
      <c r="C1626" s="7">
        <f>VLOOKUP(A1626,SizeData!A$2:B$3839,2,FALSE)</f>
        <v/>
      </c>
      <c r="D1626" s="6" t="n">
        <v>4</v>
      </c>
      <c r="E1626" s="6" t="inlineStr">
        <is>
          <t>R1837216</t>
        </is>
      </c>
      <c r="F1626" s="2" t="n">
        <v>44855</v>
      </c>
      <c r="G1626" s="1" t="n"/>
    </row>
    <row r="1627">
      <c r="A1627" s="6" t="n">
        <v>89154</v>
      </c>
      <c r="B1627" s="6" t="inlineStr">
        <is>
          <t>DON JULIO REPOSADO TEQUILA GOLD</t>
        </is>
      </c>
      <c r="C1627" s="7">
        <f>VLOOKUP(A1627,SizeData!A$2:B$3839,2,FALSE)</f>
        <v/>
      </c>
      <c r="D1627" s="6" t="n">
        <v>1</v>
      </c>
      <c r="E1627" s="6" t="inlineStr">
        <is>
          <t>R1834591</t>
        </is>
      </c>
      <c r="F1627" s="2" t="n">
        <v>44863</v>
      </c>
      <c r="G1627" s="1" t="n"/>
    </row>
    <row r="1628">
      <c r="A1628" s="6" t="n">
        <v>89154</v>
      </c>
      <c r="B1628" s="6" t="inlineStr">
        <is>
          <t>DON JULIO REPOSADO TEQUILA GOLD</t>
        </is>
      </c>
      <c r="C1628" s="7">
        <f>VLOOKUP(A1628,SizeData!A$2:B$3839,2,FALSE)</f>
        <v/>
      </c>
      <c r="D1628" s="6" t="n">
        <v>2</v>
      </c>
      <c r="E1628" s="6" t="inlineStr">
        <is>
          <t>R1840965</t>
        </is>
      </c>
      <c r="F1628" s="2" t="n">
        <v>44863</v>
      </c>
      <c r="G1628" s="1" t="n"/>
    </row>
    <row r="1629">
      <c r="A1629" s="6" t="n">
        <v>89154</v>
      </c>
      <c r="B1629" s="6" t="inlineStr">
        <is>
          <t>DON JULIO REPOSADO TEQUILA GOLD</t>
        </is>
      </c>
      <c r="C1629" s="7">
        <f>VLOOKUP(A1629,SizeData!A$2:B$3839,2,FALSE)</f>
        <v/>
      </c>
      <c r="D1629" s="6" t="n">
        <v>1</v>
      </c>
      <c r="E1629" s="6" t="inlineStr">
        <is>
          <t>R1842887</t>
        </is>
      </c>
      <c r="F1629" s="2" t="n">
        <v>44867</v>
      </c>
      <c r="G1629" s="1" t="n"/>
    </row>
    <row r="1630">
      <c r="A1630" s="6" t="n">
        <v>87484</v>
      </c>
      <c r="B1630" s="6" t="inlineStr">
        <is>
          <t>DON JULIO SILVER TEQUILA WHITE</t>
        </is>
      </c>
      <c r="C1630" s="7">
        <f>VLOOKUP(A1630,SizeData!A$2:B$3839,2,FALSE)</f>
        <v/>
      </c>
      <c r="D1630" s="6" t="n">
        <v>5</v>
      </c>
      <c r="E1630" s="6" t="inlineStr">
        <is>
          <t>R1412905</t>
        </is>
      </c>
      <c r="F1630" s="2" t="n">
        <v>44572</v>
      </c>
      <c r="G1630" s="1" t="n"/>
    </row>
    <row r="1631">
      <c r="A1631" s="6" t="n">
        <v>87484</v>
      </c>
      <c r="B1631" s="6" t="inlineStr">
        <is>
          <t>DON JULIO SILVER TEQUILA WHITE</t>
        </is>
      </c>
      <c r="C1631" s="7">
        <f>VLOOKUP(A1631,SizeData!A$2:B$3839,2,FALSE)</f>
        <v/>
      </c>
      <c r="D1631" s="6" t="n">
        <v>5</v>
      </c>
      <c r="E1631" s="6" t="inlineStr">
        <is>
          <t>R1453745</t>
        </is>
      </c>
      <c r="F1631" s="2" t="n">
        <v>44600</v>
      </c>
      <c r="G1631" s="1" t="n"/>
    </row>
    <row r="1632">
      <c r="A1632" s="6" t="n">
        <v>87484</v>
      </c>
      <c r="B1632" s="6" t="inlineStr">
        <is>
          <t>DON JULIO SILVER TEQUILA WHITE</t>
        </is>
      </c>
      <c r="C1632" s="7">
        <f>VLOOKUP(A1632,SizeData!A$2:B$3839,2,FALSE)</f>
        <v/>
      </c>
      <c r="D1632" s="6" t="n">
        <v>5</v>
      </c>
      <c r="E1632" s="6" t="inlineStr">
        <is>
          <t>R1504818</t>
        </is>
      </c>
      <c r="F1632" s="2" t="n">
        <v>44635</v>
      </c>
      <c r="G1632" s="1" t="n"/>
    </row>
    <row r="1633">
      <c r="A1633" s="6" t="n">
        <v>87484</v>
      </c>
      <c r="B1633" s="6" t="inlineStr">
        <is>
          <t>DON JULIO SILVER TEQUILA WHITE</t>
        </is>
      </c>
      <c r="C1633" s="7">
        <f>VLOOKUP(A1633,SizeData!A$2:B$3839,2,FALSE)</f>
        <v/>
      </c>
      <c r="D1633" s="6" t="n">
        <v>5</v>
      </c>
      <c r="E1633" s="6" t="inlineStr">
        <is>
          <t>R1565306</t>
        </is>
      </c>
      <c r="F1633" s="2" t="n">
        <v>44655</v>
      </c>
      <c r="G1633" s="1" t="n"/>
    </row>
    <row r="1634">
      <c r="A1634" s="6" t="n">
        <v>87484</v>
      </c>
      <c r="B1634" s="6" t="inlineStr">
        <is>
          <t>DON JULIO SILVER TEQUILA WHITE</t>
        </is>
      </c>
      <c r="C1634" s="7">
        <f>VLOOKUP(A1634,SizeData!A$2:B$3839,2,FALSE)</f>
        <v/>
      </c>
      <c r="D1634" s="6" t="n">
        <v>4</v>
      </c>
      <c r="E1634" s="6" t="inlineStr">
        <is>
          <t>R1789511</t>
        </is>
      </c>
      <c r="F1634" s="2" t="n">
        <v>44832</v>
      </c>
      <c r="G1634" s="1" t="n"/>
    </row>
    <row r="1635">
      <c r="A1635" s="6" t="n">
        <v>87484</v>
      </c>
      <c r="B1635" s="6" t="inlineStr">
        <is>
          <t>DON JULIO SILVER TEQUILA WHITE</t>
        </is>
      </c>
      <c r="C1635" s="7">
        <f>VLOOKUP(A1635,SizeData!A$2:B$3839,2,FALSE)</f>
        <v/>
      </c>
      <c r="D1635" s="6" t="n">
        <v>1</v>
      </c>
      <c r="E1635" s="6" t="inlineStr">
        <is>
          <t>R1823347</t>
        </is>
      </c>
      <c r="F1635" s="2" t="n">
        <v>44853</v>
      </c>
      <c r="G1635" s="1" t="n"/>
    </row>
    <row r="1636">
      <c r="A1636" s="6" t="n">
        <v>87484</v>
      </c>
      <c r="B1636" s="6" t="inlineStr">
        <is>
          <t>DON JULIO SILVER TEQUILA WHITE</t>
        </is>
      </c>
      <c r="C1636" s="7">
        <f>VLOOKUP(A1636,SizeData!A$2:B$3839,2,FALSE)</f>
        <v/>
      </c>
      <c r="D1636" s="6" t="n">
        <v>2</v>
      </c>
      <c r="E1636" s="6" t="inlineStr">
        <is>
          <t>R1861865</t>
        </is>
      </c>
      <c r="F1636" s="2" t="n">
        <v>44881</v>
      </c>
      <c r="G1636" s="1" t="n"/>
    </row>
    <row r="1637">
      <c r="A1637" s="6" t="n">
        <v>87485</v>
      </c>
      <c r="B1637" s="6" t="inlineStr">
        <is>
          <t>DON JULIO SILVER TEQUILA WHITE</t>
        </is>
      </c>
      <c r="C1637" s="7">
        <f>VLOOKUP(A1637,SizeData!A$2:B$3839,2,FALSE)</f>
        <v/>
      </c>
      <c r="D1637" s="6" t="n">
        <v>5</v>
      </c>
      <c r="E1637" s="6" t="inlineStr">
        <is>
          <t>R1453745</t>
        </is>
      </c>
      <c r="F1637" s="2" t="n">
        <v>44600</v>
      </c>
      <c r="G1637" s="1" t="n"/>
    </row>
    <row r="1638">
      <c r="A1638" s="6" t="n">
        <v>87485</v>
      </c>
      <c r="B1638" s="6" t="inlineStr">
        <is>
          <t>DON JULIO SILVER TEQUILA WHITE</t>
        </is>
      </c>
      <c r="C1638" s="7">
        <f>VLOOKUP(A1638,SizeData!A$2:B$3839,2,FALSE)</f>
        <v/>
      </c>
      <c r="D1638" s="6" t="n">
        <v>5</v>
      </c>
      <c r="E1638" s="6" t="inlineStr">
        <is>
          <t>R1476738</t>
        </is>
      </c>
      <c r="F1638" s="2" t="n">
        <v>44614</v>
      </c>
      <c r="G1638" s="1" t="n"/>
    </row>
    <row r="1639">
      <c r="A1639" s="6" t="n">
        <v>87485</v>
      </c>
      <c r="B1639" s="6" t="inlineStr">
        <is>
          <t>DON JULIO SILVER TEQUILA WHITE</t>
        </is>
      </c>
      <c r="C1639" s="7">
        <f>VLOOKUP(A1639,SizeData!A$2:B$3839,2,FALSE)</f>
        <v/>
      </c>
      <c r="D1639" s="6" t="n">
        <v>5</v>
      </c>
      <c r="E1639" s="6" t="inlineStr">
        <is>
          <t>R1504818</t>
        </is>
      </c>
      <c r="F1639" s="2" t="n">
        <v>44635</v>
      </c>
      <c r="G1639" s="1" t="n"/>
    </row>
    <row r="1640">
      <c r="A1640" s="6" t="n">
        <v>87485</v>
      </c>
      <c r="B1640" s="6" t="inlineStr">
        <is>
          <t>DON JULIO SILVER TEQUILA WHITE</t>
        </is>
      </c>
      <c r="C1640" s="7">
        <f>VLOOKUP(A1640,SizeData!A$2:B$3839,2,FALSE)</f>
        <v/>
      </c>
      <c r="D1640" s="6" t="n">
        <v>5</v>
      </c>
      <c r="E1640" s="6" t="inlineStr">
        <is>
          <t>R1565306</t>
        </is>
      </c>
      <c r="F1640" s="2" t="n">
        <v>44655</v>
      </c>
      <c r="G1640" s="1" t="n"/>
    </row>
    <row r="1641">
      <c r="A1641" s="6" t="n">
        <v>87485</v>
      </c>
      <c r="B1641" s="6" t="inlineStr">
        <is>
          <t>DON JULIO SILVER TEQUILA WHITE</t>
        </is>
      </c>
      <c r="C1641" s="7">
        <f>VLOOKUP(A1641,SizeData!A$2:B$3839,2,FALSE)</f>
        <v/>
      </c>
      <c r="D1641" s="6" t="n">
        <v>5</v>
      </c>
      <c r="E1641" s="6" t="inlineStr">
        <is>
          <t>R1601694</t>
        </is>
      </c>
      <c r="F1641" s="2" t="n">
        <v>44697</v>
      </c>
      <c r="G1641" s="1" t="n"/>
    </row>
    <row r="1642">
      <c r="A1642" s="6" t="n">
        <v>87485</v>
      </c>
      <c r="B1642" s="6" t="inlineStr">
        <is>
          <t>DON JULIO SILVER TEQUILA WHITE</t>
        </is>
      </c>
      <c r="C1642" s="7">
        <f>VLOOKUP(A1642,SizeData!A$2:B$3839,2,FALSE)</f>
        <v/>
      </c>
      <c r="D1642" s="6" t="n">
        <v>5</v>
      </c>
      <c r="E1642" s="6" t="inlineStr">
        <is>
          <t>R1749316</t>
        </is>
      </c>
      <c r="F1642" s="2" t="n">
        <v>44803</v>
      </c>
      <c r="G1642" s="1" t="n"/>
    </row>
    <row r="1643">
      <c r="A1643" s="6" t="n">
        <v>87485</v>
      </c>
      <c r="B1643" s="6" t="inlineStr">
        <is>
          <t>DON JULIO SILVER TEQUILA WHITE</t>
        </is>
      </c>
      <c r="C1643" s="7">
        <f>VLOOKUP(A1643,SizeData!A$2:B$3839,2,FALSE)</f>
        <v/>
      </c>
      <c r="D1643" s="6" t="n">
        <v>3</v>
      </c>
      <c r="E1643" s="6" t="inlineStr">
        <is>
          <t>R1823347</t>
        </is>
      </c>
      <c r="F1643" s="2" t="n">
        <v>44853</v>
      </c>
      <c r="G1643" s="1" t="n"/>
    </row>
    <row r="1644">
      <c r="A1644" s="26" t="n">
        <v>87485</v>
      </c>
      <c r="B1644" s="26" t="inlineStr">
        <is>
          <t>DON JULIO SILVER TEQUILA WHITE</t>
        </is>
      </c>
      <c r="C1644" s="75">
        <f>VLOOKUP(A1644,SizeData!A$2:B$3839,2,FALSE)</f>
        <v/>
      </c>
      <c r="D1644" s="26" t="n">
        <v>2</v>
      </c>
      <c r="E1644" s="26" t="inlineStr">
        <is>
          <t>R1834591</t>
        </is>
      </c>
      <c r="F1644" s="61" t="n">
        <v>44863</v>
      </c>
      <c r="G1644" s="62" t="n"/>
    </row>
    <row r="1645">
      <c r="A1645" s="6" t="n">
        <v>87485</v>
      </c>
      <c r="B1645" s="6" t="inlineStr">
        <is>
          <t>DON JULIO SILVER TEQUILA WHITE</t>
        </is>
      </c>
      <c r="C1645" s="7">
        <f>VLOOKUP(A1645,SizeData!A$2:B$3839,2,FALSE)</f>
        <v/>
      </c>
      <c r="D1645" s="6" t="n">
        <v>2</v>
      </c>
      <c r="E1645" s="6" t="inlineStr">
        <is>
          <t>R1876430</t>
        </is>
      </c>
      <c r="F1645" s="2" t="n">
        <v>44886</v>
      </c>
      <c r="G1645" s="1" t="n"/>
    </row>
    <row r="1646">
      <c r="A1646" s="26" t="n">
        <v>87485</v>
      </c>
      <c r="B1646" s="26" t="inlineStr">
        <is>
          <t>DON JULIO SILVER TEQUILA WHITE</t>
        </is>
      </c>
      <c r="C1646" s="75">
        <f>VLOOKUP(A1646,SizeData!A$2:B$3839,2,FALSE)</f>
        <v/>
      </c>
      <c r="D1646" s="26" t="n">
        <v>2</v>
      </c>
      <c r="E1646" s="26" t="inlineStr">
        <is>
          <t>R1892470</t>
        </is>
      </c>
      <c r="F1646" s="61" t="n">
        <v>44902</v>
      </c>
      <c r="G1646" s="62" t="n"/>
    </row>
    <row r="1647">
      <c r="A1647" s="26" t="n">
        <v>43691</v>
      </c>
      <c r="B1647" s="26" t="inlineStr">
        <is>
          <t>DON Q 151</t>
        </is>
      </c>
      <c r="C1647" s="75">
        <f>VLOOKUP(A1647,SizeData!A$2:B$3839,2,FALSE)</f>
        <v/>
      </c>
      <c r="D1647" s="26" t="n">
        <v>1</v>
      </c>
      <c r="E1647" s="26" t="inlineStr">
        <is>
          <t>R1829977</t>
        </is>
      </c>
      <c r="F1647" s="61" t="n">
        <v>44861</v>
      </c>
      <c r="G1647" s="62" t="n"/>
    </row>
    <row r="1648">
      <c r="A1648" s="6" t="n">
        <v>462522</v>
      </c>
      <c r="B1648" s="6" t="inlineStr">
        <is>
          <t>DUPLIN CAROLINA RED</t>
        </is>
      </c>
      <c r="C1648" s="7">
        <f>VLOOKUP(A1648,SizeData!A$2:B$3839,2,FALSE)</f>
        <v/>
      </c>
      <c r="D1648" s="6" t="n">
        <v>1</v>
      </c>
      <c r="E1648" s="6" t="inlineStr">
        <is>
          <t>R1426776</t>
        </is>
      </c>
      <c r="F1648" s="2" t="n">
        <v>44585</v>
      </c>
      <c r="G1648" s="1" t="n"/>
    </row>
    <row r="1649">
      <c r="A1649" s="6" t="n">
        <v>462522</v>
      </c>
      <c r="B1649" s="6" t="inlineStr">
        <is>
          <t>DUPLIN CAROLINA RED</t>
        </is>
      </c>
      <c r="C1649" s="7">
        <f>VLOOKUP(A1649,SizeData!A$2:B$3839,2,FALSE)</f>
        <v/>
      </c>
      <c r="D1649" s="6" t="n">
        <v>1</v>
      </c>
      <c r="E1649" s="6" t="inlineStr">
        <is>
          <t>R1480080</t>
        </is>
      </c>
      <c r="F1649" s="2" t="n">
        <v>44611</v>
      </c>
      <c r="G1649" s="1" t="n"/>
    </row>
    <row r="1650">
      <c r="A1650" s="6" t="n">
        <v>462522</v>
      </c>
      <c r="B1650" s="6" t="inlineStr">
        <is>
          <t>DUPLIN CAROLINA RED</t>
        </is>
      </c>
      <c r="C1650" s="7">
        <f>VLOOKUP(A1650,SizeData!A$2:B$3839,2,FALSE)</f>
        <v/>
      </c>
      <c r="D1650" s="6" t="n">
        <v>1</v>
      </c>
      <c r="E1650" s="6" t="inlineStr">
        <is>
          <t>R1480080</t>
        </is>
      </c>
      <c r="F1650" s="2" t="n">
        <v>44611</v>
      </c>
      <c r="G1650" s="1" t="n"/>
    </row>
    <row r="1651">
      <c r="A1651" s="6" t="n">
        <v>462522</v>
      </c>
      <c r="B1651" s="6" t="inlineStr">
        <is>
          <t>DUPLIN CAROLINA RED</t>
        </is>
      </c>
      <c r="C1651" s="7">
        <f>VLOOKUP(A1651,SizeData!A$2:B$3839,2,FALSE)</f>
        <v/>
      </c>
      <c r="D1651" s="6" t="n">
        <v>2</v>
      </c>
      <c r="E1651" s="6" t="inlineStr">
        <is>
          <t>R1501158</t>
        </is>
      </c>
      <c r="F1651" s="2" t="n">
        <v>44627</v>
      </c>
      <c r="G1651" s="1" t="n"/>
    </row>
    <row r="1652">
      <c r="A1652" s="6" t="n">
        <v>462522</v>
      </c>
      <c r="B1652" s="6" t="inlineStr">
        <is>
          <t>DUPLIN CAROLINA RED</t>
        </is>
      </c>
      <c r="C1652" s="7">
        <f>VLOOKUP(A1652,SizeData!A$2:B$3839,2,FALSE)</f>
        <v/>
      </c>
      <c r="D1652" s="6" t="n">
        <v>1</v>
      </c>
      <c r="E1652" s="6" t="inlineStr">
        <is>
          <t>R1827574</t>
        </is>
      </c>
      <c r="F1652" s="2" t="n">
        <v>44859</v>
      </c>
      <c r="G1652" s="1" t="n"/>
    </row>
    <row r="1653">
      <c r="A1653" s="26" t="n">
        <v>462522</v>
      </c>
      <c r="B1653" s="26" t="inlineStr">
        <is>
          <t>DUPLIN CAROLINA RED</t>
        </is>
      </c>
      <c r="C1653" s="75">
        <f>VLOOKUP(A1653,SizeData!A$2:B$3839,2,FALSE)</f>
        <v/>
      </c>
      <c r="D1653" s="26" t="n">
        <v>1</v>
      </c>
      <c r="E1653" s="26" t="inlineStr">
        <is>
          <t>R1856291</t>
        </is>
      </c>
      <c r="F1653" s="61" t="n">
        <v>44874</v>
      </c>
      <c r="G1653" s="62" t="n"/>
    </row>
    <row r="1654">
      <c r="A1654" s="6" t="n">
        <v>884910</v>
      </c>
      <c r="B1654" s="6" t="inlineStr">
        <is>
          <t>DUPLIN COTTON CANDY</t>
        </is>
      </c>
      <c r="C1654" s="7">
        <f>VLOOKUP(A1654,SizeData!A$2:B$3839,2,FALSE)</f>
        <v/>
      </c>
      <c r="D1654" s="6" t="n">
        <v>2</v>
      </c>
      <c r="E1654" s="6" t="inlineStr">
        <is>
          <t>R1743204</t>
        </is>
      </c>
      <c r="F1654" s="2" t="n">
        <v>44795</v>
      </c>
      <c r="G1654" s="1" t="n"/>
    </row>
    <row r="1655">
      <c r="A1655" s="26" t="n">
        <v>884910</v>
      </c>
      <c r="B1655" s="26" t="inlineStr">
        <is>
          <t>DUPLIN COTTON CANDY</t>
        </is>
      </c>
      <c r="C1655" s="75">
        <f>VLOOKUP(A1655,SizeData!A$2:B$3839,2,FALSE)</f>
        <v/>
      </c>
      <c r="D1655" s="26" t="n">
        <v>1</v>
      </c>
      <c r="E1655" s="26" t="inlineStr">
        <is>
          <t>R1808552</t>
        </is>
      </c>
      <c r="F1655" s="61" t="n">
        <v>44841</v>
      </c>
      <c r="G1655" s="62" t="n"/>
    </row>
    <row r="1656">
      <c r="A1656" s="26" t="n">
        <v>884910</v>
      </c>
      <c r="B1656" s="26" t="inlineStr">
        <is>
          <t>DUPLIN COTTON CANDY</t>
        </is>
      </c>
      <c r="C1656" s="75">
        <f>VLOOKUP(A1656,SizeData!A$2:B$3839,2,FALSE)</f>
        <v/>
      </c>
      <c r="D1656" s="26" t="n">
        <v>1</v>
      </c>
      <c r="E1656" s="26" t="inlineStr">
        <is>
          <t>R1860872</t>
        </is>
      </c>
      <c r="F1656" s="61" t="n">
        <v>44875</v>
      </c>
      <c r="G1656" s="62" t="n"/>
    </row>
    <row r="1657">
      <c r="A1657" s="26" t="n">
        <v>884910</v>
      </c>
      <c r="B1657" s="26" t="inlineStr">
        <is>
          <t>DUPLIN COTTON CANDY</t>
        </is>
      </c>
      <c r="C1657" s="75">
        <f>VLOOKUP(A1657,SizeData!A$2:B$3839,2,FALSE)</f>
        <v/>
      </c>
      <c r="D1657" s="26" t="n">
        <v>2</v>
      </c>
      <c r="E1657" s="26" t="inlineStr">
        <is>
          <t>R1883576</t>
        </is>
      </c>
      <c r="F1657" s="61" t="n">
        <v>44895</v>
      </c>
      <c r="G1657" s="62" t="n"/>
    </row>
    <row r="1658">
      <c r="A1658" s="6" t="n">
        <v>47863</v>
      </c>
      <c r="B1658" s="6" t="inlineStr">
        <is>
          <t>DUSSE VSOP COGNAC</t>
        </is>
      </c>
      <c r="C1658" s="7">
        <f>VLOOKUP(A1658,SizeData!A$2:B$3839,2,FALSE)</f>
        <v/>
      </c>
      <c r="D1658" s="6" t="n">
        <v>5</v>
      </c>
      <c r="E1658" s="6" t="inlineStr">
        <is>
          <t>R1420143</t>
        </is>
      </c>
      <c r="F1658" s="2" t="n">
        <v>44573</v>
      </c>
      <c r="G1658" s="1" t="n"/>
    </row>
    <row r="1659">
      <c r="A1659" s="6" t="n">
        <v>47863</v>
      </c>
      <c r="B1659" s="6" t="inlineStr">
        <is>
          <t>DUSSE VSOP COGNAC</t>
        </is>
      </c>
      <c r="C1659" s="7">
        <f>VLOOKUP(A1659,SizeData!A$2:B$3839,2,FALSE)</f>
        <v/>
      </c>
      <c r="D1659" s="6" t="n">
        <v>5</v>
      </c>
      <c r="E1659" s="6" t="inlineStr">
        <is>
          <t>R1451636</t>
        </is>
      </c>
      <c r="F1659" s="2" t="n">
        <v>44594</v>
      </c>
      <c r="G1659" s="1" t="n"/>
    </row>
    <row r="1660">
      <c r="A1660" s="6" t="n">
        <v>47863</v>
      </c>
      <c r="B1660" s="6" t="inlineStr">
        <is>
          <t>DUSSE VSOP COGNAC</t>
        </is>
      </c>
      <c r="C1660" s="7">
        <f>VLOOKUP(A1660,SizeData!A$2:B$3839,2,FALSE)</f>
        <v/>
      </c>
      <c r="D1660" s="6" t="n">
        <v>5</v>
      </c>
      <c r="E1660" s="6" t="inlineStr">
        <is>
          <t>R1510986</t>
        </is>
      </c>
      <c r="F1660" s="2" t="n">
        <v>44629</v>
      </c>
      <c r="G1660" s="1" t="n"/>
    </row>
    <row r="1661">
      <c r="A1661" s="6" t="n">
        <v>47863</v>
      </c>
      <c r="B1661" s="6" t="inlineStr">
        <is>
          <t>DUSSE VSOP COGNAC</t>
        </is>
      </c>
      <c r="C1661" s="7">
        <f>VLOOKUP(A1661,SizeData!A$2:B$3839,2,FALSE)</f>
        <v/>
      </c>
      <c r="D1661" s="6" t="n">
        <v>5</v>
      </c>
      <c r="E1661" s="6" t="inlineStr">
        <is>
          <t>R1527308</t>
        </is>
      </c>
      <c r="F1661" s="2" t="n">
        <v>44639</v>
      </c>
      <c r="G1661" s="1" t="n"/>
    </row>
    <row r="1662">
      <c r="A1662" s="6" t="n">
        <v>47863</v>
      </c>
      <c r="B1662" s="6" t="inlineStr">
        <is>
          <t>DUSSE VSOP COGNAC</t>
        </is>
      </c>
      <c r="C1662" s="7">
        <f>VLOOKUP(A1662,SizeData!A$2:B$3839,2,FALSE)</f>
        <v/>
      </c>
      <c r="D1662" s="6" t="n">
        <v>5</v>
      </c>
      <c r="E1662" s="6" t="inlineStr">
        <is>
          <t>R1551208</t>
        </is>
      </c>
      <c r="F1662" s="2" t="n">
        <v>44651</v>
      </c>
      <c r="G1662" s="1" t="n"/>
    </row>
    <row r="1663">
      <c r="A1663" s="6" t="n">
        <v>47863</v>
      </c>
      <c r="B1663" s="6" t="inlineStr">
        <is>
          <t>DUSSE VSOP COGNAC</t>
        </is>
      </c>
      <c r="C1663" s="7">
        <f>VLOOKUP(A1663,SizeData!A$2:B$3839,2,FALSE)</f>
        <v/>
      </c>
      <c r="D1663" s="6" t="n">
        <v>5</v>
      </c>
      <c r="E1663" s="6" t="inlineStr">
        <is>
          <t>R1600642</t>
        </is>
      </c>
      <c r="F1663" s="2" t="n">
        <v>44685</v>
      </c>
      <c r="G1663" s="1" t="n"/>
    </row>
    <row r="1664">
      <c r="A1664" s="6" t="n">
        <v>47863</v>
      </c>
      <c r="B1664" s="6" t="inlineStr">
        <is>
          <t>DUSSE VSOP COGNAC</t>
        </is>
      </c>
      <c r="C1664" s="7">
        <f>VLOOKUP(A1664,SizeData!A$2:B$3839,2,FALSE)</f>
        <v/>
      </c>
      <c r="D1664" s="6" t="n">
        <v>5</v>
      </c>
      <c r="E1664" s="6" t="inlineStr">
        <is>
          <t>R1601727</t>
        </is>
      </c>
      <c r="F1664" s="2" t="n">
        <v>44685</v>
      </c>
      <c r="G1664" s="1" t="n"/>
    </row>
    <row r="1665">
      <c r="A1665" s="6" t="n">
        <v>47863</v>
      </c>
      <c r="B1665" s="6" t="inlineStr">
        <is>
          <t>DUSSE VSOP COGNAC</t>
        </is>
      </c>
      <c r="C1665" s="7">
        <f>VLOOKUP(A1665,SizeData!A$2:B$3839,2,FALSE)</f>
        <v/>
      </c>
      <c r="D1665" s="6" t="n">
        <v>3</v>
      </c>
      <c r="E1665" s="6" t="inlineStr">
        <is>
          <t>R1650316</t>
        </is>
      </c>
      <c r="F1665" s="2" t="n">
        <v>44714</v>
      </c>
      <c r="G1665" s="1" t="n"/>
    </row>
    <row r="1666">
      <c r="A1666" s="6" t="n">
        <v>47863</v>
      </c>
      <c r="B1666" s="6" t="inlineStr">
        <is>
          <t>DUSSE VSOP COGNAC</t>
        </is>
      </c>
      <c r="C1666" s="7">
        <f>VLOOKUP(A1666,SizeData!A$2:B$3839,2,FALSE)</f>
        <v/>
      </c>
      <c r="D1666" s="6" t="n">
        <v>5</v>
      </c>
      <c r="E1666" s="6" t="inlineStr">
        <is>
          <t>R1639689</t>
        </is>
      </c>
      <c r="F1666" s="2" t="n">
        <v>44732</v>
      </c>
      <c r="G1666" s="1" t="n"/>
    </row>
    <row r="1667">
      <c r="A1667" s="6" t="n">
        <v>47863</v>
      </c>
      <c r="B1667" s="6" t="inlineStr">
        <is>
          <t>DUSSE VSOP COGNAC</t>
        </is>
      </c>
      <c r="C1667" s="7">
        <f>VLOOKUP(A1667,SizeData!A$2:B$3839,2,FALSE)</f>
        <v/>
      </c>
      <c r="D1667" s="6" t="n">
        <v>3</v>
      </c>
      <c r="E1667" s="6" t="inlineStr">
        <is>
          <t>R1727399</t>
        </is>
      </c>
      <c r="F1667" s="2" t="n">
        <v>44786</v>
      </c>
      <c r="G1667" s="1" t="n"/>
    </row>
    <row r="1668">
      <c r="A1668" s="6" t="n">
        <v>47863</v>
      </c>
      <c r="B1668" s="6" t="inlineStr">
        <is>
          <t>DUSSE VSOP COGNAC</t>
        </is>
      </c>
      <c r="C1668" s="7">
        <f>VLOOKUP(A1668,SizeData!A$2:B$3839,2,FALSE)</f>
        <v/>
      </c>
      <c r="D1668" s="6" t="n">
        <v>2</v>
      </c>
      <c r="E1668" s="6" t="inlineStr">
        <is>
          <t>R1728993</t>
        </is>
      </c>
      <c r="F1668" s="2" t="n">
        <v>44790</v>
      </c>
      <c r="G1668" s="1" t="n"/>
    </row>
    <row r="1669">
      <c r="A1669" s="6" t="n">
        <v>47863</v>
      </c>
      <c r="B1669" s="6" t="inlineStr">
        <is>
          <t>DUSSE VSOP COGNAC</t>
        </is>
      </c>
      <c r="C1669" s="7">
        <f>VLOOKUP(A1669,SizeData!A$2:B$3839,2,FALSE)</f>
        <v/>
      </c>
      <c r="D1669" s="6" t="n">
        <v>2</v>
      </c>
      <c r="E1669" s="6" t="inlineStr">
        <is>
          <t>R1742052</t>
        </is>
      </c>
      <c r="F1669" s="2" t="n">
        <v>44795</v>
      </c>
      <c r="G1669" s="1" t="n"/>
    </row>
    <row r="1670">
      <c r="A1670" s="6" t="n">
        <v>47863</v>
      </c>
      <c r="B1670" s="6" t="inlineStr">
        <is>
          <t>DUSSE VSOP COGNAC</t>
        </is>
      </c>
      <c r="C1670" s="7">
        <f>VLOOKUP(A1670,SizeData!A$2:B$3839,2,FALSE)</f>
        <v/>
      </c>
      <c r="D1670" s="6" t="n">
        <v>2</v>
      </c>
      <c r="E1670" s="6" t="inlineStr">
        <is>
          <t>R1772446</t>
        </is>
      </c>
      <c r="F1670" s="2" t="n">
        <v>44821</v>
      </c>
      <c r="G1670" s="1" t="n"/>
    </row>
    <row r="1671">
      <c r="A1671" s="6" t="n">
        <v>47863</v>
      </c>
      <c r="B1671" s="6" t="inlineStr">
        <is>
          <t>DUSSE VSOP COGNAC</t>
        </is>
      </c>
      <c r="C1671" s="7">
        <f>VLOOKUP(A1671,SizeData!A$2:B$3839,2,FALSE)</f>
        <v/>
      </c>
      <c r="D1671" s="6" t="n">
        <v>2</v>
      </c>
      <c r="E1671" s="6" t="inlineStr">
        <is>
          <t>R1784903</t>
        </is>
      </c>
      <c r="F1671" s="2" t="n">
        <v>44828</v>
      </c>
      <c r="G1671" s="1" t="n"/>
    </row>
    <row r="1672">
      <c r="A1672" s="6" t="n">
        <v>47863</v>
      </c>
      <c r="B1672" s="6" t="inlineStr">
        <is>
          <t>DUSSE VSOP COGNAC</t>
        </is>
      </c>
      <c r="C1672" s="7">
        <f>VLOOKUP(A1672,SizeData!A$2:B$3839,2,FALSE)</f>
        <v/>
      </c>
      <c r="D1672" s="6" t="n">
        <v>1</v>
      </c>
      <c r="E1672" s="6" t="inlineStr">
        <is>
          <t>R1789511</t>
        </is>
      </c>
      <c r="F1672" s="2" t="n">
        <v>44832</v>
      </c>
      <c r="G1672" s="1" t="n"/>
    </row>
    <row r="1673">
      <c r="A1673" s="6" t="n">
        <v>47863</v>
      </c>
      <c r="B1673" s="6" t="inlineStr">
        <is>
          <t>DUSSE VSOP COGNAC</t>
        </is>
      </c>
      <c r="C1673" s="7">
        <f>VLOOKUP(A1673,SizeData!A$2:B$3839,2,FALSE)</f>
        <v/>
      </c>
      <c r="D1673" s="6" t="n">
        <v>2</v>
      </c>
      <c r="E1673" s="6" t="inlineStr">
        <is>
          <t>R1806604</t>
        </is>
      </c>
      <c r="F1673" s="2" t="n">
        <v>44837</v>
      </c>
      <c r="G1673" s="1" t="n"/>
    </row>
    <row r="1674">
      <c r="A1674" s="6" t="n">
        <v>47863</v>
      </c>
      <c r="B1674" s="6" t="inlineStr">
        <is>
          <t>DUSSE VSOP COGNAC</t>
        </is>
      </c>
      <c r="C1674" s="7">
        <f>VLOOKUP(A1674,SizeData!A$2:B$3839,2,FALSE)</f>
        <v/>
      </c>
      <c r="D1674" s="6" t="n">
        <v>2</v>
      </c>
      <c r="E1674" s="6" t="inlineStr">
        <is>
          <t>R1811635</t>
        </is>
      </c>
      <c r="F1674" s="2" t="n">
        <v>44845</v>
      </c>
      <c r="G1674" s="1" t="n"/>
    </row>
    <row r="1675">
      <c r="A1675" s="6" t="n">
        <v>47863</v>
      </c>
      <c r="B1675" s="6" t="inlineStr">
        <is>
          <t>DUSSE VSOP COGNAC</t>
        </is>
      </c>
      <c r="C1675" s="7">
        <f>VLOOKUP(A1675,SizeData!A$2:B$3839,2,FALSE)</f>
        <v/>
      </c>
      <c r="D1675" s="6" t="n">
        <v>3</v>
      </c>
      <c r="E1675" s="6" t="inlineStr">
        <is>
          <t>R1820979</t>
        </is>
      </c>
      <c r="F1675" s="2" t="n">
        <v>44849</v>
      </c>
      <c r="G1675" s="1" t="n"/>
    </row>
    <row r="1676">
      <c r="A1676" s="6" t="n">
        <v>47863</v>
      </c>
      <c r="B1676" s="6" t="inlineStr">
        <is>
          <t>DUSSE VSOP COGNAC</t>
        </is>
      </c>
      <c r="C1676" s="7">
        <f>VLOOKUP(A1676,SizeData!A$2:B$3839,2,FALSE)</f>
        <v/>
      </c>
      <c r="D1676" s="6" t="n">
        <v>5</v>
      </c>
      <c r="E1676" s="6" t="inlineStr">
        <is>
          <t>R1816996</t>
        </is>
      </c>
      <c r="F1676" s="2" t="n">
        <v>44859</v>
      </c>
      <c r="G1676" s="1" t="n"/>
    </row>
    <row r="1677">
      <c r="A1677" s="6" t="n">
        <v>47863</v>
      </c>
      <c r="B1677" s="6" t="inlineStr">
        <is>
          <t>DUSSE VSOP COGNAC</t>
        </is>
      </c>
      <c r="C1677" s="7">
        <f>VLOOKUP(A1677,SizeData!A$2:B$3839,2,FALSE)</f>
        <v/>
      </c>
      <c r="D1677" s="6" t="n">
        <v>2</v>
      </c>
      <c r="E1677" s="6" t="inlineStr">
        <is>
          <t>R1854075</t>
        </is>
      </c>
      <c r="F1677" s="2" t="n">
        <v>44873</v>
      </c>
      <c r="G1677" s="1" t="n"/>
    </row>
    <row r="1678">
      <c r="A1678" s="6" t="n">
        <v>47863</v>
      </c>
      <c r="B1678" s="6" t="inlineStr">
        <is>
          <t>DUSSE VSOP COGNAC</t>
        </is>
      </c>
      <c r="C1678" s="7">
        <f>VLOOKUP(A1678,SizeData!A$2:B$3839,2,FALSE)</f>
        <v/>
      </c>
      <c r="D1678" s="6" t="n">
        <v>5</v>
      </c>
      <c r="E1678" s="6" t="inlineStr">
        <is>
          <t>R1861865</t>
        </is>
      </c>
      <c r="F1678" s="2" t="n">
        <v>44881</v>
      </c>
      <c r="G1678" s="1" t="n"/>
    </row>
    <row r="1679">
      <c r="A1679" s="6" t="n">
        <v>47865</v>
      </c>
      <c r="B1679" s="6" t="inlineStr">
        <is>
          <t>DUSSE VSOP COGNAC</t>
        </is>
      </c>
      <c r="C1679" s="7">
        <f>VLOOKUP(A1679,SizeData!A$2:B$3839,2,FALSE)</f>
        <v/>
      </c>
      <c r="D1679" s="6" t="n">
        <v>5</v>
      </c>
      <c r="E1679" s="6" t="inlineStr">
        <is>
          <t>R1437102</t>
        </is>
      </c>
      <c r="F1679" s="2" t="n">
        <v>44587</v>
      </c>
      <c r="G1679" s="1" t="n"/>
    </row>
    <row r="1680">
      <c r="A1680" s="6" t="n">
        <v>47865</v>
      </c>
      <c r="B1680" s="6" t="inlineStr">
        <is>
          <t>DUSSE VSOP COGNAC</t>
        </is>
      </c>
      <c r="C1680" s="7">
        <f>VLOOKUP(A1680,SizeData!A$2:B$3839,2,FALSE)</f>
        <v/>
      </c>
      <c r="D1680" s="6" t="n">
        <v>5</v>
      </c>
      <c r="E1680" s="6" t="inlineStr">
        <is>
          <t>R1467852</t>
        </is>
      </c>
      <c r="F1680" s="2" t="n">
        <v>44608</v>
      </c>
      <c r="G1680" s="1" t="n"/>
    </row>
    <row r="1681">
      <c r="A1681" s="6" t="n">
        <v>47865</v>
      </c>
      <c r="B1681" s="6" t="inlineStr">
        <is>
          <t>DUSSE VSOP COGNAC</t>
        </is>
      </c>
      <c r="C1681" s="7">
        <f>VLOOKUP(A1681,SizeData!A$2:B$3839,2,FALSE)</f>
        <v/>
      </c>
      <c r="D1681" s="6" t="n">
        <v>5</v>
      </c>
      <c r="E1681" s="6" t="inlineStr">
        <is>
          <t>R1487441</t>
        </is>
      </c>
      <c r="F1681" s="2" t="n">
        <v>44621</v>
      </c>
      <c r="G1681" s="1" t="n"/>
    </row>
    <row r="1682">
      <c r="A1682" s="6" t="n">
        <v>47865</v>
      </c>
      <c r="B1682" s="6" t="inlineStr">
        <is>
          <t>DUSSE VSOP COGNAC</t>
        </is>
      </c>
      <c r="C1682" s="7">
        <f>VLOOKUP(A1682,SizeData!A$2:B$3839,2,FALSE)</f>
        <v/>
      </c>
      <c r="D1682" s="6" t="n">
        <v>5</v>
      </c>
      <c r="E1682" s="6" t="inlineStr">
        <is>
          <t>R1557641</t>
        </is>
      </c>
      <c r="F1682" s="2" t="n">
        <v>44658</v>
      </c>
      <c r="G1682" s="1" t="n"/>
    </row>
    <row r="1683">
      <c r="A1683" s="6" t="n">
        <v>47865</v>
      </c>
      <c r="B1683" s="6" t="inlineStr">
        <is>
          <t>DUSSE VSOP COGNAC</t>
        </is>
      </c>
      <c r="C1683" s="7">
        <f>VLOOKUP(A1683,SizeData!A$2:B$3839,2,FALSE)</f>
        <v/>
      </c>
      <c r="D1683" s="6" t="n">
        <v>5</v>
      </c>
      <c r="E1683" s="6" t="inlineStr">
        <is>
          <t>R1591903</t>
        </is>
      </c>
      <c r="F1683" s="2" t="n">
        <v>44678</v>
      </c>
      <c r="G1683" s="1" t="n"/>
    </row>
    <row r="1684">
      <c r="A1684" s="6" t="n">
        <v>47865</v>
      </c>
      <c r="B1684" s="6" t="inlineStr">
        <is>
          <t>DUSSE VSOP COGNAC</t>
        </is>
      </c>
      <c r="C1684" s="7">
        <f>VLOOKUP(A1684,SizeData!A$2:B$3839,2,FALSE)</f>
        <v/>
      </c>
      <c r="D1684" s="6" t="n">
        <v>9</v>
      </c>
      <c r="E1684" s="6" t="inlineStr">
        <is>
          <t>R1594706</t>
        </is>
      </c>
      <c r="F1684" s="2" t="n">
        <v>44686</v>
      </c>
      <c r="G1684" s="1" t="n"/>
    </row>
    <row r="1685">
      <c r="A1685" s="6" t="n">
        <v>47865</v>
      </c>
      <c r="B1685" s="6" t="inlineStr">
        <is>
          <t>DUSSE VSOP COGNAC</t>
        </is>
      </c>
      <c r="C1685" s="7">
        <f>VLOOKUP(A1685,SizeData!A$2:B$3839,2,FALSE)</f>
        <v/>
      </c>
      <c r="D1685" s="6" t="n">
        <v>5</v>
      </c>
      <c r="E1685" s="6" t="inlineStr">
        <is>
          <t>R1678024</t>
        </is>
      </c>
      <c r="F1685" s="2" t="n">
        <v>44748</v>
      </c>
      <c r="G1685" s="1" t="n"/>
    </row>
    <row r="1686">
      <c r="A1686" s="6" t="n">
        <v>47865</v>
      </c>
      <c r="B1686" s="6" t="inlineStr">
        <is>
          <t>DUSSE VSOP COGNAC</t>
        </is>
      </c>
      <c r="C1686" s="7">
        <f>VLOOKUP(A1686,SizeData!A$2:B$3839,2,FALSE)</f>
        <v/>
      </c>
      <c r="D1686" s="6" t="n">
        <v>5</v>
      </c>
      <c r="E1686" s="6" t="inlineStr">
        <is>
          <t>R1721451</t>
        </is>
      </c>
      <c r="F1686" s="2" t="n">
        <v>44776</v>
      </c>
      <c r="G1686" s="1" t="n"/>
    </row>
    <row r="1687">
      <c r="A1687" s="6" t="n">
        <v>47865</v>
      </c>
      <c r="B1687" s="6" t="inlineStr">
        <is>
          <t>DUSSE VSOP COGNAC</t>
        </is>
      </c>
      <c r="C1687" s="7">
        <f>VLOOKUP(A1687,SizeData!A$2:B$3839,2,FALSE)</f>
        <v/>
      </c>
      <c r="D1687" s="6" t="n">
        <v>10</v>
      </c>
      <c r="E1687" s="6" t="inlineStr">
        <is>
          <t>R1750928</t>
        </is>
      </c>
      <c r="F1687" s="2" t="n">
        <v>44798</v>
      </c>
      <c r="G1687" s="1" t="n"/>
    </row>
    <row r="1688">
      <c r="A1688" s="6" t="n">
        <v>47865</v>
      </c>
      <c r="B1688" s="6" t="inlineStr">
        <is>
          <t>DUSSE VSOP COGNAC</t>
        </is>
      </c>
      <c r="C1688" s="7">
        <f>VLOOKUP(A1688,SizeData!A$2:B$3839,2,FALSE)</f>
        <v/>
      </c>
      <c r="D1688" s="6" t="n">
        <v>2</v>
      </c>
      <c r="E1688" s="6" t="inlineStr">
        <is>
          <t>R1781063</t>
        </is>
      </c>
      <c r="F1688" s="2" t="n">
        <v>44823</v>
      </c>
      <c r="G1688" s="1" t="n"/>
    </row>
    <row r="1689">
      <c r="A1689" s="6" t="n">
        <v>47865</v>
      </c>
      <c r="B1689" s="6" t="inlineStr">
        <is>
          <t>DUSSE VSOP COGNAC</t>
        </is>
      </c>
      <c r="C1689" s="7">
        <f>VLOOKUP(A1689,SizeData!A$2:B$3839,2,FALSE)</f>
        <v/>
      </c>
      <c r="D1689" s="6" t="n">
        <v>3</v>
      </c>
      <c r="E1689" s="6" t="inlineStr">
        <is>
          <t>R1791500</t>
        </is>
      </c>
      <c r="F1689" s="2" t="n">
        <v>44835</v>
      </c>
      <c r="G1689" s="1" t="n"/>
    </row>
    <row r="1690">
      <c r="A1690" s="6" t="n">
        <v>47865</v>
      </c>
      <c r="B1690" s="6" t="inlineStr">
        <is>
          <t>DUSSE VSOP COGNAC</t>
        </is>
      </c>
      <c r="C1690" s="7">
        <f>VLOOKUP(A1690,SizeData!A$2:B$3839,2,FALSE)</f>
        <v/>
      </c>
      <c r="D1690" s="6" t="n">
        <v>1</v>
      </c>
      <c r="E1690" s="6" t="inlineStr">
        <is>
          <t>R1798963</t>
        </is>
      </c>
      <c r="F1690" s="2" t="n">
        <v>44844</v>
      </c>
      <c r="G1690" s="1" t="n"/>
    </row>
    <row r="1691">
      <c r="A1691" s="6" t="n">
        <v>47865</v>
      </c>
      <c r="B1691" s="6" t="inlineStr">
        <is>
          <t>DUSSE VSOP COGNAC</t>
        </is>
      </c>
      <c r="C1691" s="7">
        <f>VLOOKUP(A1691,SizeData!A$2:B$3839,2,FALSE)</f>
        <v/>
      </c>
      <c r="D1691" s="6" t="n">
        <v>2</v>
      </c>
      <c r="E1691" s="6" t="inlineStr">
        <is>
          <t>R1817613</t>
        </is>
      </c>
      <c r="F1691" s="2" t="n">
        <v>44849</v>
      </c>
      <c r="G1691" s="1" t="n"/>
    </row>
    <row r="1692">
      <c r="A1692" s="6" t="n">
        <v>47865</v>
      </c>
      <c r="B1692" s="6" t="inlineStr">
        <is>
          <t>DUSSE VSOP COGNAC</t>
        </is>
      </c>
      <c r="C1692" s="7">
        <f>VLOOKUP(A1692,SizeData!A$2:B$3839,2,FALSE)</f>
        <v/>
      </c>
      <c r="D1692" s="6" t="n">
        <v>7</v>
      </c>
      <c r="E1692" s="6" t="inlineStr">
        <is>
          <t>R1832815</t>
        </is>
      </c>
      <c r="F1692" s="2" t="n">
        <v>44855</v>
      </c>
      <c r="G1692" s="1" t="n"/>
    </row>
    <row r="1693">
      <c r="A1693" s="6" t="n">
        <v>47865</v>
      </c>
      <c r="B1693" s="6" t="inlineStr">
        <is>
          <t>DUSSE VSOP COGNAC</t>
        </is>
      </c>
      <c r="C1693" s="7">
        <f>VLOOKUP(A1693,SizeData!A$2:B$3839,2,FALSE)</f>
        <v/>
      </c>
      <c r="D1693" s="6" t="n">
        <v>5</v>
      </c>
      <c r="E1693" s="6" t="inlineStr">
        <is>
          <t>R1837345</t>
        </is>
      </c>
      <c r="F1693" s="2" t="n">
        <v>44859</v>
      </c>
      <c r="G1693" s="1" t="n"/>
    </row>
    <row r="1694">
      <c r="A1694" s="6" t="n">
        <v>47865</v>
      </c>
      <c r="B1694" s="6" t="inlineStr">
        <is>
          <t>DUSSE VSOP COGNAC</t>
        </is>
      </c>
      <c r="C1694" s="7">
        <f>VLOOKUP(A1694,SizeData!A$2:B$3839,2,FALSE)</f>
        <v/>
      </c>
      <c r="D1694" s="6" t="n">
        <v>10</v>
      </c>
      <c r="E1694" s="6" t="inlineStr">
        <is>
          <t>R1889724</t>
        </is>
      </c>
      <c r="F1694" s="2" t="n">
        <v>44903</v>
      </c>
      <c r="G1694" s="1" t="n"/>
    </row>
    <row r="1695">
      <c r="A1695" s="6" t="n">
        <v>47861</v>
      </c>
      <c r="B1695" s="6" t="inlineStr">
        <is>
          <t>DUSSE VSOP COGNAC FLASK BOTTLE</t>
        </is>
      </c>
      <c r="C1695" s="7">
        <f>VLOOKUP(A1695,SizeData!A$2:B$3839,2,FALSE)</f>
        <v/>
      </c>
      <c r="D1695" s="6" t="n">
        <v>5</v>
      </c>
      <c r="E1695" s="6" t="inlineStr">
        <is>
          <t>R1467852</t>
        </is>
      </c>
      <c r="F1695" s="2" t="n">
        <v>44608</v>
      </c>
      <c r="G1695" s="1" t="n"/>
    </row>
    <row r="1696">
      <c r="A1696" s="6" t="n">
        <v>47861</v>
      </c>
      <c r="B1696" s="6" t="inlineStr">
        <is>
          <t>DUSSE VSOP COGNAC FLASK BOTTLE</t>
        </is>
      </c>
      <c r="C1696" s="7">
        <f>VLOOKUP(A1696,SizeData!A$2:B$3839,2,FALSE)</f>
        <v/>
      </c>
      <c r="D1696" s="6" t="n">
        <v>5</v>
      </c>
      <c r="E1696" s="6" t="inlineStr">
        <is>
          <t>R1678024</t>
        </is>
      </c>
      <c r="F1696" s="2" t="n">
        <v>44748</v>
      </c>
      <c r="G1696" s="1" t="n"/>
    </row>
    <row r="1697">
      <c r="A1697" s="6" t="n">
        <v>47861</v>
      </c>
      <c r="B1697" s="6" t="inlineStr">
        <is>
          <t>DUSSE VSOP COGNAC FLASK BOTTLE</t>
        </is>
      </c>
      <c r="C1697" s="7">
        <f>VLOOKUP(A1697,SizeData!A$2:B$3839,2,FALSE)</f>
        <v/>
      </c>
      <c r="D1697" s="6" t="n">
        <v>2</v>
      </c>
      <c r="E1697" s="6" t="inlineStr">
        <is>
          <t>R1763684</t>
        </is>
      </c>
      <c r="F1697" s="2" t="n">
        <v>44821</v>
      </c>
      <c r="G1697" s="1" t="n"/>
    </row>
    <row r="1698">
      <c r="A1698" s="6" t="n">
        <v>47861</v>
      </c>
      <c r="B1698" s="6" t="inlineStr">
        <is>
          <t>DUSSE VSOP COGNAC FLASK BOTTLE</t>
        </is>
      </c>
      <c r="C1698" s="7">
        <f>VLOOKUP(A1698,SizeData!A$2:B$3839,2,FALSE)</f>
        <v/>
      </c>
      <c r="D1698" s="6" t="n">
        <v>2</v>
      </c>
      <c r="E1698" s="6" t="inlineStr">
        <is>
          <t>R1784903</t>
        </is>
      </c>
      <c r="F1698" s="2" t="n">
        <v>44828</v>
      </c>
      <c r="G1698" s="1" t="n"/>
    </row>
    <row r="1699">
      <c r="A1699" s="6" t="n">
        <v>47861</v>
      </c>
      <c r="B1699" s="6" t="inlineStr">
        <is>
          <t>DUSSE VSOP COGNAC FLASK BOTTLE</t>
        </is>
      </c>
      <c r="C1699" s="7">
        <f>VLOOKUP(A1699,SizeData!A$2:B$3839,2,FALSE)</f>
        <v/>
      </c>
      <c r="D1699" s="6" t="n">
        <v>2</v>
      </c>
      <c r="E1699" s="6" t="inlineStr">
        <is>
          <t>R1861865</t>
        </is>
      </c>
      <c r="F1699" s="2" t="n">
        <v>44881</v>
      </c>
      <c r="G1699" s="1" t="n"/>
    </row>
    <row r="1700">
      <c r="A1700" s="6" t="n">
        <v>47869</v>
      </c>
      <c r="B1700" s="6" t="inlineStr">
        <is>
          <t>DUSSE XO COGNAC</t>
        </is>
      </c>
      <c r="C1700" s="7">
        <f>VLOOKUP(A1700,SizeData!A$2:B$3839,2,FALSE)</f>
        <v/>
      </c>
      <c r="D1700" s="6" t="n">
        <v>1</v>
      </c>
      <c r="E1700" s="6" t="inlineStr">
        <is>
          <t>R1434427</t>
        </is>
      </c>
      <c r="F1700" s="2" t="n">
        <v>44588</v>
      </c>
      <c r="G1700" s="1" t="n"/>
    </row>
    <row r="1701">
      <c r="A1701" s="6" t="n">
        <v>73753</v>
      </c>
      <c r="B1701" s="6" t="inlineStr">
        <is>
          <t>E &amp; J APPLE BRANDY</t>
        </is>
      </c>
      <c r="C1701" s="7">
        <f>VLOOKUP(A1701,SizeData!A$2:B$3839,2,FALSE)</f>
        <v/>
      </c>
      <c r="D1701" s="6" t="n">
        <v>1</v>
      </c>
      <c r="E1701" s="6" t="inlineStr">
        <is>
          <t>R1696453</t>
        </is>
      </c>
      <c r="F1701" s="2" t="n">
        <v>44758</v>
      </c>
      <c r="G1701" s="1" t="n"/>
    </row>
    <row r="1702">
      <c r="A1702" s="6" t="n">
        <v>73754</v>
      </c>
      <c r="B1702" s="6" t="inlineStr">
        <is>
          <t>E &amp; J APPLE BRANDY</t>
        </is>
      </c>
      <c r="C1702" s="7">
        <f>VLOOKUP(A1702,SizeData!A$2:B$3839,2,FALSE)</f>
        <v/>
      </c>
      <c r="D1702" s="6" t="n">
        <v>1</v>
      </c>
      <c r="E1702" s="6" t="inlineStr">
        <is>
          <t>R1407604</t>
        </is>
      </c>
      <c r="F1702" s="2" t="n">
        <v>44566</v>
      </c>
      <c r="G1702" s="1" t="n"/>
    </row>
    <row r="1703">
      <c r="A1703" s="6" t="n">
        <v>73754</v>
      </c>
      <c r="B1703" s="6" t="inlineStr">
        <is>
          <t>E &amp; J APPLE BRANDY</t>
        </is>
      </c>
      <c r="C1703" s="7">
        <f>VLOOKUP(A1703,SizeData!A$2:B$3839,2,FALSE)</f>
        <v/>
      </c>
      <c r="D1703" s="6" t="n">
        <v>1</v>
      </c>
      <c r="E1703" s="6" t="inlineStr">
        <is>
          <t>R1472811</t>
        </is>
      </c>
      <c r="F1703" s="2" t="n">
        <v>44609</v>
      </c>
      <c r="G1703" s="1" t="n"/>
    </row>
    <row r="1704">
      <c r="A1704" s="6" t="n">
        <v>73754</v>
      </c>
      <c r="B1704" s="6" t="inlineStr">
        <is>
          <t>E &amp; J APPLE BRANDY</t>
        </is>
      </c>
      <c r="C1704" s="7">
        <f>VLOOKUP(A1704,SizeData!A$2:B$3839,2,FALSE)</f>
        <v/>
      </c>
      <c r="D1704" s="6" t="n">
        <v>1</v>
      </c>
      <c r="E1704" s="6" t="inlineStr">
        <is>
          <t>R1599922</t>
        </is>
      </c>
      <c r="F1704" s="2" t="n">
        <v>44696</v>
      </c>
      <c r="G1704" s="1" t="n"/>
    </row>
    <row r="1705">
      <c r="A1705" s="6" t="n">
        <v>73754</v>
      </c>
      <c r="B1705" s="6" t="inlineStr">
        <is>
          <t>E &amp; J APPLE BRANDY</t>
        </is>
      </c>
      <c r="C1705" s="7">
        <f>VLOOKUP(A1705,SizeData!A$2:B$3839,2,FALSE)</f>
        <v/>
      </c>
      <c r="D1705" s="6" t="n">
        <v>1</v>
      </c>
      <c r="E1705" s="6" t="inlineStr">
        <is>
          <t>R1727399</t>
        </is>
      </c>
      <c r="F1705" s="2" t="n">
        <v>44786</v>
      </c>
      <c r="G1705" s="1" t="n"/>
    </row>
    <row r="1706">
      <c r="A1706" s="6" t="n">
        <v>73754</v>
      </c>
      <c r="B1706" s="6" t="inlineStr">
        <is>
          <t>E &amp; J APPLE BRANDY</t>
        </is>
      </c>
      <c r="C1706" s="7">
        <f>VLOOKUP(A1706,SizeData!A$2:B$3839,2,FALSE)</f>
        <v/>
      </c>
      <c r="D1706" s="6" t="n">
        <v>1</v>
      </c>
      <c r="E1706" s="6" t="inlineStr">
        <is>
          <t>R1892470</t>
        </is>
      </c>
      <c r="F1706" s="2" t="n">
        <v>44902</v>
      </c>
      <c r="G1706" s="1" t="n"/>
    </row>
    <row r="1707">
      <c r="A1707" s="6" t="n">
        <v>73755</v>
      </c>
      <c r="B1707" s="6" t="inlineStr">
        <is>
          <t>E &amp; J APPLE BRANDY</t>
        </is>
      </c>
      <c r="C1707" s="7">
        <f>VLOOKUP(A1707,SizeData!A$2:B$3839,2,FALSE)</f>
        <v/>
      </c>
      <c r="D1707" s="6" t="n">
        <v>1</v>
      </c>
      <c r="E1707" s="6" t="inlineStr">
        <is>
          <t>R1418605</t>
        </is>
      </c>
      <c r="F1707" s="2" t="n">
        <v>44576</v>
      </c>
      <c r="G1707" s="1" t="n"/>
    </row>
    <row r="1708">
      <c r="A1708" s="6" t="n">
        <v>73755</v>
      </c>
      <c r="B1708" s="6" t="inlineStr">
        <is>
          <t>E &amp; J APPLE BRANDY</t>
        </is>
      </c>
      <c r="C1708" s="7">
        <f>VLOOKUP(A1708,SizeData!A$2:B$3839,2,FALSE)</f>
        <v/>
      </c>
      <c r="D1708" s="6" t="n">
        <v>1</v>
      </c>
      <c r="E1708" s="6" t="inlineStr">
        <is>
          <t>R1418605</t>
        </is>
      </c>
      <c r="F1708" s="2" t="n">
        <v>44576</v>
      </c>
      <c r="G1708" s="1" t="n"/>
    </row>
    <row r="1709">
      <c r="A1709" s="6" t="n">
        <v>73755</v>
      </c>
      <c r="B1709" s="6" t="inlineStr">
        <is>
          <t>E &amp; J APPLE BRANDY</t>
        </is>
      </c>
      <c r="C1709" s="7">
        <f>VLOOKUP(A1709,SizeData!A$2:B$3839,2,FALSE)</f>
        <v/>
      </c>
      <c r="D1709" s="6" t="n">
        <v>2</v>
      </c>
      <c r="E1709" s="6" t="inlineStr">
        <is>
          <t>R1443217</t>
        </is>
      </c>
      <c r="F1709" s="2" t="n">
        <v>44593</v>
      </c>
      <c r="G1709" s="1" t="n"/>
    </row>
    <row r="1710">
      <c r="A1710" s="6" t="n">
        <v>73755</v>
      </c>
      <c r="B1710" s="6" t="inlineStr">
        <is>
          <t>E &amp; J APPLE BRANDY</t>
        </is>
      </c>
      <c r="C1710" s="7">
        <f>VLOOKUP(A1710,SizeData!A$2:B$3839,2,FALSE)</f>
        <v/>
      </c>
      <c r="D1710" s="6" t="n">
        <v>2</v>
      </c>
      <c r="E1710" s="6" t="inlineStr">
        <is>
          <t>R1467109</t>
        </is>
      </c>
      <c r="F1710" s="2" t="n">
        <v>44604</v>
      </c>
      <c r="G1710" s="1" t="n"/>
    </row>
    <row r="1711">
      <c r="A1711" s="6" t="n">
        <v>73755</v>
      </c>
      <c r="B1711" s="6" t="inlineStr">
        <is>
          <t>E &amp; J APPLE BRANDY</t>
        </is>
      </c>
      <c r="C1711" s="7">
        <f>VLOOKUP(A1711,SizeData!A$2:B$3839,2,FALSE)</f>
        <v/>
      </c>
      <c r="D1711" s="6" t="n">
        <v>1</v>
      </c>
      <c r="E1711" s="6" t="inlineStr">
        <is>
          <t>R1467109</t>
        </is>
      </c>
      <c r="F1711" s="2" t="n">
        <v>44604</v>
      </c>
      <c r="G1711" s="1" t="n"/>
    </row>
    <row r="1712">
      <c r="A1712" s="6" t="n">
        <v>73755</v>
      </c>
      <c r="B1712" s="6" t="inlineStr">
        <is>
          <t>E &amp; J APPLE BRANDY</t>
        </is>
      </c>
      <c r="C1712" s="7">
        <f>VLOOKUP(A1712,SizeData!A$2:B$3839,2,FALSE)</f>
        <v/>
      </c>
      <c r="D1712" s="6" t="n">
        <v>1</v>
      </c>
      <c r="E1712" s="6" t="inlineStr">
        <is>
          <t>R1606008</t>
        </is>
      </c>
      <c r="F1712" s="2" t="n">
        <v>44684</v>
      </c>
      <c r="G1712" s="1" t="n"/>
    </row>
    <row r="1713">
      <c r="A1713" s="6" t="n">
        <v>73755</v>
      </c>
      <c r="B1713" s="6" t="inlineStr">
        <is>
          <t>E &amp; J APPLE BRANDY</t>
        </is>
      </c>
      <c r="C1713" s="7">
        <f>VLOOKUP(A1713,SizeData!A$2:B$3839,2,FALSE)</f>
        <v/>
      </c>
      <c r="D1713" s="6" t="n">
        <v>4</v>
      </c>
      <c r="E1713" s="6" t="inlineStr">
        <is>
          <t>R1613255</t>
        </is>
      </c>
      <c r="F1713" s="2" t="n">
        <v>44700</v>
      </c>
      <c r="G1713" s="1" t="n"/>
    </row>
    <row r="1714">
      <c r="A1714" s="6" t="n">
        <v>73755</v>
      </c>
      <c r="B1714" s="6" t="inlineStr">
        <is>
          <t>E &amp; J APPLE BRANDY</t>
        </is>
      </c>
      <c r="C1714" s="7">
        <f>VLOOKUP(A1714,SizeData!A$2:B$3839,2,FALSE)</f>
        <v/>
      </c>
      <c r="D1714" s="6" t="n">
        <v>2</v>
      </c>
      <c r="E1714" s="6" t="inlineStr">
        <is>
          <t>R1744939</t>
        </is>
      </c>
      <c r="F1714" s="2" t="n">
        <v>44804</v>
      </c>
      <c r="G1714" s="1" t="n"/>
    </row>
    <row r="1715">
      <c r="A1715" s="6" t="n">
        <v>73755</v>
      </c>
      <c r="B1715" s="6" t="inlineStr">
        <is>
          <t>E &amp; J APPLE BRANDY</t>
        </is>
      </c>
      <c r="C1715" s="7">
        <f>VLOOKUP(A1715,SizeData!A$2:B$3839,2,FALSE)</f>
        <v/>
      </c>
      <c r="D1715" s="6" t="n">
        <v>1</v>
      </c>
      <c r="E1715" s="6" t="inlineStr">
        <is>
          <t>R1880771</t>
        </is>
      </c>
      <c r="F1715" s="2" t="n">
        <v>44895</v>
      </c>
      <c r="G1715" s="1" t="n"/>
    </row>
    <row r="1716">
      <c r="A1716" s="26" t="n">
        <v>73755</v>
      </c>
      <c r="B1716" s="26" t="inlineStr">
        <is>
          <t>E &amp; J APPLE BRANDY</t>
        </is>
      </c>
      <c r="C1716" s="75">
        <f>VLOOKUP(A1716,SizeData!A$2:B$3839,2,FALSE)</f>
        <v/>
      </c>
      <c r="D1716" s="26" t="n">
        <v>1</v>
      </c>
      <c r="E1716" s="26" t="inlineStr">
        <is>
          <t>R1880771</t>
        </is>
      </c>
      <c r="F1716" s="61" t="n">
        <v>44895</v>
      </c>
      <c r="G1716" s="62" t="n"/>
    </row>
    <row r="1717">
      <c r="A1717" s="6" t="n">
        <v>73757</v>
      </c>
      <c r="B1717" s="6" t="inlineStr">
        <is>
          <t>E &amp; J APPLE BRANDY</t>
        </is>
      </c>
      <c r="C1717" s="7">
        <f>VLOOKUP(A1717,SizeData!A$2:B$3839,2,FALSE)</f>
        <v/>
      </c>
      <c r="D1717" s="6" t="n">
        <v>1</v>
      </c>
      <c r="E1717" s="6" t="inlineStr">
        <is>
          <t>R1418605</t>
        </is>
      </c>
      <c r="F1717" s="2" t="n">
        <v>44576</v>
      </c>
      <c r="G1717" s="1" t="n"/>
    </row>
    <row r="1718">
      <c r="A1718" s="6" t="n">
        <v>73757</v>
      </c>
      <c r="B1718" s="6" t="inlineStr">
        <is>
          <t>E &amp; J APPLE BRANDY</t>
        </is>
      </c>
      <c r="C1718" s="7">
        <f>VLOOKUP(A1718,SizeData!A$2:B$3839,2,FALSE)</f>
        <v/>
      </c>
      <c r="D1718" s="6" t="n">
        <v>1</v>
      </c>
      <c r="E1718" s="6" t="inlineStr">
        <is>
          <t>R1472811</t>
        </is>
      </c>
      <c r="F1718" s="2" t="n">
        <v>44609</v>
      </c>
      <c r="G1718" s="1" t="n"/>
    </row>
    <row r="1719">
      <c r="A1719" s="6" t="n">
        <v>73757</v>
      </c>
      <c r="B1719" s="6" t="inlineStr">
        <is>
          <t>E &amp; J APPLE BRANDY</t>
        </is>
      </c>
      <c r="C1719" s="7">
        <f>VLOOKUP(A1719,SizeData!A$2:B$3839,2,FALSE)</f>
        <v/>
      </c>
      <c r="D1719" s="6" t="n">
        <v>1</v>
      </c>
      <c r="E1719" s="6" t="inlineStr">
        <is>
          <t>R1497382</t>
        </is>
      </c>
      <c r="F1719" s="2" t="n">
        <v>44627</v>
      </c>
      <c r="G1719" s="1" t="n"/>
    </row>
    <row r="1720">
      <c r="A1720" s="6" t="n">
        <v>73757</v>
      </c>
      <c r="B1720" s="6" t="inlineStr">
        <is>
          <t>E &amp; J APPLE BRANDY</t>
        </is>
      </c>
      <c r="C1720" s="7">
        <f>VLOOKUP(A1720,SizeData!A$2:B$3839,2,FALSE)</f>
        <v/>
      </c>
      <c r="D1720" s="6" t="n">
        <v>1</v>
      </c>
      <c r="E1720" s="6" t="inlineStr">
        <is>
          <t>R1572421</t>
        </is>
      </c>
      <c r="F1720" s="2" t="n">
        <v>44667</v>
      </c>
      <c r="G1720" s="1" t="n"/>
    </row>
    <row r="1721">
      <c r="A1721" s="6" t="n">
        <v>73757</v>
      </c>
      <c r="B1721" s="6" t="inlineStr">
        <is>
          <t>E &amp; J APPLE BRANDY</t>
        </is>
      </c>
      <c r="C1721" s="7">
        <f>VLOOKUP(A1721,SizeData!A$2:B$3839,2,FALSE)</f>
        <v/>
      </c>
      <c r="D1721" s="6" t="n">
        <v>1</v>
      </c>
      <c r="E1721" s="6" t="inlineStr">
        <is>
          <t>R1761638</t>
        </is>
      </c>
      <c r="F1721" s="2" t="n">
        <v>44807</v>
      </c>
      <c r="G1721" s="1" t="n"/>
    </row>
    <row r="1722">
      <c r="A1722" s="6" t="n">
        <v>73757</v>
      </c>
      <c r="B1722" s="6" t="inlineStr">
        <is>
          <t>E &amp; J APPLE BRANDY</t>
        </is>
      </c>
      <c r="C1722" s="7">
        <f>VLOOKUP(A1722,SizeData!A$2:B$3839,2,FALSE)</f>
        <v/>
      </c>
      <c r="D1722" s="6" t="n">
        <v>1</v>
      </c>
      <c r="E1722" s="6" t="inlineStr">
        <is>
          <t>R1906601</t>
        </is>
      </c>
      <c r="F1722" s="2" t="n">
        <v>44902</v>
      </c>
      <c r="G1722" s="1" t="n"/>
    </row>
    <row r="1723">
      <c r="A1723" s="6" t="n">
        <v>73762</v>
      </c>
      <c r="B1723" s="6" t="inlineStr">
        <is>
          <t>E &amp; J PEACH (BRANDY W/PEACH LIQUEUR)</t>
        </is>
      </c>
      <c r="C1723" s="7">
        <f>VLOOKUP(A1723,SizeData!A$2:B$3839,2,FALSE)</f>
        <v/>
      </c>
      <c r="D1723" s="6" t="n">
        <v>1</v>
      </c>
      <c r="E1723" s="6" t="inlineStr">
        <is>
          <t>R1452246</t>
        </is>
      </c>
      <c r="F1723" s="2" t="n">
        <v>44600</v>
      </c>
      <c r="G1723" s="1" t="n"/>
    </row>
    <row r="1724">
      <c r="A1724" s="6" t="n">
        <v>73762</v>
      </c>
      <c r="B1724" s="6" t="inlineStr">
        <is>
          <t>E &amp; J PEACH (BRANDY W/PEACH LIQUEUR)</t>
        </is>
      </c>
      <c r="C1724" s="7">
        <f>VLOOKUP(A1724,SizeData!A$2:B$3839,2,FALSE)</f>
        <v/>
      </c>
      <c r="D1724" s="6" t="n">
        <v>1</v>
      </c>
      <c r="E1724" s="6" t="inlineStr">
        <is>
          <t>R1880771</t>
        </is>
      </c>
      <c r="F1724" s="2" t="n">
        <v>44895</v>
      </c>
      <c r="G1724" s="1" t="n"/>
    </row>
    <row r="1725">
      <c r="A1725" s="6" t="n">
        <v>52582</v>
      </c>
      <c r="B1725" s="6" t="inlineStr">
        <is>
          <t>E &amp; J SUPERIOR RESERVE VSOP</t>
        </is>
      </c>
      <c r="C1725" s="7">
        <f>VLOOKUP(A1725,SizeData!A$2:B$3839,2,FALSE)</f>
        <v/>
      </c>
      <c r="D1725" s="6" t="n">
        <v>1</v>
      </c>
      <c r="E1725" s="6" t="inlineStr">
        <is>
          <t>R1547143</t>
        </is>
      </c>
      <c r="F1725" s="2" t="n">
        <v>44655</v>
      </c>
      <c r="G1725" s="1" t="n"/>
    </row>
    <row r="1726">
      <c r="A1726" s="6" t="n">
        <v>52580</v>
      </c>
      <c r="B1726" s="6" t="inlineStr">
        <is>
          <t>E &amp; J SUPERIOR RESERVE VSOP BRANDY</t>
        </is>
      </c>
      <c r="C1726" s="7">
        <f>VLOOKUP(A1726,SizeData!A$2:B$3839,2,FALSE)</f>
        <v/>
      </c>
      <c r="D1726" s="6" t="n">
        <v>2</v>
      </c>
      <c r="E1726" s="6" t="inlineStr">
        <is>
          <t>R1471479</t>
        </is>
      </c>
      <c r="F1726" s="2" t="n">
        <v>44614</v>
      </c>
      <c r="G1726" s="1" t="n"/>
    </row>
    <row r="1727">
      <c r="A1727" s="31" t="n">
        <v>52580</v>
      </c>
      <c r="B1727" s="31" t="inlineStr">
        <is>
          <t>E &amp; J SUPERIOR RESERVE VSOP BRANDY</t>
        </is>
      </c>
      <c r="C1727" s="7">
        <f>VLOOKUP(A1727,SizeData!A$2:B$3839,2,FALSE)</f>
        <v/>
      </c>
      <c r="D1727" s="31" t="n">
        <v>1</v>
      </c>
      <c r="E1727" s="31" t="inlineStr">
        <is>
          <t>R1528002</t>
        </is>
      </c>
      <c r="F1727" s="33" t="n">
        <v>44641</v>
      </c>
      <c r="G1727" s="34" t="n"/>
    </row>
    <row r="1728">
      <c r="A1728" s="6" t="n">
        <v>52580</v>
      </c>
      <c r="B1728" s="6" t="inlineStr">
        <is>
          <t>E &amp; J SUPERIOR RESERVE VSOP BRANDY</t>
        </is>
      </c>
      <c r="C1728" s="7">
        <f>VLOOKUP(A1728,SizeData!A$2:B$3839,2,FALSE)</f>
        <v/>
      </c>
      <c r="D1728" s="6" t="n">
        <v>1</v>
      </c>
      <c r="E1728" s="6" t="inlineStr">
        <is>
          <t>R1606546</t>
        </is>
      </c>
      <c r="F1728" s="2" t="n">
        <v>44690</v>
      </c>
      <c r="G1728" s="1" t="n"/>
    </row>
    <row r="1729">
      <c r="A1729" s="39" t="n">
        <v>52580</v>
      </c>
      <c r="B1729" s="39" t="inlineStr">
        <is>
          <t>E &amp; J SUPERIOR RESERVE VSOP BRANDY</t>
        </is>
      </c>
      <c r="C1729" s="7">
        <f>VLOOKUP(A1729,SizeData!A$2:B$3839,2,FALSE)</f>
        <v/>
      </c>
      <c r="D1729" s="39" t="n">
        <v>1</v>
      </c>
      <c r="E1729" s="39" t="inlineStr">
        <is>
          <t>R1672578</t>
        </is>
      </c>
      <c r="F1729" s="40" t="n">
        <v>44740</v>
      </c>
      <c r="G1729" s="41" t="n"/>
    </row>
    <row r="1730">
      <c r="A1730" s="6" t="n">
        <v>52580</v>
      </c>
      <c r="B1730" s="6" t="inlineStr">
        <is>
          <t>E &amp; J SUPERIOR RESERVE VSOP BRANDY</t>
        </is>
      </c>
      <c r="C1730" s="7">
        <f>VLOOKUP(A1730,SizeData!A$2:B$3839,2,FALSE)</f>
        <v/>
      </c>
      <c r="D1730" s="6" t="n">
        <v>1</v>
      </c>
      <c r="E1730" s="6" t="inlineStr">
        <is>
          <t>R1697777</t>
        </is>
      </c>
      <c r="F1730" s="2" t="n">
        <v>44767</v>
      </c>
      <c r="G1730" s="1" t="n"/>
    </row>
    <row r="1731">
      <c r="A1731" s="6" t="n">
        <v>52580</v>
      </c>
      <c r="B1731" s="6" t="inlineStr">
        <is>
          <t>E &amp; J SUPERIOR RESERVE VSOP BRANDY</t>
        </is>
      </c>
      <c r="C1731" s="7">
        <f>VLOOKUP(A1731,SizeData!A$2:B$3839,2,FALSE)</f>
        <v/>
      </c>
      <c r="D1731" s="6" t="n">
        <v>1</v>
      </c>
      <c r="E1731" s="6" t="inlineStr">
        <is>
          <t>R1728993</t>
        </is>
      </c>
      <c r="F1731" s="2" t="n">
        <v>44790</v>
      </c>
      <c r="G1731" s="1" t="n"/>
    </row>
    <row r="1732">
      <c r="A1732" s="6" t="n">
        <v>52580</v>
      </c>
      <c r="B1732" s="6" t="inlineStr">
        <is>
          <t>E &amp; J SUPERIOR RESERVE VSOP BRANDY</t>
        </is>
      </c>
      <c r="C1732" s="7">
        <f>VLOOKUP(A1732,SizeData!A$2:B$3839,2,FALSE)</f>
        <v/>
      </c>
      <c r="D1732" s="6" t="n">
        <v>1</v>
      </c>
      <c r="E1732" s="6" t="inlineStr">
        <is>
          <t>R1767202</t>
        </is>
      </c>
      <c r="F1732" s="2" t="n">
        <v>44812</v>
      </c>
      <c r="G1732" s="1" t="n"/>
    </row>
    <row r="1733">
      <c r="A1733" s="6" t="n">
        <v>52580</v>
      </c>
      <c r="B1733" s="6" t="inlineStr">
        <is>
          <t>E &amp; J SUPERIOR RESERVE VSOP BRANDY</t>
        </is>
      </c>
      <c r="C1733" s="7">
        <f>VLOOKUP(A1733,SizeData!A$2:B$3839,2,FALSE)</f>
        <v/>
      </c>
      <c r="D1733" s="6" t="n">
        <v>2</v>
      </c>
      <c r="E1733" s="6" t="inlineStr">
        <is>
          <t>R1826558</t>
        </is>
      </c>
      <c r="F1733" s="2" t="n">
        <v>44854</v>
      </c>
      <c r="G1733" s="1" t="n"/>
    </row>
    <row r="1734">
      <c r="A1734" s="26" t="n">
        <v>52580</v>
      </c>
      <c r="B1734" s="26" t="inlineStr">
        <is>
          <t>E &amp; J SUPERIOR RESERVE VSOP BRANDY</t>
        </is>
      </c>
      <c r="C1734" s="75">
        <f>VLOOKUP(A1734,SizeData!A$2:B$3839,2,FALSE)</f>
        <v/>
      </c>
      <c r="D1734" s="26" t="n">
        <v>1</v>
      </c>
      <c r="E1734" s="26" t="inlineStr">
        <is>
          <t>R1866531</t>
        </is>
      </c>
      <c r="F1734" s="61" t="n">
        <v>44877</v>
      </c>
      <c r="G1734" s="62" t="n"/>
    </row>
    <row r="1735">
      <c r="A1735" s="6" t="n">
        <v>52580</v>
      </c>
      <c r="B1735" s="6" t="inlineStr">
        <is>
          <t>E &amp; J SUPERIOR RESERVE VSOP BRANDY</t>
        </is>
      </c>
      <c r="C1735" s="7">
        <f>VLOOKUP(A1735,SizeData!A$2:B$3839,2,FALSE)</f>
        <v/>
      </c>
      <c r="D1735" s="6" t="n">
        <v>1</v>
      </c>
      <c r="E1735" s="6" t="inlineStr">
        <is>
          <t>R1894248</t>
        </is>
      </c>
      <c r="F1735" s="2" t="n">
        <v>44902</v>
      </c>
      <c r="G1735" s="1" t="n"/>
    </row>
    <row r="1736">
      <c r="A1736" s="6" t="n">
        <v>52581</v>
      </c>
      <c r="B1736" s="6" t="inlineStr">
        <is>
          <t>E &amp; J SUPERIOR RESERVE VSOP BRANDY</t>
        </is>
      </c>
      <c r="C1736" s="7">
        <f>VLOOKUP(A1736,SizeData!A$2:B$3839,2,FALSE)</f>
        <v/>
      </c>
      <c r="D1736" s="6" t="n">
        <v>2</v>
      </c>
      <c r="E1736" s="6" t="inlineStr">
        <is>
          <t>R1472202</t>
        </is>
      </c>
      <c r="F1736" s="2" t="n">
        <v>44608</v>
      </c>
      <c r="G1736" s="1" t="n"/>
    </row>
    <row r="1737">
      <c r="A1737" s="6" t="n">
        <v>52581</v>
      </c>
      <c r="B1737" s="6" t="inlineStr">
        <is>
          <t>E &amp; J SUPERIOR RESERVE VSOP BRANDY</t>
        </is>
      </c>
      <c r="C1737" s="7">
        <f>VLOOKUP(A1737,SizeData!A$2:B$3839,2,FALSE)</f>
        <v/>
      </c>
      <c r="D1737" s="6" t="n">
        <v>1</v>
      </c>
      <c r="E1737" s="6" t="inlineStr">
        <is>
          <t>R1516281</t>
        </is>
      </c>
      <c r="F1737" s="2" t="n">
        <v>44634</v>
      </c>
      <c r="G1737" s="1" t="n"/>
    </row>
    <row r="1738">
      <c r="A1738" s="31" t="n">
        <v>52581</v>
      </c>
      <c r="B1738" s="31" t="inlineStr">
        <is>
          <t>E &amp; J SUPERIOR RESERVE VSOP BRANDY</t>
        </is>
      </c>
      <c r="C1738" s="7">
        <f>VLOOKUP(A1738,SizeData!A$2:B$3839,2,FALSE)</f>
        <v/>
      </c>
      <c r="D1738" s="31" t="n">
        <v>1</v>
      </c>
      <c r="E1738" s="31" t="inlineStr">
        <is>
          <t>R1528002</t>
        </is>
      </c>
      <c r="F1738" s="33" t="n">
        <v>44641</v>
      </c>
      <c r="G1738" s="34" t="n"/>
    </row>
    <row r="1739">
      <c r="A1739" s="6" t="n">
        <v>52581</v>
      </c>
      <c r="B1739" s="6" t="inlineStr">
        <is>
          <t>E &amp; J SUPERIOR RESERVE VSOP BRANDY</t>
        </is>
      </c>
      <c r="C1739" s="7">
        <f>VLOOKUP(A1739,SizeData!A$2:B$3839,2,FALSE)</f>
        <v/>
      </c>
      <c r="D1739" s="6" t="n">
        <v>2</v>
      </c>
      <c r="E1739" s="6" t="inlineStr">
        <is>
          <t>R1568544</t>
        </is>
      </c>
      <c r="F1739" s="2" t="n">
        <v>44669</v>
      </c>
      <c r="G1739" s="1" t="n"/>
    </row>
    <row r="1740">
      <c r="A1740" s="6" t="n">
        <v>52581</v>
      </c>
      <c r="B1740" s="6" t="inlineStr">
        <is>
          <t>E &amp; J SUPERIOR RESERVE VSOP BRANDY</t>
        </is>
      </c>
      <c r="C1740" s="7">
        <f>VLOOKUP(A1740,SizeData!A$2:B$3839,2,FALSE)</f>
        <v/>
      </c>
      <c r="D1740" s="6" t="n">
        <v>1</v>
      </c>
      <c r="E1740" s="6" t="inlineStr">
        <is>
          <t>R1620910</t>
        </is>
      </c>
      <c r="F1740" s="2" t="n">
        <v>44694</v>
      </c>
      <c r="G1740" s="1" t="n"/>
    </row>
    <row r="1741">
      <c r="A1741" s="6" t="n">
        <v>52581</v>
      </c>
      <c r="B1741" s="6" t="inlineStr">
        <is>
          <t>E &amp; J SUPERIOR RESERVE VSOP BRANDY</t>
        </is>
      </c>
      <c r="C1741" s="7">
        <f>VLOOKUP(A1741,SizeData!A$2:B$3839,2,FALSE)</f>
        <v/>
      </c>
      <c r="D1741" s="6" t="n">
        <v>1</v>
      </c>
      <c r="E1741" s="6" t="inlineStr">
        <is>
          <t>R1619359</t>
        </is>
      </c>
      <c r="F1741" s="2" t="n">
        <v>44716</v>
      </c>
      <c r="G1741" s="1" t="n"/>
    </row>
    <row r="1742">
      <c r="A1742" s="6" t="n">
        <v>52581</v>
      </c>
      <c r="B1742" s="6" t="inlineStr">
        <is>
          <t>E &amp; J SUPERIOR RESERVE VSOP BRANDY</t>
        </is>
      </c>
      <c r="C1742" s="7">
        <f>VLOOKUP(A1742,SizeData!A$2:B$3839,2,FALSE)</f>
        <v/>
      </c>
      <c r="D1742" s="6" t="n">
        <v>1</v>
      </c>
      <c r="E1742" s="6" t="inlineStr">
        <is>
          <t>R1646165</t>
        </is>
      </c>
      <c r="F1742" s="2" t="n">
        <v>44723</v>
      </c>
      <c r="G1742" s="1" t="n"/>
    </row>
    <row r="1743">
      <c r="A1743" s="6" t="n">
        <v>52581</v>
      </c>
      <c r="B1743" s="6" t="inlineStr">
        <is>
          <t>E &amp; J SUPERIOR RESERVE VSOP BRANDY</t>
        </is>
      </c>
      <c r="C1743" s="7">
        <f>VLOOKUP(A1743,SizeData!A$2:B$3839,2,FALSE)</f>
        <v/>
      </c>
      <c r="D1743" s="6" t="n">
        <v>1</v>
      </c>
      <c r="E1743" s="6" t="inlineStr">
        <is>
          <t>R1658904</t>
        </is>
      </c>
      <c r="F1743" s="2" t="n">
        <v>44732</v>
      </c>
      <c r="G1743" s="1" t="n"/>
    </row>
    <row r="1744">
      <c r="A1744" s="31" t="n">
        <v>52581</v>
      </c>
      <c r="B1744" s="31" t="inlineStr">
        <is>
          <t>E &amp; J SUPERIOR RESERVE VSOP BRANDY</t>
        </is>
      </c>
      <c r="C1744" s="7">
        <f>VLOOKUP(A1744,SizeData!A$2:B$3839,2,FALSE)</f>
        <v/>
      </c>
      <c r="D1744" s="31" t="n">
        <v>3</v>
      </c>
      <c r="E1744" s="31" t="inlineStr">
        <is>
          <t>R1653897</t>
        </is>
      </c>
      <c r="F1744" s="33" t="n">
        <v>44738</v>
      </c>
      <c r="G1744" s="34" t="n"/>
    </row>
    <row r="1745">
      <c r="A1745" s="6" t="n">
        <v>52581</v>
      </c>
      <c r="B1745" s="6" t="inlineStr">
        <is>
          <t>E &amp; J SUPERIOR RESERVE VSOP BRANDY</t>
        </is>
      </c>
      <c r="C1745" s="7">
        <f>VLOOKUP(A1745,SizeData!A$2:B$3839,2,FALSE)</f>
        <v/>
      </c>
      <c r="D1745" s="6" t="n">
        <v>1</v>
      </c>
      <c r="E1745" s="6" t="inlineStr">
        <is>
          <t>R1728993</t>
        </is>
      </c>
      <c r="F1745" s="2" t="n">
        <v>44790</v>
      </c>
      <c r="G1745" s="1" t="n"/>
    </row>
    <row r="1746">
      <c r="A1746" s="6" t="n">
        <v>52581</v>
      </c>
      <c r="B1746" s="6" t="inlineStr">
        <is>
          <t>E &amp; J SUPERIOR RESERVE VSOP BRANDY</t>
        </is>
      </c>
      <c r="C1746" s="7">
        <f>VLOOKUP(A1746,SizeData!A$2:B$3839,2,FALSE)</f>
        <v/>
      </c>
      <c r="D1746" s="6" t="n">
        <v>1</v>
      </c>
      <c r="E1746" s="6" t="inlineStr">
        <is>
          <t>R1747641</t>
        </is>
      </c>
      <c r="F1746" s="2" t="n">
        <v>44800</v>
      </c>
      <c r="G1746" s="1" t="n"/>
    </row>
    <row r="1747">
      <c r="A1747" s="6" t="n">
        <v>52581</v>
      </c>
      <c r="B1747" s="6" t="inlineStr">
        <is>
          <t>E &amp; J SUPERIOR RESERVE VSOP BRANDY</t>
        </is>
      </c>
      <c r="C1747" s="7">
        <f>VLOOKUP(A1747,SizeData!A$2:B$3839,2,FALSE)</f>
        <v/>
      </c>
      <c r="D1747" s="6" t="n">
        <v>1</v>
      </c>
      <c r="E1747" s="6" t="inlineStr">
        <is>
          <t>R1777984</t>
        </is>
      </c>
      <c r="F1747" s="2" t="n">
        <v>44826</v>
      </c>
      <c r="G1747" s="1" t="n"/>
    </row>
    <row r="1748">
      <c r="A1748" s="26" t="n">
        <v>52581</v>
      </c>
      <c r="B1748" s="26" t="inlineStr">
        <is>
          <t>E &amp; J SUPERIOR RESERVE VSOP BRANDY</t>
        </is>
      </c>
      <c r="C1748" s="75">
        <f>VLOOKUP(A1748,SizeData!A$2:B$3839,2,FALSE)</f>
        <v/>
      </c>
      <c r="D1748" s="26" t="n">
        <v>1</v>
      </c>
      <c r="E1748" s="26" t="inlineStr">
        <is>
          <t>R1849692</t>
        </is>
      </c>
      <c r="F1748" s="61" t="n">
        <v>44870</v>
      </c>
      <c r="G1748" s="62" t="n"/>
    </row>
    <row r="1749">
      <c r="A1749" s="6" t="n">
        <v>52581</v>
      </c>
      <c r="B1749" s="6" t="inlineStr">
        <is>
          <t>E &amp; J SUPERIOR RESERVE VSOP BRANDY</t>
        </is>
      </c>
      <c r="C1749" s="7">
        <f>VLOOKUP(A1749,SizeData!A$2:B$3839,2,FALSE)</f>
        <v/>
      </c>
      <c r="D1749" s="6" t="n">
        <v>1</v>
      </c>
      <c r="E1749" s="6" t="inlineStr">
        <is>
          <t>R1906202</t>
        </is>
      </c>
      <c r="F1749" s="2" t="n">
        <v>44902</v>
      </c>
      <c r="G1749" s="1" t="n"/>
    </row>
    <row r="1750">
      <c r="A1750" s="6" t="n">
        <v>52582</v>
      </c>
      <c r="B1750" s="6" t="inlineStr">
        <is>
          <t>E &amp; J SUPERIOR RESERVE VSOP BRANDY</t>
        </is>
      </c>
      <c r="C1750" s="7">
        <f>VLOOKUP(A1750,SizeData!A$2:B$3839,2,FALSE)</f>
        <v/>
      </c>
      <c r="D1750" s="6" t="n">
        <v>3</v>
      </c>
      <c r="E1750" s="6" t="inlineStr">
        <is>
          <t>R1375917</t>
        </is>
      </c>
      <c r="F1750" s="2" t="n">
        <v>44543</v>
      </c>
      <c r="G1750" s="1" t="n"/>
    </row>
    <row r="1751">
      <c r="A1751" s="6" t="n">
        <v>52582</v>
      </c>
      <c r="B1751" s="6" t="inlineStr">
        <is>
          <t>E &amp; J SUPERIOR RESERVE VSOP BRANDY</t>
        </is>
      </c>
      <c r="C1751" s="7">
        <f>VLOOKUP(A1751,SizeData!A$2:B$3839,2,FALSE)</f>
        <v/>
      </c>
      <c r="D1751" s="6" t="n">
        <v>2</v>
      </c>
      <c r="E1751" s="6" t="inlineStr">
        <is>
          <t>R1427149</t>
        </is>
      </c>
      <c r="F1751" s="2" t="n">
        <v>44585</v>
      </c>
      <c r="G1751" s="1" t="n"/>
    </row>
    <row r="1752">
      <c r="A1752" s="6" t="n">
        <v>52582</v>
      </c>
      <c r="B1752" s="6" t="inlineStr">
        <is>
          <t>E &amp; J SUPERIOR RESERVE VSOP BRANDY</t>
        </is>
      </c>
      <c r="C1752" s="7">
        <f>VLOOKUP(A1752,SizeData!A$2:B$3839,2,FALSE)</f>
        <v/>
      </c>
      <c r="D1752" s="6" t="n">
        <v>1</v>
      </c>
      <c r="E1752" s="6" t="inlineStr">
        <is>
          <t>R1501625</t>
        </is>
      </c>
      <c r="F1752" s="2" t="n">
        <v>44627</v>
      </c>
      <c r="G1752" s="1" t="n"/>
    </row>
    <row r="1753">
      <c r="A1753" s="6" t="n">
        <v>52582</v>
      </c>
      <c r="B1753" s="6" t="inlineStr">
        <is>
          <t>E &amp; J SUPERIOR RESERVE VSOP BRANDY</t>
        </is>
      </c>
      <c r="C1753" s="7">
        <f>VLOOKUP(A1753,SizeData!A$2:B$3839,2,FALSE)</f>
        <v/>
      </c>
      <c r="D1753" s="6" t="n">
        <v>1</v>
      </c>
      <c r="E1753" s="6" t="inlineStr">
        <is>
          <t>R1563525</t>
        </is>
      </c>
      <c r="F1753" s="2" t="n">
        <v>44666</v>
      </c>
      <c r="G1753" s="1" t="n"/>
    </row>
    <row r="1754">
      <c r="A1754" s="6" t="n">
        <v>52582</v>
      </c>
      <c r="B1754" s="6" t="inlineStr">
        <is>
          <t>E &amp; J SUPERIOR RESERVE VSOP BRANDY</t>
        </is>
      </c>
      <c r="C1754" s="7">
        <f>VLOOKUP(A1754,SizeData!A$2:B$3839,2,FALSE)</f>
        <v/>
      </c>
      <c r="D1754" s="6" t="n">
        <v>1</v>
      </c>
      <c r="E1754" s="6" t="inlineStr">
        <is>
          <t>R1592767</t>
        </is>
      </c>
      <c r="F1754" s="2" t="n">
        <v>44683</v>
      </c>
      <c r="G1754" s="1" t="n"/>
    </row>
    <row r="1755">
      <c r="A1755" s="6" t="n">
        <v>52582</v>
      </c>
      <c r="B1755" s="6" t="inlineStr">
        <is>
          <t>E &amp; J SUPERIOR RESERVE VSOP BRANDY</t>
        </is>
      </c>
      <c r="C1755" s="7">
        <f>VLOOKUP(A1755,SizeData!A$2:B$3839,2,FALSE)</f>
        <v/>
      </c>
      <c r="D1755" s="6" t="n">
        <v>2</v>
      </c>
      <c r="E1755" s="6" t="inlineStr">
        <is>
          <t>R1630969</t>
        </is>
      </c>
      <c r="F1755" s="2" t="n">
        <v>44711</v>
      </c>
      <c r="G1755" s="1" t="n"/>
    </row>
    <row r="1756">
      <c r="A1756" s="6" t="n">
        <v>52582</v>
      </c>
      <c r="B1756" s="6" t="inlineStr">
        <is>
          <t>E &amp; J SUPERIOR RESERVE VSOP BRANDY</t>
        </is>
      </c>
      <c r="C1756" s="7">
        <f>VLOOKUP(A1756,SizeData!A$2:B$3839,2,FALSE)</f>
        <v/>
      </c>
      <c r="D1756" s="6" t="n">
        <v>1</v>
      </c>
      <c r="E1756" s="6" t="inlineStr">
        <is>
          <t>R1660776</t>
        </is>
      </c>
      <c r="F1756" s="2" t="n">
        <v>44733</v>
      </c>
      <c r="G1756" s="1" t="n"/>
    </row>
    <row r="1757">
      <c r="A1757" s="31" t="n">
        <v>52582</v>
      </c>
      <c r="B1757" s="31" t="inlineStr">
        <is>
          <t>E &amp; J SUPERIOR RESERVE VSOP BRANDY</t>
        </is>
      </c>
      <c r="C1757" s="7">
        <f>VLOOKUP(A1757,SizeData!A$2:B$3839,2,FALSE)</f>
        <v/>
      </c>
      <c r="D1757" s="31" t="n">
        <v>4</v>
      </c>
      <c r="E1757" s="31" t="inlineStr">
        <is>
          <t>R1653897</t>
        </is>
      </c>
      <c r="F1757" s="33" t="n">
        <v>44738</v>
      </c>
      <c r="G1757" s="34" t="n"/>
    </row>
    <row r="1758">
      <c r="A1758" s="6" t="n">
        <v>52582</v>
      </c>
      <c r="B1758" s="6" t="inlineStr">
        <is>
          <t>E &amp; J SUPERIOR RESERVE VSOP BRANDY</t>
        </is>
      </c>
      <c r="C1758" s="7">
        <f>VLOOKUP(A1758,SizeData!A$2:B$3839,2,FALSE)</f>
        <v/>
      </c>
      <c r="D1758" s="6" t="n">
        <v>4</v>
      </c>
      <c r="E1758" s="6" t="inlineStr">
        <is>
          <t>R1711866</t>
        </is>
      </c>
      <c r="F1758" s="2" t="n">
        <v>44772</v>
      </c>
      <c r="G1758" s="1" t="n"/>
    </row>
    <row r="1759">
      <c r="A1759" s="6" t="n">
        <v>52582</v>
      </c>
      <c r="B1759" s="6" t="inlineStr">
        <is>
          <t>E &amp; J SUPERIOR RESERVE VSOP BRANDY</t>
        </is>
      </c>
      <c r="C1759" s="7">
        <f>VLOOKUP(A1759,SizeData!A$2:B$3839,2,FALSE)</f>
        <v/>
      </c>
      <c r="D1759" s="6" t="n">
        <v>1</v>
      </c>
      <c r="E1759" s="6" t="inlineStr">
        <is>
          <t>R1711866</t>
        </is>
      </c>
      <c r="F1759" s="2" t="n">
        <v>44772</v>
      </c>
      <c r="G1759" s="62" t="n"/>
    </row>
    <row r="1760">
      <c r="A1760" s="6" t="n">
        <v>52584</v>
      </c>
      <c r="B1760" s="6" t="inlineStr">
        <is>
          <t>E &amp; J SUPERIOR RESERVE VSOP BRANDY</t>
        </is>
      </c>
      <c r="C1760" s="7">
        <f>VLOOKUP(A1760,SizeData!A$2:B$3839,2,FALSE)</f>
        <v/>
      </c>
      <c r="D1760" s="6" t="n">
        <v>1</v>
      </c>
      <c r="E1760" s="6" t="inlineStr">
        <is>
          <t>R1486326</t>
        </is>
      </c>
      <c r="F1760" s="2" t="n">
        <v>44616</v>
      </c>
      <c r="G1760" s="1" t="n"/>
    </row>
    <row r="1761">
      <c r="A1761" s="6" t="n">
        <v>52584</v>
      </c>
      <c r="B1761" s="6" t="inlineStr">
        <is>
          <t>E &amp; J SUPERIOR RESERVE VSOP BRANDY</t>
        </is>
      </c>
      <c r="C1761" s="7">
        <f>VLOOKUP(A1761,SizeData!A$2:B$3839,2,FALSE)</f>
        <v/>
      </c>
      <c r="D1761" s="6" t="n">
        <v>1</v>
      </c>
      <c r="E1761" s="6" t="inlineStr">
        <is>
          <t>R1504703</t>
        </is>
      </c>
      <c r="F1761" s="2" t="n">
        <v>44632</v>
      </c>
      <c r="G1761" s="1" t="n"/>
    </row>
    <row r="1762">
      <c r="A1762" s="6" t="n">
        <v>52584</v>
      </c>
      <c r="B1762" s="6" t="inlineStr">
        <is>
          <t>E &amp; J SUPERIOR RESERVE VSOP BRANDY</t>
        </is>
      </c>
      <c r="C1762" s="7">
        <f>VLOOKUP(A1762,SizeData!A$2:B$3839,2,FALSE)</f>
        <v/>
      </c>
      <c r="D1762" s="6" t="n">
        <v>1</v>
      </c>
      <c r="E1762" s="6" t="inlineStr">
        <is>
          <t>R1547143</t>
        </is>
      </c>
      <c r="F1762" s="2" t="n">
        <v>44655</v>
      </c>
      <c r="G1762" s="1" t="n"/>
    </row>
    <row r="1763">
      <c r="A1763" s="6" t="n">
        <v>52584</v>
      </c>
      <c r="B1763" s="6" t="inlineStr">
        <is>
          <t>E &amp; J SUPERIOR RESERVE VSOP BRANDY</t>
        </is>
      </c>
      <c r="C1763" s="7">
        <f>VLOOKUP(A1763,SizeData!A$2:B$3839,2,FALSE)</f>
        <v/>
      </c>
      <c r="D1763" s="6" t="n">
        <v>1</v>
      </c>
      <c r="E1763" s="6" t="inlineStr">
        <is>
          <t>R1698359</t>
        </is>
      </c>
      <c r="F1763" s="2" t="n">
        <v>44765</v>
      </c>
      <c r="G1763" s="1" t="n"/>
    </row>
    <row r="1764">
      <c r="A1764" s="26" t="n">
        <v>52584</v>
      </c>
      <c r="B1764" s="26" t="inlineStr">
        <is>
          <t>E &amp; J SUPERIOR RESERVE VSOP BRANDY</t>
        </is>
      </c>
      <c r="C1764" s="75">
        <f>VLOOKUP(A1764,SizeData!A$2:B$3839,2,FALSE)</f>
        <v/>
      </c>
      <c r="D1764" s="26" t="n">
        <v>1</v>
      </c>
      <c r="E1764" s="26" t="inlineStr">
        <is>
          <t>R1808552</t>
        </is>
      </c>
      <c r="F1764" s="61" t="n">
        <v>44841</v>
      </c>
      <c r="G1764" s="62" t="n"/>
    </row>
    <row r="1765">
      <c r="A1765" s="6" t="n">
        <v>52584</v>
      </c>
      <c r="B1765" s="6" t="inlineStr">
        <is>
          <t>E &amp; J SUPERIOR RESERVE VSOP BRANDY</t>
        </is>
      </c>
      <c r="C1765" s="7">
        <f>VLOOKUP(A1765,SizeData!A$2:B$3839,2,FALSE)</f>
        <v/>
      </c>
      <c r="D1765" s="6" t="n">
        <v>1</v>
      </c>
      <c r="E1765" s="6" t="inlineStr">
        <is>
          <t>R1866868</t>
        </is>
      </c>
      <c r="F1765" s="2" t="n">
        <v>44882</v>
      </c>
      <c r="G1765" s="1" t="n"/>
    </row>
    <row r="1766">
      <c r="A1766" s="6" t="n">
        <v>73779</v>
      </c>
      <c r="B1766" s="6" t="inlineStr">
        <is>
          <t>E &amp; J VANILLA (BRANDY W/VANILLA LIQUEUR)</t>
        </is>
      </c>
      <c r="C1766" s="7">
        <f>VLOOKUP(A1766,SizeData!A$2:B$3839,2,FALSE)</f>
        <v/>
      </c>
      <c r="D1766" s="6" t="n">
        <v>1</v>
      </c>
      <c r="E1766" s="6" t="inlineStr">
        <is>
          <t>R1866529</t>
        </is>
      </c>
      <c r="F1766" s="2" t="n">
        <v>44876</v>
      </c>
      <c r="G1766" s="1" t="n"/>
    </row>
    <row r="1767">
      <c r="A1767" s="6" t="n">
        <v>73780</v>
      </c>
      <c r="B1767" s="6" t="inlineStr">
        <is>
          <t>E &amp; J VANILLA (BRANDY W/VANILLA LIQUEUR)</t>
        </is>
      </c>
      <c r="C1767" s="7">
        <f>VLOOKUP(A1767,SizeData!A$2:B$3839,2,FALSE)</f>
        <v/>
      </c>
      <c r="D1767" s="6" t="n">
        <v>1</v>
      </c>
      <c r="E1767" s="6" t="inlineStr">
        <is>
          <t>R1448139A</t>
        </is>
      </c>
      <c r="F1767" s="2" t="n">
        <v>44600</v>
      </c>
      <c r="G1767" s="1" t="n"/>
    </row>
    <row r="1768">
      <c r="A1768" s="6" t="n">
        <v>73780</v>
      </c>
      <c r="B1768" s="6" t="inlineStr">
        <is>
          <t>E &amp; J VANILLA (BRANDY W/VANILLA LIQUEUR)</t>
        </is>
      </c>
      <c r="C1768" s="7">
        <f>VLOOKUP(A1768,SizeData!A$2:B$3839,2,FALSE)</f>
        <v/>
      </c>
      <c r="D1768" s="6" t="n">
        <v>1</v>
      </c>
      <c r="E1768" s="6" t="inlineStr">
        <is>
          <t>R1596033</t>
        </is>
      </c>
      <c r="F1768" s="2" t="n">
        <v>44683</v>
      </c>
      <c r="G1768" s="1" t="n"/>
    </row>
    <row r="1769">
      <c r="A1769" s="6" t="n">
        <v>73780</v>
      </c>
      <c r="B1769" s="6" t="inlineStr">
        <is>
          <t>E &amp; J VANILLA (BRANDY W/VANILLA LIQUEUR)</t>
        </is>
      </c>
      <c r="C1769" s="7">
        <f>VLOOKUP(A1769,SizeData!A$2:B$3839,2,FALSE)</f>
        <v/>
      </c>
      <c r="D1769" s="6" t="n">
        <v>1</v>
      </c>
      <c r="E1769" s="6" t="inlineStr">
        <is>
          <t>R1602626</t>
        </is>
      </c>
      <c r="F1769" s="2" t="n">
        <v>44690</v>
      </c>
      <c r="G1769" s="1" t="n"/>
    </row>
    <row r="1770">
      <c r="A1770" s="6" t="n">
        <v>52593</v>
      </c>
      <c r="B1770" s="6" t="inlineStr">
        <is>
          <t>E &amp; J VS BRANDY</t>
        </is>
      </c>
      <c r="C1770" s="7">
        <f>VLOOKUP(A1770,SizeData!A$2:B$3839,2,FALSE)</f>
        <v/>
      </c>
      <c r="D1770" s="6" t="n">
        <v>1</v>
      </c>
      <c r="E1770" s="6" t="inlineStr">
        <is>
          <t>R1409636</t>
        </is>
      </c>
      <c r="F1770" s="2" t="n">
        <v>44572</v>
      </c>
      <c r="G1770" s="1" t="n"/>
    </row>
    <row r="1771">
      <c r="A1771" s="6" t="n">
        <v>52593</v>
      </c>
      <c r="B1771" s="6" t="inlineStr">
        <is>
          <t>E &amp; J VS BRANDY</t>
        </is>
      </c>
      <c r="C1771" s="7">
        <f>VLOOKUP(A1771,SizeData!A$2:B$3839,2,FALSE)</f>
        <v/>
      </c>
      <c r="D1771" s="6" t="n">
        <v>1</v>
      </c>
      <c r="E1771" s="6" t="inlineStr">
        <is>
          <t>R1460709</t>
        </is>
      </c>
      <c r="F1771" s="2" t="n">
        <v>44594</v>
      </c>
      <c r="G1771" s="1" t="n"/>
    </row>
    <row r="1772">
      <c r="A1772" s="6" t="n">
        <v>52593</v>
      </c>
      <c r="B1772" s="6" t="inlineStr">
        <is>
          <t>E &amp; J VS BRANDY</t>
        </is>
      </c>
      <c r="C1772" s="7">
        <f>VLOOKUP(A1772,SizeData!A$2:B$3839,2,FALSE)</f>
        <v/>
      </c>
      <c r="D1772" s="6" t="n">
        <v>1</v>
      </c>
      <c r="E1772" s="6" t="inlineStr">
        <is>
          <t>R1516281</t>
        </is>
      </c>
      <c r="F1772" s="2" t="n">
        <v>44634</v>
      </c>
      <c r="G1772" s="1" t="n"/>
    </row>
    <row r="1773">
      <c r="A1773" s="6" t="n">
        <v>52593</v>
      </c>
      <c r="B1773" s="6" t="inlineStr">
        <is>
          <t>E &amp; J VS BRANDY</t>
        </is>
      </c>
      <c r="C1773" s="7">
        <f>VLOOKUP(A1773,SizeData!A$2:B$3839,2,FALSE)</f>
        <v/>
      </c>
      <c r="D1773" s="6" t="n">
        <v>1</v>
      </c>
      <c r="E1773" s="6" t="inlineStr">
        <is>
          <t>R1515367</t>
        </is>
      </c>
      <c r="F1773" s="2" t="n">
        <v>44635</v>
      </c>
      <c r="G1773" s="1" t="n"/>
    </row>
    <row r="1774">
      <c r="A1774" s="6" t="n">
        <v>52593</v>
      </c>
      <c r="B1774" s="6" t="inlineStr">
        <is>
          <t>E &amp; J VS BRANDY</t>
        </is>
      </c>
      <c r="C1774" s="7">
        <f>VLOOKUP(A1774,SizeData!A$2:B$3839,2,FALSE)</f>
        <v/>
      </c>
      <c r="D1774" s="6" t="n">
        <v>1</v>
      </c>
      <c r="E1774" s="6" t="inlineStr">
        <is>
          <t>R1619359</t>
        </is>
      </c>
      <c r="F1774" s="2" t="n">
        <v>44716</v>
      </c>
      <c r="G1774" s="1" t="n"/>
    </row>
    <row r="1775">
      <c r="A1775" s="6" t="n">
        <v>52593</v>
      </c>
      <c r="B1775" s="6" t="inlineStr">
        <is>
          <t>E &amp; J VS BRANDY</t>
        </is>
      </c>
      <c r="C1775" s="7">
        <f>VLOOKUP(A1775,SizeData!A$2:B$3839,2,FALSE)</f>
        <v/>
      </c>
      <c r="D1775" s="6" t="n">
        <v>1</v>
      </c>
      <c r="E1775" s="6" t="inlineStr">
        <is>
          <t>R1671604</t>
        </is>
      </c>
      <c r="F1775" s="2" t="n">
        <v>44735</v>
      </c>
      <c r="G1775" s="1" t="n"/>
    </row>
    <row r="1776">
      <c r="A1776" s="6" t="n">
        <v>52593</v>
      </c>
      <c r="B1776" s="6" t="inlineStr">
        <is>
          <t>E &amp; J VS BRANDY</t>
        </is>
      </c>
      <c r="C1776" s="7">
        <f>VLOOKUP(A1776,SizeData!A$2:B$3839,2,FALSE)</f>
        <v/>
      </c>
      <c r="D1776" s="6" t="n">
        <v>1</v>
      </c>
      <c r="E1776" s="6" t="inlineStr">
        <is>
          <t>R1727399</t>
        </is>
      </c>
      <c r="F1776" s="2" t="n">
        <v>44786</v>
      </c>
      <c r="G1776" s="1" t="n"/>
    </row>
    <row r="1777">
      <c r="A1777" s="6" t="n">
        <v>52593</v>
      </c>
      <c r="B1777" s="6" t="inlineStr">
        <is>
          <t>E &amp; J VS BRANDY</t>
        </is>
      </c>
      <c r="C1777" s="7">
        <f>VLOOKUP(A1777,SizeData!A$2:B$3839,2,FALSE)</f>
        <v/>
      </c>
      <c r="D1777" s="6" t="n">
        <v>1</v>
      </c>
      <c r="E1777" s="6" t="inlineStr">
        <is>
          <t>R1768922</t>
        </is>
      </c>
      <c r="F1777" s="2" t="n">
        <v>44819</v>
      </c>
      <c r="G1777" s="1" t="n"/>
    </row>
    <row r="1778">
      <c r="A1778" s="6" t="n">
        <v>52593</v>
      </c>
      <c r="B1778" s="6" t="inlineStr">
        <is>
          <t>E &amp; J VS BRANDY</t>
        </is>
      </c>
      <c r="C1778" s="7">
        <f>VLOOKUP(A1778,SizeData!A$2:B$3839,2,FALSE)</f>
        <v/>
      </c>
      <c r="D1778" s="6" t="n">
        <v>1</v>
      </c>
      <c r="E1778" s="6" t="inlineStr">
        <is>
          <t>R1866531</t>
        </is>
      </c>
      <c r="F1778" s="2" t="n">
        <v>44877</v>
      </c>
      <c r="G1778" s="1" t="n"/>
    </row>
    <row r="1779">
      <c r="A1779" s="6" t="n">
        <v>52593</v>
      </c>
      <c r="B1779" s="6" t="inlineStr">
        <is>
          <t>E &amp; J VS BRANDY</t>
        </is>
      </c>
      <c r="C1779" s="7">
        <f>VLOOKUP(A1779,SizeData!A$2:B$3839,2,FALSE)</f>
        <v/>
      </c>
      <c r="D1779" s="6" t="n">
        <v>1</v>
      </c>
      <c r="E1779" s="6" t="inlineStr">
        <is>
          <t>R1894248</t>
        </is>
      </c>
      <c r="F1779" s="2" t="n">
        <v>44902</v>
      </c>
      <c r="G1779" s="1" t="n"/>
    </row>
    <row r="1780">
      <c r="A1780" s="6" t="n">
        <v>52593</v>
      </c>
      <c r="B1780" s="6" t="inlineStr">
        <is>
          <t>E &amp; J VS BRANDY</t>
        </is>
      </c>
      <c r="C1780" s="7">
        <f>VLOOKUP(A1780,SizeData!A$2:B$3839,2,FALSE)</f>
        <v/>
      </c>
      <c r="D1780" s="6" t="n">
        <v>1</v>
      </c>
      <c r="E1780" s="6" t="inlineStr">
        <is>
          <t>R1906202</t>
        </is>
      </c>
      <c r="F1780" s="2" t="n">
        <v>44902</v>
      </c>
      <c r="G1780" s="1" t="n"/>
    </row>
    <row r="1781">
      <c r="A1781" s="6" t="n">
        <v>52594</v>
      </c>
      <c r="B1781" s="6" t="inlineStr">
        <is>
          <t>E &amp; J VS BRANDY</t>
        </is>
      </c>
      <c r="C1781" s="7">
        <f>VLOOKUP(A1781,SizeData!A$2:B$3839,2,FALSE)</f>
        <v/>
      </c>
      <c r="D1781" s="6" t="n">
        <v>2</v>
      </c>
      <c r="E1781" s="6" t="inlineStr">
        <is>
          <t>R1460709</t>
        </is>
      </c>
      <c r="F1781" s="2" t="n">
        <v>44594</v>
      </c>
      <c r="G1781" s="1" t="n"/>
    </row>
    <row r="1782">
      <c r="A1782" s="6" t="n">
        <v>52594</v>
      </c>
      <c r="B1782" s="6" t="inlineStr">
        <is>
          <t>E &amp; J VS BRANDY</t>
        </is>
      </c>
      <c r="C1782" s="7">
        <f>VLOOKUP(A1782,SizeData!A$2:B$3839,2,FALSE)</f>
        <v/>
      </c>
      <c r="D1782" s="6" t="n">
        <v>1</v>
      </c>
      <c r="E1782" s="6" t="inlineStr">
        <is>
          <t>R1516281</t>
        </is>
      </c>
      <c r="F1782" s="2" t="n">
        <v>44634</v>
      </c>
      <c r="G1782" s="1" t="n"/>
    </row>
    <row r="1783">
      <c r="A1783" s="6" t="n">
        <v>52594</v>
      </c>
      <c r="B1783" s="6" t="inlineStr">
        <is>
          <t>E &amp; J VS BRANDY</t>
        </is>
      </c>
      <c r="C1783" s="7">
        <f>VLOOKUP(A1783,SizeData!A$2:B$3839,2,FALSE)</f>
        <v/>
      </c>
      <c r="D1783" s="6" t="n">
        <v>1</v>
      </c>
      <c r="E1783" s="6" t="inlineStr">
        <is>
          <t>R1515367</t>
        </is>
      </c>
      <c r="F1783" s="2" t="n">
        <v>44635</v>
      </c>
      <c r="G1783" s="1" t="n"/>
    </row>
    <row r="1784">
      <c r="A1784" s="6" t="n">
        <v>52594</v>
      </c>
      <c r="B1784" s="6" t="inlineStr">
        <is>
          <t>E &amp; J VS BRANDY</t>
        </is>
      </c>
      <c r="C1784" s="7">
        <f>VLOOKUP(A1784,SizeData!A$2:B$3839,2,FALSE)</f>
        <v/>
      </c>
      <c r="D1784" s="6" t="n">
        <v>1</v>
      </c>
      <c r="E1784" s="6" t="inlineStr">
        <is>
          <t>R1503957</t>
        </is>
      </c>
      <c r="F1784" s="2" t="n">
        <v>44636</v>
      </c>
      <c r="G1784" s="1" t="n"/>
    </row>
    <row r="1785">
      <c r="A1785" s="6" t="n">
        <v>52594</v>
      </c>
      <c r="B1785" s="6" t="inlineStr">
        <is>
          <t>E &amp; J VS BRANDY</t>
        </is>
      </c>
      <c r="C1785" s="7">
        <f>VLOOKUP(A1785,SizeData!A$2:B$3839,2,FALSE)</f>
        <v/>
      </c>
      <c r="D1785" s="6" t="n">
        <v>2</v>
      </c>
      <c r="E1785" s="6" t="inlineStr">
        <is>
          <t>R1602457</t>
        </is>
      </c>
      <c r="F1785" s="2" t="n">
        <v>44691</v>
      </c>
      <c r="G1785" s="1" t="n"/>
    </row>
    <row r="1786">
      <c r="A1786" s="6" t="n">
        <v>52594</v>
      </c>
      <c r="B1786" s="6" t="inlineStr">
        <is>
          <t>E &amp; J VS BRANDY</t>
        </is>
      </c>
      <c r="C1786" s="7">
        <f>VLOOKUP(A1786,SizeData!A$2:B$3839,2,FALSE)</f>
        <v/>
      </c>
      <c r="D1786" s="6" t="n">
        <v>1</v>
      </c>
      <c r="E1786" s="6" t="inlineStr">
        <is>
          <t>R1646165</t>
        </is>
      </c>
      <c r="F1786" s="2" t="n">
        <v>44723</v>
      </c>
      <c r="G1786" s="1" t="n"/>
    </row>
    <row r="1787">
      <c r="A1787" s="6" t="n">
        <v>52594</v>
      </c>
      <c r="B1787" s="6" t="inlineStr">
        <is>
          <t>E &amp; J VS BRANDY</t>
        </is>
      </c>
      <c r="C1787" s="7">
        <f>VLOOKUP(A1787,SizeData!A$2:B$3839,2,FALSE)</f>
        <v/>
      </c>
      <c r="D1787" s="6" t="n">
        <v>1</v>
      </c>
      <c r="E1787" s="6" t="inlineStr">
        <is>
          <t>R1658904</t>
        </is>
      </c>
      <c r="F1787" s="2" t="n">
        <v>44732</v>
      </c>
      <c r="G1787" s="1" t="n"/>
    </row>
    <row r="1788">
      <c r="A1788" s="31" t="n">
        <v>52594</v>
      </c>
      <c r="B1788" s="31" t="inlineStr">
        <is>
          <t>E &amp; J VS BRANDY</t>
        </is>
      </c>
      <c r="C1788" s="7">
        <f>VLOOKUP(A1788,SizeData!A$2:B$3839,2,FALSE)</f>
        <v/>
      </c>
      <c r="D1788" s="31" t="n">
        <v>4</v>
      </c>
      <c r="E1788" s="31" t="inlineStr">
        <is>
          <t>R1653897</t>
        </is>
      </c>
      <c r="F1788" s="33" t="n">
        <v>44738</v>
      </c>
      <c r="G1788" s="34" t="n"/>
    </row>
    <row r="1789">
      <c r="A1789" s="6" t="n">
        <v>52594</v>
      </c>
      <c r="B1789" s="6" t="inlineStr">
        <is>
          <t>E &amp; J VS BRANDY</t>
        </is>
      </c>
      <c r="C1789" s="7">
        <f>VLOOKUP(A1789,SizeData!A$2:B$3839,2,FALSE)</f>
        <v/>
      </c>
      <c r="D1789" s="6" t="n">
        <v>1</v>
      </c>
      <c r="E1789" s="6" t="inlineStr">
        <is>
          <t>R1777984</t>
        </is>
      </c>
      <c r="F1789" s="2" t="n">
        <v>44826</v>
      </c>
      <c r="G1789" s="1" t="n"/>
    </row>
    <row r="1790">
      <c r="A1790" s="6" t="n">
        <v>52594</v>
      </c>
      <c r="B1790" s="6" t="inlineStr">
        <is>
          <t>E &amp; J VS BRANDY</t>
        </is>
      </c>
      <c r="C1790" s="7">
        <f>VLOOKUP(A1790,SizeData!A$2:B$3839,2,FALSE)</f>
        <v/>
      </c>
      <c r="D1790" s="6" t="n">
        <v>1</v>
      </c>
      <c r="E1790" s="6" t="inlineStr">
        <is>
          <t>R1818650</t>
        </is>
      </c>
      <c r="F1790" s="2" t="n">
        <v>44856</v>
      </c>
      <c r="G1790" s="1" t="n"/>
    </row>
    <row r="1791">
      <c r="A1791" s="6" t="n">
        <v>52594</v>
      </c>
      <c r="B1791" s="6" t="inlineStr">
        <is>
          <t>E &amp; J VS BRANDY</t>
        </is>
      </c>
      <c r="C1791" s="7">
        <f>VLOOKUP(A1791,SizeData!A$2:B$3839,2,FALSE)</f>
        <v/>
      </c>
      <c r="D1791" s="6" t="n">
        <v>2</v>
      </c>
      <c r="E1791" s="6" t="inlineStr">
        <is>
          <t>R1840965</t>
        </is>
      </c>
      <c r="F1791" s="2" t="n">
        <v>44863</v>
      </c>
      <c r="G1791" s="1" t="n"/>
    </row>
    <row r="1792">
      <c r="A1792" s="6" t="n">
        <v>52596</v>
      </c>
      <c r="B1792" s="6" t="inlineStr">
        <is>
          <t>E &amp; J VS BRANDY</t>
        </is>
      </c>
      <c r="C1792" s="7">
        <f>VLOOKUP(A1792,SizeData!A$2:B$3839,2,FALSE)</f>
        <v/>
      </c>
      <c r="D1792" s="6" t="n">
        <v>2</v>
      </c>
      <c r="E1792" s="6" t="inlineStr">
        <is>
          <t>R1471358</t>
        </is>
      </c>
      <c r="F1792" s="2" t="n">
        <v>44608</v>
      </c>
      <c r="G1792" s="1" t="n"/>
    </row>
    <row r="1793">
      <c r="A1793" s="6" t="n">
        <v>52596</v>
      </c>
      <c r="B1793" s="6" t="inlineStr">
        <is>
          <t>E &amp; J VS BRANDY</t>
        </is>
      </c>
      <c r="C1793" s="7">
        <f>VLOOKUP(A1793,SizeData!A$2:B$3839,2,FALSE)</f>
        <v/>
      </c>
      <c r="D1793" s="6" t="n">
        <v>2</v>
      </c>
      <c r="E1793" s="6" t="inlineStr">
        <is>
          <t>R1607750</t>
        </is>
      </c>
      <c r="F1793" s="2" t="n">
        <v>44691</v>
      </c>
      <c r="G1793" s="1" t="n"/>
    </row>
    <row r="1794">
      <c r="A1794" s="6" t="n">
        <v>52596</v>
      </c>
      <c r="B1794" s="6" t="inlineStr">
        <is>
          <t>E &amp; J VS BRANDY</t>
        </is>
      </c>
      <c r="C1794" s="7">
        <f>VLOOKUP(A1794,SizeData!A$2:B$3839,2,FALSE)</f>
        <v/>
      </c>
      <c r="D1794" s="6" t="n">
        <v>1</v>
      </c>
      <c r="E1794" s="6" t="inlineStr">
        <is>
          <t>R1713113</t>
        </is>
      </c>
      <c r="F1794" s="2" t="n">
        <v>44774</v>
      </c>
      <c r="G1794" s="1" t="n"/>
    </row>
    <row r="1795">
      <c r="A1795" s="6" t="n">
        <v>52596</v>
      </c>
      <c r="B1795" s="6" t="inlineStr">
        <is>
          <t>E &amp; J VS BRANDY</t>
        </is>
      </c>
      <c r="C1795" s="7">
        <f>VLOOKUP(A1795,SizeData!A$2:B$3839,2,FALSE)</f>
        <v/>
      </c>
      <c r="D1795" s="6" t="n">
        <v>4</v>
      </c>
      <c r="E1795" s="6" t="inlineStr">
        <is>
          <t>R1704437</t>
        </is>
      </c>
      <c r="F1795" s="2" t="n">
        <v>44775</v>
      </c>
      <c r="G1795" s="1" t="n"/>
    </row>
    <row r="1796">
      <c r="A1796" s="6" t="n">
        <v>52596</v>
      </c>
      <c r="B1796" s="6" t="inlineStr">
        <is>
          <t>E &amp; J VS BRANDY</t>
        </is>
      </c>
      <c r="C1796" s="7">
        <f>VLOOKUP(A1796,SizeData!A$2:B$3839,2,FALSE)</f>
        <v/>
      </c>
      <c r="D1796" s="6" t="n">
        <v>1</v>
      </c>
      <c r="E1796" s="6" t="inlineStr">
        <is>
          <t>R1719137</t>
        </is>
      </c>
      <c r="F1796" s="2" t="n">
        <v>44781</v>
      </c>
      <c r="G1796" s="1" t="n"/>
    </row>
    <row r="1797">
      <c r="A1797" s="6" t="n">
        <v>52596</v>
      </c>
      <c r="B1797" s="6" t="inlineStr">
        <is>
          <t>E &amp; J VS BRANDY</t>
        </is>
      </c>
      <c r="C1797" s="7">
        <f>VLOOKUP(A1797,SizeData!A$2:B$3839,2,FALSE)</f>
        <v/>
      </c>
      <c r="D1797" s="6" t="n">
        <v>1</v>
      </c>
      <c r="E1797" s="6" t="inlineStr">
        <is>
          <t>R1744939</t>
        </is>
      </c>
      <c r="F1797" s="2" t="n">
        <v>44804</v>
      </c>
      <c r="G1797" s="1" t="n"/>
    </row>
    <row r="1798">
      <c r="A1798" s="6" t="n">
        <v>52596</v>
      </c>
      <c r="B1798" s="6" t="inlineStr">
        <is>
          <t>E &amp; J VS BRANDY</t>
        </is>
      </c>
      <c r="C1798" s="7">
        <f>VLOOKUP(A1798,SizeData!A$2:B$3839,2,FALSE)</f>
        <v/>
      </c>
      <c r="D1798" s="6" t="n">
        <v>4</v>
      </c>
      <c r="E1798" s="6" t="inlineStr">
        <is>
          <t>R1856811</t>
        </is>
      </c>
      <c r="F1798" s="2" t="n">
        <v>44868</v>
      </c>
      <c r="G1798" s="1" t="n"/>
    </row>
    <row r="1799">
      <c r="A1799" s="6" t="n">
        <v>52598</v>
      </c>
      <c r="B1799" s="6" t="inlineStr">
        <is>
          <t>E &amp; J VS BRANDY</t>
        </is>
      </c>
      <c r="C1799" s="7">
        <f>VLOOKUP(A1799,SizeData!A$2:B$3839,2,FALSE)</f>
        <v/>
      </c>
      <c r="D1799" s="6" t="n">
        <v>1</v>
      </c>
      <c r="E1799" s="6" t="inlineStr">
        <is>
          <t>R1388669</t>
        </is>
      </c>
      <c r="F1799" s="2" t="n">
        <v>44560</v>
      </c>
      <c r="G1799" s="1" t="n"/>
    </row>
    <row r="1800">
      <c r="A1800" s="6" t="n">
        <v>52598</v>
      </c>
      <c r="B1800" s="6" t="inlineStr">
        <is>
          <t>E &amp; J VS BRANDY</t>
        </is>
      </c>
      <c r="C1800" s="7">
        <f>VLOOKUP(A1800,SizeData!A$2:B$3839,2,FALSE)</f>
        <v/>
      </c>
      <c r="D1800" s="6" t="n">
        <v>2</v>
      </c>
      <c r="E1800" s="6" t="inlineStr">
        <is>
          <t>R1397487</t>
        </is>
      </c>
      <c r="F1800" s="2" t="n">
        <v>44567</v>
      </c>
      <c r="G1800" s="1" t="n"/>
    </row>
    <row r="1801">
      <c r="A1801" s="6" t="n">
        <v>52598</v>
      </c>
      <c r="B1801" s="6" t="inlineStr">
        <is>
          <t>E &amp; J VS BRANDY</t>
        </is>
      </c>
      <c r="C1801" s="7">
        <f>VLOOKUP(A1801,SizeData!A$2:B$3839,2,FALSE)</f>
        <v/>
      </c>
      <c r="D1801" s="6" t="n">
        <v>1</v>
      </c>
      <c r="E1801" s="6" t="inlineStr">
        <is>
          <t>R1409636</t>
        </is>
      </c>
      <c r="F1801" s="2" t="n">
        <v>44572</v>
      </c>
      <c r="G1801" s="1" t="n"/>
    </row>
    <row r="1802">
      <c r="A1802" s="6" t="n">
        <v>52598</v>
      </c>
      <c r="B1802" s="6" t="inlineStr">
        <is>
          <t>E &amp; J VS BRANDY</t>
        </is>
      </c>
      <c r="C1802" s="7">
        <f>VLOOKUP(A1802,SizeData!A$2:B$3839,2,FALSE)</f>
        <v/>
      </c>
      <c r="D1802" s="6" t="n">
        <v>1</v>
      </c>
      <c r="E1802" s="6" t="inlineStr">
        <is>
          <t>R1431061</t>
        </is>
      </c>
      <c r="F1802" s="2" t="n">
        <v>44583</v>
      </c>
      <c r="G1802" s="1" t="n"/>
    </row>
    <row r="1803">
      <c r="A1803" s="6" t="n">
        <v>52598</v>
      </c>
      <c r="B1803" s="6" t="inlineStr">
        <is>
          <t>E &amp; J VS BRANDY</t>
        </is>
      </c>
      <c r="C1803" s="7">
        <f>VLOOKUP(A1803,SizeData!A$2:B$3839,2,FALSE)</f>
        <v/>
      </c>
      <c r="D1803" s="6" t="n">
        <v>2</v>
      </c>
      <c r="E1803" s="6" t="inlineStr">
        <is>
          <t>R1569610</t>
        </is>
      </c>
      <c r="F1803" s="2" t="n">
        <v>44669</v>
      </c>
      <c r="G1803" s="1" t="n"/>
    </row>
    <row r="1804">
      <c r="A1804" s="6" t="n">
        <v>52598</v>
      </c>
      <c r="B1804" s="6" t="inlineStr">
        <is>
          <t>E &amp; J VS BRANDY</t>
        </is>
      </c>
      <c r="C1804" s="7">
        <f>VLOOKUP(A1804,SizeData!A$2:B$3839,2,FALSE)</f>
        <v/>
      </c>
      <c r="D1804" s="6" t="n">
        <v>1</v>
      </c>
      <c r="E1804" s="6" t="inlineStr">
        <is>
          <t>R1677409</t>
        </is>
      </c>
      <c r="F1804" s="2" t="n">
        <v>44746</v>
      </c>
      <c r="G1804" s="1" t="n"/>
    </row>
    <row r="1805">
      <c r="A1805" s="6" t="n">
        <v>52598</v>
      </c>
      <c r="B1805" s="6" t="inlineStr">
        <is>
          <t>E &amp; J VS BRANDY</t>
        </is>
      </c>
      <c r="C1805" s="7">
        <f>VLOOKUP(A1805,SizeData!A$2:B$3839,2,FALSE)</f>
        <v/>
      </c>
      <c r="D1805" s="6" t="n">
        <v>1</v>
      </c>
      <c r="E1805" s="6" t="inlineStr">
        <is>
          <t>R1696453</t>
        </is>
      </c>
      <c r="F1805" s="2" t="n">
        <v>44758</v>
      </c>
      <c r="G1805" s="1" t="n"/>
    </row>
    <row r="1806">
      <c r="A1806" s="6" t="n">
        <v>52598</v>
      </c>
      <c r="B1806" s="6" t="inlineStr">
        <is>
          <t>E &amp; J VS BRANDY</t>
        </is>
      </c>
      <c r="C1806" s="7">
        <f>VLOOKUP(A1806,SizeData!A$2:B$3839,2,FALSE)</f>
        <v/>
      </c>
      <c r="D1806" s="6" t="n">
        <v>1</v>
      </c>
      <c r="E1806" s="6" t="inlineStr">
        <is>
          <t>R1725567</t>
        </is>
      </c>
      <c r="F1806" s="2" t="n">
        <v>44779</v>
      </c>
      <c r="G1806" s="1" t="n"/>
    </row>
    <row r="1807">
      <c r="A1807" s="6" t="n">
        <v>52598</v>
      </c>
      <c r="B1807" s="6" t="inlineStr">
        <is>
          <t>E &amp; J VS BRANDY</t>
        </is>
      </c>
      <c r="C1807" s="7">
        <f>VLOOKUP(A1807,SizeData!A$2:B$3839,2,FALSE)</f>
        <v/>
      </c>
      <c r="D1807" s="6" t="n">
        <v>1</v>
      </c>
      <c r="E1807" s="6" t="inlineStr">
        <is>
          <t>R1814504</t>
        </is>
      </c>
      <c r="F1807" s="2" t="n">
        <v>44846</v>
      </c>
      <c r="G1807" s="1" t="n"/>
    </row>
    <row r="1808">
      <c r="A1808" s="6" t="n">
        <v>52598</v>
      </c>
      <c r="B1808" s="6" t="inlineStr">
        <is>
          <t>E &amp; J VS BRANDY</t>
        </is>
      </c>
      <c r="C1808" s="7">
        <f>VLOOKUP(A1808,SizeData!A$2:B$3839,2,FALSE)</f>
        <v/>
      </c>
      <c r="D1808" s="6" t="n">
        <v>1</v>
      </c>
      <c r="E1808" s="6" t="inlineStr">
        <is>
          <t>R1876430</t>
        </is>
      </c>
      <c r="F1808" s="2" t="n">
        <v>44886</v>
      </c>
      <c r="G1808" s="1" t="n"/>
    </row>
    <row r="1809">
      <c r="A1809" s="6" t="n">
        <v>52598</v>
      </c>
      <c r="B1809" s="6" t="inlineStr">
        <is>
          <t>E &amp; J VS BRANDY</t>
        </is>
      </c>
      <c r="C1809" s="7">
        <f>VLOOKUP(A1809,SizeData!A$2:B$3839,2,FALSE)</f>
        <v/>
      </c>
      <c r="D1809" s="6" t="n">
        <v>1</v>
      </c>
      <c r="E1809" s="6" t="inlineStr">
        <is>
          <t>R1906601</t>
        </is>
      </c>
      <c r="F1809" s="2" t="n">
        <v>44902</v>
      </c>
      <c r="G1809" s="1" t="n"/>
    </row>
    <row r="1810">
      <c r="A1810" s="6" t="n">
        <v>52559</v>
      </c>
      <c r="B1810" s="6" t="inlineStr">
        <is>
          <t>E &amp; J XO BRANDY</t>
        </is>
      </c>
      <c r="C1810" s="7">
        <f>VLOOKUP(A1810,SizeData!A$2:B$3839,2,FALSE)</f>
        <v/>
      </c>
      <c r="D1810" s="6" t="n">
        <v>1</v>
      </c>
      <c r="E1810" s="6" t="inlineStr">
        <is>
          <t>R1413566</t>
        </is>
      </c>
      <c r="F1810" s="2" t="n">
        <v>44580</v>
      </c>
      <c r="G1810" s="1" t="n"/>
    </row>
    <row r="1811">
      <c r="A1811" s="6" t="n">
        <v>52559</v>
      </c>
      <c r="B1811" s="6" t="inlineStr">
        <is>
          <t>E &amp; J XO BRANDY</t>
        </is>
      </c>
      <c r="C1811" s="7">
        <f>VLOOKUP(A1811,SizeData!A$2:B$3839,2,FALSE)</f>
        <v/>
      </c>
      <c r="D1811" s="6" t="n">
        <v>1</v>
      </c>
      <c r="E1811" s="6" t="inlineStr">
        <is>
          <t>R1437025</t>
        </is>
      </c>
      <c r="F1811" s="2" t="n">
        <v>44587</v>
      </c>
      <c r="G1811" s="1" t="n"/>
    </row>
    <row r="1812">
      <c r="A1812" s="6" t="n">
        <v>52559</v>
      </c>
      <c r="B1812" s="6" t="inlineStr">
        <is>
          <t>E &amp; J XO BRANDY</t>
        </is>
      </c>
      <c r="C1812" s="7">
        <f>VLOOKUP(A1812,SizeData!A$2:B$3839,2,FALSE)</f>
        <v/>
      </c>
      <c r="D1812" s="6" t="n">
        <v>1</v>
      </c>
      <c r="E1812" s="6" t="inlineStr">
        <is>
          <t>R1486336</t>
        </is>
      </c>
      <c r="F1812" s="2" t="n">
        <v>44620</v>
      </c>
      <c r="G1812" s="1" t="n"/>
    </row>
    <row r="1813">
      <c r="A1813" s="6" t="n">
        <v>52559</v>
      </c>
      <c r="B1813" s="6" t="inlineStr">
        <is>
          <t>E &amp; J XO BRANDY</t>
        </is>
      </c>
      <c r="C1813" s="7">
        <f>VLOOKUP(A1813,SizeData!A$2:B$3839,2,FALSE)</f>
        <v/>
      </c>
      <c r="D1813" s="6" t="n">
        <v>1</v>
      </c>
      <c r="E1813" s="6" t="inlineStr">
        <is>
          <t>R1698359</t>
        </is>
      </c>
      <c r="F1813" s="2" t="n">
        <v>44765</v>
      </c>
      <c r="G1813" s="1" t="n"/>
    </row>
    <row r="1814">
      <c r="A1814" s="6" t="n">
        <v>52559</v>
      </c>
      <c r="B1814" s="6" t="inlineStr">
        <is>
          <t>E &amp; J XO BRANDY</t>
        </is>
      </c>
      <c r="C1814" s="7">
        <f>VLOOKUP(A1814,SizeData!A$2:B$3839,2,FALSE)</f>
        <v/>
      </c>
      <c r="D1814" s="6" t="n">
        <v>2</v>
      </c>
      <c r="E1814" s="6" t="inlineStr">
        <is>
          <t>R1906601</t>
        </is>
      </c>
      <c r="F1814" s="2" t="n">
        <v>44902</v>
      </c>
      <c r="G1814" s="1" t="n"/>
    </row>
    <row r="1815">
      <c r="A1815" s="6" t="n">
        <v>52562</v>
      </c>
      <c r="B1815" s="6" t="inlineStr">
        <is>
          <t>E &amp; J XO BRANDY</t>
        </is>
      </c>
      <c r="C1815" s="7">
        <f>VLOOKUP(A1815,SizeData!A$2:B$3839,2,FALSE)</f>
        <v/>
      </c>
      <c r="D1815" s="6" t="n">
        <v>1</v>
      </c>
      <c r="E1815" s="6" t="inlineStr">
        <is>
          <t>R1437025</t>
        </is>
      </c>
      <c r="F1815" s="2" t="n">
        <v>44587</v>
      </c>
      <c r="G1815" s="1" t="n"/>
    </row>
    <row r="1816">
      <c r="A1816" s="6" t="n">
        <v>52562</v>
      </c>
      <c r="B1816" s="6" t="inlineStr">
        <is>
          <t>E &amp; J XO BRANDY</t>
        </is>
      </c>
      <c r="C1816" s="7">
        <f>VLOOKUP(A1816,SizeData!A$2:B$3839,2,FALSE)</f>
        <v/>
      </c>
      <c r="D1816" s="6" t="n">
        <v>1</v>
      </c>
      <c r="E1816" s="6" t="inlineStr">
        <is>
          <t>R1604328</t>
        </is>
      </c>
      <c r="F1816" s="2" t="n">
        <v>44694</v>
      </c>
      <c r="G1816" s="1" t="n"/>
    </row>
    <row r="1817">
      <c r="A1817" s="6" t="n">
        <v>52562</v>
      </c>
      <c r="B1817" s="6" t="inlineStr">
        <is>
          <t>E &amp; J XO BRANDY</t>
        </is>
      </c>
      <c r="C1817" s="7">
        <f>VLOOKUP(A1817,SizeData!A$2:B$3839,2,FALSE)</f>
        <v/>
      </c>
      <c r="D1817" s="6" t="n">
        <v>1</v>
      </c>
      <c r="E1817" s="6" t="inlineStr">
        <is>
          <t>R1768922</t>
        </is>
      </c>
      <c r="F1817" s="2" t="n">
        <v>44819</v>
      </c>
      <c r="G1817" s="1" t="n"/>
    </row>
    <row r="1818">
      <c r="A1818" s="6" t="n">
        <v>52562</v>
      </c>
      <c r="B1818" s="6" t="inlineStr">
        <is>
          <t>E &amp; J XO BRANDY</t>
        </is>
      </c>
      <c r="C1818" s="7">
        <f>VLOOKUP(A1818,SizeData!A$2:B$3839,2,FALSE)</f>
        <v/>
      </c>
      <c r="D1818" s="6" t="n">
        <v>1</v>
      </c>
      <c r="E1818" s="6" t="inlineStr">
        <is>
          <t>R1866531</t>
        </is>
      </c>
      <c r="F1818" s="2" t="n">
        <v>44877</v>
      </c>
      <c r="G1818" s="1" t="n"/>
    </row>
    <row r="1819">
      <c r="A1819" s="6" t="n">
        <v>52563</v>
      </c>
      <c r="B1819" s="6" t="inlineStr">
        <is>
          <t>E &amp; J XO BRANDY</t>
        </is>
      </c>
      <c r="C1819" s="7">
        <f>VLOOKUP(A1819,SizeData!A$2:B$3839,2,FALSE)</f>
        <v/>
      </c>
      <c r="D1819" s="6" t="n">
        <v>1</v>
      </c>
      <c r="E1819" s="6" t="inlineStr">
        <is>
          <t>R1447041</t>
        </is>
      </c>
      <c r="F1819" s="2" t="n">
        <v>44595</v>
      </c>
      <c r="G1819" s="1" t="n"/>
    </row>
    <row r="1820">
      <c r="A1820" s="6" t="n">
        <v>52563</v>
      </c>
      <c r="B1820" s="6" t="inlineStr">
        <is>
          <t>E &amp; J XO BRANDY</t>
        </is>
      </c>
      <c r="C1820" s="7">
        <f>VLOOKUP(A1820,SizeData!A$2:B$3839,2,FALSE)</f>
        <v/>
      </c>
      <c r="D1820" s="6" t="n">
        <v>1</v>
      </c>
      <c r="E1820" s="6" t="inlineStr">
        <is>
          <t>R1619152</t>
        </is>
      </c>
      <c r="F1820" s="2" t="n">
        <v>44714</v>
      </c>
      <c r="G1820" s="1" t="n"/>
    </row>
    <row r="1821">
      <c r="A1821" s="6" t="n">
        <v>52563</v>
      </c>
      <c r="B1821" s="6" t="inlineStr">
        <is>
          <t>E &amp; J XO BRANDY</t>
        </is>
      </c>
      <c r="C1821" s="7">
        <f>VLOOKUP(A1821,SizeData!A$2:B$3839,2,FALSE)</f>
        <v/>
      </c>
      <c r="D1821" s="6" t="n">
        <v>1</v>
      </c>
      <c r="E1821" s="6" t="inlineStr">
        <is>
          <t>R1763315</t>
        </is>
      </c>
      <c r="F1821" s="2" t="n">
        <v>44814</v>
      </c>
      <c r="G1821" s="1" t="n"/>
    </row>
    <row r="1822">
      <c r="A1822" s="6" t="n">
        <v>52563</v>
      </c>
      <c r="B1822" s="6" t="inlineStr">
        <is>
          <t>E &amp; J XO BRANDY</t>
        </is>
      </c>
      <c r="C1822" s="7">
        <f>VLOOKUP(A1822,SizeData!A$2:B$3839,2,FALSE)</f>
        <v/>
      </c>
      <c r="D1822" s="6" t="n">
        <v>1</v>
      </c>
      <c r="E1822" s="6" t="inlineStr">
        <is>
          <t>R1789511</t>
        </is>
      </c>
      <c r="F1822" s="2" t="n">
        <v>44832</v>
      </c>
      <c r="G1822" s="1" t="n"/>
    </row>
    <row r="1823">
      <c r="A1823" s="6" t="n">
        <v>52563</v>
      </c>
      <c r="B1823" s="6" t="inlineStr">
        <is>
          <t>E &amp; J XO BRANDY</t>
        </is>
      </c>
      <c r="C1823" s="7">
        <f>VLOOKUP(A1823,SizeData!A$2:B$3839,2,FALSE)</f>
        <v/>
      </c>
      <c r="D1823" s="6" t="n">
        <v>1</v>
      </c>
      <c r="E1823" s="6" t="inlineStr">
        <is>
          <t>R1866531</t>
        </is>
      </c>
      <c r="F1823" s="2" t="n">
        <v>44877</v>
      </c>
      <c r="G1823" s="1" t="n"/>
    </row>
    <row r="1824">
      <c r="A1824" s="6" t="n">
        <v>361732</v>
      </c>
      <c r="B1824" s="6" t="inlineStr">
        <is>
          <t>ECCO DOMANI PINOT GRIGIO BLACK LABEL SCREW CAP</t>
        </is>
      </c>
      <c r="C1824" s="7">
        <f>VLOOKUP(A1824,SizeData!A$2:B$3839,2,FALSE)</f>
        <v/>
      </c>
      <c r="D1824" s="6" t="n">
        <v>1</v>
      </c>
      <c r="E1824" s="6" t="inlineStr">
        <is>
          <t>R1515367</t>
        </is>
      </c>
      <c r="F1824" s="2" t="n">
        <v>44635</v>
      </c>
      <c r="G1824" s="1" t="n"/>
    </row>
    <row r="1825">
      <c r="A1825" s="6" t="n">
        <v>34188</v>
      </c>
      <c r="B1825" s="6" t="inlineStr">
        <is>
          <t>EFFEN DUTCH VODKA</t>
        </is>
      </c>
      <c r="C1825" s="7">
        <f>VLOOKUP(A1825,SizeData!A$2:B$3839,2,FALSE)</f>
        <v/>
      </c>
      <c r="D1825" s="6" t="n">
        <v>1</v>
      </c>
      <c r="E1825" s="6" t="inlineStr">
        <is>
          <t>R1418605</t>
        </is>
      </c>
      <c r="F1825" s="2" t="n">
        <v>44576</v>
      </c>
      <c r="G1825" s="1" t="n"/>
    </row>
    <row r="1826">
      <c r="A1826" s="6" t="n">
        <v>34188</v>
      </c>
      <c r="B1826" s="6" t="inlineStr">
        <is>
          <t>EFFEN DUTCH VODKA</t>
        </is>
      </c>
      <c r="C1826" s="7">
        <f>VLOOKUP(A1826,SizeData!A$2:B$3839,2,FALSE)</f>
        <v/>
      </c>
      <c r="D1826" s="6" t="n">
        <v>1</v>
      </c>
      <c r="E1826" s="6" t="inlineStr">
        <is>
          <t>R1716704</t>
        </is>
      </c>
      <c r="F1826" s="2" t="n">
        <v>44770</v>
      </c>
      <c r="G1826" s="1" t="n"/>
    </row>
    <row r="1827">
      <c r="A1827" s="6" t="n">
        <v>34188</v>
      </c>
      <c r="B1827" s="6" t="inlineStr">
        <is>
          <t>EFFEN DUTCH VODKA</t>
        </is>
      </c>
      <c r="C1827" s="7">
        <f>VLOOKUP(A1827,SizeData!A$2:B$3839,2,FALSE)</f>
        <v/>
      </c>
      <c r="D1827" s="6" t="n">
        <v>1</v>
      </c>
      <c r="E1827" s="6" t="inlineStr">
        <is>
          <t>R1770694</t>
        </is>
      </c>
      <c r="F1827" s="2" t="n">
        <v>44816</v>
      </c>
      <c r="G1827" s="1" t="n"/>
    </row>
    <row r="1828">
      <c r="A1828" s="6" t="n">
        <v>89178</v>
      </c>
      <c r="B1828" s="6" t="inlineStr">
        <is>
          <t>EL MAYOR ANEJO TEQUILA</t>
        </is>
      </c>
      <c r="C1828" s="7">
        <f>VLOOKUP(A1828,SizeData!A$2:B$3839,2,FALSE)</f>
        <v/>
      </c>
      <c r="D1828" s="6" t="n">
        <v>1</v>
      </c>
      <c r="E1828" s="6" t="inlineStr">
        <is>
          <t>R1605719</t>
        </is>
      </c>
      <c r="F1828" s="2" t="n">
        <v>44685</v>
      </c>
      <c r="G1828" s="1" t="n"/>
    </row>
    <row r="1829">
      <c r="A1829" s="6" t="n">
        <v>89178</v>
      </c>
      <c r="B1829" s="6" t="inlineStr">
        <is>
          <t>EL MAYOR ANEJO TEQUILA</t>
        </is>
      </c>
      <c r="C1829" s="7">
        <f>VLOOKUP(A1829,SizeData!A$2:B$3839,2,FALSE)</f>
        <v/>
      </c>
      <c r="D1829" s="6" t="n">
        <v>1</v>
      </c>
      <c r="E1829" s="6" t="inlineStr">
        <is>
          <t>R1602626</t>
        </is>
      </c>
      <c r="F1829" s="2" t="n">
        <v>44690</v>
      </c>
      <c r="G1829" s="1" t="n"/>
    </row>
    <row r="1830">
      <c r="A1830" s="6" t="n">
        <v>89178</v>
      </c>
      <c r="B1830" s="6" t="inlineStr">
        <is>
          <t>EL MAYOR ANEJO TEQUILA</t>
        </is>
      </c>
      <c r="C1830" s="7">
        <f>VLOOKUP(A1830,SizeData!A$2:B$3839,2,FALSE)</f>
        <v/>
      </c>
      <c r="D1830" s="6" t="n">
        <v>2</v>
      </c>
      <c r="E1830" s="6" t="inlineStr">
        <is>
          <t>R1853571</t>
        </is>
      </c>
      <c r="F1830" s="2" t="n">
        <v>44873</v>
      </c>
      <c r="G1830" s="1" t="n"/>
    </row>
    <row r="1831">
      <c r="A1831" s="6" t="n">
        <v>89178</v>
      </c>
      <c r="B1831" s="6" t="inlineStr">
        <is>
          <t>EL MAYOR ANEJO TEQUILA</t>
        </is>
      </c>
      <c r="C1831" s="7">
        <f>VLOOKUP(A1831,SizeData!A$2:B$3839,2,FALSE)</f>
        <v/>
      </c>
      <c r="D1831" s="6" t="n">
        <v>1</v>
      </c>
      <c r="E1831" s="6" t="inlineStr">
        <is>
          <t>R1866529</t>
        </is>
      </c>
      <c r="F1831" s="2" t="n">
        <v>44876</v>
      </c>
      <c r="G1831" s="1" t="n"/>
    </row>
    <row r="1832">
      <c r="A1832" s="6" t="n">
        <v>87596</v>
      </c>
      <c r="B1832" s="6" t="inlineStr">
        <is>
          <t>EL MAYOR BLANCO</t>
        </is>
      </c>
      <c r="C1832" s="7">
        <f>VLOOKUP(A1832,SizeData!A$2:B$3839,2,FALSE)</f>
        <v/>
      </c>
      <c r="D1832" s="6" t="n">
        <v>2</v>
      </c>
      <c r="E1832" s="6" t="inlineStr">
        <is>
          <t>R1443217</t>
        </is>
      </c>
      <c r="F1832" s="2" t="n">
        <v>44593</v>
      </c>
      <c r="G1832" s="1" t="n"/>
    </row>
    <row r="1833">
      <c r="A1833" s="6" t="n">
        <v>87596</v>
      </c>
      <c r="B1833" s="6" t="inlineStr">
        <is>
          <t>EL MAYOR BLANCO TEQUILA</t>
        </is>
      </c>
      <c r="C1833" s="7">
        <f>VLOOKUP(A1833,SizeData!A$2:B$3839,2,FALSE)</f>
        <v/>
      </c>
      <c r="D1833" s="6" t="n">
        <v>1</v>
      </c>
      <c r="E1833" s="6" t="inlineStr">
        <is>
          <t>R1602626</t>
        </is>
      </c>
      <c r="F1833" s="2" t="n">
        <v>44690</v>
      </c>
      <c r="G1833" s="1" t="n"/>
    </row>
    <row r="1834">
      <c r="A1834" s="6" t="n">
        <v>87596</v>
      </c>
      <c r="B1834" s="6" t="inlineStr">
        <is>
          <t>EL MAYOR BLANCO TEQUILA</t>
        </is>
      </c>
      <c r="C1834" s="7">
        <f>VLOOKUP(A1834,SizeData!A$2:B$3839,2,FALSE)</f>
        <v/>
      </c>
      <c r="D1834" s="6" t="n">
        <v>1</v>
      </c>
      <c r="E1834" s="6" t="inlineStr">
        <is>
          <t>R1727399</t>
        </is>
      </c>
      <c r="F1834" s="2" t="n">
        <v>44786</v>
      </c>
      <c r="G1834" s="1" t="n"/>
    </row>
    <row r="1835">
      <c r="A1835" s="6" t="n">
        <v>87596</v>
      </c>
      <c r="B1835" s="6" t="inlineStr">
        <is>
          <t>EL MAYOR BLANCO TEQUILA</t>
        </is>
      </c>
      <c r="C1835" s="7">
        <f>VLOOKUP(A1835,SizeData!A$2:B$3839,2,FALSE)</f>
        <v/>
      </c>
      <c r="D1835" s="6" t="n">
        <v>2</v>
      </c>
      <c r="E1835" s="6" t="inlineStr">
        <is>
          <t>R1853571</t>
        </is>
      </c>
      <c r="F1835" s="2" t="n">
        <v>44873</v>
      </c>
      <c r="G1835" s="1" t="n"/>
    </row>
    <row r="1836">
      <c r="A1836" s="26" t="n">
        <v>88470</v>
      </c>
      <c r="B1836" s="26" t="inlineStr">
        <is>
          <t>EL MAYOR CRISTALINO ANEJO TEQUILA</t>
        </is>
      </c>
      <c r="C1836" s="75">
        <f>VLOOKUP(A1836,SizeData!A$2:B$3839,2,FALSE)</f>
        <v/>
      </c>
      <c r="D1836" s="26" t="n">
        <v>1</v>
      </c>
      <c r="E1836" s="26" t="inlineStr">
        <is>
          <t>R1832815</t>
        </is>
      </c>
      <c r="F1836" s="61" t="n">
        <v>44855</v>
      </c>
      <c r="G1836" s="62" t="n"/>
    </row>
    <row r="1837">
      <c r="A1837" s="6" t="n">
        <v>89182</v>
      </c>
      <c r="B1837" s="6" t="inlineStr">
        <is>
          <t>EL MAYOR REPOSADO TEQIULA</t>
        </is>
      </c>
      <c r="C1837" s="7">
        <f>VLOOKUP(A1837,SizeData!A$2:B$3839,2,FALSE)</f>
        <v/>
      </c>
      <c r="D1837" s="6" t="n">
        <v>1</v>
      </c>
      <c r="E1837" s="6" t="inlineStr">
        <is>
          <t>R1443217</t>
        </is>
      </c>
      <c r="F1837" s="2" t="n">
        <v>44593</v>
      </c>
      <c r="G1837" s="1" t="n"/>
    </row>
    <row r="1838">
      <c r="A1838" s="6" t="n">
        <v>89182</v>
      </c>
      <c r="B1838" s="6" t="inlineStr">
        <is>
          <t>EL MAYOR REPOSADO TEQIULA</t>
        </is>
      </c>
      <c r="C1838" s="7">
        <f>VLOOKUP(A1838,SizeData!A$2:B$3839,2,FALSE)</f>
        <v/>
      </c>
      <c r="D1838" s="6" t="n">
        <v>2</v>
      </c>
      <c r="E1838" s="6" t="inlineStr">
        <is>
          <t>R1448139</t>
        </is>
      </c>
      <c r="F1838" s="2" t="n">
        <v>44597</v>
      </c>
      <c r="G1838" s="1" t="n"/>
    </row>
    <row r="1839">
      <c r="A1839" s="6" t="n">
        <v>89182</v>
      </c>
      <c r="B1839" s="6" t="inlineStr">
        <is>
          <t>EL MAYOR REPOSADO TEQIULA</t>
        </is>
      </c>
      <c r="C1839" s="7">
        <f>VLOOKUP(A1839,SizeData!A$2:B$3839,2,FALSE)</f>
        <v/>
      </c>
      <c r="D1839" s="6" t="n">
        <v>1</v>
      </c>
      <c r="E1839" s="6" t="inlineStr">
        <is>
          <t>R1469832</t>
        </is>
      </c>
      <c r="F1839" s="2" t="n">
        <v>44615</v>
      </c>
      <c r="G1839" s="1" t="n"/>
    </row>
    <row r="1840">
      <c r="A1840" s="6" t="n">
        <v>89182</v>
      </c>
      <c r="B1840" s="6" t="inlineStr">
        <is>
          <t>EL MAYOR REPOSADO TEQIULA</t>
        </is>
      </c>
      <c r="C1840" s="7">
        <f>VLOOKUP(A1840,SizeData!A$2:B$3839,2,FALSE)</f>
        <v/>
      </c>
      <c r="D1840" s="6" t="n">
        <v>2</v>
      </c>
      <c r="E1840" s="6" t="inlineStr">
        <is>
          <t>R1631414</t>
        </is>
      </c>
      <c r="F1840" s="2" t="n">
        <v>44706</v>
      </c>
      <c r="G1840" s="1" t="n"/>
    </row>
    <row r="1841">
      <c r="A1841" s="6" t="n">
        <v>89182</v>
      </c>
      <c r="B1841" s="6" t="inlineStr">
        <is>
          <t>EL MAYOR REPOSADO TEQIULA</t>
        </is>
      </c>
      <c r="C1841" s="7">
        <f>VLOOKUP(A1841,SizeData!A$2:B$3839,2,FALSE)</f>
        <v/>
      </c>
      <c r="D1841" s="6" t="n">
        <v>1</v>
      </c>
      <c r="E1841" s="6" t="inlineStr">
        <is>
          <t>R1744939</t>
        </is>
      </c>
      <c r="F1841" s="2" t="n">
        <v>44804</v>
      </c>
      <c r="G1841" s="1" t="n"/>
    </row>
    <row r="1842">
      <c r="A1842" s="6" t="n">
        <v>17915</v>
      </c>
      <c r="B1842" s="6" t="inlineStr">
        <is>
          <t>ELIJAH CRAIG SMALL BATCH</t>
        </is>
      </c>
      <c r="C1842" s="7">
        <f>VLOOKUP(A1842,SizeData!A$2:B$3839,2,FALSE)</f>
        <v/>
      </c>
      <c r="D1842" s="6" t="n">
        <v>1</v>
      </c>
      <c r="E1842" s="6" t="inlineStr">
        <is>
          <t>R1565902</t>
        </is>
      </c>
      <c r="F1842" s="2" t="n">
        <v>44658</v>
      </c>
      <c r="G1842" s="1" t="n"/>
    </row>
    <row r="1843">
      <c r="A1843" s="6" t="n">
        <v>17915</v>
      </c>
      <c r="B1843" s="6" t="inlineStr">
        <is>
          <t>ELIJAH CRAIG SMALL BATCH</t>
        </is>
      </c>
      <c r="C1843" s="7">
        <f>VLOOKUP(A1843,SizeData!A$2:B$3839,2,FALSE)</f>
        <v/>
      </c>
      <c r="D1843" s="6" t="n">
        <v>1</v>
      </c>
      <c r="E1843" s="6" t="inlineStr">
        <is>
          <t>R1683818</t>
        </is>
      </c>
      <c r="F1843" s="2" t="n">
        <v>44754</v>
      </c>
      <c r="G1843" s="1" t="n"/>
    </row>
    <row r="1844">
      <c r="A1844" s="6" t="n">
        <v>17915</v>
      </c>
      <c r="B1844" s="6" t="inlineStr">
        <is>
          <t>ELIJAH CRAIG SMALL BATCH</t>
        </is>
      </c>
      <c r="C1844" s="7">
        <f>VLOOKUP(A1844,SizeData!A$2:B$3839,2,FALSE)</f>
        <v/>
      </c>
      <c r="D1844" s="6" t="n">
        <v>2</v>
      </c>
      <c r="E1844" s="6" t="inlineStr">
        <is>
          <t>R1837216</t>
        </is>
      </c>
      <c r="F1844" s="2" t="n">
        <v>44855</v>
      </c>
      <c r="G1844" s="1" t="n"/>
    </row>
    <row r="1845">
      <c r="A1845" s="6" t="n">
        <v>17916</v>
      </c>
      <c r="B1845" s="6" t="inlineStr">
        <is>
          <t>ELIJAH CRAIG SMALL BATCH</t>
        </is>
      </c>
      <c r="C1845" s="7">
        <f>VLOOKUP(A1845,SizeData!A$2:B$3839,2,FALSE)</f>
        <v/>
      </c>
      <c r="D1845" s="6" t="n">
        <v>2</v>
      </c>
      <c r="E1845" s="6" t="inlineStr">
        <is>
          <t>R1865535</t>
        </is>
      </c>
      <c r="F1845" s="2" t="n">
        <v>44879</v>
      </c>
      <c r="G1845" s="1" t="n"/>
    </row>
    <row r="1846">
      <c r="A1846" s="6" t="n">
        <v>17919</v>
      </c>
      <c r="B1846" s="6" t="inlineStr">
        <is>
          <t>ELIJAH CRAIG SMALL BATCH</t>
        </is>
      </c>
      <c r="C1846" s="7">
        <f>VLOOKUP(A1846,SizeData!A$2:B$3839,2,FALSE)</f>
        <v/>
      </c>
      <c r="D1846" s="6" t="n">
        <v>1</v>
      </c>
      <c r="E1846" s="6" t="inlineStr">
        <is>
          <t>R1388669</t>
        </is>
      </c>
      <c r="F1846" s="2" t="n">
        <v>44560</v>
      </c>
      <c r="G1846" s="1" t="n"/>
    </row>
    <row r="1847">
      <c r="A1847" s="6" t="n">
        <v>562490</v>
      </c>
      <c r="B1847" s="6" t="inlineStr">
        <is>
          <t>ELOUAN CHARDONNAY OREGON</t>
        </is>
      </c>
      <c r="C1847" s="7">
        <f>VLOOKUP(A1847,SizeData!A$2:B$3839,2,FALSE)</f>
        <v/>
      </c>
      <c r="D1847" s="6" t="n">
        <v>1</v>
      </c>
      <c r="E1847" s="6" t="inlineStr">
        <is>
          <t>R1566604</t>
        </is>
      </c>
      <c r="F1847" s="2" t="n">
        <v>44660</v>
      </c>
      <c r="G1847" s="1" t="n"/>
    </row>
    <row r="1848">
      <c r="A1848" s="6" t="n">
        <v>87619</v>
      </c>
      <c r="B1848" s="6" t="inlineStr">
        <is>
          <t>ESPOLON BLANCO WHITE TEQUILA</t>
        </is>
      </c>
      <c r="C1848" s="7">
        <f>VLOOKUP(A1848,SizeData!A$2:B$3839,2,FALSE)</f>
        <v/>
      </c>
      <c r="D1848" s="6" t="n">
        <v>1</v>
      </c>
      <c r="E1848" s="6" t="inlineStr">
        <is>
          <t>R1591903</t>
        </is>
      </c>
      <c r="F1848" s="2" t="n">
        <v>44678</v>
      </c>
      <c r="G1848" s="1" t="n"/>
    </row>
    <row r="1849">
      <c r="A1849" s="6" t="n">
        <v>87619</v>
      </c>
      <c r="B1849" s="6" t="inlineStr">
        <is>
          <t>ESPOLON BLANCO WHITE TEQUILA</t>
        </is>
      </c>
      <c r="C1849" s="7">
        <f>VLOOKUP(A1849,SizeData!A$2:B$3839,2,FALSE)</f>
        <v/>
      </c>
      <c r="D1849" s="6" t="n">
        <v>1</v>
      </c>
      <c r="E1849" s="6" t="inlineStr">
        <is>
          <t>R1751391</t>
        </is>
      </c>
      <c r="F1849" s="2" t="n">
        <v>44805</v>
      </c>
      <c r="G1849" s="1" t="n"/>
    </row>
    <row r="1850">
      <c r="A1850" s="26" t="n">
        <v>89286</v>
      </c>
      <c r="B1850" s="26" t="inlineStr">
        <is>
          <t>ESPOLON REPOSADO GOLD TEQUILA</t>
        </is>
      </c>
      <c r="C1850" s="7">
        <f>VLOOKUP(A1850,SizeData!A$2:B$3839,2,FALSE)</f>
        <v/>
      </c>
      <c r="D1850" s="26" t="n">
        <v>1</v>
      </c>
      <c r="E1850" s="26" t="inlineStr">
        <is>
          <t>R1751391</t>
        </is>
      </c>
      <c r="F1850" s="61" t="n">
        <v>44805</v>
      </c>
      <c r="G1850" s="62" t="n"/>
    </row>
    <row r="1851">
      <c r="A1851" s="6" t="n">
        <v>18095</v>
      </c>
      <c r="B1851" s="6" t="inlineStr">
        <is>
          <t>EVAN WILLIAMS 1783 90 PROOF</t>
        </is>
      </c>
      <c r="C1851" s="7">
        <f>VLOOKUP(A1851,SizeData!A$2:B$3839,2,FALSE)</f>
        <v/>
      </c>
      <c r="D1851" s="6" t="n">
        <v>3</v>
      </c>
      <c r="E1851" s="6" t="inlineStr">
        <is>
          <t>R1584253</t>
        </is>
      </c>
      <c r="F1851" s="2" t="n">
        <v>44682</v>
      </c>
      <c r="G1851" s="1" t="n"/>
    </row>
    <row r="1852">
      <c r="A1852" s="6" t="n">
        <v>18095</v>
      </c>
      <c r="B1852" s="6" t="inlineStr">
        <is>
          <t>EVAN WILLIAMS 1783 90 PROOF</t>
        </is>
      </c>
      <c r="C1852" s="7">
        <f>VLOOKUP(A1852,SizeData!A$2:B$3839,2,FALSE)</f>
        <v/>
      </c>
      <c r="D1852" s="6" t="n">
        <v>1</v>
      </c>
      <c r="E1852" s="6" t="inlineStr">
        <is>
          <t>R1713939</t>
        </is>
      </c>
      <c r="F1852" s="2" t="n">
        <v>44779</v>
      </c>
      <c r="G1852" s="1" t="n"/>
    </row>
    <row r="1853">
      <c r="A1853" s="6" t="n">
        <v>18095</v>
      </c>
      <c r="B1853" s="6" t="inlineStr">
        <is>
          <t>EVAN WILLIAMS 1783 90 PROOF</t>
        </is>
      </c>
      <c r="C1853" s="7">
        <f>VLOOKUP(A1853,SizeData!A$2:B$3839,2,FALSE)</f>
        <v/>
      </c>
      <c r="D1853" s="6" t="n">
        <v>2</v>
      </c>
      <c r="E1853" s="6" t="inlineStr">
        <is>
          <t>R1865535</t>
        </is>
      </c>
      <c r="F1853" s="2" t="n">
        <v>44879</v>
      </c>
      <c r="G1853" s="1" t="n"/>
    </row>
    <row r="1854">
      <c r="A1854" s="6" t="n">
        <v>17953</v>
      </c>
      <c r="B1854" s="6" t="inlineStr">
        <is>
          <t>EVAN WILLIAMS BLACK</t>
        </is>
      </c>
      <c r="C1854" s="7">
        <f>VLOOKUP(A1854,SizeData!A$2:B$3839,2,FALSE)</f>
        <v/>
      </c>
      <c r="D1854" s="6" t="n">
        <v>1</v>
      </c>
      <c r="E1854" s="6" t="inlineStr">
        <is>
          <t>R1412656</t>
        </is>
      </c>
      <c r="F1854" s="2" t="n">
        <v>44574</v>
      </c>
      <c r="G1854" s="1" t="n"/>
    </row>
    <row r="1855">
      <c r="A1855" s="6" t="n">
        <v>17954</v>
      </c>
      <c r="B1855" s="6" t="inlineStr">
        <is>
          <t>EVAN WILLIAMS BLACK</t>
        </is>
      </c>
      <c r="C1855" s="7">
        <f>VLOOKUP(A1855,SizeData!A$2:B$3839,2,FALSE)</f>
        <v/>
      </c>
      <c r="D1855" s="6" t="n">
        <v>4</v>
      </c>
      <c r="E1855" s="6" t="inlineStr">
        <is>
          <t>R1412656</t>
        </is>
      </c>
      <c r="F1855" s="2" t="n">
        <v>44574</v>
      </c>
      <c r="G1855" s="1" t="n"/>
    </row>
    <row r="1856">
      <c r="A1856" s="6" t="n">
        <v>17953</v>
      </c>
      <c r="B1856" s="6" t="inlineStr">
        <is>
          <t>EVAN WILLIAMS BLACK LABEL</t>
        </is>
      </c>
      <c r="C1856" s="7">
        <f>VLOOKUP(A1856,SizeData!A$2:B$3839,2,FALSE)</f>
        <v/>
      </c>
      <c r="D1856" s="6" t="n">
        <v>1</v>
      </c>
      <c r="E1856" s="6" t="inlineStr">
        <is>
          <t>R1613943</t>
        </is>
      </c>
      <c r="F1856" s="2" t="n">
        <v>44700</v>
      </c>
      <c r="G1856" s="1" t="n"/>
    </row>
    <row r="1857">
      <c r="A1857" s="6" t="n">
        <v>17956</v>
      </c>
      <c r="B1857" s="6" t="inlineStr">
        <is>
          <t>EVAN WILLIAMS BLACK LABEL</t>
        </is>
      </c>
      <c r="C1857" s="7">
        <f>VLOOKUP(A1857,SizeData!A$2:B$3839,2,FALSE)</f>
        <v/>
      </c>
      <c r="D1857" s="6" t="n">
        <v>2</v>
      </c>
      <c r="E1857" s="6" t="inlineStr">
        <is>
          <t>R1469430</t>
        </is>
      </c>
      <c r="F1857" s="2" t="n">
        <v>44610</v>
      </c>
      <c r="G1857" s="1" t="n"/>
    </row>
    <row r="1858">
      <c r="A1858" s="6" t="n">
        <v>17956</v>
      </c>
      <c r="B1858" s="6" t="inlineStr">
        <is>
          <t>EVAN WILLIAMS BLACK LABEL</t>
        </is>
      </c>
      <c r="C1858" s="7">
        <f>VLOOKUP(A1858,SizeData!A$2:B$3839,2,FALSE)</f>
        <v/>
      </c>
      <c r="D1858" s="6" t="n">
        <v>2</v>
      </c>
      <c r="E1858" s="6" t="inlineStr">
        <is>
          <t>R1607750</t>
        </is>
      </c>
      <c r="F1858" s="2" t="n">
        <v>44691</v>
      </c>
      <c r="G1858" s="1" t="n"/>
    </row>
    <row r="1859">
      <c r="A1859" s="6" t="n">
        <v>17958</v>
      </c>
      <c r="B1859" s="6" t="inlineStr">
        <is>
          <t>EVAN WILLIAMS BLACK LABEL</t>
        </is>
      </c>
      <c r="C1859" s="7">
        <f>VLOOKUP(A1859,SizeData!A$2:B$3839,2,FALSE)</f>
        <v/>
      </c>
      <c r="D1859" s="6" t="n">
        <v>8</v>
      </c>
      <c r="E1859" s="6" t="inlineStr">
        <is>
          <t>R1759269</t>
        </is>
      </c>
      <c r="F1859" s="2" t="n">
        <v>44811</v>
      </c>
      <c r="G1859" s="1" t="n"/>
    </row>
    <row r="1860">
      <c r="A1860" s="6" t="n">
        <v>59100</v>
      </c>
      <c r="B1860" s="6" t="inlineStr">
        <is>
          <t>EVAN WILLIAMS EGG NOG</t>
        </is>
      </c>
      <c r="C1860" s="7">
        <f>VLOOKUP(A1860,SizeData!A$2:B$3839,2,FALSE)</f>
        <v/>
      </c>
      <c r="D1860" s="6" t="n">
        <v>25</v>
      </c>
      <c r="E1860" s="6" t="inlineStr">
        <is>
          <t>R1784561</t>
        </is>
      </c>
      <c r="F1860" s="2" t="n">
        <v>44838</v>
      </c>
      <c r="G1860" s="1" t="n"/>
    </row>
    <row r="1861">
      <c r="A1861" s="6" t="n">
        <v>59101</v>
      </c>
      <c r="B1861" s="6" t="inlineStr">
        <is>
          <t>EVAN WILLIAMS EGG NOG</t>
        </is>
      </c>
      <c r="C1861" s="7">
        <f>VLOOKUP(A1861,SizeData!A$2:B$3839,2,FALSE)</f>
        <v/>
      </c>
      <c r="D1861" s="6" t="n">
        <v>10</v>
      </c>
      <c r="E1861" s="6" t="inlineStr">
        <is>
          <t>R1850203</t>
        </is>
      </c>
      <c r="F1861" s="2" t="n">
        <v>44847</v>
      </c>
      <c r="G1861" s="1" t="n"/>
    </row>
    <row r="1862">
      <c r="A1862" s="6" t="n">
        <v>73702</v>
      </c>
      <c r="B1862" s="6" t="inlineStr">
        <is>
          <t>EVAN WILLIAMS HONEY RESERVE</t>
        </is>
      </c>
      <c r="C1862" s="7">
        <f>VLOOKUP(A1862,SizeData!A$2:B$3839,2,FALSE)</f>
        <v/>
      </c>
      <c r="D1862" s="6" t="n">
        <v>1</v>
      </c>
      <c r="E1862" s="6" t="inlineStr">
        <is>
          <t>R1713939</t>
        </is>
      </c>
      <c r="F1862" s="2" t="n">
        <v>44779</v>
      </c>
      <c r="G1862" s="1" t="n"/>
    </row>
    <row r="1863">
      <c r="A1863" s="6" t="n">
        <v>73702</v>
      </c>
      <c r="B1863" s="6" t="inlineStr">
        <is>
          <t>EVAN WILLIAMS HONEY RESERVE</t>
        </is>
      </c>
      <c r="C1863" s="7">
        <f>VLOOKUP(A1863,SizeData!A$2:B$3839,2,FALSE)</f>
        <v/>
      </c>
      <c r="D1863" s="6" t="n">
        <v>1</v>
      </c>
      <c r="E1863" s="6" t="inlineStr">
        <is>
          <t>R1719137</t>
        </is>
      </c>
      <c r="F1863" s="2" t="n">
        <v>44781</v>
      </c>
      <c r="G1863" s="1" t="n"/>
    </row>
    <row r="1864">
      <c r="A1864" s="6" t="n">
        <v>73702</v>
      </c>
      <c r="B1864" s="6" t="inlineStr">
        <is>
          <t>EVAN WILLIAMS HONEY RESERVE</t>
        </is>
      </c>
      <c r="C1864" s="7">
        <f>VLOOKUP(A1864,SizeData!A$2:B$3839,2,FALSE)</f>
        <v/>
      </c>
      <c r="D1864" s="6" t="n">
        <v>1</v>
      </c>
      <c r="E1864" s="6" t="inlineStr">
        <is>
          <t>R1740439</t>
        </is>
      </c>
      <c r="F1864" s="2" t="n">
        <v>44793</v>
      </c>
      <c r="G1864" s="1" t="n"/>
    </row>
    <row r="1865">
      <c r="A1865" s="6" t="n">
        <v>18120</v>
      </c>
      <c r="B1865" s="6" t="inlineStr">
        <is>
          <t>EVAN WILLIAMS SINGLE BARREL VINTAGE</t>
        </is>
      </c>
      <c r="C1865" s="7">
        <f>VLOOKUP(A1865,SizeData!A$2:B$3839,2,FALSE)</f>
        <v/>
      </c>
      <c r="D1865" s="6" t="n">
        <v>2</v>
      </c>
      <c r="E1865" s="6" t="inlineStr">
        <is>
          <t>R1434873</t>
        </is>
      </c>
      <c r="F1865" s="2" t="n">
        <v>44595</v>
      </c>
      <c r="G1865" s="1" t="n"/>
    </row>
    <row r="1866">
      <c r="A1866" s="6" t="n">
        <v>18120</v>
      </c>
      <c r="B1866" s="6" t="inlineStr">
        <is>
          <t>EVAN WILLIAMS SINGLE BARREL VINTAGE</t>
        </is>
      </c>
      <c r="C1866" s="7">
        <f>VLOOKUP(A1866,SizeData!A$2:B$3839,2,FALSE)</f>
        <v/>
      </c>
      <c r="D1866" s="6" t="n">
        <v>2</v>
      </c>
      <c r="E1866" s="6" t="inlineStr">
        <is>
          <t>R1565902</t>
        </is>
      </c>
      <c r="F1866" s="2" t="n">
        <v>44658</v>
      </c>
      <c r="G1866" s="1" t="n"/>
    </row>
    <row r="1867">
      <c r="A1867" s="6" t="n">
        <v>16096</v>
      </c>
      <c r="B1867" s="6" t="inlineStr">
        <is>
          <t>EVAN WILLIAMS WHITE LABEL</t>
        </is>
      </c>
      <c r="C1867" s="7">
        <f>VLOOKUP(A1867,SizeData!A$2:B$3839,2,FALSE)</f>
        <v/>
      </c>
      <c r="D1867" s="6" t="n">
        <v>3</v>
      </c>
      <c r="E1867" s="6" t="inlineStr">
        <is>
          <t>R1620910</t>
        </is>
      </c>
      <c r="F1867" s="2" t="n">
        <v>44694</v>
      </c>
      <c r="G1867" s="1" t="n"/>
    </row>
    <row r="1868">
      <c r="A1868" s="6" t="n">
        <v>16096</v>
      </c>
      <c r="B1868" s="6" t="inlineStr">
        <is>
          <t>EVAN WILLIAMS WHITE LABEL</t>
        </is>
      </c>
      <c r="C1868" s="7">
        <f>VLOOKUP(A1868,SizeData!A$2:B$3839,2,FALSE)</f>
        <v/>
      </c>
      <c r="D1868" s="6" t="n">
        <v>1</v>
      </c>
      <c r="E1868" s="6" t="inlineStr">
        <is>
          <t>R1853571</t>
        </is>
      </c>
      <c r="F1868" s="2" t="n">
        <v>44873</v>
      </c>
      <c r="G1868" s="1" t="n"/>
    </row>
    <row r="1869">
      <c r="A1869" s="6" t="n">
        <v>16098</v>
      </c>
      <c r="B1869" s="6" t="inlineStr">
        <is>
          <t>EVAN WILLIAMS WHITE LABEL</t>
        </is>
      </c>
      <c r="C1869" s="7">
        <f>VLOOKUP(A1869,SizeData!A$2:B$3839,2,FALSE)</f>
        <v/>
      </c>
      <c r="D1869" s="6" t="n">
        <v>5</v>
      </c>
      <c r="E1869" s="6" t="inlineStr">
        <is>
          <t>R1525413</t>
        </is>
      </c>
      <c r="F1869" s="2" t="n">
        <v>44631</v>
      </c>
      <c r="G1869" s="1" t="n"/>
    </row>
    <row r="1870">
      <c r="A1870" s="26" t="n">
        <v>16098</v>
      </c>
      <c r="B1870" s="26" t="inlineStr">
        <is>
          <t>EVAN WILLIAMS WHITE LABEL</t>
        </is>
      </c>
      <c r="C1870" s="75">
        <f>VLOOKUP(A1870,SizeData!A$2:B$3839,2,FALSE)</f>
        <v/>
      </c>
      <c r="D1870" s="26" t="n">
        <v>2</v>
      </c>
      <c r="E1870" s="26" t="inlineStr">
        <is>
          <t>R1796778</t>
        </is>
      </c>
      <c r="F1870" s="61" t="n">
        <v>44834</v>
      </c>
      <c r="G1870" s="62" t="n"/>
    </row>
    <row r="1871">
      <c r="A1871" s="6" t="n">
        <v>16098</v>
      </c>
      <c r="B1871" s="6" t="inlineStr">
        <is>
          <t>EVAN WILLIAMS WHITE LABEL</t>
        </is>
      </c>
      <c r="C1871" s="7">
        <f>VLOOKUP(A1871,SizeData!A$2:B$3839,2,FALSE)</f>
        <v/>
      </c>
      <c r="D1871" s="6" t="n">
        <v>1</v>
      </c>
      <c r="E1871" s="6" t="inlineStr">
        <is>
          <t>R1900430</t>
        </is>
      </c>
      <c r="F1871" s="2" t="n">
        <v>44896</v>
      </c>
      <c r="G1871" s="1" t="n"/>
    </row>
    <row r="1872">
      <c r="A1872" s="6" t="n">
        <v>16098</v>
      </c>
      <c r="B1872" s="6" t="inlineStr">
        <is>
          <t>EVAN WILLIAMS WHITE LABEL</t>
        </is>
      </c>
      <c r="C1872" s="7">
        <f>VLOOKUP(A1872,SizeData!A$2:B$3839,2,FALSE)</f>
        <v/>
      </c>
      <c r="D1872" s="6" t="n">
        <v>1</v>
      </c>
      <c r="E1872" s="6" t="inlineStr">
        <is>
          <t>R1906202</t>
        </is>
      </c>
      <c r="F1872" s="2" t="n">
        <v>44902</v>
      </c>
      <c r="G1872" s="1" t="n"/>
    </row>
    <row r="1873">
      <c r="A1873" s="26" t="n">
        <v>16098</v>
      </c>
      <c r="B1873" s="26" t="inlineStr">
        <is>
          <t>EVAN WILLIAMS WHITE LABEL</t>
        </is>
      </c>
      <c r="C1873" s="75">
        <f>VLOOKUP(A1873,SizeData!A$2:B$3839,2,FALSE)</f>
        <v/>
      </c>
      <c r="D1873" s="26" t="n">
        <v>1</v>
      </c>
      <c r="E1873" s="26" t="inlineStr">
        <is>
          <t>R1906202</t>
        </is>
      </c>
      <c r="F1873" s="61" t="n">
        <v>44902</v>
      </c>
      <c r="G1873" s="62" t="n"/>
    </row>
    <row r="1874">
      <c r="A1874" s="6" t="n">
        <v>41836</v>
      </c>
      <c r="B1874" s="6" t="inlineStr">
        <is>
          <t>EVERCLEAR 190 ALCOHOL</t>
        </is>
      </c>
      <c r="C1874" s="7">
        <f>VLOOKUP(A1874,SizeData!A$2:B$3839,2,FALSE)</f>
        <v/>
      </c>
      <c r="D1874" s="6" t="n">
        <v>1</v>
      </c>
      <c r="E1874" s="6" t="inlineStr">
        <is>
          <t>R1668331</t>
        </is>
      </c>
      <c r="F1874" s="2" t="n">
        <v>44742</v>
      </c>
      <c r="G1874" s="1" t="n"/>
    </row>
    <row r="1875">
      <c r="A1875" s="6" t="n">
        <v>41836</v>
      </c>
      <c r="B1875" s="6" t="inlineStr">
        <is>
          <t>EVERCLEAR 190 ALCOHOL</t>
        </is>
      </c>
      <c r="C1875" s="7">
        <f>VLOOKUP(A1875,SizeData!A$2:B$3839,2,FALSE)</f>
        <v/>
      </c>
      <c r="D1875" s="6" t="n">
        <v>1</v>
      </c>
      <c r="E1875" s="6" t="inlineStr">
        <is>
          <t>R1701532</t>
        </is>
      </c>
      <c r="F1875" s="2" t="n">
        <v>44765</v>
      </c>
      <c r="G1875" s="1" t="n"/>
    </row>
    <row r="1876">
      <c r="A1876" s="6" t="n">
        <v>41836</v>
      </c>
      <c r="B1876" s="6" t="inlineStr">
        <is>
          <t>EVERCLEAR 190 ALCOHOL</t>
        </is>
      </c>
      <c r="C1876" s="7">
        <f>VLOOKUP(A1876,SizeData!A$2:B$3839,2,FALSE)</f>
        <v/>
      </c>
      <c r="D1876" s="6" t="n">
        <v>2</v>
      </c>
      <c r="E1876" s="6" t="inlineStr">
        <is>
          <t>R1765359</t>
        </is>
      </c>
      <c r="F1876" s="2" t="n">
        <v>44810</v>
      </c>
      <c r="G1876" s="1" t="n"/>
    </row>
    <row r="1877">
      <c r="A1877" s="6" t="n">
        <v>41836</v>
      </c>
      <c r="B1877" s="6" t="inlineStr">
        <is>
          <t>EVERCLEAR ALCOHOL</t>
        </is>
      </c>
      <c r="C1877" s="7">
        <f>VLOOKUP(A1877,SizeData!A$2:B$3839,2,FALSE)</f>
        <v/>
      </c>
      <c r="D1877" s="6" t="n">
        <v>2</v>
      </c>
      <c r="E1877" s="6" t="inlineStr">
        <is>
          <t>R1383976</t>
        </is>
      </c>
      <c r="F1877" s="2" t="n">
        <v>44561</v>
      </c>
      <c r="G1877" s="1" t="n"/>
    </row>
    <row r="1878">
      <c r="A1878" s="6" t="n">
        <v>41838</v>
      </c>
      <c r="B1878" s="6" t="inlineStr">
        <is>
          <t>EVERCLEAR ALCOHOL 190 (PET)</t>
        </is>
      </c>
      <c r="C1878" s="7">
        <f>VLOOKUP(A1878,SizeData!A$2:B$3839,2,FALSE)</f>
        <v/>
      </c>
      <c r="D1878" s="6" t="n">
        <v>1</v>
      </c>
      <c r="E1878" s="6" t="inlineStr">
        <is>
          <t>R1469430</t>
        </is>
      </c>
      <c r="F1878" s="2" t="n">
        <v>44610</v>
      </c>
      <c r="G1878" s="1" t="n"/>
    </row>
    <row r="1879">
      <c r="A1879" s="6" t="n">
        <v>41838</v>
      </c>
      <c r="B1879" s="6" t="inlineStr">
        <is>
          <t>EVERCLEAR ALCOHOL 190 (PET)</t>
        </is>
      </c>
      <c r="C1879" s="7">
        <f>VLOOKUP(A1879,SizeData!A$2:B$3839,2,FALSE)</f>
        <v/>
      </c>
      <c r="D1879" s="6" t="n">
        <v>1</v>
      </c>
      <c r="E1879" s="6" t="inlineStr">
        <is>
          <t>R1599993</t>
        </is>
      </c>
      <c r="F1879" s="2" t="n">
        <v>44701</v>
      </c>
      <c r="G1879" s="1" t="n"/>
    </row>
    <row r="1880">
      <c r="A1880" s="6" t="n">
        <v>41838</v>
      </c>
      <c r="B1880" s="6" t="inlineStr">
        <is>
          <t>EVERCLEAR ALCOHOL 190 (PET)</t>
        </is>
      </c>
      <c r="C1880" s="7">
        <f>VLOOKUP(A1880,SizeData!A$2:B$3839,2,FALSE)</f>
        <v/>
      </c>
      <c r="D1880" s="6" t="n">
        <v>2</v>
      </c>
      <c r="E1880" s="6" t="inlineStr">
        <is>
          <t>R1625943</t>
        </is>
      </c>
      <c r="F1880" s="2" t="n">
        <v>44707</v>
      </c>
      <c r="G1880" s="1" t="n"/>
    </row>
    <row r="1881">
      <c r="A1881" s="6" t="n">
        <v>41838</v>
      </c>
      <c r="B1881" s="6" t="inlineStr">
        <is>
          <t>EVERCLEAR ALCOHOL 190 (PET)</t>
        </is>
      </c>
      <c r="C1881" s="7">
        <f>VLOOKUP(A1881,SizeData!A$2:B$3839,2,FALSE)</f>
        <v/>
      </c>
      <c r="D1881" s="6" t="n">
        <v>2</v>
      </c>
      <c r="E1881" s="6" t="inlineStr">
        <is>
          <t>R1678551</t>
        </is>
      </c>
      <c r="F1881" s="2" t="n">
        <v>44751</v>
      </c>
      <c r="G1881" s="1" t="n"/>
    </row>
    <row r="1882">
      <c r="A1882" s="6" t="n">
        <v>41838</v>
      </c>
      <c r="B1882" s="6" t="inlineStr">
        <is>
          <t>EVERCLEAR ALCOHOL 190 (PET)</t>
        </is>
      </c>
      <c r="C1882" s="7">
        <f>VLOOKUP(A1882,SizeData!A$2:B$3839,2,FALSE)</f>
        <v/>
      </c>
      <c r="D1882" s="6" t="n">
        <v>1</v>
      </c>
      <c r="E1882" s="6" t="inlineStr">
        <is>
          <t>R1696453</t>
        </is>
      </c>
      <c r="F1882" s="2" t="n">
        <v>44758</v>
      </c>
      <c r="G1882" s="1" t="n"/>
    </row>
    <row r="1883">
      <c r="A1883" s="6" t="n">
        <v>41838</v>
      </c>
      <c r="B1883" s="6" t="inlineStr">
        <is>
          <t>EVERCLEAR ALCOHOL 190 (PET)</t>
        </is>
      </c>
      <c r="C1883" s="7">
        <f>VLOOKUP(A1883,SizeData!A$2:B$3839,2,FALSE)</f>
        <v/>
      </c>
      <c r="D1883" s="6" t="n">
        <v>1</v>
      </c>
      <c r="E1883" s="6" t="inlineStr">
        <is>
          <t>R1698359</t>
        </is>
      </c>
      <c r="F1883" s="2" t="n">
        <v>44765</v>
      </c>
      <c r="G1883" s="1" t="n"/>
    </row>
    <row r="1884">
      <c r="A1884" s="26" t="n">
        <v>41838</v>
      </c>
      <c r="B1884" s="26" t="inlineStr">
        <is>
          <t>EVERCLEAR ALCOHOL 190 (PET)</t>
        </is>
      </c>
      <c r="C1884" s="7">
        <f>VLOOKUP(A1884,SizeData!A$2:B$3839,2,FALSE)</f>
        <v/>
      </c>
      <c r="D1884" s="26" t="n">
        <v>1</v>
      </c>
      <c r="E1884" s="26" t="inlineStr">
        <is>
          <t>R1698359</t>
        </is>
      </c>
      <c r="F1884" s="61" t="n">
        <v>44765</v>
      </c>
      <c r="G1884" s="62" t="n"/>
    </row>
    <row r="1885">
      <c r="A1885" s="6" t="n">
        <v>41838</v>
      </c>
      <c r="B1885" s="6" t="inlineStr">
        <is>
          <t>EVERCLEAR ALCOHOL 190 (PET)</t>
        </is>
      </c>
      <c r="C1885" s="7">
        <f>VLOOKUP(A1885,SizeData!A$2:B$3839,2,FALSE)</f>
        <v/>
      </c>
      <c r="D1885" s="6" t="n">
        <v>2</v>
      </c>
      <c r="E1885" s="6" t="inlineStr">
        <is>
          <t>R1713113</t>
        </is>
      </c>
      <c r="F1885" s="2" t="n">
        <v>44774</v>
      </c>
      <c r="G1885" s="1" t="n"/>
    </row>
    <row r="1886">
      <c r="A1886" s="6" t="n">
        <v>41838</v>
      </c>
      <c r="B1886" s="6" t="inlineStr">
        <is>
          <t>EVERCLEAR ALCOHOL 190 (PET)</t>
        </is>
      </c>
      <c r="C1886" s="7">
        <f>VLOOKUP(A1886,SizeData!A$2:B$3839,2,FALSE)</f>
        <v/>
      </c>
      <c r="D1886" s="6" t="n">
        <v>1</v>
      </c>
      <c r="E1886" s="6" t="inlineStr">
        <is>
          <t>R1713113</t>
        </is>
      </c>
      <c r="F1886" s="2" t="n">
        <v>44774</v>
      </c>
      <c r="G1886" s="62" t="n"/>
    </row>
    <row r="1887">
      <c r="A1887" s="6" t="n">
        <v>41838</v>
      </c>
      <c r="B1887" s="6" t="inlineStr">
        <is>
          <t>EVERCLEAR ALCOHOL 190 (PET)</t>
        </is>
      </c>
      <c r="C1887" s="7">
        <f>VLOOKUP(A1887,SizeData!A$2:B$3839,2,FALSE)</f>
        <v/>
      </c>
      <c r="D1887" s="6" t="n">
        <v>2</v>
      </c>
      <c r="E1887" s="6" t="inlineStr">
        <is>
          <t>R1744939</t>
        </is>
      </c>
      <c r="F1887" s="2" t="n">
        <v>44804</v>
      </c>
      <c r="G1887" s="1" t="n"/>
    </row>
    <row r="1888">
      <c r="A1888" s="6" t="n">
        <v>41838</v>
      </c>
      <c r="B1888" s="6" t="inlineStr">
        <is>
          <t>EVERCLEAR ALCOHOL 190 (PET)</t>
        </is>
      </c>
      <c r="C1888" s="7">
        <f>VLOOKUP(A1888,SizeData!A$2:B$3839,2,FALSE)</f>
        <v/>
      </c>
      <c r="D1888" s="6" t="n">
        <v>2</v>
      </c>
      <c r="E1888" s="6" t="inlineStr">
        <is>
          <t>R1835862</t>
        </is>
      </c>
      <c r="F1888" s="2" t="n">
        <v>44856</v>
      </c>
      <c r="G1888" s="1" t="n"/>
    </row>
    <row r="1889">
      <c r="A1889" s="6" t="n">
        <v>41838</v>
      </c>
      <c r="B1889" s="6" t="inlineStr">
        <is>
          <t>EVERCLEAR ALCOHOL 190 (PET)</t>
        </is>
      </c>
      <c r="C1889" s="7">
        <f>VLOOKUP(A1889,SizeData!A$2:B$3839,2,FALSE)</f>
        <v/>
      </c>
      <c r="D1889" s="6" t="n">
        <v>2</v>
      </c>
      <c r="E1889" s="6" t="inlineStr">
        <is>
          <t>R1834591</t>
        </is>
      </c>
      <c r="F1889" s="2" t="n">
        <v>44863</v>
      </c>
      <c r="G1889" s="1" t="n"/>
    </row>
    <row r="1890">
      <c r="A1890" s="6" t="n">
        <v>41838</v>
      </c>
      <c r="B1890" s="6" t="inlineStr">
        <is>
          <t>EVERCLEAR ALCOHOL 190 (PET)</t>
        </is>
      </c>
      <c r="C1890" s="7">
        <f>VLOOKUP(A1890,SizeData!A$2:B$3839,2,FALSE)</f>
        <v/>
      </c>
      <c r="D1890" s="6" t="n">
        <v>3</v>
      </c>
      <c r="E1890" s="6" t="inlineStr">
        <is>
          <t>R1841934</t>
        </is>
      </c>
      <c r="F1890" s="2" t="n">
        <v>44866</v>
      </c>
      <c r="G1890" s="1" t="n"/>
    </row>
    <row r="1891">
      <c r="A1891" s="6" t="n">
        <v>41838</v>
      </c>
      <c r="B1891" s="6" t="inlineStr">
        <is>
          <t>EVERCLEAR ALCOHOL 190 (PET)</t>
        </is>
      </c>
      <c r="C1891" s="7">
        <f>VLOOKUP(A1891,SizeData!A$2:B$3839,2,FALSE)</f>
        <v/>
      </c>
      <c r="D1891" s="6" t="n">
        <v>5</v>
      </c>
      <c r="E1891" s="6" t="inlineStr">
        <is>
          <t>R1869434</t>
        </is>
      </c>
      <c r="F1891" s="2" t="n">
        <v>44884</v>
      </c>
      <c r="G1891" s="1" t="n"/>
    </row>
    <row r="1892">
      <c r="A1892" s="6" t="n">
        <v>41834</v>
      </c>
      <c r="B1892" s="6" t="inlineStr">
        <is>
          <t>EVERCLEAR ALCOHOL 190 (PET)</t>
        </is>
      </c>
      <c r="C1892" s="7">
        <f>VLOOKUP(A1892,SizeData!A$2:B$3839,2,FALSE)</f>
        <v/>
      </c>
      <c r="D1892" s="6" t="n">
        <v>1</v>
      </c>
      <c r="E1892" s="6" t="inlineStr">
        <is>
          <t>R1632057</t>
        </is>
      </c>
      <c r="F1892" s="2" t="n">
        <v>44716</v>
      </c>
      <c r="G1892" s="1" t="n"/>
    </row>
    <row r="1893">
      <c r="A1893" s="6" t="n">
        <v>41834</v>
      </c>
      <c r="B1893" s="6" t="inlineStr">
        <is>
          <t>EVERCLEAR ALCOHOL 190 (PET)</t>
        </is>
      </c>
      <c r="C1893" s="7">
        <f>VLOOKUP(A1893,SizeData!A$2:B$3839,2,FALSE)</f>
        <v/>
      </c>
      <c r="D1893" s="6" t="n">
        <v>1</v>
      </c>
      <c r="E1893" s="6" t="inlineStr">
        <is>
          <t>R1835862</t>
        </is>
      </c>
      <c r="F1893" s="2" t="n">
        <v>44856</v>
      </c>
      <c r="G1893" s="1" t="n"/>
    </row>
    <row r="1894">
      <c r="A1894" s="6" t="n">
        <v>33711</v>
      </c>
      <c r="B1894" s="6" t="inlineStr">
        <is>
          <t>EXCLUSIV 4 BERRY FLAVORED VODKA</t>
        </is>
      </c>
      <c r="C1894" s="7">
        <f>VLOOKUP(A1894,SizeData!A$2:B$3839,2,FALSE)</f>
        <v/>
      </c>
      <c r="D1894" s="6" t="n">
        <v>1</v>
      </c>
      <c r="E1894" s="6" t="inlineStr">
        <is>
          <t>R1617499</t>
        </is>
      </c>
      <c r="F1894" s="2" t="n">
        <v>44706</v>
      </c>
      <c r="G1894" s="1" t="n"/>
    </row>
    <row r="1895">
      <c r="A1895" s="6" t="n">
        <v>33724</v>
      </c>
      <c r="B1895" s="6" t="inlineStr">
        <is>
          <t>EXCLUSIV 7 PEACH FLAVORD VODKA</t>
        </is>
      </c>
      <c r="C1895" s="7">
        <f>VLOOKUP(A1895,SizeData!A$2:B$3839,2,FALSE)</f>
        <v/>
      </c>
      <c r="D1895" s="6" t="n">
        <v>1</v>
      </c>
      <c r="E1895" s="6" t="inlineStr">
        <is>
          <t>R1452246</t>
        </is>
      </c>
      <c r="F1895" s="2" t="n">
        <v>44600</v>
      </c>
      <c r="G1895" s="1" t="n"/>
    </row>
    <row r="1896">
      <c r="A1896" s="6" t="n">
        <v>33523</v>
      </c>
      <c r="B1896" s="6" t="inlineStr">
        <is>
          <t>EXCLUSIV PINEAPPLE VODKA</t>
        </is>
      </c>
      <c r="C1896" s="7">
        <f>VLOOKUP(A1896,SizeData!A$2:B$3839,2,FALSE)</f>
        <v/>
      </c>
      <c r="D1896" s="6" t="n">
        <v>1</v>
      </c>
      <c r="E1896" s="6" t="inlineStr">
        <is>
          <t>R1452246</t>
        </is>
      </c>
      <c r="F1896" s="2" t="n">
        <v>44600</v>
      </c>
      <c r="G1896" s="1" t="n"/>
    </row>
    <row r="1897">
      <c r="A1897" s="6" t="n">
        <v>33524</v>
      </c>
      <c r="B1897" s="6" t="inlineStr">
        <is>
          <t>EXCLUSIV PINEAPPLE VODKA</t>
        </is>
      </c>
      <c r="C1897" s="7">
        <f>VLOOKUP(A1897,SizeData!A$2:B$3839,2,FALSE)</f>
        <v/>
      </c>
      <c r="D1897" s="6" t="n">
        <v>1</v>
      </c>
      <c r="E1897" s="6" t="inlineStr">
        <is>
          <t>R1499122</t>
        </is>
      </c>
      <c r="F1897" s="2" t="n">
        <v>44627</v>
      </c>
      <c r="G1897" s="1" t="n"/>
    </row>
    <row r="1898">
      <c r="A1898" s="6" t="n">
        <v>33524</v>
      </c>
      <c r="B1898" s="6" t="inlineStr">
        <is>
          <t>EXCLUSIV PINEAPPLE VODKA</t>
        </is>
      </c>
      <c r="C1898" s="7">
        <f>VLOOKUP(A1898,SizeData!A$2:B$3839,2,FALSE)</f>
        <v/>
      </c>
      <c r="D1898" s="6" t="n">
        <v>1</v>
      </c>
      <c r="E1898" s="6" t="inlineStr">
        <is>
          <t>R1658904</t>
        </is>
      </c>
      <c r="F1898" s="2" t="n">
        <v>44732</v>
      </c>
      <c r="G1898" s="1" t="n"/>
    </row>
    <row r="1899">
      <c r="A1899" s="6" t="n">
        <v>33708</v>
      </c>
      <c r="B1899" s="6" t="inlineStr">
        <is>
          <t>EXCLUSIV VODKA</t>
        </is>
      </c>
      <c r="C1899" s="7">
        <f>VLOOKUP(A1899,SizeData!A$2:B$3839,2,FALSE)</f>
        <v/>
      </c>
      <c r="D1899" s="6" t="n">
        <v>8</v>
      </c>
      <c r="E1899" s="6" t="inlineStr">
        <is>
          <t>R1528002</t>
        </is>
      </c>
      <c r="F1899" s="2" t="n">
        <v>44641</v>
      </c>
      <c r="G1899" s="1" t="n"/>
    </row>
    <row r="1900">
      <c r="A1900" s="6" t="n">
        <v>33709</v>
      </c>
      <c r="B1900" s="6" t="inlineStr">
        <is>
          <t>EXCLUSIV VODKA</t>
        </is>
      </c>
      <c r="C1900" s="7">
        <f>VLOOKUP(A1900,SizeData!A$2:B$3839,2,FALSE)</f>
        <v/>
      </c>
      <c r="D1900" s="6" t="n">
        <v>8</v>
      </c>
      <c r="E1900" s="6" t="inlineStr">
        <is>
          <t>R1499122</t>
        </is>
      </c>
      <c r="F1900" s="2" t="n">
        <v>44627</v>
      </c>
      <c r="G1900" s="1" t="n"/>
    </row>
    <row r="1901">
      <c r="A1901" s="6" t="n">
        <v>33709</v>
      </c>
      <c r="B1901" s="6" t="inlineStr">
        <is>
          <t>EXCLUSIV VODKA</t>
        </is>
      </c>
      <c r="C1901" s="7">
        <f>VLOOKUP(A1901,SizeData!A$2:B$3839,2,FALSE)</f>
        <v/>
      </c>
      <c r="D1901" s="6" t="n">
        <v>4</v>
      </c>
      <c r="E1901" s="6" t="inlineStr">
        <is>
          <t>R1617499</t>
        </is>
      </c>
      <c r="F1901" s="2" t="n">
        <v>44706</v>
      </c>
      <c r="G1901" s="1" t="n"/>
    </row>
    <row r="1902">
      <c r="A1902" s="6" t="n">
        <v>18196</v>
      </c>
      <c r="B1902" s="6" t="inlineStr">
        <is>
          <t>EZRA BROOKS</t>
        </is>
      </c>
      <c r="C1902" s="7">
        <f>VLOOKUP(A1902,SizeData!A$2:B$3839,2,FALSE)</f>
        <v/>
      </c>
      <c r="D1902" s="6" t="n">
        <v>1</v>
      </c>
      <c r="E1902" s="6" t="inlineStr">
        <is>
          <t>R1418605</t>
        </is>
      </c>
      <c r="F1902" s="2" t="n">
        <v>44576</v>
      </c>
      <c r="G1902" s="1" t="n"/>
    </row>
    <row r="1903">
      <c r="A1903" s="6" t="n">
        <v>18196</v>
      </c>
      <c r="B1903" s="6" t="inlineStr">
        <is>
          <t>EZRA BROOKS 90 PROOF BOURBON</t>
        </is>
      </c>
      <c r="C1903" s="7">
        <f>VLOOKUP(A1903,SizeData!A$2:B$3839,2,FALSE)</f>
        <v/>
      </c>
      <c r="D1903" s="6" t="n">
        <v>1</v>
      </c>
      <c r="E1903" s="6" t="inlineStr">
        <is>
          <t>R1547143</t>
        </is>
      </c>
      <c r="F1903" s="2" t="n">
        <v>44655</v>
      </c>
      <c r="G1903" s="1" t="n"/>
    </row>
    <row r="1904">
      <c r="A1904" s="6" t="n">
        <v>18196</v>
      </c>
      <c r="B1904" s="6" t="inlineStr">
        <is>
          <t>EZRA BROOKS 90 PROOF BOURBON</t>
        </is>
      </c>
      <c r="C1904" s="7">
        <f>VLOOKUP(A1904,SizeData!A$2:B$3839,2,FALSE)</f>
        <v/>
      </c>
      <c r="D1904" s="6" t="n">
        <v>1</v>
      </c>
      <c r="E1904" s="6" t="inlineStr">
        <is>
          <t>R1602916</t>
        </is>
      </c>
      <c r="F1904" s="2" t="n">
        <v>44690</v>
      </c>
      <c r="G1904" s="1" t="n"/>
    </row>
    <row r="1905">
      <c r="A1905" s="6" t="n">
        <v>18196</v>
      </c>
      <c r="B1905" s="6" t="inlineStr">
        <is>
          <t>EZRA BROOKS 90 PROOF BOURBON</t>
        </is>
      </c>
      <c r="C1905" s="7">
        <f>VLOOKUP(A1905,SizeData!A$2:B$3839,2,FALSE)</f>
        <v/>
      </c>
      <c r="D1905" s="6" t="n">
        <v>1</v>
      </c>
      <c r="E1905" s="6" t="inlineStr">
        <is>
          <t>R1695763</t>
        </is>
      </c>
      <c r="F1905" s="2" t="n">
        <v>44756</v>
      </c>
      <c r="G1905" s="1" t="n"/>
    </row>
    <row r="1906">
      <c r="A1906" s="6" t="n">
        <v>18201</v>
      </c>
      <c r="B1906" s="6" t="inlineStr">
        <is>
          <t>EZRA BROOKS 99 PROOF BOURBON</t>
        </is>
      </c>
      <c r="C1906" s="7">
        <f>VLOOKUP(A1906,SizeData!A$2:B$3839,2,FALSE)</f>
        <v/>
      </c>
      <c r="D1906" s="6" t="n">
        <v>3</v>
      </c>
      <c r="E1906" s="6" t="inlineStr">
        <is>
          <t>R1515367</t>
        </is>
      </c>
      <c r="F1906" s="2" t="n">
        <v>44635</v>
      </c>
      <c r="G1906" s="1" t="n"/>
    </row>
    <row r="1907">
      <c r="A1907" s="6" t="n">
        <v>93256</v>
      </c>
      <c r="B1907" s="6" t="inlineStr">
        <is>
          <t>FAIRBANKS PORT</t>
        </is>
      </c>
      <c r="C1907" s="7">
        <f>VLOOKUP(A1907,SizeData!A$2:B$3839,2,FALSE)</f>
        <v/>
      </c>
      <c r="D1907" s="6" t="n">
        <v>3</v>
      </c>
      <c r="E1907" s="6" t="inlineStr">
        <is>
          <t>R1398783</t>
        </is>
      </c>
      <c r="F1907" s="2" t="n">
        <v>44572</v>
      </c>
      <c r="G1907" s="1" t="n"/>
    </row>
    <row r="1908">
      <c r="A1908" s="6" t="n">
        <v>93256</v>
      </c>
      <c r="B1908" s="6" t="inlineStr">
        <is>
          <t>FAIRBANKS PORT</t>
        </is>
      </c>
      <c r="C1908" s="7">
        <f>VLOOKUP(A1908,SizeData!A$2:B$3839,2,FALSE)</f>
        <v/>
      </c>
      <c r="D1908" s="6" t="n">
        <v>10</v>
      </c>
      <c r="E1908" s="6" t="inlineStr">
        <is>
          <t>R1480911</t>
        </is>
      </c>
      <c r="F1908" s="2" t="n">
        <v>44608</v>
      </c>
      <c r="G1908" s="1" t="n"/>
    </row>
    <row r="1909">
      <c r="A1909" s="6" t="n">
        <v>93257</v>
      </c>
      <c r="B1909" s="6" t="inlineStr">
        <is>
          <t>FAIRBANKS PORT</t>
        </is>
      </c>
      <c r="C1909" s="7">
        <f>VLOOKUP(A1909,SizeData!A$2:B$3839,2,FALSE)</f>
        <v/>
      </c>
      <c r="D1909" s="6" t="n">
        <v>5</v>
      </c>
      <c r="E1909" s="6" t="inlineStr">
        <is>
          <t>R1398783</t>
        </is>
      </c>
      <c r="F1909" s="2" t="n">
        <v>44572</v>
      </c>
      <c r="G1909" s="1" t="n"/>
    </row>
    <row r="1910">
      <c r="A1910" s="6" t="n">
        <v>89533</v>
      </c>
      <c r="B1910" s="6" t="inlineStr">
        <is>
          <t>FAMILIA CAMARENA REPOSADO TEQUILA</t>
        </is>
      </c>
      <c r="C1910" s="7">
        <f>VLOOKUP(A1910,SizeData!A$2:B$3839,2,FALSE)</f>
        <v/>
      </c>
      <c r="D1910" s="6" t="n">
        <v>1</v>
      </c>
      <c r="E1910" s="6" t="inlineStr">
        <is>
          <t>R1900430</t>
        </is>
      </c>
      <c r="F1910" s="2" t="n">
        <v>44896</v>
      </c>
      <c r="G1910" s="1" t="n"/>
    </row>
    <row r="1911">
      <c r="A1911" s="6" t="n">
        <v>87643</v>
      </c>
      <c r="B1911" s="6" t="inlineStr">
        <is>
          <t>FAMILIA CAMARENA SILVER TEQUILA</t>
        </is>
      </c>
      <c r="C1911" s="7">
        <f>VLOOKUP(A1911,SizeData!A$2:B$3839,2,FALSE)</f>
        <v/>
      </c>
      <c r="D1911" s="6" t="n">
        <v>1</v>
      </c>
      <c r="E1911" s="6" t="inlineStr">
        <is>
          <t>R1792137</t>
        </is>
      </c>
      <c r="F1911" s="2" t="n">
        <v>44835</v>
      </c>
      <c r="G1911" s="1" t="n"/>
    </row>
    <row r="1912">
      <c r="A1912" s="6" t="n">
        <v>87643</v>
      </c>
      <c r="B1912" s="6" t="inlineStr">
        <is>
          <t>FAMILIA CAMARENA SILVER TEQUILA</t>
        </is>
      </c>
      <c r="C1912" s="7">
        <f>VLOOKUP(A1912,SizeData!A$2:B$3839,2,FALSE)</f>
        <v/>
      </c>
      <c r="D1912" s="6" t="n">
        <v>1</v>
      </c>
      <c r="E1912" s="6" t="inlineStr">
        <is>
          <t>R1900430</t>
        </is>
      </c>
      <c r="F1912" s="2" t="n">
        <v>44896</v>
      </c>
      <c r="G1912" s="1" t="n"/>
    </row>
    <row r="1913">
      <c r="A1913" s="6" t="n">
        <v>87643</v>
      </c>
      <c r="B1913" s="6" t="inlineStr">
        <is>
          <t>FAMILIA CAMARENA SILVER TEQUILA</t>
        </is>
      </c>
      <c r="C1913" s="7">
        <f>VLOOKUP(A1913,SizeData!A$2:B$3839,2,FALSE)</f>
        <v/>
      </c>
      <c r="D1913" s="6" t="n">
        <v>1</v>
      </c>
      <c r="E1913" s="6" t="inlineStr">
        <is>
          <t>R1906202</t>
        </is>
      </c>
      <c r="F1913" s="2" t="n">
        <v>44902</v>
      </c>
      <c r="G1913" s="1" t="n"/>
    </row>
    <row r="1914">
      <c r="A1914" s="6" t="n">
        <v>64866</v>
      </c>
      <c r="B1914" s="6" t="inlineStr">
        <is>
          <t>FIREBALL CINNAMON WHISKEY</t>
        </is>
      </c>
      <c r="C1914" s="7">
        <f>VLOOKUP(A1914,SizeData!A$2:B$3839,2,FALSE)</f>
        <v/>
      </c>
      <c r="D1914" s="6" t="n">
        <v>1</v>
      </c>
      <c r="E1914" s="6" t="inlineStr">
        <is>
          <t>R1478101</t>
        </is>
      </c>
      <c r="F1914" s="2" t="n">
        <v>44610</v>
      </c>
      <c r="G1914" s="1" t="n"/>
    </row>
    <row r="1915">
      <c r="A1915" s="6" t="n">
        <v>64866</v>
      </c>
      <c r="B1915" s="6" t="inlineStr">
        <is>
          <t>FIREBALL CINNAMON WHISKEY</t>
        </is>
      </c>
      <c r="C1915" s="7">
        <f>VLOOKUP(A1915,SizeData!A$2:B$3839,2,FALSE)</f>
        <v/>
      </c>
      <c r="D1915" s="6" t="n">
        <v>1</v>
      </c>
      <c r="E1915" s="6" t="inlineStr">
        <is>
          <t>R1632057</t>
        </is>
      </c>
      <c r="F1915" s="2" t="n">
        <v>44716</v>
      </c>
      <c r="G1915" s="1" t="n"/>
    </row>
    <row r="1916">
      <c r="A1916" s="6" t="n">
        <v>64864</v>
      </c>
      <c r="B1916" s="6" t="inlineStr">
        <is>
          <t>FIREBALL CINNAMON WHISKEY (PET)</t>
        </is>
      </c>
      <c r="C1916" s="7">
        <f>VLOOKUP(A1916,SizeData!A$2:B$3839,2,FALSE)</f>
        <v/>
      </c>
      <c r="D1916" s="6" t="n">
        <v>1</v>
      </c>
      <c r="E1916" s="6" t="inlineStr">
        <is>
          <t>R1461859</t>
        </is>
      </c>
      <c r="F1916" s="2" t="n">
        <v>44606</v>
      </c>
      <c r="G1916" s="1" t="n"/>
    </row>
    <row r="1917">
      <c r="A1917" s="6" t="n">
        <v>64864</v>
      </c>
      <c r="B1917" s="6" t="inlineStr">
        <is>
          <t>FIREBALL CINNAMON WHISKEY (PET)</t>
        </is>
      </c>
      <c r="C1917" s="7">
        <f>VLOOKUP(A1917,SizeData!A$2:B$3839,2,FALSE)</f>
        <v/>
      </c>
      <c r="D1917" s="6" t="n">
        <v>1</v>
      </c>
      <c r="E1917" s="6" t="inlineStr">
        <is>
          <t>R1501625</t>
        </is>
      </c>
      <c r="F1917" s="2" t="n">
        <v>44627</v>
      </c>
      <c r="G1917" s="1" t="n"/>
    </row>
    <row r="1918">
      <c r="A1918" s="6" t="n">
        <v>64864</v>
      </c>
      <c r="B1918" s="6" t="inlineStr">
        <is>
          <t>FIREBALL CINNAMON WHISKEY (PET)</t>
        </is>
      </c>
      <c r="C1918" s="7">
        <f>VLOOKUP(A1918,SizeData!A$2:B$3839,2,FALSE)</f>
        <v/>
      </c>
      <c r="D1918" s="6" t="n">
        <v>2</v>
      </c>
      <c r="E1918" s="6" t="inlineStr">
        <is>
          <t>R1529670</t>
        </is>
      </c>
      <c r="F1918" s="2" t="n">
        <v>44652</v>
      </c>
      <c r="G1918" s="1" t="n"/>
    </row>
    <row r="1919">
      <c r="A1919" s="6" t="n">
        <v>64864</v>
      </c>
      <c r="B1919" s="6" t="inlineStr">
        <is>
          <t>FIREBALL CINNAMON WHISKEY (PET)</t>
        </is>
      </c>
      <c r="C1919" s="7">
        <f>VLOOKUP(A1919,SizeData!A$2:B$3839,2,FALSE)</f>
        <v/>
      </c>
      <c r="D1919" s="6" t="n">
        <v>1</v>
      </c>
      <c r="E1919" s="6" t="inlineStr">
        <is>
          <t>R1596233</t>
        </is>
      </c>
      <c r="F1919" s="2" t="n">
        <v>44681</v>
      </c>
      <c r="G1919" s="1" t="n"/>
    </row>
    <row r="1920">
      <c r="A1920" s="6" t="n">
        <v>64864</v>
      </c>
      <c r="B1920" s="6" t="inlineStr">
        <is>
          <t>FIREBALL CINNAMON WHISKEY (PET)</t>
        </is>
      </c>
      <c r="C1920" s="7">
        <f>VLOOKUP(A1920,SizeData!A$2:B$3839,2,FALSE)</f>
        <v/>
      </c>
      <c r="D1920" s="6" t="n">
        <v>2</v>
      </c>
      <c r="E1920" s="6" t="inlineStr">
        <is>
          <t>R1678551</t>
        </is>
      </c>
      <c r="F1920" s="2" t="n">
        <v>44751</v>
      </c>
      <c r="G1920" s="1" t="n"/>
    </row>
    <row r="1921">
      <c r="A1921" s="6" t="n">
        <v>64864</v>
      </c>
      <c r="B1921" s="6" t="inlineStr">
        <is>
          <t>FIREBALL CINNAMON WHISKEY (PET)</t>
        </is>
      </c>
      <c r="C1921" s="7">
        <f>VLOOKUP(A1921,SizeData!A$2:B$3839,2,FALSE)</f>
        <v/>
      </c>
      <c r="D1921" s="6" t="n">
        <v>1</v>
      </c>
      <c r="E1921" s="6" t="inlineStr">
        <is>
          <t>R1762660</t>
        </is>
      </c>
      <c r="F1921" s="2" t="n">
        <v>44817</v>
      </c>
      <c r="G1921" s="1" t="n"/>
    </row>
    <row r="1922">
      <c r="A1922" s="6" t="n">
        <v>64864</v>
      </c>
      <c r="B1922" s="6" t="inlineStr">
        <is>
          <t>FIREBALL CINNAMON WHISKEY (PET)</t>
        </is>
      </c>
      <c r="C1922" s="7">
        <f>VLOOKUP(A1922,SizeData!A$2:B$3839,2,FALSE)</f>
        <v/>
      </c>
      <c r="D1922" s="6" t="n">
        <v>3</v>
      </c>
      <c r="E1922" s="6" t="inlineStr">
        <is>
          <t>R1794246</t>
        </is>
      </c>
      <c r="F1922" s="2" t="n">
        <v>44837</v>
      </c>
      <c r="G1922" s="1" t="n"/>
    </row>
    <row r="1923">
      <c r="A1923" s="6" t="n">
        <v>64864</v>
      </c>
      <c r="B1923" s="6" t="inlineStr">
        <is>
          <t>FIREBALL CINNAMON WHISKEY (PET)</t>
        </is>
      </c>
      <c r="C1923" s="7">
        <f>VLOOKUP(A1923,SizeData!A$2:B$3839,2,FALSE)</f>
        <v/>
      </c>
      <c r="D1923" s="6" t="n">
        <v>1</v>
      </c>
      <c r="E1923" s="6" t="inlineStr">
        <is>
          <t>R1814504</t>
        </is>
      </c>
      <c r="F1923" s="2" t="n">
        <v>44846</v>
      </c>
      <c r="G1923" s="1" t="n"/>
    </row>
    <row r="1924">
      <c r="A1924" s="6" t="n">
        <v>65013</v>
      </c>
      <c r="B1924" s="6" t="inlineStr">
        <is>
          <t>FIREBALL CINNAMON WHISKEY (PET)</t>
        </is>
      </c>
      <c r="C1924" s="7">
        <f>VLOOKUP(A1924,SizeData!A$2:B$3839,2,FALSE)</f>
        <v/>
      </c>
      <c r="D1924" s="6" t="n">
        <v>15</v>
      </c>
      <c r="E1924" s="6" t="inlineStr">
        <is>
          <t>R1487835</t>
        </is>
      </c>
      <c r="F1924" s="2" t="n">
        <v>44621</v>
      </c>
      <c r="G1924" s="1" t="n"/>
    </row>
    <row r="1925">
      <c r="A1925" s="6" t="n">
        <v>65013</v>
      </c>
      <c r="B1925" s="6" t="inlineStr">
        <is>
          <t>FIREBALL CINNAMON WHISKEY (PET)</t>
        </is>
      </c>
      <c r="C1925" s="7">
        <f>VLOOKUP(A1925,SizeData!A$2:B$3839,2,FALSE)</f>
        <v/>
      </c>
      <c r="D1925" s="6" t="n">
        <v>5</v>
      </c>
      <c r="E1925" s="6" t="inlineStr">
        <is>
          <t>R1525413</t>
        </is>
      </c>
      <c r="F1925" s="2" t="n">
        <v>44631</v>
      </c>
      <c r="G1925" s="1" t="n"/>
    </row>
    <row r="1926">
      <c r="A1926" s="6" t="n">
        <v>65013</v>
      </c>
      <c r="B1926" s="6" t="inlineStr">
        <is>
          <t>FIREBALL CINNAMON WHISKEY (PET)</t>
        </is>
      </c>
      <c r="C1926" s="7">
        <f>VLOOKUP(A1926,SizeData!A$2:B$3839,2,FALSE)</f>
        <v/>
      </c>
      <c r="D1926" s="6" t="n">
        <v>2</v>
      </c>
      <c r="E1926" s="6" t="inlineStr">
        <is>
          <t>R1751391</t>
        </is>
      </c>
      <c r="F1926" s="2" t="n">
        <v>44805</v>
      </c>
      <c r="G1926" s="1" t="n"/>
    </row>
    <row r="1927">
      <c r="A1927" s="6" t="n">
        <v>65013</v>
      </c>
      <c r="B1927" s="6" t="inlineStr">
        <is>
          <t>FIREBALL CINNAMON WHISKEY (PET)</t>
        </is>
      </c>
      <c r="C1927" s="7">
        <f>VLOOKUP(A1927,SizeData!A$2:B$3839,2,FALSE)</f>
        <v/>
      </c>
      <c r="D1927" s="6" t="n">
        <v>10</v>
      </c>
      <c r="E1927" s="6" t="inlineStr">
        <is>
          <t>R1762606</t>
        </is>
      </c>
      <c r="F1927" s="2" t="n">
        <v>44809</v>
      </c>
      <c r="G1927" s="1" t="n"/>
    </row>
    <row r="1928">
      <c r="A1928" s="6" t="n">
        <v>65013</v>
      </c>
      <c r="B1928" s="6" t="inlineStr">
        <is>
          <t>FIREBALL CINNAMON WHISKEY (PET)</t>
        </is>
      </c>
      <c r="C1928" s="7">
        <f>VLOOKUP(A1928,SizeData!A$2:B$3839,2,FALSE)</f>
        <v/>
      </c>
      <c r="D1928" s="6" t="n">
        <v>6</v>
      </c>
      <c r="E1928" s="6" t="inlineStr">
        <is>
          <t>R1889340</t>
        </is>
      </c>
      <c r="F1928" s="2" t="n">
        <v>44902</v>
      </c>
      <c r="G1928" s="1" t="n"/>
    </row>
    <row r="1929">
      <c r="A1929" s="6" t="n">
        <v>64863</v>
      </c>
      <c r="B1929" s="6" t="inlineStr">
        <is>
          <t>FIREBALL CINNAMON WHISKEY PET</t>
        </is>
      </c>
      <c r="C1929" s="7">
        <f>VLOOKUP(A1929,SizeData!A$2:B$3839,2,FALSE)</f>
        <v/>
      </c>
      <c r="D1929" s="6" t="n">
        <v>5</v>
      </c>
      <c r="E1929" s="6" t="inlineStr">
        <is>
          <t>R1483328</t>
        </is>
      </c>
      <c r="F1929" s="2" t="n">
        <v>44616</v>
      </c>
      <c r="G1929" s="1" t="n"/>
    </row>
    <row r="1930">
      <c r="A1930" s="6" t="n">
        <v>64863</v>
      </c>
      <c r="B1930" s="6" t="inlineStr">
        <is>
          <t>FIREBALL CINNAMON WHISKEY PET</t>
        </is>
      </c>
      <c r="C1930" s="7">
        <f>VLOOKUP(A1930,SizeData!A$2:B$3839,2,FALSE)</f>
        <v/>
      </c>
      <c r="D1930" s="6" t="n">
        <v>2</v>
      </c>
      <c r="E1930" s="6" t="inlineStr">
        <is>
          <t>R1617499</t>
        </is>
      </c>
      <c r="F1930" s="2" t="n">
        <v>44706</v>
      </c>
      <c r="G1930" s="1" t="n"/>
    </row>
    <row r="1931">
      <c r="A1931" s="6" t="n">
        <v>64863</v>
      </c>
      <c r="B1931" s="6" t="inlineStr">
        <is>
          <t>FIREBALL CINNAMON WHISKEY PET</t>
        </is>
      </c>
      <c r="C1931" s="7">
        <f>VLOOKUP(A1931,SizeData!A$2:B$3839,2,FALSE)</f>
        <v/>
      </c>
      <c r="D1931" s="6" t="n">
        <v>1</v>
      </c>
      <c r="E1931" s="6" t="inlineStr">
        <is>
          <t>R1725227</t>
        </is>
      </c>
      <c r="F1931" s="2" t="n">
        <v>44779</v>
      </c>
      <c r="G1931" s="1" t="n"/>
    </row>
    <row r="1932">
      <c r="A1932" s="6" t="n">
        <v>64863</v>
      </c>
      <c r="B1932" s="6" t="inlineStr">
        <is>
          <t>FIREBALL CINNAMON WHISKEY PET</t>
        </is>
      </c>
      <c r="C1932" s="7">
        <f>VLOOKUP(A1932,SizeData!A$2:B$3839,2,FALSE)</f>
        <v/>
      </c>
      <c r="D1932" s="6" t="n">
        <v>3</v>
      </c>
      <c r="E1932" s="6" t="inlineStr">
        <is>
          <t>R1866868</t>
        </is>
      </c>
      <c r="F1932" s="2" t="n">
        <v>44882</v>
      </c>
      <c r="G1932" s="1" t="n"/>
    </row>
    <row r="1933">
      <c r="A1933" s="6" t="n">
        <v>64865</v>
      </c>
      <c r="B1933" s="6" t="inlineStr">
        <is>
          <t>FIREBALL CINNAMON WHISKEY PET</t>
        </is>
      </c>
      <c r="C1933" s="7">
        <f>VLOOKUP(A1933,SizeData!A$2:B$3839,2,FALSE)</f>
        <v/>
      </c>
      <c r="D1933" s="6" t="n">
        <v>1</v>
      </c>
      <c r="E1933" s="6" t="inlineStr">
        <is>
          <t>R1393111</t>
        </is>
      </c>
      <c r="F1933" s="2" t="n">
        <v>44559</v>
      </c>
      <c r="G1933" s="1" t="n"/>
    </row>
    <row r="1934">
      <c r="A1934" s="6" t="n">
        <v>64865</v>
      </c>
      <c r="B1934" s="6" t="inlineStr">
        <is>
          <t>FIREBALL CINNAMON WHISKEY PET</t>
        </is>
      </c>
      <c r="C1934" s="7">
        <f>VLOOKUP(A1934,SizeData!A$2:B$3839,2,FALSE)</f>
        <v/>
      </c>
      <c r="D1934" s="6" t="n">
        <v>2</v>
      </c>
      <c r="E1934" s="6" t="inlineStr">
        <is>
          <t>R1418605</t>
        </is>
      </c>
      <c r="F1934" s="2" t="n">
        <v>44576</v>
      </c>
      <c r="G1934" s="1" t="n"/>
    </row>
    <row r="1935">
      <c r="A1935" s="6" t="n">
        <v>64865</v>
      </c>
      <c r="B1935" s="6" t="inlineStr">
        <is>
          <t>FIREBALL CINNAMON WHISKEY PET</t>
        </is>
      </c>
      <c r="C1935" s="7">
        <f>VLOOKUP(A1935,SizeData!A$2:B$3839,2,FALSE)</f>
        <v/>
      </c>
      <c r="D1935" s="6" t="n">
        <v>4</v>
      </c>
      <c r="E1935" s="6" t="inlineStr">
        <is>
          <t>R1556367</t>
        </is>
      </c>
      <c r="F1935" s="2" t="n">
        <v>44664</v>
      </c>
      <c r="G1935" s="1" t="n"/>
    </row>
    <row r="1936">
      <c r="A1936" s="6" t="n">
        <v>64865</v>
      </c>
      <c r="B1936" s="6" t="inlineStr">
        <is>
          <t>FIREBALL CINNAMON WHISKEY PET</t>
        </is>
      </c>
      <c r="C1936" s="7">
        <f>VLOOKUP(A1936,SizeData!A$2:B$3839,2,FALSE)</f>
        <v/>
      </c>
      <c r="D1936" s="6" t="n">
        <v>2</v>
      </c>
      <c r="E1936" s="6" t="inlineStr">
        <is>
          <t>R1866060</t>
        </is>
      </c>
      <c r="F1936" s="2" t="n">
        <v>44874</v>
      </c>
      <c r="G1936" s="1" t="n"/>
    </row>
    <row r="1937">
      <c r="A1937" s="6" t="n">
        <v>64904</v>
      </c>
      <c r="B1937" s="6" t="inlineStr">
        <is>
          <t>FIREBALL CINNAMON WHISKY PET</t>
        </is>
      </c>
      <c r="C1937" s="7">
        <f>VLOOKUP(A1937,SizeData!A$2:B$3839,2,FALSE)</f>
        <v/>
      </c>
      <c r="D1937" s="6" t="n">
        <v>2</v>
      </c>
      <c r="E1937" s="6" t="inlineStr">
        <is>
          <t>R1530051</t>
        </is>
      </c>
      <c r="F1937" s="2" t="n">
        <v>44637</v>
      </c>
      <c r="G1937" s="1" t="n"/>
    </row>
    <row r="1938">
      <c r="A1938" s="6" t="n">
        <v>64904</v>
      </c>
      <c r="B1938" s="6" t="inlineStr">
        <is>
          <t>FIREBALL CINNAMON WHISKY PET</t>
        </is>
      </c>
      <c r="C1938" s="7">
        <f>VLOOKUP(A1938,SizeData!A$2:B$3839,2,FALSE)</f>
        <v/>
      </c>
      <c r="D1938" s="6" t="n">
        <v>1</v>
      </c>
      <c r="E1938" s="6" t="inlineStr">
        <is>
          <t>R1537124</t>
        </is>
      </c>
      <c r="F1938" s="2" t="n">
        <v>44646</v>
      </c>
      <c r="G1938" s="1" t="n"/>
    </row>
    <row r="1939">
      <c r="A1939" s="6" t="n">
        <v>64904</v>
      </c>
      <c r="B1939" s="6" t="inlineStr">
        <is>
          <t>FIREBALL CINNAMON WHISKY PET</t>
        </is>
      </c>
      <c r="C1939" s="7">
        <f>VLOOKUP(A1939,SizeData!A$2:B$3839,2,FALSE)</f>
        <v/>
      </c>
      <c r="D1939" s="6" t="n">
        <v>2</v>
      </c>
      <c r="E1939" s="6" t="inlineStr">
        <is>
          <t>R1701120</t>
        </is>
      </c>
      <c r="F1939" s="2" t="n">
        <v>44762</v>
      </c>
      <c r="G1939" s="1" t="n"/>
    </row>
    <row r="1940">
      <c r="A1940" s="6" t="n">
        <v>64904</v>
      </c>
      <c r="B1940" s="6" t="inlineStr">
        <is>
          <t>FIREBALL CINNAMON WHISKY PET</t>
        </is>
      </c>
      <c r="C1940" s="7">
        <f>VLOOKUP(A1940,SizeData!A$2:B$3839,2,FALSE)</f>
        <v/>
      </c>
      <c r="D1940" s="6" t="n">
        <v>2</v>
      </c>
      <c r="E1940" s="6" t="inlineStr">
        <is>
          <t>R1894827</t>
        </is>
      </c>
      <c r="F1940" s="2" t="n">
        <v>44902</v>
      </c>
      <c r="G1940" s="1" t="n"/>
    </row>
    <row r="1941">
      <c r="A1941" s="6" t="n">
        <v>466271</v>
      </c>
      <c r="B1941" s="6" t="inlineStr">
        <is>
          <t>FLIP FLOP CABERNET SAUVIGNON</t>
        </is>
      </c>
      <c r="C1941" s="7">
        <f>VLOOKUP(A1941,SizeData!A$2:B$3839,2,FALSE)</f>
        <v/>
      </c>
      <c r="D1941" s="6" t="n">
        <v>1</v>
      </c>
      <c r="E1941" s="6" t="inlineStr">
        <is>
          <t>R1592767</t>
        </is>
      </c>
      <c r="F1941" s="2" t="n">
        <v>44683</v>
      </c>
      <c r="G1941" s="1" t="n"/>
    </row>
    <row r="1942">
      <c r="A1942" s="6" t="n">
        <v>466271</v>
      </c>
      <c r="B1942" s="6" t="inlineStr">
        <is>
          <t>FLIP FLOP CABERNET SAUVIGNON</t>
        </is>
      </c>
      <c r="C1942" s="7">
        <f>VLOOKUP(A1942,SizeData!A$2:B$3839,2,FALSE)</f>
        <v/>
      </c>
      <c r="D1942" s="6" t="n">
        <v>1</v>
      </c>
      <c r="E1942" s="6" t="inlineStr">
        <is>
          <t>R1660776</t>
        </is>
      </c>
      <c r="F1942" s="2" t="n">
        <v>44733</v>
      </c>
      <c r="G1942" s="1" t="n"/>
    </row>
    <row r="1943">
      <c r="A1943" s="26" t="n">
        <v>466271</v>
      </c>
      <c r="B1943" s="26" t="inlineStr">
        <is>
          <t>FLIP FLOP CABERNET SAUVIGNON</t>
        </is>
      </c>
      <c r="C1943" s="7">
        <f>VLOOKUP(A1943,SizeData!A$2:B$3839,2,FALSE)</f>
        <v/>
      </c>
      <c r="D1943" s="26" t="n">
        <v>1</v>
      </c>
      <c r="E1943" s="26" t="inlineStr">
        <is>
          <t>R1742052</t>
        </is>
      </c>
      <c r="F1943" s="61" t="n">
        <v>44795</v>
      </c>
      <c r="G1943" s="62" t="n"/>
    </row>
    <row r="1944">
      <c r="A1944" s="6" t="n">
        <v>466271</v>
      </c>
      <c r="B1944" s="6" t="inlineStr">
        <is>
          <t>FLIP FLOP CABERNET SAUVIGNON</t>
        </is>
      </c>
      <c r="C1944" s="7">
        <f>VLOOKUP(A1944,SizeData!A$2:B$3839,2,FALSE)</f>
        <v/>
      </c>
      <c r="D1944" s="6" t="n">
        <v>2</v>
      </c>
      <c r="E1944" s="6" t="inlineStr">
        <is>
          <t>R1747750</t>
        </is>
      </c>
      <c r="F1944" s="2" t="n">
        <v>44802</v>
      </c>
      <c r="G1944" s="1" t="n"/>
    </row>
    <row r="1945">
      <c r="A1945" s="6" t="n">
        <v>565371</v>
      </c>
      <c r="B1945" s="6" t="inlineStr">
        <is>
          <t>FLIP FLOP CHARDONNAY</t>
        </is>
      </c>
      <c r="C1945" s="7">
        <f>VLOOKUP(A1945,SizeData!A$2:B$3839,2,FALSE)</f>
        <v/>
      </c>
      <c r="D1945" s="6" t="n">
        <v>1</v>
      </c>
      <c r="E1945" s="6" t="inlineStr">
        <is>
          <t>R1497382</t>
        </is>
      </c>
      <c r="F1945" s="2" t="n">
        <v>44627</v>
      </c>
      <c r="G1945" s="1" t="n"/>
    </row>
    <row r="1946">
      <c r="A1946" s="6" t="n">
        <v>565371</v>
      </c>
      <c r="B1946" s="6" t="inlineStr">
        <is>
          <t>FLIP FLOP CHARDONNAY</t>
        </is>
      </c>
      <c r="C1946" s="7">
        <f>VLOOKUP(A1946,SizeData!A$2:B$3839,2,FALSE)</f>
        <v/>
      </c>
      <c r="D1946" s="6" t="n">
        <v>1</v>
      </c>
      <c r="E1946" s="6" t="inlineStr">
        <is>
          <t>R1592767</t>
        </is>
      </c>
      <c r="F1946" s="2" t="n">
        <v>44683</v>
      </c>
      <c r="G1946" s="1" t="n"/>
    </row>
    <row r="1947">
      <c r="A1947" s="6" t="n">
        <v>565377</v>
      </c>
      <c r="B1947" s="6" t="inlineStr">
        <is>
          <t>FLIP FLOP MOSCATO</t>
        </is>
      </c>
      <c r="C1947" s="7">
        <f>VLOOKUP(A1947,SizeData!A$2:B$3839,2,FALSE)</f>
        <v/>
      </c>
      <c r="D1947" s="6" t="n">
        <v>1</v>
      </c>
      <c r="E1947" s="6" t="inlineStr">
        <is>
          <t>R1647521</t>
        </is>
      </c>
      <c r="F1947" s="2" t="n">
        <v>44723</v>
      </c>
      <c r="G1947" s="1" t="n"/>
    </row>
    <row r="1948">
      <c r="A1948" s="6" t="n">
        <v>565377</v>
      </c>
      <c r="B1948" s="6" t="inlineStr">
        <is>
          <t>FLIP FLOP MOSCATO</t>
        </is>
      </c>
      <c r="C1948" s="7">
        <f>VLOOKUP(A1948,SizeData!A$2:B$3839,2,FALSE)</f>
        <v/>
      </c>
      <c r="D1948" s="6" t="n">
        <v>2</v>
      </c>
      <c r="E1948" s="6" t="inlineStr">
        <is>
          <t>R1661076</t>
        </is>
      </c>
      <c r="F1948" s="2" t="n">
        <v>44734</v>
      </c>
      <c r="G1948" s="1" t="n"/>
    </row>
    <row r="1949">
      <c r="A1949" s="6" t="n">
        <v>565377</v>
      </c>
      <c r="B1949" s="6" t="inlineStr">
        <is>
          <t>FLIP FLOP MOSCATO</t>
        </is>
      </c>
      <c r="C1949" s="7">
        <f>VLOOKUP(A1949,SizeData!A$2:B$3839,2,FALSE)</f>
        <v/>
      </c>
      <c r="D1949" s="6" t="n">
        <v>1</v>
      </c>
      <c r="E1949" s="6" t="inlineStr">
        <is>
          <t>R1725567</t>
        </is>
      </c>
      <c r="F1949" s="2" t="n">
        <v>44779</v>
      </c>
      <c r="G1949" s="1" t="n"/>
    </row>
    <row r="1950">
      <c r="A1950" s="6" t="n">
        <v>565377</v>
      </c>
      <c r="B1950" s="6" t="inlineStr">
        <is>
          <t>FLIP FLOP MOSCATO</t>
        </is>
      </c>
      <c r="C1950" s="7">
        <f>VLOOKUP(A1950,SizeData!A$2:B$3839,2,FALSE)</f>
        <v/>
      </c>
      <c r="D1950" s="6" t="n">
        <v>2</v>
      </c>
      <c r="E1950" s="6" t="inlineStr">
        <is>
          <t>R1906601</t>
        </is>
      </c>
      <c r="F1950" s="2" t="n">
        <v>44902</v>
      </c>
      <c r="G1950" s="1" t="n"/>
    </row>
    <row r="1951">
      <c r="A1951" s="6" t="n">
        <v>90298</v>
      </c>
      <c r="B1951" s="6" t="inlineStr">
        <is>
          <t>FONSECA BIN #27 PORT</t>
        </is>
      </c>
      <c r="C1951" s="7">
        <f>VLOOKUP(A1951,SizeData!A$2:B$3839,2,FALSE)</f>
        <v/>
      </c>
      <c r="D1951" s="6" t="n">
        <v>2</v>
      </c>
      <c r="E1951" s="6" t="inlineStr">
        <is>
          <t>R1410056</t>
        </is>
      </c>
      <c r="F1951" s="2" t="n">
        <v>44564</v>
      </c>
      <c r="G1951" s="1" t="n"/>
    </row>
    <row r="1952">
      <c r="A1952" s="6" t="n">
        <v>90298</v>
      </c>
      <c r="B1952" s="6" t="inlineStr">
        <is>
          <t>FONSECA BIN #27 PORT</t>
        </is>
      </c>
      <c r="C1952" s="7">
        <f>VLOOKUP(A1952,SizeData!A$2:B$3839,2,FALSE)</f>
        <v/>
      </c>
      <c r="D1952" s="6" t="n">
        <v>3</v>
      </c>
      <c r="E1952" s="6" t="inlineStr">
        <is>
          <t>R1472202</t>
        </is>
      </c>
      <c r="F1952" s="2" t="n">
        <v>44608</v>
      </c>
      <c r="G1952" s="1" t="n"/>
    </row>
    <row r="1953">
      <c r="A1953" s="6" t="n">
        <v>90298</v>
      </c>
      <c r="B1953" s="6" t="inlineStr">
        <is>
          <t>FONSECA BIN #27 PORT</t>
        </is>
      </c>
      <c r="C1953" s="7">
        <f>VLOOKUP(A1953,SizeData!A$2:B$3839,2,FALSE)</f>
        <v/>
      </c>
      <c r="D1953" s="6" t="n">
        <v>2</v>
      </c>
      <c r="E1953" s="6" t="inlineStr">
        <is>
          <t>R1469430</t>
        </is>
      </c>
      <c r="F1953" s="2" t="n">
        <v>44610</v>
      </c>
      <c r="G1953" s="1" t="n"/>
    </row>
    <row r="1954">
      <c r="A1954" s="6" t="n">
        <v>90298</v>
      </c>
      <c r="B1954" s="6" t="inlineStr">
        <is>
          <t>FONSECA BIN #27 PORT</t>
        </is>
      </c>
      <c r="C1954" s="7">
        <f>VLOOKUP(A1954,SizeData!A$2:B$3839,2,FALSE)</f>
        <v/>
      </c>
      <c r="D1954" s="6" t="n">
        <v>2</v>
      </c>
      <c r="E1954" s="6" t="inlineStr">
        <is>
          <t>R1830533</t>
        </is>
      </c>
      <c r="F1954" s="2" t="n">
        <v>44852</v>
      </c>
      <c r="G1954" s="1" t="n"/>
    </row>
    <row r="1955">
      <c r="A1955" s="6" t="n">
        <v>90298</v>
      </c>
      <c r="B1955" s="6" t="inlineStr">
        <is>
          <t>FONSECA BIN #27 PORT</t>
        </is>
      </c>
      <c r="C1955" s="7">
        <f>VLOOKUP(A1955,SizeData!A$2:B$3839,2,FALSE)</f>
        <v/>
      </c>
      <c r="D1955" s="6" t="n">
        <v>2</v>
      </c>
      <c r="E1955" s="6" t="inlineStr">
        <is>
          <t>R1816996</t>
        </is>
      </c>
      <c r="F1955" s="2" t="n">
        <v>44859</v>
      </c>
      <c r="G1955" s="1" t="n"/>
    </row>
    <row r="1956">
      <c r="A1956" s="6" t="n">
        <v>18351</v>
      </c>
      <c r="B1956" s="6" t="inlineStr">
        <is>
          <t>FOUR ROSES KENTUCKY STRAIGHT BOURBON</t>
        </is>
      </c>
      <c r="C1956" s="7">
        <f>VLOOKUP(A1956,SizeData!A$2:B$3839,2,FALSE)</f>
        <v/>
      </c>
      <c r="D1956" s="6" t="n">
        <v>2</v>
      </c>
      <c r="E1956" s="6" t="inlineStr">
        <is>
          <t>R1538126</t>
        </is>
      </c>
      <c r="F1956" s="2" t="n">
        <v>44648</v>
      </c>
      <c r="G1956" s="1" t="n"/>
    </row>
    <row r="1957">
      <c r="A1957" s="6" t="n">
        <v>18351</v>
      </c>
      <c r="B1957" s="6" t="inlineStr">
        <is>
          <t>FOUR ROSES KENTUCKY STRAIGHT BOURBON</t>
        </is>
      </c>
      <c r="C1957" s="7">
        <f>VLOOKUP(A1957,SizeData!A$2:B$3839,2,FALSE)</f>
        <v/>
      </c>
      <c r="D1957" s="6" t="n">
        <v>2</v>
      </c>
      <c r="E1957" s="6" t="inlineStr">
        <is>
          <t>R1906505</t>
        </is>
      </c>
      <c r="F1957" s="2" t="n">
        <v>44902</v>
      </c>
      <c r="G1957" s="1" t="n"/>
    </row>
    <row r="1958">
      <c r="A1958" s="6" t="n">
        <v>18352</v>
      </c>
      <c r="B1958" s="6" t="inlineStr">
        <is>
          <t>FOUR ROSES KENTUCKY STRAIGHT BOURBON</t>
        </is>
      </c>
      <c r="C1958" s="7">
        <f>VLOOKUP(A1958,SizeData!A$2:B$3839,2,FALSE)</f>
        <v/>
      </c>
      <c r="D1958" s="6" t="n">
        <v>1</v>
      </c>
      <c r="E1958" s="6" t="inlineStr">
        <is>
          <t>R1538126</t>
        </is>
      </c>
      <c r="F1958" s="2" t="n">
        <v>44648</v>
      </c>
      <c r="G1958" s="1" t="n"/>
    </row>
    <row r="1959">
      <c r="A1959" s="6" t="n">
        <v>18352</v>
      </c>
      <c r="B1959" s="6" t="inlineStr">
        <is>
          <t>FOUR ROSES KENTUCKY STRAIGHT BOURBON</t>
        </is>
      </c>
      <c r="C1959" s="7">
        <f>VLOOKUP(A1959,SizeData!A$2:B$3839,2,FALSE)</f>
        <v/>
      </c>
      <c r="D1959" s="6" t="n">
        <v>2</v>
      </c>
      <c r="E1959" s="6" t="inlineStr">
        <is>
          <t>R1605719</t>
        </is>
      </c>
      <c r="F1959" s="2" t="n">
        <v>44685</v>
      </c>
      <c r="G1959" s="1" t="n"/>
    </row>
    <row r="1960">
      <c r="A1960" s="6" t="n">
        <v>18352</v>
      </c>
      <c r="B1960" s="6" t="inlineStr">
        <is>
          <t>FOUR ROSES KENTUCKY STRAIGHT BOURBON</t>
        </is>
      </c>
      <c r="C1960" s="7">
        <f>VLOOKUP(A1960,SizeData!A$2:B$3839,2,FALSE)</f>
        <v/>
      </c>
      <c r="D1960" s="6" t="n">
        <v>1</v>
      </c>
      <c r="E1960" s="6" t="inlineStr">
        <is>
          <t>R1602916</t>
        </is>
      </c>
      <c r="F1960" s="2" t="n">
        <v>44690</v>
      </c>
      <c r="G1960" s="1" t="n"/>
    </row>
    <row r="1961">
      <c r="A1961" s="6" t="n">
        <v>18352</v>
      </c>
      <c r="B1961" s="6" t="inlineStr">
        <is>
          <t>FOUR ROSES KENTUCKY STRAIGHT BOURBON</t>
        </is>
      </c>
      <c r="C1961" s="7">
        <f>VLOOKUP(A1961,SizeData!A$2:B$3839,2,FALSE)</f>
        <v/>
      </c>
      <c r="D1961" s="6" t="n">
        <v>2</v>
      </c>
      <c r="E1961" s="6" t="inlineStr">
        <is>
          <t>R1906505</t>
        </is>
      </c>
      <c r="F1961" s="2" t="n">
        <v>44902</v>
      </c>
      <c r="G1961" s="1" t="n"/>
    </row>
    <row r="1962">
      <c r="A1962" s="6" t="n">
        <v>18348</v>
      </c>
      <c r="B1962" s="6" t="inlineStr">
        <is>
          <t>FOUR ROSES SMALL BATCH KENTUCKY BOURBON</t>
        </is>
      </c>
      <c r="C1962" s="7">
        <f>VLOOKUP(A1962,SizeData!A$2:B$3839,2,FALSE)</f>
        <v/>
      </c>
      <c r="D1962" s="6" t="n">
        <v>1</v>
      </c>
      <c r="E1962" s="6" t="inlineStr">
        <is>
          <t>R1461859</t>
        </is>
      </c>
      <c r="F1962" s="2" t="n">
        <v>44606</v>
      </c>
      <c r="G1962" s="1" t="n"/>
    </row>
    <row r="1963">
      <c r="A1963" s="6" t="n">
        <v>18348</v>
      </c>
      <c r="B1963" s="6" t="inlineStr">
        <is>
          <t>FOUR ROSES SMALL BATCH KENTUCKY BOURBON</t>
        </is>
      </c>
      <c r="C1963" s="7">
        <f>VLOOKUP(A1963,SizeData!A$2:B$3839,2,FALSE)</f>
        <v/>
      </c>
      <c r="D1963" s="6" t="n">
        <v>1</v>
      </c>
      <c r="E1963" s="6" t="inlineStr">
        <is>
          <t>R1620910</t>
        </is>
      </c>
      <c r="F1963" s="2" t="n">
        <v>44694</v>
      </c>
      <c r="G1963" s="1" t="n"/>
    </row>
    <row r="1964">
      <c r="A1964" s="6" t="n">
        <v>18348</v>
      </c>
      <c r="B1964" s="6" t="inlineStr">
        <is>
          <t>FOUR ROSES SMALL BATCH KENTUCKY BOURBON</t>
        </is>
      </c>
      <c r="C1964" s="7">
        <f>VLOOKUP(A1964,SizeData!A$2:B$3839,2,FALSE)</f>
        <v/>
      </c>
      <c r="D1964" s="6" t="n">
        <v>1</v>
      </c>
      <c r="E1964" s="6" t="inlineStr">
        <is>
          <t>R1744939</t>
        </is>
      </c>
      <c r="F1964" s="2" t="n">
        <v>44804</v>
      </c>
      <c r="G1964" s="1" t="n"/>
    </row>
    <row r="1965">
      <c r="A1965" s="6" t="n">
        <v>18348</v>
      </c>
      <c r="B1965" s="6" t="inlineStr">
        <is>
          <t>FOUR ROSES SMALL BATCH KENTUCKY BOURBON</t>
        </is>
      </c>
      <c r="C1965" s="7">
        <f>VLOOKUP(A1965,SizeData!A$2:B$3839,2,FALSE)</f>
        <v/>
      </c>
      <c r="D1965" s="6" t="n">
        <v>2</v>
      </c>
      <c r="E1965" s="6" t="inlineStr">
        <is>
          <t>R1906505</t>
        </is>
      </c>
      <c r="F1965" s="2" t="n">
        <v>44902</v>
      </c>
      <c r="G1965" s="1" t="n"/>
    </row>
    <row r="1966">
      <c r="A1966" s="6" t="n">
        <v>18376</v>
      </c>
      <c r="B1966" s="6" t="inlineStr">
        <is>
          <t>FOUR ROSES SMALL BATCH SELECT BOURBON</t>
        </is>
      </c>
      <c r="C1966" s="7">
        <f>VLOOKUP(A1966,SizeData!A$2:B$3839,2,FALSE)</f>
        <v/>
      </c>
      <c r="D1966" s="6" t="n">
        <v>1</v>
      </c>
      <c r="E1966" s="6" t="inlineStr">
        <is>
          <t>R1613626</t>
        </is>
      </c>
      <c r="F1966" s="2" t="n">
        <v>44697</v>
      </c>
      <c r="G1966" s="1" t="n"/>
    </row>
    <row r="1967">
      <c r="A1967" s="39" t="n">
        <v>18376</v>
      </c>
      <c r="B1967" s="39" t="inlineStr">
        <is>
          <t>FOUR ROSES SMALL BATCH SELECT BOURBON</t>
        </is>
      </c>
      <c r="C1967" s="7">
        <f>VLOOKUP(A1967,SizeData!A$2:B$3839,2,FALSE)</f>
        <v/>
      </c>
      <c r="D1967" s="39" t="n">
        <v>1</v>
      </c>
      <c r="E1967" s="39" t="inlineStr">
        <is>
          <t>R1664209</t>
        </is>
      </c>
      <c r="F1967" s="40" t="n">
        <v>44739</v>
      </c>
      <c r="G1967" s="41" t="n"/>
    </row>
    <row r="1968">
      <c r="A1968" s="6" t="n">
        <v>886300</v>
      </c>
      <c r="B1968" s="6" t="inlineStr">
        <is>
          <t>FRANZIA FRUITY RED SANGRIA</t>
        </is>
      </c>
      <c r="C1968" s="7">
        <f>VLOOKUP(A1968,SizeData!A$2:B$3839,2,FALSE)</f>
        <v/>
      </c>
      <c r="D1968" s="6" t="n">
        <v>1</v>
      </c>
      <c r="E1968" s="6" t="inlineStr">
        <is>
          <t xml:space="preserve"> R1368459</t>
        </is>
      </c>
      <c r="F1968" s="2" t="n">
        <v>44546</v>
      </c>
      <c r="G1968" s="1" t="n"/>
    </row>
    <row r="1969">
      <c r="A1969" s="65" t="n">
        <v>886300</v>
      </c>
      <c r="B1969" s="65" t="inlineStr">
        <is>
          <t>FRANZIA FRUITY RED SANGRIA</t>
        </is>
      </c>
      <c r="C1969" s="7">
        <f>VLOOKUP(A1969,SizeData!A$2:B$3839,2,FALSE)</f>
        <v/>
      </c>
      <c r="D1969" s="65" t="n">
        <v>1</v>
      </c>
      <c r="E1969" s="6" t="inlineStr">
        <is>
          <t>R1412656</t>
        </is>
      </c>
      <c r="F1969" s="2" t="n">
        <v>44574</v>
      </c>
      <c r="G1969" s="1" t="n"/>
    </row>
    <row r="1970">
      <c r="A1970" s="6" t="n">
        <v>886300</v>
      </c>
      <c r="B1970" s="6" t="inlineStr">
        <is>
          <t>FRANZIA FRUITY RED SANGRIA</t>
        </is>
      </c>
      <c r="C1970" s="7">
        <f>VLOOKUP(A1970,SizeData!A$2:B$3839,2,FALSE)</f>
        <v/>
      </c>
      <c r="D1970" s="6" t="n">
        <v>1</v>
      </c>
      <c r="E1970" s="6" t="inlineStr">
        <is>
          <t>R1437002</t>
        </is>
      </c>
      <c r="F1970" s="2" t="n">
        <v>44586</v>
      </c>
      <c r="G1970" s="1" t="n"/>
    </row>
    <row r="1971">
      <c r="A1971" s="6" t="n">
        <v>886300</v>
      </c>
      <c r="B1971" s="6" t="inlineStr">
        <is>
          <t>FRANZIA FRUITY RED SANGRIA</t>
        </is>
      </c>
      <c r="C1971" s="7">
        <f>VLOOKUP(A1971,SizeData!A$2:B$3839,2,FALSE)</f>
        <v/>
      </c>
      <c r="D1971" s="6" t="n">
        <v>2</v>
      </c>
      <c r="E1971" s="6" t="inlineStr">
        <is>
          <t>R1465191</t>
        </is>
      </c>
      <c r="F1971" s="2" t="n">
        <v>44602</v>
      </c>
      <c r="G1971" s="1" t="n"/>
    </row>
    <row r="1972">
      <c r="A1972" s="6" t="n">
        <v>886300</v>
      </c>
      <c r="B1972" s="6" t="inlineStr">
        <is>
          <t>FRANZIA FRUITY RED SANGRIA</t>
        </is>
      </c>
      <c r="C1972" s="7">
        <f>VLOOKUP(A1972,SizeData!A$2:B$3839,2,FALSE)</f>
        <v/>
      </c>
      <c r="D1972" s="6" t="n">
        <v>1</v>
      </c>
      <c r="E1972" s="6" t="inlineStr">
        <is>
          <t>R1497382</t>
        </is>
      </c>
      <c r="F1972" s="2" t="n">
        <v>44627</v>
      </c>
      <c r="G1972" s="1" t="n"/>
    </row>
    <row r="1973">
      <c r="A1973" s="6" t="n">
        <v>886300</v>
      </c>
      <c r="B1973" s="6" t="inlineStr">
        <is>
          <t>FRANZIA FRUITY RED SANGRIA</t>
        </is>
      </c>
      <c r="C1973" s="7">
        <f>VLOOKUP(A1973,SizeData!A$2:B$3839,2,FALSE)</f>
        <v/>
      </c>
      <c r="D1973" s="6" t="n">
        <v>3</v>
      </c>
      <c r="E1973" s="6" t="inlineStr">
        <is>
          <t>R1527308</t>
        </is>
      </c>
      <c r="F1973" s="2" t="n">
        <v>44639</v>
      </c>
      <c r="G1973" s="1" t="n"/>
    </row>
    <row r="1974">
      <c r="A1974" s="6" t="n">
        <v>886300</v>
      </c>
      <c r="B1974" s="6" t="inlineStr">
        <is>
          <t>FRANZIA FRUITY RED SANGRIA</t>
        </is>
      </c>
      <c r="C1974" s="7">
        <f>VLOOKUP(A1974,SizeData!A$2:B$3839,2,FALSE)</f>
        <v/>
      </c>
      <c r="D1974" s="6" t="n">
        <v>1</v>
      </c>
      <c r="E1974" s="6" t="inlineStr">
        <is>
          <t>R1628381</t>
        </is>
      </c>
      <c r="F1974" s="2" t="n">
        <v>44713</v>
      </c>
      <c r="G1974" s="1" t="n"/>
    </row>
    <row r="1975">
      <c r="A1975" s="6" t="n">
        <v>886300</v>
      </c>
      <c r="B1975" s="6" t="inlineStr">
        <is>
          <t>FRANZIA FRUITY RED SANGRIA</t>
        </is>
      </c>
      <c r="C1975" s="7">
        <f>VLOOKUP(A1975,SizeData!A$2:B$3839,2,FALSE)</f>
        <v/>
      </c>
      <c r="D1975" s="6" t="n">
        <v>1</v>
      </c>
      <c r="E1975" s="6" t="inlineStr">
        <is>
          <t>R1658904</t>
        </is>
      </c>
      <c r="F1975" s="2" t="n">
        <v>44732</v>
      </c>
      <c r="G1975" s="1" t="n"/>
    </row>
    <row r="1976">
      <c r="A1976" s="6" t="n">
        <v>886300</v>
      </c>
      <c r="B1976" s="6" t="inlineStr">
        <is>
          <t>FRANZIA FRUITY RED SANGRIA</t>
        </is>
      </c>
      <c r="C1976" s="7">
        <f>VLOOKUP(A1976,SizeData!A$2:B$3839,2,FALSE)</f>
        <v/>
      </c>
      <c r="D1976" s="6" t="n">
        <v>1</v>
      </c>
      <c r="E1976" s="6" t="inlineStr">
        <is>
          <t>R1661076</t>
        </is>
      </c>
      <c r="F1976" s="2" t="n">
        <v>44734</v>
      </c>
      <c r="G1976" s="1" t="n"/>
    </row>
    <row r="1977">
      <c r="A1977" s="26" t="n">
        <v>886300</v>
      </c>
      <c r="B1977" s="26" t="inlineStr">
        <is>
          <t>FRANZIA FRUITY RED SANGRIA</t>
        </is>
      </c>
      <c r="C1977" s="7">
        <f>VLOOKUP(A1977,SizeData!A$2:B$3839,2,FALSE)</f>
        <v/>
      </c>
      <c r="D1977" s="26" t="n">
        <v>1</v>
      </c>
      <c r="E1977" s="26" t="inlineStr">
        <is>
          <t>R1698359</t>
        </is>
      </c>
      <c r="F1977" s="61" t="n">
        <v>44765</v>
      </c>
      <c r="G1977" s="62" t="n"/>
    </row>
    <row r="1978">
      <c r="A1978" s="6" t="n">
        <v>886300</v>
      </c>
      <c r="B1978" s="6" t="inlineStr">
        <is>
          <t>FRANZIA FRUITY RED SANGRIA</t>
        </is>
      </c>
      <c r="C1978" s="7">
        <f>VLOOKUP(A1978,SizeData!A$2:B$3839,2,FALSE)</f>
        <v/>
      </c>
      <c r="D1978" s="6" t="n">
        <v>1</v>
      </c>
      <c r="E1978" s="6" t="inlineStr">
        <is>
          <t>R1702988</t>
        </is>
      </c>
      <c r="F1978" s="2" t="n">
        <v>44771</v>
      </c>
      <c r="G1978" s="1" t="n"/>
    </row>
    <row r="1979">
      <c r="A1979" s="6" t="n">
        <v>886300</v>
      </c>
      <c r="B1979" s="6" t="inlineStr">
        <is>
          <t>FRANZIA FRUITY RED SANGRIA</t>
        </is>
      </c>
      <c r="C1979" s="7">
        <f>VLOOKUP(A1979,SizeData!A$2:B$3839,2,FALSE)</f>
        <v/>
      </c>
      <c r="D1979" s="6" t="n">
        <v>1</v>
      </c>
      <c r="E1979" s="6" t="inlineStr">
        <is>
          <t>R1749860</t>
        </is>
      </c>
      <c r="F1979" s="2" t="n">
        <v>44811</v>
      </c>
      <c r="G1979" s="1" t="n"/>
    </row>
    <row r="1980">
      <c r="A1980" s="6" t="n">
        <v>886300</v>
      </c>
      <c r="B1980" s="6" t="inlineStr">
        <is>
          <t>FRANZIA FRUITY RED SANGRIA</t>
        </is>
      </c>
      <c r="C1980" s="7">
        <f>VLOOKUP(A1980,SizeData!A$2:B$3839,2,FALSE)</f>
        <v/>
      </c>
      <c r="D1980" s="6" t="n">
        <v>1</v>
      </c>
      <c r="E1980" s="6" t="inlineStr">
        <is>
          <t>R1772446</t>
        </is>
      </c>
      <c r="F1980" s="2" t="n">
        <v>44821</v>
      </c>
      <c r="G1980" s="1" t="n"/>
    </row>
    <row r="1981">
      <c r="A1981" s="6" t="n">
        <v>886300</v>
      </c>
      <c r="B1981" s="6" t="inlineStr">
        <is>
          <t>FRANZIA FRUITY RED SANGRIA</t>
        </is>
      </c>
      <c r="C1981" s="7">
        <f>VLOOKUP(A1981,SizeData!A$2:B$3839,2,FALSE)</f>
        <v/>
      </c>
      <c r="D1981" s="6" t="n">
        <v>1</v>
      </c>
      <c r="E1981" s="6" t="inlineStr">
        <is>
          <t>R1791500</t>
        </is>
      </c>
      <c r="F1981" s="2" t="n">
        <v>44835</v>
      </c>
      <c r="G1981" s="1" t="n"/>
    </row>
    <row r="1982">
      <c r="A1982" s="6" t="n">
        <v>886300</v>
      </c>
      <c r="B1982" s="6" t="inlineStr">
        <is>
          <t>FRANZIA FRUITY RED SANGRIA</t>
        </is>
      </c>
      <c r="C1982" s="7">
        <f>VLOOKUP(A1982,SizeData!A$2:B$3839,2,FALSE)</f>
        <v/>
      </c>
      <c r="D1982" s="6" t="n">
        <v>2</v>
      </c>
      <c r="E1982" s="6" t="inlineStr">
        <is>
          <t>R1868532</t>
        </is>
      </c>
      <c r="F1982" s="2" t="n">
        <v>44880</v>
      </c>
      <c r="G1982" s="1" t="n"/>
    </row>
    <row r="1983">
      <c r="A1983" s="6" t="n">
        <v>467800</v>
      </c>
      <c r="B1983" s="6" t="inlineStr">
        <is>
          <t>FRANZIA HOUSE WINE FAV CHILLABLE RED</t>
        </is>
      </c>
      <c r="C1983" s="7">
        <f>VLOOKUP(A1983,SizeData!A$2:B$3839,2,FALSE)</f>
        <v/>
      </c>
      <c r="D1983" s="6" t="n">
        <v>2</v>
      </c>
      <c r="E1983" s="6" t="inlineStr">
        <is>
          <t>R1373904</t>
        </is>
      </c>
      <c r="F1983" s="2" t="n">
        <v>44545</v>
      </c>
      <c r="G1983" s="1" t="n"/>
    </row>
    <row r="1984">
      <c r="A1984" s="6" t="n">
        <v>467800</v>
      </c>
      <c r="B1984" s="6" t="inlineStr">
        <is>
          <t>FRANZIA HOUSE WINE FAV CHILLABLE RED</t>
        </is>
      </c>
      <c r="C1984" s="7">
        <f>VLOOKUP(A1984,SizeData!A$2:B$3839,2,FALSE)</f>
        <v/>
      </c>
      <c r="D1984" s="6" t="n">
        <v>3</v>
      </c>
      <c r="E1984" s="6" t="inlineStr">
        <is>
          <t>R1402608</t>
        </is>
      </c>
      <c r="F1984" s="2" t="n">
        <v>44562</v>
      </c>
      <c r="G1984" s="1" t="n"/>
    </row>
    <row r="1985">
      <c r="A1985" s="6" t="n">
        <v>467800</v>
      </c>
      <c r="B1985" s="6" t="inlineStr">
        <is>
          <t>FRANZIA HOUSE WINE FAV CHILLABLE RED</t>
        </is>
      </c>
      <c r="C1985" s="7">
        <f>VLOOKUP(A1985,SizeData!A$2:B$3839,2,FALSE)</f>
        <v/>
      </c>
      <c r="D1985" s="6" t="n">
        <v>8</v>
      </c>
      <c r="E1985" s="6" t="inlineStr">
        <is>
          <t>R1428392</t>
        </is>
      </c>
      <c r="F1985" s="2" t="n">
        <v>44585</v>
      </c>
      <c r="G1985" s="1" t="n"/>
    </row>
    <row r="1986">
      <c r="A1986" s="6" t="n">
        <v>467800</v>
      </c>
      <c r="B1986" s="6" t="inlineStr">
        <is>
          <t>FRANZIA HOUSE WINE FAV CHILLABLE RED</t>
        </is>
      </c>
      <c r="C1986" s="7">
        <f>VLOOKUP(A1986,SizeData!A$2:B$3839,2,FALSE)</f>
        <v/>
      </c>
      <c r="D1986" s="6" t="n">
        <v>3</v>
      </c>
      <c r="E1986" s="6" t="inlineStr">
        <is>
          <t>R1471448</t>
        </is>
      </c>
      <c r="F1986" s="2" t="n">
        <v>44610</v>
      </c>
      <c r="G1986" s="1" t="n"/>
    </row>
    <row r="1987">
      <c r="A1987" s="6" t="n">
        <v>467800</v>
      </c>
      <c r="B1987" s="6" t="inlineStr">
        <is>
          <t>FRANZIA HOUSE WINE FAV CHILLABLE RED</t>
        </is>
      </c>
      <c r="C1987" s="7">
        <f>VLOOKUP(A1987,SizeData!A$2:B$3839,2,FALSE)</f>
        <v/>
      </c>
      <c r="D1987" s="6" t="n">
        <v>1</v>
      </c>
      <c r="E1987" s="6" t="inlineStr">
        <is>
          <t>R1471889</t>
        </is>
      </c>
      <c r="F1987" s="2" t="n">
        <v>44611</v>
      </c>
      <c r="G1987" s="1" t="n"/>
    </row>
    <row r="1988">
      <c r="A1988" s="6" t="n">
        <v>467800</v>
      </c>
      <c r="B1988" s="6" t="inlineStr">
        <is>
          <t>FRANZIA HOUSE WINE FAV CHILLABLE RED</t>
        </is>
      </c>
      <c r="C1988" s="7">
        <f>VLOOKUP(A1988,SizeData!A$2:B$3839,2,FALSE)</f>
        <v/>
      </c>
      <c r="D1988" s="6" t="n">
        <v>1</v>
      </c>
      <c r="E1988" s="6" t="inlineStr">
        <is>
          <t>R1471479</t>
        </is>
      </c>
      <c r="F1988" s="2" t="n">
        <v>44614</v>
      </c>
      <c r="G1988" s="1" t="n"/>
    </row>
    <row r="1989">
      <c r="A1989" s="6" t="n">
        <v>467800</v>
      </c>
      <c r="B1989" s="6" t="inlineStr">
        <is>
          <t>FRANZIA HOUSE WINE FAV CHILLABLE RED</t>
        </is>
      </c>
      <c r="C1989" s="7">
        <f>VLOOKUP(A1989,SizeData!A$2:B$3839,2,FALSE)</f>
        <v/>
      </c>
      <c r="D1989" s="6" t="n">
        <v>3</v>
      </c>
      <c r="E1989" s="6" t="inlineStr">
        <is>
          <t>R1501158</t>
        </is>
      </c>
      <c r="F1989" s="2" t="n">
        <v>44627</v>
      </c>
      <c r="G1989" s="1" t="n"/>
    </row>
    <row r="1990">
      <c r="A1990" s="6" t="n">
        <v>467800</v>
      </c>
      <c r="B1990" s="6" t="inlineStr">
        <is>
          <t>FRANZIA HOUSE WINE FAV CHILLABLE RED</t>
        </is>
      </c>
      <c r="C1990" s="7">
        <f>VLOOKUP(A1990,SizeData!A$2:B$3839,2,FALSE)</f>
        <v/>
      </c>
      <c r="D1990" s="6" t="n">
        <v>2</v>
      </c>
      <c r="E1990" s="6" t="inlineStr">
        <is>
          <t>R1489956</t>
        </is>
      </c>
      <c r="F1990" s="2" t="n">
        <v>44631</v>
      </c>
      <c r="G1990" s="1" t="n"/>
    </row>
    <row r="1991">
      <c r="A1991" s="6" t="n">
        <v>467800</v>
      </c>
      <c r="B1991" s="6" t="inlineStr">
        <is>
          <t>FRANZIA HOUSE WINE FAV CHILLABLE RED</t>
        </is>
      </c>
      <c r="C1991" s="7">
        <f>VLOOKUP(A1991,SizeData!A$2:B$3839,2,FALSE)</f>
        <v/>
      </c>
      <c r="D1991" s="6" t="n">
        <v>1</v>
      </c>
      <c r="E1991" s="6" t="inlineStr">
        <is>
          <t>R1528002</t>
        </is>
      </c>
      <c r="F1991" s="2" t="n">
        <v>44641</v>
      </c>
      <c r="G1991" s="1" t="n"/>
    </row>
    <row r="1992">
      <c r="A1992" s="6" t="n">
        <v>467800</v>
      </c>
      <c r="B1992" s="6" t="inlineStr">
        <is>
          <t>FRANZIA HOUSE WINE FAV CHILLABLE RED</t>
        </is>
      </c>
      <c r="C1992" s="7">
        <f>VLOOKUP(A1992,SizeData!A$2:B$3839,2,FALSE)</f>
        <v/>
      </c>
      <c r="D1992" s="6" t="n">
        <v>2</v>
      </c>
      <c r="E1992" s="6" t="inlineStr">
        <is>
          <t>R1548197</t>
        </is>
      </c>
      <c r="F1992" s="2" t="n">
        <v>44657</v>
      </c>
      <c r="G1992" s="1" t="n"/>
    </row>
    <row r="1993">
      <c r="A1993" s="6" t="n">
        <v>467800</v>
      </c>
      <c r="B1993" s="6" t="inlineStr">
        <is>
          <t>FRANZIA HOUSE WINE FAV CHILLABLE RED</t>
        </is>
      </c>
      <c r="C1993" s="7">
        <f>VLOOKUP(A1993,SizeData!A$2:B$3839,2,FALSE)</f>
        <v/>
      </c>
      <c r="D1993" s="6" t="n">
        <v>6</v>
      </c>
      <c r="E1993" s="6" t="inlineStr">
        <is>
          <t>R1556367</t>
        </is>
      </c>
      <c r="F1993" s="2" t="n">
        <v>44664</v>
      </c>
      <c r="G1993" s="1" t="n"/>
    </row>
    <row r="1994">
      <c r="A1994" s="6" t="n">
        <v>467800</v>
      </c>
      <c r="B1994" s="6" t="inlineStr">
        <is>
          <t>FRANZIA HOUSE WINE FAV CHILLABLE RED</t>
        </is>
      </c>
      <c r="C1994" s="7">
        <f>VLOOKUP(A1994,SizeData!A$2:B$3839,2,FALSE)</f>
        <v/>
      </c>
      <c r="D1994" s="6" t="n">
        <v>3</v>
      </c>
      <c r="E1994" s="6" t="inlineStr">
        <is>
          <t>R1569610</t>
        </is>
      </c>
      <c r="F1994" s="2" t="n">
        <v>44669</v>
      </c>
      <c r="G1994" s="1" t="n"/>
    </row>
    <row r="1995">
      <c r="A1995" s="6" t="n">
        <v>467800</v>
      </c>
      <c r="B1995" s="6" t="inlineStr">
        <is>
          <t>FRANZIA HOUSE WINE FAV CHILLABLE RED</t>
        </is>
      </c>
      <c r="C1995" s="7">
        <f>VLOOKUP(A1995,SizeData!A$2:B$3839,2,FALSE)</f>
        <v/>
      </c>
      <c r="D1995" s="6" t="n">
        <v>2</v>
      </c>
      <c r="E1995" s="6" t="inlineStr">
        <is>
          <t>R1684665</t>
        </is>
      </c>
      <c r="F1995" s="2" t="n">
        <v>44765</v>
      </c>
      <c r="G1995" s="1" t="n"/>
    </row>
    <row r="1996">
      <c r="A1996" s="6" t="n">
        <v>467800</v>
      </c>
      <c r="B1996" s="6" t="inlineStr">
        <is>
          <t>FRANZIA HOUSE WINE FAV CHILLABLE RED</t>
        </is>
      </c>
      <c r="C1996" s="7">
        <f>VLOOKUP(A1996,SizeData!A$2:B$3839,2,FALSE)</f>
        <v/>
      </c>
      <c r="D1996" s="6" t="n">
        <v>2</v>
      </c>
      <c r="E1996" s="6" t="inlineStr">
        <is>
          <t>R1734629</t>
        </is>
      </c>
      <c r="F1996" s="2" t="n">
        <v>44792</v>
      </c>
      <c r="G1996" s="1" t="n"/>
    </row>
    <row r="1997">
      <c r="A1997" s="6" t="n">
        <v>467800</v>
      </c>
      <c r="B1997" s="6" t="inlineStr">
        <is>
          <t>FRANZIA HOUSE WINE FAV CHILLABLE RED</t>
        </is>
      </c>
      <c r="C1997" s="7">
        <f>VLOOKUP(A1997,SizeData!A$2:B$3839,2,FALSE)</f>
        <v/>
      </c>
      <c r="D1997" s="6" t="n">
        <v>1</v>
      </c>
      <c r="E1997" s="6" t="inlineStr">
        <is>
          <t>R1762606</t>
        </is>
      </c>
      <c r="F1997" s="2" t="n">
        <v>44809</v>
      </c>
      <c r="G1997" s="1" t="n"/>
    </row>
    <row r="1998">
      <c r="A1998" s="6" t="n">
        <v>467800</v>
      </c>
      <c r="B1998" s="6" t="inlineStr">
        <is>
          <t>FRANZIA HOUSE WINE FAV CHILLABLE RED</t>
        </is>
      </c>
      <c r="C1998" s="7">
        <f>VLOOKUP(A1998,SizeData!A$2:B$3839,2,FALSE)</f>
        <v/>
      </c>
      <c r="D1998" s="6" t="n">
        <v>2</v>
      </c>
      <c r="E1998" s="6" t="inlineStr">
        <is>
          <t>R1767069</t>
        </is>
      </c>
      <c r="F1998" s="2" t="n">
        <v>44814</v>
      </c>
      <c r="G1998" s="1" t="n"/>
    </row>
    <row r="1999">
      <c r="A1999" s="6" t="n">
        <v>467800</v>
      </c>
      <c r="B1999" s="6" t="inlineStr">
        <is>
          <t>FRANZIA HOUSE WINE FAV CHILLABLE RED</t>
        </is>
      </c>
      <c r="C1999" s="7">
        <f>VLOOKUP(A1999,SizeData!A$2:B$3839,2,FALSE)</f>
        <v/>
      </c>
      <c r="D1999" s="6" t="n">
        <v>2</v>
      </c>
      <c r="E1999" s="6" t="inlineStr">
        <is>
          <t>R1768452</t>
        </is>
      </c>
      <c r="F1999" s="2" t="n">
        <v>44818</v>
      </c>
      <c r="G1999" s="1" t="n"/>
    </row>
    <row r="2000">
      <c r="A2000" s="6" t="n">
        <v>467800</v>
      </c>
      <c r="B2000" s="6" t="inlineStr">
        <is>
          <t>FRANZIA HOUSE WINE FAV CHILLABLE RED</t>
        </is>
      </c>
      <c r="C2000" s="7">
        <f>VLOOKUP(A2000,SizeData!A$2:B$3839,2,FALSE)</f>
        <v/>
      </c>
      <c r="D2000" s="6" t="n">
        <v>1</v>
      </c>
      <c r="E2000" s="6" t="inlineStr">
        <is>
          <t>R1784903</t>
        </is>
      </c>
      <c r="F2000" s="2" t="n">
        <v>44828</v>
      </c>
      <c r="G2000" s="1" t="n"/>
    </row>
    <row r="2001">
      <c r="A2001" s="6" t="n">
        <v>467800</v>
      </c>
      <c r="B2001" s="6" t="inlineStr">
        <is>
          <t>FRANZIA HOUSE WINE FAV CHILLABLE RED</t>
        </is>
      </c>
      <c r="C2001" s="7">
        <f>VLOOKUP(A2001,SizeData!A$2:B$3839,2,FALSE)</f>
        <v/>
      </c>
      <c r="D2001" s="6" t="n">
        <v>2</v>
      </c>
      <c r="E2001" s="6" t="inlineStr">
        <is>
          <t>R1791500</t>
        </is>
      </c>
      <c r="F2001" s="2" t="n">
        <v>44835</v>
      </c>
      <c r="G2001" s="1" t="n"/>
    </row>
    <row r="2002">
      <c r="A2002" s="6" t="n">
        <v>467800</v>
      </c>
      <c r="B2002" s="6" t="inlineStr">
        <is>
          <t>FRANZIA HOUSE WINE FAV CHILLABLE RED</t>
        </is>
      </c>
      <c r="C2002" s="7">
        <f>VLOOKUP(A2002,SizeData!A$2:B$3839,2,FALSE)</f>
        <v/>
      </c>
      <c r="D2002" s="6" t="n">
        <v>4</v>
      </c>
      <c r="E2002" s="6" t="inlineStr">
        <is>
          <t>R1860108</t>
        </is>
      </c>
      <c r="F2002" s="2" t="n">
        <v>44868</v>
      </c>
      <c r="G2002" s="1" t="n"/>
    </row>
    <row r="2003">
      <c r="A2003" s="6" t="n">
        <v>467800</v>
      </c>
      <c r="B2003" s="6" t="inlineStr">
        <is>
          <t>FRANZIA HOUSE WINE FAV CHILLABLE RED</t>
        </is>
      </c>
      <c r="C2003" s="7">
        <f>VLOOKUP(A2003,SizeData!A$2:B$3839,2,FALSE)</f>
        <v/>
      </c>
      <c r="D2003" s="6" t="n">
        <v>2</v>
      </c>
      <c r="E2003" s="6" t="inlineStr">
        <is>
          <t>R1865535</t>
        </is>
      </c>
      <c r="F2003" s="2" t="n">
        <v>44879</v>
      </c>
      <c r="G2003" s="1" t="n"/>
    </row>
    <row r="2004">
      <c r="A2004" s="6" t="n">
        <v>566375</v>
      </c>
      <c r="B2004" s="6" t="inlineStr">
        <is>
          <t>FRANZIA HOUSE WINE FAV CRISP WHITE</t>
        </is>
      </c>
      <c r="C2004" s="7">
        <f>VLOOKUP(A2004,SizeData!A$2:B$3839,2,FALSE)</f>
        <v/>
      </c>
      <c r="D2004" s="6" t="n">
        <v>1</v>
      </c>
      <c r="E2004" s="6" t="inlineStr">
        <is>
          <t>R1431061</t>
        </is>
      </c>
      <c r="F2004" s="2" t="n">
        <v>44583</v>
      </c>
      <c r="G2004" s="1" t="n"/>
    </row>
    <row r="2005">
      <c r="A2005" s="6" t="n">
        <v>654625</v>
      </c>
      <c r="B2005" s="6" t="inlineStr">
        <is>
          <t>FRANZIA HOUSE WINE FAV SUNSET BLUSH</t>
        </is>
      </c>
      <c r="C2005" s="7">
        <f>VLOOKUP(A2005,SizeData!A$2:B$3839,2,FALSE)</f>
        <v/>
      </c>
      <c r="D2005" s="6" t="n">
        <v>1</v>
      </c>
      <c r="E2005" s="6" t="inlineStr">
        <is>
          <t>R1409636</t>
        </is>
      </c>
      <c r="F2005" s="2" t="n">
        <v>44572</v>
      </c>
      <c r="G2005" s="1" t="n"/>
    </row>
    <row r="2006">
      <c r="A2006" s="6" t="n">
        <v>654625</v>
      </c>
      <c r="B2006" s="6" t="inlineStr">
        <is>
          <t>FRANZIA HOUSE WINE FAV SUNSET BLUSH</t>
        </is>
      </c>
      <c r="C2006" s="7">
        <f>VLOOKUP(A2006,SizeData!A$2:B$3839,2,FALSE)</f>
        <v/>
      </c>
      <c r="D2006" s="6" t="n">
        <v>1</v>
      </c>
      <c r="E2006" s="6" t="inlineStr">
        <is>
          <t>R1431061</t>
        </is>
      </c>
      <c r="F2006" s="2" t="n">
        <v>44583</v>
      </c>
      <c r="G2006" s="1" t="n"/>
    </row>
    <row r="2007">
      <c r="A2007" s="6" t="n">
        <v>654625</v>
      </c>
      <c r="B2007" s="6" t="inlineStr">
        <is>
          <t>FRANZIA HOUSE WINE FAV SUNSET BLUSH</t>
        </is>
      </c>
      <c r="C2007" s="7">
        <f>VLOOKUP(A2007,SizeData!A$2:B$3839,2,FALSE)</f>
        <v/>
      </c>
      <c r="D2007" s="6" t="n">
        <v>1</v>
      </c>
      <c r="E2007" s="6" t="inlineStr">
        <is>
          <t>R1480080</t>
        </is>
      </c>
      <c r="F2007" s="2" t="n">
        <v>44611</v>
      </c>
      <c r="G2007" s="1" t="n"/>
    </row>
    <row r="2008">
      <c r="A2008" s="6" t="n">
        <v>654625</v>
      </c>
      <c r="B2008" s="6" t="inlineStr">
        <is>
          <t>FRANZIA HOUSE WINE FAV SUNSET BLUSH</t>
        </is>
      </c>
      <c r="C2008" s="7">
        <f>VLOOKUP(A2008,SizeData!A$2:B$3839,2,FALSE)</f>
        <v/>
      </c>
      <c r="D2008" s="6" t="n">
        <v>1</v>
      </c>
      <c r="E2008" s="6" t="inlineStr">
        <is>
          <t>R1548197</t>
        </is>
      </c>
      <c r="F2008" s="2" t="n">
        <v>44657</v>
      </c>
      <c r="G2008" s="1" t="n"/>
    </row>
    <row r="2009">
      <c r="A2009" s="6" t="n">
        <v>654625</v>
      </c>
      <c r="B2009" s="6" t="inlineStr">
        <is>
          <t>FRANZIA HOUSE WINE FAV SUNSET BLUSH</t>
        </is>
      </c>
      <c r="C2009" s="7">
        <f>VLOOKUP(A2009,SizeData!A$2:B$3839,2,FALSE)</f>
        <v/>
      </c>
      <c r="D2009" s="6" t="n">
        <v>1</v>
      </c>
      <c r="E2009" s="6" t="inlineStr">
        <is>
          <t>R1630969</t>
        </is>
      </c>
      <c r="F2009" s="2" t="n">
        <v>44711</v>
      </c>
      <c r="G2009" s="1" t="n"/>
    </row>
    <row r="2010">
      <c r="A2010" s="31" t="n">
        <v>654625</v>
      </c>
      <c r="B2010" s="31" t="inlineStr">
        <is>
          <t>FRANZIA HOUSE WINE FAV SUNSET BLUSH</t>
        </is>
      </c>
      <c r="C2010" s="7">
        <f>VLOOKUP(A2010,SizeData!A$2:B$3839,2,FALSE)</f>
        <v/>
      </c>
      <c r="D2010" s="31" t="n">
        <v>1</v>
      </c>
      <c r="E2010" s="31" t="inlineStr">
        <is>
          <t>R1662835</t>
        </is>
      </c>
      <c r="F2010" s="33" t="n">
        <v>44740</v>
      </c>
      <c r="G2010" s="34" t="n"/>
    </row>
    <row r="2011">
      <c r="A2011" s="6" t="n">
        <v>654625</v>
      </c>
      <c r="B2011" s="6" t="inlineStr">
        <is>
          <t>FRANZIA HOUSE WINE FAV SUNSET BLUSH</t>
        </is>
      </c>
      <c r="C2011" s="7">
        <f>VLOOKUP(A2011,SizeData!A$2:B$3839,2,FALSE)</f>
        <v/>
      </c>
      <c r="D2011" s="6" t="n">
        <v>1</v>
      </c>
      <c r="E2011" s="6" t="inlineStr">
        <is>
          <t>R1702988</t>
        </is>
      </c>
      <c r="F2011" s="2" t="n">
        <v>44771</v>
      </c>
      <c r="G2011" s="1" t="n"/>
    </row>
    <row r="2012">
      <c r="A2012" s="6" t="n">
        <v>654625</v>
      </c>
      <c r="B2012" s="6" t="inlineStr">
        <is>
          <t>FRANZIA HOUSE WINE FAV SUNSET BLUSH</t>
        </is>
      </c>
      <c r="C2012" s="7">
        <f>VLOOKUP(A2012,SizeData!A$2:B$3839,2,FALSE)</f>
        <v/>
      </c>
      <c r="D2012" s="6" t="n">
        <v>1</v>
      </c>
      <c r="E2012" s="6" t="inlineStr">
        <is>
          <t>R1728993</t>
        </is>
      </c>
      <c r="F2012" s="2" t="n">
        <v>44790</v>
      </c>
      <c r="G2012" s="1" t="n"/>
    </row>
    <row r="2013">
      <c r="A2013" s="6" t="n">
        <v>654625</v>
      </c>
      <c r="B2013" s="6" t="inlineStr">
        <is>
          <t>FRANZIA HOUSE WINE FAV SUNSET BLUSH</t>
        </is>
      </c>
      <c r="C2013" s="7">
        <f>VLOOKUP(A2013,SizeData!A$2:B$3839,2,FALSE)</f>
        <v/>
      </c>
      <c r="D2013" s="6" t="n">
        <v>1</v>
      </c>
      <c r="E2013" s="6" t="inlineStr">
        <is>
          <t>R1762606</t>
        </is>
      </c>
      <c r="F2013" s="2" t="n">
        <v>44809</v>
      </c>
      <c r="G2013" s="1" t="n"/>
    </row>
    <row r="2014">
      <c r="A2014" s="6" t="n">
        <v>654625</v>
      </c>
      <c r="B2014" s="6" t="inlineStr">
        <is>
          <t>FRANZIA HOUSE WINE FAV SUNSET BLUSH</t>
        </is>
      </c>
      <c r="C2014" s="7">
        <f>VLOOKUP(A2014,SizeData!A$2:B$3839,2,FALSE)</f>
        <v/>
      </c>
      <c r="D2014" s="6" t="n">
        <v>1</v>
      </c>
      <c r="E2014" s="6" t="inlineStr">
        <is>
          <t>R1767069</t>
        </is>
      </c>
      <c r="F2014" s="2" t="n">
        <v>44814</v>
      </c>
      <c r="G2014" s="1" t="n"/>
    </row>
    <row r="2015">
      <c r="A2015" s="6" t="n">
        <v>654625</v>
      </c>
      <c r="B2015" s="6" t="inlineStr">
        <is>
          <t>FRANZIA HOUSE WINE FAV SUNSET BLUSH</t>
        </is>
      </c>
      <c r="C2015" s="7">
        <f>VLOOKUP(A2015,SizeData!A$2:B$3839,2,FALSE)</f>
        <v/>
      </c>
      <c r="D2015" s="6" t="n">
        <v>3</v>
      </c>
      <c r="E2015" s="6" t="inlineStr">
        <is>
          <t>R1868532</t>
        </is>
      </c>
      <c r="F2015" s="2" t="n">
        <v>44880</v>
      </c>
      <c r="G2015" s="1" t="n"/>
    </row>
    <row r="2016">
      <c r="A2016" s="6" t="n">
        <v>655448</v>
      </c>
      <c r="B2016" s="6" t="inlineStr">
        <is>
          <t>FRANZIA HOUSE WINE FAV SUNSET BLUSH</t>
        </is>
      </c>
      <c r="C2016" s="7">
        <f>VLOOKUP(A2016,SizeData!A$2:B$3839,2,FALSE)</f>
        <v/>
      </c>
      <c r="D2016" s="6" t="n">
        <v>1</v>
      </c>
      <c r="E2016" s="6" t="inlineStr">
        <is>
          <t>R1727399</t>
        </is>
      </c>
      <c r="F2016" s="2" t="n">
        <v>44786</v>
      </c>
      <c r="G2016" s="1" t="n"/>
    </row>
    <row r="2017">
      <c r="A2017" s="6" t="n">
        <v>566575</v>
      </c>
      <c r="B2017" s="6" t="inlineStr">
        <is>
          <t>FRANZIA PINOT GRIGIO/COLOMBARD</t>
        </is>
      </c>
      <c r="C2017" s="7">
        <f>VLOOKUP(A2017,SizeData!A$2:B$3839,2,FALSE)</f>
        <v/>
      </c>
      <c r="D2017" s="6" t="n">
        <v>1</v>
      </c>
      <c r="E2017" s="6" t="inlineStr">
        <is>
          <t>R1431061</t>
        </is>
      </c>
      <c r="F2017" s="2" t="n">
        <v>44583</v>
      </c>
      <c r="G2017" s="1" t="n"/>
    </row>
    <row r="2018">
      <c r="A2018" s="26" t="n">
        <v>566575</v>
      </c>
      <c r="B2018" s="26" t="inlineStr">
        <is>
          <t>FRANZIA PINOT GRIGIO/COLOMBARD</t>
        </is>
      </c>
      <c r="C2018" s="7">
        <f>VLOOKUP(A2018,SizeData!A$2:B$3839,2,FALSE)</f>
        <v/>
      </c>
      <c r="D2018" s="26" t="n">
        <v>1</v>
      </c>
      <c r="E2018" s="26" t="inlineStr">
        <is>
          <t>R1746324</t>
        </is>
      </c>
      <c r="F2018" s="61" t="n">
        <v>44796</v>
      </c>
      <c r="G2018" s="62" t="n"/>
    </row>
    <row r="2019">
      <c r="A2019" s="6" t="n">
        <v>566575</v>
      </c>
      <c r="B2019" s="6" t="inlineStr">
        <is>
          <t>FRANZIA PINOT GRIGIO/COLOMBARD</t>
        </is>
      </c>
      <c r="C2019" s="7">
        <f>VLOOKUP(A2019,SizeData!A$2:B$3839,2,FALSE)</f>
        <v/>
      </c>
      <c r="D2019" s="6" t="n">
        <v>1</v>
      </c>
      <c r="E2019" s="6" t="inlineStr">
        <is>
          <t>R1868532</t>
        </is>
      </c>
      <c r="F2019" s="2" t="n">
        <v>44880</v>
      </c>
      <c r="G2019" s="1" t="n"/>
    </row>
    <row r="2020">
      <c r="A2020" s="6" t="n">
        <v>566375</v>
      </c>
      <c r="B2020" s="6" t="inlineStr">
        <is>
          <t>FRANZIA RHINEFLUR CRISP WHITE BOX</t>
        </is>
      </c>
      <c r="C2020" s="7">
        <f>VLOOKUP(A2020,SizeData!A$2:B$3839,2,FALSE)</f>
        <v/>
      </c>
      <c r="D2020" s="6" t="n">
        <v>1</v>
      </c>
      <c r="E2020" s="6" t="inlineStr">
        <is>
          <t>R1569610</t>
        </is>
      </c>
      <c r="F2020" s="2" t="n">
        <v>44669</v>
      </c>
      <c r="G2020" s="1" t="n"/>
    </row>
    <row r="2021">
      <c r="A2021" s="6" t="n">
        <v>566375</v>
      </c>
      <c r="B2021" s="6" t="inlineStr">
        <is>
          <t>FRANZIA RHINEFLUR CRISP WHITE BOX</t>
        </is>
      </c>
      <c r="C2021" s="7">
        <f>VLOOKUP(A2021,SizeData!A$2:B$3839,2,FALSE)</f>
        <v/>
      </c>
      <c r="D2021" s="6" t="n">
        <v>1</v>
      </c>
      <c r="E2021" s="6" t="inlineStr">
        <is>
          <t>R1746324</t>
        </is>
      </c>
      <c r="F2021" s="2" t="n">
        <v>44796</v>
      </c>
      <c r="G2021" s="1" t="n"/>
    </row>
    <row r="2022">
      <c r="A2022" s="6" t="n">
        <v>566520</v>
      </c>
      <c r="B2022" s="6" t="inlineStr">
        <is>
          <t>FRANZIA VINTNER SELECT CHARDONNAY</t>
        </is>
      </c>
      <c r="C2022" s="7">
        <f>VLOOKUP(A2022,SizeData!A$2:B$3839,2,FALSE)</f>
        <v/>
      </c>
      <c r="D2022" s="6" t="n">
        <v>1</v>
      </c>
      <c r="E2022" s="6" t="inlineStr">
        <is>
          <t>R1418605</t>
        </is>
      </c>
      <c r="F2022" s="2" t="n">
        <v>44576</v>
      </c>
      <c r="G2022" s="1" t="n"/>
    </row>
    <row r="2023">
      <c r="A2023" s="6" t="n">
        <v>566520</v>
      </c>
      <c r="B2023" s="6" t="inlineStr">
        <is>
          <t>FRANZIA VINTNER SELECT CHARDONNAY</t>
        </is>
      </c>
      <c r="C2023" s="7">
        <f>VLOOKUP(A2023,SizeData!A$2:B$3839,2,FALSE)</f>
        <v/>
      </c>
      <c r="D2023" s="6" t="n">
        <v>1</v>
      </c>
      <c r="E2023" s="6" t="inlineStr">
        <is>
          <t>R1431061</t>
        </is>
      </c>
      <c r="F2023" s="2" t="n">
        <v>44583</v>
      </c>
      <c r="G2023" s="1" t="n"/>
    </row>
    <row r="2024">
      <c r="A2024" s="6" t="n">
        <v>566520</v>
      </c>
      <c r="B2024" s="6" t="inlineStr">
        <is>
          <t>FRANZIA VINTNER SELECT CHARDONNAY</t>
        </is>
      </c>
      <c r="C2024" s="7">
        <f>VLOOKUP(A2024,SizeData!A$2:B$3839,2,FALSE)</f>
        <v/>
      </c>
      <c r="D2024" s="6" t="n">
        <v>1</v>
      </c>
      <c r="E2024" s="6" t="inlineStr">
        <is>
          <t>R1620910</t>
        </is>
      </c>
      <c r="F2024" s="2" t="n">
        <v>44694</v>
      </c>
      <c r="G2024" s="1" t="n"/>
    </row>
    <row r="2025">
      <c r="A2025" s="31" t="n">
        <v>566520</v>
      </c>
      <c r="B2025" s="31" t="inlineStr">
        <is>
          <t>FRANZIA VINTNER SELECT CHARDONNAY</t>
        </is>
      </c>
      <c r="C2025" s="7">
        <f>VLOOKUP(A2025,SizeData!A$2:B$3839,2,FALSE)</f>
        <v/>
      </c>
      <c r="D2025" s="31" t="n">
        <v>2</v>
      </c>
      <c r="E2025" s="31" t="inlineStr">
        <is>
          <t>R1662835</t>
        </is>
      </c>
      <c r="F2025" s="33" t="n">
        <v>44740</v>
      </c>
      <c r="G2025" s="34" t="n"/>
    </row>
    <row r="2026">
      <c r="A2026" s="6" t="n">
        <v>566520</v>
      </c>
      <c r="B2026" s="6" t="inlineStr">
        <is>
          <t>FRANZIA VINTNER SELECT CHARDONNAY</t>
        </is>
      </c>
      <c r="C2026" s="7">
        <f>VLOOKUP(A2026,SizeData!A$2:B$3839,2,FALSE)</f>
        <v/>
      </c>
      <c r="D2026" s="6" t="n">
        <v>1</v>
      </c>
      <c r="E2026" s="6" t="inlineStr">
        <is>
          <t>R1698359</t>
        </is>
      </c>
      <c r="F2026" s="2" t="n">
        <v>44765</v>
      </c>
      <c r="G2026" s="1" t="n"/>
    </row>
    <row r="2027">
      <c r="A2027" s="6" t="n">
        <v>566520</v>
      </c>
      <c r="B2027" s="6" t="inlineStr">
        <is>
          <t>FRANZIA VINTNER SELECT CHARDONNAY</t>
        </is>
      </c>
      <c r="C2027" s="7">
        <f>VLOOKUP(A2027,SizeData!A$2:B$3839,2,FALSE)</f>
        <v/>
      </c>
      <c r="D2027" s="6" t="n">
        <v>1</v>
      </c>
      <c r="E2027" s="6" t="inlineStr">
        <is>
          <t>R1761638</t>
        </is>
      </c>
      <c r="F2027" s="2" t="n">
        <v>44807</v>
      </c>
      <c r="G2027" s="1" t="n"/>
    </row>
    <row r="2028">
      <c r="A2028" s="6" t="n">
        <v>566520</v>
      </c>
      <c r="B2028" s="6" t="inlineStr">
        <is>
          <t>FRANZIA VINTNER SELECT CHARDONNAY</t>
        </is>
      </c>
      <c r="C2028" s="7">
        <f>VLOOKUP(A2028,SizeData!A$2:B$3839,2,FALSE)</f>
        <v/>
      </c>
      <c r="D2028" s="6" t="n">
        <v>1</v>
      </c>
      <c r="E2028" s="6" t="inlineStr">
        <is>
          <t>R1778047</t>
        </is>
      </c>
      <c r="F2028" s="2" t="n">
        <v>44825</v>
      </c>
      <c r="G2028" s="1" t="n"/>
    </row>
    <row r="2029">
      <c r="A2029" s="6" t="n">
        <v>566520</v>
      </c>
      <c r="B2029" s="6" t="inlineStr">
        <is>
          <t>FRANZIA VINTNER SELECT CHARDONNAY</t>
        </is>
      </c>
      <c r="C2029" s="7">
        <f>VLOOKUP(A2029,SizeData!A$2:B$3839,2,FALSE)</f>
        <v/>
      </c>
      <c r="D2029" s="6" t="n">
        <v>1</v>
      </c>
      <c r="E2029" s="6" t="inlineStr">
        <is>
          <t>R1860108</t>
        </is>
      </c>
      <c r="F2029" s="2" t="n">
        <v>44868</v>
      </c>
      <c r="G2029" s="1" t="n"/>
    </row>
    <row r="2030">
      <c r="A2030" s="6" t="n">
        <v>566520</v>
      </c>
      <c r="B2030" s="6" t="inlineStr">
        <is>
          <t>FRANZIA VINTNER SELECT CHARDONNAY</t>
        </is>
      </c>
      <c r="C2030" s="7">
        <f>VLOOKUP(A2030,SizeData!A$2:B$3839,2,FALSE)</f>
        <v/>
      </c>
      <c r="D2030" s="6" t="n">
        <v>1</v>
      </c>
      <c r="E2030" s="6" t="inlineStr">
        <is>
          <t>R1865180</t>
        </is>
      </c>
      <c r="F2030" s="2" t="n">
        <v>44874</v>
      </c>
      <c r="G2030" s="1" t="n"/>
    </row>
    <row r="2031">
      <c r="A2031" s="6" t="n">
        <v>566550</v>
      </c>
      <c r="B2031" s="6" t="inlineStr">
        <is>
          <t>FRANZIA VINTNER SELECT CHARDONNAY</t>
        </is>
      </c>
      <c r="C2031" s="7">
        <f>VLOOKUP(A2031,SizeData!A$2:B$3839,2,FALSE)</f>
        <v/>
      </c>
      <c r="D2031" s="6" t="n">
        <v>1</v>
      </c>
      <c r="E2031" s="6" t="inlineStr">
        <is>
          <t>R1556367</t>
        </is>
      </c>
      <c r="F2031" s="2" t="n">
        <v>44664</v>
      </c>
      <c r="G2031" s="1" t="n"/>
    </row>
    <row r="2032">
      <c r="A2032" s="6" t="n">
        <v>467655</v>
      </c>
      <c r="B2032" s="6" t="inlineStr">
        <is>
          <t>FRANZIA VINTNER SELECT MERLOT</t>
        </is>
      </c>
      <c r="C2032" s="7">
        <f>VLOOKUP(A2032,SizeData!A$2:B$3839,2,FALSE)</f>
        <v/>
      </c>
      <c r="D2032" s="6" t="n">
        <v>1</v>
      </c>
      <c r="E2032" s="6" t="inlineStr">
        <is>
          <t>R1431061</t>
        </is>
      </c>
      <c r="F2032" s="2" t="n">
        <v>44583</v>
      </c>
      <c r="G2032" s="1" t="n"/>
    </row>
    <row r="2033">
      <c r="A2033" s="6" t="n">
        <v>467655</v>
      </c>
      <c r="B2033" s="6" t="inlineStr">
        <is>
          <t>FRANZIA VINTNER SELECT MERLOT</t>
        </is>
      </c>
      <c r="C2033" s="7">
        <f>VLOOKUP(A2033,SizeData!A$2:B$3839,2,FALSE)</f>
        <v/>
      </c>
      <c r="D2033" s="6" t="n">
        <v>1</v>
      </c>
      <c r="E2033" s="6" t="inlineStr">
        <is>
          <t>R1437002</t>
        </is>
      </c>
      <c r="F2033" s="2" t="n">
        <v>44586</v>
      </c>
      <c r="G2033" s="1" t="n"/>
    </row>
    <row r="2034">
      <c r="A2034" s="6" t="n">
        <v>467655</v>
      </c>
      <c r="B2034" s="6" t="inlineStr">
        <is>
          <t>FRANZIA VINTNER SELECT MERLOT</t>
        </is>
      </c>
      <c r="C2034" s="7">
        <f>VLOOKUP(A2034,SizeData!A$2:B$3839,2,FALSE)</f>
        <v/>
      </c>
      <c r="D2034" s="6" t="n">
        <v>2</v>
      </c>
      <c r="E2034" s="6" t="inlineStr">
        <is>
          <t>R1548197</t>
        </is>
      </c>
      <c r="F2034" s="2" t="n">
        <v>44657</v>
      </c>
      <c r="G2034" s="1" t="n"/>
    </row>
    <row r="2035">
      <c r="A2035" s="6" t="n">
        <v>467655</v>
      </c>
      <c r="B2035" s="6" t="inlineStr">
        <is>
          <t>FRANZIA VINTNER SELECT MERLOT</t>
        </is>
      </c>
      <c r="C2035" s="7">
        <f>VLOOKUP(A2035,SizeData!A$2:B$3839,2,FALSE)</f>
        <v/>
      </c>
      <c r="D2035" s="6" t="n">
        <v>1</v>
      </c>
      <c r="E2035" s="6" t="inlineStr">
        <is>
          <t>R1625235</t>
        </is>
      </c>
      <c r="F2035" s="2" t="n">
        <v>44698</v>
      </c>
      <c r="G2035" s="1" t="n"/>
    </row>
    <row r="2036">
      <c r="A2036" s="6" t="n">
        <v>467655</v>
      </c>
      <c r="B2036" s="6" t="inlineStr">
        <is>
          <t>FRANZIA VINTNER SELECT MERLOT</t>
        </is>
      </c>
      <c r="C2036" s="7">
        <f>VLOOKUP(A2036,SizeData!A$2:B$3839,2,FALSE)</f>
        <v/>
      </c>
      <c r="D2036" s="6" t="n">
        <v>1</v>
      </c>
      <c r="E2036" s="6" t="inlineStr">
        <is>
          <t>R1619359</t>
        </is>
      </c>
      <c r="F2036" s="2" t="n">
        <v>44716</v>
      </c>
      <c r="G2036" s="1" t="n"/>
    </row>
    <row r="2037">
      <c r="A2037" s="6" t="n">
        <v>467655</v>
      </c>
      <c r="B2037" s="6" t="inlineStr">
        <is>
          <t>FRANZIA VINTNER SELECT MERLOT</t>
        </is>
      </c>
      <c r="C2037" s="7">
        <f>VLOOKUP(A2037,SizeData!A$2:B$3839,2,FALSE)</f>
        <v/>
      </c>
      <c r="D2037" s="6" t="n">
        <v>1</v>
      </c>
      <c r="E2037" s="6" t="inlineStr">
        <is>
          <t>R1660776</t>
        </is>
      </c>
      <c r="F2037" s="2" t="n">
        <v>44733</v>
      </c>
      <c r="G2037" s="1" t="n"/>
    </row>
    <row r="2038">
      <c r="A2038" s="31" t="n">
        <v>467655</v>
      </c>
      <c r="B2038" s="31" t="inlineStr">
        <is>
          <t>FRANZIA VINTNER SELECT MERLOT</t>
        </is>
      </c>
      <c r="C2038" s="7">
        <f>VLOOKUP(A2038,SizeData!A$2:B$3839,2,FALSE)</f>
        <v/>
      </c>
      <c r="D2038" s="31" t="n">
        <v>1</v>
      </c>
      <c r="E2038" s="31" t="inlineStr">
        <is>
          <t>R1662835</t>
        </is>
      </c>
      <c r="F2038" s="33" t="n">
        <v>44740</v>
      </c>
      <c r="G2038" s="34" t="n"/>
    </row>
    <row r="2039">
      <c r="A2039" s="6" t="n">
        <v>467655</v>
      </c>
      <c r="B2039" s="6" t="inlineStr">
        <is>
          <t>FRANZIA VINTNER SELECT MERLOT</t>
        </is>
      </c>
      <c r="C2039" s="7">
        <f>VLOOKUP(A2039,SizeData!A$2:B$3839,2,FALSE)</f>
        <v/>
      </c>
      <c r="D2039" s="6" t="n">
        <v>1</v>
      </c>
      <c r="E2039" s="6" t="inlineStr">
        <is>
          <t>R1698359</t>
        </is>
      </c>
      <c r="F2039" s="2" t="n">
        <v>44765</v>
      </c>
      <c r="G2039" s="1" t="n"/>
    </row>
    <row r="2040">
      <c r="A2040" s="6" t="n">
        <v>467655</v>
      </c>
      <c r="B2040" s="6" t="inlineStr">
        <is>
          <t>FRANZIA VINTNER SELECT MERLOT</t>
        </is>
      </c>
      <c r="C2040" s="7">
        <f>VLOOKUP(A2040,SizeData!A$2:B$3839,2,FALSE)</f>
        <v/>
      </c>
      <c r="D2040" s="6" t="n">
        <v>1</v>
      </c>
      <c r="E2040" s="6" t="inlineStr">
        <is>
          <t>R1767069</t>
        </is>
      </c>
      <c r="F2040" s="2" t="n">
        <v>44814</v>
      </c>
      <c r="G2040" s="1" t="n"/>
    </row>
    <row r="2041">
      <c r="A2041" s="6" t="n">
        <v>467655</v>
      </c>
      <c r="B2041" s="6" t="inlineStr">
        <is>
          <t>FRANZIA VINTNER SELECT MERLOT</t>
        </is>
      </c>
      <c r="C2041" s="7">
        <f>VLOOKUP(A2041,SizeData!A$2:B$3839,2,FALSE)</f>
        <v/>
      </c>
      <c r="D2041" s="6" t="n">
        <v>1</v>
      </c>
      <c r="E2041" s="6" t="inlineStr">
        <is>
          <t>R1782657</t>
        </is>
      </c>
      <c r="F2041" s="2" t="n">
        <v>44828</v>
      </c>
      <c r="G2041" s="1" t="n"/>
    </row>
    <row r="2042">
      <c r="A2042" s="6" t="n">
        <v>467655</v>
      </c>
      <c r="B2042" s="6" t="inlineStr">
        <is>
          <t>FRANZIA VINTNER SELECT MERLOT</t>
        </is>
      </c>
      <c r="C2042" s="7">
        <f>VLOOKUP(A2042,SizeData!A$2:B$3839,2,FALSE)</f>
        <v/>
      </c>
      <c r="D2042" s="6" t="n">
        <v>2</v>
      </c>
      <c r="E2042" s="6" t="inlineStr">
        <is>
          <t>R1887698</t>
        </is>
      </c>
      <c r="F2042" s="2" t="n">
        <v>44902</v>
      </c>
      <c r="G2042" s="1" t="n"/>
    </row>
    <row r="2043">
      <c r="A2043" s="6" t="n">
        <v>655448</v>
      </c>
      <c r="B2043" s="6" t="inlineStr">
        <is>
          <t>FRANZIA VINTNER SELECT WH ZINFANDEL</t>
        </is>
      </c>
      <c r="C2043" s="7">
        <f>VLOOKUP(A2043,SizeData!A$2:B$3839,2,FALSE)</f>
        <v/>
      </c>
      <c r="D2043" s="6" t="n">
        <v>1</v>
      </c>
      <c r="E2043" s="6" t="inlineStr">
        <is>
          <t>R1408146</t>
        </is>
      </c>
      <c r="F2043" s="2" t="n">
        <v>44569</v>
      </c>
      <c r="G2043" s="1" t="n"/>
    </row>
    <row r="2044">
      <c r="A2044" s="6" t="n">
        <v>655448</v>
      </c>
      <c r="B2044" s="6" t="inlineStr">
        <is>
          <t>FRANZIA VINTNER SELECT WH ZINFANDEL</t>
        </is>
      </c>
      <c r="C2044" s="7">
        <f>VLOOKUP(A2044,SizeData!A$2:B$3839,2,FALSE)</f>
        <v/>
      </c>
      <c r="D2044" s="6" t="n">
        <v>1</v>
      </c>
      <c r="E2044" s="6" t="inlineStr">
        <is>
          <t>R1471889</t>
        </is>
      </c>
      <c r="F2044" s="2" t="n">
        <v>44611</v>
      </c>
      <c r="G2044" s="1" t="n"/>
    </row>
    <row r="2045">
      <c r="A2045" s="6" t="n">
        <v>655448</v>
      </c>
      <c r="B2045" s="6" t="inlineStr">
        <is>
          <t>FRANZIA VINTNER SELECT WH ZINFANDEL</t>
        </is>
      </c>
      <c r="C2045" s="7">
        <f>VLOOKUP(A2045,SizeData!A$2:B$3839,2,FALSE)</f>
        <v/>
      </c>
      <c r="D2045" s="6" t="n">
        <v>1</v>
      </c>
      <c r="E2045" s="6" t="inlineStr">
        <is>
          <t>R1504703</t>
        </is>
      </c>
      <c r="F2045" s="2" t="n">
        <v>44632</v>
      </c>
      <c r="G2045" s="1" t="n"/>
    </row>
    <row r="2046">
      <c r="A2046" s="6" t="n">
        <v>655448</v>
      </c>
      <c r="B2046" s="6" t="inlineStr">
        <is>
          <t>FRANZIA VINTNER SELECT WH ZINFANDEL</t>
        </is>
      </c>
      <c r="C2046" s="7">
        <f>VLOOKUP(A2046,SizeData!A$2:B$3839,2,FALSE)</f>
        <v/>
      </c>
      <c r="D2046" s="6" t="n">
        <v>1</v>
      </c>
      <c r="E2046" s="6" t="inlineStr">
        <is>
          <t>R1527308</t>
        </is>
      </c>
      <c r="F2046" s="2" t="n">
        <v>44639</v>
      </c>
      <c r="G2046" s="1" t="n"/>
    </row>
    <row r="2047">
      <c r="A2047" s="6" t="n">
        <v>655448</v>
      </c>
      <c r="B2047" s="6" t="inlineStr">
        <is>
          <t>FRANZIA VINTNER SELECT WH ZINFANDEL</t>
        </is>
      </c>
      <c r="C2047" s="7">
        <f>VLOOKUP(A2047,SizeData!A$2:B$3839,2,FALSE)</f>
        <v/>
      </c>
      <c r="D2047" s="6" t="n">
        <v>1</v>
      </c>
      <c r="E2047" s="6" t="inlineStr">
        <is>
          <t>R1647521</t>
        </is>
      </c>
      <c r="F2047" s="2" t="n">
        <v>44723</v>
      </c>
      <c r="G2047" s="1" t="n"/>
    </row>
    <row r="2048">
      <c r="A2048" s="6" t="n">
        <v>655448</v>
      </c>
      <c r="B2048" s="6" t="inlineStr">
        <is>
          <t>FRANZIA VINTNER SELECT WH ZINFANDEL</t>
        </is>
      </c>
      <c r="C2048" s="7">
        <f>VLOOKUP(A2048,SizeData!A$2:B$3839,2,FALSE)</f>
        <v/>
      </c>
      <c r="D2048" s="6" t="n">
        <v>1</v>
      </c>
      <c r="E2048" s="6" t="inlineStr">
        <is>
          <t>R1698359</t>
        </is>
      </c>
      <c r="F2048" s="2" t="n">
        <v>44765</v>
      </c>
      <c r="G2048" s="1" t="n"/>
    </row>
    <row r="2049">
      <c r="A2049" s="6" t="n">
        <v>655448</v>
      </c>
      <c r="B2049" s="6" t="inlineStr">
        <is>
          <t>FRANZIA VINTNER SELECT WH ZINFANDEL</t>
        </is>
      </c>
      <c r="C2049" s="7">
        <f>VLOOKUP(A2049,SizeData!A$2:B$3839,2,FALSE)</f>
        <v/>
      </c>
      <c r="D2049" s="6" t="n">
        <v>1</v>
      </c>
      <c r="E2049" s="6" t="inlineStr">
        <is>
          <t>R1768922</t>
        </is>
      </c>
      <c r="F2049" s="2" t="n">
        <v>44819</v>
      </c>
      <c r="G2049" s="1" t="n"/>
    </row>
    <row r="2050">
      <c r="A2050" s="26" t="n">
        <v>655448</v>
      </c>
      <c r="B2050" s="26" t="inlineStr">
        <is>
          <t>FRANZIA VINTNER SELECT WH ZINFANDEL</t>
        </is>
      </c>
      <c r="C2050" s="7">
        <f>VLOOKUP(A2050,SizeData!A$2:B$3839,2,FALSE)</f>
        <v/>
      </c>
      <c r="D2050" s="26" t="n">
        <v>1</v>
      </c>
      <c r="E2050" s="26" t="inlineStr">
        <is>
          <t>R1777984</t>
        </is>
      </c>
      <c r="F2050" s="61" t="n">
        <v>44826</v>
      </c>
      <c r="G2050" s="1" t="n"/>
    </row>
    <row r="2051">
      <c r="A2051" s="6" t="n">
        <v>655448</v>
      </c>
      <c r="B2051" s="6" t="inlineStr">
        <is>
          <t>FRANZIA VINTNER SELECT WH ZINFANDEL</t>
        </is>
      </c>
      <c r="C2051" s="7">
        <f>VLOOKUP(A2051,SizeData!A$2:B$3839,2,FALSE)</f>
        <v/>
      </c>
      <c r="D2051" s="6" t="n">
        <v>2</v>
      </c>
      <c r="E2051" s="6" t="inlineStr">
        <is>
          <t>R1876430</t>
        </is>
      </c>
      <c r="F2051" s="2" t="n">
        <v>44886</v>
      </c>
      <c r="G2051" s="1" t="n"/>
    </row>
    <row r="2052">
      <c r="A2052" s="6" t="n">
        <v>364694</v>
      </c>
      <c r="B2052" s="6" t="inlineStr">
        <is>
          <t>FRATELLI PONTE MOSCATO D'ASTI FIORE DI LOTO</t>
        </is>
      </c>
      <c r="C2052" s="7">
        <f>VLOOKUP(A2052,SizeData!A$2:B$3839,2,FALSE)</f>
        <v/>
      </c>
      <c r="D2052" s="6" t="n">
        <v>1</v>
      </c>
      <c r="E2052" s="6" t="inlineStr">
        <is>
          <t>R1503957</t>
        </is>
      </c>
      <c r="F2052" s="2" t="n">
        <v>44636</v>
      </c>
      <c r="G2052" s="1" t="n"/>
    </row>
    <row r="2053">
      <c r="A2053" s="6" t="n">
        <v>364694</v>
      </c>
      <c r="B2053" s="6" t="inlineStr">
        <is>
          <t>FRATELLI PONTE MOSCATO D'ASTI FIORE DI LOTO</t>
        </is>
      </c>
      <c r="C2053" s="7">
        <f>VLOOKUP(A2053,SizeData!A$2:B$3839,2,FALSE)</f>
        <v/>
      </c>
      <c r="D2053" s="6" t="n">
        <v>1</v>
      </c>
      <c r="E2053" s="6" t="inlineStr">
        <is>
          <t>R1746324</t>
        </is>
      </c>
      <c r="F2053" s="2" t="n">
        <v>44796</v>
      </c>
      <c r="G2053" s="1" t="n"/>
    </row>
    <row r="2054">
      <c r="A2054" s="6" t="n">
        <v>34368</v>
      </c>
      <c r="B2054" s="6" t="inlineStr">
        <is>
          <t>FRIS 80 SKANDIA VODKA DENMARK</t>
        </is>
      </c>
      <c r="C2054" s="7">
        <f>VLOOKUP(A2054,SizeData!A$2:B$3839,2,FALSE)</f>
        <v/>
      </c>
      <c r="D2054" s="6" t="n">
        <v>1</v>
      </c>
      <c r="E2054" s="6" t="inlineStr">
        <is>
          <t>R1383976</t>
        </is>
      </c>
      <c r="F2054" s="2" t="n">
        <v>44561</v>
      </c>
      <c r="G2054" s="1" t="n"/>
    </row>
    <row r="2055">
      <c r="A2055" s="6" t="n">
        <v>34368</v>
      </c>
      <c r="B2055" s="6" t="inlineStr">
        <is>
          <t>FRIS 80 SKANDIA VODKA DENMARK</t>
        </is>
      </c>
      <c r="C2055" s="7">
        <f>VLOOKUP(A2055,SizeData!A$2:B$3839,2,FALSE)</f>
        <v/>
      </c>
      <c r="D2055" s="6" t="n">
        <v>1</v>
      </c>
      <c r="E2055" s="6" t="inlineStr">
        <is>
          <t>R1629823</t>
        </is>
      </c>
      <c r="F2055" s="2" t="n">
        <v>44713</v>
      </c>
      <c r="G2055" s="1" t="n"/>
    </row>
    <row r="2056">
      <c r="A2056" s="6" t="n">
        <v>34368</v>
      </c>
      <c r="B2056" s="6" t="inlineStr">
        <is>
          <t>FRIS 80 SKANDIA VODKA DENMARK</t>
        </is>
      </c>
      <c r="C2056" s="7">
        <f>VLOOKUP(A2056,SizeData!A$2:B$3839,2,FALSE)</f>
        <v/>
      </c>
      <c r="D2056" s="6" t="n">
        <v>3</v>
      </c>
      <c r="E2056" s="6" t="inlineStr">
        <is>
          <t>R1744308</t>
        </is>
      </c>
      <c r="F2056" s="2" t="n">
        <v>44797</v>
      </c>
      <c r="G2056" s="1" t="n"/>
    </row>
    <row r="2057">
      <c r="A2057" s="6" t="n">
        <v>48016</v>
      </c>
      <c r="B2057" s="6" t="inlineStr">
        <is>
          <t>GAUTIER COGNAC V S</t>
        </is>
      </c>
      <c r="C2057" s="7">
        <f>VLOOKUP(A2057,SizeData!A$2:B$3839,2,FALSE)</f>
        <v/>
      </c>
      <c r="D2057" s="6" t="n">
        <v>5</v>
      </c>
      <c r="E2057" s="6" t="inlineStr">
        <is>
          <t>R1525376</t>
        </is>
      </c>
      <c r="F2057" s="2" t="n">
        <v>44636</v>
      </c>
      <c r="G2057" s="1" t="n"/>
    </row>
    <row r="2058">
      <c r="A2058" s="6" t="n">
        <v>48016</v>
      </c>
      <c r="B2058" s="6" t="inlineStr">
        <is>
          <t>GAUTIER COGNAC V S</t>
        </is>
      </c>
      <c r="C2058" s="7">
        <f>VLOOKUP(A2058,SizeData!A$2:B$3839,2,FALSE)</f>
        <v/>
      </c>
      <c r="D2058" s="6" t="n">
        <v>1</v>
      </c>
      <c r="E2058" s="6" t="inlineStr">
        <is>
          <t>R1770694</t>
        </is>
      </c>
      <c r="F2058" s="2" t="n">
        <v>44816</v>
      </c>
      <c r="G2058" s="1" t="n"/>
    </row>
    <row r="2059">
      <c r="A2059" s="6" t="n">
        <v>48016</v>
      </c>
      <c r="B2059" s="6" t="inlineStr">
        <is>
          <t>GAUTIER COGNAC V S</t>
        </is>
      </c>
      <c r="C2059" s="7">
        <f>VLOOKUP(A2059,SizeData!A$2:B$3839,2,FALSE)</f>
        <v/>
      </c>
      <c r="D2059" s="6" t="n">
        <v>1</v>
      </c>
      <c r="E2059" s="6" t="inlineStr">
        <is>
          <t>R1867266</t>
        </is>
      </c>
      <c r="F2059" s="2" t="n">
        <v>44884</v>
      </c>
      <c r="G2059" s="1" t="n"/>
    </row>
    <row r="2060">
      <c r="A2060" s="6" t="n">
        <v>48016</v>
      </c>
      <c r="B2060" s="6" t="inlineStr">
        <is>
          <t>GAUTIER COGNAC V S</t>
        </is>
      </c>
      <c r="C2060" s="7">
        <f>VLOOKUP(A2060,SizeData!A$2:B$3839,2,FALSE)</f>
        <v/>
      </c>
      <c r="D2060" s="6" t="n">
        <v>1</v>
      </c>
      <c r="E2060" s="6" t="inlineStr">
        <is>
          <t>R1879903</t>
        </is>
      </c>
      <c r="F2060" s="2" t="n">
        <v>44892</v>
      </c>
      <c r="G2060" s="1" t="n"/>
    </row>
    <row r="2061">
      <c r="A2061" s="6" t="n">
        <v>97064</v>
      </c>
      <c r="B2061" s="6" t="inlineStr">
        <is>
          <t>GEKKEIKAN SAKE</t>
        </is>
      </c>
      <c r="C2061" s="7">
        <f>VLOOKUP(A2061,SizeData!A$2:B$3839,2,FALSE)</f>
        <v/>
      </c>
      <c r="D2061" s="6" t="n">
        <v>2</v>
      </c>
      <c r="E2061" s="6" t="inlineStr">
        <is>
          <t>R1376786</t>
        </is>
      </c>
      <c r="F2061" s="2" t="n">
        <v>44552</v>
      </c>
      <c r="G2061" s="1" t="n"/>
    </row>
    <row r="2062">
      <c r="A2062" s="6" t="n">
        <v>26589</v>
      </c>
      <c r="B2062" s="6" t="inlineStr">
        <is>
          <t>GENTLEMAN JACK</t>
        </is>
      </c>
      <c r="C2062" s="7">
        <f>VLOOKUP(A2062,SizeData!A$2:B$3839,2,FALSE)</f>
        <v/>
      </c>
      <c r="D2062" s="6" t="n">
        <v>2</v>
      </c>
      <c r="E2062" s="6" t="inlineStr">
        <is>
          <t>R1679342</t>
        </is>
      </c>
      <c r="F2062" s="2" t="n">
        <v>44753</v>
      </c>
      <c r="G2062" s="1" t="n"/>
    </row>
    <row r="2063">
      <c r="A2063" s="6" t="n">
        <v>26582</v>
      </c>
      <c r="B2063" s="6" t="inlineStr">
        <is>
          <t>GENTLEMAN JACK</t>
        </is>
      </c>
      <c r="C2063" s="7">
        <f>VLOOKUP(A2063,SizeData!A$2:B$3839,2,FALSE)</f>
        <v/>
      </c>
      <c r="D2063" s="6" t="n">
        <v>2</v>
      </c>
      <c r="E2063" s="6" t="inlineStr">
        <is>
          <t>R1683808</t>
        </is>
      </c>
      <c r="F2063" s="2" t="n">
        <v>44754</v>
      </c>
      <c r="G2063" s="1" t="n"/>
    </row>
    <row r="2064">
      <c r="A2064" s="6" t="n">
        <v>26582</v>
      </c>
      <c r="B2064" s="6" t="inlineStr">
        <is>
          <t>GENTLEMAN JACK</t>
        </is>
      </c>
      <c r="C2064" s="7">
        <f>VLOOKUP(A2064,SizeData!A$2:B$3839,2,FALSE)</f>
        <v/>
      </c>
      <c r="D2064" s="6" t="n">
        <v>5</v>
      </c>
      <c r="E2064" s="6" t="inlineStr">
        <is>
          <t>R1751391</t>
        </is>
      </c>
      <c r="F2064" s="2" t="n">
        <v>44805</v>
      </c>
      <c r="G2064" s="1" t="n"/>
    </row>
    <row r="2065">
      <c r="A2065" s="6" t="n">
        <v>26582</v>
      </c>
      <c r="B2065" s="6" t="inlineStr">
        <is>
          <t>GENTLEMAN JACK</t>
        </is>
      </c>
      <c r="C2065" s="7">
        <f>VLOOKUP(A2065,SizeData!A$2:B$3839,2,FALSE)</f>
        <v/>
      </c>
      <c r="D2065" s="6" t="n">
        <v>7</v>
      </c>
      <c r="E2065" s="6" t="inlineStr">
        <is>
          <t>R1765521</t>
        </is>
      </c>
      <c r="F2065" s="2" t="n">
        <v>44805</v>
      </c>
      <c r="G2065" s="1" t="n"/>
    </row>
    <row r="2066">
      <c r="A2066" s="6" t="n">
        <v>26583</v>
      </c>
      <c r="B2066" s="6" t="inlineStr">
        <is>
          <t>GENTLEMAN JACK</t>
        </is>
      </c>
      <c r="C2066" s="7">
        <f>VLOOKUP(A2066,SizeData!A$2:B$3839,2,FALSE)</f>
        <v/>
      </c>
      <c r="D2066" s="6" t="n">
        <v>1</v>
      </c>
      <c r="E2066" s="6" t="inlineStr">
        <is>
          <t>R1740281</t>
        </is>
      </c>
      <c r="F2066" s="2" t="n">
        <v>44788</v>
      </c>
      <c r="G2066" s="1" t="n"/>
    </row>
    <row r="2067">
      <c r="A2067" s="6" t="n">
        <v>26585</v>
      </c>
      <c r="B2067" s="6" t="inlineStr">
        <is>
          <t>GENTLEMAN JACK</t>
        </is>
      </c>
      <c r="C2067" s="7">
        <f>VLOOKUP(A2067,SizeData!A$2:B$3839,2,FALSE)</f>
        <v/>
      </c>
      <c r="D2067" s="6" t="n">
        <v>1</v>
      </c>
      <c r="E2067" s="6" t="inlineStr">
        <is>
          <t>R1619334</t>
        </is>
      </c>
      <c r="F2067" s="2" t="n">
        <v>44713</v>
      </c>
      <c r="G2067" s="1" t="n"/>
    </row>
    <row r="2068">
      <c r="A2068" s="6" t="n">
        <v>26585</v>
      </c>
      <c r="B2068" s="6" t="inlineStr">
        <is>
          <t>GENTLEMAN JACK</t>
        </is>
      </c>
      <c r="C2068" s="7">
        <f>VLOOKUP(A2068,SizeData!A$2:B$3839,2,FALSE)</f>
        <v/>
      </c>
      <c r="D2068" s="6" t="n">
        <v>2</v>
      </c>
      <c r="E2068" s="6" t="inlineStr">
        <is>
          <t>R1503957</t>
        </is>
      </c>
      <c r="F2068" s="2" t="n">
        <v>44636</v>
      </c>
      <c r="G2068" s="1" t="n"/>
    </row>
    <row r="2069">
      <c r="A2069" s="6" t="n">
        <v>26585</v>
      </c>
      <c r="B2069" s="6" t="inlineStr">
        <is>
          <t>GENTLEMAN JACK</t>
        </is>
      </c>
      <c r="C2069" s="7">
        <f>VLOOKUP(A2069,SizeData!A$2:B$3839,2,FALSE)</f>
        <v/>
      </c>
      <c r="D2069" s="6" t="n">
        <v>2</v>
      </c>
      <c r="E2069" s="6" t="inlineStr">
        <is>
          <t>R1679342</t>
        </is>
      </c>
      <c r="F2069" s="2" t="n">
        <v>44753</v>
      </c>
      <c r="G2069" s="1" t="n"/>
    </row>
    <row r="2070">
      <c r="A2070" s="26" t="n">
        <v>26585</v>
      </c>
      <c r="B2070" s="26" t="inlineStr">
        <is>
          <t>GENTLEMAN JACK</t>
        </is>
      </c>
      <c r="C2070" s="7">
        <f>VLOOKUP(A2070,SizeData!A$2:B$3839,2,FALSE)</f>
        <v/>
      </c>
      <c r="D2070" s="26" t="n">
        <v>5</v>
      </c>
      <c r="E2070" s="26" t="inlineStr">
        <is>
          <t>R1716148</t>
        </is>
      </c>
      <c r="F2070" s="61" t="n">
        <v>44774</v>
      </c>
      <c r="G2070" s="62" t="n"/>
    </row>
    <row r="2071">
      <c r="A2071" s="6" t="n">
        <v>26585</v>
      </c>
      <c r="B2071" s="6" t="inlineStr">
        <is>
          <t>GENTLEMAN JACK</t>
        </is>
      </c>
      <c r="C2071" s="7">
        <f>VLOOKUP(A2071,SizeData!A$2:B$3839,2,FALSE)</f>
        <v/>
      </c>
      <c r="D2071" s="6" t="n">
        <v>5</v>
      </c>
      <c r="E2071" s="6" t="inlineStr">
        <is>
          <t>R1713939</t>
        </is>
      </c>
      <c r="F2071" s="2" t="n">
        <v>44779</v>
      </c>
      <c r="G2071" s="1" t="n"/>
    </row>
    <row r="2072">
      <c r="A2072" s="6" t="n">
        <v>26581</v>
      </c>
      <c r="B2072" s="6" t="inlineStr">
        <is>
          <t>GENTLEMAN JACK</t>
        </is>
      </c>
      <c r="C2072" s="7">
        <f>VLOOKUP(A2072,SizeData!A$2:B$3839,2,FALSE)</f>
        <v/>
      </c>
      <c r="D2072" s="6" t="n">
        <v>1</v>
      </c>
      <c r="E2072" s="6" t="inlineStr">
        <is>
          <t>R1548197</t>
        </is>
      </c>
      <c r="F2072" s="2" t="n">
        <v>44657</v>
      </c>
      <c r="G2072" s="1" t="n"/>
    </row>
    <row r="2073">
      <c r="A2073" s="6" t="n">
        <v>26586</v>
      </c>
      <c r="B2073" s="6" t="inlineStr">
        <is>
          <t>GENTLEMAN JACK</t>
        </is>
      </c>
      <c r="C2073" s="7">
        <f>VLOOKUP(A2073,SizeData!A$2:B$3839,2,FALSE)</f>
        <v/>
      </c>
      <c r="D2073" s="6" t="n">
        <v>1</v>
      </c>
      <c r="E2073" s="6" t="inlineStr">
        <is>
          <t>R1768922</t>
        </is>
      </c>
      <c r="F2073" s="2" t="n">
        <v>44819</v>
      </c>
      <c r="G2073" s="1" t="n"/>
    </row>
    <row r="2074">
      <c r="A2074" s="6" t="n">
        <v>26586</v>
      </c>
      <c r="B2074" s="6" t="inlineStr">
        <is>
          <t>GENTLEMAN JACK</t>
        </is>
      </c>
      <c r="C2074" s="7">
        <f>VLOOKUP(A2074,SizeData!A$2:B$3839,2,FALSE)</f>
        <v/>
      </c>
      <c r="D2074" s="6" t="n">
        <v>1</v>
      </c>
      <c r="E2074" s="6" t="inlineStr">
        <is>
          <t>R1796778</t>
        </is>
      </c>
      <c r="F2074" s="2" t="n">
        <v>44834</v>
      </c>
      <c r="G2074" s="1" t="n"/>
    </row>
    <row r="2075">
      <c r="A2075" s="6" t="n">
        <v>26586</v>
      </c>
      <c r="B2075" s="6" t="inlineStr">
        <is>
          <t>GENTLEMAN JACK</t>
        </is>
      </c>
      <c r="C2075" s="7">
        <f>VLOOKUP(A2075,SizeData!A$2:B$3839,2,FALSE)</f>
        <v/>
      </c>
      <c r="D2075" s="6" t="n">
        <v>4</v>
      </c>
      <c r="E2075" s="6" t="inlineStr">
        <is>
          <t>R1684177</t>
        </is>
      </c>
      <c r="F2075" s="2" t="n">
        <v>44760</v>
      </c>
      <c r="G2075" s="1" t="n"/>
    </row>
    <row r="2076">
      <c r="A2076" s="6" t="n">
        <v>26586</v>
      </c>
      <c r="B2076" s="6" t="inlineStr">
        <is>
          <t>GENTLEMAN JACK</t>
        </is>
      </c>
      <c r="C2076" s="7">
        <f>VLOOKUP(A2076,SizeData!A$2:B$3839,2,FALSE)</f>
        <v/>
      </c>
      <c r="D2076" s="6" t="n">
        <v>5</v>
      </c>
      <c r="E2076" s="6" t="inlineStr">
        <is>
          <t>R1433543</t>
        </is>
      </c>
      <c r="F2076" s="2" t="n">
        <v>44589</v>
      </c>
      <c r="G2076" s="1" t="n"/>
    </row>
    <row r="2077">
      <c r="A2077" s="6" t="n">
        <v>26586</v>
      </c>
      <c r="B2077" s="6" t="inlineStr">
        <is>
          <t>GENTLEMAN JACK</t>
        </is>
      </c>
      <c r="C2077" s="7">
        <f>VLOOKUP(A2077,SizeData!A$2:B$3839,2,FALSE)</f>
        <v/>
      </c>
      <c r="D2077" s="6" t="n">
        <v>10</v>
      </c>
      <c r="E2077" s="6" t="inlineStr">
        <is>
          <t>R1860105</t>
        </is>
      </c>
      <c r="F2077" s="2" t="n">
        <v>44866</v>
      </c>
      <c r="G2077" s="1" t="n"/>
    </row>
    <row r="2078">
      <c r="A2078" s="6" t="n">
        <v>26586</v>
      </c>
      <c r="B2078" s="6" t="inlineStr">
        <is>
          <t>GENTLEMAN JACK</t>
        </is>
      </c>
      <c r="C2078" s="7">
        <f>VLOOKUP(A2078,SizeData!A$2:B$3839,2,FALSE)</f>
        <v/>
      </c>
      <c r="D2078" s="6" t="n">
        <v>10</v>
      </c>
      <c r="E2078" s="6" t="inlineStr">
        <is>
          <t>R1872814</t>
        </is>
      </c>
      <c r="F2078" s="2" t="n">
        <v>44881</v>
      </c>
      <c r="G2078" s="1" t="n"/>
    </row>
    <row r="2079">
      <c r="A2079" s="6" t="n">
        <v>27326</v>
      </c>
      <c r="B2079" s="6" t="inlineStr">
        <is>
          <t>GEORGIA MOON FRUIT JAR</t>
        </is>
      </c>
      <c r="C2079" s="7">
        <f>VLOOKUP(A2079,SizeData!A$2:B$3839,2,FALSE)</f>
        <v/>
      </c>
      <c r="D2079" s="6" t="n">
        <v>2</v>
      </c>
      <c r="E2079" s="6" t="inlineStr">
        <is>
          <t>R1436614</t>
        </is>
      </c>
      <c r="F2079" s="2" t="n">
        <v>44586</v>
      </c>
      <c r="G2079" s="1" t="n"/>
    </row>
    <row r="2080">
      <c r="A2080" s="6" t="n">
        <v>27503</v>
      </c>
      <c r="B2080" s="6" t="inlineStr">
        <is>
          <t>GEORGIA MOON IT'S PEACH (CORN WHISKEY)</t>
        </is>
      </c>
      <c r="C2080" s="7">
        <f>VLOOKUP(A2080,SizeData!A$2:B$3839,2,FALSE)</f>
        <v/>
      </c>
      <c r="D2080" s="6" t="n">
        <v>1</v>
      </c>
      <c r="E2080" s="6" t="inlineStr">
        <is>
          <t>R1486326</t>
        </is>
      </c>
      <c r="F2080" s="2" t="n">
        <v>44616</v>
      </c>
      <c r="G2080" s="1" t="n"/>
    </row>
    <row r="2081">
      <c r="A2081" s="6" t="n">
        <v>5008</v>
      </c>
      <c r="B2081" s="6" t="inlineStr">
        <is>
          <t>GLENFIDDICH 12 YEAR SCOTCH</t>
        </is>
      </c>
      <c r="C2081" s="7">
        <f>VLOOKUP(A2081,SizeData!A$2:B$3839,2,FALSE)</f>
        <v/>
      </c>
      <c r="D2081" s="6" t="n">
        <v>2</v>
      </c>
      <c r="E2081" s="6" t="inlineStr">
        <is>
          <t>R1572905</t>
        </is>
      </c>
      <c r="F2081" s="2" t="n">
        <v>44667</v>
      </c>
      <c r="G2081" s="1" t="n"/>
    </row>
    <row r="2082">
      <c r="A2082" s="6" t="n">
        <v>5159</v>
      </c>
      <c r="B2082" s="6" t="inlineStr">
        <is>
          <t>GLENFIDDICH 14Y BARREL RS IN NEW OAK BRL</t>
        </is>
      </c>
      <c r="C2082" s="7">
        <f>VLOOKUP(A2082,SizeData!A$2:B$3839,2,FALSE)</f>
        <v/>
      </c>
      <c r="D2082" s="6" t="n">
        <v>1</v>
      </c>
      <c r="E2082" s="6" t="inlineStr">
        <is>
          <t>R1688734</t>
        </is>
      </c>
      <c r="F2082" s="2" t="n">
        <v>44761</v>
      </c>
      <c r="G2082" s="1" t="n"/>
    </row>
    <row r="2083">
      <c r="A2083" s="6" t="n">
        <v>5157</v>
      </c>
      <c r="B2083" s="6" t="inlineStr">
        <is>
          <t>GLENFIDDICH ANCIENT RESERVE 18 YR SINGLE MALT</t>
        </is>
      </c>
      <c r="C2083" s="7">
        <f>VLOOKUP(A2083,SizeData!A$2:B$3839,2,FALSE)</f>
        <v/>
      </c>
      <c r="D2083" s="6" t="n">
        <v>2</v>
      </c>
      <c r="E2083" s="6" t="inlineStr">
        <is>
          <t>R1572905</t>
        </is>
      </c>
      <c r="F2083" s="2" t="n">
        <v>44667</v>
      </c>
      <c r="G2083" s="1" t="n"/>
    </row>
    <row r="2084">
      <c r="A2084" s="31" t="n">
        <v>5014</v>
      </c>
      <c r="B2084" s="31" t="inlineStr">
        <is>
          <t>GLENFIDDICH SOLERA RESERVE SINGLE MALT</t>
        </is>
      </c>
      <c r="C2084" s="7">
        <f>VLOOKUP(A2084,SizeData!A$2:B$3839,2,FALSE)</f>
        <v/>
      </c>
      <c r="D2084" s="31" t="n">
        <v>1</v>
      </c>
      <c r="E2084" s="31" t="inlineStr">
        <is>
          <t>R1672346</t>
        </is>
      </c>
      <c r="F2084" s="33" t="n">
        <v>44741</v>
      </c>
      <c r="G2084" s="34" t="n"/>
    </row>
    <row r="2085">
      <c r="A2085" s="6" t="n">
        <v>5036</v>
      </c>
      <c r="B2085" s="6" t="inlineStr">
        <is>
          <t>GLENLIVET 12 YR. SINGLE MALT</t>
        </is>
      </c>
      <c r="C2085" s="7">
        <f>VLOOKUP(A2085,SizeData!A$2:B$3839,2,FALSE)</f>
        <v/>
      </c>
      <c r="D2085" s="6" t="n">
        <v>5</v>
      </c>
      <c r="E2085" s="6" t="inlineStr">
        <is>
          <t>R1555425</t>
        </is>
      </c>
      <c r="F2085" s="2" t="n">
        <v>44652</v>
      </c>
      <c r="G2085" s="1" t="n"/>
    </row>
    <row r="2086">
      <c r="A2086" s="6" t="n">
        <v>5061</v>
      </c>
      <c r="B2086" s="6" t="inlineStr">
        <is>
          <t>GLENLIVET 15YR FRENCH OAK RSV</t>
        </is>
      </c>
      <c r="C2086" s="7">
        <f>VLOOKUP(A2086,SizeData!A$2:B$3839,2,FALSE)</f>
        <v/>
      </c>
      <c r="D2086" s="6" t="n">
        <v>1</v>
      </c>
      <c r="E2086" s="6" t="inlineStr">
        <is>
          <t>R1496619</t>
        </is>
      </c>
      <c r="F2086" s="2" t="n">
        <v>44621</v>
      </c>
      <c r="G2086" s="1" t="n"/>
    </row>
    <row r="2087">
      <c r="A2087" s="6" t="n">
        <v>5061</v>
      </c>
      <c r="B2087" s="6" t="inlineStr">
        <is>
          <t>GLENLIVET 15YR FRENCH OAK RSV</t>
        </is>
      </c>
      <c r="C2087" s="7">
        <f>VLOOKUP(A2087,SizeData!A$2:B$3839,2,FALSE)</f>
        <v/>
      </c>
      <c r="D2087" s="6" t="n">
        <v>5</v>
      </c>
      <c r="E2087" s="6" t="inlineStr">
        <is>
          <t>R1555425</t>
        </is>
      </c>
      <c r="F2087" s="2" t="n">
        <v>44652</v>
      </c>
      <c r="G2087" s="1" t="n"/>
    </row>
    <row r="2088">
      <c r="A2088" s="6" t="n">
        <v>5061</v>
      </c>
      <c r="B2088" s="6" t="inlineStr">
        <is>
          <t>GLENLIVET 15YR FRENCH OAK RSV</t>
        </is>
      </c>
      <c r="C2088" s="7">
        <f>VLOOKUP(A2088,SizeData!A$2:B$3839,2,FALSE)</f>
        <v/>
      </c>
      <c r="D2088" s="6" t="n">
        <v>4</v>
      </c>
      <c r="E2088" s="6" t="inlineStr">
        <is>
          <t>R1849372</t>
        </is>
      </c>
      <c r="F2088" s="2" t="n">
        <v>44879</v>
      </c>
      <c r="G2088" s="1" t="n"/>
    </row>
    <row r="2089">
      <c r="A2089" s="6" t="n">
        <v>5103</v>
      </c>
      <c r="B2089" s="6" t="inlineStr">
        <is>
          <t>GLENMORANGIE LASANTA SCOTCH</t>
        </is>
      </c>
      <c r="C2089" s="7">
        <f>VLOOKUP(A2089,SizeData!A$2:B$3839,2,FALSE)</f>
        <v/>
      </c>
      <c r="D2089" s="6" t="n">
        <v>2</v>
      </c>
      <c r="E2089" s="6" t="inlineStr">
        <is>
          <t>R1883576</t>
        </is>
      </c>
      <c r="F2089" s="2" t="n">
        <v>44895</v>
      </c>
      <c r="G2089" s="1" t="n"/>
    </row>
    <row r="2090">
      <c r="A2090" s="6" t="n">
        <v>5105</v>
      </c>
      <c r="B2090" s="6" t="inlineStr">
        <is>
          <t>GLENMORANGIE QUINTA RUBAN SCOTCH</t>
        </is>
      </c>
      <c r="C2090" s="7">
        <f>VLOOKUP(A2090,SizeData!A$2:B$3839,2,FALSE)</f>
        <v/>
      </c>
      <c r="D2090" s="6" t="n">
        <v>1</v>
      </c>
      <c r="E2090" s="6" t="inlineStr">
        <is>
          <t>R1883576</t>
        </is>
      </c>
      <c r="F2090" s="2" t="n">
        <v>44895</v>
      </c>
      <c r="G2090" s="1" t="n"/>
    </row>
    <row r="2091">
      <c r="A2091" s="6" t="n">
        <v>5133</v>
      </c>
      <c r="B2091" s="6" t="inlineStr">
        <is>
          <t>GLENMORANGIE SINGLE MALT 10 YEAR</t>
        </is>
      </c>
      <c r="C2091" s="7">
        <f>VLOOKUP(A2091,SizeData!A$2:B$3839,2,FALSE)</f>
        <v/>
      </c>
      <c r="D2091" s="6" t="n">
        <v>1</v>
      </c>
      <c r="E2091" s="6" t="inlineStr">
        <is>
          <t>R1515367</t>
        </is>
      </c>
      <c r="F2091" s="2" t="n">
        <v>44635</v>
      </c>
      <c r="G2091" s="1" t="n"/>
    </row>
    <row r="2092">
      <c r="A2092" s="26" t="n">
        <v>5133</v>
      </c>
      <c r="B2092" s="26" t="inlineStr">
        <is>
          <t>GLENMORANGIE SINGLE MALT 10 YEAR</t>
        </is>
      </c>
      <c r="C2092" s="75">
        <f>VLOOKUP(A2092,SizeData!A$2:B$3839,2,FALSE)</f>
        <v/>
      </c>
      <c r="D2092" s="26" t="n">
        <v>1</v>
      </c>
      <c r="E2092" s="26" t="inlineStr">
        <is>
          <t>R1796778</t>
        </is>
      </c>
      <c r="F2092" s="61" t="n">
        <v>44834</v>
      </c>
      <c r="G2092" s="62" t="n"/>
    </row>
    <row r="2093">
      <c r="A2093" s="6" t="n">
        <v>5133</v>
      </c>
      <c r="B2093" s="6" t="inlineStr">
        <is>
          <t>GLENMORANGIE SINGLE MALT 10 YEAR</t>
        </is>
      </c>
      <c r="C2093" s="7">
        <f>VLOOKUP(A2093,SizeData!A$2:B$3839,2,FALSE)</f>
        <v/>
      </c>
      <c r="D2093" s="6" t="n">
        <v>1</v>
      </c>
      <c r="E2093" s="6" t="inlineStr">
        <is>
          <t>R1889340</t>
        </is>
      </c>
      <c r="F2093" s="2" t="n">
        <v>44902</v>
      </c>
      <c r="G2093" s="1" t="n"/>
    </row>
    <row r="2094">
      <c r="A2094" s="6" t="n">
        <v>30316</v>
      </c>
      <c r="B2094" s="6" t="inlineStr">
        <is>
          <t>GORDON'S LONDON DRY GIN</t>
        </is>
      </c>
      <c r="C2094" s="7">
        <f>VLOOKUP(A2094,SizeData!A$2:B$3839,2,FALSE)</f>
        <v/>
      </c>
      <c r="D2094" s="6" t="n">
        <v>2</v>
      </c>
      <c r="E2094" s="6" t="inlineStr">
        <is>
          <t>R1436614</t>
        </is>
      </c>
      <c r="F2094" s="2" t="n">
        <v>44586</v>
      </c>
      <c r="G2094" s="1" t="n"/>
    </row>
    <row r="2095">
      <c r="A2095" s="6" t="n">
        <v>30316</v>
      </c>
      <c r="B2095" s="6" t="inlineStr">
        <is>
          <t>GORDON'S LONDON DRY GIN</t>
        </is>
      </c>
      <c r="C2095" s="7">
        <f>VLOOKUP(A2095,SizeData!A$2:B$3839,2,FALSE)</f>
        <v/>
      </c>
      <c r="D2095" s="6" t="n">
        <v>2</v>
      </c>
      <c r="E2095" s="6" t="inlineStr">
        <is>
          <t>R1481181</t>
        </is>
      </c>
      <c r="F2095" s="2" t="n">
        <v>44614</v>
      </c>
      <c r="G2095" s="1" t="n"/>
    </row>
    <row r="2096">
      <c r="A2096" s="6" t="n">
        <v>30316</v>
      </c>
      <c r="B2096" s="6" t="inlineStr">
        <is>
          <t>GORDON'S LONDON DRY GIN</t>
        </is>
      </c>
      <c r="C2096" s="7">
        <f>VLOOKUP(A2096,SizeData!A$2:B$3839,2,FALSE)</f>
        <v/>
      </c>
      <c r="D2096" s="6" t="n">
        <v>3</v>
      </c>
      <c r="E2096" s="6" t="inlineStr">
        <is>
          <t>R1725199</t>
        </is>
      </c>
      <c r="F2096" s="2" t="n">
        <v>44775</v>
      </c>
      <c r="G2096" s="1" t="n"/>
    </row>
    <row r="2097">
      <c r="A2097" s="6" t="n">
        <v>90326</v>
      </c>
      <c r="B2097" s="6" t="inlineStr">
        <is>
          <t>GRAHAM'S 20 YEAR OLD TAWNY PORT</t>
        </is>
      </c>
      <c r="C2097" s="7">
        <f>VLOOKUP(A2097,SizeData!A$2:B$3839,2,FALSE)</f>
        <v/>
      </c>
      <c r="D2097" s="6" t="n">
        <v>1</v>
      </c>
      <c r="E2097" s="6" t="inlineStr">
        <is>
          <t>R1471358</t>
        </is>
      </c>
      <c r="F2097" s="2" t="n">
        <v>44608</v>
      </c>
      <c r="G2097" s="1" t="n"/>
    </row>
    <row r="2098">
      <c r="A2098" s="6" t="n">
        <v>90326</v>
      </c>
      <c r="B2098" s="6" t="inlineStr">
        <is>
          <t>GRAHAM'S 20 YEAR OLD TAWNY PORT</t>
        </is>
      </c>
      <c r="C2098" s="7">
        <f>VLOOKUP(A2098,SizeData!A$2:B$3839,2,FALSE)</f>
        <v/>
      </c>
      <c r="D2098" s="6" t="n">
        <v>2</v>
      </c>
      <c r="E2098" s="6" t="inlineStr">
        <is>
          <t>R1792137</t>
        </is>
      </c>
      <c r="F2098" s="2" t="n">
        <v>44835</v>
      </c>
      <c r="G2098" s="1" t="n"/>
    </row>
    <row r="2099">
      <c r="A2099" s="6" t="n">
        <v>90330</v>
      </c>
      <c r="B2099" s="6" t="inlineStr">
        <is>
          <t>GRAHAM'S 6 GRAPE PORT</t>
        </is>
      </c>
      <c r="C2099" s="7">
        <f>VLOOKUP(A2099,SizeData!A$2:B$3839,2,FALSE)</f>
        <v/>
      </c>
      <c r="D2099" s="6" t="n">
        <v>2</v>
      </c>
      <c r="E2099" s="6" t="inlineStr">
        <is>
          <t>R1383976</t>
        </is>
      </c>
      <c r="F2099" s="2" t="n">
        <v>44561</v>
      </c>
      <c r="G2099" s="1" t="n"/>
    </row>
    <row r="2100">
      <c r="A2100" s="6" t="n">
        <v>90330</v>
      </c>
      <c r="B2100" s="6" t="inlineStr">
        <is>
          <t>GRAHAM'S 6 GRAPE PORT</t>
        </is>
      </c>
      <c r="C2100" s="7">
        <f>VLOOKUP(A2100,SizeData!A$2:B$3839,2,FALSE)</f>
        <v/>
      </c>
      <c r="D2100" s="6" t="n">
        <v>2</v>
      </c>
      <c r="E2100" s="6" t="inlineStr">
        <is>
          <t>R1525413</t>
        </is>
      </c>
      <c r="F2100" s="2" t="n">
        <v>44631</v>
      </c>
      <c r="G2100" s="1" t="n"/>
    </row>
    <row r="2101">
      <c r="A2101" s="6" t="n">
        <v>90330</v>
      </c>
      <c r="B2101" s="6" t="inlineStr">
        <is>
          <t>GRAHAM'S 6 GRAPE PORT</t>
        </is>
      </c>
      <c r="C2101" s="7">
        <f>VLOOKUP(A2101,SizeData!A$2:B$3839,2,FALSE)</f>
        <v/>
      </c>
      <c r="D2101" s="6" t="n">
        <v>2</v>
      </c>
      <c r="E2101" s="6" t="inlineStr">
        <is>
          <t>R1504703</t>
        </is>
      </c>
      <c r="F2101" s="2" t="n">
        <v>44632</v>
      </c>
      <c r="G2101" s="1" t="n"/>
    </row>
    <row r="2102">
      <c r="A2102" s="6" t="n">
        <v>90330</v>
      </c>
      <c r="B2102" s="6" t="inlineStr">
        <is>
          <t>GRAHAM'S 6 GRAPE PORT</t>
        </is>
      </c>
      <c r="C2102" s="7">
        <f>VLOOKUP(A2102,SizeData!A$2:B$3839,2,FALSE)</f>
        <v/>
      </c>
      <c r="D2102" s="6" t="n">
        <v>1</v>
      </c>
      <c r="E2102" s="6" t="inlineStr">
        <is>
          <t>R1830533</t>
        </is>
      </c>
      <c r="F2102" s="2" t="n">
        <v>44852</v>
      </c>
      <c r="G2102" s="1" t="n"/>
    </row>
    <row r="2103">
      <c r="A2103" s="6" t="n">
        <v>89292</v>
      </c>
      <c r="B2103" s="6" t="inlineStr">
        <is>
          <t>GRAN CENTENARIO ANJEO TEQUILA</t>
        </is>
      </c>
      <c r="C2103" s="7">
        <f>VLOOKUP(A2103,SizeData!A$2:B$3839,2,FALSE)</f>
        <v/>
      </c>
      <c r="D2103" s="6" t="n">
        <v>1</v>
      </c>
      <c r="E2103" s="6" t="inlineStr">
        <is>
          <t>R1515367</t>
        </is>
      </c>
      <c r="F2103" s="2" t="n">
        <v>44635</v>
      </c>
      <c r="G2103" s="1" t="n"/>
    </row>
    <row r="2104">
      <c r="A2104" s="6" t="n">
        <v>89292</v>
      </c>
      <c r="B2104" s="6" t="inlineStr">
        <is>
          <t>GRAN CENTENARIO ANJEO TEQUILA</t>
        </is>
      </c>
      <c r="C2104" s="7">
        <f>VLOOKUP(A2104,SizeData!A$2:B$3839,2,FALSE)</f>
        <v/>
      </c>
      <c r="D2104" s="6" t="n">
        <v>2</v>
      </c>
      <c r="E2104" s="6" t="inlineStr">
        <is>
          <t>R1596033</t>
        </is>
      </c>
      <c r="F2104" s="2" t="n">
        <v>44683</v>
      </c>
      <c r="G2104" s="1" t="n"/>
    </row>
    <row r="2105">
      <c r="A2105" s="6" t="n">
        <v>89292</v>
      </c>
      <c r="B2105" s="6" t="inlineStr">
        <is>
          <t>GRAN CENTENARIO ANJEO TEQUILA</t>
        </is>
      </c>
      <c r="C2105" s="7">
        <f>VLOOKUP(A2105,SizeData!A$2:B$3839,2,FALSE)</f>
        <v/>
      </c>
      <c r="D2105" s="6" t="n">
        <v>1</v>
      </c>
      <c r="E2105" s="6" t="inlineStr">
        <is>
          <t>R1620910</t>
        </is>
      </c>
      <c r="F2105" s="2" t="n">
        <v>44694</v>
      </c>
      <c r="G2105" s="1" t="n"/>
    </row>
    <row r="2106">
      <c r="A2106" s="6" t="n">
        <v>87506</v>
      </c>
      <c r="B2106" s="6" t="inlineStr">
        <is>
          <t>GRAN CENTENARIO PLATA TEQ</t>
        </is>
      </c>
      <c r="C2106" s="7">
        <f>VLOOKUP(A2106,SizeData!A$2:B$3839,2,FALSE)</f>
        <v/>
      </c>
      <c r="D2106" s="6" t="n">
        <v>1</v>
      </c>
      <c r="E2106" s="6" t="inlineStr">
        <is>
          <t>R1584253</t>
        </is>
      </c>
      <c r="F2106" s="2" t="n">
        <v>44682</v>
      </c>
      <c r="G2106" s="1" t="n"/>
    </row>
    <row r="2107">
      <c r="A2107" s="6" t="n">
        <v>87506</v>
      </c>
      <c r="B2107" s="6" t="inlineStr">
        <is>
          <t>GRAN CENTENARIO PLATA TEQ</t>
        </is>
      </c>
      <c r="C2107" s="7">
        <f>VLOOKUP(A2107,SizeData!A$2:B$3839,2,FALSE)</f>
        <v/>
      </c>
      <c r="D2107" s="6" t="n">
        <v>1</v>
      </c>
      <c r="E2107" s="6" t="inlineStr">
        <is>
          <t>R1596033</t>
        </is>
      </c>
      <c r="F2107" s="2" t="n">
        <v>44683</v>
      </c>
      <c r="G2107" s="1" t="n"/>
    </row>
    <row r="2108">
      <c r="A2108" s="26" t="n">
        <v>87725</v>
      </c>
      <c r="B2108" s="26" t="inlineStr">
        <is>
          <t>GRAN CORAMINO CRISTALINO REPOSADO TEQUILA LTO</t>
        </is>
      </c>
      <c r="C2108" s="7">
        <f>VLOOKUP(A2108,SizeData!A$2:B$3839,2,FALSE)</f>
        <v/>
      </c>
      <c r="D2108" s="26" t="n">
        <v>1</v>
      </c>
      <c r="E2108" s="26" t="inlineStr">
        <is>
          <t>R1760922</t>
        </is>
      </c>
      <c r="F2108" s="61" t="n">
        <v>44805</v>
      </c>
      <c r="G2108" s="62" t="n"/>
    </row>
    <row r="2109">
      <c r="A2109" s="6" t="n">
        <v>87725</v>
      </c>
      <c r="B2109" s="6" t="inlineStr">
        <is>
          <t>GRAN CORAMINO CRISTALINO REPOSADO TEQUILA LTO</t>
        </is>
      </c>
      <c r="C2109" s="7">
        <f>VLOOKUP(A2109,SizeData!A$2:B$3839,2,FALSE)</f>
        <v/>
      </c>
      <c r="D2109" s="6" t="n">
        <v>2</v>
      </c>
      <c r="E2109" s="6" t="inlineStr">
        <is>
          <t>R1811635</t>
        </is>
      </c>
      <c r="F2109" s="2" t="n">
        <v>44845</v>
      </c>
      <c r="G2109" s="1" t="n"/>
    </row>
    <row r="2110">
      <c r="A2110" s="6" t="n">
        <v>65120</v>
      </c>
      <c r="B2110" s="6" t="inlineStr">
        <is>
          <t>GRAND MARNIER</t>
        </is>
      </c>
      <c r="C2110" s="7">
        <f>VLOOKUP(A2110,SizeData!A$2:B$3839,2,FALSE)</f>
        <v/>
      </c>
      <c r="D2110" s="6" t="n">
        <v>1</v>
      </c>
      <c r="E2110" s="6" t="inlineStr">
        <is>
          <t>R1605719</t>
        </is>
      </c>
      <c r="F2110" s="2" t="n">
        <v>44685</v>
      </c>
      <c r="G2110" s="1" t="n"/>
    </row>
    <row r="2111">
      <c r="A2111" s="6" t="n">
        <v>65120</v>
      </c>
      <c r="B2111" s="6" t="inlineStr">
        <is>
          <t>GRAND MARNIER</t>
        </is>
      </c>
      <c r="C2111" s="7">
        <f>VLOOKUP(A2111,SizeData!A$2:B$3839,2,FALSE)</f>
        <v/>
      </c>
      <c r="D2111" s="6" t="n">
        <v>1</v>
      </c>
      <c r="E2111" s="6" t="inlineStr">
        <is>
          <t>R1617499</t>
        </is>
      </c>
      <c r="F2111" s="2" t="n">
        <v>44706</v>
      </c>
      <c r="G2111" s="1" t="n"/>
    </row>
    <row r="2112">
      <c r="A2112" s="6" t="n">
        <v>65125</v>
      </c>
      <c r="B2112" s="6" t="inlineStr">
        <is>
          <t>GRAND MARNIER</t>
        </is>
      </c>
      <c r="C2112" s="7">
        <f>VLOOKUP(A2112,SizeData!A$2:B$3839,2,FALSE)</f>
        <v/>
      </c>
      <c r="D2112" s="6" t="n">
        <v>2</v>
      </c>
      <c r="E2112" s="6" t="inlineStr">
        <is>
          <t>R1625235</t>
        </is>
      </c>
      <c r="F2112" s="2" t="n">
        <v>44698</v>
      </c>
      <c r="G2112" s="1" t="n"/>
    </row>
    <row r="2113">
      <c r="A2113" s="6" t="n">
        <v>65126</v>
      </c>
      <c r="B2113" s="6" t="inlineStr">
        <is>
          <t>GRAND MARNIER</t>
        </is>
      </c>
      <c r="C2113" s="7">
        <f>VLOOKUP(A2113,SizeData!A$2:B$3839,2,FALSE)</f>
        <v/>
      </c>
      <c r="D2113" s="6" t="n">
        <v>1</v>
      </c>
      <c r="E2113" s="6" t="inlineStr">
        <is>
          <t>R1393008</t>
        </is>
      </c>
      <c r="F2113" s="2" t="n">
        <v>44558</v>
      </c>
      <c r="G2113" s="1" t="n"/>
    </row>
    <row r="2114">
      <c r="A2114" s="6" t="n">
        <v>65126</v>
      </c>
      <c r="B2114" s="6" t="inlineStr">
        <is>
          <t>GRAND MARNIER</t>
        </is>
      </c>
      <c r="C2114" s="7">
        <f>VLOOKUP(A2114,SizeData!A$2:B$3839,2,FALSE)</f>
        <v/>
      </c>
      <c r="D2114" s="6" t="n">
        <v>3</v>
      </c>
      <c r="E2114" s="6" t="inlineStr">
        <is>
          <t>R1529670</t>
        </is>
      </c>
      <c r="F2114" s="2" t="n">
        <v>44652</v>
      </c>
      <c r="G2114" s="1" t="n"/>
    </row>
    <row r="2115">
      <c r="A2115" s="6" t="n">
        <v>65126</v>
      </c>
      <c r="B2115" s="6" t="inlineStr">
        <is>
          <t>GRAND MARNIER</t>
        </is>
      </c>
      <c r="C2115" s="7">
        <f>VLOOKUP(A2115,SizeData!A$2:B$3839,2,FALSE)</f>
        <v/>
      </c>
      <c r="D2115" s="6" t="n">
        <v>4</v>
      </c>
      <c r="E2115" s="6" t="inlineStr">
        <is>
          <t>R1555356</t>
        </is>
      </c>
      <c r="F2115" s="2" t="n">
        <v>44654</v>
      </c>
      <c r="G2115" s="1" t="n"/>
    </row>
    <row r="2116">
      <c r="A2116" s="6" t="n">
        <v>65126</v>
      </c>
      <c r="B2116" s="6" t="inlineStr">
        <is>
          <t>GRAND MARNIER</t>
        </is>
      </c>
      <c r="C2116" s="7">
        <f>VLOOKUP(A2116,SizeData!A$2:B$3839,2,FALSE)</f>
        <v/>
      </c>
      <c r="D2116" s="6" t="n">
        <v>4</v>
      </c>
      <c r="E2116" s="6" t="inlineStr">
        <is>
          <t>R1588623</t>
        </is>
      </c>
      <c r="F2116" s="2" t="n">
        <v>44681</v>
      </c>
      <c r="G2116" s="1" t="n"/>
    </row>
    <row r="2117">
      <c r="A2117" s="6" t="n">
        <v>65126</v>
      </c>
      <c r="B2117" s="6" t="inlineStr">
        <is>
          <t>GRAND MARNIER</t>
        </is>
      </c>
      <c r="C2117" s="7">
        <f>VLOOKUP(A2117,SizeData!A$2:B$3839,2,FALSE)</f>
        <v/>
      </c>
      <c r="D2117" s="6" t="n">
        <v>1</v>
      </c>
      <c r="E2117" s="6" t="inlineStr">
        <is>
          <t>R1588623</t>
        </is>
      </c>
      <c r="F2117" s="2" t="n">
        <v>44681</v>
      </c>
      <c r="G2117" s="1" t="n"/>
    </row>
    <row r="2118">
      <c r="A2118" s="6" t="n">
        <v>66936</v>
      </c>
      <c r="B2118" s="6" t="inlineStr">
        <is>
          <t>GRANGALA TRIPLE ORANGE PROPRIETARY LIQ</t>
        </is>
      </c>
      <c r="C2118" s="7">
        <f>VLOOKUP(A2118,SizeData!A$2:B$3839,2,FALSE)</f>
        <v/>
      </c>
      <c r="D2118" s="6" t="n">
        <v>1</v>
      </c>
      <c r="E2118" s="6" t="inlineStr">
        <is>
          <t>R1471889</t>
        </is>
      </c>
      <c r="F2118" s="2" t="n">
        <v>44611</v>
      </c>
      <c r="G2118" s="1" t="n"/>
    </row>
    <row r="2119">
      <c r="A2119" s="6" t="n">
        <v>66936</v>
      </c>
      <c r="B2119" s="6" t="inlineStr">
        <is>
          <t>GRANGALA TRIPLE ORANGE PROPRIETARY LIQ</t>
        </is>
      </c>
      <c r="C2119" s="7">
        <f>VLOOKUP(A2119,SizeData!A$2:B$3839,2,FALSE)</f>
        <v/>
      </c>
      <c r="D2119" s="6" t="n">
        <v>1</v>
      </c>
      <c r="E2119" s="6" t="inlineStr">
        <is>
          <t>R1725567</t>
        </is>
      </c>
      <c r="F2119" s="2" t="n">
        <v>44779</v>
      </c>
      <c r="G2119" s="1" t="n"/>
    </row>
    <row r="2120">
      <c r="A2120" s="6" t="n">
        <v>66936</v>
      </c>
      <c r="B2120" s="6" t="inlineStr">
        <is>
          <t>GRANGALA TRIPLE ORANGE PROPRIETARY LIQ</t>
        </is>
      </c>
      <c r="C2120" s="7">
        <f>VLOOKUP(A2120,SizeData!A$2:B$3839,2,FALSE)</f>
        <v/>
      </c>
      <c r="D2120" s="6" t="n">
        <v>2</v>
      </c>
      <c r="E2120" s="6" t="inlineStr">
        <is>
          <t>R1866868</t>
        </is>
      </c>
      <c r="F2120" s="2" t="n">
        <v>44882</v>
      </c>
      <c r="G2120" s="1" t="n"/>
    </row>
    <row r="2121">
      <c r="A2121" s="6" t="n">
        <v>34425</v>
      </c>
      <c r="B2121" s="6" t="inlineStr">
        <is>
          <t>GREY GOOSE IMPORTED VODKA</t>
        </is>
      </c>
      <c r="C2121" s="7">
        <f>VLOOKUP(A2121,SizeData!A$2:B$3839,2,FALSE)</f>
        <v/>
      </c>
      <c r="D2121" s="6" t="n">
        <v>2</v>
      </c>
      <c r="E2121" s="6" t="inlineStr">
        <is>
          <t>R1512696</t>
        </is>
      </c>
      <c r="F2121" s="2" t="n">
        <v>44637</v>
      </c>
      <c r="G2121" s="1" t="n"/>
    </row>
    <row r="2122">
      <c r="A2122" s="6" t="n">
        <v>34425</v>
      </c>
      <c r="B2122" s="6" t="inlineStr">
        <is>
          <t>GREY GOOSE IMPORTED VODKA</t>
        </is>
      </c>
      <c r="C2122" s="7">
        <f>VLOOKUP(A2122,SizeData!A$2:B$3839,2,FALSE)</f>
        <v/>
      </c>
      <c r="D2122" s="6" t="n">
        <v>8</v>
      </c>
      <c r="E2122" s="6" t="inlineStr">
        <is>
          <t>R1555499</t>
        </is>
      </c>
      <c r="F2122" s="2" t="n">
        <v>44657</v>
      </c>
      <c r="G2122" s="1" t="n"/>
    </row>
    <row r="2123">
      <c r="A2123" s="6" t="n">
        <v>34425</v>
      </c>
      <c r="B2123" s="6" t="inlineStr">
        <is>
          <t>GREY GOOSE IMPORTED VODKA</t>
        </is>
      </c>
      <c r="C2123" s="7">
        <f>VLOOKUP(A2123,SizeData!A$2:B$3839,2,FALSE)</f>
        <v/>
      </c>
      <c r="D2123" s="6" t="n">
        <v>17</v>
      </c>
      <c r="E2123" s="6" t="inlineStr">
        <is>
          <t>R1555499</t>
        </is>
      </c>
      <c r="F2123" s="2" t="n">
        <v>44657</v>
      </c>
      <c r="G2123" s="1" t="n"/>
    </row>
    <row r="2124">
      <c r="A2124" s="6" t="n">
        <v>34425</v>
      </c>
      <c r="B2124" s="6" t="inlineStr">
        <is>
          <t>GREY GOOSE IMPORTED VODKA</t>
        </is>
      </c>
      <c r="C2124" s="7">
        <f>VLOOKUP(A2124,SizeData!A$2:B$3839,2,FALSE)</f>
        <v/>
      </c>
      <c r="D2124" s="6" t="n">
        <v>1</v>
      </c>
      <c r="E2124" s="6" t="inlineStr">
        <is>
          <t>R1690045</t>
        </is>
      </c>
      <c r="F2124" s="2" t="n">
        <v>44753</v>
      </c>
      <c r="G2124" s="1" t="n"/>
    </row>
    <row r="2125">
      <c r="A2125" s="6" t="n">
        <v>34425</v>
      </c>
      <c r="B2125" s="6" t="inlineStr">
        <is>
          <t>GREY GOOSE IMPORTED VODKA</t>
        </is>
      </c>
      <c r="C2125" s="7">
        <f>VLOOKUP(A2125,SizeData!A$2:B$3839,2,FALSE)</f>
        <v/>
      </c>
      <c r="D2125" s="6" t="n">
        <v>1</v>
      </c>
      <c r="E2125" s="6" t="inlineStr">
        <is>
          <t>R1721375</t>
        </is>
      </c>
      <c r="F2125" s="2" t="n">
        <v>44775</v>
      </c>
      <c r="G2125" s="1" t="n"/>
    </row>
    <row r="2126">
      <c r="A2126" s="6" t="n">
        <v>34425</v>
      </c>
      <c r="B2126" s="6" t="inlineStr">
        <is>
          <t>GREY GOOSE IMPORTED VODKA</t>
        </is>
      </c>
      <c r="C2126" s="7">
        <f>VLOOKUP(A2126,SizeData!A$2:B$3839,2,FALSE)</f>
        <v/>
      </c>
      <c r="D2126" s="6" t="n">
        <v>2</v>
      </c>
      <c r="E2126" s="6" t="inlineStr">
        <is>
          <t>R1736016</t>
        </is>
      </c>
      <c r="F2126" s="2" t="n">
        <v>44783</v>
      </c>
      <c r="G2126" s="1" t="n"/>
    </row>
    <row r="2127">
      <c r="A2127" s="6" t="n">
        <v>34425</v>
      </c>
      <c r="B2127" s="6" t="inlineStr">
        <is>
          <t>GREY GOOSE IMPORTED VODKA</t>
        </is>
      </c>
      <c r="C2127" s="7">
        <f>VLOOKUP(A2127,SizeData!A$2:B$3839,2,FALSE)</f>
        <v/>
      </c>
      <c r="D2127" s="6" t="n">
        <v>20</v>
      </c>
      <c r="E2127" s="6" t="inlineStr">
        <is>
          <t>R1759269</t>
        </is>
      </c>
      <c r="F2127" s="2" t="n">
        <v>44811</v>
      </c>
      <c r="G2127" s="1" t="n"/>
    </row>
    <row r="2128">
      <c r="A2128" s="6" t="n">
        <v>34422</v>
      </c>
      <c r="B2128" s="6" t="inlineStr">
        <is>
          <t>GREY GOOSE IMPORTED VODKA</t>
        </is>
      </c>
      <c r="C2128" s="7">
        <f>VLOOKUP(A2128,SizeData!A$2:B$3839,2,FALSE)</f>
        <v/>
      </c>
      <c r="D2128" s="6" t="n">
        <v>5</v>
      </c>
      <c r="E2128" s="6" t="inlineStr">
        <is>
          <t>R1467852</t>
        </is>
      </c>
      <c r="F2128" s="2" t="n">
        <v>44608</v>
      </c>
      <c r="G2128" s="1" t="n"/>
    </row>
    <row r="2129">
      <c r="A2129" s="6" t="n">
        <v>34422</v>
      </c>
      <c r="B2129" s="6" t="inlineStr">
        <is>
          <t>GREY GOOSE IMPORTED VODKA</t>
        </is>
      </c>
      <c r="C2129" s="7">
        <f>VLOOKUP(A2129,SizeData!A$2:B$3839,2,FALSE)</f>
        <v/>
      </c>
      <c r="D2129" s="6" t="n">
        <v>5</v>
      </c>
      <c r="E2129" s="6" t="inlineStr">
        <is>
          <t>R1522416</t>
        </is>
      </c>
      <c r="F2129" s="2" t="n">
        <v>44641</v>
      </c>
      <c r="G2129" s="1" t="n"/>
    </row>
    <row r="2130">
      <c r="A2130" s="6" t="n">
        <v>34422</v>
      </c>
      <c r="B2130" s="6" t="inlineStr">
        <is>
          <t>GREY GOOSE IMPORTED VODKA</t>
        </is>
      </c>
      <c r="C2130" s="7">
        <f>VLOOKUP(A2130,SizeData!A$2:B$3839,2,FALSE)</f>
        <v/>
      </c>
      <c r="D2130" s="6" t="n">
        <v>2</v>
      </c>
      <c r="E2130" s="6" t="inlineStr">
        <is>
          <t>R1597736</t>
        </is>
      </c>
      <c r="F2130" s="2" t="n">
        <v>44686</v>
      </c>
      <c r="G2130" s="1" t="n"/>
    </row>
    <row r="2131">
      <c r="A2131" s="6" t="n">
        <v>34422</v>
      </c>
      <c r="B2131" s="6" t="inlineStr">
        <is>
          <t>GREY GOOSE IMPORTED VODKA</t>
        </is>
      </c>
      <c r="C2131" s="7">
        <f>VLOOKUP(A2131,SizeData!A$2:B$3839,2,FALSE)</f>
        <v/>
      </c>
      <c r="D2131" s="6" t="n">
        <v>2</v>
      </c>
      <c r="E2131" s="6" t="inlineStr">
        <is>
          <t>R1681165</t>
        </is>
      </c>
      <c r="F2131" s="2" t="n">
        <v>44758</v>
      </c>
      <c r="G2131" s="1" t="n"/>
    </row>
    <row r="2132">
      <c r="A2132" s="6" t="n">
        <v>34422</v>
      </c>
      <c r="B2132" s="6" t="inlineStr">
        <is>
          <t>GREY GOOSE IMPORTED VODKA</t>
        </is>
      </c>
      <c r="C2132" s="7">
        <f>VLOOKUP(A2132,SizeData!A$2:B$3839,2,FALSE)</f>
        <v/>
      </c>
      <c r="D2132" s="6" t="n">
        <v>2</v>
      </c>
      <c r="E2132" s="6" t="inlineStr">
        <is>
          <t>R1727399</t>
        </is>
      </c>
      <c r="F2132" s="2" t="n">
        <v>44786</v>
      </c>
      <c r="G2132" s="1" t="n"/>
    </row>
    <row r="2133">
      <c r="A2133" s="6" t="n">
        <v>34422</v>
      </c>
      <c r="B2133" s="6" t="inlineStr">
        <is>
          <t>GREY GOOSE IMPORTED VODKA</t>
        </is>
      </c>
      <c r="C2133" s="7">
        <f>VLOOKUP(A2133,SizeData!A$2:B$3839,2,FALSE)</f>
        <v/>
      </c>
      <c r="D2133" s="6" t="n">
        <v>1</v>
      </c>
      <c r="E2133" s="6" t="inlineStr">
        <is>
          <t>R1763315</t>
        </is>
      </c>
      <c r="F2133" s="2" t="n">
        <v>44814</v>
      </c>
      <c r="G2133" s="1" t="n"/>
    </row>
    <row r="2134">
      <c r="A2134" s="6" t="n">
        <v>34422</v>
      </c>
      <c r="B2134" s="6" t="inlineStr">
        <is>
          <t>GREY GOOSE IMPORTED VODKA</t>
        </is>
      </c>
      <c r="C2134" s="7">
        <f>VLOOKUP(A2134,SizeData!A$2:B$3839,2,FALSE)</f>
        <v/>
      </c>
      <c r="D2134" s="6" t="n">
        <v>2</v>
      </c>
      <c r="E2134" s="6" t="inlineStr">
        <is>
          <t>R1768922</t>
        </is>
      </c>
      <c r="F2134" s="2" t="n">
        <v>44819</v>
      </c>
      <c r="G2134" s="1" t="n"/>
    </row>
    <row r="2135">
      <c r="A2135" s="6" t="n">
        <v>34422</v>
      </c>
      <c r="B2135" s="6" t="inlineStr">
        <is>
          <t>GREY GOOSE IMPORTED VODKA</t>
        </is>
      </c>
      <c r="C2135" s="7">
        <f>VLOOKUP(A2135,SizeData!A$2:B$3839,2,FALSE)</f>
        <v/>
      </c>
      <c r="D2135" s="6" t="n">
        <v>1</v>
      </c>
      <c r="E2135" s="6" t="inlineStr">
        <is>
          <t>R1827327</t>
        </is>
      </c>
      <c r="F2135" s="2" t="n">
        <v>44856</v>
      </c>
      <c r="G2135" s="1" t="n"/>
    </row>
    <row r="2136">
      <c r="A2136" s="6" t="n">
        <v>34422</v>
      </c>
      <c r="B2136" s="6" t="inlineStr">
        <is>
          <t>GREY GOOSE IMPORTED VODKA</t>
        </is>
      </c>
      <c r="C2136" s="7">
        <f>VLOOKUP(A2136,SizeData!A$2:B$3839,2,FALSE)</f>
        <v/>
      </c>
      <c r="D2136" s="6" t="n">
        <v>2</v>
      </c>
      <c r="E2136" s="6" t="inlineStr">
        <is>
          <t>R1840965</t>
        </is>
      </c>
      <c r="F2136" s="2" t="n">
        <v>44863</v>
      </c>
      <c r="G2136" s="1" t="n"/>
    </row>
    <row r="2137">
      <c r="A2137" s="6" t="n">
        <v>34422</v>
      </c>
      <c r="B2137" s="6" t="inlineStr">
        <is>
          <t>GREY GOOSE IMPORTED VODKA</t>
        </is>
      </c>
      <c r="C2137" s="7">
        <f>VLOOKUP(A2137,SizeData!A$2:B$3839,2,FALSE)</f>
        <v/>
      </c>
      <c r="D2137" s="6" t="n">
        <v>2</v>
      </c>
      <c r="E2137" s="6" t="inlineStr">
        <is>
          <t>R1892470</t>
        </is>
      </c>
      <c r="F2137" s="2" t="n">
        <v>44902</v>
      </c>
      <c r="G2137" s="1" t="n"/>
    </row>
    <row r="2138">
      <c r="A2138" s="6" t="n">
        <v>34359</v>
      </c>
      <c r="B2138" s="6" t="inlineStr">
        <is>
          <t>GREY GOOSE IMPORTED VODKA</t>
        </is>
      </c>
      <c r="C2138" s="7">
        <f>VLOOKUP(A2138,SizeData!A$2:B$3839,2,FALSE)</f>
        <v/>
      </c>
      <c r="D2138" s="6" t="n">
        <v>4</v>
      </c>
      <c r="E2138" s="6" t="inlineStr">
        <is>
          <t>R1501158</t>
        </is>
      </c>
      <c r="F2138" s="2" t="n">
        <v>44627</v>
      </c>
      <c r="G2138" s="1" t="n"/>
    </row>
    <row r="2139">
      <c r="A2139" s="6" t="n">
        <v>34359</v>
      </c>
      <c r="B2139" s="6" t="inlineStr">
        <is>
          <t>GREY GOOSE IMPORTED VODKA</t>
        </is>
      </c>
      <c r="C2139" s="7">
        <f>VLOOKUP(A2139,SizeData!A$2:B$3839,2,FALSE)</f>
        <v/>
      </c>
      <c r="D2139" s="6" t="n">
        <v>1</v>
      </c>
      <c r="E2139" s="6" t="inlineStr">
        <is>
          <t>R1597736</t>
        </is>
      </c>
      <c r="F2139" s="2" t="n">
        <v>44686</v>
      </c>
      <c r="G2139" s="1" t="n"/>
    </row>
    <row r="2140">
      <c r="A2140" s="6" t="n">
        <v>34359</v>
      </c>
      <c r="B2140" s="6" t="inlineStr">
        <is>
          <t>GREY GOOSE IMPORTED VODKA</t>
        </is>
      </c>
      <c r="C2140" s="7">
        <f>VLOOKUP(A2140,SizeData!A$2:B$3839,2,FALSE)</f>
        <v/>
      </c>
      <c r="D2140" s="6" t="n">
        <v>2</v>
      </c>
      <c r="E2140" s="6" t="inlineStr">
        <is>
          <t>R1710843</t>
        </is>
      </c>
      <c r="F2140" s="2" t="n">
        <v>44764</v>
      </c>
      <c r="G2140" s="1" t="n"/>
    </row>
    <row r="2141">
      <c r="A2141" s="6" t="n">
        <v>34359</v>
      </c>
      <c r="B2141" s="6" t="inlineStr">
        <is>
          <t>GREY GOOSE IMPORTED VODKA</t>
        </is>
      </c>
      <c r="C2141" s="7">
        <f>VLOOKUP(A2141,SizeData!A$2:B$3839,2,FALSE)</f>
        <v/>
      </c>
      <c r="D2141" s="6" t="n">
        <v>1</v>
      </c>
      <c r="E2141" s="6" t="inlineStr">
        <is>
          <t>R1768922</t>
        </is>
      </c>
      <c r="F2141" s="2" t="n">
        <v>44819</v>
      </c>
      <c r="G2141" s="1" t="n"/>
    </row>
    <row r="2142">
      <c r="A2142" s="6" t="n">
        <v>34359</v>
      </c>
      <c r="B2142" s="6" t="inlineStr">
        <is>
          <t>GREY GOOSE IMPORTED VODKA</t>
        </is>
      </c>
      <c r="C2142" s="7">
        <f>VLOOKUP(A2142,SizeData!A$2:B$3839,2,FALSE)</f>
        <v/>
      </c>
      <c r="D2142" s="6" t="n">
        <v>1</v>
      </c>
      <c r="E2142" s="6" t="inlineStr">
        <is>
          <t>R1791500</t>
        </is>
      </c>
      <c r="F2142" s="2" t="n">
        <v>44835</v>
      </c>
      <c r="G2142" s="1" t="n"/>
    </row>
    <row r="2143">
      <c r="A2143" s="6" t="n">
        <v>34359</v>
      </c>
      <c r="B2143" s="6" t="inlineStr">
        <is>
          <t>GREY GOOSE IMPORTED VODKA</t>
        </is>
      </c>
      <c r="C2143" s="7">
        <f>VLOOKUP(A2143,SizeData!A$2:B$3839,2,FALSE)</f>
        <v/>
      </c>
      <c r="D2143" s="6" t="n">
        <v>1</v>
      </c>
      <c r="E2143" s="6" t="inlineStr">
        <is>
          <t>R1841387</t>
        </is>
      </c>
      <c r="F2143" s="2" t="n">
        <v>44869</v>
      </c>
      <c r="G2143" s="1" t="n"/>
    </row>
    <row r="2144">
      <c r="A2144" s="6" t="n">
        <v>34423</v>
      </c>
      <c r="B2144" s="6" t="inlineStr">
        <is>
          <t>GREY GOOSE IMPORTED VODKA</t>
        </is>
      </c>
      <c r="C2144" s="7">
        <f>VLOOKUP(A2144,SizeData!A$2:B$3839,2,FALSE)</f>
        <v/>
      </c>
      <c r="D2144" s="6" t="n">
        <v>4</v>
      </c>
      <c r="E2144" s="6" t="inlineStr">
        <is>
          <t>R1487835</t>
        </is>
      </c>
      <c r="F2144" s="2" t="n">
        <v>44621</v>
      </c>
      <c r="G2144" s="1" t="n"/>
    </row>
    <row r="2145">
      <c r="A2145" s="6" t="n">
        <v>34423</v>
      </c>
      <c r="B2145" s="6" t="inlineStr">
        <is>
          <t>GREY GOOSE IMPORTED VODKA</t>
        </is>
      </c>
      <c r="C2145" s="7">
        <f>VLOOKUP(A2145,SizeData!A$2:B$3839,2,FALSE)</f>
        <v/>
      </c>
      <c r="D2145" s="6" t="n">
        <v>3</v>
      </c>
      <c r="E2145" s="6" t="inlineStr">
        <is>
          <t>R1523938</t>
        </is>
      </c>
      <c r="F2145" s="2" t="n">
        <v>44642</v>
      </c>
      <c r="G2145" s="1" t="n"/>
    </row>
    <row r="2146">
      <c r="A2146" s="6" t="n">
        <v>34423</v>
      </c>
      <c r="B2146" s="6" t="inlineStr">
        <is>
          <t>GREY GOOSE IMPORTED VODKA</t>
        </is>
      </c>
      <c r="C2146" s="7">
        <f>VLOOKUP(A2146,SizeData!A$2:B$3839,2,FALSE)</f>
        <v/>
      </c>
      <c r="D2146" s="6" t="n">
        <v>1</v>
      </c>
      <c r="E2146" s="6" t="inlineStr">
        <is>
          <t>R1619359</t>
        </is>
      </c>
      <c r="F2146" s="2" t="n">
        <v>44716</v>
      </c>
      <c r="G2146" s="1" t="n"/>
    </row>
    <row r="2147">
      <c r="A2147" s="6" t="n">
        <v>34423</v>
      </c>
      <c r="B2147" s="6" t="inlineStr">
        <is>
          <t>GREY GOOSE IMPORTED VODKA</t>
        </is>
      </c>
      <c r="C2147" s="7">
        <f>VLOOKUP(A2147,SizeData!A$2:B$3839,2,FALSE)</f>
        <v/>
      </c>
      <c r="D2147" s="6" t="n">
        <v>1</v>
      </c>
      <c r="E2147" s="6" t="inlineStr">
        <is>
          <t>R1681165</t>
        </is>
      </c>
      <c r="F2147" s="2" t="n">
        <v>44758</v>
      </c>
      <c r="G2147" s="1" t="n"/>
    </row>
    <row r="2148">
      <c r="A2148" s="6" t="n">
        <v>34423</v>
      </c>
      <c r="B2148" s="6" t="inlineStr">
        <is>
          <t>GREY GOOSE IMPORTED VODKA</t>
        </is>
      </c>
      <c r="C2148" s="7">
        <f>VLOOKUP(A2148,SizeData!A$2:B$3839,2,FALSE)</f>
        <v/>
      </c>
      <c r="D2148" s="6" t="n">
        <v>1</v>
      </c>
      <c r="E2148" s="6" t="inlineStr">
        <is>
          <t>R1721375</t>
        </is>
      </c>
      <c r="F2148" s="2" t="n">
        <v>44775</v>
      </c>
      <c r="G2148" s="1" t="n"/>
    </row>
    <row r="2149">
      <c r="A2149" s="6" t="n">
        <v>34423</v>
      </c>
      <c r="B2149" s="6" t="inlineStr">
        <is>
          <t>GREY GOOSE IMPORTED VODKA</t>
        </is>
      </c>
      <c r="C2149" s="7">
        <f>VLOOKUP(A2149,SizeData!A$2:B$3839,2,FALSE)</f>
        <v/>
      </c>
      <c r="D2149" s="6" t="n">
        <v>1</v>
      </c>
      <c r="E2149" s="6" t="inlineStr">
        <is>
          <t>R1747750</t>
        </is>
      </c>
      <c r="F2149" s="2" t="n">
        <v>44802</v>
      </c>
      <c r="G2149" s="1" t="n"/>
    </row>
    <row r="2150">
      <c r="A2150" s="6" t="n">
        <v>34423</v>
      </c>
      <c r="B2150" s="6" t="inlineStr">
        <is>
          <t>GREY GOOSE IMPORTED VODKA</t>
        </is>
      </c>
      <c r="C2150" s="7">
        <f>VLOOKUP(A2150,SizeData!A$2:B$3839,2,FALSE)</f>
        <v/>
      </c>
      <c r="D2150" s="6" t="n">
        <v>2</v>
      </c>
      <c r="E2150" s="6" t="inlineStr">
        <is>
          <t>R1770694</t>
        </is>
      </c>
      <c r="F2150" s="2" t="n">
        <v>44816</v>
      </c>
      <c r="G2150" s="1" t="n"/>
    </row>
    <row r="2151">
      <c r="A2151" s="6" t="n">
        <v>34423</v>
      </c>
      <c r="B2151" s="6" t="inlineStr">
        <is>
          <t>GREY GOOSE IMPORTED VODKA</t>
        </is>
      </c>
      <c r="C2151" s="7">
        <f>VLOOKUP(A2151,SizeData!A$2:B$3839,2,FALSE)</f>
        <v/>
      </c>
      <c r="D2151" s="6" t="n">
        <v>1</v>
      </c>
      <c r="E2151" s="6" t="inlineStr">
        <is>
          <t>R1781063</t>
        </is>
      </c>
      <c r="F2151" s="2" t="n">
        <v>44823</v>
      </c>
      <c r="G2151" s="1" t="n"/>
    </row>
    <row r="2152">
      <c r="A2152" s="6" t="n">
        <v>34423</v>
      </c>
      <c r="B2152" s="6" t="inlineStr">
        <is>
          <t>GREY GOOSE IMPORTED VODKA</t>
        </is>
      </c>
      <c r="C2152" s="7">
        <f>VLOOKUP(A2152,SizeData!A$2:B$3839,2,FALSE)</f>
        <v/>
      </c>
      <c r="D2152" s="6" t="n">
        <v>1</v>
      </c>
      <c r="E2152" s="6" t="inlineStr">
        <is>
          <t>R1827327</t>
        </is>
      </c>
      <c r="F2152" s="2" t="n">
        <v>44856</v>
      </c>
      <c r="G2152" s="1" t="n"/>
    </row>
    <row r="2153">
      <c r="A2153" s="6" t="n">
        <v>34423</v>
      </c>
      <c r="B2153" s="6" t="inlineStr">
        <is>
          <t>GREY GOOSE IMPORTED VODKA</t>
        </is>
      </c>
      <c r="C2153" s="7">
        <f>VLOOKUP(A2153,SizeData!A$2:B$3839,2,FALSE)</f>
        <v/>
      </c>
      <c r="D2153" s="6" t="n">
        <v>1</v>
      </c>
      <c r="E2153" s="6" t="inlineStr">
        <is>
          <t>R1841387</t>
        </is>
      </c>
      <c r="F2153" s="2" t="n">
        <v>44869</v>
      </c>
      <c r="G2153" s="1" t="n"/>
    </row>
    <row r="2154">
      <c r="A2154" s="6" t="n">
        <v>34423</v>
      </c>
      <c r="B2154" s="6" t="inlineStr">
        <is>
          <t>GREY GOOSE IMPORTED VODKA</t>
        </is>
      </c>
      <c r="C2154" s="7">
        <f>VLOOKUP(A2154,SizeData!A$2:B$3839,2,FALSE)</f>
        <v/>
      </c>
      <c r="D2154" s="6" t="n">
        <v>1</v>
      </c>
      <c r="E2154" s="6" t="inlineStr">
        <is>
          <t>R1866529</t>
        </is>
      </c>
      <c r="F2154" s="2" t="n">
        <v>44876</v>
      </c>
      <c r="G2154" s="1" t="n"/>
    </row>
    <row r="2155">
      <c r="A2155" s="6" t="n">
        <v>34423</v>
      </c>
      <c r="B2155" s="6" t="inlineStr">
        <is>
          <t>GREY GOOSE IMPORTED VODKA</t>
        </is>
      </c>
      <c r="C2155" s="7">
        <f>VLOOKUP(A2155,SizeData!A$2:B$3839,2,FALSE)</f>
        <v/>
      </c>
      <c r="D2155" s="6" t="n">
        <v>2</v>
      </c>
      <c r="E2155" s="6" t="inlineStr">
        <is>
          <t>R1894827</t>
        </is>
      </c>
      <c r="F2155" s="2" t="n">
        <v>44902</v>
      </c>
      <c r="G2155" s="1" t="n"/>
    </row>
    <row r="2156">
      <c r="A2156" s="6" t="n">
        <v>34433</v>
      </c>
      <c r="B2156" s="6" t="inlineStr">
        <is>
          <t>GREY GOOSE IMPORTED VODKA</t>
        </is>
      </c>
      <c r="C2156" s="7">
        <f>VLOOKUP(A2156,SizeData!A$2:B$3839,2,FALSE)</f>
        <v/>
      </c>
      <c r="D2156" s="6" t="n">
        <v>3</v>
      </c>
      <c r="E2156" s="6" t="inlineStr">
        <is>
          <t>R1467852</t>
        </is>
      </c>
      <c r="F2156" s="2" t="n">
        <v>44608</v>
      </c>
      <c r="G2156" s="1" t="n"/>
    </row>
    <row r="2157">
      <c r="A2157" s="6" t="n">
        <v>34433</v>
      </c>
      <c r="B2157" s="6" t="inlineStr">
        <is>
          <t>GREY GOOSE IMPORTED VODKA</t>
        </is>
      </c>
      <c r="C2157" s="7">
        <f>VLOOKUP(A2157,SizeData!A$2:B$3839,2,FALSE)</f>
        <v/>
      </c>
      <c r="D2157" s="6" t="n">
        <v>10</v>
      </c>
      <c r="E2157" s="6" t="inlineStr">
        <is>
          <t>R1487835</t>
        </is>
      </c>
      <c r="F2157" s="2" t="n">
        <v>44621</v>
      </c>
      <c r="G2157" s="1" t="n"/>
    </row>
    <row r="2158">
      <c r="A2158" s="6" t="n">
        <v>34433</v>
      </c>
      <c r="B2158" s="6" t="inlineStr">
        <is>
          <t>GREY GOOSE IMPORTED VODKA</t>
        </is>
      </c>
      <c r="C2158" s="7">
        <f>VLOOKUP(A2158,SizeData!A$2:B$3839,2,FALSE)</f>
        <v/>
      </c>
      <c r="D2158" s="6" t="n">
        <v>5</v>
      </c>
      <c r="E2158" s="6" t="inlineStr">
        <is>
          <t>R1491861</t>
        </is>
      </c>
      <c r="F2158" s="2" t="n">
        <v>44623</v>
      </c>
      <c r="G2158" s="1" t="n"/>
    </row>
    <row r="2159">
      <c r="A2159" s="26" t="n">
        <v>34433</v>
      </c>
      <c r="B2159" s="26" t="inlineStr">
        <is>
          <t>GREY GOOSE IMPORTED VODKA</t>
        </is>
      </c>
      <c r="C2159" s="7">
        <f>VLOOKUP(A2159,SizeData!A$2:B$3839,2,FALSE)</f>
        <v/>
      </c>
      <c r="D2159" s="26" t="n">
        <v>1</v>
      </c>
      <c r="E2159" s="26" t="inlineStr">
        <is>
          <t>R1719137</t>
        </is>
      </c>
      <c r="F2159" s="61" t="n">
        <v>44781</v>
      </c>
      <c r="G2159" s="62" t="n"/>
    </row>
    <row r="2160">
      <c r="A2160" s="6" t="n">
        <v>34433</v>
      </c>
      <c r="B2160" s="6" t="inlineStr">
        <is>
          <t>GREY GOOSE IMPORTED VODKA</t>
        </is>
      </c>
      <c r="C2160" s="7">
        <f>VLOOKUP(A2160,SizeData!A$2:B$3839,2,FALSE)</f>
        <v/>
      </c>
      <c r="D2160" s="6" t="n">
        <v>1</v>
      </c>
      <c r="E2160" s="6" t="inlineStr">
        <is>
          <t>R1744939</t>
        </is>
      </c>
      <c r="F2160" s="2" t="n">
        <v>44804</v>
      </c>
      <c r="G2160" s="1" t="n"/>
    </row>
    <row r="2161">
      <c r="A2161" s="6" t="n">
        <v>34433</v>
      </c>
      <c r="B2161" s="6" t="inlineStr">
        <is>
          <t>GREY GOOSE IMPORTED VODKA</t>
        </is>
      </c>
      <c r="C2161" s="7">
        <f>VLOOKUP(A2161,SizeData!A$2:B$3839,2,FALSE)</f>
        <v/>
      </c>
      <c r="D2161" s="6" t="n">
        <v>2</v>
      </c>
      <c r="E2161" s="6" t="inlineStr">
        <is>
          <t>R1866529</t>
        </is>
      </c>
      <c r="F2161" s="2" t="n">
        <v>44876</v>
      </c>
      <c r="G2161" s="1" t="n"/>
    </row>
    <row r="2162">
      <c r="A2162" s="6" t="n">
        <v>34433</v>
      </c>
      <c r="B2162" s="6" t="inlineStr">
        <is>
          <t>GREY GOOSE IMPORTED VODKA</t>
        </is>
      </c>
      <c r="C2162" s="7">
        <f>VLOOKUP(A2162,SizeData!A$2:B$3839,2,FALSE)</f>
        <v/>
      </c>
      <c r="D2162" s="6" t="n">
        <v>4</v>
      </c>
      <c r="E2162" s="6" t="inlineStr">
        <is>
          <t>R1897750</t>
        </is>
      </c>
      <c r="F2162" s="2" t="n">
        <v>44902</v>
      </c>
      <c r="G2162" s="1" t="n"/>
    </row>
    <row r="2163">
      <c r="A2163" s="6" t="n">
        <v>304405</v>
      </c>
      <c r="B2163" s="6" t="inlineStr">
        <is>
          <t>GUNTRUM ROYAL BLUE BOTTLE RIESLING</t>
        </is>
      </c>
      <c r="C2163" s="7">
        <f>VLOOKUP(A2163,SizeData!A$2:B$3839,2,FALSE)</f>
        <v/>
      </c>
      <c r="D2163" s="6" t="n">
        <v>1</v>
      </c>
      <c r="E2163" s="6" t="inlineStr">
        <is>
          <t>R1448139</t>
        </is>
      </c>
      <c r="F2163" s="2" t="n">
        <v>44597</v>
      </c>
      <c r="G2163" s="1" t="n"/>
    </row>
    <row r="2164">
      <c r="A2164" s="6" t="n">
        <v>36924</v>
      </c>
      <c r="B2164" s="6" t="inlineStr">
        <is>
          <t>HAKU JAPANESE CRAFT VODKA</t>
        </is>
      </c>
      <c r="C2164" s="7">
        <f>VLOOKUP(A2164,SizeData!A$2:B$3839,2,FALSE)</f>
        <v/>
      </c>
      <c r="D2164" s="6" t="n">
        <v>1</v>
      </c>
      <c r="E2164" s="6" t="inlineStr">
        <is>
          <t>R1759302</t>
        </is>
      </c>
      <c r="F2164" s="2" t="n">
        <v>44806</v>
      </c>
      <c r="G2164" s="1" t="n"/>
    </row>
    <row r="2165">
      <c r="A2165" s="6" t="n">
        <v>36261</v>
      </c>
      <c r="B2165" s="6" t="inlineStr">
        <is>
          <t>HANGAR ONE VODKA</t>
        </is>
      </c>
      <c r="C2165" s="7">
        <f>VLOOKUP(A2165,SizeData!A$2:B$3839,2,FALSE)</f>
        <v/>
      </c>
      <c r="D2165" s="6" t="n">
        <v>1</v>
      </c>
      <c r="E2165" s="6" t="inlineStr">
        <is>
          <t>R1439543</t>
        </is>
      </c>
      <c r="F2165" s="2" t="n">
        <v>44594</v>
      </c>
      <c r="G2165" s="1" t="n"/>
    </row>
    <row r="2166">
      <c r="A2166" s="6" t="n">
        <v>52656</v>
      </c>
      <c r="B2166" s="6" t="inlineStr">
        <is>
          <t>HARTLEY VSOP BRANDY</t>
        </is>
      </c>
      <c r="C2166" s="7">
        <f>VLOOKUP(A2166,SizeData!A$2:B$3839,2,FALSE)</f>
        <v/>
      </c>
      <c r="D2166" s="6" t="n">
        <v>4</v>
      </c>
      <c r="E2166" s="6" t="inlineStr">
        <is>
          <t>R1421358</t>
        </is>
      </c>
      <c r="F2166" s="2" t="n">
        <v>44579</v>
      </c>
      <c r="G2166" s="1" t="n"/>
    </row>
    <row r="2167">
      <c r="A2167" s="6" t="n">
        <v>52656</v>
      </c>
      <c r="B2167" s="6" t="inlineStr">
        <is>
          <t>HARTLEY VSOP BRANDY</t>
        </is>
      </c>
      <c r="C2167" s="7">
        <f>VLOOKUP(A2167,SizeData!A$2:B$3839,2,FALSE)</f>
        <v/>
      </c>
      <c r="D2167" s="6" t="n">
        <v>1</v>
      </c>
      <c r="E2167" s="6" t="inlineStr">
        <is>
          <t>R1421358</t>
        </is>
      </c>
      <c r="F2167" s="2" t="n">
        <v>44579</v>
      </c>
      <c r="G2167" s="1" t="n"/>
    </row>
    <row r="2168">
      <c r="A2168" s="6" t="n">
        <v>52656</v>
      </c>
      <c r="B2168" s="6" t="inlineStr">
        <is>
          <t>HARTLEY VSOP BRANDY</t>
        </is>
      </c>
      <c r="C2168" s="7">
        <f>VLOOKUP(A2168,SizeData!A$2:B$3839,2,FALSE)</f>
        <v/>
      </c>
      <c r="D2168" s="6" t="n">
        <v>2</v>
      </c>
      <c r="E2168" s="6" t="inlineStr">
        <is>
          <t>R1522416</t>
        </is>
      </c>
      <c r="F2168" s="2" t="n">
        <v>44641</v>
      </c>
      <c r="G2168" s="1" t="n"/>
    </row>
    <row r="2169">
      <c r="A2169" s="6" t="n">
        <v>52656</v>
      </c>
      <c r="B2169" s="6" t="inlineStr">
        <is>
          <t>HARTLEY VSOP BRANDY</t>
        </is>
      </c>
      <c r="C2169" s="7">
        <f>VLOOKUP(A2169,SizeData!A$2:B$3839,2,FALSE)</f>
        <v/>
      </c>
      <c r="D2169" s="6" t="n">
        <v>3</v>
      </c>
      <c r="E2169" s="6" t="inlineStr">
        <is>
          <t>R1605719</t>
        </is>
      </c>
      <c r="F2169" s="2" t="n">
        <v>44685</v>
      </c>
      <c r="G2169" s="1" t="n"/>
    </row>
    <row r="2170">
      <c r="A2170" s="6" t="n">
        <v>52656</v>
      </c>
      <c r="B2170" s="6" t="inlineStr">
        <is>
          <t>HARTLEY VSOP BRANDY</t>
        </is>
      </c>
      <c r="C2170" s="7">
        <f>VLOOKUP(A2170,SizeData!A$2:B$3839,2,FALSE)</f>
        <v/>
      </c>
      <c r="D2170" s="6" t="n">
        <v>1</v>
      </c>
      <c r="E2170" s="6" t="inlineStr">
        <is>
          <t>R1630969</t>
        </is>
      </c>
      <c r="F2170" s="2" t="n">
        <v>44711</v>
      </c>
      <c r="G2170" s="1" t="n"/>
    </row>
    <row r="2171">
      <c r="A2171" s="6" t="n">
        <v>52656</v>
      </c>
      <c r="B2171" s="6" t="inlineStr">
        <is>
          <t>HARTLEY VSOP BRANDY</t>
        </is>
      </c>
      <c r="C2171" s="7">
        <f>VLOOKUP(A2171,SizeData!A$2:B$3839,2,FALSE)</f>
        <v/>
      </c>
      <c r="D2171" s="6" t="n">
        <v>1</v>
      </c>
      <c r="E2171" s="6" t="inlineStr">
        <is>
          <t>R1677409</t>
        </is>
      </c>
      <c r="F2171" s="2" t="n">
        <v>44746</v>
      </c>
      <c r="G2171" s="1" t="n"/>
    </row>
    <row r="2172">
      <c r="A2172" s="6" t="n">
        <v>52656</v>
      </c>
      <c r="B2172" s="6" t="inlineStr">
        <is>
          <t>HARTLEY VSOP BRANDY</t>
        </is>
      </c>
      <c r="C2172" s="7">
        <f>VLOOKUP(A2172,SizeData!A$2:B$3839,2,FALSE)</f>
        <v/>
      </c>
      <c r="D2172" s="6" t="n">
        <v>1</v>
      </c>
      <c r="E2172" s="6" t="inlineStr">
        <is>
          <t>R1677409</t>
        </is>
      </c>
      <c r="F2172" s="2" t="n">
        <v>44746</v>
      </c>
      <c r="G2172" s="1" t="n"/>
    </row>
    <row r="2173">
      <c r="A2173" s="6" t="n">
        <v>52656</v>
      </c>
      <c r="B2173" s="6" t="inlineStr">
        <is>
          <t>HARTLEY VSOP BRANDY</t>
        </is>
      </c>
      <c r="C2173" s="7">
        <f>VLOOKUP(A2173,SizeData!A$2:B$3839,2,FALSE)</f>
        <v/>
      </c>
      <c r="D2173" s="6" t="n">
        <v>3</v>
      </c>
      <c r="E2173" s="6" t="inlineStr">
        <is>
          <t>R1751391</t>
        </is>
      </c>
      <c r="F2173" s="2" t="n">
        <v>44805</v>
      </c>
      <c r="G2173" s="1" t="n"/>
    </row>
    <row r="2174">
      <c r="A2174" s="6" t="n">
        <v>52656</v>
      </c>
      <c r="B2174" s="6" t="inlineStr">
        <is>
          <t>HARTLEY VSOP BRANDY</t>
        </is>
      </c>
      <c r="C2174" s="7">
        <f>VLOOKUP(A2174,SizeData!A$2:B$3839,2,FALSE)</f>
        <v/>
      </c>
      <c r="D2174" s="6" t="n">
        <v>3</v>
      </c>
      <c r="E2174" s="6" t="inlineStr">
        <is>
          <t>R1789511</t>
        </is>
      </c>
      <c r="F2174" s="2" t="n">
        <v>44832</v>
      </c>
      <c r="G2174" s="1" t="n"/>
    </row>
    <row r="2175">
      <c r="A2175" s="6" t="n">
        <v>52656</v>
      </c>
      <c r="B2175" s="6" t="inlineStr">
        <is>
          <t>HARTLEY VSOP BRANDY</t>
        </is>
      </c>
      <c r="C2175" s="7">
        <f>VLOOKUP(A2175,SizeData!A$2:B$3839,2,FALSE)</f>
        <v/>
      </c>
      <c r="D2175" s="6" t="n">
        <v>4</v>
      </c>
      <c r="E2175" s="6" t="inlineStr">
        <is>
          <t>R1876430</t>
        </is>
      </c>
      <c r="F2175" s="2" t="n">
        <v>44886</v>
      </c>
      <c r="G2175" s="1" t="n"/>
    </row>
    <row r="2176">
      <c r="A2176" s="6" t="n">
        <v>24178</v>
      </c>
      <c r="B2176" s="6" t="inlineStr">
        <is>
          <t>HEAVEN HILL BLENDED WHISKEY</t>
        </is>
      </c>
      <c r="C2176" s="7">
        <f>VLOOKUP(A2176,SizeData!A$2:B$3839,2,FALSE)</f>
        <v/>
      </c>
      <c r="D2176" s="6" t="n">
        <v>5</v>
      </c>
      <c r="E2176" s="6" t="inlineStr">
        <is>
          <t>R1465137</t>
        </is>
      </c>
      <c r="F2176" s="2" t="n">
        <v>44589</v>
      </c>
      <c r="G2176" s="1" t="n"/>
    </row>
    <row r="2177">
      <c r="A2177" s="6" t="n">
        <v>28625</v>
      </c>
      <c r="B2177" s="6" t="inlineStr">
        <is>
          <t>HENDRICK'S SCOTTISH GIN</t>
        </is>
      </c>
      <c r="C2177" s="7">
        <f>VLOOKUP(A2177,SizeData!A$2:B$3839,2,FALSE)</f>
        <v/>
      </c>
      <c r="D2177" s="6" t="n">
        <v>1</v>
      </c>
      <c r="E2177" s="6" t="inlineStr">
        <is>
          <t>R1426776</t>
        </is>
      </c>
      <c r="F2177" s="2" t="n">
        <v>44585</v>
      </c>
      <c r="G2177" s="1" t="n"/>
    </row>
    <row r="2178">
      <c r="A2178" s="6" t="n">
        <v>28625</v>
      </c>
      <c r="B2178" s="6" t="inlineStr">
        <is>
          <t>HENDRICK'S SCOTTISH GIN</t>
        </is>
      </c>
      <c r="C2178" s="7">
        <f>VLOOKUP(A2178,SizeData!A$2:B$3839,2,FALSE)</f>
        <v/>
      </c>
      <c r="D2178" s="6" t="n">
        <v>1</v>
      </c>
      <c r="E2178" s="6" t="inlineStr">
        <is>
          <t>R1503957</t>
        </is>
      </c>
      <c r="F2178" s="2" t="n">
        <v>44636</v>
      </c>
      <c r="G2178" s="1" t="n"/>
    </row>
    <row r="2179">
      <c r="A2179" s="6" t="n">
        <v>28625</v>
      </c>
      <c r="B2179" s="6" t="inlineStr">
        <is>
          <t>HENDRICK'S SCOTTISH GIN</t>
        </is>
      </c>
      <c r="C2179" s="7">
        <f>VLOOKUP(A2179,SizeData!A$2:B$3839,2,FALSE)</f>
        <v/>
      </c>
      <c r="D2179" s="6" t="n">
        <v>1</v>
      </c>
      <c r="E2179" s="6" t="inlineStr">
        <is>
          <t>R1584253</t>
        </is>
      </c>
      <c r="F2179" s="2" t="n">
        <v>44682</v>
      </c>
      <c r="G2179" s="1" t="n"/>
    </row>
    <row r="2180">
      <c r="A2180" s="6" t="n">
        <v>28625</v>
      </c>
      <c r="B2180" s="6" t="inlineStr">
        <is>
          <t>HENDRICK'S SCOTTISH GIN</t>
        </is>
      </c>
      <c r="C2180" s="7">
        <f>VLOOKUP(A2180,SizeData!A$2:B$3839,2,FALSE)</f>
        <v/>
      </c>
      <c r="D2180" s="6" t="n">
        <v>1</v>
      </c>
      <c r="E2180" s="6" t="inlineStr">
        <is>
          <t>R1719137</t>
        </is>
      </c>
      <c r="F2180" s="2" t="n">
        <v>44781</v>
      </c>
      <c r="G2180" s="1" t="n"/>
    </row>
    <row r="2181">
      <c r="A2181" s="6" t="n">
        <v>28625</v>
      </c>
      <c r="B2181" s="6" t="inlineStr">
        <is>
          <t>HENDRICK'S SCOTTISH GIN</t>
        </is>
      </c>
      <c r="C2181" s="7">
        <f>VLOOKUP(A2181,SizeData!A$2:B$3839,2,FALSE)</f>
        <v/>
      </c>
      <c r="D2181" s="6" t="n">
        <v>1</v>
      </c>
      <c r="E2181" s="6" t="inlineStr">
        <is>
          <t>R1740439</t>
        </is>
      </c>
      <c r="F2181" s="2" t="n">
        <v>44793</v>
      </c>
      <c r="G2181" s="1" t="n"/>
    </row>
    <row r="2182">
      <c r="A2182" s="6" t="n">
        <v>28625</v>
      </c>
      <c r="B2182" s="6" t="inlineStr">
        <is>
          <t>HENDRICK'S SCOTTISH GIN</t>
        </is>
      </c>
      <c r="C2182" s="7">
        <f>VLOOKUP(A2182,SizeData!A$2:B$3839,2,FALSE)</f>
        <v/>
      </c>
      <c r="D2182" s="6" t="n">
        <v>1</v>
      </c>
      <c r="E2182" s="6" t="inlineStr">
        <is>
          <t>R1830533</t>
        </is>
      </c>
      <c r="F2182" s="2" t="n">
        <v>44852</v>
      </c>
      <c r="G2182" s="1" t="n"/>
    </row>
    <row r="2183">
      <c r="A2183" s="6" t="n">
        <v>48099</v>
      </c>
      <c r="B2183" s="6" t="inlineStr">
        <is>
          <t>HENNESSY V S COGNAC</t>
        </is>
      </c>
      <c r="C2183" s="7">
        <f>VLOOKUP(A2183,SizeData!A$2:B$3839,2,FALSE)</f>
        <v/>
      </c>
      <c r="D2183" s="6" t="n">
        <v>10</v>
      </c>
      <c r="E2183" s="6" t="inlineStr">
        <is>
          <t>R1421841</t>
        </is>
      </c>
      <c r="F2183" s="2" t="n">
        <v>44580</v>
      </c>
      <c r="G2183" s="1" t="n"/>
    </row>
    <row r="2184">
      <c r="A2184" s="6" t="n">
        <v>48099</v>
      </c>
      <c r="B2184" s="6" t="inlineStr">
        <is>
          <t>HENNESSY V S COGNAC</t>
        </is>
      </c>
      <c r="C2184" s="7">
        <f>VLOOKUP(A2184,SizeData!A$2:B$3839,2,FALSE)</f>
        <v/>
      </c>
      <c r="D2184" s="6" t="n">
        <v>10</v>
      </c>
      <c r="E2184" s="6" t="inlineStr">
        <is>
          <t>R1458227</t>
        </is>
      </c>
      <c r="F2184" s="2" t="n">
        <v>44606</v>
      </c>
      <c r="G2184" s="1" t="n"/>
    </row>
    <row r="2185">
      <c r="A2185" s="6" t="n">
        <v>48099</v>
      </c>
      <c r="B2185" s="6" t="inlineStr">
        <is>
          <t>HENNESSY V S COGNAC</t>
        </is>
      </c>
      <c r="C2185" s="7">
        <f>VLOOKUP(A2185,SizeData!A$2:B$3839,2,FALSE)</f>
        <v/>
      </c>
      <c r="D2185" s="6" t="n">
        <v>10</v>
      </c>
      <c r="E2185" s="6" t="inlineStr">
        <is>
          <t>R1618585</t>
        </is>
      </c>
      <c r="F2185" s="2" t="n">
        <v>44712</v>
      </c>
      <c r="G2185" s="1" t="n"/>
    </row>
    <row r="2186">
      <c r="A2186" s="6" t="n">
        <v>48099</v>
      </c>
      <c r="B2186" s="6" t="inlineStr">
        <is>
          <t>HENNESSY V S COGNAC</t>
        </is>
      </c>
      <c r="C2186" s="7">
        <f>VLOOKUP(A2186,SizeData!A$2:B$3839,2,FALSE)</f>
        <v/>
      </c>
      <c r="D2186" s="6" t="n">
        <v>10</v>
      </c>
      <c r="E2186" s="6" t="inlineStr">
        <is>
          <t>R1653716</t>
        </is>
      </c>
      <c r="F2186" s="2" t="n">
        <v>44734</v>
      </c>
      <c r="G2186" s="1" t="n"/>
    </row>
    <row r="2187">
      <c r="A2187" s="6" t="n">
        <v>48099</v>
      </c>
      <c r="B2187" s="6" t="inlineStr">
        <is>
          <t>HENNESSY V S COGNAC</t>
        </is>
      </c>
      <c r="C2187" s="7">
        <f>VLOOKUP(A2187,SizeData!A$2:B$3839,2,FALSE)</f>
        <v/>
      </c>
      <c r="D2187" s="6" t="n">
        <v>10</v>
      </c>
      <c r="E2187" s="6" t="inlineStr">
        <is>
          <t>R1761444</t>
        </is>
      </c>
      <c r="F2187" s="2" t="n">
        <v>44810</v>
      </c>
      <c r="G2187" s="1" t="n"/>
    </row>
    <row r="2188">
      <c r="A2188" s="6" t="n">
        <v>48099</v>
      </c>
      <c r="B2188" s="6" t="inlineStr">
        <is>
          <t>HENNESSY V S COGNAC</t>
        </is>
      </c>
      <c r="C2188" s="7">
        <f>VLOOKUP(A2188,SizeData!A$2:B$3839,2,FALSE)</f>
        <v/>
      </c>
      <c r="D2188" s="6" t="n">
        <v>10</v>
      </c>
      <c r="E2188" s="6" t="inlineStr">
        <is>
          <t>R1785507</t>
        </is>
      </c>
      <c r="F2188" s="2" t="n">
        <v>44817</v>
      </c>
      <c r="G2188" s="1" t="n"/>
    </row>
    <row r="2189">
      <c r="A2189" s="6" t="n">
        <v>48101</v>
      </c>
      <c r="B2189" s="6" t="inlineStr">
        <is>
          <t>HENNESSY V S COGNAC</t>
        </is>
      </c>
      <c r="C2189" s="7">
        <f>VLOOKUP(A2189,SizeData!A$2:B$3839,2,FALSE)</f>
        <v/>
      </c>
      <c r="D2189" s="6" t="n">
        <v>5</v>
      </c>
      <c r="E2189" s="6" t="inlineStr">
        <is>
          <t>R1385362</t>
        </is>
      </c>
      <c r="F2189" s="2" t="n">
        <v>44551</v>
      </c>
      <c r="G2189" s="1" t="n"/>
    </row>
    <row r="2190">
      <c r="A2190" s="6" t="n">
        <v>48102</v>
      </c>
      <c r="B2190" s="6" t="inlineStr">
        <is>
          <t>HENNESSY V S COGNAC</t>
        </is>
      </c>
      <c r="C2190" s="7">
        <f>VLOOKUP(A2190,SizeData!A$2:B$3839,2,FALSE)</f>
        <v/>
      </c>
      <c r="D2190" s="6" t="n">
        <v>1</v>
      </c>
      <c r="E2190" s="6" t="inlineStr">
        <is>
          <t>R1549891</t>
        </is>
      </c>
      <c r="F2190" s="2" t="n">
        <v>44656</v>
      </c>
      <c r="G2190" s="1" t="n"/>
    </row>
    <row r="2191">
      <c r="A2191" s="6" t="n">
        <v>48102</v>
      </c>
      <c r="B2191" s="6" t="inlineStr">
        <is>
          <t>HENNESSY V S COGNAC</t>
        </is>
      </c>
      <c r="C2191" s="7">
        <f>VLOOKUP(A2191,SizeData!A$2:B$3839,2,FALSE)</f>
        <v/>
      </c>
      <c r="D2191" s="6" t="n">
        <v>2</v>
      </c>
      <c r="E2191" s="6" t="inlineStr">
        <is>
          <t>R1549891</t>
        </is>
      </c>
      <c r="F2191" s="2" t="n">
        <v>44656</v>
      </c>
      <c r="G2191" s="1" t="n"/>
    </row>
    <row r="2192">
      <c r="A2192" s="6" t="n">
        <v>48102</v>
      </c>
      <c r="B2192" s="6" t="inlineStr">
        <is>
          <t>HENNESSY V S COGNAC</t>
        </is>
      </c>
      <c r="C2192" s="7">
        <f>VLOOKUP(A2192,SizeData!A$2:B$3839,2,FALSE)</f>
        <v/>
      </c>
      <c r="D2192" s="6" t="n">
        <v>5</v>
      </c>
      <c r="E2192" s="6" t="inlineStr">
        <is>
          <t>R1619711</t>
        </is>
      </c>
      <c r="F2192" s="2" t="n">
        <v>44707</v>
      </c>
      <c r="G2192" s="1" t="n"/>
    </row>
    <row r="2193">
      <c r="A2193" s="6" t="n">
        <v>48102</v>
      </c>
      <c r="B2193" s="6" t="inlineStr">
        <is>
          <t>HENNESSY V S COGNAC</t>
        </is>
      </c>
      <c r="C2193" s="7">
        <f>VLOOKUP(A2193,SizeData!A$2:B$3839,2,FALSE)</f>
        <v/>
      </c>
      <c r="D2193" s="6" t="n">
        <v>5</v>
      </c>
      <c r="E2193" s="6" t="inlineStr">
        <is>
          <t>R1789511</t>
        </is>
      </c>
      <c r="F2193" s="2" t="n">
        <v>44832</v>
      </c>
      <c r="G2193" s="1" t="n"/>
    </row>
    <row r="2194">
      <c r="A2194" s="6" t="n">
        <v>48102</v>
      </c>
      <c r="B2194" s="6" t="inlineStr">
        <is>
          <t>HENNESSY V S COGNAC</t>
        </is>
      </c>
      <c r="C2194" s="7">
        <f>VLOOKUP(A2194,SizeData!A$2:B$3839,2,FALSE)</f>
        <v/>
      </c>
      <c r="D2194" s="6" t="n">
        <v>1</v>
      </c>
      <c r="E2194" s="6" t="inlineStr">
        <is>
          <t>R1880771</t>
        </is>
      </c>
      <c r="F2194" s="2" t="n">
        <v>44895</v>
      </c>
      <c r="G2194" s="1" t="n"/>
    </row>
    <row r="2195">
      <c r="A2195" s="26" t="n">
        <v>48102</v>
      </c>
      <c r="B2195" s="26" t="inlineStr">
        <is>
          <t>HENNESSY V S COGNAC</t>
        </is>
      </c>
      <c r="C2195" s="75">
        <f>VLOOKUP(A2195,SizeData!A$2:B$3839,2,FALSE)</f>
        <v/>
      </c>
      <c r="D2195" s="26" t="n">
        <v>2</v>
      </c>
      <c r="E2195" s="26" t="inlineStr">
        <is>
          <t>R1880771</t>
        </is>
      </c>
      <c r="F2195" s="61" t="n">
        <v>44895</v>
      </c>
      <c r="G2195" s="62" t="n"/>
    </row>
    <row r="2196">
      <c r="A2196" s="6" t="n">
        <v>48105</v>
      </c>
      <c r="B2196" s="6" t="inlineStr">
        <is>
          <t>HENNESSY V S COGNAC</t>
        </is>
      </c>
      <c r="C2196" s="7">
        <f>VLOOKUP(A2196,SizeData!A$2:B$3839,2,FALSE)</f>
        <v/>
      </c>
      <c r="D2196" s="6" t="n">
        <v>10</v>
      </c>
      <c r="E2196" s="6" t="inlineStr">
        <is>
          <t>R1405299</t>
        </is>
      </c>
      <c r="F2196" s="2" t="n">
        <v>44565</v>
      </c>
      <c r="G2196" s="1" t="n"/>
    </row>
    <row r="2197">
      <c r="A2197" s="6" t="n">
        <v>48105</v>
      </c>
      <c r="B2197" s="6" t="inlineStr">
        <is>
          <t>HENNESSY V S COGNAC</t>
        </is>
      </c>
      <c r="C2197" s="7">
        <f>VLOOKUP(A2197,SizeData!A$2:B$3839,2,FALSE)</f>
        <v/>
      </c>
      <c r="D2197" s="6" t="n">
        <v>10</v>
      </c>
      <c r="E2197" s="6" t="inlineStr">
        <is>
          <t>R1437303</t>
        </is>
      </c>
      <c r="F2197" s="2" t="n">
        <v>44587</v>
      </c>
      <c r="G2197" s="1" t="n"/>
    </row>
    <row r="2198">
      <c r="A2198" s="6" t="n">
        <v>48105</v>
      </c>
      <c r="B2198" s="6" t="inlineStr">
        <is>
          <t>HENNESSY V S COGNAC</t>
        </is>
      </c>
      <c r="C2198" s="7">
        <f>VLOOKUP(A2198,SizeData!A$2:B$3839,2,FALSE)</f>
        <v/>
      </c>
      <c r="D2198" s="6" t="n">
        <v>10</v>
      </c>
      <c r="E2198" s="6" t="inlineStr">
        <is>
          <t>R1472107</t>
        </is>
      </c>
      <c r="F2198" s="2" t="n">
        <v>44608</v>
      </c>
      <c r="G2198" s="1" t="n"/>
    </row>
    <row r="2199">
      <c r="A2199" s="6" t="n">
        <v>48105</v>
      </c>
      <c r="B2199" s="6" t="inlineStr">
        <is>
          <t>HENNESSY V S COGNAC</t>
        </is>
      </c>
      <c r="C2199" s="7">
        <f>VLOOKUP(A2199,SizeData!A$2:B$3839,2,FALSE)</f>
        <v/>
      </c>
      <c r="D2199" s="6" t="n">
        <v>10</v>
      </c>
      <c r="E2199" s="6" t="inlineStr">
        <is>
          <t>R1536918</t>
        </is>
      </c>
      <c r="F2199" s="2" t="n">
        <v>44643</v>
      </c>
      <c r="G2199" s="1" t="n"/>
    </row>
    <row r="2200">
      <c r="A2200" s="6" t="n">
        <v>48105</v>
      </c>
      <c r="B2200" s="6" t="inlineStr">
        <is>
          <t>HENNESSY V S COGNAC</t>
        </is>
      </c>
      <c r="C2200" s="7">
        <f>VLOOKUP(A2200,SizeData!A$2:B$3839,2,FALSE)</f>
        <v/>
      </c>
      <c r="D2200" s="6" t="n">
        <v>3</v>
      </c>
      <c r="E2200" s="6" t="inlineStr">
        <is>
          <t>R1581758</t>
        </is>
      </c>
      <c r="F2200" s="2" t="n">
        <v>44670</v>
      </c>
      <c r="G2200" s="1" t="n"/>
    </row>
    <row r="2201">
      <c r="A2201" s="6" t="n">
        <v>48105</v>
      </c>
      <c r="B2201" s="6" t="inlineStr">
        <is>
          <t>HENNESSY V S COGNAC</t>
        </is>
      </c>
      <c r="C2201" s="7">
        <f>VLOOKUP(A2201,SizeData!A$2:B$3839,2,FALSE)</f>
        <v/>
      </c>
      <c r="D2201" s="6" t="n">
        <v>10</v>
      </c>
      <c r="E2201" s="6" t="inlineStr">
        <is>
          <t>R1622950</t>
        </is>
      </c>
      <c r="F2201" s="2" t="n">
        <v>44705</v>
      </c>
      <c r="G2201" s="1" t="n"/>
    </row>
    <row r="2202">
      <c r="A2202" s="6" t="n">
        <v>48105</v>
      </c>
      <c r="B2202" s="6" t="inlineStr">
        <is>
          <t>HENNESSY V S COGNAC</t>
        </is>
      </c>
      <c r="C2202" s="7">
        <f>VLOOKUP(A2202,SizeData!A$2:B$3839,2,FALSE)</f>
        <v/>
      </c>
      <c r="D2202" s="6" t="n">
        <v>10</v>
      </c>
      <c r="E2202" s="6" t="inlineStr">
        <is>
          <t>R1705446</t>
        </is>
      </c>
      <c r="F2202" s="2" t="n">
        <v>44763</v>
      </c>
      <c r="G2202" s="1" t="n"/>
    </row>
    <row r="2203">
      <c r="A2203" s="6" t="n">
        <v>48105</v>
      </c>
      <c r="B2203" s="6" t="inlineStr">
        <is>
          <t>HENNESSY V S COGNAC</t>
        </is>
      </c>
      <c r="C2203" s="7">
        <f>VLOOKUP(A2203,SizeData!A$2:B$3839,2,FALSE)</f>
        <v/>
      </c>
      <c r="D2203" s="6" t="n">
        <v>10</v>
      </c>
      <c r="E2203" s="6" t="inlineStr">
        <is>
          <t>R1701552</t>
        </is>
      </c>
      <c r="F2203" s="2" t="n">
        <v>44769</v>
      </c>
      <c r="G2203" s="1" t="n"/>
    </row>
    <row r="2204">
      <c r="A2204" s="6" t="n">
        <v>48105</v>
      </c>
      <c r="B2204" s="6" t="inlineStr">
        <is>
          <t>HENNESSY V S COGNAC</t>
        </is>
      </c>
      <c r="C2204" s="7">
        <f>VLOOKUP(A2204,SizeData!A$2:B$3839,2,FALSE)</f>
        <v/>
      </c>
      <c r="D2204" s="6" t="n">
        <v>10</v>
      </c>
      <c r="E2204" s="6" t="inlineStr">
        <is>
          <t>R1734093</t>
        </is>
      </c>
      <c r="F2204" s="2" t="n">
        <v>44797</v>
      </c>
      <c r="G2204" s="1" t="n"/>
    </row>
    <row r="2205">
      <c r="A2205" s="6" t="n">
        <v>48105</v>
      </c>
      <c r="B2205" s="6" t="inlineStr">
        <is>
          <t>HENNESSY V S COGNAC</t>
        </is>
      </c>
      <c r="C2205" s="7">
        <f>VLOOKUP(A2205,SizeData!A$2:B$3839,2,FALSE)</f>
        <v/>
      </c>
      <c r="D2205" s="6" t="n">
        <v>10</v>
      </c>
      <c r="E2205" s="66" t="inlineStr">
        <is>
          <t>R1786429</t>
        </is>
      </c>
      <c r="F2205" s="2" t="n">
        <v>44826</v>
      </c>
      <c r="G2205" s="1" t="n"/>
    </row>
    <row r="2206">
      <c r="A2206" s="6" t="n">
        <v>48105</v>
      </c>
      <c r="B2206" s="6" t="inlineStr">
        <is>
          <t>HENNESSY V S COGNAC</t>
        </is>
      </c>
      <c r="C2206" s="7">
        <f>VLOOKUP(A2206,SizeData!A$2:B$3839,2,FALSE)</f>
        <v/>
      </c>
      <c r="D2206" s="6" t="n">
        <v>10</v>
      </c>
      <c r="E2206" s="66" t="inlineStr">
        <is>
          <t>R1790297</t>
        </is>
      </c>
      <c r="F2206" s="2" t="n">
        <v>44827</v>
      </c>
      <c r="G2206" s="1" t="n"/>
    </row>
    <row r="2207">
      <c r="A2207" s="6" t="n">
        <v>48105</v>
      </c>
      <c r="B2207" s="6" t="inlineStr">
        <is>
          <t>HENNESSY V S COGNAC</t>
        </is>
      </c>
      <c r="C2207" s="7">
        <f>VLOOKUP(A2207,SizeData!A$2:B$3839,2,FALSE)</f>
        <v/>
      </c>
      <c r="D2207" s="6" t="n">
        <v>40</v>
      </c>
      <c r="E2207" s="6" t="inlineStr">
        <is>
          <t>R1764980</t>
        </is>
      </c>
      <c r="F2207" s="2" t="n">
        <v>44830</v>
      </c>
      <c r="G2207" s="1" t="n"/>
    </row>
    <row r="2208">
      <c r="A2208" s="6" t="n">
        <v>48106</v>
      </c>
      <c r="B2208" s="6" t="inlineStr">
        <is>
          <t>HENNESSY V S COGNAC</t>
        </is>
      </c>
      <c r="C2208" s="7">
        <f>VLOOKUP(A2208,SizeData!A$2:B$3839,2,FALSE)</f>
        <v/>
      </c>
      <c r="D2208" s="6" t="n">
        <v>10</v>
      </c>
      <c r="E2208" s="6" t="inlineStr">
        <is>
          <t>R1431036</t>
        </is>
      </c>
      <c r="F2208" s="2" t="n">
        <v>44581</v>
      </c>
      <c r="G2208" s="1" t="n"/>
    </row>
    <row r="2209">
      <c r="A2209" s="6" t="n">
        <v>48106</v>
      </c>
      <c r="B2209" s="6" t="inlineStr">
        <is>
          <t>HENNESSY V S COGNAC</t>
        </is>
      </c>
      <c r="C2209" s="7">
        <f>VLOOKUP(A2209,SizeData!A$2:B$3839,2,FALSE)</f>
        <v/>
      </c>
      <c r="D2209" s="6" t="n">
        <v>10</v>
      </c>
      <c r="E2209" s="6" t="inlineStr">
        <is>
          <t>R1453911</t>
        </is>
      </c>
      <c r="F2209" s="2" t="n">
        <v>44600</v>
      </c>
      <c r="G2209" s="1" t="n"/>
    </row>
    <row r="2210">
      <c r="A2210" s="6" t="n">
        <v>48106</v>
      </c>
      <c r="B2210" s="6" t="inlineStr">
        <is>
          <t>HENNESSY V S COGNAC</t>
        </is>
      </c>
      <c r="C2210" s="7">
        <f>VLOOKUP(A2210,SizeData!A$2:B$3839,2,FALSE)</f>
        <v/>
      </c>
      <c r="D2210" s="6" t="n">
        <v>10</v>
      </c>
      <c r="E2210" s="6" t="inlineStr">
        <is>
          <t>R1491861</t>
        </is>
      </c>
      <c r="F2210" s="2" t="n">
        <v>44623</v>
      </c>
      <c r="G2210" s="1" t="n"/>
    </row>
    <row r="2211">
      <c r="A2211" s="6" t="n">
        <v>48106</v>
      </c>
      <c r="B2211" s="6" t="inlineStr">
        <is>
          <t>HENNESSY V S COGNAC</t>
        </is>
      </c>
      <c r="C2211" s="7">
        <f>VLOOKUP(A2211,SizeData!A$2:B$3839,2,FALSE)</f>
        <v/>
      </c>
      <c r="D2211" s="6" t="n">
        <v>10</v>
      </c>
      <c r="E2211" s="6" t="inlineStr">
        <is>
          <t>R1567442</t>
        </is>
      </c>
      <c r="F2211" s="2" t="n">
        <v>44663</v>
      </c>
      <c r="G2211" s="1" t="n"/>
    </row>
    <row r="2212">
      <c r="A2212" s="6" t="n">
        <v>48106</v>
      </c>
      <c r="B2212" s="6" t="inlineStr">
        <is>
          <t>HENNESSY V S COGNAC</t>
        </is>
      </c>
      <c r="C2212" s="7">
        <f>VLOOKUP(A2212,SizeData!A$2:B$3839,2,FALSE)</f>
        <v/>
      </c>
      <c r="D2212" s="6" t="n">
        <v>10</v>
      </c>
      <c r="E2212" s="6" t="inlineStr">
        <is>
          <t>R1567442</t>
        </is>
      </c>
      <c r="F2212" s="2" t="n">
        <v>44663</v>
      </c>
      <c r="G2212" s="1" t="n"/>
    </row>
    <row r="2213">
      <c r="A2213" s="6" t="n">
        <v>48106</v>
      </c>
      <c r="B2213" s="6" t="inlineStr">
        <is>
          <t>HENNESSY V S COGNAC</t>
        </is>
      </c>
      <c r="C2213" s="7">
        <f>VLOOKUP(A2213,SizeData!A$2:B$3839,2,FALSE)</f>
        <v/>
      </c>
      <c r="D2213" s="6" t="n">
        <v>10</v>
      </c>
      <c r="E2213" s="6" t="inlineStr">
        <is>
          <t>R1607412</t>
        </is>
      </c>
      <c r="F2213" s="2" t="n">
        <v>44690</v>
      </c>
      <c r="G2213" s="1" t="n"/>
    </row>
    <row r="2214">
      <c r="A2214" s="6" t="n">
        <v>48106</v>
      </c>
      <c r="B2214" s="6" t="inlineStr">
        <is>
          <t>HENNESSY V S COGNAC</t>
        </is>
      </c>
      <c r="C2214" s="7">
        <f>VLOOKUP(A2214,SizeData!A$2:B$3839,2,FALSE)</f>
        <v/>
      </c>
      <c r="D2214" s="6" t="n">
        <v>10</v>
      </c>
      <c r="E2214" s="6" t="inlineStr">
        <is>
          <t>R1614102</t>
        </is>
      </c>
      <c r="F2214" s="2" t="n">
        <v>44697</v>
      </c>
      <c r="G2214" s="1" t="n"/>
    </row>
    <row r="2215">
      <c r="A2215" s="6" t="n">
        <v>48106</v>
      </c>
      <c r="B2215" s="6" t="inlineStr">
        <is>
          <t>HENNESSY V S COGNAC</t>
        </is>
      </c>
      <c r="C2215" s="7">
        <f>VLOOKUP(A2215,SizeData!A$2:B$3839,2,FALSE)</f>
        <v/>
      </c>
      <c r="D2215" s="6" t="n">
        <v>10</v>
      </c>
      <c r="E2215" s="6" t="inlineStr">
        <is>
          <t>R1642419</t>
        </is>
      </c>
      <c r="F2215" s="2" t="n">
        <v>44719</v>
      </c>
      <c r="G2215" s="1" t="n"/>
    </row>
    <row r="2216">
      <c r="A2216" s="6" t="n">
        <v>48106</v>
      </c>
      <c r="B2216" s="6" t="inlineStr">
        <is>
          <t>HENNESSY V S COGNAC</t>
        </is>
      </c>
      <c r="C2216" s="7">
        <f>VLOOKUP(A2216,SizeData!A$2:B$3839,2,FALSE)</f>
        <v/>
      </c>
      <c r="D2216" s="6" t="n">
        <v>10</v>
      </c>
      <c r="E2216" s="6" t="inlineStr">
        <is>
          <t>R1643155</t>
        </is>
      </c>
      <c r="F2216" s="2" t="n">
        <v>44726</v>
      </c>
      <c r="G2216" s="1" t="n"/>
    </row>
    <row r="2217">
      <c r="A2217" s="6" t="n">
        <v>48106</v>
      </c>
      <c r="B2217" s="6" t="inlineStr">
        <is>
          <t>HENNESSY V S COGNAC</t>
        </is>
      </c>
      <c r="C2217" s="7">
        <f>VLOOKUP(A2217,SizeData!A$2:B$3839,2,FALSE)</f>
        <v/>
      </c>
      <c r="D2217" s="6" t="n">
        <v>10</v>
      </c>
      <c r="E2217" s="6" t="inlineStr">
        <is>
          <t>R1650895</t>
        </is>
      </c>
      <c r="F2217" s="2" t="n">
        <v>44732</v>
      </c>
      <c r="G2217" s="1" t="n"/>
    </row>
    <row r="2218">
      <c r="A2218" s="6" t="n">
        <v>48106</v>
      </c>
      <c r="B2218" s="6" t="inlineStr">
        <is>
          <t>HENNESSY V S COGNAC</t>
        </is>
      </c>
      <c r="C2218" s="7">
        <f>VLOOKUP(A2218,SizeData!A$2:B$3839,2,FALSE)</f>
        <v/>
      </c>
      <c r="D2218" s="6" t="n">
        <v>10</v>
      </c>
      <c r="E2218" s="6" t="inlineStr">
        <is>
          <t>R1668961</t>
        </is>
      </c>
      <c r="F2218" s="2" t="n">
        <v>44747</v>
      </c>
      <c r="G2218" s="1" t="n"/>
    </row>
    <row r="2219">
      <c r="A2219" s="6" t="n">
        <v>48106</v>
      </c>
      <c r="B2219" s="6" t="inlineStr">
        <is>
          <t>HENNESSY V S COGNAC</t>
        </is>
      </c>
      <c r="C2219" s="7">
        <f>VLOOKUP(A2219,SizeData!A$2:B$3839,2,FALSE)</f>
        <v/>
      </c>
      <c r="D2219" s="6" t="n">
        <v>9</v>
      </c>
      <c r="E2219" s="6" t="inlineStr">
        <is>
          <t>R1674925</t>
        </is>
      </c>
      <c r="F2219" s="2" t="n">
        <v>44753</v>
      </c>
      <c r="G2219" s="1" t="n"/>
    </row>
    <row r="2220">
      <c r="A2220" s="6" t="n">
        <v>48106</v>
      </c>
      <c r="B2220" s="6" t="inlineStr">
        <is>
          <t>HENNESSY V S COGNAC</t>
        </is>
      </c>
      <c r="C2220" s="7">
        <f>VLOOKUP(A2220,SizeData!A$2:B$3839,2,FALSE)</f>
        <v/>
      </c>
      <c r="D2220" s="6" t="n">
        <v>1</v>
      </c>
      <c r="E2220" s="6" t="inlineStr">
        <is>
          <t>R1674925</t>
        </is>
      </c>
      <c r="F2220" s="2" t="n">
        <v>44753</v>
      </c>
      <c r="G2220" s="1" t="n"/>
    </row>
    <row r="2221">
      <c r="A2221" s="6" t="n">
        <v>48106</v>
      </c>
      <c r="B2221" s="6" t="inlineStr">
        <is>
          <t>HENNESSY V S COGNAC</t>
        </is>
      </c>
      <c r="C2221" s="7">
        <f>VLOOKUP(A2221,SizeData!A$2:B$3839,2,FALSE)</f>
        <v/>
      </c>
      <c r="D2221" s="6" t="n">
        <v>10</v>
      </c>
      <c r="E2221" s="6" t="inlineStr">
        <is>
          <t>R1696084</t>
        </is>
      </c>
      <c r="F2221" s="2" t="n">
        <v>44761</v>
      </c>
      <c r="G2221" s="1" t="n"/>
    </row>
    <row r="2222">
      <c r="A2222" s="6" t="n">
        <v>48106</v>
      </c>
      <c r="B2222" s="6" t="inlineStr">
        <is>
          <t>HENNESSY V S COGNAC</t>
        </is>
      </c>
      <c r="C2222" s="7">
        <f>VLOOKUP(A2222,SizeData!A$2:B$3839,2,FALSE)</f>
        <v/>
      </c>
      <c r="D2222" s="6" t="n">
        <v>10</v>
      </c>
      <c r="E2222" s="6" t="inlineStr">
        <is>
          <t>R1740587</t>
        </is>
      </c>
      <c r="F2222" s="2" t="n">
        <v>44795</v>
      </c>
      <c r="G2222" s="1" t="n"/>
    </row>
    <row r="2223">
      <c r="A2223" s="6" t="n">
        <v>48106</v>
      </c>
      <c r="B2223" s="6" t="inlineStr">
        <is>
          <t>HENNESSY V S COGNAC</t>
        </is>
      </c>
      <c r="C2223" s="7">
        <f>VLOOKUP(A2223,SizeData!A$2:B$3839,2,FALSE)</f>
        <v/>
      </c>
      <c r="D2223" s="6" t="n">
        <v>13</v>
      </c>
      <c r="E2223" s="6" t="inlineStr">
        <is>
          <t>R1743095</t>
        </is>
      </c>
      <c r="F2223" s="2" t="n">
        <v>44798</v>
      </c>
      <c r="G2223" s="1" t="n"/>
    </row>
    <row r="2224">
      <c r="A2224" s="6" t="n">
        <v>48106</v>
      </c>
      <c r="B2224" s="6" t="inlineStr">
        <is>
          <t>HENNESSY V S COGNAC</t>
        </is>
      </c>
      <c r="C2224" s="7">
        <f>VLOOKUP(A2224,SizeData!A$2:B$3839,2,FALSE)</f>
        <v/>
      </c>
      <c r="D2224" s="6" t="n">
        <v>2</v>
      </c>
      <c r="E2224" s="6" t="inlineStr">
        <is>
          <t>R1755075</t>
        </is>
      </c>
      <c r="F2224" s="2" t="n">
        <v>44798</v>
      </c>
      <c r="G2224" s="1" t="n"/>
    </row>
    <row r="2225">
      <c r="A2225" s="6" t="n">
        <v>48106</v>
      </c>
      <c r="B2225" s="6" t="inlineStr">
        <is>
          <t>HENNESSY V S COGNAC</t>
        </is>
      </c>
      <c r="C2225" s="7">
        <f>VLOOKUP(A2225,SizeData!A$2:B$3839,2,FALSE)</f>
        <v/>
      </c>
      <c r="D2225" s="6" t="n">
        <v>5</v>
      </c>
      <c r="E2225" s="6" t="inlineStr">
        <is>
          <t>R1755367</t>
        </is>
      </c>
      <c r="F2225" s="2" t="n">
        <v>44798</v>
      </c>
      <c r="G2225" s="1" t="n"/>
    </row>
    <row r="2226">
      <c r="A2226" s="6" t="n">
        <v>48106</v>
      </c>
      <c r="B2226" s="6" t="inlineStr">
        <is>
          <t>HENNESSY V S COGNAC</t>
        </is>
      </c>
      <c r="C2226" s="7">
        <f>VLOOKUP(A2226,SizeData!A$2:B$3839,2,FALSE)</f>
        <v/>
      </c>
      <c r="D2226" s="6" t="n">
        <v>20</v>
      </c>
      <c r="E2226" s="6" t="inlineStr">
        <is>
          <t>R1751568</t>
        </is>
      </c>
      <c r="F2226" s="2" t="n">
        <v>44799</v>
      </c>
      <c r="G2226" s="1" t="n"/>
    </row>
    <row r="2227">
      <c r="A2227" s="6" t="n">
        <v>48106</v>
      </c>
      <c r="B2227" s="6" t="inlineStr">
        <is>
          <t>HENNESSY V S COGNAC</t>
        </is>
      </c>
      <c r="C2227" s="7">
        <f>VLOOKUP(A2227,SizeData!A$2:B$3839,2,FALSE)</f>
        <v/>
      </c>
      <c r="D2227" s="6" t="n">
        <v>20</v>
      </c>
      <c r="E2227" s="6" t="inlineStr">
        <is>
          <t>R1741598</t>
        </is>
      </c>
      <c r="F2227" s="2" t="n">
        <v>44800</v>
      </c>
      <c r="G2227" s="1" t="n"/>
    </row>
    <row r="2228">
      <c r="A2228" s="6" t="n">
        <v>48106</v>
      </c>
      <c r="B2228" s="6" t="inlineStr">
        <is>
          <t>HENNESSY V S COGNAC</t>
        </is>
      </c>
      <c r="C2228" s="7">
        <f>VLOOKUP(A2228,SizeData!A$2:B$3839,2,FALSE)</f>
        <v/>
      </c>
      <c r="D2228" s="6" t="n">
        <v>20</v>
      </c>
      <c r="E2228" s="6" t="inlineStr">
        <is>
          <t>R1751568</t>
        </is>
      </c>
      <c r="F2228" s="2" t="n">
        <v>44801</v>
      </c>
      <c r="G2228" s="1" t="n"/>
    </row>
    <row r="2229">
      <c r="A2229" s="6" t="n">
        <v>48106</v>
      </c>
      <c r="B2229" s="6" t="inlineStr">
        <is>
          <t>HENNESSY V S COGNAC</t>
        </is>
      </c>
      <c r="C2229" s="7">
        <f>VLOOKUP(A2229,SizeData!A$2:B$3839,2,FALSE)</f>
        <v/>
      </c>
      <c r="D2229" s="6" t="n">
        <v>10</v>
      </c>
      <c r="E2229" s="6" t="inlineStr">
        <is>
          <t>R1773123</t>
        </is>
      </c>
      <c r="F2229" s="2" t="n">
        <v>44823</v>
      </c>
      <c r="G2229" s="1" t="n"/>
    </row>
    <row r="2230">
      <c r="A2230" s="6" t="n">
        <v>48106</v>
      </c>
      <c r="B2230" s="6" t="inlineStr">
        <is>
          <t>HENNESSY V S COGNAC</t>
        </is>
      </c>
      <c r="C2230" s="7">
        <f>VLOOKUP(A2230,SizeData!A$2:B$3839,2,FALSE)</f>
        <v/>
      </c>
      <c r="D2230" s="6" t="n">
        <v>20</v>
      </c>
      <c r="E2230" s="6" t="inlineStr">
        <is>
          <t>R1864332</t>
        </is>
      </c>
      <c r="F2230" s="2" t="n">
        <v>44883</v>
      </c>
      <c r="G2230" s="1" t="n"/>
    </row>
    <row r="2231">
      <c r="A2231" s="6" t="n">
        <v>48106</v>
      </c>
      <c r="B2231" s="6" t="inlineStr">
        <is>
          <t>HENNESSY V S COGNAC</t>
        </is>
      </c>
      <c r="C2231" s="7">
        <f>VLOOKUP(A2231,SizeData!A$2:B$3839,2,FALSE)</f>
        <v/>
      </c>
      <c r="D2231" s="6" t="n">
        <v>10</v>
      </c>
      <c r="E2231" s="6" t="inlineStr">
        <is>
          <t>R1879903</t>
        </is>
      </c>
      <c r="F2231" s="2" t="n">
        <v>44892</v>
      </c>
      <c r="G2231" s="1" t="n"/>
    </row>
    <row r="2232">
      <c r="A2232" s="6" t="n">
        <v>48106</v>
      </c>
      <c r="B2232" s="6" t="inlineStr">
        <is>
          <t>HENNESSY V S COGNAC</t>
        </is>
      </c>
      <c r="C2232" s="7">
        <f>VLOOKUP(A2232,SizeData!A$2:B$3839,2,FALSE)</f>
        <v/>
      </c>
      <c r="D2232" s="6" t="n">
        <v>10</v>
      </c>
      <c r="E2232" s="6" t="inlineStr">
        <is>
          <t>R1900674</t>
        </is>
      </c>
      <c r="F2232" s="2" t="n">
        <v>44903</v>
      </c>
      <c r="G2232" s="1" t="n"/>
    </row>
    <row r="2233">
      <c r="A2233" s="6" t="n">
        <v>48106</v>
      </c>
      <c r="B2233" s="6" t="inlineStr">
        <is>
          <t>HENNESSY V S COGNAC</t>
        </is>
      </c>
      <c r="C2233" s="7">
        <f>VLOOKUP(A2233,SizeData!A$2:B$3839,2,FALSE)</f>
        <v/>
      </c>
      <c r="D2233" s="6" t="n">
        <v>10</v>
      </c>
      <c r="E2233" s="6" t="inlineStr">
        <is>
          <t>R1900674</t>
        </is>
      </c>
      <c r="F2233" s="2" t="n">
        <v>44903</v>
      </c>
      <c r="G2233" s="1" t="n"/>
    </row>
    <row r="2234">
      <c r="A2234" s="6" t="n">
        <v>48107</v>
      </c>
      <c r="B2234" s="6" t="inlineStr">
        <is>
          <t>HENNESSY V S COGNAC</t>
        </is>
      </c>
      <c r="C2234" s="7">
        <f>VLOOKUP(A2234,SizeData!A$2:B$3839,2,FALSE)</f>
        <v/>
      </c>
      <c r="D2234" s="6" t="n">
        <v>10</v>
      </c>
      <c r="E2234" s="6" t="inlineStr">
        <is>
          <t>R1393825</t>
        </is>
      </c>
      <c r="F2234" s="2" t="n">
        <v>44560</v>
      </c>
      <c r="G2234" s="1" t="n"/>
    </row>
    <row r="2235">
      <c r="A2235" s="6" t="n">
        <v>48107</v>
      </c>
      <c r="B2235" s="6" t="inlineStr">
        <is>
          <t>HENNESSY V S COGNAC</t>
        </is>
      </c>
      <c r="C2235" s="7">
        <f>VLOOKUP(A2235,SizeData!A$2:B$3839,2,FALSE)</f>
        <v/>
      </c>
      <c r="D2235" s="6" t="n">
        <v>10</v>
      </c>
      <c r="E2235" s="6" t="inlineStr">
        <is>
          <t>R1407999</t>
        </is>
      </c>
      <c r="F2235" s="2" t="n">
        <v>44572</v>
      </c>
      <c r="G2235" s="1" t="n"/>
    </row>
    <row r="2236">
      <c r="A2236" s="6" t="n">
        <v>48107</v>
      </c>
      <c r="B2236" s="6" t="inlineStr">
        <is>
          <t>HENNESSY V S COGNAC</t>
        </is>
      </c>
      <c r="C2236" s="7">
        <f>VLOOKUP(A2236,SizeData!A$2:B$3839,2,FALSE)</f>
        <v/>
      </c>
      <c r="D2236" s="6" t="n">
        <v>10</v>
      </c>
      <c r="E2236" s="6" t="inlineStr">
        <is>
          <t>R1458227</t>
        </is>
      </c>
      <c r="F2236" s="2" t="n">
        <v>44606</v>
      </c>
      <c r="G2236" s="1" t="n"/>
    </row>
    <row r="2237">
      <c r="A2237" s="6" t="n">
        <v>48107</v>
      </c>
      <c r="B2237" s="6" t="inlineStr">
        <is>
          <t>HENNESSY V S COGNAC</t>
        </is>
      </c>
      <c r="C2237" s="7">
        <f>VLOOKUP(A2237,SizeData!A$2:B$3839,2,FALSE)</f>
        <v/>
      </c>
      <c r="D2237" s="6" t="n">
        <v>10</v>
      </c>
      <c r="E2237" s="6" t="inlineStr">
        <is>
          <t>R1512557</t>
        </is>
      </c>
      <c r="F2237" s="2" t="n">
        <v>44635</v>
      </c>
      <c r="G2237" s="1" t="n"/>
    </row>
    <row r="2238">
      <c r="A2238" s="6" t="n">
        <v>48107</v>
      </c>
      <c r="B2238" s="6" t="inlineStr">
        <is>
          <t>HENNESSY V S COGNAC</t>
        </is>
      </c>
      <c r="C2238" s="7">
        <f>VLOOKUP(A2238,SizeData!A$2:B$3839,2,FALSE)</f>
        <v/>
      </c>
      <c r="D2238" s="6" t="n">
        <v>10</v>
      </c>
      <c r="E2238" s="6" t="inlineStr">
        <is>
          <t>R1618209</t>
        </is>
      </c>
      <c r="F2238" s="2" t="n">
        <v>44704</v>
      </c>
      <c r="G2238" s="1" t="n"/>
    </row>
    <row r="2239">
      <c r="A2239" s="6" t="n">
        <v>48107</v>
      </c>
      <c r="B2239" s="6" t="inlineStr">
        <is>
          <t>HENNESSY V S COGNAC</t>
        </is>
      </c>
      <c r="C2239" s="7">
        <f>VLOOKUP(A2239,SizeData!A$2:B$3839,2,FALSE)</f>
        <v/>
      </c>
      <c r="D2239" s="6" t="n">
        <v>10</v>
      </c>
      <c r="E2239" s="6" t="inlineStr">
        <is>
          <t>R1650509</t>
        </is>
      </c>
      <c r="F2239" s="2" t="n">
        <v>44714</v>
      </c>
      <c r="G2239" s="1" t="n"/>
    </row>
    <row r="2240">
      <c r="A2240" s="6" t="n">
        <v>48107</v>
      </c>
      <c r="B2240" s="6" t="inlineStr">
        <is>
          <t>HENNESSY V S COGNAC</t>
        </is>
      </c>
      <c r="C2240" s="7">
        <f>VLOOKUP(A2240,SizeData!A$2:B$3839,2,FALSE)</f>
        <v/>
      </c>
      <c r="D2240" s="6" t="n">
        <v>10</v>
      </c>
      <c r="E2240" s="6" t="inlineStr">
        <is>
          <t>R1653716</t>
        </is>
      </c>
      <c r="F2240" s="2" t="n">
        <v>44734</v>
      </c>
      <c r="G2240" s="1" t="n"/>
    </row>
    <row r="2241">
      <c r="A2241" s="6" t="n">
        <v>48107</v>
      </c>
      <c r="B2241" s="6" t="inlineStr">
        <is>
          <t>HENNESSY V S COGNAC</t>
        </is>
      </c>
      <c r="C2241" s="7">
        <f>VLOOKUP(A2241,SizeData!A$2:B$3839,2,FALSE)</f>
        <v/>
      </c>
      <c r="D2241" s="6" t="n">
        <v>10</v>
      </c>
      <c r="E2241" s="6" t="inlineStr">
        <is>
          <t>R1663486</t>
        </is>
      </c>
      <c r="F2241" s="2" t="n">
        <v>44748</v>
      </c>
      <c r="G2241" s="1" t="n"/>
    </row>
    <row r="2242">
      <c r="A2242" s="6" t="n">
        <v>48107</v>
      </c>
      <c r="B2242" s="6" t="inlineStr">
        <is>
          <t>HENNESSY V S COGNAC</t>
        </is>
      </c>
      <c r="C2242" s="7">
        <f>VLOOKUP(A2242,SizeData!A$2:B$3839,2,FALSE)</f>
        <v/>
      </c>
      <c r="D2242" s="6" t="n">
        <v>10</v>
      </c>
      <c r="E2242" s="6" t="inlineStr">
        <is>
          <t>R1771611</t>
        </is>
      </c>
      <c r="F2242" s="2" t="n">
        <v>44812</v>
      </c>
      <c r="G2242" s="1" t="n"/>
    </row>
    <row r="2243">
      <c r="A2243" s="6" t="n">
        <v>48107</v>
      </c>
      <c r="B2243" s="6" t="inlineStr">
        <is>
          <t>HENNESSY V S COGNAC</t>
        </is>
      </c>
      <c r="C2243" s="7">
        <f>VLOOKUP(A2243,SizeData!A$2:B$3839,2,FALSE)</f>
        <v/>
      </c>
      <c r="D2243" s="6" t="n">
        <v>4</v>
      </c>
      <c r="E2243" s="6" t="inlineStr">
        <is>
          <t>R1852440</t>
        </is>
      </c>
      <c r="F2243" s="2" t="n">
        <v>44867</v>
      </c>
      <c r="G2243" s="1" t="n"/>
    </row>
    <row r="2244">
      <c r="A2244" s="6" t="n">
        <v>48107</v>
      </c>
      <c r="B2244" s="6" t="inlineStr">
        <is>
          <t>HENNESSY V S COGNAC</t>
        </is>
      </c>
      <c r="C2244" s="7">
        <f>VLOOKUP(A2244,SizeData!A$2:B$3839,2,FALSE)</f>
        <v/>
      </c>
      <c r="D2244" s="6" t="n">
        <v>4</v>
      </c>
      <c r="E2244" s="6" t="inlineStr">
        <is>
          <t>R1879903</t>
        </is>
      </c>
      <c r="F2244" s="2" t="n">
        <v>44892</v>
      </c>
      <c r="G2244" s="1" t="n"/>
    </row>
    <row r="2245">
      <c r="A2245" s="6" t="n">
        <v>48107</v>
      </c>
      <c r="B2245" s="6" t="inlineStr">
        <is>
          <t>HENNESSY V S COGNAC</t>
        </is>
      </c>
      <c r="C2245" s="7">
        <f>VLOOKUP(A2245,SizeData!A$2:B$3839,2,FALSE)</f>
        <v/>
      </c>
      <c r="D2245" s="6" t="n">
        <v>4</v>
      </c>
      <c r="E2245" s="6" t="inlineStr">
        <is>
          <t>R1906602</t>
        </is>
      </c>
      <c r="F2245" s="2" t="n">
        <v>44902</v>
      </c>
      <c r="G2245" s="1" t="n"/>
    </row>
    <row r="2246">
      <c r="A2246" s="6" t="n">
        <v>48108</v>
      </c>
      <c r="B2246" s="6" t="inlineStr">
        <is>
          <t>HENNESSY V S COGNAC</t>
        </is>
      </c>
      <c r="C2246" s="7">
        <f>VLOOKUP(A2246,SizeData!A$2:B$3839,2,FALSE)</f>
        <v/>
      </c>
      <c r="D2246" s="6" t="n">
        <v>9</v>
      </c>
      <c r="E2246" s="6" t="inlineStr">
        <is>
          <t>R1385362</t>
        </is>
      </c>
      <c r="F2246" s="2" t="n">
        <v>44551</v>
      </c>
      <c r="G2246" s="1" t="n"/>
    </row>
    <row r="2247">
      <c r="A2247" s="6" t="n">
        <v>48108</v>
      </c>
      <c r="B2247" s="6" t="inlineStr">
        <is>
          <t>HENNESSY V S COGNAC</t>
        </is>
      </c>
      <c r="C2247" s="7">
        <f>VLOOKUP(A2247,SizeData!A$2:B$3839,2,FALSE)</f>
        <v/>
      </c>
      <c r="D2247" s="6" t="n">
        <v>10</v>
      </c>
      <c r="E2247" s="6" t="inlineStr">
        <is>
          <t>R1421841</t>
        </is>
      </c>
      <c r="F2247" s="2" t="n">
        <v>44580</v>
      </c>
      <c r="G2247" s="1" t="n"/>
    </row>
    <row r="2248">
      <c r="A2248" s="6" t="n">
        <v>48108</v>
      </c>
      <c r="B2248" s="6" t="inlineStr">
        <is>
          <t>HENNESSY V S COGNAC</t>
        </is>
      </c>
      <c r="C2248" s="7">
        <f>VLOOKUP(A2248,SizeData!A$2:B$3839,2,FALSE)</f>
        <v/>
      </c>
      <c r="D2248" s="6" t="n">
        <v>10</v>
      </c>
      <c r="E2248" s="6" t="inlineStr">
        <is>
          <t>R1483321</t>
        </is>
      </c>
      <c r="F2248" s="2" t="n">
        <v>44616</v>
      </c>
      <c r="G2248" s="1" t="n"/>
    </row>
    <row r="2249">
      <c r="A2249" s="6" t="n">
        <v>48108</v>
      </c>
      <c r="B2249" s="6" t="inlineStr">
        <is>
          <t>HENNESSY V S COGNAC</t>
        </is>
      </c>
      <c r="C2249" s="7">
        <f>VLOOKUP(A2249,SizeData!A$2:B$3839,2,FALSE)</f>
        <v/>
      </c>
      <c r="D2249" s="6" t="n">
        <v>10</v>
      </c>
      <c r="E2249" s="6" t="inlineStr">
        <is>
          <t>R1512557</t>
        </is>
      </c>
      <c r="F2249" s="2" t="n">
        <v>44635</v>
      </c>
      <c r="G2249" s="1" t="n"/>
    </row>
    <row r="2250">
      <c r="A2250" s="50" t="n">
        <v>48108</v>
      </c>
      <c r="B2250" s="50" t="inlineStr">
        <is>
          <t>HENNESSY V S COGNAC</t>
        </is>
      </c>
      <c r="C2250" s="7">
        <f>VLOOKUP(A2250,SizeData!A$2:B$3839,2,FALSE)</f>
        <v/>
      </c>
      <c r="D2250" s="50" t="n">
        <v>9</v>
      </c>
      <c r="E2250" s="50" t="inlineStr">
        <is>
          <t>R1524667</t>
        </is>
      </c>
      <c r="F2250" s="51" t="n">
        <v>44649</v>
      </c>
      <c r="G2250" s="50" t="n"/>
    </row>
    <row r="2251">
      <c r="A2251" s="6" t="n">
        <v>48108</v>
      </c>
      <c r="B2251" s="6" t="inlineStr">
        <is>
          <t>HENNESSY V S COGNAC</t>
        </is>
      </c>
      <c r="C2251" s="7">
        <f>VLOOKUP(A2251,SizeData!A$2:B$3839,2,FALSE)</f>
        <v/>
      </c>
      <c r="D2251" s="6" t="n">
        <v>5</v>
      </c>
      <c r="E2251" s="6" t="inlineStr">
        <is>
          <t>R1619711</t>
        </is>
      </c>
      <c r="F2251" s="2" t="n">
        <v>44707</v>
      </c>
      <c r="G2251" s="1" t="n"/>
    </row>
    <row r="2252">
      <c r="A2252" s="6" t="n">
        <v>48108</v>
      </c>
      <c r="B2252" s="6" t="inlineStr">
        <is>
          <t>HENNESSY V S COGNAC</t>
        </is>
      </c>
      <c r="C2252" s="7">
        <f>VLOOKUP(A2252,SizeData!A$2:B$3839,2,FALSE)</f>
        <v/>
      </c>
      <c r="D2252" s="6" t="n">
        <v>10</v>
      </c>
      <c r="E2252" s="6" t="inlineStr">
        <is>
          <t>R1695606</t>
        </is>
      </c>
      <c r="F2252" s="2" t="n">
        <v>44749</v>
      </c>
      <c r="G2252" s="1" t="n"/>
    </row>
    <row r="2253">
      <c r="A2253" s="6" t="n">
        <v>48108</v>
      </c>
      <c r="B2253" s="6" t="inlineStr">
        <is>
          <t>HENNESSY V S COGNAC</t>
        </is>
      </c>
      <c r="C2253" s="7">
        <f>VLOOKUP(A2253,SizeData!A$2:B$3839,2,FALSE)</f>
        <v/>
      </c>
      <c r="D2253" s="6" t="n">
        <v>10</v>
      </c>
      <c r="E2253" s="6" t="inlineStr">
        <is>
          <t>R1811007</t>
        </is>
      </c>
      <c r="F2253" s="2" t="n">
        <v>44838</v>
      </c>
      <c r="G2253" s="1" t="n"/>
    </row>
    <row r="2254">
      <c r="A2254" s="6" t="n">
        <v>48108</v>
      </c>
      <c r="B2254" s="6" t="inlineStr">
        <is>
          <t>HENNESSY V S COGNAC</t>
        </is>
      </c>
      <c r="C2254" s="7">
        <f>VLOOKUP(A2254,SizeData!A$2:B$3839,2,FALSE)</f>
        <v/>
      </c>
      <c r="D2254" s="6" t="n">
        <v>4</v>
      </c>
      <c r="E2254" s="6" t="inlineStr">
        <is>
          <t>R1879903</t>
        </is>
      </c>
      <c r="F2254" s="2" t="n">
        <v>44892</v>
      </c>
      <c r="G2254" s="1" t="n"/>
    </row>
    <row r="2255">
      <c r="A2255" s="6" t="n">
        <v>48142</v>
      </c>
      <c r="B2255" s="6" t="inlineStr">
        <is>
          <t>HENNESSY VSOP FLASK BOTTLE</t>
        </is>
      </c>
      <c r="C2255" s="7">
        <f>VLOOKUP(A2255,SizeData!A$2:B$3839,2,FALSE)</f>
        <v/>
      </c>
      <c r="D2255" s="6" t="n">
        <v>5</v>
      </c>
      <c r="E2255" s="6" t="inlineStr">
        <is>
          <t>R1797923</t>
        </is>
      </c>
      <c r="F2255" s="2" t="n">
        <v>44838</v>
      </c>
      <c r="G2255" s="1" t="n"/>
    </row>
    <row r="2256">
      <c r="A2256" s="6" t="n">
        <v>48142</v>
      </c>
      <c r="B2256" s="6" t="inlineStr">
        <is>
          <t>HENNESSY VSOP FLASK BOTTLE</t>
        </is>
      </c>
      <c r="C2256" s="7">
        <f>VLOOKUP(A2256,SizeData!A$2:B$3839,2,FALSE)</f>
        <v/>
      </c>
      <c r="D2256" s="6" t="n">
        <v>5</v>
      </c>
      <c r="E2256" s="6" t="inlineStr">
        <is>
          <t>R1820979</t>
        </is>
      </c>
      <c r="F2256" s="2" t="n">
        <v>44849</v>
      </c>
      <c r="G2256" s="1" t="n"/>
    </row>
    <row r="2257">
      <c r="A2257" s="6" t="n">
        <v>48151</v>
      </c>
      <c r="B2257" s="6" t="inlineStr">
        <is>
          <t>HENNESSY VSOP PRIVILEGE COGNAC</t>
        </is>
      </c>
      <c r="C2257" s="7">
        <f>VLOOKUP(A2257,SizeData!A$2:B$3839,2,FALSE)</f>
        <v/>
      </c>
      <c r="D2257" s="6" t="n">
        <v>2</v>
      </c>
      <c r="E2257" s="6" t="inlineStr">
        <is>
          <t>R1671975</t>
        </is>
      </c>
      <c r="F2257" s="2" t="n">
        <v>44742</v>
      </c>
      <c r="G2257" s="1" t="n"/>
    </row>
    <row r="2258">
      <c r="A2258" s="6" t="n">
        <v>48151</v>
      </c>
      <c r="B2258" s="6" t="inlineStr">
        <is>
          <t>HENNESSY VSOP PRIVILEGE COGNAC</t>
        </is>
      </c>
      <c r="C2258" s="7">
        <f>VLOOKUP(A2258,SizeData!A$2:B$3839,2,FALSE)</f>
        <v/>
      </c>
      <c r="D2258" s="6" t="n">
        <v>5</v>
      </c>
      <c r="E2258" s="6" t="inlineStr">
        <is>
          <t>R1826614</t>
        </is>
      </c>
      <c r="F2258" s="2" t="n">
        <v>44851</v>
      </c>
      <c r="G2258" s="1" t="n"/>
    </row>
    <row r="2259">
      <c r="A2259" s="6" t="n">
        <v>48164</v>
      </c>
      <c r="B2259" s="6" t="inlineStr">
        <is>
          <t>HENNESSY VSOP PRIVILEGE COGNAC</t>
        </is>
      </c>
      <c r="C2259" s="7">
        <f>VLOOKUP(A2259,SizeData!A$2:B$3839,2,FALSE)</f>
        <v/>
      </c>
      <c r="D2259" s="6" t="n">
        <v>1</v>
      </c>
      <c r="E2259" s="6" t="inlineStr">
        <is>
          <t>R1490170</t>
        </is>
      </c>
      <c r="F2259" s="2" t="n">
        <v>44616</v>
      </c>
      <c r="G2259" s="1" t="n"/>
    </row>
    <row r="2260">
      <c r="A2260" s="6" t="n">
        <v>48164</v>
      </c>
      <c r="B2260" s="6" t="inlineStr">
        <is>
          <t>HENNESSY VSOP PRIVILEGE COGNAC</t>
        </is>
      </c>
      <c r="C2260" s="7">
        <f>VLOOKUP(A2260,SizeData!A$2:B$3839,2,FALSE)</f>
        <v/>
      </c>
      <c r="D2260" s="6" t="n">
        <v>2</v>
      </c>
      <c r="E2260" s="6" t="inlineStr">
        <is>
          <t>R1613626</t>
        </is>
      </c>
      <c r="F2260" s="2" t="n">
        <v>44697</v>
      </c>
      <c r="G2260" s="1" t="n"/>
    </row>
    <row r="2261">
      <c r="A2261" s="39" t="n">
        <v>48164</v>
      </c>
      <c r="B2261" s="39" t="inlineStr">
        <is>
          <t>HENNESSY VSOP PRIVILEGE COGNAC</t>
        </is>
      </c>
      <c r="C2261" s="7">
        <f>VLOOKUP(A2261,SizeData!A$2:B$3839,2,FALSE)</f>
        <v/>
      </c>
      <c r="D2261" s="39" t="n">
        <v>2</v>
      </c>
      <c r="E2261" s="39" t="inlineStr">
        <is>
          <t>R1672578</t>
        </is>
      </c>
      <c r="F2261" s="40" t="n">
        <v>44740</v>
      </c>
      <c r="G2261" s="41" t="n"/>
    </row>
    <row r="2262">
      <c r="A2262" s="6" t="n">
        <v>48164</v>
      </c>
      <c r="B2262" s="6" t="inlineStr">
        <is>
          <t>HENNESSY VSOP PRIVILEGE COGNAC</t>
        </is>
      </c>
      <c r="C2262" s="7">
        <f>VLOOKUP(A2262,SizeData!A$2:B$3839,2,FALSE)</f>
        <v/>
      </c>
      <c r="D2262" s="6" t="n">
        <v>2</v>
      </c>
      <c r="E2262" s="6" t="inlineStr">
        <is>
          <t>R1797923</t>
        </is>
      </c>
      <c r="F2262" s="2" t="n">
        <v>44838</v>
      </c>
      <c r="G2262" s="1" t="n"/>
    </row>
    <row r="2263">
      <c r="A2263" s="26" t="n">
        <v>48164</v>
      </c>
      <c r="B2263" s="26" t="inlineStr">
        <is>
          <t>HENNESSY VSOP PRIVILEGE COGNAC</t>
        </is>
      </c>
      <c r="C2263" s="75">
        <f>VLOOKUP(A2263,SizeData!A$2:B$3839,2,FALSE)</f>
        <v/>
      </c>
      <c r="D2263" s="26" t="n">
        <v>1</v>
      </c>
      <c r="E2263" s="26" t="inlineStr">
        <is>
          <t>R1841934</t>
        </is>
      </c>
      <c r="F2263" s="61" t="n">
        <v>44866</v>
      </c>
      <c r="G2263" s="62" t="n"/>
    </row>
    <row r="2264">
      <c r="A2264" s="6" t="n">
        <v>48164</v>
      </c>
      <c r="B2264" s="6" t="inlineStr">
        <is>
          <t>HENNESSY VSOP PRIVILEGE COGNAC</t>
        </is>
      </c>
      <c r="C2264" s="7">
        <f>VLOOKUP(A2264,SizeData!A$2:B$3839,2,FALSE)</f>
        <v/>
      </c>
      <c r="D2264" s="6" t="n">
        <v>3</v>
      </c>
      <c r="E2264" s="6" t="inlineStr">
        <is>
          <t>R1853571</t>
        </is>
      </c>
      <c r="F2264" s="2" t="n">
        <v>44873</v>
      </c>
      <c r="G2264" s="1" t="n"/>
    </row>
    <row r="2265">
      <c r="A2265" s="6" t="n">
        <v>48164</v>
      </c>
      <c r="B2265" s="6" t="inlineStr">
        <is>
          <t>HENNESSY VSOP PRIVILEGE COGNAC</t>
        </is>
      </c>
      <c r="C2265" s="7">
        <f>VLOOKUP(A2265,SizeData!A$2:B$3839,2,FALSE)</f>
        <v/>
      </c>
      <c r="D2265" s="6" t="n">
        <v>5</v>
      </c>
      <c r="E2265" s="6" t="inlineStr">
        <is>
          <t>R1883661</t>
        </is>
      </c>
      <c r="F2265" s="2" t="n">
        <v>44893</v>
      </c>
      <c r="G2265" s="1" t="n"/>
    </row>
    <row r="2266">
      <c r="A2266" s="6" t="n">
        <v>48120</v>
      </c>
      <c r="B2266" s="6" t="inlineStr">
        <is>
          <t>HENNESSY XO</t>
        </is>
      </c>
      <c r="C2266" s="7">
        <f>VLOOKUP(A2266,SizeData!A$2:B$3839,2,FALSE)</f>
        <v/>
      </c>
      <c r="D2266" s="6" t="n">
        <v>1</v>
      </c>
      <c r="E2266" s="6" t="inlineStr">
        <is>
          <t>R1792137</t>
        </is>
      </c>
      <c r="F2266" s="2" t="n">
        <v>44835</v>
      </c>
      <c r="G2266" s="1" t="n"/>
    </row>
    <row r="2267">
      <c r="A2267" s="6" t="n">
        <v>89329</v>
      </c>
      <c r="B2267" s="6" t="inlineStr">
        <is>
          <t>HERRADURA ANEJO TEQUILA</t>
        </is>
      </c>
      <c r="C2267" s="7">
        <f>VLOOKUP(A2267,SizeData!A$2:B$3839,2,FALSE)</f>
        <v/>
      </c>
      <c r="D2267" s="6" t="n">
        <v>1</v>
      </c>
      <c r="E2267" s="6" t="inlineStr">
        <is>
          <t>R1792137</t>
        </is>
      </c>
      <c r="F2267" s="2" t="n">
        <v>44835</v>
      </c>
      <c r="G2267" s="1" t="n"/>
    </row>
    <row r="2268">
      <c r="A2268" s="6" t="n">
        <v>89329</v>
      </c>
      <c r="B2268" s="6" t="inlineStr">
        <is>
          <t>HERRADURA ANEJO TEQUILA</t>
        </is>
      </c>
      <c r="C2268" s="7">
        <f>VLOOKUP(A2268,SizeData!A$2:B$3839,2,FALSE)</f>
        <v/>
      </c>
      <c r="D2268" s="6" t="n">
        <v>2</v>
      </c>
      <c r="E2268" s="6" t="inlineStr">
        <is>
          <t>R1811635</t>
        </is>
      </c>
      <c r="F2268" s="2" t="n">
        <v>44845</v>
      </c>
      <c r="G2268" s="1" t="n"/>
    </row>
    <row r="2269">
      <c r="A2269" s="6" t="n">
        <v>89329</v>
      </c>
      <c r="B2269" s="6" t="inlineStr">
        <is>
          <t>HERRADURA ANEJO TEQUILA</t>
        </is>
      </c>
      <c r="C2269" s="7">
        <f>VLOOKUP(A2269,SizeData!A$2:B$3839,2,FALSE)</f>
        <v/>
      </c>
      <c r="D2269" s="6" t="n">
        <v>2</v>
      </c>
      <c r="E2269" s="6" t="inlineStr">
        <is>
          <t>R1832815</t>
        </is>
      </c>
      <c r="F2269" s="2" t="n">
        <v>44855</v>
      </c>
      <c r="G2269" s="1" t="n"/>
    </row>
    <row r="2270">
      <c r="A2270" s="26" t="n">
        <v>89329</v>
      </c>
      <c r="B2270" s="26" t="inlineStr">
        <is>
          <t>HERRADURA ANEJO TEQUILA</t>
        </is>
      </c>
      <c r="C2270" s="75">
        <f>VLOOKUP(A2270,SizeData!A$2:B$3839,2,FALSE)</f>
        <v/>
      </c>
      <c r="D2270" s="26" t="n">
        <v>2</v>
      </c>
      <c r="E2270" s="26" t="inlineStr">
        <is>
          <t>R1832815</t>
        </is>
      </c>
      <c r="F2270" s="61" t="n">
        <v>44855</v>
      </c>
      <c r="G2270" s="62" t="n"/>
    </row>
    <row r="2271">
      <c r="A2271" s="6" t="n">
        <v>89329</v>
      </c>
      <c r="B2271" s="6" t="inlineStr">
        <is>
          <t>HERRADURA ANEJO TEQUILA</t>
        </is>
      </c>
      <c r="C2271" s="7">
        <f>VLOOKUP(A2271,SizeData!A$2:B$3839,2,FALSE)</f>
        <v/>
      </c>
      <c r="D2271" s="6" t="n">
        <v>4</v>
      </c>
      <c r="E2271" s="6" t="inlineStr">
        <is>
          <t>R1840965</t>
        </is>
      </c>
      <c r="F2271" s="2" t="n">
        <v>44863</v>
      </c>
      <c r="G2271" s="1" t="n"/>
    </row>
    <row r="2272">
      <c r="A2272" s="26" t="n">
        <v>89339</v>
      </c>
      <c r="B2272" s="26" t="inlineStr">
        <is>
          <t>HERRADURA REPOSADO TEQUILA</t>
        </is>
      </c>
      <c r="C2272" s="75">
        <f>VLOOKUP(A2272,SizeData!A$2:B$3839,2,FALSE)</f>
        <v/>
      </c>
      <c r="D2272" s="26" t="n">
        <v>2</v>
      </c>
      <c r="E2272" s="26" t="inlineStr">
        <is>
          <t>R1830260</t>
        </is>
      </c>
      <c r="F2272" s="61" t="n">
        <v>44853</v>
      </c>
      <c r="G2272" s="62" t="n"/>
    </row>
    <row r="2273">
      <c r="A2273" s="6" t="n">
        <v>87849</v>
      </c>
      <c r="B2273" s="6" t="inlineStr">
        <is>
          <t>HERRADURA SILVER TEQUILA</t>
        </is>
      </c>
      <c r="C2273" s="7">
        <f>VLOOKUP(A2273,SizeData!A$2:B$3839,2,FALSE)</f>
        <v/>
      </c>
      <c r="D2273" s="6" t="n">
        <v>3</v>
      </c>
      <c r="E2273" s="6" t="inlineStr">
        <is>
          <t>R1538037</t>
        </is>
      </c>
      <c r="F2273" s="2" t="n">
        <v>44650</v>
      </c>
      <c r="G2273" s="1" t="n"/>
    </row>
    <row r="2274">
      <c r="A2274" s="6" t="n">
        <v>87849</v>
      </c>
      <c r="B2274" s="6" t="inlineStr">
        <is>
          <t>HERRADURA SILVER TEQUILA</t>
        </is>
      </c>
      <c r="C2274" s="7">
        <f>VLOOKUP(A2274,SizeData!A$2:B$3839,2,FALSE)</f>
        <v/>
      </c>
      <c r="D2274" s="6" t="n">
        <v>2</v>
      </c>
      <c r="E2274" s="6" t="inlineStr">
        <is>
          <t>R1639026</t>
        </is>
      </c>
      <c r="F2274" s="2" t="n">
        <v>44720</v>
      </c>
      <c r="G2274" s="1" t="n"/>
    </row>
    <row r="2275">
      <c r="A2275" s="6" t="n">
        <v>87849</v>
      </c>
      <c r="B2275" s="6" t="inlineStr">
        <is>
          <t>HERRADURA SILVER TEQUILA</t>
        </is>
      </c>
      <c r="C2275" s="7">
        <f>VLOOKUP(A2275,SizeData!A$2:B$3839,2,FALSE)</f>
        <v/>
      </c>
      <c r="D2275" s="6" t="n">
        <v>3</v>
      </c>
      <c r="E2275" s="6" t="inlineStr">
        <is>
          <t>R1830260</t>
        </is>
      </c>
      <c r="F2275" s="2" t="n">
        <v>44853</v>
      </c>
      <c r="G2275" s="1" t="n"/>
    </row>
    <row r="2276">
      <c r="A2276" s="6" t="n">
        <v>100104</v>
      </c>
      <c r="B2276" s="6" t="inlineStr">
        <is>
          <t>HERRADURA ULTRA ANEJO GIFT CARTON G6</t>
        </is>
      </c>
      <c r="C2276" s="7">
        <f>VLOOKUP(A2276,SizeData!A$2:B$3839,2,FALSE)</f>
        <v/>
      </c>
      <c r="D2276" s="6" t="n">
        <v>5</v>
      </c>
      <c r="E2276" s="6" t="inlineStr">
        <is>
          <t>R1496401</t>
        </is>
      </c>
      <c r="F2276" s="2" t="n">
        <v>44621</v>
      </c>
      <c r="G2276" s="1" t="n"/>
    </row>
    <row r="2277">
      <c r="A2277" s="6" t="n">
        <v>100104</v>
      </c>
      <c r="B2277" s="6" t="inlineStr">
        <is>
          <t>HERRADURA ULTRA ANEJO GIFT CARTON G6</t>
        </is>
      </c>
      <c r="C2277" s="7">
        <f>VLOOKUP(A2277,SizeData!A$2:B$3839,2,FALSE)</f>
        <v/>
      </c>
      <c r="D2277" s="6" t="n">
        <v>5</v>
      </c>
      <c r="E2277" s="6" t="inlineStr">
        <is>
          <t>R1494274</t>
        </is>
      </c>
      <c r="F2277" s="2" t="n">
        <v>44627</v>
      </c>
      <c r="G2277" s="1" t="n"/>
    </row>
    <row r="2278">
      <c r="A2278" s="6" t="n">
        <v>100104</v>
      </c>
      <c r="B2278" s="6" t="inlineStr">
        <is>
          <t>HERRADURA ULTRA ANEJO GIFT CARTON G6</t>
        </is>
      </c>
      <c r="C2278" s="7">
        <f>VLOOKUP(A2278,SizeData!A$2:B$3839,2,FALSE)</f>
        <v/>
      </c>
      <c r="D2278" s="6" t="n">
        <v>3</v>
      </c>
      <c r="E2278" s="6" t="inlineStr">
        <is>
          <t>R1792137</t>
        </is>
      </c>
      <c r="F2278" s="2" t="n">
        <v>44835</v>
      </c>
      <c r="G2278" s="1" t="n"/>
    </row>
    <row r="2279">
      <c r="A2279" s="6" t="n">
        <v>575250</v>
      </c>
      <c r="B2279" s="6" t="inlineStr">
        <is>
          <t>HOGUE LATE HARVEST WHITE RIESLING</t>
        </is>
      </c>
      <c r="C2279" s="7">
        <f>VLOOKUP(A2279,SizeData!A$2:B$3839,2,FALSE)</f>
        <v/>
      </c>
      <c r="D2279" s="6" t="n">
        <v>1</v>
      </c>
      <c r="E2279" s="6" t="inlineStr">
        <is>
          <t>R1519908</t>
        </is>
      </c>
      <c r="F2279" s="2" t="n">
        <v>44641</v>
      </c>
      <c r="G2279" s="1" t="n"/>
    </row>
    <row r="2280">
      <c r="A2280" s="6" t="n">
        <v>59850</v>
      </c>
      <c r="B2280" s="6" t="inlineStr">
        <is>
          <t>HORNITOS LIME HIBISCUS MARGARITA</t>
        </is>
      </c>
      <c r="C2280" s="7">
        <f>VLOOKUP(A2280,SizeData!A$2:B$3839,2,FALSE)</f>
        <v/>
      </c>
      <c r="D2280" s="6" t="n">
        <v>1</v>
      </c>
      <c r="E2280" s="6" t="inlineStr">
        <is>
          <t>R1713939</t>
        </is>
      </c>
      <c r="F2280" s="2" t="n">
        <v>44779</v>
      </c>
      <c r="G2280" s="1" t="n"/>
    </row>
    <row r="2281">
      <c r="A2281" s="6" t="n">
        <v>88540</v>
      </c>
      <c r="B2281" s="6" t="inlineStr">
        <is>
          <t>HORNITOS LIME SHOT WHITE TEQUILA</t>
        </is>
      </c>
      <c r="C2281" s="7">
        <f>VLOOKUP(A2281,SizeData!A$2:B$3839,2,FALSE)</f>
        <v/>
      </c>
      <c r="D2281" s="6" t="n">
        <v>1</v>
      </c>
      <c r="E2281" s="6" t="inlineStr">
        <is>
          <t>R1617499</t>
        </is>
      </c>
      <c r="F2281" s="2" t="n">
        <v>44706</v>
      </c>
      <c r="G2281" s="1" t="n"/>
    </row>
    <row r="2282">
      <c r="A2282" s="6" t="n">
        <v>59852</v>
      </c>
      <c r="B2282" s="6" t="inlineStr">
        <is>
          <t>HORNITOS PINEAPPLE POBLANO MARGARITA</t>
        </is>
      </c>
      <c r="C2282" s="7">
        <f>VLOOKUP(A2282,SizeData!A$2:B$3839,2,FALSE)</f>
        <v/>
      </c>
      <c r="D2282" s="6" t="n">
        <v>1</v>
      </c>
      <c r="E2282" s="6" t="inlineStr">
        <is>
          <t>R1584253</t>
        </is>
      </c>
      <c r="F2282" s="2" t="n">
        <v>44682</v>
      </c>
      <c r="G2282" s="1" t="n"/>
    </row>
    <row r="2283">
      <c r="A2283" s="6" t="n">
        <v>88548</v>
      </c>
      <c r="B2283" s="6" t="inlineStr">
        <is>
          <t>HORNITOS PLATA SILVER TEQUILA</t>
        </is>
      </c>
      <c r="C2283" s="7">
        <f>VLOOKUP(A2283,SizeData!A$2:B$3839,2,FALSE)</f>
        <v/>
      </c>
      <c r="D2283" s="6" t="n">
        <v>1</v>
      </c>
      <c r="E2283" s="6" t="inlineStr">
        <is>
          <t>R1393111</t>
        </is>
      </c>
      <c r="F2283" s="2" t="n">
        <v>44559</v>
      </c>
      <c r="G2283" s="1" t="n"/>
    </row>
    <row r="2284">
      <c r="A2284" s="6" t="n">
        <v>88548</v>
      </c>
      <c r="B2284" s="6" t="inlineStr">
        <is>
          <t>HORNITOS PLATA SILVER TEQUILA</t>
        </is>
      </c>
      <c r="C2284" s="7">
        <f>VLOOKUP(A2284,SizeData!A$2:B$3839,2,FALSE)</f>
        <v/>
      </c>
      <c r="D2284" s="6" t="n">
        <v>1</v>
      </c>
      <c r="E2284" s="6" t="inlineStr">
        <is>
          <t>R1402608</t>
        </is>
      </c>
      <c r="F2284" s="2" t="n">
        <v>44562</v>
      </c>
      <c r="G2284" s="1" t="n"/>
    </row>
    <row r="2285">
      <c r="A2285" s="6" t="n">
        <v>88548</v>
      </c>
      <c r="B2285" s="6" t="inlineStr">
        <is>
          <t>HORNITOS PLATA SILVER TEQUILA</t>
        </is>
      </c>
      <c r="C2285" s="7">
        <f>VLOOKUP(A2285,SizeData!A$2:B$3839,2,FALSE)</f>
        <v/>
      </c>
      <c r="D2285" s="6" t="n">
        <v>2</v>
      </c>
      <c r="E2285" s="6" t="inlineStr">
        <is>
          <t>R1816996</t>
        </is>
      </c>
      <c r="F2285" s="2" t="n">
        <v>44859</v>
      </c>
      <c r="G2285" s="1" t="n"/>
    </row>
    <row r="2286">
      <c r="A2286" s="6" t="n">
        <v>88549</v>
      </c>
      <c r="B2286" s="6" t="inlineStr">
        <is>
          <t>HORNITOS PLATA SILVER TEQUILA</t>
        </is>
      </c>
      <c r="C2286" s="7">
        <f>VLOOKUP(A2286,SizeData!A$2:B$3839,2,FALSE)</f>
        <v/>
      </c>
      <c r="D2286" s="6" t="n">
        <v>1</v>
      </c>
      <c r="E2286" s="6" t="inlineStr">
        <is>
          <t>R1416309</t>
        </is>
      </c>
      <c r="F2286" s="2" t="n">
        <v>44571</v>
      </c>
      <c r="G2286" s="1" t="n"/>
    </row>
    <row r="2287">
      <c r="A2287" s="6" t="n">
        <v>88549</v>
      </c>
      <c r="B2287" s="6" t="inlineStr">
        <is>
          <t>HORNITOS PLATA SILVER TEQUILA</t>
        </is>
      </c>
      <c r="C2287" s="7">
        <f>VLOOKUP(A2287,SizeData!A$2:B$3839,2,FALSE)</f>
        <v/>
      </c>
      <c r="D2287" s="6" t="n">
        <v>1</v>
      </c>
      <c r="E2287" s="6" t="inlineStr">
        <is>
          <t>R1418605</t>
        </is>
      </c>
      <c r="F2287" s="2" t="n">
        <v>44576</v>
      </c>
      <c r="G2287" s="1" t="n"/>
    </row>
    <row r="2288">
      <c r="A2288" s="6" t="n">
        <v>88549</v>
      </c>
      <c r="B2288" s="6" t="inlineStr">
        <is>
          <t>HORNITOS PLATA SILVER TEQUILA</t>
        </is>
      </c>
      <c r="C2288" s="7">
        <f>VLOOKUP(A2288,SizeData!A$2:B$3839,2,FALSE)</f>
        <v/>
      </c>
      <c r="D2288" s="6" t="n">
        <v>2</v>
      </c>
      <c r="E2288" s="6" t="inlineStr">
        <is>
          <t>R1434873</t>
        </is>
      </c>
      <c r="F2288" s="2" t="n">
        <v>44595</v>
      </c>
      <c r="G2288" s="1" t="n"/>
    </row>
    <row r="2289">
      <c r="A2289" s="6" t="n">
        <v>88549</v>
      </c>
      <c r="B2289" s="6" t="inlineStr">
        <is>
          <t>HORNITOS PLATA SILVER TEQUILA</t>
        </is>
      </c>
      <c r="C2289" s="7">
        <f>VLOOKUP(A2289,SizeData!A$2:B$3839,2,FALSE)</f>
        <v/>
      </c>
      <c r="D2289" s="6" t="n">
        <v>1</v>
      </c>
      <c r="E2289" s="6" t="inlineStr">
        <is>
          <t>R1444066</t>
        </is>
      </c>
      <c r="F2289" s="2" t="n">
        <v>44595</v>
      </c>
      <c r="G2289" s="1" t="n"/>
    </row>
    <row r="2290">
      <c r="A2290" s="6" t="n">
        <v>88549</v>
      </c>
      <c r="B2290" s="6" t="inlineStr">
        <is>
          <t>HORNITOS PLATA SILVER TEQUILA</t>
        </is>
      </c>
      <c r="C2290" s="7">
        <f>VLOOKUP(A2290,SizeData!A$2:B$3839,2,FALSE)</f>
        <v/>
      </c>
      <c r="D2290" s="6" t="n">
        <v>1</v>
      </c>
      <c r="E2290" s="6" t="inlineStr">
        <is>
          <t>R1516281</t>
        </is>
      </c>
      <c r="F2290" s="2" t="n">
        <v>44634</v>
      </c>
      <c r="G2290" s="1" t="n"/>
    </row>
    <row r="2291">
      <c r="A2291" s="6" t="n">
        <v>88549</v>
      </c>
      <c r="B2291" s="6" t="inlineStr">
        <is>
          <t>HORNITOS PLATA SILVER TEQUILA</t>
        </is>
      </c>
      <c r="C2291" s="7">
        <f>VLOOKUP(A2291,SizeData!A$2:B$3839,2,FALSE)</f>
        <v/>
      </c>
      <c r="D2291" s="6" t="n">
        <v>1</v>
      </c>
      <c r="E2291" s="6" t="inlineStr">
        <is>
          <t>R1683808</t>
        </is>
      </c>
      <c r="F2291" s="2" t="n">
        <v>44754</v>
      </c>
      <c r="G2291" s="1" t="n"/>
    </row>
    <row r="2292">
      <c r="A2292" s="6" t="n">
        <v>88549</v>
      </c>
      <c r="B2292" s="6" t="inlineStr">
        <is>
          <t>HORNITOS PLATA SILVER TEQUILA</t>
        </is>
      </c>
      <c r="C2292" s="7">
        <f>VLOOKUP(A2292,SizeData!A$2:B$3839,2,FALSE)</f>
        <v/>
      </c>
      <c r="D2292" s="6" t="n">
        <v>1</v>
      </c>
      <c r="E2292" s="6" t="inlineStr">
        <is>
          <t>R1777984</t>
        </is>
      </c>
      <c r="F2292" s="2" t="n">
        <v>44826</v>
      </c>
      <c r="G2292" s="1" t="n"/>
    </row>
    <row r="2293">
      <c r="A2293" s="6" t="n">
        <v>88549</v>
      </c>
      <c r="B2293" s="6" t="inlineStr">
        <is>
          <t>HORNITOS PLATA SILVER TEQUILA</t>
        </is>
      </c>
      <c r="C2293" s="7">
        <f>VLOOKUP(A2293,SizeData!A$2:B$3839,2,FALSE)</f>
        <v/>
      </c>
      <c r="D2293" s="6" t="n">
        <v>1</v>
      </c>
      <c r="E2293" s="6" t="inlineStr">
        <is>
          <t>R1841934</t>
        </is>
      </c>
      <c r="F2293" s="2" t="n">
        <v>44866</v>
      </c>
      <c r="G2293" s="1" t="n"/>
    </row>
    <row r="2294">
      <c r="A2294" s="6" t="n">
        <v>88549</v>
      </c>
      <c r="B2294" s="6" t="inlineStr">
        <is>
          <t>HORNITOS PLATA SILVER TEQUILA</t>
        </is>
      </c>
      <c r="C2294" s="7">
        <f>VLOOKUP(A2294,SizeData!A$2:B$3839,2,FALSE)</f>
        <v/>
      </c>
      <c r="D2294" s="6" t="n">
        <v>6</v>
      </c>
      <c r="E2294" s="6" t="inlineStr">
        <is>
          <t>R1856811</t>
        </is>
      </c>
      <c r="F2294" s="2" t="n">
        <v>44868</v>
      </c>
      <c r="G2294" s="1" t="n"/>
    </row>
    <row r="2295">
      <c r="A2295" s="6" t="n">
        <v>88549</v>
      </c>
      <c r="B2295" s="6" t="inlineStr">
        <is>
          <t>HORNITOS PLATA SILVER TEQUILA</t>
        </is>
      </c>
      <c r="C2295" s="7">
        <f>VLOOKUP(A2295,SizeData!A$2:B$3839,2,FALSE)</f>
        <v/>
      </c>
      <c r="D2295" s="6" t="n">
        <v>5</v>
      </c>
      <c r="E2295" s="6" t="inlineStr">
        <is>
          <t>R1878226</t>
        </is>
      </c>
      <c r="F2295" s="2" t="n">
        <v>44887</v>
      </c>
      <c r="G2295" s="1" t="n"/>
    </row>
    <row r="2296">
      <c r="A2296" s="6" t="n">
        <v>89834</v>
      </c>
      <c r="B2296" s="6" t="inlineStr">
        <is>
          <t>HORNITOS REPOSADO GOLD TEQUILA</t>
        </is>
      </c>
      <c r="C2296" s="7">
        <f>VLOOKUP(A2296,SizeData!A$2:B$3839,2,FALSE)</f>
        <v/>
      </c>
      <c r="D2296" s="6" t="n">
        <v>3</v>
      </c>
      <c r="E2296" s="6" t="inlineStr">
        <is>
          <t>R1710119</t>
        </is>
      </c>
      <c r="F2296" s="2" t="n">
        <v>44763</v>
      </c>
      <c r="G2296" s="1" t="n"/>
    </row>
    <row r="2297">
      <c r="A2297" s="6" t="n">
        <v>89834</v>
      </c>
      <c r="B2297" s="6" t="inlineStr">
        <is>
          <t>HORNITOS REPOSADO GOLD TEQUILA</t>
        </is>
      </c>
      <c r="C2297" s="7">
        <f>VLOOKUP(A2297,SizeData!A$2:B$3839,2,FALSE)</f>
        <v/>
      </c>
      <c r="D2297" s="6" t="n">
        <v>1</v>
      </c>
      <c r="E2297" s="6" t="inlineStr">
        <is>
          <t>R1777984</t>
        </is>
      </c>
      <c r="F2297" s="2" t="n">
        <v>44826</v>
      </c>
      <c r="G2297" s="1" t="n"/>
    </row>
    <row r="2298">
      <c r="A2298" s="26" t="n">
        <v>89834</v>
      </c>
      <c r="B2298" s="26" t="inlineStr">
        <is>
          <t>HORNITOS REPOSADO GOLD TEQUILA</t>
        </is>
      </c>
      <c r="C2298" s="75">
        <f>VLOOKUP(A2298,SizeData!A$2:B$3839,2,FALSE)</f>
        <v/>
      </c>
      <c r="D2298" s="26" t="n">
        <v>7</v>
      </c>
      <c r="E2298" s="26" t="inlineStr">
        <is>
          <t>R1856811</t>
        </is>
      </c>
      <c r="F2298" s="61" t="n">
        <v>44868</v>
      </c>
      <c r="G2298" s="62" t="n"/>
    </row>
    <row r="2299">
      <c r="A2299" s="6" t="n">
        <v>89834</v>
      </c>
      <c r="B2299" s="6" t="inlineStr">
        <is>
          <t>HORNITOS REPOSADO GOLD TEQUILA</t>
        </is>
      </c>
      <c r="C2299" s="7">
        <f>VLOOKUP(A2299,SizeData!A$2:B$3839,2,FALSE)</f>
        <v/>
      </c>
      <c r="D2299" s="6" t="n">
        <v>10</v>
      </c>
      <c r="E2299" s="6" t="inlineStr">
        <is>
          <t>R1878226</t>
        </is>
      </c>
      <c r="F2299" s="2" t="n">
        <v>44887</v>
      </c>
      <c r="G2299" s="1" t="n"/>
    </row>
    <row r="2300">
      <c r="A2300" s="6" t="n">
        <v>89836</v>
      </c>
      <c r="B2300" s="6" t="inlineStr">
        <is>
          <t>HORNITOS REPOSADO GOLD TEQUILA</t>
        </is>
      </c>
      <c r="C2300" s="7">
        <f>VLOOKUP(A2300,SizeData!A$2:B$3839,2,FALSE)</f>
        <v/>
      </c>
      <c r="D2300" s="6" t="n">
        <v>1</v>
      </c>
      <c r="E2300" s="6" t="inlineStr">
        <is>
          <t>R1434427</t>
        </is>
      </c>
      <c r="F2300" s="2" t="n">
        <v>44588</v>
      </c>
      <c r="G2300" s="1" t="n"/>
    </row>
    <row r="2301">
      <c r="A2301" s="6" t="n">
        <v>89836</v>
      </c>
      <c r="B2301" s="6" t="inlineStr">
        <is>
          <t>HORNITOS REPOSADO GOLD TEQUILA</t>
        </is>
      </c>
      <c r="C2301" s="7">
        <f>VLOOKUP(A2301,SizeData!A$2:B$3839,2,FALSE)</f>
        <v/>
      </c>
      <c r="D2301" s="6" t="n">
        <v>1</v>
      </c>
      <c r="E2301" s="6" t="inlineStr">
        <is>
          <t>R1446818</t>
        </is>
      </c>
      <c r="F2301" s="2" t="n">
        <v>44592</v>
      </c>
      <c r="G2301" s="1" t="n"/>
    </row>
    <row r="2302">
      <c r="A2302" s="6" t="n">
        <v>59854</v>
      </c>
      <c r="B2302" s="6" t="inlineStr">
        <is>
          <t>HORNITOS STRAWBERRY TAMARIND MARGARITA</t>
        </is>
      </c>
      <c r="C2302" s="7">
        <f>VLOOKUP(A2302,SizeData!A$2:B$3839,2,FALSE)</f>
        <v/>
      </c>
      <c r="D2302" s="6" t="n">
        <v>1</v>
      </c>
      <c r="E2302" s="6" t="inlineStr">
        <is>
          <t>R1596033</t>
        </is>
      </c>
      <c r="F2302" s="2" t="n">
        <v>44683</v>
      </c>
      <c r="G2302" s="1" t="n"/>
    </row>
    <row r="2303">
      <c r="A2303" s="6" t="n">
        <v>65194</v>
      </c>
      <c r="B2303" s="6" t="inlineStr">
        <is>
          <t>HPNOTIQ</t>
        </is>
      </c>
      <c r="C2303" s="7">
        <f>VLOOKUP(A2303,SizeData!A$2:B$3839,2,FALSE)</f>
        <v/>
      </c>
      <c r="D2303" s="6" t="n">
        <v>2</v>
      </c>
      <c r="E2303" s="6" t="inlineStr">
        <is>
          <t>R1375917</t>
        </is>
      </c>
      <c r="F2303" s="2" t="n">
        <v>44543</v>
      </c>
      <c r="G2303" s="1" t="n"/>
    </row>
    <row r="2304">
      <c r="A2304" s="6" t="n">
        <v>65194</v>
      </c>
      <c r="B2304" s="6" t="inlineStr">
        <is>
          <t>HPNOTIQ</t>
        </is>
      </c>
      <c r="C2304" s="7">
        <f>VLOOKUP(A2304,SizeData!A$2:B$3839,2,FALSE)</f>
        <v/>
      </c>
      <c r="D2304" s="6" t="n">
        <v>2</v>
      </c>
      <c r="E2304" s="6" t="inlineStr">
        <is>
          <t>R1436329</t>
        </is>
      </c>
      <c r="F2304" s="2" t="n">
        <v>44585</v>
      </c>
      <c r="G2304" s="1" t="n"/>
    </row>
    <row r="2305">
      <c r="A2305" s="6" t="n">
        <v>65195</v>
      </c>
      <c r="B2305" s="6" t="inlineStr">
        <is>
          <t>HPNOTIQ</t>
        </is>
      </c>
      <c r="C2305" s="7">
        <f>VLOOKUP(A2305,SizeData!A$2:B$3839,2,FALSE)</f>
        <v/>
      </c>
      <c r="D2305" s="6" t="n">
        <v>10</v>
      </c>
      <c r="E2305" s="6" t="inlineStr">
        <is>
          <t>R1368814</t>
        </is>
      </c>
      <c r="F2305" s="2" t="n">
        <v>44544</v>
      </c>
      <c r="G2305" s="1" t="n"/>
    </row>
    <row r="2306">
      <c r="A2306" s="6" t="n">
        <v>65188</v>
      </c>
      <c r="B2306" s="6" t="inlineStr">
        <is>
          <t>HPNOTIQ VODKA &amp; COGNAC LIQUEUR</t>
        </is>
      </c>
      <c r="C2306" s="7">
        <f>VLOOKUP(A2306,SizeData!A$2:B$3839,2,FALSE)</f>
        <v/>
      </c>
      <c r="D2306" s="6" t="n">
        <v>1</v>
      </c>
      <c r="E2306" s="6" t="inlineStr">
        <is>
          <t>R1529670</t>
        </is>
      </c>
      <c r="F2306" s="2" t="n">
        <v>44652</v>
      </c>
      <c r="G2306" s="1" t="n"/>
    </row>
    <row r="2307">
      <c r="A2307" s="6" t="n">
        <v>65188</v>
      </c>
      <c r="B2307" s="6" t="inlineStr">
        <is>
          <t>HPNOTIQ VODKA &amp; COGNAC LIQUEUR</t>
        </is>
      </c>
      <c r="C2307" s="7">
        <f>VLOOKUP(A2307,SizeData!A$2:B$3839,2,FALSE)</f>
        <v/>
      </c>
      <c r="D2307" s="6" t="n">
        <v>3</v>
      </c>
      <c r="E2307" s="6" t="inlineStr">
        <is>
          <t>R1549891</t>
        </is>
      </c>
      <c r="F2307" s="2" t="n">
        <v>44656</v>
      </c>
      <c r="G2307" s="1" t="n"/>
    </row>
    <row r="2308">
      <c r="A2308" s="6" t="n">
        <v>65188</v>
      </c>
      <c r="B2308" s="6" t="inlineStr">
        <is>
          <t>HPNOTIQ VODKA &amp; COGNAC LIQUEUR</t>
        </is>
      </c>
      <c r="C2308" s="7">
        <f>VLOOKUP(A2308,SizeData!A$2:B$3839,2,FALSE)</f>
        <v/>
      </c>
      <c r="D2308" s="6" t="n">
        <v>3</v>
      </c>
      <c r="E2308" s="6" t="inlineStr">
        <is>
          <t>R1585685</t>
        </is>
      </c>
      <c r="F2308" s="2" t="n">
        <v>44679</v>
      </c>
      <c r="G2308" s="1" t="n"/>
    </row>
    <row r="2309">
      <c r="A2309" s="6" t="n">
        <v>65188</v>
      </c>
      <c r="B2309" s="6" t="inlineStr">
        <is>
          <t>HPNOTIQ VODKA &amp; COGNAC LIQUEUR</t>
        </is>
      </c>
      <c r="C2309" s="7">
        <f>VLOOKUP(A2309,SizeData!A$2:B$3839,2,FALSE)</f>
        <v/>
      </c>
      <c r="D2309" s="6" t="n">
        <v>1</v>
      </c>
      <c r="E2309" s="6" t="inlineStr">
        <is>
          <t>R1746324</t>
        </is>
      </c>
      <c r="F2309" s="2" t="n">
        <v>44796</v>
      </c>
      <c r="G2309" s="1" t="n"/>
    </row>
    <row r="2310">
      <c r="A2310" s="6" t="n">
        <v>65188</v>
      </c>
      <c r="B2310" s="6" t="inlineStr">
        <is>
          <t>HPNOTIQ VODKA &amp; COGNAC LIQUEUR</t>
        </is>
      </c>
      <c r="C2310" s="7">
        <f>VLOOKUP(A2310,SizeData!A$2:B$3839,2,FALSE)</f>
        <v/>
      </c>
      <c r="D2310" s="6" t="n">
        <v>1</v>
      </c>
      <c r="E2310" s="6" t="inlineStr">
        <is>
          <t>R1768922</t>
        </is>
      </c>
      <c r="F2310" s="2" t="n">
        <v>44819</v>
      </c>
      <c r="G2310" s="1" t="n"/>
    </row>
    <row r="2311">
      <c r="A2311" s="6" t="n">
        <v>65191</v>
      </c>
      <c r="B2311" s="6" t="inlineStr">
        <is>
          <t>HPNOTIQ VODKA &amp; COGNAC LIQUEUR</t>
        </is>
      </c>
      <c r="C2311" s="7">
        <f>VLOOKUP(A2311,SizeData!A$2:B$3839,2,FALSE)</f>
        <v/>
      </c>
      <c r="D2311" s="6" t="n">
        <v>1</v>
      </c>
      <c r="E2311" s="6" t="inlineStr">
        <is>
          <t>R1762971</t>
        </is>
      </c>
      <c r="F2311" s="2" t="n">
        <v>44814</v>
      </c>
      <c r="G2311" s="1" t="n"/>
    </row>
    <row r="2312">
      <c r="A2312" s="6" t="n">
        <v>65193</v>
      </c>
      <c r="B2312" s="6" t="inlineStr">
        <is>
          <t>HPNOTIQ VODKA &amp; COGNAC LIQUEUR</t>
        </is>
      </c>
      <c r="C2312" s="7">
        <f>VLOOKUP(A2312,SizeData!A$2:B$3839,2,FALSE)</f>
        <v/>
      </c>
      <c r="D2312" s="6" t="n">
        <v>1</v>
      </c>
      <c r="E2312" s="6" t="inlineStr">
        <is>
          <t>R1458224</t>
        </is>
      </c>
      <c r="F2312" s="2" t="n">
        <v>44606</v>
      </c>
      <c r="G2312" s="1" t="n"/>
    </row>
    <row r="2313">
      <c r="A2313" s="6" t="n">
        <v>65193</v>
      </c>
      <c r="B2313" s="6" t="inlineStr">
        <is>
          <t>HPNOTIQ VODKA &amp; COGNAC LIQUEUR</t>
        </is>
      </c>
      <c r="C2313" s="7">
        <f>VLOOKUP(A2313,SizeData!A$2:B$3839,2,FALSE)</f>
        <v/>
      </c>
      <c r="D2313" s="6" t="n">
        <v>1</v>
      </c>
      <c r="E2313" s="6" t="inlineStr">
        <is>
          <t>R1713939</t>
        </is>
      </c>
      <c r="F2313" s="2" t="n">
        <v>44779</v>
      </c>
      <c r="G2313" s="1" t="n"/>
    </row>
    <row r="2314">
      <c r="A2314" s="6" t="n">
        <v>65193</v>
      </c>
      <c r="B2314" s="6" t="inlineStr">
        <is>
          <t>HPNOTIQ VODKA &amp; COGNAC LIQUEUR</t>
        </is>
      </c>
      <c r="C2314" s="7">
        <f>VLOOKUP(A2314,SizeData!A$2:B$3839,2,FALSE)</f>
        <v/>
      </c>
      <c r="D2314" s="6" t="n">
        <v>2</v>
      </c>
      <c r="E2314" s="6" t="inlineStr">
        <is>
          <t>R1866060</t>
        </is>
      </c>
      <c r="F2314" s="2" t="n">
        <v>44874</v>
      </c>
      <c r="G2314" s="1" t="n"/>
    </row>
    <row r="2315">
      <c r="A2315" s="6" t="n">
        <v>65193</v>
      </c>
      <c r="B2315" s="6" t="inlineStr">
        <is>
          <t>HPNOTIQ VODKA &amp; COGNAC LIQUEUR</t>
        </is>
      </c>
      <c r="C2315" s="7">
        <f>VLOOKUP(A2315,SizeData!A$2:B$3839,2,FALSE)</f>
        <v/>
      </c>
      <c r="D2315" s="6" t="n">
        <v>1</v>
      </c>
      <c r="E2315" s="6" t="inlineStr">
        <is>
          <t>R1865535</t>
        </is>
      </c>
      <c r="F2315" s="2" t="n">
        <v>44879</v>
      </c>
      <c r="G2315" s="1" t="n"/>
    </row>
    <row r="2316">
      <c r="A2316" s="6" t="n">
        <v>65194</v>
      </c>
      <c r="B2316" s="6" t="inlineStr">
        <is>
          <t>HPNOTIQ VODKA &amp; COGNAC LIQUEUR</t>
        </is>
      </c>
      <c r="C2316" s="7">
        <f>VLOOKUP(A2316,SizeData!A$2:B$3839,2,FALSE)</f>
        <v/>
      </c>
      <c r="D2316" s="6" t="n">
        <v>4</v>
      </c>
      <c r="E2316" s="6" t="inlineStr">
        <is>
          <t>R1443217</t>
        </is>
      </c>
      <c r="F2316" s="2" t="n">
        <v>44593</v>
      </c>
      <c r="G2316" s="1" t="n"/>
    </row>
    <row r="2317">
      <c r="A2317" s="6" t="n">
        <v>65194</v>
      </c>
      <c r="B2317" s="6" t="inlineStr">
        <is>
          <t>HPNOTIQ VODKA &amp; COGNAC LIQUEUR</t>
        </is>
      </c>
      <c r="C2317" s="7">
        <f>VLOOKUP(A2317,SizeData!A$2:B$3839,2,FALSE)</f>
        <v/>
      </c>
      <c r="D2317" s="6" t="n">
        <v>1</v>
      </c>
      <c r="E2317" s="6" t="inlineStr">
        <is>
          <t>R1486326</t>
        </is>
      </c>
      <c r="F2317" s="2" t="n">
        <v>44616</v>
      </c>
      <c r="G2317" s="1" t="n"/>
    </row>
    <row r="2318">
      <c r="A2318" s="6" t="n">
        <v>65194</v>
      </c>
      <c r="B2318" s="6" t="inlineStr">
        <is>
          <t>HPNOTIQ VODKA &amp; COGNAC LIQUEUR</t>
        </is>
      </c>
      <c r="C2318" s="7">
        <f>VLOOKUP(A2318,SizeData!A$2:B$3839,2,FALSE)</f>
        <v/>
      </c>
      <c r="D2318" s="6" t="n">
        <v>4</v>
      </c>
      <c r="E2318" s="6" t="inlineStr">
        <is>
          <t>R1607750</t>
        </is>
      </c>
      <c r="F2318" s="2" t="n">
        <v>44691</v>
      </c>
      <c r="G2318" s="1" t="n"/>
    </row>
    <row r="2319">
      <c r="A2319" s="6" t="n">
        <v>65194</v>
      </c>
      <c r="B2319" s="6" t="inlineStr">
        <is>
          <t>HPNOTIQ VODKA &amp; COGNAC LIQUEUR</t>
        </is>
      </c>
      <c r="C2319" s="7">
        <f>VLOOKUP(A2319,SizeData!A$2:B$3839,2,FALSE)</f>
        <v/>
      </c>
      <c r="D2319" s="6" t="n">
        <v>2</v>
      </c>
      <c r="E2319" s="6" t="inlineStr">
        <is>
          <t>R1713939</t>
        </is>
      </c>
      <c r="F2319" s="2" t="n">
        <v>44779</v>
      </c>
      <c r="G2319" s="1" t="n"/>
    </row>
    <row r="2320">
      <c r="A2320" s="6" t="n">
        <v>65194</v>
      </c>
      <c r="B2320" s="6" t="inlineStr">
        <is>
          <t>HPNOTIQ VODKA &amp; COGNAC LIQUEUR</t>
        </is>
      </c>
      <c r="C2320" s="7">
        <f>VLOOKUP(A2320,SizeData!A$2:B$3839,2,FALSE)</f>
        <v/>
      </c>
      <c r="D2320" s="6" t="n">
        <v>2</v>
      </c>
      <c r="E2320" s="6" t="inlineStr">
        <is>
          <t>R1719137</t>
        </is>
      </c>
      <c r="F2320" s="2" t="n">
        <v>44781</v>
      </c>
      <c r="G2320" s="1" t="n"/>
    </row>
    <row r="2321">
      <c r="A2321" s="6" t="n">
        <v>65194</v>
      </c>
      <c r="B2321" s="6" t="inlineStr">
        <is>
          <t>HPNOTIQ VODKA &amp; COGNAC LIQUEUR</t>
        </is>
      </c>
      <c r="C2321" s="7">
        <f>VLOOKUP(A2321,SizeData!A$2:B$3839,2,FALSE)</f>
        <v/>
      </c>
      <c r="D2321" s="6" t="n">
        <v>5</v>
      </c>
      <c r="E2321" s="6" t="inlineStr">
        <is>
          <t>R1866060</t>
        </is>
      </c>
      <c r="F2321" s="2" t="n">
        <v>44874</v>
      </c>
      <c r="G2321" s="1" t="n"/>
    </row>
    <row r="2322">
      <c r="A2322" s="26" t="n">
        <v>65194</v>
      </c>
      <c r="B2322" s="26" t="inlineStr">
        <is>
          <t>HPNOTIQ VODKA &amp; COGNAC LIQUEUR</t>
        </is>
      </c>
      <c r="C2322" s="75">
        <f>VLOOKUP(A2322,SizeData!A$2:B$3839,2,FALSE)</f>
        <v/>
      </c>
      <c r="D2322" s="26" t="n">
        <v>3</v>
      </c>
      <c r="E2322" s="26" t="inlineStr">
        <is>
          <t>R1865535</t>
        </is>
      </c>
      <c r="F2322" s="61" t="n">
        <v>44879</v>
      </c>
      <c r="G2322" s="62" t="n"/>
    </row>
    <row r="2323">
      <c r="A2323" s="6" t="n">
        <v>65195</v>
      </c>
      <c r="B2323" s="6" t="inlineStr">
        <is>
          <t>HPNOTIQ VODKA &amp; COGNAC LIQUEUR</t>
        </is>
      </c>
      <c r="C2323" s="7">
        <f>VLOOKUP(A2323,SizeData!A$2:B$3839,2,FALSE)</f>
        <v/>
      </c>
      <c r="D2323" s="6" t="n">
        <v>4</v>
      </c>
      <c r="E2323" s="6" t="inlineStr">
        <is>
          <t>R1619152</t>
        </is>
      </c>
      <c r="F2323" s="2" t="n">
        <v>44714</v>
      </c>
      <c r="G2323" s="1" t="n"/>
    </row>
    <row r="2324">
      <c r="A2324" s="6" t="n">
        <v>65195</v>
      </c>
      <c r="B2324" s="6" t="inlineStr">
        <is>
          <t>HPNOTIQ VODKA &amp; COGNAC LIQUEUR</t>
        </is>
      </c>
      <c r="C2324" s="7">
        <f>VLOOKUP(A2324,SizeData!A$2:B$3839,2,FALSE)</f>
        <v/>
      </c>
      <c r="D2324" s="6" t="n">
        <v>1</v>
      </c>
      <c r="E2324" s="6" t="inlineStr">
        <is>
          <t>R1619152</t>
        </is>
      </c>
      <c r="F2324" s="2" t="n">
        <v>44714</v>
      </c>
      <c r="G2324" s="1" t="n"/>
    </row>
    <row r="2325">
      <c r="A2325" s="6" t="n">
        <v>65195</v>
      </c>
      <c r="B2325" s="6" t="inlineStr">
        <is>
          <t>HPNOTIQ VODKA &amp; COGNAC LIQUEUR</t>
        </is>
      </c>
      <c r="C2325" s="7">
        <f>VLOOKUP(A2325,SizeData!A$2:B$3839,2,FALSE)</f>
        <v/>
      </c>
      <c r="D2325" s="6" t="n">
        <v>2</v>
      </c>
      <c r="E2325" s="6" t="inlineStr">
        <is>
          <t>R1644631</t>
        </is>
      </c>
      <c r="F2325" s="2" t="n">
        <v>44725</v>
      </c>
      <c r="G2325" s="1" t="n"/>
    </row>
    <row r="2326">
      <c r="A2326" s="6" t="n">
        <v>65195</v>
      </c>
      <c r="B2326" s="6" t="inlineStr">
        <is>
          <t>HPNOTIQ VODKA &amp; COGNAC LIQUEUR</t>
        </is>
      </c>
      <c r="C2326" s="7">
        <f>VLOOKUP(A2326,SizeData!A$2:B$3839,2,FALSE)</f>
        <v/>
      </c>
      <c r="D2326" s="6" t="n">
        <v>5</v>
      </c>
      <c r="E2326" s="6" t="inlineStr">
        <is>
          <t>R1770681</t>
        </is>
      </c>
      <c r="F2326" s="2" t="n">
        <v>44812</v>
      </c>
      <c r="G2326" s="1" t="n"/>
    </row>
    <row r="2327">
      <c r="A2327" s="6" t="n">
        <v>65195</v>
      </c>
      <c r="B2327" s="6" t="inlineStr">
        <is>
          <t>HPNOTIQ VODKA &amp; COGNAC LIQUEUR</t>
        </is>
      </c>
      <c r="C2327" s="7">
        <f>VLOOKUP(A2327,SizeData!A$2:B$3839,2,FALSE)</f>
        <v/>
      </c>
      <c r="D2327" s="6" t="n">
        <v>3</v>
      </c>
      <c r="E2327" s="6" t="inlineStr">
        <is>
          <t>R1768922</t>
        </is>
      </c>
      <c r="F2327" s="2" t="n">
        <v>44819</v>
      </c>
      <c r="G2327" s="1" t="n"/>
    </row>
    <row r="2328">
      <c r="A2328" s="6" t="n">
        <v>65195</v>
      </c>
      <c r="B2328" s="6" t="inlineStr">
        <is>
          <t>HPNOTIQ VODKA &amp; COGNAC LIQUEUR</t>
        </is>
      </c>
      <c r="C2328" s="7">
        <f>VLOOKUP(A2328,SizeData!A$2:B$3839,2,FALSE)</f>
        <v/>
      </c>
      <c r="D2328" s="6" t="n">
        <v>1</v>
      </c>
      <c r="E2328" s="6" t="inlineStr">
        <is>
          <t>R1763684</t>
        </is>
      </c>
      <c r="F2328" s="2" t="n">
        <v>44821</v>
      </c>
      <c r="G2328" s="1" t="n"/>
    </row>
    <row r="2329">
      <c r="A2329" s="6" t="n">
        <v>65195</v>
      </c>
      <c r="B2329" s="6" t="inlineStr">
        <is>
          <t>HPNOTIQ VODKA &amp; COGNAC LIQUEUR</t>
        </is>
      </c>
      <c r="C2329" s="7">
        <f>VLOOKUP(A2329,SizeData!A$2:B$3839,2,FALSE)</f>
        <v/>
      </c>
      <c r="D2329" s="6" t="n">
        <v>4</v>
      </c>
      <c r="E2329" s="6" t="inlineStr">
        <is>
          <t>R1906226</t>
        </is>
      </c>
      <c r="F2329" s="2" t="n">
        <v>44905</v>
      </c>
      <c r="G2329" s="1" t="n"/>
    </row>
    <row r="2330">
      <c r="A2330" s="6" t="n">
        <v>5290</v>
      </c>
      <c r="B2330" s="6" t="inlineStr">
        <is>
          <t>J &amp; B RARE</t>
        </is>
      </c>
      <c r="C2330" s="7">
        <f>VLOOKUP(A2330,SizeData!A$2:B$3839,2,FALSE)</f>
        <v/>
      </c>
      <c r="D2330" s="6" t="n">
        <v>1</v>
      </c>
      <c r="E2330" s="6" t="inlineStr">
        <is>
          <t>R1530051</t>
        </is>
      </c>
      <c r="F2330" s="2" t="n">
        <v>44637</v>
      </c>
      <c r="G2330" s="1" t="n"/>
    </row>
    <row r="2331">
      <c r="A2331" s="6" t="n">
        <v>5290</v>
      </c>
      <c r="B2331" s="6" t="inlineStr">
        <is>
          <t>J &amp; B RARE</t>
        </is>
      </c>
      <c r="C2331" s="7">
        <f>VLOOKUP(A2331,SizeData!A$2:B$3839,2,FALSE)</f>
        <v/>
      </c>
      <c r="D2331" s="6" t="n">
        <v>1</v>
      </c>
      <c r="E2331" s="6" t="inlineStr">
        <is>
          <t>R1619359</t>
        </is>
      </c>
      <c r="F2331" s="2" t="n">
        <v>44716</v>
      </c>
      <c r="G2331" s="1" t="n"/>
    </row>
    <row r="2332">
      <c r="A2332" s="6" t="n">
        <v>5290</v>
      </c>
      <c r="B2332" s="6" t="inlineStr">
        <is>
          <t>J &amp; B RARE</t>
        </is>
      </c>
      <c r="C2332" s="7">
        <f>VLOOKUP(A2332,SizeData!A$2:B$3839,2,FALSE)</f>
        <v/>
      </c>
      <c r="D2332" s="6" t="n">
        <v>1</v>
      </c>
      <c r="E2332" s="6" t="inlineStr">
        <is>
          <t>R1762660</t>
        </is>
      </c>
      <c r="F2332" s="2" t="n">
        <v>44817</v>
      </c>
      <c r="G2332" s="1" t="n"/>
    </row>
    <row r="2333">
      <c r="A2333" s="6" t="n">
        <v>774850</v>
      </c>
      <c r="B2333" s="6" t="inlineStr">
        <is>
          <t>J. ROGET SPUMANTE</t>
        </is>
      </c>
      <c r="C2333" s="7">
        <f>VLOOKUP(A2333,SizeData!A$2:B$3839,2,FALSE)</f>
        <v/>
      </c>
      <c r="D2333" s="6" t="n">
        <v>1</v>
      </c>
      <c r="E2333" s="6" t="inlineStr">
        <is>
          <t>R1472921</t>
        </is>
      </c>
      <c r="F2333" s="2" t="n">
        <v>44613</v>
      </c>
      <c r="G2333" s="1" t="n"/>
    </row>
    <row r="2334">
      <c r="A2334" s="6" t="n">
        <v>26822</v>
      </c>
      <c r="B2334" s="6" t="inlineStr">
        <is>
          <t>JACK DANIELS BLACK LABEL</t>
        </is>
      </c>
      <c r="C2334" s="7">
        <f>VLOOKUP(A2334,SizeData!A$2:B$3839,2,FALSE)</f>
        <v/>
      </c>
      <c r="D2334" s="6" t="n">
        <v>10</v>
      </c>
      <c r="E2334" s="6" t="inlineStr">
        <is>
          <t>R1481890</t>
        </is>
      </c>
      <c r="F2334" s="2" t="n">
        <v>44620</v>
      </c>
      <c r="G2334" s="1" t="n"/>
    </row>
    <row r="2335">
      <c r="A2335" s="6" t="n">
        <v>26823</v>
      </c>
      <c r="B2335" s="6" t="inlineStr">
        <is>
          <t>JACK DANIELS BLACK LABEL</t>
        </is>
      </c>
      <c r="C2335" s="7">
        <f>VLOOKUP(A2335,SizeData!A$2:B$3839,2,FALSE)</f>
        <v/>
      </c>
      <c r="D2335" s="6" t="n">
        <v>2</v>
      </c>
      <c r="E2335" s="6" t="inlineStr">
        <is>
          <t>R1416309</t>
        </is>
      </c>
      <c r="F2335" s="2" t="n">
        <v>44571</v>
      </c>
      <c r="G2335" s="1" t="n"/>
    </row>
    <row r="2336">
      <c r="A2336" s="6" t="n">
        <v>26823</v>
      </c>
      <c r="B2336" s="6" t="inlineStr">
        <is>
          <t>JACK DANIELS BLACK LABEL</t>
        </is>
      </c>
      <c r="C2336" s="7">
        <f>VLOOKUP(A2336,SizeData!A$2:B$3839,2,FALSE)</f>
        <v/>
      </c>
      <c r="D2336" s="6" t="n">
        <v>2</v>
      </c>
      <c r="E2336" s="6" t="inlineStr">
        <is>
          <t>R1458224</t>
        </is>
      </c>
      <c r="F2336" s="2" t="n">
        <v>44606</v>
      </c>
      <c r="G2336" s="1" t="n"/>
    </row>
    <row r="2337">
      <c r="A2337" s="6" t="n">
        <v>26823</v>
      </c>
      <c r="B2337" s="6" t="inlineStr">
        <is>
          <t>JACK DANIELS BLACK LABEL</t>
        </is>
      </c>
      <c r="C2337" s="7">
        <f>VLOOKUP(A2337,SizeData!A$2:B$3839,2,FALSE)</f>
        <v/>
      </c>
      <c r="D2337" s="6" t="n">
        <v>1</v>
      </c>
      <c r="E2337" s="6" t="inlineStr">
        <is>
          <t>R1544902</t>
        </is>
      </c>
      <c r="F2337" s="2" t="n">
        <v>44653</v>
      </c>
      <c r="G2337" s="1" t="n"/>
    </row>
    <row r="2338">
      <c r="A2338" s="6" t="n">
        <v>26823</v>
      </c>
      <c r="B2338" s="6" t="inlineStr">
        <is>
          <t>JACK DANIELS BLACK LABEL</t>
        </is>
      </c>
      <c r="C2338" s="7">
        <f>VLOOKUP(A2338,SizeData!A$2:B$3839,2,FALSE)</f>
        <v/>
      </c>
      <c r="D2338" s="6" t="n">
        <v>1</v>
      </c>
      <c r="E2338" s="6" t="inlineStr">
        <is>
          <t>R1619359</t>
        </is>
      </c>
      <c r="F2338" s="2" t="n">
        <v>44716</v>
      </c>
      <c r="G2338" s="1" t="n"/>
    </row>
    <row r="2339">
      <c r="A2339" s="6" t="n">
        <v>26823</v>
      </c>
      <c r="B2339" s="6" t="inlineStr">
        <is>
          <t>JACK DANIELS BLACK LABEL</t>
        </is>
      </c>
      <c r="C2339" s="7">
        <f>VLOOKUP(A2339,SizeData!A$2:B$3839,2,FALSE)</f>
        <v/>
      </c>
      <c r="D2339" s="6" t="n">
        <v>1</v>
      </c>
      <c r="E2339" s="6" t="inlineStr">
        <is>
          <t>R1650337</t>
        </is>
      </c>
      <c r="F2339" s="2" t="n">
        <v>44719</v>
      </c>
      <c r="G2339" s="1" t="n"/>
    </row>
    <row r="2340">
      <c r="A2340" s="6" t="n">
        <v>26823</v>
      </c>
      <c r="B2340" s="6" t="inlineStr">
        <is>
          <t>JACK DANIELS BLACK LABEL</t>
        </is>
      </c>
      <c r="C2340" s="7">
        <f>VLOOKUP(A2340,SizeData!A$2:B$3839,2,FALSE)</f>
        <v/>
      </c>
      <c r="D2340" s="6" t="n">
        <v>1</v>
      </c>
      <c r="E2340" s="6" t="inlineStr">
        <is>
          <t>R1852440</t>
        </is>
      </c>
      <c r="F2340" s="2" t="n">
        <v>44867</v>
      </c>
      <c r="G2340" s="1" t="n"/>
    </row>
    <row r="2341">
      <c r="A2341" s="6" t="n">
        <v>26823</v>
      </c>
      <c r="B2341" s="6" t="inlineStr">
        <is>
          <t>JACK DANIELS BLACK LABEL</t>
        </is>
      </c>
      <c r="C2341" s="7">
        <f>VLOOKUP(A2341,SizeData!A$2:B$3839,2,FALSE)</f>
        <v/>
      </c>
      <c r="D2341" s="6" t="n">
        <v>1</v>
      </c>
      <c r="E2341" s="6" t="inlineStr">
        <is>
          <t>R1866531</t>
        </is>
      </c>
      <c r="F2341" s="2" t="n">
        <v>44877</v>
      </c>
      <c r="G2341" s="1" t="n"/>
    </row>
    <row r="2342">
      <c r="A2342" s="6" t="n">
        <v>26826</v>
      </c>
      <c r="B2342" s="6" t="inlineStr">
        <is>
          <t>JACK DANIELS BLACK LABEL</t>
        </is>
      </c>
      <c r="C2342" s="7">
        <f>VLOOKUP(A2342,SizeData!A$2:B$3839,2,FALSE)</f>
        <v/>
      </c>
      <c r="D2342" s="6" t="n">
        <v>10</v>
      </c>
      <c r="E2342" s="6" t="inlineStr">
        <is>
          <t>R1458539</t>
        </is>
      </c>
      <c r="F2342" s="2" t="n">
        <v>44607</v>
      </c>
      <c r="G2342" s="1" t="n"/>
    </row>
    <row r="2343">
      <c r="A2343" s="6" t="n">
        <v>26826</v>
      </c>
      <c r="B2343" s="6" t="inlineStr">
        <is>
          <t>JACK DANIELS BLACK LABEL</t>
        </is>
      </c>
      <c r="C2343" s="7">
        <f>VLOOKUP(A2343,SizeData!A$2:B$3839,2,FALSE)</f>
        <v/>
      </c>
      <c r="D2343" s="6" t="n">
        <v>10</v>
      </c>
      <c r="E2343" s="6" t="inlineStr">
        <is>
          <t>R1472603</t>
        </is>
      </c>
      <c r="F2343" s="2" t="n">
        <v>44609</v>
      </c>
      <c r="G2343" s="1" t="n"/>
    </row>
    <row r="2344">
      <c r="A2344" s="6" t="n">
        <v>26826</v>
      </c>
      <c r="B2344" s="6" t="inlineStr">
        <is>
          <t>JACK DANIELS BLACK LABEL</t>
        </is>
      </c>
      <c r="C2344" s="7">
        <f>VLOOKUP(A2344,SizeData!A$2:B$3839,2,FALSE)</f>
        <v/>
      </c>
      <c r="D2344" s="6" t="n">
        <v>10</v>
      </c>
      <c r="E2344" s="6" t="inlineStr">
        <is>
          <t>R1646084</t>
        </is>
      </c>
      <c r="F2344" s="2" t="n">
        <v>44725</v>
      </c>
      <c r="G2344" s="1" t="n"/>
    </row>
    <row r="2345">
      <c r="A2345" s="6" t="n">
        <v>26826</v>
      </c>
      <c r="B2345" s="6" t="inlineStr">
        <is>
          <t>JACK DANIELS BLACK LABEL</t>
        </is>
      </c>
      <c r="C2345" s="7">
        <f>VLOOKUP(A2345,SizeData!A$2:B$3839,2,FALSE)</f>
        <v/>
      </c>
      <c r="D2345" s="6" t="n">
        <v>10</v>
      </c>
      <c r="E2345" s="6" t="inlineStr">
        <is>
          <t>R1794246</t>
        </is>
      </c>
      <c r="F2345" s="2" t="n">
        <v>44837</v>
      </c>
      <c r="G2345" s="1" t="n"/>
    </row>
    <row r="2346">
      <c r="A2346" s="6" t="n">
        <v>26826</v>
      </c>
      <c r="B2346" s="6" t="inlineStr">
        <is>
          <t>JACK DANIELS BLACK LABEL</t>
        </is>
      </c>
      <c r="C2346" s="7">
        <f>VLOOKUP(A2346,SizeData!A$2:B$3839,2,FALSE)</f>
        <v/>
      </c>
      <c r="D2346" s="6" t="n">
        <v>5</v>
      </c>
      <c r="E2346" s="6" t="inlineStr">
        <is>
          <t>R1825198</t>
        </is>
      </c>
      <c r="F2346" s="2" t="n">
        <v>44853</v>
      </c>
      <c r="G2346" s="1" t="n"/>
    </row>
    <row r="2347">
      <c r="A2347" s="6" t="n">
        <v>26827</v>
      </c>
      <c r="B2347" s="6" t="inlineStr">
        <is>
          <t>JACK DANIELS BLACK LABEL</t>
        </is>
      </c>
      <c r="C2347" s="7">
        <f>VLOOKUP(A2347,SizeData!A$2:B$3839,2,FALSE)</f>
        <v/>
      </c>
      <c r="D2347" s="6" t="n">
        <v>3</v>
      </c>
      <c r="E2347" s="6" t="inlineStr">
        <is>
          <t>R1444066</t>
        </is>
      </c>
      <c r="F2347" s="2" t="n">
        <v>44595</v>
      </c>
      <c r="G2347" s="1" t="n"/>
    </row>
    <row r="2348">
      <c r="A2348" s="6" t="n">
        <v>26827</v>
      </c>
      <c r="B2348" s="6" t="inlineStr">
        <is>
          <t>JACK DANIELS BLACK LABEL</t>
        </is>
      </c>
      <c r="C2348" s="7">
        <f>VLOOKUP(A2348,SizeData!A$2:B$3839,2,FALSE)</f>
        <v/>
      </c>
      <c r="D2348" s="6" t="n">
        <v>1</v>
      </c>
      <c r="E2348" s="6" t="inlineStr">
        <is>
          <t>R1544902</t>
        </is>
      </c>
      <c r="F2348" s="2" t="n">
        <v>44653</v>
      </c>
      <c r="G2348" s="1" t="n"/>
    </row>
    <row r="2349">
      <c r="A2349" s="6" t="n">
        <v>26827</v>
      </c>
      <c r="B2349" s="6" t="inlineStr">
        <is>
          <t>JACK DANIELS BLACK LABEL</t>
        </is>
      </c>
      <c r="C2349" s="7">
        <f>VLOOKUP(A2349,SizeData!A$2:B$3839,2,FALSE)</f>
        <v/>
      </c>
      <c r="D2349" s="6" t="n">
        <v>3</v>
      </c>
      <c r="E2349" s="6" t="inlineStr">
        <is>
          <t>R1584253</t>
        </is>
      </c>
      <c r="F2349" s="2" t="n">
        <v>44682</v>
      </c>
      <c r="G2349" s="1" t="n"/>
    </row>
    <row r="2350">
      <c r="A2350" s="6" t="n">
        <v>26827</v>
      </c>
      <c r="B2350" s="6" t="inlineStr">
        <is>
          <t>JACK DANIELS BLACK LABEL</t>
        </is>
      </c>
      <c r="C2350" s="7">
        <f>VLOOKUP(A2350,SizeData!A$2:B$3839,2,FALSE)</f>
        <v/>
      </c>
      <c r="D2350" s="6" t="n">
        <v>1</v>
      </c>
      <c r="E2350" s="6" t="inlineStr">
        <is>
          <t>R1751391</t>
        </is>
      </c>
      <c r="F2350" s="2" t="n">
        <v>44805</v>
      </c>
      <c r="G2350" s="1" t="n"/>
    </row>
    <row r="2351">
      <c r="A2351" s="6" t="n">
        <v>26827</v>
      </c>
      <c r="B2351" s="6" t="inlineStr">
        <is>
          <t>JACK DANIELS BLACK LABEL</t>
        </is>
      </c>
      <c r="C2351" s="7">
        <f>VLOOKUP(A2351,SizeData!A$2:B$3839,2,FALSE)</f>
        <v/>
      </c>
      <c r="D2351" s="6" t="n">
        <v>3</v>
      </c>
      <c r="E2351" s="6" t="inlineStr">
        <is>
          <t>R1762606</t>
        </is>
      </c>
      <c r="F2351" s="2" t="n">
        <v>44809</v>
      </c>
      <c r="G2351" s="1" t="n"/>
    </row>
    <row r="2352">
      <c r="A2352" s="6" t="n">
        <v>26827</v>
      </c>
      <c r="B2352" s="6" t="inlineStr">
        <is>
          <t>JACK DANIELS BLACK LABEL</t>
        </is>
      </c>
      <c r="C2352" s="7">
        <f>VLOOKUP(A2352,SizeData!A$2:B$3839,2,FALSE)</f>
        <v/>
      </c>
      <c r="D2352" s="6" t="n">
        <v>1</v>
      </c>
      <c r="E2352" s="6" t="inlineStr">
        <is>
          <t>R1793212</t>
        </is>
      </c>
      <c r="F2352" s="2" t="n">
        <v>44833</v>
      </c>
      <c r="G2352" s="1" t="n"/>
    </row>
    <row r="2353">
      <c r="A2353" s="6" t="n">
        <v>26828</v>
      </c>
      <c r="B2353" s="6" t="inlineStr">
        <is>
          <t>JACK DANIELS BLACK LABEL</t>
        </is>
      </c>
      <c r="C2353" s="7">
        <f>VLOOKUP(A2353,SizeData!A$2:B$3839,2,FALSE)</f>
        <v/>
      </c>
      <c r="D2353" s="6" t="n">
        <v>10</v>
      </c>
      <c r="E2353" s="6" t="inlineStr">
        <is>
          <t>R1525721</t>
        </is>
      </c>
      <c r="F2353" s="2" t="n">
        <v>44635</v>
      </c>
      <c r="G2353" s="1" t="n"/>
    </row>
    <row r="2354">
      <c r="A2354" s="6" t="n">
        <v>26828</v>
      </c>
      <c r="B2354" s="6" t="inlineStr">
        <is>
          <t>JACK DANIELS BLACK LABEL</t>
        </is>
      </c>
      <c r="C2354" s="7">
        <f>VLOOKUP(A2354,SizeData!A$2:B$3839,2,FALSE)</f>
        <v/>
      </c>
      <c r="D2354" s="6" t="n">
        <v>15</v>
      </c>
      <c r="E2354" s="6" t="inlineStr">
        <is>
          <t>R1674612</t>
        </is>
      </c>
      <c r="F2354" s="2" t="n">
        <v>44748</v>
      </c>
      <c r="G2354" s="1" t="n"/>
    </row>
    <row r="2355">
      <c r="A2355" s="6" t="n">
        <v>26828</v>
      </c>
      <c r="B2355" s="6" t="inlineStr">
        <is>
          <t>JACK DANIELS BLACK LABEL</t>
        </is>
      </c>
      <c r="C2355" s="7">
        <f>VLOOKUP(A2355,SizeData!A$2:B$3839,2,FALSE)</f>
        <v/>
      </c>
      <c r="D2355" s="6" t="n">
        <v>10</v>
      </c>
      <c r="E2355" s="6" t="inlineStr">
        <is>
          <t>R1690750</t>
        </is>
      </c>
      <c r="F2355" s="2" t="n">
        <v>44755</v>
      </c>
      <c r="G2355" s="1" t="n"/>
    </row>
    <row r="2356">
      <c r="A2356" s="6" t="n">
        <v>26820</v>
      </c>
      <c r="B2356" s="6" t="inlineStr">
        <is>
          <t>JACK DANIELS BLACK LABEL (PET)</t>
        </is>
      </c>
      <c r="C2356" s="7">
        <f>VLOOKUP(A2356,SizeData!A$2:B$3839,2,FALSE)</f>
        <v/>
      </c>
      <c r="D2356" s="6" t="n">
        <v>2</v>
      </c>
      <c r="E2356" s="6" t="inlineStr">
        <is>
          <t>R1587262</t>
        </is>
      </c>
      <c r="F2356" s="2" t="n">
        <v>44682</v>
      </c>
      <c r="G2356" s="1" t="n"/>
    </row>
    <row r="2357">
      <c r="A2357" s="6" t="n">
        <v>26820</v>
      </c>
      <c r="B2357" s="6" t="inlineStr">
        <is>
          <t>JACK DANIELS BLACK LABEL (PET)</t>
        </is>
      </c>
      <c r="C2357" s="7">
        <f>VLOOKUP(A2357,SizeData!A$2:B$3839,2,FALSE)</f>
        <v/>
      </c>
      <c r="D2357" s="6" t="n">
        <v>5</v>
      </c>
      <c r="E2357" s="6" t="inlineStr">
        <is>
          <t>R1596033</t>
        </is>
      </c>
      <c r="F2357" s="2" t="n">
        <v>44683</v>
      </c>
      <c r="G2357" s="1" t="n"/>
    </row>
    <row r="2358">
      <c r="A2358" s="6" t="n">
        <v>26820</v>
      </c>
      <c r="B2358" s="6" t="inlineStr">
        <is>
          <t>JACK DANIELS BLACK LABEL (PET)</t>
        </is>
      </c>
      <c r="C2358" s="7">
        <f>VLOOKUP(A2358,SizeData!A$2:B$3839,2,FALSE)</f>
        <v/>
      </c>
      <c r="D2358" s="6" t="n">
        <v>2</v>
      </c>
      <c r="E2358" s="6" t="inlineStr">
        <is>
          <t>R1617499</t>
        </is>
      </c>
      <c r="F2358" s="2" t="n">
        <v>44706</v>
      </c>
      <c r="G2358" s="1" t="n"/>
    </row>
    <row r="2359">
      <c r="A2359" s="6" t="n">
        <v>26820</v>
      </c>
      <c r="B2359" s="6" t="inlineStr">
        <is>
          <t>JACK DANIELS BLACK LABEL (PET)</t>
        </is>
      </c>
      <c r="C2359" s="7">
        <f>VLOOKUP(A2359,SizeData!A$2:B$3839,2,FALSE)</f>
        <v/>
      </c>
      <c r="D2359" s="6" t="n">
        <v>7</v>
      </c>
      <c r="E2359" s="6" t="inlineStr">
        <is>
          <t>R1763315</t>
        </is>
      </c>
      <c r="F2359" s="2" t="n">
        <v>44814</v>
      </c>
      <c r="G2359" s="1" t="n"/>
    </row>
    <row r="2360">
      <c r="A2360" s="6" t="n">
        <v>26820</v>
      </c>
      <c r="B2360" s="6" t="inlineStr">
        <is>
          <t>JACK DANIELS BLACK LABEL (PET)</t>
        </is>
      </c>
      <c r="C2360" s="7">
        <f>VLOOKUP(A2360,SizeData!A$2:B$3839,2,FALSE)</f>
        <v/>
      </c>
      <c r="D2360" s="6" t="n">
        <v>2</v>
      </c>
      <c r="E2360" s="6" t="inlineStr">
        <is>
          <t>R1784903</t>
        </is>
      </c>
      <c r="F2360" s="2" t="n">
        <v>44828</v>
      </c>
      <c r="G2360" s="1" t="n"/>
    </row>
    <row r="2361">
      <c r="A2361" s="6" t="n">
        <v>26820</v>
      </c>
      <c r="B2361" s="6" t="inlineStr">
        <is>
          <t>JACK DANIELS BLACK LABEL (PET)</t>
        </is>
      </c>
      <c r="C2361" s="7">
        <f>VLOOKUP(A2361,SizeData!A$2:B$3839,2,FALSE)</f>
        <v/>
      </c>
      <c r="D2361" s="6" t="n">
        <v>6</v>
      </c>
      <c r="E2361" s="6" t="inlineStr">
        <is>
          <t>R1898101</t>
        </is>
      </c>
      <c r="F2361" s="2" t="n">
        <v>44902</v>
      </c>
      <c r="G2361" s="1" t="n"/>
    </row>
    <row r="2362">
      <c r="A2362" s="6" t="n">
        <v>26417</v>
      </c>
      <c r="B2362" s="6" t="inlineStr">
        <is>
          <t>JACK DANIELS BLACK LABEL 10B-SLEEVE (PET)</t>
        </is>
      </c>
      <c r="C2362" s="7">
        <f>VLOOKUP(A2362,SizeData!A$2:B$3839,2,FALSE)</f>
        <v/>
      </c>
      <c r="D2362" s="6" t="n">
        <v>1</v>
      </c>
      <c r="E2362" s="6" t="inlineStr">
        <is>
          <t>R1518696</t>
        </is>
      </c>
      <c r="F2362" s="2" t="n">
        <v>44643</v>
      </c>
      <c r="G2362" s="1" t="n"/>
    </row>
    <row r="2363">
      <c r="A2363" s="6" t="n">
        <v>26417</v>
      </c>
      <c r="B2363" s="6" t="inlineStr">
        <is>
          <t>JACK DANIELS BLACK LABEL 10B-SLEEVE (PET)</t>
        </is>
      </c>
      <c r="C2363" s="7">
        <f>VLOOKUP(A2363,SizeData!A$2:B$3839,2,FALSE)</f>
        <v/>
      </c>
      <c r="D2363" s="6" t="n">
        <v>1</v>
      </c>
      <c r="E2363" s="6" t="inlineStr">
        <is>
          <t>R1552114</t>
        </is>
      </c>
      <c r="F2363" s="2" t="n">
        <v>44653</v>
      </c>
      <c r="G2363" s="1" t="n"/>
    </row>
    <row r="2364">
      <c r="A2364" s="6" t="n">
        <v>16222</v>
      </c>
      <c r="B2364" s="6" t="inlineStr">
        <is>
          <t>JACK DANIEL'S BONDED</t>
        </is>
      </c>
      <c r="C2364" s="7">
        <f>VLOOKUP(A2364,SizeData!A$2:B$3839,2,FALSE)</f>
        <v/>
      </c>
      <c r="D2364" s="6" t="n">
        <v>3</v>
      </c>
      <c r="E2364" s="6" t="inlineStr">
        <is>
          <t>R1644630</t>
        </is>
      </c>
      <c r="F2364" s="2" t="n">
        <v>44725</v>
      </c>
      <c r="G2364" s="1" t="n"/>
    </row>
    <row r="2365">
      <c r="A2365" s="6" t="n">
        <v>16222</v>
      </c>
      <c r="B2365" s="6" t="inlineStr">
        <is>
          <t>JACK DANIEL'S BONDED</t>
        </is>
      </c>
      <c r="C2365" s="7">
        <f>VLOOKUP(A2365,SizeData!A$2:B$3839,2,FALSE)</f>
        <v/>
      </c>
      <c r="D2365" s="6" t="n">
        <v>10</v>
      </c>
      <c r="E2365" s="6" t="inlineStr">
        <is>
          <t>R1668032</t>
        </is>
      </c>
      <c r="F2365" s="2" t="n">
        <v>44740</v>
      </c>
      <c r="G2365" s="1" t="n"/>
    </row>
    <row r="2366">
      <c r="A2366" s="6" t="n">
        <v>16620</v>
      </c>
      <c r="B2366" s="6" t="inlineStr">
        <is>
          <t>JACK DANIEL'S BONDED TRIPLE MASH</t>
        </is>
      </c>
      <c r="C2366" s="7">
        <f>VLOOKUP(A2366,SizeData!A$2:B$3839,2,FALSE)</f>
        <v/>
      </c>
      <c r="D2366" s="6" t="n">
        <v>2</v>
      </c>
      <c r="E2366" s="6" t="inlineStr">
        <is>
          <t>R1644630</t>
        </is>
      </c>
      <c r="F2366" s="2" t="n">
        <v>44725</v>
      </c>
      <c r="G2366" s="1" t="n"/>
    </row>
    <row r="2367">
      <c r="A2367" s="6" t="n">
        <v>16620</v>
      </c>
      <c r="B2367" s="6" t="inlineStr">
        <is>
          <t>JACK DANIEL'S BONDED TRIPLE MASH</t>
        </is>
      </c>
      <c r="C2367" s="7">
        <f>VLOOKUP(A2367,SizeData!A$2:B$3839,2,FALSE)</f>
        <v/>
      </c>
      <c r="D2367" s="6" t="n">
        <v>2</v>
      </c>
      <c r="E2367" s="6" t="inlineStr">
        <is>
          <t>R1681827</t>
        </is>
      </c>
      <c r="F2367" s="2" t="n">
        <v>44748</v>
      </c>
      <c r="G2367" s="1" t="n"/>
    </row>
    <row r="2368">
      <c r="A2368" s="6" t="n">
        <v>26906</v>
      </c>
      <c r="B2368" s="6" t="inlineStr">
        <is>
          <t>JACK DANIEL'S SINGLE BARREL</t>
        </is>
      </c>
      <c r="C2368" s="7">
        <f>VLOOKUP(A2368,SizeData!A$2:B$3839,2,FALSE)</f>
        <v/>
      </c>
      <c r="D2368" s="6" t="n">
        <v>6</v>
      </c>
      <c r="E2368" s="6" t="inlineStr">
        <is>
          <t>R1866301</t>
        </is>
      </c>
      <c r="F2368" s="2" t="n">
        <v>44873</v>
      </c>
      <c r="G2368" s="1" t="n"/>
    </row>
    <row r="2369">
      <c r="A2369" s="6" t="n">
        <v>74801</v>
      </c>
      <c r="B2369" s="6" t="inlineStr">
        <is>
          <t>JACK DANIEL'S TENNESSEE APPLE LIQUEUR</t>
        </is>
      </c>
      <c r="C2369" s="7">
        <f>VLOOKUP(A2369,SizeData!A$2:B$3839,2,FALSE)</f>
        <v/>
      </c>
      <c r="D2369" s="6" t="n">
        <v>1</v>
      </c>
      <c r="E2369" s="6" t="inlineStr">
        <is>
          <t>R1792137</t>
        </is>
      </c>
      <c r="F2369" s="2" t="n">
        <v>44835</v>
      </c>
      <c r="G2369" s="1" t="n"/>
    </row>
    <row r="2370">
      <c r="A2370" s="6" t="n">
        <v>74805</v>
      </c>
      <c r="B2370" s="6" t="inlineStr">
        <is>
          <t>JACK DANIELS TENNESSEE APPLE LIQUEUR (PET)</t>
        </is>
      </c>
      <c r="C2370" s="7">
        <f>VLOOKUP(A2370,SizeData!A$2:B$3839,2,FALSE)</f>
        <v/>
      </c>
      <c r="D2370" s="6" t="n">
        <v>1</v>
      </c>
      <c r="E2370" s="6" t="inlineStr">
        <is>
          <t>R1607750</t>
        </is>
      </c>
      <c r="F2370" s="2" t="n">
        <v>44691</v>
      </c>
      <c r="G2370" s="1" t="n"/>
    </row>
    <row r="2371">
      <c r="A2371" s="6" t="n">
        <v>86670</v>
      </c>
      <c r="B2371" s="6" t="inlineStr">
        <is>
          <t>JACK DANIELS TENNESSEE HONEY LIQUEUR</t>
        </is>
      </c>
      <c r="C2371" s="7">
        <f>VLOOKUP(A2371,SizeData!A$2:B$3839,2,FALSE)</f>
        <v/>
      </c>
      <c r="D2371" s="6" t="n">
        <v>1</v>
      </c>
      <c r="E2371" s="6" t="inlineStr">
        <is>
          <t>R1393111</t>
        </is>
      </c>
      <c r="F2371" s="2" t="n">
        <v>44559</v>
      </c>
      <c r="G2371" s="1" t="n"/>
    </row>
    <row r="2372">
      <c r="A2372" s="6" t="n">
        <v>86670</v>
      </c>
      <c r="B2372" s="6" t="inlineStr">
        <is>
          <t>JACK DANIELS TENNESSEE HONEY LIQUEUR</t>
        </is>
      </c>
      <c r="C2372" s="7">
        <f>VLOOKUP(A2372,SizeData!A$2:B$3839,2,FALSE)</f>
        <v/>
      </c>
      <c r="D2372" s="6" t="n">
        <v>10</v>
      </c>
      <c r="E2372" s="6" t="inlineStr">
        <is>
          <t>R1442964</t>
        </is>
      </c>
      <c r="F2372" s="2" t="n">
        <v>44593</v>
      </c>
      <c r="G2372" s="1" t="n"/>
    </row>
    <row r="2373">
      <c r="A2373" s="6" t="n">
        <v>86670</v>
      </c>
      <c r="B2373" s="6" t="inlineStr">
        <is>
          <t>JACK DANIELS TENNESSEE HONEY LIQUEUR</t>
        </is>
      </c>
      <c r="C2373" s="7">
        <f>VLOOKUP(A2373,SizeData!A$2:B$3839,2,FALSE)</f>
        <v/>
      </c>
      <c r="D2373" s="6" t="n">
        <v>1</v>
      </c>
      <c r="E2373" s="6" t="inlineStr">
        <is>
          <t>R1705386</t>
        </is>
      </c>
      <c r="F2373" s="2" t="n">
        <v>44762</v>
      </c>
      <c r="G2373" s="1" t="n"/>
    </row>
    <row r="2374">
      <c r="A2374" s="6" t="n">
        <v>86670</v>
      </c>
      <c r="B2374" s="6" t="inlineStr">
        <is>
          <t>JACK DANIELS TENNESSEE HONEY LIQUEUR</t>
        </is>
      </c>
      <c r="C2374" s="7">
        <f>VLOOKUP(A2374,SizeData!A$2:B$3839,2,FALSE)</f>
        <v/>
      </c>
      <c r="D2374" s="6" t="n">
        <v>7</v>
      </c>
      <c r="E2374" s="6" t="inlineStr">
        <is>
          <t>R1794246</t>
        </is>
      </c>
      <c r="F2374" s="2" t="n">
        <v>44837</v>
      </c>
      <c r="G2374" s="1" t="n"/>
    </row>
    <row r="2375">
      <c r="A2375" s="1" t="n">
        <v>86672</v>
      </c>
      <c r="B2375" s="1" t="inlineStr">
        <is>
          <t>JACK DANIELS TENNESSEE HONEY LIQUEUR</t>
        </is>
      </c>
      <c r="C2375" s="7">
        <f>VLOOKUP(A2375,SizeData!A$2:B$3839,2,FALSE)</f>
        <v/>
      </c>
      <c r="D2375" s="1" t="n">
        <v>2</v>
      </c>
      <c r="E2375" s="1" t="inlineStr">
        <is>
          <t>R1537267</t>
        </is>
      </c>
      <c r="F2375" s="33" t="n">
        <v>44649</v>
      </c>
      <c r="G2375" s="1" t="n"/>
    </row>
    <row r="2376">
      <c r="A2376" s="6" t="n">
        <v>86672</v>
      </c>
      <c r="B2376" s="6" t="inlineStr">
        <is>
          <t>JACK DANIELS TENNESSEE HONEY LIQUEUR</t>
        </is>
      </c>
      <c r="C2376" s="7">
        <f>VLOOKUP(A2376,SizeData!A$2:B$3839,2,FALSE)</f>
        <v/>
      </c>
      <c r="D2376" s="6" t="n">
        <v>1</v>
      </c>
      <c r="E2376" s="6" t="inlineStr">
        <is>
          <t>R1850553</t>
        </is>
      </c>
      <c r="F2376" s="2" t="n">
        <v>44865</v>
      </c>
      <c r="G2376" s="1" t="n"/>
    </row>
    <row r="2377">
      <c r="A2377" s="6" t="n">
        <v>86673</v>
      </c>
      <c r="B2377" s="6" t="inlineStr">
        <is>
          <t>JACK DANIELS TENNESSEE HONEY LIQUEUR</t>
        </is>
      </c>
      <c r="C2377" s="7">
        <f>VLOOKUP(A2377,SizeData!A$2:B$3839,2,FALSE)</f>
        <v/>
      </c>
      <c r="D2377" s="6" t="n">
        <v>3</v>
      </c>
      <c r="E2377" s="6" t="inlineStr">
        <is>
          <t>R1705386</t>
        </is>
      </c>
      <c r="F2377" s="2" t="n">
        <v>44762</v>
      </c>
      <c r="G2377" s="1" t="n"/>
    </row>
    <row r="2378">
      <c r="A2378" s="6" t="n">
        <v>74782</v>
      </c>
      <c r="B2378" s="6" t="inlineStr">
        <is>
          <t>JACK DANIELS WINTER JACK READY-TO-POUR</t>
        </is>
      </c>
      <c r="C2378" s="7">
        <f>VLOOKUP(A2378,SizeData!A$2:B$3839,2,FALSE)</f>
        <v/>
      </c>
      <c r="D2378" s="6" t="n">
        <v>3</v>
      </c>
      <c r="E2378" s="6" t="inlineStr">
        <is>
          <t>R1797923</t>
        </is>
      </c>
      <c r="F2378" s="2" t="n">
        <v>44838</v>
      </c>
      <c r="G2378" s="1" t="n"/>
    </row>
    <row r="2379">
      <c r="A2379" s="6" t="n">
        <v>420431</v>
      </c>
      <c r="B2379" s="6" t="inlineStr">
        <is>
          <t>JACOB'S CREEK CABERNET SAUVIGNON</t>
        </is>
      </c>
      <c r="C2379" s="7">
        <f>VLOOKUP(A2379,SizeData!A$2:B$3839,2,FALSE)</f>
        <v/>
      </c>
      <c r="D2379" s="6" t="n">
        <v>1</v>
      </c>
      <c r="E2379" s="6" t="inlineStr">
        <is>
          <t>R1739883</t>
        </is>
      </c>
      <c r="F2379" s="2" t="n">
        <v>44800</v>
      </c>
      <c r="G2379" s="1" t="n"/>
    </row>
    <row r="2380">
      <c r="A2380" s="6" t="n">
        <v>420431</v>
      </c>
      <c r="B2380" s="6" t="inlineStr">
        <is>
          <t>JACOB'S CREEK CABERNET SAUVIGNON</t>
        </is>
      </c>
      <c r="C2380" s="7">
        <f>VLOOKUP(A2380,SizeData!A$2:B$3839,2,FALSE)</f>
        <v/>
      </c>
      <c r="D2380" s="6" t="n">
        <v>1</v>
      </c>
      <c r="E2380" s="6" t="inlineStr">
        <is>
          <t>R1798963</t>
        </is>
      </c>
      <c r="F2380" s="2" t="n">
        <v>44844</v>
      </c>
      <c r="G2380" s="1" t="n"/>
    </row>
    <row r="2381">
      <c r="A2381" s="6" t="n">
        <v>420435</v>
      </c>
      <c r="B2381" s="6" t="inlineStr">
        <is>
          <t>JACOB'S CREEK CHARDONNAY</t>
        </is>
      </c>
      <c r="C2381" s="7">
        <f>VLOOKUP(A2381,SizeData!A$2:B$3839,2,FALSE)</f>
        <v/>
      </c>
      <c r="D2381" s="6" t="n">
        <v>1</v>
      </c>
      <c r="E2381" s="6" t="inlineStr">
        <is>
          <t>R1770694</t>
        </is>
      </c>
      <c r="F2381" s="2" t="n">
        <v>44816</v>
      </c>
      <c r="G2381" s="1" t="n"/>
    </row>
    <row r="2382">
      <c r="A2382" s="26" t="n">
        <v>420436</v>
      </c>
      <c r="B2382" s="26" t="inlineStr">
        <is>
          <t>JACOB'S CREEK CHARDONNAY</t>
        </is>
      </c>
      <c r="C2382" s="75">
        <f>VLOOKUP(A2382,SizeData!A$2:B$3839,2,FALSE)</f>
        <v/>
      </c>
      <c r="D2382" s="26" t="n">
        <v>2</v>
      </c>
      <c r="E2382" s="26" t="inlineStr">
        <is>
          <t>R1825803</t>
        </is>
      </c>
      <c r="F2382" s="61" t="n">
        <v>44847</v>
      </c>
      <c r="G2382" s="62" t="n"/>
    </row>
    <row r="2383">
      <c r="A2383" s="6" t="n">
        <v>420436</v>
      </c>
      <c r="B2383" s="6" t="inlineStr">
        <is>
          <t>JACOB'S CREEK CHARDONNAY</t>
        </is>
      </c>
      <c r="C2383" s="7">
        <f>VLOOKUP(A2383,SizeData!A$2:B$3839,2,FALSE)</f>
        <v/>
      </c>
      <c r="D2383" s="6" t="n">
        <v>2</v>
      </c>
      <c r="E2383" s="6" t="inlineStr">
        <is>
          <t>R1820979</t>
        </is>
      </c>
      <c r="F2383" s="2" t="n">
        <v>44849</v>
      </c>
      <c r="G2383" s="1" t="n"/>
    </row>
    <row r="2384">
      <c r="A2384" s="6" t="n">
        <v>420436</v>
      </c>
      <c r="B2384" s="6" t="inlineStr">
        <is>
          <t>JACOB'S CREEK CHARDONNAY</t>
        </is>
      </c>
      <c r="C2384" s="7">
        <f>VLOOKUP(A2384,SizeData!A$2:B$3839,2,FALSE)</f>
        <v/>
      </c>
      <c r="D2384" s="6" t="n">
        <v>2</v>
      </c>
      <c r="E2384" s="6" t="inlineStr">
        <is>
          <t>R1860108</t>
        </is>
      </c>
      <c r="F2384" s="2" t="n">
        <v>44868</v>
      </c>
      <c r="G2384" s="1" t="n"/>
    </row>
    <row r="2385">
      <c r="A2385" s="6" t="n">
        <v>420436</v>
      </c>
      <c r="B2385" s="6" t="inlineStr">
        <is>
          <t>JACOB'S CREEK CHARDONNAY</t>
        </is>
      </c>
      <c r="C2385" s="7">
        <f>VLOOKUP(A2385,SizeData!A$2:B$3839,2,FALSE)</f>
        <v/>
      </c>
      <c r="D2385" s="6" t="n">
        <v>2</v>
      </c>
      <c r="E2385" s="6" t="inlineStr">
        <is>
          <t>R1841387</t>
        </is>
      </c>
      <c r="F2385" s="2" t="n">
        <v>44869</v>
      </c>
      <c r="G2385" s="1" t="n"/>
    </row>
    <row r="2386">
      <c r="A2386" s="6" t="n">
        <v>420436</v>
      </c>
      <c r="B2386" s="6" t="inlineStr">
        <is>
          <t>JACOB'S CREEK CHARDONNAY</t>
        </is>
      </c>
      <c r="C2386" s="7">
        <f>VLOOKUP(A2386,SizeData!A$2:B$3839,2,FALSE)</f>
        <v/>
      </c>
      <c r="D2386" s="6" t="n">
        <v>5</v>
      </c>
      <c r="E2386" s="6" t="inlineStr">
        <is>
          <t>R1898101</t>
        </is>
      </c>
      <c r="F2386" s="2" t="n">
        <v>44902</v>
      </c>
      <c r="G2386" s="1" t="n"/>
    </row>
    <row r="2387">
      <c r="A2387" s="6" t="n">
        <v>420407</v>
      </c>
      <c r="B2387" s="6" t="inlineStr">
        <is>
          <t>JACOB'S CREEK MOSCATO</t>
        </is>
      </c>
      <c r="C2387" s="7">
        <f>VLOOKUP(A2387,SizeData!A$2:B$3839,2,FALSE)</f>
        <v/>
      </c>
      <c r="D2387" s="6" t="n">
        <v>1</v>
      </c>
      <c r="E2387" s="6" t="inlineStr">
        <is>
          <t>R1900430</t>
        </is>
      </c>
      <c r="F2387" s="2" t="n">
        <v>44896</v>
      </c>
      <c r="G2387" s="1" t="n"/>
    </row>
    <row r="2388">
      <c r="A2388" s="6" t="n">
        <v>65253</v>
      </c>
      <c r="B2388" s="6" t="inlineStr">
        <is>
          <t>JAGERMEISTER</t>
        </is>
      </c>
      <c r="C2388" s="7">
        <f>VLOOKUP(A2388,SizeData!A$2:B$3839,2,FALSE)</f>
        <v/>
      </c>
      <c r="D2388" s="6" t="n">
        <v>1</v>
      </c>
      <c r="E2388" s="6" t="inlineStr">
        <is>
          <t>R1453720</t>
        </is>
      </c>
      <c r="F2388" s="2" t="n">
        <v>44599</v>
      </c>
      <c r="G2388" s="1" t="n"/>
    </row>
    <row r="2389">
      <c r="A2389" s="6" t="n">
        <v>65253</v>
      </c>
      <c r="B2389" s="6" t="inlineStr">
        <is>
          <t>JAGERMEISTER</t>
        </is>
      </c>
      <c r="C2389" s="7">
        <f>VLOOKUP(A2389,SizeData!A$2:B$3839,2,FALSE)</f>
        <v/>
      </c>
      <c r="D2389" s="6" t="n">
        <v>1</v>
      </c>
      <c r="E2389" s="6" t="inlineStr">
        <is>
          <t>R1781063</t>
        </is>
      </c>
      <c r="F2389" s="2" t="n">
        <v>44823</v>
      </c>
      <c r="G2389" s="1" t="n"/>
    </row>
    <row r="2390" customFormat="1" s="35">
      <c r="A2390" s="6" t="n">
        <v>65254</v>
      </c>
      <c r="B2390" s="6" t="inlineStr">
        <is>
          <t>JAGERMEISTER</t>
        </is>
      </c>
      <c r="C2390" s="7">
        <f>VLOOKUP(A2390,SizeData!A$2:B$3839,2,FALSE)</f>
        <v/>
      </c>
      <c r="D2390" s="6" t="n">
        <v>1</v>
      </c>
      <c r="E2390" s="6" t="inlineStr">
        <is>
          <t>R1865535</t>
        </is>
      </c>
      <c r="F2390" s="2" t="n">
        <v>44879</v>
      </c>
      <c r="G2390" s="1" t="n"/>
    </row>
    <row r="2391">
      <c r="A2391" s="6" t="n">
        <v>65256</v>
      </c>
      <c r="B2391" s="6" t="inlineStr">
        <is>
          <t>JAGERMEISTER</t>
        </is>
      </c>
      <c r="C2391" s="7">
        <f>VLOOKUP(A2391,SizeData!A$2:B$3839,2,FALSE)</f>
        <v/>
      </c>
      <c r="D2391" s="6" t="n">
        <v>1</v>
      </c>
      <c r="E2391" s="6" t="inlineStr">
        <is>
          <t>R1516281</t>
        </is>
      </c>
      <c r="F2391" s="2" t="n">
        <v>44634</v>
      </c>
      <c r="G2391" s="1" t="n"/>
    </row>
    <row r="2392">
      <c r="A2392" s="6" t="n">
        <v>65256</v>
      </c>
      <c r="B2392" s="6" t="inlineStr">
        <is>
          <t>JAGERMEISTER</t>
        </is>
      </c>
      <c r="C2392" s="7">
        <f>VLOOKUP(A2392,SizeData!A$2:B$3839,2,FALSE)</f>
        <v/>
      </c>
      <c r="D2392" s="6" t="n">
        <v>1</v>
      </c>
      <c r="E2392" s="6" t="inlineStr">
        <is>
          <t>R1515367</t>
        </is>
      </c>
      <c r="F2392" s="2" t="n">
        <v>44635</v>
      </c>
      <c r="G2392" s="1" t="n"/>
    </row>
    <row r="2393">
      <c r="A2393" s="6" t="n">
        <v>65258</v>
      </c>
      <c r="B2393" s="6" t="inlineStr">
        <is>
          <t>JAGERMEISTER</t>
        </is>
      </c>
      <c r="C2393" s="7">
        <f>VLOOKUP(A2393,SizeData!A$2:B$3839,2,FALSE)</f>
        <v/>
      </c>
      <c r="D2393" s="6" t="n">
        <v>1</v>
      </c>
      <c r="E2393" s="6" t="inlineStr">
        <is>
          <t>R1471358</t>
        </is>
      </c>
      <c r="F2393" s="2" t="n">
        <v>44608</v>
      </c>
      <c r="G2393" s="1" t="n"/>
    </row>
    <row r="2394">
      <c r="A2394" s="6" t="n">
        <v>413340</v>
      </c>
      <c r="B2394" s="6" t="inlineStr">
        <is>
          <t>JAM JAR SWEET SHIRAZ WESTERN CAPE</t>
        </is>
      </c>
      <c r="C2394" s="7">
        <f>VLOOKUP(A2394,SizeData!A$2:B$3839,2,FALSE)</f>
        <v/>
      </c>
      <c r="D2394" s="6" t="n">
        <v>1</v>
      </c>
      <c r="E2394" s="6" t="inlineStr">
        <is>
          <t>R1409636</t>
        </is>
      </c>
      <c r="F2394" s="2" t="n">
        <v>44572</v>
      </c>
      <c r="G2394" s="1" t="n"/>
    </row>
    <row r="2395">
      <c r="A2395" s="6" t="n">
        <v>413340</v>
      </c>
      <c r="B2395" s="6" t="inlineStr">
        <is>
          <t>JAM JAR SWEET SHIRAZ WESTERN CAPE</t>
        </is>
      </c>
      <c r="C2395" s="7">
        <f>VLOOKUP(A2395,SizeData!A$2:B$3839,2,FALSE)</f>
        <v/>
      </c>
      <c r="D2395" s="6" t="n">
        <v>1</v>
      </c>
      <c r="E2395" s="6" t="inlineStr">
        <is>
          <t>R1461859</t>
        </is>
      </c>
      <c r="F2395" s="2" t="n">
        <v>44606</v>
      </c>
      <c r="G2395" s="1" t="n"/>
    </row>
    <row r="2396">
      <c r="A2396" s="6" t="n">
        <v>413340</v>
      </c>
      <c r="B2396" s="6" t="inlineStr">
        <is>
          <t>JAM JAR SWEET SHIRAZ WESTERN CAPE</t>
        </is>
      </c>
      <c r="C2396" s="7">
        <f>VLOOKUP(A2396,SizeData!A$2:B$3839,2,FALSE)</f>
        <v/>
      </c>
      <c r="D2396" s="6" t="n">
        <v>1</v>
      </c>
      <c r="E2396" s="6" t="inlineStr">
        <is>
          <t>R1486336</t>
        </is>
      </c>
      <c r="F2396" s="2" t="n">
        <v>44620</v>
      </c>
      <c r="G2396" s="1" t="n"/>
    </row>
    <row r="2397">
      <c r="A2397" s="6" t="n">
        <v>413340</v>
      </c>
      <c r="B2397" s="6" t="inlineStr">
        <is>
          <t>JAM JAR SWEET SHIRAZ WESTERN CAPE</t>
        </is>
      </c>
      <c r="C2397" s="7">
        <f>VLOOKUP(A2397,SizeData!A$2:B$3839,2,FALSE)</f>
        <v/>
      </c>
      <c r="D2397" s="6" t="n">
        <v>2</v>
      </c>
      <c r="E2397" s="6" t="inlineStr">
        <is>
          <t>R1540219</t>
        </is>
      </c>
      <c r="F2397" s="2" t="n">
        <v>44635</v>
      </c>
      <c r="G2397" s="1" t="n"/>
    </row>
    <row r="2398">
      <c r="A2398" s="6" t="n">
        <v>413340</v>
      </c>
      <c r="B2398" s="6" t="inlineStr">
        <is>
          <t>JAM JAR SWEET SHIRAZ WESTERN CAPE</t>
        </is>
      </c>
      <c r="C2398" s="7">
        <f>VLOOKUP(A2398,SizeData!A$2:B$3839,2,FALSE)</f>
        <v/>
      </c>
      <c r="D2398" s="6" t="n">
        <v>2</v>
      </c>
      <c r="E2398" s="6" t="inlineStr">
        <is>
          <t>R1530081</t>
        </is>
      </c>
      <c r="F2398" s="2" t="n">
        <v>44641</v>
      </c>
      <c r="G2398" s="1" t="n"/>
    </row>
    <row r="2399">
      <c r="A2399" s="6" t="n">
        <v>413340</v>
      </c>
      <c r="B2399" s="6" t="inlineStr">
        <is>
          <t>JAM JAR SWEET SHIRAZ WESTERN CAPE</t>
        </is>
      </c>
      <c r="C2399" s="7">
        <f>VLOOKUP(A2399,SizeData!A$2:B$3839,2,FALSE)</f>
        <v/>
      </c>
      <c r="D2399" s="6" t="n">
        <v>1</v>
      </c>
      <c r="E2399" s="6" t="inlineStr">
        <is>
          <t>R1537124</t>
        </is>
      </c>
      <c r="F2399" s="2" t="n">
        <v>44646</v>
      </c>
      <c r="G2399" s="1" t="n"/>
    </row>
    <row r="2400">
      <c r="A2400" s="6" t="n">
        <v>413340</v>
      </c>
      <c r="B2400" s="6" t="inlineStr">
        <is>
          <t>JAM JAR SWEET SHIRAZ WESTERN CAPE</t>
        </is>
      </c>
      <c r="C2400" s="7">
        <f>VLOOKUP(A2400,SizeData!A$2:B$3839,2,FALSE)</f>
        <v/>
      </c>
      <c r="D2400" s="6" t="n">
        <v>3</v>
      </c>
      <c r="E2400" s="6" t="inlineStr">
        <is>
          <t>R1544902</t>
        </is>
      </c>
      <c r="F2400" s="2" t="n">
        <v>44653</v>
      </c>
      <c r="G2400" s="1" t="n"/>
    </row>
    <row r="2401">
      <c r="A2401" s="6" t="n">
        <v>413340</v>
      </c>
      <c r="B2401" s="6" t="inlineStr">
        <is>
          <t>JAM JAR SWEET SHIRAZ WESTERN CAPE</t>
        </is>
      </c>
      <c r="C2401" s="7">
        <f>VLOOKUP(A2401,SizeData!A$2:B$3839,2,FALSE)</f>
        <v/>
      </c>
      <c r="D2401" s="6" t="n">
        <v>1</v>
      </c>
      <c r="E2401" s="6" t="inlineStr">
        <is>
          <t>R1567269</t>
        </is>
      </c>
      <c r="F2401" s="2" t="n">
        <v>44667</v>
      </c>
      <c r="G2401" s="1" t="n"/>
    </row>
    <row r="2402">
      <c r="A2402" s="6" t="n">
        <v>413340</v>
      </c>
      <c r="B2402" s="6" t="inlineStr">
        <is>
          <t>JAM JAR SWEET SHIRAZ WESTERN CAPE</t>
        </is>
      </c>
      <c r="C2402" s="7">
        <f>VLOOKUP(A2402,SizeData!A$2:B$3839,2,FALSE)</f>
        <v/>
      </c>
      <c r="D2402" s="6" t="n">
        <v>2</v>
      </c>
      <c r="E2402" s="6" t="inlineStr">
        <is>
          <t>R1712710</t>
        </is>
      </c>
      <c r="F2402" s="2" t="n">
        <v>44772</v>
      </c>
      <c r="G2402" s="1" t="n"/>
    </row>
    <row r="2403">
      <c r="A2403" s="6" t="n">
        <v>413340</v>
      </c>
      <c r="B2403" s="6" t="inlineStr">
        <is>
          <t>JAM JAR SWEET SHIRAZ WESTERN CAPE</t>
        </is>
      </c>
      <c r="C2403" s="7">
        <f>VLOOKUP(A2403,SizeData!A$2:B$3839,2,FALSE)</f>
        <v/>
      </c>
      <c r="D2403" s="6" t="n">
        <v>1</v>
      </c>
      <c r="E2403" s="6" t="inlineStr">
        <is>
          <t>R1762971</t>
        </is>
      </c>
      <c r="F2403" s="2" t="n">
        <v>44814</v>
      </c>
      <c r="G2403" s="1" t="n"/>
    </row>
    <row r="2404">
      <c r="A2404" s="6" t="n">
        <v>413340</v>
      </c>
      <c r="B2404" s="6" t="inlineStr">
        <is>
          <t>JAM JAR SWEET SHIRAZ WESTERN CAPE</t>
        </is>
      </c>
      <c r="C2404" s="7">
        <f>VLOOKUP(A2404,SizeData!A$2:B$3839,2,FALSE)</f>
        <v/>
      </c>
      <c r="D2404" s="6" t="n">
        <v>2</v>
      </c>
      <c r="E2404" s="6" t="inlineStr">
        <is>
          <t>R1834591</t>
        </is>
      </c>
      <c r="F2404" s="2" t="n">
        <v>44863</v>
      </c>
      <c r="G2404" s="1" t="n"/>
    </row>
    <row r="2405">
      <c r="A2405" s="6" t="n">
        <v>413340</v>
      </c>
      <c r="B2405" s="6" t="inlineStr">
        <is>
          <t>JAM JAR SWEET SHIRAZ WESTERN CAPE</t>
        </is>
      </c>
      <c r="C2405" s="7">
        <f>VLOOKUP(A2405,SizeData!A$2:B$3839,2,FALSE)</f>
        <v/>
      </c>
      <c r="D2405" s="6" t="n">
        <v>1</v>
      </c>
      <c r="E2405" s="6" t="inlineStr">
        <is>
          <t>R1860872</t>
        </is>
      </c>
      <c r="F2405" s="2" t="n">
        <v>44875</v>
      </c>
      <c r="G2405" s="1" t="n"/>
    </row>
    <row r="2406">
      <c r="A2406" s="6" t="n">
        <v>413340</v>
      </c>
      <c r="B2406" s="6" t="inlineStr">
        <is>
          <t>JAM JAR SWEET SHIRAZ WESTERN CAPE</t>
        </is>
      </c>
      <c r="C2406" s="7">
        <f>VLOOKUP(A2406,SizeData!A$2:B$3839,2,FALSE)</f>
        <v/>
      </c>
      <c r="D2406" s="6" t="n">
        <v>1</v>
      </c>
      <c r="E2406" s="6" t="inlineStr">
        <is>
          <t>R1894248</t>
        </is>
      </c>
      <c r="F2406" s="2" t="n">
        <v>44902</v>
      </c>
      <c r="G2406" s="1" t="n"/>
    </row>
    <row r="2407">
      <c r="A2407" s="6" t="n">
        <v>15779</v>
      </c>
      <c r="B2407" s="6" t="inlineStr">
        <is>
          <t>JAMESON BLACK BARREL IRISH WHISKEY</t>
        </is>
      </c>
      <c r="C2407" s="7">
        <f>VLOOKUP(A2407,SizeData!A$2:B$3839,2,FALSE)</f>
        <v/>
      </c>
      <c r="D2407" s="6" t="n">
        <v>2</v>
      </c>
      <c r="E2407" s="6" t="inlineStr">
        <is>
          <t>R1564505</t>
        </is>
      </c>
      <c r="F2407" s="2" t="n">
        <v>44665</v>
      </c>
      <c r="G2407" s="1" t="n"/>
    </row>
    <row r="2408">
      <c r="A2408" s="6" t="n">
        <v>15626</v>
      </c>
      <c r="B2408" s="6" t="inlineStr">
        <is>
          <t>JAMESON IRISH</t>
        </is>
      </c>
      <c r="C2408" s="7">
        <f>VLOOKUP(A2408,SizeData!A$2:B$3839,2,FALSE)</f>
        <v/>
      </c>
      <c r="D2408" s="6" t="n">
        <v>6</v>
      </c>
      <c r="E2408" s="6" t="inlineStr">
        <is>
          <t>R1458224</t>
        </is>
      </c>
      <c r="F2408" s="2" t="n">
        <v>44606</v>
      </c>
      <c r="G2408" s="1" t="n"/>
    </row>
    <row r="2409">
      <c r="A2409" s="6" t="n">
        <v>15626</v>
      </c>
      <c r="B2409" s="6" t="inlineStr">
        <is>
          <t>JAMESON IRISH</t>
        </is>
      </c>
      <c r="C2409" s="7">
        <f>VLOOKUP(A2409,SizeData!A$2:B$3839,2,FALSE)</f>
        <v/>
      </c>
      <c r="D2409" s="6" t="n">
        <v>5</v>
      </c>
      <c r="E2409" s="6" t="inlineStr">
        <is>
          <t>R1770681</t>
        </is>
      </c>
      <c r="F2409" s="2" t="n">
        <v>44812</v>
      </c>
      <c r="G2409" s="1" t="n"/>
    </row>
    <row r="2410">
      <c r="A2410" s="6" t="n">
        <v>15626</v>
      </c>
      <c r="B2410" s="6" t="inlineStr">
        <is>
          <t>JAMESON IRISH</t>
        </is>
      </c>
      <c r="C2410" s="7">
        <f>VLOOKUP(A2410,SizeData!A$2:B$3839,2,FALSE)</f>
        <v/>
      </c>
      <c r="D2410" s="6" t="n">
        <v>5</v>
      </c>
      <c r="E2410" s="6" t="inlineStr">
        <is>
          <t>R1793212</t>
        </is>
      </c>
      <c r="F2410" s="2" t="n">
        <v>44833</v>
      </c>
      <c r="G2410" s="1" t="n"/>
    </row>
    <row r="2411">
      <c r="A2411" s="6" t="n">
        <v>15628</v>
      </c>
      <c r="B2411" s="6" t="inlineStr">
        <is>
          <t>JAMESON IRISH</t>
        </is>
      </c>
      <c r="C2411" s="7">
        <f>VLOOKUP(A2411,SizeData!A$2:B$3839,2,FALSE)</f>
        <v/>
      </c>
      <c r="D2411" s="6" t="n">
        <v>2</v>
      </c>
      <c r="E2411" s="6" t="inlineStr">
        <is>
          <t>R1398653</t>
        </is>
      </c>
      <c r="F2411" s="2" t="n">
        <v>44571</v>
      </c>
      <c r="G2411" s="1" t="n"/>
    </row>
    <row r="2412">
      <c r="A2412" s="6" t="n">
        <v>15628</v>
      </c>
      <c r="B2412" s="6" t="inlineStr">
        <is>
          <t>JAMESON IRISH</t>
        </is>
      </c>
      <c r="C2412" s="7">
        <f>VLOOKUP(A2412,SizeData!A$2:B$3839,2,FALSE)</f>
        <v/>
      </c>
      <c r="D2412" s="6" t="n">
        <v>9</v>
      </c>
      <c r="E2412" s="6" t="inlineStr">
        <is>
          <t>R1527261</t>
        </is>
      </c>
      <c r="F2412" s="2" t="n">
        <v>44644</v>
      </c>
      <c r="G2412" s="1" t="n"/>
    </row>
    <row r="2413">
      <c r="A2413" s="6" t="n">
        <v>15628</v>
      </c>
      <c r="B2413" s="6" t="inlineStr">
        <is>
          <t>JAMESON IRISH</t>
        </is>
      </c>
      <c r="C2413" s="7">
        <f>VLOOKUP(A2413,SizeData!A$2:B$3839,2,FALSE)</f>
        <v/>
      </c>
      <c r="D2413" s="6" t="n">
        <v>5</v>
      </c>
      <c r="E2413" s="6" t="inlineStr">
        <is>
          <t>R1527957</t>
        </is>
      </c>
      <c r="F2413" s="2" t="n">
        <v>44644</v>
      </c>
      <c r="G2413" s="1" t="n"/>
    </row>
    <row r="2414">
      <c r="A2414" s="6" t="n">
        <v>15628</v>
      </c>
      <c r="B2414" s="6" t="inlineStr">
        <is>
          <t>JAMESON IRISH</t>
        </is>
      </c>
      <c r="C2414" s="7">
        <f>VLOOKUP(A2414,SizeData!A$2:B$3839,2,FALSE)</f>
        <v/>
      </c>
      <c r="D2414" s="6" t="n">
        <v>1</v>
      </c>
      <c r="E2414" s="6" t="inlineStr">
        <is>
          <t>R1527261</t>
        </is>
      </c>
      <c r="F2414" s="2" t="n">
        <v>44644</v>
      </c>
      <c r="G2414" s="1" t="n"/>
    </row>
    <row r="2415">
      <c r="A2415" s="6" t="n">
        <v>15644</v>
      </c>
      <c r="B2415" s="6" t="inlineStr">
        <is>
          <t>JAMESON IRISH</t>
        </is>
      </c>
      <c r="C2415" s="7">
        <f>VLOOKUP(A2415,SizeData!A$2:B$3839,2,FALSE)</f>
        <v/>
      </c>
      <c r="D2415" s="6" t="n">
        <v>5</v>
      </c>
      <c r="E2415" s="6" t="inlineStr">
        <is>
          <t>R1766262</t>
        </is>
      </c>
      <c r="F2415" s="2" t="n">
        <v>44811</v>
      </c>
      <c r="G2415" s="1" t="n"/>
    </row>
    <row r="2416">
      <c r="A2416" s="6" t="n">
        <v>19068</v>
      </c>
      <c r="B2416" s="6" t="inlineStr">
        <is>
          <t>JIM BEAM</t>
        </is>
      </c>
      <c r="C2416" s="7">
        <f>VLOOKUP(A2416,SizeData!A$2:B$3839,2,FALSE)</f>
        <v/>
      </c>
      <c r="D2416" s="6" t="n">
        <v>2</v>
      </c>
      <c r="E2416" s="6" t="inlineStr">
        <is>
          <t>R1841934</t>
        </is>
      </c>
      <c r="F2416" s="2" t="n">
        <v>44866</v>
      </c>
      <c r="G2416" s="1" t="n"/>
    </row>
    <row r="2417">
      <c r="A2417" s="6" t="n">
        <v>19068</v>
      </c>
      <c r="B2417" s="6" t="inlineStr">
        <is>
          <t>JIM BEAM</t>
        </is>
      </c>
      <c r="C2417" s="7">
        <f>VLOOKUP(A2417,SizeData!A$2:B$3839,2,FALSE)</f>
        <v/>
      </c>
      <c r="D2417" s="6" t="n">
        <v>5</v>
      </c>
      <c r="E2417" s="6" t="inlineStr">
        <is>
          <t>R1856811</t>
        </is>
      </c>
      <c r="F2417" s="2" t="n">
        <v>44868</v>
      </c>
      <c r="G2417" s="1" t="n"/>
    </row>
    <row r="2418">
      <c r="A2418" s="6" t="n">
        <v>19061</v>
      </c>
      <c r="B2418" s="6" t="inlineStr">
        <is>
          <t>JIM BEAM BOURBON WHISKEY</t>
        </is>
      </c>
      <c r="C2418" s="7">
        <f>VLOOKUP(A2418,SizeData!A$2:B$3839,2,FALSE)</f>
        <v/>
      </c>
      <c r="D2418" s="6" t="n">
        <v>1</v>
      </c>
      <c r="E2418" s="6" t="inlineStr">
        <is>
          <t>R1388669</t>
        </is>
      </c>
      <c r="F2418" s="2" t="n">
        <v>44560</v>
      </c>
      <c r="G2418" s="1" t="n"/>
    </row>
    <row r="2419">
      <c r="A2419" s="6" t="n">
        <v>19061</v>
      </c>
      <c r="B2419" s="6" t="inlineStr">
        <is>
          <t>JIM BEAM BOURBON WHISKEY</t>
        </is>
      </c>
      <c r="C2419" s="7">
        <f>VLOOKUP(A2419,SizeData!A$2:B$3839,2,FALSE)</f>
        <v/>
      </c>
      <c r="D2419" s="6" t="n">
        <v>3</v>
      </c>
      <c r="E2419" s="6" t="inlineStr">
        <is>
          <t>R1434873</t>
        </is>
      </c>
      <c r="F2419" s="2" t="n">
        <v>44595</v>
      </c>
      <c r="G2419" s="1" t="n"/>
    </row>
    <row r="2420">
      <c r="A2420" s="6" t="n">
        <v>19061</v>
      </c>
      <c r="B2420" s="6" t="inlineStr">
        <is>
          <t>JIM BEAM BOURBON WHISKEY</t>
        </is>
      </c>
      <c r="C2420" s="7">
        <f>VLOOKUP(A2420,SizeData!A$2:B$3839,2,FALSE)</f>
        <v/>
      </c>
      <c r="D2420" s="6" t="n">
        <v>2</v>
      </c>
      <c r="E2420" s="6" t="inlineStr">
        <is>
          <t>R1501158</t>
        </is>
      </c>
      <c r="F2420" s="2" t="n">
        <v>44627</v>
      </c>
      <c r="G2420" s="1" t="n"/>
    </row>
    <row r="2421">
      <c r="A2421" s="6" t="n">
        <v>19112</v>
      </c>
      <c r="B2421" s="6" t="inlineStr">
        <is>
          <t>JIM BEAM DEVIL'S CUT KENTUCKY STRAIGHT BOURBON</t>
        </is>
      </c>
      <c r="C2421" s="7">
        <f>VLOOKUP(A2421,SizeData!A$2:B$3839,2,FALSE)</f>
        <v/>
      </c>
      <c r="D2421" s="6" t="n">
        <v>1</v>
      </c>
      <c r="E2421" s="6" t="inlineStr">
        <is>
          <t>R1495781</t>
        </is>
      </c>
      <c r="F2421" s="2" t="n">
        <v>44627</v>
      </c>
      <c r="G2421" s="1" t="n"/>
    </row>
    <row r="2422">
      <c r="A2422" s="6" t="n">
        <v>19112</v>
      </c>
      <c r="B2422" s="6" t="inlineStr">
        <is>
          <t>JIM BEAM DEVIL'S CUT KENTUCKY STRAIGHT BOURBON</t>
        </is>
      </c>
      <c r="C2422" s="7">
        <f>VLOOKUP(A2422,SizeData!A$2:B$3839,2,FALSE)</f>
        <v/>
      </c>
      <c r="D2422" s="6" t="n">
        <v>1</v>
      </c>
      <c r="E2422" s="6" t="inlineStr">
        <is>
          <t>R1515367</t>
        </is>
      </c>
      <c r="F2422" s="2" t="n">
        <v>44635</v>
      </c>
      <c r="G2422" s="1" t="n"/>
    </row>
    <row r="2423">
      <c r="A2423" s="6" t="n">
        <v>27410</v>
      </c>
      <c r="B2423" s="6" t="inlineStr">
        <is>
          <t>JIM BEAM HONEY WHISKEY</t>
        </is>
      </c>
      <c r="C2423" s="7">
        <f>VLOOKUP(A2423,SizeData!A$2:B$3839,2,FALSE)</f>
        <v/>
      </c>
      <c r="D2423" s="6" t="n">
        <v>1</v>
      </c>
      <c r="E2423" s="6" t="inlineStr">
        <is>
          <t>R1688168</t>
        </is>
      </c>
      <c r="F2423" s="2" t="n">
        <v>44761</v>
      </c>
      <c r="G2423" s="1" t="n"/>
    </row>
    <row r="2424">
      <c r="A2424" s="6" t="n">
        <v>28279</v>
      </c>
      <c r="B2424" s="6" t="inlineStr">
        <is>
          <t>JIM BEAM PEACH FLAVORED WHISKEY</t>
        </is>
      </c>
      <c r="C2424" s="7">
        <f>VLOOKUP(A2424,SizeData!A$2:B$3839,2,FALSE)</f>
        <v/>
      </c>
      <c r="D2424" s="6" t="n">
        <v>1</v>
      </c>
      <c r="E2424" s="6" t="inlineStr">
        <is>
          <t>R1425372</t>
        </is>
      </c>
      <c r="F2424" s="2" t="n">
        <v>44574</v>
      </c>
      <c r="G2424" s="1" t="n"/>
    </row>
    <row r="2425">
      <c r="A2425" s="6" t="n">
        <v>26317</v>
      </c>
      <c r="B2425" s="6" t="inlineStr">
        <is>
          <t>JIM BEAM PEACH PET</t>
        </is>
      </c>
      <c r="C2425" s="7">
        <f>VLOOKUP(A2425,SizeData!A$2:B$3839,2,FALSE)</f>
        <v/>
      </c>
      <c r="D2425" s="6" t="n">
        <v>1</v>
      </c>
      <c r="E2425" s="6" t="inlineStr">
        <is>
          <t>R1448139</t>
        </is>
      </c>
      <c r="F2425" s="2" t="n">
        <v>44597</v>
      </c>
      <c r="G2425" s="1" t="n"/>
    </row>
    <row r="2426">
      <c r="A2426" s="6" t="n">
        <v>26317</v>
      </c>
      <c r="B2426" s="6" t="inlineStr">
        <is>
          <t>JIM BEAM PEACH PET</t>
        </is>
      </c>
      <c r="C2426" s="7">
        <f>VLOOKUP(A2426,SizeData!A$2:B$3839,2,FALSE)</f>
        <v/>
      </c>
      <c r="D2426" s="6" t="n">
        <v>1</v>
      </c>
      <c r="E2426" s="6" t="inlineStr">
        <is>
          <t>R1469430</t>
        </is>
      </c>
      <c r="F2426" s="2" t="n">
        <v>44610</v>
      </c>
      <c r="G2426" s="1" t="n"/>
    </row>
    <row r="2427">
      <c r="A2427" s="6" t="n">
        <v>26317</v>
      </c>
      <c r="B2427" s="6" t="inlineStr">
        <is>
          <t>JIM BEAM PEACH PET</t>
        </is>
      </c>
      <c r="C2427" s="7">
        <f>VLOOKUP(A2427,SizeData!A$2:B$3839,2,FALSE)</f>
        <v/>
      </c>
      <c r="D2427" s="6" t="n">
        <v>1</v>
      </c>
      <c r="E2427" s="6" t="inlineStr">
        <is>
          <t>R1587262</t>
        </is>
      </c>
      <c r="F2427" s="2" t="n">
        <v>44682</v>
      </c>
      <c r="G2427" s="1" t="n"/>
    </row>
    <row r="2428">
      <c r="A2428" s="6" t="n">
        <v>26317</v>
      </c>
      <c r="B2428" s="6" t="inlineStr">
        <is>
          <t>JIM BEAM PEACH PET</t>
        </is>
      </c>
      <c r="C2428" s="7">
        <f>VLOOKUP(A2428,SizeData!A$2:B$3839,2,FALSE)</f>
        <v/>
      </c>
      <c r="D2428" s="6" t="n">
        <v>1</v>
      </c>
      <c r="E2428" s="6" t="inlineStr">
        <is>
          <t>R1601838</t>
        </is>
      </c>
      <c r="F2428" s="2" t="n">
        <v>44687</v>
      </c>
      <c r="G2428" s="1" t="n"/>
    </row>
    <row r="2429">
      <c r="A2429" s="6" t="n">
        <v>19066</v>
      </c>
      <c r="B2429" s="6" t="inlineStr">
        <is>
          <t>JIM BEAM STRAIGHT BOURBON WHISKEY</t>
        </is>
      </c>
      <c r="C2429" s="7">
        <f>VLOOKUP(A2429,SizeData!A$2:B$3839,2,FALSE)</f>
        <v/>
      </c>
      <c r="D2429" s="6" t="n">
        <v>4</v>
      </c>
      <c r="E2429" s="6" t="inlineStr">
        <is>
          <t>R1408146</t>
        </is>
      </c>
      <c r="F2429" s="2" t="n">
        <v>44569</v>
      </c>
      <c r="G2429" s="1" t="n"/>
    </row>
    <row r="2430">
      <c r="A2430" s="6" t="n">
        <v>19066</v>
      </c>
      <c r="B2430" s="6" t="inlineStr">
        <is>
          <t>JIM BEAM STRAIGHT BOURBON WHISKEY</t>
        </is>
      </c>
      <c r="C2430" s="7">
        <f>VLOOKUP(A2430,SizeData!A$2:B$3839,2,FALSE)</f>
        <v/>
      </c>
      <c r="D2430" s="6" t="n">
        <v>1</v>
      </c>
      <c r="E2430" s="6" t="inlineStr">
        <is>
          <t>R1579357</t>
        </is>
      </c>
      <c r="F2430" s="2" t="n">
        <v>44676</v>
      </c>
      <c r="G2430" s="1" t="n"/>
    </row>
    <row r="2431">
      <c r="A2431" s="6" t="n">
        <v>19066</v>
      </c>
      <c r="B2431" s="6" t="inlineStr">
        <is>
          <t>JIM BEAM STRAIGHT BOURBON WHISKEY</t>
        </is>
      </c>
      <c r="C2431" s="7">
        <f>VLOOKUP(A2431,SizeData!A$2:B$3839,2,FALSE)</f>
        <v/>
      </c>
      <c r="D2431" s="6" t="n">
        <v>3</v>
      </c>
      <c r="E2431" s="6" t="inlineStr">
        <is>
          <t>R1588623</t>
        </is>
      </c>
      <c r="F2431" s="2" t="n">
        <v>44681</v>
      </c>
      <c r="G2431" s="1" t="n"/>
    </row>
    <row r="2432">
      <c r="A2432" s="6" t="n">
        <v>19066</v>
      </c>
      <c r="B2432" s="6" t="inlineStr">
        <is>
          <t>JIM BEAM STRAIGHT BOURBON WHISKEY</t>
        </is>
      </c>
      <c r="C2432" s="7">
        <f>VLOOKUP(A2432,SizeData!A$2:B$3839,2,FALSE)</f>
        <v/>
      </c>
      <c r="D2432" s="6" t="n">
        <v>2</v>
      </c>
      <c r="E2432" s="6" t="inlineStr">
        <is>
          <t>R1698359</t>
        </is>
      </c>
      <c r="F2432" s="2" t="n">
        <v>44765</v>
      </c>
      <c r="G2432" s="1" t="n"/>
    </row>
    <row r="2433">
      <c r="A2433" s="6" t="n">
        <v>19066</v>
      </c>
      <c r="B2433" s="6" t="inlineStr">
        <is>
          <t>JIM BEAM STRAIGHT BOURBON WHISKEY</t>
        </is>
      </c>
      <c r="C2433" s="7">
        <f>VLOOKUP(A2433,SizeData!A$2:B$3839,2,FALSE)</f>
        <v/>
      </c>
      <c r="D2433" s="6" t="n">
        <v>2</v>
      </c>
      <c r="E2433" s="6" t="inlineStr">
        <is>
          <t>R1701532</t>
        </is>
      </c>
      <c r="F2433" s="2" t="n">
        <v>44765</v>
      </c>
      <c r="G2433" s="1" t="n"/>
    </row>
    <row r="2434">
      <c r="A2434" s="6" t="n">
        <v>19066</v>
      </c>
      <c r="B2434" s="6" t="inlineStr">
        <is>
          <t>JIM BEAM STRAIGHT BOURBON WHISKEY</t>
        </is>
      </c>
      <c r="C2434" s="7">
        <f>VLOOKUP(A2434,SizeData!A$2:B$3839,2,FALSE)</f>
        <v/>
      </c>
      <c r="D2434" s="6" t="n">
        <v>2</v>
      </c>
      <c r="E2434" s="6" t="inlineStr">
        <is>
          <t>R1893163</t>
        </is>
      </c>
      <c r="F2434" s="2" t="n">
        <v>44873</v>
      </c>
      <c r="G2434" s="1" t="n"/>
    </row>
    <row r="2435">
      <c r="A2435" s="6" t="n">
        <v>19063</v>
      </c>
      <c r="B2435" s="6" t="inlineStr">
        <is>
          <t>JIM BEAM WHITE</t>
        </is>
      </c>
      <c r="C2435" s="7">
        <f>VLOOKUP(A2435,SizeData!A$2:B$3839,2,FALSE)</f>
        <v/>
      </c>
      <c r="D2435" s="6" t="n">
        <v>1</v>
      </c>
      <c r="E2435" s="6" t="inlineStr">
        <is>
          <t>R1743204</t>
        </is>
      </c>
      <c r="F2435" s="2" t="n">
        <v>44795</v>
      </c>
      <c r="G2435" s="1" t="n"/>
    </row>
    <row r="2436">
      <c r="A2436" s="6" t="n">
        <v>19064</v>
      </c>
      <c r="B2436" s="6" t="inlineStr">
        <is>
          <t>JIM BEAM WHITE</t>
        </is>
      </c>
      <c r="C2436" s="7">
        <f>VLOOKUP(A2436,SizeData!A$2:B$3839,2,FALSE)</f>
        <v/>
      </c>
      <c r="D2436" s="6" t="n">
        <v>2</v>
      </c>
      <c r="E2436" s="6" t="inlineStr">
        <is>
          <t>R1525413</t>
        </is>
      </c>
      <c r="F2436" s="2" t="n">
        <v>44631</v>
      </c>
      <c r="G2436" s="1" t="n"/>
    </row>
    <row r="2437">
      <c r="A2437" s="6" t="n">
        <v>19070</v>
      </c>
      <c r="B2437" s="6" t="inlineStr">
        <is>
          <t>JIM BEAM WHITE (PET)</t>
        </is>
      </c>
      <c r="C2437" s="7">
        <f>VLOOKUP(A2437,SizeData!A$2:B$3839,2,FALSE)</f>
        <v/>
      </c>
      <c r="D2437" s="6" t="n">
        <v>2</v>
      </c>
      <c r="E2437" s="6" t="inlineStr">
        <is>
          <t>R1393111</t>
        </is>
      </c>
      <c r="F2437" s="2" t="n">
        <v>44559</v>
      </c>
      <c r="G2437" s="1" t="n"/>
    </row>
    <row r="2438">
      <c r="A2438" s="6" t="n">
        <v>19070</v>
      </c>
      <c r="B2438" s="6" t="inlineStr">
        <is>
          <t>JIM BEAM WHITE (PET)</t>
        </is>
      </c>
      <c r="C2438" s="7">
        <f>VLOOKUP(A2438,SizeData!A$2:B$3839,2,FALSE)</f>
        <v/>
      </c>
      <c r="D2438" s="6" t="n">
        <v>10</v>
      </c>
      <c r="E2438" s="6" t="inlineStr">
        <is>
          <t>R1443217</t>
        </is>
      </c>
      <c r="F2438" s="2" t="n">
        <v>44593</v>
      </c>
      <c r="G2438" s="1" t="n"/>
    </row>
    <row r="2439">
      <c r="A2439" s="6" t="n">
        <v>19070</v>
      </c>
      <c r="B2439" s="6" t="inlineStr">
        <is>
          <t>JIM BEAM WHITE (PET)</t>
        </is>
      </c>
      <c r="C2439" s="7">
        <f>VLOOKUP(A2439,SizeData!A$2:B$3839,2,FALSE)</f>
        <v/>
      </c>
      <c r="D2439" s="6" t="n">
        <v>2</v>
      </c>
      <c r="E2439" s="6" t="inlineStr">
        <is>
          <t>R1469430</t>
        </is>
      </c>
      <c r="F2439" s="2" t="n">
        <v>44610</v>
      </c>
      <c r="G2439" s="1" t="n"/>
    </row>
    <row r="2440">
      <c r="A2440" s="6" t="n">
        <v>19070</v>
      </c>
      <c r="B2440" s="6" t="inlineStr">
        <is>
          <t>JIM BEAM WHITE (PET)</t>
        </is>
      </c>
      <c r="C2440" s="7">
        <f>VLOOKUP(A2440,SizeData!A$2:B$3839,2,FALSE)</f>
        <v/>
      </c>
      <c r="D2440" s="6" t="n">
        <v>4</v>
      </c>
      <c r="E2440" s="6" t="inlineStr">
        <is>
          <t>R1601838</t>
        </is>
      </c>
      <c r="F2440" s="2" t="n">
        <v>44687</v>
      </c>
      <c r="G2440" s="1" t="n"/>
    </row>
    <row r="2441">
      <c r="A2441" s="6" t="n">
        <v>19070</v>
      </c>
      <c r="B2441" s="6" t="inlineStr">
        <is>
          <t>JIM BEAM WHITE (PET)</t>
        </is>
      </c>
      <c r="C2441" s="7">
        <f>VLOOKUP(A2441,SizeData!A$2:B$3839,2,FALSE)</f>
        <v/>
      </c>
      <c r="D2441" s="6" t="n">
        <v>3</v>
      </c>
      <c r="E2441" s="6" t="inlineStr">
        <is>
          <t>R1617499</t>
        </is>
      </c>
      <c r="F2441" s="2" t="n">
        <v>44706</v>
      </c>
      <c r="G2441" s="1" t="n"/>
    </row>
    <row r="2442">
      <c r="A2442" s="6" t="n">
        <v>5339</v>
      </c>
      <c r="B2442" s="6" t="inlineStr">
        <is>
          <t>JOHNNIE WALKER BLACK LABEL</t>
        </is>
      </c>
      <c r="C2442" s="7">
        <f>VLOOKUP(A2442,SizeData!A$2:B$3839,2,FALSE)</f>
        <v/>
      </c>
      <c r="D2442" s="6" t="n">
        <v>2</v>
      </c>
      <c r="E2442" s="6" t="inlineStr">
        <is>
          <t>R1613943</t>
        </is>
      </c>
      <c r="F2442" s="2" t="n">
        <v>44700</v>
      </c>
      <c r="G2442" s="1" t="n"/>
    </row>
    <row r="2443">
      <c r="A2443" s="6" t="n">
        <v>5339</v>
      </c>
      <c r="B2443" s="6" t="inlineStr">
        <is>
          <t>JOHNNIE WALKER BLACK LABEL</t>
        </is>
      </c>
      <c r="C2443" s="7">
        <f>VLOOKUP(A2443,SizeData!A$2:B$3839,2,FALSE)</f>
        <v/>
      </c>
      <c r="D2443" s="6" t="n">
        <v>1</v>
      </c>
      <c r="E2443" s="6" t="inlineStr">
        <is>
          <t>R1841934</t>
        </is>
      </c>
      <c r="F2443" s="2" t="n">
        <v>44866</v>
      </c>
      <c r="G2443" s="1" t="n"/>
    </row>
    <row r="2444">
      <c r="A2444" s="6" t="n">
        <v>5339</v>
      </c>
      <c r="B2444" s="6" t="inlineStr">
        <is>
          <t>JOHNNIE WALKER BLACK LABEL</t>
        </is>
      </c>
      <c r="C2444" s="7">
        <f>VLOOKUP(A2444,SizeData!A$2:B$3839,2,FALSE)</f>
        <v/>
      </c>
      <c r="D2444" s="6" t="n">
        <v>4</v>
      </c>
      <c r="E2444" s="6" t="inlineStr">
        <is>
          <t>R1860872</t>
        </is>
      </c>
      <c r="F2444" s="2" t="n">
        <v>44875</v>
      </c>
      <c r="G2444" s="1" t="n"/>
    </row>
    <row r="2445">
      <c r="A2445" s="6" t="n">
        <v>100795</v>
      </c>
      <c r="B2445" s="6" t="inlineStr">
        <is>
          <t>JOHNNIE WALKER BLACK W/2-50ML:DBR &amp; GOLD</t>
        </is>
      </c>
      <c r="C2445" s="7">
        <f>VLOOKUP(A2445,SizeData!A$2:B$3839,2,FALSE)</f>
        <v/>
      </c>
      <c r="D2445" s="6" t="n">
        <v>5</v>
      </c>
      <c r="E2445" s="6" t="inlineStr">
        <is>
          <t>R1798963</t>
        </is>
      </c>
      <c r="F2445" s="2" t="n">
        <v>44844</v>
      </c>
      <c r="G2445" s="1" t="n"/>
    </row>
    <row r="2446">
      <c r="A2446" s="6" t="n">
        <v>5329</v>
      </c>
      <c r="B2446" s="6" t="inlineStr">
        <is>
          <t>JOHNNIE WALKER BLUE LABEL</t>
        </is>
      </c>
      <c r="C2446" s="7">
        <f>VLOOKUP(A2446,SizeData!A$2:B$3839,2,FALSE)</f>
        <v/>
      </c>
      <c r="D2446" s="6" t="n">
        <v>1</v>
      </c>
      <c r="E2446" s="6" t="inlineStr">
        <is>
          <t>R1900430</t>
        </is>
      </c>
      <c r="F2446" s="2" t="n">
        <v>44896</v>
      </c>
      <c r="G2446" s="1" t="n"/>
    </row>
    <row r="2447">
      <c r="A2447" s="6" t="n">
        <v>5318</v>
      </c>
      <c r="B2447" s="6" t="inlineStr">
        <is>
          <t>JOHNNIE WALKER DOUBLE BLACK BLENDED WHSK</t>
        </is>
      </c>
      <c r="C2447" s="7">
        <f>VLOOKUP(A2447,SizeData!A$2:B$3839,2,FALSE)</f>
        <v/>
      </c>
      <c r="D2447" s="6" t="n">
        <v>1</v>
      </c>
      <c r="E2447" s="6" t="inlineStr">
        <is>
          <t>R1407604</t>
        </is>
      </c>
      <c r="F2447" s="2" t="n">
        <v>44566</v>
      </c>
      <c r="G2447" s="1" t="n"/>
    </row>
    <row r="2448">
      <c r="A2448" s="6" t="n">
        <v>5318</v>
      </c>
      <c r="B2448" s="6" t="inlineStr">
        <is>
          <t>JOHNNIE WALKER DOUBLE BLACK BLENDED WHSK</t>
        </is>
      </c>
      <c r="C2448" s="7">
        <f>VLOOKUP(A2448,SizeData!A$2:B$3839,2,FALSE)</f>
        <v/>
      </c>
      <c r="D2448" s="6" t="n">
        <v>2</v>
      </c>
      <c r="E2448" s="6" t="inlineStr">
        <is>
          <t>R1607750</t>
        </is>
      </c>
      <c r="F2448" s="2" t="n">
        <v>44691</v>
      </c>
      <c r="G2448" s="1" t="n"/>
    </row>
    <row r="2449">
      <c r="A2449" s="6" t="n">
        <v>5318</v>
      </c>
      <c r="B2449" s="6" t="inlineStr">
        <is>
          <t>JOHNNIE WALKER DOUBLE BLACK BLENDED WHSK</t>
        </is>
      </c>
      <c r="C2449" s="7">
        <f>VLOOKUP(A2449,SizeData!A$2:B$3839,2,FALSE)</f>
        <v/>
      </c>
      <c r="D2449" s="6" t="n">
        <v>2</v>
      </c>
      <c r="E2449" s="6" t="inlineStr">
        <is>
          <t>R1639026</t>
        </is>
      </c>
      <c r="F2449" s="2" t="n">
        <v>44720</v>
      </c>
      <c r="G2449" s="1" t="n"/>
    </row>
    <row r="2450">
      <c r="A2450" s="6" t="n">
        <v>5346</v>
      </c>
      <c r="B2450" s="6" t="inlineStr">
        <is>
          <t>JOHNNIE WALKER RED LABEL</t>
        </is>
      </c>
      <c r="C2450" s="7">
        <f>VLOOKUP(A2450,SizeData!A$2:B$3839,2,FALSE)</f>
        <v/>
      </c>
      <c r="D2450" s="6" t="n">
        <v>2</v>
      </c>
      <c r="E2450" s="6" t="inlineStr">
        <is>
          <t>R1557641</t>
        </is>
      </c>
      <c r="F2450" s="2" t="n">
        <v>44658</v>
      </c>
      <c r="G2450" s="1" t="n"/>
    </row>
    <row r="2451">
      <c r="A2451" s="6" t="n">
        <v>58874</v>
      </c>
      <c r="B2451" s="6" t="inlineStr">
        <is>
          <t>JOSE CUERVO AUTHENTIC PINK LEMONADE</t>
        </is>
      </c>
      <c r="C2451" s="7">
        <f>VLOOKUP(A2451,SizeData!A$2:B$3839,2,FALSE)</f>
        <v/>
      </c>
      <c r="D2451" s="6" t="n">
        <v>2</v>
      </c>
      <c r="E2451" s="6" t="inlineStr">
        <is>
          <t>R1496401</t>
        </is>
      </c>
      <c r="F2451" s="2" t="n">
        <v>44621</v>
      </c>
      <c r="G2451" s="1" t="n"/>
    </row>
    <row r="2452">
      <c r="A2452" s="6" t="n">
        <v>58874</v>
      </c>
      <c r="B2452" s="6" t="inlineStr">
        <is>
          <t>JOSE CUERVO AUTHENTIC PINK LEMONADE</t>
        </is>
      </c>
      <c r="C2452" s="7">
        <f>VLOOKUP(A2452,SizeData!A$2:B$3839,2,FALSE)</f>
        <v/>
      </c>
      <c r="D2452" s="6" t="n">
        <v>1</v>
      </c>
      <c r="E2452" s="6" t="inlineStr">
        <is>
          <t>R1605719</t>
        </is>
      </c>
      <c r="F2452" s="2" t="n">
        <v>44685</v>
      </c>
      <c r="G2452" s="1" t="n"/>
    </row>
    <row r="2453">
      <c r="A2453" s="6" t="n">
        <v>58874</v>
      </c>
      <c r="B2453" s="6" t="inlineStr">
        <is>
          <t>JOSE CUERVO AUTHENTIC PINK LEMONADE</t>
        </is>
      </c>
      <c r="C2453" s="7">
        <f>VLOOKUP(A2453,SizeData!A$2:B$3839,2,FALSE)</f>
        <v/>
      </c>
      <c r="D2453" s="6" t="n">
        <v>1</v>
      </c>
      <c r="E2453" s="6" t="inlineStr">
        <is>
          <t>R1631414</t>
        </is>
      </c>
      <c r="F2453" s="2" t="n">
        <v>44706</v>
      </c>
      <c r="G2453" s="1" t="n"/>
    </row>
    <row r="2454">
      <c r="A2454" s="6" t="n">
        <v>58874</v>
      </c>
      <c r="B2454" s="6" t="inlineStr">
        <is>
          <t>JOSE CUERVO AUTHENTIC PINK LEMONADE</t>
        </is>
      </c>
      <c r="C2454" s="7">
        <f>VLOOKUP(A2454,SizeData!A$2:B$3839,2,FALSE)</f>
        <v/>
      </c>
      <c r="D2454" s="6" t="n">
        <v>2</v>
      </c>
      <c r="E2454" s="6" t="inlineStr">
        <is>
          <t>R1678551</t>
        </is>
      </c>
      <c r="F2454" s="2" t="n">
        <v>44751</v>
      </c>
      <c r="G2454" s="1" t="n"/>
    </row>
    <row r="2455">
      <c r="A2455" s="26" t="n">
        <v>58874</v>
      </c>
      <c r="B2455" s="26" t="inlineStr">
        <is>
          <t>JOSE CUERVO AUTHENTIC PINK LEMONADE</t>
        </is>
      </c>
      <c r="C2455" s="7">
        <f>VLOOKUP(A2455,SizeData!A$2:B$3839,2,FALSE)</f>
        <v/>
      </c>
      <c r="D2455" s="26" t="n">
        <v>2</v>
      </c>
      <c r="E2455" s="26" t="inlineStr">
        <is>
          <t>R1770694</t>
        </is>
      </c>
      <c r="F2455" s="61" t="n">
        <v>44816</v>
      </c>
      <c r="G2455" s="62" t="n"/>
    </row>
    <row r="2456">
      <c r="A2456" s="6" t="n">
        <v>58874</v>
      </c>
      <c r="B2456" s="6" t="inlineStr">
        <is>
          <t>JOSE CUERVO AUTHENTIC PINK LEMONADE</t>
        </is>
      </c>
      <c r="C2456" s="7">
        <f>VLOOKUP(A2456,SizeData!A$2:B$3839,2,FALSE)</f>
        <v/>
      </c>
      <c r="D2456" s="6" t="n">
        <v>1</v>
      </c>
      <c r="E2456" s="6" t="inlineStr">
        <is>
          <t>R1764571</t>
        </is>
      </c>
      <c r="F2456" s="2" t="n">
        <v>44824</v>
      </c>
      <c r="G2456" s="1" t="n"/>
    </row>
    <row r="2457">
      <c r="A2457" s="6" t="n">
        <v>58874</v>
      </c>
      <c r="B2457" s="6" t="inlineStr">
        <is>
          <t>JOSE CUERVO AUTHENTIC PINK LEMONADE</t>
        </is>
      </c>
      <c r="C2457" s="7">
        <f>VLOOKUP(A2457,SizeData!A$2:B$3839,2,FALSE)</f>
        <v/>
      </c>
      <c r="D2457" s="6" t="n">
        <v>2</v>
      </c>
      <c r="E2457" s="6" t="inlineStr">
        <is>
          <t>R1782657</t>
        </is>
      </c>
      <c r="F2457" s="2" t="n">
        <v>44828</v>
      </c>
      <c r="G2457" s="1" t="n"/>
    </row>
    <row r="2458">
      <c r="A2458" s="6" t="n">
        <v>87410</v>
      </c>
      <c r="B2458" s="6" t="inlineStr">
        <is>
          <t>JOSE CUERVO ESPECIAL SILVER</t>
        </is>
      </c>
      <c r="C2458" s="7">
        <f>VLOOKUP(A2458,SizeData!A$2:B$3839,2,FALSE)</f>
        <v/>
      </c>
      <c r="D2458" s="6" t="n">
        <v>1</v>
      </c>
      <c r="E2458" s="6" t="inlineStr">
        <is>
          <t>R1529670</t>
        </is>
      </c>
      <c r="F2458" s="2" t="n">
        <v>44652</v>
      </c>
      <c r="G2458" s="1" t="n"/>
    </row>
    <row r="2459">
      <c r="A2459" s="6" t="n">
        <v>87410</v>
      </c>
      <c r="B2459" s="6" t="inlineStr">
        <is>
          <t>JOSE CUERVO ESPECIAL SILVER</t>
        </is>
      </c>
      <c r="C2459" s="7">
        <f>VLOOKUP(A2459,SizeData!A$2:B$3839,2,FALSE)</f>
        <v/>
      </c>
      <c r="D2459" s="6" t="n">
        <v>4</v>
      </c>
      <c r="E2459" s="6" t="inlineStr">
        <is>
          <t>R1549891</t>
        </is>
      </c>
      <c r="F2459" s="2" t="n">
        <v>44656</v>
      </c>
      <c r="G2459" s="1" t="n"/>
    </row>
    <row r="2460">
      <c r="A2460" s="26" t="n">
        <v>87410</v>
      </c>
      <c r="B2460" s="26" t="inlineStr">
        <is>
          <t>JOSE CUERVO ESPECIAL SILVER</t>
        </is>
      </c>
      <c r="C2460" s="75">
        <f>VLOOKUP(A2460,SizeData!A$2:B$3839,2,FALSE)</f>
        <v/>
      </c>
      <c r="D2460" s="26" t="n">
        <v>3</v>
      </c>
      <c r="E2460" s="26" t="inlineStr">
        <is>
          <t>R1853571</t>
        </is>
      </c>
      <c r="F2460" s="61" t="n">
        <v>44873</v>
      </c>
      <c r="G2460" s="62" t="n"/>
    </row>
    <row r="2461">
      <c r="A2461" s="6" t="n">
        <v>89198</v>
      </c>
      <c r="B2461" s="6" t="inlineStr">
        <is>
          <t>JOSE CUERVO ESPECIAL TEQUILA GOLD</t>
        </is>
      </c>
      <c r="C2461" s="7">
        <f>VLOOKUP(A2461,SizeData!A$2:B$3839,2,FALSE)</f>
        <v/>
      </c>
      <c r="D2461" s="6" t="n">
        <v>1</v>
      </c>
      <c r="E2461" s="6" t="inlineStr">
        <is>
          <t>R1529670</t>
        </is>
      </c>
      <c r="F2461" s="2" t="n">
        <v>44652</v>
      </c>
      <c r="G2461" s="1" t="n"/>
    </row>
    <row r="2462">
      <c r="A2462" s="6" t="n">
        <v>89198</v>
      </c>
      <c r="B2462" s="6" t="inlineStr">
        <is>
          <t>JOSE CUERVO ESPECIAL TEQUILA GOLD</t>
        </is>
      </c>
      <c r="C2462" s="7">
        <f>VLOOKUP(A2462,SizeData!A$2:B$3839,2,FALSE)</f>
        <v/>
      </c>
      <c r="D2462" s="6" t="n">
        <v>5</v>
      </c>
      <c r="E2462" s="6" t="inlineStr">
        <is>
          <t>R1549891</t>
        </is>
      </c>
      <c r="F2462" s="2" t="n">
        <v>44656</v>
      </c>
      <c r="G2462" s="1" t="n"/>
    </row>
    <row r="2463">
      <c r="A2463" s="6" t="n">
        <v>89198</v>
      </c>
      <c r="B2463" s="6" t="inlineStr">
        <is>
          <t>JOSE CUERVO ESPECIAL TEQUILA GOLD</t>
        </is>
      </c>
      <c r="C2463" s="7">
        <f>VLOOKUP(A2463,SizeData!A$2:B$3839,2,FALSE)</f>
        <v/>
      </c>
      <c r="D2463" s="6" t="n">
        <v>1</v>
      </c>
      <c r="E2463" s="6" t="inlineStr">
        <is>
          <t>R1549891</t>
        </is>
      </c>
      <c r="F2463" s="2" t="n">
        <v>44656</v>
      </c>
      <c r="G2463" s="1" t="n"/>
    </row>
    <row r="2464">
      <c r="A2464" s="6" t="n">
        <v>89198</v>
      </c>
      <c r="B2464" s="6" t="inlineStr">
        <is>
          <t>JOSE CUERVO ESPECIAL TEQUILA GOLD</t>
        </is>
      </c>
      <c r="C2464" s="7">
        <f>VLOOKUP(A2464,SizeData!A$2:B$3839,2,FALSE)</f>
        <v/>
      </c>
      <c r="D2464" s="6" t="n">
        <v>3</v>
      </c>
      <c r="E2464" s="6" t="inlineStr">
        <is>
          <t>R1713939</t>
        </is>
      </c>
      <c r="F2464" s="2" t="n">
        <v>44779</v>
      </c>
      <c r="G2464" s="1" t="n"/>
    </row>
    <row r="2465">
      <c r="A2465" s="6" t="n">
        <v>89198</v>
      </c>
      <c r="B2465" s="6" t="inlineStr">
        <is>
          <t>JOSE CUERVO ESPECIAL TEQUILA GOLD</t>
        </is>
      </c>
      <c r="C2465" s="7">
        <f>VLOOKUP(A2465,SizeData!A$2:B$3839,2,FALSE)</f>
        <v/>
      </c>
      <c r="D2465" s="6" t="n">
        <v>2</v>
      </c>
      <c r="E2465" s="6" t="inlineStr">
        <is>
          <t>R1719137</t>
        </is>
      </c>
      <c r="F2465" s="2" t="n">
        <v>44781</v>
      </c>
      <c r="G2465" s="1" t="n"/>
    </row>
    <row r="2466">
      <c r="A2466" s="6" t="n">
        <v>89198</v>
      </c>
      <c r="B2466" s="6" t="inlineStr">
        <is>
          <t>JOSE CUERVO ESPECIAL TEQUILA GOLD</t>
        </is>
      </c>
      <c r="C2466" s="7">
        <f>VLOOKUP(A2466,SizeData!A$2:B$3839,2,FALSE)</f>
        <v/>
      </c>
      <c r="D2466" s="6" t="n">
        <v>3</v>
      </c>
      <c r="E2466" s="6" t="inlineStr">
        <is>
          <t>R1856811</t>
        </is>
      </c>
      <c r="F2466" s="2" t="n">
        <v>44868</v>
      </c>
      <c r="G2466" s="1" t="n"/>
    </row>
    <row r="2467">
      <c r="A2467" s="26" t="n">
        <v>89198</v>
      </c>
      <c r="B2467" s="26" t="inlineStr">
        <is>
          <t>JOSE CUERVO ESPECIAL TEQUILA GOLD</t>
        </is>
      </c>
      <c r="C2467" s="75">
        <f>VLOOKUP(A2467,SizeData!A$2:B$3839,2,FALSE)</f>
        <v/>
      </c>
      <c r="D2467" s="26" t="n">
        <v>1</v>
      </c>
      <c r="E2467" s="26" t="inlineStr">
        <is>
          <t>R1856811</t>
        </is>
      </c>
      <c r="F2467" s="61" t="n">
        <v>44868</v>
      </c>
      <c r="G2467" s="62" t="n"/>
    </row>
    <row r="2468">
      <c r="A2468" s="6" t="n">
        <v>58877</v>
      </c>
      <c r="B2468" s="6" t="inlineStr">
        <is>
          <t>JOSE CUERVO GOLDEN STAW MARG</t>
        </is>
      </c>
      <c r="C2468" s="7">
        <f>VLOOKUP(A2468,SizeData!A$2:B$3839,2,FALSE)</f>
        <v/>
      </c>
      <c r="D2468" s="6" t="n">
        <v>1</v>
      </c>
      <c r="E2468" s="6" t="inlineStr">
        <is>
          <t>R1644631</t>
        </is>
      </c>
      <c r="F2468" s="2" t="n">
        <v>44725</v>
      </c>
      <c r="G2468" s="1" t="n"/>
    </row>
    <row r="2469">
      <c r="A2469" s="6" t="n">
        <v>89219</v>
      </c>
      <c r="B2469" s="6" t="inlineStr">
        <is>
          <t>JOSE CUERVO TRADICIONAL REPOSADO</t>
        </is>
      </c>
      <c r="C2469" s="7">
        <f>VLOOKUP(A2469,SizeData!A$2:B$3839,2,FALSE)</f>
        <v/>
      </c>
      <c r="D2469" s="6" t="n">
        <v>1</v>
      </c>
      <c r="E2469" s="6" t="inlineStr">
        <is>
          <t>R1748972</t>
        </is>
      </c>
      <c r="F2469" s="2" t="n">
        <v>44812</v>
      </c>
      <c r="G2469" s="1" t="n"/>
    </row>
    <row r="2470">
      <c r="A2470" s="6" t="n">
        <v>89219</v>
      </c>
      <c r="B2470" s="6" t="inlineStr">
        <is>
          <t>JOSE CUERVO TRADICIONAL REPOSADO</t>
        </is>
      </c>
      <c r="C2470" s="7">
        <f>VLOOKUP(A2470,SizeData!A$2:B$3839,2,FALSE)</f>
        <v/>
      </c>
      <c r="D2470" s="6" t="n">
        <v>1</v>
      </c>
      <c r="E2470" s="6" t="inlineStr">
        <is>
          <t>R1782657</t>
        </is>
      </c>
      <c r="F2470" s="2" t="n">
        <v>44828</v>
      </c>
      <c r="G2470" s="1" t="n"/>
    </row>
    <row r="2471">
      <c r="A2471" s="26" t="n">
        <v>87418</v>
      </c>
      <c r="B2471" s="26" t="inlineStr">
        <is>
          <t>JOSE CUERVO TRADICIONAL SILVER</t>
        </is>
      </c>
      <c r="C2471" s="75">
        <f>VLOOKUP(A2471,SizeData!A$2:B$3839,2,FALSE)</f>
        <v/>
      </c>
      <c r="D2471" s="26" t="n">
        <v>2</v>
      </c>
      <c r="E2471" s="26" t="inlineStr">
        <is>
          <t>R1796778</t>
        </is>
      </c>
      <c r="F2471" s="61" t="n">
        <v>44834</v>
      </c>
      <c r="G2471" s="62" t="n"/>
    </row>
    <row r="2472">
      <c r="A2472" s="6" t="n">
        <v>87418</v>
      </c>
      <c r="B2472" s="6" t="inlineStr">
        <is>
          <t>JOSE CUERVO TRADICIONAL SILVER</t>
        </is>
      </c>
      <c r="C2472" s="7">
        <f>VLOOKUP(A2472,SizeData!A$2:B$3839,2,FALSE)</f>
        <v/>
      </c>
      <c r="D2472" s="6" t="n">
        <v>1</v>
      </c>
      <c r="E2472" s="6" t="inlineStr">
        <is>
          <t>R1906202</t>
        </is>
      </c>
      <c r="F2472" s="2" t="n">
        <v>44902</v>
      </c>
      <c r="G2472" s="1" t="n"/>
    </row>
    <row r="2473">
      <c r="A2473" s="6" t="n">
        <v>58858</v>
      </c>
      <c r="B2473" s="6" t="inlineStr">
        <is>
          <t>JOSE CUERVO (JC) STRAWBERRY LIME (PET)</t>
        </is>
      </c>
      <c r="C2473" s="7">
        <f>VLOOKUP(A2473,SizeData!A$2:B$3839,2,FALSE)</f>
        <v/>
      </c>
      <c r="D2473" s="6" t="n">
        <v>6</v>
      </c>
      <c r="E2473" s="6" t="inlineStr">
        <is>
          <t>R1467109</t>
        </is>
      </c>
      <c r="F2473" s="2" t="n">
        <v>44604</v>
      </c>
      <c r="G2473" s="1" t="n"/>
    </row>
    <row r="2474">
      <c r="A2474" s="6" t="n">
        <v>58858</v>
      </c>
      <c r="B2474" s="6" t="inlineStr">
        <is>
          <t>JOSE CUERVO (JC) STRAWBERRY LIME (PET)</t>
        </is>
      </c>
      <c r="C2474" s="7">
        <f>VLOOKUP(A2474,SizeData!A$2:B$3839,2,FALSE)</f>
        <v/>
      </c>
      <c r="D2474" s="6" t="n">
        <v>2</v>
      </c>
      <c r="E2474" s="6" t="inlineStr">
        <is>
          <t>R1471448</t>
        </is>
      </c>
      <c r="F2474" s="2" t="n">
        <v>44610</v>
      </c>
      <c r="G2474" s="1" t="n"/>
    </row>
    <row r="2475">
      <c r="A2475" s="6" t="n">
        <v>58858</v>
      </c>
      <c r="B2475" s="6" t="inlineStr">
        <is>
          <t>JOSE CUERVO (JC) STRAWBERRY LIME (PET)</t>
        </is>
      </c>
      <c r="C2475" s="7">
        <f>VLOOKUP(A2475,SizeData!A$2:B$3839,2,FALSE)</f>
        <v/>
      </c>
      <c r="D2475" s="6" t="n">
        <v>1</v>
      </c>
      <c r="E2475" s="6" t="inlineStr">
        <is>
          <t>R1671975</t>
        </is>
      </c>
      <c r="F2475" s="2" t="n">
        <v>44742</v>
      </c>
      <c r="G2475" s="1" t="n"/>
    </row>
    <row r="2476">
      <c r="A2476" s="6" t="n">
        <v>58858</v>
      </c>
      <c r="B2476" s="6" t="inlineStr">
        <is>
          <t>JOSE CUERVO (JC) STRAWBERRY LIME (PET)</t>
        </is>
      </c>
      <c r="C2476" s="7">
        <f>VLOOKUP(A2476,SizeData!A$2:B$3839,2,FALSE)</f>
        <v/>
      </c>
      <c r="D2476" s="6" t="n">
        <v>3</v>
      </c>
      <c r="E2476" s="6" t="inlineStr">
        <is>
          <t>R1713939</t>
        </is>
      </c>
      <c r="F2476" s="2" t="n">
        <v>44779</v>
      </c>
      <c r="G2476" s="1" t="n"/>
    </row>
    <row r="2477">
      <c r="A2477" s="26" t="n">
        <v>58858</v>
      </c>
      <c r="B2477" s="26" t="inlineStr">
        <is>
          <t>JOSE CUERVO (JC) STRAWBERRY LIME (PET)</t>
        </is>
      </c>
      <c r="C2477" s="75">
        <f>VLOOKUP(A2477,SizeData!A$2:B$3839,2,FALSE)</f>
        <v/>
      </c>
      <c r="D2477" s="26" t="n">
        <v>1</v>
      </c>
      <c r="E2477" s="26" t="inlineStr">
        <is>
          <t>R1846759</t>
        </is>
      </c>
      <c r="F2477" s="61" t="n">
        <v>44872</v>
      </c>
      <c r="G2477" s="62" t="n"/>
    </row>
    <row r="2478">
      <c r="A2478" s="6" t="n">
        <v>58858</v>
      </c>
      <c r="B2478" s="6" t="inlineStr">
        <is>
          <t>JOSE CUERVO (JC) STRAWBERRY LIME (PET)</t>
        </is>
      </c>
      <c r="C2478" s="7">
        <f>VLOOKUP(A2478,SizeData!A$2:B$3839,2,FALSE)</f>
        <v/>
      </c>
      <c r="D2478" s="6" t="n">
        <v>2</v>
      </c>
      <c r="E2478" s="6" t="inlineStr">
        <is>
          <t>R1858355</t>
        </is>
      </c>
      <c r="F2478" s="2" t="n">
        <v>44880</v>
      </c>
      <c r="G2478" s="1" t="n"/>
    </row>
    <row r="2479">
      <c r="A2479" s="6" t="n">
        <v>100686</v>
      </c>
      <c r="B2479" s="6" t="inlineStr">
        <is>
          <t>JOSE CUERVO AUTHENTIC PINK LEMONADE (4PK)</t>
        </is>
      </c>
      <c r="C2479" s="7">
        <f>VLOOKUP(A2479,SizeData!A$2:B$3839,2,FALSE)</f>
        <v/>
      </c>
      <c r="D2479" s="6" t="n">
        <v>2</v>
      </c>
      <c r="E2479" s="6" t="inlineStr">
        <is>
          <t>R1493246</t>
        </is>
      </c>
      <c r="F2479" s="2" t="n">
        <v>44623</v>
      </c>
      <c r="G2479" s="1" t="n"/>
    </row>
    <row r="2480">
      <c r="A2480" s="6" t="n">
        <v>100686</v>
      </c>
      <c r="B2480" s="6" t="inlineStr">
        <is>
          <t>JOSE CUERVO AUTHENTIC PINK LEMONADE (4PK)</t>
        </is>
      </c>
      <c r="C2480" s="7">
        <f>VLOOKUP(A2480,SizeData!A$2:B$3839,2,FALSE)</f>
        <v/>
      </c>
      <c r="D2480" s="6" t="n">
        <v>2</v>
      </c>
      <c r="E2480" s="6" t="inlineStr">
        <is>
          <t>R1529670</t>
        </is>
      </c>
      <c r="F2480" s="2" t="n">
        <v>44652</v>
      </c>
      <c r="G2480" s="1" t="n"/>
    </row>
    <row r="2481">
      <c r="A2481" s="6" t="n">
        <v>100686</v>
      </c>
      <c r="B2481" s="6" t="inlineStr">
        <is>
          <t>JOSE CUERVO AUTHENTIC PINK LEMONADE (4PK)</t>
        </is>
      </c>
      <c r="C2481" s="7">
        <f>VLOOKUP(A2481,SizeData!A$2:B$3839,2,FALSE)</f>
        <v/>
      </c>
      <c r="D2481" s="6" t="n">
        <v>2</v>
      </c>
      <c r="E2481" s="6" t="inlineStr">
        <is>
          <t>R1713939</t>
        </is>
      </c>
      <c r="F2481" s="2" t="n">
        <v>44779</v>
      </c>
      <c r="G2481" s="1" t="n"/>
    </row>
    <row r="2482">
      <c r="A2482" s="6" t="n">
        <v>100686</v>
      </c>
      <c r="B2482" s="6" t="inlineStr">
        <is>
          <t>JOSE CUERVO AUTHENTIC PINK LEMONADE (4PK)</t>
        </is>
      </c>
      <c r="C2482" s="7">
        <f>VLOOKUP(A2482,SizeData!A$2:B$3839,2,FALSE)</f>
        <v/>
      </c>
      <c r="D2482" s="6" t="n">
        <v>1</v>
      </c>
      <c r="E2482" s="6" t="inlineStr">
        <is>
          <t>R1846759</t>
        </is>
      </c>
      <c r="F2482" s="2" t="n">
        <v>44872</v>
      </c>
      <c r="G2482" s="1" t="n"/>
    </row>
    <row r="2483">
      <c r="A2483" s="26" t="n">
        <v>100686</v>
      </c>
      <c r="B2483" s="26" t="inlineStr">
        <is>
          <t>JOSE CUERVO AUTHENTIC PINK LEMONADE (4PK)</t>
        </is>
      </c>
      <c r="C2483" s="75">
        <f>VLOOKUP(A2483,SizeData!A$2:B$3839,2,FALSE)</f>
        <v/>
      </c>
      <c r="D2483" s="26" t="n">
        <v>3</v>
      </c>
      <c r="E2483" s="26" t="inlineStr">
        <is>
          <t>R1858355</t>
        </is>
      </c>
      <c r="F2483" s="61" t="n">
        <v>44880</v>
      </c>
      <c r="G2483" s="62" t="n"/>
    </row>
    <row r="2484">
      <c r="A2484" s="6" t="n">
        <v>87402</v>
      </c>
      <c r="B2484" s="6" t="inlineStr">
        <is>
          <t>JOSE CUERVO ESPECIAL SILVER</t>
        </is>
      </c>
      <c r="C2484" s="7">
        <f>VLOOKUP(A2484,SizeData!A$2:B$3839,2,FALSE)</f>
        <v/>
      </c>
      <c r="D2484" s="6" t="n">
        <v>1</v>
      </c>
      <c r="E2484" s="6" t="inlineStr">
        <is>
          <t>R1443217</t>
        </is>
      </c>
      <c r="F2484" s="2" t="n">
        <v>44593</v>
      </c>
      <c r="G2484" s="1" t="n"/>
    </row>
    <row r="2485">
      <c r="A2485" s="6" t="n">
        <v>87402</v>
      </c>
      <c r="B2485" s="6" t="inlineStr">
        <is>
          <t>JOSE CUERVO ESPECIAL SILVER</t>
        </is>
      </c>
      <c r="C2485" s="7">
        <f>VLOOKUP(A2485,SizeData!A$2:B$3839,2,FALSE)</f>
        <v/>
      </c>
      <c r="D2485" s="6" t="n">
        <v>2</v>
      </c>
      <c r="E2485" s="6" t="inlineStr">
        <is>
          <t>R1457066</t>
        </is>
      </c>
      <c r="F2485" s="2" t="n">
        <v>44602</v>
      </c>
      <c r="G2485" s="1" t="n"/>
    </row>
    <row r="2486">
      <c r="A2486" s="6" t="n">
        <v>87402</v>
      </c>
      <c r="B2486" s="6" t="inlineStr">
        <is>
          <t>JOSE CUERVO ESPECIAL SILVER</t>
        </is>
      </c>
      <c r="C2486" s="7">
        <f>VLOOKUP(A2486,SizeData!A$2:B$3839,2,FALSE)</f>
        <v/>
      </c>
      <c r="D2486" s="6" t="n">
        <v>1</v>
      </c>
      <c r="E2486" s="6" t="inlineStr">
        <is>
          <t>R1887698</t>
        </is>
      </c>
      <c r="F2486" s="2" t="n">
        <v>44902</v>
      </c>
      <c r="G2486" s="1" t="n"/>
    </row>
    <row r="2487">
      <c r="A2487" s="6" t="n">
        <v>89193</v>
      </c>
      <c r="B2487" s="6" t="inlineStr">
        <is>
          <t>JOSE CUERVO ESPECIAL TEQUILA</t>
        </is>
      </c>
      <c r="C2487" s="7">
        <f>VLOOKUP(A2487,SizeData!A$2:B$3839,2,FALSE)</f>
        <v/>
      </c>
      <c r="D2487" s="6" t="n">
        <v>1</v>
      </c>
      <c r="E2487" s="6" t="inlineStr">
        <is>
          <t>R1740102</t>
        </is>
      </c>
      <c r="F2487" s="2" t="n">
        <v>44781</v>
      </c>
      <c r="G2487" s="1" t="n"/>
    </row>
    <row r="2488">
      <c r="A2488" s="6" t="n">
        <v>89193</v>
      </c>
      <c r="B2488" s="6" t="inlineStr">
        <is>
          <t>JOSE CUERVO ESPECIAL TEQUILA</t>
        </is>
      </c>
      <c r="C2488" s="7">
        <f>VLOOKUP(A2488,SizeData!A$2:B$3839,2,FALSE)</f>
        <v/>
      </c>
      <c r="D2488" s="6" t="n">
        <v>1</v>
      </c>
      <c r="E2488" s="6" t="inlineStr">
        <is>
          <t>R1856811</t>
        </is>
      </c>
      <c r="F2488" s="2" t="n">
        <v>44868</v>
      </c>
      <c r="G2488" s="1" t="n"/>
    </row>
    <row r="2489">
      <c r="A2489" s="6" t="n">
        <v>89193</v>
      </c>
      <c r="B2489" s="6" t="inlineStr">
        <is>
          <t>JOSE CUERVO ESPECIAL TEQUILA</t>
        </is>
      </c>
      <c r="C2489" s="7">
        <f>VLOOKUP(A2489,SizeData!A$2:B$3839,2,FALSE)</f>
        <v/>
      </c>
      <c r="D2489" s="6" t="n">
        <v>1</v>
      </c>
      <c r="E2489" s="6" t="inlineStr">
        <is>
          <t>R1870474</t>
        </is>
      </c>
      <c r="F2489" s="2" t="n">
        <v>44875</v>
      </c>
      <c r="G2489" s="1" t="n"/>
    </row>
    <row r="2490">
      <c r="A2490" s="6" t="n">
        <v>58914</v>
      </c>
      <c r="B2490" s="6" t="inlineStr">
        <is>
          <t>JOSE CUERVO AUTHENTIC SPARKLING LIME CANS</t>
        </is>
      </c>
      <c r="C2490" s="7">
        <f>VLOOKUP(A2490,SizeData!A$2:B$3839,2,FALSE)</f>
        <v/>
      </c>
      <c r="D2490" s="6" t="n">
        <v>2</v>
      </c>
      <c r="E2490" s="6" t="inlineStr">
        <is>
          <t>R1555356</t>
        </is>
      </c>
      <c r="F2490" s="2" t="n">
        <v>44654</v>
      </c>
      <c r="G2490" s="1" t="n"/>
    </row>
    <row r="2491">
      <c r="A2491" s="26" t="n">
        <v>58914</v>
      </c>
      <c r="B2491" s="26" t="inlineStr">
        <is>
          <t>JOSE CUERVO AUTHENTIC SPARKLING LIME CANS</t>
        </is>
      </c>
      <c r="C2491" s="7">
        <f>VLOOKUP(A2491,SizeData!A$2:B$3839,2,FALSE)</f>
        <v/>
      </c>
      <c r="D2491" s="26" t="n">
        <v>1</v>
      </c>
      <c r="E2491" s="26" t="inlineStr">
        <is>
          <t>R1719137</t>
        </is>
      </c>
      <c r="F2491" s="61" t="n">
        <v>44781</v>
      </c>
      <c r="G2491" s="62" t="n"/>
    </row>
    <row r="2492">
      <c r="A2492" s="6" t="n">
        <v>58918</v>
      </c>
      <c r="B2492" s="6" t="inlineStr">
        <is>
          <t>JOSE CUERVO AUTHENTIC STRAWBERRY CANS</t>
        </is>
      </c>
      <c r="C2492" s="7">
        <f>VLOOKUP(A2492,SizeData!A$2:B$3839,2,FALSE)</f>
        <v/>
      </c>
      <c r="D2492" s="6" t="n">
        <v>1</v>
      </c>
      <c r="E2492" s="6" t="inlineStr">
        <is>
          <t>R1443217</t>
        </is>
      </c>
      <c r="F2492" s="2" t="n">
        <v>44593</v>
      </c>
      <c r="G2492" s="1" t="n"/>
    </row>
    <row r="2493">
      <c r="A2493" s="6" t="n">
        <v>58918</v>
      </c>
      <c r="B2493" s="6" t="inlineStr">
        <is>
          <t>JOSE CUERVO AUTHENTIC STRAWBERRY CANS</t>
        </is>
      </c>
      <c r="C2493" s="7">
        <f>VLOOKUP(A2493,SizeData!A$2:B$3839,2,FALSE)</f>
        <v/>
      </c>
      <c r="D2493" s="6" t="n">
        <v>1</v>
      </c>
      <c r="E2493" s="6" t="inlineStr">
        <is>
          <t>R1555356</t>
        </is>
      </c>
      <c r="F2493" s="2" t="n">
        <v>44654</v>
      </c>
      <c r="G2493" s="1" t="n"/>
    </row>
    <row r="2494">
      <c r="A2494" s="6" t="n">
        <v>58918</v>
      </c>
      <c r="B2494" s="6" t="inlineStr">
        <is>
          <t>JOSE CUERVO AUTHENTIC STRAWBERRY CANS</t>
        </is>
      </c>
      <c r="C2494" s="7">
        <f>VLOOKUP(A2494,SizeData!A$2:B$3839,2,FALSE)</f>
        <v/>
      </c>
      <c r="D2494" s="6" t="n">
        <v>1</v>
      </c>
      <c r="E2494" s="6" t="inlineStr">
        <is>
          <t>R1629823</t>
        </is>
      </c>
      <c r="F2494" s="2" t="n">
        <v>44713</v>
      </c>
      <c r="G2494" s="1" t="n"/>
    </row>
    <row r="2495">
      <c r="A2495" s="6" t="n">
        <v>58918</v>
      </c>
      <c r="B2495" s="6" t="inlineStr">
        <is>
          <t>JOSE CUERVO AUTHENTIC STRAWBERRY CANS</t>
        </is>
      </c>
      <c r="C2495" s="7">
        <f>VLOOKUP(A2495,SizeData!A$2:B$3839,2,FALSE)</f>
        <v/>
      </c>
      <c r="D2495" s="6" t="n">
        <v>1</v>
      </c>
      <c r="E2495" s="6" t="inlineStr">
        <is>
          <t>R1660776</t>
        </is>
      </c>
      <c r="F2495" s="2" t="n">
        <v>44733</v>
      </c>
      <c r="G2495" s="1" t="n"/>
    </row>
    <row r="2496">
      <c r="A2496" s="6" t="n">
        <v>58918</v>
      </c>
      <c r="B2496" s="6" t="inlineStr">
        <is>
          <t>JOSE CUERVO AUTHENTIC STRAWBERRY CANS</t>
        </is>
      </c>
      <c r="C2496" s="7">
        <f>VLOOKUP(A2496,SizeData!A$2:B$3839,2,FALSE)</f>
        <v/>
      </c>
      <c r="D2496" s="6" t="n">
        <v>1</v>
      </c>
      <c r="E2496" s="6" t="inlineStr">
        <is>
          <t>R1671975</t>
        </is>
      </c>
      <c r="F2496" s="2" t="n">
        <v>44742</v>
      </c>
      <c r="G2496" s="1" t="n"/>
    </row>
    <row r="2497">
      <c r="A2497" s="6" t="n">
        <v>58918</v>
      </c>
      <c r="B2497" s="6" t="inlineStr">
        <is>
          <t>JOSE CUERVO AUTHENTIC STRAWBERRY CANS</t>
        </is>
      </c>
      <c r="C2497" s="7">
        <f>VLOOKUP(A2497,SizeData!A$2:B$3839,2,FALSE)</f>
        <v/>
      </c>
      <c r="D2497" s="6" t="n">
        <v>1</v>
      </c>
      <c r="E2497" s="6" t="inlineStr">
        <is>
          <t>R1719137</t>
        </is>
      </c>
      <c r="F2497" s="2" t="n">
        <v>44781</v>
      </c>
      <c r="G2497" s="1" t="n"/>
    </row>
    <row r="2498">
      <c r="A2498" s="6" t="n">
        <v>58918</v>
      </c>
      <c r="B2498" s="6" t="inlineStr">
        <is>
          <t>JOSE CUERVO AUTHENTIC STRAWBERRY CANS</t>
        </is>
      </c>
      <c r="C2498" s="7">
        <f>VLOOKUP(A2498,SizeData!A$2:B$3839,2,FALSE)</f>
        <v/>
      </c>
      <c r="D2498" s="6" t="n">
        <v>1</v>
      </c>
      <c r="E2498" s="6" t="inlineStr">
        <is>
          <t>R1739883</t>
        </is>
      </c>
      <c r="F2498" s="2" t="n">
        <v>44800</v>
      </c>
      <c r="G2498" s="1" t="n"/>
    </row>
    <row r="2499">
      <c r="A2499" s="6" t="n">
        <v>87403</v>
      </c>
      <c r="B2499" s="6" t="inlineStr">
        <is>
          <t>JOSE CUERVO ESPECIAL SILVER</t>
        </is>
      </c>
      <c r="C2499" s="7">
        <f>VLOOKUP(A2499,SizeData!A$2:B$3839,2,FALSE)</f>
        <v/>
      </c>
      <c r="D2499" s="6" t="n">
        <v>1</v>
      </c>
      <c r="E2499" s="6" t="inlineStr">
        <is>
          <t>R1443217</t>
        </is>
      </c>
      <c r="F2499" s="2" t="n">
        <v>44593</v>
      </c>
      <c r="G2499" s="1" t="n"/>
    </row>
    <row r="2500">
      <c r="A2500" s="6" t="n">
        <v>87403</v>
      </c>
      <c r="B2500" s="6" t="inlineStr">
        <is>
          <t>JOSE CUERVO ESPECIAL SILVER</t>
        </is>
      </c>
      <c r="C2500" s="7">
        <f>VLOOKUP(A2500,SizeData!A$2:B$3839,2,FALSE)</f>
        <v/>
      </c>
      <c r="D2500" s="6" t="n">
        <v>2</v>
      </c>
      <c r="E2500" s="6" t="inlineStr">
        <is>
          <t>R1467109</t>
        </is>
      </c>
      <c r="F2500" s="2" t="n">
        <v>44604</v>
      </c>
      <c r="G2500" s="1" t="n"/>
    </row>
    <row r="2501">
      <c r="A2501" s="6" t="n">
        <v>87403</v>
      </c>
      <c r="B2501" s="6" t="inlineStr">
        <is>
          <t>JOSE CUERVO ESPECIAL SILVER</t>
        </is>
      </c>
      <c r="C2501" s="7">
        <f>VLOOKUP(A2501,SizeData!A$2:B$3839,2,FALSE)</f>
        <v/>
      </c>
      <c r="D2501" s="6" t="n">
        <v>1</v>
      </c>
      <c r="E2501" s="6" t="inlineStr">
        <is>
          <t>R1471358</t>
        </is>
      </c>
      <c r="F2501" s="2" t="n">
        <v>44608</v>
      </c>
      <c r="G2501" s="1" t="n"/>
    </row>
    <row r="2502">
      <c r="A2502" s="6" t="n">
        <v>87403</v>
      </c>
      <c r="B2502" s="6" t="inlineStr">
        <is>
          <t>JOSE CUERVO ESPECIAL SILVER</t>
        </is>
      </c>
      <c r="C2502" s="7">
        <f>VLOOKUP(A2502,SizeData!A$2:B$3839,2,FALSE)</f>
        <v/>
      </c>
      <c r="D2502" s="6" t="n">
        <v>1</v>
      </c>
      <c r="E2502" s="6" t="inlineStr">
        <is>
          <t>R1629823</t>
        </is>
      </c>
      <c r="F2502" s="2" t="n">
        <v>44713</v>
      </c>
      <c r="G2502" s="1" t="n"/>
    </row>
    <row r="2503">
      <c r="A2503" s="6" t="n">
        <v>87403</v>
      </c>
      <c r="B2503" s="6" t="inlineStr">
        <is>
          <t>JOSE CUERVO ESPECIAL SILVER</t>
        </is>
      </c>
      <c r="C2503" s="7">
        <f>VLOOKUP(A2503,SizeData!A$2:B$3839,2,FALSE)</f>
        <v/>
      </c>
      <c r="D2503" s="6" t="n">
        <v>1</v>
      </c>
      <c r="E2503" s="6" t="inlineStr">
        <is>
          <t>R1645266</t>
        </is>
      </c>
      <c r="F2503" s="2" t="n">
        <v>44718</v>
      </c>
      <c r="G2503" s="1" t="n"/>
    </row>
    <row r="2504">
      <c r="A2504" s="6" t="n">
        <v>87403</v>
      </c>
      <c r="B2504" s="6" t="inlineStr">
        <is>
          <t>JOSE CUERVO ESPECIAL SILVER</t>
        </is>
      </c>
      <c r="C2504" s="7">
        <f>VLOOKUP(A2504,SizeData!A$2:B$3839,2,FALSE)</f>
        <v/>
      </c>
      <c r="D2504" s="6" t="n">
        <v>1</v>
      </c>
      <c r="E2504" s="6" t="inlineStr">
        <is>
          <t>R1660776</t>
        </is>
      </c>
      <c r="F2504" s="2" t="n">
        <v>44733</v>
      </c>
      <c r="G2504" s="1" t="n"/>
    </row>
    <row r="2505">
      <c r="A2505" s="26" t="n">
        <v>87403</v>
      </c>
      <c r="B2505" s="26" t="inlineStr">
        <is>
          <t>JOSE CUERVO ESPECIAL SILVER</t>
        </is>
      </c>
      <c r="C2505" s="7">
        <f>VLOOKUP(A2505,SizeData!A$2:B$3839,2,FALSE)</f>
        <v/>
      </c>
      <c r="D2505" s="26" t="n">
        <v>1</v>
      </c>
      <c r="E2505" s="26" t="inlineStr">
        <is>
          <t>R1713939</t>
        </is>
      </c>
      <c r="F2505" s="61" t="n">
        <v>44779</v>
      </c>
      <c r="G2505" s="62" t="n"/>
    </row>
    <row r="2506">
      <c r="A2506" s="26" t="n">
        <v>87403</v>
      </c>
      <c r="B2506" s="26" t="inlineStr">
        <is>
          <t>JOSE CUERVO ESPECIAL SILVER</t>
        </is>
      </c>
      <c r="C2506" s="75">
        <f>VLOOKUP(A2506,SizeData!A$2:B$3839,2,FALSE)</f>
        <v/>
      </c>
      <c r="D2506" s="26" t="n">
        <v>1</v>
      </c>
      <c r="E2506" s="26" t="inlineStr">
        <is>
          <t>R1808552</t>
        </is>
      </c>
      <c r="F2506" s="61" t="n">
        <v>44841</v>
      </c>
      <c r="G2506" s="62" t="n"/>
    </row>
    <row r="2507">
      <c r="A2507" s="6" t="n">
        <v>87403</v>
      </c>
      <c r="B2507" s="6" t="inlineStr">
        <is>
          <t>JOSE CUERVO ESPECIAL SILVER</t>
        </is>
      </c>
      <c r="C2507" s="7">
        <f>VLOOKUP(A2507,SizeData!A$2:B$3839,2,FALSE)</f>
        <v/>
      </c>
      <c r="D2507" s="6" t="n">
        <v>1</v>
      </c>
      <c r="E2507" s="6" t="inlineStr">
        <is>
          <t>R1841934</t>
        </is>
      </c>
      <c r="F2507" s="2" t="n">
        <v>44866</v>
      </c>
      <c r="G2507" s="1" t="n"/>
    </row>
    <row r="2508">
      <c r="A2508" s="6" t="n">
        <v>87403</v>
      </c>
      <c r="B2508" s="6" t="inlineStr">
        <is>
          <t>JOSE CUERVO ESPECIAL SILVER</t>
        </is>
      </c>
      <c r="C2508" s="7">
        <f>VLOOKUP(A2508,SizeData!A$2:B$3839,2,FALSE)</f>
        <v/>
      </c>
      <c r="D2508" s="6" t="n">
        <v>2</v>
      </c>
      <c r="E2508" s="6" t="inlineStr">
        <is>
          <t>R1856811</t>
        </is>
      </c>
      <c r="F2508" s="2" t="n">
        <v>44868</v>
      </c>
      <c r="G2508" s="1" t="n"/>
    </row>
    <row r="2509">
      <c r="A2509" s="6" t="n">
        <v>89194</v>
      </c>
      <c r="B2509" s="6" t="inlineStr">
        <is>
          <t>JOSE CUERVO ESPECIAL TEQUILA</t>
        </is>
      </c>
      <c r="C2509" s="7">
        <f>VLOOKUP(A2509,SizeData!A$2:B$3839,2,FALSE)</f>
        <v/>
      </c>
      <c r="D2509" s="6" t="n">
        <v>2</v>
      </c>
      <c r="E2509" s="6" t="inlineStr">
        <is>
          <t>R1443217</t>
        </is>
      </c>
      <c r="F2509" s="2" t="n">
        <v>44593</v>
      </c>
      <c r="G2509" s="1" t="n"/>
    </row>
    <row r="2510">
      <c r="A2510" s="6" t="n">
        <v>89194</v>
      </c>
      <c r="B2510" s="6" t="inlineStr">
        <is>
          <t>JOSE CUERVO ESPECIAL TEQUILA</t>
        </is>
      </c>
      <c r="C2510" s="7">
        <f>VLOOKUP(A2510,SizeData!A$2:B$3839,2,FALSE)</f>
        <v/>
      </c>
      <c r="D2510" s="6" t="n">
        <v>3</v>
      </c>
      <c r="E2510" s="6" t="inlineStr">
        <is>
          <t>R1448139</t>
        </is>
      </c>
      <c r="F2510" s="2" t="n">
        <v>44597</v>
      </c>
      <c r="G2510" s="1" t="n"/>
    </row>
    <row r="2511">
      <c r="A2511" s="6" t="n">
        <v>89194</v>
      </c>
      <c r="B2511" s="6" t="inlineStr">
        <is>
          <t>JOSE CUERVO ESPECIAL TEQUILA</t>
        </is>
      </c>
      <c r="C2511" s="7">
        <f>VLOOKUP(A2511,SizeData!A$2:B$3839,2,FALSE)</f>
        <v/>
      </c>
      <c r="D2511" s="6" t="n">
        <v>2</v>
      </c>
      <c r="E2511" s="6" t="inlineStr">
        <is>
          <t>R1457066</t>
        </is>
      </c>
      <c r="F2511" s="2" t="n">
        <v>44602</v>
      </c>
      <c r="G2511" s="1" t="n"/>
    </row>
    <row r="2512">
      <c r="A2512" s="6" t="n">
        <v>89194</v>
      </c>
      <c r="B2512" s="6" t="inlineStr">
        <is>
          <t>JOSE CUERVO ESPECIAL TEQUILA</t>
        </is>
      </c>
      <c r="C2512" s="7">
        <f>VLOOKUP(A2512,SizeData!A$2:B$3839,2,FALSE)</f>
        <v/>
      </c>
      <c r="D2512" s="6" t="n">
        <v>1</v>
      </c>
      <c r="E2512" s="6" t="inlineStr">
        <is>
          <t>R1713113</t>
        </is>
      </c>
      <c r="F2512" s="2" t="n">
        <v>44774</v>
      </c>
      <c r="G2512" s="1" t="n"/>
    </row>
    <row r="2513">
      <c r="A2513" s="6" t="n">
        <v>89194</v>
      </c>
      <c r="B2513" s="6" t="inlineStr">
        <is>
          <t>JOSE CUERVO ESPECIAL TEQUILA</t>
        </is>
      </c>
      <c r="C2513" s="7">
        <f>VLOOKUP(A2513,SizeData!A$2:B$3839,2,FALSE)</f>
        <v/>
      </c>
      <c r="D2513" s="6" t="n">
        <v>2</v>
      </c>
      <c r="E2513" s="6" t="inlineStr">
        <is>
          <t>R1704437</t>
        </is>
      </c>
      <c r="F2513" s="2" t="n">
        <v>44775</v>
      </c>
      <c r="G2513" s="1" t="n"/>
    </row>
    <row r="2514">
      <c r="A2514" s="6" t="n">
        <v>89194</v>
      </c>
      <c r="B2514" s="6" t="inlineStr">
        <is>
          <t>JOSE CUERVO ESPECIAL TEQUILA</t>
        </is>
      </c>
      <c r="C2514" s="7">
        <f>VLOOKUP(A2514,SizeData!A$2:B$3839,2,FALSE)</f>
        <v/>
      </c>
      <c r="D2514" s="6" t="n">
        <v>1</v>
      </c>
      <c r="E2514" s="6" t="inlineStr">
        <is>
          <t>R1719137</t>
        </is>
      </c>
      <c r="F2514" s="2" t="n">
        <v>44781</v>
      </c>
      <c r="G2514" s="1" t="n"/>
    </row>
    <row r="2515">
      <c r="A2515" s="6" t="n">
        <v>89194</v>
      </c>
      <c r="B2515" s="6" t="inlineStr">
        <is>
          <t>JOSE CUERVO ESPECIAL TEQUILA</t>
        </is>
      </c>
      <c r="C2515" s="7">
        <f>VLOOKUP(A2515,SizeData!A$2:B$3839,2,FALSE)</f>
        <v/>
      </c>
      <c r="D2515" s="6" t="n">
        <v>1</v>
      </c>
      <c r="E2515" s="6" t="inlineStr">
        <is>
          <t>R1808552</t>
        </is>
      </c>
      <c r="F2515" s="2" t="n">
        <v>44841</v>
      </c>
      <c r="G2515" s="1" t="n"/>
    </row>
    <row r="2516">
      <c r="A2516" s="26" t="n">
        <v>89194</v>
      </c>
      <c r="B2516" s="26" t="inlineStr">
        <is>
          <t>JOSE CUERVO ESPECIAL TEQUILA</t>
        </is>
      </c>
      <c r="C2516" s="75">
        <f>VLOOKUP(A2516,SizeData!A$2:B$3839,2,FALSE)</f>
        <v/>
      </c>
      <c r="D2516" s="26" t="n">
        <v>6</v>
      </c>
      <c r="E2516" s="26" t="inlineStr">
        <is>
          <t>R1883576</t>
        </is>
      </c>
      <c r="F2516" s="61" t="n">
        <v>44895</v>
      </c>
      <c r="G2516" s="62" t="n"/>
    </row>
    <row r="2517">
      <c r="A2517" s="6" t="n">
        <v>89214</v>
      </c>
      <c r="B2517" s="6" t="inlineStr">
        <is>
          <t>JOSE CUERVO TRADICIONAL REPOSADO</t>
        </is>
      </c>
      <c r="C2517" s="7">
        <f>VLOOKUP(A2517,SizeData!A$2:B$3839,2,FALSE)</f>
        <v/>
      </c>
      <c r="D2517" s="6" t="n">
        <v>1</v>
      </c>
      <c r="E2517" s="6" t="inlineStr">
        <is>
          <t>R1426776</t>
        </is>
      </c>
      <c r="F2517" s="2" t="n">
        <v>44585</v>
      </c>
      <c r="G2517" s="1" t="n"/>
    </row>
    <row r="2518">
      <c r="A2518" s="6" t="n">
        <v>89214</v>
      </c>
      <c r="B2518" s="6" t="inlineStr">
        <is>
          <t>JOSE CUERVO TRADICIONAL REPOSADO</t>
        </is>
      </c>
      <c r="C2518" s="7">
        <f>VLOOKUP(A2518,SizeData!A$2:B$3839,2,FALSE)</f>
        <v/>
      </c>
      <c r="D2518" s="6" t="n">
        <v>1</v>
      </c>
      <c r="E2518" s="6" t="inlineStr">
        <is>
          <t>R1504703</t>
        </is>
      </c>
      <c r="F2518" s="2" t="n">
        <v>44632</v>
      </c>
      <c r="G2518" s="1" t="n"/>
    </row>
    <row r="2519">
      <c r="A2519" s="6" t="n">
        <v>89214</v>
      </c>
      <c r="B2519" s="6" t="inlineStr">
        <is>
          <t>JOSE CUERVO TRADICIONAL REPOSADO</t>
        </is>
      </c>
      <c r="C2519" s="7">
        <f>VLOOKUP(A2519,SizeData!A$2:B$3839,2,FALSE)</f>
        <v/>
      </c>
      <c r="D2519" s="6" t="n">
        <v>1</v>
      </c>
      <c r="E2519" s="6" t="inlineStr">
        <is>
          <t>R1569610</t>
        </is>
      </c>
      <c r="F2519" s="2" t="n">
        <v>44669</v>
      </c>
      <c r="G2519" s="1" t="n"/>
    </row>
    <row r="2520">
      <c r="A2520" s="6" t="n">
        <v>89214</v>
      </c>
      <c r="B2520" s="6" t="inlineStr">
        <is>
          <t>JOSE CUERVO TRADICIONAL REPOSADO</t>
        </is>
      </c>
      <c r="C2520" s="7">
        <f>VLOOKUP(A2520,SizeData!A$2:B$3839,2,FALSE)</f>
        <v/>
      </c>
      <c r="D2520" s="6" t="n">
        <v>2</v>
      </c>
      <c r="E2520" s="6" t="inlineStr">
        <is>
          <t>R1569610</t>
        </is>
      </c>
      <c r="F2520" s="2" t="n">
        <v>44669</v>
      </c>
      <c r="G2520" s="1" t="n"/>
    </row>
    <row r="2521">
      <c r="A2521" s="6" t="n">
        <v>89214</v>
      </c>
      <c r="B2521" s="6" t="inlineStr">
        <is>
          <t>JOSE CUERVO TRADICIONAL REPOSADO</t>
        </is>
      </c>
      <c r="C2521" s="7">
        <f>VLOOKUP(A2521,SizeData!A$2:B$3839,2,FALSE)</f>
        <v/>
      </c>
      <c r="D2521" s="6" t="n">
        <v>2</v>
      </c>
      <c r="E2521" s="6" t="inlineStr">
        <is>
          <t>R1620841</t>
        </is>
      </c>
      <c r="F2521" s="2" t="n">
        <v>44699</v>
      </c>
      <c r="G2521" s="1" t="n"/>
    </row>
    <row r="2522">
      <c r="A2522" s="26" t="n">
        <v>89214</v>
      </c>
      <c r="B2522" s="26" t="inlineStr">
        <is>
          <t>JOSE CUERVO TRADICIONAL REPOSADO</t>
        </is>
      </c>
      <c r="C2522" s="75">
        <f>VLOOKUP(A2522,SizeData!A$2:B$3839,2,FALSE)</f>
        <v/>
      </c>
      <c r="D2522" s="26" t="n">
        <v>1</v>
      </c>
      <c r="E2522" s="26" t="inlineStr">
        <is>
          <t>R1891609</t>
        </is>
      </c>
      <c r="F2522" s="61" t="n">
        <v>44895</v>
      </c>
      <c r="G2522" s="62" t="n"/>
    </row>
    <row r="2523">
      <c r="A2523" s="6" t="n">
        <v>87414</v>
      </c>
      <c r="B2523" s="6" t="inlineStr">
        <is>
          <t>JOSE CUERVO TRADICIONAL SILVER</t>
        </is>
      </c>
      <c r="C2523" s="7">
        <f>VLOOKUP(A2523,SizeData!A$2:B$3839,2,FALSE)</f>
        <v/>
      </c>
      <c r="D2523" s="6" t="n">
        <v>1</v>
      </c>
      <c r="E2523" s="6" t="inlineStr">
        <is>
          <t>R1426776</t>
        </is>
      </c>
      <c r="F2523" s="2" t="n">
        <v>44585</v>
      </c>
      <c r="G2523" s="1" t="n"/>
    </row>
    <row r="2524">
      <c r="A2524" s="6" t="n">
        <v>87414</v>
      </c>
      <c r="B2524" s="6" t="inlineStr">
        <is>
          <t>JOSE CUERVO TRADICIONAL SILVER</t>
        </is>
      </c>
      <c r="C2524" s="7">
        <f>VLOOKUP(A2524,SizeData!A$2:B$3839,2,FALSE)</f>
        <v/>
      </c>
      <c r="D2524" s="6" t="n">
        <v>1</v>
      </c>
      <c r="E2524" s="6" t="inlineStr">
        <is>
          <t>R1504703</t>
        </is>
      </c>
      <c r="F2524" s="2" t="n">
        <v>44632</v>
      </c>
      <c r="G2524" s="1" t="n"/>
    </row>
    <row r="2525">
      <c r="A2525" s="6" t="n">
        <v>87414</v>
      </c>
      <c r="B2525" s="6" t="inlineStr">
        <is>
          <t>JOSE CUERVO TRADICIONAL SILVER</t>
        </is>
      </c>
      <c r="C2525" s="7">
        <f>VLOOKUP(A2525,SizeData!A$2:B$3839,2,FALSE)</f>
        <v/>
      </c>
      <c r="D2525" s="6" t="n">
        <v>1</v>
      </c>
      <c r="E2525" s="6" t="inlineStr">
        <is>
          <t>R1617499</t>
        </is>
      </c>
      <c r="F2525" s="2" t="n">
        <v>44706</v>
      </c>
      <c r="G2525" s="1" t="n"/>
    </row>
    <row r="2526">
      <c r="A2526" s="6" t="n">
        <v>87414</v>
      </c>
      <c r="B2526" s="6" t="inlineStr">
        <is>
          <t>JOSE CUERVO TRADICIONAL SILVER</t>
        </is>
      </c>
      <c r="C2526" s="7">
        <f>VLOOKUP(A2526,SizeData!A$2:B$3839,2,FALSE)</f>
        <v/>
      </c>
      <c r="D2526" s="6" t="n">
        <v>5</v>
      </c>
      <c r="E2526" s="6" t="inlineStr">
        <is>
          <t>R1687000</t>
        </is>
      </c>
      <c r="F2526" s="2" t="n">
        <v>44760</v>
      </c>
      <c r="G2526" s="1" t="n"/>
    </row>
    <row r="2527">
      <c r="A2527" s="6" t="n">
        <v>87401</v>
      </c>
      <c r="B2527" s="6" t="inlineStr">
        <is>
          <t>JOSE CUERVO ESPECIAL SILVER</t>
        </is>
      </c>
      <c r="C2527" s="7">
        <f>VLOOKUP(A2527,SizeData!A$2:B$3839,2,FALSE)</f>
        <v/>
      </c>
      <c r="D2527" s="6" t="n">
        <v>1</v>
      </c>
      <c r="E2527" s="6" t="inlineStr">
        <is>
          <t>R1830533</t>
        </is>
      </c>
      <c r="F2527" s="2" t="n">
        <v>44852</v>
      </c>
      <c r="G2527" s="1" t="n"/>
    </row>
    <row r="2528">
      <c r="A2528" s="6" t="n">
        <v>89191</v>
      </c>
      <c r="B2528" s="6" t="inlineStr">
        <is>
          <t>JOSE CUERVO ESPECIAL TEQUILA</t>
        </is>
      </c>
      <c r="C2528" s="7">
        <f>VLOOKUP(A2528,SizeData!A$2:B$3839,2,FALSE)</f>
        <v/>
      </c>
      <c r="D2528" s="6" t="n">
        <v>1</v>
      </c>
      <c r="E2528" s="6" t="inlineStr">
        <is>
          <t>R1688168</t>
        </is>
      </c>
      <c r="F2528" s="2" t="n">
        <v>44761</v>
      </c>
      <c r="G2528" s="1" t="n"/>
    </row>
    <row r="2529">
      <c r="A2529" s="6" t="n">
        <v>89191</v>
      </c>
      <c r="B2529" s="6" t="inlineStr">
        <is>
          <t>JOSE CUERVO ESPECIAL TEQUILA</t>
        </is>
      </c>
      <c r="C2529" s="7">
        <f>VLOOKUP(A2529,SizeData!A$2:B$3839,2,FALSE)</f>
        <v/>
      </c>
      <c r="D2529" s="6" t="n">
        <v>1</v>
      </c>
      <c r="E2529" s="6" t="inlineStr">
        <is>
          <t>R1856291</t>
        </is>
      </c>
      <c r="F2529" s="2" t="n">
        <v>44874</v>
      </c>
      <c r="G2529" s="1" t="n"/>
    </row>
    <row r="2530">
      <c r="A2530" s="6" t="n">
        <v>87411</v>
      </c>
      <c r="B2530" s="6" t="inlineStr">
        <is>
          <t>JOSE CUERVO TRADICIONAL SILVER</t>
        </is>
      </c>
      <c r="C2530" s="7">
        <f>VLOOKUP(A2530,SizeData!A$2:B$3839,2,FALSE)</f>
        <v/>
      </c>
      <c r="D2530" s="6" t="n">
        <v>2</v>
      </c>
      <c r="E2530" s="6" t="inlineStr">
        <is>
          <t>R1516281</t>
        </is>
      </c>
      <c r="F2530" s="2" t="n">
        <v>44634</v>
      </c>
      <c r="G2530" s="1" t="n"/>
    </row>
    <row r="2531">
      <c r="A2531" s="6" t="n">
        <v>87408</v>
      </c>
      <c r="B2531" s="6" t="inlineStr">
        <is>
          <t>JOSE CUERVO ESPECIAL SILVER</t>
        </is>
      </c>
      <c r="C2531" s="7">
        <f>VLOOKUP(A2531,SizeData!A$2:B$3839,2,FALSE)</f>
        <v/>
      </c>
      <c r="D2531" s="6" t="n">
        <v>2</v>
      </c>
      <c r="E2531" s="6" t="inlineStr">
        <is>
          <t>R1383976</t>
        </is>
      </c>
      <c r="F2531" s="2" t="n">
        <v>44561</v>
      </c>
      <c r="G2531" s="1" t="n"/>
    </row>
    <row r="2532">
      <c r="A2532" s="6" t="n">
        <v>87408</v>
      </c>
      <c r="B2532" s="6" t="inlineStr">
        <is>
          <t>JOSE CUERVO ESPECIAL SILVER</t>
        </is>
      </c>
      <c r="C2532" s="7">
        <f>VLOOKUP(A2532,SizeData!A$2:B$3839,2,FALSE)</f>
        <v/>
      </c>
      <c r="D2532" s="6" t="n">
        <v>4</v>
      </c>
      <c r="E2532" s="6" t="inlineStr">
        <is>
          <t>R1496401</t>
        </is>
      </c>
      <c r="F2532" s="2" t="n">
        <v>44621</v>
      </c>
      <c r="G2532" s="1" t="n"/>
    </row>
    <row r="2533">
      <c r="A2533" s="6" t="n">
        <v>87408</v>
      </c>
      <c r="B2533" s="6" t="inlineStr">
        <is>
          <t>JOSE CUERVO ESPECIAL SILVER</t>
        </is>
      </c>
      <c r="C2533" s="7">
        <f>VLOOKUP(A2533,SizeData!A$2:B$3839,2,FALSE)</f>
        <v/>
      </c>
      <c r="D2533" s="6" t="n">
        <v>7</v>
      </c>
      <c r="E2533" s="6" t="inlineStr">
        <is>
          <t>R1515367</t>
        </is>
      </c>
      <c r="F2533" s="2" t="n">
        <v>44635</v>
      </c>
      <c r="G2533" s="1" t="n"/>
    </row>
    <row r="2534">
      <c r="A2534" s="6" t="n">
        <v>87408</v>
      </c>
      <c r="B2534" s="6" t="inlineStr">
        <is>
          <t>JOSE CUERVO ESPECIAL SILVER</t>
        </is>
      </c>
      <c r="C2534" s="7">
        <f>VLOOKUP(A2534,SizeData!A$2:B$3839,2,FALSE)</f>
        <v/>
      </c>
      <c r="D2534" s="6" t="n">
        <v>1</v>
      </c>
      <c r="E2534" s="6" t="inlineStr">
        <is>
          <t>R1515367</t>
        </is>
      </c>
      <c r="F2534" s="2" t="n">
        <v>44635</v>
      </c>
      <c r="G2534" s="1" t="n"/>
    </row>
    <row r="2535">
      <c r="A2535" s="6" t="n">
        <v>87408</v>
      </c>
      <c r="B2535" s="6" t="inlineStr">
        <is>
          <t>JOSE CUERVO ESPECIAL SILVER</t>
        </is>
      </c>
      <c r="C2535" s="7">
        <f>VLOOKUP(A2535,SizeData!A$2:B$3839,2,FALSE)</f>
        <v/>
      </c>
      <c r="D2535" s="6" t="n">
        <v>20</v>
      </c>
      <c r="E2535" s="6" t="inlineStr">
        <is>
          <t>R1550755</t>
        </is>
      </c>
      <c r="F2535" s="2" t="n">
        <v>44650</v>
      </c>
      <c r="G2535" s="1" t="n"/>
    </row>
    <row r="2536">
      <c r="A2536" s="6" t="n">
        <v>87408</v>
      </c>
      <c r="B2536" s="6" t="inlineStr">
        <is>
          <t>JOSE CUERVO ESPECIAL SILVER</t>
        </is>
      </c>
      <c r="C2536" s="7">
        <f>VLOOKUP(A2536,SizeData!A$2:B$3839,2,FALSE)</f>
        <v/>
      </c>
      <c r="D2536" s="6" t="n">
        <v>3</v>
      </c>
      <c r="E2536" s="6" t="inlineStr">
        <is>
          <t>R1897750</t>
        </is>
      </c>
      <c r="F2536" s="2" t="n">
        <v>44902</v>
      </c>
      <c r="G2536" s="1" t="n"/>
    </row>
    <row r="2537">
      <c r="A2537" s="6" t="n">
        <v>89196</v>
      </c>
      <c r="B2537" s="6" t="inlineStr">
        <is>
          <t>JOSE CUERVO ESPECIAL TEQUILA GOLD</t>
        </is>
      </c>
      <c r="C2537" s="7">
        <f>VLOOKUP(A2537,SizeData!A$2:B$3839,2,FALSE)</f>
        <v/>
      </c>
      <c r="D2537" s="6" t="n">
        <v>3</v>
      </c>
      <c r="E2537" s="6" t="inlineStr">
        <is>
          <t>R1383976</t>
        </is>
      </c>
      <c r="F2537" s="2" t="n">
        <v>44561</v>
      </c>
      <c r="G2537" s="1" t="n"/>
    </row>
    <row r="2538">
      <c r="A2538" s="6" t="n">
        <v>89196</v>
      </c>
      <c r="B2538" s="6" t="inlineStr">
        <is>
          <t>JOSE CUERVO ESPECIAL TEQUILA GOLD</t>
        </is>
      </c>
      <c r="C2538" s="7">
        <f>VLOOKUP(A2538,SizeData!A$2:B$3839,2,FALSE)</f>
        <v/>
      </c>
      <c r="D2538" s="6" t="n">
        <v>4</v>
      </c>
      <c r="E2538" s="6" t="inlineStr">
        <is>
          <t>R1515367</t>
        </is>
      </c>
      <c r="F2538" s="2" t="n">
        <v>44635</v>
      </c>
      <c r="G2538" s="1" t="n"/>
    </row>
    <row r="2539">
      <c r="A2539" s="6" t="n">
        <v>89196</v>
      </c>
      <c r="B2539" s="6" t="inlineStr">
        <is>
          <t>JOSE CUERVO ESPECIAL TEQUILA GOLD</t>
        </is>
      </c>
      <c r="C2539" s="7">
        <f>VLOOKUP(A2539,SizeData!A$2:B$3839,2,FALSE)</f>
        <v/>
      </c>
      <c r="D2539" s="6" t="n">
        <v>14</v>
      </c>
      <c r="E2539" s="6" t="inlineStr">
        <is>
          <t>R1550755</t>
        </is>
      </c>
      <c r="F2539" s="2" t="n">
        <v>44650</v>
      </c>
      <c r="G2539" s="1" t="n"/>
    </row>
    <row r="2540">
      <c r="A2540" s="6" t="n">
        <v>89196</v>
      </c>
      <c r="B2540" s="6" t="inlineStr">
        <is>
          <t>JOSE CUERVO ESPECIAL TEQUILA GOLD</t>
        </is>
      </c>
      <c r="C2540" s="7">
        <f>VLOOKUP(A2540,SizeData!A$2:B$3839,2,FALSE)</f>
        <v/>
      </c>
      <c r="D2540" s="6" t="n">
        <v>2</v>
      </c>
      <c r="E2540" s="6" t="inlineStr">
        <is>
          <t>R1716704</t>
        </is>
      </c>
      <c r="F2540" s="2" t="n">
        <v>44770</v>
      </c>
      <c r="G2540" s="1" t="n"/>
    </row>
    <row r="2541">
      <c r="A2541" s="6" t="n">
        <v>89196</v>
      </c>
      <c r="B2541" s="6" t="inlineStr">
        <is>
          <t>JOSE CUERVO ESPECIAL TEQUILA GOLD</t>
        </is>
      </c>
      <c r="C2541" s="7">
        <f>VLOOKUP(A2541,SizeData!A$2:B$3839,2,FALSE)</f>
        <v/>
      </c>
      <c r="D2541" s="6" t="n">
        <v>6</v>
      </c>
      <c r="E2541" s="6" t="inlineStr">
        <is>
          <t>R1770694</t>
        </is>
      </c>
      <c r="F2541" s="2" t="n">
        <v>44816</v>
      </c>
      <c r="G2541" s="1" t="n"/>
    </row>
    <row r="2542">
      <c r="A2542" s="6" t="n">
        <v>89196</v>
      </c>
      <c r="B2542" s="6" t="inlineStr">
        <is>
          <t>JOSE CUERVO ESPECIAL TEQUILA GOLD</t>
        </is>
      </c>
      <c r="C2542" s="7">
        <f>VLOOKUP(A2542,SizeData!A$2:B$3839,2,FALSE)</f>
        <v/>
      </c>
      <c r="D2542" s="6" t="n">
        <v>2</v>
      </c>
      <c r="E2542" s="6" t="inlineStr">
        <is>
          <t>R1784903</t>
        </is>
      </c>
      <c r="F2542" s="2" t="n">
        <v>44828</v>
      </c>
      <c r="G2542" s="1" t="n"/>
    </row>
    <row r="2543">
      <c r="A2543" s="6" t="n">
        <v>89196</v>
      </c>
      <c r="B2543" s="6" t="inlineStr">
        <is>
          <t>JOSE CUERVO ESPECIAL TEQUILA GOLD</t>
        </is>
      </c>
      <c r="C2543" s="7">
        <f>VLOOKUP(A2543,SizeData!A$2:B$3839,2,FALSE)</f>
        <v/>
      </c>
      <c r="D2543" s="6" t="n">
        <v>4</v>
      </c>
      <c r="E2543" s="6" t="inlineStr">
        <is>
          <t>R1897750</t>
        </is>
      </c>
      <c r="F2543" s="2" t="n">
        <v>44902</v>
      </c>
      <c r="G2543" s="1" t="n"/>
    </row>
    <row r="2544">
      <c r="A2544" s="6" t="n">
        <v>4001</v>
      </c>
      <c r="B2544" s="6" t="inlineStr">
        <is>
          <t>JOSE CUERVO GOLD W/ 1L CLASSIC MARG MIX VAP</t>
        </is>
      </c>
      <c r="C2544" s="7">
        <f>VLOOKUP(A2544,SizeData!A$2:B$3839,2,FALSE)</f>
        <v/>
      </c>
      <c r="D2544" s="6" t="n">
        <v>10</v>
      </c>
      <c r="E2544" s="6" t="inlineStr">
        <is>
          <t>R1851006</t>
        </is>
      </c>
      <c r="F2544" s="2" t="n">
        <v>44861</v>
      </c>
      <c r="G2544" s="1" t="n"/>
    </row>
    <row r="2545">
      <c r="A2545" s="6" t="n">
        <v>88424</v>
      </c>
      <c r="B2545" s="6" t="inlineStr">
        <is>
          <t>JOSE CUERVO TRADICIONAL ANEJO</t>
        </is>
      </c>
      <c r="C2545" s="7">
        <f>VLOOKUP(A2545,SizeData!A$2:B$3839,2,FALSE)</f>
        <v/>
      </c>
      <c r="D2545" s="6" t="n">
        <v>1</v>
      </c>
      <c r="E2545" s="6" t="inlineStr">
        <is>
          <t>R1569610</t>
        </is>
      </c>
      <c r="F2545" s="2" t="n">
        <v>44669</v>
      </c>
      <c r="G2545" s="1" t="n"/>
    </row>
    <row r="2546">
      <c r="A2546" s="26" t="n">
        <v>88424</v>
      </c>
      <c r="B2546" s="26" t="inlineStr">
        <is>
          <t>JOSE CUERVO TRADICIONAL ANEJO</t>
        </is>
      </c>
      <c r="C2546" s="75">
        <f>VLOOKUP(A2546,SizeData!A$2:B$3839,2,FALSE)</f>
        <v/>
      </c>
      <c r="D2546" s="26" t="n">
        <v>1</v>
      </c>
      <c r="E2546" s="26" t="inlineStr">
        <is>
          <t>R1906202</t>
        </is>
      </c>
      <c r="F2546" s="61" t="n">
        <v>44902</v>
      </c>
      <c r="G2546" s="62" t="n"/>
    </row>
    <row r="2547">
      <c r="A2547" s="6" t="n">
        <v>89215</v>
      </c>
      <c r="B2547" s="6" t="inlineStr">
        <is>
          <t>JOSE CUERVO TRADICIONAL REPOSADO TEQ</t>
        </is>
      </c>
      <c r="C2547" s="7">
        <f>VLOOKUP(A2547,SizeData!A$2:B$3839,2,FALSE)</f>
        <v/>
      </c>
      <c r="D2547" s="6" t="n">
        <v>1</v>
      </c>
      <c r="E2547" s="6" t="inlineStr">
        <is>
          <t>R1515367</t>
        </is>
      </c>
      <c r="F2547" s="2" t="n">
        <v>44635</v>
      </c>
      <c r="G2547" s="1" t="n"/>
    </row>
    <row r="2548">
      <c r="A2548" s="6" t="n">
        <v>89215</v>
      </c>
      <c r="B2548" s="6" t="inlineStr">
        <is>
          <t>JOSE CUERVO TRADICIONAL REPOSADO TEQ</t>
        </is>
      </c>
      <c r="C2548" s="7">
        <f>VLOOKUP(A2548,SizeData!A$2:B$3839,2,FALSE)</f>
        <v/>
      </c>
      <c r="D2548" s="6" t="n">
        <v>1</v>
      </c>
      <c r="E2548" s="6" t="inlineStr">
        <is>
          <t>R1740281</t>
        </is>
      </c>
      <c r="F2548" s="2" t="n">
        <v>44788</v>
      </c>
      <c r="G2548" s="1" t="n"/>
    </row>
    <row r="2549">
      <c r="A2549" s="6" t="n">
        <v>87416</v>
      </c>
      <c r="B2549" s="6" t="inlineStr">
        <is>
          <t>JOSE CUERVO TRADICIONAL SILVER TEQ</t>
        </is>
      </c>
      <c r="C2549" s="7">
        <f>VLOOKUP(A2549,SizeData!A$2:B$3839,2,FALSE)</f>
        <v/>
      </c>
      <c r="D2549" s="6" t="n">
        <v>1</v>
      </c>
      <c r="E2549" s="6" t="inlineStr">
        <is>
          <t>R1496401</t>
        </is>
      </c>
      <c r="F2549" s="2" t="n">
        <v>44621</v>
      </c>
      <c r="G2549" s="1" t="n"/>
    </row>
    <row r="2550">
      <c r="A2550" s="6" t="n">
        <v>87416</v>
      </c>
      <c r="B2550" s="6" t="inlineStr">
        <is>
          <t>JOSE CUERVO TRADICIONAL SILVER TEQ</t>
        </is>
      </c>
      <c r="C2550" s="7">
        <f>VLOOKUP(A2550,SizeData!A$2:B$3839,2,FALSE)</f>
        <v/>
      </c>
      <c r="D2550" s="6" t="n">
        <v>1</v>
      </c>
      <c r="E2550" s="6" t="inlineStr">
        <is>
          <t>R1713113</t>
        </is>
      </c>
      <c r="F2550" s="2" t="n">
        <v>44774</v>
      </c>
      <c r="G2550" s="1" t="n"/>
    </row>
    <row r="2551">
      <c r="A2551" s="6" t="n">
        <v>478122</v>
      </c>
      <c r="B2551" s="6" t="inlineStr">
        <is>
          <t>JOSEPH CARR JOSH CELLARS MERLOT SONOMA</t>
        </is>
      </c>
      <c r="C2551" s="7">
        <f>VLOOKUP(A2551,SizeData!A$2:B$3839,2,FALSE)</f>
        <v/>
      </c>
      <c r="D2551" s="6" t="n">
        <v>1</v>
      </c>
      <c r="E2551" s="6" t="inlineStr">
        <is>
          <t>R1725567</t>
        </is>
      </c>
      <c r="F2551" s="2" t="n">
        <v>44779</v>
      </c>
      <c r="G2551" s="1" t="n"/>
    </row>
    <row r="2552">
      <c r="A2552" s="6" t="n">
        <v>478122</v>
      </c>
      <c r="B2552" s="6" t="inlineStr">
        <is>
          <t>JOSEPH CARR JOSH CELLARS MERLOT SONOMA</t>
        </is>
      </c>
      <c r="C2552" s="7">
        <f>VLOOKUP(A2552,SizeData!A$2:B$3839,2,FALSE)</f>
        <v/>
      </c>
      <c r="D2552" s="6" t="n">
        <v>1</v>
      </c>
      <c r="E2552" s="6" t="inlineStr">
        <is>
          <t>R1835862</t>
        </is>
      </c>
      <c r="F2552" s="2" t="n">
        <v>44856</v>
      </c>
      <c r="G2552" s="1" t="n"/>
    </row>
    <row r="2553">
      <c r="A2553" s="6" t="n">
        <v>478120</v>
      </c>
      <c r="B2553" s="6" t="inlineStr">
        <is>
          <t>JOSH CELLARS CABERNET SAUV CALIFORNIA</t>
        </is>
      </c>
      <c r="C2553" s="7">
        <f>VLOOKUP(A2553,SizeData!A$2:B$3839,2,FALSE)</f>
        <v/>
      </c>
      <c r="D2553" s="6" t="n">
        <v>2</v>
      </c>
      <c r="E2553" s="6" t="inlineStr">
        <is>
          <t>R1557641</t>
        </is>
      </c>
      <c r="F2553" s="2" t="n">
        <v>44658</v>
      </c>
      <c r="G2553" s="1" t="n"/>
    </row>
    <row r="2554">
      <c r="A2554" s="6" t="n">
        <v>478120</v>
      </c>
      <c r="B2554" s="6" t="inlineStr">
        <is>
          <t>JOSH CELLARS CABERNET SAUV CALIFORNIA</t>
        </is>
      </c>
      <c r="C2554" s="7">
        <f>VLOOKUP(A2554,SizeData!A$2:B$3839,2,FALSE)</f>
        <v/>
      </c>
      <c r="D2554" s="6" t="n">
        <v>1</v>
      </c>
      <c r="E2554" s="6" t="inlineStr">
        <is>
          <t>R1792137</t>
        </is>
      </c>
      <c r="F2554" s="2" t="n">
        <v>44835</v>
      </c>
      <c r="G2554" s="1" t="n"/>
    </row>
    <row r="2555">
      <c r="A2555" s="6" t="n">
        <v>579770</v>
      </c>
      <c r="B2555" s="6" t="inlineStr">
        <is>
          <t>JOSH CELLARS CHARDONNAY NORTH COAST</t>
        </is>
      </c>
      <c r="C2555" s="7">
        <f>VLOOKUP(A2555,SizeData!A$2:B$3839,2,FALSE)</f>
        <v/>
      </c>
      <c r="D2555" s="6" t="n">
        <v>1</v>
      </c>
      <c r="E2555" s="6" t="inlineStr">
        <is>
          <t>R1566604</t>
        </is>
      </c>
      <c r="F2555" s="2" t="n">
        <v>44660</v>
      </c>
      <c r="G2555" s="1" t="n"/>
    </row>
    <row r="2556">
      <c r="A2556" s="26" t="n">
        <v>579770</v>
      </c>
      <c r="B2556" s="26" t="inlineStr">
        <is>
          <t>JOSH CELLARS CHARDONNAY NORTH COAST</t>
        </is>
      </c>
      <c r="C2556" s="75">
        <f>VLOOKUP(A2556,SizeData!A$2:B$3839,2,FALSE)</f>
        <v/>
      </c>
      <c r="D2556" s="26" t="n">
        <v>1</v>
      </c>
      <c r="E2556" s="26" t="inlineStr">
        <is>
          <t>R1811635</t>
        </is>
      </c>
      <c r="F2556" s="61" t="n">
        <v>44845</v>
      </c>
      <c r="G2556" s="62" t="n"/>
    </row>
    <row r="2557">
      <c r="A2557" s="6" t="n">
        <v>478116</v>
      </c>
      <c r="B2557" s="6" t="inlineStr">
        <is>
          <t>JOSH CELLARS LEGACY RED BLEND</t>
        </is>
      </c>
      <c r="C2557" s="7">
        <f>VLOOKUP(A2557,SizeData!A$2:B$3839,2,FALSE)</f>
        <v/>
      </c>
      <c r="D2557" s="6" t="n">
        <v>1</v>
      </c>
      <c r="E2557" s="6" t="inlineStr">
        <is>
          <t>R1557641</t>
        </is>
      </c>
      <c r="F2557" s="2" t="n">
        <v>44658</v>
      </c>
      <c r="G2557" s="1" t="n"/>
    </row>
    <row r="2558">
      <c r="A2558" s="6" t="n">
        <v>478116</v>
      </c>
      <c r="B2558" s="6" t="inlineStr">
        <is>
          <t>JOSH CELLARS LEGACY RED BLEND</t>
        </is>
      </c>
      <c r="C2558" s="7">
        <f>VLOOKUP(A2558,SizeData!A$2:B$3839,2,FALSE)</f>
        <v/>
      </c>
      <c r="D2558" s="6" t="n">
        <v>1</v>
      </c>
      <c r="E2558" s="6" t="inlineStr">
        <is>
          <t>R1830533</t>
        </is>
      </c>
      <c r="F2558" s="2" t="n">
        <v>44852</v>
      </c>
      <c r="G2558" s="1" t="n"/>
    </row>
    <row r="2559">
      <c r="A2559" s="6" t="n">
        <v>478118</v>
      </c>
      <c r="B2559" s="6" t="inlineStr">
        <is>
          <t>JOSH CELLARS PINOT NOIR CALIFORNIA</t>
        </is>
      </c>
      <c r="C2559" s="7">
        <f>VLOOKUP(A2559,SizeData!A$2:B$3839,2,FALSE)</f>
        <v/>
      </c>
      <c r="D2559" s="6" t="n">
        <v>1</v>
      </c>
      <c r="E2559" s="6" t="inlineStr">
        <is>
          <t>R1728993</t>
        </is>
      </c>
      <c r="F2559" s="2" t="n">
        <v>44790</v>
      </c>
      <c r="G2559" s="1" t="n"/>
    </row>
    <row r="2560">
      <c r="A2560" s="6" t="n">
        <v>728630</v>
      </c>
      <c r="B2560" s="6" t="inlineStr">
        <is>
          <t>JOSH CELLARS PROSECCO</t>
        </is>
      </c>
      <c r="C2560" s="7">
        <f>VLOOKUP(A2560,SizeData!A$2:B$3839,2,FALSE)</f>
        <v/>
      </c>
      <c r="D2560" s="6" t="n">
        <v>1</v>
      </c>
      <c r="E2560" s="6" t="inlineStr">
        <is>
          <t>R1572421</t>
        </is>
      </c>
      <c r="F2560" s="2" t="n">
        <v>44667</v>
      </c>
      <c r="G2560" s="1" t="n"/>
    </row>
    <row r="2561">
      <c r="A2561" s="6" t="n">
        <v>75088</v>
      </c>
      <c r="B2561" s="6" t="inlineStr">
        <is>
          <t>JUAREZ GOLD DSS TEQUILA BASED CORDIAL</t>
        </is>
      </c>
      <c r="C2561" s="7">
        <f>VLOOKUP(A2561,SizeData!A$2:B$3839,2,FALSE)</f>
        <v/>
      </c>
      <c r="D2561" s="6" t="n">
        <v>1</v>
      </c>
      <c r="E2561" s="6" t="inlineStr">
        <is>
          <t>R1516281</t>
        </is>
      </c>
      <c r="F2561" s="2" t="n">
        <v>44634</v>
      </c>
      <c r="G2561" s="1" t="n"/>
    </row>
    <row r="2562">
      <c r="A2562" s="6" t="n">
        <v>86249</v>
      </c>
      <c r="B2562" s="6" t="inlineStr">
        <is>
          <t>JUAREZ TRIPLE SEC</t>
        </is>
      </c>
      <c r="C2562" s="7">
        <f>VLOOKUP(A2562,SizeData!A$2:B$3839,2,FALSE)</f>
        <v/>
      </c>
      <c r="D2562" s="6" t="n">
        <v>1</v>
      </c>
      <c r="E2562" s="6" t="inlineStr">
        <is>
          <t>R1617499</t>
        </is>
      </c>
      <c r="F2562" s="2" t="n">
        <v>44706</v>
      </c>
      <c r="G2562" s="1" t="n"/>
    </row>
    <row r="2563">
      <c r="A2563" s="6" t="n">
        <v>86251</v>
      </c>
      <c r="B2563" s="6" t="inlineStr">
        <is>
          <t>JUAREZ TRIPLE SEC</t>
        </is>
      </c>
      <c r="C2563" s="7">
        <f>VLOOKUP(A2563,SizeData!A$2:B$3839,2,FALSE)</f>
        <v/>
      </c>
      <c r="D2563" s="6" t="n">
        <v>1</v>
      </c>
      <c r="E2563" s="6" t="inlineStr">
        <is>
          <t>R1471889</t>
        </is>
      </c>
      <c r="F2563" s="2" t="n">
        <v>44611</v>
      </c>
      <c r="G2563" s="1" t="n"/>
    </row>
    <row r="2564">
      <c r="A2564" s="6" t="n">
        <v>86251</v>
      </c>
      <c r="B2564" s="6" t="inlineStr">
        <is>
          <t>JUAREZ TRIPLE SEC</t>
        </is>
      </c>
      <c r="C2564" s="7">
        <f>VLOOKUP(A2564,SizeData!A$2:B$3839,2,FALSE)</f>
        <v/>
      </c>
      <c r="D2564" s="6" t="n">
        <v>1</v>
      </c>
      <c r="E2564" s="6" t="inlineStr">
        <is>
          <t>R1567269</t>
        </is>
      </c>
      <c r="F2564" s="2" t="n">
        <v>44667</v>
      </c>
      <c r="G2564" s="1" t="n"/>
    </row>
    <row r="2565">
      <c r="A2565" s="6" t="n">
        <v>86251</v>
      </c>
      <c r="B2565" s="6" t="inlineStr">
        <is>
          <t>JUAREZ TRIPLE SEC</t>
        </is>
      </c>
      <c r="C2565" s="7">
        <f>VLOOKUP(A2565,SizeData!A$2:B$3839,2,FALSE)</f>
        <v/>
      </c>
      <c r="D2565" s="6" t="n">
        <v>1</v>
      </c>
      <c r="E2565" s="6" t="inlineStr">
        <is>
          <t>R1617499</t>
        </is>
      </c>
      <c r="F2565" s="2" t="n">
        <v>44706</v>
      </c>
      <c r="G2565" s="1" t="n"/>
    </row>
    <row r="2566">
      <c r="A2566" s="6" t="n">
        <v>86251</v>
      </c>
      <c r="B2566" s="6" t="inlineStr">
        <is>
          <t>JUAREZ TRIPLE SEC</t>
        </is>
      </c>
      <c r="C2566" s="7">
        <f>VLOOKUP(A2566,SizeData!A$2:B$3839,2,FALSE)</f>
        <v/>
      </c>
      <c r="D2566" s="6" t="n">
        <v>1</v>
      </c>
      <c r="E2566" s="6" t="inlineStr">
        <is>
          <t>R1743714</t>
        </is>
      </c>
      <c r="F2566" s="2" t="n">
        <v>44797</v>
      </c>
      <c r="G2566" s="1" t="n"/>
    </row>
    <row r="2567">
      <c r="A2567" s="6" t="n">
        <v>86251</v>
      </c>
      <c r="B2567" s="6" t="inlineStr">
        <is>
          <t>JUAREZ TRIPLE SEC</t>
        </is>
      </c>
      <c r="C2567" s="7">
        <f>VLOOKUP(A2567,SizeData!A$2:B$3839,2,FALSE)</f>
        <v/>
      </c>
      <c r="D2567" s="6" t="n">
        <v>1</v>
      </c>
      <c r="E2567" s="6" t="inlineStr">
        <is>
          <t>R1840965</t>
        </is>
      </c>
      <c r="F2567" s="2" t="n">
        <v>44863</v>
      </c>
      <c r="G2567" s="1" t="n"/>
    </row>
    <row r="2568">
      <c r="A2568" s="6" t="n">
        <v>86251</v>
      </c>
      <c r="B2568" s="6" t="inlineStr">
        <is>
          <t>JUAREZ TRIPLE SEC</t>
        </is>
      </c>
      <c r="C2568" s="7">
        <f>VLOOKUP(A2568,SizeData!A$2:B$3839,2,FALSE)</f>
        <v/>
      </c>
      <c r="D2568" s="6" t="n">
        <v>1</v>
      </c>
      <c r="E2568" s="6" t="inlineStr">
        <is>
          <t>R1866529</t>
        </is>
      </c>
      <c r="F2568" s="2" t="n">
        <v>44876</v>
      </c>
      <c r="G2568" s="1" t="n"/>
    </row>
    <row r="2569">
      <c r="A2569" s="6" t="n">
        <v>67526</v>
      </c>
      <c r="B2569" s="6" t="inlineStr">
        <is>
          <t>KAHLUA COFFEE</t>
        </is>
      </c>
      <c r="C2569" s="7">
        <f>VLOOKUP(A2569,SizeData!A$2:B$3839,2,FALSE)</f>
        <v/>
      </c>
      <c r="D2569" s="6" t="n">
        <v>1</v>
      </c>
      <c r="E2569" s="6" t="inlineStr">
        <is>
          <t>R1888886</t>
        </is>
      </c>
      <c r="F2569" s="2" t="n">
        <v>44902</v>
      </c>
      <c r="G2569" s="1" t="n"/>
    </row>
    <row r="2570">
      <c r="A2570" s="6" t="n">
        <v>67556</v>
      </c>
      <c r="B2570" s="6" t="inlineStr">
        <is>
          <t>KAMORA COFFEE LIQUEUR</t>
        </is>
      </c>
      <c r="C2570" s="7">
        <f>VLOOKUP(A2570,SizeData!A$2:B$3839,2,FALSE)</f>
        <v/>
      </c>
      <c r="D2570" s="6" t="n">
        <v>1</v>
      </c>
      <c r="E2570" s="6" t="inlineStr">
        <is>
          <t>R1793212</t>
        </is>
      </c>
      <c r="F2570" s="2" t="n">
        <v>44833</v>
      </c>
      <c r="G2570" s="1" t="n"/>
    </row>
    <row r="2571">
      <c r="A2571" s="6" t="n">
        <v>67550</v>
      </c>
      <c r="B2571" s="6" t="inlineStr">
        <is>
          <t>KAMORA COFFEE LIQUEUR (PET)</t>
        </is>
      </c>
      <c r="C2571" s="7">
        <f>VLOOKUP(A2571,SizeData!A$2:B$3839,2,FALSE)</f>
        <v/>
      </c>
      <c r="D2571" s="6" t="n">
        <v>1</v>
      </c>
      <c r="E2571" s="6" t="inlineStr">
        <is>
          <t>R1716704</t>
        </is>
      </c>
      <c r="F2571" s="2" t="n">
        <v>44770</v>
      </c>
      <c r="G2571" s="1" t="n"/>
    </row>
    <row r="2572">
      <c r="A2572" s="6" t="n">
        <v>67550</v>
      </c>
      <c r="B2572" s="6" t="inlineStr">
        <is>
          <t>KAMORA COFFEE LIQUEUR (PET)</t>
        </is>
      </c>
      <c r="C2572" s="7">
        <f>VLOOKUP(A2572,SizeData!A$2:B$3839,2,FALSE)</f>
        <v/>
      </c>
      <c r="D2572" s="6" t="n">
        <v>1</v>
      </c>
      <c r="E2572" s="6" t="inlineStr">
        <is>
          <t>R1718725</t>
        </is>
      </c>
      <c r="F2572" s="2" t="n">
        <v>44777</v>
      </c>
      <c r="G2572" s="1" t="n"/>
    </row>
    <row r="2573">
      <c r="A2573" s="6" t="n">
        <v>67550</v>
      </c>
      <c r="B2573" s="6" t="inlineStr">
        <is>
          <t>KAMORA COFFEE LIQUEUR (PET)</t>
        </is>
      </c>
      <c r="C2573" s="7">
        <f>VLOOKUP(A2573,SizeData!A$2:B$3839,2,FALSE)</f>
        <v/>
      </c>
      <c r="D2573" s="6" t="n">
        <v>1</v>
      </c>
      <c r="E2573" s="6" t="inlineStr">
        <is>
          <t>R1789511</t>
        </is>
      </c>
      <c r="F2573" s="2" t="n">
        <v>44832</v>
      </c>
      <c r="G2573" s="1" t="n"/>
    </row>
    <row r="2574">
      <c r="A2574" s="26" t="n">
        <v>67550</v>
      </c>
      <c r="B2574" s="26" t="inlineStr">
        <is>
          <t>KAMORA COFFEE LIQUEUR (PET)</t>
        </is>
      </c>
      <c r="C2574" s="75">
        <f>VLOOKUP(A2574,SizeData!A$2:B$3839,2,FALSE)</f>
        <v/>
      </c>
      <c r="D2574" s="26" t="n">
        <v>1</v>
      </c>
      <c r="E2574" s="26" t="inlineStr">
        <is>
          <t>R1849692</t>
        </is>
      </c>
      <c r="F2574" s="61" t="n">
        <v>44870</v>
      </c>
      <c r="G2574" s="62" t="n"/>
    </row>
    <row r="2575">
      <c r="A2575" s="6" t="n">
        <v>479345</v>
      </c>
      <c r="B2575" s="6" t="inlineStr">
        <is>
          <t>KENDALL JACKSON VINTNER'S RESERVE MERLOT</t>
        </is>
      </c>
      <c r="C2575" s="7">
        <f>VLOOKUP(A2575,SizeData!A$2:B$3839,2,FALSE)</f>
        <v/>
      </c>
      <c r="D2575" s="6" t="n">
        <v>1</v>
      </c>
      <c r="E2575" s="6" t="inlineStr">
        <is>
          <t>R1767069</t>
        </is>
      </c>
      <c r="F2575" s="2" t="n">
        <v>44814</v>
      </c>
      <c r="G2575" s="1" t="n"/>
    </row>
    <row r="2576">
      <c r="A2576" s="6" t="n">
        <v>479330</v>
      </c>
      <c r="B2576" s="6" t="inlineStr">
        <is>
          <t>KENDALL JKSN GRAND RSV CAB SAUV</t>
        </is>
      </c>
      <c r="C2576" s="7">
        <f>VLOOKUP(A2576,SizeData!A$2:B$3839,2,FALSE)</f>
        <v/>
      </c>
      <c r="D2576" s="6" t="n">
        <v>1</v>
      </c>
      <c r="E2576" s="6" t="inlineStr">
        <is>
          <t>R1393111</t>
        </is>
      </c>
      <c r="F2576" s="2" t="n">
        <v>44559</v>
      </c>
      <c r="G2576" s="1" t="n"/>
    </row>
    <row r="2577">
      <c r="A2577" s="6" t="n">
        <v>580125</v>
      </c>
      <c r="B2577" s="6" t="inlineStr">
        <is>
          <t>KENDALL JKSN GRAND RSV CHARDNY</t>
        </is>
      </c>
      <c r="C2577" s="7">
        <f>VLOOKUP(A2577,SizeData!A$2:B$3839,2,FALSE)</f>
        <v/>
      </c>
      <c r="D2577" s="6" t="n">
        <v>1</v>
      </c>
      <c r="E2577" s="6" t="inlineStr">
        <is>
          <t>R1383976</t>
        </is>
      </c>
      <c r="F2577" s="2" t="n">
        <v>44561</v>
      </c>
      <c r="G2577" s="1" t="n"/>
    </row>
    <row r="2578">
      <c r="A2578" s="6" t="n">
        <v>478430</v>
      </c>
      <c r="B2578" s="6" t="inlineStr">
        <is>
          <t>KENDALL JKSN VINTNERS RSV PINOT NOIR</t>
        </is>
      </c>
      <c r="C2578" s="7">
        <f>VLOOKUP(A2578,SizeData!A$2:B$3839,2,FALSE)</f>
        <v/>
      </c>
      <c r="D2578" s="6" t="n">
        <v>1</v>
      </c>
      <c r="E2578" s="6" t="inlineStr">
        <is>
          <t>R1443217</t>
        </is>
      </c>
      <c r="F2578" s="2" t="n">
        <v>44593</v>
      </c>
      <c r="G2578" s="1" t="n"/>
    </row>
    <row r="2579">
      <c r="A2579" s="6" t="n">
        <v>581495</v>
      </c>
      <c r="B2579" s="6" t="inlineStr">
        <is>
          <t>KENDALL JKSN VINTNERS RSV RIESLING</t>
        </is>
      </c>
      <c r="C2579" s="7">
        <f>VLOOKUP(A2579,SizeData!A$2:B$3839,2,FALSE)</f>
        <v/>
      </c>
      <c r="D2579" s="6" t="n">
        <v>1</v>
      </c>
      <c r="E2579" s="6" t="inlineStr">
        <is>
          <t>R1439543</t>
        </is>
      </c>
      <c r="F2579" s="2" t="n">
        <v>44594</v>
      </c>
      <c r="G2579" s="1" t="n"/>
    </row>
    <row r="2580">
      <c r="A2580" s="6" t="n">
        <v>581565</v>
      </c>
      <c r="B2580" s="6" t="inlineStr">
        <is>
          <t>KENDALL JKSN VINTNERS RSV SAUV BLANC</t>
        </is>
      </c>
      <c r="C2580" s="7">
        <f>VLOOKUP(A2580,SizeData!A$2:B$3839,2,FALSE)</f>
        <v/>
      </c>
      <c r="D2580" s="6" t="n">
        <v>2</v>
      </c>
      <c r="E2580" s="6" t="inlineStr">
        <is>
          <t>R1393111</t>
        </is>
      </c>
      <c r="F2580" s="2" t="n">
        <v>44559</v>
      </c>
      <c r="G2580" s="1" t="n"/>
    </row>
    <row r="2581">
      <c r="A2581" s="6" t="n">
        <v>479300</v>
      </c>
      <c r="B2581" s="6" t="inlineStr">
        <is>
          <t>KENDALL-JACKSON VINTNERS RSV CABERNET SAUVIGNON</t>
        </is>
      </c>
      <c r="C2581" s="7">
        <f>VLOOKUP(A2581,SizeData!A$2:B$3839,2,FALSE)</f>
        <v/>
      </c>
      <c r="D2581" s="6" t="n">
        <v>1</v>
      </c>
      <c r="E2581" s="6" t="inlineStr">
        <is>
          <t>R1767069</t>
        </is>
      </c>
      <c r="F2581" s="2" t="n">
        <v>44814</v>
      </c>
      <c r="G2581" s="1" t="n"/>
    </row>
    <row r="2582">
      <c r="A2582" s="6" t="n">
        <v>581330</v>
      </c>
      <c r="B2582" s="6" t="inlineStr">
        <is>
          <t>KENDALL-JACKSON VINTNERS RSV CHARDONNAY</t>
        </is>
      </c>
      <c r="C2582" s="7">
        <f>VLOOKUP(A2582,SizeData!A$2:B$3839,2,FALSE)</f>
        <v/>
      </c>
      <c r="D2582" s="6" t="n">
        <v>1</v>
      </c>
      <c r="E2582" s="6" t="inlineStr">
        <is>
          <t>R1584253</t>
        </is>
      </c>
      <c r="F2582" s="2" t="n">
        <v>44682</v>
      </c>
      <c r="G2582" s="1" t="n"/>
    </row>
    <row r="2583">
      <c r="A2583" s="6" t="n">
        <v>581330</v>
      </c>
      <c r="B2583" s="6" t="inlineStr">
        <is>
          <t>KENDALL-JACKSON VINTNERS RSV CHARDONNAY</t>
        </is>
      </c>
      <c r="C2583" s="7">
        <f>VLOOKUP(A2583,SizeData!A$2:B$3839,2,FALSE)</f>
        <v/>
      </c>
      <c r="D2583" s="6" t="n">
        <v>2</v>
      </c>
      <c r="E2583" s="6" t="inlineStr">
        <is>
          <t>R1607750</t>
        </is>
      </c>
      <c r="F2583" s="2" t="n">
        <v>44691</v>
      </c>
      <c r="G2583" s="1" t="n"/>
    </row>
    <row r="2584">
      <c r="A2584" s="6" t="n">
        <v>581330</v>
      </c>
      <c r="B2584" s="6" t="inlineStr">
        <is>
          <t>KENDALL-JACKSON VINTNERS RSV CHARDONNAY</t>
        </is>
      </c>
      <c r="C2584" s="7">
        <f>VLOOKUP(A2584,SizeData!A$2:B$3839,2,FALSE)</f>
        <v/>
      </c>
      <c r="D2584" s="6" t="n">
        <v>1</v>
      </c>
      <c r="E2584" s="6" t="inlineStr">
        <is>
          <t>R1768452</t>
        </is>
      </c>
      <c r="F2584" s="2" t="n">
        <v>44818</v>
      </c>
      <c r="G2584" s="1" t="n"/>
    </row>
    <row r="2585">
      <c r="A2585" s="6" t="n">
        <v>581330</v>
      </c>
      <c r="B2585" s="6" t="inlineStr">
        <is>
          <t>KENDALL-JACKSON VINTNERS RSV CHARDONNAY</t>
        </is>
      </c>
      <c r="C2585" s="7">
        <f>VLOOKUP(A2585,SizeData!A$2:B$3839,2,FALSE)</f>
        <v/>
      </c>
      <c r="D2585" s="6" t="n">
        <v>2</v>
      </c>
      <c r="E2585" s="6" t="inlineStr">
        <is>
          <t>R1881344</t>
        </is>
      </c>
      <c r="F2585" s="2" t="n">
        <v>44893</v>
      </c>
      <c r="G2585" s="1" t="n"/>
    </row>
    <row r="2586">
      <c r="A2586" s="6" t="n">
        <v>581495</v>
      </c>
      <c r="B2586" s="6" t="inlineStr">
        <is>
          <t>KENDALL-JACKSON VINTNERS RSV RIESLING</t>
        </is>
      </c>
      <c r="C2586" s="7">
        <f>VLOOKUP(A2586,SizeData!A$2:B$3839,2,FALSE)</f>
        <v/>
      </c>
      <c r="D2586" s="6" t="n">
        <v>1</v>
      </c>
      <c r="E2586" s="6" t="inlineStr">
        <is>
          <t>R1617499</t>
        </is>
      </c>
      <c r="F2586" s="2" t="n">
        <v>44706</v>
      </c>
      <c r="G2586" s="1" t="n"/>
    </row>
    <row r="2587">
      <c r="A2587" s="6" t="n">
        <v>581495</v>
      </c>
      <c r="B2587" s="6" t="inlineStr">
        <is>
          <t>KENDALL-JACKSON VINTNERS RSV RIESLING</t>
        </is>
      </c>
      <c r="C2587" s="7">
        <f>VLOOKUP(A2587,SizeData!A$2:B$3839,2,FALSE)</f>
        <v/>
      </c>
      <c r="D2587" s="6" t="n">
        <v>2</v>
      </c>
      <c r="E2587" s="6" t="inlineStr">
        <is>
          <t>R1781063</t>
        </is>
      </c>
      <c r="F2587" s="2" t="n">
        <v>44823</v>
      </c>
      <c r="G2587" s="1" t="n"/>
    </row>
    <row r="2588">
      <c r="A2588" s="6" t="n">
        <v>581495</v>
      </c>
      <c r="B2588" s="6" t="inlineStr">
        <is>
          <t>KENDALL-JACKSON VINTNERS RSV RIESLING</t>
        </is>
      </c>
      <c r="C2588" s="7">
        <f>VLOOKUP(A2588,SizeData!A$2:B$3839,2,FALSE)</f>
        <v/>
      </c>
      <c r="D2588" s="6" t="n">
        <v>1</v>
      </c>
      <c r="E2588" s="6" t="inlineStr">
        <is>
          <t>R1892470</t>
        </is>
      </c>
      <c r="F2588" s="2" t="n">
        <v>44902</v>
      </c>
      <c r="G2588" s="1" t="n"/>
    </row>
    <row r="2589">
      <c r="A2589" s="6" t="n">
        <v>581565</v>
      </c>
      <c r="B2589" s="6" t="inlineStr">
        <is>
          <t>KENDALL-JACKSON VINTNERS RSV SAUVIGNON BLANC</t>
        </is>
      </c>
      <c r="C2589" s="7">
        <f>VLOOKUP(A2589,SizeData!A$2:B$3839,2,FALSE)</f>
        <v/>
      </c>
      <c r="D2589" s="6" t="n">
        <v>1</v>
      </c>
      <c r="E2589" s="6" t="inlineStr">
        <is>
          <t>R1793212</t>
        </is>
      </c>
      <c r="F2589" s="2" t="n">
        <v>44833</v>
      </c>
      <c r="G2589" s="1" t="n"/>
    </row>
    <row r="2590">
      <c r="A2590" s="6" t="n">
        <v>75165</v>
      </c>
      <c r="B2590" s="6" t="inlineStr">
        <is>
          <t>KETEL ONE BOTANICAL CUCUMBER &amp; MINT</t>
        </is>
      </c>
      <c r="C2590" s="7">
        <f>VLOOKUP(A2590,SizeData!A$2:B$3839,2,FALSE)</f>
        <v/>
      </c>
      <c r="D2590" s="6" t="n">
        <v>1</v>
      </c>
      <c r="E2590" s="6" t="inlineStr">
        <is>
          <t>R1865535</t>
        </is>
      </c>
      <c r="F2590" s="2" t="n">
        <v>44879</v>
      </c>
      <c r="G2590" s="1" t="n"/>
    </row>
    <row r="2591">
      <c r="A2591" s="6" t="n">
        <v>75181</v>
      </c>
      <c r="B2591" s="6" t="inlineStr">
        <is>
          <t>KETEL ONE BOTANICAL GRAPEFRUIT &amp; ROSE</t>
        </is>
      </c>
      <c r="C2591" s="7">
        <f>VLOOKUP(A2591,SizeData!A$2:B$3839,2,FALSE)</f>
        <v/>
      </c>
      <c r="D2591" s="6" t="n">
        <v>1</v>
      </c>
      <c r="E2591" s="6" t="inlineStr">
        <is>
          <t>R1711866</t>
        </is>
      </c>
      <c r="F2591" s="2" t="n">
        <v>44772</v>
      </c>
      <c r="G2591" s="1" t="n"/>
    </row>
    <row r="2592">
      <c r="A2592" s="6" t="n">
        <v>34454</v>
      </c>
      <c r="B2592" s="6" t="inlineStr">
        <is>
          <t>KETEL ONE DUTCH VODKA</t>
        </is>
      </c>
      <c r="C2592" s="7">
        <f>VLOOKUP(A2592,SizeData!A$2:B$3839,2,FALSE)</f>
        <v/>
      </c>
      <c r="D2592" s="6" t="n">
        <v>3</v>
      </c>
      <c r="E2592" s="6" t="inlineStr">
        <is>
          <t>R1532042</t>
        </is>
      </c>
      <c r="F2592" s="2" t="n">
        <v>44644</v>
      </c>
      <c r="G2592" s="1" t="n"/>
    </row>
    <row r="2593">
      <c r="A2593" s="6" t="n">
        <v>34454</v>
      </c>
      <c r="B2593" s="6" t="inlineStr">
        <is>
          <t>KETEL ONE DUTCH VODKA</t>
        </is>
      </c>
      <c r="C2593" s="7">
        <f>VLOOKUP(A2593,SizeData!A$2:B$3839,2,FALSE)</f>
        <v/>
      </c>
      <c r="D2593" s="6" t="n">
        <v>2</v>
      </c>
      <c r="E2593" s="6" t="inlineStr">
        <is>
          <t>R1759269</t>
        </is>
      </c>
      <c r="F2593" s="2" t="n">
        <v>44811</v>
      </c>
      <c r="G2593" s="1" t="n"/>
    </row>
    <row r="2594">
      <c r="A2594" s="6" t="n">
        <v>34456</v>
      </c>
      <c r="B2594" s="6" t="inlineStr">
        <is>
          <t>KETEL ONE DUTCH VODKA</t>
        </is>
      </c>
      <c r="C2594" s="7">
        <f>VLOOKUP(A2594,SizeData!A$2:B$3839,2,FALSE)</f>
        <v/>
      </c>
      <c r="D2594" s="6" t="n">
        <v>10</v>
      </c>
      <c r="E2594" s="6" t="inlineStr">
        <is>
          <t>R1616397</t>
        </is>
      </c>
      <c r="F2594" s="2" t="n">
        <v>44700</v>
      </c>
      <c r="G2594" s="1" t="n"/>
    </row>
    <row r="2595">
      <c r="A2595" s="6" t="n">
        <v>34456</v>
      </c>
      <c r="B2595" s="6" t="inlineStr">
        <is>
          <t>KETEL ONE DUTCH VODKA</t>
        </is>
      </c>
      <c r="C2595" s="7">
        <f>VLOOKUP(A2595,SizeData!A$2:B$3839,2,FALSE)</f>
        <v/>
      </c>
      <c r="D2595" s="6" t="n">
        <v>7</v>
      </c>
      <c r="E2595" s="6" t="inlineStr">
        <is>
          <t>R1862344</t>
        </is>
      </c>
      <c r="F2595" s="2" t="n">
        <v>44884</v>
      </c>
      <c r="G2595" s="1" t="n"/>
    </row>
    <row r="2596">
      <c r="A2596" s="6" t="n">
        <v>34458</v>
      </c>
      <c r="B2596" s="6" t="inlineStr">
        <is>
          <t>KETEL ONE DUTCH VODKA</t>
        </is>
      </c>
      <c r="C2596" s="7">
        <f>VLOOKUP(A2596,SizeData!A$2:B$3839,2,FALSE)</f>
        <v/>
      </c>
      <c r="D2596" s="6" t="n">
        <v>5</v>
      </c>
      <c r="E2596" s="6" t="inlineStr">
        <is>
          <t>R1532042</t>
        </is>
      </c>
      <c r="F2596" s="2" t="n">
        <v>44644</v>
      </c>
      <c r="G2596" s="1" t="n"/>
    </row>
    <row r="2597">
      <c r="A2597" s="6" t="n">
        <v>34458</v>
      </c>
      <c r="B2597" s="6" t="inlineStr">
        <is>
          <t>KETEL ONE DUTCH VODKA</t>
        </is>
      </c>
      <c r="C2597" s="7">
        <f>VLOOKUP(A2597,SizeData!A$2:B$3839,2,FALSE)</f>
        <v/>
      </c>
      <c r="D2597" s="6" t="n">
        <v>5</v>
      </c>
      <c r="E2597" s="6" t="inlineStr">
        <is>
          <t>R1639026</t>
        </is>
      </c>
      <c r="F2597" s="2" t="n">
        <v>44720</v>
      </c>
      <c r="G2597" s="1" t="n"/>
    </row>
    <row r="2598">
      <c r="A2598" s="6" t="n">
        <v>34458</v>
      </c>
      <c r="B2598" s="6" t="inlineStr">
        <is>
          <t>KETEL ONE DUTCH VODKA</t>
        </is>
      </c>
      <c r="C2598" s="7">
        <f>VLOOKUP(A2598,SizeData!A$2:B$3839,2,FALSE)</f>
        <v/>
      </c>
      <c r="D2598" s="6" t="n">
        <v>1</v>
      </c>
      <c r="E2598" s="6" t="inlineStr">
        <is>
          <t>R1860108</t>
        </is>
      </c>
      <c r="F2598" s="2" t="n">
        <v>44868</v>
      </c>
      <c r="G2598" s="1" t="n"/>
    </row>
    <row r="2599">
      <c r="A2599" s="6" t="n">
        <v>75183</v>
      </c>
      <c r="B2599" s="6" t="inlineStr">
        <is>
          <t>KETEL ONE PEACH &amp; ORANGE BLOSSOM</t>
        </is>
      </c>
      <c r="C2599" s="7">
        <f>VLOOKUP(A2599,SizeData!A$2:B$3839,2,FALSE)</f>
        <v/>
      </c>
      <c r="D2599" s="6" t="n">
        <v>1</v>
      </c>
      <c r="E2599" s="6" t="inlineStr">
        <is>
          <t>R1723520</t>
        </is>
      </c>
      <c r="F2599" s="2" t="n">
        <v>44782</v>
      </c>
      <c r="G2599" s="1" t="n"/>
    </row>
    <row r="2600">
      <c r="A2600" s="6" t="n">
        <v>34458</v>
      </c>
      <c r="B2600" s="6" t="inlineStr">
        <is>
          <t>KETEL ONE VODKA</t>
        </is>
      </c>
      <c r="C2600" s="7">
        <f>VLOOKUP(A2600,SizeData!A$2:B$3839,2,FALSE)</f>
        <v/>
      </c>
      <c r="D2600" s="6" t="n">
        <v>3</v>
      </c>
      <c r="E2600" s="6" t="inlineStr">
        <is>
          <t>R1388669</t>
        </is>
      </c>
      <c r="F2600" s="2" t="n">
        <v>44560</v>
      </c>
      <c r="G2600" s="1" t="n"/>
    </row>
    <row r="2601">
      <c r="A2601" s="6" t="n">
        <v>19224</v>
      </c>
      <c r="B2601" s="6" t="inlineStr">
        <is>
          <t>KNOB CREEK STRAIGHT BOURBON WHISKEY</t>
        </is>
      </c>
      <c r="C2601" s="7">
        <f>VLOOKUP(A2601,SizeData!A$2:B$3839,2,FALSE)</f>
        <v/>
      </c>
      <c r="D2601" s="6" t="n">
        <v>1</v>
      </c>
      <c r="E2601" s="6" t="inlineStr">
        <is>
          <t>R1465137</t>
        </is>
      </c>
      <c r="F2601" s="2" t="n">
        <v>44589</v>
      </c>
      <c r="G2601" s="1" t="n"/>
    </row>
    <row r="2602">
      <c r="A2602" s="6" t="n">
        <v>19224</v>
      </c>
      <c r="B2602" s="6" t="inlineStr">
        <is>
          <t>KNOB CREEK STRAIGHT BOURBON WHISKEY</t>
        </is>
      </c>
      <c r="C2602" s="7">
        <f>VLOOKUP(A2602,SizeData!A$2:B$3839,2,FALSE)</f>
        <v/>
      </c>
      <c r="D2602" s="6" t="n">
        <v>2</v>
      </c>
      <c r="E2602" s="6" t="inlineStr">
        <is>
          <t>R1567357</t>
        </is>
      </c>
      <c r="F2602" s="2" t="n">
        <v>44665</v>
      </c>
      <c r="G2602" s="1" t="n"/>
    </row>
    <row r="2603">
      <c r="A2603" s="6" t="n">
        <v>19226</v>
      </c>
      <c r="B2603" s="6" t="inlineStr">
        <is>
          <t>KNOB CREEK STRAIGHT BOURBON WHISKEY</t>
        </is>
      </c>
      <c r="C2603" s="7">
        <f>VLOOKUP(A2603,SizeData!A$2:B$3839,2,FALSE)</f>
        <v/>
      </c>
      <c r="D2603" s="6" t="n">
        <v>5</v>
      </c>
      <c r="E2603" s="6" t="inlineStr">
        <is>
          <t>R1464356</t>
        </is>
      </c>
      <c r="F2603" s="2" t="n">
        <v>44609</v>
      </c>
      <c r="G2603" s="1" t="n"/>
    </row>
    <row r="2604">
      <c r="A2604" s="6" t="n">
        <v>19226</v>
      </c>
      <c r="B2604" s="6" t="inlineStr">
        <is>
          <t>KNOB CREEK STRAIGHT BOURBON WHISKEY</t>
        </is>
      </c>
      <c r="C2604" s="7">
        <f>VLOOKUP(A2604,SizeData!A$2:B$3839,2,FALSE)</f>
        <v/>
      </c>
      <c r="D2604" s="6" t="n">
        <v>4</v>
      </c>
      <c r="E2604" s="6" t="inlineStr">
        <is>
          <t>R1472811</t>
        </is>
      </c>
      <c r="F2604" s="2" t="n">
        <v>44609</v>
      </c>
      <c r="G2604" s="1" t="n"/>
    </row>
    <row r="2605">
      <c r="A2605" s="6" t="n">
        <v>447</v>
      </c>
      <c r="B2605" s="6" t="inlineStr">
        <is>
          <t>KNOB CREEK STRAIGHT BOURBON WHISKEY W/GLASSES</t>
        </is>
      </c>
      <c r="C2605" s="7">
        <f>VLOOKUP(A2605,SizeData!A$2:B$3839,2,FALSE)</f>
        <v/>
      </c>
      <c r="D2605" s="6" t="n">
        <v>3</v>
      </c>
      <c r="E2605" s="6" t="inlineStr">
        <is>
          <t>R1379232</t>
        </is>
      </c>
      <c r="F2605" s="2" t="n">
        <v>44557</v>
      </c>
      <c r="G2605" s="1" t="n"/>
    </row>
    <row r="2606">
      <c r="A2606" s="6" t="n">
        <v>52806</v>
      </c>
      <c r="B2606" s="6" t="inlineStr">
        <is>
          <t>KORBEL BRANDY</t>
        </is>
      </c>
      <c r="C2606" s="7">
        <f>VLOOKUP(A2606,SizeData!A$2:B$3839,2,FALSE)</f>
        <v/>
      </c>
      <c r="D2606" s="6" t="n">
        <v>1</v>
      </c>
      <c r="E2606" s="6" t="inlineStr">
        <is>
          <t>R1470632</t>
        </is>
      </c>
      <c r="F2606" s="2" t="n">
        <v>44605</v>
      </c>
      <c r="G2606" s="1" t="n"/>
    </row>
    <row r="2607">
      <c r="A2607" s="6" t="n">
        <v>52806</v>
      </c>
      <c r="B2607" s="6" t="inlineStr">
        <is>
          <t>KORBEL BRANDY</t>
        </is>
      </c>
      <c r="C2607" s="7">
        <f>VLOOKUP(A2607,SizeData!A$2:B$3839,2,FALSE)</f>
        <v/>
      </c>
      <c r="D2607" s="6" t="n">
        <v>5</v>
      </c>
      <c r="E2607" s="6" t="inlineStr">
        <is>
          <t>R1496401</t>
        </is>
      </c>
      <c r="F2607" s="2" t="n">
        <v>44621</v>
      </c>
      <c r="G2607" s="1" t="n"/>
    </row>
    <row r="2608">
      <c r="A2608" s="6" t="n">
        <v>52806</v>
      </c>
      <c r="B2608" s="6" t="inlineStr">
        <is>
          <t>KORBEL BRANDY</t>
        </is>
      </c>
      <c r="C2608" s="7">
        <f>VLOOKUP(A2608,SizeData!A$2:B$3839,2,FALSE)</f>
        <v/>
      </c>
      <c r="D2608" s="6" t="n">
        <v>2</v>
      </c>
      <c r="E2608" s="6" t="inlineStr">
        <is>
          <t>R1504703</t>
        </is>
      </c>
      <c r="F2608" s="2" t="n">
        <v>44632</v>
      </c>
      <c r="G2608" s="1" t="n"/>
    </row>
    <row r="2609">
      <c r="A2609" s="26" t="n">
        <v>751419</v>
      </c>
      <c r="B2609" s="26" t="inlineStr">
        <is>
          <t>KORBEL BRUT CHAMPAGNE</t>
        </is>
      </c>
      <c r="C2609" s="7">
        <f>VLOOKUP(A2609,SizeData!A$2:B$3839,2,FALSE)</f>
        <v/>
      </c>
      <c r="D2609" s="26" t="n">
        <v>1</v>
      </c>
      <c r="E2609" s="26" t="inlineStr">
        <is>
          <t>R1762660</t>
        </is>
      </c>
      <c r="F2609" s="61" t="n">
        <v>44817</v>
      </c>
      <c r="G2609" s="62" t="n"/>
    </row>
    <row r="2610">
      <c r="A2610" s="6" t="n">
        <v>751419</v>
      </c>
      <c r="B2610" s="6" t="inlineStr">
        <is>
          <t>KORBEL BRUT CHAMPAGNE</t>
        </is>
      </c>
      <c r="C2610" s="7">
        <f>VLOOKUP(A2610,SizeData!A$2:B$3839,2,FALSE)</f>
        <v/>
      </c>
      <c r="D2610" s="6" t="n">
        <v>1</v>
      </c>
      <c r="E2610" s="6" t="inlineStr">
        <is>
          <t>R1852440</t>
        </is>
      </c>
      <c r="F2610" s="2" t="n">
        <v>44867</v>
      </c>
      <c r="G2610" s="1" t="n"/>
    </row>
    <row r="2611">
      <c r="A2611" s="6" t="n">
        <v>751940</v>
      </c>
      <c r="B2611" s="6" t="inlineStr">
        <is>
          <t>KORBEL SWEET CUVEE CHAMPAGNE</t>
        </is>
      </c>
      <c r="C2611" s="7">
        <f>VLOOKUP(A2611,SizeData!A$2:B$3839,2,FALSE)</f>
        <v/>
      </c>
      <c r="D2611" s="6" t="n">
        <v>1</v>
      </c>
      <c r="E2611" s="6" t="inlineStr">
        <is>
          <t>R1900430</t>
        </is>
      </c>
      <c r="F2611" s="2" t="n">
        <v>44896</v>
      </c>
      <c r="G2611" s="1" t="n"/>
    </row>
    <row r="2612">
      <c r="A2612" s="6" t="n">
        <v>46504</v>
      </c>
      <c r="B2612" s="6" t="inlineStr">
        <is>
          <t>KRAKEN BLACK SPICED RUM 94 PROOF</t>
        </is>
      </c>
      <c r="C2612" s="7">
        <f>VLOOKUP(A2612,SizeData!A$2:B$3839,2,FALSE)</f>
        <v/>
      </c>
      <c r="D2612" s="6" t="n">
        <v>1</v>
      </c>
      <c r="E2612" s="6" t="inlineStr">
        <is>
          <t>R1529670</t>
        </is>
      </c>
      <c r="F2612" s="2" t="n">
        <v>44652</v>
      </c>
      <c r="G2612" s="1" t="n"/>
    </row>
    <row r="2613">
      <c r="A2613" s="6" t="n">
        <v>582138</v>
      </c>
      <c r="B2613" s="6" t="inlineStr">
        <is>
          <t>KUNDE CHARDONNAY SONOMA CO</t>
        </is>
      </c>
      <c r="C2613" s="7">
        <f>VLOOKUP(A2613,SizeData!A$2:B$3839,2,FALSE)</f>
        <v/>
      </c>
      <c r="D2613" s="6" t="n">
        <v>1</v>
      </c>
      <c r="E2613" s="6" t="inlineStr">
        <is>
          <t>R1566604</t>
        </is>
      </c>
      <c r="F2613" s="2" t="n">
        <v>44660</v>
      </c>
      <c r="G2613" s="1" t="n"/>
    </row>
    <row r="2614">
      <c r="A2614" s="6" t="n">
        <v>582138</v>
      </c>
      <c r="B2614" s="6" t="inlineStr">
        <is>
          <t>KUNDE CHARDONNAY SONOMA CO</t>
        </is>
      </c>
      <c r="C2614" s="7">
        <f>VLOOKUP(A2614,SizeData!A$2:B$3839,2,FALSE)</f>
        <v/>
      </c>
      <c r="D2614" s="6" t="n">
        <v>2</v>
      </c>
      <c r="E2614" s="6" t="inlineStr">
        <is>
          <t>R1865535</t>
        </is>
      </c>
      <c r="F2614" s="2" t="n">
        <v>44879</v>
      </c>
      <c r="G2614" s="1" t="n"/>
    </row>
    <row r="2615">
      <c r="A2615" s="6" t="n">
        <v>479670</v>
      </c>
      <c r="B2615" s="6" t="inlineStr">
        <is>
          <t>LA CREMA PINOT NOIR MONTEREY</t>
        </is>
      </c>
      <c r="C2615" s="7">
        <f>VLOOKUP(A2615,SizeData!A$2:B$3839,2,FALSE)</f>
        <v/>
      </c>
      <c r="D2615" s="6" t="n">
        <v>1</v>
      </c>
      <c r="E2615" s="6" t="inlineStr">
        <is>
          <t>R1792137</t>
        </is>
      </c>
      <c r="F2615" s="2" t="n">
        <v>44835</v>
      </c>
      <c r="G2615" s="1" t="n"/>
    </row>
    <row r="2616">
      <c r="A2616" s="6" t="n">
        <v>479690</v>
      </c>
      <c r="B2616" s="6" t="inlineStr">
        <is>
          <t>LA CREMA PINOT NOIR SONOMA COAST</t>
        </is>
      </c>
      <c r="C2616" s="7">
        <f>VLOOKUP(A2616,SizeData!A$2:B$3839,2,FALSE)</f>
        <v/>
      </c>
      <c r="D2616" s="6" t="n">
        <v>2</v>
      </c>
      <c r="E2616" s="6" t="inlineStr">
        <is>
          <t>R1550755</t>
        </is>
      </c>
      <c r="F2616" s="2" t="n">
        <v>44650</v>
      </c>
      <c r="G2616" s="1" t="n"/>
    </row>
    <row r="2617">
      <c r="A2617" s="6" t="n">
        <v>728799</v>
      </c>
      <c r="B2617" s="6" t="inlineStr">
        <is>
          <t>LA MARCA PROSECCO ROSE</t>
        </is>
      </c>
      <c r="C2617" s="7">
        <f>VLOOKUP(A2617,SizeData!A$2:B$3839,2,FALSE)</f>
        <v/>
      </c>
      <c r="D2617" s="6" t="n">
        <v>1</v>
      </c>
      <c r="E2617" s="6" t="inlineStr">
        <is>
          <t>R1811635</t>
        </is>
      </c>
      <c r="F2617" s="2" t="n">
        <v>44845</v>
      </c>
      <c r="G2617" s="1" t="n"/>
    </row>
    <row r="2618">
      <c r="A2618" s="6" t="n">
        <v>728795</v>
      </c>
      <c r="B2618" s="6" t="inlineStr">
        <is>
          <t>LA MARCA PROSECCO SPARKLING WINE</t>
        </is>
      </c>
      <c r="C2618" s="7">
        <f>VLOOKUP(A2618,SizeData!A$2:B$3839,2,FALSE)</f>
        <v/>
      </c>
      <c r="D2618" s="6" t="n">
        <v>4</v>
      </c>
      <c r="E2618" s="6" t="inlineStr">
        <is>
          <t>R1443217</t>
        </is>
      </c>
      <c r="F2618" s="2" t="n">
        <v>44593</v>
      </c>
      <c r="G2618" s="1" t="n"/>
    </row>
    <row r="2619">
      <c r="A2619" s="6" t="n">
        <v>728795</v>
      </c>
      <c r="B2619" s="6" t="inlineStr">
        <is>
          <t>LA MARCA PROSECCO SPARKLING WINE</t>
        </is>
      </c>
      <c r="C2619" s="7">
        <f>VLOOKUP(A2619,SizeData!A$2:B$3839,2,FALSE)</f>
        <v/>
      </c>
      <c r="D2619" s="6" t="n">
        <v>10</v>
      </c>
      <c r="E2619" s="6" t="inlineStr">
        <is>
          <t>R1450596</t>
        </is>
      </c>
      <c r="F2619" s="2" t="n">
        <v>44597</v>
      </c>
      <c r="G2619" s="1" t="n"/>
    </row>
    <row r="2620">
      <c r="A2620" s="6" t="n">
        <v>728795</v>
      </c>
      <c r="B2620" s="6" t="inlineStr">
        <is>
          <t>LA MARCA PROSECCO SPARKLING WINE</t>
        </is>
      </c>
      <c r="C2620" s="7">
        <f>VLOOKUP(A2620,SizeData!A$2:B$3839,2,FALSE)</f>
        <v/>
      </c>
      <c r="D2620" s="6" t="n">
        <v>3</v>
      </c>
      <c r="E2620" s="6" t="inlineStr">
        <is>
          <t>R1469430</t>
        </is>
      </c>
      <c r="F2620" s="2" t="n">
        <v>44610</v>
      </c>
      <c r="G2620" s="1" t="n"/>
    </row>
    <row r="2621">
      <c r="A2621" s="6" t="n">
        <v>728795</v>
      </c>
      <c r="B2621" s="6" t="inlineStr">
        <is>
          <t>LA MARCA PROSECCO SPARKLING WINE</t>
        </is>
      </c>
      <c r="C2621" s="7">
        <f>VLOOKUP(A2621,SizeData!A$2:B$3839,2,FALSE)</f>
        <v/>
      </c>
      <c r="D2621" s="6" t="n">
        <v>16</v>
      </c>
      <c r="E2621" s="6" t="inlineStr">
        <is>
          <t>R1546066</t>
        </is>
      </c>
      <c r="F2621" s="2" t="n">
        <v>44652</v>
      </c>
      <c r="G2621" s="1" t="n"/>
    </row>
    <row r="2622">
      <c r="A2622" s="6" t="n">
        <v>728795</v>
      </c>
      <c r="B2622" s="6" t="inlineStr">
        <is>
          <t>LA MARCA PROSECCO SPARKLING WINE</t>
        </is>
      </c>
      <c r="C2622" s="7">
        <f>VLOOKUP(A2622,SizeData!A$2:B$3839,2,FALSE)</f>
        <v/>
      </c>
      <c r="D2622" s="6" t="n">
        <v>3</v>
      </c>
      <c r="E2622" s="6" t="inlineStr">
        <is>
          <t>R1572421</t>
        </is>
      </c>
      <c r="F2622" s="2" t="n">
        <v>44667</v>
      </c>
      <c r="G2622" s="1" t="n"/>
    </row>
    <row r="2623">
      <c r="A2623" s="6" t="n">
        <v>728795</v>
      </c>
      <c r="B2623" s="6" t="inlineStr">
        <is>
          <t>LA MARCA PROSECCO SPARKLING WINE</t>
        </is>
      </c>
      <c r="C2623" s="7">
        <f>VLOOKUP(A2623,SizeData!A$2:B$3839,2,FALSE)</f>
        <v/>
      </c>
      <c r="D2623" s="6" t="n">
        <v>5</v>
      </c>
      <c r="E2623" s="6" t="inlineStr">
        <is>
          <t>R1583381</t>
        </is>
      </c>
      <c r="F2623" s="2" t="n">
        <v>44679</v>
      </c>
      <c r="G2623" s="1" t="n"/>
    </row>
    <row r="2624">
      <c r="A2624" s="6" t="n">
        <v>18856</v>
      </c>
      <c r="B2624" s="6" t="inlineStr">
        <is>
          <t>LARCENY KENTUCKY STRAIGHT BOURBON WHISKEY</t>
        </is>
      </c>
      <c r="C2624" s="7">
        <f>VLOOKUP(A2624,SizeData!A$2:B$3839,2,FALSE)</f>
        <v/>
      </c>
      <c r="D2624" s="6" t="n">
        <v>1</v>
      </c>
      <c r="E2624" s="6" t="inlineStr">
        <is>
          <t>R1629823</t>
        </is>
      </c>
      <c r="F2624" s="2" t="n">
        <v>44713</v>
      </c>
      <c r="G2624" s="1" t="n"/>
    </row>
    <row r="2625">
      <c r="A2625" s="6" t="n">
        <v>480305</v>
      </c>
      <c r="B2625" s="6" t="inlineStr">
        <is>
          <t>LIBERTY CREEK CALIFORNIA CABERNET SAUVIGNON</t>
        </is>
      </c>
      <c r="C2625" s="7">
        <f>VLOOKUP(A2625,SizeData!A$2:B$3839,2,FALSE)</f>
        <v/>
      </c>
      <c r="D2625" s="6" t="n">
        <v>1</v>
      </c>
      <c r="E2625" s="6" t="inlineStr">
        <is>
          <t>R1439543</t>
        </is>
      </c>
      <c r="F2625" s="2" t="n">
        <v>44594</v>
      </c>
      <c r="G2625" s="1" t="n"/>
    </row>
    <row r="2626">
      <c r="A2626" s="6" t="n">
        <v>480305</v>
      </c>
      <c r="B2626" s="6" t="inlineStr">
        <is>
          <t>LIBERTY CREEK CALIFORNIA CABERNET SAUVIGNON</t>
        </is>
      </c>
      <c r="C2626" s="7">
        <f>VLOOKUP(A2626,SizeData!A$2:B$3839,2,FALSE)</f>
        <v/>
      </c>
      <c r="D2626" s="6" t="n">
        <v>1</v>
      </c>
      <c r="E2626" s="6" t="inlineStr">
        <is>
          <t>R1762606</t>
        </is>
      </c>
      <c r="F2626" s="2" t="n">
        <v>44809</v>
      </c>
      <c r="G2626" s="1" t="n"/>
    </row>
    <row r="2627">
      <c r="A2627" s="6" t="n">
        <v>480305</v>
      </c>
      <c r="B2627" s="6" t="inlineStr">
        <is>
          <t>LIBERTY CREEK CALIFORNIA CABERNET SAUVIGNON</t>
        </is>
      </c>
      <c r="C2627" s="7">
        <f>VLOOKUP(A2627,SizeData!A$2:B$3839,2,FALSE)</f>
        <v/>
      </c>
      <c r="D2627" s="6" t="n">
        <v>1</v>
      </c>
      <c r="E2627" s="6" t="inlineStr">
        <is>
          <t>R1894827</t>
        </is>
      </c>
      <c r="F2627" s="2" t="n">
        <v>44902</v>
      </c>
      <c r="G2627" s="1" t="n"/>
    </row>
    <row r="2628">
      <c r="A2628" s="6" t="n">
        <v>583802</v>
      </c>
      <c r="B2628" s="6" t="inlineStr">
        <is>
          <t>LIBERTY CREEK CALIFORNIA MOSCATO</t>
        </is>
      </c>
      <c r="C2628" s="7">
        <f>VLOOKUP(A2628,SizeData!A$2:B$3839,2,FALSE)</f>
        <v/>
      </c>
      <c r="D2628" s="6" t="n">
        <v>1</v>
      </c>
      <c r="E2628" s="6" t="inlineStr">
        <is>
          <t>R1604328</t>
        </is>
      </c>
      <c r="F2628" s="2" t="n">
        <v>44694</v>
      </c>
      <c r="G2628" s="1" t="n"/>
    </row>
    <row r="2629">
      <c r="A2629" s="6" t="n">
        <v>583802</v>
      </c>
      <c r="B2629" s="6" t="inlineStr">
        <is>
          <t>LIBERTY CREEK CALIFORNIA MOSCATO</t>
        </is>
      </c>
      <c r="C2629" s="7">
        <f>VLOOKUP(A2629,SizeData!A$2:B$3839,2,FALSE)</f>
        <v/>
      </c>
      <c r="D2629" s="6" t="n">
        <v>1</v>
      </c>
      <c r="E2629" s="6" t="inlineStr">
        <is>
          <t>R1738647</t>
        </is>
      </c>
      <c r="F2629" s="2" t="n">
        <v>44791</v>
      </c>
      <c r="G2629" s="1" t="n"/>
    </row>
    <row r="2630">
      <c r="A2630" s="6" t="n">
        <v>664502</v>
      </c>
      <c r="B2630" s="6" t="inlineStr">
        <is>
          <t>LIBERTY CREEK CALIFORNIA PINK MOSCATO</t>
        </is>
      </c>
      <c r="C2630" s="7">
        <f>VLOOKUP(A2630,SizeData!A$2:B$3839,2,FALSE)</f>
        <v/>
      </c>
      <c r="D2630" s="6" t="n">
        <v>1</v>
      </c>
      <c r="E2630" s="6" t="inlineStr">
        <is>
          <t>R1486336</t>
        </is>
      </c>
      <c r="F2630" s="2" t="n">
        <v>44620</v>
      </c>
      <c r="G2630" s="1" t="n"/>
    </row>
    <row r="2631">
      <c r="A2631" s="6" t="n">
        <v>480320</v>
      </c>
      <c r="B2631" s="6" t="inlineStr">
        <is>
          <t>LIBERTY CREEK CALIFORNIA SWEET RED</t>
        </is>
      </c>
      <c r="C2631" s="7">
        <f>VLOOKUP(A2631,SizeData!A$2:B$3839,2,FALSE)</f>
        <v/>
      </c>
      <c r="D2631" s="6" t="n">
        <v>2</v>
      </c>
      <c r="E2631" s="6" t="inlineStr">
        <is>
          <t>R1503957</t>
        </is>
      </c>
      <c r="F2631" s="2" t="n">
        <v>44636</v>
      </c>
      <c r="G2631" s="1" t="n"/>
    </row>
    <row r="2632">
      <c r="A2632" s="6" t="n">
        <v>480320</v>
      </c>
      <c r="B2632" s="6" t="inlineStr">
        <is>
          <t>LIBERTY CREEK CALIFORNIA SWEET RED</t>
        </is>
      </c>
      <c r="C2632" s="7">
        <f>VLOOKUP(A2632,SizeData!A$2:B$3839,2,FALSE)</f>
        <v/>
      </c>
      <c r="D2632" s="6" t="n">
        <v>2</v>
      </c>
      <c r="E2632" s="6" t="inlineStr">
        <is>
          <t>R1512696</t>
        </is>
      </c>
      <c r="F2632" s="2" t="n">
        <v>44637</v>
      </c>
      <c r="G2632" s="1" t="n"/>
    </row>
    <row r="2633">
      <c r="A2633" s="6" t="n">
        <v>480320</v>
      </c>
      <c r="B2633" s="6" t="inlineStr">
        <is>
          <t>LIBERTY CREEK CALIFORNIA SWEET RED</t>
        </is>
      </c>
      <c r="C2633" s="7">
        <f>VLOOKUP(A2633,SizeData!A$2:B$3839,2,FALSE)</f>
        <v/>
      </c>
      <c r="D2633" s="6" t="n">
        <v>1</v>
      </c>
      <c r="E2633" s="6" t="inlineStr">
        <is>
          <t>R1619359</t>
        </is>
      </c>
      <c r="F2633" s="2" t="n">
        <v>44716</v>
      </c>
      <c r="G2633" s="1" t="n"/>
    </row>
    <row r="2634">
      <c r="A2634" s="6" t="n">
        <v>480320</v>
      </c>
      <c r="B2634" s="6" t="inlineStr">
        <is>
          <t>LIBERTY CREEK CALIFORNIA SWEET RED</t>
        </is>
      </c>
      <c r="C2634" s="7">
        <f>VLOOKUP(A2634,SizeData!A$2:B$3839,2,FALSE)</f>
        <v/>
      </c>
      <c r="D2634" s="6" t="n">
        <v>1</v>
      </c>
      <c r="E2634" s="6" t="inlineStr">
        <is>
          <t>R1738647</t>
        </is>
      </c>
      <c r="F2634" s="2" t="n">
        <v>44791</v>
      </c>
      <c r="G2634" s="1" t="n"/>
    </row>
    <row r="2635">
      <c r="A2635" s="6" t="n">
        <v>480320</v>
      </c>
      <c r="B2635" s="6" t="inlineStr">
        <is>
          <t>LIBERTY CREEK CALIFORNIA SWEET RED</t>
        </is>
      </c>
      <c r="C2635" s="7">
        <f>VLOOKUP(A2635,SizeData!A$2:B$3839,2,FALSE)</f>
        <v/>
      </c>
      <c r="D2635" s="6" t="n">
        <v>1</v>
      </c>
      <c r="E2635" s="6" t="inlineStr">
        <is>
          <t>R1816996</t>
        </is>
      </c>
      <c r="F2635" s="2" t="n">
        <v>44859</v>
      </c>
      <c r="G2635" s="1" t="n"/>
    </row>
    <row r="2636">
      <c r="A2636" s="6" t="n">
        <v>480320</v>
      </c>
      <c r="B2636" s="6" t="inlineStr">
        <is>
          <t>LIBERTY CREEK CALIFORNIA SWEET RED</t>
        </is>
      </c>
      <c r="C2636" s="7">
        <f>VLOOKUP(A2636,SizeData!A$2:B$3839,2,FALSE)</f>
        <v/>
      </c>
      <c r="D2636" s="6" t="n">
        <v>1</v>
      </c>
      <c r="E2636" s="6" t="inlineStr">
        <is>
          <t>R1894827</t>
        </is>
      </c>
      <c r="F2636" s="2" t="n">
        <v>44902</v>
      </c>
      <c r="G2636" s="1" t="n"/>
    </row>
    <row r="2637">
      <c r="A2637" s="6" t="n">
        <v>515856</v>
      </c>
      <c r="B2637" s="6" t="inlineStr">
        <is>
          <t>LINE 39 CABERNET SAUVIGNON</t>
        </is>
      </c>
      <c r="C2637" s="7">
        <f>VLOOKUP(A2637,SizeData!A$2:B$3839,2,FALSE)</f>
        <v/>
      </c>
      <c r="D2637" s="6" t="n">
        <v>1</v>
      </c>
      <c r="E2637" s="6" t="inlineStr">
        <is>
          <t>R1427149</t>
        </is>
      </c>
      <c r="F2637" s="2" t="n">
        <v>44585</v>
      </c>
      <c r="G2637" s="1" t="n"/>
    </row>
    <row r="2638">
      <c r="A2638" s="6" t="n">
        <v>584030</v>
      </c>
      <c r="B2638" s="6" t="inlineStr">
        <is>
          <t>LINE 39 CHARDONNAY</t>
        </is>
      </c>
      <c r="C2638" s="7">
        <f>VLOOKUP(A2638,SizeData!A$2:B$3839,2,FALSE)</f>
        <v/>
      </c>
      <c r="D2638" s="6" t="n">
        <v>1</v>
      </c>
      <c r="E2638" s="6" t="inlineStr">
        <is>
          <t>R1427149</t>
        </is>
      </c>
      <c r="F2638" s="2" t="n">
        <v>44585</v>
      </c>
      <c r="G2638" s="1" t="n"/>
    </row>
    <row r="2639">
      <c r="A2639" s="6" t="n">
        <v>584030</v>
      </c>
      <c r="B2639" s="6" t="inlineStr">
        <is>
          <t>LINE 39 CHARDONNAY NORTH COAST</t>
        </is>
      </c>
      <c r="C2639" s="7">
        <f>VLOOKUP(A2639,SizeData!A$2:B$3839,2,FALSE)</f>
        <v/>
      </c>
      <c r="D2639" s="6" t="n">
        <v>1</v>
      </c>
      <c r="E2639" s="6" t="inlineStr">
        <is>
          <t>R1587262</t>
        </is>
      </c>
      <c r="F2639" s="2" t="n">
        <v>44682</v>
      </c>
      <c r="G2639" s="1" t="n"/>
    </row>
    <row r="2640">
      <c r="A2640" s="6" t="n">
        <v>584030</v>
      </c>
      <c r="B2640" s="6" t="inlineStr">
        <is>
          <t>LINE 39 CHARDONNAY NORTH COAST</t>
        </is>
      </c>
      <c r="C2640" s="7">
        <f>VLOOKUP(A2640,SizeData!A$2:B$3839,2,FALSE)</f>
        <v/>
      </c>
      <c r="D2640" s="6" t="n">
        <v>1</v>
      </c>
      <c r="E2640" s="6" t="inlineStr">
        <is>
          <t>R1602626</t>
        </is>
      </c>
      <c r="F2640" s="2" t="n">
        <v>44690</v>
      </c>
      <c r="G2640" s="1" t="n"/>
    </row>
    <row r="2641">
      <c r="A2641" s="6" t="n">
        <v>584030</v>
      </c>
      <c r="B2641" s="6" t="inlineStr">
        <is>
          <t>LINE 39 CHARDONNAY NORTH COAST</t>
        </is>
      </c>
      <c r="C2641" s="7">
        <f>VLOOKUP(A2641,SizeData!A$2:B$3839,2,FALSE)</f>
        <v/>
      </c>
      <c r="D2641" s="6" t="n">
        <v>1</v>
      </c>
      <c r="E2641" s="6" t="inlineStr">
        <is>
          <t>R1607750</t>
        </is>
      </c>
      <c r="F2641" s="2" t="n">
        <v>44691</v>
      </c>
      <c r="G2641" s="1" t="n"/>
    </row>
    <row r="2642">
      <c r="A2642" s="6" t="n">
        <v>515857</v>
      </c>
      <c r="B2642" s="6" t="inlineStr">
        <is>
          <t>LINE 39 MERLOT</t>
        </is>
      </c>
      <c r="C2642" s="7">
        <f>VLOOKUP(A2642,SizeData!A$2:B$3839,2,FALSE)</f>
        <v/>
      </c>
      <c r="D2642" s="6" t="n">
        <v>1</v>
      </c>
      <c r="E2642" s="6" t="inlineStr">
        <is>
          <t>R1427149</t>
        </is>
      </c>
      <c r="F2642" s="2" t="n">
        <v>44585</v>
      </c>
      <c r="G2642" s="1" t="n"/>
    </row>
    <row r="2643">
      <c r="A2643" s="6" t="n">
        <v>515857</v>
      </c>
      <c r="B2643" s="6" t="inlineStr">
        <is>
          <t>LINE 39 MERLOT</t>
        </is>
      </c>
      <c r="C2643" s="7">
        <f>VLOOKUP(A2643,SizeData!A$2:B$3839,2,FALSE)</f>
        <v/>
      </c>
      <c r="D2643" s="6" t="n">
        <v>1</v>
      </c>
      <c r="E2643" s="6" t="inlineStr">
        <is>
          <t>R1427149</t>
        </is>
      </c>
      <c r="F2643" s="2" t="n">
        <v>44585</v>
      </c>
      <c r="G2643" s="1" t="n"/>
    </row>
    <row r="2644">
      <c r="A2644" s="6" t="n">
        <v>515857</v>
      </c>
      <c r="B2644" s="6" t="inlineStr">
        <is>
          <t>LINE 39 MERLOT NORTH COAST</t>
        </is>
      </c>
      <c r="C2644" s="7">
        <f>VLOOKUP(A2644,SizeData!A$2:B$3839,2,FALSE)</f>
        <v/>
      </c>
      <c r="D2644" s="6" t="n">
        <v>1</v>
      </c>
      <c r="E2644" s="6" t="inlineStr">
        <is>
          <t>R1620910</t>
        </is>
      </c>
      <c r="F2644" s="2" t="n">
        <v>44694</v>
      </c>
      <c r="G2644" s="1" t="n"/>
    </row>
    <row r="2645">
      <c r="A2645" s="6" t="n">
        <v>515857</v>
      </c>
      <c r="B2645" s="6" t="inlineStr">
        <is>
          <t>LINE 39 MERLOT NORTH COAST</t>
        </is>
      </c>
      <c r="C2645" s="7">
        <f>VLOOKUP(A2645,SizeData!A$2:B$3839,2,FALSE)</f>
        <v/>
      </c>
      <c r="D2645" s="6" t="n">
        <v>1</v>
      </c>
      <c r="E2645" s="6" t="inlineStr">
        <is>
          <t>R1713113</t>
        </is>
      </c>
      <c r="F2645" s="2" t="n">
        <v>44774</v>
      </c>
      <c r="G2645" s="1" t="n"/>
    </row>
    <row r="2646">
      <c r="A2646" s="6" t="n">
        <v>584032</v>
      </c>
      <c r="B2646" s="6" t="inlineStr">
        <is>
          <t>LINE 39 PINOT GRIGIO CALIFORNIA</t>
        </is>
      </c>
      <c r="C2646" s="7">
        <f>VLOOKUP(A2646,SizeData!A$2:B$3839,2,FALSE)</f>
        <v/>
      </c>
      <c r="D2646" s="6" t="n">
        <v>1</v>
      </c>
      <c r="E2646" s="6" t="inlineStr">
        <is>
          <t>R1522416</t>
        </is>
      </c>
      <c r="F2646" s="2" t="n">
        <v>44641</v>
      </c>
      <c r="G2646" s="1" t="n"/>
    </row>
    <row r="2647">
      <c r="A2647" s="6" t="n">
        <v>480742</v>
      </c>
      <c r="B2647" s="6" t="inlineStr">
        <is>
          <t>LINE 39 PINOT NOIR CENTRAL COAST</t>
        </is>
      </c>
      <c r="C2647" s="7">
        <f>VLOOKUP(A2647,SizeData!A$2:B$3839,2,FALSE)</f>
        <v/>
      </c>
      <c r="D2647" s="6" t="n">
        <v>1</v>
      </c>
      <c r="E2647" s="6" t="inlineStr">
        <is>
          <t>R1888886</t>
        </is>
      </c>
      <c r="F2647" s="2" t="n">
        <v>44902</v>
      </c>
      <c r="G2647" s="1" t="n"/>
    </row>
    <row r="2648">
      <c r="A2648" s="6" t="n">
        <v>484705</v>
      </c>
      <c r="B2648" s="6" t="inlineStr">
        <is>
          <t>LOUIS M MARTINI SONOMA COUNTY CABERNET SAUVIGNON</t>
        </is>
      </c>
      <c r="C2648" s="7">
        <f>VLOOKUP(A2648,SizeData!A$2:B$3839,2,FALSE)</f>
        <v/>
      </c>
      <c r="D2648" s="6" t="n">
        <v>1</v>
      </c>
      <c r="E2648" s="6" t="inlineStr">
        <is>
          <t>R1447041</t>
        </is>
      </c>
      <c r="F2648" s="2" t="n">
        <v>44595</v>
      </c>
      <c r="G2648" s="1" t="n"/>
    </row>
    <row r="2649">
      <c r="A2649" s="6" t="n">
        <v>484705</v>
      </c>
      <c r="B2649" s="6" t="inlineStr">
        <is>
          <t>LOUIS M MARTINI SONOMA COUNTY CABERNET SAUVIGNON</t>
        </is>
      </c>
      <c r="C2649" s="7">
        <f>VLOOKUP(A2649,SizeData!A$2:B$3839,2,FALSE)</f>
        <v/>
      </c>
      <c r="D2649" s="6" t="n">
        <v>1</v>
      </c>
      <c r="E2649" s="6" t="inlineStr">
        <is>
          <t>R1471448</t>
        </is>
      </c>
      <c r="F2649" s="2" t="n">
        <v>44610</v>
      </c>
      <c r="G2649" s="1" t="n"/>
    </row>
    <row r="2650">
      <c r="A2650" s="6" t="n">
        <v>484705</v>
      </c>
      <c r="B2650" s="6" t="inlineStr">
        <is>
          <t>LOUIS M MARTINI SONOMA COUNTY CABERNET SAUVIGNON</t>
        </is>
      </c>
      <c r="C2650" s="7">
        <f>VLOOKUP(A2650,SizeData!A$2:B$3839,2,FALSE)</f>
        <v/>
      </c>
      <c r="D2650" s="6" t="n">
        <v>1</v>
      </c>
      <c r="E2650" s="6" t="inlineStr">
        <is>
          <t>R1587377</t>
        </is>
      </c>
      <c r="F2650" s="2" t="n">
        <v>44681</v>
      </c>
      <c r="G2650" s="1" t="n"/>
    </row>
    <row r="2651">
      <c r="A2651" s="6" t="n">
        <v>484705</v>
      </c>
      <c r="B2651" s="6" t="inlineStr">
        <is>
          <t>LOUIS M MARTINI SONOMA COUNTY CABERNET SAUVIGNON</t>
        </is>
      </c>
      <c r="C2651" s="7">
        <f>VLOOKUP(A2651,SizeData!A$2:B$3839,2,FALSE)</f>
        <v/>
      </c>
      <c r="D2651" s="6" t="n">
        <v>1</v>
      </c>
      <c r="E2651" s="6" t="inlineStr">
        <is>
          <t>R1719137</t>
        </is>
      </c>
      <c r="F2651" s="2" t="n">
        <v>44781</v>
      </c>
      <c r="G2651" s="1" t="n"/>
    </row>
    <row r="2652">
      <c r="A2652" s="6" t="n">
        <v>729090</v>
      </c>
      <c r="B2652" s="6" t="inlineStr">
        <is>
          <t>LUC BELAIRE BLEU EDITION LIMITED</t>
        </is>
      </c>
      <c r="C2652" s="7">
        <f>VLOOKUP(A2652,SizeData!A$2:B$3839,2,FALSE)</f>
        <v/>
      </c>
      <c r="D2652" s="6" t="n">
        <v>10</v>
      </c>
      <c r="E2652" s="6" t="inlineStr">
        <is>
          <t>R1636842</t>
        </is>
      </c>
      <c r="F2652" s="2" t="n">
        <v>44718</v>
      </c>
      <c r="G2652" s="1" t="n"/>
    </row>
    <row r="2653">
      <c r="A2653" s="6" t="n">
        <v>729090</v>
      </c>
      <c r="B2653" s="6" t="inlineStr">
        <is>
          <t>LUC BELAIRE BLEU EDITION LIMITED</t>
        </is>
      </c>
      <c r="C2653" s="7">
        <f>VLOOKUP(A2653,SizeData!A$2:B$3839,2,FALSE)</f>
        <v/>
      </c>
      <c r="D2653" s="6" t="n">
        <v>10</v>
      </c>
      <c r="E2653" s="6" t="inlineStr">
        <is>
          <t>R1696307</t>
        </is>
      </c>
      <c r="F2653" s="2" t="n">
        <v>44754</v>
      </c>
      <c r="G2653" s="1" t="n"/>
    </row>
    <row r="2654">
      <c r="A2654" s="6" t="n">
        <v>729090</v>
      </c>
      <c r="B2654" s="6" t="inlineStr">
        <is>
          <t>LUC BELAIRE BLEU EDITION LIMITED</t>
        </is>
      </c>
      <c r="C2654" s="7">
        <f>VLOOKUP(A2654,SizeData!A$2:B$3839,2,FALSE)</f>
        <v/>
      </c>
      <c r="D2654" s="6" t="n">
        <v>4</v>
      </c>
      <c r="E2654" s="6" t="inlineStr">
        <is>
          <t>R1713939</t>
        </is>
      </c>
      <c r="F2654" s="2" t="n">
        <v>44779</v>
      </c>
      <c r="G2654" s="1" t="n"/>
    </row>
    <row r="2655" customFormat="1" s="14">
      <c r="A2655" s="26" t="n">
        <v>729090</v>
      </c>
      <c r="B2655" s="26" t="inlineStr">
        <is>
          <t>LUC BELAIRE BLEU EDITION LIMITED</t>
        </is>
      </c>
      <c r="C2655" s="7">
        <f>VLOOKUP(A2655,SizeData!A$2:B$3839,2,FALSE)</f>
        <v/>
      </c>
      <c r="D2655" s="26" t="n">
        <v>1</v>
      </c>
      <c r="E2655" s="26" t="inlineStr">
        <is>
          <t>R1713939</t>
        </is>
      </c>
      <c r="F2655" s="61" t="n">
        <v>44779</v>
      </c>
      <c r="G2655" s="62" t="n"/>
    </row>
    <row r="2656" customFormat="1" s="14">
      <c r="A2656" s="6" t="n">
        <v>729090</v>
      </c>
      <c r="B2656" s="6" t="inlineStr">
        <is>
          <t>LUC BELAIRE BLEU EDITION LIMITED</t>
        </is>
      </c>
      <c r="C2656" s="7">
        <f>VLOOKUP(A2656,SizeData!A$2:B$3839,2,FALSE)</f>
        <v/>
      </c>
      <c r="D2656" s="6" t="n">
        <v>5</v>
      </c>
      <c r="E2656" s="6" t="inlineStr">
        <is>
          <t>R1726396</t>
        </is>
      </c>
      <c r="F2656" s="2" t="n">
        <v>44786</v>
      </c>
      <c r="G2656" s="1" t="n"/>
    </row>
    <row r="2657">
      <c r="A2657" s="6" t="n">
        <v>729080</v>
      </c>
      <c r="B2657" s="6" t="inlineStr">
        <is>
          <t>LUC BELAIRE BRUT GOLD</t>
        </is>
      </c>
      <c r="C2657" s="7">
        <f>VLOOKUP(A2657,SizeData!A$2:B$3839,2,FALSE)</f>
        <v/>
      </c>
      <c r="D2657" s="6" t="n">
        <v>5</v>
      </c>
      <c r="E2657" s="6" t="inlineStr">
        <is>
          <t>R1443217</t>
        </is>
      </c>
      <c r="F2657" s="2" t="n">
        <v>44593</v>
      </c>
      <c r="G2657" s="1" t="n"/>
    </row>
    <row r="2658">
      <c r="A2658" s="6" t="n">
        <v>729080</v>
      </c>
      <c r="B2658" s="6" t="inlineStr">
        <is>
          <t>LUC BELAIRE BRUT GOLD</t>
        </is>
      </c>
      <c r="C2658" s="7">
        <f>VLOOKUP(A2658,SizeData!A$2:B$3839,2,FALSE)</f>
        <v/>
      </c>
      <c r="D2658" s="6" t="n">
        <v>8</v>
      </c>
      <c r="E2658" s="6" t="inlineStr">
        <is>
          <t>R1474819</t>
        </is>
      </c>
      <c r="F2658" s="2" t="n">
        <v>44617</v>
      </c>
      <c r="G2658" s="1" t="n"/>
    </row>
    <row r="2659">
      <c r="A2659" s="6" t="n">
        <v>729072</v>
      </c>
      <c r="B2659" s="6" t="inlineStr">
        <is>
          <t>LUC BELAIRE LUXE</t>
        </is>
      </c>
      <c r="C2659" s="7">
        <f>VLOOKUP(A2659,SizeData!A$2:B$3839,2,FALSE)</f>
        <v/>
      </c>
      <c r="D2659" s="6" t="n">
        <v>15</v>
      </c>
      <c r="E2659" s="6" t="inlineStr">
        <is>
          <t>R1443217</t>
        </is>
      </c>
      <c r="F2659" s="2" t="n">
        <v>44593</v>
      </c>
      <c r="G2659" s="1" t="n"/>
    </row>
    <row r="2660">
      <c r="A2660" s="6" t="n">
        <v>729072</v>
      </c>
      <c r="B2660" s="6" t="inlineStr">
        <is>
          <t>LUC BELAIRE LUXE</t>
        </is>
      </c>
      <c r="C2660" s="7">
        <f>VLOOKUP(A2660,SizeData!A$2:B$3839,2,FALSE)</f>
        <v/>
      </c>
      <c r="D2660" s="6" t="n">
        <v>23</v>
      </c>
      <c r="E2660" s="6" t="inlineStr">
        <is>
          <t>R1474819</t>
        </is>
      </c>
      <c r="F2660" s="2" t="n">
        <v>44617</v>
      </c>
      <c r="G2660" s="1" t="n"/>
    </row>
    <row r="2661">
      <c r="A2661" s="6" t="n">
        <v>729082</v>
      </c>
      <c r="B2661" s="6" t="inlineStr">
        <is>
          <t>LUC BELAIRE LUXE ROSE</t>
        </is>
      </c>
      <c r="C2661" s="7">
        <f>VLOOKUP(A2661,SizeData!A$2:B$3839,2,FALSE)</f>
        <v/>
      </c>
      <c r="D2661" s="6" t="n">
        <v>10</v>
      </c>
      <c r="E2661" s="6" t="inlineStr">
        <is>
          <t>R1443217</t>
        </is>
      </c>
      <c r="F2661" s="2" t="n">
        <v>44593</v>
      </c>
      <c r="G2661" s="1" t="n"/>
    </row>
    <row r="2662">
      <c r="A2662" s="6" t="n">
        <v>729082</v>
      </c>
      <c r="B2662" s="6" t="inlineStr">
        <is>
          <t>LUC BELAIRE LUXE ROSE</t>
        </is>
      </c>
      <c r="C2662" s="7">
        <f>VLOOKUP(A2662,SizeData!A$2:B$3839,2,FALSE)</f>
        <v/>
      </c>
      <c r="D2662" s="6" t="n">
        <v>4</v>
      </c>
      <c r="E2662" s="6" t="inlineStr">
        <is>
          <t>R1481220</t>
        </is>
      </c>
      <c r="F2662" s="2" t="n">
        <v>44608</v>
      </c>
      <c r="G2662" s="1" t="n"/>
    </row>
    <row r="2663">
      <c r="A2663" s="6" t="n">
        <v>729082</v>
      </c>
      <c r="B2663" s="6" t="inlineStr">
        <is>
          <t>LUC BELAIRE LUXE ROSE</t>
        </is>
      </c>
      <c r="C2663" s="7">
        <f>VLOOKUP(A2663,SizeData!A$2:B$3839,2,FALSE)</f>
        <v/>
      </c>
      <c r="D2663" s="6" t="n">
        <v>35</v>
      </c>
      <c r="E2663" s="6" t="inlineStr">
        <is>
          <t>R1474819</t>
        </is>
      </c>
      <c r="F2663" s="2" t="n">
        <v>44617</v>
      </c>
      <c r="G2663" s="1" t="n"/>
    </row>
    <row r="2664">
      <c r="A2664" s="6" t="n">
        <v>729081</v>
      </c>
      <c r="B2664" s="6" t="inlineStr">
        <is>
          <t>LUC BELAIRE LUXE ROSE SPARKLING</t>
        </is>
      </c>
      <c r="C2664" s="7">
        <f>VLOOKUP(A2664,SizeData!A$2:B$3839,2,FALSE)</f>
        <v/>
      </c>
      <c r="D2664" s="6" t="n">
        <v>1</v>
      </c>
      <c r="E2664" s="6" t="inlineStr">
        <is>
          <t>R1563525</t>
        </is>
      </c>
      <c r="F2664" s="2" t="n">
        <v>44666</v>
      </c>
      <c r="G2664" s="1" t="n"/>
    </row>
    <row r="2665">
      <c r="A2665" s="6" t="n">
        <v>729081</v>
      </c>
      <c r="B2665" s="6" t="inlineStr">
        <is>
          <t>LUC BELAIRE LUXE ROSE SPARKLING</t>
        </is>
      </c>
      <c r="C2665" s="7">
        <f>VLOOKUP(A2665,SizeData!A$2:B$3839,2,FALSE)</f>
        <v/>
      </c>
      <c r="D2665" s="6" t="n">
        <v>1</v>
      </c>
      <c r="E2665" s="6" t="inlineStr">
        <is>
          <t>R1563525</t>
        </is>
      </c>
      <c r="F2665" s="2" t="n">
        <v>44666</v>
      </c>
      <c r="G2665" s="1" t="n"/>
    </row>
    <row r="2666">
      <c r="A2666" s="6" t="n">
        <v>729081</v>
      </c>
      <c r="B2666" s="6" t="inlineStr">
        <is>
          <t>LUC BELAIRE LUXE ROSE SPARKLING</t>
        </is>
      </c>
      <c r="C2666" s="7">
        <f>VLOOKUP(A2666,SizeData!A$2:B$3839,2,FALSE)</f>
        <v/>
      </c>
      <c r="D2666" s="6" t="n">
        <v>4</v>
      </c>
      <c r="E2666" s="6" t="inlineStr">
        <is>
          <t>R1596233</t>
        </is>
      </c>
      <c r="F2666" s="2" t="n">
        <v>44681</v>
      </c>
      <c r="G2666" s="1" t="n"/>
    </row>
    <row r="2667">
      <c r="A2667" s="6" t="n">
        <v>729077</v>
      </c>
      <c r="B2667" s="6" t="inlineStr">
        <is>
          <t>LUC BELAIRE RARE LUXE 187ML</t>
        </is>
      </c>
      <c r="C2667" s="7">
        <f>VLOOKUP(A2667,SizeData!A$2:B$3839,2,FALSE)</f>
        <v/>
      </c>
      <c r="D2667" s="6" t="n">
        <v>1</v>
      </c>
      <c r="E2667" s="6" t="inlineStr">
        <is>
          <t>R1596233</t>
        </is>
      </c>
      <c r="F2667" s="2" t="n">
        <v>44681</v>
      </c>
      <c r="G2667" s="1" t="n"/>
    </row>
    <row r="2668">
      <c r="A2668" s="6" t="n">
        <v>729021</v>
      </c>
      <c r="B2668" s="6" t="inlineStr">
        <is>
          <t>LUC BELAIRE ROSE</t>
        </is>
      </c>
      <c r="C2668" s="7">
        <f>VLOOKUP(A2668,SizeData!A$2:B$3839,2,FALSE)</f>
        <v/>
      </c>
      <c r="D2668" s="6" t="n">
        <v>2</v>
      </c>
      <c r="E2668" s="6" t="inlineStr">
        <is>
          <t>R1552114</t>
        </is>
      </c>
      <c r="F2668" s="2" t="n">
        <v>44653</v>
      </c>
      <c r="G2668" s="1" t="n"/>
    </row>
    <row r="2669">
      <c r="A2669" s="6" t="n">
        <v>729021</v>
      </c>
      <c r="B2669" s="6" t="inlineStr">
        <is>
          <t>LUC BELAIRE ROSE</t>
        </is>
      </c>
      <c r="C2669" s="7">
        <f>VLOOKUP(A2669,SizeData!A$2:B$3839,2,FALSE)</f>
        <v/>
      </c>
      <c r="D2669" s="6" t="n">
        <v>1</v>
      </c>
      <c r="E2669" s="6" t="inlineStr">
        <is>
          <t>R1563525</t>
        </is>
      </c>
      <c r="F2669" s="2" t="n">
        <v>44666</v>
      </c>
      <c r="G2669" s="1" t="n"/>
    </row>
    <row r="2670">
      <c r="A2670" s="6" t="n">
        <v>729021</v>
      </c>
      <c r="B2670" s="6" t="inlineStr">
        <is>
          <t>LUC BELAIRE ROSE</t>
        </is>
      </c>
      <c r="C2670" s="7">
        <f>VLOOKUP(A2670,SizeData!A$2:B$3839,2,FALSE)</f>
        <v/>
      </c>
      <c r="D2670" s="6" t="n">
        <v>3</v>
      </c>
      <c r="E2670" s="6" t="inlineStr">
        <is>
          <t>R1596233</t>
        </is>
      </c>
      <c r="F2670" s="2" t="n">
        <v>44681</v>
      </c>
      <c r="G2670" s="1" t="n"/>
    </row>
    <row r="2671">
      <c r="A2671" s="6" t="n">
        <v>729030</v>
      </c>
      <c r="B2671" s="6" t="inlineStr">
        <is>
          <t>LUC BELAIRE ROSE</t>
        </is>
      </c>
      <c r="C2671" s="7">
        <f>VLOOKUP(A2671,SizeData!A$2:B$3839,2,FALSE)</f>
        <v/>
      </c>
      <c r="D2671" s="6" t="n">
        <v>19</v>
      </c>
      <c r="E2671" s="6" t="inlineStr">
        <is>
          <t>R1443217</t>
        </is>
      </c>
      <c r="F2671" s="2" t="n">
        <v>44593</v>
      </c>
      <c r="G2671" s="1" t="n"/>
    </row>
    <row r="2672">
      <c r="A2672" s="6" t="n">
        <v>729030</v>
      </c>
      <c r="B2672" s="6" t="inlineStr">
        <is>
          <t>LUC BELAIRE ROSE</t>
        </is>
      </c>
      <c r="C2672" s="7">
        <f>VLOOKUP(A2672,SizeData!A$2:B$3839,2,FALSE)</f>
        <v/>
      </c>
      <c r="D2672" s="6" t="n">
        <v>1</v>
      </c>
      <c r="E2672" s="6" t="inlineStr">
        <is>
          <t>R1443217</t>
        </is>
      </c>
      <c r="F2672" s="2" t="n">
        <v>44593</v>
      </c>
      <c r="G2672" s="1" t="n"/>
    </row>
    <row r="2673">
      <c r="A2673" s="6" t="n">
        <v>729030</v>
      </c>
      <c r="B2673" s="6" t="inlineStr">
        <is>
          <t>LUC BELAIRE ROSE</t>
        </is>
      </c>
      <c r="C2673" s="7">
        <f>VLOOKUP(A2673,SizeData!A$2:B$3839,2,FALSE)</f>
        <v/>
      </c>
      <c r="D2673" s="6" t="n">
        <v>25</v>
      </c>
      <c r="E2673" s="6" t="inlineStr">
        <is>
          <t>R1474819</t>
        </is>
      </c>
      <c r="F2673" s="2" t="n">
        <v>44617</v>
      </c>
      <c r="G2673" s="1" t="n"/>
    </row>
    <row r="2674">
      <c r="A2674" s="6" t="n">
        <v>88018</v>
      </c>
      <c r="B2674" s="6" t="inlineStr">
        <is>
          <t>LUNAZUL BLANCO TEQUILA</t>
        </is>
      </c>
      <c r="C2674" s="7">
        <f>VLOOKUP(A2674,SizeData!A$2:B$3839,2,FALSE)</f>
        <v/>
      </c>
      <c r="D2674" s="6" t="n">
        <v>1</v>
      </c>
      <c r="E2674" s="6" t="inlineStr">
        <is>
          <t>R1496401</t>
        </is>
      </c>
      <c r="F2674" s="2" t="n">
        <v>44621</v>
      </c>
      <c r="G2674" s="1" t="n"/>
    </row>
    <row r="2675">
      <c r="A2675" s="6" t="n">
        <v>88018</v>
      </c>
      <c r="B2675" s="6" t="inlineStr">
        <is>
          <t>LUNAZUL BLANCO TEQUILA</t>
        </is>
      </c>
      <c r="C2675" s="7">
        <f>VLOOKUP(A2675,SizeData!A$2:B$3839,2,FALSE)</f>
        <v/>
      </c>
      <c r="D2675" s="6" t="n">
        <v>1</v>
      </c>
      <c r="E2675" s="6" t="inlineStr">
        <is>
          <t>R1592767</t>
        </is>
      </c>
      <c r="F2675" s="2" t="n">
        <v>44683</v>
      </c>
      <c r="G2675" s="1" t="n"/>
    </row>
    <row r="2676">
      <c r="A2676" s="6" t="n">
        <v>88018</v>
      </c>
      <c r="B2676" s="6" t="inlineStr">
        <is>
          <t>LUNAZUL BLANCO TEQUILA</t>
        </is>
      </c>
      <c r="C2676" s="7">
        <f>VLOOKUP(A2676,SizeData!A$2:B$3839,2,FALSE)</f>
        <v/>
      </c>
      <c r="D2676" s="6" t="n">
        <v>1</v>
      </c>
      <c r="E2676" s="6" t="inlineStr">
        <is>
          <t>R1672878</t>
        </is>
      </c>
      <c r="F2676" s="2" t="n">
        <v>44743</v>
      </c>
      <c r="G2676" s="1" t="n"/>
    </row>
    <row r="2677">
      <c r="A2677" s="6" t="n">
        <v>89468</v>
      </c>
      <c r="B2677" s="6" t="inlineStr">
        <is>
          <t>LUNAZUL REPOSADO TEQUILA</t>
        </is>
      </c>
      <c r="C2677" s="7">
        <f>VLOOKUP(A2677,SizeData!A$2:B$3839,2,FALSE)</f>
        <v/>
      </c>
      <c r="D2677" s="6" t="n">
        <v>1</v>
      </c>
      <c r="E2677" s="6" t="inlineStr">
        <is>
          <t>R1496401</t>
        </is>
      </c>
      <c r="F2677" s="2" t="n">
        <v>44621</v>
      </c>
      <c r="G2677" s="1" t="n"/>
    </row>
    <row r="2678">
      <c r="A2678" s="6" t="n">
        <v>89468</v>
      </c>
      <c r="B2678" s="6" t="inlineStr">
        <is>
          <t>LUNAZUL REPOSADO TEQUILA</t>
        </is>
      </c>
      <c r="C2678" s="7">
        <f>VLOOKUP(A2678,SizeData!A$2:B$3839,2,FALSE)</f>
        <v/>
      </c>
      <c r="D2678" s="6" t="n">
        <v>1</v>
      </c>
      <c r="E2678" s="6" t="inlineStr">
        <is>
          <t>R1592767</t>
        </is>
      </c>
      <c r="F2678" s="2" t="n">
        <v>44683</v>
      </c>
      <c r="G2678" s="1" t="n"/>
    </row>
    <row r="2679">
      <c r="A2679" s="6" t="n">
        <v>89468</v>
      </c>
      <c r="B2679" s="6" t="inlineStr">
        <is>
          <t>LUNAZUL REPOSADO TEQUILA</t>
        </is>
      </c>
      <c r="C2679" s="7">
        <f>VLOOKUP(A2679,SizeData!A$2:B$3839,2,FALSE)</f>
        <v/>
      </c>
      <c r="D2679" s="6" t="n">
        <v>1</v>
      </c>
      <c r="E2679" s="6" t="inlineStr">
        <is>
          <t>R1617499</t>
        </is>
      </c>
      <c r="F2679" s="2" t="n">
        <v>44706</v>
      </c>
      <c r="G2679" s="1" t="n"/>
    </row>
    <row r="2680">
      <c r="A2680" s="6" t="n">
        <v>89470</v>
      </c>
      <c r="B2680" s="6" t="inlineStr">
        <is>
          <t>LUNAZUL REPOSADO TEQUILA</t>
        </is>
      </c>
      <c r="C2680" s="7">
        <f>VLOOKUP(A2680,SizeData!A$2:B$3839,2,FALSE)</f>
        <v/>
      </c>
      <c r="D2680" s="6" t="n">
        <v>1</v>
      </c>
      <c r="E2680" s="6" t="inlineStr">
        <is>
          <t>R1439543</t>
        </is>
      </c>
      <c r="F2680" s="2" t="n">
        <v>44594</v>
      </c>
      <c r="G2680" s="1" t="n"/>
    </row>
    <row r="2681">
      <c r="A2681" s="6" t="n">
        <v>89470</v>
      </c>
      <c r="B2681" s="6" t="inlineStr">
        <is>
          <t>LUNAZUL REPOSADO TEQUILA</t>
        </is>
      </c>
      <c r="C2681" s="7">
        <f>VLOOKUP(A2681,SizeData!A$2:B$3839,2,FALSE)</f>
        <v/>
      </c>
      <c r="D2681" s="6" t="n">
        <v>1</v>
      </c>
      <c r="E2681" s="6" t="inlineStr">
        <is>
          <t>R1629823</t>
        </is>
      </c>
      <c r="F2681" s="2" t="n">
        <v>44713</v>
      </c>
      <c r="G2681" s="1" t="n"/>
    </row>
    <row r="2682">
      <c r="A2682" s="6" t="n">
        <v>89470</v>
      </c>
      <c r="B2682" s="6" t="inlineStr">
        <is>
          <t>LUNAZUL REPOSADO TEQUILA</t>
        </is>
      </c>
      <c r="C2682" s="7">
        <f>VLOOKUP(A2682,SizeData!A$2:B$3839,2,FALSE)</f>
        <v/>
      </c>
      <c r="D2682" s="6" t="n">
        <v>3</v>
      </c>
      <c r="E2682" s="6" t="inlineStr">
        <is>
          <t>R1830533</t>
        </is>
      </c>
      <c r="F2682" s="2" t="n">
        <v>44852</v>
      </c>
      <c r="G2682" s="1" t="n"/>
    </row>
    <row r="2683">
      <c r="A2683" s="6" t="n">
        <v>88979</v>
      </c>
      <c r="B2683" s="6" t="inlineStr">
        <is>
          <t>MAESTRO DOBEL 50 CRISTANLINO</t>
        </is>
      </c>
      <c r="C2683" s="7">
        <f>VLOOKUP(A2683,SizeData!A$2:B$3839,2,FALSE)</f>
        <v/>
      </c>
      <c r="D2683" s="6" t="n">
        <v>3</v>
      </c>
      <c r="E2683" s="6" t="inlineStr">
        <is>
          <t>R1471889</t>
        </is>
      </c>
      <c r="F2683" s="2" t="n">
        <v>44611</v>
      </c>
      <c r="G2683" s="1" t="n"/>
    </row>
    <row r="2684">
      <c r="A2684" s="6" t="n">
        <v>88979</v>
      </c>
      <c r="B2684" s="6" t="inlineStr">
        <is>
          <t>MAESTRO DOBEL 50 CRISTANLINO</t>
        </is>
      </c>
      <c r="C2684" s="7">
        <f>VLOOKUP(A2684,SizeData!A$2:B$3839,2,FALSE)</f>
        <v/>
      </c>
      <c r="D2684" s="6" t="n">
        <v>1</v>
      </c>
      <c r="E2684" s="6" t="inlineStr">
        <is>
          <t>R1507714</t>
        </is>
      </c>
      <c r="F2684" s="2" t="n">
        <v>44634</v>
      </c>
      <c r="G2684" s="1" t="n"/>
    </row>
    <row r="2685">
      <c r="A2685" s="6" t="n">
        <v>88979</v>
      </c>
      <c r="B2685" s="6" t="inlineStr">
        <is>
          <t>MAESTRO DOBEL 50 CRISTANLINO</t>
        </is>
      </c>
      <c r="C2685" s="7">
        <f>VLOOKUP(A2685,SizeData!A$2:B$3839,2,FALSE)</f>
        <v/>
      </c>
      <c r="D2685" s="6" t="n">
        <v>1</v>
      </c>
      <c r="E2685" s="6" t="inlineStr">
        <is>
          <t>R1658904</t>
        </is>
      </c>
      <c r="F2685" s="2" t="n">
        <v>44732</v>
      </c>
      <c r="G2685" s="1" t="n"/>
    </row>
    <row r="2686">
      <c r="A2686" s="6" t="n">
        <v>88979</v>
      </c>
      <c r="B2686" s="6" t="inlineStr">
        <is>
          <t>MAESTRO DOBEL 50 CRISTANLINO</t>
        </is>
      </c>
      <c r="C2686" s="7">
        <f>VLOOKUP(A2686,SizeData!A$2:B$3839,2,FALSE)</f>
        <v/>
      </c>
      <c r="D2686" s="6" t="n">
        <v>1</v>
      </c>
      <c r="E2686" s="6" t="inlineStr">
        <is>
          <t>R1781063</t>
        </is>
      </c>
      <c r="F2686" s="2" t="n">
        <v>44823</v>
      </c>
      <c r="G2686" s="1" t="n"/>
    </row>
    <row r="2687">
      <c r="A2687" s="6" t="n">
        <v>88818</v>
      </c>
      <c r="B2687" s="6" t="inlineStr">
        <is>
          <t>MAESTRO DOBEL ANEJO</t>
        </is>
      </c>
      <c r="C2687" s="7">
        <f>VLOOKUP(A2687,SizeData!A$2:B$3839,2,FALSE)</f>
        <v/>
      </c>
      <c r="D2687" s="6" t="n">
        <v>1</v>
      </c>
      <c r="E2687" s="6" t="inlineStr">
        <is>
          <t>R1739883</t>
        </is>
      </c>
      <c r="F2687" s="2" t="n">
        <v>44800</v>
      </c>
      <c r="G2687" s="1" t="n"/>
    </row>
    <row r="2688">
      <c r="A2688" s="6" t="n">
        <v>88818</v>
      </c>
      <c r="B2688" s="6" t="inlineStr">
        <is>
          <t>MAESTRO DOBEL ANEJO</t>
        </is>
      </c>
      <c r="C2688" s="7">
        <f>VLOOKUP(A2688,SizeData!A$2:B$3839,2,FALSE)</f>
        <v/>
      </c>
      <c r="D2688" s="6" t="n">
        <v>1</v>
      </c>
      <c r="E2688" s="6" t="inlineStr">
        <is>
          <t>R1889523</t>
        </is>
      </c>
      <c r="F2688" s="2" t="n">
        <v>44902</v>
      </c>
      <c r="G2688" s="1" t="n"/>
    </row>
    <row r="2689">
      <c r="A2689" s="6" t="n">
        <v>89488</v>
      </c>
      <c r="B2689" s="6" t="inlineStr">
        <is>
          <t>MAESTRO DOBEL DIAMOND REPOSADO</t>
        </is>
      </c>
      <c r="C2689" s="7">
        <f>VLOOKUP(A2689,SizeData!A$2:B$3839,2,FALSE)</f>
        <v/>
      </c>
      <c r="D2689" s="6" t="n">
        <v>1</v>
      </c>
      <c r="E2689" s="6" t="inlineStr">
        <is>
          <t>R1536813</t>
        </is>
      </c>
      <c r="F2689" s="2" t="n">
        <v>44643</v>
      </c>
      <c r="G2689" s="1" t="n"/>
    </row>
    <row r="2690">
      <c r="A2690" s="6" t="n">
        <v>89488</v>
      </c>
      <c r="B2690" s="6" t="inlineStr">
        <is>
          <t>MAESTRO DOBEL DIAMOND REPOSADO</t>
        </is>
      </c>
      <c r="C2690" s="7">
        <f>VLOOKUP(A2690,SizeData!A$2:B$3839,2,FALSE)</f>
        <v/>
      </c>
      <c r="D2690" s="6" t="n">
        <v>2</v>
      </c>
      <c r="E2690" s="6" t="inlineStr">
        <is>
          <t>R1614837</t>
        </is>
      </c>
      <c r="F2690" s="2" t="n">
        <v>44702</v>
      </c>
      <c r="G2690" s="1" t="n"/>
    </row>
    <row r="2691" customFormat="1" s="14">
      <c r="A2691" s="6" t="n">
        <v>89488</v>
      </c>
      <c r="B2691" s="6" t="inlineStr">
        <is>
          <t>MAESTRO DOBEL DIAMOND REPOSADO</t>
        </is>
      </c>
      <c r="C2691" s="7">
        <f>VLOOKUP(A2691,SizeData!A$2:B$3839,2,FALSE)</f>
        <v/>
      </c>
      <c r="D2691" s="6" t="n">
        <v>4</v>
      </c>
      <c r="E2691" s="6" t="inlineStr">
        <is>
          <t>R1870474</t>
        </is>
      </c>
      <c r="F2691" s="2" t="n">
        <v>44875</v>
      </c>
      <c r="G2691" s="1" t="n"/>
    </row>
    <row r="2692" customFormat="1" s="14">
      <c r="A2692" s="6" t="n">
        <v>19476</v>
      </c>
      <c r="B2692" s="6" t="inlineStr">
        <is>
          <t>MAKER'S MARK</t>
        </is>
      </c>
      <c r="C2692" s="7">
        <f>VLOOKUP(A2692,SizeData!A$2:B$3839,2,FALSE)</f>
        <v/>
      </c>
      <c r="D2692" s="6" t="n">
        <v>3</v>
      </c>
      <c r="E2692" s="6" t="inlineStr">
        <is>
          <t>R1759269</t>
        </is>
      </c>
      <c r="F2692" s="2" t="n">
        <v>44811</v>
      </c>
      <c r="G2692" s="1" t="n"/>
    </row>
    <row r="2693" customFormat="1" s="14">
      <c r="A2693" s="6" t="n">
        <v>19476</v>
      </c>
      <c r="B2693" s="6" t="inlineStr">
        <is>
          <t>MAKER'S MARK</t>
        </is>
      </c>
      <c r="C2693" s="7">
        <f>VLOOKUP(A2693,SizeData!A$2:B$3839,2,FALSE)</f>
        <v/>
      </c>
      <c r="D2693" s="6" t="n">
        <v>3</v>
      </c>
      <c r="E2693" s="6" t="inlineStr">
        <is>
          <t>R1764571</t>
        </is>
      </c>
      <c r="F2693" s="2" t="n">
        <v>44824</v>
      </c>
      <c r="G2693" s="1" t="n"/>
    </row>
    <row r="2694" customFormat="1" s="14">
      <c r="A2694" s="6" t="n">
        <v>19477</v>
      </c>
      <c r="B2694" s="6" t="inlineStr">
        <is>
          <t>MAKER'S MARK</t>
        </is>
      </c>
      <c r="C2694" s="7">
        <f>VLOOKUP(A2694,SizeData!A$2:B$3839,2,FALSE)</f>
        <v/>
      </c>
      <c r="D2694" s="6" t="n">
        <v>2</v>
      </c>
      <c r="E2694" s="6" t="inlineStr">
        <is>
          <t>R1591903</t>
        </is>
      </c>
      <c r="F2694" s="2" t="n">
        <v>44678</v>
      </c>
      <c r="G2694" s="1" t="n"/>
    </row>
    <row r="2695" customFormat="1" s="14">
      <c r="A2695" s="6" t="n">
        <v>19477</v>
      </c>
      <c r="B2695" s="6" t="inlineStr">
        <is>
          <t>MAKER'S MARK</t>
        </is>
      </c>
      <c r="C2695" s="7">
        <f>VLOOKUP(A2695,SizeData!A$2:B$3839,2,FALSE)</f>
        <v/>
      </c>
      <c r="D2695" s="6" t="n">
        <v>2</v>
      </c>
      <c r="E2695" s="6" t="inlineStr">
        <is>
          <t>R1829977</t>
        </is>
      </c>
      <c r="F2695" s="2" t="n">
        <v>44861</v>
      </c>
      <c r="G2695" s="1" t="n"/>
    </row>
    <row r="2696" customFormat="1" s="14">
      <c r="A2696" s="6" t="n">
        <v>19478</v>
      </c>
      <c r="B2696" s="6" t="inlineStr">
        <is>
          <t>MAKER'S MARK</t>
        </is>
      </c>
      <c r="C2696" s="7">
        <f>VLOOKUP(A2696,SizeData!A$2:B$3839,2,FALSE)</f>
        <v/>
      </c>
      <c r="D2696" s="6" t="n">
        <v>5</v>
      </c>
      <c r="E2696" s="6" t="inlineStr">
        <is>
          <t>R1491088</t>
        </is>
      </c>
      <c r="F2696" s="2" t="n">
        <v>44623</v>
      </c>
      <c r="G2696" s="1" t="n"/>
    </row>
    <row r="2697" customFormat="1" s="14">
      <c r="A2697" s="6" t="n">
        <v>19485</v>
      </c>
      <c r="B2697" s="6" t="inlineStr">
        <is>
          <t>MAKER'S MARK 46</t>
        </is>
      </c>
      <c r="C2697" s="7">
        <f>VLOOKUP(A2697,SizeData!A$2:B$3839,2,FALSE)</f>
        <v/>
      </c>
      <c r="D2697" s="6" t="n">
        <v>2</v>
      </c>
      <c r="E2697" s="6" t="inlineStr">
        <is>
          <t>R1491088</t>
        </is>
      </c>
      <c r="F2697" s="2" t="n">
        <v>44623</v>
      </c>
      <c r="G2697" s="1" t="n"/>
    </row>
    <row r="2698" customFormat="1" s="14">
      <c r="A2698" s="6" t="n">
        <v>19485</v>
      </c>
      <c r="B2698" s="6" t="inlineStr">
        <is>
          <t>MAKER'S MARK 46</t>
        </is>
      </c>
      <c r="C2698" s="7">
        <f>VLOOKUP(A2698,SizeData!A$2:B$3839,2,FALSE)</f>
        <v/>
      </c>
      <c r="D2698" s="6" t="n">
        <v>1</v>
      </c>
      <c r="E2698" s="6" t="inlineStr">
        <is>
          <t>R1488872</t>
        </is>
      </c>
      <c r="F2698" s="2" t="n">
        <v>44627</v>
      </c>
      <c r="G2698" s="1" t="n"/>
    </row>
    <row r="2699" customFormat="1" s="14">
      <c r="A2699" s="6" t="n">
        <v>19486</v>
      </c>
      <c r="B2699" s="6" t="inlineStr">
        <is>
          <t>MAKER'S MARK 46</t>
        </is>
      </c>
      <c r="C2699" s="7">
        <f>VLOOKUP(A2699,SizeData!A$2:B$3839,2,FALSE)</f>
        <v/>
      </c>
      <c r="D2699" s="6" t="n">
        <v>3</v>
      </c>
      <c r="E2699" s="6" t="inlineStr">
        <is>
          <t>R1563525</t>
        </is>
      </c>
      <c r="F2699" s="2" t="n">
        <v>44666</v>
      </c>
      <c r="G2699" s="1" t="n"/>
    </row>
    <row r="2700" customFormat="1" s="14">
      <c r="A2700" s="6" t="n">
        <v>19481</v>
      </c>
      <c r="B2700" s="6" t="inlineStr">
        <is>
          <t>MAKER'S MARK CASK STRENGTH</t>
        </is>
      </c>
      <c r="C2700" s="7">
        <f>VLOOKUP(A2700,SizeData!A$2:B$3839,2,FALSE)</f>
        <v/>
      </c>
      <c r="D2700" s="6" t="n">
        <v>1</v>
      </c>
      <c r="E2700" s="6" t="inlineStr">
        <is>
          <t>R1496401</t>
        </is>
      </c>
      <c r="F2700" s="2" t="n">
        <v>44621</v>
      </c>
      <c r="G2700" s="1" t="n"/>
    </row>
    <row r="2701">
      <c r="A2701" s="6" t="n">
        <v>19481</v>
      </c>
      <c r="B2701" s="6" t="inlineStr">
        <is>
          <t>MAKER'S MARK CASK STRENGTH</t>
        </is>
      </c>
      <c r="C2701" s="7">
        <f>VLOOKUP(A2701,SizeData!A$2:B$3839,2,FALSE)</f>
        <v/>
      </c>
      <c r="D2701" s="6" t="n">
        <v>1</v>
      </c>
      <c r="E2701" s="6" t="inlineStr">
        <is>
          <t>R1497382</t>
        </is>
      </c>
      <c r="F2701" s="2" t="n">
        <v>44627</v>
      </c>
      <c r="G2701" s="1" t="n"/>
    </row>
    <row r="2702">
      <c r="A2702" s="6" t="n">
        <v>19481</v>
      </c>
      <c r="B2702" s="6" t="inlineStr">
        <is>
          <t>MAKER'S MARK CASK STRENGTH</t>
        </is>
      </c>
      <c r="C2702" s="7">
        <f>VLOOKUP(A2702,SizeData!A$2:B$3839,2,FALSE)</f>
        <v/>
      </c>
      <c r="D2702" s="6" t="n">
        <v>1</v>
      </c>
      <c r="E2702" s="6" t="inlineStr">
        <is>
          <t>R1841934</t>
        </is>
      </c>
      <c r="F2702" s="2" t="n">
        <v>44866</v>
      </c>
      <c r="G2702" s="1" t="n"/>
    </row>
    <row r="2703">
      <c r="A2703" s="6" t="n">
        <v>19481</v>
      </c>
      <c r="B2703" s="6" t="inlineStr">
        <is>
          <t>MAKER'S MARK CASK STRENGTH</t>
        </is>
      </c>
      <c r="C2703" s="7">
        <f>VLOOKUP(A2703,SizeData!A$2:B$3839,2,FALSE)</f>
        <v/>
      </c>
      <c r="D2703" s="6" t="n">
        <v>2</v>
      </c>
      <c r="E2703" s="6" t="inlineStr">
        <is>
          <t>R1853571</t>
        </is>
      </c>
      <c r="F2703" s="2" t="n">
        <v>44873</v>
      </c>
      <c r="G2703" s="1" t="n"/>
    </row>
    <row r="2704">
      <c r="A2704" s="6" t="n">
        <v>19475</v>
      </c>
      <c r="B2704" s="6" t="inlineStr">
        <is>
          <t>MAKER'S MARK REPLICA</t>
        </is>
      </c>
      <c r="C2704" s="7">
        <f>VLOOKUP(A2704,SizeData!A$2:B$3839,2,FALSE)</f>
        <v/>
      </c>
      <c r="D2704" s="6" t="n">
        <v>2</v>
      </c>
      <c r="E2704" s="6" t="inlineStr">
        <is>
          <t>R1431061</t>
        </is>
      </c>
      <c r="F2704" s="2" t="n">
        <v>44583</v>
      </c>
      <c r="G2704" s="1" t="n"/>
    </row>
    <row r="2705">
      <c r="A2705" s="6" t="n">
        <v>19475</v>
      </c>
      <c r="B2705" s="6" t="inlineStr">
        <is>
          <t>MAKER'S MARK REPLICA</t>
        </is>
      </c>
      <c r="C2705" s="7">
        <f>VLOOKUP(A2705,SizeData!A$2:B$3839,2,FALSE)</f>
        <v/>
      </c>
      <c r="D2705" s="6" t="n">
        <v>3</v>
      </c>
      <c r="E2705" s="6" t="inlineStr">
        <is>
          <t>R1431061</t>
        </is>
      </c>
      <c r="F2705" s="2" t="n">
        <v>44583</v>
      </c>
      <c r="G2705" s="1" t="n"/>
    </row>
    <row r="2706">
      <c r="A2706" s="6" t="n">
        <v>19475</v>
      </c>
      <c r="B2706" s="6" t="inlineStr">
        <is>
          <t>MAKER'S MARK REPLICA</t>
        </is>
      </c>
      <c r="C2706" s="7">
        <f>VLOOKUP(A2706,SizeData!A$2:B$3839,2,FALSE)</f>
        <v/>
      </c>
      <c r="D2706" s="6" t="n">
        <v>1</v>
      </c>
      <c r="E2706" s="6" t="inlineStr">
        <is>
          <t>R1703327</t>
        </is>
      </c>
      <c r="F2706" s="2" t="n">
        <v>44768</v>
      </c>
      <c r="G2706" s="1" t="n"/>
    </row>
    <row r="2707">
      <c r="A2707" s="26" t="n">
        <v>19475</v>
      </c>
      <c r="B2707" s="26" t="inlineStr">
        <is>
          <t>MAKER'S MARK REPLICA</t>
        </is>
      </c>
      <c r="C2707" s="75">
        <f>VLOOKUP(A2707,SizeData!A$2:B$3839,2,FALSE)</f>
        <v/>
      </c>
      <c r="D2707" s="26" t="n">
        <v>4</v>
      </c>
      <c r="E2707" s="26" t="inlineStr">
        <is>
          <t>R1837216</t>
        </is>
      </c>
      <c r="F2707" s="61" t="n">
        <v>44855</v>
      </c>
      <c r="G2707" s="62" t="n"/>
    </row>
    <row r="2708">
      <c r="A2708" s="6" t="n">
        <v>42699</v>
      </c>
      <c r="B2708" s="6" t="inlineStr">
        <is>
          <t>MALIBU MANGO RUM</t>
        </is>
      </c>
      <c r="C2708" s="7">
        <f>VLOOKUP(A2708,SizeData!A$2:B$3839,2,FALSE)</f>
        <v/>
      </c>
      <c r="D2708" s="6" t="n">
        <v>1</v>
      </c>
      <c r="E2708" s="6" t="inlineStr">
        <is>
          <t>R1434427</t>
        </is>
      </c>
      <c r="F2708" s="2" t="n">
        <v>44588</v>
      </c>
      <c r="G2708" s="1" t="n"/>
    </row>
    <row r="2709">
      <c r="A2709" s="6" t="n">
        <v>42703</v>
      </c>
      <c r="B2709" s="6" t="inlineStr">
        <is>
          <t>MALIBU PINEAPPLE RUM</t>
        </is>
      </c>
      <c r="C2709" s="7">
        <f>VLOOKUP(A2709,SizeData!A$2:B$3839,2,FALSE)</f>
        <v/>
      </c>
      <c r="D2709" s="6" t="n">
        <v>1</v>
      </c>
      <c r="E2709" s="6" t="inlineStr">
        <is>
          <t>R1384476</t>
        </is>
      </c>
      <c r="F2709" s="2" t="n">
        <v>44562</v>
      </c>
      <c r="G2709" s="1" t="n"/>
    </row>
    <row r="2710">
      <c r="A2710" s="6" t="n">
        <v>42703</v>
      </c>
      <c r="B2710" s="6" t="inlineStr">
        <is>
          <t>MALIBU PINEAPPLE RUM</t>
        </is>
      </c>
      <c r="C2710" s="7">
        <f>VLOOKUP(A2710,SizeData!A$2:B$3839,2,FALSE)</f>
        <v/>
      </c>
      <c r="D2710" s="6" t="n">
        <v>3</v>
      </c>
      <c r="E2710" s="6" t="inlineStr">
        <is>
          <t>R1401044</t>
        </is>
      </c>
      <c r="F2710" s="2" t="n">
        <v>44562</v>
      </c>
      <c r="G2710" s="1" t="n"/>
    </row>
    <row r="2711">
      <c r="A2711" s="6" t="n">
        <v>42703</v>
      </c>
      <c r="B2711" s="6" t="inlineStr">
        <is>
          <t>MALIBU PINEAPPLE RUM</t>
        </is>
      </c>
      <c r="C2711" s="7">
        <f>VLOOKUP(A2711,SizeData!A$2:B$3839,2,FALSE)</f>
        <v/>
      </c>
      <c r="D2711" s="6" t="n">
        <v>1</v>
      </c>
      <c r="E2711" s="6" t="inlineStr">
        <is>
          <t>R1840965</t>
        </is>
      </c>
      <c r="F2711" s="2" t="n">
        <v>44863</v>
      </c>
      <c r="G2711" s="1" t="n"/>
    </row>
    <row r="2712">
      <c r="A2712" s="6" t="n">
        <v>42712</v>
      </c>
      <c r="B2712" s="6" t="inlineStr">
        <is>
          <t>MALIBU RUM</t>
        </is>
      </c>
      <c r="C2712" s="7">
        <f>VLOOKUP(A2712,SizeData!A$2:B$3839,2,FALSE)</f>
        <v/>
      </c>
      <c r="D2712" s="6" t="n">
        <v>1</v>
      </c>
      <c r="E2712" s="6" t="inlineStr">
        <is>
          <t>R1486336</t>
        </is>
      </c>
      <c r="F2712" s="2" t="n">
        <v>44620</v>
      </c>
      <c r="G2712" s="1" t="n"/>
    </row>
    <row r="2713">
      <c r="A2713" s="6" t="n">
        <v>42714</v>
      </c>
      <c r="B2713" s="6" t="inlineStr">
        <is>
          <t>MALIBU RUM</t>
        </is>
      </c>
      <c r="C2713" s="7">
        <f>VLOOKUP(A2713,SizeData!A$2:B$3839,2,FALSE)</f>
        <v/>
      </c>
      <c r="D2713" s="6" t="n">
        <v>1</v>
      </c>
      <c r="E2713" s="6" t="inlineStr">
        <is>
          <t>R1646165</t>
        </is>
      </c>
      <c r="F2713" s="2" t="n">
        <v>44723</v>
      </c>
      <c r="G2713" s="1" t="n"/>
    </row>
    <row r="2714">
      <c r="A2714" s="6" t="n">
        <v>42716</v>
      </c>
      <c r="B2714" s="6" t="inlineStr">
        <is>
          <t>MALIBU RUM</t>
        </is>
      </c>
      <c r="C2714" s="7">
        <f>VLOOKUP(A2714,SizeData!A$2:B$3839,2,FALSE)</f>
        <v/>
      </c>
      <c r="D2714" s="6" t="n">
        <v>10</v>
      </c>
      <c r="E2714" s="6" t="inlineStr">
        <is>
          <t>R1415268</t>
        </is>
      </c>
      <c r="F2714" s="2" t="n">
        <v>44573</v>
      </c>
      <c r="G2714" s="1" t="n"/>
    </row>
    <row r="2715">
      <c r="A2715" s="6" t="n">
        <v>42718</v>
      </c>
      <c r="B2715" s="6" t="inlineStr">
        <is>
          <t>MALIBU RUM</t>
        </is>
      </c>
      <c r="C2715" s="7">
        <f>VLOOKUP(A2715,SizeData!A$2:B$3839,2,FALSE)</f>
        <v/>
      </c>
      <c r="D2715" s="6" t="n">
        <v>3</v>
      </c>
      <c r="E2715" s="6" t="inlineStr">
        <is>
          <t>R1383976</t>
        </is>
      </c>
      <c r="F2715" s="2" t="n">
        <v>44561</v>
      </c>
      <c r="G2715" s="1" t="n"/>
    </row>
    <row r="2716">
      <c r="A2716" s="6" t="n">
        <v>42718</v>
      </c>
      <c r="B2716" s="6" t="inlineStr">
        <is>
          <t>MALIBU RUM</t>
        </is>
      </c>
      <c r="C2716" s="7">
        <f>VLOOKUP(A2716,SizeData!A$2:B$3839,2,FALSE)</f>
        <v/>
      </c>
      <c r="D2716" s="6" t="n">
        <v>2</v>
      </c>
      <c r="E2716" s="6" t="inlineStr">
        <is>
          <t>R1751391</t>
        </is>
      </c>
      <c r="F2716" s="2" t="n">
        <v>44805</v>
      </c>
      <c r="G2716" s="1" t="n"/>
    </row>
    <row r="2717">
      <c r="A2717" s="6" t="n">
        <v>42718</v>
      </c>
      <c r="B2717" s="6" t="inlineStr">
        <is>
          <t>MALIBU RUM</t>
        </is>
      </c>
      <c r="C2717" s="7">
        <f>VLOOKUP(A2717,SizeData!A$2:B$3839,2,FALSE)</f>
        <v/>
      </c>
      <c r="D2717" s="6" t="n">
        <v>7</v>
      </c>
      <c r="E2717" s="6" t="inlineStr">
        <is>
          <t>R1763315</t>
        </is>
      </c>
      <c r="F2717" s="2" t="n">
        <v>44814</v>
      </c>
      <c r="G2717" s="1" t="n"/>
    </row>
    <row r="2718">
      <c r="A2718" s="6" t="n">
        <v>42718</v>
      </c>
      <c r="B2718" s="6" t="inlineStr">
        <is>
          <t>MALIBU RUM</t>
        </is>
      </c>
      <c r="C2718" s="7">
        <f>VLOOKUP(A2718,SizeData!A$2:B$3839,2,FALSE)</f>
        <v/>
      </c>
      <c r="D2718" s="6" t="n">
        <v>3</v>
      </c>
      <c r="E2718" s="6" t="inlineStr">
        <is>
          <t>R1768452</t>
        </is>
      </c>
      <c r="F2718" s="2" t="n">
        <v>44818</v>
      </c>
      <c r="G2718" s="1" t="n"/>
    </row>
    <row r="2719">
      <c r="A2719" s="6" t="n">
        <v>42718</v>
      </c>
      <c r="B2719" s="6" t="inlineStr">
        <is>
          <t>MALIBU RUM</t>
        </is>
      </c>
      <c r="C2719" s="7">
        <f>VLOOKUP(A2719,SizeData!A$2:B$3839,2,FALSE)</f>
        <v/>
      </c>
      <c r="D2719" s="6" t="n">
        <v>7</v>
      </c>
      <c r="E2719" s="6" t="inlineStr">
        <is>
          <t>R1768922</t>
        </is>
      </c>
      <c r="F2719" s="2" t="n">
        <v>44819</v>
      </c>
      <c r="G2719" s="1" t="n"/>
    </row>
    <row r="2720">
      <c r="A2720" s="6" t="n">
        <v>43902</v>
      </c>
      <c r="B2720" s="6" t="inlineStr">
        <is>
          <t>MALIBU STRAWBERRY</t>
        </is>
      </c>
      <c r="C2720" s="7">
        <f>VLOOKUP(A2720,SizeData!A$2:B$3839,2,FALSE)</f>
        <v/>
      </c>
      <c r="D2720" s="6" t="n">
        <v>1</v>
      </c>
      <c r="E2720" s="6" t="inlineStr">
        <is>
          <t>R1486336</t>
        </is>
      </c>
      <c r="F2720" s="2" t="n">
        <v>44620</v>
      </c>
      <c r="G2720" s="1" t="n"/>
    </row>
    <row r="2721">
      <c r="A2721" s="26" t="n">
        <v>43902</v>
      </c>
      <c r="B2721" s="26" t="inlineStr">
        <is>
          <t>MALIBU STRAWBERRY</t>
        </is>
      </c>
      <c r="C2721" s="75">
        <f>VLOOKUP(A2721,SizeData!A$2:B$3839,2,FALSE)</f>
        <v/>
      </c>
      <c r="D2721" s="26" t="n">
        <v>1</v>
      </c>
      <c r="E2721" s="26" t="inlineStr">
        <is>
          <t>R1888886</t>
        </is>
      </c>
      <c r="F2721" s="61" t="n">
        <v>44902</v>
      </c>
      <c r="G2721" s="62" t="n"/>
    </row>
    <row r="2722">
      <c r="A2722" s="6" t="n">
        <v>42610</v>
      </c>
      <c r="B2722" s="6" t="inlineStr">
        <is>
          <t>MALIBU TROPICAL BANANA RUM</t>
        </is>
      </c>
      <c r="C2722" s="7">
        <f>VLOOKUP(A2722,SizeData!A$2:B$3839,2,FALSE)</f>
        <v/>
      </c>
      <c r="D2722" s="6" t="n">
        <v>1</v>
      </c>
      <c r="E2722" s="6" t="inlineStr">
        <is>
          <t>R1401044</t>
        </is>
      </c>
      <c r="F2722" s="2" t="n">
        <v>44562</v>
      </c>
      <c r="G2722" s="1" t="n"/>
    </row>
    <row r="2723">
      <c r="A2723" s="6" t="n">
        <v>43860</v>
      </c>
      <c r="B2723" s="6" t="inlineStr">
        <is>
          <t>MALIBU WATERMELON</t>
        </is>
      </c>
      <c r="C2723" s="7">
        <f>VLOOKUP(A2723,SizeData!A$2:B$3839,2,FALSE)</f>
        <v/>
      </c>
      <c r="D2723" s="6" t="n">
        <v>1</v>
      </c>
      <c r="E2723" s="6" t="inlineStr">
        <is>
          <t>R1495781</t>
        </is>
      </c>
      <c r="F2723" s="2" t="n">
        <v>44627</v>
      </c>
      <c r="G2723" s="1" t="n"/>
    </row>
    <row r="2724">
      <c r="A2724" s="6" t="n">
        <v>43860</v>
      </c>
      <c r="B2724" s="6" t="inlineStr">
        <is>
          <t>MALIBU WATERMELON</t>
        </is>
      </c>
      <c r="C2724" s="7">
        <f>VLOOKUP(A2724,SizeData!A$2:B$3839,2,FALSE)</f>
        <v/>
      </c>
      <c r="D2724" s="6" t="n">
        <v>2</v>
      </c>
      <c r="E2724" s="6" t="inlineStr">
        <is>
          <t>R1567357</t>
        </is>
      </c>
      <c r="F2724" s="2" t="n">
        <v>44665</v>
      </c>
      <c r="G2724" s="1" t="n"/>
    </row>
    <row r="2725">
      <c r="A2725" s="6" t="n">
        <v>483120</v>
      </c>
      <c r="B2725" s="6" t="inlineStr">
        <is>
          <t>MANISCHEWITZ CONCORD</t>
        </is>
      </c>
      <c r="C2725" s="7">
        <f>VLOOKUP(A2725,SizeData!A$2:B$3839,2,FALSE)</f>
        <v/>
      </c>
      <c r="D2725" s="6" t="n">
        <v>1</v>
      </c>
      <c r="E2725" s="6" t="inlineStr">
        <is>
          <t>R1883576</t>
        </is>
      </c>
      <c r="F2725" s="2" t="n">
        <v>44895</v>
      </c>
      <c r="G2725" s="1" t="n"/>
    </row>
    <row r="2726">
      <c r="A2726" s="6" t="n">
        <v>482703</v>
      </c>
      <c r="B2726" s="6" t="inlineStr">
        <is>
          <t>MANISCHEWITZ CREAM RED CONCORD</t>
        </is>
      </c>
      <c r="C2726" s="7">
        <f>VLOOKUP(A2726,SizeData!A$2:B$3839,2,FALSE)</f>
        <v/>
      </c>
      <c r="D2726" s="6" t="n">
        <v>1</v>
      </c>
      <c r="E2726" s="6" t="inlineStr">
        <is>
          <t>R1647521</t>
        </is>
      </c>
      <c r="F2726" s="2" t="n">
        <v>44723</v>
      </c>
      <c r="G2726" s="1" t="n"/>
    </row>
    <row r="2727">
      <c r="A2727" s="6" t="n">
        <v>482705</v>
      </c>
      <c r="B2727" s="6" t="inlineStr">
        <is>
          <t>MANISCHEWITZ CREAM RED CONCORD</t>
        </is>
      </c>
      <c r="C2727" s="7">
        <f>VLOOKUP(A2727,SizeData!A$2:B$3839,2,FALSE)</f>
        <v/>
      </c>
      <c r="D2727" s="6" t="n">
        <v>1</v>
      </c>
      <c r="E2727" s="6" t="inlineStr">
        <is>
          <t>R1426776</t>
        </is>
      </c>
      <c r="F2727" s="2" t="n">
        <v>44585</v>
      </c>
      <c r="G2727" s="1" t="n"/>
    </row>
    <row r="2728">
      <c r="A2728" s="1" t="n">
        <v>482705</v>
      </c>
      <c r="B2728" s="1" t="inlineStr">
        <is>
          <t>MANISCHEWITZ CREAM RED CONCORD</t>
        </is>
      </c>
      <c r="C2728" s="7">
        <f>VLOOKUP(A2728,SizeData!A$2:B$3839,2,FALSE)</f>
        <v/>
      </c>
      <c r="D2728" s="1" t="n">
        <v>1</v>
      </c>
      <c r="E2728" s="1" t="inlineStr">
        <is>
          <t>R1537267</t>
        </is>
      </c>
      <c r="F2728" s="33" t="n">
        <v>44649</v>
      </c>
      <c r="G2728" s="1" t="n"/>
    </row>
    <row r="2729">
      <c r="A2729" s="6" t="n">
        <v>482705</v>
      </c>
      <c r="B2729" s="6" t="inlineStr">
        <is>
          <t>MANISCHEWITZ CREAM RED CONCORD</t>
        </is>
      </c>
      <c r="C2729" s="7">
        <f>VLOOKUP(A2729,SizeData!A$2:B$3839,2,FALSE)</f>
        <v/>
      </c>
      <c r="D2729" s="6" t="n">
        <v>1</v>
      </c>
      <c r="E2729" s="6" t="inlineStr">
        <is>
          <t xml:space="preserve"> R1632464</t>
        </is>
      </c>
      <c r="F2729" s="2" t="n">
        <v>44715</v>
      </c>
      <c r="G2729" s="1" t="n"/>
    </row>
    <row r="2730">
      <c r="A2730" s="6" t="n">
        <v>482705</v>
      </c>
      <c r="B2730" s="6" t="inlineStr">
        <is>
          <t>MANISCHEWITZ CREAM RED CONCORD</t>
        </is>
      </c>
      <c r="C2730" s="7">
        <f>VLOOKUP(A2730,SizeData!A$2:B$3839,2,FALSE)</f>
        <v/>
      </c>
      <c r="D2730" s="6" t="n">
        <v>1</v>
      </c>
      <c r="E2730" s="6" t="inlineStr">
        <is>
          <t>R1892470</t>
        </is>
      </c>
      <c r="F2730" s="2" t="n">
        <v>44902</v>
      </c>
      <c r="G2730" s="1" t="n"/>
    </row>
    <row r="2731">
      <c r="A2731" s="6" t="n">
        <v>586415</v>
      </c>
      <c r="B2731" s="6" t="inlineStr">
        <is>
          <t>MANISCHEWITZ CREAM WHITE CONCORD</t>
        </is>
      </c>
      <c r="C2731" s="7">
        <f>VLOOKUP(A2731,SizeData!A$2:B$3839,2,FALSE)</f>
        <v/>
      </c>
      <c r="D2731" s="6" t="n">
        <v>2</v>
      </c>
      <c r="E2731" s="6" t="inlineStr">
        <is>
          <t>R1550755</t>
        </is>
      </c>
      <c r="F2731" s="2" t="n">
        <v>44650</v>
      </c>
      <c r="G2731" s="1" t="n"/>
    </row>
    <row r="2732">
      <c r="A2732" s="6" t="n">
        <v>586415</v>
      </c>
      <c r="B2732" s="6" t="inlineStr">
        <is>
          <t>MANISCHEWITZ CREAM WHITE CONCORD</t>
        </is>
      </c>
      <c r="C2732" s="7">
        <f>VLOOKUP(A2732,SizeData!A$2:B$3839,2,FALSE)</f>
        <v/>
      </c>
      <c r="D2732" s="6" t="n">
        <v>1</v>
      </c>
      <c r="E2732" s="6" t="inlineStr">
        <is>
          <t>R1597736</t>
        </is>
      </c>
      <c r="F2732" s="2" t="n">
        <v>44686</v>
      </c>
      <c r="G2732" s="1" t="n"/>
    </row>
    <row r="2733">
      <c r="A2733" s="6" t="n">
        <v>586415</v>
      </c>
      <c r="B2733" s="6" t="inlineStr">
        <is>
          <t>MANISCHEWITZ CREAM WHITE CONCORD</t>
        </is>
      </c>
      <c r="C2733" s="7">
        <f>VLOOKUP(A2733,SizeData!A$2:B$3839,2,FALSE)</f>
        <v/>
      </c>
      <c r="D2733" s="6" t="n">
        <v>2</v>
      </c>
      <c r="E2733" s="6" t="inlineStr">
        <is>
          <t>R1681827</t>
        </is>
      </c>
      <c r="F2733" s="2" t="n">
        <v>44748</v>
      </c>
      <c r="G2733" s="1" t="n"/>
    </row>
    <row r="2734">
      <c r="A2734" s="6" t="n">
        <v>369100</v>
      </c>
      <c r="B2734" s="6" t="inlineStr">
        <is>
          <t>MARCO NEGRI MOSCATO D'ASTI</t>
        </is>
      </c>
      <c r="C2734" s="7">
        <f>VLOOKUP(A2734,SizeData!A$2:B$3839,2,FALSE)</f>
        <v/>
      </c>
      <c r="D2734" s="6" t="n">
        <v>1</v>
      </c>
      <c r="E2734" s="6" t="inlineStr">
        <is>
          <t>R1376605</t>
        </is>
      </c>
      <c r="F2734" s="2" t="n">
        <v>44544</v>
      </c>
      <c r="G2734" s="1" t="n"/>
    </row>
    <row r="2735">
      <c r="A2735" s="6" t="n">
        <v>369100</v>
      </c>
      <c r="B2735" s="6" t="inlineStr">
        <is>
          <t>MARCO NEGRI MOSCATO D'ASTI</t>
        </is>
      </c>
      <c r="C2735" s="7">
        <f>VLOOKUP(A2735,SizeData!A$2:B$3839,2,FALSE)</f>
        <v/>
      </c>
      <c r="D2735" s="6" t="n">
        <v>2</v>
      </c>
      <c r="E2735" s="6" t="inlineStr">
        <is>
          <t>R1503957</t>
        </is>
      </c>
      <c r="F2735" s="2" t="n">
        <v>44636</v>
      </c>
      <c r="G2735" s="1" t="n"/>
    </row>
    <row r="2736">
      <c r="A2736" s="6" t="n">
        <v>369100</v>
      </c>
      <c r="B2736" s="6" t="inlineStr">
        <is>
          <t>MARCO NEGRI MOSCATO D'ASTI</t>
        </is>
      </c>
      <c r="C2736" s="7">
        <f>VLOOKUP(A2736,SizeData!A$2:B$3839,2,FALSE)</f>
        <v/>
      </c>
      <c r="D2736" s="6" t="n">
        <v>1</v>
      </c>
      <c r="E2736" s="6" t="inlineStr">
        <is>
          <t>R1531250</t>
        </is>
      </c>
      <c r="F2736" s="2" t="n">
        <v>44639</v>
      </c>
      <c r="G2736" s="1" t="n"/>
    </row>
    <row r="2737">
      <c r="A2737" s="6" t="n">
        <v>369105</v>
      </c>
      <c r="B2737" s="6" t="inlineStr">
        <is>
          <t>MARCO NEGRI SWEET ROSSO</t>
        </is>
      </c>
      <c r="C2737" s="7">
        <f>VLOOKUP(A2737,SizeData!A$2:B$3839,2,FALSE)</f>
        <v/>
      </c>
      <c r="D2737" s="6" t="n">
        <v>1</v>
      </c>
      <c r="E2737" s="6" t="inlineStr">
        <is>
          <t>R1489956</t>
        </is>
      </c>
      <c r="F2737" s="2" t="n">
        <v>44631</v>
      </c>
      <c r="G2737" s="1" t="n"/>
    </row>
    <row r="2738">
      <c r="A2738" s="6" t="n">
        <v>65790</v>
      </c>
      <c r="B2738" s="6" t="inlineStr">
        <is>
          <t>MARTELL BLUE SWIFT</t>
        </is>
      </c>
      <c r="C2738" s="7">
        <f>VLOOKUP(A2738,SizeData!A$2:B$3839,2,FALSE)</f>
        <v/>
      </c>
      <c r="D2738" s="6" t="n">
        <v>1</v>
      </c>
      <c r="E2738" s="6" t="inlineStr">
        <is>
          <t>R1398653</t>
        </is>
      </c>
      <c r="F2738" s="2" t="n">
        <v>44571</v>
      </c>
      <c r="G2738" s="1" t="n"/>
    </row>
    <row r="2739">
      <c r="A2739" s="6" t="n">
        <v>65790</v>
      </c>
      <c r="B2739" s="6" t="inlineStr">
        <is>
          <t>MARTELL BLUE SWIFT</t>
        </is>
      </c>
      <c r="C2739" s="7">
        <f>VLOOKUP(A2739,SizeData!A$2:B$3839,2,FALSE)</f>
        <v/>
      </c>
      <c r="D2739" s="6" t="n">
        <v>1</v>
      </c>
      <c r="E2739" s="6" t="inlineStr">
        <is>
          <t>R1487835</t>
        </is>
      </c>
      <c r="F2739" s="2" t="n">
        <v>44621</v>
      </c>
      <c r="G2739" s="1" t="n"/>
    </row>
    <row r="2740">
      <c r="A2740" s="6" t="n">
        <v>65790</v>
      </c>
      <c r="B2740" s="6" t="inlineStr">
        <is>
          <t>MARTELL BLUE SWIFT</t>
        </is>
      </c>
      <c r="C2740" s="7">
        <f>VLOOKUP(A2740,SizeData!A$2:B$3839,2,FALSE)</f>
        <v/>
      </c>
      <c r="D2740" s="6" t="n">
        <v>1</v>
      </c>
      <c r="E2740" s="6" t="inlineStr">
        <is>
          <t>R1620841</t>
        </is>
      </c>
      <c r="F2740" s="2" t="n">
        <v>44699</v>
      </c>
      <c r="G2740" s="1" t="n"/>
    </row>
    <row r="2741">
      <c r="A2741" s="6" t="n">
        <v>65790</v>
      </c>
      <c r="B2741" s="6" t="inlineStr">
        <is>
          <t>MARTELL BLUE SWIFT</t>
        </is>
      </c>
      <c r="C2741" s="7">
        <f>VLOOKUP(A2741,SizeData!A$2:B$3839,2,FALSE)</f>
        <v/>
      </c>
      <c r="D2741" s="6" t="n">
        <v>1</v>
      </c>
      <c r="E2741" s="6" t="inlineStr">
        <is>
          <t>R1684230</t>
        </is>
      </c>
      <c r="F2741" s="2" t="n">
        <v>44756</v>
      </c>
      <c r="G2741" s="1" t="n"/>
    </row>
    <row r="2742">
      <c r="A2742" s="6" t="n">
        <v>65790</v>
      </c>
      <c r="B2742" s="6" t="inlineStr">
        <is>
          <t>MARTELL BLUE SWIFT</t>
        </is>
      </c>
      <c r="C2742" s="7">
        <f>VLOOKUP(A2742,SizeData!A$2:B$3839,2,FALSE)</f>
        <v/>
      </c>
      <c r="D2742" s="6" t="n">
        <v>4</v>
      </c>
      <c r="E2742" s="6" t="inlineStr">
        <is>
          <t>R1843425</t>
        </is>
      </c>
      <c r="F2742" s="2" t="n">
        <v>44866</v>
      </c>
      <c r="G2742" s="1" t="n"/>
    </row>
    <row r="2743">
      <c r="A2743" s="6" t="n">
        <v>65790</v>
      </c>
      <c r="B2743" s="6" t="inlineStr">
        <is>
          <t>MARTELL BLUE SWIFT</t>
        </is>
      </c>
      <c r="C2743" s="7">
        <f>VLOOKUP(A2743,SizeData!A$2:B$3839,2,FALSE)</f>
        <v/>
      </c>
      <c r="D2743" s="6" t="n">
        <v>18</v>
      </c>
      <c r="E2743" s="6" t="inlineStr">
        <is>
          <t>R1852996</t>
        </is>
      </c>
      <c r="F2743" s="2" t="n">
        <v>44879</v>
      </c>
      <c r="G2743" s="1" t="n"/>
    </row>
    <row r="2744">
      <c r="A2744" s="26" t="n">
        <v>65792</v>
      </c>
      <c r="B2744" s="26" t="inlineStr">
        <is>
          <t>MARTELL BLUE SWIFT COGNAC BRANDY</t>
        </is>
      </c>
      <c r="C2744" s="7">
        <f>VLOOKUP(A2744,SizeData!A$2:B$3839,2,FALSE)</f>
        <v/>
      </c>
      <c r="D2744" s="26" t="n">
        <v>5</v>
      </c>
      <c r="E2744" s="26" t="inlineStr">
        <is>
          <t>R1684230</t>
        </is>
      </c>
      <c r="F2744" s="61" t="n">
        <v>44756</v>
      </c>
      <c r="G2744" s="62" t="n"/>
    </row>
    <row r="2745">
      <c r="A2745" s="6" t="n">
        <v>65792</v>
      </c>
      <c r="B2745" s="6" t="inlineStr">
        <is>
          <t>MARTELL BLUE SWIFT COGNAC BRANDY</t>
        </is>
      </c>
      <c r="C2745" s="7">
        <f>VLOOKUP(A2745,SizeData!A$2:B$3839,2,FALSE)</f>
        <v/>
      </c>
      <c r="D2745" s="6" t="n">
        <v>2</v>
      </c>
      <c r="E2745" s="6" t="inlineStr">
        <is>
          <t>R1782657</t>
        </is>
      </c>
      <c r="F2745" s="2" t="n">
        <v>44828</v>
      </c>
      <c r="G2745" s="1" t="n"/>
    </row>
    <row r="2746">
      <c r="A2746" s="6" t="n">
        <v>65792</v>
      </c>
      <c r="B2746" s="6" t="inlineStr">
        <is>
          <t>MARTELL BLUE SWIFT COGNAC BRANDY</t>
        </is>
      </c>
      <c r="C2746" s="7">
        <f>VLOOKUP(A2746,SizeData!A$2:B$3839,2,FALSE)</f>
        <v/>
      </c>
      <c r="D2746" s="6" t="n">
        <v>1</v>
      </c>
      <c r="E2746" s="6" t="inlineStr">
        <is>
          <t>R1830260</t>
        </is>
      </c>
      <c r="F2746" s="2" t="n">
        <v>44853</v>
      </c>
      <c r="G2746" s="1" t="n"/>
    </row>
    <row r="2747">
      <c r="A2747" s="6" t="n">
        <v>65792</v>
      </c>
      <c r="B2747" s="6" t="inlineStr">
        <is>
          <t>MARTELL BLUE SWIFT COGNAC BRANDY</t>
        </is>
      </c>
      <c r="C2747" s="7">
        <f>VLOOKUP(A2747,SizeData!A$2:B$3839,2,FALSE)</f>
        <v/>
      </c>
      <c r="D2747" s="6" t="n">
        <v>3</v>
      </c>
      <c r="E2747" s="6" t="inlineStr">
        <is>
          <t>R1846865</t>
        </is>
      </c>
      <c r="F2747" s="2" t="n">
        <v>44866</v>
      </c>
      <c r="G2747" s="1" t="n"/>
    </row>
    <row r="2748">
      <c r="A2748" s="6" t="n">
        <v>65792</v>
      </c>
      <c r="B2748" s="6" t="inlineStr">
        <is>
          <t>MARTELL BLUE SWIFT COGNAC BRANDY</t>
        </is>
      </c>
      <c r="C2748" s="7">
        <f>VLOOKUP(A2748,SizeData!A$2:B$3839,2,FALSE)</f>
        <v/>
      </c>
      <c r="D2748" s="6" t="n">
        <v>1</v>
      </c>
      <c r="E2748" s="6" t="inlineStr">
        <is>
          <t>R1849372</t>
        </is>
      </c>
      <c r="F2748" s="2" t="n">
        <v>44879</v>
      </c>
      <c r="G2748" s="1" t="n"/>
    </row>
    <row r="2749">
      <c r="A2749" s="26" t="n">
        <v>65792</v>
      </c>
      <c r="B2749" s="26" t="inlineStr">
        <is>
          <t>MARTELL BLUE SWIFT COGNAC BRANDY</t>
        </is>
      </c>
      <c r="C2749" s="75">
        <f>VLOOKUP(A2749,SizeData!A$2:B$3839,2,FALSE)</f>
        <v/>
      </c>
      <c r="D2749" s="26" t="n">
        <v>7</v>
      </c>
      <c r="E2749" s="26" t="inlineStr">
        <is>
          <t>R1849372</t>
        </is>
      </c>
      <c r="F2749" s="61" t="n">
        <v>44879</v>
      </c>
      <c r="G2749" s="62" t="n"/>
    </row>
    <row r="2750">
      <c r="A2750" s="6" t="n">
        <v>65792</v>
      </c>
      <c r="B2750" s="6" t="inlineStr">
        <is>
          <t>MARTELL BLUE SWIFT COGNAC BRANDY</t>
        </is>
      </c>
      <c r="C2750" s="7">
        <f>VLOOKUP(A2750,SizeData!A$2:B$3839,2,FALSE)</f>
        <v/>
      </c>
      <c r="D2750" s="6" t="n">
        <v>9</v>
      </c>
      <c r="E2750" s="6" t="inlineStr">
        <is>
          <t>R1876419</t>
        </is>
      </c>
      <c r="F2750" s="2" t="n">
        <v>44883</v>
      </c>
      <c r="G2750" s="1" t="n"/>
    </row>
    <row r="2751">
      <c r="A2751" s="6" t="n">
        <v>65793</v>
      </c>
      <c r="B2751" s="6" t="inlineStr">
        <is>
          <t>MARTELL BLUESWIFT</t>
        </is>
      </c>
      <c r="C2751" s="7">
        <f>VLOOKUP(A2751,SizeData!A$2:B$3839,2,FALSE)</f>
        <v/>
      </c>
      <c r="D2751" s="6" t="n">
        <v>2</v>
      </c>
      <c r="E2751" s="6" t="inlineStr">
        <is>
          <t>R1434590</t>
        </is>
      </c>
      <c r="F2751" s="2" t="n">
        <v>44594</v>
      </c>
      <c r="G2751" s="1" t="n"/>
    </row>
    <row r="2752" ht="17.25" customHeight="1">
      <c r="A2752" s="6" t="n">
        <v>65793</v>
      </c>
      <c r="B2752" s="6" t="inlineStr">
        <is>
          <t>MARTELL BLUESWIFT</t>
        </is>
      </c>
      <c r="C2752" s="7">
        <f>VLOOKUP(A2752,SizeData!A$2:B$3839,2,FALSE)</f>
        <v/>
      </c>
      <c r="D2752" s="6" t="n">
        <v>2</v>
      </c>
      <c r="E2752" s="6" t="inlineStr">
        <is>
          <t>R1434590</t>
        </is>
      </c>
      <c r="F2752" s="2" t="n">
        <v>44594</v>
      </c>
      <c r="G2752" s="1" t="n"/>
    </row>
    <row r="2753">
      <c r="A2753" s="6" t="n">
        <v>65793</v>
      </c>
      <c r="B2753" s="6" t="inlineStr">
        <is>
          <t>MARTELL BLUESWIFT</t>
        </is>
      </c>
      <c r="C2753" s="7">
        <f>VLOOKUP(A2753,SizeData!A$2:B$3839,2,FALSE)</f>
        <v/>
      </c>
      <c r="D2753" s="6" t="n">
        <v>1</v>
      </c>
      <c r="E2753" s="6" t="inlineStr">
        <is>
          <t>R1712710</t>
        </is>
      </c>
      <c r="F2753" s="2" t="n">
        <v>44772</v>
      </c>
      <c r="G2753" s="1" t="n"/>
    </row>
    <row r="2754">
      <c r="A2754" s="6" t="n">
        <v>48690</v>
      </c>
      <c r="B2754" s="6" t="inlineStr">
        <is>
          <t>MARTELL V S COGNAC</t>
        </is>
      </c>
      <c r="C2754" s="7">
        <f>VLOOKUP(A2754,SizeData!A$2:B$3839,2,FALSE)</f>
        <v/>
      </c>
      <c r="D2754" s="6" t="n">
        <v>10</v>
      </c>
      <c r="E2754" s="6" t="inlineStr">
        <is>
          <t>R1792137</t>
        </is>
      </c>
      <c r="F2754" s="2" t="n">
        <v>44835</v>
      </c>
      <c r="G2754" s="1" t="n"/>
    </row>
    <row r="2755">
      <c r="A2755" s="6" t="n">
        <v>48696</v>
      </c>
      <c r="B2755" s="6" t="inlineStr">
        <is>
          <t>MARTELL V S COGNAC</t>
        </is>
      </c>
      <c r="C2755" s="7">
        <f>VLOOKUP(A2755,SizeData!A$2:B$3839,2,FALSE)</f>
        <v/>
      </c>
      <c r="D2755" s="6" t="n">
        <v>3</v>
      </c>
      <c r="E2755" s="6" t="inlineStr">
        <is>
          <t>R1496619</t>
        </is>
      </c>
      <c r="F2755" s="2" t="n">
        <v>44621</v>
      </c>
      <c r="G2755" s="1" t="n"/>
    </row>
    <row r="2756">
      <c r="A2756" s="6" t="n">
        <v>48696</v>
      </c>
      <c r="B2756" s="6" t="inlineStr">
        <is>
          <t>MARTELL V S COGNAC</t>
        </is>
      </c>
      <c r="C2756" s="7">
        <f>VLOOKUP(A2756,SizeData!A$2:B$3839,2,FALSE)</f>
        <v/>
      </c>
      <c r="D2756" s="6" t="n">
        <v>1</v>
      </c>
      <c r="E2756" s="6" t="inlineStr">
        <is>
          <t>R1900430</t>
        </is>
      </c>
      <c r="F2756" s="2" t="n">
        <v>44896</v>
      </c>
      <c r="G2756" s="1" t="n"/>
    </row>
    <row r="2757">
      <c r="A2757" s="6" t="n">
        <v>48699</v>
      </c>
      <c r="B2757" s="6" t="inlineStr">
        <is>
          <t>MARTELL V S COGNAC FLASK</t>
        </is>
      </c>
      <c r="C2757" s="7">
        <f>VLOOKUP(A2757,SizeData!A$2:B$3839,2,FALSE)</f>
        <v/>
      </c>
      <c r="D2757" s="6" t="n">
        <v>300</v>
      </c>
      <c r="E2757" s="6" t="inlineStr">
        <is>
          <t>R1792137</t>
        </is>
      </c>
      <c r="F2757" s="2" t="n">
        <v>44835</v>
      </c>
      <c r="G2757" s="1" t="n"/>
    </row>
    <row r="2758">
      <c r="A2758" s="6" t="n">
        <v>729155</v>
      </c>
      <c r="B2758" s="6" t="inlineStr">
        <is>
          <t>MARTINI &amp; ROSSI ASTI SPUMANTE</t>
        </is>
      </c>
      <c r="C2758" s="7">
        <f>VLOOKUP(A2758,SizeData!A$2:B$3839,2,FALSE)</f>
        <v/>
      </c>
      <c r="D2758" s="6" t="n">
        <v>1</v>
      </c>
      <c r="E2758" s="6" t="inlineStr">
        <is>
          <t>R1624762</t>
        </is>
      </c>
      <c r="F2758" s="2" t="n">
        <v>44712</v>
      </c>
      <c r="G2758" s="1" t="n"/>
    </row>
    <row r="2759">
      <c r="A2759" s="6" t="n">
        <v>729155</v>
      </c>
      <c r="B2759" s="6" t="inlineStr">
        <is>
          <t>MARTINI &amp; ROSSI ASTI SPUMANTE</t>
        </is>
      </c>
      <c r="C2759" s="7">
        <f>VLOOKUP(A2759,SizeData!A$2:B$3839,2,FALSE)</f>
        <v/>
      </c>
      <c r="D2759" s="6" t="n">
        <v>1</v>
      </c>
      <c r="E2759" s="6" t="inlineStr">
        <is>
          <t>R1744939</t>
        </is>
      </c>
      <c r="F2759" s="2" t="n">
        <v>44804</v>
      </c>
      <c r="G2759" s="1" t="n"/>
    </row>
    <row r="2760">
      <c r="A2760" s="6" t="n">
        <v>729155</v>
      </c>
      <c r="B2760" s="6" t="inlineStr">
        <is>
          <t>MARTINI &amp; ROSSI ASTI SPUMANTE</t>
        </is>
      </c>
      <c r="C2760" s="7">
        <f>VLOOKUP(A2760,SizeData!A$2:B$3839,2,FALSE)</f>
        <v/>
      </c>
      <c r="D2760" s="6" t="n">
        <v>1</v>
      </c>
      <c r="E2760" s="6" t="inlineStr">
        <is>
          <t>R1894827</t>
        </is>
      </c>
      <c r="F2760" s="2" t="n">
        <v>44902</v>
      </c>
      <c r="G2760" s="1" t="n"/>
    </row>
    <row r="2761">
      <c r="A2761" s="6" t="n">
        <v>729160</v>
      </c>
      <c r="B2761" s="6" t="inlineStr">
        <is>
          <t>MARTINI &amp; ROSSI ASTI SPUMANTE</t>
        </is>
      </c>
      <c r="C2761" s="7">
        <f>VLOOKUP(A2761,SizeData!A$2:B$3839,2,FALSE)</f>
        <v/>
      </c>
      <c r="D2761" s="6" t="n">
        <v>2</v>
      </c>
      <c r="E2761" s="6" t="inlineStr">
        <is>
          <t>R1596033</t>
        </is>
      </c>
      <c r="F2761" s="2" t="n">
        <v>44683</v>
      </c>
      <c r="G2761" s="1" t="n"/>
    </row>
    <row r="2762">
      <c r="A2762" s="6" t="n">
        <v>729160</v>
      </c>
      <c r="B2762" s="6" t="inlineStr">
        <is>
          <t>MARTINI &amp; ROSSI ASTI SPUMANTE</t>
        </is>
      </c>
      <c r="C2762" s="7">
        <f>VLOOKUP(A2762,SizeData!A$2:B$3839,2,FALSE)</f>
        <v/>
      </c>
      <c r="D2762" s="6" t="n">
        <v>1</v>
      </c>
      <c r="E2762" s="6" t="inlineStr">
        <is>
          <t>R1617499</t>
        </is>
      </c>
      <c r="F2762" s="2" t="n">
        <v>44706</v>
      </c>
      <c r="G2762" s="1" t="n"/>
    </row>
    <row r="2763">
      <c r="A2763" s="6" t="n">
        <v>98197</v>
      </c>
      <c r="B2763" s="6" t="inlineStr">
        <is>
          <t>MARTINI &amp; ROSSI EXTRA DRY VERMOUTH</t>
        </is>
      </c>
      <c r="C2763" s="7">
        <f>VLOOKUP(A2763,SizeData!A$2:B$3839,2,FALSE)</f>
        <v/>
      </c>
      <c r="D2763" s="6" t="n">
        <v>1</v>
      </c>
      <c r="E2763" s="6" t="inlineStr">
        <is>
          <t>R1749860</t>
        </is>
      </c>
      <c r="F2763" s="2" t="n">
        <v>44811</v>
      </c>
      <c r="G2763" s="1" t="n"/>
    </row>
    <row r="2764">
      <c r="A2764" s="6" t="n">
        <v>729215</v>
      </c>
      <c r="B2764" s="6" t="inlineStr">
        <is>
          <t>MARTINI &amp; ROSSI ROSE SPARKLING</t>
        </is>
      </c>
      <c r="C2764" s="7">
        <f>VLOOKUP(A2764,SizeData!A$2:B$3839,2,FALSE)</f>
        <v/>
      </c>
      <c r="D2764" s="6" t="n">
        <v>1</v>
      </c>
      <c r="E2764" s="6" t="inlineStr">
        <is>
          <t>R1596033</t>
        </is>
      </c>
      <c r="F2764" s="2" t="n">
        <v>44683</v>
      </c>
      <c r="G2764" s="1" t="n"/>
    </row>
    <row r="2765">
      <c r="A2765" s="6" t="n">
        <v>729215</v>
      </c>
      <c r="B2765" s="6" t="inlineStr">
        <is>
          <t>MARTINI &amp; ROSSI ROSE SPARKLING</t>
        </is>
      </c>
      <c r="C2765" s="7">
        <f>VLOOKUP(A2765,SizeData!A$2:B$3839,2,FALSE)</f>
        <v/>
      </c>
      <c r="D2765" s="6" t="n">
        <v>1</v>
      </c>
      <c r="E2765" s="6" t="inlineStr">
        <is>
          <t>R1713939</t>
        </is>
      </c>
      <c r="F2765" s="2" t="n">
        <v>44779</v>
      </c>
      <c r="G2765" s="1" t="n"/>
    </row>
    <row r="2766">
      <c r="A2766" s="6" t="n">
        <v>812770</v>
      </c>
      <c r="B2766" s="6" t="inlineStr">
        <is>
          <t>MD 20/20 BANANA RED</t>
        </is>
      </c>
      <c r="C2766" s="7">
        <f>VLOOKUP(A2766,SizeData!A$2:B$3839,2,FALSE)</f>
        <v/>
      </c>
      <c r="D2766" s="6" t="n">
        <v>1</v>
      </c>
      <c r="E2766" s="6" t="inlineStr">
        <is>
          <t>R1448139</t>
        </is>
      </c>
      <c r="F2766" s="2" t="n">
        <v>44597</v>
      </c>
      <c r="G2766" s="1" t="n"/>
    </row>
    <row r="2767">
      <c r="A2767" s="6" t="n">
        <v>812770</v>
      </c>
      <c r="B2767" s="6" t="inlineStr">
        <is>
          <t>MD 20/20 BANANA RED</t>
        </is>
      </c>
      <c r="C2767" s="7">
        <f>VLOOKUP(A2767,SizeData!A$2:B$3839,2,FALSE)</f>
        <v/>
      </c>
      <c r="D2767" s="6" t="n">
        <v>1</v>
      </c>
      <c r="E2767" s="6" t="inlineStr">
        <is>
          <t>R1512696</t>
        </is>
      </c>
      <c r="F2767" s="2" t="n">
        <v>44637</v>
      </c>
      <c r="G2767" s="1" t="n"/>
    </row>
    <row r="2768">
      <c r="A2768" s="6" t="n">
        <v>812770</v>
      </c>
      <c r="B2768" s="6" t="inlineStr">
        <is>
          <t>MD 20/20 BANANA RED</t>
        </is>
      </c>
      <c r="C2768" s="7">
        <f>VLOOKUP(A2768,SizeData!A$2:B$3839,2,FALSE)</f>
        <v/>
      </c>
      <c r="D2768" s="6" t="n">
        <v>1</v>
      </c>
      <c r="E2768" s="6" t="inlineStr">
        <is>
          <t>R1631414</t>
        </is>
      </c>
      <c r="F2768" s="2" t="n">
        <v>44706</v>
      </c>
      <c r="G2768" s="1" t="n"/>
    </row>
    <row r="2769">
      <c r="A2769" s="6" t="n">
        <v>812770</v>
      </c>
      <c r="B2769" s="6" t="inlineStr">
        <is>
          <t>MD 20/20 BANANA RED</t>
        </is>
      </c>
      <c r="C2769" s="7">
        <f>VLOOKUP(A2769,SizeData!A$2:B$3839,2,FALSE)</f>
        <v/>
      </c>
      <c r="D2769" s="6" t="n">
        <v>1</v>
      </c>
      <c r="E2769" s="6" t="inlineStr">
        <is>
          <t>R1696478</t>
        </is>
      </c>
      <c r="F2769" s="2" t="n">
        <v>44760</v>
      </c>
      <c r="G2769" s="1" t="n"/>
    </row>
    <row r="2770">
      <c r="A2770" s="26" t="n">
        <v>812770</v>
      </c>
      <c r="B2770" s="26" t="inlineStr">
        <is>
          <t>MD 20/20 BANANA RED</t>
        </is>
      </c>
      <c r="C2770" s="7">
        <f>VLOOKUP(A2770,SizeData!A$2:B$3839,2,FALSE)</f>
        <v/>
      </c>
      <c r="D2770" s="26" t="n">
        <v>1</v>
      </c>
      <c r="E2770" s="26" t="inlineStr">
        <is>
          <t>R1760922</t>
        </is>
      </c>
      <c r="F2770" s="61" t="n">
        <v>44805</v>
      </c>
      <c r="G2770" s="62" t="n"/>
    </row>
    <row r="2771">
      <c r="A2771" s="6" t="n">
        <v>812770</v>
      </c>
      <c r="B2771" s="6" t="inlineStr">
        <is>
          <t>MD 20/20 BANANA RED</t>
        </is>
      </c>
      <c r="C2771" s="7">
        <f>VLOOKUP(A2771,SizeData!A$2:B$3839,2,FALSE)</f>
        <v/>
      </c>
      <c r="D2771" s="6" t="n">
        <v>1</v>
      </c>
      <c r="E2771" s="6" t="inlineStr">
        <is>
          <t>R1763684</t>
        </is>
      </c>
      <c r="F2771" s="2" t="n">
        <v>44821</v>
      </c>
      <c r="G2771" s="1" t="n"/>
    </row>
    <row r="2772">
      <c r="A2772" s="6" t="n">
        <v>812770</v>
      </c>
      <c r="B2772" s="6" t="inlineStr">
        <is>
          <t>MD 20/20 BANANA RED</t>
        </is>
      </c>
      <c r="C2772" s="7">
        <f>VLOOKUP(A2772,SizeData!A$2:B$3839,2,FALSE)</f>
        <v/>
      </c>
      <c r="D2772" s="6" t="n">
        <v>2</v>
      </c>
      <c r="E2772" s="6" t="inlineStr">
        <is>
          <t>R1834591</t>
        </is>
      </c>
      <c r="F2772" s="2" t="n">
        <v>44863</v>
      </c>
      <c r="G2772" s="1" t="n"/>
    </row>
    <row r="2773">
      <c r="A2773" s="6" t="n">
        <v>812770</v>
      </c>
      <c r="B2773" s="6" t="inlineStr">
        <is>
          <t>MD 20/20 BANANA RED</t>
        </is>
      </c>
      <c r="C2773" s="7">
        <f>VLOOKUP(A2773,SizeData!A$2:B$3839,2,FALSE)</f>
        <v/>
      </c>
      <c r="D2773" s="6" t="n">
        <v>1</v>
      </c>
      <c r="E2773" s="6" t="inlineStr">
        <is>
          <t>R1860108</t>
        </is>
      </c>
      <c r="F2773" s="2" t="n">
        <v>44868</v>
      </c>
      <c r="G2773" s="1" t="n"/>
    </row>
    <row r="2774">
      <c r="A2774" s="6" t="n">
        <v>812772</v>
      </c>
      <c r="B2774" s="6" t="inlineStr">
        <is>
          <t>MD 20/20 BANANA RED</t>
        </is>
      </c>
      <c r="C2774" s="7">
        <f>VLOOKUP(A2774,SizeData!A$2:B$3839,2,FALSE)</f>
        <v/>
      </c>
      <c r="D2774" s="6" t="n">
        <v>1</v>
      </c>
      <c r="E2774" s="6" t="inlineStr">
        <is>
          <t>R1387278</t>
        </is>
      </c>
      <c r="F2774" s="2" t="n">
        <v>44559</v>
      </c>
      <c r="G2774" s="1" t="n"/>
    </row>
    <row r="2775">
      <c r="A2775" s="6" t="n">
        <v>812772</v>
      </c>
      <c r="B2775" s="6" t="inlineStr">
        <is>
          <t>MD 20/20 BANANA RED</t>
        </is>
      </c>
      <c r="C2775" s="7">
        <f>VLOOKUP(A2775,SizeData!A$2:B$3839,2,FALSE)</f>
        <v/>
      </c>
      <c r="D2775" s="6" t="n">
        <v>1</v>
      </c>
      <c r="E2775" s="6" t="inlineStr">
        <is>
          <t>R1448139</t>
        </is>
      </c>
      <c r="F2775" s="2" t="n">
        <v>44597</v>
      </c>
      <c r="G2775" s="1" t="n"/>
    </row>
    <row r="2776" customFormat="1" s="14">
      <c r="A2776" s="6" t="n">
        <v>812772</v>
      </c>
      <c r="B2776" s="6" t="inlineStr">
        <is>
          <t>MD 20/20 BANANA RED</t>
        </is>
      </c>
      <c r="C2776" s="7">
        <f>VLOOKUP(A2776,SizeData!A$2:B$3839,2,FALSE)</f>
        <v/>
      </c>
      <c r="D2776" s="6" t="n">
        <v>1</v>
      </c>
      <c r="E2776" s="6" t="inlineStr">
        <is>
          <t>R1522416</t>
        </is>
      </c>
      <c r="F2776" s="2" t="n">
        <v>44641</v>
      </c>
      <c r="G2776" s="1" t="n"/>
    </row>
    <row r="2777">
      <c r="A2777" s="6" t="n">
        <v>812772</v>
      </c>
      <c r="B2777" s="6" t="inlineStr">
        <is>
          <t>MD 20/20 BANANA RED</t>
        </is>
      </c>
      <c r="C2777" s="7">
        <f>VLOOKUP(A2777,SizeData!A$2:B$3839,2,FALSE)</f>
        <v/>
      </c>
      <c r="D2777" s="6" t="n">
        <v>1</v>
      </c>
      <c r="E2777" s="6" t="inlineStr">
        <is>
          <t>R1639026</t>
        </is>
      </c>
      <c r="F2777" s="2" t="n">
        <v>44720</v>
      </c>
      <c r="G2777" s="1" t="n"/>
    </row>
    <row r="2778">
      <c r="A2778" s="6" t="n">
        <v>812772</v>
      </c>
      <c r="B2778" s="6" t="inlineStr">
        <is>
          <t>MD 20/20 BANANA RED</t>
        </is>
      </c>
      <c r="C2778" s="7">
        <f>VLOOKUP(A2778,SizeData!A$2:B$3839,2,FALSE)</f>
        <v/>
      </c>
      <c r="D2778" s="6" t="n">
        <v>1</v>
      </c>
      <c r="E2778" s="6" t="inlineStr">
        <is>
          <t>R1696478</t>
        </is>
      </c>
      <c r="F2778" s="2" t="n">
        <v>44760</v>
      </c>
      <c r="G2778" s="1" t="n"/>
    </row>
    <row r="2779">
      <c r="A2779" s="6" t="n">
        <v>812772</v>
      </c>
      <c r="B2779" s="6" t="inlineStr">
        <is>
          <t>MD 20/20 BANANA RED</t>
        </is>
      </c>
      <c r="C2779" s="7">
        <f>VLOOKUP(A2779,SizeData!A$2:B$3839,2,FALSE)</f>
        <v/>
      </c>
      <c r="D2779" s="6" t="n">
        <v>1</v>
      </c>
      <c r="E2779" s="6" t="inlineStr">
        <is>
          <t>R1727741</t>
        </is>
      </c>
      <c r="F2779" s="2" t="n">
        <v>44786</v>
      </c>
      <c r="G2779" s="1" t="n"/>
    </row>
    <row r="2780">
      <c r="A2780" s="6" t="n">
        <v>812772</v>
      </c>
      <c r="B2780" s="6" t="inlineStr">
        <is>
          <t>MD 20/20 BANANA RED</t>
        </is>
      </c>
      <c r="C2780" s="7">
        <f>VLOOKUP(A2780,SizeData!A$2:B$3839,2,FALSE)</f>
        <v/>
      </c>
      <c r="D2780" s="6" t="n">
        <v>2</v>
      </c>
      <c r="E2780" s="6" t="inlineStr">
        <is>
          <t>R1762513</t>
        </is>
      </c>
      <c r="F2780" s="2" t="n">
        <v>44810</v>
      </c>
      <c r="G2780" s="1" t="n"/>
    </row>
    <row r="2781">
      <c r="A2781" s="6" t="n">
        <v>812772</v>
      </c>
      <c r="B2781" s="6" t="inlineStr">
        <is>
          <t>MD 20/20 BANANA RED</t>
        </is>
      </c>
      <c r="C2781" s="7">
        <f>VLOOKUP(A2781,SizeData!A$2:B$3839,2,FALSE)</f>
        <v/>
      </c>
      <c r="D2781" s="6" t="n">
        <v>1</v>
      </c>
      <c r="E2781" s="6" t="inlineStr">
        <is>
          <t>R1791500</t>
        </is>
      </c>
      <c r="F2781" s="2" t="n">
        <v>44835</v>
      </c>
      <c r="G2781" s="1" t="n"/>
    </row>
    <row r="2782">
      <c r="A2782" s="6" t="n">
        <v>812810</v>
      </c>
      <c r="B2782" s="6" t="inlineStr">
        <is>
          <t>MD 20/20 BLUE RASPBERRY</t>
        </is>
      </c>
      <c r="C2782" s="7">
        <f>VLOOKUP(A2782,SizeData!A$2:B$3839,2,FALSE)</f>
        <v/>
      </c>
      <c r="D2782" s="6" t="n">
        <v>1</v>
      </c>
      <c r="E2782" s="6" t="inlineStr">
        <is>
          <t>R1364465</t>
        </is>
      </c>
      <c r="F2782" s="2" t="n">
        <v>44545</v>
      </c>
      <c r="G2782" s="1" t="n"/>
    </row>
    <row r="2783">
      <c r="A2783" s="6" t="n">
        <v>812810</v>
      </c>
      <c r="B2783" s="6" t="inlineStr">
        <is>
          <t>MD 20/20 BLUE RASPBERRY</t>
        </is>
      </c>
      <c r="C2783" s="7">
        <f>VLOOKUP(A2783,SizeData!A$2:B$3839,2,FALSE)</f>
        <v/>
      </c>
      <c r="D2783" s="6" t="n">
        <v>2</v>
      </c>
      <c r="E2783" s="6" t="inlineStr">
        <is>
          <t>R1373904</t>
        </is>
      </c>
      <c r="F2783" s="2" t="n">
        <v>44545</v>
      </c>
      <c r="G2783" s="1" t="n"/>
    </row>
    <row r="2784">
      <c r="A2784" s="6" t="n">
        <v>812810</v>
      </c>
      <c r="B2784" s="6" t="inlineStr">
        <is>
          <t>MD 20/20 BLUE RASPBERRY</t>
        </is>
      </c>
      <c r="C2784" s="7">
        <f>VLOOKUP(A2784,SizeData!A$2:B$3839,2,FALSE)</f>
        <v/>
      </c>
      <c r="D2784" s="6" t="n">
        <v>1</v>
      </c>
      <c r="E2784" s="6" t="inlineStr">
        <is>
          <t>R1387278</t>
        </is>
      </c>
      <c r="F2784" s="2" t="n">
        <v>44559</v>
      </c>
      <c r="G2784" s="1" t="n"/>
    </row>
    <row r="2785">
      <c r="A2785" s="6" t="n">
        <v>812810</v>
      </c>
      <c r="B2785" s="6" t="inlineStr">
        <is>
          <t>MD 20/20 BLUE RASPBERRY</t>
        </is>
      </c>
      <c r="C2785" s="7">
        <f>VLOOKUP(A2785,SizeData!A$2:B$3839,2,FALSE)</f>
        <v/>
      </c>
      <c r="D2785" s="6" t="n">
        <v>1</v>
      </c>
      <c r="E2785" s="6" t="inlineStr">
        <is>
          <t>R1469832</t>
        </is>
      </c>
      <c r="F2785" s="2" t="n">
        <v>44615</v>
      </c>
      <c r="G2785" s="1" t="n"/>
    </row>
    <row r="2786">
      <c r="A2786" s="6" t="n">
        <v>812810</v>
      </c>
      <c r="B2786" s="6" t="inlineStr">
        <is>
          <t>MD 20/20 BLUE RASPBERRY</t>
        </is>
      </c>
      <c r="C2786" s="7">
        <f>VLOOKUP(A2786,SizeData!A$2:B$3839,2,FALSE)</f>
        <v/>
      </c>
      <c r="D2786" s="6" t="n">
        <v>1</v>
      </c>
      <c r="E2786" s="6" t="inlineStr">
        <is>
          <t>R1501158</t>
        </is>
      </c>
      <c r="F2786" s="2" t="n">
        <v>44627</v>
      </c>
      <c r="G2786" s="1" t="n"/>
    </row>
    <row r="2787">
      <c r="A2787" s="6" t="n">
        <v>812810</v>
      </c>
      <c r="B2787" s="6" t="inlineStr">
        <is>
          <t>MD 20/20 BLUE RASPBERRY</t>
        </is>
      </c>
      <c r="C2787" s="7">
        <f>VLOOKUP(A2787,SizeData!A$2:B$3839,2,FALSE)</f>
        <v/>
      </c>
      <c r="D2787" s="6" t="n">
        <v>1</v>
      </c>
      <c r="E2787" s="6" t="inlineStr">
        <is>
          <t>R1527308</t>
        </is>
      </c>
      <c r="F2787" s="2" t="n">
        <v>44639</v>
      </c>
      <c r="G2787" s="1" t="n"/>
    </row>
    <row r="2788">
      <c r="A2788" s="6" t="n">
        <v>812810</v>
      </c>
      <c r="B2788" s="6" t="inlineStr">
        <is>
          <t>MD 20/20 BLUE RASPBERRY</t>
        </is>
      </c>
      <c r="C2788" s="7">
        <f>VLOOKUP(A2788,SizeData!A$2:B$3839,2,FALSE)</f>
        <v/>
      </c>
      <c r="D2788" s="6" t="n">
        <v>2</v>
      </c>
      <c r="E2788" s="6" t="inlineStr">
        <is>
          <t>R1602916</t>
        </is>
      </c>
      <c r="F2788" s="2" t="n">
        <v>44690</v>
      </c>
      <c r="G2788" s="1" t="n"/>
    </row>
    <row r="2789">
      <c r="A2789" s="6" t="n">
        <v>812810</v>
      </c>
      <c r="B2789" s="6" t="inlineStr">
        <is>
          <t>MD 20/20 BLUE RASPBERRY</t>
        </is>
      </c>
      <c r="C2789" s="7">
        <f>VLOOKUP(A2789,SizeData!A$2:B$3839,2,FALSE)</f>
        <v/>
      </c>
      <c r="D2789" s="6" t="n">
        <v>1</v>
      </c>
      <c r="E2789" s="6" t="inlineStr">
        <is>
          <t>R1660776</t>
        </is>
      </c>
      <c r="F2789" s="2" t="n">
        <v>44733</v>
      </c>
      <c r="G2789" s="1" t="n"/>
    </row>
    <row r="2790">
      <c r="A2790" s="31" t="n">
        <v>812810</v>
      </c>
      <c r="B2790" s="31" t="inlineStr">
        <is>
          <t>MD 20/20 BLUE RASPBERRY</t>
        </is>
      </c>
      <c r="C2790" s="7">
        <f>VLOOKUP(A2790,SizeData!A$2:B$3839,2,FALSE)</f>
        <v/>
      </c>
      <c r="D2790" s="31" t="n">
        <v>3</v>
      </c>
      <c r="E2790" s="31" t="inlineStr">
        <is>
          <t>R1662835</t>
        </is>
      </c>
      <c r="F2790" s="33" t="n">
        <v>44740</v>
      </c>
      <c r="G2790" s="34" t="n"/>
    </row>
    <row r="2791">
      <c r="A2791" s="6" t="n">
        <v>812810</v>
      </c>
      <c r="B2791" s="6" t="inlineStr">
        <is>
          <t>MD 20/20 BLUE RASPBERRY</t>
        </is>
      </c>
      <c r="C2791" s="7">
        <f>VLOOKUP(A2791,SizeData!A$2:B$3839,2,FALSE)</f>
        <v/>
      </c>
      <c r="D2791" s="6" t="n">
        <v>1</v>
      </c>
      <c r="E2791" s="6" t="inlineStr">
        <is>
          <t>R1718725</t>
        </is>
      </c>
      <c r="F2791" s="2" t="n">
        <v>44777</v>
      </c>
      <c r="G2791" s="1" t="n"/>
    </row>
    <row r="2792">
      <c r="A2792" s="6" t="n">
        <v>812810</v>
      </c>
      <c r="B2792" s="6" t="inlineStr">
        <is>
          <t>MD 20/20 BLUE RASPBERRY</t>
        </is>
      </c>
      <c r="C2792" s="7">
        <f>VLOOKUP(A2792,SizeData!A$2:B$3839,2,FALSE)</f>
        <v/>
      </c>
      <c r="D2792" s="6" t="n">
        <v>3</v>
      </c>
      <c r="E2792" s="6" t="inlineStr">
        <is>
          <t>R1762513</t>
        </is>
      </c>
      <c r="F2792" s="2" t="n">
        <v>44810</v>
      </c>
      <c r="G2792" s="1" t="n"/>
    </row>
    <row r="2793">
      <c r="A2793" s="6" t="n">
        <v>812810</v>
      </c>
      <c r="B2793" s="6" t="inlineStr">
        <is>
          <t>MD 20/20 BLUE RASPBERRY</t>
        </is>
      </c>
      <c r="C2793" s="7">
        <f>VLOOKUP(A2793,SizeData!A$2:B$3839,2,FALSE)</f>
        <v/>
      </c>
      <c r="D2793" s="6" t="n">
        <v>2</v>
      </c>
      <c r="E2793" s="6" t="inlineStr">
        <is>
          <t>R1777984</t>
        </is>
      </c>
      <c r="F2793" s="2" t="n">
        <v>44826</v>
      </c>
      <c r="G2793" s="1" t="n"/>
    </row>
    <row r="2794">
      <c r="A2794" s="6" t="n">
        <v>812810</v>
      </c>
      <c r="B2794" s="6" t="inlineStr">
        <is>
          <t>MD 20/20 BLUE RASPBERRY</t>
        </is>
      </c>
      <c r="C2794" s="7">
        <f>VLOOKUP(A2794,SizeData!A$2:B$3839,2,FALSE)</f>
        <v/>
      </c>
      <c r="D2794" s="6" t="n">
        <v>1</v>
      </c>
      <c r="E2794" s="6" t="inlineStr">
        <is>
          <t>R1858281</t>
        </is>
      </c>
      <c r="F2794" s="2" t="n">
        <v>44877</v>
      </c>
      <c r="G2794" s="1" t="n"/>
    </row>
    <row r="2795">
      <c r="A2795" s="6" t="n">
        <v>812810</v>
      </c>
      <c r="B2795" s="6" t="inlineStr">
        <is>
          <t>MD 20/20 BLUE RASPBERRY</t>
        </is>
      </c>
      <c r="C2795" s="7">
        <f>VLOOKUP(A2795,SizeData!A$2:B$3839,2,FALSE)</f>
        <v/>
      </c>
      <c r="D2795" s="6" t="n">
        <v>2</v>
      </c>
      <c r="E2795" s="6" t="inlineStr">
        <is>
          <t>R1897460</t>
        </is>
      </c>
      <c r="F2795" s="2" t="n">
        <v>44902</v>
      </c>
      <c r="G2795" s="1" t="n"/>
    </row>
    <row r="2796">
      <c r="A2796" s="6" t="n">
        <v>812812</v>
      </c>
      <c r="B2796" s="6" t="inlineStr">
        <is>
          <t>MD 20/20 BLUE RASPBERRY</t>
        </is>
      </c>
      <c r="C2796" s="7">
        <f>VLOOKUP(A2796,SizeData!A$2:B$3839,2,FALSE)</f>
        <v/>
      </c>
      <c r="D2796" s="6" t="n">
        <v>1</v>
      </c>
      <c r="E2796" s="6" t="inlineStr">
        <is>
          <t>R1413566</t>
        </is>
      </c>
      <c r="F2796" s="2" t="n">
        <v>44580</v>
      </c>
      <c r="G2796" s="1" t="n"/>
    </row>
    <row r="2797">
      <c r="A2797" s="6" t="n">
        <v>812812</v>
      </c>
      <c r="B2797" s="6" t="inlineStr">
        <is>
          <t>MD 20/20 BLUE RASPBERRY</t>
        </is>
      </c>
      <c r="C2797" s="7">
        <f>VLOOKUP(A2797,SizeData!A$2:B$3839,2,FALSE)</f>
        <v/>
      </c>
      <c r="D2797" s="6" t="n">
        <v>1</v>
      </c>
      <c r="E2797" s="6" t="inlineStr">
        <is>
          <t>R1413566</t>
        </is>
      </c>
      <c r="F2797" s="2" t="n">
        <v>44580</v>
      </c>
      <c r="G2797" s="1" t="n"/>
    </row>
    <row r="2798">
      <c r="A2798" s="6" t="n">
        <v>812812</v>
      </c>
      <c r="B2798" s="6" t="inlineStr">
        <is>
          <t>MD 20/20 BLUE RASPBERRY</t>
        </is>
      </c>
      <c r="C2798" s="7">
        <f>VLOOKUP(A2798,SizeData!A$2:B$3839,2,FALSE)</f>
        <v/>
      </c>
      <c r="D2798" s="6" t="n">
        <v>1</v>
      </c>
      <c r="E2798" s="6" t="inlineStr">
        <is>
          <t>R1436329</t>
        </is>
      </c>
      <c r="F2798" s="2" t="n">
        <v>44585</v>
      </c>
      <c r="G2798" s="1" t="n"/>
    </row>
    <row r="2799">
      <c r="A2799" s="6" t="n">
        <v>812812</v>
      </c>
      <c r="B2799" s="6" t="inlineStr">
        <is>
          <t>MD 20/20 BLUE RASPBERRY</t>
        </is>
      </c>
      <c r="C2799" s="7">
        <f>VLOOKUP(A2799,SizeData!A$2:B$3839,2,FALSE)</f>
        <v/>
      </c>
      <c r="D2799" s="6" t="n">
        <v>1</v>
      </c>
      <c r="E2799" s="6" t="inlineStr">
        <is>
          <t>R1471889</t>
        </is>
      </c>
      <c r="F2799" s="2" t="n">
        <v>44611</v>
      </c>
      <c r="G2799" s="1" t="n"/>
    </row>
    <row r="2800">
      <c r="A2800" s="6" t="n">
        <v>812812</v>
      </c>
      <c r="B2800" s="6" t="inlineStr">
        <is>
          <t>MD 20/20 BLUE RASPBERRY</t>
        </is>
      </c>
      <c r="C2800" s="7">
        <f>VLOOKUP(A2800,SizeData!A$2:B$3839,2,FALSE)</f>
        <v/>
      </c>
      <c r="D2800" s="6" t="n">
        <v>1</v>
      </c>
      <c r="E2800" s="6" t="inlineStr">
        <is>
          <t>R1469832</t>
        </is>
      </c>
      <c r="F2800" s="2" t="n">
        <v>44615</v>
      </c>
      <c r="G2800" s="1" t="n"/>
    </row>
    <row r="2801">
      <c r="A2801" s="6" t="n">
        <v>812812</v>
      </c>
      <c r="B2801" s="6" t="inlineStr">
        <is>
          <t>MD 20/20 BLUE RASPBERRY</t>
        </is>
      </c>
      <c r="C2801" s="7">
        <f>VLOOKUP(A2801,SizeData!A$2:B$3839,2,FALSE)</f>
        <v/>
      </c>
      <c r="D2801" s="6" t="n">
        <v>1</v>
      </c>
      <c r="E2801" s="6" t="inlineStr">
        <is>
          <t>R1516281</t>
        </is>
      </c>
      <c r="F2801" s="2" t="n">
        <v>44634</v>
      </c>
      <c r="G2801" s="1" t="n"/>
    </row>
    <row r="2802" customFormat="1" s="14">
      <c r="A2802" s="6" t="n">
        <v>812812</v>
      </c>
      <c r="B2802" s="6" t="inlineStr">
        <is>
          <t>MD 20/20 BLUE RASPBERRY</t>
        </is>
      </c>
      <c r="C2802" s="7">
        <f>VLOOKUP(A2802,SizeData!A$2:B$3839,2,FALSE)</f>
        <v/>
      </c>
      <c r="D2802" s="6" t="n">
        <v>1</v>
      </c>
      <c r="E2802" s="6" t="inlineStr">
        <is>
          <t>R1518696</t>
        </is>
      </c>
      <c r="F2802" s="2" t="n">
        <v>44643</v>
      </c>
      <c r="G2802" s="1" t="n"/>
    </row>
    <row r="2803">
      <c r="A2803" s="6" t="n">
        <v>812812</v>
      </c>
      <c r="B2803" s="6" t="inlineStr">
        <is>
          <t>MD 20/20 BLUE RASPBERRY</t>
        </is>
      </c>
      <c r="C2803" s="7">
        <f>VLOOKUP(A2803,SizeData!A$2:B$3839,2,FALSE)</f>
        <v/>
      </c>
      <c r="D2803" s="6" t="n">
        <v>1</v>
      </c>
      <c r="E2803" s="6" t="inlineStr">
        <is>
          <t>R1590929</t>
        </is>
      </c>
      <c r="F2803" s="2" t="n">
        <v>44677</v>
      </c>
      <c r="G2803" s="1" t="n"/>
    </row>
    <row r="2804">
      <c r="A2804" s="6" t="n">
        <v>812812</v>
      </c>
      <c r="B2804" s="6" t="inlineStr">
        <is>
          <t>MD 20/20 BLUE RASPBERRY</t>
        </is>
      </c>
      <c r="C2804" s="7">
        <f>VLOOKUP(A2804,SizeData!A$2:B$3839,2,FALSE)</f>
        <v/>
      </c>
      <c r="D2804" s="6" t="n">
        <v>1</v>
      </c>
      <c r="E2804" s="6" t="inlineStr">
        <is>
          <t>R1617418</t>
        </is>
      </c>
      <c r="F2804" s="2" t="n">
        <v>44699</v>
      </c>
      <c r="G2804" s="1" t="n"/>
    </row>
    <row r="2805">
      <c r="A2805" s="6" t="n">
        <v>812812</v>
      </c>
      <c r="B2805" s="6" t="inlineStr">
        <is>
          <t>MD 20/20 BLUE RASPBERRY</t>
        </is>
      </c>
      <c r="C2805" s="7">
        <f>VLOOKUP(A2805,SizeData!A$2:B$3839,2,FALSE)</f>
        <v/>
      </c>
      <c r="D2805" s="6" t="n">
        <v>1</v>
      </c>
      <c r="E2805" s="6" t="inlineStr">
        <is>
          <t>R1617499</t>
        </is>
      </c>
      <c r="F2805" s="2" t="n">
        <v>44706</v>
      </c>
      <c r="G2805" s="1" t="n"/>
    </row>
    <row r="2806">
      <c r="A2806" s="31" t="n">
        <v>812812</v>
      </c>
      <c r="B2806" s="31" t="inlineStr">
        <is>
          <t>MD 20/20 BLUE RASPBERRY</t>
        </is>
      </c>
      <c r="C2806" s="7">
        <f>VLOOKUP(A2806,SizeData!A$2:B$3839,2,FALSE)</f>
        <v/>
      </c>
      <c r="D2806" s="31" t="n">
        <v>2</v>
      </c>
      <c r="E2806" s="31" t="inlineStr">
        <is>
          <t>R1662835</t>
        </is>
      </c>
      <c r="F2806" s="33" t="n">
        <v>44740</v>
      </c>
      <c r="G2806" s="34" t="n"/>
    </row>
    <row r="2807">
      <c r="A2807" s="26" t="n">
        <v>812812</v>
      </c>
      <c r="B2807" s="26" t="inlineStr">
        <is>
          <t>MD 20/20 BLUE RASPBERRY</t>
        </is>
      </c>
      <c r="C2807" s="7">
        <f>VLOOKUP(A2807,SizeData!A$2:B$3839,2,FALSE)</f>
        <v/>
      </c>
      <c r="D2807" s="26" t="n">
        <v>1</v>
      </c>
      <c r="E2807" s="26" t="inlineStr">
        <is>
          <t>R1734629</t>
        </is>
      </c>
      <c r="F2807" s="61" t="n">
        <v>44792</v>
      </c>
      <c r="G2807" s="62" t="n"/>
    </row>
    <row r="2808">
      <c r="A2808" s="6" t="n">
        <v>812812</v>
      </c>
      <c r="B2808" s="6" t="inlineStr">
        <is>
          <t>MD 20/20 BLUE RASPBERRY</t>
        </is>
      </c>
      <c r="C2808" s="7">
        <f>VLOOKUP(A2808,SizeData!A$2:B$3839,2,FALSE)</f>
        <v/>
      </c>
      <c r="D2808" s="6" t="n">
        <v>2</v>
      </c>
      <c r="E2808" s="6" t="inlineStr">
        <is>
          <t>R1762513</t>
        </is>
      </c>
      <c r="F2808" s="2" t="n">
        <v>44810</v>
      </c>
      <c r="G2808" s="1" t="n"/>
    </row>
    <row r="2809">
      <c r="A2809" s="6" t="n">
        <v>812812</v>
      </c>
      <c r="B2809" s="6" t="inlineStr">
        <is>
          <t>MD 20/20 BLUE RASPBERRY</t>
        </is>
      </c>
      <c r="C2809" s="7">
        <f>VLOOKUP(A2809,SizeData!A$2:B$3839,2,FALSE)</f>
        <v/>
      </c>
      <c r="D2809" s="6" t="n">
        <v>1</v>
      </c>
      <c r="E2809" s="6" t="inlineStr">
        <is>
          <t>R1860108</t>
        </is>
      </c>
      <c r="F2809" s="2" t="n">
        <v>44868</v>
      </c>
      <c r="G2809" s="1" t="n"/>
    </row>
    <row r="2810">
      <c r="A2810" s="6" t="n">
        <v>812812</v>
      </c>
      <c r="B2810" s="6" t="inlineStr">
        <is>
          <t>MD 20/20 BLUE RASPBERRY</t>
        </is>
      </c>
      <c r="C2810" s="7">
        <f>VLOOKUP(A2810,SizeData!A$2:B$3839,2,FALSE)</f>
        <v/>
      </c>
      <c r="D2810" s="6" t="n">
        <v>2</v>
      </c>
      <c r="E2810" s="6" t="inlineStr">
        <is>
          <t>R1897460</t>
        </is>
      </c>
      <c r="F2810" s="2" t="n">
        <v>44902</v>
      </c>
      <c r="G2810" s="1" t="n"/>
    </row>
    <row r="2811" customFormat="1" s="14">
      <c r="A2811" s="6" t="n">
        <v>812826</v>
      </c>
      <c r="B2811" s="6" t="inlineStr">
        <is>
          <t>MD 20/20 GOLD PINEAPPLE</t>
        </is>
      </c>
      <c r="C2811" s="7">
        <f>VLOOKUP(A2811,SizeData!A$2:B$3839,2,FALSE)</f>
        <v/>
      </c>
      <c r="D2811" s="6" t="n">
        <v>1</v>
      </c>
      <c r="E2811" s="6" t="inlineStr">
        <is>
          <t>R1387278</t>
        </is>
      </c>
      <c r="F2811" s="2" t="n">
        <v>44559</v>
      </c>
      <c r="G2811" s="1" t="n"/>
    </row>
    <row r="2812">
      <c r="A2812" s="6" t="n">
        <v>812826</v>
      </c>
      <c r="B2812" s="6" t="inlineStr">
        <is>
          <t>MD 20/20 GOLD PINEAPPLE</t>
        </is>
      </c>
      <c r="C2812" s="7">
        <f>VLOOKUP(A2812,SizeData!A$2:B$3839,2,FALSE)</f>
        <v/>
      </c>
      <c r="D2812" s="6" t="n">
        <v>1</v>
      </c>
      <c r="E2812" s="6" t="inlineStr">
        <is>
          <t>R1413566</t>
        </is>
      </c>
      <c r="F2812" s="2" t="n">
        <v>44580</v>
      </c>
      <c r="G2812" s="1" t="n"/>
    </row>
    <row r="2813">
      <c r="A2813" s="6" t="n">
        <v>812826</v>
      </c>
      <c r="B2813" s="6" t="inlineStr">
        <is>
          <t>MD 20/20 GOLD PINEAPPLE</t>
        </is>
      </c>
      <c r="C2813" s="7">
        <f>VLOOKUP(A2813,SizeData!A$2:B$3839,2,FALSE)</f>
        <v/>
      </c>
      <c r="D2813" s="6" t="n">
        <v>2</v>
      </c>
      <c r="E2813" s="6" t="inlineStr">
        <is>
          <t>R1436329</t>
        </is>
      </c>
      <c r="F2813" s="2" t="n">
        <v>44585</v>
      </c>
      <c r="G2813" s="1" t="n"/>
    </row>
    <row r="2814">
      <c r="A2814" s="6" t="n">
        <v>812826</v>
      </c>
      <c r="B2814" s="6" t="inlineStr">
        <is>
          <t>MD 20/20 GOLD PINEAPPLE</t>
        </is>
      </c>
      <c r="C2814" s="7">
        <f>VLOOKUP(A2814,SizeData!A$2:B$3839,2,FALSE)</f>
        <v/>
      </c>
      <c r="D2814" s="6" t="n">
        <v>1</v>
      </c>
      <c r="E2814" s="6" t="inlineStr">
        <is>
          <t>R1452246</t>
        </is>
      </c>
      <c r="F2814" s="2" t="n">
        <v>44600</v>
      </c>
      <c r="G2814" s="1" t="n"/>
    </row>
    <row r="2815">
      <c r="A2815" s="39" t="n">
        <v>812826</v>
      </c>
      <c r="B2815" s="39" t="inlineStr">
        <is>
          <t>MD 20/20 GOLD PINEAPPLE</t>
        </is>
      </c>
      <c r="C2815" s="7">
        <f>VLOOKUP(A2815,SizeData!A$2:B$3839,2,FALSE)</f>
        <v/>
      </c>
      <c r="D2815" s="39" t="n">
        <v>2</v>
      </c>
      <c r="E2815" s="39" t="inlineStr">
        <is>
          <t>R1664209</t>
        </is>
      </c>
      <c r="F2815" s="40" t="n">
        <v>44739</v>
      </c>
      <c r="G2815" s="41" t="n"/>
    </row>
    <row r="2816">
      <c r="A2816" s="6" t="n">
        <v>812826</v>
      </c>
      <c r="B2816" s="6" t="inlineStr">
        <is>
          <t>MD 20/20 GOLD PINEAPPLE</t>
        </is>
      </c>
      <c r="C2816" s="7">
        <f>VLOOKUP(A2816,SizeData!A$2:B$3839,2,FALSE)</f>
        <v/>
      </c>
      <c r="D2816" s="6" t="n">
        <v>1</v>
      </c>
      <c r="E2816" s="6" t="inlineStr">
        <is>
          <t>R1700575</t>
        </is>
      </c>
      <c r="F2816" s="2" t="n">
        <v>44767</v>
      </c>
      <c r="G2816" s="1" t="n"/>
    </row>
    <row r="2817">
      <c r="A2817" s="26" t="n">
        <v>812826</v>
      </c>
      <c r="B2817" s="26" t="inlineStr">
        <is>
          <t>MD 20/20 GOLD PINEAPPLE</t>
        </is>
      </c>
      <c r="C2817" s="7">
        <f>VLOOKUP(A2817,SizeData!A$2:B$3839,2,FALSE)</f>
        <v/>
      </c>
      <c r="D2817" s="26" t="n">
        <v>1</v>
      </c>
      <c r="E2817" s="26" t="inlineStr">
        <is>
          <t>R1700575</t>
        </is>
      </c>
      <c r="F2817" s="61" t="n">
        <v>44767</v>
      </c>
      <c r="G2817" s="62" t="n"/>
    </row>
    <row r="2818">
      <c r="A2818" s="26" t="n">
        <v>812826</v>
      </c>
      <c r="B2818" s="26" t="inlineStr">
        <is>
          <t>MD 20/20 GOLD PINEAPPLE</t>
        </is>
      </c>
      <c r="C2818" s="7">
        <f>VLOOKUP(A2818,SizeData!A$2:B$3839,2,FALSE)</f>
        <v/>
      </c>
      <c r="D2818" s="26" t="n">
        <v>1</v>
      </c>
      <c r="E2818" s="26" t="inlineStr">
        <is>
          <t>R1763684</t>
        </is>
      </c>
      <c r="F2818" s="61" t="n">
        <v>44821</v>
      </c>
      <c r="G2818" s="62" t="n"/>
    </row>
    <row r="2819">
      <c r="A2819" s="6" t="n">
        <v>812826</v>
      </c>
      <c r="B2819" s="6" t="inlineStr">
        <is>
          <t>MD 20/20 GOLD PINEAPPLE</t>
        </is>
      </c>
      <c r="C2819" s="7">
        <f>VLOOKUP(A2819,SizeData!A$2:B$3839,2,FALSE)</f>
        <v/>
      </c>
      <c r="D2819" s="6" t="n">
        <v>1</v>
      </c>
      <c r="E2819" s="6" t="inlineStr">
        <is>
          <t>R1814504</t>
        </is>
      </c>
      <c r="F2819" s="2" t="n">
        <v>44846</v>
      </c>
      <c r="G2819" s="1" t="n"/>
    </row>
    <row r="2820">
      <c r="A2820" s="6" t="n">
        <v>812826</v>
      </c>
      <c r="B2820" s="6" t="inlineStr">
        <is>
          <t>MD 20/20 GOLD PINEAPPLE</t>
        </is>
      </c>
      <c r="C2820" s="7">
        <f>VLOOKUP(A2820,SizeData!A$2:B$3839,2,FALSE)</f>
        <v/>
      </c>
      <c r="D2820" s="6" t="n">
        <v>1</v>
      </c>
      <c r="E2820" s="6" t="inlineStr">
        <is>
          <t>R1849692</t>
        </is>
      </c>
      <c r="F2820" s="2" t="n">
        <v>44870</v>
      </c>
      <c r="G2820" s="1" t="n"/>
    </row>
    <row r="2821">
      <c r="A2821" s="6" t="n">
        <v>812826</v>
      </c>
      <c r="B2821" s="6" t="inlineStr">
        <is>
          <t>MD 20/20 GOLD PINEAPPLE</t>
        </is>
      </c>
      <c r="C2821" s="7">
        <f>VLOOKUP(A2821,SizeData!A$2:B$3839,2,FALSE)</f>
        <v/>
      </c>
      <c r="D2821" s="6" t="n">
        <v>1</v>
      </c>
      <c r="E2821" s="6" t="inlineStr">
        <is>
          <t>R1897460</t>
        </is>
      </c>
      <c r="F2821" s="2" t="n">
        <v>44902</v>
      </c>
      <c r="G2821" s="1" t="n"/>
    </row>
    <row r="2822">
      <c r="A2822" s="6" t="n">
        <v>812790</v>
      </c>
      <c r="B2822" s="6" t="inlineStr">
        <is>
          <t>MD 20/20 ORANGE JUBILEE</t>
        </is>
      </c>
      <c r="C2822" s="7">
        <f>VLOOKUP(A2822,SizeData!A$2:B$3839,2,FALSE)</f>
        <v/>
      </c>
      <c r="D2822" s="6" t="n">
        <v>1</v>
      </c>
      <c r="E2822" s="6" t="inlineStr">
        <is>
          <t>R1387278</t>
        </is>
      </c>
      <c r="F2822" s="2" t="n">
        <v>44559</v>
      </c>
      <c r="G2822" s="1" t="n"/>
    </row>
    <row r="2823">
      <c r="A2823" s="6" t="n">
        <v>812790</v>
      </c>
      <c r="B2823" s="6" t="inlineStr">
        <is>
          <t>MD 20/20 ORANGE JUBILEE</t>
        </is>
      </c>
      <c r="C2823" s="7">
        <f>VLOOKUP(A2823,SizeData!A$2:B$3839,2,FALSE)</f>
        <v/>
      </c>
      <c r="D2823" s="6" t="n">
        <v>2</v>
      </c>
      <c r="E2823" s="6" t="inlineStr">
        <is>
          <t>R1472811</t>
        </is>
      </c>
      <c r="F2823" s="2" t="n">
        <v>44609</v>
      </c>
      <c r="G2823" s="1" t="n"/>
    </row>
    <row r="2824">
      <c r="A2824" s="6" t="n">
        <v>812790</v>
      </c>
      <c r="B2824" s="6" t="inlineStr">
        <is>
          <t>MD 20/20 ORANGE JUBILEE</t>
        </is>
      </c>
      <c r="C2824" s="7">
        <f>VLOOKUP(A2824,SizeData!A$2:B$3839,2,FALSE)</f>
        <v/>
      </c>
      <c r="D2824" s="6" t="n">
        <v>1</v>
      </c>
      <c r="E2824" s="6" t="inlineStr">
        <is>
          <t>R1488872</t>
        </is>
      </c>
      <c r="F2824" s="2" t="n">
        <v>44627</v>
      </c>
      <c r="G2824" s="1" t="n"/>
    </row>
    <row r="2825">
      <c r="A2825" s="6" t="n">
        <v>812790</v>
      </c>
      <c r="B2825" s="6" t="inlineStr">
        <is>
          <t>MD 20/20 ORANGE JUBILEE</t>
        </is>
      </c>
      <c r="C2825" s="7">
        <f>VLOOKUP(A2825,SizeData!A$2:B$3839,2,FALSE)</f>
        <v/>
      </c>
      <c r="D2825" s="6" t="n">
        <v>1</v>
      </c>
      <c r="E2825" s="6" t="inlineStr">
        <is>
          <t>R1503957</t>
        </is>
      </c>
      <c r="F2825" s="2" t="n">
        <v>44636</v>
      </c>
      <c r="G2825" s="1" t="n"/>
    </row>
    <row r="2826">
      <c r="A2826" s="26" t="n">
        <v>812790</v>
      </c>
      <c r="B2826" s="26" t="inlineStr">
        <is>
          <t>MD 20/20 ORANGE JUBILEE</t>
        </is>
      </c>
      <c r="C2826" s="7">
        <f>VLOOKUP(A2826,SizeData!A$2:B$3839,2,FALSE)</f>
        <v/>
      </c>
      <c r="D2826" s="26" t="n">
        <v>1</v>
      </c>
      <c r="E2826" s="26" t="inlineStr">
        <is>
          <t>R1755075</t>
        </is>
      </c>
      <c r="F2826" s="61" t="n">
        <v>44798</v>
      </c>
      <c r="G2826" s="62" t="n"/>
    </row>
    <row r="2827">
      <c r="A2827" s="26" t="n">
        <v>812790</v>
      </c>
      <c r="B2827" s="26" t="inlineStr">
        <is>
          <t>MD 20/20 ORANGE JUBILEE</t>
        </is>
      </c>
      <c r="C2827" s="7">
        <f>VLOOKUP(A2827,SizeData!A$2:B$3839,2,FALSE)</f>
        <v/>
      </c>
      <c r="D2827" s="26" t="n">
        <v>1</v>
      </c>
      <c r="E2827" s="26" t="inlineStr">
        <is>
          <t>R1789511</t>
        </is>
      </c>
      <c r="F2827" s="61" t="n">
        <v>44832</v>
      </c>
      <c r="G2827" s="62" t="n"/>
    </row>
    <row r="2828">
      <c r="A2828" s="6" t="n">
        <v>812790</v>
      </c>
      <c r="B2828" s="6" t="inlineStr">
        <is>
          <t>MD 20/20 ORANGE JUBILEE</t>
        </is>
      </c>
      <c r="C2828" s="7">
        <f>VLOOKUP(A2828,SizeData!A$2:B$3839,2,FALSE)</f>
        <v/>
      </c>
      <c r="D2828" s="6" t="n">
        <v>1</v>
      </c>
      <c r="E2828" s="6" t="inlineStr">
        <is>
          <t>R1791500</t>
        </is>
      </c>
      <c r="F2828" s="2" t="n">
        <v>44835</v>
      </c>
      <c r="G2828" s="1" t="n"/>
    </row>
    <row r="2829">
      <c r="A2829" s="6" t="n">
        <v>812790</v>
      </c>
      <c r="B2829" s="6" t="inlineStr">
        <is>
          <t>MD 20/20 ORANGE JUBILEE</t>
        </is>
      </c>
      <c r="C2829" s="7">
        <f>VLOOKUP(A2829,SizeData!A$2:B$3839,2,FALSE)</f>
        <v/>
      </c>
      <c r="D2829" s="6" t="n">
        <v>1</v>
      </c>
      <c r="E2829" s="6" t="inlineStr">
        <is>
          <t>R1858281</t>
        </is>
      </c>
      <c r="F2829" s="2" t="n">
        <v>44877</v>
      </c>
      <c r="G2829" s="1" t="n"/>
    </row>
    <row r="2830">
      <c r="A2830" s="6" t="n">
        <v>812791</v>
      </c>
      <c r="B2830" s="6" t="inlineStr">
        <is>
          <t>MD 20/20 ORANGE JUBILEE</t>
        </is>
      </c>
      <c r="C2830" s="7">
        <f>VLOOKUP(A2830,SizeData!A$2:B$3839,2,FALSE)</f>
        <v/>
      </c>
      <c r="D2830" s="6" t="n">
        <v>3</v>
      </c>
      <c r="E2830" s="6" t="inlineStr">
        <is>
          <t>R1387278</t>
        </is>
      </c>
      <c r="F2830" s="2" t="n">
        <v>44559</v>
      </c>
      <c r="G2830" s="1" t="n"/>
    </row>
    <row r="2831">
      <c r="A2831" s="6" t="n">
        <v>812791</v>
      </c>
      <c r="B2831" s="6" t="inlineStr">
        <is>
          <t>MD 20/20 ORANGE JUBILEE</t>
        </is>
      </c>
      <c r="C2831" s="7">
        <f>VLOOKUP(A2831,SizeData!A$2:B$3839,2,FALSE)</f>
        <v/>
      </c>
      <c r="D2831" s="6" t="n">
        <v>1</v>
      </c>
      <c r="E2831" s="6" t="inlineStr">
        <is>
          <t>R1424786</t>
        </is>
      </c>
      <c r="F2831" s="2" t="n">
        <v>44593</v>
      </c>
      <c r="G2831" s="1" t="n"/>
    </row>
    <row r="2832">
      <c r="A2832" s="6" t="n">
        <v>812791</v>
      </c>
      <c r="B2832" s="6" t="inlineStr">
        <is>
          <t>MD 20/20 ORANGE JUBILEE</t>
        </is>
      </c>
      <c r="C2832" s="7">
        <f>VLOOKUP(A2832,SizeData!A$2:B$3839,2,FALSE)</f>
        <v/>
      </c>
      <c r="D2832" s="6" t="n">
        <v>2</v>
      </c>
      <c r="E2832" s="6" t="inlineStr">
        <is>
          <t>R1465191</t>
        </is>
      </c>
      <c r="F2832" s="2" t="n">
        <v>44602</v>
      </c>
      <c r="G2832" s="1" t="n"/>
    </row>
    <row r="2833">
      <c r="A2833" s="6" t="n">
        <v>812791</v>
      </c>
      <c r="B2833" s="6" t="inlineStr">
        <is>
          <t>MD 20/20 ORANGE JUBILEE</t>
        </is>
      </c>
      <c r="C2833" s="7">
        <f>VLOOKUP(A2833,SizeData!A$2:B$3839,2,FALSE)</f>
        <v/>
      </c>
      <c r="D2833" s="6" t="n">
        <v>2</v>
      </c>
      <c r="E2833" s="6" t="inlineStr">
        <is>
          <t>R1489956</t>
        </is>
      </c>
      <c r="F2833" s="2" t="n">
        <v>44631</v>
      </c>
      <c r="G2833" s="1" t="n"/>
    </row>
    <row r="2834">
      <c r="A2834" s="6" t="n">
        <v>812791</v>
      </c>
      <c r="B2834" s="6" t="inlineStr">
        <is>
          <t>MD 20/20 ORANGE JUBILEE</t>
        </is>
      </c>
      <c r="C2834" s="7">
        <f>VLOOKUP(A2834,SizeData!A$2:B$3839,2,FALSE)</f>
        <v/>
      </c>
      <c r="D2834" s="6" t="n">
        <v>2</v>
      </c>
      <c r="E2834" s="6" t="inlineStr">
        <is>
          <t>R1518696</t>
        </is>
      </c>
      <c r="F2834" s="2" t="n">
        <v>44643</v>
      </c>
      <c r="G2834" s="1" t="n"/>
    </row>
    <row r="2835" customFormat="1" s="14">
      <c r="A2835" s="6" t="n">
        <v>812791</v>
      </c>
      <c r="B2835" s="6" t="inlineStr">
        <is>
          <t>MD 20/20 ORANGE JUBILEE</t>
        </is>
      </c>
      <c r="C2835" s="7">
        <f>VLOOKUP(A2835,SizeData!A$2:B$3839,2,FALSE)</f>
        <v/>
      </c>
      <c r="D2835" s="6" t="n">
        <v>1</v>
      </c>
      <c r="E2835" s="6" t="inlineStr">
        <is>
          <t>R1568544</t>
        </is>
      </c>
      <c r="F2835" s="2" t="n">
        <v>44669</v>
      </c>
      <c r="G2835" s="1" t="n"/>
    </row>
    <row r="2836" customFormat="1" s="14">
      <c r="A2836" s="6" t="n">
        <v>812791</v>
      </c>
      <c r="B2836" s="6" t="inlineStr">
        <is>
          <t>MD 20/20 ORANGE JUBILEE</t>
        </is>
      </c>
      <c r="C2836" s="7">
        <f>VLOOKUP(A2836,SizeData!A$2:B$3839,2,FALSE)</f>
        <v/>
      </c>
      <c r="D2836" s="6" t="n">
        <v>1</v>
      </c>
      <c r="E2836" s="6" t="inlineStr">
        <is>
          <t>R1579709</t>
        </is>
      </c>
      <c r="F2836" s="2" t="n">
        <v>44674</v>
      </c>
      <c r="G2836" s="1" t="n"/>
    </row>
    <row r="2837" customFormat="1" s="14">
      <c r="A2837" s="6" t="n">
        <v>812791</v>
      </c>
      <c r="B2837" s="6" t="inlineStr">
        <is>
          <t>MD 20/20 ORANGE JUBILEE</t>
        </is>
      </c>
      <c r="C2837" s="7">
        <f>VLOOKUP(A2837,SizeData!A$2:B$3839,2,FALSE)</f>
        <v/>
      </c>
      <c r="D2837" s="6" t="n">
        <v>1</v>
      </c>
      <c r="E2837" s="6" t="inlineStr">
        <is>
          <t>R1619359</t>
        </is>
      </c>
      <c r="F2837" s="2" t="n">
        <v>44716</v>
      </c>
      <c r="G2837" s="1" t="n"/>
    </row>
    <row r="2838">
      <c r="A2838" s="6" t="n">
        <v>812791</v>
      </c>
      <c r="B2838" s="6" t="inlineStr">
        <is>
          <t>MD 20/20 ORANGE JUBILEE</t>
        </is>
      </c>
      <c r="C2838" s="7">
        <f>VLOOKUP(A2838,SizeData!A$2:B$3839,2,FALSE)</f>
        <v/>
      </c>
      <c r="D2838" s="6" t="n">
        <v>1</v>
      </c>
      <c r="E2838" s="6" t="inlineStr">
        <is>
          <t>R1646165</t>
        </is>
      </c>
      <c r="F2838" s="2" t="n">
        <v>44723</v>
      </c>
      <c r="G2838" s="1" t="n"/>
    </row>
    <row r="2839">
      <c r="A2839" s="31" t="n">
        <v>812791</v>
      </c>
      <c r="B2839" s="31" t="inlineStr">
        <is>
          <t>MD 20/20 ORANGE JUBILEE</t>
        </is>
      </c>
      <c r="C2839" s="7">
        <f>VLOOKUP(A2839,SizeData!A$2:B$3839,2,FALSE)</f>
        <v/>
      </c>
      <c r="D2839" s="31" t="n">
        <v>5</v>
      </c>
      <c r="E2839" s="31" t="inlineStr">
        <is>
          <t>R1662835</t>
        </is>
      </c>
      <c r="F2839" s="33" t="n">
        <v>44740</v>
      </c>
      <c r="G2839" s="34" t="n"/>
    </row>
    <row r="2840">
      <c r="A2840" s="6" t="n">
        <v>812791</v>
      </c>
      <c r="B2840" s="6" t="inlineStr">
        <is>
          <t>MD 20/20 ORANGE JUBILEE</t>
        </is>
      </c>
      <c r="C2840" s="7">
        <f>VLOOKUP(A2840,SizeData!A$2:B$3839,2,FALSE)</f>
        <v/>
      </c>
      <c r="D2840" s="6" t="n">
        <v>2</v>
      </c>
      <c r="E2840" s="6" t="inlineStr">
        <is>
          <t>R1762513</t>
        </is>
      </c>
      <c r="F2840" s="2" t="n">
        <v>44810</v>
      </c>
      <c r="G2840" s="1" t="n"/>
    </row>
    <row r="2841">
      <c r="A2841" s="6" t="n">
        <v>812791</v>
      </c>
      <c r="B2841" s="6" t="inlineStr">
        <is>
          <t>MD 20/20 ORANGE JUBILEE</t>
        </is>
      </c>
      <c r="C2841" s="7">
        <f>VLOOKUP(A2841,SizeData!A$2:B$3839,2,FALSE)</f>
        <v/>
      </c>
      <c r="D2841" s="6" t="n">
        <v>1</v>
      </c>
      <c r="E2841" s="6" t="inlineStr">
        <is>
          <t>R1767069</t>
        </is>
      </c>
      <c r="F2841" s="2" t="n">
        <v>44814</v>
      </c>
      <c r="G2841" s="1" t="n"/>
    </row>
    <row r="2842">
      <c r="A2842" s="6" t="n">
        <v>812791</v>
      </c>
      <c r="B2842" s="6" t="inlineStr">
        <is>
          <t>MD 20/20 ORANGE JUBILEE</t>
        </is>
      </c>
      <c r="C2842" s="7">
        <f>VLOOKUP(A2842,SizeData!A$2:B$3839,2,FALSE)</f>
        <v/>
      </c>
      <c r="D2842" s="6" t="n">
        <v>3</v>
      </c>
      <c r="E2842" s="6" t="inlineStr">
        <is>
          <t>R1829977</t>
        </is>
      </c>
      <c r="F2842" s="2" t="n">
        <v>44861</v>
      </c>
      <c r="G2842" s="1" t="n"/>
    </row>
    <row r="2843">
      <c r="A2843" s="6" t="n">
        <v>812791</v>
      </c>
      <c r="B2843" s="6" t="inlineStr">
        <is>
          <t>MD 20/20 ORANGE JUBILEE</t>
        </is>
      </c>
      <c r="C2843" s="7">
        <f>VLOOKUP(A2843,SizeData!A$2:B$3839,2,FALSE)</f>
        <v/>
      </c>
      <c r="D2843" s="6" t="n">
        <v>5</v>
      </c>
      <c r="E2843" s="6" t="inlineStr">
        <is>
          <t>R1897460</t>
        </is>
      </c>
      <c r="F2843" s="2" t="n">
        <v>44902</v>
      </c>
      <c r="G2843" s="1" t="n"/>
    </row>
    <row r="2844">
      <c r="A2844" s="6" t="n">
        <v>812799</v>
      </c>
      <c r="B2844" s="6" t="inlineStr">
        <is>
          <t>MD 20/20 ORANGE JUBILEE</t>
        </is>
      </c>
      <c r="C2844" s="7">
        <f>VLOOKUP(A2844,SizeData!A$2:B$3839,2,FALSE)</f>
        <v/>
      </c>
      <c r="D2844" s="6" t="n">
        <v>2</v>
      </c>
      <c r="E2844" s="6" t="inlineStr">
        <is>
          <t>R1387278</t>
        </is>
      </c>
      <c r="F2844" s="2" t="n">
        <v>44559</v>
      </c>
      <c r="G2844" s="1" t="n"/>
    </row>
    <row r="2845">
      <c r="A2845" s="6" t="n">
        <v>812799</v>
      </c>
      <c r="B2845" s="6" t="inlineStr">
        <is>
          <t>MD 20/20 ORANGE JUBILEE</t>
        </is>
      </c>
      <c r="C2845" s="7">
        <f>VLOOKUP(A2845,SizeData!A$2:B$3839,2,FALSE)</f>
        <v/>
      </c>
      <c r="D2845" s="6" t="n">
        <v>1</v>
      </c>
      <c r="E2845" s="6" t="inlineStr">
        <is>
          <t>R1413566</t>
        </is>
      </c>
      <c r="F2845" s="2" t="n">
        <v>44580</v>
      </c>
      <c r="G2845" s="1" t="n"/>
    </row>
    <row r="2846">
      <c r="A2846" s="6" t="n">
        <v>812799</v>
      </c>
      <c r="B2846" s="6" t="inlineStr">
        <is>
          <t>MD 20/20 ORANGE JUBILEE</t>
        </is>
      </c>
      <c r="C2846" s="7">
        <f>VLOOKUP(A2846,SizeData!A$2:B$3839,2,FALSE)</f>
        <v/>
      </c>
      <c r="D2846" s="6" t="n">
        <v>2</v>
      </c>
      <c r="E2846" s="6" t="inlineStr">
        <is>
          <t>R1426776</t>
        </is>
      </c>
      <c r="F2846" s="2" t="n">
        <v>44585</v>
      </c>
      <c r="G2846" s="1" t="n"/>
    </row>
    <row r="2847">
      <c r="A2847" s="6" t="n">
        <v>812799</v>
      </c>
      <c r="B2847" s="6" t="inlineStr">
        <is>
          <t>MD 20/20 ORANGE JUBILEE</t>
        </is>
      </c>
      <c r="C2847" s="7">
        <f>VLOOKUP(A2847,SizeData!A$2:B$3839,2,FALSE)</f>
        <v/>
      </c>
      <c r="D2847" s="6" t="n">
        <v>1</v>
      </c>
      <c r="E2847" s="6" t="inlineStr">
        <is>
          <t>R1424786</t>
        </is>
      </c>
      <c r="F2847" s="2" t="n">
        <v>44593</v>
      </c>
      <c r="G2847" s="1" t="n"/>
    </row>
    <row r="2848">
      <c r="A2848" s="6" t="n">
        <v>812799</v>
      </c>
      <c r="B2848" s="6" t="inlineStr">
        <is>
          <t>MD 20/20 ORANGE JUBILEE</t>
        </is>
      </c>
      <c r="C2848" s="7">
        <f>VLOOKUP(A2848,SizeData!A$2:B$3839,2,FALSE)</f>
        <v/>
      </c>
      <c r="D2848" s="6" t="n">
        <v>1</v>
      </c>
      <c r="E2848" s="6" t="inlineStr">
        <is>
          <t>R1452246</t>
        </is>
      </c>
      <c r="F2848" s="2" t="n">
        <v>44600</v>
      </c>
      <c r="G2848" s="1" t="n"/>
    </row>
    <row r="2849">
      <c r="A2849" s="6" t="n">
        <v>812799</v>
      </c>
      <c r="B2849" s="6" t="inlineStr">
        <is>
          <t>MD 20/20 ORANGE JUBILEE</t>
        </is>
      </c>
      <c r="C2849" s="7">
        <f>VLOOKUP(A2849,SizeData!A$2:B$3839,2,FALSE)</f>
        <v/>
      </c>
      <c r="D2849" s="6" t="n">
        <v>1</v>
      </c>
      <c r="E2849" s="6" t="inlineStr">
        <is>
          <t>R1472921</t>
        </is>
      </c>
      <c r="F2849" s="2" t="n">
        <v>44613</v>
      </c>
      <c r="G2849" s="1" t="n"/>
    </row>
    <row r="2850">
      <c r="A2850" s="6" t="n">
        <v>812799</v>
      </c>
      <c r="B2850" s="6" t="inlineStr">
        <is>
          <t>MD 20/20 ORANGE JUBILEE</t>
        </is>
      </c>
      <c r="C2850" s="7">
        <f>VLOOKUP(A2850,SizeData!A$2:B$3839,2,FALSE)</f>
        <v/>
      </c>
      <c r="D2850" s="6" t="n">
        <v>2</v>
      </c>
      <c r="E2850" s="6" t="inlineStr">
        <is>
          <t>R1489956</t>
        </is>
      </c>
      <c r="F2850" s="2" t="n">
        <v>44631</v>
      </c>
      <c r="G2850" s="1" t="n"/>
    </row>
    <row r="2851">
      <c r="A2851" s="6" t="n">
        <v>812799</v>
      </c>
      <c r="B2851" s="6" t="inlineStr">
        <is>
          <t>MD 20/20 ORANGE JUBILEE</t>
        </is>
      </c>
      <c r="C2851" s="7">
        <f>VLOOKUP(A2851,SizeData!A$2:B$3839,2,FALSE)</f>
        <v/>
      </c>
      <c r="D2851" s="6" t="n">
        <v>1</v>
      </c>
      <c r="E2851" s="6" t="inlineStr">
        <is>
          <t>R1512696</t>
        </is>
      </c>
      <c r="F2851" s="2" t="n">
        <v>44637</v>
      </c>
      <c r="G2851" s="1" t="n"/>
    </row>
    <row r="2852">
      <c r="A2852" s="6" t="n">
        <v>812799</v>
      </c>
      <c r="B2852" s="6" t="inlineStr">
        <is>
          <t>MD 20/20 ORANGE JUBILEE</t>
        </is>
      </c>
      <c r="C2852" s="7">
        <f>VLOOKUP(A2852,SizeData!A$2:B$3839,2,FALSE)</f>
        <v/>
      </c>
      <c r="D2852" s="6" t="n">
        <v>2</v>
      </c>
      <c r="E2852" s="6" t="inlineStr">
        <is>
          <t>R1605719</t>
        </is>
      </c>
      <c r="F2852" s="2" t="n">
        <v>44685</v>
      </c>
      <c r="G2852" s="1" t="n"/>
    </row>
    <row r="2853">
      <c r="A2853" s="6" t="n">
        <v>812799</v>
      </c>
      <c r="B2853" s="6" t="inlineStr">
        <is>
          <t>MD 20/20 ORANGE JUBILEE</t>
        </is>
      </c>
      <c r="C2853" s="7">
        <f>VLOOKUP(A2853,SizeData!A$2:B$3839,2,FALSE)</f>
        <v/>
      </c>
      <c r="D2853" s="6" t="n">
        <v>1</v>
      </c>
      <c r="E2853" s="6" t="inlineStr">
        <is>
          <t>R1617499</t>
        </is>
      </c>
      <c r="F2853" s="2" t="n">
        <v>44706</v>
      </c>
      <c r="G2853" s="1" t="n"/>
    </row>
    <row r="2854">
      <c r="A2854" s="6" t="n">
        <v>812799</v>
      </c>
      <c r="B2854" s="6" t="inlineStr">
        <is>
          <t>MD 20/20 ORANGE JUBILEE</t>
        </is>
      </c>
      <c r="C2854" s="7">
        <f>VLOOKUP(A2854,SizeData!A$2:B$3839,2,FALSE)</f>
        <v/>
      </c>
      <c r="D2854" s="6" t="n">
        <v>1</v>
      </c>
      <c r="E2854" s="6" t="inlineStr">
        <is>
          <t>R1619359</t>
        </is>
      </c>
      <c r="F2854" s="2" t="n">
        <v>44716</v>
      </c>
      <c r="G2854" s="1" t="n"/>
    </row>
    <row r="2855">
      <c r="A2855" s="31" t="n">
        <v>812799</v>
      </c>
      <c r="B2855" s="31" t="inlineStr">
        <is>
          <t>MD 20/20 ORANGE JUBILEE</t>
        </is>
      </c>
      <c r="C2855" s="7">
        <f>VLOOKUP(A2855,SizeData!A$2:B$3839,2,FALSE)</f>
        <v/>
      </c>
      <c r="D2855" s="31" t="n">
        <v>5</v>
      </c>
      <c r="E2855" s="31" t="inlineStr">
        <is>
          <t>R1662835</t>
        </is>
      </c>
      <c r="F2855" s="33" t="n">
        <v>44740</v>
      </c>
      <c r="G2855" s="34" t="n"/>
    </row>
    <row r="2856">
      <c r="A2856" s="6" t="n">
        <v>812799</v>
      </c>
      <c r="B2856" s="6" t="inlineStr">
        <is>
          <t>MD 20/20 ORANGE JUBILEE</t>
        </is>
      </c>
      <c r="C2856" s="7">
        <f>VLOOKUP(A2856,SizeData!A$2:B$3839,2,FALSE)</f>
        <v/>
      </c>
      <c r="D2856" s="6" t="n">
        <v>1</v>
      </c>
      <c r="E2856" s="6" t="inlineStr">
        <is>
          <t>R1727741</t>
        </is>
      </c>
      <c r="F2856" s="2" t="n">
        <v>44786</v>
      </c>
      <c r="G2856" s="1" t="n"/>
    </row>
    <row r="2857">
      <c r="A2857" s="6" t="n">
        <v>812799</v>
      </c>
      <c r="B2857" s="6" t="inlineStr">
        <is>
          <t>MD 20/20 ORANGE JUBILEE</t>
        </is>
      </c>
      <c r="C2857" s="7">
        <f>VLOOKUP(A2857,SizeData!A$2:B$3839,2,FALSE)</f>
        <v/>
      </c>
      <c r="D2857" s="6" t="n">
        <v>3</v>
      </c>
      <c r="E2857" s="6" t="inlineStr">
        <is>
          <t>R1762513</t>
        </is>
      </c>
      <c r="F2857" s="2" t="n">
        <v>44810</v>
      </c>
      <c r="G2857" s="1" t="n"/>
    </row>
    <row r="2858">
      <c r="A2858" s="6" t="n">
        <v>812799</v>
      </c>
      <c r="B2858" s="6" t="inlineStr">
        <is>
          <t>MD 20/20 ORANGE JUBILEE</t>
        </is>
      </c>
      <c r="C2858" s="7">
        <f>VLOOKUP(A2858,SizeData!A$2:B$3839,2,FALSE)</f>
        <v/>
      </c>
      <c r="D2858" s="6" t="n">
        <v>1</v>
      </c>
      <c r="E2858" s="6" t="inlineStr">
        <is>
          <t>R1782657</t>
        </is>
      </c>
      <c r="F2858" s="2" t="n">
        <v>44828</v>
      </c>
      <c r="G2858" s="1" t="n"/>
    </row>
    <row r="2859">
      <c r="A2859" s="6" t="n">
        <v>812799</v>
      </c>
      <c r="B2859" s="6" t="inlineStr">
        <is>
          <t>MD 20/20 ORANGE JUBILEE</t>
        </is>
      </c>
      <c r="C2859" s="7">
        <f>VLOOKUP(A2859,SizeData!A$2:B$3839,2,FALSE)</f>
        <v/>
      </c>
      <c r="D2859" s="6" t="n">
        <v>2</v>
      </c>
      <c r="E2859" s="6" t="inlineStr">
        <is>
          <t>R1791500</t>
        </is>
      </c>
      <c r="F2859" s="2" t="n">
        <v>44835</v>
      </c>
      <c r="G2859" s="1" t="n"/>
    </row>
    <row r="2860">
      <c r="A2860" s="26" t="n">
        <v>812799</v>
      </c>
      <c r="B2860" s="26" t="inlineStr">
        <is>
          <t>MD 20/20 ORANGE JUBILEE</t>
        </is>
      </c>
      <c r="C2860" s="75">
        <f>VLOOKUP(A2860,SizeData!A$2:B$3839,2,FALSE)</f>
        <v/>
      </c>
      <c r="D2860" s="26" t="n">
        <v>1</v>
      </c>
      <c r="E2860" s="26" t="inlineStr">
        <is>
          <t>R1817613</t>
        </is>
      </c>
      <c r="F2860" s="61" t="n">
        <v>44849</v>
      </c>
      <c r="G2860" s="62" t="n"/>
    </row>
    <row r="2861">
      <c r="A2861" s="6" t="n">
        <v>812799</v>
      </c>
      <c r="B2861" s="6" t="inlineStr">
        <is>
          <t>MD 20/20 ORANGE JUBILEE</t>
        </is>
      </c>
      <c r="C2861" s="7">
        <f>VLOOKUP(A2861,SizeData!A$2:B$3839,2,FALSE)</f>
        <v/>
      </c>
      <c r="D2861" s="6" t="n">
        <v>1</v>
      </c>
      <c r="E2861" s="6" t="inlineStr">
        <is>
          <t>R1834591</t>
        </is>
      </c>
      <c r="F2861" s="2" t="n">
        <v>44863</v>
      </c>
      <c r="G2861" s="1" t="n"/>
    </row>
    <row r="2862">
      <c r="A2862" s="6" t="n">
        <v>812776</v>
      </c>
      <c r="B2862" s="6" t="inlineStr">
        <is>
          <t>MD 20/20 PEACH &amp; CREAM</t>
        </is>
      </c>
      <c r="C2862" s="7">
        <f>VLOOKUP(A2862,SizeData!A$2:B$3839,2,FALSE)</f>
        <v/>
      </c>
      <c r="D2862" s="6" t="n">
        <v>1</v>
      </c>
      <c r="E2862" s="6" t="inlineStr">
        <is>
          <t>R1413566</t>
        </is>
      </c>
      <c r="F2862" s="2" t="n">
        <v>44580</v>
      </c>
      <c r="G2862" s="1" t="n"/>
    </row>
    <row r="2863">
      <c r="A2863" s="6" t="n">
        <v>812776</v>
      </c>
      <c r="B2863" s="6" t="inlineStr">
        <is>
          <t>MD 20/20 PEACH &amp; CREAM</t>
        </is>
      </c>
      <c r="C2863" s="7">
        <f>VLOOKUP(A2863,SizeData!A$2:B$3839,2,FALSE)</f>
        <v/>
      </c>
      <c r="D2863" s="6" t="n">
        <v>1</v>
      </c>
      <c r="E2863" s="6" t="inlineStr">
        <is>
          <t>R1472202</t>
        </is>
      </c>
      <c r="F2863" s="2" t="n">
        <v>44608</v>
      </c>
      <c r="G2863" s="1" t="n"/>
    </row>
    <row r="2864">
      <c r="A2864" s="6" t="n">
        <v>812776</v>
      </c>
      <c r="B2864" s="6" t="inlineStr">
        <is>
          <t>MD 20/20 PEACH &amp; CREAM</t>
        </is>
      </c>
      <c r="C2864" s="7">
        <f>VLOOKUP(A2864,SizeData!A$2:B$3839,2,FALSE)</f>
        <v/>
      </c>
      <c r="D2864" s="6" t="n">
        <v>1</v>
      </c>
      <c r="E2864" s="6" t="inlineStr">
        <is>
          <t>R1471889</t>
        </is>
      </c>
      <c r="F2864" s="2" t="n">
        <v>44611</v>
      </c>
      <c r="G2864" s="1" t="n"/>
    </row>
    <row r="2865">
      <c r="A2865" s="6" t="n">
        <v>812776</v>
      </c>
      <c r="B2865" s="6" t="inlineStr">
        <is>
          <t>MD 20/20 PEACH &amp; CREAM</t>
        </is>
      </c>
      <c r="C2865" s="7">
        <f>VLOOKUP(A2865,SizeData!A$2:B$3839,2,FALSE)</f>
        <v/>
      </c>
      <c r="D2865" s="6" t="n">
        <v>1</v>
      </c>
      <c r="E2865" s="6" t="inlineStr">
        <is>
          <t>R1512696</t>
        </is>
      </c>
      <c r="F2865" s="2" t="n">
        <v>44637</v>
      </c>
      <c r="G2865" s="1" t="n"/>
    </row>
    <row r="2866">
      <c r="A2866" s="31" t="n">
        <v>812776</v>
      </c>
      <c r="B2866" s="31" t="inlineStr">
        <is>
          <t>MD 20/20 PEACH &amp; CREAM</t>
        </is>
      </c>
      <c r="C2866" s="7">
        <f>VLOOKUP(A2866,SizeData!A$2:B$3839,2,FALSE)</f>
        <v/>
      </c>
      <c r="D2866" s="31" t="n">
        <v>1</v>
      </c>
      <c r="E2866" s="31" t="inlineStr">
        <is>
          <t>R1566604</t>
        </is>
      </c>
      <c r="F2866" s="33" t="n">
        <v>44660</v>
      </c>
      <c r="G2866" s="34" t="n"/>
    </row>
    <row r="2867">
      <c r="A2867" s="6" t="n">
        <v>812776</v>
      </c>
      <c r="B2867" s="6" t="inlineStr">
        <is>
          <t>MD 20/20 PEACH &amp; CREAM</t>
        </is>
      </c>
      <c r="C2867" s="7">
        <f>VLOOKUP(A2867,SizeData!A$2:B$3839,2,FALSE)</f>
        <v/>
      </c>
      <c r="D2867" s="6" t="n">
        <v>1</v>
      </c>
      <c r="E2867" s="6" t="inlineStr">
        <is>
          <t>R1630969</t>
        </is>
      </c>
      <c r="F2867" s="2" t="n">
        <v>44711</v>
      </c>
      <c r="G2867" s="1" t="n"/>
    </row>
    <row r="2868">
      <c r="A2868" s="31" t="n">
        <v>812776</v>
      </c>
      <c r="B2868" s="31" t="inlineStr">
        <is>
          <t>MD 20/20 PEACH &amp; CREAM</t>
        </is>
      </c>
      <c r="C2868" s="7">
        <f>VLOOKUP(A2868,SizeData!A$2:B$3839,2,FALSE)</f>
        <v/>
      </c>
      <c r="D2868" s="31" t="n">
        <v>1</v>
      </c>
      <c r="E2868" s="31" t="inlineStr">
        <is>
          <t>R1662835</t>
        </is>
      </c>
      <c r="F2868" s="33" t="n">
        <v>44740</v>
      </c>
      <c r="G2868" s="34" t="n"/>
    </row>
    <row r="2869">
      <c r="A2869" s="6" t="n">
        <v>812776</v>
      </c>
      <c r="B2869" s="6" t="inlineStr">
        <is>
          <t>MD 20/20 PEACH &amp; CREAM</t>
        </is>
      </c>
      <c r="C2869" s="7">
        <f>VLOOKUP(A2869,SizeData!A$2:B$3839,2,FALSE)</f>
        <v/>
      </c>
      <c r="D2869" s="6" t="n">
        <v>1</v>
      </c>
      <c r="E2869" s="6" t="inlineStr">
        <is>
          <t>R1727741</t>
        </is>
      </c>
      <c r="F2869" s="2" t="n">
        <v>44786</v>
      </c>
      <c r="G2869" s="1" t="n"/>
    </row>
    <row r="2870">
      <c r="A2870" s="6" t="n">
        <v>812776</v>
      </c>
      <c r="B2870" s="6" t="inlineStr">
        <is>
          <t>MD 20/20 PEACH &amp; CREAM</t>
        </is>
      </c>
      <c r="C2870" s="7">
        <f>VLOOKUP(A2870,SizeData!A$2:B$3839,2,FALSE)</f>
        <v/>
      </c>
      <c r="D2870" s="6" t="n">
        <v>1</v>
      </c>
      <c r="E2870" s="6" t="inlineStr">
        <is>
          <t>R1740439</t>
        </is>
      </c>
      <c r="F2870" s="2" t="n">
        <v>44793</v>
      </c>
      <c r="G2870" s="1" t="n"/>
    </row>
    <row r="2871">
      <c r="A2871" s="6" t="n">
        <v>812776</v>
      </c>
      <c r="B2871" s="6" t="inlineStr">
        <is>
          <t>MD 20/20 PEACH &amp; CREAM</t>
        </is>
      </c>
      <c r="C2871" s="7">
        <f>VLOOKUP(A2871,SizeData!A$2:B$3839,2,FALSE)</f>
        <v/>
      </c>
      <c r="D2871" s="6" t="n">
        <v>1</v>
      </c>
      <c r="E2871" s="6" t="inlineStr">
        <is>
          <t>R1763684</t>
        </is>
      </c>
      <c r="F2871" s="2" t="n">
        <v>44821</v>
      </c>
      <c r="G2871" s="1" t="n"/>
    </row>
    <row r="2872">
      <c r="A2872" s="6" t="n">
        <v>812776</v>
      </c>
      <c r="B2872" s="6" t="inlineStr">
        <is>
          <t>MD 20/20 PEACH &amp; CREAM</t>
        </is>
      </c>
      <c r="C2872" s="7">
        <f>VLOOKUP(A2872,SizeData!A$2:B$3839,2,FALSE)</f>
        <v/>
      </c>
      <c r="D2872" s="6" t="n">
        <v>1</v>
      </c>
      <c r="E2872" s="6" t="inlineStr">
        <is>
          <t>R1860108</t>
        </is>
      </c>
      <c r="F2872" s="2" t="n">
        <v>44868</v>
      </c>
      <c r="G2872" s="1" t="n"/>
    </row>
    <row r="2873">
      <c r="A2873" s="6" t="n">
        <v>812776</v>
      </c>
      <c r="B2873" s="6" t="inlineStr">
        <is>
          <t>MD 20/20 PEACH &amp; CREAM</t>
        </is>
      </c>
      <c r="C2873" s="7">
        <f>VLOOKUP(A2873,SizeData!A$2:B$3839,2,FALSE)</f>
        <v/>
      </c>
      <c r="D2873" s="6" t="n">
        <v>1</v>
      </c>
      <c r="E2873" s="6" t="inlineStr">
        <is>
          <t>R1866529</t>
        </is>
      </c>
      <c r="F2873" s="2" t="n">
        <v>44876</v>
      </c>
      <c r="G2873" s="1" t="n"/>
    </row>
    <row r="2874">
      <c r="A2874" s="6" t="n">
        <v>812776</v>
      </c>
      <c r="B2874" s="6" t="inlineStr">
        <is>
          <t>MD 20/20 PEACH &amp; CREAM</t>
        </is>
      </c>
      <c r="C2874" s="7">
        <f>VLOOKUP(A2874,SizeData!A$2:B$3839,2,FALSE)</f>
        <v/>
      </c>
      <c r="D2874" s="6" t="n">
        <v>1</v>
      </c>
      <c r="E2874" s="6" t="inlineStr">
        <is>
          <t>R1897460</t>
        </is>
      </c>
      <c r="F2874" s="2" t="n">
        <v>44902</v>
      </c>
      <c r="G2874" s="1" t="n"/>
    </row>
    <row r="2875">
      <c r="A2875" s="6" t="n">
        <v>812794</v>
      </c>
      <c r="B2875" s="6" t="inlineStr">
        <is>
          <t>MD 20/20 RED GRAPE</t>
        </is>
      </c>
      <c r="C2875" s="7">
        <f>VLOOKUP(A2875,SizeData!A$2:B$3839,2,FALSE)</f>
        <v/>
      </c>
      <c r="D2875" s="6" t="n">
        <v>1</v>
      </c>
      <c r="E2875" s="6" t="inlineStr">
        <is>
          <t>R1387278</t>
        </is>
      </c>
      <c r="F2875" s="2" t="n">
        <v>44559</v>
      </c>
      <c r="G2875" s="1" t="n"/>
    </row>
    <row r="2876">
      <c r="A2876" s="6" t="n">
        <v>812794</v>
      </c>
      <c r="B2876" s="6" t="inlineStr">
        <is>
          <t>MD 20/20 RED GRAPE</t>
        </is>
      </c>
      <c r="C2876" s="7">
        <f>VLOOKUP(A2876,SizeData!A$2:B$3839,2,FALSE)</f>
        <v/>
      </c>
      <c r="D2876" s="6" t="n">
        <v>1</v>
      </c>
      <c r="E2876" s="6" t="inlineStr">
        <is>
          <t>R1436329</t>
        </is>
      </c>
      <c r="F2876" s="2" t="n">
        <v>44585</v>
      </c>
      <c r="G2876" s="1" t="n"/>
    </row>
    <row r="2877">
      <c r="A2877" s="6" t="n">
        <v>812794</v>
      </c>
      <c r="B2877" s="6" t="inlineStr">
        <is>
          <t>MD 20/20 RED GRAPE</t>
        </is>
      </c>
      <c r="C2877" s="7">
        <f>VLOOKUP(A2877,SizeData!A$2:B$3839,2,FALSE)</f>
        <v/>
      </c>
      <c r="D2877" s="6" t="n">
        <v>1</v>
      </c>
      <c r="E2877" s="6" t="inlineStr">
        <is>
          <t>R1434427</t>
        </is>
      </c>
      <c r="F2877" s="2" t="n">
        <v>44588</v>
      </c>
      <c r="G2877" s="1" t="n"/>
    </row>
    <row r="2878">
      <c r="A2878" s="6" t="n">
        <v>812794</v>
      </c>
      <c r="B2878" s="6" t="inlineStr">
        <is>
          <t>MD 20/20 RED GRAPE</t>
        </is>
      </c>
      <c r="C2878" s="7">
        <f>VLOOKUP(A2878,SizeData!A$2:B$3839,2,FALSE)</f>
        <v/>
      </c>
      <c r="D2878" s="6" t="n">
        <v>1</v>
      </c>
      <c r="E2878" s="6" t="inlineStr">
        <is>
          <t>R1472811</t>
        </is>
      </c>
      <c r="F2878" s="2" t="n">
        <v>44609</v>
      </c>
      <c r="G2878" s="1" t="n"/>
    </row>
    <row r="2879">
      <c r="A2879" s="6" t="n">
        <v>812794</v>
      </c>
      <c r="B2879" s="6" t="inlineStr">
        <is>
          <t>MD 20/20 RED GRAPE</t>
        </is>
      </c>
      <c r="C2879" s="7">
        <f>VLOOKUP(A2879,SizeData!A$2:B$3839,2,FALSE)</f>
        <v/>
      </c>
      <c r="D2879" s="6" t="n">
        <v>1</v>
      </c>
      <c r="E2879" s="6" t="inlineStr">
        <is>
          <t>R1501158</t>
        </is>
      </c>
      <c r="F2879" s="2" t="n">
        <v>44627</v>
      </c>
      <c r="G2879" s="1" t="n"/>
    </row>
    <row r="2880">
      <c r="A2880" s="6" t="n">
        <v>812794</v>
      </c>
      <c r="B2880" s="6" t="inlineStr">
        <is>
          <t>MD 20/20 RED GRAPE</t>
        </is>
      </c>
      <c r="C2880" s="7">
        <f>VLOOKUP(A2880,SizeData!A$2:B$3839,2,FALSE)</f>
        <v/>
      </c>
      <c r="D2880" s="6" t="n">
        <v>1</v>
      </c>
      <c r="E2880" s="6" t="inlineStr">
        <is>
          <t>R1518696</t>
        </is>
      </c>
      <c r="F2880" s="2" t="n">
        <v>44643</v>
      </c>
      <c r="G2880" s="1" t="n"/>
    </row>
    <row r="2881">
      <c r="A2881" s="6" t="n">
        <v>812794</v>
      </c>
      <c r="B2881" s="6" t="inlineStr">
        <is>
          <t>MD 20/20 RED GRAPE</t>
        </is>
      </c>
      <c r="C2881" s="7">
        <f>VLOOKUP(A2881,SizeData!A$2:B$3839,2,FALSE)</f>
        <v/>
      </c>
      <c r="D2881" s="6" t="n">
        <v>1</v>
      </c>
      <c r="E2881" s="6" t="inlineStr">
        <is>
          <t>R1537124</t>
        </is>
      </c>
      <c r="F2881" s="2" t="n">
        <v>44646</v>
      </c>
      <c r="G2881" s="1" t="n"/>
    </row>
    <row r="2882" customFormat="1" s="14">
      <c r="A2882" s="6" t="n">
        <v>812794</v>
      </c>
      <c r="B2882" s="6" t="inlineStr">
        <is>
          <t>MD 20/20 RED GRAPE</t>
        </is>
      </c>
      <c r="C2882" s="7">
        <f>VLOOKUP(A2882,SizeData!A$2:B$3839,2,FALSE)</f>
        <v/>
      </c>
      <c r="D2882" s="6" t="n">
        <v>1</v>
      </c>
      <c r="E2882" s="6" t="inlineStr">
        <is>
          <t>R1605719</t>
        </is>
      </c>
      <c r="F2882" s="2" t="n">
        <v>44685</v>
      </c>
      <c r="G2882" s="1" t="n"/>
    </row>
    <row r="2883" customFormat="1" s="14">
      <c r="A2883" s="6" t="n">
        <v>812794</v>
      </c>
      <c r="B2883" s="6" t="inlineStr">
        <is>
          <t>MD 20/20 RED GRAPE</t>
        </is>
      </c>
      <c r="C2883" s="7">
        <f>VLOOKUP(A2883,SizeData!A$2:B$3839,2,FALSE)</f>
        <v/>
      </c>
      <c r="D2883" s="6" t="n">
        <v>1</v>
      </c>
      <c r="E2883" s="6" t="inlineStr">
        <is>
          <t>R1660776</t>
        </is>
      </c>
      <c r="F2883" s="2" t="n">
        <v>44733</v>
      </c>
      <c r="G2883" s="1" t="n"/>
    </row>
    <row r="2884" customFormat="1" s="14">
      <c r="A2884" s="6" t="n">
        <v>812794</v>
      </c>
      <c r="B2884" s="6" t="inlineStr">
        <is>
          <t>MD 20/20 RED GRAPE</t>
        </is>
      </c>
      <c r="C2884" s="7">
        <f>VLOOKUP(A2884,SizeData!A$2:B$3839,2,FALSE)</f>
        <v/>
      </c>
      <c r="D2884" s="6" t="n">
        <v>2</v>
      </c>
      <c r="E2884" s="6" t="inlineStr">
        <is>
          <t>R1723520</t>
        </is>
      </c>
      <c r="F2884" s="2" t="n">
        <v>44782</v>
      </c>
      <c r="G2884" s="1" t="n"/>
    </row>
    <row r="2885" customFormat="1" s="14">
      <c r="A2885" s="6" t="n">
        <v>812794</v>
      </c>
      <c r="B2885" s="6" t="inlineStr">
        <is>
          <t>MD 20/20 RED GRAPE</t>
        </is>
      </c>
      <c r="C2885" s="7">
        <f>VLOOKUP(A2885,SizeData!A$2:B$3839,2,FALSE)</f>
        <v/>
      </c>
      <c r="D2885" s="6" t="n">
        <v>2</v>
      </c>
      <c r="E2885" s="6" t="inlineStr">
        <is>
          <t>R1814504</t>
        </is>
      </c>
      <c r="F2885" s="2" t="n">
        <v>44846</v>
      </c>
      <c r="G2885" s="1" t="n"/>
    </row>
    <row r="2886" customFormat="1" s="14">
      <c r="A2886" s="6" t="n">
        <v>812794</v>
      </c>
      <c r="B2886" s="6" t="inlineStr">
        <is>
          <t>MD 20/20 RED GRAPE</t>
        </is>
      </c>
      <c r="C2886" s="7">
        <f>VLOOKUP(A2886,SizeData!A$2:B$3839,2,FALSE)</f>
        <v/>
      </c>
      <c r="D2886" s="6" t="n">
        <v>3</v>
      </c>
      <c r="E2886" s="6" t="inlineStr">
        <is>
          <t>R1848183</t>
        </is>
      </c>
      <c r="F2886" s="2" t="n">
        <v>44872</v>
      </c>
      <c r="G2886" s="1" t="n"/>
    </row>
    <row r="2887" customFormat="1" s="14">
      <c r="A2887" s="6" t="n">
        <v>812794</v>
      </c>
      <c r="B2887" s="6" t="inlineStr">
        <is>
          <t>MD 20/20 RED GRAPE</t>
        </is>
      </c>
      <c r="C2887" s="7">
        <f>VLOOKUP(A2887,SizeData!A$2:B$3839,2,FALSE)</f>
        <v/>
      </c>
      <c r="D2887" s="6" t="n">
        <v>2</v>
      </c>
      <c r="E2887" s="6" t="inlineStr">
        <is>
          <t>R1897460</t>
        </is>
      </c>
      <c r="F2887" s="2" t="n">
        <v>44902</v>
      </c>
      <c r="G2887" s="1" t="n"/>
    </row>
    <row r="2888">
      <c r="A2888" s="6" t="n">
        <v>812795</v>
      </c>
      <c r="B2888" s="6" t="inlineStr">
        <is>
          <t>MD 20/20 RED GRAPE</t>
        </is>
      </c>
      <c r="C2888" s="7">
        <f>VLOOKUP(A2888,SizeData!A$2:B$3839,2,FALSE)</f>
        <v/>
      </c>
      <c r="D2888" s="6" t="n">
        <v>1</v>
      </c>
      <c r="E2888" s="6" t="inlineStr">
        <is>
          <t>R1453720</t>
        </is>
      </c>
      <c r="F2888" s="2" t="n">
        <v>44599</v>
      </c>
      <c r="G2888" s="1" t="n"/>
    </row>
    <row r="2889">
      <c r="A2889" s="6" t="n">
        <v>812795</v>
      </c>
      <c r="B2889" s="6" t="inlineStr">
        <is>
          <t>MD 20/20 RED GRAPE</t>
        </is>
      </c>
      <c r="C2889" s="7">
        <f>VLOOKUP(A2889,SizeData!A$2:B$3839,2,FALSE)</f>
        <v/>
      </c>
      <c r="D2889" s="6" t="n">
        <v>1</v>
      </c>
      <c r="E2889" s="6" t="inlineStr">
        <is>
          <t>R1536813</t>
        </is>
      </c>
      <c r="F2889" s="2" t="n">
        <v>44643</v>
      </c>
      <c r="G2889" s="1" t="n"/>
    </row>
    <row r="2890">
      <c r="A2890" s="6" t="n">
        <v>812795</v>
      </c>
      <c r="B2890" s="6" t="inlineStr">
        <is>
          <t>MD 20/20 RED GRAPE</t>
        </is>
      </c>
      <c r="C2890" s="7">
        <f>VLOOKUP(A2890,SizeData!A$2:B$3839,2,FALSE)</f>
        <v/>
      </c>
      <c r="D2890" s="6" t="n">
        <v>1</v>
      </c>
      <c r="E2890" s="6" t="inlineStr">
        <is>
          <t>R1718725</t>
        </is>
      </c>
      <c r="F2890" s="2" t="n">
        <v>44777</v>
      </c>
      <c r="G2890" s="1" t="n"/>
    </row>
    <row r="2891">
      <c r="A2891" s="6" t="n">
        <v>812795</v>
      </c>
      <c r="B2891" s="6" t="inlineStr">
        <is>
          <t>MD 20/20 RED GRAPE</t>
        </is>
      </c>
      <c r="C2891" s="7">
        <f>VLOOKUP(A2891,SizeData!A$2:B$3839,2,FALSE)</f>
        <v/>
      </c>
      <c r="D2891" s="6" t="n">
        <v>1</v>
      </c>
      <c r="E2891" s="6" t="inlineStr">
        <is>
          <t>R1734629</t>
        </is>
      </c>
      <c r="F2891" s="2" t="n">
        <v>44792</v>
      </c>
      <c r="G2891" s="1" t="n"/>
    </row>
    <row r="2892">
      <c r="A2892" s="26" t="n">
        <v>812795</v>
      </c>
      <c r="B2892" s="26" t="inlineStr">
        <is>
          <t>MD 20/20 RED GRAPE</t>
        </is>
      </c>
      <c r="C2892" s="7">
        <f>VLOOKUP(A2892,SizeData!A$2:B$3839,2,FALSE)</f>
        <v/>
      </c>
      <c r="D2892" s="26" t="n">
        <v>1</v>
      </c>
      <c r="E2892" s="26" t="inlineStr">
        <is>
          <t>R1789511</t>
        </is>
      </c>
      <c r="F2892" s="61" t="n">
        <v>44832</v>
      </c>
      <c r="G2892" s="62" t="n"/>
    </row>
    <row r="2893">
      <c r="A2893" s="6" t="n">
        <v>812795</v>
      </c>
      <c r="B2893" s="6" t="inlineStr">
        <is>
          <t>MD 20/20 RED GRAPE</t>
        </is>
      </c>
      <c r="C2893" s="7">
        <f>VLOOKUP(A2893,SizeData!A$2:B$3839,2,FALSE)</f>
        <v/>
      </c>
      <c r="D2893" s="6" t="n">
        <v>1</v>
      </c>
      <c r="E2893" s="6" t="inlineStr">
        <is>
          <t>R1834591</t>
        </is>
      </c>
      <c r="F2893" s="2" t="n">
        <v>44863</v>
      </c>
      <c r="G2893" s="1" t="n"/>
    </row>
    <row r="2894">
      <c r="A2894" s="6" t="n">
        <v>812796</v>
      </c>
      <c r="B2894" s="6" t="inlineStr">
        <is>
          <t>MD 20/20 RED GRAPE</t>
        </is>
      </c>
      <c r="C2894" s="7">
        <f>VLOOKUP(A2894,SizeData!A$2:B$3839,2,FALSE)</f>
        <v/>
      </c>
      <c r="D2894" s="6" t="n">
        <v>1</v>
      </c>
      <c r="E2894" s="6" t="inlineStr">
        <is>
          <t>R1387278</t>
        </is>
      </c>
      <c r="F2894" s="2" t="n">
        <v>44559</v>
      </c>
      <c r="G2894" s="1" t="n"/>
    </row>
    <row r="2895">
      <c r="A2895" s="6" t="n">
        <v>812796</v>
      </c>
      <c r="B2895" s="6" t="inlineStr">
        <is>
          <t>MD 20/20 RED GRAPE</t>
        </is>
      </c>
      <c r="C2895" s="7">
        <f>VLOOKUP(A2895,SizeData!A$2:B$3839,2,FALSE)</f>
        <v/>
      </c>
      <c r="D2895" s="6" t="n">
        <v>1</v>
      </c>
      <c r="E2895" s="6" t="inlineStr">
        <is>
          <t>R1436329</t>
        </is>
      </c>
      <c r="F2895" s="2" t="n">
        <v>44585</v>
      </c>
      <c r="G2895" s="1" t="n"/>
    </row>
    <row r="2896">
      <c r="A2896" s="6" t="n">
        <v>812796</v>
      </c>
      <c r="B2896" s="6" t="inlineStr">
        <is>
          <t>MD 20/20 RED GRAPE</t>
        </is>
      </c>
      <c r="C2896" s="7">
        <f>VLOOKUP(A2896,SizeData!A$2:B$3839,2,FALSE)</f>
        <v/>
      </c>
      <c r="D2896" s="6" t="n">
        <v>1</v>
      </c>
      <c r="E2896" s="6" t="inlineStr">
        <is>
          <t>R1472811</t>
        </is>
      </c>
      <c r="F2896" s="2" t="n">
        <v>44609</v>
      </c>
      <c r="G2896" s="1" t="n"/>
    </row>
    <row r="2897">
      <c r="A2897" s="6" t="n">
        <v>812796</v>
      </c>
      <c r="B2897" s="6" t="inlineStr">
        <is>
          <t>MD 20/20 RED GRAPE</t>
        </is>
      </c>
      <c r="C2897" s="7">
        <f>VLOOKUP(A2897,SizeData!A$2:B$3839,2,FALSE)</f>
        <v/>
      </c>
      <c r="D2897" s="6" t="n">
        <v>1</v>
      </c>
      <c r="E2897" s="6" t="inlineStr">
        <is>
          <t>R1516281</t>
        </is>
      </c>
      <c r="F2897" s="2" t="n">
        <v>44634</v>
      </c>
      <c r="G2897" s="1" t="n"/>
    </row>
    <row r="2898">
      <c r="A2898" s="6" t="n">
        <v>812796</v>
      </c>
      <c r="B2898" s="6" t="inlineStr">
        <is>
          <t>MD 20/20 RED GRAPE</t>
        </is>
      </c>
      <c r="C2898" s="7">
        <f>VLOOKUP(A2898,SizeData!A$2:B$3839,2,FALSE)</f>
        <v/>
      </c>
      <c r="D2898" s="6" t="n">
        <v>1</v>
      </c>
      <c r="E2898" s="6" t="inlineStr">
        <is>
          <t>R1569610</t>
        </is>
      </c>
      <c r="F2898" s="2" t="n">
        <v>44669</v>
      </c>
      <c r="G2898" s="1" t="n"/>
    </row>
    <row r="2899">
      <c r="A2899" s="31" t="n">
        <v>812796</v>
      </c>
      <c r="B2899" s="31" t="inlineStr">
        <is>
          <t>MD 20/20 RED GRAPE</t>
        </is>
      </c>
      <c r="C2899" s="7">
        <f>VLOOKUP(A2899,SizeData!A$2:B$3839,2,FALSE)</f>
        <v/>
      </c>
      <c r="D2899" s="31" t="n">
        <v>1</v>
      </c>
      <c r="E2899" s="31" t="inlineStr">
        <is>
          <t>R1590929</t>
        </is>
      </c>
      <c r="F2899" s="33" t="n">
        <v>44677</v>
      </c>
      <c r="G2899" s="34" t="n"/>
    </row>
    <row r="2900">
      <c r="A2900" s="6" t="n">
        <v>812796</v>
      </c>
      <c r="B2900" s="6" t="inlineStr">
        <is>
          <t>MD 20/20 RED GRAPE</t>
        </is>
      </c>
      <c r="C2900" s="7">
        <f>VLOOKUP(A2900,SizeData!A$2:B$3839,2,FALSE)</f>
        <v/>
      </c>
      <c r="D2900" s="6" t="n">
        <v>1</v>
      </c>
      <c r="E2900" s="6" t="inlineStr">
        <is>
          <t>R1665833</t>
        </is>
      </c>
      <c r="F2900" s="2" t="n">
        <v>44734</v>
      </c>
      <c r="G2900" s="1" t="n"/>
    </row>
    <row r="2901">
      <c r="A2901" s="31" t="n">
        <v>812796</v>
      </c>
      <c r="B2901" s="31" t="inlineStr">
        <is>
          <t>MD 20/20 RED GRAPE</t>
        </is>
      </c>
      <c r="C2901" s="7">
        <f>VLOOKUP(A2901,SizeData!A$2:B$3839,2,FALSE)</f>
        <v/>
      </c>
      <c r="D2901" s="31" t="n">
        <v>2</v>
      </c>
      <c r="E2901" s="31" t="inlineStr">
        <is>
          <t>R1662835</t>
        </is>
      </c>
      <c r="F2901" s="33" t="n">
        <v>44740</v>
      </c>
      <c r="G2901" s="34" t="n"/>
    </row>
    <row r="2902">
      <c r="A2902" s="6" t="n">
        <v>812796</v>
      </c>
      <c r="B2902" s="6" t="inlineStr">
        <is>
          <t>MD 20/20 RED GRAPE</t>
        </is>
      </c>
      <c r="C2902" s="7">
        <f>VLOOKUP(A2902,SizeData!A$2:B$3839,2,FALSE)</f>
        <v/>
      </c>
      <c r="D2902" s="6" t="n">
        <v>2</v>
      </c>
      <c r="E2902" s="6" t="inlineStr">
        <is>
          <t>R1755075</t>
        </is>
      </c>
      <c r="F2902" s="2" t="n">
        <v>44798</v>
      </c>
      <c r="G2902" s="1" t="n"/>
    </row>
    <row r="2903">
      <c r="A2903" s="6" t="n">
        <v>812796</v>
      </c>
      <c r="B2903" s="6" t="inlineStr">
        <is>
          <t>MD 20/20 RED GRAPE</t>
        </is>
      </c>
      <c r="C2903" s="7">
        <f>VLOOKUP(A2903,SizeData!A$2:B$3839,2,FALSE)</f>
        <v/>
      </c>
      <c r="D2903" s="6" t="n">
        <v>1</v>
      </c>
      <c r="E2903" s="6" t="inlineStr">
        <is>
          <t>R1767069</t>
        </is>
      </c>
      <c r="F2903" s="2" t="n">
        <v>44814</v>
      </c>
      <c r="G2903" s="1" t="n"/>
    </row>
    <row r="2904">
      <c r="A2904" s="6" t="n">
        <v>812796</v>
      </c>
      <c r="B2904" s="6" t="inlineStr">
        <is>
          <t>MD 20/20 RED GRAPE</t>
        </is>
      </c>
      <c r="C2904" s="7">
        <f>VLOOKUP(A2904,SizeData!A$2:B$3839,2,FALSE)</f>
        <v/>
      </c>
      <c r="D2904" s="6" t="n">
        <v>1</v>
      </c>
      <c r="E2904" s="6" t="inlineStr">
        <is>
          <t>R1763684</t>
        </is>
      </c>
      <c r="F2904" s="2" t="n">
        <v>44821</v>
      </c>
      <c r="G2904" s="1" t="n"/>
    </row>
    <row r="2905">
      <c r="A2905" s="26" t="n">
        <v>812796</v>
      </c>
      <c r="B2905" s="26" t="inlineStr">
        <is>
          <t>MD 20/20 RED GRAPE</t>
        </is>
      </c>
      <c r="C2905" s="75">
        <f>VLOOKUP(A2905,SizeData!A$2:B$3839,2,FALSE)</f>
        <v/>
      </c>
      <c r="D2905" s="26" t="n">
        <v>2</v>
      </c>
      <c r="E2905" s="26" t="inlineStr">
        <is>
          <t>R1834591</t>
        </is>
      </c>
      <c r="F2905" s="61" t="n">
        <v>44863</v>
      </c>
      <c r="G2905" s="62" t="n"/>
    </row>
    <row r="2906">
      <c r="A2906" s="6" t="n">
        <v>812796</v>
      </c>
      <c r="B2906" s="6" t="inlineStr">
        <is>
          <t>MD 20/20 RED GRAPE</t>
        </is>
      </c>
      <c r="C2906" s="7">
        <f>VLOOKUP(A2906,SizeData!A$2:B$3839,2,FALSE)</f>
        <v/>
      </c>
      <c r="D2906" s="6" t="n">
        <v>2</v>
      </c>
      <c r="E2906" s="6" t="inlineStr">
        <is>
          <t>R1897460</t>
        </is>
      </c>
      <c r="F2906" s="2" t="n">
        <v>44902</v>
      </c>
      <c r="G2906" s="1" t="n"/>
    </row>
    <row r="2907">
      <c r="A2907" s="6" t="n">
        <v>443950</v>
      </c>
      <c r="B2907" s="6" t="inlineStr">
        <is>
          <t>MEIOMI PINOT NOIR MNTRY/SNTA BARB/SONOMA</t>
        </is>
      </c>
      <c r="C2907" s="7">
        <f>VLOOKUP(A2907,SizeData!A$2:B$3839,2,FALSE)</f>
        <v/>
      </c>
      <c r="D2907" s="6" t="n">
        <v>2</v>
      </c>
      <c r="E2907" s="6" t="inlineStr">
        <is>
          <t>R1388669</t>
        </is>
      </c>
      <c r="F2907" s="2" t="n">
        <v>44560</v>
      </c>
      <c r="G2907" s="1" t="n"/>
    </row>
    <row r="2908">
      <c r="A2908" s="6" t="n">
        <v>443950</v>
      </c>
      <c r="B2908" s="6" t="inlineStr">
        <is>
          <t>MEIOMI PINOT NOIR MNTRY/SNTA BARB/SONOMA</t>
        </is>
      </c>
      <c r="C2908" s="7">
        <f>VLOOKUP(A2908,SizeData!A$2:B$3839,2,FALSE)</f>
        <v/>
      </c>
      <c r="D2908" s="6" t="n">
        <v>2</v>
      </c>
      <c r="E2908" s="6" t="inlineStr">
        <is>
          <t>R1471448</t>
        </is>
      </c>
      <c r="F2908" s="2" t="n">
        <v>44610</v>
      </c>
      <c r="G2908" s="1" t="n"/>
    </row>
    <row r="2909">
      <c r="A2909" s="6" t="n">
        <v>443950</v>
      </c>
      <c r="B2909" s="6" t="inlineStr">
        <is>
          <t>MEIOMI PINOT NOIR MNTRY/SNTA BARB/SONOMA</t>
        </is>
      </c>
      <c r="C2909" s="7">
        <f>VLOOKUP(A2909,SizeData!A$2:B$3839,2,FALSE)</f>
        <v/>
      </c>
      <c r="D2909" s="6" t="n">
        <v>2</v>
      </c>
      <c r="E2909" s="6" t="inlineStr">
        <is>
          <t>R1631414</t>
        </is>
      </c>
      <c r="F2909" s="2" t="n">
        <v>44706</v>
      </c>
      <c r="G2909" s="1" t="n"/>
    </row>
    <row r="2910">
      <c r="A2910" s="6" t="n">
        <v>443950</v>
      </c>
      <c r="B2910" s="6" t="inlineStr">
        <is>
          <t>MEIOMI PINOT NOIR MNTRY/SNTA BARB/SONOMA</t>
        </is>
      </c>
      <c r="C2910" s="7">
        <f>VLOOKUP(A2910,SizeData!A$2:B$3839,2,FALSE)</f>
        <v/>
      </c>
      <c r="D2910" s="6" t="n">
        <v>3</v>
      </c>
      <c r="E2910" s="6" t="inlineStr">
        <is>
          <t>R1740102</t>
        </is>
      </c>
      <c r="F2910" s="2" t="n">
        <v>44781</v>
      </c>
      <c r="G2910" s="1" t="n"/>
    </row>
    <row r="2911">
      <c r="A2911" s="6" t="n">
        <v>443950</v>
      </c>
      <c r="B2911" s="6" t="inlineStr">
        <is>
          <t>MEIOMI PINOT NOIR MNTRY/SNTA BARB/SONOMA</t>
        </is>
      </c>
      <c r="C2911" s="7">
        <f>VLOOKUP(A2911,SizeData!A$2:B$3839,2,FALSE)</f>
        <v/>
      </c>
      <c r="D2911" s="6" t="n">
        <v>1</v>
      </c>
      <c r="E2911" s="6" t="inlineStr">
        <is>
          <t>R1842887</t>
        </is>
      </c>
      <c r="F2911" s="2" t="n">
        <v>44867</v>
      </c>
      <c r="G2911" s="1" t="n"/>
    </row>
    <row r="2912">
      <c r="A2912" s="6" t="n">
        <v>443950</v>
      </c>
      <c r="B2912" s="6" t="inlineStr">
        <is>
          <t>MEIOMI PINOT NOIR MNTRY/SNTA BARB/SONOMA</t>
        </is>
      </c>
      <c r="C2912" s="7">
        <f>VLOOKUP(A2912,SizeData!A$2:B$3839,2,FALSE)</f>
        <v/>
      </c>
      <c r="D2912" s="6" t="n">
        <v>3</v>
      </c>
      <c r="E2912" s="6" t="inlineStr">
        <is>
          <t>R1866060</t>
        </is>
      </c>
      <c r="F2912" s="2" t="n">
        <v>44874</v>
      </c>
      <c r="G2912" s="1" t="n"/>
    </row>
    <row r="2913">
      <c r="A2913" s="6" t="n">
        <v>485490</v>
      </c>
      <c r="B2913" s="6" t="inlineStr">
        <is>
          <t>MENAGE A TROIS FOLIE A DEUX RED</t>
        </is>
      </c>
      <c r="C2913" s="7">
        <f>VLOOKUP(A2913,SizeData!A$2:B$3839,2,FALSE)</f>
        <v/>
      </c>
      <c r="D2913" s="6" t="n">
        <v>1</v>
      </c>
      <c r="E2913" s="6" t="inlineStr">
        <is>
          <t>R1471358</t>
        </is>
      </c>
      <c r="F2913" s="2" t="n">
        <v>44608</v>
      </c>
      <c r="G2913" s="1" t="n"/>
    </row>
    <row r="2914">
      <c r="A2914" s="6" t="n">
        <v>485490</v>
      </c>
      <c r="B2914" s="6" t="inlineStr">
        <is>
          <t>MENAGE A TROIS FOLIE A DEUX RED</t>
        </is>
      </c>
      <c r="C2914" s="7">
        <f>VLOOKUP(A2914,SizeData!A$2:B$3839,2,FALSE)</f>
        <v/>
      </c>
      <c r="D2914" s="6" t="n">
        <v>1</v>
      </c>
      <c r="E2914" s="6" t="inlineStr">
        <is>
          <t>R1478101</t>
        </is>
      </c>
      <c r="F2914" s="2" t="n">
        <v>44610</v>
      </c>
      <c r="G2914" s="1" t="n"/>
    </row>
    <row r="2915">
      <c r="A2915" s="6" t="n">
        <v>485433</v>
      </c>
      <c r="B2915" s="6" t="inlineStr">
        <is>
          <t>MENAGE A TROIS HOT PINK SWEET ROSE COLLC</t>
        </is>
      </c>
      <c r="C2915" s="7">
        <f>VLOOKUP(A2915,SizeData!A$2:B$3839,2,FALSE)</f>
        <v/>
      </c>
      <c r="D2915" s="6" t="n">
        <v>1</v>
      </c>
      <c r="E2915" s="6" t="inlineStr">
        <is>
          <t>R1900430</t>
        </is>
      </c>
      <c r="F2915" s="2" t="n">
        <v>44896</v>
      </c>
      <c r="G2915" s="1" t="n"/>
    </row>
    <row r="2916">
      <c r="A2916" s="6" t="n">
        <v>485473</v>
      </c>
      <c r="B2916" s="6" t="inlineStr">
        <is>
          <t>MENAGE A TROIS SILK RED</t>
        </is>
      </c>
      <c r="C2916" s="7">
        <f>VLOOKUP(A2916,SizeData!A$2:B$3839,2,FALSE)</f>
        <v/>
      </c>
      <c r="D2916" s="6" t="n">
        <v>1</v>
      </c>
      <c r="E2916" s="6" t="inlineStr">
        <is>
          <t>R1383976</t>
        </is>
      </c>
      <c r="F2916" s="2" t="n">
        <v>44561</v>
      </c>
      <c r="G2916" s="1" t="n"/>
    </row>
    <row r="2917">
      <c r="A2917" s="6" t="n">
        <v>485473</v>
      </c>
      <c r="B2917" s="6" t="inlineStr">
        <is>
          <t>MENAGE A TROIS SILK RED</t>
        </is>
      </c>
      <c r="C2917" s="7">
        <f>VLOOKUP(A2917,SizeData!A$2:B$3839,2,FALSE)</f>
        <v/>
      </c>
      <c r="D2917" s="6" t="n">
        <v>1</v>
      </c>
      <c r="E2917" s="6" t="inlineStr">
        <is>
          <t>R1397487</t>
        </is>
      </c>
      <c r="F2917" s="2" t="n">
        <v>44567</v>
      </c>
      <c r="G2917" s="1" t="n"/>
    </row>
    <row r="2918">
      <c r="A2918" s="6" t="n">
        <v>485473</v>
      </c>
      <c r="B2918" s="6" t="inlineStr">
        <is>
          <t>MENAGE A TROIS SILK RED</t>
        </is>
      </c>
      <c r="C2918" s="7">
        <f>VLOOKUP(A2918,SizeData!A$2:B$3839,2,FALSE)</f>
        <v/>
      </c>
      <c r="D2918" s="6" t="n">
        <v>2</v>
      </c>
      <c r="E2918" s="6" t="inlineStr">
        <is>
          <t>R1602626</t>
        </is>
      </c>
      <c r="F2918" s="2" t="n">
        <v>44690</v>
      </c>
      <c r="G2918" s="1" t="n"/>
    </row>
    <row r="2919">
      <c r="A2919" s="6" t="n">
        <v>485449</v>
      </c>
      <c r="B2919" s="6" t="inlineStr">
        <is>
          <t>MENAGE SWEET COLLECTION DOLCE RED</t>
        </is>
      </c>
      <c r="C2919" s="7">
        <f>VLOOKUP(A2919,SizeData!A$2:B$3839,2,FALSE)</f>
        <v/>
      </c>
      <c r="D2919" s="6" t="n">
        <v>1</v>
      </c>
      <c r="E2919" s="6" t="inlineStr">
        <is>
          <t>R1383976</t>
        </is>
      </c>
      <c r="F2919" s="2" t="n">
        <v>44561</v>
      </c>
      <c r="G2919" s="1" t="n"/>
    </row>
    <row r="2920" customFormat="1" s="14">
      <c r="A2920" s="6" t="n">
        <v>485449</v>
      </c>
      <c r="B2920" s="6" t="inlineStr">
        <is>
          <t>MENAGE SWEET COLLECTION DOLCE RED</t>
        </is>
      </c>
      <c r="C2920" s="7">
        <f>VLOOKUP(A2920,SizeData!A$2:B$3839,2,FALSE)</f>
        <v/>
      </c>
      <c r="D2920" s="6" t="n">
        <v>4</v>
      </c>
      <c r="E2920" s="6" t="inlineStr">
        <is>
          <t>R1549891</t>
        </is>
      </c>
      <c r="F2920" s="2" t="n">
        <v>44656</v>
      </c>
      <c r="G2920" s="1" t="n"/>
    </row>
    <row r="2921">
      <c r="A2921" s="6" t="n">
        <v>485449</v>
      </c>
      <c r="B2921" s="6" t="inlineStr">
        <is>
          <t>MENAGE SWEET COLLECTION DOLCE RED</t>
        </is>
      </c>
      <c r="C2921" s="7">
        <f>VLOOKUP(A2921,SizeData!A$2:B$3839,2,FALSE)</f>
        <v/>
      </c>
      <c r="D2921" s="6" t="n">
        <v>2</v>
      </c>
      <c r="E2921" s="6" t="inlineStr">
        <is>
          <t>R1887698</t>
        </is>
      </c>
      <c r="F2921" s="2" t="n">
        <v>44902</v>
      </c>
      <c r="G2921" s="1" t="n"/>
    </row>
    <row r="2922">
      <c r="A2922" s="6" t="n">
        <v>48766</v>
      </c>
      <c r="B2922" s="6" t="inlineStr">
        <is>
          <t>MEUKOW VS COGNAC</t>
        </is>
      </c>
      <c r="C2922" s="7">
        <f>VLOOKUP(A2922,SizeData!A$2:B$3839,2,FALSE)</f>
        <v/>
      </c>
      <c r="D2922" s="6" t="n">
        <v>4</v>
      </c>
      <c r="E2922" s="6" t="inlineStr">
        <is>
          <t>R1393008</t>
        </is>
      </c>
      <c r="F2922" s="2" t="n">
        <v>44558</v>
      </c>
      <c r="G2922" s="1" t="n"/>
    </row>
    <row r="2923">
      <c r="A2923" s="6" t="n">
        <v>48766</v>
      </c>
      <c r="B2923" s="6" t="inlineStr">
        <is>
          <t>MEUKOW VS COGNAC</t>
        </is>
      </c>
      <c r="C2923" s="7">
        <f>VLOOKUP(A2923,SizeData!A$2:B$3839,2,FALSE)</f>
        <v/>
      </c>
      <c r="D2923" s="6" t="n">
        <v>2</v>
      </c>
      <c r="E2923" s="6" t="inlineStr">
        <is>
          <t>R1439543</t>
        </is>
      </c>
      <c r="F2923" s="2" t="n">
        <v>44594</v>
      </c>
      <c r="G2923" s="1" t="n"/>
    </row>
    <row r="2924">
      <c r="A2924" s="6" t="n">
        <v>48766</v>
      </c>
      <c r="B2924" s="6" t="inlineStr">
        <is>
          <t>MEUKOW VS COGNAC</t>
        </is>
      </c>
      <c r="C2924" s="7">
        <f>VLOOKUP(A2924,SizeData!A$2:B$3839,2,FALSE)</f>
        <v/>
      </c>
      <c r="D2924" s="6" t="n">
        <v>4</v>
      </c>
      <c r="E2924" s="6" t="inlineStr">
        <is>
          <t>R1529670</t>
        </is>
      </c>
      <c r="F2924" s="2" t="n">
        <v>44652</v>
      </c>
      <c r="G2924" s="1" t="n"/>
    </row>
    <row r="2925">
      <c r="A2925" s="6" t="n">
        <v>48766</v>
      </c>
      <c r="B2925" s="6" t="inlineStr">
        <is>
          <t>MEUKOW VS COGNAC</t>
        </is>
      </c>
      <c r="C2925" s="7">
        <f>VLOOKUP(A2925,SizeData!A$2:B$3839,2,FALSE)</f>
        <v/>
      </c>
      <c r="D2925" s="6" t="n">
        <v>4</v>
      </c>
      <c r="E2925" s="6" t="inlineStr">
        <is>
          <t>R1579357</t>
        </is>
      </c>
      <c r="F2925" s="2" t="n">
        <v>44676</v>
      </c>
      <c r="G2925" s="1" t="n"/>
    </row>
    <row r="2926">
      <c r="A2926" s="31" t="n">
        <v>48766</v>
      </c>
      <c r="B2926" s="31" t="inlineStr">
        <is>
          <t>MEUKOW VS COGNAC</t>
        </is>
      </c>
      <c r="C2926" s="7">
        <f>VLOOKUP(A2926,SizeData!A$2:B$3839,2,FALSE)</f>
        <v/>
      </c>
      <c r="D2926" s="31" t="n">
        <v>1</v>
      </c>
      <c r="E2926" s="31" t="inlineStr">
        <is>
          <t>R1579357</t>
        </is>
      </c>
      <c r="F2926" s="33" t="n">
        <v>44676</v>
      </c>
      <c r="G2926" s="34" t="n"/>
    </row>
    <row r="2927">
      <c r="A2927" s="6" t="n">
        <v>48766</v>
      </c>
      <c r="B2927" s="6" t="inlineStr">
        <is>
          <t>MEUKOW VS COGNAC</t>
        </is>
      </c>
      <c r="C2927" s="7">
        <f>VLOOKUP(A2927,SizeData!A$2:B$3839,2,FALSE)</f>
        <v/>
      </c>
      <c r="D2927" s="6" t="n">
        <v>3</v>
      </c>
      <c r="E2927" s="6" t="inlineStr">
        <is>
          <t>R1704437</t>
        </is>
      </c>
      <c r="F2927" s="2" t="n">
        <v>44775</v>
      </c>
      <c r="G2927" s="1" t="n"/>
    </row>
    <row r="2928">
      <c r="A2928" s="6" t="n">
        <v>48766</v>
      </c>
      <c r="B2928" s="6" t="inlineStr">
        <is>
          <t>MEUKOW VS COGNAC</t>
        </is>
      </c>
      <c r="C2928" s="7">
        <f>VLOOKUP(A2928,SizeData!A$2:B$3839,2,FALSE)</f>
        <v/>
      </c>
      <c r="D2928" s="6" t="n">
        <v>2</v>
      </c>
      <c r="E2928" s="6" t="inlineStr">
        <is>
          <t>R1713939</t>
        </is>
      </c>
      <c r="F2928" s="2" t="n">
        <v>44779</v>
      </c>
      <c r="G2928" s="1" t="n"/>
    </row>
    <row r="2929">
      <c r="A2929" s="26" t="n">
        <v>48766</v>
      </c>
      <c r="B2929" s="26" t="inlineStr">
        <is>
          <t>MEUKOW VS COGNAC</t>
        </is>
      </c>
      <c r="C2929" s="75">
        <f>VLOOKUP(A2929,SizeData!A$2:B$3839,2,FALSE)</f>
        <v/>
      </c>
      <c r="D2929" s="26" t="n">
        <v>9</v>
      </c>
      <c r="E2929" s="26" t="inlineStr">
        <is>
          <t>R1831015</t>
        </is>
      </c>
      <c r="F2929" s="61" t="n">
        <v>44852</v>
      </c>
      <c r="G2929" s="62" t="n"/>
    </row>
    <row r="2930">
      <c r="A2930" s="6" t="n">
        <v>48764</v>
      </c>
      <c r="B2930" s="6" t="inlineStr">
        <is>
          <t>MEUKOW VS COGNAC (ROUND BOTTLE)</t>
        </is>
      </c>
      <c r="C2930" s="7">
        <f>VLOOKUP(A2930,SizeData!A$2:B$3839,2,FALSE)</f>
        <v/>
      </c>
      <c r="D2930" s="6" t="n">
        <v>1</v>
      </c>
      <c r="E2930" s="6" t="inlineStr">
        <is>
          <t>R1386245</t>
        </is>
      </c>
      <c r="F2930" s="2" t="n">
        <v>44557</v>
      </c>
      <c r="G2930" s="1" t="n"/>
    </row>
    <row r="2931">
      <c r="A2931" s="6" t="n">
        <v>48764</v>
      </c>
      <c r="B2931" s="6" t="inlineStr">
        <is>
          <t>MEUKOW VS COGNAC (ROUND BOTTLE)</t>
        </is>
      </c>
      <c r="C2931" s="7">
        <f>VLOOKUP(A2931,SizeData!A$2:B$3839,2,FALSE)</f>
        <v/>
      </c>
      <c r="D2931" s="6" t="n">
        <v>1</v>
      </c>
      <c r="E2931" s="6" t="inlineStr">
        <is>
          <t>R1386245</t>
        </is>
      </c>
      <c r="F2931" s="2" t="n">
        <v>44557</v>
      </c>
      <c r="G2931" s="1" t="n"/>
    </row>
    <row r="2932">
      <c r="A2932" s="6" t="n">
        <v>48764</v>
      </c>
      <c r="B2932" s="6" t="inlineStr">
        <is>
          <t>MEUKOW VS COGNAC (ROUND BOTTLE)</t>
        </is>
      </c>
      <c r="C2932" s="7">
        <f>VLOOKUP(A2932,SizeData!A$2:B$3839,2,FALSE)</f>
        <v/>
      </c>
      <c r="D2932" s="6" t="n">
        <v>2</v>
      </c>
      <c r="E2932" s="6" t="inlineStr">
        <is>
          <t>R1437025</t>
        </is>
      </c>
      <c r="F2932" s="2" t="n">
        <v>44587</v>
      </c>
      <c r="G2932" s="1" t="n"/>
    </row>
    <row r="2933">
      <c r="A2933" s="6" t="n">
        <v>48764</v>
      </c>
      <c r="B2933" s="6" t="inlineStr">
        <is>
          <t>MEUKOW VS COGNAC (ROUND BOTTLE)</t>
        </is>
      </c>
      <c r="C2933" s="7">
        <f>VLOOKUP(A2933,SizeData!A$2:B$3839,2,FALSE)</f>
        <v/>
      </c>
      <c r="D2933" s="6" t="n">
        <v>2</v>
      </c>
      <c r="E2933" s="6" t="inlineStr">
        <is>
          <t>R1458539</t>
        </is>
      </c>
      <c r="F2933" s="2" t="n">
        <v>44607</v>
      </c>
      <c r="G2933" s="1" t="n"/>
    </row>
    <row r="2934">
      <c r="A2934" s="6" t="n">
        <v>48764</v>
      </c>
      <c r="B2934" s="6" t="inlineStr">
        <is>
          <t>MEUKOW VS COGNAC (ROUND BOTTLE)</t>
        </is>
      </c>
      <c r="C2934" s="7">
        <f>VLOOKUP(A2934,SizeData!A$2:B$3839,2,FALSE)</f>
        <v/>
      </c>
      <c r="D2934" s="6" t="n">
        <v>4</v>
      </c>
      <c r="E2934" s="6" t="inlineStr">
        <is>
          <t>R1518411</t>
        </is>
      </c>
      <c r="F2934" s="2" t="n">
        <v>44637</v>
      </c>
      <c r="G2934" s="1" t="n"/>
    </row>
    <row r="2935" customFormat="1" s="14">
      <c r="A2935" s="6" t="n">
        <v>48764</v>
      </c>
      <c r="B2935" s="6" t="inlineStr">
        <is>
          <t>MEUKOW VS COGNAC (ROUND BOTTLE)</t>
        </is>
      </c>
      <c r="C2935" s="7">
        <f>VLOOKUP(A2935,SizeData!A$2:B$3839,2,FALSE)</f>
        <v/>
      </c>
      <c r="D2935" s="6" t="n">
        <v>1</v>
      </c>
      <c r="E2935" s="6" t="inlineStr">
        <is>
          <t>R1854075</t>
        </is>
      </c>
      <c r="F2935" s="2" t="n">
        <v>44873</v>
      </c>
      <c r="G2935" s="1" t="n"/>
    </row>
    <row r="2936" customFormat="1" s="14">
      <c r="A2936" s="6" t="n">
        <v>48764</v>
      </c>
      <c r="B2936" s="6" t="inlineStr">
        <is>
          <t>MEUKOW VS COGNAC (ROUND BOTTLE)</t>
        </is>
      </c>
      <c r="C2936" s="7">
        <f>VLOOKUP(A2936,SizeData!A$2:B$3839,2,FALSE)</f>
        <v/>
      </c>
      <c r="D2936" s="6" t="n">
        <v>1</v>
      </c>
      <c r="E2936" s="6" t="inlineStr">
        <is>
          <t>R1888886</t>
        </is>
      </c>
      <c r="F2936" s="2" t="n">
        <v>44902</v>
      </c>
      <c r="G2936" s="1" t="n"/>
    </row>
    <row r="2937">
      <c r="A2937" s="6" t="n">
        <v>88095</v>
      </c>
      <c r="B2937" s="6" t="inlineStr">
        <is>
          <t>MI CAMPO BLANCO TEQUILA</t>
        </is>
      </c>
      <c r="C2937" s="7">
        <f>VLOOKUP(A2937,SizeData!A$2:B$3839,2,FALSE)</f>
        <v/>
      </c>
      <c r="D2937" s="6" t="n">
        <v>1</v>
      </c>
      <c r="E2937" s="6" t="inlineStr">
        <is>
          <t>R1567269</t>
        </is>
      </c>
      <c r="F2937" s="2" t="n">
        <v>44667</v>
      </c>
      <c r="G2937" s="1" t="n"/>
    </row>
    <row r="2938">
      <c r="A2938" s="6" t="n">
        <v>88095</v>
      </c>
      <c r="B2938" s="6" t="inlineStr">
        <is>
          <t>MI CAMPO BLANCO TEQUILA</t>
        </is>
      </c>
      <c r="C2938" s="7">
        <f>VLOOKUP(A2938,SizeData!A$2:B$3839,2,FALSE)</f>
        <v/>
      </c>
      <c r="D2938" s="6" t="n">
        <v>1</v>
      </c>
      <c r="E2938" s="6" t="inlineStr">
        <is>
          <t>R1764571</t>
        </is>
      </c>
      <c r="F2938" s="2" t="n">
        <v>44824</v>
      </c>
      <c r="G2938" s="1" t="n"/>
    </row>
    <row r="2939">
      <c r="A2939" s="6" t="n">
        <v>489388</v>
      </c>
      <c r="B2939" s="6" t="inlineStr">
        <is>
          <t>MIRASSOU PINOT NOIR</t>
        </is>
      </c>
      <c r="C2939" s="7">
        <f>VLOOKUP(A2939,SizeData!A$2:B$3839,2,FALSE)</f>
        <v/>
      </c>
      <c r="D2939" s="6" t="n">
        <v>1</v>
      </c>
      <c r="E2939" s="6" t="inlineStr">
        <is>
          <t>R1713113</t>
        </is>
      </c>
      <c r="F2939" s="2" t="n">
        <v>44774</v>
      </c>
      <c r="G2939" s="1" t="n"/>
    </row>
    <row r="2940">
      <c r="A2940" s="6" t="n">
        <v>489388</v>
      </c>
      <c r="B2940" s="6" t="inlineStr">
        <is>
          <t>MIRASSOU PINOT NOIR</t>
        </is>
      </c>
      <c r="C2940" s="7">
        <f>VLOOKUP(A2940,SizeData!A$2:B$3839,2,FALSE)</f>
        <v/>
      </c>
      <c r="D2940" s="6" t="n">
        <v>1</v>
      </c>
      <c r="E2940" s="6" t="inlineStr">
        <is>
          <t>R1900430</t>
        </is>
      </c>
      <c r="F2940" s="2" t="n">
        <v>44896</v>
      </c>
      <c r="G2940" s="1" t="n"/>
    </row>
    <row r="2941">
      <c r="A2941" s="6" t="n">
        <v>219158</v>
      </c>
      <c r="B2941" s="6" t="inlineStr">
        <is>
          <t>MOET &amp; CHANDON ICE IMPERIAL W/NECKER</t>
        </is>
      </c>
      <c r="C2941" s="7">
        <f>VLOOKUP(A2941,SizeData!A$2:B$3839,2,FALSE)</f>
        <v/>
      </c>
      <c r="D2941" s="6" t="n">
        <v>1</v>
      </c>
      <c r="E2941" s="6" t="inlineStr">
        <is>
          <t>R1389259</t>
        </is>
      </c>
      <c r="F2941" s="2" t="n">
        <v>44560</v>
      </c>
      <c r="G2941" s="1" t="n"/>
    </row>
    <row r="2942">
      <c r="A2942" s="6" t="n">
        <v>219158</v>
      </c>
      <c r="B2942" s="6" t="inlineStr">
        <is>
          <t>MOET &amp; CHANDON ICE IMPERIAL W/NECKER VAP</t>
        </is>
      </c>
      <c r="C2942" s="7">
        <f>VLOOKUP(A2942,SizeData!A$2:B$3839,2,FALSE)</f>
        <v/>
      </c>
      <c r="D2942" s="6" t="n">
        <v>4</v>
      </c>
      <c r="E2942" s="6" t="inlineStr">
        <is>
          <t>R1547143</t>
        </is>
      </c>
      <c r="F2942" s="2" t="n">
        <v>44655</v>
      </c>
      <c r="G2942" s="1" t="n"/>
    </row>
    <row r="2943">
      <c r="A2943" s="6" t="n">
        <v>710806</v>
      </c>
      <c r="B2943" s="6" t="inlineStr">
        <is>
          <t>MOET &amp; CHANDON IMPERIAL</t>
        </is>
      </c>
      <c r="C2943" s="7">
        <f>VLOOKUP(A2943,SizeData!A$2:B$3839,2,FALSE)</f>
        <v/>
      </c>
      <c r="D2943" s="6" t="n">
        <v>1</v>
      </c>
      <c r="E2943" s="6" t="inlineStr">
        <is>
          <t>R1792137</t>
        </is>
      </c>
      <c r="F2943" s="2" t="n">
        <v>44835</v>
      </c>
      <c r="G2943" s="1" t="n"/>
    </row>
    <row r="2944">
      <c r="A2944" s="6" t="n">
        <v>710909</v>
      </c>
      <c r="B2944" s="6" t="inlineStr">
        <is>
          <t>MOET &amp; CHANDON NECTAR IMPERIAL</t>
        </is>
      </c>
      <c r="C2944" s="7">
        <f>VLOOKUP(A2944,SizeData!A$2:B$3839,2,FALSE)</f>
        <v/>
      </c>
      <c r="D2944" s="6" t="n">
        <v>2</v>
      </c>
      <c r="E2944" s="6" t="inlineStr">
        <is>
          <t>R1548567</t>
        </is>
      </c>
      <c r="F2944" s="2" t="n">
        <v>44653</v>
      </c>
      <c r="G2944" s="1" t="n"/>
    </row>
    <row r="2945">
      <c r="A2945" s="6" t="n">
        <v>710921</v>
      </c>
      <c r="B2945" s="6" t="inlineStr">
        <is>
          <t>MOET CHANDON NECTAR IMPERIAL ROSE</t>
        </is>
      </c>
      <c r="C2945" s="7">
        <f>VLOOKUP(A2945,SizeData!A$2:B$3839,2,FALSE)</f>
        <v/>
      </c>
      <c r="D2945" s="6" t="n">
        <v>3</v>
      </c>
      <c r="E2945" s="6" t="inlineStr">
        <is>
          <t>R1390824</t>
        </is>
      </c>
      <c r="F2945" s="2" t="n">
        <v>44551</v>
      </c>
      <c r="G2945" s="1" t="n"/>
    </row>
    <row r="2946">
      <c r="A2946" s="6" t="n">
        <v>710921</v>
      </c>
      <c r="B2946" s="6" t="inlineStr">
        <is>
          <t>MOET CHANDON NECTAR IMPERIAL ROSE</t>
        </is>
      </c>
      <c r="C2946" s="7">
        <f>VLOOKUP(A2946,SizeData!A$2:B$3839,2,FALSE)</f>
        <v/>
      </c>
      <c r="D2946" s="6" t="n">
        <v>5</v>
      </c>
      <c r="E2946" s="6" t="inlineStr">
        <is>
          <t>R1401044</t>
        </is>
      </c>
      <c r="F2946" s="2" t="n">
        <v>44562</v>
      </c>
      <c r="G2946" s="1" t="n"/>
    </row>
    <row r="2947">
      <c r="A2947" s="6" t="n">
        <v>710921</v>
      </c>
      <c r="B2947" s="6" t="inlineStr">
        <is>
          <t>MOET CHANDON NECTAR IMPERIAL ROSE</t>
        </is>
      </c>
      <c r="C2947" s="7">
        <f>VLOOKUP(A2947,SizeData!A$2:B$3839,2,FALSE)</f>
        <v/>
      </c>
      <c r="D2947" s="6" t="n">
        <v>5</v>
      </c>
      <c r="E2947" s="6" t="inlineStr">
        <is>
          <t>R1500714</t>
        </is>
      </c>
      <c r="F2947" s="2" t="n">
        <v>44620</v>
      </c>
      <c r="G2947" s="1" t="n"/>
    </row>
    <row r="2948">
      <c r="A2948" s="6" t="n">
        <v>710921</v>
      </c>
      <c r="B2948" s="6" t="inlineStr">
        <is>
          <t>MOET CHANDON NECTAR IMPERIAL ROSE</t>
        </is>
      </c>
      <c r="C2948" s="7">
        <f>VLOOKUP(A2948,SizeData!A$2:B$3839,2,FALSE)</f>
        <v/>
      </c>
      <c r="D2948" s="6" t="n">
        <v>5</v>
      </c>
      <c r="E2948" s="6" t="inlineStr">
        <is>
          <t>R1487441</t>
        </is>
      </c>
      <c r="F2948" s="2" t="n">
        <v>44621</v>
      </c>
      <c r="G2948" s="1" t="n"/>
    </row>
    <row r="2949">
      <c r="A2949" s="1" t="n">
        <v>710921</v>
      </c>
      <c r="B2949" s="1" t="inlineStr">
        <is>
          <t>MOET CHANDON NECTAR IMPERIAL ROSE</t>
        </is>
      </c>
      <c r="C2949" s="7">
        <f>VLOOKUP(A2949,SizeData!A$2:B$3839,2,FALSE)</f>
        <v/>
      </c>
      <c r="D2949" s="1" t="n">
        <v>5</v>
      </c>
      <c r="E2949" s="1" t="inlineStr">
        <is>
          <t>R1537267</t>
        </is>
      </c>
      <c r="F2949" s="33" t="n">
        <v>44649</v>
      </c>
      <c r="G2949" s="1" t="n"/>
    </row>
    <row r="2950">
      <c r="A2950" s="6" t="n">
        <v>710921</v>
      </c>
      <c r="B2950" s="6" t="inlineStr">
        <is>
          <t>MOET CHANDON NECTAR IMPERIAL ROSE</t>
        </is>
      </c>
      <c r="C2950" s="7">
        <f>VLOOKUP(A2950,SizeData!A$2:B$3839,2,FALSE)</f>
        <v/>
      </c>
      <c r="D2950" s="6" t="n">
        <v>5</v>
      </c>
      <c r="E2950" s="6" t="inlineStr">
        <is>
          <t>R1533794</t>
        </is>
      </c>
      <c r="F2950" s="2" t="n">
        <v>44652</v>
      </c>
      <c r="G2950" s="1" t="n"/>
    </row>
    <row r="2951">
      <c r="A2951" s="6" t="n">
        <v>710921</v>
      </c>
      <c r="B2951" s="6" t="inlineStr">
        <is>
          <t>MOET CHANDON NECTAR IMPERIAL ROSE</t>
        </is>
      </c>
      <c r="C2951" s="7">
        <f>VLOOKUP(A2951,SizeData!A$2:B$3839,2,FALSE)</f>
        <v/>
      </c>
      <c r="D2951" s="6" t="n">
        <v>5</v>
      </c>
      <c r="E2951" s="6" t="inlineStr">
        <is>
          <t>R1606008</t>
        </is>
      </c>
      <c r="F2951" s="2" t="n">
        <v>44684</v>
      </c>
      <c r="G2951" s="1" t="n"/>
    </row>
    <row r="2952">
      <c r="A2952" s="6" t="n">
        <v>710921</v>
      </c>
      <c r="B2952" s="6" t="inlineStr">
        <is>
          <t>MOET CHANDON NECTAR IMPERIAL ROSE</t>
        </is>
      </c>
      <c r="C2952" s="7">
        <f>VLOOKUP(A2952,SizeData!A$2:B$3839,2,FALSE)</f>
        <v/>
      </c>
      <c r="D2952" s="6" t="n">
        <v>4</v>
      </c>
      <c r="E2952" s="6" t="inlineStr">
        <is>
          <t>R1622199</t>
        </is>
      </c>
      <c r="F2952" s="2" t="n">
        <v>44707</v>
      </c>
      <c r="G2952" s="1" t="n"/>
    </row>
    <row r="2953">
      <c r="A2953" s="6" t="n">
        <v>710921</v>
      </c>
      <c r="B2953" s="6" t="inlineStr">
        <is>
          <t>MOET CHANDON NECTAR IMPERIAL ROSE</t>
        </is>
      </c>
      <c r="C2953" s="7">
        <f>VLOOKUP(A2953,SizeData!A$2:B$3839,2,FALSE)</f>
        <v/>
      </c>
      <c r="D2953" s="6" t="n">
        <v>1</v>
      </c>
      <c r="E2953" s="6" t="inlineStr">
        <is>
          <t>R1622199</t>
        </is>
      </c>
      <c r="F2953" s="2" t="n">
        <v>44707</v>
      </c>
      <c r="G2953" s="1" t="n"/>
    </row>
    <row r="2954">
      <c r="A2954" s="6" t="n">
        <v>710921</v>
      </c>
      <c r="B2954" s="6" t="inlineStr">
        <is>
          <t>MOET CHANDON NECTAR IMPERIAL ROSE</t>
        </is>
      </c>
      <c r="C2954" s="7">
        <f>VLOOKUP(A2954,SizeData!A$2:B$3839,2,FALSE)</f>
        <v/>
      </c>
      <c r="D2954" s="6" t="n">
        <v>5</v>
      </c>
      <c r="E2954" s="6" t="inlineStr">
        <is>
          <t>R1626065</t>
        </is>
      </c>
      <c r="F2954" s="2" t="n">
        <v>44708</v>
      </c>
      <c r="G2954" s="1" t="n"/>
    </row>
    <row r="2955">
      <c r="A2955" s="24" t="n">
        <v>710921</v>
      </c>
      <c r="B2955" s="24" t="inlineStr">
        <is>
          <t>MOET CHANDON NECTAR IMPERIAL ROSE</t>
        </is>
      </c>
      <c r="C2955" s="7">
        <f>VLOOKUP(A2955,SizeData!A$2:B$3839,2,FALSE)</f>
        <v/>
      </c>
      <c r="D2955" s="24" t="n">
        <v>5</v>
      </c>
      <c r="E2955" s="24" t="inlineStr">
        <is>
          <t>R1825803</t>
        </is>
      </c>
      <c r="F2955" s="23" t="n">
        <v>44847</v>
      </c>
    </row>
    <row r="2956">
      <c r="A2956" s="6" t="n">
        <v>710921</v>
      </c>
      <c r="B2956" s="6" t="inlineStr">
        <is>
          <t>MOET CHANDON NECTAR IMPERIAL ROSE</t>
        </is>
      </c>
      <c r="C2956" s="7">
        <f>VLOOKUP(A2956,SizeData!A$2:B$3839,2,FALSE)</f>
        <v/>
      </c>
      <c r="D2956" s="6" t="n">
        <v>10</v>
      </c>
      <c r="E2956" s="6" t="inlineStr">
        <is>
          <t>R1891653</t>
        </is>
      </c>
      <c r="F2956" s="2" t="n">
        <v>44900</v>
      </c>
      <c r="G2956" s="1" t="n"/>
    </row>
    <row r="2957">
      <c r="A2957" s="6" t="n">
        <v>710924</v>
      </c>
      <c r="B2957" s="6" t="inlineStr">
        <is>
          <t>MOET CHANDON NECTAR ROSE</t>
        </is>
      </c>
      <c r="C2957" s="7">
        <f>VLOOKUP(A2957,SizeData!A$2:B$3839,2,FALSE)</f>
        <v/>
      </c>
      <c r="D2957" s="6" t="n">
        <v>4</v>
      </c>
      <c r="E2957" s="6" t="inlineStr">
        <is>
          <t>R1547143</t>
        </is>
      </c>
      <c r="F2957" s="2" t="n">
        <v>44655</v>
      </c>
      <c r="G2957" s="1" t="n"/>
    </row>
    <row r="2958">
      <c r="A2958" s="6" t="n">
        <v>710925</v>
      </c>
      <c r="B2958" s="6" t="inlineStr">
        <is>
          <t>MOET CHANDON NECTAR ROSE</t>
        </is>
      </c>
      <c r="C2958" s="7">
        <f>VLOOKUP(A2958,SizeData!A$2:B$3839,2,FALSE)</f>
        <v/>
      </c>
      <c r="D2958" s="6" t="n">
        <v>4</v>
      </c>
      <c r="E2958" s="6" t="inlineStr">
        <is>
          <t>R1512305</t>
        </is>
      </c>
      <c r="F2958" s="2" t="n">
        <v>44630</v>
      </c>
      <c r="G2958" s="1" t="n"/>
    </row>
    <row r="2959">
      <c r="A2959" s="26" t="n">
        <v>710925</v>
      </c>
      <c r="B2959" s="26" t="inlineStr">
        <is>
          <t>MOET CHANDON NECTAR ROSE</t>
        </is>
      </c>
      <c r="C2959" s="7">
        <f>VLOOKUP(A2959,SizeData!A$2:B$3839,2,FALSE)</f>
        <v/>
      </c>
      <c r="D2959" s="26" t="n">
        <v>4</v>
      </c>
      <c r="E2959" s="26" t="inlineStr">
        <is>
          <t>R1765521</t>
        </is>
      </c>
      <c r="F2959" s="61" t="n">
        <v>44805</v>
      </c>
      <c r="G2959" s="62" t="n"/>
    </row>
    <row r="2960">
      <c r="A2960" s="6" t="n">
        <v>803470</v>
      </c>
      <c r="B2960" s="6" t="inlineStr">
        <is>
          <t>MOGEN DAVID BLACKBERRY</t>
        </is>
      </c>
      <c r="C2960" s="7">
        <f>VLOOKUP(A2960,SizeData!A$2:B$3839,2,FALSE)</f>
        <v/>
      </c>
      <c r="D2960" s="6" t="n">
        <v>3</v>
      </c>
      <c r="E2960" s="6" t="inlineStr">
        <is>
          <t>R1466711</t>
        </is>
      </c>
      <c r="F2960" s="2" t="n">
        <v>44604</v>
      </c>
      <c r="G2960" s="1" t="n"/>
    </row>
    <row r="2961">
      <c r="A2961" s="6" t="n">
        <v>803470</v>
      </c>
      <c r="B2961" s="6" t="inlineStr">
        <is>
          <t>MOGEN DAVID BLACKBERRY</t>
        </is>
      </c>
      <c r="C2961" s="7">
        <f>VLOOKUP(A2961,SizeData!A$2:B$3839,2,FALSE)</f>
        <v/>
      </c>
      <c r="D2961" s="6" t="n">
        <v>2</v>
      </c>
      <c r="E2961" s="6" t="inlineStr">
        <is>
          <t>R1536813</t>
        </is>
      </c>
      <c r="F2961" s="2" t="n">
        <v>44643</v>
      </c>
      <c r="G2961" s="1" t="n"/>
    </row>
    <row r="2962">
      <c r="A2962" s="6" t="n">
        <v>803470</v>
      </c>
      <c r="B2962" s="6" t="inlineStr">
        <is>
          <t>MOGEN DAVID BLACKBERRY</t>
        </is>
      </c>
      <c r="C2962" s="7">
        <f>VLOOKUP(A2962,SizeData!A$2:B$3839,2,FALSE)</f>
        <v/>
      </c>
      <c r="D2962" s="6" t="n">
        <v>1</v>
      </c>
      <c r="E2962" s="6" t="inlineStr">
        <is>
          <t>R1567269</t>
        </is>
      </c>
      <c r="F2962" s="2" t="n">
        <v>44667</v>
      </c>
      <c r="G2962" s="1" t="n"/>
    </row>
    <row r="2963">
      <c r="A2963" s="6" t="n">
        <v>803470</v>
      </c>
      <c r="B2963" s="6" t="inlineStr">
        <is>
          <t>MOGEN DAVID BLACKBERRY</t>
        </is>
      </c>
      <c r="C2963" s="7">
        <f>VLOOKUP(A2963,SizeData!A$2:B$3839,2,FALSE)</f>
        <v/>
      </c>
      <c r="D2963" s="6" t="n">
        <v>1</v>
      </c>
      <c r="E2963" s="6" t="inlineStr">
        <is>
          <t>R1579709</t>
        </is>
      </c>
      <c r="F2963" s="2" t="n">
        <v>44674</v>
      </c>
      <c r="G2963" s="1" t="n"/>
    </row>
    <row r="2964">
      <c r="A2964" s="6" t="n">
        <v>803470</v>
      </c>
      <c r="B2964" s="6" t="inlineStr">
        <is>
          <t>MOGEN DAVID BLACKBERRY</t>
        </is>
      </c>
      <c r="C2964" s="7">
        <f>VLOOKUP(A2964,SizeData!A$2:B$3839,2,FALSE)</f>
        <v/>
      </c>
      <c r="D2964" s="6" t="n">
        <v>2</v>
      </c>
      <c r="E2964" s="6" t="inlineStr">
        <is>
          <t>R1665833</t>
        </is>
      </c>
      <c r="F2964" s="2" t="n">
        <v>44734</v>
      </c>
      <c r="G2964" s="1" t="n"/>
    </row>
    <row r="2965">
      <c r="A2965" s="6" t="n">
        <v>803470</v>
      </c>
      <c r="B2965" s="6" t="inlineStr">
        <is>
          <t>MOGEN DAVID BLACKBERRY</t>
        </is>
      </c>
      <c r="C2965" s="7">
        <f>VLOOKUP(A2965,SizeData!A$2:B$3839,2,FALSE)</f>
        <v/>
      </c>
      <c r="D2965" s="6" t="n">
        <v>2</v>
      </c>
      <c r="E2965" s="6" t="inlineStr">
        <is>
          <t>R1696478</t>
        </is>
      </c>
      <c r="F2965" s="2" t="n">
        <v>44760</v>
      </c>
      <c r="G2965" s="1" t="n"/>
    </row>
    <row r="2966">
      <c r="A2966" s="26" t="n">
        <v>803470</v>
      </c>
      <c r="B2966" s="26" t="inlineStr">
        <is>
          <t>MOGEN DAVID BLACKBERRY</t>
        </is>
      </c>
      <c r="C2966" s="7">
        <f>VLOOKUP(A2966,SizeData!A$2:B$3839,2,FALSE)</f>
        <v/>
      </c>
      <c r="D2966" s="26" t="n">
        <v>1</v>
      </c>
      <c r="E2966" s="26" t="inlineStr">
        <is>
          <t>R1718725</t>
        </is>
      </c>
      <c r="F2966" s="61" t="n">
        <v>44777</v>
      </c>
      <c r="G2966" s="62" t="n"/>
    </row>
    <row r="2967">
      <c r="A2967" s="6" t="n">
        <v>803470</v>
      </c>
      <c r="B2967" s="6" t="inlineStr">
        <is>
          <t>MOGEN DAVID BLACKBERRY</t>
        </is>
      </c>
      <c r="C2967" s="7">
        <f>VLOOKUP(A2967,SizeData!A$2:B$3839,2,FALSE)</f>
        <v/>
      </c>
      <c r="D2967" s="6" t="n">
        <v>1</v>
      </c>
      <c r="E2967" s="6" t="inlineStr">
        <is>
          <t>R1727399</t>
        </is>
      </c>
      <c r="F2967" s="2" t="n">
        <v>44786</v>
      </c>
      <c r="G2967" s="1" t="n"/>
    </row>
    <row r="2968">
      <c r="A2968" s="6" t="n">
        <v>803470</v>
      </c>
      <c r="B2968" s="6" t="inlineStr">
        <is>
          <t>MOGEN DAVID BLACKBERRY</t>
        </is>
      </c>
      <c r="C2968" s="7">
        <f>VLOOKUP(A2968,SizeData!A$2:B$3839,2,FALSE)</f>
        <v/>
      </c>
      <c r="D2968" s="6" t="n">
        <v>3</v>
      </c>
      <c r="E2968" s="6" t="inlineStr">
        <is>
          <t>R1762513</t>
        </is>
      </c>
      <c r="F2968" s="2" t="n">
        <v>44810</v>
      </c>
      <c r="G2968" s="1" t="n"/>
    </row>
    <row r="2969">
      <c r="A2969" s="26" t="n">
        <v>803470</v>
      </c>
      <c r="B2969" s="26" t="inlineStr">
        <is>
          <t>MOGEN DAVID BLACKBERRY</t>
        </is>
      </c>
      <c r="C2969" s="75">
        <f>VLOOKUP(A2969,SizeData!A$2:B$3839,2,FALSE)</f>
        <v/>
      </c>
      <c r="D2969" s="26" t="n">
        <v>1</v>
      </c>
      <c r="E2969" s="26" t="inlineStr">
        <is>
          <t>R1798963</t>
        </is>
      </c>
      <c r="F2969" s="61" t="n">
        <v>44844</v>
      </c>
      <c r="G2969" s="62" t="n"/>
    </row>
    <row r="2970">
      <c r="A2970" s="6" t="n">
        <v>803470</v>
      </c>
      <c r="B2970" s="6" t="inlineStr">
        <is>
          <t>MOGEN DAVID BLACKBERRY</t>
        </is>
      </c>
      <c r="C2970" s="7">
        <f>VLOOKUP(A2970,SizeData!A$2:B$3839,2,FALSE)</f>
        <v/>
      </c>
      <c r="D2970" s="6" t="n">
        <v>2</v>
      </c>
      <c r="E2970" s="6" t="inlineStr">
        <is>
          <t>R1849692</t>
        </is>
      </c>
      <c r="F2970" s="2" t="n">
        <v>44870</v>
      </c>
      <c r="G2970" s="1" t="n"/>
    </row>
    <row r="2971">
      <c r="A2971" s="6" t="n">
        <v>803470</v>
      </c>
      <c r="B2971" s="6" t="inlineStr">
        <is>
          <t>MOGEN DAVID BLACKBERRY</t>
        </is>
      </c>
      <c r="C2971" s="7">
        <f>VLOOKUP(A2971,SizeData!A$2:B$3839,2,FALSE)</f>
        <v/>
      </c>
      <c r="D2971" s="6" t="n">
        <v>1</v>
      </c>
      <c r="E2971" s="6" t="inlineStr">
        <is>
          <t>R1894250</t>
        </is>
      </c>
      <c r="F2971" s="2" t="n">
        <v>44902</v>
      </c>
      <c r="G2971" s="1" t="n"/>
    </row>
    <row r="2972">
      <c r="A2972" s="6" t="n">
        <v>803475</v>
      </c>
      <c r="B2972" s="6" t="inlineStr">
        <is>
          <t>MOGEN DAVID BLACKBERRY</t>
        </is>
      </c>
      <c r="C2972" s="7">
        <f>VLOOKUP(A2972,SizeData!A$2:B$3839,2,FALSE)</f>
        <v/>
      </c>
      <c r="D2972" s="6" t="n">
        <v>2</v>
      </c>
      <c r="E2972" s="6" t="inlineStr">
        <is>
          <t>R1387278</t>
        </is>
      </c>
      <c r="F2972" s="2" t="n">
        <v>44559</v>
      </c>
      <c r="G2972" s="1" t="n"/>
    </row>
    <row r="2973">
      <c r="A2973" s="6" t="n">
        <v>803475</v>
      </c>
      <c r="B2973" s="6" t="inlineStr">
        <is>
          <t>MOGEN DAVID BLACKBERRY</t>
        </is>
      </c>
      <c r="C2973" s="7">
        <f>VLOOKUP(A2973,SizeData!A$2:B$3839,2,FALSE)</f>
        <v/>
      </c>
      <c r="D2973" s="6" t="n">
        <v>2</v>
      </c>
      <c r="E2973" s="6" t="inlineStr">
        <is>
          <t>R1410056</t>
        </is>
      </c>
      <c r="F2973" s="2" t="n">
        <v>44564</v>
      </c>
      <c r="G2973" s="1" t="n"/>
    </row>
    <row r="2974">
      <c r="A2974" s="6" t="n">
        <v>803475</v>
      </c>
      <c r="B2974" s="6" t="inlineStr">
        <is>
          <t>MOGEN DAVID BLACKBERRY</t>
        </is>
      </c>
      <c r="C2974" s="7">
        <f>VLOOKUP(A2974,SizeData!A$2:B$3839,2,FALSE)</f>
        <v/>
      </c>
      <c r="D2974" s="6" t="n">
        <v>2</v>
      </c>
      <c r="E2974" s="6" t="inlineStr">
        <is>
          <t>R1418605</t>
        </is>
      </c>
      <c r="F2974" s="2" t="n">
        <v>44576</v>
      </c>
      <c r="G2974" s="1" t="n"/>
    </row>
    <row r="2975">
      <c r="A2975" s="6" t="n">
        <v>803475</v>
      </c>
      <c r="B2975" s="6" t="inlineStr">
        <is>
          <t>MOGEN DAVID BLACKBERRY</t>
        </is>
      </c>
      <c r="C2975" s="7">
        <f>VLOOKUP(A2975,SizeData!A$2:B$3839,2,FALSE)</f>
        <v/>
      </c>
      <c r="D2975" s="6" t="n">
        <v>2</v>
      </c>
      <c r="E2975" s="6" t="inlineStr">
        <is>
          <t>R1460709</t>
        </is>
      </c>
      <c r="F2975" s="2" t="n">
        <v>44594</v>
      </c>
      <c r="G2975" s="1" t="n"/>
    </row>
    <row r="2976">
      <c r="A2976" s="6" t="n">
        <v>803475</v>
      </c>
      <c r="B2976" s="6" t="inlineStr">
        <is>
          <t>MOGEN DAVID BLACKBERRY</t>
        </is>
      </c>
      <c r="C2976" s="7">
        <f>VLOOKUP(A2976,SizeData!A$2:B$3839,2,FALSE)</f>
        <v/>
      </c>
      <c r="D2976" s="6" t="n">
        <v>2</v>
      </c>
      <c r="E2976" s="6" t="inlineStr">
        <is>
          <t>R1439543</t>
        </is>
      </c>
      <c r="F2976" s="2" t="n">
        <v>44594</v>
      </c>
      <c r="G2976" s="1" t="n"/>
    </row>
    <row r="2977">
      <c r="A2977" s="6" t="n">
        <v>803475</v>
      </c>
      <c r="B2977" s="6" t="inlineStr">
        <is>
          <t>MOGEN DAVID BLACKBERRY</t>
        </is>
      </c>
      <c r="C2977" s="7">
        <f>VLOOKUP(A2977,SizeData!A$2:B$3839,2,FALSE)</f>
        <v/>
      </c>
      <c r="D2977" s="6" t="n">
        <v>4</v>
      </c>
      <c r="E2977" s="6" t="inlineStr">
        <is>
          <t>R1466711</t>
        </is>
      </c>
      <c r="F2977" s="2" t="n">
        <v>44604</v>
      </c>
      <c r="G2977" s="1" t="n"/>
    </row>
    <row r="2978">
      <c r="A2978" s="6" t="n">
        <v>803475</v>
      </c>
      <c r="B2978" s="6" t="inlineStr">
        <is>
          <t>MOGEN DAVID BLACKBERRY</t>
        </is>
      </c>
      <c r="C2978" s="7">
        <f>VLOOKUP(A2978,SizeData!A$2:B$3839,2,FALSE)</f>
        <v/>
      </c>
      <c r="D2978" s="6" t="n">
        <v>2</v>
      </c>
      <c r="E2978" s="6" t="inlineStr">
        <is>
          <t>R1466461</t>
        </is>
      </c>
      <c r="F2978" s="2" t="n">
        <v>44606</v>
      </c>
      <c r="G2978" s="1" t="n"/>
    </row>
    <row r="2979">
      <c r="A2979" s="6" t="n">
        <v>803475</v>
      </c>
      <c r="B2979" s="6" t="inlineStr">
        <is>
          <t>MOGEN DAVID BLACKBERRY</t>
        </is>
      </c>
      <c r="C2979" s="7">
        <f>VLOOKUP(A2979,SizeData!A$2:B$3839,2,FALSE)</f>
        <v/>
      </c>
      <c r="D2979" s="6" t="n">
        <v>3</v>
      </c>
      <c r="E2979" s="6" t="inlineStr">
        <is>
          <t>R1489956</t>
        </is>
      </c>
      <c r="F2979" s="2" t="n">
        <v>44631</v>
      </c>
      <c r="G2979" s="1" t="n"/>
    </row>
    <row r="2980">
      <c r="A2980" s="6" t="n">
        <v>803475</v>
      </c>
      <c r="B2980" s="6" t="inlineStr">
        <is>
          <t>MOGEN DAVID BLACKBERRY</t>
        </is>
      </c>
      <c r="C2980" s="7">
        <f>VLOOKUP(A2980,SizeData!A$2:B$3839,2,FALSE)</f>
        <v/>
      </c>
      <c r="D2980" s="6" t="n">
        <v>4</v>
      </c>
      <c r="E2980" s="6" t="inlineStr">
        <is>
          <t>R1602916</t>
        </is>
      </c>
      <c r="F2980" s="2" t="n">
        <v>44690</v>
      </c>
      <c r="G2980" s="1" t="n"/>
    </row>
    <row r="2981">
      <c r="A2981" s="6" t="n">
        <v>803475</v>
      </c>
      <c r="B2981" s="6" t="inlineStr">
        <is>
          <t>MOGEN DAVID BLACKBERRY</t>
        </is>
      </c>
      <c r="C2981" s="7">
        <f>VLOOKUP(A2981,SizeData!A$2:B$3839,2,FALSE)</f>
        <v/>
      </c>
      <c r="D2981" s="6" t="n">
        <v>1</v>
      </c>
      <c r="E2981" s="6" t="inlineStr">
        <is>
          <t>R1602916</t>
        </is>
      </c>
      <c r="F2981" s="2" t="n">
        <v>44690</v>
      </c>
      <c r="G2981" s="1" t="n"/>
    </row>
    <row r="2982">
      <c r="A2982" s="6" t="n">
        <v>803475</v>
      </c>
      <c r="B2982" s="6" t="inlineStr">
        <is>
          <t>MOGEN DAVID BLACKBERRY</t>
        </is>
      </c>
      <c r="C2982" s="7">
        <f>VLOOKUP(A2982,SizeData!A$2:B$3839,2,FALSE)</f>
        <v/>
      </c>
      <c r="D2982" s="6" t="n">
        <v>2</v>
      </c>
      <c r="E2982" s="6" t="inlineStr">
        <is>
          <t>R1665833</t>
        </is>
      </c>
      <c r="F2982" s="2" t="n">
        <v>44734</v>
      </c>
      <c r="G2982" s="1" t="n"/>
    </row>
    <row r="2983">
      <c r="A2983" s="31" t="n">
        <v>803475</v>
      </c>
      <c r="B2983" s="31" t="inlineStr">
        <is>
          <t>MOGEN DAVID BLACKBERRY</t>
        </is>
      </c>
      <c r="C2983" s="7">
        <f>VLOOKUP(A2983,SizeData!A$2:B$3839,2,FALSE)</f>
        <v/>
      </c>
      <c r="D2983" s="31" t="n">
        <v>9</v>
      </c>
      <c r="E2983" s="31" t="inlineStr">
        <is>
          <t>R1659975</t>
        </is>
      </c>
      <c r="F2983" s="33" t="n">
        <v>44736</v>
      </c>
      <c r="G2983" s="34" t="n"/>
    </row>
    <row r="2984">
      <c r="A2984" s="6" t="n">
        <v>803475</v>
      </c>
      <c r="B2984" s="6" t="inlineStr">
        <is>
          <t>MOGEN DAVID BLACKBERRY</t>
        </is>
      </c>
      <c r="C2984" s="7">
        <f>VLOOKUP(A2984,SizeData!A$2:B$3839,2,FALSE)</f>
        <v/>
      </c>
      <c r="D2984" s="6" t="n">
        <v>2</v>
      </c>
      <c r="E2984" s="6" t="inlineStr">
        <is>
          <t>R1858281</t>
        </is>
      </c>
      <c r="F2984" s="2" t="n">
        <v>44877</v>
      </c>
      <c r="G2984" s="1" t="n"/>
    </row>
    <row r="2985">
      <c r="A2985" s="6" t="n">
        <v>803475</v>
      </c>
      <c r="B2985" s="6" t="inlineStr">
        <is>
          <t>MOGEN DAVID BLACKBERRY</t>
        </is>
      </c>
      <c r="C2985" s="7">
        <f>VLOOKUP(A2985,SizeData!A$2:B$3839,2,FALSE)</f>
        <v/>
      </c>
      <c r="D2985" s="6" t="n">
        <v>2</v>
      </c>
      <c r="E2985" s="6" t="inlineStr">
        <is>
          <t>R1858355</t>
        </is>
      </c>
      <c r="F2985" s="2" t="n">
        <v>44880</v>
      </c>
      <c r="G2985" s="1" t="n"/>
    </row>
    <row r="2986">
      <c r="A2986" s="6" t="n">
        <v>803485</v>
      </c>
      <c r="B2986" s="6" t="inlineStr">
        <is>
          <t>MOGEN DAVID BLACKBERRY</t>
        </is>
      </c>
      <c r="C2986" s="7">
        <f>VLOOKUP(A2986,SizeData!A$2:B$3839,2,FALSE)</f>
        <v/>
      </c>
      <c r="D2986" s="6" t="n">
        <v>5</v>
      </c>
      <c r="E2986" s="6" t="inlineStr">
        <is>
          <t>R1466711</t>
        </is>
      </c>
      <c r="F2986" s="2" t="n">
        <v>44604</v>
      </c>
      <c r="G2986" s="1" t="n"/>
    </row>
    <row r="2987">
      <c r="A2987" s="6" t="n">
        <v>803485</v>
      </c>
      <c r="B2987" s="6" t="inlineStr">
        <is>
          <t>MOGEN DAVID BLACKBERRY</t>
        </is>
      </c>
      <c r="C2987" s="7">
        <f>VLOOKUP(A2987,SizeData!A$2:B$3839,2,FALSE)</f>
        <v/>
      </c>
      <c r="D2987" s="6" t="n">
        <v>1</v>
      </c>
      <c r="E2987" s="6" t="inlineStr">
        <is>
          <t>R1503957</t>
        </is>
      </c>
      <c r="F2987" s="2" t="n">
        <v>44636</v>
      </c>
      <c r="G2987" s="1" t="n"/>
    </row>
    <row r="2988">
      <c r="A2988" s="6" t="n">
        <v>803485</v>
      </c>
      <c r="B2988" s="6" t="inlineStr">
        <is>
          <t>MOGEN DAVID BLACKBERRY</t>
        </is>
      </c>
      <c r="C2988" s="7">
        <f>VLOOKUP(A2988,SizeData!A$2:B$3839,2,FALSE)</f>
        <v/>
      </c>
      <c r="D2988" s="6" t="n">
        <v>2</v>
      </c>
      <c r="E2988" s="6" t="inlineStr">
        <is>
          <t>R1549891</t>
        </is>
      </c>
      <c r="F2988" s="2" t="n">
        <v>44656</v>
      </c>
      <c r="G2988" s="1" t="n"/>
    </row>
    <row r="2989">
      <c r="A2989" s="6" t="n">
        <v>803485</v>
      </c>
      <c r="B2989" s="6" t="inlineStr">
        <is>
          <t>MOGEN DAVID BLACKBERRY</t>
        </is>
      </c>
      <c r="C2989" s="7">
        <f>VLOOKUP(A2989,SizeData!A$2:B$3839,2,FALSE)</f>
        <v/>
      </c>
      <c r="D2989" s="6" t="n">
        <v>2</v>
      </c>
      <c r="E2989" s="6" t="inlineStr">
        <is>
          <t>R1566604</t>
        </is>
      </c>
      <c r="F2989" s="2" t="n">
        <v>44660</v>
      </c>
      <c r="G2989" s="1" t="n"/>
    </row>
    <row r="2990">
      <c r="A2990" s="31" t="n">
        <v>803485</v>
      </c>
      <c r="B2990" s="31" t="inlineStr">
        <is>
          <t>MOGEN DAVID BLACKBERRY</t>
        </is>
      </c>
      <c r="C2990" s="7">
        <f>VLOOKUP(A2990,SizeData!A$2:B$3839,2,FALSE)</f>
        <v/>
      </c>
      <c r="D2990" s="31" t="n">
        <v>2</v>
      </c>
      <c r="E2990" s="31" t="inlineStr">
        <is>
          <t>R1665885</t>
        </is>
      </c>
      <c r="F2990" s="33" t="n">
        <v>44737</v>
      </c>
      <c r="G2990" s="34" t="n"/>
    </row>
    <row r="2991">
      <c r="A2991" s="39" t="n">
        <v>803485</v>
      </c>
      <c r="B2991" s="39" t="inlineStr">
        <is>
          <t>MOGEN DAVID BLACKBERRY</t>
        </is>
      </c>
      <c r="C2991" s="7">
        <f>VLOOKUP(A2991,SizeData!A$2:B$3839,2,FALSE)</f>
        <v/>
      </c>
      <c r="D2991" s="39" t="n">
        <v>1</v>
      </c>
      <c r="E2991" s="39" t="inlineStr">
        <is>
          <t>R1665885</t>
        </is>
      </c>
      <c r="F2991" s="40" t="n">
        <v>44737</v>
      </c>
      <c r="G2991" s="41" t="n"/>
    </row>
    <row r="2992">
      <c r="A2992" s="6" t="n">
        <v>803485</v>
      </c>
      <c r="B2992" s="6" t="inlineStr">
        <is>
          <t>MOGEN DAVID BLACKBERRY</t>
        </is>
      </c>
      <c r="C2992" s="7">
        <f>VLOOKUP(A2992,SizeData!A$2:B$3839,2,FALSE)</f>
        <v/>
      </c>
      <c r="D2992" s="6" t="n">
        <v>1</v>
      </c>
      <c r="E2992" s="6" t="inlineStr">
        <is>
          <t>R1727399</t>
        </is>
      </c>
      <c r="F2992" s="2" t="n">
        <v>44786</v>
      </c>
      <c r="G2992" s="1" t="n"/>
    </row>
    <row r="2993">
      <c r="A2993" s="6" t="n">
        <v>803485</v>
      </c>
      <c r="B2993" s="6" t="inlineStr">
        <is>
          <t>MOGEN DAVID BLACKBERRY</t>
        </is>
      </c>
      <c r="C2993" s="7">
        <f>VLOOKUP(A2993,SizeData!A$2:B$3839,2,FALSE)</f>
        <v/>
      </c>
      <c r="D2993" s="6" t="n">
        <v>4</v>
      </c>
      <c r="E2993" s="6" t="inlineStr">
        <is>
          <t>R1762513</t>
        </is>
      </c>
      <c r="F2993" s="2" t="n">
        <v>44810</v>
      </c>
      <c r="G2993" s="1" t="n"/>
    </row>
    <row r="2994">
      <c r="A2994" s="6" t="n">
        <v>803485</v>
      </c>
      <c r="B2994" s="6" t="inlineStr">
        <is>
          <t>MOGEN DAVID BLACKBERRY</t>
        </is>
      </c>
      <c r="C2994" s="7">
        <f>VLOOKUP(A2994,SizeData!A$2:B$3839,2,FALSE)</f>
        <v/>
      </c>
      <c r="D2994" s="6" t="n">
        <v>1</v>
      </c>
      <c r="E2994" s="6" t="inlineStr">
        <is>
          <t>R1782657</t>
        </is>
      </c>
      <c r="F2994" s="2" t="n">
        <v>44828</v>
      </c>
      <c r="G2994" s="1" t="n"/>
    </row>
    <row r="2995">
      <c r="A2995" s="6" t="n">
        <v>803485</v>
      </c>
      <c r="B2995" s="6" t="inlineStr">
        <is>
          <t>MOGEN DAVID BLACKBERRY</t>
        </is>
      </c>
      <c r="C2995" s="7">
        <f>VLOOKUP(A2995,SizeData!A$2:B$3839,2,FALSE)</f>
        <v/>
      </c>
      <c r="D2995" s="6" t="n">
        <v>1</v>
      </c>
      <c r="E2995" s="6" t="inlineStr">
        <is>
          <t>R1808552</t>
        </is>
      </c>
      <c r="F2995" s="2" t="n">
        <v>44841</v>
      </c>
      <c r="G2995" s="1" t="n"/>
    </row>
    <row r="2996">
      <c r="A2996" s="6" t="n">
        <v>803485</v>
      </c>
      <c r="B2996" s="6" t="inlineStr">
        <is>
          <t>MOGEN DAVID BLACKBERRY</t>
        </is>
      </c>
      <c r="C2996" s="7">
        <f>VLOOKUP(A2996,SizeData!A$2:B$3839,2,FALSE)</f>
        <v/>
      </c>
      <c r="D2996" s="6" t="n">
        <v>1</v>
      </c>
      <c r="E2996" s="6" t="inlineStr">
        <is>
          <t>R1852440</t>
        </is>
      </c>
      <c r="F2996" s="2" t="n">
        <v>44867</v>
      </c>
      <c r="G2996" s="1" t="n"/>
    </row>
    <row r="2997">
      <c r="A2997" s="6" t="n">
        <v>803485</v>
      </c>
      <c r="B2997" s="6" t="inlineStr">
        <is>
          <t>MOGEN DAVID BLACKBERRY</t>
        </is>
      </c>
      <c r="C2997" s="7">
        <f>VLOOKUP(A2997,SizeData!A$2:B$3839,2,FALSE)</f>
        <v/>
      </c>
      <c r="D2997" s="6" t="n">
        <v>2</v>
      </c>
      <c r="E2997" s="6" t="inlineStr">
        <is>
          <t>R1894250</t>
        </is>
      </c>
      <c r="F2997" s="2" t="n">
        <v>44902</v>
      </c>
      <c r="G2997" s="1" t="n"/>
    </row>
    <row r="2998">
      <c r="A2998" s="6" t="n">
        <v>487000</v>
      </c>
      <c r="B2998" s="6" t="inlineStr">
        <is>
          <t>MOGEN DAVID CONCORD</t>
        </is>
      </c>
      <c r="C2998" s="7">
        <f>VLOOKUP(A2998,SizeData!A$2:B$3839,2,FALSE)</f>
        <v/>
      </c>
      <c r="D2998" s="6" t="n">
        <v>1</v>
      </c>
      <c r="E2998" s="6" t="inlineStr">
        <is>
          <t>R1387278</t>
        </is>
      </c>
      <c r="F2998" s="2" t="n">
        <v>44559</v>
      </c>
      <c r="G2998" s="1" t="n"/>
    </row>
    <row r="2999">
      <c r="A2999" s="6" t="n">
        <v>487000</v>
      </c>
      <c r="B2999" s="6" t="inlineStr">
        <is>
          <t>MOGEN DAVID CONCORD</t>
        </is>
      </c>
      <c r="C2999" s="7">
        <f>VLOOKUP(A2999,SizeData!A$2:B$3839,2,FALSE)</f>
        <v/>
      </c>
      <c r="D2999" s="6" t="n">
        <v>2</v>
      </c>
      <c r="E2999" s="6" t="inlineStr">
        <is>
          <t>R1410056</t>
        </is>
      </c>
      <c r="F2999" s="2" t="n">
        <v>44564</v>
      </c>
      <c r="G2999" s="1" t="n"/>
    </row>
    <row r="3000">
      <c r="A3000" s="6" t="n">
        <v>487000</v>
      </c>
      <c r="B3000" s="6" t="inlineStr">
        <is>
          <t>MOGEN DAVID CONCORD</t>
        </is>
      </c>
      <c r="C3000" s="7">
        <f>VLOOKUP(A3000,SizeData!A$2:B$3839,2,FALSE)</f>
        <v/>
      </c>
      <c r="D3000" s="6" t="n">
        <v>5</v>
      </c>
      <c r="E3000" s="6" t="inlineStr">
        <is>
          <t>R1460709</t>
        </is>
      </c>
      <c r="F3000" s="2" t="n">
        <v>44594</v>
      </c>
      <c r="G3000" s="1" t="n"/>
    </row>
    <row r="3001">
      <c r="A3001" s="6" t="n">
        <v>487000</v>
      </c>
      <c r="B3001" s="6" t="inlineStr">
        <is>
          <t>MOGEN DAVID CONCORD</t>
        </is>
      </c>
      <c r="C3001" s="7">
        <f>VLOOKUP(A3001,SizeData!A$2:B$3839,2,FALSE)</f>
        <v/>
      </c>
      <c r="D3001" s="6" t="n">
        <v>5</v>
      </c>
      <c r="E3001" s="6" t="inlineStr">
        <is>
          <t>R1466711</t>
        </is>
      </c>
      <c r="F3001" s="2" t="n">
        <v>44604</v>
      </c>
      <c r="G3001" s="1" t="n"/>
    </row>
    <row r="3002">
      <c r="A3002" s="6" t="n">
        <v>487000</v>
      </c>
      <c r="B3002" s="6" t="inlineStr">
        <is>
          <t>MOGEN DAVID CONCORD</t>
        </is>
      </c>
      <c r="C3002" s="7">
        <f>VLOOKUP(A3002,SizeData!A$2:B$3839,2,FALSE)</f>
        <v/>
      </c>
      <c r="D3002" s="6" t="n">
        <v>3</v>
      </c>
      <c r="E3002" s="6" t="inlineStr">
        <is>
          <t>R1549891</t>
        </is>
      </c>
      <c r="F3002" s="2" t="n">
        <v>44656</v>
      </c>
      <c r="G3002" s="1" t="n"/>
    </row>
    <row r="3003">
      <c r="A3003" s="6" t="n">
        <v>487000</v>
      </c>
      <c r="B3003" s="6" t="inlineStr">
        <is>
          <t>MOGEN DAVID CONCORD</t>
        </is>
      </c>
      <c r="C3003" s="7">
        <f>VLOOKUP(A3003,SizeData!A$2:B$3839,2,FALSE)</f>
        <v/>
      </c>
      <c r="D3003" s="6" t="n">
        <v>1</v>
      </c>
      <c r="E3003" s="6" t="inlineStr">
        <is>
          <t>R1566604</t>
        </is>
      </c>
      <c r="F3003" s="2" t="n">
        <v>44660</v>
      </c>
      <c r="G3003" s="1" t="n"/>
    </row>
    <row r="3004">
      <c r="A3004" s="39" t="n">
        <v>487000</v>
      </c>
      <c r="B3004" s="39" t="inlineStr">
        <is>
          <t>MOGEN DAVID CONCORD</t>
        </is>
      </c>
      <c r="C3004" s="7">
        <f>VLOOKUP(A3004,SizeData!A$2:B$3839,2,FALSE)</f>
        <v/>
      </c>
      <c r="D3004" s="39" t="n">
        <v>3</v>
      </c>
      <c r="E3004" s="39" t="inlineStr">
        <is>
          <t>R1664209</t>
        </is>
      </c>
      <c r="F3004" s="40" t="n">
        <v>44739</v>
      </c>
      <c r="G3004" s="41" t="n"/>
    </row>
    <row r="3005">
      <c r="A3005" s="6" t="n">
        <v>487000</v>
      </c>
      <c r="B3005" s="6" t="inlineStr">
        <is>
          <t>MOGEN DAVID CONCORD</t>
        </is>
      </c>
      <c r="C3005" s="7">
        <f>VLOOKUP(A3005,SizeData!A$2:B$3839,2,FALSE)</f>
        <v/>
      </c>
      <c r="D3005" s="6" t="n">
        <v>3</v>
      </c>
      <c r="E3005" s="6" t="inlineStr">
        <is>
          <t>R1696478</t>
        </is>
      </c>
      <c r="F3005" s="2" t="n">
        <v>44760</v>
      </c>
      <c r="G3005" s="1" t="n"/>
    </row>
    <row r="3006">
      <c r="A3006" s="6" t="n">
        <v>487000</v>
      </c>
      <c r="B3006" s="6" t="inlineStr">
        <is>
          <t>MOGEN DAVID CONCORD</t>
        </is>
      </c>
      <c r="C3006" s="7">
        <f>VLOOKUP(A3006,SizeData!A$2:B$3839,2,FALSE)</f>
        <v/>
      </c>
      <c r="D3006" s="6" t="n">
        <v>3</v>
      </c>
      <c r="E3006" s="6" t="inlineStr">
        <is>
          <t>R1743204</t>
        </is>
      </c>
      <c r="F3006" s="2" t="n">
        <v>44795</v>
      </c>
      <c r="G3006" s="1" t="n"/>
    </row>
    <row r="3007">
      <c r="A3007" s="6" t="n">
        <v>487000</v>
      </c>
      <c r="B3007" s="6" t="inlineStr">
        <is>
          <t>MOGEN DAVID CONCORD</t>
        </is>
      </c>
      <c r="C3007" s="7">
        <f>VLOOKUP(A3007,SizeData!A$2:B$3839,2,FALSE)</f>
        <v/>
      </c>
      <c r="D3007" s="6" t="n">
        <v>2</v>
      </c>
      <c r="E3007" s="6" t="inlineStr">
        <is>
          <t>R1747750</t>
        </is>
      </c>
      <c r="F3007" s="2" t="n">
        <v>44802</v>
      </c>
      <c r="G3007" s="1" t="n"/>
    </row>
    <row r="3008">
      <c r="A3008" s="6" t="n">
        <v>487000</v>
      </c>
      <c r="B3008" s="6" t="inlineStr">
        <is>
          <t>MOGEN DAVID CONCORD</t>
        </is>
      </c>
      <c r="C3008" s="7">
        <f>VLOOKUP(A3008,SizeData!A$2:B$3839,2,FALSE)</f>
        <v/>
      </c>
      <c r="D3008" s="6" t="n">
        <v>2</v>
      </c>
      <c r="E3008" s="6" t="inlineStr">
        <is>
          <t>R1762660</t>
        </is>
      </c>
      <c r="F3008" s="2" t="n">
        <v>44817</v>
      </c>
      <c r="G3008" s="1" t="n"/>
    </row>
    <row r="3009">
      <c r="A3009" s="6" t="n">
        <v>487000</v>
      </c>
      <c r="B3009" s="6" t="inlineStr">
        <is>
          <t>MOGEN DAVID CONCORD</t>
        </is>
      </c>
      <c r="C3009" s="7">
        <f>VLOOKUP(A3009,SizeData!A$2:B$3839,2,FALSE)</f>
        <v/>
      </c>
      <c r="D3009" s="6" t="n">
        <v>2</v>
      </c>
      <c r="E3009" s="6" t="inlineStr">
        <is>
          <t>R1781063</t>
        </is>
      </c>
      <c r="F3009" s="2" t="n">
        <v>44823</v>
      </c>
      <c r="G3009" s="1" t="n"/>
    </row>
    <row r="3010">
      <c r="A3010" s="6" t="n">
        <v>487000</v>
      </c>
      <c r="B3010" s="6" t="inlineStr">
        <is>
          <t>MOGEN DAVID CONCORD</t>
        </is>
      </c>
      <c r="C3010" s="7">
        <f>VLOOKUP(A3010,SizeData!A$2:B$3839,2,FALSE)</f>
        <v/>
      </c>
      <c r="D3010" s="6" t="n">
        <v>1</v>
      </c>
      <c r="E3010" s="6" t="inlineStr">
        <is>
          <t>R1852440</t>
        </is>
      </c>
      <c r="F3010" s="2" t="n">
        <v>44867</v>
      </c>
      <c r="G3010" s="1" t="n"/>
    </row>
    <row r="3011" customFormat="1" s="14">
      <c r="A3011" s="6" t="n">
        <v>487000</v>
      </c>
      <c r="B3011" s="6" t="inlineStr">
        <is>
          <t>MOGEN DAVID CONCORD</t>
        </is>
      </c>
      <c r="C3011" s="7">
        <f>VLOOKUP(A3011,SizeData!A$2:B$3839,2,FALSE)</f>
        <v/>
      </c>
      <c r="D3011" s="6" t="n">
        <v>2</v>
      </c>
      <c r="E3011" s="6" t="inlineStr">
        <is>
          <t>R1849692</t>
        </is>
      </c>
      <c r="F3011" s="2" t="n">
        <v>44870</v>
      </c>
      <c r="G3011" s="1" t="n"/>
    </row>
    <row r="3012">
      <c r="A3012" s="26" t="n">
        <v>487000</v>
      </c>
      <c r="B3012" s="26" t="inlineStr">
        <is>
          <t>MOGEN DAVID CONCORD</t>
        </is>
      </c>
      <c r="C3012" s="75">
        <f>VLOOKUP(A3012,SizeData!A$2:B$3839,2,FALSE)</f>
        <v/>
      </c>
      <c r="D3012" s="26" t="n">
        <v>1</v>
      </c>
      <c r="E3012" s="26" t="inlineStr">
        <is>
          <t>R1860872</t>
        </is>
      </c>
      <c r="F3012" s="61" t="n">
        <v>44875</v>
      </c>
      <c r="G3012" s="62" t="n"/>
    </row>
    <row r="3013">
      <c r="A3013" s="6" t="n">
        <v>487010</v>
      </c>
      <c r="B3013" s="6" t="inlineStr">
        <is>
          <t>MOGEN DAVID CONCORD</t>
        </is>
      </c>
      <c r="C3013" s="7">
        <f>VLOOKUP(A3013,SizeData!A$2:B$3839,2,FALSE)</f>
        <v/>
      </c>
      <c r="D3013" s="6" t="n">
        <v>2</v>
      </c>
      <c r="E3013" s="6" t="inlineStr">
        <is>
          <t>R1387278</t>
        </is>
      </c>
      <c r="F3013" s="2" t="n">
        <v>44559</v>
      </c>
      <c r="G3013" s="1" t="n"/>
    </row>
    <row r="3014">
      <c r="A3014" s="6" t="n">
        <v>487010</v>
      </c>
      <c r="B3014" s="6" t="inlineStr">
        <is>
          <t>MOGEN DAVID CONCORD</t>
        </is>
      </c>
      <c r="C3014" s="7">
        <f>VLOOKUP(A3014,SizeData!A$2:B$3839,2,FALSE)</f>
        <v/>
      </c>
      <c r="D3014" s="6" t="n">
        <v>2</v>
      </c>
      <c r="E3014" s="6" t="inlineStr">
        <is>
          <t>R1410056</t>
        </is>
      </c>
      <c r="F3014" s="2" t="n">
        <v>44564</v>
      </c>
      <c r="G3014" s="1" t="n"/>
    </row>
    <row r="3015">
      <c r="A3015" s="6" t="n">
        <v>487010</v>
      </c>
      <c r="B3015" s="6" t="inlineStr">
        <is>
          <t>MOGEN DAVID CONCORD</t>
        </is>
      </c>
      <c r="C3015" s="7">
        <f>VLOOKUP(A3015,SizeData!A$2:B$3839,2,FALSE)</f>
        <v/>
      </c>
      <c r="D3015" s="6" t="n">
        <v>2</v>
      </c>
      <c r="E3015" s="6" t="inlineStr">
        <is>
          <t>R1460709</t>
        </is>
      </c>
      <c r="F3015" s="2" t="n">
        <v>44594</v>
      </c>
      <c r="G3015" s="1" t="n"/>
    </row>
    <row r="3016">
      <c r="A3016" s="6" t="n">
        <v>487010</v>
      </c>
      <c r="B3016" s="6" t="inlineStr">
        <is>
          <t>MOGEN DAVID CONCORD</t>
        </is>
      </c>
      <c r="C3016" s="7">
        <f>VLOOKUP(A3016,SizeData!A$2:B$3839,2,FALSE)</f>
        <v/>
      </c>
      <c r="D3016" s="6" t="n">
        <v>2</v>
      </c>
      <c r="E3016" s="6" t="inlineStr">
        <is>
          <t>R1439543</t>
        </is>
      </c>
      <c r="F3016" s="2" t="n">
        <v>44594</v>
      </c>
      <c r="G3016" s="1" t="n"/>
    </row>
    <row r="3017">
      <c r="A3017" s="6" t="n">
        <v>487010</v>
      </c>
      <c r="B3017" s="6" t="inlineStr">
        <is>
          <t>MOGEN DAVID CONCORD</t>
        </is>
      </c>
      <c r="C3017" s="7">
        <f>VLOOKUP(A3017,SizeData!A$2:B$3839,2,FALSE)</f>
        <v/>
      </c>
      <c r="D3017" s="6" t="n">
        <v>2</v>
      </c>
      <c r="E3017" s="6" t="inlineStr">
        <is>
          <t>R1448139</t>
        </is>
      </c>
      <c r="F3017" s="2" t="n">
        <v>44597</v>
      </c>
      <c r="G3017" s="1" t="n"/>
    </row>
    <row r="3018">
      <c r="A3018" s="6" t="n">
        <v>487010</v>
      </c>
      <c r="B3018" s="6" t="inlineStr">
        <is>
          <t>MOGEN DAVID CONCORD</t>
        </is>
      </c>
      <c r="C3018" s="7">
        <f>VLOOKUP(A3018,SizeData!A$2:B$3839,2,FALSE)</f>
        <v/>
      </c>
      <c r="D3018" s="6" t="n">
        <v>2</v>
      </c>
      <c r="E3018" s="6" t="inlineStr">
        <is>
          <t>R1466711</t>
        </is>
      </c>
      <c r="F3018" s="2" t="n">
        <v>44604</v>
      </c>
      <c r="G3018" s="1" t="n"/>
    </row>
    <row r="3019">
      <c r="A3019" s="6" t="n">
        <v>487010</v>
      </c>
      <c r="B3019" s="6" t="inlineStr">
        <is>
          <t>MOGEN DAVID CONCORD</t>
        </is>
      </c>
      <c r="C3019" s="7">
        <f>VLOOKUP(A3019,SizeData!A$2:B$3839,2,FALSE)</f>
        <v/>
      </c>
      <c r="D3019" s="6" t="n">
        <v>2</v>
      </c>
      <c r="E3019" s="6" t="inlineStr">
        <is>
          <t>R1516281</t>
        </is>
      </c>
      <c r="F3019" s="2" t="n">
        <v>44634</v>
      </c>
      <c r="G3019" s="1" t="n"/>
    </row>
    <row r="3020">
      <c r="A3020" s="6" t="n">
        <v>487010</v>
      </c>
      <c r="B3020" s="6" t="inlineStr">
        <is>
          <t>MOGEN DAVID CONCORD</t>
        </is>
      </c>
      <c r="C3020" s="7">
        <f>VLOOKUP(A3020,SizeData!A$2:B$3839,2,FALSE)</f>
        <v/>
      </c>
      <c r="D3020" s="6" t="n">
        <v>4</v>
      </c>
      <c r="E3020" s="6" t="inlineStr">
        <is>
          <t>R1527308</t>
        </is>
      </c>
      <c r="F3020" s="2" t="n">
        <v>44639</v>
      </c>
      <c r="G3020" s="1" t="n"/>
    </row>
    <row r="3021">
      <c r="A3021" s="6" t="n">
        <v>487010</v>
      </c>
      <c r="B3021" s="6" t="inlineStr">
        <is>
          <t>MOGEN DAVID CONCORD</t>
        </is>
      </c>
      <c r="C3021" s="7">
        <f>VLOOKUP(A3021,SizeData!A$2:B$3839,2,FALSE)</f>
        <v/>
      </c>
      <c r="D3021" s="6" t="n">
        <v>1</v>
      </c>
      <c r="E3021" s="6" t="inlineStr">
        <is>
          <t>R1544902</t>
        </is>
      </c>
      <c r="F3021" s="2" t="n">
        <v>44653</v>
      </c>
      <c r="G3021" s="1" t="n"/>
    </row>
    <row r="3022">
      <c r="A3022" s="6" t="n">
        <v>487010</v>
      </c>
      <c r="B3022" s="6" t="inlineStr">
        <is>
          <t>MOGEN DAVID CONCORD</t>
        </is>
      </c>
      <c r="C3022" s="7">
        <f>VLOOKUP(A3022,SizeData!A$2:B$3839,2,FALSE)</f>
        <v/>
      </c>
      <c r="D3022" s="6" t="n">
        <v>1</v>
      </c>
      <c r="E3022" s="6" t="inlineStr">
        <is>
          <t>R1549891</t>
        </is>
      </c>
      <c r="F3022" s="2" t="n">
        <v>44656</v>
      </c>
      <c r="G3022" s="1" t="n"/>
    </row>
    <row r="3023">
      <c r="A3023" s="6" t="n">
        <v>487010</v>
      </c>
      <c r="B3023" s="6" t="inlineStr">
        <is>
          <t>MOGEN DAVID CONCORD</t>
        </is>
      </c>
      <c r="C3023" s="7">
        <f>VLOOKUP(A3023,SizeData!A$2:B$3839,2,FALSE)</f>
        <v/>
      </c>
      <c r="D3023" s="6" t="n">
        <v>2</v>
      </c>
      <c r="E3023" s="6" t="inlineStr">
        <is>
          <t>R1566604</t>
        </is>
      </c>
      <c r="F3023" s="2" t="n">
        <v>44660</v>
      </c>
      <c r="G3023" s="1" t="n"/>
    </row>
    <row r="3024">
      <c r="A3024" s="6" t="n">
        <v>487010</v>
      </c>
      <c r="B3024" s="6" t="inlineStr">
        <is>
          <t>MOGEN DAVID CONCORD</t>
        </is>
      </c>
      <c r="C3024" s="7">
        <f>VLOOKUP(A3024,SizeData!A$2:B$3839,2,FALSE)</f>
        <v/>
      </c>
      <c r="D3024" s="6" t="n">
        <v>1</v>
      </c>
      <c r="E3024" s="6" t="inlineStr">
        <is>
          <t>R1572421</t>
        </is>
      </c>
      <c r="F3024" s="2" t="n">
        <v>44667</v>
      </c>
      <c r="G3024" s="1" t="n"/>
    </row>
    <row r="3025">
      <c r="A3025" s="31" t="n">
        <v>487010</v>
      </c>
      <c r="B3025" s="31" t="inlineStr">
        <is>
          <t>MOGEN DAVID CONCORD</t>
        </is>
      </c>
      <c r="C3025" s="7">
        <f>VLOOKUP(A3025,SizeData!A$2:B$3839,2,FALSE)</f>
        <v/>
      </c>
      <c r="D3025" s="31" t="n">
        <v>1</v>
      </c>
      <c r="E3025" s="31" t="inlineStr">
        <is>
          <t>R1659975</t>
        </is>
      </c>
      <c r="F3025" s="33" t="n">
        <v>44736</v>
      </c>
      <c r="G3025" s="34" t="n"/>
    </row>
    <row r="3026">
      <c r="A3026" s="31" t="n">
        <v>487010</v>
      </c>
      <c r="B3026" s="31" t="inlineStr">
        <is>
          <t>MOGEN DAVID CONCORD</t>
        </is>
      </c>
      <c r="C3026" s="7">
        <f>VLOOKUP(A3026,SizeData!A$2:B$3839,2,FALSE)</f>
        <v/>
      </c>
      <c r="D3026" s="31" t="n">
        <v>8</v>
      </c>
      <c r="E3026" s="31" t="inlineStr">
        <is>
          <t>R1665885</t>
        </is>
      </c>
      <c r="F3026" s="33" t="n">
        <v>44737</v>
      </c>
      <c r="G3026" s="34" t="n"/>
    </row>
    <row r="3027">
      <c r="A3027" s="39" t="n">
        <v>487010</v>
      </c>
      <c r="B3027" s="39" t="inlineStr">
        <is>
          <t>MOGEN DAVID CONCORD</t>
        </is>
      </c>
      <c r="C3027" s="7">
        <f>VLOOKUP(A3027,SizeData!A$2:B$3839,2,FALSE)</f>
        <v/>
      </c>
      <c r="D3027" s="39" t="n">
        <v>1</v>
      </c>
      <c r="E3027" s="39" t="inlineStr">
        <is>
          <t>R1665885</t>
        </is>
      </c>
      <c r="F3027" s="40" t="n">
        <v>44737</v>
      </c>
      <c r="G3027" s="41" t="n"/>
    </row>
    <row r="3028">
      <c r="A3028" s="6" t="n">
        <v>487010</v>
      </c>
      <c r="B3028" s="6" t="inlineStr">
        <is>
          <t>MOGEN DAVID CONCORD</t>
        </is>
      </c>
      <c r="C3028" s="7">
        <f>VLOOKUP(A3028,SizeData!A$2:B$3839,2,FALSE)</f>
        <v/>
      </c>
      <c r="D3028" s="6" t="n">
        <v>3</v>
      </c>
      <c r="E3028" s="6" t="inlineStr">
        <is>
          <t>R1852440</t>
        </is>
      </c>
      <c r="F3028" s="2" t="n">
        <v>44867</v>
      </c>
      <c r="G3028" s="1" t="n"/>
    </row>
    <row r="3029">
      <c r="A3029" s="6" t="n">
        <v>487010</v>
      </c>
      <c r="B3029" s="6" t="inlineStr">
        <is>
          <t>MOGEN DAVID CONCORD</t>
        </is>
      </c>
      <c r="C3029" s="7">
        <f>VLOOKUP(A3029,SizeData!A$2:B$3839,2,FALSE)</f>
        <v/>
      </c>
      <c r="D3029" s="6" t="n">
        <v>1</v>
      </c>
      <c r="E3029" s="6" t="inlineStr">
        <is>
          <t>R1860872</t>
        </is>
      </c>
      <c r="F3029" s="2" t="n">
        <v>44875</v>
      </c>
      <c r="G3029" s="1" t="n"/>
    </row>
    <row r="3030">
      <c r="A3030" s="6" t="n">
        <v>487010</v>
      </c>
      <c r="B3030" s="6" t="inlineStr">
        <is>
          <t>MOGEN DAVID CONCORD</t>
        </is>
      </c>
      <c r="C3030" s="7">
        <f>VLOOKUP(A3030,SizeData!A$2:B$3839,2,FALSE)</f>
        <v/>
      </c>
      <c r="D3030" s="6" t="n">
        <v>2</v>
      </c>
      <c r="E3030" s="6" t="inlineStr">
        <is>
          <t>R1858281</t>
        </is>
      </c>
      <c r="F3030" s="2" t="n">
        <v>44877</v>
      </c>
      <c r="G3030" s="1" t="n"/>
    </row>
    <row r="3031">
      <c r="A3031" s="6" t="n">
        <v>487020</v>
      </c>
      <c r="B3031" s="6" t="inlineStr">
        <is>
          <t>MOGEN DAVID CONCORD</t>
        </is>
      </c>
      <c r="C3031" s="7">
        <f>VLOOKUP(A3031,SizeData!A$2:B$3839,2,FALSE)</f>
        <v/>
      </c>
      <c r="D3031" s="6" t="n">
        <v>1</v>
      </c>
      <c r="E3031" s="6" t="inlineStr">
        <is>
          <t>R1403892</t>
        </is>
      </c>
      <c r="F3031" s="2" t="n">
        <v>44573</v>
      </c>
      <c r="G3031" s="1" t="n"/>
    </row>
    <row r="3032">
      <c r="A3032" s="6" t="n">
        <v>487020</v>
      </c>
      <c r="B3032" s="6" t="inlineStr">
        <is>
          <t>MOGEN DAVID CONCORD</t>
        </is>
      </c>
      <c r="C3032" s="7">
        <f>VLOOKUP(A3032,SizeData!A$2:B$3839,2,FALSE)</f>
        <v/>
      </c>
      <c r="D3032" s="6" t="n">
        <v>2</v>
      </c>
      <c r="E3032" s="6" t="inlineStr">
        <is>
          <t>R1431061</t>
        </is>
      </c>
      <c r="F3032" s="2" t="n">
        <v>44583</v>
      </c>
      <c r="G3032" s="1" t="n"/>
    </row>
    <row r="3033">
      <c r="A3033" s="6" t="n">
        <v>487020</v>
      </c>
      <c r="B3033" s="6" t="inlineStr">
        <is>
          <t>MOGEN DAVID CONCORD</t>
        </is>
      </c>
      <c r="C3033" s="7">
        <f>VLOOKUP(A3033,SizeData!A$2:B$3839,2,FALSE)</f>
        <v/>
      </c>
      <c r="D3033" s="6" t="n">
        <v>1</v>
      </c>
      <c r="E3033" s="6" t="inlineStr">
        <is>
          <t>R1460709</t>
        </is>
      </c>
      <c r="F3033" s="2" t="n">
        <v>44594</v>
      </c>
      <c r="G3033" s="1" t="n"/>
    </row>
    <row r="3034">
      <c r="A3034" s="6" t="n">
        <v>487020</v>
      </c>
      <c r="B3034" s="6" t="inlineStr">
        <is>
          <t>MOGEN DAVID CONCORD</t>
        </is>
      </c>
      <c r="C3034" s="7">
        <f>VLOOKUP(A3034,SizeData!A$2:B$3839,2,FALSE)</f>
        <v/>
      </c>
      <c r="D3034" s="6" t="n">
        <v>1</v>
      </c>
      <c r="E3034" s="6" t="inlineStr">
        <is>
          <t>R1471889</t>
        </is>
      </c>
      <c r="F3034" s="2" t="n">
        <v>44611</v>
      </c>
      <c r="G3034" s="1" t="n"/>
      <c r="J3034" t="inlineStr">
        <is>
          <t> </t>
        </is>
      </c>
    </row>
    <row r="3035">
      <c r="A3035" s="6" t="n">
        <v>487020</v>
      </c>
      <c r="B3035" s="6" t="inlineStr">
        <is>
          <t>MOGEN DAVID CONCORD</t>
        </is>
      </c>
      <c r="C3035" s="7">
        <f>VLOOKUP(A3035,SizeData!A$2:B$3839,2,FALSE)</f>
        <v/>
      </c>
      <c r="D3035" s="6" t="n">
        <v>2</v>
      </c>
      <c r="E3035" s="6" t="inlineStr">
        <is>
          <t>R1497382</t>
        </is>
      </c>
      <c r="F3035" s="2" t="n">
        <v>44627</v>
      </c>
      <c r="G3035" s="1" t="n"/>
    </row>
    <row r="3036">
      <c r="A3036" s="6" t="n">
        <v>487020</v>
      </c>
      <c r="B3036" s="6" t="inlineStr">
        <is>
          <t>MOGEN DAVID CONCORD</t>
        </is>
      </c>
      <c r="C3036" s="7">
        <f>VLOOKUP(A3036,SizeData!A$2:B$3839,2,FALSE)</f>
        <v/>
      </c>
      <c r="D3036" s="6" t="n">
        <v>1</v>
      </c>
      <c r="E3036" s="6" t="inlineStr">
        <is>
          <t>R1489956</t>
        </is>
      </c>
      <c r="F3036" s="2" t="n">
        <v>44631</v>
      </c>
      <c r="G3036" s="1" t="n"/>
    </row>
    <row r="3037">
      <c r="A3037" s="6" t="n">
        <v>487020</v>
      </c>
      <c r="B3037" s="6" t="inlineStr">
        <is>
          <t>MOGEN DAVID CONCORD</t>
        </is>
      </c>
      <c r="C3037" s="7">
        <f>VLOOKUP(A3037,SizeData!A$2:B$3839,2,FALSE)</f>
        <v/>
      </c>
      <c r="D3037" s="6" t="n">
        <v>1</v>
      </c>
      <c r="E3037" s="6" t="inlineStr">
        <is>
          <t>R1537124</t>
        </is>
      </c>
      <c r="F3037" s="2" t="n">
        <v>44646</v>
      </c>
      <c r="G3037" s="1" t="n"/>
    </row>
    <row r="3038">
      <c r="A3038" s="6" t="n">
        <v>487020</v>
      </c>
      <c r="B3038" s="6" t="inlineStr">
        <is>
          <t>MOGEN DAVID CONCORD</t>
        </is>
      </c>
      <c r="C3038" s="7">
        <f>VLOOKUP(A3038,SizeData!A$2:B$3839,2,FALSE)</f>
        <v/>
      </c>
      <c r="D3038" s="6" t="n">
        <v>1</v>
      </c>
      <c r="E3038" s="6" t="inlineStr">
        <is>
          <t>R1567269</t>
        </is>
      </c>
      <c r="F3038" s="2" t="n">
        <v>44667</v>
      </c>
      <c r="G3038" s="1" t="n"/>
    </row>
    <row r="3039">
      <c r="A3039" s="55" t="n">
        <v>487020</v>
      </c>
      <c r="B3039" s="55" t="inlineStr">
        <is>
          <t>MOGEN DAVID CONCORD</t>
        </is>
      </c>
      <c r="C3039" s="7">
        <f>VLOOKUP(A3039,SizeData!A$2:B$3839,2,FALSE)</f>
        <v/>
      </c>
      <c r="D3039" s="55" t="n">
        <v>1</v>
      </c>
      <c r="E3039" s="55" t="inlineStr">
        <is>
          <t>R1579709</t>
        </is>
      </c>
      <c r="F3039" s="56" t="n">
        <v>44674</v>
      </c>
      <c r="G3039" s="57" t="n"/>
    </row>
    <row r="3040">
      <c r="A3040" s="6" t="n">
        <v>487020</v>
      </c>
      <c r="B3040" s="6" t="inlineStr">
        <is>
          <t>MOGEN DAVID CONCORD</t>
        </is>
      </c>
      <c r="C3040" s="7">
        <f>VLOOKUP(A3040,SizeData!A$2:B$3839,2,FALSE)</f>
        <v/>
      </c>
      <c r="D3040" s="6" t="n">
        <v>3</v>
      </c>
      <c r="E3040" s="6" t="inlineStr">
        <is>
          <t>R1762513</t>
        </is>
      </c>
      <c r="F3040" s="2" t="n">
        <v>44810</v>
      </c>
      <c r="G3040" s="1" t="n"/>
    </row>
    <row r="3041">
      <c r="A3041" s="6" t="n">
        <v>487020</v>
      </c>
      <c r="B3041" s="6" t="inlineStr">
        <is>
          <t>MOGEN DAVID CONCORD</t>
        </is>
      </c>
      <c r="C3041" s="7">
        <f>VLOOKUP(A3041,SizeData!A$2:B$3839,2,FALSE)</f>
        <v/>
      </c>
      <c r="D3041" s="6" t="n">
        <v>1</v>
      </c>
      <c r="E3041" s="6" t="inlineStr">
        <is>
          <t>R1798963</t>
        </is>
      </c>
      <c r="F3041" s="2" t="n">
        <v>44844</v>
      </c>
      <c r="G3041" s="1" t="n"/>
    </row>
    <row r="3042">
      <c r="A3042" s="26" t="n">
        <v>487020</v>
      </c>
      <c r="B3042" s="26" t="inlineStr">
        <is>
          <t>MOGEN DAVID CONCORD</t>
        </is>
      </c>
      <c r="C3042" s="75">
        <f>VLOOKUP(A3042,SizeData!A$2:B$3839,2,FALSE)</f>
        <v/>
      </c>
      <c r="D3042" s="26" t="n">
        <v>2</v>
      </c>
      <c r="E3042" s="26" t="inlineStr">
        <is>
          <t>R1860872</t>
        </is>
      </c>
      <c r="F3042" s="61" t="n">
        <v>44875</v>
      </c>
      <c r="G3042" s="62" t="n"/>
    </row>
    <row r="3043">
      <c r="A3043" s="6" t="n">
        <v>487020</v>
      </c>
      <c r="B3043" s="6" t="inlineStr">
        <is>
          <t>MOGEN DAVID CONCORD</t>
        </is>
      </c>
      <c r="C3043" s="7">
        <f>VLOOKUP(A3043,SizeData!A$2:B$3839,2,FALSE)</f>
        <v/>
      </c>
      <c r="D3043" s="6" t="n">
        <v>1</v>
      </c>
      <c r="E3043" s="6" t="inlineStr">
        <is>
          <t>R1894250</t>
        </is>
      </c>
      <c r="F3043" s="2" t="n">
        <v>44902</v>
      </c>
      <c r="G3043" s="1" t="n"/>
    </row>
    <row r="3044">
      <c r="A3044" s="6" t="n">
        <v>803493</v>
      </c>
      <c r="B3044" s="6" t="inlineStr">
        <is>
          <t>MOGEN DAVID POMEGRANATE</t>
        </is>
      </c>
      <c r="C3044" s="7">
        <f>VLOOKUP(A3044,SizeData!A$2:B$3839,2,FALSE)</f>
        <v/>
      </c>
      <c r="D3044" s="6" t="n">
        <v>5</v>
      </c>
      <c r="E3044" s="6" t="inlineStr">
        <is>
          <t>R1427149</t>
        </is>
      </c>
      <c r="F3044" s="2" t="n">
        <v>44585</v>
      </c>
      <c r="G3044" s="1" t="n"/>
    </row>
    <row r="3045">
      <c r="A3045" s="6" t="n">
        <v>803493</v>
      </c>
      <c r="B3045" s="6" t="inlineStr">
        <is>
          <t>MOGEN DAVID POMEGRANATE</t>
        </is>
      </c>
      <c r="C3045" s="7">
        <f>VLOOKUP(A3045,SizeData!A$2:B$3839,2,FALSE)</f>
        <v/>
      </c>
      <c r="D3045" s="6" t="n">
        <v>1</v>
      </c>
      <c r="E3045" s="6" t="inlineStr">
        <is>
          <t>R1448139</t>
        </is>
      </c>
      <c r="F3045" s="2" t="n">
        <v>44597</v>
      </c>
      <c r="G3045" s="1" t="n"/>
    </row>
    <row r="3046">
      <c r="A3046" s="6" t="n">
        <v>803493</v>
      </c>
      <c r="B3046" s="6" t="inlineStr">
        <is>
          <t>MOGEN DAVID POMEGRANATE</t>
        </is>
      </c>
      <c r="C3046" s="7">
        <f>VLOOKUP(A3046,SizeData!A$2:B$3839,2,FALSE)</f>
        <v/>
      </c>
      <c r="D3046" s="6" t="n">
        <v>5</v>
      </c>
      <c r="E3046" s="6" t="inlineStr">
        <is>
          <t>R1466461</t>
        </is>
      </c>
      <c r="F3046" s="2" t="n">
        <v>44606</v>
      </c>
      <c r="G3046" s="1" t="n"/>
    </row>
    <row r="3047">
      <c r="A3047" s="6" t="n">
        <v>803493</v>
      </c>
      <c r="B3047" s="6" t="inlineStr">
        <is>
          <t>MOGEN DAVID POMEGRANATE</t>
        </is>
      </c>
      <c r="C3047" s="7">
        <f>VLOOKUP(A3047,SizeData!A$2:B$3839,2,FALSE)</f>
        <v/>
      </c>
      <c r="D3047" s="6" t="n">
        <v>1</v>
      </c>
      <c r="E3047" s="6" t="inlineStr">
        <is>
          <t>R1516281</t>
        </is>
      </c>
      <c r="F3047" s="2" t="n">
        <v>44634</v>
      </c>
      <c r="G3047" s="1" t="n"/>
    </row>
    <row r="3048">
      <c r="A3048" s="6" t="n">
        <v>803493</v>
      </c>
      <c r="B3048" s="6" t="inlineStr">
        <is>
          <t>MOGEN DAVID POMEGRANATE</t>
        </is>
      </c>
      <c r="C3048" s="7">
        <f>VLOOKUP(A3048,SizeData!A$2:B$3839,2,FALSE)</f>
        <v/>
      </c>
      <c r="D3048" s="6" t="n">
        <v>2</v>
      </c>
      <c r="E3048" s="6" t="inlineStr">
        <is>
          <t>R1512696</t>
        </is>
      </c>
      <c r="F3048" s="2" t="n">
        <v>44637</v>
      </c>
      <c r="G3048" s="1" t="n"/>
    </row>
    <row r="3049">
      <c r="A3049" s="6" t="n">
        <v>803493</v>
      </c>
      <c r="B3049" s="6" t="inlineStr">
        <is>
          <t>MOGEN DAVID POMEGRANATE</t>
        </is>
      </c>
      <c r="C3049" s="7">
        <f>VLOOKUP(A3049,SizeData!A$2:B$3839,2,FALSE)</f>
        <v/>
      </c>
      <c r="D3049" s="6" t="n">
        <v>1</v>
      </c>
      <c r="E3049" s="6" t="inlineStr">
        <is>
          <t>R1549891</t>
        </is>
      </c>
      <c r="F3049" s="2" t="n">
        <v>44656</v>
      </c>
      <c r="G3049" s="1" t="n"/>
    </row>
    <row r="3050">
      <c r="A3050" s="31" t="n">
        <v>803493</v>
      </c>
      <c r="B3050" s="31" t="inlineStr">
        <is>
          <t>MOGEN DAVID POMEGRANATE</t>
        </is>
      </c>
      <c r="C3050" s="7">
        <f>VLOOKUP(A3050,SizeData!A$2:B$3839,2,FALSE)</f>
        <v/>
      </c>
      <c r="D3050" s="31" t="n">
        <v>1</v>
      </c>
      <c r="E3050" s="31" t="inlineStr">
        <is>
          <t>R1549891</t>
        </is>
      </c>
      <c r="F3050" s="33" t="n">
        <v>44656</v>
      </c>
      <c r="G3050" s="34" t="n"/>
    </row>
    <row r="3051">
      <c r="A3051" s="6" t="n">
        <v>803493</v>
      </c>
      <c r="B3051" s="6" t="inlineStr">
        <is>
          <t>MOGEN DAVID POMEGRANATE</t>
        </is>
      </c>
      <c r="C3051" s="7">
        <f>VLOOKUP(A3051,SizeData!A$2:B$3839,2,FALSE)</f>
        <v/>
      </c>
      <c r="D3051" s="6" t="n">
        <v>1</v>
      </c>
      <c r="E3051" s="6" t="inlineStr">
        <is>
          <t>R1566604</t>
        </is>
      </c>
      <c r="F3051" s="2" t="n">
        <v>44660</v>
      </c>
      <c r="G3051" s="1" t="n"/>
    </row>
    <row r="3052">
      <c r="A3052" s="6" t="n">
        <v>803493</v>
      </c>
      <c r="B3052" s="6" t="inlineStr">
        <is>
          <t>MOGEN DAVID POMEGRANATE</t>
        </is>
      </c>
      <c r="C3052" s="7">
        <f>VLOOKUP(A3052,SizeData!A$2:B$3839,2,FALSE)</f>
        <v/>
      </c>
      <c r="D3052" s="6" t="n">
        <v>5</v>
      </c>
      <c r="E3052" s="6" t="inlineStr">
        <is>
          <t>R1631414</t>
        </is>
      </c>
      <c r="F3052" s="2" t="n">
        <v>44706</v>
      </c>
      <c r="G3052" s="1" t="n"/>
    </row>
    <row r="3053">
      <c r="A3053" s="6" t="n">
        <v>803493</v>
      </c>
      <c r="B3053" s="6" t="inlineStr">
        <is>
          <t>MOGEN DAVID POMEGRANATE</t>
        </is>
      </c>
      <c r="C3053" s="7">
        <f>VLOOKUP(A3053,SizeData!A$2:B$3839,2,FALSE)</f>
        <v/>
      </c>
      <c r="D3053" s="6" t="n">
        <v>1</v>
      </c>
      <c r="E3053" s="6" t="inlineStr">
        <is>
          <t>R1665833</t>
        </is>
      </c>
      <c r="F3053" s="2" t="n">
        <v>44734</v>
      </c>
      <c r="G3053" s="1" t="n"/>
    </row>
    <row r="3054">
      <c r="A3054" s="31" t="n">
        <v>803493</v>
      </c>
      <c r="B3054" s="31" t="inlineStr">
        <is>
          <t>MOGEN DAVID POMEGRANATE</t>
        </is>
      </c>
      <c r="C3054" s="7">
        <f>VLOOKUP(A3054,SizeData!A$2:B$3839,2,FALSE)</f>
        <v/>
      </c>
      <c r="D3054" s="31" t="n">
        <v>5</v>
      </c>
      <c r="E3054" s="31" t="inlineStr">
        <is>
          <t>R1653897</t>
        </is>
      </c>
      <c r="F3054" s="33" t="n">
        <v>44738</v>
      </c>
      <c r="G3054" s="34" t="n"/>
    </row>
    <row r="3055">
      <c r="A3055" s="6" t="n">
        <v>803493</v>
      </c>
      <c r="B3055" s="6" t="inlineStr">
        <is>
          <t>MOGEN DAVID POMEGRANATE</t>
        </is>
      </c>
      <c r="C3055" s="7">
        <f>VLOOKUP(A3055,SizeData!A$2:B$3839,2,FALSE)</f>
        <v/>
      </c>
      <c r="D3055" s="6" t="n">
        <v>1</v>
      </c>
      <c r="E3055" s="6" t="inlineStr">
        <is>
          <t>R1830533</t>
        </is>
      </c>
      <c r="F3055" s="2" t="n">
        <v>44852</v>
      </c>
      <c r="G3055" s="1" t="n"/>
    </row>
    <row r="3056">
      <c r="A3056" s="6" t="n">
        <v>803493</v>
      </c>
      <c r="B3056" s="6" t="inlineStr">
        <is>
          <t>MOGEN DAVID POMEGRANATE</t>
        </is>
      </c>
      <c r="C3056" s="7">
        <f>VLOOKUP(A3056,SizeData!A$2:B$3839,2,FALSE)</f>
        <v/>
      </c>
      <c r="D3056" s="6" t="n">
        <v>2</v>
      </c>
      <c r="E3056" s="6" t="inlineStr">
        <is>
          <t>R1858281</t>
        </is>
      </c>
      <c r="F3056" s="2" t="n">
        <v>44877</v>
      </c>
      <c r="G3056" s="1" t="n"/>
    </row>
    <row r="3057">
      <c r="A3057" s="6" t="n">
        <v>62623</v>
      </c>
      <c r="B3057" s="6" t="inlineStr">
        <is>
          <t>MONACO COCKTAILS BLUE CRUSH RTD</t>
        </is>
      </c>
      <c r="C3057" s="7">
        <f>VLOOKUP(A3057,SizeData!A$2:B$3839,2,FALSE)</f>
        <v/>
      </c>
      <c r="D3057" s="6" t="n">
        <v>1</v>
      </c>
      <c r="E3057" s="6" t="inlineStr">
        <is>
          <t>R1437002</t>
        </is>
      </c>
      <c r="F3057" s="2" t="n">
        <v>44586</v>
      </c>
      <c r="G3057" s="1" t="n"/>
    </row>
    <row r="3058">
      <c r="A3058" s="6" t="n">
        <v>62623</v>
      </c>
      <c r="B3058" s="6" t="inlineStr">
        <is>
          <t>MONACO COCKTAILS BLUE CRUSH RTD</t>
        </is>
      </c>
      <c r="C3058" s="7">
        <f>VLOOKUP(A3058,SizeData!A$2:B$3839,2,FALSE)</f>
        <v/>
      </c>
      <c r="D3058" s="6" t="n">
        <v>2</v>
      </c>
      <c r="E3058" s="6" t="inlineStr">
        <is>
          <t>R1868532</t>
        </is>
      </c>
      <c r="F3058" s="2" t="n">
        <v>44880</v>
      </c>
      <c r="G3058" s="1" t="n"/>
    </row>
    <row r="3059">
      <c r="A3059" s="6" t="n">
        <v>62647</v>
      </c>
      <c r="B3059" s="6" t="inlineStr">
        <is>
          <t>MONACO COCKTAILS PURPLE CRUSH RTD</t>
        </is>
      </c>
      <c r="C3059" s="7">
        <f>VLOOKUP(A3059,SizeData!A$2:B$3839,2,FALSE)</f>
        <v/>
      </c>
      <c r="D3059" s="6" t="n">
        <v>1</v>
      </c>
      <c r="E3059" s="6" t="inlineStr">
        <is>
          <t>R1564505</t>
        </is>
      </c>
      <c r="F3059" s="2" t="n">
        <v>44665</v>
      </c>
      <c r="G3059" s="1" t="n"/>
    </row>
    <row r="3060">
      <c r="A3060" s="6" t="n">
        <v>5635</v>
      </c>
      <c r="B3060" s="6" t="inlineStr">
        <is>
          <t>MONKEY SHOULDER BLENDED MALT SCOTCH WHISKEY</t>
        </is>
      </c>
      <c r="C3060" s="7">
        <f>VLOOKUP(A3060,SizeData!A$2:B$3839,2,FALSE)</f>
        <v/>
      </c>
      <c r="D3060" s="6" t="n">
        <v>1</v>
      </c>
      <c r="E3060" s="6" t="inlineStr">
        <is>
          <t>R1467898</t>
        </is>
      </c>
      <c r="F3060" s="2" t="n">
        <v>44610</v>
      </c>
      <c r="G3060" s="1" t="n"/>
    </row>
    <row r="3061">
      <c r="A3061" s="6" t="n">
        <v>5635</v>
      </c>
      <c r="B3061" s="6" t="inlineStr">
        <is>
          <t>MONKEY SHOULDER BLENDED MALT SCOTCH WHISKEY</t>
        </is>
      </c>
      <c r="C3061" s="7">
        <f>VLOOKUP(A3061,SizeData!A$2:B$3839,2,FALSE)</f>
        <v/>
      </c>
      <c r="D3061" s="6" t="n">
        <v>1</v>
      </c>
      <c r="E3061" s="6" t="inlineStr">
        <is>
          <t>R1649926</t>
        </is>
      </c>
      <c r="F3061" s="2" t="n">
        <v>44727</v>
      </c>
      <c r="G3061" s="1" t="n"/>
    </row>
    <row r="3062">
      <c r="A3062" s="6" t="n">
        <v>62116</v>
      </c>
      <c r="B3062" s="6" t="inlineStr">
        <is>
          <t>MONTEBELLO LONG ISLAND ICED TEA</t>
        </is>
      </c>
      <c r="C3062" s="7">
        <f>VLOOKUP(A3062,SizeData!A$2:B$3839,2,FALSE)</f>
        <v/>
      </c>
      <c r="D3062" s="6" t="n">
        <v>1</v>
      </c>
      <c r="E3062" s="6" t="inlineStr">
        <is>
          <t>R1489956</t>
        </is>
      </c>
      <c r="F3062" s="2" t="n">
        <v>44631</v>
      </c>
      <c r="G3062" s="1" t="n"/>
    </row>
    <row r="3063">
      <c r="A3063" s="6" t="n">
        <v>62116</v>
      </c>
      <c r="B3063" s="6" t="inlineStr">
        <is>
          <t>MONTEBELLO LONG ISLAND ICED TEA</t>
        </is>
      </c>
      <c r="C3063" s="7">
        <f>VLOOKUP(A3063,SizeData!A$2:B$3839,2,FALSE)</f>
        <v/>
      </c>
      <c r="D3063" s="6" t="n">
        <v>1</v>
      </c>
      <c r="E3063" s="6" t="inlineStr">
        <is>
          <t>R1545849</t>
        </is>
      </c>
      <c r="F3063" s="2" t="n">
        <v>44648</v>
      </c>
      <c r="G3063" s="1" t="n"/>
    </row>
    <row r="3064">
      <c r="A3064" s="6" t="n">
        <v>62116</v>
      </c>
      <c r="B3064" s="6" t="inlineStr">
        <is>
          <t>MONTEBELLO LONG ISLAND ICED TEA</t>
        </is>
      </c>
      <c r="C3064" s="7">
        <f>VLOOKUP(A3064,SizeData!A$2:B$3839,2,FALSE)</f>
        <v/>
      </c>
      <c r="D3064" s="6" t="n">
        <v>2</v>
      </c>
      <c r="E3064" s="6" t="inlineStr">
        <is>
          <t>R1619359</t>
        </is>
      </c>
      <c r="F3064" s="2" t="n">
        <v>44716</v>
      </c>
      <c r="G3064" s="1" t="n"/>
    </row>
    <row r="3065">
      <c r="A3065" s="6" t="n">
        <v>62116</v>
      </c>
      <c r="B3065" s="6" t="inlineStr">
        <is>
          <t>MONTEBELLO LONG ISLAND ICED TEA</t>
        </is>
      </c>
      <c r="C3065" s="7">
        <f>VLOOKUP(A3065,SizeData!A$2:B$3839,2,FALSE)</f>
        <v/>
      </c>
      <c r="D3065" s="6" t="n">
        <v>3</v>
      </c>
      <c r="E3065" s="6" t="inlineStr">
        <is>
          <t>R1740102</t>
        </is>
      </c>
      <c r="F3065" s="2" t="n">
        <v>44781</v>
      </c>
      <c r="G3065" s="1" t="n"/>
    </row>
    <row r="3066">
      <c r="A3066" s="6" t="n">
        <v>62116</v>
      </c>
      <c r="B3066" s="6" t="inlineStr">
        <is>
          <t>MONTEBELLO LONG ISLAND ICED TEA</t>
        </is>
      </c>
      <c r="C3066" s="7">
        <f>VLOOKUP(A3066,SizeData!A$2:B$3839,2,FALSE)</f>
        <v/>
      </c>
      <c r="D3066" s="6" t="n">
        <v>4</v>
      </c>
      <c r="E3066" s="6" t="inlineStr">
        <is>
          <t>R1773123</t>
        </is>
      </c>
      <c r="F3066" s="2" t="n">
        <v>44823</v>
      </c>
      <c r="G3066" s="1" t="n"/>
    </row>
    <row r="3067">
      <c r="A3067" s="6" t="n">
        <v>62116</v>
      </c>
      <c r="B3067" s="6" t="inlineStr">
        <is>
          <t>MONTEBELLO LONG ISLAND ICED TEA</t>
        </is>
      </c>
      <c r="C3067" s="7">
        <f>VLOOKUP(A3067,SizeData!A$2:B$3839,2,FALSE)</f>
        <v/>
      </c>
      <c r="D3067" s="6" t="n">
        <v>2</v>
      </c>
      <c r="E3067" s="6" t="inlineStr">
        <is>
          <t>R1832815</t>
        </is>
      </c>
      <c r="F3067" s="2" t="n">
        <v>44855</v>
      </c>
      <c r="G3067" s="1" t="n"/>
    </row>
    <row r="3068">
      <c r="A3068" s="6" t="n">
        <v>62116</v>
      </c>
      <c r="B3068" s="6" t="inlineStr">
        <is>
          <t>MONTEBELLO LONG ISLAND ICED TEA</t>
        </is>
      </c>
      <c r="C3068" s="7">
        <f>VLOOKUP(A3068,SizeData!A$2:B$3839,2,FALSE)</f>
        <v/>
      </c>
      <c r="D3068" s="6" t="n">
        <v>1</v>
      </c>
      <c r="E3068" s="6" t="inlineStr">
        <is>
          <t>R1852440</t>
        </is>
      </c>
      <c r="F3068" s="2" t="n">
        <v>44867</v>
      </c>
      <c r="G3068" s="1" t="n"/>
    </row>
    <row r="3069">
      <c r="A3069" s="6" t="n">
        <v>62116</v>
      </c>
      <c r="B3069" s="6" t="inlineStr">
        <is>
          <t>MONTEBELLO LONG ISLAND ICED TEA</t>
        </is>
      </c>
      <c r="C3069" s="7">
        <f>VLOOKUP(A3069,SizeData!A$2:B$3839,2,FALSE)</f>
        <v/>
      </c>
      <c r="D3069" s="6" t="n">
        <v>1</v>
      </c>
      <c r="E3069" s="6" t="inlineStr">
        <is>
          <t>R1866531</t>
        </is>
      </c>
      <c r="F3069" s="2" t="n">
        <v>44877</v>
      </c>
      <c r="G3069" s="1" t="n"/>
    </row>
    <row r="3070">
      <c r="A3070" s="6" t="n">
        <v>62116</v>
      </c>
      <c r="B3070" s="6" t="inlineStr">
        <is>
          <t>MONTEBELLO LONG ISLAND ICED TEA</t>
        </is>
      </c>
      <c r="C3070" s="7">
        <f>VLOOKUP(A3070,SizeData!A$2:B$3839,2,FALSE)</f>
        <v/>
      </c>
      <c r="D3070" s="6" t="n">
        <v>2</v>
      </c>
      <c r="E3070" s="6" t="inlineStr">
        <is>
          <t>R1867266</t>
        </is>
      </c>
      <c r="F3070" s="2" t="n">
        <v>44884</v>
      </c>
      <c r="G3070" s="1" t="n"/>
    </row>
    <row r="3071">
      <c r="A3071" s="6" t="n">
        <v>62116</v>
      </c>
      <c r="B3071" s="6" t="inlineStr">
        <is>
          <t>MONTEBELLO LONG ISLAND ICED TEA</t>
        </is>
      </c>
      <c r="C3071" s="7">
        <f>VLOOKUP(A3071,SizeData!A$2:B$3839,2,FALSE)</f>
        <v/>
      </c>
      <c r="D3071" s="6" t="n">
        <v>3</v>
      </c>
      <c r="E3071" s="6" t="inlineStr">
        <is>
          <t>R1875960</t>
        </is>
      </c>
      <c r="F3071" s="2" t="n">
        <v>44884</v>
      </c>
      <c r="G3071" s="1" t="n"/>
    </row>
    <row r="3072">
      <c r="A3072" s="6" t="n">
        <v>62116</v>
      </c>
      <c r="B3072" s="6" t="inlineStr">
        <is>
          <t>MONTEBELLO LONG ISLAND ICED TEA</t>
        </is>
      </c>
      <c r="C3072" s="7">
        <f>VLOOKUP(A3072,SizeData!A$2:B$3839,2,FALSE)</f>
        <v/>
      </c>
      <c r="D3072" s="6" t="n">
        <v>2</v>
      </c>
      <c r="E3072" s="6" t="inlineStr">
        <is>
          <t>R1897750</t>
        </is>
      </c>
      <c r="F3072" s="2" t="n">
        <v>44902</v>
      </c>
      <c r="G3072" s="1" t="n"/>
    </row>
    <row r="3073">
      <c r="A3073" s="6" t="n">
        <v>45068</v>
      </c>
      <c r="B3073" s="6" t="inlineStr">
        <is>
          <t>MONTEGO BAY GOLD RUM</t>
        </is>
      </c>
      <c r="C3073" s="7">
        <f>VLOOKUP(A3073,SizeData!A$2:B$3839,2,FALSE)</f>
        <v/>
      </c>
      <c r="D3073" s="6" t="n">
        <v>1</v>
      </c>
      <c r="E3073" s="6" t="inlineStr">
        <is>
          <t>R1402608</t>
        </is>
      </c>
      <c r="F3073" s="2" t="n">
        <v>44562</v>
      </c>
      <c r="G3073" s="1" t="n"/>
    </row>
    <row r="3074">
      <c r="A3074" s="6" t="n">
        <v>45068</v>
      </c>
      <c r="B3074" s="6" t="inlineStr">
        <is>
          <t>MONTEGO BAY GOLD RUM</t>
        </is>
      </c>
      <c r="C3074" s="7">
        <f>VLOOKUP(A3074,SizeData!A$2:B$3839,2,FALSE)</f>
        <v/>
      </c>
      <c r="D3074" s="6" t="n">
        <v>1</v>
      </c>
      <c r="E3074" s="6" t="inlineStr">
        <is>
          <t>R1452246</t>
        </is>
      </c>
      <c r="F3074" s="2" t="n">
        <v>44600</v>
      </c>
      <c r="G3074" s="1" t="n"/>
    </row>
    <row r="3075">
      <c r="A3075" s="6" t="n">
        <v>45068</v>
      </c>
      <c r="B3075" s="6" t="inlineStr">
        <is>
          <t>MONTEGO BAY GOLD RUM</t>
        </is>
      </c>
      <c r="C3075" s="7">
        <f>VLOOKUP(A3075,SizeData!A$2:B$3839,2,FALSE)</f>
        <v/>
      </c>
      <c r="D3075" s="6" t="n">
        <v>1</v>
      </c>
      <c r="E3075" s="6" t="inlineStr">
        <is>
          <t>R1496401</t>
        </is>
      </c>
      <c r="F3075" s="2" t="n">
        <v>44621</v>
      </c>
      <c r="G3075" s="1" t="n"/>
    </row>
    <row r="3076">
      <c r="A3076" s="6" t="n">
        <v>45068</v>
      </c>
      <c r="B3076" s="6" t="inlineStr">
        <is>
          <t>MONTEGO BAY GOLD RUM</t>
        </is>
      </c>
      <c r="C3076" s="7">
        <f>VLOOKUP(A3076,SizeData!A$2:B$3839,2,FALSE)</f>
        <v/>
      </c>
      <c r="D3076" s="6" t="n">
        <v>1</v>
      </c>
      <c r="E3076" s="6" t="inlineStr">
        <is>
          <t>R1759302</t>
        </is>
      </c>
      <c r="F3076" s="2" t="n">
        <v>44806</v>
      </c>
      <c r="G3076" s="1" t="n"/>
    </row>
    <row r="3077">
      <c r="A3077" s="26" t="n">
        <v>45068</v>
      </c>
      <c r="B3077" s="26" t="inlineStr">
        <is>
          <t>MONTEGO BAY GOLD RUM</t>
        </is>
      </c>
      <c r="C3077" s="7">
        <f>VLOOKUP(A3077,SizeData!A$2:B$3839,2,FALSE)</f>
        <v/>
      </c>
      <c r="D3077" s="26" t="n">
        <v>5</v>
      </c>
      <c r="E3077" s="26" t="inlineStr">
        <is>
          <t>R1782454</t>
        </is>
      </c>
      <c r="F3077" s="61" t="n">
        <v>44827</v>
      </c>
      <c r="G3077" s="62" t="n"/>
    </row>
    <row r="3078">
      <c r="A3078" s="6" t="n">
        <v>45068</v>
      </c>
      <c r="B3078" s="6" t="inlineStr">
        <is>
          <t>MONTEGO BAY GOLD RUM</t>
        </is>
      </c>
      <c r="C3078" s="7">
        <f>VLOOKUP(A3078,SizeData!A$2:B$3839,2,FALSE)</f>
        <v/>
      </c>
      <c r="D3078" s="6" t="n">
        <v>1</v>
      </c>
      <c r="E3078" s="6" t="inlineStr">
        <is>
          <t>R1869434</t>
        </is>
      </c>
      <c r="F3078" s="2" t="n">
        <v>44884</v>
      </c>
      <c r="G3078" s="1" t="n"/>
    </row>
    <row r="3079">
      <c r="A3079" s="6" t="n">
        <v>45068</v>
      </c>
      <c r="B3079" s="6" t="inlineStr">
        <is>
          <t>MONTEGO BAY GOLD RUM</t>
        </is>
      </c>
      <c r="C3079" s="7">
        <f>VLOOKUP(A3079,SizeData!A$2:B$3839,2,FALSE)</f>
        <v/>
      </c>
      <c r="D3079" s="6" t="n">
        <v>2</v>
      </c>
      <c r="E3079" s="6" t="inlineStr">
        <is>
          <t>R1893830</t>
        </is>
      </c>
      <c r="F3079" s="2" t="n">
        <v>44902</v>
      </c>
      <c r="G3079" s="1" t="n"/>
    </row>
    <row r="3080">
      <c r="A3080" s="6" t="n">
        <v>45096</v>
      </c>
      <c r="B3080" s="6" t="inlineStr">
        <is>
          <t>MONTEGO BAY LIGHT RUM</t>
        </is>
      </c>
      <c r="C3080" s="7">
        <f>VLOOKUP(A3080,SizeData!A$2:B$3839,2,FALSE)</f>
        <v/>
      </c>
      <c r="D3080" s="6" t="n">
        <v>1</v>
      </c>
      <c r="E3080" s="6" t="inlineStr">
        <is>
          <t>R1437002</t>
        </is>
      </c>
      <c r="F3080" s="2" t="n">
        <v>44586</v>
      </c>
      <c r="G3080" s="1" t="n"/>
    </row>
    <row r="3081">
      <c r="A3081" s="6" t="n">
        <v>45096</v>
      </c>
      <c r="B3081" s="6" t="inlineStr">
        <is>
          <t xml:space="preserve">MONTEGO BAY LIGHT RUM </t>
        </is>
      </c>
      <c r="C3081" s="7">
        <f>VLOOKUP(A3081,SizeData!A$2:B$3839,2,FALSE)</f>
        <v/>
      </c>
      <c r="D3081" s="6" t="n">
        <v>1</v>
      </c>
      <c r="E3081" s="6" t="inlineStr">
        <is>
          <t>R1619334</t>
        </is>
      </c>
      <c r="F3081" s="2" t="n">
        <v>44713</v>
      </c>
      <c r="G3081" s="1" t="n"/>
    </row>
    <row r="3082">
      <c r="A3082" s="26" t="n">
        <v>45096</v>
      </c>
      <c r="B3082" s="26" t="inlineStr">
        <is>
          <t>MONTEGO BAY LIGHT RUM (PET)</t>
        </is>
      </c>
      <c r="C3082" s="7">
        <f>VLOOKUP(A3082,SizeData!A$2:B$3839,2,FALSE)</f>
        <v/>
      </c>
      <c r="D3082" s="26" t="n">
        <v>1</v>
      </c>
      <c r="E3082" s="26" t="inlineStr">
        <is>
          <t>R1746324</t>
        </is>
      </c>
      <c r="F3082" s="61" t="n">
        <v>44796</v>
      </c>
      <c r="G3082" s="62" t="n"/>
    </row>
    <row r="3083">
      <c r="A3083" s="6" t="n">
        <v>45098</v>
      </c>
      <c r="B3083" s="6" t="inlineStr">
        <is>
          <t>MONTEGO BAY LIGHT RUM (PET)</t>
        </is>
      </c>
      <c r="C3083" s="7">
        <f>VLOOKUP(A3083,SizeData!A$2:B$3839,2,FALSE)</f>
        <v/>
      </c>
      <c r="D3083" s="6" t="n">
        <v>2</v>
      </c>
      <c r="E3083" s="6" t="inlineStr">
        <is>
          <t>R1777984</t>
        </is>
      </c>
      <c r="F3083" s="2" t="n">
        <v>44826</v>
      </c>
      <c r="G3083" s="1" t="n"/>
    </row>
    <row r="3084">
      <c r="A3084" s="6" t="n">
        <v>76467</v>
      </c>
      <c r="B3084" s="6" t="inlineStr">
        <is>
          <t>MR. BOSTON AMARETTO</t>
        </is>
      </c>
      <c r="C3084" s="7">
        <f>VLOOKUP(A3084,SizeData!A$2:B$3839,2,FALSE)</f>
        <v/>
      </c>
      <c r="D3084" s="6" t="n">
        <v>1</v>
      </c>
      <c r="E3084" s="6" t="inlineStr">
        <is>
          <t>R1516281</t>
        </is>
      </c>
      <c r="F3084" s="2" t="n">
        <v>44634</v>
      </c>
      <c r="G3084" s="1" t="n"/>
    </row>
    <row r="3085">
      <c r="A3085" s="6" t="n">
        <v>76467</v>
      </c>
      <c r="B3085" s="6" t="inlineStr">
        <is>
          <t>MR. BOSTON AMARETTO</t>
        </is>
      </c>
      <c r="C3085" s="7">
        <f>VLOOKUP(A3085,SizeData!A$2:B$3839,2,FALSE)</f>
        <v/>
      </c>
      <c r="D3085" s="6" t="n">
        <v>1</v>
      </c>
      <c r="E3085" s="6" t="inlineStr">
        <is>
          <t>R1549891</t>
        </is>
      </c>
      <c r="F3085" s="2" t="n">
        <v>44656</v>
      </c>
      <c r="G3085" s="1" t="n"/>
    </row>
    <row r="3086">
      <c r="A3086" s="6" t="n">
        <v>76467</v>
      </c>
      <c r="B3086" s="6" t="inlineStr">
        <is>
          <t>MR. BOSTON AMARETTO</t>
        </is>
      </c>
      <c r="C3086" s="7">
        <f>VLOOKUP(A3086,SizeData!A$2:B$3839,2,FALSE)</f>
        <v/>
      </c>
      <c r="D3086" s="6" t="n">
        <v>2</v>
      </c>
      <c r="E3086" s="6" t="inlineStr">
        <is>
          <t>R1694782</t>
        </is>
      </c>
      <c r="F3086" s="2" t="n">
        <v>44769</v>
      </c>
      <c r="G3086" s="1" t="n"/>
    </row>
    <row r="3087">
      <c r="A3087" s="6" t="n">
        <v>85437</v>
      </c>
      <c r="B3087" s="6" t="inlineStr">
        <is>
          <t>MR. BOSTON BLUE CURACAO</t>
        </is>
      </c>
      <c r="C3087" s="7">
        <f>VLOOKUP(A3087,SizeData!A$2:B$3839,2,FALSE)</f>
        <v/>
      </c>
      <c r="D3087" s="6" t="n">
        <v>1</v>
      </c>
      <c r="E3087" s="6" t="inlineStr">
        <is>
          <t>R1549891</t>
        </is>
      </c>
      <c r="F3087" s="2" t="n">
        <v>44656</v>
      </c>
      <c r="G3087" s="1" t="n"/>
    </row>
    <row r="3088">
      <c r="A3088" s="6" t="n">
        <v>85437</v>
      </c>
      <c r="B3088" s="6" t="inlineStr">
        <is>
          <t>MR. BOSTON BLUE CURACAO</t>
        </is>
      </c>
      <c r="C3088" s="7">
        <f>VLOOKUP(A3088,SizeData!A$2:B$3839,2,FALSE)</f>
        <v/>
      </c>
      <c r="D3088" s="6" t="n">
        <v>1</v>
      </c>
      <c r="E3088" s="6" t="inlineStr">
        <is>
          <t>R1718725</t>
        </is>
      </c>
      <c r="F3088" s="2" t="n">
        <v>44777</v>
      </c>
      <c r="G3088" s="1" t="n"/>
    </row>
    <row r="3089">
      <c r="A3089" s="6" t="n">
        <v>85437</v>
      </c>
      <c r="B3089" s="6" t="inlineStr">
        <is>
          <t>MR. BOSTON BLUE CURACAO</t>
        </is>
      </c>
      <c r="C3089" s="7">
        <f>VLOOKUP(A3089,SizeData!A$2:B$3839,2,FALSE)</f>
        <v/>
      </c>
      <c r="D3089" s="6" t="n">
        <v>1</v>
      </c>
      <c r="E3089" s="6" t="inlineStr">
        <is>
          <t>R1746324</t>
        </is>
      </c>
      <c r="F3089" s="2" t="n">
        <v>44796</v>
      </c>
      <c r="G3089" s="1" t="n"/>
    </row>
    <row r="3090">
      <c r="A3090" s="6" t="n">
        <v>85437</v>
      </c>
      <c r="B3090" s="6" t="inlineStr">
        <is>
          <t>MR. BOSTON BLUE CURACAO</t>
        </is>
      </c>
      <c r="C3090" s="7">
        <f>VLOOKUP(A3090,SizeData!A$2:B$3839,2,FALSE)</f>
        <v/>
      </c>
      <c r="D3090" s="6" t="n">
        <v>1</v>
      </c>
      <c r="E3090" s="6" t="inlineStr">
        <is>
          <t>R1747750</t>
        </is>
      </c>
      <c r="F3090" s="2" t="n">
        <v>44802</v>
      </c>
      <c r="G3090" s="1" t="n"/>
    </row>
    <row r="3091">
      <c r="A3091" s="6" t="n">
        <v>85437</v>
      </c>
      <c r="B3091" s="6" t="inlineStr">
        <is>
          <t>MR. BOSTON BLUE CURACAO</t>
        </is>
      </c>
      <c r="C3091" s="7">
        <f>VLOOKUP(A3091,SizeData!A$2:B$3839,2,FALSE)</f>
        <v/>
      </c>
      <c r="D3091" s="6" t="n">
        <v>2</v>
      </c>
      <c r="E3091" s="6" t="inlineStr">
        <is>
          <t>R1789511</t>
        </is>
      </c>
      <c r="F3091" s="2" t="n">
        <v>44832</v>
      </c>
      <c r="G3091" s="1" t="n"/>
    </row>
    <row r="3092">
      <c r="A3092" s="6" t="n">
        <v>85437</v>
      </c>
      <c r="B3092" s="6" t="inlineStr">
        <is>
          <t>MR. BOSTON BLUE CURACAO</t>
        </is>
      </c>
      <c r="C3092" s="7">
        <f>VLOOKUP(A3092,SizeData!A$2:B$3839,2,FALSE)</f>
        <v/>
      </c>
      <c r="D3092" s="6" t="n">
        <v>1</v>
      </c>
      <c r="E3092" s="6" t="inlineStr">
        <is>
          <t>R1811635</t>
        </is>
      </c>
      <c r="F3092" s="2" t="n">
        <v>44845</v>
      </c>
      <c r="G3092" s="1" t="n"/>
    </row>
    <row r="3093">
      <c r="A3093" s="26" t="n">
        <v>85437</v>
      </c>
      <c r="B3093" s="26" t="inlineStr">
        <is>
          <t>MR. BOSTON BLUE CURACAO</t>
        </is>
      </c>
      <c r="C3093" s="75">
        <f>VLOOKUP(A3093,SizeData!A$2:B$3839,2,FALSE)</f>
        <v/>
      </c>
      <c r="D3093" s="26" t="n">
        <v>1</v>
      </c>
      <c r="E3093" s="26" t="inlineStr">
        <is>
          <t>R1837216</t>
        </is>
      </c>
      <c r="F3093" s="61" t="n">
        <v>44855</v>
      </c>
      <c r="G3093" s="62" t="n"/>
    </row>
    <row r="3094">
      <c r="A3094" s="26" t="n">
        <v>85437</v>
      </c>
      <c r="B3094" s="26" t="inlineStr">
        <is>
          <t>MR. BOSTON BLUE CURACAO</t>
        </is>
      </c>
      <c r="C3094" s="75">
        <f>VLOOKUP(A3094,SizeData!A$2:B$3839,2,FALSE)</f>
        <v/>
      </c>
      <c r="D3094" s="26" t="n">
        <v>1</v>
      </c>
      <c r="E3094" s="26" t="inlineStr">
        <is>
          <t>R1841387</t>
        </is>
      </c>
      <c r="F3094" s="61" t="n">
        <v>44869</v>
      </c>
      <c r="G3094" s="62" t="n"/>
    </row>
    <row r="3095">
      <c r="A3095" s="6" t="n">
        <v>85437</v>
      </c>
      <c r="B3095" s="6" t="inlineStr">
        <is>
          <t>MR. BOSTON BLUE CURACAO</t>
        </is>
      </c>
      <c r="C3095" s="7">
        <f>VLOOKUP(A3095,SizeData!A$2:B$3839,2,FALSE)</f>
        <v/>
      </c>
      <c r="D3095" s="6" t="n">
        <v>1</v>
      </c>
      <c r="E3095" s="6" t="inlineStr">
        <is>
          <t>R1866529</t>
        </is>
      </c>
      <c r="F3095" s="2" t="n">
        <v>44876</v>
      </c>
      <c r="G3095" s="1" t="n"/>
    </row>
    <row r="3096">
      <c r="A3096" s="6" t="n">
        <v>84257</v>
      </c>
      <c r="B3096" s="6" t="inlineStr">
        <is>
          <t>MR. BOSTON BUTTERSCOTCH SCHNAPPS</t>
        </is>
      </c>
      <c r="C3096" s="7">
        <f>VLOOKUP(A3096,SizeData!A$2:B$3839,2,FALSE)</f>
        <v/>
      </c>
      <c r="D3096" s="6" t="n">
        <v>1</v>
      </c>
      <c r="E3096" s="6" t="inlineStr">
        <is>
          <t>R1466461</t>
        </is>
      </c>
      <c r="F3096" s="2" t="n">
        <v>44606</v>
      </c>
      <c r="G3096" s="1" t="n"/>
    </row>
    <row r="3097">
      <c r="A3097" s="6" t="n">
        <v>84257</v>
      </c>
      <c r="B3097" s="6" t="inlineStr">
        <is>
          <t>MR. BOSTON BUTTERSCOTCH SCHNAPPS</t>
        </is>
      </c>
      <c r="C3097" s="7">
        <f>VLOOKUP(A3097,SizeData!A$2:B$3839,2,FALSE)</f>
        <v/>
      </c>
      <c r="D3097" s="6" t="n">
        <v>1</v>
      </c>
      <c r="E3097" s="6" t="inlineStr">
        <is>
          <t>R1718725</t>
        </is>
      </c>
      <c r="F3097" s="2" t="n">
        <v>44777</v>
      </c>
      <c r="G3097" s="1" t="n"/>
    </row>
    <row r="3098">
      <c r="A3098" s="6" t="n">
        <v>76477</v>
      </c>
      <c r="B3098" s="6" t="inlineStr">
        <is>
          <t>MR. BOSTON MELON</t>
        </is>
      </c>
      <c r="C3098" s="7">
        <f>VLOOKUP(A3098,SizeData!A$2:B$3839,2,FALSE)</f>
        <v/>
      </c>
      <c r="D3098" s="6" t="n">
        <v>1</v>
      </c>
      <c r="E3098" s="6" t="inlineStr">
        <is>
          <t>R1547143</t>
        </is>
      </c>
      <c r="F3098" s="2" t="n">
        <v>44655</v>
      </c>
      <c r="G3098" s="1" t="n"/>
    </row>
    <row r="3099">
      <c r="A3099" s="31" t="n">
        <v>76477</v>
      </c>
      <c r="B3099" s="31" t="inlineStr">
        <is>
          <t>MR. BOSTON MELON</t>
        </is>
      </c>
      <c r="C3099" s="7">
        <f>VLOOKUP(A3099,SizeData!A$2:B$3839,2,FALSE)</f>
        <v/>
      </c>
      <c r="D3099" s="31" t="n">
        <v>2</v>
      </c>
      <c r="E3099" s="31" t="inlineStr">
        <is>
          <t>R1661463</t>
        </is>
      </c>
      <c r="F3099" s="33" t="n">
        <v>44735</v>
      </c>
      <c r="G3099" s="34" t="n"/>
    </row>
    <row r="3100">
      <c r="A3100" s="6" t="n">
        <v>76477</v>
      </c>
      <c r="B3100" s="6" t="inlineStr">
        <is>
          <t>MR. BOSTON MELON</t>
        </is>
      </c>
      <c r="C3100" s="7">
        <f>VLOOKUP(A3100,SizeData!A$2:B$3839,2,FALSE)</f>
        <v/>
      </c>
      <c r="D3100" s="6" t="n">
        <v>2</v>
      </c>
      <c r="E3100" s="6" t="inlineStr">
        <is>
          <t>R1732339</t>
        </is>
      </c>
      <c r="F3100" s="2" t="n">
        <v>44786</v>
      </c>
      <c r="G3100" s="1" t="n"/>
    </row>
    <row r="3101">
      <c r="A3101" s="26" t="n">
        <v>76477</v>
      </c>
      <c r="B3101" s="26" t="inlineStr">
        <is>
          <t>MR. BOSTON MELON</t>
        </is>
      </c>
      <c r="C3101" s="7">
        <f>VLOOKUP(A3101,SizeData!A$2:B$3839,2,FALSE)</f>
        <v/>
      </c>
      <c r="D3101" s="26" t="n">
        <v>1</v>
      </c>
      <c r="E3101" s="26" t="inlineStr">
        <is>
          <t>R1732339</t>
        </is>
      </c>
      <c r="F3101" s="61" t="n">
        <v>44786</v>
      </c>
      <c r="G3101" s="62" t="n"/>
    </row>
    <row r="3102">
      <c r="A3102" s="26" t="n">
        <v>76477</v>
      </c>
      <c r="B3102" s="26" t="inlineStr">
        <is>
          <t>MR. BOSTON MELON</t>
        </is>
      </c>
      <c r="C3102" s="75">
        <f>VLOOKUP(A3102,SizeData!A$2:B$3839,2,FALSE)</f>
        <v/>
      </c>
      <c r="D3102" s="26" t="n">
        <v>2</v>
      </c>
      <c r="E3102" s="26" t="inlineStr">
        <is>
          <t>R1793212</t>
        </is>
      </c>
      <c r="F3102" s="61" t="n">
        <v>44833</v>
      </c>
      <c r="G3102" s="62" t="n"/>
    </row>
    <row r="3103">
      <c r="A3103" s="6" t="n">
        <v>84307</v>
      </c>
      <c r="B3103" s="6" t="inlineStr">
        <is>
          <t>MR. BOSTON PEACH SCHNAPPS</t>
        </is>
      </c>
      <c r="C3103" s="7">
        <f>VLOOKUP(A3103,SizeData!A$2:B$3839,2,FALSE)</f>
        <v/>
      </c>
      <c r="D3103" s="6" t="n">
        <v>2</v>
      </c>
      <c r="E3103" s="6" t="inlineStr">
        <is>
          <t>R1373904</t>
        </is>
      </c>
      <c r="F3103" s="2" t="n">
        <v>44545</v>
      </c>
      <c r="G3103" s="1" t="n"/>
    </row>
    <row r="3104">
      <c r="A3104" s="6" t="n">
        <v>84307</v>
      </c>
      <c r="B3104" s="6" t="inlineStr">
        <is>
          <t>MR. BOSTON PEACH SCHNAPPS</t>
        </is>
      </c>
      <c r="C3104" s="7">
        <f>VLOOKUP(A3104,SizeData!A$2:B$3839,2,FALSE)</f>
        <v/>
      </c>
      <c r="D3104" s="6" t="n">
        <v>1</v>
      </c>
      <c r="E3104" s="6" t="inlineStr">
        <is>
          <t>R1437025</t>
        </is>
      </c>
      <c r="F3104" s="2" t="n">
        <v>44587</v>
      </c>
      <c r="G3104" s="1" t="n"/>
    </row>
    <row r="3105">
      <c r="A3105" s="6" t="n">
        <v>84307</v>
      </c>
      <c r="B3105" s="6" t="inlineStr">
        <is>
          <t>MR. BOSTON PEACH SCHNAPPS</t>
        </is>
      </c>
      <c r="C3105" s="7">
        <f>VLOOKUP(A3105,SizeData!A$2:B$3839,2,FALSE)</f>
        <v/>
      </c>
      <c r="D3105" s="6" t="n">
        <v>2</v>
      </c>
      <c r="E3105" s="6" t="inlineStr">
        <is>
          <t>R1597736</t>
        </is>
      </c>
      <c r="F3105" s="2" t="n">
        <v>44686</v>
      </c>
      <c r="G3105" s="1" t="n"/>
    </row>
    <row r="3106">
      <c r="A3106" s="6" t="n">
        <v>84307</v>
      </c>
      <c r="B3106" s="6" t="inlineStr">
        <is>
          <t>MR. BOSTON PEACH SCHNAPPS</t>
        </is>
      </c>
      <c r="C3106" s="7">
        <f>VLOOKUP(A3106,SizeData!A$2:B$3839,2,FALSE)</f>
        <v/>
      </c>
      <c r="D3106" s="6" t="n">
        <v>3</v>
      </c>
      <c r="E3106" s="6" t="inlineStr">
        <is>
          <t>R1740281</t>
        </is>
      </c>
      <c r="F3106" s="2" t="n">
        <v>44788</v>
      </c>
      <c r="G3106" s="1" t="n"/>
    </row>
    <row r="3107">
      <c r="A3107" s="6" t="n">
        <v>84307</v>
      </c>
      <c r="B3107" s="6" t="inlineStr">
        <is>
          <t>MR. BOSTON PEACH SCHNAPPS</t>
        </is>
      </c>
      <c r="C3107" s="7">
        <f>VLOOKUP(A3107,SizeData!A$2:B$3839,2,FALSE)</f>
        <v/>
      </c>
      <c r="D3107" s="6" t="n">
        <v>1</v>
      </c>
      <c r="E3107" s="6" t="inlineStr">
        <is>
          <t>R1751568</t>
        </is>
      </c>
      <c r="F3107" s="2" t="n">
        <v>44799</v>
      </c>
      <c r="G3107" s="1" t="n"/>
    </row>
    <row r="3108">
      <c r="A3108" s="6" t="n">
        <v>84307</v>
      </c>
      <c r="B3108" s="6" t="inlineStr">
        <is>
          <t>MR. BOSTON PEACH SCHNAPPS</t>
        </is>
      </c>
      <c r="C3108" s="7">
        <f>VLOOKUP(A3108,SizeData!A$2:B$3839,2,FALSE)</f>
        <v/>
      </c>
      <c r="D3108" s="6" t="n">
        <v>1</v>
      </c>
      <c r="E3108" s="6" t="inlineStr">
        <is>
          <t>R1827327</t>
        </is>
      </c>
      <c r="F3108" s="2" t="n">
        <v>44856</v>
      </c>
      <c r="G3108" s="1" t="n"/>
    </row>
    <row r="3109">
      <c r="A3109" s="6" t="n">
        <v>84367</v>
      </c>
      <c r="B3109" s="6" t="inlineStr">
        <is>
          <t>MR. BOSTON SOUR APPLE SCHNAPPS</t>
        </is>
      </c>
      <c r="C3109" s="7">
        <f>VLOOKUP(A3109,SizeData!A$2:B$3839,2,FALSE)</f>
        <v/>
      </c>
      <c r="D3109" s="6" t="n">
        <v>1</v>
      </c>
      <c r="E3109" s="6" t="inlineStr">
        <is>
          <t>R1533907</t>
        </is>
      </c>
      <c r="F3109" s="2" t="n">
        <v>44646</v>
      </c>
      <c r="G3109" s="1" t="n"/>
    </row>
    <row r="3110">
      <c r="A3110" s="6" t="n">
        <v>84367</v>
      </c>
      <c r="B3110" s="6" t="inlineStr">
        <is>
          <t>MR. BOSTON SOUR APPLE SCHNAPPS</t>
        </is>
      </c>
      <c r="C3110" s="7">
        <f>VLOOKUP(A3110,SizeData!A$2:B$3839,2,FALSE)</f>
        <v/>
      </c>
      <c r="D3110" s="6" t="n">
        <v>1</v>
      </c>
      <c r="E3110" s="6" t="inlineStr">
        <is>
          <t>R1538126</t>
        </is>
      </c>
      <c r="F3110" s="2" t="n">
        <v>44648</v>
      </c>
      <c r="G3110" s="1" t="n"/>
    </row>
    <row r="3111">
      <c r="A3111" s="6" t="n">
        <v>84367</v>
      </c>
      <c r="B3111" s="6" t="inlineStr">
        <is>
          <t>MR. BOSTON SOUR APPLE SCHNAPPS</t>
        </is>
      </c>
      <c r="C3111" s="7">
        <f>VLOOKUP(A3111,SizeData!A$2:B$3839,2,FALSE)</f>
        <v/>
      </c>
      <c r="D3111" s="6" t="n">
        <v>1</v>
      </c>
      <c r="E3111" s="6" t="inlineStr">
        <is>
          <t>R1683808</t>
        </is>
      </c>
      <c r="F3111" s="2" t="n">
        <v>44754</v>
      </c>
      <c r="G3111" s="1" t="n"/>
    </row>
    <row r="3112">
      <c r="A3112" s="6" t="n">
        <v>84367</v>
      </c>
      <c r="B3112" s="6" t="inlineStr">
        <is>
          <t>MR. BOSTON SOUR APPLE SCHNAPPS</t>
        </is>
      </c>
      <c r="C3112" s="7">
        <f>VLOOKUP(A3112,SizeData!A$2:B$3839,2,FALSE)</f>
        <v/>
      </c>
      <c r="D3112" s="6" t="n">
        <v>1</v>
      </c>
      <c r="E3112" s="6" t="inlineStr">
        <is>
          <t>R1849692</t>
        </is>
      </c>
      <c r="F3112" s="2" t="n">
        <v>44870</v>
      </c>
      <c r="G3112" s="1" t="n"/>
    </row>
    <row r="3113">
      <c r="A3113" s="6" t="n">
        <v>86487</v>
      </c>
      <c r="B3113" s="6" t="inlineStr">
        <is>
          <t>MR. BOSTON TRIPLE SEC</t>
        </is>
      </c>
      <c r="C3113" s="7">
        <f>VLOOKUP(A3113,SizeData!A$2:B$3839,2,FALSE)</f>
        <v/>
      </c>
      <c r="D3113" s="6" t="n">
        <v>1</v>
      </c>
      <c r="E3113" s="6" t="inlineStr">
        <is>
          <t>R1564505</t>
        </is>
      </c>
      <c r="F3113" s="2" t="n">
        <v>44665</v>
      </c>
      <c r="G3113" s="1" t="n"/>
    </row>
    <row r="3114">
      <c r="A3114" s="6" t="n">
        <v>86487</v>
      </c>
      <c r="B3114" s="6" t="inlineStr">
        <is>
          <t>MR. BOSTON TRIPLE SEC</t>
        </is>
      </c>
      <c r="C3114" s="7">
        <f>VLOOKUP(A3114,SizeData!A$2:B$3839,2,FALSE)</f>
        <v/>
      </c>
      <c r="D3114" s="6" t="n">
        <v>2</v>
      </c>
      <c r="E3114" s="6" t="inlineStr">
        <is>
          <t>R1568562</t>
        </is>
      </c>
      <c r="F3114" s="2" t="n">
        <v>44670</v>
      </c>
      <c r="G3114" s="1" t="n"/>
    </row>
    <row r="3115">
      <c r="A3115" s="6" t="n">
        <v>86487</v>
      </c>
      <c r="B3115" s="6" t="inlineStr">
        <is>
          <t>MR. BOSTON TRIPLE SEC</t>
        </is>
      </c>
      <c r="C3115" s="7">
        <f>VLOOKUP(A3115,SizeData!A$2:B$3839,2,FALSE)</f>
        <v/>
      </c>
      <c r="D3115" s="6" t="n">
        <v>1</v>
      </c>
      <c r="E3115" s="6" t="inlineStr">
        <is>
          <t>R1601838</t>
        </is>
      </c>
      <c r="F3115" s="2" t="n">
        <v>44687</v>
      </c>
      <c r="G3115" s="1" t="n"/>
    </row>
    <row r="3116">
      <c r="A3116" s="6" t="n">
        <v>86487</v>
      </c>
      <c r="B3116" s="6" t="inlineStr">
        <is>
          <t>MR. BOSTON TRIPLE SEC</t>
        </is>
      </c>
      <c r="C3116" s="7">
        <f>VLOOKUP(A3116,SizeData!A$2:B$3839,2,FALSE)</f>
        <v/>
      </c>
      <c r="D3116" s="6" t="n">
        <v>1</v>
      </c>
      <c r="E3116" s="6" t="inlineStr">
        <is>
          <t>R1650316</t>
        </is>
      </c>
      <c r="F3116" s="2" t="n">
        <v>44714</v>
      </c>
      <c r="G3116" s="1" t="n"/>
    </row>
    <row r="3117">
      <c r="A3117" s="6" t="n">
        <v>86487</v>
      </c>
      <c r="B3117" s="6" t="inlineStr">
        <is>
          <t>MR. BOSTON TRIPLE SEC</t>
        </is>
      </c>
      <c r="C3117" s="7">
        <f>VLOOKUP(A3117,SizeData!A$2:B$3839,2,FALSE)</f>
        <v/>
      </c>
      <c r="D3117" s="6" t="n">
        <v>2</v>
      </c>
      <c r="E3117" s="6" t="inlineStr">
        <is>
          <t>R1827327</t>
        </is>
      </c>
      <c r="F3117" s="2" t="n">
        <v>44856</v>
      </c>
      <c r="G3117" s="1" t="n"/>
    </row>
    <row r="3118">
      <c r="A3118" s="26" t="n">
        <v>86487</v>
      </c>
      <c r="B3118" s="26" t="inlineStr">
        <is>
          <t>MR. BOSTON TRIPLE SEC</t>
        </is>
      </c>
      <c r="C3118" s="75">
        <f>VLOOKUP(A3118,SizeData!A$2:B$3839,2,FALSE)</f>
        <v/>
      </c>
      <c r="D3118" s="26" t="n">
        <v>1</v>
      </c>
      <c r="E3118" s="26" t="inlineStr">
        <is>
          <t>R1834591</t>
        </is>
      </c>
      <c r="F3118" s="61" t="n">
        <v>44863</v>
      </c>
      <c r="G3118" s="62" t="n"/>
    </row>
    <row r="3119">
      <c r="A3119" s="6" t="n">
        <v>39917</v>
      </c>
      <c r="B3119" s="6" t="inlineStr">
        <is>
          <t>NEW AMSTERDAM APPLE FLAVORED VODKA</t>
        </is>
      </c>
      <c r="C3119" s="7">
        <f>VLOOKUP(A3119,SizeData!A$2:B$3839,2,FALSE)</f>
        <v/>
      </c>
      <c r="D3119" s="6" t="n">
        <v>2</v>
      </c>
      <c r="E3119" s="6" t="inlineStr">
        <is>
          <t>R1647521</t>
        </is>
      </c>
      <c r="F3119" s="2" t="n">
        <v>44723</v>
      </c>
      <c r="G3119" s="1" t="n"/>
    </row>
    <row r="3120">
      <c r="A3120" s="6" t="n">
        <v>39917</v>
      </c>
      <c r="B3120" s="6" t="inlineStr">
        <is>
          <t>NEW AMSTERDAM APPLE FLAVORED VODKA</t>
        </is>
      </c>
      <c r="C3120" s="7">
        <f>VLOOKUP(A3120,SizeData!A$2:B$3839,2,FALSE)</f>
        <v/>
      </c>
      <c r="D3120" s="6" t="n">
        <v>2</v>
      </c>
      <c r="E3120" s="6" t="inlineStr">
        <is>
          <t>R1771175</t>
        </is>
      </c>
      <c r="F3120" s="2" t="n">
        <v>44814</v>
      </c>
      <c r="G3120" s="1" t="n"/>
    </row>
    <row r="3121">
      <c r="A3121" s="6" t="n">
        <v>39917</v>
      </c>
      <c r="B3121" s="6" t="inlineStr">
        <is>
          <t>NEW AMSTERDAM APPLE FLAVORED VODKA</t>
        </is>
      </c>
      <c r="C3121" s="7">
        <f>VLOOKUP(A3121,SizeData!A$2:B$3839,2,FALSE)</f>
        <v/>
      </c>
      <c r="D3121" s="6" t="n">
        <v>1</v>
      </c>
      <c r="E3121" s="6" t="inlineStr">
        <is>
          <t>R1768922</t>
        </is>
      </c>
      <c r="F3121" s="2" t="n">
        <v>44819</v>
      </c>
      <c r="G3121" s="1" t="n"/>
    </row>
    <row r="3122">
      <c r="A3122" s="6" t="n">
        <v>39918</v>
      </c>
      <c r="B3122" s="6" t="inlineStr">
        <is>
          <t>NEW AMSTERDAM APPLE FLAVORED VODKA</t>
        </is>
      </c>
      <c r="C3122" s="7">
        <f>VLOOKUP(A3122,SizeData!A$2:B$3839,2,FALSE)</f>
        <v/>
      </c>
      <c r="D3122" s="6" t="n">
        <v>1</v>
      </c>
      <c r="E3122" s="6" t="inlineStr">
        <is>
          <t>R1413566</t>
        </is>
      </c>
      <c r="F3122" s="2" t="n">
        <v>44580</v>
      </c>
      <c r="G3122" s="1" t="n"/>
    </row>
    <row r="3123">
      <c r="A3123" s="6" t="n">
        <v>39918</v>
      </c>
      <c r="B3123" s="6" t="inlineStr">
        <is>
          <t>NEW AMSTERDAM APPLE FLAVORED VODKA</t>
        </is>
      </c>
      <c r="C3123" s="7">
        <f>VLOOKUP(A3123,SizeData!A$2:B$3839,2,FALSE)</f>
        <v/>
      </c>
      <c r="D3123" s="6" t="n">
        <v>2</v>
      </c>
      <c r="E3123" s="6" t="inlineStr">
        <is>
          <t>R1438141</t>
        </is>
      </c>
      <c r="F3123" s="2" t="n">
        <v>44592</v>
      </c>
      <c r="G3123" s="1" t="n"/>
    </row>
    <row r="3124">
      <c r="A3124" s="6" t="n">
        <v>39918</v>
      </c>
      <c r="B3124" s="6" t="inlineStr">
        <is>
          <t>NEW AMSTERDAM APPLE FLAVORED VODKA</t>
        </is>
      </c>
      <c r="C3124" s="7">
        <f>VLOOKUP(A3124,SizeData!A$2:B$3839,2,FALSE)</f>
        <v/>
      </c>
      <c r="D3124" s="6" t="n">
        <v>1</v>
      </c>
      <c r="E3124" s="6" t="inlineStr">
        <is>
          <t>R1707277</t>
        </is>
      </c>
      <c r="F3124" s="2" t="n">
        <v>44768</v>
      </c>
      <c r="G3124" s="1" t="n"/>
    </row>
    <row r="3125">
      <c r="A3125" s="6" t="n">
        <v>39918</v>
      </c>
      <c r="B3125" s="6" t="inlineStr">
        <is>
          <t>NEW AMSTERDAM APPLE FLAVORED VODKA</t>
        </is>
      </c>
      <c r="C3125" s="7">
        <f>VLOOKUP(A3125,SizeData!A$2:B$3839,2,FALSE)</f>
        <v/>
      </c>
      <c r="D3125" s="6" t="n">
        <v>1</v>
      </c>
      <c r="E3125" s="6" t="inlineStr">
        <is>
          <t>R1772446</t>
        </is>
      </c>
      <c r="F3125" s="2" t="n">
        <v>44821</v>
      </c>
      <c r="G3125" s="1" t="n"/>
    </row>
    <row r="3126">
      <c r="A3126" s="6" t="n">
        <v>39918</v>
      </c>
      <c r="B3126" s="6" t="inlineStr">
        <is>
          <t>NEW AMSTERDAM APPLE FLAVORED VODKA</t>
        </is>
      </c>
      <c r="C3126" s="7">
        <f>VLOOKUP(A3126,SizeData!A$2:B$3839,2,FALSE)</f>
        <v/>
      </c>
      <c r="D3126" s="6" t="n">
        <v>1</v>
      </c>
      <c r="E3126" s="6" t="inlineStr">
        <is>
          <t>R1841934</t>
        </is>
      </c>
      <c r="F3126" s="2" t="n">
        <v>44866</v>
      </c>
      <c r="G3126" s="1" t="n"/>
    </row>
    <row r="3127">
      <c r="A3127" s="6" t="n">
        <v>40288</v>
      </c>
      <c r="B3127" s="6" t="inlineStr">
        <is>
          <t>NEW AMSTERDAM COCONUT FLAVORED VODKA</t>
        </is>
      </c>
      <c r="C3127" s="7">
        <f>VLOOKUP(A3127,SizeData!A$2:B$3839,2,FALSE)</f>
        <v/>
      </c>
      <c r="D3127" s="6" t="n">
        <v>2</v>
      </c>
      <c r="E3127" s="6" t="inlineStr">
        <is>
          <t>R1647521</t>
        </is>
      </c>
      <c r="F3127" s="2" t="n">
        <v>44723</v>
      </c>
      <c r="G3127" s="1" t="n"/>
    </row>
    <row r="3128">
      <c r="A3128" s="6" t="n">
        <v>40288</v>
      </c>
      <c r="B3128" s="6" t="inlineStr">
        <is>
          <t>NEW AMSTERDAM COCONUT FLAVORED VODKA</t>
        </is>
      </c>
      <c r="C3128" s="7">
        <f>VLOOKUP(A3128,SizeData!A$2:B$3839,2,FALSE)</f>
        <v/>
      </c>
      <c r="D3128" s="6" t="n">
        <v>2</v>
      </c>
      <c r="E3128" s="6" t="inlineStr">
        <is>
          <t>R1771175</t>
        </is>
      </c>
      <c r="F3128" s="2" t="n">
        <v>44814</v>
      </c>
      <c r="G3128" s="1" t="n"/>
    </row>
    <row r="3129">
      <c r="A3129" s="26" t="n">
        <v>40288</v>
      </c>
      <c r="B3129" s="26" t="inlineStr">
        <is>
          <t>NEW AMSTERDAM COCONUT FLAVORED VODKA</t>
        </is>
      </c>
      <c r="C3129" s="7">
        <f>VLOOKUP(A3129,SizeData!A$2:B$3839,2,FALSE)</f>
        <v/>
      </c>
      <c r="D3129" s="26" t="n">
        <v>1</v>
      </c>
      <c r="E3129" s="26" t="inlineStr">
        <is>
          <t>R1768922</t>
        </is>
      </c>
      <c r="F3129" s="61" t="n">
        <v>44819</v>
      </c>
      <c r="G3129" s="62" t="n"/>
    </row>
    <row r="3130">
      <c r="A3130" s="6" t="n">
        <v>40289</v>
      </c>
      <c r="B3130" s="6" t="inlineStr">
        <is>
          <t>NEW AMSTERDAM COCONUT FLAVORED VODKA</t>
        </is>
      </c>
      <c r="C3130" s="7">
        <f>VLOOKUP(A3130,SizeData!A$2:B$3839,2,FALSE)</f>
        <v/>
      </c>
      <c r="D3130" s="6" t="n">
        <v>1</v>
      </c>
      <c r="E3130" s="6" t="inlineStr">
        <is>
          <t>R1413566</t>
        </is>
      </c>
      <c r="F3130" s="2" t="n">
        <v>44580</v>
      </c>
      <c r="G3130" s="1" t="n"/>
    </row>
    <row r="3131">
      <c r="A3131" s="6" t="n">
        <v>40291</v>
      </c>
      <c r="B3131" s="6" t="inlineStr">
        <is>
          <t>NEW AMSTERDAM COCONUT FLAVORED VODKA</t>
        </is>
      </c>
      <c r="C3131" s="7">
        <f>VLOOKUP(A3131,SizeData!A$2:B$3839,2,FALSE)</f>
        <v/>
      </c>
      <c r="D3131" s="6" t="n">
        <v>1</v>
      </c>
      <c r="E3131" s="6" t="inlineStr">
        <is>
          <t>R1467109</t>
        </is>
      </c>
      <c r="F3131" s="2" t="n">
        <v>44604</v>
      </c>
      <c r="G3131" s="1" t="n"/>
    </row>
    <row r="3132">
      <c r="A3132" s="6" t="n">
        <v>40291</v>
      </c>
      <c r="B3132" s="6" t="inlineStr">
        <is>
          <t>NEW AMSTERDAM COCONUT FLAVORED VODKA</t>
        </is>
      </c>
      <c r="C3132" s="7">
        <f>VLOOKUP(A3132,SizeData!A$2:B$3839,2,FALSE)</f>
        <v/>
      </c>
      <c r="D3132" s="6" t="n">
        <v>1</v>
      </c>
      <c r="E3132" s="6" t="inlineStr">
        <is>
          <t>R1629067</t>
        </is>
      </c>
      <c r="F3132" s="2" t="n">
        <v>44714</v>
      </c>
      <c r="G3132" s="1" t="n"/>
    </row>
    <row r="3133">
      <c r="A3133" s="6" t="n">
        <v>31472</v>
      </c>
      <c r="B3133" s="6" t="inlineStr">
        <is>
          <t>NEW AMSTERDAM GIN</t>
        </is>
      </c>
      <c r="C3133" s="7">
        <f>VLOOKUP(A3133,SizeData!A$2:B$3839,2,FALSE)</f>
        <v/>
      </c>
      <c r="D3133" s="6" t="n">
        <v>1</v>
      </c>
      <c r="E3133" s="6" t="inlineStr">
        <is>
          <t>R1469832</t>
        </is>
      </c>
      <c r="F3133" s="2" t="n">
        <v>44615</v>
      </c>
      <c r="G3133" s="1" t="n"/>
    </row>
    <row r="3134" customFormat="1" s="14">
      <c r="A3134" s="6" t="n">
        <v>31472</v>
      </c>
      <c r="B3134" s="6" t="inlineStr">
        <is>
          <t>NEW AMSTERDAM GIN</t>
        </is>
      </c>
      <c r="C3134" s="7">
        <f>VLOOKUP(A3134,SizeData!A$2:B$3839,2,FALSE)</f>
        <v/>
      </c>
      <c r="D3134" s="6" t="n">
        <v>2</v>
      </c>
      <c r="E3134" s="6" t="inlineStr">
        <is>
          <t>R1690045</t>
        </is>
      </c>
      <c r="F3134" s="2" t="n">
        <v>44753</v>
      </c>
      <c r="G3134" s="1" t="n"/>
    </row>
    <row r="3135" customFormat="1" s="14">
      <c r="A3135" s="6" t="n">
        <v>31473</v>
      </c>
      <c r="B3135" s="6" t="inlineStr">
        <is>
          <t>NEW AMSTERDAM GIN</t>
        </is>
      </c>
      <c r="C3135" s="7">
        <f>VLOOKUP(A3135,SizeData!A$2:B$3839,2,FALSE)</f>
        <v/>
      </c>
      <c r="D3135" s="6" t="n">
        <v>1</v>
      </c>
      <c r="E3135" s="6" t="inlineStr">
        <is>
          <t>R1383976</t>
        </is>
      </c>
      <c r="F3135" s="2" t="n">
        <v>44561</v>
      </c>
      <c r="G3135" s="1" t="n"/>
    </row>
    <row r="3136" customFormat="1" s="14">
      <c r="A3136" s="6" t="n">
        <v>31473</v>
      </c>
      <c r="B3136" s="6" t="inlineStr">
        <is>
          <t>NEW AMSTERDAM GIN</t>
        </is>
      </c>
      <c r="C3136" s="7">
        <f>VLOOKUP(A3136,SizeData!A$2:B$3839,2,FALSE)</f>
        <v/>
      </c>
      <c r="D3136" s="6" t="n">
        <v>2</v>
      </c>
      <c r="E3136" s="6" t="inlineStr">
        <is>
          <t>R1443217</t>
        </is>
      </c>
      <c r="F3136" s="2" t="n">
        <v>44593</v>
      </c>
      <c r="G3136" s="1" t="n"/>
    </row>
    <row r="3137" customFormat="1" s="14">
      <c r="A3137" s="31" t="n">
        <v>31473</v>
      </c>
      <c r="B3137" s="31" t="inlineStr">
        <is>
          <t>NEW AMSTERDAM GIN</t>
        </is>
      </c>
      <c r="C3137" s="7">
        <f>VLOOKUP(A3137,SizeData!A$2:B$3839,2,FALSE)</f>
        <v/>
      </c>
      <c r="D3137" s="31" t="n">
        <v>2</v>
      </c>
      <c r="E3137" s="31" t="inlineStr">
        <is>
          <t>R1579357</t>
        </is>
      </c>
      <c r="F3137" s="33" t="n">
        <v>44676</v>
      </c>
      <c r="G3137" s="34" t="n"/>
    </row>
    <row r="3138" customFormat="1" s="14">
      <c r="A3138" s="6" t="n">
        <v>31473</v>
      </c>
      <c r="B3138" s="6" t="inlineStr">
        <is>
          <t>NEW AMSTERDAM GIN</t>
        </is>
      </c>
      <c r="C3138" s="7">
        <f>VLOOKUP(A3138,SizeData!A$2:B$3839,2,FALSE)</f>
        <v/>
      </c>
      <c r="D3138" s="6" t="n">
        <v>2</v>
      </c>
      <c r="E3138" s="6" t="inlineStr">
        <is>
          <t>R1585685</t>
        </is>
      </c>
      <c r="F3138" s="2" t="n">
        <v>44679</v>
      </c>
      <c r="G3138" s="1" t="n"/>
    </row>
    <row r="3139" customFormat="1" s="14">
      <c r="A3139" s="6" t="n">
        <v>31474</v>
      </c>
      <c r="B3139" s="6" t="inlineStr">
        <is>
          <t>NEW AMSTERDAM GIN</t>
        </is>
      </c>
      <c r="C3139" s="7">
        <f>VLOOKUP(A3139,SizeData!A$2:B$3839,2,FALSE)</f>
        <v/>
      </c>
      <c r="D3139" s="6" t="n">
        <v>5</v>
      </c>
      <c r="E3139" s="6" t="inlineStr">
        <is>
          <t>R1510986</t>
        </is>
      </c>
      <c r="F3139" s="2" t="n">
        <v>44629</v>
      </c>
      <c r="G3139" s="1" t="n"/>
    </row>
    <row r="3140" customFormat="1" s="14">
      <c r="A3140" s="6" t="n">
        <v>31474</v>
      </c>
      <c r="B3140" s="6" t="inlineStr">
        <is>
          <t>NEW AMSTERDAM GIN</t>
        </is>
      </c>
      <c r="C3140" s="7">
        <f>VLOOKUP(A3140,SizeData!A$2:B$3839,2,FALSE)</f>
        <v/>
      </c>
      <c r="D3140" s="6" t="n">
        <v>4</v>
      </c>
      <c r="E3140" s="6" t="inlineStr">
        <is>
          <t>R1516281</t>
        </is>
      </c>
      <c r="F3140" s="2" t="n">
        <v>44634</v>
      </c>
      <c r="G3140" s="1" t="n"/>
    </row>
    <row r="3141" customFormat="1" s="14">
      <c r="A3141" s="6" t="n">
        <v>31474</v>
      </c>
      <c r="B3141" s="6" t="inlineStr">
        <is>
          <t>NEW AMSTERDAM GIN</t>
        </is>
      </c>
      <c r="C3141" s="7">
        <f>VLOOKUP(A3141,SizeData!A$2:B$3839,2,FALSE)</f>
        <v/>
      </c>
      <c r="D3141" s="6" t="n">
        <v>3</v>
      </c>
      <c r="E3141" s="6" t="inlineStr">
        <is>
          <t>R1527308</t>
        </is>
      </c>
      <c r="F3141" s="2" t="n">
        <v>44639</v>
      </c>
      <c r="G3141" s="1" t="n"/>
    </row>
    <row r="3142">
      <c r="A3142" s="6" t="n">
        <v>31474</v>
      </c>
      <c r="B3142" s="6" t="inlineStr">
        <is>
          <t>NEW AMSTERDAM GIN</t>
        </is>
      </c>
      <c r="C3142" s="7">
        <f>VLOOKUP(A3142,SizeData!A$2:B$3839,2,FALSE)</f>
        <v/>
      </c>
      <c r="D3142" s="6" t="n">
        <v>2</v>
      </c>
      <c r="E3142" s="6" t="inlineStr">
        <is>
          <t>R1550755</t>
        </is>
      </c>
      <c r="F3142" s="2" t="n">
        <v>44650</v>
      </c>
      <c r="G3142" s="1" t="n"/>
    </row>
    <row r="3143">
      <c r="A3143" s="6" t="n">
        <v>31474</v>
      </c>
      <c r="B3143" s="6" t="inlineStr">
        <is>
          <t>NEW AMSTERDAM GIN</t>
        </is>
      </c>
      <c r="C3143" s="7">
        <f>VLOOKUP(A3143,SizeData!A$2:B$3839,2,FALSE)</f>
        <v/>
      </c>
      <c r="D3143" s="6" t="n">
        <v>3</v>
      </c>
      <c r="E3143" s="6" t="inlineStr">
        <is>
          <t>R1644631</t>
        </is>
      </c>
      <c r="F3143" s="2" t="n">
        <v>44725</v>
      </c>
      <c r="G3143" s="1" t="n"/>
    </row>
    <row r="3144">
      <c r="A3144" s="6" t="n">
        <v>31474</v>
      </c>
      <c r="B3144" s="6" t="inlineStr">
        <is>
          <t>NEW AMSTERDAM GIN</t>
        </is>
      </c>
      <c r="C3144" s="7">
        <f>VLOOKUP(A3144,SizeData!A$2:B$3839,2,FALSE)</f>
        <v/>
      </c>
      <c r="D3144" s="6" t="n">
        <v>3</v>
      </c>
      <c r="E3144" s="6" t="inlineStr">
        <is>
          <t>R1644631</t>
        </is>
      </c>
      <c r="F3144" s="2" t="n">
        <v>44725</v>
      </c>
      <c r="G3144" s="1" t="n"/>
    </row>
    <row r="3145">
      <c r="A3145" s="6" t="n">
        <v>31474</v>
      </c>
      <c r="B3145" s="6" t="inlineStr">
        <is>
          <t>NEW AMSTERDAM GIN</t>
        </is>
      </c>
      <c r="C3145" s="7">
        <f>VLOOKUP(A3145,SizeData!A$2:B$3839,2,FALSE)</f>
        <v/>
      </c>
      <c r="D3145" s="6" t="n">
        <v>7</v>
      </c>
      <c r="E3145" s="6" t="inlineStr">
        <is>
          <t>R1648285</t>
        </is>
      </c>
      <c r="F3145" s="2" t="n">
        <v>44729</v>
      </c>
      <c r="G3145" s="1" t="n"/>
    </row>
    <row r="3146">
      <c r="A3146" s="31" t="n">
        <v>31474</v>
      </c>
      <c r="B3146" s="31" t="inlineStr">
        <is>
          <t>NEW AMSTERDAM GIN</t>
        </is>
      </c>
      <c r="C3146" s="7">
        <f>VLOOKUP(A3146,SizeData!A$2:B$3839,2,FALSE)</f>
        <v/>
      </c>
      <c r="D3146" s="31" t="n">
        <v>1</v>
      </c>
      <c r="E3146" s="31" t="inlineStr">
        <is>
          <t>R1662835</t>
        </is>
      </c>
      <c r="F3146" s="33" t="n">
        <v>44740</v>
      </c>
      <c r="G3146" s="34" t="n"/>
    </row>
    <row r="3147">
      <c r="A3147" s="31" t="n">
        <v>31474</v>
      </c>
      <c r="B3147" s="31" t="inlineStr">
        <is>
          <t>NEW AMSTERDAM GIN</t>
        </is>
      </c>
      <c r="C3147" s="7">
        <f>VLOOKUP(A3147,SizeData!A$2:B$3839,2,FALSE)</f>
        <v/>
      </c>
      <c r="D3147" s="31" t="n">
        <v>2</v>
      </c>
      <c r="E3147" s="31" t="inlineStr">
        <is>
          <t>R1662835</t>
        </is>
      </c>
      <c r="F3147" s="33" t="n">
        <v>44740</v>
      </c>
      <c r="G3147" s="34" t="n"/>
    </row>
    <row r="3148">
      <c r="A3148" s="6" t="n">
        <v>31474</v>
      </c>
      <c r="B3148" s="6" t="inlineStr">
        <is>
          <t>NEW AMSTERDAM GIN</t>
        </is>
      </c>
      <c r="C3148" s="7">
        <f>VLOOKUP(A3148,SizeData!A$2:B$3839,2,FALSE)</f>
        <v/>
      </c>
      <c r="D3148" s="6" t="n">
        <v>4</v>
      </c>
      <c r="E3148" s="6" t="inlineStr">
        <is>
          <t>R1767834</t>
        </is>
      </c>
      <c r="F3148" s="2" t="n">
        <v>44817</v>
      </c>
      <c r="G3148" s="1" t="n"/>
    </row>
    <row r="3149">
      <c r="A3149" s="26" t="n">
        <v>31474</v>
      </c>
      <c r="B3149" s="26" t="inlineStr">
        <is>
          <t>NEW AMSTERDAM GIN</t>
        </is>
      </c>
      <c r="C3149" s="75">
        <f>VLOOKUP(A3149,SizeData!A$2:B$3839,2,FALSE)</f>
        <v/>
      </c>
      <c r="D3149" s="26" t="n">
        <v>2</v>
      </c>
      <c r="E3149" s="26" t="inlineStr">
        <is>
          <t>R1796778</t>
        </is>
      </c>
      <c r="F3149" s="61" t="n">
        <v>44834</v>
      </c>
      <c r="G3149" s="62" t="n"/>
    </row>
    <row r="3150">
      <c r="A3150" s="6" t="n">
        <v>31475</v>
      </c>
      <c r="B3150" s="6" t="inlineStr">
        <is>
          <t>NEW AMSTERDAM GIN</t>
        </is>
      </c>
      <c r="C3150" s="7">
        <f>VLOOKUP(A3150,SizeData!A$2:B$3839,2,FALSE)</f>
        <v/>
      </c>
      <c r="D3150" s="6" t="n">
        <v>1</v>
      </c>
      <c r="E3150" s="6" t="inlineStr">
        <is>
          <t>R1496401</t>
        </is>
      </c>
      <c r="F3150" s="2" t="n">
        <v>44621</v>
      </c>
      <c r="G3150" s="1" t="n"/>
    </row>
    <row r="3151">
      <c r="A3151" s="6" t="n">
        <v>31475</v>
      </c>
      <c r="B3151" s="6" t="inlineStr">
        <is>
          <t>NEW AMSTERDAM GIN</t>
        </is>
      </c>
      <c r="C3151" s="7">
        <f>VLOOKUP(A3151,SizeData!A$2:B$3839,2,FALSE)</f>
        <v/>
      </c>
      <c r="D3151" s="6" t="n">
        <v>3</v>
      </c>
      <c r="E3151" s="6" t="inlineStr">
        <is>
          <t>R1525413</t>
        </is>
      </c>
      <c r="F3151" s="2" t="n">
        <v>44631</v>
      </c>
      <c r="G3151" s="1" t="n"/>
    </row>
    <row r="3152">
      <c r="A3152" s="6" t="n">
        <v>31475</v>
      </c>
      <c r="B3152" s="6" t="inlineStr">
        <is>
          <t>NEW AMSTERDAM GIN</t>
        </is>
      </c>
      <c r="C3152" s="7">
        <f>VLOOKUP(A3152,SizeData!A$2:B$3839,2,FALSE)</f>
        <v/>
      </c>
      <c r="D3152" s="6" t="n">
        <v>3</v>
      </c>
      <c r="E3152" s="6" t="inlineStr">
        <is>
          <t>R1527308</t>
        </is>
      </c>
      <c r="F3152" s="2" t="n">
        <v>44639</v>
      </c>
      <c r="G3152" s="1" t="n"/>
    </row>
    <row r="3153">
      <c r="A3153" s="6" t="n">
        <v>40071</v>
      </c>
      <c r="B3153" s="6" t="inlineStr">
        <is>
          <t>NEW AMSTERDAM MANGO FLAVORED VODKA</t>
        </is>
      </c>
      <c r="C3153" s="7">
        <f>VLOOKUP(A3153,SizeData!A$2:B$3839,2,FALSE)</f>
        <v/>
      </c>
      <c r="D3153" s="6" t="n">
        <v>1</v>
      </c>
      <c r="E3153" s="6" t="inlineStr">
        <is>
          <t>R1438141</t>
        </is>
      </c>
      <c r="F3153" s="2" t="n">
        <v>44592</v>
      </c>
      <c r="G3153" s="1" t="n"/>
    </row>
    <row r="3154">
      <c r="A3154" s="6" t="n">
        <v>39280</v>
      </c>
      <c r="B3154" s="6" t="inlineStr">
        <is>
          <t>NEW AMSTERDAM PASSION FRUIT VODKA</t>
        </is>
      </c>
      <c r="C3154" s="7">
        <f>VLOOKUP(A3154,SizeData!A$2:B$3839,2,FALSE)</f>
        <v/>
      </c>
      <c r="D3154" s="6" t="n">
        <v>2</v>
      </c>
      <c r="E3154" s="6" t="inlineStr">
        <is>
          <t>R1695857</t>
        </is>
      </c>
      <c r="F3154" s="2" t="n">
        <v>44758</v>
      </c>
      <c r="G3154" s="1" t="n"/>
    </row>
    <row r="3155">
      <c r="A3155" s="26" t="n">
        <v>39280</v>
      </c>
      <c r="B3155" s="26" t="inlineStr">
        <is>
          <t>NEW AMSTERDAM PASSION FRUIT VODKA</t>
        </is>
      </c>
      <c r="C3155" s="7">
        <f>VLOOKUP(A3155,SizeData!A$2:B$3839,2,FALSE)</f>
        <v/>
      </c>
      <c r="D3155" s="26" t="n">
        <v>1</v>
      </c>
      <c r="E3155" s="26" t="inlineStr">
        <is>
          <t>R1782454</t>
        </is>
      </c>
      <c r="F3155" s="61" t="n">
        <v>44827</v>
      </c>
      <c r="G3155" s="62" t="n"/>
    </row>
    <row r="3156">
      <c r="A3156" s="6" t="n">
        <v>39280</v>
      </c>
      <c r="B3156" s="6" t="inlineStr">
        <is>
          <t>NEW AMSTERDAM PASSION FRUIT VODKA</t>
        </is>
      </c>
      <c r="C3156" s="7">
        <f>VLOOKUP(A3156,SizeData!A$2:B$3839,2,FALSE)</f>
        <v/>
      </c>
      <c r="D3156" s="6" t="n">
        <v>2</v>
      </c>
      <c r="E3156" s="6" t="inlineStr">
        <is>
          <t>R1876430</t>
        </is>
      </c>
      <c r="F3156" s="2" t="n">
        <v>44886</v>
      </c>
      <c r="G3156" s="1" t="n"/>
    </row>
    <row r="3157">
      <c r="A3157" s="6" t="n">
        <v>39282</v>
      </c>
      <c r="B3157" s="6" t="inlineStr">
        <is>
          <t>NEW AMSTERDAM PASSION FRUIT VODKA</t>
        </is>
      </c>
      <c r="C3157" s="7">
        <f>VLOOKUP(A3157,SizeData!A$2:B$3839,2,FALSE)</f>
        <v/>
      </c>
      <c r="D3157" s="6" t="n">
        <v>1</v>
      </c>
      <c r="E3157" s="6" t="inlineStr">
        <is>
          <t>R1751391</t>
        </is>
      </c>
      <c r="F3157" s="2" t="n">
        <v>44805</v>
      </c>
      <c r="G3157" s="1" t="n"/>
    </row>
    <row r="3158">
      <c r="A3158" s="26" t="n">
        <v>39282</v>
      </c>
      <c r="B3158" s="26" t="inlineStr">
        <is>
          <t>NEW AMSTERDAM PASSION FRUIT VODKA</t>
        </is>
      </c>
      <c r="C3158" s="7">
        <f>VLOOKUP(A3158,SizeData!A$2:B$3839,2,FALSE)</f>
        <v/>
      </c>
      <c r="D3158" s="26" t="n">
        <v>4</v>
      </c>
      <c r="E3158" s="26" t="inlineStr">
        <is>
          <t>R1767069</t>
        </is>
      </c>
      <c r="F3158" s="61" t="n">
        <v>44814</v>
      </c>
      <c r="G3158" s="62" t="n"/>
    </row>
    <row r="3159">
      <c r="A3159" s="6" t="n">
        <v>39282</v>
      </c>
      <c r="B3159" s="6" t="inlineStr">
        <is>
          <t>NEW AMSTERDAM PASSION FRUIT VODKA</t>
        </is>
      </c>
      <c r="C3159" s="7">
        <f>VLOOKUP(A3159,SizeData!A$2:B$3839,2,FALSE)</f>
        <v/>
      </c>
      <c r="D3159" s="6" t="n">
        <v>1</v>
      </c>
      <c r="E3159" s="6" t="inlineStr">
        <is>
          <t>R1796778</t>
        </is>
      </c>
      <c r="F3159" s="2" t="n">
        <v>44834</v>
      </c>
      <c r="G3159" s="1" t="n"/>
    </row>
    <row r="3160">
      <c r="A3160" s="6" t="n">
        <v>39283</v>
      </c>
      <c r="B3160" s="6" t="inlineStr">
        <is>
          <t>NEW AMSTERDAM PASSION FRUIT VODKA</t>
        </is>
      </c>
      <c r="C3160" s="7">
        <f>VLOOKUP(A3160,SizeData!A$2:B$3839,2,FALSE)</f>
        <v/>
      </c>
      <c r="D3160" s="6" t="n">
        <v>2</v>
      </c>
      <c r="E3160" s="6" t="inlineStr">
        <is>
          <t>R1672878</t>
        </is>
      </c>
      <c r="F3160" s="2" t="n">
        <v>44743</v>
      </c>
      <c r="G3160" s="1" t="n"/>
    </row>
    <row r="3161">
      <c r="A3161" s="6" t="n">
        <v>39283</v>
      </c>
      <c r="B3161" s="6" t="inlineStr">
        <is>
          <t>NEW AMSTERDAM PASSION FRUIT VODKA</t>
        </is>
      </c>
      <c r="C3161" s="7">
        <f>VLOOKUP(A3161,SizeData!A$2:B$3839,2,FALSE)</f>
        <v/>
      </c>
      <c r="D3161" s="6" t="n">
        <v>2</v>
      </c>
      <c r="E3161" s="6" t="inlineStr">
        <is>
          <t>R1694782</t>
        </is>
      </c>
      <c r="F3161" s="2" t="n">
        <v>44769</v>
      </c>
      <c r="G3161" s="1" t="n"/>
    </row>
    <row r="3162">
      <c r="A3162" s="6" t="n">
        <v>39283</v>
      </c>
      <c r="B3162" s="6" t="inlineStr">
        <is>
          <t>NEW AMSTERDAM PASSION FRUIT VODKA</t>
        </is>
      </c>
      <c r="C3162" s="7">
        <f>VLOOKUP(A3162,SizeData!A$2:B$3839,2,FALSE)</f>
        <v/>
      </c>
      <c r="D3162" s="6" t="n">
        <v>1</v>
      </c>
      <c r="E3162" s="6" t="inlineStr">
        <is>
          <t>R1762606</t>
        </is>
      </c>
      <c r="F3162" s="2" t="n">
        <v>44809</v>
      </c>
      <c r="G3162" s="1" t="n"/>
    </row>
    <row r="3163">
      <c r="A3163" s="6" t="n">
        <v>39283</v>
      </c>
      <c r="B3163" s="6" t="inlineStr">
        <is>
          <t>NEW AMSTERDAM PASSION FRUIT VODKA</t>
        </is>
      </c>
      <c r="C3163" s="7">
        <f>VLOOKUP(A3163,SizeData!A$2:B$3839,2,FALSE)</f>
        <v/>
      </c>
      <c r="D3163" s="6" t="n">
        <v>2</v>
      </c>
      <c r="E3163" s="6" t="inlineStr">
        <is>
          <t>R1777984</t>
        </is>
      </c>
      <c r="F3163" s="2" t="n">
        <v>44826</v>
      </c>
      <c r="G3163" s="1" t="n"/>
    </row>
    <row r="3164">
      <c r="A3164" s="6" t="n">
        <v>39284</v>
      </c>
      <c r="B3164" s="6" t="inlineStr">
        <is>
          <t>NEW AMSTERDAM PASSION FRUIT VODKA</t>
        </is>
      </c>
      <c r="C3164" s="7">
        <f>VLOOKUP(A3164,SizeData!A$2:B$3839,2,FALSE)</f>
        <v/>
      </c>
      <c r="D3164" s="6" t="n">
        <v>2</v>
      </c>
      <c r="E3164" s="6" t="inlineStr">
        <is>
          <t>R1829977</t>
        </is>
      </c>
      <c r="F3164" s="2" t="n">
        <v>44861</v>
      </c>
      <c r="G3164" s="1" t="n"/>
    </row>
    <row r="3165">
      <c r="A3165" s="26" t="n">
        <v>39284</v>
      </c>
      <c r="B3165" s="26" t="inlineStr">
        <is>
          <t>NEW AMSTERDAM PASSION FRUIT VODKA</t>
        </is>
      </c>
      <c r="C3165" s="75">
        <f>VLOOKUP(A3165,SizeData!A$2:B$3839,2,FALSE)</f>
        <v/>
      </c>
      <c r="D3165" s="26" t="n">
        <v>3</v>
      </c>
      <c r="E3165" s="26" t="inlineStr">
        <is>
          <t>R1829977</t>
        </is>
      </c>
      <c r="F3165" s="61" t="n">
        <v>44861</v>
      </c>
      <c r="G3165" s="62" t="n"/>
    </row>
    <row r="3166">
      <c r="A3166" s="6" t="n">
        <v>40313</v>
      </c>
      <c r="B3166" s="6" t="inlineStr">
        <is>
          <t>NEW AMSTERDAM PEACH FLAVORED VODKA</t>
        </is>
      </c>
      <c r="C3166" s="7">
        <f>VLOOKUP(A3166,SizeData!A$2:B$3839,2,FALSE)</f>
        <v/>
      </c>
      <c r="D3166" s="6" t="n">
        <v>2</v>
      </c>
      <c r="E3166" s="6" t="inlineStr">
        <is>
          <t>R1393008</t>
        </is>
      </c>
      <c r="F3166" s="2" t="n">
        <v>44558</v>
      </c>
      <c r="G3166" s="1" t="n"/>
    </row>
    <row r="3167">
      <c r="A3167" s="6" t="n">
        <v>40313</v>
      </c>
      <c r="B3167" s="6" t="inlineStr">
        <is>
          <t>NEW AMSTERDAM PEACH FLAVORED VODKA</t>
        </is>
      </c>
      <c r="C3167" s="7">
        <f>VLOOKUP(A3167,SizeData!A$2:B$3839,2,FALSE)</f>
        <v/>
      </c>
      <c r="D3167" s="6" t="n">
        <v>4</v>
      </c>
      <c r="E3167" s="6" t="inlineStr">
        <is>
          <t>R1471889</t>
        </is>
      </c>
      <c r="F3167" s="2" t="n">
        <v>44611</v>
      </c>
      <c r="G3167" s="1" t="n"/>
    </row>
    <row r="3168">
      <c r="A3168" s="6" t="n">
        <v>40313</v>
      </c>
      <c r="B3168" s="6" t="inlineStr">
        <is>
          <t>NEW AMSTERDAM PEACH FLAVORED VODKA</t>
        </is>
      </c>
      <c r="C3168" s="7">
        <f>VLOOKUP(A3168,SizeData!A$2:B$3839,2,FALSE)</f>
        <v/>
      </c>
      <c r="D3168" s="6" t="n">
        <v>2</v>
      </c>
      <c r="E3168" s="6" t="inlineStr">
        <is>
          <t>R1529670</t>
        </is>
      </c>
      <c r="F3168" s="2" t="n">
        <v>44652</v>
      </c>
      <c r="G3168" s="1" t="n"/>
    </row>
    <row r="3169">
      <c r="A3169" s="6" t="n">
        <v>40313</v>
      </c>
      <c r="B3169" s="6" t="inlineStr">
        <is>
          <t>NEW AMSTERDAM PEACH FLAVORED VODKA</t>
        </is>
      </c>
      <c r="C3169" s="7">
        <f>VLOOKUP(A3169,SizeData!A$2:B$3839,2,FALSE)</f>
        <v/>
      </c>
      <c r="D3169" s="6" t="n">
        <v>1</v>
      </c>
      <c r="E3169" s="6" t="inlineStr">
        <is>
          <t>R1544767</t>
        </is>
      </c>
      <c r="F3169" s="2" t="n">
        <v>44664</v>
      </c>
      <c r="G3169" s="1" t="n"/>
    </row>
    <row r="3170">
      <c r="A3170" s="6" t="n">
        <v>40313</v>
      </c>
      <c r="B3170" s="6" t="inlineStr">
        <is>
          <t>NEW AMSTERDAM PEACH FLAVORED VODKA</t>
        </is>
      </c>
      <c r="C3170" s="7">
        <f>VLOOKUP(A3170,SizeData!A$2:B$3839,2,FALSE)</f>
        <v/>
      </c>
      <c r="D3170" s="6" t="n">
        <v>1</v>
      </c>
      <c r="E3170" s="6" t="inlineStr">
        <is>
          <t>R1544767</t>
        </is>
      </c>
      <c r="F3170" s="2" t="n">
        <v>44664</v>
      </c>
      <c r="G3170" s="1" t="n"/>
    </row>
    <row r="3171">
      <c r="A3171" s="6" t="n">
        <v>40313</v>
      </c>
      <c r="B3171" s="6" t="inlineStr">
        <is>
          <t>NEW AMSTERDAM PEACH FLAVORED VODKA</t>
        </is>
      </c>
      <c r="C3171" s="7">
        <f>VLOOKUP(A3171,SizeData!A$2:B$3839,2,FALSE)</f>
        <v/>
      </c>
      <c r="D3171" s="6" t="n">
        <v>3</v>
      </c>
      <c r="E3171" s="6" t="inlineStr">
        <is>
          <t>R1658911</t>
        </is>
      </c>
      <c r="F3171" s="2" t="n">
        <v>44733</v>
      </c>
      <c r="G3171" s="1" t="n"/>
    </row>
    <row r="3172">
      <c r="A3172" s="6" t="n">
        <v>40313</v>
      </c>
      <c r="B3172" s="6" t="inlineStr">
        <is>
          <t>NEW AMSTERDAM PEACH FLAVORED VODKA</t>
        </is>
      </c>
      <c r="C3172" s="7">
        <f>VLOOKUP(A3172,SizeData!A$2:B$3839,2,FALSE)</f>
        <v/>
      </c>
      <c r="D3172" s="6" t="n">
        <v>5</v>
      </c>
      <c r="E3172" s="6" t="inlineStr">
        <is>
          <t>R1720686</t>
        </is>
      </c>
      <c r="F3172" s="2" t="n">
        <v>44776</v>
      </c>
      <c r="G3172" s="1" t="n"/>
    </row>
    <row r="3173">
      <c r="A3173" s="6" t="n">
        <v>40313</v>
      </c>
      <c r="B3173" s="6" t="inlineStr">
        <is>
          <t>NEW AMSTERDAM PEACH FLAVORED VODKA</t>
        </is>
      </c>
      <c r="C3173" s="7">
        <f>VLOOKUP(A3173,SizeData!A$2:B$3839,2,FALSE)</f>
        <v/>
      </c>
      <c r="D3173" s="6" t="n">
        <v>1</v>
      </c>
      <c r="E3173" s="6" t="inlineStr">
        <is>
          <t>R1811635</t>
        </is>
      </c>
      <c r="F3173" s="2" t="n">
        <v>44845</v>
      </c>
      <c r="G3173" s="1" t="n"/>
    </row>
    <row r="3174">
      <c r="A3174" s="6" t="n">
        <v>40313</v>
      </c>
      <c r="B3174" s="6" t="inlineStr">
        <is>
          <t>NEW AMSTERDAM PEACH FLAVORED VODKA</t>
        </is>
      </c>
      <c r="C3174" s="7">
        <f>VLOOKUP(A3174,SizeData!A$2:B$3839,2,FALSE)</f>
        <v/>
      </c>
      <c r="D3174" s="6" t="n">
        <v>2</v>
      </c>
      <c r="E3174" s="6" t="inlineStr">
        <is>
          <t>R1888886</t>
        </is>
      </c>
      <c r="F3174" s="2" t="n">
        <v>44902</v>
      </c>
      <c r="G3174" s="1" t="n"/>
    </row>
    <row r="3175">
      <c r="A3175" s="6" t="n">
        <v>40313</v>
      </c>
      <c r="B3175" s="6" t="inlineStr">
        <is>
          <t>NEW AMSTERDAM PEACH FLAVORED VODKA</t>
        </is>
      </c>
      <c r="C3175" s="7">
        <f>VLOOKUP(A3175,SizeData!A$2:B$3839,2,FALSE)</f>
        <v/>
      </c>
      <c r="D3175" s="6" t="n">
        <v>1</v>
      </c>
      <c r="E3175" s="6" t="inlineStr">
        <is>
          <t>R1900430</t>
        </is>
      </c>
      <c r="F3175" s="2" t="n">
        <v>44896</v>
      </c>
      <c r="G3175" s="1" t="n"/>
    </row>
    <row r="3176">
      <c r="A3176" s="6" t="n">
        <v>40590</v>
      </c>
      <c r="B3176" s="6" t="inlineStr">
        <is>
          <t>NEW AMSTERDAM PEACH FLAVORED VODKA</t>
        </is>
      </c>
      <c r="C3176" s="7">
        <f>VLOOKUP(A3176,SizeData!A$2:B$3839,2,FALSE)</f>
        <v/>
      </c>
      <c r="D3176" s="6" t="n">
        <v>1</v>
      </c>
      <c r="E3176" s="6" t="inlineStr">
        <is>
          <t>R1528002</t>
        </is>
      </c>
      <c r="F3176" s="2" t="n">
        <v>44641</v>
      </c>
      <c r="G3176" s="1" t="n"/>
    </row>
    <row r="3177">
      <c r="A3177" s="6" t="n">
        <v>40590</v>
      </c>
      <c r="B3177" s="6" t="inlineStr">
        <is>
          <t>NEW AMSTERDAM PEACH FLAVORED VODKA</t>
        </is>
      </c>
      <c r="C3177" s="7">
        <f>VLOOKUP(A3177,SizeData!A$2:B$3839,2,FALSE)</f>
        <v/>
      </c>
      <c r="D3177" s="6" t="n">
        <v>1</v>
      </c>
      <c r="E3177" s="6" t="inlineStr">
        <is>
          <t>R1744308</t>
        </is>
      </c>
      <c r="F3177" s="2" t="n">
        <v>44797</v>
      </c>
      <c r="G3177" s="1" t="n"/>
    </row>
    <row r="3178">
      <c r="A3178" s="6" t="n">
        <v>40590</v>
      </c>
      <c r="B3178" s="6" t="inlineStr">
        <is>
          <t>NEW AMSTERDAM PEACH FLAVORED VODKA</t>
        </is>
      </c>
      <c r="C3178" s="7">
        <f>VLOOKUP(A3178,SizeData!A$2:B$3839,2,FALSE)</f>
        <v/>
      </c>
      <c r="D3178" s="6" t="n">
        <v>1</v>
      </c>
      <c r="E3178" s="6" t="inlineStr">
        <is>
          <t>R1782454</t>
        </is>
      </c>
      <c r="F3178" s="2" t="n">
        <v>44827</v>
      </c>
      <c r="G3178" s="1" t="n"/>
    </row>
    <row r="3179">
      <c r="A3179" s="6" t="n">
        <v>40590</v>
      </c>
      <c r="B3179" s="6" t="inlineStr">
        <is>
          <t>NEW AMSTERDAM PEACH FLAVORED VODKA</t>
        </is>
      </c>
      <c r="C3179" s="7">
        <f>VLOOKUP(A3179,SizeData!A$2:B$3839,2,FALSE)</f>
        <v/>
      </c>
      <c r="D3179" s="6" t="n">
        <v>1</v>
      </c>
      <c r="E3179" s="6" t="inlineStr">
        <is>
          <t>R1905562</t>
        </is>
      </c>
      <c r="F3179" s="2" t="n">
        <v>44902</v>
      </c>
      <c r="G3179" s="1" t="n"/>
    </row>
    <row r="3180">
      <c r="A3180" s="6" t="n">
        <v>40592</v>
      </c>
      <c r="B3180" s="6" t="inlineStr">
        <is>
          <t>NEW AMSTERDAM PEACH FLAVORED VODKA</t>
        </is>
      </c>
      <c r="C3180" s="7">
        <f>VLOOKUP(A3180,SizeData!A$2:B$3839,2,FALSE)</f>
        <v/>
      </c>
      <c r="D3180" s="6" t="n">
        <v>1</v>
      </c>
      <c r="E3180" s="6" t="inlineStr">
        <is>
          <t>R1386761</t>
        </is>
      </c>
      <c r="F3180" s="2" t="n">
        <v>44557</v>
      </c>
      <c r="G3180" s="1" t="n"/>
    </row>
    <row r="3181">
      <c r="A3181" s="6" t="n">
        <v>40592</v>
      </c>
      <c r="B3181" s="6" t="inlineStr">
        <is>
          <t>NEW AMSTERDAM PEACH FLAVORED VODKA</t>
        </is>
      </c>
      <c r="C3181" s="7">
        <f>VLOOKUP(A3181,SizeData!A$2:B$3839,2,FALSE)</f>
        <v/>
      </c>
      <c r="D3181" s="6" t="n">
        <v>1</v>
      </c>
      <c r="E3181" s="6" t="inlineStr">
        <is>
          <t>R1437002</t>
        </is>
      </c>
      <c r="F3181" s="2" t="n">
        <v>44586</v>
      </c>
      <c r="G3181" s="1" t="n"/>
    </row>
    <row r="3182">
      <c r="A3182" s="6" t="n">
        <v>40592</v>
      </c>
      <c r="B3182" s="6" t="inlineStr">
        <is>
          <t>NEW AMSTERDAM PEACH FLAVORED VODKA</t>
        </is>
      </c>
      <c r="C3182" s="7">
        <f>VLOOKUP(A3182,SizeData!A$2:B$3839,2,FALSE)</f>
        <v/>
      </c>
      <c r="D3182" s="6" t="n">
        <v>1</v>
      </c>
      <c r="E3182" s="6" t="inlineStr">
        <is>
          <t>R1486326</t>
        </is>
      </c>
      <c r="F3182" s="2" t="n">
        <v>44616</v>
      </c>
      <c r="G3182" s="1" t="n"/>
    </row>
    <row r="3183">
      <c r="A3183" s="6" t="n">
        <v>40592</v>
      </c>
      <c r="B3183" s="6" t="inlineStr">
        <is>
          <t>NEW AMSTERDAM PEACH FLAVORED VODKA</t>
        </is>
      </c>
      <c r="C3183" s="7">
        <f>VLOOKUP(A3183,SizeData!A$2:B$3839,2,FALSE)</f>
        <v/>
      </c>
      <c r="D3183" s="6" t="n">
        <v>1</v>
      </c>
      <c r="E3183" s="6" t="inlineStr">
        <is>
          <t>R1567357</t>
        </is>
      </c>
      <c r="F3183" s="2" t="n">
        <v>44665</v>
      </c>
      <c r="G3183" s="1" t="n"/>
    </row>
    <row r="3184">
      <c r="A3184" s="6" t="n">
        <v>40592</v>
      </c>
      <c r="B3184" s="6" t="inlineStr">
        <is>
          <t>NEW AMSTERDAM PEACH FLAVORED VODKA</t>
        </is>
      </c>
      <c r="C3184" s="7">
        <f>VLOOKUP(A3184,SizeData!A$2:B$3839,2,FALSE)</f>
        <v/>
      </c>
      <c r="D3184" s="6" t="n">
        <v>2</v>
      </c>
      <c r="E3184" s="6" t="inlineStr">
        <is>
          <t>R1697777</t>
        </is>
      </c>
      <c r="F3184" s="2" t="n">
        <v>44767</v>
      </c>
      <c r="G3184" s="1" t="n"/>
    </row>
    <row r="3185">
      <c r="A3185" s="6" t="n">
        <v>40592</v>
      </c>
      <c r="B3185" s="6" t="inlineStr">
        <is>
          <t>NEW AMSTERDAM PEACH FLAVORED VODKA</t>
        </is>
      </c>
      <c r="C3185" s="7">
        <f>VLOOKUP(A3185,SizeData!A$2:B$3839,2,FALSE)</f>
        <v/>
      </c>
      <c r="D3185" s="6" t="n">
        <v>1</v>
      </c>
      <c r="E3185" s="6" t="inlineStr">
        <is>
          <t>R1768452</t>
        </is>
      </c>
      <c r="F3185" s="2" t="n">
        <v>44818</v>
      </c>
      <c r="G3185" s="1" t="n"/>
    </row>
    <row r="3186">
      <c r="A3186" s="6" t="n">
        <v>40592</v>
      </c>
      <c r="B3186" s="6" t="inlineStr">
        <is>
          <t>NEW AMSTERDAM PEACH FLAVORED VODKA</t>
        </is>
      </c>
      <c r="C3186" s="7">
        <f>VLOOKUP(A3186,SizeData!A$2:B$3839,2,FALSE)</f>
        <v/>
      </c>
      <c r="D3186" s="6" t="n">
        <v>1</v>
      </c>
      <c r="E3186" s="6" t="inlineStr">
        <is>
          <t>R1811635</t>
        </is>
      </c>
      <c r="F3186" s="2" t="n">
        <v>44845</v>
      </c>
      <c r="G3186" s="1" t="n"/>
    </row>
    <row r="3187">
      <c r="A3187" s="6" t="n">
        <v>40592</v>
      </c>
      <c r="B3187" s="6" t="inlineStr">
        <is>
          <t>NEW AMSTERDAM PEACH FLAVORED VODKA</t>
        </is>
      </c>
      <c r="C3187" s="7">
        <f>VLOOKUP(A3187,SizeData!A$2:B$3839,2,FALSE)</f>
        <v/>
      </c>
      <c r="D3187" s="6" t="n">
        <v>1</v>
      </c>
      <c r="E3187" s="6" t="inlineStr">
        <is>
          <t>R1894248</t>
        </is>
      </c>
      <c r="F3187" s="2" t="n">
        <v>44902</v>
      </c>
      <c r="G3187" s="1" t="n"/>
    </row>
    <row r="3188">
      <c r="A3188" s="6" t="n">
        <v>40593</v>
      </c>
      <c r="B3188" s="6" t="inlineStr">
        <is>
          <t>NEW AMSTERDAM PEACH FLAVORED VODKA</t>
        </is>
      </c>
      <c r="C3188" s="7">
        <f>VLOOKUP(A3188,SizeData!A$2:B$3839,2,FALSE)</f>
        <v/>
      </c>
      <c r="D3188" s="6" t="n">
        <v>2</v>
      </c>
      <c r="E3188" s="6" t="inlineStr">
        <is>
          <t>R1496401</t>
        </is>
      </c>
      <c r="F3188" s="2" t="n">
        <v>44621</v>
      </c>
      <c r="G3188" s="1" t="n"/>
    </row>
    <row r="3189">
      <c r="A3189" s="6" t="n">
        <v>40593</v>
      </c>
      <c r="B3189" s="6" t="inlineStr">
        <is>
          <t>NEW AMSTERDAM PEACH FLAVORED VODKA</t>
        </is>
      </c>
      <c r="C3189" s="7">
        <f>VLOOKUP(A3189,SizeData!A$2:B$3839,2,FALSE)</f>
        <v/>
      </c>
      <c r="D3189" s="6" t="n">
        <v>3</v>
      </c>
      <c r="E3189" s="6" t="inlineStr">
        <is>
          <t>R1496619</t>
        </is>
      </c>
      <c r="F3189" s="2" t="n">
        <v>44621</v>
      </c>
      <c r="G3189" s="1" t="n"/>
    </row>
    <row r="3190">
      <c r="A3190" s="6" t="n">
        <v>40593</v>
      </c>
      <c r="B3190" s="6" t="inlineStr">
        <is>
          <t>NEW AMSTERDAM PEACH FLAVORED VODKA</t>
        </is>
      </c>
      <c r="C3190" s="7">
        <f>VLOOKUP(A3190,SizeData!A$2:B$3839,2,FALSE)</f>
        <v/>
      </c>
      <c r="D3190" s="6" t="n">
        <v>2</v>
      </c>
      <c r="E3190" s="6" t="inlineStr">
        <is>
          <t>R1512696</t>
        </is>
      </c>
      <c r="F3190" s="2" t="n">
        <v>44637</v>
      </c>
      <c r="G3190" s="1" t="n"/>
    </row>
    <row r="3191">
      <c r="A3191" s="6" t="n">
        <v>40593</v>
      </c>
      <c r="B3191" s="6" t="inlineStr">
        <is>
          <t>NEW AMSTERDAM PEACH FLAVORED VODKA</t>
        </is>
      </c>
      <c r="C3191" s="7">
        <f>VLOOKUP(A3191,SizeData!A$2:B$3839,2,FALSE)</f>
        <v/>
      </c>
      <c r="D3191" s="6" t="n">
        <v>2</v>
      </c>
      <c r="E3191" s="6" t="inlineStr">
        <is>
          <t>R1550755</t>
        </is>
      </c>
      <c r="F3191" s="2" t="n">
        <v>44650</v>
      </c>
      <c r="G3191" s="1" t="n"/>
    </row>
    <row r="3192">
      <c r="A3192" s="6" t="n">
        <v>40593</v>
      </c>
      <c r="B3192" s="6" t="inlineStr">
        <is>
          <t>NEW AMSTERDAM PEACH FLAVORED VODKA</t>
        </is>
      </c>
      <c r="C3192" s="7">
        <f>VLOOKUP(A3192,SizeData!A$2:B$3839,2,FALSE)</f>
        <v/>
      </c>
      <c r="D3192" s="6" t="n">
        <v>3</v>
      </c>
      <c r="E3192" s="6" t="inlineStr">
        <is>
          <t>R1645266</t>
        </is>
      </c>
      <c r="F3192" s="2" t="n">
        <v>44718</v>
      </c>
      <c r="G3192" s="1" t="n"/>
    </row>
    <row r="3193">
      <c r="A3193" s="31" t="n">
        <v>40593</v>
      </c>
      <c r="B3193" s="31" t="inlineStr">
        <is>
          <t>NEW AMSTERDAM PEACH FLAVORED VODKA</t>
        </is>
      </c>
      <c r="C3193" s="7">
        <f>VLOOKUP(A3193,SizeData!A$2:B$3839,2,FALSE)</f>
        <v/>
      </c>
      <c r="D3193" s="31" t="n">
        <v>2</v>
      </c>
      <c r="E3193" s="31" t="inlineStr">
        <is>
          <t>R1662835</t>
        </is>
      </c>
      <c r="F3193" s="33" t="n">
        <v>44740</v>
      </c>
      <c r="G3193" s="34" t="n"/>
    </row>
    <row r="3194">
      <c r="A3194" s="6" t="n">
        <v>40593</v>
      </c>
      <c r="B3194" s="6" t="inlineStr">
        <is>
          <t>NEW AMSTERDAM PEACH FLAVORED VODKA</t>
        </is>
      </c>
      <c r="C3194" s="7">
        <f>VLOOKUP(A3194,SizeData!A$2:B$3839,2,FALSE)</f>
        <v/>
      </c>
      <c r="D3194" s="6" t="n">
        <v>1</v>
      </c>
      <c r="E3194" s="6" t="inlineStr">
        <is>
          <t>R1668331</t>
        </is>
      </c>
      <c r="F3194" s="2" t="n">
        <v>44742</v>
      </c>
      <c r="G3194" s="1" t="n"/>
    </row>
    <row r="3195">
      <c r="A3195" s="6" t="n">
        <v>40593</v>
      </c>
      <c r="B3195" s="6" t="inlineStr">
        <is>
          <t>NEW AMSTERDAM PEACH FLAVORED VODKA</t>
        </is>
      </c>
      <c r="C3195" s="7">
        <f>VLOOKUP(A3195,SizeData!A$2:B$3839,2,FALSE)</f>
        <v/>
      </c>
      <c r="D3195" s="6" t="n">
        <v>5</v>
      </c>
      <c r="E3195" s="6" t="inlineStr">
        <is>
          <t>R1771175</t>
        </is>
      </c>
      <c r="F3195" s="2" t="n">
        <v>44814</v>
      </c>
      <c r="G3195" s="1" t="n"/>
    </row>
    <row r="3196">
      <c r="A3196" s="6" t="n">
        <v>40594</v>
      </c>
      <c r="B3196" s="6" t="inlineStr">
        <is>
          <t>NEW AMSTERDAM PEACH FLAVORED VODKA</t>
        </is>
      </c>
      <c r="C3196" s="7">
        <f>VLOOKUP(A3196,SizeData!A$2:B$3839,2,FALSE)</f>
        <v/>
      </c>
      <c r="D3196" s="6" t="n">
        <v>1</v>
      </c>
      <c r="E3196" s="6" t="inlineStr">
        <is>
          <t>R1386761</t>
        </is>
      </c>
      <c r="F3196" s="2" t="n">
        <v>44557</v>
      </c>
      <c r="G3196" s="1" t="n"/>
    </row>
    <row r="3197">
      <c r="A3197" s="6" t="n">
        <v>40594</v>
      </c>
      <c r="B3197" s="6" t="inlineStr">
        <is>
          <t>NEW AMSTERDAM PEACH FLAVORED VODKA</t>
        </is>
      </c>
      <c r="C3197" s="7">
        <f>VLOOKUP(A3197,SizeData!A$2:B$3839,2,FALSE)</f>
        <v/>
      </c>
      <c r="D3197" s="6" t="n">
        <v>2</v>
      </c>
      <c r="E3197" s="6" t="inlineStr">
        <is>
          <t>R1438141</t>
        </is>
      </c>
      <c r="F3197" s="2" t="n">
        <v>44592</v>
      </c>
      <c r="G3197" s="1" t="n"/>
    </row>
    <row r="3198">
      <c r="A3198" s="6" t="n">
        <v>40594</v>
      </c>
      <c r="B3198" s="6" t="inlineStr">
        <is>
          <t>NEW AMSTERDAM PEACH FLAVORED VODKA</t>
        </is>
      </c>
      <c r="C3198" s="7">
        <f>VLOOKUP(A3198,SizeData!A$2:B$3839,2,FALSE)</f>
        <v/>
      </c>
      <c r="D3198" s="6" t="n">
        <v>1</v>
      </c>
      <c r="E3198" s="6" t="inlineStr">
        <is>
          <t>R1740281</t>
        </is>
      </c>
      <c r="F3198" s="2" t="n">
        <v>44788</v>
      </c>
      <c r="G3198" s="1" t="n"/>
    </row>
    <row r="3199">
      <c r="A3199" s="6" t="n">
        <v>40594</v>
      </c>
      <c r="B3199" s="6" t="inlineStr">
        <is>
          <t>NEW AMSTERDAM PEACH FLAVORED VODKA</t>
        </is>
      </c>
      <c r="C3199" s="7">
        <f>VLOOKUP(A3199,SizeData!A$2:B$3839,2,FALSE)</f>
        <v/>
      </c>
      <c r="D3199" s="6" t="n">
        <v>1</v>
      </c>
      <c r="E3199" s="6" t="inlineStr">
        <is>
          <t>R1841934</t>
        </is>
      </c>
      <c r="F3199" s="2" t="n">
        <v>44866</v>
      </c>
      <c r="G3199" s="1" t="n"/>
    </row>
    <row r="3200">
      <c r="A3200" s="6" t="n">
        <v>40594</v>
      </c>
      <c r="B3200" s="6" t="inlineStr">
        <is>
          <t>NEW AMSTERDAM PEACH FLAVORED VODKA</t>
        </is>
      </c>
      <c r="C3200" s="7">
        <f>VLOOKUP(A3200,SizeData!A$2:B$3839,2,FALSE)</f>
        <v/>
      </c>
      <c r="D3200" s="6" t="n">
        <v>1</v>
      </c>
      <c r="E3200" s="6" t="inlineStr">
        <is>
          <t>R1866531</t>
        </is>
      </c>
      <c r="F3200" s="2" t="n">
        <v>44877</v>
      </c>
      <c r="G3200" s="1" t="n"/>
    </row>
    <row r="3201">
      <c r="A3201" s="6" t="n">
        <v>40189</v>
      </c>
      <c r="B3201" s="6" t="inlineStr">
        <is>
          <t>NEW AMSTERDAM PINEAPPLE FLAVORED VODKA</t>
        </is>
      </c>
      <c r="C3201" s="7">
        <f>VLOOKUP(A3201,SizeData!A$2:B$3839,2,FALSE)</f>
        <v/>
      </c>
      <c r="D3201" s="6" t="n">
        <v>1</v>
      </c>
      <c r="E3201" s="6" t="inlineStr">
        <is>
          <t>R1412656</t>
        </is>
      </c>
      <c r="F3201" s="2" t="n">
        <v>44574</v>
      </c>
      <c r="G3201" s="1" t="n"/>
    </row>
    <row r="3202">
      <c r="A3202" s="6" t="n">
        <v>40189</v>
      </c>
      <c r="B3202" s="6" t="inlineStr">
        <is>
          <t>NEW AMSTERDAM PINEAPPLE FLAVORED VODKA</t>
        </is>
      </c>
      <c r="C3202" s="7">
        <f>VLOOKUP(A3202,SizeData!A$2:B$3839,2,FALSE)</f>
        <v/>
      </c>
      <c r="D3202" s="6" t="n">
        <v>1</v>
      </c>
      <c r="E3202" s="6" t="inlineStr">
        <is>
          <t>R1744308</t>
        </is>
      </c>
      <c r="F3202" s="2" t="n">
        <v>44797</v>
      </c>
      <c r="G3202" s="1" t="n"/>
    </row>
    <row r="3203">
      <c r="A3203" s="6" t="n">
        <v>40189</v>
      </c>
      <c r="B3203" s="6" t="inlineStr">
        <is>
          <t>NEW AMSTERDAM PINEAPPLE FLAVORED VODKA</t>
        </is>
      </c>
      <c r="C3203" s="7">
        <f>VLOOKUP(A3203,SizeData!A$2:B$3839,2,FALSE)</f>
        <v/>
      </c>
      <c r="D3203" s="6" t="n">
        <v>1</v>
      </c>
      <c r="E3203" s="6" t="inlineStr">
        <is>
          <t>R1782454</t>
        </is>
      </c>
      <c r="F3203" s="2" t="n">
        <v>44827</v>
      </c>
      <c r="G3203" s="1" t="n"/>
    </row>
    <row r="3204">
      <c r="A3204" s="6" t="n">
        <v>40189</v>
      </c>
      <c r="B3204" s="6" t="inlineStr">
        <is>
          <t>NEW AMSTERDAM PINEAPPLE FLAVORED VODKA</t>
        </is>
      </c>
      <c r="C3204" s="7">
        <f>VLOOKUP(A3204,SizeData!A$2:B$3839,2,FALSE)</f>
        <v/>
      </c>
      <c r="D3204" s="6" t="n">
        <v>1</v>
      </c>
      <c r="E3204" s="6" t="inlineStr">
        <is>
          <t>R1905562</t>
        </is>
      </c>
      <c r="F3204" s="2" t="n">
        <v>44902</v>
      </c>
      <c r="G3204" s="1" t="n"/>
    </row>
    <row r="3205">
      <c r="A3205" s="6" t="n">
        <v>40191</v>
      </c>
      <c r="B3205" s="6" t="inlineStr">
        <is>
          <t>NEW AMSTERDAM PINEAPPLE FLAVORED VODKA</t>
        </is>
      </c>
      <c r="C3205" s="7">
        <f>VLOOKUP(A3205,SizeData!A$2:B$3839,2,FALSE)</f>
        <v/>
      </c>
      <c r="D3205" s="6" t="n">
        <v>1</v>
      </c>
      <c r="E3205" s="6" t="inlineStr">
        <is>
          <t>R1397487</t>
        </is>
      </c>
      <c r="F3205" s="2" t="n">
        <v>44567</v>
      </c>
      <c r="G3205" s="1" t="n"/>
    </row>
    <row r="3206">
      <c r="A3206" s="6" t="n">
        <v>40191</v>
      </c>
      <c r="B3206" s="6" t="inlineStr">
        <is>
          <t>NEW AMSTERDAM PINEAPPLE FLAVORED VODKA</t>
        </is>
      </c>
      <c r="C3206" s="7">
        <f>VLOOKUP(A3206,SizeData!A$2:B$3839,2,FALSE)</f>
        <v/>
      </c>
      <c r="D3206" s="6" t="n">
        <v>1</v>
      </c>
      <c r="E3206" s="6" t="inlineStr">
        <is>
          <t>R1452246</t>
        </is>
      </c>
      <c r="F3206" s="2" t="n">
        <v>44600</v>
      </c>
      <c r="G3206" s="1" t="n"/>
    </row>
    <row r="3207">
      <c r="A3207" s="6" t="n">
        <v>40191</v>
      </c>
      <c r="B3207" s="6" t="inlineStr">
        <is>
          <t>NEW AMSTERDAM PINEAPPLE FLAVORED VODKA</t>
        </is>
      </c>
      <c r="C3207" s="7">
        <f>VLOOKUP(A3207,SizeData!A$2:B$3839,2,FALSE)</f>
        <v/>
      </c>
      <c r="D3207" s="6" t="n">
        <v>1</v>
      </c>
      <c r="E3207" s="6" t="inlineStr">
        <is>
          <t>R1486326</t>
        </is>
      </c>
      <c r="F3207" s="2" t="n">
        <v>44616</v>
      </c>
      <c r="G3207" s="1" t="n"/>
    </row>
    <row r="3208">
      <c r="A3208" s="6" t="n">
        <v>40191</v>
      </c>
      <c r="B3208" s="6" t="inlineStr">
        <is>
          <t>NEW AMSTERDAM PINEAPPLE FLAVORED VODKA</t>
        </is>
      </c>
      <c r="C3208" s="7">
        <f>VLOOKUP(A3208,SizeData!A$2:B$3839,2,FALSE)</f>
        <v/>
      </c>
      <c r="D3208" s="6" t="n">
        <v>1</v>
      </c>
      <c r="E3208" s="6" t="inlineStr">
        <is>
          <t>R1630969</t>
        </is>
      </c>
      <c r="F3208" s="2" t="n">
        <v>44711</v>
      </c>
      <c r="G3208" s="1" t="n"/>
    </row>
    <row r="3209">
      <c r="A3209" s="6" t="n">
        <v>40191</v>
      </c>
      <c r="B3209" s="6" t="inlineStr">
        <is>
          <t>NEW AMSTERDAM PINEAPPLE FLAVORED VODKA</t>
        </is>
      </c>
      <c r="C3209" s="7">
        <f>VLOOKUP(A3209,SizeData!A$2:B$3839,2,FALSE)</f>
        <v/>
      </c>
      <c r="D3209" s="6" t="n">
        <v>1</v>
      </c>
      <c r="E3209" s="6" t="inlineStr">
        <is>
          <t>R1649926</t>
        </is>
      </c>
      <c r="F3209" s="2" t="n">
        <v>44727</v>
      </c>
      <c r="G3209" s="1" t="n"/>
    </row>
    <row r="3210">
      <c r="A3210" s="31" t="n">
        <v>40191</v>
      </c>
      <c r="B3210" s="31" t="inlineStr">
        <is>
          <t>NEW AMSTERDAM PINEAPPLE FLAVORED VODKA</t>
        </is>
      </c>
      <c r="C3210" s="7">
        <f>VLOOKUP(A3210,SizeData!A$2:B$3839,2,FALSE)</f>
        <v/>
      </c>
      <c r="D3210" s="31" t="n">
        <v>2</v>
      </c>
      <c r="E3210" s="31" t="inlineStr">
        <is>
          <t>R1662835</t>
        </is>
      </c>
      <c r="F3210" s="33" t="n">
        <v>44740</v>
      </c>
      <c r="G3210" s="34" t="n"/>
    </row>
    <row r="3211">
      <c r="A3211" s="6" t="n">
        <v>40191</v>
      </c>
      <c r="B3211" s="6" t="inlineStr">
        <is>
          <t>NEW AMSTERDAM PINEAPPLE FLAVORED VODKA</t>
        </is>
      </c>
      <c r="C3211" s="7">
        <f>VLOOKUP(A3211,SizeData!A$2:B$3839,2,FALSE)</f>
        <v/>
      </c>
      <c r="D3211" s="6" t="n">
        <v>1</v>
      </c>
      <c r="E3211" s="6" t="inlineStr">
        <is>
          <t>R1728993</t>
        </is>
      </c>
      <c r="F3211" s="2" t="n">
        <v>44790</v>
      </c>
      <c r="G3211" s="1" t="n"/>
    </row>
    <row r="3212">
      <c r="A3212" s="6" t="n">
        <v>40191</v>
      </c>
      <c r="B3212" s="6" t="inlineStr">
        <is>
          <t>NEW AMSTERDAM PINEAPPLE FLAVORED VODKA</t>
        </is>
      </c>
      <c r="C3212" s="7">
        <f>VLOOKUP(A3212,SizeData!A$2:B$3839,2,FALSE)</f>
        <v/>
      </c>
      <c r="D3212" s="6" t="n">
        <v>1</v>
      </c>
      <c r="E3212" s="6" t="inlineStr">
        <is>
          <t>R1811635</t>
        </is>
      </c>
      <c r="F3212" s="2" t="n">
        <v>44845</v>
      </c>
      <c r="G3212" s="1" t="n"/>
    </row>
    <row r="3213">
      <c r="A3213" s="6" t="n">
        <v>40191</v>
      </c>
      <c r="B3213" s="6" t="inlineStr">
        <is>
          <t>NEW AMSTERDAM PINEAPPLE FLAVORED VODKA</t>
        </is>
      </c>
      <c r="C3213" s="7">
        <f>VLOOKUP(A3213,SizeData!A$2:B$3839,2,FALSE)</f>
        <v/>
      </c>
      <c r="D3213" s="6" t="n">
        <v>1</v>
      </c>
      <c r="E3213" s="6" t="inlineStr">
        <is>
          <t>R1825803</t>
        </is>
      </c>
      <c r="F3213" s="2" t="n">
        <v>44847</v>
      </c>
      <c r="G3213" s="1" t="n"/>
    </row>
    <row r="3214">
      <c r="A3214" s="6" t="n">
        <v>40191</v>
      </c>
      <c r="B3214" s="6" t="inlineStr">
        <is>
          <t>NEW AMSTERDAM PINEAPPLE FLAVORED VODKA</t>
        </is>
      </c>
      <c r="C3214" s="7">
        <f>VLOOKUP(A3214,SizeData!A$2:B$3839,2,FALSE)</f>
        <v/>
      </c>
      <c r="D3214" s="6" t="n">
        <v>1</v>
      </c>
      <c r="E3214" s="6" t="inlineStr">
        <is>
          <t>R1894248</t>
        </is>
      </c>
      <c r="F3214" s="2" t="n">
        <v>44902</v>
      </c>
      <c r="G3214" s="1" t="n"/>
    </row>
    <row r="3215">
      <c r="A3215" s="6" t="n">
        <v>40192</v>
      </c>
      <c r="B3215" s="6" t="inlineStr">
        <is>
          <t>NEW AMSTERDAM PINEAPPLE FLAVORED VODKA</t>
        </is>
      </c>
      <c r="C3215" s="7">
        <f>VLOOKUP(A3215,SizeData!A$2:B$3839,2,FALSE)</f>
        <v/>
      </c>
      <c r="D3215" s="6" t="n">
        <v>7</v>
      </c>
      <c r="E3215" s="6" t="inlineStr">
        <is>
          <t>R1386245</t>
        </is>
      </c>
      <c r="F3215" s="2" t="n">
        <v>44557</v>
      </c>
      <c r="G3215" s="1" t="n"/>
    </row>
    <row r="3216">
      <c r="A3216" s="6" t="n">
        <v>40192</v>
      </c>
      <c r="B3216" s="6" t="inlineStr">
        <is>
          <t>NEW AMSTERDAM PINEAPPLE FLAVORED VODKA</t>
        </is>
      </c>
      <c r="C3216" s="7">
        <f>VLOOKUP(A3216,SizeData!A$2:B$3839,2,FALSE)</f>
        <v/>
      </c>
      <c r="D3216" s="6" t="n">
        <v>1</v>
      </c>
      <c r="E3216" s="6" t="inlineStr">
        <is>
          <t>R1525413</t>
        </is>
      </c>
      <c r="F3216" s="2" t="n">
        <v>44631</v>
      </c>
      <c r="G3216" s="1" t="n"/>
    </row>
    <row r="3217">
      <c r="A3217" s="6" t="n">
        <v>40192</v>
      </c>
      <c r="B3217" s="6" t="inlineStr">
        <is>
          <t>NEW AMSTERDAM PINEAPPLE FLAVORED VODKA</t>
        </is>
      </c>
      <c r="C3217" s="7">
        <f>VLOOKUP(A3217,SizeData!A$2:B$3839,2,FALSE)</f>
        <v/>
      </c>
      <c r="D3217" s="6" t="n">
        <v>2</v>
      </c>
      <c r="E3217" s="6" t="inlineStr">
        <is>
          <t>R1512696</t>
        </is>
      </c>
      <c r="F3217" s="2" t="n">
        <v>44637</v>
      </c>
      <c r="G3217" s="1" t="n"/>
    </row>
    <row r="3218">
      <c r="A3218" s="6" t="n">
        <v>40192</v>
      </c>
      <c r="B3218" s="6" t="inlineStr">
        <is>
          <t>NEW AMSTERDAM PINEAPPLE FLAVORED VODKA</t>
        </is>
      </c>
      <c r="C3218" s="7">
        <f>VLOOKUP(A3218,SizeData!A$2:B$3839,2,FALSE)</f>
        <v/>
      </c>
      <c r="D3218" s="6" t="n">
        <v>3</v>
      </c>
      <c r="E3218" s="6" t="inlineStr">
        <is>
          <t>R1645266</t>
        </is>
      </c>
      <c r="F3218" s="2" t="n">
        <v>44718</v>
      </c>
      <c r="G3218" s="1" t="n"/>
    </row>
    <row r="3219">
      <c r="A3219" s="6" t="n">
        <v>40192</v>
      </c>
      <c r="B3219" s="6" t="inlineStr">
        <is>
          <t>NEW AMSTERDAM PINEAPPLE FLAVORED VODKA</t>
        </is>
      </c>
      <c r="C3219" s="7">
        <f>VLOOKUP(A3219,SizeData!A$2:B$3839,2,FALSE)</f>
        <v/>
      </c>
      <c r="D3219" s="6" t="n">
        <v>6</v>
      </c>
      <c r="E3219" s="6" t="inlineStr">
        <is>
          <t>R1771175</t>
        </is>
      </c>
      <c r="F3219" s="2" t="n">
        <v>44814</v>
      </c>
      <c r="G3219" s="1" t="n"/>
    </row>
    <row r="3220">
      <c r="A3220" s="6" t="n">
        <v>40193</v>
      </c>
      <c r="B3220" s="6" t="inlineStr">
        <is>
          <t>NEW AMSTERDAM PINEAPPLE FLAVORED VODKA</t>
        </is>
      </c>
      <c r="C3220" s="7">
        <f>VLOOKUP(A3220,SizeData!A$2:B$3839,2,FALSE)</f>
        <v/>
      </c>
      <c r="D3220" s="6" t="n">
        <v>2</v>
      </c>
      <c r="E3220" s="6" t="inlineStr">
        <is>
          <t>R1438141</t>
        </is>
      </c>
      <c r="F3220" s="2" t="n">
        <v>44592</v>
      </c>
      <c r="G3220" s="1" t="n"/>
    </row>
    <row r="3221">
      <c r="A3221" s="6" t="n">
        <v>40193</v>
      </c>
      <c r="B3221" s="6" t="inlineStr">
        <is>
          <t>NEW AMSTERDAM PINEAPPLE FLAVORED VODKA</t>
        </is>
      </c>
      <c r="C3221" s="7">
        <f>VLOOKUP(A3221,SizeData!A$2:B$3839,2,FALSE)</f>
        <v/>
      </c>
      <c r="D3221" s="6" t="n">
        <v>2</v>
      </c>
      <c r="E3221" s="6" t="inlineStr">
        <is>
          <t>R1703327</t>
        </is>
      </c>
      <c r="F3221" s="2" t="n">
        <v>44768</v>
      </c>
      <c r="G3221" s="1" t="n"/>
    </row>
    <row r="3222">
      <c r="A3222" s="26" t="n">
        <v>40193</v>
      </c>
      <c r="B3222" s="26" t="inlineStr">
        <is>
          <t>NEW AMSTERDAM PINEAPPLE FLAVORED VODKA</t>
        </is>
      </c>
      <c r="C3222" s="75">
        <f>VLOOKUP(A3222,SizeData!A$2:B$3839,2,FALSE)</f>
        <v/>
      </c>
      <c r="D3222" s="26" t="n">
        <v>1</v>
      </c>
      <c r="E3222" s="26" t="inlineStr">
        <is>
          <t>R1841934</t>
        </is>
      </c>
      <c r="F3222" s="61" t="n">
        <v>44866</v>
      </c>
      <c r="G3222" s="62" t="n"/>
    </row>
    <row r="3223">
      <c r="A3223" s="26" t="n">
        <v>40193</v>
      </c>
      <c r="B3223" s="26" t="inlineStr">
        <is>
          <t>NEW AMSTERDAM PINEAPPLE FLAVORED VODKA</t>
        </is>
      </c>
      <c r="C3223" s="75">
        <f>VLOOKUP(A3223,SizeData!A$2:B$3839,2,FALSE)</f>
        <v/>
      </c>
      <c r="D3223" s="26" t="n">
        <v>1</v>
      </c>
      <c r="E3223" s="26" t="inlineStr">
        <is>
          <t>R1866531</t>
        </is>
      </c>
      <c r="F3223" s="61" t="n">
        <v>44877</v>
      </c>
      <c r="G3223" s="62" t="n"/>
    </row>
    <row r="3224">
      <c r="A3224" s="6" t="n">
        <v>40195</v>
      </c>
      <c r="B3224" s="6" t="inlineStr">
        <is>
          <t>NEW AMSTERDAM PINEAPPLE FLAVORED VODKA</t>
        </is>
      </c>
      <c r="C3224" s="7">
        <f>VLOOKUP(A3224,SizeData!A$2:B$3839,2,FALSE)</f>
        <v/>
      </c>
      <c r="D3224" s="6" t="n">
        <v>2</v>
      </c>
      <c r="E3224" s="6" t="inlineStr">
        <is>
          <t>R1383976</t>
        </is>
      </c>
      <c r="F3224" s="2" t="n">
        <v>44561</v>
      </c>
      <c r="G3224" s="1" t="n"/>
    </row>
    <row r="3225">
      <c r="A3225" s="6" t="n">
        <v>40195</v>
      </c>
      <c r="B3225" s="6" t="inlineStr">
        <is>
          <t>NEW AMSTERDAM PINEAPPLE FLAVORED VODKA</t>
        </is>
      </c>
      <c r="C3225" s="7">
        <f>VLOOKUP(A3225,SizeData!A$2:B$3839,2,FALSE)</f>
        <v/>
      </c>
      <c r="D3225" s="6" t="n">
        <v>1</v>
      </c>
      <c r="E3225" s="6" t="inlineStr">
        <is>
          <t>R1472921</t>
        </is>
      </c>
      <c r="F3225" s="2" t="n">
        <v>44613</v>
      </c>
      <c r="G3225" s="1" t="n"/>
    </row>
    <row r="3226">
      <c r="A3226" s="6" t="n">
        <v>40195</v>
      </c>
      <c r="B3226" s="6" t="inlineStr">
        <is>
          <t>NEW AMSTERDAM PINEAPPLE FLAVORED VODKA</t>
        </is>
      </c>
      <c r="C3226" s="7">
        <f>VLOOKUP(A3226,SizeData!A$2:B$3839,2,FALSE)</f>
        <v/>
      </c>
      <c r="D3226" s="6" t="n">
        <v>2</v>
      </c>
      <c r="E3226" s="6" t="inlineStr">
        <is>
          <t>R1529670</t>
        </is>
      </c>
      <c r="F3226" s="2" t="n">
        <v>44652</v>
      </c>
      <c r="G3226" s="1" t="n"/>
    </row>
    <row r="3227">
      <c r="A3227" s="6" t="n">
        <v>40195</v>
      </c>
      <c r="B3227" s="6" t="inlineStr">
        <is>
          <t>NEW AMSTERDAM PINEAPPLE FLAVORED VODKA</t>
        </is>
      </c>
      <c r="C3227" s="7">
        <f>VLOOKUP(A3227,SizeData!A$2:B$3839,2,FALSE)</f>
        <v/>
      </c>
      <c r="D3227" s="6" t="n">
        <v>1</v>
      </c>
      <c r="E3227" s="6" t="inlineStr">
        <is>
          <t>R1587377</t>
        </is>
      </c>
      <c r="F3227" s="2" t="n">
        <v>44681</v>
      </c>
      <c r="G3227" s="1" t="n"/>
    </row>
    <row r="3228">
      <c r="A3228" s="6" t="n">
        <v>40195</v>
      </c>
      <c r="B3228" s="6" t="inlineStr">
        <is>
          <t>NEW AMSTERDAM PINEAPPLE FLAVORED VODKA</t>
        </is>
      </c>
      <c r="C3228" s="7">
        <f>VLOOKUP(A3228,SizeData!A$2:B$3839,2,FALSE)</f>
        <v/>
      </c>
      <c r="D3228" s="6" t="n">
        <v>4</v>
      </c>
      <c r="E3228" s="6" t="inlineStr">
        <is>
          <t>R1713113</t>
        </is>
      </c>
      <c r="F3228" s="2" t="n">
        <v>44774</v>
      </c>
      <c r="G3228" s="1" t="n"/>
    </row>
    <row r="3229">
      <c r="A3229" s="6" t="n">
        <v>40195</v>
      </c>
      <c r="B3229" s="6" t="inlineStr">
        <is>
          <t>NEW AMSTERDAM PINEAPPLE FLAVORED VODKA</t>
        </is>
      </c>
      <c r="C3229" s="7">
        <f>VLOOKUP(A3229,SizeData!A$2:B$3839,2,FALSE)</f>
        <v/>
      </c>
      <c r="D3229" s="6" t="n">
        <v>1</v>
      </c>
      <c r="E3229" s="6" t="inlineStr">
        <is>
          <t>R1744939</t>
        </is>
      </c>
      <c r="F3229" s="2" t="n">
        <v>44804</v>
      </c>
      <c r="G3229" s="1" t="n"/>
    </row>
    <row r="3230">
      <c r="A3230" s="6" t="n">
        <v>40195</v>
      </c>
      <c r="B3230" s="6" t="inlineStr">
        <is>
          <t>NEW AMSTERDAM PINEAPPLE FLAVORED VODKA</t>
        </is>
      </c>
      <c r="C3230" s="7">
        <f>VLOOKUP(A3230,SizeData!A$2:B$3839,2,FALSE)</f>
        <v/>
      </c>
      <c r="D3230" s="6" t="n">
        <v>2</v>
      </c>
      <c r="E3230" s="6" t="inlineStr">
        <is>
          <t>R1832815</t>
        </is>
      </c>
      <c r="F3230" s="2" t="n">
        <v>44855</v>
      </c>
      <c r="G3230" s="1" t="n"/>
    </row>
    <row r="3231">
      <c r="A3231" s="6" t="n">
        <v>40195</v>
      </c>
      <c r="B3231" s="6" t="inlineStr">
        <is>
          <t>NEW AMSTERDAM PINEAPPLE FLAVORED VODKA</t>
        </is>
      </c>
      <c r="C3231" s="7">
        <f>VLOOKUP(A3231,SizeData!A$2:B$3839,2,FALSE)</f>
        <v/>
      </c>
      <c r="D3231" s="6" t="n">
        <v>1</v>
      </c>
      <c r="E3231" s="6" t="inlineStr">
        <is>
          <t>R1888886</t>
        </is>
      </c>
      <c r="F3231" s="2" t="n">
        <v>44902</v>
      </c>
      <c r="G3231" s="1" t="n"/>
    </row>
    <row r="3232">
      <c r="A3232" s="6" t="n">
        <v>40195</v>
      </c>
      <c r="B3232" s="6" t="inlineStr">
        <is>
          <t>NEW AMSTERDAM PINEAPPLE FLAVORED VODKA</t>
        </is>
      </c>
      <c r="C3232" s="7">
        <f>VLOOKUP(A3232,SizeData!A$2:B$3839,2,FALSE)</f>
        <v/>
      </c>
      <c r="D3232" s="6" t="n">
        <v>1</v>
      </c>
      <c r="E3232" s="6" t="inlineStr">
        <is>
          <t>R1900430</t>
        </is>
      </c>
      <c r="F3232" s="2" t="n">
        <v>44896</v>
      </c>
      <c r="G3232" s="1" t="n"/>
    </row>
    <row r="3233">
      <c r="A3233" s="6" t="n">
        <v>40315</v>
      </c>
      <c r="B3233" s="6" t="inlineStr">
        <is>
          <t>NEW AMSTERDAM RED BERRY FLAVORED VODKA</t>
        </is>
      </c>
      <c r="C3233" s="7">
        <f>VLOOKUP(A3233,SizeData!A$2:B$3839,2,FALSE)</f>
        <v/>
      </c>
      <c r="D3233" s="6" t="n">
        <v>4</v>
      </c>
      <c r="E3233" s="6" t="inlineStr">
        <is>
          <t>R1529670</t>
        </is>
      </c>
      <c r="F3233" s="2" t="n">
        <v>44652</v>
      </c>
      <c r="G3233" s="1" t="n"/>
    </row>
    <row r="3234">
      <c r="A3234" s="6" t="n">
        <v>40315</v>
      </c>
      <c r="B3234" s="6" t="inlineStr">
        <is>
          <t>NEW AMSTERDAM RED BERRY FLAVORED VODKA</t>
        </is>
      </c>
      <c r="C3234" s="7">
        <f>VLOOKUP(A3234,SizeData!A$2:B$3839,2,FALSE)</f>
        <v/>
      </c>
      <c r="D3234" s="6" t="n">
        <v>1</v>
      </c>
      <c r="E3234" s="6" t="inlineStr">
        <is>
          <t>R1587377</t>
        </is>
      </c>
      <c r="F3234" s="2" t="n">
        <v>44681</v>
      </c>
      <c r="G3234" s="1" t="n"/>
    </row>
    <row r="3235">
      <c r="A3235" s="26" t="n">
        <v>40315</v>
      </c>
      <c r="B3235" s="26" t="inlineStr">
        <is>
          <t>NEW AMSTERDAM RED BERRY FLAVORED VODKA</t>
        </is>
      </c>
      <c r="C3235" s="7">
        <f>VLOOKUP(A3235,SizeData!A$2:B$3839,2,FALSE)</f>
        <v/>
      </c>
      <c r="D3235" s="26" t="n">
        <v>2</v>
      </c>
      <c r="E3235" s="26" t="inlineStr">
        <is>
          <t>R1725763</t>
        </is>
      </c>
      <c r="F3235" s="61" t="n">
        <v>44776</v>
      </c>
      <c r="G3235" s="62" t="n"/>
    </row>
    <row r="3236">
      <c r="A3236" s="6" t="n">
        <v>40315</v>
      </c>
      <c r="B3236" s="6" t="inlineStr">
        <is>
          <t>NEW AMSTERDAM RED BERRY FLAVORED VODKA</t>
        </is>
      </c>
      <c r="C3236" s="7">
        <f>VLOOKUP(A3236,SizeData!A$2:B$3839,2,FALSE)</f>
        <v/>
      </c>
      <c r="D3236" s="6" t="n">
        <v>1</v>
      </c>
      <c r="E3236" s="6" t="inlineStr">
        <is>
          <t>R1832815</t>
        </is>
      </c>
      <c r="F3236" s="2" t="n">
        <v>44855</v>
      </c>
      <c r="G3236" s="1" t="n"/>
    </row>
    <row r="3237">
      <c r="A3237" s="6" t="n">
        <v>40597</v>
      </c>
      <c r="B3237" s="6" t="inlineStr">
        <is>
          <t>NEW AMSTERDAM RED BERRY FLAVORED VODKA</t>
        </is>
      </c>
      <c r="C3237" s="7">
        <f>VLOOKUP(A3237,SizeData!A$2:B$3839,2,FALSE)</f>
        <v/>
      </c>
      <c r="D3237" s="6" t="n">
        <v>1</v>
      </c>
      <c r="E3237" s="6" t="inlineStr">
        <is>
          <t>R1649926</t>
        </is>
      </c>
      <c r="F3237" s="2" t="n">
        <v>44727</v>
      </c>
      <c r="G3237" s="1" t="n"/>
    </row>
    <row r="3238">
      <c r="A3238" s="26" t="n">
        <v>40597</v>
      </c>
      <c r="B3238" s="26" t="inlineStr">
        <is>
          <t>NEW AMSTERDAM RED BERRY FLAVORED VODKA</t>
        </is>
      </c>
      <c r="C3238" s="7">
        <f>VLOOKUP(A3238,SizeData!A$2:B$3839,2,FALSE)</f>
        <v/>
      </c>
      <c r="D3238" s="26" t="n">
        <v>1</v>
      </c>
      <c r="E3238" s="26" t="inlineStr">
        <is>
          <t>R1725227</t>
        </is>
      </c>
      <c r="F3238" s="61" t="n">
        <v>44779</v>
      </c>
      <c r="G3238" s="62" t="n"/>
    </row>
    <row r="3239">
      <c r="A3239" s="6" t="n">
        <v>40597</v>
      </c>
      <c r="B3239" s="6" t="inlineStr">
        <is>
          <t>NEW AMSTERDAM RED BERRY FLAVORED VODKA</t>
        </is>
      </c>
      <c r="C3239" s="7">
        <f>VLOOKUP(A3239,SizeData!A$2:B$3839,2,FALSE)</f>
        <v/>
      </c>
      <c r="D3239" s="6" t="n">
        <v>1</v>
      </c>
      <c r="E3239" s="6" t="inlineStr">
        <is>
          <t>R1798963</t>
        </is>
      </c>
      <c r="F3239" s="2" t="n">
        <v>44844</v>
      </c>
      <c r="G3239" s="1" t="n"/>
    </row>
    <row r="3240">
      <c r="A3240" s="6" t="n">
        <v>40597</v>
      </c>
      <c r="B3240" s="6" t="inlineStr">
        <is>
          <t>NEW AMSTERDAM RED BERRY FLAVORED VODKA</t>
        </is>
      </c>
      <c r="C3240" s="7">
        <f>VLOOKUP(A3240,SizeData!A$2:B$3839,2,FALSE)</f>
        <v/>
      </c>
      <c r="D3240" s="6" t="n">
        <v>1</v>
      </c>
      <c r="E3240" s="6" t="inlineStr">
        <is>
          <t>R1894248</t>
        </is>
      </c>
      <c r="F3240" s="2" t="n">
        <v>44902</v>
      </c>
      <c r="G3240" s="1" t="n"/>
    </row>
    <row r="3241">
      <c r="A3241" s="6" t="n">
        <v>40598</v>
      </c>
      <c r="B3241" s="6" t="inlineStr">
        <is>
          <t>NEW AMSTERDAM RED BERRY FLAVORED VODKA</t>
        </is>
      </c>
      <c r="C3241" s="7">
        <f>VLOOKUP(A3241,SizeData!A$2:B$3839,2,FALSE)</f>
        <v/>
      </c>
      <c r="D3241" s="6" t="n">
        <v>7</v>
      </c>
      <c r="E3241" s="6" t="inlineStr">
        <is>
          <t>R1375337</t>
        </is>
      </c>
      <c r="F3241" s="2" t="n">
        <v>44543</v>
      </c>
      <c r="G3241" s="1" t="n"/>
    </row>
    <row r="3242">
      <c r="A3242" s="6" t="n">
        <v>40598</v>
      </c>
      <c r="B3242" s="6" t="inlineStr">
        <is>
          <t>NEW AMSTERDAM RED BERRY FLAVORED VODKA</t>
        </is>
      </c>
      <c r="C3242" s="7">
        <f>VLOOKUP(A3242,SizeData!A$2:B$3839,2,FALSE)</f>
        <v/>
      </c>
      <c r="D3242" s="6" t="n">
        <v>2</v>
      </c>
      <c r="E3242" s="6" t="inlineStr">
        <is>
          <t>R1498214</t>
        </is>
      </c>
      <c r="F3242" s="2" t="n">
        <v>44623</v>
      </c>
      <c r="G3242" s="1" t="n"/>
    </row>
    <row r="3243">
      <c r="A3243" s="6" t="n">
        <v>40598</v>
      </c>
      <c r="B3243" s="6" t="inlineStr">
        <is>
          <t>NEW AMSTERDAM RED BERRY FLAVORED VODKA</t>
        </is>
      </c>
      <c r="C3243" s="7">
        <f>VLOOKUP(A3243,SizeData!A$2:B$3839,2,FALSE)</f>
        <v/>
      </c>
      <c r="D3243" s="6" t="n">
        <v>2</v>
      </c>
      <c r="E3243" s="6" t="inlineStr">
        <is>
          <t>R1512696</t>
        </is>
      </c>
      <c r="F3243" s="2" t="n">
        <v>44637</v>
      </c>
      <c r="G3243" s="1" t="n"/>
    </row>
    <row r="3244">
      <c r="A3244" s="6" t="n">
        <v>40598</v>
      </c>
      <c r="B3244" s="6" t="inlineStr">
        <is>
          <t>NEW AMSTERDAM RED BERRY FLAVORED VODKA</t>
        </is>
      </c>
      <c r="C3244" s="7">
        <f>VLOOKUP(A3244,SizeData!A$2:B$3839,2,FALSE)</f>
        <v/>
      </c>
      <c r="D3244" s="6" t="n">
        <v>2</v>
      </c>
      <c r="E3244" s="6" t="inlineStr">
        <is>
          <t>R1644631</t>
        </is>
      </c>
      <c r="F3244" s="2" t="n">
        <v>44725</v>
      </c>
      <c r="G3244" s="1" t="n"/>
    </row>
    <row r="3245">
      <c r="A3245" s="6" t="n">
        <v>40598</v>
      </c>
      <c r="B3245" s="6" t="inlineStr">
        <is>
          <t>NEW AMSTERDAM RED BERRY FLAVORED VODKA</t>
        </is>
      </c>
      <c r="C3245" s="7">
        <f>VLOOKUP(A3245,SizeData!A$2:B$3839,2,FALSE)</f>
        <v/>
      </c>
      <c r="D3245" s="6" t="n">
        <v>1</v>
      </c>
      <c r="E3245" s="6" t="inlineStr">
        <is>
          <t>R1671975</t>
        </is>
      </c>
      <c r="F3245" s="2" t="n">
        <v>44742</v>
      </c>
      <c r="G3245" s="1" t="n"/>
    </row>
    <row r="3246">
      <c r="A3246" s="6" t="n">
        <v>40598</v>
      </c>
      <c r="B3246" s="6" t="inlineStr">
        <is>
          <t>NEW AMSTERDAM RED BERRY FLAVORED VODKA</t>
        </is>
      </c>
      <c r="C3246" s="7">
        <f>VLOOKUP(A3246,SizeData!A$2:B$3839,2,FALSE)</f>
        <v/>
      </c>
      <c r="D3246" s="6" t="n">
        <v>1</v>
      </c>
      <c r="E3246" s="6" t="inlineStr">
        <is>
          <t>R1900430</t>
        </is>
      </c>
      <c r="F3246" s="2" t="n">
        <v>44896</v>
      </c>
      <c r="G3246" s="1" t="n"/>
    </row>
    <row r="3247">
      <c r="A3247" s="6" t="n">
        <v>40599</v>
      </c>
      <c r="B3247" s="6" t="inlineStr">
        <is>
          <t>NEW AMSTERDAM RED BERRY FLAVORED VODKA</t>
        </is>
      </c>
      <c r="C3247" s="7">
        <f>VLOOKUP(A3247,SizeData!A$2:B$3839,2,FALSE)</f>
        <v/>
      </c>
      <c r="D3247" s="6" t="n">
        <v>1</v>
      </c>
      <c r="E3247" s="6" t="inlineStr">
        <is>
          <t>R1587262</t>
        </is>
      </c>
      <c r="F3247" s="2" t="n">
        <v>44682</v>
      </c>
      <c r="G3247" s="1" t="n"/>
    </row>
    <row r="3248">
      <c r="A3248" s="6" t="n">
        <v>40599</v>
      </c>
      <c r="B3248" s="6" t="inlineStr">
        <is>
          <t>NEW AMSTERDAM RED BERRY FLAVORED VODKA</t>
        </is>
      </c>
      <c r="C3248" s="7">
        <f>VLOOKUP(A3248,SizeData!A$2:B$3839,2,FALSE)</f>
        <v/>
      </c>
      <c r="D3248" s="6" t="n">
        <v>2</v>
      </c>
      <c r="E3248" s="6" t="inlineStr">
        <is>
          <t>R1630969</t>
        </is>
      </c>
      <c r="F3248" s="2" t="n">
        <v>44711</v>
      </c>
      <c r="G3248" s="1" t="n"/>
    </row>
    <row r="3249">
      <c r="A3249" s="6" t="n">
        <v>36967</v>
      </c>
      <c r="B3249" s="6" t="inlineStr">
        <is>
          <t>NEW AMSTERDAM VODKA</t>
        </is>
      </c>
      <c r="C3249" s="7">
        <f>VLOOKUP(A3249,SizeData!A$2:B$3839,2,FALSE)</f>
        <v/>
      </c>
      <c r="D3249" s="6" t="n">
        <v>2</v>
      </c>
      <c r="E3249" s="6" t="inlineStr">
        <is>
          <t>R1416309</t>
        </is>
      </c>
      <c r="F3249" s="2" t="n">
        <v>44571</v>
      </c>
      <c r="G3249" s="1" t="n"/>
    </row>
    <row r="3250">
      <c r="A3250" s="6" t="n">
        <v>36967</v>
      </c>
      <c r="B3250" s="6" t="inlineStr">
        <is>
          <t>NEW AMSTERDAM VODKA</t>
        </is>
      </c>
      <c r="C3250" s="7">
        <f>VLOOKUP(A3250,SizeData!A$2:B$3839,2,FALSE)</f>
        <v/>
      </c>
      <c r="D3250" s="6" t="n">
        <v>1</v>
      </c>
      <c r="E3250" s="6" t="inlineStr">
        <is>
          <t>R1447041</t>
        </is>
      </c>
      <c r="F3250" s="2" t="n">
        <v>44595</v>
      </c>
      <c r="G3250" s="1" t="n"/>
    </row>
    <row r="3251">
      <c r="A3251" s="6" t="n">
        <v>36967</v>
      </c>
      <c r="B3251" s="6" t="inlineStr">
        <is>
          <t>NEW AMSTERDAM VODKA</t>
        </is>
      </c>
      <c r="C3251" s="7">
        <f>VLOOKUP(A3251,SizeData!A$2:B$3839,2,FALSE)</f>
        <v/>
      </c>
      <c r="D3251" s="6" t="n">
        <v>1</v>
      </c>
      <c r="E3251" s="6" t="inlineStr">
        <is>
          <t>R1497382</t>
        </is>
      </c>
      <c r="F3251" s="2" t="n">
        <v>44627</v>
      </c>
      <c r="G3251" s="1" t="n"/>
    </row>
    <row r="3252">
      <c r="A3252" s="6" t="n">
        <v>36967</v>
      </c>
      <c r="B3252" s="6" t="inlineStr">
        <is>
          <t>NEW AMSTERDAM VODKA</t>
        </is>
      </c>
      <c r="C3252" s="7">
        <f>VLOOKUP(A3252,SizeData!A$2:B$3839,2,FALSE)</f>
        <v/>
      </c>
      <c r="D3252" s="6" t="n">
        <v>1</v>
      </c>
      <c r="E3252" s="6" t="inlineStr">
        <is>
          <t>R1568192</t>
        </is>
      </c>
      <c r="F3252" s="2" t="n">
        <v>44671</v>
      </c>
      <c r="G3252" s="1" t="n"/>
    </row>
    <row r="3253">
      <c r="A3253" s="6" t="n">
        <v>36967</v>
      </c>
      <c r="B3253" s="6" t="inlineStr">
        <is>
          <t>NEW AMSTERDAM VODKA</t>
        </is>
      </c>
      <c r="C3253" s="7">
        <f>VLOOKUP(A3253,SizeData!A$2:B$3839,2,FALSE)</f>
        <v/>
      </c>
      <c r="D3253" s="6" t="n">
        <v>1</v>
      </c>
      <c r="E3253" s="6" t="inlineStr">
        <is>
          <t>R1658904</t>
        </is>
      </c>
      <c r="F3253" s="2" t="n">
        <v>44732</v>
      </c>
      <c r="G3253" s="1" t="n"/>
    </row>
    <row r="3254">
      <c r="A3254" s="31" t="n">
        <v>36967</v>
      </c>
      <c r="B3254" s="31" t="inlineStr">
        <is>
          <t>NEW AMSTERDAM VODKA</t>
        </is>
      </c>
      <c r="C3254" s="7">
        <f>VLOOKUP(A3254,SizeData!A$2:B$3839,2,FALSE)</f>
        <v/>
      </c>
      <c r="D3254" s="31" t="n">
        <v>2</v>
      </c>
      <c r="E3254" s="31" t="inlineStr">
        <is>
          <t>R1662835</t>
        </is>
      </c>
      <c r="F3254" s="33" t="n">
        <v>44740</v>
      </c>
      <c r="G3254" s="34" t="n"/>
    </row>
    <row r="3255">
      <c r="A3255" s="6" t="n">
        <v>36967</v>
      </c>
      <c r="B3255" s="6" t="inlineStr">
        <is>
          <t>NEW AMSTERDAM VODKA</t>
        </is>
      </c>
      <c r="C3255" s="7">
        <f>VLOOKUP(A3255,SizeData!A$2:B$3839,2,FALSE)</f>
        <v/>
      </c>
      <c r="D3255" s="6" t="n">
        <v>1</v>
      </c>
      <c r="E3255" s="6" t="inlineStr">
        <is>
          <t>R1798963</t>
        </is>
      </c>
      <c r="F3255" s="2" t="n">
        <v>44844</v>
      </c>
      <c r="G3255" s="1" t="n"/>
    </row>
    <row r="3256">
      <c r="A3256" s="6" t="n">
        <v>36969</v>
      </c>
      <c r="B3256" s="6" t="inlineStr">
        <is>
          <t>NEW AMSTERDAM VODKA</t>
        </is>
      </c>
      <c r="C3256" s="7">
        <f>VLOOKUP(A3256,SizeData!A$2:B$3839,2,FALSE)</f>
        <v/>
      </c>
      <c r="D3256" s="6" t="n">
        <v>1</v>
      </c>
      <c r="E3256" s="6" t="inlineStr">
        <is>
          <t>R1386761</t>
        </is>
      </c>
      <c r="F3256" s="2" t="n">
        <v>44557</v>
      </c>
      <c r="G3256" s="1" t="n"/>
    </row>
    <row r="3257">
      <c r="A3257" s="6" t="n">
        <v>36969</v>
      </c>
      <c r="B3257" s="6" t="inlineStr">
        <is>
          <t>NEW AMSTERDAM VODKA</t>
        </is>
      </c>
      <c r="C3257" s="7">
        <f>VLOOKUP(A3257,SizeData!A$2:B$3839,2,FALSE)</f>
        <v/>
      </c>
      <c r="D3257" s="6" t="n">
        <v>5</v>
      </c>
      <c r="E3257" s="6" t="inlineStr">
        <is>
          <t>R1438141</t>
        </is>
      </c>
      <c r="F3257" s="2" t="n">
        <v>44592</v>
      </c>
      <c r="G3257" s="1" t="n"/>
    </row>
    <row r="3258">
      <c r="A3258" s="6" t="n">
        <v>36969</v>
      </c>
      <c r="B3258" s="6" t="inlineStr">
        <is>
          <t>NEW AMSTERDAM VODKA</t>
        </is>
      </c>
      <c r="C3258" s="7">
        <f>VLOOKUP(A3258,SizeData!A$2:B$3839,2,FALSE)</f>
        <v/>
      </c>
      <c r="D3258" s="6" t="n">
        <v>2</v>
      </c>
      <c r="E3258" s="6" t="inlineStr">
        <is>
          <t>R1438141</t>
        </is>
      </c>
      <c r="F3258" s="2" t="n">
        <v>44592</v>
      </c>
      <c r="G3258" s="1" t="n"/>
    </row>
    <row r="3259">
      <c r="A3259" s="6" t="n">
        <v>36969</v>
      </c>
      <c r="B3259" s="6" t="inlineStr">
        <is>
          <t>NEW AMSTERDAM VODKA</t>
        </is>
      </c>
      <c r="C3259" s="7">
        <f>VLOOKUP(A3259,SizeData!A$2:B$3839,2,FALSE)</f>
        <v/>
      </c>
      <c r="D3259" s="6" t="n">
        <v>2</v>
      </c>
      <c r="E3259" s="6" t="inlineStr">
        <is>
          <t>R1684635</t>
        </is>
      </c>
      <c r="F3259" s="2" t="n">
        <v>44761</v>
      </c>
      <c r="G3259" s="1" t="n"/>
    </row>
    <row r="3260">
      <c r="A3260" s="6" t="n">
        <v>36969</v>
      </c>
      <c r="B3260" s="6" t="inlineStr">
        <is>
          <t>NEW AMSTERDAM VODKA</t>
        </is>
      </c>
      <c r="C3260" s="7">
        <f>VLOOKUP(A3260,SizeData!A$2:B$3839,2,FALSE)</f>
        <v/>
      </c>
      <c r="D3260" s="6" t="n">
        <v>2</v>
      </c>
      <c r="E3260" s="6" t="inlineStr">
        <is>
          <t>R1853571</t>
        </is>
      </c>
      <c r="F3260" s="2" t="n">
        <v>44873</v>
      </c>
      <c r="G3260" s="1" t="n"/>
    </row>
    <row r="3261">
      <c r="A3261" s="6" t="n">
        <v>36971</v>
      </c>
      <c r="B3261" s="6" t="inlineStr">
        <is>
          <t>NEW AMSTERDAM VODKA</t>
        </is>
      </c>
      <c r="C3261" s="7">
        <f>VLOOKUP(A3261,SizeData!A$2:B$3839,2,FALSE)</f>
        <v/>
      </c>
      <c r="D3261" s="6" t="n">
        <v>5</v>
      </c>
      <c r="E3261" s="6" t="inlineStr">
        <is>
          <t>R1443217</t>
        </is>
      </c>
      <c r="F3261" s="2" t="n">
        <v>44593</v>
      </c>
      <c r="G3261" s="1" t="n"/>
    </row>
    <row r="3262">
      <c r="A3262" s="6" t="n">
        <v>36971</v>
      </c>
      <c r="B3262" s="6" t="inlineStr">
        <is>
          <t>NEW AMSTERDAM VODKA</t>
        </is>
      </c>
      <c r="C3262" s="7">
        <f>VLOOKUP(A3262,SizeData!A$2:B$3839,2,FALSE)</f>
        <v/>
      </c>
      <c r="D3262" s="6" t="n">
        <v>2</v>
      </c>
      <c r="E3262" s="6" t="inlineStr">
        <is>
          <t>R1447041</t>
        </is>
      </c>
      <c r="F3262" s="2" t="n">
        <v>44595</v>
      </c>
      <c r="G3262" s="1" t="n"/>
    </row>
    <row r="3263">
      <c r="A3263" s="6" t="n">
        <v>36971</v>
      </c>
      <c r="B3263" s="6" t="inlineStr">
        <is>
          <t>NEW AMSTERDAM VODKA</t>
        </is>
      </c>
      <c r="C3263" s="7">
        <f>VLOOKUP(A3263,SizeData!A$2:B$3839,2,FALSE)</f>
        <v/>
      </c>
      <c r="D3263" s="6" t="n">
        <v>4</v>
      </c>
      <c r="E3263" s="6" t="inlineStr">
        <is>
          <t>R1566604</t>
        </is>
      </c>
      <c r="F3263" s="2" t="n">
        <v>44660</v>
      </c>
      <c r="G3263" s="1" t="n"/>
    </row>
    <row r="3264">
      <c r="A3264" s="31" t="n">
        <v>36971</v>
      </c>
      <c r="B3264" s="31" t="inlineStr">
        <is>
          <t>NEW AMSTERDAM VODKA</t>
        </is>
      </c>
      <c r="C3264" s="7">
        <f>VLOOKUP(A3264,SizeData!A$2:B$3839,2,FALSE)</f>
        <v/>
      </c>
      <c r="D3264" s="31" t="n">
        <v>1</v>
      </c>
      <c r="E3264" s="31" t="inlineStr">
        <is>
          <t>R1566604</t>
        </is>
      </c>
      <c r="F3264" s="33" t="n">
        <v>44660</v>
      </c>
      <c r="G3264" s="34" t="n"/>
    </row>
    <row r="3265">
      <c r="A3265" s="6" t="n">
        <v>36971</v>
      </c>
      <c r="B3265" s="6" t="inlineStr">
        <is>
          <t>NEW AMSTERDAM VODKA</t>
        </is>
      </c>
      <c r="C3265" s="7">
        <f>VLOOKUP(A3265,SizeData!A$2:B$3839,2,FALSE)</f>
        <v/>
      </c>
      <c r="D3265" s="6" t="n">
        <v>3</v>
      </c>
      <c r="E3265" s="6" t="inlineStr">
        <is>
          <t>R1629067</t>
        </is>
      </c>
      <c r="F3265" s="2" t="n">
        <v>44714</v>
      </c>
      <c r="G3265" s="1" t="n"/>
    </row>
    <row r="3266">
      <c r="A3266" s="6" t="n">
        <v>36971</v>
      </c>
      <c r="B3266" s="6" t="inlineStr">
        <is>
          <t>NEW AMSTERDAM VODKA</t>
        </is>
      </c>
      <c r="C3266" s="7">
        <f>VLOOKUP(A3266,SizeData!A$2:B$3839,2,FALSE)</f>
        <v/>
      </c>
      <c r="D3266" s="6" t="n">
        <v>3</v>
      </c>
      <c r="E3266" s="6" t="inlineStr">
        <is>
          <t>R1646165</t>
        </is>
      </c>
      <c r="F3266" s="2" t="n">
        <v>44723</v>
      </c>
      <c r="G3266" s="1" t="n"/>
    </row>
    <row r="3267">
      <c r="A3267" s="31" t="n">
        <v>36971</v>
      </c>
      <c r="B3267" s="31" t="inlineStr">
        <is>
          <t>NEW AMSTERDAM VODKA</t>
        </is>
      </c>
      <c r="C3267" s="7">
        <f>VLOOKUP(A3267,SizeData!A$2:B$3839,2,FALSE)</f>
        <v/>
      </c>
      <c r="D3267" s="31" t="n">
        <v>3</v>
      </c>
      <c r="E3267" s="31" t="inlineStr">
        <is>
          <t>R1662835</t>
        </is>
      </c>
      <c r="F3267" s="33" t="n">
        <v>44740</v>
      </c>
      <c r="G3267" s="34" t="n"/>
    </row>
    <row r="3268">
      <c r="A3268" s="6" t="n">
        <v>36971</v>
      </c>
      <c r="B3268" s="6" t="inlineStr">
        <is>
          <t>NEW AMSTERDAM VODKA</t>
        </is>
      </c>
      <c r="C3268" s="7">
        <f>VLOOKUP(A3268,SizeData!A$2:B$3839,2,FALSE)</f>
        <v/>
      </c>
      <c r="D3268" s="6" t="n">
        <v>5</v>
      </c>
      <c r="E3268" s="6" t="inlineStr">
        <is>
          <t>R1704437</t>
        </is>
      </c>
      <c r="F3268" s="2" t="n">
        <v>44775</v>
      </c>
      <c r="G3268" s="1" t="n"/>
    </row>
    <row r="3269">
      <c r="A3269" s="6" t="n">
        <v>36971</v>
      </c>
      <c r="B3269" s="6" t="inlineStr">
        <is>
          <t>NEW AMSTERDAM VODKA</t>
        </is>
      </c>
      <c r="C3269" s="7">
        <f>VLOOKUP(A3269,SizeData!A$2:B$3839,2,FALSE)</f>
        <v/>
      </c>
      <c r="D3269" s="6" t="n">
        <v>1</v>
      </c>
      <c r="E3269" s="6" t="inlineStr">
        <is>
          <t>R1728993</t>
        </is>
      </c>
      <c r="F3269" s="2" t="n">
        <v>44790</v>
      </c>
      <c r="G3269" s="1" t="n"/>
    </row>
    <row r="3270">
      <c r="A3270" s="6" t="n">
        <v>36971</v>
      </c>
      <c r="B3270" s="6" t="inlineStr">
        <is>
          <t>NEW AMSTERDAM VODKA</t>
        </is>
      </c>
      <c r="C3270" s="7">
        <f>VLOOKUP(A3270,SizeData!A$2:B$3839,2,FALSE)</f>
        <v/>
      </c>
      <c r="D3270" s="6" t="n">
        <v>1</v>
      </c>
      <c r="E3270" s="6" t="inlineStr">
        <is>
          <t>R1744939</t>
        </is>
      </c>
      <c r="F3270" s="2" t="n">
        <v>44804</v>
      </c>
      <c r="G3270" s="1" t="n"/>
    </row>
    <row r="3271">
      <c r="A3271" s="6" t="n">
        <v>36971</v>
      </c>
      <c r="B3271" s="6" t="inlineStr">
        <is>
          <t>NEW AMSTERDAM VODKA</t>
        </is>
      </c>
      <c r="C3271" s="7">
        <f>VLOOKUP(A3271,SizeData!A$2:B$3839,2,FALSE)</f>
        <v/>
      </c>
      <c r="D3271" s="6" t="n">
        <v>3</v>
      </c>
      <c r="E3271" s="6" t="inlineStr">
        <is>
          <t>R1811635</t>
        </is>
      </c>
      <c r="F3271" s="2" t="n">
        <v>44845</v>
      </c>
      <c r="G3271" s="1" t="n"/>
    </row>
    <row r="3272">
      <c r="A3272" s="6" t="n">
        <v>36971</v>
      </c>
      <c r="B3272" s="6" t="inlineStr">
        <is>
          <t>NEW AMSTERDAM VODKA</t>
        </is>
      </c>
      <c r="C3272" s="7">
        <f>VLOOKUP(A3272,SizeData!A$2:B$3839,2,FALSE)</f>
        <v/>
      </c>
      <c r="D3272" s="6" t="n">
        <v>3</v>
      </c>
      <c r="E3272" s="6" t="inlineStr">
        <is>
          <t>R1897750</t>
        </is>
      </c>
      <c r="F3272" s="2" t="n">
        <v>44902</v>
      </c>
      <c r="G3272" s="1" t="n"/>
    </row>
    <row r="3273">
      <c r="A3273" s="6" t="n">
        <v>36968</v>
      </c>
      <c r="B3273" s="6" t="inlineStr">
        <is>
          <t>NEW AMSTERDAM VODKA FLASK</t>
        </is>
      </c>
      <c r="C3273" s="7">
        <f>VLOOKUP(A3273,SizeData!A$2:B$3839,2,FALSE)</f>
        <v/>
      </c>
      <c r="D3273" s="6" t="n">
        <v>9</v>
      </c>
      <c r="E3273" s="6" t="inlineStr">
        <is>
          <t>R1364465</t>
        </is>
      </c>
      <c r="F3273" s="2" t="n">
        <v>44545</v>
      </c>
      <c r="G3273" s="1" t="n"/>
    </row>
    <row r="3274">
      <c r="A3274" s="6" t="n">
        <v>36968</v>
      </c>
      <c r="B3274" s="6" t="inlineStr">
        <is>
          <t>NEW AMSTERDAM VODKA FLASK</t>
        </is>
      </c>
      <c r="C3274" s="7">
        <f>VLOOKUP(A3274,SizeData!A$2:B$3839,2,FALSE)</f>
        <v/>
      </c>
      <c r="D3274" s="6" t="n">
        <v>3</v>
      </c>
      <c r="E3274" s="6" t="inlineStr">
        <is>
          <t>R1497382</t>
        </is>
      </c>
      <c r="F3274" s="2" t="n">
        <v>44627</v>
      </c>
      <c r="G3274" s="1" t="n"/>
    </row>
    <row r="3275">
      <c r="A3275" s="6" t="n">
        <v>36968</v>
      </c>
      <c r="B3275" s="6" t="inlineStr">
        <is>
          <t>NEW AMSTERDAM VODKA FLASK</t>
        </is>
      </c>
      <c r="C3275" s="7">
        <f>VLOOKUP(A3275,SizeData!A$2:B$3839,2,FALSE)</f>
        <v/>
      </c>
      <c r="D3275" s="6" t="n">
        <v>3</v>
      </c>
      <c r="E3275" s="6" t="inlineStr">
        <is>
          <t>R1525413</t>
        </is>
      </c>
      <c r="F3275" s="2" t="n">
        <v>44631</v>
      </c>
      <c r="G3275" s="1" t="n"/>
    </row>
    <row r="3276">
      <c r="A3276" s="6" t="n">
        <v>36968</v>
      </c>
      <c r="B3276" s="6" t="inlineStr">
        <is>
          <t>NEW AMSTERDAM VODKA FLASK</t>
        </is>
      </c>
      <c r="C3276" s="7">
        <f>VLOOKUP(A3276,SizeData!A$2:B$3839,2,FALSE)</f>
        <v/>
      </c>
      <c r="D3276" s="6" t="n">
        <v>3</v>
      </c>
      <c r="E3276" s="6" t="inlineStr">
        <is>
          <t>R1512696</t>
        </is>
      </c>
      <c r="F3276" s="2" t="n">
        <v>44637</v>
      </c>
      <c r="G3276" s="1" t="n"/>
    </row>
    <row r="3277">
      <c r="A3277" s="6" t="n">
        <v>36968</v>
      </c>
      <c r="B3277" s="6" t="inlineStr">
        <is>
          <t>NEW AMSTERDAM VODKA FLASK</t>
        </is>
      </c>
      <c r="C3277" s="7">
        <f>VLOOKUP(A3277,SizeData!A$2:B$3839,2,FALSE)</f>
        <v/>
      </c>
      <c r="D3277" s="6" t="n">
        <v>4</v>
      </c>
      <c r="E3277" s="6" t="inlineStr">
        <is>
          <t>R1550755</t>
        </is>
      </c>
      <c r="F3277" s="2" t="n">
        <v>44650</v>
      </c>
      <c r="G3277" s="1" t="n"/>
    </row>
    <row r="3278">
      <c r="A3278" s="6" t="n">
        <v>36968</v>
      </c>
      <c r="B3278" s="6" t="inlineStr">
        <is>
          <t>NEW AMSTERDAM VODKA FLASK</t>
        </is>
      </c>
      <c r="C3278" s="7">
        <f>VLOOKUP(A3278,SizeData!A$2:B$3839,2,FALSE)</f>
        <v/>
      </c>
      <c r="D3278" s="6" t="n">
        <v>10</v>
      </c>
      <c r="E3278" s="6" t="inlineStr">
        <is>
          <t>R1628381</t>
        </is>
      </c>
      <c r="F3278" s="2" t="n">
        <v>44713</v>
      </c>
      <c r="G3278" s="1" t="n"/>
    </row>
    <row r="3279">
      <c r="A3279" s="6" t="n">
        <v>36968</v>
      </c>
      <c r="B3279" s="6" t="inlineStr">
        <is>
          <t>NEW AMSTERDAM VODKA FLASK</t>
        </is>
      </c>
      <c r="C3279" s="7">
        <f>VLOOKUP(A3279,SizeData!A$2:B$3839,2,FALSE)</f>
        <v/>
      </c>
      <c r="D3279" s="6" t="n">
        <v>3</v>
      </c>
      <c r="E3279" s="6" t="inlineStr">
        <is>
          <t>R1629823</t>
        </is>
      </c>
      <c r="F3279" s="2" t="n">
        <v>44713</v>
      </c>
      <c r="G3279" s="1" t="n"/>
    </row>
    <row r="3280">
      <c r="A3280" s="6" t="n">
        <v>36968</v>
      </c>
      <c r="B3280" s="6" t="inlineStr">
        <is>
          <t>NEW AMSTERDAM VODKA FLASK</t>
        </is>
      </c>
      <c r="C3280" s="7">
        <f>VLOOKUP(A3280,SizeData!A$2:B$3839,2,FALSE)</f>
        <v/>
      </c>
      <c r="D3280" s="6" t="n">
        <v>3</v>
      </c>
      <c r="E3280" s="6" t="inlineStr">
        <is>
          <t>R1647521</t>
        </is>
      </c>
      <c r="F3280" s="2" t="n">
        <v>44723</v>
      </c>
      <c r="G3280" s="1" t="n"/>
    </row>
    <row r="3281">
      <c r="A3281" s="6" t="n">
        <v>36968</v>
      </c>
      <c r="B3281" s="6" t="inlineStr">
        <is>
          <t>NEW AMSTERDAM VODKA FLASK</t>
        </is>
      </c>
      <c r="C3281" s="7">
        <f>VLOOKUP(A3281,SizeData!A$2:B$3839,2,FALSE)</f>
        <v/>
      </c>
      <c r="D3281" s="6" t="n">
        <v>3</v>
      </c>
      <c r="E3281" s="6" t="inlineStr">
        <is>
          <t>R1671604</t>
        </is>
      </c>
      <c r="F3281" s="2" t="n">
        <v>44735</v>
      </c>
      <c r="G3281" s="1" t="n"/>
    </row>
    <row r="3282">
      <c r="A3282" s="6" t="n">
        <v>36968</v>
      </c>
      <c r="B3282" s="6" t="inlineStr">
        <is>
          <t>NEW AMSTERDAM VODKA FLASK</t>
        </is>
      </c>
      <c r="C3282" s="7">
        <f>VLOOKUP(A3282,SizeData!A$2:B$3839,2,FALSE)</f>
        <v/>
      </c>
      <c r="D3282" s="6" t="n">
        <v>5</v>
      </c>
      <c r="E3282" s="6" t="inlineStr">
        <is>
          <t>R1759269</t>
        </is>
      </c>
      <c r="F3282" s="2" t="n">
        <v>44811</v>
      </c>
      <c r="G3282" s="1" t="n"/>
    </row>
    <row r="3283">
      <c r="A3283" s="6" t="n">
        <v>36968</v>
      </c>
      <c r="B3283" s="6" t="inlineStr">
        <is>
          <t>NEW AMSTERDAM VODKA FLASK</t>
        </is>
      </c>
      <c r="C3283" s="7">
        <f>VLOOKUP(A3283,SizeData!A$2:B$3839,2,FALSE)</f>
        <v/>
      </c>
      <c r="D3283" s="6" t="n">
        <v>3</v>
      </c>
      <c r="E3283" s="6" t="inlineStr">
        <is>
          <t>R1770681</t>
        </is>
      </c>
      <c r="F3283" s="2" t="n">
        <v>44812</v>
      </c>
      <c r="G3283" s="1" t="n"/>
    </row>
    <row r="3284">
      <c r="A3284" s="6" t="n">
        <v>36968</v>
      </c>
      <c r="B3284" s="6" t="inlineStr">
        <is>
          <t>NEW AMSTERDAM VODKA FLASK</t>
        </is>
      </c>
      <c r="C3284" s="7">
        <f>VLOOKUP(A3284,SizeData!A$2:B$3839,2,FALSE)</f>
        <v/>
      </c>
      <c r="D3284" s="6" t="n">
        <v>2</v>
      </c>
      <c r="E3284" s="6" t="inlineStr">
        <is>
          <t>R1856811</t>
        </is>
      </c>
      <c r="F3284" s="2" t="n">
        <v>44868</v>
      </c>
      <c r="G3284" s="1" t="n"/>
    </row>
    <row r="3285">
      <c r="A3285" s="6" t="n">
        <v>36968</v>
      </c>
      <c r="B3285" s="6" t="inlineStr">
        <is>
          <t>NEW AMSTERDAM VODKA FLASK</t>
        </is>
      </c>
      <c r="C3285" s="7">
        <f>VLOOKUP(A3285,SizeData!A$2:B$3839,2,FALSE)</f>
        <v/>
      </c>
      <c r="D3285" s="6" t="n">
        <v>3</v>
      </c>
      <c r="E3285" s="6" t="inlineStr">
        <is>
          <t>R1900430</t>
        </is>
      </c>
      <c r="F3285" s="2" t="n">
        <v>44896</v>
      </c>
      <c r="G3285" s="1" t="n"/>
    </row>
    <row r="3286">
      <c r="A3286" s="6" t="n">
        <v>36968</v>
      </c>
      <c r="B3286" s="6" t="inlineStr">
        <is>
          <t>NEW AMSTERDAM VODKA FLASK</t>
        </is>
      </c>
      <c r="C3286" s="7">
        <f>VLOOKUP(A3286,SizeData!A$2:B$3839,2,FALSE)</f>
        <v/>
      </c>
      <c r="D3286" s="6" t="n">
        <v>6</v>
      </c>
      <c r="E3286" s="6" t="inlineStr">
        <is>
          <t>R1906226</t>
        </is>
      </c>
      <c r="F3286" s="2" t="n">
        <v>44905</v>
      </c>
      <c r="G3286" s="1" t="n"/>
    </row>
    <row r="3287">
      <c r="A3287" s="6" t="n">
        <v>39382</v>
      </c>
      <c r="B3287" s="6" t="inlineStr">
        <is>
          <t>NEW AMSTERDAM VODKA PINK WHITNEY PINK LEMONADE</t>
        </is>
      </c>
      <c r="C3287" s="7">
        <f>VLOOKUP(A3287,SizeData!A$2:B$3839,2,FALSE)</f>
        <v/>
      </c>
      <c r="D3287" s="6" t="n">
        <v>1</v>
      </c>
      <c r="E3287" s="6" t="inlineStr">
        <is>
          <t>R1386761</t>
        </is>
      </c>
      <c r="F3287" s="2" t="n">
        <v>44557</v>
      </c>
      <c r="G3287" s="1" t="n"/>
    </row>
    <row r="3288">
      <c r="A3288" s="6" t="n">
        <v>39382</v>
      </c>
      <c r="B3288" s="6" t="inlineStr">
        <is>
          <t>NEW AMSTERDAM VODKA PINK WHITNEY PINK LEMONADE</t>
        </is>
      </c>
      <c r="C3288" s="7">
        <f>VLOOKUP(A3288,SizeData!A$2:B$3839,2,FALSE)</f>
        <v/>
      </c>
      <c r="D3288" s="6" t="n">
        <v>1</v>
      </c>
      <c r="E3288" s="6" t="inlineStr">
        <is>
          <t>R1386761</t>
        </is>
      </c>
      <c r="F3288" s="2" t="n">
        <v>44557</v>
      </c>
      <c r="G3288" s="1" t="n"/>
    </row>
    <row r="3289">
      <c r="A3289" s="6" t="n">
        <v>39382</v>
      </c>
      <c r="B3289" s="6" t="inlineStr">
        <is>
          <t>NEW AMSTERDAM VODKA PINK WHITNEY PINK LEMONADE</t>
        </is>
      </c>
      <c r="C3289" s="7">
        <f>VLOOKUP(A3289,SizeData!A$2:B$3839,2,FALSE)</f>
        <v/>
      </c>
      <c r="D3289" s="6" t="n">
        <v>3</v>
      </c>
      <c r="E3289" s="6" t="inlineStr">
        <is>
          <t>R1496401</t>
        </is>
      </c>
      <c r="F3289" s="2" t="n">
        <v>44621</v>
      </c>
      <c r="G3289" s="1" t="n"/>
    </row>
    <row r="3290">
      <c r="A3290" s="6" t="n">
        <v>39382</v>
      </c>
      <c r="B3290" s="6" t="inlineStr">
        <is>
          <t>NEW AMSTERDAM VODKA PINK WHITNEY PINK LEMONADE</t>
        </is>
      </c>
      <c r="C3290" s="7">
        <f>VLOOKUP(A3290,SizeData!A$2:B$3839,2,FALSE)</f>
        <v/>
      </c>
      <c r="D3290" s="6" t="n">
        <v>2</v>
      </c>
      <c r="E3290" s="6" t="inlineStr">
        <is>
          <t>R1525413</t>
        </is>
      </c>
      <c r="F3290" s="2" t="n">
        <v>44631</v>
      </c>
      <c r="G3290" s="1" t="n"/>
    </row>
    <row r="3291">
      <c r="A3291" s="6" t="n">
        <v>39382</v>
      </c>
      <c r="B3291" s="6" t="inlineStr">
        <is>
          <t>NEW AMSTERDAM VODKA PINK WHITNEY PINK LEMONADE</t>
        </is>
      </c>
      <c r="C3291" s="7">
        <f>VLOOKUP(A3291,SizeData!A$2:B$3839,2,FALSE)</f>
        <v/>
      </c>
      <c r="D3291" s="6" t="n">
        <v>3</v>
      </c>
      <c r="E3291" s="6" t="inlineStr">
        <is>
          <t>R1512696</t>
        </is>
      </c>
      <c r="F3291" s="2" t="n">
        <v>44637</v>
      </c>
      <c r="G3291" s="1" t="n"/>
    </row>
    <row r="3292">
      <c r="A3292" s="6" t="n">
        <v>39382</v>
      </c>
      <c r="B3292" s="6" t="inlineStr">
        <is>
          <t>NEW AMSTERDAM VODKA PINK WHITNEY PINK LEMONADE</t>
        </is>
      </c>
      <c r="C3292" s="7">
        <f>VLOOKUP(A3292,SizeData!A$2:B$3839,2,FALSE)</f>
        <v/>
      </c>
      <c r="D3292" s="6" t="n">
        <v>2</v>
      </c>
      <c r="E3292" s="6" t="inlineStr">
        <is>
          <t>R1550755</t>
        </is>
      </c>
      <c r="F3292" s="2" t="n">
        <v>44650</v>
      </c>
      <c r="G3292" s="1" t="n"/>
    </row>
    <row r="3293">
      <c r="A3293" s="6" t="n">
        <v>39382</v>
      </c>
      <c r="B3293" s="6" t="inlineStr">
        <is>
          <t>NEW AMSTERDAM VODKA PINK WHITNEY PINK LEMONADE</t>
        </is>
      </c>
      <c r="C3293" s="7">
        <f>VLOOKUP(A3293,SizeData!A$2:B$3839,2,FALSE)</f>
        <v/>
      </c>
      <c r="D3293" s="6" t="n">
        <v>3</v>
      </c>
      <c r="E3293" s="6" t="inlineStr">
        <is>
          <t>R1645266</t>
        </is>
      </c>
      <c r="F3293" s="2" t="n">
        <v>44718</v>
      </c>
      <c r="G3293" s="1" t="n"/>
    </row>
    <row r="3294">
      <c r="A3294" s="6" t="n">
        <v>39382</v>
      </c>
      <c r="B3294" s="6" t="inlineStr">
        <is>
          <t>NEW AMSTERDAM VODKA PINK WHITNEY PINK LEMONADE</t>
        </is>
      </c>
      <c r="C3294" s="7">
        <f>VLOOKUP(A3294,SizeData!A$2:B$3839,2,FALSE)</f>
        <v/>
      </c>
      <c r="D3294" s="6" t="n">
        <v>4</v>
      </c>
      <c r="E3294" s="6" t="inlineStr">
        <is>
          <t>R1767834</t>
        </is>
      </c>
      <c r="F3294" s="2" t="n">
        <v>44817</v>
      </c>
      <c r="G3294" s="1" t="n"/>
    </row>
    <row r="3295">
      <c r="A3295" s="6" t="n">
        <v>39382</v>
      </c>
      <c r="B3295" s="6" t="inlineStr">
        <is>
          <t>NEW AMSTERDAM VODKA PINK WHITNEY PINK LEMONADE</t>
        </is>
      </c>
      <c r="C3295" s="7">
        <f>VLOOKUP(A3295,SizeData!A$2:B$3839,2,FALSE)</f>
        <v/>
      </c>
      <c r="D3295" s="6" t="n">
        <v>1</v>
      </c>
      <c r="E3295" s="6" t="inlineStr">
        <is>
          <t>R1796778</t>
        </is>
      </c>
      <c r="F3295" s="2" t="n">
        <v>44834</v>
      </c>
      <c r="G3295" s="1" t="n"/>
    </row>
    <row r="3296">
      <c r="A3296" s="26" t="n">
        <v>39382</v>
      </c>
      <c r="B3296" s="26" t="inlineStr">
        <is>
          <t>NEW AMSTERDAM VODKA PINK WHITNEY PINK LEMONADE</t>
        </is>
      </c>
      <c r="C3296" s="75">
        <f>VLOOKUP(A3296,SizeData!A$2:B$3839,2,FALSE)</f>
        <v/>
      </c>
      <c r="D3296" s="26" t="n">
        <v>1</v>
      </c>
      <c r="E3296" s="26" t="inlineStr">
        <is>
          <t>R1900430</t>
        </is>
      </c>
      <c r="F3296" s="61" t="n">
        <v>44896</v>
      </c>
      <c r="G3296" s="62" t="n"/>
    </row>
    <row r="3297">
      <c r="A3297" s="6" t="n">
        <v>39382</v>
      </c>
      <c r="B3297" s="6" t="inlineStr">
        <is>
          <t>NEW AMSTERDAM VODKA PINK WHITNEY PINK LEMONADE</t>
        </is>
      </c>
      <c r="C3297" s="7">
        <f>VLOOKUP(A3297,SizeData!A$2:B$3839,2,FALSE)</f>
        <v/>
      </c>
      <c r="D3297" s="6" t="n">
        <v>2</v>
      </c>
      <c r="E3297" s="6" t="inlineStr">
        <is>
          <t>R1906226</t>
        </is>
      </c>
      <c r="F3297" s="2" t="n">
        <v>44905</v>
      </c>
      <c r="G3297" s="1" t="n"/>
    </row>
    <row r="3298">
      <c r="A3298" s="6" t="n">
        <v>39422</v>
      </c>
      <c r="B3298" s="6" t="inlineStr">
        <is>
          <t>NEW AMSTERDAM VODKA PINK WHITNEY PINK LEMONADE</t>
        </is>
      </c>
      <c r="C3298" s="7">
        <f>VLOOKUP(A3298,SizeData!A$2:B$3839,2,FALSE)</f>
        <v/>
      </c>
      <c r="D3298" s="6" t="n">
        <v>4</v>
      </c>
      <c r="E3298" s="6" t="inlineStr">
        <is>
          <t>R1486336</t>
        </is>
      </c>
      <c r="F3298" s="2" t="n">
        <v>44620</v>
      </c>
      <c r="G3298" s="1" t="n"/>
    </row>
    <row r="3299">
      <c r="A3299" s="6" t="n">
        <v>39422</v>
      </c>
      <c r="B3299" s="6" t="inlineStr">
        <is>
          <t>NEW AMSTERDAM VODKA PINK WHITNEY PINK LEMONADE</t>
        </is>
      </c>
      <c r="C3299" s="7">
        <f>VLOOKUP(A3299,SizeData!A$2:B$3839,2,FALSE)</f>
        <v/>
      </c>
      <c r="D3299" s="6" t="n">
        <v>4</v>
      </c>
      <c r="E3299" s="6" t="inlineStr">
        <is>
          <t>R1504703</t>
        </is>
      </c>
      <c r="F3299" s="2" t="n">
        <v>44632</v>
      </c>
      <c r="G3299" s="1" t="n"/>
    </row>
    <row r="3300">
      <c r="A3300" s="6" t="n">
        <v>39422</v>
      </c>
      <c r="B3300" s="6" t="inlineStr">
        <is>
          <t>NEW AMSTERDAM VODKA PINK WHITNEY PINK LEMONADE</t>
        </is>
      </c>
      <c r="C3300" s="7">
        <f>VLOOKUP(A3300,SizeData!A$2:B$3839,2,FALSE)</f>
        <v/>
      </c>
      <c r="D3300" s="6" t="n">
        <v>3</v>
      </c>
      <c r="E3300" s="6" t="inlineStr">
        <is>
          <t>R1572421</t>
        </is>
      </c>
      <c r="F3300" s="2" t="n">
        <v>44667</v>
      </c>
      <c r="G3300" s="1" t="n"/>
    </row>
    <row r="3301">
      <c r="A3301" s="6" t="n">
        <v>39422</v>
      </c>
      <c r="B3301" s="6" t="inlineStr">
        <is>
          <t>NEW AMSTERDAM VODKA PINK WHITNEY PINK LEMONADE</t>
        </is>
      </c>
      <c r="C3301" s="7">
        <f>VLOOKUP(A3301,SizeData!A$2:B$3839,2,FALSE)</f>
        <v/>
      </c>
      <c r="D3301" s="6" t="n">
        <v>4</v>
      </c>
      <c r="E3301" s="6" t="inlineStr">
        <is>
          <t>R1633944</t>
        </is>
      </c>
      <c r="F3301" s="2" t="n">
        <v>44718</v>
      </c>
      <c r="G3301" s="1" t="n"/>
    </row>
    <row r="3302">
      <c r="A3302" s="6" t="n">
        <v>39422</v>
      </c>
      <c r="B3302" s="6" t="inlineStr">
        <is>
          <t>NEW AMSTERDAM VODKA PINK WHITNEY PINK LEMONADE</t>
        </is>
      </c>
      <c r="C3302" s="7">
        <f>VLOOKUP(A3302,SizeData!A$2:B$3839,2,FALSE)</f>
        <v/>
      </c>
      <c r="D3302" s="6" t="n">
        <v>1</v>
      </c>
      <c r="E3302" s="6" t="inlineStr">
        <is>
          <t>R1633944</t>
        </is>
      </c>
      <c r="F3302" s="2" t="n">
        <v>44718</v>
      </c>
      <c r="G3302" s="1" t="n"/>
    </row>
    <row r="3303">
      <c r="A3303" s="31" t="n">
        <v>39422</v>
      </c>
      <c r="B3303" s="31" t="inlineStr">
        <is>
          <t>NEW AMSTERDAM VODKA PINK WHITNEY PINK LEMONADE</t>
        </is>
      </c>
      <c r="C3303" s="7">
        <f>VLOOKUP(A3303,SizeData!A$2:B$3839,2,FALSE)</f>
        <v/>
      </c>
      <c r="D3303" s="31" t="n">
        <v>2</v>
      </c>
      <c r="E3303" s="31" t="inlineStr">
        <is>
          <t>R1668920</t>
        </is>
      </c>
      <c r="F3303" s="33" t="n">
        <v>44742</v>
      </c>
      <c r="G3303" s="34" t="n"/>
    </row>
    <row r="3304">
      <c r="A3304" s="6" t="n">
        <v>39422</v>
      </c>
      <c r="B3304" s="6" t="inlineStr">
        <is>
          <t>NEW AMSTERDAM VODKA PINK WHITNEY PINK LEMONADE</t>
        </is>
      </c>
      <c r="C3304" s="7">
        <f>VLOOKUP(A3304,SizeData!A$2:B$3839,2,FALSE)</f>
        <v/>
      </c>
      <c r="D3304" s="6" t="n">
        <v>4</v>
      </c>
      <c r="E3304" s="6" t="inlineStr">
        <is>
          <t>R1704212</t>
        </is>
      </c>
      <c r="F3304" s="2" t="n">
        <v>44771</v>
      </c>
      <c r="G3304" s="1" t="n"/>
    </row>
    <row r="3305">
      <c r="A3305" s="26" t="n">
        <v>39422</v>
      </c>
      <c r="B3305" s="26" t="inlineStr">
        <is>
          <t>NEW AMSTERDAM VODKA PINK WHITNEY PINK LEMONADE</t>
        </is>
      </c>
      <c r="C3305" s="7">
        <f>VLOOKUP(A3305,SizeData!A$2:B$3839,2,FALSE)</f>
        <v/>
      </c>
      <c r="D3305" s="26" t="n">
        <v>1</v>
      </c>
      <c r="E3305" s="26" t="inlineStr">
        <is>
          <t>R1704212</t>
        </is>
      </c>
      <c r="F3305" s="61" t="n">
        <v>44771</v>
      </c>
      <c r="G3305" s="62" t="n"/>
    </row>
    <row r="3306">
      <c r="A3306" s="6" t="n">
        <v>39422</v>
      </c>
      <c r="B3306" s="6" t="inlineStr">
        <is>
          <t>NEW AMSTERDAM VODKA PINK WHITNEY PINK LEMONADE</t>
        </is>
      </c>
      <c r="C3306" s="7">
        <f>VLOOKUP(A3306,SizeData!A$2:B$3839,2,FALSE)</f>
        <v/>
      </c>
      <c r="D3306" s="6" t="n">
        <v>3</v>
      </c>
      <c r="E3306" s="6" t="inlineStr">
        <is>
          <t>R1734629</t>
        </is>
      </c>
      <c r="F3306" s="2" t="n">
        <v>44792</v>
      </c>
      <c r="G3306" s="1" t="n"/>
    </row>
    <row r="3307">
      <c r="A3307" s="6" t="n">
        <v>39422</v>
      </c>
      <c r="B3307" s="6" t="inlineStr">
        <is>
          <t>NEW AMSTERDAM VODKA PINK WHITNEY PINK LEMONADE</t>
        </is>
      </c>
      <c r="C3307" s="7">
        <f>VLOOKUP(A3307,SizeData!A$2:B$3839,2,FALSE)</f>
        <v/>
      </c>
      <c r="D3307" s="6" t="n">
        <v>3</v>
      </c>
      <c r="E3307" s="6" t="inlineStr">
        <is>
          <t>R1767834</t>
        </is>
      </c>
      <c r="F3307" s="2" t="n">
        <v>44817</v>
      </c>
      <c r="G3307" s="1" t="n"/>
    </row>
    <row r="3308">
      <c r="A3308" s="26" t="n">
        <v>39422</v>
      </c>
      <c r="B3308" s="26" t="inlineStr">
        <is>
          <t>NEW AMSTERDAM VODKA PINK WHITNEY PINK LEMONADE</t>
        </is>
      </c>
      <c r="C3308" s="7">
        <f>VLOOKUP(A3308,SizeData!A$2:B$3839,2,FALSE)</f>
        <v/>
      </c>
      <c r="D3308" s="26" t="n">
        <v>1</v>
      </c>
      <c r="E3308" s="26" t="inlineStr">
        <is>
          <t>R1767834</t>
        </is>
      </c>
      <c r="F3308" s="61" t="n">
        <v>44817</v>
      </c>
      <c r="G3308" s="62" t="n"/>
    </row>
    <row r="3309">
      <c r="A3309" s="26" t="n">
        <v>39422</v>
      </c>
      <c r="B3309" s="26" t="inlineStr">
        <is>
          <t>NEW AMSTERDAM VODKA PINK WHITNEY PINK LEMONADE</t>
        </is>
      </c>
      <c r="C3309" s="75">
        <f>VLOOKUP(A3309,SizeData!A$2:B$3839,2,FALSE)</f>
        <v/>
      </c>
      <c r="D3309" s="26" t="n">
        <v>2</v>
      </c>
      <c r="E3309" s="26" t="inlineStr">
        <is>
          <t>R1825803</t>
        </is>
      </c>
      <c r="F3309" s="61" t="n">
        <v>44847</v>
      </c>
      <c r="G3309" s="62" t="n"/>
    </row>
    <row r="3310">
      <c r="A3310" s="26" t="n">
        <v>39422</v>
      </c>
      <c r="B3310" s="26" t="inlineStr">
        <is>
          <t>NEW AMSTERDAM VODKA PINK WHITNEY PINK LEMONADE</t>
        </is>
      </c>
      <c r="C3310" s="75">
        <f>VLOOKUP(A3310,SizeData!A$2:B$3839,2,FALSE)</f>
        <v/>
      </c>
      <c r="D3310" s="26" t="n">
        <v>2</v>
      </c>
      <c r="E3310" s="26" t="inlineStr">
        <is>
          <t>R1840965</t>
        </is>
      </c>
      <c r="F3310" s="61" t="n">
        <v>44863</v>
      </c>
      <c r="G3310" s="62" t="n"/>
    </row>
    <row r="3311">
      <c r="A3311" s="6" t="n">
        <v>39492</v>
      </c>
      <c r="B3311" s="6" t="inlineStr">
        <is>
          <t>NEW AMSTERDAM VODKA PINK WHITNEY PINK LEMONADE</t>
        </is>
      </c>
      <c r="C3311" s="7">
        <f>VLOOKUP(A3311,SizeData!A$2:B$3839,2,FALSE)</f>
        <v/>
      </c>
      <c r="D3311" s="6" t="n">
        <v>1</v>
      </c>
      <c r="E3311" s="6" t="inlineStr">
        <is>
          <t>R1431061</t>
        </is>
      </c>
      <c r="F3311" s="2" t="n">
        <v>44583</v>
      </c>
      <c r="G3311" s="1" t="n"/>
    </row>
    <row r="3312">
      <c r="A3312" s="6" t="n">
        <v>39492</v>
      </c>
      <c r="B3312" s="6" t="inlineStr">
        <is>
          <t>NEW AMSTERDAM VODKA PINK WHITNEY PINK LEMONADE</t>
        </is>
      </c>
      <c r="C3312" s="7">
        <f>VLOOKUP(A3312,SizeData!A$2:B$3839,2,FALSE)</f>
        <v/>
      </c>
      <c r="D3312" s="6" t="n">
        <v>3</v>
      </c>
      <c r="E3312" s="6" t="inlineStr">
        <is>
          <t>R1438141</t>
        </is>
      </c>
      <c r="F3312" s="2" t="n">
        <v>44592</v>
      </c>
      <c r="G3312" s="1" t="n"/>
    </row>
    <row r="3313">
      <c r="A3313" s="6" t="n">
        <v>39492</v>
      </c>
      <c r="B3313" s="6" t="inlineStr">
        <is>
          <t>NEW AMSTERDAM VODKA PINK WHITNEY PINK LEMONADE</t>
        </is>
      </c>
      <c r="C3313" s="7">
        <f>VLOOKUP(A3313,SizeData!A$2:B$3839,2,FALSE)</f>
        <v/>
      </c>
      <c r="D3313" s="6" t="n">
        <v>3</v>
      </c>
      <c r="E3313" s="6" t="inlineStr">
        <is>
          <t>R1438141</t>
        </is>
      </c>
      <c r="F3313" s="2" t="n">
        <v>44592</v>
      </c>
      <c r="G3313" s="1" t="n"/>
    </row>
    <row r="3314">
      <c r="A3314" s="6" t="n">
        <v>39492</v>
      </c>
      <c r="B3314" s="6" t="inlineStr">
        <is>
          <t>NEW AMSTERDAM VODKA PINK WHITNEY PINK LEMONADE</t>
        </is>
      </c>
      <c r="C3314" s="7">
        <f>VLOOKUP(A3314,SizeData!A$2:B$3839,2,FALSE)</f>
        <v/>
      </c>
      <c r="D3314" s="6" t="n">
        <v>3</v>
      </c>
      <c r="E3314" s="6" t="inlineStr">
        <is>
          <t>R1607750</t>
        </is>
      </c>
      <c r="F3314" s="2" t="n">
        <v>44691</v>
      </c>
      <c r="G3314" s="1" t="n"/>
    </row>
    <row r="3315">
      <c r="A3315" s="6" t="n">
        <v>39492</v>
      </c>
      <c r="B3315" s="6" t="inlineStr">
        <is>
          <t>NEW AMSTERDAM VODKA PINK WHITNEY PINK LEMONADE</t>
        </is>
      </c>
      <c r="C3315" s="7">
        <f>VLOOKUP(A3315,SizeData!A$2:B$3839,2,FALSE)</f>
        <v/>
      </c>
      <c r="D3315" s="6" t="n">
        <v>5</v>
      </c>
      <c r="E3315" s="6" t="inlineStr">
        <is>
          <t>R1690045</t>
        </is>
      </c>
      <c r="F3315" s="2" t="n">
        <v>44753</v>
      </c>
      <c r="G3315" s="1" t="n"/>
    </row>
    <row r="3316">
      <c r="A3316" s="6" t="n">
        <v>39492</v>
      </c>
      <c r="B3316" s="6" t="inlineStr">
        <is>
          <t>NEW AMSTERDAM VODKA PINK WHITNEY PINK LEMONADE</t>
        </is>
      </c>
      <c r="C3316" s="7">
        <f>VLOOKUP(A3316,SizeData!A$2:B$3839,2,FALSE)</f>
        <v/>
      </c>
      <c r="D3316" s="6" t="n">
        <v>5</v>
      </c>
      <c r="E3316" s="6" t="inlineStr">
        <is>
          <t>R1683790</t>
        </is>
      </c>
      <c r="F3316" s="2" t="n">
        <v>44761</v>
      </c>
      <c r="G3316" s="1" t="n"/>
    </row>
    <row r="3317">
      <c r="A3317" s="6" t="n">
        <v>39492</v>
      </c>
      <c r="B3317" s="6" t="inlineStr">
        <is>
          <t>NEW AMSTERDAM VODKA PINK WHITNEY PINK LEMONADE</t>
        </is>
      </c>
      <c r="C3317" s="7">
        <f>VLOOKUP(A3317,SizeData!A$2:B$3839,2,FALSE)</f>
        <v/>
      </c>
      <c r="D3317" s="6" t="n">
        <v>5</v>
      </c>
      <c r="E3317" s="6" t="inlineStr">
        <is>
          <t>R1684635</t>
        </is>
      </c>
      <c r="F3317" s="2" t="n">
        <v>44761</v>
      </c>
      <c r="G3317" s="1" t="n"/>
    </row>
    <row r="3318">
      <c r="A3318" s="6" t="n">
        <v>39417</v>
      </c>
      <c r="B3318" s="6" t="inlineStr">
        <is>
          <t>NEW AMSTERDAM WATERMELON FLAVORED VODKA</t>
        </is>
      </c>
      <c r="C3318" s="7">
        <f>VLOOKUP(A3318,SizeData!A$2:B$3839,2,FALSE)</f>
        <v/>
      </c>
      <c r="D3318" s="6" t="n">
        <v>2</v>
      </c>
      <c r="E3318" s="6" t="inlineStr">
        <is>
          <t>R1386761</t>
        </is>
      </c>
      <c r="F3318" s="2" t="n">
        <v>44557</v>
      </c>
      <c r="G3318" s="1" t="n"/>
    </row>
    <row r="3319">
      <c r="A3319" s="6" t="n">
        <v>39417</v>
      </c>
      <c r="B3319" s="6" t="inlineStr">
        <is>
          <t>NEW AMSTERDAM WATERMELON FLAVORED VODKA</t>
        </is>
      </c>
      <c r="C3319" s="7">
        <f>VLOOKUP(A3319,SizeData!A$2:B$3839,2,FALSE)</f>
        <v/>
      </c>
      <c r="D3319" s="6" t="n">
        <v>2</v>
      </c>
      <c r="E3319" s="6" t="inlineStr">
        <is>
          <t>R1386761</t>
        </is>
      </c>
      <c r="F3319" s="2" t="n">
        <v>44557</v>
      </c>
      <c r="G3319" s="1" t="n"/>
    </row>
    <row r="3320">
      <c r="A3320" s="6" t="n">
        <v>39417</v>
      </c>
      <c r="B3320" s="6" t="inlineStr">
        <is>
          <t>NEW AMSTERDAM WATERMELON FLAVORED VODKA</t>
        </is>
      </c>
      <c r="C3320" s="7">
        <f>VLOOKUP(A3320,SizeData!A$2:B$3839,2,FALSE)</f>
        <v/>
      </c>
      <c r="D3320" s="6" t="n">
        <v>1</v>
      </c>
      <c r="E3320" s="6" t="inlineStr">
        <is>
          <t>R1434427</t>
        </is>
      </c>
      <c r="F3320" s="2" t="n">
        <v>44588</v>
      </c>
      <c r="G3320" s="1" t="n"/>
    </row>
    <row r="3321">
      <c r="A3321" s="6" t="n">
        <v>39417</v>
      </c>
      <c r="B3321" s="6" t="inlineStr">
        <is>
          <t>NEW AMSTERDAM WATERMELON FLAVORED VODKA</t>
        </is>
      </c>
      <c r="C3321" s="7">
        <f>VLOOKUP(A3321,SizeData!A$2:B$3839,2,FALSE)</f>
        <v/>
      </c>
      <c r="D3321" s="6" t="n">
        <v>2</v>
      </c>
      <c r="E3321" s="6" t="inlineStr">
        <is>
          <t>R1494274</t>
        </is>
      </c>
      <c r="F3321" s="2" t="n">
        <v>44627</v>
      </c>
      <c r="G3321" s="1" t="n"/>
    </row>
    <row r="3322">
      <c r="A3322" s="6" t="n">
        <v>39417</v>
      </c>
      <c r="B3322" s="6" t="inlineStr">
        <is>
          <t>NEW AMSTERDAM WATERMELON FLAVORED VODKA</t>
        </is>
      </c>
      <c r="C3322" s="7">
        <f>VLOOKUP(A3322,SizeData!A$2:B$3839,2,FALSE)</f>
        <v/>
      </c>
      <c r="D3322" s="6" t="n">
        <v>2</v>
      </c>
      <c r="E3322" s="6" t="inlineStr">
        <is>
          <t>R1569610</t>
        </is>
      </c>
      <c r="F3322" s="2" t="n">
        <v>44669</v>
      </c>
      <c r="G3322" s="1" t="n"/>
    </row>
    <row r="3323">
      <c r="A3323" s="6" t="n">
        <v>39417</v>
      </c>
      <c r="B3323" s="6" t="inlineStr">
        <is>
          <t>NEW AMSTERDAM WATERMELON FLAVORED VODKA</t>
        </is>
      </c>
      <c r="C3323" s="7">
        <f>VLOOKUP(A3323,SizeData!A$2:B$3839,2,FALSE)</f>
        <v/>
      </c>
      <c r="D3323" s="6" t="n">
        <v>2</v>
      </c>
      <c r="E3323" s="6" t="inlineStr">
        <is>
          <t>R1688168</t>
        </is>
      </c>
      <c r="F3323" s="2" t="n">
        <v>44761</v>
      </c>
      <c r="G3323" s="1" t="n"/>
    </row>
    <row r="3324">
      <c r="A3324" s="6" t="n">
        <v>39419</v>
      </c>
      <c r="B3324" s="6" t="inlineStr">
        <is>
          <t>NEW AMSTERDAM WATERMELON FLAVORED VODKA</t>
        </is>
      </c>
      <c r="C3324" s="7">
        <f>VLOOKUP(A3324,SizeData!A$2:B$3839,2,FALSE)</f>
        <v/>
      </c>
      <c r="D3324" s="6" t="n">
        <v>3</v>
      </c>
      <c r="E3324" s="6" t="inlineStr">
        <is>
          <t>R1383976</t>
        </is>
      </c>
      <c r="F3324" s="2" t="n">
        <v>44561</v>
      </c>
      <c r="G3324" s="1" t="n"/>
    </row>
    <row r="3325">
      <c r="A3325" s="6" t="n">
        <v>39419</v>
      </c>
      <c r="B3325" s="6" t="inlineStr">
        <is>
          <t>NEW AMSTERDAM WATERMELON FLAVORED VODKA</t>
        </is>
      </c>
      <c r="C3325" s="7">
        <f>VLOOKUP(A3325,SizeData!A$2:B$3839,2,FALSE)</f>
        <v/>
      </c>
      <c r="D3325" s="6" t="n">
        <v>2</v>
      </c>
      <c r="E3325" s="6" t="inlineStr">
        <is>
          <t>R1648285</t>
        </is>
      </c>
      <c r="F3325" s="2" t="n">
        <v>44729</v>
      </c>
      <c r="G3325" s="1" t="n"/>
    </row>
    <row r="3326">
      <c r="A3326" s="6" t="n">
        <v>39419</v>
      </c>
      <c r="B3326" s="6" t="inlineStr">
        <is>
          <t>NEW AMSTERDAM WATERMELON FLAVORED VODKA</t>
        </is>
      </c>
      <c r="C3326" s="7">
        <f>VLOOKUP(A3326,SizeData!A$2:B$3839,2,FALSE)</f>
        <v/>
      </c>
      <c r="D3326" s="6" t="n">
        <v>1</v>
      </c>
      <c r="E3326" s="6" t="inlineStr">
        <is>
          <t>R1764571</t>
        </is>
      </c>
      <c r="F3326" s="2" t="n">
        <v>44824</v>
      </c>
      <c r="G3326" s="1" t="n"/>
    </row>
    <row r="3327">
      <c r="A3327" s="6" t="n">
        <v>39419</v>
      </c>
      <c r="B3327" s="6" t="inlineStr">
        <is>
          <t>NEW AMSTERDAM WATERMELON FLAVORED VODKA</t>
        </is>
      </c>
      <c r="C3327" s="7">
        <f>VLOOKUP(A3327,SizeData!A$2:B$3839,2,FALSE)</f>
        <v/>
      </c>
      <c r="D3327" s="6" t="n">
        <v>2</v>
      </c>
      <c r="E3327" s="6" t="inlineStr">
        <is>
          <t>R1789511</t>
        </is>
      </c>
      <c r="F3327" s="2" t="n">
        <v>44832</v>
      </c>
      <c r="G3327" s="1" t="n"/>
    </row>
    <row r="3328">
      <c r="A3328" s="6" t="n">
        <v>20166</v>
      </c>
      <c r="B3328" s="6" t="inlineStr">
        <is>
          <t>OLD CHARTER 8</t>
        </is>
      </c>
      <c r="C3328" s="7">
        <f>VLOOKUP(A3328,SizeData!A$2:B$3839,2,FALSE)</f>
        <v/>
      </c>
      <c r="D3328" s="6" t="n">
        <v>1</v>
      </c>
      <c r="E3328" s="6" t="inlineStr">
        <is>
          <t>R1426776</t>
        </is>
      </c>
      <c r="F3328" s="2" t="n">
        <v>44585</v>
      </c>
      <c r="G3328" s="1" t="n"/>
    </row>
    <row r="3329">
      <c r="A3329" s="6" t="n">
        <v>20166</v>
      </c>
      <c r="B3329" s="6" t="inlineStr">
        <is>
          <t>OLD CHARTER 8</t>
        </is>
      </c>
      <c r="C3329" s="7">
        <f>VLOOKUP(A3329,SizeData!A$2:B$3839,2,FALSE)</f>
        <v/>
      </c>
      <c r="D3329" s="6" t="n">
        <v>1</v>
      </c>
      <c r="E3329" s="6" t="inlineStr">
        <is>
          <t>R1738647</t>
        </is>
      </c>
      <c r="F3329" s="2" t="n">
        <v>44791</v>
      </c>
      <c r="G3329" s="1" t="n"/>
    </row>
    <row r="3330">
      <c r="A3330" s="6" t="n">
        <v>20166</v>
      </c>
      <c r="B3330" s="6" t="inlineStr">
        <is>
          <t>OLD CHARTER 8</t>
        </is>
      </c>
      <c r="C3330" s="7">
        <f>VLOOKUP(A3330,SizeData!A$2:B$3839,2,FALSE)</f>
        <v/>
      </c>
      <c r="D3330" s="6" t="n">
        <v>1</v>
      </c>
      <c r="E3330" s="6" t="inlineStr">
        <is>
          <t>R1817613</t>
        </is>
      </c>
      <c r="F3330" s="2" t="n">
        <v>44849</v>
      </c>
      <c r="G3330" s="1" t="n"/>
    </row>
    <row r="3331">
      <c r="A3331" s="6" t="n">
        <v>20166</v>
      </c>
      <c r="B3331" s="6" t="inlineStr">
        <is>
          <t>OLD CHARTER 8</t>
        </is>
      </c>
      <c r="C3331" s="7">
        <f>VLOOKUP(A3331,SizeData!A$2:B$3839,2,FALSE)</f>
        <v/>
      </c>
      <c r="D3331" s="6" t="n">
        <v>2</v>
      </c>
      <c r="E3331" s="6" t="inlineStr">
        <is>
          <t>R1841934</t>
        </is>
      </c>
      <c r="F3331" s="2" t="n">
        <v>44866</v>
      </c>
      <c r="G3331" s="1" t="n"/>
    </row>
    <row r="3332">
      <c r="A3332" s="6" t="n">
        <v>20169</v>
      </c>
      <c r="B3332" s="6" t="inlineStr">
        <is>
          <t>OLD CHARTER 8 (PET)</t>
        </is>
      </c>
      <c r="C3332" s="7">
        <f>VLOOKUP(A3332,SizeData!A$2:B$3839,2,FALSE)</f>
        <v/>
      </c>
      <c r="D3332" s="6" t="n">
        <v>3</v>
      </c>
      <c r="E3332" s="6" t="inlineStr">
        <is>
          <t>R1464356</t>
        </is>
      </c>
      <c r="F3332" s="2" t="n">
        <v>44609</v>
      </c>
      <c r="G3332" s="1" t="n"/>
    </row>
    <row r="3333">
      <c r="A3333" s="6" t="n">
        <v>20366</v>
      </c>
      <c r="B3333" s="6" t="inlineStr">
        <is>
          <t>OLD FORESTER</t>
        </is>
      </c>
      <c r="C3333" s="7">
        <f>VLOOKUP(A3333,SizeData!A$2:B$3839,2,FALSE)</f>
        <v/>
      </c>
      <c r="D3333" s="6" t="n">
        <v>1</v>
      </c>
      <c r="E3333" s="6" t="inlineStr">
        <is>
          <t>R1792137</t>
        </is>
      </c>
      <c r="F3333" s="2" t="n">
        <v>44835</v>
      </c>
      <c r="G3333" s="1" t="n"/>
    </row>
    <row r="3334">
      <c r="A3334" s="6" t="n">
        <v>20366</v>
      </c>
      <c r="B3334" s="6" t="inlineStr">
        <is>
          <t>OLD FORESTER</t>
        </is>
      </c>
      <c r="C3334" s="7">
        <f>VLOOKUP(A3334,SizeData!A$2:B$3839,2,FALSE)</f>
        <v/>
      </c>
      <c r="D3334" s="6" t="n">
        <v>1</v>
      </c>
      <c r="E3334" s="6" t="inlineStr">
        <is>
          <t>R1809606</t>
        </is>
      </c>
      <c r="F3334" s="2" t="n">
        <v>44845</v>
      </c>
      <c r="G3334" s="1" t="n"/>
    </row>
    <row r="3335">
      <c r="A3335" s="6" t="n">
        <v>20374</v>
      </c>
      <c r="B3335" s="6" t="inlineStr">
        <is>
          <t>OLD FORESTER 1910 KENTUCKY STRAIGHT BOURBON</t>
        </is>
      </c>
      <c r="C3335" s="7">
        <f>VLOOKUP(A3335,SizeData!A$2:B$3839,2,FALSE)</f>
        <v/>
      </c>
      <c r="D3335" s="6" t="n">
        <v>1</v>
      </c>
      <c r="E3335" s="6" t="inlineStr">
        <is>
          <t>R1495781</t>
        </is>
      </c>
      <c r="F3335" s="2" t="n">
        <v>44627</v>
      </c>
      <c r="G3335" s="1" t="n"/>
    </row>
    <row r="3336">
      <c r="A3336" s="6" t="n">
        <v>20376</v>
      </c>
      <c r="B3336" s="6" t="inlineStr">
        <is>
          <t>OLD FORESTER 1920 PROHIBITION STYLE</t>
        </is>
      </c>
      <c r="C3336" s="7">
        <f>VLOOKUP(A3336,SizeData!A$2:B$3839,2,FALSE)</f>
        <v/>
      </c>
      <c r="D3336" s="6" t="n">
        <v>2</v>
      </c>
      <c r="E3336" s="6" t="inlineStr">
        <is>
          <t>R1538037</t>
        </is>
      </c>
      <c r="F3336" s="2" t="n">
        <v>44650</v>
      </c>
      <c r="G3336" s="1" t="n"/>
    </row>
    <row r="3337">
      <c r="A3337" s="6" t="n">
        <v>16396</v>
      </c>
      <c r="B3337" s="6" t="inlineStr">
        <is>
          <t>OLD FORESTER SIGNATURE</t>
        </is>
      </c>
      <c r="C3337" s="7">
        <f>VLOOKUP(A3337,SizeData!A$2:B$3839,2,FALSE)</f>
        <v/>
      </c>
      <c r="D3337" s="6" t="n">
        <v>1</v>
      </c>
      <c r="E3337" s="6" t="inlineStr">
        <is>
          <t>R1386245</t>
        </is>
      </c>
      <c r="F3337" s="2" t="n">
        <v>44557</v>
      </c>
      <c r="G3337" s="1" t="n"/>
    </row>
    <row r="3338">
      <c r="A3338" s="6" t="n">
        <v>20375</v>
      </c>
      <c r="B3338" s="6" t="inlineStr">
        <is>
          <t>OLD FORESTER STATESMAN KENTUCKY STRAIGHT</t>
        </is>
      </c>
      <c r="C3338" s="7">
        <f>VLOOKUP(A3338,SizeData!A$2:B$3839,2,FALSE)</f>
        <v/>
      </c>
      <c r="D3338" s="6" t="n">
        <v>2</v>
      </c>
      <c r="E3338" s="6" t="inlineStr">
        <is>
          <t>R1538037</t>
        </is>
      </c>
      <c r="F3338" s="2" t="n">
        <v>44650</v>
      </c>
      <c r="G3338" s="1" t="n"/>
    </row>
    <row r="3339">
      <c r="A3339" s="6" t="n">
        <v>19366</v>
      </c>
      <c r="B3339" s="6" t="inlineStr">
        <is>
          <t>OLD KENTUCKY TAVERN (PET)</t>
        </is>
      </c>
      <c r="C3339" s="7">
        <f>VLOOKUP(A3339,SizeData!A$2:B$3839,2,FALSE)</f>
        <v/>
      </c>
      <c r="D3339" s="6" t="n">
        <v>1</v>
      </c>
      <c r="E3339" s="6" t="inlineStr">
        <is>
          <t>R1568562</t>
        </is>
      </c>
      <c r="F3339" s="2" t="n">
        <v>44670</v>
      </c>
      <c r="G3339" s="1" t="n"/>
    </row>
    <row r="3340">
      <c r="A3340" s="6" t="n">
        <v>19366</v>
      </c>
      <c r="B3340" s="6" t="inlineStr">
        <is>
          <t>OLD KENTUCKY TAVERN (PET)</t>
        </is>
      </c>
      <c r="C3340" s="7">
        <f>VLOOKUP(A3340,SizeData!A$2:B$3839,2,FALSE)</f>
        <v/>
      </c>
      <c r="D3340" s="6" t="n">
        <v>1</v>
      </c>
      <c r="E3340" s="6" t="inlineStr">
        <is>
          <t>R1568562</t>
        </is>
      </c>
      <c r="F3340" s="2" t="n">
        <v>44670</v>
      </c>
      <c r="G3340" s="1" t="n"/>
    </row>
    <row r="3341">
      <c r="A3341" s="6" t="n">
        <v>20538</v>
      </c>
      <c r="B3341" s="6" t="inlineStr">
        <is>
          <t>OLD KENTUCKY TAVERN (PET)</t>
        </is>
      </c>
      <c r="C3341" s="7">
        <f>VLOOKUP(A3341,SizeData!A$2:B$3839,2,FALSE)</f>
        <v/>
      </c>
      <c r="D3341" s="6" t="n">
        <v>1</v>
      </c>
      <c r="E3341" s="6" t="inlineStr">
        <is>
          <t>R1387575</t>
        </is>
      </c>
      <c r="F3341" s="2" t="n">
        <v>44559</v>
      </c>
      <c r="G3341" s="1" t="n"/>
    </row>
    <row r="3342">
      <c r="A3342" s="6" t="n">
        <v>20538</v>
      </c>
      <c r="B3342" s="6" t="inlineStr">
        <is>
          <t>OLD KENTUCKY TAVERN (PET)</t>
        </is>
      </c>
      <c r="C3342" s="7">
        <f>VLOOKUP(A3342,SizeData!A$2:B$3839,2,FALSE)</f>
        <v/>
      </c>
      <c r="D3342" s="6" t="n">
        <v>3</v>
      </c>
      <c r="E3342" s="6" t="inlineStr">
        <is>
          <t>R1568544</t>
        </is>
      </c>
      <c r="F3342" s="2" t="n">
        <v>44669</v>
      </c>
      <c r="G3342" s="1" t="n"/>
    </row>
    <row r="3343">
      <c r="A3343" s="6" t="n">
        <v>20538</v>
      </c>
      <c r="B3343" s="6" t="inlineStr">
        <is>
          <t>OLD KENTUCKY TAVERN (PET)</t>
        </is>
      </c>
      <c r="C3343" s="7">
        <f>VLOOKUP(A3343,SizeData!A$2:B$3839,2,FALSE)</f>
        <v/>
      </c>
      <c r="D3343" s="6" t="n">
        <v>3</v>
      </c>
      <c r="E3343" s="6" t="inlineStr">
        <is>
          <t>R1684635</t>
        </is>
      </c>
      <c r="F3343" s="2" t="n">
        <v>44761</v>
      </c>
      <c r="G3343" s="1" t="n"/>
    </row>
    <row r="3344">
      <c r="A3344" s="6" t="n">
        <v>20538</v>
      </c>
      <c r="B3344" s="6" t="inlineStr">
        <is>
          <t>OLD KENTUCKY TAVERN (PET)</t>
        </is>
      </c>
      <c r="C3344" s="7">
        <f>VLOOKUP(A3344,SizeData!A$2:B$3839,2,FALSE)</f>
        <v/>
      </c>
      <c r="D3344" s="6" t="n">
        <v>4</v>
      </c>
      <c r="E3344" s="6" t="inlineStr">
        <is>
          <t>R1768318</t>
        </is>
      </c>
      <c r="F3344" s="2" t="n">
        <v>44816</v>
      </c>
      <c r="G3344" s="1" t="n"/>
    </row>
    <row r="3345">
      <c r="A3345" s="6" t="n">
        <v>20538</v>
      </c>
      <c r="B3345" s="6" t="inlineStr">
        <is>
          <t>OLD KENTUCKY TAVERN (PET)</t>
        </is>
      </c>
      <c r="C3345" s="7">
        <f>VLOOKUP(A3345,SizeData!A$2:B$3839,2,FALSE)</f>
        <v/>
      </c>
      <c r="D3345" s="6" t="n">
        <v>4</v>
      </c>
      <c r="E3345" s="6" t="inlineStr">
        <is>
          <t>R1865535</t>
        </is>
      </c>
      <c r="F3345" s="2" t="n">
        <v>44879</v>
      </c>
      <c r="G3345" s="1" t="n"/>
    </row>
    <row r="3346">
      <c r="A3346" s="6" t="n">
        <v>955242</v>
      </c>
      <c r="B3346" s="6" t="inlineStr">
        <is>
          <t>OLD SOUTH SWEET MAGNOLIA MUSCADINE</t>
        </is>
      </c>
      <c r="C3346" s="7">
        <f>VLOOKUP(A3346,SizeData!A$2:B$3839,2,FALSE)</f>
        <v/>
      </c>
      <c r="D3346" s="6" t="n">
        <v>1</v>
      </c>
      <c r="E3346" s="6" t="inlineStr">
        <is>
          <t>R1448139</t>
        </is>
      </c>
      <c r="F3346" s="2" t="n">
        <v>44597</v>
      </c>
      <c r="G3346" s="1" t="n"/>
    </row>
    <row r="3347">
      <c r="A3347" s="6" t="n">
        <v>955252</v>
      </c>
      <c r="B3347" s="6" t="inlineStr">
        <is>
          <t>OLD SOUTH SWEET NOBLE MUSCADINE</t>
        </is>
      </c>
      <c r="C3347" s="7">
        <f>VLOOKUP(A3347,SizeData!A$2:B$3839,2,FALSE)</f>
        <v/>
      </c>
      <c r="D3347" s="6" t="n">
        <v>1</v>
      </c>
      <c r="E3347" s="6" t="inlineStr">
        <is>
          <t>R1448139</t>
        </is>
      </c>
      <c r="F3347" s="2" t="n">
        <v>44597</v>
      </c>
      <c r="G3347" s="1" t="n"/>
    </row>
    <row r="3348">
      <c r="A3348" s="6" t="n">
        <v>955252</v>
      </c>
      <c r="B3348" s="6" t="inlineStr">
        <is>
          <t>OLD SOUTH SWEET NOBLE MUSCADINE</t>
        </is>
      </c>
      <c r="C3348" s="7">
        <f>VLOOKUP(A3348,SizeData!A$2:B$3839,2,FALSE)</f>
        <v/>
      </c>
      <c r="D3348" s="6" t="n">
        <v>2</v>
      </c>
      <c r="E3348" s="6" t="inlineStr">
        <is>
          <t>R1497382</t>
        </is>
      </c>
      <c r="F3348" s="2" t="n">
        <v>44627</v>
      </c>
      <c r="G3348" s="1" t="n"/>
    </row>
    <row r="3349">
      <c r="A3349" s="6" t="n">
        <v>955252</v>
      </c>
      <c r="B3349" s="6" t="inlineStr">
        <is>
          <t>OLD SOUTH SWEET NOBLE MUSCADINE</t>
        </is>
      </c>
      <c r="C3349" s="7">
        <f>VLOOKUP(A3349,SizeData!A$2:B$3839,2,FALSE)</f>
        <v/>
      </c>
      <c r="D3349" s="6" t="n">
        <v>1</v>
      </c>
      <c r="E3349" s="6" t="inlineStr">
        <is>
          <t>R1612379</t>
        </is>
      </c>
      <c r="F3349" s="2" t="n">
        <v>44701</v>
      </c>
      <c r="G3349" s="1" t="n"/>
    </row>
    <row r="3350">
      <c r="A3350" s="6" t="n">
        <v>955252</v>
      </c>
      <c r="B3350" s="6" t="inlineStr">
        <is>
          <t>OLD SOUTH SWEET NOBLE MUSCADINE</t>
        </is>
      </c>
      <c r="C3350" s="7">
        <f>VLOOKUP(A3350,SizeData!A$2:B$3839,2,FALSE)</f>
        <v/>
      </c>
      <c r="D3350" s="6" t="n">
        <v>1</v>
      </c>
      <c r="E3350" s="6" t="inlineStr">
        <is>
          <t>R1646609</t>
        </is>
      </c>
      <c r="F3350" s="2" t="n">
        <v>44719</v>
      </c>
      <c r="G3350" s="1" t="n"/>
    </row>
    <row r="3351">
      <c r="A3351" s="6" t="n">
        <v>955252</v>
      </c>
      <c r="B3351" s="6" t="inlineStr">
        <is>
          <t>OLD SOUTH SWEET NOBLE MUSCADINE</t>
        </is>
      </c>
      <c r="C3351" s="7">
        <f>VLOOKUP(A3351,SizeData!A$2:B$3839,2,FALSE)</f>
        <v/>
      </c>
      <c r="D3351" s="6" t="n">
        <v>2</v>
      </c>
      <c r="E3351" s="6" t="inlineStr">
        <is>
          <t>R1702995</t>
        </is>
      </c>
      <c r="F3351" s="2" t="n">
        <v>44772</v>
      </c>
      <c r="G3351" s="1" t="n"/>
    </row>
    <row r="3352">
      <c r="A3352" s="6" t="n">
        <v>86851</v>
      </c>
      <c r="B3352" s="6" t="inlineStr">
        <is>
          <t>OLE SMOKEY BLUE FLAME TENNESSEE MOONSHINE</t>
        </is>
      </c>
      <c r="C3352" s="7">
        <f>VLOOKUP(A3352,SizeData!A$2:B$3839,2,FALSE)</f>
        <v/>
      </c>
      <c r="D3352" s="6" t="n">
        <v>1</v>
      </c>
      <c r="E3352" s="6" t="inlineStr">
        <is>
          <t>R1470632</t>
        </is>
      </c>
      <c r="F3352" s="2" t="n">
        <v>44605</v>
      </c>
      <c r="G3352" s="1" t="n"/>
    </row>
    <row r="3353">
      <c r="A3353" s="6" t="n">
        <v>86851</v>
      </c>
      <c r="B3353" s="6" t="inlineStr">
        <is>
          <t>OLE SMOKEY BLUE FLAME TENNESSEE MOONSHINE</t>
        </is>
      </c>
      <c r="C3353" s="7">
        <f>VLOOKUP(A3353,SizeData!A$2:B$3839,2,FALSE)</f>
        <v/>
      </c>
      <c r="D3353" s="6" t="n">
        <v>1</v>
      </c>
      <c r="E3353" s="6" t="inlineStr">
        <is>
          <t>R1600517</t>
        </is>
      </c>
      <c r="F3353" s="2" t="n">
        <v>44684</v>
      </c>
      <c r="G3353" s="1" t="n"/>
    </row>
    <row r="3354">
      <c r="A3354" s="6" t="n">
        <v>86851</v>
      </c>
      <c r="B3354" s="6" t="inlineStr">
        <is>
          <t>OLE SMOKEY BLUE FLAME TENNESSEE MOONSHINE</t>
        </is>
      </c>
      <c r="C3354" s="7">
        <f>VLOOKUP(A3354,SizeData!A$2:B$3839,2,FALSE)</f>
        <v/>
      </c>
      <c r="D3354" s="6" t="n">
        <v>1</v>
      </c>
      <c r="E3354" s="6" t="inlineStr">
        <is>
          <t>R1648285</t>
        </is>
      </c>
      <c r="F3354" s="2" t="n">
        <v>44729</v>
      </c>
      <c r="G3354" s="1" t="n"/>
    </row>
    <row r="3355">
      <c r="A3355" s="6" t="n">
        <v>86851</v>
      </c>
      <c r="B3355" s="6" t="inlineStr">
        <is>
          <t>OLE SMOKEY BLUE FLAME TENNESSEE MOONSHINE</t>
        </is>
      </c>
      <c r="C3355" s="7">
        <f>VLOOKUP(A3355,SizeData!A$2:B$3839,2,FALSE)</f>
        <v/>
      </c>
      <c r="D3355" s="6" t="n">
        <v>10</v>
      </c>
      <c r="E3355" s="6" t="inlineStr">
        <is>
          <t>R1715015</t>
        </is>
      </c>
      <c r="F3355" s="2" t="n">
        <v>44768</v>
      </c>
      <c r="G3355" s="1" t="n"/>
    </row>
    <row r="3356">
      <c r="A3356" s="6" t="n">
        <v>86739</v>
      </c>
      <c r="B3356" s="6" t="inlineStr">
        <is>
          <t>OLE SMOKY APPLE PIE MOONSHINE</t>
        </is>
      </c>
      <c r="C3356" s="7">
        <f>VLOOKUP(A3356,SizeData!A$2:B$3839,2,FALSE)</f>
        <v/>
      </c>
      <c r="D3356" s="6" t="n">
        <v>1</v>
      </c>
      <c r="E3356" s="6" t="inlineStr">
        <is>
          <t>R1393008</t>
        </is>
      </c>
      <c r="F3356" s="2" t="n">
        <v>44558</v>
      </c>
      <c r="G3356" s="1" t="n"/>
    </row>
    <row r="3357">
      <c r="A3357" s="6" t="n">
        <v>86785</v>
      </c>
      <c r="B3357" s="6" t="inlineStr">
        <is>
          <t>OLE SMOKY APPLE PIE MOONSHINE 70PF</t>
        </is>
      </c>
      <c r="C3357" s="7">
        <f>VLOOKUP(A3357,SizeData!A$2:B$3839,2,FALSE)</f>
        <v/>
      </c>
      <c r="D3357" s="6" t="n">
        <v>1</v>
      </c>
      <c r="E3357" s="6" t="inlineStr">
        <is>
          <t>R1470632</t>
        </is>
      </c>
      <c r="F3357" s="2" t="n">
        <v>44605</v>
      </c>
      <c r="G3357" s="1" t="n"/>
    </row>
    <row r="3358">
      <c r="A3358" s="6" t="n">
        <v>86785</v>
      </c>
      <c r="B3358" s="6" t="inlineStr">
        <is>
          <t>OLE SMOKY APPLE PIE MOONSHINE 70PF</t>
        </is>
      </c>
      <c r="C3358" s="7">
        <f>VLOOKUP(A3358,SizeData!A$2:B$3839,2,FALSE)</f>
        <v/>
      </c>
      <c r="D3358" s="6" t="n">
        <v>1</v>
      </c>
      <c r="E3358" s="6" t="inlineStr">
        <is>
          <t>R1531250</t>
        </is>
      </c>
      <c r="F3358" s="2" t="n">
        <v>44639</v>
      </c>
      <c r="G3358" s="1" t="n"/>
    </row>
    <row r="3359">
      <c r="A3359" s="6" t="n">
        <v>86845</v>
      </c>
      <c r="B3359" s="6" t="inlineStr">
        <is>
          <t>OLE SMOKY BLACKBERRY MOONSHINE</t>
        </is>
      </c>
      <c r="C3359" s="7">
        <f>VLOOKUP(A3359,SizeData!A$2:B$3839,2,FALSE)</f>
        <v/>
      </c>
      <c r="D3359" s="6" t="n">
        <v>1</v>
      </c>
      <c r="E3359" s="6" t="inlineStr">
        <is>
          <t>R1393008</t>
        </is>
      </c>
      <c r="F3359" s="2" t="n">
        <v>44558</v>
      </c>
      <c r="G3359" s="1" t="n"/>
    </row>
    <row r="3360">
      <c r="A3360" s="6" t="n">
        <v>86970</v>
      </c>
      <c r="B3360" s="6" t="inlineStr">
        <is>
          <t>OLE SMOKY BLUE FLAME MOONSHINE</t>
        </is>
      </c>
      <c r="C3360" s="7">
        <f>VLOOKUP(A3360,SizeData!A$2:B$3839,2,FALSE)</f>
        <v/>
      </c>
      <c r="D3360" s="6" t="n">
        <v>1</v>
      </c>
      <c r="E3360" s="6" t="inlineStr">
        <is>
          <t>R1457066</t>
        </is>
      </c>
      <c r="F3360" s="2" t="n">
        <v>44602</v>
      </c>
      <c r="G3360" s="1" t="n"/>
    </row>
    <row r="3361">
      <c r="A3361" s="6" t="n">
        <v>76412</v>
      </c>
      <c r="B3361" s="6" t="inlineStr">
        <is>
          <t>OLE SMOKY BUTTER PECAN MOONSHINE</t>
        </is>
      </c>
      <c r="C3361" s="7">
        <f>VLOOKUP(A3361,SizeData!A$2:B$3839,2,FALSE)</f>
        <v/>
      </c>
      <c r="D3361" s="6" t="n">
        <v>1</v>
      </c>
      <c r="E3361" s="6" t="inlineStr">
        <is>
          <t>R1488872</t>
        </is>
      </c>
      <c r="F3361" s="2" t="n">
        <v>44627</v>
      </c>
      <c r="G3361" s="1" t="n"/>
    </row>
    <row r="3362">
      <c r="A3362" s="6" t="n">
        <v>76413</v>
      </c>
      <c r="B3362" s="6" t="inlineStr">
        <is>
          <t>OLE SMOKY BUTTER PECAN MOONSHINE</t>
        </is>
      </c>
      <c r="C3362" s="7">
        <f>VLOOKUP(A3362,SizeData!A$2:B$3839,2,FALSE)</f>
        <v/>
      </c>
      <c r="D3362" s="6" t="n">
        <v>10</v>
      </c>
      <c r="E3362" s="6" t="inlineStr">
        <is>
          <t>R1442273</t>
        </is>
      </c>
      <c r="F3362" s="2" t="n">
        <v>44594</v>
      </c>
      <c r="G3362" s="1" t="n"/>
    </row>
    <row r="3363">
      <c r="A3363" s="6" t="n">
        <v>76413</v>
      </c>
      <c r="B3363" s="6" t="inlineStr">
        <is>
          <t>OLE SMOKY BUTTER PECAN MOONSHINE</t>
        </is>
      </c>
      <c r="C3363" s="7">
        <f>VLOOKUP(A3363,SizeData!A$2:B$3839,2,FALSE)</f>
        <v/>
      </c>
      <c r="D3363" s="6" t="n">
        <v>2</v>
      </c>
      <c r="E3363" s="6" t="inlineStr">
        <is>
          <t>R1488872</t>
        </is>
      </c>
      <c r="F3363" s="2" t="n">
        <v>44627</v>
      </c>
      <c r="G3363" s="1" t="n"/>
    </row>
    <row r="3364">
      <c r="A3364" s="6" t="n">
        <v>76413</v>
      </c>
      <c r="B3364" s="6" t="inlineStr">
        <is>
          <t>OLE SMOKY BUTTER PECAN MOONSHINE</t>
        </is>
      </c>
      <c r="C3364" s="7">
        <f>VLOOKUP(A3364,SizeData!A$2:B$3839,2,FALSE)</f>
        <v/>
      </c>
      <c r="D3364" s="6" t="n">
        <v>5</v>
      </c>
      <c r="E3364" s="6" t="inlineStr">
        <is>
          <t>R1549891</t>
        </is>
      </c>
      <c r="F3364" s="2" t="n">
        <v>44656</v>
      </c>
      <c r="G3364" s="1" t="n"/>
    </row>
    <row r="3365">
      <c r="A3365" s="6" t="n">
        <v>63206</v>
      </c>
      <c r="B3365" s="6" t="inlineStr">
        <is>
          <t>OLE SMOKY MOUNTAIN RITA MOONSHINE COCKTAIL 355ML</t>
        </is>
      </c>
      <c r="C3365" s="7">
        <f>VLOOKUP(A3365,SizeData!A$2:B$3839,2,FALSE)</f>
        <v/>
      </c>
      <c r="D3365" s="6" t="n">
        <v>1</v>
      </c>
      <c r="E3365" s="6" t="inlineStr">
        <is>
          <t>R1648285</t>
        </is>
      </c>
      <c r="F3365" s="2" t="n">
        <v>44729</v>
      </c>
      <c r="G3365" s="1" t="n"/>
    </row>
    <row r="3366">
      <c r="A3366" s="6" t="n">
        <v>87018</v>
      </c>
      <c r="B3366" s="6" t="inlineStr">
        <is>
          <t>OLE SMOKY PEACH WHISKEY</t>
        </is>
      </c>
      <c r="C3366" s="7">
        <f>VLOOKUP(A3366,SizeData!A$2:B$3839,2,FALSE)</f>
        <v/>
      </c>
      <c r="D3366" s="6" t="n">
        <v>1</v>
      </c>
      <c r="E3366" s="6" t="inlineStr">
        <is>
          <t>R1409636</t>
        </is>
      </c>
      <c r="F3366" s="2" t="n">
        <v>44572</v>
      </c>
      <c r="G3366" s="1" t="n"/>
    </row>
    <row r="3367">
      <c r="A3367" s="6" t="n">
        <v>87018</v>
      </c>
      <c r="B3367" s="6" t="inlineStr">
        <is>
          <t>OLE SMOKY PEACH WHISKEY 60P</t>
        </is>
      </c>
      <c r="C3367" s="7">
        <f>VLOOKUP(A3367,SizeData!A$2:B$3839,2,FALSE)</f>
        <v/>
      </c>
      <c r="D3367" s="6" t="n">
        <v>1</v>
      </c>
      <c r="E3367" s="6" t="inlineStr">
        <is>
          <t>R1734629</t>
        </is>
      </c>
      <c r="F3367" s="2" t="n">
        <v>44792</v>
      </c>
      <c r="G3367" s="1" t="n"/>
    </row>
    <row r="3368">
      <c r="A3368" s="6" t="n">
        <v>87043</v>
      </c>
      <c r="B3368" s="6" t="inlineStr">
        <is>
          <t>OLE SMOKY PEANUT BUTTER WHISKEY</t>
        </is>
      </c>
      <c r="C3368" s="7">
        <f>VLOOKUP(A3368,SizeData!A$2:B$3839,2,FALSE)</f>
        <v/>
      </c>
      <c r="D3368" s="6" t="n">
        <v>1</v>
      </c>
      <c r="E3368" s="6" t="inlineStr">
        <is>
          <t>R1388669</t>
        </is>
      </c>
      <c r="F3368" s="2" t="n">
        <v>44560</v>
      </c>
      <c r="G3368" s="1" t="n"/>
    </row>
    <row r="3369">
      <c r="A3369" s="6" t="n">
        <v>86843</v>
      </c>
      <c r="B3369" s="6" t="inlineStr">
        <is>
          <t>OLE SMOKY SALTY CARAMEL WHISKEY</t>
        </is>
      </c>
      <c r="C3369" s="7">
        <f>VLOOKUP(A3369,SizeData!A$2:B$3839,2,FALSE)</f>
        <v/>
      </c>
      <c r="D3369" s="6" t="n">
        <v>2</v>
      </c>
      <c r="E3369" s="6" t="inlineStr">
        <is>
          <t>R1388669</t>
        </is>
      </c>
      <c r="F3369" s="2" t="n">
        <v>44560</v>
      </c>
      <c r="G3369" s="1" t="n"/>
    </row>
    <row r="3370">
      <c r="A3370" s="6" t="n">
        <v>86843</v>
      </c>
      <c r="B3370" s="6" t="inlineStr">
        <is>
          <t>OLE SMOKY SALTY CARAMEL WHISKEY</t>
        </is>
      </c>
      <c r="C3370" s="7">
        <f>VLOOKUP(A3370,SizeData!A$2:B$3839,2,FALSE)</f>
        <v/>
      </c>
      <c r="D3370" s="6" t="n">
        <v>2</v>
      </c>
      <c r="E3370" s="6" t="inlineStr">
        <is>
          <t>R1409636</t>
        </is>
      </c>
      <c r="F3370" s="2" t="n">
        <v>44572</v>
      </c>
      <c r="G3370" s="1" t="n"/>
    </row>
    <row r="3371">
      <c r="A3371" s="6" t="n">
        <v>86987</v>
      </c>
      <c r="B3371" s="6" t="inlineStr">
        <is>
          <t>OLE SMOKY SALTY WATERMELON WHISKEY</t>
        </is>
      </c>
      <c r="C3371" s="7">
        <f>VLOOKUP(A3371,SizeData!A$2:B$3839,2,FALSE)</f>
        <v/>
      </c>
      <c r="D3371" s="6" t="n">
        <v>2</v>
      </c>
      <c r="E3371" s="6" t="inlineStr">
        <is>
          <t>R1409636</t>
        </is>
      </c>
      <c r="F3371" s="2" t="n">
        <v>44572</v>
      </c>
      <c r="G3371" s="1" t="n"/>
    </row>
    <row r="3372">
      <c r="A3372" s="6" t="n">
        <v>86785</v>
      </c>
      <c r="B3372" s="6" t="inlineStr">
        <is>
          <t>OLE SMOKY TENN MOONSHINE APPLE PIE 70P</t>
        </is>
      </c>
      <c r="C3372" s="7">
        <f>VLOOKUP(A3372,SizeData!A$2:B$3839,2,FALSE)</f>
        <v/>
      </c>
      <c r="D3372" s="6" t="n">
        <v>1</v>
      </c>
      <c r="E3372" s="6" t="inlineStr">
        <is>
          <t>R1683818</t>
        </is>
      </c>
      <c r="F3372" s="2" t="n">
        <v>44754</v>
      </c>
      <c r="G3372" s="1" t="n"/>
    </row>
    <row r="3373">
      <c r="A3373" s="6" t="n">
        <v>86785</v>
      </c>
      <c r="B3373" s="6" t="inlineStr">
        <is>
          <t>OLE SMOKY TENN MOONSHINE APPLE PIE 70P</t>
        </is>
      </c>
      <c r="C3373" s="7">
        <f>VLOOKUP(A3373,SizeData!A$2:B$3839,2,FALSE)</f>
        <v/>
      </c>
      <c r="D3373" s="6" t="n">
        <v>2</v>
      </c>
      <c r="E3373" s="6" t="inlineStr">
        <is>
          <t>R1682790</t>
        </is>
      </c>
      <c r="F3373" s="2" t="n">
        <v>44762</v>
      </c>
      <c r="G3373" s="1" t="n"/>
    </row>
    <row r="3374">
      <c r="A3374" s="6" t="n">
        <v>86970</v>
      </c>
      <c r="B3374" s="6" t="inlineStr">
        <is>
          <t>OLE SMOKY TENN MOONSHINE BLUE FLAME</t>
        </is>
      </c>
      <c r="C3374" s="7">
        <f>VLOOKUP(A3374,SizeData!A$2:B$3839,2,FALSE)</f>
        <v/>
      </c>
      <c r="D3374" s="6" t="n">
        <v>1</v>
      </c>
      <c r="E3374" s="6" t="inlineStr">
        <is>
          <t>R1646165</t>
        </is>
      </c>
      <c r="F3374" s="2" t="n">
        <v>44723</v>
      </c>
      <c r="G3374" s="1" t="n"/>
    </row>
    <row r="3375">
      <c r="A3375" s="6" t="n">
        <v>86970</v>
      </c>
      <c r="B3375" s="6" t="inlineStr">
        <is>
          <t>OLE SMOKY TENN MOONSHINE BLUE FLAME</t>
        </is>
      </c>
      <c r="C3375" s="7">
        <f>VLOOKUP(A3375,SizeData!A$2:B$3839,2,FALSE)</f>
        <v/>
      </c>
      <c r="D3375" s="6" t="n">
        <v>1</v>
      </c>
      <c r="E3375" s="6" t="inlineStr">
        <is>
          <t>R1905562</t>
        </is>
      </c>
      <c r="F3375" s="2" t="n">
        <v>44902</v>
      </c>
      <c r="G3375" s="1" t="n"/>
    </row>
    <row r="3376">
      <c r="A3376" s="6" t="n">
        <v>76412</v>
      </c>
      <c r="B3376" s="6" t="inlineStr">
        <is>
          <t>OLE SMOKY TENN MOONSHINE BUTTER PECAN</t>
        </is>
      </c>
      <c r="C3376" s="7">
        <f>VLOOKUP(A3376,SizeData!A$2:B$3839,2,FALSE)</f>
        <v/>
      </c>
      <c r="D3376" s="6" t="n">
        <v>1</v>
      </c>
      <c r="E3376" s="6" t="inlineStr">
        <is>
          <t>R1585910</t>
        </is>
      </c>
      <c r="F3376" s="2" t="n">
        <v>44671</v>
      </c>
      <c r="G3376" s="1" t="n"/>
    </row>
    <row r="3377">
      <c r="A3377" s="26" t="n">
        <v>76412</v>
      </c>
      <c r="B3377" s="26" t="inlineStr">
        <is>
          <t>OLE SMOKY TENN MOONSHINE BUTTER PECAN</t>
        </is>
      </c>
      <c r="C3377" s="7">
        <f>VLOOKUP(A3377,SizeData!A$2:B$3839,2,FALSE)</f>
        <v/>
      </c>
      <c r="D3377" s="26" t="n">
        <v>2</v>
      </c>
      <c r="E3377" s="26" t="inlineStr">
        <is>
          <t>R1789511</t>
        </is>
      </c>
      <c r="F3377" s="61" t="n">
        <v>44832</v>
      </c>
      <c r="G3377" s="62" t="n"/>
    </row>
    <row r="3378">
      <c r="A3378" s="6" t="n">
        <v>76412</v>
      </c>
      <c r="B3378" s="6" t="inlineStr">
        <is>
          <t>OLE SMOKY TENN MOONSHINE BUTTER PECAN</t>
        </is>
      </c>
      <c r="C3378" s="7">
        <f>VLOOKUP(A3378,SizeData!A$2:B$3839,2,FALSE)</f>
        <v/>
      </c>
      <c r="D3378" s="6" t="n">
        <v>2</v>
      </c>
      <c r="E3378" s="6" t="inlineStr">
        <is>
          <t>R1880771</t>
        </is>
      </c>
      <c r="F3378" s="2" t="n">
        <v>44895</v>
      </c>
      <c r="G3378" s="1" t="n"/>
    </row>
    <row r="3379">
      <c r="A3379" s="6" t="n">
        <v>76413</v>
      </c>
      <c r="B3379" s="6" t="inlineStr">
        <is>
          <t>OLE SMOKY TENN MOONSHINE BUTTER PECAN</t>
        </is>
      </c>
      <c r="C3379" s="7">
        <f>VLOOKUP(A3379,SizeData!A$2:B$3839,2,FALSE)</f>
        <v/>
      </c>
      <c r="D3379" s="6" t="n">
        <v>1</v>
      </c>
      <c r="E3379" s="6" t="inlineStr">
        <is>
          <t>R1749860</t>
        </is>
      </c>
      <c r="F3379" s="2" t="n">
        <v>44811</v>
      </c>
      <c r="G3379" s="1" t="n"/>
    </row>
    <row r="3380">
      <c r="A3380" s="6" t="n">
        <v>76404</v>
      </c>
      <c r="B3380" s="6" t="inlineStr">
        <is>
          <t>OLE SMOKY TENN MOONSHINE DILL PICKLE</t>
        </is>
      </c>
      <c r="C3380" s="7">
        <f>VLOOKUP(A3380,SizeData!A$2:B$3839,2,FALSE)</f>
        <v/>
      </c>
      <c r="D3380" s="6" t="n">
        <v>1</v>
      </c>
      <c r="E3380" s="6" t="inlineStr">
        <is>
          <t>R1599922</t>
        </is>
      </c>
      <c r="F3380" s="2" t="n">
        <v>44696</v>
      </c>
      <c r="G3380" s="1" t="n"/>
    </row>
    <row r="3381">
      <c r="A3381" s="6" t="n">
        <v>86751</v>
      </c>
      <c r="B3381" s="6" t="inlineStr">
        <is>
          <t>OLE SMOKY TENN MOONSHINE HUNCH PUNCH LGHT 80P</t>
        </is>
      </c>
      <c r="C3381" s="7">
        <f>VLOOKUP(A3381,SizeData!A$2:B$3839,2,FALSE)</f>
        <v/>
      </c>
      <c r="D3381" s="6" t="n">
        <v>5</v>
      </c>
      <c r="E3381" s="6" t="inlineStr">
        <is>
          <t>R1579357</t>
        </is>
      </c>
      <c r="F3381" s="2" t="n">
        <v>44676</v>
      </c>
      <c r="G3381" s="1" t="n"/>
    </row>
    <row r="3382">
      <c r="A3382" s="6" t="n">
        <v>86828</v>
      </c>
      <c r="B3382" s="6" t="inlineStr">
        <is>
          <t>OLE SMOKY TENN MOONSHINE HUNCH PUNCH LGHT 80P</t>
        </is>
      </c>
      <c r="C3382" s="7">
        <f>VLOOKUP(A3382,SizeData!A$2:B$3839,2,FALSE)</f>
        <v/>
      </c>
      <c r="D3382" s="6" t="n">
        <v>2</v>
      </c>
      <c r="E3382" s="6" t="inlineStr">
        <is>
          <t>R1789511</t>
        </is>
      </c>
      <c r="F3382" s="2" t="n">
        <v>44832</v>
      </c>
      <c r="G3382" s="1" t="n"/>
    </row>
    <row r="3383">
      <c r="A3383" s="6" t="n">
        <v>86828</v>
      </c>
      <c r="B3383" s="6" t="inlineStr">
        <is>
          <t>OLE SMOKY TENN MOONSHINE HUNCH PUNCH LGHT 80P</t>
        </is>
      </c>
      <c r="C3383" s="7">
        <f>VLOOKUP(A3383,SizeData!A$2:B$3839,2,FALSE)</f>
        <v/>
      </c>
      <c r="D3383" s="6" t="n">
        <v>1</v>
      </c>
      <c r="E3383" s="6" t="inlineStr">
        <is>
          <t>R1880771</t>
        </is>
      </c>
      <c r="F3383" s="2" t="n">
        <v>44895</v>
      </c>
      <c r="G3383" s="1" t="n"/>
    </row>
    <row r="3384">
      <c r="A3384" s="6" t="n">
        <v>86751</v>
      </c>
      <c r="B3384" s="6" t="inlineStr">
        <is>
          <t>OLE SMOKY TENN. MOONSHINE HUNCH PUNCH LIGHTNIN'</t>
        </is>
      </c>
      <c r="C3384" s="7">
        <f>VLOOKUP(A3384,SizeData!A$2:B$3839,2,FALSE)</f>
        <v/>
      </c>
      <c r="D3384" s="6" t="n">
        <v>1</v>
      </c>
      <c r="E3384" s="6" t="inlineStr">
        <is>
          <t>R1497382</t>
        </is>
      </c>
      <c r="F3384" s="2" t="n">
        <v>44627</v>
      </c>
      <c r="G3384" s="1" t="n"/>
    </row>
    <row r="3385">
      <c r="A3385" s="6" t="n">
        <v>86751</v>
      </c>
      <c r="B3385" s="6" t="inlineStr">
        <is>
          <t>OLE SMOKY TENN. MOONSHINE HUNCH PUNCH LIGHTNIN'</t>
        </is>
      </c>
      <c r="C3385" s="7">
        <f>VLOOKUP(A3385,SizeData!A$2:B$3839,2,FALSE)</f>
        <v/>
      </c>
      <c r="D3385" s="6" t="n">
        <v>2</v>
      </c>
      <c r="E3385" s="6" t="inlineStr">
        <is>
          <t>R1529670</t>
        </is>
      </c>
      <c r="F3385" s="2" t="n">
        <v>44652</v>
      </c>
      <c r="G3385" s="1" t="n"/>
    </row>
    <row r="3386">
      <c r="A3386" s="6" t="n">
        <v>86839</v>
      </c>
      <c r="B3386" s="6" t="inlineStr">
        <is>
          <t>OLE SMOKY TENNESSEE MANGO HABANERO WHISKEY</t>
        </is>
      </c>
      <c r="C3386" s="7">
        <f>VLOOKUP(A3386,SizeData!A$2:B$3839,2,FALSE)</f>
        <v/>
      </c>
      <c r="D3386" s="6" t="n">
        <v>1</v>
      </c>
      <c r="E3386" s="6" t="inlineStr">
        <is>
          <t>R1821836</t>
        </is>
      </c>
      <c r="F3386" s="2" t="n">
        <v>44851</v>
      </c>
      <c r="G3386" s="1" t="n"/>
    </row>
    <row r="3387">
      <c r="A3387" s="6" t="n">
        <v>86748</v>
      </c>
      <c r="B3387" s="6" t="inlineStr">
        <is>
          <t>OLE SMOKY TENNESSEE MOONSHINE BLACKBERRY</t>
        </is>
      </c>
      <c r="C3387" s="7">
        <f>VLOOKUP(A3387,SizeData!A$2:B$3839,2,FALSE)</f>
        <v/>
      </c>
      <c r="D3387" s="6" t="n">
        <v>2</v>
      </c>
      <c r="E3387" s="6" t="inlineStr">
        <is>
          <t>R1688734</t>
        </is>
      </c>
      <c r="F3387" s="2" t="n">
        <v>44761</v>
      </c>
      <c r="G3387" s="1" t="n"/>
    </row>
    <row r="3388">
      <c r="A3388" s="6" t="n">
        <v>86748</v>
      </c>
      <c r="B3388" s="6" t="inlineStr">
        <is>
          <t>OLE SMOKY TENNESSEE MOONSHINE BLACKBERRY</t>
        </is>
      </c>
      <c r="C3388" s="7">
        <f>VLOOKUP(A3388,SizeData!A$2:B$3839,2,FALSE)</f>
        <v/>
      </c>
      <c r="D3388" s="6" t="n">
        <v>2</v>
      </c>
      <c r="E3388" s="6" t="inlineStr">
        <is>
          <t>R1682790</t>
        </is>
      </c>
      <c r="F3388" s="2" t="n">
        <v>44762</v>
      </c>
      <c r="G3388" s="1" t="n"/>
    </row>
    <row r="3389">
      <c r="A3389" s="6" t="n">
        <v>86753</v>
      </c>
      <c r="B3389" s="6" t="inlineStr">
        <is>
          <t>OLE SMOKY TENNESSEE MOONSHINE PEACH</t>
        </is>
      </c>
      <c r="C3389" s="7">
        <f>VLOOKUP(A3389,SizeData!A$2:B$3839,2,FALSE)</f>
        <v/>
      </c>
      <c r="D3389" s="6" t="n">
        <v>1</v>
      </c>
      <c r="E3389" s="6" t="inlineStr">
        <is>
          <t>R1470632</t>
        </is>
      </c>
      <c r="F3389" s="2" t="n">
        <v>44605</v>
      </c>
      <c r="G3389" s="1" t="n"/>
    </row>
    <row r="3390">
      <c r="A3390" s="6" t="n">
        <v>86753</v>
      </c>
      <c r="B3390" s="6" t="inlineStr">
        <is>
          <t>OLE SMOKY TENNESSEE MOONSHINE PEACH</t>
        </is>
      </c>
      <c r="C3390" s="7">
        <f>VLOOKUP(A3390,SizeData!A$2:B$3839,2,FALSE)</f>
        <v/>
      </c>
      <c r="D3390" s="6" t="n">
        <v>2</v>
      </c>
      <c r="E3390" s="6" t="inlineStr">
        <is>
          <t>R1682790</t>
        </is>
      </c>
      <c r="F3390" s="2" t="n">
        <v>44762</v>
      </c>
      <c r="G3390" s="1" t="n"/>
    </row>
    <row r="3391">
      <c r="A3391" s="6" t="n">
        <v>86771</v>
      </c>
      <c r="B3391" s="6" t="inlineStr">
        <is>
          <t>OLE SMOKY TENNESSEE MOONSHINE WHITE LIGHTNIN</t>
        </is>
      </c>
      <c r="C3391" s="7">
        <f>VLOOKUP(A3391,SizeData!A$2:B$3839,2,FALSE)</f>
        <v/>
      </c>
      <c r="D3391" s="6" t="n">
        <v>1</v>
      </c>
      <c r="E3391" s="6" t="inlineStr">
        <is>
          <t>R1531250</t>
        </is>
      </c>
      <c r="F3391" s="2" t="n">
        <v>44639</v>
      </c>
      <c r="G3391" s="1" t="n"/>
    </row>
    <row r="3392">
      <c r="A3392" s="6" t="n">
        <v>86771</v>
      </c>
      <c r="B3392" s="6" t="inlineStr">
        <is>
          <t>OLE SMOKY TENNESSEE MOONSHINE WHITE LIGHTNIN</t>
        </is>
      </c>
      <c r="C3392" s="7">
        <f>VLOOKUP(A3392,SizeData!A$2:B$3839,2,FALSE)</f>
        <v/>
      </c>
      <c r="D3392" s="6" t="n">
        <v>1</v>
      </c>
      <c r="E3392" s="6" t="inlineStr">
        <is>
          <t>R1672878</t>
        </is>
      </c>
      <c r="F3392" s="2" t="n">
        <v>44743</v>
      </c>
      <c r="G3392" s="1" t="n"/>
    </row>
    <row r="3393">
      <c r="A3393" s="6" t="n">
        <v>86771</v>
      </c>
      <c r="B3393" s="6" t="inlineStr">
        <is>
          <t>OLE SMOKY TENNESSEE MOONSHINE WHITE LIGHTNIN</t>
        </is>
      </c>
      <c r="C3393" s="7">
        <f>VLOOKUP(A3393,SizeData!A$2:B$3839,2,FALSE)</f>
        <v/>
      </c>
      <c r="D3393" s="6" t="n">
        <v>2</v>
      </c>
      <c r="E3393" s="6" t="inlineStr">
        <is>
          <t>R1683818</t>
        </is>
      </c>
      <c r="F3393" s="2" t="n">
        <v>44754</v>
      </c>
      <c r="G3393" s="1" t="n"/>
    </row>
    <row r="3394">
      <c r="A3394" s="6" t="n">
        <v>86771</v>
      </c>
      <c r="B3394" s="6" t="inlineStr">
        <is>
          <t>OLE SMOKY TENNESSEE MOONSHINE WHITE LIGHTNIN</t>
        </is>
      </c>
      <c r="C3394" s="7">
        <f>VLOOKUP(A3394,SizeData!A$2:B$3839,2,FALSE)</f>
        <v/>
      </c>
      <c r="D3394" s="6" t="n">
        <v>1</v>
      </c>
      <c r="E3394" s="6" t="inlineStr">
        <is>
          <t>R1796778</t>
        </is>
      </c>
      <c r="F3394" s="2" t="n">
        <v>44834</v>
      </c>
      <c r="G3394" s="1" t="n"/>
    </row>
    <row r="3395">
      <c r="A3395" s="6" t="n">
        <v>86771</v>
      </c>
      <c r="B3395" s="6" t="inlineStr">
        <is>
          <t>OLE SMOKY TENNESSEE MOONSHINE WHITE LIGHTNIN</t>
        </is>
      </c>
      <c r="C3395" s="7">
        <f>VLOOKUP(A3395,SizeData!A$2:B$3839,2,FALSE)</f>
        <v/>
      </c>
      <c r="D3395" s="6" t="n">
        <v>1</v>
      </c>
      <c r="E3395" s="6" t="inlineStr">
        <is>
          <t>R1832815</t>
        </is>
      </c>
      <c r="F3395" s="2" t="n">
        <v>44855</v>
      </c>
      <c r="G3395" s="1" t="n"/>
    </row>
    <row r="3396">
      <c r="A3396" s="6" t="n">
        <v>87043</v>
      </c>
      <c r="B3396" s="6" t="inlineStr">
        <is>
          <t>OLE SMOKY TENNESSEE PEANUT BUTTER WHISKEY</t>
        </is>
      </c>
      <c r="C3396" s="7">
        <f>VLOOKUP(A3396,SizeData!A$2:B$3839,2,FALSE)</f>
        <v/>
      </c>
      <c r="D3396" s="6" t="n">
        <v>1</v>
      </c>
      <c r="E3396" s="6" t="inlineStr">
        <is>
          <t>R1749860</t>
        </is>
      </c>
      <c r="F3396" s="2" t="n">
        <v>44811</v>
      </c>
      <c r="G3396" s="1" t="n"/>
    </row>
    <row r="3397">
      <c r="A3397" s="6" t="n">
        <v>88189</v>
      </c>
      <c r="B3397" s="6" t="inlineStr">
        <is>
          <t>OLMECA ALTOS PLATA</t>
        </is>
      </c>
      <c r="C3397" s="7">
        <f>VLOOKUP(A3397,SizeData!A$2:B$3839,2,FALSE)</f>
        <v/>
      </c>
      <c r="D3397" s="6" t="n">
        <v>1</v>
      </c>
      <c r="E3397" s="6" t="inlineStr">
        <is>
          <t>R1854075</t>
        </is>
      </c>
      <c r="F3397" s="2" t="n">
        <v>44873</v>
      </c>
      <c r="G3397" s="1" t="n"/>
    </row>
    <row r="3398">
      <c r="A3398" s="6" t="n">
        <v>88189</v>
      </c>
      <c r="B3398" s="6" t="inlineStr">
        <is>
          <t>OLMECA ALTOS PLATA</t>
        </is>
      </c>
      <c r="C3398" s="7">
        <f>VLOOKUP(A3398,SizeData!A$2:B$3839,2,FALSE)</f>
        <v/>
      </c>
      <c r="D3398" s="6" t="n">
        <v>2</v>
      </c>
      <c r="E3398" s="6" t="inlineStr">
        <is>
          <t>R1883661</t>
        </is>
      </c>
      <c r="F3398" s="2" t="n">
        <v>44893</v>
      </c>
      <c r="G3398" s="1" t="n"/>
    </row>
    <row r="3399">
      <c r="A3399" s="31" t="n">
        <v>88185</v>
      </c>
      <c r="B3399" s="31" t="inlineStr">
        <is>
          <t>OLMECA ALTOS PLATA TEQUILA</t>
        </is>
      </c>
      <c r="C3399" s="7">
        <f>VLOOKUP(A3399,SizeData!A$2:B$3839,2,FALSE)</f>
        <v/>
      </c>
      <c r="D3399" s="31" t="n">
        <v>1</v>
      </c>
      <c r="E3399" s="31" t="inlineStr">
        <is>
          <t>R1664209</t>
        </is>
      </c>
      <c r="F3399" s="33" t="n">
        <v>44739</v>
      </c>
      <c r="G3399" s="34" t="n"/>
    </row>
    <row r="3400">
      <c r="A3400" s="6" t="n">
        <v>88185</v>
      </c>
      <c r="B3400" s="6" t="inlineStr">
        <is>
          <t>OLMECA ALTOS PLATA TEQUILA</t>
        </is>
      </c>
      <c r="C3400" s="7">
        <f>VLOOKUP(A3400,SizeData!A$2:B$3839,2,FALSE)</f>
        <v/>
      </c>
      <c r="D3400" s="6" t="n">
        <v>1</v>
      </c>
      <c r="E3400" s="6" t="inlineStr">
        <is>
          <t>R1695857</t>
        </is>
      </c>
      <c r="F3400" s="2" t="n">
        <v>44758</v>
      </c>
      <c r="G3400" s="1" t="n"/>
    </row>
    <row r="3401">
      <c r="A3401" s="6" t="n">
        <v>88255</v>
      </c>
      <c r="B3401" s="6" t="inlineStr">
        <is>
          <t>OLMECA ALTOS REPOSADO</t>
        </is>
      </c>
      <c r="C3401" s="7">
        <f>VLOOKUP(A3401,SizeData!A$2:B$3839,2,FALSE)</f>
        <v/>
      </c>
      <c r="D3401" s="6" t="n">
        <v>1</v>
      </c>
      <c r="E3401" s="6" t="inlineStr">
        <is>
          <t>R1840965</t>
        </is>
      </c>
      <c r="F3401" s="2" t="n">
        <v>44863</v>
      </c>
      <c r="G3401" s="1" t="n"/>
    </row>
    <row r="3402">
      <c r="A3402" s="6" t="n">
        <v>88255</v>
      </c>
      <c r="B3402" s="6" t="inlineStr">
        <is>
          <t>OLMECA ALTOS REPOSADO</t>
        </is>
      </c>
      <c r="C3402" s="7">
        <f>VLOOKUP(A3402,SizeData!A$2:B$3839,2,FALSE)</f>
        <v/>
      </c>
      <c r="D3402" s="6" t="n">
        <v>2</v>
      </c>
      <c r="E3402" s="6" t="inlineStr">
        <is>
          <t>R1883661</t>
        </is>
      </c>
      <c r="F3402" s="2" t="n">
        <v>44893</v>
      </c>
      <c r="G3402" s="1" t="n"/>
    </row>
    <row r="3403">
      <c r="A3403" s="6" t="n">
        <v>89610</v>
      </c>
      <c r="B3403" s="6" t="inlineStr">
        <is>
          <t>OLMECA ALTOS REPOSADO</t>
        </is>
      </c>
      <c r="C3403" s="7">
        <f>VLOOKUP(A3403,SizeData!A$2:B$3839,2,FALSE)</f>
        <v/>
      </c>
      <c r="D3403" s="6" t="n">
        <v>1</v>
      </c>
      <c r="E3403" s="6" t="inlineStr">
        <is>
          <t>R1854075</t>
        </is>
      </c>
      <c r="F3403" s="2" t="n">
        <v>44873</v>
      </c>
      <c r="G3403" s="1" t="n"/>
    </row>
    <row r="3404">
      <c r="A3404" s="6" t="n">
        <v>89610</v>
      </c>
      <c r="B3404" s="6" t="inlineStr">
        <is>
          <t>OLMECA ALTOS REPOSADO</t>
        </is>
      </c>
      <c r="C3404" s="7">
        <f>VLOOKUP(A3404,SizeData!A$2:B$3839,2,FALSE)</f>
        <v/>
      </c>
      <c r="D3404" s="6" t="n">
        <v>1</v>
      </c>
      <c r="E3404" s="6" t="inlineStr">
        <is>
          <t>R1894245</t>
        </is>
      </c>
      <c r="F3404" s="2" t="n">
        <v>44902</v>
      </c>
      <c r="G3404" s="1" t="n"/>
    </row>
    <row r="3405">
      <c r="A3405" s="6" t="n">
        <v>89610</v>
      </c>
      <c r="B3405" s="6" t="inlineStr">
        <is>
          <t>OLMECA ALTOS REPOSADO</t>
        </is>
      </c>
      <c r="C3405" s="7">
        <f>VLOOKUP(A3405,SizeData!A$2:B$3839,2,FALSE)</f>
        <v/>
      </c>
      <c r="D3405" s="6" t="n">
        <v>1</v>
      </c>
      <c r="E3405" s="6" t="inlineStr">
        <is>
          <t>R1894827</t>
        </is>
      </c>
      <c r="F3405" s="2" t="n">
        <v>44902</v>
      </c>
      <c r="G3405" s="1" t="n"/>
    </row>
    <row r="3406">
      <c r="A3406" s="39" t="n">
        <v>89635</v>
      </c>
      <c r="B3406" s="39" t="inlineStr">
        <is>
          <t>OLMECA ALTOS REPOSADO TEQUILA</t>
        </is>
      </c>
      <c r="C3406" s="7">
        <f>VLOOKUP(A3406,SizeData!A$2:B$3839,2,FALSE)</f>
        <v/>
      </c>
      <c r="D3406" s="39" t="n">
        <v>1</v>
      </c>
      <c r="E3406" s="39" t="inlineStr">
        <is>
          <t>R1664209</t>
        </is>
      </c>
      <c r="F3406" s="40" t="n">
        <v>44739</v>
      </c>
      <c r="G3406" s="41" t="n"/>
    </row>
    <row r="3407">
      <c r="A3407" s="6" t="n">
        <v>63131</v>
      </c>
      <c r="B3407" s="6" t="inlineStr">
        <is>
          <t>ON THE ROCKS CRUZAN DAIQUIRI</t>
        </is>
      </c>
      <c r="C3407" s="7">
        <f>VLOOKUP(A3407,SizeData!A$2:B$3839,2,FALSE)</f>
        <v/>
      </c>
      <c r="D3407" s="6" t="n">
        <v>3</v>
      </c>
      <c r="E3407" s="6" t="inlineStr">
        <is>
          <t>R1740281</t>
        </is>
      </c>
      <c r="F3407" s="2" t="n">
        <v>44788</v>
      </c>
      <c r="G3407" s="1" t="n"/>
    </row>
    <row r="3408">
      <c r="A3408" s="6" t="n">
        <v>63131</v>
      </c>
      <c r="B3408" s="6" t="inlineStr">
        <is>
          <t>ON THE ROCKS CRUZAN DAIQUIRI</t>
        </is>
      </c>
      <c r="C3408" s="7">
        <f>VLOOKUP(A3408,SizeData!A$2:B$3839,2,FALSE)</f>
        <v/>
      </c>
      <c r="D3408" s="6" t="n">
        <v>5</v>
      </c>
      <c r="E3408" s="6" t="inlineStr">
        <is>
          <t>R1855132</t>
        </is>
      </c>
      <c r="F3408" s="2" t="n">
        <v>44866</v>
      </c>
      <c r="G3408" s="1" t="n"/>
    </row>
    <row r="3409">
      <c r="A3409" s="6" t="n">
        <v>63319</v>
      </c>
      <c r="B3409" s="6" t="inlineStr">
        <is>
          <t>ON THE ROCKS EFFEN COSMOPOLITAN</t>
        </is>
      </c>
      <c r="C3409" s="7">
        <f>VLOOKUP(A3409,SizeData!A$2:B$3839,2,FALSE)</f>
        <v/>
      </c>
      <c r="D3409" s="6" t="n">
        <v>4</v>
      </c>
      <c r="E3409" s="6" t="inlineStr">
        <is>
          <t>R1442339</t>
        </is>
      </c>
      <c r="F3409" s="2" t="n">
        <v>44592</v>
      </c>
      <c r="G3409" s="1" t="n"/>
    </row>
    <row r="3410">
      <c r="A3410" s="6" t="n">
        <v>63319</v>
      </c>
      <c r="B3410" s="6" t="inlineStr">
        <is>
          <t>ON THE ROCKS EFFEN COSMOPOLITAN</t>
        </is>
      </c>
      <c r="C3410" s="7">
        <f>VLOOKUP(A3410,SizeData!A$2:B$3839,2,FALSE)</f>
        <v/>
      </c>
      <c r="D3410" s="6" t="n">
        <v>3</v>
      </c>
      <c r="E3410" s="6" t="inlineStr">
        <is>
          <t>R1491088</t>
        </is>
      </c>
      <c r="F3410" s="2" t="n">
        <v>44623</v>
      </c>
      <c r="G3410" s="1" t="n"/>
    </row>
    <row r="3411">
      <c r="A3411" s="6" t="n">
        <v>63319</v>
      </c>
      <c r="B3411" s="6" t="inlineStr">
        <is>
          <t>ON THE ROCKS EFFEN COSMOPOLITAN</t>
        </is>
      </c>
      <c r="C3411" s="7">
        <f>VLOOKUP(A3411,SizeData!A$2:B$3839,2,FALSE)</f>
        <v/>
      </c>
      <c r="D3411" s="6" t="n">
        <v>2</v>
      </c>
      <c r="E3411" s="6" t="inlineStr">
        <is>
          <t>R1515367</t>
        </is>
      </c>
      <c r="F3411" s="2" t="n">
        <v>44635</v>
      </c>
      <c r="G3411" s="1" t="n"/>
    </row>
    <row r="3412">
      <c r="A3412" s="1" t="n">
        <v>63319</v>
      </c>
      <c r="B3412" s="1" t="inlineStr">
        <is>
          <t>ON THE ROCKS EFFEN COSMOPOLITAN</t>
        </is>
      </c>
      <c r="C3412" s="7">
        <f>VLOOKUP(A3412,SizeData!A$2:B$3839,2,FALSE)</f>
        <v/>
      </c>
      <c r="D3412" s="1" t="n">
        <v>4</v>
      </c>
      <c r="E3412" s="1" t="inlineStr">
        <is>
          <t>R1537267</t>
        </is>
      </c>
      <c r="F3412" s="33" t="n">
        <v>44649</v>
      </c>
      <c r="G3412" s="1" t="n"/>
    </row>
    <row r="3413">
      <c r="A3413" s="6" t="n">
        <v>63319</v>
      </c>
      <c r="B3413" s="6" t="inlineStr">
        <is>
          <t>ON THE ROCKS EFFEN COSMOPOLITAN</t>
        </is>
      </c>
      <c r="C3413" s="7">
        <f>VLOOKUP(A3413,SizeData!A$2:B$3839,2,FALSE)</f>
        <v/>
      </c>
      <c r="D3413" s="6" t="n">
        <v>7</v>
      </c>
      <c r="E3413" s="6" t="inlineStr">
        <is>
          <t>R1602457</t>
        </is>
      </c>
      <c r="F3413" s="2" t="n">
        <v>44691</v>
      </c>
      <c r="G3413" s="1" t="n"/>
    </row>
    <row r="3414">
      <c r="A3414" s="6" t="n">
        <v>63319</v>
      </c>
      <c r="B3414" s="6" t="inlineStr">
        <is>
          <t>ON THE ROCKS EFFEN COSMOPOLITAN</t>
        </is>
      </c>
      <c r="C3414" s="7">
        <f>VLOOKUP(A3414,SizeData!A$2:B$3839,2,FALSE)</f>
        <v/>
      </c>
      <c r="D3414" s="6" t="n">
        <v>4</v>
      </c>
      <c r="E3414" s="6" t="inlineStr">
        <is>
          <t>R1661463</t>
        </is>
      </c>
      <c r="F3414" s="2" t="n">
        <v>44735</v>
      </c>
      <c r="G3414" s="1" t="n"/>
    </row>
    <row r="3415">
      <c r="A3415" s="6" t="n">
        <v>63319</v>
      </c>
      <c r="B3415" s="6" t="inlineStr">
        <is>
          <t>ON THE ROCKS EFFEN COSMOPOLITAN</t>
        </is>
      </c>
      <c r="C3415" s="7">
        <f>VLOOKUP(A3415,SizeData!A$2:B$3839,2,FALSE)</f>
        <v/>
      </c>
      <c r="D3415" s="6" t="n">
        <v>5</v>
      </c>
      <c r="E3415" s="6" t="inlineStr">
        <is>
          <t>R1679342</t>
        </is>
      </c>
      <c r="F3415" s="2" t="n">
        <v>44753</v>
      </c>
      <c r="G3415" s="1" t="n"/>
    </row>
    <row r="3416">
      <c r="A3416" s="6" t="n">
        <v>63319</v>
      </c>
      <c r="B3416" s="6" t="inlineStr">
        <is>
          <t>ON THE ROCKS EFFEN COSMOPOLITAN</t>
        </is>
      </c>
      <c r="C3416" s="7">
        <f>VLOOKUP(A3416,SizeData!A$2:B$3839,2,FALSE)</f>
        <v/>
      </c>
      <c r="D3416" s="6" t="n">
        <v>2</v>
      </c>
      <c r="E3416" s="6" t="inlineStr">
        <is>
          <t>R1688734</t>
        </is>
      </c>
      <c r="F3416" s="2" t="n">
        <v>44761</v>
      </c>
      <c r="G3416" s="1" t="n"/>
    </row>
    <row r="3417">
      <c r="A3417" s="6" t="n">
        <v>63319</v>
      </c>
      <c r="B3417" s="6" t="inlineStr">
        <is>
          <t>ON THE ROCKS EFFEN COSMOPOLITAN</t>
        </is>
      </c>
      <c r="C3417" s="7">
        <f>VLOOKUP(A3417,SizeData!A$2:B$3839,2,FALSE)</f>
        <v/>
      </c>
      <c r="D3417" s="6" t="n">
        <v>15</v>
      </c>
      <c r="E3417" s="6" t="inlineStr">
        <is>
          <t>R1703000</t>
        </is>
      </c>
      <c r="F3417" s="2" t="n">
        <v>44774</v>
      </c>
      <c r="G3417" s="1" t="n"/>
    </row>
    <row r="3418">
      <c r="A3418" s="6" t="n">
        <v>63319</v>
      </c>
      <c r="B3418" s="6" t="inlineStr">
        <is>
          <t>ON THE ROCKS EFFEN COSMOPOLITAN</t>
        </is>
      </c>
      <c r="C3418" s="7">
        <f>VLOOKUP(A3418,SizeData!A$2:B$3839,2,FALSE)</f>
        <v/>
      </c>
      <c r="D3418" s="6" t="n">
        <v>10</v>
      </c>
      <c r="E3418" s="6" t="inlineStr">
        <is>
          <t>R1725199</t>
        </is>
      </c>
      <c r="F3418" s="2" t="n">
        <v>44775</v>
      </c>
      <c r="G3418" s="1" t="n"/>
    </row>
    <row r="3419">
      <c r="A3419" s="6" t="n">
        <v>63319</v>
      </c>
      <c r="B3419" s="6" t="inlineStr">
        <is>
          <t>ON THE ROCKS EFFEN COSMOPOLITAN</t>
        </is>
      </c>
      <c r="C3419" s="7">
        <f>VLOOKUP(A3419,SizeData!A$2:B$3839,2,FALSE)</f>
        <v/>
      </c>
      <c r="D3419" s="6" t="n">
        <v>5</v>
      </c>
      <c r="E3419" s="6" t="inlineStr">
        <is>
          <t>R1719137</t>
        </is>
      </c>
      <c r="F3419" s="2" t="n">
        <v>44781</v>
      </c>
      <c r="G3419" s="1" t="n"/>
    </row>
    <row r="3420">
      <c r="A3420" s="6" t="n">
        <v>63319</v>
      </c>
      <c r="B3420" s="6" t="inlineStr">
        <is>
          <t>ON THE ROCKS EFFEN COSMOPOLITAN</t>
        </is>
      </c>
      <c r="C3420" s="7">
        <f>VLOOKUP(A3420,SizeData!A$2:B$3839,2,FALSE)</f>
        <v/>
      </c>
      <c r="D3420" s="6" t="n">
        <v>60</v>
      </c>
      <c r="E3420" s="6" t="inlineStr">
        <is>
          <t>R1855132</t>
        </is>
      </c>
      <c r="F3420" s="2" t="n">
        <v>44866</v>
      </c>
      <c r="G3420" s="1" t="n"/>
    </row>
    <row r="3421">
      <c r="A3421" s="6" t="n">
        <v>63321</v>
      </c>
      <c r="B3421" s="6" t="inlineStr">
        <is>
          <t>ON THE ROCKS HORINITOS MARGARITA</t>
        </is>
      </c>
      <c r="C3421" s="7">
        <f>VLOOKUP(A3421,SizeData!A$2:B$3839,2,FALSE)</f>
        <v/>
      </c>
      <c r="D3421" s="6" t="n">
        <v>3</v>
      </c>
      <c r="E3421" s="6" t="inlineStr">
        <is>
          <t>R1518411</t>
        </is>
      </c>
      <c r="F3421" s="2" t="n">
        <v>44637</v>
      </c>
      <c r="G3421" s="1" t="n"/>
    </row>
    <row r="3422">
      <c r="A3422" s="39" t="n">
        <v>63321</v>
      </c>
      <c r="B3422" s="39" t="inlineStr">
        <is>
          <t>ON THE ROCKS HORINITOS MARGARITA</t>
        </is>
      </c>
      <c r="C3422" s="7">
        <f>VLOOKUP(A3422,SizeData!A$2:B$3839,2,FALSE)</f>
        <v/>
      </c>
      <c r="D3422" s="39" t="n">
        <v>3</v>
      </c>
      <c r="E3422" s="39" t="inlineStr">
        <is>
          <t>R1672413</t>
        </is>
      </c>
      <c r="F3422" s="40" t="n">
        <v>44740</v>
      </c>
      <c r="G3422" s="41" t="n"/>
    </row>
    <row r="3423">
      <c r="A3423" s="6" t="n">
        <v>63321</v>
      </c>
      <c r="B3423" s="6" t="inlineStr">
        <is>
          <t>ON THE ROCKS HORINITOS MARGARITA</t>
        </is>
      </c>
      <c r="C3423" s="7">
        <f>VLOOKUP(A3423,SizeData!A$2:B$3839,2,FALSE)</f>
        <v/>
      </c>
      <c r="D3423" s="6" t="n">
        <v>10</v>
      </c>
      <c r="E3423" s="6" t="inlineStr">
        <is>
          <t>R1713939</t>
        </is>
      </c>
      <c r="F3423" s="2" t="n">
        <v>44779</v>
      </c>
      <c r="G3423" s="1" t="n"/>
    </row>
    <row r="3424">
      <c r="A3424" s="6" t="n">
        <v>63321</v>
      </c>
      <c r="B3424" s="6" t="inlineStr">
        <is>
          <t>ON THE ROCKS HORINITOS MARGARITA</t>
        </is>
      </c>
      <c r="C3424" s="7">
        <f>VLOOKUP(A3424,SizeData!A$2:B$3839,2,FALSE)</f>
        <v/>
      </c>
      <c r="D3424" s="6" t="n">
        <v>3</v>
      </c>
      <c r="E3424" s="6" t="inlineStr">
        <is>
          <t>R1742052</t>
        </is>
      </c>
      <c r="F3424" s="2" t="n">
        <v>44795</v>
      </c>
      <c r="G3424" s="1" t="n"/>
    </row>
    <row r="3425">
      <c r="A3425" s="6" t="n">
        <v>63321</v>
      </c>
      <c r="B3425" s="6" t="inlineStr">
        <is>
          <t>ON THE ROCKS HORINITOS MARGARITA</t>
        </is>
      </c>
      <c r="C3425" s="7">
        <f>VLOOKUP(A3425,SizeData!A$2:B$3839,2,FALSE)</f>
        <v/>
      </c>
      <c r="D3425" s="6" t="n">
        <v>30</v>
      </c>
      <c r="E3425" s="6" t="inlineStr">
        <is>
          <t>R1855132</t>
        </is>
      </c>
      <c r="F3425" s="2" t="n">
        <v>44866</v>
      </c>
      <c r="G3425" s="1" t="n"/>
    </row>
    <row r="3426">
      <c r="A3426" s="6" t="n">
        <v>63347</v>
      </c>
      <c r="B3426" s="6" t="inlineStr">
        <is>
          <t>ON THE ROCKS KNOB CREEK OLD FASHIONED</t>
        </is>
      </c>
      <c r="C3426" s="7">
        <f>VLOOKUP(A3426,SizeData!A$2:B$3839,2,FALSE)</f>
        <v/>
      </c>
      <c r="D3426" s="6" t="n">
        <v>1</v>
      </c>
      <c r="E3426" s="6" t="inlineStr">
        <is>
          <t>R1515367</t>
        </is>
      </c>
      <c r="F3426" s="2" t="n">
        <v>44635</v>
      </c>
      <c r="G3426" s="1" t="n"/>
    </row>
    <row r="3427">
      <c r="A3427" s="6" t="n">
        <v>63347</v>
      </c>
      <c r="B3427" s="6" t="inlineStr">
        <is>
          <t>ON THE ROCKS KNOB CREEK OLD FASHIONED</t>
        </is>
      </c>
      <c r="C3427" s="7">
        <f>VLOOKUP(A3427,SizeData!A$2:B$3839,2,FALSE)</f>
        <v/>
      </c>
      <c r="D3427" s="6" t="n">
        <v>2</v>
      </c>
      <c r="E3427" s="6" t="inlineStr">
        <is>
          <t>R1717004</t>
        </is>
      </c>
      <c r="F3427" s="2" t="n">
        <v>44774</v>
      </c>
      <c r="G3427" s="62" t="n"/>
    </row>
    <row r="3428">
      <c r="A3428" s="6" t="n">
        <v>63347</v>
      </c>
      <c r="B3428" s="6" t="inlineStr">
        <is>
          <t>ON THE ROCKS KNOB CREEK OLD FASHIONED</t>
        </is>
      </c>
      <c r="C3428" s="7">
        <f>VLOOKUP(A3428,SizeData!A$2:B$3839,2,FALSE)</f>
        <v/>
      </c>
      <c r="D3428" s="6" t="n">
        <v>3</v>
      </c>
      <c r="E3428" s="6" t="inlineStr">
        <is>
          <t>R1713939</t>
        </is>
      </c>
      <c r="F3428" s="2" t="n">
        <v>44779</v>
      </c>
      <c r="G3428" s="1" t="n"/>
    </row>
    <row r="3429">
      <c r="A3429" s="6" t="n">
        <v>63347</v>
      </c>
      <c r="B3429" s="6" t="inlineStr">
        <is>
          <t>ON THE ROCKS KNOB CREEK OLD FASHIONED</t>
        </is>
      </c>
      <c r="C3429" s="7">
        <f>VLOOKUP(A3429,SizeData!A$2:B$3839,2,FALSE)</f>
        <v/>
      </c>
      <c r="D3429" s="6" t="n">
        <v>1</v>
      </c>
      <c r="E3429" s="6" t="inlineStr">
        <is>
          <t>R1754910</t>
        </is>
      </c>
      <c r="F3429" s="2" t="n">
        <v>44810</v>
      </c>
      <c r="G3429" s="1" t="n"/>
    </row>
    <row r="3430">
      <c r="A3430" s="6" t="n">
        <v>63347</v>
      </c>
      <c r="B3430" s="6" t="inlineStr">
        <is>
          <t>ON THE ROCKS KNOB CREEK OLD FASHIONED</t>
        </is>
      </c>
      <c r="C3430" s="7">
        <f>VLOOKUP(A3430,SizeData!A$2:B$3839,2,FALSE)</f>
        <v/>
      </c>
      <c r="D3430" s="6" t="n">
        <v>5</v>
      </c>
      <c r="E3430" s="6" t="inlineStr">
        <is>
          <t>R1855132</t>
        </is>
      </c>
      <c r="F3430" s="2" t="n">
        <v>44866</v>
      </c>
      <c r="G3430" s="1" t="n"/>
    </row>
    <row r="3431">
      <c r="A3431" s="6" t="n">
        <v>63345</v>
      </c>
      <c r="B3431" s="6" t="inlineStr">
        <is>
          <t>ON THE ROCKS TRES GEN JALAPENO PINEAPPLE MARGARITA</t>
        </is>
      </c>
      <c r="C3431" s="7">
        <f>VLOOKUP(A3431,SizeData!A$2:B$3839,2,FALSE)</f>
        <v/>
      </c>
      <c r="D3431" s="6" t="n">
        <v>1</v>
      </c>
      <c r="E3431" s="6" t="inlineStr">
        <is>
          <t>R1713113</t>
        </is>
      </c>
      <c r="F3431" s="2" t="n">
        <v>44774</v>
      </c>
      <c r="G3431" s="1" t="n"/>
    </row>
    <row r="3432">
      <c r="A3432" s="6" t="n">
        <v>63345</v>
      </c>
      <c r="B3432" s="6" t="inlineStr">
        <is>
          <t>ON THE ROCKS TRES GEN JALAPENO PINEAPPLE MARGARITA</t>
        </is>
      </c>
      <c r="C3432" s="7">
        <f>VLOOKUP(A3432,SizeData!A$2:B$3839,2,FALSE)</f>
        <v/>
      </c>
      <c r="D3432" s="6" t="n">
        <v>2</v>
      </c>
      <c r="E3432" s="6" t="inlineStr">
        <is>
          <t>R1754910</t>
        </is>
      </c>
      <c r="F3432" s="2" t="n">
        <v>44810</v>
      </c>
      <c r="G3432" s="1" t="n"/>
    </row>
    <row r="3433">
      <c r="A3433" s="26" t="n">
        <v>63345</v>
      </c>
      <c r="B3433" s="26" t="inlineStr">
        <is>
          <t>ON THE ROCKS TRES GEN JALAPENO PINEAPPLE MARGARITA</t>
        </is>
      </c>
      <c r="C3433" s="75">
        <f>VLOOKUP(A3433,SizeData!A$2:B$3839,2,FALSE)</f>
        <v/>
      </c>
      <c r="D3433" s="26" t="n">
        <v>5</v>
      </c>
      <c r="E3433" s="26" t="inlineStr">
        <is>
          <t>R1855132</t>
        </is>
      </c>
      <c r="F3433" s="61" t="n">
        <v>44866</v>
      </c>
      <c r="G3433" s="62" t="n"/>
    </row>
    <row r="3434">
      <c r="A3434" s="6" t="n">
        <v>50375</v>
      </c>
      <c r="B3434" s="6" t="inlineStr">
        <is>
          <t>ORIGINAL GANGSTER OG XO FRENCH BRANDY</t>
        </is>
      </c>
      <c r="C3434" s="7">
        <f>VLOOKUP(A3434,SizeData!A$2:B$3839,2,FALSE)</f>
        <v/>
      </c>
      <c r="D3434" s="6" t="n">
        <v>1</v>
      </c>
      <c r="E3434" s="6" t="inlineStr">
        <is>
          <t>R1416309</t>
        </is>
      </c>
      <c r="F3434" s="2" t="n">
        <v>44571</v>
      </c>
      <c r="G3434" s="1" t="n"/>
    </row>
    <row r="3435">
      <c r="A3435" s="6" t="n">
        <v>89644</v>
      </c>
      <c r="B3435" s="6" t="inlineStr">
        <is>
          <t>PATRON ANEJO TEQUILA</t>
        </is>
      </c>
      <c r="C3435" s="7">
        <f>VLOOKUP(A3435,SizeData!A$2:B$3839,2,FALSE)</f>
        <v/>
      </c>
      <c r="D3435" s="6" t="n">
        <v>4</v>
      </c>
      <c r="E3435" s="6" t="inlineStr">
        <is>
          <t>R1387146</t>
        </is>
      </c>
      <c r="F3435" s="2" t="n">
        <v>44552</v>
      </c>
      <c r="G3435" s="1" t="n"/>
    </row>
    <row r="3436">
      <c r="A3436" s="6" t="n">
        <v>89644</v>
      </c>
      <c r="B3436" s="6" t="inlineStr">
        <is>
          <t>PATRON ANEJO TEQUILA</t>
        </is>
      </c>
      <c r="C3436" s="7">
        <f>VLOOKUP(A3436,SizeData!A$2:B$3839,2,FALSE)</f>
        <v/>
      </c>
      <c r="D3436" s="6" t="n">
        <v>1</v>
      </c>
      <c r="E3436" s="6" t="inlineStr">
        <is>
          <t>R1793212</t>
        </is>
      </c>
      <c r="F3436" s="2" t="n">
        <v>44833</v>
      </c>
      <c r="G3436" s="1" t="n"/>
    </row>
    <row r="3437">
      <c r="A3437" s="26" t="n">
        <v>89644</v>
      </c>
      <c r="B3437" s="26" t="inlineStr">
        <is>
          <t>PATRON ANEJO TEQUILA</t>
        </is>
      </c>
      <c r="C3437" s="75">
        <f>VLOOKUP(A3437,SizeData!A$2:B$3839,2,FALSE)</f>
        <v/>
      </c>
      <c r="D3437" s="26" t="n">
        <v>1</v>
      </c>
      <c r="E3437" s="26" t="inlineStr">
        <is>
          <t>R1830533</t>
        </is>
      </c>
      <c r="F3437" s="61" t="n">
        <v>44852</v>
      </c>
      <c r="G3437" s="62" t="n"/>
    </row>
    <row r="3438">
      <c r="A3438" s="6" t="n">
        <v>89644</v>
      </c>
      <c r="B3438" s="6" t="inlineStr">
        <is>
          <t>PATRON ANEJO TEQUILA</t>
        </is>
      </c>
      <c r="C3438" s="7">
        <f>VLOOKUP(A3438,SizeData!A$2:B$3839,2,FALSE)</f>
        <v/>
      </c>
      <c r="D3438" s="6" t="n">
        <v>1</v>
      </c>
      <c r="E3438" s="6" t="inlineStr">
        <is>
          <t>R1832815</t>
        </is>
      </c>
      <c r="F3438" s="2" t="n">
        <v>44855</v>
      </c>
      <c r="G3438" s="1" t="n"/>
    </row>
    <row r="3439">
      <c r="A3439" s="6" t="n">
        <v>89646</v>
      </c>
      <c r="B3439" s="6" t="inlineStr">
        <is>
          <t>PATRON ANEJO TEQUILA</t>
        </is>
      </c>
      <c r="C3439" s="7">
        <f>VLOOKUP(A3439,SizeData!A$2:B$3839,2,FALSE)</f>
        <v/>
      </c>
      <c r="D3439" s="6" t="n">
        <v>1</v>
      </c>
      <c r="E3439" s="6" t="inlineStr">
        <is>
          <t>R1702995</t>
        </is>
      </c>
      <c r="F3439" s="2" t="n">
        <v>44772</v>
      </c>
      <c r="G3439" s="1" t="n"/>
    </row>
    <row r="3440">
      <c r="A3440" s="6" t="n">
        <v>89646</v>
      </c>
      <c r="B3440" s="6" t="inlineStr">
        <is>
          <t>PATRON ANEJO TEQUILA</t>
        </is>
      </c>
      <c r="C3440" s="7">
        <f>VLOOKUP(A3440,SizeData!A$2:B$3839,2,FALSE)</f>
        <v/>
      </c>
      <c r="D3440" s="6" t="n">
        <v>1</v>
      </c>
      <c r="E3440" s="6" t="inlineStr">
        <is>
          <t>R1767069</t>
        </is>
      </c>
      <c r="F3440" s="2" t="n">
        <v>44814</v>
      </c>
      <c r="G3440" s="1" t="n"/>
    </row>
    <row r="3441">
      <c r="A3441" s="26" t="n">
        <v>89646</v>
      </c>
      <c r="B3441" s="26" t="inlineStr">
        <is>
          <t>PATRON ANEJO TEQUILA</t>
        </is>
      </c>
      <c r="C3441" s="75">
        <f>VLOOKUP(A3441,SizeData!A$2:B$3839,2,FALSE)</f>
        <v/>
      </c>
      <c r="D3441" s="26" t="n">
        <v>1</v>
      </c>
      <c r="E3441" s="26" t="inlineStr">
        <is>
          <t>R1841934</t>
        </is>
      </c>
      <c r="F3441" s="61" t="n">
        <v>44866</v>
      </c>
      <c r="G3441" s="62" t="n"/>
    </row>
    <row r="3442">
      <c r="A3442" s="26" t="n">
        <v>89646</v>
      </c>
      <c r="B3442" s="26" t="inlineStr">
        <is>
          <t>PATRON ANEJO TEQUILA</t>
        </is>
      </c>
      <c r="C3442" s="75">
        <f>VLOOKUP(A3442,SizeData!A$2:B$3839,2,FALSE)</f>
        <v/>
      </c>
      <c r="D3442" s="26" t="n">
        <v>3</v>
      </c>
      <c r="E3442" s="26" t="inlineStr">
        <is>
          <t>R1853571</t>
        </is>
      </c>
      <c r="F3442" s="61" t="n">
        <v>44873</v>
      </c>
      <c r="G3442" s="62" t="n"/>
    </row>
    <row r="3443">
      <c r="A3443" s="6" t="n">
        <v>89646</v>
      </c>
      <c r="B3443" s="6" t="inlineStr">
        <is>
          <t>PATRON ANEJO TEQUILA</t>
        </is>
      </c>
      <c r="C3443" s="7">
        <f>VLOOKUP(A3443,SizeData!A$2:B$3839,2,FALSE)</f>
        <v/>
      </c>
      <c r="D3443" s="6" t="n">
        <v>6</v>
      </c>
      <c r="E3443" s="6" t="inlineStr">
        <is>
          <t>R1871415</t>
        </is>
      </c>
      <c r="F3443" s="2" t="n">
        <v>44875</v>
      </c>
      <c r="G3443" s="1" t="n"/>
    </row>
    <row r="3444">
      <c r="A3444" s="6" t="n">
        <v>100306</v>
      </c>
      <c r="B3444" s="6" t="inlineStr">
        <is>
          <t>PATRON EXTRA ANEJO CARTON</t>
        </is>
      </c>
      <c r="C3444" s="7">
        <f>VLOOKUP(A3444,SizeData!A$2:B$3839,2,FALSE)</f>
        <v/>
      </c>
      <c r="D3444" s="6" t="n">
        <v>1</v>
      </c>
      <c r="E3444" s="6" t="inlineStr">
        <is>
          <t>R1467898</t>
        </is>
      </c>
      <c r="F3444" s="2" t="n">
        <v>44610</v>
      </c>
      <c r="G3444" s="1" t="n"/>
    </row>
    <row r="3445">
      <c r="A3445" s="26" t="n">
        <v>100306</v>
      </c>
      <c r="B3445" s="26" t="inlineStr">
        <is>
          <t>PATRON EXTRA ANEJO CARTON LTO</t>
        </is>
      </c>
      <c r="C3445" s="75">
        <f>VLOOKUP(A3445,SizeData!A$2:B$3839,2,FALSE)</f>
        <v/>
      </c>
      <c r="D3445" s="26" t="n">
        <v>1</v>
      </c>
      <c r="E3445" s="26" t="inlineStr">
        <is>
          <t>R1842887</t>
        </is>
      </c>
      <c r="F3445" s="61" t="n">
        <v>44867</v>
      </c>
      <c r="G3445" s="62" t="n"/>
    </row>
    <row r="3446">
      <c r="A3446" s="26" t="n">
        <v>100306</v>
      </c>
      <c r="B3446" s="26" t="inlineStr">
        <is>
          <t>PATRON EXTRA ANEJO CARTON LTO</t>
        </is>
      </c>
      <c r="C3446" s="75">
        <f>VLOOKUP(A3446,SizeData!A$2:B$3839,2,FALSE)</f>
        <v/>
      </c>
      <c r="D3446" s="26" t="n">
        <v>1</v>
      </c>
      <c r="E3446" s="26" t="inlineStr">
        <is>
          <t>R1866529</t>
        </is>
      </c>
      <c r="F3446" s="61" t="n">
        <v>44876</v>
      </c>
      <c r="G3446" s="62" t="n"/>
    </row>
    <row r="3447">
      <c r="A3447" s="6" t="n">
        <v>89624</v>
      </c>
      <c r="B3447" s="6" t="inlineStr">
        <is>
          <t>PATRON REPOSADO TEQUILA</t>
        </is>
      </c>
      <c r="C3447" s="7">
        <f>VLOOKUP(A3447,SizeData!A$2:B$3839,2,FALSE)</f>
        <v/>
      </c>
      <c r="D3447" s="6" t="n">
        <v>1</v>
      </c>
      <c r="E3447" s="6" t="inlineStr">
        <is>
          <t>R1677409</t>
        </is>
      </c>
      <c r="F3447" s="2" t="n">
        <v>44746</v>
      </c>
      <c r="G3447" s="1" t="n"/>
    </row>
    <row r="3448">
      <c r="A3448" s="6" t="n">
        <v>89624</v>
      </c>
      <c r="B3448" s="6" t="inlineStr">
        <is>
          <t>PATRON REPOSADO TEQUILA</t>
        </is>
      </c>
      <c r="C3448" s="7">
        <f>VLOOKUP(A3448,SizeData!A$2:B$3839,2,FALSE)</f>
        <v/>
      </c>
      <c r="D3448" s="6" t="n">
        <v>1</v>
      </c>
      <c r="E3448" s="6" t="inlineStr">
        <is>
          <t>R1710843</t>
        </is>
      </c>
      <c r="F3448" s="2" t="n">
        <v>44764</v>
      </c>
      <c r="G3448" s="1" t="n"/>
    </row>
    <row r="3449">
      <c r="A3449" s="26" t="n">
        <v>89624</v>
      </c>
      <c r="B3449" s="26" t="inlineStr">
        <is>
          <t>PATRON REPOSADO TEQUILA</t>
        </is>
      </c>
      <c r="C3449" s="7">
        <f>VLOOKUP(A3449,SizeData!A$2:B$3839,2,FALSE)</f>
        <v/>
      </c>
      <c r="D3449" s="26" t="n">
        <v>1</v>
      </c>
      <c r="E3449" s="26" t="inlineStr">
        <is>
          <t>R1742052</t>
        </is>
      </c>
      <c r="F3449" s="61" t="n">
        <v>44795</v>
      </c>
      <c r="G3449" s="62" t="n"/>
    </row>
    <row r="3450">
      <c r="A3450" s="26" t="n">
        <v>89626</v>
      </c>
      <c r="B3450" s="26" t="inlineStr">
        <is>
          <t>PATRON REPOSADO TEQUILA</t>
        </is>
      </c>
      <c r="C3450" s="7">
        <f>VLOOKUP(A3450,SizeData!A$2:B$3839,2,FALSE)</f>
        <v/>
      </c>
      <c r="D3450" s="26" t="n">
        <v>1</v>
      </c>
      <c r="E3450" s="26" t="inlineStr">
        <is>
          <t>R1765359</t>
        </is>
      </c>
      <c r="F3450" s="61" t="n">
        <v>44810</v>
      </c>
      <c r="G3450" s="62" t="n"/>
    </row>
    <row r="3451">
      <c r="A3451" s="6" t="n">
        <v>89626</v>
      </c>
      <c r="B3451" s="6" t="inlineStr">
        <is>
          <t>PATRON REPOSADO TEQUILA</t>
        </is>
      </c>
      <c r="C3451" s="7">
        <f>VLOOKUP(A3451,SizeData!A$2:B$3839,2,FALSE)</f>
        <v/>
      </c>
      <c r="D3451" s="6" t="n">
        <v>3</v>
      </c>
      <c r="E3451" s="6" t="inlineStr">
        <is>
          <t>R1841934</t>
        </is>
      </c>
      <c r="F3451" s="2" t="n">
        <v>44866</v>
      </c>
      <c r="G3451" s="1" t="inlineStr">
        <is>
          <t>1.4 Case aveage a Month</t>
        </is>
      </c>
    </row>
    <row r="3452">
      <c r="A3452" s="6" t="n">
        <v>89626</v>
      </c>
      <c r="B3452" s="6" t="inlineStr">
        <is>
          <t>PATRON REPOSADO TEQUILA</t>
        </is>
      </c>
      <c r="C3452" s="7">
        <f>VLOOKUP(A3452,SizeData!A$2:B$3839,2,FALSE)</f>
        <v/>
      </c>
      <c r="D3452" s="6" t="n">
        <v>5</v>
      </c>
      <c r="E3452" s="6" t="inlineStr">
        <is>
          <t>R1871415</t>
        </is>
      </c>
      <c r="F3452" s="2" t="n">
        <v>44875</v>
      </c>
      <c r="G3452" s="1" t="n"/>
    </row>
    <row r="3453">
      <c r="A3453" s="6" t="n">
        <v>88294</v>
      </c>
      <c r="B3453" s="6" t="inlineStr">
        <is>
          <t>PATRON SILVER TEQUILA</t>
        </is>
      </c>
      <c r="C3453" s="7">
        <f>VLOOKUP(A3453,SizeData!A$2:B$3839,2,FALSE)</f>
        <v/>
      </c>
      <c r="D3453" s="6" t="n">
        <v>9</v>
      </c>
      <c r="E3453" s="6" t="inlineStr">
        <is>
          <t>R1383706</t>
        </is>
      </c>
      <c r="F3453" s="2" t="n">
        <v>44552</v>
      </c>
      <c r="G3453" s="1" t="n"/>
    </row>
    <row r="3454">
      <c r="A3454" s="6" t="n">
        <v>88294</v>
      </c>
      <c r="B3454" s="6" t="inlineStr">
        <is>
          <t>PATRON SILVER TEQUILA</t>
        </is>
      </c>
      <c r="C3454" s="7">
        <f>VLOOKUP(A3454,SizeData!A$2:B$3839,2,FALSE)</f>
        <v/>
      </c>
      <c r="D3454" s="6" t="n">
        <v>10</v>
      </c>
      <c r="E3454" s="6" t="inlineStr">
        <is>
          <t>R1482404</t>
        </is>
      </c>
      <c r="F3454" s="2" t="n">
        <v>44609</v>
      </c>
      <c r="G3454" s="1" t="n"/>
    </row>
    <row r="3455">
      <c r="A3455" s="6" t="n">
        <v>88294</v>
      </c>
      <c r="B3455" s="6" t="inlineStr">
        <is>
          <t>PATRON SILVER TEQUILA</t>
        </is>
      </c>
      <c r="C3455" s="7">
        <f>VLOOKUP(A3455,SizeData!A$2:B$3839,2,FALSE)</f>
        <v/>
      </c>
      <c r="D3455" s="6" t="n">
        <v>10</v>
      </c>
      <c r="E3455" s="6" t="inlineStr">
        <is>
          <t>R1488196</t>
        </is>
      </c>
      <c r="F3455" s="2" t="n">
        <v>44628</v>
      </c>
      <c r="G3455" s="1" t="n"/>
    </row>
    <row r="3456">
      <c r="A3456" s="6" t="n">
        <v>88294</v>
      </c>
      <c r="B3456" s="6" t="inlineStr">
        <is>
          <t>PATRON SILVER TEQUILA</t>
        </is>
      </c>
      <c r="C3456" s="7">
        <f>VLOOKUP(A3456,SizeData!A$2:B$3839,2,FALSE)</f>
        <v/>
      </c>
      <c r="D3456" s="6" t="n">
        <v>10</v>
      </c>
      <c r="E3456" s="6" t="inlineStr">
        <is>
          <t>R1533349</t>
        </is>
      </c>
      <c r="F3456" s="2" t="n">
        <v>44646</v>
      </c>
      <c r="G3456" s="1" t="n"/>
    </row>
    <row r="3457">
      <c r="A3457" s="6" t="n">
        <v>88294</v>
      </c>
      <c r="B3457" s="6" t="inlineStr">
        <is>
          <t>PATRON SILVER TEQUILA</t>
        </is>
      </c>
      <c r="C3457" s="7">
        <f>VLOOKUP(A3457,SizeData!A$2:B$3839,2,FALSE)</f>
        <v/>
      </c>
      <c r="D3457" s="6" t="n">
        <v>5</v>
      </c>
      <c r="E3457" s="6" t="inlineStr">
        <is>
          <t>R1548567</t>
        </is>
      </c>
      <c r="F3457" s="2" t="n">
        <v>44653</v>
      </c>
      <c r="G3457" s="1" t="n"/>
    </row>
    <row r="3458">
      <c r="A3458" s="6" t="n">
        <v>88294</v>
      </c>
      <c r="B3458" s="6" t="inlineStr">
        <is>
          <t>PATRON SILVER TEQUILA</t>
        </is>
      </c>
      <c r="C3458" s="7">
        <f>VLOOKUP(A3458,SizeData!A$2:B$3839,2,FALSE)</f>
        <v/>
      </c>
      <c r="D3458" s="6" t="n">
        <v>3</v>
      </c>
      <c r="E3458" s="6" t="inlineStr">
        <is>
          <t>R1574781</t>
        </is>
      </c>
      <c r="F3458" s="2" t="n">
        <v>44681</v>
      </c>
      <c r="G3458" s="1" t="n"/>
    </row>
    <row r="3459">
      <c r="A3459" s="6" t="n">
        <v>88294</v>
      </c>
      <c r="B3459" s="6" t="inlineStr">
        <is>
          <t>PATRON SILVER TEQUILA</t>
        </is>
      </c>
      <c r="C3459" s="7">
        <f>VLOOKUP(A3459,SizeData!A$2:B$3839,2,FALSE)</f>
        <v/>
      </c>
      <c r="D3459" s="6" t="n">
        <v>7</v>
      </c>
      <c r="E3459" s="6" t="inlineStr">
        <is>
          <t>R1604328</t>
        </is>
      </c>
      <c r="F3459" s="2" t="n">
        <v>44694</v>
      </c>
      <c r="G3459" s="1" t="n"/>
    </row>
    <row r="3460">
      <c r="A3460" s="6" t="n">
        <v>88294</v>
      </c>
      <c r="B3460" s="6" t="inlineStr">
        <is>
          <t>PATRON SILVER TEQUILA</t>
        </is>
      </c>
      <c r="C3460" s="7">
        <f>VLOOKUP(A3460,SizeData!A$2:B$3839,2,FALSE)</f>
        <v/>
      </c>
      <c r="D3460" s="6" t="n">
        <v>5</v>
      </c>
      <c r="E3460" s="6" t="inlineStr">
        <is>
          <t>R1619359</t>
        </is>
      </c>
      <c r="F3460" s="2" t="n">
        <v>44716</v>
      </c>
      <c r="G3460" s="1" t="n"/>
    </row>
    <row r="3461">
      <c r="A3461" s="6" t="n">
        <v>88294</v>
      </c>
      <c r="B3461" s="6" t="inlineStr">
        <is>
          <t>PATRON SILVER TEQUILA</t>
        </is>
      </c>
      <c r="C3461" s="7">
        <f>VLOOKUP(A3461,SizeData!A$2:B$3839,2,FALSE)</f>
        <v/>
      </c>
      <c r="D3461" s="6" t="n">
        <v>3</v>
      </c>
      <c r="E3461" s="6" t="inlineStr">
        <is>
          <t>R1661076</t>
        </is>
      </c>
      <c r="F3461" s="2" t="n">
        <v>44734</v>
      </c>
      <c r="G3461" s="1" t="n"/>
    </row>
    <row r="3462">
      <c r="A3462" s="31" t="n">
        <v>88294</v>
      </c>
      <c r="B3462" s="31" t="inlineStr">
        <is>
          <t>PATRON SILVER TEQUILA</t>
        </is>
      </c>
      <c r="C3462" s="7">
        <f>VLOOKUP(A3462,SizeData!A$2:B$3839,2,FALSE)</f>
        <v/>
      </c>
      <c r="D3462" s="31" t="n">
        <v>3</v>
      </c>
      <c r="E3462" s="31" t="inlineStr">
        <is>
          <t>R1668920</t>
        </is>
      </c>
      <c r="F3462" s="33" t="n">
        <v>44742</v>
      </c>
      <c r="G3462" s="34" t="n"/>
    </row>
    <row r="3463">
      <c r="A3463" s="6" t="n">
        <v>88294</v>
      </c>
      <c r="B3463" s="6" t="inlineStr">
        <is>
          <t>PATRON SILVER TEQUILA</t>
        </is>
      </c>
      <c r="C3463" s="7">
        <f>VLOOKUP(A3463,SizeData!A$2:B$3839,2,FALSE)</f>
        <v/>
      </c>
      <c r="D3463" s="6" t="n">
        <v>2</v>
      </c>
      <c r="E3463" s="6" t="inlineStr">
        <is>
          <t>R1677409</t>
        </is>
      </c>
      <c r="F3463" s="2" t="n">
        <v>44746</v>
      </c>
      <c r="G3463" s="1" t="n"/>
    </row>
    <row r="3464">
      <c r="A3464" s="6" t="n">
        <v>88294</v>
      </c>
      <c r="B3464" s="6" t="inlineStr">
        <is>
          <t>PATRON SILVER TEQUILA</t>
        </is>
      </c>
      <c r="C3464" s="7">
        <f>VLOOKUP(A3464,SizeData!A$2:B$3839,2,FALSE)</f>
        <v/>
      </c>
      <c r="D3464" s="6" t="n">
        <v>4</v>
      </c>
      <c r="E3464" s="6" t="inlineStr">
        <is>
          <t>R1683808</t>
        </is>
      </c>
      <c r="F3464" s="2" t="n">
        <v>44754</v>
      </c>
      <c r="G3464" s="1" t="n"/>
    </row>
    <row r="3465">
      <c r="A3465" s="6" t="n">
        <v>88294</v>
      </c>
      <c r="B3465" s="6" t="inlineStr">
        <is>
          <t>PATRON SILVER TEQUILA</t>
        </is>
      </c>
      <c r="C3465" s="7">
        <f>VLOOKUP(A3465,SizeData!A$2:B$3839,2,FALSE)</f>
        <v/>
      </c>
      <c r="D3465" s="6" t="n">
        <v>5</v>
      </c>
      <c r="E3465" s="6" t="inlineStr">
        <is>
          <t>R1691764</t>
        </is>
      </c>
      <c r="F3465" s="2" t="n">
        <v>44758</v>
      </c>
      <c r="G3465" s="1" t="n"/>
    </row>
    <row r="3466">
      <c r="A3466" s="6" t="n">
        <v>88294</v>
      </c>
      <c r="B3466" s="6" t="inlineStr">
        <is>
          <t>PATRON SILVER TEQUILA</t>
        </is>
      </c>
      <c r="C3466" s="7">
        <f>VLOOKUP(A3466,SizeData!A$2:B$3839,2,FALSE)</f>
        <v/>
      </c>
      <c r="D3466" s="6" t="n">
        <v>3</v>
      </c>
      <c r="E3466" s="6" t="inlineStr">
        <is>
          <t>R1699703</t>
        </is>
      </c>
      <c r="F3466" s="2" t="n">
        <v>44765</v>
      </c>
      <c r="G3466" s="1" t="n"/>
    </row>
    <row r="3467">
      <c r="A3467" s="6" t="n">
        <v>88294</v>
      </c>
      <c r="B3467" s="6" t="inlineStr">
        <is>
          <t>PATRON SILVER TEQUILA</t>
        </is>
      </c>
      <c r="C3467" s="7">
        <f>VLOOKUP(A3467,SizeData!A$2:B$3839,2,FALSE)</f>
        <v/>
      </c>
      <c r="D3467" s="6" t="n">
        <v>2</v>
      </c>
      <c r="E3467" s="6" t="inlineStr">
        <is>
          <t>R1723520</t>
        </is>
      </c>
      <c r="F3467" s="2" t="n">
        <v>44782</v>
      </c>
      <c r="G3467" s="1" t="n"/>
    </row>
    <row r="3468">
      <c r="A3468" s="6" t="n">
        <v>88294</v>
      </c>
      <c r="B3468" s="6" t="inlineStr">
        <is>
          <t>PATRON SILVER TEQUILA</t>
        </is>
      </c>
      <c r="C3468" s="7">
        <f>VLOOKUP(A3468,SizeData!A$2:B$3839,2,FALSE)</f>
        <v/>
      </c>
      <c r="D3468" s="6" t="n">
        <v>1</v>
      </c>
      <c r="E3468" s="6" t="inlineStr">
        <is>
          <t>R1727399</t>
        </is>
      </c>
      <c r="F3468" s="2" t="n">
        <v>44786</v>
      </c>
      <c r="G3468" s="1" t="n"/>
    </row>
    <row r="3469">
      <c r="A3469" s="6" t="n">
        <v>88294</v>
      </c>
      <c r="B3469" s="6" t="inlineStr">
        <is>
          <t>PATRON SILVER TEQUILA</t>
        </is>
      </c>
      <c r="C3469" s="7">
        <f>VLOOKUP(A3469,SizeData!A$2:B$3839,2,FALSE)</f>
        <v/>
      </c>
      <c r="D3469" s="6" t="n">
        <v>2</v>
      </c>
      <c r="E3469" s="6" t="inlineStr">
        <is>
          <t>R1728993</t>
        </is>
      </c>
      <c r="F3469" s="2" t="n">
        <v>44790</v>
      </c>
      <c r="G3469" s="1" t="n"/>
    </row>
    <row r="3470">
      <c r="A3470" s="6" t="n">
        <v>88294</v>
      </c>
      <c r="B3470" s="6" t="inlineStr">
        <is>
          <t>PATRON SILVER TEQUILA</t>
        </is>
      </c>
      <c r="C3470" s="7">
        <f>VLOOKUP(A3470,SizeData!A$2:B$3839,2,FALSE)</f>
        <v/>
      </c>
      <c r="D3470" s="6" t="n">
        <v>3</v>
      </c>
      <c r="E3470" s="6" t="inlineStr">
        <is>
          <t>R1740439</t>
        </is>
      </c>
      <c r="F3470" s="2" t="n">
        <v>44793</v>
      </c>
      <c r="G3470" s="1" t="n"/>
    </row>
    <row r="3471">
      <c r="A3471" s="6" t="n">
        <v>88294</v>
      </c>
      <c r="B3471" s="6" t="inlineStr">
        <is>
          <t>PATRON SILVER TEQUILA</t>
        </is>
      </c>
      <c r="C3471" s="7">
        <f>VLOOKUP(A3471,SizeData!A$2:B$3839,2,FALSE)</f>
        <v/>
      </c>
      <c r="D3471" s="6" t="n">
        <v>3</v>
      </c>
      <c r="E3471" s="6" t="inlineStr">
        <is>
          <t>R1747641</t>
        </is>
      </c>
      <c r="F3471" s="2" t="n">
        <v>44800</v>
      </c>
      <c r="G3471" s="1" t="n"/>
    </row>
    <row r="3472">
      <c r="A3472" s="6" t="n">
        <v>88294</v>
      </c>
      <c r="B3472" s="6" t="inlineStr">
        <is>
          <t>PATRON SILVER TEQUILA</t>
        </is>
      </c>
      <c r="C3472" s="7">
        <f>VLOOKUP(A3472,SizeData!A$2:B$3839,2,FALSE)</f>
        <v/>
      </c>
      <c r="D3472" s="6" t="n">
        <v>10</v>
      </c>
      <c r="E3472" s="6" t="inlineStr">
        <is>
          <t>R1748972</t>
        </is>
      </c>
      <c r="F3472" s="2" t="n">
        <v>44812</v>
      </c>
      <c r="G3472" s="1" t="n"/>
    </row>
    <row r="3473">
      <c r="A3473" s="6" t="n">
        <v>88294</v>
      </c>
      <c r="B3473" s="6" t="inlineStr">
        <is>
          <t>PATRON SILVER TEQUILA</t>
        </is>
      </c>
      <c r="C3473" s="7">
        <f>VLOOKUP(A3473,SizeData!A$2:B$3839,2,FALSE)</f>
        <v/>
      </c>
      <c r="D3473" s="6" t="n">
        <v>10</v>
      </c>
      <c r="E3473" s="6" t="inlineStr">
        <is>
          <t>R1781063</t>
        </is>
      </c>
      <c r="F3473" s="2" t="n">
        <v>44823</v>
      </c>
      <c r="G3473" s="1" t="n"/>
    </row>
    <row r="3474">
      <c r="A3474" s="6" t="n">
        <v>88294</v>
      </c>
      <c r="B3474" s="6" t="inlineStr">
        <is>
          <t>PATRON SILVER TEQUILA</t>
        </is>
      </c>
      <c r="C3474" s="7">
        <f>VLOOKUP(A3474,SizeData!A$2:B$3839,2,FALSE)</f>
        <v/>
      </c>
      <c r="D3474" s="6" t="n">
        <v>2</v>
      </c>
      <c r="E3474" s="6" t="inlineStr">
        <is>
          <t>R1791500</t>
        </is>
      </c>
      <c r="F3474" s="2" t="n">
        <v>44835</v>
      </c>
      <c r="G3474" s="1" t="n"/>
    </row>
    <row r="3475">
      <c r="A3475" s="6" t="n">
        <v>88294</v>
      </c>
      <c r="B3475" s="6" t="inlineStr">
        <is>
          <t>PATRON SILVER TEQUILA</t>
        </is>
      </c>
      <c r="C3475" s="7">
        <f>VLOOKUP(A3475,SizeData!A$2:B$3839,2,FALSE)</f>
        <v/>
      </c>
      <c r="D3475" s="6" t="n">
        <v>5</v>
      </c>
      <c r="E3475" s="6" t="inlineStr">
        <is>
          <t>R1825803</t>
        </is>
      </c>
      <c r="F3475" s="2" t="n">
        <v>44847</v>
      </c>
      <c r="G3475" s="1" t="n"/>
    </row>
    <row r="3476">
      <c r="A3476" s="6" t="n">
        <v>88294</v>
      </c>
      <c r="B3476" s="6" t="inlineStr">
        <is>
          <t>PATRON SILVER TEQUILA</t>
        </is>
      </c>
      <c r="C3476" s="7">
        <f>VLOOKUP(A3476,SizeData!A$2:B$3839,2,FALSE)</f>
        <v/>
      </c>
      <c r="D3476" s="6" t="n">
        <v>3</v>
      </c>
      <c r="E3476" s="6" t="inlineStr">
        <is>
          <t>R1832815</t>
        </is>
      </c>
      <c r="F3476" s="2" t="n">
        <v>44855</v>
      </c>
      <c r="G3476" s="1" t="n"/>
    </row>
    <row r="3477">
      <c r="A3477" s="6" t="n">
        <v>88294</v>
      </c>
      <c r="B3477" s="6" t="inlineStr">
        <is>
          <t>PATRON SILVER TEQUILA</t>
        </is>
      </c>
      <c r="C3477" s="7">
        <f>VLOOKUP(A3477,SizeData!A$2:B$3839,2,FALSE)</f>
        <v/>
      </c>
      <c r="D3477" s="6" t="n">
        <v>2</v>
      </c>
      <c r="E3477" s="6" t="inlineStr">
        <is>
          <t>R1818650</t>
        </is>
      </c>
      <c r="F3477" s="2" t="n">
        <v>44856</v>
      </c>
      <c r="G3477" s="1" t="n"/>
    </row>
    <row r="3478">
      <c r="A3478" s="6" t="n">
        <v>88294</v>
      </c>
      <c r="B3478" s="6" t="inlineStr">
        <is>
          <t>PATRON SILVER TEQUILA</t>
        </is>
      </c>
      <c r="C3478" s="7">
        <f>VLOOKUP(A3478,SizeData!A$2:B$3839,2,FALSE)</f>
        <v/>
      </c>
      <c r="D3478" s="6" t="n">
        <v>5</v>
      </c>
      <c r="E3478" s="6" t="inlineStr">
        <is>
          <t>R1840965</t>
        </is>
      </c>
      <c r="F3478" s="2" t="n">
        <v>44863</v>
      </c>
      <c r="G3478" s="1" t="n"/>
    </row>
    <row r="3479">
      <c r="A3479" s="6" t="n">
        <v>88294</v>
      </c>
      <c r="B3479" s="6" t="inlineStr">
        <is>
          <t>PATRON SILVER TEQUILA</t>
        </is>
      </c>
      <c r="C3479" s="7">
        <f>VLOOKUP(A3479,SizeData!A$2:B$3839,2,FALSE)</f>
        <v/>
      </c>
      <c r="D3479" s="6" t="n">
        <v>4</v>
      </c>
      <c r="E3479" s="6" t="inlineStr">
        <is>
          <t>R1849692</t>
        </is>
      </c>
      <c r="F3479" s="2" t="n">
        <v>44870</v>
      </c>
      <c r="G3479" s="1" t="n"/>
    </row>
    <row r="3480">
      <c r="A3480" s="6" t="n">
        <v>88294</v>
      </c>
      <c r="B3480" s="6" t="inlineStr">
        <is>
          <t>PATRON SILVER TEQUILA</t>
        </is>
      </c>
      <c r="C3480" s="7">
        <f>VLOOKUP(A3480,SizeData!A$2:B$3839,2,FALSE)</f>
        <v/>
      </c>
      <c r="D3480" s="6" t="n">
        <v>10</v>
      </c>
      <c r="E3480" s="6" t="inlineStr">
        <is>
          <t>R1859422</t>
        </is>
      </c>
      <c r="F3480" s="2" t="n">
        <v>44875</v>
      </c>
      <c r="G3480" s="1" t="n"/>
    </row>
    <row r="3481">
      <c r="A3481" s="6" t="n">
        <v>88296</v>
      </c>
      <c r="B3481" s="6" t="inlineStr">
        <is>
          <t>PATRON SILVER TEQUILA</t>
        </is>
      </c>
      <c r="C3481" s="7">
        <f>VLOOKUP(A3481,SizeData!A$2:B$3839,2,FALSE)</f>
        <v/>
      </c>
      <c r="D3481" s="6" t="n">
        <v>9</v>
      </c>
      <c r="E3481" s="6" t="inlineStr">
        <is>
          <t>R1383706</t>
        </is>
      </c>
      <c r="F3481" s="2" t="n">
        <v>44552</v>
      </c>
      <c r="G3481" s="1" t="n"/>
    </row>
    <row r="3482">
      <c r="A3482" s="6" t="n">
        <v>88296</v>
      </c>
      <c r="B3482" s="6" t="inlineStr">
        <is>
          <t>PATRON SILVER TEQUILA</t>
        </is>
      </c>
      <c r="C3482" s="7">
        <f>VLOOKUP(A3482,SizeData!A$2:B$3839,2,FALSE)</f>
        <v/>
      </c>
      <c r="D3482" s="6" t="n">
        <v>8</v>
      </c>
      <c r="E3482" s="6" t="inlineStr">
        <is>
          <t>R1498214</t>
        </is>
      </c>
      <c r="F3482" s="2" t="n">
        <v>44623</v>
      </c>
      <c r="G3482" s="1" t="n"/>
    </row>
    <row r="3483">
      <c r="A3483" s="6" t="n">
        <v>88296</v>
      </c>
      <c r="B3483" s="6" t="inlineStr">
        <is>
          <t>PATRON SILVER TEQUILA</t>
        </is>
      </c>
      <c r="C3483" s="7">
        <f>VLOOKUP(A3483,SizeData!A$2:B$3839,2,FALSE)</f>
        <v/>
      </c>
      <c r="D3483" s="6" t="n">
        <v>10</v>
      </c>
      <c r="E3483" s="6" t="inlineStr">
        <is>
          <t>R1529512</t>
        </is>
      </c>
      <c r="F3483" s="2" t="n">
        <v>44644</v>
      </c>
      <c r="G3483" s="1" t="n"/>
    </row>
    <row r="3484">
      <c r="A3484" s="6" t="n">
        <v>88296</v>
      </c>
      <c r="B3484" s="6" t="inlineStr">
        <is>
          <t>PATRON SILVER TEQUILA</t>
        </is>
      </c>
      <c r="C3484" s="7">
        <f>VLOOKUP(A3484,SizeData!A$2:B$3839,2,FALSE)</f>
        <v/>
      </c>
      <c r="D3484" s="6" t="n">
        <v>10</v>
      </c>
      <c r="E3484" s="6" t="inlineStr">
        <is>
          <t>R1591995</t>
        </is>
      </c>
      <c r="F3484" s="2" t="n">
        <v>44683</v>
      </c>
      <c r="G3484" s="1" t="n"/>
    </row>
    <row r="3485">
      <c r="A3485" s="6" t="n">
        <v>88296</v>
      </c>
      <c r="B3485" s="6" t="inlineStr">
        <is>
          <t>PATRON SILVER TEQUILA</t>
        </is>
      </c>
      <c r="C3485" s="7">
        <f>VLOOKUP(A3485,SizeData!A$2:B$3839,2,FALSE)</f>
        <v/>
      </c>
      <c r="D3485" s="6" t="n">
        <v>10</v>
      </c>
      <c r="E3485" s="6" t="inlineStr">
        <is>
          <t>R1691764</t>
        </is>
      </c>
      <c r="F3485" s="2" t="n">
        <v>44758</v>
      </c>
      <c r="G3485" s="1" t="n"/>
    </row>
    <row r="3486">
      <c r="A3486" s="6" t="n">
        <v>88296</v>
      </c>
      <c r="B3486" s="6" t="inlineStr">
        <is>
          <t>PATRON SILVER TEQUILA</t>
        </is>
      </c>
      <c r="C3486" s="7">
        <f>VLOOKUP(A3486,SizeData!A$2:B$3839,2,FALSE)</f>
        <v/>
      </c>
      <c r="D3486" s="6" t="n">
        <v>2</v>
      </c>
      <c r="E3486" s="6" t="inlineStr">
        <is>
          <t>R1699703</t>
        </is>
      </c>
      <c r="F3486" s="2" t="n">
        <v>44765</v>
      </c>
      <c r="G3486" s="1" t="n"/>
    </row>
    <row r="3487">
      <c r="A3487" s="6" t="n">
        <v>88296</v>
      </c>
      <c r="B3487" s="6" t="inlineStr">
        <is>
          <t>PATRON SILVER TEQUILA</t>
        </is>
      </c>
      <c r="C3487" s="7">
        <f>VLOOKUP(A3487,SizeData!A$2:B$3839,2,FALSE)</f>
        <v/>
      </c>
      <c r="D3487" s="6" t="n">
        <v>2</v>
      </c>
      <c r="E3487" s="6" t="inlineStr">
        <is>
          <t>R1743714</t>
        </is>
      </c>
      <c r="F3487" s="2" t="n">
        <v>44797</v>
      </c>
      <c r="G3487" s="1" t="n"/>
    </row>
    <row r="3488">
      <c r="A3488" s="6" t="n">
        <v>88296</v>
      </c>
      <c r="B3488" s="6" t="inlineStr">
        <is>
          <t>PATRON SILVER TEQUILA</t>
        </is>
      </c>
      <c r="C3488" s="7">
        <f>VLOOKUP(A3488,SizeData!A$2:B$3839,2,FALSE)</f>
        <v/>
      </c>
      <c r="D3488" s="6" t="n">
        <v>3</v>
      </c>
      <c r="E3488" s="6" t="inlineStr">
        <is>
          <t>R1739883</t>
        </is>
      </c>
      <c r="F3488" s="2" t="n">
        <v>44800</v>
      </c>
      <c r="G3488" s="1" t="n"/>
    </row>
    <row r="3489">
      <c r="A3489" s="6" t="n">
        <v>88296</v>
      </c>
      <c r="B3489" s="6" t="inlineStr">
        <is>
          <t>PATRON SILVER TEQUILA</t>
        </is>
      </c>
      <c r="C3489" s="7">
        <f>VLOOKUP(A3489,SizeData!A$2:B$3839,2,FALSE)</f>
        <v/>
      </c>
      <c r="D3489" s="6" t="n">
        <v>2</v>
      </c>
      <c r="E3489" s="6" t="inlineStr">
        <is>
          <t>R1763315</t>
        </is>
      </c>
      <c r="F3489" s="2" t="n">
        <v>44814</v>
      </c>
      <c r="G3489" s="1" t="n"/>
    </row>
    <row r="3490">
      <c r="A3490" s="6" t="n">
        <v>88296</v>
      </c>
      <c r="B3490" s="6" t="inlineStr">
        <is>
          <t>PATRON SILVER TEQUILA</t>
        </is>
      </c>
      <c r="C3490" s="7">
        <f>VLOOKUP(A3490,SizeData!A$2:B$3839,2,FALSE)</f>
        <v/>
      </c>
      <c r="D3490" s="6" t="n">
        <v>2</v>
      </c>
      <c r="E3490" s="6" t="inlineStr">
        <is>
          <t>R1781063</t>
        </is>
      </c>
      <c r="F3490" s="2" t="n">
        <v>44823</v>
      </c>
      <c r="G3490" s="1" t="n"/>
    </row>
    <row r="3491">
      <c r="A3491" s="6" t="n">
        <v>88296</v>
      </c>
      <c r="B3491" s="6" t="inlineStr">
        <is>
          <t>PATRON SILVER TEQUILA</t>
        </is>
      </c>
      <c r="C3491" s="7">
        <f>VLOOKUP(A3491,SizeData!A$2:B$3839,2,FALSE)</f>
        <v/>
      </c>
      <c r="D3491" s="6" t="n">
        <v>3</v>
      </c>
      <c r="E3491" s="6" t="inlineStr">
        <is>
          <t>R1777984</t>
        </is>
      </c>
      <c r="F3491" s="2" t="n">
        <v>44826</v>
      </c>
      <c r="G3491" s="1" t="n"/>
    </row>
    <row r="3492">
      <c r="A3492" s="6" t="n">
        <v>88296</v>
      </c>
      <c r="B3492" s="6" t="inlineStr">
        <is>
          <t>PATRON SILVER TEQUILA</t>
        </is>
      </c>
      <c r="C3492" s="7">
        <f>VLOOKUP(A3492,SizeData!A$2:B$3839,2,FALSE)</f>
        <v/>
      </c>
      <c r="D3492" s="6" t="n">
        <v>1</v>
      </c>
      <c r="E3492" s="6" t="inlineStr">
        <is>
          <t>R1791500</t>
        </is>
      </c>
      <c r="F3492" s="67" t="n">
        <v>44835</v>
      </c>
      <c r="G3492" s="68" t="n"/>
    </row>
    <row r="3493">
      <c r="A3493" s="6" t="n">
        <v>88296</v>
      </c>
      <c r="B3493" s="6" t="inlineStr">
        <is>
          <t>PATRON SILVER TEQUILA</t>
        </is>
      </c>
      <c r="C3493" s="7">
        <f>VLOOKUP(A3493,SizeData!A$2:B$3839,2,FALSE)</f>
        <v/>
      </c>
      <c r="D3493" s="6" t="n">
        <v>2</v>
      </c>
      <c r="E3493" s="6" t="inlineStr">
        <is>
          <t>R1825803</t>
        </is>
      </c>
      <c r="F3493" s="67" t="n">
        <v>44847</v>
      </c>
      <c r="G3493" s="68" t="n"/>
    </row>
    <row r="3494">
      <c r="A3494" s="6" t="n">
        <v>88296</v>
      </c>
      <c r="B3494" s="6" t="inlineStr">
        <is>
          <t>PATRON SILVER TEQUILA</t>
        </is>
      </c>
      <c r="C3494" s="7">
        <f>VLOOKUP(A3494,SizeData!A$2:B$3839,2,FALSE)</f>
        <v/>
      </c>
      <c r="D3494" s="6" t="n">
        <v>1</v>
      </c>
      <c r="E3494" s="6" t="inlineStr">
        <is>
          <t>R1820979</t>
        </is>
      </c>
      <c r="F3494" s="67" t="n">
        <v>44849</v>
      </c>
      <c r="G3494" s="68" t="n"/>
    </row>
    <row r="3495">
      <c r="A3495" s="6" t="n">
        <v>88296</v>
      </c>
      <c r="B3495" s="6" t="inlineStr">
        <is>
          <t>PATRON SILVER TEQUILA</t>
        </is>
      </c>
      <c r="C3495" s="7">
        <f>VLOOKUP(A3495,SizeData!A$2:B$3839,2,FALSE)</f>
        <v/>
      </c>
      <c r="D3495" s="6" t="n">
        <v>3</v>
      </c>
      <c r="E3495" s="6" t="inlineStr">
        <is>
          <t>R1832815</t>
        </is>
      </c>
      <c r="F3495" s="67" t="n">
        <v>44855</v>
      </c>
      <c r="G3495" s="68" t="n"/>
    </row>
    <row r="3496">
      <c r="A3496" s="6" t="n">
        <v>88296</v>
      </c>
      <c r="B3496" s="6" t="inlineStr">
        <is>
          <t>PATRON SILVER TEQUILA</t>
        </is>
      </c>
      <c r="C3496" s="7">
        <f>VLOOKUP(A3496,SizeData!A$2:B$3839,2,FALSE)</f>
        <v/>
      </c>
      <c r="D3496" s="6" t="n">
        <v>2</v>
      </c>
      <c r="E3496" s="6" t="inlineStr">
        <is>
          <t>R1840965</t>
        </is>
      </c>
      <c r="F3496" s="67" t="n">
        <v>44863</v>
      </c>
      <c r="G3496" s="68" t="n"/>
    </row>
    <row r="3497">
      <c r="A3497" s="6" t="n">
        <v>88296</v>
      </c>
      <c r="B3497" s="6" t="inlineStr">
        <is>
          <t>PATRON SILVER TEQUILA</t>
        </is>
      </c>
      <c r="C3497" s="7">
        <f>VLOOKUP(A3497,SizeData!A$2:B$3839,2,FALSE)</f>
        <v/>
      </c>
      <c r="D3497" s="6" t="n">
        <v>2</v>
      </c>
      <c r="E3497" s="6" t="inlineStr">
        <is>
          <t>R1856291</t>
        </is>
      </c>
      <c r="F3497" s="67" t="n">
        <v>44874</v>
      </c>
      <c r="G3497" s="68" t="n"/>
    </row>
    <row r="3498">
      <c r="A3498" s="6" t="n">
        <v>88296</v>
      </c>
      <c r="B3498" s="6" t="inlineStr">
        <is>
          <t>PATRON SILVER TEQUILA</t>
        </is>
      </c>
      <c r="C3498" s="7">
        <f>VLOOKUP(A3498,SizeData!A$2:B$3839,2,FALSE)</f>
        <v/>
      </c>
      <c r="D3498" s="6" t="n">
        <v>4</v>
      </c>
      <c r="E3498" s="6" t="inlineStr">
        <is>
          <t>R1859422</t>
        </is>
      </c>
      <c r="F3498" s="67" t="n">
        <v>44875</v>
      </c>
      <c r="G3498" s="68" t="n"/>
    </row>
    <row r="3499">
      <c r="A3499" s="6" t="n">
        <v>88296</v>
      </c>
      <c r="B3499" s="6" t="inlineStr">
        <is>
          <t>PATRON SILVER TEQUILA</t>
        </is>
      </c>
      <c r="C3499" s="7">
        <f>VLOOKUP(A3499,SizeData!A$2:B$3839,2,FALSE)</f>
        <v/>
      </c>
      <c r="D3499" s="6" t="n">
        <v>10</v>
      </c>
      <c r="E3499" s="6" t="inlineStr">
        <is>
          <t>R1910907</t>
        </is>
      </c>
      <c r="F3499" s="67" t="n">
        <v>44902</v>
      </c>
      <c r="G3499" s="68" t="n"/>
    </row>
    <row r="3500">
      <c r="A3500" s="6" t="n">
        <v>88298</v>
      </c>
      <c r="B3500" s="6" t="inlineStr">
        <is>
          <t>PATRON SILVER TEQUILA</t>
        </is>
      </c>
      <c r="C3500" s="7">
        <f>VLOOKUP(A3500,SizeData!A$2:B$3839,2,FALSE)</f>
        <v/>
      </c>
      <c r="D3500" s="6" t="n">
        <v>5</v>
      </c>
      <c r="E3500" s="6" t="inlineStr">
        <is>
          <t>R1472306</t>
        </is>
      </c>
      <c r="F3500" s="67" t="n">
        <v>44609</v>
      </c>
      <c r="G3500" s="68" t="n"/>
    </row>
    <row r="3501">
      <c r="A3501" s="6" t="n">
        <v>88298</v>
      </c>
      <c r="B3501" s="6" t="inlineStr">
        <is>
          <t>PATRON SILVER TEQUILA</t>
        </is>
      </c>
      <c r="C3501" s="7">
        <f>VLOOKUP(A3501,SizeData!A$2:B$3839,2,FALSE)</f>
        <v/>
      </c>
      <c r="D3501" s="6" t="n">
        <v>2</v>
      </c>
      <c r="E3501" s="6" t="inlineStr">
        <is>
          <t>R1507714</t>
        </is>
      </c>
      <c r="F3501" s="67" t="n">
        <v>44634</v>
      </c>
      <c r="G3501" s="68" t="n"/>
    </row>
    <row r="3502">
      <c r="A3502" s="6" t="n">
        <v>88298</v>
      </c>
      <c r="B3502" s="6" t="inlineStr">
        <is>
          <t>PATRON SILVER TEQUILA</t>
        </is>
      </c>
      <c r="C3502" s="7">
        <f>VLOOKUP(A3502,SizeData!A$2:B$3839,2,FALSE)</f>
        <v/>
      </c>
      <c r="D3502" s="6" t="n">
        <v>5</v>
      </c>
      <c r="E3502" s="6" t="inlineStr">
        <is>
          <t>R1527308</t>
        </is>
      </c>
      <c r="F3502" s="67" t="n">
        <v>44639</v>
      </c>
      <c r="G3502" s="68" t="n"/>
    </row>
    <row r="3503">
      <c r="A3503" s="6" t="n">
        <v>88298</v>
      </c>
      <c r="B3503" s="6" t="inlineStr">
        <is>
          <t>PATRON SILVER TEQUILA</t>
        </is>
      </c>
      <c r="C3503" s="7">
        <f>VLOOKUP(A3503,SizeData!A$2:B$3839,2,FALSE)</f>
        <v/>
      </c>
      <c r="D3503" s="6" t="n">
        <v>1</v>
      </c>
      <c r="E3503" s="6" t="inlineStr">
        <is>
          <t>R1604328</t>
        </is>
      </c>
      <c r="F3503" s="67" t="n">
        <v>44694</v>
      </c>
      <c r="G3503" s="68" t="n"/>
    </row>
    <row r="3504">
      <c r="A3504" s="6" t="n">
        <v>88298</v>
      </c>
      <c r="B3504" s="6" t="inlineStr">
        <is>
          <t>PATRON SILVER TEQUILA</t>
        </is>
      </c>
      <c r="C3504" s="7">
        <f>VLOOKUP(A3504,SizeData!A$2:B$3839,2,FALSE)</f>
        <v/>
      </c>
      <c r="D3504" s="6" t="n">
        <v>1</v>
      </c>
      <c r="E3504" s="6" t="inlineStr">
        <is>
          <t>R1620841</t>
        </is>
      </c>
      <c r="F3504" s="67" t="n">
        <v>44699</v>
      </c>
      <c r="G3504" s="68" t="n"/>
    </row>
    <row r="3505">
      <c r="A3505" s="6" t="n">
        <v>88298</v>
      </c>
      <c r="B3505" s="6" t="inlineStr">
        <is>
          <t>PATRON SILVER TEQUILA</t>
        </is>
      </c>
      <c r="C3505" s="7">
        <f>VLOOKUP(A3505,SizeData!A$2:B$3839,2,FALSE)</f>
        <v/>
      </c>
      <c r="D3505" s="6" t="n">
        <v>5</v>
      </c>
      <c r="E3505" s="6" t="inlineStr">
        <is>
          <t xml:space="preserve"> R1632464</t>
        </is>
      </c>
      <c r="F3505" s="67" t="n">
        <v>44715</v>
      </c>
      <c r="G3505" s="68" t="n"/>
    </row>
    <row r="3506">
      <c r="A3506" s="6" t="n">
        <v>88298</v>
      </c>
      <c r="B3506" s="6" t="inlineStr">
        <is>
          <t>PATRON SILVER TEQUILA</t>
        </is>
      </c>
      <c r="C3506" s="7">
        <f>VLOOKUP(A3506,SizeData!A$2:B$3839,2,FALSE)</f>
        <v/>
      </c>
      <c r="D3506" s="6" t="n">
        <v>2</v>
      </c>
      <c r="E3506" s="6" t="inlineStr">
        <is>
          <t>R1677409</t>
        </is>
      </c>
      <c r="F3506" s="67" t="n">
        <v>44746</v>
      </c>
      <c r="G3506" s="68" t="n"/>
    </row>
    <row r="3507">
      <c r="A3507" s="6" t="n">
        <v>88298</v>
      </c>
      <c r="B3507" s="6" t="inlineStr">
        <is>
          <t>PATRON SILVER TEQUILA</t>
        </is>
      </c>
      <c r="C3507" s="7">
        <f>VLOOKUP(A3507,SizeData!A$2:B$3839,2,FALSE)</f>
        <v/>
      </c>
      <c r="D3507" s="6" t="n">
        <v>2</v>
      </c>
      <c r="E3507" s="6" t="inlineStr">
        <is>
          <t>R1695857</t>
        </is>
      </c>
      <c r="F3507" s="67" t="n">
        <v>44758</v>
      </c>
      <c r="G3507" s="68" t="n"/>
    </row>
    <row r="3508">
      <c r="A3508" s="6" t="n">
        <v>88298</v>
      </c>
      <c r="B3508" s="6" t="inlineStr">
        <is>
          <t>PATRON SILVER TEQUILA</t>
        </is>
      </c>
      <c r="C3508" s="7">
        <f>VLOOKUP(A3508,SizeData!A$2:B$3839,2,FALSE)</f>
        <v/>
      </c>
      <c r="D3508" s="6" t="n">
        <v>1</v>
      </c>
      <c r="E3508" s="6" t="inlineStr">
        <is>
          <t>R1698359</t>
        </is>
      </c>
      <c r="F3508" s="67" t="n">
        <v>44765</v>
      </c>
      <c r="G3508" s="68" t="n"/>
    </row>
    <row r="3509">
      <c r="A3509" s="6" t="n">
        <v>88298</v>
      </c>
      <c r="B3509" s="6" t="inlineStr">
        <is>
          <t>PATRON SILVER TEQUILA</t>
        </is>
      </c>
      <c r="C3509" s="7">
        <f>VLOOKUP(A3509,SizeData!A$2:B$3839,2,FALSE)</f>
        <v/>
      </c>
      <c r="D3509" s="6" t="n">
        <v>1</v>
      </c>
      <c r="E3509" s="6" t="inlineStr">
        <is>
          <t>R1747641</t>
        </is>
      </c>
      <c r="F3509" s="67" t="n">
        <v>44800</v>
      </c>
      <c r="G3509" s="68" t="n"/>
    </row>
    <row r="3510">
      <c r="A3510" s="26" t="n">
        <v>88298</v>
      </c>
      <c r="B3510" s="26" t="inlineStr">
        <is>
          <t>PATRON SILVER TEQUILA</t>
        </is>
      </c>
      <c r="C3510" s="7">
        <f>VLOOKUP(A3510,SizeData!A$2:B$3839,2,FALSE)</f>
        <v/>
      </c>
      <c r="D3510" s="26" t="n">
        <v>1</v>
      </c>
      <c r="E3510" s="26" t="inlineStr">
        <is>
          <t>R1749316</t>
        </is>
      </c>
      <c r="F3510" s="72" t="n">
        <v>44803</v>
      </c>
      <c r="G3510" s="73" t="n"/>
    </row>
    <row r="3511">
      <c r="A3511" s="6" t="n">
        <v>88298</v>
      </c>
      <c r="B3511" s="6" t="inlineStr">
        <is>
          <t>PATRON SILVER TEQUILA</t>
        </is>
      </c>
      <c r="C3511" s="7">
        <f>VLOOKUP(A3511,SizeData!A$2:B$3839,2,FALSE)</f>
        <v/>
      </c>
      <c r="D3511" s="6" t="n">
        <v>1</v>
      </c>
      <c r="E3511" s="6" t="inlineStr">
        <is>
          <t>R1754910</t>
        </is>
      </c>
      <c r="F3511" s="67" t="n">
        <v>44810</v>
      </c>
      <c r="G3511" s="68" t="n"/>
    </row>
    <row r="3512">
      <c r="A3512" s="26" t="n">
        <v>88298</v>
      </c>
      <c r="B3512" s="26" t="inlineStr">
        <is>
          <t>PATRON SILVER TEQUILA</t>
        </is>
      </c>
      <c r="C3512" s="7">
        <f>VLOOKUP(A3512,SizeData!A$2:B$3839,2,FALSE)</f>
        <v/>
      </c>
      <c r="D3512" s="26" t="n">
        <v>1</v>
      </c>
      <c r="E3512" s="26" t="inlineStr">
        <is>
          <t>R1749860</t>
        </is>
      </c>
      <c r="F3512" s="72" t="n">
        <v>44811</v>
      </c>
      <c r="G3512" s="73" t="n"/>
    </row>
    <row r="3513">
      <c r="A3513" s="6" t="n">
        <v>88298</v>
      </c>
      <c r="B3513" s="6" t="inlineStr">
        <is>
          <t>PATRON SILVER TEQUILA</t>
        </is>
      </c>
      <c r="C3513" s="7">
        <f>VLOOKUP(A3513,SizeData!A$2:B$3839,2,FALSE)</f>
        <v/>
      </c>
      <c r="D3513" s="6" t="n">
        <v>3</v>
      </c>
      <c r="E3513" s="6" t="inlineStr">
        <is>
          <t>R1798963</t>
        </is>
      </c>
      <c r="F3513" s="67" t="n">
        <v>44844</v>
      </c>
      <c r="G3513" s="68" t="n"/>
    </row>
    <row r="3514">
      <c r="A3514" s="6" t="n">
        <v>88298</v>
      </c>
      <c r="B3514" s="6" t="inlineStr">
        <is>
          <t>PATRON SILVER TEQUILA</t>
        </is>
      </c>
      <c r="C3514" s="7">
        <f>VLOOKUP(A3514,SizeData!A$2:B$3839,2,FALSE)</f>
        <v/>
      </c>
      <c r="D3514" s="6" t="n">
        <v>2</v>
      </c>
      <c r="E3514" s="6" t="inlineStr">
        <is>
          <t>R1820979</t>
        </is>
      </c>
      <c r="F3514" s="2" t="n">
        <v>44849</v>
      </c>
      <c r="G3514" s="69" t="n"/>
    </row>
    <row r="3515">
      <c r="A3515" s="6" t="n">
        <v>88298</v>
      </c>
      <c r="B3515" s="6" t="inlineStr">
        <is>
          <t>PATRON SILVER TEQUILA</t>
        </is>
      </c>
      <c r="C3515" s="7">
        <f>VLOOKUP(A3515,SizeData!A$2:B$3839,2,FALSE)</f>
        <v/>
      </c>
      <c r="D3515" s="6" t="n">
        <v>1</v>
      </c>
      <c r="E3515" s="6" t="inlineStr">
        <is>
          <t>R1856291</t>
        </is>
      </c>
      <c r="F3515" s="2" t="n">
        <v>44874</v>
      </c>
      <c r="G3515" s="1" t="n"/>
    </row>
    <row r="3516">
      <c r="A3516" s="6" t="n">
        <v>88298</v>
      </c>
      <c r="B3516" s="6" t="inlineStr">
        <is>
          <t>PATRON SILVER TEQUILA</t>
        </is>
      </c>
      <c r="C3516" s="7">
        <f>VLOOKUP(A3516,SizeData!A$2:B$3839,2,FALSE)</f>
        <v/>
      </c>
      <c r="D3516" s="6" t="n">
        <v>5</v>
      </c>
      <c r="E3516" s="6" t="inlineStr">
        <is>
          <t>R1859422</t>
        </is>
      </c>
      <c r="F3516" s="2" t="n">
        <v>44875</v>
      </c>
      <c r="G3516" s="1" t="n"/>
    </row>
    <row r="3517">
      <c r="A3517" s="31" t="n">
        <v>56793</v>
      </c>
      <c r="B3517" s="31" t="inlineStr">
        <is>
          <t>PAUL MASSON APPLE GRAND AMBER BRANDY</t>
        </is>
      </c>
      <c r="C3517" s="7">
        <f>VLOOKUP(A3517,SizeData!A$2:B$3839,2,FALSE)</f>
        <v/>
      </c>
      <c r="D3517" s="31" t="n">
        <v>1</v>
      </c>
      <c r="E3517" s="31" t="inlineStr">
        <is>
          <t>R1668920</t>
        </is>
      </c>
      <c r="F3517" s="33" t="n">
        <v>44742</v>
      </c>
      <c r="G3517" s="34" t="n"/>
    </row>
    <row r="3518">
      <c r="A3518" s="6" t="n">
        <v>56793</v>
      </c>
      <c r="B3518" s="6" t="inlineStr">
        <is>
          <t>PAUL MASSON APPLE GRAND AMBER BRANDY</t>
        </is>
      </c>
      <c r="C3518" s="7">
        <f>VLOOKUP(A3518,SizeData!A$2:B$3839,2,FALSE)</f>
        <v/>
      </c>
      <c r="D3518" s="6" t="n">
        <v>1</v>
      </c>
      <c r="E3518" s="6" t="inlineStr">
        <is>
          <t>R1768922</t>
        </is>
      </c>
      <c r="F3518" s="2" t="n">
        <v>44819</v>
      </c>
      <c r="G3518" s="1" t="n"/>
    </row>
    <row r="3519" customFormat="1" s="14">
      <c r="A3519" s="6" t="n">
        <v>56793</v>
      </c>
      <c r="B3519" s="6" t="inlineStr">
        <is>
          <t>PAUL MASSON APPLE GRAND AMBER BRANDY</t>
        </is>
      </c>
      <c r="C3519" s="7">
        <f>VLOOKUP(A3519,SizeData!A$2:B$3839,2,FALSE)</f>
        <v/>
      </c>
      <c r="D3519" s="6" t="n">
        <v>2</v>
      </c>
      <c r="E3519" s="6" t="inlineStr">
        <is>
          <t>R1887698</t>
        </is>
      </c>
      <c r="F3519" s="2" t="n">
        <v>44902</v>
      </c>
      <c r="G3519" s="1" t="n"/>
    </row>
    <row r="3520" customFormat="1" s="14">
      <c r="A3520" s="6" t="n">
        <v>52199</v>
      </c>
      <c r="B3520" s="6" t="inlineStr">
        <is>
          <t>PAUL MASSON GRANDE AMBER BRANDY</t>
        </is>
      </c>
      <c r="C3520" s="7">
        <f>VLOOKUP(A3520,SizeData!A$2:B$3839,2,FALSE)</f>
        <v/>
      </c>
      <c r="D3520" s="6" t="n">
        <v>6</v>
      </c>
      <c r="E3520" s="6" t="inlineStr">
        <is>
          <t>R1380576</t>
        </is>
      </c>
      <c r="F3520" s="2" t="n">
        <v>44550</v>
      </c>
      <c r="G3520" s="1" t="n"/>
    </row>
    <row r="3521" customFormat="1" s="14">
      <c r="A3521" s="6" t="n">
        <v>52199</v>
      </c>
      <c r="B3521" s="6" t="inlineStr">
        <is>
          <t>PAUL MASSON GRANDE AMBER BRANDY</t>
        </is>
      </c>
      <c r="C3521" s="7">
        <f>VLOOKUP(A3521,SizeData!A$2:B$3839,2,FALSE)</f>
        <v/>
      </c>
      <c r="D3521" s="6" t="n">
        <v>1</v>
      </c>
      <c r="E3521" s="6" t="inlineStr">
        <is>
          <t>R1641906</t>
        </is>
      </c>
      <c r="F3521" s="2" t="n">
        <v>44718</v>
      </c>
      <c r="G3521" s="1" t="n"/>
    </row>
    <row r="3522" customFormat="1" s="14">
      <c r="A3522" s="6" t="n">
        <v>52199</v>
      </c>
      <c r="B3522" s="6" t="inlineStr">
        <is>
          <t>PAUL MASSON GRANDE AMBER BRANDY</t>
        </is>
      </c>
      <c r="C3522" s="7">
        <f>VLOOKUP(A3522,SizeData!A$2:B$3839,2,FALSE)</f>
        <v/>
      </c>
      <c r="D3522" s="6" t="n">
        <v>1</v>
      </c>
      <c r="E3522" s="6" t="inlineStr">
        <is>
          <t>R1646165</t>
        </is>
      </c>
      <c r="F3522" s="67" t="n">
        <v>44723</v>
      </c>
      <c r="G3522" s="68" t="n"/>
    </row>
    <row r="3523" customFormat="1" s="14">
      <c r="A3523" s="6" t="n">
        <v>52199</v>
      </c>
      <c r="B3523" s="6" t="inlineStr">
        <is>
          <t>PAUL MASSON GRANDE AMBER BRANDY</t>
        </is>
      </c>
      <c r="C3523" s="7">
        <f>VLOOKUP(A3523,SizeData!A$2:B$3839,2,FALSE)</f>
        <v/>
      </c>
      <c r="D3523" s="6" t="n">
        <v>2</v>
      </c>
      <c r="E3523" s="6" t="inlineStr">
        <is>
          <t>R1711866</t>
        </is>
      </c>
      <c r="F3523" s="67" t="n">
        <v>44772</v>
      </c>
      <c r="G3523" s="68" t="n"/>
    </row>
    <row r="3524" customFormat="1" s="14">
      <c r="A3524" s="6" t="n">
        <v>53211</v>
      </c>
      <c r="B3524" s="6" t="inlineStr">
        <is>
          <t>PAUL MASSON GRANDE AMBER BRANDY</t>
        </is>
      </c>
      <c r="C3524" s="7">
        <f>VLOOKUP(A3524,SizeData!A$2:B$3839,2,FALSE)</f>
        <v/>
      </c>
      <c r="D3524" s="6" t="n">
        <v>5</v>
      </c>
      <c r="E3524" s="6" t="inlineStr">
        <is>
          <t>R1487835</t>
        </is>
      </c>
      <c r="F3524" s="2" t="n">
        <v>44621</v>
      </c>
      <c r="G3524" s="1" t="n"/>
    </row>
    <row r="3525" customFormat="1" s="14">
      <c r="A3525" s="6" t="n">
        <v>53213</v>
      </c>
      <c r="B3525" s="6" t="inlineStr">
        <is>
          <t>PAUL MASSON GRANDE AMBER BRANDY</t>
        </is>
      </c>
      <c r="C3525" s="7">
        <f>VLOOKUP(A3525,SizeData!A$2:B$3839,2,FALSE)</f>
        <v/>
      </c>
      <c r="D3525" s="6" t="n">
        <v>3</v>
      </c>
      <c r="E3525" s="6" t="inlineStr">
        <is>
          <t>R1416309</t>
        </is>
      </c>
      <c r="F3525" s="2" t="n">
        <v>44571</v>
      </c>
      <c r="G3525" s="1" t="n"/>
    </row>
    <row r="3526" customFormat="1" s="14">
      <c r="A3526" s="6" t="n">
        <v>53213</v>
      </c>
      <c r="B3526" s="6" t="inlineStr">
        <is>
          <t>PAUL MASSON GRANDE AMBER BRANDY</t>
        </is>
      </c>
      <c r="C3526" s="7">
        <f>VLOOKUP(A3526,SizeData!A$2:B$3839,2,FALSE)</f>
        <v/>
      </c>
      <c r="D3526" s="6" t="n">
        <v>20</v>
      </c>
      <c r="E3526" s="6" t="inlineStr">
        <is>
          <t>R1427185</t>
        </is>
      </c>
      <c r="F3526" s="2" t="n">
        <v>44587</v>
      </c>
      <c r="G3526" s="70" t="n"/>
    </row>
    <row r="3527">
      <c r="A3527" s="6" t="n">
        <v>53213</v>
      </c>
      <c r="B3527" s="6" t="inlineStr">
        <is>
          <t>PAUL MASSON GRANDE AMBER BRANDY</t>
        </is>
      </c>
      <c r="C3527" s="7">
        <f>VLOOKUP(A3527,SizeData!A$2:B$3839,2,FALSE)</f>
        <v/>
      </c>
      <c r="D3527" s="6" t="n">
        <v>10</v>
      </c>
      <c r="E3527" s="6" t="inlineStr">
        <is>
          <t>R1429392</t>
        </is>
      </c>
      <c r="F3527" s="2" t="n">
        <v>44592</v>
      </c>
      <c r="G3527" s="1" t="n"/>
    </row>
    <row r="3528">
      <c r="A3528" s="6" t="n">
        <v>53213</v>
      </c>
      <c r="B3528" s="6" t="inlineStr">
        <is>
          <t>PAUL MASSON GRANDE AMBER BRANDY</t>
        </is>
      </c>
      <c r="C3528" s="7">
        <f>VLOOKUP(A3528,SizeData!A$2:B$3839,2,FALSE)</f>
        <v/>
      </c>
      <c r="D3528" s="6" t="n">
        <v>5</v>
      </c>
      <c r="E3528" s="6" t="inlineStr">
        <is>
          <t>R1451636</t>
        </is>
      </c>
      <c r="F3528" s="2" t="n">
        <v>44594</v>
      </c>
      <c r="G3528" s="1" t="n"/>
    </row>
    <row r="3529">
      <c r="A3529" s="6" t="n">
        <v>53213</v>
      </c>
      <c r="B3529" s="6" t="inlineStr">
        <is>
          <t>PAUL MASSON GRANDE AMBER BRANDY</t>
        </is>
      </c>
      <c r="C3529" s="7">
        <f>VLOOKUP(A3529,SizeData!A$2:B$3839,2,FALSE)</f>
        <v/>
      </c>
      <c r="D3529" s="6" t="n">
        <v>10</v>
      </c>
      <c r="E3529" s="6" t="inlineStr">
        <is>
          <t>R1481181</t>
        </is>
      </c>
      <c r="F3529" s="2" t="n">
        <v>44614</v>
      </c>
      <c r="G3529" s="1" t="n"/>
    </row>
    <row r="3530">
      <c r="A3530" s="6" t="n">
        <v>53213</v>
      </c>
      <c r="B3530" s="6" t="inlineStr">
        <is>
          <t>PAUL MASSON GRANDE AMBER BRANDY</t>
        </is>
      </c>
      <c r="C3530" s="7">
        <f>VLOOKUP(A3530,SizeData!A$2:B$3839,2,FALSE)</f>
        <v/>
      </c>
      <c r="D3530" s="6" t="n">
        <v>15</v>
      </c>
      <c r="E3530" s="6" t="inlineStr">
        <is>
          <t>R1515375</t>
        </is>
      </c>
      <c r="F3530" s="2" t="n">
        <v>44636</v>
      </c>
      <c r="G3530" s="1" t="n"/>
    </row>
    <row r="3531">
      <c r="A3531" s="6" t="n">
        <v>53213</v>
      </c>
      <c r="B3531" s="6" t="inlineStr">
        <is>
          <t>PAUL MASSON GRANDE AMBER BRANDY</t>
        </is>
      </c>
      <c r="C3531" s="7">
        <f>VLOOKUP(A3531,SizeData!A$2:B$3839,2,FALSE)</f>
        <v/>
      </c>
      <c r="D3531" s="6" t="n">
        <v>20</v>
      </c>
      <c r="E3531" s="6" t="inlineStr">
        <is>
          <t>R1571619</t>
        </is>
      </c>
      <c r="F3531" s="2" t="n">
        <v>44664</v>
      </c>
      <c r="G3531" s="1" t="n"/>
    </row>
    <row r="3532">
      <c r="A3532" s="6" t="n">
        <v>53213</v>
      </c>
      <c r="B3532" s="6" t="inlineStr">
        <is>
          <t>PAUL MASSON GRANDE AMBER BRANDY</t>
        </is>
      </c>
      <c r="C3532" s="7">
        <f>VLOOKUP(A3532,SizeData!A$2:B$3839,2,FALSE)</f>
        <v/>
      </c>
      <c r="D3532" s="6" t="n">
        <v>6</v>
      </c>
      <c r="E3532" s="6" t="inlineStr">
        <is>
          <t>R1613255</t>
        </is>
      </c>
      <c r="F3532" s="2" t="n">
        <v>44700</v>
      </c>
      <c r="G3532" s="1" t="n"/>
    </row>
    <row r="3533">
      <c r="A3533" s="6" t="n">
        <v>53213</v>
      </c>
      <c r="B3533" s="6" t="inlineStr">
        <is>
          <t>PAUL MASSON GRANDE AMBER BRANDY</t>
        </is>
      </c>
      <c r="C3533" s="7">
        <f>VLOOKUP(A3533,SizeData!A$2:B$3839,2,FALSE)</f>
        <v/>
      </c>
      <c r="D3533" s="6" t="n">
        <v>1</v>
      </c>
      <c r="E3533" s="6" t="inlineStr">
        <is>
          <t>R1613943</t>
        </is>
      </c>
      <c r="F3533" s="2" t="n">
        <v>44700</v>
      </c>
      <c r="G3533" s="1" t="n"/>
    </row>
    <row r="3534">
      <c r="A3534" s="6" t="n">
        <v>53213</v>
      </c>
      <c r="B3534" s="6" t="inlineStr">
        <is>
          <t>PAUL MASSON GRANDE AMBER BRANDY</t>
        </is>
      </c>
      <c r="C3534" s="7">
        <f>VLOOKUP(A3534,SizeData!A$2:B$3839,2,FALSE)</f>
        <v/>
      </c>
      <c r="D3534" s="6" t="n">
        <v>10</v>
      </c>
      <c r="E3534" s="6" t="inlineStr">
        <is>
          <t>R1629213</t>
        </is>
      </c>
      <c r="F3534" s="2" t="n">
        <v>44707</v>
      </c>
      <c r="G3534" s="1" t="n"/>
    </row>
    <row r="3535">
      <c r="A3535" s="6" t="n">
        <v>53213</v>
      </c>
      <c r="B3535" s="6" t="inlineStr">
        <is>
          <t>PAUL MASSON GRANDE AMBER BRANDY</t>
        </is>
      </c>
      <c r="C3535" s="7">
        <f>VLOOKUP(A3535,SizeData!A$2:B$3839,2,FALSE)</f>
        <v/>
      </c>
      <c r="D3535" s="6" t="n">
        <v>10</v>
      </c>
      <c r="E3535" s="6" t="inlineStr">
        <is>
          <t xml:space="preserve"> R1632464</t>
        </is>
      </c>
      <c r="F3535" s="2" t="n">
        <v>44715</v>
      </c>
      <c r="G3535" s="1" t="n"/>
    </row>
    <row r="3536">
      <c r="A3536" s="6" t="n">
        <v>53213</v>
      </c>
      <c r="B3536" s="6" t="inlineStr">
        <is>
          <t>PAUL MASSON GRANDE AMBER BRANDY</t>
        </is>
      </c>
      <c r="C3536" s="7">
        <f>VLOOKUP(A3536,SizeData!A$2:B$3839,2,FALSE)</f>
        <v/>
      </c>
      <c r="D3536" s="6" t="n">
        <v>2</v>
      </c>
      <c r="E3536" s="6" t="inlineStr">
        <is>
          <t>R1638121</t>
        </is>
      </c>
      <c r="F3536" s="2" t="n">
        <v>44721</v>
      </c>
      <c r="G3536" s="1" t="n"/>
    </row>
    <row r="3537">
      <c r="A3537" s="6" t="n">
        <v>53213</v>
      </c>
      <c r="B3537" s="6" t="inlineStr">
        <is>
          <t>PAUL MASSON GRANDE AMBER BRANDY</t>
        </is>
      </c>
      <c r="C3537" s="7">
        <f>VLOOKUP(A3537,SizeData!A$2:B$3839,2,FALSE)</f>
        <v/>
      </c>
      <c r="D3537" s="6" t="n">
        <v>25</v>
      </c>
      <c r="E3537" s="6" t="inlineStr">
        <is>
          <t>R1672346</t>
        </is>
      </c>
      <c r="F3537" s="2" t="n">
        <v>44741</v>
      </c>
      <c r="G3537" s="1" t="n"/>
    </row>
    <row r="3538">
      <c r="A3538" s="31" t="n">
        <v>53213</v>
      </c>
      <c r="B3538" s="31" t="inlineStr">
        <is>
          <t>PAUL MASSON GRANDE AMBER BRANDY</t>
        </is>
      </c>
      <c r="C3538" s="7">
        <f>VLOOKUP(A3538,SizeData!A$2:B$3839,2,FALSE)</f>
        <v/>
      </c>
      <c r="D3538" s="31" t="n">
        <v>5</v>
      </c>
      <c r="E3538" s="31" t="inlineStr">
        <is>
          <t>R1667379</t>
        </is>
      </c>
      <c r="F3538" s="33" t="n">
        <v>44741</v>
      </c>
      <c r="G3538" s="34" t="n"/>
    </row>
    <row r="3539">
      <c r="A3539" s="31" t="n">
        <v>53213</v>
      </c>
      <c r="B3539" s="31" t="inlineStr">
        <is>
          <t>PAUL MASSON GRANDE AMBER BRANDY</t>
        </is>
      </c>
      <c r="C3539" s="7">
        <f>VLOOKUP(A3539,SizeData!A$2:B$3839,2,FALSE)</f>
        <v/>
      </c>
      <c r="D3539" s="31" t="n">
        <v>5</v>
      </c>
      <c r="E3539" s="31" t="inlineStr">
        <is>
          <t>R1680314</t>
        </is>
      </c>
      <c r="F3539" s="33" t="n">
        <v>44741</v>
      </c>
      <c r="G3539" s="34" t="n"/>
    </row>
    <row r="3540">
      <c r="A3540" s="31" t="n">
        <v>53213</v>
      </c>
      <c r="B3540" s="31" t="inlineStr">
        <is>
          <t>PAUL MASSON GRANDE AMBER BRANDY</t>
        </is>
      </c>
      <c r="C3540" s="7">
        <f>VLOOKUP(A3540,SizeData!A$2:B$3839,2,FALSE)</f>
        <v/>
      </c>
      <c r="D3540" s="31" t="n">
        <v>1</v>
      </c>
      <c r="E3540" s="31" t="inlineStr">
        <is>
          <t>R1667379</t>
        </is>
      </c>
      <c r="F3540" s="33" t="n">
        <v>44741</v>
      </c>
      <c r="G3540" s="34" t="n"/>
    </row>
    <row r="3541">
      <c r="A3541" s="6" t="n">
        <v>53213</v>
      </c>
      <c r="B3541" s="6" t="inlineStr">
        <is>
          <t>PAUL MASSON GRANDE AMBER BRANDY</t>
        </is>
      </c>
      <c r="C3541" s="7">
        <f>VLOOKUP(A3541,SizeData!A$2:B$3839,2,FALSE)</f>
        <v/>
      </c>
      <c r="D3541" s="6" t="n">
        <v>10</v>
      </c>
      <c r="E3541" s="6" t="inlineStr">
        <is>
          <t>R1705956</t>
        </is>
      </c>
      <c r="F3541" s="2" t="n">
        <v>44768</v>
      </c>
      <c r="G3541" s="1" t="n"/>
    </row>
    <row r="3542">
      <c r="A3542" s="6" t="n">
        <v>53213</v>
      </c>
      <c r="B3542" s="6" t="inlineStr">
        <is>
          <t>PAUL MASSON GRANDE AMBER BRANDY</t>
        </is>
      </c>
      <c r="C3542" s="7">
        <f>VLOOKUP(A3542,SizeData!A$2:B$3839,2,FALSE)</f>
        <v/>
      </c>
      <c r="D3542" s="6" t="n">
        <v>10</v>
      </c>
      <c r="E3542" s="6" t="inlineStr">
        <is>
          <t>R1742986</t>
        </is>
      </c>
      <c r="F3542" s="2" t="n">
        <v>44798</v>
      </c>
      <c r="G3542" s="1" t="n"/>
    </row>
    <row r="3543">
      <c r="A3543" s="6" t="n">
        <v>53213</v>
      </c>
      <c r="B3543" s="6" t="inlineStr">
        <is>
          <t>PAUL MASSON GRANDE AMBER BRANDY</t>
        </is>
      </c>
      <c r="C3543" s="7">
        <f>VLOOKUP(A3543,SizeData!A$2:B$3839,2,FALSE)</f>
        <v/>
      </c>
      <c r="D3543" s="6" t="n">
        <v>5</v>
      </c>
      <c r="E3543" s="6" t="inlineStr">
        <is>
          <t>R1764571</t>
        </is>
      </c>
      <c r="F3543" s="2" t="n">
        <v>44824</v>
      </c>
      <c r="G3543" s="1" t="n"/>
    </row>
    <row r="3544">
      <c r="A3544" s="6" t="n">
        <v>53213</v>
      </c>
      <c r="B3544" s="6" t="inlineStr">
        <is>
          <t>PAUL MASSON GRANDE AMBER BRANDY</t>
        </is>
      </c>
      <c r="C3544" s="7">
        <f>VLOOKUP(A3544,SizeData!A$2:B$3839,2,FALSE)</f>
        <v/>
      </c>
      <c r="D3544" s="6" t="n">
        <v>2</v>
      </c>
      <c r="E3544" s="6" t="inlineStr">
        <is>
          <t>R1817613</t>
        </is>
      </c>
      <c r="F3544" s="2" t="n">
        <v>44849</v>
      </c>
      <c r="G3544" s="1" t="n"/>
    </row>
    <row r="3545">
      <c r="A3545" s="6" t="n">
        <v>53213</v>
      </c>
      <c r="B3545" s="6" t="inlineStr">
        <is>
          <t>PAUL MASSON GRANDE AMBER BRANDY</t>
        </is>
      </c>
      <c r="C3545" s="7">
        <f>VLOOKUP(A3545,SizeData!A$2:B$3839,2,FALSE)</f>
        <v/>
      </c>
      <c r="D3545" s="6" t="n">
        <v>4</v>
      </c>
      <c r="E3545" s="6" t="inlineStr">
        <is>
          <t>R1820979</t>
        </is>
      </c>
      <c r="F3545" s="2" t="n">
        <v>44849</v>
      </c>
      <c r="G3545" s="1" t="n"/>
    </row>
    <row r="3546">
      <c r="A3546" s="6" t="n">
        <v>53213</v>
      </c>
      <c r="B3546" s="6" t="inlineStr">
        <is>
          <t>PAUL MASSON GRANDE AMBER BRANDY</t>
        </is>
      </c>
      <c r="C3546" s="7">
        <f>VLOOKUP(A3546,SizeData!A$2:B$3839,2,FALSE)</f>
        <v/>
      </c>
      <c r="D3546" s="6" t="n">
        <v>6</v>
      </c>
      <c r="E3546" s="6" t="inlineStr">
        <is>
          <t>R1854075</t>
        </is>
      </c>
      <c r="F3546" s="2" t="n">
        <v>44873</v>
      </c>
      <c r="G3546" s="1" t="n"/>
    </row>
    <row r="3547">
      <c r="A3547" s="6" t="n">
        <v>53213</v>
      </c>
      <c r="B3547" s="6" t="inlineStr">
        <is>
          <t>PAUL MASSON GRANDE AMBER BRANDY</t>
        </is>
      </c>
      <c r="C3547" s="7">
        <f>VLOOKUP(A3547,SizeData!A$2:B$3839,2,FALSE)</f>
        <v/>
      </c>
      <c r="D3547" s="6" t="n">
        <v>10</v>
      </c>
      <c r="E3547" s="6" t="inlineStr">
        <is>
          <t>R1877927</t>
        </is>
      </c>
      <c r="F3547" s="2" t="n">
        <v>44886</v>
      </c>
      <c r="G3547" s="1" t="n"/>
    </row>
    <row r="3548">
      <c r="A3548" s="6" t="n">
        <v>53214</v>
      </c>
      <c r="B3548" s="6" t="inlineStr">
        <is>
          <t>PAUL MASSON GRANDE AMBER BRANDY</t>
        </is>
      </c>
      <c r="C3548" s="7">
        <f>VLOOKUP(A3548,SizeData!A$2:B$3839,2,FALSE)</f>
        <v/>
      </c>
      <c r="D3548" s="6" t="n">
        <v>15</v>
      </c>
      <c r="E3548" s="6" t="inlineStr">
        <is>
          <t>R1434873</t>
        </is>
      </c>
      <c r="F3548" s="2" t="n">
        <v>44595</v>
      </c>
      <c r="G3548" s="1" t="n"/>
    </row>
    <row r="3549">
      <c r="A3549" s="6" t="n">
        <v>53214</v>
      </c>
      <c r="B3549" s="6" t="inlineStr">
        <is>
          <t>PAUL MASSON GRANDE AMBER BRANDY</t>
        </is>
      </c>
      <c r="C3549" s="7">
        <f>VLOOKUP(A3549,SizeData!A$2:B$3839,2,FALSE)</f>
        <v/>
      </c>
      <c r="D3549" s="6" t="n">
        <v>5</v>
      </c>
      <c r="E3549" s="6" t="inlineStr">
        <is>
          <t>R1444066</t>
        </is>
      </c>
      <c r="F3549" s="2" t="n">
        <v>44595</v>
      </c>
      <c r="G3549" s="1" t="n"/>
    </row>
    <row r="3550">
      <c r="A3550" s="6" t="n">
        <v>53214</v>
      </c>
      <c r="B3550" s="6" t="inlineStr">
        <is>
          <t>PAUL MASSON GRANDE AMBER BRANDY</t>
        </is>
      </c>
      <c r="C3550" s="7">
        <f>VLOOKUP(A3550,SizeData!A$2:B$3839,2,FALSE)</f>
        <v/>
      </c>
      <c r="D3550" s="6" t="n">
        <v>3</v>
      </c>
      <c r="E3550" s="6" t="inlineStr">
        <is>
          <t>R1574781</t>
        </is>
      </c>
      <c r="F3550" s="2" t="n">
        <v>44681</v>
      </c>
      <c r="G3550" s="1" t="n"/>
    </row>
    <row r="3551">
      <c r="A3551" s="6" t="n">
        <v>53214</v>
      </c>
      <c r="B3551" s="6" t="inlineStr">
        <is>
          <t>PAUL MASSON GRANDE AMBER BRANDY</t>
        </is>
      </c>
      <c r="C3551" s="7">
        <f>VLOOKUP(A3551,SizeData!A$2:B$3839,2,FALSE)</f>
        <v/>
      </c>
      <c r="D3551" s="6" t="n">
        <v>2</v>
      </c>
      <c r="E3551" s="6" t="inlineStr">
        <is>
          <t>R1597736</t>
        </is>
      </c>
      <c r="F3551" s="2" t="n">
        <v>44686</v>
      </c>
      <c r="G3551" s="1" t="n"/>
    </row>
    <row r="3552">
      <c r="A3552" s="6" t="n">
        <v>53214</v>
      </c>
      <c r="B3552" s="6" t="inlineStr">
        <is>
          <t>PAUL MASSON GRANDE AMBER BRANDY</t>
        </is>
      </c>
      <c r="C3552" s="7">
        <f>VLOOKUP(A3552,SizeData!A$2:B$3839,2,FALSE)</f>
        <v/>
      </c>
      <c r="D3552" s="6" t="n">
        <v>1</v>
      </c>
      <c r="E3552" s="6" t="inlineStr">
        <is>
          <t>R1620910</t>
        </is>
      </c>
      <c r="F3552" s="2" t="n">
        <v>44694</v>
      </c>
      <c r="G3552" s="1" t="n"/>
    </row>
    <row r="3553">
      <c r="A3553" s="6" t="n">
        <v>53214</v>
      </c>
      <c r="B3553" s="6" t="inlineStr">
        <is>
          <t>PAUL MASSON GRANDE AMBER BRANDY</t>
        </is>
      </c>
      <c r="C3553" s="7">
        <f>VLOOKUP(A3553,SizeData!A$2:B$3839,2,FALSE)</f>
        <v/>
      </c>
      <c r="D3553" s="6" t="n">
        <v>3</v>
      </c>
      <c r="E3553" s="6" t="inlineStr">
        <is>
          <t>R1630969</t>
        </is>
      </c>
      <c r="F3553" s="2" t="n">
        <v>44711</v>
      </c>
      <c r="G3553" s="1" t="n"/>
    </row>
    <row r="3554">
      <c r="A3554" s="6" t="n">
        <v>53214</v>
      </c>
      <c r="B3554" s="6" t="inlineStr">
        <is>
          <t>PAUL MASSON GRANDE AMBER BRANDY</t>
        </is>
      </c>
      <c r="C3554" s="7">
        <f>VLOOKUP(A3554,SizeData!A$2:B$3839,2,FALSE)</f>
        <v/>
      </c>
      <c r="D3554" s="6" t="n">
        <v>1</v>
      </c>
      <c r="E3554" s="6" t="inlineStr">
        <is>
          <t xml:space="preserve"> R1632464</t>
        </is>
      </c>
      <c r="F3554" s="2" t="n">
        <v>44715</v>
      </c>
      <c r="G3554" s="1" t="n"/>
    </row>
    <row r="3555">
      <c r="A3555" s="6" t="n">
        <v>53214</v>
      </c>
      <c r="B3555" s="6" t="inlineStr">
        <is>
          <t>PAUL MASSON GRANDE AMBER BRANDY</t>
        </is>
      </c>
      <c r="C3555" s="7">
        <f>VLOOKUP(A3555,SizeData!A$2:B$3839,2,FALSE)</f>
        <v/>
      </c>
      <c r="D3555" s="6" t="n">
        <v>2</v>
      </c>
      <c r="E3555" s="6" t="inlineStr">
        <is>
          <t>R1644631</t>
        </is>
      </c>
      <c r="F3555" s="2" t="n">
        <v>44725</v>
      </c>
      <c r="G3555" s="1" t="n"/>
    </row>
    <row r="3556">
      <c r="A3556" s="6" t="n">
        <v>53214</v>
      </c>
      <c r="B3556" s="6" t="inlineStr">
        <is>
          <t>PAUL MASSON GRANDE AMBER BRANDY</t>
        </is>
      </c>
      <c r="C3556" s="7">
        <f>VLOOKUP(A3556,SizeData!A$2:B$3839,2,FALSE)</f>
        <v/>
      </c>
      <c r="D3556" s="6" t="n">
        <v>1</v>
      </c>
      <c r="E3556" s="6" t="inlineStr">
        <is>
          <t>R1658904</t>
        </is>
      </c>
      <c r="F3556" s="2" t="n">
        <v>44732</v>
      </c>
      <c r="G3556" s="1" t="n"/>
    </row>
    <row r="3557">
      <c r="A3557" s="6" t="n">
        <v>53214</v>
      </c>
      <c r="B3557" s="6" t="inlineStr">
        <is>
          <t>PAUL MASSON GRANDE AMBER BRANDY</t>
        </is>
      </c>
      <c r="C3557" s="7">
        <f>VLOOKUP(A3557,SizeData!A$2:B$3839,2,FALSE)</f>
        <v/>
      </c>
      <c r="D3557" s="6" t="n">
        <v>1</v>
      </c>
      <c r="E3557" s="6" t="inlineStr">
        <is>
          <t>R1660776</t>
        </is>
      </c>
      <c r="F3557" s="2" t="n">
        <v>44733</v>
      </c>
      <c r="G3557" s="1" t="n"/>
    </row>
    <row r="3558">
      <c r="A3558" s="39" t="n">
        <v>53214</v>
      </c>
      <c r="B3558" s="39" t="inlineStr">
        <is>
          <t>PAUL MASSON GRANDE AMBER BRANDY</t>
        </is>
      </c>
      <c r="C3558" s="7">
        <f>VLOOKUP(A3558,SizeData!A$2:B$3839,2,FALSE)</f>
        <v/>
      </c>
      <c r="D3558" s="39" t="n">
        <v>2</v>
      </c>
      <c r="E3558" s="39" t="inlineStr">
        <is>
          <t>R1672578</t>
        </is>
      </c>
      <c r="F3558" s="40" t="n">
        <v>44740</v>
      </c>
      <c r="G3558" s="41" t="n"/>
    </row>
    <row r="3559">
      <c r="A3559" s="31" t="n">
        <v>53214</v>
      </c>
      <c r="B3559" s="31" t="inlineStr">
        <is>
          <t>PAUL MASSON GRANDE AMBER BRANDY</t>
        </is>
      </c>
      <c r="C3559" s="7">
        <f>VLOOKUP(A3559,SizeData!A$2:B$3839,2,FALSE)</f>
        <v/>
      </c>
      <c r="D3559" s="31" t="n">
        <v>2</v>
      </c>
      <c r="E3559" s="31" t="inlineStr">
        <is>
          <t>R1668920</t>
        </is>
      </c>
      <c r="F3559" s="33" t="n">
        <v>44742</v>
      </c>
      <c r="G3559" s="34" t="n"/>
    </row>
    <row r="3560">
      <c r="A3560" s="6" t="n">
        <v>53214</v>
      </c>
      <c r="B3560" s="6" t="inlineStr">
        <is>
          <t>PAUL MASSON GRANDE AMBER BRANDY</t>
        </is>
      </c>
      <c r="C3560" s="7">
        <f>VLOOKUP(A3560,SizeData!A$2:B$3839,2,FALSE)</f>
        <v/>
      </c>
      <c r="D3560" s="6" t="n">
        <v>2</v>
      </c>
      <c r="E3560" s="6" t="inlineStr">
        <is>
          <t>R1697003</t>
        </is>
      </c>
      <c r="F3560" s="2" t="n">
        <v>44757</v>
      </c>
      <c r="G3560" s="1" t="n"/>
    </row>
    <row r="3561">
      <c r="A3561" s="6" t="n">
        <v>53214</v>
      </c>
      <c r="B3561" s="6" t="inlineStr">
        <is>
          <t>PAUL MASSON GRANDE AMBER BRANDY</t>
        </is>
      </c>
      <c r="C3561" s="7">
        <f>VLOOKUP(A3561,SizeData!A$2:B$3839,2,FALSE)</f>
        <v/>
      </c>
      <c r="D3561" s="6" t="n">
        <v>8</v>
      </c>
      <c r="E3561" s="6" t="inlineStr">
        <is>
          <t>R1717004</t>
        </is>
      </c>
      <c r="F3561" s="2" t="n">
        <v>44774</v>
      </c>
      <c r="G3561" s="1" t="n"/>
    </row>
    <row r="3562">
      <c r="A3562" s="6" t="n">
        <v>53214</v>
      </c>
      <c r="B3562" s="6" t="inlineStr">
        <is>
          <t>PAUL MASSON GRANDE AMBER BRANDY</t>
        </is>
      </c>
      <c r="C3562" s="7">
        <f>VLOOKUP(A3562,SizeData!A$2:B$3839,2,FALSE)</f>
        <v/>
      </c>
      <c r="D3562" s="6" t="n">
        <v>1</v>
      </c>
      <c r="E3562" s="6" t="inlineStr">
        <is>
          <t>R1717004</t>
        </is>
      </c>
      <c r="F3562" s="2" t="n">
        <v>44774</v>
      </c>
      <c r="G3562" s="62" t="n"/>
    </row>
    <row r="3563">
      <c r="A3563" s="6" t="n">
        <v>53214</v>
      </c>
      <c r="B3563" s="6" t="inlineStr">
        <is>
          <t>PAUL MASSON GRANDE AMBER BRANDY</t>
        </is>
      </c>
      <c r="C3563" s="7">
        <f>VLOOKUP(A3563,SizeData!A$2:B$3839,2,FALSE)</f>
        <v/>
      </c>
      <c r="D3563" s="6" t="n">
        <v>20</v>
      </c>
      <c r="E3563" s="6" t="inlineStr">
        <is>
          <t>R1721375</t>
        </is>
      </c>
      <c r="F3563" s="2" t="n">
        <v>44775</v>
      </c>
      <c r="G3563" s="1" t="n"/>
    </row>
    <row r="3564">
      <c r="A3564" s="6" t="n">
        <v>53214</v>
      </c>
      <c r="B3564" s="6" t="inlineStr">
        <is>
          <t>PAUL MASSON GRANDE AMBER BRANDY</t>
        </is>
      </c>
      <c r="C3564" s="7">
        <f>VLOOKUP(A3564,SizeData!A$2:B$3839,2,FALSE)</f>
        <v/>
      </c>
      <c r="D3564" s="6" t="n">
        <v>4</v>
      </c>
      <c r="E3564" s="6" t="inlineStr">
        <is>
          <t>R1750002</t>
        </is>
      </c>
      <c r="F3564" s="2" t="n">
        <v>44776</v>
      </c>
      <c r="G3564" s="1" t="n"/>
    </row>
    <row r="3565">
      <c r="A3565" s="6" t="n">
        <v>53214</v>
      </c>
      <c r="B3565" s="6" t="inlineStr">
        <is>
          <t>PAUL MASSON GRANDE AMBER BRANDY</t>
        </is>
      </c>
      <c r="C3565" s="7">
        <f>VLOOKUP(A3565,SizeData!A$2:B$3839,2,FALSE)</f>
        <v/>
      </c>
      <c r="D3565" s="6" t="n">
        <v>20</v>
      </c>
      <c r="E3565" s="6" t="inlineStr">
        <is>
          <t>R1722017</t>
        </is>
      </c>
      <c r="F3565" s="2" t="n">
        <v>44777</v>
      </c>
      <c r="G3565" s="1" t="n"/>
    </row>
    <row r="3566">
      <c r="A3566" s="6" t="n">
        <v>53214</v>
      </c>
      <c r="B3566" s="6" t="inlineStr">
        <is>
          <t>PAUL MASSON GRANDE AMBER BRANDY</t>
        </is>
      </c>
      <c r="C3566" s="7">
        <f>VLOOKUP(A3566,SizeData!A$2:B$3839,2,FALSE)</f>
        <v/>
      </c>
      <c r="D3566" s="6" t="n">
        <v>20</v>
      </c>
      <c r="E3566" s="6" t="inlineStr">
        <is>
          <t>R1856811</t>
        </is>
      </c>
      <c r="F3566" s="2" t="n">
        <v>44868</v>
      </c>
      <c r="G3566" s="1" t="n"/>
    </row>
    <row r="3567">
      <c r="A3567" s="6" t="n">
        <v>53214</v>
      </c>
      <c r="B3567" s="6" t="inlineStr">
        <is>
          <t>PAUL MASSON GRANDE AMBER BRANDY</t>
        </is>
      </c>
      <c r="C3567" s="7">
        <f>VLOOKUP(A3567,SizeData!A$2:B$3839,2,FALSE)</f>
        <v/>
      </c>
      <c r="D3567" s="6" t="n">
        <v>20</v>
      </c>
      <c r="E3567" s="6" t="inlineStr">
        <is>
          <t>R1852842</t>
        </is>
      </c>
      <c r="F3567" s="2" t="n">
        <v>44872</v>
      </c>
      <c r="G3567" s="1" t="n"/>
    </row>
    <row r="3568">
      <c r="A3568" s="6" t="n">
        <v>53216</v>
      </c>
      <c r="B3568" s="6" t="inlineStr">
        <is>
          <t>PAUL MASSON GRANDE AMBER BRANDY</t>
        </is>
      </c>
      <c r="C3568" s="7">
        <f>VLOOKUP(A3568,SizeData!A$2:B$3839,2,FALSE)</f>
        <v/>
      </c>
      <c r="D3568" s="6" t="n">
        <v>20</v>
      </c>
      <c r="E3568" s="6" t="inlineStr">
        <is>
          <t>R1380574</t>
        </is>
      </c>
      <c r="F3568" s="2" t="n">
        <v>44550</v>
      </c>
      <c r="G3568" s="1" t="n"/>
    </row>
    <row r="3569">
      <c r="A3569" s="6" t="n">
        <v>53216</v>
      </c>
      <c r="B3569" s="6" t="inlineStr">
        <is>
          <t>PAUL MASSON GRANDE AMBER BRANDY</t>
        </is>
      </c>
      <c r="C3569" s="7">
        <f>VLOOKUP(A3569,SizeData!A$2:B$3839,2,FALSE)</f>
        <v/>
      </c>
      <c r="D3569" s="6" t="n">
        <v>20</v>
      </c>
      <c r="E3569" s="6" t="inlineStr">
        <is>
          <t>R1379232</t>
        </is>
      </c>
      <c r="F3569" s="2" t="n">
        <v>44557</v>
      </c>
      <c r="G3569" s="1" t="n"/>
    </row>
    <row r="3570">
      <c r="A3570" s="6" t="n">
        <v>53216</v>
      </c>
      <c r="B3570" s="6" t="inlineStr">
        <is>
          <t>PAUL MASSON GRANDE AMBER BRANDY</t>
        </is>
      </c>
      <c r="C3570" s="7">
        <f>VLOOKUP(A3570,SizeData!A$2:B$3839,2,FALSE)</f>
        <v/>
      </c>
      <c r="D3570" s="6" t="n">
        <v>17</v>
      </c>
      <c r="E3570" s="6" t="inlineStr">
        <is>
          <t>R1488197</t>
        </is>
      </c>
      <c r="F3570" s="2" t="n">
        <v>44628</v>
      </c>
      <c r="G3570" s="1" t="n"/>
    </row>
    <row r="3571">
      <c r="A3571" s="6" t="n">
        <v>53216</v>
      </c>
      <c r="B3571" s="6" t="inlineStr">
        <is>
          <t>PAUL MASSON GRANDE AMBER BRANDY</t>
        </is>
      </c>
      <c r="C3571" s="7">
        <f>VLOOKUP(A3571,SizeData!A$2:B$3839,2,FALSE)</f>
        <v/>
      </c>
      <c r="D3571" s="6" t="n">
        <v>3</v>
      </c>
      <c r="E3571" s="6" t="inlineStr">
        <is>
          <t>R1488197</t>
        </is>
      </c>
      <c r="F3571" s="2" t="n">
        <v>44628</v>
      </c>
      <c r="G3571" s="1" t="n"/>
    </row>
    <row r="3572">
      <c r="A3572" s="6" t="n">
        <v>53216</v>
      </c>
      <c r="B3572" s="6" t="inlineStr">
        <is>
          <t>PAUL MASSON GRANDE AMBER BRANDY</t>
        </is>
      </c>
      <c r="C3572" s="7">
        <f>VLOOKUP(A3572,SizeData!A$2:B$3839,2,FALSE)</f>
        <v/>
      </c>
      <c r="D3572" s="6" t="n">
        <v>8</v>
      </c>
      <c r="E3572" s="6" t="inlineStr">
        <is>
          <t>R1511560</t>
        </is>
      </c>
      <c r="F3572" s="2" t="n">
        <v>44630</v>
      </c>
      <c r="G3572" s="1" t="n"/>
    </row>
    <row r="3573">
      <c r="A3573" s="6" t="n">
        <v>53216</v>
      </c>
      <c r="B3573" s="6" t="inlineStr">
        <is>
          <t>PAUL MASSON GRANDE AMBER BRANDY</t>
        </is>
      </c>
      <c r="C3573" s="7">
        <f>VLOOKUP(A3573,SizeData!A$2:B$3839,2,FALSE)</f>
        <v/>
      </c>
      <c r="D3573" s="6" t="n">
        <v>30</v>
      </c>
      <c r="E3573" s="6" t="inlineStr">
        <is>
          <t>R1513936</t>
        </is>
      </c>
      <c r="F3573" s="2" t="n">
        <v>44637</v>
      </c>
      <c r="G3573" s="1" t="n"/>
    </row>
    <row r="3574">
      <c r="A3574" s="6" t="n">
        <v>53216</v>
      </c>
      <c r="B3574" s="6" t="inlineStr">
        <is>
          <t>PAUL MASSON GRANDE AMBER BRANDY</t>
        </is>
      </c>
      <c r="C3574" s="7">
        <f>VLOOKUP(A3574,SizeData!A$2:B$3839,2,FALSE)</f>
        <v/>
      </c>
      <c r="D3574" s="6" t="n">
        <v>3</v>
      </c>
      <c r="E3574" s="6" t="inlineStr">
        <is>
          <t>R1641906</t>
        </is>
      </c>
      <c r="F3574" s="2" t="n">
        <v>44718</v>
      </c>
      <c r="G3574" s="1" t="n"/>
    </row>
    <row r="3575" customFormat="1" s="14">
      <c r="A3575" s="6" t="n">
        <v>53216</v>
      </c>
      <c r="B3575" s="6" t="inlineStr">
        <is>
          <t>PAUL MASSON GRANDE AMBER BRANDY</t>
        </is>
      </c>
      <c r="C3575" s="7">
        <f>VLOOKUP(A3575,SizeData!A$2:B$3839,2,FALSE)</f>
        <v/>
      </c>
      <c r="D3575" s="6" t="n">
        <v>1</v>
      </c>
      <c r="E3575" s="6" t="inlineStr">
        <is>
          <t>R1647521</t>
        </is>
      </c>
      <c r="F3575" s="2" t="n">
        <v>44723</v>
      </c>
      <c r="G3575" s="1" t="n"/>
    </row>
    <row r="3576" customFormat="1" s="14">
      <c r="A3576" s="6" t="n">
        <v>53216</v>
      </c>
      <c r="B3576" s="6" t="inlineStr">
        <is>
          <t>PAUL MASSON GRANDE AMBER BRANDY</t>
        </is>
      </c>
      <c r="C3576" s="7">
        <f>VLOOKUP(A3576,SizeData!A$2:B$3839,2,FALSE)</f>
        <v/>
      </c>
      <c r="D3576" s="6" t="n">
        <v>2</v>
      </c>
      <c r="E3576" s="6" t="inlineStr">
        <is>
          <t>R1658904</t>
        </is>
      </c>
      <c r="F3576" s="2" t="n">
        <v>44732</v>
      </c>
      <c r="G3576" s="1" t="n"/>
    </row>
    <row r="3577" customFormat="1" s="14">
      <c r="A3577" s="6" t="n">
        <v>53216</v>
      </c>
      <c r="B3577" s="6" t="inlineStr">
        <is>
          <t>PAUL MASSON GRANDE AMBER BRANDY</t>
        </is>
      </c>
      <c r="C3577" s="7">
        <f>VLOOKUP(A3577,SizeData!A$2:B$3839,2,FALSE)</f>
        <v/>
      </c>
      <c r="D3577" s="6" t="n">
        <v>5</v>
      </c>
      <c r="E3577" s="6" t="inlineStr">
        <is>
          <t>R1690045</t>
        </is>
      </c>
      <c r="F3577" s="2" t="n">
        <v>44753</v>
      </c>
      <c r="G3577" s="1" t="n"/>
    </row>
    <row r="3578" customFormat="1" s="14">
      <c r="A3578" s="6" t="n">
        <v>53216</v>
      </c>
      <c r="B3578" s="6" t="inlineStr">
        <is>
          <t>PAUL MASSON GRANDE AMBER BRANDY</t>
        </is>
      </c>
      <c r="C3578" s="7">
        <f>VLOOKUP(A3578,SizeData!A$2:B$3839,2,FALSE)</f>
        <v/>
      </c>
      <c r="D3578" s="6" t="n">
        <v>5</v>
      </c>
      <c r="E3578" s="6" t="inlineStr">
        <is>
          <t>R1697003</t>
        </is>
      </c>
      <c r="F3578" s="2" t="n">
        <v>44757</v>
      </c>
      <c r="G3578" s="1" t="n"/>
    </row>
    <row r="3579" customFormat="1" s="14">
      <c r="A3579" s="6" t="n">
        <v>53216</v>
      </c>
      <c r="B3579" s="6" t="inlineStr">
        <is>
          <t>PAUL MASSON GRANDE AMBER BRANDY</t>
        </is>
      </c>
      <c r="C3579" s="7">
        <f>VLOOKUP(A3579,SizeData!A$2:B$3839,2,FALSE)</f>
        <v/>
      </c>
      <c r="D3579" s="6" t="n">
        <v>1</v>
      </c>
      <c r="E3579" s="6" t="inlineStr">
        <is>
          <t>R1734629</t>
        </is>
      </c>
      <c r="F3579" s="2" t="n">
        <v>44792</v>
      </c>
      <c r="G3579" s="1" t="n"/>
    </row>
    <row r="3580">
      <c r="A3580" s="6" t="n">
        <v>53216</v>
      </c>
      <c r="B3580" s="6" t="inlineStr">
        <is>
          <t>PAUL MASSON GRANDE AMBER BRANDY</t>
        </is>
      </c>
      <c r="C3580" s="7">
        <f>VLOOKUP(A3580,SizeData!A$2:B$3839,2,FALSE)</f>
        <v/>
      </c>
      <c r="D3580" s="6" t="n">
        <v>2</v>
      </c>
      <c r="E3580" s="6" t="inlineStr">
        <is>
          <t>R1755075</t>
        </is>
      </c>
      <c r="F3580" s="2" t="n">
        <v>44798</v>
      </c>
      <c r="G3580" s="1" t="n"/>
    </row>
    <row r="3581">
      <c r="A3581" s="6" t="n">
        <v>53216</v>
      </c>
      <c r="B3581" s="6" t="inlineStr">
        <is>
          <t>PAUL MASSON GRANDE AMBER BRANDY</t>
        </is>
      </c>
      <c r="C3581" s="7">
        <f>VLOOKUP(A3581,SizeData!A$2:B$3839,2,FALSE)</f>
        <v/>
      </c>
      <c r="D3581" s="6" t="n">
        <v>40</v>
      </c>
      <c r="E3581" s="6" t="inlineStr">
        <is>
          <t>R1754103</t>
        </is>
      </c>
      <c r="F3581" s="2" t="n">
        <v>44805</v>
      </c>
      <c r="G3581" s="1" t="n"/>
    </row>
    <row r="3582">
      <c r="A3582" s="6" t="n">
        <v>53216</v>
      </c>
      <c r="B3582" s="6" t="inlineStr">
        <is>
          <t>PAUL MASSON GRANDE AMBER BRANDY</t>
        </is>
      </c>
      <c r="C3582" s="7">
        <f>VLOOKUP(A3582,SizeData!A$2:B$3839,2,FALSE)</f>
        <v/>
      </c>
      <c r="D3582" s="6" t="n">
        <v>40</v>
      </c>
      <c r="E3582" s="6" t="inlineStr">
        <is>
          <t>R1754320</t>
        </is>
      </c>
      <c r="F3582" s="2" t="n">
        <v>44806</v>
      </c>
      <c r="G3582" s="1" t="n"/>
    </row>
    <row r="3583">
      <c r="A3583" s="6" t="n">
        <v>53216</v>
      </c>
      <c r="B3583" s="6" t="inlineStr">
        <is>
          <t>PAUL MASSON GRANDE AMBER BRANDY</t>
        </is>
      </c>
      <c r="C3583" s="7">
        <f>VLOOKUP(A3583,SizeData!A$2:B$3839,2,FALSE)</f>
        <v/>
      </c>
      <c r="D3583" s="6" t="n">
        <v>8</v>
      </c>
      <c r="E3583" s="6" t="inlineStr">
        <is>
          <t>R1757188</t>
        </is>
      </c>
      <c r="F3583" s="2" t="n">
        <v>44809</v>
      </c>
      <c r="G3583" s="1" t="n"/>
    </row>
    <row r="3584">
      <c r="A3584" s="6" t="n">
        <v>53216</v>
      </c>
      <c r="B3584" s="6" t="inlineStr">
        <is>
          <t>PAUL MASSON GRANDE AMBER BRANDY</t>
        </is>
      </c>
      <c r="C3584" s="7">
        <f>VLOOKUP(A3584,SizeData!A$2:B$3839,2,FALSE)</f>
        <v/>
      </c>
      <c r="D3584" s="6" t="n">
        <v>8</v>
      </c>
      <c r="E3584" s="6" t="inlineStr">
        <is>
          <t>R1759406</t>
        </is>
      </c>
      <c r="F3584" s="2" t="n">
        <v>44809</v>
      </c>
      <c r="G3584" s="1" t="n"/>
    </row>
    <row r="3585">
      <c r="A3585" s="6" t="n">
        <v>53216</v>
      </c>
      <c r="B3585" s="6" t="inlineStr">
        <is>
          <t>PAUL MASSON GRANDE AMBER BRANDY</t>
        </is>
      </c>
      <c r="C3585" s="7">
        <f>VLOOKUP(A3585,SizeData!A$2:B$3839,2,FALSE)</f>
        <v/>
      </c>
      <c r="D3585" s="6" t="n">
        <v>8</v>
      </c>
      <c r="E3585" s="6" t="inlineStr">
        <is>
          <t>R1761429</t>
        </is>
      </c>
      <c r="F3585" s="2" t="n">
        <v>44809</v>
      </c>
      <c r="G3585" s="1" t="n"/>
    </row>
    <row r="3586">
      <c r="A3586" s="26" t="n">
        <v>53216</v>
      </c>
      <c r="B3586" s="26" t="inlineStr">
        <is>
          <t>PAUL MASSON GRANDE AMBER BRANDY</t>
        </is>
      </c>
      <c r="C3586" s="7">
        <f>VLOOKUP(A3586,SizeData!A$2:B$3839,2,FALSE)</f>
        <v/>
      </c>
      <c r="D3586" s="26" t="n">
        <v>1</v>
      </c>
      <c r="E3586" s="26" t="inlineStr">
        <is>
          <t>R1757188</t>
        </is>
      </c>
      <c r="F3586" s="61" t="n">
        <v>44809</v>
      </c>
      <c r="G3586" s="62" t="n"/>
    </row>
    <row r="3587">
      <c r="A3587" s="6" t="n">
        <v>53216</v>
      </c>
      <c r="B3587" s="6" t="inlineStr">
        <is>
          <t>PAUL MASSON GRANDE AMBER BRANDY</t>
        </is>
      </c>
      <c r="C3587" s="7">
        <f>VLOOKUP(A3587,SizeData!A$2:B$3839,2,FALSE)</f>
        <v/>
      </c>
      <c r="D3587" s="6" t="n">
        <v>8</v>
      </c>
      <c r="E3587" s="6" t="inlineStr">
        <is>
          <t>R1792736</t>
        </is>
      </c>
      <c r="F3587" s="2" t="n">
        <v>44834</v>
      </c>
      <c r="G3587" s="1" t="n"/>
    </row>
    <row r="3588">
      <c r="A3588" s="6" t="n">
        <v>53216</v>
      </c>
      <c r="B3588" s="6" t="inlineStr">
        <is>
          <t>PAUL MASSON GRANDE AMBER BRANDY</t>
        </is>
      </c>
      <c r="C3588" s="7">
        <f>VLOOKUP(A3588,SizeData!A$2:B$3839,2,FALSE)</f>
        <v/>
      </c>
      <c r="D3588" s="6" t="n">
        <v>8</v>
      </c>
      <c r="E3588" s="6" t="inlineStr">
        <is>
          <t>R1792737</t>
        </is>
      </c>
      <c r="F3588" s="2" t="n">
        <v>44834</v>
      </c>
      <c r="G3588" s="1" t="n"/>
    </row>
    <row r="3589">
      <c r="A3589" s="6" t="n">
        <v>53216</v>
      </c>
      <c r="B3589" s="6" t="inlineStr">
        <is>
          <t>PAUL MASSON GRANDE AMBER BRANDY</t>
        </is>
      </c>
      <c r="C3589" s="7">
        <f>VLOOKUP(A3589,SizeData!A$2:B$3839,2,FALSE)</f>
        <v/>
      </c>
      <c r="D3589" s="6" t="n">
        <v>1</v>
      </c>
      <c r="E3589" s="6" t="inlineStr">
        <is>
          <t>R1797305</t>
        </is>
      </c>
      <c r="F3589" s="2" t="n">
        <v>44834</v>
      </c>
      <c r="G3589" s="1" t="n"/>
    </row>
    <row r="3590">
      <c r="A3590" s="6" t="n">
        <v>53216</v>
      </c>
      <c r="B3590" s="6" t="inlineStr">
        <is>
          <t>PAUL MASSON GRANDE AMBER BRANDY</t>
        </is>
      </c>
      <c r="C3590" s="7">
        <f>VLOOKUP(A3590,SizeData!A$2:B$3839,2,FALSE)</f>
        <v/>
      </c>
      <c r="D3590" s="6" t="n">
        <v>30</v>
      </c>
      <c r="E3590" s="6" t="inlineStr">
        <is>
          <t>R1902036</t>
        </is>
      </c>
      <c r="F3590" s="2" t="n">
        <v>44903</v>
      </c>
      <c r="G3590" s="1" t="n"/>
    </row>
    <row r="3591">
      <c r="A3591" s="6" t="n">
        <v>53216</v>
      </c>
      <c r="B3591" s="6" t="inlineStr">
        <is>
          <t>PAUL MASSON GRANDE AMBER BRANDY</t>
        </is>
      </c>
      <c r="C3591" s="7">
        <f>VLOOKUP(A3591,SizeData!A$2:B$3839,2,FALSE)</f>
        <v/>
      </c>
      <c r="D3591" s="6" t="n">
        <v>30</v>
      </c>
      <c r="E3591" s="6" t="inlineStr">
        <is>
          <t>R1902036</t>
        </is>
      </c>
      <c r="F3591" s="2" t="n">
        <v>44903</v>
      </c>
      <c r="G3591" s="1" t="n"/>
    </row>
    <row r="3592">
      <c r="A3592" s="6" t="n">
        <v>53217</v>
      </c>
      <c r="B3592" s="6" t="inlineStr">
        <is>
          <t>PAUL MASSON GRANDE AMBER BRANDY</t>
        </is>
      </c>
      <c r="C3592" s="7">
        <f>VLOOKUP(A3592,SizeData!A$2:B$3839,2,FALSE)</f>
        <v/>
      </c>
      <c r="D3592" s="6" t="n">
        <v>2</v>
      </c>
      <c r="E3592" s="6" t="inlineStr">
        <is>
          <t xml:space="preserve"> R1368459</t>
        </is>
      </c>
      <c r="F3592" s="2" t="n">
        <v>44546</v>
      </c>
      <c r="G3592" s="1" t="n"/>
    </row>
    <row r="3593">
      <c r="A3593" s="6" t="n">
        <v>53217</v>
      </c>
      <c r="B3593" s="6" t="inlineStr">
        <is>
          <t>PAUL MASSON GRANDE AMBER BRANDY</t>
        </is>
      </c>
      <c r="C3593" s="7">
        <f>VLOOKUP(A3593,SizeData!A$2:B$3839,2,FALSE)</f>
        <v/>
      </c>
      <c r="D3593" s="6" t="n">
        <v>2</v>
      </c>
      <c r="E3593" s="6" t="inlineStr">
        <is>
          <t>R1418605</t>
        </is>
      </c>
      <c r="F3593" s="2" t="n">
        <v>44576</v>
      </c>
      <c r="G3593" s="1" t="n"/>
    </row>
    <row r="3594">
      <c r="A3594" s="6" t="n">
        <v>53217</v>
      </c>
      <c r="B3594" s="6" t="inlineStr">
        <is>
          <t>PAUL MASSON GRANDE AMBER BRANDY</t>
        </is>
      </c>
      <c r="C3594" s="7">
        <f>VLOOKUP(A3594,SizeData!A$2:B$3839,2,FALSE)</f>
        <v/>
      </c>
      <c r="D3594" s="6" t="n">
        <v>2</v>
      </c>
      <c r="E3594" s="6" t="inlineStr">
        <is>
          <t>R1439543</t>
        </is>
      </c>
      <c r="F3594" s="2" t="n">
        <v>44594</v>
      </c>
      <c r="G3594" s="1" t="n"/>
    </row>
    <row r="3595">
      <c r="A3595" s="6" t="n">
        <v>53217</v>
      </c>
      <c r="B3595" s="6" t="inlineStr">
        <is>
          <t>PAUL MASSON GRANDE AMBER BRANDY</t>
        </is>
      </c>
      <c r="C3595" s="7">
        <f>VLOOKUP(A3595,SizeData!A$2:B$3839,2,FALSE)</f>
        <v/>
      </c>
      <c r="D3595" s="6" t="n">
        <v>2</v>
      </c>
      <c r="E3595" s="6" t="inlineStr">
        <is>
          <t>R1480080</t>
        </is>
      </c>
      <c r="F3595" s="2" t="n">
        <v>44611</v>
      </c>
      <c r="G3595" s="1" t="n"/>
    </row>
    <row r="3596">
      <c r="A3596" s="6" t="n">
        <v>53217</v>
      </c>
      <c r="B3596" s="6" t="inlineStr">
        <is>
          <t>PAUL MASSON GRANDE AMBER BRANDY</t>
        </is>
      </c>
      <c r="C3596" s="7">
        <f>VLOOKUP(A3596,SizeData!A$2:B$3839,2,FALSE)</f>
        <v/>
      </c>
      <c r="D3596" s="6" t="n">
        <v>2</v>
      </c>
      <c r="E3596" s="6" t="inlineStr">
        <is>
          <t>R1489956</t>
        </is>
      </c>
      <c r="F3596" s="2" t="n">
        <v>44631</v>
      </c>
      <c r="G3596" s="1" t="n"/>
    </row>
    <row r="3597">
      <c r="A3597" s="6" t="n">
        <v>53217</v>
      </c>
      <c r="B3597" s="6" t="inlineStr">
        <is>
          <t>PAUL MASSON GRANDE AMBER BRANDY</t>
        </is>
      </c>
      <c r="C3597" s="7">
        <f>VLOOKUP(A3597,SizeData!A$2:B$3839,2,FALSE)</f>
        <v/>
      </c>
      <c r="D3597" s="6" t="n">
        <v>1</v>
      </c>
      <c r="E3597" s="6" t="inlineStr">
        <is>
          <t>R1597736</t>
        </is>
      </c>
      <c r="F3597" s="2" t="n">
        <v>44686</v>
      </c>
      <c r="G3597" s="1" t="n"/>
    </row>
    <row r="3598">
      <c r="A3598" s="6" t="n">
        <v>53217</v>
      </c>
      <c r="B3598" s="6" t="inlineStr">
        <is>
          <t>PAUL MASSON GRANDE AMBER BRANDY</t>
        </is>
      </c>
      <c r="C3598" s="7">
        <f>VLOOKUP(A3598,SizeData!A$2:B$3839,2,FALSE)</f>
        <v/>
      </c>
      <c r="D3598" s="6" t="n">
        <v>1</v>
      </c>
      <c r="E3598" s="6" t="inlineStr">
        <is>
          <t>R1602916</t>
        </is>
      </c>
      <c r="F3598" s="2" t="n">
        <v>44690</v>
      </c>
      <c r="G3598" s="1" t="n"/>
    </row>
    <row r="3599">
      <c r="A3599" s="6" t="n">
        <v>53217</v>
      </c>
      <c r="B3599" s="6" t="inlineStr">
        <is>
          <t>PAUL MASSON GRANDE AMBER BRANDY</t>
        </is>
      </c>
      <c r="C3599" s="7">
        <f>VLOOKUP(A3599,SizeData!A$2:B$3839,2,FALSE)</f>
        <v/>
      </c>
      <c r="D3599" s="6" t="n">
        <v>2</v>
      </c>
      <c r="E3599" s="6" t="inlineStr">
        <is>
          <t>R1620910</t>
        </is>
      </c>
      <c r="F3599" s="2" t="n">
        <v>44694</v>
      </c>
      <c r="G3599" s="1" t="n"/>
    </row>
    <row r="3600">
      <c r="A3600" s="6" t="n">
        <v>53217</v>
      </c>
      <c r="B3600" s="6" t="inlineStr">
        <is>
          <t>PAUL MASSON GRANDE AMBER BRANDY</t>
        </is>
      </c>
      <c r="C3600" s="7">
        <f>VLOOKUP(A3600,SizeData!A$2:B$3839,2,FALSE)</f>
        <v/>
      </c>
      <c r="D3600" s="6" t="n">
        <v>1</v>
      </c>
      <c r="E3600" s="6" t="inlineStr">
        <is>
          <t>R1638121</t>
        </is>
      </c>
      <c r="F3600" s="2" t="n">
        <v>44721</v>
      </c>
      <c r="G3600" s="1" t="n"/>
    </row>
    <row r="3601">
      <c r="A3601" s="6" t="n">
        <v>53217</v>
      </c>
      <c r="B3601" s="6" t="inlineStr">
        <is>
          <t>PAUL MASSON GRANDE AMBER BRANDY</t>
        </is>
      </c>
      <c r="C3601" s="7">
        <f>VLOOKUP(A3601,SizeData!A$2:B$3839,2,FALSE)</f>
        <v/>
      </c>
      <c r="D3601" s="6" t="n">
        <v>1</v>
      </c>
      <c r="E3601" s="6" t="inlineStr">
        <is>
          <t>R1658904</t>
        </is>
      </c>
      <c r="F3601" s="2" t="n">
        <v>44732</v>
      </c>
      <c r="G3601" s="1" t="n"/>
    </row>
    <row r="3602">
      <c r="A3602" s="6" t="n">
        <v>53217</v>
      </c>
      <c r="B3602" s="6" t="inlineStr">
        <is>
          <t>PAUL MASSON GRANDE AMBER BRANDY</t>
        </is>
      </c>
      <c r="C3602" s="7">
        <f>VLOOKUP(A3602,SizeData!A$2:B$3839,2,FALSE)</f>
        <v/>
      </c>
      <c r="D3602" s="6" t="n">
        <v>1</v>
      </c>
      <c r="E3602" s="6" t="inlineStr">
        <is>
          <t>R1690045</t>
        </is>
      </c>
      <c r="F3602" s="2" t="n">
        <v>44753</v>
      </c>
      <c r="G3602" s="1" t="n"/>
    </row>
    <row r="3603">
      <c r="A3603" s="6" t="n">
        <v>53217</v>
      </c>
      <c r="B3603" s="6" t="inlineStr">
        <is>
          <t>PAUL MASSON GRANDE AMBER BRANDY</t>
        </is>
      </c>
      <c r="C3603" s="7">
        <f>VLOOKUP(A3603,SizeData!A$2:B$3839,2,FALSE)</f>
        <v/>
      </c>
      <c r="D3603" s="6" t="n">
        <v>1</v>
      </c>
      <c r="E3603" s="6" t="inlineStr">
        <is>
          <t>R1681165</t>
        </is>
      </c>
      <c r="F3603" s="2" t="n">
        <v>44758</v>
      </c>
      <c r="G3603" s="1" t="n"/>
    </row>
    <row r="3604">
      <c r="A3604" s="6" t="n">
        <v>53217</v>
      </c>
      <c r="B3604" s="6" t="inlineStr">
        <is>
          <t>PAUL MASSON GRANDE AMBER BRANDY</t>
        </is>
      </c>
      <c r="C3604" s="7">
        <f>VLOOKUP(A3604,SizeData!A$2:B$3839,2,FALSE)</f>
        <v/>
      </c>
      <c r="D3604" s="6" t="n">
        <v>2</v>
      </c>
      <c r="E3604" s="6" t="inlineStr">
        <is>
          <t>R1698359</t>
        </is>
      </c>
      <c r="F3604" s="2" t="n">
        <v>44765</v>
      </c>
      <c r="G3604" s="1" t="n"/>
    </row>
    <row r="3605">
      <c r="A3605" s="6" t="n">
        <v>53217</v>
      </c>
      <c r="B3605" s="6" t="inlineStr">
        <is>
          <t>PAUL MASSON GRANDE AMBER BRANDY</t>
        </is>
      </c>
      <c r="C3605" s="7">
        <f>VLOOKUP(A3605,SizeData!A$2:B$3839,2,FALSE)</f>
        <v/>
      </c>
      <c r="D3605" s="6" t="n">
        <v>2</v>
      </c>
      <c r="E3605" s="6" t="inlineStr">
        <is>
          <t>R1702995</t>
        </is>
      </c>
      <c r="F3605" s="2" t="n">
        <v>44772</v>
      </c>
      <c r="G3605" s="1" t="n"/>
    </row>
    <row r="3606">
      <c r="A3606" s="6" t="n">
        <v>53217</v>
      </c>
      <c r="B3606" s="6" t="inlineStr">
        <is>
          <t>PAUL MASSON GRANDE AMBER BRANDY</t>
        </is>
      </c>
      <c r="C3606" s="7">
        <f>VLOOKUP(A3606,SizeData!A$2:B$3839,2,FALSE)</f>
        <v/>
      </c>
      <c r="D3606" s="6" t="n">
        <v>1</v>
      </c>
      <c r="E3606" s="6" t="inlineStr">
        <is>
          <t>R1767069</t>
        </is>
      </c>
      <c r="F3606" s="2" t="n">
        <v>44814</v>
      </c>
      <c r="G3606" s="1" t="n"/>
    </row>
    <row r="3607">
      <c r="A3607" s="6" t="n">
        <v>53217</v>
      </c>
      <c r="B3607" s="6" t="inlineStr">
        <is>
          <t>PAUL MASSON GRANDE AMBER BRANDY</t>
        </is>
      </c>
      <c r="C3607" s="7">
        <f>VLOOKUP(A3607,SizeData!A$2:B$3839,2,FALSE)</f>
        <v/>
      </c>
      <c r="D3607" s="6" t="n">
        <v>1</v>
      </c>
      <c r="E3607" s="6" t="inlineStr">
        <is>
          <t>R1806604</t>
        </is>
      </c>
      <c r="F3607" s="2" t="n">
        <v>44837</v>
      </c>
      <c r="G3607" s="1" t="n"/>
    </row>
    <row r="3608">
      <c r="A3608" s="6" t="n">
        <v>53217</v>
      </c>
      <c r="B3608" s="6" t="inlineStr">
        <is>
          <t>PAUL MASSON GRANDE AMBER BRANDY</t>
        </is>
      </c>
      <c r="C3608" s="7">
        <f>VLOOKUP(A3608,SizeData!A$2:B$3839,2,FALSE)</f>
        <v/>
      </c>
      <c r="D3608" s="6" t="n">
        <v>1</v>
      </c>
      <c r="E3608" s="6" t="inlineStr">
        <is>
          <t>R1840965</t>
        </is>
      </c>
      <c r="F3608" s="2" t="n">
        <v>44863</v>
      </c>
      <c r="G3608" s="1" t="n"/>
    </row>
    <row r="3609">
      <c r="A3609" s="6" t="n">
        <v>53217</v>
      </c>
      <c r="B3609" s="6" t="inlineStr">
        <is>
          <t>PAUL MASSON GRANDE AMBER BRANDY</t>
        </is>
      </c>
      <c r="C3609" s="7">
        <f>VLOOKUP(A3609,SizeData!A$2:B$3839,2,FALSE)</f>
        <v/>
      </c>
      <c r="D3609" s="6" t="n">
        <v>1</v>
      </c>
      <c r="E3609" s="6" t="inlineStr">
        <is>
          <t>R1841387</t>
        </is>
      </c>
      <c r="F3609" s="2" t="n">
        <v>44869</v>
      </c>
      <c r="G3609" s="1" t="n"/>
    </row>
    <row r="3610">
      <c r="A3610" s="6" t="n">
        <v>53217</v>
      </c>
      <c r="B3610" s="6" t="inlineStr">
        <is>
          <t>PAUL MASSON GRANDE AMBER BRANDY</t>
        </is>
      </c>
      <c r="C3610" s="7">
        <f>VLOOKUP(A3610,SizeData!A$2:B$3839,2,FALSE)</f>
        <v/>
      </c>
      <c r="D3610" s="6" t="n">
        <v>1</v>
      </c>
      <c r="E3610" s="6" t="inlineStr">
        <is>
          <t>R1906505</t>
        </is>
      </c>
      <c r="F3610" s="2" t="n">
        <v>44902</v>
      </c>
      <c r="G3610" s="1" t="n"/>
    </row>
    <row r="3611">
      <c r="A3611" s="6" t="n">
        <v>53218</v>
      </c>
      <c r="B3611" s="6" t="inlineStr">
        <is>
          <t>PAUL MASSON GRANDE AMBER BRANDY</t>
        </is>
      </c>
      <c r="C3611" s="7">
        <f>VLOOKUP(A3611,SizeData!A$2:B$3839,2,FALSE)</f>
        <v/>
      </c>
      <c r="D3611" s="6" t="n">
        <v>10</v>
      </c>
      <c r="E3611" s="6" t="inlineStr">
        <is>
          <t>R1434427</t>
        </is>
      </c>
      <c r="F3611" s="2" t="n">
        <v>44588</v>
      </c>
      <c r="G3611" s="1" t="n"/>
    </row>
    <row r="3612">
      <c r="A3612" s="6" t="n">
        <v>53218</v>
      </c>
      <c r="B3612" s="6" t="inlineStr">
        <is>
          <t>PAUL MASSON GRANDE AMBER BRANDY</t>
        </is>
      </c>
      <c r="C3612" s="7">
        <f>VLOOKUP(A3612,SizeData!A$2:B$3839,2,FALSE)</f>
        <v/>
      </c>
      <c r="D3612" s="6" t="n">
        <v>6</v>
      </c>
      <c r="E3612" s="6" t="inlineStr">
        <is>
          <t>R1617499</t>
        </is>
      </c>
      <c r="F3612" s="2" t="n">
        <v>44706</v>
      </c>
      <c r="G3612" s="1" t="n"/>
    </row>
    <row r="3613">
      <c r="A3613" s="6" t="n">
        <v>53218</v>
      </c>
      <c r="B3613" s="6" t="inlineStr">
        <is>
          <t>PAUL MASSON GRANDE AMBER BRANDY</t>
        </is>
      </c>
      <c r="C3613" s="7">
        <f>VLOOKUP(A3613,SizeData!A$2:B$3839,2,FALSE)</f>
        <v/>
      </c>
      <c r="D3613" s="6" t="n">
        <v>2</v>
      </c>
      <c r="E3613" s="6" t="inlineStr">
        <is>
          <t>R1727399</t>
        </is>
      </c>
      <c r="F3613" s="2" t="n">
        <v>44786</v>
      </c>
      <c r="G3613" s="1" t="n"/>
    </row>
    <row r="3614">
      <c r="A3614" s="6" t="n">
        <v>53218</v>
      </c>
      <c r="B3614" s="6" t="inlineStr">
        <is>
          <t>PAUL MASSON GRANDE AMBER BRANDY</t>
        </is>
      </c>
      <c r="C3614" s="7">
        <f>VLOOKUP(A3614,SizeData!A$2:B$3839,2,FALSE)</f>
        <v/>
      </c>
      <c r="D3614" s="6" t="n">
        <v>2</v>
      </c>
      <c r="E3614" s="6" t="inlineStr">
        <is>
          <t>R1751568</t>
        </is>
      </c>
      <c r="F3614" s="2" t="n">
        <v>44799</v>
      </c>
      <c r="G3614" s="1" t="n"/>
    </row>
    <row r="3615">
      <c r="A3615" s="6" t="n">
        <v>53218</v>
      </c>
      <c r="B3615" s="6" t="inlineStr">
        <is>
          <t>PAUL MASSON GRANDE AMBER BRANDY</t>
        </is>
      </c>
      <c r="C3615" s="7">
        <f>VLOOKUP(A3615,SizeData!A$2:B$3839,2,FALSE)</f>
        <v/>
      </c>
      <c r="D3615" s="6" t="n">
        <v>2</v>
      </c>
      <c r="E3615" s="6" t="inlineStr">
        <is>
          <t>R1761638</t>
        </is>
      </c>
      <c r="F3615" s="2" t="n">
        <v>44807</v>
      </c>
      <c r="G3615" s="1" t="n"/>
    </row>
    <row r="3616">
      <c r="A3616" s="6" t="n">
        <v>53218</v>
      </c>
      <c r="B3616" s="6" t="inlineStr">
        <is>
          <t>PAUL MASSON GRANDE AMBER BRANDY</t>
        </is>
      </c>
      <c r="C3616" s="7">
        <f>VLOOKUP(A3616,SizeData!A$2:B$3839,2,FALSE)</f>
        <v/>
      </c>
      <c r="D3616" s="6" t="n">
        <v>9</v>
      </c>
      <c r="E3616" s="6" t="inlineStr">
        <is>
          <t>R1794246</t>
        </is>
      </c>
      <c r="F3616" s="2" t="n">
        <v>44837</v>
      </c>
      <c r="G3616" s="1" t="n"/>
    </row>
    <row r="3617">
      <c r="A3617" s="26" t="n">
        <v>53218</v>
      </c>
      <c r="B3617" s="26" t="inlineStr">
        <is>
          <t>PAUL MASSON GRANDE AMBER BRANDY</t>
        </is>
      </c>
      <c r="C3617" s="75">
        <f>VLOOKUP(A3617,SizeData!A$2:B$3839,2,FALSE)</f>
        <v/>
      </c>
      <c r="D3617" s="26" t="n">
        <v>1</v>
      </c>
      <c r="E3617" s="26" t="inlineStr">
        <is>
          <t>R1794246</t>
        </is>
      </c>
      <c r="F3617" s="61" t="n">
        <v>44837</v>
      </c>
      <c r="G3617" s="62" t="n"/>
    </row>
    <row r="3618">
      <c r="A3618" s="6" t="n">
        <v>53214</v>
      </c>
      <c r="B3618" s="6" t="inlineStr">
        <is>
          <t xml:space="preserve">PAUL MASSON GRANDE AMBER BRANDY       </t>
        </is>
      </c>
      <c r="C3618" s="7">
        <f>VLOOKUP(A3618,SizeData!A$2:B$3839,2,FALSE)</f>
        <v/>
      </c>
      <c r="D3618" s="6" t="n">
        <v>10</v>
      </c>
      <c r="E3618" s="6" t="inlineStr">
        <is>
          <t>R1725752</t>
        </is>
      </c>
      <c r="F3618" s="2" t="n">
        <v>44776</v>
      </c>
      <c r="G3618" s="1" t="n"/>
    </row>
    <row r="3619">
      <c r="A3619" s="6" t="n">
        <v>53203</v>
      </c>
      <c r="B3619" s="6" t="inlineStr">
        <is>
          <t>PAUL MASSON GRANDE AMBER VSOP BRANDY</t>
        </is>
      </c>
      <c r="C3619" s="7">
        <f>VLOOKUP(A3619,SizeData!A$2:B$3839,2,FALSE)</f>
        <v/>
      </c>
      <c r="D3619" s="6" t="n">
        <v>1</v>
      </c>
      <c r="E3619" s="6" t="inlineStr">
        <is>
          <t>R1606546</t>
        </is>
      </c>
      <c r="F3619" s="2" t="n">
        <v>44690</v>
      </c>
      <c r="G3619" s="1" t="n"/>
    </row>
    <row r="3620">
      <c r="A3620" s="26" t="n">
        <v>53203</v>
      </c>
      <c r="B3620" s="26" t="inlineStr">
        <is>
          <t>PAUL MASSON GRANDE AMBER VSOP BRANDY</t>
        </is>
      </c>
      <c r="C3620" s="7">
        <f>VLOOKUP(A3620,SizeData!A$2:B$3839,2,FALSE)</f>
        <v/>
      </c>
      <c r="D3620" s="26" t="n">
        <v>1</v>
      </c>
      <c r="E3620" s="26" t="inlineStr">
        <is>
          <t>R1725227</t>
        </is>
      </c>
      <c r="F3620" s="61" t="n">
        <v>44779</v>
      </c>
      <c r="G3620" s="62" t="n"/>
    </row>
    <row r="3621">
      <c r="A3621" s="26" t="n">
        <v>53203</v>
      </c>
      <c r="B3621" s="26" t="inlineStr">
        <is>
          <t>PAUL MASSON GRANDE AMBER VSOP BRANDY</t>
        </is>
      </c>
      <c r="C3621" s="7">
        <f>VLOOKUP(A3621,SizeData!A$2:B$3839,2,FALSE)</f>
        <v/>
      </c>
      <c r="D3621" s="26" t="n">
        <v>1</v>
      </c>
      <c r="E3621" s="105" t="inlineStr">
        <is>
          <t>R1727741</t>
        </is>
      </c>
      <c r="F3621" s="61" t="n">
        <v>44786</v>
      </c>
      <c r="G3621" s="62" t="n"/>
    </row>
    <row r="3622">
      <c r="A3622" s="6" t="n">
        <v>53203</v>
      </c>
      <c r="B3622" s="6" t="inlineStr">
        <is>
          <t>PAUL MASSON GRANDE AMBER VSOP BRANDY</t>
        </is>
      </c>
      <c r="C3622" s="7">
        <f>VLOOKUP(A3622,SizeData!A$2:B$3839,2,FALSE)</f>
        <v/>
      </c>
      <c r="D3622" s="6" t="n">
        <v>1</v>
      </c>
      <c r="E3622" s="6" t="inlineStr">
        <is>
          <t>R1875960</t>
        </is>
      </c>
      <c r="F3622" s="2" t="n">
        <v>44884</v>
      </c>
      <c r="G3622" s="1" t="n"/>
    </row>
    <row r="3623">
      <c r="A3623" s="6" t="n">
        <v>53204</v>
      </c>
      <c r="B3623" s="6" t="inlineStr">
        <is>
          <t>PAUL MASSON GRANDE AMBER VSOP BRANDY</t>
        </is>
      </c>
      <c r="C3623" s="7">
        <f>VLOOKUP(A3623,SizeData!A$2:B$3839,2,FALSE)</f>
        <v/>
      </c>
      <c r="D3623" s="6" t="n">
        <v>1</v>
      </c>
      <c r="E3623" s="6" t="inlineStr">
        <is>
          <t>R1620910</t>
        </is>
      </c>
      <c r="F3623" s="2" t="n">
        <v>44694</v>
      </c>
      <c r="G3623" s="1" t="n"/>
    </row>
    <row r="3624">
      <c r="A3624" s="39" t="n">
        <v>53204</v>
      </c>
      <c r="B3624" s="39" t="inlineStr">
        <is>
          <t>PAUL MASSON GRANDE AMBER VSOP BRANDY</t>
        </is>
      </c>
      <c r="C3624" s="7">
        <f>VLOOKUP(A3624,SizeData!A$2:B$3839,2,FALSE)</f>
        <v/>
      </c>
      <c r="D3624" s="39" t="n">
        <v>1</v>
      </c>
      <c r="E3624" s="39" t="inlineStr">
        <is>
          <t>R1672578</t>
        </is>
      </c>
      <c r="F3624" s="40" t="n">
        <v>44740</v>
      </c>
      <c r="G3624" s="41" t="n"/>
    </row>
    <row r="3625">
      <c r="A3625" s="6" t="n">
        <v>53204</v>
      </c>
      <c r="B3625" s="6" t="inlineStr">
        <is>
          <t>PAUL MASSON GRANDE AMBER VSOP BRANDY</t>
        </is>
      </c>
      <c r="C3625" s="7">
        <f>VLOOKUP(A3625,SizeData!A$2:B$3839,2,FALSE)</f>
        <v/>
      </c>
      <c r="D3625" s="6" t="n">
        <v>1</v>
      </c>
      <c r="E3625" s="6" t="inlineStr">
        <is>
          <t>R1696453</t>
        </is>
      </c>
      <c r="F3625" s="2" t="n">
        <v>44758</v>
      </c>
      <c r="G3625" s="1" t="n"/>
    </row>
    <row r="3626">
      <c r="A3626" s="6" t="n">
        <v>53204</v>
      </c>
      <c r="B3626" s="6" t="inlineStr">
        <is>
          <t>PAUL MASSON GRANDE AMBER VSOP BRANDY</t>
        </is>
      </c>
      <c r="C3626" s="7">
        <f>VLOOKUP(A3626,SizeData!A$2:B$3839,2,FALSE)</f>
        <v/>
      </c>
      <c r="D3626" s="6" t="n">
        <v>1</v>
      </c>
      <c r="E3626" s="6" t="inlineStr">
        <is>
          <t>R1762660</t>
        </is>
      </c>
      <c r="F3626" s="2" t="n">
        <v>44817</v>
      </c>
      <c r="G3626" s="1" t="n"/>
    </row>
    <row r="3627">
      <c r="A3627" s="6" t="n">
        <v>53204</v>
      </c>
      <c r="B3627" s="6" t="inlineStr">
        <is>
          <t>PAUL MASSON GRANDE AMBER VSOP BRANDY</t>
        </is>
      </c>
      <c r="C3627" s="7">
        <f>VLOOKUP(A3627,SizeData!A$2:B$3839,2,FALSE)</f>
        <v/>
      </c>
      <c r="D3627" s="6" t="n">
        <v>6</v>
      </c>
      <c r="E3627" s="6" t="inlineStr">
        <is>
          <t>R1856291</t>
        </is>
      </c>
      <c r="F3627" s="2" t="n">
        <v>44874</v>
      </c>
      <c r="G3627" s="1" t="n"/>
    </row>
    <row r="3628">
      <c r="A3628" s="6" t="n">
        <v>53206</v>
      </c>
      <c r="B3628" s="6" t="inlineStr">
        <is>
          <t>PAUL MASSON GRANDE AMBER VSOP BRANDY</t>
        </is>
      </c>
      <c r="C3628" s="7">
        <f>VLOOKUP(A3628,SizeData!A$2:B$3839,2,FALSE)</f>
        <v/>
      </c>
      <c r="D3628" s="6" t="n">
        <v>3</v>
      </c>
      <c r="E3628" s="6" t="inlineStr">
        <is>
          <t>R1380574</t>
        </is>
      </c>
      <c r="F3628" s="2" t="n">
        <v>44550</v>
      </c>
      <c r="G3628" s="1" t="n"/>
    </row>
    <row r="3629">
      <c r="A3629" s="6" t="n">
        <v>53206</v>
      </c>
      <c r="B3629" s="6" t="inlineStr">
        <is>
          <t>PAUL MASSON GRANDE AMBER VSOP BRANDY</t>
        </is>
      </c>
      <c r="C3629" s="7">
        <f>VLOOKUP(A3629,SizeData!A$2:B$3839,2,FALSE)</f>
        <v/>
      </c>
      <c r="D3629" s="6" t="n">
        <v>4</v>
      </c>
      <c r="E3629" s="6" t="inlineStr">
        <is>
          <t>R1523938</t>
        </is>
      </c>
      <c r="F3629" s="2" t="n">
        <v>44642</v>
      </c>
      <c r="G3629" s="1" t="n"/>
    </row>
    <row r="3630">
      <c r="A3630" s="6" t="n">
        <v>53206</v>
      </c>
      <c r="B3630" s="6" t="inlineStr">
        <is>
          <t>PAUL MASSON GRANDE AMBER VSOP BRANDY</t>
        </is>
      </c>
      <c r="C3630" s="7">
        <f>VLOOKUP(A3630,SizeData!A$2:B$3839,2,FALSE)</f>
        <v/>
      </c>
      <c r="D3630" s="6" t="n">
        <v>2</v>
      </c>
      <c r="E3630" s="6" t="inlineStr">
        <is>
          <t>R1672878</t>
        </is>
      </c>
      <c r="F3630" s="2" t="n">
        <v>44743</v>
      </c>
      <c r="G3630" s="1" t="n"/>
    </row>
    <row r="3631">
      <c r="A3631" s="6" t="n">
        <v>53206</v>
      </c>
      <c r="B3631" s="6" t="inlineStr">
        <is>
          <t>PAUL MASSON GRANDE AMBER VSOP BRANDY</t>
        </is>
      </c>
      <c r="C3631" s="7">
        <f>VLOOKUP(A3631,SizeData!A$2:B$3839,2,FALSE)</f>
        <v/>
      </c>
      <c r="D3631" s="6" t="n">
        <v>1</v>
      </c>
      <c r="E3631" s="6" t="inlineStr">
        <is>
          <t>R1678551</t>
        </is>
      </c>
      <c r="F3631" s="2" t="n">
        <v>44751</v>
      </c>
      <c r="G3631" s="1" t="n"/>
    </row>
    <row r="3632">
      <c r="A3632" s="26" t="n">
        <v>53206</v>
      </c>
      <c r="B3632" s="26" t="inlineStr">
        <is>
          <t>PAUL MASSON GRANDE AMBER VSOP BRANDY</t>
        </is>
      </c>
      <c r="C3632" s="7">
        <f>VLOOKUP(A3632,SizeData!A$2:B$3839,2,FALSE)</f>
        <v/>
      </c>
      <c r="D3632" s="26" t="n">
        <v>2</v>
      </c>
      <c r="E3632" s="26" t="inlineStr">
        <is>
          <t>R1707277</t>
        </is>
      </c>
      <c r="F3632" s="61" t="n">
        <v>44768</v>
      </c>
      <c r="G3632" s="62" t="n"/>
    </row>
    <row r="3633">
      <c r="A3633" s="26" t="n">
        <v>53206</v>
      </c>
      <c r="B3633" s="26" t="inlineStr">
        <is>
          <t>PAUL MASSON GRANDE AMBER VSOP BRANDY</t>
        </is>
      </c>
      <c r="C3633" s="7">
        <f>VLOOKUP(A3633,SizeData!A$2:B$3839,2,FALSE)</f>
        <v/>
      </c>
      <c r="D3633" s="26" t="n">
        <v>1</v>
      </c>
      <c r="E3633" s="26" t="inlineStr">
        <is>
          <t>R1768452</t>
        </is>
      </c>
      <c r="F3633" s="61" t="n">
        <v>44818</v>
      </c>
      <c r="G3633" s="62" t="n"/>
    </row>
    <row r="3634">
      <c r="A3634" s="6" t="n">
        <v>53206</v>
      </c>
      <c r="B3634" s="6" t="inlineStr">
        <is>
          <t>PAUL MASSON GRANDE AMBER VSOP BRANDY</t>
        </is>
      </c>
      <c r="C3634" s="7">
        <f>VLOOKUP(A3634,SizeData!A$2:B$3839,2,FALSE)</f>
        <v/>
      </c>
      <c r="D3634" s="6" t="n">
        <v>1</v>
      </c>
      <c r="E3634" s="6" t="inlineStr">
        <is>
          <t>R1906202</t>
        </is>
      </c>
      <c r="F3634" s="2" t="n">
        <v>44902</v>
      </c>
      <c r="G3634" s="1" t="n"/>
    </row>
    <row r="3635">
      <c r="A3635" s="26" t="n">
        <v>53206</v>
      </c>
      <c r="B3635" s="26" t="inlineStr">
        <is>
          <t>PAUL MASSON GRANDE AMBER VSOP BRANDY</t>
        </is>
      </c>
      <c r="C3635" s="75">
        <f>VLOOKUP(A3635,SizeData!A$2:B$3839,2,FALSE)</f>
        <v/>
      </c>
      <c r="D3635" s="26" t="n">
        <v>2</v>
      </c>
      <c r="E3635" s="26" t="inlineStr">
        <is>
          <t>R1900430</t>
        </is>
      </c>
      <c r="F3635" s="61" t="n">
        <v>44896</v>
      </c>
      <c r="G3635" s="62" t="n"/>
    </row>
    <row r="3636">
      <c r="A3636" s="26" t="n">
        <v>53206</v>
      </c>
      <c r="B3636" s="26" t="inlineStr">
        <is>
          <t>PAUL MASSON GRANDE AMBER VSOP BRANDY</t>
        </is>
      </c>
      <c r="C3636" s="75">
        <f>VLOOKUP(A3636,SizeData!A$2:B$3839,2,FALSE)</f>
        <v/>
      </c>
      <c r="D3636" s="26" t="n">
        <v>3</v>
      </c>
      <c r="E3636" s="26" t="inlineStr">
        <is>
          <t>R1906202</t>
        </is>
      </c>
      <c r="F3636" s="61" t="n">
        <v>44902</v>
      </c>
      <c r="G3636" s="62" t="n"/>
    </row>
    <row r="3637">
      <c r="A3637" s="6" t="n">
        <v>53208</v>
      </c>
      <c r="B3637" s="6" t="inlineStr">
        <is>
          <t>PAUL MASSON GRANDE AMBER VSOP BRANDY</t>
        </is>
      </c>
      <c r="C3637" s="7">
        <f>VLOOKUP(A3637,SizeData!A$2:B$3839,2,FALSE)</f>
        <v/>
      </c>
      <c r="D3637" s="6" t="n">
        <v>2</v>
      </c>
      <c r="E3637" s="6" t="inlineStr">
        <is>
          <t>R1402608</t>
        </is>
      </c>
      <c r="F3637" s="2" t="n">
        <v>44562</v>
      </c>
      <c r="G3637" s="1" t="n"/>
    </row>
    <row r="3638">
      <c r="A3638" s="6" t="n">
        <v>53208</v>
      </c>
      <c r="B3638" s="6" t="inlineStr">
        <is>
          <t>PAUL MASSON GRANDE AMBER VSOP BRANDY</t>
        </is>
      </c>
      <c r="C3638" s="7">
        <f>VLOOKUP(A3638,SizeData!A$2:B$3839,2,FALSE)</f>
        <v/>
      </c>
      <c r="D3638" s="6" t="n">
        <v>2</v>
      </c>
      <c r="E3638" s="6" t="inlineStr">
        <is>
          <t>R1426776</t>
        </is>
      </c>
      <c r="F3638" s="2" t="n">
        <v>44585</v>
      </c>
      <c r="G3638" s="1" t="n"/>
    </row>
    <row r="3639">
      <c r="A3639" s="6" t="n">
        <v>53208</v>
      </c>
      <c r="B3639" s="6" t="inlineStr">
        <is>
          <t>PAUL MASSON GRANDE AMBER VSOP BRANDY</t>
        </is>
      </c>
      <c r="C3639" s="7">
        <f>VLOOKUP(A3639,SizeData!A$2:B$3839,2,FALSE)</f>
        <v/>
      </c>
      <c r="D3639" s="6" t="n">
        <v>2</v>
      </c>
      <c r="E3639" s="6" t="inlineStr">
        <is>
          <t>R1625235</t>
        </is>
      </c>
      <c r="F3639" s="2" t="n">
        <v>44698</v>
      </c>
      <c r="G3639" s="1" t="n"/>
    </row>
    <row r="3640">
      <c r="A3640" s="6" t="n">
        <v>53208</v>
      </c>
      <c r="B3640" s="6" t="inlineStr">
        <is>
          <t>PAUL MASSON GRANDE AMBER VSOP BRANDY</t>
        </is>
      </c>
      <c r="C3640" s="7">
        <f>VLOOKUP(A3640,SizeData!A$2:B$3839,2,FALSE)</f>
        <v/>
      </c>
      <c r="D3640" s="6" t="n">
        <v>1</v>
      </c>
      <c r="E3640" s="6" t="inlineStr">
        <is>
          <t>R1617499</t>
        </is>
      </c>
      <c r="F3640" s="2" t="n">
        <v>44706</v>
      </c>
      <c r="G3640" s="1" t="n"/>
    </row>
    <row r="3641">
      <c r="A3641" s="6" t="n">
        <v>53208</v>
      </c>
      <c r="B3641" s="6" t="inlineStr">
        <is>
          <t>PAUL MASSON GRANDE AMBER VSOP BRANDY</t>
        </is>
      </c>
      <c r="C3641" s="7">
        <f>VLOOKUP(A3641,SizeData!A$2:B$3839,2,FALSE)</f>
        <v/>
      </c>
      <c r="D3641" s="6" t="n">
        <v>1</v>
      </c>
      <c r="E3641" s="6" t="inlineStr">
        <is>
          <t>R1707277</t>
        </is>
      </c>
      <c r="F3641" s="2" t="n">
        <v>44768</v>
      </c>
      <c r="G3641" s="1" t="n"/>
    </row>
    <row r="3642">
      <c r="A3642" s="6" t="n">
        <v>53208</v>
      </c>
      <c r="B3642" s="6" t="inlineStr">
        <is>
          <t>PAUL MASSON GRANDE AMBER VSOP BRANDY</t>
        </is>
      </c>
      <c r="C3642" s="7">
        <f>VLOOKUP(A3642,SizeData!A$2:B$3839,2,FALSE)</f>
        <v/>
      </c>
      <c r="D3642" s="6" t="n">
        <v>3</v>
      </c>
      <c r="E3642" s="6" t="inlineStr">
        <is>
          <t>R1794246</t>
        </is>
      </c>
      <c r="F3642" s="2" t="n">
        <v>44837</v>
      </c>
      <c r="G3642" s="1" t="n"/>
    </row>
    <row r="3643">
      <c r="A3643" s="26" t="n">
        <v>53208</v>
      </c>
      <c r="B3643" s="26" t="inlineStr">
        <is>
          <t>PAUL MASSON GRANDE AMBER VSOP BRANDY</t>
        </is>
      </c>
      <c r="C3643" s="75">
        <f>VLOOKUP(A3643,SizeData!A$2:B$3839,2,FALSE)</f>
        <v/>
      </c>
      <c r="D3643" s="26" t="n">
        <v>2</v>
      </c>
      <c r="E3643" s="26" t="inlineStr">
        <is>
          <t>R1794246</t>
        </is>
      </c>
      <c r="F3643" s="61" t="n">
        <v>44837</v>
      </c>
      <c r="G3643" s="62" t="n"/>
    </row>
    <row r="3644">
      <c r="A3644" s="6" t="n">
        <v>56768</v>
      </c>
      <c r="B3644" s="6" t="inlineStr">
        <is>
          <t>PAUL MASSON MANGO GRANDE AMBER BRANDY</t>
        </is>
      </c>
      <c r="C3644" s="7">
        <f>VLOOKUP(A3644,SizeData!A$2:B$3839,2,FALSE)</f>
        <v/>
      </c>
      <c r="D3644" s="6" t="n">
        <v>1</v>
      </c>
      <c r="E3644" s="6" t="inlineStr">
        <is>
          <t>R1496401</t>
        </is>
      </c>
      <c r="F3644" s="2" t="n">
        <v>44621</v>
      </c>
      <c r="G3644" s="1" t="n"/>
    </row>
    <row r="3645">
      <c r="A3645" s="6" t="n">
        <v>56768</v>
      </c>
      <c r="B3645" s="6" t="inlineStr">
        <is>
          <t>PAUL MASSON MANGO GRANDE AMBER BRANDY</t>
        </is>
      </c>
      <c r="C3645" s="7">
        <f>VLOOKUP(A3645,SizeData!A$2:B$3839,2,FALSE)</f>
        <v/>
      </c>
      <c r="D3645" s="6" t="n">
        <v>2</v>
      </c>
      <c r="E3645" s="6" t="inlineStr">
        <is>
          <t>R1748972</t>
        </is>
      </c>
      <c r="F3645" s="2" t="n">
        <v>44812</v>
      </c>
      <c r="G3645" s="1" t="n"/>
    </row>
    <row r="3646">
      <c r="A3646" s="6" t="n">
        <v>56195</v>
      </c>
      <c r="B3646" s="6" t="inlineStr">
        <is>
          <t>PAUL MASSON PEACH GRAND AMBER BRANDY</t>
        </is>
      </c>
      <c r="C3646" s="7">
        <f>VLOOKUP(A3646,SizeData!A$2:B$3839,2,FALSE)</f>
        <v/>
      </c>
      <c r="D3646" s="6" t="n">
        <v>1</v>
      </c>
      <c r="E3646" s="6" t="inlineStr">
        <is>
          <t>R1403892</t>
        </is>
      </c>
      <c r="F3646" s="2" t="n">
        <v>44573</v>
      </c>
      <c r="G3646" s="1" t="n"/>
    </row>
    <row r="3647">
      <c r="A3647" s="6" t="n">
        <v>56195</v>
      </c>
      <c r="B3647" s="6" t="inlineStr">
        <is>
          <t>PAUL MASSON PEACH GRAND AMBER BRANDY</t>
        </is>
      </c>
      <c r="C3647" s="7">
        <f>VLOOKUP(A3647,SizeData!A$2:B$3839,2,FALSE)</f>
        <v/>
      </c>
      <c r="D3647" s="6" t="n">
        <v>1</v>
      </c>
      <c r="E3647" s="6" t="inlineStr">
        <is>
          <t>R1403892</t>
        </is>
      </c>
      <c r="F3647" s="2" t="n">
        <v>44573</v>
      </c>
      <c r="G3647" s="1" t="n"/>
    </row>
    <row r="3648">
      <c r="A3648" s="6" t="n">
        <v>56195</v>
      </c>
      <c r="B3648" s="6" t="inlineStr">
        <is>
          <t>PAUL MASSON PEACH GRAND AMBER BRANDY</t>
        </is>
      </c>
      <c r="C3648" s="7">
        <f>VLOOKUP(A3648,SizeData!A$2:B$3839,2,FALSE)</f>
        <v/>
      </c>
      <c r="D3648" s="6" t="n">
        <v>1</v>
      </c>
      <c r="E3648" s="6" t="inlineStr">
        <is>
          <t>R1478101</t>
        </is>
      </c>
      <c r="F3648" s="2" t="n">
        <v>44610</v>
      </c>
      <c r="G3648" s="1" t="n"/>
    </row>
    <row r="3649">
      <c r="A3649" s="6" t="n">
        <v>56195</v>
      </c>
      <c r="B3649" s="6" t="inlineStr">
        <is>
          <t>PAUL MASSON PEACH GRAND AMBER BRANDY</t>
        </is>
      </c>
      <c r="C3649" s="7">
        <f>VLOOKUP(A3649,SizeData!A$2:B$3839,2,FALSE)</f>
        <v/>
      </c>
      <c r="D3649" s="6" t="n">
        <v>1</v>
      </c>
      <c r="E3649" s="6" t="inlineStr">
        <is>
          <t>R1469832</t>
        </is>
      </c>
      <c r="F3649" s="2" t="n">
        <v>44615</v>
      </c>
      <c r="G3649" s="1" t="n"/>
    </row>
    <row r="3650">
      <c r="A3650" s="6" t="n">
        <v>56195</v>
      </c>
      <c r="B3650" s="6" t="inlineStr">
        <is>
          <t>PAUL MASSON PEACH GRAND AMBER BRANDY</t>
        </is>
      </c>
      <c r="C3650" s="7">
        <f>VLOOKUP(A3650,SizeData!A$2:B$3839,2,FALSE)</f>
        <v/>
      </c>
      <c r="D3650" s="6" t="n">
        <v>1</v>
      </c>
      <c r="E3650" s="6" t="inlineStr">
        <is>
          <t>R1688168</t>
        </is>
      </c>
      <c r="F3650" s="2" t="n">
        <v>44761</v>
      </c>
      <c r="G3650" s="1" t="n"/>
    </row>
    <row r="3651">
      <c r="A3651" s="6" t="n">
        <v>56195</v>
      </c>
      <c r="B3651" s="6" t="inlineStr">
        <is>
          <t>PAUL MASSON PEACH GRAND AMBER BRANDY</t>
        </is>
      </c>
      <c r="C3651" s="7">
        <f>VLOOKUP(A3651,SizeData!A$2:B$3839,2,FALSE)</f>
        <v/>
      </c>
      <c r="D3651" s="6" t="n">
        <v>1</v>
      </c>
      <c r="E3651" s="6" t="inlineStr">
        <is>
          <t>R1723520</t>
        </is>
      </c>
      <c r="F3651" s="2" t="n">
        <v>44782</v>
      </c>
      <c r="G3651" s="1" t="n"/>
    </row>
    <row r="3652">
      <c r="A3652" s="6" t="n">
        <v>56196</v>
      </c>
      <c r="B3652" s="6" t="inlineStr">
        <is>
          <t>PAUL MASSON PEACH GRAND AMBER BRANDY</t>
        </is>
      </c>
      <c r="C3652" s="7">
        <f>VLOOKUP(A3652,SizeData!A$2:B$3839,2,FALSE)</f>
        <v/>
      </c>
      <c r="D3652" s="6" t="n">
        <v>4</v>
      </c>
      <c r="E3652" s="6" t="inlineStr">
        <is>
          <t>R1393008</t>
        </is>
      </c>
      <c r="F3652" s="2" t="n">
        <v>44558</v>
      </c>
      <c r="G3652" s="1" t="n"/>
    </row>
    <row r="3653">
      <c r="A3653" s="6" t="n">
        <v>56196</v>
      </c>
      <c r="B3653" s="6" t="inlineStr">
        <is>
          <t>PAUL MASSON PEACH GRAND AMBER BRANDY</t>
        </is>
      </c>
      <c r="C3653" s="7">
        <f>VLOOKUP(A3653,SizeData!A$2:B$3839,2,FALSE)</f>
        <v/>
      </c>
      <c r="D3653" s="6" t="n">
        <v>3</v>
      </c>
      <c r="E3653" s="6" t="inlineStr">
        <is>
          <t>R1512901</t>
        </is>
      </c>
      <c r="F3653" s="2" t="n">
        <v>44631</v>
      </c>
      <c r="G3653" s="1" t="n"/>
    </row>
    <row r="3654">
      <c r="A3654" s="6" t="n">
        <v>56196</v>
      </c>
      <c r="B3654" s="6" t="inlineStr">
        <is>
          <t>PAUL MASSON PEACH GRAND AMBER BRANDY</t>
        </is>
      </c>
      <c r="C3654" s="7">
        <f>VLOOKUP(A3654,SizeData!A$2:B$3839,2,FALSE)</f>
        <v/>
      </c>
      <c r="D3654" s="6" t="n">
        <v>3</v>
      </c>
      <c r="E3654" s="6" t="inlineStr">
        <is>
          <t>R1629823</t>
        </is>
      </c>
      <c r="F3654" s="2" t="n">
        <v>44713</v>
      </c>
      <c r="G3654" s="1" t="n"/>
    </row>
    <row r="3655">
      <c r="A3655" s="6" t="n">
        <v>56196</v>
      </c>
      <c r="B3655" s="6" t="inlineStr">
        <is>
          <t>PAUL MASSON PEACH GRAND AMBER BRANDY</t>
        </is>
      </c>
      <c r="C3655" s="7">
        <f>VLOOKUP(A3655,SizeData!A$2:B$3839,2,FALSE)</f>
        <v/>
      </c>
      <c r="D3655" s="6" t="n">
        <v>2</v>
      </c>
      <c r="E3655" s="6" t="inlineStr">
        <is>
          <t>R1671604</t>
        </is>
      </c>
      <c r="F3655" s="2" t="n">
        <v>44735</v>
      </c>
      <c r="G3655" s="1" t="n"/>
    </row>
    <row r="3656">
      <c r="A3656" s="6" t="n">
        <v>56196</v>
      </c>
      <c r="B3656" s="6" t="inlineStr">
        <is>
          <t>PAUL MASSON PEACH GRAND AMBER BRANDY</t>
        </is>
      </c>
      <c r="C3656" s="7">
        <f>VLOOKUP(A3656,SizeData!A$2:B$3839,2,FALSE)</f>
        <v/>
      </c>
      <c r="D3656" s="6" t="n">
        <v>5</v>
      </c>
      <c r="E3656" s="6" t="inlineStr">
        <is>
          <t>R1759269</t>
        </is>
      </c>
      <c r="F3656" s="2" t="n">
        <v>44811</v>
      </c>
      <c r="G3656" s="1" t="n"/>
    </row>
    <row r="3657">
      <c r="A3657" s="6" t="n">
        <v>56196</v>
      </c>
      <c r="B3657" s="6" t="inlineStr">
        <is>
          <t>PAUL MASSON PEACH GRAND AMBER BRANDY</t>
        </is>
      </c>
      <c r="C3657" s="7">
        <f>VLOOKUP(A3657,SizeData!A$2:B$3839,2,FALSE)</f>
        <v/>
      </c>
      <c r="D3657" s="6" t="n">
        <v>4</v>
      </c>
      <c r="E3657" s="6" t="inlineStr">
        <is>
          <t>R1777984</t>
        </is>
      </c>
      <c r="F3657" s="2" t="n">
        <v>44826</v>
      </c>
      <c r="G3657" s="1" t="n"/>
    </row>
    <row r="3658">
      <c r="A3658" s="6" t="n">
        <v>56196</v>
      </c>
      <c r="B3658" s="6" t="inlineStr">
        <is>
          <t>PAUL MASSON PEACH GRAND AMBER BRANDY</t>
        </is>
      </c>
      <c r="C3658" s="7">
        <f>VLOOKUP(A3658,SizeData!A$2:B$3839,2,FALSE)</f>
        <v/>
      </c>
      <c r="D3658" s="6" t="n">
        <v>2</v>
      </c>
      <c r="E3658" s="6" t="inlineStr">
        <is>
          <t>R1792737</t>
        </is>
      </c>
      <c r="F3658" s="2" t="n">
        <v>44834</v>
      </c>
      <c r="G3658" s="1" t="n"/>
    </row>
    <row r="3659">
      <c r="A3659" s="39" t="n">
        <v>56798</v>
      </c>
      <c r="B3659" s="39" t="inlineStr">
        <is>
          <t>PAUL MASSON PINEAPPLE GRAND AMBER BRANDY</t>
        </is>
      </c>
      <c r="C3659" s="7">
        <f>VLOOKUP(A3659,SizeData!A$2:B$3839,2,FALSE)</f>
        <v/>
      </c>
      <c r="D3659" s="39" t="n">
        <v>2</v>
      </c>
      <c r="E3659" s="39" t="inlineStr">
        <is>
          <t>R1672413</t>
        </is>
      </c>
      <c r="F3659" s="40" t="n">
        <v>44740</v>
      </c>
      <c r="G3659" s="41" t="n"/>
    </row>
    <row r="3660">
      <c r="A3660" s="6" t="n">
        <v>56798</v>
      </c>
      <c r="B3660" s="6" t="inlineStr">
        <is>
          <t>PAUL MASSON PINEAPPLE GRAND AMBER BRANDY</t>
        </is>
      </c>
      <c r="C3660" s="7">
        <f>VLOOKUP(A3660,SizeData!A$2:B$3839,2,FALSE)</f>
        <v/>
      </c>
      <c r="D3660" s="6" t="n">
        <v>1</v>
      </c>
      <c r="E3660" s="6" t="inlineStr">
        <is>
          <t>R1900430</t>
        </is>
      </c>
      <c r="F3660" s="2" t="n">
        <v>44896</v>
      </c>
      <c r="G3660" s="1" t="n"/>
    </row>
    <row r="3661">
      <c r="A3661" s="6" t="n">
        <v>56805</v>
      </c>
      <c r="B3661" s="6" t="inlineStr">
        <is>
          <t>PAUL MASSON RED BERRY GRAN AMBER BRANDY</t>
        </is>
      </c>
      <c r="C3661" s="7">
        <f>VLOOKUP(A3661,SizeData!A$2:B$3839,2,FALSE)</f>
        <v/>
      </c>
      <c r="D3661" s="6" t="n">
        <v>1</v>
      </c>
      <c r="E3661" s="6" t="inlineStr">
        <is>
          <t>R1629823</t>
        </is>
      </c>
      <c r="F3661" s="2" t="n">
        <v>44713</v>
      </c>
      <c r="G3661" s="1" t="n"/>
    </row>
    <row r="3662">
      <c r="A3662" s="6" t="n">
        <v>34546</v>
      </c>
      <c r="B3662" s="6" t="inlineStr">
        <is>
          <t>PEARL VODKA</t>
        </is>
      </c>
      <c r="C3662" s="7">
        <f>VLOOKUP(A3662,SizeData!A$2:B$3839,2,FALSE)</f>
        <v/>
      </c>
      <c r="D3662" s="6" t="n">
        <v>2</v>
      </c>
      <c r="E3662" s="6" t="inlineStr">
        <is>
          <t>R1529670</t>
        </is>
      </c>
      <c r="F3662" s="2" t="n">
        <v>44652</v>
      </c>
      <c r="G3662" s="1" t="n"/>
    </row>
    <row r="3663">
      <c r="A3663" s="6" t="n">
        <v>34546</v>
      </c>
      <c r="B3663" s="6" t="inlineStr">
        <is>
          <t>PEARL VODKA</t>
        </is>
      </c>
      <c r="C3663" s="7">
        <f>VLOOKUP(A3663,SizeData!A$2:B$3839,2,FALSE)</f>
        <v/>
      </c>
      <c r="D3663" s="6" t="n">
        <v>1</v>
      </c>
      <c r="E3663" s="6" t="inlineStr">
        <is>
          <t>R1698359</t>
        </is>
      </c>
      <c r="F3663" s="2" t="n">
        <v>44765</v>
      </c>
      <c r="G3663" s="1" t="n"/>
    </row>
    <row r="3664">
      <c r="A3664" s="6" t="n">
        <v>34546</v>
      </c>
      <c r="B3664" s="6" t="inlineStr">
        <is>
          <t>PEARL VODKA</t>
        </is>
      </c>
      <c r="C3664" s="7">
        <f>VLOOKUP(A3664,SizeData!A$2:B$3839,2,FALSE)</f>
        <v/>
      </c>
      <c r="D3664" s="6" t="n">
        <v>2</v>
      </c>
      <c r="E3664" s="6" t="inlineStr">
        <is>
          <t>R1816996</t>
        </is>
      </c>
      <c r="F3664" s="2" t="n">
        <v>44859</v>
      </c>
      <c r="G3664" s="1" t="n"/>
    </row>
    <row r="3665">
      <c r="A3665" s="6" t="n">
        <v>34566</v>
      </c>
      <c r="B3665" s="6" t="inlineStr">
        <is>
          <t>PEARL VODKA (PET)</t>
        </is>
      </c>
      <c r="C3665" s="7">
        <f>VLOOKUP(A3665,SizeData!A$2:B$3839,2,FALSE)</f>
        <v/>
      </c>
      <c r="D3665" s="6" t="n">
        <v>2</v>
      </c>
      <c r="E3665" s="6" t="inlineStr">
        <is>
          <t>R1447041</t>
        </is>
      </c>
      <c r="F3665" s="2" t="n">
        <v>44595</v>
      </c>
      <c r="G3665" s="1" t="n"/>
    </row>
    <row r="3666">
      <c r="A3666" s="6" t="n">
        <v>34566</v>
      </c>
      <c r="B3666" s="6" t="inlineStr">
        <is>
          <t>PEARL VODKA (PET)</t>
        </is>
      </c>
      <c r="C3666" s="7">
        <f>VLOOKUP(A3666,SizeData!A$2:B$3839,2,FALSE)</f>
        <v/>
      </c>
      <c r="D3666" s="6" t="n">
        <v>10</v>
      </c>
      <c r="E3666" s="6" t="inlineStr">
        <is>
          <t>R1448139</t>
        </is>
      </c>
      <c r="F3666" s="2" t="n">
        <v>44597</v>
      </c>
      <c r="G3666" s="1" t="n"/>
    </row>
    <row r="3667">
      <c r="A3667" s="6" t="n">
        <v>34566</v>
      </c>
      <c r="B3667" s="6" t="inlineStr">
        <is>
          <t>PEARL VODKA (PET)</t>
        </is>
      </c>
      <c r="C3667" s="7">
        <f>VLOOKUP(A3667,SizeData!A$2:B$3839,2,FALSE)</f>
        <v/>
      </c>
      <c r="D3667" s="6" t="n">
        <v>3</v>
      </c>
      <c r="E3667" s="6" t="inlineStr">
        <is>
          <t>R1448139A</t>
        </is>
      </c>
      <c r="F3667" s="2" t="n">
        <v>44600</v>
      </c>
    </row>
    <row r="3668">
      <c r="A3668" s="6" t="n">
        <v>34566</v>
      </c>
      <c r="B3668" s="6" t="inlineStr">
        <is>
          <t>PEARL VODKA (PET)</t>
        </is>
      </c>
      <c r="C3668" s="7">
        <f>VLOOKUP(A3668,SizeData!A$2:B$3839,2,FALSE)</f>
        <v/>
      </c>
      <c r="D3668" s="6" t="n">
        <v>5</v>
      </c>
      <c r="E3668" s="6" t="inlineStr">
        <is>
          <t>R1592767</t>
        </is>
      </c>
      <c r="F3668" s="67" t="n">
        <v>44683</v>
      </c>
      <c r="G3668" s="68" t="n"/>
    </row>
    <row r="3669">
      <c r="A3669" s="6" t="n">
        <v>34566</v>
      </c>
      <c r="B3669" s="6" t="inlineStr">
        <is>
          <t>PEARL VODKA (PET)</t>
        </is>
      </c>
      <c r="C3669" s="7">
        <f>VLOOKUP(A3669,SizeData!A$2:B$3839,2,FALSE)</f>
        <v/>
      </c>
      <c r="D3669" s="6" t="n">
        <v>1</v>
      </c>
      <c r="E3669" s="6" t="inlineStr">
        <is>
          <t>R1606008</t>
        </is>
      </c>
      <c r="F3669" s="67" t="n">
        <v>44684</v>
      </c>
      <c r="G3669" s="68" t="n"/>
    </row>
    <row r="3670">
      <c r="A3670" s="6" t="n">
        <v>34566</v>
      </c>
      <c r="B3670" s="6" t="inlineStr">
        <is>
          <t>PEARL VODKA (PET)</t>
        </is>
      </c>
      <c r="C3670" s="7">
        <f>VLOOKUP(A3670,SizeData!A$2:B$3839,2,FALSE)</f>
        <v/>
      </c>
      <c r="D3670" s="6" t="n">
        <v>6</v>
      </c>
      <c r="E3670" s="6" t="inlineStr">
        <is>
          <t>R1617499</t>
        </is>
      </c>
      <c r="F3670" s="67" t="n">
        <v>44706</v>
      </c>
      <c r="G3670" s="68" t="n"/>
    </row>
    <row r="3671">
      <c r="A3671" s="6" t="n">
        <v>34566</v>
      </c>
      <c r="B3671" s="6" t="inlineStr">
        <is>
          <t>PEARL VODKA (PET)</t>
        </is>
      </c>
      <c r="C3671" s="7">
        <f>VLOOKUP(A3671,SizeData!A$2:B$3839,2,FALSE)</f>
        <v/>
      </c>
      <c r="D3671" s="6" t="n">
        <v>10</v>
      </c>
      <c r="E3671" s="6" t="inlineStr">
        <is>
          <t>R1704437</t>
        </is>
      </c>
      <c r="F3671" s="67" t="n">
        <v>44775</v>
      </c>
      <c r="G3671" s="68" t="n"/>
    </row>
    <row r="3672">
      <c r="A3672" s="6" t="n">
        <v>34566</v>
      </c>
      <c r="B3672" s="6" t="inlineStr">
        <is>
          <t>PEARL VODKA (PET)</t>
        </is>
      </c>
      <c r="C3672" s="7">
        <f>VLOOKUP(A3672,SizeData!A$2:B$3839,2,FALSE)</f>
        <v/>
      </c>
      <c r="D3672" s="6" t="n">
        <v>6</v>
      </c>
      <c r="E3672" s="6" t="inlineStr">
        <is>
          <t>R1743714</t>
        </is>
      </c>
      <c r="F3672" s="67" t="n">
        <v>44797</v>
      </c>
      <c r="G3672" s="68" t="n"/>
    </row>
    <row r="3673">
      <c r="A3673" s="6" t="n">
        <v>34566</v>
      </c>
      <c r="B3673" s="6" t="inlineStr">
        <is>
          <t>PEARL VODKA (PET)</t>
        </is>
      </c>
      <c r="C3673" s="7">
        <f>VLOOKUP(A3673,SizeData!A$2:B$3839,2,FALSE)</f>
        <v/>
      </c>
      <c r="D3673" s="6" t="n">
        <v>20</v>
      </c>
      <c r="E3673" s="6" t="inlineStr">
        <is>
          <t>R1842473</t>
        </is>
      </c>
      <c r="F3673" s="67" t="n">
        <v>44866</v>
      </c>
      <c r="G3673" s="68" t="n"/>
    </row>
    <row r="3674">
      <c r="A3674" s="6" t="n">
        <v>34566</v>
      </c>
      <c r="B3674" s="6" t="inlineStr">
        <is>
          <t>PEARL VODKA (PET)</t>
        </is>
      </c>
      <c r="C3674" s="7">
        <f>VLOOKUP(A3674,SizeData!A$2:B$3839,2,FALSE)</f>
        <v/>
      </c>
      <c r="D3674" s="6" t="n">
        <v>4</v>
      </c>
      <c r="E3674" s="6" t="inlineStr">
        <is>
          <t>R1869434</t>
        </is>
      </c>
      <c r="F3674" s="67" t="n">
        <v>44884</v>
      </c>
      <c r="G3674" s="68" t="n"/>
    </row>
    <row r="3675">
      <c r="A3675" s="6" t="n">
        <v>61616</v>
      </c>
      <c r="B3675" s="6" t="inlineStr">
        <is>
          <t>PENNSYLVANIA DUTCH EGG NOG</t>
        </is>
      </c>
      <c r="C3675" s="7">
        <f>VLOOKUP(A3675,SizeData!A$2:B$3839,2,FALSE)</f>
        <v/>
      </c>
      <c r="D3675" s="6" t="n">
        <v>5</v>
      </c>
      <c r="E3675" s="6" t="inlineStr">
        <is>
          <t>R1816996</t>
        </is>
      </c>
      <c r="F3675" s="67" t="n">
        <v>44859</v>
      </c>
      <c r="G3675" s="68" t="n"/>
    </row>
    <row r="3676">
      <c r="A3676" s="6" t="n">
        <v>891002</v>
      </c>
      <c r="B3676" s="6" t="inlineStr">
        <is>
          <t>PETER VELLA MOSCATO SANGRIA</t>
        </is>
      </c>
      <c r="C3676" s="7">
        <f>VLOOKUP(A3676,SizeData!A$2:B$3839,2,FALSE)</f>
        <v/>
      </c>
      <c r="D3676" s="6" t="n">
        <v>1</v>
      </c>
      <c r="E3676" s="6" t="inlineStr">
        <is>
          <t>R1373904</t>
        </is>
      </c>
      <c r="F3676" s="67" t="n">
        <v>44545</v>
      </c>
      <c r="G3676" s="68" t="n"/>
    </row>
    <row r="3677">
      <c r="A3677" s="6" t="n">
        <v>891002</v>
      </c>
      <c r="B3677" s="6" t="inlineStr">
        <is>
          <t>PETER VELLA MOSCATO SANGRIA</t>
        </is>
      </c>
      <c r="C3677" s="7">
        <f>VLOOKUP(A3677,SizeData!A$2:B$3839,2,FALSE)</f>
        <v/>
      </c>
      <c r="D3677" s="6" t="n">
        <v>1</v>
      </c>
      <c r="E3677" s="6" t="inlineStr">
        <is>
          <t>R1434427</t>
        </is>
      </c>
      <c r="F3677" s="2" t="n">
        <v>44588</v>
      </c>
      <c r="G3677" s="69" t="n"/>
    </row>
    <row r="3678">
      <c r="A3678" s="6" t="n">
        <v>891002</v>
      </c>
      <c r="B3678" s="6" t="inlineStr">
        <is>
          <t>PETER VELLA MOSCATO SANGRIA</t>
        </is>
      </c>
      <c r="C3678" s="7">
        <f>VLOOKUP(A3678,SizeData!A$2:B$3839,2,FALSE)</f>
        <v/>
      </c>
      <c r="D3678" s="6" t="n">
        <v>2</v>
      </c>
      <c r="E3678" s="6" t="inlineStr">
        <is>
          <t>R1531072</t>
        </is>
      </c>
      <c r="F3678" s="2" t="n">
        <v>44642</v>
      </c>
      <c r="G3678" s="1" t="n"/>
    </row>
    <row r="3679">
      <c r="A3679" s="6" t="n">
        <v>891002</v>
      </c>
      <c r="B3679" s="6" t="inlineStr">
        <is>
          <t>PETER VELLA MOSCATO SANGRIA</t>
        </is>
      </c>
      <c r="C3679" s="7">
        <f>VLOOKUP(A3679,SizeData!A$2:B$3839,2,FALSE)</f>
        <v/>
      </c>
      <c r="D3679" s="6" t="n">
        <v>1</v>
      </c>
      <c r="E3679" s="6" t="inlineStr">
        <is>
          <t>R1602457</t>
        </is>
      </c>
      <c r="F3679" s="2" t="n">
        <v>44691</v>
      </c>
      <c r="G3679" s="1" t="n"/>
    </row>
    <row r="3680">
      <c r="A3680" s="6" t="n">
        <v>891002</v>
      </c>
      <c r="B3680" s="6" t="inlineStr">
        <is>
          <t>PETER VELLA MOSCATO SANGRIA</t>
        </is>
      </c>
      <c r="C3680" s="7">
        <f>VLOOKUP(A3680,SizeData!A$2:B$3839,2,FALSE)</f>
        <v/>
      </c>
      <c r="D3680" s="6" t="n">
        <v>1</v>
      </c>
      <c r="E3680" s="6" t="inlineStr">
        <is>
          <t>R1688168</t>
        </is>
      </c>
      <c r="F3680" s="2" t="n">
        <v>44761</v>
      </c>
      <c r="G3680" s="1" t="n"/>
    </row>
    <row r="3681">
      <c r="A3681" s="6" t="n">
        <v>891002</v>
      </c>
      <c r="B3681" s="6" t="inlineStr">
        <is>
          <t>PETER VELLA MOSCATO SANGRIA</t>
        </is>
      </c>
      <c r="C3681" s="7">
        <f>VLOOKUP(A3681,SizeData!A$2:B$3839,2,FALSE)</f>
        <v/>
      </c>
      <c r="D3681" s="6" t="n">
        <v>1</v>
      </c>
      <c r="E3681" s="6" t="inlineStr">
        <is>
          <t>R1811635</t>
        </is>
      </c>
      <c r="F3681" s="67" t="n">
        <v>44845</v>
      </c>
      <c r="G3681" s="68" t="n"/>
    </row>
    <row r="3682">
      <c r="A3682" s="6" t="n">
        <v>891002</v>
      </c>
      <c r="B3682" s="6" t="inlineStr">
        <is>
          <t>PETER VELLA MOSCATO SANGRIA</t>
        </is>
      </c>
      <c r="C3682" s="7">
        <f>VLOOKUP(A3682,SizeData!A$2:B$3839,2,FALSE)</f>
        <v/>
      </c>
      <c r="D3682" s="6" t="n">
        <v>1</v>
      </c>
      <c r="E3682" s="6" t="inlineStr">
        <is>
          <t>R1860108</t>
        </is>
      </c>
      <c r="F3682" s="67" t="n">
        <v>44868</v>
      </c>
      <c r="G3682" s="68" t="n"/>
    </row>
    <row r="3683">
      <c r="A3683" s="6" t="n">
        <v>891002</v>
      </c>
      <c r="B3683" s="6" t="inlineStr">
        <is>
          <t>PETER VELLA MOSCATO SANGRIA</t>
        </is>
      </c>
      <c r="C3683" s="7">
        <f>VLOOKUP(A3683,SizeData!A$2:B$3839,2,FALSE)</f>
        <v/>
      </c>
      <c r="D3683" s="6" t="n">
        <v>1</v>
      </c>
      <c r="E3683" s="6" t="inlineStr">
        <is>
          <t>R1856291</t>
        </is>
      </c>
      <c r="F3683" s="67" t="n">
        <v>44874</v>
      </c>
      <c r="G3683" s="68" t="n"/>
    </row>
    <row r="3684">
      <c r="A3684" s="6" t="n">
        <v>891002</v>
      </c>
      <c r="B3684" s="6" t="inlineStr">
        <is>
          <t>PETER VELLA MOSCATO SANGRIA</t>
        </is>
      </c>
      <c r="C3684" s="7">
        <f>VLOOKUP(A3684,SizeData!A$2:B$3839,2,FALSE)</f>
        <v/>
      </c>
      <c r="D3684" s="6" t="n">
        <v>1</v>
      </c>
      <c r="E3684" s="6" t="inlineStr">
        <is>
          <t>R1894248</t>
        </is>
      </c>
      <c r="F3684" s="67" t="n">
        <v>44902</v>
      </c>
      <c r="G3684" s="68" t="n"/>
    </row>
    <row r="3685">
      <c r="A3685" s="6" t="n">
        <v>891004</v>
      </c>
      <c r="B3685" s="6" t="inlineStr">
        <is>
          <t>PETER VELLA PINK MOSCATO SANGRIA</t>
        </is>
      </c>
      <c r="C3685" s="7">
        <f>VLOOKUP(A3685,SizeData!A$2:B$3839,2,FALSE)</f>
        <v/>
      </c>
      <c r="D3685" s="6" t="n">
        <v>1</v>
      </c>
      <c r="E3685" s="6" t="inlineStr">
        <is>
          <t>R1431061</t>
        </is>
      </c>
      <c r="F3685" s="67" t="n">
        <v>44583</v>
      </c>
      <c r="G3685" s="68" t="n"/>
    </row>
    <row r="3686">
      <c r="A3686" s="6" t="n">
        <v>891004</v>
      </c>
      <c r="B3686" s="6" t="inlineStr">
        <is>
          <t>PETER VELLA PINK MOSCATO SANGRIA</t>
        </is>
      </c>
      <c r="C3686" s="7">
        <f>VLOOKUP(A3686,SizeData!A$2:B$3839,2,FALSE)</f>
        <v/>
      </c>
      <c r="D3686" s="6" t="n">
        <v>1</v>
      </c>
      <c r="E3686" s="6" t="inlineStr">
        <is>
          <t>R1465191</t>
        </is>
      </c>
      <c r="F3686" s="67" t="n">
        <v>44602</v>
      </c>
      <c r="G3686" s="68" t="n"/>
    </row>
    <row r="3687">
      <c r="A3687" s="6" t="n">
        <v>891004</v>
      </c>
      <c r="B3687" s="6" t="inlineStr">
        <is>
          <t>PETER VELLA PINK MOSCATO SANGRIA</t>
        </is>
      </c>
      <c r="C3687" s="7">
        <f>VLOOKUP(A3687,SizeData!A$2:B$3839,2,FALSE)</f>
        <v/>
      </c>
      <c r="D3687" s="6" t="n">
        <v>1</v>
      </c>
      <c r="E3687" s="6" t="inlineStr">
        <is>
          <t>R1472811</t>
        </is>
      </c>
      <c r="F3687" s="67" t="n">
        <v>44609</v>
      </c>
      <c r="G3687" s="68" t="n"/>
    </row>
    <row r="3688">
      <c r="A3688" s="6" t="n">
        <v>891004</v>
      </c>
      <c r="B3688" s="6" t="inlineStr">
        <is>
          <t>PETER VELLA PINK MOSCATO SANGRIA</t>
        </is>
      </c>
      <c r="C3688" s="7">
        <f>VLOOKUP(A3688,SizeData!A$2:B$3839,2,FALSE)</f>
        <v/>
      </c>
      <c r="D3688" s="6" t="n">
        <v>2</v>
      </c>
      <c r="E3688" s="6" t="inlineStr">
        <is>
          <t>R1531072</t>
        </is>
      </c>
      <c r="F3688" s="67" t="n">
        <v>44642</v>
      </c>
      <c r="G3688" s="68" t="n"/>
    </row>
    <row r="3689">
      <c r="A3689" s="6" t="n">
        <v>891004</v>
      </c>
      <c r="B3689" s="6" t="inlineStr">
        <is>
          <t>PETER VELLA PINK MOSCATO SANGRIA</t>
        </is>
      </c>
      <c r="C3689" s="7">
        <f>VLOOKUP(A3689,SizeData!A$2:B$3839,2,FALSE)</f>
        <v/>
      </c>
      <c r="D3689" s="6" t="n">
        <v>1</v>
      </c>
      <c r="E3689" s="6" t="inlineStr">
        <is>
          <t>R1544767</t>
        </is>
      </c>
      <c r="F3689" s="67" t="n">
        <v>44664</v>
      </c>
      <c r="G3689" s="68" t="n"/>
    </row>
    <row r="3690">
      <c r="A3690" s="6" t="n">
        <v>891004</v>
      </c>
      <c r="B3690" s="6" t="inlineStr">
        <is>
          <t>PETER VELLA PINK MOSCATO SANGRIA</t>
        </is>
      </c>
      <c r="C3690" s="7">
        <f>VLOOKUP(A3690,SizeData!A$2:B$3839,2,FALSE)</f>
        <v/>
      </c>
      <c r="D3690" s="6" t="n">
        <v>1</v>
      </c>
      <c r="E3690" s="6" t="inlineStr">
        <is>
          <t>R1576691</t>
        </is>
      </c>
      <c r="F3690" s="67" t="n">
        <v>44676</v>
      </c>
      <c r="G3690" s="68" t="n"/>
    </row>
    <row r="3691">
      <c r="A3691" s="6" t="n">
        <v>891004</v>
      </c>
      <c r="B3691" s="6" t="inlineStr">
        <is>
          <t>PETER VELLA PINK MOSCATO SANGRIA</t>
        </is>
      </c>
      <c r="C3691" s="7">
        <f>VLOOKUP(A3691,SizeData!A$2:B$3839,2,FALSE)</f>
        <v/>
      </c>
      <c r="D3691" s="6" t="n">
        <v>1</v>
      </c>
      <c r="E3691" s="6" t="inlineStr">
        <is>
          <t>R1625235</t>
        </is>
      </c>
      <c r="F3691" s="67" t="n">
        <v>44698</v>
      </c>
      <c r="G3691" s="68" t="n"/>
    </row>
    <row r="3692">
      <c r="A3692" s="6" t="n">
        <v>891004</v>
      </c>
      <c r="B3692" s="6" t="inlineStr">
        <is>
          <t>PETER VELLA PINK MOSCATO SANGRIA</t>
        </is>
      </c>
      <c r="C3692" s="7">
        <f>VLOOKUP(A3692,SizeData!A$2:B$3839,2,FALSE)</f>
        <v/>
      </c>
      <c r="D3692" s="6" t="n">
        <v>1</v>
      </c>
      <c r="E3692" s="6" t="inlineStr">
        <is>
          <t>R1650316</t>
        </is>
      </c>
      <c r="F3692" s="67" t="n">
        <v>44714</v>
      </c>
      <c r="G3692" s="68" t="n"/>
    </row>
    <row r="3693">
      <c r="A3693" s="6" t="n">
        <v>891004</v>
      </c>
      <c r="B3693" s="6" t="inlineStr">
        <is>
          <t>PETER VELLA PINK MOSCATO SANGRIA</t>
        </is>
      </c>
      <c r="C3693" s="7">
        <f>VLOOKUP(A3693,SizeData!A$2:B$3839,2,FALSE)</f>
        <v/>
      </c>
      <c r="D3693" s="6" t="n">
        <v>1</v>
      </c>
      <c r="E3693" s="6" t="inlineStr">
        <is>
          <t>R1660776</t>
        </is>
      </c>
      <c r="F3693" s="67" t="n">
        <v>44733</v>
      </c>
      <c r="G3693" s="68" t="n"/>
    </row>
    <row r="3694">
      <c r="A3694" s="6" t="n">
        <v>891004</v>
      </c>
      <c r="B3694" s="6" t="inlineStr">
        <is>
          <t>PETER VELLA PINK MOSCATO SANGRIA</t>
        </is>
      </c>
      <c r="C3694" s="7">
        <f>VLOOKUP(A3694,SizeData!A$2:B$3839,2,FALSE)</f>
        <v/>
      </c>
      <c r="D3694" s="6" t="n">
        <v>1</v>
      </c>
      <c r="E3694" s="6" t="inlineStr">
        <is>
          <t>R1761638</t>
        </is>
      </c>
      <c r="F3694" s="67" t="n">
        <v>44807</v>
      </c>
      <c r="G3694" s="68" t="n"/>
    </row>
    <row r="3695">
      <c r="A3695" s="6" t="n">
        <v>891004</v>
      </c>
      <c r="B3695" s="6" t="inlineStr">
        <is>
          <t>PETER VELLA PINK MOSCATO SANGRIA</t>
        </is>
      </c>
      <c r="C3695" s="7">
        <f>VLOOKUP(A3695,SizeData!A$2:B$3839,2,FALSE)</f>
        <v/>
      </c>
      <c r="D3695" s="6" t="n">
        <v>1</v>
      </c>
      <c r="E3695" s="6" t="inlineStr">
        <is>
          <t>R1832815</t>
        </is>
      </c>
      <c r="F3695" s="67" t="n">
        <v>44855</v>
      </c>
      <c r="G3695" s="68" t="n"/>
    </row>
    <row r="3696">
      <c r="A3696" s="6" t="n">
        <v>891004</v>
      </c>
      <c r="B3696" s="6" t="inlineStr">
        <is>
          <t>PETER VELLA PINK MOSCATO SANGRIA</t>
        </is>
      </c>
      <c r="C3696" s="7">
        <f>VLOOKUP(A3696,SizeData!A$2:B$3839,2,FALSE)</f>
        <v/>
      </c>
      <c r="D3696" s="6" t="n">
        <v>1</v>
      </c>
      <c r="E3696" s="6" t="inlineStr">
        <is>
          <t>R1856291</t>
        </is>
      </c>
      <c r="F3696" s="67" t="n">
        <v>44874</v>
      </c>
      <c r="G3696" s="68" t="n"/>
    </row>
    <row r="3697">
      <c r="A3697" s="26" t="n">
        <v>891004</v>
      </c>
      <c r="B3697" s="26" t="inlineStr">
        <is>
          <t>PETER VELLA PINK MOSCATO SANGRIA</t>
        </is>
      </c>
      <c r="C3697" s="75">
        <f>VLOOKUP(A3697,SizeData!A$2:B$3839,2,FALSE)</f>
        <v/>
      </c>
      <c r="D3697" s="26" t="n">
        <v>1</v>
      </c>
      <c r="E3697" s="26" t="inlineStr">
        <is>
          <t>R1881344</t>
        </is>
      </c>
      <c r="F3697" s="72" t="n">
        <v>44893</v>
      </c>
      <c r="G3697" s="73" t="n"/>
    </row>
    <row r="3698">
      <c r="A3698" s="6" t="n">
        <v>891000</v>
      </c>
      <c r="B3698" s="6" t="inlineStr">
        <is>
          <t>PETER VELLA SANGRIA</t>
        </is>
      </c>
      <c r="C3698" s="7">
        <f>VLOOKUP(A3698,SizeData!A$2:B$3839,2,FALSE)</f>
        <v/>
      </c>
      <c r="D3698" s="6" t="n">
        <v>2</v>
      </c>
      <c r="E3698" s="6" t="inlineStr">
        <is>
          <t>R1431061</t>
        </is>
      </c>
      <c r="F3698" s="67" t="n">
        <v>44583</v>
      </c>
      <c r="G3698" s="68" t="n"/>
    </row>
    <row r="3699">
      <c r="A3699" s="6" t="n">
        <v>891000</v>
      </c>
      <c r="B3699" s="6" t="inlineStr">
        <is>
          <t>PETER VELLA SANGRIA</t>
        </is>
      </c>
      <c r="C3699" s="7">
        <f>VLOOKUP(A3699,SizeData!A$2:B$3839,2,FALSE)</f>
        <v/>
      </c>
      <c r="D3699" s="6" t="n">
        <v>2</v>
      </c>
      <c r="E3699" s="6" t="inlineStr">
        <is>
          <t>R1424786</t>
        </is>
      </c>
      <c r="F3699" s="67" t="n">
        <v>44593</v>
      </c>
      <c r="G3699" s="68" t="n"/>
    </row>
    <row r="3700">
      <c r="A3700" s="6" t="n">
        <v>891000</v>
      </c>
      <c r="B3700" s="6" t="inlineStr">
        <is>
          <t>PETER VELLA SANGRIA</t>
        </is>
      </c>
      <c r="C3700" s="7">
        <f>VLOOKUP(A3700,SizeData!A$2:B$3839,2,FALSE)</f>
        <v/>
      </c>
      <c r="D3700" s="6" t="n">
        <v>2</v>
      </c>
      <c r="E3700" s="6" t="inlineStr">
        <is>
          <t>R1600517</t>
        </is>
      </c>
      <c r="F3700" s="67" t="n">
        <v>44684</v>
      </c>
      <c r="G3700" s="68" t="n"/>
    </row>
    <row r="3701">
      <c r="A3701" s="6" t="n">
        <v>891000</v>
      </c>
      <c r="B3701" s="6" t="inlineStr">
        <is>
          <t>PETER VELLA SANGRIA</t>
        </is>
      </c>
      <c r="C3701" s="7">
        <f>VLOOKUP(A3701,SizeData!A$2:B$3839,2,FALSE)</f>
        <v/>
      </c>
      <c r="D3701" s="6" t="n">
        <v>2</v>
      </c>
      <c r="E3701" s="6" t="inlineStr">
        <is>
          <t>R1698359</t>
        </is>
      </c>
      <c r="F3701" s="67" t="n">
        <v>44765</v>
      </c>
      <c r="G3701" s="68" t="n"/>
    </row>
    <row r="3702">
      <c r="A3702" s="6" t="n">
        <v>891000</v>
      </c>
      <c r="B3702" s="6" t="inlineStr">
        <is>
          <t>PETER VELLA SANGRIA</t>
        </is>
      </c>
      <c r="C3702" s="7">
        <f>VLOOKUP(A3702,SizeData!A$2:B$3839,2,FALSE)</f>
        <v/>
      </c>
      <c r="D3702" s="6" t="n">
        <v>1</v>
      </c>
      <c r="E3702" s="6" t="inlineStr">
        <is>
          <t>R1749860</t>
        </is>
      </c>
      <c r="F3702" s="67" t="n">
        <v>44811</v>
      </c>
      <c r="G3702" s="68" t="n"/>
    </row>
    <row r="3703">
      <c r="A3703" s="6" t="n">
        <v>891000</v>
      </c>
      <c r="B3703" s="6" t="inlineStr">
        <is>
          <t>PETER VELLA SANGRIA</t>
        </is>
      </c>
      <c r="C3703" s="7">
        <f>VLOOKUP(A3703,SizeData!A$2:B$3839,2,FALSE)</f>
        <v/>
      </c>
      <c r="D3703" s="6" t="n">
        <v>1</v>
      </c>
      <c r="E3703" s="6" t="inlineStr">
        <is>
          <t>R1827327</t>
        </is>
      </c>
      <c r="F3703" s="67" t="n">
        <v>44856</v>
      </c>
      <c r="G3703" s="68" t="n"/>
    </row>
    <row r="3704">
      <c r="A3704" s="6" t="n">
        <v>891000</v>
      </c>
      <c r="B3704" s="6" t="inlineStr">
        <is>
          <t>PETER VELLA SANGRIA</t>
        </is>
      </c>
      <c r="C3704" s="7">
        <f>VLOOKUP(A3704,SizeData!A$2:B$3839,2,FALSE)</f>
        <v/>
      </c>
      <c r="D3704" s="6" t="n">
        <v>2</v>
      </c>
      <c r="E3704" s="6" t="inlineStr">
        <is>
          <t>R1866529</t>
        </is>
      </c>
      <c r="F3704" s="67" t="n">
        <v>44876</v>
      </c>
      <c r="G3704" s="68" t="n"/>
    </row>
    <row r="3705">
      <c r="A3705" s="6" t="n">
        <v>891000</v>
      </c>
      <c r="B3705" s="6" t="inlineStr">
        <is>
          <t>PETER VELLA SANGRIA</t>
        </is>
      </c>
      <c r="C3705" s="7">
        <f>VLOOKUP(A3705,SizeData!A$2:B$3839,2,FALSE)</f>
        <v/>
      </c>
      <c r="D3705" s="6" t="n">
        <v>1</v>
      </c>
      <c r="E3705" s="6" t="inlineStr">
        <is>
          <t>R1894248</t>
        </is>
      </c>
      <c r="F3705" s="67" t="n">
        <v>44902</v>
      </c>
      <c r="G3705" s="68" t="n"/>
    </row>
    <row r="3706">
      <c r="A3706" s="6" t="n">
        <v>814577</v>
      </c>
      <c r="B3706" s="6" t="inlineStr">
        <is>
          <t>PETER VELLA SWEET RED</t>
        </is>
      </c>
      <c r="C3706" s="7">
        <f>VLOOKUP(A3706,SizeData!A$2:B$3839,2,FALSE)</f>
        <v/>
      </c>
      <c r="D3706" s="6" t="n">
        <v>2</v>
      </c>
      <c r="E3706" s="6" t="inlineStr">
        <is>
          <t>R1409636</t>
        </is>
      </c>
      <c r="F3706" s="67" t="n">
        <v>44572</v>
      </c>
      <c r="G3706" s="68" t="n"/>
    </row>
    <row r="3707">
      <c r="A3707" s="6" t="n">
        <v>814577</v>
      </c>
      <c r="B3707" s="6" t="inlineStr">
        <is>
          <t>PETER VELLA SWEET RED</t>
        </is>
      </c>
      <c r="C3707" s="7">
        <f>VLOOKUP(A3707,SizeData!A$2:B$3839,2,FALSE)</f>
        <v/>
      </c>
      <c r="D3707" s="6" t="n">
        <v>1</v>
      </c>
      <c r="E3707" s="6" t="inlineStr">
        <is>
          <t>R1424786</t>
        </is>
      </c>
      <c r="F3707" s="67" t="n">
        <v>44593</v>
      </c>
      <c r="G3707" s="68" t="n"/>
    </row>
    <row r="3708">
      <c r="A3708" s="6" t="n">
        <v>814577</v>
      </c>
      <c r="B3708" s="6" t="inlineStr">
        <is>
          <t>PETER VELLA SWEET RED</t>
        </is>
      </c>
      <c r="C3708" s="7">
        <f>VLOOKUP(A3708,SizeData!A$2:B$3839,2,FALSE)</f>
        <v/>
      </c>
      <c r="D3708" s="6" t="n">
        <v>1</v>
      </c>
      <c r="E3708" s="6" t="inlineStr">
        <is>
          <t>R1465191</t>
        </is>
      </c>
      <c r="F3708" s="67" t="n">
        <v>44602</v>
      </c>
      <c r="G3708" s="68" t="n"/>
    </row>
    <row r="3709">
      <c r="A3709" s="6" t="n">
        <v>814577</v>
      </c>
      <c r="B3709" s="6" t="inlineStr">
        <is>
          <t>PETER VELLA SWEET RED</t>
        </is>
      </c>
      <c r="C3709" s="7">
        <f>VLOOKUP(A3709,SizeData!A$2:B$3839,2,FALSE)</f>
        <v/>
      </c>
      <c r="D3709" s="6" t="n">
        <v>3</v>
      </c>
      <c r="E3709" s="6" t="inlineStr">
        <is>
          <t>R1538126</t>
        </is>
      </c>
      <c r="F3709" s="67" t="n">
        <v>44648</v>
      </c>
      <c r="G3709" s="68" t="n"/>
    </row>
    <row r="3710">
      <c r="A3710" s="6" t="n">
        <v>814577</v>
      </c>
      <c r="B3710" s="6" t="inlineStr">
        <is>
          <t>PETER VELLA SWEET RED</t>
        </is>
      </c>
      <c r="C3710" s="7">
        <f>VLOOKUP(A3710,SizeData!A$2:B$3839,2,FALSE)</f>
        <v/>
      </c>
      <c r="D3710" s="6" t="n">
        <v>1</v>
      </c>
      <c r="E3710" s="6" t="inlineStr">
        <is>
          <t>R1548197</t>
        </is>
      </c>
      <c r="F3710" s="67" t="n">
        <v>44657</v>
      </c>
      <c r="G3710" s="68" t="n"/>
    </row>
    <row r="3711">
      <c r="A3711" s="6" t="n">
        <v>814577</v>
      </c>
      <c r="B3711" s="6" t="inlineStr">
        <is>
          <t>PETER VELLA SWEET RED</t>
        </is>
      </c>
      <c r="C3711" s="7">
        <f>VLOOKUP(A3711,SizeData!A$2:B$3839,2,FALSE)</f>
        <v/>
      </c>
      <c r="D3711" s="6" t="n">
        <v>1</v>
      </c>
      <c r="E3711" s="6" t="inlineStr">
        <is>
          <t>R1625235</t>
        </is>
      </c>
      <c r="F3711" s="67" t="n">
        <v>44698</v>
      </c>
      <c r="G3711" s="68" t="n"/>
    </row>
    <row r="3712">
      <c r="A3712" s="6" t="n">
        <v>814577</v>
      </c>
      <c r="B3712" s="6" t="inlineStr">
        <is>
          <t>PETER VELLA SWEET RED</t>
        </is>
      </c>
      <c r="C3712" s="7">
        <f>VLOOKUP(A3712,SizeData!A$2:B$3839,2,FALSE)</f>
        <v/>
      </c>
      <c r="D3712" s="6" t="n">
        <v>1</v>
      </c>
      <c r="E3712" s="6" t="inlineStr">
        <is>
          <t>R1658904</t>
        </is>
      </c>
      <c r="F3712" s="67" t="n">
        <v>44732</v>
      </c>
      <c r="G3712" s="68" t="n"/>
    </row>
    <row r="3713">
      <c r="A3713" s="39" t="n">
        <v>814577</v>
      </c>
      <c r="B3713" s="39" t="inlineStr">
        <is>
          <t>PETER VELLA SWEET RED</t>
        </is>
      </c>
      <c r="C3713" s="7">
        <f>VLOOKUP(A3713,SizeData!A$2:B$3839,2,FALSE)</f>
        <v/>
      </c>
      <c r="D3713" s="39" t="n">
        <v>2</v>
      </c>
      <c r="E3713" s="39" t="inlineStr">
        <is>
          <t>R1672578</t>
        </is>
      </c>
      <c r="F3713" s="90" t="n">
        <v>44740</v>
      </c>
      <c r="G3713" s="92" t="n"/>
    </row>
    <row r="3714">
      <c r="A3714" s="6" t="n">
        <v>814577</v>
      </c>
      <c r="B3714" s="6" t="inlineStr">
        <is>
          <t>PETER VELLA SWEET RED</t>
        </is>
      </c>
      <c r="C3714" s="7">
        <f>VLOOKUP(A3714,SizeData!A$2:B$3839,2,FALSE)</f>
        <v/>
      </c>
      <c r="D3714" s="6" t="n">
        <v>1</v>
      </c>
      <c r="E3714" s="6" t="inlineStr">
        <is>
          <t>R1894248</t>
        </is>
      </c>
      <c r="F3714" s="67" t="n">
        <v>44902</v>
      </c>
      <c r="G3714" s="68" t="n"/>
    </row>
    <row r="3715">
      <c r="A3715" s="6" t="n">
        <v>48996</v>
      </c>
      <c r="B3715" s="6" t="inlineStr">
        <is>
          <t>PIERRE FERRAND AMBRE</t>
        </is>
      </c>
      <c r="C3715" s="7">
        <f>VLOOKUP(A3715,SizeData!A$2:B$3839,2,FALSE)</f>
        <v/>
      </c>
      <c r="D3715" s="6" t="n">
        <v>1</v>
      </c>
      <c r="E3715" s="6" t="inlineStr">
        <is>
          <t>R1725763</t>
        </is>
      </c>
      <c r="F3715" s="67" t="n">
        <v>44776</v>
      </c>
      <c r="G3715" s="68" t="n"/>
    </row>
    <row r="3716">
      <c r="A3716" s="6" t="n">
        <v>48996</v>
      </c>
      <c r="B3716" s="6" t="inlineStr">
        <is>
          <t>PIERRE FERRAND AMBRE</t>
        </is>
      </c>
      <c r="C3716" s="7">
        <f>VLOOKUP(A3716,SizeData!A$2:B$3839,2,FALSE)</f>
        <v/>
      </c>
      <c r="D3716" s="6" t="n">
        <v>2</v>
      </c>
      <c r="E3716" s="6" t="inlineStr">
        <is>
          <t>R1796778</t>
        </is>
      </c>
      <c r="F3716" s="67" t="n">
        <v>44834</v>
      </c>
      <c r="G3716" s="68" t="n"/>
    </row>
    <row r="3717">
      <c r="A3717" s="6" t="n">
        <v>49000</v>
      </c>
      <c r="B3717" s="6" t="inlineStr">
        <is>
          <t>PIERRE FERRAND ORIGINAL 1840 FORMULA</t>
        </is>
      </c>
      <c r="C3717" s="7">
        <f>VLOOKUP(A3717,SizeData!A$2:B$3839,2,FALSE)</f>
        <v/>
      </c>
      <c r="D3717" s="6" t="n">
        <v>1</v>
      </c>
      <c r="E3717" s="6" t="inlineStr">
        <is>
          <t>R1725763</t>
        </is>
      </c>
      <c r="F3717" s="67" t="n">
        <v>44776</v>
      </c>
      <c r="G3717" s="68" t="n"/>
    </row>
    <row r="3718">
      <c r="A3718" s="6" t="n">
        <v>49000</v>
      </c>
      <c r="B3718" s="6" t="inlineStr">
        <is>
          <t>PIERRE FERRAND ORIGINAL 1840 FORMULA</t>
        </is>
      </c>
      <c r="C3718" s="7">
        <f>VLOOKUP(A3718,SizeData!A$2:B$3839,2,FALSE)</f>
        <v/>
      </c>
      <c r="D3718" s="6" t="n">
        <v>1</v>
      </c>
      <c r="E3718" s="6" t="inlineStr">
        <is>
          <t>R1806604</t>
        </is>
      </c>
      <c r="F3718" s="67" t="n">
        <v>44837</v>
      </c>
      <c r="G3718" s="68" t="n"/>
    </row>
    <row r="3719">
      <c r="A3719" s="6" t="n">
        <v>35529</v>
      </c>
      <c r="B3719" s="6" t="inlineStr">
        <is>
          <t>PINNACLE 100 PROOF VODKA</t>
        </is>
      </c>
      <c r="C3719" s="7">
        <f>VLOOKUP(A3719,SizeData!A$2:B$3839,2,FALSE)</f>
        <v/>
      </c>
      <c r="D3719" s="6" t="n">
        <v>4</v>
      </c>
      <c r="E3719" s="6" t="inlineStr">
        <is>
          <t>R1439543</t>
        </is>
      </c>
      <c r="F3719" s="67" t="n">
        <v>44594</v>
      </c>
      <c r="G3719" s="68" t="n"/>
    </row>
    <row r="3720">
      <c r="A3720" s="6" t="n">
        <v>35529</v>
      </c>
      <c r="B3720" s="6" t="inlineStr">
        <is>
          <t>PINNACLE 100 PROOF VODKA</t>
        </is>
      </c>
      <c r="C3720" s="7">
        <f>VLOOKUP(A3720,SizeData!A$2:B$3839,2,FALSE)</f>
        <v/>
      </c>
      <c r="D3720" s="6" t="n">
        <v>2</v>
      </c>
      <c r="E3720" s="6" t="inlineStr">
        <is>
          <t>R1703000</t>
        </is>
      </c>
      <c r="F3720" s="67" t="n">
        <v>44774</v>
      </c>
      <c r="G3720" s="73" t="n"/>
    </row>
    <row r="3721">
      <c r="A3721" s="26" t="n">
        <v>35529</v>
      </c>
      <c r="B3721" s="26" t="inlineStr">
        <is>
          <t>PINNACLE 100 PROOF VODKA</t>
        </is>
      </c>
      <c r="C3721" s="7">
        <f>VLOOKUP(A3721,SizeData!A$2:B$3839,2,FALSE)</f>
        <v/>
      </c>
      <c r="D3721" s="26" t="n">
        <v>1</v>
      </c>
      <c r="E3721" s="26" t="inlineStr">
        <is>
          <t>R1728993</t>
        </is>
      </c>
      <c r="F3721" s="72" t="n">
        <v>44790</v>
      </c>
      <c r="G3721" s="73" t="n"/>
    </row>
    <row r="3722">
      <c r="A3722" s="6" t="n">
        <v>35529</v>
      </c>
      <c r="B3722" s="6" t="inlineStr">
        <is>
          <t>PINNACLE 100 PROOF VODKA</t>
        </is>
      </c>
      <c r="C3722" s="7">
        <f>VLOOKUP(A3722,SizeData!A$2:B$3839,2,FALSE)</f>
        <v/>
      </c>
      <c r="D3722" s="6" t="n">
        <v>3</v>
      </c>
      <c r="E3722" s="6" t="inlineStr">
        <is>
          <t>R1853571</t>
        </is>
      </c>
      <c r="F3722" s="67" t="n">
        <v>44873</v>
      </c>
      <c r="G3722" s="68" t="n"/>
    </row>
    <row r="3723">
      <c r="A3723" s="6" t="n">
        <v>35529</v>
      </c>
      <c r="B3723" s="6" t="inlineStr">
        <is>
          <t>PINNACLE 100 PROOF VODKA</t>
        </is>
      </c>
      <c r="C3723" s="7">
        <f>VLOOKUP(A3723,SizeData!A$2:B$3839,2,FALSE)</f>
        <v/>
      </c>
      <c r="D3723" s="6" t="n">
        <v>2</v>
      </c>
      <c r="E3723" s="6" t="inlineStr">
        <is>
          <t>R1883576</t>
        </is>
      </c>
      <c r="F3723" s="67" t="n">
        <v>44895</v>
      </c>
      <c r="G3723" s="68" t="n"/>
    </row>
    <row r="3724">
      <c r="A3724" s="6" t="n">
        <v>35953</v>
      </c>
      <c r="B3724" s="6" t="inlineStr">
        <is>
          <t>PINNACLE PINEAPPLE FLAVORED VODKA</t>
        </is>
      </c>
      <c r="C3724" s="7">
        <f>VLOOKUP(A3724,SizeData!A$2:B$3839,2,FALSE)</f>
        <v/>
      </c>
      <c r="D3724" s="6" t="n">
        <v>1</v>
      </c>
      <c r="E3724" s="6" t="inlineStr">
        <is>
          <t>R1413566</t>
        </is>
      </c>
      <c r="F3724" s="67" t="n">
        <v>44580</v>
      </c>
      <c r="G3724" s="68" t="n"/>
    </row>
    <row r="3725">
      <c r="A3725" s="6" t="n">
        <v>35953</v>
      </c>
      <c r="B3725" s="6" t="inlineStr">
        <is>
          <t>PINNACLE PINEAPPLE FLAVORED VODKA</t>
        </is>
      </c>
      <c r="C3725" s="7">
        <f>VLOOKUP(A3725,SizeData!A$2:B$3839,2,FALSE)</f>
        <v/>
      </c>
      <c r="D3725" s="6" t="n">
        <v>2</v>
      </c>
      <c r="E3725" s="6" t="inlineStr">
        <is>
          <t>R1576691</t>
        </is>
      </c>
      <c r="F3725" s="67" t="n">
        <v>44676</v>
      </c>
      <c r="G3725" s="68" t="n"/>
    </row>
    <row r="3726">
      <c r="A3726" s="6" t="n">
        <v>35953</v>
      </c>
      <c r="B3726" s="6" t="inlineStr">
        <is>
          <t>PINNACLE PINEAPPLE FLAVORED VODKA</t>
        </is>
      </c>
      <c r="C3726" s="7">
        <f>VLOOKUP(A3726,SizeData!A$2:B$3839,2,FALSE)</f>
        <v/>
      </c>
      <c r="D3726" s="6" t="n">
        <v>2</v>
      </c>
      <c r="E3726" s="6" t="inlineStr">
        <is>
          <t>R1751391</t>
        </is>
      </c>
      <c r="F3726" s="67" t="n">
        <v>44805</v>
      </c>
      <c r="G3726" s="68" t="n"/>
    </row>
    <row r="3727">
      <c r="A3727" s="6" t="n">
        <v>35953</v>
      </c>
      <c r="B3727" s="6" t="inlineStr">
        <is>
          <t>PINNACLE PINEAPPLE FLAVORED VODKA</t>
        </is>
      </c>
      <c r="C3727" s="7">
        <f>VLOOKUP(A3727,SizeData!A$2:B$3839,2,FALSE)</f>
        <v/>
      </c>
      <c r="D3727" s="6" t="n">
        <v>2</v>
      </c>
      <c r="E3727" s="6" t="inlineStr">
        <is>
          <t>R1894245</t>
        </is>
      </c>
      <c r="F3727" s="67" t="n">
        <v>44902</v>
      </c>
      <c r="G3727" s="68" t="n"/>
    </row>
    <row r="3728">
      <c r="A3728" s="6" t="n">
        <v>34578</v>
      </c>
      <c r="B3728" s="6" t="inlineStr">
        <is>
          <t>PINNACLE VODKA</t>
        </is>
      </c>
      <c r="C3728" s="7">
        <f>VLOOKUP(A3728,SizeData!A$2:B$3839,2,FALSE)</f>
        <v/>
      </c>
      <c r="D3728" s="6" t="n">
        <v>3</v>
      </c>
      <c r="E3728" s="6" t="inlineStr">
        <is>
          <t>R1632057</t>
        </is>
      </c>
      <c r="F3728" s="67" t="n">
        <v>44716</v>
      </c>
      <c r="G3728" s="68" t="n"/>
    </row>
    <row r="3729">
      <c r="A3729" s="6" t="n">
        <v>34578</v>
      </c>
      <c r="B3729" s="6" t="inlineStr">
        <is>
          <t>PINNACLE VODKA</t>
        </is>
      </c>
      <c r="C3729" s="7">
        <f>VLOOKUP(A3729,SizeData!A$2:B$3839,2,FALSE)</f>
        <v/>
      </c>
      <c r="D3729" s="6" t="n">
        <v>2</v>
      </c>
      <c r="E3729" s="6" t="inlineStr">
        <is>
          <t>R1644631</t>
        </is>
      </c>
      <c r="F3729" s="67" t="n">
        <v>44725</v>
      </c>
      <c r="G3729" s="68" t="n"/>
    </row>
    <row r="3730">
      <c r="A3730" s="6" t="n">
        <v>34579</v>
      </c>
      <c r="B3730" s="6" t="inlineStr">
        <is>
          <t>PINNACLE VODKA</t>
        </is>
      </c>
      <c r="C3730" s="7">
        <f>VLOOKUP(A3730,SizeData!A$2:B$3839,2,FALSE)</f>
        <v/>
      </c>
      <c r="D3730" s="6" t="n">
        <v>3</v>
      </c>
      <c r="E3730" s="6" t="inlineStr">
        <is>
          <t>R1625235</t>
        </is>
      </c>
      <c r="F3730" s="67" t="n">
        <v>44698</v>
      </c>
      <c r="G3730" s="68" t="n"/>
    </row>
    <row r="3731">
      <c r="A3731" s="6" t="n">
        <v>34579</v>
      </c>
      <c r="B3731" s="6" t="inlineStr">
        <is>
          <t>PINNACLE VODKA</t>
        </is>
      </c>
      <c r="C3731" s="7">
        <f>VLOOKUP(A3731,SizeData!A$2:B$3839,2,FALSE)</f>
        <v/>
      </c>
      <c r="D3731" s="6" t="n">
        <v>2</v>
      </c>
      <c r="E3731" s="6" t="inlineStr">
        <is>
          <t>R1853571</t>
        </is>
      </c>
      <c r="F3731" s="67" t="n">
        <v>44873</v>
      </c>
      <c r="G3731" s="68" t="n"/>
    </row>
    <row r="3732">
      <c r="A3732" s="6" t="n">
        <v>34579</v>
      </c>
      <c r="B3732" s="6" t="inlineStr">
        <is>
          <t>PINNACLE VODKA</t>
        </is>
      </c>
      <c r="C3732" s="7">
        <f>VLOOKUP(A3732,SizeData!A$2:B$3839,2,FALSE)</f>
        <v/>
      </c>
      <c r="D3732" s="6" t="n">
        <v>1</v>
      </c>
      <c r="E3732" s="6" t="inlineStr">
        <is>
          <t>R1883576</t>
        </is>
      </c>
      <c r="F3732" s="67" t="n">
        <v>44895</v>
      </c>
      <c r="G3732" s="68" t="n"/>
    </row>
    <row r="3733">
      <c r="A3733" s="6" t="n">
        <v>35626</v>
      </c>
      <c r="B3733" s="6" t="inlineStr">
        <is>
          <t>PINNACLE WHIPPED CREAM FLAVORED VODKA</t>
        </is>
      </c>
      <c r="C3733" s="7">
        <f>VLOOKUP(A3733,SizeData!A$2:B$3839,2,FALSE)</f>
        <v/>
      </c>
      <c r="D3733" s="6" t="n">
        <v>2</v>
      </c>
      <c r="E3733" s="6" t="inlineStr">
        <is>
          <t>R1471479</t>
        </is>
      </c>
      <c r="F3733" s="67" t="n">
        <v>44614</v>
      </c>
      <c r="G3733" s="68" t="n"/>
    </row>
    <row r="3734">
      <c r="A3734" s="6" t="n">
        <v>35626</v>
      </c>
      <c r="B3734" s="6" t="inlineStr">
        <is>
          <t>PINNACLE WHIPPED CREAM FLAVORED VODKA</t>
        </is>
      </c>
      <c r="C3734" s="7">
        <f>VLOOKUP(A3734,SizeData!A$2:B$3839,2,FALSE)</f>
        <v/>
      </c>
      <c r="D3734" s="6" t="n">
        <v>1</v>
      </c>
      <c r="E3734" s="6" t="inlineStr">
        <is>
          <t>R1841934</t>
        </is>
      </c>
      <c r="F3734" s="67" t="n">
        <v>44866</v>
      </c>
      <c r="G3734" s="68" t="n"/>
    </row>
    <row r="3735">
      <c r="A3735" s="6" t="n">
        <v>35628</v>
      </c>
      <c r="B3735" s="6" t="inlineStr">
        <is>
          <t>PINNACLE WHIPPED CREAM FLAVORED VODKA</t>
        </is>
      </c>
      <c r="C3735" s="7">
        <f>VLOOKUP(A3735,SizeData!A$2:B$3839,2,FALSE)</f>
        <v/>
      </c>
      <c r="D3735" s="6" t="n">
        <v>1</v>
      </c>
      <c r="E3735" s="6" t="inlineStr">
        <is>
          <t>R1519908</t>
        </is>
      </c>
      <c r="F3735" s="67" t="n">
        <v>44641</v>
      </c>
      <c r="G3735" s="68" t="n"/>
    </row>
    <row r="3736">
      <c r="A3736" s="6" t="n">
        <v>35628</v>
      </c>
      <c r="B3736" s="6" t="inlineStr">
        <is>
          <t>PINNACLE WHIPPED CREAM FLAVORED VODKA</t>
        </is>
      </c>
      <c r="C3736" s="7">
        <f>VLOOKUP(A3736,SizeData!A$2:B$3839,2,FALSE)</f>
        <v/>
      </c>
      <c r="D3736" s="6" t="n">
        <v>1</v>
      </c>
      <c r="E3736" s="6" t="inlineStr">
        <is>
          <t>R1519908</t>
        </is>
      </c>
      <c r="F3736" s="67" t="n">
        <v>44641</v>
      </c>
      <c r="G3736" s="68" t="n"/>
    </row>
    <row r="3737">
      <c r="A3737" s="6" t="n">
        <v>35628</v>
      </c>
      <c r="B3737" s="6" t="inlineStr">
        <is>
          <t>PINNACLE WHIPPED CREAM FLAVORED VODKA</t>
        </is>
      </c>
      <c r="C3737" s="7">
        <f>VLOOKUP(A3737,SizeData!A$2:B$3839,2,FALSE)</f>
        <v/>
      </c>
      <c r="D3737" s="6" t="n">
        <v>2</v>
      </c>
      <c r="E3737" s="6" t="inlineStr">
        <is>
          <t>R1661463</t>
        </is>
      </c>
      <c r="F3737" s="67" t="n">
        <v>44735</v>
      </c>
      <c r="G3737" s="68" t="n"/>
    </row>
    <row r="3738">
      <c r="A3738" s="6" t="n">
        <v>35628</v>
      </c>
      <c r="B3738" s="6" t="inlineStr">
        <is>
          <t>PINNACLE WHIPPED CREAM FLAVORED VODKA</t>
        </is>
      </c>
      <c r="C3738" s="7">
        <f>VLOOKUP(A3738,SizeData!A$2:B$3839,2,FALSE)</f>
        <v/>
      </c>
      <c r="D3738" s="6" t="n">
        <v>1</v>
      </c>
      <c r="E3738" s="6" t="inlineStr">
        <is>
          <t>R1777984</t>
        </is>
      </c>
      <c r="F3738" s="67" t="n">
        <v>44826</v>
      </c>
      <c r="G3738" s="68" t="n"/>
    </row>
    <row r="3739">
      <c r="A3739" s="6" t="n">
        <v>42395</v>
      </c>
      <c r="B3739" s="6" t="inlineStr">
        <is>
          <t>PLANTATION ORIGINAL DARK TRINIDAD&amp;TOBAGO</t>
        </is>
      </c>
      <c r="C3739" s="7">
        <f>VLOOKUP(A3739,SizeData!A$2:B$3839,2,FALSE)</f>
        <v/>
      </c>
      <c r="D3739" s="6" t="n">
        <v>1</v>
      </c>
      <c r="E3739" s="6" t="inlineStr">
        <is>
          <t>R1772897</t>
        </is>
      </c>
      <c r="F3739" s="67" t="n">
        <v>44825</v>
      </c>
      <c r="G3739" s="68" t="n"/>
    </row>
    <row r="3740">
      <c r="A3740" s="6" t="n">
        <v>24173</v>
      </c>
      <c r="B3740" s="6" t="inlineStr">
        <is>
          <t>QUALITY HOUSE BLENDED WHISKEY</t>
        </is>
      </c>
      <c r="C3740" s="7">
        <f>VLOOKUP(A3740,SizeData!A$2:B$3839,2,FALSE)</f>
        <v/>
      </c>
      <c r="D3740" s="6" t="n">
        <v>2</v>
      </c>
      <c r="E3740" s="6" t="inlineStr">
        <is>
          <t>R1453720</t>
        </is>
      </c>
      <c r="F3740" s="67" t="n">
        <v>44599</v>
      </c>
      <c r="G3740" s="68" t="n"/>
    </row>
    <row r="3741">
      <c r="A3741" s="6" t="n">
        <v>24173</v>
      </c>
      <c r="B3741" s="6" t="inlineStr">
        <is>
          <t>QUALITY HOUSE BLENDED WHISKEY</t>
        </is>
      </c>
      <c r="C3741" s="7">
        <f>VLOOKUP(A3741,SizeData!A$2:B$3839,2,FALSE)</f>
        <v/>
      </c>
      <c r="D3741" s="6" t="n">
        <v>2</v>
      </c>
      <c r="E3741" s="6" t="inlineStr">
        <is>
          <t>R1564505</t>
        </is>
      </c>
      <c r="F3741" s="67" t="n">
        <v>44665</v>
      </c>
      <c r="G3741" s="68" t="n"/>
    </row>
    <row r="3742">
      <c r="A3742" s="6" t="n">
        <v>24173</v>
      </c>
      <c r="B3742" s="6" t="inlineStr">
        <is>
          <t>QUALITY HOUSE BLENDED WHISKEY</t>
        </is>
      </c>
      <c r="C3742" s="7">
        <f>VLOOKUP(A3742,SizeData!A$2:B$3839,2,FALSE)</f>
        <v/>
      </c>
      <c r="D3742" s="6" t="n">
        <v>1</v>
      </c>
      <c r="E3742" s="6" t="inlineStr">
        <is>
          <t>R1718725</t>
        </is>
      </c>
      <c r="F3742" s="67" t="n">
        <v>44777</v>
      </c>
      <c r="G3742" s="68" t="n"/>
    </row>
    <row r="3743">
      <c r="A3743" s="26" t="n">
        <v>24173</v>
      </c>
      <c r="B3743" s="26" t="inlineStr">
        <is>
          <t>QUALITY HOUSE BLENDED WHISKEY</t>
        </is>
      </c>
      <c r="C3743" s="75">
        <f>VLOOKUP(A3743,SizeData!A$2:B$3839,2,FALSE)</f>
        <v/>
      </c>
      <c r="D3743" s="26" t="n">
        <v>2</v>
      </c>
      <c r="E3743" s="26" t="inlineStr">
        <is>
          <t>R1818650</t>
        </is>
      </c>
      <c r="F3743" s="72" t="n">
        <v>44856</v>
      </c>
      <c r="G3743" s="73" t="n"/>
    </row>
    <row r="3744">
      <c r="A3744" s="6" t="n">
        <v>24174</v>
      </c>
      <c r="B3744" s="6" t="inlineStr">
        <is>
          <t>QUALITY HOUSE BLENDED WHISKEY</t>
        </is>
      </c>
      <c r="C3744" s="7">
        <f>VLOOKUP(A3744,SizeData!A$2:B$3839,2,FALSE)</f>
        <v/>
      </c>
      <c r="D3744" s="6" t="n">
        <v>5</v>
      </c>
      <c r="E3744" s="6" t="inlineStr">
        <is>
          <t>R1464356</t>
        </is>
      </c>
      <c r="F3744" s="67" t="n">
        <v>44609</v>
      </c>
      <c r="G3744" s="68" t="n"/>
    </row>
    <row r="3745">
      <c r="A3745" s="6" t="n">
        <v>24174</v>
      </c>
      <c r="B3745" s="6" t="inlineStr">
        <is>
          <t>QUALITY HOUSE BLENDED WHISKEY</t>
        </is>
      </c>
      <c r="C3745" s="7">
        <f>VLOOKUP(A3745,SizeData!A$2:B$3839,2,FALSE)</f>
        <v/>
      </c>
      <c r="D3745" s="6" t="n">
        <v>1</v>
      </c>
      <c r="E3745" s="6" t="inlineStr">
        <is>
          <t>R1612379</t>
        </is>
      </c>
      <c r="F3745" s="67" t="n">
        <v>44701</v>
      </c>
      <c r="G3745" s="68" t="n"/>
    </row>
    <row r="3746">
      <c r="A3746" s="6" t="n">
        <v>24174</v>
      </c>
      <c r="B3746" s="6" t="inlineStr">
        <is>
          <t>QUALITY HOUSE BLENDED WHISKEY</t>
        </is>
      </c>
      <c r="C3746" s="7">
        <f>VLOOKUP(A3746,SizeData!A$2:B$3839,2,FALSE)</f>
        <v/>
      </c>
      <c r="D3746" s="6" t="n">
        <v>1</v>
      </c>
      <c r="E3746" s="6" t="inlineStr">
        <is>
          <t>R1629067</t>
        </is>
      </c>
      <c r="F3746" s="67" t="n">
        <v>44714</v>
      </c>
      <c r="G3746" s="68" t="n"/>
    </row>
    <row r="3747">
      <c r="A3747" s="31" t="n">
        <v>24174</v>
      </c>
      <c r="B3747" s="31" t="inlineStr">
        <is>
          <t>QUALITY HOUSE BLENDED WHISKEY</t>
        </is>
      </c>
      <c r="C3747" s="7">
        <f>VLOOKUP(A3747,SizeData!A$2:B$3839,2,FALSE)</f>
        <v/>
      </c>
      <c r="D3747" s="31" t="n">
        <v>3</v>
      </c>
      <c r="E3747" s="31" t="inlineStr">
        <is>
          <t>R1662835</t>
        </is>
      </c>
      <c r="F3747" s="82" t="n">
        <v>44740</v>
      </c>
      <c r="G3747" s="83" t="n"/>
    </row>
    <row r="3748">
      <c r="A3748" s="6" t="n">
        <v>24174</v>
      </c>
      <c r="B3748" s="6" t="inlineStr">
        <is>
          <t>QUALITY HOUSE BLENDED WHISKEY</t>
        </is>
      </c>
      <c r="C3748" s="7">
        <f>VLOOKUP(A3748,SizeData!A$2:B$3839,2,FALSE)</f>
        <v/>
      </c>
      <c r="D3748" s="6" t="n">
        <v>1</v>
      </c>
      <c r="E3748" s="6" t="inlineStr">
        <is>
          <t>R1734766</t>
        </is>
      </c>
      <c r="F3748" s="67" t="n">
        <v>44799</v>
      </c>
      <c r="G3748" s="68" t="n"/>
    </row>
    <row r="3749">
      <c r="A3749" s="6" t="n">
        <v>24174</v>
      </c>
      <c r="B3749" s="6" t="inlineStr">
        <is>
          <t>QUALITY HOUSE BLENDED WHISKEY</t>
        </is>
      </c>
      <c r="C3749" s="7">
        <f>VLOOKUP(A3749,SizeData!A$2:B$3839,2,FALSE)</f>
        <v/>
      </c>
      <c r="D3749" s="6" t="n">
        <v>1</v>
      </c>
      <c r="E3749" s="6" t="inlineStr">
        <is>
          <t>R1830533</t>
        </is>
      </c>
      <c r="F3749" s="67" t="n">
        <v>44852</v>
      </c>
      <c r="G3749" s="68" t="n"/>
    </row>
    <row r="3750">
      <c r="A3750" s="6" t="n">
        <v>24174</v>
      </c>
      <c r="B3750" s="6" t="inlineStr">
        <is>
          <t>QUALITY HOUSE BLENDED WHISKEY</t>
        </is>
      </c>
      <c r="C3750" s="7">
        <f>VLOOKUP(A3750,SizeData!A$2:B$3839,2,FALSE)</f>
        <v/>
      </c>
      <c r="D3750" s="6" t="n">
        <v>1</v>
      </c>
      <c r="E3750" s="6" t="inlineStr">
        <is>
          <t>R1816996</t>
        </is>
      </c>
      <c r="F3750" s="67" t="n">
        <v>44859</v>
      </c>
      <c r="G3750" s="68" t="n"/>
    </row>
    <row r="3751">
      <c r="A3751" s="6" t="n">
        <v>24174</v>
      </c>
      <c r="B3751" s="6" t="inlineStr">
        <is>
          <t>QUALITY HOUSE BLENDED WHISKEY</t>
        </is>
      </c>
      <c r="C3751" s="7">
        <f>VLOOKUP(A3751,SizeData!A$2:B$3839,2,FALSE)</f>
        <v/>
      </c>
      <c r="D3751" s="6" t="n">
        <v>2</v>
      </c>
      <c r="E3751" s="6" t="inlineStr">
        <is>
          <t>R1866868</t>
        </is>
      </c>
      <c r="F3751" s="67" t="n">
        <v>44882</v>
      </c>
      <c r="G3751" s="68" t="n"/>
    </row>
    <row r="3752">
      <c r="A3752" s="6" t="n">
        <v>24176</v>
      </c>
      <c r="B3752" s="6" t="inlineStr">
        <is>
          <t>QUALITY HOUSE BLENDED WHISKEY</t>
        </is>
      </c>
      <c r="C3752" s="7">
        <f>VLOOKUP(A3752,SizeData!A$2:B$3839,2,FALSE)</f>
        <v/>
      </c>
      <c r="D3752" s="6" t="n">
        <v>2</v>
      </c>
      <c r="E3752" s="6" t="inlineStr">
        <is>
          <t>R1457066</t>
        </is>
      </c>
      <c r="F3752" s="67" t="n">
        <v>44602</v>
      </c>
      <c r="G3752" s="68" t="n"/>
    </row>
    <row r="3753">
      <c r="A3753" s="6" t="n">
        <v>24176</v>
      </c>
      <c r="B3753" s="6" t="inlineStr">
        <is>
          <t>QUALITY HOUSE BLENDED WHISKEY</t>
        </is>
      </c>
      <c r="C3753" s="7">
        <f>VLOOKUP(A3753,SizeData!A$2:B$3839,2,FALSE)</f>
        <v/>
      </c>
      <c r="D3753" s="6" t="n">
        <v>2</v>
      </c>
      <c r="E3753" s="6" t="inlineStr">
        <is>
          <t>R1523938</t>
        </is>
      </c>
      <c r="F3753" s="67" t="n">
        <v>44642</v>
      </c>
      <c r="G3753" s="68" t="n"/>
    </row>
    <row r="3754">
      <c r="A3754" s="6" t="n">
        <v>24176</v>
      </c>
      <c r="B3754" s="6" t="inlineStr">
        <is>
          <t>QUALITY HOUSE BLENDED WHISKEY</t>
        </is>
      </c>
      <c r="C3754" s="7">
        <f>VLOOKUP(A3754,SizeData!A$2:B$3839,2,FALSE)</f>
        <v/>
      </c>
      <c r="D3754" s="6" t="n">
        <v>2</v>
      </c>
      <c r="E3754" s="6" t="inlineStr">
        <is>
          <t>R1564505</t>
        </is>
      </c>
      <c r="F3754" s="67" t="n">
        <v>44665</v>
      </c>
      <c r="G3754" s="68" t="n"/>
    </row>
    <row r="3755">
      <c r="A3755" s="31" t="n">
        <v>24176</v>
      </c>
      <c r="B3755" s="31" t="inlineStr">
        <is>
          <t>QUALITY HOUSE BLENDED WHISKEY</t>
        </is>
      </c>
      <c r="C3755" s="7">
        <f>VLOOKUP(A3755,SizeData!A$2:B$3839,2,FALSE)</f>
        <v/>
      </c>
      <c r="D3755" s="31" t="n">
        <v>1</v>
      </c>
      <c r="E3755" s="31" t="inlineStr">
        <is>
          <t>R1662835</t>
        </is>
      </c>
      <c r="F3755" s="82" t="n">
        <v>44740</v>
      </c>
      <c r="G3755" s="83" t="n"/>
    </row>
    <row r="3756">
      <c r="A3756" s="6" t="n">
        <v>24176</v>
      </c>
      <c r="B3756" s="6" t="inlineStr">
        <is>
          <t>QUALITY HOUSE BLENDED WHISKEY</t>
        </is>
      </c>
      <c r="C3756" s="7">
        <f>VLOOKUP(A3756,SizeData!A$2:B$3839,2,FALSE)</f>
        <v/>
      </c>
      <c r="D3756" s="6" t="n">
        <v>1</v>
      </c>
      <c r="E3756" s="6" t="inlineStr">
        <is>
          <t>R1696453</t>
        </is>
      </c>
      <c r="F3756" s="67" t="n">
        <v>44758</v>
      </c>
      <c r="G3756" s="68" t="n"/>
    </row>
    <row r="3757">
      <c r="A3757" s="6" t="n">
        <v>24176</v>
      </c>
      <c r="B3757" s="6" t="inlineStr">
        <is>
          <t>QUALITY HOUSE BLENDED WHISKEY</t>
        </is>
      </c>
      <c r="C3757" s="7">
        <f>VLOOKUP(A3757,SizeData!A$2:B$3839,2,FALSE)</f>
        <v/>
      </c>
      <c r="D3757" s="6" t="n">
        <v>1</v>
      </c>
      <c r="E3757" s="6" t="inlineStr">
        <is>
          <t>R1718725</t>
        </is>
      </c>
      <c r="F3757" s="67" t="n">
        <v>44777</v>
      </c>
      <c r="G3757" s="68" t="n"/>
    </row>
    <row r="3758">
      <c r="A3758" s="6" t="n">
        <v>24176</v>
      </c>
      <c r="B3758" s="6" t="inlineStr">
        <is>
          <t>QUALITY HOUSE BLENDED WHISKEY</t>
        </is>
      </c>
      <c r="C3758" s="7">
        <f>VLOOKUP(A3758,SizeData!A$2:B$3839,2,FALSE)</f>
        <v/>
      </c>
      <c r="D3758" s="6" t="n">
        <v>1</v>
      </c>
      <c r="E3758" s="6" t="inlineStr">
        <is>
          <t>R1734766</t>
        </is>
      </c>
      <c r="F3758" s="67" t="n">
        <v>44799</v>
      </c>
      <c r="G3758" s="68" t="n"/>
    </row>
    <row r="3759">
      <c r="A3759" s="6" t="n">
        <v>24176</v>
      </c>
      <c r="B3759" s="6" t="inlineStr">
        <is>
          <t>QUALITY HOUSE BLENDED WHISKEY</t>
        </is>
      </c>
      <c r="C3759" s="7">
        <f>VLOOKUP(A3759,SizeData!A$2:B$3839,2,FALSE)</f>
        <v/>
      </c>
      <c r="D3759" s="6" t="n">
        <v>1</v>
      </c>
      <c r="E3759" s="6" t="inlineStr">
        <is>
          <t>R1796778</t>
        </is>
      </c>
      <c r="F3759" s="67" t="n">
        <v>44834</v>
      </c>
      <c r="G3759" s="68" t="n"/>
    </row>
    <row r="3760">
      <c r="A3760" s="6" t="n">
        <v>24176</v>
      </c>
      <c r="B3760" s="6" t="inlineStr">
        <is>
          <t>QUALITY HOUSE BLENDED WHISKEY</t>
        </is>
      </c>
      <c r="C3760" s="7">
        <f>VLOOKUP(A3760,SizeData!A$2:B$3839,2,FALSE)</f>
        <v/>
      </c>
      <c r="D3760" s="6" t="n">
        <v>1</v>
      </c>
      <c r="E3760" s="6" t="inlineStr">
        <is>
          <t>R1866529</t>
        </is>
      </c>
      <c r="F3760" s="67" t="n">
        <v>44876</v>
      </c>
      <c r="G3760" s="68" t="n"/>
    </row>
    <row r="3761">
      <c r="A3761" s="6" t="n">
        <v>24177</v>
      </c>
      <c r="B3761" s="6" t="inlineStr">
        <is>
          <t>QUALITY HOUSE BLENDED WHISKEY</t>
        </is>
      </c>
      <c r="C3761" s="7">
        <f>VLOOKUP(A3761,SizeData!A$2:B$3839,2,FALSE)</f>
        <v/>
      </c>
      <c r="D3761" s="6" t="n">
        <v>1</v>
      </c>
      <c r="E3761" s="6" t="inlineStr">
        <is>
          <t>R1759302</t>
        </is>
      </c>
      <c r="F3761" s="67" t="n">
        <v>44806</v>
      </c>
      <c r="G3761" s="68" t="n"/>
    </row>
    <row r="3762">
      <c r="A3762" s="6" t="n">
        <v>24177</v>
      </c>
      <c r="B3762" s="6" t="inlineStr">
        <is>
          <t>QUALITY HOUSE BLENDED WHISKEY</t>
        </is>
      </c>
      <c r="C3762" s="7">
        <f>VLOOKUP(A3762,SizeData!A$2:B$3839,2,FALSE)</f>
        <v/>
      </c>
      <c r="D3762" s="6" t="n">
        <v>1</v>
      </c>
      <c r="E3762" s="6" t="inlineStr">
        <is>
          <t>R1892470</t>
        </is>
      </c>
      <c r="F3762" s="67" t="n">
        <v>44902</v>
      </c>
      <c r="G3762" s="68" t="n"/>
    </row>
    <row r="3763">
      <c r="A3763" s="6" t="n">
        <v>24178</v>
      </c>
      <c r="B3763" s="6" t="inlineStr">
        <is>
          <t>QUALITY HOUSE BLENDED WHISKEY</t>
        </is>
      </c>
      <c r="C3763" s="7">
        <f>VLOOKUP(A3763,SizeData!A$2:B$3839,2,FALSE)</f>
        <v/>
      </c>
      <c r="D3763" s="6" t="n">
        <v>3</v>
      </c>
      <c r="E3763" s="6" t="inlineStr">
        <is>
          <t>R1486326</t>
        </is>
      </c>
      <c r="F3763" s="67" t="n">
        <v>44616</v>
      </c>
      <c r="G3763" s="68" t="n"/>
    </row>
    <row r="3764">
      <c r="A3764" s="6" t="n">
        <v>24178</v>
      </c>
      <c r="B3764" s="6" t="inlineStr">
        <is>
          <t>QUALITY HOUSE BLENDED WHISKEY</t>
        </is>
      </c>
      <c r="C3764" s="7">
        <f>VLOOKUP(A3764,SizeData!A$2:B$3839,2,FALSE)</f>
        <v/>
      </c>
      <c r="D3764" s="6" t="n">
        <v>1</v>
      </c>
      <c r="E3764" s="6" t="inlineStr">
        <is>
          <t>R1572905</t>
        </is>
      </c>
      <c r="F3764" s="67" t="n">
        <v>44667</v>
      </c>
      <c r="G3764" s="68" t="n"/>
    </row>
    <row r="3765">
      <c r="A3765" s="6" t="n">
        <v>24178</v>
      </c>
      <c r="B3765" s="6" t="inlineStr">
        <is>
          <t>QUALITY HOUSE BLENDED WHISKEY</t>
        </is>
      </c>
      <c r="C3765" s="7">
        <f>VLOOKUP(A3765,SizeData!A$2:B$3839,2,FALSE)</f>
        <v/>
      </c>
      <c r="D3765" s="6" t="n">
        <v>1</v>
      </c>
      <c r="E3765" s="6" t="inlineStr">
        <is>
          <t>R1658911</t>
        </is>
      </c>
      <c r="F3765" s="67" t="n">
        <v>44733</v>
      </c>
      <c r="G3765" s="68" t="n"/>
    </row>
    <row r="3766">
      <c r="A3766" s="6" t="n">
        <v>24178</v>
      </c>
      <c r="B3766" s="6" t="inlineStr">
        <is>
          <t>QUALITY HOUSE BLENDED WHISKEY</t>
        </is>
      </c>
      <c r="C3766" s="7">
        <f>VLOOKUP(A3766,SizeData!A$2:B$3839,2,FALSE)</f>
        <v/>
      </c>
      <c r="D3766" s="6" t="n">
        <v>1</v>
      </c>
      <c r="E3766" s="6" t="inlineStr">
        <is>
          <t>R1696453</t>
        </is>
      </c>
      <c r="F3766" s="67" t="n">
        <v>44758</v>
      </c>
      <c r="G3766" s="68" t="n"/>
    </row>
    <row r="3767">
      <c r="A3767" s="6" t="n">
        <v>24178</v>
      </c>
      <c r="B3767" s="6" t="inlineStr">
        <is>
          <t>QUALITY HOUSE BLENDED WHISKEY</t>
        </is>
      </c>
      <c r="C3767" s="7">
        <f>VLOOKUP(A3767,SizeData!A$2:B$3839,2,FALSE)</f>
        <v/>
      </c>
      <c r="D3767" s="6" t="n">
        <v>1</v>
      </c>
      <c r="E3767" s="6" t="inlineStr">
        <is>
          <t>R1721451</t>
        </is>
      </c>
      <c r="F3767" s="67" t="n">
        <v>44776</v>
      </c>
      <c r="G3767" s="68" t="n"/>
    </row>
    <row r="3768">
      <c r="A3768" s="6" t="n">
        <v>24178</v>
      </c>
      <c r="B3768" s="6" t="inlineStr">
        <is>
          <t>QUALITY HOUSE BLENDED WHISKEY</t>
        </is>
      </c>
      <c r="C3768" s="7">
        <f>VLOOKUP(A3768,SizeData!A$2:B$3839,2,FALSE)</f>
        <v/>
      </c>
      <c r="D3768" s="6" t="n">
        <v>2</v>
      </c>
      <c r="E3768" s="6" t="inlineStr">
        <is>
          <t>R1736016</t>
        </is>
      </c>
      <c r="F3768" s="67" t="n">
        <v>44783</v>
      </c>
      <c r="G3768" s="68" t="n"/>
    </row>
    <row r="3769">
      <c r="A3769" s="6" t="n">
        <v>24178</v>
      </c>
      <c r="B3769" s="6" t="inlineStr">
        <is>
          <t>QUALITY HOUSE BLENDED WHISKEY</t>
        </is>
      </c>
      <c r="C3769" s="7">
        <f>VLOOKUP(A3769,SizeData!A$2:B$3839,2,FALSE)</f>
        <v/>
      </c>
      <c r="D3769" s="6" t="n">
        <v>1</v>
      </c>
      <c r="E3769" s="6" t="inlineStr">
        <is>
          <t>R1747641</t>
        </is>
      </c>
      <c r="F3769" s="67" t="n">
        <v>44800</v>
      </c>
      <c r="G3769" s="68" t="n"/>
    </row>
    <row r="3770">
      <c r="A3770" s="6" t="n">
        <v>24178</v>
      </c>
      <c r="B3770" s="6" t="inlineStr">
        <is>
          <t>QUALITY HOUSE BLENDED WHISKEY</t>
        </is>
      </c>
      <c r="C3770" s="7">
        <f>VLOOKUP(A3770,SizeData!A$2:B$3839,2,FALSE)</f>
        <v/>
      </c>
      <c r="D3770" s="6" t="n">
        <v>1</v>
      </c>
      <c r="E3770" s="6" t="inlineStr">
        <is>
          <t>R1759302</t>
        </is>
      </c>
      <c r="F3770" s="67" t="n">
        <v>44806</v>
      </c>
      <c r="G3770" s="68" t="n"/>
    </row>
    <row r="3771">
      <c r="A3771" s="6" t="n">
        <v>24178</v>
      </c>
      <c r="B3771" s="6" t="inlineStr">
        <is>
          <t>QUALITY HOUSE BLENDED WHISKEY</t>
        </is>
      </c>
      <c r="C3771" s="7">
        <f>VLOOKUP(A3771,SizeData!A$2:B$3839,2,FALSE)</f>
        <v/>
      </c>
      <c r="D3771" s="6" t="n">
        <v>1</v>
      </c>
      <c r="E3771" s="6" t="inlineStr">
        <is>
          <t>R1768922</t>
        </is>
      </c>
      <c r="F3771" s="67" t="n">
        <v>44819</v>
      </c>
      <c r="G3771" s="68" t="n"/>
    </row>
    <row r="3772">
      <c r="A3772" s="6" t="n">
        <v>24178</v>
      </c>
      <c r="B3772" s="6" t="inlineStr">
        <is>
          <t>QUALITY HOUSE BLENDED WHISKEY</t>
        </is>
      </c>
      <c r="C3772" s="7">
        <f>VLOOKUP(A3772,SizeData!A$2:B$3839,2,FALSE)</f>
        <v/>
      </c>
      <c r="D3772" s="6" t="n">
        <v>2</v>
      </c>
      <c r="E3772" s="6" t="inlineStr">
        <is>
          <t>R1782657</t>
        </is>
      </c>
      <c r="F3772" s="67" t="n">
        <v>44828</v>
      </c>
      <c r="G3772" s="68" t="n"/>
    </row>
    <row r="3773">
      <c r="A3773" s="6" t="n">
        <v>24178</v>
      </c>
      <c r="B3773" s="6" t="inlineStr">
        <is>
          <t>QUALITY HOUSE BLENDED WHISKEY</t>
        </is>
      </c>
      <c r="C3773" s="7">
        <f>VLOOKUP(A3773,SizeData!A$2:B$3839,2,FALSE)</f>
        <v/>
      </c>
      <c r="D3773" s="6" t="n">
        <v>1</v>
      </c>
      <c r="E3773" s="6" t="inlineStr">
        <is>
          <t>R1865535</t>
        </is>
      </c>
      <c r="F3773" s="67" t="n">
        <v>44879</v>
      </c>
      <c r="G3773" s="68" t="n"/>
    </row>
    <row r="3774">
      <c r="A3774" s="6" t="n">
        <v>24178</v>
      </c>
      <c r="B3774" s="6" t="inlineStr">
        <is>
          <t>QUALITY HOUSE BLENDED WHISKEY</t>
        </is>
      </c>
      <c r="C3774" s="7">
        <f>VLOOKUP(A3774,SizeData!A$2:B$3839,2,FALSE)</f>
        <v/>
      </c>
      <c r="D3774" s="6" t="n">
        <v>1</v>
      </c>
      <c r="E3774" s="6" t="inlineStr">
        <is>
          <t>R1858355</t>
        </is>
      </c>
      <c r="F3774" s="67" t="n">
        <v>44880</v>
      </c>
      <c r="G3774" s="68" t="n"/>
    </row>
    <row r="3775">
      <c r="A3775" s="6" t="n">
        <v>24177</v>
      </c>
      <c r="B3775" s="6" t="inlineStr">
        <is>
          <t>QUALITY HOUSE SPIRIT BLEND</t>
        </is>
      </c>
      <c r="C3775" s="7">
        <f>VLOOKUP(A3775,SizeData!A$2:B$3839,2,FALSE)</f>
        <v/>
      </c>
      <c r="D3775" s="6" t="n">
        <v>3</v>
      </c>
      <c r="E3775" s="6" t="inlineStr">
        <is>
          <t>R1437002</t>
        </is>
      </c>
      <c r="F3775" s="67" t="n">
        <v>44586</v>
      </c>
      <c r="G3775" s="68" t="n"/>
    </row>
    <row r="3776">
      <c r="A3776" s="6" t="n">
        <v>37586</v>
      </c>
      <c r="B3776" s="6" t="inlineStr">
        <is>
          <t>RAIN VODKA</t>
        </is>
      </c>
      <c r="C3776" s="7">
        <f>VLOOKUP(A3776,SizeData!A$2:B$3839,2,FALSE)</f>
        <v/>
      </c>
      <c r="D3776" s="6" t="n">
        <v>2</v>
      </c>
      <c r="E3776" s="6" t="inlineStr">
        <is>
          <t>R1383976</t>
        </is>
      </c>
      <c r="F3776" s="67" t="n">
        <v>44561</v>
      </c>
      <c r="G3776" s="68" t="n"/>
    </row>
    <row r="3777" ht="16" customHeight="1">
      <c r="A3777" s="6" t="n">
        <v>37586</v>
      </c>
      <c r="B3777" s="6" t="inlineStr">
        <is>
          <t>RAIN VODKA</t>
        </is>
      </c>
      <c r="C3777" s="7">
        <f>VLOOKUP(A3777,SizeData!A$2:B$3839,2,FALSE)</f>
        <v/>
      </c>
      <c r="D3777" s="6" t="n">
        <v>1</v>
      </c>
      <c r="E3777" s="6" t="inlineStr">
        <is>
          <t>R1516281</t>
        </is>
      </c>
      <c r="F3777" s="67" t="n">
        <v>44634</v>
      </c>
      <c r="G3777" s="68" t="n"/>
      <c r="K3777" s="74" t="inlineStr">
        <is>
          <t>R1798887</t>
        </is>
      </c>
      <c r="L3777" t="inlineStr">
        <is>
          <t xml:space="preserve">Sonia </t>
        </is>
      </c>
      <c r="M3777" t="inlineStr">
        <is>
          <t>14th</t>
        </is>
      </c>
    </row>
    <row r="3778">
      <c r="A3778" s="6" t="n">
        <v>37586</v>
      </c>
      <c r="B3778" s="6" t="inlineStr">
        <is>
          <t>RAIN VODKA</t>
        </is>
      </c>
      <c r="C3778" s="7">
        <f>VLOOKUP(A3778,SizeData!A$2:B$3839,2,FALSE)</f>
        <v/>
      </c>
      <c r="D3778" s="6" t="n">
        <v>1</v>
      </c>
      <c r="E3778" s="6" t="inlineStr">
        <is>
          <t>R1900430</t>
        </is>
      </c>
      <c r="F3778" s="67" t="n">
        <v>44896</v>
      </c>
      <c r="G3778" s="68" t="n"/>
    </row>
    <row r="3779">
      <c r="A3779" s="6" t="n">
        <v>37588</v>
      </c>
      <c r="B3779" s="6" t="inlineStr">
        <is>
          <t>RAIN VODKA</t>
        </is>
      </c>
      <c r="C3779" s="7">
        <f>VLOOKUP(A3779,SizeData!A$2:B$3839,2,FALSE)</f>
        <v/>
      </c>
      <c r="D3779" s="6" t="n">
        <v>1</v>
      </c>
      <c r="E3779" s="6" t="inlineStr">
        <is>
          <t>R1470632</t>
        </is>
      </c>
      <c r="F3779" s="67" t="n">
        <v>44605</v>
      </c>
      <c r="G3779" s="68" t="n"/>
    </row>
    <row r="3780">
      <c r="A3780" s="6" t="n">
        <v>37588</v>
      </c>
      <c r="B3780" s="6" t="inlineStr">
        <is>
          <t>RAIN VODKA</t>
        </is>
      </c>
      <c r="C3780" s="7">
        <f>VLOOKUP(A3780,SizeData!A$2:B$3839,2,FALSE)</f>
        <v/>
      </c>
      <c r="D3780" s="6" t="n">
        <v>1</v>
      </c>
      <c r="E3780" s="6" t="inlineStr">
        <is>
          <t>R1472921</t>
        </is>
      </c>
      <c r="F3780" s="67" t="n">
        <v>44613</v>
      </c>
      <c r="G3780" s="68" t="n"/>
    </row>
    <row r="3781">
      <c r="A3781" s="6" t="n">
        <v>37588</v>
      </c>
      <c r="B3781" s="6" t="inlineStr">
        <is>
          <t>RAIN VODKA</t>
        </is>
      </c>
      <c r="C3781" s="7">
        <f>VLOOKUP(A3781,SizeData!A$2:B$3839,2,FALSE)</f>
        <v/>
      </c>
      <c r="D3781" s="6" t="n">
        <v>2</v>
      </c>
      <c r="E3781" s="6" t="inlineStr">
        <is>
          <t>R1497382</t>
        </is>
      </c>
      <c r="F3781" s="67" t="n">
        <v>44627</v>
      </c>
      <c r="G3781" s="68" t="n"/>
    </row>
    <row r="3782">
      <c r="A3782" s="6" t="n">
        <v>37588</v>
      </c>
      <c r="B3782" s="6" t="inlineStr">
        <is>
          <t>RAIN VODKA</t>
        </is>
      </c>
      <c r="C3782" s="7">
        <f>VLOOKUP(A3782,SizeData!A$2:B$3839,2,FALSE)</f>
        <v/>
      </c>
      <c r="D3782" s="6" t="n">
        <v>2</v>
      </c>
      <c r="E3782" s="6" t="inlineStr">
        <is>
          <t>R1567269</t>
        </is>
      </c>
      <c r="F3782" s="67" t="n">
        <v>44667</v>
      </c>
      <c r="G3782" s="68" t="n"/>
    </row>
    <row r="3783">
      <c r="A3783" s="6" t="n">
        <v>37588</v>
      </c>
      <c r="B3783" s="6" t="inlineStr">
        <is>
          <t>RAIN VODKA</t>
        </is>
      </c>
      <c r="C3783" s="7">
        <f>VLOOKUP(A3783,SizeData!A$2:B$3839,2,FALSE)</f>
        <v/>
      </c>
      <c r="D3783" s="6" t="n">
        <v>1</v>
      </c>
      <c r="E3783" s="6" t="inlineStr">
        <is>
          <t>R1584253</t>
        </is>
      </c>
      <c r="F3783" s="67" t="n">
        <v>44682</v>
      </c>
      <c r="G3783" s="68" t="n"/>
    </row>
    <row r="3784">
      <c r="A3784" s="6" t="n">
        <v>37588</v>
      </c>
      <c r="B3784" s="6" t="inlineStr">
        <is>
          <t>RAIN VODKA</t>
        </is>
      </c>
      <c r="C3784" s="7">
        <f>VLOOKUP(A3784,SizeData!A$2:B$3839,2,FALSE)</f>
        <v/>
      </c>
      <c r="D3784" s="6" t="n">
        <v>1</v>
      </c>
      <c r="E3784" s="6" t="inlineStr">
        <is>
          <t>R1596033</t>
        </is>
      </c>
      <c r="F3784" s="67" t="n">
        <v>44683</v>
      </c>
      <c r="G3784" s="68" t="n"/>
    </row>
    <row r="3785">
      <c r="A3785" s="6" t="n">
        <v>37588</v>
      </c>
      <c r="B3785" s="6" t="inlineStr">
        <is>
          <t>RAIN VODKA</t>
        </is>
      </c>
      <c r="C3785" s="7">
        <f>VLOOKUP(A3785,SizeData!A$2:B$3839,2,FALSE)</f>
        <v/>
      </c>
      <c r="D3785" s="6" t="n">
        <v>2</v>
      </c>
      <c r="E3785" s="6" t="inlineStr">
        <is>
          <t>R1597736</t>
        </is>
      </c>
      <c r="F3785" s="67" t="n">
        <v>44686</v>
      </c>
      <c r="G3785" s="68" t="n"/>
    </row>
    <row r="3786">
      <c r="A3786" s="6" t="n">
        <v>37588</v>
      </c>
      <c r="B3786" s="6" t="inlineStr">
        <is>
          <t>RAIN VODKA</t>
        </is>
      </c>
      <c r="C3786" s="7">
        <f>VLOOKUP(A3786,SizeData!A$2:B$3839,2,FALSE)</f>
        <v/>
      </c>
      <c r="D3786" s="6" t="n">
        <v>5</v>
      </c>
      <c r="E3786" s="6" t="inlineStr">
        <is>
          <t>R1622199</t>
        </is>
      </c>
      <c r="F3786" s="67" t="n">
        <v>44707</v>
      </c>
      <c r="G3786" s="68" t="n"/>
    </row>
    <row r="3787">
      <c r="A3787" s="26" t="n">
        <v>37588</v>
      </c>
      <c r="B3787" s="26" t="inlineStr">
        <is>
          <t>RAIN VODKA</t>
        </is>
      </c>
      <c r="C3787" s="75">
        <f>VLOOKUP(A3787,SizeData!A$2:B$3839,2,FALSE)</f>
        <v/>
      </c>
      <c r="D3787" s="26" t="n">
        <v>5</v>
      </c>
      <c r="E3787" s="26" t="inlineStr">
        <is>
          <t>R1866301</t>
        </is>
      </c>
      <c r="F3787" s="72" t="n">
        <v>44873</v>
      </c>
      <c r="G3787" s="73" t="n"/>
    </row>
    <row r="3788">
      <c r="A3788" s="6" t="n">
        <v>37588</v>
      </c>
      <c r="B3788" s="6" t="inlineStr">
        <is>
          <t>RAIN VODKA</t>
        </is>
      </c>
      <c r="C3788" s="7">
        <f>VLOOKUP(A3788,SizeData!A$2:B$3839,2,FALSE)</f>
        <v/>
      </c>
      <c r="D3788" s="6" t="n">
        <v>5</v>
      </c>
      <c r="E3788" s="6" t="inlineStr">
        <is>
          <t>R1873845</t>
        </is>
      </c>
      <c r="F3788" s="67" t="n">
        <v>44888</v>
      </c>
      <c r="G3788" s="68" t="n"/>
    </row>
    <row r="3789">
      <c r="A3789" s="6" t="n">
        <v>892843</v>
      </c>
      <c r="B3789" s="6" t="inlineStr">
        <is>
          <t>RANCHO LA GLORIA BLUEBERRY MARGARITA</t>
        </is>
      </c>
      <c r="C3789" s="7">
        <f>VLOOKUP(A3789,SizeData!A$2:B$3839,2,FALSE)</f>
        <v/>
      </c>
      <c r="D3789" s="6" t="n">
        <v>9</v>
      </c>
      <c r="E3789" s="6" t="inlineStr">
        <is>
          <t>R1775209</t>
        </is>
      </c>
      <c r="F3789" s="67" t="n">
        <v>44812</v>
      </c>
      <c r="G3789" s="68" t="n"/>
    </row>
    <row r="3790">
      <c r="A3790" s="6" t="n">
        <v>892843</v>
      </c>
      <c r="B3790" s="6" t="inlineStr">
        <is>
          <t>RANCHO LA GLORIA BLUEBERRY MARGARITA</t>
        </is>
      </c>
      <c r="C3790" s="7">
        <f>VLOOKUP(A3790,SizeData!A$2:B$3839,2,FALSE)</f>
        <v/>
      </c>
      <c r="D3790" s="6" t="n">
        <v>6</v>
      </c>
      <c r="E3790" s="6" t="inlineStr">
        <is>
          <t>R1804625</t>
        </is>
      </c>
      <c r="F3790" s="67" t="n">
        <v>44846</v>
      </c>
      <c r="G3790" s="68" t="n"/>
    </row>
    <row r="3791">
      <c r="A3791" s="6" t="n">
        <v>892843</v>
      </c>
      <c r="B3791" s="6" t="inlineStr">
        <is>
          <t>RANCHO LA GLORIA BLUEBERRY MARGARITA</t>
        </is>
      </c>
      <c r="C3791" s="7">
        <f>VLOOKUP(A3791,SizeData!A$2:B$3839,2,FALSE)</f>
        <v/>
      </c>
      <c r="D3791" s="6" t="n">
        <v>2</v>
      </c>
      <c r="E3791" s="6" t="inlineStr">
        <is>
          <t>R1823347</t>
        </is>
      </c>
      <c r="F3791" s="67" t="n">
        <v>44853</v>
      </c>
      <c r="G3791" s="68" t="n"/>
    </row>
    <row r="3792">
      <c r="A3792" s="6" t="n">
        <v>892843</v>
      </c>
      <c r="B3792" s="6" t="inlineStr">
        <is>
          <t>RANCHO LA GLORIA BLUEBERRY MARGARITA</t>
        </is>
      </c>
      <c r="C3792" s="7">
        <f>VLOOKUP(A3792,SizeData!A$2:B$3839,2,FALSE)</f>
        <v/>
      </c>
      <c r="D3792" s="6" t="n">
        <v>1</v>
      </c>
      <c r="E3792" s="6" t="inlineStr">
        <is>
          <t>R1905562</t>
        </is>
      </c>
      <c r="F3792" s="67" t="n">
        <v>44902</v>
      </c>
      <c r="G3792" s="68" t="n"/>
    </row>
    <row r="3793">
      <c r="A3793" s="6" t="n">
        <v>892844</v>
      </c>
      <c r="B3793" s="6" t="inlineStr">
        <is>
          <t>RANCHO LA GLORIA BLUEBERRY MARGARITA</t>
        </is>
      </c>
      <c r="C3793" s="7" t="inlineStr">
        <is>
          <t>750ml</t>
        </is>
      </c>
      <c r="D3793" s="6" t="n">
        <v>2</v>
      </c>
      <c r="E3793" s="6" t="inlineStr">
        <is>
          <t>R1852440</t>
        </is>
      </c>
      <c r="F3793" s="67" t="n">
        <v>44867</v>
      </c>
      <c r="G3793" s="68" t="n"/>
    </row>
    <row r="3794">
      <c r="A3794" s="6" t="n">
        <v>892850</v>
      </c>
      <c r="B3794" s="6" t="inlineStr">
        <is>
          <t>RANCHO LA GLORIA MARGARITA WINE COCKTAIL 12-750ML</t>
        </is>
      </c>
      <c r="C3794" s="7">
        <f>VLOOKUP(A3794,SizeData!A$2:B$3839,2,FALSE)</f>
        <v/>
      </c>
      <c r="D3794" s="6" t="n">
        <v>1</v>
      </c>
      <c r="E3794" s="6" t="inlineStr">
        <is>
          <t>R1418605</t>
        </is>
      </c>
      <c r="F3794" s="67" t="n">
        <v>44576</v>
      </c>
      <c r="G3794" s="68" t="n"/>
    </row>
    <row r="3795">
      <c r="A3795" s="6" t="n">
        <v>892850</v>
      </c>
      <c r="B3795" s="6" t="inlineStr">
        <is>
          <t>RANCHO LA GLORIA MARGARITA WINE COCKTAIL 12-750ML</t>
        </is>
      </c>
      <c r="C3795" s="7">
        <f>VLOOKUP(A3795,SizeData!A$2:B$3839,2,FALSE)</f>
        <v/>
      </c>
      <c r="D3795" s="6" t="n">
        <v>1</v>
      </c>
      <c r="E3795" s="6" t="inlineStr">
        <is>
          <t>R1478101</t>
        </is>
      </c>
      <c r="F3795" s="67" t="n">
        <v>44610</v>
      </c>
      <c r="G3795" s="68" t="n"/>
    </row>
    <row r="3796">
      <c r="A3796" s="6" t="n">
        <v>892850</v>
      </c>
      <c r="B3796" s="6" t="inlineStr">
        <is>
          <t>RANCHO LA GLORIA MARGARITA WINE COCKTAIL 12-750ML</t>
        </is>
      </c>
      <c r="C3796" s="7">
        <f>VLOOKUP(A3796,SizeData!A$2:B$3839,2,FALSE)</f>
        <v/>
      </c>
      <c r="D3796" s="6" t="n">
        <v>1</v>
      </c>
      <c r="E3796" s="6" t="inlineStr">
        <is>
          <t>R1531250</t>
        </is>
      </c>
      <c r="F3796" s="67" t="n">
        <v>44639</v>
      </c>
      <c r="G3796" s="68" t="n"/>
    </row>
    <row r="3797">
      <c r="A3797" s="6" t="n">
        <v>892850</v>
      </c>
      <c r="B3797" s="6" t="inlineStr">
        <is>
          <t>RANCHO LA GLORIA MARGARITA WINE COCKTAIL 12-750ML</t>
        </is>
      </c>
      <c r="C3797" s="7">
        <f>VLOOKUP(A3797,SizeData!A$2:B$3839,2,FALSE)</f>
        <v/>
      </c>
      <c r="D3797" s="6" t="n">
        <v>2</v>
      </c>
      <c r="E3797" s="6" t="inlineStr">
        <is>
          <t>R1569610</t>
        </is>
      </c>
      <c r="F3797" s="67" t="n">
        <v>44669</v>
      </c>
      <c r="G3797" s="68" t="n"/>
    </row>
    <row r="3798">
      <c r="A3798" s="31" t="n">
        <v>892850</v>
      </c>
      <c r="B3798" s="31" t="inlineStr">
        <is>
          <t>RANCHO LA GLORIA MARGARITA WINE COCKTAIL 12-750ML</t>
        </is>
      </c>
      <c r="C3798" s="7">
        <f>VLOOKUP(A3798,SizeData!A$2:B$3839,2,FALSE)</f>
        <v/>
      </c>
      <c r="D3798" s="31" t="n">
        <v>1</v>
      </c>
      <c r="E3798" s="31" t="inlineStr">
        <is>
          <t>R1662835</t>
        </is>
      </c>
      <c r="F3798" s="82" t="n">
        <v>44740</v>
      </c>
      <c r="G3798" s="83" t="n"/>
    </row>
    <row r="3799">
      <c r="A3799" s="6" t="n">
        <v>892850</v>
      </c>
      <c r="B3799" s="6" t="inlineStr">
        <is>
          <t>RANCHO LA GLORIA MARGARITA WINE COCKTAIL 12-750ML</t>
        </is>
      </c>
      <c r="C3799" s="7">
        <f>VLOOKUP(A3799,SizeData!A$2:B$3839,2,FALSE)</f>
        <v/>
      </c>
      <c r="D3799" s="6" t="n">
        <v>1</v>
      </c>
      <c r="E3799" s="6" t="inlineStr">
        <is>
          <t>R1698359</t>
        </is>
      </c>
      <c r="F3799" s="67" t="n">
        <v>44765</v>
      </c>
      <c r="G3799" s="68" t="n"/>
    </row>
    <row r="3800">
      <c r="A3800" s="6" t="n">
        <v>892850</v>
      </c>
      <c r="B3800" s="6" t="inlineStr">
        <is>
          <t>RANCHO LA GLORIA MARGARITA WINE COCKTAIL 12-750ML</t>
        </is>
      </c>
      <c r="C3800" s="7">
        <f>VLOOKUP(A3800,SizeData!A$2:B$3839,2,FALSE)</f>
        <v/>
      </c>
      <c r="D3800" s="6" t="n">
        <v>1</v>
      </c>
      <c r="E3800" s="6" t="inlineStr">
        <is>
          <t>R1760203</t>
        </is>
      </c>
      <c r="F3800" s="67" t="n">
        <v>44791</v>
      </c>
      <c r="G3800" s="68" t="n"/>
    </row>
    <row r="3801">
      <c r="A3801" s="6" t="n">
        <v>892850</v>
      </c>
      <c r="B3801" s="6" t="inlineStr">
        <is>
          <t>RANCHO LA GLORIA MARGARITA WINE COCKTAIL 12-750ML</t>
        </is>
      </c>
      <c r="C3801" s="7">
        <f>VLOOKUP(A3801,SizeData!A$2:B$3839,2,FALSE)</f>
        <v/>
      </c>
      <c r="D3801" s="6" t="n">
        <v>1</v>
      </c>
      <c r="E3801" s="6" t="inlineStr">
        <is>
          <t>R1747641</t>
        </is>
      </c>
      <c r="F3801" s="67" t="n">
        <v>44800</v>
      </c>
      <c r="G3801" s="68" t="n"/>
    </row>
    <row r="3802">
      <c r="A3802" s="26" t="n">
        <v>892850</v>
      </c>
      <c r="B3802" s="26" t="inlineStr">
        <is>
          <t>RANCHO LA GLORIA MARGARITA WINE COCKTAIL 12-750ML</t>
        </is>
      </c>
      <c r="C3802" s="7">
        <f>VLOOKUP(A3802,SizeData!A$2:B$3839,2,FALSE)</f>
        <v/>
      </c>
      <c r="D3802" s="26" t="n">
        <v>1</v>
      </c>
      <c r="E3802" s="26" t="inlineStr">
        <is>
          <t>R1764571</t>
        </is>
      </c>
      <c r="F3802" s="72" t="n">
        <v>44824</v>
      </c>
      <c r="G3802" s="68" t="n"/>
    </row>
    <row r="3803">
      <c r="A3803" s="6" t="n">
        <v>892850</v>
      </c>
      <c r="B3803" s="6" t="inlineStr">
        <is>
          <t>RANCHO LA GLORIA MARGARITA WINE COCKTAIL 12-750ML</t>
        </is>
      </c>
      <c r="C3803" s="7">
        <f>VLOOKUP(A3803,SizeData!A$2:B$3839,2,FALSE)</f>
        <v/>
      </c>
      <c r="D3803" s="6" t="n">
        <v>2</v>
      </c>
      <c r="E3803" s="6" t="inlineStr">
        <is>
          <t>R1798963</t>
        </is>
      </c>
      <c r="F3803" s="67" t="n">
        <v>44844</v>
      </c>
      <c r="G3803" s="68" t="n"/>
    </row>
    <row r="3804">
      <c r="A3804" s="6" t="n">
        <v>892854</v>
      </c>
      <c r="B3804" s="6" t="inlineStr">
        <is>
          <t>RANCHO LA GLORIA PEACH MARGARITA WINE COCKTAIL</t>
        </is>
      </c>
      <c r="C3804" s="7">
        <f>VLOOKUP(A3804,SizeData!A$2:B$3839,2,FALSE)</f>
        <v/>
      </c>
      <c r="D3804" s="6" t="n">
        <v>4</v>
      </c>
      <c r="E3804" s="6" t="inlineStr">
        <is>
          <t>R1478101</t>
        </is>
      </c>
      <c r="F3804" s="67" t="n">
        <v>44610</v>
      </c>
      <c r="G3804" s="68" t="n"/>
    </row>
    <row r="3805">
      <c r="A3805" s="6" t="n">
        <v>892854</v>
      </c>
      <c r="B3805" s="6" t="inlineStr">
        <is>
          <t>RANCHO LA GLORIA PEACH MARGARITA WINE COCKTAIL</t>
        </is>
      </c>
      <c r="C3805" s="7">
        <f>VLOOKUP(A3805,SizeData!A$2:B$3839,2,FALSE)</f>
        <v/>
      </c>
      <c r="D3805" s="6" t="n">
        <v>1</v>
      </c>
      <c r="E3805" s="6" t="inlineStr">
        <is>
          <t>R1569610</t>
        </is>
      </c>
      <c r="F3805" s="67" t="n">
        <v>44669</v>
      </c>
      <c r="G3805" s="68" t="n"/>
    </row>
    <row r="3806">
      <c r="A3806" s="26" t="n">
        <v>892854</v>
      </c>
      <c r="B3806" s="26" t="inlineStr">
        <is>
          <t>RANCHO LA GLORIA PEACH MARGARITA WINE COCKTAIL</t>
        </is>
      </c>
      <c r="C3806" s="7">
        <f>VLOOKUP(A3806,SizeData!A$2:B$3839,2,FALSE)</f>
        <v/>
      </c>
      <c r="D3806" s="26" t="n">
        <v>2</v>
      </c>
      <c r="E3806" s="26" t="inlineStr">
        <is>
          <t>R1760922</t>
        </is>
      </c>
      <c r="F3806" s="72" t="n">
        <v>44805</v>
      </c>
      <c r="G3806" s="73" t="n"/>
    </row>
    <row r="3807">
      <c r="A3807" s="6" t="n">
        <v>892854</v>
      </c>
      <c r="B3807" s="6" t="inlineStr">
        <is>
          <t>RANCHO LA GLORIA PEACH MARGARITA WINE COCKTAIL</t>
        </is>
      </c>
      <c r="C3807" s="7">
        <f>VLOOKUP(A3807,SizeData!A$2:B$3839,2,FALSE)</f>
        <v/>
      </c>
      <c r="D3807" s="6" t="n">
        <v>1</v>
      </c>
      <c r="E3807" s="6" t="inlineStr">
        <is>
          <t>R1835862</t>
        </is>
      </c>
      <c r="F3807" s="67" t="n">
        <v>44856</v>
      </c>
      <c r="G3807" s="68" t="n"/>
    </row>
    <row r="3808">
      <c r="A3808" s="6" t="n">
        <v>892847</v>
      </c>
      <c r="B3808" s="6" t="inlineStr">
        <is>
          <t>RANCHO LA GLORIA PINK LEMONADE MARGARITA</t>
        </is>
      </c>
      <c r="C3808" s="7">
        <f>VLOOKUP(A3808,SizeData!A$2:B$3839,2,FALSE)</f>
        <v/>
      </c>
      <c r="D3808" s="6" t="n">
        <v>2</v>
      </c>
      <c r="E3808" s="6" t="inlineStr">
        <is>
          <t>R1746324</t>
        </is>
      </c>
      <c r="F3808" s="67" t="n">
        <v>44796</v>
      </c>
      <c r="G3808" s="68" t="n"/>
    </row>
    <row r="3809">
      <c r="A3809" s="6" t="n">
        <v>892847</v>
      </c>
      <c r="B3809" s="6" t="inlineStr">
        <is>
          <t>RANCHO LA GLORIA PINK LEMONADE MARGARITA</t>
        </is>
      </c>
      <c r="C3809" s="7">
        <f>VLOOKUP(A3809,SizeData!A$2:B$3839,2,FALSE)</f>
        <v/>
      </c>
      <c r="D3809" s="6" t="n">
        <v>2</v>
      </c>
      <c r="E3809" s="6" t="inlineStr">
        <is>
          <t>R1798963</t>
        </is>
      </c>
      <c r="F3809" s="67" t="n">
        <v>44844</v>
      </c>
      <c r="G3809" s="68" t="n"/>
    </row>
    <row r="3810">
      <c r="A3810" s="6" t="n">
        <v>892847</v>
      </c>
      <c r="B3810" s="6" t="inlineStr">
        <is>
          <t>RANCHO LA GLORIA PINK LEMONADE MARGARITA</t>
        </is>
      </c>
      <c r="C3810" s="7">
        <f>VLOOKUP(A3810,SizeData!A$2:B$3839,2,FALSE)</f>
        <v/>
      </c>
      <c r="D3810" s="6" t="n">
        <v>1</v>
      </c>
      <c r="E3810" s="6" t="inlineStr">
        <is>
          <t>R1835862</t>
        </is>
      </c>
      <c r="F3810" s="67" t="n">
        <v>44856</v>
      </c>
      <c r="G3810" s="68" t="n"/>
    </row>
    <row r="3811">
      <c r="A3811" s="6" t="n">
        <v>892847</v>
      </c>
      <c r="B3811" s="6" t="inlineStr">
        <is>
          <t>RANCHO LA GLORIA PINK LEMONADE MARGARITA</t>
        </is>
      </c>
      <c r="C3811" s="7">
        <f>VLOOKUP(A3811,SizeData!A$2:B$3839,2,FALSE)</f>
        <v/>
      </c>
      <c r="D3811" s="6" t="n">
        <v>2</v>
      </c>
      <c r="E3811" s="6" t="inlineStr">
        <is>
          <t>R1852440</t>
        </is>
      </c>
      <c r="F3811" s="67" t="n">
        <v>44867</v>
      </c>
      <c r="G3811" s="68" t="n"/>
    </row>
    <row r="3812">
      <c r="A3812" s="6" t="n">
        <v>892847</v>
      </c>
      <c r="B3812" s="6" t="inlineStr">
        <is>
          <t>RANCHO LA GLORIA PINK LEMONADE MARGARITA</t>
        </is>
      </c>
      <c r="C3812" s="7">
        <f>VLOOKUP(A3812,SizeData!A$2:B$3839,2,FALSE)</f>
        <v/>
      </c>
      <c r="D3812" s="6" t="n">
        <v>2</v>
      </c>
      <c r="E3812" s="6" t="inlineStr">
        <is>
          <t>R1866529</t>
        </is>
      </c>
      <c r="F3812" s="67" t="n">
        <v>44876</v>
      </c>
      <c r="G3812" s="68" t="n"/>
    </row>
    <row r="3813">
      <c r="A3813" s="6" t="n">
        <v>892852</v>
      </c>
      <c r="B3813" s="6" t="inlineStr">
        <is>
          <t>RANCHO LA GLORIA STRAWBERRY MARG</t>
        </is>
      </c>
      <c r="C3813" s="7">
        <f>VLOOKUP(A3813,SizeData!A$2:B$3839,2,FALSE)</f>
        <v/>
      </c>
      <c r="D3813" s="6" t="n">
        <v>1</v>
      </c>
      <c r="E3813" s="6" t="inlineStr">
        <is>
          <t>R1467109</t>
        </is>
      </c>
      <c r="F3813" s="67" t="n">
        <v>44604</v>
      </c>
      <c r="G3813" s="68" t="n"/>
    </row>
    <row r="3814">
      <c r="A3814" s="6" t="n">
        <v>892852</v>
      </c>
      <c r="B3814" s="6" t="inlineStr">
        <is>
          <t>RANCHO LA GLORIA STRAWBERRY MARG</t>
        </is>
      </c>
      <c r="C3814" s="7">
        <f>VLOOKUP(A3814,SizeData!A$2:B$3839,2,FALSE)</f>
        <v/>
      </c>
      <c r="D3814" s="6" t="n">
        <v>1</v>
      </c>
      <c r="E3814" s="6" t="inlineStr">
        <is>
          <t>R1470632</t>
        </is>
      </c>
      <c r="F3814" s="67" t="n">
        <v>44605</v>
      </c>
      <c r="G3814" s="68" t="n"/>
    </row>
    <row r="3815">
      <c r="A3815" s="6" t="n">
        <v>892852</v>
      </c>
      <c r="B3815" s="6" t="inlineStr">
        <is>
          <t>RANCHO LA GLORIA STRAWBERRY MARG</t>
        </is>
      </c>
      <c r="C3815" s="7">
        <f>VLOOKUP(A3815,SizeData!A$2:B$3839,2,FALSE)</f>
        <v/>
      </c>
      <c r="D3815" s="6" t="n">
        <v>2</v>
      </c>
      <c r="E3815" s="6" t="inlineStr">
        <is>
          <t>R1472811</t>
        </is>
      </c>
      <c r="F3815" s="67" t="n">
        <v>44609</v>
      </c>
      <c r="G3815" s="68" t="n"/>
    </row>
    <row r="3816">
      <c r="A3816" s="6" t="n">
        <v>892852</v>
      </c>
      <c r="B3816" s="6" t="inlineStr">
        <is>
          <t>RANCHO LA GLORIA STRAWBERRY MARG</t>
        </is>
      </c>
      <c r="C3816" s="7">
        <f>VLOOKUP(A3816,SizeData!A$2:B$3839,2,FALSE)</f>
        <v/>
      </c>
      <c r="D3816" s="6" t="n">
        <v>2</v>
      </c>
      <c r="E3816" s="6" t="inlineStr">
        <is>
          <t>R1503957</t>
        </is>
      </c>
      <c r="F3816" s="67" t="n">
        <v>44636</v>
      </c>
      <c r="G3816" s="68" t="n"/>
    </row>
    <row r="3817">
      <c r="A3817" s="6" t="n">
        <v>892852</v>
      </c>
      <c r="B3817" s="6" t="inlineStr">
        <is>
          <t>RANCHO LA GLORIA STRAWBERRY MARG</t>
        </is>
      </c>
      <c r="C3817" s="7">
        <f>VLOOKUP(A3817,SizeData!A$2:B$3839,2,FALSE)</f>
        <v/>
      </c>
      <c r="D3817" s="6" t="n">
        <v>1</v>
      </c>
      <c r="E3817" s="6" t="inlineStr">
        <is>
          <t>R1531250</t>
        </is>
      </c>
      <c r="F3817" s="67" t="n">
        <v>44639</v>
      </c>
      <c r="G3817" s="68" t="n"/>
    </row>
    <row r="3818">
      <c r="A3818" s="6" t="n">
        <v>892852</v>
      </c>
      <c r="B3818" s="6" t="inlineStr">
        <is>
          <t>RANCHO LA GLORIA STRAWBERRY MARG</t>
        </is>
      </c>
      <c r="C3818" s="7">
        <f>VLOOKUP(A3818,SizeData!A$2:B$3839,2,FALSE)</f>
        <v/>
      </c>
      <c r="D3818" s="6" t="n">
        <v>2</v>
      </c>
      <c r="E3818" s="6" t="inlineStr">
        <is>
          <t>R1564505</t>
        </is>
      </c>
      <c r="F3818" s="67" t="n">
        <v>44665</v>
      </c>
      <c r="G3818" s="68" t="n"/>
    </row>
    <row r="3819">
      <c r="A3819" s="6" t="n">
        <v>892852</v>
      </c>
      <c r="B3819" s="6" t="inlineStr">
        <is>
          <t>RANCHO LA GLORIA STRAWBERRY MARG</t>
        </is>
      </c>
      <c r="C3819" s="7">
        <f>VLOOKUP(A3819,SizeData!A$2:B$3839,2,FALSE)</f>
        <v/>
      </c>
      <c r="D3819" s="6" t="n">
        <v>1</v>
      </c>
      <c r="E3819" s="6" t="inlineStr">
        <is>
          <t>R1569610</t>
        </is>
      </c>
      <c r="F3819" s="67" t="n">
        <v>44669</v>
      </c>
      <c r="G3819" s="68" t="n"/>
    </row>
    <row r="3820">
      <c r="A3820" s="6" t="n">
        <v>892852</v>
      </c>
      <c r="B3820" s="6" t="inlineStr">
        <is>
          <t>RANCHO LA GLORIA STRAWBERRY MARG</t>
        </is>
      </c>
      <c r="C3820" s="7">
        <f>VLOOKUP(A3820,SizeData!A$2:B$3839,2,FALSE)</f>
        <v/>
      </c>
      <c r="D3820" s="6" t="n">
        <v>2</v>
      </c>
      <c r="E3820" s="6" t="inlineStr">
        <is>
          <t>R1620841</t>
        </is>
      </c>
      <c r="F3820" s="67" t="n">
        <v>44699</v>
      </c>
      <c r="G3820" s="68" t="n"/>
    </row>
    <row r="3821">
      <c r="A3821" s="6" t="n">
        <v>892852</v>
      </c>
      <c r="B3821" s="6" t="inlineStr">
        <is>
          <t>RANCHO LA GLORIA STRAWBERRY MARG</t>
        </is>
      </c>
      <c r="C3821" s="7">
        <f>VLOOKUP(A3821,SizeData!A$2:B$3839,2,FALSE)</f>
        <v/>
      </c>
      <c r="D3821" s="6" t="n">
        <v>1</v>
      </c>
      <c r="E3821" s="6" t="inlineStr">
        <is>
          <t>R1660776</t>
        </is>
      </c>
      <c r="F3821" s="67" t="n">
        <v>44733</v>
      </c>
      <c r="G3821" s="68" t="n"/>
    </row>
    <row r="3822">
      <c r="A3822" s="31" t="n">
        <v>892852</v>
      </c>
      <c r="B3822" s="31" t="inlineStr">
        <is>
          <t>RANCHO LA GLORIA STRAWBERRY MARG</t>
        </is>
      </c>
      <c r="C3822" s="7">
        <f>VLOOKUP(A3822,SizeData!A$2:B$3839,2,FALSE)</f>
        <v/>
      </c>
      <c r="D3822" s="31" t="n">
        <v>2</v>
      </c>
      <c r="E3822" s="31" t="inlineStr">
        <is>
          <t>R1662835</t>
        </is>
      </c>
      <c r="F3822" s="82" t="n">
        <v>44740</v>
      </c>
      <c r="G3822" s="83" t="n"/>
    </row>
    <row r="3823">
      <c r="A3823" s="6" t="n">
        <v>892852</v>
      </c>
      <c r="B3823" s="6" t="inlineStr">
        <is>
          <t>RANCHO LA GLORIA STRAWBERRY MARG</t>
        </is>
      </c>
      <c r="C3823" s="7">
        <f>VLOOKUP(A3823,SizeData!A$2:B$3839,2,FALSE)</f>
        <v/>
      </c>
      <c r="D3823" s="6" t="n">
        <v>2</v>
      </c>
      <c r="E3823" s="6" t="inlineStr">
        <is>
          <t>R1725227</t>
        </is>
      </c>
      <c r="F3823" s="67" t="n">
        <v>44779</v>
      </c>
      <c r="G3823" s="68" t="n"/>
    </row>
    <row r="3824">
      <c r="A3824" s="6" t="n">
        <v>892852</v>
      </c>
      <c r="B3824" s="6" t="inlineStr">
        <is>
          <t>RANCHO LA GLORIA STRAWBERRY MARG</t>
        </is>
      </c>
      <c r="C3824" s="7">
        <f>VLOOKUP(A3824,SizeData!A$2:B$3839,2,FALSE)</f>
        <v/>
      </c>
      <c r="D3824" s="6" t="n">
        <v>2</v>
      </c>
      <c r="E3824" s="6" t="inlineStr">
        <is>
          <t>R1747641</t>
        </is>
      </c>
      <c r="F3824" s="67" t="n">
        <v>44800</v>
      </c>
      <c r="G3824" s="68" t="n"/>
    </row>
    <row r="3825">
      <c r="A3825" s="6" t="n">
        <v>892852</v>
      </c>
      <c r="B3825" s="6" t="inlineStr">
        <is>
          <t>RANCHO LA GLORIA STRAWBERRY MARG</t>
        </is>
      </c>
      <c r="C3825" s="7">
        <f>VLOOKUP(A3825,SizeData!A$2:B$3839,2,FALSE)</f>
        <v/>
      </c>
      <c r="D3825" s="6" t="n">
        <v>2</v>
      </c>
      <c r="E3825" s="6" t="inlineStr">
        <is>
          <t>R1767069</t>
        </is>
      </c>
      <c r="F3825" s="67" t="n">
        <v>44814</v>
      </c>
      <c r="G3825" s="68" t="n"/>
    </row>
    <row r="3826">
      <c r="A3826" s="6" t="n">
        <v>892852</v>
      </c>
      <c r="B3826" s="6" t="inlineStr">
        <is>
          <t>RANCHO LA GLORIA STRAWBERRY MARG</t>
        </is>
      </c>
      <c r="C3826" s="7">
        <f>VLOOKUP(A3826,SizeData!A$2:B$3839,2,FALSE)</f>
        <v/>
      </c>
      <c r="D3826" s="6" t="n">
        <v>1</v>
      </c>
      <c r="E3826" s="6" t="inlineStr">
        <is>
          <t>R1764571</t>
        </is>
      </c>
      <c r="F3826" s="67" t="n">
        <v>44824</v>
      </c>
      <c r="G3826" s="68" t="n"/>
    </row>
    <row r="3827">
      <c r="A3827" s="6" t="n">
        <v>892852</v>
      </c>
      <c r="B3827" s="6" t="inlineStr">
        <is>
          <t>RANCHO LA GLORIA STRAWBERRY MARG</t>
        </is>
      </c>
      <c r="C3827" s="7">
        <f>VLOOKUP(A3827,SizeData!A$2:B$3839,2,FALSE)</f>
        <v/>
      </c>
      <c r="D3827" s="6" t="n">
        <v>1</v>
      </c>
      <c r="E3827" s="6" t="inlineStr">
        <is>
          <t>R1791500</t>
        </is>
      </c>
      <c r="F3827" s="67" t="n">
        <v>44835</v>
      </c>
      <c r="G3827" s="68" t="n"/>
    </row>
    <row r="3828">
      <c r="A3828" s="6" t="n">
        <v>892852</v>
      </c>
      <c r="B3828" s="6" t="inlineStr">
        <is>
          <t>RANCHO LA GLORIA STRAWBERRY MARG</t>
        </is>
      </c>
      <c r="C3828" s="7">
        <f>VLOOKUP(A3828,SizeData!A$2:B$3839,2,FALSE)</f>
        <v/>
      </c>
      <c r="D3828" s="6" t="n">
        <v>2</v>
      </c>
      <c r="E3828" s="6" t="inlineStr">
        <is>
          <t>R1798963</t>
        </is>
      </c>
      <c r="F3828" s="67" t="n">
        <v>44844</v>
      </c>
      <c r="G3828" s="68" t="n"/>
    </row>
    <row r="3829">
      <c r="A3829" s="6" t="n">
        <v>892852</v>
      </c>
      <c r="B3829" s="6" t="inlineStr">
        <is>
          <t>RANCHO LA GLORIA STRAWBERRY MARG</t>
        </is>
      </c>
      <c r="C3829" s="7">
        <f>VLOOKUP(A3829,SizeData!A$2:B$3839,2,FALSE)</f>
        <v/>
      </c>
      <c r="D3829" s="6" t="n">
        <v>1</v>
      </c>
      <c r="E3829" s="6" t="inlineStr">
        <is>
          <t>R1835862</t>
        </is>
      </c>
      <c r="F3829" s="67" t="n">
        <v>44856</v>
      </c>
      <c r="G3829" s="68" t="n"/>
    </row>
    <row r="3830">
      <c r="A3830" s="6" t="n">
        <v>892852</v>
      </c>
      <c r="B3830" s="6" t="inlineStr">
        <is>
          <t>RANCHO LA GLORIA STRAWBERRY MARG</t>
        </is>
      </c>
      <c r="C3830" s="7">
        <f>VLOOKUP(A3830,SizeData!A$2:B$3839,2,FALSE)</f>
        <v/>
      </c>
      <c r="D3830" s="6" t="n">
        <v>1</v>
      </c>
      <c r="E3830" s="6" t="inlineStr">
        <is>
          <t>R1893163</t>
        </is>
      </c>
      <c r="F3830" s="67" t="n">
        <v>44873</v>
      </c>
      <c r="G3830" s="68" t="n"/>
    </row>
    <row r="3831">
      <c r="A3831" s="6" t="n">
        <v>892852</v>
      </c>
      <c r="B3831" s="6" t="inlineStr">
        <is>
          <t>RANCHO LA GLORIA STRAWBERRY MARG</t>
        </is>
      </c>
      <c r="C3831" s="7">
        <f>VLOOKUP(A3831,SizeData!A$2:B$3839,2,FALSE)</f>
        <v/>
      </c>
      <c r="D3831" s="6" t="n">
        <v>2</v>
      </c>
      <c r="E3831" s="6" t="inlineStr">
        <is>
          <t>R1905562</t>
        </is>
      </c>
      <c r="F3831" s="67" t="n">
        <v>44902</v>
      </c>
      <c r="G3831" s="68" t="n"/>
    </row>
    <row r="3832">
      <c r="A3832" s="6" t="n">
        <v>892856</v>
      </c>
      <c r="B3832" s="6" t="inlineStr">
        <is>
          <t>RANCHO LA GLORIA WATERMELON MARG WINE COCKTAIL</t>
        </is>
      </c>
      <c r="C3832" s="7">
        <f>VLOOKUP(A3832,SizeData!A$2:B$3839,2,FALSE)</f>
        <v/>
      </c>
      <c r="D3832" s="6" t="n">
        <v>1</v>
      </c>
      <c r="E3832" s="6" t="inlineStr">
        <is>
          <t>R1467109</t>
        </is>
      </c>
      <c r="F3832" s="67" t="n">
        <v>44604</v>
      </c>
      <c r="G3832" s="68" t="n"/>
    </row>
    <row r="3833">
      <c r="A3833" s="6" t="n">
        <v>892856</v>
      </c>
      <c r="B3833" s="6" t="inlineStr">
        <is>
          <t>RANCHO LA GLORIA WATERMELON MARG WINE COCKTAIL</t>
        </is>
      </c>
      <c r="C3833" s="7">
        <f>VLOOKUP(A3833,SizeData!A$2:B$3839,2,FALSE)</f>
        <v/>
      </c>
      <c r="D3833" s="6" t="n">
        <v>1</v>
      </c>
      <c r="E3833" s="6" t="inlineStr">
        <is>
          <t>R1501158</t>
        </is>
      </c>
      <c r="F3833" s="67" t="n">
        <v>44627</v>
      </c>
      <c r="G3833" s="68" t="n"/>
    </row>
    <row r="3834">
      <c r="A3834" s="6" t="n">
        <v>892856</v>
      </c>
      <c r="B3834" s="6" t="inlineStr">
        <is>
          <t>RANCHO LA GLORIA WATERMELON MARG WINE COCKTAIL</t>
        </is>
      </c>
      <c r="C3834" s="7">
        <f>VLOOKUP(A3834,SizeData!A$2:B$3839,2,FALSE)</f>
        <v/>
      </c>
      <c r="D3834" s="6" t="n">
        <v>3</v>
      </c>
      <c r="E3834" s="6" t="inlineStr">
        <is>
          <t>R1494841</t>
        </is>
      </c>
      <c r="F3834" s="67" t="n">
        <v>44628</v>
      </c>
      <c r="G3834" s="68" t="n"/>
    </row>
    <row r="3835">
      <c r="A3835" s="6" t="n">
        <v>892856</v>
      </c>
      <c r="B3835" s="6" t="inlineStr">
        <is>
          <t>RANCHO LA GLORIA WATERMELON MARG WINE COCKTAIL</t>
        </is>
      </c>
      <c r="C3835" s="7">
        <f>VLOOKUP(A3835,SizeData!A$2:B$3839,2,FALSE)</f>
        <v/>
      </c>
      <c r="D3835" s="6" t="n">
        <v>2</v>
      </c>
      <c r="E3835" s="6" t="inlineStr">
        <is>
          <t>R1568544</t>
        </is>
      </c>
      <c r="F3835" s="67" t="n">
        <v>44669</v>
      </c>
      <c r="G3835" s="68" t="n"/>
    </row>
    <row r="3836">
      <c r="A3836" s="6" t="n">
        <v>892856</v>
      </c>
      <c r="B3836" s="6" t="inlineStr">
        <is>
          <t>RANCHO LA GLORIA WATERMELON MARG WINE COCKTAIL</t>
        </is>
      </c>
      <c r="C3836" s="7">
        <f>VLOOKUP(A3836,SizeData!A$2:B$3839,2,FALSE)</f>
        <v/>
      </c>
      <c r="D3836" s="6" t="n">
        <v>1</v>
      </c>
      <c r="E3836" s="6" t="inlineStr">
        <is>
          <t>R1620841</t>
        </is>
      </c>
      <c r="F3836" s="67" t="n">
        <v>44699</v>
      </c>
      <c r="G3836" s="68" t="n"/>
    </row>
    <row r="3837">
      <c r="A3837" s="6" t="n">
        <v>892856</v>
      </c>
      <c r="B3837" s="6" t="inlineStr">
        <is>
          <t>RANCHO LA GLORIA WATERMELON MARG WINE COCKTAIL</t>
        </is>
      </c>
      <c r="C3837" s="7">
        <f>VLOOKUP(A3837,SizeData!A$2:B$3839,2,FALSE)</f>
        <v/>
      </c>
      <c r="D3837" s="6" t="n">
        <v>2</v>
      </c>
      <c r="E3837" s="6" t="inlineStr">
        <is>
          <t>R1660776</t>
        </is>
      </c>
      <c r="F3837" s="67" t="n">
        <v>44733</v>
      </c>
      <c r="G3837" s="68" t="n"/>
    </row>
    <row r="3838">
      <c r="A3838" s="6" t="n">
        <v>892856</v>
      </c>
      <c r="B3838" s="6" t="inlineStr">
        <is>
          <t>RANCHO LA GLORIA WATERMELON MARG WINE COCKTAIL</t>
        </is>
      </c>
      <c r="C3838" s="7">
        <f>VLOOKUP(A3838,SizeData!A$2:B$3839,2,FALSE)</f>
        <v/>
      </c>
      <c r="D3838" s="6" t="n">
        <v>1</v>
      </c>
      <c r="E3838" s="6" t="inlineStr">
        <is>
          <t>R1690045</t>
        </is>
      </c>
      <c r="F3838" s="67" t="n">
        <v>44753</v>
      </c>
      <c r="G3838" s="68" t="n"/>
    </row>
    <row r="3839">
      <c r="A3839" s="6" t="n">
        <v>892856</v>
      </c>
      <c r="B3839" s="6" t="inlineStr">
        <is>
          <t>RANCHO LA GLORIA WATERMELON MARG WINE COCKTAIL</t>
        </is>
      </c>
      <c r="C3839" s="7">
        <f>VLOOKUP(A3839,SizeData!A$2:B$3839,2,FALSE)</f>
        <v/>
      </c>
      <c r="D3839" s="6" t="n">
        <v>1</v>
      </c>
      <c r="E3839" s="6" t="inlineStr">
        <is>
          <t>R1691195</t>
        </is>
      </c>
      <c r="F3839" s="67" t="n">
        <v>44762</v>
      </c>
      <c r="G3839" s="68" t="n"/>
    </row>
    <row r="3840">
      <c r="A3840" s="6" t="n">
        <v>404115</v>
      </c>
      <c r="B3840" s="6" t="inlineStr">
        <is>
          <t>REAL SANGRIA BY CRUZ GARCIA</t>
        </is>
      </c>
      <c r="C3840" s="7">
        <f>VLOOKUP(A3840,SizeData!A$2:B$3839,2,FALSE)</f>
        <v/>
      </c>
      <c r="D3840" s="6" t="n">
        <v>3</v>
      </c>
      <c r="E3840" s="6" t="inlineStr">
        <is>
          <t>R1457066</t>
        </is>
      </c>
      <c r="F3840" s="67" t="n">
        <v>44602</v>
      </c>
      <c r="G3840" s="68" t="n"/>
    </row>
    <row r="3841">
      <c r="A3841" s="26" t="n">
        <v>21215</v>
      </c>
      <c r="B3841" s="26" t="inlineStr">
        <is>
          <t>REBEL 100</t>
        </is>
      </c>
      <c r="C3841" s="7">
        <f>VLOOKUP(A3841,SizeData!A$2:B$3839,2,FALSE)</f>
        <v/>
      </c>
      <c r="D3841" s="26" t="n">
        <v>1</v>
      </c>
      <c r="E3841" s="26" t="inlineStr">
        <is>
          <t>R1751391</t>
        </is>
      </c>
      <c r="F3841" s="72" t="n">
        <v>44805</v>
      </c>
      <c r="G3841" s="73" t="n"/>
    </row>
    <row r="3842">
      <c r="A3842" s="6" t="n">
        <v>21215</v>
      </c>
      <c r="B3842" s="6" t="inlineStr">
        <is>
          <t>REBEL 100</t>
        </is>
      </c>
      <c r="C3842" s="7">
        <f>VLOOKUP(A3842,SizeData!A$2:B$3839,2,FALSE)</f>
        <v/>
      </c>
      <c r="D3842" s="6" t="n">
        <v>1</v>
      </c>
      <c r="E3842" s="6" t="inlineStr">
        <is>
          <t>R1900430</t>
        </is>
      </c>
      <c r="F3842" s="67" t="n">
        <v>44896</v>
      </c>
      <c r="G3842" s="68" t="n"/>
    </row>
    <row r="3843">
      <c r="A3843" s="6" t="n">
        <v>77599</v>
      </c>
      <c r="B3843" s="6" t="inlineStr">
        <is>
          <t>RED EYE LOUIES VODQUILA</t>
        </is>
      </c>
      <c r="C3843" s="7">
        <f>VLOOKUP(A3843,SizeData!A$2:B$3839,2,FALSE)</f>
        <v/>
      </c>
      <c r="D3843" s="6" t="n">
        <v>1</v>
      </c>
      <c r="E3843" s="6" t="inlineStr">
        <is>
          <t>R1418605</t>
        </is>
      </c>
      <c r="F3843" s="67" t="n">
        <v>44576</v>
      </c>
      <c r="G3843" s="68" t="n"/>
    </row>
    <row r="3844">
      <c r="A3844" s="6" t="n">
        <v>77599</v>
      </c>
      <c r="B3844" s="6" t="inlineStr">
        <is>
          <t>RED EYE LOUIES VODQUILA</t>
        </is>
      </c>
      <c r="C3844" s="7">
        <f>VLOOKUP(A3844,SizeData!A$2:B$3839,2,FALSE)</f>
        <v/>
      </c>
      <c r="D3844" s="6" t="n">
        <v>2</v>
      </c>
      <c r="E3844" s="6" t="inlineStr">
        <is>
          <t>R1547143</t>
        </is>
      </c>
      <c r="F3844" s="67" t="n">
        <v>44655</v>
      </c>
      <c r="G3844" s="68" t="n"/>
    </row>
    <row r="3845">
      <c r="A3845" s="6" t="n">
        <v>77599</v>
      </c>
      <c r="B3845" s="6" t="inlineStr">
        <is>
          <t>RED EYE LOUIES VODQUILA</t>
        </is>
      </c>
      <c r="C3845" s="7">
        <f>VLOOKUP(A3845,SizeData!A$2:B$3839,2,FALSE)</f>
        <v/>
      </c>
      <c r="D3845" s="6" t="n">
        <v>1</v>
      </c>
      <c r="E3845" s="6" t="inlineStr">
        <is>
          <t>R1602016</t>
        </is>
      </c>
      <c r="F3845" s="67" t="n">
        <v>44688</v>
      </c>
      <c r="G3845" s="68" t="n"/>
    </row>
    <row r="3846">
      <c r="A3846" s="6" t="n">
        <v>77599</v>
      </c>
      <c r="B3846" s="6" t="inlineStr">
        <is>
          <t>RED EYE LOUIES VODQUILA</t>
        </is>
      </c>
      <c r="C3846" s="7">
        <f>VLOOKUP(A3846,SizeData!A$2:B$3839,2,FALSE)</f>
        <v/>
      </c>
      <c r="D3846" s="6" t="n">
        <v>2</v>
      </c>
      <c r="E3846" s="6" t="inlineStr">
        <is>
          <t>R1774764</t>
        </is>
      </c>
      <c r="F3846" s="67" t="n">
        <v>44826</v>
      </c>
      <c r="G3846" s="68" t="n"/>
    </row>
    <row r="3847">
      <c r="A3847" s="6" t="n">
        <v>77599</v>
      </c>
      <c r="B3847" s="6" t="inlineStr">
        <is>
          <t>RED EYE LOUIES VODQUILA</t>
        </is>
      </c>
      <c r="C3847" s="7">
        <f>VLOOKUP(A3847,SizeData!A$2:B$3839,2,FALSE)</f>
        <v/>
      </c>
      <c r="D3847" s="6" t="n">
        <v>1</v>
      </c>
      <c r="E3847" s="6" t="inlineStr">
        <is>
          <t>R1866868</t>
        </is>
      </c>
      <c r="F3847" s="67" t="n">
        <v>44882</v>
      </c>
      <c r="G3847" s="68" t="n"/>
    </row>
    <row r="3848">
      <c r="A3848" s="6" t="n">
        <v>66293</v>
      </c>
      <c r="B3848" s="6" t="inlineStr">
        <is>
          <t>REMY MARTIN "V" GRAPE BRANDY</t>
        </is>
      </c>
      <c r="C3848" s="7">
        <f>VLOOKUP(A3848,SizeData!A$2:B$3839,2,FALSE)</f>
        <v/>
      </c>
      <c r="D3848" s="6" t="n">
        <v>5</v>
      </c>
      <c r="E3848" s="6" t="inlineStr">
        <is>
          <t>R1710052</t>
        </is>
      </c>
      <c r="F3848" s="67" t="n">
        <v>44763</v>
      </c>
      <c r="G3848" s="68" t="n"/>
    </row>
    <row r="3849">
      <c r="A3849" s="6" t="n">
        <v>66296</v>
      </c>
      <c r="B3849" s="6" t="inlineStr">
        <is>
          <t>REMY MARTIN "V" GRAPE BRANDY</t>
        </is>
      </c>
      <c r="C3849" s="7">
        <f>VLOOKUP(A3849,SizeData!A$2:B$3839,2,FALSE)</f>
        <v/>
      </c>
      <c r="D3849" s="6" t="n">
        <v>6</v>
      </c>
      <c r="E3849" s="6" t="inlineStr">
        <is>
          <t>R1428930</t>
        </is>
      </c>
      <c r="F3849" s="67" t="n">
        <v>44586</v>
      </c>
      <c r="G3849" s="68" t="n"/>
    </row>
    <row r="3850">
      <c r="A3850" s="6" t="n">
        <v>66296</v>
      </c>
      <c r="B3850" s="6" t="inlineStr">
        <is>
          <t>REMY MARTIN "V" GRAPE BRANDY</t>
        </is>
      </c>
      <c r="C3850" s="7">
        <f>VLOOKUP(A3850,SizeData!A$2:B$3839,2,FALSE)</f>
        <v/>
      </c>
      <c r="D3850" s="6" t="n">
        <v>9</v>
      </c>
      <c r="E3850" s="6" t="inlineStr">
        <is>
          <t>R1710052</t>
        </is>
      </c>
      <c r="F3850" s="67" t="n">
        <v>44763</v>
      </c>
      <c r="G3850" s="68" t="n"/>
    </row>
    <row r="3851">
      <c r="A3851" s="6" t="n">
        <v>49083</v>
      </c>
      <c r="B3851" s="6" t="inlineStr">
        <is>
          <t>REMY MARTIN 1738 ACCORD ROYAL COGNAC</t>
        </is>
      </c>
      <c r="C3851" s="7">
        <f>VLOOKUP(A3851,SizeData!A$2:B$3839,2,FALSE)</f>
        <v/>
      </c>
      <c r="D3851" s="6" t="n">
        <v>10</v>
      </c>
      <c r="E3851" s="6" t="inlineStr">
        <is>
          <t>R1682161</t>
        </is>
      </c>
      <c r="F3851" s="67" t="n">
        <v>44756</v>
      </c>
      <c r="G3851" s="68" t="n"/>
    </row>
    <row r="3852">
      <c r="A3852" s="6" t="n">
        <v>49084</v>
      </c>
      <c r="B3852" s="6" t="inlineStr">
        <is>
          <t>REMY MARTIN 1738 ACCORD ROYAL COGNAC</t>
        </is>
      </c>
      <c r="C3852" s="7">
        <f>VLOOKUP(A3852,SizeData!A$2:B$3839,2,FALSE)</f>
        <v/>
      </c>
      <c r="D3852" s="6" t="n">
        <v>5</v>
      </c>
      <c r="E3852" s="6" t="inlineStr">
        <is>
          <t>R1428428</t>
        </is>
      </c>
      <c r="F3852" s="67" t="n">
        <v>44585</v>
      </c>
      <c r="G3852" s="68" t="n"/>
    </row>
    <row r="3853">
      <c r="A3853" s="6" t="n">
        <v>49084</v>
      </c>
      <c r="B3853" s="6" t="inlineStr">
        <is>
          <t>REMY MARTIN 1738 ACCORD ROYAL COGNAC</t>
        </is>
      </c>
      <c r="C3853" s="7">
        <f>VLOOKUP(A3853,SizeData!A$2:B$3839,2,FALSE)</f>
        <v/>
      </c>
      <c r="D3853" s="6" t="n">
        <v>10</v>
      </c>
      <c r="E3853" s="6" t="inlineStr">
        <is>
          <t>R1601709</t>
        </is>
      </c>
      <c r="F3853" s="67" t="n">
        <v>44685</v>
      </c>
      <c r="G3853" s="68" t="n"/>
    </row>
    <row r="3854">
      <c r="A3854" s="6" t="n">
        <v>49084</v>
      </c>
      <c r="B3854" s="6" t="inlineStr">
        <is>
          <t>REMY MARTIN 1738 ACCORD ROYAL COGNAC</t>
        </is>
      </c>
      <c r="C3854" s="7">
        <f>VLOOKUP(A3854,SizeData!A$2:B$3839,2,FALSE)</f>
        <v/>
      </c>
      <c r="D3854" s="6" t="n">
        <v>10</v>
      </c>
      <c r="E3854" s="6" t="inlineStr">
        <is>
          <t>R1679631</t>
        </is>
      </c>
      <c r="F3854" s="67" t="n">
        <v>44754</v>
      </c>
      <c r="G3854" s="68" t="n"/>
    </row>
    <row r="3855">
      <c r="A3855" s="6" t="n">
        <v>49084</v>
      </c>
      <c r="B3855" s="6" t="inlineStr">
        <is>
          <t>REMY MARTIN 1738 ACCORD ROYAL COGNAC</t>
        </is>
      </c>
      <c r="C3855" s="7">
        <f>VLOOKUP(A3855,SizeData!A$2:B$3839,2,FALSE)</f>
        <v/>
      </c>
      <c r="D3855" s="6" t="n">
        <v>2</v>
      </c>
      <c r="E3855" s="6" t="inlineStr">
        <is>
          <t>R1900430</t>
        </is>
      </c>
      <c r="F3855" s="67" t="n">
        <v>44896</v>
      </c>
      <c r="G3855" s="68" t="n"/>
    </row>
    <row r="3856">
      <c r="A3856" s="26" t="n">
        <v>49084</v>
      </c>
      <c r="B3856" s="26" t="inlineStr">
        <is>
          <t>REMY MARTIN 1738 ACCORD ROYAL COGNAC</t>
        </is>
      </c>
      <c r="C3856" s="75">
        <f>VLOOKUP(A3856,SizeData!A$2:B$3839,2,FALSE)</f>
        <v/>
      </c>
      <c r="D3856" s="26" t="n">
        <v>3</v>
      </c>
      <c r="E3856" s="26" t="inlineStr">
        <is>
          <t>R1888886</t>
        </is>
      </c>
      <c r="F3856" s="72" t="n">
        <v>44902</v>
      </c>
      <c r="G3856" s="73" t="n"/>
    </row>
    <row r="3857">
      <c r="A3857" s="6" t="n">
        <v>49084</v>
      </c>
      <c r="B3857" s="6" t="inlineStr">
        <is>
          <t>REMY MARTIN 1738 ACCORD ROYAL COGNAC</t>
        </is>
      </c>
      <c r="C3857" s="7">
        <f>VLOOKUP(A3857,SizeData!A$2:B$3839,2,FALSE)</f>
        <v/>
      </c>
      <c r="D3857" s="6" t="n">
        <v>1</v>
      </c>
      <c r="E3857" s="6" t="inlineStr">
        <is>
          <t>R1906226</t>
        </is>
      </c>
      <c r="F3857" s="67" t="n">
        <v>44905</v>
      </c>
      <c r="G3857" s="68" t="n"/>
    </row>
    <row r="3858">
      <c r="A3858" s="6" t="n">
        <v>49086</v>
      </c>
      <c r="B3858" s="6" t="inlineStr">
        <is>
          <t>REMY MARTIN 1738 ACCORD ROYAL COGNAC</t>
        </is>
      </c>
      <c r="C3858" s="7">
        <f>VLOOKUP(A3858,SizeData!A$2:B$3839,2,FALSE)</f>
        <v/>
      </c>
      <c r="D3858" s="6" t="n">
        <v>10</v>
      </c>
      <c r="E3858" s="6" t="inlineStr">
        <is>
          <t>R1379995</t>
        </is>
      </c>
      <c r="F3858" s="67" t="n">
        <v>44559</v>
      </c>
      <c r="G3858" s="68" t="n"/>
    </row>
    <row r="3859">
      <c r="A3859" s="6" t="n">
        <v>49086</v>
      </c>
      <c r="B3859" s="6" t="inlineStr">
        <is>
          <t>REMY MARTIN 1738 ACCORD ROYAL COGNAC</t>
        </is>
      </c>
      <c r="C3859" s="7">
        <f>VLOOKUP(A3859,SizeData!A$2:B$3839,2,FALSE)</f>
        <v/>
      </c>
      <c r="D3859" s="6" t="n">
        <v>10</v>
      </c>
      <c r="E3859" s="6" t="inlineStr">
        <is>
          <t>R1428518</t>
        </is>
      </c>
      <c r="F3859" s="67" t="n">
        <v>44585</v>
      </c>
      <c r="G3859" s="68" t="n"/>
    </row>
    <row r="3860">
      <c r="A3860" s="6" t="n">
        <v>49086</v>
      </c>
      <c r="B3860" s="6" t="inlineStr">
        <is>
          <t>REMY MARTIN 1738 ACCORD ROYAL COGNAC</t>
        </is>
      </c>
      <c r="C3860" s="7">
        <f>VLOOKUP(A3860,SizeData!A$2:B$3839,2,FALSE)</f>
        <v/>
      </c>
      <c r="D3860" s="6" t="n">
        <v>5</v>
      </c>
      <c r="E3860" s="6" t="inlineStr">
        <is>
          <t>R1434873</t>
        </is>
      </c>
      <c r="F3860" s="67" t="n">
        <v>44595</v>
      </c>
      <c r="G3860" s="68" t="n"/>
    </row>
    <row r="3861">
      <c r="A3861" s="6" t="n">
        <v>49086</v>
      </c>
      <c r="B3861" s="6" t="inlineStr">
        <is>
          <t>REMY MARTIN 1738 ACCORD ROYAL COGNAC</t>
        </is>
      </c>
      <c r="C3861" s="7">
        <f>VLOOKUP(A3861,SizeData!A$2:B$3839,2,FALSE)</f>
        <v/>
      </c>
      <c r="D3861" s="6" t="n">
        <v>10</v>
      </c>
      <c r="E3861" s="6" t="inlineStr">
        <is>
          <t>R1601709</t>
        </is>
      </c>
      <c r="F3861" s="67" t="n">
        <v>44685</v>
      </c>
      <c r="G3861" s="68" t="n"/>
    </row>
    <row r="3862">
      <c r="A3862" s="6" t="n">
        <v>49086</v>
      </c>
      <c r="B3862" s="6" t="inlineStr">
        <is>
          <t>REMY MARTIN 1738 ACCORD ROYAL COGNAC</t>
        </is>
      </c>
      <c r="C3862" s="7">
        <f>VLOOKUP(A3862,SizeData!A$2:B$3839,2,FALSE)</f>
        <v/>
      </c>
      <c r="D3862" s="6" t="n">
        <v>10</v>
      </c>
      <c r="E3862" s="6" t="inlineStr">
        <is>
          <t>R1682161</t>
        </is>
      </c>
      <c r="F3862" s="67" t="n">
        <v>44756</v>
      </c>
      <c r="G3862" s="68" t="n"/>
    </row>
    <row r="3863">
      <c r="A3863" s="6" t="n">
        <v>49086</v>
      </c>
      <c r="B3863" s="6" t="inlineStr">
        <is>
          <t>REMY MARTIN 1738 ACCORD ROYAL COGNAC</t>
        </is>
      </c>
      <c r="C3863" s="7">
        <f>VLOOKUP(A3863,SizeData!A$2:B$3839,2,FALSE)</f>
        <v/>
      </c>
      <c r="D3863" s="6" t="n">
        <v>10</v>
      </c>
      <c r="E3863" s="6" t="inlineStr">
        <is>
          <t>R1710514</t>
        </is>
      </c>
      <c r="F3863" s="67" t="n">
        <v>44763</v>
      </c>
      <c r="G3863" s="68" t="n"/>
    </row>
    <row r="3864">
      <c r="A3864" s="6" t="n">
        <v>49086</v>
      </c>
      <c r="B3864" s="6" t="inlineStr">
        <is>
          <t>REMY MARTIN 1738 ACCORD ROYAL COGNAC</t>
        </is>
      </c>
      <c r="C3864" s="7">
        <f>VLOOKUP(A3864,SizeData!A$2:B$3839,2,FALSE)</f>
        <v/>
      </c>
      <c r="D3864" s="6" t="n">
        <v>10</v>
      </c>
      <c r="E3864" s="6" t="inlineStr">
        <is>
          <t>R1720156</t>
        </is>
      </c>
      <c r="F3864" s="67" t="n">
        <v>44770</v>
      </c>
      <c r="G3864" s="68" t="n"/>
    </row>
    <row r="3865">
      <c r="A3865" s="6" t="n">
        <v>49086</v>
      </c>
      <c r="B3865" s="6" t="inlineStr">
        <is>
          <t>REMY MARTIN 1738 ACCORD ROYAL COGNAC</t>
        </is>
      </c>
      <c r="C3865" s="7">
        <f>VLOOKUP(A3865,SizeData!A$2:B$3839,2,FALSE)</f>
        <v/>
      </c>
      <c r="D3865" s="6" t="n">
        <v>20</v>
      </c>
      <c r="E3865" s="6" t="inlineStr">
        <is>
          <t>R1743692</t>
        </is>
      </c>
      <c r="F3865" s="67" t="n">
        <v>44803</v>
      </c>
      <c r="G3865" s="68" t="n"/>
    </row>
    <row r="3866">
      <c r="A3866" s="6" t="n">
        <v>49086</v>
      </c>
      <c r="B3866" s="6" t="inlineStr">
        <is>
          <t>REMY MARTIN 1738 ACCORD ROYAL COGNAC</t>
        </is>
      </c>
      <c r="C3866" s="7">
        <f>VLOOKUP(A3866,SizeData!A$2:B$3839,2,FALSE)</f>
        <v/>
      </c>
      <c r="D3866" s="6" t="n">
        <v>35</v>
      </c>
      <c r="E3866" s="6" t="inlineStr">
        <is>
          <t>R1876848</t>
        </is>
      </c>
      <c r="F3866" s="67" t="n">
        <v>44887</v>
      </c>
      <c r="G3866" s="68" t="n"/>
    </row>
    <row r="3867">
      <c r="A3867" s="6" t="n">
        <v>49186</v>
      </c>
      <c r="B3867" s="6" t="inlineStr">
        <is>
          <t>REMY MARTIN VSOP COGNAC</t>
        </is>
      </c>
      <c r="C3867" s="7">
        <f>VLOOKUP(A3867,SizeData!A$2:B$3839,2,FALSE)</f>
        <v/>
      </c>
      <c r="D3867" s="6" t="n">
        <v>10</v>
      </c>
      <c r="E3867" s="6" t="inlineStr">
        <is>
          <t>R1523162</t>
        </is>
      </c>
      <c r="F3867" s="67" t="n">
        <v>44648</v>
      </c>
      <c r="G3867" s="68" t="n"/>
    </row>
    <row r="3868">
      <c r="A3868" s="6" t="n">
        <v>49186</v>
      </c>
      <c r="B3868" s="6" t="inlineStr">
        <is>
          <t>REMY MARTIN VSOP COGNAC</t>
        </is>
      </c>
      <c r="C3868" s="7">
        <f>VLOOKUP(A3868,SizeData!A$2:B$3839,2,FALSE)</f>
        <v/>
      </c>
      <c r="D3868" s="6" t="n">
        <v>10</v>
      </c>
      <c r="E3868" s="6" t="inlineStr">
        <is>
          <t>R1577383</t>
        </is>
      </c>
      <c r="F3868" s="67" t="n">
        <v>44677</v>
      </c>
      <c r="G3868" s="68" t="n"/>
    </row>
    <row r="3869">
      <c r="A3869" s="6" t="n">
        <v>49186</v>
      </c>
      <c r="B3869" s="6" t="inlineStr">
        <is>
          <t>REMY MARTIN VSOP COGNAC</t>
        </is>
      </c>
      <c r="C3869" s="7">
        <f>VLOOKUP(A3869,SizeData!A$2:B$3839,2,FALSE)</f>
        <v/>
      </c>
      <c r="D3869" s="6" t="n">
        <v>10</v>
      </c>
      <c r="E3869" s="6" t="inlineStr">
        <is>
          <t>R1677898</t>
        </is>
      </c>
      <c r="F3869" s="67" t="n">
        <v>44756</v>
      </c>
      <c r="G3869" s="68" t="n"/>
    </row>
    <row r="3870">
      <c r="A3870" s="31" t="n">
        <v>49186</v>
      </c>
      <c r="B3870" s="31" t="inlineStr">
        <is>
          <t>REMY MARTIN VSOP COGNAC</t>
        </is>
      </c>
      <c r="C3870" s="7">
        <f>VLOOKUP(A3870,SizeData!A$2:B$3839,2,FALSE)</f>
        <v/>
      </c>
      <c r="D3870" s="31" t="n">
        <v>9</v>
      </c>
      <c r="E3870" s="31" t="inlineStr">
        <is>
          <t>R1772222</t>
        </is>
      </c>
      <c r="F3870" s="82" t="n">
        <v>44819</v>
      </c>
      <c r="G3870" s="83" t="n"/>
    </row>
    <row r="3871">
      <c r="A3871" s="6" t="n">
        <v>49186</v>
      </c>
      <c r="B3871" s="6" t="inlineStr">
        <is>
          <t>REMY MARTIN VSOP COGNAC</t>
        </is>
      </c>
      <c r="C3871" s="7">
        <f>VLOOKUP(A3871,SizeData!A$2:B$3839,2,FALSE)</f>
        <v/>
      </c>
      <c r="D3871" s="6" t="n">
        <v>10</v>
      </c>
      <c r="E3871" s="6" t="inlineStr">
        <is>
          <t>R1873310</t>
        </is>
      </c>
      <c r="F3871" s="67" t="n">
        <v>44881</v>
      </c>
      <c r="G3871" s="68" t="n"/>
    </row>
    <row r="3872">
      <c r="A3872" s="6" t="n">
        <v>49186</v>
      </c>
      <c r="B3872" s="6" t="inlineStr">
        <is>
          <t>REMY MARTIN VSOP COGNAC</t>
        </is>
      </c>
      <c r="C3872" s="7">
        <f>VLOOKUP(A3872,SizeData!A$2:B$3839,2,FALSE)</f>
        <v/>
      </c>
      <c r="D3872" s="6" t="n">
        <v>10</v>
      </c>
      <c r="E3872" s="6" t="inlineStr">
        <is>
          <t>R1880620</t>
        </is>
      </c>
      <c r="F3872" s="67" t="n">
        <v>44886</v>
      </c>
      <c r="G3872" s="68" t="n"/>
    </row>
    <row r="3873">
      <c r="A3873" s="6" t="n">
        <v>49187</v>
      </c>
      <c r="B3873" s="6" t="inlineStr">
        <is>
          <t>REMY MARTIN VSOP COGNAC</t>
        </is>
      </c>
      <c r="C3873" s="7">
        <f>VLOOKUP(A3873,SizeData!A$2:B$3839,2,FALSE)</f>
        <v/>
      </c>
      <c r="D3873" s="6" t="n">
        <v>2</v>
      </c>
      <c r="E3873" s="6" t="inlineStr">
        <is>
          <t>R1422502</t>
        </is>
      </c>
      <c r="F3873" s="67" t="n">
        <v>44574</v>
      </c>
      <c r="G3873" s="68" t="n"/>
    </row>
    <row r="3874">
      <c r="A3874" s="6" t="n">
        <v>49187</v>
      </c>
      <c r="B3874" s="6" t="inlineStr">
        <is>
          <t>REMY MARTIN VSOP COGNAC</t>
        </is>
      </c>
      <c r="C3874" s="7">
        <f>VLOOKUP(A3874,SizeData!A$2:B$3839,2,FALSE)</f>
        <v/>
      </c>
      <c r="D3874" s="6" t="n">
        <v>3</v>
      </c>
      <c r="E3874" s="6" t="inlineStr">
        <is>
          <t>R1422502</t>
        </is>
      </c>
      <c r="F3874" s="67" t="n">
        <v>44574</v>
      </c>
      <c r="G3874" s="68" t="n"/>
    </row>
    <row r="3875">
      <c r="A3875" s="6" t="n">
        <v>49187</v>
      </c>
      <c r="B3875" s="6" t="inlineStr">
        <is>
          <t>REMY MARTIN VSOP COGNAC</t>
        </is>
      </c>
      <c r="C3875" s="7">
        <f>VLOOKUP(A3875,SizeData!A$2:B$3839,2,FALSE)</f>
        <v/>
      </c>
      <c r="D3875" s="6" t="n">
        <v>4</v>
      </c>
      <c r="E3875" s="6" t="inlineStr">
        <is>
          <t>R1577383</t>
        </is>
      </c>
      <c r="F3875" s="67" t="n">
        <v>44677</v>
      </c>
      <c r="G3875" s="68" t="n"/>
    </row>
    <row r="3876">
      <c r="A3876" s="6" t="n">
        <v>49188</v>
      </c>
      <c r="B3876" s="6" t="inlineStr">
        <is>
          <t>REMY MARTIN VSOP COGNAC</t>
        </is>
      </c>
      <c r="C3876" s="7">
        <f>VLOOKUP(A3876,SizeData!A$2:B$3839,2,FALSE)</f>
        <v/>
      </c>
      <c r="D3876" s="6" t="n">
        <v>7</v>
      </c>
      <c r="E3876" s="6" t="inlineStr">
        <is>
          <t>R1422502</t>
        </is>
      </c>
      <c r="F3876" s="67" t="n">
        <v>44574</v>
      </c>
      <c r="G3876" s="68" t="n"/>
    </row>
    <row r="3877">
      <c r="A3877" s="6" t="n">
        <v>49188</v>
      </c>
      <c r="B3877" s="6" t="inlineStr">
        <is>
          <t>REMY MARTIN VSOP COGNAC</t>
        </is>
      </c>
      <c r="C3877" s="7">
        <f>VLOOKUP(A3877,SizeData!A$2:B$3839,2,FALSE)</f>
        <v/>
      </c>
      <c r="D3877" s="6" t="n">
        <v>2</v>
      </c>
      <c r="E3877" s="6" t="inlineStr">
        <is>
          <t>R1523162</t>
        </is>
      </c>
      <c r="F3877" s="67" t="n">
        <v>44648</v>
      </c>
      <c r="G3877" s="68" t="n"/>
    </row>
    <row r="3878">
      <c r="A3878" s="6" t="n">
        <v>49188</v>
      </c>
      <c r="B3878" s="6" t="inlineStr">
        <is>
          <t>REMY MARTIN VSOP COGNAC</t>
        </is>
      </c>
      <c r="C3878" s="7">
        <f>VLOOKUP(A3878,SizeData!A$2:B$3839,2,FALSE)</f>
        <v/>
      </c>
      <c r="D3878" s="6" t="n">
        <v>8</v>
      </c>
      <c r="E3878" s="6" t="inlineStr">
        <is>
          <t>R1523162</t>
        </is>
      </c>
      <c r="F3878" s="67" t="n">
        <v>44648</v>
      </c>
      <c r="G3878" s="68" t="n"/>
    </row>
    <row r="3879">
      <c r="A3879" s="6" t="n">
        <v>49189</v>
      </c>
      <c r="B3879" s="6" t="inlineStr">
        <is>
          <t>REMY MARTIN VSOP COGNAC</t>
        </is>
      </c>
      <c r="C3879" s="7">
        <f>VLOOKUP(A3879,SizeData!A$2:B$3839,2,FALSE)</f>
        <v/>
      </c>
      <c r="D3879" s="6" t="n">
        <v>5</v>
      </c>
      <c r="E3879" s="6" t="inlineStr">
        <is>
          <t>R1530007</t>
        </is>
      </c>
      <c r="F3879" s="67" t="n">
        <v>44634</v>
      </c>
      <c r="G3879" s="68" t="n"/>
    </row>
    <row r="3880">
      <c r="A3880" s="6" t="n">
        <v>49189</v>
      </c>
      <c r="B3880" s="6" t="inlineStr">
        <is>
          <t>REMY MARTIN VSOP COGNAC</t>
        </is>
      </c>
      <c r="C3880" s="7">
        <f>VLOOKUP(A3880,SizeData!A$2:B$3839,2,FALSE)</f>
        <v/>
      </c>
      <c r="D3880" s="6" t="n">
        <v>6</v>
      </c>
      <c r="E3880" s="6" t="inlineStr">
        <is>
          <t>R1548567</t>
        </is>
      </c>
      <c r="F3880" s="67" t="n">
        <v>44653</v>
      </c>
      <c r="G3880" s="68" t="n"/>
    </row>
    <row r="3881">
      <c r="A3881" s="6" t="n">
        <v>49189</v>
      </c>
      <c r="B3881" s="6" t="inlineStr">
        <is>
          <t>REMY MARTIN VSOP COGNAC</t>
        </is>
      </c>
      <c r="C3881" s="7">
        <f>VLOOKUP(A3881,SizeData!A$2:B$3839,2,FALSE)</f>
        <v/>
      </c>
      <c r="D3881" s="6" t="n">
        <v>9</v>
      </c>
      <c r="E3881" s="6" t="inlineStr">
        <is>
          <t>R1706212</t>
        </is>
      </c>
      <c r="F3881" s="67" t="n">
        <v>44763</v>
      </c>
      <c r="G3881" s="68" t="n"/>
    </row>
    <row r="3882">
      <c r="A3882" s="6" t="n">
        <v>49185</v>
      </c>
      <c r="B3882" s="6" t="inlineStr">
        <is>
          <t>REMY MARTIN VSOP COGNAC (FLASK)</t>
        </is>
      </c>
      <c r="C3882" s="7">
        <f>VLOOKUP(A3882,SizeData!A$2:B$3839,2,FALSE)</f>
        <v/>
      </c>
      <c r="D3882" s="6" t="n">
        <v>5</v>
      </c>
      <c r="E3882" s="6" t="inlineStr">
        <is>
          <t>R1428428</t>
        </is>
      </c>
      <c r="F3882" s="67" t="n">
        <v>44585</v>
      </c>
      <c r="G3882" s="68" t="n"/>
    </row>
    <row r="3883">
      <c r="A3883" s="6" t="n">
        <v>49185</v>
      </c>
      <c r="B3883" s="6" t="inlineStr">
        <is>
          <t>REMY MARTIN VSOP COGNAC (FLASK)</t>
        </is>
      </c>
      <c r="C3883" s="7">
        <f>VLOOKUP(A3883,SizeData!A$2:B$3839,2,FALSE)</f>
        <v/>
      </c>
      <c r="D3883" s="6" t="n">
        <v>10</v>
      </c>
      <c r="E3883" s="6" t="inlineStr">
        <is>
          <t>R1523162</t>
        </is>
      </c>
      <c r="F3883" s="67" t="n">
        <v>44648</v>
      </c>
      <c r="G3883" s="68" t="n"/>
    </row>
    <row r="3884">
      <c r="A3884" s="6" t="n">
        <v>49185</v>
      </c>
      <c r="B3884" s="6" t="inlineStr">
        <is>
          <t>REMY MARTIN VSOP COGNAC (FLASK)</t>
        </is>
      </c>
      <c r="C3884" s="7">
        <f>VLOOKUP(A3884,SizeData!A$2:B$3839,2,FALSE)</f>
        <v/>
      </c>
      <c r="D3884" s="6" t="n">
        <v>10</v>
      </c>
      <c r="E3884" s="6" t="inlineStr">
        <is>
          <t>R1577383</t>
        </is>
      </c>
      <c r="F3884" s="67" t="n">
        <v>44677</v>
      </c>
      <c r="G3884" s="68" t="n"/>
    </row>
    <row r="3885">
      <c r="A3885" s="6" t="n">
        <v>49185</v>
      </c>
      <c r="B3885" s="6" t="inlineStr">
        <is>
          <t>REMY MARTIN VSOP COGNAC (FLASK)</t>
        </is>
      </c>
      <c r="C3885" s="7">
        <f>VLOOKUP(A3885,SizeData!A$2:B$3839,2,FALSE)</f>
        <v/>
      </c>
      <c r="D3885" s="6" t="n">
        <v>10</v>
      </c>
      <c r="E3885" s="6" t="inlineStr">
        <is>
          <t>R1700571</t>
        </is>
      </c>
      <c r="F3885" s="67" t="n">
        <v>44767</v>
      </c>
      <c r="G3885" s="68" t="n"/>
    </row>
    <row r="3886">
      <c r="A3886" s="6" t="n">
        <v>49185</v>
      </c>
      <c r="B3886" s="6" t="inlineStr">
        <is>
          <t>REMY MARTIN VSOP COGNAC (FLASK)</t>
        </is>
      </c>
      <c r="C3886" s="7">
        <f>VLOOKUP(A3886,SizeData!A$2:B$3839,2,FALSE)</f>
        <v/>
      </c>
      <c r="D3886" s="6" t="n">
        <v>4</v>
      </c>
      <c r="E3886" s="6" t="inlineStr">
        <is>
          <t>R1835862</t>
        </is>
      </c>
      <c r="F3886" s="67" t="n">
        <v>44856</v>
      </c>
      <c r="G3886" s="68" t="n"/>
    </row>
    <row r="3887">
      <c r="A3887" s="6" t="n">
        <v>49185</v>
      </c>
      <c r="B3887" s="6" t="inlineStr">
        <is>
          <t>REMY MARTIN VSOP COGNAC (FLASK)</t>
        </is>
      </c>
      <c r="C3887" s="7">
        <f>VLOOKUP(A3887,SizeData!A$2:B$3839,2,FALSE)</f>
        <v/>
      </c>
      <c r="D3887" s="6" t="n">
        <v>2</v>
      </c>
      <c r="E3887" s="6" t="inlineStr">
        <is>
          <t>R1834591</t>
        </is>
      </c>
      <c r="F3887" s="67" t="n">
        <v>44863</v>
      </c>
      <c r="G3887" s="68" t="n"/>
    </row>
    <row r="3888">
      <c r="A3888" s="6" t="n">
        <v>49185</v>
      </c>
      <c r="B3888" s="6" t="inlineStr">
        <is>
          <t>REMY MARTIN VSOP COGNAC (FLASK)</t>
        </is>
      </c>
      <c r="C3888" s="7">
        <f>VLOOKUP(A3888,SizeData!A$2:B$3839,2,FALSE)</f>
        <v/>
      </c>
      <c r="D3888" s="6" t="n">
        <v>2</v>
      </c>
      <c r="E3888" s="6" t="inlineStr">
        <is>
          <t>R1849692</t>
        </is>
      </c>
      <c r="F3888" s="67" t="n">
        <v>44870</v>
      </c>
      <c r="G3888" s="68" t="n"/>
    </row>
    <row r="3889">
      <c r="A3889" s="6" t="n">
        <v>49154</v>
      </c>
      <c r="B3889" s="6" t="inlineStr">
        <is>
          <t>REMY MARTIN XO EXCELLENCE</t>
        </is>
      </c>
      <c r="C3889" s="7">
        <f>VLOOKUP(A3889,SizeData!A$2:B$3839,2,FALSE)</f>
        <v/>
      </c>
      <c r="D3889" s="6" t="n">
        <v>1</v>
      </c>
      <c r="E3889" s="6" t="inlineStr">
        <is>
          <t>R1876848</t>
        </is>
      </c>
      <c r="F3889" s="67" t="n">
        <v>44887</v>
      </c>
      <c r="G3889" s="68" t="n"/>
    </row>
    <row r="3890">
      <c r="A3890" s="6" t="n">
        <v>49156</v>
      </c>
      <c r="B3890" s="6" t="inlineStr">
        <is>
          <t>REMY MARTIN XO EXCELLENCE</t>
        </is>
      </c>
      <c r="C3890" s="7">
        <f>VLOOKUP(A3890,SizeData!A$2:B$3839,2,FALSE)</f>
        <v/>
      </c>
      <c r="D3890" s="6" t="n">
        <v>2</v>
      </c>
      <c r="E3890" s="6" t="inlineStr">
        <is>
          <t>R1389259</t>
        </is>
      </c>
      <c r="F3890" s="67" t="n">
        <v>44560</v>
      </c>
      <c r="G3890" s="68" t="n"/>
    </row>
    <row r="3891">
      <c r="A3891" s="6" t="n">
        <v>49255</v>
      </c>
      <c r="B3891" s="6" t="inlineStr">
        <is>
          <t>REVANCHE COGNAC</t>
        </is>
      </c>
      <c r="C3891" s="7">
        <f>VLOOKUP(A3891,SizeData!A$2:B$3839,2,FALSE)</f>
        <v/>
      </c>
      <c r="D3891" s="6" t="n">
        <v>1</v>
      </c>
      <c r="E3891" s="6" t="inlineStr">
        <is>
          <t>R1402608</t>
        </is>
      </c>
      <c r="F3891" s="67" t="n">
        <v>44562</v>
      </c>
      <c r="G3891" s="68" t="n"/>
    </row>
    <row r="3892">
      <c r="A3892" s="6" t="n">
        <v>49254</v>
      </c>
      <c r="B3892" s="6" t="inlineStr">
        <is>
          <t>REVANCHE FRENCH COGNAC</t>
        </is>
      </c>
      <c r="C3892" s="7">
        <f>VLOOKUP(A3892,SizeData!A$2:B$3839,2,FALSE)</f>
        <v/>
      </c>
      <c r="D3892" s="6" t="n">
        <v>2</v>
      </c>
      <c r="E3892" s="6" t="inlineStr">
        <is>
          <t>R1579357</t>
        </is>
      </c>
      <c r="F3892" s="67" t="n">
        <v>44676</v>
      </c>
      <c r="G3892" s="68" t="n"/>
    </row>
    <row r="3893">
      <c r="A3893" s="6" t="n">
        <v>49255</v>
      </c>
      <c r="B3893" s="6" t="inlineStr">
        <is>
          <t>REVANCHE FRENCH COGNAC</t>
        </is>
      </c>
      <c r="C3893" s="7">
        <f>VLOOKUP(A3893,SizeData!A$2:B$3839,2,FALSE)</f>
        <v/>
      </c>
      <c r="D3893" s="6" t="n">
        <v>1</v>
      </c>
      <c r="E3893" s="6" t="inlineStr">
        <is>
          <t>R1449976</t>
        </is>
      </c>
      <c r="F3893" s="67" t="n">
        <v>44604</v>
      </c>
      <c r="G3893" s="68" t="n"/>
    </row>
    <row r="3894">
      <c r="A3894" s="6" t="n">
        <v>49255</v>
      </c>
      <c r="B3894" s="6" t="inlineStr">
        <is>
          <t>REVANCHE FRENCH COGNAC</t>
        </is>
      </c>
      <c r="C3894" s="7">
        <f>VLOOKUP(A3894,SizeData!A$2:B$3839,2,FALSE)</f>
        <v/>
      </c>
      <c r="D3894" s="6" t="n">
        <v>2</v>
      </c>
      <c r="E3894" s="6" t="inlineStr">
        <is>
          <t>R1496401</t>
        </is>
      </c>
      <c r="F3894" s="67" t="n">
        <v>44621</v>
      </c>
      <c r="G3894" s="68" t="n"/>
    </row>
    <row r="3895">
      <c r="A3895" s="6" t="n">
        <v>49255</v>
      </c>
      <c r="B3895" s="6" t="inlineStr">
        <is>
          <t>REVANCHE FRENCH COGNAC</t>
        </is>
      </c>
      <c r="C3895" s="7">
        <f>VLOOKUP(A3895,SizeData!A$2:B$3839,2,FALSE)</f>
        <v/>
      </c>
      <c r="D3895" s="6" t="n">
        <v>1</v>
      </c>
      <c r="E3895" s="6" t="inlineStr">
        <is>
          <t>R1495781</t>
        </is>
      </c>
      <c r="F3895" s="67" t="n">
        <v>44627</v>
      </c>
      <c r="G3895" s="68" t="n"/>
    </row>
    <row r="3896">
      <c r="A3896" s="6" t="n">
        <v>49255</v>
      </c>
      <c r="B3896" s="6" t="inlineStr">
        <is>
          <t>REVANCHE FRENCH COGNAC</t>
        </is>
      </c>
      <c r="C3896" s="7">
        <f>VLOOKUP(A3896,SizeData!A$2:B$3839,2,FALSE)</f>
        <v/>
      </c>
      <c r="D3896" s="6" t="n">
        <v>6</v>
      </c>
      <c r="E3896" s="6" t="inlineStr">
        <is>
          <t>R1512305</t>
        </is>
      </c>
      <c r="F3896" s="67" t="n">
        <v>44630</v>
      </c>
      <c r="G3896" s="68" t="n"/>
    </row>
    <row r="3897">
      <c r="A3897" s="6" t="n">
        <v>12872</v>
      </c>
      <c r="B3897" s="6" t="inlineStr">
        <is>
          <t>RICH &amp; RARE PEACH</t>
        </is>
      </c>
      <c r="C3897" s="7">
        <f>VLOOKUP(A3897,SizeData!A$2:B$3839,2,FALSE)</f>
        <v/>
      </c>
      <c r="D3897" s="6" t="n">
        <v>1</v>
      </c>
      <c r="E3897" s="6" t="inlineStr">
        <is>
          <t>R1383976</t>
        </is>
      </c>
      <c r="F3897" s="67" t="n">
        <v>44561</v>
      </c>
      <c r="G3897" s="68" t="n"/>
    </row>
    <row r="3898">
      <c r="A3898" s="6" t="n">
        <v>12872</v>
      </c>
      <c r="B3898" s="6" t="inlineStr">
        <is>
          <t>RICH &amp; RARE PEACH</t>
        </is>
      </c>
      <c r="C3898" s="7">
        <f>VLOOKUP(A3898,SizeData!A$2:B$3839,2,FALSE)</f>
        <v/>
      </c>
      <c r="D3898" s="6" t="n">
        <v>1</v>
      </c>
      <c r="E3898" s="6" t="inlineStr">
        <is>
          <t>R1448139</t>
        </is>
      </c>
      <c r="F3898" s="67" t="n">
        <v>44597</v>
      </c>
      <c r="G3898" s="68" t="n"/>
    </row>
    <row r="3899">
      <c r="A3899" s="6" t="n">
        <v>12872</v>
      </c>
      <c r="B3899" s="6" t="inlineStr">
        <is>
          <t>RICH &amp; RARE PEACH</t>
        </is>
      </c>
      <c r="C3899" s="7">
        <f>VLOOKUP(A3899,SizeData!A$2:B$3839,2,FALSE)</f>
        <v/>
      </c>
      <c r="D3899" s="6" t="n">
        <v>1</v>
      </c>
      <c r="E3899" s="6" t="inlineStr">
        <is>
          <t>R1488872</t>
        </is>
      </c>
      <c r="F3899" s="67" t="n">
        <v>44627</v>
      </c>
      <c r="G3899" s="68" t="n"/>
    </row>
    <row r="3900">
      <c r="A3900" s="6" t="n">
        <v>12872</v>
      </c>
      <c r="B3900" s="6" t="inlineStr">
        <is>
          <t>RICH &amp; RARE PEACH</t>
        </is>
      </c>
      <c r="C3900" s="7">
        <f>VLOOKUP(A3900,SizeData!A$2:B$3839,2,FALSE)</f>
        <v/>
      </c>
      <c r="D3900" s="6" t="n">
        <v>1</v>
      </c>
      <c r="E3900" s="6" t="inlineStr">
        <is>
          <t>R1540227</t>
        </is>
      </c>
      <c r="F3900" s="67" t="n">
        <v>44636</v>
      </c>
      <c r="G3900" s="68" t="n"/>
    </row>
    <row r="3901">
      <c r="A3901" s="6" t="n">
        <v>12872</v>
      </c>
      <c r="B3901" s="6" t="inlineStr">
        <is>
          <t>RICH &amp; RARE PEACH</t>
        </is>
      </c>
      <c r="C3901" s="7">
        <f>VLOOKUP(A3901,SizeData!A$2:B$3839,2,FALSE)</f>
        <v/>
      </c>
      <c r="D3901" s="6" t="n">
        <v>1</v>
      </c>
      <c r="E3901" s="6" t="inlineStr">
        <is>
          <t>R1527957</t>
        </is>
      </c>
      <c r="F3901" s="67" t="n">
        <v>44644</v>
      </c>
      <c r="G3901" s="68" t="n"/>
    </row>
    <row r="3902">
      <c r="A3902" s="6" t="n">
        <v>12872</v>
      </c>
      <c r="B3902" s="6" t="inlineStr">
        <is>
          <t>RICH &amp; RARE PEACH</t>
        </is>
      </c>
      <c r="C3902" s="7">
        <f>VLOOKUP(A3902,SizeData!A$2:B$3839,2,FALSE)</f>
        <v/>
      </c>
      <c r="D3902" s="6" t="n">
        <v>1</v>
      </c>
      <c r="E3902" s="6" t="inlineStr">
        <is>
          <t>R1552114</t>
        </is>
      </c>
      <c r="F3902" s="67" t="n">
        <v>44653</v>
      </c>
      <c r="G3902" s="68" t="n"/>
    </row>
    <row r="3903">
      <c r="A3903" s="6" t="n">
        <v>12872</v>
      </c>
      <c r="B3903" s="6" t="inlineStr">
        <is>
          <t>RICH &amp; RARE PEACH</t>
        </is>
      </c>
      <c r="C3903" s="7">
        <f>VLOOKUP(A3903,SizeData!A$2:B$3839,2,FALSE)</f>
        <v/>
      </c>
      <c r="D3903" s="6" t="n">
        <v>1</v>
      </c>
      <c r="E3903" s="6" t="inlineStr">
        <is>
          <t>R1591903</t>
        </is>
      </c>
      <c r="F3903" s="67" t="n">
        <v>44678</v>
      </c>
      <c r="G3903" s="68" t="n"/>
    </row>
    <row r="3904">
      <c r="A3904" s="6" t="n">
        <v>12872</v>
      </c>
      <c r="B3904" s="6" t="inlineStr">
        <is>
          <t>RICH &amp; RARE PEACH</t>
        </is>
      </c>
      <c r="C3904" s="7">
        <f>VLOOKUP(A3904,SizeData!A$2:B$3839,2,FALSE)</f>
        <v/>
      </c>
      <c r="D3904" s="6" t="n">
        <v>1</v>
      </c>
      <c r="E3904" s="6" t="inlineStr">
        <is>
          <t>R1607750</t>
        </is>
      </c>
      <c r="F3904" s="67" t="n">
        <v>44691</v>
      </c>
      <c r="G3904" s="68" t="n"/>
    </row>
    <row r="3905">
      <c r="A3905" s="6" t="n">
        <v>12872</v>
      </c>
      <c r="B3905" s="6" t="inlineStr">
        <is>
          <t>RICH &amp; RARE PEACH</t>
        </is>
      </c>
      <c r="C3905" s="7">
        <f>VLOOKUP(A3905,SizeData!A$2:B$3839,2,FALSE)</f>
        <v/>
      </c>
      <c r="D3905" s="6" t="n">
        <v>1</v>
      </c>
      <c r="E3905" s="6" t="inlineStr">
        <is>
          <t>R1630969</t>
        </is>
      </c>
      <c r="F3905" s="67" t="n">
        <v>44711</v>
      </c>
      <c r="G3905" s="68" t="n"/>
    </row>
    <row r="3906">
      <c r="A3906" s="6" t="n">
        <v>12872</v>
      </c>
      <c r="B3906" s="6" t="inlineStr">
        <is>
          <t>RICH &amp; RARE PEACH</t>
        </is>
      </c>
      <c r="C3906" s="7">
        <f>VLOOKUP(A3906,SizeData!A$2:B$3839,2,FALSE)</f>
        <v/>
      </c>
      <c r="D3906" s="6" t="n">
        <v>1</v>
      </c>
      <c r="E3906" s="6" t="inlineStr">
        <is>
          <t>R1660776</t>
        </is>
      </c>
      <c r="F3906" s="67" t="n">
        <v>44733</v>
      </c>
      <c r="G3906" s="68" t="n"/>
    </row>
    <row r="3907">
      <c r="A3907" s="6" t="n">
        <v>12872</v>
      </c>
      <c r="B3907" s="6" t="inlineStr">
        <is>
          <t>RICH &amp; RARE PEACH</t>
        </is>
      </c>
      <c r="C3907" s="7">
        <f>VLOOKUP(A3907,SizeData!A$2:B$3839,2,FALSE)</f>
        <v/>
      </c>
      <c r="D3907" s="6" t="n">
        <v>2</v>
      </c>
      <c r="E3907" s="6" t="inlineStr">
        <is>
          <t>R1688168</t>
        </is>
      </c>
      <c r="F3907" s="67" t="n">
        <v>44761</v>
      </c>
      <c r="G3907" s="68" t="n"/>
    </row>
    <row r="3908">
      <c r="A3908" s="6" t="n">
        <v>12872</v>
      </c>
      <c r="B3908" s="6" t="inlineStr">
        <is>
          <t>RICH &amp; RARE PEACH</t>
        </is>
      </c>
      <c r="C3908" s="7">
        <f>VLOOKUP(A3908,SizeData!A$2:B$3839,2,FALSE)</f>
        <v/>
      </c>
      <c r="D3908" s="6" t="n">
        <v>2</v>
      </c>
      <c r="E3908" s="6" t="inlineStr">
        <is>
          <t>R1716704</t>
        </is>
      </c>
      <c r="F3908" s="67" t="n">
        <v>44770</v>
      </c>
      <c r="G3908" s="68" t="n"/>
    </row>
    <row r="3909">
      <c r="A3909" s="6" t="n">
        <v>12872</v>
      </c>
      <c r="B3909" s="6" t="inlineStr">
        <is>
          <t>RICH &amp; RARE PEACH</t>
        </is>
      </c>
      <c r="C3909" s="7">
        <f>VLOOKUP(A3909,SizeData!A$2:B$3839,2,FALSE)</f>
        <v/>
      </c>
      <c r="D3909" s="6" t="n">
        <v>1</v>
      </c>
      <c r="E3909" s="6" t="inlineStr">
        <is>
          <t>R1747641</t>
        </is>
      </c>
      <c r="F3909" s="67" t="n">
        <v>44800</v>
      </c>
      <c r="G3909" s="68" t="n"/>
    </row>
    <row r="3910">
      <c r="A3910" s="6" t="n">
        <v>12872</v>
      </c>
      <c r="B3910" s="6" t="inlineStr">
        <is>
          <t>RICH &amp; RARE PEACH</t>
        </is>
      </c>
      <c r="C3910" s="7">
        <f>VLOOKUP(A3910,SizeData!A$2:B$3839,2,FALSE)</f>
        <v/>
      </c>
      <c r="D3910" s="6" t="n">
        <v>2</v>
      </c>
      <c r="E3910" s="6" t="inlineStr">
        <is>
          <t>R1792137</t>
        </is>
      </c>
      <c r="F3910" s="67" t="n">
        <v>44835</v>
      </c>
      <c r="G3910" s="68" t="n"/>
    </row>
    <row r="3911">
      <c r="A3911" s="6" t="n">
        <v>12872</v>
      </c>
      <c r="B3911" s="6" t="inlineStr">
        <is>
          <t>RICH &amp; RARE PEACH</t>
        </is>
      </c>
      <c r="C3911" s="7">
        <f>VLOOKUP(A3911,SizeData!A$2:B$3839,2,FALSE)</f>
        <v/>
      </c>
      <c r="D3911" s="6" t="n">
        <v>3</v>
      </c>
      <c r="E3911" s="6" t="inlineStr">
        <is>
          <t>R1794246</t>
        </is>
      </c>
      <c r="F3911" s="67" t="n">
        <v>44837</v>
      </c>
      <c r="G3911" s="68" t="n"/>
    </row>
    <row r="3912">
      <c r="A3912" s="6" t="n">
        <v>12872</v>
      </c>
      <c r="B3912" s="6" t="inlineStr">
        <is>
          <t>RICH &amp; RARE PEACH</t>
        </is>
      </c>
      <c r="C3912" s="7">
        <f>VLOOKUP(A3912,SizeData!A$2:B$3839,2,FALSE)</f>
        <v/>
      </c>
      <c r="D3912" s="6" t="n">
        <v>1</v>
      </c>
      <c r="E3912" s="6" t="inlineStr">
        <is>
          <t>R1840965</t>
        </is>
      </c>
      <c r="F3912" s="67" t="n">
        <v>44863</v>
      </c>
      <c r="G3912" s="68" t="n"/>
    </row>
    <row r="3913">
      <c r="A3913" s="6" t="n">
        <v>97722</v>
      </c>
      <c r="B3913" s="6" t="inlineStr">
        <is>
          <t>RICHARDS WILD ROSE RED</t>
        </is>
      </c>
      <c r="C3913" s="7">
        <f>VLOOKUP(A3913,SizeData!A$2:B$3839,2,FALSE)</f>
        <v/>
      </c>
      <c r="D3913" s="6" t="n">
        <v>1</v>
      </c>
      <c r="E3913" s="6" t="inlineStr">
        <is>
          <t>R1469832</t>
        </is>
      </c>
      <c r="F3913" s="67" t="n">
        <v>44615</v>
      </c>
      <c r="G3913" s="68" t="n"/>
    </row>
    <row r="3914">
      <c r="A3914" s="6" t="n">
        <v>97722</v>
      </c>
      <c r="B3914" s="6" t="inlineStr">
        <is>
          <t>RICHARDS WILD ROSE RED</t>
        </is>
      </c>
      <c r="C3914" s="7">
        <f>VLOOKUP(A3914,SizeData!A$2:B$3839,2,FALSE)</f>
        <v/>
      </c>
      <c r="D3914" s="6" t="n">
        <v>1</v>
      </c>
      <c r="E3914" s="6" t="inlineStr">
        <is>
          <t>R1563525</t>
        </is>
      </c>
      <c r="F3914" s="67" t="n">
        <v>44666</v>
      </c>
      <c r="G3914" s="68" t="n"/>
    </row>
    <row r="3915">
      <c r="A3915" s="6" t="n">
        <v>97722</v>
      </c>
      <c r="B3915" s="6" t="inlineStr">
        <is>
          <t>RICHARDS WILD ROSE RED</t>
        </is>
      </c>
      <c r="C3915" s="7">
        <f>VLOOKUP(A3915,SizeData!A$2:B$3839,2,FALSE)</f>
        <v/>
      </c>
      <c r="D3915" s="6" t="n">
        <v>1</v>
      </c>
      <c r="E3915" s="6" t="inlineStr">
        <is>
          <t>R1674336</t>
        </is>
      </c>
      <c r="F3915" s="67" t="n">
        <v>44747</v>
      </c>
      <c r="G3915" s="68" t="n"/>
    </row>
    <row r="3916">
      <c r="A3916" s="6" t="n">
        <v>97722</v>
      </c>
      <c r="B3916" s="6" t="inlineStr">
        <is>
          <t>RICHARDS WILD ROSE RED</t>
        </is>
      </c>
      <c r="C3916" s="7">
        <f>VLOOKUP(A3916,SizeData!A$2:B$3839,2,FALSE)</f>
        <v/>
      </c>
      <c r="D3916" s="6" t="n">
        <v>1</v>
      </c>
      <c r="E3916" s="6" t="inlineStr">
        <is>
          <t>R1703327</t>
        </is>
      </c>
      <c r="F3916" s="67" t="n">
        <v>44768</v>
      </c>
      <c r="G3916" s="68" t="n"/>
    </row>
    <row r="3917">
      <c r="A3917" s="6" t="n">
        <v>97722</v>
      </c>
      <c r="B3917" s="6" t="inlineStr">
        <is>
          <t>RICHARDS WILD ROSE RED</t>
        </is>
      </c>
      <c r="C3917" s="7">
        <f>VLOOKUP(A3917,SizeData!A$2:B$3839,2,FALSE)</f>
        <v/>
      </c>
      <c r="D3917" s="6" t="n">
        <v>1</v>
      </c>
      <c r="E3917" s="6" t="inlineStr">
        <is>
          <t>R1827327</t>
        </is>
      </c>
      <c r="F3917" s="67" t="n">
        <v>44856</v>
      </c>
      <c r="G3917" s="68" t="n"/>
    </row>
    <row r="3918">
      <c r="A3918" s="26" t="n">
        <v>97722</v>
      </c>
      <c r="B3918" s="26" t="inlineStr">
        <is>
          <t>RICHARDS WILD ROSE RED</t>
        </is>
      </c>
      <c r="C3918" s="75">
        <f>VLOOKUP(A3918,SizeData!A$2:B$3839,2,FALSE)</f>
        <v/>
      </c>
      <c r="D3918" s="26" t="n">
        <v>1</v>
      </c>
      <c r="E3918" s="26" t="inlineStr">
        <is>
          <t>R1841387</t>
        </is>
      </c>
      <c r="F3918" s="72" t="n">
        <v>44869</v>
      </c>
      <c r="G3918" s="73" t="n"/>
    </row>
    <row r="3919">
      <c r="A3919" s="6" t="n">
        <v>97722</v>
      </c>
      <c r="B3919" s="6" t="inlineStr">
        <is>
          <t>RICHARDS WILD ROSE RED</t>
        </is>
      </c>
      <c r="C3919" s="7">
        <f>VLOOKUP(A3919,SizeData!A$2:B$3839,2,FALSE)</f>
        <v/>
      </c>
      <c r="D3919" s="6" t="n">
        <v>1</v>
      </c>
      <c r="E3919" s="6" t="inlineStr">
        <is>
          <t>R1888886</t>
        </is>
      </c>
      <c r="F3919" s="67" t="n">
        <v>44902</v>
      </c>
      <c r="G3919" s="68" t="n"/>
    </row>
    <row r="3920">
      <c r="A3920" s="6" t="n">
        <v>97723</v>
      </c>
      <c r="B3920" s="6" t="inlineStr">
        <is>
          <t>RICHARDS WILD ROSE RED</t>
        </is>
      </c>
      <c r="C3920" s="7">
        <f>VLOOKUP(A3920,SizeData!A$2:B$3839,2,FALSE)</f>
        <v/>
      </c>
      <c r="D3920" s="6" t="n">
        <v>1</v>
      </c>
      <c r="E3920" s="6" t="inlineStr">
        <is>
          <t>R1437025</t>
        </is>
      </c>
      <c r="F3920" s="67" t="n">
        <v>44587</v>
      </c>
      <c r="G3920" s="68" t="n"/>
    </row>
    <row r="3921">
      <c r="A3921" s="6" t="n">
        <v>97723</v>
      </c>
      <c r="B3921" s="6" t="inlineStr">
        <is>
          <t>RICHARDS WILD ROSE RED</t>
        </is>
      </c>
      <c r="C3921" s="7">
        <f>VLOOKUP(A3921,SizeData!A$2:B$3839,2,FALSE)</f>
        <v/>
      </c>
      <c r="D3921" s="6" t="n">
        <v>2</v>
      </c>
      <c r="E3921" s="6" t="inlineStr">
        <is>
          <t>R1434873</t>
        </is>
      </c>
      <c r="F3921" s="67" t="n">
        <v>44595</v>
      </c>
      <c r="G3921" s="68" t="n"/>
    </row>
    <row r="3922">
      <c r="A3922" s="6" t="n">
        <v>97723</v>
      </c>
      <c r="B3922" s="6" t="inlineStr">
        <is>
          <t>RICHARDS WILD ROSE RED</t>
        </is>
      </c>
      <c r="C3922" s="7">
        <f>VLOOKUP(A3922,SizeData!A$2:B$3839,2,FALSE)</f>
        <v/>
      </c>
      <c r="D3922" s="6" t="n">
        <v>1</v>
      </c>
      <c r="E3922" s="6" t="inlineStr">
        <is>
          <t>R1489956</t>
        </is>
      </c>
      <c r="F3922" s="67" t="n">
        <v>44631</v>
      </c>
      <c r="G3922" s="68" t="n"/>
    </row>
    <row r="3923">
      <c r="A3923" s="6" t="n">
        <v>97723</v>
      </c>
      <c r="B3923" s="6" t="inlineStr">
        <is>
          <t>RICHARDS WILD ROSE RED</t>
        </is>
      </c>
      <c r="C3923" s="7">
        <f>VLOOKUP(A3923,SizeData!A$2:B$3839,2,FALSE)</f>
        <v/>
      </c>
      <c r="D3923" s="6" t="n">
        <v>1</v>
      </c>
      <c r="E3923" s="6" t="inlineStr">
        <is>
          <t>R1504703</t>
        </is>
      </c>
      <c r="F3923" s="67" t="n">
        <v>44632</v>
      </c>
      <c r="G3923" s="68" t="n"/>
    </row>
    <row r="3924">
      <c r="A3924" s="6" t="n">
        <v>97723</v>
      </c>
      <c r="B3924" s="6" t="inlineStr">
        <is>
          <t>RICHARDS WILD ROSE RED</t>
        </is>
      </c>
      <c r="C3924" s="7">
        <f>VLOOKUP(A3924,SizeData!A$2:B$3839,2,FALSE)</f>
        <v/>
      </c>
      <c r="D3924" s="6" t="n">
        <v>1</v>
      </c>
      <c r="E3924" s="6" t="inlineStr">
        <is>
          <t>R1527308</t>
        </is>
      </c>
      <c r="F3924" s="67" t="n">
        <v>44639</v>
      </c>
      <c r="G3924" s="68" t="n"/>
    </row>
    <row r="3925">
      <c r="A3925" s="6" t="n">
        <v>97723</v>
      </c>
      <c r="B3925" s="6" t="inlineStr">
        <is>
          <t>RICHARDS WILD ROSE RED</t>
        </is>
      </c>
      <c r="C3925" s="7">
        <f>VLOOKUP(A3925,SizeData!A$2:B$3839,2,FALSE)</f>
        <v/>
      </c>
      <c r="D3925" s="6" t="n">
        <v>1</v>
      </c>
      <c r="E3925" s="6" t="inlineStr">
        <is>
          <t>R1626725</t>
        </is>
      </c>
      <c r="F3925" s="67" t="n">
        <v>44705</v>
      </c>
      <c r="G3925" s="68" t="n"/>
    </row>
    <row r="3926">
      <c r="A3926" s="6" t="n">
        <v>97723</v>
      </c>
      <c r="B3926" s="6" t="inlineStr">
        <is>
          <t>RICHARDS WILD ROSE RED</t>
        </is>
      </c>
      <c r="C3926" s="7">
        <f>VLOOKUP(A3926,SizeData!A$2:B$3839,2,FALSE)</f>
        <v/>
      </c>
      <c r="D3926" s="6" t="n">
        <v>1</v>
      </c>
      <c r="E3926" s="6" t="inlineStr">
        <is>
          <t>R1703327</t>
        </is>
      </c>
      <c r="F3926" s="67" t="n">
        <v>44768</v>
      </c>
      <c r="G3926" s="68" t="n"/>
    </row>
    <row r="3927">
      <c r="A3927" s="6" t="n">
        <v>97723</v>
      </c>
      <c r="B3927" s="6" t="inlineStr">
        <is>
          <t>RICHARDS WILD ROSE RED</t>
        </is>
      </c>
      <c r="C3927" s="7">
        <f>VLOOKUP(A3927,SizeData!A$2:B$3839,2,FALSE)</f>
        <v/>
      </c>
      <c r="D3927" s="6" t="n">
        <v>1</v>
      </c>
      <c r="E3927" s="6" t="inlineStr">
        <is>
          <t>R1759302</t>
        </is>
      </c>
      <c r="F3927" s="67" t="n">
        <v>44806</v>
      </c>
      <c r="G3927" s="68" t="n"/>
    </row>
    <row r="3928">
      <c r="A3928" s="6" t="n">
        <v>97723</v>
      </c>
      <c r="B3928" s="6" t="inlineStr">
        <is>
          <t>RICHARDS WILD ROSE RED</t>
        </is>
      </c>
      <c r="C3928" s="7">
        <f>VLOOKUP(A3928,SizeData!A$2:B$3839,2,FALSE)</f>
        <v/>
      </c>
      <c r="D3928" s="6" t="n">
        <v>1</v>
      </c>
      <c r="E3928" s="6" t="inlineStr">
        <is>
          <t>R1768922</t>
        </is>
      </c>
      <c r="F3928" s="67" t="n">
        <v>44819</v>
      </c>
      <c r="G3928" s="68" t="n"/>
    </row>
    <row r="3929">
      <c r="A3929" s="6" t="n">
        <v>97723</v>
      </c>
      <c r="B3929" s="6" t="inlineStr">
        <is>
          <t>RICHARDS WILD ROSE RED</t>
        </is>
      </c>
      <c r="C3929" s="7">
        <f>VLOOKUP(A3929,SizeData!A$2:B$3839,2,FALSE)</f>
        <v/>
      </c>
      <c r="D3929" s="6" t="n">
        <v>1</v>
      </c>
      <c r="E3929" s="6" t="inlineStr">
        <is>
          <t>R1894248</t>
        </is>
      </c>
      <c r="F3929" s="67" t="n">
        <v>44902</v>
      </c>
      <c r="G3929" s="68" t="n"/>
    </row>
    <row r="3930">
      <c r="A3930" s="6" t="n">
        <v>97724</v>
      </c>
      <c r="B3930" s="6" t="inlineStr">
        <is>
          <t>RICHARDS WILD ROSE RED</t>
        </is>
      </c>
      <c r="C3930" s="7">
        <f>VLOOKUP(A3930,SizeData!A$2:B$3839,2,FALSE)</f>
        <v/>
      </c>
      <c r="D3930" s="6" t="n">
        <v>2</v>
      </c>
      <c r="E3930" s="6" t="inlineStr">
        <is>
          <t>R1437025</t>
        </is>
      </c>
      <c r="F3930" s="67" t="n">
        <v>44587</v>
      </c>
      <c r="G3930" s="68" t="n"/>
    </row>
    <row r="3931">
      <c r="A3931" s="6" t="n">
        <v>97724</v>
      </c>
      <c r="B3931" s="6" t="inlineStr">
        <is>
          <t>RICHARDS WILD ROSE RED</t>
        </is>
      </c>
      <c r="C3931" s="7">
        <f>VLOOKUP(A3931,SizeData!A$2:B$3839,2,FALSE)</f>
        <v/>
      </c>
      <c r="D3931" s="6" t="n">
        <v>1</v>
      </c>
      <c r="E3931" s="6" t="inlineStr">
        <is>
          <t>R1434427</t>
        </is>
      </c>
      <c r="F3931" s="67" t="n">
        <v>44588</v>
      </c>
      <c r="G3931" s="68" t="n"/>
    </row>
    <row r="3932">
      <c r="A3932" s="6" t="n">
        <v>97724</v>
      </c>
      <c r="B3932" s="6" t="inlineStr">
        <is>
          <t>RICHARDS WILD ROSE RED</t>
        </is>
      </c>
      <c r="C3932" s="7">
        <f>VLOOKUP(A3932,SizeData!A$2:B$3839,2,FALSE)</f>
        <v/>
      </c>
      <c r="D3932" s="6" t="n">
        <v>1</v>
      </c>
      <c r="E3932" s="6" t="inlineStr">
        <is>
          <t>R1537124</t>
        </is>
      </c>
      <c r="F3932" s="67" t="n">
        <v>44646</v>
      </c>
      <c r="G3932" s="68" t="n"/>
    </row>
    <row r="3933">
      <c r="A3933" s="6" t="n">
        <v>97724</v>
      </c>
      <c r="B3933" s="6" t="inlineStr">
        <is>
          <t>RICHARDS WILD ROSE RED</t>
        </is>
      </c>
      <c r="C3933" s="7">
        <f>VLOOKUP(A3933,SizeData!A$2:B$3839,2,FALSE)</f>
        <v/>
      </c>
      <c r="D3933" s="6" t="n">
        <v>1</v>
      </c>
      <c r="E3933" s="6" t="inlineStr">
        <is>
          <t>R1710843</t>
        </is>
      </c>
      <c r="F3933" s="67" t="n">
        <v>44764</v>
      </c>
      <c r="G3933" s="68" t="n"/>
    </row>
    <row r="3934">
      <c r="A3934" s="6" t="n">
        <v>97724</v>
      </c>
      <c r="B3934" s="6" t="inlineStr">
        <is>
          <t>RICHARDS WILD ROSE RED</t>
        </is>
      </c>
      <c r="C3934" s="7">
        <f>VLOOKUP(A3934,SizeData!A$2:B$3839,2,FALSE)</f>
        <v/>
      </c>
      <c r="D3934" s="6" t="n">
        <v>1</v>
      </c>
      <c r="E3934" s="6" t="inlineStr">
        <is>
          <t>R1749860</t>
        </is>
      </c>
      <c r="F3934" s="67" t="n">
        <v>44811</v>
      </c>
      <c r="G3934" s="68" t="n"/>
    </row>
    <row r="3935">
      <c r="A3935" s="6" t="n">
        <v>97724</v>
      </c>
      <c r="B3935" s="6" t="inlineStr">
        <is>
          <t>RICHARDS WILD ROSE RED</t>
        </is>
      </c>
      <c r="C3935" s="7">
        <f>VLOOKUP(A3935,SizeData!A$2:B$3839,2,FALSE)</f>
        <v/>
      </c>
      <c r="D3935" s="6" t="n">
        <v>1</v>
      </c>
      <c r="E3935" s="6" t="inlineStr">
        <is>
          <t>R1841387</t>
        </is>
      </c>
      <c r="F3935" s="67" t="n">
        <v>44869</v>
      </c>
      <c r="G3935" s="68" t="n"/>
    </row>
    <row r="3936">
      <c r="A3936" s="6" t="n">
        <v>97726</v>
      </c>
      <c r="B3936" s="6" t="inlineStr">
        <is>
          <t>RICHARDS WILD ROSE RED</t>
        </is>
      </c>
      <c r="C3936" s="7">
        <f>VLOOKUP(A3936,SizeData!A$2:B$3839,2,FALSE)</f>
        <v/>
      </c>
      <c r="D3936" s="6" t="n">
        <v>1</v>
      </c>
      <c r="E3936" s="6" t="inlineStr">
        <is>
          <t>R1527308</t>
        </is>
      </c>
      <c r="F3936" s="67" t="n">
        <v>44639</v>
      </c>
      <c r="G3936" s="68" t="n"/>
    </row>
    <row r="3937">
      <c r="A3937" s="6" t="n">
        <v>97726</v>
      </c>
      <c r="B3937" s="6" t="inlineStr">
        <is>
          <t>RICHARDS WILD ROSE RED</t>
        </is>
      </c>
      <c r="C3937" s="7">
        <f>VLOOKUP(A3937,SizeData!A$2:B$3839,2,FALSE)</f>
        <v/>
      </c>
      <c r="D3937" s="6" t="n">
        <v>1</v>
      </c>
      <c r="E3937" s="6" t="inlineStr">
        <is>
          <t>R1537124</t>
        </is>
      </c>
      <c r="F3937" s="67" t="n">
        <v>44646</v>
      </c>
      <c r="G3937" s="68" t="n"/>
    </row>
    <row r="3938">
      <c r="A3938" s="6" t="n">
        <v>97726</v>
      </c>
      <c r="B3938" s="6" t="inlineStr">
        <is>
          <t>RICHARDS WILD ROSE RED</t>
        </is>
      </c>
      <c r="C3938" s="7">
        <f>VLOOKUP(A3938,SizeData!A$2:B$3839,2,FALSE)</f>
        <v/>
      </c>
      <c r="D3938" s="6" t="n">
        <v>1</v>
      </c>
      <c r="E3938" s="6" t="inlineStr">
        <is>
          <t>R1690045</t>
        </is>
      </c>
      <c r="F3938" s="67" t="n">
        <v>44753</v>
      </c>
      <c r="G3938" s="68" t="n"/>
    </row>
    <row r="3939">
      <c r="A3939" s="6" t="n">
        <v>97726</v>
      </c>
      <c r="B3939" s="6" t="inlineStr">
        <is>
          <t>RICHARDS WILD ROSE RED</t>
        </is>
      </c>
      <c r="C3939" s="7">
        <f>VLOOKUP(A3939,SizeData!A$2:B$3839,2,FALSE)</f>
        <v/>
      </c>
      <c r="D3939" s="6" t="n">
        <v>1</v>
      </c>
      <c r="E3939" s="6" t="inlineStr">
        <is>
          <t>R1725567</t>
        </is>
      </c>
      <c r="F3939" s="67" t="n">
        <v>44779</v>
      </c>
      <c r="G3939" s="68" t="n"/>
    </row>
    <row r="3940">
      <c r="A3940" s="6" t="n">
        <v>97726</v>
      </c>
      <c r="B3940" s="6" t="inlineStr">
        <is>
          <t>RICHARDS WILD ROSE RED</t>
        </is>
      </c>
      <c r="C3940" s="7">
        <f>VLOOKUP(A3940,SizeData!A$2:B$3839,2,FALSE)</f>
        <v/>
      </c>
      <c r="D3940" s="6" t="n">
        <v>1</v>
      </c>
      <c r="E3940" s="6" t="inlineStr">
        <is>
          <t>R1767069</t>
        </is>
      </c>
      <c r="F3940" s="67" t="n">
        <v>44814</v>
      </c>
      <c r="G3940" s="68" t="n"/>
    </row>
    <row r="3941">
      <c r="A3941" s="6" t="n">
        <v>97726</v>
      </c>
      <c r="B3941" s="6" t="inlineStr">
        <is>
          <t>RICHARDS WILD ROSE RED</t>
        </is>
      </c>
      <c r="C3941" s="7">
        <f>VLOOKUP(A3941,SizeData!A$2:B$3839,2,FALSE)</f>
        <v/>
      </c>
      <c r="D3941" s="6" t="n">
        <v>1</v>
      </c>
      <c r="E3941" s="6" t="inlineStr">
        <is>
          <t>R1762971</t>
        </is>
      </c>
      <c r="F3941" s="67" t="n">
        <v>44814</v>
      </c>
      <c r="G3941" s="68" t="n"/>
    </row>
    <row r="3942">
      <c r="A3942" s="6" t="n">
        <v>97726</v>
      </c>
      <c r="B3942" s="6" t="inlineStr">
        <is>
          <t>RICHARDS WILD ROSE RED</t>
        </is>
      </c>
      <c r="C3942" s="7">
        <f>VLOOKUP(A3942,SizeData!A$2:B$3839,2,FALSE)</f>
        <v/>
      </c>
      <c r="D3942" s="6" t="n">
        <v>1</v>
      </c>
      <c r="E3942" s="6" t="inlineStr">
        <is>
          <t>R1827327</t>
        </is>
      </c>
      <c r="F3942" s="67" t="n">
        <v>44856</v>
      </c>
      <c r="G3942" s="68" t="n"/>
    </row>
    <row r="3943">
      <c r="A3943" s="6" t="n">
        <v>97726</v>
      </c>
      <c r="B3943" s="6" t="inlineStr">
        <is>
          <t>RICHARDS WILD ROSE RED</t>
        </is>
      </c>
      <c r="C3943" s="7">
        <f>VLOOKUP(A3943,SizeData!A$2:B$3839,2,FALSE)</f>
        <v/>
      </c>
      <c r="D3943" s="6" t="n">
        <v>2</v>
      </c>
      <c r="E3943" s="6" t="inlineStr">
        <is>
          <t>R1866868</t>
        </is>
      </c>
      <c r="F3943" s="67" t="n">
        <v>44882</v>
      </c>
      <c r="G3943" s="68" t="n"/>
    </row>
    <row r="3944">
      <c r="A3944" s="6" t="n">
        <v>97727</v>
      </c>
      <c r="B3944" s="6" t="inlineStr">
        <is>
          <t>RICHARDS WILD ROSE RED</t>
        </is>
      </c>
      <c r="C3944" s="7">
        <f>VLOOKUP(A3944,SizeData!A$2:B$3839,2,FALSE)</f>
        <v/>
      </c>
      <c r="D3944" s="6" t="n">
        <v>1</v>
      </c>
      <c r="E3944" s="6" t="inlineStr">
        <is>
          <t>R1489956</t>
        </is>
      </c>
      <c r="F3944" s="67" t="n">
        <v>44631</v>
      </c>
      <c r="G3944" s="68" t="n"/>
    </row>
    <row r="3945">
      <c r="A3945" s="6" t="n">
        <v>97727</v>
      </c>
      <c r="B3945" s="6" t="inlineStr">
        <is>
          <t>RICHARDS WILD ROSE RED</t>
        </is>
      </c>
      <c r="C3945" s="7">
        <f>VLOOKUP(A3945,SizeData!A$2:B$3839,2,FALSE)</f>
        <v/>
      </c>
      <c r="D3945" s="6" t="n">
        <v>1</v>
      </c>
      <c r="E3945" s="6" t="inlineStr">
        <is>
          <t>R1626725</t>
        </is>
      </c>
      <c r="F3945" s="67" t="n">
        <v>44705</v>
      </c>
      <c r="G3945" s="68" t="n"/>
    </row>
    <row r="3946">
      <c r="A3946" s="26" t="n">
        <v>97727</v>
      </c>
      <c r="B3946" s="26" t="inlineStr">
        <is>
          <t>RICHARDS WILD ROSE RED</t>
        </is>
      </c>
      <c r="C3946" s="7">
        <f>VLOOKUP(A3946,SizeData!A$2:B$3839,2,FALSE)</f>
        <v/>
      </c>
      <c r="D3946" s="26" t="n">
        <v>1</v>
      </c>
      <c r="E3946" s="26" t="inlineStr">
        <is>
          <t>R1725567</t>
        </is>
      </c>
      <c r="F3946" s="72" t="n">
        <v>44779</v>
      </c>
      <c r="G3946" s="73" t="n"/>
    </row>
    <row r="3947">
      <c r="A3947" s="26" t="n">
        <v>97727</v>
      </c>
      <c r="B3947" s="26" t="inlineStr">
        <is>
          <t>RICHARDS WILD ROSE RED</t>
        </is>
      </c>
      <c r="C3947" s="7">
        <f>VLOOKUP(A3947,SizeData!A$2:B$3839,2,FALSE)</f>
        <v/>
      </c>
      <c r="D3947" s="26" t="n">
        <v>1</v>
      </c>
      <c r="E3947" s="26" t="inlineStr">
        <is>
          <t>R1749860</t>
        </is>
      </c>
      <c r="F3947" s="72" t="n">
        <v>44811</v>
      </c>
      <c r="G3947" s="73" t="n"/>
    </row>
    <row r="3948">
      <c r="A3948" s="6" t="n">
        <v>97727</v>
      </c>
      <c r="B3948" s="6" t="inlineStr">
        <is>
          <t>RICHARDS WILD ROSE RED</t>
        </is>
      </c>
      <c r="C3948" s="7">
        <f>VLOOKUP(A3948,SizeData!A$2:B$3839,2,FALSE)</f>
        <v/>
      </c>
      <c r="D3948" s="6" t="n">
        <v>1</v>
      </c>
      <c r="E3948" s="6" t="inlineStr">
        <is>
          <t>R1816996</t>
        </is>
      </c>
      <c r="F3948" s="67" t="n">
        <v>44859</v>
      </c>
      <c r="G3948" s="68" t="n"/>
    </row>
    <row r="3949">
      <c r="A3949" s="26" t="n">
        <v>97727</v>
      </c>
      <c r="B3949" s="26" t="inlineStr">
        <is>
          <t>RICHARDS WILD ROSE RED</t>
        </is>
      </c>
      <c r="C3949" s="75">
        <f>VLOOKUP(A3949,SizeData!A$2:B$3839,2,FALSE)</f>
        <v/>
      </c>
      <c r="D3949" s="26" t="n">
        <v>1</v>
      </c>
      <c r="E3949" s="26" t="inlineStr">
        <is>
          <t>R1840965</t>
        </is>
      </c>
      <c r="F3949" s="72" t="n">
        <v>44863</v>
      </c>
      <c r="G3949" s="73" t="n"/>
    </row>
    <row r="3950">
      <c r="A3950" s="6" t="n">
        <v>97727</v>
      </c>
      <c r="B3950" s="6" t="inlineStr">
        <is>
          <t>RICHARDS WILD ROSE RED</t>
        </is>
      </c>
      <c r="C3950" s="7">
        <f>VLOOKUP(A3950,SizeData!A$2:B$3839,2,FALSE)</f>
        <v/>
      </c>
      <c r="D3950" s="6" t="n">
        <v>1</v>
      </c>
      <c r="E3950" s="6" t="inlineStr">
        <is>
          <t>R1894248</t>
        </is>
      </c>
      <c r="F3950" s="67" t="n">
        <v>44902</v>
      </c>
      <c r="G3950" s="68" t="n"/>
    </row>
    <row r="3951">
      <c r="A3951" s="6" t="n">
        <v>378810</v>
      </c>
      <c r="B3951" s="6" t="inlineStr">
        <is>
          <t>RIUNITE D' ORO MOSCATO</t>
        </is>
      </c>
      <c r="C3951" s="7">
        <f>VLOOKUP(A3951,SizeData!A$2:B$3839,2,FALSE)</f>
        <v/>
      </c>
      <c r="D3951" s="6" t="n">
        <v>1</v>
      </c>
      <c r="E3951" s="6" t="inlineStr">
        <is>
          <t>R1424786</t>
        </is>
      </c>
      <c r="F3951" s="67" t="n">
        <v>44593</v>
      </c>
      <c r="G3951" s="68" t="n"/>
    </row>
    <row r="3952">
      <c r="A3952" s="6" t="n">
        <v>378810</v>
      </c>
      <c r="B3952" s="6" t="inlineStr">
        <is>
          <t>RIUNITE D' ORO MOSCATO</t>
        </is>
      </c>
      <c r="C3952" s="7">
        <f>VLOOKUP(A3952,SizeData!A$2:B$3839,2,FALSE)</f>
        <v/>
      </c>
      <c r="D3952" s="6" t="n">
        <v>1</v>
      </c>
      <c r="E3952" s="6" t="inlineStr">
        <is>
          <t>R1723520</t>
        </is>
      </c>
      <c r="F3952" s="67" t="n">
        <v>44782</v>
      </c>
      <c r="G3952" s="68" t="n"/>
    </row>
    <row r="3953">
      <c r="A3953" s="6" t="n">
        <v>378910</v>
      </c>
      <c r="B3953" s="6" t="inlineStr">
        <is>
          <t>RIUNITE LAMBRUSCO</t>
        </is>
      </c>
      <c r="C3953" s="7">
        <f>VLOOKUP(A3953,SizeData!A$2:B$3839,2,FALSE)</f>
        <v/>
      </c>
      <c r="D3953" s="6" t="n">
        <v>1</v>
      </c>
      <c r="E3953" s="6" t="inlineStr">
        <is>
          <t>R1499946</t>
        </is>
      </c>
      <c r="F3953" s="67" t="n">
        <v>44627</v>
      </c>
      <c r="G3953" s="68" t="n"/>
    </row>
    <row r="3954">
      <c r="A3954" s="6" t="n">
        <v>378910</v>
      </c>
      <c r="B3954" s="6" t="inlineStr">
        <is>
          <t>RIUNITE LAMBRUSCO</t>
        </is>
      </c>
      <c r="C3954" s="7">
        <f>VLOOKUP(A3954,SizeData!A$2:B$3839,2,FALSE)</f>
        <v/>
      </c>
      <c r="D3954" s="6" t="n">
        <v>1</v>
      </c>
      <c r="E3954" s="6" t="inlineStr">
        <is>
          <t>R1568544</t>
        </is>
      </c>
      <c r="F3954" s="67" t="n">
        <v>44669</v>
      </c>
      <c r="G3954" s="68" t="n"/>
    </row>
    <row r="3955">
      <c r="A3955" s="6" t="n">
        <v>378910</v>
      </c>
      <c r="B3955" s="6" t="inlineStr">
        <is>
          <t>RIUNITE LAMBRUSCO</t>
        </is>
      </c>
      <c r="C3955" s="7">
        <f>VLOOKUP(A3955,SizeData!A$2:B$3839,2,FALSE)</f>
        <v/>
      </c>
      <c r="D3955" s="6" t="n">
        <v>1</v>
      </c>
      <c r="E3955" s="6" t="inlineStr">
        <is>
          <t>R1638121</t>
        </is>
      </c>
      <c r="F3955" s="67" t="n">
        <v>44721</v>
      </c>
      <c r="G3955" s="68" t="n"/>
    </row>
    <row r="3956">
      <c r="A3956" s="6" t="n">
        <v>378910</v>
      </c>
      <c r="B3956" s="6" t="inlineStr">
        <is>
          <t>RIUNITE LAMBRUSCO</t>
        </is>
      </c>
      <c r="C3956" s="7">
        <f>VLOOKUP(A3956,SizeData!A$2:B$3839,2,FALSE)</f>
        <v/>
      </c>
      <c r="D3956" s="6" t="n">
        <v>1</v>
      </c>
      <c r="E3956" s="6" t="inlineStr">
        <is>
          <t>R1723520</t>
        </is>
      </c>
      <c r="F3956" s="67" t="n">
        <v>44782</v>
      </c>
      <c r="G3956" s="68" t="n"/>
    </row>
    <row r="3957">
      <c r="A3957" s="6" t="n">
        <v>378910</v>
      </c>
      <c r="B3957" s="6" t="inlineStr">
        <is>
          <t>RIUNITE LAMBRUSCO</t>
        </is>
      </c>
      <c r="C3957" s="7">
        <f>VLOOKUP(A3957,SizeData!A$2:B$3839,2,FALSE)</f>
        <v/>
      </c>
      <c r="D3957" s="6" t="n">
        <v>2</v>
      </c>
      <c r="E3957" s="6" t="inlineStr">
        <is>
          <t>R1844996</t>
        </is>
      </c>
      <c r="F3957" s="67" t="n">
        <v>44873</v>
      </c>
      <c r="G3957" s="68" t="n"/>
    </row>
    <row r="3958">
      <c r="A3958" s="6" t="n">
        <v>378915</v>
      </c>
      <c r="B3958" s="6" t="inlineStr">
        <is>
          <t>RIUNITE LAMBRUSCO</t>
        </is>
      </c>
      <c r="C3958" s="7">
        <f>VLOOKUP(A3958,SizeData!A$2:B$3839,2,FALSE)</f>
        <v/>
      </c>
      <c r="D3958" s="6" t="n">
        <v>2</v>
      </c>
      <c r="E3958" s="6" t="inlineStr">
        <is>
          <t>R1599922</t>
        </is>
      </c>
      <c r="F3958" s="67" t="n">
        <v>44696</v>
      </c>
      <c r="G3958" s="68" t="n"/>
    </row>
    <row r="3959">
      <c r="A3959" s="6" t="n">
        <v>378915</v>
      </c>
      <c r="B3959" s="6" t="inlineStr">
        <is>
          <t>RIUNITE LAMBRUSCO</t>
        </is>
      </c>
      <c r="C3959" s="7">
        <f>VLOOKUP(A3959,SizeData!A$2:B$3839,2,FALSE)</f>
        <v/>
      </c>
      <c r="D3959" s="6" t="n">
        <v>2</v>
      </c>
      <c r="E3959" s="6" t="inlineStr">
        <is>
          <t xml:space="preserve"> R1632464</t>
        </is>
      </c>
      <c r="F3959" s="67" t="n">
        <v>44715</v>
      </c>
      <c r="G3959" s="68" t="n"/>
    </row>
    <row r="3960">
      <c r="A3960" s="6" t="n">
        <v>378915</v>
      </c>
      <c r="B3960" s="6" t="inlineStr">
        <is>
          <t>RIUNITE LAMBRUSCO</t>
        </is>
      </c>
      <c r="C3960" s="7">
        <f>VLOOKUP(A3960,SizeData!A$2:B$3839,2,FALSE)</f>
        <v/>
      </c>
      <c r="D3960" s="6" t="n">
        <v>1</v>
      </c>
      <c r="E3960" s="6" t="inlineStr">
        <is>
          <t>R1638121</t>
        </is>
      </c>
      <c r="F3960" s="67" t="n">
        <v>44721</v>
      </c>
      <c r="G3960" s="68" t="n"/>
    </row>
    <row r="3961">
      <c r="A3961" s="6" t="n">
        <v>378915</v>
      </c>
      <c r="B3961" s="6" t="inlineStr">
        <is>
          <t>RIUNITE LAMBRUSCO</t>
        </is>
      </c>
      <c r="C3961" s="7">
        <f>VLOOKUP(A3961,SizeData!A$2:B$3839,2,FALSE)</f>
        <v/>
      </c>
      <c r="D3961" s="6" t="n">
        <v>2</v>
      </c>
      <c r="E3961" s="6" t="inlineStr">
        <is>
          <t>R1696453</t>
        </is>
      </c>
      <c r="F3961" s="67" t="n">
        <v>44758</v>
      </c>
      <c r="G3961" s="68" t="n"/>
    </row>
    <row r="3962">
      <c r="A3962" s="6" t="n">
        <v>378915</v>
      </c>
      <c r="B3962" s="6" t="inlineStr">
        <is>
          <t>RIUNITE LAMBRUSCO</t>
        </is>
      </c>
      <c r="C3962" s="7">
        <f>VLOOKUP(A3962,SizeData!A$2:B$3839,2,FALSE)</f>
        <v/>
      </c>
      <c r="D3962" s="6" t="n">
        <v>2</v>
      </c>
      <c r="E3962" s="6" t="inlineStr">
        <is>
          <t>R1703327</t>
        </is>
      </c>
      <c r="F3962" s="67" t="n">
        <v>44768</v>
      </c>
      <c r="G3962" s="68" t="n"/>
    </row>
    <row r="3963">
      <c r="A3963" s="6" t="n">
        <v>378915</v>
      </c>
      <c r="B3963" s="6" t="inlineStr">
        <is>
          <t>RIUNITE LAMBRUSCO</t>
        </is>
      </c>
      <c r="C3963" s="7">
        <f>VLOOKUP(A3963,SizeData!A$2:B$3839,2,FALSE)</f>
        <v/>
      </c>
      <c r="D3963" s="6" t="n">
        <v>1</v>
      </c>
      <c r="E3963" s="6" t="inlineStr">
        <is>
          <t>R1720686</t>
        </is>
      </c>
      <c r="F3963" s="67" t="n">
        <v>44776</v>
      </c>
      <c r="G3963" s="68" t="n"/>
    </row>
    <row r="3964">
      <c r="A3964" s="6" t="n">
        <v>378915</v>
      </c>
      <c r="B3964" s="6" t="inlineStr">
        <is>
          <t>RIUNITE LAMBRUSCO</t>
        </is>
      </c>
      <c r="C3964" s="7">
        <f>VLOOKUP(A3964,SizeData!A$2:B$3839,2,FALSE)</f>
        <v/>
      </c>
      <c r="D3964" s="6" t="n">
        <v>1</v>
      </c>
      <c r="E3964" s="6" t="inlineStr">
        <is>
          <t>R1723520</t>
        </is>
      </c>
      <c r="F3964" s="67" t="n">
        <v>44782</v>
      </c>
      <c r="G3964" s="68" t="n"/>
    </row>
    <row r="3965">
      <c r="A3965" s="6" t="n">
        <v>378915</v>
      </c>
      <c r="B3965" s="6" t="inlineStr">
        <is>
          <t>RIUNITE LAMBRUSCO</t>
        </is>
      </c>
      <c r="C3965" s="7">
        <f>VLOOKUP(A3965,SizeData!A$2:B$3839,2,FALSE)</f>
        <v/>
      </c>
      <c r="D3965" s="6" t="n">
        <v>1</v>
      </c>
      <c r="E3965" s="6" t="inlineStr">
        <is>
          <t>R1727741</t>
        </is>
      </c>
      <c r="F3965" s="67" t="n">
        <v>44786</v>
      </c>
      <c r="G3965" s="68" t="n"/>
    </row>
    <row r="3966">
      <c r="A3966" s="6" t="n">
        <v>378915</v>
      </c>
      <c r="B3966" s="6" t="inlineStr">
        <is>
          <t>RIUNITE LAMBRUSCO</t>
        </is>
      </c>
      <c r="C3966" s="7">
        <f>VLOOKUP(A3966,SizeData!A$2:B$3839,2,FALSE)</f>
        <v/>
      </c>
      <c r="D3966" s="6" t="n">
        <v>5</v>
      </c>
      <c r="E3966" s="6" t="inlineStr">
        <is>
          <t>R1844996</t>
        </is>
      </c>
      <c r="F3966" s="67" t="n">
        <v>44873</v>
      </c>
      <c r="G3966" s="68" t="n"/>
    </row>
    <row r="3967">
      <c r="A3967" s="6" t="n">
        <v>378920</v>
      </c>
      <c r="B3967" s="6" t="inlineStr">
        <is>
          <t>RIUNITE LAMBRUSCO</t>
        </is>
      </c>
      <c r="C3967" s="7">
        <f>VLOOKUP(A3967,SizeData!A$2:B$3839,2,FALSE)</f>
        <v/>
      </c>
      <c r="D3967" s="6" t="n">
        <v>1</v>
      </c>
      <c r="E3967" s="6" t="inlineStr">
        <is>
          <t>R1437002</t>
        </is>
      </c>
      <c r="F3967" s="67" t="n">
        <v>44586</v>
      </c>
      <c r="G3967" s="68" t="n"/>
    </row>
    <row r="3968">
      <c r="A3968" s="6" t="n">
        <v>378920</v>
      </c>
      <c r="B3968" s="6" t="inlineStr">
        <is>
          <t>RIUNITE LAMBRUSCO</t>
        </is>
      </c>
      <c r="C3968" s="7">
        <f>VLOOKUP(A3968,SizeData!A$2:B$3839,2,FALSE)</f>
        <v/>
      </c>
      <c r="D3968" s="6" t="n">
        <v>1</v>
      </c>
      <c r="E3968" s="6" t="inlineStr">
        <is>
          <t>R1499946</t>
        </is>
      </c>
      <c r="F3968" s="67" t="n">
        <v>44627</v>
      </c>
      <c r="G3968" s="68" t="n"/>
    </row>
    <row r="3969">
      <c r="A3969" s="6" t="n">
        <v>378920</v>
      </c>
      <c r="B3969" s="6" t="inlineStr">
        <is>
          <t>RIUNITE LAMBRUSCO</t>
        </is>
      </c>
      <c r="C3969" s="7">
        <f>VLOOKUP(A3969,SizeData!A$2:B$3839,2,FALSE)</f>
        <v/>
      </c>
      <c r="D3969" s="6" t="n">
        <v>2</v>
      </c>
      <c r="E3969" s="6" t="inlineStr">
        <is>
          <t>R1572421</t>
        </is>
      </c>
      <c r="F3969" s="67" t="n">
        <v>44667</v>
      </c>
      <c r="G3969" s="68" t="n"/>
    </row>
    <row r="3970">
      <c r="A3970" s="6" t="n">
        <v>378920</v>
      </c>
      <c r="B3970" s="6" t="inlineStr">
        <is>
          <t>RIUNITE LAMBRUSCO</t>
        </is>
      </c>
      <c r="C3970" s="7">
        <f>VLOOKUP(A3970,SizeData!A$2:B$3839,2,FALSE)</f>
        <v/>
      </c>
      <c r="D3970" s="6" t="n">
        <v>1</v>
      </c>
      <c r="E3970" s="6" t="inlineStr">
        <is>
          <t>R1599922</t>
        </is>
      </c>
      <c r="F3970" s="67" t="n">
        <v>44696</v>
      </c>
      <c r="G3970" s="68" t="n"/>
    </row>
    <row r="3971">
      <c r="A3971" s="6" t="n">
        <v>378920</v>
      </c>
      <c r="B3971" s="6" t="inlineStr">
        <is>
          <t>RIUNITE LAMBRUSCO</t>
        </is>
      </c>
      <c r="C3971" s="7">
        <f>VLOOKUP(A3971,SizeData!A$2:B$3839,2,FALSE)</f>
        <v/>
      </c>
      <c r="D3971" s="6" t="n">
        <v>1</v>
      </c>
      <c r="E3971" s="6" t="inlineStr">
        <is>
          <t>R1696453</t>
        </is>
      </c>
      <c r="F3971" s="67" t="n">
        <v>44758</v>
      </c>
      <c r="G3971" s="68" t="n"/>
    </row>
    <row r="3972">
      <c r="A3972" s="6" t="n">
        <v>378920</v>
      </c>
      <c r="B3972" s="6" t="inlineStr">
        <is>
          <t>RIUNITE LAMBRUSCO</t>
        </is>
      </c>
      <c r="C3972" s="7">
        <f>VLOOKUP(A3972,SizeData!A$2:B$3839,2,FALSE)</f>
        <v/>
      </c>
      <c r="D3972" s="6" t="n">
        <v>1</v>
      </c>
      <c r="E3972" s="6" t="inlineStr">
        <is>
          <t>R1761638</t>
        </is>
      </c>
      <c r="F3972" s="67" t="n">
        <v>44807</v>
      </c>
      <c r="G3972" s="68" t="n"/>
    </row>
    <row r="3973">
      <c r="A3973" s="6" t="n">
        <v>378920</v>
      </c>
      <c r="B3973" s="6" t="inlineStr">
        <is>
          <t>RIUNITE LAMBRUSCO</t>
        </is>
      </c>
      <c r="C3973" s="7">
        <f>VLOOKUP(A3973,SizeData!A$2:B$3839,2,FALSE)</f>
        <v/>
      </c>
      <c r="D3973" s="6" t="n">
        <v>1</v>
      </c>
      <c r="E3973" s="6" t="inlineStr">
        <is>
          <t>R1768922</t>
        </is>
      </c>
      <c r="F3973" s="67" t="n">
        <v>44819</v>
      </c>
      <c r="G3973" s="68" t="n"/>
    </row>
    <row r="3974">
      <c r="A3974" s="6" t="n">
        <v>378920</v>
      </c>
      <c r="B3974" s="6" t="inlineStr">
        <is>
          <t>RIUNITE LAMBRUSCO</t>
        </is>
      </c>
      <c r="C3974" s="7">
        <f>VLOOKUP(A3974,SizeData!A$2:B$3839,2,FALSE)</f>
        <v/>
      </c>
      <c r="D3974" s="6" t="n">
        <v>3</v>
      </c>
      <c r="E3974" s="6" t="inlineStr">
        <is>
          <t>R1844996</t>
        </is>
      </c>
      <c r="F3974" s="67" t="n">
        <v>44873</v>
      </c>
      <c r="G3974" s="68" t="n"/>
    </row>
    <row r="3975">
      <c r="A3975" s="6" t="n">
        <v>378820</v>
      </c>
      <c r="B3975" s="6" t="inlineStr">
        <is>
          <t>RIUNITE TREBBIANO MOSCATO EMILY</t>
        </is>
      </c>
      <c r="C3975" s="7">
        <f>VLOOKUP(A3975,SizeData!A$2:B$3839,2,FALSE)</f>
        <v/>
      </c>
      <c r="D3975" s="6" t="n">
        <v>1</v>
      </c>
      <c r="E3975" s="6" t="inlineStr">
        <is>
          <t>R1393111</t>
        </is>
      </c>
      <c r="F3975" s="67" t="n">
        <v>44559</v>
      </c>
      <c r="G3975" s="68" t="n"/>
    </row>
    <row r="3976">
      <c r="A3976" s="6" t="n">
        <v>378820</v>
      </c>
      <c r="B3976" s="6" t="inlineStr">
        <is>
          <t>RIUNITE TREBBIANO MOSCATO EMILY</t>
        </is>
      </c>
      <c r="C3976" s="7">
        <f>VLOOKUP(A3976,SizeData!A$2:B$3839,2,FALSE)</f>
        <v/>
      </c>
      <c r="D3976" s="6" t="n">
        <v>1</v>
      </c>
      <c r="E3976" s="6" t="inlineStr">
        <is>
          <t>R1431061</t>
        </is>
      </c>
      <c r="F3976" s="67" t="n">
        <v>44583</v>
      </c>
      <c r="G3976" s="68" t="n"/>
    </row>
    <row r="3977">
      <c r="A3977" s="6" t="n">
        <v>378820</v>
      </c>
      <c r="B3977" s="6" t="inlineStr">
        <is>
          <t>RIUNITE TREBBIANO MOSCATO EMILY</t>
        </is>
      </c>
      <c r="C3977" s="7">
        <f>VLOOKUP(A3977,SizeData!A$2:B$3839,2,FALSE)</f>
        <v/>
      </c>
      <c r="D3977" s="6" t="n">
        <v>1</v>
      </c>
      <c r="E3977" s="6" t="inlineStr">
        <is>
          <t>R1599922</t>
        </is>
      </c>
      <c r="F3977" s="67" t="n">
        <v>44696</v>
      </c>
      <c r="G3977" s="68" t="n"/>
    </row>
    <row r="3978">
      <c r="A3978" s="6" t="n">
        <v>498044</v>
      </c>
      <c r="B3978" s="6" t="inlineStr">
        <is>
          <t>ROBERT MONDAVI PRIVATE SEL CAB SAUV BOURBON BARREL</t>
        </is>
      </c>
      <c r="C3978" s="7">
        <f>VLOOKUP(A3978,SizeData!A$2:B$3839,2,FALSE)</f>
        <v/>
      </c>
      <c r="D3978" s="6" t="n">
        <v>1</v>
      </c>
      <c r="E3978" s="6" t="inlineStr">
        <is>
          <t>R1413566</t>
        </is>
      </c>
      <c r="F3978" s="67" t="n">
        <v>44580</v>
      </c>
      <c r="G3978" s="68" t="n"/>
    </row>
    <row r="3979">
      <c r="A3979" s="6" t="n">
        <v>498105</v>
      </c>
      <c r="B3979" s="6" t="inlineStr">
        <is>
          <t>ROBERT MONDAVI WOODBRIDGE CABERNET SAUVIGNON</t>
        </is>
      </c>
      <c r="C3979" s="7">
        <f>VLOOKUP(A3979,SizeData!A$2:B$3839,2,FALSE)</f>
        <v/>
      </c>
      <c r="D3979" s="6" t="n">
        <v>3</v>
      </c>
      <c r="E3979" s="6" t="inlineStr">
        <is>
          <t>R1393008</t>
        </is>
      </c>
      <c r="F3979" s="67" t="n">
        <v>44558</v>
      </c>
      <c r="G3979" s="68" t="n"/>
    </row>
    <row r="3980">
      <c r="A3980" s="6" t="n">
        <v>379260</v>
      </c>
      <c r="B3980" s="6" t="inlineStr">
        <is>
          <t>ROSATO GOLD ROSSO DULCE SWEET RED</t>
        </is>
      </c>
      <c r="C3980" s="7">
        <f>VLOOKUP(A3980,SizeData!A$2:B$3839,2,FALSE)</f>
        <v/>
      </c>
      <c r="D3980" s="6" t="n">
        <v>2</v>
      </c>
      <c r="E3980" s="6" t="inlineStr">
        <is>
          <t>R1588623</t>
        </is>
      </c>
      <c r="F3980" s="67" t="n">
        <v>44681</v>
      </c>
      <c r="G3980" s="68" t="n"/>
    </row>
    <row r="3981">
      <c r="A3981" s="6" t="n">
        <v>379260</v>
      </c>
      <c r="B3981" s="6" t="inlineStr">
        <is>
          <t>ROSATO GOLD ROSSO DULCE SWEET RED</t>
        </is>
      </c>
      <c r="C3981" s="7">
        <f>VLOOKUP(A3981,SizeData!A$2:B$3839,2,FALSE)</f>
        <v/>
      </c>
      <c r="D3981" s="6" t="n">
        <v>3</v>
      </c>
      <c r="E3981" s="6" t="inlineStr">
        <is>
          <t>R1881344</t>
        </is>
      </c>
      <c r="F3981" s="67" t="n">
        <v>44893</v>
      </c>
      <c r="G3981" s="68" t="n"/>
    </row>
    <row r="3982">
      <c r="A3982" s="6" t="n">
        <v>379260</v>
      </c>
      <c r="B3982" s="6" t="inlineStr">
        <is>
          <t>ROSCATO GOLD ROSSO DOLCE</t>
        </is>
      </c>
      <c r="C3982" s="7">
        <f>VLOOKUP(A3982,SizeData!A$2:B$3839,2,FALSE)</f>
        <v/>
      </c>
      <c r="D3982" s="6" t="n">
        <v>1</v>
      </c>
      <c r="E3982" s="6" t="inlineStr">
        <is>
          <t>R1439543</t>
        </is>
      </c>
      <c r="F3982" s="67" t="n">
        <v>44594</v>
      </c>
      <c r="G3982" s="68" t="n"/>
    </row>
    <row r="3983">
      <c r="A3983" s="6" t="n">
        <v>379260</v>
      </c>
      <c r="B3983" s="6" t="inlineStr">
        <is>
          <t>ROSCATO GOLD ROSSO DOLCE</t>
        </is>
      </c>
      <c r="C3983" s="7">
        <f>VLOOKUP(A3983,SizeData!A$2:B$3839,2,FALSE)</f>
        <v/>
      </c>
      <c r="D3983" s="6" t="n">
        <v>1</v>
      </c>
      <c r="E3983" s="6" t="inlineStr">
        <is>
          <t>R1555356</t>
        </is>
      </c>
      <c r="F3983" s="67" t="n">
        <v>44654</v>
      </c>
      <c r="G3983" s="68" t="n"/>
    </row>
    <row r="3984">
      <c r="A3984" s="6" t="n">
        <v>379260</v>
      </c>
      <c r="B3984" s="6" t="inlineStr">
        <is>
          <t>ROSCATO GOLD ROSSO DOLCE</t>
        </is>
      </c>
      <c r="C3984" s="7">
        <f>VLOOKUP(A3984,SizeData!A$2:B$3839,2,FALSE)</f>
        <v/>
      </c>
      <c r="D3984" s="6" t="n">
        <v>2</v>
      </c>
      <c r="E3984" s="6" t="inlineStr">
        <is>
          <t>R1569610</t>
        </is>
      </c>
      <c r="F3984" s="67" t="n">
        <v>44669</v>
      </c>
      <c r="G3984" s="68" t="n"/>
    </row>
    <row r="3985">
      <c r="A3985" s="6" t="n">
        <v>379250</v>
      </c>
      <c r="B3985" s="6" t="inlineStr">
        <is>
          <t>ROSCATO ROSSO DOLCE PROVENCIA DI PAVIA</t>
        </is>
      </c>
      <c r="C3985" s="7">
        <f>VLOOKUP(A3985,SizeData!A$2:B$3839,2,FALSE)</f>
        <v/>
      </c>
      <c r="D3985" s="6" t="n">
        <v>5</v>
      </c>
      <c r="E3985" s="6" t="inlineStr">
        <is>
          <t>R1682790</t>
        </is>
      </c>
      <c r="F3985" s="67" t="n">
        <v>44762</v>
      </c>
      <c r="G3985" s="68" t="n"/>
    </row>
    <row r="3986">
      <c r="A3986" s="6" t="n">
        <v>73051</v>
      </c>
      <c r="B3986" s="6" t="inlineStr">
        <is>
          <t>RUM CHATA HORCHATA CREAM LIQ (RUM BASE)</t>
        </is>
      </c>
      <c r="C3986" s="7">
        <f>VLOOKUP(A3986,SizeData!A$2:B$3839,2,FALSE)</f>
        <v/>
      </c>
      <c r="D3986" s="6" t="n">
        <v>1</v>
      </c>
      <c r="E3986" s="6" t="inlineStr">
        <is>
          <t>R1811635</t>
        </is>
      </c>
      <c r="F3986" s="67" t="n">
        <v>44845</v>
      </c>
      <c r="G3986" s="68" t="n"/>
    </row>
    <row r="3987">
      <c r="A3987" s="6" t="n">
        <v>73052</v>
      </c>
      <c r="B3987" s="6" t="inlineStr">
        <is>
          <t>RUM CHATA HORCHATA CREAM LIQUEUR (RUM BASE)</t>
        </is>
      </c>
      <c r="C3987" s="7">
        <f>VLOOKUP(A3987,SizeData!A$2:B$3839,2,FALSE)</f>
        <v/>
      </c>
      <c r="D3987" s="6" t="n">
        <v>1</v>
      </c>
      <c r="E3987" s="6" t="inlineStr">
        <is>
          <t>R1606546</t>
        </is>
      </c>
      <c r="F3987" s="67" t="n">
        <v>44690</v>
      </c>
      <c r="G3987" s="68" t="n"/>
    </row>
    <row r="3988">
      <c r="A3988" s="6" t="n">
        <v>73055</v>
      </c>
      <c r="B3988" s="6" t="inlineStr">
        <is>
          <t>RUM CHATA HORCHATA CREAM LIQUEUR (RUM BASE)</t>
        </is>
      </c>
      <c r="C3988" s="7">
        <f>VLOOKUP(A3988,SizeData!A$2:B$3839,2,FALSE)</f>
        <v/>
      </c>
      <c r="D3988" s="6" t="n">
        <v>1</v>
      </c>
      <c r="E3988" s="6" t="inlineStr">
        <is>
          <t>R1725567</t>
        </is>
      </c>
      <c r="F3988" s="67" t="n">
        <v>44779</v>
      </c>
      <c r="G3988" s="68" t="n"/>
    </row>
    <row r="3989">
      <c r="A3989" s="6" t="n">
        <v>73055</v>
      </c>
      <c r="B3989" s="6" t="inlineStr">
        <is>
          <t>RUM CHATA HORCHATA CREAM LIQUEUR (RUM BASE)</t>
        </is>
      </c>
      <c r="C3989" s="7">
        <f>VLOOKUP(A3989,SizeData!A$2:B$3839,2,FALSE)</f>
        <v/>
      </c>
      <c r="D3989" s="6" t="n">
        <v>1</v>
      </c>
      <c r="E3989" s="6" t="inlineStr">
        <is>
          <t>R1762971</t>
        </is>
      </c>
      <c r="F3989" s="67" t="n">
        <v>44814</v>
      </c>
      <c r="G3989" s="68" t="n"/>
    </row>
    <row r="3990">
      <c r="A3990" s="6" t="n">
        <v>73055</v>
      </c>
      <c r="B3990" s="6" t="inlineStr">
        <is>
          <t>RUM CHATA HORCHATA CREAM LIQUOR (RUM BASE)</t>
        </is>
      </c>
      <c r="C3990" s="7">
        <f>VLOOKUP(A3990,SizeData!A$2:B$3839,2,FALSE)</f>
        <v/>
      </c>
      <c r="D3990" s="6" t="n">
        <v>1</v>
      </c>
      <c r="E3990" s="6" t="inlineStr">
        <is>
          <t>R1393008</t>
        </is>
      </c>
      <c r="F3990" s="67" t="n">
        <v>44558</v>
      </c>
      <c r="G3990" s="68" t="n"/>
    </row>
    <row r="3991">
      <c r="A3991" s="6" t="n">
        <v>80458</v>
      </c>
      <c r="B3991" s="6" t="inlineStr">
        <is>
          <t>RYAN'S CREAM</t>
        </is>
      </c>
      <c r="C3991" s="7">
        <f>VLOOKUP(A3991,SizeData!A$2:B$3839,2,FALSE)</f>
        <v/>
      </c>
      <c r="D3991" s="6" t="n">
        <v>2</v>
      </c>
      <c r="E3991" s="6" t="inlineStr">
        <is>
          <t>R1393111</t>
        </is>
      </c>
      <c r="F3991" s="67" t="n">
        <v>44559</v>
      </c>
      <c r="G3991" s="68" t="n"/>
    </row>
    <row r="3992">
      <c r="A3992" s="6" t="n">
        <v>80456</v>
      </c>
      <c r="B3992" s="6" t="inlineStr">
        <is>
          <t>RYAN'S ORIGINAL CREME</t>
        </is>
      </c>
      <c r="C3992" s="7">
        <f>VLOOKUP(A3992,SizeData!A$2:B$3839,2,FALSE)</f>
        <v/>
      </c>
      <c r="D3992" s="6" t="n">
        <v>1</v>
      </c>
      <c r="E3992" s="6" t="inlineStr">
        <is>
          <t>R1727399</t>
        </is>
      </c>
      <c r="F3992" s="67" t="n">
        <v>44786</v>
      </c>
      <c r="G3992" s="68" t="n"/>
    </row>
    <row r="3993">
      <c r="A3993" s="26" t="n">
        <v>80456</v>
      </c>
      <c r="B3993" s="26" t="inlineStr">
        <is>
          <t>RYAN'S ORIGINAL CREME</t>
        </is>
      </c>
      <c r="C3993" s="7">
        <f>VLOOKUP(A3993,SizeData!A$2:B$3839,2,FALSE)</f>
        <v/>
      </c>
      <c r="D3993" s="26" t="n">
        <v>1</v>
      </c>
      <c r="E3993" s="26" t="inlineStr">
        <is>
          <t>R1751391</t>
        </is>
      </c>
      <c r="F3993" s="72" t="n">
        <v>44805</v>
      </c>
      <c r="G3993" s="73" t="n"/>
    </row>
    <row r="3994">
      <c r="A3994" s="6" t="n">
        <v>80458</v>
      </c>
      <c r="B3994" s="6" t="inlineStr">
        <is>
          <t>RYAN'S ORIGINAL CREME</t>
        </is>
      </c>
      <c r="C3994" s="7">
        <f>VLOOKUP(A3994,SizeData!A$2:B$3839,2,FALSE)</f>
        <v/>
      </c>
      <c r="D3994" s="6" t="n">
        <v>1</v>
      </c>
      <c r="E3994" s="6" t="inlineStr">
        <is>
          <t>R1900430</t>
        </is>
      </c>
      <c r="F3994" s="67" t="n">
        <v>44896</v>
      </c>
      <c r="G3994" s="68" t="n"/>
    </row>
    <row r="3995">
      <c r="A3995" s="6" t="n">
        <v>45886</v>
      </c>
      <c r="B3995" s="6" t="inlineStr">
        <is>
          <t>SAILOR JERRY SPICED NAVY RUM</t>
        </is>
      </c>
      <c r="C3995" s="7">
        <f>VLOOKUP(A3995,SizeData!A$2:B$3839,2,FALSE)</f>
        <v/>
      </c>
      <c r="D3995" s="6" t="n">
        <v>1</v>
      </c>
      <c r="E3995" s="6" t="inlineStr">
        <is>
          <t>R1644630</t>
        </is>
      </c>
      <c r="F3995" s="67" t="n">
        <v>44725</v>
      </c>
      <c r="G3995" s="68" t="n"/>
    </row>
    <row r="3996">
      <c r="A3996" s="6" t="n">
        <v>49374</v>
      </c>
      <c r="B3996" s="6" t="inlineStr">
        <is>
          <t>SALIGNAC V S</t>
        </is>
      </c>
      <c r="C3996" s="7">
        <f>VLOOKUP(A3996,SizeData!A$2:B$3839,2,FALSE)</f>
        <v/>
      </c>
      <c r="D3996" s="6" t="n">
        <v>3</v>
      </c>
      <c r="E3996" s="6" t="inlineStr">
        <is>
          <t>R1544902</t>
        </is>
      </c>
      <c r="F3996" s="67" t="n">
        <v>44653</v>
      </c>
      <c r="G3996" s="68" t="n"/>
    </row>
    <row r="3997">
      <c r="A3997" s="6" t="n">
        <v>49374</v>
      </c>
      <c r="B3997" s="6" t="inlineStr">
        <is>
          <t>SALIGNAC V S</t>
        </is>
      </c>
      <c r="C3997" s="7">
        <f>VLOOKUP(A3997,SizeData!A$2:B$3839,2,FALSE)</f>
        <v/>
      </c>
      <c r="D3997" s="6" t="n">
        <v>2</v>
      </c>
      <c r="E3997" s="6" t="inlineStr">
        <is>
          <t>R1721804</t>
        </is>
      </c>
      <c r="F3997" s="67" t="n">
        <v>44775</v>
      </c>
      <c r="G3997" s="68" t="n"/>
    </row>
    <row r="3998">
      <c r="A3998" s="6" t="n">
        <v>49376</v>
      </c>
      <c r="B3998" s="6" t="inlineStr">
        <is>
          <t>SALIGNAC V S</t>
        </is>
      </c>
      <c r="C3998" s="7">
        <f>VLOOKUP(A3998,SizeData!A$2:B$3839,2,FALSE)</f>
        <v/>
      </c>
      <c r="D3998" s="6" t="n">
        <v>7</v>
      </c>
      <c r="E3998" s="6" t="inlineStr">
        <is>
          <t>R1814504</t>
        </is>
      </c>
      <c r="F3998" s="67" t="n">
        <v>44846</v>
      </c>
      <c r="G3998" s="68" t="n"/>
    </row>
    <row r="3999">
      <c r="A3999" s="26" t="n">
        <v>49376</v>
      </c>
      <c r="B3999" s="26" t="inlineStr">
        <is>
          <t>SALIGNAC V S</t>
        </is>
      </c>
      <c r="C3999" s="75">
        <f>VLOOKUP(A3999,SizeData!A$2:B$3839,2,FALSE)</f>
        <v/>
      </c>
      <c r="D3999" s="26" t="n">
        <v>2</v>
      </c>
      <c r="E3999" s="26" t="inlineStr">
        <is>
          <t>R1814504</t>
        </is>
      </c>
      <c r="F3999" s="72" t="n">
        <v>44846</v>
      </c>
      <c r="G3999" s="73" t="n"/>
    </row>
    <row r="4000">
      <c r="A4000" s="6" t="n">
        <v>49376</v>
      </c>
      <c r="B4000" s="6" t="inlineStr">
        <is>
          <t>SALIGNAC V S</t>
        </is>
      </c>
      <c r="C4000" s="7">
        <f>VLOOKUP(A4000,SizeData!A$2:B$3839,2,FALSE)</f>
        <v/>
      </c>
      <c r="D4000" s="6" t="n">
        <v>2</v>
      </c>
      <c r="E4000" s="6" t="inlineStr">
        <is>
          <t>R1834591</t>
        </is>
      </c>
      <c r="F4000" s="67" t="n">
        <v>44863</v>
      </c>
      <c r="G4000" s="68" t="n"/>
    </row>
    <row r="4001">
      <c r="A4001" s="6" t="n">
        <v>49374</v>
      </c>
      <c r="B4001" s="6" t="inlineStr">
        <is>
          <t>SALIGNAC V S</t>
        </is>
      </c>
      <c r="C4001" s="7">
        <f>VLOOKUP(A4001,SizeData!A$2:B$3839,2,FALSE)</f>
        <v/>
      </c>
      <c r="D4001" s="6" t="n">
        <v>1</v>
      </c>
      <c r="E4001" s="6" t="inlineStr">
        <is>
          <t>R1842887</t>
        </is>
      </c>
      <c r="F4001" s="67" t="n">
        <v>44867</v>
      </c>
      <c r="G4001" s="68" t="n"/>
    </row>
    <row r="4002">
      <c r="A4002" s="6" t="n">
        <v>49374</v>
      </c>
      <c r="B4002" s="6" t="inlineStr">
        <is>
          <t>SALIGNAC V S</t>
        </is>
      </c>
      <c r="C4002" s="7">
        <f>VLOOKUP(A4002,SizeData!A$2:B$3839,2,FALSE)</f>
        <v/>
      </c>
      <c r="D4002" s="6" t="n">
        <v>2</v>
      </c>
      <c r="E4002" s="6" t="inlineStr">
        <is>
          <t>R1900430</t>
        </is>
      </c>
      <c r="F4002" s="67" t="n">
        <v>44896</v>
      </c>
      <c r="G4002" s="68" t="n"/>
    </row>
    <row r="4003">
      <c r="A4003" s="6" t="n">
        <v>49373</v>
      </c>
      <c r="B4003" s="6" t="inlineStr">
        <is>
          <t>SALIGNAC V S</t>
        </is>
      </c>
      <c r="C4003" s="7">
        <f>VLOOKUP(A4003,SizeData!A$2:B$3839,2,FALSE)</f>
        <v/>
      </c>
      <c r="D4003" s="6" t="n">
        <v>1</v>
      </c>
      <c r="E4003" s="6" t="inlineStr">
        <is>
          <t>R1888886</t>
        </is>
      </c>
      <c r="F4003" s="67" t="n">
        <v>44902</v>
      </c>
      <c r="G4003" s="68" t="n"/>
    </row>
    <row r="4004">
      <c r="A4004" s="6" t="n">
        <v>611940</v>
      </c>
      <c r="B4004" s="6" t="inlineStr">
        <is>
          <t>SALT OF THE EARTH FLORE DE MOSCATO</t>
        </is>
      </c>
      <c r="C4004" s="7">
        <f>VLOOKUP(A4004,SizeData!A$2:B$3839,2,FALSE)</f>
        <v/>
      </c>
      <c r="D4004" s="6" t="n">
        <v>5</v>
      </c>
      <c r="E4004" s="6" t="inlineStr">
        <is>
          <t>R1608212</t>
        </is>
      </c>
      <c r="F4004" s="67" t="n">
        <v>44692</v>
      </c>
      <c r="G4004" s="68" t="n"/>
    </row>
    <row r="4005">
      <c r="A4005" s="6" t="n">
        <v>611940</v>
      </c>
      <c r="B4005" s="6" t="inlineStr">
        <is>
          <t>SALT OF THE EARTH FLORE DE MOSCATO</t>
        </is>
      </c>
      <c r="C4005" s="7">
        <f>VLOOKUP(A4005,SizeData!A$2:B$3839,2,FALSE)</f>
        <v/>
      </c>
      <c r="D4005" s="6" t="n">
        <v>10</v>
      </c>
      <c r="E4005" s="6" t="inlineStr">
        <is>
          <t>R1660512</t>
        </is>
      </c>
      <c r="F4005" s="67" t="n">
        <v>44727</v>
      </c>
      <c r="G4005" s="68" t="n"/>
    </row>
    <row r="4006">
      <c r="A4006" s="6" t="n">
        <v>503850</v>
      </c>
      <c r="B4006" s="6" t="inlineStr">
        <is>
          <t>SALT OF THE EARTH MOSCATO RUBINO</t>
        </is>
      </c>
      <c r="C4006" s="7">
        <f>VLOOKUP(A4006,SizeData!A$2:B$3839,2,FALSE)</f>
        <v/>
      </c>
      <c r="D4006" s="6" t="n">
        <v>10</v>
      </c>
      <c r="E4006" s="6" t="inlineStr">
        <is>
          <t>R1563422</t>
        </is>
      </c>
      <c r="F4006" s="67" t="n">
        <v>44664</v>
      </c>
      <c r="G4006" s="68" t="n"/>
    </row>
    <row r="4007">
      <c r="A4007" s="6" t="n">
        <v>503850</v>
      </c>
      <c r="B4007" s="6" t="inlineStr">
        <is>
          <t>SALT OF THE EARTH MOSCATO RUBINO</t>
        </is>
      </c>
      <c r="C4007" s="7">
        <f>VLOOKUP(A4007,SizeData!A$2:B$3839,2,FALSE)</f>
        <v/>
      </c>
      <c r="D4007" s="6" t="n">
        <v>10</v>
      </c>
      <c r="E4007" s="6" t="inlineStr">
        <is>
          <t>R1574305</t>
        </is>
      </c>
      <c r="F4007" s="67" t="n">
        <v>44671</v>
      </c>
      <c r="G4007" s="68" t="n"/>
    </row>
    <row r="4008">
      <c r="A4008" s="6" t="n">
        <v>503850</v>
      </c>
      <c r="B4008" s="6" t="inlineStr">
        <is>
          <t>SALT OF THE EARTH MOSCATO RUBINO</t>
        </is>
      </c>
      <c r="C4008" s="7">
        <f>VLOOKUP(A4008,SizeData!A$2:B$3839,2,FALSE)</f>
        <v/>
      </c>
      <c r="D4008" s="6" t="n">
        <v>10</v>
      </c>
      <c r="E4008" s="6" t="inlineStr">
        <is>
          <t>R1605311</t>
        </is>
      </c>
      <c r="F4008" s="67" t="n">
        <v>44678</v>
      </c>
      <c r="G4008" s="68" t="n"/>
    </row>
    <row r="4009">
      <c r="A4009" s="6" t="n">
        <v>503850</v>
      </c>
      <c r="B4009" s="6" t="inlineStr">
        <is>
          <t>SALT OF THE EARTH MOSCATO RUBINO</t>
        </is>
      </c>
      <c r="C4009" s="7">
        <f>VLOOKUP(A4009,SizeData!A$2:B$3839,2,FALSE)</f>
        <v/>
      </c>
      <c r="D4009" s="6" t="n">
        <v>10</v>
      </c>
      <c r="E4009" s="6" t="inlineStr">
        <is>
          <t>R1587190</t>
        </is>
      </c>
      <c r="F4009" s="67" t="n">
        <v>44685</v>
      </c>
      <c r="G4009" s="68" t="n"/>
    </row>
    <row r="4010">
      <c r="A4010" s="6" t="n">
        <v>503850</v>
      </c>
      <c r="B4010" s="6" t="inlineStr">
        <is>
          <t>SALT OF THE EARTH MOSCATO RUBINO</t>
        </is>
      </c>
      <c r="C4010" s="7">
        <f>VLOOKUP(A4010,SizeData!A$2:B$3839,2,FALSE)</f>
        <v/>
      </c>
      <c r="D4010" s="6" t="n">
        <v>10</v>
      </c>
      <c r="E4010" s="6" t="inlineStr">
        <is>
          <t>R1641656</t>
        </is>
      </c>
      <c r="F4010" s="67" t="n">
        <v>44720</v>
      </c>
      <c r="G4010" s="68" t="n"/>
    </row>
    <row r="4011">
      <c r="A4011" s="6" t="n">
        <v>503850</v>
      </c>
      <c r="B4011" s="6" t="inlineStr">
        <is>
          <t>SALT OF THE EARTH MOSCATO RUBINO</t>
        </is>
      </c>
      <c r="C4011" s="7">
        <f>VLOOKUP(A4011,SizeData!A$2:B$3839,2,FALSE)</f>
        <v/>
      </c>
      <c r="D4011" s="6" t="n">
        <v>10</v>
      </c>
      <c r="E4011" s="6" t="inlineStr">
        <is>
          <t>R1739028</t>
        </is>
      </c>
      <c r="F4011" s="67" t="n">
        <v>44797</v>
      </c>
      <c r="G4011" s="68" t="n"/>
    </row>
    <row r="4012">
      <c r="A4012" s="6" t="n">
        <v>503850</v>
      </c>
      <c r="B4012" s="6" t="inlineStr">
        <is>
          <t>SALT OF THE EARTH MOSCATO RUBINO</t>
        </is>
      </c>
      <c r="C4012" s="7">
        <f>VLOOKUP(A4012,SizeData!A$2:B$3839,2,FALSE)</f>
        <v/>
      </c>
      <c r="D4012" s="6" t="n">
        <v>10</v>
      </c>
      <c r="E4012" s="6" t="inlineStr">
        <is>
          <t>R1757416</t>
        </is>
      </c>
      <c r="F4012" s="67" t="n">
        <v>44804</v>
      </c>
      <c r="G4012" s="68" t="n"/>
    </row>
    <row r="4013">
      <c r="A4013" s="6" t="n">
        <v>503850</v>
      </c>
      <c r="B4013" s="6" t="inlineStr">
        <is>
          <t>SALT OF THE EARTH MOSCATO RUBINO</t>
        </is>
      </c>
      <c r="C4013" s="7">
        <f>VLOOKUP(A4013,SizeData!A$2:B$3839,2,FALSE)</f>
        <v/>
      </c>
      <c r="D4013" s="6" t="n">
        <v>10</v>
      </c>
      <c r="E4013" s="66" t="inlineStr">
        <is>
          <t>R1805405</t>
        </is>
      </c>
      <c r="F4013" s="67" t="n">
        <v>44826</v>
      </c>
      <c r="G4013" s="68" t="n"/>
    </row>
    <row r="4014">
      <c r="A4014" s="6" t="n">
        <v>503850</v>
      </c>
      <c r="B4014" s="6" t="inlineStr">
        <is>
          <t>SALT OF THE EARTH MOSCATO RUBINO</t>
        </is>
      </c>
      <c r="C4014" s="7">
        <f>VLOOKUP(A4014,SizeData!A$2:B$3839,2,FALSE)</f>
        <v/>
      </c>
      <c r="D4014" s="6" t="n">
        <v>10</v>
      </c>
      <c r="E4014" s="6" t="inlineStr">
        <is>
          <t>R1792238</t>
        </is>
      </c>
      <c r="F4014" s="67" t="n">
        <v>44832</v>
      </c>
      <c r="G4014" s="68" t="n"/>
    </row>
    <row r="4015">
      <c r="A4015" s="6" t="n">
        <v>63530</v>
      </c>
      <c r="B4015" s="6" t="inlineStr">
        <is>
          <t>SALVADOR'S ORIGINAL MARGARITA 26PRF RTD</t>
        </is>
      </c>
      <c r="C4015" s="7">
        <f>VLOOKUP(A4015,SizeData!A$2:B$3839,2,FALSE)</f>
        <v/>
      </c>
      <c r="D4015" s="6" t="n">
        <v>1</v>
      </c>
      <c r="E4015" s="6" t="inlineStr">
        <is>
          <t>R1567269</t>
        </is>
      </c>
      <c r="F4015" s="67" t="n">
        <v>44667</v>
      </c>
      <c r="G4015" s="68" t="n"/>
    </row>
    <row r="4016">
      <c r="A4016" s="6" t="n">
        <v>63530</v>
      </c>
      <c r="B4016" s="6" t="inlineStr">
        <is>
          <t>SALVADOR'S ORIGINAL MARGARITA 26PRF RTD</t>
        </is>
      </c>
      <c r="C4016" s="7">
        <f>VLOOKUP(A4016,SizeData!A$2:B$3839,2,FALSE)</f>
        <v/>
      </c>
      <c r="D4016" s="6" t="n">
        <v>2</v>
      </c>
      <c r="E4016" s="6" t="inlineStr">
        <is>
          <t>R1602626</t>
        </is>
      </c>
      <c r="F4016" s="67" t="n">
        <v>44690</v>
      </c>
      <c r="G4016" s="68" t="n"/>
    </row>
    <row r="4017">
      <c r="A4017" s="6" t="n">
        <v>63530</v>
      </c>
      <c r="B4017" s="6" t="inlineStr">
        <is>
          <t>SALVADOR'S ORIGINAL MARGARITA 26PRF RTD</t>
        </is>
      </c>
      <c r="C4017" s="7">
        <f>VLOOKUP(A4017,SizeData!A$2:B$3839,2,FALSE)</f>
        <v/>
      </c>
      <c r="D4017" s="6" t="n">
        <v>1</v>
      </c>
      <c r="E4017" s="6" t="inlineStr">
        <is>
          <t>R1620841</t>
        </is>
      </c>
      <c r="F4017" s="67" t="n">
        <v>44699</v>
      </c>
      <c r="G4017" s="68" t="n"/>
    </row>
    <row r="4018">
      <c r="A4018" s="6" t="n">
        <v>66580</v>
      </c>
      <c r="B4018" s="6" t="inlineStr">
        <is>
          <t>SALVADOR'S PREMIUM MARGARITA</t>
        </is>
      </c>
      <c r="C4018" s="7">
        <f>VLOOKUP(A4018,SizeData!A$2:B$3839,2,FALSE)</f>
        <v/>
      </c>
      <c r="D4018" s="6" t="n">
        <v>1</v>
      </c>
      <c r="E4018" s="6" t="inlineStr">
        <is>
          <t>R1448139</t>
        </is>
      </c>
      <c r="F4018" s="67" t="n">
        <v>44597</v>
      </c>
      <c r="G4018" s="68" t="n"/>
    </row>
    <row r="4019">
      <c r="A4019" s="6" t="n">
        <v>66580</v>
      </c>
      <c r="B4019" s="6" t="inlineStr">
        <is>
          <t>SALVADOR'S PREMIUM MARGARITA</t>
        </is>
      </c>
      <c r="C4019" s="7">
        <f>VLOOKUP(A4019,SizeData!A$2:B$3839,2,FALSE)</f>
        <v/>
      </c>
      <c r="D4019" s="6" t="n">
        <v>1</v>
      </c>
      <c r="E4019" s="6" t="inlineStr">
        <is>
          <t>R1630969</t>
        </is>
      </c>
      <c r="F4019" s="67" t="n">
        <v>44711</v>
      </c>
      <c r="G4019" s="68" t="n"/>
    </row>
    <row r="4020">
      <c r="A4020" s="6" t="n">
        <v>66580</v>
      </c>
      <c r="B4020" s="6" t="inlineStr">
        <is>
          <t>SALVADOR'S PREMIUM MARGARITA</t>
        </is>
      </c>
      <c r="C4020" s="7">
        <f>VLOOKUP(A4020,SizeData!A$2:B$3839,2,FALSE)</f>
        <v/>
      </c>
      <c r="D4020" s="6" t="n">
        <v>2</v>
      </c>
      <c r="E4020" s="6" t="inlineStr">
        <is>
          <t>R1703000</t>
        </is>
      </c>
      <c r="F4020" s="67" t="n">
        <v>44774</v>
      </c>
      <c r="G4020" s="68" t="n"/>
    </row>
    <row r="4021">
      <c r="A4021" s="6" t="n">
        <v>66580</v>
      </c>
      <c r="B4021" s="6" t="inlineStr">
        <is>
          <t>SALVADOR'S PREMIUM MARGARITA</t>
        </is>
      </c>
      <c r="C4021" s="7">
        <f>VLOOKUP(A4021,SizeData!A$2:B$3839,2,FALSE)</f>
        <v/>
      </c>
      <c r="D4021" s="6" t="n">
        <v>1</v>
      </c>
      <c r="E4021" s="6" t="inlineStr">
        <is>
          <t>R1846759</t>
        </is>
      </c>
      <c r="F4021" s="67" t="n">
        <v>44872</v>
      </c>
      <c r="G4021" s="68" t="n"/>
    </row>
    <row r="4022">
      <c r="A4022" s="6" t="n">
        <v>504640</v>
      </c>
      <c r="B4022" s="6" t="inlineStr">
        <is>
          <t>SAN ANTONIO CARDINALE</t>
        </is>
      </c>
      <c r="C4022" s="7">
        <f>VLOOKUP(A4022,SizeData!A$2:B$3839,2,FALSE)</f>
        <v/>
      </c>
      <c r="D4022" s="6" t="n">
        <v>2</v>
      </c>
      <c r="E4022" s="6" t="inlineStr">
        <is>
          <t>R1480080</t>
        </is>
      </c>
      <c r="F4022" s="67" t="n">
        <v>44611</v>
      </c>
      <c r="G4022" s="68" t="n"/>
    </row>
    <row r="4023">
      <c r="A4023" s="6" t="n">
        <v>504640</v>
      </c>
      <c r="B4023" s="6" t="inlineStr">
        <is>
          <t>SAN ANTONIO CARDINALE</t>
        </is>
      </c>
      <c r="C4023" s="7">
        <f>VLOOKUP(A4023,SizeData!A$2:B$3839,2,FALSE)</f>
        <v/>
      </c>
      <c r="D4023" s="6" t="n">
        <v>2</v>
      </c>
      <c r="E4023" s="6" t="inlineStr">
        <is>
          <t>R1544767</t>
        </is>
      </c>
      <c r="F4023" s="67" t="n">
        <v>44664</v>
      </c>
      <c r="G4023" s="68" t="n"/>
    </row>
    <row r="4024">
      <c r="A4024" s="6" t="n">
        <v>504640</v>
      </c>
      <c r="B4024" s="6" t="inlineStr">
        <is>
          <t>SAN ANTONIO CARDINALE</t>
        </is>
      </c>
      <c r="C4024" s="7">
        <f>VLOOKUP(A4024,SizeData!A$2:B$3839,2,FALSE)</f>
        <v/>
      </c>
      <c r="D4024" s="6" t="n">
        <v>1</v>
      </c>
      <c r="E4024" s="6" t="inlineStr">
        <is>
          <t>R1728993</t>
        </is>
      </c>
      <c r="F4024" s="67" t="n">
        <v>44790</v>
      </c>
      <c r="G4024" s="68" t="n"/>
    </row>
    <row r="4025">
      <c r="A4025" s="6" t="n">
        <v>504640</v>
      </c>
      <c r="B4025" s="6" t="inlineStr">
        <is>
          <t>SAN ANTONIO CARDINALE</t>
        </is>
      </c>
      <c r="C4025" s="7">
        <f>VLOOKUP(A4025,SizeData!A$2:B$3839,2,FALSE)</f>
        <v/>
      </c>
      <c r="D4025" s="6" t="n">
        <v>1</v>
      </c>
      <c r="E4025" s="6" t="inlineStr">
        <is>
          <t>R1809606</t>
        </is>
      </c>
      <c r="F4025" s="67" t="n">
        <v>44845</v>
      </c>
      <c r="G4025" s="68" t="n"/>
    </row>
    <row r="4026">
      <c r="A4026" s="6" t="n">
        <v>504640</v>
      </c>
      <c r="B4026" s="6" t="inlineStr">
        <is>
          <t>SAN ANTONIO CARDINALE</t>
        </is>
      </c>
      <c r="C4026" s="7">
        <f>VLOOKUP(A4026,SizeData!A$2:B$3839,2,FALSE)</f>
        <v/>
      </c>
      <c r="D4026" s="6" t="n">
        <v>1</v>
      </c>
      <c r="E4026" s="6" t="inlineStr">
        <is>
          <t>R1894827</t>
        </is>
      </c>
      <c r="F4026" s="67" t="n">
        <v>44902</v>
      </c>
      <c r="G4026" s="68" t="n"/>
    </row>
    <row r="4027">
      <c r="A4027" s="6" t="n">
        <v>90694</v>
      </c>
      <c r="B4027" s="6" t="inlineStr">
        <is>
          <t>SANDEMAN 1S RUBY PORT</t>
        </is>
      </c>
      <c r="C4027" s="7">
        <f>VLOOKUP(A4027,SizeData!A$2:B$3839,2,FALSE)</f>
        <v/>
      </c>
      <c r="D4027" s="6" t="n">
        <v>1</v>
      </c>
      <c r="E4027" s="6" t="inlineStr">
        <is>
          <t>R1472921</t>
        </is>
      </c>
      <c r="F4027" s="67" t="n">
        <v>44613</v>
      </c>
      <c r="G4027" s="68" t="n"/>
    </row>
    <row r="4028">
      <c r="A4028" s="6" t="n">
        <v>382000</v>
      </c>
      <c r="B4028" s="6" t="inlineStr">
        <is>
          <t>SANTA MARGHERITA PINOT GRIGIO</t>
        </is>
      </c>
      <c r="C4028" s="7">
        <f>VLOOKUP(A4028,SizeData!A$2:B$3839,2,FALSE)</f>
        <v/>
      </c>
      <c r="D4028" s="6" t="n">
        <v>1</v>
      </c>
      <c r="E4028" s="6" t="inlineStr">
        <is>
          <t>R1906601</t>
        </is>
      </c>
      <c r="F4028" s="67" t="n">
        <v>44902</v>
      </c>
      <c r="G4028" s="68" t="n"/>
    </row>
    <row r="4029">
      <c r="A4029" s="6" t="n">
        <v>89846</v>
      </c>
      <c r="B4029" s="6" t="inlineStr">
        <is>
          <t>SAUZA TRES GENERACIONES ANEJO GOLD TEQUILA</t>
        </is>
      </c>
      <c r="C4029" s="7">
        <f>VLOOKUP(A4029,SizeData!A$2:B$3839,2,FALSE)</f>
        <v/>
      </c>
      <c r="D4029" s="6" t="n">
        <v>1</v>
      </c>
      <c r="E4029" s="6" t="inlineStr">
        <is>
          <t>R1841934</t>
        </is>
      </c>
      <c r="F4029" s="67" t="n">
        <v>44866</v>
      </c>
      <c r="G4029" s="68" t="n"/>
    </row>
    <row r="4030">
      <c r="A4030" s="6" t="n">
        <v>89846</v>
      </c>
      <c r="B4030" s="6" t="inlineStr">
        <is>
          <t>SAUZA TRES GENERACIONES ANEJO GOLD TEQUILA</t>
        </is>
      </c>
      <c r="C4030" s="7">
        <f>VLOOKUP(A4030,SizeData!A$2:B$3839,2,FALSE)</f>
        <v/>
      </c>
      <c r="D4030" s="6" t="n">
        <v>1</v>
      </c>
      <c r="E4030" s="6" t="inlineStr">
        <is>
          <t>R1883576</t>
        </is>
      </c>
      <c r="F4030" s="67" t="n">
        <v>44895</v>
      </c>
      <c r="G4030" s="68" t="n"/>
    </row>
    <row r="4031">
      <c r="A4031" s="6" t="n">
        <v>25608</v>
      </c>
      <c r="B4031" s="6" t="inlineStr">
        <is>
          <t>SEAGRAM'S 7 CROWN BLENDED WHISKEY</t>
        </is>
      </c>
      <c r="C4031" s="7">
        <f>VLOOKUP(A4031,SizeData!A$2:B$3839,2,FALSE)</f>
        <v/>
      </c>
      <c r="D4031" s="6" t="n">
        <v>20</v>
      </c>
      <c r="E4031" s="6" t="inlineStr">
        <is>
          <t>R1491316</t>
        </is>
      </c>
      <c r="F4031" s="67" t="n">
        <v>44621</v>
      </c>
      <c r="G4031" s="68" t="n"/>
    </row>
    <row r="4032">
      <c r="A4032" s="6" t="n">
        <v>32238</v>
      </c>
      <c r="B4032" s="6" t="inlineStr">
        <is>
          <t>SEAGRAM'S EXTRA DRY GIN</t>
        </is>
      </c>
      <c r="C4032" s="7">
        <f>VLOOKUP(A4032,SizeData!A$2:B$3839,2,FALSE)</f>
        <v/>
      </c>
      <c r="D4032" s="6" t="n">
        <v>5</v>
      </c>
      <c r="E4032" s="6" t="inlineStr">
        <is>
          <t>R1390824</t>
        </is>
      </c>
      <c r="F4032" s="67" t="n">
        <v>44551</v>
      </c>
      <c r="G4032" s="68" t="n"/>
      <c r="I4032" t="inlineStr">
        <is>
          <t> </t>
        </is>
      </c>
    </row>
    <row r="4033">
      <c r="A4033" s="6" t="n">
        <v>32238</v>
      </c>
      <c r="B4033" s="6" t="inlineStr">
        <is>
          <t>SEAGRAM'S EXTRA DRY GIN</t>
        </is>
      </c>
      <c r="C4033" s="7">
        <f>VLOOKUP(A4033,SizeData!A$2:B$3839,2,FALSE)</f>
        <v/>
      </c>
      <c r="D4033" s="6" t="n">
        <v>6</v>
      </c>
      <c r="E4033" s="6" t="inlineStr">
        <is>
          <t>R1434427</t>
        </is>
      </c>
      <c r="F4033" s="67" t="n">
        <v>44588</v>
      </c>
      <c r="G4033" s="68" t="n"/>
    </row>
    <row r="4034">
      <c r="A4034" s="6" t="n">
        <v>32238</v>
      </c>
      <c r="B4034" s="6" t="inlineStr">
        <is>
          <t>SEAGRAM'S EXTRA DRY GIN</t>
        </is>
      </c>
      <c r="C4034" s="7">
        <f>VLOOKUP(A4034,SizeData!A$2:B$3839,2,FALSE)</f>
        <v/>
      </c>
      <c r="D4034" s="6" t="n">
        <v>3</v>
      </c>
      <c r="E4034" s="6" t="inlineStr">
        <is>
          <t>R1458539</t>
        </is>
      </c>
      <c r="F4034" s="67" t="n">
        <v>44607</v>
      </c>
      <c r="G4034" s="68" t="n"/>
    </row>
    <row r="4035">
      <c r="A4035" s="6" t="n">
        <v>32238</v>
      </c>
      <c r="B4035" s="6" t="inlineStr">
        <is>
          <t>SEAGRAM'S EXTRA DRY GIN</t>
        </is>
      </c>
      <c r="C4035" s="7">
        <f>VLOOKUP(A4035,SizeData!A$2:B$3839,2,FALSE)</f>
        <v/>
      </c>
      <c r="D4035" s="6" t="n">
        <v>3</v>
      </c>
      <c r="E4035" s="6" t="inlineStr">
        <is>
          <t>R1480080</t>
        </is>
      </c>
      <c r="F4035" s="67" t="n">
        <v>44611</v>
      </c>
      <c r="G4035" s="68" t="n"/>
    </row>
    <row r="4036">
      <c r="A4036" s="6" t="n">
        <v>32238</v>
      </c>
      <c r="B4036" s="6" t="inlineStr">
        <is>
          <t>SEAGRAM'S EXTRA DRY GIN</t>
        </is>
      </c>
      <c r="C4036" s="7">
        <f>VLOOKUP(A4036,SizeData!A$2:B$3839,2,FALSE)</f>
        <v/>
      </c>
      <c r="D4036" s="6" t="n">
        <v>5</v>
      </c>
      <c r="E4036" s="6" t="inlineStr">
        <is>
          <t>R1483328</t>
        </is>
      </c>
      <c r="F4036" s="67" t="n">
        <v>44616</v>
      </c>
      <c r="G4036" s="68" t="n"/>
    </row>
    <row r="4037">
      <c r="A4037" s="6" t="n">
        <v>32238</v>
      </c>
      <c r="B4037" s="6" t="inlineStr">
        <is>
          <t>SEAGRAM'S EXTRA DRY GIN</t>
        </is>
      </c>
      <c r="C4037" s="7">
        <f>VLOOKUP(A4037,SizeData!A$2:B$3839,2,FALSE)</f>
        <v/>
      </c>
      <c r="D4037" s="6" t="n">
        <v>2</v>
      </c>
      <c r="E4037" s="6" t="inlineStr">
        <is>
          <t>R1504703</t>
        </is>
      </c>
      <c r="F4037" s="67" t="n">
        <v>44632</v>
      </c>
      <c r="G4037" s="68" t="n"/>
    </row>
    <row r="4038">
      <c r="A4038" s="6" t="n">
        <v>32238</v>
      </c>
      <c r="B4038" s="6" t="inlineStr">
        <is>
          <t>SEAGRAM'S EXTRA DRY GIN</t>
        </is>
      </c>
      <c r="C4038" s="7">
        <f>VLOOKUP(A4038,SizeData!A$2:B$3839,2,FALSE)</f>
        <v/>
      </c>
      <c r="D4038" s="6" t="n">
        <v>3</v>
      </c>
      <c r="E4038" s="6" t="inlineStr">
        <is>
          <t>R1503479</t>
        </is>
      </c>
      <c r="F4038" s="106" t="n">
        <v>44639</v>
      </c>
      <c r="G4038" s="68" t="n"/>
    </row>
    <row r="4039">
      <c r="A4039" s="6" t="n">
        <v>32238</v>
      </c>
      <c r="B4039" s="6" t="inlineStr">
        <is>
          <t>SEAGRAM'S EXTRA DRY GIN</t>
        </is>
      </c>
      <c r="C4039" s="7">
        <f>VLOOKUP(A4039,SizeData!A$2:B$3839,2,FALSE)</f>
        <v/>
      </c>
      <c r="D4039" s="6" t="n">
        <v>4</v>
      </c>
      <c r="E4039" s="6" t="inlineStr">
        <is>
          <t>R1544902</t>
        </is>
      </c>
      <c r="F4039" s="67" t="n">
        <v>44653</v>
      </c>
      <c r="G4039" s="68" t="n"/>
    </row>
    <row r="4040">
      <c r="A4040" s="6" t="n">
        <v>32238</v>
      </c>
      <c r="B4040" s="6" t="inlineStr">
        <is>
          <t>SEAGRAM'S EXTRA DRY GIN</t>
        </is>
      </c>
      <c r="C4040" s="7">
        <f>VLOOKUP(A4040,SizeData!A$2:B$3839,2,FALSE)</f>
        <v/>
      </c>
      <c r="D4040" s="6" t="n">
        <v>3</v>
      </c>
      <c r="E4040" s="6" t="inlineStr">
        <is>
          <t>R1566604</t>
        </is>
      </c>
      <c r="F4040" s="67" t="n">
        <v>44660</v>
      </c>
      <c r="G4040" s="68" t="n"/>
    </row>
    <row r="4041">
      <c r="A4041" s="6" t="n">
        <v>32238</v>
      </c>
      <c r="B4041" s="6" t="inlineStr">
        <is>
          <t>SEAGRAM'S EXTRA DRY GIN</t>
        </is>
      </c>
      <c r="C4041" s="7">
        <f>VLOOKUP(A4041,SizeData!A$2:B$3839,2,FALSE)</f>
        <v/>
      </c>
      <c r="D4041" s="6" t="n">
        <v>4</v>
      </c>
      <c r="E4041" s="6" t="inlineStr">
        <is>
          <t>R1556367</t>
        </is>
      </c>
      <c r="F4041" s="67" t="n">
        <v>44664</v>
      </c>
      <c r="G4041" s="68" t="n"/>
    </row>
    <row r="4042">
      <c r="A4042" s="6" t="n">
        <v>32238</v>
      </c>
      <c r="B4042" s="6" t="inlineStr">
        <is>
          <t>SEAGRAM'S EXTRA DRY GIN</t>
        </is>
      </c>
      <c r="C4042" s="7">
        <f>VLOOKUP(A4042,SizeData!A$2:B$3839,2,FALSE)</f>
        <v/>
      </c>
      <c r="D4042" s="6" t="n">
        <v>2</v>
      </c>
      <c r="E4042" s="6" t="inlineStr">
        <is>
          <t>R1579709</t>
        </is>
      </c>
      <c r="F4042" s="67" t="n">
        <v>44674</v>
      </c>
      <c r="G4042" s="68" t="n"/>
    </row>
    <row r="4043">
      <c r="A4043" s="6" t="n">
        <v>32238</v>
      </c>
      <c r="B4043" s="6" t="inlineStr">
        <is>
          <t>SEAGRAM'S EXTRA DRY GIN</t>
        </is>
      </c>
      <c r="C4043" s="7">
        <f>VLOOKUP(A4043,SizeData!A$2:B$3839,2,FALSE)</f>
        <v/>
      </c>
      <c r="D4043" s="6" t="n">
        <v>1</v>
      </c>
      <c r="E4043" s="6" t="inlineStr">
        <is>
          <t>R1587377</t>
        </is>
      </c>
      <c r="F4043" s="67" t="n">
        <v>44681</v>
      </c>
      <c r="G4043" s="68" t="n"/>
    </row>
    <row r="4044">
      <c r="A4044" s="6" t="n">
        <v>32238</v>
      </c>
      <c r="B4044" s="6" t="inlineStr">
        <is>
          <t>SEAGRAM'S EXTRA DRY GIN</t>
        </is>
      </c>
      <c r="C4044" s="7">
        <f>VLOOKUP(A4044,SizeData!A$2:B$3839,2,FALSE)</f>
        <v/>
      </c>
      <c r="D4044" s="6" t="n">
        <v>1</v>
      </c>
      <c r="E4044" s="6" t="inlineStr">
        <is>
          <t>R1591879</t>
        </is>
      </c>
      <c r="F4044" s="67" t="n">
        <v>44687</v>
      </c>
      <c r="G4044" s="68" t="n"/>
    </row>
    <row r="4045">
      <c r="A4045" s="6" t="n">
        <v>32238</v>
      </c>
      <c r="B4045" s="6" t="inlineStr">
        <is>
          <t>SEAGRAM'S EXTRA DRY GIN</t>
        </is>
      </c>
      <c r="C4045" s="7">
        <f>VLOOKUP(A4045,SizeData!A$2:B$3839,2,FALSE)</f>
        <v/>
      </c>
      <c r="D4045" s="6" t="n">
        <v>3</v>
      </c>
      <c r="E4045" s="6" t="inlineStr">
        <is>
          <t>R1620910</t>
        </is>
      </c>
      <c r="F4045" s="67" t="n">
        <v>44694</v>
      </c>
      <c r="G4045" s="68" t="n"/>
    </row>
    <row r="4046">
      <c r="A4046" s="6" t="n">
        <v>32238</v>
      </c>
      <c r="B4046" s="6" t="inlineStr">
        <is>
          <t>SEAGRAM'S EXTRA DRY GIN</t>
        </is>
      </c>
      <c r="C4046" s="7">
        <f>VLOOKUP(A4046,SizeData!A$2:B$3839,2,FALSE)</f>
        <v/>
      </c>
      <c r="D4046" s="6" t="n">
        <v>2</v>
      </c>
      <c r="E4046" s="6" t="inlineStr">
        <is>
          <t>R1625943</t>
        </is>
      </c>
      <c r="F4046" s="67" t="n">
        <v>44707</v>
      </c>
      <c r="G4046" s="68" t="n"/>
    </row>
    <row r="4047">
      <c r="A4047" s="6" t="n">
        <v>32238</v>
      </c>
      <c r="B4047" s="6" t="inlineStr">
        <is>
          <t>SEAGRAM'S EXTRA DRY GIN</t>
        </is>
      </c>
      <c r="C4047" s="7">
        <f>VLOOKUP(A4047,SizeData!A$2:B$3839,2,FALSE)</f>
        <v/>
      </c>
      <c r="D4047" s="6" t="n">
        <v>3</v>
      </c>
      <c r="E4047" s="6" t="inlineStr">
        <is>
          <t>R1645266</t>
        </is>
      </c>
      <c r="F4047" s="67" t="n">
        <v>44718</v>
      </c>
      <c r="G4047" s="68" t="n"/>
    </row>
    <row r="4048">
      <c r="A4048" s="6" t="n">
        <v>32238</v>
      </c>
      <c r="B4048" s="6" t="inlineStr">
        <is>
          <t>SEAGRAM'S EXTRA DRY GIN</t>
        </is>
      </c>
      <c r="C4048" s="7">
        <f>VLOOKUP(A4048,SizeData!A$2:B$3839,2,FALSE)</f>
        <v/>
      </c>
      <c r="D4048" s="6" t="n">
        <v>3</v>
      </c>
      <c r="E4048" s="6" t="inlineStr">
        <is>
          <t>R1658904</t>
        </is>
      </c>
      <c r="F4048" s="67" t="n">
        <v>44732</v>
      </c>
      <c r="G4048" s="68" t="n"/>
    </row>
    <row r="4049">
      <c r="A4049" s="31" t="n">
        <v>32238</v>
      </c>
      <c r="B4049" s="31" t="inlineStr">
        <is>
          <t>SEAGRAM'S EXTRA DRY GIN</t>
        </is>
      </c>
      <c r="C4049" s="7">
        <f>VLOOKUP(A4049,SizeData!A$2:B$3839,2,FALSE)</f>
        <v/>
      </c>
      <c r="D4049" s="31" t="n">
        <v>6</v>
      </c>
      <c r="E4049" s="31" t="inlineStr">
        <is>
          <t>R1653897</t>
        </is>
      </c>
      <c r="F4049" s="82" t="n">
        <v>44738</v>
      </c>
      <c r="G4049" s="83" t="n"/>
    </row>
    <row r="4050">
      <c r="A4050" s="6" t="n">
        <v>32238</v>
      </c>
      <c r="B4050" s="6" t="inlineStr">
        <is>
          <t>SEAGRAM'S EXTRA DRY GIN</t>
        </is>
      </c>
      <c r="C4050" s="7">
        <f>VLOOKUP(A4050,SizeData!A$2:B$3839,2,FALSE)</f>
        <v/>
      </c>
      <c r="D4050" s="6" t="n">
        <v>15</v>
      </c>
      <c r="E4050" s="6" t="inlineStr">
        <is>
          <t>R1692340</t>
        </is>
      </c>
      <c r="F4050" s="67" t="n">
        <v>44757</v>
      </c>
    </row>
    <row r="4051">
      <c r="A4051" s="6" t="n">
        <v>32238</v>
      </c>
      <c r="B4051" s="6" t="inlineStr">
        <is>
          <t>SEAGRAM'S EXTRA DRY GIN</t>
        </is>
      </c>
      <c r="C4051" s="7">
        <f>VLOOKUP(A4051,SizeData!A$2:B$3839,2,FALSE)</f>
        <v/>
      </c>
      <c r="D4051" s="6" t="n">
        <v>30</v>
      </c>
      <c r="E4051" s="6" t="inlineStr">
        <is>
          <t>R1701120</t>
        </is>
      </c>
      <c r="F4051" s="67" t="n">
        <v>44762</v>
      </c>
      <c r="G4051" s="68" t="n"/>
    </row>
    <row r="4052">
      <c r="A4052" s="6" t="n">
        <v>37890</v>
      </c>
      <c r="B4052" s="6" t="inlineStr">
        <is>
          <t>SEAGRAM'S EXTRA SMOOTH VODKA PET</t>
        </is>
      </c>
      <c r="C4052" s="7">
        <f>VLOOKUP(A4052,SizeData!A$2:B$3839,2,FALSE)</f>
        <v/>
      </c>
      <c r="D4052" s="6" t="n">
        <v>4</v>
      </c>
      <c r="E4052" s="6" t="inlineStr">
        <is>
          <t>R1383976</t>
        </is>
      </c>
      <c r="F4052" s="67" t="n">
        <v>44561</v>
      </c>
      <c r="G4052" s="68" t="n"/>
    </row>
    <row r="4053">
      <c r="A4053" s="6" t="n">
        <v>37890</v>
      </c>
      <c r="B4053" s="6" t="inlineStr">
        <is>
          <t>SEAGRAM'S EXTRA SMOOTH VODKA PET</t>
        </is>
      </c>
      <c r="C4053" s="7">
        <f>VLOOKUP(A4053,SizeData!A$2:B$3839,2,FALSE)</f>
        <v/>
      </c>
      <c r="D4053" s="6" t="n">
        <v>3</v>
      </c>
      <c r="E4053" s="6" t="inlineStr">
        <is>
          <t>R1822808</t>
        </is>
      </c>
      <c r="F4053" s="67" t="n">
        <v>44852</v>
      </c>
      <c r="G4053" s="68" t="n"/>
    </row>
    <row r="4054">
      <c r="A4054" s="26" t="n">
        <v>37890</v>
      </c>
      <c r="B4054" s="26" t="inlineStr">
        <is>
          <t>SEAGRAM'S EXTRA SMOOTH VODKA PET</t>
        </is>
      </c>
      <c r="C4054" s="75">
        <f>VLOOKUP(A4054,SizeData!A$2:B$3839,2,FALSE)</f>
        <v/>
      </c>
      <c r="D4054" s="26" t="n">
        <v>2</v>
      </c>
      <c r="E4054" s="26" t="inlineStr">
        <is>
          <t>R1822808</t>
        </is>
      </c>
      <c r="F4054" s="72" t="n">
        <v>44852</v>
      </c>
      <c r="G4054" s="73" t="n"/>
    </row>
    <row r="4055">
      <c r="A4055" s="6" t="n">
        <v>33258</v>
      </c>
      <c r="B4055" s="6" t="inlineStr">
        <is>
          <t>SEAGRAM'S LIME TWISTED GIN</t>
        </is>
      </c>
      <c r="C4055" s="7">
        <f>VLOOKUP(A4055,SizeData!A$2:B$3839,2,FALSE)</f>
        <v/>
      </c>
      <c r="D4055" s="6" t="n">
        <v>2</v>
      </c>
      <c r="E4055" s="6" t="inlineStr">
        <is>
          <t>R1468563</t>
        </is>
      </c>
      <c r="F4055" s="67" t="n">
        <v>44614</v>
      </c>
      <c r="G4055" s="68" t="n"/>
    </row>
    <row r="4056">
      <c r="A4056" s="6" t="n">
        <v>33258</v>
      </c>
      <c r="B4056" s="6" t="inlineStr">
        <is>
          <t>SEAGRAM'S LIME TWISTED GIN</t>
        </is>
      </c>
      <c r="C4056" s="7">
        <f>VLOOKUP(A4056,SizeData!A$2:B$3839,2,FALSE)</f>
        <v/>
      </c>
      <c r="D4056" s="6" t="n">
        <v>1</v>
      </c>
      <c r="E4056" s="6" t="inlineStr">
        <is>
          <t>R1591903</t>
        </is>
      </c>
      <c r="F4056" s="67" t="n">
        <v>44678</v>
      </c>
      <c r="G4056" s="68" t="n"/>
    </row>
    <row r="4057">
      <c r="A4057" s="6" t="n">
        <v>33258</v>
      </c>
      <c r="B4057" s="6" t="inlineStr">
        <is>
          <t>SEAGRAM'S LIME TWISTED GIN</t>
        </is>
      </c>
      <c r="C4057" s="7">
        <f>VLOOKUP(A4057,SizeData!A$2:B$3839,2,FALSE)</f>
        <v/>
      </c>
      <c r="D4057" s="6" t="n">
        <v>1</v>
      </c>
      <c r="E4057" s="6" t="inlineStr">
        <is>
          <t>R1604328</t>
        </is>
      </c>
      <c r="F4057" s="67" t="n">
        <v>44694</v>
      </c>
      <c r="G4057" s="68" t="n"/>
    </row>
    <row r="4058">
      <c r="A4058" s="6" t="n">
        <v>33258</v>
      </c>
      <c r="B4058" s="6" t="inlineStr">
        <is>
          <t>SEAGRAM'S LIME TWISTED GIN</t>
        </is>
      </c>
      <c r="C4058" s="7">
        <f>VLOOKUP(A4058,SizeData!A$2:B$3839,2,FALSE)</f>
        <v/>
      </c>
      <c r="D4058" s="6" t="n">
        <v>2</v>
      </c>
      <c r="E4058" s="6" t="inlineStr">
        <is>
          <t>R1700575</t>
        </is>
      </c>
      <c r="F4058" s="67" t="n">
        <v>44767</v>
      </c>
      <c r="G4058" s="68" t="n"/>
    </row>
    <row r="4059">
      <c r="A4059" s="6" t="n">
        <v>11348</v>
      </c>
      <c r="B4059" s="6" t="inlineStr">
        <is>
          <t>SEAGRAM'S V O (PET)</t>
        </is>
      </c>
      <c r="C4059" s="7">
        <f>VLOOKUP(A4059,SizeData!A$2:B$3839,2,FALSE)</f>
        <v/>
      </c>
      <c r="D4059" s="6" t="n">
        <v>1</v>
      </c>
      <c r="E4059" s="6" t="inlineStr">
        <is>
          <t>R1661463</t>
        </is>
      </c>
      <c r="F4059" s="67" t="n">
        <v>44735</v>
      </c>
      <c r="G4059" s="68" t="n"/>
    </row>
    <row r="4060">
      <c r="A4060" s="6" t="n">
        <v>32232</v>
      </c>
      <c r="B4060" s="6" t="inlineStr">
        <is>
          <t>SEAGRAM'S EXTRA DRY GIN</t>
        </is>
      </c>
      <c r="C4060" s="7">
        <f>VLOOKUP(A4060,SizeData!A$2:B$3839,2,FALSE)</f>
        <v/>
      </c>
      <c r="D4060" s="6" t="n">
        <v>2</v>
      </c>
      <c r="E4060" s="6" t="inlineStr">
        <is>
          <t>R1638121</t>
        </is>
      </c>
      <c r="F4060" s="67" t="n">
        <v>44721</v>
      </c>
      <c r="G4060" s="68" t="n"/>
    </row>
    <row r="4061">
      <c r="A4061" s="6" t="n">
        <v>32232</v>
      </c>
      <c r="B4061" s="6" t="inlineStr">
        <is>
          <t>SEAGRAM'S EXTRA DRY GIN</t>
        </is>
      </c>
      <c r="C4061" s="7">
        <f>VLOOKUP(A4061,SizeData!A$2:B$3839,2,FALSE)</f>
        <v/>
      </c>
      <c r="D4061" s="6" t="n">
        <v>1</v>
      </c>
      <c r="E4061" s="6" t="inlineStr">
        <is>
          <t>R1808552</t>
        </is>
      </c>
      <c r="F4061" s="67" t="n">
        <v>44841</v>
      </c>
      <c r="G4061" s="68" t="n"/>
    </row>
    <row r="4062">
      <c r="A4062" s="6" t="n">
        <v>32232</v>
      </c>
      <c r="B4062" s="6" t="inlineStr">
        <is>
          <t>SEAGRAM'S EXTRA DRY GIN</t>
        </is>
      </c>
      <c r="C4062" s="7">
        <f>VLOOKUP(A4062,SizeData!A$2:B$3839,2,FALSE)</f>
        <v/>
      </c>
      <c r="D4062" s="6" t="n">
        <v>2</v>
      </c>
      <c r="E4062" s="6" t="inlineStr">
        <is>
          <t>R1861865</t>
        </is>
      </c>
      <c r="F4062" s="67" t="n">
        <v>44881</v>
      </c>
      <c r="G4062" s="68" t="n"/>
    </row>
    <row r="4063">
      <c r="A4063" s="6" t="n">
        <v>25603</v>
      </c>
      <c r="B4063" s="6" t="inlineStr">
        <is>
          <t>SEAGRAM'S 7 CROWN BLENDED WHISKEY (PET)</t>
        </is>
      </c>
      <c r="C4063" s="7">
        <f>VLOOKUP(A4063,SizeData!A$2:B$3839,2,FALSE)</f>
        <v/>
      </c>
      <c r="D4063" s="6" t="n">
        <v>2</v>
      </c>
      <c r="E4063" s="6" t="inlineStr">
        <is>
          <t>R1544767</t>
        </is>
      </c>
      <c r="F4063" s="67" t="n">
        <v>44664</v>
      </c>
      <c r="G4063" s="68" t="n"/>
    </row>
    <row r="4064">
      <c r="A4064" s="6" t="n">
        <v>25603</v>
      </c>
      <c r="B4064" s="6" t="inlineStr">
        <is>
          <t>SEAGRAM'S 7 CROWN BLENDED WHISKEY (PET)</t>
        </is>
      </c>
      <c r="C4064" s="7">
        <f>VLOOKUP(A4064,SizeData!A$2:B$3839,2,FALSE)</f>
        <v/>
      </c>
      <c r="D4064" s="6" t="n">
        <v>2</v>
      </c>
      <c r="E4064" s="6" t="inlineStr">
        <is>
          <t>R1700571</t>
        </is>
      </c>
      <c r="F4064" s="67" t="n">
        <v>44767</v>
      </c>
      <c r="G4064" s="68" t="n"/>
    </row>
    <row r="4065">
      <c r="A4065" s="6" t="n">
        <v>25603</v>
      </c>
      <c r="B4065" s="6" t="inlineStr">
        <is>
          <t>SEAGRAM'S 7 CROWN BLENDED WHISKEY (PET)</t>
        </is>
      </c>
      <c r="C4065" s="7">
        <f>VLOOKUP(A4065,SizeData!A$2:B$3839,2,FALSE)</f>
        <v/>
      </c>
      <c r="D4065" s="6" t="n">
        <v>1</v>
      </c>
      <c r="E4065" s="6" t="inlineStr">
        <is>
          <t>R1767069</t>
        </is>
      </c>
      <c r="F4065" s="67" t="n">
        <v>44814</v>
      </c>
      <c r="G4065" s="68" t="n"/>
    </row>
    <row r="4066">
      <c r="A4066" s="6" t="n">
        <v>32241</v>
      </c>
      <c r="B4066" s="6" t="inlineStr">
        <is>
          <t>SEAGRAM'S EXTRA DRY GIN (PET)</t>
        </is>
      </c>
      <c r="C4066" s="7">
        <f>VLOOKUP(A4066,SizeData!A$2:B$3839,2,FALSE)</f>
        <v/>
      </c>
      <c r="D4066" s="6" t="n">
        <v>5</v>
      </c>
      <c r="E4066" s="6" t="inlineStr">
        <is>
          <t>R1501625</t>
        </is>
      </c>
      <c r="F4066" s="67" t="n">
        <v>44627</v>
      </c>
      <c r="G4066" s="68" t="n"/>
    </row>
    <row r="4067">
      <c r="A4067" s="6" t="n">
        <v>32241</v>
      </c>
      <c r="B4067" s="6" t="inlineStr">
        <is>
          <t>SEAGRAM'S EXTRA DRY GIN (PET)</t>
        </is>
      </c>
      <c r="C4067" s="7">
        <f>VLOOKUP(A4067,SizeData!A$2:B$3839,2,FALSE)</f>
        <v/>
      </c>
      <c r="D4067" s="6" t="n">
        <v>5</v>
      </c>
      <c r="E4067" s="6" t="inlineStr">
        <is>
          <t>R1504703</t>
        </is>
      </c>
      <c r="F4067" s="67" t="n">
        <v>44632</v>
      </c>
      <c r="G4067" s="68" t="n"/>
    </row>
    <row r="4068">
      <c r="A4068" s="6" t="n">
        <v>32241</v>
      </c>
      <c r="B4068" s="6" t="inlineStr">
        <is>
          <t>SEAGRAM'S EXTRA DRY GIN (PET)</t>
        </is>
      </c>
      <c r="C4068" s="7">
        <f>VLOOKUP(A4068,SizeData!A$2:B$3839,2,FALSE)</f>
        <v/>
      </c>
      <c r="D4068" s="6" t="n">
        <v>6</v>
      </c>
      <c r="E4068" s="6" t="inlineStr">
        <is>
          <t>R1537525</t>
        </is>
      </c>
      <c r="F4068" s="67" t="n">
        <v>44648</v>
      </c>
      <c r="G4068" s="68" t="n"/>
    </row>
    <row r="4069">
      <c r="A4069" s="6" t="n">
        <v>32241</v>
      </c>
      <c r="B4069" s="6" t="inlineStr">
        <is>
          <t>SEAGRAM'S EXTRA DRY GIN (PET)</t>
        </is>
      </c>
      <c r="C4069" s="7">
        <f>VLOOKUP(A4069,SizeData!A$2:B$3839,2,FALSE)</f>
        <v/>
      </c>
      <c r="D4069" s="6" t="n">
        <v>2</v>
      </c>
      <c r="E4069" s="6" t="inlineStr">
        <is>
          <t>R1563525</t>
        </is>
      </c>
      <c r="F4069" s="67" t="n">
        <v>44666</v>
      </c>
      <c r="G4069" s="68" t="n"/>
    </row>
    <row r="4070">
      <c r="A4070" s="6" t="n">
        <v>32241</v>
      </c>
      <c r="B4070" s="6" t="inlineStr">
        <is>
          <t>SEAGRAM'S EXTRA DRY GIN (PET)</t>
        </is>
      </c>
      <c r="C4070" s="7">
        <f>VLOOKUP(A4070,SizeData!A$2:B$3839,2,FALSE)</f>
        <v/>
      </c>
      <c r="D4070" s="6" t="n">
        <v>5</v>
      </c>
      <c r="E4070" s="6" t="inlineStr">
        <is>
          <t>R1576691</t>
        </is>
      </c>
      <c r="F4070" s="67" t="n">
        <v>44676</v>
      </c>
      <c r="G4070" s="68" t="n"/>
    </row>
    <row r="4071">
      <c r="A4071" s="6" t="n">
        <v>32241</v>
      </c>
      <c r="B4071" s="6" t="inlineStr">
        <is>
          <t>SEAGRAM'S EXTRA DRY GIN (PET)</t>
        </is>
      </c>
      <c r="C4071" s="7">
        <f>VLOOKUP(A4071,SizeData!A$2:B$3839,2,FALSE)</f>
        <v/>
      </c>
      <c r="D4071" s="6" t="n">
        <v>3</v>
      </c>
      <c r="E4071" s="6" t="inlineStr">
        <is>
          <t>R1600517</t>
        </is>
      </c>
      <c r="F4071" s="67" t="n">
        <v>44684</v>
      </c>
      <c r="G4071" s="68" t="n"/>
    </row>
    <row r="4072">
      <c r="A4072" s="6" t="n">
        <v>32241</v>
      </c>
      <c r="B4072" s="6" t="inlineStr">
        <is>
          <t>SEAGRAM'S EXTRA DRY GIN (PET)</t>
        </is>
      </c>
      <c r="C4072" s="7">
        <f>VLOOKUP(A4072,SizeData!A$2:B$3839,2,FALSE)</f>
        <v/>
      </c>
      <c r="D4072" s="6" t="n">
        <v>3</v>
      </c>
      <c r="E4072" s="6" t="inlineStr">
        <is>
          <t>R1591879</t>
        </is>
      </c>
      <c r="F4072" s="2" t="n">
        <v>44687</v>
      </c>
      <c r="G4072" s="1" t="n"/>
    </row>
    <row r="4073">
      <c r="A4073" s="6" t="n">
        <v>32241</v>
      </c>
      <c r="B4073" s="6" t="inlineStr">
        <is>
          <t>SEAGRAM'S EXTRA DRY GIN (PET)</t>
        </is>
      </c>
      <c r="C4073" s="7">
        <f>VLOOKUP(A4073,SizeData!A$2:B$3839,2,FALSE)</f>
        <v/>
      </c>
      <c r="D4073" s="6" t="n">
        <v>3</v>
      </c>
      <c r="E4073" s="6" t="inlineStr">
        <is>
          <t>R1617418</t>
        </is>
      </c>
      <c r="F4073" s="2" t="n">
        <v>44699</v>
      </c>
      <c r="G4073" s="1" t="n"/>
    </row>
    <row r="4074">
      <c r="A4074" s="6" t="n">
        <v>32241</v>
      </c>
      <c r="B4074" s="6" t="inlineStr">
        <is>
          <t>SEAGRAM'S EXTRA DRY GIN (PET)</t>
        </is>
      </c>
      <c r="C4074" s="7">
        <f>VLOOKUP(A4074,SizeData!A$2:B$3839,2,FALSE)</f>
        <v/>
      </c>
      <c r="D4074" s="6" t="n">
        <v>1</v>
      </c>
      <c r="E4074" s="6" t="inlineStr">
        <is>
          <t xml:space="preserve"> R1632464</t>
        </is>
      </c>
      <c r="F4074" s="2" t="n">
        <v>44715</v>
      </c>
      <c r="G4074" s="1" t="n"/>
    </row>
    <row r="4075">
      <c r="A4075" s="6" t="n">
        <v>32241</v>
      </c>
      <c r="B4075" s="6" t="inlineStr">
        <is>
          <t>SEAGRAM'S EXTRA DRY GIN (PET)</t>
        </is>
      </c>
      <c r="C4075" s="7">
        <f>VLOOKUP(A4075,SizeData!A$2:B$3839,2,FALSE)</f>
        <v/>
      </c>
      <c r="D4075" s="6" t="n">
        <v>1</v>
      </c>
      <c r="E4075" s="6" t="inlineStr">
        <is>
          <t>R1632057</t>
        </is>
      </c>
      <c r="F4075" s="2" t="n">
        <v>44716</v>
      </c>
      <c r="G4075" s="1" t="n"/>
    </row>
    <row r="4076">
      <c r="A4076" s="6" t="n">
        <v>32241</v>
      </c>
      <c r="B4076" s="6" t="inlineStr">
        <is>
          <t>SEAGRAM'S EXTRA DRY GIN (PET)</t>
        </is>
      </c>
      <c r="C4076" s="7">
        <f>VLOOKUP(A4076,SizeData!A$2:B$3839,2,FALSE)</f>
        <v/>
      </c>
      <c r="D4076" s="6" t="n">
        <v>4</v>
      </c>
      <c r="E4076" s="6" t="inlineStr">
        <is>
          <t>R1647521</t>
        </is>
      </c>
      <c r="F4076" s="2" t="n">
        <v>44723</v>
      </c>
      <c r="G4076" s="1" t="n"/>
    </row>
    <row r="4077">
      <c r="A4077" s="6" t="n">
        <v>32241</v>
      </c>
      <c r="B4077" s="6" t="inlineStr">
        <is>
          <t>SEAGRAM'S EXTRA DRY GIN (PET)</t>
        </is>
      </c>
      <c r="C4077" s="7">
        <f>VLOOKUP(A4077,SizeData!A$2:B$3839,2,FALSE)</f>
        <v/>
      </c>
      <c r="D4077" s="6" t="n">
        <v>1</v>
      </c>
      <c r="E4077" s="6" t="inlineStr">
        <is>
          <t>R1658904</t>
        </is>
      </c>
      <c r="F4077" s="2" t="n">
        <v>44732</v>
      </c>
      <c r="G4077" s="1" t="n"/>
    </row>
    <row r="4078">
      <c r="A4078" s="31" t="n">
        <v>32241</v>
      </c>
      <c r="B4078" s="31" t="inlineStr">
        <is>
          <t>SEAGRAM'S EXTRA DRY GIN (PET)</t>
        </is>
      </c>
      <c r="C4078" s="7">
        <f>VLOOKUP(A4078,SizeData!A$2:B$3839,2,FALSE)</f>
        <v/>
      </c>
      <c r="D4078" s="31" t="n">
        <v>6</v>
      </c>
      <c r="E4078" s="31" t="inlineStr">
        <is>
          <t>R1653897</t>
        </is>
      </c>
      <c r="F4078" s="33" t="n">
        <v>44738</v>
      </c>
      <c r="G4078" s="34" t="n"/>
    </row>
    <row r="4079">
      <c r="A4079" s="6" t="n">
        <v>32241</v>
      </c>
      <c r="B4079" s="6" t="inlineStr">
        <is>
          <t>SEAGRAM'S EXTRA DRY GIN (PET)</t>
        </is>
      </c>
      <c r="C4079" s="7">
        <f>VLOOKUP(A4079,SizeData!A$2:B$3839,2,FALSE)</f>
        <v/>
      </c>
      <c r="D4079" s="6" t="n">
        <v>6</v>
      </c>
      <c r="E4079" s="6" t="inlineStr">
        <is>
          <t>R1725763</t>
        </is>
      </c>
      <c r="F4079" s="2" t="n">
        <v>44776</v>
      </c>
      <c r="G4079" s="1" t="n"/>
    </row>
    <row r="4080">
      <c r="A4080" s="6" t="n">
        <v>32241</v>
      </c>
      <c r="B4080" s="6" t="inlineStr">
        <is>
          <t>SEAGRAM'S EXTRA DRY GIN (PET)</t>
        </is>
      </c>
      <c r="C4080" s="7">
        <f>VLOOKUP(A4080,SizeData!A$2:B$3839,2,FALSE)</f>
        <v/>
      </c>
      <c r="D4080" s="6" t="n">
        <v>3</v>
      </c>
      <c r="E4080" s="6" t="inlineStr">
        <is>
          <t>R1744308</t>
        </is>
      </c>
      <c r="F4080" s="2" t="n">
        <v>44797</v>
      </c>
      <c r="G4080" s="1" t="n"/>
    </row>
    <row r="4081">
      <c r="A4081" s="6" t="n">
        <v>32241</v>
      </c>
      <c r="B4081" s="6" t="inlineStr">
        <is>
          <t>SEAGRAM'S EXTRA DRY GIN (PET)</t>
        </is>
      </c>
      <c r="C4081" s="7">
        <f>VLOOKUP(A4081,SizeData!A$2:B$3839,2,FALSE)</f>
        <v/>
      </c>
      <c r="D4081" s="6" t="n">
        <v>2</v>
      </c>
      <c r="E4081" s="6" t="inlineStr">
        <is>
          <t>R1762606</t>
        </is>
      </c>
      <c r="F4081" s="2" t="n">
        <v>44809</v>
      </c>
      <c r="G4081" s="1" t="n"/>
    </row>
    <row r="4082">
      <c r="A4082" s="6" t="n">
        <v>32241</v>
      </c>
      <c r="B4082" s="6" t="inlineStr">
        <is>
          <t>SEAGRAM'S EXTRA DRY GIN (PET)</t>
        </is>
      </c>
      <c r="C4082" s="7">
        <f>VLOOKUP(A4082,SizeData!A$2:B$3839,2,FALSE)</f>
        <v/>
      </c>
      <c r="D4082" s="6" t="n">
        <v>2</v>
      </c>
      <c r="E4082" s="6" t="inlineStr">
        <is>
          <t>R1762971</t>
        </is>
      </c>
      <c r="F4082" s="2" t="n">
        <v>44814</v>
      </c>
      <c r="G4082" s="1" t="n"/>
    </row>
    <row r="4083">
      <c r="A4083" s="6" t="n">
        <v>32241</v>
      </c>
      <c r="B4083" s="6" t="inlineStr">
        <is>
          <t>SEAGRAM'S EXTRA DRY GIN (PET)</t>
        </is>
      </c>
      <c r="C4083" s="7">
        <f>VLOOKUP(A4083,SizeData!A$2:B$3839,2,FALSE)</f>
        <v/>
      </c>
      <c r="D4083" s="6" t="n">
        <v>2</v>
      </c>
      <c r="E4083" s="6" t="inlineStr">
        <is>
          <t>R1781063</t>
        </is>
      </c>
      <c r="F4083" s="2" t="n">
        <v>44823</v>
      </c>
      <c r="G4083" s="1" t="n"/>
    </row>
    <row r="4084">
      <c r="A4084" s="6" t="n">
        <v>32241</v>
      </c>
      <c r="B4084" s="6" t="inlineStr">
        <is>
          <t>SEAGRAM'S EXTRA DRY GIN (PET)</t>
        </is>
      </c>
      <c r="C4084" s="7">
        <f>VLOOKUP(A4084,SizeData!A$2:B$3839,2,FALSE)</f>
        <v/>
      </c>
      <c r="D4084" s="6" t="n">
        <v>2</v>
      </c>
      <c r="E4084" s="6" t="inlineStr">
        <is>
          <t>R1777984</t>
        </is>
      </c>
      <c r="F4084" s="2" t="n">
        <v>44826</v>
      </c>
      <c r="G4084" s="1" t="n"/>
    </row>
    <row r="4085">
      <c r="A4085" s="6" t="n">
        <v>32241</v>
      </c>
      <c r="B4085" s="6" t="inlineStr">
        <is>
          <t>SEAGRAM'S EXTRA DRY GIN (PET)</t>
        </is>
      </c>
      <c r="C4085" s="7">
        <f>VLOOKUP(A4085,SizeData!A$2:B$3839,2,FALSE)</f>
        <v/>
      </c>
      <c r="D4085" s="6" t="n">
        <v>2</v>
      </c>
      <c r="E4085" s="6" t="inlineStr">
        <is>
          <t>R1782657</t>
        </is>
      </c>
      <c r="F4085" s="2" t="n">
        <v>44828</v>
      </c>
      <c r="G4085" s="1" t="n"/>
    </row>
    <row r="4086">
      <c r="A4086" s="6" t="n">
        <v>32241</v>
      </c>
      <c r="B4086" s="6" t="inlineStr">
        <is>
          <t>SEAGRAM'S EXTRA DRY GIN (PET)</t>
        </is>
      </c>
      <c r="C4086" s="7">
        <f>VLOOKUP(A4086,SizeData!A$2:B$3839,2,FALSE)</f>
        <v/>
      </c>
      <c r="D4086" s="6" t="n">
        <v>2</v>
      </c>
      <c r="E4086" s="6" t="inlineStr">
        <is>
          <t>R1796778</t>
        </is>
      </c>
      <c r="F4086" s="2" t="n">
        <v>44834</v>
      </c>
      <c r="G4086" s="1" t="n"/>
    </row>
    <row r="4087">
      <c r="A4087" s="6" t="n">
        <v>32241</v>
      </c>
      <c r="B4087" s="6" t="inlineStr">
        <is>
          <t>SEAGRAM'S EXTRA DRY GIN (PET)</t>
        </is>
      </c>
      <c r="C4087" s="7">
        <f>VLOOKUP(A4087,SizeData!A$2:B$3839,2,FALSE)</f>
        <v/>
      </c>
      <c r="D4087" s="6" t="n">
        <v>4</v>
      </c>
      <c r="E4087" s="6" t="inlineStr">
        <is>
          <t>R1798963</t>
        </is>
      </c>
      <c r="F4087" s="2" t="n">
        <v>44844</v>
      </c>
      <c r="G4087" s="1" t="n"/>
    </row>
    <row r="4088">
      <c r="A4088" s="6" t="n">
        <v>32241</v>
      </c>
      <c r="B4088" s="6" t="inlineStr">
        <is>
          <t>SEAGRAM'S EXTRA DRY GIN (PET)</t>
        </is>
      </c>
      <c r="C4088" s="7">
        <f>VLOOKUP(A4088,SizeData!A$2:B$3839,2,FALSE)</f>
        <v/>
      </c>
      <c r="D4088" s="6" t="n">
        <v>20</v>
      </c>
      <c r="E4088" s="6" t="inlineStr">
        <is>
          <t>R1868532</t>
        </is>
      </c>
      <c r="F4088" s="2" t="n">
        <v>44880</v>
      </c>
      <c r="G4088" s="1" t="n"/>
    </row>
    <row r="4089">
      <c r="A4089" s="6" t="n">
        <v>33284</v>
      </c>
      <c r="B4089" s="6" t="inlineStr">
        <is>
          <t>SEAGRAM'S PEACH TWISTED GIN</t>
        </is>
      </c>
      <c r="C4089" s="7">
        <f>VLOOKUP(A4089,SizeData!A$2:B$3839,2,FALSE)</f>
        <v/>
      </c>
      <c r="D4089" s="6" t="n">
        <v>3</v>
      </c>
      <c r="E4089" s="6" t="inlineStr">
        <is>
          <t>R1743204</t>
        </is>
      </c>
      <c r="F4089" s="2" t="n">
        <v>44795</v>
      </c>
      <c r="G4089" s="1" t="n"/>
    </row>
    <row r="4090">
      <c r="A4090" s="6" t="n">
        <v>33284</v>
      </c>
      <c r="B4090" s="6" t="inlineStr">
        <is>
          <t>SEAGRAM'S PEACH TWISTED GIN</t>
        </is>
      </c>
      <c r="C4090" s="7">
        <f>VLOOKUP(A4090,SizeData!A$2:B$3839,2,FALSE)</f>
        <v/>
      </c>
      <c r="D4090" s="6" t="n">
        <v>1</v>
      </c>
      <c r="E4090" s="6" t="inlineStr">
        <is>
          <t>R1835862</t>
        </is>
      </c>
      <c r="F4090" s="2" t="n">
        <v>44856</v>
      </c>
      <c r="G4090" s="1" t="n"/>
    </row>
    <row r="4091">
      <c r="A4091" s="6" t="n">
        <v>25604</v>
      </c>
      <c r="B4091" s="6" t="inlineStr">
        <is>
          <t>SEAGRAM'S 7 CROWN BLENDED WHISKEY</t>
        </is>
      </c>
      <c r="C4091" s="7">
        <f>VLOOKUP(A4091,SizeData!A$2:B$3839,2,FALSE)</f>
        <v/>
      </c>
      <c r="D4091" s="6" t="n">
        <v>5</v>
      </c>
      <c r="E4091" s="6" t="inlineStr">
        <is>
          <t>R1405811</t>
        </is>
      </c>
      <c r="F4091" s="2" t="n">
        <v>44560</v>
      </c>
      <c r="G4091" s="1" t="n"/>
    </row>
    <row r="4092">
      <c r="A4092" s="6" t="n">
        <v>25604</v>
      </c>
      <c r="B4092" s="6" t="inlineStr">
        <is>
          <t>SEAGRAM'S 7 CROWN BLENDED WHISKEY (PET)</t>
        </is>
      </c>
      <c r="C4092" s="7">
        <f>VLOOKUP(A4092,SizeData!A$2:B$3839,2,FALSE)</f>
        <v/>
      </c>
      <c r="D4092" s="6" t="n">
        <v>5</v>
      </c>
      <c r="E4092" s="6" t="inlineStr">
        <is>
          <t>R1436614</t>
        </is>
      </c>
      <c r="F4092" s="2" t="n">
        <v>44586</v>
      </c>
      <c r="G4092" s="1" t="n"/>
    </row>
    <row r="4093">
      <c r="A4093" s="6" t="n">
        <v>25604</v>
      </c>
      <c r="B4093" s="6" t="inlineStr">
        <is>
          <t>SEAGRAM'S 7 CROWN BLENDED WHISKEY (PET)</t>
        </is>
      </c>
      <c r="C4093" s="7">
        <f>VLOOKUP(A4093,SizeData!A$2:B$3839,2,FALSE)</f>
        <v/>
      </c>
      <c r="D4093" s="6" t="n">
        <v>5</v>
      </c>
      <c r="E4093" s="6" t="inlineStr">
        <is>
          <t>R1512901</t>
        </is>
      </c>
      <c r="F4093" s="2" t="n">
        <v>44631</v>
      </c>
      <c r="G4093" s="1" t="n"/>
    </row>
    <row r="4094">
      <c r="A4094" s="6" t="n">
        <v>25604</v>
      </c>
      <c r="B4094" s="6" t="inlineStr">
        <is>
          <t>SEAGRAM'S 7 CROWN BLENDED WHISKEY (PET)</t>
        </is>
      </c>
      <c r="C4094" s="7">
        <f>VLOOKUP(A4094,SizeData!A$2:B$3839,2,FALSE)</f>
        <v/>
      </c>
      <c r="D4094" s="6" t="n">
        <v>5</v>
      </c>
      <c r="E4094" s="6" t="inlineStr">
        <is>
          <t>R1504818</t>
        </is>
      </c>
      <c r="F4094" s="2" t="n">
        <v>44635</v>
      </c>
      <c r="G4094" s="1" t="n"/>
    </row>
    <row r="4095">
      <c r="A4095" s="6" t="n">
        <v>25604</v>
      </c>
      <c r="B4095" s="6" t="inlineStr">
        <is>
          <t>SEAGRAM'S 7 CROWN BLENDED WHISKEY (PET)</t>
        </is>
      </c>
      <c r="C4095" s="7">
        <f>VLOOKUP(A4095,SizeData!A$2:B$3839,2,FALSE)</f>
        <v/>
      </c>
      <c r="D4095" s="6" t="n">
        <v>5</v>
      </c>
      <c r="E4095" s="6" t="inlineStr">
        <is>
          <t>R1625544</t>
        </is>
      </c>
      <c r="F4095" s="2" t="n">
        <v>44699</v>
      </c>
      <c r="G4095" s="1" t="n"/>
    </row>
    <row r="4096">
      <c r="A4096" s="6" t="n">
        <v>32214</v>
      </c>
      <c r="B4096" s="6" t="inlineStr">
        <is>
          <t>SEAGRAM'S DISTILLER'S RESERVE 94 GIN</t>
        </is>
      </c>
      <c r="C4096" s="7">
        <f>VLOOKUP(A4096,SizeData!A$2:B$3839,2,FALSE)</f>
        <v/>
      </c>
      <c r="D4096" s="6" t="n">
        <v>1</v>
      </c>
      <c r="E4096" s="6" t="inlineStr">
        <is>
          <t>R1403892</t>
        </is>
      </c>
      <c r="F4096" s="2" t="n">
        <v>44573</v>
      </c>
      <c r="G4096" s="1" t="n"/>
    </row>
    <row r="4097">
      <c r="A4097" s="6" t="n">
        <v>32214</v>
      </c>
      <c r="B4097" s="6" t="inlineStr">
        <is>
          <t>SEAGRAM'S DISTILLER'S RESERVE 94 GIN</t>
        </is>
      </c>
      <c r="C4097" s="7">
        <f>VLOOKUP(A4097,SizeData!A$2:B$3839,2,FALSE)</f>
        <v/>
      </c>
      <c r="D4097" s="6" t="n">
        <v>1</v>
      </c>
      <c r="E4097" s="6" t="inlineStr">
        <is>
          <t>R1507714</t>
        </is>
      </c>
      <c r="F4097" s="2" t="n">
        <v>44634</v>
      </c>
      <c r="G4097" s="1" t="n"/>
    </row>
    <row r="4098">
      <c r="A4098" s="6" t="n">
        <v>32214</v>
      </c>
      <c r="B4098" s="6" t="inlineStr">
        <is>
          <t>SEAGRAM'S DISTILLER'S RESERVE 94 GIN</t>
        </is>
      </c>
      <c r="C4098" s="7">
        <f>VLOOKUP(A4098,SizeData!A$2:B$3839,2,FALSE)</f>
        <v/>
      </c>
      <c r="D4098" s="6" t="n">
        <v>1</v>
      </c>
      <c r="E4098" s="6" t="inlineStr">
        <is>
          <t>R1644631</t>
        </is>
      </c>
      <c r="F4098" s="2" t="n">
        <v>44725</v>
      </c>
      <c r="G4098" s="1" t="n"/>
    </row>
    <row r="4099">
      <c r="A4099" s="6" t="n">
        <v>32214</v>
      </c>
      <c r="B4099" s="6" t="inlineStr">
        <is>
          <t>SEAGRAM'S DISTILLER'S RESERVE 94 GIN</t>
        </is>
      </c>
      <c r="C4099" s="7">
        <f>VLOOKUP(A4099,SizeData!A$2:B$3839,2,FALSE)</f>
        <v/>
      </c>
      <c r="D4099" s="6" t="n">
        <v>1</v>
      </c>
      <c r="E4099" s="6" t="inlineStr">
        <is>
          <t>R1749860</t>
        </is>
      </c>
      <c r="F4099" s="2" t="n">
        <v>44811</v>
      </c>
      <c r="G4099" s="1" t="n"/>
    </row>
    <row r="4100">
      <c r="A4100" s="6" t="n">
        <v>32234</v>
      </c>
      <c r="B4100" s="6" t="inlineStr">
        <is>
          <t>SEAGRAM'S EXTRA DRY GIN</t>
        </is>
      </c>
      <c r="C4100" s="7">
        <f>VLOOKUP(A4100,SizeData!A$2:B$3839,2,FALSE)</f>
        <v/>
      </c>
      <c r="D4100" s="6" t="n">
        <v>10</v>
      </c>
      <c r="E4100" s="6" t="inlineStr">
        <is>
          <t>R1369392</t>
        </is>
      </c>
      <c r="F4100" s="2" t="n">
        <v>44546</v>
      </c>
      <c r="G4100" s="1" t="n"/>
    </row>
    <row r="4101">
      <c r="A4101" s="6" t="n">
        <v>32234</v>
      </c>
      <c r="B4101" s="6" t="inlineStr">
        <is>
          <t>SEAGRAM'S EXTRA DRY GIN</t>
        </is>
      </c>
      <c r="C4101" s="7">
        <f>VLOOKUP(A4101,SizeData!A$2:B$3839,2,FALSE)</f>
        <v/>
      </c>
      <c r="D4101" s="6" t="n">
        <v>10</v>
      </c>
      <c r="E4101" s="6" t="inlineStr">
        <is>
          <t>R1476156</t>
        </is>
      </c>
      <c r="F4101" s="2" t="n">
        <v>44609</v>
      </c>
      <c r="G4101" s="1" t="n"/>
    </row>
    <row r="4102">
      <c r="A4102" s="6" t="n">
        <v>32234</v>
      </c>
      <c r="B4102" s="6" t="inlineStr">
        <is>
          <t>SEAGRAM'S EXTRA DRY GIN</t>
        </is>
      </c>
      <c r="C4102" s="7">
        <f>VLOOKUP(A4102,SizeData!A$2:B$3839,2,FALSE)</f>
        <v/>
      </c>
      <c r="D4102" s="6" t="n">
        <v>2</v>
      </c>
      <c r="E4102" s="6" t="inlineStr">
        <is>
          <t>R1527957</t>
        </is>
      </c>
      <c r="F4102" s="2" t="n">
        <v>44644</v>
      </c>
      <c r="G4102" s="1" t="n"/>
    </row>
    <row r="4103">
      <c r="A4103" s="6" t="n">
        <v>32234</v>
      </c>
      <c r="B4103" s="6" t="inlineStr">
        <is>
          <t>SEAGRAM'S EXTRA DRY GIN</t>
        </is>
      </c>
      <c r="C4103" s="7">
        <f>VLOOKUP(A4103,SizeData!A$2:B$3839,2,FALSE)</f>
        <v/>
      </c>
      <c r="D4103" s="6" t="n">
        <v>3</v>
      </c>
      <c r="E4103" s="6" t="inlineStr">
        <is>
          <t>R1579709</t>
        </is>
      </c>
      <c r="F4103" s="2" t="n">
        <v>44674</v>
      </c>
      <c r="G4103" s="1" t="n"/>
    </row>
    <row r="4104">
      <c r="A4104" s="6" t="n">
        <v>32234</v>
      </c>
      <c r="B4104" s="6" t="inlineStr">
        <is>
          <t>SEAGRAM'S EXTRA DRY GIN</t>
        </is>
      </c>
      <c r="C4104" s="7">
        <f>VLOOKUP(A4104,SizeData!A$2:B$3839,2,FALSE)</f>
        <v/>
      </c>
      <c r="D4104" s="6" t="n">
        <v>3</v>
      </c>
      <c r="E4104" s="6" t="inlineStr">
        <is>
          <t>R1576691</t>
        </is>
      </c>
      <c r="F4104" s="2" t="n">
        <v>44676</v>
      </c>
      <c r="G4104" s="1" t="n"/>
    </row>
    <row r="4105">
      <c r="A4105" s="6" t="n">
        <v>32234</v>
      </c>
      <c r="B4105" s="6" t="inlineStr">
        <is>
          <t>SEAGRAM'S EXTRA DRY GIN</t>
        </is>
      </c>
      <c r="C4105" s="7">
        <f>VLOOKUP(A4105,SizeData!A$2:B$3839,2,FALSE)</f>
        <v/>
      </c>
      <c r="D4105" s="6" t="n">
        <v>2</v>
      </c>
      <c r="E4105" s="6" t="inlineStr">
        <is>
          <t xml:space="preserve"> R1632464</t>
        </is>
      </c>
      <c r="F4105" s="2" t="n">
        <v>44715</v>
      </c>
      <c r="G4105" s="1" t="n"/>
    </row>
    <row r="4106">
      <c r="A4106" s="6" t="n">
        <v>32234</v>
      </c>
      <c r="B4106" s="6" t="inlineStr">
        <is>
          <t>SEAGRAM'S EXTRA DRY GIN</t>
        </is>
      </c>
      <c r="C4106" s="7">
        <f>VLOOKUP(A4106,SizeData!A$2:B$3839,2,FALSE)</f>
        <v/>
      </c>
      <c r="D4106" s="6" t="n">
        <v>2</v>
      </c>
      <c r="E4106" s="6" t="inlineStr">
        <is>
          <t>R1638121</t>
        </is>
      </c>
      <c r="F4106" s="2" t="n">
        <v>44721</v>
      </c>
      <c r="G4106" s="1" t="n"/>
    </row>
    <row r="4107">
      <c r="A4107" s="6" t="n">
        <v>32234</v>
      </c>
      <c r="B4107" s="6" t="inlineStr">
        <is>
          <t>SEAGRAM'S EXTRA DRY GIN</t>
        </is>
      </c>
      <c r="C4107" s="7">
        <f>VLOOKUP(A4107,SizeData!A$2:B$3839,2,FALSE)</f>
        <v/>
      </c>
      <c r="D4107" s="6" t="n">
        <v>1</v>
      </c>
      <c r="E4107" s="6" t="inlineStr">
        <is>
          <t>R1660776</t>
        </is>
      </c>
      <c r="F4107" s="2" t="n">
        <v>44733</v>
      </c>
      <c r="G4107" s="1" t="n"/>
    </row>
    <row r="4108">
      <c r="A4108" s="31" t="n">
        <v>32234</v>
      </c>
      <c r="B4108" s="31" t="inlineStr">
        <is>
          <t>SEAGRAM'S EXTRA DRY GIN</t>
        </is>
      </c>
      <c r="C4108" s="7">
        <f>VLOOKUP(A4108,SizeData!A$2:B$3839,2,FALSE)</f>
        <v/>
      </c>
      <c r="D4108" s="31" t="n">
        <v>3</v>
      </c>
      <c r="E4108" s="31" t="inlineStr">
        <is>
          <t>R1653897</t>
        </is>
      </c>
      <c r="F4108" s="33" t="n">
        <v>44738</v>
      </c>
      <c r="G4108" s="34" t="n"/>
    </row>
    <row r="4109">
      <c r="A4109" s="6" t="n">
        <v>32234</v>
      </c>
      <c r="B4109" s="6" t="inlineStr">
        <is>
          <t>SEAGRAM'S EXTRA DRY GIN</t>
        </is>
      </c>
      <c r="C4109" s="7">
        <f>VLOOKUP(A4109,SizeData!A$2:B$3839,2,FALSE)</f>
        <v/>
      </c>
      <c r="D4109" s="6" t="n">
        <v>1</v>
      </c>
      <c r="E4109" s="6" t="inlineStr">
        <is>
          <t>R1721804</t>
        </is>
      </c>
      <c r="F4109" s="2" t="n">
        <v>44775</v>
      </c>
      <c r="G4109" s="1" t="n"/>
    </row>
    <row r="4110">
      <c r="A4110" s="6" t="n">
        <v>32234</v>
      </c>
      <c r="B4110" s="6" t="inlineStr">
        <is>
          <t>SEAGRAM'S EXTRA DRY GIN</t>
        </is>
      </c>
      <c r="C4110" s="7">
        <f>VLOOKUP(A4110,SizeData!A$2:B$3839,2,FALSE)</f>
        <v/>
      </c>
      <c r="D4110" s="6" t="n">
        <v>1</v>
      </c>
      <c r="E4110" s="6" t="inlineStr">
        <is>
          <t>R1723520</t>
        </is>
      </c>
      <c r="F4110" s="2" t="n">
        <v>44782</v>
      </c>
      <c r="G4110" s="1" t="n"/>
    </row>
    <row r="4111">
      <c r="A4111" s="6" t="n">
        <v>32234</v>
      </c>
      <c r="B4111" s="6" t="inlineStr">
        <is>
          <t>SEAGRAM'S EXTRA DRY GIN</t>
        </is>
      </c>
      <c r="C4111" s="7">
        <f>VLOOKUP(A4111,SizeData!A$2:B$3839,2,FALSE)</f>
        <v/>
      </c>
      <c r="D4111" s="6" t="n">
        <v>2</v>
      </c>
      <c r="E4111" s="6" t="inlineStr">
        <is>
          <t>R1760203</t>
        </is>
      </c>
      <c r="F4111" s="2" t="n">
        <v>44791</v>
      </c>
      <c r="G4111" s="1" t="n"/>
    </row>
    <row r="4112">
      <c r="A4112" s="6" t="n">
        <v>32234</v>
      </c>
      <c r="B4112" s="6" t="inlineStr">
        <is>
          <t>SEAGRAM'S EXTRA DRY GIN</t>
        </is>
      </c>
      <c r="C4112" s="7">
        <f>VLOOKUP(A4112,SizeData!A$2:B$3839,2,FALSE)</f>
        <v/>
      </c>
      <c r="D4112" s="6" t="n">
        <v>2</v>
      </c>
      <c r="E4112" s="6" t="inlineStr">
        <is>
          <t>R1762606</t>
        </is>
      </c>
      <c r="F4112" s="67" t="n">
        <v>44809</v>
      </c>
      <c r="G4112" s="68" t="n"/>
    </row>
    <row r="4113">
      <c r="A4113" s="6" t="n">
        <v>32234</v>
      </c>
      <c r="B4113" s="6" t="inlineStr">
        <is>
          <t>SEAGRAM'S EXTRA DRY GIN</t>
        </is>
      </c>
      <c r="C4113" s="7">
        <f>VLOOKUP(A4113,SizeData!A$2:B$3839,2,FALSE)</f>
        <v/>
      </c>
      <c r="D4113" s="6" t="n">
        <v>1</v>
      </c>
      <c r="E4113" s="6" t="inlineStr">
        <is>
          <t>R1762971</t>
        </is>
      </c>
      <c r="F4113" s="67" t="n">
        <v>44814</v>
      </c>
      <c r="G4113" s="68" t="n"/>
    </row>
    <row r="4114">
      <c r="A4114" s="6" t="n">
        <v>32234</v>
      </c>
      <c r="B4114" s="6" t="inlineStr">
        <is>
          <t>SEAGRAM'S EXTRA DRY GIN</t>
        </is>
      </c>
      <c r="C4114" s="7">
        <f>VLOOKUP(A4114,SizeData!A$2:B$3839,2,FALSE)</f>
        <v/>
      </c>
      <c r="D4114" s="6" t="n">
        <v>1</v>
      </c>
      <c r="E4114" s="6" t="inlineStr">
        <is>
          <t>R1770694</t>
        </is>
      </c>
      <c r="F4114" s="67" t="n">
        <v>44816</v>
      </c>
      <c r="G4114" s="68" t="n"/>
    </row>
    <row r="4115">
      <c r="A4115" s="6" t="n">
        <v>32234</v>
      </c>
      <c r="B4115" s="6" t="inlineStr">
        <is>
          <t>SEAGRAM'S EXTRA DRY GIN</t>
        </is>
      </c>
      <c r="C4115" s="7">
        <f>VLOOKUP(A4115,SizeData!A$2:B$3839,2,FALSE)</f>
        <v/>
      </c>
      <c r="D4115" s="6" t="n">
        <v>6</v>
      </c>
      <c r="E4115" s="6" t="inlineStr">
        <is>
          <t>R1778873</t>
        </is>
      </c>
      <c r="F4115" s="67" t="n">
        <v>44837</v>
      </c>
      <c r="G4115" s="68" t="n"/>
    </row>
    <row r="4116">
      <c r="A4116" s="6" t="n">
        <v>32234</v>
      </c>
      <c r="B4116" s="6" t="inlineStr">
        <is>
          <t>SEAGRAM'S EXTRA DRY GIN</t>
        </is>
      </c>
      <c r="C4116" s="7">
        <f>VLOOKUP(A4116,SizeData!A$2:B$3839,2,FALSE)</f>
        <v/>
      </c>
      <c r="D4116" s="6" t="n">
        <v>10</v>
      </c>
      <c r="E4116" s="6" t="inlineStr">
        <is>
          <t>R1796855</t>
        </is>
      </c>
      <c r="F4116" s="67" t="n">
        <v>44840</v>
      </c>
      <c r="G4116" s="68" t="n"/>
    </row>
    <row r="4117">
      <c r="A4117" s="6" t="n">
        <v>37889</v>
      </c>
      <c r="B4117" s="6" t="inlineStr">
        <is>
          <t>SEAGRAM'S EXTRA SMOOTH VODKA</t>
        </is>
      </c>
      <c r="C4117" s="7">
        <f>VLOOKUP(A4117,SizeData!A$2:B$3839,2,FALSE)</f>
        <v/>
      </c>
      <c r="D4117" s="6" t="n">
        <v>1</v>
      </c>
      <c r="E4117" s="6" t="inlineStr">
        <is>
          <t>R1442339</t>
        </is>
      </c>
      <c r="F4117" s="67" t="n">
        <v>44592</v>
      </c>
      <c r="G4117" s="68" t="n"/>
    </row>
    <row r="4118">
      <c r="A4118" s="6" t="n">
        <v>37889</v>
      </c>
      <c r="B4118" s="6" t="inlineStr">
        <is>
          <t>SEAGRAM'S EXTRA SMOOTH VODKA</t>
        </is>
      </c>
      <c r="C4118" s="7">
        <f>VLOOKUP(A4118,SizeData!A$2:B$3839,2,FALSE)</f>
        <v/>
      </c>
      <c r="D4118" s="6" t="n">
        <v>2</v>
      </c>
      <c r="E4118" s="6" t="inlineStr">
        <is>
          <t>R1525413</t>
        </is>
      </c>
      <c r="F4118" s="67" t="n">
        <v>44631</v>
      </c>
      <c r="G4118" s="68" t="n"/>
    </row>
    <row r="4119">
      <c r="A4119" s="6" t="n">
        <v>37889</v>
      </c>
      <c r="B4119" s="6" t="inlineStr">
        <is>
          <t>SEAGRAM'S EXTRA SMOOTH VODKA</t>
        </is>
      </c>
      <c r="C4119" s="7">
        <f>VLOOKUP(A4119,SizeData!A$2:B$3839,2,FALSE)</f>
        <v/>
      </c>
      <c r="D4119" s="6" t="n">
        <v>2</v>
      </c>
      <c r="E4119" s="6" t="inlineStr">
        <is>
          <t>R1512696</t>
        </is>
      </c>
      <c r="F4119" s="67" t="n">
        <v>44637</v>
      </c>
      <c r="G4119" s="68" t="n"/>
    </row>
    <row r="4120">
      <c r="A4120" s="6" t="n">
        <v>37889</v>
      </c>
      <c r="B4120" s="6" t="inlineStr">
        <is>
          <t>SEAGRAM'S EXTRA SMOOTH VODKA</t>
        </is>
      </c>
      <c r="C4120" s="7">
        <f>VLOOKUP(A4120,SizeData!A$2:B$3839,2,FALSE)</f>
        <v/>
      </c>
      <c r="D4120" s="6" t="n">
        <v>1</v>
      </c>
      <c r="E4120" s="6" t="inlineStr">
        <is>
          <t>R1883576</t>
        </is>
      </c>
      <c r="F4120" s="67" t="n">
        <v>44895</v>
      </c>
      <c r="G4120" s="68" t="n"/>
    </row>
    <row r="4121">
      <c r="A4121" s="6" t="n">
        <v>11344</v>
      </c>
      <c r="B4121" s="6" t="inlineStr">
        <is>
          <t>SEAGRAM'S V O</t>
        </is>
      </c>
      <c r="C4121" s="7">
        <f>VLOOKUP(A4121,SizeData!A$2:B$3839,2,FALSE)</f>
        <v/>
      </c>
      <c r="D4121" s="6" t="n">
        <v>1</v>
      </c>
      <c r="E4121" s="6" t="inlineStr">
        <is>
          <t>R1620910</t>
        </is>
      </c>
      <c r="F4121" s="67" t="n">
        <v>44694</v>
      </c>
      <c r="G4121" s="68" t="n"/>
    </row>
    <row r="4122">
      <c r="A4122" s="6" t="n">
        <v>32231</v>
      </c>
      <c r="B4122" s="6" t="inlineStr">
        <is>
          <t>SEAGRAM'S EXTRA DRY GIN</t>
        </is>
      </c>
      <c r="C4122" s="7">
        <f>VLOOKUP(A4122,SizeData!A$2:B$3839,2,FALSE)</f>
        <v/>
      </c>
      <c r="D4122" s="6" t="n">
        <v>2</v>
      </c>
      <c r="E4122" s="6" t="inlineStr">
        <is>
          <t>R1468563</t>
        </is>
      </c>
      <c r="F4122" s="67" t="n">
        <v>44614</v>
      </c>
      <c r="G4122" s="68" t="n"/>
    </row>
    <row r="4123">
      <c r="A4123" s="6" t="n">
        <v>25606</v>
      </c>
      <c r="B4123" s="6" t="inlineStr">
        <is>
          <t>SEAGRAM'S 7 CROWN BLENDED WHISKEY</t>
        </is>
      </c>
      <c r="C4123" s="7">
        <f>VLOOKUP(A4123,SizeData!A$2:B$3839,2,FALSE)</f>
        <v/>
      </c>
      <c r="D4123" s="6" t="n">
        <v>1</v>
      </c>
      <c r="E4123" s="6" t="inlineStr">
        <is>
          <t>R1540219</t>
        </is>
      </c>
      <c r="F4123" s="67" t="n">
        <v>44635</v>
      </c>
      <c r="G4123" s="68" t="n"/>
    </row>
    <row r="4124">
      <c r="A4124" s="6" t="n">
        <v>25606</v>
      </c>
      <c r="B4124" s="6" t="inlineStr">
        <is>
          <t>SEAGRAM'S 7 CROWN BLENDED WHISKEY</t>
        </is>
      </c>
      <c r="C4124" s="7">
        <f>VLOOKUP(A4124,SizeData!A$2:B$3839,2,FALSE)</f>
        <v/>
      </c>
      <c r="D4124" s="6" t="n">
        <v>1</v>
      </c>
      <c r="E4124" s="6" t="inlineStr">
        <is>
          <t>R1721804</t>
        </is>
      </c>
      <c r="F4124" s="67" t="n">
        <v>44775</v>
      </c>
      <c r="G4124" s="68" t="n"/>
    </row>
    <row r="4125">
      <c r="A4125" s="26" t="n">
        <v>25606</v>
      </c>
      <c r="B4125" s="26" t="inlineStr">
        <is>
          <t>SEAGRAM'S 7 CROWN BLENDED WHISKEY</t>
        </is>
      </c>
      <c r="C4125" s="7">
        <f>VLOOKUP(A4125,SizeData!A$2:B$3839,2,FALSE)</f>
        <v/>
      </c>
      <c r="D4125" s="26" t="n">
        <v>1</v>
      </c>
      <c r="E4125" s="26" t="inlineStr">
        <is>
          <t>R1789511</t>
        </is>
      </c>
      <c r="F4125" s="72" t="n">
        <v>44832</v>
      </c>
      <c r="G4125" s="73" t="n"/>
    </row>
    <row r="4126">
      <c r="A4126" s="6" t="n">
        <v>25606</v>
      </c>
      <c r="B4126" s="6" t="inlineStr">
        <is>
          <t>SEAGRAM'S 7 CROWN BLENDED WHISKEY</t>
        </is>
      </c>
      <c r="C4126" s="7">
        <f>VLOOKUP(A4126,SizeData!A$2:B$3839,2,FALSE)</f>
        <v/>
      </c>
      <c r="D4126" s="6" t="n">
        <v>1</v>
      </c>
      <c r="E4126" s="6" t="inlineStr">
        <is>
          <t>R1791500</t>
        </is>
      </c>
      <c r="F4126" s="67" t="n">
        <v>44835</v>
      </c>
      <c r="G4126" s="68" t="n"/>
    </row>
    <row r="4127">
      <c r="A4127" s="6" t="n">
        <v>32216</v>
      </c>
      <c r="B4127" s="6" t="inlineStr">
        <is>
          <t>SEAGRAM'S DISTILLER'S RESERVE 94 GIN</t>
        </is>
      </c>
      <c r="C4127" s="7">
        <f>VLOOKUP(A4127,SizeData!A$2:B$3839,2,FALSE)</f>
        <v/>
      </c>
      <c r="D4127" s="6" t="n">
        <v>1</v>
      </c>
      <c r="E4127" s="6" t="inlineStr">
        <is>
          <t>R1486336</t>
        </is>
      </c>
      <c r="F4127" s="67" t="n">
        <v>44620</v>
      </c>
      <c r="G4127" s="68" t="n"/>
    </row>
    <row r="4128">
      <c r="A4128" s="6" t="n">
        <v>32216</v>
      </c>
      <c r="B4128" s="6" t="inlineStr">
        <is>
          <t>SEAGRAM'S DISTILLER'S RESERVE 94 GIN</t>
        </is>
      </c>
      <c r="C4128" s="7">
        <f>VLOOKUP(A4128,SizeData!A$2:B$3839,2,FALSE)</f>
        <v/>
      </c>
      <c r="D4128" s="6" t="n">
        <v>1</v>
      </c>
      <c r="E4128" s="6" t="inlineStr">
        <is>
          <t>R1644631</t>
        </is>
      </c>
      <c r="F4128" s="67" t="n">
        <v>44725</v>
      </c>
      <c r="G4128" s="68" t="n"/>
    </row>
    <row r="4129">
      <c r="A4129" s="6" t="n">
        <v>32216</v>
      </c>
      <c r="B4129" s="6" t="inlineStr">
        <is>
          <t>SEAGRAM'S DISTILLER'S RESERVE 94 GIN</t>
        </is>
      </c>
      <c r="C4129" s="7">
        <f>VLOOKUP(A4129,SizeData!A$2:B$3839,2,FALSE)</f>
        <v/>
      </c>
      <c r="D4129" s="6" t="n">
        <v>1</v>
      </c>
      <c r="E4129" s="6" t="inlineStr">
        <is>
          <t>R1727399</t>
        </is>
      </c>
      <c r="F4129" s="67" t="n">
        <v>44786</v>
      </c>
      <c r="G4129" s="68" t="n"/>
    </row>
    <row r="4130">
      <c r="A4130" s="26" t="n">
        <v>32216</v>
      </c>
      <c r="B4130" s="26" t="inlineStr">
        <is>
          <t>SEAGRAM'S DISTILLER'S RESERVE 94 GIN</t>
        </is>
      </c>
      <c r="C4130" s="7">
        <f>VLOOKUP(A4130,SizeData!A$2:B$3839,2,FALSE)</f>
        <v/>
      </c>
      <c r="D4130" s="26" t="n">
        <v>2</v>
      </c>
      <c r="E4130" s="26" t="inlineStr">
        <is>
          <t>R1760203</t>
        </is>
      </c>
      <c r="F4130" s="72" t="n">
        <v>44791</v>
      </c>
      <c r="G4130" s="73" t="n"/>
    </row>
    <row r="4131">
      <c r="A4131" s="6" t="n">
        <v>32236</v>
      </c>
      <c r="B4131" s="6" t="inlineStr">
        <is>
          <t>SEAGRAM'S EXTRA DRY GIN</t>
        </is>
      </c>
      <c r="C4131" s="7">
        <f>VLOOKUP(A4131,SizeData!A$2:B$3839,2,FALSE)</f>
        <v/>
      </c>
      <c r="D4131" s="6" t="n">
        <v>10</v>
      </c>
      <c r="E4131" s="6" t="inlineStr">
        <is>
          <t>R1490170</t>
        </is>
      </c>
      <c r="F4131" s="67" t="n">
        <v>44616</v>
      </c>
      <c r="G4131" s="68" t="n"/>
    </row>
    <row r="4132">
      <c r="A4132" s="6" t="n">
        <v>32236</v>
      </c>
      <c r="B4132" s="6" t="inlineStr">
        <is>
          <t>SEAGRAM'S EXTRA DRY GIN</t>
        </is>
      </c>
      <c r="C4132" s="7">
        <f>VLOOKUP(A4132,SizeData!A$2:B$3839,2,FALSE)</f>
        <v/>
      </c>
      <c r="D4132" s="6" t="n">
        <v>5</v>
      </c>
      <c r="E4132" s="6" t="inlineStr">
        <is>
          <t>R1613626</t>
        </is>
      </c>
      <c r="F4132" s="67" t="n">
        <v>44697</v>
      </c>
      <c r="G4132" s="68" t="n"/>
    </row>
    <row r="4133">
      <c r="A4133" s="31" t="n">
        <v>32236</v>
      </c>
      <c r="B4133" s="31" t="inlineStr">
        <is>
          <t>SEAGRAM'S EXTRA DRY GIN</t>
        </is>
      </c>
      <c r="C4133" s="7">
        <f>VLOOKUP(A4133,SizeData!A$2:B$3839,2,FALSE)</f>
        <v/>
      </c>
      <c r="D4133" s="31" t="n">
        <v>1</v>
      </c>
      <c r="E4133" s="31" t="inlineStr">
        <is>
          <t>R1668920</t>
        </is>
      </c>
      <c r="F4133" s="82" t="n">
        <v>44742</v>
      </c>
      <c r="G4133" s="83" t="n"/>
    </row>
    <row r="4134">
      <c r="A4134" s="6" t="n">
        <v>32236</v>
      </c>
      <c r="B4134" s="6" t="inlineStr">
        <is>
          <t>SEAGRAM'S EXTRA DRY GIN</t>
        </is>
      </c>
      <c r="C4134" s="7">
        <f>VLOOKUP(A4134,SizeData!A$2:B$3839,2,FALSE)</f>
        <v/>
      </c>
      <c r="D4134" s="6" t="n">
        <v>2</v>
      </c>
      <c r="E4134" s="6" t="inlineStr">
        <is>
          <t>R1683818</t>
        </is>
      </c>
      <c r="F4134" s="67" t="n">
        <v>44754</v>
      </c>
      <c r="G4134" s="68" t="n"/>
    </row>
    <row r="4135">
      <c r="A4135" s="6" t="n">
        <v>32236</v>
      </c>
      <c r="B4135" s="6" t="inlineStr">
        <is>
          <t>SEAGRAM'S EXTRA DRY GIN</t>
        </is>
      </c>
      <c r="C4135" s="7">
        <f>VLOOKUP(A4135,SizeData!A$2:B$3839,2,FALSE)</f>
        <v/>
      </c>
      <c r="D4135" s="6" t="n">
        <v>2</v>
      </c>
      <c r="E4135" s="6" t="inlineStr">
        <is>
          <t>R1696453</t>
        </is>
      </c>
      <c r="F4135" s="67" t="n">
        <v>44758</v>
      </c>
      <c r="G4135" s="68" t="n"/>
    </row>
    <row r="4136">
      <c r="A4136" s="6" t="n">
        <v>32236</v>
      </c>
      <c r="B4136" s="6" t="inlineStr">
        <is>
          <t>SEAGRAM'S EXTRA DRY GIN</t>
        </is>
      </c>
      <c r="C4136" s="7">
        <f>VLOOKUP(A4136,SizeData!A$2:B$3839,2,FALSE)</f>
        <v/>
      </c>
      <c r="D4136" s="6" t="n">
        <v>1</v>
      </c>
      <c r="E4136" s="6" t="inlineStr">
        <is>
          <t>R1721804</t>
        </is>
      </c>
      <c r="F4136" s="67" t="n">
        <v>44775</v>
      </c>
      <c r="G4136" s="68" t="n"/>
    </row>
    <row r="4137">
      <c r="A4137" s="6" t="n">
        <v>32236</v>
      </c>
      <c r="B4137" s="6" t="inlineStr">
        <is>
          <t>SEAGRAM'S EXTRA DRY GIN</t>
        </is>
      </c>
      <c r="C4137" s="7">
        <f>VLOOKUP(A4137,SizeData!A$2:B$3839,2,FALSE)</f>
        <v/>
      </c>
      <c r="D4137" s="6" t="n">
        <v>2</v>
      </c>
      <c r="E4137" s="6" t="inlineStr">
        <is>
          <t>R1747750</t>
        </is>
      </c>
      <c r="F4137" s="67" t="n">
        <v>44802</v>
      </c>
      <c r="G4137" s="68" t="n"/>
    </row>
    <row r="4138">
      <c r="A4138" s="6" t="n">
        <v>32236</v>
      </c>
      <c r="B4138" s="6" t="inlineStr">
        <is>
          <t>SEAGRAM'S EXTRA DRY GIN</t>
        </is>
      </c>
      <c r="C4138" s="7">
        <f>VLOOKUP(A4138,SizeData!A$2:B$3839,2,FALSE)</f>
        <v/>
      </c>
      <c r="D4138" s="6" t="n">
        <v>1</v>
      </c>
      <c r="E4138" s="6" t="inlineStr">
        <is>
          <t>R1749860</t>
        </is>
      </c>
      <c r="F4138" s="67" t="n">
        <v>44811</v>
      </c>
      <c r="G4138" s="68" t="n"/>
    </row>
    <row r="4139">
      <c r="A4139" s="6" t="n">
        <v>32236</v>
      </c>
      <c r="B4139" s="6" t="inlineStr">
        <is>
          <t>SEAGRAM'S EXTRA DRY GIN</t>
        </is>
      </c>
      <c r="C4139" s="7">
        <f>VLOOKUP(A4139,SizeData!A$2:B$3839,2,FALSE)</f>
        <v/>
      </c>
      <c r="D4139" s="6" t="n">
        <v>2</v>
      </c>
      <c r="E4139" s="6" t="inlineStr">
        <is>
          <t>R1781063</t>
        </is>
      </c>
      <c r="F4139" s="67" t="n">
        <v>44823</v>
      </c>
      <c r="G4139" s="68" t="n"/>
    </row>
    <row r="4140">
      <c r="A4140" s="6" t="n">
        <v>32236</v>
      </c>
      <c r="B4140" s="6" t="inlineStr">
        <is>
          <t>SEAGRAM'S EXTRA DRY GIN</t>
        </is>
      </c>
      <c r="C4140" s="7">
        <f>VLOOKUP(A4140,SizeData!A$2:B$3839,2,FALSE)</f>
        <v/>
      </c>
      <c r="D4140" s="6" t="n">
        <v>2</v>
      </c>
      <c r="E4140" s="6" t="inlineStr">
        <is>
          <t>R1784903</t>
        </is>
      </c>
      <c r="F4140" s="67" t="n">
        <v>44828</v>
      </c>
      <c r="G4140" s="68" t="n"/>
    </row>
    <row r="4141">
      <c r="A4141" s="6" t="n">
        <v>32236</v>
      </c>
      <c r="B4141" s="6" t="inlineStr">
        <is>
          <t>SEAGRAM'S EXTRA DRY GIN</t>
        </is>
      </c>
      <c r="C4141" s="7">
        <f>VLOOKUP(A4141,SizeData!A$2:B$3839,2,FALSE)</f>
        <v/>
      </c>
      <c r="D4141" s="6" t="n">
        <v>2</v>
      </c>
      <c r="E4141" s="6" t="inlineStr">
        <is>
          <t>R1796778</t>
        </is>
      </c>
      <c r="F4141" s="67" t="n">
        <v>44834</v>
      </c>
      <c r="G4141" s="68" t="n"/>
    </row>
    <row r="4142">
      <c r="A4142" s="6" t="n">
        <v>32236</v>
      </c>
      <c r="B4142" s="6" t="inlineStr">
        <is>
          <t>SEAGRAM'S EXTRA DRY GIN</t>
        </is>
      </c>
      <c r="C4142" s="7">
        <f>VLOOKUP(A4142,SizeData!A$2:B$3839,2,FALSE)</f>
        <v/>
      </c>
      <c r="D4142" s="6" t="n">
        <v>2</v>
      </c>
      <c r="E4142" s="6" t="inlineStr">
        <is>
          <t>R1832815</t>
        </is>
      </c>
      <c r="F4142" s="67" t="n">
        <v>44855</v>
      </c>
      <c r="G4142" s="68" t="n"/>
    </row>
    <row r="4143">
      <c r="A4143" s="6" t="n">
        <v>32236</v>
      </c>
      <c r="B4143" s="6" t="inlineStr">
        <is>
          <t>SEAGRAM'S EXTRA DRY GIN</t>
        </is>
      </c>
      <c r="C4143" s="7">
        <f>VLOOKUP(A4143,SizeData!A$2:B$3839,2,FALSE)</f>
        <v/>
      </c>
      <c r="D4143" s="6" t="n">
        <v>3</v>
      </c>
      <c r="E4143" s="6" t="inlineStr">
        <is>
          <t>R1837345</t>
        </is>
      </c>
      <c r="F4143" s="67" t="n">
        <v>44859</v>
      </c>
      <c r="G4143" s="68" t="n"/>
    </row>
    <row r="4144">
      <c r="A4144" s="6" t="n">
        <v>32235</v>
      </c>
      <c r="B4144" s="6" t="inlineStr">
        <is>
          <t>SEAGRAM'S EXTRA DRY GIN (PET)</t>
        </is>
      </c>
      <c r="C4144" s="7">
        <f>VLOOKUP(A4144,SizeData!A$2:B$3839,2,FALSE)</f>
        <v/>
      </c>
      <c r="D4144" s="6" t="n">
        <v>6</v>
      </c>
      <c r="E4144" s="6" t="inlineStr">
        <is>
          <t>R1468563</t>
        </is>
      </c>
      <c r="F4144" s="67" t="n">
        <v>44614</v>
      </c>
      <c r="G4144" s="68" t="n"/>
    </row>
    <row r="4145">
      <c r="A4145" s="6" t="n">
        <v>32235</v>
      </c>
      <c r="B4145" s="6" t="inlineStr">
        <is>
          <t>SEAGRAM'S EXTRA DRY GIN (PET)</t>
        </is>
      </c>
      <c r="C4145" s="7">
        <f>VLOOKUP(A4145,SizeData!A$2:B$3839,2,FALSE)</f>
        <v/>
      </c>
      <c r="D4145" s="6" t="n">
        <v>2</v>
      </c>
      <c r="E4145" s="6" t="inlineStr">
        <is>
          <t>R1583381</t>
        </is>
      </c>
      <c r="F4145" s="67" t="n">
        <v>44679</v>
      </c>
      <c r="G4145" s="68" t="n"/>
    </row>
    <row r="4146">
      <c r="A4146" s="6" t="n">
        <v>32235</v>
      </c>
      <c r="B4146" s="6" t="inlineStr">
        <is>
          <t>SEAGRAM'S EXTRA DRY GIN (PET)</t>
        </is>
      </c>
      <c r="C4146" s="7">
        <f>VLOOKUP(A4146,SizeData!A$2:B$3839,2,FALSE)</f>
        <v/>
      </c>
      <c r="D4146" s="6" t="n">
        <v>5</v>
      </c>
      <c r="E4146" s="6" t="inlineStr">
        <is>
          <t>R1606911</t>
        </is>
      </c>
      <c r="F4146" s="67" t="n">
        <v>44688</v>
      </c>
      <c r="G4146" s="68" t="n"/>
    </row>
    <row r="4147">
      <c r="A4147" s="6" t="n">
        <v>32235</v>
      </c>
      <c r="B4147" s="6" t="inlineStr">
        <is>
          <t>SEAGRAM'S EXTRA DRY GIN (PET)</t>
        </is>
      </c>
      <c r="C4147" s="7">
        <f>VLOOKUP(A4147,SizeData!A$2:B$3839,2,FALSE)</f>
        <v/>
      </c>
      <c r="D4147" s="6" t="n">
        <v>1</v>
      </c>
      <c r="E4147" s="6" t="inlineStr">
        <is>
          <t>R1690045</t>
        </is>
      </c>
      <c r="F4147" s="67" t="n">
        <v>44753</v>
      </c>
      <c r="G4147" s="68" t="n"/>
    </row>
    <row r="4148">
      <c r="A4148" s="6" t="n">
        <v>32235</v>
      </c>
      <c r="B4148" s="6" t="inlineStr">
        <is>
          <t>SEAGRAM'S EXTRA DRY GIN (PET)</t>
        </is>
      </c>
      <c r="C4148" s="7">
        <f>VLOOKUP(A4148,SizeData!A$2:B$3839,2,FALSE)</f>
        <v/>
      </c>
      <c r="D4148" s="6" t="n">
        <v>1</v>
      </c>
      <c r="E4148" s="6" t="inlineStr">
        <is>
          <t>R1727399</t>
        </is>
      </c>
      <c r="F4148" s="67" t="n">
        <v>44786</v>
      </c>
      <c r="G4148" s="68" t="n"/>
    </row>
    <row r="4149">
      <c r="A4149" s="6" t="n">
        <v>32235</v>
      </c>
      <c r="B4149" s="6" t="inlineStr">
        <is>
          <t>SEAGRAM'S EXTRA DRY GIN (PET)</t>
        </is>
      </c>
      <c r="C4149" s="7">
        <f>VLOOKUP(A4149,SizeData!A$2:B$3839,2,FALSE)</f>
        <v/>
      </c>
      <c r="D4149" s="6" t="n">
        <v>1</v>
      </c>
      <c r="E4149" s="6" t="inlineStr">
        <is>
          <t>R1760922</t>
        </is>
      </c>
      <c r="F4149" s="67" t="n">
        <v>44805</v>
      </c>
      <c r="G4149" s="68" t="n"/>
    </row>
    <row r="4150">
      <c r="A4150" s="6" t="n">
        <v>32235</v>
      </c>
      <c r="B4150" s="6" t="inlineStr">
        <is>
          <t>SEAGRAM'S EXTRA DRY GIN (PET)</t>
        </is>
      </c>
      <c r="C4150" s="7">
        <f>VLOOKUP(A4150,SizeData!A$2:B$3839,2,FALSE)</f>
        <v/>
      </c>
      <c r="D4150" s="6" t="n">
        <v>1</v>
      </c>
      <c r="E4150" s="6" t="inlineStr">
        <is>
          <t>R1770694</t>
        </is>
      </c>
      <c r="F4150" s="67" t="n">
        <v>44816</v>
      </c>
      <c r="G4150" s="68" t="n"/>
    </row>
    <row r="4151">
      <c r="A4151" s="6" t="n">
        <v>32235</v>
      </c>
      <c r="B4151" s="6" t="inlineStr">
        <is>
          <t>SEAGRAM'S EXTRA DRY GIN (PET)</t>
        </is>
      </c>
      <c r="C4151" s="7">
        <f>VLOOKUP(A4151,SizeData!A$2:B$3839,2,FALSE)</f>
        <v/>
      </c>
      <c r="D4151" s="6" t="n">
        <v>2</v>
      </c>
      <c r="E4151" s="6" t="inlineStr">
        <is>
          <t>R1821836</t>
        </is>
      </c>
      <c r="F4151" s="67" t="n">
        <v>44851</v>
      </c>
      <c r="G4151" s="68" t="n"/>
    </row>
    <row r="4152">
      <c r="A4152" s="6" t="n">
        <v>32235</v>
      </c>
      <c r="B4152" s="6" t="inlineStr">
        <is>
          <t>SEAGRAM'S EXTRA DRY GIN (PET)</t>
        </is>
      </c>
      <c r="C4152" s="7">
        <f>VLOOKUP(A4152,SizeData!A$2:B$3839,2,FALSE)</f>
        <v/>
      </c>
      <c r="D4152" s="6" t="n">
        <v>1</v>
      </c>
      <c r="E4152" s="6" t="inlineStr">
        <is>
          <t>R1866868</t>
        </is>
      </c>
      <c r="F4152" s="67" t="n">
        <v>44882</v>
      </c>
      <c r="G4152" s="68" t="n"/>
    </row>
    <row r="4153">
      <c r="A4153" s="6" t="n">
        <v>32241</v>
      </c>
      <c r="B4153" s="6" t="inlineStr">
        <is>
          <t>SEAGRAMS GIN PET</t>
        </is>
      </c>
      <c r="C4153" s="7">
        <f>VLOOKUP(A4153,SizeData!A$2:B$3839,2,FALSE)</f>
        <v/>
      </c>
      <c r="D4153" s="6" t="n">
        <v>10</v>
      </c>
      <c r="E4153" s="6" t="inlineStr">
        <is>
          <t>R1427354</t>
        </is>
      </c>
      <c r="F4153" s="67" t="n">
        <v>44586</v>
      </c>
      <c r="G4153" s="68" t="n"/>
    </row>
    <row r="4154">
      <c r="A4154" s="6" t="n">
        <v>37886</v>
      </c>
      <c r="B4154" s="6" t="inlineStr">
        <is>
          <t>SEAGRAM'S EXTRA SMOOTH VODKA</t>
        </is>
      </c>
      <c r="C4154" s="7">
        <f>VLOOKUP(A4154,SizeData!A$2:B$3839,2,FALSE)</f>
        <v/>
      </c>
      <c r="D4154" s="6" t="n">
        <v>1</v>
      </c>
      <c r="E4154" s="6" t="inlineStr">
        <is>
          <t>R1529670</t>
        </is>
      </c>
      <c r="F4154" s="67" t="n">
        <v>44652</v>
      </c>
      <c r="G4154" s="68" t="n"/>
    </row>
    <row r="4155">
      <c r="A4155" s="6" t="n">
        <v>37886</v>
      </c>
      <c r="B4155" s="6" t="inlineStr">
        <is>
          <t>SEAGRAM'S EXTRA SMOOTH VODKA</t>
        </is>
      </c>
      <c r="C4155" s="7">
        <f>VLOOKUP(A4155,SizeData!A$2:B$3839,2,FALSE)</f>
        <v/>
      </c>
      <c r="D4155" s="6" t="n">
        <v>2</v>
      </c>
      <c r="E4155" s="6" t="inlineStr">
        <is>
          <t>R1587377</t>
        </is>
      </c>
      <c r="F4155" s="67" t="n">
        <v>44681</v>
      </c>
      <c r="G4155" s="68" t="n"/>
    </row>
    <row r="4156">
      <c r="A4156" s="6" t="n">
        <v>37886</v>
      </c>
      <c r="B4156" s="6" t="inlineStr">
        <is>
          <t>SEAGRAM'S EXTRA SMOOTH VODKA</t>
        </is>
      </c>
      <c r="C4156" s="7">
        <f>VLOOKUP(A4156,SizeData!A$2:B$3839,2,FALSE)</f>
        <v/>
      </c>
      <c r="D4156" s="6" t="n">
        <v>1</v>
      </c>
      <c r="E4156" s="6" t="inlineStr">
        <is>
          <t>R1760203</t>
        </is>
      </c>
      <c r="F4156" s="67" t="n">
        <v>44791</v>
      </c>
      <c r="G4156" s="68" t="n"/>
    </row>
    <row r="4157">
      <c r="A4157" s="6" t="n">
        <v>37886</v>
      </c>
      <c r="B4157" s="6" t="inlineStr">
        <is>
          <t>SEAGRAM'S EXTRA SMOOTH VODKA</t>
        </is>
      </c>
      <c r="C4157" s="7">
        <f>VLOOKUP(A4157,SizeData!A$2:B$3839,2,FALSE)</f>
        <v/>
      </c>
      <c r="D4157" s="6" t="n">
        <v>1</v>
      </c>
      <c r="E4157" s="6" t="inlineStr">
        <is>
          <t>R1798963</t>
        </is>
      </c>
      <c r="F4157" s="67" t="n">
        <v>44844</v>
      </c>
      <c r="G4157" s="68" t="n"/>
    </row>
    <row r="4158">
      <c r="A4158" s="6" t="n">
        <v>37886</v>
      </c>
      <c r="B4158" s="6" t="inlineStr">
        <is>
          <t>SEAGRAM'S EXTRA SMOOTH VODKA</t>
        </is>
      </c>
      <c r="C4158" s="7">
        <f>VLOOKUP(A4158,SizeData!A$2:B$3839,2,FALSE)</f>
        <v/>
      </c>
      <c r="D4158" s="6" t="n">
        <v>1</v>
      </c>
      <c r="E4158" s="6" t="inlineStr">
        <is>
          <t>R1841934</t>
        </is>
      </c>
      <c r="F4158" s="67" t="n">
        <v>44866</v>
      </c>
      <c r="G4158" s="68" t="n"/>
    </row>
    <row r="4159">
      <c r="A4159" s="6" t="n">
        <v>37886</v>
      </c>
      <c r="B4159" s="6" t="inlineStr">
        <is>
          <t>SEAGRAM'S EXTRA SMOOTH VODKA</t>
        </is>
      </c>
      <c r="C4159" s="7">
        <f>VLOOKUP(A4159,SizeData!A$2:B$3839,2,FALSE)</f>
        <v/>
      </c>
      <c r="D4159" s="6" t="n">
        <v>4</v>
      </c>
      <c r="E4159" s="6" t="inlineStr">
        <is>
          <t>R1846759</t>
        </is>
      </c>
      <c r="F4159" s="67" t="n">
        <v>44872</v>
      </c>
      <c r="G4159" s="68" t="n"/>
    </row>
    <row r="4160">
      <c r="A4160" s="6" t="n">
        <v>37886</v>
      </c>
      <c r="B4160" s="6" t="inlineStr">
        <is>
          <t>SEAGRAM'S EXTRA SMOOTH VODKA</t>
        </is>
      </c>
      <c r="C4160" s="7">
        <f>VLOOKUP(A4160,SizeData!A$2:B$3839,2,FALSE)</f>
        <v/>
      </c>
      <c r="D4160" s="6" t="n">
        <v>2</v>
      </c>
      <c r="E4160" s="6" t="inlineStr">
        <is>
          <t>R1883576</t>
        </is>
      </c>
      <c r="F4160" s="67" t="n">
        <v>44895</v>
      </c>
      <c r="G4160" s="68" t="n"/>
    </row>
    <row r="4161">
      <c r="A4161" s="26" t="n">
        <v>33256</v>
      </c>
      <c r="B4161" s="26" t="inlineStr">
        <is>
          <t>SEAGRAM'S LIME TWISTED GIN</t>
        </is>
      </c>
      <c r="C4161" s="7">
        <f>VLOOKUP(A4161,SizeData!A$2:B$3839,2,FALSE)</f>
        <v/>
      </c>
      <c r="D4161" s="26" t="n">
        <v>1</v>
      </c>
      <c r="E4161" s="26" t="inlineStr">
        <is>
          <t>R1684665</t>
        </is>
      </c>
      <c r="F4161" s="72" t="n">
        <v>44765</v>
      </c>
      <c r="G4161" s="73" t="n"/>
    </row>
    <row r="4162">
      <c r="A4162" s="26" t="n">
        <v>33256</v>
      </c>
      <c r="B4162" s="26" t="inlineStr">
        <is>
          <t>SEAGRAM'S LIME TWISTED GIN</t>
        </is>
      </c>
      <c r="C4162" s="7">
        <f>VLOOKUP(A4162,SizeData!A$2:B$3839,2,FALSE)</f>
        <v/>
      </c>
      <c r="D4162" s="26" t="n">
        <v>1</v>
      </c>
      <c r="E4162" s="26" t="inlineStr">
        <is>
          <t>R1720686</t>
        </is>
      </c>
      <c r="F4162" s="72" t="n">
        <v>44776</v>
      </c>
      <c r="G4162" s="73" t="n"/>
    </row>
    <row r="4163">
      <c r="A4163" s="6" t="n">
        <v>33286</v>
      </c>
      <c r="B4163" s="6" t="inlineStr">
        <is>
          <t>SEAGRAM'S PEACH TWISTED GIN</t>
        </is>
      </c>
      <c r="C4163" s="7">
        <f>VLOOKUP(A4163,SizeData!A$2:B$3839,2,FALSE)</f>
        <v/>
      </c>
      <c r="D4163" s="6" t="n">
        <v>1</v>
      </c>
      <c r="E4163" s="6" t="inlineStr">
        <is>
          <t>R1743204</t>
        </is>
      </c>
      <c r="F4163" s="67" t="n">
        <v>44795</v>
      </c>
      <c r="G4163" s="68" t="n"/>
    </row>
    <row r="4164">
      <c r="A4164" s="6" t="n">
        <v>33282</v>
      </c>
      <c r="B4164" s="6" t="inlineStr">
        <is>
          <t>SEAGRAM'S PINEAPPLE TWISTED GIN</t>
        </is>
      </c>
      <c r="C4164" s="7">
        <f>VLOOKUP(A4164,SizeData!A$2:B$3839,2,FALSE)</f>
        <v/>
      </c>
      <c r="D4164" s="6" t="n">
        <v>1</v>
      </c>
      <c r="E4164" s="6" t="inlineStr">
        <is>
          <t>R1421358</t>
        </is>
      </c>
      <c r="F4164" s="67" t="n">
        <v>44579</v>
      </c>
      <c r="G4164" s="68" t="n"/>
    </row>
    <row r="4165">
      <c r="A4165" s="6" t="n">
        <v>33282</v>
      </c>
      <c r="B4165" s="6" t="inlineStr">
        <is>
          <t>SEAGRAM'S PINEAPPLE TWISTED GIN</t>
        </is>
      </c>
      <c r="C4165" s="7">
        <f>VLOOKUP(A4165,SizeData!A$2:B$3839,2,FALSE)</f>
        <v/>
      </c>
      <c r="D4165" s="6" t="n">
        <v>1</v>
      </c>
      <c r="E4165" s="6" t="inlineStr">
        <is>
          <t>R1626725</t>
        </is>
      </c>
      <c r="F4165" s="67" t="n">
        <v>44705</v>
      </c>
      <c r="G4165" s="68" t="n"/>
    </row>
    <row r="4166">
      <c r="A4166" s="6" t="n">
        <v>33282</v>
      </c>
      <c r="B4166" s="6" t="inlineStr">
        <is>
          <t>SEAGRAM'S PINEAPPLE TWISTED GIN</t>
        </is>
      </c>
      <c r="C4166" s="7">
        <f>VLOOKUP(A4166,SizeData!A$2:B$3839,2,FALSE)</f>
        <v/>
      </c>
      <c r="D4166" s="6" t="n">
        <v>1</v>
      </c>
      <c r="E4166" s="6" t="inlineStr">
        <is>
          <t>R1748972</t>
        </is>
      </c>
      <c r="F4166" s="67" t="n">
        <v>44812</v>
      </c>
      <c r="G4166" s="68" t="n"/>
    </row>
    <row r="4167">
      <c r="A4167" s="6" t="n">
        <v>63619</v>
      </c>
      <c r="B4167" s="6" t="inlineStr">
        <is>
          <t>SEAGRAM'S GIN &amp; JUICE BLUE BEAST</t>
        </is>
      </c>
      <c r="C4167" s="7">
        <f>VLOOKUP(A4167,SizeData!A$2:B$3839,2,FALSE)</f>
        <v/>
      </c>
      <c r="D4167" s="6" t="n">
        <v>1</v>
      </c>
      <c r="E4167" s="6" t="inlineStr">
        <is>
          <t>R1437002</t>
        </is>
      </c>
      <c r="F4167" s="67" t="n">
        <v>44586</v>
      </c>
      <c r="G4167" s="68" t="n"/>
    </row>
    <row r="4168">
      <c r="A4168" s="6" t="n">
        <v>381770</v>
      </c>
      <c r="B4168" s="6" t="inlineStr">
        <is>
          <t>SKINNYGIRL MOSCATO TERRE SICILIANE GT</t>
        </is>
      </c>
      <c r="C4168" s="7">
        <f>VLOOKUP(A4168,SizeData!A$2:B$3839,2,FALSE)</f>
        <v/>
      </c>
      <c r="D4168" s="6" t="n">
        <v>1</v>
      </c>
      <c r="E4168" s="6" t="inlineStr">
        <is>
          <t>R1499946</t>
        </is>
      </c>
      <c r="F4168" s="67" t="n">
        <v>44627</v>
      </c>
      <c r="G4168" s="68" t="n"/>
    </row>
    <row r="4169">
      <c r="A4169" s="6" t="n">
        <v>87026</v>
      </c>
      <c r="B4169" s="6" t="inlineStr">
        <is>
          <t>SKREWBALL PEANUT BUTTER WHISKEY</t>
        </is>
      </c>
      <c r="C4169" s="7">
        <f>VLOOKUP(A4169,SizeData!A$2:B$3839,2,FALSE)</f>
        <v/>
      </c>
      <c r="D4169" s="6" t="n">
        <v>1</v>
      </c>
      <c r="E4169" s="6" t="inlineStr">
        <is>
          <t>R1452246</t>
        </is>
      </c>
      <c r="F4169" s="67" t="n">
        <v>44600</v>
      </c>
      <c r="G4169" s="68" t="n"/>
    </row>
    <row r="4170">
      <c r="A4170" s="31" t="n">
        <v>87026</v>
      </c>
      <c r="B4170" s="31" t="inlineStr">
        <is>
          <t>SKREWBALL PEANUT BUTTER WHISKEY</t>
        </is>
      </c>
      <c r="C4170" s="7">
        <f>VLOOKUP(A4170,SizeData!A$2:B$3839,2,FALSE)</f>
        <v/>
      </c>
      <c r="D4170" s="31" t="n">
        <v>1</v>
      </c>
      <c r="E4170" s="31" t="inlineStr">
        <is>
          <t>R1662835</t>
        </is>
      </c>
      <c r="F4170" s="82" t="n">
        <v>44740</v>
      </c>
      <c r="G4170" s="83" t="n"/>
    </row>
    <row r="4171">
      <c r="A4171" s="6" t="n">
        <v>37982</v>
      </c>
      <c r="B4171" s="6" t="inlineStr">
        <is>
          <t>SKYY VODKA</t>
        </is>
      </c>
      <c r="C4171" s="7">
        <f>VLOOKUP(A4171,SizeData!A$2:B$3839,2,FALSE)</f>
        <v/>
      </c>
      <c r="D4171" s="6" t="n">
        <v>20</v>
      </c>
      <c r="E4171" s="6" t="inlineStr">
        <is>
          <t>R1372465</t>
        </is>
      </c>
      <c r="F4171" s="67" t="n">
        <v>44548</v>
      </c>
      <c r="G4171" s="68" t="n"/>
    </row>
    <row r="4172">
      <c r="A4172" s="6" t="n">
        <v>37986</v>
      </c>
      <c r="B4172" s="6" t="inlineStr">
        <is>
          <t>SKYY VODKA</t>
        </is>
      </c>
      <c r="C4172" s="7">
        <f>VLOOKUP(A4172,SizeData!A$2:B$3839,2,FALSE)</f>
        <v/>
      </c>
      <c r="D4172" s="6" t="n">
        <v>1</v>
      </c>
      <c r="E4172" s="6" t="inlineStr">
        <is>
          <t>R1496401</t>
        </is>
      </c>
      <c r="F4172" s="67" t="n">
        <v>44621</v>
      </c>
      <c r="G4172" s="68" t="n"/>
    </row>
    <row r="4173">
      <c r="A4173" s="26" t="n">
        <v>37986</v>
      </c>
      <c r="B4173" s="26" t="inlineStr">
        <is>
          <t>SKYY VODKA</t>
        </is>
      </c>
      <c r="C4173" s="7">
        <f>VLOOKUP(A4173,SizeData!A$2:B$3839,2,FALSE)</f>
        <v/>
      </c>
      <c r="D4173" s="26" t="n">
        <v>1</v>
      </c>
      <c r="E4173" s="26" t="inlineStr">
        <is>
          <t>R1751391</t>
        </is>
      </c>
      <c r="F4173" s="72" t="n">
        <v>44805</v>
      </c>
      <c r="G4173" s="73" t="n"/>
    </row>
    <row r="4174">
      <c r="A4174" s="6" t="n">
        <v>37988</v>
      </c>
      <c r="B4174" s="6" t="inlineStr">
        <is>
          <t>SKYY VODKA</t>
        </is>
      </c>
      <c r="C4174" s="7">
        <f>VLOOKUP(A4174,SizeData!A$2:B$3839,2,FALSE)</f>
        <v/>
      </c>
      <c r="D4174" s="6" t="n">
        <v>2</v>
      </c>
      <c r="E4174" s="6" t="inlineStr">
        <is>
          <t>R1481220</t>
        </is>
      </c>
      <c r="F4174" s="67" t="n">
        <v>44608</v>
      </c>
      <c r="G4174" s="68" t="n"/>
    </row>
    <row r="4175">
      <c r="A4175" s="6" t="n">
        <v>37988</v>
      </c>
      <c r="B4175" s="6" t="inlineStr">
        <is>
          <t>SKYY VODKA</t>
        </is>
      </c>
      <c r="C4175" s="7">
        <f>VLOOKUP(A4175,SizeData!A$2:B$3839,2,FALSE)</f>
        <v/>
      </c>
      <c r="D4175" s="6" t="n">
        <v>1</v>
      </c>
      <c r="E4175" s="6" t="inlineStr">
        <is>
          <t>R1617499</t>
        </is>
      </c>
      <c r="F4175" s="67" t="n">
        <v>44706</v>
      </c>
      <c r="G4175" s="68" t="n"/>
    </row>
    <row r="4176">
      <c r="A4176" s="6" t="n">
        <v>37988</v>
      </c>
      <c r="B4176" s="6" t="inlineStr">
        <is>
          <t>SKYY VODKA</t>
        </is>
      </c>
      <c r="C4176" s="7">
        <f>VLOOKUP(A4176,SizeData!A$2:B$3839,2,FALSE)</f>
        <v/>
      </c>
      <c r="D4176" s="6" t="n">
        <v>1</v>
      </c>
      <c r="E4176" s="6" t="inlineStr">
        <is>
          <t>R1719137</t>
        </is>
      </c>
      <c r="F4176" s="67" t="n">
        <v>44781</v>
      </c>
      <c r="G4176" s="68" t="n"/>
    </row>
    <row r="4177">
      <c r="A4177" s="6" t="n">
        <v>37988</v>
      </c>
      <c r="B4177" s="6" t="inlineStr">
        <is>
          <t>SKYY VODKA</t>
        </is>
      </c>
      <c r="C4177" s="7">
        <f>VLOOKUP(A4177,SizeData!A$2:B$3839,2,FALSE)</f>
        <v/>
      </c>
      <c r="D4177" s="6" t="n">
        <v>1</v>
      </c>
      <c r="E4177" s="6" t="inlineStr">
        <is>
          <t>R1740102</t>
        </is>
      </c>
      <c r="F4177" s="67" t="n">
        <v>44781</v>
      </c>
      <c r="G4177" s="68" t="n"/>
    </row>
    <row r="4178">
      <c r="A4178" s="6" t="n">
        <v>37994</v>
      </c>
      <c r="B4178" s="6" t="inlineStr">
        <is>
          <t>SMIRNOFF 80 PROOF VODKA</t>
        </is>
      </c>
      <c r="C4178" s="7">
        <f>VLOOKUP(A4178,SizeData!A$2:B$3839,2,FALSE)</f>
        <v/>
      </c>
      <c r="D4178" s="6" t="n">
        <v>1</v>
      </c>
      <c r="E4178" s="6" t="inlineStr">
        <is>
          <t>R1668776</t>
        </is>
      </c>
      <c r="F4178" s="67" t="n">
        <v>44742</v>
      </c>
      <c r="G4178" s="68" t="n"/>
    </row>
    <row r="4179">
      <c r="A4179" s="6" t="n">
        <v>37994</v>
      </c>
      <c r="B4179" s="6" t="inlineStr">
        <is>
          <t>SMIRNOFF 80 PROOF VODKA</t>
        </is>
      </c>
      <c r="C4179" s="7">
        <f>VLOOKUP(A4179,SizeData!A$2:B$3839,2,FALSE)</f>
        <v/>
      </c>
      <c r="D4179" s="6" t="n">
        <v>1</v>
      </c>
      <c r="E4179" s="6" t="inlineStr">
        <is>
          <t>R1770694</t>
        </is>
      </c>
      <c r="F4179" s="67" t="n">
        <v>44816</v>
      </c>
      <c r="G4179" s="68" t="n"/>
    </row>
    <row r="4180">
      <c r="A4180" s="6" t="n">
        <v>37994</v>
      </c>
      <c r="B4180" s="6" t="inlineStr">
        <is>
          <t>SMIRNOFF 80 PROOF VODKA</t>
        </is>
      </c>
      <c r="C4180" s="7">
        <f>VLOOKUP(A4180,SizeData!A$2:B$3839,2,FALSE)</f>
        <v/>
      </c>
      <c r="D4180" s="6" t="n">
        <v>5</v>
      </c>
      <c r="E4180" s="6" t="inlineStr">
        <is>
          <t>R1794246</t>
        </is>
      </c>
      <c r="F4180" s="67" t="n">
        <v>44837</v>
      </c>
      <c r="G4180" s="68" t="n"/>
    </row>
    <row r="4181">
      <c r="A4181" s="6" t="n">
        <v>37996</v>
      </c>
      <c r="B4181" s="6" t="inlineStr">
        <is>
          <t>SMIRNOFF 80 PROOF VODKA</t>
        </is>
      </c>
      <c r="C4181" s="7">
        <f>VLOOKUP(A4181,SizeData!A$2:B$3839,2,FALSE)</f>
        <v/>
      </c>
      <c r="D4181" s="6" t="n">
        <v>1</v>
      </c>
      <c r="E4181" s="6" t="inlineStr">
        <is>
          <t>R1496401</t>
        </is>
      </c>
      <c r="F4181" s="67" t="n">
        <v>44621</v>
      </c>
      <c r="G4181" s="68" t="n"/>
    </row>
    <row r="4182">
      <c r="A4182" s="6" t="n">
        <v>37996</v>
      </c>
      <c r="B4182" s="6" t="inlineStr">
        <is>
          <t>SMIRNOFF 80 PROOF VODKA</t>
        </is>
      </c>
      <c r="C4182" s="7">
        <f>VLOOKUP(A4182,SizeData!A$2:B$3839,2,FALSE)</f>
        <v/>
      </c>
      <c r="D4182" s="6" t="n">
        <v>1</v>
      </c>
      <c r="E4182" s="6" t="inlineStr">
        <is>
          <t>R1629823</t>
        </is>
      </c>
      <c r="F4182" s="67" t="n">
        <v>44713</v>
      </c>
      <c r="G4182" s="68" t="n"/>
    </row>
    <row r="4183">
      <c r="A4183" s="6" t="n">
        <v>37996</v>
      </c>
      <c r="B4183" s="6" t="inlineStr">
        <is>
          <t>SMIRNOFF 80 PROOF VODKA</t>
        </is>
      </c>
      <c r="C4183" s="7">
        <f>VLOOKUP(A4183,SizeData!A$2:B$3839,2,FALSE)</f>
        <v/>
      </c>
      <c r="D4183" s="6" t="n">
        <v>1</v>
      </c>
      <c r="E4183" s="6" t="inlineStr">
        <is>
          <t>R1632057</t>
        </is>
      </c>
      <c r="F4183" s="67" t="n">
        <v>44716</v>
      </c>
      <c r="G4183" s="68" t="n"/>
    </row>
    <row r="4184">
      <c r="A4184" s="26" t="n">
        <v>37996</v>
      </c>
      <c r="B4184" s="26" t="inlineStr">
        <is>
          <t>SMIRNOFF 80 PROOF VODKA</t>
        </is>
      </c>
      <c r="C4184" s="7">
        <f>VLOOKUP(A4184,SizeData!A$2:B$3839,2,FALSE)</f>
        <v/>
      </c>
      <c r="D4184" s="26" t="n">
        <v>1</v>
      </c>
      <c r="E4184" s="26" t="inlineStr">
        <is>
          <t>R1744939</t>
        </is>
      </c>
      <c r="F4184" s="72" t="n">
        <v>44804</v>
      </c>
      <c r="G4184" s="73" t="n"/>
    </row>
    <row r="4185">
      <c r="A4185" s="6" t="n">
        <v>38008</v>
      </c>
      <c r="B4185" s="6" t="inlineStr">
        <is>
          <t>SMIRNOFF 80 PROOF VODKA (PET)</t>
        </is>
      </c>
      <c r="C4185" s="7">
        <f>VLOOKUP(A4185,SizeData!A$2:B$3839,2,FALSE)</f>
        <v/>
      </c>
      <c r="D4185" s="6" t="n">
        <v>8</v>
      </c>
      <c r="E4185" s="6" t="inlineStr">
        <is>
          <t>R1456927</t>
        </is>
      </c>
      <c r="F4185" s="67" t="n">
        <v>44600</v>
      </c>
      <c r="G4185" s="108" t="inlineStr">
        <is>
          <t>Monthly Avg 4.4 cases according to year 21 and 22</t>
        </is>
      </c>
    </row>
    <row r="4186">
      <c r="A4186" s="6" t="n">
        <v>37996</v>
      </c>
      <c r="B4186" s="6" t="inlineStr">
        <is>
          <t>SMIRNOFF 80 VODKA</t>
        </is>
      </c>
      <c r="C4186" s="7">
        <f>VLOOKUP(A4186,SizeData!A$2:B$3839,2,FALSE)</f>
        <v/>
      </c>
      <c r="D4186" s="6" t="n">
        <v>1</v>
      </c>
      <c r="E4186" s="6" t="inlineStr">
        <is>
          <t>R1379703</t>
        </is>
      </c>
      <c r="F4186" s="67" t="n">
        <v>44552</v>
      </c>
      <c r="G4186" s="68" t="n"/>
    </row>
    <row r="4187">
      <c r="A4187" s="6" t="n">
        <v>77674</v>
      </c>
      <c r="B4187" s="6" t="inlineStr">
        <is>
          <t>SMIRNOFF GREEN APPLE FLAVORED VODKA (DSS)</t>
        </is>
      </c>
      <c r="C4187" s="7">
        <f>VLOOKUP(A4187,SizeData!A$2:B$3839,2,FALSE)</f>
        <v/>
      </c>
      <c r="D4187" s="6" t="n">
        <v>1</v>
      </c>
      <c r="E4187" s="6" t="inlineStr">
        <is>
          <t>R1496401</t>
        </is>
      </c>
      <c r="F4187" s="67" t="n">
        <v>44621</v>
      </c>
      <c r="G4187" s="68" t="n"/>
    </row>
    <row r="4188">
      <c r="A4188" s="6" t="n">
        <v>77674</v>
      </c>
      <c r="B4188" s="6" t="inlineStr">
        <is>
          <t>SMIRNOFF GREEN APPLE FLAVORED VODKA (DSS)</t>
        </is>
      </c>
      <c r="C4188" s="7">
        <f>VLOOKUP(A4188,SizeData!A$2:B$3839,2,FALSE)</f>
        <v/>
      </c>
      <c r="D4188" s="6" t="n">
        <v>1</v>
      </c>
      <c r="E4188" s="6" t="inlineStr">
        <is>
          <t>R1900430</t>
        </is>
      </c>
      <c r="F4188" s="67" t="n">
        <v>44896</v>
      </c>
      <c r="G4188" s="68" t="n"/>
    </row>
    <row r="4189">
      <c r="A4189" s="6" t="n">
        <v>77683</v>
      </c>
      <c r="B4189" s="6" t="inlineStr">
        <is>
          <t>SMIRNOFF KISS CARAMEL VODKA SPECIALT</t>
        </is>
      </c>
      <c r="C4189" s="7">
        <f>VLOOKUP(A4189,SizeData!A$2:B$3839,2,FALSE)</f>
        <v/>
      </c>
      <c r="D4189" s="6" t="n">
        <v>1</v>
      </c>
      <c r="E4189" s="6" t="inlineStr">
        <is>
          <t>R1393008</t>
        </is>
      </c>
      <c r="F4189" s="67" t="n">
        <v>44558</v>
      </c>
      <c r="G4189" s="68" t="n"/>
    </row>
    <row r="4190">
      <c r="A4190" s="6" t="n">
        <v>77709</v>
      </c>
      <c r="B4190" s="6" t="inlineStr">
        <is>
          <t>SMIRNOFF PEACH FLAVORED VODKA (DSS)</t>
        </is>
      </c>
      <c r="C4190" s="7">
        <f>VLOOKUP(A4190,SizeData!A$2:B$3839,2,FALSE)</f>
        <v/>
      </c>
      <c r="D4190" s="6" t="n">
        <v>1</v>
      </c>
      <c r="E4190" s="6" t="inlineStr">
        <is>
          <t>R1727399</t>
        </is>
      </c>
      <c r="F4190" s="67" t="n">
        <v>44786</v>
      </c>
      <c r="G4190" s="68" t="n"/>
    </row>
    <row r="4191">
      <c r="A4191" s="6" t="n">
        <v>78293</v>
      </c>
      <c r="B4191" s="6" t="inlineStr">
        <is>
          <t>SMIRNOFF PEACH LEMONADE</t>
        </is>
      </c>
      <c r="C4191" s="7">
        <f>VLOOKUP(A4191,SizeData!A$2:B$3839,2,FALSE)</f>
        <v/>
      </c>
      <c r="D4191" s="6" t="n">
        <v>1</v>
      </c>
      <c r="E4191" s="6" t="inlineStr">
        <is>
          <t>R1629823</t>
        </is>
      </c>
      <c r="F4191" s="67" t="n">
        <v>44713</v>
      </c>
      <c r="G4191" s="68" t="n"/>
    </row>
    <row r="4192">
      <c r="A4192" s="6" t="n">
        <v>78293</v>
      </c>
      <c r="B4192" s="6" t="inlineStr">
        <is>
          <t>SMIRNOFF PEACH LEMONADE</t>
        </is>
      </c>
      <c r="C4192" s="7">
        <f>VLOOKUP(A4192,SizeData!A$2:B$3839,2,FALSE)</f>
        <v/>
      </c>
      <c r="D4192" s="6" t="n">
        <v>1</v>
      </c>
      <c r="E4192" s="6" t="inlineStr">
        <is>
          <t>R1743204</t>
        </is>
      </c>
      <c r="F4192" s="67" t="n">
        <v>44795</v>
      </c>
      <c r="G4192" s="68" t="n"/>
    </row>
    <row r="4193">
      <c r="A4193" s="6" t="n">
        <v>77858</v>
      </c>
      <c r="B4193" s="6" t="inlineStr">
        <is>
          <t>SMIRNOFF WHIPPED CREAM FLAVORED VODKA (DSS)</t>
        </is>
      </c>
      <c r="C4193" s="7">
        <f>VLOOKUP(A4193,SizeData!A$2:B$3839,2,FALSE)</f>
        <v/>
      </c>
      <c r="D4193" s="6" t="n">
        <v>1</v>
      </c>
      <c r="E4193" s="6" t="inlineStr">
        <is>
          <t>R1749316</t>
        </is>
      </c>
      <c r="F4193" s="67" t="n">
        <v>44803</v>
      </c>
      <c r="G4193" s="68" t="n"/>
    </row>
    <row r="4194">
      <c r="A4194" s="6" t="n">
        <v>34690</v>
      </c>
      <c r="B4194" s="6" t="inlineStr">
        <is>
          <t>SOBIESKI POLISH VODKA</t>
        </is>
      </c>
      <c r="C4194" s="7">
        <f>VLOOKUP(A4194,SizeData!A$2:B$3839,2,FALSE)</f>
        <v/>
      </c>
      <c r="D4194" s="6" t="n">
        <v>1</v>
      </c>
      <c r="E4194" s="6" t="inlineStr">
        <is>
          <t>R1439543</t>
        </is>
      </c>
      <c r="F4194" s="67" t="n">
        <v>44594</v>
      </c>
      <c r="G4194" s="68" t="n"/>
    </row>
    <row r="4195">
      <c r="A4195" s="6" t="n">
        <v>34690</v>
      </c>
      <c r="B4195" s="6" t="inlineStr">
        <is>
          <t>SOBIESKI POLISH VODKA</t>
        </is>
      </c>
      <c r="C4195" s="7">
        <f>VLOOKUP(A4195,SizeData!A$2:B$3839,2,FALSE)</f>
        <v/>
      </c>
      <c r="D4195" s="6" t="n">
        <v>2</v>
      </c>
      <c r="E4195" s="6" t="inlineStr">
        <is>
          <t>R1472202</t>
        </is>
      </c>
      <c r="F4195" s="67" t="n">
        <v>44608</v>
      </c>
      <c r="G4195" s="68" t="n"/>
    </row>
    <row r="4196">
      <c r="A4196" s="26" t="n">
        <v>34690</v>
      </c>
      <c r="B4196" s="26" t="inlineStr">
        <is>
          <t>SOBIESKI POLISH VODKA</t>
        </is>
      </c>
      <c r="C4196" s="7">
        <f>VLOOKUP(A4196,SizeData!A$2:B$3839,2,FALSE)</f>
        <v/>
      </c>
      <c r="D4196" s="26" t="n">
        <v>1</v>
      </c>
      <c r="E4196" s="26" t="inlineStr">
        <is>
          <t>R1719137</t>
        </is>
      </c>
      <c r="F4196" s="72" t="n">
        <v>44781</v>
      </c>
      <c r="G4196" s="73" t="n"/>
    </row>
    <row r="4197">
      <c r="A4197" s="6" t="n">
        <v>35213</v>
      </c>
      <c r="B4197" s="6" t="inlineStr">
        <is>
          <t>SOBIESKI POLISH VODKA</t>
        </is>
      </c>
      <c r="C4197" s="7">
        <f>VLOOKUP(A4197,SizeData!A$2:B$3839,2,FALSE)</f>
        <v/>
      </c>
      <c r="D4197" s="6" t="n">
        <v>1</v>
      </c>
      <c r="E4197" s="6" t="inlineStr">
        <is>
          <t>R1503957</t>
        </is>
      </c>
      <c r="F4197" s="67" t="n">
        <v>44636</v>
      </c>
      <c r="G4197" s="68" t="n"/>
    </row>
    <row r="4198">
      <c r="A4198" s="6" t="n">
        <v>35213</v>
      </c>
      <c r="B4198" s="6" t="inlineStr">
        <is>
          <t>SOBIESKI POLISH VODKA</t>
        </is>
      </c>
      <c r="C4198" s="7">
        <f>VLOOKUP(A4198,SizeData!A$2:B$3839,2,FALSE)</f>
        <v/>
      </c>
      <c r="D4198" s="6" t="n">
        <v>3</v>
      </c>
      <c r="E4198" s="6" t="inlineStr">
        <is>
          <t>R1550755</t>
        </is>
      </c>
      <c r="F4198" s="67" t="n">
        <v>44650</v>
      </c>
      <c r="G4198" s="68" t="n"/>
    </row>
    <row r="4199">
      <c r="A4199" s="6" t="n">
        <v>381956</v>
      </c>
      <c r="B4199" s="6" t="inlineStr">
        <is>
          <t>SONOROSO ROSSO DOLCE</t>
        </is>
      </c>
      <c r="C4199" s="7">
        <f>VLOOKUP(A4199,SizeData!A$2:B$3839,2,FALSE)</f>
        <v/>
      </c>
      <c r="D4199" s="6" t="n">
        <v>2</v>
      </c>
      <c r="E4199" s="6" t="inlineStr">
        <is>
          <t>R1728993</t>
        </is>
      </c>
      <c r="F4199" s="67" t="n">
        <v>44790</v>
      </c>
      <c r="G4199" s="68" t="n"/>
    </row>
    <row r="4200">
      <c r="A4200" s="6" t="n">
        <v>381956</v>
      </c>
      <c r="B4200" s="6" t="inlineStr">
        <is>
          <t>SONOROSO ROSSO DOLCE</t>
        </is>
      </c>
      <c r="C4200" s="7">
        <f>VLOOKUP(A4200,SizeData!A$2:B$3839,2,FALSE)</f>
        <v/>
      </c>
      <c r="D4200" s="6" t="n">
        <v>1</v>
      </c>
      <c r="E4200" s="6" t="inlineStr">
        <is>
          <t>R1900430</t>
        </is>
      </c>
      <c r="F4200" s="67" t="n">
        <v>44896</v>
      </c>
      <c r="G4200" s="68" t="n"/>
    </row>
    <row r="4201">
      <c r="A4201" s="6" t="n">
        <v>86886</v>
      </c>
      <c r="B4201" s="6" t="inlineStr">
        <is>
          <t>SOUTHERN COMFORT</t>
        </is>
      </c>
      <c r="C4201" s="7">
        <f>VLOOKUP(A4201,SizeData!A$2:B$3839,2,FALSE)</f>
        <v/>
      </c>
      <c r="D4201" s="6" t="n">
        <v>1</v>
      </c>
      <c r="E4201" s="6" t="inlineStr">
        <is>
          <t>R1439543</t>
        </is>
      </c>
      <c r="F4201" s="67" t="n">
        <v>44594</v>
      </c>
      <c r="G4201" s="68" t="n"/>
    </row>
    <row r="4202">
      <c r="A4202" s="6" t="n">
        <v>66836</v>
      </c>
      <c r="B4202" s="6" t="inlineStr">
        <is>
          <t>ST GERMAIN FRENCH LIQUEUR (ELDERFLOWER)</t>
        </is>
      </c>
      <c r="C4202" s="7">
        <f>VLOOKUP(A4202,SizeData!A$2:B$3839,2,FALSE)</f>
        <v/>
      </c>
      <c r="D4202" s="6" t="n">
        <v>1</v>
      </c>
      <c r="E4202" s="6" t="inlineStr">
        <is>
          <t>R1529670</t>
        </is>
      </c>
      <c r="F4202" s="67" t="n">
        <v>44652</v>
      </c>
      <c r="G4202" s="68" t="n"/>
    </row>
    <row r="4203">
      <c r="A4203" s="6" t="n">
        <v>50686</v>
      </c>
      <c r="B4203" s="6" t="inlineStr">
        <is>
          <t>ST. REMY VSOP BRANDY</t>
        </is>
      </c>
      <c r="C4203" s="7">
        <f>VLOOKUP(A4203,SizeData!A$2:B$3839,2,FALSE)</f>
        <v/>
      </c>
      <c r="D4203" s="6" t="n">
        <v>1</v>
      </c>
      <c r="E4203" s="6" t="inlineStr">
        <is>
          <t>R1701532</t>
        </is>
      </c>
      <c r="F4203" s="67" t="n">
        <v>44765</v>
      </c>
      <c r="G4203" s="68" t="n"/>
    </row>
    <row r="4204">
      <c r="A4204" s="6" t="n">
        <v>50689</v>
      </c>
      <c r="B4204" s="6" t="inlineStr">
        <is>
          <t>ST. REMY VSOP BRANDY PET</t>
        </is>
      </c>
      <c r="C4204" s="7">
        <f>VLOOKUP(A4204,SizeData!A$2:B$3839,2,FALSE)</f>
        <v/>
      </c>
      <c r="D4204" s="6" t="n">
        <v>2</v>
      </c>
      <c r="E4204" s="6" t="inlineStr">
        <is>
          <t>R1835862</t>
        </is>
      </c>
      <c r="F4204" s="67" t="n">
        <v>44856</v>
      </c>
      <c r="G4204" s="68" t="n"/>
    </row>
    <row r="4205">
      <c r="A4205" s="6" t="n">
        <v>424396</v>
      </c>
      <c r="B4205" s="6" t="inlineStr">
        <is>
          <t>STARBOROUGH STARLITE SAUVIGNON BLANC</t>
        </is>
      </c>
      <c r="C4205" s="7">
        <f>VLOOKUP(A4205,SizeData!A$2:B$3839,2,FALSE)</f>
        <v/>
      </c>
      <c r="D4205" s="6" t="n">
        <v>1</v>
      </c>
      <c r="E4205" s="6" t="inlineStr">
        <is>
          <t>R1792137</t>
        </is>
      </c>
      <c r="F4205" s="67" t="n">
        <v>44835</v>
      </c>
      <c r="G4205" s="68" t="n"/>
    </row>
    <row r="4206">
      <c r="A4206" s="6" t="n">
        <v>424396</v>
      </c>
      <c r="B4206" s="6" t="inlineStr">
        <is>
          <t>STARBOROUGH STARLITE SAUVIGNON BLANC</t>
        </is>
      </c>
      <c r="C4206" s="7">
        <f>VLOOKUP(A4206,SizeData!A$2:B$3839,2,FALSE)</f>
        <v/>
      </c>
      <c r="D4206" s="6" t="n">
        <v>1</v>
      </c>
      <c r="E4206" s="6" t="inlineStr">
        <is>
          <t>R1830533</t>
        </is>
      </c>
      <c r="F4206" s="67" t="n">
        <v>44852</v>
      </c>
      <c r="G4206" s="68" t="n"/>
    </row>
    <row r="4207">
      <c r="A4207" s="6" t="n">
        <v>626210</v>
      </c>
      <c r="B4207" s="6" t="inlineStr">
        <is>
          <t>STE MICHELLE COLUMBIA VL RIESLING</t>
        </is>
      </c>
      <c r="C4207" s="7">
        <f>VLOOKUP(A4207,SizeData!A$2:B$3839,2,FALSE)</f>
        <v/>
      </c>
      <c r="D4207" s="6" t="n">
        <v>1</v>
      </c>
      <c r="E4207" s="6" t="inlineStr">
        <is>
          <t>R1761638</t>
        </is>
      </c>
      <c r="F4207" s="67" t="n">
        <v>44807</v>
      </c>
      <c r="G4207" s="68" t="n"/>
    </row>
    <row r="4208">
      <c r="A4208" s="6" t="n">
        <v>734272</v>
      </c>
      <c r="B4208" s="6" t="inlineStr">
        <is>
          <t>STELLA ROSA BLACK LUX</t>
        </is>
      </c>
      <c r="C4208" s="7">
        <f>VLOOKUP(A4208,SizeData!A$2:B$3839,2,FALSE)</f>
        <v/>
      </c>
      <c r="D4208" s="6" t="n">
        <v>2</v>
      </c>
      <c r="E4208" s="6" t="inlineStr">
        <is>
          <t>R1443217</t>
        </is>
      </c>
      <c r="F4208" s="67" t="n">
        <v>44593</v>
      </c>
      <c r="G4208" s="68" t="n"/>
    </row>
    <row r="4209">
      <c r="A4209" s="6" t="n">
        <v>734278</v>
      </c>
      <c r="B4209" s="6" t="inlineStr">
        <is>
          <t>STELLA ROSA ROSSO LUX</t>
        </is>
      </c>
      <c r="C4209" s="7">
        <f>VLOOKUP(A4209,SizeData!A$2:B$3839,2,FALSE)</f>
        <v/>
      </c>
      <c r="D4209" s="6" t="n">
        <v>1</v>
      </c>
      <c r="E4209" s="6" t="inlineStr">
        <is>
          <t>R1900430</t>
        </is>
      </c>
      <c r="F4209" s="67" t="n">
        <v>44896</v>
      </c>
      <c r="G4209" s="68" t="n"/>
    </row>
    <row r="4210">
      <c r="A4210" s="6" t="n">
        <v>382047</v>
      </c>
      <c r="B4210" s="6" t="inlineStr">
        <is>
          <t>STELLA ROSA ROYALE</t>
        </is>
      </c>
      <c r="C4210" s="7">
        <f>VLOOKUP(A4210,SizeData!A$2:B$3839,2,FALSE)</f>
        <v/>
      </c>
      <c r="D4210" s="6" t="n">
        <v>1</v>
      </c>
      <c r="E4210" s="6" t="inlineStr">
        <is>
          <t>R1549891</t>
        </is>
      </c>
      <c r="F4210" s="67" t="n">
        <v>44656</v>
      </c>
      <c r="G4210" s="68" t="n"/>
    </row>
    <row r="4211">
      <c r="A4211" s="6" t="n">
        <v>382047</v>
      </c>
      <c r="B4211" s="6" t="inlineStr">
        <is>
          <t>STELLA ROSA ROYALE</t>
        </is>
      </c>
      <c r="C4211" s="7">
        <f>VLOOKUP(A4211,SizeData!A$2:B$3839,2,FALSE)</f>
        <v/>
      </c>
      <c r="D4211" s="6" t="n">
        <v>1</v>
      </c>
      <c r="E4211" s="6" t="inlineStr">
        <is>
          <t>R1591879</t>
        </is>
      </c>
      <c r="F4211" s="67" t="n">
        <v>44687</v>
      </c>
      <c r="G4211" s="68" t="n"/>
    </row>
    <row r="4212">
      <c r="A4212" s="6" t="n">
        <v>382047</v>
      </c>
      <c r="B4212" s="6" t="inlineStr">
        <is>
          <t>STELLA ROSA ROYALE</t>
        </is>
      </c>
      <c r="C4212" s="7">
        <f>VLOOKUP(A4212,SizeData!A$2:B$3839,2,FALSE)</f>
        <v/>
      </c>
      <c r="D4212" s="6" t="n">
        <v>1</v>
      </c>
      <c r="E4212" s="6" t="inlineStr">
        <is>
          <t>R1612379</t>
        </is>
      </c>
      <c r="F4212" s="67" t="n">
        <v>44701</v>
      </c>
      <c r="G4212" s="68" t="n"/>
    </row>
    <row r="4213">
      <c r="A4213" s="6" t="n">
        <v>382047</v>
      </c>
      <c r="B4213" s="6" t="inlineStr">
        <is>
          <t>STELLA ROSA ROYALE</t>
        </is>
      </c>
      <c r="C4213" s="7">
        <f>VLOOKUP(A4213,SizeData!A$2:B$3839,2,FALSE)</f>
        <v/>
      </c>
      <c r="D4213" s="6" t="n">
        <v>1</v>
      </c>
      <c r="E4213" s="6" t="inlineStr">
        <is>
          <t>R1617499</t>
        </is>
      </c>
      <c r="F4213" s="67" t="n">
        <v>44706</v>
      </c>
      <c r="G4213" s="68" t="n"/>
    </row>
    <row r="4214">
      <c r="A4214" s="6" t="n">
        <v>382047</v>
      </c>
      <c r="B4214" s="6" t="inlineStr">
        <is>
          <t>STELLA ROSA ROYALE</t>
        </is>
      </c>
      <c r="C4214" s="7">
        <f>VLOOKUP(A4214,SizeData!A$2:B$3839,2,FALSE)</f>
        <v/>
      </c>
      <c r="D4214" s="6" t="n">
        <v>2</v>
      </c>
      <c r="E4214" s="6" t="inlineStr">
        <is>
          <t>R1668331</t>
        </is>
      </c>
      <c r="F4214" s="67" t="n">
        <v>44742</v>
      </c>
      <c r="G4214" s="68" t="n"/>
    </row>
    <row r="4215">
      <c r="A4215" s="6" t="n">
        <v>382047</v>
      </c>
      <c r="B4215" s="6" t="inlineStr">
        <is>
          <t>STELLA ROSA ROYALE</t>
        </is>
      </c>
      <c r="C4215" s="7">
        <f>VLOOKUP(A4215,SizeData!A$2:B$3839,2,FALSE)</f>
        <v/>
      </c>
      <c r="D4215" s="6" t="n">
        <v>2</v>
      </c>
      <c r="E4215" s="6" t="inlineStr">
        <is>
          <t>R1682790</t>
        </is>
      </c>
      <c r="F4215" s="67" t="n">
        <v>44762</v>
      </c>
      <c r="G4215" s="68" t="n"/>
    </row>
    <row r="4216">
      <c r="A4216" s="6" t="n">
        <v>382047</v>
      </c>
      <c r="B4216" s="6" t="inlineStr">
        <is>
          <t>STELLA ROSA ROYALE</t>
        </is>
      </c>
      <c r="C4216" s="7">
        <f>VLOOKUP(A4216,SizeData!A$2:B$3839,2,FALSE)</f>
        <v/>
      </c>
      <c r="D4216" s="6" t="n">
        <v>2</v>
      </c>
      <c r="E4216" s="6" t="inlineStr">
        <is>
          <t>R1712710</t>
        </is>
      </c>
      <c r="F4216" s="67" t="n">
        <v>44772</v>
      </c>
      <c r="G4216" s="73" t="n"/>
    </row>
    <row r="4217">
      <c r="A4217" s="6" t="n">
        <v>77420</v>
      </c>
      <c r="B4217" s="6" t="inlineStr">
        <is>
          <t>STINKY GRINGO MARGARITA RTD</t>
        </is>
      </c>
      <c r="C4217" s="7">
        <f>VLOOKUP(A4217,SizeData!A$2:B$3839,2,FALSE)</f>
        <v/>
      </c>
      <c r="D4217" s="6" t="n">
        <v>2</v>
      </c>
      <c r="E4217" s="6" t="inlineStr">
        <is>
          <t>R1496401</t>
        </is>
      </c>
      <c r="F4217" s="67" t="n">
        <v>44621</v>
      </c>
      <c r="G4217" s="68" t="n"/>
    </row>
    <row r="4218">
      <c r="A4218" s="6" t="n">
        <v>77420</v>
      </c>
      <c r="B4218" s="6" t="inlineStr">
        <is>
          <t>STINKY GRINGO MARGARITA RTD</t>
        </is>
      </c>
      <c r="C4218" s="7">
        <f>VLOOKUP(A4218,SizeData!A$2:B$3839,2,FALSE)</f>
        <v/>
      </c>
      <c r="D4218" s="6" t="n">
        <v>2</v>
      </c>
      <c r="E4218" s="6" t="inlineStr">
        <is>
          <t>R1629823</t>
        </is>
      </c>
      <c r="F4218" s="67" t="n">
        <v>44713</v>
      </c>
      <c r="G4218" s="68" t="n"/>
    </row>
    <row r="4219">
      <c r="A4219" s="6" t="n">
        <v>77420</v>
      </c>
      <c r="B4219" s="6" t="inlineStr">
        <is>
          <t>STINKY GRINGO MARGARITA RTD</t>
        </is>
      </c>
      <c r="C4219" s="7">
        <f>VLOOKUP(A4219,SizeData!A$2:B$3839,2,FALSE)</f>
        <v/>
      </c>
      <c r="D4219" s="6" t="n">
        <v>2</v>
      </c>
      <c r="E4219" s="6" t="inlineStr">
        <is>
          <t>R1624394</t>
        </is>
      </c>
      <c r="F4219" s="67" t="n">
        <v>44717</v>
      </c>
      <c r="G4219" s="68" t="n"/>
    </row>
    <row r="4220">
      <c r="A4220" s="6" t="n">
        <v>77420</v>
      </c>
      <c r="B4220" s="6" t="inlineStr">
        <is>
          <t>STINKY GRINGO MARGARITA RTD</t>
        </is>
      </c>
      <c r="C4220" s="7">
        <f>VLOOKUP(A4220,SizeData!A$2:B$3839,2,FALSE)</f>
        <v/>
      </c>
      <c r="D4220" s="6" t="n">
        <v>1</v>
      </c>
      <c r="E4220" s="6" t="inlineStr">
        <is>
          <t>R1894827</t>
        </is>
      </c>
      <c r="F4220" s="67" t="n">
        <v>44902</v>
      </c>
      <c r="G4220" s="68" t="n"/>
    </row>
    <row r="4221">
      <c r="A4221" s="6" t="n">
        <v>37063</v>
      </c>
      <c r="B4221" s="6" t="inlineStr">
        <is>
          <t>STOLI ELIT ULTRA PREMIUM VODKA</t>
        </is>
      </c>
      <c r="C4221" s="7">
        <f>VLOOKUP(A4221,SizeData!A$2:B$3839,2,FALSE)</f>
        <v/>
      </c>
      <c r="D4221" s="6" t="n">
        <v>4</v>
      </c>
      <c r="E4221" s="6" t="inlineStr">
        <is>
          <t>R1533907</t>
        </is>
      </c>
      <c r="F4221" s="67" t="n">
        <v>44646</v>
      </c>
      <c r="G4221" s="68" t="n"/>
    </row>
    <row r="4222">
      <c r="A4222" s="6" t="n">
        <v>37063</v>
      </c>
      <c r="B4222" s="6" t="inlineStr">
        <is>
          <t>STOLI ELIT ULTRA PREMIUM VODKA</t>
        </is>
      </c>
      <c r="C4222" s="7">
        <f>VLOOKUP(A4222,SizeData!A$2:B$3839,2,FALSE)</f>
        <v/>
      </c>
      <c r="D4222" s="6" t="n">
        <v>3</v>
      </c>
      <c r="E4222" s="6" t="inlineStr">
        <is>
          <t>R1759302</t>
        </is>
      </c>
      <c r="F4222" s="67" t="n">
        <v>44806</v>
      </c>
      <c r="G4222" s="68" t="n"/>
    </row>
    <row r="4223">
      <c r="A4223" s="26" t="n">
        <v>37063</v>
      </c>
      <c r="B4223" s="26" t="inlineStr">
        <is>
          <t>STOLI ELIT ULTRA PREMIUM VODKA</t>
        </is>
      </c>
      <c r="C4223" s="7">
        <f>VLOOKUP(A4223,SizeData!A$2:B$3839,2,FALSE)</f>
        <v/>
      </c>
      <c r="D4223" s="26" t="n">
        <v>3</v>
      </c>
      <c r="E4223" s="26" t="inlineStr">
        <is>
          <t>R1759302</t>
        </is>
      </c>
      <c r="F4223" s="72" t="n">
        <v>44806</v>
      </c>
      <c r="G4223" s="73" t="n"/>
    </row>
    <row r="4224">
      <c r="A4224" s="6" t="n">
        <v>37063</v>
      </c>
      <c r="B4224" s="6" t="inlineStr">
        <is>
          <t>STOLI ELIT ULTRA PREMIUM VODKA</t>
        </is>
      </c>
      <c r="C4224" s="7">
        <f>VLOOKUP(A4224,SizeData!A$2:B$3839,2,FALSE)</f>
        <v/>
      </c>
      <c r="D4224" s="6" t="n">
        <v>1</v>
      </c>
      <c r="E4224" s="6" t="inlineStr">
        <is>
          <t>R1768922</t>
        </is>
      </c>
      <c r="F4224" s="67" t="n">
        <v>44819</v>
      </c>
      <c r="G4224" s="68" t="n"/>
    </row>
    <row r="4225">
      <c r="A4225" s="6" t="n">
        <v>37063</v>
      </c>
      <c r="B4225" s="6" t="inlineStr">
        <is>
          <t>STOLI ELIT ULTRA PREMIUM VODKA</t>
        </is>
      </c>
      <c r="C4225" s="7">
        <f>VLOOKUP(A4225,SizeData!A$2:B$3839,2,FALSE)</f>
        <v/>
      </c>
      <c r="D4225" s="6" t="n">
        <v>4</v>
      </c>
      <c r="E4225" s="6" t="inlineStr">
        <is>
          <t>R1835862</t>
        </is>
      </c>
      <c r="F4225" s="67" t="n">
        <v>44856</v>
      </c>
      <c r="G4225" s="68" t="n"/>
    </row>
    <row r="4226">
      <c r="A4226" s="6" t="n">
        <v>34746</v>
      </c>
      <c r="B4226" s="6" t="inlineStr">
        <is>
          <t>STOLICHNAYA 80 VODKA</t>
        </is>
      </c>
      <c r="C4226" s="7">
        <f>VLOOKUP(A4226,SizeData!A$2:B$3839,2,FALSE)</f>
        <v/>
      </c>
      <c r="D4226" s="6" t="n">
        <v>1</v>
      </c>
      <c r="E4226" s="6" t="inlineStr">
        <is>
          <t>R1585910</t>
        </is>
      </c>
      <c r="F4226" s="67" t="n">
        <v>44671</v>
      </c>
      <c r="G4226" s="68" t="n"/>
    </row>
    <row r="4227">
      <c r="A4227" s="6" t="n">
        <v>80517</v>
      </c>
      <c r="B4227" s="6" t="inlineStr">
        <is>
          <t>SUGARLAND SHINE BUTTER PECAN SIPPIN CREAM MNSN</t>
        </is>
      </c>
      <c r="C4227" s="7">
        <f>VLOOKUP(A4227,SizeData!A$2:B$3839,2,FALSE)</f>
        <v/>
      </c>
      <c r="D4227" s="6" t="n">
        <v>1</v>
      </c>
      <c r="E4227" s="6" t="inlineStr">
        <is>
          <t>R1434427</t>
        </is>
      </c>
      <c r="F4227" s="67" t="n">
        <v>44588</v>
      </c>
      <c r="G4227" s="68" t="n"/>
    </row>
    <row r="4228">
      <c r="A4228" s="6" t="n">
        <v>78107</v>
      </c>
      <c r="B4228" s="6" t="inlineStr">
        <is>
          <t>SUGARLANDS APP BANANA PUDDING SIPPIN' CREAM</t>
        </is>
      </c>
      <c r="C4228" s="7">
        <f>VLOOKUP(A4228,SizeData!A$2:B$3839,2,FALSE)</f>
        <v/>
      </c>
      <c r="D4228" s="6" t="n">
        <v>1</v>
      </c>
      <c r="E4228" s="6" t="inlineStr">
        <is>
          <t>R1471479</t>
        </is>
      </c>
      <c r="F4228" s="67" t="n">
        <v>44614</v>
      </c>
      <c r="G4228" s="68" t="n"/>
    </row>
    <row r="4229">
      <c r="A4229" s="6" t="n">
        <v>78107</v>
      </c>
      <c r="B4229" s="6" t="inlineStr">
        <is>
          <t>SUGARLANDS APP BANANA PUDDING SIPPIN' CREAM</t>
        </is>
      </c>
      <c r="C4229" s="7">
        <f>VLOOKUP(A4229,SizeData!A$2:B$3839,2,FALSE)</f>
        <v/>
      </c>
      <c r="D4229" s="6" t="n">
        <v>1</v>
      </c>
      <c r="E4229" s="6" t="inlineStr">
        <is>
          <t>R1529670</t>
        </is>
      </c>
      <c r="F4229" s="67" t="n">
        <v>44652</v>
      </c>
      <c r="G4229" s="68" t="n"/>
    </row>
    <row r="4230">
      <c r="A4230" s="6" t="n">
        <v>78107</v>
      </c>
      <c r="B4230" s="6" t="inlineStr">
        <is>
          <t>SUGARLANDS APP BANANA PUDDING SIPPIN' CREAM</t>
        </is>
      </c>
      <c r="C4230" s="7">
        <f>VLOOKUP(A4230,SizeData!A$2:B$3839,2,FALSE)</f>
        <v/>
      </c>
      <c r="D4230" s="6" t="n">
        <v>1</v>
      </c>
      <c r="E4230" s="6" t="inlineStr">
        <is>
          <t>R1529670A</t>
        </is>
      </c>
      <c r="F4230" s="67" t="n">
        <v>44652</v>
      </c>
      <c r="G4230" s="68" t="n"/>
    </row>
    <row r="4231">
      <c r="A4231" s="6" t="n">
        <v>78107</v>
      </c>
      <c r="B4231" s="6" t="inlineStr">
        <is>
          <t>SUGARLANDS APP BANANA PUDDING SIPPIN' CREAM</t>
        </is>
      </c>
      <c r="C4231" s="7">
        <f>VLOOKUP(A4231,SizeData!A$2:B$3839,2,FALSE)</f>
        <v/>
      </c>
      <c r="D4231" s="6" t="n">
        <v>1</v>
      </c>
      <c r="E4231" s="6" t="inlineStr">
        <is>
          <t>R1841934</t>
        </is>
      </c>
      <c r="F4231" s="67" t="n">
        <v>44866</v>
      </c>
      <c r="G4231" s="68" t="n"/>
    </row>
    <row r="4232">
      <c r="A4232" s="6" t="n">
        <v>80518</v>
      </c>
      <c r="B4232" s="6" t="inlineStr">
        <is>
          <t>SUGARLANDS SHINE DARK BUTTER PECAN SIPPIN' CREAM</t>
        </is>
      </c>
      <c r="C4232" s="7">
        <f>VLOOKUP(A4232,SizeData!A$2:B$3839,2,FALSE)</f>
        <v/>
      </c>
      <c r="D4232" s="6" t="n">
        <v>1</v>
      </c>
      <c r="E4232" s="6" t="inlineStr">
        <is>
          <t>R1471479</t>
        </is>
      </c>
      <c r="F4232" s="67" t="n">
        <v>44614</v>
      </c>
      <c r="G4232" s="68" t="n"/>
    </row>
    <row r="4233">
      <c r="A4233" s="6" t="n">
        <v>80518</v>
      </c>
      <c r="B4233" s="6" t="inlineStr">
        <is>
          <t>SUGARLANDS SHINE DARK BUTTER PECAN SIPPIN' CREAM</t>
        </is>
      </c>
      <c r="C4233" s="7">
        <f>VLOOKUP(A4233,SizeData!A$2:B$3839,2,FALSE)</f>
        <v/>
      </c>
      <c r="D4233" s="6" t="n">
        <v>1</v>
      </c>
      <c r="E4233" s="6" t="inlineStr">
        <is>
          <t>R1529670</t>
        </is>
      </c>
      <c r="F4233" s="67" t="n">
        <v>44652</v>
      </c>
      <c r="G4233" s="68" t="n"/>
    </row>
    <row r="4234">
      <c r="A4234" s="6" t="n">
        <v>80518</v>
      </c>
      <c r="B4234" s="6" t="inlineStr">
        <is>
          <t>SUGARLANDS SHINE DARK BUTTER PECAN SIPPIN' CREAM</t>
        </is>
      </c>
      <c r="C4234" s="7">
        <f>VLOOKUP(A4234,SizeData!A$2:B$3839,2,FALSE)</f>
        <v/>
      </c>
      <c r="D4234" s="6" t="n">
        <v>1</v>
      </c>
      <c r="E4234" s="6" t="inlineStr">
        <is>
          <t>R1596233</t>
        </is>
      </c>
      <c r="F4234" s="67" t="n">
        <v>44681</v>
      </c>
      <c r="G4234" s="68" t="n"/>
    </row>
    <row r="4235">
      <c r="A4235" s="6" t="n">
        <v>80518</v>
      </c>
      <c r="B4235" s="6" t="inlineStr">
        <is>
          <t>SUGARLANDS SHINE DARK BUTTER PECAN SIPPIN' CREAM</t>
        </is>
      </c>
      <c r="C4235" s="7">
        <f>VLOOKUP(A4235,SizeData!A$2:B$3839,2,FALSE)</f>
        <v/>
      </c>
      <c r="D4235" s="6" t="n">
        <v>4</v>
      </c>
      <c r="E4235" s="6" t="inlineStr">
        <is>
          <t>R1871415</t>
        </is>
      </c>
      <c r="F4235" s="67" t="n">
        <v>44875</v>
      </c>
      <c r="G4235" s="68" t="n"/>
    </row>
    <row r="4236">
      <c r="A4236" s="6" t="n">
        <v>80520</v>
      </c>
      <c r="B4236" s="6" t="inlineStr">
        <is>
          <t>SUGARLANDS SHINE DK CHOCOLATE COFFEE SIPPIN CREAM</t>
        </is>
      </c>
      <c r="C4236" s="7">
        <f>VLOOKUP(A4236,SizeData!A$2:B$3839,2,FALSE)</f>
        <v/>
      </c>
      <c r="D4236" s="6" t="n">
        <v>1</v>
      </c>
      <c r="E4236" s="6" t="inlineStr">
        <is>
          <t>R1529670</t>
        </is>
      </c>
      <c r="F4236" s="67" t="n">
        <v>44652</v>
      </c>
      <c r="G4236" s="68" t="n"/>
    </row>
    <row r="4237">
      <c r="A4237" s="6" t="n">
        <v>80524</v>
      </c>
      <c r="B4237" s="6" t="inlineStr">
        <is>
          <t>SUGARLANDS STRAWBERRY DREAM CREAM</t>
        </is>
      </c>
      <c r="C4237" s="7">
        <f>VLOOKUP(A4237,SizeData!A$2:B$3839,2,FALSE)</f>
        <v/>
      </c>
      <c r="D4237" s="6" t="n">
        <v>2</v>
      </c>
      <c r="E4237" s="6" t="inlineStr">
        <is>
          <t>R1792137</t>
        </is>
      </c>
      <c r="F4237" s="67" t="n">
        <v>44835</v>
      </c>
      <c r="G4237" s="68" t="n"/>
    </row>
    <row r="4238">
      <c r="A4238" s="6" t="n">
        <v>630814</v>
      </c>
      <c r="B4238" s="6" t="inlineStr">
        <is>
          <t>SUTTER HOME CHARDONNAY</t>
        </is>
      </c>
      <c r="C4238" s="7">
        <f>VLOOKUP(A4238,SizeData!A$2:B$3839,2,FALSE)</f>
        <v/>
      </c>
      <c r="D4238" s="6" t="n">
        <v>2</v>
      </c>
      <c r="E4238" s="6" t="inlineStr">
        <is>
          <t>R1469430</t>
        </is>
      </c>
      <c r="F4238" s="67" t="n">
        <v>44610</v>
      </c>
      <c r="G4238" s="68" t="n"/>
    </row>
    <row r="4239">
      <c r="A4239" s="6" t="n">
        <v>630814</v>
      </c>
      <c r="B4239" s="6" t="inlineStr">
        <is>
          <t>SUTTER HOME CHARDONNAY</t>
        </is>
      </c>
      <c r="C4239" s="7">
        <f>VLOOKUP(A4239,SizeData!A$2:B$3839,2,FALSE)</f>
        <v/>
      </c>
      <c r="D4239" s="6" t="n">
        <v>1</v>
      </c>
      <c r="E4239" s="6" t="inlineStr">
        <is>
          <t>R1478101</t>
        </is>
      </c>
      <c r="F4239" s="67" t="n">
        <v>44610</v>
      </c>
      <c r="G4239" s="68" t="n"/>
    </row>
    <row r="4240">
      <c r="A4240" s="6" t="n">
        <v>630814</v>
      </c>
      <c r="B4240" s="6" t="inlineStr">
        <is>
          <t>SUTTER HOME CHARDONNAY</t>
        </is>
      </c>
      <c r="C4240" s="7">
        <f>VLOOKUP(A4240,SizeData!A$2:B$3839,2,FALSE)</f>
        <v/>
      </c>
      <c r="D4240" s="6" t="n">
        <v>1</v>
      </c>
      <c r="E4240" s="6" t="inlineStr">
        <is>
          <t>R1632057</t>
        </is>
      </c>
      <c r="F4240" s="67" t="n">
        <v>44716</v>
      </c>
      <c r="G4240" s="68" t="n"/>
    </row>
    <row r="4241">
      <c r="A4241" s="6" t="n">
        <v>630814</v>
      </c>
      <c r="B4241" s="6" t="inlineStr">
        <is>
          <t>SUTTER HOME CHARDONNAY</t>
        </is>
      </c>
      <c r="C4241" s="7">
        <f>VLOOKUP(A4241,SizeData!A$2:B$3839,2,FALSE)</f>
        <v/>
      </c>
      <c r="D4241" s="6" t="n">
        <v>1</v>
      </c>
      <c r="E4241" s="6" t="inlineStr">
        <is>
          <t>R1672878</t>
        </is>
      </c>
      <c r="F4241" s="67" t="n">
        <v>44743</v>
      </c>
      <c r="G4241" s="68" t="n"/>
    </row>
    <row r="4242">
      <c r="A4242" s="6" t="n">
        <v>630814</v>
      </c>
      <c r="B4242" s="6" t="inlineStr">
        <is>
          <t>SUTTER HOME CHARDONNAY</t>
        </is>
      </c>
      <c r="C4242" s="7">
        <f>VLOOKUP(A4242,SizeData!A$2:B$3839,2,FALSE)</f>
        <v/>
      </c>
      <c r="D4242" s="6" t="n">
        <v>3</v>
      </c>
      <c r="E4242" s="6" t="inlineStr">
        <is>
          <t>R1699078</t>
        </is>
      </c>
      <c r="F4242" s="67" t="n">
        <v>44769</v>
      </c>
      <c r="G4242" s="68" t="n"/>
    </row>
    <row r="4243">
      <c r="A4243" s="6" t="n">
        <v>630815</v>
      </c>
      <c r="B4243" s="6" t="inlineStr">
        <is>
          <t>SUTTER HOME CHARDONNAY</t>
        </is>
      </c>
      <c r="C4243" s="7">
        <f>VLOOKUP(A4243,SizeData!A$2:B$3839,2,FALSE)</f>
        <v/>
      </c>
      <c r="D4243" s="6" t="n">
        <v>4</v>
      </c>
      <c r="E4243" s="6" t="inlineStr">
        <is>
          <t>R1453720</t>
        </is>
      </c>
      <c r="F4243" s="67" t="n">
        <v>44599</v>
      </c>
      <c r="G4243" s="68" t="n"/>
    </row>
    <row r="4244">
      <c r="A4244" s="6" t="n">
        <v>630815</v>
      </c>
      <c r="B4244" s="6" t="inlineStr">
        <is>
          <t>SUTTER HOME CHARDONNAY</t>
        </is>
      </c>
      <c r="C4244" s="7">
        <f>VLOOKUP(A4244,SizeData!A$2:B$3839,2,FALSE)</f>
        <v/>
      </c>
      <c r="D4244" s="6" t="n">
        <v>2</v>
      </c>
      <c r="E4244" s="6" t="inlineStr">
        <is>
          <t>R1471358</t>
        </is>
      </c>
      <c r="F4244" s="67" t="n">
        <v>44608</v>
      </c>
      <c r="G4244" s="68" t="n"/>
    </row>
    <row r="4245">
      <c r="A4245" s="31" t="n">
        <v>630815</v>
      </c>
      <c r="B4245" s="31" t="inlineStr">
        <is>
          <t>SUTTER HOME CHARDONNAY</t>
        </is>
      </c>
      <c r="C4245" s="32">
        <f>VLOOKUP(A4245,SizeData!A$2:B$3839,2,FALSE)</f>
        <v/>
      </c>
      <c r="D4245" s="31" t="n">
        <v>3</v>
      </c>
      <c r="E4245" s="31" t="inlineStr">
        <is>
          <t>R1834547</t>
        </is>
      </c>
      <c r="F4245" s="82" t="n">
        <v>44861</v>
      </c>
      <c r="G4245" s="83" t="n"/>
    </row>
    <row r="4246">
      <c r="A4246" s="26" t="n">
        <v>630815</v>
      </c>
      <c r="B4246" s="26" t="inlineStr">
        <is>
          <t>SUTTER HOME CHARDONNAY</t>
        </is>
      </c>
      <c r="C4246" s="75">
        <f>VLOOKUP(A4246,SizeData!A$2:B$3839,2,FALSE)</f>
        <v/>
      </c>
      <c r="D4246" s="26" t="n">
        <v>3</v>
      </c>
      <c r="E4246" s="26" t="inlineStr">
        <is>
          <t>R1889523</t>
        </is>
      </c>
      <c r="F4246" s="72" t="n">
        <v>44902</v>
      </c>
      <c r="G4246" s="73" t="n"/>
    </row>
    <row r="4247">
      <c r="A4247" s="6" t="n">
        <v>513500</v>
      </c>
      <c r="B4247" s="6" t="inlineStr">
        <is>
          <t>SUTTER HOME MERLOT</t>
        </is>
      </c>
      <c r="C4247" s="7">
        <f>VLOOKUP(A4247,SizeData!A$2:B$3839,2,FALSE)</f>
        <v/>
      </c>
      <c r="D4247" s="6" t="n">
        <v>3</v>
      </c>
      <c r="E4247" s="6" t="inlineStr">
        <is>
          <t>R1413566</t>
        </is>
      </c>
      <c r="F4247" s="67" t="n">
        <v>44580</v>
      </c>
      <c r="G4247" s="68" t="n"/>
    </row>
    <row r="4248">
      <c r="A4248" s="6" t="n">
        <v>513500</v>
      </c>
      <c r="B4248" s="6" t="inlineStr">
        <is>
          <t>SUTTER HOME MERLOT</t>
        </is>
      </c>
      <c r="C4248" s="7">
        <f>VLOOKUP(A4248,SizeData!A$2:B$3839,2,FALSE)</f>
        <v/>
      </c>
      <c r="D4248" s="6" t="n">
        <v>2</v>
      </c>
      <c r="E4248" s="6" t="inlineStr">
        <is>
          <t>R1496401</t>
        </is>
      </c>
      <c r="F4248" s="67" t="n">
        <v>44621</v>
      </c>
      <c r="G4248" s="68" t="n"/>
    </row>
    <row r="4249">
      <c r="A4249" s="6" t="n">
        <v>513500</v>
      </c>
      <c r="B4249" s="6" t="inlineStr">
        <is>
          <t>SUTTER HOME MERLOT</t>
        </is>
      </c>
      <c r="C4249" s="7">
        <f>VLOOKUP(A4249,SizeData!A$2:B$3839,2,FALSE)</f>
        <v/>
      </c>
      <c r="D4249" s="6" t="n">
        <v>3</v>
      </c>
      <c r="E4249" s="6" t="inlineStr">
        <is>
          <t>R1525413</t>
        </is>
      </c>
      <c r="F4249" s="67" t="n">
        <v>44631</v>
      </c>
      <c r="G4249" s="68" t="n"/>
    </row>
    <row r="4250">
      <c r="A4250" s="6" t="n">
        <v>513500</v>
      </c>
      <c r="B4250" s="6" t="inlineStr">
        <is>
          <t>SUTTER HOME MERLOT</t>
        </is>
      </c>
      <c r="C4250" s="7">
        <f>VLOOKUP(A4250,SizeData!A$2:B$3839,2,FALSE)</f>
        <v/>
      </c>
      <c r="D4250" s="6" t="n">
        <v>4</v>
      </c>
      <c r="E4250" s="6" t="inlineStr">
        <is>
          <t>R1537124</t>
        </is>
      </c>
      <c r="F4250" s="67" t="n">
        <v>44646</v>
      </c>
      <c r="G4250" s="68" t="n"/>
    </row>
    <row r="4251">
      <c r="A4251" s="6" t="n">
        <v>513500</v>
      </c>
      <c r="B4251" s="6" t="inlineStr">
        <is>
          <t>SUTTER HOME MERLOT</t>
        </is>
      </c>
      <c r="C4251" s="7">
        <f>VLOOKUP(A4251,SizeData!A$2:B$3839,2,FALSE)</f>
        <v/>
      </c>
      <c r="D4251" s="6" t="n">
        <v>2</v>
      </c>
      <c r="E4251" s="6" t="inlineStr">
        <is>
          <t>R1617499</t>
        </is>
      </c>
      <c r="F4251" s="67" t="n">
        <v>44706</v>
      </c>
      <c r="G4251" s="68" t="n"/>
    </row>
    <row r="4252">
      <c r="A4252" s="6" t="n">
        <v>513500</v>
      </c>
      <c r="B4252" s="6" t="inlineStr">
        <is>
          <t>SUTTER HOME MERLOT</t>
        </is>
      </c>
      <c r="C4252" s="7">
        <f>VLOOKUP(A4252,SizeData!A$2:B$3839,2,FALSE)</f>
        <v/>
      </c>
      <c r="D4252" s="6" t="n">
        <v>2</v>
      </c>
      <c r="E4252" s="6" t="inlineStr">
        <is>
          <t>R1683818</t>
        </is>
      </c>
      <c r="F4252" s="67" t="n">
        <v>44754</v>
      </c>
      <c r="G4252" s="68" t="n"/>
    </row>
    <row r="4253">
      <c r="A4253" s="6" t="n">
        <v>513500</v>
      </c>
      <c r="B4253" s="6" t="inlineStr">
        <is>
          <t>SUTTER HOME MERLOT</t>
        </is>
      </c>
      <c r="C4253" s="7">
        <f>VLOOKUP(A4253,SizeData!A$2:B$3839,2,FALSE)</f>
        <v/>
      </c>
      <c r="D4253" s="6" t="n">
        <v>2</v>
      </c>
      <c r="E4253" s="6" t="inlineStr">
        <is>
          <t>R1751391</t>
        </is>
      </c>
      <c r="F4253" s="67" t="n">
        <v>44805</v>
      </c>
      <c r="G4253" s="68" t="n"/>
    </row>
    <row r="4254">
      <c r="A4254" s="6" t="n">
        <v>513500</v>
      </c>
      <c r="B4254" s="6" t="inlineStr">
        <is>
          <t>SUTTER HOME MERLOT</t>
        </is>
      </c>
      <c r="C4254" s="7">
        <f>VLOOKUP(A4254,SizeData!A$2:B$3839,2,FALSE)</f>
        <v/>
      </c>
      <c r="D4254" s="6" t="n">
        <v>2</v>
      </c>
      <c r="E4254" s="6" t="inlineStr">
        <is>
          <t>R1763315</t>
        </is>
      </c>
      <c r="F4254" s="67" t="n">
        <v>44814</v>
      </c>
      <c r="G4254" s="68" t="n"/>
    </row>
    <row r="4255">
      <c r="A4255" s="6" t="n">
        <v>513500</v>
      </c>
      <c r="B4255" s="6" t="inlineStr">
        <is>
          <t>SUTTER HOME MERLOT</t>
        </is>
      </c>
      <c r="C4255" s="7">
        <f>VLOOKUP(A4255,SizeData!A$2:B$3839,2,FALSE)</f>
        <v/>
      </c>
      <c r="D4255" s="6" t="n">
        <v>2</v>
      </c>
      <c r="E4255" s="6" t="inlineStr">
        <is>
          <t>R1782657</t>
        </is>
      </c>
      <c r="F4255" s="67" t="n">
        <v>44828</v>
      </c>
      <c r="G4255" s="68" t="n"/>
    </row>
    <row r="4256">
      <c r="A4256" s="6" t="n">
        <v>513500</v>
      </c>
      <c r="B4256" s="6" t="inlineStr">
        <is>
          <t>SUTTER HOME MERLOT</t>
        </is>
      </c>
      <c r="C4256" s="7">
        <f>VLOOKUP(A4256,SizeData!A$2:B$3839,2,FALSE)</f>
        <v/>
      </c>
      <c r="D4256" s="6" t="n">
        <v>3</v>
      </c>
      <c r="E4256" s="6" t="inlineStr">
        <is>
          <t>R1841387</t>
        </is>
      </c>
      <c r="F4256" s="67" t="n">
        <v>44869</v>
      </c>
      <c r="G4256" s="68" t="n"/>
    </row>
    <row r="4257">
      <c r="A4257" s="6" t="n">
        <v>513500</v>
      </c>
      <c r="B4257" s="6" t="inlineStr">
        <is>
          <t>SUTTER HOME MERLOT</t>
        </is>
      </c>
      <c r="C4257" s="7">
        <f>VLOOKUP(A4257,SizeData!A$2:B$3839,2,FALSE)</f>
        <v/>
      </c>
      <c r="D4257" s="6" t="n">
        <v>4</v>
      </c>
      <c r="E4257" s="6" t="inlineStr">
        <is>
          <t>R1866531</t>
        </is>
      </c>
      <c r="F4257" s="67" t="n">
        <v>44877</v>
      </c>
      <c r="G4257" s="68" t="n"/>
    </row>
    <row r="4258">
      <c r="A4258" s="6" t="n">
        <v>513505</v>
      </c>
      <c r="B4258" s="6" t="inlineStr">
        <is>
          <t>SUTTER HOME MERLOT</t>
        </is>
      </c>
      <c r="C4258" s="7">
        <f>VLOOKUP(A4258,SizeData!A$2:B$3839,2,FALSE)</f>
        <v/>
      </c>
      <c r="D4258" s="6" t="n">
        <v>4</v>
      </c>
      <c r="E4258" s="6" t="inlineStr">
        <is>
          <t>R1443217</t>
        </is>
      </c>
      <c r="F4258" s="67" t="n">
        <v>44593</v>
      </c>
      <c r="G4258" s="68" t="n"/>
    </row>
    <row r="4259">
      <c r="A4259" s="6" t="n">
        <v>513505</v>
      </c>
      <c r="B4259" s="6" t="inlineStr">
        <is>
          <t>SUTTER HOME MERLOT</t>
        </is>
      </c>
      <c r="C4259" s="7">
        <f>VLOOKUP(A4259,SizeData!A$2:B$3839,2,FALSE)</f>
        <v/>
      </c>
      <c r="D4259" s="6" t="n">
        <v>2</v>
      </c>
      <c r="E4259" s="6" t="inlineStr">
        <is>
          <t>R1585685</t>
        </is>
      </c>
      <c r="F4259" s="67" t="n">
        <v>44679</v>
      </c>
      <c r="G4259" s="68" t="n"/>
    </row>
    <row r="4260">
      <c r="A4260" s="6" t="n">
        <v>513505</v>
      </c>
      <c r="B4260" s="6" t="inlineStr">
        <is>
          <t>SUTTER HOME MERLOT</t>
        </is>
      </c>
      <c r="C4260" s="7">
        <f>VLOOKUP(A4260,SizeData!A$2:B$3839,2,FALSE)</f>
        <v/>
      </c>
      <c r="D4260" s="6" t="n">
        <v>1</v>
      </c>
      <c r="E4260" s="6" t="inlineStr">
        <is>
          <t>R1723520</t>
        </is>
      </c>
      <c r="F4260" s="67" t="n">
        <v>44782</v>
      </c>
      <c r="G4260" s="68" t="n"/>
    </row>
    <row r="4261">
      <c r="A4261" s="6" t="n">
        <v>513505</v>
      </c>
      <c r="B4261" s="6" t="inlineStr">
        <is>
          <t>SUTTER HOME MERLOT</t>
        </is>
      </c>
      <c r="C4261" s="7">
        <f>VLOOKUP(A4261,SizeData!A$2:B$3839,2,FALSE)</f>
        <v/>
      </c>
      <c r="D4261" s="6" t="n">
        <v>3</v>
      </c>
      <c r="E4261" s="6" t="inlineStr">
        <is>
          <t>R1727741</t>
        </is>
      </c>
      <c r="F4261" s="67" t="n">
        <v>44786</v>
      </c>
      <c r="G4261" s="68" t="n"/>
    </row>
    <row r="4262">
      <c r="A4262" s="6" t="n">
        <v>513505</v>
      </c>
      <c r="B4262" s="6" t="inlineStr">
        <is>
          <t>SUTTER HOME MERLOT</t>
        </is>
      </c>
      <c r="C4262" s="7">
        <f>VLOOKUP(A4262,SizeData!A$2:B$3839,2,FALSE)</f>
        <v/>
      </c>
      <c r="D4262" s="6" t="n">
        <v>2</v>
      </c>
      <c r="E4262" s="6" t="inlineStr">
        <is>
          <t>R1900430</t>
        </is>
      </c>
      <c r="F4262" s="67" t="n">
        <v>44896</v>
      </c>
      <c r="G4262" s="68" t="n"/>
    </row>
    <row r="4263">
      <c r="A4263" s="6" t="n">
        <v>425542</v>
      </c>
      <c r="B4263" s="6" t="inlineStr">
        <is>
          <t>SUTTER HOME MOSCATO</t>
        </is>
      </c>
      <c r="C4263" s="7">
        <f>VLOOKUP(A4263,SizeData!A$2:B$3839,2,FALSE)</f>
        <v/>
      </c>
      <c r="D4263" s="6" t="n">
        <v>2</v>
      </c>
      <c r="E4263" s="6" t="inlineStr">
        <is>
          <t>R1900430</t>
        </is>
      </c>
      <c r="F4263" s="67" t="n">
        <v>44896</v>
      </c>
      <c r="G4263" s="68" t="n"/>
    </row>
    <row r="4264">
      <c r="A4264" s="6" t="n">
        <v>629300</v>
      </c>
      <c r="B4264" s="6" t="inlineStr">
        <is>
          <t>SUTTER HOME MOSCATO</t>
        </is>
      </c>
      <c r="C4264" s="7">
        <f>VLOOKUP(A4264,SizeData!A$2:B$3839,2,FALSE)</f>
        <v/>
      </c>
      <c r="D4264" s="6" t="n">
        <v>1</v>
      </c>
      <c r="E4264" s="6" t="inlineStr">
        <is>
          <t>R1418605</t>
        </is>
      </c>
      <c r="F4264" s="67" t="n">
        <v>44576</v>
      </c>
      <c r="G4264" s="68" t="n"/>
    </row>
    <row r="4265">
      <c r="A4265" s="6" t="n">
        <v>629300</v>
      </c>
      <c r="B4265" s="6" t="inlineStr">
        <is>
          <t>SUTTER HOME MOSCATO</t>
        </is>
      </c>
      <c r="C4265" s="7">
        <f>VLOOKUP(A4265,SizeData!A$2:B$3839,2,FALSE)</f>
        <v/>
      </c>
      <c r="D4265" s="6" t="n">
        <v>1</v>
      </c>
      <c r="E4265" s="6" t="inlineStr">
        <is>
          <t>R1432581</t>
        </is>
      </c>
      <c r="F4265" s="67" t="n">
        <v>44591</v>
      </c>
      <c r="G4265" s="68" t="n"/>
    </row>
    <row r="4266">
      <c r="A4266" s="6" t="n">
        <v>629300</v>
      </c>
      <c r="B4266" s="6" t="inlineStr">
        <is>
          <t>SUTTER HOME MOSCATO</t>
        </is>
      </c>
      <c r="C4266" s="7">
        <f>VLOOKUP(A4266,SizeData!A$2:B$3839,2,FALSE)</f>
        <v/>
      </c>
      <c r="D4266" s="6" t="n">
        <v>1</v>
      </c>
      <c r="E4266" s="6" t="inlineStr">
        <is>
          <t>R1512696</t>
        </is>
      </c>
      <c r="F4266" s="67" t="n">
        <v>44637</v>
      </c>
      <c r="G4266" s="68" t="n"/>
    </row>
    <row r="4267">
      <c r="A4267" s="26" t="n">
        <v>629300</v>
      </c>
      <c r="B4267" s="26" t="inlineStr">
        <is>
          <t>SUTTER HOME MOSCATO</t>
        </is>
      </c>
      <c r="C4267" s="7">
        <f>VLOOKUP(A4267,SizeData!A$2:B$3839,2,FALSE)</f>
        <v/>
      </c>
      <c r="D4267" s="26" t="n">
        <v>1</v>
      </c>
      <c r="E4267" s="26" t="inlineStr">
        <is>
          <t>R1751391</t>
        </is>
      </c>
      <c r="F4267" s="72" t="n">
        <v>44805</v>
      </c>
      <c r="G4267" s="73" t="n"/>
    </row>
    <row r="4268">
      <c r="A4268" s="6" t="n">
        <v>629300</v>
      </c>
      <c r="B4268" s="6" t="inlineStr">
        <is>
          <t>SUTTER HOME MOSCATO</t>
        </is>
      </c>
      <c r="C4268" s="7">
        <f>VLOOKUP(A4268,SizeData!A$2:B$3839,2,FALSE)</f>
        <v/>
      </c>
      <c r="D4268" s="6" t="n">
        <v>1</v>
      </c>
      <c r="E4268" s="6" t="inlineStr">
        <is>
          <t>R1770694</t>
        </is>
      </c>
      <c r="F4268" s="67" t="n">
        <v>44816</v>
      </c>
      <c r="G4268" s="68" t="n"/>
    </row>
    <row r="4269">
      <c r="A4269" s="6" t="n">
        <v>629305</v>
      </c>
      <c r="B4269" s="6" t="inlineStr">
        <is>
          <t>SUTTER HOME MOSCATO</t>
        </is>
      </c>
      <c r="C4269" s="7">
        <f>VLOOKUP(A4269,SizeData!A$2:B$3839,2,FALSE)</f>
        <v/>
      </c>
      <c r="D4269" s="6" t="n">
        <v>2</v>
      </c>
      <c r="E4269" s="6" t="inlineStr">
        <is>
          <t>R1443217</t>
        </is>
      </c>
      <c r="F4269" s="67" t="n">
        <v>44593</v>
      </c>
      <c r="G4269" s="68" t="n"/>
    </row>
    <row r="4270">
      <c r="A4270" s="6" t="n">
        <v>629305</v>
      </c>
      <c r="B4270" s="6" t="inlineStr">
        <is>
          <t>SUTTER HOME MOSCATO</t>
        </is>
      </c>
      <c r="C4270" s="7">
        <f>VLOOKUP(A4270,SizeData!A$2:B$3839,2,FALSE)</f>
        <v/>
      </c>
      <c r="D4270" s="6" t="n">
        <v>2</v>
      </c>
      <c r="E4270" s="6" t="inlineStr">
        <is>
          <t>R1471889</t>
        </is>
      </c>
      <c r="F4270" s="67" t="n">
        <v>44611</v>
      </c>
      <c r="G4270" s="68" t="n"/>
    </row>
    <row r="4271">
      <c r="A4271" s="6" t="n">
        <v>629305</v>
      </c>
      <c r="B4271" s="6" t="inlineStr">
        <is>
          <t>SUTTER HOME MOSCATO</t>
        </is>
      </c>
      <c r="C4271" s="7">
        <f>VLOOKUP(A4271,SizeData!A$2:B$3839,2,FALSE)</f>
        <v/>
      </c>
      <c r="D4271" s="6" t="n">
        <v>2</v>
      </c>
      <c r="E4271" s="6" t="inlineStr">
        <is>
          <t>R1555356</t>
        </is>
      </c>
      <c r="F4271" s="67" t="n">
        <v>44654</v>
      </c>
      <c r="G4271" s="68" t="n"/>
    </row>
    <row r="4272">
      <c r="A4272" s="6" t="n">
        <v>629305</v>
      </c>
      <c r="B4272" s="6" t="inlineStr">
        <is>
          <t>SUTTER HOME MOSCATO</t>
        </is>
      </c>
      <c r="C4272" s="7">
        <f>VLOOKUP(A4272,SizeData!A$2:B$3839,2,FALSE)</f>
        <v/>
      </c>
      <c r="D4272" s="6" t="n">
        <v>1</v>
      </c>
      <c r="E4272" s="6" t="inlineStr">
        <is>
          <t>R1585685</t>
        </is>
      </c>
      <c r="F4272" s="67" t="n">
        <v>44679</v>
      </c>
      <c r="G4272" s="68" t="n"/>
    </row>
    <row r="4273">
      <c r="A4273" s="6" t="n">
        <v>630764</v>
      </c>
      <c r="B4273" s="6" t="inlineStr">
        <is>
          <t>SUTTER HOME MOSCATO</t>
        </is>
      </c>
      <c r="C4273" s="7">
        <f>VLOOKUP(A4273,SizeData!A$2:B$3839,2,FALSE)</f>
        <v/>
      </c>
      <c r="D4273" s="6" t="n">
        <v>1</v>
      </c>
      <c r="E4273" s="6" t="inlineStr">
        <is>
          <t>R1443217</t>
        </is>
      </c>
      <c r="F4273" s="67" t="n">
        <v>44593</v>
      </c>
      <c r="G4273" s="68" t="n"/>
    </row>
    <row r="4274">
      <c r="A4274" s="6" t="n">
        <v>630764</v>
      </c>
      <c r="B4274" s="6" t="inlineStr">
        <is>
          <t>SUTTER HOME MOSCATO</t>
        </is>
      </c>
      <c r="C4274" s="7">
        <f>VLOOKUP(A4274,SizeData!A$2:B$3839,2,FALSE)</f>
        <v/>
      </c>
      <c r="D4274" s="6" t="n">
        <v>2</v>
      </c>
      <c r="E4274" s="6" t="inlineStr">
        <is>
          <t>R1605719</t>
        </is>
      </c>
      <c r="F4274" s="67" t="n">
        <v>44685</v>
      </c>
      <c r="G4274" s="68" t="n"/>
    </row>
    <row r="4275">
      <c r="A4275" s="6" t="n">
        <v>630764</v>
      </c>
      <c r="B4275" s="6" t="inlineStr">
        <is>
          <t>SUTTER HOME MOSCATO</t>
        </is>
      </c>
      <c r="C4275" s="7">
        <f>VLOOKUP(A4275,SizeData!A$2:B$3839,2,FALSE)</f>
        <v/>
      </c>
      <c r="D4275" s="6" t="n">
        <v>1</v>
      </c>
      <c r="E4275" s="6" t="inlineStr">
        <is>
          <t>R1699078</t>
        </is>
      </c>
      <c r="F4275" s="67" t="n">
        <v>44769</v>
      </c>
      <c r="G4275" s="68" t="n"/>
    </row>
    <row r="4276">
      <c r="A4276" s="6" t="n">
        <v>630764</v>
      </c>
      <c r="B4276" s="6" t="inlineStr">
        <is>
          <t>SUTTER HOME MOSCATO</t>
        </is>
      </c>
      <c r="C4276" s="7">
        <f>VLOOKUP(A4276,SizeData!A$2:B$3839,2,FALSE)</f>
        <v/>
      </c>
      <c r="D4276" s="6" t="n">
        <v>1</v>
      </c>
      <c r="E4276" s="6" t="inlineStr">
        <is>
          <t>R1852440</t>
        </is>
      </c>
      <c r="F4276" s="67" t="n">
        <v>44867</v>
      </c>
      <c r="G4276" s="68" t="n"/>
    </row>
    <row r="4277">
      <c r="A4277" s="6" t="n">
        <v>683324</v>
      </c>
      <c r="B4277" s="6" t="inlineStr">
        <is>
          <t>SUTTER HOME PINK MOSCATO CALIFORNIA</t>
        </is>
      </c>
      <c r="C4277" s="7">
        <f>VLOOKUP(A4277,SizeData!A$2:B$3839,2,FALSE)</f>
        <v/>
      </c>
      <c r="D4277" s="6" t="n">
        <v>2</v>
      </c>
      <c r="E4277" s="6" t="inlineStr">
        <is>
          <t>R1469430</t>
        </is>
      </c>
      <c r="F4277" s="67" t="n">
        <v>44610</v>
      </c>
      <c r="G4277" s="68" t="n"/>
    </row>
    <row r="4278">
      <c r="A4278" s="6" t="n">
        <v>683324</v>
      </c>
      <c r="B4278" s="6" t="inlineStr">
        <is>
          <t>SUTTER HOME PINK MOSCATO CALIFORNIA</t>
        </is>
      </c>
      <c r="C4278" s="7">
        <f>VLOOKUP(A4278,SizeData!A$2:B$3839,2,FALSE)</f>
        <v/>
      </c>
      <c r="D4278" s="6" t="n">
        <v>1</v>
      </c>
      <c r="E4278" s="6" t="inlineStr">
        <is>
          <t>R1478101</t>
        </is>
      </c>
      <c r="F4278" s="67" t="n">
        <v>44610</v>
      </c>
      <c r="G4278" s="68" t="n"/>
    </row>
    <row r="4279">
      <c r="A4279" s="6" t="n">
        <v>683324</v>
      </c>
      <c r="B4279" s="6" t="inlineStr">
        <is>
          <t>SUTTER HOME PINK MOSCATO CALIFORNIA</t>
        </is>
      </c>
      <c r="C4279" s="7">
        <f>VLOOKUP(A4279,SizeData!A$2:B$3839,2,FALSE)</f>
        <v/>
      </c>
      <c r="D4279" s="6" t="n">
        <v>2</v>
      </c>
      <c r="E4279" s="6" t="inlineStr">
        <is>
          <t>R1684665</t>
        </is>
      </c>
      <c r="F4279" s="67" t="n">
        <v>44765</v>
      </c>
      <c r="G4279" s="68" t="n"/>
    </row>
    <row r="4280">
      <c r="A4280" s="6" t="n">
        <v>683324</v>
      </c>
      <c r="B4280" s="6" t="inlineStr">
        <is>
          <t>SUTTER HOME PINK MOSCATO CALIFORNIA</t>
        </is>
      </c>
      <c r="C4280" s="7">
        <f>VLOOKUP(A4280,SizeData!A$2:B$3839,2,FALSE)</f>
        <v/>
      </c>
      <c r="D4280" s="6" t="n">
        <v>1</v>
      </c>
      <c r="E4280" s="6" t="inlineStr">
        <is>
          <t>R1699078</t>
        </is>
      </c>
      <c r="F4280" s="67" t="n">
        <v>44769</v>
      </c>
      <c r="G4280" s="68" t="n"/>
    </row>
    <row r="4281">
      <c r="A4281" s="6" t="n">
        <v>683324</v>
      </c>
      <c r="B4281" s="6" t="inlineStr">
        <is>
          <t>SUTTER HOME PINK MOSCATO CALIFORNIA</t>
        </is>
      </c>
      <c r="C4281" s="7">
        <f>VLOOKUP(A4281,SizeData!A$2:B$3839,2,FALSE)</f>
        <v/>
      </c>
      <c r="D4281" s="6" t="n">
        <v>1</v>
      </c>
      <c r="E4281" s="6" t="inlineStr">
        <is>
          <t>R1852440</t>
        </is>
      </c>
      <c r="F4281" s="67" t="n">
        <v>44867</v>
      </c>
      <c r="G4281" s="68" t="n"/>
    </row>
    <row r="4282">
      <c r="A4282" s="6" t="n">
        <v>683325</v>
      </c>
      <c r="B4282" s="6" t="inlineStr">
        <is>
          <t>SUTTER HOME PINK MOSCATO CALIFORNIA</t>
        </is>
      </c>
      <c r="C4282" s="7">
        <f>VLOOKUP(A4282,SizeData!A$2:B$3839,2,FALSE)</f>
        <v/>
      </c>
      <c r="D4282" s="6" t="n">
        <v>1</v>
      </c>
      <c r="E4282" s="6" t="inlineStr">
        <is>
          <t>R1512696</t>
        </is>
      </c>
      <c r="F4282" s="67" t="n">
        <v>44637</v>
      </c>
      <c r="G4282" s="68" t="n"/>
    </row>
    <row r="4283">
      <c r="A4283" s="6" t="n">
        <v>683325</v>
      </c>
      <c r="B4283" s="6" t="inlineStr">
        <is>
          <t>SUTTER HOME PINK MOSCATO CALIFORNIA</t>
        </is>
      </c>
      <c r="C4283" s="7">
        <f>VLOOKUP(A4283,SizeData!A$2:B$3839,2,FALSE)</f>
        <v/>
      </c>
      <c r="D4283" s="6" t="n">
        <v>1</v>
      </c>
      <c r="E4283" s="6" t="inlineStr">
        <is>
          <t>R1751391</t>
        </is>
      </c>
      <c r="F4283" s="67" t="n">
        <v>44805</v>
      </c>
      <c r="G4283" s="68" t="n"/>
    </row>
    <row r="4284">
      <c r="A4284" s="6" t="n">
        <v>683325</v>
      </c>
      <c r="B4284" s="6" t="inlineStr">
        <is>
          <t>SUTTER HOME PINK MOSCATO CALIFORNIA</t>
        </is>
      </c>
      <c r="C4284" s="7">
        <f>VLOOKUP(A4284,SizeData!A$2:B$3839,2,FALSE)</f>
        <v/>
      </c>
      <c r="D4284" s="6" t="n">
        <v>1</v>
      </c>
      <c r="E4284" s="6" t="inlineStr">
        <is>
          <t>R1770694</t>
        </is>
      </c>
      <c r="F4284" s="67" t="n">
        <v>44816</v>
      </c>
      <c r="G4284" s="68" t="n"/>
    </row>
    <row r="4285">
      <c r="A4285" s="6" t="n">
        <v>683326</v>
      </c>
      <c r="B4285" s="6" t="inlineStr">
        <is>
          <t>SUTTER HOME PINK MOSCATO CALIFORNIA</t>
        </is>
      </c>
      <c r="C4285" s="7">
        <f>VLOOKUP(A4285,SizeData!A$2:B$3839,2,FALSE)</f>
        <v/>
      </c>
      <c r="D4285" s="6" t="n">
        <v>2</v>
      </c>
      <c r="E4285" s="6" t="inlineStr">
        <is>
          <t>R1453720</t>
        </is>
      </c>
      <c r="F4285" s="67" t="n">
        <v>44599</v>
      </c>
      <c r="G4285" s="68" t="n"/>
    </row>
    <row r="4286">
      <c r="A4286" s="6" t="n">
        <v>683326</v>
      </c>
      <c r="B4286" s="6" t="inlineStr">
        <is>
          <t>SUTTER HOME PINK MOSCATO CALIFORNIA</t>
        </is>
      </c>
      <c r="C4286" s="7">
        <f>VLOOKUP(A4286,SizeData!A$2:B$3839,2,FALSE)</f>
        <v/>
      </c>
      <c r="D4286" s="6" t="n">
        <v>2</v>
      </c>
      <c r="E4286" s="6" t="inlineStr">
        <is>
          <t>R1471889</t>
        </is>
      </c>
      <c r="F4286" s="67" t="n">
        <v>44611</v>
      </c>
      <c r="G4286" s="68" t="n"/>
    </row>
    <row r="4287">
      <c r="A4287" s="6" t="n">
        <v>683326</v>
      </c>
      <c r="B4287" s="6" t="inlineStr">
        <is>
          <t>SUTTER HOME PINK MOSCATO CALIFORNIA</t>
        </is>
      </c>
      <c r="C4287" s="7">
        <f>VLOOKUP(A4287,SizeData!A$2:B$3839,2,FALSE)</f>
        <v/>
      </c>
      <c r="D4287" s="6" t="n">
        <v>2</v>
      </c>
      <c r="E4287" s="6" t="inlineStr">
        <is>
          <t>R1564505</t>
        </is>
      </c>
      <c r="F4287" s="67" t="n">
        <v>44665</v>
      </c>
      <c r="G4287" s="68" t="n"/>
    </row>
    <row r="4288">
      <c r="A4288" s="6" t="n">
        <v>683326</v>
      </c>
      <c r="B4288" s="6" t="inlineStr">
        <is>
          <t>SUTTER HOME PINK MOSCATO CALIFORNIA</t>
        </is>
      </c>
      <c r="C4288" s="7">
        <f>VLOOKUP(A4288,SizeData!A$2:B$3839,2,FALSE)</f>
        <v/>
      </c>
      <c r="D4288" s="6" t="n">
        <v>2</v>
      </c>
      <c r="E4288" s="6" t="inlineStr">
        <is>
          <t>R1624394</t>
        </is>
      </c>
      <c r="F4288" s="67" t="n">
        <v>44717</v>
      </c>
      <c r="G4288" s="68" t="n"/>
    </row>
    <row r="4289">
      <c r="A4289" s="6" t="n">
        <v>683326</v>
      </c>
      <c r="B4289" s="6" t="inlineStr">
        <is>
          <t>SUTTER HOME PINK MOSCATO CALIFORNIA</t>
        </is>
      </c>
      <c r="C4289" s="7">
        <f>VLOOKUP(A4289,SizeData!A$2:B$3839,2,FALSE)</f>
        <v/>
      </c>
      <c r="D4289" s="6" t="n">
        <v>3</v>
      </c>
      <c r="E4289" s="6" t="inlineStr">
        <is>
          <t>R1723520</t>
        </is>
      </c>
      <c r="F4289" s="67" t="n">
        <v>44782</v>
      </c>
      <c r="G4289" s="68" t="n"/>
    </row>
    <row r="4290">
      <c r="A4290" s="26" t="n">
        <v>683326</v>
      </c>
      <c r="B4290" s="26" t="inlineStr">
        <is>
          <t>SUTTER HOME PINK MOSCATO CALIFORNIA</t>
        </is>
      </c>
      <c r="C4290" s="75">
        <f>VLOOKUP(A4290,SizeData!A$2:B$3839,2,FALSE)</f>
        <v/>
      </c>
      <c r="D4290" s="26" t="n">
        <v>5</v>
      </c>
      <c r="E4290" s="26" t="inlineStr">
        <is>
          <t>R1809606</t>
        </is>
      </c>
      <c r="F4290" s="72" t="n">
        <v>44845</v>
      </c>
      <c r="G4290" s="73" t="n"/>
    </row>
    <row r="4291">
      <c r="A4291" s="6" t="n">
        <v>683326</v>
      </c>
      <c r="B4291" s="6" t="inlineStr">
        <is>
          <t>SUTTER HOME PINK MOSCATO CALIFORNIA</t>
        </is>
      </c>
      <c r="C4291" s="7">
        <f>VLOOKUP(A4291,SizeData!A$2:B$3839,2,FALSE)</f>
        <v/>
      </c>
      <c r="D4291" s="6" t="n">
        <v>2</v>
      </c>
      <c r="E4291" s="6" t="inlineStr">
        <is>
          <t>R1887698</t>
        </is>
      </c>
      <c r="F4291" s="67" t="n">
        <v>44902</v>
      </c>
      <c r="G4291" s="68" t="n"/>
    </row>
    <row r="4292">
      <c r="A4292" s="26" t="n">
        <v>683326</v>
      </c>
      <c r="B4292" s="26" t="inlineStr">
        <is>
          <t>SUTTER HOME PINK MOSCATO CALIFORNIA</t>
        </is>
      </c>
      <c r="C4292" s="75">
        <f>VLOOKUP(A4292,SizeData!A$2:B$3839,2,FALSE)</f>
        <v/>
      </c>
      <c r="D4292" s="26" t="n">
        <v>2</v>
      </c>
      <c r="E4292" s="26" t="inlineStr">
        <is>
          <t>R1900430</t>
        </is>
      </c>
      <c r="F4292" s="72" t="n">
        <v>44896</v>
      </c>
      <c r="G4292" s="73" t="n"/>
    </row>
    <row r="4293">
      <c r="A4293" s="6" t="n">
        <v>513360</v>
      </c>
      <c r="B4293" s="6" t="inlineStr">
        <is>
          <t>SUTTER HOME SWEET RED</t>
        </is>
      </c>
      <c r="C4293" s="7">
        <f>VLOOKUP(A4293,SizeData!A$2:B$3839,2,FALSE)</f>
        <v/>
      </c>
      <c r="D4293" s="6" t="n">
        <v>2</v>
      </c>
      <c r="E4293" s="6" t="inlineStr">
        <is>
          <t>R1418605</t>
        </is>
      </c>
      <c r="F4293" s="67" t="n">
        <v>44576</v>
      </c>
      <c r="G4293" s="68" t="n"/>
    </row>
    <row r="4294">
      <c r="A4294" s="6" t="n">
        <v>513360</v>
      </c>
      <c r="B4294" s="6" t="inlineStr">
        <is>
          <t>SUTTER HOME SWEET RED</t>
        </is>
      </c>
      <c r="C4294" s="7">
        <f>VLOOKUP(A4294,SizeData!A$2:B$3839,2,FALSE)</f>
        <v/>
      </c>
      <c r="D4294" s="6" t="n">
        <v>1</v>
      </c>
      <c r="E4294" s="6" t="inlineStr">
        <is>
          <t>R1432581</t>
        </is>
      </c>
      <c r="F4294" s="67" t="n">
        <v>44591</v>
      </c>
      <c r="G4294" s="68" t="n"/>
    </row>
    <row r="4295">
      <c r="A4295" s="6" t="n">
        <v>513360</v>
      </c>
      <c r="B4295" s="6" t="inlineStr">
        <is>
          <t>SUTTER HOME SWEET RED</t>
        </is>
      </c>
      <c r="C4295" s="7">
        <f>VLOOKUP(A4295,SizeData!A$2:B$3839,2,FALSE)</f>
        <v/>
      </c>
      <c r="D4295" s="6" t="n">
        <v>2</v>
      </c>
      <c r="E4295" s="6" t="inlineStr">
        <is>
          <t>R1494781</t>
        </is>
      </c>
      <c r="F4295" s="67" t="n">
        <v>44634</v>
      </c>
      <c r="G4295" s="68" t="n"/>
    </row>
    <row r="4296">
      <c r="A4296" s="6" t="n">
        <v>513364</v>
      </c>
      <c r="B4296" s="6" t="inlineStr">
        <is>
          <t>SUTTER HOME SWEET RED</t>
        </is>
      </c>
      <c r="C4296" s="7">
        <f>VLOOKUP(A4296,SizeData!A$2:B$3839,2,FALSE)</f>
        <v/>
      </c>
      <c r="D4296" s="6" t="n">
        <v>2</v>
      </c>
      <c r="E4296" s="6" t="inlineStr">
        <is>
          <t>R1443217</t>
        </is>
      </c>
      <c r="F4296" s="67" t="n">
        <v>44593</v>
      </c>
      <c r="G4296" s="68" t="n"/>
    </row>
    <row r="4297">
      <c r="A4297" s="6" t="n">
        <v>513364</v>
      </c>
      <c r="B4297" s="6" t="inlineStr">
        <is>
          <t>SUTTER HOME SWEET RED</t>
        </is>
      </c>
      <c r="C4297" s="7">
        <f>VLOOKUP(A4297,SizeData!A$2:B$3839,2,FALSE)</f>
        <v/>
      </c>
      <c r="D4297" s="6" t="n">
        <v>2</v>
      </c>
      <c r="E4297" s="6" t="inlineStr">
        <is>
          <t>R1684665</t>
        </is>
      </c>
      <c r="F4297" s="67" t="n">
        <v>44765</v>
      </c>
      <c r="G4297" s="68" t="n"/>
    </row>
    <row r="4298">
      <c r="A4298" s="31" t="n">
        <v>513364</v>
      </c>
      <c r="B4298" s="31" t="inlineStr">
        <is>
          <t>SUTTER HOME SWEET RED</t>
        </is>
      </c>
      <c r="C4298" s="32">
        <f>VLOOKUP(A4298,SizeData!A$2:B$3839,2,FALSE)</f>
        <v/>
      </c>
      <c r="D4298" s="31" t="n">
        <v>1</v>
      </c>
      <c r="E4298" s="31" t="inlineStr">
        <is>
          <t>R1840965</t>
        </is>
      </c>
      <c r="F4298" s="82" t="n">
        <v>44863</v>
      </c>
      <c r="G4298" s="83" t="n"/>
    </row>
    <row r="4299">
      <c r="A4299" s="6" t="n">
        <v>513365</v>
      </c>
      <c r="B4299" s="6" t="inlineStr">
        <is>
          <t>SUTTER HOME SWEET RED</t>
        </is>
      </c>
      <c r="C4299" s="7">
        <f>VLOOKUP(A4299,SizeData!A$2:B$3839,2,FALSE)</f>
        <v/>
      </c>
      <c r="D4299" s="6" t="n">
        <v>2</v>
      </c>
      <c r="E4299" s="6" t="inlineStr">
        <is>
          <t>R1443217</t>
        </is>
      </c>
      <c r="F4299" s="67" t="n">
        <v>44593</v>
      </c>
      <c r="G4299" s="68" t="n"/>
    </row>
    <row r="4300">
      <c r="A4300" s="6" t="n">
        <v>513365</v>
      </c>
      <c r="B4300" s="6" t="inlineStr">
        <is>
          <t>SUTTER HOME SWEET RED</t>
        </is>
      </c>
      <c r="C4300" s="7">
        <f>VLOOKUP(A4300,SizeData!A$2:B$3839,2,FALSE)</f>
        <v/>
      </c>
      <c r="D4300" s="6" t="n">
        <v>2</v>
      </c>
      <c r="E4300" s="6" t="inlineStr">
        <is>
          <t>R1453720</t>
        </is>
      </c>
      <c r="F4300" s="67" t="n">
        <v>44599</v>
      </c>
      <c r="G4300" s="68" t="n"/>
    </row>
    <row r="4301">
      <c r="A4301" s="6" t="n">
        <v>513365</v>
      </c>
      <c r="B4301" s="6" t="inlineStr">
        <is>
          <t>SUTTER HOME SWEET RED</t>
        </is>
      </c>
      <c r="C4301" s="7">
        <f>VLOOKUP(A4301,SizeData!A$2:B$3839,2,FALSE)</f>
        <v/>
      </c>
      <c r="D4301" s="6" t="n">
        <v>5</v>
      </c>
      <c r="E4301" s="6" t="inlineStr">
        <is>
          <t>R1585685</t>
        </is>
      </c>
      <c r="F4301" s="67" t="n">
        <v>44679</v>
      </c>
      <c r="G4301" s="68" t="n"/>
    </row>
    <row r="4302">
      <c r="A4302" s="6" t="n">
        <v>513365</v>
      </c>
      <c r="B4302" s="6" t="inlineStr">
        <is>
          <t>SUTTER HOME SWEET RED</t>
        </is>
      </c>
      <c r="C4302" s="7">
        <f>VLOOKUP(A4302,SizeData!A$2:B$3839,2,FALSE)</f>
        <v/>
      </c>
      <c r="D4302" s="6" t="n">
        <v>8</v>
      </c>
      <c r="E4302" s="6" t="inlineStr">
        <is>
          <t>R1905638</t>
        </is>
      </c>
      <c r="F4302" s="67" t="n">
        <v>44902</v>
      </c>
      <c r="G4302" s="68" t="n"/>
    </row>
    <row r="4303">
      <c r="A4303" s="6" t="n">
        <v>683345</v>
      </c>
      <c r="B4303" s="6" t="inlineStr">
        <is>
          <t>SUTTER HOME WHITE MERLOT</t>
        </is>
      </c>
      <c r="C4303" s="7">
        <f>VLOOKUP(A4303,SizeData!A$2:B$3839,2,FALSE)</f>
        <v/>
      </c>
      <c r="D4303" s="6" t="n">
        <v>1</v>
      </c>
      <c r="E4303" s="6" t="inlineStr">
        <is>
          <t>R1439543</t>
        </is>
      </c>
      <c r="F4303" s="67" t="n">
        <v>44594</v>
      </c>
      <c r="G4303" s="68" t="n"/>
    </row>
    <row r="4304">
      <c r="A4304" s="6" t="n">
        <v>683345</v>
      </c>
      <c r="B4304" s="6" t="inlineStr">
        <is>
          <t>SUTTER HOME WHITE MERLOT</t>
        </is>
      </c>
      <c r="C4304" s="7">
        <f>VLOOKUP(A4304,SizeData!A$2:B$3839,2,FALSE)</f>
        <v/>
      </c>
      <c r="D4304" s="6" t="n">
        <v>3</v>
      </c>
      <c r="E4304" s="6" t="inlineStr">
        <is>
          <t>R1472921</t>
        </is>
      </c>
      <c r="F4304" s="67" t="n">
        <v>44613</v>
      </c>
      <c r="G4304" s="68" t="n"/>
    </row>
    <row r="4305">
      <c r="A4305" s="6" t="n">
        <v>683345</v>
      </c>
      <c r="B4305" s="6" t="inlineStr">
        <is>
          <t>SUTTER HOME WHITE MERLOT</t>
        </is>
      </c>
      <c r="C4305" s="7">
        <f>VLOOKUP(A4305,SizeData!A$2:B$3839,2,FALSE)</f>
        <v/>
      </c>
      <c r="D4305" s="6" t="n">
        <v>1</v>
      </c>
      <c r="E4305" s="6" t="inlineStr">
        <is>
          <t>R1629823</t>
        </is>
      </c>
      <c r="F4305" s="67" t="n">
        <v>44713</v>
      </c>
      <c r="G4305" s="68" t="n"/>
    </row>
    <row r="4306">
      <c r="A4306" s="6" t="n">
        <v>683345</v>
      </c>
      <c r="B4306" s="6" t="inlineStr">
        <is>
          <t>SUTTER HOME WHITE MERLOT</t>
        </is>
      </c>
      <c r="C4306" s="7">
        <f>VLOOKUP(A4306,SizeData!A$2:B$3839,2,FALSE)</f>
        <v/>
      </c>
      <c r="D4306" s="6" t="n">
        <v>2</v>
      </c>
      <c r="E4306" s="6" t="inlineStr">
        <is>
          <t>R1632057</t>
        </is>
      </c>
      <c r="F4306" s="67" t="n">
        <v>44716</v>
      </c>
      <c r="G4306" s="68" t="n"/>
    </row>
    <row r="4307">
      <c r="A4307" s="6" t="n">
        <v>683345</v>
      </c>
      <c r="B4307" s="6" t="inlineStr">
        <is>
          <t>SUTTER HOME WHITE MERLOT</t>
        </is>
      </c>
      <c r="C4307" s="7">
        <f>VLOOKUP(A4307,SizeData!A$2:B$3839,2,FALSE)</f>
        <v/>
      </c>
      <c r="D4307" s="6" t="n">
        <v>3</v>
      </c>
      <c r="E4307" s="6" t="inlineStr">
        <is>
          <t>R1725567</t>
        </is>
      </c>
      <c r="F4307" s="67" t="n">
        <v>44779</v>
      </c>
      <c r="G4307" s="68" t="n"/>
    </row>
    <row r="4308">
      <c r="A4308" s="26" t="n">
        <v>683345</v>
      </c>
      <c r="B4308" s="26" t="inlineStr">
        <is>
          <t>SUTTER HOME WHITE MERLOT</t>
        </is>
      </c>
      <c r="C4308" s="75">
        <f>VLOOKUP(A4308,SizeData!A$2:B$3839,2,FALSE)</f>
        <v/>
      </c>
      <c r="D4308" s="26" t="n">
        <v>1</v>
      </c>
      <c r="E4308" s="26" t="inlineStr">
        <is>
          <t>R1900430</t>
        </is>
      </c>
      <c r="F4308" s="72" t="n">
        <v>44896</v>
      </c>
      <c r="G4308" s="73" t="n"/>
    </row>
    <row r="4309">
      <c r="A4309" s="26" t="n">
        <v>683345</v>
      </c>
      <c r="B4309" s="26" t="inlineStr">
        <is>
          <t>SUTTER HOME WHITE MERLOT</t>
        </is>
      </c>
      <c r="C4309" s="75">
        <f>VLOOKUP(A4309,SizeData!A$2:B$3839,2,FALSE)</f>
        <v/>
      </c>
      <c r="D4309" s="26" t="n">
        <v>2</v>
      </c>
      <c r="E4309" s="26" t="inlineStr">
        <is>
          <t>R1905638</t>
        </is>
      </c>
      <c r="F4309" s="72" t="n">
        <v>44902</v>
      </c>
      <c r="G4309" s="73" t="n"/>
    </row>
    <row r="4310">
      <c r="A4310" s="6" t="n">
        <v>683362</v>
      </c>
      <c r="B4310" s="6" t="inlineStr">
        <is>
          <t>SUTTER HOME WHITE ZINFANDEL</t>
        </is>
      </c>
      <c r="C4310" s="7">
        <f>VLOOKUP(A4310,SizeData!A$2:B$3839,2,FALSE)</f>
        <v/>
      </c>
      <c r="D4310" s="6" t="n">
        <v>3</v>
      </c>
      <c r="E4310" s="6" t="inlineStr">
        <is>
          <t>R1472921</t>
        </is>
      </c>
      <c r="F4310" s="67" t="n">
        <v>44613</v>
      </c>
      <c r="G4310" s="68" t="n"/>
    </row>
    <row r="4311">
      <c r="A4311" s="6" t="n">
        <v>683362</v>
      </c>
      <c r="B4311" s="6" t="inlineStr">
        <is>
          <t>SUTTER HOME WHITE ZINFANDEL</t>
        </is>
      </c>
      <c r="C4311" s="7">
        <f>VLOOKUP(A4311,SizeData!A$2:B$3839,2,FALSE)</f>
        <v/>
      </c>
      <c r="D4311" s="6" t="n">
        <v>3</v>
      </c>
      <c r="E4311" s="6" t="inlineStr">
        <is>
          <t>R1555356</t>
        </is>
      </c>
      <c r="F4311" s="67" t="n">
        <v>44654</v>
      </c>
      <c r="G4311" s="68" t="n"/>
    </row>
    <row r="4312">
      <c r="A4312" s="6" t="n">
        <v>683362</v>
      </c>
      <c r="B4312" s="6" t="inlineStr">
        <is>
          <t>SUTTER HOME WHITE ZINFANDEL</t>
        </is>
      </c>
      <c r="C4312" s="7">
        <f>VLOOKUP(A4312,SizeData!A$2:B$3839,2,FALSE)</f>
        <v/>
      </c>
      <c r="D4312" s="6" t="n">
        <v>2</v>
      </c>
      <c r="E4312" s="6" t="inlineStr">
        <is>
          <t>R1671975</t>
        </is>
      </c>
      <c r="F4312" s="67" t="n">
        <v>44742</v>
      </c>
      <c r="G4312" s="68" t="n"/>
    </row>
    <row r="4313">
      <c r="A4313" s="6" t="n">
        <v>683362</v>
      </c>
      <c r="B4313" s="6" t="inlineStr">
        <is>
          <t>SUTTER HOME WHITE ZINFANDEL</t>
        </is>
      </c>
      <c r="C4313" s="7">
        <f>VLOOKUP(A4313,SizeData!A$2:B$3839,2,FALSE)</f>
        <v/>
      </c>
      <c r="D4313" s="6" t="n">
        <v>3</v>
      </c>
      <c r="E4313" s="6" t="inlineStr">
        <is>
          <t>R1721451</t>
        </is>
      </c>
      <c r="F4313" s="67" t="n">
        <v>44776</v>
      </c>
      <c r="G4313" s="68" t="n"/>
    </row>
    <row r="4314">
      <c r="A4314" s="31" t="n">
        <v>683362</v>
      </c>
      <c r="B4314" s="31" t="inlineStr">
        <is>
          <t>SUTTER HOME WHITE ZINFANDEL</t>
        </is>
      </c>
      <c r="C4314" s="32">
        <f>VLOOKUP(A4314,SizeData!A$2:B$3839,2,FALSE)</f>
        <v/>
      </c>
      <c r="D4314" s="31" t="n">
        <v>2</v>
      </c>
      <c r="E4314" s="31" t="inlineStr">
        <is>
          <t>R1834547</t>
        </is>
      </c>
      <c r="F4314" s="82" t="n">
        <v>44861</v>
      </c>
      <c r="G4314" s="83" t="n"/>
    </row>
    <row r="4315">
      <c r="A4315" s="6" t="n">
        <v>683364</v>
      </c>
      <c r="B4315" s="6" t="inlineStr">
        <is>
          <t>SUTTER HOME WHITE ZINFANDEL PET</t>
        </is>
      </c>
      <c r="C4315" s="7">
        <f>VLOOKUP(A4315,SizeData!A$2:B$3839,2,FALSE)</f>
        <v/>
      </c>
      <c r="D4315" s="6" t="n">
        <v>1</v>
      </c>
      <c r="E4315" s="6" t="inlineStr">
        <is>
          <t>R1599993</t>
        </is>
      </c>
      <c r="F4315" s="67" t="n">
        <v>44701</v>
      </c>
      <c r="G4315" s="68" t="n"/>
    </row>
    <row r="4316">
      <c r="A4316" s="6" t="n">
        <v>683364</v>
      </c>
      <c r="B4316" s="6" t="inlineStr">
        <is>
          <t>SUTTER HOME WHITE ZINFANDEL PET</t>
        </is>
      </c>
      <c r="C4316" s="7">
        <f>VLOOKUP(A4316,SizeData!A$2:B$3839,2,FALSE)</f>
        <v/>
      </c>
      <c r="D4316" s="6" t="n">
        <v>1</v>
      </c>
      <c r="E4316" s="6" t="inlineStr">
        <is>
          <t>R1772446</t>
        </is>
      </c>
      <c r="F4316" s="67" t="n">
        <v>44821</v>
      </c>
      <c r="G4316" s="68" t="n"/>
    </row>
    <row r="4317">
      <c r="A4317" s="6" t="n">
        <v>683364</v>
      </c>
      <c r="B4317" s="6" t="inlineStr">
        <is>
          <t>SUTTER HOME WHITE ZINFANDEL PET</t>
        </is>
      </c>
      <c r="C4317" s="7">
        <f>VLOOKUP(A4317,SizeData!A$2:B$3839,2,FALSE)</f>
        <v/>
      </c>
      <c r="D4317" s="6" t="n">
        <v>1</v>
      </c>
      <c r="E4317" s="6" t="inlineStr">
        <is>
          <t>R1894248</t>
        </is>
      </c>
      <c r="F4317" s="67" t="n">
        <v>44902</v>
      </c>
      <c r="G4317" s="68" t="n"/>
    </row>
    <row r="4318">
      <c r="A4318" s="6" t="n">
        <v>36576</v>
      </c>
      <c r="B4318" s="6" t="inlineStr">
        <is>
          <t>SVEDKA BLUE RASPBERRY FLAVORED VODKA</t>
        </is>
      </c>
      <c r="C4318" s="7">
        <f>VLOOKUP(A4318,SizeData!A$2:B$3839,2,FALSE)</f>
        <v/>
      </c>
      <c r="D4318" s="6" t="n">
        <v>1</v>
      </c>
      <c r="E4318" s="6" t="inlineStr">
        <is>
          <t>R1426776</t>
        </is>
      </c>
      <c r="F4318" s="67" t="n">
        <v>44585</v>
      </c>
      <c r="G4318" s="68" t="n"/>
    </row>
    <row r="4319">
      <c r="A4319" s="6" t="n">
        <v>36576</v>
      </c>
      <c r="B4319" s="6" t="inlineStr">
        <is>
          <t>SVEDKA BLUE RASPBERRY FLAVORED VODKA</t>
        </is>
      </c>
      <c r="C4319" s="7">
        <f>VLOOKUP(A4319,SizeData!A$2:B$3839,2,FALSE)</f>
        <v/>
      </c>
      <c r="D4319" s="6" t="n">
        <v>1</v>
      </c>
      <c r="E4319" s="6" t="inlineStr">
        <is>
          <t>R1544752</t>
        </is>
      </c>
      <c r="F4319" s="67" t="n">
        <v>44662</v>
      </c>
      <c r="G4319" s="68" t="n"/>
    </row>
    <row r="4320">
      <c r="A4320" s="6" t="n">
        <v>36576</v>
      </c>
      <c r="B4320" s="6" t="inlineStr">
        <is>
          <t>SVEDKA BLUE RASPBERRY FLAVORED VODKA</t>
        </is>
      </c>
      <c r="C4320" s="7">
        <f>VLOOKUP(A4320,SizeData!A$2:B$3839,2,FALSE)</f>
        <v/>
      </c>
      <c r="D4320" s="6" t="n">
        <v>1</v>
      </c>
      <c r="E4320" s="6" t="inlineStr">
        <is>
          <t>R1569610</t>
        </is>
      </c>
      <c r="F4320" s="67" t="n">
        <v>44669</v>
      </c>
      <c r="G4320" s="68" t="n"/>
    </row>
    <row r="4321">
      <c r="A4321" s="6" t="n">
        <v>33658</v>
      </c>
      <c r="B4321" s="6" t="inlineStr">
        <is>
          <t>SVEDKA MANGO PINEAPPLE FLAVORED VODKA</t>
        </is>
      </c>
      <c r="C4321" s="7">
        <f>VLOOKUP(A4321,SizeData!A$2:B$3839,2,FALSE)</f>
        <v/>
      </c>
      <c r="D4321" s="6" t="n">
        <v>1</v>
      </c>
      <c r="E4321" s="6" t="inlineStr">
        <is>
          <t>R1426776</t>
        </is>
      </c>
      <c r="F4321" s="67" t="n">
        <v>44585</v>
      </c>
      <c r="G4321" s="68" t="n"/>
    </row>
    <row r="4322">
      <c r="A4322" s="26" t="n">
        <v>33658</v>
      </c>
      <c r="B4322" s="26" t="inlineStr">
        <is>
          <t>SVEDKA MANGO PINEAPPLE FLAVORED VODKA</t>
        </is>
      </c>
      <c r="C4322" s="75">
        <f>VLOOKUP(A4322,SizeData!A$2:B$3839,2,FALSE)</f>
        <v/>
      </c>
      <c r="D4322" s="26" t="n">
        <v>1</v>
      </c>
      <c r="E4322" s="26" t="inlineStr">
        <is>
          <t>R1792137</t>
        </is>
      </c>
      <c r="F4322" s="72" t="n">
        <v>44835</v>
      </c>
      <c r="G4322" s="73" t="n"/>
    </row>
    <row r="4323">
      <c r="A4323" s="6" t="n">
        <v>33663</v>
      </c>
      <c r="B4323" s="6" t="inlineStr">
        <is>
          <t>SVEDKA STRAWBERRY LEMONADE FLAVORED VODKA</t>
        </is>
      </c>
      <c r="C4323" s="7">
        <f>VLOOKUP(A4323,SizeData!A$2:B$3839,2,FALSE)</f>
        <v/>
      </c>
      <c r="D4323" s="6" t="n">
        <v>1</v>
      </c>
      <c r="E4323" s="6" t="inlineStr">
        <is>
          <t>R1426776</t>
        </is>
      </c>
      <c r="F4323" s="67" t="n">
        <v>44585</v>
      </c>
      <c r="G4323" s="68" t="n"/>
    </row>
    <row r="4324">
      <c r="A4324" s="6" t="n">
        <v>34820</v>
      </c>
      <c r="B4324" s="6" t="inlineStr">
        <is>
          <t>SVEDKA SWEDISH VODKA</t>
        </is>
      </c>
      <c r="C4324" s="7">
        <f>VLOOKUP(A4324,SizeData!A$2:B$3839,2,FALSE)</f>
        <v/>
      </c>
      <c r="D4324" s="6" t="n">
        <v>1</v>
      </c>
      <c r="E4324" s="6" t="inlineStr">
        <is>
          <t>R1437002</t>
        </is>
      </c>
      <c r="F4324" s="67" t="n">
        <v>44586</v>
      </c>
      <c r="G4324" s="68" t="n"/>
    </row>
    <row r="4325">
      <c r="A4325" s="6" t="n">
        <v>34820</v>
      </c>
      <c r="B4325" s="6" t="inlineStr">
        <is>
          <t>SVEDKA SWEDISH VODKA</t>
        </is>
      </c>
      <c r="C4325" s="7">
        <f>VLOOKUP(A4325,SizeData!A$2:B$3839,2,FALSE)</f>
        <v/>
      </c>
      <c r="D4325" s="6" t="n">
        <v>1</v>
      </c>
      <c r="E4325" s="6" t="inlineStr">
        <is>
          <t>R1792137</t>
        </is>
      </c>
      <c r="F4325" s="67" t="n">
        <v>44835</v>
      </c>
      <c r="G4325" s="68" t="n"/>
    </row>
    <row r="4326">
      <c r="A4326" s="6" t="n">
        <v>34820</v>
      </c>
      <c r="B4326" s="6" t="inlineStr">
        <is>
          <t>SVEDKA SWEDISH VODKA</t>
        </is>
      </c>
      <c r="C4326" s="7">
        <f>VLOOKUP(A4326,SizeData!A$2:B$3839,2,FALSE)</f>
        <v/>
      </c>
      <c r="D4326" s="6" t="n">
        <v>1</v>
      </c>
      <c r="E4326" s="6" t="inlineStr">
        <is>
          <t>R1821836</t>
        </is>
      </c>
      <c r="F4326" s="67" t="n">
        <v>44851</v>
      </c>
      <c r="G4326" s="68" t="n"/>
    </row>
    <row r="4327">
      <c r="A4327" s="6" t="n">
        <v>34821</v>
      </c>
      <c r="B4327" s="6" t="inlineStr">
        <is>
          <t>SVEDKA SWEDISH VODKA</t>
        </is>
      </c>
      <c r="C4327" s="7">
        <f>VLOOKUP(A4327,SizeData!A$2:B$3839,2,FALSE)</f>
        <v/>
      </c>
      <c r="D4327" s="6" t="n">
        <v>2</v>
      </c>
      <c r="E4327" s="6" t="inlineStr">
        <is>
          <t>R1624394</t>
        </is>
      </c>
      <c r="F4327" s="67" t="n">
        <v>44717</v>
      </c>
      <c r="G4327" s="68" t="n"/>
    </row>
    <row r="4328">
      <c r="A4328" s="6" t="n">
        <v>34821</v>
      </c>
      <c r="B4328" s="6" t="inlineStr">
        <is>
          <t>SVEDKA SWEDISH VODKA</t>
        </is>
      </c>
      <c r="C4328" s="7">
        <f>VLOOKUP(A4328,SizeData!A$2:B$3839,2,FALSE)</f>
        <v/>
      </c>
      <c r="D4328" s="6" t="n">
        <v>2</v>
      </c>
      <c r="E4328" s="6" t="inlineStr">
        <is>
          <t>R1671975</t>
        </is>
      </c>
      <c r="F4328" s="67" t="n">
        <v>44742</v>
      </c>
      <c r="G4328" s="68" t="n"/>
    </row>
    <row r="4329">
      <c r="A4329" s="6" t="n">
        <v>34821</v>
      </c>
      <c r="B4329" s="6" t="inlineStr">
        <is>
          <t>SVEDKA SWEDISH VODKA</t>
        </is>
      </c>
      <c r="C4329" s="7">
        <f>VLOOKUP(A4329,SizeData!A$2:B$3839,2,FALSE)</f>
        <v/>
      </c>
      <c r="D4329" s="6" t="n">
        <v>2</v>
      </c>
      <c r="E4329" s="6" t="inlineStr">
        <is>
          <t>R1894250</t>
        </is>
      </c>
      <c r="F4329" s="67" t="n">
        <v>44902</v>
      </c>
      <c r="G4329" s="68" t="n"/>
    </row>
    <row r="4330">
      <c r="A4330" s="6" t="n">
        <v>36482</v>
      </c>
      <c r="B4330" s="6" t="inlineStr">
        <is>
          <t>SVEDKA SWEDISH VODKA (PET)</t>
        </is>
      </c>
      <c r="C4330" s="7">
        <f>VLOOKUP(A4330,SizeData!A$2:B$3839,2,FALSE)</f>
        <v/>
      </c>
      <c r="D4330" s="6" t="n">
        <v>1</v>
      </c>
      <c r="E4330" s="6" t="inlineStr">
        <is>
          <t>R1723520</t>
        </is>
      </c>
      <c r="F4330" s="67" t="n">
        <v>44782</v>
      </c>
      <c r="G4330" s="68" t="n"/>
    </row>
    <row r="4331">
      <c r="A4331" s="6" t="n">
        <v>425605</v>
      </c>
      <c r="B4331" s="6" t="inlineStr">
        <is>
          <t>SWEET BITCH MERLOT</t>
        </is>
      </c>
      <c r="C4331" s="7">
        <f>VLOOKUP(A4331,SizeData!A$2:B$3839,2,FALSE)</f>
        <v/>
      </c>
      <c r="D4331" s="6" t="n">
        <v>1</v>
      </c>
      <c r="E4331" s="6" t="inlineStr">
        <is>
          <t>R1606546</t>
        </is>
      </c>
      <c r="F4331" s="67" t="n">
        <v>44690</v>
      </c>
      <c r="G4331" s="68" t="n"/>
    </row>
    <row r="4332">
      <c r="A4332" s="6" t="n">
        <v>425605</v>
      </c>
      <c r="B4332" s="6" t="inlineStr">
        <is>
          <t>SWEET BITCH MERLOT</t>
        </is>
      </c>
      <c r="C4332" s="7">
        <f>VLOOKUP(A4332,SizeData!A$2:B$3839,2,FALSE)</f>
        <v/>
      </c>
      <c r="D4332" s="6" t="n">
        <v>1</v>
      </c>
      <c r="E4332" s="6" t="inlineStr">
        <is>
          <t>R1606546</t>
        </is>
      </c>
      <c r="F4332" s="67" t="n">
        <v>44690</v>
      </c>
      <c r="G4332" s="68" t="n"/>
    </row>
    <row r="4333">
      <c r="A4333" s="6" t="n">
        <v>425605</v>
      </c>
      <c r="B4333" s="6" t="inlineStr">
        <is>
          <t>SWEET BITCH MERLOT</t>
        </is>
      </c>
      <c r="C4333" s="7">
        <f>VLOOKUP(A4333,SizeData!A$2:B$3839,2,FALSE)</f>
        <v/>
      </c>
      <c r="D4333" s="6" t="n">
        <v>2</v>
      </c>
      <c r="E4333" s="6" t="inlineStr">
        <is>
          <t>R1846759</t>
        </is>
      </c>
      <c r="F4333" s="67" t="n">
        <v>44872</v>
      </c>
      <c r="G4333" s="68" t="n"/>
    </row>
    <row r="4334">
      <c r="A4334" s="6" t="n">
        <v>513645</v>
      </c>
      <c r="B4334" s="6" t="inlineStr">
        <is>
          <t>SWEET BITCH MERLOT</t>
        </is>
      </c>
      <c r="C4334" s="7">
        <f>VLOOKUP(A4334,SizeData!A$2:B$3839,2,FALSE)</f>
        <v/>
      </c>
      <c r="D4334" s="6" t="n">
        <v>1</v>
      </c>
      <c r="E4334" s="6" t="inlineStr">
        <is>
          <t>R1443217</t>
        </is>
      </c>
      <c r="F4334" s="67" t="n">
        <v>44593</v>
      </c>
      <c r="G4334" s="68" t="n"/>
    </row>
    <row r="4335">
      <c r="A4335" s="6" t="n">
        <v>734350</v>
      </c>
      <c r="B4335" s="6" t="inlineStr">
        <is>
          <t>SWEET BITCH MOSCATO PINK BUBBLY</t>
        </is>
      </c>
      <c r="C4335" s="7">
        <f>VLOOKUP(A4335,SizeData!A$2:B$3839,2,FALSE)</f>
        <v/>
      </c>
      <c r="D4335" s="6" t="n">
        <v>2</v>
      </c>
      <c r="E4335" s="6" t="inlineStr">
        <is>
          <t>R1453720</t>
        </is>
      </c>
      <c r="F4335" s="67" t="n">
        <v>44599</v>
      </c>
      <c r="G4335" s="68" t="n"/>
    </row>
    <row r="4336">
      <c r="A4336" s="6" t="n">
        <v>734350</v>
      </c>
      <c r="B4336" s="6" t="inlineStr">
        <is>
          <t>SWEET BITCH MOSCATO PINK BUBBLY</t>
        </is>
      </c>
      <c r="C4336" s="7">
        <f>VLOOKUP(A4336,SizeData!A$2:B$3839,2,FALSE)</f>
        <v/>
      </c>
      <c r="D4336" s="6" t="n">
        <v>1</v>
      </c>
      <c r="E4336" s="6" t="inlineStr">
        <is>
          <t>R1529670</t>
        </is>
      </c>
      <c r="F4336" s="67" t="n">
        <v>44652</v>
      </c>
      <c r="G4336" s="68" t="n"/>
    </row>
    <row r="4337">
      <c r="A4337" s="6" t="n">
        <v>734350</v>
      </c>
      <c r="B4337" s="6" t="inlineStr">
        <is>
          <t>SWEET BITCH MOSCATO PINK BUBBLY</t>
        </is>
      </c>
      <c r="C4337" s="7">
        <f>VLOOKUP(A4337,SizeData!A$2:B$3839,2,FALSE)</f>
        <v/>
      </c>
      <c r="D4337" s="6" t="n">
        <v>3</v>
      </c>
      <c r="E4337" s="6" t="inlineStr">
        <is>
          <t>R1567357</t>
        </is>
      </c>
      <c r="F4337" s="67" t="n">
        <v>44665</v>
      </c>
      <c r="G4337" s="68" t="n"/>
    </row>
    <row r="4338">
      <c r="A4338" s="6" t="n">
        <v>425610</v>
      </c>
      <c r="B4338" s="6" t="inlineStr">
        <is>
          <t>SWEET BITCH MOSCATO ROSE</t>
        </is>
      </c>
      <c r="C4338" s="7">
        <f>VLOOKUP(A4338,SizeData!A$2:B$3839,2,FALSE)</f>
        <v/>
      </c>
      <c r="D4338" s="6" t="n">
        <v>2</v>
      </c>
      <c r="E4338" s="6" t="inlineStr">
        <is>
          <t>R1567357</t>
        </is>
      </c>
      <c r="F4338" s="67" t="n">
        <v>44665</v>
      </c>
      <c r="G4338" s="68" t="n"/>
    </row>
    <row r="4339">
      <c r="A4339" s="6" t="n">
        <v>425611</v>
      </c>
      <c r="B4339" s="6" t="inlineStr">
        <is>
          <t>SWEET BITCH MOSCATO ROSE</t>
        </is>
      </c>
      <c r="C4339" s="7">
        <f>VLOOKUP(A4339,SizeData!A$2:B$3839,2,FALSE)</f>
        <v/>
      </c>
      <c r="D4339" s="6" t="n">
        <v>3</v>
      </c>
      <c r="E4339" s="6" t="inlineStr">
        <is>
          <t>R1499946</t>
        </is>
      </c>
      <c r="F4339" s="67" t="n">
        <v>44627</v>
      </c>
      <c r="G4339" s="68" t="n"/>
    </row>
    <row r="4340">
      <c r="A4340" s="6" t="n">
        <v>425611</v>
      </c>
      <c r="B4340" s="6" t="inlineStr">
        <is>
          <t>SWEET BITCH MOSCATO ROSE</t>
        </is>
      </c>
      <c r="C4340" s="7">
        <f>VLOOKUP(A4340,SizeData!A$2:B$3839,2,FALSE)</f>
        <v/>
      </c>
      <c r="D4340" s="6" t="n">
        <v>2</v>
      </c>
      <c r="E4340" s="6" t="inlineStr">
        <is>
          <t>R1606911</t>
        </is>
      </c>
      <c r="F4340" s="67" t="n">
        <v>44688</v>
      </c>
      <c r="G4340" s="68" t="n"/>
    </row>
    <row r="4341">
      <c r="A4341" s="6" t="n">
        <v>425611</v>
      </c>
      <c r="B4341" s="6" t="inlineStr">
        <is>
          <t>SWEET BITCH MOSCATO ROSE</t>
        </is>
      </c>
      <c r="C4341" s="7">
        <f>VLOOKUP(A4341,SizeData!A$2:B$3839,2,FALSE)</f>
        <v/>
      </c>
      <c r="D4341" s="6" t="n">
        <v>1</v>
      </c>
      <c r="E4341" s="6" t="inlineStr">
        <is>
          <t>R1602626</t>
        </is>
      </c>
      <c r="F4341" s="67" t="n">
        <v>44690</v>
      </c>
      <c r="G4341" s="68" t="n"/>
    </row>
    <row r="4342">
      <c r="A4342" s="6" t="n">
        <v>425611</v>
      </c>
      <c r="B4342" s="6" t="inlineStr">
        <is>
          <t>SWEET BITCH MOSCATO ROSE</t>
        </is>
      </c>
      <c r="C4342" s="7">
        <f>VLOOKUP(A4342,SizeData!A$2:B$3839,2,FALSE)</f>
        <v/>
      </c>
      <c r="D4342" s="6" t="n">
        <v>1</v>
      </c>
      <c r="E4342" s="6" t="inlineStr">
        <is>
          <t>R1617499</t>
        </is>
      </c>
      <c r="F4342" s="67" t="n">
        <v>44706</v>
      </c>
      <c r="G4342" s="68" t="n"/>
    </row>
    <row r="4343">
      <c r="A4343" s="6" t="n">
        <v>816234</v>
      </c>
      <c r="B4343" s="6" t="inlineStr">
        <is>
          <t>SWEET WALTER PINEAPPLE</t>
        </is>
      </c>
      <c r="C4343" s="7">
        <f>VLOOKUP(A4343,SizeData!A$2:B$3839,2,FALSE)</f>
        <v/>
      </c>
      <c r="D4343" s="6" t="n">
        <v>3</v>
      </c>
      <c r="E4343" s="6" t="inlineStr">
        <is>
          <t>R1383976</t>
        </is>
      </c>
      <c r="F4343" s="67" t="n">
        <v>44561</v>
      </c>
      <c r="G4343" s="68" t="n"/>
    </row>
    <row r="4344">
      <c r="A4344" s="6" t="n">
        <v>816234</v>
      </c>
      <c r="B4344" s="6" t="inlineStr">
        <is>
          <t>SWEET WALTER PINEAPPLE</t>
        </is>
      </c>
      <c r="C4344" s="7">
        <f>VLOOKUP(A4344,SizeData!A$2:B$3839,2,FALSE)</f>
        <v/>
      </c>
      <c r="D4344" s="6" t="n">
        <v>1</v>
      </c>
      <c r="E4344" s="6" t="inlineStr">
        <is>
          <t>R1496401</t>
        </is>
      </c>
      <c r="F4344" s="67" t="n">
        <v>44621</v>
      </c>
      <c r="G4344" s="68" t="n"/>
    </row>
    <row r="4345">
      <c r="A4345" s="6" t="n">
        <v>816234</v>
      </c>
      <c r="B4345" s="6" t="inlineStr">
        <is>
          <t>SWEET WALTER PINEAPPLE</t>
        </is>
      </c>
      <c r="C4345" s="7">
        <f>VLOOKUP(A4345,SizeData!A$2:B$3839,2,FALSE)</f>
        <v/>
      </c>
      <c r="D4345" s="6" t="n">
        <v>2</v>
      </c>
      <c r="E4345" s="6" t="inlineStr">
        <is>
          <t>R1504703</t>
        </is>
      </c>
      <c r="F4345" s="67" t="n">
        <v>44632</v>
      </c>
      <c r="G4345" s="68" t="n"/>
    </row>
    <row r="4346">
      <c r="A4346" s="6" t="n">
        <v>816234</v>
      </c>
      <c r="B4346" s="6" t="inlineStr">
        <is>
          <t>SWEET WALTER PINEAPPLE</t>
        </is>
      </c>
      <c r="C4346" s="7">
        <f>VLOOKUP(A4346,SizeData!A$2:B$3839,2,FALSE)</f>
        <v/>
      </c>
      <c r="D4346" s="6" t="n">
        <v>1</v>
      </c>
      <c r="E4346" s="6" t="inlineStr">
        <is>
          <t>R1503957</t>
        </is>
      </c>
      <c r="F4346" s="67" t="n">
        <v>44636</v>
      </c>
      <c r="G4346" s="68" t="n"/>
    </row>
    <row r="4347">
      <c r="A4347" s="6" t="n">
        <v>816234</v>
      </c>
      <c r="B4347" s="6" t="inlineStr">
        <is>
          <t>SWEET WALTER PINEAPPLE</t>
        </is>
      </c>
      <c r="C4347" s="7">
        <f>VLOOKUP(A4347,SizeData!A$2:B$3839,2,FALSE)</f>
        <v/>
      </c>
      <c r="D4347" s="6" t="n">
        <v>1</v>
      </c>
      <c r="E4347" s="6" t="inlineStr">
        <is>
          <t>R1660776</t>
        </is>
      </c>
      <c r="F4347" s="67" t="n">
        <v>44733</v>
      </c>
      <c r="G4347" s="68" t="n"/>
    </row>
    <row r="4348">
      <c r="A4348" s="6" t="n">
        <v>816234</v>
      </c>
      <c r="B4348" s="6" t="inlineStr">
        <is>
          <t>SWEET WALTER PINEAPPLE</t>
        </is>
      </c>
      <c r="C4348" s="7">
        <f>VLOOKUP(A4348,SizeData!A$2:B$3839,2,FALSE)</f>
        <v/>
      </c>
      <c r="D4348" s="6" t="n">
        <v>3</v>
      </c>
      <c r="E4348" s="6" t="inlineStr">
        <is>
          <t>R1768452</t>
        </is>
      </c>
      <c r="F4348" s="67" t="n">
        <v>44818</v>
      </c>
      <c r="G4348" s="68" t="n"/>
    </row>
    <row r="4349">
      <c r="A4349" s="6" t="n">
        <v>32414</v>
      </c>
      <c r="B4349" s="6" t="inlineStr">
        <is>
          <t>TAAKA GIN</t>
        </is>
      </c>
      <c r="C4349" s="7">
        <f>VLOOKUP(A4349,SizeData!A$2:B$3839,2,FALSE)</f>
        <v/>
      </c>
      <c r="D4349" s="6" t="n">
        <v>1</v>
      </c>
      <c r="E4349" s="6" t="inlineStr">
        <is>
          <t>R1418605</t>
        </is>
      </c>
      <c r="F4349" s="67" t="n">
        <v>44576</v>
      </c>
      <c r="G4349" s="68" t="n"/>
    </row>
    <row r="4350">
      <c r="A4350" s="6" t="n">
        <v>32414</v>
      </c>
      <c r="B4350" s="6" t="inlineStr">
        <is>
          <t>TAAKA GIN</t>
        </is>
      </c>
      <c r="C4350" s="7">
        <f>VLOOKUP(A4350,SizeData!A$2:B$3839,2,FALSE)</f>
        <v/>
      </c>
      <c r="D4350" s="6" t="n">
        <v>1</v>
      </c>
      <c r="E4350" s="6" t="inlineStr">
        <is>
          <t>R1577697</t>
        </is>
      </c>
      <c r="F4350" s="67" t="n">
        <v>44677</v>
      </c>
      <c r="G4350" s="68" t="n"/>
    </row>
    <row r="4351">
      <c r="A4351" s="6" t="n">
        <v>32418</v>
      </c>
      <c r="B4351" s="6" t="inlineStr">
        <is>
          <t>TAAKA GIN (PET)</t>
        </is>
      </c>
      <c r="C4351" s="7">
        <f>VLOOKUP(A4351,SizeData!A$2:B$3839,2,FALSE)</f>
        <v/>
      </c>
      <c r="D4351" s="6" t="n">
        <v>1</v>
      </c>
      <c r="E4351" s="6" t="inlineStr">
        <is>
          <t>R1443217</t>
        </is>
      </c>
      <c r="F4351" s="67" t="n">
        <v>44593</v>
      </c>
      <c r="G4351" s="68" t="n"/>
    </row>
    <row r="4352">
      <c r="A4352" s="6" t="n">
        <v>32418</v>
      </c>
      <c r="B4352" s="43" t="inlineStr">
        <is>
          <t>TAAKA GIN (PET)</t>
        </is>
      </c>
      <c r="C4352" s="7">
        <f>VLOOKUP(A4352,SizeData!A$2:B$3839,2,FALSE)</f>
        <v/>
      </c>
      <c r="D4352" s="6" t="n">
        <v>2</v>
      </c>
      <c r="E4352" s="6" t="inlineStr">
        <is>
          <t>R1467109</t>
        </is>
      </c>
      <c r="F4352" s="67" t="n">
        <v>44604</v>
      </c>
      <c r="G4352" s="68" t="n"/>
    </row>
    <row r="4353">
      <c r="A4353" s="6" t="n">
        <v>32418</v>
      </c>
      <c r="B4353" s="43" t="inlineStr">
        <is>
          <t>TAAKA GIN (PET)</t>
        </is>
      </c>
      <c r="C4353" s="7">
        <f>VLOOKUP(A4353,SizeData!A$2:B$3839,2,FALSE)</f>
        <v/>
      </c>
      <c r="D4353" s="6" t="n">
        <v>2</v>
      </c>
      <c r="E4353" s="6" t="inlineStr">
        <is>
          <t>R1467898</t>
        </is>
      </c>
      <c r="F4353" s="67" t="n">
        <v>44610</v>
      </c>
      <c r="G4353" s="68" t="n"/>
    </row>
    <row r="4354">
      <c r="A4354" s="6" t="n">
        <v>32418</v>
      </c>
      <c r="B4354" s="6" t="inlineStr">
        <is>
          <t>TAAKA GIN (PET)</t>
        </is>
      </c>
      <c r="C4354" s="7">
        <f>VLOOKUP(A4354,SizeData!A$2:B$3839,2,FALSE)</f>
        <v/>
      </c>
      <c r="D4354" s="6" t="n">
        <v>1</v>
      </c>
      <c r="E4354" s="6" t="inlineStr">
        <is>
          <t>R1471889</t>
        </is>
      </c>
      <c r="F4354" s="67" t="n">
        <v>44611</v>
      </c>
      <c r="G4354" s="68" t="n"/>
    </row>
    <row r="4355">
      <c r="A4355" s="6" t="n">
        <v>32418</v>
      </c>
      <c r="B4355" s="6" t="inlineStr">
        <is>
          <t>TAAKA GIN (PET)</t>
        </is>
      </c>
      <c r="C4355" s="7">
        <f>VLOOKUP(A4355,SizeData!A$2:B$3839,2,FALSE)</f>
        <v/>
      </c>
      <c r="D4355" s="6" t="n">
        <v>1</v>
      </c>
      <c r="E4355" s="6" t="inlineStr">
        <is>
          <t>R1716148</t>
        </is>
      </c>
      <c r="F4355" s="67" t="n">
        <v>44774</v>
      </c>
      <c r="G4355" s="68" t="n"/>
    </row>
    <row r="4356">
      <c r="A4356" s="6" t="n">
        <v>32418</v>
      </c>
      <c r="B4356" s="6" t="inlineStr">
        <is>
          <t>TAAKA GIN (PET)</t>
        </is>
      </c>
      <c r="C4356" s="7">
        <f>VLOOKUP(A4356,SizeData!A$2:B$3839,2,FALSE)</f>
        <v/>
      </c>
      <c r="D4356" s="6" t="n">
        <v>1</v>
      </c>
      <c r="E4356" s="6" t="inlineStr">
        <is>
          <t>R1744939</t>
        </is>
      </c>
      <c r="F4356" s="67" t="n">
        <v>44804</v>
      </c>
      <c r="G4356" s="68" t="n"/>
    </row>
    <row r="4357">
      <c r="A4357" s="6" t="n">
        <v>40589</v>
      </c>
      <c r="B4357" s="6" t="inlineStr">
        <is>
          <t>TAAKA PEACH VODKA</t>
        </is>
      </c>
      <c r="C4357" s="7">
        <f>VLOOKUP(A4357,SizeData!A$2:B$3839,2,FALSE)</f>
        <v/>
      </c>
      <c r="D4357" s="6" t="n">
        <v>1</v>
      </c>
      <c r="E4357" s="6" t="inlineStr">
        <is>
          <t>R1402608</t>
        </is>
      </c>
      <c r="F4357" s="67" t="n">
        <v>44562</v>
      </c>
      <c r="G4357" s="68" t="n"/>
    </row>
    <row r="4358">
      <c r="A4358" s="6" t="n">
        <v>40589</v>
      </c>
      <c r="B4358" s="6" t="inlineStr">
        <is>
          <t>TAAKA PEACH VODKA</t>
        </is>
      </c>
      <c r="C4358" s="7">
        <f>VLOOKUP(A4358,SizeData!A$2:B$3839,2,FALSE)</f>
        <v/>
      </c>
      <c r="D4358" s="6" t="n">
        <v>1</v>
      </c>
      <c r="E4358" s="6" t="inlineStr">
        <is>
          <t>R1432581</t>
        </is>
      </c>
      <c r="F4358" s="67" t="n">
        <v>44591</v>
      </c>
      <c r="G4358" s="68" t="n"/>
    </row>
    <row r="4359">
      <c r="A4359" s="6" t="n">
        <v>40589</v>
      </c>
      <c r="B4359" s="6" t="inlineStr">
        <is>
          <t>TAAKA PEACH VODKA</t>
        </is>
      </c>
      <c r="C4359" s="7">
        <f>VLOOKUP(A4359,SizeData!A$2:B$3839,2,FALSE)</f>
        <v/>
      </c>
      <c r="D4359" s="6" t="n">
        <v>1</v>
      </c>
      <c r="E4359" s="6" t="inlineStr">
        <is>
          <t>R1432581</t>
        </is>
      </c>
      <c r="F4359" s="67" t="n">
        <v>44591</v>
      </c>
      <c r="G4359" s="68" t="n"/>
    </row>
    <row r="4360">
      <c r="A4360" s="6" t="n">
        <v>40589</v>
      </c>
      <c r="B4360" s="6" t="inlineStr">
        <is>
          <t>TAAKA PEACH VODKA</t>
        </is>
      </c>
      <c r="C4360" s="7">
        <f>VLOOKUP(A4360,SizeData!A$2:B$3839,2,FALSE)</f>
        <v/>
      </c>
      <c r="D4360" s="6" t="n">
        <v>1</v>
      </c>
      <c r="E4360" s="6" t="inlineStr">
        <is>
          <t>R1596233</t>
        </is>
      </c>
      <c r="F4360" s="67" t="n">
        <v>44681</v>
      </c>
      <c r="G4360" s="68" t="n"/>
    </row>
    <row r="4361">
      <c r="A4361" s="6" t="n">
        <v>40589</v>
      </c>
      <c r="B4361" s="6" t="inlineStr">
        <is>
          <t>TAAKA PEACH VODKA</t>
        </is>
      </c>
      <c r="C4361" s="7">
        <f>VLOOKUP(A4361,SizeData!A$2:B$3839,2,FALSE)</f>
        <v/>
      </c>
      <c r="D4361" s="6" t="n">
        <v>1</v>
      </c>
      <c r="E4361" s="6" t="inlineStr">
        <is>
          <t>R1858355</t>
        </is>
      </c>
      <c r="F4361" s="67" t="n">
        <v>44880</v>
      </c>
      <c r="G4361" s="68" t="n"/>
    </row>
    <row r="4362">
      <c r="A4362" s="6" t="n">
        <v>40494</v>
      </c>
      <c r="B4362" s="6" t="inlineStr">
        <is>
          <t>TAAKA PEACH VODKA LTO</t>
        </is>
      </c>
      <c r="C4362" s="7">
        <f>VLOOKUP(A4362,SizeData!A$2:B$3839,2,FALSE)</f>
        <v/>
      </c>
      <c r="D4362" s="6" t="n">
        <v>6</v>
      </c>
      <c r="E4362" s="6" t="inlineStr">
        <is>
          <t>R1719087</t>
        </is>
      </c>
      <c r="F4362" s="67" t="n">
        <v>44783</v>
      </c>
      <c r="G4362" s="68" t="n"/>
    </row>
    <row r="4363">
      <c r="A4363" s="6" t="n">
        <v>40494</v>
      </c>
      <c r="B4363" s="6" t="inlineStr">
        <is>
          <t>TAAKA PEACH VODKA LTO</t>
        </is>
      </c>
      <c r="C4363" s="7">
        <f>VLOOKUP(A4363,SizeData!A$2:B$3839,2,FALSE)</f>
        <v/>
      </c>
      <c r="D4363" s="6" t="n">
        <v>2</v>
      </c>
      <c r="E4363" s="6" t="inlineStr">
        <is>
          <t>R1822808</t>
        </is>
      </c>
      <c r="F4363" s="67" t="n">
        <v>44852</v>
      </c>
      <c r="G4363" s="68" t="n"/>
    </row>
    <row r="4364">
      <c r="A4364" s="6" t="n">
        <v>40494</v>
      </c>
      <c r="B4364" s="6" t="inlineStr">
        <is>
          <t>TAAKA PEACH VODKA LTO</t>
        </is>
      </c>
      <c r="C4364" s="7">
        <f>VLOOKUP(A4364,SizeData!A$2:B$3839,2,FALSE)</f>
        <v/>
      </c>
      <c r="D4364" s="6" t="n">
        <v>2</v>
      </c>
      <c r="E4364" s="6" t="inlineStr">
        <is>
          <t>R1834591</t>
        </is>
      </c>
      <c r="F4364" s="67" t="n">
        <v>44863</v>
      </c>
      <c r="G4364" s="68" t="n"/>
    </row>
    <row r="4365">
      <c r="A4365" s="6" t="n">
        <v>40042</v>
      </c>
      <c r="B4365" s="6" t="inlineStr">
        <is>
          <t>TAAKA PINEAPPLE FLAVORED VODKA LTO</t>
        </is>
      </c>
      <c r="C4365" s="7">
        <f>VLOOKUP(A4365,SizeData!A$2:B$3839,2,FALSE)</f>
        <v/>
      </c>
      <c r="D4365" s="6" t="n">
        <v>3</v>
      </c>
      <c r="E4365" s="6" t="inlineStr">
        <is>
          <t>R1719087</t>
        </is>
      </c>
      <c r="F4365" s="67" t="n">
        <v>44783</v>
      </c>
      <c r="G4365" s="68" t="n"/>
    </row>
    <row r="4366">
      <c r="A4366" s="6" t="n">
        <v>40042</v>
      </c>
      <c r="B4366" s="6" t="inlineStr">
        <is>
          <t>TAAKA PINEAPPLE FLAVORED VODKA LTO</t>
        </is>
      </c>
      <c r="C4366" s="7">
        <f>VLOOKUP(A4366,SizeData!A$2:B$3839,2,FALSE)</f>
        <v/>
      </c>
      <c r="D4366" s="6" t="n">
        <v>1</v>
      </c>
      <c r="E4366" s="6" t="inlineStr">
        <is>
          <t>R1772446</t>
        </is>
      </c>
      <c r="F4366" s="67" t="n">
        <v>44821</v>
      </c>
      <c r="G4366" s="68" t="n"/>
    </row>
    <row r="4367">
      <c r="A4367" s="6" t="n">
        <v>40042</v>
      </c>
      <c r="B4367" s="6" t="inlineStr">
        <is>
          <t>TAAKA PINEAPPLE FLAVORED VODKA LTO</t>
        </is>
      </c>
      <c r="C4367" s="7">
        <f>VLOOKUP(A4367,SizeData!A$2:B$3839,2,FALSE)</f>
        <v/>
      </c>
      <c r="D4367" s="6" t="n">
        <v>1</v>
      </c>
      <c r="E4367" s="6" t="inlineStr">
        <is>
          <t>R1796778</t>
        </is>
      </c>
      <c r="F4367" s="67" t="n">
        <v>44834</v>
      </c>
      <c r="G4367" s="68" t="n"/>
    </row>
    <row r="4368">
      <c r="A4368" s="6" t="n">
        <v>40042</v>
      </c>
      <c r="B4368" s="6" t="inlineStr">
        <is>
          <t>TAAKA PINEAPPLE FLAVORED VODKA LTO</t>
        </is>
      </c>
      <c r="C4368" s="7">
        <f>VLOOKUP(A4368,SizeData!A$2:B$3839,2,FALSE)</f>
        <v/>
      </c>
      <c r="D4368" s="6" t="n">
        <v>1</v>
      </c>
      <c r="E4368" s="6" t="inlineStr">
        <is>
          <t>R1837216</t>
        </is>
      </c>
      <c r="F4368" s="67" t="n">
        <v>44855</v>
      </c>
      <c r="G4368" s="68" t="n"/>
    </row>
    <row r="4369">
      <c r="A4369" s="6" t="n">
        <v>40042</v>
      </c>
      <c r="B4369" s="6" t="inlineStr">
        <is>
          <t>TAAKA PINEAPPLE FLAVORED VODKA LTO</t>
        </is>
      </c>
      <c r="C4369" s="7">
        <f>VLOOKUP(A4369,SizeData!A$2:B$3839,2,FALSE)</f>
        <v/>
      </c>
      <c r="D4369" s="6" t="n">
        <v>2</v>
      </c>
      <c r="E4369" s="6" t="inlineStr">
        <is>
          <t>R1834591</t>
        </is>
      </c>
      <c r="F4369" s="67" t="n">
        <v>44863</v>
      </c>
      <c r="G4369" s="68" t="n"/>
    </row>
    <row r="4370">
      <c r="A4370" s="6" t="n">
        <v>40040</v>
      </c>
      <c r="B4370" s="6" t="inlineStr">
        <is>
          <t>TAAKA PINEAPPLE VODKA</t>
        </is>
      </c>
      <c r="C4370" s="7">
        <f>VLOOKUP(A4370,SizeData!A$2:B$3839,2,FALSE)</f>
        <v/>
      </c>
      <c r="D4370" s="6" t="n">
        <v>1</v>
      </c>
      <c r="E4370" s="6" t="inlineStr">
        <is>
          <t>R1432581</t>
        </is>
      </c>
      <c r="F4370" s="67" t="n">
        <v>44591</v>
      </c>
      <c r="G4370" s="68" t="n"/>
    </row>
    <row r="4371">
      <c r="A4371" s="6" t="n">
        <v>42112</v>
      </c>
      <c r="B4371" s="6" t="inlineStr">
        <is>
          <t>TAAKA PINK LEMONADE VODKA LTO</t>
        </is>
      </c>
      <c r="C4371" s="7">
        <f>VLOOKUP(A4371,SizeData!A$2:B$3839,2,FALSE)</f>
        <v/>
      </c>
      <c r="D4371" s="6" t="n">
        <v>3</v>
      </c>
      <c r="E4371" s="6" t="inlineStr">
        <is>
          <t>R1719087</t>
        </is>
      </c>
      <c r="F4371" s="67" t="n">
        <v>44783</v>
      </c>
      <c r="G4371" s="68" t="n"/>
    </row>
    <row r="4372">
      <c r="A4372" s="6" t="n">
        <v>42112</v>
      </c>
      <c r="B4372" s="6" t="inlineStr">
        <is>
          <t>TAAKA PINK LEMONADE VODKA LTO</t>
        </is>
      </c>
      <c r="C4372" s="7">
        <f>VLOOKUP(A4372,SizeData!A$2:B$3839,2,FALSE)</f>
        <v/>
      </c>
      <c r="D4372" s="6" t="n">
        <v>1</v>
      </c>
      <c r="E4372" s="6" t="inlineStr">
        <is>
          <t>R1762606</t>
        </is>
      </c>
      <c r="F4372" s="67" t="n">
        <v>44809</v>
      </c>
      <c r="G4372" s="68" t="n"/>
    </row>
    <row r="4373">
      <c r="A4373" s="6" t="n">
        <v>42112</v>
      </c>
      <c r="B4373" s="6" t="inlineStr">
        <is>
          <t>TAAKA PINK LEMONADE VODKA LTO</t>
        </is>
      </c>
      <c r="C4373" s="7">
        <f>VLOOKUP(A4373,SizeData!A$2:B$3839,2,FALSE)</f>
        <v/>
      </c>
      <c r="D4373" s="6" t="n">
        <v>2</v>
      </c>
      <c r="E4373" s="6" t="inlineStr">
        <is>
          <t>R1866531</t>
        </is>
      </c>
      <c r="F4373" s="67" t="n">
        <v>44877</v>
      </c>
      <c r="G4373" s="68" t="n"/>
    </row>
    <row r="4374">
      <c r="A4374" s="6" t="n">
        <v>39888</v>
      </c>
      <c r="B4374" s="6" t="inlineStr">
        <is>
          <t>TAAKA SUPREME 100 (PET) VODKA</t>
        </is>
      </c>
      <c r="C4374" s="7">
        <f>VLOOKUP(A4374,SizeData!A$2:B$3839,2,FALSE)</f>
        <v/>
      </c>
      <c r="D4374" s="6" t="n">
        <v>1</v>
      </c>
      <c r="E4374" s="6" t="inlineStr">
        <is>
          <t>R1537124</t>
        </is>
      </c>
      <c r="F4374" s="67" t="n">
        <v>44646</v>
      </c>
      <c r="G4374" s="68" t="n"/>
    </row>
    <row r="4375">
      <c r="A4375" s="6" t="n">
        <v>39884</v>
      </c>
      <c r="B4375" s="6" t="inlineStr">
        <is>
          <t>TAAKA SUPREME 100 VODKA</t>
        </is>
      </c>
      <c r="C4375" s="7">
        <f>VLOOKUP(A4375,SizeData!A$2:B$3839,2,FALSE)</f>
        <v/>
      </c>
      <c r="D4375" s="6" t="n">
        <v>1</v>
      </c>
      <c r="E4375" s="6" t="inlineStr">
        <is>
          <t>R1767202</t>
        </is>
      </c>
      <c r="F4375" s="67" t="n">
        <v>44812</v>
      </c>
      <c r="G4375" s="68" t="n"/>
    </row>
    <row r="4376">
      <c r="A4376" s="6" t="n">
        <v>39886</v>
      </c>
      <c r="B4376" s="6" t="inlineStr">
        <is>
          <t>TAAKA SUPREME 100 VODKA</t>
        </is>
      </c>
      <c r="C4376" s="7">
        <f>VLOOKUP(A4376,SizeData!A$2:B$3839,2,FALSE)</f>
        <v/>
      </c>
      <c r="D4376" s="6" t="n">
        <v>1</v>
      </c>
      <c r="E4376" s="6" t="inlineStr">
        <is>
          <t>R1668331</t>
        </is>
      </c>
      <c r="F4376" s="67" t="n">
        <v>44742</v>
      </c>
      <c r="G4376" s="68" t="n"/>
    </row>
    <row r="4377">
      <c r="A4377" s="6" t="n">
        <v>38063</v>
      </c>
      <c r="B4377" s="6" t="inlineStr">
        <is>
          <t>TAAKA VODKA 80</t>
        </is>
      </c>
      <c r="C4377" s="7">
        <f>VLOOKUP(A4377,SizeData!A$2:B$3839,2,FALSE)</f>
        <v/>
      </c>
      <c r="D4377" s="6" t="n">
        <v>13</v>
      </c>
      <c r="E4377" s="6" t="inlineStr">
        <is>
          <t>R1456931</t>
        </is>
      </c>
      <c r="F4377" s="67" t="n">
        <v>44600</v>
      </c>
      <c r="G4377" s="68" t="n"/>
    </row>
    <row r="4378">
      <c r="A4378" s="6" t="n">
        <v>38063</v>
      </c>
      <c r="B4378" s="6" t="inlineStr">
        <is>
          <t>TAAKA VODKA 80</t>
        </is>
      </c>
      <c r="C4378" s="7">
        <f>VLOOKUP(A4378,SizeData!A$2:B$3839,2,FALSE)</f>
        <v/>
      </c>
      <c r="D4378" s="6" t="n">
        <v>7</v>
      </c>
      <c r="E4378" s="6" t="inlineStr">
        <is>
          <t>R1456931</t>
        </is>
      </c>
      <c r="F4378" s="67" t="n">
        <v>44600</v>
      </c>
      <c r="G4378" s="68" t="n"/>
    </row>
    <row r="4379">
      <c r="A4379" s="6" t="n">
        <v>38063</v>
      </c>
      <c r="B4379" s="6" t="inlineStr">
        <is>
          <t>TAAKA VODKA 80</t>
        </is>
      </c>
      <c r="C4379" s="7">
        <f>VLOOKUP(A4379,SizeData!A$2:B$3839,2,FALSE)</f>
        <v/>
      </c>
      <c r="D4379" s="6" t="n">
        <v>40</v>
      </c>
      <c r="E4379" s="6" t="inlineStr">
        <is>
          <t>R1505579</t>
        </is>
      </c>
      <c r="F4379" s="67" t="n">
        <v>44629</v>
      </c>
      <c r="G4379" s="68" t="n"/>
    </row>
    <row r="4380">
      <c r="A4380" s="6" t="n">
        <v>38063</v>
      </c>
      <c r="B4380" s="6" t="inlineStr">
        <is>
          <t>TAAKA VODKA 80</t>
        </is>
      </c>
      <c r="C4380" s="7">
        <f>VLOOKUP(A4380,SizeData!A$2:B$3839,2,FALSE)</f>
        <v/>
      </c>
      <c r="D4380" s="6" t="n">
        <v>10</v>
      </c>
      <c r="E4380" s="6" t="inlineStr">
        <is>
          <t>R1506615</t>
        </is>
      </c>
      <c r="F4380" s="67" t="n">
        <v>44629</v>
      </c>
      <c r="G4380" s="68" t="n"/>
    </row>
    <row r="4381">
      <c r="A4381" s="6" t="n">
        <v>38063</v>
      </c>
      <c r="B4381" s="6" t="inlineStr">
        <is>
          <t>TAAKA VODKA 80</t>
        </is>
      </c>
      <c r="C4381" s="7">
        <f>VLOOKUP(A4381,SizeData!A$2:B$3839,2,FALSE)</f>
        <v/>
      </c>
      <c r="D4381" s="6" t="n">
        <v>15</v>
      </c>
      <c r="E4381" s="6" t="inlineStr">
        <is>
          <t>R1695763</t>
        </is>
      </c>
      <c r="F4381" s="67" t="n">
        <v>44756</v>
      </c>
      <c r="G4381" s="68" t="n"/>
    </row>
    <row r="4382">
      <c r="A4382" s="6" t="n">
        <v>38063</v>
      </c>
      <c r="B4382" s="6" t="inlineStr">
        <is>
          <t>TAAKA VODKA 80</t>
        </is>
      </c>
      <c r="C4382" s="7">
        <f>VLOOKUP(A4382,SizeData!A$2:B$3839,2,FALSE)</f>
        <v/>
      </c>
      <c r="D4382" s="6" t="n">
        <v>3</v>
      </c>
      <c r="E4382" s="6" t="inlineStr">
        <is>
          <t>R1727399</t>
        </is>
      </c>
      <c r="F4382" s="67" t="n">
        <v>44786</v>
      </c>
      <c r="G4382" s="68" t="n"/>
    </row>
    <row r="4383">
      <c r="A4383" s="6" t="n">
        <v>38063</v>
      </c>
      <c r="B4383" s="6" t="inlineStr">
        <is>
          <t>TAAKA VODKA 80</t>
        </is>
      </c>
      <c r="C4383" s="7">
        <f>VLOOKUP(A4383,SizeData!A$2:B$3839,2,FALSE)</f>
        <v/>
      </c>
      <c r="D4383" s="6" t="n">
        <v>20</v>
      </c>
      <c r="E4383" s="6" t="inlineStr">
        <is>
          <t>R1759841</t>
        </is>
      </c>
      <c r="F4383" s="67" t="n">
        <v>44817</v>
      </c>
      <c r="G4383" s="68" t="n"/>
    </row>
    <row r="4384">
      <c r="A4384" s="6" t="n">
        <v>38063</v>
      </c>
      <c r="B4384" s="6" t="inlineStr">
        <is>
          <t>TAAKA VODKA 80</t>
        </is>
      </c>
      <c r="C4384" s="7">
        <f>VLOOKUP(A4384,SizeData!A$2:B$3839,2,FALSE)</f>
        <v/>
      </c>
      <c r="D4384" s="6" t="n">
        <v>10</v>
      </c>
      <c r="E4384" s="6" t="inlineStr">
        <is>
          <t>R1782877</t>
        </is>
      </c>
      <c r="F4384" s="67" t="n">
        <v>44830</v>
      </c>
      <c r="G4384" s="68" t="n"/>
    </row>
    <row r="4385">
      <c r="A4385" s="6" t="n">
        <v>38063</v>
      </c>
      <c r="B4385" s="6" t="inlineStr">
        <is>
          <t>TAAKA VODKA 80</t>
        </is>
      </c>
      <c r="C4385" s="7">
        <f>VLOOKUP(A4385,SizeData!A$2:B$3839,2,FALSE)</f>
        <v/>
      </c>
      <c r="D4385" s="6" t="n">
        <v>10</v>
      </c>
      <c r="E4385" s="6" t="inlineStr">
        <is>
          <t>R1900430</t>
        </is>
      </c>
      <c r="F4385" s="67" t="n">
        <v>44896</v>
      </c>
      <c r="G4385" s="68" t="n"/>
    </row>
    <row r="4386">
      <c r="A4386" s="6" t="n">
        <v>38063</v>
      </c>
      <c r="B4386" s="6" t="inlineStr">
        <is>
          <t>TAAKA VODKA 80</t>
        </is>
      </c>
      <c r="C4386" s="7">
        <f>VLOOKUP(A4386,SizeData!A$2:B$3839,2,FALSE)</f>
        <v/>
      </c>
      <c r="D4386" s="6" t="n">
        <v>10</v>
      </c>
      <c r="E4386" s="6" t="inlineStr">
        <is>
          <t>R1898606</t>
        </is>
      </c>
      <c r="F4386" s="67" t="n">
        <v>44903</v>
      </c>
      <c r="G4386" s="68" t="n"/>
    </row>
    <row r="4387">
      <c r="A4387" s="6" t="n">
        <v>38064</v>
      </c>
      <c r="B4387" s="6" t="inlineStr">
        <is>
          <t>TAAKA VODKA 80</t>
        </is>
      </c>
      <c r="C4387" s="7">
        <f>VLOOKUP(A4387,SizeData!A$2:B$3839,2,FALSE)</f>
        <v/>
      </c>
      <c r="D4387" s="6" t="n">
        <v>2</v>
      </c>
      <c r="E4387" s="6" t="inlineStr">
        <is>
          <t>R1536813</t>
        </is>
      </c>
      <c r="F4387" s="67" t="n">
        <v>44643</v>
      </c>
      <c r="G4387" s="68" t="n"/>
    </row>
    <row r="4388">
      <c r="A4388" s="6" t="n">
        <v>38064</v>
      </c>
      <c r="B4388" s="6" t="inlineStr">
        <is>
          <t>TAAKA VODKA 80</t>
        </is>
      </c>
      <c r="C4388" s="7">
        <f>VLOOKUP(A4388,SizeData!A$2:B$3839,2,FALSE)</f>
        <v/>
      </c>
      <c r="D4388" s="6" t="n">
        <v>5</v>
      </c>
      <c r="E4388" s="6" t="inlineStr">
        <is>
          <t>R1533794</t>
        </is>
      </c>
      <c r="F4388" s="67" t="n">
        <v>44652</v>
      </c>
      <c r="G4388" s="68" t="n"/>
    </row>
    <row r="4389">
      <c r="A4389" s="6" t="n">
        <v>38064</v>
      </c>
      <c r="B4389" s="6" t="inlineStr">
        <is>
          <t>TAAKA VODKA 80</t>
        </is>
      </c>
      <c r="C4389" s="7">
        <f>VLOOKUP(A4389,SizeData!A$2:B$3839,2,FALSE)</f>
        <v/>
      </c>
      <c r="D4389" s="6" t="n">
        <v>10</v>
      </c>
      <c r="E4389" s="6" t="inlineStr">
        <is>
          <t>R1551627</t>
        </is>
      </c>
      <c r="F4389" s="67" t="n">
        <v>44653</v>
      </c>
      <c r="G4389" s="68" t="n"/>
    </row>
    <row r="4390">
      <c r="A4390" s="6" t="n">
        <v>38064</v>
      </c>
      <c r="B4390" s="6" t="inlineStr">
        <is>
          <t>TAAKA VODKA 80</t>
        </is>
      </c>
      <c r="C4390" s="7">
        <f>VLOOKUP(A4390,SizeData!A$2:B$3839,2,FALSE)</f>
        <v/>
      </c>
      <c r="D4390" s="6" t="n">
        <v>3</v>
      </c>
      <c r="E4390" s="6" t="inlineStr">
        <is>
          <t>R1660776</t>
        </is>
      </c>
      <c r="F4390" s="67" t="n">
        <v>44733</v>
      </c>
      <c r="G4390" s="68" t="n"/>
    </row>
    <row r="4391">
      <c r="A4391" s="26" t="n">
        <v>38064</v>
      </c>
      <c r="B4391" s="26" t="inlineStr">
        <is>
          <t>TAAKA VODKA 80</t>
        </is>
      </c>
      <c r="C4391" s="7">
        <f>VLOOKUP(A4391,SizeData!A$2:B$3839,2,FALSE)</f>
        <v/>
      </c>
      <c r="D4391" s="26" t="n">
        <v>5</v>
      </c>
      <c r="E4391" s="26" t="inlineStr">
        <is>
          <t>R1765521</t>
        </is>
      </c>
      <c r="F4391" s="72" t="n">
        <v>44805</v>
      </c>
      <c r="G4391" s="73" t="n"/>
    </row>
    <row r="4392">
      <c r="A4392" s="6" t="n">
        <v>38064</v>
      </c>
      <c r="B4392" s="6" t="inlineStr">
        <is>
          <t>TAAKA VODKA 80</t>
        </is>
      </c>
      <c r="C4392" s="7">
        <f>VLOOKUP(A4392,SizeData!A$2:B$3839,2,FALSE)</f>
        <v/>
      </c>
      <c r="D4392" s="6" t="n">
        <v>4</v>
      </c>
      <c r="E4392" s="6" t="inlineStr">
        <is>
          <t>R1808552</t>
        </is>
      </c>
      <c r="F4392" s="67" t="n">
        <v>44841</v>
      </c>
      <c r="G4392" s="68" t="n"/>
    </row>
    <row r="4393">
      <c r="A4393" s="26" t="n">
        <v>38064</v>
      </c>
      <c r="B4393" s="26" t="inlineStr">
        <is>
          <t>TAAKA VODKA 80</t>
        </is>
      </c>
      <c r="C4393" s="75">
        <f>VLOOKUP(A4393,SizeData!A$2:B$3839,2,FALSE)</f>
        <v/>
      </c>
      <c r="D4393" s="26" t="n">
        <v>1</v>
      </c>
      <c r="E4393" s="26" t="inlineStr">
        <is>
          <t>R1808552</t>
        </is>
      </c>
      <c r="F4393" s="72" t="n">
        <v>44841</v>
      </c>
      <c r="G4393" s="73" t="n"/>
    </row>
    <row r="4394">
      <c r="A4394" s="6" t="n">
        <v>38064</v>
      </c>
      <c r="B4394" s="6" t="inlineStr">
        <is>
          <t>TAAKA VODKA 80</t>
        </is>
      </c>
      <c r="C4394" s="7">
        <f>VLOOKUP(A4394,SizeData!A$2:B$3839,2,FALSE)</f>
        <v/>
      </c>
      <c r="D4394" s="6" t="n">
        <v>6</v>
      </c>
      <c r="E4394" s="6" t="inlineStr">
        <is>
          <t>R1832815</t>
        </is>
      </c>
      <c r="F4394" s="67" t="n">
        <v>44855</v>
      </c>
      <c r="G4394" s="68" t="n"/>
    </row>
    <row r="4395">
      <c r="A4395" s="6" t="n">
        <v>38066</v>
      </c>
      <c r="B4395" s="6" t="inlineStr">
        <is>
          <t>TAAKA VODKA 80</t>
        </is>
      </c>
      <c r="C4395" s="7">
        <f>VLOOKUP(A4395,SizeData!A$2:B$3839,2,FALSE)</f>
        <v/>
      </c>
      <c r="D4395" s="6" t="n">
        <v>5</v>
      </c>
      <c r="E4395" s="6" t="inlineStr">
        <is>
          <t>R1465191</t>
        </is>
      </c>
      <c r="F4395" s="67" t="n">
        <v>44602</v>
      </c>
      <c r="G4395" s="68" t="n"/>
    </row>
    <row r="4396">
      <c r="A4396" s="6" t="n">
        <v>38067</v>
      </c>
      <c r="B4396" s="6" t="inlineStr">
        <is>
          <t>TAAKA VODKA 80</t>
        </is>
      </c>
      <c r="C4396" s="7">
        <f>VLOOKUP(A4396,SizeData!A$2:B$3839,2,FALSE)</f>
        <v/>
      </c>
      <c r="D4396" s="6" t="n">
        <v>12</v>
      </c>
      <c r="E4396" s="6" t="inlineStr">
        <is>
          <t>R1472767</t>
        </is>
      </c>
      <c r="F4396" s="67" t="n">
        <v>44616</v>
      </c>
      <c r="G4396" s="68" t="n"/>
    </row>
    <row r="4397">
      <c r="A4397" s="6" t="n">
        <v>38067</v>
      </c>
      <c r="B4397" s="6" t="inlineStr">
        <is>
          <t>TAAKA VODKA 80</t>
        </is>
      </c>
      <c r="C4397" s="7">
        <f>VLOOKUP(A4397,SizeData!A$2:B$3839,2,FALSE)</f>
        <v/>
      </c>
      <c r="D4397" s="6" t="n">
        <v>6</v>
      </c>
      <c r="E4397" s="6" t="inlineStr">
        <is>
          <t>R1602626</t>
        </is>
      </c>
      <c r="F4397" s="67" t="n">
        <v>44690</v>
      </c>
      <c r="G4397" s="68" t="n"/>
    </row>
    <row r="4398">
      <c r="A4398" s="6" t="n">
        <v>38067</v>
      </c>
      <c r="B4398" s="6" t="inlineStr">
        <is>
          <t>TAAKA VODKA 80</t>
        </is>
      </c>
      <c r="C4398" s="7">
        <f>VLOOKUP(A4398,SizeData!A$2:B$3839,2,FALSE)</f>
        <v/>
      </c>
      <c r="D4398" s="6" t="n">
        <v>2</v>
      </c>
      <c r="E4398" s="6" t="inlineStr">
        <is>
          <t>R1617499</t>
        </is>
      </c>
      <c r="F4398" s="67" t="n">
        <v>44706</v>
      </c>
      <c r="G4398" s="68" t="n"/>
    </row>
    <row r="4399">
      <c r="A4399" s="6" t="n">
        <v>38067</v>
      </c>
      <c r="B4399" s="6" t="inlineStr">
        <is>
          <t>TAAKA VODKA 80</t>
        </is>
      </c>
      <c r="C4399" s="7">
        <f>VLOOKUP(A4399,SizeData!A$2:B$3839,2,FALSE)</f>
        <v/>
      </c>
      <c r="D4399" s="6" t="n">
        <v>5</v>
      </c>
      <c r="E4399" s="6" t="inlineStr">
        <is>
          <t>R1751391</t>
        </is>
      </c>
      <c r="F4399" s="67" t="n">
        <v>44805</v>
      </c>
      <c r="G4399" s="68" t="n"/>
    </row>
    <row r="4400">
      <c r="A4400" s="6" t="n">
        <v>38067</v>
      </c>
      <c r="B4400" s="6" t="inlineStr">
        <is>
          <t>TAAKA VODKA 80</t>
        </is>
      </c>
      <c r="C4400" s="7">
        <f>VLOOKUP(A4400,SizeData!A$2:B$3839,2,FALSE)</f>
        <v/>
      </c>
      <c r="D4400" s="6" t="n">
        <v>10</v>
      </c>
      <c r="E4400" s="6" t="inlineStr">
        <is>
          <t>R1761049</t>
        </is>
      </c>
      <c r="F4400" s="67" t="n">
        <v>44810</v>
      </c>
      <c r="G4400" s="68" t="n"/>
    </row>
    <row r="4401">
      <c r="A4401" s="6" t="n">
        <v>38067</v>
      </c>
      <c r="B4401" s="6" t="inlineStr">
        <is>
          <t>TAAKA VODKA 80</t>
        </is>
      </c>
      <c r="C4401" s="7">
        <f>VLOOKUP(A4401,SizeData!A$2:B$3839,2,FALSE)</f>
        <v/>
      </c>
      <c r="D4401" s="6" t="n">
        <v>2</v>
      </c>
      <c r="E4401" s="6" t="inlineStr">
        <is>
          <t>R1900430</t>
        </is>
      </c>
      <c r="F4401" s="67" t="n">
        <v>44896</v>
      </c>
      <c r="G4401" s="68" t="n"/>
    </row>
    <row r="4402">
      <c r="A4402" s="6" t="n">
        <v>38067</v>
      </c>
      <c r="B4402" s="6" t="inlineStr">
        <is>
          <t>TAAKA VODKA 80</t>
        </is>
      </c>
      <c r="C4402" s="7">
        <f>VLOOKUP(A4402,SizeData!A$2:B$3839,2,FALSE)</f>
        <v/>
      </c>
      <c r="D4402" s="6" t="n">
        <v>4</v>
      </c>
      <c r="E4402" s="6" t="inlineStr">
        <is>
          <t>R1906202</t>
        </is>
      </c>
      <c r="F4402" s="67" t="n">
        <v>44902</v>
      </c>
      <c r="G4402" s="68" t="n"/>
    </row>
    <row r="4403">
      <c r="A4403" s="6" t="n">
        <v>38069</v>
      </c>
      <c r="B4403" s="6" t="inlineStr">
        <is>
          <t>TAAKA VODKA 80</t>
        </is>
      </c>
      <c r="C4403" s="7">
        <f>VLOOKUP(A4403,SizeData!A$2:B$3839,2,FALSE)</f>
        <v/>
      </c>
      <c r="D4403" s="6" t="n">
        <v>100</v>
      </c>
      <c r="E4403" s="6" t="inlineStr">
        <is>
          <t>R1389727</t>
        </is>
      </c>
      <c r="F4403" s="67" t="n">
        <v>44562</v>
      </c>
      <c r="G4403" s="68" t="n"/>
    </row>
    <row r="4404">
      <c r="A4404" s="6" t="n">
        <v>38069</v>
      </c>
      <c r="B4404" s="6" t="inlineStr">
        <is>
          <t>TAAKA VODKA 80</t>
        </is>
      </c>
      <c r="C4404" s="7">
        <f>VLOOKUP(A4404,SizeData!A$2:B$3839,2,FALSE)</f>
        <v/>
      </c>
      <c r="D4404" s="6" t="n">
        <v>100</v>
      </c>
      <c r="E4404" s="6" t="inlineStr">
        <is>
          <t>R1384665</t>
        </is>
      </c>
      <c r="F4404" s="67" t="n">
        <v>44563</v>
      </c>
      <c r="G4404" s="68" t="n"/>
    </row>
    <row r="4405">
      <c r="A4405" s="6" t="n">
        <v>38069</v>
      </c>
      <c r="B4405" s="6" t="inlineStr">
        <is>
          <t>TAAKA VODKA 80</t>
        </is>
      </c>
      <c r="C4405" s="7">
        <f>VLOOKUP(A4405,SizeData!A$2:B$3839,2,FALSE)</f>
        <v/>
      </c>
      <c r="D4405" s="6" t="n">
        <v>50</v>
      </c>
      <c r="E4405" s="6" t="inlineStr">
        <is>
          <t>R1428720</t>
        </is>
      </c>
      <c r="F4405" s="67" t="n">
        <v>44585</v>
      </c>
      <c r="G4405" s="68" t="n"/>
    </row>
    <row r="4406">
      <c r="A4406" s="6" t="n">
        <v>38069</v>
      </c>
      <c r="B4406" s="6" t="inlineStr">
        <is>
          <t>TAAKA VODKA 80</t>
        </is>
      </c>
      <c r="C4406" s="7">
        <f>VLOOKUP(A4406,SizeData!A$2:B$3839,2,FALSE)</f>
        <v/>
      </c>
      <c r="D4406" s="6" t="n">
        <v>2</v>
      </c>
      <c r="E4406" s="6" t="inlineStr">
        <is>
          <t>R1428392</t>
        </is>
      </c>
      <c r="F4406" s="67" t="n">
        <v>44585</v>
      </c>
      <c r="G4406" s="68" t="n"/>
    </row>
    <row r="4407">
      <c r="A4407" s="6" t="n">
        <v>38069</v>
      </c>
      <c r="B4407" s="6" t="inlineStr">
        <is>
          <t>TAAKA VODKA 80</t>
        </is>
      </c>
      <c r="C4407" s="7">
        <f>VLOOKUP(A4407,SizeData!A$2:B$3839,2,FALSE)</f>
        <v/>
      </c>
      <c r="D4407" s="6" t="n">
        <v>8</v>
      </c>
      <c r="E4407" s="6" t="inlineStr">
        <is>
          <t>R1432109</t>
        </is>
      </c>
      <c r="F4407" s="67" t="n">
        <v>44585</v>
      </c>
      <c r="G4407" s="68" t="n"/>
    </row>
    <row r="4408">
      <c r="A4408" s="6" t="n">
        <v>38069</v>
      </c>
      <c r="B4408" s="6" t="inlineStr">
        <is>
          <t>TAAKA VODKA 80</t>
        </is>
      </c>
      <c r="C4408" s="7">
        <f>VLOOKUP(A4408,SizeData!A$2:B$3839,2,FALSE)</f>
        <v/>
      </c>
      <c r="D4408" s="6" t="n">
        <v>3</v>
      </c>
      <c r="E4408" s="6" t="inlineStr">
        <is>
          <t>R1436329</t>
        </is>
      </c>
      <c r="F4408" s="67" t="n">
        <v>44585</v>
      </c>
      <c r="G4408" s="68" t="n"/>
    </row>
    <row r="4409">
      <c r="A4409" s="6" t="n">
        <v>38069</v>
      </c>
      <c r="B4409" s="6" t="inlineStr">
        <is>
          <t>TAAKA VODKA 80</t>
        </is>
      </c>
      <c r="C4409" s="7">
        <f>VLOOKUP(A4409,SizeData!A$2:B$3839,2,FALSE)</f>
        <v/>
      </c>
      <c r="D4409" s="6" t="n">
        <v>100</v>
      </c>
      <c r="E4409" s="6" t="inlineStr">
        <is>
          <t>R1551617</t>
        </is>
      </c>
      <c r="F4409" s="67" t="n">
        <v>44652</v>
      </c>
      <c r="G4409" s="68" t="n"/>
    </row>
    <row r="4410">
      <c r="A4410" s="6" t="n">
        <v>38069</v>
      </c>
      <c r="B4410" s="6" t="inlineStr">
        <is>
          <t>TAAKA VODKA 80</t>
        </is>
      </c>
      <c r="C4410" s="7">
        <f>VLOOKUP(A4410,SizeData!A$2:B$3839,2,FALSE)</f>
        <v/>
      </c>
      <c r="D4410" s="6" t="n">
        <v>100</v>
      </c>
      <c r="E4410" s="6" t="inlineStr">
        <is>
          <t>R1555065</t>
        </is>
      </c>
      <c r="F4410" s="67" t="n">
        <v>44653</v>
      </c>
      <c r="G4410" s="68" t="n"/>
    </row>
    <row r="4411">
      <c r="A4411" s="6" t="n">
        <v>38069</v>
      </c>
      <c r="B4411" s="6" t="inlineStr">
        <is>
          <t>TAAKA VODKA 80</t>
        </is>
      </c>
      <c r="C4411" s="7">
        <f>VLOOKUP(A4411,SizeData!A$2:B$3839,2,FALSE)</f>
        <v/>
      </c>
      <c r="D4411" s="6" t="n">
        <v>100</v>
      </c>
      <c r="E4411" s="6" t="inlineStr">
        <is>
          <t>R1555065</t>
        </is>
      </c>
      <c r="F4411" s="67" t="n">
        <v>44653</v>
      </c>
      <c r="G4411" s="68" t="n"/>
    </row>
    <row r="4412">
      <c r="A4412" s="6" t="n">
        <v>38069</v>
      </c>
      <c r="B4412" s="6" t="inlineStr">
        <is>
          <t>TAAKA VODKA 80</t>
        </is>
      </c>
      <c r="C4412" s="7">
        <f>VLOOKUP(A4412,SizeData!A$2:B$3839,2,FALSE)</f>
        <v/>
      </c>
      <c r="D4412" s="6" t="n">
        <v>200</v>
      </c>
      <c r="E4412" s="6" t="inlineStr">
        <is>
          <t>R1529689</t>
        </is>
      </c>
      <c r="F4412" s="67" t="n">
        <v>44655</v>
      </c>
      <c r="G4412" s="68" t="n"/>
    </row>
    <row r="4413">
      <c r="A4413" s="6" t="n">
        <v>38069</v>
      </c>
      <c r="B4413" s="6" t="inlineStr">
        <is>
          <t>TAAKA VODKA 80</t>
        </is>
      </c>
      <c r="C4413" s="7">
        <f>VLOOKUP(A4413,SizeData!A$2:B$3839,2,FALSE)</f>
        <v/>
      </c>
      <c r="D4413" s="6" t="n">
        <v>200</v>
      </c>
      <c r="E4413" s="6" t="inlineStr">
        <is>
          <t>R1557388</t>
        </is>
      </c>
      <c r="F4413" s="67" t="n">
        <v>44656</v>
      </c>
      <c r="G4413" s="68" t="n"/>
    </row>
    <row r="4414">
      <c r="A4414" s="6" t="n">
        <v>38069</v>
      </c>
      <c r="B4414" s="6" t="inlineStr">
        <is>
          <t>TAAKA VODKA 80</t>
        </is>
      </c>
      <c r="C4414" s="7">
        <f>VLOOKUP(A4414,SizeData!A$2:B$3839,2,FALSE)</f>
        <v/>
      </c>
      <c r="D4414" s="6" t="n">
        <v>100</v>
      </c>
      <c r="E4414" s="6" t="inlineStr">
        <is>
          <t>R1544767</t>
        </is>
      </c>
      <c r="F4414" s="67" t="n">
        <v>44664</v>
      </c>
      <c r="G4414" s="68" t="n"/>
    </row>
    <row r="4415">
      <c r="A4415" s="6" t="n">
        <v>38069</v>
      </c>
      <c r="B4415" s="6" t="inlineStr">
        <is>
          <t>TAAKA VODKA 80</t>
        </is>
      </c>
      <c r="C4415" s="7">
        <f>VLOOKUP(A4415,SizeData!A$2:B$3839,2,FALSE)</f>
        <v/>
      </c>
      <c r="D4415" s="6" t="n">
        <v>5</v>
      </c>
      <c r="E4415" s="6" t="inlineStr">
        <is>
          <t>R1567034</t>
        </is>
      </c>
      <c r="F4415" s="67" t="n">
        <v>44665</v>
      </c>
      <c r="G4415" s="68" t="n"/>
    </row>
    <row r="4416">
      <c r="A4416" s="6" t="n">
        <v>38069</v>
      </c>
      <c r="B4416" s="6" t="inlineStr">
        <is>
          <t>TAAKA VODKA 80</t>
        </is>
      </c>
      <c r="C4416" s="7">
        <f>VLOOKUP(A4416,SizeData!A$2:B$3839,2,FALSE)</f>
        <v/>
      </c>
      <c r="D4416" s="6" t="n">
        <v>5</v>
      </c>
      <c r="E4416" s="6" t="inlineStr">
        <is>
          <t>R1580152</t>
        </is>
      </c>
      <c r="F4416" s="67" t="n">
        <v>44666</v>
      </c>
      <c r="G4416" s="68" t="n"/>
    </row>
    <row r="4417">
      <c r="A4417" s="6" t="n">
        <v>38069</v>
      </c>
      <c r="B4417" s="6" t="inlineStr">
        <is>
          <t>TAAKA VODKA 80</t>
        </is>
      </c>
      <c r="C4417" s="7">
        <f>VLOOKUP(A4417,SizeData!A$2:B$3839,2,FALSE)</f>
        <v/>
      </c>
      <c r="D4417" s="6" t="n">
        <v>1</v>
      </c>
      <c r="E4417" s="6" t="inlineStr">
        <is>
          <t>R1572904</t>
        </is>
      </c>
      <c r="F4417" s="67" t="n">
        <v>44667</v>
      </c>
      <c r="G4417" s="68" t="n"/>
    </row>
    <row r="4418">
      <c r="A4418" s="6" t="n">
        <v>38069</v>
      </c>
      <c r="B4418" s="6" t="inlineStr">
        <is>
          <t>TAAKA VODKA 80</t>
        </is>
      </c>
      <c r="C4418" s="7">
        <f>VLOOKUP(A4418,SizeData!A$2:B$3839,2,FALSE)</f>
        <v/>
      </c>
      <c r="D4418" s="6" t="n">
        <v>10</v>
      </c>
      <c r="E4418" s="6" t="inlineStr">
        <is>
          <t>R1559691</t>
        </is>
      </c>
      <c r="F4418" s="67" t="n">
        <v>44669</v>
      </c>
      <c r="G4418" s="68" t="n"/>
    </row>
    <row r="4419">
      <c r="A4419" s="6" t="n">
        <v>38069</v>
      </c>
      <c r="B4419" s="6" t="inlineStr">
        <is>
          <t>TAAKA VODKA 80</t>
        </is>
      </c>
      <c r="C4419" s="7">
        <f>VLOOKUP(A4419,SizeData!A$2:B$3839,2,FALSE)</f>
        <v/>
      </c>
      <c r="D4419" s="6" t="n">
        <v>10</v>
      </c>
      <c r="E4419" s="6" t="inlineStr">
        <is>
          <t>R1585910</t>
        </is>
      </c>
      <c r="F4419" s="67" t="n">
        <v>44671</v>
      </c>
      <c r="G4419" s="68" t="n"/>
    </row>
    <row r="4420">
      <c r="A4420" s="6" t="n">
        <v>38069</v>
      </c>
      <c r="B4420" s="6" t="inlineStr">
        <is>
          <t>TAAKA VODKA 80</t>
        </is>
      </c>
      <c r="C4420" s="7">
        <f>VLOOKUP(A4420,SizeData!A$2:B$3839,2,FALSE)</f>
        <v/>
      </c>
      <c r="D4420" s="6" t="n">
        <v>2</v>
      </c>
      <c r="E4420" s="6" t="inlineStr">
        <is>
          <t>R1568189</t>
        </is>
      </c>
      <c r="F4420" s="67" t="n">
        <v>44671</v>
      </c>
      <c r="G4420" s="68" t="n"/>
    </row>
    <row r="4421">
      <c r="A4421" s="6" t="n">
        <v>38069</v>
      </c>
      <c r="B4421" s="6" t="inlineStr">
        <is>
          <t>TAAKA VODKA 80</t>
        </is>
      </c>
      <c r="C4421" s="7">
        <f>VLOOKUP(A4421,SizeData!A$2:B$3839,2,FALSE)</f>
        <v/>
      </c>
      <c r="D4421" s="6" t="n">
        <v>7</v>
      </c>
      <c r="E4421" s="6" t="inlineStr">
        <is>
          <t>R1569460</t>
        </is>
      </c>
      <c r="F4421" s="67" t="n">
        <v>44672</v>
      </c>
      <c r="G4421" s="68" t="n"/>
    </row>
    <row r="4422">
      <c r="A4422" s="6" t="n">
        <v>38069</v>
      </c>
      <c r="B4422" s="6" t="inlineStr">
        <is>
          <t>TAAKA VODKA 80</t>
        </is>
      </c>
      <c r="C4422" s="7">
        <f>VLOOKUP(A4422,SizeData!A$2:B$3839,2,FALSE)</f>
        <v/>
      </c>
      <c r="D4422" s="6" t="n">
        <v>75</v>
      </c>
      <c r="E4422" s="6" t="inlineStr">
        <is>
          <t>R1590812</t>
        </is>
      </c>
      <c r="F4422" s="67" t="n">
        <v>44673</v>
      </c>
      <c r="G4422" s="68" t="n"/>
    </row>
    <row r="4423">
      <c r="A4423" s="6" t="n">
        <v>38069</v>
      </c>
      <c r="B4423" s="6" t="inlineStr">
        <is>
          <t>TAAKA VODKA 80</t>
        </is>
      </c>
      <c r="C4423" s="7">
        <f>VLOOKUP(A4423,SizeData!A$2:B$3839,2,FALSE)</f>
        <v/>
      </c>
      <c r="D4423" s="6" t="n">
        <v>7</v>
      </c>
      <c r="E4423" s="6" t="inlineStr">
        <is>
          <t>R1588903</t>
        </is>
      </c>
      <c r="F4423" s="67" t="n">
        <v>44679</v>
      </c>
      <c r="G4423" s="68" t="n"/>
    </row>
    <row r="4424">
      <c r="A4424" s="6" t="n">
        <v>38069</v>
      </c>
      <c r="B4424" s="6" t="inlineStr">
        <is>
          <t>TAAKA VODKA 80</t>
        </is>
      </c>
      <c r="C4424" s="7">
        <f>VLOOKUP(A4424,SizeData!A$2:B$3839,2,FALSE)</f>
        <v/>
      </c>
      <c r="D4424" s="6" t="n">
        <v>3</v>
      </c>
      <c r="E4424" s="6" t="inlineStr">
        <is>
          <t>R1801215</t>
        </is>
      </c>
      <c r="F4424" s="67" t="n">
        <v>44835</v>
      </c>
      <c r="G4424" s="68" t="n"/>
    </row>
    <row r="4425">
      <c r="A4425" s="6" t="n">
        <v>38069</v>
      </c>
      <c r="B4425" s="6" t="inlineStr">
        <is>
          <t>TAAKA VODKA 80</t>
        </is>
      </c>
      <c r="C4425" s="7">
        <f>VLOOKUP(A4425,SizeData!A$2:B$3839,2,FALSE)</f>
        <v/>
      </c>
      <c r="D4425" s="6" t="n">
        <v>4</v>
      </c>
      <c r="E4425" s="6" t="inlineStr">
        <is>
          <t>R1778873</t>
        </is>
      </c>
      <c r="F4425" s="67" t="n">
        <v>44837</v>
      </c>
      <c r="G4425" s="68" t="n"/>
    </row>
    <row r="4426">
      <c r="A4426" s="6" t="n">
        <v>38069</v>
      </c>
      <c r="B4426" s="6" t="inlineStr">
        <is>
          <t>TAAKA VODKA 80</t>
        </is>
      </c>
      <c r="C4426" s="7">
        <f>VLOOKUP(A4426,SizeData!A$2:B$3839,2,FALSE)</f>
        <v/>
      </c>
      <c r="D4426" s="6" t="n">
        <v>100</v>
      </c>
      <c r="E4426" s="6" t="inlineStr">
        <is>
          <t>R1796193</t>
        </is>
      </c>
      <c r="F4426" s="67" t="n">
        <v>44838</v>
      </c>
      <c r="G4426" s="68" t="n"/>
    </row>
    <row r="4427">
      <c r="A4427" s="6" t="n">
        <v>38069</v>
      </c>
      <c r="B4427" s="6" t="inlineStr">
        <is>
          <t>TAAKA VODKA 80</t>
        </is>
      </c>
      <c r="C4427" s="7">
        <f>VLOOKUP(A4427,SizeData!A$2:B$3839,2,FALSE)</f>
        <v/>
      </c>
      <c r="D4427" s="6" t="n">
        <v>96</v>
      </c>
      <c r="E4427" s="6" t="inlineStr">
        <is>
          <t>R1792994</t>
        </is>
      </c>
      <c r="F4427" s="67" t="n">
        <v>44838</v>
      </c>
      <c r="G4427" s="68" t="n"/>
    </row>
    <row r="4428">
      <c r="A4428" s="26" t="n">
        <v>38069</v>
      </c>
      <c r="B4428" s="26" t="inlineStr">
        <is>
          <t>TAAKA VODKA 80</t>
        </is>
      </c>
      <c r="C4428" s="75">
        <f>VLOOKUP(A4428,SizeData!A$2:B$3839,2,FALSE)</f>
        <v/>
      </c>
      <c r="D4428" s="26" t="n">
        <v>4</v>
      </c>
      <c r="E4428" s="26" t="inlineStr">
        <is>
          <t>R1804625</t>
        </is>
      </c>
      <c r="F4428" s="72" t="n">
        <v>44846</v>
      </c>
      <c r="G4428" s="73" t="n"/>
    </row>
    <row r="4429">
      <c r="A4429" s="6" t="n">
        <v>38069</v>
      </c>
      <c r="B4429" s="6" t="inlineStr">
        <is>
          <t>TAAKA VODKA 80</t>
        </is>
      </c>
      <c r="C4429" s="7">
        <f>VLOOKUP(A4429,SizeData!A$2:B$3839,2,FALSE)</f>
        <v/>
      </c>
      <c r="D4429" s="6" t="n">
        <v>3</v>
      </c>
      <c r="E4429" s="6" t="inlineStr">
        <is>
          <t>R1809877</t>
        </is>
      </c>
      <c r="F4429" s="67" t="n">
        <v>44851</v>
      </c>
      <c r="G4429" s="68" t="n"/>
    </row>
    <row r="4430">
      <c r="A4430" s="6" t="n">
        <v>38069</v>
      </c>
      <c r="B4430" s="6" t="inlineStr">
        <is>
          <t>TAAKA VODKA 80</t>
        </is>
      </c>
      <c r="C4430" s="7">
        <f>VLOOKUP(A4430,SizeData!A$2:B$3839,2,FALSE)</f>
        <v/>
      </c>
      <c r="D4430" s="6" t="n">
        <v>5</v>
      </c>
      <c r="E4430" s="6" t="inlineStr">
        <is>
          <t>R1850008</t>
        </is>
      </c>
      <c r="F4430" s="67" t="n">
        <v>44852</v>
      </c>
      <c r="G4430" s="68" t="n"/>
    </row>
    <row r="4431">
      <c r="A4431" s="6" t="n">
        <v>38069</v>
      </c>
      <c r="B4431" s="6" t="inlineStr">
        <is>
          <t>TAAKA VODKA 80</t>
        </is>
      </c>
      <c r="C4431" s="7">
        <f>VLOOKUP(A4431,SizeData!A$2:B$3839,2,FALSE)</f>
        <v/>
      </c>
      <c r="D4431" s="6" t="n">
        <v>2</v>
      </c>
      <c r="E4431" s="6" t="inlineStr">
        <is>
          <t>R1819848</t>
        </is>
      </c>
      <c r="F4431" s="67" t="n">
        <v>44853</v>
      </c>
      <c r="G4431" s="68" t="n"/>
    </row>
    <row r="4432">
      <c r="A4432" s="31" t="n">
        <v>38069</v>
      </c>
      <c r="B4432" s="31" t="inlineStr">
        <is>
          <t>TAAKA VODKA 80</t>
        </is>
      </c>
      <c r="C4432" s="32">
        <f>VLOOKUP(A4432,SizeData!A$2:B$3839,2,FALSE)</f>
        <v/>
      </c>
      <c r="D4432" s="31" t="n">
        <v>1</v>
      </c>
      <c r="E4432" s="31" t="inlineStr">
        <is>
          <t>R1834724</t>
        </is>
      </c>
      <c r="F4432" s="82" t="n">
        <v>44860</v>
      </c>
      <c r="G4432" s="83" t="n"/>
    </row>
    <row r="4433">
      <c r="A4433" s="6" t="n">
        <v>38069</v>
      </c>
      <c r="B4433" s="6" t="inlineStr">
        <is>
          <t>TAAKA VODKA 80</t>
        </is>
      </c>
      <c r="C4433" s="7">
        <f>VLOOKUP(A4433,SizeData!A$2:B$3839,2,FALSE)</f>
        <v/>
      </c>
      <c r="D4433" s="6" t="n">
        <v>5</v>
      </c>
      <c r="E4433" s="6" t="inlineStr">
        <is>
          <t>R1850607</t>
        </is>
      </c>
      <c r="F4433" s="67" t="n">
        <v>44860</v>
      </c>
      <c r="G4433" s="68" t="n"/>
    </row>
    <row r="4434">
      <c r="A4434" s="31" t="n">
        <v>38069</v>
      </c>
      <c r="B4434" s="31" t="inlineStr">
        <is>
          <t>TAAKA VODKA 80</t>
        </is>
      </c>
      <c r="C4434" s="32">
        <f>VLOOKUP(A4434,SizeData!A$2:B$3839,2,FALSE)</f>
        <v/>
      </c>
      <c r="D4434" s="31" t="n">
        <v>2</v>
      </c>
      <c r="E4434" s="31" t="inlineStr">
        <is>
          <t>R1834547</t>
        </is>
      </c>
      <c r="F4434" s="82" t="n">
        <v>44861</v>
      </c>
      <c r="G4434" s="83" t="n"/>
    </row>
    <row r="4435">
      <c r="A4435" s="6" t="n">
        <v>38069</v>
      </c>
      <c r="B4435" s="6" t="inlineStr">
        <is>
          <t>TAAKA VODKA 80</t>
        </is>
      </c>
      <c r="C4435" s="7">
        <f>VLOOKUP(A4435,SizeData!A$2:B$3839,2,FALSE)</f>
        <v/>
      </c>
      <c r="D4435" s="6" t="n">
        <v>8</v>
      </c>
      <c r="E4435" s="6" t="inlineStr">
        <is>
          <t>R1841287</t>
        </is>
      </c>
      <c r="F4435" s="67" t="n">
        <v>44861</v>
      </c>
      <c r="G4435" s="68" t="n"/>
    </row>
    <row r="4436">
      <c r="A4436" s="6" t="n">
        <v>38068</v>
      </c>
      <c r="B4436" s="6" t="inlineStr">
        <is>
          <t>TAAKA VODKA 80 (PET)</t>
        </is>
      </c>
      <c r="C4436" s="7">
        <f>VLOOKUP(A4436,SizeData!A$2:B$3839,2,FALSE)</f>
        <v/>
      </c>
      <c r="D4436" s="6" t="n">
        <v>10</v>
      </c>
      <c r="E4436" s="6" t="inlineStr">
        <is>
          <t>R1389259</t>
        </is>
      </c>
      <c r="F4436" s="67" t="n">
        <v>44560</v>
      </c>
      <c r="G4436" s="68" t="n"/>
    </row>
    <row r="4437">
      <c r="A4437" s="6" t="n">
        <v>38068</v>
      </c>
      <c r="B4437" s="6" t="inlineStr">
        <is>
          <t>TAAKA VODKA 80 (PET)</t>
        </is>
      </c>
      <c r="C4437" s="7">
        <f>VLOOKUP(A4437,SizeData!A$2:B$3839,2,FALSE)</f>
        <v/>
      </c>
      <c r="D4437" s="6" t="n">
        <v>10</v>
      </c>
      <c r="E4437" s="6" t="inlineStr">
        <is>
          <t>R1410204</t>
        </is>
      </c>
      <c r="F4437" s="67" t="n">
        <v>44560</v>
      </c>
      <c r="G4437" s="68" t="n"/>
    </row>
    <row r="4438">
      <c r="A4438" s="6" t="n">
        <v>38068</v>
      </c>
      <c r="B4438" s="6" t="inlineStr">
        <is>
          <t>TAAKA VODKA 80 (PET)</t>
        </is>
      </c>
      <c r="C4438" s="7">
        <f>VLOOKUP(A4438,SizeData!A$2:B$3839,2,FALSE)</f>
        <v/>
      </c>
      <c r="D4438" s="6" t="n">
        <v>12</v>
      </c>
      <c r="E4438" s="6" t="inlineStr">
        <is>
          <t>R1650337</t>
        </is>
      </c>
      <c r="F4438" s="67" t="n">
        <v>44719</v>
      </c>
      <c r="G4438" s="68" t="n"/>
    </row>
    <row r="4439">
      <c r="A4439" s="6" t="n">
        <v>38068</v>
      </c>
      <c r="B4439" s="6" t="inlineStr">
        <is>
          <t>TAAKA VODKA 80 (PET)</t>
        </is>
      </c>
      <c r="C4439" s="7">
        <f>VLOOKUP(A4439,SizeData!A$2:B$3839,2,FALSE)</f>
        <v/>
      </c>
      <c r="D4439" s="6" t="n">
        <v>5</v>
      </c>
      <c r="E4439" s="6" t="inlineStr">
        <is>
          <t>R1639689</t>
        </is>
      </c>
      <c r="F4439" s="67" t="n">
        <v>44732</v>
      </c>
      <c r="G4439" s="68" t="n"/>
    </row>
    <row r="4440">
      <c r="A4440" s="6" t="n">
        <v>38068</v>
      </c>
      <c r="B4440" s="6" t="inlineStr">
        <is>
          <t>TAAKA VODKA 80 (PET)</t>
        </is>
      </c>
      <c r="C4440" s="7">
        <f>VLOOKUP(A4440,SizeData!A$2:B$3839,2,FALSE)</f>
        <v/>
      </c>
      <c r="D4440" s="6" t="n">
        <v>3</v>
      </c>
      <c r="E4440" s="6" t="inlineStr">
        <is>
          <t>R1654407</t>
        </is>
      </c>
      <c r="F4440" s="67" t="n">
        <v>44732</v>
      </c>
      <c r="G4440" s="68" t="n"/>
    </row>
    <row r="4441">
      <c r="A4441" s="31" t="n">
        <v>38068</v>
      </c>
      <c r="B4441" s="31" t="inlineStr">
        <is>
          <t>TAAKA VODKA 80 (PET)</t>
        </is>
      </c>
      <c r="C4441" s="7">
        <f>VLOOKUP(A4441,SizeData!A$2:B$3839,2,FALSE)</f>
        <v/>
      </c>
      <c r="D4441" s="31" t="n">
        <v>5</v>
      </c>
      <c r="E4441" s="31" t="inlineStr">
        <is>
          <t>R1670522</t>
        </is>
      </c>
      <c r="F4441" s="82" t="n">
        <v>44734</v>
      </c>
      <c r="G4441" s="83" t="n"/>
    </row>
    <row r="4442">
      <c r="A4442" s="6" t="n">
        <v>38068</v>
      </c>
      <c r="B4442" s="6" t="inlineStr">
        <is>
          <t>TAAKA VODKA 80 (PET)</t>
        </is>
      </c>
      <c r="C4442" s="7">
        <f>VLOOKUP(A4442,SizeData!A$2:B$3839,2,FALSE)</f>
        <v/>
      </c>
      <c r="D4442" s="6" t="n">
        <v>10</v>
      </c>
      <c r="E4442" s="6" t="inlineStr">
        <is>
          <t>R1744940</t>
        </is>
      </c>
      <c r="F4442" s="67" t="n">
        <v>44804</v>
      </c>
      <c r="G4442" s="68" t="n"/>
    </row>
    <row r="4443">
      <c r="A4443" s="6" t="n">
        <v>38068</v>
      </c>
      <c r="B4443" s="6" t="inlineStr">
        <is>
          <t>TAAKA VODKA 80 (PET)</t>
        </is>
      </c>
      <c r="C4443" s="7">
        <f>VLOOKUP(A4443,SizeData!A$2:B$3839,2,FALSE)</f>
        <v/>
      </c>
      <c r="D4443" s="6" t="n">
        <v>20</v>
      </c>
      <c r="E4443" s="6" t="inlineStr">
        <is>
          <t>R1850559</t>
        </is>
      </c>
      <c r="F4443" s="67" t="n">
        <v>44866</v>
      </c>
      <c r="G4443" s="68" t="n"/>
    </row>
    <row r="4444">
      <c r="A4444" s="6" t="n">
        <v>38068</v>
      </c>
      <c r="B4444" s="6" t="inlineStr">
        <is>
          <t>TAAKA VODKA 80 (PET)</t>
        </is>
      </c>
      <c r="C4444" s="7">
        <f>VLOOKUP(A4444,SizeData!A$2:B$3839,2,FALSE)</f>
        <v/>
      </c>
      <c r="D4444" s="6" t="n">
        <v>10</v>
      </c>
      <c r="E4444" s="6" t="inlineStr">
        <is>
          <t>R1861426</t>
        </is>
      </c>
      <c r="F4444" s="67" t="n">
        <v>44874</v>
      </c>
      <c r="G4444" s="68" t="n"/>
    </row>
    <row r="4445">
      <c r="A4445" s="6" t="n">
        <v>38068</v>
      </c>
      <c r="B4445" s="6" t="inlineStr">
        <is>
          <t>TAAKA VODKA 80 (PET)</t>
        </is>
      </c>
      <c r="C4445" s="7">
        <f>VLOOKUP(A4445,SizeData!A$2:B$3839,2,FALSE)</f>
        <v/>
      </c>
      <c r="D4445" s="6" t="n">
        <v>3</v>
      </c>
      <c r="E4445" s="6" t="inlineStr">
        <is>
          <t>R1862344</t>
        </is>
      </c>
      <c r="F4445" s="67" t="n">
        <v>44884</v>
      </c>
      <c r="G4445" s="68" t="n"/>
    </row>
    <row r="4446">
      <c r="A4446" s="6" t="n">
        <v>38068</v>
      </c>
      <c r="B4446" s="6" t="inlineStr">
        <is>
          <t>TAAKA VODKA 80 (PET)</t>
        </is>
      </c>
      <c r="C4446" s="7">
        <f>VLOOKUP(A4446,SizeData!A$2:B$3839,2,FALSE)</f>
        <v/>
      </c>
      <c r="D4446" s="6" t="n">
        <v>5</v>
      </c>
      <c r="E4446" s="6" t="inlineStr">
        <is>
          <t>R1891609</t>
        </is>
      </c>
      <c r="F4446" s="67" t="n">
        <v>44895</v>
      </c>
      <c r="G4446" s="68" t="n"/>
    </row>
    <row r="4447">
      <c r="A4447" s="26" t="n">
        <v>38068</v>
      </c>
      <c r="B4447" s="26" t="inlineStr">
        <is>
          <t>TAAKA VODKA 80 (PET)</t>
        </is>
      </c>
      <c r="C4447" s="75">
        <f>VLOOKUP(A4447,SizeData!A$2:B$3839,2,FALSE)</f>
        <v/>
      </c>
      <c r="D4447" s="26" t="n">
        <v>1</v>
      </c>
      <c r="E4447" s="26" t="inlineStr">
        <is>
          <t>R1891609</t>
        </is>
      </c>
      <c r="F4447" s="72" t="n">
        <v>44895</v>
      </c>
      <c r="G4447" s="73" t="n"/>
    </row>
    <row r="4448">
      <c r="A4448" s="6" t="n">
        <v>38076</v>
      </c>
      <c r="B4448" s="6" t="inlineStr">
        <is>
          <t>TAAKA VODKA 80 (PET)</t>
        </is>
      </c>
      <c r="C4448" s="7">
        <f>VLOOKUP(A4448,SizeData!A$2:B$3839,2,FALSE)</f>
        <v/>
      </c>
      <c r="D4448" s="6" t="n">
        <v>15</v>
      </c>
      <c r="E4448" s="6" t="inlineStr">
        <is>
          <t>R1410060</t>
        </is>
      </c>
      <c r="F4448" s="67" t="n">
        <v>44564</v>
      </c>
      <c r="G4448" s="68" t="n"/>
    </row>
    <row r="4449">
      <c r="A4449" s="6" t="n">
        <v>38076</v>
      </c>
      <c r="B4449" s="6" t="inlineStr">
        <is>
          <t>TAAKA VODKA 80 (PET)</t>
        </is>
      </c>
      <c r="C4449" s="7">
        <f>VLOOKUP(A4449,SizeData!A$2:B$3839,2,FALSE)</f>
        <v/>
      </c>
      <c r="D4449" s="6" t="n">
        <v>5</v>
      </c>
      <c r="E4449" s="6" t="inlineStr">
        <is>
          <t>R1420143</t>
        </is>
      </c>
      <c r="F4449" s="67" t="n">
        <v>44573</v>
      </c>
      <c r="G4449" s="68" t="n"/>
    </row>
    <row r="4450">
      <c r="A4450" s="6" t="n">
        <v>38076</v>
      </c>
      <c r="B4450" s="6" t="inlineStr">
        <is>
          <t>TAAKA VODKA 80 (PET)</t>
        </is>
      </c>
      <c r="C4450" s="7">
        <f>VLOOKUP(A4450,SizeData!A$2:B$3839,2,FALSE)</f>
        <v/>
      </c>
      <c r="D4450" s="6" t="n">
        <v>5</v>
      </c>
      <c r="E4450" s="6" t="inlineStr">
        <is>
          <t>R1433543</t>
        </is>
      </c>
      <c r="F4450" s="67" t="n">
        <v>44589</v>
      </c>
      <c r="G4450" s="68" t="n"/>
    </row>
    <row r="4451">
      <c r="A4451" s="6" t="n">
        <v>38076</v>
      </c>
      <c r="B4451" s="6" t="inlineStr">
        <is>
          <t>TAAKA VODKA 80 (PET)</t>
        </is>
      </c>
      <c r="C4451" s="7">
        <f>VLOOKUP(A4451,SizeData!A$2:B$3839,2,FALSE)</f>
        <v/>
      </c>
      <c r="D4451" s="6" t="n">
        <v>4</v>
      </c>
      <c r="E4451" s="6" t="inlineStr">
        <is>
          <t>R1465137</t>
        </is>
      </c>
      <c r="F4451" s="67" t="n">
        <v>44589</v>
      </c>
      <c r="G4451" s="68" t="n"/>
    </row>
    <row r="4452">
      <c r="A4452" s="6" t="n">
        <v>38076</v>
      </c>
      <c r="B4452" s="6" t="inlineStr">
        <is>
          <t>TAAKA VODKA 80 (PET)</t>
        </is>
      </c>
      <c r="C4452" s="7">
        <f>VLOOKUP(A4452,SizeData!A$2:B$3839,2,FALSE)</f>
        <v/>
      </c>
      <c r="D4452" s="6" t="n">
        <v>10</v>
      </c>
      <c r="E4452" s="6" t="inlineStr">
        <is>
          <t>R1472287</t>
        </is>
      </c>
      <c r="F4452" s="67" t="n">
        <v>44621</v>
      </c>
      <c r="G4452" s="68" t="n"/>
    </row>
    <row r="4453">
      <c r="A4453" s="6" t="n">
        <v>38076</v>
      </c>
      <c r="B4453" s="6" t="inlineStr">
        <is>
          <t>TAAKA VODKA 80 (PET)</t>
        </is>
      </c>
      <c r="C4453" s="7">
        <f>VLOOKUP(A4453,SizeData!A$2:B$3839,2,FALSE)</f>
        <v/>
      </c>
      <c r="D4453" s="6" t="n">
        <v>15</v>
      </c>
      <c r="E4453" s="6" t="inlineStr">
        <is>
          <t>R1499643</t>
        </is>
      </c>
      <c r="F4453" s="67" t="n">
        <v>44629</v>
      </c>
      <c r="G4453" s="68" t="n"/>
    </row>
    <row r="4454">
      <c r="A4454" s="6" t="n">
        <v>38076</v>
      </c>
      <c r="B4454" s="6" t="inlineStr">
        <is>
          <t>TAAKA VODKA 80 (PET)</t>
        </is>
      </c>
      <c r="C4454" s="7">
        <f>VLOOKUP(A4454,SizeData!A$2:B$3839,2,FALSE)</f>
        <v/>
      </c>
      <c r="D4454" s="6" t="n">
        <v>7</v>
      </c>
      <c r="E4454" s="6" t="inlineStr">
        <is>
          <t>R1503479</t>
        </is>
      </c>
      <c r="F4454" s="106" t="n">
        <v>44639</v>
      </c>
      <c r="G4454" s="68" t="n"/>
    </row>
    <row r="4455">
      <c r="A4455" s="6" t="n">
        <v>38076</v>
      </c>
      <c r="B4455" s="6" t="inlineStr">
        <is>
          <t>TAAKA VODKA 80 (PET)</t>
        </is>
      </c>
      <c r="C4455" s="7">
        <f>VLOOKUP(A4455,SizeData!A$2:B$3839,2,FALSE)</f>
        <v/>
      </c>
      <c r="D4455" s="6" t="n">
        <v>15</v>
      </c>
      <c r="E4455" s="6" t="inlineStr">
        <is>
          <t>R1538126</t>
        </is>
      </c>
      <c r="F4455" s="67" t="n">
        <v>44648</v>
      </c>
      <c r="G4455" s="68" t="n"/>
    </row>
    <row r="4456">
      <c r="A4456" s="50" t="n">
        <v>38076</v>
      </c>
      <c r="B4456" s="50" t="inlineStr">
        <is>
          <t>TAAKA VODKA 80 (PET)</t>
        </is>
      </c>
      <c r="C4456" s="7">
        <f>VLOOKUP(A4456,SizeData!A$2:B$3839,2,FALSE)</f>
        <v/>
      </c>
      <c r="D4456" s="50" t="n">
        <v>1</v>
      </c>
      <c r="E4456" s="50" t="inlineStr">
        <is>
          <t>R1524667</t>
        </is>
      </c>
      <c r="F4456" s="107" t="n">
        <v>44649</v>
      </c>
      <c r="G4456" s="109" t="n"/>
    </row>
    <row r="4457">
      <c r="A4457" s="6" t="n">
        <v>38076</v>
      </c>
      <c r="B4457" s="6" t="inlineStr">
        <is>
          <t>TAAKA VODKA 80 (PET)</t>
        </is>
      </c>
      <c r="C4457" s="7">
        <f>VLOOKUP(A4457,SizeData!A$2:B$3839,2,FALSE)</f>
        <v/>
      </c>
      <c r="D4457" s="6" t="n">
        <v>5</v>
      </c>
      <c r="E4457" s="6" t="inlineStr">
        <is>
          <t>R1600642</t>
        </is>
      </c>
      <c r="F4457" s="67" t="n">
        <v>44685</v>
      </c>
      <c r="G4457" s="68" t="n"/>
    </row>
    <row r="4458">
      <c r="A4458" s="6" t="n">
        <v>38076</v>
      </c>
      <c r="B4458" s="6" t="inlineStr">
        <is>
          <t>TAAKA VODKA 80 (PET)</t>
        </is>
      </c>
      <c r="C4458" s="7">
        <f>VLOOKUP(A4458,SizeData!A$2:B$3839,2,FALSE)</f>
        <v/>
      </c>
      <c r="D4458" s="6" t="n">
        <v>5</v>
      </c>
      <c r="E4458" s="6" t="inlineStr">
        <is>
          <t>R1601727</t>
        </is>
      </c>
      <c r="F4458" s="67" t="n">
        <v>44685</v>
      </c>
      <c r="G4458" s="68" t="n"/>
    </row>
    <row r="4459">
      <c r="A4459" s="6" t="n">
        <v>38076</v>
      </c>
      <c r="B4459" s="6" t="inlineStr">
        <is>
          <t>TAAKA VODKA 80 (PET)</t>
        </is>
      </c>
      <c r="C4459" s="7">
        <f>VLOOKUP(A4459,SizeData!A$2:B$3839,2,FALSE)</f>
        <v/>
      </c>
      <c r="D4459" s="6" t="n">
        <v>10</v>
      </c>
      <c r="E4459" s="6" t="inlineStr">
        <is>
          <t>R1579680</t>
        </is>
      </c>
      <c r="F4459" s="67" t="n">
        <v>44686</v>
      </c>
      <c r="G4459" s="68" t="n"/>
    </row>
    <row r="4460">
      <c r="A4460" s="6" t="n">
        <v>38076</v>
      </c>
      <c r="B4460" s="6" t="inlineStr">
        <is>
          <t>TAAKA VODKA 80 (PET)</t>
        </is>
      </c>
      <c r="C4460" s="7">
        <f>VLOOKUP(A4460,SizeData!A$2:B$3839,2,FALSE)</f>
        <v/>
      </c>
      <c r="D4460" s="6" t="n">
        <v>1</v>
      </c>
      <c r="E4460" s="6" t="inlineStr">
        <is>
          <t>R1594706</t>
        </is>
      </c>
      <c r="F4460" s="67" t="n">
        <v>44686</v>
      </c>
      <c r="G4460" s="68" t="n"/>
    </row>
    <row r="4461">
      <c r="A4461" s="6" t="n">
        <v>38076</v>
      </c>
      <c r="B4461" s="6" t="inlineStr">
        <is>
          <t>TAAKA VODKA 80 (PET)</t>
        </is>
      </c>
      <c r="C4461" s="7">
        <f>VLOOKUP(A4461,SizeData!A$2:B$3839,2,FALSE)</f>
        <v/>
      </c>
      <c r="D4461" s="6" t="n">
        <v>1</v>
      </c>
      <c r="E4461" s="6" t="inlineStr">
        <is>
          <t>R1602016</t>
        </is>
      </c>
      <c r="F4461" s="67" t="n">
        <v>44688</v>
      </c>
      <c r="G4461" s="68" t="n"/>
    </row>
    <row r="4462">
      <c r="A4462" s="6" t="n">
        <v>38076</v>
      </c>
      <c r="B4462" s="6" t="inlineStr">
        <is>
          <t>TAAKA VODKA 80 (PET)</t>
        </is>
      </c>
      <c r="C4462" s="7">
        <f>VLOOKUP(A4462,SizeData!A$2:B$3839,2,FALSE)</f>
        <v/>
      </c>
      <c r="D4462" s="6" t="n">
        <v>11</v>
      </c>
      <c r="E4462" s="6" t="inlineStr">
        <is>
          <t>R1629643</t>
        </is>
      </c>
      <c r="F4462" s="67" t="n">
        <v>44712</v>
      </c>
      <c r="G4462" s="68" t="n"/>
    </row>
    <row r="4463">
      <c r="A4463" s="6" t="n">
        <v>38076</v>
      </c>
      <c r="B4463" s="6" t="inlineStr">
        <is>
          <t>TAAKA VODKA 80 (PET)</t>
        </is>
      </c>
      <c r="C4463" s="7">
        <f>VLOOKUP(A4463,SizeData!A$2:B$3839,2,FALSE)</f>
        <v/>
      </c>
      <c r="D4463" s="6" t="n">
        <v>10</v>
      </c>
      <c r="E4463" s="6" t="inlineStr">
        <is>
          <t>R1669916</t>
        </is>
      </c>
      <c r="F4463" s="67" t="n">
        <v>44743</v>
      </c>
      <c r="G4463" s="68" t="n"/>
    </row>
    <row r="4464">
      <c r="A4464" s="6" t="n">
        <v>38076</v>
      </c>
      <c r="B4464" s="6" t="inlineStr">
        <is>
          <t>TAAKA VODKA 80 (PET)</t>
        </is>
      </c>
      <c r="C4464" s="7">
        <f>VLOOKUP(A4464,SizeData!A$2:B$3839,2,FALSE)</f>
        <v/>
      </c>
      <c r="D4464" s="6" t="n">
        <v>2</v>
      </c>
      <c r="E4464" s="6" t="inlineStr">
        <is>
          <t>R1672387</t>
        </is>
      </c>
      <c r="F4464" s="67" t="n">
        <v>44747</v>
      </c>
      <c r="G4464" s="68" t="n"/>
    </row>
    <row r="4465">
      <c r="A4465" s="6" t="n">
        <v>38076</v>
      </c>
      <c r="B4465" s="6" t="inlineStr">
        <is>
          <t>TAAKA VODKA 80 (PET)</t>
        </is>
      </c>
      <c r="C4465" s="7">
        <f>VLOOKUP(A4465,SizeData!A$2:B$3839,2,FALSE)</f>
        <v/>
      </c>
      <c r="D4465" s="6" t="n">
        <v>10</v>
      </c>
      <c r="E4465" s="6" t="inlineStr">
        <is>
          <t>R1696455</t>
        </is>
      </c>
      <c r="F4465" s="67" t="n">
        <v>44758</v>
      </c>
      <c r="G4465" s="68" t="n"/>
    </row>
    <row r="4466">
      <c r="A4466" s="6" t="n">
        <v>38076</v>
      </c>
      <c r="B4466" s="6" t="inlineStr">
        <is>
          <t>TAAKA VODKA 80 (PET)</t>
        </is>
      </c>
      <c r="C4466" s="7">
        <f>VLOOKUP(A4466,SizeData!A$2:B$3839,2,FALSE)</f>
        <v/>
      </c>
      <c r="D4466" s="6" t="n">
        <v>5</v>
      </c>
      <c r="E4466" s="6" t="inlineStr">
        <is>
          <t>R1684177</t>
        </is>
      </c>
      <c r="F4466" s="67" t="n">
        <v>44760</v>
      </c>
      <c r="G4466" s="68" t="n"/>
    </row>
    <row r="4467">
      <c r="A4467" s="6" t="n">
        <v>38076</v>
      </c>
      <c r="B4467" s="6" t="inlineStr">
        <is>
          <t>TAAKA VODKA 80 (PET)</t>
        </is>
      </c>
      <c r="C4467" s="7">
        <f>VLOOKUP(A4467,SizeData!A$2:B$3839,2,FALSE)</f>
        <v/>
      </c>
      <c r="D4467" s="6" t="n">
        <v>1</v>
      </c>
      <c r="E4467" s="6" t="inlineStr">
        <is>
          <t>R1684177</t>
        </is>
      </c>
      <c r="F4467" s="67" t="n">
        <v>44760</v>
      </c>
      <c r="G4467" s="68" t="n"/>
    </row>
    <row r="4468">
      <c r="A4468" s="6" t="n">
        <v>38076</v>
      </c>
      <c r="B4468" s="6" t="inlineStr">
        <is>
          <t>TAAKA VODKA 80 (PET)</t>
        </is>
      </c>
      <c r="C4468" s="7">
        <f>VLOOKUP(A4468,SizeData!A$2:B$3839,2,FALSE)</f>
        <v/>
      </c>
      <c r="D4468" s="6" t="n">
        <v>1</v>
      </c>
      <c r="E4468" s="6" t="inlineStr">
        <is>
          <t>R1700575</t>
        </is>
      </c>
      <c r="F4468" s="67" t="n">
        <v>44767</v>
      </c>
      <c r="G4468" s="68" t="n"/>
    </row>
    <row r="4469">
      <c r="A4469" s="6" t="n">
        <v>38076</v>
      </c>
      <c r="B4469" s="6" t="inlineStr">
        <is>
          <t>TAAKA VODKA 80 (PET)</t>
        </is>
      </c>
      <c r="C4469" s="7">
        <f>VLOOKUP(A4469,SizeData!A$2:B$3839,2,FALSE)</f>
        <v/>
      </c>
      <c r="D4469" s="6" t="n">
        <v>2</v>
      </c>
      <c r="E4469" s="6" t="inlineStr">
        <is>
          <t>R1703327</t>
        </is>
      </c>
      <c r="F4469" s="67" t="n">
        <v>44768</v>
      </c>
      <c r="G4469" s="68" t="n"/>
    </row>
    <row r="4470">
      <c r="A4470" s="6" t="n">
        <v>38076</v>
      </c>
      <c r="B4470" s="6" t="inlineStr">
        <is>
          <t>TAAKA VODKA 80 (PET)</t>
        </is>
      </c>
      <c r="C4470" s="7">
        <f>VLOOKUP(A4470,SizeData!A$2:B$3839,2,FALSE)</f>
        <v/>
      </c>
      <c r="D4470" s="6" t="n">
        <v>10</v>
      </c>
      <c r="E4470" s="6" t="inlineStr">
        <is>
          <t>R1757237</t>
        </is>
      </c>
      <c r="F4470" s="67" t="n">
        <v>44805</v>
      </c>
      <c r="G4470" s="68" t="n"/>
    </row>
    <row r="4471">
      <c r="A4471" s="6" t="n">
        <v>38076</v>
      </c>
      <c r="B4471" s="6" t="inlineStr">
        <is>
          <t>TAAKA VODKA 80 (PET)</t>
        </is>
      </c>
      <c r="C4471" s="7">
        <f>VLOOKUP(A4471,SizeData!A$2:B$3839,2,FALSE)</f>
        <v/>
      </c>
      <c r="D4471" s="6" t="n">
        <v>2</v>
      </c>
      <c r="E4471" s="6" t="inlineStr">
        <is>
          <t>R1757188</t>
        </is>
      </c>
      <c r="F4471" s="67" t="n">
        <v>44809</v>
      </c>
      <c r="G4471" s="68" t="n"/>
    </row>
    <row r="4472">
      <c r="A4472" s="6" t="n">
        <v>38076</v>
      </c>
      <c r="B4472" s="6" t="inlineStr">
        <is>
          <t>TAAKA VODKA 80 (PET)</t>
        </is>
      </c>
      <c r="C4472" s="7">
        <f>VLOOKUP(A4472,SizeData!A$2:B$3839,2,FALSE)</f>
        <v/>
      </c>
      <c r="D4472" s="6" t="n">
        <v>2</v>
      </c>
      <c r="E4472" s="6" t="inlineStr">
        <is>
          <t>R1759406</t>
        </is>
      </c>
      <c r="F4472" s="67" t="n">
        <v>44809</v>
      </c>
      <c r="G4472" s="68" t="n"/>
    </row>
    <row r="4473">
      <c r="A4473" s="6" t="n">
        <v>38076</v>
      </c>
      <c r="B4473" s="6" t="inlineStr">
        <is>
          <t>TAAKA VODKA 80 (PET)</t>
        </is>
      </c>
      <c r="C4473" s="7">
        <f>VLOOKUP(A4473,SizeData!A$2:B$3839,2,FALSE)</f>
        <v/>
      </c>
      <c r="D4473" s="6" t="n">
        <v>2</v>
      </c>
      <c r="E4473" s="6" t="inlineStr">
        <is>
          <t>R1761429</t>
        </is>
      </c>
      <c r="F4473" s="67" t="n">
        <v>44809</v>
      </c>
      <c r="G4473" s="68" t="n"/>
    </row>
    <row r="4474">
      <c r="A4474" s="6" t="n">
        <v>38076</v>
      </c>
      <c r="B4474" s="6" t="inlineStr">
        <is>
          <t>TAAKA VODKA 80 (PET)</t>
        </is>
      </c>
      <c r="C4474" s="7">
        <f>VLOOKUP(A4474,SizeData!A$2:B$3839,2,FALSE)</f>
        <v/>
      </c>
      <c r="D4474" s="6" t="n">
        <v>6</v>
      </c>
      <c r="E4474" s="6" t="inlineStr">
        <is>
          <t>R1754910</t>
        </is>
      </c>
      <c r="F4474" s="67" t="n">
        <v>44810</v>
      </c>
      <c r="G4474" s="68" t="n"/>
    </row>
    <row r="4475">
      <c r="A4475" s="6" t="n">
        <v>38076</v>
      </c>
      <c r="B4475" s="6" t="inlineStr">
        <is>
          <t>TAAKA VODKA 80 (PET)</t>
        </is>
      </c>
      <c r="C4475" s="7">
        <f>VLOOKUP(A4475,SizeData!A$2:B$3839,2,FALSE)</f>
        <v/>
      </c>
      <c r="D4475" s="6" t="n">
        <v>10</v>
      </c>
      <c r="E4475" s="6" t="inlineStr">
        <is>
          <t>R1790345</t>
        </is>
      </c>
      <c r="F4475" s="67" t="n">
        <v>44811</v>
      </c>
      <c r="G4475" s="68" t="n"/>
    </row>
    <row r="4476">
      <c r="A4476" s="6" t="n">
        <v>38076</v>
      </c>
      <c r="B4476" s="6" t="inlineStr">
        <is>
          <t>TAAKA VODKA 80 (PET)</t>
        </is>
      </c>
      <c r="C4476" s="7">
        <f>VLOOKUP(A4476,SizeData!A$2:B$3839,2,FALSE)</f>
        <v/>
      </c>
      <c r="D4476" s="6" t="n">
        <v>10</v>
      </c>
      <c r="E4476" s="6" t="inlineStr">
        <is>
          <t>R1764772</t>
        </is>
      </c>
      <c r="F4476" s="67" t="n">
        <v>44819</v>
      </c>
      <c r="G4476" s="68" t="n"/>
    </row>
    <row r="4477">
      <c r="A4477" s="31" t="n">
        <v>38076</v>
      </c>
      <c r="B4477" s="31" t="inlineStr">
        <is>
          <t>TAAKA VODKA 80 (PET)</t>
        </is>
      </c>
      <c r="C4477" s="7">
        <f>VLOOKUP(A4477,SizeData!A$2:B$3839,2,FALSE)</f>
        <v/>
      </c>
      <c r="D4477" s="31" t="n">
        <v>1</v>
      </c>
      <c r="E4477" s="31" t="inlineStr">
        <is>
          <t>R1772222</t>
        </is>
      </c>
      <c r="F4477" s="82" t="n">
        <v>44819</v>
      </c>
      <c r="G4477" s="83" t="n"/>
    </row>
    <row r="4478">
      <c r="A4478" s="6" t="n">
        <v>38076</v>
      </c>
      <c r="B4478" s="6" t="inlineStr">
        <is>
          <t>TAAKA VODKA 80 (PET)</t>
        </is>
      </c>
      <c r="C4478" s="7">
        <f>VLOOKUP(A4478,SizeData!A$2:B$3839,2,FALSE)</f>
        <v/>
      </c>
      <c r="D4478" s="6" t="n">
        <v>4</v>
      </c>
      <c r="E4478" s="6" t="inlineStr">
        <is>
          <t>R1772897</t>
        </is>
      </c>
      <c r="F4478" s="67" t="n">
        <v>44825</v>
      </c>
      <c r="G4478" s="68" t="n"/>
    </row>
    <row r="4479">
      <c r="A4479" s="6" t="n">
        <v>38076</v>
      </c>
      <c r="B4479" s="6" t="inlineStr">
        <is>
          <t>TAAKA VODKA 80 (PET)</t>
        </is>
      </c>
      <c r="C4479" s="7">
        <f>VLOOKUP(A4479,SizeData!A$2:B$3839,2,FALSE)</f>
        <v/>
      </c>
      <c r="D4479" s="6" t="n">
        <v>6</v>
      </c>
      <c r="E4479" s="6" t="inlineStr">
        <is>
          <t>R1789511</t>
        </is>
      </c>
      <c r="F4479" s="67" t="n">
        <v>44832</v>
      </c>
      <c r="G4479" s="68" t="n"/>
    </row>
    <row r="4480">
      <c r="A4480" s="6" t="n">
        <v>38076</v>
      </c>
      <c r="B4480" s="6" t="inlineStr">
        <is>
          <t>TAAKA VODKA 80 (PET)</t>
        </is>
      </c>
      <c r="C4480" s="7">
        <f>VLOOKUP(A4480,SizeData!A$2:B$3839,2,FALSE)</f>
        <v/>
      </c>
      <c r="D4480" s="6" t="n">
        <v>2</v>
      </c>
      <c r="E4480" s="6" t="inlineStr">
        <is>
          <t>R1792736</t>
        </is>
      </c>
      <c r="F4480" s="67" t="n">
        <v>44834</v>
      </c>
      <c r="G4480" s="68" t="n"/>
    </row>
    <row r="4481">
      <c r="A4481" s="6" t="n">
        <v>38076</v>
      </c>
      <c r="B4481" s="6" t="inlineStr">
        <is>
          <t>TAAKA VODKA 80 (PET)</t>
        </is>
      </c>
      <c r="C4481" s="7">
        <f>VLOOKUP(A4481,SizeData!A$2:B$3839,2,FALSE)</f>
        <v/>
      </c>
      <c r="D4481" s="6" t="n">
        <v>2</v>
      </c>
      <c r="E4481" s="6" t="inlineStr">
        <is>
          <t>R1797305</t>
        </is>
      </c>
      <c r="F4481" s="67" t="n">
        <v>44834</v>
      </c>
      <c r="G4481" s="68" t="n"/>
    </row>
    <row r="4482">
      <c r="A4482" s="6" t="n">
        <v>38076</v>
      </c>
      <c r="B4482" s="6" t="inlineStr">
        <is>
          <t>TAAKA VODKA 80 (PET)</t>
        </is>
      </c>
      <c r="C4482" s="7">
        <f>VLOOKUP(A4482,SizeData!A$2:B$3839,2,FALSE)</f>
        <v/>
      </c>
      <c r="D4482" s="6" t="n">
        <v>3</v>
      </c>
      <c r="E4482" s="6" t="inlineStr">
        <is>
          <t>R1843731</t>
        </is>
      </c>
      <c r="F4482" s="67" t="n">
        <v>44867</v>
      </c>
      <c r="G4482" s="68" t="n"/>
    </row>
    <row r="4483">
      <c r="A4483" s="31" t="n">
        <v>38076</v>
      </c>
      <c r="B4483" s="31" t="inlineStr">
        <is>
          <t>TAAKA VODKA 80 (PET)</t>
        </is>
      </c>
      <c r="C4483" s="32">
        <f>VLOOKUP(A4483,SizeData!A$2:B$3839,2,FALSE)</f>
        <v/>
      </c>
      <c r="D4483" s="31" t="n">
        <v>3</v>
      </c>
      <c r="E4483" s="31" t="inlineStr">
        <is>
          <t>R1851653</t>
        </is>
      </c>
      <c r="F4483" s="82" t="n">
        <v>44867</v>
      </c>
      <c r="G4483" s="83" t="n"/>
    </row>
    <row r="4484">
      <c r="A4484" s="6" t="n">
        <v>38076</v>
      </c>
      <c r="B4484" s="6" t="inlineStr">
        <is>
          <t>TAAKA VODKA 80 (PET)</t>
        </is>
      </c>
      <c r="C4484" s="7">
        <f>VLOOKUP(A4484,SizeData!A$2:B$3839,2,FALSE)</f>
        <v/>
      </c>
      <c r="D4484" s="6" t="n">
        <v>7</v>
      </c>
      <c r="E4484" s="6" t="inlineStr">
        <is>
          <t>R1846759</t>
        </is>
      </c>
      <c r="F4484" s="67" t="n">
        <v>44872</v>
      </c>
      <c r="G4484" s="68" t="n"/>
    </row>
    <row r="4485">
      <c r="A4485" s="6" t="n">
        <v>38076</v>
      </c>
      <c r="B4485" s="6" t="inlineStr">
        <is>
          <t>TAAKA VODKA 80 (PET)</t>
        </is>
      </c>
      <c r="C4485" s="7">
        <f>VLOOKUP(A4485,SizeData!A$2:B$3839,2,FALSE)</f>
        <v/>
      </c>
      <c r="D4485" s="6" t="n">
        <v>2</v>
      </c>
      <c r="E4485" s="6" t="inlineStr">
        <is>
          <t>R1866301</t>
        </is>
      </c>
      <c r="F4485" s="67" t="n">
        <v>44873</v>
      </c>
      <c r="G4485" s="68" t="n"/>
    </row>
    <row r="4486">
      <c r="A4486" s="6" t="n">
        <v>38076</v>
      </c>
      <c r="B4486" s="6" t="inlineStr">
        <is>
          <t>TAAKA VODKA 80 (PET)</t>
        </is>
      </c>
      <c r="C4486" s="7">
        <f>VLOOKUP(A4486,SizeData!A$2:B$3839,2,FALSE)</f>
        <v/>
      </c>
      <c r="D4486" s="6" t="n">
        <v>2</v>
      </c>
      <c r="E4486" s="6" t="inlineStr">
        <is>
          <t>R1880024</t>
        </is>
      </c>
      <c r="F4486" s="67" t="n">
        <v>44873</v>
      </c>
      <c r="G4486" s="110" t="inlineStr">
        <is>
          <t>Avg: 19/Month according to Jan - Nov -2022</t>
        </is>
      </c>
    </row>
    <row r="4487">
      <c r="A4487" s="6" t="n">
        <v>38076</v>
      </c>
      <c r="B4487" s="6" t="inlineStr">
        <is>
          <t>TAAKA VODKA 80 (PET)</t>
        </is>
      </c>
      <c r="C4487" s="7">
        <f>VLOOKUP(A4487,SizeData!A$2:B$3839,2,FALSE)</f>
        <v/>
      </c>
      <c r="D4487" s="6" t="n">
        <v>10</v>
      </c>
      <c r="E4487" s="6" t="inlineStr">
        <is>
          <t>R1861514</t>
        </is>
      </c>
      <c r="F4487" s="67" t="n">
        <v>44874</v>
      </c>
      <c r="G4487" s="68" t="n"/>
    </row>
    <row r="4488">
      <c r="A4488" s="6" t="n">
        <v>38076</v>
      </c>
      <c r="B4488" s="6" t="inlineStr">
        <is>
          <t>TAAKA VODKA 80 (PET)</t>
        </is>
      </c>
      <c r="C4488" s="7">
        <f>VLOOKUP(A4488,SizeData!A$2:B$3839,2,FALSE)</f>
        <v/>
      </c>
      <c r="D4488" s="6" t="n">
        <v>3</v>
      </c>
      <c r="E4488" s="6" t="inlineStr">
        <is>
          <t>R1858355</t>
        </is>
      </c>
      <c r="F4488" s="67" t="n">
        <v>44880</v>
      </c>
      <c r="G4488" s="68" t="n"/>
    </row>
    <row r="4489">
      <c r="A4489" s="6" t="n">
        <v>38076</v>
      </c>
      <c r="B4489" s="6" t="inlineStr">
        <is>
          <t>TAAKA VODKA 80 (PET)</t>
        </is>
      </c>
      <c r="C4489" s="7">
        <f>VLOOKUP(A4489,SizeData!A$2:B$3839,2,FALSE)</f>
        <v/>
      </c>
      <c r="D4489" s="6" t="n">
        <v>1</v>
      </c>
      <c r="E4489" s="6" t="inlineStr">
        <is>
          <t>R1883661</t>
        </is>
      </c>
      <c r="F4489" s="67" t="n">
        <v>44893</v>
      </c>
      <c r="G4489" s="68" t="n"/>
    </row>
    <row r="4490">
      <c r="A4490" s="6" t="n">
        <v>790900</v>
      </c>
      <c r="B4490" s="6" t="inlineStr">
        <is>
          <t>TAKARA PLUM</t>
        </is>
      </c>
      <c r="C4490" s="7">
        <f>VLOOKUP(A4490,SizeData!A$2:B$3839,2,FALSE)</f>
        <v/>
      </c>
      <c r="D4490" s="6" t="n">
        <v>1</v>
      </c>
      <c r="E4490" s="6" t="inlineStr">
        <is>
          <t>R1471479</t>
        </is>
      </c>
      <c r="F4490" s="67" t="n">
        <v>44614</v>
      </c>
      <c r="G4490" s="68" t="n"/>
    </row>
    <row r="4491">
      <c r="A4491" s="6" t="n">
        <v>28863</v>
      </c>
      <c r="B4491" s="6" t="inlineStr">
        <is>
          <t>TANQUERAY GIN</t>
        </is>
      </c>
      <c r="C4491" s="7">
        <f>VLOOKUP(A4491,SizeData!A$2:B$3839,2,FALSE)</f>
        <v/>
      </c>
      <c r="D4491" s="6" t="n">
        <v>1</v>
      </c>
      <c r="E4491" s="6" t="inlineStr">
        <is>
          <t>R1373904</t>
        </is>
      </c>
      <c r="F4491" s="67" t="n">
        <v>44545</v>
      </c>
      <c r="G4491" s="68" t="n"/>
    </row>
    <row r="4492">
      <c r="A4492" s="6" t="n">
        <v>28863</v>
      </c>
      <c r="B4492" s="6" t="inlineStr">
        <is>
          <t>TANQUERAY GIN</t>
        </is>
      </c>
      <c r="C4492" s="7">
        <f>VLOOKUP(A4492,SizeData!A$2:B$3839,2,FALSE)</f>
        <v/>
      </c>
      <c r="D4492" s="6" t="n">
        <v>1</v>
      </c>
      <c r="E4492" s="6" t="inlineStr">
        <is>
          <t>R1547143</t>
        </is>
      </c>
      <c r="F4492" s="67" t="n">
        <v>44655</v>
      </c>
      <c r="G4492" s="68" t="n"/>
    </row>
    <row r="4493">
      <c r="A4493" s="6" t="n">
        <v>28863</v>
      </c>
      <c r="B4493" s="6" t="inlineStr">
        <is>
          <t>TANQUERAY GIN</t>
        </is>
      </c>
      <c r="C4493" s="7">
        <f>VLOOKUP(A4493,SizeData!A$2:B$3839,2,FALSE)</f>
        <v/>
      </c>
      <c r="D4493" s="6" t="n">
        <v>1</v>
      </c>
      <c r="E4493" s="6" t="inlineStr">
        <is>
          <t>R1644630</t>
        </is>
      </c>
      <c r="F4493" s="67" t="n">
        <v>44725</v>
      </c>
      <c r="G4493" s="68" t="n"/>
    </row>
    <row r="4494">
      <c r="A4494" s="6" t="n">
        <v>28863</v>
      </c>
      <c r="B4494" s="6" t="inlineStr">
        <is>
          <t>TANQUERAY GIN</t>
        </is>
      </c>
      <c r="C4494" s="7">
        <f>VLOOKUP(A4494,SizeData!A$2:B$3839,2,FALSE)</f>
        <v/>
      </c>
      <c r="D4494" s="6" t="n">
        <v>1</v>
      </c>
      <c r="E4494" s="6" t="inlineStr">
        <is>
          <t>R1843731</t>
        </is>
      </c>
      <c r="F4494" s="67" t="n">
        <v>44867</v>
      </c>
      <c r="G4494" s="68" t="n"/>
    </row>
    <row r="4495">
      <c r="A4495" s="6" t="n">
        <v>28864</v>
      </c>
      <c r="B4495" s="6" t="inlineStr">
        <is>
          <t>TANQUERAY GIN</t>
        </is>
      </c>
      <c r="C4495" s="7">
        <f>VLOOKUP(A4495,SizeData!A$2:B$3839,2,FALSE)</f>
        <v/>
      </c>
      <c r="D4495" s="6" t="n">
        <v>1</v>
      </c>
      <c r="E4495" s="6" t="inlineStr">
        <is>
          <t>R1829977</t>
        </is>
      </c>
      <c r="F4495" s="67" t="n">
        <v>44861</v>
      </c>
      <c r="G4495" s="68" t="n"/>
    </row>
    <row r="4496">
      <c r="A4496" s="6" t="n">
        <v>28864</v>
      </c>
      <c r="B4496" s="6" t="inlineStr">
        <is>
          <t>TANQUERAY GIN</t>
        </is>
      </c>
      <c r="C4496" s="7">
        <f>VLOOKUP(A4496,SizeData!A$2:B$3839,2,FALSE)</f>
        <v/>
      </c>
      <c r="D4496" s="6" t="n">
        <v>1</v>
      </c>
      <c r="E4496" s="6" t="inlineStr">
        <is>
          <t>R1843731</t>
        </is>
      </c>
      <c r="F4496" s="67" t="n">
        <v>44867</v>
      </c>
      <c r="G4496" s="68" t="n"/>
    </row>
    <row r="4497">
      <c r="A4497" s="6" t="n">
        <v>28866</v>
      </c>
      <c r="B4497" s="6" t="inlineStr">
        <is>
          <t>TANQUERAY GIN</t>
        </is>
      </c>
      <c r="C4497" s="7">
        <f>VLOOKUP(A4497,SizeData!A$2:B$3839,2,FALSE)</f>
        <v/>
      </c>
      <c r="D4497" s="6" t="n">
        <v>2</v>
      </c>
      <c r="E4497" s="6" t="inlineStr">
        <is>
          <t>R1373904</t>
        </is>
      </c>
      <c r="F4497" s="67" t="n">
        <v>44545</v>
      </c>
      <c r="G4497" s="68" t="n"/>
    </row>
    <row r="4498">
      <c r="A4498" s="6" t="n">
        <v>28866</v>
      </c>
      <c r="B4498" s="6" t="inlineStr">
        <is>
          <t>TANQUERAY GIN</t>
        </is>
      </c>
      <c r="C4498" s="7">
        <f>VLOOKUP(A4498,SizeData!A$2:B$3839,2,FALSE)</f>
        <v/>
      </c>
      <c r="D4498" s="6" t="n">
        <v>3</v>
      </c>
      <c r="E4498" s="6" t="inlineStr">
        <is>
          <t>R1373904</t>
        </is>
      </c>
      <c r="F4498" s="67" t="n">
        <v>44545</v>
      </c>
      <c r="G4498" s="68" t="n"/>
    </row>
    <row r="4499">
      <c r="A4499" s="6" t="n">
        <v>28866</v>
      </c>
      <c r="B4499" s="6" t="inlineStr">
        <is>
          <t>TANQUERAY GIN</t>
        </is>
      </c>
      <c r="C4499" s="7">
        <f>VLOOKUP(A4499,SizeData!A$2:B$3839,2,FALSE)</f>
        <v/>
      </c>
      <c r="D4499" s="6" t="n">
        <v>2</v>
      </c>
      <c r="E4499" s="6" t="inlineStr">
        <is>
          <t>R1568191</t>
        </is>
      </c>
      <c r="F4499" s="67" t="n">
        <v>44671</v>
      </c>
      <c r="G4499" s="68" t="n"/>
    </row>
    <row r="4500">
      <c r="A4500" s="6" t="n">
        <v>28866</v>
      </c>
      <c r="B4500" s="6" t="inlineStr">
        <is>
          <t>TANQUERAY GIN</t>
        </is>
      </c>
      <c r="C4500" s="7">
        <f>VLOOKUP(A4500,SizeData!A$2:B$3839,2,FALSE)</f>
        <v/>
      </c>
      <c r="D4500" s="6" t="n">
        <v>5</v>
      </c>
      <c r="E4500" s="6" t="inlineStr">
        <is>
          <t>R1889340</t>
        </is>
      </c>
      <c r="F4500" s="67" t="n">
        <v>44902</v>
      </c>
      <c r="G4500" s="68" t="n"/>
    </row>
    <row r="4501">
      <c r="A4501" s="6" t="n">
        <v>28868</v>
      </c>
      <c r="B4501" s="6" t="inlineStr">
        <is>
          <t>TANQUERAY GIN</t>
        </is>
      </c>
      <c r="C4501" s="7">
        <f>VLOOKUP(A4501,SizeData!A$2:B$3839,2,FALSE)</f>
        <v/>
      </c>
      <c r="D4501" s="6" t="n">
        <v>1</v>
      </c>
      <c r="E4501" s="6" t="inlineStr">
        <is>
          <t>R1569460</t>
        </is>
      </c>
      <c r="F4501" s="67" t="n">
        <v>44672</v>
      </c>
      <c r="G4501" s="68" t="n"/>
    </row>
    <row r="4502">
      <c r="A4502" s="6" t="n">
        <v>28868</v>
      </c>
      <c r="B4502" s="6" t="inlineStr">
        <is>
          <t>TANQUERAY GIN</t>
        </is>
      </c>
      <c r="C4502" s="7">
        <f>VLOOKUP(A4502,SizeData!A$2:B$3839,2,FALSE)</f>
        <v/>
      </c>
      <c r="D4502" s="6" t="n">
        <v>1</v>
      </c>
      <c r="E4502" s="6" t="inlineStr">
        <is>
          <t>R1583381</t>
        </is>
      </c>
      <c r="F4502" s="67" t="n">
        <v>44679</v>
      </c>
      <c r="G4502" s="68" t="n"/>
    </row>
    <row r="4503">
      <c r="A4503" s="6" t="n">
        <v>28868</v>
      </c>
      <c r="B4503" s="6" t="inlineStr">
        <is>
          <t>TANQUERAY GIN</t>
        </is>
      </c>
      <c r="C4503" s="7">
        <f>VLOOKUP(A4503,SizeData!A$2:B$3839,2,FALSE)</f>
        <v/>
      </c>
      <c r="D4503" s="6" t="n">
        <v>1</v>
      </c>
      <c r="E4503" s="6" t="inlineStr">
        <is>
          <t>R1613943</t>
        </is>
      </c>
      <c r="F4503" s="67" t="n">
        <v>44700</v>
      </c>
      <c r="G4503" s="68" t="n"/>
    </row>
    <row r="4504">
      <c r="A4504" s="6" t="n">
        <v>28868</v>
      </c>
      <c r="B4504" s="6" t="inlineStr">
        <is>
          <t>TANQUERAY GIN</t>
        </is>
      </c>
      <c r="C4504" s="7">
        <f>VLOOKUP(A4504,SizeData!A$2:B$3839,2,FALSE)</f>
        <v/>
      </c>
      <c r="D4504" s="6" t="n">
        <v>2</v>
      </c>
      <c r="E4504" s="6" t="inlineStr">
        <is>
          <t>R1684174</t>
        </is>
      </c>
      <c r="F4504" s="67" t="n">
        <v>44760</v>
      </c>
      <c r="G4504" s="68" t="n"/>
    </row>
    <row r="4505">
      <c r="A4505" s="6" t="n">
        <v>28868</v>
      </c>
      <c r="B4505" s="6" t="inlineStr">
        <is>
          <t>TANQUERAY GIN</t>
        </is>
      </c>
      <c r="C4505" s="7">
        <f>VLOOKUP(A4505,SizeData!A$2:B$3839,2,FALSE)</f>
        <v/>
      </c>
      <c r="D4505" s="6" t="n">
        <v>1</v>
      </c>
      <c r="E4505" s="6" t="inlineStr">
        <is>
          <t>R1791500</t>
        </is>
      </c>
      <c r="F4505" s="67" t="n">
        <v>44835</v>
      </c>
      <c r="G4505" s="68" t="n"/>
    </row>
    <row r="4506">
      <c r="A4506" s="6" t="n">
        <v>28890</v>
      </c>
      <c r="B4506" s="6" t="inlineStr">
        <is>
          <t>TANQUERAY RANGPUR DISTILLED GIN</t>
        </is>
      </c>
      <c r="C4506" s="7">
        <f>VLOOKUP(A4506,SizeData!A$2:B$3839,2,FALSE)</f>
        <v/>
      </c>
      <c r="D4506" s="6" t="n">
        <v>1</v>
      </c>
      <c r="E4506" s="6" t="inlineStr">
        <is>
          <t>R1432109</t>
        </is>
      </c>
      <c r="F4506" s="67" t="n">
        <v>44585</v>
      </c>
      <c r="G4506" s="68" t="n"/>
    </row>
    <row r="4507">
      <c r="A4507" s="6" t="n">
        <v>28890</v>
      </c>
      <c r="B4507" s="6" t="inlineStr">
        <is>
          <t>TANQUERAY RANGPUR DISTILLED GIN</t>
        </is>
      </c>
      <c r="C4507" s="7">
        <f>VLOOKUP(A4507,SizeData!A$2:B$3839,2,FALSE)</f>
        <v/>
      </c>
      <c r="D4507" s="6" t="n">
        <v>1</v>
      </c>
      <c r="E4507" s="6" t="inlineStr">
        <is>
          <t>R1684635</t>
        </is>
      </c>
      <c r="F4507" s="67" t="n">
        <v>44761</v>
      </c>
      <c r="G4507" s="68" t="n"/>
    </row>
    <row r="4508">
      <c r="A4508" s="6" t="n">
        <v>93567</v>
      </c>
      <c r="B4508" s="6" t="inlineStr">
        <is>
          <t>TAYLOR DESSERTS PORT</t>
        </is>
      </c>
      <c r="C4508" s="7">
        <f>VLOOKUP(A4508,SizeData!A$2:B$3839,2,FALSE)</f>
        <v/>
      </c>
      <c r="D4508" s="6" t="n">
        <v>5</v>
      </c>
      <c r="E4508" s="6" t="inlineStr">
        <is>
          <t>R1580152</t>
        </is>
      </c>
      <c r="F4508" s="67" t="n">
        <v>44666</v>
      </c>
      <c r="G4508" s="68" t="n"/>
    </row>
    <row r="4509">
      <c r="A4509" s="6" t="n">
        <v>93567</v>
      </c>
      <c r="B4509" s="6" t="inlineStr">
        <is>
          <t>TAYLOR DESSERTS PORT</t>
        </is>
      </c>
      <c r="C4509" s="7">
        <f>VLOOKUP(A4509,SizeData!A$2:B$3839,2,FALSE)</f>
        <v/>
      </c>
      <c r="D4509" s="6" t="n">
        <v>1</v>
      </c>
      <c r="E4509" s="6" t="inlineStr">
        <is>
          <t>R1591879</t>
        </is>
      </c>
      <c r="F4509" s="67" t="n">
        <v>44687</v>
      </c>
      <c r="G4509" s="68" t="n"/>
    </row>
    <row r="4510">
      <c r="A4510" s="6" t="n">
        <v>93567</v>
      </c>
      <c r="B4510" s="6" t="inlineStr">
        <is>
          <t>TAYLOR DESSERTS PORT</t>
        </is>
      </c>
      <c r="C4510" s="7">
        <f>VLOOKUP(A4510,SizeData!A$2:B$3839,2,FALSE)</f>
        <v/>
      </c>
      <c r="D4510" s="6" t="n">
        <v>4</v>
      </c>
      <c r="E4510" s="6" t="inlineStr">
        <is>
          <t>R1591879</t>
        </is>
      </c>
      <c r="F4510" s="67" t="n">
        <v>44687</v>
      </c>
      <c r="G4510" s="68" t="n"/>
    </row>
    <row r="4511">
      <c r="A4511" s="6" t="n">
        <v>93567</v>
      </c>
      <c r="B4511" s="6" t="inlineStr">
        <is>
          <t>TAYLOR DESSERTS PORT</t>
        </is>
      </c>
      <c r="C4511" s="7">
        <f>VLOOKUP(A4511,SizeData!A$2:B$3839,2,FALSE)</f>
        <v/>
      </c>
      <c r="D4511" s="6" t="n">
        <v>5</v>
      </c>
      <c r="E4511" s="6" t="inlineStr">
        <is>
          <t>R1628251</t>
        </is>
      </c>
      <c r="F4511" s="67" t="n">
        <v>44713</v>
      </c>
      <c r="G4511" s="68" t="n"/>
    </row>
    <row r="4512">
      <c r="A4512" s="6" t="n">
        <v>93567</v>
      </c>
      <c r="B4512" s="6" t="inlineStr">
        <is>
          <t>TAYLOR DESSERTS PORT</t>
        </is>
      </c>
      <c r="C4512" s="7">
        <f>VLOOKUP(A4512,SizeData!A$2:B$3839,2,FALSE)</f>
        <v/>
      </c>
      <c r="D4512" s="6" t="n">
        <v>4</v>
      </c>
      <c r="E4512" s="6" t="inlineStr">
        <is>
          <t>R1652504</t>
        </is>
      </c>
      <c r="F4512" s="67" t="n">
        <v>44726</v>
      </c>
      <c r="G4512" s="68" t="n"/>
    </row>
    <row r="4513">
      <c r="A4513" s="6" t="n">
        <v>93567</v>
      </c>
      <c r="B4513" s="6" t="inlineStr">
        <is>
          <t>TAYLOR DESSERTS PORT</t>
        </is>
      </c>
      <c r="C4513" s="7">
        <f>VLOOKUP(A4513,SizeData!A$2:B$3839,2,FALSE)</f>
        <v/>
      </c>
      <c r="D4513" s="6" t="n">
        <v>8</v>
      </c>
      <c r="E4513" s="6" t="inlineStr">
        <is>
          <t>R1672387</t>
        </is>
      </c>
      <c r="F4513" s="67" t="n">
        <v>44747</v>
      </c>
      <c r="G4513" s="68" t="n"/>
    </row>
    <row r="4514">
      <c r="A4514" s="6" t="n">
        <v>93567</v>
      </c>
      <c r="B4514" s="6" t="inlineStr">
        <is>
          <t>TAYLOR DESSERTS PORT</t>
        </is>
      </c>
      <c r="C4514" s="7">
        <f>VLOOKUP(A4514,SizeData!A$2:B$3839,2,FALSE)</f>
        <v/>
      </c>
      <c r="D4514" s="6" t="n">
        <v>15</v>
      </c>
      <c r="E4514" s="6" t="inlineStr">
        <is>
          <t>R1697906</t>
        </is>
      </c>
      <c r="F4514" s="67" t="n">
        <v>44761</v>
      </c>
      <c r="G4514" s="68" t="n"/>
    </row>
    <row r="4515">
      <c r="A4515" s="6" t="n">
        <v>93567</v>
      </c>
      <c r="B4515" s="6" t="inlineStr">
        <is>
          <t>TAYLOR DESSERTS PORT</t>
        </is>
      </c>
      <c r="C4515" s="7">
        <f>VLOOKUP(A4515,SizeData!A$2:B$3839,2,FALSE)</f>
        <v/>
      </c>
      <c r="D4515" s="6" t="n">
        <v>15</v>
      </c>
      <c r="E4515" s="6" t="inlineStr">
        <is>
          <t>R1707032</t>
        </is>
      </c>
      <c r="F4515" s="67" t="n">
        <v>44771</v>
      </c>
      <c r="G4515" s="68" t="n"/>
    </row>
    <row r="4516">
      <c r="A4516" s="26" t="n">
        <v>93567</v>
      </c>
      <c r="B4516" s="26" t="inlineStr">
        <is>
          <t>TAYLOR DESSERTS PORT</t>
        </is>
      </c>
      <c r="C4516" s="7">
        <f>VLOOKUP(A4516,SizeData!A$2:B$3839,2,FALSE)</f>
        <v/>
      </c>
      <c r="D4516" s="26" t="n">
        <v>4</v>
      </c>
      <c r="E4516" s="26" t="inlineStr">
        <is>
          <t>R1746324</t>
        </is>
      </c>
      <c r="F4516" s="72" t="n">
        <v>44796</v>
      </c>
      <c r="G4516" s="73" t="n"/>
    </row>
    <row r="4517">
      <c r="A4517" s="6" t="n">
        <v>93567</v>
      </c>
      <c r="B4517" s="6" t="inlineStr">
        <is>
          <t>TAYLOR DESSERTS PORT</t>
        </is>
      </c>
      <c r="C4517" s="7">
        <f>VLOOKUP(A4517,SizeData!A$2:B$3839,2,FALSE)</f>
        <v/>
      </c>
      <c r="D4517" s="6" t="n">
        <v>3</v>
      </c>
      <c r="E4517" s="6" t="inlineStr">
        <is>
          <t>R1746474</t>
        </is>
      </c>
      <c r="F4517" s="67" t="n">
        <v>44803</v>
      </c>
      <c r="G4517" s="68" t="n"/>
    </row>
    <row r="4518">
      <c r="A4518" s="6" t="n">
        <v>93567</v>
      </c>
      <c r="B4518" s="6" t="inlineStr">
        <is>
          <t>TAYLOR DESSERTS PORT</t>
        </is>
      </c>
      <c r="C4518" s="7">
        <f>VLOOKUP(A4518,SizeData!A$2:B$3839,2,FALSE)</f>
        <v/>
      </c>
      <c r="D4518" s="6" t="n">
        <v>6</v>
      </c>
      <c r="E4518" s="6" t="inlineStr">
        <is>
          <t>R1765359</t>
        </is>
      </c>
      <c r="F4518" s="67" t="n">
        <v>44810</v>
      </c>
      <c r="G4518" s="68" t="n"/>
    </row>
    <row r="4519">
      <c r="A4519" s="6" t="n">
        <v>93567</v>
      </c>
      <c r="B4519" s="6" t="inlineStr">
        <is>
          <t>TAYLOR DESSERTS PORT</t>
        </is>
      </c>
      <c r="C4519" s="7">
        <f>VLOOKUP(A4519,SizeData!A$2:B$3839,2,FALSE)</f>
        <v/>
      </c>
      <c r="D4519" s="6" t="n">
        <v>4</v>
      </c>
      <c r="E4519" s="6" t="inlineStr">
        <is>
          <t>R1772446</t>
        </is>
      </c>
      <c r="F4519" s="67" t="n">
        <v>44821</v>
      </c>
      <c r="G4519" s="68" t="n"/>
    </row>
    <row r="4520">
      <c r="A4520" s="6" t="n">
        <v>93567</v>
      </c>
      <c r="B4520" s="6" t="inlineStr">
        <is>
          <t>TAYLOR DESSERTS PORT</t>
        </is>
      </c>
      <c r="C4520" s="7">
        <f>VLOOKUP(A4520,SizeData!A$2:B$3839,2,FALSE)</f>
        <v/>
      </c>
      <c r="D4520" s="6" t="n">
        <v>10</v>
      </c>
      <c r="E4520" s="6" t="inlineStr">
        <is>
          <t>R1769193</t>
        </is>
      </c>
      <c r="F4520" s="67" t="n">
        <v>44826</v>
      </c>
      <c r="G4520" s="68" t="n"/>
    </row>
    <row r="4521">
      <c r="A4521" s="6" t="n">
        <v>93567</v>
      </c>
      <c r="B4521" s="6" t="inlineStr">
        <is>
          <t>TAYLOR DESSERTS PORT</t>
        </is>
      </c>
      <c r="C4521" s="7">
        <f>VLOOKUP(A4521,SizeData!A$2:B$3839,2,FALSE)</f>
        <v/>
      </c>
      <c r="D4521" s="6" t="n">
        <v>3</v>
      </c>
      <c r="E4521" s="6" t="inlineStr">
        <is>
          <t>R1808552</t>
        </is>
      </c>
      <c r="F4521" s="67" t="n">
        <v>44841</v>
      </c>
      <c r="G4521" s="68" t="n"/>
    </row>
    <row r="4522">
      <c r="A4522" s="6" t="n">
        <v>93567</v>
      </c>
      <c r="B4522" s="6" t="inlineStr">
        <is>
          <t>TAYLOR DESSERTS PORT</t>
        </is>
      </c>
      <c r="C4522" s="7">
        <f>VLOOKUP(A4522,SizeData!A$2:B$3839,2,FALSE)</f>
        <v/>
      </c>
      <c r="D4522" s="6" t="n">
        <v>4</v>
      </c>
      <c r="E4522" s="6" t="inlineStr">
        <is>
          <t>R1817613</t>
        </is>
      </c>
      <c r="F4522" s="67" t="n">
        <v>44849</v>
      </c>
      <c r="G4522" s="68" t="n"/>
    </row>
    <row r="4523">
      <c r="A4523" s="6" t="n">
        <v>93567</v>
      </c>
      <c r="B4523" s="6" t="inlineStr">
        <is>
          <t>TAYLOR DESSERTS PORT</t>
        </is>
      </c>
      <c r="C4523" s="7">
        <f>VLOOKUP(A4523,SizeData!A$2:B$3839,2,FALSE)</f>
        <v/>
      </c>
      <c r="D4523" s="6" t="n">
        <v>2</v>
      </c>
      <c r="E4523" s="6" t="inlineStr">
        <is>
          <t>R1830533</t>
        </is>
      </c>
      <c r="F4523" s="67" t="n">
        <v>44852</v>
      </c>
      <c r="G4523" s="68" t="n"/>
    </row>
    <row r="4524">
      <c r="A4524" s="6" t="n">
        <v>93567</v>
      </c>
      <c r="B4524" s="6" t="inlineStr">
        <is>
          <t>TAYLOR DESSERTS PORT</t>
        </is>
      </c>
      <c r="C4524" s="7">
        <f>VLOOKUP(A4524,SizeData!A$2:B$3839,2,FALSE)</f>
        <v/>
      </c>
      <c r="D4524" s="6" t="n">
        <v>4</v>
      </c>
      <c r="E4524" s="6" t="inlineStr">
        <is>
          <t>R1835862</t>
        </is>
      </c>
      <c r="F4524" s="67" t="n">
        <v>44856</v>
      </c>
      <c r="G4524" s="68" t="n"/>
    </row>
    <row r="4525">
      <c r="A4525" s="6" t="n">
        <v>93567</v>
      </c>
      <c r="B4525" s="6" t="inlineStr">
        <is>
          <t>TAYLOR DESSERTS PORT</t>
        </is>
      </c>
      <c r="C4525" s="7">
        <f>VLOOKUP(A4525,SizeData!A$2:B$3839,2,FALSE)</f>
        <v/>
      </c>
      <c r="D4525" s="6" t="n">
        <v>3</v>
      </c>
      <c r="E4525" s="6" t="inlineStr">
        <is>
          <t>R1841411</t>
        </is>
      </c>
      <c r="F4525" s="67" t="n">
        <v>44859</v>
      </c>
      <c r="G4525" s="68" t="n"/>
    </row>
    <row r="4526">
      <c r="A4526" s="6" t="n">
        <v>93567</v>
      </c>
      <c r="B4526" s="6" t="inlineStr">
        <is>
          <t>TAYLOR DESSERTS PORT</t>
        </is>
      </c>
      <c r="C4526" s="7">
        <f>VLOOKUP(A4526,SizeData!A$2:B$3839,2,FALSE)</f>
        <v/>
      </c>
      <c r="D4526" s="6" t="n">
        <v>5</v>
      </c>
      <c r="E4526" s="6" t="inlineStr">
        <is>
          <t>R1840965</t>
        </is>
      </c>
      <c r="F4526" s="67" t="n">
        <v>44863</v>
      </c>
      <c r="G4526" s="68" t="n"/>
    </row>
    <row r="4527">
      <c r="A4527" s="6" t="n">
        <v>93567</v>
      </c>
      <c r="B4527" s="6" t="inlineStr">
        <is>
          <t>TAYLOR DESSERTS PORT</t>
        </is>
      </c>
      <c r="C4527" s="7">
        <f>VLOOKUP(A4527,SizeData!A$2:B$3839,2,FALSE)</f>
        <v/>
      </c>
      <c r="D4527" s="6" t="n">
        <v>6</v>
      </c>
      <c r="E4527" s="6" t="inlineStr">
        <is>
          <t>R1852512</t>
        </is>
      </c>
      <c r="F4527" s="67" t="n">
        <v>44867</v>
      </c>
      <c r="G4527" s="68" t="n"/>
    </row>
    <row r="4528">
      <c r="A4528" s="6" t="n">
        <v>93567</v>
      </c>
      <c r="B4528" s="6" t="inlineStr">
        <is>
          <t>TAYLOR DESSERTS PORT</t>
        </is>
      </c>
      <c r="C4528" s="7">
        <f>VLOOKUP(A4528,SizeData!A$2:B$3839,2,FALSE)</f>
        <v/>
      </c>
      <c r="D4528" s="6" t="n">
        <v>7</v>
      </c>
      <c r="E4528" s="6" t="inlineStr">
        <is>
          <t>R1848183</t>
        </is>
      </c>
      <c r="F4528" s="67" t="n">
        <v>44872</v>
      </c>
      <c r="G4528" s="68" t="n"/>
    </row>
    <row r="4529">
      <c r="A4529" s="26" t="n">
        <v>93567</v>
      </c>
      <c r="B4529" s="26" t="inlineStr">
        <is>
          <t>TAYLOR DESSERTS PORT</t>
        </is>
      </c>
      <c r="C4529" s="75">
        <f>VLOOKUP(A4529,SizeData!A$2:B$3839,2,FALSE)</f>
        <v/>
      </c>
      <c r="D4529" s="26" t="n">
        <v>4</v>
      </c>
      <c r="E4529" s="26" t="inlineStr">
        <is>
          <t>R1866529</t>
        </is>
      </c>
      <c r="F4529" s="72" t="n">
        <v>44876</v>
      </c>
      <c r="G4529" s="73" t="n"/>
    </row>
    <row r="4530">
      <c r="A4530" s="6" t="n">
        <v>93567</v>
      </c>
      <c r="B4530" s="6" t="inlineStr">
        <is>
          <t>TAYLOR DESSERTS PORT</t>
        </is>
      </c>
      <c r="C4530" s="7">
        <f>VLOOKUP(A4530,SizeData!A$2:B$3839,2,FALSE)</f>
        <v/>
      </c>
      <c r="D4530" s="6" t="n">
        <v>6</v>
      </c>
      <c r="E4530" s="6" t="inlineStr">
        <is>
          <t>R1875960</t>
        </is>
      </c>
      <c r="F4530" s="67" t="n">
        <v>44884</v>
      </c>
      <c r="G4530" s="68" t="n"/>
    </row>
    <row r="4531">
      <c r="A4531" s="6" t="n">
        <v>93567</v>
      </c>
      <c r="B4531" s="6" t="inlineStr">
        <is>
          <t>TAYLOR DESSERTS PORT</t>
        </is>
      </c>
      <c r="C4531" s="7">
        <f>VLOOKUP(A4531,SizeData!A$2:B$3839,2,FALSE)</f>
        <v/>
      </c>
      <c r="D4531" s="6" t="n">
        <v>10</v>
      </c>
      <c r="E4531" s="6" t="inlineStr">
        <is>
          <t>R1879001</t>
        </is>
      </c>
      <c r="F4531" s="67" t="n">
        <v>44888</v>
      </c>
      <c r="G4531" s="68" t="n"/>
    </row>
    <row r="4532">
      <c r="A4532" s="6" t="n">
        <v>93567</v>
      </c>
      <c r="B4532" s="6" t="inlineStr">
        <is>
          <t>TAYLOR DESSERTS PORT</t>
        </is>
      </c>
      <c r="C4532" s="7">
        <f>VLOOKUP(A4532,SizeData!A$2:B$3839,2,FALSE)</f>
        <v/>
      </c>
      <c r="D4532" s="6" t="n">
        <v>10</v>
      </c>
      <c r="E4532" s="6" t="inlineStr">
        <is>
          <t>R1893836</t>
        </is>
      </c>
      <c r="F4532" s="67" t="n">
        <v>44903</v>
      </c>
      <c r="G4532" s="68" t="n"/>
    </row>
    <row r="4533">
      <c r="A4533" s="6" t="n">
        <v>93568</v>
      </c>
      <c r="B4533" s="6" t="inlineStr">
        <is>
          <t>TAYLOR DESSERTS PORT</t>
        </is>
      </c>
      <c r="C4533" s="7">
        <f>VLOOKUP(A4533,SizeData!A$2:B$3839,2,FALSE)</f>
        <v/>
      </c>
      <c r="D4533" s="6" t="n">
        <v>5</v>
      </c>
      <c r="E4533" s="6" t="inlineStr">
        <is>
          <t>R1736016</t>
        </is>
      </c>
      <c r="F4533" s="67" t="n">
        <v>44783</v>
      </c>
      <c r="G4533" s="68" t="n"/>
    </row>
    <row r="4534">
      <c r="A4534" s="6" t="n">
        <v>93568</v>
      </c>
      <c r="B4534" s="6" t="inlineStr">
        <is>
          <t>TAYLOR DESSERTS PORT</t>
        </is>
      </c>
      <c r="C4534" s="7">
        <f>VLOOKUP(A4534,SizeData!A$2:B$3839,2,FALSE)</f>
        <v/>
      </c>
      <c r="D4534" s="6" t="n">
        <v>1</v>
      </c>
      <c r="E4534" s="6" t="inlineStr">
        <is>
          <t>R1782657</t>
        </is>
      </c>
      <c r="F4534" s="67" t="n">
        <v>44828</v>
      </c>
      <c r="G4534" s="68" t="n"/>
    </row>
    <row r="4535">
      <c r="A4535" s="6" t="n">
        <v>93568</v>
      </c>
      <c r="B4535" s="6" t="inlineStr">
        <is>
          <t>TAYLOR DESSERTS PORT</t>
        </is>
      </c>
      <c r="C4535" s="7">
        <f>VLOOKUP(A4535,SizeData!A$2:B$3839,2,FALSE)</f>
        <v/>
      </c>
      <c r="D4535" s="6" t="n">
        <v>1</v>
      </c>
      <c r="E4535" s="6" t="inlineStr">
        <is>
          <t>R1837216</t>
        </is>
      </c>
      <c r="F4535" s="67" t="n">
        <v>44855</v>
      </c>
      <c r="G4535" s="68" t="n"/>
    </row>
    <row r="4536">
      <c r="A4536" s="6" t="n">
        <v>93568</v>
      </c>
      <c r="B4536" s="6" t="inlineStr">
        <is>
          <t>TAYLOR DESSERTS PORT</t>
        </is>
      </c>
      <c r="C4536" s="7">
        <f>VLOOKUP(A4536,SizeData!A$2:B$3839,2,FALSE)</f>
        <v/>
      </c>
      <c r="D4536" s="6" t="n">
        <v>2</v>
      </c>
      <c r="E4536" s="6" t="inlineStr">
        <is>
          <t>R1841411</t>
        </is>
      </c>
      <c r="F4536" s="67" t="n">
        <v>44859</v>
      </c>
      <c r="G4536" s="68" t="n"/>
    </row>
    <row r="4537">
      <c r="A4537" s="26" t="n">
        <v>93568</v>
      </c>
      <c r="B4537" s="26" t="inlineStr">
        <is>
          <t>TAYLOR DESSERTS PORT</t>
        </is>
      </c>
      <c r="C4537" s="75">
        <f>VLOOKUP(A4537,SizeData!A$2:B$3839,2,FALSE)</f>
        <v/>
      </c>
      <c r="D4537" s="26" t="n">
        <v>1</v>
      </c>
      <c r="E4537" s="26" t="inlineStr">
        <is>
          <t>R1840965</t>
        </is>
      </c>
      <c r="F4537" s="72" t="n">
        <v>44863</v>
      </c>
      <c r="G4537" s="73" t="n"/>
    </row>
    <row r="4538">
      <c r="A4538" s="6" t="n">
        <v>93568</v>
      </c>
      <c r="B4538" s="6" t="inlineStr">
        <is>
          <t>TAYLOR DESSERTS PORT</t>
        </is>
      </c>
      <c r="C4538" s="7">
        <f>VLOOKUP(A4538,SizeData!A$2:B$3839,2,FALSE)</f>
        <v/>
      </c>
      <c r="D4538" s="6" t="n">
        <v>2</v>
      </c>
      <c r="E4538" s="6" t="inlineStr">
        <is>
          <t>R1848183</t>
        </is>
      </c>
      <c r="F4538" s="67" t="n">
        <v>44872</v>
      </c>
      <c r="G4538" s="68" t="n"/>
    </row>
    <row r="4539">
      <c r="A4539" s="6" t="n">
        <v>90824</v>
      </c>
      <c r="B4539" s="6" t="inlineStr">
        <is>
          <t>TAYLOR FLADGATE LATE BOTTLED VINTAGE</t>
        </is>
      </c>
      <c r="C4539" s="7">
        <f>VLOOKUP(A4539,SizeData!A$2:B$3839,2,FALSE)</f>
        <v/>
      </c>
      <c r="D4539" s="6" t="n">
        <v>1</v>
      </c>
      <c r="E4539" s="6" t="inlineStr">
        <is>
          <t>R1481181</t>
        </is>
      </c>
      <c r="F4539" s="67" t="n">
        <v>44614</v>
      </c>
      <c r="G4539" s="68" t="n"/>
    </row>
    <row r="4540">
      <c r="A4540" s="6" t="n">
        <v>95486</v>
      </c>
      <c r="B4540" s="6" t="inlineStr">
        <is>
          <t>TAYLOR N Y CREAM SHERRY</t>
        </is>
      </c>
      <c r="C4540" s="7">
        <f>VLOOKUP(A4540,SizeData!A$2:B$3839,2,FALSE)</f>
        <v/>
      </c>
      <c r="D4540" s="6" t="n">
        <v>1</v>
      </c>
      <c r="E4540" s="6" t="inlineStr">
        <is>
          <t>R1421358</t>
        </is>
      </c>
      <c r="F4540" s="67" t="n">
        <v>44579</v>
      </c>
      <c r="G4540" s="68" t="n"/>
    </row>
    <row r="4541">
      <c r="A4541" s="6" t="n">
        <v>95486</v>
      </c>
      <c r="B4541" s="6" t="inlineStr">
        <is>
          <t>TAYLOR N Y CREAM SHERRY</t>
        </is>
      </c>
      <c r="C4541" s="7">
        <f>VLOOKUP(A4541,SizeData!A$2:B$3839,2,FALSE)</f>
        <v/>
      </c>
      <c r="D4541" s="6" t="n">
        <v>1</v>
      </c>
      <c r="E4541" s="6" t="inlineStr">
        <is>
          <t>R1501158</t>
        </is>
      </c>
      <c r="F4541" s="67" t="n">
        <v>44627</v>
      </c>
      <c r="G4541" s="68" t="n"/>
    </row>
    <row r="4542">
      <c r="A4542" s="6" t="n">
        <v>95486</v>
      </c>
      <c r="B4542" s="6" t="inlineStr">
        <is>
          <t>TAYLOR N Y CREAM SHERRY</t>
        </is>
      </c>
      <c r="C4542" s="7">
        <f>VLOOKUP(A4542,SizeData!A$2:B$3839,2,FALSE)</f>
        <v/>
      </c>
      <c r="D4542" s="6" t="n">
        <v>2</v>
      </c>
      <c r="E4542" s="6" t="inlineStr">
        <is>
          <t>R1527957</t>
        </is>
      </c>
      <c r="F4542" s="67" t="n">
        <v>44644</v>
      </c>
      <c r="G4542" s="68" t="n"/>
    </row>
    <row r="4543">
      <c r="A4543" s="6" t="n">
        <v>95486</v>
      </c>
      <c r="B4543" s="6" t="inlineStr">
        <is>
          <t>TAYLOR N Y CREAM SHERRY</t>
        </is>
      </c>
      <c r="C4543" s="7">
        <f>VLOOKUP(A4543,SizeData!A$2:B$3839,2,FALSE)</f>
        <v/>
      </c>
      <c r="D4543" s="6" t="n">
        <v>1</v>
      </c>
      <c r="E4543" s="6" t="inlineStr">
        <is>
          <t>R1704212</t>
        </is>
      </c>
      <c r="F4543" s="67" t="n">
        <v>44771</v>
      </c>
      <c r="G4543" s="68" t="n"/>
    </row>
    <row r="4544">
      <c r="A4544" s="6" t="n">
        <v>95916</v>
      </c>
      <c r="B4544" s="6" t="inlineStr">
        <is>
          <t>TAYLOR N Y DRY SHERRY</t>
        </is>
      </c>
      <c r="C4544" s="7">
        <f>VLOOKUP(A4544,SizeData!A$2:B$3839,2,FALSE)</f>
        <v/>
      </c>
      <c r="D4544" s="6" t="n">
        <v>1</v>
      </c>
      <c r="E4544" s="6" t="inlineStr">
        <is>
          <t>R1501158</t>
        </is>
      </c>
      <c r="F4544" s="67" t="n">
        <v>44627</v>
      </c>
      <c r="G4544" s="68" t="n"/>
    </row>
    <row r="4545">
      <c r="A4545" s="6" t="n">
        <v>95916</v>
      </c>
      <c r="B4545" s="6" t="inlineStr">
        <is>
          <t>TAYLOR N Y DRY SHERRY</t>
        </is>
      </c>
      <c r="C4545" s="7">
        <f>VLOOKUP(A4545,SizeData!A$2:B$3839,2,FALSE)</f>
        <v/>
      </c>
      <c r="D4545" s="6" t="n">
        <v>1</v>
      </c>
      <c r="E4545" s="6" t="inlineStr">
        <is>
          <t>R1590929</t>
        </is>
      </c>
      <c r="F4545" s="67" t="n">
        <v>44677</v>
      </c>
      <c r="G4545" s="68" t="n"/>
    </row>
    <row r="4546">
      <c r="A4546" s="6" t="n">
        <v>93564</v>
      </c>
      <c r="B4546" s="6" t="inlineStr">
        <is>
          <t>TAYLOR N Y PORT</t>
        </is>
      </c>
      <c r="C4546" s="7">
        <f>VLOOKUP(A4546,SizeData!A$2:B$3839,2,FALSE)</f>
        <v/>
      </c>
      <c r="D4546" s="6" t="n">
        <v>10</v>
      </c>
      <c r="E4546" s="6" t="inlineStr">
        <is>
          <t>R1509099</t>
        </is>
      </c>
      <c r="F4546" s="67" t="n">
        <v>44638</v>
      </c>
      <c r="G4546" s="68" t="n"/>
    </row>
    <row r="4547">
      <c r="A4547" s="6" t="n">
        <v>93564</v>
      </c>
      <c r="B4547" s="6" t="inlineStr">
        <is>
          <t>TAYLOR N Y PORT</t>
        </is>
      </c>
      <c r="C4547" s="7">
        <f>VLOOKUP(A4547,SizeData!A$2:B$3839,2,FALSE)</f>
        <v/>
      </c>
      <c r="D4547" s="6" t="n">
        <v>10</v>
      </c>
      <c r="E4547" s="6" t="inlineStr">
        <is>
          <t>R1563207</t>
        </is>
      </c>
      <c r="F4547" s="67" t="n">
        <v>44662</v>
      </c>
      <c r="G4547" s="68" t="n"/>
    </row>
    <row r="4548">
      <c r="A4548" s="6" t="n">
        <v>93564</v>
      </c>
      <c r="B4548" s="6" t="inlineStr">
        <is>
          <t>TAYLOR N Y PORT</t>
        </is>
      </c>
      <c r="C4548" s="7">
        <f>VLOOKUP(A4548,SizeData!A$2:B$3839,2,FALSE)</f>
        <v/>
      </c>
      <c r="D4548" s="6" t="n">
        <v>10</v>
      </c>
      <c r="E4548" s="6" t="inlineStr">
        <is>
          <t>R1618737</t>
        </is>
      </c>
      <c r="F4548" s="67" t="n">
        <v>44706</v>
      </c>
      <c r="G4548" s="68" t="n"/>
    </row>
    <row r="4549">
      <c r="A4549" s="6" t="n">
        <v>93564</v>
      </c>
      <c r="B4549" s="6" t="inlineStr">
        <is>
          <t>TAYLOR N Y PORT</t>
        </is>
      </c>
      <c r="C4549" s="7">
        <f>VLOOKUP(A4549,SizeData!A$2:B$3839,2,FALSE)</f>
        <v/>
      </c>
      <c r="D4549" s="6" t="n">
        <v>7</v>
      </c>
      <c r="E4549" s="6" t="inlineStr">
        <is>
          <t>R1654407</t>
        </is>
      </c>
      <c r="F4549" s="67" t="n">
        <v>44732</v>
      </c>
      <c r="G4549" s="68" t="n"/>
    </row>
    <row r="4550">
      <c r="A4550" s="31" t="n">
        <v>93564</v>
      </c>
      <c r="B4550" s="31" t="inlineStr">
        <is>
          <t>TAYLOR N Y PORT</t>
        </is>
      </c>
      <c r="C4550" s="7">
        <f>VLOOKUP(A4550,SizeData!A$2:B$3839,2,FALSE)</f>
        <v/>
      </c>
      <c r="D4550" s="31" t="n">
        <v>4</v>
      </c>
      <c r="E4550" s="31" t="inlineStr">
        <is>
          <t>R1667379</t>
        </is>
      </c>
      <c r="F4550" s="82" t="n">
        <v>44741</v>
      </c>
      <c r="G4550" s="83" t="n"/>
    </row>
    <row r="4551">
      <c r="A4551" s="31" t="n">
        <v>93564</v>
      </c>
      <c r="B4551" s="31" t="inlineStr">
        <is>
          <t>TAYLOR N Y PORT</t>
        </is>
      </c>
      <c r="C4551" s="7">
        <f>VLOOKUP(A4551,SizeData!A$2:B$3839,2,FALSE)</f>
        <v/>
      </c>
      <c r="D4551" s="31" t="n">
        <v>5</v>
      </c>
      <c r="E4551" s="31" t="inlineStr">
        <is>
          <t>R1680314</t>
        </is>
      </c>
      <c r="F4551" s="82" t="n">
        <v>44741</v>
      </c>
      <c r="G4551" s="83" t="n"/>
    </row>
    <row r="4552">
      <c r="A4552" s="6" t="n">
        <v>93564</v>
      </c>
      <c r="B4552" s="6" t="inlineStr">
        <is>
          <t>TAYLOR N Y PORT</t>
        </is>
      </c>
      <c r="C4552" s="7">
        <f>VLOOKUP(A4552,SizeData!A$2:B$3839,2,FALSE)</f>
        <v/>
      </c>
      <c r="D4552" s="6" t="n">
        <v>1</v>
      </c>
      <c r="E4552" s="6" t="inlineStr">
        <is>
          <t>R1674336</t>
        </is>
      </c>
      <c r="F4552" s="67" t="n">
        <v>44747</v>
      </c>
      <c r="G4552" s="68" t="n"/>
    </row>
    <row r="4553">
      <c r="A4553" s="6" t="n">
        <v>93564</v>
      </c>
      <c r="B4553" s="6" t="inlineStr">
        <is>
          <t>TAYLOR N Y PORT</t>
        </is>
      </c>
      <c r="C4553" s="7">
        <f>VLOOKUP(A4553,SizeData!A$2:B$3839,2,FALSE)</f>
        <v/>
      </c>
      <c r="D4553" s="6" t="n">
        <v>10</v>
      </c>
      <c r="E4553" s="6" t="inlineStr">
        <is>
          <t>R1716718</t>
        </is>
      </c>
      <c r="F4553" s="67" t="n">
        <v>44774</v>
      </c>
      <c r="G4553" s="68" t="n"/>
    </row>
    <row r="4554">
      <c r="A4554" s="31" t="n">
        <v>93564</v>
      </c>
      <c r="B4554" s="31" t="inlineStr">
        <is>
          <t>TAYLOR N Y PORT</t>
        </is>
      </c>
      <c r="C4554" s="7">
        <f>VLOOKUP(A4554,SizeData!A$2:B$3839,2,FALSE)</f>
        <v/>
      </c>
      <c r="D4554" s="31" t="n">
        <v>5</v>
      </c>
      <c r="E4554" s="31" t="inlineStr">
        <is>
          <t>R1743402</t>
        </is>
      </c>
      <c r="F4554" s="82" t="n">
        <v>44796</v>
      </c>
      <c r="G4554" s="83" t="n"/>
    </row>
    <row r="4555">
      <c r="A4555" s="6" t="n">
        <v>93564</v>
      </c>
      <c r="B4555" s="6" t="inlineStr">
        <is>
          <t>TAYLOR N Y PORT</t>
        </is>
      </c>
      <c r="C4555" s="7">
        <f>VLOOKUP(A4555,SizeData!A$2:B$3839,2,FALSE)</f>
        <v/>
      </c>
      <c r="D4555" s="6" t="n">
        <v>2</v>
      </c>
      <c r="E4555" s="6" t="inlineStr">
        <is>
          <t>R1746474</t>
        </is>
      </c>
      <c r="F4555" s="67" t="n">
        <v>44803</v>
      </c>
      <c r="G4555" s="68" t="n"/>
    </row>
    <row r="4556">
      <c r="A4556" s="6" t="n">
        <v>93564</v>
      </c>
      <c r="B4556" s="6" t="inlineStr">
        <is>
          <t>TAYLOR N Y PORT</t>
        </is>
      </c>
      <c r="C4556" s="7">
        <f>VLOOKUP(A4556,SizeData!A$2:B$3839,2,FALSE)</f>
        <v/>
      </c>
      <c r="D4556" s="6" t="n">
        <v>5</v>
      </c>
      <c r="E4556" s="6" t="inlineStr">
        <is>
          <t>R1767069</t>
        </is>
      </c>
      <c r="F4556" s="67" t="n">
        <v>44814</v>
      </c>
      <c r="G4556" s="68" t="n"/>
    </row>
    <row r="4557">
      <c r="A4557" s="6" t="n">
        <v>93564</v>
      </c>
      <c r="B4557" s="6" t="inlineStr">
        <is>
          <t>TAYLOR N Y PORT</t>
        </is>
      </c>
      <c r="C4557" s="7">
        <f>VLOOKUP(A4557,SizeData!A$2:B$3839,2,FALSE)</f>
        <v/>
      </c>
      <c r="D4557" s="6" t="n">
        <v>4</v>
      </c>
      <c r="E4557" s="6" t="inlineStr">
        <is>
          <t>R1772446</t>
        </is>
      </c>
      <c r="F4557" s="67" t="n">
        <v>44821</v>
      </c>
      <c r="G4557" s="68" t="n"/>
    </row>
    <row r="4558">
      <c r="A4558" s="6" t="n">
        <v>93564</v>
      </c>
      <c r="B4558" s="6" t="inlineStr">
        <is>
          <t>TAYLOR N Y PORT</t>
        </is>
      </c>
      <c r="C4558" s="7">
        <f>VLOOKUP(A4558,SizeData!A$2:B$3839,2,FALSE)</f>
        <v/>
      </c>
      <c r="D4558" s="6" t="n">
        <v>10</v>
      </c>
      <c r="E4558" s="6" t="inlineStr">
        <is>
          <t>R1777983</t>
        </is>
      </c>
      <c r="F4558" s="67" t="n">
        <v>44826</v>
      </c>
      <c r="G4558" s="68" t="n"/>
    </row>
    <row r="4559">
      <c r="A4559" s="6" t="n">
        <v>93564</v>
      </c>
      <c r="B4559" s="6" t="inlineStr">
        <is>
          <t>TAYLOR N Y PORT</t>
        </is>
      </c>
      <c r="C4559" s="7">
        <f>VLOOKUP(A4559,SizeData!A$2:B$3839,2,FALSE)</f>
        <v/>
      </c>
      <c r="D4559" s="6" t="n">
        <v>5</v>
      </c>
      <c r="E4559" s="6" t="inlineStr">
        <is>
          <t>R1817613</t>
        </is>
      </c>
      <c r="F4559" s="67" t="n">
        <v>44849</v>
      </c>
      <c r="G4559" s="68" t="n"/>
    </row>
    <row r="4560">
      <c r="A4560" s="6" t="n">
        <v>93564</v>
      </c>
      <c r="B4560" s="6" t="inlineStr">
        <is>
          <t>TAYLOR N Y PORT</t>
        </is>
      </c>
      <c r="C4560" s="7">
        <f>VLOOKUP(A4560,SizeData!A$2:B$3839,2,FALSE)</f>
        <v/>
      </c>
      <c r="D4560" s="6" t="n">
        <v>4</v>
      </c>
      <c r="E4560" s="6" t="inlineStr">
        <is>
          <t>R1826558</t>
        </is>
      </c>
      <c r="F4560" s="67" t="n">
        <v>44854</v>
      </c>
      <c r="G4560" s="68" t="n"/>
    </row>
    <row r="4561">
      <c r="A4561" s="6" t="n">
        <v>93564</v>
      </c>
      <c r="B4561" s="6" t="inlineStr">
        <is>
          <t>TAYLOR N Y PORT</t>
        </is>
      </c>
      <c r="C4561" s="7">
        <f>VLOOKUP(A4561,SizeData!A$2:B$3839,2,FALSE)</f>
        <v/>
      </c>
      <c r="D4561" s="6" t="n">
        <v>5</v>
      </c>
      <c r="E4561" s="6" t="inlineStr">
        <is>
          <t>R1841411</t>
        </is>
      </c>
      <c r="F4561" s="67" t="n">
        <v>44859</v>
      </c>
      <c r="G4561" s="68" t="n"/>
    </row>
    <row r="4562">
      <c r="A4562" s="6" t="n">
        <v>93564</v>
      </c>
      <c r="B4562" s="6" t="inlineStr">
        <is>
          <t>TAYLOR N Y PORT</t>
        </is>
      </c>
      <c r="C4562" s="7">
        <f>VLOOKUP(A4562,SizeData!A$2:B$3839,2,FALSE)</f>
        <v/>
      </c>
      <c r="D4562" s="6" t="n">
        <v>2</v>
      </c>
      <c r="E4562" s="6" t="inlineStr">
        <is>
          <t>R1840965</t>
        </is>
      </c>
      <c r="F4562" s="67" t="n">
        <v>44863</v>
      </c>
      <c r="G4562" s="68" t="n"/>
    </row>
    <row r="4563">
      <c r="A4563" s="6" t="n">
        <v>93564</v>
      </c>
      <c r="B4563" s="6" t="inlineStr">
        <is>
          <t>TAYLOR N Y PORT</t>
        </is>
      </c>
      <c r="C4563" s="7">
        <f>VLOOKUP(A4563,SizeData!A$2:B$3839,2,FALSE)</f>
        <v/>
      </c>
      <c r="D4563" s="6" t="n">
        <v>3</v>
      </c>
      <c r="E4563" s="6" t="inlineStr">
        <is>
          <t>R1852512</t>
        </is>
      </c>
      <c r="F4563" s="67" t="n">
        <v>44867</v>
      </c>
      <c r="G4563" s="68" t="n"/>
    </row>
    <row r="4564">
      <c r="A4564" s="6" t="n">
        <v>93564</v>
      </c>
      <c r="B4564" s="6" t="inlineStr">
        <is>
          <t>TAYLOR N Y PORT</t>
        </is>
      </c>
      <c r="C4564" s="7">
        <f>VLOOKUP(A4564,SizeData!A$2:B$3839,2,FALSE)</f>
        <v/>
      </c>
      <c r="D4564" s="6" t="n">
        <v>10</v>
      </c>
      <c r="E4564" s="6" t="inlineStr">
        <is>
          <t>R1856519</t>
        </is>
      </c>
      <c r="F4564" s="67" t="n">
        <v>44869</v>
      </c>
      <c r="G4564" s="68" t="n"/>
    </row>
    <row r="4565">
      <c r="A4565" s="6" t="n">
        <v>93564</v>
      </c>
      <c r="B4565" s="6" t="inlineStr">
        <is>
          <t>TAYLOR N Y PORT</t>
        </is>
      </c>
      <c r="C4565" s="7">
        <f>VLOOKUP(A4565,SizeData!A$2:B$3839,2,FALSE)</f>
        <v/>
      </c>
      <c r="D4565" s="6" t="n">
        <v>6</v>
      </c>
      <c r="E4565" s="6" t="inlineStr">
        <is>
          <t>R1858281</t>
        </is>
      </c>
      <c r="F4565" s="67" t="n">
        <v>44877</v>
      </c>
      <c r="G4565" s="68" t="n"/>
    </row>
    <row r="4566">
      <c r="A4566" s="6" t="n">
        <v>93564</v>
      </c>
      <c r="B4566" s="6" t="inlineStr">
        <is>
          <t>TAYLOR N Y PORT</t>
        </is>
      </c>
      <c r="C4566" s="7">
        <f>VLOOKUP(A4566,SizeData!A$2:B$3839,2,FALSE)</f>
        <v/>
      </c>
      <c r="D4566" s="6" t="n">
        <v>10</v>
      </c>
      <c r="E4566" s="6" t="inlineStr">
        <is>
          <t>R1879001</t>
        </is>
      </c>
      <c r="F4566" s="67" t="n">
        <v>44888</v>
      </c>
      <c r="G4566" s="68" t="n"/>
    </row>
    <row r="4567">
      <c r="A4567" s="6" t="n">
        <v>93566</v>
      </c>
      <c r="B4567" s="6" t="inlineStr">
        <is>
          <t>TAYLOR N Y PORT</t>
        </is>
      </c>
      <c r="C4567" s="7">
        <f>VLOOKUP(A4567,SizeData!A$2:B$3839,2,FALSE)</f>
        <v/>
      </c>
      <c r="D4567" s="6" t="n">
        <v>10</v>
      </c>
      <c r="E4567" s="6" t="n"/>
      <c r="F4567" s="67" t="n">
        <v>44565</v>
      </c>
      <c r="G4567" s="68" t="n"/>
    </row>
    <row r="4568">
      <c r="A4568" s="6" t="n">
        <v>93566</v>
      </c>
      <c r="B4568" s="6" t="inlineStr">
        <is>
          <t>TAYLOR N Y PORT</t>
        </is>
      </c>
      <c r="C4568" s="7">
        <f>VLOOKUP(A4568,SizeData!A$2:B$3839,2,FALSE)</f>
        <v/>
      </c>
      <c r="D4568" s="6" t="n">
        <v>10</v>
      </c>
      <c r="E4568" s="6" t="inlineStr">
        <is>
          <t>R1414712</t>
        </is>
      </c>
      <c r="F4568" s="67" t="n">
        <v>44579</v>
      </c>
      <c r="G4568" s="68" t="n"/>
    </row>
    <row r="4569">
      <c r="A4569" s="6" t="n">
        <v>93566</v>
      </c>
      <c r="B4569" s="6" t="inlineStr">
        <is>
          <t>TAYLOR N Y PORT</t>
        </is>
      </c>
      <c r="C4569" s="7">
        <f>VLOOKUP(A4569,SizeData!A$2:B$3839,2,FALSE)</f>
        <v/>
      </c>
      <c r="D4569" s="6" t="n">
        <v>10</v>
      </c>
      <c r="E4569" s="6" t="inlineStr">
        <is>
          <t>R1414712</t>
        </is>
      </c>
      <c r="F4569" s="67" t="n">
        <v>44579</v>
      </c>
      <c r="G4569" s="68" t="n"/>
    </row>
    <row r="4570">
      <c r="A4570" s="6" t="n">
        <v>93566</v>
      </c>
      <c r="B4570" s="6" t="inlineStr">
        <is>
          <t>TAYLOR N Y PORT</t>
        </is>
      </c>
      <c r="C4570" s="7">
        <f>VLOOKUP(A4570,SizeData!A$2:B$3839,2,FALSE)</f>
        <v/>
      </c>
      <c r="D4570" s="6" t="n">
        <v>10</v>
      </c>
      <c r="E4570" s="6" t="inlineStr">
        <is>
          <t>R1438803</t>
        </is>
      </c>
      <c r="F4570" s="67" t="n">
        <v>44592</v>
      </c>
      <c r="G4570" s="68" t="n"/>
    </row>
    <row r="4571">
      <c r="A4571" s="6" t="n">
        <v>93566</v>
      </c>
      <c r="B4571" s="6" t="inlineStr">
        <is>
          <t>TAYLOR N Y PORT</t>
        </is>
      </c>
      <c r="C4571" s="7">
        <f>VLOOKUP(A4571,SizeData!A$2:B$3839,2,FALSE)</f>
        <v/>
      </c>
      <c r="D4571" s="6" t="n">
        <v>10</v>
      </c>
      <c r="E4571" s="6" t="inlineStr">
        <is>
          <t>R1478781</t>
        </is>
      </c>
      <c r="F4571" s="67" t="n">
        <v>44616</v>
      </c>
      <c r="G4571" s="68" t="n"/>
    </row>
    <row r="4572">
      <c r="A4572" s="6" t="n">
        <v>93566</v>
      </c>
      <c r="B4572" s="6" t="inlineStr">
        <is>
          <t>TAYLOR N Y PORT</t>
        </is>
      </c>
      <c r="C4572" s="7">
        <f>VLOOKUP(A4572,SizeData!A$2:B$3839,2,FALSE)</f>
        <v/>
      </c>
      <c r="D4572" s="6" t="n">
        <v>10</v>
      </c>
      <c r="E4572" s="6" t="inlineStr">
        <is>
          <t>R1504123</t>
        </is>
      </c>
      <c r="F4572" s="67" t="n">
        <v>44634</v>
      </c>
      <c r="G4572" s="68" t="n"/>
    </row>
    <row r="4573">
      <c r="A4573" s="6" t="n">
        <v>93566</v>
      </c>
      <c r="B4573" s="6" t="inlineStr">
        <is>
          <t>TAYLOR N Y PORT</t>
        </is>
      </c>
      <c r="C4573" s="7">
        <f>VLOOKUP(A4573,SizeData!A$2:B$3839,2,FALSE)</f>
        <v/>
      </c>
      <c r="D4573" s="6" t="n">
        <v>10</v>
      </c>
      <c r="E4573" s="6" t="inlineStr">
        <is>
          <t>R1551614</t>
        </is>
      </c>
      <c r="F4573" s="67" t="n">
        <v>44652</v>
      </c>
      <c r="G4573" s="68" t="n"/>
    </row>
    <row r="4574">
      <c r="A4574" s="6" t="n">
        <v>93566</v>
      </c>
      <c r="B4574" s="6" t="inlineStr">
        <is>
          <t>TAYLOR N Y PORT</t>
        </is>
      </c>
      <c r="C4574" s="7">
        <f>VLOOKUP(A4574,SizeData!A$2:B$3839,2,FALSE)</f>
        <v/>
      </c>
      <c r="D4574" s="6" t="n">
        <v>10</v>
      </c>
      <c r="E4574" s="6" t="inlineStr">
        <is>
          <t>R1563207</t>
        </is>
      </c>
      <c r="F4574" s="67" t="n">
        <v>44662</v>
      </c>
      <c r="G4574" s="68" t="n"/>
    </row>
    <row r="4575">
      <c r="A4575" s="6" t="n">
        <v>93566</v>
      </c>
      <c r="B4575" s="6" t="inlineStr">
        <is>
          <t>TAYLOR N Y PORT</t>
        </is>
      </c>
      <c r="C4575" s="7">
        <f>VLOOKUP(A4575,SizeData!A$2:B$3839,2,FALSE)</f>
        <v/>
      </c>
      <c r="D4575" s="6" t="n">
        <v>10</v>
      </c>
      <c r="E4575" s="6" t="inlineStr">
        <is>
          <t>k</t>
        </is>
      </c>
      <c r="F4575" s="67" t="n">
        <v>44683</v>
      </c>
      <c r="G4575" s="68" t="n"/>
    </row>
    <row r="4576">
      <c r="A4576" s="6" t="n">
        <v>93566</v>
      </c>
      <c r="B4576" s="6" t="inlineStr">
        <is>
          <t>TAYLOR N Y PORT</t>
        </is>
      </c>
      <c r="C4576" s="7">
        <f>VLOOKUP(A4576,SizeData!A$2:B$3839,2,FALSE)</f>
        <v/>
      </c>
      <c r="D4576" s="6" t="n">
        <v>7</v>
      </c>
      <c r="E4576" s="6" t="inlineStr">
        <is>
          <t>R1640148</t>
        </is>
      </c>
      <c r="F4576" s="67" t="n">
        <v>44705</v>
      </c>
      <c r="G4576" s="68" t="n"/>
    </row>
    <row r="4577">
      <c r="A4577" s="6" t="n">
        <v>93566</v>
      </c>
      <c r="B4577" s="6" t="inlineStr">
        <is>
          <t>TAYLOR N Y PORT</t>
        </is>
      </c>
      <c r="C4577" s="7">
        <f>VLOOKUP(A4577,SizeData!A$2:B$3839,2,FALSE)</f>
        <v/>
      </c>
      <c r="D4577" s="6" t="n">
        <v>3</v>
      </c>
      <c r="E4577" s="6" t="inlineStr">
        <is>
          <t>R1640148</t>
        </is>
      </c>
      <c r="F4577" s="67" t="n">
        <v>44705</v>
      </c>
      <c r="G4577" s="68" t="n"/>
    </row>
    <row r="4578">
      <c r="A4578" s="6" t="n">
        <v>93566</v>
      </c>
      <c r="B4578" s="6" t="inlineStr">
        <is>
          <t>TAYLOR N Y PORT</t>
        </is>
      </c>
      <c r="C4578" s="7">
        <f>VLOOKUP(A4578,SizeData!A$2:B$3839,2,FALSE)</f>
        <v/>
      </c>
      <c r="D4578" s="6" t="n">
        <v>8</v>
      </c>
      <c r="E4578" s="6" t="inlineStr">
        <is>
          <t>R1628251</t>
        </is>
      </c>
      <c r="F4578" s="67" t="n">
        <v>44713</v>
      </c>
      <c r="G4578" s="68" t="n"/>
    </row>
    <row r="4579">
      <c r="A4579" s="6" t="n">
        <v>93566</v>
      </c>
      <c r="B4579" s="6" t="inlineStr">
        <is>
          <t>TAYLOR N Y PORT</t>
        </is>
      </c>
      <c r="C4579" s="7">
        <f>VLOOKUP(A4579,SizeData!A$2:B$3839,2,FALSE)</f>
        <v/>
      </c>
      <c r="D4579" s="6" t="n">
        <v>10</v>
      </c>
      <c r="E4579" s="6" t="inlineStr">
        <is>
          <t>R1648030</t>
        </is>
      </c>
      <c r="F4579" s="67" t="n">
        <v>44726</v>
      </c>
      <c r="G4579" s="68" t="n"/>
    </row>
    <row r="4580">
      <c r="A4580" s="31" t="n">
        <v>93566</v>
      </c>
      <c r="B4580" s="31" t="inlineStr">
        <is>
          <t>TAYLOR N Y PORT</t>
        </is>
      </c>
      <c r="C4580" s="7">
        <f>VLOOKUP(A4580,SizeData!A$2:B$3839,2,FALSE)</f>
        <v/>
      </c>
      <c r="D4580" s="31" t="n">
        <v>10</v>
      </c>
      <c r="E4580" s="31" t="inlineStr">
        <is>
          <t>R1676909</t>
        </is>
      </c>
      <c r="F4580" s="82" t="n">
        <v>44742</v>
      </c>
      <c r="G4580" s="83" t="n"/>
    </row>
    <row r="4581">
      <c r="A4581" s="6" t="n">
        <v>93566</v>
      </c>
      <c r="B4581" s="6" t="inlineStr">
        <is>
          <t>TAYLOR N Y PORT</t>
        </is>
      </c>
      <c r="C4581" s="7">
        <f>VLOOKUP(A4581,SizeData!A$2:B$3839,2,FALSE)</f>
        <v/>
      </c>
      <c r="D4581" s="6" t="n">
        <v>4</v>
      </c>
      <c r="E4581" s="6" t="inlineStr">
        <is>
          <t>R1690045</t>
        </is>
      </c>
      <c r="F4581" s="67" t="n">
        <v>44753</v>
      </c>
      <c r="G4581" s="68" t="n"/>
    </row>
    <row r="4582">
      <c r="A4582" s="6" t="n">
        <v>93566</v>
      </c>
      <c r="B4582" s="6" t="inlineStr">
        <is>
          <t>TAYLOR N Y PORT</t>
        </is>
      </c>
      <c r="C4582" s="7">
        <f>VLOOKUP(A4582,SizeData!A$2:B$3839,2,FALSE)</f>
        <v/>
      </c>
      <c r="D4582" s="6" t="n">
        <v>3</v>
      </c>
      <c r="E4582" s="6" t="inlineStr">
        <is>
          <t>R1695857</t>
        </is>
      </c>
      <c r="F4582" s="67" t="n">
        <v>44758</v>
      </c>
      <c r="G4582" s="68" t="n"/>
    </row>
    <row r="4583">
      <c r="A4583" s="6" t="n">
        <v>93566</v>
      </c>
      <c r="B4583" s="6" t="inlineStr">
        <is>
          <t>TAYLOR N Y PORT</t>
        </is>
      </c>
      <c r="C4583" s="7">
        <f>VLOOKUP(A4583,SizeData!A$2:B$3839,2,FALSE)</f>
        <v/>
      </c>
      <c r="D4583" s="6" t="n">
        <v>50</v>
      </c>
      <c r="E4583" s="6" t="inlineStr">
        <is>
          <t>R1693848</t>
        </is>
      </c>
      <c r="F4583" s="67" t="n">
        <v>44763</v>
      </c>
      <c r="G4583" s="68" t="n"/>
    </row>
    <row r="4584">
      <c r="A4584" s="6" t="n">
        <v>93566</v>
      </c>
      <c r="B4584" s="6" t="inlineStr">
        <is>
          <t>TAYLOR N Y PORT</t>
        </is>
      </c>
      <c r="C4584" s="7">
        <f>VLOOKUP(A4584,SizeData!A$2:B$3839,2,FALSE)</f>
        <v/>
      </c>
      <c r="D4584" s="6" t="n">
        <v>50</v>
      </c>
      <c r="E4584" s="6" t="inlineStr">
        <is>
          <t>R1693374</t>
        </is>
      </c>
      <c r="F4584" s="67" t="n">
        <v>44764</v>
      </c>
      <c r="G4584" s="68" t="n"/>
    </row>
    <row r="4585">
      <c r="A4585" s="6" t="n">
        <v>93566</v>
      </c>
      <c r="B4585" s="6" t="inlineStr">
        <is>
          <t>TAYLOR N Y PORT</t>
        </is>
      </c>
      <c r="C4585" s="7">
        <f>VLOOKUP(A4585,SizeData!A$2:B$3839,2,FALSE)</f>
        <v/>
      </c>
      <c r="D4585" s="6" t="n">
        <v>20</v>
      </c>
      <c r="E4585" s="6" t="inlineStr">
        <is>
          <t>R1802795</t>
        </is>
      </c>
      <c r="F4585" s="67" t="n">
        <v>44848</v>
      </c>
      <c r="G4585" s="68" t="n"/>
    </row>
    <row r="4586">
      <c r="A4586" s="6" t="n">
        <v>93566</v>
      </c>
      <c r="B4586" s="6" t="inlineStr">
        <is>
          <t>TAYLOR N Y PORT</t>
        </is>
      </c>
      <c r="C4586" s="7">
        <f>VLOOKUP(A4586,SizeData!A$2:B$3839,2,FALSE)</f>
        <v/>
      </c>
      <c r="D4586" s="6" t="n">
        <v>5</v>
      </c>
      <c r="E4586" s="6" t="inlineStr">
        <is>
          <t>R1840965</t>
        </is>
      </c>
      <c r="F4586" s="67" t="n">
        <v>44863</v>
      </c>
      <c r="G4586" s="68" t="n"/>
    </row>
    <row r="4587">
      <c r="A4587" s="6" t="n">
        <v>93566</v>
      </c>
      <c r="B4587" s="6" t="inlineStr">
        <is>
          <t>TAYLOR N Y PORT</t>
        </is>
      </c>
      <c r="C4587" s="7">
        <f>VLOOKUP(A4587,SizeData!A$2:B$3839,2,FALSE)</f>
        <v/>
      </c>
      <c r="D4587" s="6" t="n">
        <v>6</v>
      </c>
      <c r="E4587" s="6" t="inlineStr">
        <is>
          <t>R1852512</t>
        </is>
      </c>
      <c r="F4587" s="67" t="n">
        <v>44867</v>
      </c>
      <c r="G4587" s="68" t="n"/>
    </row>
    <row r="4588">
      <c r="A4588" s="6" t="n">
        <v>93566</v>
      </c>
      <c r="B4588" s="6" t="inlineStr">
        <is>
          <t>TAYLOR N Y PORT</t>
        </is>
      </c>
      <c r="C4588" s="7">
        <f>VLOOKUP(A4588,SizeData!A$2:B$3839,2,FALSE)</f>
        <v/>
      </c>
      <c r="D4588" s="6" t="n">
        <v>20</v>
      </c>
      <c r="E4588" s="6" t="inlineStr">
        <is>
          <t>R1856519</t>
        </is>
      </c>
      <c r="F4588" s="67" t="n">
        <v>44869</v>
      </c>
      <c r="G4588" s="68" t="n"/>
    </row>
    <row r="4589">
      <c r="A4589" s="6" t="n">
        <v>93566</v>
      </c>
      <c r="B4589" s="6" t="inlineStr">
        <is>
          <t>TAYLOR N Y PORT</t>
        </is>
      </c>
      <c r="C4589" s="7">
        <f>VLOOKUP(A4589,SizeData!A$2:B$3839,2,FALSE)</f>
        <v/>
      </c>
      <c r="D4589" s="6" t="n">
        <v>20</v>
      </c>
      <c r="E4589" s="6" t="inlineStr">
        <is>
          <t>R1862411</t>
        </is>
      </c>
      <c r="F4589" s="67" t="n">
        <v>44876</v>
      </c>
      <c r="G4589" s="68" t="n"/>
    </row>
    <row r="4590">
      <c r="A4590" s="6" t="n">
        <v>93566</v>
      </c>
      <c r="B4590" s="6" t="inlineStr">
        <is>
          <t>TAYLOR N Y PORT</t>
        </is>
      </c>
      <c r="C4590" s="7">
        <f>VLOOKUP(A4590,SizeData!A$2:B$3839,2,FALSE)</f>
        <v/>
      </c>
      <c r="D4590" s="6" t="n">
        <v>20</v>
      </c>
      <c r="E4590" s="6" t="inlineStr">
        <is>
          <t>R1877638</t>
        </is>
      </c>
      <c r="F4590" s="67" t="n">
        <v>44888</v>
      </c>
      <c r="G4590" s="68" t="n"/>
    </row>
    <row r="4591">
      <c r="A4591" s="6" t="n">
        <v>93566</v>
      </c>
      <c r="B4591" s="6" t="inlineStr">
        <is>
          <t>TAYLOR N Y PORT</t>
        </is>
      </c>
      <c r="C4591" s="7">
        <f>VLOOKUP(A4591,SizeData!A$2:B$3839,2,FALSE)</f>
        <v/>
      </c>
      <c r="D4591" s="6" t="n">
        <v>20</v>
      </c>
      <c r="E4591" s="6" t="inlineStr">
        <is>
          <t>R1877638</t>
        </is>
      </c>
      <c r="F4591" s="67" t="n">
        <v>44888</v>
      </c>
      <c r="G4591" s="68" t="n"/>
    </row>
    <row r="4592">
      <c r="A4592" s="6" t="n">
        <v>93566</v>
      </c>
      <c r="B4592" s="6" t="inlineStr">
        <is>
          <t>TAYLOR N Y PORT</t>
        </is>
      </c>
      <c r="C4592" s="7">
        <f>VLOOKUP(A4592,SizeData!A$2:B$3839,2,FALSE)</f>
        <v/>
      </c>
      <c r="D4592" s="6" t="n">
        <v>10</v>
      </c>
      <c r="E4592" s="6" t="inlineStr">
        <is>
          <t>R1880767</t>
        </is>
      </c>
      <c r="F4592" s="67" t="n">
        <v>44894</v>
      </c>
      <c r="G4592" s="68" t="n"/>
    </row>
    <row r="4593">
      <c r="A4593" s="6" t="n">
        <v>16049</v>
      </c>
      <c r="B4593" s="6" t="inlineStr">
        <is>
          <t>TENJAKU BLENDED JAPANESE WHISKY</t>
        </is>
      </c>
      <c r="C4593" s="7">
        <f>VLOOKUP(A4593,SizeData!A$2:B$3839,2,FALSE)</f>
        <v/>
      </c>
      <c r="D4593" s="6" t="n">
        <v>1</v>
      </c>
      <c r="E4593" s="6" t="inlineStr">
        <is>
          <t>R1740281</t>
        </is>
      </c>
      <c r="F4593" s="67" t="n">
        <v>44788</v>
      </c>
      <c r="G4593" s="68" t="n"/>
    </row>
    <row r="4594">
      <c r="A4594" s="6" t="n">
        <v>65200</v>
      </c>
      <c r="B4594" s="6" t="inlineStr">
        <is>
          <t>TEQUILA ROSE STRAWBERRY LIQUEUR</t>
        </is>
      </c>
      <c r="C4594" s="7">
        <f>VLOOKUP(A4594,SizeData!A$2:B$3839,2,FALSE)</f>
        <v/>
      </c>
      <c r="D4594" s="6" t="n">
        <v>1</v>
      </c>
      <c r="E4594" s="6" t="inlineStr">
        <is>
          <t>R1467109</t>
        </is>
      </c>
      <c r="F4594" s="67" t="n">
        <v>44604</v>
      </c>
      <c r="G4594" s="68" t="n"/>
    </row>
    <row r="4595">
      <c r="A4595" s="6" t="n">
        <v>65200</v>
      </c>
      <c r="B4595" s="6" t="inlineStr">
        <is>
          <t>TEQUILA ROSE STRAWBERRY LIQUEUR</t>
        </is>
      </c>
      <c r="C4595" s="7">
        <f>VLOOKUP(A4595,SizeData!A$2:B$3839,2,FALSE)</f>
        <v/>
      </c>
      <c r="D4595" s="6" t="n">
        <v>1</v>
      </c>
      <c r="E4595" s="6" t="inlineStr">
        <is>
          <t>R1762971</t>
        </is>
      </c>
      <c r="F4595" s="67" t="n">
        <v>44814</v>
      </c>
      <c r="G4595" s="68" t="n"/>
    </row>
    <row r="4596">
      <c r="A4596" s="6" t="n">
        <v>65200</v>
      </c>
      <c r="B4596" s="6" t="inlineStr">
        <is>
          <t>TEQUILA ROSE STRAWBERRY LIQUEUR</t>
        </is>
      </c>
      <c r="C4596" s="7">
        <f>VLOOKUP(A4596,SizeData!A$2:B$3839,2,FALSE)</f>
        <v/>
      </c>
      <c r="D4596" s="6" t="n">
        <v>1</v>
      </c>
      <c r="E4596" s="6" t="inlineStr">
        <is>
          <t>R1792137</t>
        </is>
      </c>
      <c r="F4596" s="67" t="n">
        <v>44835</v>
      </c>
      <c r="G4596" s="68" t="n"/>
    </row>
    <row r="4597">
      <c r="A4597" s="6" t="n">
        <v>65209</v>
      </c>
      <c r="B4597" s="6" t="inlineStr">
        <is>
          <t>TEQUILA ROSE STRAWBERRY LIQUEUR</t>
        </is>
      </c>
      <c r="C4597" s="7">
        <f>VLOOKUP(A4597,SizeData!A$2:B$3839,2,FALSE)</f>
        <v/>
      </c>
      <c r="D4597" s="6" t="n">
        <v>1</v>
      </c>
      <c r="E4597" s="6" t="inlineStr">
        <is>
          <t>R1629823</t>
        </is>
      </c>
      <c r="F4597" s="67" t="n">
        <v>44713</v>
      </c>
      <c r="G4597" s="68" t="n"/>
    </row>
    <row r="4598">
      <c r="A4598" s="6" t="n">
        <v>65209</v>
      </c>
      <c r="B4598" s="6" t="inlineStr">
        <is>
          <t>TEQUILA ROSE STRAWBERRY LIQUEUR</t>
        </is>
      </c>
      <c r="C4598" s="7">
        <f>VLOOKUP(A4598,SizeData!A$2:B$3839,2,FALSE)</f>
        <v/>
      </c>
      <c r="D4598" s="6" t="n">
        <v>1</v>
      </c>
      <c r="E4598" s="6" t="inlineStr">
        <is>
          <t>R1772446</t>
        </is>
      </c>
      <c r="F4598" s="67" t="n">
        <v>44821</v>
      </c>
      <c r="G4598" s="68" t="n"/>
    </row>
    <row r="4599">
      <c r="A4599" s="6" t="n">
        <v>65209</v>
      </c>
      <c r="B4599" s="6" t="inlineStr">
        <is>
          <t>TEQUILA ROSE STRAWBERRY LIQUEUR</t>
        </is>
      </c>
      <c r="C4599" s="7">
        <f>VLOOKUP(A4599,SizeData!A$2:B$3839,2,FALSE)</f>
        <v/>
      </c>
      <c r="D4599" s="6" t="n">
        <v>3</v>
      </c>
      <c r="E4599" s="6" t="inlineStr">
        <is>
          <t>R1866529</t>
        </is>
      </c>
      <c r="F4599" s="67" t="n">
        <v>44876</v>
      </c>
      <c r="G4599" s="68" t="n"/>
    </row>
    <row r="4600">
      <c r="A4600" s="6" t="n">
        <v>88355</v>
      </c>
      <c r="B4600" s="6" t="inlineStr">
        <is>
          <t>TEREMANA BLANCO TEQUILA</t>
        </is>
      </c>
      <c r="C4600" s="7">
        <f>VLOOKUP(A4600,SizeData!A$2:B$3839,2,FALSE)</f>
        <v/>
      </c>
      <c r="D4600" s="6" t="n">
        <v>1</v>
      </c>
      <c r="E4600" s="6" t="inlineStr">
        <is>
          <t>R1672878</t>
        </is>
      </c>
      <c r="F4600" s="67" t="n">
        <v>44743</v>
      </c>
      <c r="G4600" s="68" t="n"/>
    </row>
    <row r="4601">
      <c r="A4601" s="6" t="n">
        <v>88355</v>
      </c>
      <c r="B4601" s="6" t="inlineStr">
        <is>
          <t>TEREMANA BLANCO TEQUILA</t>
        </is>
      </c>
      <c r="C4601" s="7">
        <f>VLOOKUP(A4601,SizeData!A$2:B$3839,2,FALSE)</f>
        <v/>
      </c>
      <c r="D4601" s="6" t="n">
        <v>7</v>
      </c>
      <c r="E4601" s="6" t="inlineStr">
        <is>
          <t>R1691763</t>
        </is>
      </c>
      <c r="F4601" s="67" t="n">
        <v>44758</v>
      </c>
      <c r="G4601" s="68" t="n"/>
    </row>
    <row r="4602">
      <c r="A4602" s="6" t="n">
        <v>88355</v>
      </c>
      <c r="B4602" s="6" t="inlineStr">
        <is>
          <t>TEREMANA BLANCO TEQUILA</t>
        </is>
      </c>
      <c r="C4602" s="7">
        <f>VLOOKUP(A4602,SizeData!A$2:B$3839,2,FALSE)</f>
        <v/>
      </c>
      <c r="D4602" s="6" t="n">
        <v>3</v>
      </c>
      <c r="E4602" s="6" t="inlineStr">
        <is>
          <t>R1691763</t>
        </is>
      </c>
      <c r="F4602" s="67" t="n">
        <v>44758</v>
      </c>
      <c r="G4602" s="68" t="n"/>
    </row>
    <row r="4603">
      <c r="A4603" s="6" t="n">
        <v>88375</v>
      </c>
      <c r="B4603" s="6" t="inlineStr">
        <is>
          <t>TEREMANA REPOSADO TEQUILA</t>
        </is>
      </c>
      <c r="C4603" s="7">
        <f>VLOOKUP(A4603,SizeData!A$2:B$3839,2,FALSE)</f>
        <v/>
      </c>
      <c r="D4603" s="6" t="n">
        <v>1</v>
      </c>
      <c r="E4603" s="6" t="inlineStr">
        <is>
          <t>R1672878</t>
        </is>
      </c>
      <c r="F4603" s="67" t="n">
        <v>44743</v>
      </c>
      <c r="G4603" s="68" t="n"/>
    </row>
    <row r="4604">
      <c r="A4604" s="6" t="n">
        <v>88375</v>
      </c>
      <c r="B4604" s="6" t="inlineStr">
        <is>
          <t>TEREMANA REPOSADO TEQUILA</t>
        </is>
      </c>
      <c r="C4604" s="7">
        <f>VLOOKUP(A4604,SizeData!A$2:B$3839,2,FALSE)</f>
        <v/>
      </c>
      <c r="D4604" s="6" t="n">
        <v>3</v>
      </c>
      <c r="E4604" s="6" t="inlineStr">
        <is>
          <t>R1691763</t>
        </is>
      </c>
      <c r="F4604" s="67" t="n">
        <v>44758</v>
      </c>
      <c r="G4604" s="68" t="n"/>
    </row>
    <row r="4605">
      <c r="A4605" s="6" t="n">
        <v>88375</v>
      </c>
      <c r="B4605" s="6" t="inlineStr">
        <is>
          <t>TEREMANA REPOSADO TEQUILA</t>
        </is>
      </c>
      <c r="C4605" s="7">
        <f>VLOOKUP(A4605,SizeData!A$2:B$3839,2,FALSE)</f>
        <v/>
      </c>
      <c r="D4605" s="6" t="n">
        <v>5</v>
      </c>
      <c r="E4605" s="6" t="inlineStr">
        <is>
          <t>R1691763</t>
        </is>
      </c>
      <c r="F4605" s="67" t="n">
        <v>44758</v>
      </c>
      <c r="G4605" s="68" t="n"/>
    </row>
    <row r="4606">
      <c r="A4606" s="6" t="n">
        <v>88354</v>
      </c>
      <c r="B4606" s="6" t="inlineStr">
        <is>
          <t>TEREMANA BLANCO TEQUILA</t>
        </is>
      </c>
      <c r="C4606" s="7">
        <f>VLOOKUP(A4606,SizeData!A$2:B$3839,2,FALSE)</f>
        <v/>
      </c>
      <c r="D4606" s="6" t="n">
        <v>1</v>
      </c>
      <c r="E4606" s="6" t="inlineStr">
        <is>
          <t>R1448139A</t>
        </is>
      </c>
      <c r="F4606" s="67" t="n">
        <v>44600</v>
      </c>
      <c r="G4606" s="68" t="n"/>
    </row>
    <row r="4607">
      <c r="A4607" s="6" t="n">
        <v>88354</v>
      </c>
      <c r="B4607" s="6" t="inlineStr">
        <is>
          <t>TEREMANA BLANCO TEQUILA</t>
        </is>
      </c>
      <c r="C4607" s="7">
        <f>VLOOKUP(A4607,SizeData!A$2:B$3839,2,FALSE)</f>
        <v/>
      </c>
      <c r="D4607" s="6" t="n">
        <v>1</v>
      </c>
      <c r="E4607" s="6" t="inlineStr">
        <is>
          <t>R1606546</t>
        </is>
      </c>
      <c r="F4607" s="67" t="n">
        <v>44690</v>
      </c>
      <c r="G4607" s="68" t="n"/>
    </row>
    <row r="4608">
      <c r="A4608" s="6" t="n">
        <v>88354</v>
      </c>
      <c r="B4608" s="6" t="inlineStr">
        <is>
          <t>TEREMANA BLANCO TEQUILA</t>
        </is>
      </c>
      <c r="C4608" s="7">
        <f>VLOOKUP(A4608,SizeData!A$2:B$3839,2,FALSE)</f>
        <v/>
      </c>
      <c r="D4608" s="6" t="n">
        <v>6</v>
      </c>
      <c r="E4608" s="6" t="inlineStr">
        <is>
          <t>R1649926</t>
        </is>
      </c>
      <c r="F4608" s="67" t="n">
        <v>44727</v>
      </c>
      <c r="G4608" s="68" t="n"/>
    </row>
    <row r="4609">
      <c r="A4609" s="31" t="n">
        <v>88354</v>
      </c>
      <c r="B4609" s="31" t="inlineStr">
        <is>
          <t>TEREMANA BLANCO TEQUILA</t>
        </is>
      </c>
      <c r="C4609" s="7">
        <f>VLOOKUP(A4609,SizeData!A$2:B$3839,2,FALSE)</f>
        <v/>
      </c>
      <c r="D4609" s="31" t="n">
        <v>5</v>
      </c>
      <c r="E4609" s="31" t="inlineStr">
        <is>
          <t>R1673405</t>
        </is>
      </c>
      <c r="F4609" s="82" t="n">
        <v>44742</v>
      </c>
      <c r="G4609" s="83" t="n"/>
    </row>
    <row r="4610">
      <c r="A4610" s="6" t="n">
        <v>88369</v>
      </c>
      <c r="B4610" s="6" t="inlineStr">
        <is>
          <t>TEREMANA REPOSADO TEQUILA</t>
        </is>
      </c>
      <c r="C4610" s="7">
        <f>VLOOKUP(A4610,SizeData!A$2:B$3839,2,FALSE)</f>
        <v/>
      </c>
      <c r="D4610" s="6" t="n">
        <v>2</v>
      </c>
      <c r="E4610" s="6" t="inlineStr">
        <is>
          <t>R1444066</t>
        </is>
      </c>
      <c r="F4610" s="67" t="n">
        <v>44595</v>
      </c>
      <c r="G4610" s="68" t="n"/>
    </row>
    <row r="4611">
      <c r="A4611" s="6" t="n">
        <v>88369</v>
      </c>
      <c r="B4611" s="6" t="inlineStr">
        <is>
          <t>TEREMANA REPOSADO TEQUILA</t>
        </is>
      </c>
      <c r="C4611" s="7">
        <f>VLOOKUP(A4611,SizeData!A$2:B$3839,2,FALSE)</f>
        <v/>
      </c>
      <c r="D4611" s="6" t="n">
        <v>6</v>
      </c>
      <c r="E4611" s="6" t="inlineStr">
        <is>
          <t>R1652504</t>
        </is>
      </c>
      <c r="F4611" s="67" t="n">
        <v>44726</v>
      </c>
      <c r="G4611" s="68" t="n"/>
    </row>
    <row r="4612">
      <c r="A4612" s="31" t="n">
        <v>88369</v>
      </c>
      <c r="B4612" s="31" t="inlineStr">
        <is>
          <t>TEREMANA REPOSADO TEQUILA</t>
        </is>
      </c>
      <c r="C4612" s="7">
        <f>VLOOKUP(A4612,SizeData!A$2:B$3839,2,FALSE)</f>
        <v/>
      </c>
      <c r="D4612" s="31" t="n">
        <v>5</v>
      </c>
      <c r="E4612" s="31" t="inlineStr">
        <is>
          <t>R1673405</t>
        </is>
      </c>
      <c r="F4612" s="82" t="n">
        <v>44742</v>
      </c>
      <c r="G4612" s="83" t="n"/>
    </row>
    <row r="4613">
      <c r="A4613" s="6" t="n">
        <v>88371</v>
      </c>
      <c r="B4613" s="6" t="inlineStr">
        <is>
          <t>TEREMANA BLANCO TEQUILA</t>
        </is>
      </c>
      <c r="C4613" s="7">
        <f>VLOOKUP(A4613,SizeData!A$2:B$3839,2,FALSE)</f>
        <v/>
      </c>
      <c r="D4613" s="6" t="n">
        <v>2</v>
      </c>
      <c r="E4613" s="6" t="inlineStr">
        <is>
          <t>R1683808</t>
        </is>
      </c>
      <c r="F4613" s="67" t="n">
        <v>44754</v>
      </c>
      <c r="G4613" s="68" t="n"/>
    </row>
    <row r="4614">
      <c r="A4614" s="6" t="n">
        <v>88371</v>
      </c>
      <c r="B4614" s="6" t="inlineStr">
        <is>
          <t>TEREMANA BLANCO TEQUILA</t>
        </is>
      </c>
      <c r="C4614" s="7">
        <f>VLOOKUP(A4614,SizeData!A$2:B$3839,2,FALSE)</f>
        <v/>
      </c>
      <c r="D4614" s="6" t="n">
        <v>3</v>
      </c>
      <c r="E4614" s="6" t="inlineStr">
        <is>
          <t>R1712710</t>
        </is>
      </c>
      <c r="F4614" s="67" t="n">
        <v>44772</v>
      </c>
      <c r="G4614" s="68" t="n"/>
    </row>
    <row r="4615">
      <c r="A4615" s="6" t="n">
        <v>88371</v>
      </c>
      <c r="B4615" s="6" t="inlineStr">
        <is>
          <t>TEREMANA BLANCO TEQUILA</t>
        </is>
      </c>
      <c r="C4615" s="7">
        <f>VLOOKUP(A4615,SizeData!A$2:B$3839,2,FALSE)</f>
        <v/>
      </c>
      <c r="D4615" s="6" t="n">
        <v>10</v>
      </c>
      <c r="E4615" s="6" t="inlineStr">
        <is>
          <t>R1842470</t>
        </is>
      </c>
      <c r="F4615" s="67" t="n">
        <v>44866</v>
      </c>
      <c r="G4615" s="68" t="n"/>
    </row>
    <row r="4616">
      <c r="A4616" s="6" t="n">
        <v>88372</v>
      </c>
      <c r="B4616" s="6" t="inlineStr">
        <is>
          <t>TEREMANA REPOSADO TEQUILA</t>
        </is>
      </c>
      <c r="C4616" s="7">
        <f>VLOOKUP(A4616,SizeData!A$2:B$3839,2,FALSE)</f>
        <v/>
      </c>
      <c r="D4616" s="6" t="n">
        <v>1</v>
      </c>
      <c r="E4616" s="6" t="inlineStr">
        <is>
          <t>R1470632</t>
        </is>
      </c>
      <c r="F4616" s="67" t="n">
        <v>44605</v>
      </c>
      <c r="G4616" s="68" t="n"/>
    </row>
    <row r="4617">
      <c r="A4617" s="6" t="n">
        <v>88372</v>
      </c>
      <c r="B4617" s="6" t="inlineStr">
        <is>
          <t>TEREMANA REPOSADO TEQUILA</t>
        </is>
      </c>
      <c r="C4617" s="7">
        <f>VLOOKUP(A4617,SizeData!A$2:B$3839,2,FALSE)</f>
        <v/>
      </c>
      <c r="D4617" s="6" t="n">
        <v>1</v>
      </c>
      <c r="E4617" s="6" t="inlineStr">
        <is>
          <t>R1469832</t>
        </is>
      </c>
      <c r="F4617" s="67" t="n">
        <v>44615</v>
      </c>
      <c r="G4617" s="68" t="n"/>
    </row>
    <row r="4618">
      <c r="A4618" s="6" t="n">
        <v>88372</v>
      </c>
      <c r="B4618" s="6" t="inlineStr">
        <is>
          <t>TEREMANA REPOSADO TEQUILA</t>
        </is>
      </c>
      <c r="C4618" s="7">
        <f>VLOOKUP(A4618,SizeData!A$2:B$3839,2,FALSE)</f>
        <v/>
      </c>
      <c r="D4618" s="6" t="n">
        <v>1</v>
      </c>
      <c r="E4618" s="6" t="inlineStr">
        <is>
          <t>R1545849</t>
        </is>
      </c>
      <c r="F4618" s="67" t="n">
        <v>44648</v>
      </c>
      <c r="G4618" s="68" t="n"/>
    </row>
    <row r="4619">
      <c r="A4619" s="6" t="n">
        <v>88372</v>
      </c>
      <c r="B4619" s="6" t="inlineStr">
        <is>
          <t>TEREMANA REPOSADO TEQUILA</t>
        </is>
      </c>
      <c r="C4619" s="7">
        <f>VLOOKUP(A4619,SizeData!A$2:B$3839,2,FALSE)</f>
        <v/>
      </c>
      <c r="D4619" s="6" t="n">
        <v>3</v>
      </c>
      <c r="E4619" s="6" t="inlineStr">
        <is>
          <t>R1549891</t>
        </is>
      </c>
      <c r="F4619" s="67" t="n">
        <v>44656</v>
      </c>
      <c r="G4619" s="68" t="n"/>
    </row>
    <row r="4620">
      <c r="A4620" s="6" t="n">
        <v>88372</v>
      </c>
      <c r="B4620" s="6" t="inlineStr">
        <is>
          <t>TEREMANA REPOSADO TEQUILA</t>
        </is>
      </c>
      <c r="C4620" s="7">
        <f>VLOOKUP(A4620,SizeData!A$2:B$3839,2,FALSE)</f>
        <v/>
      </c>
      <c r="D4620" s="6" t="n">
        <v>3</v>
      </c>
      <c r="E4620" s="6" t="inlineStr">
        <is>
          <t>R1596233</t>
        </is>
      </c>
      <c r="F4620" s="67" t="n">
        <v>44681</v>
      </c>
      <c r="G4620" s="68" t="n"/>
    </row>
    <row r="4621">
      <c r="A4621" s="6" t="n">
        <v>88372</v>
      </c>
      <c r="B4621" s="6" t="inlineStr">
        <is>
          <t>TEREMANA REPOSADO TEQUILA</t>
        </is>
      </c>
      <c r="C4621" s="7">
        <f>VLOOKUP(A4621,SizeData!A$2:B$3839,2,FALSE)</f>
        <v/>
      </c>
      <c r="D4621" s="6" t="n">
        <v>1</v>
      </c>
      <c r="E4621" s="6" t="inlineStr">
        <is>
          <t>R1596233</t>
        </is>
      </c>
      <c r="F4621" s="67" t="n">
        <v>44681</v>
      </c>
      <c r="G4621" s="68" t="n"/>
    </row>
    <row r="4622">
      <c r="A4622" s="6" t="n">
        <v>88372</v>
      </c>
      <c r="B4622" s="6" t="inlineStr">
        <is>
          <t>TEREMANA REPOSADO TEQUILA</t>
        </is>
      </c>
      <c r="C4622" s="7">
        <f>VLOOKUP(A4622,SizeData!A$2:B$3839,2,FALSE)</f>
        <v/>
      </c>
      <c r="D4622" s="6" t="n">
        <v>1</v>
      </c>
      <c r="E4622" s="6" t="inlineStr">
        <is>
          <t>R1699703</t>
        </is>
      </c>
      <c r="F4622" s="67" t="n">
        <v>44765</v>
      </c>
      <c r="G4622" s="68" t="n"/>
    </row>
    <row r="4623">
      <c r="A4623" s="6" t="n">
        <v>88372</v>
      </c>
      <c r="B4623" s="6" t="inlineStr">
        <is>
          <t>TEREMANA REPOSADO TEQUILA</t>
        </is>
      </c>
      <c r="C4623" s="7">
        <f>VLOOKUP(A4623,SizeData!A$2:B$3839,2,FALSE)</f>
        <v/>
      </c>
      <c r="D4623" s="6" t="n">
        <v>1</v>
      </c>
      <c r="E4623" s="6" t="inlineStr">
        <is>
          <t>R1712710</t>
        </is>
      </c>
      <c r="F4623" s="67" t="n">
        <v>44772</v>
      </c>
      <c r="G4623" s="68" t="n"/>
    </row>
    <row r="4624">
      <c r="A4624" s="26" t="n">
        <v>88372</v>
      </c>
      <c r="B4624" s="26" t="inlineStr">
        <is>
          <t>TEREMANA REPOSADO TEQUILA</t>
        </is>
      </c>
      <c r="C4624" s="7">
        <f>VLOOKUP(A4624,SizeData!A$2:B$3839,2,FALSE)</f>
        <v/>
      </c>
      <c r="D4624" s="26" t="n">
        <v>1</v>
      </c>
      <c r="E4624" s="26" t="inlineStr">
        <is>
          <t>R1763684</t>
        </is>
      </c>
      <c r="F4624" s="72" t="n">
        <v>44821</v>
      </c>
      <c r="G4624" s="73" t="n"/>
    </row>
    <row r="4625">
      <c r="A4625" s="6" t="n">
        <v>88372</v>
      </c>
      <c r="B4625" s="6" t="inlineStr">
        <is>
          <t>TEREMANA REPOSADO TEQUILA</t>
        </is>
      </c>
      <c r="C4625" s="7">
        <f>VLOOKUP(A4625,SizeData!A$2:B$3839,2,FALSE)</f>
        <v/>
      </c>
      <c r="D4625" s="6" t="n">
        <v>1</v>
      </c>
      <c r="E4625" s="6" t="inlineStr">
        <is>
          <t>R1791500</t>
        </is>
      </c>
      <c r="F4625" s="67" t="n">
        <v>44835</v>
      </c>
      <c r="G4625" s="68" t="n"/>
    </row>
    <row r="4626">
      <c r="A4626" s="6" t="n">
        <v>88372</v>
      </c>
      <c r="B4626" s="6" t="inlineStr">
        <is>
          <t>TEREMANA REPOSADO TEQUILA</t>
        </is>
      </c>
      <c r="C4626" s="7">
        <f>VLOOKUP(A4626,SizeData!A$2:B$3839,2,FALSE)</f>
        <v/>
      </c>
      <c r="D4626" s="6" t="n">
        <v>2</v>
      </c>
      <c r="E4626" s="6" t="inlineStr">
        <is>
          <t>R1811635</t>
        </is>
      </c>
      <c r="F4626" s="67" t="n">
        <v>44845</v>
      </c>
      <c r="G4626" s="68" t="n"/>
    </row>
    <row r="4627">
      <c r="A4627" s="6" t="n">
        <v>88372</v>
      </c>
      <c r="B4627" s="6" t="inlineStr">
        <is>
          <t>TEREMANA REPOSADO TEQUILA</t>
        </is>
      </c>
      <c r="C4627" s="7">
        <f>VLOOKUP(A4627,SizeData!A$2:B$3839,2,FALSE)</f>
        <v/>
      </c>
      <c r="D4627" s="6" t="n">
        <v>15</v>
      </c>
      <c r="E4627" s="6" t="inlineStr">
        <is>
          <t>R1842470</t>
        </is>
      </c>
      <c r="F4627" s="67" t="n">
        <v>44866</v>
      </c>
      <c r="G4627" s="68" t="n"/>
    </row>
    <row r="4628">
      <c r="A4628" s="6" t="n">
        <v>5842</v>
      </c>
      <c r="B4628" s="6" t="inlineStr">
        <is>
          <t>THE GLENLIVET 14</t>
        </is>
      </c>
      <c r="C4628" s="7">
        <f>VLOOKUP(A4628,SizeData!A$2:B$3839,2,FALSE)</f>
        <v/>
      </c>
      <c r="D4628" s="6" t="n">
        <v>1</v>
      </c>
      <c r="E4628" s="6" t="inlineStr">
        <is>
          <t>R1386761</t>
        </is>
      </c>
      <c r="F4628" s="67" t="n">
        <v>44557</v>
      </c>
      <c r="G4628" s="68" t="n"/>
    </row>
    <row r="4629">
      <c r="A4629" s="6" t="n">
        <v>5842</v>
      </c>
      <c r="B4629" s="6" t="inlineStr">
        <is>
          <t>THE GLENLIVET 14</t>
        </is>
      </c>
      <c r="C4629" s="7">
        <f>VLOOKUP(A4629,SizeData!A$2:B$3839,2,FALSE)</f>
        <v/>
      </c>
      <c r="D4629" s="6" t="n">
        <v>2</v>
      </c>
      <c r="E4629" s="6" t="inlineStr">
        <is>
          <t>R1585685</t>
        </is>
      </c>
      <c r="F4629" s="67" t="n">
        <v>44679</v>
      </c>
      <c r="G4629" s="68" t="n"/>
    </row>
    <row r="4630">
      <c r="A4630" s="6" t="n">
        <v>5842</v>
      </c>
      <c r="B4630" s="6" t="inlineStr">
        <is>
          <t>THE GLENLIVET 14</t>
        </is>
      </c>
      <c r="C4630" s="7">
        <f>VLOOKUP(A4630,SizeData!A$2:B$3839,2,FALSE)</f>
        <v/>
      </c>
      <c r="D4630" s="6" t="n">
        <v>3</v>
      </c>
      <c r="E4630" s="6" t="inlineStr">
        <is>
          <t>R1830260</t>
        </is>
      </c>
      <c r="F4630" s="67" t="n">
        <v>44853</v>
      </c>
      <c r="G4630" s="68" t="n"/>
    </row>
    <row r="4631">
      <c r="A4631" s="6" t="n">
        <v>5924</v>
      </c>
      <c r="B4631" s="6" t="inlineStr">
        <is>
          <t>THE GLENLIVET CARIBBEAN RESERVE</t>
        </is>
      </c>
      <c r="C4631" s="7">
        <f>VLOOKUP(A4631,SizeData!A$2:B$3839,2,FALSE)</f>
        <v/>
      </c>
      <c r="D4631" s="6" t="n">
        <v>2</v>
      </c>
      <c r="E4631" s="6" t="inlineStr">
        <is>
          <t>R1496619</t>
        </is>
      </c>
      <c r="F4631" s="67" t="n">
        <v>44621</v>
      </c>
      <c r="G4631" s="68" t="n"/>
    </row>
    <row r="4632">
      <c r="A4632" s="6" t="n">
        <v>5924</v>
      </c>
      <c r="B4632" s="6" t="inlineStr">
        <is>
          <t>THE GLENLIVET CARIBBEAN RESERVE</t>
        </is>
      </c>
      <c r="C4632" s="7">
        <f>VLOOKUP(A4632,SizeData!A$2:B$3839,2,FALSE)</f>
        <v/>
      </c>
      <c r="D4632" s="6" t="n">
        <v>5</v>
      </c>
      <c r="E4632" s="6" t="inlineStr">
        <is>
          <t>R1527957</t>
        </is>
      </c>
      <c r="F4632" s="67" t="n">
        <v>44644</v>
      </c>
      <c r="G4632" s="68" t="n"/>
    </row>
    <row r="4633">
      <c r="A4633" s="6" t="n">
        <v>5924</v>
      </c>
      <c r="B4633" s="6" t="inlineStr">
        <is>
          <t>THE GLENLIVET CARIBBEAN RESERVE</t>
        </is>
      </c>
      <c r="C4633" s="7">
        <f>VLOOKUP(A4633,SizeData!A$2:B$3839,2,FALSE)</f>
        <v/>
      </c>
      <c r="D4633" s="6" t="n">
        <v>3</v>
      </c>
      <c r="E4633" s="6" t="inlineStr">
        <is>
          <t>R1613626</t>
        </is>
      </c>
      <c r="F4633" s="67" t="n">
        <v>44697</v>
      </c>
      <c r="G4633" s="68" t="n"/>
    </row>
    <row r="4634">
      <c r="A4634" s="31" t="n">
        <v>5924</v>
      </c>
      <c r="B4634" s="31" t="inlineStr">
        <is>
          <t>THE GLENLIVET CARIBBEAN RESERVE</t>
        </is>
      </c>
      <c r="C4634" s="7">
        <f>VLOOKUP(A4634,SizeData!A$2:B$3839,2,FALSE)</f>
        <v/>
      </c>
      <c r="D4634" s="31" t="n">
        <v>5</v>
      </c>
      <c r="E4634" s="31" t="inlineStr">
        <is>
          <t>R1743402</t>
        </is>
      </c>
      <c r="F4634" s="82" t="n">
        <v>44796</v>
      </c>
      <c r="G4634" s="83" t="n"/>
    </row>
    <row r="4635">
      <c r="A4635" s="26" t="n">
        <v>5924</v>
      </c>
      <c r="B4635" s="26" t="inlineStr">
        <is>
          <t>THE GLENLIVET CARIBBEAN RESERVE</t>
        </is>
      </c>
      <c r="C4635" s="7">
        <f>VLOOKUP(A4635,SizeData!A$2:B$3839,2,FALSE)</f>
        <v/>
      </c>
      <c r="D4635" s="26" t="n">
        <v>5</v>
      </c>
      <c r="E4635" s="26" t="inlineStr">
        <is>
          <t>R1746474</t>
        </is>
      </c>
      <c r="F4635" s="72" t="n">
        <v>44803</v>
      </c>
      <c r="G4635" s="73" t="n"/>
    </row>
    <row r="4636">
      <c r="A4636" s="6" t="n">
        <v>5924</v>
      </c>
      <c r="B4636" s="6" t="inlineStr">
        <is>
          <t>THE GLENLIVET CARIBBEAN RESERVE</t>
        </is>
      </c>
      <c r="C4636" s="7">
        <f>VLOOKUP(A4636,SizeData!A$2:B$3839,2,FALSE)</f>
        <v/>
      </c>
      <c r="D4636" s="6" t="n">
        <v>12</v>
      </c>
      <c r="E4636" s="6" t="inlineStr">
        <is>
          <t>R1819731</t>
        </is>
      </c>
      <c r="F4636" s="67" t="n">
        <v>44853</v>
      </c>
      <c r="G4636" s="68" t="n"/>
    </row>
    <row r="4637">
      <c r="A4637" s="6" t="n">
        <v>5555</v>
      </c>
      <c r="B4637" s="6" t="inlineStr">
        <is>
          <t>THE MACALLAN DOUBLE CASK 12Y HIGHLAND SINGLE MALT</t>
        </is>
      </c>
      <c r="C4637" s="7">
        <f>VLOOKUP(A4637,SizeData!A$2:B$3839,2,FALSE)</f>
        <v/>
      </c>
      <c r="D4637" s="6" t="n">
        <v>1</v>
      </c>
      <c r="E4637" s="6" t="inlineStr">
        <is>
          <t>R1607750</t>
        </is>
      </c>
      <c r="F4637" s="67" t="n">
        <v>44691</v>
      </c>
      <c r="G4637" s="68" t="n"/>
    </row>
    <row r="4638">
      <c r="A4638" s="6" t="n">
        <v>5555</v>
      </c>
      <c r="B4638" s="6" t="inlineStr">
        <is>
          <t>THE MACALLAN DOUBLE CASK 12Y HIGHLAND SINGLE MALT</t>
        </is>
      </c>
      <c r="C4638" s="7">
        <f>VLOOKUP(A4638,SizeData!A$2:B$3839,2,FALSE)</f>
        <v/>
      </c>
      <c r="D4638" s="6" t="n">
        <v>2</v>
      </c>
      <c r="E4638" s="6" t="inlineStr">
        <is>
          <t>R1629823</t>
        </is>
      </c>
      <c r="F4638" s="67" t="n">
        <v>44713</v>
      </c>
      <c r="G4638" s="68" t="n"/>
    </row>
    <row r="4639">
      <c r="A4639" s="6" t="n">
        <v>5555</v>
      </c>
      <c r="B4639" s="6" t="inlineStr">
        <is>
          <t>THE MACALLAN DOUBLE CASK 12Y HIGHLAND SINGLE MALT</t>
        </is>
      </c>
      <c r="C4639" s="7">
        <f>VLOOKUP(A4639,SizeData!A$2:B$3839,2,FALSE)</f>
        <v/>
      </c>
      <c r="D4639" s="6" t="n">
        <v>1</v>
      </c>
      <c r="E4639" s="6" t="inlineStr">
        <is>
          <t>R1767069</t>
        </is>
      </c>
      <c r="F4639" s="67" t="n">
        <v>44814</v>
      </c>
      <c r="G4639" s="68" t="n"/>
    </row>
    <row r="4640">
      <c r="A4640" s="6" t="n">
        <v>5555</v>
      </c>
      <c r="B4640" s="6" t="inlineStr">
        <is>
          <t>THE MACALLAN DOUBLE CASK 12Y HIGHLAND SINGLE MALT</t>
        </is>
      </c>
      <c r="C4640" s="7">
        <f>VLOOKUP(A4640,SizeData!A$2:B$3839,2,FALSE)</f>
        <v/>
      </c>
      <c r="D4640" s="6" t="n">
        <v>8</v>
      </c>
      <c r="E4640" s="6" t="inlineStr">
        <is>
          <t>R1850553</t>
        </is>
      </c>
      <c r="F4640" s="67" t="n">
        <v>44865</v>
      </c>
      <c r="G4640" s="68" t="n"/>
    </row>
    <row r="4641">
      <c r="A4641" s="6" t="n">
        <v>5977</v>
      </c>
      <c r="B4641" s="6" t="inlineStr">
        <is>
          <t>THE MACALLAN DOUBLE CASK 15YR HIGHLND SINGLE MALT</t>
        </is>
      </c>
      <c r="C4641" s="7">
        <f>VLOOKUP(A4641,SizeData!A$2:B$3839,2,FALSE)</f>
        <v/>
      </c>
      <c r="D4641" s="6" t="n">
        <v>1</v>
      </c>
      <c r="E4641" s="6" t="inlineStr">
        <is>
          <t>R1398783</t>
        </is>
      </c>
      <c r="F4641" s="67" t="n">
        <v>44572</v>
      </c>
      <c r="G4641" s="68" t="n"/>
    </row>
    <row r="4642">
      <c r="A4642" s="6" t="n">
        <v>5515</v>
      </c>
      <c r="B4642" s="6" t="inlineStr">
        <is>
          <t>THE MACALLAN SINGLE MALT 18 YEAR</t>
        </is>
      </c>
      <c r="C4642" s="7">
        <f>VLOOKUP(A4642,SizeData!A$2:B$3839,2,FALSE)</f>
        <v/>
      </c>
      <c r="D4642" s="6" t="n">
        <v>1</v>
      </c>
      <c r="E4642" s="6" t="inlineStr">
        <is>
          <t>R1398783</t>
        </is>
      </c>
      <c r="F4642" s="67" t="n">
        <v>44572</v>
      </c>
      <c r="G4642" s="68" t="n"/>
    </row>
    <row r="4643">
      <c r="A4643" s="6" t="n">
        <v>632833</v>
      </c>
      <c r="B4643" s="6" t="inlineStr">
        <is>
          <t>THREE WISHES CHARDONNAY</t>
        </is>
      </c>
      <c r="C4643" s="7">
        <f>VLOOKUP(A4643,SizeData!A$2:B$3839,2,FALSE)</f>
        <v/>
      </c>
      <c r="D4643" s="6" t="n">
        <v>1</v>
      </c>
      <c r="E4643" s="6" t="inlineStr">
        <is>
          <t>R1825803</t>
        </is>
      </c>
      <c r="F4643" s="67" t="n">
        <v>44847</v>
      </c>
      <c r="G4643" s="68" t="n"/>
    </row>
    <row r="4644">
      <c r="A4644" s="6" t="n">
        <v>632831</v>
      </c>
      <c r="B4644" s="6" t="inlineStr">
        <is>
          <t>THREE WISHES PINOT GRIGIO/COLOMBARD</t>
        </is>
      </c>
      <c r="C4644" s="7">
        <f>VLOOKUP(A4644,SizeData!A$2:B$3839,2,FALSE)</f>
        <v/>
      </c>
      <c r="D4644" s="6" t="n">
        <v>1</v>
      </c>
      <c r="E4644" s="6" t="inlineStr">
        <is>
          <t>R1617418</t>
        </is>
      </c>
      <c r="F4644" s="67" t="n">
        <v>44699</v>
      </c>
      <c r="G4644" s="68" t="n"/>
    </row>
    <row r="4645">
      <c r="A4645" s="6" t="n">
        <v>38178</v>
      </c>
      <c r="B4645" s="6" t="inlineStr">
        <is>
          <t>TITO'S HANDMADE VODKA</t>
        </is>
      </c>
      <c r="C4645" s="7">
        <f>VLOOKUP(A4645,SizeData!A$2:B$3839,2,FALSE)</f>
        <v/>
      </c>
      <c r="D4645" s="6" t="n">
        <v>5</v>
      </c>
      <c r="E4645" s="6" t="inlineStr">
        <is>
          <t>R1486336</t>
        </is>
      </c>
      <c r="F4645" s="67" t="n">
        <v>44620</v>
      </c>
      <c r="G4645" s="68" t="n"/>
    </row>
    <row r="4646">
      <c r="A4646" s="6" t="n">
        <v>38178</v>
      </c>
      <c r="B4646" s="6" t="inlineStr">
        <is>
          <t>TITO'S HANDMADE VODKA</t>
        </is>
      </c>
      <c r="C4646" s="7">
        <f>VLOOKUP(A4646,SizeData!A$2:B$3839,2,FALSE)</f>
        <v/>
      </c>
      <c r="D4646" s="6" t="n">
        <v>5</v>
      </c>
      <c r="E4646" s="6" t="inlineStr">
        <is>
          <t>R1500714</t>
        </is>
      </c>
      <c r="F4646" s="67" t="n">
        <v>44620</v>
      </c>
      <c r="G4646" s="68" t="n"/>
    </row>
    <row r="4647">
      <c r="A4647" s="6" t="n">
        <v>38178</v>
      </c>
      <c r="B4647" s="6" t="inlineStr">
        <is>
          <t>TITO'S HANDMADE VODKA</t>
        </is>
      </c>
      <c r="C4647" s="7">
        <f>VLOOKUP(A4647,SizeData!A$2:B$3839,2,FALSE)</f>
        <v/>
      </c>
      <c r="D4647" s="6" t="n">
        <v>5</v>
      </c>
      <c r="E4647" s="6" t="inlineStr">
        <is>
          <t>R1587262</t>
        </is>
      </c>
      <c r="F4647" s="67" t="n">
        <v>44682</v>
      </c>
      <c r="G4647" s="68" t="n"/>
    </row>
    <row r="4648">
      <c r="A4648" s="6" t="n">
        <v>38178</v>
      </c>
      <c r="B4648" s="6" t="inlineStr">
        <is>
          <t>TITO'S HANDMADE VODKA</t>
        </is>
      </c>
      <c r="C4648" s="7">
        <f>VLOOKUP(A4648,SizeData!A$2:B$3839,2,FALSE)</f>
        <v/>
      </c>
      <c r="D4648" s="6" t="n">
        <v>10</v>
      </c>
      <c r="E4648" s="6" t="inlineStr">
        <is>
          <t>R1592761</t>
        </is>
      </c>
      <c r="F4648" s="67" t="n">
        <v>44683</v>
      </c>
      <c r="G4648" s="68" t="n"/>
    </row>
    <row r="4649">
      <c r="A4649" s="6" t="n">
        <v>38178</v>
      </c>
      <c r="B4649" s="6" t="inlineStr">
        <is>
          <t>TITO'S HANDMADE VODKA</t>
        </is>
      </c>
      <c r="C4649" s="7">
        <f>VLOOKUP(A4649,SizeData!A$2:B$3839,2,FALSE)</f>
        <v/>
      </c>
      <c r="D4649" s="6" t="n">
        <v>3</v>
      </c>
      <c r="E4649" s="6" t="inlineStr">
        <is>
          <t>R1624762</t>
        </is>
      </c>
      <c r="F4649" s="67" t="n">
        <v>44712</v>
      </c>
      <c r="G4649" s="68" t="n"/>
    </row>
    <row r="4650">
      <c r="A4650" s="6" t="n">
        <v>38178</v>
      </c>
      <c r="B4650" s="6" t="inlineStr">
        <is>
          <t>TITO'S HANDMADE VODKA</t>
        </is>
      </c>
      <c r="C4650" s="7">
        <f>VLOOKUP(A4650,SizeData!A$2:B$3839,2,FALSE)</f>
        <v/>
      </c>
      <c r="D4650" s="6" t="n">
        <v>10</v>
      </c>
      <c r="E4650" s="6" t="inlineStr">
        <is>
          <t>R1713113</t>
        </is>
      </c>
      <c r="F4650" s="67" t="n">
        <v>44774</v>
      </c>
      <c r="G4650" s="68" t="n"/>
    </row>
    <row r="4651">
      <c r="A4651" s="6" t="n">
        <v>38178</v>
      </c>
      <c r="B4651" s="6" t="inlineStr">
        <is>
          <t>TITO'S HANDMADE VODKA</t>
        </is>
      </c>
      <c r="C4651" s="7">
        <f>VLOOKUP(A4651,SizeData!A$2:B$3839,2,FALSE)</f>
        <v/>
      </c>
      <c r="D4651" s="6" t="n">
        <v>20</v>
      </c>
      <c r="E4651" s="6" t="inlineStr">
        <is>
          <t>R1844517</t>
        </is>
      </c>
      <c r="F4651" s="67" t="n">
        <v>44866</v>
      </c>
      <c r="G4651" s="68" t="n"/>
    </row>
    <row r="4652">
      <c r="A4652" s="6" t="n">
        <v>38178</v>
      </c>
      <c r="B4652" s="6" t="inlineStr">
        <is>
          <t>TITO'S HANDMADE VODKA</t>
        </is>
      </c>
      <c r="C4652" s="7">
        <f>VLOOKUP(A4652,SizeData!A$2:B$3839,2,FALSE)</f>
        <v/>
      </c>
      <c r="D4652" s="6" t="n">
        <v>7</v>
      </c>
      <c r="E4652" s="6" t="inlineStr">
        <is>
          <t>R1876430</t>
        </is>
      </c>
      <c r="F4652" s="67" t="n">
        <v>44886</v>
      </c>
      <c r="G4652" s="68" t="n"/>
    </row>
    <row r="4653">
      <c r="A4653" s="6" t="n">
        <v>38177</v>
      </c>
      <c r="B4653" s="6" t="inlineStr">
        <is>
          <t>TITO'S HANDMADE VODKA</t>
        </is>
      </c>
      <c r="C4653" s="7">
        <f>VLOOKUP(A4653,SizeData!A$2:B$3839,2,FALSE)</f>
        <v/>
      </c>
      <c r="D4653" s="6" t="n">
        <v>1</v>
      </c>
      <c r="E4653" s="6" t="inlineStr">
        <is>
          <t>R1566241</t>
        </is>
      </c>
      <c r="F4653" s="67" t="n">
        <v>44663</v>
      </c>
      <c r="G4653" s="68" t="n"/>
    </row>
    <row r="4654">
      <c r="A4654" s="6" t="n">
        <v>38177</v>
      </c>
      <c r="B4654" s="6" t="inlineStr">
        <is>
          <t>TITO'S HANDMADE VODKA</t>
        </is>
      </c>
      <c r="C4654" s="7">
        <f>VLOOKUP(A4654,SizeData!A$2:B$3839,2,FALSE)</f>
        <v/>
      </c>
      <c r="D4654" s="6" t="n">
        <v>1</v>
      </c>
      <c r="E4654" s="6" t="inlineStr">
        <is>
          <t>R1567619</t>
        </is>
      </c>
      <c r="F4654" s="67" t="n">
        <v>44663</v>
      </c>
      <c r="G4654" s="68" t="n"/>
    </row>
    <row r="4655">
      <c r="A4655" s="6" t="n">
        <v>38177</v>
      </c>
      <c r="B4655" s="6" t="inlineStr">
        <is>
          <t>TITO'S HANDMADE VODKA</t>
        </is>
      </c>
      <c r="C4655" s="7">
        <f>VLOOKUP(A4655,SizeData!A$2:B$3839,2,FALSE)</f>
        <v/>
      </c>
      <c r="D4655" s="6" t="n">
        <v>4</v>
      </c>
      <c r="E4655" s="6" t="inlineStr">
        <is>
          <t>R1572905</t>
        </is>
      </c>
      <c r="F4655" s="67" t="n">
        <v>44667</v>
      </c>
      <c r="G4655" s="68" t="n"/>
    </row>
    <row r="4656">
      <c r="A4656" s="6" t="n">
        <v>38177</v>
      </c>
      <c r="B4656" s="6" t="inlineStr">
        <is>
          <t>TITO'S HANDMADE VODKA</t>
        </is>
      </c>
      <c r="C4656" s="7">
        <f>VLOOKUP(A4656,SizeData!A$2:B$3839,2,FALSE)</f>
        <v/>
      </c>
      <c r="D4656" s="6" t="n">
        <v>3</v>
      </c>
      <c r="E4656" s="6" t="inlineStr">
        <is>
          <t>R1591903</t>
        </is>
      </c>
      <c r="F4656" s="67" t="n">
        <v>44678</v>
      </c>
      <c r="G4656" s="68" t="n"/>
    </row>
    <row r="4657">
      <c r="A4657" s="6" t="n">
        <v>38177</v>
      </c>
      <c r="B4657" s="6" t="inlineStr">
        <is>
          <t>TITO'S HANDMADE VODKA</t>
        </is>
      </c>
      <c r="C4657" s="7">
        <f>VLOOKUP(A4657,SizeData!A$2:B$3839,2,FALSE)</f>
        <v/>
      </c>
      <c r="D4657" s="6" t="n">
        <v>4</v>
      </c>
      <c r="E4657" s="6" t="inlineStr">
        <is>
          <t>R1678551</t>
        </is>
      </c>
      <c r="F4657" s="67" t="n">
        <v>44751</v>
      </c>
      <c r="G4657" s="68" t="n"/>
    </row>
    <row r="4658">
      <c r="A4658" s="6" t="n">
        <v>38177</v>
      </c>
      <c r="B4658" s="6" t="inlineStr">
        <is>
          <t>TITO'S HANDMADE VODKA</t>
        </is>
      </c>
      <c r="C4658" s="7">
        <f>VLOOKUP(A4658,SizeData!A$2:B$3839,2,FALSE)</f>
        <v/>
      </c>
      <c r="D4658" s="6" t="n">
        <v>2</v>
      </c>
      <c r="E4658" s="6" t="inlineStr">
        <is>
          <t>R1699078</t>
        </is>
      </c>
      <c r="F4658" s="67" t="n">
        <v>44769</v>
      </c>
      <c r="G4658" s="68" t="n"/>
    </row>
    <row r="4659">
      <c r="A4659" s="6" t="n">
        <v>38177</v>
      </c>
      <c r="B4659" s="6" t="inlineStr">
        <is>
          <t>TITO'S HANDMADE VODKA</t>
        </is>
      </c>
      <c r="C4659" s="7">
        <f>VLOOKUP(A4659,SizeData!A$2:B$3839,2,FALSE)</f>
        <v/>
      </c>
      <c r="D4659" s="6" t="n">
        <v>5</v>
      </c>
      <c r="E4659" s="6" t="inlineStr">
        <is>
          <t>R1825198</t>
        </is>
      </c>
      <c r="F4659" s="67" t="n">
        <v>44853</v>
      </c>
      <c r="G4659" s="68" t="n"/>
    </row>
    <row r="4660">
      <c r="A4660" s="26" t="n">
        <v>38177</v>
      </c>
      <c r="B4660" s="26" t="inlineStr">
        <is>
          <t>TITO'S HANDMADE VODKA</t>
        </is>
      </c>
      <c r="C4660" s="75">
        <f>VLOOKUP(A4660,SizeData!A$2:B$3839,2,FALSE)</f>
        <v/>
      </c>
      <c r="D4660" s="26" t="n">
        <v>1</v>
      </c>
      <c r="E4660" s="26" t="inlineStr">
        <is>
          <t>R1825198</t>
        </is>
      </c>
      <c r="F4660" s="72" t="n">
        <v>44853</v>
      </c>
      <c r="G4660" s="73" t="n"/>
    </row>
    <row r="4661">
      <c r="A4661" s="6" t="n">
        <v>38177</v>
      </c>
      <c r="B4661" s="6" t="inlineStr">
        <is>
          <t>TITO'S HANDMADE VODKA</t>
        </is>
      </c>
      <c r="C4661" s="7">
        <f>VLOOKUP(A4661,SizeData!A$2:B$3839,2,FALSE)</f>
        <v/>
      </c>
      <c r="D4661" s="6" t="n">
        <v>5</v>
      </c>
      <c r="E4661" s="6" t="inlineStr">
        <is>
          <t>R1827327</t>
        </is>
      </c>
      <c r="F4661" s="67" t="n">
        <v>44856</v>
      </c>
      <c r="G4661" s="68" t="n"/>
    </row>
    <row r="4662">
      <c r="A4662" s="6" t="n">
        <v>38179</v>
      </c>
      <c r="B4662" s="6" t="inlineStr">
        <is>
          <t>TITO'S HANDMADE VODKA</t>
        </is>
      </c>
      <c r="C4662" s="7">
        <f>VLOOKUP(A4662,SizeData!A$2:B$3839,2,FALSE)</f>
        <v/>
      </c>
      <c r="D4662" s="6" t="n">
        <v>3</v>
      </c>
      <c r="E4662" s="6" t="inlineStr">
        <is>
          <t>R1397487</t>
        </is>
      </c>
      <c r="F4662" s="67" t="n">
        <v>44567</v>
      </c>
      <c r="G4662" s="68" t="n"/>
    </row>
    <row r="4663">
      <c r="A4663" s="6" t="n">
        <v>38179</v>
      </c>
      <c r="B4663" s="6" t="inlineStr">
        <is>
          <t>TITO'S HANDMADE VODKA</t>
        </is>
      </c>
      <c r="C4663" s="7">
        <f>VLOOKUP(A4663,SizeData!A$2:B$3839,2,FALSE)</f>
        <v/>
      </c>
      <c r="D4663" s="6" t="n">
        <v>2</v>
      </c>
      <c r="E4663" s="6" t="inlineStr">
        <is>
          <t>R1587377</t>
        </is>
      </c>
      <c r="F4663" s="67" t="n">
        <v>44681</v>
      </c>
      <c r="G4663" s="68" t="n"/>
    </row>
    <row r="4664">
      <c r="A4664" s="6" t="n">
        <v>38179</v>
      </c>
      <c r="B4664" s="6" t="inlineStr">
        <is>
          <t>TITO'S HANDMADE VODKA</t>
        </is>
      </c>
      <c r="C4664" s="7">
        <f>VLOOKUP(A4664,SizeData!A$2:B$3839,2,FALSE)</f>
        <v/>
      </c>
      <c r="D4664" s="6" t="n">
        <v>3</v>
      </c>
      <c r="E4664" s="6" t="inlineStr">
        <is>
          <t>R1675261</t>
        </is>
      </c>
      <c r="F4664" s="67" t="n">
        <v>44747</v>
      </c>
      <c r="G4664" s="68" t="n"/>
    </row>
    <row r="4665">
      <c r="A4665" s="6" t="n">
        <v>38179</v>
      </c>
      <c r="B4665" s="6" t="inlineStr">
        <is>
          <t>TITO'S HANDMADE VODKA</t>
        </is>
      </c>
      <c r="C4665" s="7">
        <f>VLOOKUP(A4665,SizeData!A$2:B$3839,2,FALSE)</f>
        <v/>
      </c>
      <c r="D4665" s="6" t="n">
        <v>4</v>
      </c>
      <c r="E4665" s="6" t="inlineStr">
        <is>
          <t>R1695857</t>
        </is>
      </c>
      <c r="F4665" s="67" t="n">
        <v>44758</v>
      </c>
      <c r="G4665" s="68" t="n"/>
    </row>
    <row r="4666">
      <c r="A4666" s="6" t="n">
        <v>38174</v>
      </c>
      <c r="B4666" s="6" t="inlineStr">
        <is>
          <t>TITO'S HANDMADE VODKA</t>
        </is>
      </c>
      <c r="C4666" s="7">
        <f>VLOOKUP(A4666,SizeData!A$2:B$3839,2,FALSE)</f>
        <v/>
      </c>
      <c r="D4666" s="6" t="n">
        <v>15</v>
      </c>
      <c r="E4666" s="6" t="inlineStr">
        <is>
          <t>R1407604</t>
        </is>
      </c>
      <c r="F4666" s="67" t="n">
        <v>44566</v>
      </c>
      <c r="G4666" s="68" t="n"/>
    </row>
    <row r="4667">
      <c r="A4667" s="6" t="n">
        <v>38174</v>
      </c>
      <c r="B4667" s="6" t="inlineStr">
        <is>
          <t>TITO'S HANDMADE VODKA</t>
        </is>
      </c>
      <c r="C4667" s="7">
        <f>VLOOKUP(A4667,SizeData!A$2:B$3839,2,FALSE)</f>
        <v/>
      </c>
      <c r="D4667" s="6" t="n">
        <v>5</v>
      </c>
      <c r="E4667" s="6" t="inlineStr">
        <is>
          <t>R1561698</t>
        </is>
      </c>
      <c r="F4667" s="67" t="n">
        <v>44663</v>
      </c>
      <c r="G4667" s="68" t="n"/>
    </row>
    <row r="4668">
      <c r="A4668" s="6" t="n">
        <v>38174</v>
      </c>
      <c r="B4668" s="6" t="inlineStr">
        <is>
          <t>TITO'S HANDMADE VODKA</t>
        </is>
      </c>
      <c r="C4668" s="7">
        <f>VLOOKUP(A4668,SizeData!A$2:B$3839,2,FALSE)</f>
        <v/>
      </c>
      <c r="D4668" s="6" t="n">
        <v>3</v>
      </c>
      <c r="E4668" s="6" t="inlineStr">
        <is>
          <t>R1591903</t>
        </is>
      </c>
      <c r="F4668" s="67" t="n">
        <v>44678</v>
      </c>
      <c r="G4668" s="68" t="n"/>
    </row>
    <row r="4669">
      <c r="A4669" s="6" t="n">
        <v>38174</v>
      </c>
      <c r="B4669" s="6" t="inlineStr">
        <is>
          <t>TITO'S HANDMADE VODKA</t>
        </is>
      </c>
      <c r="C4669" s="7">
        <f>VLOOKUP(A4669,SizeData!A$2:B$3839,2,FALSE)</f>
        <v/>
      </c>
      <c r="D4669" s="6" t="n">
        <v>3</v>
      </c>
      <c r="E4669" s="6" t="inlineStr">
        <is>
          <t>R1672878</t>
        </is>
      </c>
      <c r="F4669" s="67" t="n">
        <v>44743</v>
      </c>
      <c r="G4669" s="68" t="n"/>
    </row>
    <row r="4670">
      <c r="A4670" s="6" t="n">
        <v>38174</v>
      </c>
      <c r="B4670" s="6" t="inlineStr">
        <is>
          <t>TITO'S HANDMADE VODKA</t>
        </is>
      </c>
      <c r="C4670" s="7">
        <f>VLOOKUP(A4670,SizeData!A$2:B$3839,2,FALSE)</f>
        <v/>
      </c>
      <c r="D4670" s="6" t="n">
        <v>5</v>
      </c>
      <c r="E4670" s="6" t="inlineStr">
        <is>
          <t>R1678551</t>
        </is>
      </c>
      <c r="F4670" s="67" t="n">
        <v>44751</v>
      </c>
      <c r="G4670" s="68" t="n"/>
    </row>
    <row r="4671">
      <c r="A4671" s="6" t="n">
        <v>38174</v>
      </c>
      <c r="B4671" s="6" t="inlineStr">
        <is>
          <t>TITO'S HANDMADE VODKA</t>
        </is>
      </c>
      <c r="C4671" s="7">
        <f>VLOOKUP(A4671,SizeData!A$2:B$3839,2,FALSE)</f>
        <v/>
      </c>
      <c r="D4671" s="6" t="n">
        <v>25</v>
      </c>
      <c r="E4671" s="6" t="inlineStr">
        <is>
          <t>R1698126</t>
        </is>
      </c>
      <c r="F4671" s="67" t="n">
        <v>44763</v>
      </c>
      <c r="G4671" s="68" t="n"/>
    </row>
    <row r="4672">
      <c r="A4672" s="6" t="n">
        <v>38176</v>
      </c>
      <c r="B4672" s="6" t="inlineStr">
        <is>
          <t>TITO'S HANDMADE VODKA</t>
        </is>
      </c>
      <c r="C4672" s="7">
        <f>VLOOKUP(A4672,SizeData!A$2:B$3839,2,FALSE)</f>
        <v/>
      </c>
      <c r="D4672" s="6" t="n">
        <v>4</v>
      </c>
      <c r="E4672" s="6" t="inlineStr">
        <is>
          <t>R1399739</t>
        </is>
      </c>
      <c r="F4672" s="67" t="n">
        <v>44574</v>
      </c>
      <c r="G4672" s="68" t="n"/>
    </row>
    <row r="4673">
      <c r="A4673" s="6" t="n">
        <v>38176</v>
      </c>
      <c r="B4673" s="6" t="inlineStr">
        <is>
          <t>TITO'S HANDMADE VODKA</t>
        </is>
      </c>
      <c r="C4673" s="7">
        <f>VLOOKUP(A4673,SizeData!A$2:B$3839,2,FALSE)</f>
        <v/>
      </c>
      <c r="D4673" s="6" t="n">
        <v>2</v>
      </c>
      <c r="E4673" s="6" t="inlineStr">
        <is>
          <t>R1470632</t>
        </is>
      </c>
      <c r="F4673" s="67" t="n">
        <v>44605</v>
      </c>
      <c r="G4673" s="68" t="n"/>
    </row>
    <row r="4674">
      <c r="A4674" s="6" t="n">
        <v>38176</v>
      </c>
      <c r="B4674" s="6" t="inlineStr">
        <is>
          <t>TITO'S HANDMADE VODKA</t>
        </is>
      </c>
      <c r="C4674" s="7">
        <f>VLOOKUP(A4674,SizeData!A$2:B$3839,2,FALSE)</f>
        <v/>
      </c>
      <c r="D4674" s="6" t="n">
        <v>10</v>
      </c>
      <c r="E4674" s="6" t="inlineStr">
        <is>
          <t>R1496401</t>
        </is>
      </c>
      <c r="F4674" s="67" t="n">
        <v>44621</v>
      </c>
      <c r="G4674" s="68" t="n"/>
    </row>
    <row r="4675">
      <c r="A4675" s="6" t="n">
        <v>38176</v>
      </c>
      <c r="B4675" s="6" t="inlineStr">
        <is>
          <t>TITO'S HANDMADE VODKA</t>
        </is>
      </c>
      <c r="C4675" s="7">
        <f>VLOOKUP(A4675,SizeData!A$2:B$3839,2,FALSE)</f>
        <v/>
      </c>
      <c r="D4675" s="6" t="n">
        <v>5</v>
      </c>
      <c r="E4675" s="6" t="inlineStr">
        <is>
          <t>R1531250</t>
        </is>
      </c>
      <c r="F4675" s="67" t="n">
        <v>44639</v>
      </c>
      <c r="G4675" s="68" t="n"/>
    </row>
    <row r="4676">
      <c r="A4676" s="6" t="n">
        <v>38176</v>
      </c>
      <c r="B4676" s="6" t="inlineStr">
        <is>
          <t>TITO'S HANDMADE VODKA</t>
        </is>
      </c>
      <c r="C4676" s="7">
        <f>VLOOKUP(A4676,SizeData!A$2:B$3839,2,FALSE)</f>
        <v/>
      </c>
      <c r="D4676" s="6" t="n">
        <v>1</v>
      </c>
      <c r="E4676" s="6" t="inlineStr">
        <is>
          <t>R1522416</t>
        </is>
      </c>
      <c r="F4676" s="67" t="n">
        <v>44641</v>
      </c>
      <c r="G4676" s="68" t="n"/>
    </row>
    <row r="4677">
      <c r="A4677" s="6" t="n">
        <v>38176</v>
      </c>
      <c r="B4677" s="6" t="inlineStr">
        <is>
          <t>TITO'S HANDMADE VODKA</t>
        </is>
      </c>
      <c r="C4677" s="7">
        <f>VLOOKUP(A4677,SizeData!A$2:B$3839,2,FALSE)</f>
        <v/>
      </c>
      <c r="D4677" s="6" t="n">
        <v>3</v>
      </c>
      <c r="E4677" s="6" t="inlineStr">
        <is>
          <t>R1644631</t>
        </is>
      </c>
      <c r="F4677" s="67" t="n">
        <v>44725</v>
      </c>
      <c r="G4677" s="68" t="n"/>
    </row>
    <row r="4678">
      <c r="A4678" s="6" t="n">
        <v>38176</v>
      </c>
      <c r="B4678" s="6" t="inlineStr">
        <is>
          <t>TITO'S HANDMADE VODKA</t>
        </is>
      </c>
      <c r="C4678" s="7">
        <f>VLOOKUP(A4678,SizeData!A$2:B$3839,2,FALSE)</f>
        <v/>
      </c>
      <c r="D4678" s="6" t="n">
        <v>3</v>
      </c>
      <c r="E4678" s="6" t="inlineStr">
        <is>
          <t>R1660776</t>
        </is>
      </c>
      <c r="F4678" s="67" t="n">
        <v>44733</v>
      </c>
      <c r="G4678" s="68" t="n"/>
    </row>
    <row r="4679">
      <c r="A4679" s="6" t="n">
        <v>38176</v>
      </c>
      <c r="B4679" s="6" t="inlineStr">
        <is>
          <t>TITO'S HANDMADE VODKA</t>
        </is>
      </c>
      <c r="C4679" s="7">
        <f>VLOOKUP(A4679,SizeData!A$2:B$3839,2,FALSE)</f>
        <v/>
      </c>
      <c r="D4679" s="6" t="n">
        <v>12</v>
      </c>
      <c r="E4679" s="6" t="inlineStr">
        <is>
          <t>R1771241</t>
        </is>
      </c>
      <c r="F4679" s="67" t="n">
        <v>44812</v>
      </c>
      <c r="G4679" s="68" t="n"/>
    </row>
    <row r="4680">
      <c r="A4680" s="6" t="n">
        <v>38176</v>
      </c>
      <c r="B4680" s="6" t="inlineStr">
        <is>
          <t>TITO'S HANDMADE VODKA</t>
        </is>
      </c>
      <c r="C4680" s="7">
        <f>VLOOKUP(A4680,SizeData!A$2:B$3839,2,FALSE)</f>
        <v/>
      </c>
      <c r="D4680" s="6" t="n">
        <v>2</v>
      </c>
      <c r="E4680" s="6" t="inlineStr">
        <is>
          <t>R1777984</t>
        </is>
      </c>
      <c r="F4680" s="67" t="n">
        <v>44826</v>
      </c>
      <c r="G4680" s="68" t="n"/>
    </row>
    <row r="4681">
      <c r="A4681" s="6" t="n">
        <v>38176</v>
      </c>
      <c r="B4681" s="6" t="inlineStr">
        <is>
          <t>TITO'S HANDMADE VODKA</t>
        </is>
      </c>
      <c r="C4681" s="7">
        <f>VLOOKUP(A4681,SizeData!A$2:B$3839,2,FALSE)</f>
        <v/>
      </c>
      <c r="D4681" s="6" t="n">
        <v>10</v>
      </c>
      <c r="E4681" s="6" t="inlineStr">
        <is>
          <t>R1887698</t>
        </is>
      </c>
      <c r="F4681" s="67" t="n">
        <v>44902</v>
      </c>
      <c r="G4681" s="68" t="n"/>
    </row>
    <row r="4682">
      <c r="A4682" s="6" t="n">
        <v>38178</v>
      </c>
      <c r="B4682" s="6" t="inlineStr">
        <is>
          <t xml:space="preserve">TITO'S HANDMADE VODKA                                 </t>
        </is>
      </c>
      <c r="C4682" s="7">
        <f>VLOOKUP(A4682,SizeData!A$2:B$3839,2,FALSE)</f>
        <v/>
      </c>
      <c r="D4682" s="6" t="n">
        <v>10</v>
      </c>
      <c r="E4682" s="6" t="inlineStr">
        <is>
          <t>R1713939</t>
        </is>
      </c>
      <c r="F4682" s="67" t="n">
        <v>44779</v>
      </c>
      <c r="G4682" s="68" t="n"/>
    </row>
    <row r="4683">
      <c r="A4683" s="6" t="n">
        <v>38194</v>
      </c>
      <c r="B4683" s="6" t="inlineStr">
        <is>
          <t>TITO'S HANDMADE VODKA/12B-SHRINKWRAP SLV</t>
        </is>
      </c>
      <c r="C4683" s="7">
        <f>VLOOKUP(A4683,SizeData!A$2:B$3839,2,FALSE)</f>
        <v/>
      </c>
      <c r="D4683" s="6" t="n">
        <v>4</v>
      </c>
      <c r="E4683" s="6" t="inlineStr">
        <is>
          <t>R1491088</t>
        </is>
      </c>
      <c r="F4683" s="67" t="n">
        <v>44623</v>
      </c>
      <c r="G4683" s="68" t="n"/>
    </row>
    <row r="4684">
      <c r="A4684" s="6" t="n">
        <v>38194</v>
      </c>
      <c r="B4684" s="6" t="inlineStr">
        <is>
          <t>TITO'S HANDMADE VODKA/12B-SHRINKWRAP SLV</t>
        </is>
      </c>
      <c r="C4684" s="7">
        <f>VLOOKUP(A4684,SizeData!A$2:B$3839,2,FALSE)</f>
        <v/>
      </c>
      <c r="D4684" s="6" t="n">
        <v>10</v>
      </c>
      <c r="E4684" s="6" t="inlineStr">
        <is>
          <t>R1524793</t>
        </is>
      </c>
      <c r="F4684" s="67" t="n">
        <v>44652</v>
      </c>
      <c r="G4684" s="68" t="n"/>
    </row>
    <row r="4685">
      <c r="A4685" s="6" t="n">
        <v>38194</v>
      </c>
      <c r="B4685" s="6" t="inlineStr">
        <is>
          <t>TITO'S HANDMADE VODKA/12B-SHRINKWRAP SLV</t>
        </is>
      </c>
      <c r="C4685" s="7">
        <f>VLOOKUP(A4685,SizeData!A$2:B$3839,2,FALSE)</f>
        <v/>
      </c>
      <c r="D4685" s="6" t="n">
        <v>10</v>
      </c>
      <c r="E4685" s="6" t="inlineStr">
        <is>
          <t>R1674998</t>
        </is>
      </c>
      <c r="F4685" s="67" t="n">
        <v>44756</v>
      </c>
      <c r="G4685" s="68" t="n"/>
    </row>
    <row r="4686">
      <c r="A4686" s="6" t="n">
        <v>38194</v>
      </c>
      <c r="B4686" s="6" t="inlineStr">
        <is>
          <t>TITO'S HANDMADE VODKA/12B-SHRINKWRAP SLV</t>
        </is>
      </c>
      <c r="C4686" s="7">
        <f>VLOOKUP(A4686,SizeData!A$2:B$3839,2,FALSE)</f>
        <v/>
      </c>
      <c r="D4686" s="6" t="n">
        <v>10</v>
      </c>
      <c r="E4686" s="6" t="inlineStr">
        <is>
          <t>R1684941</t>
        </is>
      </c>
      <c r="F4686" s="67" t="n">
        <v>44758</v>
      </c>
      <c r="G4686" s="68" t="n"/>
    </row>
    <row r="4687">
      <c r="A4687" s="6" t="n">
        <v>15982</v>
      </c>
      <c r="B4687" s="6" t="inlineStr">
        <is>
          <t>TOKI SUNTORY JAPANESE WHISKY</t>
        </is>
      </c>
      <c r="C4687" s="7">
        <f>VLOOKUP(A4687,SizeData!A$2:B$3839,2,FALSE)</f>
        <v/>
      </c>
      <c r="D4687" s="6" t="n">
        <v>1</v>
      </c>
      <c r="E4687" s="6" t="inlineStr">
        <is>
          <t>R1740281</t>
        </is>
      </c>
      <c r="F4687" s="67" t="n">
        <v>44788</v>
      </c>
      <c r="G4687" s="68" t="n"/>
    </row>
    <row r="4688">
      <c r="A4688" s="6" t="n">
        <v>15982</v>
      </c>
      <c r="B4688" s="6" t="inlineStr">
        <is>
          <t>TOKI SUNTORY JAPANESE WHISKY</t>
        </is>
      </c>
      <c r="C4688" s="7">
        <f>VLOOKUP(A4688,SizeData!A$2:B$3839,2,FALSE)</f>
        <v/>
      </c>
      <c r="D4688" s="6" t="n">
        <v>1</v>
      </c>
      <c r="E4688" s="6" t="inlineStr">
        <is>
          <t>R1887698</t>
        </is>
      </c>
      <c r="F4688" s="67" t="n">
        <v>44902</v>
      </c>
      <c r="G4688" s="68" t="n"/>
    </row>
    <row r="4689">
      <c r="A4689" s="6" t="n">
        <v>89888</v>
      </c>
      <c r="B4689" s="6" t="inlineStr">
        <is>
          <t>TORADA REPOSADA TEQUILA</t>
        </is>
      </c>
      <c r="C4689" s="7">
        <f>VLOOKUP(A4689,SizeData!A$2:B$3839,2,FALSE)</f>
        <v/>
      </c>
      <c r="D4689" s="6" t="n">
        <v>1</v>
      </c>
      <c r="E4689" s="6" t="inlineStr">
        <is>
          <t>R1503957</t>
        </is>
      </c>
      <c r="F4689" s="67" t="n">
        <v>44636</v>
      </c>
      <c r="G4689" s="68" t="n"/>
    </row>
    <row r="4690">
      <c r="A4690" s="6" t="n">
        <v>89888</v>
      </c>
      <c r="B4690" s="6" t="inlineStr">
        <is>
          <t>TORADA REPOSADA TEQUILA</t>
        </is>
      </c>
      <c r="C4690" s="7">
        <f>VLOOKUP(A4690,SizeData!A$2:B$3839,2,FALSE)</f>
        <v/>
      </c>
      <c r="D4690" s="6" t="n">
        <v>1</v>
      </c>
      <c r="E4690" s="6" t="inlineStr">
        <is>
          <t>R1614837</t>
        </is>
      </c>
      <c r="F4690" s="67" t="n">
        <v>44702</v>
      </c>
      <c r="G4690" s="68" t="n"/>
    </row>
    <row r="4691">
      <c r="A4691" s="26" t="n">
        <v>89887</v>
      </c>
      <c r="B4691" s="26" t="inlineStr">
        <is>
          <t>TORADA REPOSADO TEQUILA</t>
        </is>
      </c>
      <c r="C4691" s="7">
        <f>VLOOKUP(A4691,SizeData!A$2:B$3839,2,FALSE)</f>
        <v/>
      </c>
      <c r="D4691" s="26" t="n">
        <v>2</v>
      </c>
      <c r="E4691" s="26" t="inlineStr">
        <is>
          <t>R1699703</t>
        </is>
      </c>
      <c r="F4691" s="72" t="n">
        <v>44765</v>
      </c>
      <c r="G4691" s="73" t="n"/>
    </row>
    <row r="4692">
      <c r="A4692" s="6" t="n">
        <v>89887</v>
      </c>
      <c r="B4692" s="6" t="inlineStr">
        <is>
          <t>TORADA REPOSADO TEQUILA</t>
        </is>
      </c>
      <c r="C4692" s="7">
        <f>VLOOKUP(A4692,SizeData!A$2:B$3839,2,FALSE)</f>
        <v/>
      </c>
      <c r="D4692" s="6" t="n">
        <v>1</v>
      </c>
      <c r="E4692" s="6" t="inlineStr">
        <is>
          <t>R1866529</t>
        </is>
      </c>
      <c r="F4692" s="67" t="n">
        <v>44876</v>
      </c>
      <c r="G4692" s="68" t="n"/>
    </row>
    <row r="4693">
      <c r="A4693" s="6" t="n">
        <v>88737</v>
      </c>
      <c r="B4693" s="6" t="inlineStr">
        <is>
          <t>TORADA WHITE TEQUILA</t>
        </is>
      </c>
      <c r="C4693" s="7">
        <f>VLOOKUP(A4693,SizeData!A$2:B$3839,2,FALSE)</f>
        <v/>
      </c>
      <c r="D4693" s="6" t="n">
        <v>1</v>
      </c>
      <c r="E4693" s="6" t="inlineStr">
        <is>
          <t>R1449976</t>
        </is>
      </c>
      <c r="F4693" s="67" t="n">
        <v>44604</v>
      </c>
      <c r="G4693" s="68" t="n"/>
    </row>
    <row r="4694">
      <c r="A4694" s="6" t="n">
        <v>88737</v>
      </c>
      <c r="B4694" s="6" t="inlineStr">
        <is>
          <t>TORADA WHITE TEQUILA</t>
        </is>
      </c>
      <c r="C4694" s="7">
        <f>VLOOKUP(A4694,SizeData!A$2:B$3839,2,FALSE)</f>
        <v/>
      </c>
      <c r="D4694" s="6" t="n">
        <v>1</v>
      </c>
      <c r="E4694" s="6" t="inlineStr">
        <is>
          <t>R1537124</t>
        </is>
      </c>
      <c r="F4694" s="67" t="n">
        <v>44646</v>
      </c>
      <c r="G4694" s="68" t="n"/>
    </row>
    <row r="4695">
      <c r="A4695" s="6" t="n">
        <v>88737</v>
      </c>
      <c r="B4695" s="6" t="inlineStr">
        <is>
          <t>TORADA WHITE TEQUILA</t>
        </is>
      </c>
      <c r="C4695" s="7">
        <f>VLOOKUP(A4695,SizeData!A$2:B$3839,2,FALSE)</f>
        <v/>
      </c>
      <c r="D4695" s="6" t="n">
        <v>1</v>
      </c>
      <c r="E4695" s="6" t="inlineStr">
        <is>
          <t>R1625544</t>
        </is>
      </c>
      <c r="F4695" s="67" t="n">
        <v>44699</v>
      </c>
      <c r="G4695" s="68" t="n"/>
    </row>
    <row r="4696">
      <c r="A4696" s="6" t="n">
        <v>88737</v>
      </c>
      <c r="B4696" s="6" t="inlineStr">
        <is>
          <t>TORADA WHITE TEQUILA</t>
        </is>
      </c>
      <c r="C4696" s="7">
        <f>VLOOKUP(A4696,SizeData!A$2:B$3839,2,FALSE)</f>
        <v/>
      </c>
      <c r="D4696" s="6" t="n">
        <v>2</v>
      </c>
      <c r="E4696" s="6" t="inlineStr">
        <is>
          <t>R1699703</t>
        </is>
      </c>
      <c r="F4696" s="67" t="n">
        <v>44765</v>
      </c>
      <c r="G4696" s="68" t="n"/>
    </row>
    <row r="4697">
      <c r="A4697" s="26" t="n">
        <v>88737</v>
      </c>
      <c r="B4697" s="26" t="inlineStr">
        <is>
          <t>TORADA WHITE TEQUILA</t>
        </is>
      </c>
      <c r="C4697" s="75">
        <f>VLOOKUP(A4697,SizeData!A$2:B$3839,2,FALSE)</f>
        <v/>
      </c>
      <c r="D4697" s="26" t="n">
        <v>1</v>
      </c>
      <c r="E4697" s="26" t="inlineStr">
        <is>
          <t>R1821836</t>
        </is>
      </c>
      <c r="F4697" s="72" t="n">
        <v>44851</v>
      </c>
      <c r="G4697" s="73" t="n"/>
    </row>
    <row r="4698">
      <c r="A4698" s="6" t="n">
        <v>88737</v>
      </c>
      <c r="B4698" s="6" t="inlineStr">
        <is>
          <t>TORADA WHITE TEQUILA</t>
        </is>
      </c>
      <c r="C4698" s="7">
        <f>VLOOKUP(A4698,SizeData!A$2:B$3839,2,FALSE)</f>
        <v/>
      </c>
      <c r="D4698" s="6" t="n">
        <v>2</v>
      </c>
      <c r="E4698" s="6" t="inlineStr">
        <is>
          <t>R1860108</t>
        </is>
      </c>
      <c r="F4698" s="67" t="n">
        <v>44868</v>
      </c>
      <c r="G4698" s="68" t="n"/>
    </row>
    <row r="4699">
      <c r="A4699" s="6" t="n">
        <v>88738</v>
      </c>
      <c r="B4699" s="6" t="inlineStr">
        <is>
          <t>TORADA WHITE TEQUILA</t>
        </is>
      </c>
      <c r="C4699" s="7">
        <f>VLOOKUP(A4699,SizeData!A$2:B$3839,2,FALSE)</f>
        <v/>
      </c>
      <c r="D4699" s="6" t="n">
        <v>1</v>
      </c>
      <c r="E4699" s="6" t="inlineStr">
        <is>
          <t>R1497382</t>
        </is>
      </c>
      <c r="F4699" s="67" t="n">
        <v>44627</v>
      </c>
      <c r="G4699" s="68" t="n"/>
    </row>
    <row r="4700">
      <c r="A4700" s="6" t="n">
        <v>88738</v>
      </c>
      <c r="B4700" s="6" t="inlineStr">
        <is>
          <t>TORADA WHITE TEQUILA</t>
        </is>
      </c>
      <c r="C4700" s="7">
        <f>VLOOKUP(A4700,SizeData!A$2:B$3839,2,FALSE)</f>
        <v/>
      </c>
      <c r="D4700" s="6" t="n">
        <v>1</v>
      </c>
      <c r="E4700" s="6" t="inlineStr">
        <is>
          <t>R1544767</t>
        </is>
      </c>
      <c r="F4700" s="67" t="n">
        <v>44664</v>
      </c>
      <c r="G4700" s="68" t="n"/>
    </row>
    <row r="4701">
      <c r="A4701" s="6" t="n">
        <v>88738</v>
      </c>
      <c r="B4701" s="6" t="inlineStr">
        <is>
          <t>TORADA WHITE TEQUILA</t>
        </is>
      </c>
      <c r="C4701" s="7">
        <f>VLOOKUP(A4701,SizeData!A$2:B$3839,2,FALSE)</f>
        <v/>
      </c>
      <c r="D4701" s="6" t="n">
        <v>1</v>
      </c>
      <c r="E4701" s="6" t="inlineStr">
        <is>
          <t>R1601838</t>
        </is>
      </c>
      <c r="F4701" s="67" t="n">
        <v>44687</v>
      </c>
      <c r="G4701" s="68" t="n"/>
    </row>
    <row r="4702">
      <c r="A4702" s="6" t="n">
        <v>88738</v>
      </c>
      <c r="B4702" s="6" t="inlineStr">
        <is>
          <t>TORADA WHITE TEQUILA</t>
        </is>
      </c>
      <c r="C4702" s="7">
        <f>VLOOKUP(A4702,SizeData!A$2:B$3839,2,FALSE)</f>
        <v/>
      </c>
      <c r="D4702" s="6" t="n">
        <v>2</v>
      </c>
      <c r="E4702" s="6" t="inlineStr">
        <is>
          <t>R1614837</t>
        </is>
      </c>
      <c r="F4702" s="67" t="n">
        <v>44702</v>
      </c>
      <c r="G4702" s="68" t="n"/>
    </row>
    <row r="4703">
      <c r="A4703" s="6" t="n">
        <v>88738</v>
      </c>
      <c r="B4703" s="6" t="inlineStr">
        <is>
          <t>TORADA WHITE TEQUILA</t>
        </is>
      </c>
      <c r="C4703" s="7">
        <f>VLOOKUP(A4703,SizeData!A$2:B$3839,2,FALSE)</f>
        <v/>
      </c>
      <c r="D4703" s="6" t="n">
        <v>1</v>
      </c>
      <c r="E4703" s="6" t="inlineStr">
        <is>
          <t>R1630969</t>
        </is>
      </c>
      <c r="F4703" s="67" t="n">
        <v>44711</v>
      </c>
      <c r="G4703" s="68" t="n"/>
    </row>
    <row r="4704">
      <c r="A4704" s="6" t="n">
        <v>88738</v>
      </c>
      <c r="B4704" s="6" t="inlineStr">
        <is>
          <t>TORADA WHITE TEQUILA</t>
        </is>
      </c>
      <c r="C4704" s="7">
        <f>VLOOKUP(A4704,SizeData!A$2:B$3839,2,FALSE)</f>
        <v/>
      </c>
      <c r="D4704" s="6" t="n">
        <v>3</v>
      </c>
      <c r="E4704" s="6" t="inlineStr">
        <is>
          <t>R1702988</t>
        </is>
      </c>
      <c r="F4704" s="67" t="n">
        <v>44771</v>
      </c>
      <c r="G4704" s="68" t="n"/>
    </row>
    <row r="4705">
      <c r="A4705" s="6" t="n">
        <v>88738</v>
      </c>
      <c r="B4705" s="6" t="inlineStr">
        <is>
          <t>TORADA WHITE TEQUILA</t>
        </is>
      </c>
      <c r="C4705" s="7">
        <f>VLOOKUP(A4705,SizeData!A$2:B$3839,2,FALSE)</f>
        <v/>
      </c>
      <c r="D4705" s="6" t="n">
        <v>1</v>
      </c>
      <c r="E4705" s="6" t="inlineStr">
        <is>
          <t>R1739883</t>
        </is>
      </c>
      <c r="F4705" s="67" t="n">
        <v>44800</v>
      </c>
      <c r="G4705" s="68" t="n"/>
    </row>
    <row r="4706">
      <c r="A4706" s="6" t="n">
        <v>88738</v>
      </c>
      <c r="B4706" s="6" t="inlineStr">
        <is>
          <t>TORADA WHITE TEQUILA</t>
        </is>
      </c>
      <c r="C4706" s="7">
        <f>VLOOKUP(A4706,SizeData!A$2:B$3839,2,FALSE)</f>
        <v/>
      </c>
      <c r="D4706" s="6" t="n">
        <v>3</v>
      </c>
      <c r="E4706" s="6" t="inlineStr">
        <is>
          <t>R1821836</t>
        </is>
      </c>
      <c r="F4706" s="67" t="n">
        <v>44851</v>
      </c>
      <c r="G4706" s="68" t="n"/>
    </row>
    <row r="4707">
      <c r="A4707" s="26" t="n">
        <v>88738</v>
      </c>
      <c r="B4707" s="26" t="inlineStr">
        <is>
          <t>TORADA WHITE TEQUILA</t>
        </is>
      </c>
      <c r="C4707" s="75">
        <f>VLOOKUP(A4707,SizeData!A$2:B$3839,2,FALSE)</f>
        <v/>
      </c>
      <c r="D4707" s="26" t="n">
        <v>1</v>
      </c>
      <c r="E4707" s="26" t="inlineStr">
        <is>
          <t>R1826558</t>
        </is>
      </c>
      <c r="F4707" s="72" t="n">
        <v>44854</v>
      </c>
      <c r="G4707" s="73" t="n"/>
    </row>
    <row r="4708">
      <c r="A4708" s="26" t="n">
        <v>88738</v>
      </c>
      <c r="B4708" s="26" t="inlineStr">
        <is>
          <t>TORADA WHITE TEQUILA</t>
        </is>
      </c>
      <c r="C4708" s="75">
        <f>VLOOKUP(A4708,SizeData!A$2:B$3839,2,FALSE)</f>
        <v/>
      </c>
      <c r="D4708" s="26" t="n">
        <v>3</v>
      </c>
      <c r="E4708" s="26" t="inlineStr">
        <is>
          <t>R1837216</t>
        </is>
      </c>
      <c r="F4708" s="72" t="n">
        <v>44855</v>
      </c>
      <c r="G4708" s="73" t="n"/>
    </row>
    <row r="4709">
      <c r="A4709" s="6" t="n">
        <v>38844</v>
      </c>
      <c r="B4709" s="6" t="inlineStr">
        <is>
          <t>TRULY PINEAPPLE MANGO</t>
        </is>
      </c>
      <c r="C4709" s="7">
        <f>VLOOKUP(A4709,SizeData!A$2:B$3839,2,FALSE)</f>
        <v/>
      </c>
      <c r="D4709" s="6" t="n">
        <v>2</v>
      </c>
      <c r="E4709" s="6" t="inlineStr">
        <is>
          <t>R1695857</t>
        </is>
      </c>
      <c r="F4709" s="67" t="n">
        <v>44758</v>
      </c>
      <c r="G4709" s="68" t="n"/>
    </row>
    <row r="4710">
      <c r="A4710" s="6" t="n">
        <v>38575</v>
      </c>
      <c r="B4710" s="6" t="inlineStr">
        <is>
          <t>TRULY STRAWBERRY LEMONADE</t>
        </is>
      </c>
      <c r="C4710" s="7">
        <f>VLOOKUP(A4710,SizeData!A$2:B$3839,2,FALSE)</f>
        <v/>
      </c>
      <c r="D4710" s="6" t="n">
        <v>1</v>
      </c>
      <c r="E4710" s="6" t="inlineStr">
        <is>
          <t>R1695857</t>
        </is>
      </c>
      <c r="F4710" s="67" t="n">
        <v>44758</v>
      </c>
      <c r="G4710" s="68" t="n"/>
    </row>
    <row r="4711">
      <c r="A4711" s="6" t="n">
        <v>38577</v>
      </c>
      <c r="B4711" s="6" t="inlineStr">
        <is>
          <t>TRULY STRAWBERRY LEMONADE</t>
        </is>
      </c>
      <c r="C4711" s="7">
        <f>VLOOKUP(A4711,SizeData!A$2:B$3839,2,FALSE)</f>
        <v/>
      </c>
      <c r="D4711" s="6" t="n">
        <v>1</v>
      </c>
      <c r="E4711" s="6" t="inlineStr">
        <is>
          <t>R1681827</t>
        </is>
      </c>
      <c r="F4711" s="67" t="n">
        <v>44748</v>
      </c>
      <c r="G4711" s="68" t="n"/>
    </row>
    <row r="4712">
      <c r="A4712" s="26" t="n">
        <v>101135</v>
      </c>
      <c r="B4712" s="26" t="inlineStr">
        <is>
          <t>TWENTY GRAND GOLD VAP</t>
        </is>
      </c>
      <c r="C4712" s="75">
        <f>VLOOKUP(A4712,SizeData!A$2:B$3839,2,FALSE)</f>
        <v/>
      </c>
      <c r="D4712" s="26" t="n">
        <v>2</v>
      </c>
      <c r="E4712" s="26" t="inlineStr">
        <is>
          <t>R1830533</t>
        </is>
      </c>
      <c r="F4712" s="72" t="n">
        <v>44852</v>
      </c>
      <c r="G4712" s="73" t="n"/>
    </row>
    <row r="4713">
      <c r="A4713" s="6" t="n">
        <v>77897</v>
      </c>
      <c r="B4713" s="6" t="inlineStr">
        <is>
          <t>TWENTY GRAND PEACH:VODKA/COGNAC &amp; PEACH</t>
        </is>
      </c>
      <c r="C4713" s="7">
        <f>VLOOKUP(A4713,SizeData!A$2:B$3839,2,FALSE)</f>
        <v/>
      </c>
      <c r="D4713" s="6" t="n">
        <v>1</v>
      </c>
      <c r="E4713" s="6" t="inlineStr">
        <is>
          <t>R1443217</t>
        </is>
      </c>
      <c r="F4713" s="67" t="n">
        <v>44593</v>
      </c>
      <c r="G4713" s="68" t="n"/>
    </row>
    <row r="4714">
      <c r="A4714" s="6" t="n">
        <v>77897</v>
      </c>
      <c r="B4714" s="6" t="inlineStr">
        <is>
          <t>TWENTY GRAND PEACH:VODKA/COGNAC &amp; PEACH</t>
        </is>
      </c>
      <c r="C4714" s="7">
        <f>VLOOKUP(A4714,SizeData!A$2:B$3839,2,FALSE)</f>
        <v/>
      </c>
      <c r="D4714" s="6" t="n">
        <v>1</v>
      </c>
      <c r="E4714" s="6" t="inlineStr">
        <is>
          <t>R1471889</t>
        </is>
      </c>
      <c r="F4714" s="67" t="n">
        <v>44611</v>
      </c>
      <c r="G4714" s="68" t="n"/>
    </row>
    <row r="4715">
      <c r="A4715" s="6" t="n">
        <v>77897</v>
      </c>
      <c r="B4715" s="6" t="inlineStr">
        <is>
          <t>TWENTY GRAND PEACH:VODKA/COGNAC &amp; PEACH</t>
        </is>
      </c>
      <c r="C4715" s="7">
        <f>VLOOKUP(A4715,SizeData!A$2:B$3839,2,FALSE)</f>
        <v/>
      </c>
      <c r="D4715" s="6" t="n">
        <v>1</v>
      </c>
      <c r="E4715" s="6" t="inlineStr">
        <is>
          <t>R1549891</t>
        </is>
      </c>
      <c r="F4715" s="67" t="n">
        <v>44656</v>
      </c>
      <c r="G4715" s="68" t="n"/>
    </row>
    <row r="4716">
      <c r="A4716" s="6" t="n">
        <v>77897</v>
      </c>
      <c r="B4716" s="6" t="inlineStr">
        <is>
          <t>TWENTY GRAND PEACH:VODKA/COGNAC &amp; PEACH</t>
        </is>
      </c>
      <c r="C4716" s="7">
        <f>VLOOKUP(A4716,SizeData!A$2:B$3839,2,FALSE)</f>
        <v/>
      </c>
      <c r="D4716" s="6" t="n">
        <v>1</v>
      </c>
      <c r="E4716" s="6" t="inlineStr">
        <is>
          <t>R1645266</t>
        </is>
      </c>
      <c r="F4716" s="67" t="n">
        <v>44718</v>
      </c>
      <c r="G4716" s="68" t="n"/>
    </row>
    <row r="4717">
      <c r="A4717" s="6" t="n">
        <v>77897</v>
      </c>
      <c r="B4717" s="6" t="inlineStr">
        <is>
          <t>TWENTY GRAND PEACH:VODKA/COGNAC &amp; PEACH</t>
        </is>
      </c>
      <c r="C4717" s="7">
        <f>VLOOKUP(A4717,SizeData!A$2:B$3839,2,FALSE)</f>
        <v/>
      </c>
      <c r="D4717" s="6" t="n">
        <v>1</v>
      </c>
      <c r="E4717" s="6" t="inlineStr">
        <is>
          <t>R1703000</t>
        </is>
      </c>
      <c r="F4717" s="67" t="n">
        <v>44774</v>
      </c>
      <c r="G4717" s="68" t="n"/>
    </row>
    <row r="4718">
      <c r="A4718" s="6" t="n">
        <v>77897</v>
      </c>
      <c r="B4718" s="6" t="inlineStr">
        <is>
          <t>TWENTY GRAND PEACH:VODKA/COGNAC &amp; PEACH</t>
        </is>
      </c>
      <c r="C4718" s="7">
        <f>VLOOKUP(A4718,SizeData!A$2:B$3839,2,FALSE)</f>
        <v/>
      </c>
      <c r="D4718" s="6" t="n">
        <v>1</v>
      </c>
      <c r="E4718" s="6" t="inlineStr">
        <is>
          <t>R1713939</t>
        </is>
      </c>
      <c r="F4718" s="67" t="n">
        <v>44779</v>
      </c>
      <c r="G4718" s="68" t="n"/>
    </row>
    <row r="4719">
      <c r="A4719" s="6" t="n">
        <v>77897</v>
      </c>
      <c r="B4719" s="6" t="inlineStr">
        <is>
          <t>TWENTY GRAND PEACH:VODKA/COGNAC &amp; PEACH</t>
        </is>
      </c>
      <c r="C4719" s="7">
        <f>VLOOKUP(A4719,SizeData!A$2:B$3839,2,FALSE)</f>
        <v/>
      </c>
      <c r="D4719" s="6" t="n">
        <v>1</v>
      </c>
      <c r="E4719" s="6" t="inlineStr">
        <is>
          <t>R1830533</t>
        </is>
      </c>
      <c r="F4719" s="67" t="n">
        <v>44852</v>
      </c>
      <c r="G4719" s="68" t="n"/>
    </row>
    <row r="4720">
      <c r="A4720" s="6" t="n">
        <v>77577</v>
      </c>
      <c r="B4720" s="6" t="inlineStr">
        <is>
          <t>TWENTY GRAND VODKA INFUSED W/COGNAC</t>
        </is>
      </c>
      <c r="C4720" s="7">
        <f>VLOOKUP(A4720,SizeData!A$2:B$3839,2,FALSE)</f>
        <v/>
      </c>
      <c r="D4720" s="6" t="n">
        <v>2</v>
      </c>
      <c r="E4720" s="6" t="inlineStr">
        <is>
          <t>R1383976</t>
        </is>
      </c>
      <c r="F4720" s="67" t="n">
        <v>44561</v>
      </c>
      <c r="G4720" s="68" t="n"/>
    </row>
    <row r="4721">
      <c r="A4721" s="6" t="n">
        <v>77577</v>
      </c>
      <c r="B4721" s="6" t="inlineStr">
        <is>
          <t>TWENTY GRAND VODKA INFUSED W/COGNAC</t>
        </is>
      </c>
      <c r="C4721" s="7">
        <f>VLOOKUP(A4721,SizeData!A$2:B$3839,2,FALSE)</f>
        <v/>
      </c>
      <c r="D4721" s="6" t="n">
        <v>1</v>
      </c>
      <c r="E4721" s="6" t="inlineStr">
        <is>
          <t>R1467109</t>
        </is>
      </c>
      <c r="F4721" s="67" t="n">
        <v>44604</v>
      </c>
      <c r="G4721" s="68" t="n"/>
    </row>
    <row r="4722">
      <c r="A4722" s="6" t="n">
        <v>77577</v>
      </c>
      <c r="B4722" s="6" t="inlineStr">
        <is>
          <t>TWENTY GRAND VODKA INFUSED W/COGNAC</t>
        </is>
      </c>
      <c r="C4722" s="7">
        <f>VLOOKUP(A4722,SizeData!A$2:B$3839,2,FALSE)</f>
        <v/>
      </c>
      <c r="D4722" s="6" t="n">
        <v>2</v>
      </c>
      <c r="E4722" s="6" t="inlineStr">
        <is>
          <t>R1629823</t>
        </is>
      </c>
      <c r="F4722" s="67" t="n">
        <v>44713</v>
      </c>
      <c r="G4722" s="68" t="n"/>
    </row>
    <row r="4723">
      <c r="A4723" s="6" t="n">
        <v>77577</v>
      </c>
      <c r="B4723" s="6" t="inlineStr">
        <is>
          <t>TWENTY GRAND VODKA INFUSED W/COGNAC</t>
        </is>
      </c>
      <c r="C4723" s="7">
        <f>VLOOKUP(A4723,SizeData!A$2:B$3839,2,FALSE)</f>
        <v/>
      </c>
      <c r="D4723" s="6" t="n">
        <v>1</v>
      </c>
      <c r="E4723" s="6" t="inlineStr">
        <is>
          <t>R1713939</t>
        </is>
      </c>
      <c r="F4723" s="67" t="n">
        <v>44779</v>
      </c>
      <c r="G4723" s="68" t="n"/>
    </row>
    <row r="4724">
      <c r="A4724" s="6" t="n">
        <v>77577</v>
      </c>
      <c r="B4724" s="6" t="inlineStr">
        <is>
          <t>TWENTY GRAND VODKA INFUSED W/COGNAC</t>
        </is>
      </c>
      <c r="C4724" s="7">
        <f>VLOOKUP(A4724,SizeData!A$2:B$3839,2,FALSE)</f>
        <v/>
      </c>
      <c r="D4724" s="6" t="n">
        <v>1</v>
      </c>
      <c r="E4724" s="6" t="inlineStr">
        <is>
          <t>R1723520</t>
        </is>
      </c>
      <c r="F4724" s="67" t="n">
        <v>44782</v>
      </c>
      <c r="G4724" s="68" t="n"/>
    </row>
    <row r="4725">
      <c r="A4725" s="6" t="n">
        <v>77577</v>
      </c>
      <c r="B4725" s="6" t="inlineStr">
        <is>
          <t>TWENTY GRAND VODKA INFUSED W/COGNAC</t>
        </is>
      </c>
      <c r="C4725" s="7">
        <f>VLOOKUP(A4725,SizeData!A$2:B$3839,2,FALSE)</f>
        <v/>
      </c>
      <c r="D4725" s="6" t="n">
        <v>1</v>
      </c>
      <c r="E4725" s="6" t="inlineStr">
        <is>
          <t>R1744939</t>
        </is>
      </c>
      <c r="F4725" s="67" t="n">
        <v>44804</v>
      </c>
      <c r="G4725" s="68" t="n"/>
    </row>
    <row r="4726">
      <c r="A4726" s="6" t="n">
        <v>67037</v>
      </c>
      <c r="B4726" s="6" t="inlineStr">
        <is>
          <t>TWISTED SHOTZ BUTTERY NIPPLE:VODKA BASED</t>
        </is>
      </c>
      <c r="C4726" s="7">
        <f>VLOOKUP(A4726,SizeData!A$2:B$3839,2,FALSE)</f>
        <v/>
      </c>
      <c r="D4726" s="6" t="n">
        <v>6</v>
      </c>
      <c r="E4726" s="6" t="inlineStr">
        <is>
          <t>R1507714</t>
        </is>
      </c>
      <c r="F4726" s="67" t="n">
        <v>44634</v>
      </c>
      <c r="G4726" s="68" t="n"/>
    </row>
    <row r="4727">
      <c r="A4727" s="6" t="n">
        <v>67037</v>
      </c>
      <c r="B4727" s="6" t="inlineStr">
        <is>
          <t>TWISTED SHOTZ BUTTERY NIPPLE:VODKA BASED</t>
        </is>
      </c>
      <c r="C4727" s="7">
        <f>VLOOKUP(A4727,SizeData!A$2:B$3839,2,FALSE)</f>
        <v/>
      </c>
      <c r="D4727" s="6" t="n">
        <v>2</v>
      </c>
      <c r="E4727" s="6" t="inlineStr">
        <is>
          <t>R1729512</t>
        </is>
      </c>
      <c r="F4727" s="67" t="n">
        <v>44788</v>
      </c>
      <c r="G4727" s="68" t="n"/>
    </row>
    <row r="4728">
      <c r="A4728" s="6" t="n">
        <v>67037</v>
      </c>
      <c r="B4728" s="6" t="inlineStr">
        <is>
          <t>TWISTED SHOTZ BUTTERY NIPPLE:VODKA BASED</t>
        </is>
      </c>
      <c r="C4728" s="7">
        <f>VLOOKUP(A4728,SizeData!A$2:B$3839,2,FALSE)</f>
        <v/>
      </c>
      <c r="D4728" s="6" t="n">
        <v>2</v>
      </c>
      <c r="E4728" s="6" t="inlineStr">
        <is>
          <t>R1905562</t>
        </is>
      </c>
      <c r="F4728" s="67" t="n">
        <v>44902</v>
      </c>
      <c r="G4728" s="68" t="n"/>
    </row>
    <row r="4729">
      <c r="A4729" s="6" t="n">
        <v>67043</v>
      </c>
      <c r="B4729" s="6" t="inlineStr">
        <is>
          <t>TWISTED SHOTZ PORN STAR</t>
        </is>
      </c>
      <c r="C4729" s="7">
        <f>VLOOKUP(A4729,SizeData!A$2:B$3839,2,FALSE)</f>
        <v/>
      </c>
      <c r="D4729" s="6" t="n">
        <v>1</v>
      </c>
      <c r="E4729" s="6" t="inlineStr">
        <is>
          <t>R1905562</t>
        </is>
      </c>
      <c r="F4729" s="67" t="n">
        <v>44902</v>
      </c>
      <c r="G4729" s="68" t="n"/>
    </row>
    <row r="4730">
      <c r="A4730" s="6" t="n">
        <v>67044</v>
      </c>
      <c r="B4730" s="6" t="inlineStr">
        <is>
          <t>TWISTED SHOTZ RATTLESNAKE</t>
        </is>
      </c>
      <c r="C4730" s="7">
        <f>VLOOKUP(A4730,SizeData!A$2:B$3839,2,FALSE)</f>
        <v/>
      </c>
      <c r="D4730" s="6" t="n">
        <v>1</v>
      </c>
      <c r="E4730" s="6" t="inlineStr">
        <is>
          <t>R1681827</t>
        </is>
      </c>
      <c r="F4730" s="67" t="n">
        <v>44748</v>
      </c>
      <c r="G4730" s="68" t="n"/>
    </row>
    <row r="4731">
      <c r="A4731" s="6" t="n">
        <v>67075</v>
      </c>
      <c r="B4731" s="6" t="inlineStr">
        <is>
          <t>TWISTED SHOTZ SEX ON THE BEACH</t>
        </is>
      </c>
      <c r="C4731" s="7">
        <f>VLOOKUP(A4731,SizeData!A$2:B$3839,2,FALSE)</f>
        <v/>
      </c>
      <c r="D4731" s="6" t="n">
        <v>1</v>
      </c>
      <c r="E4731" s="6" t="inlineStr">
        <is>
          <t>R1629823</t>
        </is>
      </c>
      <c r="F4731" s="67" t="n">
        <v>44713</v>
      </c>
      <c r="G4731" s="68" t="n"/>
    </row>
    <row r="4732">
      <c r="A4732" s="6" t="n">
        <v>383950</v>
      </c>
      <c r="B4732" s="6" t="inlineStr">
        <is>
          <t>UMBERTO FIORE MOSCATO D' ASTI</t>
        </is>
      </c>
      <c r="C4732" s="7">
        <f>VLOOKUP(A4732,SizeData!A$2:B$3839,2,FALSE)</f>
        <v/>
      </c>
      <c r="D4732" s="6" t="n">
        <v>2</v>
      </c>
      <c r="E4732" s="6" t="inlineStr">
        <is>
          <t>R1494274</t>
        </is>
      </c>
      <c r="F4732" s="67" t="n">
        <v>44627</v>
      </c>
      <c r="G4732" s="68" t="n"/>
    </row>
    <row r="4733">
      <c r="A4733" s="6" t="n">
        <v>32650</v>
      </c>
      <c r="B4733" s="6" t="inlineStr">
        <is>
          <t>UNCLE VAL'S BOTANICAL GIN</t>
        </is>
      </c>
      <c r="C4733" s="7">
        <f>VLOOKUP(A4733,SizeData!A$2:B$3839,2,FALSE)</f>
        <v/>
      </c>
      <c r="D4733" s="6" t="n">
        <v>1</v>
      </c>
      <c r="E4733" s="6" t="inlineStr">
        <is>
          <t>R1710843</t>
        </is>
      </c>
      <c r="F4733" s="67" t="n">
        <v>44764</v>
      </c>
      <c r="G4733" s="68" t="n"/>
    </row>
    <row r="4734">
      <c r="A4734" s="26" t="n">
        <v>41693</v>
      </c>
      <c r="B4734" s="26" t="inlineStr">
        <is>
          <t>UV BLUE RASPBERRY VODKA</t>
        </is>
      </c>
      <c r="C4734" s="7">
        <f>VLOOKUP(A4734,SizeData!A$2:B$3839,2,FALSE)</f>
        <v/>
      </c>
      <c r="D4734" s="26" t="n">
        <v>1</v>
      </c>
      <c r="E4734" s="26" t="inlineStr">
        <is>
          <t>R1704212</t>
        </is>
      </c>
      <c r="F4734" s="72" t="n">
        <v>44771</v>
      </c>
      <c r="G4734" s="73" t="n"/>
    </row>
    <row r="4735">
      <c r="A4735" s="6" t="n">
        <v>21878</v>
      </c>
      <c r="B4735" s="6" t="inlineStr">
        <is>
          <t>VERY OLD BARTON 86</t>
        </is>
      </c>
      <c r="C4735" s="7">
        <f>VLOOKUP(A4735,SizeData!A$2:B$3839,2,FALSE)</f>
        <v/>
      </c>
      <c r="D4735" s="6" t="n">
        <v>3</v>
      </c>
      <c r="E4735" s="6" t="inlineStr">
        <is>
          <t>R1559467</t>
        </is>
      </c>
      <c r="F4735" s="67" t="n">
        <v>44669</v>
      </c>
      <c r="G4735" s="68" t="n"/>
    </row>
    <row r="4736">
      <c r="A4736" s="6" t="n">
        <v>704050</v>
      </c>
      <c r="B4736" s="6" t="inlineStr">
        <is>
          <t>VEUVE CLICQUOT BRUT YELLOW LABEL</t>
        </is>
      </c>
      <c r="C4736" s="7">
        <f>VLOOKUP(A4736,SizeData!A$2:B$3839,2,FALSE)</f>
        <v/>
      </c>
      <c r="D4736" s="6" t="n">
        <v>2</v>
      </c>
      <c r="E4736" s="6" t="inlineStr">
        <is>
          <t>R1511560</t>
        </is>
      </c>
      <c r="F4736" s="67" t="n">
        <v>44630</v>
      </c>
      <c r="G4736" s="68" t="n"/>
    </row>
    <row r="4737">
      <c r="A4737" s="6" t="n">
        <v>704050</v>
      </c>
      <c r="B4737" s="6" t="inlineStr">
        <is>
          <t>VEUVE CLICQUOT BRUT YELLOW LABEL</t>
        </is>
      </c>
      <c r="C4737" s="7">
        <f>VLOOKUP(A4737,SizeData!A$2:B$3839,2,FALSE)</f>
        <v/>
      </c>
      <c r="D4737" s="6" t="n">
        <v>2</v>
      </c>
      <c r="E4737" s="6" t="inlineStr">
        <is>
          <t>R1606546</t>
        </is>
      </c>
      <c r="F4737" s="67" t="n">
        <v>44690</v>
      </c>
      <c r="G4737" s="68" t="n"/>
    </row>
    <row r="4738">
      <c r="A4738" s="6" t="n">
        <v>735192</v>
      </c>
      <c r="B4738" s="6" t="inlineStr">
        <is>
          <t>VILLA JOLANDA PEACH MOSCATO</t>
        </is>
      </c>
      <c r="C4738" s="7">
        <f>VLOOKUP(A4738,SizeData!A$2:B$3839,2,FALSE)</f>
        <v/>
      </c>
      <c r="D4738" s="6" t="n">
        <v>2</v>
      </c>
      <c r="E4738" s="6" t="inlineStr">
        <is>
          <t>R1458539</t>
        </is>
      </c>
      <c r="F4738" s="67" t="n">
        <v>44607</v>
      </c>
      <c r="G4738" s="68" t="n"/>
    </row>
    <row r="4739">
      <c r="A4739" s="6" t="n">
        <v>735192</v>
      </c>
      <c r="B4739" s="6" t="inlineStr">
        <is>
          <t>VILLA JOLANDA PEACH MOSCATO</t>
        </is>
      </c>
      <c r="C4739" s="7">
        <f>VLOOKUP(A4739,SizeData!A$2:B$3839,2,FALSE)</f>
        <v/>
      </c>
      <c r="D4739" s="6" t="n">
        <v>1</v>
      </c>
      <c r="E4739" s="6" t="inlineStr">
        <is>
          <t>R1784903</t>
        </is>
      </c>
      <c r="F4739" s="67" t="n">
        <v>44828</v>
      </c>
      <c r="G4739" s="68" t="n"/>
    </row>
    <row r="4740">
      <c r="A4740" s="6" t="n">
        <v>395464</v>
      </c>
      <c r="B4740" s="6" t="inlineStr">
        <is>
          <t>VOGA MOSCATO PROVINCIA DI PAVIA IGT</t>
        </is>
      </c>
      <c r="C4740" s="7">
        <f>VLOOKUP(A4740,SizeData!A$2:B$3839,2,FALSE)</f>
        <v/>
      </c>
      <c r="D4740" s="6" t="n">
        <v>2</v>
      </c>
      <c r="E4740" s="6" t="inlineStr">
        <is>
          <t>R1439543</t>
        </is>
      </c>
      <c r="F4740" s="67" t="n">
        <v>44594</v>
      </c>
      <c r="G4740" s="68" t="n"/>
    </row>
    <row r="4741">
      <c r="A4741" s="6" t="n">
        <v>395464</v>
      </c>
      <c r="B4741" s="6" t="inlineStr">
        <is>
          <t>VOGA MOSCATO PROVINCIA DI PAVIA IGT</t>
        </is>
      </c>
      <c r="C4741" s="7">
        <f>VLOOKUP(A4741,SizeData!A$2:B$3839,2,FALSE)</f>
        <v/>
      </c>
      <c r="D4741" s="6" t="n">
        <v>1</v>
      </c>
      <c r="E4741" s="6" t="inlineStr">
        <is>
          <t>R1495781</t>
        </is>
      </c>
      <c r="F4741" s="67" t="n">
        <v>44627</v>
      </c>
      <c r="G4741" s="68" t="n"/>
    </row>
    <row r="4742">
      <c r="A4742" s="6" t="n">
        <v>395464</v>
      </c>
      <c r="B4742" s="6" t="inlineStr">
        <is>
          <t>VOGA MOSCATO PROVINCIA DI PAVIA IGT</t>
        </is>
      </c>
      <c r="C4742" s="7">
        <f>VLOOKUP(A4742,SizeData!A$2:B$3839,2,FALSE)</f>
        <v/>
      </c>
      <c r="D4742" s="6" t="n">
        <v>1</v>
      </c>
      <c r="E4742" s="6" t="inlineStr">
        <is>
          <t>R1601838</t>
        </is>
      </c>
      <c r="F4742" s="67" t="n">
        <v>44687</v>
      </c>
      <c r="G4742" s="68" t="n"/>
    </row>
    <row r="4743">
      <c r="A4743" s="6" t="n">
        <v>395464</v>
      </c>
      <c r="B4743" s="6" t="inlineStr">
        <is>
          <t>VOGA MOSCATO PROVINCIA DI PAVIA IGT</t>
        </is>
      </c>
      <c r="C4743" s="7">
        <f>VLOOKUP(A4743,SizeData!A$2:B$3839,2,FALSE)</f>
        <v/>
      </c>
      <c r="D4743" s="6" t="n">
        <v>2</v>
      </c>
      <c r="E4743" s="6" t="inlineStr">
        <is>
          <t>R1648285</t>
        </is>
      </c>
      <c r="F4743" s="67" t="n">
        <v>44729</v>
      </c>
      <c r="G4743" s="68" t="n"/>
    </row>
    <row r="4744">
      <c r="A4744" s="6" t="n">
        <v>90916</v>
      </c>
      <c r="B4744" s="6" t="inlineStr">
        <is>
          <t>WARRES PORT OTIMA 10YR TAWNY</t>
        </is>
      </c>
      <c r="C4744" s="7">
        <f>VLOOKUP(A4744,SizeData!A$2:B$3839,2,FALSE)</f>
        <v/>
      </c>
      <c r="D4744" s="6" t="n">
        <v>1</v>
      </c>
      <c r="E4744" s="6" t="inlineStr">
        <is>
          <t>R1763684</t>
        </is>
      </c>
      <c r="F4744" s="67" t="n">
        <v>44821</v>
      </c>
      <c r="G4744" s="68" t="n"/>
    </row>
    <row r="4745">
      <c r="A4745" s="6" t="n">
        <v>90916</v>
      </c>
      <c r="B4745" s="6" t="inlineStr">
        <is>
          <t>WARRES PORT OTIMA 10YR TAWNY</t>
        </is>
      </c>
      <c r="C4745" s="7">
        <f>VLOOKUP(A4745,SizeData!A$2:B$3839,2,FALSE)</f>
        <v/>
      </c>
      <c r="D4745" s="6" t="n">
        <v>1</v>
      </c>
      <c r="E4745" s="6" t="inlineStr">
        <is>
          <t>R1876430</t>
        </is>
      </c>
      <c r="F4745" s="67" t="n">
        <v>44886</v>
      </c>
      <c r="G4745" s="68" t="n"/>
    </row>
    <row r="4746">
      <c r="A4746" s="6" t="n">
        <v>15187</v>
      </c>
      <c r="B4746" s="6" t="inlineStr">
        <is>
          <t>WHISTLEPIG 6 YEAR PIGGYBACK</t>
        </is>
      </c>
      <c r="C4746" s="7">
        <f>VLOOKUP(A4746,SizeData!A$2:B$3839,2,FALSE)</f>
        <v/>
      </c>
      <c r="D4746" s="6" t="n">
        <v>1</v>
      </c>
      <c r="E4746" s="6" t="inlineStr">
        <is>
          <t>R1672878</t>
        </is>
      </c>
      <c r="F4746" s="67" t="n">
        <v>44743</v>
      </c>
      <c r="G4746" s="68" t="n"/>
    </row>
    <row r="4747">
      <c r="A4747" s="6" t="n">
        <v>28137</v>
      </c>
      <c r="B4747" s="6" t="inlineStr">
        <is>
          <t>WIDOW JANE 10YR STRAIGHT BOURBON WHISKEY</t>
        </is>
      </c>
      <c r="C4747" s="7">
        <f>VLOOKUP(A4747,SizeData!A$2:B$3839,2,FALSE)</f>
        <v/>
      </c>
      <c r="D4747" s="6" t="n">
        <v>1</v>
      </c>
      <c r="E4747" s="6" t="inlineStr">
        <is>
          <t>R1688168</t>
        </is>
      </c>
      <c r="F4747" s="67" t="n">
        <v>44761</v>
      </c>
      <c r="G4747" s="68" t="n"/>
    </row>
    <row r="4748">
      <c r="A4748" s="6" t="n">
        <v>28137</v>
      </c>
      <c r="B4748" s="6" t="inlineStr">
        <is>
          <t>WIDOW JANE BOURBON 10 YR</t>
        </is>
      </c>
      <c r="C4748" s="7">
        <f>VLOOKUP(A4748,SizeData!A$2:B$3839,2,FALSE)</f>
        <v/>
      </c>
      <c r="D4748" s="6" t="n">
        <v>1</v>
      </c>
      <c r="E4748" s="6" t="inlineStr">
        <is>
          <t>R1472921</t>
        </is>
      </c>
      <c r="F4748" s="67" t="n">
        <v>44613</v>
      </c>
      <c r="G4748" s="68" t="n"/>
    </row>
    <row r="4749">
      <c r="A4749" s="6" t="n">
        <v>28137</v>
      </c>
      <c r="B4749" s="6" t="inlineStr">
        <is>
          <t>WIDOW JANE BOURBON 10 YR</t>
        </is>
      </c>
      <c r="C4749" s="7">
        <f>VLOOKUP(A4749,SizeData!A$2:B$3839,2,FALSE)</f>
        <v/>
      </c>
      <c r="D4749" s="6" t="n">
        <v>2</v>
      </c>
      <c r="E4749" s="6" t="inlineStr">
        <is>
          <t>R1504703</t>
        </is>
      </c>
      <c r="F4749" s="67" t="n">
        <v>44632</v>
      </c>
      <c r="G4749" s="68" t="n"/>
    </row>
    <row r="4750">
      <c r="A4750" s="55" t="n">
        <v>28137</v>
      </c>
      <c r="B4750" s="55" t="inlineStr">
        <is>
          <t>WIDOW JANE BOURBON 10 YR</t>
        </is>
      </c>
      <c r="C4750" s="7">
        <f>VLOOKUP(A4750,SizeData!A$2:B$3839,2,FALSE)</f>
        <v/>
      </c>
      <c r="D4750" s="55" t="n">
        <v>1</v>
      </c>
      <c r="E4750" s="55" t="inlineStr">
        <is>
          <t>R1579709</t>
        </is>
      </c>
      <c r="F4750" s="91" t="n">
        <v>44674</v>
      </c>
      <c r="G4750" s="93" t="n"/>
    </row>
    <row r="4751">
      <c r="A4751" s="6" t="n">
        <v>97722</v>
      </c>
      <c r="B4751" s="6" t="inlineStr">
        <is>
          <t>WILD IRISH ROSE RED</t>
        </is>
      </c>
      <c r="C4751" s="7">
        <f>VLOOKUP(A4751,SizeData!A$2:B$3839,2,FALSE)</f>
        <v/>
      </c>
      <c r="D4751" s="6" t="n">
        <v>1</v>
      </c>
      <c r="E4751" s="6" t="inlineStr">
        <is>
          <t>R1373904</t>
        </is>
      </c>
      <c r="F4751" s="67" t="n">
        <v>44545</v>
      </c>
      <c r="G4751" s="68" t="n"/>
    </row>
    <row r="4752">
      <c r="A4752" s="6" t="n">
        <v>97727</v>
      </c>
      <c r="B4752" s="6" t="inlineStr">
        <is>
          <t>WILD IRISH ROSE RED</t>
        </is>
      </c>
      <c r="C4752" s="7">
        <f>VLOOKUP(A4752,SizeData!A$2:B$3839,2,FALSE)</f>
        <v/>
      </c>
      <c r="D4752" s="6" t="n">
        <v>1</v>
      </c>
      <c r="E4752" s="6" t="inlineStr">
        <is>
          <t>R1373904</t>
        </is>
      </c>
      <c r="F4752" s="67" t="n">
        <v>44545</v>
      </c>
      <c r="G4752" s="68" t="n"/>
    </row>
    <row r="4753">
      <c r="A4753" s="6" t="n">
        <v>22154</v>
      </c>
      <c r="B4753" s="6" t="inlineStr">
        <is>
          <t>WILD TURKEY 101 STRAIGHT BOURBON</t>
        </is>
      </c>
      <c r="C4753" s="7">
        <f>VLOOKUP(A4753,SizeData!A$2:B$3839,2,FALSE)</f>
        <v/>
      </c>
      <c r="D4753" s="6" t="n">
        <v>1</v>
      </c>
      <c r="E4753" s="6" t="inlineStr">
        <is>
          <t>R1629067</t>
        </is>
      </c>
      <c r="F4753" s="67" t="n">
        <v>44714</v>
      </c>
      <c r="G4753" s="68" t="n"/>
    </row>
    <row r="4754">
      <c r="A4754" s="6" t="n">
        <v>22154</v>
      </c>
      <c r="B4754" s="6" t="inlineStr">
        <is>
          <t>WILD TURKEY 101 STRAIGHT BOURBON</t>
        </is>
      </c>
      <c r="C4754" s="7">
        <f>VLOOKUP(A4754,SizeData!A$2:B$3839,2,FALSE)</f>
        <v/>
      </c>
      <c r="D4754" s="6" t="n">
        <v>1</v>
      </c>
      <c r="E4754" s="6" t="inlineStr">
        <is>
          <t>R1718725</t>
        </is>
      </c>
      <c r="F4754" s="67" t="n">
        <v>44777</v>
      </c>
      <c r="G4754" s="68" t="n"/>
    </row>
    <row r="4755">
      <c r="A4755" s="6" t="n">
        <v>22154</v>
      </c>
      <c r="B4755" s="6" t="inlineStr">
        <is>
          <t>WILD TURKEY 101 STRAIGHT BOURBON</t>
        </is>
      </c>
      <c r="C4755" s="7">
        <f>VLOOKUP(A4755,SizeData!A$2:B$3839,2,FALSE)</f>
        <v/>
      </c>
      <c r="D4755" s="6" t="n">
        <v>1</v>
      </c>
      <c r="E4755" s="6" t="inlineStr">
        <is>
          <t>R1796778</t>
        </is>
      </c>
      <c r="F4755" s="67" t="n">
        <v>44834</v>
      </c>
      <c r="G4755" s="68" t="n"/>
    </row>
    <row r="4756">
      <c r="A4756" s="6" t="n">
        <v>22156</v>
      </c>
      <c r="B4756" s="6" t="inlineStr">
        <is>
          <t>WILD TURKEY 101 STRAIGHT BOURBON</t>
        </is>
      </c>
      <c r="C4756" s="7">
        <f>VLOOKUP(A4756,SizeData!A$2:B$3839,2,FALSE)</f>
        <v/>
      </c>
      <c r="D4756" s="6" t="n">
        <v>2</v>
      </c>
      <c r="E4756" s="6" t="inlineStr">
        <is>
          <t>R1489956</t>
        </is>
      </c>
      <c r="F4756" s="67" t="n">
        <v>44631</v>
      </c>
      <c r="G4756" s="68" t="n"/>
    </row>
    <row r="4757">
      <c r="A4757" s="6" t="n">
        <v>22156</v>
      </c>
      <c r="B4757" s="6" t="inlineStr">
        <is>
          <t>WILD TURKEY 101 STRAIGHT BOURBON</t>
        </is>
      </c>
      <c r="C4757" s="7">
        <f>VLOOKUP(A4757,SizeData!A$2:B$3839,2,FALSE)</f>
        <v/>
      </c>
      <c r="D4757" s="6" t="n">
        <v>1</v>
      </c>
      <c r="E4757" s="6" t="inlineStr">
        <is>
          <t>R1671975</t>
        </is>
      </c>
      <c r="F4757" s="67" t="n">
        <v>44742</v>
      </c>
      <c r="G4757" s="68" t="n"/>
    </row>
    <row r="4758">
      <c r="A4758" s="6" t="n">
        <v>22121</v>
      </c>
      <c r="B4758" s="6" t="inlineStr">
        <is>
          <t>WILD TURKEY 81 STRAIGHT BOURBON</t>
        </is>
      </c>
      <c r="C4758" s="7">
        <f>VLOOKUP(A4758,SizeData!A$2:B$3839,2,FALSE)</f>
        <v/>
      </c>
      <c r="D4758" s="6" t="n">
        <v>2</v>
      </c>
      <c r="E4758" s="6" t="inlineStr">
        <is>
          <t>R1443217</t>
        </is>
      </c>
      <c r="F4758" s="67" t="n">
        <v>44593</v>
      </c>
      <c r="G4758" s="68" t="n"/>
    </row>
    <row r="4759">
      <c r="A4759" s="6" t="n">
        <v>22121</v>
      </c>
      <c r="B4759" s="6" t="inlineStr">
        <is>
          <t>WILD TURKEY 81 STRAIGHT BOURBON</t>
        </is>
      </c>
      <c r="C4759" s="7">
        <f>VLOOKUP(A4759,SizeData!A$2:B$3839,2,FALSE)</f>
        <v/>
      </c>
      <c r="D4759" s="6" t="n">
        <v>1</v>
      </c>
      <c r="E4759" s="6" t="inlineStr">
        <is>
          <t>R1480080</t>
        </is>
      </c>
      <c r="F4759" s="67" t="n">
        <v>44611</v>
      </c>
      <c r="G4759" s="68" t="n"/>
    </row>
    <row r="4760">
      <c r="A4760" s="6" t="n">
        <v>22121</v>
      </c>
      <c r="B4760" s="6" t="inlineStr">
        <is>
          <t>WILD TURKEY 81 STRAIGHT BOURBON</t>
        </is>
      </c>
      <c r="C4760" s="7">
        <f>VLOOKUP(A4760,SizeData!A$2:B$3839,2,FALSE)</f>
        <v/>
      </c>
      <c r="D4760" s="6" t="n">
        <v>1</v>
      </c>
      <c r="E4760" s="6" t="inlineStr">
        <is>
          <t>R1480080</t>
        </is>
      </c>
      <c r="F4760" s="67" t="n">
        <v>44611</v>
      </c>
      <c r="G4760" s="68" t="n"/>
    </row>
    <row r="4761">
      <c r="A4761" s="6" t="n">
        <v>22121</v>
      </c>
      <c r="B4761" s="6" t="inlineStr">
        <is>
          <t>WILD TURKEY 81 STRAIGHT BOURBON</t>
        </is>
      </c>
      <c r="C4761" s="7">
        <f>VLOOKUP(A4761,SizeData!A$2:B$3839,2,FALSE)</f>
        <v/>
      </c>
      <c r="D4761" s="6" t="n">
        <v>1</v>
      </c>
      <c r="E4761" s="6" t="inlineStr">
        <is>
          <t>R1876430</t>
        </is>
      </c>
      <c r="F4761" s="67" t="n">
        <v>44886</v>
      </c>
      <c r="G4761" s="68" t="n"/>
    </row>
    <row r="4762">
      <c r="A4762" s="6" t="n">
        <v>77771</v>
      </c>
      <c r="B4762" s="6" t="inlineStr">
        <is>
          <t>WILD TURKEY AMERICAN HONEY</t>
        </is>
      </c>
      <c r="C4762" s="7">
        <f>VLOOKUP(A4762,SizeData!A$2:B$3839,2,FALSE)</f>
        <v/>
      </c>
      <c r="D4762" s="6" t="n">
        <v>2</v>
      </c>
      <c r="E4762" s="6" t="inlineStr">
        <is>
          <t>R1465191</t>
        </is>
      </c>
      <c r="F4762" s="67" t="n">
        <v>44602</v>
      </c>
      <c r="G4762" s="68" t="n"/>
    </row>
    <row r="4763">
      <c r="A4763" s="6" t="n">
        <v>77771</v>
      </c>
      <c r="B4763" s="6" t="inlineStr">
        <is>
          <t>WILD TURKEY AMERICAN HONEY</t>
        </is>
      </c>
      <c r="C4763" s="7">
        <f>VLOOKUP(A4763,SizeData!A$2:B$3839,2,FALSE)</f>
        <v/>
      </c>
      <c r="D4763" s="6" t="n">
        <v>2</v>
      </c>
      <c r="E4763" s="6" t="inlineStr">
        <is>
          <t>R1649926</t>
        </is>
      </c>
      <c r="F4763" s="67" t="n">
        <v>44727</v>
      </c>
      <c r="G4763" s="68" t="n"/>
    </row>
    <row r="4764">
      <c r="A4764" s="6" t="n">
        <v>77771</v>
      </c>
      <c r="B4764" s="6" t="inlineStr">
        <is>
          <t>WILD TURKEY AMERICAN HONEY</t>
        </is>
      </c>
      <c r="C4764" s="7">
        <f>VLOOKUP(A4764,SizeData!A$2:B$3839,2,FALSE)</f>
        <v/>
      </c>
      <c r="D4764" s="6" t="n">
        <v>1</v>
      </c>
      <c r="E4764" s="6" t="inlineStr">
        <is>
          <t>R1782877</t>
        </is>
      </c>
      <c r="F4764" s="67" t="n">
        <v>44830</v>
      </c>
      <c r="G4764" s="68" t="n"/>
    </row>
    <row r="4765">
      <c r="A4765" s="6" t="n">
        <v>77776</v>
      </c>
      <c r="B4765" s="6" t="inlineStr">
        <is>
          <t>WILD TURKEY AMERICAN HONEY</t>
        </is>
      </c>
      <c r="C4765" s="7">
        <f>VLOOKUP(A4765,SizeData!A$2:B$3839,2,FALSE)</f>
        <v/>
      </c>
      <c r="D4765" s="6" t="n">
        <v>1</v>
      </c>
      <c r="E4765" s="6" t="inlineStr">
        <is>
          <t>R1393008</t>
        </is>
      </c>
      <c r="F4765" s="67" t="n">
        <v>44558</v>
      </c>
      <c r="G4765" s="68" t="n"/>
    </row>
    <row r="4766">
      <c r="A4766" s="6" t="n">
        <v>77776</v>
      </c>
      <c r="B4766" s="6" t="inlineStr">
        <is>
          <t>WILD TURKEY AMERICAN HONEY</t>
        </is>
      </c>
      <c r="C4766" s="7">
        <f>VLOOKUP(A4766,SizeData!A$2:B$3839,2,FALSE)</f>
        <v/>
      </c>
      <c r="D4766" s="6" t="n">
        <v>2</v>
      </c>
      <c r="E4766" s="6" t="inlineStr">
        <is>
          <t>R1566604</t>
        </is>
      </c>
      <c r="F4766" s="67" t="n">
        <v>44660</v>
      </c>
      <c r="G4766" s="68" t="n"/>
    </row>
    <row r="4767">
      <c r="A4767" s="6" t="n">
        <v>77776</v>
      </c>
      <c r="B4767" s="6" t="inlineStr">
        <is>
          <t>WILD TURKEY AMERICAN HONEY</t>
        </is>
      </c>
      <c r="C4767" s="7">
        <f>VLOOKUP(A4767,SizeData!A$2:B$3839,2,FALSE)</f>
        <v/>
      </c>
      <c r="D4767" s="6" t="n">
        <v>1</v>
      </c>
      <c r="E4767" s="6" t="inlineStr">
        <is>
          <t>R1770694</t>
        </is>
      </c>
      <c r="F4767" s="67" t="n">
        <v>44816</v>
      </c>
      <c r="G4767" s="68" t="n"/>
    </row>
    <row r="4768">
      <c r="A4768" s="26" t="n">
        <v>77776</v>
      </c>
      <c r="B4768" s="26" t="inlineStr">
        <is>
          <t>WILD TURKEY AMERICAN HONEY</t>
        </is>
      </c>
      <c r="C4768" s="75">
        <f>VLOOKUP(A4768,SizeData!A$2:B$3839,2,FALSE)</f>
        <v/>
      </c>
      <c r="D4768" s="26" t="n">
        <v>2</v>
      </c>
      <c r="E4768" s="26" t="inlineStr">
        <is>
          <t>R1792137</t>
        </is>
      </c>
      <c r="F4768" s="72" t="n">
        <v>44835</v>
      </c>
      <c r="G4768" s="73" t="n"/>
    </row>
    <row r="4769">
      <c r="A4769" s="6" t="n">
        <v>77776</v>
      </c>
      <c r="B4769" s="6" t="inlineStr">
        <is>
          <t>WILD TURKEY AMERICAN HONEY</t>
        </is>
      </c>
      <c r="C4769" s="7">
        <f>VLOOKUP(A4769,SizeData!A$2:B$3839,2,FALSE)</f>
        <v/>
      </c>
      <c r="D4769" s="6" t="n">
        <v>3</v>
      </c>
      <c r="E4769" s="6" t="inlineStr">
        <is>
          <t>R1794246</t>
        </is>
      </c>
      <c r="F4769" s="67" t="n">
        <v>44837</v>
      </c>
      <c r="G4769" s="68" t="n"/>
    </row>
    <row r="4770">
      <c r="A4770" s="6" t="n">
        <v>77777</v>
      </c>
      <c r="B4770" s="6" t="inlineStr">
        <is>
          <t>WILD TURKEY AMERICAN HONEY</t>
        </is>
      </c>
      <c r="C4770" s="7">
        <f>VLOOKUP(A4770,SizeData!A$2:B$3839,2,FALSE)</f>
        <v/>
      </c>
      <c r="D4770" s="6" t="n">
        <v>2</v>
      </c>
      <c r="E4770" s="6" t="inlineStr">
        <is>
          <t>R1465191</t>
        </is>
      </c>
      <c r="F4770" s="67" t="n">
        <v>44602</v>
      </c>
      <c r="G4770" s="68" t="n"/>
    </row>
    <row r="4771">
      <c r="A4771" s="6" t="n">
        <v>77777</v>
      </c>
      <c r="B4771" s="6" t="inlineStr">
        <is>
          <t>WILD TURKEY AMERICAN HONEY</t>
        </is>
      </c>
      <c r="C4771" s="7">
        <f>VLOOKUP(A4771,SizeData!A$2:B$3839,2,FALSE)</f>
        <v/>
      </c>
      <c r="D4771" s="6" t="n">
        <v>2</v>
      </c>
      <c r="E4771" s="6" t="inlineStr">
        <is>
          <t>R1684665</t>
        </is>
      </c>
      <c r="F4771" s="67" t="n">
        <v>44765</v>
      </c>
      <c r="G4771" s="68" t="n"/>
    </row>
    <row r="4772">
      <c r="A4772" s="6" t="n">
        <v>77777</v>
      </c>
      <c r="B4772" s="6" t="inlineStr">
        <is>
          <t>WILD TURKEY AMERICAN HONEY</t>
        </is>
      </c>
      <c r="C4772" s="7">
        <f>VLOOKUP(A4772,SizeData!A$2:B$3839,2,FALSE)</f>
        <v/>
      </c>
      <c r="D4772" s="6" t="n">
        <v>2</v>
      </c>
      <c r="E4772" s="6" t="inlineStr">
        <is>
          <t>R1767202</t>
        </is>
      </c>
      <c r="F4772" s="67" t="n">
        <v>44812</v>
      </c>
      <c r="G4772" s="68" t="n"/>
    </row>
    <row r="4773">
      <c r="A4773" s="6" t="n">
        <v>77777</v>
      </c>
      <c r="B4773" s="6" t="inlineStr">
        <is>
          <t>WILD TURKEY AMERICAN HONEY</t>
        </is>
      </c>
      <c r="C4773" s="7">
        <f>VLOOKUP(A4773,SizeData!A$2:B$3839,2,FALSE)</f>
        <v/>
      </c>
      <c r="D4773" s="6" t="n">
        <v>1</v>
      </c>
      <c r="E4773" s="6" t="inlineStr">
        <is>
          <t>R1782657</t>
        </is>
      </c>
      <c r="F4773" s="67" t="n">
        <v>44828</v>
      </c>
      <c r="G4773" s="68" t="n"/>
    </row>
    <row r="4774">
      <c r="A4774" s="6" t="n">
        <v>77779</v>
      </c>
      <c r="B4774" s="6" t="inlineStr">
        <is>
          <t>WILD TURKEY AMERICAN HONEY</t>
        </is>
      </c>
      <c r="C4774" s="7">
        <f>VLOOKUP(A4774,SizeData!A$2:B$3839,2,FALSE)</f>
        <v/>
      </c>
      <c r="D4774" s="6" t="n">
        <v>1</v>
      </c>
      <c r="E4774" s="6" t="inlineStr">
        <is>
          <t>R1489956</t>
        </is>
      </c>
      <c r="F4774" s="67" t="n">
        <v>44631</v>
      </c>
      <c r="G4774" s="68" t="n"/>
    </row>
    <row r="4775">
      <c r="A4775" s="6" t="n">
        <v>21946</v>
      </c>
      <c r="B4775" s="6" t="inlineStr">
        <is>
          <t>WILD TURKEY KENTUCKY SPIRIT SINGLE BARREL</t>
        </is>
      </c>
      <c r="C4775" s="7">
        <f>VLOOKUP(A4775,SizeData!A$2:B$3839,2,FALSE)</f>
        <v/>
      </c>
      <c r="D4775" s="6" t="n">
        <v>2</v>
      </c>
      <c r="E4775" s="6" t="inlineStr">
        <is>
          <t>R1798963</t>
        </is>
      </c>
      <c r="F4775" s="67" t="n">
        <v>44844</v>
      </c>
      <c r="G4775" s="68" t="n"/>
    </row>
    <row r="4776">
      <c r="A4776" s="6" t="n">
        <v>22102</v>
      </c>
      <c r="B4776" s="6" t="inlineStr">
        <is>
          <t>WILD TURKEY LONGBRANCH</t>
        </is>
      </c>
      <c r="C4776" s="7">
        <f>VLOOKUP(A4776,SizeData!A$2:B$3839,2,FALSE)</f>
        <v/>
      </c>
      <c r="D4776" s="6" t="n">
        <v>1</v>
      </c>
      <c r="E4776" s="6" t="inlineStr">
        <is>
          <t>R1434427</t>
        </is>
      </c>
      <c r="F4776" s="67" t="n">
        <v>44588</v>
      </c>
      <c r="G4776" s="68" t="n"/>
    </row>
    <row r="4777">
      <c r="A4777" s="6" t="n">
        <v>22077</v>
      </c>
      <c r="B4777" s="6" t="inlineStr">
        <is>
          <t>WILDERNESS TRAIL STRAIGHT BOURBON SGL BARREL BIB</t>
        </is>
      </c>
      <c r="C4777" s="7">
        <f>VLOOKUP(A4777,SizeData!A$2:B$3839,2,FALSE)</f>
        <v/>
      </c>
      <c r="D4777" s="6" t="n">
        <v>1</v>
      </c>
      <c r="E4777" s="6" t="inlineStr">
        <is>
          <t>R1489956</t>
        </is>
      </c>
      <c r="F4777" s="67" t="n">
        <v>44631</v>
      </c>
      <c r="G4777" s="68" t="n"/>
    </row>
    <row r="4778">
      <c r="A4778" s="6" t="n">
        <v>26484</v>
      </c>
      <c r="B4778" s="6" t="inlineStr">
        <is>
          <t>WILLETT FAMILY ESTATE 4 YR RYE - LTO</t>
        </is>
      </c>
      <c r="C4778" s="7">
        <f>VLOOKUP(A4778,SizeData!A$2:B$3839,2,FALSE)</f>
        <v/>
      </c>
      <c r="D4778" s="6" t="n">
        <v>1</v>
      </c>
      <c r="E4778" s="6" t="inlineStr">
        <is>
          <t>R1472811</t>
        </is>
      </c>
      <c r="F4778" s="67" t="n">
        <v>44609</v>
      </c>
      <c r="G4778" s="68" t="n"/>
    </row>
    <row r="4779">
      <c r="A4779" s="26" t="n">
        <v>26484</v>
      </c>
      <c r="B4779" s="26" t="inlineStr">
        <is>
          <t>WILLETT FAMILY ESTATE 4 YR RYE - LTO</t>
        </is>
      </c>
      <c r="C4779" s="7">
        <f>VLOOKUP(A4779,SizeData!A$2:B$3839,2,FALSE)</f>
        <v/>
      </c>
      <c r="D4779" s="26" t="n">
        <v>2</v>
      </c>
      <c r="E4779" s="26" t="inlineStr">
        <is>
          <t>R1778047</t>
        </is>
      </c>
      <c r="F4779" s="72" t="n">
        <v>44825</v>
      </c>
      <c r="G4779" s="68" t="n"/>
    </row>
    <row r="4780">
      <c r="A4780" s="6" t="n">
        <v>35903</v>
      </c>
      <c r="B4780" s="6" t="inlineStr">
        <is>
          <t>WODKA VODKA</t>
        </is>
      </c>
      <c r="C4780" s="7">
        <f>VLOOKUP(A4780,SizeData!A$2:B$3839,2,FALSE)</f>
        <v/>
      </c>
      <c r="D4780" s="6" t="n">
        <v>2</v>
      </c>
      <c r="E4780" s="6" t="inlineStr">
        <is>
          <t>R1397487</t>
        </is>
      </c>
      <c r="F4780" s="67" t="n">
        <v>44567</v>
      </c>
      <c r="G4780" s="68" t="n"/>
    </row>
    <row r="4781">
      <c r="A4781" s="6" t="n">
        <v>35903</v>
      </c>
      <c r="B4781" s="6" t="inlineStr">
        <is>
          <t>WODKA VODKA</t>
        </is>
      </c>
      <c r="C4781" s="7">
        <f>VLOOKUP(A4781,SizeData!A$2:B$3839,2,FALSE)</f>
        <v/>
      </c>
      <c r="D4781" s="6" t="n">
        <v>1</v>
      </c>
      <c r="E4781" s="6" t="inlineStr">
        <is>
          <t>R1501158</t>
        </is>
      </c>
      <c r="F4781" s="67" t="n">
        <v>44627</v>
      </c>
      <c r="G4781" s="68" t="n"/>
    </row>
    <row r="4782">
      <c r="A4782" s="26" t="n">
        <v>35903</v>
      </c>
      <c r="B4782" s="26" t="inlineStr">
        <is>
          <t>WODKA VODKA POLISH VODKA</t>
        </is>
      </c>
      <c r="C4782" s="7">
        <f>VLOOKUP(A4782,SizeData!A$2:B$3839,2,FALSE)</f>
        <v/>
      </c>
      <c r="D4782" s="26" t="n">
        <v>2</v>
      </c>
      <c r="E4782" s="26" t="inlineStr">
        <is>
          <t>R1760922</t>
        </is>
      </c>
      <c r="F4782" s="72" t="n">
        <v>44805</v>
      </c>
      <c r="G4782" s="73" t="n"/>
    </row>
    <row r="4783">
      <c r="A4783" s="6" t="n">
        <v>35903</v>
      </c>
      <c r="B4783" s="6" t="inlineStr">
        <is>
          <t>WODKA VODKA POLISH VODKA</t>
        </is>
      </c>
      <c r="C4783" s="7">
        <f>VLOOKUP(A4783,SizeData!A$2:B$3839,2,FALSE)</f>
        <v/>
      </c>
      <c r="D4783" s="6" t="n">
        <v>4</v>
      </c>
      <c r="E4783" s="6" t="inlineStr">
        <is>
          <t>R1868532</t>
        </is>
      </c>
      <c r="F4783" s="67" t="n">
        <v>44880</v>
      </c>
      <c r="G4783" s="68" t="n"/>
    </row>
    <row r="4784" customFormat="1" s="14">
      <c r="A4784" s="6" t="n">
        <v>498105</v>
      </c>
      <c r="B4784" s="6" t="inlineStr">
        <is>
          <t>WOODBRIDGE BY ROBERET MONDAVI CABERNET SAUVIGNON</t>
        </is>
      </c>
      <c r="C4784" s="7">
        <f>VLOOKUP(A4784,SizeData!A$2:B$3839,2,FALSE)</f>
        <v/>
      </c>
      <c r="D4784" s="6" t="n">
        <v>1</v>
      </c>
      <c r="E4784" s="6" t="inlineStr">
        <is>
          <t>R1713939</t>
        </is>
      </c>
      <c r="F4784" s="67" t="n">
        <v>44779</v>
      </c>
      <c r="G4784" s="68" t="n"/>
    </row>
    <row r="4785" customFormat="1" s="14">
      <c r="A4785" s="6" t="n">
        <v>498105</v>
      </c>
      <c r="B4785" s="6" t="inlineStr">
        <is>
          <t>WOODBRIDGE BY ROBERET MONDAVI CABERNET SAUVIGNON</t>
        </is>
      </c>
      <c r="C4785" s="7">
        <f>VLOOKUP(A4785,SizeData!A$2:B$3839,2,FALSE)</f>
        <v/>
      </c>
      <c r="D4785" s="6" t="n">
        <v>2</v>
      </c>
      <c r="E4785" s="6" t="inlineStr">
        <is>
          <t>R1860872</t>
        </is>
      </c>
      <c r="F4785" s="67" t="n">
        <v>44875</v>
      </c>
      <c r="G4785" s="68" t="n"/>
    </row>
    <row r="4786" customFormat="1" s="14">
      <c r="A4786" s="6" t="n">
        <v>606290</v>
      </c>
      <c r="B4786" s="6" t="inlineStr">
        <is>
          <t>WOODBRIDGE BY ROBERT MONDAVI CHARDONNAY</t>
        </is>
      </c>
      <c r="C4786" s="7">
        <f>VLOOKUP(A4786,SizeData!A$2:B$3839,2,FALSE)</f>
        <v/>
      </c>
      <c r="D4786" s="6" t="n">
        <v>2</v>
      </c>
      <c r="E4786" s="6" t="inlineStr">
        <is>
          <t>R1469430</t>
        </is>
      </c>
      <c r="F4786" s="67" t="n">
        <v>44610</v>
      </c>
      <c r="G4786" s="68" t="n"/>
    </row>
    <row r="4787" customFormat="1" s="14">
      <c r="A4787" s="6" t="n">
        <v>606290</v>
      </c>
      <c r="B4787" s="6" t="inlineStr">
        <is>
          <t>WOODBRIDGE BY ROBERT MONDAVI CHARDONNAY</t>
        </is>
      </c>
      <c r="C4787" s="7">
        <f>VLOOKUP(A4787,SizeData!A$2:B$3839,2,FALSE)</f>
        <v/>
      </c>
      <c r="D4787" s="6" t="n">
        <v>1</v>
      </c>
      <c r="E4787" s="6" t="inlineStr">
        <is>
          <t>R1860872</t>
        </is>
      </c>
      <c r="F4787" s="67" t="n">
        <v>44875</v>
      </c>
      <c r="G4787" s="68" t="n"/>
    </row>
    <row r="4788" customFormat="1" s="14">
      <c r="A4788" s="6" t="n">
        <v>606290</v>
      </c>
      <c r="B4788" s="6" t="inlineStr">
        <is>
          <t>WOODBRIDGE BY ROBERT MONDAVI CHARDONNAY</t>
        </is>
      </c>
      <c r="C4788" s="7">
        <f>VLOOKUP(A4788,SizeData!A$2:B$3839,2,FALSE)</f>
        <v/>
      </c>
      <c r="D4788" s="6" t="n">
        <v>1</v>
      </c>
      <c r="E4788" s="6" t="inlineStr">
        <is>
          <t>R1866531</t>
        </is>
      </c>
      <c r="F4788" s="67" t="n">
        <v>44877</v>
      </c>
      <c r="G4788" s="68" t="n"/>
    </row>
    <row r="4789" customFormat="1" s="14">
      <c r="A4789" s="6" t="n">
        <v>498118</v>
      </c>
      <c r="B4789" s="6" t="inlineStr">
        <is>
          <t>WOODBRIDGE BY ROBERT MONDAVI MERLOT</t>
        </is>
      </c>
      <c r="C4789" s="7">
        <f>VLOOKUP(A4789,SizeData!A$2:B$3839,2,FALSE)</f>
        <v/>
      </c>
      <c r="D4789" s="6" t="n">
        <v>1</v>
      </c>
      <c r="E4789" s="6" t="inlineStr">
        <is>
          <t>R1841934</t>
        </is>
      </c>
      <c r="F4789" s="67" t="n">
        <v>44866</v>
      </c>
      <c r="G4789" s="68" t="n"/>
    </row>
    <row r="4790" customFormat="1" s="14">
      <c r="A4790" s="6" t="n">
        <v>498118</v>
      </c>
      <c r="B4790" s="6" t="inlineStr">
        <is>
          <t>WOODBRIDGE BY ROBERT MONDAVI MERLOT</t>
        </is>
      </c>
      <c r="C4790" s="7">
        <f>VLOOKUP(A4790,SizeData!A$2:B$3839,2,FALSE)</f>
        <v/>
      </c>
      <c r="D4790" s="6" t="n">
        <v>1</v>
      </c>
      <c r="E4790" s="6" t="inlineStr">
        <is>
          <t>R1853571</t>
        </is>
      </c>
      <c r="F4790" s="67" t="n">
        <v>44873</v>
      </c>
      <c r="G4790" s="68" t="n"/>
    </row>
    <row r="4791" customFormat="1" s="14">
      <c r="A4791" s="6" t="n">
        <v>498118</v>
      </c>
      <c r="B4791" s="6" t="inlineStr">
        <is>
          <t>WOODBRIDGE BY ROBERT MONDAVI MERLOT</t>
        </is>
      </c>
      <c r="C4791" s="7">
        <f>VLOOKUP(A4791,SizeData!A$2:B$3839,2,FALSE)</f>
        <v/>
      </c>
      <c r="D4791" s="6" t="n">
        <v>1</v>
      </c>
      <c r="E4791" s="6" t="inlineStr">
        <is>
          <t>R1866531</t>
        </is>
      </c>
      <c r="F4791" s="67" t="n">
        <v>44877</v>
      </c>
      <c r="G4791" s="68" t="n"/>
    </row>
    <row r="4792" customFormat="1" s="14">
      <c r="A4792" s="6" t="n">
        <v>498123</v>
      </c>
      <c r="B4792" s="6" t="inlineStr">
        <is>
          <t>WOODBRIDGE BY ROBERT MONDAVI PINOT NOIR</t>
        </is>
      </c>
      <c r="C4792" s="7">
        <f>VLOOKUP(A4792,SizeData!A$2:B$3839,2,FALSE)</f>
        <v/>
      </c>
      <c r="D4792" s="6" t="n">
        <v>2</v>
      </c>
      <c r="E4792" s="6" t="inlineStr">
        <is>
          <t>R1469832</t>
        </is>
      </c>
      <c r="F4792" s="67" t="n">
        <v>44615</v>
      </c>
      <c r="G4792" s="68" t="n"/>
    </row>
    <row r="4793" customFormat="1" s="14">
      <c r="A4793" s="6" t="n">
        <v>498123</v>
      </c>
      <c r="B4793" s="6" t="inlineStr">
        <is>
          <t>WOODBRIDGE BY ROBERT MONDAVI PINOT NOIR</t>
        </is>
      </c>
      <c r="C4793" s="7">
        <f>VLOOKUP(A4793,SizeData!A$2:B$3839,2,FALSE)</f>
        <v/>
      </c>
      <c r="D4793" s="6" t="n">
        <v>1</v>
      </c>
      <c r="E4793" s="6" t="inlineStr">
        <is>
          <t>R1853571</t>
        </is>
      </c>
      <c r="F4793" s="67" t="n">
        <v>44873</v>
      </c>
      <c r="G4793" s="68" t="n"/>
    </row>
    <row r="4794" customFormat="1" s="14">
      <c r="A4794" s="6" t="n">
        <v>498123</v>
      </c>
      <c r="B4794" s="6" t="inlineStr">
        <is>
          <t>WOODBRIDGE BY ROBERT MONDAVI PINOT NOIR</t>
        </is>
      </c>
      <c r="C4794" s="7">
        <f>VLOOKUP(A4794,SizeData!A$2:B$3839,2,FALSE)</f>
        <v/>
      </c>
      <c r="D4794" s="6" t="n">
        <v>1</v>
      </c>
      <c r="E4794" s="6" t="inlineStr">
        <is>
          <t>R1866531</t>
        </is>
      </c>
      <c r="F4794" s="67" t="n">
        <v>44877</v>
      </c>
      <c r="G4794" s="68" t="n"/>
    </row>
    <row r="4795" customFormat="1" s="14">
      <c r="A4795" s="6" t="n">
        <v>607150</v>
      </c>
      <c r="B4795" s="6" t="inlineStr">
        <is>
          <t>WOODBRIDGE BY ROBERT MONDAVI SAUVIGNON BLANC</t>
        </is>
      </c>
      <c r="C4795" s="7">
        <f>VLOOKUP(A4795,SizeData!A$2:B$3839,2,FALSE)</f>
        <v/>
      </c>
      <c r="D4795" s="6" t="n">
        <v>2</v>
      </c>
      <c r="E4795" s="6" t="inlineStr">
        <is>
          <t>R1393111</t>
        </is>
      </c>
      <c r="F4795" s="67" t="n">
        <v>44559</v>
      </c>
      <c r="G4795" s="68" t="n"/>
    </row>
    <row r="4796" customFormat="1" s="14">
      <c r="A4796" s="6" t="n">
        <v>22228</v>
      </c>
      <c r="B4796" s="6" t="inlineStr">
        <is>
          <t>WOODFORD RESERVE DOUBLE OAK</t>
        </is>
      </c>
      <c r="C4796" s="7">
        <f>VLOOKUP(A4796,SizeData!A$2:B$3839,2,FALSE)</f>
        <v/>
      </c>
      <c r="D4796" s="6" t="n">
        <v>3</v>
      </c>
      <c r="E4796" s="6" t="inlineStr">
        <is>
          <t>R1548197</t>
        </is>
      </c>
      <c r="F4796" s="67" t="n">
        <v>44657</v>
      </c>
      <c r="G4796" s="68" t="n"/>
    </row>
    <row r="4797" customFormat="1" s="14">
      <c r="A4797" s="6" t="n">
        <v>22214</v>
      </c>
      <c r="B4797" s="6" t="inlineStr">
        <is>
          <t>WOODFORD RESERVE KENTUCKY STRAIGHT BOURBON</t>
        </is>
      </c>
      <c r="C4797" s="7">
        <f>VLOOKUP(A4797,SizeData!A$2:B$3839,2,FALSE)</f>
        <v/>
      </c>
      <c r="D4797" s="6" t="n">
        <v>1</v>
      </c>
      <c r="E4797" s="6" t="inlineStr">
        <is>
          <t>R1641906</t>
        </is>
      </c>
      <c r="F4797" s="67" t="n">
        <v>44718</v>
      </c>
      <c r="G4797" s="68" t="n"/>
    </row>
    <row r="4798" customFormat="1" s="14">
      <c r="A4798" s="26" t="n">
        <v>22214</v>
      </c>
      <c r="B4798" s="26" t="inlineStr">
        <is>
          <t>WOODFORD RESERVE KENTUCKY STRAIGHT BOURBON</t>
        </is>
      </c>
      <c r="C4798" s="75">
        <f>VLOOKUP(A4798,SizeData!A$2:B$3839,2,FALSE)</f>
        <v/>
      </c>
      <c r="D4798" s="26" t="n">
        <v>1</v>
      </c>
      <c r="E4798" s="26" t="inlineStr">
        <is>
          <t>R1840965</t>
        </is>
      </c>
      <c r="F4798" s="72" t="n">
        <v>44863</v>
      </c>
      <c r="G4798" s="73" t="n"/>
    </row>
    <row r="4799" customFormat="1" s="14">
      <c r="A4799" s="6" t="n">
        <v>22215</v>
      </c>
      <c r="B4799" s="6" t="inlineStr">
        <is>
          <t>WOODFORD RESERVE KENTUCKY STRAIGHT BOURBON</t>
        </is>
      </c>
      <c r="C4799" s="7">
        <f>VLOOKUP(A4799,SizeData!A$2:B$3839,2,FALSE)</f>
        <v/>
      </c>
      <c r="D4799" s="6" t="n">
        <v>2</v>
      </c>
      <c r="E4799" s="6" t="inlineStr">
        <is>
          <t>R1494274</t>
        </is>
      </c>
      <c r="F4799" s="67" t="n">
        <v>44627</v>
      </c>
      <c r="G4799" s="68" t="n"/>
    </row>
    <row r="4800" customFormat="1" s="14">
      <c r="A4800" s="6" t="n">
        <v>22215</v>
      </c>
      <c r="B4800" s="6" t="inlineStr">
        <is>
          <t>WOODFORD RESERVE KENTUCKY STRAIGHT BOURBON</t>
        </is>
      </c>
      <c r="C4800" s="7">
        <f>VLOOKUP(A4800,SizeData!A$2:B$3839,2,FALSE)</f>
        <v/>
      </c>
      <c r="D4800" s="6" t="n">
        <v>3</v>
      </c>
      <c r="E4800" s="6" t="inlineStr">
        <is>
          <t>R1641906</t>
        </is>
      </c>
      <c r="F4800" s="67" t="n">
        <v>44718</v>
      </c>
      <c r="G4800" s="68" t="n"/>
    </row>
    <row r="4801" customFormat="1" s="14">
      <c r="A4801" s="6" t="n">
        <v>22215</v>
      </c>
      <c r="B4801" s="6" t="inlineStr">
        <is>
          <t>WOODFORD RESERVE KENTUCKY STRAIGHT BOURBON</t>
        </is>
      </c>
      <c r="C4801" s="7">
        <f>VLOOKUP(A4801,SizeData!A$2:B$3839,2,FALSE)</f>
        <v/>
      </c>
      <c r="D4801" s="6" t="n">
        <v>2</v>
      </c>
      <c r="E4801" s="6" t="inlineStr">
        <is>
          <t>R1853571</t>
        </is>
      </c>
      <c r="F4801" s="67" t="n">
        <v>44873</v>
      </c>
      <c r="G4801" s="68" t="n"/>
    </row>
    <row r="4802" customFormat="1" s="14">
      <c r="A4802" s="6" t="n">
        <v>429953</v>
      </c>
      <c r="B4802" s="6" t="inlineStr">
        <is>
          <t>YELLOW TAIL BIG BOLD RED SE AUSTRALIA</t>
        </is>
      </c>
      <c r="C4802" s="7">
        <f>VLOOKUP(A4802,SizeData!A$2:B$3839,2,FALSE)</f>
        <v/>
      </c>
      <c r="D4802" s="6" t="n">
        <v>1</v>
      </c>
      <c r="E4802" s="6" t="inlineStr">
        <is>
          <t>R1408146</t>
        </is>
      </c>
      <c r="F4802" s="67" t="n">
        <v>44569</v>
      </c>
      <c r="G4802" s="68" t="n"/>
    </row>
    <row r="4803" customFormat="1" s="14">
      <c r="A4803" s="6" t="n">
        <v>429953</v>
      </c>
      <c r="B4803" s="6" t="inlineStr">
        <is>
          <t>YELLOW TAIL BIG BOLD RED SE AUSTRALIA</t>
        </is>
      </c>
      <c r="C4803" s="7">
        <f>VLOOKUP(A4803,SizeData!A$2:B$3839,2,FALSE)</f>
        <v/>
      </c>
      <c r="D4803" s="6" t="n">
        <v>1</v>
      </c>
      <c r="E4803" s="6" t="inlineStr">
        <is>
          <t>R1672878</t>
        </is>
      </c>
      <c r="F4803" s="67" t="n">
        <v>44743</v>
      </c>
      <c r="G4803" s="68" t="n"/>
    </row>
    <row r="4804" customFormat="1" s="14">
      <c r="A4804" s="6" t="n">
        <v>429945</v>
      </c>
      <c r="B4804" s="6" t="inlineStr">
        <is>
          <t>YELLOW TAIL CABERNET SAUVIGNON</t>
        </is>
      </c>
      <c r="C4804" s="7">
        <f>VLOOKUP(A4804,SizeData!A$2:B$3839,2,FALSE)</f>
        <v/>
      </c>
      <c r="D4804" s="6" t="n">
        <v>2</v>
      </c>
      <c r="E4804" s="6" t="inlineStr">
        <is>
          <t>R1434427</t>
        </is>
      </c>
      <c r="F4804" s="67" t="n">
        <v>44588</v>
      </c>
      <c r="G4804" s="68" t="n"/>
    </row>
    <row r="4805" customFormat="1" s="14">
      <c r="A4805" s="6" t="n">
        <v>429945</v>
      </c>
      <c r="B4805" s="6" t="inlineStr">
        <is>
          <t>YELLOW TAIL CABERNET SAUVIGNON</t>
        </is>
      </c>
      <c r="C4805" s="7">
        <f>VLOOKUP(A4805,SizeData!A$2:B$3839,2,FALSE)</f>
        <v/>
      </c>
      <c r="D4805" s="6" t="n">
        <v>1</v>
      </c>
      <c r="E4805" s="6" t="inlineStr">
        <is>
          <t>R1683818</t>
        </is>
      </c>
      <c r="F4805" s="67" t="n">
        <v>44754</v>
      </c>
      <c r="G4805" s="68" t="n"/>
    </row>
    <row r="4806" customFormat="1" s="14">
      <c r="A4806" s="6" t="n">
        <v>429945</v>
      </c>
      <c r="B4806" s="6" t="inlineStr">
        <is>
          <t>YELLOW TAIL CABERNET SAUVIGNON</t>
        </is>
      </c>
      <c r="C4806" s="7">
        <f>VLOOKUP(A4806,SizeData!A$2:B$3839,2,FALSE)</f>
        <v/>
      </c>
      <c r="D4806" s="6" t="n">
        <v>3</v>
      </c>
      <c r="E4806" s="6" t="inlineStr">
        <is>
          <t>R1880771</t>
        </is>
      </c>
      <c r="F4806" s="67" t="n">
        <v>44895</v>
      </c>
      <c r="G4806" s="68" t="n"/>
    </row>
    <row r="4807" customFormat="1" s="14">
      <c r="A4807" s="6" t="n">
        <v>429955</v>
      </c>
      <c r="B4807" s="6" t="inlineStr">
        <is>
          <t>YELLOW TAIL CHARDONNAY SOUTH EASTERN AUST</t>
        </is>
      </c>
      <c r="C4807" s="7">
        <f>VLOOKUP(A4807,SizeData!A$2:B$3839,2,FALSE)</f>
        <v/>
      </c>
      <c r="D4807" s="6" t="n">
        <v>5</v>
      </c>
      <c r="E4807" s="6" t="inlineStr">
        <is>
          <t>R1403892</t>
        </is>
      </c>
      <c r="F4807" s="67" t="n">
        <v>44573</v>
      </c>
      <c r="G4807" s="68" t="n"/>
    </row>
    <row r="4808" customFormat="1" s="14">
      <c r="A4808" s="6" t="n">
        <v>429955</v>
      </c>
      <c r="B4808" s="6" t="inlineStr">
        <is>
          <t>YELLOW TAIL CHARDONNAY SOUTH EASTERN AUST</t>
        </is>
      </c>
      <c r="C4808" s="7">
        <f>VLOOKUP(A4808,SizeData!A$2:B$3839,2,FALSE)</f>
        <v/>
      </c>
      <c r="D4808" s="6" t="n">
        <v>7</v>
      </c>
      <c r="E4808" s="6" t="inlineStr">
        <is>
          <t>R1437002</t>
        </is>
      </c>
      <c r="F4808" s="67" t="n">
        <v>44586</v>
      </c>
      <c r="G4808" s="68" t="n"/>
    </row>
    <row r="4809" customFormat="1" s="14">
      <c r="A4809" s="6" t="n">
        <v>429955</v>
      </c>
      <c r="B4809" s="6" t="inlineStr">
        <is>
          <t>YELLOW TAIL CHARDONNAY SOUTH EASTERN AUST</t>
        </is>
      </c>
      <c r="C4809" s="7">
        <f>VLOOKUP(A4809,SizeData!A$2:B$3839,2,FALSE)</f>
        <v/>
      </c>
      <c r="D4809" s="6" t="n">
        <v>3</v>
      </c>
      <c r="E4809" s="6" t="inlineStr">
        <is>
          <t>R1434427</t>
        </is>
      </c>
      <c r="F4809" s="67" t="n">
        <v>44588</v>
      </c>
      <c r="G4809" s="68" t="n"/>
    </row>
    <row r="4810" customFormat="1" s="14">
      <c r="A4810" s="6" t="n">
        <v>429955</v>
      </c>
      <c r="B4810" s="6" t="inlineStr">
        <is>
          <t>YELLOW TAIL CHARDONNAY SOUTH EASTERN AUST</t>
        </is>
      </c>
      <c r="C4810" s="7">
        <f>VLOOKUP(A4810,SizeData!A$2:B$3839,2,FALSE)</f>
        <v/>
      </c>
      <c r="D4810" s="6" t="n">
        <v>6</v>
      </c>
      <c r="E4810" s="6" t="inlineStr">
        <is>
          <t>R1540227</t>
        </is>
      </c>
      <c r="F4810" s="67" t="n">
        <v>44636</v>
      </c>
      <c r="G4810" s="68" t="n"/>
    </row>
    <row r="4811" customFormat="1" s="14">
      <c r="A4811" s="6" t="n">
        <v>429955</v>
      </c>
      <c r="B4811" s="6" t="inlineStr">
        <is>
          <t>YELLOW TAIL CHARDONNAY SOUTH EASTERN AUST</t>
        </is>
      </c>
      <c r="C4811" s="7">
        <f>VLOOKUP(A4811,SizeData!A$2:B$3839,2,FALSE)</f>
        <v/>
      </c>
      <c r="D4811" s="6" t="n">
        <v>2</v>
      </c>
      <c r="E4811" s="6" t="inlineStr">
        <is>
          <t>R1527308</t>
        </is>
      </c>
      <c r="F4811" s="67" t="n">
        <v>44639</v>
      </c>
      <c r="G4811" s="68" t="n"/>
    </row>
    <row r="4812" customFormat="1" s="14">
      <c r="A4812" s="6" t="n">
        <v>429955</v>
      </c>
      <c r="B4812" s="6" t="inlineStr">
        <is>
          <t>YELLOW TAIL CHARDONNAY SOUTH EASTERN AUST</t>
        </is>
      </c>
      <c r="C4812" s="7">
        <f>VLOOKUP(A4812,SizeData!A$2:B$3839,2,FALSE)</f>
        <v/>
      </c>
      <c r="D4812" s="6" t="n">
        <v>5</v>
      </c>
      <c r="E4812" s="6" t="inlineStr">
        <is>
          <t>R1545849</t>
        </is>
      </c>
      <c r="F4812" s="67" t="n">
        <v>44648</v>
      </c>
      <c r="G4812" s="68" t="n"/>
    </row>
    <row r="4813" customFormat="1" s="14">
      <c r="A4813" s="6" t="n">
        <v>429955</v>
      </c>
      <c r="B4813" s="6" t="inlineStr">
        <is>
          <t>YELLOW TAIL CHARDONNAY SOUTH EASTERN AUST</t>
        </is>
      </c>
      <c r="C4813" s="7">
        <f>VLOOKUP(A4813,SizeData!A$2:B$3839,2,FALSE)</f>
        <v/>
      </c>
      <c r="D4813" s="6" t="n">
        <v>10</v>
      </c>
      <c r="E4813" s="6" t="inlineStr">
        <is>
          <t>R1672878</t>
        </is>
      </c>
      <c r="F4813" s="67" t="n">
        <v>44743</v>
      </c>
      <c r="G4813" s="68" t="n"/>
    </row>
    <row r="4814" customFormat="1" s="14">
      <c r="A4814" s="6" t="n">
        <v>429998</v>
      </c>
      <c r="B4814" s="6" t="inlineStr">
        <is>
          <t>YELLOW TAIL JAMMY RED ROO</t>
        </is>
      </c>
      <c r="C4814" s="7">
        <f>VLOOKUP(A4814,SizeData!A$2:B$3839,2,FALSE)</f>
        <v/>
      </c>
      <c r="D4814" s="6" t="n">
        <v>2</v>
      </c>
      <c r="E4814" s="6" t="inlineStr">
        <is>
          <t>R1612379</t>
        </is>
      </c>
      <c r="F4814" s="67" t="n">
        <v>44701</v>
      </c>
      <c r="G4814" s="68" t="n"/>
    </row>
    <row r="4815" customFormat="1" s="14">
      <c r="A4815" s="6" t="n">
        <v>429999</v>
      </c>
      <c r="B4815" s="6" t="inlineStr">
        <is>
          <t>YELLOW TAIL JAMMY RED ROO</t>
        </is>
      </c>
      <c r="C4815" s="7">
        <f>VLOOKUP(A4815,SizeData!A$2:B$3839,2,FALSE)</f>
        <v/>
      </c>
      <c r="D4815" s="6" t="n">
        <v>1</v>
      </c>
      <c r="E4815" s="6" t="inlineStr">
        <is>
          <t>R1397487</t>
        </is>
      </c>
      <c r="F4815" s="67" t="n">
        <v>44567</v>
      </c>
      <c r="G4815" s="68" t="n"/>
    </row>
    <row r="4816" customFormat="1" s="14">
      <c r="A4816" s="6" t="n">
        <v>429999</v>
      </c>
      <c r="B4816" s="6" t="inlineStr">
        <is>
          <t>YELLOW TAIL JAMMY RED ROO</t>
        </is>
      </c>
      <c r="C4816" s="7">
        <f>VLOOKUP(A4816,SizeData!A$2:B$3839,2,FALSE)</f>
        <v/>
      </c>
      <c r="D4816" s="6" t="n">
        <v>2</v>
      </c>
      <c r="E4816" s="6" t="inlineStr">
        <is>
          <t>R1672878</t>
        </is>
      </c>
      <c r="F4816" s="67" t="n">
        <v>44743</v>
      </c>
      <c r="G4816" s="68" t="n"/>
    </row>
    <row r="4817">
      <c r="A4817" s="6" t="n">
        <v>429999</v>
      </c>
      <c r="B4817" s="6" t="inlineStr">
        <is>
          <t>YELLOW TAIL JAMMY RED ROO</t>
        </is>
      </c>
      <c r="C4817" s="7">
        <f>VLOOKUP(A4817,SizeData!A$2:B$3839,2,FALSE)</f>
        <v/>
      </c>
      <c r="D4817" s="6" t="n">
        <v>1</v>
      </c>
      <c r="E4817" s="6" t="inlineStr">
        <is>
          <t>R1697003</t>
        </is>
      </c>
      <c r="F4817" s="67" t="n">
        <v>44757</v>
      </c>
      <c r="G4817" s="68" t="n"/>
    </row>
    <row r="4818">
      <c r="A4818" s="6" t="n">
        <v>429975</v>
      </c>
      <c r="B4818" s="6" t="inlineStr">
        <is>
          <t>YELLOW TAIL MERLOT</t>
        </is>
      </c>
      <c r="C4818" s="7">
        <f>VLOOKUP(A4818,SizeData!A$2:B$3839,2,FALSE)</f>
        <v/>
      </c>
      <c r="D4818" s="6" t="n">
        <v>3</v>
      </c>
      <c r="E4818" s="6" t="inlineStr">
        <is>
          <t>R1493246</t>
        </is>
      </c>
      <c r="F4818" s="67" t="n">
        <v>44623</v>
      </c>
      <c r="G4818" s="68" t="n"/>
    </row>
    <row r="4819">
      <c r="A4819" s="6" t="n">
        <v>429975</v>
      </c>
      <c r="B4819" s="6" t="inlineStr">
        <is>
          <t>YELLOW TAIL MERLOT</t>
        </is>
      </c>
      <c r="C4819" s="7">
        <f>VLOOKUP(A4819,SizeData!A$2:B$3839,2,FALSE)</f>
        <v/>
      </c>
      <c r="D4819" s="6" t="n">
        <v>1</v>
      </c>
      <c r="E4819" s="6" t="inlineStr">
        <is>
          <t>R1512696</t>
        </is>
      </c>
      <c r="F4819" s="67" t="n">
        <v>44637</v>
      </c>
      <c r="G4819" s="68" t="n"/>
    </row>
    <row r="4820">
      <c r="A4820" s="6" t="n">
        <v>429964</v>
      </c>
      <c r="B4820" s="6" t="inlineStr">
        <is>
          <t>YELLOW TAIL MOSCATO SE AUSTRALIA</t>
        </is>
      </c>
      <c r="C4820" s="7">
        <f>VLOOKUP(A4820,SizeData!A$2:B$3839,2,FALSE)</f>
        <v/>
      </c>
      <c r="D4820" s="6" t="n">
        <v>1</v>
      </c>
      <c r="E4820" s="6" t="inlineStr">
        <is>
          <t>R1545849</t>
        </is>
      </c>
      <c r="F4820" s="67" t="n">
        <v>44648</v>
      </c>
      <c r="G4820" s="68" t="n"/>
    </row>
    <row r="4821">
      <c r="A4821" s="6" t="n">
        <v>429964</v>
      </c>
      <c r="B4821" s="6" t="inlineStr">
        <is>
          <t>YELLOW TAIL MOSCATO SE AUSTRALIA</t>
        </is>
      </c>
      <c r="C4821" s="7">
        <f>VLOOKUP(A4821,SizeData!A$2:B$3839,2,FALSE)</f>
        <v/>
      </c>
      <c r="D4821" s="6" t="n">
        <v>1</v>
      </c>
      <c r="E4821" s="6" t="inlineStr">
        <is>
          <t>R1854075</t>
        </is>
      </c>
      <c r="F4821" s="67" t="n">
        <v>44873</v>
      </c>
      <c r="G4821" s="68" t="n"/>
    </row>
    <row r="4822">
      <c r="A4822" s="6" t="n">
        <v>430012</v>
      </c>
      <c r="B4822" s="6" t="inlineStr">
        <is>
          <t>YELLOW TAIL PINOT GRIGIO</t>
        </is>
      </c>
      <c r="C4822" s="7">
        <f>VLOOKUP(A4822,SizeData!A$2:B$3839,2,FALSE)</f>
        <v/>
      </c>
      <c r="D4822" s="6" t="n">
        <v>1</v>
      </c>
      <c r="E4822" s="6" t="inlineStr">
        <is>
          <t>R1402608</t>
        </is>
      </c>
      <c r="F4822" s="67" t="n">
        <v>44562</v>
      </c>
      <c r="G4822" s="68" t="n"/>
    </row>
    <row r="4823">
      <c r="A4823" s="26" t="n">
        <v>429982</v>
      </c>
      <c r="B4823" s="26" t="inlineStr">
        <is>
          <t>YELLOW TAIL RIESLING</t>
        </is>
      </c>
      <c r="C4823" s="75">
        <f>VLOOKUP(A4823,SizeData!A$2:B$3839,2,FALSE)</f>
        <v/>
      </c>
      <c r="D4823" s="26" t="n">
        <v>1</v>
      </c>
      <c r="E4823" s="26" t="inlineStr">
        <is>
          <t>R1880771</t>
        </is>
      </c>
      <c r="F4823" s="72" t="n">
        <v>44895</v>
      </c>
      <c r="G4823" s="73" t="n"/>
    </row>
    <row r="4824">
      <c r="A4824" s="6" t="n">
        <v>429993</v>
      </c>
      <c r="B4824" s="6" t="inlineStr">
        <is>
          <t>YELLOW TAIL SANGRIA</t>
        </is>
      </c>
      <c r="C4824" s="7">
        <f>VLOOKUP(A4824,SizeData!A$2:B$3839,2,FALSE)</f>
        <v/>
      </c>
      <c r="D4824" s="6" t="n">
        <v>2</v>
      </c>
      <c r="E4824" s="6" t="inlineStr">
        <is>
          <t>R1397487</t>
        </is>
      </c>
      <c r="F4824" s="67" t="n">
        <v>44567</v>
      </c>
      <c r="G4824" s="68" t="n"/>
    </row>
    <row r="4825">
      <c r="A4825" s="6" t="n">
        <v>429993</v>
      </c>
      <c r="B4825" s="6" t="inlineStr">
        <is>
          <t>YELLOW TAIL SANGRIA</t>
        </is>
      </c>
      <c r="C4825" s="7">
        <f>VLOOKUP(A4825,SizeData!A$2:B$3839,2,FALSE)</f>
        <v/>
      </c>
      <c r="D4825" s="6" t="n">
        <v>1</v>
      </c>
      <c r="E4825" s="6" t="inlineStr">
        <is>
          <t>R1545849</t>
        </is>
      </c>
      <c r="F4825" s="67" t="n">
        <v>44648</v>
      </c>
      <c r="G4825" s="68" t="n"/>
    </row>
    <row r="4826">
      <c r="A4826" s="6" t="n">
        <v>429993</v>
      </c>
      <c r="B4826" s="6" t="inlineStr">
        <is>
          <t>YELLOW TAIL SANGRIA</t>
        </is>
      </c>
      <c r="C4826" s="7">
        <f>VLOOKUP(A4826,SizeData!A$2:B$3839,2,FALSE)</f>
        <v/>
      </c>
      <c r="D4826" s="6" t="n">
        <v>1</v>
      </c>
      <c r="E4826" s="6" t="inlineStr">
        <is>
          <t>R1772897</t>
        </is>
      </c>
      <c r="F4826" s="67" t="n">
        <v>44825</v>
      </c>
      <c r="G4826" s="68" t="n"/>
    </row>
    <row r="4827">
      <c r="A4827" s="6" t="n">
        <v>429999</v>
      </c>
      <c r="B4827" s="6" t="inlineStr">
        <is>
          <t>YELLOW TAIL SWEET RED ROO</t>
        </is>
      </c>
      <c r="C4827" s="7">
        <f>VLOOKUP(A4827,SizeData!A$2:B$3839,2,FALSE)</f>
        <v/>
      </c>
      <c r="D4827" s="6" t="n">
        <v>1</v>
      </c>
      <c r="E4827" s="6" t="inlineStr">
        <is>
          <t>R1402608</t>
        </is>
      </c>
      <c r="F4827" s="67" t="n">
        <v>44562</v>
      </c>
      <c r="G4827" s="68" t="n"/>
    </row>
  </sheetData>
  <autoFilter ref="A3:G4827">
    <sortState ref="A2451:G2550">
      <sortCondition ref="C3:C4827"/>
    </sortState>
  </autoFilter>
  <mergeCells count="2">
    <mergeCell ref="D1:E1"/>
    <mergeCell ref="F1:G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5616"/>
  <sheetViews>
    <sheetView workbookViewId="0">
      <pane ySplit="3" topLeftCell="A4" activePane="bottomLeft" state="frozen"/>
      <selection pane="bottomLeft" activeCell="D3015" sqref="D3015:D3017"/>
    </sheetView>
  </sheetViews>
  <sheetFormatPr baseColWidth="10" defaultColWidth="8.83203125" defaultRowHeight="15"/>
  <cols>
    <col width="44.5" customWidth="1" min="2" max="2"/>
    <col width="11.5" customWidth="1" min="3" max="3"/>
  </cols>
  <sheetData>
    <row r="1" ht="21" customHeight="1">
      <c r="D1" s="127" t="inlineStr">
        <is>
          <t>Total</t>
        </is>
      </c>
      <c r="F1" s="127">
        <f>SUM(D4:D8998)</f>
        <v/>
      </c>
    </row>
    <row r="3">
      <c r="A3" s="1" t="inlineStr">
        <is>
          <t>Item #</t>
        </is>
      </c>
      <c r="B3" s="1" t="inlineStr">
        <is>
          <t>Name</t>
        </is>
      </c>
      <c r="C3" s="7" t="inlineStr">
        <is>
          <t>Size</t>
        </is>
      </c>
      <c r="D3" s="1" t="inlineStr">
        <is>
          <t>Reserved Quantity</t>
        </is>
      </c>
      <c r="E3" s="1" t="inlineStr">
        <is>
          <t>Order</t>
        </is>
      </c>
      <c r="F3" s="2" t="inlineStr">
        <is>
          <t>Date</t>
        </is>
      </c>
      <c r="G3" s="1" t="inlineStr">
        <is>
          <t>Note</t>
        </is>
      </c>
    </row>
    <row r="4">
      <c r="A4" s="6" t="n">
        <v>447</v>
      </c>
      <c r="B4" s="6" t="inlineStr">
        <is>
          <t>KNOB CREEK GLASS HOLIDAY GIFT</t>
        </is>
      </c>
      <c r="C4" s="7">
        <f>VLOOKUP(A4,SizeData!A$2:B$3839,2,FALSE)</f>
        <v/>
      </c>
      <c r="D4" s="6" t="n">
        <v>3</v>
      </c>
      <c r="E4" s="6" t="inlineStr">
        <is>
          <t>R1283220</t>
        </is>
      </c>
      <c r="F4" s="2" t="n">
        <v>44483</v>
      </c>
      <c r="G4" s="1" t="n"/>
    </row>
    <row r="5">
      <c r="A5" s="6" t="n">
        <v>464</v>
      </c>
      <c r="B5" s="6" t="inlineStr">
        <is>
          <t>GN ORIGINAL 6 750ML(VAP)</t>
        </is>
      </c>
      <c r="C5" s="7">
        <f>VLOOKUP(A5,SizeData!A$2:B$3839,2,FALSE)</f>
        <v/>
      </c>
      <c r="D5" s="6" t="n">
        <v>2</v>
      </c>
      <c r="E5" s="6" t="inlineStr">
        <is>
          <t>R1337036A</t>
        </is>
      </c>
      <c r="F5" s="2" t="n">
        <v>44541</v>
      </c>
      <c r="G5" s="1" t="n"/>
    </row>
    <row r="6">
      <c r="A6" s="6" t="n">
        <v>1400</v>
      </c>
      <c r="B6" s="6" t="inlineStr">
        <is>
          <t>CROWN ROYAL W/2 STATE GLASSES</t>
        </is>
      </c>
      <c r="C6" s="7">
        <f>VLOOKUP(A6,SizeData!A$2:B$3839,2,FALSE)</f>
        <v/>
      </c>
      <c r="D6" s="6" t="n">
        <v>10</v>
      </c>
      <c r="E6" s="6" t="inlineStr">
        <is>
          <t>R1305412</t>
        </is>
      </c>
      <c r="F6" s="2" t="n">
        <v>44488</v>
      </c>
      <c r="G6" s="1" t="n"/>
    </row>
    <row r="7">
      <c r="A7" s="6" t="n">
        <v>1400</v>
      </c>
      <c r="B7" s="6" t="inlineStr">
        <is>
          <t>CROWN ROYAL W/2 STATE GLASSES</t>
        </is>
      </c>
      <c r="C7" s="7">
        <f>VLOOKUP(A7,SizeData!A$2:B$3839,2,FALSE)</f>
        <v/>
      </c>
      <c r="D7" s="6" t="n">
        <v>10</v>
      </c>
      <c r="E7" s="6" t="inlineStr">
        <is>
          <t>R1297436</t>
        </is>
      </c>
      <c r="F7" s="2" t="n">
        <v>44494</v>
      </c>
      <c r="G7" s="1" t="n"/>
    </row>
    <row r="8">
      <c r="A8" s="6" t="n">
        <v>4000</v>
      </c>
      <c r="B8" s="6" t="inlineStr">
        <is>
          <t>ABERFELDY 12 YR SINGLE MALT</t>
        </is>
      </c>
      <c r="C8" s="7">
        <f>VLOOKUP(A8,SizeData!A$2:B$3839,2,FALSE)</f>
        <v/>
      </c>
      <c r="D8" s="6" t="n">
        <v>1</v>
      </c>
      <c r="E8" s="6" t="inlineStr">
        <is>
          <t>R1122623</t>
        </is>
      </c>
      <c r="F8" s="2" t="n">
        <v>44331</v>
      </c>
      <c r="G8" s="1" t="n"/>
    </row>
    <row r="9">
      <c r="A9" s="6" t="n">
        <v>4000</v>
      </c>
      <c r="B9" s="6" t="inlineStr">
        <is>
          <t>ABERFELDY 12 YR SINGLE MALT</t>
        </is>
      </c>
      <c r="C9" s="7">
        <f>VLOOKUP(A9,SizeData!A$2:B$3839,2,FALSE)</f>
        <v/>
      </c>
      <c r="D9" s="6" t="n">
        <v>1</v>
      </c>
      <c r="E9" s="6" t="inlineStr">
        <is>
          <t>R1146432</t>
        </is>
      </c>
      <c r="F9" s="2" t="n">
        <v>44356</v>
      </c>
      <c r="G9" s="1" t="n"/>
    </row>
    <row r="10">
      <c r="A10" s="6" t="n">
        <v>4000</v>
      </c>
      <c r="B10" s="6" t="inlineStr">
        <is>
          <t>ABERFELDY 12 YR SINGLE MALT</t>
        </is>
      </c>
      <c r="C10" s="7">
        <f>VLOOKUP(A10,SizeData!A$2:B$3839,2,FALSE)</f>
        <v/>
      </c>
      <c r="D10" s="6" t="n">
        <v>1</v>
      </c>
      <c r="E10" s="6" t="inlineStr">
        <is>
          <t xml:space="preserve"> R1175279</t>
        </is>
      </c>
      <c r="F10" s="2" t="n">
        <v>44382</v>
      </c>
      <c r="G10" s="1" t="n"/>
    </row>
    <row r="11">
      <c r="A11" s="6" t="n">
        <v>4616</v>
      </c>
      <c r="B11" s="6" t="inlineStr">
        <is>
          <t>BUCHANANS 18YR OLD SPECIAL RESERVE</t>
        </is>
      </c>
      <c r="C11" s="7">
        <f>VLOOKUP(A11,SizeData!A$2:B$3839,2,FALSE)</f>
        <v/>
      </c>
      <c r="D11" s="6" t="n">
        <v>1</v>
      </c>
      <c r="E11" s="6" t="inlineStr">
        <is>
          <t>R998330</t>
        </is>
      </c>
      <c r="F11" s="2" t="n">
        <v>44207</v>
      </c>
      <c r="G11" s="1" t="n"/>
    </row>
    <row r="12">
      <c r="A12" s="6" t="n">
        <v>4616</v>
      </c>
      <c r="B12" s="6" t="inlineStr">
        <is>
          <t>BUCHANANS 18YR OLD SPECIAL RESERVE</t>
        </is>
      </c>
      <c r="C12" s="7">
        <f>VLOOKUP(A12,SizeData!A$2:B$3839,2,FALSE)</f>
        <v/>
      </c>
      <c r="D12" s="6" t="n">
        <v>1</v>
      </c>
      <c r="E12" s="6" t="inlineStr">
        <is>
          <t>R1094301</t>
        </is>
      </c>
      <c r="F12" s="2" t="n">
        <v>44301</v>
      </c>
      <c r="G12" s="1" t="n"/>
    </row>
    <row r="13">
      <c r="A13" s="6" t="n">
        <v>4616</v>
      </c>
      <c r="B13" s="6" t="inlineStr">
        <is>
          <t>BUCHANANS 18YR OLD SPECIAL RESERVE</t>
        </is>
      </c>
      <c r="C13" s="7">
        <f>VLOOKUP(A13,SizeData!A$2:B$3839,2,FALSE)</f>
        <v/>
      </c>
      <c r="D13" s="6" t="n">
        <v>0</v>
      </c>
      <c r="E13" s="6" t="inlineStr">
        <is>
          <t>R1236687</t>
        </is>
      </c>
      <c r="F13" s="2" t="n">
        <v>44448</v>
      </c>
      <c r="G13" s="1" t="n"/>
    </row>
    <row r="14">
      <c r="A14" s="6" t="n">
        <v>4616</v>
      </c>
      <c r="B14" s="6" t="inlineStr">
        <is>
          <t>BUCHANANS 18YR OLD SPECIAL RESERVE</t>
        </is>
      </c>
      <c r="C14" s="7">
        <f>VLOOKUP(A14,SizeData!A$2:B$3839,2,FALSE)</f>
        <v/>
      </c>
      <c r="D14" s="6" t="n">
        <v>2</v>
      </c>
      <c r="E14" s="6" t="inlineStr">
        <is>
          <t>R1337698</t>
        </is>
      </c>
      <c r="F14" s="2" t="n">
        <v>44531</v>
      </c>
      <c r="G14" s="1" t="n"/>
    </row>
    <row r="15">
      <c r="A15" s="6" t="n">
        <v>4626</v>
      </c>
      <c r="B15" s="6" t="inlineStr">
        <is>
          <t>BUCHANAN DELUXE 12YR SCOTCH</t>
        </is>
      </c>
      <c r="C15" s="7">
        <f>VLOOKUP(A15,SizeData!A$2:B$3839,2,FALSE)</f>
        <v/>
      </c>
      <c r="D15" s="6" t="n">
        <v>4</v>
      </c>
      <c r="E15" s="6" t="inlineStr">
        <is>
          <t>R998330</t>
        </is>
      </c>
      <c r="F15" s="2" t="n">
        <v>44207</v>
      </c>
      <c r="G15" s="1" t="n"/>
    </row>
    <row r="16">
      <c r="A16" s="6" t="n">
        <v>4626</v>
      </c>
      <c r="B16" s="6" t="inlineStr">
        <is>
          <t>BUCHANAN DELUXE 12YR SCOTCH</t>
        </is>
      </c>
      <c r="C16" s="7">
        <f>VLOOKUP(A16,SizeData!A$2:B$3839,2,FALSE)</f>
        <v/>
      </c>
      <c r="D16" s="6" t="n">
        <v>5</v>
      </c>
      <c r="E16" s="6" t="inlineStr">
        <is>
          <t>R1012115</t>
        </is>
      </c>
      <c r="F16" s="2" t="n">
        <v>44223</v>
      </c>
      <c r="G16" s="1" t="n"/>
    </row>
    <row r="17">
      <c r="A17" s="6" t="n">
        <v>4626</v>
      </c>
      <c r="B17" s="6" t="inlineStr">
        <is>
          <t>BUCHANAN DELUXE 12YR SCOTCH</t>
        </is>
      </c>
      <c r="C17" s="7">
        <f>VLOOKUP(A17,SizeData!A$2:B$3839,2,FALSE)</f>
        <v/>
      </c>
      <c r="D17" s="6" t="n">
        <v>4</v>
      </c>
      <c r="E17" s="6" t="inlineStr">
        <is>
          <t>R1050226</t>
        </is>
      </c>
      <c r="F17" s="2" t="n">
        <v>44256</v>
      </c>
      <c r="G17" s="1" t="n"/>
    </row>
    <row r="18">
      <c r="A18" s="6" t="n">
        <v>4626</v>
      </c>
      <c r="B18" s="6" t="inlineStr">
        <is>
          <t>BUCHANAN DELUXE 12YR SCOTCH</t>
        </is>
      </c>
      <c r="C18" s="7">
        <f>VLOOKUP(A18,SizeData!A$2:B$3839,2,FALSE)</f>
        <v/>
      </c>
      <c r="D18" s="6" t="n">
        <v>1</v>
      </c>
      <c r="E18" s="6" t="inlineStr">
        <is>
          <t>R1095137</t>
        </is>
      </c>
      <c r="F18" s="2" t="n">
        <v>44287</v>
      </c>
      <c r="G18" s="1" t="n"/>
    </row>
    <row r="19">
      <c r="A19" s="6" t="n">
        <v>4626</v>
      </c>
      <c r="B19" s="6" t="inlineStr">
        <is>
          <t>BUCHANAN DELUXE 12YR SCOTCH</t>
        </is>
      </c>
      <c r="C19" s="7">
        <f>VLOOKUP(A19,SizeData!A$2:B$3839,2,FALSE)</f>
        <v/>
      </c>
      <c r="D19" s="6" t="n">
        <v>1</v>
      </c>
      <c r="E19" s="6" t="inlineStr">
        <is>
          <t>R1094301</t>
        </is>
      </c>
      <c r="F19" s="2" t="n">
        <v>44301</v>
      </c>
      <c r="G19" s="1" t="n"/>
    </row>
    <row r="20">
      <c r="A20" s="6" t="n">
        <v>4626</v>
      </c>
      <c r="B20" s="6" t="inlineStr">
        <is>
          <t>BUCHANAN DELUXE 12YR SCOTCH</t>
        </is>
      </c>
      <c r="C20" s="7">
        <f>VLOOKUP(A20,SizeData!A$2:B$3839,2,FALSE)</f>
        <v/>
      </c>
      <c r="D20" s="6" t="n">
        <v>1</v>
      </c>
      <c r="E20" s="6" t="inlineStr">
        <is>
          <t>R1117255</t>
        </is>
      </c>
      <c r="F20" s="2" t="n">
        <v>44328</v>
      </c>
    </row>
    <row r="21">
      <c r="A21" s="6" t="n">
        <v>4626</v>
      </c>
      <c r="B21" s="6" t="inlineStr">
        <is>
          <t>BUCHANAN DELUXE 12YR SCOTCH</t>
        </is>
      </c>
      <c r="C21" s="7">
        <f>VLOOKUP(A21,SizeData!A$2:B$3839,2,FALSE)</f>
        <v/>
      </c>
      <c r="D21" s="6" t="n">
        <v>0</v>
      </c>
      <c r="E21" s="6" t="inlineStr">
        <is>
          <t>R1236687</t>
        </is>
      </c>
      <c r="F21" s="2" t="n">
        <v>44448</v>
      </c>
      <c r="G21" s="1" t="n"/>
    </row>
    <row r="22">
      <c r="A22" s="6" t="n">
        <v>4626</v>
      </c>
      <c r="B22" s="6" t="inlineStr">
        <is>
          <t>BUCHANAN DELUXE 12YR SCOTCH</t>
        </is>
      </c>
      <c r="C22" s="7">
        <f>VLOOKUP(A22,SizeData!A$2:B$3839,2,FALSE)</f>
        <v/>
      </c>
      <c r="D22" s="6" t="n">
        <v>4</v>
      </c>
      <c r="E22" s="6" t="inlineStr">
        <is>
          <t>R1265400</t>
        </is>
      </c>
      <c r="F22" s="2" t="n">
        <v>44467</v>
      </c>
      <c r="G22" s="1" t="n"/>
    </row>
    <row r="23">
      <c r="A23" s="6" t="n">
        <v>4716</v>
      </c>
      <c r="B23" s="6" t="inlineStr">
        <is>
          <t>CHIVAS REGAL</t>
        </is>
      </c>
      <c r="C23" s="7">
        <f>VLOOKUP(A23,SizeData!A$2:B$3839,2,FALSE)</f>
        <v/>
      </c>
      <c r="D23" s="6" t="n">
        <v>4</v>
      </c>
      <c r="E23" s="6" t="inlineStr">
        <is>
          <t>R1252932</t>
        </is>
      </c>
      <c r="F23" s="2" t="n">
        <v>44460</v>
      </c>
      <c r="G23" s="1" t="n"/>
    </row>
    <row r="24">
      <c r="A24" s="6" t="n">
        <v>4718</v>
      </c>
      <c r="B24" s="6" t="inlineStr">
        <is>
          <t>CHIVAS REGAL</t>
        </is>
      </c>
      <c r="C24" s="7">
        <f>VLOOKUP(A24,SizeData!A$2:B$3839,2,FALSE)</f>
        <v/>
      </c>
      <c r="D24" s="6" t="n">
        <v>2</v>
      </c>
      <c r="E24" s="6" t="inlineStr">
        <is>
          <t>R1317127</t>
        </is>
      </c>
      <c r="F24" s="2" t="n">
        <v>44509</v>
      </c>
      <c r="G24" s="1" t="n"/>
    </row>
    <row r="25">
      <c r="A25" s="6" t="n">
        <v>4718</v>
      </c>
      <c r="B25" s="6" t="inlineStr">
        <is>
          <t>CHIVAS REGAL</t>
        </is>
      </c>
      <c r="C25" s="7">
        <f>VLOOKUP(A25,SizeData!A$2:B$3839,2,FALSE)</f>
        <v/>
      </c>
      <c r="D25" s="6" t="n">
        <v>3</v>
      </c>
      <c r="E25" s="6" t="inlineStr">
        <is>
          <t>R1329660</t>
        </is>
      </c>
      <c r="F25" s="2" t="n">
        <v>44525</v>
      </c>
      <c r="G25" s="1" t="n"/>
    </row>
    <row r="26">
      <c r="A26" s="6" t="n">
        <v>4721</v>
      </c>
      <c r="B26" s="6" t="inlineStr">
        <is>
          <t>CHIVAS REGAL 18 YEAR</t>
        </is>
      </c>
      <c r="C26" s="7">
        <f>VLOOKUP(A26,SizeData!A$2:B$3839,2,FALSE)</f>
        <v/>
      </c>
      <c r="D26" s="6" t="n">
        <v>1</v>
      </c>
      <c r="E26" s="6" t="inlineStr">
        <is>
          <t>R997848</t>
        </is>
      </c>
      <c r="F26" s="2" t="n">
        <v>44212</v>
      </c>
      <c r="G26" s="1" t="n"/>
    </row>
    <row r="27">
      <c r="A27" s="6" t="n">
        <v>4721</v>
      </c>
      <c r="B27" s="6" t="inlineStr">
        <is>
          <t>CHIVAS REGAL 18 YEAR</t>
        </is>
      </c>
      <c r="C27" s="7">
        <f>VLOOKUP(A27,SizeData!A$2:B$3839,2,FALSE)</f>
        <v/>
      </c>
      <c r="D27" s="6" t="n">
        <v>1</v>
      </c>
      <c r="E27" s="6" t="inlineStr">
        <is>
          <t>R1002505</t>
        </is>
      </c>
      <c r="F27" s="2" t="n">
        <v>44214</v>
      </c>
      <c r="G27" s="1" t="n"/>
    </row>
    <row r="28">
      <c r="A28" s="6" t="n">
        <v>4721</v>
      </c>
      <c r="B28" s="6" t="inlineStr">
        <is>
          <t>CHIVAS REGAL 18 YEAR</t>
        </is>
      </c>
      <c r="C28" s="7">
        <f>VLOOKUP(A28,SizeData!A$2:B$3839,2,FALSE)</f>
        <v/>
      </c>
      <c r="D28" s="6" t="n">
        <v>1</v>
      </c>
      <c r="E28" s="6" t="inlineStr">
        <is>
          <t>R1142808</t>
        </is>
      </c>
      <c r="F28" s="2" t="n">
        <v>44352</v>
      </c>
      <c r="G28" s="1" t="n"/>
    </row>
    <row r="29">
      <c r="A29" s="6" t="n">
        <v>4721</v>
      </c>
      <c r="B29" s="6" t="inlineStr">
        <is>
          <t>CHIVAS REGAL 18 YEAR</t>
        </is>
      </c>
      <c r="C29" s="7">
        <f>VLOOKUP(A29,SizeData!A$2:B$3839,2,FALSE)</f>
        <v/>
      </c>
      <c r="D29" s="6" t="n">
        <v>2</v>
      </c>
      <c r="E29" s="6" t="inlineStr">
        <is>
          <t>R1171117</t>
        </is>
      </c>
      <c r="F29" s="2" t="n">
        <v>44382</v>
      </c>
      <c r="G29" s="1" t="n"/>
    </row>
    <row r="30">
      <c r="A30" s="6" t="n">
        <v>4721</v>
      </c>
      <c r="B30" s="6" t="inlineStr">
        <is>
          <t>CHIVAS REGAL 18 YEAR</t>
        </is>
      </c>
      <c r="C30" s="7">
        <f>VLOOKUP(A30,SizeData!A$2:B$3839,2,FALSE)</f>
        <v/>
      </c>
      <c r="D30" s="6" t="n">
        <v>1</v>
      </c>
      <c r="E30" s="6" t="inlineStr">
        <is>
          <t>R1181307</t>
        </is>
      </c>
      <c r="F30" s="2" t="n">
        <v>44387</v>
      </c>
      <c r="G30" s="1" t="n"/>
    </row>
    <row r="31">
      <c r="A31" s="6" t="n">
        <v>4846</v>
      </c>
      <c r="B31" s="6" t="inlineStr">
        <is>
          <t>DALWHINNIE SINGLE MALT 15 YEAR</t>
        </is>
      </c>
      <c r="C31" s="7">
        <f>VLOOKUP(A31,SizeData!A$2:B$3839,2,FALSE)</f>
        <v/>
      </c>
      <c r="D31" s="6" t="n">
        <v>1</v>
      </c>
      <c r="E31" s="6" t="inlineStr">
        <is>
          <t xml:space="preserve"> R1137452</t>
        </is>
      </c>
      <c r="F31" s="2" t="n">
        <v>44350</v>
      </c>
      <c r="G31" s="1" t="n"/>
    </row>
    <row r="32">
      <c r="A32" s="6" t="n">
        <v>4866</v>
      </c>
      <c r="B32" s="6" t="inlineStr">
        <is>
          <t>DEWAR'S WHITE LABEL</t>
        </is>
      </c>
      <c r="C32" s="7">
        <f>VLOOKUP(A32,SizeData!A$2:B$3839,2,FALSE)</f>
        <v/>
      </c>
      <c r="D32" s="6" t="n">
        <v>2</v>
      </c>
      <c r="E32" s="6" t="inlineStr">
        <is>
          <t>R1308140</t>
        </is>
      </c>
      <c r="F32" s="2" t="n">
        <v>44503</v>
      </c>
      <c r="G32" s="1" t="n"/>
    </row>
    <row r="33">
      <c r="A33" s="6" t="n">
        <v>4868</v>
      </c>
      <c r="B33" s="6" t="inlineStr">
        <is>
          <t>DEWAR'S WHITE LABEL</t>
        </is>
      </c>
      <c r="C33" s="7">
        <f>VLOOKUP(A33,SizeData!A$2:B$3839,2,FALSE)</f>
        <v/>
      </c>
      <c r="D33" s="6" t="n">
        <v>2</v>
      </c>
      <c r="E33" s="6" t="inlineStr">
        <is>
          <t>R1301983</t>
        </is>
      </c>
      <c r="F33" s="2" t="n">
        <v>44501</v>
      </c>
      <c r="G33" s="1" t="n"/>
    </row>
    <row r="34">
      <c r="A34" s="6" t="n">
        <v>5006</v>
      </c>
      <c r="B34" s="6" t="inlineStr">
        <is>
          <t>GLENFIDDICH 12 YEAR OLD SCOTCH</t>
        </is>
      </c>
      <c r="C34" s="7">
        <f>VLOOKUP(A34,SizeData!A$2:B$3839,2,FALSE)</f>
        <v/>
      </c>
      <c r="D34" s="6" t="n">
        <v>0</v>
      </c>
      <c r="E34" s="6" t="inlineStr">
        <is>
          <t>R1301983</t>
        </is>
      </c>
      <c r="F34" s="2" t="n">
        <v>44501</v>
      </c>
      <c r="G34" s="1" t="n"/>
    </row>
    <row r="35">
      <c r="A35" s="6" t="n">
        <v>5006</v>
      </c>
      <c r="B35" s="6" t="inlineStr">
        <is>
          <t>GLENFIDDICH 12 YEAR OLD SCOTCH</t>
        </is>
      </c>
      <c r="C35" s="7">
        <f>VLOOKUP(A35,SizeData!A$2:B$3839,2,FALSE)</f>
        <v/>
      </c>
      <c r="D35" s="6" t="n">
        <v>2</v>
      </c>
      <c r="E35" s="6" t="inlineStr">
        <is>
          <t>R1321455</t>
        </is>
      </c>
      <c r="F35" s="2" t="n">
        <v>44513</v>
      </c>
      <c r="G35" s="1" t="n"/>
    </row>
    <row r="36">
      <c r="A36" s="6" t="n">
        <v>5006</v>
      </c>
      <c r="B36" s="6" t="inlineStr">
        <is>
          <t>GLENFIDDICH 12 YEAR OLD SCOTCH</t>
        </is>
      </c>
      <c r="C36" s="7">
        <f>VLOOKUP(A36,SizeData!A$2:B$3839,2,FALSE)</f>
        <v/>
      </c>
      <c r="D36" s="6" t="n">
        <v>4</v>
      </c>
      <c r="E36" s="6" t="inlineStr">
        <is>
          <t>R1329103</t>
        </is>
      </c>
      <c r="F36" s="2" t="n">
        <v>44518</v>
      </c>
      <c r="G36" s="1" t="n"/>
    </row>
    <row r="37">
      <c r="A37" s="6" t="n">
        <v>5006</v>
      </c>
      <c r="B37" s="6" t="inlineStr">
        <is>
          <t>GLENFIDDICH 12 YEAR OLD SCOTCH</t>
        </is>
      </c>
      <c r="C37" s="7">
        <f>VLOOKUP(A37,SizeData!A$2:B$3839,2,FALSE)</f>
        <v/>
      </c>
      <c r="D37" s="6" t="n">
        <v>0</v>
      </c>
      <c r="E37" s="6" t="inlineStr">
        <is>
          <t>R1329103</t>
        </is>
      </c>
      <c r="F37" s="2" t="n">
        <v>44518</v>
      </c>
      <c r="G37" s="1" t="n"/>
    </row>
    <row r="38">
      <c r="A38" s="6" t="n">
        <v>5008</v>
      </c>
      <c r="B38" s="6" t="inlineStr">
        <is>
          <t>GLENFIDDICH 12 YEAR OLD SCOTCH</t>
        </is>
      </c>
      <c r="C38" s="7">
        <f>VLOOKUP(A38,SizeData!A$2:B$3839,2,FALSE)</f>
        <v/>
      </c>
      <c r="D38" s="6" t="n">
        <v>1</v>
      </c>
      <c r="E38" s="6" t="inlineStr">
        <is>
          <t>R1192063</t>
        </is>
      </c>
      <c r="F38" s="2" t="n">
        <v>44408</v>
      </c>
      <c r="G38" s="1" t="n"/>
    </row>
    <row r="39">
      <c r="A39" s="6" t="n">
        <v>5036</v>
      </c>
      <c r="B39" s="6" t="inlineStr">
        <is>
          <t>GLENLIVET 12 YR. SINGLE MALT</t>
        </is>
      </c>
      <c r="C39" s="7">
        <f>VLOOKUP(A39,SizeData!A$2:B$3839,2,FALSE)</f>
        <v/>
      </c>
      <c r="D39" s="6" t="n">
        <v>1</v>
      </c>
      <c r="E39" s="6" t="inlineStr">
        <is>
          <t>R1074089</t>
        </is>
      </c>
      <c r="F39" s="2" t="n">
        <v>44288</v>
      </c>
      <c r="G39" s="1" t="n"/>
    </row>
    <row r="40">
      <c r="A40" s="6" t="n">
        <v>5036</v>
      </c>
      <c r="B40" s="6" t="inlineStr">
        <is>
          <t>GLENLIVET 12 YR. SINGLE MALT</t>
        </is>
      </c>
      <c r="C40" s="7">
        <f>VLOOKUP(A40,SizeData!A$2:B$3839,2,FALSE)</f>
        <v/>
      </c>
      <c r="D40" s="6" t="n">
        <v>2</v>
      </c>
      <c r="E40" s="6" t="inlineStr">
        <is>
          <t>R1085364</t>
        </is>
      </c>
      <c r="F40" s="2" t="n">
        <v>44289</v>
      </c>
      <c r="G40" s="1" t="n"/>
    </row>
    <row r="41">
      <c r="A41" s="6" t="n">
        <v>5038</v>
      </c>
      <c r="B41" s="6" t="inlineStr">
        <is>
          <t>GLENLIVET</t>
        </is>
      </c>
      <c r="C41" s="7">
        <f>VLOOKUP(A41,SizeData!A$2:B$3839,2,FALSE)</f>
        <v/>
      </c>
      <c r="D41" s="6" t="n">
        <v>2</v>
      </c>
      <c r="E41" s="6" t="inlineStr">
        <is>
          <t>R1183128</t>
        </is>
      </c>
      <c r="F41" s="2" t="n">
        <v>44398</v>
      </c>
      <c r="G41" s="1" t="n"/>
    </row>
    <row r="42">
      <c r="A42" s="6" t="n">
        <v>5038</v>
      </c>
      <c r="B42" s="6" t="inlineStr">
        <is>
          <t>GLENLIVET</t>
        </is>
      </c>
      <c r="C42" s="7">
        <f>VLOOKUP(A42,SizeData!A$2:B$3839,2,FALSE)</f>
        <v/>
      </c>
      <c r="D42" s="6" t="n">
        <v>1</v>
      </c>
      <c r="E42" s="6" t="inlineStr">
        <is>
          <t>R1275922</t>
        </is>
      </c>
      <c r="F42" s="2" t="n">
        <v>44474</v>
      </c>
      <c r="G42" s="1" t="n"/>
    </row>
    <row r="43">
      <c r="A43" s="6" t="n">
        <v>5041</v>
      </c>
      <c r="B43" s="6" t="inlineStr">
        <is>
          <t>GLENLIVET 18 YR.SINGLE MALT</t>
        </is>
      </c>
      <c r="C43" s="7">
        <f>VLOOKUP(A43,SizeData!A$2:B$3839,2,FALSE)</f>
        <v/>
      </c>
      <c r="D43" s="6" t="n">
        <v>2</v>
      </c>
      <c r="E43" s="6" t="inlineStr">
        <is>
          <t>R1008979</t>
        </is>
      </c>
      <c r="F43" s="2" t="n">
        <v>44224</v>
      </c>
      <c r="G43" s="1" t="n"/>
    </row>
    <row r="44">
      <c r="A44" s="6" t="n">
        <v>5041</v>
      </c>
      <c r="B44" s="6" t="inlineStr">
        <is>
          <t>GLENLIVET 18 YR.SINGLE MALT</t>
        </is>
      </c>
      <c r="C44" s="7">
        <f>VLOOKUP(A44,SizeData!A$2:B$3839,2,FALSE)</f>
        <v/>
      </c>
      <c r="D44" s="6" t="n">
        <v>1</v>
      </c>
      <c r="E44" s="6" t="inlineStr">
        <is>
          <t>R1060157</t>
        </is>
      </c>
      <c r="F44" s="2" t="n">
        <v>44258</v>
      </c>
      <c r="G44" s="1" t="n"/>
    </row>
    <row r="45">
      <c r="A45" s="6" t="n">
        <v>5041</v>
      </c>
      <c r="B45" s="6" t="inlineStr">
        <is>
          <t>GLENLIVET 18 YR.SINGLE MALT</t>
        </is>
      </c>
      <c r="C45" s="7">
        <f>VLOOKUP(A45,SizeData!A$2:B$3839,2,FALSE)</f>
        <v/>
      </c>
      <c r="D45" s="6" t="n">
        <v>1</v>
      </c>
      <c r="E45" s="6" t="inlineStr">
        <is>
          <t>R1073603</t>
        </is>
      </c>
      <c r="F45" s="2" t="n">
        <v>44280</v>
      </c>
      <c r="G45" s="1" t="n"/>
    </row>
    <row r="46">
      <c r="A46" s="6" t="n">
        <v>5041</v>
      </c>
      <c r="B46" s="6" t="inlineStr">
        <is>
          <t>GLENLIVET 18 YR.SINGLE MALT</t>
        </is>
      </c>
      <c r="C46" s="7">
        <f>VLOOKUP(A46,SizeData!A$2:B$3839,2,FALSE)</f>
        <v/>
      </c>
      <c r="D46" s="6" t="n">
        <v>3</v>
      </c>
      <c r="E46" s="6" t="inlineStr">
        <is>
          <t>R1083655</t>
        </is>
      </c>
      <c r="F46" s="2" t="n">
        <v>44294</v>
      </c>
      <c r="G46" s="1" t="n"/>
    </row>
    <row r="47">
      <c r="A47" s="6" t="n">
        <v>5061</v>
      </c>
      <c r="B47" s="6" t="inlineStr">
        <is>
          <t>GLENLIVET 15YR FRENCH OAK RSV</t>
        </is>
      </c>
      <c r="C47" s="7">
        <f>VLOOKUP(A47,SizeData!A$2:B$3839,2,FALSE)</f>
        <v/>
      </c>
      <c r="D47" s="6" t="n">
        <v>1</v>
      </c>
      <c r="E47" s="6" t="inlineStr">
        <is>
          <t>R1171117</t>
        </is>
      </c>
      <c r="F47" s="2" t="n">
        <v>44382</v>
      </c>
      <c r="G47" s="1" t="n"/>
    </row>
    <row r="48">
      <c r="A48" s="6" t="n">
        <v>5103</v>
      </c>
      <c r="B48" s="6" t="inlineStr">
        <is>
          <t>GLENMORANGIE LASANTA SHERRY WOOD</t>
        </is>
      </c>
      <c r="C48" s="7">
        <f>VLOOKUP(A48,SizeData!A$2:B$3839,2,FALSE)</f>
        <v/>
      </c>
      <c r="D48" s="6" t="n">
        <v>1</v>
      </c>
      <c r="E48" s="6" t="inlineStr">
        <is>
          <t>R1154324</t>
        </is>
      </c>
      <c r="F48" s="2" t="n">
        <v>44378</v>
      </c>
      <c r="G48" s="1" t="n"/>
    </row>
    <row r="49">
      <c r="A49" s="6" t="n">
        <v>5103</v>
      </c>
      <c r="B49" s="6" t="inlineStr">
        <is>
          <t>GLENMORANGIE LASANTA SHERRY WOOD</t>
        </is>
      </c>
      <c r="C49" s="7">
        <f>VLOOKUP(A49,SizeData!A$2:B$3839,2,FALSE)</f>
        <v/>
      </c>
      <c r="D49" s="6" t="n">
        <v>1</v>
      </c>
      <c r="E49" s="6" t="inlineStr">
        <is>
          <t>R1259983</t>
        </is>
      </c>
      <c r="F49" s="2" t="n">
        <v>44479</v>
      </c>
      <c r="G49" s="1" t="n"/>
    </row>
    <row r="50">
      <c r="A50" s="6" t="n">
        <v>5103</v>
      </c>
      <c r="B50" s="6" t="inlineStr">
        <is>
          <t>GLENMORANGIE LASANTA SHERRY WOOD</t>
        </is>
      </c>
      <c r="C50" s="7">
        <f>VLOOKUP(A50,SizeData!A$2:B$3839,2,FALSE)</f>
        <v/>
      </c>
      <c r="D50" s="6" t="n">
        <v>1</v>
      </c>
      <c r="E50" s="6" t="inlineStr">
        <is>
          <t>R1274548</t>
        </is>
      </c>
      <c r="F50" s="2" t="n">
        <v>44485</v>
      </c>
      <c r="G50" s="1" t="n"/>
    </row>
    <row r="51">
      <c r="A51" s="6" t="n">
        <v>5105</v>
      </c>
      <c r="B51" s="6" t="inlineStr">
        <is>
          <t>GLENMORANGIE QUINTA RUBAN PORT WOOD</t>
        </is>
      </c>
      <c r="C51" s="7">
        <f>VLOOKUP(A51,SizeData!A$2:B$3839,2,FALSE)</f>
        <v/>
      </c>
      <c r="D51" s="6" t="n">
        <v>2</v>
      </c>
      <c r="E51" s="6" t="inlineStr">
        <is>
          <t>R1274548</t>
        </is>
      </c>
      <c r="F51" s="2" t="n">
        <v>44485</v>
      </c>
      <c r="G51" s="1" t="n"/>
    </row>
    <row r="52">
      <c r="A52" s="6" t="n">
        <v>5133</v>
      </c>
      <c r="B52" s="6" t="inlineStr">
        <is>
          <t>GLENMORANGIE SINGLE MALT 10 YEAR</t>
        </is>
      </c>
      <c r="C52" s="7">
        <f>VLOOKUP(A52,SizeData!A$2:B$3839,2,FALSE)</f>
        <v/>
      </c>
      <c r="D52" s="6" t="n">
        <v>0</v>
      </c>
      <c r="E52" s="6" t="inlineStr">
        <is>
          <t>R1235270</t>
        </is>
      </c>
      <c r="F52" s="2" t="n">
        <v>44440</v>
      </c>
      <c r="G52" s="1" t="n"/>
    </row>
    <row r="53">
      <c r="A53" s="6" t="n">
        <v>5133</v>
      </c>
      <c r="B53" s="6" t="inlineStr">
        <is>
          <t>GLENMORANGIE SINGLE MALT 10 YEAR</t>
        </is>
      </c>
      <c r="C53" s="7">
        <f>VLOOKUP(A53,SizeData!A$2:B$3839,2,FALSE)</f>
        <v/>
      </c>
      <c r="D53" s="6" t="n">
        <v>1</v>
      </c>
      <c r="E53" s="6" t="inlineStr">
        <is>
          <t>R1239466</t>
        </is>
      </c>
      <c r="F53" s="2" t="n">
        <v>44454</v>
      </c>
      <c r="G53" s="1" t="n"/>
    </row>
    <row r="54">
      <c r="A54" s="6" t="n">
        <v>5153</v>
      </c>
      <c r="B54" s="6" t="inlineStr">
        <is>
          <t>THE GLENLIVET FOUNDERS RESERVE</t>
        </is>
      </c>
      <c r="C54" s="7">
        <f>VLOOKUP(A54,SizeData!A$2:B$3839,2,FALSE)</f>
        <v/>
      </c>
      <c r="D54" s="6" t="n">
        <v>3</v>
      </c>
      <c r="E54" s="6" t="inlineStr">
        <is>
          <t>R1317127</t>
        </is>
      </c>
      <c r="F54" s="2" t="n">
        <v>44509</v>
      </c>
      <c r="G54" s="1" t="n"/>
    </row>
    <row r="55">
      <c r="A55" s="6" t="n">
        <v>5159</v>
      </c>
      <c r="B55" s="6" t="inlineStr">
        <is>
          <t>GLENFIDDICH 14YR</t>
        </is>
      </c>
      <c r="C55" s="7">
        <f>VLOOKUP(A55,SizeData!A$2:B$3839,2,FALSE)</f>
        <v/>
      </c>
      <c r="D55" s="6" t="n">
        <v>1</v>
      </c>
      <c r="E55" s="6" t="inlineStr">
        <is>
          <t>R1099557</t>
        </is>
      </c>
      <c r="F55" s="2" t="n">
        <v>44317</v>
      </c>
      <c r="G55" s="1" t="n"/>
    </row>
    <row r="56">
      <c r="A56" s="6" t="n">
        <v>5290</v>
      </c>
      <c r="B56" s="6" t="inlineStr">
        <is>
          <t>J &amp; B RARE</t>
        </is>
      </c>
      <c r="C56" s="7">
        <f>VLOOKUP(A56,SizeData!A$2:B$3839,2,FALSE)</f>
        <v/>
      </c>
      <c r="D56" s="6" t="n">
        <v>1</v>
      </c>
      <c r="E56" s="6" t="inlineStr">
        <is>
          <t>R1000359</t>
        </is>
      </c>
      <c r="F56" s="2" t="n">
        <v>44201</v>
      </c>
      <c r="G56" s="1" t="n"/>
    </row>
    <row r="57">
      <c r="A57" s="6" t="n">
        <v>5290</v>
      </c>
      <c r="B57" s="6" t="inlineStr">
        <is>
          <t>J &amp; B RARE</t>
        </is>
      </c>
      <c r="C57" s="7">
        <f>VLOOKUP(A57,SizeData!A$2:B$3839,2,FALSE)</f>
        <v/>
      </c>
      <c r="D57" s="6" t="n">
        <v>1</v>
      </c>
      <c r="E57" s="6" t="inlineStr">
        <is>
          <t>R1084456</t>
        </is>
      </c>
      <c r="F57" s="2" t="n">
        <v>44301</v>
      </c>
      <c r="G57" s="1" t="n"/>
    </row>
    <row r="58">
      <c r="A58" s="6" t="n">
        <v>5290</v>
      </c>
      <c r="B58" s="6" t="inlineStr">
        <is>
          <t>J &amp; B RARE</t>
        </is>
      </c>
      <c r="C58" s="7">
        <f>VLOOKUP(A58,SizeData!A$2:B$3839,2,FALSE)</f>
        <v/>
      </c>
      <c r="D58" s="6" t="n">
        <v>1</v>
      </c>
      <c r="E58" s="6" t="inlineStr">
        <is>
          <t>R1197185</t>
        </is>
      </c>
      <c r="F58" s="2" t="n">
        <v>44412</v>
      </c>
      <c r="G58" s="1" t="n"/>
    </row>
    <row r="59">
      <c r="A59" s="6" t="n">
        <v>5291</v>
      </c>
      <c r="B59" s="6" t="inlineStr">
        <is>
          <t>J &amp; B RARE</t>
        </is>
      </c>
      <c r="C59" s="7">
        <f>VLOOKUP(A59,SizeData!A$2:B$3839,2,FALSE)</f>
        <v/>
      </c>
      <c r="D59" s="6" t="n">
        <v>1</v>
      </c>
      <c r="E59" s="6" t="inlineStr">
        <is>
          <t>R989713</t>
        </is>
      </c>
      <c r="F59" s="2" t="n">
        <v>44200</v>
      </c>
      <c r="G59" s="1" t="n"/>
    </row>
    <row r="60">
      <c r="A60" s="6" t="n">
        <v>5318</v>
      </c>
      <c r="B60" s="6" t="inlineStr">
        <is>
          <t>JOHNNIE WALKER DOUBLE BLACK</t>
        </is>
      </c>
      <c r="C60" s="7">
        <f>VLOOKUP(A60,SizeData!A$2:B$3839,2,FALSE)</f>
        <v/>
      </c>
      <c r="D60" s="6" t="n">
        <v>1</v>
      </c>
      <c r="E60" s="6" t="inlineStr">
        <is>
          <t>R1085364</t>
        </is>
      </c>
      <c r="F60" s="2" t="n">
        <v>44289</v>
      </c>
      <c r="G60" s="1" t="n"/>
    </row>
    <row r="61">
      <c r="A61" s="6" t="n">
        <v>5329</v>
      </c>
      <c r="B61" s="6" t="inlineStr">
        <is>
          <t>JOHNNIE WALKER BLUE</t>
        </is>
      </c>
      <c r="C61" s="7">
        <f>VLOOKUP(A61,SizeData!A$2:B$3839,2,FALSE)</f>
        <v/>
      </c>
      <c r="D61" s="6" t="n">
        <v>1</v>
      </c>
      <c r="E61" s="6" t="inlineStr">
        <is>
          <t>R1152322</t>
        </is>
      </c>
      <c r="F61" s="2" t="n">
        <v>44364</v>
      </c>
      <c r="G61" s="1" t="n"/>
    </row>
    <row r="62">
      <c r="A62" s="6" t="n">
        <v>5329</v>
      </c>
      <c r="B62" s="6" t="inlineStr">
        <is>
          <t>JOHNNIE WALKER BLUE</t>
        </is>
      </c>
      <c r="C62" s="7">
        <f>VLOOKUP(A62,SizeData!A$2:B$3839,2,FALSE)</f>
        <v/>
      </c>
      <c r="D62" s="6" t="n">
        <v>3</v>
      </c>
      <c r="E62" s="6" t="inlineStr">
        <is>
          <t>R1236687</t>
        </is>
      </c>
      <c r="F62" s="2" t="n">
        <v>44448</v>
      </c>
      <c r="G62" s="1" t="n"/>
    </row>
    <row r="63">
      <c r="A63" s="6" t="n">
        <v>5329</v>
      </c>
      <c r="B63" s="6" t="inlineStr">
        <is>
          <t>JOHNNIE WALKER BLUE</t>
        </is>
      </c>
      <c r="C63" s="7">
        <f>VLOOKUP(A63,SizeData!A$2:B$3839,2,FALSE)</f>
        <v/>
      </c>
      <c r="D63" s="6" t="n">
        <v>2</v>
      </c>
      <c r="E63" s="6" t="inlineStr">
        <is>
          <t>R1346160</t>
        </is>
      </c>
      <c r="F63" s="2" t="n">
        <v>44536</v>
      </c>
      <c r="G63" s="1" t="n"/>
    </row>
    <row r="64">
      <c r="A64" s="6" t="n">
        <v>5339</v>
      </c>
      <c r="B64" s="6" t="inlineStr">
        <is>
          <t>JOHNNIE WALKER BLACK</t>
        </is>
      </c>
      <c r="C64" s="7">
        <f>VLOOKUP(A64,SizeData!A$2:B$3839,2,FALSE)</f>
        <v/>
      </c>
      <c r="D64" s="6" t="n">
        <v>1</v>
      </c>
      <c r="E64" s="6" t="inlineStr">
        <is>
          <t>R1018703</t>
        </is>
      </c>
      <c r="F64" s="2" t="n">
        <v>44229</v>
      </c>
      <c r="G64" s="1" t="n"/>
    </row>
    <row r="65">
      <c r="A65" s="6" t="n">
        <v>5339</v>
      </c>
      <c r="B65" s="6" t="inlineStr">
        <is>
          <t>JOHNNIE WALKER BLACK</t>
        </is>
      </c>
      <c r="C65" s="7">
        <f>VLOOKUP(A65,SizeData!A$2:B$3839,2,FALSE)</f>
        <v/>
      </c>
      <c r="D65" s="6" t="n">
        <v>1</v>
      </c>
      <c r="E65" s="6" t="inlineStr">
        <is>
          <t>R1085722</t>
        </is>
      </c>
      <c r="F65" s="2" t="n">
        <v>44287</v>
      </c>
      <c r="G65" s="1" t="n"/>
    </row>
    <row r="66">
      <c r="A66" s="6" t="n">
        <v>5339</v>
      </c>
      <c r="B66" s="6" t="inlineStr">
        <is>
          <t>JOHNNIE WALKER BLACK</t>
        </is>
      </c>
      <c r="C66" s="7">
        <f>VLOOKUP(A66,SizeData!A$2:B$3839,2,FALSE)</f>
        <v/>
      </c>
      <c r="D66" s="6" t="n">
        <v>3</v>
      </c>
      <c r="E66" s="6" t="inlineStr">
        <is>
          <t>R1326778A</t>
        </is>
      </c>
      <c r="F66" s="2" t="n">
        <v>44503</v>
      </c>
      <c r="G66" s="1" t="n"/>
    </row>
    <row r="67">
      <c r="A67" s="6" t="n">
        <v>5346</v>
      </c>
      <c r="B67" s="6" t="inlineStr">
        <is>
          <t>JOHNNIE WALKER RED</t>
        </is>
      </c>
      <c r="C67" s="7">
        <f>VLOOKUP(A67,SizeData!A$2:B$3839,2,FALSE)</f>
        <v/>
      </c>
      <c r="D67" s="6" t="n">
        <v>1</v>
      </c>
      <c r="E67" s="6" t="inlineStr">
        <is>
          <t>R1084236</t>
        </is>
      </c>
      <c r="F67" s="2" t="n">
        <v>44296</v>
      </c>
      <c r="G67" s="1" t="n"/>
    </row>
    <row r="68">
      <c r="A68" s="6" t="n">
        <v>5346</v>
      </c>
      <c r="B68" s="6" t="inlineStr">
        <is>
          <t>JOHNNIE WALKER RED</t>
        </is>
      </c>
      <c r="C68" s="7">
        <f>VLOOKUP(A68,SizeData!A$2:B$3839,2,FALSE)</f>
        <v/>
      </c>
      <c r="D68" s="6" t="n">
        <v>1</v>
      </c>
      <c r="E68" s="6" t="inlineStr">
        <is>
          <t>R1251294</t>
        </is>
      </c>
      <c r="F68" s="2" t="n">
        <v>44455</v>
      </c>
      <c r="G68" s="1" t="n"/>
    </row>
    <row r="69">
      <c r="A69" s="6" t="n">
        <v>5346</v>
      </c>
      <c r="B69" s="6" t="inlineStr">
        <is>
          <t>JOHNNIE WALKER RED</t>
        </is>
      </c>
      <c r="C69" s="7">
        <f>VLOOKUP(A69,SizeData!A$2:B$3839,2,FALSE)</f>
        <v/>
      </c>
      <c r="D69" s="6" t="n">
        <v>2</v>
      </c>
      <c r="E69" s="6" t="inlineStr">
        <is>
          <t>R1325813</t>
        </is>
      </c>
      <c r="F69" s="2" t="n">
        <v>44504</v>
      </c>
      <c r="G69" s="1" t="n"/>
    </row>
    <row r="70">
      <c r="A70" s="6" t="n">
        <v>5346</v>
      </c>
      <c r="B70" s="6" t="inlineStr">
        <is>
          <t>JOHNNIE WALKER RED</t>
        </is>
      </c>
      <c r="C70" s="7">
        <f>VLOOKUP(A70,SizeData!A$2:B$3839,2,FALSE)</f>
        <v/>
      </c>
      <c r="D70" s="6" t="n">
        <v>1</v>
      </c>
      <c r="E70" s="6" t="inlineStr">
        <is>
          <t>R1338150</t>
        </is>
      </c>
      <c r="F70" s="2" t="n">
        <v>44529</v>
      </c>
      <c r="G70" s="1" t="n"/>
    </row>
    <row r="71">
      <c r="A71" s="6" t="n">
        <v>5515</v>
      </c>
      <c r="B71" s="6" t="inlineStr">
        <is>
          <t>MACALLAN 18 YEAR OLD SCOTCH</t>
        </is>
      </c>
      <c r="C71" s="7">
        <f>VLOOKUP(A71,SizeData!A$2:B$3839,2,FALSE)</f>
        <v/>
      </c>
      <c r="D71" s="6" t="n">
        <v>1</v>
      </c>
      <c r="E71" s="6" t="inlineStr">
        <is>
          <t>R1221301</t>
        </is>
      </c>
      <c r="F71" s="2" t="n">
        <v>44426</v>
      </c>
      <c r="G71" s="1" t="n"/>
    </row>
    <row r="72">
      <c r="A72" s="6" t="n">
        <v>5555</v>
      </c>
      <c r="B72" s="6" t="inlineStr">
        <is>
          <t>MACALLAN DBL CASK 12YR SGL SCOTCH</t>
        </is>
      </c>
      <c r="C72" s="7">
        <f>VLOOKUP(A72,SizeData!A$2:B$3839,2,FALSE)</f>
        <v/>
      </c>
      <c r="D72" s="6" t="n">
        <v>1</v>
      </c>
      <c r="E72" s="6" t="inlineStr">
        <is>
          <t>R1206028</t>
        </is>
      </c>
      <c r="F72" s="2" t="n">
        <v>44417</v>
      </c>
      <c r="G72" s="1" t="n"/>
    </row>
    <row r="73">
      <c r="A73" s="6" t="n">
        <v>5635</v>
      </c>
      <c r="B73" s="6" t="inlineStr">
        <is>
          <t>MONKEY SHOULDER BLENDED SCOTCH</t>
        </is>
      </c>
      <c r="C73" s="7">
        <f>VLOOKUP(A73,SizeData!A$2:B$3839,2,FALSE)</f>
        <v/>
      </c>
      <c r="D73" s="6" t="n">
        <v>1</v>
      </c>
      <c r="E73" s="6" t="inlineStr">
        <is>
          <t>R1160852</t>
        </is>
      </c>
      <c r="F73" s="2" t="n">
        <v>44366</v>
      </c>
      <c r="G73" s="1" t="n"/>
    </row>
    <row r="74">
      <c r="A74" s="6" t="n">
        <v>5696</v>
      </c>
      <c r="B74" s="6" t="inlineStr">
        <is>
          <t>OBAN SINGLE MALT SCOTCH - BOTTLES</t>
        </is>
      </c>
      <c r="C74" s="7">
        <f>VLOOKUP(A74,SizeData!A$2:B$3839,2,FALSE)</f>
        <v/>
      </c>
      <c r="D74" s="6" t="n">
        <v>0.25</v>
      </c>
      <c r="E74" s="6" t="inlineStr">
        <is>
          <t>R1162430</t>
        </is>
      </c>
      <c r="F74" s="2" t="n">
        <v>44371</v>
      </c>
      <c r="G74" s="6" t="n"/>
    </row>
    <row r="75">
      <c r="A75" s="6" t="n">
        <v>5842</v>
      </c>
      <c r="B75" s="6" t="inlineStr">
        <is>
          <t>THE GLENLIVET 14</t>
        </is>
      </c>
      <c r="C75" s="7">
        <f>VLOOKUP(A75,SizeData!A$2:B$3839,2,FALSE)</f>
        <v/>
      </c>
      <c r="D75" s="6" t="n">
        <v>1</v>
      </c>
      <c r="E75" s="6" t="inlineStr">
        <is>
          <t>R1003923</t>
        </is>
      </c>
      <c r="F75" s="2" t="n">
        <v>44219</v>
      </c>
      <c r="G75" s="1" t="n"/>
    </row>
    <row r="76">
      <c r="A76" s="6" t="n">
        <v>5842</v>
      </c>
      <c r="B76" s="6" t="inlineStr">
        <is>
          <t>THE GLENLIVET 14</t>
        </is>
      </c>
      <c r="C76" s="7">
        <f>VLOOKUP(A76,SizeData!A$2:B$3839,2,FALSE)</f>
        <v/>
      </c>
      <c r="D76" s="6" t="n">
        <v>1</v>
      </c>
      <c r="E76" s="6" t="inlineStr">
        <is>
          <t>R1085364</t>
        </is>
      </c>
      <c r="F76" s="2" t="n">
        <v>44289</v>
      </c>
      <c r="G76" s="1" t="n"/>
    </row>
    <row r="77">
      <c r="A77" s="6" t="n">
        <v>5842</v>
      </c>
      <c r="B77" s="6" t="inlineStr">
        <is>
          <t>THE GLENLIVET 14</t>
        </is>
      </c>
      <c r="C77" s="7">
        <f>VLOOKUP(A77,SizeData!A$2:B$3839,2,FALSE)</f>
        <v/>
      </c>
      <c r="D77" s="6" t="n">
        <v>1</v>
      </c>
      <c r="E77" s="6" t="inlineStr">
        <is>
          <t>R1183128</t>
        </is>
      </c>
      <c r="F77" s="2" t="n">
        <v>44398</v>
      </c>
      <c r="G77" s="1" t="n"/>
    </row>
    <row r="78">
      <c r="A78" s="6" t="n">
        <v>5842</v>
      </c>
      <c r="B78" s="6" t="inlineStr">
        <is>
          <t>THE GLENLIVET 14</t>
        </is>
      </c>
      <c r="C78" s="7">
        <f>VLOOKUP(A78,SizeData!A$2:B$3839,2,FALSE)</f>
        <v/>
      </c>
      <c r="D78" s="6" t="n">
        <v>1</v>
      </c>
      <c r="E78" s="6" t="inlineStr">
        <is>
          <t>R1242196</t>
        </is>
      </c>
      <c r="F78" s="2" t="n">
        <v>44456</v>
      </c>
      <c r="G78" s="1" t="n"/>
    </row>
    <row r="79">
      <c r="A79" s="6" t="n">
        <v>5842</v>
      </c>
      <c r="B79" s="6" t="inlineStr">
        <is>
          <t>THE GLENLIVET 14</t>
        </is>
      </c>
      <c r="C79" s="7">
        <f>VLOOKUP(A79,SizeData!A$2:B$3839,2,FALSE)</f>
        <v/>
      </c>
      <c r="D79" s="6" t="n">
        <v>1</v>
      </c>
      <c r="E79" s="6" t="inlineStr">
        <is>
          <t>R1267576</t>
        </is>
      </c>
      <c r="F79" s="2" t="n">
        <v>44476</v>
      </c>
      <c r="G79" s="1" t="n"/>
    </row>
    <row r="80">
      <c r="A80" s="6" t="n">
        <v>5977</v>
      </c>
      <c r="B80" s="6" t="inlineStr">
        <is>
          <t>THE MACALLAN DOUBLE CASK 15 YEAR</t>
        </is>
      </c>
      <c r="C80" s="7">
        <f>VLOOKUP(A80,SizeData!A$2:B$3839,2,FALSE)</f>
        <v/>
      </c>
      <c r="D80" s="6" t="n">
        <v>1</v>
      </c>
      <c r="E80" s="6" t="inlineStr">
        <is>
          <t>R1206028</t>
        </is>
      </c>
      <c r="F80" s="2" t="n">
        <v>44417</v>
      </c>
      <c r="G80" s="1" t="n"/>
    </row>
    <row r="81">
      <c r="A81" s="6" t="n">
        <v>6316</v>
      </c>
      <c r="B81" s="6" t="inlineStr">
        <is>
          <t>TOMATIN SINGLE MALT 12 YEAR OLD</t>
        </is>
      </c>
      <c r="C81" s="7">
        <f>VLOOKUP(A81,SizeData!A$2:B$3839,2,FALSE)</f>
        <v/>
      </c>
      <c r="D81" s="6" t="n">
        <v>1</v>
      </c>
      <c r="E81" s="6" t="inlineStr">
        <is>
          <t>R1137831</t>
        </is>
      </c>
      <c r="F81" s="2" t="n">
        <v>44348</v>
      </c>
      <c r="G81" s="1" t="n"/>
    </row>
    <row r="82">
      <c r="A82" s="6" t="n">
        <v>6316</v>
      </c>
      <c r="B82" s="6" t="inlineStr">
        <is>
          <t>TOMATIN SINGLE MALT 12 YEAR OLD</t>
        </is>
      </c>
      <c r="C82" s="7">
        <f>VLOOKUP(A82,SizeData!A$2:B$3839,2,FALSE)</f>
        <v/>
      </c>
      <c r="D82" s="6" t="n">
        <v>1</v>
      </c>
      <c r="E82" s="6" t="inlineStr">
        <is>
          <t>R1162430</t>
        </is>
      </c>
      <c r="F82" s="2" t="n">
        <v>44371</v>
      </c>
      <c r="G82" s="1" t="n"/>
    </row>
    <row r="83">
      <c r="A83" s="6" t="n">
        <v>6998</v>
      </c>
      <c r="B83" s="6" t="inlineStr">
        <is>
          <t>CLAN MACGREGOR</t>
        </is>
      </c>
      <c r="C83" s="7">
        <f>VLOOKUP(A83,SizeData!A$2:B$3839,2,FALSE)</f>
        <v/>
      </c>
      <c r="D83" s="6" t="n">
        <v>1</v>
      </c>
      <c r="E83" s="6" t="inlineStr">
        <is>
          <t>R998453</t>
        </is>
      </c>
      <c r="F83" s="2" t="n">
        <v>44212</v>
      </c>
      <c r="G83" s="1" t="n"/>
    </row>
    <row r="84">
      <c r="A84" s="6" t="n">
        <v>6998</v>
      </c>
      <c r="B84" s="6" t="inlineStr">
        <is>
          <t>CLAN MACGREGOR</t>
        </is>
      </c>
      <c r="C84" s="7">
        <f>VLOOKUP(A84,SizeData!A$2:B$3839,2,FALSE)</f>
        <v/>
      </c>
      <c r="D84" s="6" t="n">
        <v>1</v>
      </c>
      <c r="E84" s="6" t="inlineStr">
        <is>
          <t>R1058237</t>
        </is>
      </c>
      <c r="F84" s="2" t="n">
        <v>44273</v>
      </c>
      <c r="G84" s="1" t="n"/>
    </row>
    <row r="85">
      <c r="A85" s="6" t="n">
        <v>8048</v>
      </c>
      <c r="B85" s="6" t="inlineStr">
        <is>
          <t>HIGHLAND MIST</t>
        </is>
      </c>
      <c r="C85" s="7">
        <f>VLOOKUP(A85,SizeData!A$2:B$3839,2,FALSE)</f>
        <v/>
      </c>
      <c r="D85" s="6" t="n">
        <v>1</v>
      </c>
      <c r="E85" s="6" t="inlineStr">
        <is>
          <t>R1206028</t>
        </is>
      </c>
      <c r="F85" s="2" t="n">
        <v>44417</v>
      </c>
      <c r="G85" s="1" t="n"/>
    </row>
    <row r="86">
      <c r="A86" s="6" t="n">
        <v>10624</v>
      </c>
      <c r="B86" s="6" t="inlineStr">
        <is>
          <t>CANADIAN CLUB</t>
        </is>
      </c>
      <c r="C86" s="7">
        <f>VLOOKUP(A86,SizeData!A$2:B$3839,2,FALSE)</f>
        <v/>
      </c>
      <c r="D86" s="6" t="n">
        <v>1</v>
      </c>
      <c r="E86" s="6" t="inlineStr">
        <is>
          <t>R1092714</t>
        </is>
      </c>
      <c r="F86" s="2" t="n">
        <v>44296</v>
      </c>
      <c r="G86" s="1" t="n"/>
    </row>
    <row r="87">
      <c r="A87" s="6" t="n">
        <v>10626</v>
      </c>
      <c r="B87" s="6" t="inlineStr">
        <is>
          <t>CANADIAN CLUB</t>
        </is>
      </c>
      <c r="C87" s="7">
        <f>VLOOKUP(A87,SizeData!A$2:B$3839,2,FALSE)</f>
        <v/>
      </c>
      <c r="D87" s="6" t="n">
        <v>1</v>
      </c>
      <c r="E87" s="6" t="inlineStr">
        <is>
          <t>R1007720</t>
        </is>
      </c>
      <c r="F87" s="2" t="n">
        <v>44216</v>
      </c>
      <c r="G87" s="1" t="n"/>
    </row>
    <row r="88">
      <c r="A88" s="6" t="n">
        <v>10626</v>
      </c>
      <c r="B88" s="6" t="inlineStr">
        <is>
          <t>CANADIAN CLUB</t>
        </is>
      </c>
      <c r="C88" s="7">
        <f>VLOOKUP(A88,SizeData!A$2:B$3839,2,FALSE)</f>
        <v/>
      </c>
      <c r="D88" s="6" t="n">
        <v>1</v>
      </c>
      <c r="E88" s="6" t="inlineStr">
        <is>
          <t>R1047061</t>
        </is>
      </c>
      <c r="F88" s="2" t="n">
        <v>44259</v>
      </c>
      <c r="G88" s="1" t="n"/>
    </row>
    <row r="89">
      <c r="A89" s="6" t="n">
        <v>10626</v>
      </c>
      <c r="B89" s="6" t="inlineStr">
        <is>
          <t>CANADIAN CLUB</t>
        </is>
      </c>
      <c r="C89" s="7">
        <f>VLOOKUP(A89,SizeData!A$2:B$3839,2,FALSE)</f>
        <v/>
      </c>
      <c r="D89" s="6" t="n">
        <v>1</v>
      </c>
      <c r="E89" s="6" t="inlineStr">
        <is>
          <t>R1066257</t>
        </is>
      </c>
      <c r="F89" s="2" t="n">
        <v>44270</v>
      </c>
      <c r="G89" s="1" t="n"/>
    </row>
    <row r="90">
      <c r="A90" s="6" t="n">
        <v>10626</v>
      </c>
      <c r="B90" s="6" t="inlineStr">
        <is>
          <t>CANADIAN CLUB</t>
        </is>
      </c>
      <c r="C90" s="7">
        <f>VLOOKUP(A90,SizeData!A$2:B$3839,2,FALSE)</f>
        <v/>
      </c>
      <c r="D90" s="6" t="n">
        <v>2</v>
      </c>
      <c r="E90" s="6" t="inlineStr">
        <is>
          <t>R1099905</t>
        </is>
      </c>
      <c r="F90" s="2" t="n">
        <v>44310</v>
      </c>
      <c r="G90" s="1" t="n"/>
    </row>
    <row r="91">
      <c r="A91" s="6" t="n">
        <v>10626</v>
      </c>
      <c r="B91" s="6" t="inlineStr">
        <is>
          <t>CANADIAN CLUB</t>
        </is>
      </c>
      <c r="C91" s="7">
        <f>VLOOKUP(A91,SizeData!A$2:B$3839,2,FALSE)</f>
        <v/>
      </c>
      <c r="D91" s="6" t="n">
        <v>0</v>
      </c>
      <c r="E91" s="6" t="inlineStr">
        <is>
          <t>R1265540</t>
        </is>
      </c>
      <c r="F91" s="2" t="n">
        <v>44459</v>
      </c>
    </row>
    <row r="92">
      <c r="A92" s="6" t="n">
        <v>10626</v>
      </c>
      <c r="B92" s="6" t="inlineStr">
        <is>
          <t>CANADIAN CLUB</t>
        </is>
      </c>
      <c r="C92" s="7">
        <f>VLOOKUP(A92,SizeData!A$2:B$3839,2,FALSE)</f>
        <v/>
      </c>
      <c r="D92" s="6" t="n">
        <v>1</v>
      </c>
      <c r="E92" s="6" t="inlineStr">
        <is>
          <t>R1301953</t>
        </is>
      </c>
      <c r="F92" s="2" t="n">
        <v>44496</v>
      </c>
    </row>
    <row r="93">
      <c r="A93" s="6" t="n">
        <v>10628</v>
      </c>
      <c r="B93" s="6" t="inlineStr">
        <is>
          <t>CANADIAN CLUB</t>
        </is>
      </c>
      <c r="C93" s="7">
        <f>VLOOKUP(A93,SizeData!A$2:B$3839,2,FALSE)</f>
        <v/>
      </c>
      <c r="D93" s="6" t="n">
        <v>4</v>
      </c>
      <c r="E93" s="6" t="inlineStr">
        <is>
          <t>R1072360</t>
        </is>
      </c>
      <c r="F93" s="2" t="n">
        <v>44281</v>
      </c>
    </row>
    <row r="94">
      <c r="A94" s="6" t="n">
        <v>10628</v>
      </c>
      <c r="B94" s="6" t="inlineStr">
        <is>
          <t>CANADIAN CLUB</t>
        </is>
      </c>
      <c r="C94" s="7">
        <f>VLOOKUP(A94,SizeData!A$2:B$3839,2,FALSE)</f>
        <v/>
      </c>
      <c r="D94" s="6" t="n">
        <v>1</v>
      </c>
      <c r="E94" s="6" t="inlineStr">
        <is>
          <t>R1185778</t>
        </is>
      </c>
      <c r="F94" s="2" t="n">
        <v>44399</v>
      </c>
      <c r="G94" s="1" t="n"/>
    </row>
    <row r="95">
      <c r="A95" s="6" t="n">
        <v>10628</v>
      </c>
      <c r="B95" s="6" t="inlineStr">
        <is>
          <t>CANADIAN CLUB</t>
        </is>
      </c>
      <c r="C95" s="7">
        <f>VLOOKUP(A95,SizeData!A$2:B$3839,2,FALSE)</f>
        <v/>
      </c>
      <c r="D95" s="6" t="n">
        <v>1</v>
      </c>
      <c r="E95" s="6" t="inlineStr">
        <is>
          <t>R1188262</t>
        </is>
      </c>
      <c r="F95" s="2" t="n">
        <v>44409</v>
      </c>
      <c r="G95" s="1" t="n"/>
    </row>
    <row r="96">
      <c r="A96" s="6" t="n">
        <v>10628</v>
      </c>
      <c r="B96" s="6" t="inlineStr">
        <is>
          <t>CANADIAN CLUB</t>
        </is>
      </c>
      <c r="C96" s="7">
        <f>VLOOKUP(A96,SizeData!A$2:B$3839,2,FALSE)</f>
        <v/>
      </c>
      <c r="D96" s="6" t="n">
        <v>10</v>
      </c>
      <c r="E96" s="6" t="inlineStr">
        <is>
          <t>R1200565</t>
        </is>
      </c>
      <c r="F96" s="2" t="n">
        <v>44411</v>
      </c>
      <c r="G96" s="1" t="n"/>
    </row>
    <row r="97">
      <c r="A97" s="6" t="n">
        <v>10788</v>
      </c>
      <c r="B97" s="6" t="inlineStr">
        <is>
          <t>CROWN ROYAL VANILLA</t>
        </is>
      </c>
      <c r="C97" s="7">
        <f>VLOOKUP(A97,SizeData!A$2:B$3839,2,FALSE)</f>
        <v/>
      </c>
      <c r="D97" s="6" t="n">
        <v>2</v>
      </c>
      <c r="E97" s="6" t="inlineStr">
        <is>
          <t>R1208608</t>
        </is>
      </c>
      <c r="F97" s="2" t="n">
        <v>44420</v>
      </c>
      <c r="G97" s="1" t="n"/>
    </row>
    <row r="98">
      <c r="A98" s="6" t="n">
        <v>10788</v>
      </c>
      <c r="B98" s="6" t="inlineStr">
        <is>
          <t>CROWN ROYAL VANILLA</t>
        </is>
      </c>
      <c r="C98" s="7">
        <f>VLOOKUP(A98,SizeData!A$2:B$3839,2,FALSE)</f>
        <v/>
      </c>
      <c r="D98" s="6" t="n">
        <v>1</v>
      </c>
      <c r="E98" s="6" t="inlineStr">
        <is>
          <t>R1305208</t>
        </is>
      </c>
      <c r="F98" s="2" t="n">
        <v>44488</v>
      </c>
      <c r="G98" s="1" t="n"/>
    </row>
    <row r="99">
      <c r="A99" s="6" t="n">
        <v>10789</v>
      </c>
      <c r="B99" s="6" t="inlineStr">
        <is>
          <t>CROWN ROYAL VANILLA</t>
        </is>
      </c>
      <c r="C99" s="7">
        <f>VLOOKUP(A99,SizeData!A$2:B$3839,2,FALSE)</f>
        <v/>
      </c>
      <c r="D99" s="6" t="n">
        <v>1</v>
      </c>
      <c r="E99" s="6" t="inlineStr">
        <is>
          <t>R1058237</t>
        </is>
      </c>
      <c r="F99" s="2" t="n">
        <v>44273</v>
      </c>
      <c r="G99" s="1" t="n"/>
    </row>
    <row r="100">
      <c r="A100" s="6" t="n">
        <v>10789</v>
      </c>
      <c r="B100" s="6" t="inlineStr">
        <is>
          <t>CROWN ROYAL VANILLA</t>
        </is>
      </c>
      <c r="C100" s="7">
        <f>VLOOKUP(A100,SizeData!A$2:B$3839,2,FALSE)</f>
        <v/>
      </c>
      <c r="D100" s="6" t="n">
        <v>2</v>
      </c>
      <c r="E100" s="6" t="inlineStr">
        <is>
          <t>R1214849</t>
        </is>
      </c>
      <c r="F100" s="2" t="n">
        <v>44432</v>
      </c>
      <c r="G100" s="1" t="n"/>
    </row>
    <row r="101">
      <c r="A101" s="6" t="n">
        <v>10790</v>
      </c>
      <c r="B101" s="6" t="inlineStr">
        <is>
          <t>CROWN ROYAL VANILLA</t>
        </is>
      </c>
      <c r="C101" s="7">
        <f>VLOOKUP(A101,SizeData!A$2:B$3839,2,FALSE)</f>
        <v/>
      </c>
      <c r="D101" s="6" t="n">
        <v>10</v>
      </c>
      <c r="E101" s="6" t="inlineStr">
        <is>
          <t>R1143128</t>
        </is>
      </c>
      <c r="F101" s="2" t="n">
        <v>44355</v>
      </c>
      <c r="G101" s="1" t="n"/>
    </row>
    <row r="102">
      <c r="A102" s="6" t="n">
        <v>10790</v>
      </c>
      <c r="B102" s="6" t="inlineStr">
        <is>
          <t>CROWN ROYAL VANILLA</t>
        </is>
      </c>
      <c r="C102" s="7">
        <f>VLOOKUP(A102,SizeData!A$2:B$3839,2,FALSE)</f>
        <v/>
      </c>
      <c r="D102" s="6" t="n">
        <v>3</v>
      </c>
      <c r="E102" s="6" t="inlineStr">
        <is>
          <t>R1158236</t>
        </is>
      </c>
      <c r="F102" s="2" t="n">
        <v>44368</v>
      </c>
      <c r="G102" s="1" t="n"/>
    </row>
    <row r="103">
      <c r="A103" s="6" t="n">
        <v>10790</v>
      </c>
      <c r="B103" s="6" t="inlineStr">
        <is>
          <t>CROWN ROYAL VANILLA</t>
        </is>
      </c>
      <c r="C103" s="7">
        <f>VLOOKUP(A103,SizeData!A$2:B$3839,2,FALSE)</f>
        <v/>
      </c>
      <c r="D103" s="6" t="n">
        <v>10</v>
      </c>
      <c r="E103" s="6" t="inlineStr">
        <is>
          <t>R1295061</t>
        </is>
      </c>
      <c r="F103" s="2" t="n">
        <v>44482</v>
      </c>
      <c r="G103" s="1" t="n"/>
    </row>
    <row r="104">
      <c r="A104" s="6" t="n">
        <v>10791</v>
      </c>
      <c r="B104" s="6" t="inlineStr">
        <is>
          <t>CROWN ROYAL VANILLA</t>
        </is>
      </c>
      <c r="C104" s="7">
        <f>VLOOKUP(A104,SizeData!A$2:B$3839,2,FALSE)</f>
        <v/>
      </c>
      <c r="D104" s="6" t="n">
        <v>5</v>
      </c>
      <c r="E104" s="6" t="inlineStr">
        <is>
          <t>R1059035</t>
        </is>
      </c>
      <c r="F104" s="2" t="n">
        <v>44278</v>
      </c>
      <c r="G104" s="1" t="n"/>
    </row>
    <row r="105">
      <c r="A105" s="6" t="n">
        <v>10791</v>
      </c>
      <c r="B105" s="6" t="inlineStr">
        <is>
          <t>CROWN ROYAL VANILLA</t>
        </is>
      </c>
      <c r="C105" s="7">
        <f>VLOOKUP(A105,SizeData!A$2:B$3839,2,FALSE)</f>
        <v/>
      </c>
      <c r="D105" s="6" t="n">
        <v>3</v>
      </c>
      <c r="E105" s="6" t="inlineStr">
        <is>
          <t>R1174179</t>
        </is>
      </c>
      <c r="F105" s="2" t="n">
        <v>44397</v>
      </c>
      <c r="G105" s="1" t="n"/>
    </row>
    <row r="106">
      <c r="A106" s="6" t="n">
        <v>10793</v>
      </c>
      <c r="B106" s="6" t="inlineStr">
        <is>
          <t>CROWN ROYAL VANILLA FLAVORED WHISKY</t>
        </is>
      </c>
      <c r="C106" s="7">
        <f>VLOOKUP(A106,SizeData!A$2:B$3839,2,FALSE)</f>
        <v/>
      </c>
      <c r="D106" s="6" t="n">
        <v>2</v>
      </c>
      <c r="E106" s="6" t="inlineStr">
        <is>
          <t>R1187881</t>
        </is>
      </c>
      <c r="F106" s="2" t="n">
        <v>44412</v>
      </c>
      <c r="G106" s="1" t="n"/>
    </row>
    <row r="107">
      <c r="A107" s="6" t="n">
        <v>10802</v>
      </c>
      <c r="B107" s="6" t="inlineStr">
        <is>
          <t>CROWN ROYAL PEACH</t>
        </is>
      </c>
      <c r="C107" s="7">
        <f>VLOOKUP(A107,SizeData!A$2:B$3839,2,FALSE)</f>
        <v/>
      </c>
      <c r="D107" s="6" t="n">
        <v>10</v>
      </c>
      <c r="E107" s="6" t="inlineStr">
        <is>
          <t>R1025654</t>
        </is>
      </c>
      <c r="F107" s="2" t="n">
        <v>44229</v>
      </c>
      <c r="G107" s="1" t="n"/>
    </row>
    <row r="108">
      <c r="A108" s="6" t="n">
        <v>10802</v>
      </c>
      <c r="B108" s="6" t="inlineStr">
        <is>
          <t>CROWN ROYAL PEACH</t>
        </is>
      </c>
      <c r="C108" s="7">
        <f>VLOOKUP(A108,SizeData!A$2:B$3839,2,FALSE)</f>
        <v/>
      </c>
      <c r="D108" s="6" t="n">
        <v>10</v>
      </c>
      <c r="E108" s="6" t="inlineStr">
        <is>
          <t>R1014420</t>
        </is>
      </c>
      <c r="F108" s="2" t="n">
        <v>44230</v>
      </c>
      <c r="G108" s="1" t="n"/>
    </row>
    <row r="109">
      <c r="A109" s="6" t="n">
        <v>10802</v>
      </c>
      <c r="B109" s="6" t="inlineStr">
        <is>
          <t>CROWN ROYAL PEACH</t>
        </is>
      </c>
      <c r="C109" s="7">
        <f>VLOOKUP(A109,SizeData!A$2:B$3839,2,FALSE)</f>
        <v/>
      </c>
      <c r="D109" s="6" t="n">
        <v>10</v>
      </c>
      <c r="E109" s="6" t="inlineStr">
        <is>
          <t>R1062368</t>
        </is>
      </c>
      <c r="F109" s="2" t="n">
        <v>44277</v>
      </c>
      <c r="G109" s="1" t="n"/>
    </row>
    <row r="110">
      <c r="A110" s="6" t="n">
        <v>10802</v>
      </c>
      <c r="B110" s="6" t="inlineStr">
        <is>
          <t>CROWN ROYAL PEACH</t>
        </is>
      </c>
      <c r="C110" s="7">
        <f>VLOOKUP(A110,SizeData!A$2:B$3839,2,FALSE)</f>
        <v/>
      </c>
      <c r="D110" s="6" t="n">
        <v>10</v>
      </c>
      <c r="E110" s="6" t="inlineStr">
        <is>
          <t>R1212740</t>
        </is>
      </c>
      <c r="F110" s="2" t="n">
        <v>44425</v>
      </c>
      <c r="G110" s="1" t="n"/>
    </row>
    <row r="111">
      <c r="A111" s="6" t="n">
        <v>10802</v>
      </c>
      <c r="B111" s="6" t="inlineStr">
        <is>
          <t>CROWN ROYAL PEACH</t>
        </is>
      </c>
      <c r="C111" s="7">
        <f>VLOOKUP(A111,SizeData!A$2:B$3839,2,FALSE)</f>
        <v/>
      </c>
      <c r="D111" s="6" t="n">
        <v>10</v>
      </c>
      <c r="E111" s="6" t="inlineStr">
        <is>
          <t>R1245861</t>
        </is>
      </c>
      <c r="F111" s="2" t="n">
        <v>44452</v>
      </c>
      <c r="G111" s="1" t="n"/>
    </row>
    <row r="112">
      <c r="A112" s="6" t="n">
        <v>10802</v>
      </c>
      <c r="B112" s="6" t="inlineStr">
        <is>
          <t>CROWN ROYAL PEACH</t>
        </is>
      </c>
      <c r="C112" s="7">
        <f>VLOOKUP(A112,SizeData!A$2:B$3839,2,FALSE)</f>
        <v/>
      </c>
      <c r="D112" s="6" t="n">
        <v>10</v>
      </c>
      <c r="E112" s="6" t="inlineStr">
        <is>
          <t>R1278491</t>
        </is>
      </c>
      <c r="F112" s="2" t="n">
        <v>44490</v>
      </c>
      <c r="G112" s="1" t="n"/>
    </row>
    <row r="113">
      <c r="A113" s="6" t="n">
        <v>10803</v>
      </c>
      <c r="B113" s="6" t="inlineStr">
        <is>
          <t>CROWN ROYAL REGAL APPLE</t>
        </is>
      </c>
      <c r="C113" s="7">
        <f>VLOOKUP(A113,SizeData!A$2:B$3839,2,FALSE)</f>
        <v/>
      </c>
      <c r="D113" s="6" t="n">
        <v>1</v>
      </c>
      <c r="E113" s="6" t="inlineStr">
        <is>
          <t>R1084456</t>
        </is>
      </c>
      <c r="F113" s="2" t="n">
        <v>44301</v>
      </c>
      <c r="G113" s="1" t="n"/>
    </row>
    <row r="114">
      <c r="A114" s="6" t="n">
        <v>10803</v>
      </c>
      <c r="B114" s="6" t="inlineStr">
        <is>
          <t>CROWN ROYAL REGAL APPLE</t>
        </is>
      </c>
      <c r="C114" s="7">
        <f>VLOOKUP(A114,SizeData!A$2:B$3839,2,FALSE)</f>
        <v/>
      </c>
      <c r="D114" s="6" t="n">
        <v>1</v>
      </c>
      <c r="E114" s="6" t="inlineStr">
        <is>
          <t>R1111272</t>
        </is>
      </c>
      <c r="F114" s="2" t="n">
        <v>44327</v>
      </c>
      <c r="G114" s="1" t="n"/>
    </row>
    <row r="115">
      <c r="A115" s="6" t="n">
        <v>10803</v>
      </c>
      <c r="B115" s="6" t="inlineStr">
        <is>
          <t>CROWN ROYAL REGAL APPLE</t>
        </is>
      </c>
      <c r="C115" s="7">
        <f>VLOOKUP(A115,SizeData!A$2:B$3839,2,FALSE)</f>
        <v/>
      </c>
      <c r="D115" s="6" t="n">
        <v>1</v>
      </c>
      <c r="E115" s="6" t="inlineStr">
        <is>
          <t>R1134934</t>
        </is>
      </c>
      <c r="F115" s="2" t="n">
        <v>44355</v>
      </c>
      <c r="G115" s="1" t="n"/>
    </row>
    <row r="116">
      <c r="A116" s="6" t="n">
        <v>10803</v>
      </c>
      <c r="B116" s="6" t="inlineStr">
        <is>
          <t>CROWN ROYAL REGAL APPLE</t>
        </is>
      </c>
      <c r="C116" s="7">
        <f>VLOOKUP(A116,SizeData!A$2:B$3839,2,FALSE)</f>
        <v/>
      </c>
      <c r="D116" s="6" t="n">
        <v>4</v>
      </c>
      <c r="E116" s="6" t="inlineStr">
        <is>
          <t>R1346005</t>
        </is>
      </c>
      <c r="F116" s="2" t="n">
        <v>44523</v>
      </c>
      <c r="G116" s="1" t="n"/>
    </row>
    <row r="117">
      <c r="A117" s="6" t="n">
        <v>10804</v>
      </c>
      <c r="B117" s="6" t="inlineStr">
        <is>
          <t>CROWN ROYAL REGAL APPLE</t>
        </is>
      </c>
      <c r="C117" s="7">
        <f>VLOOKUP(A117,SizeData!A$2:B$3839,2,FALSE)</f>
        <v/>
      </c>
      <c r="D117" s="6" t="n">
        <v>7</v>
      </c>
      <c r="E117" s="6" t="inlineStr">
        <is>
          <t>R1060153</t>
        </is>
      </c>
      <c r="F117" s="2" t="n">
        <v>44264</v>
      </c>
      <c r="G117" s="1" t="n"/>
    </row>
    <row r="118">
      <c r="A118" s="6" t="n">
        <v>10804</v>
      </c>
      <c r="B118" s="6" t="inlineStr">
        <is>
          <t>CROWN ROYAL REGAL APPLE</t>
        </is>
      </c>
      <c r="C118" s="7">
        <f>VLOOKUP(A118,SizeData!A$2:B$3839,2,FALSE)</f>
        <v/>
      </c>
      <c r="D118" s="6" t="n">
        <v>2</v>
      </c>
      <c r="E118" s="6" t="inlineStr">
        <is>
          <t>R1134934</t>
        </is>
      </c>
      <c r="F118" s="2" t="n">
        <v>44355</v>
      </c>
      <c r="G118" s="1" t="n"/>
    </row>
    <row r="119">
      <c r="A119" s="6" t="n">
        <v>10804</v>
      </c>
      <c r="B119" s="6" t="inlineStr">
        <is>
          <t>CROWN ROYAL REGAL APPLE</t>
        </is>
      </c>
      <c r="C119" s="7">
        <f>VLOOKUP(A119,SizeData!A$2:B$3839,2,FALSE)</f>
        <v/>
      </c>
      <c r="D119" s="6" t="n">
        <v>2</v>
      </c>
      <c r="E119" s="6" t="inlineStr">
        <is>
          <t>R1163989</t>
        </is>
      </c>
      <c r="F119" s="2" t="n">
        <v>44384</v>
      </c>
      <c r="G119" s="1" t="n"/>
    </row>
    <row r="120">
      <c r="A120" s="6" t="n">
        <v>10804</v>
      </c>
      <c r="B120" s="6" t="inlineStr">
        <is>
          <t>CROWN ROYAL REGAL APPLE</t>
        </is>
      </c>
      <c r="C120" s="7">
        <f>VLOOKUP(A120,SizeData!A$2:B$3839,2,FALSE)</f>
        <v/>
      </c>
      <c r="D120" s="6" t="n">
        <v>2</v>
      </c>
      <c r="E120" s="6" t="inlineStr">
        <is>
          <t>R1181946</t>
        </is>
      </c>
      <c r="F120" s="2" t="n">
        <v>44398</v>
      </c>
      <c r="G120" s="1" t="n"/>
    </row>
    <row r="121">
      <c r="A121" s="6" t="n">
        <v>10804</v>
      </c>
      <c r="B121" s="6" t="inlineStr">
        <is>
          <t>CROWN ROYAL REGAL APPLE</t>
        </is>
      </c>
      <c r="C121" s="7">
        <f>VLOOKUP(A121,SizeData!A$2:B$3839,2,FALSE)</f>
        <v/>
      </c>
      <c r="D121" s="6" t="n">
        <v>2</v>
      </c>
      <c r="E121" s="6" t="inlineStr">
        <is>
          <t>R1208608</t>
        </is>
      </c>
      <c r="F121" s="2" t="n">
        <v>44420</v>
      </c>
      <c r="G121" s="1" t="n"/>
    </row>
    <row r="122">
      <c r="A122" s="6" t="n">
        <v>10804</v>
      </c>
      <c r="B122" s="6" t="inlineStr">
        <is>
          <t>CROWN ROYAL REGAL APPLE</t>
        </is>
      </c>
      <c r="C122" s="7">
        <f>VLOOKUP(A122,SizeData!A$2:B$3839,2,FALSE)</f>
        <v/>
      </c>
      <c r="D122" s="6" t="n">
        <v>3</v>
      </c>
      <c r="E122" s="6" t="inlineStr">
        <is>
          <t>R1306609</t>
        </is>
      </c>
      <c r="F122" s="2" t="n">
        <v>44495</v>
      </c>
      <c r="G122" s="1" t="n"/>
    </row>
    <row r="123">
      <c r="A123" s="6" t="n">
        <v>10805</v>
      </c>
      <c r="B123" s="6" t="inlineStr">
        <is>
          <t>CROWN ROYAL REGAL APPLE</t>
        </is>
      </c>
      <c r="C123" s="7">
        <f>VLOOKUP(A123,SizeData!A$2:B$3839,2,FALSE)</f>
        <v/>
      </c>
      <c r="D123" s="6" t="n">
        <v>25</v>
      </c>
      <c r="E123" s="6" t="inlineStr">
        <is>
          <t>R1128081</t>
        </is>
      </c>
      <c r="F123" s="2" t="n">
        <v>44352</v>
      </c>
      <c r="G123" s="1" t="n"/>
    </row>
    <row r="124">
      <c r="A124" s="6" t="n">
        <v>10805</v>
      </c>
      <c r="B124" s="6" t="inlineStr">
        <is>
          <t>CROWN ROYAL REGAL APPLE</t>
        </is>
      </c>
      <c r="C124" s="7">
        <f>VLOOKUP(A124,SizeData!A$2:B$3839,2,FALSE)</f>
        <v/>
      </c>
      <c r="D124" s="6" t="n">
        <v>25</v>
      </c>
      <c r="E124" s="6" t="inlineStr">
        <is>
          <t>R1142416</t>
        </is>
      </c>
      <c r="F124" s="2" t="n">
        <v>44354</v>
      </c>
      <c r="G124" s="1" t="n"/>
    </row>
    <row r="125">
      <c r="A125" s="6" t="n">
        <v>10805</v>
      </c>
      <c r="B125" s="6" t="inlineStr">
        <is>
          <t>CROWN ROYAL REGAL APPLE</t>
        </is>
      </c>
      <c r="C125" s="7">
        <f>VLOOKUP(A125,SizeData!A$2:B$3839,2,FALSE)</f>
        <v/>
      </c>
      <c r="D125" s="6" t="n">
        <v>10</v>
      </c>
      <c r="E125" s="6" t="inlineStr">
        <is>
          <t>R1145838</t>
        </is>
      </c>
      <c r="F125" s="2" t="n">
        <v>44355</v>
      </c>
      <c r="G125" s="1" t="n"/>
    </row>
    <row r="126">
      <c r="A126" s="6" t="n">
        <v>10805</v>
      </c>
      <c r="B126" s="6" t="inlineStr">
        <is>
          <t>CROWN ROYAL REGAL APPLE</t>
        </is>
      </c>
      <c r="C126" s="7">
        <f>VLOOKUP(A126,SizeData!A$2:B$3839,2,FALSE)</f>
        <v/>
      </c>
      <c r="D126" s="6" t="n">
        <v>10</v>
      </c>
      <c r="E126" s="6" t="inlineStr">
        <is>
          <t>R1170609</t>
        </is>
      </c>
      <c r="F126" s="2" t="n">
        <v>44376</v>
      </c>
      <c r="G126" s="1" t="n"/>
    </row>
    <row r="127">
      <c r="A127" s="6" t="n">
        <v>10805</v>
      </c>
      <c r="B127" s="6" t="inlineStr">
        <is>
          <t>CROWN ROYAL REGAL APPLE</t>
        </is>
      </c>
      <c r="C127" s="7">
        <f>VLOOKUP(A127,SizeData!A$2:B$3839,2,FALSE)</f>
        <v/>
      </c>
      <c r="D127" s="6" t="n">
        <v>15</v>
      </c>
      <c r="E127" s="6" t="inlineStr">
        <is>
          <t>R1158678</t>
        </is>
      </c>
      <c r="F127" s="2" t="n">
        <v>44377</v>
      </c>
      <c r="G127" s="1" t="n"/>
    </row>
    <row r="128">
      <c r="A128" s="6" t="n">
        <v>10805</v>
      </c>
      <c r="B128" s="6" t="inlineStr">
        <is>
          <t>CROWN ROYAL REGAL APPLE</t>
        </is>
      </c>
      <c r="C128" s="7">
        <f>VLOOKUP(A128,SizeData!A$2:B$3839,2,FALSE)</f>
        <v/>
      </c>
      <c r="D128" s="6" t="n">
        <v>10</v>
      </c>
      <c r="E128" s="6" t="inlineStr">
        <is>
          <t>R1278339</t>
        </is>
      </c>
      <c r="F128" s="2" t="n">
        <v>44483</v>
      </c>
      <c r="G128" s="1" t="n"/>
    </row>
    <row r="129">
      <c r="A129" s="6" t="n">
        <v>10805</v>
      </c>
      <c r="B129" s="6" t="inlineStr">
        <is>
          <t>CROWN ROYAL REGAL APPLE</t>
        </is>
      </c>
      <c r="C129" s="7">
        <f>VLOOKUP(A129,SizeData!A$2:B$3839,2,FALSE)</f>
        <v/>
      </c>
      <c r="D129" s="6" t="n">
        <v>0</v>
      </c>
      <c r="E129" s="6" t="inlineStr">
        <is>
          <t>R1292137</t>
        </is>
      </c>
      <c r="F129" s="2" t="n">
        <v>44490</v>
      </c>
      <c r="G129" s="1" t="n"/>
    </row>
    <row r="130">
      <c r="A130" s="6" t="n">
        <v>10807</v>
      </c>
      <c r="B130" s="6" t="inlineStr">
        <is>
          <t>CROWN ROYAL REGAL APPLE</t>
        </is>
      </c>
      <c r="C130" s="7">
        <f>VLOOKUP(A130,SizeData!A$2:B$3839,2,FALSE)</f>
        <v/>
      </c>
      <c r="D130" s="6" t="n">
        <v>5</v>
      </c>
      <c r="E130" s="6" t="inlineStr">
        <is>
          <t>R1038155</t>
        </is>
      </c>
      <c r="F130" s="2" t="n">
        <v>44257</v>
      </c>
      <c r="G130" s="1" t="n"/>
    </row>
    <row r="131">
      <c r="A131" s="6" t="n">
        <v>10807</v>
      </c>
      <c r="B131" s="6" t="inlineStr">
        <is>
          <t>CROWN ROYAL REGAL APPLE</t>
        </is>
      </c>
      <c r="C131" s="7">
        <f>VLOOKUP(A131,SizeData!A$2:B$3839,2,FALSE)</f>
        <v/>
      </c>
      <c r="D131" s="6" t="n">
        <v>5</v>
      </c>
      <c r="E131" s="6" t="inlineStr">
        <is>
          <t>R1123426</t>
        </is>
      </c>
      <c r="F131" s="2" t="n">
        <v>44334</v>
      </c>
      <c r="G131" s="1" t="n"/>
    </row>
    <row r="132">
      <c r="A132" s="6" t="n">
        <v>10807</v>
      </c>
      <c r="B132" s="6" t="inlineStr">
        <is>
          <t>CROWN ROYAL REGAL APPLE</t>
        </is>
      </c>
      <c r="C132" s="7">
        <f>VLOOKUP(A132,SizeData!A$2:B$3839,2,FALSE)</f>
        <v/>
      </c>
      <c r="D132" s="6" t="n">
        <v>10</v>
      </c>
      <c r="E132" s="6" t="inlineStr">
        <is>
          <t>R1154324</t>
        </is>
      </c>
      <c r="F132" s="2" t="n">
        <v>44378</v>
      </c>
      <c r="G132" s="1" t="n"/>
    </row>
    <row r="133">
      <c r="A133" s="6" t="n">
        <v>10807</v>
      </c>
      <c r="B133" s="6" t="inlineStr">
        <is>
          <t>CROWN ROYAL REGAL APPLE</t>
        </is>
      </c>
      <c r="C133" s="7">
        <f>VLOOKUP(A133,SizeData!A$2:B$3839,2,FALSE)</f>
        <v/>
      </c>
      <c r="D133" s="6" t="n">
        <v>2</v>
      </c>
      <c r="E133" s="6" t="inlineStr">
        <is>
          <t>R1265540</t>
        </is>
      </c>
      <c r="F133" s="2" t="n">
        <v>44459</v>
      </c>
      <c r="G133" s="1" t="n"/>
    </row>
    <row r="134">
      <c r="A134" s="6" t="n">
        <v>10807</v>
      </c>
      <c r="B134" s="6" t="inlineStr">
        <is>
          <t>CROWN ROYAL REGAL APPLE</t>
        </is>
      </c>
      <c r="C134" s="7">
        <f>VLOOKUP(A134,SizeData!A$2:B$3839,2,FALSE)</f>
        <v/>
      </c>
      <c r="D134" s="6" t="n">
        <v>2</v>
      </c>
      <c r="E134" s="6" t="inlineStr">
        <is>
          <t>R1256874</t>
        </is>
      </c>
      <c r="F134" s="2" t="n">
        <v>44469</v>
      </c>
      <c r="G134" s="1" t="n"/>
    </row>
    <row r="135">
      <c r="A135" s="6" t="n">
        <v>10808</v>
      </c>
      <c r="B135" s="6" t="inlineStr">
        <is>
          <t>CROWN ROYAL REGAL APPLE</t>
        </is>
      </c>
      <c r="C135" s="7">
        <f>VLOOKUP(A135,SizeData!A$2:B$3839,2,FALSE)</f>
        <v/>
      </c>
      <c r="D135" s="6" t="n">
        <v>1</v>
      </c>
      <c r="E135" s="6" t="inlineStr">
        <is>
          <t>R1041173</t>
        </is>
      </c>
      <c r="F135" s="2" t="n">
        <v>44257</v>
      </c>
      <c r="G135" s="1" t="n"/>
    </row>
    <row r="136">
      <c r="A136" s="6" t="n">
        <v>10808</v>
      </c>
      <c r="B136" s="6" t="inlineStr">
        <is>
          <t>CROWN ROYAL REGAL APPLE</t>
        </is>
      </c>
      <c r="C136" s="7">
        <f>VLOOKUP(A136,SizeData!A$2:B$3839,2,FALSE)</f>
        <v/>
      </c>
      <c r="D136" s="6" t="n">
        <v>1</v>
      </c>
      <c r="E136" s="6" t="inlineStr">
        <is>
          <t>R1085574</t>
        </is>
      </c>
      <c r="F136" s="2" t="n">
        <v>44288</v>
      </c>
      <c r="G136" s="1" t="n"/>
    </row>
    <row r="137">
      <c r="A137" s="6" t="n">
        <v>10808</v>
      </c>
      <c r="B137" s="6" t="inlineStr">
        <is>
          <t>CROWN ROYAL REGAL APPLE</t>
        </is>
      </c>
      <c r="C137" s="7">
        <f>VLOOKUP(A137,SizeData!A$2:B$3839,2,FALSE)</f>
        <v/>
      </c>
      <c r="D137" s="6" t="n">
        <v>1</v>
      </c>
      <c r="E137" s="6" t="inlineStr">
        <is>
          <t>R1126618</t>
        </is>
      </c>
      <c r="F137" s="2" t="n">
        <v>44326</v>
      </c>
      <c r="G137" s="1" t="n"/>
    </row>
    <row r="138">
      <c r="A138" s="6" t="n">
        <v>10808</v>
      </c>
      <c r="B138" s="6" t="inlineStr">
        <is>
          <t>CROWN ROYAL REGAL APPLE</t>
        </is>
      </c>
      <c r="C138" s="7">
        <f>VLOOKUP(A138,SizeData!A$2:B$3839,2,FALSE)</f>
        <v/>
      </c>
      <c r="D138" s="6" t="n">
        <v>1</v>
      </c>
      <c r="E138" s="6" t="inlineStr">
        <is>
          <t>R1142808</t>
        </is>
      </c>
      <c r="F138" s="2" t="n">
        <v>44352</v>
      </c>
      <c r="G138" s="1" t="n"/>
    </row>
    <row r="139">
      <c r="A139" s="6" t="n">
        <v>10808</v>
      </c>
      <c r="B139" s="6" t="inlineStr">
        <is>
          <t>CROWN ROYAL REGAL APPLE</t>
        </is>
      </c>
      <c r="C139" s="7">
        <f>VLOOKUP(A139,SizeData!A$2:B$3839,2,FALSE)</f>
        <v/>
      </c>
      <c r="D139" s="6" t="n">
        <v>2</v>
      </c>
      <c r="E139" s="6" t="inlineStr">
        <is>
          <t>R1239106</t>
        </is>
      </c>
      <c r="F139" s="2" t="n">
        <v>44447</v>
      </c>
      <c r="G139" s="1" t="n"/>
    </row>
    <row r="140">
      <c r="A140" s="6" t="n">
        <v>10808</v>
      </c>
      <c r="B140" s="6" t="inlineStr">
        <is>
          <t>CROWN ROYAL REGAL APPLE</t>
        </is>
      </c>
      <c r="C140" s="7">
        <f>VLOOKUP(A140,SizeData!A$2:B$3839,2,FALSE)</f>
        <v/>
      </c>
      <c r="D140" s="6" t="n">
        <v>1</v>
      </c>
      <c r="E140" s="6" t="inlineStr">
        <is>
          <t>R1309020</t>
        </is>
      </c>
      <c r="F140" s="2" t="n">
        <v>44501</v>
      </c>
      <c r="G140" s="1" t="n"/>
    </row>
    <row r="141">
      <c r="A141" s="6" t="n">
        <v>10808</v>
      </c>
      <c r="B141" s="6" t="inlineStr">
        <is>
          <t>CROWN ROYAL REGAL APPLE</t>
        </is>
      </c>
      <c r="C141" s="7">
        <f>VLOOKUP(A141,SizeData!A$2:B$3839,2,FALSE)</f>
        <v/>
      </c>
      <c r="D141" s="6" t="n">
        <v>1</v>
      </c>
      <c r="E141" s="6" t="inlineStr">
        <is>
          <t>R1318356</t>
        </is>
      </c>
      <c r="F141" s="2" t="n">
        <v>44510</v>
      </c>
      <c r="G141" s="1" t="n"/>
    </row>
    <row r="142">
      <c r="A142" s="6" t="n">
        <v>10808</v>
      </c>
      <c r="B142" s="6" t="inlineStr">
        <is>
          <t>CROWN ROYAL REGAL APPLE - BOTTLES</t>
        </is>
      </c>
      <c r="C142" s="7">
        <f>VLOOKUP(A142,SizeData!A$2:B$3839,2,FALSE)</f>
        <v/>
      </c>
      <c r="D142" s="6" t="n">
        <v>0.5</v>
      </c>
      <c r="E142" s="6" t="inlineStr">
        <is>
          <t>R1162430</t>
        </is>
      </c>
      <c r="F142" s="2" t="n">
        <v>44371</v>
      </c>
      <c r="G142" s="6" t="n"/>
    </row>
    <row r="143">
      <c r="A143" s="6" t="n">
        <v>10809</v>
      </c>
      <c r="B143" s="6" t="inlineStr">
        <is>
          <t>CROWN ROYAL REGAL APPLE</t>
        </is>
      </c>
      <c r="C143" s="7">
        <f>VLOOKUP(A143,SizeData!A$2:B$3839,2,FALSE)</f>
        <v/>
      </c>
      <c r="D143" s="6" t="n">
        <v>4</v>
      </c>
      <c r="E143" s="6" t="inlineStr">
        <is>
          <t>R1115090</t>
        </is>
      </c>
      <c r="F143" s="2" t="n">
        <v>44315</v>
      </c>
      <c r="G143" s="1" t="n"/>
    </row>
    <row r="144">
      <c r="A144" s="6" t="n">
        <v>10809</v>
      </c>
      <c r="B144" s="6" t="inlineStr">
        <is>
          <t>CROWN ROYAL REGAL APPLE</t>
        </is>
      </c>
      <c r="C144" s="7">
        <f>VLOOKUP(A144,SizeData!A$2:B$3839,2,FALSE)</f>
        <v/>
      </c>
      <c r="D144" s="6" t="n">
        <v>2</v>
      </c>
      <c r="E144" s="6" t="inlineStr">
        <is>
          <t>R1197185</t>
        </is>
      </c>
      <c r="F144" s="2" t="n">
        <v>44412</v>
      </c>
      <c r="G144" s="1" t="n"/>
    </row>
    <row r="145">
      <c r="A145" s="6" t="n">
        <v>10809</v>
      </c>
      <c r="B145" s="6" t="inlineStr">
        <is>
          <t>CROWN ROYAL REGAL APPLE</t>
        </is>
      </c>
      <c r="C145" s="7">
        <f>VLOOKUP(A145,SizeData!A$2:B$3839,2,FALSE)</f>
        <v/>
      </c>
      <c r="D145" s="6" t="n">
        <v>3</v>
      </c>
      <c r="E145" s="6" t="inlineStr">
        <is>
          <t xml:space="preserve"> R1206104</t>
        </is>
      </c>
      <c r="F145" s="2" t="n">
        <v>44413</v>
      </c>
      <c r="G145" s="1" t="n"/>
    </row>
    <row r="146">
      <c r="A146" s="6" t="n">
        <v>10809</v>
      </c>
      <c r="B146" s="6" t="inlineStr">
        <is>
          <t>CROWN ROYAL REGAL APPLE</t>
        </is>
      </c>
      <c r="C146" s="7">
        <f>VLOOKUP(A146,SizeData!A$2:B$3839,2,FALSE)</f>
        <v/>
      </c>
      <c r="D146" s="6" t="n">
        <v>3</v>
      </c>
      <c r="E146" s="6" t="inlineStr">
        <is>
          <t>R1301983</t>
        </is>
      </c>
      <c r="F146" s="2" t="n">
        <v>44501</v>
      </c>
      <c r="G146" s="1" t="n"/>
    </row>
    <row r="147">
      <c r="A147" s="6" t="n">
        <v>10826</v>
      </c>
      <c r="B147" s="6" t="inlineStr">
        <is>
          <t>CROWN ROYAL XO BLENDED CANADIAN</t>
        </is>
      </c>
      <c r="C147" s="7">
        <f>VLOOKUP(A147,SizeData!A$2:B$3839,2,FALSE)</f>
        <v/>
      </c>
      <c r="D147" s="6" t="n">
        <v>2</v>
      </c>
      <c r="E147" s="6" t="inlineStr">
        <is>
          <t>R1092907</t>
        </is>
      </c>
      <c r="F147" s="2" t="n">
        <v>44298</v>
      </c>
      <c r="G147" s="1" t="n"/>
    </row>
    <row r="148">
      <c r="A148" s="6" t="n">
        <v>10826</v>
      </c>
      <c r="B148" s="6" t="inlineStr">
        <is>
          <t>CROWN ROYAL XO BLENDED CANADIAN</t>
        </is>
      </c>
      <c r="C148" s="7">
        <f>VLOOKUP(A148,SizeData!A$2:B$3839,2,FALSE)</f>
        <v/>
      </c>
      <c r="D148" s="6" t="n">
        <v>3</v>
      </c>
      <c r="E148" s="6" t="inlineStr">
        <is>
          <t>R1213561</t>
        </is>
      </c>
      <c r="F148" s="2" t="n">
        <v>44427</v>
      </c>
      <c r="G148" s="1" t="n"/>
    </row>
    <row r="149">
      <c r="A149" s="6" t="n">
        <v>10832</v>
      </c>
      <c r="B149" s="6" t="inlineStr">
        <is>
          <t>CROWN ROYAL BLACK</t>
        </is>
      </c>
      <c r="C149" s="7">
        <f>VLOOKUP(A149,SizeData!A$2:B$3839,2,FALSE)</f>
        <v/>
      </c>
      <c r="D149" s="6" t="n">
        <v>3</v>
      </c>
      <c r="E149" s="6" t="inlineStr">
        <is>
          <t>R1213561</t>
        </is>
      </c>
      <c r="F149" s="2" t="n">
        <v>44427</v>
      </c>
      <c r="G149" s="1" t="n"/>
    </row>
    <row r="150">
      <c r="A150" s="6" t="n">
        <v>10834</v>
      </c>
      <c r="B150" s="6" t="inlineStr">
        <is>
          <t>CROWN ROYAL BLACK</t>
        </is>
      </c>
      <c r="C150" s="7">
        <f>VLOOKUP(A150,SizeData!A$2:B$3839,2,FALSE)</f>
        <v/>
      </c>
      <c r="D150" s="6" t="n">
        <v>1</v>
      </c>
      <c r="E150" s="6" t="inlineStr">
        <is>
          <t>R1023965</t>
        </is>
      </c>
      <c r="F150" s="2" t="n">
        <v>44246</v>
      </c>
      <c r="G150" s="1" t="n"/>
    </row>
    <row r="151">
      <c r="A151" s="6" t="n">
        <v>10834</v>
      </c>
      <c r="B151" s="6" t="inlineStr">
        <is>
          <t>CROWN ROYAL BLACK</t>
        </is>
      </c>
      <c r="C151" s="7">
        <f>VLOOKUP(A151,SizeData!A$2:B$3839,2,FALSE)</f>
        <v/>
      </c>
      <c r="D151" s="6" t="n">
        <v>2</v>
      </c>
      <c r="E151" s="6" t="inlineStr">
        <is>
          <t>R1171340</t>
        </is>
      </c>
      <c r="F151" s="2" t="n">
        <v>44383</v>
      </c>
      <c r="G151" s="1" t="n"/>
    </row>
    <row r="152">
      <c r="A152" s="6" t="n">
        <v>10836</v>
      </c>
      <c r="B152" s="6" t="inlineStr">
        <is>
          <t>CROWN ROYAL BLACK</t>
        </is>
      </c>
      <c r="C152" s="7">
        <f>VLOOKUP(A152,SizeData!A$2:B$3839,2,FALSE)</f>
        <v/>
      </c>
      <c r="D152" s="6" t="n">
        <v>4</v>
      </c>
      <c r="E152" s="6" t="inlineStr">
        <is>
          <t>R997005</t>
        </is>
      </c>
      <c r="F152" s="2" t="n">
        <v>44202</v>
      </c>
      <c r="G152" s="1" t="n"/>
    </row>
    <row r="153">
      <c r="A153" s="6" t="n">
        <v>10836</v>
      </c>
      <c r="B153" s="6" t="inlineStr">
        <is>
          <t>CROWN ROYAL BLACK</t>
        </is>
      </c>
      <c r="C153" s="7">
        <f>VLOOKUP(A153,SizeData!A$2:B$3839,2,FALSE)</f>
        <v/>
      </c>
      <c r="D153" s="6" t="n">
        <v>2</v>
      </c>
      <c r="E153" s="6" t="inlineStr">
        <is>
          <t>R1034042</t>
        </is>
      </c>
      <c r="F153" s="2" t="n">
        <v>44252</v>
      </c>
      <c r="G153" s="1" t="n"/>
    </row>
    <row r="154">
      <c r="A154" s="6" t="n">
        <v>10836</v>
      </c>
      <c r="B154" s="6" t="inlineStr">
        <is>
          <t>CROWN ROYAL BLACK</t>
        </is>
      </c>
      <c r="C154" s="7">
        <f>VLOOKUP(A154,SizeData!A$2:B$3839,2,FALSE)</f>
        <v/>
      </c>
      <c r="D154" s="6" t="n">
        <v>1</v>
      </c>
      <c r="E154" s="6" t="inlineStr">
        <is>
          <t>R1098857</t>
        </is>
      </c>
      <c r="F154" s="2" t="n">
        <v>44313</v>
      </c>
      <c r="G154" s="1" t="n"/>
    </row>
    <row r="155">
      <c r="A155" s="6" t="n">
        <v>10836</v>
      </c>
      <c r="B155" s="6" t="inlineStr">
        <is>
          <t>CROWN ROYAL BLACK</t>
        </is>
      </c>
      <c r="C155" s="7">
        <f>VLOOKUP(A155,SizeData!A$2:B$3839,2,FALSE)</f>
        <v/>
      </c>
      <c r="D155" s="6" t="n">
        <v>1</v>
      </c>
      <c r="E155" s="6" t="inlineStr">
        <is>
          <t>R1132212</t>
        </is>
      </c>
      <c r="F155" s="2" t="n">
        <v>44342</v>
      </c>
      <c r="G155" s="1" t="n"/>
    </row>
    <row r="156">
      <c r="A156" s="6" t="n">
        <v>10838</v>
      </c>
      <c r="B156" s="6" t="inlineStr">
        <is>
          <t>CROWN ROYAL BLACK</t>
        </is>
      </c>
      <c r="C156" s="7">
        <f>VLOOKUP(A156,SizeData!A$2:B$3839,2,FALSE)</f>
        <v/>
      </c>
      <c r="D156" s="6" t="n">
        <v>5</v>
      </c>
      <c r="E156" s="6" t="inlineStr">
        <is>
          <t>R1051358</t>
        </is>
      </c>
      <c r="F156" s="2" t="n">
        <v>44259</v>
      </c>
      <c r="G156" s="1" t="n"/>
    </row>
    <row r="157">
      <c r="A157" s="6" t="n">
        <v>10838</v>
      </c>
      <c r="B157" s="6" t="inlineStr">
        <is>
          <t>CROWN ROYAL BLACK</t>
        </is>
      </c>
      <c r="C157" s="7">
        <f>VLOOKUP(A157,SizeData!A$2:B$3839,2,FALSE)</f>
        <v/>
      </c>
      <c r="D157" s="6" t="n">
        <v>2</v>
      </c>
      <c r="E157" s="6" t="inlineStr">
        <is>
          <t>R1056777</t>
        </is>
      </c>
      <c r="F157" s="2" t="n">
        <v>44271</v>
      </c>
      <c r="G157" s="1" t="n"/>
    </row>
    <row r="158">
      <c r="A158" s="6" t="n">
        <v>10838</v>
      </c>
      <c r="B158" s="6" t="inlineStr">
        <is>
          <t>CROWN ROYAL BLACK</t>
        </is>
      </c>
      <c r="C158" s="7">
        <f>VLOOKUP(A158,SizeData!A$2:B$3839,2,FALSE)</f>
        <v/>
      </c>
      <c r="D158" s="6" t="n">
        <v>1</v>
      </c>
      <c r="E158" s="6" t="inlineStr">
        <is>
          <t>R1079257</t>
        </is>
      </c>
      <c r="F158" s="2" t="n">
        <v>44298</v>
      </c>
      <c r="G158" s="1" t="n"/>
    </row>
    <row r="159">
      <c r="A159" s="6" t="n">
        <v>10838</v>
      </c>
      <c r="B159" s="6" t="inlineStr">
        <is>
          <t>CROWN ROYAL BLACK</t>
        </is>
      </c>
      <c r="C159" s="7">
        <f>VLOOKUP(A159,SizeData!A$2:B$3839,2,FALSE)</f>
        <v/>
      </c>
      <c r="D159" s="6" t="n">
        <v>2</v>
      </c>
      <c r="E159" s="6" t="inlineStr">
        <is>
          <t>R1146719</t>
        </is>
      </c>
      <c r="F159" s="2" t="n">
        <v>44355</v>
      </c>
      <c r="G159" s="1" t="n"/>
    </row>
    <row r="160">
      <c r="A160" s="6" t="n">
        <v>10838</v>
      </c>
      <c r="B160" s="6" t="inlineStr">
        <is>
          <t>CROWN ROYAL BLACK</t>
        </is>
      </c>
      <c r="C160" s="7">
        <f>VLOOKUP(A160,SizeData!A$2:B$3839,2,FALSE)</f>
        <v/>
      </c>
      <c r="D160" s="6" t="n">
        <v>4</v>
      </c>
      <c r="E160" s="6" t="inlineStr">
        <is>
          <t xml:space="preserve"> R1171994</t>
        </is>
      </c>
      <c r="F160" s="2" t="n">
        <v>44390</v>
      </c>
      <c r="G160" s="1" t="n"/>
    </row>
    <row r="161">
      <c r="A161" s="6" t="n">
        <v>10838</v>
      </c>
      <c r="B161" s="6" t="inlineStr">
        <is>
          <t>CROWN ROYAL BLACK</t>
        </is>
      </c>
      <c r="C161" s="7">
        <f>VLOOKUP(A161,SizeData!A$2:B$3839,2,FALSE)</f>
        <v/>
      </c>
      <c r="D161" s="6" t="n">
        <v>2</v>
      </c>
      <c r="E161" s="6" t="inlineStr">
        <is>
          <t>R1214748</t>
        </is>
      </c>
      <c r="F161" s="2" t="n">
        <v>44433</v>
      </c>
      <c r="G161" s="1" t="n"/>
    </row>
    <row r="162">
      <c r="A162" s="6" t="n">
        <v>10838</v>
      </c>
      <c r="B162" s="6" t="inlineStr">
        <is>
          <t>CROWN ROYAL BLACK</t>
        </is>
      </c>
      <c r="C162" s="7">
        <f>VLOOKUP(A162,SizeData!A$2:B$3839,2,FALSE)</f>
        <v/>
      </c>
      <c r="D162" s="6" t="n">
        <v>1</v>
      </c>
      <c r="E162" s="6" t="inlineStr">
        <is>
          <t>R1259107</t>
        </is>
      </c>
      <c r="F162" s="2" t="n">
        <v>44466</v>
      </c>
      <c r="G162" s="1" t="n"/>
    </row>
    <row r="163">
      <c r="A163" s="6" t="n">
        <v>10838</v>
      </c>
      <c r="B163" s="6" t="inlineStr">
        <is>
          <t>CROWN ROYAL BLACK</t>
        </is>
      </c>
      <c r="C163" s="7">
        <f>VLOOKUP(A163,SizeData!A$2:B$3839,2,FALSE)</f>
        <v/>
      </c>
      <c r="D163" s="6" t="n">
        <v>3</v>
      </c>
      <c r="E163" s="6" t="inlineStr">
        <is>
          <t>R1318356</t>
        </is>
      </c>
      <c r="F163" s="2" t="n">
        <v>44510</v>
      </c>
      <c r="G163" s="1" t="n"/>
    </row>
    <row r="164">
      <c r="A164" s="6" t="n">
        <v>11290</v>
      </c>
      <c r="B164" s="6" t="inlineStr">
        <is>
          <t>CROWN ROYAL</t>
        </is>
      </c>
      <c r="C164" s="7">
        <f>VLOOKUP(A164,SizeData!A$2:B$3839,2,FALSE)</f>
        <v/>
      </c>
      <c r="D164" s="6" t="n">
        <v>1</v>
      </c>
      <c r="E164" s="6" t="inlineStr">
        <is>
          <t>R1146719</t>
        </is>
      </c>
      <c r="F164" s="2" t="n">
        <v>44355</v>
      </c>
      <c r="G164" s="1" t="n"/>
    </row>
    <row r="165">
      <c r="A165" s="6" t="n">
        <v>11290</v>
      </c>
      <c r="B165" s="6" t="inlineStr">
        <is>
          <t>CROWN ROYAL</t>
        </is>
      </c>
      <c r="C165" s="7">
        <f>VLOOKUP(A165,SizeData!A$2:B$3839,2,FALSE)</f>
        <v/>
      </c>
      <c r="D165" s="6" t="n">
        <v>1</v>
      </c>
      <c r="E165" s="6" t="inlineStr">
        <is>
          <t>R1163989</t>
        </is>
      </c>
      <c r="F165" s="2" t="n">
        <v>44384</v>
      </c>
      <c r="G165" s="1" t="n"/>
    </row>
    <row r="166">
      <c r="A166" s="6" t="n">
        <v>11290</v>
      </c>
      <c r="B166" s="6" t="inlineStr">
        <is>
          <t>CROWN ROYAL</t>
        </is>
      </c>
      <c r="C166" s="7">
        <f>VLOOKUP(A166,SizeData!A$2:B$3839,2,FALSE)</f>
        <v/>
      </c>
      <c r="D166" s="6" t="n">
        <v>2</v>
      </c>
      <c r="E166" s="6" t="inlineStr">
        <is>
          <t>R1306609</t>
        </is>
      </c>
      <c r="F166" s="2" t="n">
        <v>44495</v>
      </c>
      <c r="G166" s="1" t="n"/>
    </row>
    <row r="167">
      <c r="A167" s="6" t="n">
        <v>11294</v>
      </c>
      <c r="B167" s="6" t="inlineStr">
        <is>
          <t>CROWN ROYAL</t>
        </is>
      </c>
      <c r="C167" s="7">
        <f>VLOOKUP(A167,SizeData!A$2:B$3839,2,FALSE)</f>
        <v/>
      </c>
      <c r="D167" s="6" t="n">
        <v>10</v>
      </c>
      <c r="E167" s="6" t="inlineStr">
        <is>
          <t>R1084238</t>
        </is>
      </c>
      <c r="F167" s="2" t="n">
        <v>44297</v>
      </c>
      <c r="G167" s="1" t="n"/>
    </row>
    <row r="168">
      <c r="A168" s="6" t="n">
        <v>11294</v>
      </c>
      <c r="B168" s="6" t="inlineStr">
        <is>
          <t>CROWN ROYAL</t>
        </is>
      </c>
      <c r="C168" s="7">
        <f>VLOOKUP(A168,SizeData!A$2:B$3839,2,FALSE)</f>
        <v/>
      </c>
      <c r="D168" s="6" t="n">
        <v>3</v>
      </c>
      <c r="E168" s="6" t="inlineStr">
        <is>
          <t xml:space="preserve"> R1107264</t>
        </is>
      </c>
      <c r="F168" s="2" t="n">
        <v>44317</v>
      </c>
      <c r="G168" s="1" t="n"/>
    </row>
    <row r="169">
      <c r="A169" s="6" t="n">
        <v>11294</v>
      </c>
      <c r="B169" s="6" t="inlineStr">
        <is>
          <t>CROWN ROYAL</t>
        </is>
      </c>
      <c r="C169" s="7">
        <f>VLOOKUP(A169,SizeData!A$2:B$3839,2,FALSE)</f>
        <v/>
      </c>
      <c r="D169" s="6" t="n">
        <v>4</v>
      </c>
      <c r="E169" s="6" t="inlineStr">
        <is>
          <t>R1122021</t>
        </is>
      </c>
      <c r="F169" s="2" t="n">
        <v>44328</v>
      </c>
      <c r="G169" s="1" t="n"/>
    </row>
    <row r="170">
      <c r="A170" s="6" t="n">
        <v>11294</v>
      </c>
      <c r="B170" s="6" t="inlineStr">
        <is>
          <t>CROWN ROYAL</t>
        </is>
      </c>
      <c r="C170" s="7">
        <f>VLOOKUP(A170,SizeData!A$2:B$3839,2,FALSE)</f>
        <v/>
      </c>
      <c r="D170" s="6" t="n">
        <v>3</v>
      </c>
      <c r="E170" s="6" t="inlineStr">
        <is>
          <t>R1121370</t>
        </is>
      </c>
      <c r="F170" s="2" t="n">
        <v>44331</v>
      </c>
      <c r="G170" s="1" t="n"/>
    </row>
    <row r="171">
      <c r="A171" s="6" t="n">
        <v>11294</v>
      </c>
      <c r="B171" s="6" t="inlineStr">
        <is>
          <t>CROWN ROYAL</t>
        </is>
      </c>
      <c r="C171" s="7">
        <f>VLOOKUP(A171,SizeData!A$2:B$3839,2,FALSE)</f>
        <v/>
      </c>
      <c r="D171" s="6" t="n">
        <v>3</v>
      </c>
      <c r="E171" s="6" t="inlineStr">
        <is>
          <t>R1127639</t>
        </is>
      </c>
      <c r="F171" s="2" t="n">
        <v>44341</v>
      </c>
      <c r="G171" s="1" t="n"/>
    </row>
    <row r="172">
      <c r="A172" s="6" t="n">
        <v>11294</v>
      </c>
      <c r="B172" s="6" t="inlineStr">
        <is>
          <t>CROWN ROYAL</t>
        </is>
      </c>
      <c r="C172" s="7">
        <f>VLOOKUP(A172,SizeData!A$2:B$3839,2,FALSE)</f>
        <v/>
      </c>
      <c r="D172" s="6" t="n">
        <v>110</v>
      </c>
      <c r="E172" s="6" t="inlineStr">
        <is>
          <t>R1123789</t>
        </is>
      </c>
      <c r="F172" s="2" t="n">
        <v>44348</v>
      </c>
      <c r="G172" s="1" t="n"/>
    </row>
    <row r="173">
      <c r="A173" s="6" t="n">
        <v>11294</v>
      </c>
      <c r="B173" s="6" t="inlineStr">
        <is>
          <t>CROWN ROYAL</t>
        </is>
      </c>
      <c r="C173" s="7">
        <f>VLOOKUP(A173,SizeData!A$2:B$3839,2,FALSE)</f>
        <v/>
      </c>
      <c r="D173" s="6" t="n">
        <v>90</v>
      </c>
      <c r="E173" s="6" t="inlineStr">
        <is>
          <t>R1133721</t>
        </is>
      </c>
      <c r="F173" s="2" t="n">
        <v>44348</v>
      </c>
      <c r="G173" s="1" t="n"/>
    </row>
    <row r="174">
      <c r="A174" s="6" t="n">
        <v>11294</v>
      </c>
      <c r="B174" s="6" t="inlineStr">
        <is>
          <t>CROWN ROYAL</t>
        </is>
      </c>
      <c r="C174" s="7">
        <f>VLOOKUP(A174,SizeData!A$2:B$3839,2,FALSE)</f>
        <v/>
      </c>
      <c r="D174" s="6" t="n">
        <v>20</v>
      </c>
      <c r="E174" s="6" t="inlineStr">
        <is>
          <t>R1163734</t>
        </is>
      </c>
      <c r="F174" s="2" t="n">
        <v>44377</v>
      </c>
      <c r="G174" s="1" t="n"/>
    </row>
    <row r="175">
      <c r="A175" s="6" t="n">
        <v>11294</v>
      </c>
      <c r="B175" s="6" t="inlineStr">
        <is>
          <t>CROWN ROYAL</t>
        </is>
      </c>
      <c r="C175" s="7">
        <f>VLOOKUP(A175,SizeData!A$2:B$3839,2,FALSE)</f>
        <v/>
      </c>
      <c r="D175" s="6" t="n">
        <v>10</v>
      </c>
      <c r="E175" s="6" t="inlineStr">
        <is>
          <t>R1278339</t>
        </is>
      </c>
      <c r="F175" s="2" t="n">
        <v>44483</v>
      </c>
      <c r="G175" s="1" t="n"/>
    </row>
    <row r="176">
      <c r="A176" s="6" t="n">
        <v>11294</v>
      </c>
      <c r="B176" s="6" t="inlineStr">
        <is>
          <t>CROWN ROYAL</t>
        </is>
      </c>
      <c r="C176" s="7">
        <f>VLOOKUP(A176,SizeData!A$2:B$3839,2,FALSE)</f>
        <v/>
      </c>
      <c r="D176" s="6" t="n">
        <v>10</v>
      </c>
      <c r="E176" s="6" t="inlineStr">
        <is>
          <t>R1278491</t>
        </is>
      </c>
      <c r="F176" s="2" t="n">
        <v>44490</v>
      </c>
      <c r="G176" s="1" t="n"/>
    </row>
    <row r="177">
      <c r="A177" s="6" t="n">
        <v>11296</v>
      </c>
      <c r="B177" s="6" t="inlineStr">
        <is>
          <t>CROWN ROYAL</t>
        </is>
      </c>
      <c r="C177" s="7">
        <f>VLOOKUP(A177,SizeData!A$2:B$3839,2,FALSE)</f>
        <v/>
      </c>
      <c r="D177" s="6" t="n">
        <v>5</v>
      </c>
      <c r="E177" s="6" t="inlineStr">
        <is>
          <t>R1236179</t>
        </is>
      </c>
      <c r="F177" s="2" t="n">
        <v>44443</v>
      </c>
      <c r="G177" s="1" t="n"/>
    </row>
    <row r="178">
      <c r="A178" s="6" t="n">
        <v>11296</v>
      </c>
      <c r="B178" s="6" t="inlineStr">
        <is>
          <t>CROWN ROYAL</t>
        </is>
      </c>
      <c r="C178" s="7">
        <f>VLOOKUP(A178,SizeData!A$2:B$3839,2,FALSE)</f>
        <v/>
      </c>
      <c r="D178" s="6" t="n">
        <v>2</v>
      </c>
      <c r="E178" s="6" t="inlineStr">
        <is>
          <t>R1265540</t>
        </is>
      </c>
      <c r="F178" s="2" t="n">
        <v>44459</v>
      </c>
      <c r="G178" s="1" t="n"/>
    </row>
    <row r="179">
      <c r="A179" s="6" t="n">
        <v>11296</v>
      </c>
      <c r="B179" s="6" t="inlineStr">
        <is>
          <t>CROWN ROYAL</t>
        </is>
      </c>
      <c r="C179" s="7">
        <f>VLOOKUP(A179,SizeData!A$2:B$3839,2,FALSE)</f>
        <v/>
      </c>
      <c r="D179" s="6" t="n">
        <v>2</v>
      </c>
      <c r="E179" s="6" t="inlineStr">
        <is>
          <t>R1256874</t>
        </is>
      </c>
      <c r="F179" s="2" t="n">
        <v>44469</v>
      </c>
      <c r="G179" s="1" t="n"/>
    </row>
    <row r="180">
      <c r="A180" s="6" t="n">
        <v>11297</v>
      </c>
      <c r="B180" s="6" t="inlineStr">
        <is>
          <t>CROWN ROYAL</t>
        </is>
      </c>
      <c r="C180" s="7">
        <f>VLOOKUP(A180,SizeData!A$2:B$3839,2,FALSE)</f>
        <v/>
      </c>
      <c r="D180" s="6" t="n">
        <v>1</v>
      </c>
      <c r="E180" s="6" t="inlineStr">
        <is>
          <t>R1007720</t>
        </is>
      </c>
      <c r="F180" s="2" t="n">
        <v>44216</v>
      </c>
      <c r="G180" s="1" t="n"/>
    </row>
    <row r="181">
      <c r="A181" s="6" t="n">
        <v>11297</v>
      </c>
      <c r="B181" s="6" t="inlineStr">
        <is>
          <t>CROWN ROYAL</t>
        </is>
      </c>
      <c r="C181" s="7">
        <f>VLOOKUP(A181,SizeData!A$2:B$3839,2,FALSE)</f>
        <v/>
      </c>
      <c r="D181" s="6" t="n">
        <v>1</v>
      </c>
      <c r="E181" s="6" t="inlineStr">
        <is>
          <t>R1013727</t>
        </is>
      </c>
      <c r="F181" s="2" t="n">
        <v>44229</v>
      </c>
      <c r="G181" s="1" t="n"/>
    </row>
    <row r="182">
      <c r="A182" s="6" t="n">
        <v>11297</v>
      </c>
      <c r="B182" s="6" t="inlineStr">
        <is>
          <t>CROWN ROYAL</t>
        </is>
      </c>
      <c r="C182" s="7">
        <f>VLOOKUP(A182,SizeData!A$2:B$3839,2,FALSE)</f>
        <v/>
      </c>
      <c r="D182" s="6" t="n">
        <v>1</v>
      </c>
      <c r="E182" s="6" t="inlineStr">
        <is>
          <t>R1070281</t>
        </is>
      </c>
      <c r="F182" s="2" t="n">
        <v>44275</v>
      </c>
      <c r="G182" s="1" t="n"/>
    </row>
    <row r="183">
      <c r="A183" s="6" t="n">
        <v>11297</v>
      </c>
      <c r="B183" s="6" t="inlineStr">
        <is>
          <t>CROWN ROYAL</t>
        </is>
      </c>
      <c r="C183" s="7">
        <f>VLOOKUP(A183,SizeData!A$2:B$3839,2,FALSE)</f>
        <v/>
      </c>
      <c r="D183" s="6" t="n">
        <v>1</v>
      </c>
      <c r="E183" s="6" t="inlineStr">
        <is>
          <t>R1084236</t>
        </is>
      </c>
      <c r="F183" s="2" t="n">
        <v>44296</v>
      </c>
      <c r="G183" s="1" t="n"/>
    </row>
    <row r="184">
      <c r="A184" s="6" t="n">
        <v>11297</v>
      </c>
      <c r="B184" s="6" t="inlineStr">
        <is>
          <t>CROWN ROYAL</t>
        </is>
      </c>
      <c r="C184" s="7">
        <f>VLOOKUP(A184,SizeData!A$2:B$3839,2,FALSE)</f>
        <v/>
      </c>
      <c r="D184" s="6" t="n">
        <v>1</v>
      </c>
      <c r="E184" s="6" t="inlineStr">
        <is>
          <t>R1097628</t>
        </is>
      </c>
      <c r="F184" s="2" t="n">
        <v>44305</v>
      </c>
      <c r="G184" s="1" t="n"/>
    </row>
    <row r="185">
      <c r="A185" s="6" t="n">
        <v>11297</v>
      </c>
      <c r="B185" s="6" t="inlineStr">
        <is>
          <t>CROWN ROYAL</t>
        </is>
      </c>
      <c r="C185" s="7">
        <f>VLOOKUP(A185,SizeData!A$2:B$3839,2,FALSE)</f>
        <v/>
      </c>
      <c r="D185" s="6" t="n">
        <v>1</v>
      </c>
      <c r="E185" s="6" t="inlineStr">
        <is>
          <t>R1115090</t>
        </is>
      </c>
      <c r="F185" s="2" t="n">
        <v>44315</v>
      </c>
      <c r="G185" s="1" t="n"/>
    </row>
    <row r="186">
      <c r="A186" s="6" t="n">
        <v>11297</v>
      </c>
      <c r="B186" s="6" t="inlineStr">
        <is>
          <t>CROWN ROYAL</t>
        </is>
      </c>
      <c r="C186" s="7">
        <f>VLOOKUP(A186,SizeData!A$2:B$3839,2,FALSE)</f>
        <v/>
      </c>
      <c r="D186" s="6" t="n">
        <v>1</v>
      </c>
      <c r="E186" s="6" t="inlineStr">
        <is>
          <t xml:space="preserve"> R1107264</t>
        </is>
      </c>
      <c r="F186" s="2" t="n">
        <v>44317</v>
      </c>
      <c r="G186" s="1" t="n"/>
    </row>
    <row r="187">
      <c r="A187" s="6" t="n">
        <v>11297</v>
      </c>
      <c r="B187" s="6" t="inlineStr">
        <is>
          <t>CROWN ROYAL</t>
        </is>
      </c>
      <c r="C187" s="7">
        <f>VLOOKUP(A187,SizeData!A$2:B$3839,2,FALSE)</f>
        <v/>
      </c>
      <c r="D187" s="6" t="n">
        <v>1</v>
      </c>
      <c r="E187" s="6" t="inlineStr">
        <is>
          <t>R1156117</t>
        </is>
      </c>
      <c r="F187" s="2" t="n">
        <v>44362</v>
      </c>
      <c r="G187" s="1" t="n"/>
    </row>
    <row r="188">
      <c r="A188" s="6" t="n">
        <v>11297</v>
      </c>
      <c r="B188" s="6" t="inlineStr">
        <is>
          <t>CROWN ROYAL</t>
        </is>
      </c>
      <c r="C188" s="7">
        <f>VLOOKUP(A188,SizeData!A$2:B$3839,2,FALSE)</f>
        <v/>
      </c>
      <c r="D188" s="6" t="n">
        <v>1</v>
      </c>
      <c r="E188" s="6" t="inlineStr">
        <is>
          <t>R1153323</t>
        </is>
      </c>
      <c r="F188" s="2" t="n">
        <v>44369</v>
      </c>
      <c r="G188" s="1" t="n"/>
    </row>
    <row r="189">
      <c r="A189" s="6" t="n">
        <v>11297</v>
      </c>
      <c r="B189" s="6" t="inlineStr">
        <is>
          <t>CROWN ROYAL</t>
        </is>
      </c>
      <c r="C189" s="7">
        <f>VLOOKUP(A189,SizeData!A$2:B$3839,2,FALSE)</f>
        <v/>
      </c>
      <c r="D189" s="6" t="n">
        <v>1</v>
      </c>
      <c r="E189" s="6" t="inlineStr">
        <is>
          <t>R1171340</t>
        </is>
      </c>
      <c r="F189" s="2" t="n">
        <v>44383</v>
      </c>
      <c r="G189" s="1" t="n"/>
    </row>
    <row r="190">
      <c r="A190" s="6" t="n">
        <v>11297</v>
      </c>
      <c r="B190" s="6" t="inlineStr">
        <is>
          <t>CROWN ROYAL</t>
        </is>
      </c>
      <c r="C190" s="7">
        <f>VLOOKUP(A190,SizeData!A$2:B$3839,2,FALSE)</f>
        <v/>
      </c>
      <c r="D190" s="6" t="n">
        <v>1</v>
      </c>
      <c r="E190" s="6" t="inlineStr">
        <is>
          <t>R1197185</t>
        </is>
      </c>
      <c r="F190" s="2" t="n">
        <v>44412</v>
      </c>
      <c r="G190" s="1" t="n"/>
    </row>
    <row r="191" ht="15.75" customHeight="1">
      <c r="A191" s="6" t="n">
        <v>11297</v>
      </c>
      <c r="B191" s="6" t="inlineStr">
        <is>
          <t>CROWN ROYAL</t>
        </is>
      </c>
      <c r="C191" s="7">
        <f>VLOOKUP(A191,SizeData!A$2:B$3839,2,FALSE)</f>
        <v/>
      </c>
      <c r="D191" s="6" t="n">
        <v>1</v>
      </c>
      <c r="E191" s="6" t="inlineStr">
        <is>
          <t>R1222253</t>
        </is>
      </c>
      <c r="F191" s="2" t="n">
        <v>44435</v>
      </c>
      <c r="G191" s="1" t="n"/>
    </row>
    <row r="192">
      <c r="A192" s="6" t="n">
        <v>11297</v>
      </c>
      <c r="B192" s="6" t="inlineStr">
        <is>
          <t>CROWN ROYAL</t>
        </is>
      </c>
      <c r="C192" s="7">
        <f>VLOOKUP(A192,SizeData!A$2:B$3839,2,FALSE)</f>
        <v/>
      </c>
      <c r="D192" s="6" t="n">
        <v>1</v>
      </c>
      <c r="E192" s="6" t="inlineStr">
        <is>
          <t>R1259107</t>
        </is>
      </c>
      <c r="F192" s="2" t="n">
        <v>44466</v>
      </c>
      <c r="G192" s="1" t="n"/>
    </row>
    <row r="193">
      <c r="A193" s="6" t="n">
        <v>11297</v>
      </c>
      <c r="B193" s="6" t="inlineStr">
        <is>
          <t>CROWN ROYAL</t>
        </is>
      </c>
      <c r="C193" s="7">
        <f>VLOOKUP(A193,SizeData!A$2:B$3839,2,FALSE)</f>
        <v/>
      </c>
      <c r="D193" s="6" t="n">
        <v>2</v>
      </c>
      <c r="E193" s="6" t="inlineStr">
        <is>
          <t>R1278339</t>
        </is>
      </c>
      <c r="F193" s="2" t="n">
        <v>44483</v>
      </c>
      <c r="G193" s="1" t="n"/>
    </row>
    <row r="194">
      <c r="A194" s="6" t="n">
        <v>11297</v>
      </c>
      <c r="B194" s="6" t="inlineStr">
        <is>
          <t>CROWN ROYAL</t>
        </is>
      </c>
      <c r="C194" s="7">
        <f>VLOOKUP(A194,SizeData!A$2:B$3839,2,FALSE)</f>
        <v/>
      </c>
      <c r="D194" s="6" t="n">
        <v>2</v>
      </c>
      <c r="E194" s="6" t="inlineStr">
        <is>
          <t>R1318356</t>
        </is>
      </c>
      <c r="F194" s="2" t="n">
        <v>44510</v>
      </c>
      <c r="G194" s="1" t="n"/>
    </row>
    <row r="195">
      <c r="A195" s="6" t="n">
        <v>11297</v>
      </c>
      <c r="B195" s="6" t="inlineStr">
        <is>
          <t>CROWN ROYAL</t>
        </is>
      </c>
      <c r="C195" s="7">
        <f>VLOOKUP(A195,SizeData!A$2:B$3839,2,FALSE)</f>
        <v/>
      </c>
      <c r="D195" s="6" t="n">
        <v>2</v>
      </c>
      <c r="E195" s="6" t="inlineStr">
        <is>
          <t>R1338918</t>
        </is>
      </c>
      <c r="F195" s="2" t="n">
        <v>44524</v>
      </c>
      <c r="G195" s="1" t="n"/>
    </row>
    <row r="196">
      <c r="A196" s="6" t="n">
        <v>11298</v>
      </c>
      <c r="B196" s="6" t="inlineStr">
        <is>
          <t>CROWN ROYAL</t>
        </is>
      </c>
      <c r="C196" s="7">
        <f>VLOOKUP(A196,SizeData!A$2:B$3839,2,FALSE)</f>
        <v/>
      </c>
      <c r="D196" s="6" t="n">
        <v>6</v>
      </c>
      <c r="E196" s="6" t="inlineStr">
        <is>
          <t>R1098857</t>
        </is>
      </c>
      <c r="F196" s="2" t="n">
        <v>44313</v>
      </c>
      <c r="G196" s="1" t="n"/>
    </row>
    <row r="197">
      <c r="A197" s="11" t="n">
        <v>11298</v>
      </c>
      <c r="B197" s="11" t="inlineStr">
        <is>
          <t>CROWN ROYAL</t>
        </is>
      </c>
      <c r="C197" s="7">
        <f>VLOOKUP(A197,SizeData!A$2:B$3839,2,FALSE)</f>
        <v/>
      </c>
      <c r="D197" s="11" t="n">
        <v>25</v>
      </c>
      <c r="E197" s="11" t="inlineStr">
        <is>
          <t>R1201409</t>
        </is>
      </c>
      <c r="F197" s="12" t="n">
        <v>44410</v>
      </c>
      <c r="G197" s="5" t="n"/>
    </row>
    <row r="198">
      <c r="A198" s="6" t="n">
        <v>11298</v>
      </c>
      <c r="B198" s="6" t="inlineStr">
        <is>
          <t>CROWN ROYAL</t>
        </is>
      </c>
      <c r="C198" s="7">
        <f>VLOOKUP(A198,SizeData!A$2:B$3839,2,FALSE)</f>
        <v/>
      </c>
      <c r="D198" s="6" t="n">
        <v>20</v>
      </c>
      <c r="E198" s="6" t="inlineStr">
        <is>
          <t>R1309020</t>
        </is>
      </c>
      <c r="F198" s="2" t="n">
        <v>44501</v>
      </c>
      <c r="G198" s="1" t="n"/>
    </row>
    <row r="199">
      <c r="A199" s="11" t="n">
        <v>11298</v>
      </c>
      <c r="B199" s="11" t="inlineStr">
        <is>
          <t>CROWN ROYAL</t>
        </is>
      </c>
      <c r="C199" s="7">
        <f>VLOOKUP(A199,SizeData!A$2:B$3839,2,FALSE)</f>
        <v/>
      </c>
      <c r="D199" s="11" t="n">
        <v>5</v>
      </c>
      <c r="E199" s="11" t="inlineStr">
        <is>
          <t>R1318356</t>
        </is>
      </c>
      <c r="F199" s="12" t="n">
        <v>44510</v>
      </c>
      <c r="G199" s="5" t="n"/>
    </row>
    <row r="200">
      <c r="A200" s="6" t="n">
        <v>11299</v>
      </c>
      <c r="B200" s="6" t="inlineStr">
        <is>
          <t>CROWN ROYAL</t>
        </is>
      </c>
      <c r="C200" s="7">
        <f>VLOOKUP(A200,SizeData!A$2:B$3839,2,FALSE)</f>
        <v/>
      </c>
      <c r="D200" s="6" t="n">
        <v>5</v>
      </c>
      <c r="E200" s="6" t="inlineStr">
        <is>
          <t>R997415</t>
        </is>
      </c>
      <c r="F200" s="2" t="n">
        <v>44203</v>
      </c>
      <c r="G200" s="1" t="n"/>
    </row>
    <row r="201">
      <c r="A201" s="11" t="n">
        <v>11299</v>
      </c>
      <c r="B201" s="11" t="inlineStr">
        <is>
          <t>CROWN ROYAL</t>
        </is>
      </c>
      <c r="C201" s="7">
        <f>VLOOKUP(A201,SizeData!A$2:B$3839,2,FALSE)</f>
        <v/>
      </c>
      <c r="D201" s="11" t="n">
        <v>6</v>
      </c>
      <c r="E201" s="11" t="inlineStr">
        <is>
          <t>R1038155</t>
        </is>
      </c>
      <c r="F201" s="12" t="n">
        <v>44257</v>
      </c>
      <c r="G201" s="5" t="n"/>
    </row>
    <row r="202">
      <c r="A202" s="6" t="n">
        <v>11299</v>
      </c>
      <c r="B202" s="6" t="inlineStr">
        <is>
          <t>CROWN ROYAL</t>
        </is>
      </c>
      <c r="C202" s="7">
        <f>VLOOKUP(A202,SizeData!A$2:B$3839,2,FALSE)</f>
        <v/>
      </c>
      <c r="D202" s="6" t="n">
        <v>10</v>
      </c>
      <c r="E202" s="6" t="inlineStr">
        <is>
          <t>R1214849</t>
        </is>
      </c>
      <c r="F202" s="2" t="n">
        <v>44432</v>
      </c>
      <c r="G202" s="1" t="n"/>
    </row>
    <row r="203">
      <c r="A203" s="6" t="n">
        <v>11299</v>
      </c>
      <c r="B203" s="6" t="inlineStr">
        <is>
          <t>CROWN ROYAL</t>
        </is>
      </c>
      <c r="C203" s="7">
        <f>VLOOKUP(A203,SizeData!A$2:B$3839,2,FALSE)</f>
        <v/>
      </c>
      <c r="D203" s="6" t="n">
        <v>2</v>
      </c>
      <c r="E203" s="6" t="inlineStr">
        <is>
          <t>R1245880</t>
        </is>
      </c>
      <c r="F203" s="2" t="n">
        <v>44453</v>
      </c>
      <c r="G203" s="1" t="n"/>
    </row>
    <row r="204">
      <c r="A204" s="6" t="n">
        <v>11299</v>
      </c>
      <c r="B204" s="6" t="inlineStr">
        <is>
          <t>CROWN ROYAL</t>
        </is>
      </c>
      <c r="C204" s="7">
        <f>VLOOKUP(A204,SizeData!A$2:B$3839,2,FALSE)</f>
        <v/>
      </c>
      <c r="D204" s="6" t="n">
        <v>2</v>
      </c>
      <c r="E204" s="6" t="inlineStr">
        <is>
          <t>R1305208</t>
        </is>
      </c>
      <c r="F204" s="2" t="n">
        <v>44488</v>
      </c>
      <c r="G204" s="1" t="n"/>
    </row>
    <row r="205">
      <c r="A205" s="6" t="n">
        <v>11326</v>
      </c>
      <c r="B205" s="6" t="inlineStr">
        <is>
          <t>SEAGRAM'S V O GOLD</t>
        </is>
      </c>
      <c r="C205" s="7">
        <f>VLOOKUP(A205,SizeData!A$2:B$3839,2,FALSE)</f>
        <v/>
      </c>
      <c r="D205" s="6" t="n">
        <v>1</v>
      </c>
      <c r="E205" s="6" t="inlineStr">
        <is>
          <t>R1047061</t>
        </is>
      </c>
      <c r="F205" s="2" t="n">
        <v>44259</v>
      </c>
      <c r="G205" s="1" t="n"/>
    </row>
    <row r="206">
      <c r="A206" s="6" t="n">
        <v>11344</v>
      </c>
      <c r="B206" s="6" t="inlineStr">
        <is>
          <t>SEAGRAM'S V O</t>
        </is>
      </c>
      <c r="C206" s="7">
        <f>VLOOKUP(A206,SizeData!A$2:B$3839,2,FALSE)</f>
        <v/>
      </c>
      <c r="D206" s="6" t="n">
        <v>1</v>
      </c>
      <c r="E206" s="6" t="inlineStr">
        <is>
          <t>R1008939</t>
        </is>
      </c>
      <c r="F206" s="2" t="n">
        <v>44220</v>
      </c>
      <c r="G206" s="1" t="n"/>
    </row>
    <row r="207">
      <c r="A207" s="6" t="n">
        <v>11348</v>
      </c>
      <c r="B207" s="6" t="inlineStr">
        <is>
          <t>SEAGRAM'S V O (PET)</t>
        </is>
      </c>
      <c r="C207" s="7">
        <f>VLOOKUP(A207,SizeData!A$2:B$3839,2,FALSE)</f>
        <v/>
      </c>
      <c r="D207" s="6" t="n">
        <v>1</v>
      </c>
      <c r="E207" s="6" t="inlineStr">
        <is>
          <t>R1066328</t>
        </is>
      </c>
      <c r="F207" s="2" t="n">
        <v>44267</v>
      </c>
      <c r="G207" s="1" t="n"/>
    </row>
    <row r="208">
      <c r="A208" s="6" t="n">
        <v>11348</v>
      </c>
      <c r="B208" s="6" t="inlineStr">
        <is>
          <t>SEAGRAM'S V O (PET)</t>
        </is>
      </c>
      <c r="C208" s="7">
        <f>VLOOKUP(A208,SizeData!A$2:B$3839,2,FALSE)</f>
        <v/>
      </c>
      <c r="D208" s="6" t="n">
        <v>1</v>
      </c>
      <c r="E208" s="6" t="inlineStr">
        <is>
          <t>R1228454</t>
        </is>
      </c>
      <c r="F208" s="2" t="n">
        <v>44445</v>
      </c>
      <c r="G208" s="1" t="n"/>
    </row>
    <row r="209">
      <c r="A209" s="6" t="n">
        <v>11364</v>
      </c>
      <c r="B209" s="6" t="inlineStr">
        <is>
          <t>CROWN ROYAL SPECIAL RESERVE</t>
        </is>
      </c>
      <c r="C209" s="7">
        <f>VLOOKUP(A209,SizeData!A$2:B$3839,2,FALSE)</f>
        <v/>
      </c>
      <c r="D209" s="6" t="n">
        <v>1</v>
      </c>
      <c r="E209" s="6" t="inlineStr">
        <is>
          <t>R1092907</t>
        </is>
      </c>
      <c r="F209" s="2" t="n">
        <v>44298</v>
      </c>
      <c r="G209" s="1" t="n"/>
    </row>
    <row r="210">
      <c r="A210" s="6" t="n">
        <v>11364</v>
      </c>
      <c r="B210" s="6" t="inlineStr">
        <is>
          <t>CROWN ROYAL SPECIAL RESERVE</t>
        </is>
      </c>
      <c r="C210" s="7">
        <f>VLOOKUP(A210,SizeData!A$2:B$3839,2,FALSE)</f>
        <v/>
      </c>
      <c r="D210" s="6" t="n">
        <v>3</v>
      </c>
      <c r="E210" s="6" t="inlineStr">
        <is>
          <t>R1210629</t>
        </is>
      </c>
      <c r="F210" s="2" t="n">
        <v>44420</v>
      </c>
      <c r="G210" s="1" t="n"/>
    </row>
    <row r="211">
      <c r="A211" s="6" t="n">
        <v>11366</v>
      </c>
      <c r="B211" s="6" t="inlineStr">
        <is>
          <t>CROWN ROYAL SPECIAL RESERVE</t>
        </is>
      </c>
      <c r="C211" s="7">
        <f>VLOOKUP(A211,SizeData!A$2:B$3839,2,FALSE)</f>
        <v/>
      </c>
      <c r="D211" s="6" t="n">
        <v>1</v>
      </c>
      <c r="E211" s="6" t="inlineStr">
        <is>
          <t>R1060153</t>
        </is>
      </c>
      <c r="F211" s="2" t="n">
        <v>44264</v>
      </c>
      <c r="G211" s="1" t="n"/>
    </row>
    <row r="212">
      <c r="A212" s="6" t="n">
        <v>11366</v>
      </c>
      <c r="B212" s="6" t="inlineStr">
        <is>
          <t>CROWN ROYAL SPECIAL RESERVE</t>
        </is>
      </c>
      <c r="C212" s="7">
        <f>VLOOKUP(A212,SizeData!A$2:B$3839,2,FALSE)</f>
        <v/>
      </c>
      <c r="D212" s="6" t="n">
        <v>1</v>
      </c>
      <c r="E212" s="6" t="inlineStr">
        <is>
          <t>R1092907</t>
        </is>
      </c>
      <c r="F212" s="2" t="n">
        <v>44298</v>
      </c>
      <c r="G212" s="1" t="n"/>
    </row>
    <row r="213">
      <c r="A213" s="6" t="n">
        <v>11366</v>
      </c>
      <c r="B213" s="6" t="inlineStr">
        <is>
          <t>CROWN ROYAL SPECIAL RESERVE</t>
        </is>
      </c>
      <c r="C213" s="7">
        <f>VLOOKUP(A213,SizeData!A$2:B$3839,2,FALSE)</f>
        <v/>
      </c>
      <c r="D213" s="6" t="n">
        <v>2</v>
      </c>
      <c r="E213" s="6" t="inlineStr">
        <is>
          <t>R1210629</t>
        </is>
      </c>
      <c r="F213" s="2" t="n">
        <v>44420</v>
      </c>
      <c r="G213" s="1" t="n"/>
    </row>
    <row r="214">
      <c r="A214" s="6" t="n">
        <v>11366</v>
      </c>
      <c r="B214" s="6" t="inlineStr">
        <is>
          <t>CROWN ROYAL SPECIAL RESERVE</t>
        </is>
      </c>
      <c r="C214" s="7">
        <f>VLOOKUP(A214,SizeData!A$2:B$3839,2,FALSE)</f>
        <v/>
      </c>
      <c r="D214" s="6" t="n">
        <v>1</v>
      </c>
      <c r="E214" s="6" t="inlineStr">
        <is>
          <t>R1261664</t>
        </is>
      </c>
      <c r="F214" s="2" t="n">
        <v>44467</v>
      </c>
      <c r="G214" s="1" t="n"/>
    </row>
    <row r="215">
      <c r="A215" s="6" t="n">
        <v>11588</v>
      </c>
      <c r="B215" s="6" t="inlineStr">
        <is>
          <t>BLACK VELVET RESERVE</t>
        </is>
      </c>
      <c r="C215" s="7">
        <f>VLOOKUP(A215,SizeData!A$2:B$3839,2,FALSE)</f>
        <v/>
      </c>
      <c r="D215" s="6" t="n">
        <v>2</v>
      </c>
      <c r="E215" s="6" t="inlineStr">
        <is>
          <t>R1050757</t>
        </is>
      </c>
      <c r="F215" s="2" t="n">
        <v>44258</v>
      </c>
      <c r="G215" s="1" t="n"/>
    </row>
    <row r="216">
      <c r="A216" s="6" t="n">
        <v>11588</v>
      </c>
      <c r="B216" s="6" t="inlineStr">
        <is>
          <t>BLACK VELVET RESERVE</t>
        </is>
      </c>
      <c r="C216" s="7">
        <f>VLOOKUP(A216,SizeData!A$2:B$3839,2,FALSE)</f>
        <v/>
      </c>
      <c r="D216" s="6" t="n">
        <v>2</v>
      </c>
      <c r="E216" s="6" t="inlineStr">
        <is>
          <t xml:space="preserve"> R1175360</t>
        </is>
      </c>
      <c r="F216" s="2" t="n">
        <v>44383</v>
      </c>
      <c r="G216" s="1" t="n"/>
    </row>
    <row r="217">
      <c r="A217" s="6" t="n">
        <v>11588</v>
      </c>
      <c r="B217" s="6" t="inlineStr">
        <is>
          <t>BLACK VELVET RESERVE</t>
        </is>
      </c>
      <c r="C217" s="7">
        <f>VLOOKUP(A217,SizeData!A$2:B$3839,2,FALSE)</f>
        <v/>
      </c>
      <c r="D217" s="6" t="n">
        <v>2</v>
      </c>
      <c r="E217" s="6" t="inlineStr">
        <is>
          <t>R1259983</t>
        </is>
      </c>
      <c r="F217" s="2" t="n">
        <v>44479</v>
      </c>
      <c r="G217" s="1" t="n"/>
    </row>
    <row r="218">
      <c r="A218" s="6" t="n">
        <v>11588</v>
      </c>
      <c r="B218" s="6" t="inlineStr">
        <is>
          <t>BLACK VELVET RESERVE</t>
        </is>
      </c>
      <c r="C218" s="7">
        <f>VLOOKUP(A218,SizeData!A$2:B$3839,2,FALSE)</f>
        <v/>
      </c>
      <c r="D218" s="6" t="n">
        <v>2</v>
      </c>
      <c r="E218" s="6" t="inlineStr">
        <is>
          <t>R1301804</t>
        </is>
      </c>
      <c r="F218" s="2" t="n">
        <v>44492</v>
      </c>
      <c r="G218" s="1" t="n"/>
    </row>
    <row r="219">
      <c r="A219" s="6" t="n">
        <v>11788</v>
      </c>
      <c r="B219" s="6" t="inlineStr">
        <is>
          <t>BLACK VELVET</t>
        </is>
      </c>
      <c r="C219" s="7">
        <f>VLOOKUP(A219,SizeData!A$2:B$3839,2,FALSE)</f>
        <v/>
      </c>
      <c r="D219" s="6" t="n">
        <v>1</v>
      </c>
      <c r="E219" s="6" t="inlineStr">
        <is>
          <t>R1056165</t>
        </is>
      </c>
      <c r="F219" s="2" t="n">
        <v>44266</v>
      </c>
      <c r="G219" s="1" t="n"/>
    </row>
    <row r="220">
      <c r="A220" s="6" t="n">
        <v>11788</v>
      </c>
      <c r="B220" s="6" t="inlineStr">
        <is>
          <t>BLACK VELVET</t>
        </is>
      </c>
      <c r="C220" s="7">
        <f>VLOOKUP(A220,SizeData!A$2:B$3839,2,FALSE)</f>
        <v/>
      </c>
      <c r="D220" s="6" t="n">
        <v>1</v>
      </c>
      <c r="E220" s="6" t="inlineStr">
        <is>
          <t>R1066328</t>
        </is>
      </c>
      <c r="F220" s="2" t="n">
        <v>44267</v>
      </c>
      <c r="G220" s="1" t="n"/>
    </row>
    <row r="221">
      <c r="A221" s="6" t="n">
        <v>12308</v>
      </c>
      <c r="B221" s="6" t="inlineStr">
        <is>
          <t>SEAGRAM'S CANADIAN HUNTER</t>
        </is>
      </c>
      <c r="C221" s="7">
        <f>VLOOKUP(A221,SizeData!A$2:B$3839,2,FALSE)</f>
        <v/>
      </c>
      <c r="D221" s="6" t="n">
        <v>1</v>
      </c>
      <c r="E221" s="6" t="inlineStr">
        <is>
          <t>R998453</t>
        </is>
      </c>
      <c r="F221" s="2" t="n">
        <v>44212</v>
      </c>
      <c r="G221" s="1" t="n"/>
    </row>
    <row r="222">
      <c r="A222" s="6" t="n">
        <v>12308</v>
      </c>
      <c r="B222" s="6" t="inlineStr">
        <is>
          <t>SEAGRAM'S CANADIAN HUNTER</t>
        </is>
      </c>
      <c r="C222" s="7">
        <f>VLOOKUP(A222,SizeData!A$2:B$3839,2,FALSE)</f>
        <v/>
      </c>
      <c r="D222" s="6" t="n">
        <v>1</v>
      </c>
      <c r="E222" s="6" t="inlineStr">
        <is>
          <t>R1028108</t>
        </is>
      </c>
      <c r="F222" s="2" t="n">
        <v>44229</v>
      </c>
      <c r="G222" s="1" t="n"/>
    </row>
    <row r="223">
      <c r="A223" s="6" t="n">
        <v>12463</v>
      </c>
      <c r="B223" s="6" t="inlineStr">
        <is>
          <t>CANADIAN MIST</t>
        </is>
      </c>
      <c r="C223" s="7">
        <f>VLOOKUP(A223,SizeData!A$2:B$3839,2,FALSE)</f>
        <v/>
      </c>
      <c r="D223" s="6" t="n">
        <v>1</v>
      </c>
      <c r="E223" s="6" t="inlineStr">
        <is>
          <t>R1085574</t>
        </is>
      </c>
      <c r="F223" s="2" t="n">
        <v>44288</v>
      </c>
      <c r="G223" s="1" t="n"/>
    </row>
    <row r="224">
      <c r="A224" s="6" t="n">
        <v>12464</v>
      </c>
      <c r="B224" s="6" t="inlineStr">
        <is>
          <t>CANADIAN MIST (PET)</t>
        </is>
      </c>
      <c r="C224" s="7">
        <f>VLOOKUP(A224,SizeData!A$2:B$3839,2,FALSE)</f>
        <v/>
      </c>
      <c r="D224" s="6" t="n">
        <v>1</v>
      </c>
      <c r="E224" s="6" t="inlineStr">
        <is>
          <t>R1124382</t>
        </is>
      </c>
      <c r="F224" s="2" t="n">
        <v>44347</v>
      </c>
      <c r="G224" s="1" t="n"/>
    </row>
    <row r="225">
      <c r="A225" s="6" t="n">
        <v>12464</v>
      </c>
      <c r="B225" s="6" t="inlineStr">
        <is>
          <t>CANADIAN MIST (PET)</t>
        </is>
      </c>
      <c r="C225" s="7">
        <f>VLOOKUP(A225,SizeData!A$2:B$3839,2,FALSE)</f>
        <v/>
      </c>
      <c r="D225" s="6" t="n">
        <v>1</v>
      </c>
      <c r="E225" s="6" t="inlineStr">
        <is>
          <t>R1235270</t>
        </is>
      </c>
      <c r="F225" s="2" t="n">
        <v>44440</v>
      </c>
      <c r="G225" s="1" t="n"/>
    </row>
    <row r="226">
      <c r="A226" s="6" t="n">
        <v>12464</v>
      </c>
      <c r="B226" s="6" t="inlineStr">
        <is>
          <t>CANADIAN MIST (PET)</t>
        </is>
      </c>
      <c r="C226" s="7">
        <f>VLOOKUP(A226,SizeData!A$2:B$3839,2,FALSE)</f>
        <v/>
      </c>
      <c r="D226" s="6" t="n">
        <v>2</v>
      </c>
      <c r="E226" s="6" t="inlineStr">
        <is>
          <t>R1236179</t>
        </is>
      </c>
      <c r="F226" s="2" t="n">
        <v>44443</v>
      </c>
      <c r="G226" s="1" t="n"/>
    </row>
    <row r="227">
      <c r="A227" s="6" t="n">
        <v>12476</v>
      </c>
      <c r="B227" s="6" t="inlineStr">
        <is>
          <t>CANADIAN MIST (PET)</t>
        </is>
      </c>
      <c r="C227" s="7">
        <f>VLOOKUP(A227,SizeData!A$2:B$3839,2,FALSE)</f>
        <v/>
      </c>
      <c r="D227" s="6" t="n">
        <v>1</v>
      </c>
      <c r="E227" s="6" t="inlineStr">
        <is>
          <t xml:space="preserve"> R1171903</t>
        </is>
      </c>
      <c r="F227" s="2" t="n">
        <v>44380</v>
      </c>
      <c r="G227" s="1" t="n"/>
    </row>
    <row r="228">
      <c r="A228" s="6" t="n">
        <v>12476</v>
      </c>
      <c r="B228" s="6" t="inlineStr">
        <is>
          <t>CANADIAN MIST (PET)</t>
        </is>
      </c>
      <c r="C228" s="7">
        <f>VLOOKUP(A228,SizeData!A$2:B$3839,2,FALSE)</f>
        <v/>
      </c>
      <c r="D228" s="6" t="n">
        <v>3</v>
      </c>
      <c r="E228" s="6" t="inlineStr">
        <is>
          <t>R1181307</t>
        </is>
      </c>
      <c r="F228" s="2" t="n">
        <v>44387</v>
      </c>
      <c r="G228" s="1" t="n"/>
    </row>
    <row r="229">
      <c r="A229" s="6" t="n">
        <v>12476</v>
      </c>
      <c r="B229" s="6" t="inlineStr">
        <is>
          <t>CANADIAN MIST (PET)</t>
        </is>
      </c>
      <c r="C229" s="7">
        <f>VLOOKUP(A229,SizeData!A$2:B$3839,2,FALSE)</f>
        <v/>
      </c>
      <c r="D229" s="6" t="n">
        <v>4</v>
      </c>
      <c r="E229" s="6" t="inlineStr">
        <is>
          <t>R1186244</t>
        </is>
      </c>
      <c r="F229" s="2" t="n">
        <v>44397</v>
      </c>
      <c r="G229" s="1" t="n"/>
    </row>
    <row r="230">
      <c r="A230" s="6" t="n">
        <v>12476</v>
      </c>
      <c r="B230" s="6" t="inlineStr">
        <is>
          <t>CANADIAN MIST (PET)</t>
        </is>
      </c>
      <c r="C230" s="7">
        <f>VLOOKUP(A230,SizeData!A$2:B$3839,2,FALSE)</f>
        <v/>
      </c>
      <c r="D230" s="6" t="n">
        <v>6</v>
      </c>
      <c r="E230" s="6" t="inlineStr">
        <is>
          <t>R1191670</t>
        </is>
      </c>
      <c r="F230" s="2" t="n">
        <v>44406</v>
      </c>
      <c r="G230" s="1" t="n"/>
    </row>
    <row r="231">
      <c r="A231" s="6" t="n">
        <v>12476</v>
      </c>
      <c r="B231" s="6" t="inlineStr">
        <is>
          <t>CANADIAN MIST (PET)</t>
        </is>
      </c>
      <c r="C231" s="7">
        <f>VLOOKUP(A231,SizeData!A$2:B$3839,2,FALSE)</f>
        <v/>
      </c>
      <c r="D231" s="6" t="n">
        <v>6</v>
      </c>
      <c r="E231" s="6" t="inlineStr">
        <is>
          <t>R1341373</t>
        </is>
      </c>
      <c r="F231" s="2" t="n">
        <v>44531</v>
      </c>
      <c r="G231" s="1" t="n"/>
    </row>
    <row r="232">
      <c r="A232" s="6" t="n">
        <v>12476</v>
      </c>
      <c r="B232" s="6" t="inlineStr">
        <is>
          <t>CANADIAN MIST (PET)</t>
        </is>
      </c>
      <c r="C232" s="7">
        <f>VLOOKUP(A232,SizeData!A$2:B$3839,2,FALSE)</f>
        <v/>
      </c>
      <c r="D232" s="6" t="n">
        <v>6</v>
      </c>
      <c r="E232" s="6" t="inlineStr">
        <is>
          <t>R1348404</t>
        </is>
      </c>
      <c r="F232" s="2" t="n">
        <v>44532</v>
      </c>
      <c r="G232" s="1" t="n"/>
    </row>
    <row r="233">
      <c r="A233" s="6" t="n">
        <v>12478</v>
      </c>
      <c r="B233" s="6" t="inlineStr">
        <is>
          <t>CANADIAN MIST EASY-POUR (PET)</t>
        </is>
      </c>
      <c r="C233" s="7">
        <f>VLOOKUP(A233,SizeData!A$2:B$3839,2,FALSE)</f>
        <v/>
      </c>
      <c r="D233" s="6" t="n">
        <v>5</v>
      </c>
      <c r="E233" s="6" t="inlineStr">
        <is>
          <t>R1066328</t>
        </is>
      </c>
      <c r="F233" s="2" t="n">
        <v>44267</v>
      </c>
      <c r="G233" s="1" t="n"/>
    </row>
    <row r="234">
      <c r="A234" s="6" t="n">
        <v>12478</v>
      </c>
      <c r="B234" s="6" t="inlineStr">
        <is>
          <t>CANADIAN MIST EASY-POUR (PET)</t>
        </is>
      </c>
      <c r="C234" s="7">
        <f>VLOOKUP(A234,SizeData!A$2:B$3839,2,FALSE)</f>
        <v/>
      </c>
      <c r="D234" s="6" t="n">
        <v>4</v>
      </c>
      <c r="E234" s="6" t="inlineStr">
        <is>
          <t>R1155060</t>
        </is>
      </c>
      <c r="F234" s="2" t="n">
        <v>44357</v>
      </c>
      <c r="G234" s="1" t="n"/>
    </row>
    <row r="235">
      <c r="A235" s="6" t="n">
        <v>12478</v>
      </c>
      <c r="B235" s="6" t="inlineStr">
        <is>
          <t>CANADIAN MIST EASY-POUR (PET)</t>
        </is>
      </c>
      <c r="C235" s="7">
        <f>VLOOKUP(A235,SizeData!A$2:B$3839,2,FALSE)</f>
        <v/>
      </c>
      <c r="D235" s="6" t="n">
        <v>1</v>
      </c>
      <c r="E235" s="6" t="inlineStr">
        <is>
          <t xml:space="preserve"> R1150892</t>
        </is>
      </c>
      <c r="F235" s="2" t="n">
        <v>44368</v>
      </c>
      <c r="G235" s="1" t="n"/>
    </row>
    <row r="236">
      <c r="A236" s="6" t="n">
        <v>12478</v>
      </c>
      <c r="B236" s="6" t="inlineStr">
        <is>
          <t>CANADIAN MIST EASY-POUR (PET)</t>
        </is>
      </c>
      <c r="C236" s="7">
        <f>VLOOKUP(A236,SizeData!A$2:B$3839,2,FALSE)</f>
        <v/>
      </c>
      <c r="D236" s="6" t="n">
        <v>3</v>
      </c>
      <c r="E236" s="6" t="inlineStr">
        <is>
          <t>R1166672</t>
        </is>
      </c>
      <c r="F236" s="2" t="n">
        <v>44375</v>
      </c>
      <c r="G236" s="1" t="n"/>
    </row>
    <row r="237">
      <c r="A237" s="6" t="n">
        <v>12478</v>
      </c>
      <c r="B237" s="6" t="inlineStr">
        <is>
          <t>CANADIAN MIST EASY-POUR (PET)</t>
        </is>
      </c>
      <c r="C237" s="7">
        <f>VLOOKUP(A237,SizeData!A$2:B$3839,2,FALSE)</f>
        <v/>
      </c>
      <c r="D237" s="6" t="n">
        <v>2</v>
      </c>
      <c r="E237" s="6" t="inlineStr">
        <is>
          <t>R1256874</t>
        </is>
      </c>
      <c r="F237" s="2" t="n">
        <v>44469</v>
      </c>
      <c r="G237" s="1" t="n"/>
    </row>
    <row r="238">
      <c r="A238" s="6" t="n">
        <v>12478</v>
      </c>
      <c r="B238" s="6" t="inlineStr">
        <is>
          <t>CANADIAN MIST EASY-POUR (PET)</t>
        </is>
      </c>
      <c r="C238" s="7">
        <f>VLOOKUP(A238,SizeData!A$2:B$3839,2,FALSE)</f>
        <v/>
      </c>
      <c r="D238" s="6" t="n">
        <v>1</v>
      </c>
      <c r="E238" s="6" t="inlineStr">
        <is>
          <t>R1273155</t>
        </is>
      </c>
      <c r="F238" s="2" t="n">
        <v>44480</v>
      </c>
      <c r="G238" s="1" t="n"/>
    </row>
    <row r="239">
      <c r="A239" s="6" t="n">
        <v>12478</v>
      </c>
      <c r="B239" s="6" t="inlineStr">
        <is>
          <t>CANADIAN MIST EASY-POUR (PET)</t>
        </is>
      </c>
      <c r="C239" s="7">
        <f>VLOOKUP(A239,SizeData!A$2:B$3839,2,FALSE)</f>
        <v/>
      </c>
      <c r="D239" s="6" t="n">
        <v>1</v>
      </c>
      <c r="E239" s="6" t="inlineStr">
        <is>
          <t>R1279880</t>
        </is>
      </c>
      <c r="F239" s="2" t="n">
        <v>44490</v>
      </c>
      <c r="G239" s="1" t="n"/>
    </row>
    <row r="240">
      <c r="A240" s="6" t="n">
        <v>12478</v>
      </c>
      <c r="B240" s="6" t="inlineStr">
        <is>
          <t>CANADIAN MIST EASY-POUR (PET)</t>
        </is>
      </c>
      <c r="C240" s="7">
        <f>VLOOKUP(A240,SizeData!A$2:B$3839,2,FALSE)</f>
        <v/>
      </c>
      <c r="D240" s="6" t="n">
        <v>2</v>
      </c>
      <c r="E240" s="6" t="inlineStr">
        <is>
          <t>R1301983</t>
        </is>
      </c>
      <c r="F240" s="2" t="n">
        <v>44501</v>
      </c>
      <c r="G240" s="1" t="n"/>
    </row>
    <row r="241">
      <c r="A241" s="6" t="n">
        <v>12478</v>
      </c>
      <c r="B241" s="6" t="inlineStr">
        <is>
          <t>CANADIAN MIST EASY-POUR (PET)</t>
        </is>
      </c>
      <c r="C241" s="7">
        <f>VLOOKUP(A241,SizeData!A$2:B$3839,2,FALSE)</f>
        <v/>
      </c>
      <c r="D241" s="6" t="n">
        <v>1</v>
      </c>
      <c r="E241" s="6" t="inlineStr">
        <is>
          <t>R1303685</t>
        </is>
      </c>
      <c r="F241" s="2" t="n">
        <v>44502</v>
      </c>
      <c r="G241" s="1" t="n"/>
    </row>
    <row r="242">
      <c r="A242" s="6" t="n">
        <v>12478</v>
      </c>
      <c r="B242" s="6" t="inlineStr">
        <is>
          <t>CANADIAN MIST EASY-POUR (PET)</t>
        </is>
      </c>
      <c r="C242" s="7">
        <f>VLOOKUP(A242,SizeData!A$2:B$3839,2,FALSE)</f>
        <v/>
      </c>
      <c r="D242" s="6" t="n">
        <v>8</v>
      </c>
      <c r="E242" s="6" t="inlineStr">
        <is>
          <t>R1330926</t>
        </is>
      </c>
      <c r="F242" s="2" t="n">
        <v>44515</v>
      </c>
      <c r="G242" s="1" t="n"/>
    </row>
    <row r="243">
      <c r="A243" s="6" t="n">
        <v>12478</v>
      </c>
      <c r="B243" s="6" t="inlineStr">
        <is>
          <t>CANADIAN MIST EASY-POUR (PET)</t>
        </is>
      </c>
      <c r="C243" s="7">
        <f>VLOOKUP(A243,SizeData!A$2:B$3839,2,FALSE)</f>
        <v/>
      </c>
      <c r="D243" s="6" t="n">
        <v>6</v>
      </c>
      <c r="E243" s="6" t="inlineStr">
        <is>
          <t>R1338918</t>
        </is>
      </c>
      <c r="F243" s="2" t="n">
        <v>44524</v>
      </c>
      <c r="G243" s="1" t="n"/>
    </row>
    <row r="244">
      <c r="A244" s="6" t="n">
        <v>12855</v>
      </c>
      <c r="B244" s="6" t="inlineStr">
        <is>
          <t>CANADIAN RICH AND RARE RESERVE</t>
        </is>
      </c>
      <c r="C244" s="7">
        <f>VLOOKUP(A244,SizeData!A$2:B$3839,2,FALSE)</f>
        <v/>
      </c>
      <c r="D244" s="6" t="n">
        <v>2</v>
      </c>
      <c r="E244" s="6" t="inlineStr">
        <is>
          <t>R991186</t>
        </is>
      </c>
      <c r="F244" s="2" t="n">
        <v>44203</v>
      </c>
      <c r="G244" s="1" t="n"/>
    </row>
    <row r="245">
      <c r="A245" s="6" t="n">
        <v>12855</v>
      </c>
      <c r="B245" s="6" t="inlineStr">
        <is>
          <t>CANADIAN RICH AND RARE RESERVE</t>
        </is>
      </c>
      <c r="C245" s="7">
        <f>VLOOKUP(A245,SizeData!A$2:B$3839,2,FALSE)</f>
        <v/>
      </c>
      <c r="D245" s="6" t="n">
        <v>3</v>
      </c>
      <c r="E245" s="6" t="inlineStr">
        <is>
          <t>R1000047</t>
        </is>
      </c>
      <c r="F245" s="2" t="n">
        <v>44207</v>
      </c>
      <c r="G245" s="1" t="n"/>
    </row>
    <row r="246">
      <c r="A246" s="6" t="n">
        <v>12855</v>
      </c>
      <c r="B246" s="6" t="inlineStr">
        <is>
          <t>CANADIAN RICH AND RARE RESERVE</t>
        </is>
      </c>
      <c r="C246" s="7">
        <f>VLOOKUP(A246,SizeData!A$2:B$3839,2,FALSE)</f>
        <v/>
      </c>
      <c r="D246" s="6" t="n">
        <v>5</v>
      </c>
      <c r="E246" s="6" t="inlineStr">
        <is>
          <t>R1010197</t>
        </is>
      </c>
      <c r="F246" s="2" t="n">
        <v>44214</v>
      </c>
      <c r="G246" s="1" t="n"/>
    </row>
    <row r="247">
      <c r="A247" s="6" t="n">
        <v>12855</v>
      </c>
      <c r="B247" s="6" t="inlineStr">
        <is>
          <t>CANADIAN RICH AND RARE RESERVE</t>
        </is>
      </c>
      <c r="C247" s="7">
        <f>VLOOKUP(A247,SizeData!A$2:B$3839,2,FALSE)</f>
        <v/>
      </c>
      <c r="D247" s="6" t="n">
        <v>5</v>
      </c>
      <c r="E247" s="6" t="inlineStr">
        <is>
          <t>R1013524</t>
        </is>
      </c>
      <c r="F247" s="2" t="n">
        <v>44229</v>
      </c>
      <c r="G247" s="1" t="n"/>
    </row>
    <row r="248">
      <c r="A248" s="6" t="n">
        <v>12855</v>
      </c>
      <c r="B248" s="6" t="inlineStr">
        <is>
          <t>CANADIAN RICH AND RARE RESERVE</t>
        </is>
      </c>
      <c r="C248" s="7">
        <f>VLOOKUP(A248,SizeData!A$2:B$3839,2,FALSE)</f>
        <v/>
      </c>
      <c r="D248" s="6" t="n">
        <v>10</v>
      </c>
      <c r="E248" s="6" t="inlineStr">
        <is>
          <t>R1030777</t>
        </is>
      </c>
      <c r="F248" s="2" t="n">
        <v>44238</v>
      </c>
      <c r="G248" s="1" t="n"/>
    </row>
    <row r="249">
      <c r="A249" s="6" t="n">
        <v>12855</v>
      </c>
      <c r="B249" s="6" t="inlineStr">
        <is>
          <t>CANADIAN RICH AND RARE RESERVE</t>
        </is>
      </c>
      <c r="C249" s="7">
        <f>VLOOKUP(A249,SizeData!A$2:B$3839,2,FALSE)</f>
        <v/>
      </c>
      <c r="D249" s="6" t="n">
        <v>10</v>
      </c>
      <c r="E249" s="6" t="inlineStr">
        <is>
          <t>R1035997</t>
        </is>
      </c>
      <c r="F249" s="2" t="n">
        <v>44252</v>
      </c>
      <c r="G249" s="1" t="n"/>
    </row>
    <row r="250">
      <c r="A250" s="6" t="n">
        <v>12855</v>
      </c>
      <c r="B250" s="6" t="inlineStr">
        <is>
          <t>CANADIAN RICH AND RARE RESERVE</t>
        </is>
      </c>
      <c r="C250" s="7">
        <f>VLOOKUP(A250,SizeData!A$2:B$3839,2,FALSE)</f>
        <v/>
      </c>
      <c r="D250" s="6" t="n">
        <v>3</v>
      </c>
      <c r="E250" s="6" t="inlineStr">
        <is>
          <t>R1070393</t>
        </is>
      </c>
      <c r="F250" s="2" t="n">
        <v>44280</v>
      </c>
      <c r="G250" s="1" t="n"/>
    </row>
    <row r="251">
      <c r="A251" s="6" t="n">
        <v>12855</v>
      </c>
      <c r="B251" s="6" t="inlineStr">
        <is>
          <t>CANADIAN RICH AND RARE RESERVE</t>
        </is>
      </c>
      <c r="C251" s="7">
        <f>VLOOKUP(A251,SizeData!A$2:B$3839,2,FALSE)</f>
        <v/>
      </c>
      <c r="D251" s="6" t="n">
        <v>4</v>
      </c>
      <c r="E251" s="6" t="inlineStr">
        <is>
          <t>R1059176</t>
        </is>
      </c>
      <c r="F251" s="2" t="n">
        <v>44281</v>
      </c>
      <c r="G251" s="1" t="n"/>
    </row>
    <row r="252">
      <c r="A252" s="6" t="n">
        <v>12855</v>
      </c>
      <c r="B252" s="6" t="inlineStr">
        <is>
          <t>CANADIAN RICH AND RARE RESERVE</t>
        </is>
      </c>
      <c r="C252" s="7">
        <f>VLOOKUP(A252,SizeData!A$2:B$3839,2,FALSE)</f>
        <v/>
      </c>
      <c r="D252" s="6" t="n">
        <v>3</v>
      </c>
      <c r="E252" s="6" t="inlineStr">
        <is>
          <t xml:space="preserve"> R1079980</t>
        </is>
      </c>
      <c r="F252" s="2" t="n">
        <v>44302</v>
      </c>
      <c r="G252" s="1" t="n"/>
    </row>
    <row r="253">
      <c r="A253" s="6" t="n">
        <v>12855</v>
      </c>
      <c r="B253" s="6" t="inlineStr">
        <is>
          <t>CANADIAN RICH AND RARE RESERVE</t>
        </is>
      </c>
      <c r="C253" s="7">
        <f>VLOOKUP(A253,SizeData!A$2:B$3839,2,FALSE)</f>
        <v/>
      </c>
      <c r="D253" s="6" t="n">
        <v>2</v>
      </c>
      <c r="E253" s="6" t="inlineStr">
        <is>
          <t>R1110509</t>
        </is>
      </c>
      <c r="F253" s="2" t="n">
        <v>44306</v>
      </c>
      <c r="G253" s="1" t="n"/>
    </row>
    <row r="254">
      <c r="A254" s="6" t="n">
        <v>12855</v>
      </c>
      <c r="B254" s="6" t="inlineStr">
        <is>
          <t>CANADIAN RICH AND RARE RESERVE</t>
        </is>
      </c>
      <c r="C254" s="7">
        <f>VLOOKUP(A254,SizeData!A$2:B$3839,2,FALSE)</f>
        <v/>
      </c>
      <c r="D254" s="6" t="n">
        <v>4</v>
      </c>
      <c r="E254" s="6" t="inlineStr">
        <is>
          <t>R1099905</t>
        </is>
      </c>
      <c r="F254" s="2" t="n">
        <v>44310</v>
      </c>
      <c r="G254" s="1" t="n"/>
    </row>
    <row r="255">
      <c r="A255" s="6" t="n">
        <v>12855</v>
      </c>
      <c r="B255" s="6" t="inlineStr">
        <is>
          <t>CANADIAN RICH AND RARE RESERVE</t>
        </is>
      </c>
      <c r="C255" s="7">
        <f>VLOOKUP(A255,SizeData!A$2:B$3839,2,FALSE)</f>
        <v/>
      </c>
      <c r="D255" s="6" t="n">
        <v>5</v>
      </c>
      <c r="E255" s="6" t="inlineStr">
        <is>
          <t>R1108792</t>
        </is>
      </c>
      <c r="F255" s="2" t="n">
        <v>44322</v>
      </c>
      <c r="G255" s="1" t="n"/>
    </row>
    <row r="256">
      <c r="A256" s="6" t="n">
        <v>12855</v>
      </c>
      <c r="B256" s="6" t="inlineStr">
        <is>
          <t>CANADIAN RICH AND RARE RESERVE</t>
        </is>
      </c>
      <c r="C256" s="7">
        <f>VLOOKUP(A256,SizeData!A$2:B$3839,2,FALSE)</f>
        <v/>
      </c>
      <c r="D256" s="6" t="n">
        <v>2</v>
      </c>
      <c r="E256" s="6" t="inlineStr">
        <is>
          <t>R1119203</t>
        </is>
      </c>
      <c r="F256" s="2" t="n">
        <v>44327</v>
      </c>
      <c r="G256" s="1" t="n"/>
    </row>
    <row r="257">
      <c r="A257" s="6" t="n">
        <v>12855</v>
      </c>
      <c r="B257" s="6" t="inlineStr">
        <is>
          <t>CANADIAN RICH AND RARE RESERVE</t>
        </is>
      </c>
      <c r="C257" s="7">
        <f>VLOOKUP(A257,SizeData!A$2:B$3839,2,FALSE)</f>
        <v/>
      </c>
      <c r="D257" s="6" t="n">
        <v>2</v>
      </c>
      <c r="E257" s="6" t="inlineStr">
        <is>
          <t>R1127047</t>
        </is>
      </c>
      <c r="F257" s="2" t="n">
        <v>44333</v>
      </c>
      <c r="G257" s="1" t="n"/>
    </row>
    <row r="258">
      <c r="A258" s="6" t="n">
        <v>12855</v>
      </c>
      <c r="B258" s="6" t="inlineStr">
        <is>
          <t>CANADIAN RICH AND RARE RESERVE</t>
        </is>
      </c>
      <c r="C258" s="7">
        <f>VLOOKUP(A258,SizeData!A$2:B$3839,2,FALSE)</f>
        <v/>
      </c>
      <c r="D258" s="6" t="n">
        <v>2</v>
      </c>
      <c r="E258" s="6" t="inlineStr">
        <is>
          <t>R1131905</t>
        </is>
      </c>
      <c r="F258" s="2" t="n">
        <v>44340</v>
      </c>
      <c r="G258" s="1" t="n"/>
    </row>
    <row r="259">
      <c r="A259" s="6" t="n">
        <v>12855</v>
      </c>
      <c r="B259" s="6" t="inlineStr">
        <is>
          <t>CANADIAN RICH AND RARE RESERVE</t>
        </is>
      </c>
      <c r="C259" s="7">
        <f>VLOOKUP(A259,SizeData!A$2:B$3839,2,FALSE)</f>
        <v/>
      </c>
      <c r="D259" s="6" t="n">
        <v>2</v>
      </c>
      <c r="E259" s="6" t="inlineStr">
        <is>
          <t>R1136630</t>
        </is>
      </c>
      <c r="F259" s="2" t="n">
        <v>44341</v>
      </c>
      <c r="G259" s="1" t="n"/>
    </row>
    <row r="260">
      <c r="A260" s="6" t="n">
        <v>12855</v>
      </c>
      <c r="B260" s="6" t="inlineStr">
        <is>
          <t>CANADIAN RICH AND RARE RESERVE</t>
        </is>
      </c>
      <c r="C260" s="7">
        <f>VLOOKUP(A260,SizeData!A$2:B$3839,2,FALSE)</f>
        <v/>
      </c>
      <c r="D260" s="6" t="n">
        <v>2</v>
      </c>
      <c r="E260" s="6" t="inlineStr">
        <is>
          <t>R1129655</t>
        </is>
      </c>
      <c r="F260" s="2" t="n">
        <v>44347</v>
      </c>
      <c r="G260" s="1" t="n"/>
    </row>
    <row r="261">
      <c r="A261" s="6" t="n">
        <v>12855</v>
      </c>
      <c r="B261" s="6" t="inlineStr">
        <is>
          <t>CANADIAN RICH AND RARE RESERVE</t>
        </is>
      </c>
      <c r="C261" s="7">
        <f>VLOOKUP(A261,SizeData!A$2:B$3839,2,FALSE)</f>
        <v/>
      </c>
      <c r="D261" s="6" t="n">
        <v>2</v>
      </c>
      <c r="E261" s="6" t="inlineStr">
        <is>
          <t>R1139712</t>
        </is>
      </c>
      <c r="F261" s="2" t="n">
        <v>44352</v>
      </c>
      <c r="G261" s="1" t="n"/>
    </row>
    <row r="262">
      <c r="A262" s="6" t="n">
        <v>12855</v>
      </c>
      <c r="B262" s="6" t="inlineStr">
        <is>
          <t>CANADIAN RICH AND RARE RESERVE</t>
        </is>
      </c>
      <c r="C262" s="7">
        <f>VLOOKUP(A262,SizeData!A$2:B$3839,2,FALSE)</f>
        <v/>
      </c>
      <c r="D262" s="6" t="n">
        <v>3</v>
      </c>
      <c r="E262" s="6" t="inlineStr">
        <is>
          <t>R1134134</t>
        </is>
      </c>
      <c r="F262" s="2" t="n">
        <v>44354</v>
      </c>
      <c r="G262" s="1" t="n"/>
    </row>
    <row r="263">
      <c r="A263" s="6" t="n">
        <v>12855</v>
      </c>
      <c r="B263" s="6" t="inlineStr">
        <is>
          <t>CANADIAN RICH AND RARE RESERVE</t>
        </is>
      </c>
      <c r="C263" s="7">
        <f>VLOOKUP(A263,SizeData!A$2:B$3839,2,FALSE)</f>
        <v/>
      </c>
      <c r="D263" s="6" t="n">
        <v>2</v>
      </c>
      <c r="E263" s="6" t="inlineStr">
        <is>
          <t>R1151004</t>
        </is>
      </c>
      <c r="F263" s="2" t="n">
        <v>44358</v>
      </c>
      <c r="G263" s="1" t="n"/>
    </row>
    <row r="264">
      <c r="A264" s="6" t="n">
        <v>12855</v>
      </c>
      <c r="B264" s="6" t="inlineStr">
        <is>
          <t>CANADIAN RICH AND RARE RESERVE</t>
        </is>
      </c>
      <c r="C264" s="7">
        <f>VLOOKUP(A264,SizeData!A$2:B$3839,2,FALSE)</f>
        <v/>
      </c>
      <c r="D264" s="6" t="n">
        <v>2</v>
      </c>
      <c r="E264" s="6" t="inlineStr">
        <is>
          <t>R1147055</t>
        </is>
      </c>
      <c r="F264" s="2" t="n">
        <v>44361</v>
      </c>
      <c r="G264" s="1" t="n"/>
    </row>
    <row r="265">
      <c r="A265" s="6" t="n">
        <v>12855</v>
      </c>
      <c r="B265" s="6" t="inlineStr">
        <is>
          <t>CANADIAN RICH AND RARE RESERVE</t>
        </is>
      </c>
      <c r="C265" s="7">
        <f>VLOOKUP(A265,SizeData!A$2:B$3839,2,FALSE)</f>
        <v/>
      </c>
      <c r="D265" s="6" t="n">
        <v>3</v>
      </c>
      <c r="E265" s="6" t="inlineStr">
        <is>
          <t>R1143298</t>
        </is>
      </c>
      <c r="F265" s="2" t="n">
        <v>44364</v>
      </c>
      <c r="G265" s="1" t="n"/>
    </row>
    <row r="266">
      <c r="A266" s="6" t="n">
        <v>12855</v>
      </c>
      <c r="B266" s="6" t="inlineStr">
        <is>
          <t>CANADIAN RICH AND RARE RESERVE</t>
        </is>
      </c>
      <c r="C266" s="7">
        <f>VLOOKUP(A266,SizeData!A$2:B$3839,2,FALSE)</f>
        <v/>
      </c>
      <c r="D266" s="6" t="n">
        <v>6</v>
      </c>
      <c r="E266" s="6" t="inlineStr">
        <is>
          <t>R1150887</t>
        </is>
      </c>
      <c r="F266" s="2" t="n">
        <v>44366</v>
      </c>
      <c r="G266" s="1" t="n"/>
    </row>
    <row r="267">
      <c r="A267" s="6" t="n">
        <v>12855</v>
      </c>
      <c r="B267" s="6" t="inlineStr">
        <is>
          <t>CANADIAN RICH AND RARE RESERVE</t>
        </is>
      </c>
      <c r="C267" s="7">
        <f>VLOOKUP(A267,SizeData!A$2:B$3839,2,FALSE)</f>
        <v/>
      </c>
      <c r="D267" s="6" t="n">
        <v>2</v>
      </c>
      <c r="E267" s="6" t="inlineStr">
        <is>
          <t>R1161476</t>
        </is>
      </c>
      <c r="F267" s="2" t="n">
        <v>44372</v>
      </c>
      <c r="G267" s="1" t="n"/>
    </row>
    <row r="268">
      <c r="A268" s="6" t="n">
        <v>12855</v>
      </c>
      <c r="B268" s="6" t="inlineStr">
        <is>
          <t>CANADIAN RICH AND RARE RESERVE</t>
        </is>
      </c>
      <c r="C268" s="7">
        <f>VLOOKUP(A268,SizeData!A$2:B$3839,2,FALSE)</f>
        <v/>
      </c>
      <c r="D268" s="6" t="n">
        <v>2</v>
      </c>
      <c r="E268" s="6" t="inlineStr">
        <is>
          <t xml:space="preserve"> R1161087</t>
        </is>
      </c>
      <c r="F268" s="2" t="n">
        <v>44373</v>
      </c>
      <c r="G268" s="1" t="n"/>
    </row>
    <row r="269">
      <c r="A269" s="6" t="n">
        <v>12855</v>
      </c>
      <c r="B269" s="6" t="inlineStr">
        <is>
          <t>CANADIAN RICH AND RARE RESERVE</t>
        </is>
      </c>
      <c r="C269" s="7">
        <f>VLOOKUP(A269,SizeData!A$2:B$3839,2,FALSE)</f>
        <v/>
      </c>
      <c r="D269" s="6" t="n">
        <v>10</v>
      </c>
      <c r="E269" s="6" t="inlineStr">
        <is>
          <t>R1219842</t>
        </is>
      </c>
      <c r="F269" s="2" t="n">
        <v>44434</v>
      </c>
      <c r="G269" s="1" t="n"/>
    </row>
    <row r="270">
      <c r="A270" s="6" t="n">
        <v>12855</v>
      </c>
      <c r="B270" s="6" t="inlineStr">
        <is>
          <t>CANADIAN RICH AND RARE RESERVE</t>
        </is>
      </c>
      <c r="C270" s="7">
        <f>VLOOKUP(A270,SizeData!A$2:B$3839,2,FALSE)</f>
        <v/>
      </c>
      <c r="D270" s="6" t="n">
        <v>3</v>
      </c>
      <c r="E270" s="6" t="inlineStr">
        <is>
          <t>R1222261</t>
        </is>
      </c>
      <c r="F270" s="2" t="n">
        <v>44438</v>
      </c>
      <c r="G270" s="1" t="n"/>
    </row>
    <row r="271">
      <c r="A271" s="6" t="n">
        <v>12855</v>
      </c>
      <c r="B271" s="6" t="inlineStr">
        <is>
          <t>CANADIAN RICH AND RARE RESERVE</t>
        </is>
      </c>
      <c r="C271" s="7">
        <f>VLOOKUP(A271,SizeData!A$2:B$3839,2,FALSE)</f>
        <v/>
      </c>
      <c r="D271" s="6" t="n">
        <v>5</v>
      </c>
      <c r="E271" s="6" t="inlineStr">
        <is>
          <t>R1265540</t>
        </is>
      </c>
      <c r="F271" s="2" t="n">
        <v>44459</v>
      </c>
      <c r="G271" s="1" t="n"/>
    </row>
    <row r="272">
      <c r="A272" s="6" t="n">
        <v>12855</v>
      </c>
      <c r="B272" s="6" t="inlineStr">
        <is>
          <t>CANADIAN RICH AND RARE RESERVE</t>
        </is>
      </c>
      <c r="C272" s="7">
        <f>VLOOKUP(A272,SizeData!A$2:B$3839,2,FALSE)</f>
        <v/>
      </c>
      <c r="D272" s="6" t="n">
        <v>4</v>
      </c>
      <c r="E272" s="6" t="inlineStr">
        <is>
          <t>R1246388</t>
        </is>
      </c>
      <c r="F272" s="2" t="n">
        <v>44460</v>
      </c>
      <c r="G272" s="1" t="n"/>
    </row>
    <row r="273">
      <c r="A273" s="6" t="n">
        <v>12855</v>
      </c>
      <c r="B273" s="6" t="inlineStr">
        <is>
          <t>CANADIAN RICH AND RARE RESERVE</t>
        </is>
      </c>
      <c r="C273" s="7">
        <f>VLOOKUP(A273,SizeData!A$2:B$3839,2,FALSE)</f>
        <v/>
      </c>
      <c r="D273" s="6" t="n">
        <v>0</v>
      </c>
      <c r="E273" s="6" t="inlineStr">
        <is>
          <t>R1275922</t>
        </is>
      </c>
      <c r="F273" s="2" t="n">
        <v>44474</v>
      </c>
      <c r="G273" s="1" t="n"/>
    </row>
    <row r="274">
      <c r="A274" s="6" t="n">
        <v>12855</v>
      </c>
      <c r="B274" s="6" t="inlineStr">
        <is>
          <t>CANADIAN RICH AND RARE RESERVE</t>
        </is>
      </c>
      <c r="C274" s="7">
        <f>VLOOKUP(A274,SizeData!A$2:B$3839,2,FALSE)</f>
        <v/>
      </c>
      <c r="D274" s="6" t="n">
        <v>0</v>
      </c>
      <c r="E274" s="6" t="inlineStr">
        <is>
          <t>R1263473</t>
        </is>
      </c>
      <c r="F274" s="2" t="n">
        <v>44475</v>
      </c>
      <c r="G274" s="1" t="n"/>
    </row>
    <row r="275">
      <c r="A275" s="6" t="n">
        <v>12855</v>
      </c>
      <c r="B275" s="6" t="inlineStr">
        <is>
          <t>CANADIAN RICH AND RARE RESERVE</t>
        </is>
      </c>
      <c r="C275" s="7">
        <f>VLOOKUP(A275,SizeData!A$2:B$3839,2,FALSE)</f>
        <v/>
      </c>
      <c r="D275" s="6" t="n">
        <v>10</v>
      </c>
      <c r="E275" s="6" t="inlineStr">
        <is>
          <t>R1282496</t>
        </is>
      </c>
      <c r="F275" s="2" t="n">
        <v>44489</v>
      </c>
      <c r="G275" s="1" t="n"/>
    </row>
    <row r="276">
      <c r="A276" s="6" t="n">
        <v>12855</v>
      </c>
      <c r="B276" s="6" t="inlineStr">
        <is>
          <t>CANADIAN RICH AND RARE RESERVE</t>
        </is>
      </c>
      <c r="C276" s="7">
        <f>VLOOKUP(A276,SizeData!A$2:B$3839,2,FALSE)</f>
        <v/>
      </c>
      <c r="D276" s="6" t="n">
        <v>1</v>
      </c>
      <c r="E276" s="6" t="inlineStr">
        <is>
          <t>R1295879</t>
        </is>
      </c>
      <c r="F276" s="2" t="n">
        <v>44494</v>
      </c>
      <c r="G276" s="1" t="n"/>
    </row>
    <row r="277">
      <c r="A277" s="6" t="n">
        <v>12855</v>
      </c>
      <c r="B277" s="6" t="inlineStr">
        <is>
          <t>CANADIAN RICH AND RARE RESERVE</t>
        </is>
      </c>
      <c r="C277" s="7">
        <f>VLOOKUP(A277,SizeData!A$2:B$3839,2,FALSE)</f>
        <v/>
      </c>
      <c r="D277" s="6" t="n">
        <v>10</v>
      </c>
      <c r="E277" s="6" t="inlineStr">
        <is>
          <t>R1337577</t>
        </is>
      </c>
      <c r="F277" s="2" t="n">
        <v>44529</v>
      </c>
      <c r="G277" s="1" t="n"/>
    </row>
    <row r="278">
      <c r="A278" s="6" t="n">
        <v>12855</v>
      </c>
      <c r="B278" s="6" t="inlineStr">
        <is>
          <t>CANADIAN RICH AND RARE RESERVE</t>
        </is>
      </c>
      <c r="C278" s="7">
        <f>VLOOKUP(A278,SizeData!A$2:B$3839,2,FALSE)</f>
        <v/>
      </c>
      <c r="D278" s="6" t="n">
        <v>1</v>
      </c>
      <c r="E278" s="6" t="inlineStr">
        <is>
          <t>R1346031</t>
        </is>
      </c>
      <c r="F278" s="2" t="n">
        <v>44529</v>
      </c>
      <c r="G278" s="1" t="n"/>
    </row>
    <row r="279">
      <c r="A279" s="6" t="n">
        <v>12858</v>
      </c>
      <c r="B279" s="6" t="inlineStr">
        <is>
          <t>CANADIAN RICH &amp; RARE RESERVE</t>
        </is>
      </c>
      <c r="C279" s="7">
        <f>VLOOKUP(A279,SizeData!A$2:B$3839,2,FALSE)</f>
        <v/>
      </c>
      <c r="D279" s="6" t="n">
        <v>10</v>
      </c>
      <c r="E279" s="6" t="inlineStr">
        <is>
          <t>R1041681</t>
        </is>
      </c>
      <c r="F279" s="2" t="n">
        <v>44258</v>
      </c>
      <c r="G279" s="1" t="n"/>
    </row>
    <row r="280">
      <c r="A280" s="6" t="n">
        <v>12858</v>
      </c>
      <c r="B280" s="6" t="inlineStr">
        <is>
          <t>CANADIAN RICH &amp; RARE RESERVE</t>
        </is>
      </c>
      <c r="C280" s="7">
        <f>VLOOKUP(A280,SizeData!A$2:B$3839,2,FALSE)</f>
        <v/>
      </c>
      <c r="D280" s="6" t="n">
        <v>5</v>
      </c>
      <c r="E280" s="6" t="inlineStr">
        <is>
          <t>R1048898</t>
        </is>
      </c>
      <c r="F280" s="2" t="n">
        <v>44266</v>
      </c>
      <c r="G280" s="1" t="n"/>
    </row>
    <row r="281">
      <c r="A281" s="6" t="n">
        <v>12858</v>
      </c>
      <c r="B281" s="6" t="inlineStr">
        <is>
          <t>CANADIAN RICH &amp; RARE RESERVE</t>
        </is>
      </c>
      <c r="C281" s="7">
        <f>VLOOKUP(A281,SizeData!A$2:B$3839,2,FALSE)</f>
        <v/>
      </c>
      <c r="D281" s="6" t="n">
        <v>2</v>
      </c>
      <c r="E281" s="6" t="inlineStr">
        <is>
          <t>R1152585</t>
        </is>
      </c>
      <c r="F281" s="2" t="n">
        <v>44372</v>
      </c>
      <c r="G281" s="1" t="n"/>
    </row>
    <row r="282">
      <c r="A282" s="6" t="n">
        <v>12858</v>
      </c>
      <c r="B282" s="6" t="inlineStr">
        <is>
          <t>CANADIAN RICH &amp; RARE RESERVE</t>
        </is>
      </c>
      <c r="C282" s="7">
        <f>VLOOKUP(A282,SizeData!A$2:B$3839,2,FALSE)</f>
        <v/>
      </c>
      <c r="D282" s="6" t="n">
        <v>4</v>
      </c>
      <c r="E282" s="6" t="inlineStr">
        <is>
          <t>R1206028</t>
        </is>
      </c>
      <c r="F282" s="2" t="n">
        <v>44417</v>
      </c>
      <c r="G282" s="1" t="n"/>
      <c r="H282" s="8" t="n"/>
      <c r="I282" s="9" t="n"/>
    </row>
    <row r="283">
      <c r="A283" s="6" t="n">
        <v>12858</v>
      </c>
      <c r="B283" s="6" t="inlineStr">
        <is>
          <t>CANADIAN RICH &amp; RARE RESERVE</t>
        </is>
      </c>
      <c r="C283" s="7">
        <f>VLOOKUP(A283,SizeData!A$2:B$3839,2,FALSE)</f>
        <v/>
      </c>
      <c r="D283" s="6" t="n">
        <v>10</v>
      </c>
      <c r="E283" s="6" t="inlineStr">
        <is>
          <t>R1235270</t>
        </is>
      </c>
      <c r="F283" s="2" t="n">
        <v>44440</v>
      </c>
      <c r="G283" s="1" t="n"/>
    </row>
    <row r="284">
      <c r="A284" s="6" t="n">
        <v>12858</v>
      </c>
      <c r="B284" s="6" t="inlineStr">
        <is>
          <t>CANADIAN RICH &amp; RARE RESERVE</t>
        </is>
      </c>
      <c r="C284" s="7">
        <f>VLOOKUP(A284,SizeData!A$2:B$3839,2,FALSE)</f>
        <v/>
      </c>
      <c r="D284" s="6" t="n">
        <v>10</v>
      </c>
      <c r="E284" s="6" t="inlineStr">
        <is>
          <t>R1231184</t>
        </is>
      </c>
      <c r="F284" s="2" t="n">
        <v>44443</v>
      </c>
      <c r="G284" s="1" t="n"/>
      <c r="H284" s="10" t="n"/>
      <c r="I284" s="10" t="n"/>
    </row>
    <row r="285">
      <c r="A285" s="6" t="n">
        <v>12872</v>
      </c>
      <c r="B285" s="6" t="inlineStr">
        <is>
          <t>RICH &amp; RARE PEACH</t>
        </is>
      </c>
      <c r="C285" s="7">
        <f>VLOOKUP(A285,SizeData!A$2:B$3839,2,FALSE)</f>
        <v/>
      </c>
      <c r="D285" s="6" t="n">
        <v>1</v>
      </c>
      <c r="E285" s="6" t="inlineStr">
        <is>
          <t>R1273155</t>
        </is>
      </c>
      <c r="F285" s="2" t="n">
        <v>44480</v>
      </c>
      <c r="G285" s="1" t="n"/>
      <c r="H285" s="10" t="n"/>
      <c r="I285" s="13" t="n"/>
    </row>
    <row r="286">
      <c r="A286" s="6" t="n">
        <v>12880</v>
      </c>
      <c r="B286" s="6" t="inlineStr">
        <is>
          <t>CANADIAN RICH &amp; RARE (PET)</t>
        </is>
      </c>
      <c r="C286" s="7">
        <f>VLOOKUP(A286,SizeData!A$2:B$3839,2,FALSE)</f>
        <v/>
      </c>
      <c r="D286" s="6" t="n">
        <v>1</v>
      </c>
      <c r="E286" s="6" t="inlineStr">
        <is>
          <t>R1072840</t>
        </is>
      </c>
      <c r="F286" s="2" t="n">
        <v>44286</v>
      </c>
      <c r="G286" s="1" t="n"/>
      <c r="H286" s="10" t="n"/>
      <c r="I286" s="10" t="inlineStr">
        <is>
          <t> </t>
        </is>
      </c>
    </row>
    <row r="287">
      <c r="A287" s="6" t="n">
        <v>12880</v>
      </c>
      <c r="B287" s="6" t="inlineStr">
        <is>
          <t>CANADIAN RICH &amp; RARE (PET)</t>
        </is>
      </c>
      <c r="C287" s="7">
        <f>VLOOKUP(A287,SizeData!A$2:B$3839,2,FALSE)</f>
        <v/>
      </c>
      <c r="D287" s="6" t="n">
        <v>1</v>
      </c>
      <c r="E287" s="6" t="inlineStr">
        <is>
          <t>R1189020</t>
        </is>
      </c>
      <c r="F287" s="2" t="n">
        <v>44406</v>
      </c>
      <c r="G287" s="1" t="n"/>
      <c r="H287" s="10" t="n"/>
      <c r="I287" s="10" t="n"/>
    </row>
    <row r="288">
      <c r="A288" s="6" t="n">
        <v>12880</v>
      </c>
      <c r="B288" s="6" t="inlineStr">
        <is>
          <t>CANADIAN RICH &amp; RARE (PET)</t>
        </is>
      </c>
      <c r="C288" s="7">
        <f>VLOOKUP(A288,SizeData!A$2:B$3839,2,FALSE)</f>
        <v/>
      </c>
      <c r="D288" s="6" t="n">
        <v>3</v>
      </c>
      <c r="E288" s="6" t="inlineStr">
        <is>
          <t>R1189620</t>
        </is>
      </c>
      <c r="F288" s="2" t="n">
        <v>44408</v>
      </c>
      <c r="G288" s="1" t="n"/>
      <c r="H288" s="10" t="n"/>
      <c r="I288" s="10" t="n"/>
    </row>
    <row r="289">
      <c r="A289" s="6" t="n">
        <v>12885</v>
      </c>
      <c r="B289" s="6" t="inlineStr">
        <is>
          <t>CANADIAN RICH &amp; RARE PET</t>
        </is>
      </c>
      <c r="C289" s="7">
        <f>VLOOKUP(A289,SizeData!A$2:B$3839,2,FALSE)</f>
        <v/>
      </c>
      <c r="D289" s="6" t="n">
        <v>1</v>
      </c>
      <c r="E289" s="6" t="inlineStr">
        <is>
          <t>R1173248</t>
        </is>
      </c>
      <c r="F289" s="2" t="n">
        <v>44393</v>
      </c>
      <c r="G289" s="1" t="n"/>
    </row>
    <row r="290">
      <c r="A290" s="6" t="n">
        <v>12886</v>
      </c>
      <c r="B290" s="6" t="inlineStr">
        <is>
          <t>CANADIAN RICH &amp; RARE</t>
        </is>
      </c>
      <c r="C290" s="7">
        <f>VLOOKUP(A290,SizeData!A$2:B$3839,2,FALSE)</f>
        <v/>
      </c>
      <c r="D290" s="6" t="n">
        <v>1</v>
      </c>
      <c r="E290" s="6" t="inlineStr">
        <is>
          <t>R1001511</t>
        </is>
      </c>
      <c r="F290" s="2" t="n">
        <v>44208</v>
      </c>
      <c r="G290" s="1" t="n"/>
    </row>
    <row r="291">
      <c r="A291" s="6" t="n">
        <v>12886</v>
      </c>
      <c r="B291" s="6" t="inlineStr">
        <is>
          <t>CANADIAN RICH &amp; RARE</t>
        </is>
      </c>
      <c r="C291" s="7">
        <f>VLOOKUP(A291,SizeData!A$2:B$3839,2,FALSE)</f>
        <v/>
      </c>
      <c r="D291" s="6" t="n">
        <v>1</v>
      </c>
      <c r="E291" s="6" t="inlineStr">
        <is>
          <t>R1072840</t>
        </is>
      </c>
      <c r="F291" s="2" t="n">
        <v>44286</v>
      </c>
      <c r="G291" s="1" t="n"/>
    </row>
    <row r="292">
      <c r="A292" s="6" t="n">
        <v>12886</v>
      </c>
      <c r="B292" s="6" t="inlineStr">
        <is>
          <t>CANADIAN RICH &amp; RARE</t>
        </is>
      </c>
      <c r="C292" s="7">
        <f>VLOOKUP(A292,SizeData!A$2:B$3839,2,FALSE)</f>
        <v/>
      </c>
      <c r="D292" s="6" t="n">
        <v>1</v>
      </c>
      <c r="E292" s="6" t="inlineStr">
        <is>
          <t>R1352452</t>
        </is>
      </c>
      <c r="F292" s="2" t="n">
        <v>44536</v>
      </c>
      <c r="G292" s="1" t="n"/>
    </row>
    <row r="293">
      <c r="A293" s="6" t="n">
        <v>12888</v>
      </c>
      <c r="B293" s="6" t="inlineStr">
        <is>
          <t>CANADIAN RICH &amp; RARE</t>
        </is>
      </c>
      <c r="C293" s="7">
        <f>VLOOKUP(A293,SizeData!A$2:B$3839,2,FALSE)</f>
        <v/>
      </c>
      <c r="D293" s="6" t="n">
        <v>1</v>
      </c>
      <c r="E293" s="6" t="inlineStr">
        <is>
          <t>R1092714</t>
        </is>
      </c>
      <c r="F293" s="2" t="n">
        <v>44296</v>
      </c>
      <c r="G293" s="1" t="n"/>
    </row>
    <row r="294">
      <c r="A294" s="6" t="n">
        <v>12888</v>
      </c>
      <c r="B294" s="6" t="inlineStr">
        <is>
          <t>CANADIAN RICH &amp; RARE</t>
        </is>
      </c>
      <c r="C294" s="7">
        <f>VLOOKUP(A294,SizeData!A$2:B$3839,2,FALSE)</f>
        <v/>
      </c>
      <c r="D294" s="6" t="n">
        <v>1</v>
      </c>
      <c r="E294" s="6" t="inlineStr">
        <is>
          <t>R1109607</t>
        </is>
      </c>
      <c r="F294" s="2" t="n">
        <v>44317</v>
      </c>
      <c r="G294" s="1" t="n"/>
    </row>
    <row r="295">
      <c r="A295" s="6" t="n">
        <v>12888</v>
      </c>
      <c r="B295" s="6" t="inlineStr">
        <is>
          <t>CANADIAN RICH &amp; RARE</t>
        </is>
      </c>
      <c r="C295" s="7">
        <f>VLOOKUP(A295,SizeData!A$2:B$3839,2,FALSE)</f>
        <v/>
      </c>
      <c r="D295" s="6" t="n">
        <v>1</v>
      </c>
      <c r="E295" s="6" t="inlineStr">
        <is>
          <t>R1125683</t>
        </is>
      </c>
      <c r="F295" s="2" t="n">
        <v>44336</v>
      </c>
      <c r="G295" s="1" t="n"/>
    </row>
    <row r="296">
      <c r="A296" s="6" t="n">
        <v>12888</v>
      </c>
      <c r="B296" s="6" t="inlineStr">
        <is>
          <t>CANADIAN RICH &amp; RARE</t>
        </is>
      </c>
      <c r="C296" s="7">
        <f>VLOOKUP(A296,SizeData!A$2:B$3839,2,FALSE)</f>
        <v/>
      </c>
      <c r="D296" s="6" t="n">
        <v>1</v>
      </c>
      <c r="E296" s="6" t="inlineStr">
        <is>
          <t>R1137831</t>
        </is>
      </c>
      <c r="F296" s="2" t="n">
        <v>44348</v>
      </c>
      <c r="G296" s="1" t="n"/>
    </row>
    <row r="297">
      <c r="A297" s="6" t="n">
        <v>12888</v>
      </c>
      <c r="B297" s="6" t="inlineStr">
        <is>
          <t>CANADIAN RICH &amp; RARE</t>
        </is>
      </c>
      <c r="C297" s="7">
        <f>VLOOKUP(A297,SizeData!A$2:B$3839,2,FALSE)</f>
        <v/>
      </c>
      <c r="D297" s="6" t="n">
        <v>1</v>
      </c>
      <c r="E297" s="6" t="inlineStr">
        <is>
          <t>R1171594</t>
        </is>
      </c>
      <c r="F297" s="2" t="n">
        <v>44392</v>
      </c>
      <c r="G297" s="1" t="n"/>
    </row>
    <row r="298">
      <c r="A298" s="6" t="n">
        <v>12888</v>
      </c>
      <c r="B298" s="6" t="inlineStr">
        <is>
          <t>CANADIAN RICH &amp; RARE</t>
        </is>
      </c>
      <c r="C298" s="7">
        <f>VLOOKUP(A298,SizeData!A$2:B$3839,2,FALSE)</f>
        <v/>
      </c>
      <c r="D298" s="6" t="n">
        <v>4</v>
      </c>
      <c r="E298" s="6" t="inlineStr">
        <is>
          <t>R1188262</t>
        </is>
      </c>
      <c r="F298" s="2" t="n">
        <v>44409</v>
      </c>
      <c r="G298" s="1" t="n"/>
    </row>
    <row r="299">
      <c r="A299" s="6" t="n">
        <v>12888</v>
      </c>
      <c r="B299" s="6" t="inlineStr">
        <is>
          <t>CANADIAN RICH &amp; RARE</t>
        </is>
      </c>
      <c r="C299" s="7">
        <f>VLOOKUP(A299,SizeData!A$2:B$3839,2,FALSE)</f>
        <v/>
      </c>
      <c r="D299" s="6" t="n">
        <v>4</v>
      </c>
      <c r="E299" s="6" t="inlineStr">
        <is>
          <t>R1200565</t>
        </is>
      </c>
      <c r="F299" s="2" t="n">
        <v>44411</v>
      </c>
      <c r="G299" s="1" t="n"/>
    </row>
    <row r="300">
      <c r="A300" s="6" t="n">
        <v>12888</v>
      </c>
      <c r="B300" s="6" t="inlineStr">
        <is>
          <t>CANADIAN RICH &amp; RARE</t>
        </is>
      </c>
      <c r="C300" s="7">
        <f>VLOOKUP(A300,SizeData!A$2:B$3839,2,FALSE)</f>
        <v/>
      </c>
      <c r="D300" s="6" t="n">
        <v>3</v>
      </c>
      <c r="E300" s="6" t="inlineStr">
        <is>
          <t>R1228910</t>
        </is>
      </c>
      <c r="F300" s="2" t="n">
        <v>44439</v>
      </c>
      <c r="G300" s="1" t="n"/>
    </row>
    <row r="301">
      <c r="A301" s="6" t="n">
        <v>12888</v>
      </c>
      <c r="B301" s="6" t="inlineStr">
        <is>
          <t>CANADIAN RICH &amp; RARE</t>
        </is>
      </c>
      <c r="C301" s="7">
        <f>VLOOKUP(A301,SizeData!A$2:B$3839,2,FALSE)</f>
        <v/>
      </c>
      <c r="D301" s="6" t="n">
        <v>1</v>
      </c>
      <c r="E301" s="6" t="inlineStr">
        <is>
          <t>R1267576</t>
        </is>
      </c>
      <c r="F301" s="2" t="n">
        <v>44476</v>
      </c>
      <c r="G301" s="1" t="n"/>
    </row>
    <row r="302">
      <c r="A302" s="6" t="n">
        <v>12888</v>
      </c>
      <c r="B302" s="6" t="inlineStr">
        <is>
          <t>CANADIAN RICH &amp; RARE</t>
        </is>
      </c>
      <c r="C302" s="7">
        <f>VLOOKUP(A302,SizeData!A$2:B$3839,2,FALSE)</f>
        <v/>
      </c>
      <c r="D302" s="6" t="n">
        <v>3</v>
      </c>
      <c r="E302" s="6" t="inlineStr">
        <is>
          <t>R1356782</t>
        </is>
      </c>
      <c r="F302" s="2" t="n">
        <v>44534</v>
      </c>
      <c r="G302" s="1" t="n"/>
    </row>
    <row r="303">
      <c r="A303" s="6" t="n">
        <v>15621</v>
      </c>
      <c r="B303" s="6" t="inlineStr">
        <is>
          <t>JAMESON IRISH</t>
        </is>
      </c>
      <c r="C303" s="7">
        <f>VLOOKUP(A303,SizeData!A$2:B$3839,2,FALSE)</f>
        <v/>
      </c>
      <c r="D303" s="6" t="n">
        <v>3</v>
      </c>
      <c r="E303" s="6" t="inlineStr">
        <is>
          <t>R1035997</t>
        </is>
      </c>
      <c r="F303" s="2" t="n">
        <v>44252</v>
      </c>
      <c r="G303" s="1" t="n"/>
    </row>
    <row r="304">
      <c r="A304" s="6" t="n">
        <v>15626</v>
      </c>
      <c r="B304" s="6" t="inlineStr">
        <is>
          <t>JAMESON IRISH</t>
        </is>
      </c>
      <c r="C304" s="7">
        <f>VLOOKUP(A304,SizeData!A$2:B$3839,2,FALSE)</f>
        <v/>
      </c>
      <c r="D304" s="6" t="n">
        <v>1</v>
      </c>
      <c r="E304" s="6" t="inlineStr">
        <is>
          <t>R1089290</t>
        </is>
      </c>
      <c r="F304" s="2" t="n">
        <v>44309</v>
      </c>
      <c r="G304" s="1" t="n"/>
    </row>
    <row r="305">
      <c r="A305" s="6" t="n">
        <v>15626</v>
      </c>
      <c r="B305" s="6" t="inlineStr">
        <is>
          <t>JAMESON IRISH</t>
        </is>
      </c>
      <c r="C305" s="7">
        <f>VLOOKUP(A305,SizeData!A$2:B$3839,2,FALSE)</f>
        <v/>
      </c>
      <c r="D305" s="6" t="n">
        <v>1</v>
      </c>
      <c r="E305" s="6" t="inlineStr">
        <is>
          <t>R1122021</t>
        </is>
      </c>
      <c r="F305" s="2" t="n">
        <v>44328</v>
      </c>
      <c r="G305" s="1" t="n"/>
    </row>
    <row r="306">
      <c r="A306" s="6" t="n">
        <v>15626</v>
      </c>
      <c r="B306" s="6" t="inlineStr">
        <is>
          <t>JAMESON IRISH</t>
        </is>
      </c>
      <c r="C306" s="7">
        <f>VLOOKUP(A306,SizeData!A$2:B$3839,2,FALSE)</f>
        <v/>
      </c>
      <c r="D306" s="6" t="n">
        <v>1</v>
      </c>
      <c r="E306" s="6" t="inlineStr">
        <is>
          <t>R1214748</t>
        </is>
      </c>
      <c r="F306" s="2" t="n">
        <v>44433</v>
      </c>
      <c r="G306" s="1" t="n"/>
    </row>
    <row r="307">
      <c r="A307" s="6" t="n">
        <v>15626</v>
      </c>
      <c r="B307" s="6" t="inlineStr">
        <is>
          <t>JAMESON IRISH</t>
        </is>
      </c>
      <c r="C307" s="7">
        <f>VLOOKUP(A307,SizeData!A$2:B$3839,2,FALSE)</f>
        <v/>
      </c>
      <c r="D307" s="6" t="n">
        <v>5</v>
      </c>
      <c r="E307" s="6" t="inlineStr">
        <is>
          <t>R1235270</t>
        </is>
      </c>
      <c r="F307" s="2" t="n">
        <v>44440</v>
      </c>
      <c r="G307" s="1" t="n"/>
    </row>
    <row r="308">
      <c r="A308" s="6" t="n">
        <v>15626</v>
      </c>
      <c r="B308" s="6" t="inlineStr">
        <is>
          <t>JAMESON IRISH</t>
        </is>
      </c>
      <c r="C308" s="7">
        <f>VLOOKUP(A308,SizeData!A$2:B$3839,2,FALSE)</f>
        <v/>
      </c>
      <c r="D308" s="6" t="n">
        <v>10</v>
      </c>
      <c r="E308" s="6" t="inlineStr">
        <is>
          <t>R1252932</t>
        </is>
      </c>
      <c r="F308" s="2" t="n">
        <v>44460</v>
      </c>
      <c r="G308" s="1" t="n"/>
    </row>
    <row r="309">
      <c r="A309" s="6" t="n">
        <v>15628</v>
      </c>
      <c r="B309" s="6" t="inlineStr">
        <is>
          <t>JAMESON IRISH</t>
        </is>
      </c>
      <c r="C309" s="7">
        <f>VLOOKUP(A309,SizeData!A$2:B$3839,2,FALSE)</f>
        <v/>
      </c>
      <c r="D309" s="6" t="n">
        <v>1</v>
      </c>
      <c r="E309" s="6" t="inlineStr">
        <is>
          <t>R1047061</t>
        </is>
      </c>
      <c r="F309" s="2" t="n">
        <v>44259</v>
      </c>
      <c r="G309" s="1" t="n"/>
    </row>
    <row r="310">
      <c r="A310" s="6" t="n">
        <v>15628</v>
      </c>
      <c r="B310" s="6" t="inlineStr">
        <is>
          <t>JAMESON IRISH</t>
        </is>
      </c>
      <c r="C310" s="7">
        <f>VLOOKUP(A310,SizeData!A$2:B$3839,2,FALSE)</f>
        <v/>
      </c>
      <c r="D310" s="6" t="n">
        <v>1</v>
      </c>
      <c r="E310" s="6" t="inlineStr">
        <is>
          <t>R1154324</t>
        </is>
      </c>
      <c r="F310" s="2" t="n">
        <v>44378</v>
      </c>
      <c r="G310" s="1" t="n"/>
    </row>
    <row r="311">
      <c r="A311" s="6" t="n">
        <v>15628</v>
      </c>
      <c r="B311" s="6" t="inlineStr">
        <is>
          <t>JAMESON IRISH</t>
        </is>
      </c>
      <c r="C311" s="7">
        <f>VLOOKUP(A311,SizeData!A$2:B$3839,2,FALSE)</f>
        <v/>
      </c>
      <c r="D311" s="6" t="n">
        <v>1</v>
      </c>
      <c r="E311" s="6" t="inlineStr">
        <is>
          <t xml:space="preserve"> R1175279</t>
        </is>
      </c>
      <c r="F311" s="2" t="n">
        <v>44382</v>
      </c>
      <c r="G311" s="1" t="n"/>
    </row>
    <row r="312">
      <c r="A312" s="6" t="n">
        <v>15628</v>
      </c>
      <c r="B312" s="6" t="inlineStr">
        <is>
          <t>JAMESON IRISH</t>
        </is>
      </c>
      <c r="C312" s="7">
        <f>VLOOKUP(A312,SizeData!A$2:B$3839,2,FALSE)</f>
        <v/>
      </c>
      <c r="D312" s="6" t="n">
        <v>1</v>
      </c>
      <c r="E312" s="6" t="inlineStr">
        <is>
          <t>R1170994</t>
        </is>
      </c>
      <c r="F312" s="2" t="n">
        <v>44394</v>
      </c>
      <c r="G312" s="1" t="n"/>
    </row>
    <row r="313">
      <c r="A313" s="6" t="n">
        <v>15628</v>
      </c>
      <c r="B313" s="6" t="inlineStr">
        <is>
          <t>JAMESON IRISH</t>
        </is>
      </c>
      <c r="C313" s="7">
        <f>VLOOKUP(A313,SizeData!A$2:B$3839,2,FALSE)</f>
        <v/>
      </c>
      <c r="D313" s="6" t="n">
        <v>1</v>
      </c>
      <c r="E313" s="6" t="inlineStr">
        <is>
          <t>R1181946</t>
        </is>
      </c>
      <c r="F313" s="2" t="n">
        <v>44398</v>
      </c>
      <c r="G313" s="1" t="n"/>
    </row>
    <row r="314">
      <c r="A314" s="6" t="n">
        <v>15644</v>
      </c>
      <c r="B314" s="6" t="inlineStr">
        <is>
          <t>JAMESON IRISH</t>
        </is>
      </c>
      <c r="C314" s="7">
        <f>VLOOKUP(A314,SizeData!A$2:B$3839,2,FALSE)</f>
        <v/>
      </c>
      <c r="D314" s="6" t="n">
        <v>1</v>
      </c>
      <c r="E314" s="6" t="inlineStr">
        <is>
          <t>R1015646</t>
        </is>
      </c>
      <c r="F314" s="2" t="n">
        <v>44223</v>
      </c>
      <c r="G314" s="1" t="n"/>
    </row>
    <row r="315">
      <c r="A315" s="6" t="n">
        <v>15830</v>
      </c>
      <c r="B315" s="6" t="inlineStr">
        <is>
          <t>PROPER NO. TWELVE IRISH WHISKEY</t>
        </is>
      </c>
      <c r="C315" s="7">
        <f>VLOOKUP(A315,SizeData!A$2:B$3839,2,FALSE)</f>
        <v/>
      </c>
      <c r="D315" s="6" t="n">
        <v>1</v>
      </c>
      <c r="E315" s="6" t="inlineStr">
        <is>
          <t xml:space="preserve"> R1358938</t>
        </is>
      </c>
      <c r="F315" s="2" t="n">
        <v>44538</v>
      </c>
      <c r="G315" s="1" t="n"/>
    </row>
    <row r="316">
      <c r="A316" s="6" t="n">
        <v>15830</v>
      </c>
      <c r="B316" s="6" t="inlineStr">
        <is>
          <t>PROPER NO. TWELVE IRISH WHISKEY</t>
        </is>
      </c>
      <c r="C316" s="7">
        <f>VLOOKUP(A316,SizeData!A$2:B$3839,2,FALSE)</f>
        <v/>
      </c>
      <c r="D316" s="6" t="n">
        <v>1</v>
      </c>
      <c r="E316" s="6" t="inlineStr">
        <is>
          <t xml:space="preserve"> R1358938</t>
        </is>
      </c>
      <c r="F316" s="2" t="n">
        <v>44538</v>
      </c>
      <c r="G316" s="1" t="n"/>
    </row>
    <row r="317">
      <c r="A317" s="6" t="n">
        <v>16096</v>
      </c>
      <c r="B317" s="6" t="inlineStr">
        <is>
          <t>EVAN WILLIAMS WHITE LABEL BOTTLE IN BOND</t>
        </is>
      </c>
      <c r="C317" s="7">
        <f>VLOOKUP(A317,SizeData!A$2:B$3839,2,FALSE)</f>
        <v/>
      </c>
      <c r="D317" s="6" t="n">
        <v>1</v>
      </c>
      <c r="E317" s="6" t="inlineStr">
        <is>
          <t>R1018402</t>
        </is>
      </c>
      <c r="F317" s="2" t="n">
        <v>44229</v>
      </c>
      <c r="G317" s="1" t="n"/>
    </row>
    <row r="318">
      <c r="A318" s="6" t="n">
        <v>16098</v>
      </c>
      <c r="B318" s="6" t="inlineStr">
        <is>
          <t>EVAN WILLIAMS BIB (WHITE LABEL)</t>
        </is>
      </c>
      <c r="C318" s="7">
        <f>VLOOKUP(A318,SizeData!A$2:B$3839,2,FALSE)</f>
        <v/>
      </c>
      <c r="D318" s="6" t="n">
        <v>1</v>
      </c>
      <c r="E318" s="6" t="inlineStr">
        <is>
          <t>R1028756</t>
        </is>
      </c>
      <c r="F318" s="2" t="n">
        <v>44239</v>
      </c>
      <c r="G318" s="1" t="n"/>
    </row>
    <row r="319">
      <c r="A319" s="6" t="n">
        <v>16098</v>
      </c>
      <c r="B319" s="6" t="inlineStr">
        <is>
          <t>EVAN WILLIAMS BIB (WHITE LABEL)</t>
        </is>
      </c>
      <c r="C319" s="7">
        <f>VLOOKUP(A319,SizeData!A$2:B$3839,2,FALSE)</f>
        <v/>
      </c>
      <c r="D319" s="6" t="n">
        <v>1</v>
      </c>
      <c r="E319" s="6" t="inlineStr">
        <is>
          <t>R1033132</t>
        </is>
      </c>
      <c r="F319" s="2" t="n">
        <v>44249</v>
      </c>
      <c r="G319" s="1" t="n"/>
    </row>
    <row r="320">
      <c r="A320" s="6" t="n">
        <v>16098</v>
      </c>
      <c r="B320" s="6" t="inlineStr">
        <is>
          <t>EVAN WILLIAMS BIB (WHITE LABEL)</t>
        </is>
      </c>
      <c r="C320" s="7">
        <f>VLOOKUP(A320,SizeData!A$2:B$3839,2,FALSE)</f>
        <v/>
      </c>
      <c r="D320" s="6" t="n">
        <v>3</v>
      </c>
      <c r="E320" s="6" t="inlineStr">
        <is>
          <t>R1046038</t>
        </is>
      </c>
      <c r="F320" s="2" t="n">
        <v>44256</v>
      </c>
      <c r="G320" s="1" t="n"/>
    </row>
    <row r="321">
      <c r="A321" s="6" t="n">
        <v>16098</v>
      </c>
      <c r="B321" s="6" t="inlineStr">
        <is>
          <t>EVAN WILLIAMS BIB (WHITE LABEL)</t>
        </is>
      </c>
      <c r="C321" s="7">
        <f>VLOOKUP(A321,SizeData!A$2:B$3839,2,FALSE)</f>
        <v/>
      </c>
      <c r="D321" s="6" t="n">
        <v>1</v>
      </c>
      <c r="E321" s="6" t="inlineStr">
        <is>
          <t>R1099905</t>
        </is>
      </c>
      <c r="F321" s="2" t="n">
        <v>44310</v>
      </c>
      <c r="G321" s="1" t="n"/>
    </row>
    <row r="322">
      <c r="A322" s="6" t="n">
        <v>16098</v>
      </c>
      <c r="B322" s="6" t="inlineStr">
        <is>
          <t>EVAN WILLIAMS BIB (WHITE LABEL)</t>
        </is>
      </c>
      <c r="C322" s="7">
        <f>VLOOKUP(A322,SizeData!A$2:B$3839,2,FALSE)</f>
        <v/>
      </c>
      <c r="D322" s="6" t="n">
        <v>2</v>
      </c>
      <c r="E322" s="6" t="inlineStr">
        <is>
          <t>R1156117</t>
        </is>
      </c>
      <c r="F322" s="2" t="n">
        <v>44362</v>
      </c>
      <c r="G322" s="1" t="n"/>
    </row>
    <row r="323">
      <c r="A323" s="6" t="n">
        <v>16098</v>
      </c>
      <c r="B323" s="6" t="inlineStr">
        <is>
          <t>EVAN WILLIAMS BIB (WHITE LABEL)</t>
        </is>
      </c>
      <c r="C323" s="7">
        <f>VLOOKUP(A323,SizeData!A$2:B$3839,2,FALSE)</f>
        <v/>
      </c>
      <c r="D323" s="6" t="n">
        <v>1</v>
      </c>
      <c r="E323" s="6" t="inlineStr">
        <is>
          <t>R1153323</t>
        </is>
      </c>
      <c r="F323" s="2" t="n">
        <v>44369</v>
      </c>
      <c r="G323" s="1" t="n"/>
    </row>
    <row r="324">
      <c r="A324" s="6" t="n">
        <v>16098</v>
      </c>
      <c r="B324" s="6" t="inlineStr">
        <is>
          <t>EVAN WILLIAMS BIB (WHITE LABEL)</t>
        </is>
      </c>
      <c r="C324" s="7">
        <f>VLOOKUP(A324,SizeData!A$2:B$3839,2,FALSE)</f>
        <v/>
      </c>
      <c r="D324" s="6" t="n">
        <v>3</v>
      </c>
      <c r="E324" s="6" t="inlineStr">
        <is>
          <t>R1228454</t>
        </is>
      </c>
      <c r="F324" s="2" t="n">
        <v>44445</v>
      </c>
      <c r="G324" s="1" t="n"/>
    </row>
    <row r="325">
      <c r="A325" s="6" t="n">
        <v>16098</v>
      </c>
      <c r="B325" s="6" t="inlineStr">
        <is>
          <t>EVAN WILLIAMS BIB (WHITE LABEL)</t>
        </is>
      </c>
      <c r="C325" s="7">
        <f>VLOOKUP(A325,SizeData!A$2:B$3839,2,FALSE)</f>
        <v/>
      </c>
      <c r="D325" s="6" t="n">
        <v>0</v>
      </c>
      <c r="E325" s="6" t="inlineStr">
        <is>
          <t>R1265540</t>
        </is>
      </c>
      <c r="F325" s="2" t="n">
        <v>44459</v>
      </c>
      <c r="G325" s="1" t="n"/>
    </row>
    <row r="326">
      <c r="A326" s="6" t="n">
        <v>16098</v>
      </c>
      <c r="B326" s="6" t="inlineStr">
        <is>
          <t>EVAN WILLIAMS BIB (WHITE LABEL)</t>
        </is>
      </c>
      <c r="C326" s="7">
        <f>VLOOKUP(A326,SizeData!A$2:B$3839,2,FALSE)</f>
        <v/>
      </c>
      <c r="D326" s="6" t="n">
        <v>5</v>
      </c>
      <c r="E326" s="6" t="inlineStr">
        <is>
          <t>R1334282</t>
        </is>
      </c>
      <c r="F326" s="2" t="n">
        <v>44531</v>
      </c>
      <c r="G326" s="1" t="n"/>
    </row>
    <row r="327">
      <c r="A327" s="6" t="n">
        <v>16396</v>
      </c>
      <c r="B327" s="6" t="inlineStr">
        <is>
          <t>OLD FORESTER SIGNATURE</t>
        </is>
      </c>
      <c r="C327" s="7">
        <f>VLOOKUP(A327,SizeData!A$2:B$3839,2,FALSE)</f>
        <v/>
      </c>
      <c r="D327" s="6" t="n">
        <v>1</v>
      </c>
      <c r="E327" s="6" t="inlineStr">
        <is>
          <t>R1046007</t>
        </is>
      </c>
      <c r="F327" s="2" t="n">
        <v>44250</v>
      </c>
      <c r="G327" s="1" t="n"/>
    </row>
    <row r="328">
      <c r="A328" s="6" t="n">
        <v>16396</v>
      </c>
      <c r="B328" s="6" t="inlineStr">
        <is>
          <t>OLD FORESTER SIGNATURE</t>
        </is>
      </c>
      <c r="C328" s="7">
        <f>VLOOKUP(A328,SizeData!A$2:B$3839,2,FALSE)</f>
        <v/>
      </c>
      <c r="D328" s="6" t="n">
        <v>1</v>
      </c>
      <c r="E328" s="6" t="inlineStr">
        <is>
          <t>R1302616</t>
        </is>
      </c>
      <c r="F328" s="2" t="n">
        <v>44496</v>
      </c>
      <c r="G328" s="1" t="n"/>
    </row>
    <row r="329">
      <c r="A329" s="6" t="n">
        <v>16416</v>
      </c>
      <c r="B329" s="6" t="inlineStr">
        <is>
          <t>OLD GRAND DAD 100 PROOF</t>
        </is>
      </c>
      <c r="C329" s="7">
        <f>VLOOKUP(A329,SizeData!A$2:B$3839,2,FALSE)</f>
        <v/>
      </c>
      <c r="D329" s="6" t="n">
        <v>1</v>
      </c>
      <c r="E329" s="6" t="inlineStr">
        <is>
          <t xml:space="preserve"> R1162278</t>
        </is>
      </c>
      <c r="F329" s="2" t="n">
        <v>44380</v>
      </c>
      <c r="G329" s="1" t="n"/>
    </row>
    <row r="330">
      <c r="A330" s="6" t="n">
        <v>16562</v>
      </c>
      <c r="B330" s="6" t="inlineStr">
        <is>
          <t>ANGELS ENVY BOURBON WHISKEY</t>
        </is>
      </c>
      <c r="C330" s="7">
        <f>VLOOKUP(A330,SizeData!A$2:B$3839,2,FALSE)</f>
        <v/>
      </c>
      <c r="D330" s="6" t="n">
        <v>5</v>
      </c>
      <c r="E330" s="6" t="inlineStr">
        <is>
          <t>R1086355</t>
        </is>
      </c>
      <c r="F330" s="2" t="n">
        <v>44294</v>
      </c>
      <c r="G330" s="1" t="n"/>
    </row>
    <row r="331">
      <c r="A331" s="6" t="n">
        <v>16676</v>
      </c>
      <c r="B331" s="6" t="inlineStr">
        <is>
          <t>BASIL HAYDEN'S</t>
        </is>
      </c>
      <c r="C331" s="7">
        <f>VLOOKUP(A331,SizeData!A$2:B$3839,2,FALSE)</f>
        <v/>
      </c>
      <c r="D331" s="6" t="n">
        <v>3</v>
      </c>
      <c r="E331" s="6" t="inlineStr">
        <is>
          <t>R1041173</t>
        </is>
      </c>
      <c r="F331" s="2" t="n">
        <v>44257</v>
      </c>
      <c r="G331" s="1" t="n"/>
    </row>
    <row r="332">
      <c r="A332" s="6" t="n">
        <v>16676</v>
      </c>
      <c r="B332" s="6" t="inlineStr">
        <is>
          <t>BASIL HAYDEN'S</t>
        </is>
      </c>
      <c r="C332" s="7">
        <f>VLOOKUP(A332,SizeData!A$2:B$3839,2,FALSE)</f>
        <v/>
      </c>
      <c r="D332" s="6" t="n">
        <v>1</v>
      </c>
      <c r="E332" s="6" t="inlineStr">
        <is>
          <t>R1039467</t>
        </is>
      </c>
      <c r="F332" s="2" t="n">
        <v>44266</v>
      </c>
      <c r="G332" s="1" t="n"/>
    </row>
    <row r="333">
      <c r="A333" s="6" t="n">
        <v>16676</v>
      </c>
      <c r="B333" s="6" t="inlineStr">
        <is>
          <t>BASIL HAYDEN'S</t>
        </is>
      </c>
      <c r="C333" s="7">
        <f>VLOOKUP(A333,SizeData!A$2:B$3839,2,FALSE)</f>
        <v/>
      </c>
      <c r="D333" s="6" t="n">
        <v>3</v>
      </c>
      <c r="E333" s="6" t="inlineStr">
        <is>
          <t>R1235270</t>
        </is>
      </c>
      <c r="F333" s="2" t="n">
        <v>44440</v>
      </c>
      <c r="G333" s="1" t="n"/>
    </row>
    <row r="334">
      <c r="A334" s="6" t="n">
        <v>16676</v>
      </c>
      <c r="B334" s="6" t="inlineStr">
        <is>
          <t>BASIL HAYDEN'S</t>
        </is>
      </c>
      <c r="C334" s="7">
        <f>VLOOKUP(A334,SizeData!A$2:B$3839,2,FALSE)</f>
        <v/>
      </c>
      <c r="D334" s="6" t="n">
        <v>1</v>
      </c>
      <c r="E334" s="6" t="inlineStr">
        <is>
          <t>R1256874</t>
        </is>
      </c>
      <c r="F334" s="2" t="n">
        <v>44469</v>
      </c>
      <c r="G334" s="1" t="n"/>
    </row>
    <row r="335">
      <c r="A335" s="6" t="n">
        <v>16682</v>
      </c>
      <c r="B335" s="6" t="inlineStr">
        <is>
          <t>BASIL HAYDEN'S STRAIGHT BOURBON</t>
        </is>
      </c>
      <c r="C335" s="7">
        <f>VLOOKUP(A335,SizeData!A$2:B$3839,2,FALSE)</f>
        <v/>
      </c>
      <c r="D335" s="6" t="n">
        <v>1</v>
      </c>
      <c r="E335" s="6" t="inlineStr">
        <is>
          <t>R1011478</t>
        </is>
      </c>
      <c r="F335" s="2" t="n">
        <v>44226</v>
      </c>
      <c r="G335" s="1" t="n"/>
    </row>
    <row r="336">
      <c r="A336" s="6" t="n">
        <v>16796</v>
      </c>
      <c r="B336" s="6" t="inlineStr">
        <is>
          <t>BELLE MEADE BOURBON</t>
        </is>
      </c>
      <c r="C336" s="7">
        <f>VLOOKUP(A336,SizeData!A$2:B$3839,2,FALSE)</f>
        <v/>
      </c>
      <c r="D336" s="6" t="n">
        <v>1</v>
      </c>
      <c r="E336" s="6" t="inlineStr">
        <is>
          <t>R1156117</t>
        </is>
      </c>
      <c r="F336" s="2" t="n">
        <v>44362</v>
      </c>
      <c r="G336" s="1" t="n"/>
    </row>
    <row r="337">
      <c r="A337" s="6" t="n">
        <v>16814</v>
      </c>
      <c r="B337" s="6" t="inlineStr">
        <is>
          <t>BIB &amp; TUCKER SMALL BATCH BOURBON WHISKEY</t>
        </is>
      </c>
      <c r="C337" s="7">
        <f>VLOOKUP(A337,SizeData!A$2:B$3839,2,FALSE)</f>
        <v/>
      </c>
      <c r="D337" s="6" t="n">
        <v>1</v>
      </c>
      <c r="E337" s="6" t="inlineStr">
        <is>
          <t>R1032609</t>
        </is>
      </c>
      <c r="F337" s="2" t="n">
        <v>44246</v>
      </c>
      <c r="G337" s="1" t="n"/>
    </row>
    <row r="338">
      <c r="A338" s="6" t="n">
        <v>17086</v>
      </c>
      <c r="B338" s="6" t="inlineStr">
        <is>
          <t>BULLEIT BOURBON</t>
        </is>
      </c>
      <c r="C338" s="7">
        <f>VLOOKUP(A338,SizeData!A$2:B$3839,2,FALSE)</f>
        <v/>
      </c>
      <c r="D338" s="6" t="n">
        <v>2</v>
      </c>
      <c r="E338" s="6" t="inlineStr">
        <is>
          <t>R1058918</t>
        </is>
      </c>
      <c r="F338" s="2" t="n">
        <v>44273</v>
      </c>
      <c r="G338" s="1" t="n"/>
    </row>
    <row r="339">
      <c r="A339" s="6" t="n">
        <v>17086</v>
      </c>
      <c r="B339" s="6" t="inlineStr">
        <is>
          <t>BULLEIT BOURBON</t>
        </is>
      </c>
      <c r="C339" s="7">
        <f>VLOOKUP(A339,SizeData!A$2:B$3839,2,FALSE)</f>
        <v/>
      </c>
      <c r="D339" s="6" t="n">
        <v>0</v>
      </c>
      <c r="E339" s="6" t="inlineStr">
        <is>
          <t>R1318952B</t>
        </is>
      </c>
      <c r="F339" s="2" t="n">
        <v>44503</v>
      </c>
      <c r="G339" s="1" t="n"/>
    </row>
    <row r="340">
      <c r="A340" s="6" t="n">
        <v>17086</v>
      </c>
      <c r="B340" s="6" t="inlineStr">
        <is>
          <t>BULLEIT BOURBON</t>
        </is>
      </c>
      <c r="C340" s="7">
        <f>VLOOKUP(A340,SizeData!A$2:B$3839,2,FALSE)</f>
        <v/>
      </c>
      <c r="D340" s="6" t="n">
        <v>0</v>
      </c>
      <c r="E340" s="6" t="inlineStr">
        <is>
          <t>R1318952</t>
        </is>
      </c>
      <c r="F340" s="2" t="n">
        <v>44516</v>
      </c>
      <c r="G340" s="1" t="n"/>
    </row>
    <row r="341">
      <c r="A341" s="6" t="n">
        <v>17517</v>
      </c>
      <c r="B341" s="6" t="inlineStr">
        <is>
          <t>COOPER'S CRAFT BOURBON</t>
        </is>
      </c>
      <c r="C341" s="7">
        <f>VLOOKUP(A341,SizeData!A$2:B$3839,2,FALSE)</f>
        <v/>
      </c>
      <c r="D341" s="6" t="n">
        <v>1</v>
      </c>
      <c r="E341" s="6" t="inlineStr">
        <is>
          <t>R1074898</t>
        </is>
      </c>
      <c r="F341" s="2" t="n">
        <v>44293</v>
      </c>
      <c r="G341" s="1" t="n"/>
    </row>
    <row r="342">
      <c r="A342" s="6" t="n">
        <v>17562</v>
      </c>
      <c r="B342" s="6" t="inlineStr">
        <is>
          <t>DAVID NICHOLSON RESERVE KSBW</t>
        </is>
      </c>
      <c r="C342" s="7">
        <f>VLOOKUP(A342,SizeData!A$2:B$3839,2,FALSE)</f>
        <v/>
      </c>
      <c r="D342" s="6" t="n">
        <v>1</v>
      </c>
      <c r="E342" s="6" t="inlineStr">
        <is>
          <t>R1046038</t>
        </is>
      </c>
      <c r="F342" s="2" t="n">
        <v>44256</v>
      </c>
      <c r="G342" s="1" t="n"/>
    </row>
    <row r="343">
      <c r="A343" s="6" t="n">
        <v>17566</v>
      </c>
      <c r="B343" s="6" t="inlineStr">
        <is>
          <t>DAVID NICHOLSON 1843</t>
        </is>
      </c>
      <c r="C343" s="7">
        <f>VLOOKUP(A343,SizeData!A$2:B$3839,2,FALSE)</f>
        <v/>
      </c>
      <c r="D343" s="6" t="n">
        <v>2</v>
      </c>
      <c r="E343" s="6" t="inlineStr">
        <is>
          <t>R1041173</t>
        </is>
      </c>
      <c r="F343" s="2" t="n">
        <v>44257</v>
      </c>
      <c r="G343" s="1" t="n"/>
    </row>
    <row r="344">
      <c r="A344" s="6" t="n">
        <v>17915</v>
      </c>
      <c r="B344" s="6" t="inlineStr">
        <is>
          <t>ELIJAH CRAIG SMALL BATCH</t>
        </is>
      </c>
      <c r="C344" s="7">
        <f>VLOOKUP(A344,SizeData!A$2:B$3839,2,FALSE)</f>
        <v/>
      </c>
      <c r="D344" s="6" t="n">
        <v>1</v>
      </c>
      <c r="E344" s="6" t="inlineStr">
        <is>
          <t>R1008939</t>
        </is>
      </c>
      <c r="F344" s="2" t="n">
        <v>44220</v>
      </c>
      <c r="G344" s="1" t="n"/>
    </row>
    <row r="345">
      <c r="A345" s="6" t="n">
        <v>17915</v>
      </c>
      <c r="B345" s="6" t="inlineStr">
        <is>
          <t>ELIJAH CRAIG SMALL BATCH</t>
        </is>
      </c>
      <c r="C345" s="7">
        <f>VLOOKUP(A345,SizeData!A$2:B$3839,2,FALSE)</f>
        <v/>
      </c>
      <c r="D345" s="6" t="n">
        <v>2</v>
      </c>
      <c r="E345" s="6" t="inlineStr">
        <is>
          <t>R1074089</t>
        </is>
      </c>
      <c r="F345" s="2" t="n">
        <v>44288</v>
      </c>
      <c r="G345" s="1" t="n"/>
    </row>
    <row r="346">
      <c r="A346" s="6" t="n">
        <v>17916</v>
      </c>
      <c r="B346" s="6" t="inlineStr">
        <is>
          <t>ELIJAH CRAIG SMALL BATCH</t>
        </is>
      </c>
      <c r="C346" s="7">
        <f>VLOOKUP(A346,SizeData!A$2:B$3839,2,FALSE)</f>
        <v/>
      </c>
      <c r="D346" s="6" t="n">
        <v>4</v>
      </c>
      <c r="E346" s="6" t="inlineStr">
        <is>
          <t>R1033132</t>
        </is>
      </c>
      <c r="F346" s="2" t="n">
        <v>44249</v>
      </c>
      <c r="G346" s="1" t="n"/>
    </row>
    <row r="347">
      <c r="A347" s="6" t="n">
        <v>17916</v>
      </c>
      <c r="B347" s="6" t="inlineStr">
        <is>
          <t>ELIJAH CRAIG SMALL BATCH</t>
        </is>
      </c>
      <c r="C347" s="7">
        <f>VLOOKUP(A347,SizeData!A$2:B$3839,2,FALSE)</f>
        <v/>
      </c>
      <c r="D347" s="6" t="n">
        <v>1</v>
      </c>
      <c r="E347" s="6" t="inlineStr">
        <is>
          <t>R1034042</t>
        </is>
      </c>
      <c r="F347" s="2" t="n">
        <v>44252</v>
      </c>
      <c r="G347" s="1" t="n"/>
    </row>
    <row r="348">
      <c r="A348" s="6" t="n">
        <v>17954</v>
      </c>
      <c r="B348" s="6" t="inlineStr">
        <is>
          <t>EVAN WILLIAMS BLACK</t>
        </is>
      </c>
      <c r="C348" s="7">
        <f>VLOOKUP(A348,SizeData!A$2:B$3839,2,FALSE)</f>
        <v/>
      </c>
      <c r="D348" s="6" t="n">
        <v>1</v>
      </c>
      <c r="E348" s="6" t="inlineStr">
        <is>
          <t>R1072840</t>
        </is>
      </c>
      <c r="F348" s="2" t="n">
        <v>44286</v>
      </c>
      <c r="G348" s="1" t="n"/>
    </row>
    <row r="349">
      <c r="A349" s="6" t="n">
        <v>17954</v>
      </c>
      <c r="B349" s="6" t="inlineStr">
        <is>
          <t>EVAN WILLIAMS BLACK</t>
        </is>
      </c>
      <c r="C349" s="7">
        <f>VLOOKUP(A349,SizeData!A$2:B$3839,2,FALSE)</f>
        <v/>
      </c>
      <c r="D349" s="6" t="n">
        <v>3</v>
      </c>
      <c r="E349" s="6" t="inlineStr">
        <is>
          <t>R1323053</t>
        </is>
      </c>
      <c r="F349" s="2" t="n">
        <v>44515</v>
      </c>
      <c r="G349" s="1" t="n"/>
    </row>
    <row r="350">
      <c r="A350" s="6" t="n">
        <v>17956</v>
      </c>
      <c r="B350" s="6" t="inlineStr">
        <is>
          <t>EVAN WILLIAMS BLACK</t>
        </is>
      </c>
      <c r="C350" s="7">
        <f>VLOOKUP(A350,SizeData!A$2:B$3839,2,FALSE)</f>
        <v/>
      </c>
      <c r="D350" s="6" t="n">
        <v>3</v>
      </c>
      <c r="E350" s="6" t="inlineStr">
        <is>
          <t>R1033132</t>
        </is>
      </c>
      <c r="F350" s="2" t="n">
        <v>44249</v>
      </c>
      <c r="G350" s="1" t="n"/>
    </row>
    <row r="351">
      <c r="A351" s="6" t="n">
        <v>17958</v>
      </c>
      <c r="B351" s="6" t="inlineStr">
        <is>
          <t>EVAN WILLIAMS BLACK</t>
        </is>
      </c>
      <c r="C351" s="7">
        <f>VLOOKUP(A351,SizeData!A$2:B$3839,2,FALSE)</f>
        <v/>
      </c>
      <c r="D351" s="6" t="n">
        <v>2</v>
      </c>
      <c r="E351" s="6" t="inlineStr">
        <is>
          <t>R1033132</t>
        </is>
      </c>
      <c r="F351" s="2" t="n">
        <v>44249</v>
      </c>
      <c r="G351" s="1" t="n"/>
    </row>
    <row r="352">
      <c r="A352" s="6" t="n">
        <v>17958</v>
      </c>
      <c r="B352" s="6" t="inlineStr">
        <is>
          <t>EVAN WILLIAMS BLACK</t>
        </is>
      </c>
      <c r="C352" s="7">
        <f>VLOOKUP(A352,SizeData!A$2:B$3839,2,FALSE)</f>
        <v/>
      </c>
      <c r="D352" s="6" t="n">
        <v>2</v>
      </c>
      <c r="E352" s="6" t="inlineStr">
        <is>
          <t>R1066257</t>
        </is>
      </c>
      <c r="F352" s="2" t="n">
        <v>44270</v>
      </c>
      <c r="G352" s="1" t="n"/>
    </row>
    <row r="353">
      <c r="A353" s="6" t="n">
        <v>17958</v>
      </c>
      <c r="B353" s="6" t="inlineStr">
        <is>
          <t>EVAN WILLIAMS BLACK</t>
        </is>
      </c>
      <c r="C353" s="7">
        <f>VLOOKUP(A353,SizeData!A$2:B$3839,2,FALSE)</f>
        <v/>
      </c>
      <c r="D353" s="6" t="n">
        <v>1</v>
      </c>
      <c r="E353" s="6" t="inlineStr">
        <is>
          <t>R1072840</t>
        </is>
      </c>
      <c r="F353" s="2" t="n">
        <v>44286</v>
      </c>
      <c r="G353" s="1" t="n"/>
    </row>
    <row r="354">
      <c r="A354" s="6" t="n">
        <v>17958</v>
      </c>
      <c r="B354" s="6" t="inlineStr">
        <is>
          <t>EVAN WILLIAMS BLACK</t>
        </is>
      </c>
      <c r="C354" s="7">
        <f>VLOOKUP(A354,SizeData!A$2:B$3839,2,FALSE)</f>
        <v/>
      </c>
      <c r="D354" s="6" t="n">
        <v>4</v>
      </c>
      <c r="E354" s="6" t="inlineStr">
        <is>
          <t>R1228454</t>
        </is>
      </c>
      <c r="F354" s="2" t="n">
        <v>44445</v>
      </c>
      <c r="G354" s="1" t="inlineStr">
        <is>
          <t>Out of 8</t>
        </is>
      </c>
    </row>
    <row r="355">
      <c r="A355" s="6" t="n">
        <v>17958</v>
      </c>
      <c r="B355" s="6" t="inlineStr">
        <is>
          <t>EVAN WILLIAMS BLACK</t>
        </is>
      </c>
      <c r="C355" s="7">
        <f>VLOOKUP(A355,SizeData!A$2:B$3839,2,FALSE)</f>
        <v/>
      </c>
      <c r="D355" s="6" t="n">
        <v>4</v>
      </c>
      <c r="E355" s="6" t="inlineStr">
        <is>
          <t>R1253502</t>
        </is>
      </c>
      <c r="F355" s="2" t="n">
        <v>44460</v>
      </c>
      <c r="G355" s="1" t="n"/>
    </row>
    <row r="356">
      <c r="A356" s="6" t="n">
        <v>18116</v>
      </c>
      <c r="B356" s="6" t="inlineStr">
        <is>
          <t>EVAN WILLIAMS BLACK PET</t>
        </is>
      </c>
      <c r="C356" s="7">
        <f>VLOOKUP(A356,SizeData!A$2:B$3839,2,FALSE)</f>
        <v/>
      </c>
      <c r="D356" s="6" t="n">
        <v>1</v>
      </c>
      <c r="E356" s="6" t="inlineStr">
        <is>
          <t>R1346277</t>
        </is>
      </c>
      <c r="F356" s="2" t="n">
        <v>44530</v>
      </c>
      <c r="G356" s="1" t="n"/>
    </row>
    <row r="357">
      <c r="A357" s="6" t="n">
        <v>18196</v>
      </c>
      <c r="B357" s="6" t="inlineStr">
        <is>
          <t>EZRA BROOKS</t>
        </is>
      </c>
      <c r="C357" s="7">
        <f>VLOOKUP(A357,SizeData!A$2:B$3839,2,FALSE)</f>
        <v/>
      </c>
      <c r="D357" s="6" t="n">
        <v>1</v>
      </c>
      <c r="E357" s="6" t="inlineStr">
        <is>
          <t>R1273155</t>
        </is>
      </c>
      <c r="F357" s="2" t="n">
        <v>44480</v>
      </c>
      <c r="G357" s="1" t="n"/>
    </row>
    <row r="358">
      <c r="A358" s="6" t="n">
        <v>18348</v>
      </c>
      <c r="B358" s="6" t="inlineStr">
        <is>
          <t>FOUR ROSES SMALL BATCH BOURBON</t>
        </is>
      </c>
      <c r="C358" s="7">
        <f>VLOOKUP(A358,SizeData!A$2:B$3839,2,FALSE)</f>
        <v/>
      </c>
      <c r="D358" s="6" t="n">
        <v>1</v>
      </c>
      <c r="E358" s="6" t="inlineStr">
        <is>
          <t>R1066328</t>
        </is>
      </c>
      <c r="F358" s="2" t="n">
        <v>44267</v>
      </c>
      <c r="G358" s="1" t="n"/>
    </row>
    <row r="359">
      <c r="A359" s="6" t="n">
        <v>18351</v>
      </c>
      <c r="B359" s="6" t="inlineStr">
        <is>
          <t>FOUR ROSES BOURBON YELLOW LABEL</t>
        </is>
      </c>
      <c r="C359" s="7">
        <f>VLOOKUP(A359,SizeData!A$2:B$3839,2,FALSE)</f>
        <v/>
      </c>
      <c r="D359" s="6" t="n">
        <v>1</v>
      </c>
      <c r="E359" s="6" t="inlineStr">
        <is>
          <t>R1154324</t>
        </is>
      </c>
      <c r="F359" s="2" t="n">
        <v>44378</v>
      </c>
      <c r="G359" s="1" t="n"/>
    </row>
    <row r="360">
      <c r="A360" s="6" t="n">
        <v>18351</v>
      </c>
      <c r="B360" s="6" t="inlineStr">
        <is>
          <t>FOUR ROSES BOURBON YELLOW LABEL</t>
        </is>
      </c>
      <c r="C360" s="7">
        <f>VLOOKUP(A360,SizeData!A$2:B$3839,2,FALSE)</f>
        <v/>
      </c>
      <c r="D360" s="6" t="n">
        <v>2</v>
      </c>
      <c r="E360" s="6" t="inlineStr">
        <is>
          <t>R1170994</t>
        </is>
      </c>
      <c r="F360" s="2" t="n">
        <v>44394</v>
      </c>
      <c r="G360" s="1" t="n"/>
    </row>
    <row r="361">
      <c r="A361" s="6" t="n">
        <v>18352</v>
      </c>
      <c r="B361" s="6" t="inlineStr">
        <is>
          <t>FOUR ROSES BOURBON YELLOW LABEL</t>
        </is>
      </c>
      <c r="C361" s="7">
        <f>VLOOKUP(A361,SizeData!A$2:B$3839,2,FALSE)</f>
        <v/>
      </c>
      <c r="D361" s="6" t="n">
        <v>1</v>
      </c>
      <c r="E361" s="6" t="inlineStr">
        <is>
          <t>R1106414</t>
        </is>
      </c>
      <c r="F361" s="2" t="n">
        <v>44307</v>
      </c>
      <c r="G361" s="1" t="n"/>
    </row>
    <row r="362">
      <c r="A362" s="6" t="n">
        <v>18352</v>
      </c>
      <c r="B362" s="6" t="inlineStr">
        <is>
          <t>FOUR ROSES BOURBON YELLOW LABEL</t>
        </is>
      </c>
      <c r="C362" s="7">
        <f>VLOOKUP(A362,SizeData!A$2:B$3839,2,FALSE)</f>
        <v/>
      </c>
      <c r="D362" s="6" t="n">
        <v>1</v>
      </c>
      <c r="E362" s="6" t="inlineStr">
        <is>
          <t>R1099557</t>
        </is>
      </c>
      <c r="F362" s="2" t="n">
        <v>44317</v>
      </c>
      <c r="G362" s="1" t="n"/>
    </row>
    <row r="363">
      <c r="A363" s="6" t="n">
        <v>18352</v>
      </c>
      <c r="B363" s="6" t="inlineStr">
        <is>
          <t>FOUR ROSES BOURBON YELLOW LABEL</t>
        </is>
      </c>
      <c r="C363" s="7">
        <f>VLOOKUP(A363,SizeData!A$2:B$3839,2,FALSE)</f>
        <v/>
      </c>
      <c r="D363" s="6" t="n">
        <v>2</v>
      </c>
      <c r="E363" s="6" t="inlineStr">
        <is>
          <t>R1200565</t>
        </is>
      </c>
      <c r="F363" s="2" t="n">
        <v>44411</v>
      </c>
      <c r="G363" s="1" t="n"/>
    </row>
    <row r="364">
      <c r="A364" s="6" t="n">
        <v>18352</v>
      </c>
      <c r="B364" s="6" t="inlineStr">
        <is>
          <t>FOUR ROSES BOURBON YELLOW LABEL</t>
        </is>
      </c>
      <c r="C364" s="7">
        <f>VLOOKUP(A364,SizeData!A$2:B$3839,2,FALSE)</f>
        <v/>
      </c>
      <c r="D364" s="6" t="n">
        <v>1</v>
      </c>
      <c r="E364" s="6" t="inlineStr">
        <is>
          <t>R1296060</t>
        </is>
      </c>
      <c r="F364" s="2" t="n">
        <v>44491</v>
      </c>
      <c r="G364" s="1" t="n"/>
    </row>
    <row r="365">
      <c r="A365" s="6" t="n">
        <v>18352</v>
      </c>
      <c r="B365" s="6" t="inlineStr">
        <is>
          <t>FOUR ROSES BOURBON YELLOW LABEL</t>
        </is>
      </c>
      <c r="C365" s="7">
        <f>VLOOKUP(A365,SizeData!A$2:B$3839,2,FALSE)</f>
        <v/>
      </c>
      <c r="D365" s="6" t="n">
        <v>0</v>
      </c>
      <c r="E365" s="6" t="inlineStr">
        <is>
          <t>R1301983</t>
        </is>
      </c>
      <c r="F365" s="2" t="n">
        <v>44501</v>
      </c>
      <c r="G365" s="1" t="n"/>
    </row>
    <row r="366">
      <c r="A366" s="6" t="n">
        <v>18352</v>
      </c>
      <c r="B366" s="6" t="inlineStr">
        <is>
          <t>FOUR ROSES BOURBON YELLOW LABEL</t>
        </is>
      </c>
      <c r="C366" s="7">
        <f>VLOOKUP(A366,SizeData!A$2:B$3839,2,FALSE)</f>
        <v/>
      </c>
      <c r="D366" s="6" t="n">
        <v>3</v>
      </c>
      <c r="E366" s="6" t="inlineStr">
        <is>
          <t>R1314326</t>
        </is>
      </c>
      <c r="F366" s="2" t="n">
        <v>44512</v>
      </c>
      <c r="G366" s="1" t="n"/>
    </row>
    <row r="367">
      <c r="A367" s="6" t="n">
        <v>18352</v>
      </c>
      <c r="B367" s="6" t="inlineStr">
        <is>
          <t>FOUR ROSES BOURBON YELLOW LABEL</t>
        </is>
      </c>
      <c r="C367" s="7">
        <f>VLOOKUP(A367,SizeData!A$2:B$3839,2,FALSE)</f>
        <v/>
      </c>
      <c r="D367" s="6" t="n">
        <v>2</v>
      </c>
      <c r="E367" s="6" t="inlineStr">
        <is>
          <t>R1314488</t>
        </is>
      </c>
      <c r="F367" s="2" t="n">
        <v>44516</v>
      </c>
      <c r="G367" s="1" t="n"/>
    </row>
    <row r="368">
      <c r="A368" s="6" t="n">
        <v>18352</v>
      </c>
      <c r="B368" s="6" t="inlineStr">
        <is>
          <t>FOUR ROSES BOURBON YELLOW LABEL</t>
        </is>
      </c>
      <c r="C368" s="7">
        <f>VLOOKUP(A368,SizeData!A$2:B$3839,2,FALSE)</f>
        <v/>
      </c>
      <c r="D368" s="6" t="n">
        <v>2</v>
      </c>
      <c r="E368" s="6" t="inlineStr">
        <is>
          <t>R1314488A</t>
        </is>
      </c>
      <c r="F368" s="2" t="n">
        <v>44517</v>
      </c>
      <c r="G368" s="1" t="n"/>
    </row>
    <row r="369">
      <c r="A369" s="6" t="n">
        <v>18604</v>
      </c>
      <c r="B369" s="6" t="inlineStr">
        <is>
          <t>HIGH WEST AMERICAN PRAIRIE</t>
        </is>
      </c>
      <c r="C369" s="7">
        <f>VLOOKUP(A369,SizeData!A$2:B$3839,2,FALSE)</f>
        <v/>
      </c>
      <c r="D369" s="6" t="n">
        <v>1</v>
      </c>
      <c r="E369" s="6" t="inlineStr">
        <is>
          <t>R992805</t>
        </is>
      </c>
      <c r="F369" s="2" t="n">
        <v>44201</v>
      </c>
      <c r="G369" s="1" t="n"/>
    </row>
    <row r="370">
      <c r="A370" s="6" t="n">
        <v>19061</v>
      </c>
      <c r="B370" s="6" t="inlineStr">
        <is>
          <t>JIM BEAM</t>
        </is>
      </c>
      <c r="C370" s="7">
        <f>VLOOKUP(A370,SizeData!A$2:B$3839,2,FALSE)</f>
        <v/>
      </c>
      <c r="D370" s="6" t="n">
        <v>1</v>
      </c>
      <c r="E370" s="6" t="inlineStr">
        <is>
          <t>R1085574</t>
        </is>
      </c>
      <c r="F370" s="2" t="n">
        <v>44288</v>
      </c>
      <c r="G370" s="1" t="n"/>
    </row>
    <row r="371">
      <c r="A371" s="6" t="n">
        <v>19061</v>
      </c>
      <c r="B371" s="6" t="inlineStr">
        <is>
          <t>JIM BEAM</t>
        </is>
      </c>
      <c r="C371" s="7">
        <f>VLOOKUP(A371,SizeData!A$2:B$3839,2,FALSE)</f>
        <v/>
      </c>
      <c r="D371" s="6" t="n">
        <v>1</v>
      </c>
      <c r="E371" s="6" t="inlineStr">
        <is>
          <t>R1127639</t>
        </is>
      </c>
      <c r="F371" s="2" t="n">
        <v>44341</v>
      </c>
      <c r="G371" s="1" t="n"/>
    </row>
    <row r="372">
      <c r="A372" s="6" t="n">
        <v>19061</v>
      </c>
      <c r="B372" s="6" t="inlineStr">
        <is>
          <t>JIM BEAM</t>
        </is>
      </c>
      <c r="C372" s="7">
        <f>VLOOKUP(A372,SizeData!A$2:B$3839,2,FALSE)</f>
        <v/>
      </c>
      <c r="D372" s="6" t="n">
        <v>1</v>
      </c>
      <c r="E372" s="6" t="inlineStr">
        <is>
          <t xml:space="preserve"> R1133829</t>
        </is>
      </c>
      <c r="F372" s="2" t="n">
        <v>44350</v>
      </c>
      <c r="G372" s="1" t="n"/>
    </row>
    <row r="373">
      <c r="A373" s="6" t="n">
        <v>19061</v>
      </c>
      <c r="B373" s="6" t="inlineStr">
        <is>
          <t>JIM BEAM</t>
        </is>
      </c>
      <c r="C373" s="7">
        <f>VLOOKUP(A373,SizeData!A$2:B$3839,2,FALSE)</f>
        <v/>
      </c>
      <c r="D373" s="6" t="n">
        <v>1</v>
      </c>
      <c r="E373" s="6" t="inlineStr">
        <is>
          <t>R1173248</t>
        </is>
      </c>
      <c r="F373" s="2" t="n">
        <v>44393</v>
      </c>
      <c r="G373" s="1" t="n"/>
    </row>
    <row r="374">
      <c r="A374" s="6" t="n">
        <v>19061</v>
      </c>
      <c r="B374" s="6" t="inlineStr">
        <is>
          <t>JIM BEAM</t>
        </is>
      </c>
      <c r="C374" s="7">
        <f>VLOOKUP(A374,SizeData!A$2:B$3839,2,FALSE)</f>
        <v/>
      </c>
      <c r="D374" s="6" t="n">
        <v>1</v>
      </c>
      <c r="E374" s="6" t="inlineStr">
        <is>
          <t>R1216789</t>
        </is>
      </c>
      <c r="F374" s="2" t="n">
        <v>44432</v>
      </c>
      <c r="G374" s="1" t="n"/>
    </row>
    <row r="375">
      <c r="A375" s="6" t="n">
        <v>19061</v>
      </c>
      <c r="B375" s="6" t="inlineStr">
        <is>
          <t>JIM BEAM</t>
        </is>
      </c>
      <c r="C375" s="7">
        <f>VLOOKUP(A375,SizeData!A$2:B$3839,2,FALSE)</f>
        <v/>
      </c>
      <c r="D375" s="6" t="n">
        <v>2</v>
      </c>
      <c r="E375" s="6" t="inlineStr">
        <is>
          <t>R1295503</t>
        </is>
      </c>
      <c r="F375" s="2" t="n">
        <v>44476</v>
      </c>
      <c r="G375" s="1" t="n"/>
    </row>
    <row r="376">
      <c r="A376" s="6" t="n">
        <v>19063</v>
      </c>
      <c r="B376" s="6" t="inlineStr">
        <is>
          <t>JIM BEAM</t>
        </is>
      </c>
      <c r="C376" s="7">
        <f>VLOOKUP(A376,SizeData!A$2:B$3839,2,FALSE)</f>
        <v/>
      </c>
      <c r="D376" s="6" t="n">
        <v>1</v>
      </c>
      <c r="E376" s="6" t="inlineStr">
        <is>
          <t>R1043269</t>
        </is>
      </c>
      <c r="F376" s="2" t="n">
        <v>44263</v>
      </c>
      <c r="G376" s="1" t="n"/>
    </row>
    <row r="377">
      <c r="A377" s="6" t="n">
        <v>19063</v>
      </c>
      <c r="B377" s="6" t="inlineStr">
        <is>
          <t>JIM BEAM</t>
        </is>
      </c>
      <c r="C377" s="7">
        <f>VLOOKUP(A377,SizeData!A$2:B$3839,2,FALSE)</f>
        <v/>
      </c>
      <c r="D377" s="6" t="n">
        <v>1</v>
      </c>
      <c r="E377" s="6" t="inlineStr">
        <is>
          <t>R1048765</t>
        </is>
      </c>
      <c r="F377" s="2" t="n">
        <v>44265</v>
      </c>
      <c r="G377" s="1" t="n"/>
    </row>
    <row r="378">
      <c r="A378" s="6" t="n">
        <v>19063</v>
      </c>
      <c r="B378" s="6" t="inlineStr">
        <is>
          <t>JIM BEAM</t>
        </is>
      </c>
      <c r="C378" s="7">
        <f>VLOOKUP(A378,SizeData!A$2:B$3839,2,FALSE)</f>
        <v/>
      </c>
      <c r="D378" s="6" t="n">
        <v>1</v>
      </c>
      <c r="E378" s="6" t="inlineStr">
        <is>
          <t>R1163907</t>
        </is>
      </c>
      <c r="F378" s="2" t="n">
        <v>44373</v>
      </c>
      <c r="G378" s="1" t="n"/>
    </row>
    <row r="379">
      <c r="A379" s="6" t="n">
        <v>19064</v>
      </c>
      <c r="B379" s="6" t="inlineStr">
        <is>
          <t>JIM BEAM</t>
        </is>
      </c>
      <c r="C379" s="7">
        <f>VLOOKUP(A379,SizeData!A$2:B$3839,2,FALSE)</f>
        <v/>
      </c>
      <c r="D379" s="6" t="n">
        <v>3</v>
      </c>
      <c r="E379" s="6" t="inlineStr">
        <is>
          <t>R1043793</t>
        </is>
      </c>
      <c r="F379" s="2" t="n">
        <v>44270</v>
      </c>
      <c r="G379" s="1" t="n"/>
    </row>
    <row r="380">
      <c r="A380" s="6" t="n">
        <v>19064</v>
      </c>
      <c r="B380" s="6" t="inlineStr">
        <is>
          <t>JIM BEAM</t>
        </is>
      </c>
      <c r="C380" s="7">
        <f>VLOOKUP(A380,SizeData!A$2:B$3839,2,FALSE)</f>
        <v/>
      </c>
      <c r="D380" s="6" t="n">
        <v>1</v>
      </c>
      <c r="E380" s="6" t="inlineStr">
        <is>
          <t>R1072840</t>
        </is>
      </c>
      <c r="F380" s="2" t="n">
        <v>44286</v>
      </c>
      <c r="G380" s="1" t="n"/>
    </row>
    <row r="381">
      <c r="A381" s="6" t="n">
        <v>19064</v>
      </c>
      <c r="B381" s="6" t="inlineStr">
        <is>
          <t>JIM BEAM</t>
        </is>
      </c>
      <c r="C381" s="7">
        <f>VLOOKUP(A381,SizeData!A$2:B$3839,2,FALSE)</f>
        <v/>
      </c>
      <c r="D381" s="6" t="n">
        <v>1</v>
      </c>
      <c r="E381" s="6" t="inlineStr">
        <is>
          <t>R1152585</t>
        </is>
      </c>
      <c r="F381" s="2" t="n">
        <v>44372</v>
      </c>
      <c r="G381" s="1" t="n"/>
    </row>
    <row r="382">
      <c r="A382" s="6" t="n">
        <v>19064</v>
      </c>
      <c r="B382" s="6" t="inlineStr">
        <is>
          <t>JIM BEAM</t>
        </is>
      </c>
      <c r="C382" s="7">
        <f>VLOOKUP(A382,SizeData!A$2:B$3839,2,FALSE)</f>
        <v/>
      </c>
      <c r="D382" s="6" t="n">
        <v>1</v>
      </c>
      <c r="E382" s="6" t="inlineStr">
        <is>
          <t>R1228454</t>
        </is>
      </c>
      <c r="F382" s="2" t="n">
        <v>44445</v>
      </c>
      <c r="G382" s="1" t="n"/>
    </row>
    <row r="383">
      <c r="A383" s="6" t="n">
        <v>19064</v>
      </c>
      <c r="B383" s="6" t="inlineStr">
        <is>
          <t>JIM BEAM</t>
        </is>
      </c>
      <c r="C383" s="7">
        <f>VLOOKUP(A383,SizeData!A$2:B$3839,2,FALSE)</f>
        <v/>
      </c>
      <c r="D383" s="6" t="n">
        <v>2</v>
      </c>
      <c r="E383" s="6" t="inlineStr">
        <is>
          <t>R1232932</t>
        </is>
      </c>
      <c r="F383" s="2" t="n">
        <v>44446</v>
      </c>
      <c r="G383" s="1" t="n"/>
    </row>
    <row r="384">
      <c r="A384" s="6" t="n">
        <v>19066</v>
      </c>
      <c r="B384" s="6" t="inlineStr">
        <is>
          <t>JIM BEAM</t>
        </is>
      </c>
      <c r="C384" s="7">
        <f>VLOOKUP(A384,SizeData!A$2:B$3839,2,FALSE)</f>
        <v/>
      </c>
      <c r="D384" s="6" t="n">
        <v>2</v>
      </c>
      <c r="E384" s="6" t="inlineStr">
        <is>
          <t>R1008146</t>
        </is>
      </c>
      <c r="F384" s="2" t="n">
        <v>44222</v>
      </c>
      <c r="G384" s="1" t="n"/>
    </row>
    <row r="385">
      <c r="A385" s="6" t="n">
        <v>19066</v>
      </c>
      <c r="B385" s="6" t="inlineStr">
        <is>
          <t>JIM BEAM</t>
        </is>
      </c>
      <c r="C385" s="7">
        <f>VLOOKUP(A385,SizeData!A$2:B$3839,2,FALSE)</f>
        <v/>
      </c>
      <c r="D385" s="6" t="n">
        <v>1</v>
      </c>
      <c r="E385" s="6" t="inlineStr">
        <is>
          <t>R1097628</t>
        </is>
      </c>
      <c r="F385" s="2" t="n">
        <v>44305</v>
      </c>
      <c r="G385" s="1" t="n"/>
    </row>
    <row r="386">
      <c r="A386" s="6" t="n">
        <v>19066</v>
      </c>
      <c r="B386" s="6" t="inlineStr">
        <is>
          <t>JIM BEAM</t>
        </is>
      </c>
      <c r="C386" s="7">
        <f>VLOOKUP(A386,SizeData!A$2:B$3839,2,FALSE)</f>
        <v/>
      </c>
      <c r="D386" s="6" t="n">
        <v>2</v>
      </c>
      <c r="E386" s="6" t="inlineStr">
        <is>
          <t>R1105665</t>
        </is>
      </c>
      <c r="F386" s="2" t="n">
        <v>44316</v>
      </c>
      <c r="G386" s="1" t="n"/>
    </row>
    <row r="387">
      <c r="A387" s="6" t="n">
        <v>19066</v>
      </c>
      <c r="B387" s="6" t="inlineStr">
        <is>
          <t>JIM BEAM</t>
        </is>
      </c>
      <c r="C387" s="7">
        <f>VLOOKUP(A387,SizeData!A$2:B$3839,2,FALSE)</f>
        <v/>
      </c>
      <c r="D387" s="6" t="n">
        <v>3</v>
      </c>
      <c r="E387" s="6" t="inlineStr">
        <is>
          <t xml:space="preserve"> R1175279</t>
        </is>
      </c>
      <c r="F387" s="2" t="n">
        <v>44382</v>
      </c>
      <c r="G387" s="1" t="n"/>
    </row>
    <row r="388">
      <c r="A388" s="6" t="n">
        <v>19066</v>
      </c>
      <c r="B388" s="6" t="inlineStr">
        <is>
          <t>JIM BEAM</t>
        </is>
      </c>
      <c r="C388" s="7">
        <f>VLOOKUP(A388,SizeData!A$2:B$3839,2,FALSE)</f>
        <v/>
      </c>
      <c r="D388" s="6" t="n">
        <v>2</v>
      </c>
      <c r="E388" s="6" t="inlineStr">
        <is>
          <t>R1272603</t>
        </is>
      </c>
      <c r="F388" s="2" t="n">
        <v>44473</v>
      </c>
      <c r="G388" s="1" t="n"/>
    </row>
    <row r="389">
      <c r="A389" s="6" t="n">
        <v>19066</v>
      </c>
      <c r="B389" s="6" t="inlineStr">
        <is>
          <t>JIM BEAM</t>
        </is>
      </c>
      <c r="C389" s="7">
        <f>VLOOKUP(A389,SizeData!A$2:B$3839,2,FALSE)</f>
        <v/>
      </c>
      <c r="D389" s="6" t="n">
        <v>2</v>
      </c>
      <c r="E389" s="6" t="inlineStr">
        <is>
          <t>R1279880</t>
        </is>
      </c>
      <c r="F389" s="2" t="n">
        <v>44490</v>
      </c>
      <c r="G389" s="1" t="n"/>
    </row>
    <row r="390">
      <c r="A390" s="6" t="n">
        <v>19068</v>
      </c>
      <c r="B390" s="6" t="inlineStr">
        <is>
          <t>JIM BEAM</t>
        </is>
      </c>
      <c r="C390" s="7">
        <f>VLOOKUP(A390,SizeData!A$2:B$3839,2,FALSE)</f>
        <v/>
      </c>
      <c r="D390" s="6" t="n">
        <v>5</v>
      </c>
      <c r="E390" s="6" t="inlineStr">
        <is>
          <t>R1029839</t>
        </is>
      </c>
      <c r="F390" s="2" t="n">
        <v>44246</v>
      </c>
      <c r="G390" s="1" t="n"/>
    </row>
    <row r="391">
      <c r="A391" s="6" t="n">
        <v>19068</v>
      </c>
      <c r="B391" s="6" t="inlineStr">
        <is>
          <t>JIM BEAM</t>
        </is>
      </c>
      <c r="C391" s="7">
        <f>VLOOKUP(A391,SizeData!A$2:B$3839,2,FALSE)</f>
        <v/>
      </c>
      <c r="D391" s="6" t="n">
        <v>5</v>
      </c>
      <c r="E391" s="6" t="inlineStr">
        <is>
          <t>R1148206</t>
        </is>
      </c>
      <c r="F391" s="2" t="n">
        <v>44359</v>
      </c>
      <c r="G391" s="1" t="n"/>
    </row>
    <row r="392">
      <c r="A392" s="6" t="n">
        <v>19112</v>
      </c>
      <c r="B392" s="6" t="inlineStr">
        <is>
          <t>JIM BEAM DEVIL'S CUT BOURBON</t>
        </is>
      </c>
      <c r="C392" s="7">
        <f>VLOOKUP(A392,SizeData!A$2:B$3839,2,FALSE)</f>
        <v/>
      </c>
      <c r="D392" s="6" t="n">
        <v>1</v>
      </c>
      <c r="E392" s="6" t="inlineStr">
        <is>
          <t>R1047061</t>
        </is>
      </c>
      <c r="F392" s="2" t="n">
        <v>44259</v>
      </c>
      <c r="G392" s="1" t="n"/>
    </row>
    <row r="393">
      <c r="A393" s="6" t="n">
        <v>19224</v>
      </c>
      <c r="B393" s="6" t="inlineStr">
        <is>
          <t>KNOB CREEK STRAIGHT BOURBON</t>
        </is>
      </c>
      <c r="C393" s="7">
        <f>VLOOKUP(A393,SizeData!A$2:B$3839,2,FALSE)</f>
        <v/>
      </c>
      <c r="D393" s="6" t="n">
        <v>3</v>
      </c>
      <c r="E393" s="6" t="inlineStr">
        <is>
          <t>R1007161</t>
        </is>
      </c>
      <c r="F393" s="2" t="n">
        <v>44217</v>
      </c>
      <c r="G393" s="1" t="n"/>
    </row>
    <row r="394">
      <c r="A394" s="6" t="n">
        <v>19224</v>
      </c>
      <c r="B394" s="6" t="inlineStr">
        <is>
          <t>KNOB CREEK STRAIGHT BOURBON</t>
        </is>
      </c>
      <c r="C394" s="7">
        <f>VLOOKUP(A394,SizeData!A$2:B$3839,2,FALSE)</f>
        <v/>
      </c>
      <c r="D394" s="6" t="n">
        <v>1</v>
      </c>
      <c r="E394" s="6" t="inlineStr">
        <is>
          <t>R1320744</t>
        </is>
      </c>
      <c r="F394" s="2" t="n">
        <v>44509</v>
      </c>
      <c r="G394" s="1" t="n"/>
    </row>
    <row r="395">
      <c r="A395" s="6" t="n">
        <v>19226</v>
      </c>
      <c r="B395" s="6" t="inlineStr">
        <is>
          <t>KNOB CREEK</t>
        </is>
      </c>
      <c r="C395" s="7">
        <f>VLOOKUP(A395,SizeData!A$2:B$3839,2,FALSE)</f>
        <v/>
      </c>
      <c r="D395" s="6" t="n">
        <v>1</v>
      </c>
      <c r="E395" s="6" t="inlineStr">
        <is>
          <t>R1019806</t>
        </is>
      </c>
      <c r="F395" s="2" t="n">
        <v>44229</v>
      </c>
      <c r="G395" s="1" t="n"/>
    </row>
    <row r="396">
      <c r="A396" s="6" t="n">
        <v>19226</v>
      </c>
      <c r="B396" s="6" t="inlineStr">
        <is>
          <t>KNOB CREEK</t>
        </is>
      </c>
      <c r="C396" s="7">
        <f>VLOOKUP(A396,SizeData!A$2:B$3839,2,FALSE)</f>
        <v/>
      </c>
      <c r="D396" s="6" t="n">
        <v>1</v>
      </c>
      <c r="E396" s="6" t="inlineStr">
        <is>
          <t>R1216501</t>
        </is>
      </c>
      <c r="F396" s="2" t="n">
        <v>44420</v>
      </c>
      <c r="G396" s="1" t="n"/>
    </row>
    <row r="397">
      <c r="A397" s="6" t="n">
        <v>19226</v>
      </c>
      <c r="B397" s="6" t="inlineStr">
        <is>
          <t>KNOB CREEK</t>
        </is>
      </c>
      <c r="C397" s="7">
        <f>VLOOKUP(A397,SizeData!A$2:B$3839,2,FALSE)</f>
        <v/>
      </c>
      <c r="D397" s="6" t="n">
        <v>1</v>
      </c>
      <c r="E397" s="6" t="inlineStr">
        <is>
          <t>R1267576</t>
        </is>
      </c>
      <c r="F397" s="2" t="n">
        <v>44476</v>
      </c>
      <c r="G397" s="1" t="n"/>
    </row>
    <row r="398">
      <c r="A398" s="6" t="n">
        <v>19366</v>
      </c>
      <c r="B398" s="6" t="inlineStr">
        <is>
          <t>OLD KENTUCKY TAVERN (PET)</t>
        </is>
      </c>
      <c r="C398" s="7">
        <f>VLOOKUP(A398,SizeData!A$2:B$3839,2,FALSE)</f>
        <v/>
      </c>
      <c r="D398" s="6" t="n">
        <v>1</v>
      </c>
      <c r="E398" s="6" t="inlineStr">
        <is>
          <t>R1010197</t>
        </is>
      </c>
      <c r="F398" s="2" t="n">
        <v>44214</v>
      </c>
      <c r="G398" s="1" t="n"/>
    </row>
    <row r="399">
      <c r="A399" s="6" t="n">
        <v>19366</v>
      </c>
      <c r="B399" s="6" t="inlineStr">
        <is>
          <t>OLD KENTUCKY TAVERN (PET)</t>
        </is>
      </c>
      <c r="C399" s="7">
        <f>VLOOKUP(A399,SizeData!A$2:B$3839,2,FALSE)</f>
        <v/>
      </c>
      <c r="D399" s="6" t="n">
        <v>1</v>
      </c>
      <c r="E399" s="6" t="inlineStr">
        <is>
          <t>R1301289</t>
        </is>
      </c>
      <c r="F399" s="2" t="n">
        <v>44499</v>
      </c>
      <c r="G399" s="1" t="n"/>
    </row>
    <row r="400">
      <c r="A400" s="6" t="n">
        <v>19475</v>
      </c>
      <c r="B400" s="6" t="inlineStr">
        <is>
          <t>MAKER'S MARK</t>
        </is>
      </c>
      <c r="C400" s="7">
        <f>VLOOKUP(A400,SizeData!A$2:B$3839,2,FALSE)</f>
        <v/>
      </c>
      <c r="D400" s="6" t="n">
        <v>3</v>
      </c>
      <c r="E400" s="6" t="inlineStr">
        <is>
          <t>R1001511</t>
        </is>
      </c>
      <c r="F400" s="2" t="n">
        <v>44208</v>
      </c>
      <c r="G400" s="1" t="n"/>
    </row>
    <row r="401">
      <c r="A401" s="6" t="n">
        <v>19475</v>
      </c>
      <c r="B401" s="6" t="inlineStr">
        <is>
          <t>MAKER'S MARK</t>
        </is>
      </c>
      <c r="C401" s="7">
        <f>VLOOKUP(A401,SizeData!A$2:B$3839,2,FALSE)</f>
        <v/>
      </c>
      <c r="D401" s="6" t="n">
        <v>2</v>
      </c>
      <c r="E401" s="6" t="inlineStr">
        <is>
          <t>R996697</t>
        </is>
      </c>
      <c r="F401" s="2" t="n">
        <v>44221</v>
      </c>
      <c r="G401" s="1" t="n"/>
    </row>
    <row r="402">
      <c r="A402" s="6" t="n">
        <v>19476</v>
      </c>
      <c r="B402" s="6" t="inlineStr">
        <is>
          <t>MAKER'S MARK</t>
        </is>
      </c>
      <c r="C402" s="7">
        <f>VLOOKUP(A402,SizeData!A$2:B$3839,2,FALSE)</f>
        <v/>
      </c>
      <c r="D402" s="6" t="n">
        <v>10</v>
      </c>
      <c r="E402" s="6" t="inlineStr">
        <is>
          <t>R1025660</t>
        </is>
      </c>
      <c r="F402" s="2" t="n">
        <v>44229</v>
      </c>
      <c r="G402" s="1" t="n"/>
    </row>
    <row r="403">
      <c r="A403" s="6" t="n">
        <v>19476</v>
      </c>
      <c r="B403" s="6" t="inlineStr">
        <is>
          <t>MAKER'S MARK</t>
        </is>
      </c>
      <c r="C403" s="7">
        <f>VLOOKUP(A403,SizeData!A$2:B$3839,2,FALSE)</f>
        <v/>
      </c>
      <c r="D403" s="6" t="n">
        <v>4</v>
      </c>
      <c r="E403" s="6" t="inlineStr">
        <is>
          <t>R1025660</t>
        </is>
      </c>
      <c r="F403" s="2" t="n">
        <v>44229</v>
      </c>
      <c r="G403" s="1" t="n"/>
    </row>
    <row r="404">
      <c r="A404" s="6" t="n">
        <v>19476</v>
      </c>
      <c r="B404" s="6" t="inlineStr">
        <is>
          <t>MAKER'S MARK</t>
        </is>
      </c>
      <c r="C404" s="7">
        <f>VLOOKUP(A404,SizeData!A$2:B$3839,2,FALSE)</f>
        <v/>
      </c>
      <c r="D404" s="6" t="n">
        <v>2</v>
      </c>
      <c r="E404" s="6" t="inlineStr">
        <is>
          <t>R1025870</t>
        </is>
      </c>
      <c r="F404" s="2" t="n">
        <v>44229</v>
      </c>
      <c r="G404" s="1" t="n"/>
    </row>
    <row r="405">
      <c r="A405" s="6" t="n">
        <v>19476</v>
      </c>
      <c r="B405" s="6" t="inlineStr">
        <is>
          <t>MAKER'S MARK</t>
        </is>
      </c>
      <c r="C405" s="7">
        <f>VLOOKUP(A405,SizeData!A$2:B$3839,2,FALSE)</f>
        <v/>
      </c>
      <c r="D405" s="6" t="n">
        <v>4</v>
      </c>
      <c r="E405" s="6" t="inlineStr">
        <is>
          <t>R1151004</t>
        </is>
      </c>
      <c r="F405" s="2" t="n">
        <v>44358</v>
      </c>
      <c r="G405" s="1" t="n"/>
    </row>
    <row r="406">
      <c r="A406" s="6" t="n">
        <v>19476</v>
      </c>
      <c r="B406" s="6" t="inlineStr">
        <is>
          <t>MAKER'S MARK</t>
        </is>
      </c>
      <c r="C406" s="7">
        <f>VLOOKUP(A406,SizeData!A$2:B$3839,2,FALSE)</f>
        <v/>
      </c>
      <c r="D406" s="6" t="n">
        <v>1</v>
      </c>
      <c r="E406" s="6" t="inlineStr">
        <is>
          <t>R1148371</t>
        </is>
      </c>
      <c r="F406" s="2" t="n">
        <v>44365</v>
      </c>
      <c r="G406" s="1" t="n"/>
    </row>
    <row r="407">
      <c r="A407" s="6" t="n">
        <v>19476</v>
      </c>
      <c r="B407" s="6" t="inlineStr">
        <is>
          <t>MAKER'S MARK</t>
        </is>
      </c>
      <c r="C407" s="7">
        <f>VLOOKUP(A407,SizeData!A$2:B$3839,2,FALSE)</f>
        <v/>
      </c>
      <c r="D407" s="6" t="n">
        <v>6</v>
      </c>
      <c r="E407" s="6" t="inlineStr">
        <is>
          <t>R1230991</t>
        </is>
      </c>
      <c r="F407" s="2" t="n">
        <v>44441</v>
      </c>
      <c r="G407" s="1" t="n"/>
    </row>
    <row r="408">
      <c r="A408" s="6" t="n">
        <v>19476</v>
      </c>
      <c r="B408" s="6" t="inlineStr">
        <is>
          <t>MAKER'S MARK</t>
        </is>
      </c>
      <c r="C408" s="7">
        <f>VLOOKUP(A408,SizeData!A$2:B$3839,2,FALSE)</f>
        <v/>
      </c>
      <c r="D408" s="6" t="n">
        <v>2</v>
      </c>
      <c r="E408" s="6" t="inlineStr">
        <is>
          <t>R1265540</t>
        </is>
      </c>
      <c r="F408" s="2" t="n">
        <v>44459</v>
      </c>
      <c r="G408" s="1" t="n"/>
    </row>
    <row r="409">
      <c r="A409" s="6" t="n">
        <v>19476</v>
      </c>
      <c r="B409" s="6" t="inlineStr">
        <is>
          <t>MAKER'S MARK</t>
        </is>
      </c>
      <c r="C409" s="7">
        <f>VLOOKUP(A409,SizeData!A$2:B$3839,2,FALSE)</f>
        <v/>
      </c>
      <c r="D409" s="6" t="n">
        <v>10</v>
      </c>
      <c r="E409" s="6" t="inlineStr">
        <is>
          <t>R1261056</t>
        </is>
      </c>
      <c r="F409" s="2" t="n">
        <v>44466</v>
      </c>
      <c r="G409" s="1" t="n"/>
    </row>
    <row r="410">
      <c r="A410" s="6" t="n">
        <v>19478</v>
      </c>
      <c r="B410" s="6" t="inlineStr">
        <is>
          <t>MAKER'S MARK</t>
        </is>
      </c>
      <c r="C410" s="7">
        <f>VLOOKUP(A410,SizeData!A$2:B$3839,2,FALSE)</f>
        <v/>
      </c>
      <c r="D410" s="6" t="n">
        <v>5</v>
      </c>
      <c r="E410" s="6" t="inlineStr">
        <is>
          <t>R1049719</t>
        </is>
      </c>
      <c r="F410" s="2" t="n">
        <v>44258</v>
      </c>
      <c r="G410" s="1" t="n"/>
    </row>
    <row r="411">
      <c r="A411" s="6" t="n">
        <v>19478</v>
      </c>
      <c r="B411" s="6" t="inlineStr">
        <is>
          <t>MAKER'S MARK</t>
        </is>
      </c>
      <c r="C411" s="7">
        <f>VLOOKUP(A411,SizeData!A$2:B$3839,2,FALSE)</f>
        <v/>
      </c>
      <c r="D411" s="6" t="n">
        <v>5</v>
      </c>
      <c r="E411" s="6" t="inlineStr">
        <is>
          <t>R1049719</t>
        </is>
      </c>
      <c r="F411" s="2" t="n">
        <v>44264</v>
      </c>
      <c r="G411" s="1" t="n"/>
    </row>
    <row r="412">
      <c r="A412" s="6" t="n">
        <v>19478</v>
      </c>
      <c r="B412" s="6" t="inlineStr">
        <is>
          <t>MAKER'S MARK</t>
        </is>
      </c>
      <c r="C412" s="7">
        <f>VLOOKUP(A412,SizeData!A$2:B$3839,2,FALSE)</f>
        <v/>
      </c>
      <c r="D412" s="6" t="n">
        <v>3</v>
      </c>
      <c r="E412" s="6" t="inlineStr">
        <is>
          <t>R1200565</t>
        </is>
      </c>
      <c r="F412" s="2" t="n">
        <v>44411</v>
      </c>
      <c r="G412" s="1" t="n"/>
    </row>
    <row r="413">
      <c r="A413" s="6" t="n">
        <v>19478</v>
      </c>
      <c r="B413" s="6" t="inlineStr">
        <is>
          <t>MAKER'S MARK</t>
        </is>
      </c>
      <c r="C413" s="7">
        <f>VLOOKUP(A413,SizeData!A$2:B$3839,2,FALSE)</f>
        <v/>
      </c>
      <c r="D413" s="6" t="n">
        <v>2</v>
      </c>
      <c r="E413" s="6" t="inlineStr">
        <is>
          <t xml:space="preserve"> R1206104</t>
        </is>
      </c>
      <c r="F413" s="2" t="n">
        <v>44413</v>
      </c>
      <c r="G413" s="1" t="n"/>
    </row>
    <row r="414">
      <c r="A414" s="6" t="n">
        <v>19481</v>
      </c>
      <c r="B414" s="6" t="inlineStr">
        <is>
          <t>MAKER'S MARK CASK STRENGTH BOURBON WHISKEY</t>
        </is>
      </c>
      <c r="C414" s="7">
        <f>VLOOKUP(A414,SizeData!A$2:B$3839,2,FALSE)</f>
        <v/>
      </c>
      <c r="D414" s="6" t="n">
        <v>1</v>
      </c>
      <c r="E414" s="6" t="inlineStr">
        <is>
          <t>R1169967</t>
        </is>
      </c>
      <c r="F414" s="2" t="n">
        <v>44385</v>
      </c>
      <c r="G414" s="1" t="n"/>
    </row>
    <row r="415">
      <c r="A415" s="6" t="n">
        <v>19481</v>
      </c>
      <c r="B415" s="6" t="inlineStr">
        <is>
          <t>MAKER'S MARK CASK STRENGTH BOURBON WHISKEY</t>
        </is>
      </c>
      <c r="C415" s="7">
        <f>VLOOKUP(A415,SizeData!A$2:B$3839,2,FALSE)</f>
        <v/>
      </c>
      <c r="D415" s="6" t="n">
        <v>1</v>
      </c>
      <c r="E415" s="6" t="inlineStr">
        <is>
          <t>R1170994</t>
        </is>
      </c>
      <c r="F415" s="2" t="n">
        <v>44394</v>
      </c>
      <c r="G415" s="1" t="n"/>
    </row>
    <row r="416">
      <c r="A416" s="6" t="n">
        <v>19481</v>
      </c>
      <c r="B416" s="6" t="inlineStr">
        <is>
          <t>MAKER'S MARK CASK STRENGTH BOURBON WHISKEY</t>
        </is>
      </c>
      <c r="C416" s="7">
        <f>VLOOKUP(A416,SizeData!A$2:B$3839,2,FALSE)</f>
        <v/>
      </c>
      <c r="D416" s="6" t="n">
        <v>3</v>
      </c>
      <c r="E416" s="6" t="inlineStr">
        <is>
          <t>R1325385</t>
        </is>
      </c>
      <c r="F416" s="2" t="n">
        <v>44508</v>
      </c>
      <c r="G416" s="1" t="n"/>
    </row>
    <row r="417">
      <c r="A417" s="6" t="n">
        <v>19485</v>
      </c>
      <c r="B417" s="6" t="inlineStr">
        <is>
          <t>MAKER'S MARK 46</t>
        </is>
      </c>
      <c r="C417" s="7">
        <f>VLOOKUP(A417,SizeData!A$2:B$3839,2,FALSE)</f>
        <v/>
      </c>
      <c r="D417" s="6" t="n">
        <v>2</v>
      </c>
      <c r="E417" s="6" t="inlineStr">
        <is>
          <t>R1055142</t>
        </is>
      </c>
      <c r="F417" s="2" t="n">
        <v>44257</v>
      </c>
      <c r="G417" s="1" t="n"/>
    </row>
    <row r="418">
      <c r="A418" s="6" t="n">
        <v>19486</v>
      </c>
      <c r="B418" s="6" t="inlineStr">
        <is>
          <t>MAKER'S MARK 46</t>
        </is>
      </c>
      <c r="C418" s="7">
        <f>VLOOKUP(A418,SizeData!A$2:B$3839,2,FALSE)</f>
        <v/>
      </c>
      <c r="D418" s="6" t="n">
        <v>1</v>
      </c>
      <c r="E418" s="6" t="inlineStr">
        <is>
          <t>R1000359</t>
        </is>
      </c>
      <c r="F418" s="2" t="n">
        <v>44201</v>
      </c>
      <c r="G418" s="1" t="n"/>
    </row>
    <row r="419">
      <c r="A419" s="6" t="n">
        <v>19486</v>
      </c>
      <c r="B419" s="6" t="inlineStr">
        <is>
          <t>MAKER'S MARK 46</t>
        </is>
      </c>
      <c r="C419" s="7">
        <f>VLOOKUP(A419,SizeData!A$2:B$3839,2,FALSE)</f>
        <v/>
      </c>
      <c r="D419" s="6" t="n">
        <v>2</v>
      </c>
      <c r="E419" s="6" t="inlineStr">
        <is>
          <t>R1170994</t>
        </is>
      </c>
      <c r="F419" s="2" t="n">
        <v>44394</v>
      </c>
      <c r="G419" s="1" t="n"/>
    </row>
    <row r="420">
      <c r="A420" s="6" t="n">
        <v>19486</v>
      </c>
      <c r="B420" s="6" t="inlineStr">
        <is>
          <t>MAKER'S MARK 46</t>
        </is>
      </c>
      <c r="C420" s="7">
        <f>VLOOKUP(A420,SizeData!A$2:B$3839,2,FALSE)</f>
        <v/>
      </c>
      <c r="D420" s="6" t="n">
        <v>2</v>
      </c>
      <c r="E420" s="6" t="inlineStr">
        <is>
          <t>R1276082</t>
        </is>
      </c>
      <c r="F420" s="2" t="n">
        <v>44480</v>
      </c>
      <c r="G420" s="1" t="n"/>
    </row>
    <row r="421">
      <c r="A421" s="6" t="n">
        <v>19880</v>
      </c>
      <c r="B421" s="6" t="inlineStr">
        <is>
          <t>MICHTER'S US*1 SMALL BATCH BOURBON</t>
        </is>
      </c>
      <c r="C421" s="7">
        <f>VLOOKUP(A421,SizeData!A$2:B$3839,2,FALSE)</f>
        <v/>
      </c>
      <c r="D421" s="6" t="n">
        <v>1</v>
      </c>
      <c r="E421" s="6" t="inlineStr">
        <is>
          <t>R1136630</t>
        </is>
      </c>
      <c r="F421" s="2" t="n">
        <v>44341</v>
      </c>
      <c r="G421" s="1" t="n"/>
    </row>
    <row r="422">
      <c r="A422" s="6" t="n">
        <v>20166</v>
      </c>
      <c r="B422" s="6" t="inlineStr">
        <is>
          <t>OLD CHARTER 8</t>
        </is>
      </c>
      <c r="C422" s="7">
        <f>VLOOKUP(A422,SizeData!A$2:B$3839,2,FALSE)</f>
        <v/>
      </c>
      <c r="D422" s="6" t="n">
        <v>1</v>
      </c>
      <c r="E422" s="6" t="inlineStr">
        <is>
          <t>R1085574</t>
        </is>
      </c>
      <c r="F422" s="2" t="n">
        <v>44288</v>
      </c>
      <c r="G422" s="1" t="n"/>
    </row>
    <row r="423">
      <c r="A423" s="6" t="n">
        <v>20166</v>
      </c>
      <c r="B423" s="6" t="inlineStr">
        <is>
          <t>OLD CHARTER 8</t>
        </is>
      </c>
      <c r="C423" s="7">
        <f>VLOOKUP(A423,SizeData!A$2:B$3839,2,FALSE)</f>
        <v/>
      </c>
      <c r="D423" s="6" t="n">
        <v>1</v>
      </c>
      <c r="E423" s="6" t="inlineStr">
        <is>
          <t>R1231184</t>
        </is>
      </c>
      <c r="F423" s="2" t="n">
        <v>44443</v>
      </c>
      <c r="G423" s="1" t="n"/>
    </row>
    <row r="424">
      <c r="A424" s="6" t="n">
        <v>20168</v>
      </c>
      <c r="B424" s="6" t="inlineStr">
        <is>
          <t>OLD CHARTER 8</t>
        </is>
      </c>
      <c r="C424" s="7">
        <f>VLOOKUP(A424,SizeData!A$2:B$3839,2,FALSE)</f>
        <v/>
      </c>
      <c r="D424" s="6" t="n">
        <v>1</v>
      </c>
      <c r="E424" s="6" t="inlineStr">
        <is>
          <t>R1106414</t>
        </is>
      </c>
      <c r="F424" s="2" t="n">
        <v>44307</v>
      </c>
      <c r="G424" s="1" t="n"/>
    </row>
    <row r="425">
      <c r="A425" s="6" t="n">
        <v>20169</v>
      </c>
      <c r="B425" s="6" t="inlineStr">
        <is>
          <t>OLD CHARTER 8 (PET)</t>
        </is>
      </c>
      <c r="C425" s="7">
        <f>VLOOKUP(A425,SizeData!A$2:B$3839,2,FALSE)</f>
        <v/>
      </c>
      <c r="D425" s="6" t="n">
        <v>2</v>
      </c>
      <c r="E425" s="6" t="inlineStr">
        <is>
          <t>R1043793</t>
        </is>
      </c>
      <c r="F425" s="2" t="n">
        <v>44270</v>
      </c>
      <c r="G425" s="1" t="n"/>
    </row>
    <row r="426">
      <c r="A426" s="6" t="n">
        <v>20169</v>
      </c>
      <c r="B426" s="6" t="inlineStr">
        <is>
          <t>OLD CHARTER 8 (PET)</t>
        </is>
      </c>
      <c r="C426" s="7">
        <f>VLOOKUP(A426,SizeData!A$2:B$3839,2,FALSE)</f>
        <v/>
      </c>
      <c r="D426" s="6" t="n">
        <v>3</v>
      </c>
      <c r="E426" s="6" t="inlineStr">
        <is>
          <t>R1232734</t>
        </is>
      </c>
      <c r="F426" s="2" t="n">
        <v>44441</v>
      </c>
      <c r="G426" s="1" t="n"/>
    </row>
    <row r="427">
      <c r="A427" s="6" t="n">
        <v>20366</v>
      </c>
      <c r="B427" s="6" t="inlineStr">
        <is>
          <t>OLD FORESTER</t>
        </is>
      </c>
      <c r="C427" s="7">
        <f>VLOOKUP(A427,SizeData!A$2:B$3839,2,FALSE)</f>
        <v/>
      </c>
      <c r="D427" s="6" t="n">
        <v>1</v>
      </c>
      <c r="E427" s="6" t="inlineStr">
        <is>
          <t>R1046007</t>
        </is>
      </c>
      <c r="F427" s="2" t="n">
        <v>44250</v>
      </c>
      <c r="G427" s="1" t="n"/>
    </row>
    <row r="428">
      <c r="A428" s="6" t="n">
        <v>20538</v>
      </c>
      <c r="B428" s="6" t="inlineStr">
        <is>
          <t>OLD KENTUCKY TAVERN (PET)</t>
        </is>
      </c>
      <c r="C428" s="7">
        <f>VLOOKUP(A428,SizeData!A$2:B$3839,2,FALSE)</f>
        <v/>
      </c>
      <c r="D428" s="6" t="n">
        <v>3</v>
      </c>
      <c r="E428" s="6" t="inlineStr">
        <is>
          <t>R1030777</t>
        </is>
      </c>
      <c r="F428" s="2" t="n">
        <v>44238</v>
      </c>
      <c r="G428" s="1" t="n"/>
    </row>
    <row r="429">
      <c r="A429" s="6" t="n">
        <v>20538</v>
      </c>
      <c r="B429" s="6" t="inlineStr">
        <is>
          <t>OLD KENTUCKY TAVERN (PET)</t>
        </is>
      </c>
      <c r="C429" s="7">
        <f>VLOOKUP(A429,SizeData!A$2:B$3839,2,FALSE)</f>
        <v/>
      </c>
      <c r="D429" s="6" t="n">
        <v>1</v>
      </c>
      <c r="E429" s="6" t="inlineStr">
        <is>
          <t>R1033219</t>
        </is>
      </c>
      <c r="F429" s="2" t="n">
        <v>44249</v>
      </c>
      <c r="G429" s="1" t="n"/>
    </row>
    <row r="430">
      <c r="A430" s="6" t="n">
        <v>20538</v>
      </c>
      <c r="B430" s="6" t="inlineStr">
        <is>
          <t>OLD KENTUCKY TAVERN (PET)</t>
        </is>
      </c>
      <c r="C430" s="7">
        <f>VLOOKUP(A430,SizeData!A$2:B$3839,2,FALSE)</f>
        <v/>
      </c>
      <c r="D430" s="6" t="n">
        <v>3</v>
      </c>
      <c r="E430" s="6" t="inlineStr">
        <is>
          <t>R1132471</t>
        </is>
      </c>
      <c r="F430" s="2" t="n">
        <v>44349</v>
      </c>
      <c r="G430" s="1" t="n"/>
    </row>
    <row r="431">
      <c r="A431" s="6" t="n">
        <v>20538</v>
      </c>
      <c r="B431" s="6" t="inlineStr">
        <is>
          <t>OLD KENTUCKY TAVERN (PET)</t>
        </is>
      </c>
      <c r="C431" s="7">
        <f>VLOOKUP(A431,SizeData!A$2:B$3839,2,FALSE)</f>
        <v/>
      </c>
      <c r="D431" s="6" t="n">
        <v>1</v>
      </c>
      <c r="E431" s="6" t="inlineStr">
        <is>
          <t>R1245880</t>
        </is>
      </c>
      <c r="F431" s="2" t="n">
        <v>44453</v>
      </c>
      <c r="G431" s="1" t="n"/>
    </row>
    <row r="432">
      <c r="A432" s="6" t="n">
        <v>20538</v>
      </c>
      <c r="B432" s="6" t="inlineStr">
        <is>
          <t>OLD KENTUCKY TAVERN (PET)</t>
        </is>
      </c>
      <c r="C432" s="7">
        <f>VLOOKUP(A432,SizeData!A$2:B$3839,2,FALSE)</f>
        <v/>
      </c>
      <c r="D432" s="6" t="n">
        <v>2</v>
      </c>
      <c r="E432" s="6" t="inlineStr">
        <is>
          <t>R1254400</t>
        </is>
      </c>
      <c r="F432" s="2" t="n">
        <v>44468</v>
      </c>
      <c r="G432" s="1" t="n"/>
    </row>
    <row r="433">
      <c r="A433" s="6" t="n">
        <v>20538</v>
      </c>
      <c r="B433" s="6" t="inlineStr">
        <is>
          <t>OLD KENTUCKY TAVERN (PET)</t>
        </is>
      </c>
      <c r="C433" s="7">
        <f>VLOOKUP(A433,SizeData!A$2:B$3839,2,FALSE)</f>
        <v/>
      </c>
      <c r="D433" s="6" t="n">
        <v>3</v>
      </c>
      <c r="E433" s="6" t="inlineStr">
        <is>
          <t>R1300187</t>
        </is>
      </c>
      <c r="F433" s="2" t="n">
        <v>44494</v>
      </c>
      <c r="G433" s="1" t="n"/>
    </row>
    <row r="434">
      <c r="A434" s="6" t="n">
        <v>20538</v>
      </c>
      <c r="B434" s="6" t="inlineStr">
        <is>
          <t>OLD KENTUCKY TAVERN (PET)</t>
        </is>
      </c>
      <c r="C434" s="7">
        <f>VLOOKUP(A434,SizeData!A$2:B$3839,2,FALSE)</f>
        <v/>
      </c>
      <c r="D434" s="6" t="n">
        <v>3</v>
      </c>
      <c r="E434" s="6" t="inlineStr">
        <is>
          <t>R1327983</t>
        </is>
      </c>
      <c r="F434" s="2" t="n">
        <v>44523</v>
      </c>
      <c r="G434" s="1" t="n"/>
    </row>
    <row r="435">
      <c r="A435" s="6" t="n">
        <v>20538</v>
      </c>
      <c r="B435" s="6" t="inlineStr">
        <is>
          <t>OLD KENTUCKY TAVERN (PET)</t>
        </is>
      </c>
      <c r="C435" s="7">
        <f>VLOOKUP(A435,SizeData!A$2:B$3839,2,FALSE)</f>
        <v/>
      </c>
      <c r="D435" s="6" t="n">
        <v>3</v>
      </c>
      <c r="E435" s="6" t="inlineStr">
        <is>
          <t>R1347114</t>
        </is>
      </c>
      <c r="F435" s="2" t="n">
        <v>44531</v>
      </c>
      <c r="G435" s="1" t="n"/>
    </row>
    <row r="436">
      <c r="A436" s="6" t="n">
        <v>21236</v>
      </c>
      <c r="B436" s="6" t="inlineStr">
        <is>
          <t>1792 SMALL BATCH BOURBON</t>
        </is>
      </c>
      <c r="C436" s="7">
        <f>VLOOKUP(A436,SizeData!A$2:B$3839,2,FALSE)</f>
        <v/>
      </c>
      <c r="D436" s="6" t="n">
        <v>1</v>
      </c>
      <c r="E436" s="6" t="inlineStr">
        <is>
          <t>R1054435</t>
        </is>
      </c>
      <c r="F436" s="2" t="n">
        <v>44272</v>
      </c>
      <c r="G436" s="1" t="n"/>
    </row>
    <row r="437">
      <c r="A437" s="6" t="n">
        <v>21236</v>
      </c>
      <c r="B437" s="6" t="inlineStr">
        <is>
          <t>1792 SMALL BATCH BOURBON</t>
        </is>
      </c>
      <c r="C437" s="7">
        <f>VLOOKUP(A437,SizeData!A$2:B$3839,2,FALSE)</f>
        <v/>
      </c>
      <c r="D437" s="6" t="n">
        <v>1</v>
      </c>
      <c r="E437" s="6" t="inlineStr">
        <is>
          <t>R1119856</t>
        </is>
      </c>
      <c r="F437" s="2" t="n">
        <v>44333</v>
      </c>
      <c r="G437" s="1" t="n"/>
    </row>
    <row r="438">
      <c r="A438" s="6" t="n">
        <v>21236</v>
      </c>
      <c r="B438" s="6" t="inlineStr">
        <is>
          <t>1792 SMALL BATCH BOURBON</t>
        </is>
      </c>
      <c r="C438" s="7">
        <f>VLOOKUP(A438,SizeData!A$2:B$3839,2,FALSE)</f>
        <v/>
      </c>
      <c r="D438" s="6" t="n">
        <v>1</v>
      </c>
      <c r="E438" s="6" t="inlineStr">
        <is>
          <t>R1131905</t>
        </is>
      </c>
      <c r="F438" s="2" t="n">
        <v>44340</v>
      </c>
      <c r="G438" s="1" t="n"/>
    </row>
    <row r="439">
      <c r="A439" s="6" t="n">
        <v>21236</v>
      </c>
      <c r="B439" s="6" t="inlineStr">
        <is>
          <t>1792 SMALL BATCH BOURBON</t>
        </is>
      </c>
      <c r="C439" s="7">
        <f>VLOOKUP(A439,SizeData!A$2:B$3839,2,FALSE)</f>
        <v/>
      </c>
      <c r="D439" s="6" t="n">
        <v>1</v>
      </c>
      <c r="E439" s="6" t="inlineStr">
        <is>
          <t>R1156528</t>
        </is>
      </c>
      <c r="F439" s="2" t="n">
        <v>44362</v>
      </c>
      <c r="G439" s="1" t="n"/>
    </row>
    <row r="440">
      <c r="A440" s="6" t="n">
        <v>21236</v>
      </c>
      <c r="B440" s="6" t="inlineStr">
        <is>
          <t>1792 SMALL BATCH BOURBON</t>
        </is>
      </c>
      <c r="C440" s="7">
        <f>VLOOKUP(A440,SizeData!A$2:B$3839,2,FALSE)</f>
        <v/>
      </c>
      <c r="D440" s="6" t="n">
        <v>1</v>
      </c>
      <c r="E440" s="6" t="inlineStr">
        <is>
          <t>R1327983</t>
        </is>
      </c>
      <c r="F440" s="2" t="n">
        <v>44523</v>
      </c>
      <c r="G440" s="1" t="n"/>
    </row>
    <row r="441">
      <c r="A441" s="6" t="n">
        <v>21480</v>
      </c>
      <c r="B441" s="6" t="inlineStr">
        <is>
          <t>BENCHMARK STRAIGHT BOURBON</t>
        </is>
      </c>
      <c r="C441" s="7">
        <f>VLOOKUP(A441,SizeData!A$2:B$3839,2,FALSE)</f>
        <v/>
      </c>
      <c r="D441" s="6" t="n">
        <v>1</v>
      </c>
      <c r="E441" s="6" t="inlineStr">
        <is>
          <t>R1001511</t>
        </is>
      </c>
      <c r="F441" s="2" t="n">
        <v>44208</v>
      </c>
      <c r="G441" s="1" t="n"/>
    </row>
    <row r="442">
      <c r="A442" s="6" t="n">
        <v>21480</v>
      </c>
      <c r="B442" s="6" t="inlineStr">
        <is>
          <t>BENCHMARK STRAIGHT BOURBON</t>
        </is>
      </c>
      <c r="C442" s="7">
        <f>VLOOKUP(A442,SizeData!A$2:B$3839,2,FALSE)</f>
        <v/>
      </c>
      <c r="D442" s="6" t="n">
        <v>1</v>
      </c>
      <c r="E442" s="6" t="inlineStr">
        <is>
          <t>R1079257</t>
        </is>
      </c>
      <c r="F442" s="2" t="n">
        <v>44298</v>
      </c>
      <c r="G442" s="1" t="n"/>
    </row>
    <row r="443">
      <c r="A443" s="6" t="n">
        <v>21480</v>
      </c>
      <c r="B443" s="6" t="inlineStr">
        <is>
          <t>BENCHMARK STRAIGHT BOURBON</t>
        </is>
      </c>
      <c r="C443" s="7">
        <f>VLOOKUP(A443,SizeData!A$2:B$3839,2,FALSE)</f>
        <v/>
      </c>
      <c r="D443" s="6" t="n">
        <v>1</v>
      </c>
      <c r="E443" s="6" t="inlineStr">
        <is>
          <t>R1183128</t>
        </is>
      </c>
      <c r="F443" s="2" t="n">
        <v>44398</v>
      </c>
      <c r="G443" s="1" t="n"/>
    </row>
    <row r="444">
      <c r="A444" s="6" t="n">
        <v>21480</v>
      </c>
      <c r="B444" s="6" t="inlineStr">
        <is>
          <t>BENCHMARK STRAIGHT BOURBON</t>
        </is>
      </c>
      <c r="C444" s="7">
        <f>VLOOKUP(A444,SizeData!A$2:B$3839,2,FALSE)</f>
        <v/>
      </c>
      <c r="D444" s="6" t="n">
        <v>1</v>
      </c>
      <c r="E444" s="6" t="inlineStr">
        <is>
          <t>R1232734</t>
        </is>
      </c>
      <c r="F444" s="2" t="n">
        <v>44441</v>
      </c>
      <c r="G444" s="1" t="n"/>
    </row>
    <row r="445">
      <c r="A445" s="6" t="n">
        <v>21480</v>
      </c>
      <c r="B445" s="6" t="inlineStr">
        <is>
          <t>BENCHMARK STRAIGHT BOURBON</t>
        </is>
      </c>
      <c r="C445" s="7">
        <f>VLOOKUP(A445,SizeData!A$2:B$3839,2,FALSE)</f>
        <v/>
      </c>
      <c r="D445" s="6" t="n">
        <v>2</v>
      </c>
      <c r="E445" s="6" t="inlineStr">
        <is>
          <t>R1311055</t>
        </is>
      </c>
      <c r="F445" s="2" t="n">
        <v>44501</v>
      </c>
      <c r="G445" s="1" t="n"/>
    </row>
    <row r="446">
      <c r="A446" s="6" t="n">
        <v>21482</v>
      </c>
      <c r="B446" s="6" t="inlineStr">
        <is>
          <t>BENCHMARK STRAIGHT BOURBON (PET)</t>
        </is>
      </c>
      <c r="C446" s="7">
        <f>VLOOKUP(A446,SizeData!A$2:B$3839,2,FALSE)</f>
        <v/>
      </c>
      <c r="D446" s="6" t="n">
        <v>3</v>
      </c>
      <c r="E446" s="6" t="inlineStr">
        <is>
          <t>R1042069</t>
        </is>
      </c>
      <c r="F446" s="2" t="n">
        <v>44260</v>
      </c>
      <c r="G446" s="1" t="n"/>
    </row>
    <row r="447">
      <c r="A447" s="6" t="n">
        <v>21482</v>
      </c>
      <c r="B447" s="6" t="inlineStr">
        <is>
          <t>BENCHMARK STRAIGHT BOURBON (PET)</t>
        </is>
      </c>
      <c r="C447" s="7">
        <f>VLOOKUP(A447,SizeData!A$2:B$3839,2,FALSE)</f>
        <v/>
      </c>
      <c r="D447" s="6" t="n">
        <v>3</v>
      </c>
      <c r="E447" s="6" t="inlineStr">
        <is>
          <t>R1183128</t>
        </is>
      </c>
      <c r="F447" s="2" t="n">
        <v>44398</v>
      </c>
      <c r="G447" s="1" t="n"/>
    </row>
    <row r="448">
      <c r="A448" s="6" t="n">
        <v>21482</v>
      </c>
      <c r="B448" s="6" t="inlineStr">
        <is>
          <t>BENCHMARK STRAIGHT BOURBON (PET)</t>
        </is>
      </c>
      <c r="C448" s="7">
        <f>VLOOKUP(A448,SizeData!A$2:B$3839,2,FALSE)</f>
        <v/>
      </c>
      <c r="D448" s="6" t="n">
        <v>10</v>
      </c>
      <c r="E448" s="6" t="inlineStr">
        <is>
          <t>R1232734</t>
        </is>
      </c>
      <c r="F448" s="2" t="n">
        <v>44441</v>
      </c>
      <c r="G448" s="1" t="n"/>
    </row>
    <row r="449">
      <c r="A449" s="6" t="n">
        <v>21482</v>
      </c>
      <c r="B449" s="6" t="inlineStr">
        <is>
          <t>BENCHMARK STRAIGHT BOURBON (PET)</t>
        </is>
      </c>
      <c r="C449" s="7">
        <f>VLOOKUP(A449,SizeData!A$2:B$3839,2,FALSE)</f>
        <v/>
      </c>
      <c r="D449" s="6" t="n">
        <v>10</v>
      </c>
      <c r="E449" s="6" t="inlineStr">
        <is>
          <t>R1280745</t>
        </is>
      </c>
      <c r="F449" s="2" t="n">
        <v>44477</v>
      </c>
      <c r="G449" s="1" t="n"/>
    </row>
    <row r="450">
      <c r="A450" s="6" t="n">
        <v>21876</v>
      </c>
      <c r="B450" s="6" t="inlineStr">
        <is>
          <t>VERY OLD BARTON 86</t>
        </is>
      </c>
      <c r="C450" s="7">
        <f>VLOOKUP(A450,SizeData!A$2:B$3839,2,FALSE)</f>
        <v/>
      </c>
      <c r="D450" s="6" t="n">
        <v>1</v>
      </c>
      <c r="E450" s="6" t="inlineStr">
        <is>
          <t>R1311055</t>
        </is>
      </c>
      <c r="F450" s="2" t="n">
        <v>44501</v>
      </c>
      <c r="G450" s="1" t="n"/>
    </row>
    <row r="451">
      <c r="A451" s="6" t="n">
        <v>21878</v>
      </c>
      <c r="B451" s="6" t="inlineStr">
        <is>
          <t>VERY OLD BARTON 86</t>
        </is>
      </c>
      <c r="C451" s="7">
        <f>VLOOKUP(A451,SizeData!A$2:B$3839,2,FALSE)</f>
        <v/>
      </c>
      <c r="D451" s="6" t="n">
        <v>0</v>
      </c>
      <c r="E451" s="6" t="inlineStr">
        <is>
          <t>R1311055</t>
        </is>
      </c>
      <c r="F451" s="2" t="n">
        <v>44501</v>
      </c>
      <c r="G451" s="1" t="n"/>
    </row>
    <row r="452">
      <c r="A452" s="6" t="n">
        <v>22075</v>
      </c>
      <c r="B452" s="6" t="inlineStr">
        <is>
          <t>WILDERNESS TRAIL STRAIGHT BOURBON SMALL BATCH BIB</t>
        </is>
      </c>
      <c r="C452" s="7">
        <f>VLOOKUP(A452,SizeData!A$2:B$3839,2,FALSE)</f>
        <v/>
      </c>
      <c r="D452" s="6" t="n">
        <v>1</v>
      </c>
      <c r="E452" s="6" t="inlineStr">
        <is>
          <t xml:space="preserve"> R1263571</t>
        </is>
      </c>
      <c r="F452" s="2" t="n">
        <v>44470</v>
      </c>
      <c r="G452" s="1" t="n"/>
    </row>
    <row r="453">
      <c r="A453" s="6" t="n">
        <v>22075</v>
      </c>
      <c r="B453" s="6" t="inlineStr">
        <is>
          <t>WILDERNESS TRAIL STRAIGHT BOURBON SMALL BATCH BIB</t>
        </is>
      </c>
      <c r="C453" s="7">
        <f>VLOOKUP(A453,SizeData!A$2:B$3839,2,FALSE)</f>
        <v/>
      </c>
      <c r="D453" s="6" t="n">
        <v>1</v>
      </c>
      <c r="E453" s="6" t="inlineStr">
        <is>
          <t>R1262670</t>
        </is>
      </c>
      <c r="F453" s="2" t="n">
        <v>44470</v>
      </c>
      <c r="G453" s="1" t="n"/>
    </row>
    <row r="454">
      <c r="A454" s="6" t="n">
        <v>22077</v>
      </c>
      <c r="B454" s="6" t="inlineStr">
        <is>
          <t>WILDERNESS TRAIL STRAIGHT BOURBON SGL BARREL BIB</t>
        </is>
      </c>
      <c r="C454" s="7">
        <f>VLOOKUP(A454,SizeData!A$2:B$3839,2,FALSE)</f>
        <v/>
      </c>
      <c r="D454" s="6" t="n">
        <v>1</v>
      </c>
      <c r="E454" s="6" t="inlineStr">
        <is>
          <t>R1146719</t>
        </is>
      </c>
      <c r="F454" s="2" t="n">
        <v>44355</v>
      </c>
      <c r="G454" s="1" t="n"/>
    </row>
    <row r="455">
      <c r="A455" s="6" t="n">
        <v>22077</v>
      </c>
      <c r="B455" s="6" t="inlineStr">
        <is>
          <t>WILDERNESS TRAIL STRAIGHT BOURBON SGL BARREL BIB</t>
        </is>
      </c>
      <c r="C455" s="7">
        <f>VLOOKUP(A455,SizeData!A$2:B$3839,2,FALSE)</f>
        <v/>
      </c>
      <c r="D455" s="6" t="n">
        <v>0</v>
      </c>
      <c r="E455" s="6" t="inlineStr">
        <is>
          <t>R1232932</t>
        </is>
      </c>
      <c r="F455" s="2" t="n">
        <v>44446</v>
      </c>
      <c r="G455" s="1" t="n"/>
    </row>
    <row r="456">
      <c r="A456" s="6" t="n">
        <v>22077</v>
      </c>
      <c r="B456" s="6" t="inlineStr">
        <is>
          <t>WILDERNESS TRAIL STRAIGHT BOURBON SGL BARREL BIB</t>
        </is>
      </c>
      <c r="C456" s="7">
        <f>VLOOKUP(A456,SizeData!A$2:B$3839,2,FALSE)</f>
        <v/>
      </c>
      <c r="D456" s="6" t="n">
        <v>0</v>
      </c>
      <c r="E456" s="6" t="inlineStr">
        <is>
          <t>R1270613</t>
        </is>
      </c>
      <c r="F456" s="2" t="n">
        <v>44461</v>
      </c>
      <c r="G456" s="1" t="n"/>
    </row>
    <row r="457">
      <c r="A457" s="6" t="n">
        <v>22077</v>
      </c>
      <c r="B457" s="6" t="inlineStr">
        <is>
          <t>WILDERNESS TRAIL STRAIGHT BOURBON SGL BARREL BIB</t>
        </is>
      </c>
      <c r="C457" s="7">
        <f>VLOOKUP(A457,SizeData!A$2:B$3839,2,FALSE)</f>
        <v/>
      </c>
      <c r="D457" s="6" t="n">
        <v>1</v>
      </c>
      <c r="E457" s="6" t="inlineStr">
        <is>
          <t xml:space="preserve"> R1263571</t>
        </is>
      </c>
      <c r="F457" s="2" t="n">
        <v>44470</v>
      </c>
      <c r="G457" s="1" t="n"/>
    </row>
    <row r="458">
      <c r="A458" s="6" t="n">
        <v>22077</v>
      </c>
      <c r="B458" s="6" t="inlineStr">
        <is>
          <t>WILDERNESS TRAIL STRAIGHT BOURBON SGL BARREL BIB</t>
        </is>
      </c>
      <c r="C458" s="7">
        <f>VLOOKUP(A458,SizeData!A$2:B$3839,2,FALSE)</f>
        <v/>
      </c>
      <c r="D458" s="6" t="n">
        <v>1</v>
      </c>
      <c r="E458" s="6" t="inlineStr">
        <is>
          <t>R1262670</t>
        </is>
      </c>
      <c r="F458" s="2" t="n">
        <v>44470</v>
      </c>
      <c r="G458" s="1" t="n"/>
    </row>
    <row r="459">
      <c r="A459" s="6" t="n">
        <v>22121</v>
      </c>
      <c r="B459" s="6" t="inlineStr">
        <is>
          <t>WILD TURKEY 81</t>
        </is>
      </c>
      <c r="C459" s="7">
        <f>VLOOKUP(A459,SizeData!A$2:B$3839,2,FALSE)</f>
        <v/>
      </c>
      <c r="D459" s="6" t="n">
        <v>1</v>
      </c>
      <c r="E459" s="6" t="inlineStr">
        <is>
          <t>R1301983</t>
        </is>
      </c>
      <c r="F459" s="2" t="n">
        <v>44501</v>
      </c>
      <c r="G459" s="1" t="n"/>
    </row>
    <row r="460">
      <c r="A460" s="6" t="n">
        <v>22154</v>
      </c>
      <c r="B460" s="6" t="inlineStr">
        <is>
          <t>WILD TURKEY 101 (FLASK)</t>
        </is>
      </c>
      <c r="C460" s="7">
        <f>VLOOKUP(A460,SizeData!A$2:B$3839,2,FALSE)</f>
        <v/>
      </c>
      <c r="D460" s="6" t="n">
        <v>1</v>
      </c>
      <c r="E460" s="6" t="inlineStr">
        <is>
          <t>R1099557</t>
        </is>
      </c>
      <c r="F460" s="2" t="n">
        <v>44317</v>
      </c>
      <c r="G460" s="1" t="n"/>
    </row>
    <row r="461">
      <c r="A461" s="6" t="n">
        <v>22154</v>
      </c>
      <c r="B461" s="6" t="inlineStr">
        <is>
          <t>WILD TURKEY 101 (FLASK)</t>
        </is>
      </c>
      <c r="C461" s="7">
        <f>VLOOKUP(A461,SizeData!A$2:B$3839,2,FALSE)</f>
        <v/>
      </c>
      <c r="D461" s="6" t="n">
        <v>1</v>
      </c>
      <c r="E461" s="6" t="inlineStr">
        <is>
          <t>R1109381</t>
        </is>
      </c>
      <c r="F461" s="2" t="n">
        <v>44331</v>
      </c>
      <c r="G461" s="1" t="n"/>
    </row>
    <row r="462">
      <c r="A462" s="6" t="n">
        <v>22154</v>
      </c>
      <c r="B462" s="6" t="inlineStr">
        <is>
          <t>WILD TURKEY 101 (FLASK)</t>
        </is>
      </c>
      <c r="C462" s="7">
        <f>VLOOKUP(A462,SizeData!A$2:B$3839,2,FALSE)</f>
        <v/>
      </c>
      <c r="D462" s="6" t="n">
        <v>1</v>
      </c>
      <c r="E462" s="6" t="inlineStr">
        <is>
          <t>R1264995</t>
        </is>
      </c>
      <c r="F462" s="2" t="n">
        <v>44475</v>
      </c>
      <c r="G462" s="1" t="n"/>
    </row>
    <row r="463">
      <c r="A463" s="6" t="n">
        <v>22156</v>
      </c>
      <c r="B463" s="6" t="inlineStr">
        <is>
          <t>WILD TURKEY 101</t>
        </is>
      </c>
      <c r="C463" s="7">
        <f>VLOOKUP(A463,SizeData!A$2:B$3839,2,FALSE)</f>
        <v/>
      </c>
      <c r="D463" s="6" t="n">
        <v>1</v>
      </c>
      <c r="E463" s="6" t="inlineStr">
        <is>
          <t>R1228454</t>
        </is>
      </c>
      <c r="F463" s="2" t="n">
        <v>44445</v>
      </c>
      <c r="G463" s="1" t="n"/>
    </row>
    <row r="464">
      <c r="A464" s="6" t="n">
        <v>22199</v>
      </c>
      <c r="B464" s="6" t="inlineStr">
        <is>
          <t>WILD TURKEY RARE BREED BARREL PROOF</t>
        </is>
      </c>
      <c r="C464" s="7">
        <f>VLOOKUP(A464,SizeData!A$2:B$3839,2,FALSE)</f>
        <v/>
      </c>
      <c r="D464" s="6" t="n">
        <v>1</v>
      </c>
      <c r="E464" s="6" t="inlineStr">
        <is>
          <t>R1070393</t>
        </is>
      </c>
      <c r="F464" s="2" t="n">
        <v>44280</v>
      </c>
      <c r="G464" s="1" t="n"/>
    </row>
    <row r="465">
      <c r="A465" s="6" t="n">
        <v>22214</v>
      </c>
      <c r="B465" s="6" t="inlineStr">
        <is>
          <t>WOODFORD RESERVE</t>
        </is>
      </c>
      <c r="C465" s="7">
        <f>VLOOKUP(A465,SizeData!A$2:B$3839,2,FALSE)</f>
        <v/>
      </c>
      <c r="D465" s="6" t="n">
        <v>3</v>
      </c>
      <c r="E465" s="6" t="inlineStr">
        <is>
          <t>R1046007</t>
        </is>
      </c>
      <c r="F465" s="2" t="n">
        <v>44250</v>
      </c>
      <c r="G465" s="1" t="n"/>
    </row>
    <row r="466">
      <c r="A466" s="6" t="n">
        <v>22215</v>
      </c>
      <c r="B466" s="6" t="inlineStr">
        <is>
          <t>WOODFORD RESERVE STRAIGHT BOURBON</t>
        </is>
      </c>
      <c r="C466" s="7">
        <f>VLOOKUP(A466,SizeData!A$2:B$3839,2,FALSE)</f>
        <v/>
      </c>
      <c r="D466" s="6" t="n">
        <v>3</v>
      </c>
      <c r="E466" s="6" t="inlineStr">
        <is>
          <t>R1053796</t>
        </is>
      </c>
      <c r="F466" s="2" t="n">
        <v>44279</v>
      </c>
      <c r="G466" s="1" t="n"/>
    </row>
    <row r="467">
      <c r="A467" s="6" t="n">
        <v>22215</v>
      </c>
      <c r="B467" s="6" t="inlineStr">
        <is>
          <t>WOODFORD RESERVE STRAIGHT BOURBON</t>
        </is>
      </c>
      <c r="C467" s="7">
        <f>VLOOKUP(A467,SizeData!A$2:B$3839,2,FALSE)</f>
        <v/>
      </c>
      <c r="D467" s="6" t="n">
        <v>3</v>
      </c>
      <c r="E467" s="6" t="inlineStr">
        <is>
          <t>R1337577</t>
        </is>
      </c>
      <c r="F467" s="2" t="n">
        <v>44529</v>
      </c>
      <c r="G467" s="1" t="n"/>
    </row>
    <row r="468">
      <c r="A468" s="6" t="n">
        <v>22228</v>
      </c>
      <c r="B468" s="6" t="inlineStr">
        <is>
          <t>WOODFORD RESERVE DOUBLE OAKED</t>
        </is>
      </c>
      <c r="C468" s="7">
        <f>VLOOKUP(A468,SizeData!A$2:B$3839,2,FALSE)</f>
        <v/>
      </c>
      <c r="D468" s="6" t="n">
        <v>2</v>
      </c>
      <c r="E468" s="6" t="inlineStr">
        <is>
          <t>R1115550</t>
        </is>
      </c>
      <c r="F468" s="2" t="n">
        <v>44314</v>
      </c>
      <c r="G468" s="1" t="n"/>
    </row>
    <row r="469">
      <c r="A469" s="6" t="n">
        <v>22228</v>
      </c>
      <c r="B469" s="6" t="inlineStr">
        <is>
          <t>WOODFORD RESERVE DOUBLE OAKED</t>
        </is>
      </c>
      <c r="C469" s="7">
        <f>VLOOKUP(A469,SizeData!A$2:B$3839,2,FALSE)</f>
        <v/>
      </c>
      <c r="D469" s="6" t="n">
        <v>1</v>
      </c>
      <c r="E469" s="6" t="inlineStr">
        <is>
          <t>R1350337A</t>
        </is>
      </c>
      <c r="F469" s="2" t="n">
        <v>44531</v>
      </c>
      <c r="G469" s="1" t="n"/>
    </row>
    <row r="470">
      <c r="A470" s="6" t="n">
        <v>22244</v>
      </c>
      <c r="B470" s="6" t="inlineStr">
        <is>
          <t>YELLOWSTONE SELECT BOURBON</t>
        </is>
      </c>
      <c r="C470" s="7">
        <f>VLOOKUP(A470,SizeData!A$2:B$3839,2,FALSE)</f>
        <v/>
      </c>
      <c r="D470" s="6" t="n">
        <v>1</v>
      </c>
      <c r="E470" s="6" t="inlineStr">
        <is>
          <t>R1137831</t>
        </is>
      </c>
      <c r="F470" s="2" t="n">
        <v>44348</v>
      </c>
      <c r="G470" s="1" t="n"/>
    </row>
    <row r="471">
      <c r="A471" s="6" t="n">
        <v>22244</v>
      </c>
      <c r="B471" s="6" t="inlineStr">
        <is>
          <t>YELLOWSTONE SELECT BOURBON</t>
        </is>
      </c>
      <c r="C471" s="7">
        <f>VLOOKUP(A471,SizeData!A$2:B$3839,2,FALSE)</f>
        <v/>
      </c>
      <c r="D471" s="6" t="n">
        <v>1</v>
      </c>
      <c r="E471" s="6" t="inlineStr">
        <is>
          <t>R1139038</t>
        </is>
      </c>
      <c r="F471" s="2" t="n">
        <v>44352</v>
      </c>
      <c r="G471" s="1" t="n"/>
    </row>
    <row r="472">
      <c r="A472" s="6" t="n">
        <v>22244</v>
      </c>
      <c r="B472" s="6" t="inlineStr">
        <is>
          <t>YELLOWSTONE SELECT BOURBON</t>
        </is>
      </c>
      <c r="C472" s="7">
        <f>VLOOKUP(A472,SizeData!A$2:B$3839,2,FALSE)</f>
        <v/>
      </c>
      <c r="D472" s="6" t="n">
        <v>1</v>
      </c>
      <c r="E472" s="6" t="inlineStr">
        <is>
          <t>R1143298</t>
        </is>
      </c>
      <c r="F472" s="2" t="n">
        <v>44364</v>
      </c>
      <c r="G472" s="1" t="n"/>
    </row>
    <row r="473">
      <c r="A473" s="6" t="n">
        <v>22249</v>
      </c>
      <c r="B473" s="6" t="inlineStr">
        <is>
          <t>WOODFORD RESERVE HOLIDAY</t>
        </is>
      </c>
      <c r="C473" s="7">
        <f>VLOOKUP(A473,SizeData!A$2:B$3839,2,FALSE)</f>
        <v/>
      </c>
      <c r="D473" s="6" t="n">
        <v>1</v>
      </c>
      <c r="E473" s="6" t="inlineStr">
        <is>
          <t>R1311055</t>
        </is>
      </c>
      <c r="F473" s="2" t="n">
        <v>44501</v>
      </c>
      <c r="G473" s="1" t="n"/>
    </row>
    <row r="474">
      <c r="A474" s="6" t="n">
        <v>22784</v>
      </c>
      <c r="B474" s="6" t="inlineStr">
        <is>
          <t>BEAM'S 8 STAR BLENDED WHISKEY</t>
        </is>
      </c>
      <c r="C474" s="7">
        <f>VLOOKUP(A474,SizeData!A$2:B$3839,2,FALSE)</f>
        <v/>
      </c>
      <c r="D474" s="6" t="n">
        <v>1</v>
      </c>
      <c r="E474" s="6" t="inlineStr">
        <is>
          <t>R1011478</t>
        </is>
      </c>
      <c r="F474" s="2" t="n">
        <v>44226</v>
      </c>
      <c r="G474" s="1" t="n"/>
    </row>
    <row r="475">
      <c r="A475" s="6" t="n">
        <v>22784</v>
      </c>
      <c r="B475" s="6" t="inlineStr">
        <is>
          <t>BEAM'S 8 STAR BLENDED WHISKEY</t>
        </is>
      </c>
      <c r="C475" s="7">
        <f>VLOOKUP(A475,SizeData!A$2:B$3839,2,FALSE)</f>
        <v/>
      </c>
      <c r="D475" s="6" t="n">
        <v>1</v>
      </c>
      <c r="E475" s="6" t="inlineStr">
        <is>
          <t>R1033219</t>
        </is>
      </c>
      <c r="F475" s="2" t="n">
        <v>44249</v>
      </c>
      <c r="G475" s="1" t="n"/>
    </row>
    <row r="476">
      <c r="A476" s="6" t="n">
        <v>22784</v>
      </c>
      <c r="B476" s="6" t="inlineStr">
        <is>
          <t>BEAM'S 8 STAR BLENDED WHISKEY</t>
        </is>
      </c>
      <c r="C476" s="7">
        <f>VLOOKUP(A476,SizeData!A$2:B$3839,2,FALSE)</f>
        <v/>
      </c>
      <c r="D476" s="6" t="n">
        <v>1</v>
      </c>
      <c r="E476" s="6" t="inlineStr">
        <is>
          <t>R1135580</t>
        </is>
      </c>
      <c r="F476" s="2" t="n">
        <v>44340</v>
      </c>
      <c r="G476" s="1" t="n"/>
    </row>
    <row r="477">
      <c r="A477" s="6" t="n">
        <v>22784</v>
      </c>
      <c r="B477" s="6" t="inlineStr">
        <is>
          <t>BEAM'S 8 STAR BLENDED WHISKEY</t>
        </is>
      </c>
      <c r="C477" s="7">
        <f>VLOOKUP(A477,SizeData!A$2:B$3839,2,FALSE)</f>
        <v/>
      </c>
      <c r="D477" s="6" t="n">
        <v>1</v>
      </c>
      <c r="E477" s="6" t="inlineStr">
        <is>
          <t>R1163865</t>
        </is>
      </c>
      <c r="F477" s="2" t="n">
        <v>44384</v>
      </c>
      <c r="G477" s="6" t="n"/>
    </row>
    <row r="478">
      <c r="A478" s="6" t="n">
        <v>22784</v>
      </c>
      <c r="B478" s="6" t="inlineStr">
        <is>
          <t>BEAM'S 8 STAR BLENDED WHISKEY</t>
        </is>
      </c>
      <c r="C478" s="7">
        <f>VLOOKUP(A478,SizeData!A$2:B$3839,2,FALSE)</f>
        <v/>
      </c>
      <c r="D478" s="6" t="n">
        <v>1</v>
      </c>
      <c r="E478" s="6" t="inlineStr">
        <is>
          <t>R1216789</t>
        </is>
      </c>
      <c r="F478" s="2" t="n">
        <v>44432</v>
      </c>
      <c r="G478" s="1" t="n"/>
    </row>
    <row r="479">
      <c r="A479" s="6" t="n">
        <v>22784</v>
      </c>
      <c r="B479" s="6" t="inlineStr">
        <is>
          <t>BEAM'S 8 STAR BLENDED WHISKEY</t>
        </is>
      </c>
      <c r="C479" s="7">
        <f>VLOOKUP(A479,SizeData!A$2:B$3839,2,FALSE)</f>
        <v/>
      </c>
      <c r="D479" s="6" t="n">
        <v>1</v>
      </c>
      <c r="E479" s="6" t="inlineStr">
        <is>
          <t>R1314326</t>
        </is>
      </c>
      <c r="F479" s="2" t="n">
        <v>44512</v>
      </c>
      <c r="G479" s="1" t="n"/>
    </row>
    <row r="480">
      <c r="A480" s="6" t="n">
        <v>22786</v>
      </c>
      <c r="B480" s="6" t="inlineStr">
        <is>
          <t>BEAM'S 8 STAR BLENDED WHISKEY</t>
        </is>
      </c>
      <c r="C480" s="7">
        <f>VLOOKUP(A480,SizeData!A$2:B$3839,2,FALSE)</f>
        <v/>
      </c>
      <c r="D480" s="6" t="n">
        <v>1</v>
      </c>
      <c r="E480" s="6" t="inlineStr">
        <is>
          <t>R1267530</t>
        </is>
      </c>
      <c r="F480" s="2" t="n">
        <v>44470</v>
      </c>
      <c r="G480" s="1" t="n"/>
    </row>
    <row r="481">
      <c r="A481" s="6" t="n">
        <v>22788</v>
      </c>
      <c r="B481" s="6" t="inlineStr">
        <is>
          <t>BEAM'S 8 STAR BLENDED WHISKEY</t>
        </is>
      </c>
      <c r="C481" s="7">
        <f>VLOOKUP(A481,SizeData!A$2:B$3839,2,FALSE)</f>
        <v/>
      </c>
      <c r="D481" s="6" t="n">
        <v>1</v>
      </c>
      <c r="E481" s="6" t="inlineStr">
        <is>
          <t>R1083538</t>
        </is>
      </c>
      <c r="F481" s="2" t="n">
        <v>44292</v>
      </c>
      <c r="G481" s="1" t="n"/>
    </row>
    <row r="482">
      <c r="A482" s="6" t="n">
        <v>22788</v>
      </c>
      <c r="B482" s="6" t="inlineStr">
        <is>
          <t>BEAM'S 8 STAR BLENDED WHISKEY</t>
        </is>
      </c>
      <c r="C482" s="7">
        <f>VLOOKUP(A482,SizeData!A$2:B$3839,2,FALSE)</f>
        <v/>
      </c>
      <c r="D482" s="6" t="n">
        <v>1</v>
      </c>
      <c r="E482" s="6" t="inlineStr">
        <is>
          <t>R1135580</t>
        </is>
      </c>
      <c r="F482" s="2" t="n">
        <v>44340</v>
      </c>
      <c r="G482" s="1" t="n"/>
    </row>
    <row r="483">
      <c r="A483" s="6" t="n">
        <v>22788</v>
      </c>
      <c r="B483" s="6" t="inlineStr">
        <is>
          <t>BEAM'S 8 STAR BLENDED WHISKEY</t>
        </is>
      </c>
      <c r="C483" s="7">
        <f>VLOOKUP(A483,SizeData!A$2:B$3839,2,FALSE)</f>
        <v/>
      </c>
      <c r="D483" s="6" t="n">
        <v>1</v>
      </c>
      <c r="E483" s="6" t="inlineStr">
        <is>
          <t>R1181946</t>
        </is>
      </c>
      <c r="F483" s="2" t="n">
        <v>44398</v>
      </c>
      <c r="G483" s="1" t="n"/>
    </row>
    <row r="484">
      <c r="A484" s="6" t="n">
        <v>22788</v>
      </c>
      <c r="B484" s="6" t="inlineStr">
        <is>
          <t>BEAM'S 8 STAR BLENDED WHISKEY</t>
        </is>
      </c>
      <c r="C484" s="7">
        <f>VLOOKUP(A484,SizeData!A$2:B$3839,2,FALSE)</f>
        <v/>
      </c>
      <c r="D484" s="6" t="n">
        <v>1</v>
      </c>
      <c r="E484" s="6" t="inlineStr">
        <is>
          <t>R1248961</t>
        </is>
      </c>
      <c r="F484" s="2" t="n">
        <v>44461</v>
      </c>
      <c r="G484" s="1" t="n"/>
    </row>
    <row r="485">
      <c r="A485" s="6" t="n">
        <v>22788</v>
      </c>
      <c r="B485" s="6" t="inlineStr">
        <is>
          <t>BEAM'S 8 STAR BLENDED WHISKEY</t>
        </is>
      </c>
      <c r="C485" s="7">
        <f>VLOOKUP(A485,SizeData!A$2:B$3839,2,FALSE)</f>
        <v/>
      </c>
      <c r="D485" s="6" t="n">
        <v>1</v>
      </c>
      <c r="E485" s="6" t="inlineStr">
        <is>
          <t>R1267530</t>
        </is>
      </c>
      <c r="F485" s="2" t="n">
        <v>44470</v>
      </c>
      <c r="G485" s="1" t="n"/>
    </row>
    <row r="486">
      <c r="A486" s="6" t="n">
        <v>22788</v>
      </c>
      <c r="B486" s="6" t="inlineStr">
        <is>
          <t>BEAM'S 8 STAR BLENDED WHISKEY</t>
        </is>
      </c>
      <c r="C486" s="7">
        <f>VLOOKUP(A486,SizeData!A$2:B$3839,2,FALSE)</f>
        <v/>
      </c>
      <c r="D486" s="6" t="n">
        <v>1</v>
      </c>
      <c r="E486" s="6" t="inlineStr">
        <is>
          <t>R1331167</t>
        </is>
      </c>
      <c r="F486" s="2" t="n">
        <v>44522</v>
      </c>
      <c r="G486" s="1" t="n"/>
    </row>
    <row r="487">
      <c r="A487" s="6" t="n">
        <v>22788</v>
      </c>
      <c r="B487" s="6" t="inlineStr">
        <is>
          <t>BEAM'S 8 STAR BLENDED WHISKEY</t>
        </is>
      </c>
      <c r="C487" s="7">
        <f>VLOOKUP(A487,SizeData!A$2:B$3839,2,FALSE)</f>
        <v/>
      </c>
      <c r="D487" s="6" t="n">
        <v>1</v>
      </c>
      <c r="E487" s="6" t="inlineStr">
        <is>
          <t>R1329660</t>
        </is>
      </c>
      <c r="F487" s="2" t="n">
        <v>44525</v>
      </c>
      <c r="G487" s="1" t="n"/>
    </row>
    <row r="488">
      <c r="A488" s="6" t="n">
        <v>23268</v>
      </c>
      <c r="B488" s="6" t="inlineStr">
        <is>
          <t>CALVERT EXTRA BLENDED WHISKEY</t>
        </is>
      </c>
      <c r="C488" s="7">
        <f>VLOOKUP(A488,SizeData!A$2:B$3839,2,FALSE)</f>
        <v/>
      </c>
      <c r="D488" s="6" t="n">
        <v>1</v>
      </c>
      <c r="E488" s="6" t="inlineStr">
        <is>
          <t>R1173248</t>
        </is>
      </c>
      <c r="F488" s="2" t="n">
        <v>44393</v>
      </c>
      <c r="G488" s="1" t="n"/>
    </row>
    <row r="489">
      <c r="A489" s="6" t="n">
        <v>24173</v>
      </c>
      <c r="B489" s="6" t="inlineStr">
        <is>
          <t>HEAVEN HILL BLENDED WHISKEY</t>
        </is>
      </c>
      <c r="C489" s="7">
        <f>VLOOKUP(A489,SizeData!A$2:B$3839,2,FALSE)</f>
        <v/>
      </c>
      <c r="D489" s="6" t="n">
        <v>2</v>
      </c>
      <c r="E489" s="6" t="inlineStr">
        <is>
          <t>R1042481</t>
        </is>
      </c>
      <c r="F489" s="2" t="n">
        <v>44258</v>
      </c>
      <c r="G489" s="1" t="n"/>
    </row>
    <row r="490">
      <c r="A490" s="6" t="n">
        <v>24173</v>
      </c>
      <c r="B490" s="6" t="inlineStr">
        <is>
          <t>QUALITY HOUSE SPIRIT BLEND</t>
        </is>
      </c>
      <c r="C490" s="7">
        <f>VLOOKUP(A490,SizeData!A$2:B$3839,2,FALSE)</f>
        <v/>
      </c>
      <c r="D490" s="6" t="n">
        <v>1</v>
      </c>
      <c r="E490" s="6" t="inlineStr">
        <is>
          <t>R1310122</t>
        </is>
      </c>
      <c r="F490" s="2" t="n">
        <v>44488</v>
      </c>
      <c r="G490" s="1" t="n"/>
    </row>
    <row r="491">
      <c r="A491" s="6" t="n">
        <v>24173</v>
      </c>
      <c r="B491" s="6" t="inlineStr">
        <is>
          <t>QUALITY HOUSE SPIRIT BLEND</t>
        </is>
      </c>
      <c r="C491" s="7">
        <f>VLOOKUP(A491,SizeData!A$2:B$3839,2,FALSE)</f>
        <v/>
      </c>
      <c r="D491" s="6" t="n">
        <v>1</v>
      </c>
      <c r="E491" s="6" t="inlineStr">
        <is>
          <t>R1314326</t>
        </is>
      </c>
      <c r="F491" s="2" t="n">
        <v>44512</v>
      </c>
      <c r="G491" s="1" t="n"/>
    </row>
    <row r="492">
      <c r="A492" s="6" t="n">
        <v>24174</v>
      </c>
      <c r="B492" s="6" t="inlineStr">
        <is>
          <t>HEAVEN HILL BLENDED WHISKEY</t>
        </is>
      </c>
      <c r="C492" s="7">
        <f>VLOOKUP(A492,SizeData!A$2:B$3839,2,FALSE)</f>
        <v/>
      </c>
      <c r="D492" s="6" t="n">
        <v>1</v>
      </c>
      <c r="E492" s="6" t="inlineStr">
        <is>
          <t>R1046046</t>
        </is>
      </c>
      <c r="F492" s="2" t="n">
        <v>44256</v>
      </c>
      <c r="G492" s="1" t="n"/>
    </row>
    <row r="493">
      <c r="A493" s="6" t="n">
        <v>24174</v>
      </c>
      <c r="B493" s="6" t="inlineStr">
        <is>
          <t>HEAVEN HILL BLENDED WHISKEY</t>
        </is>
      </c>
      <c r="C493" s="7">
        <f>VLOOKUP(A493,SizeData!A$2:B$3839,2,FALSE)</f>
        <v/>
      </c>
      <c r="D493" s="6" t="n">
        <v>1</v>
      </c>
      <c r="E493" s="6" t="inlineStr">
        <is>
          <t>R1055142</t>
        </is>
      </c>
      <c r="F493" s="2" t="n">
        <v>44257</v>
      </c>
      <c r="G493" s="1" t="n"/>
    </row>
    <row r="494">
      <c r="A494" s="6" t="n">
        <v>24174</v>
      </c>
      <c r="B494" s="6" t="inlineStr">
        <is>
          <t>QUALITY HOUSE SPIRIT BLEND</t>
        </is>
      </c>
      <c r="C494" s="7">
        <f>VLOOKUP(A494,SizeData!A$2:B$3839,2,FALSE)</f>
        <v/>
      </c>
      <c r="D494" s="6" t="n">
        <v>1</v>
      </c>
      <c r="E494" s="6" t="inlineStr">
        <is>
          <t>R1085364</t>
        </is>
      </c>
      <c r="F494" s="2" t="n">
        <v>44289</v>
      </c>
      <c r="G494" s="1" t="n"/>
    </row>
    <row r="495">
      <c r="A495" s="6" t="n">
        <v>24174</v>
      </c>
      <c r="B495" s="6" t="inlineStr">
        <is>
          <t>QUALITY HOUSE SPIRIT BLEND</t>
        </is>
      </c>
      <c r="C495" s="7">
        <f>VLOOKUP(A495,SizeData!A$2:B$3839,2,FALSE)</f>
        <v/>
      </c>
      <c r="D495" s="6" t="n">
        <v>1</v>
      </c>
      <c r="E495" s="6" t="inlineStr">
        <is>
          <t>R1097628</t>
        </is>
      </c>
      <c r="F495" s="2" t="n">
        <v>44305</v>
      </c>
      <c r="G495" s="1" t="n"/>
    </row>
    <row r="496">
      <c r="A496" s="6" t="n">
        <v>24174</v>
      </c>
      <c r="B496" s="6" t="inlineStr">
        <is>
          <t>QUALITY HOUSE SPIRIT BLEND</t>
        </is>
      </c>
      <c r="C496" s="7">
        <f>VLOOKUP(A496,SizeData!A$2:B$3839,2,FALSE)</f>
        <v/>
      </c>
      <c r="D496" s="6" t="n">
        <v>1</v>
      </c>
      <c r="E496" s="6" t="inlineStr">
        <is>
          <t>R1119380</t>
        </is>
      </c>
      <c r="F496" s="2" t="n">
        <v>44338</v>
      </c>
      <c r="G496" s="1" t="n"/>
    </row>
    <row r="497">
      <c r="A497" s="6" t="n">
        <v>24174</v>
      </c>
      <c r="B497" s="6" t="inlineStr">
        <is>
          <t>QUALITY HOUSE SPIRIT BLEND</t>
        </is>
      </c>
      <c r="C497" s="7">
        <f>VLOOKUP(A497,SizeData!A$2:B$3839,2,FALSE)</f>
        <v/>
      </c>
      <c r="D497" s="6" t="n">
        <v>1</v>
      </c>
      <c r="E497" s="6" t="inlineStr">
        <is>
          <t>R1166742</t>
        </is>
      </c>
      <c r="F497" s="2" t="n">
        <v>44372</v>
      </c>
      <c r="G497" s="1" t="n"/>
    </row>
    <row r="498">
      <c r="A498" s="6" t="n">
        <v>24174</v>
      </c>
      <c r="B498" s="6" t="inlineStr">
        <is>
          <t>QUALITY HOUSE SPIRIT BLEND</t>
        </is>
      </c>
      <c r="C498" s="7">
        <f>VLOOKUP(A498,SizeData!A$2:B$3839,2,FALSE)</f>
        <v/>
      </c>
      <c r="D498" s="6" t="n">
        <v>1</v>
      </c>
      <c r="E498" s="6" t="inlineStr">
        <is>
          <t xml:space="preserve"> R1175279</t>
        </is>
      </c>
      <c r="F498" s="2" t="n">
        <v>44382</v>
      </c>
      <c r="G498" s="1" t="n"/>
    </row>
    <row r="499">
      <c r="A499" s="6" t="n">
        <v>24174</v>
      </c>
      <c r="B499" s="6" t="inlineStr">
        <is>
          <t>QUALITY HOUSE SPIRIT BLEND</t>
        </is>
      </c>
      <c r="C499" s="7">
        <f>VLOOKUP(A499,SizeData!A$2:B$3839,2,FALSE)</f>
        <v/>
      </c>
      <c r="D499" s="6" t="n">
        <v>1</v>
      </c>
      <c r="E499" s="6" t="inlineStr">
        <is>
          <t>R1172048</t>
        </is>
      </c>
      <c r="F499" s="2" t="n">
        <v>44387</v>
      </c>
      <c r="G499" s="1" t="n"/>
    </row>
    <row r="500">
      <c r="A500" s="6" t="n">
        <v>24174</v>
      </c>
      <c r="B500" s="6" t="inlineStr">
        <is>
          <t>QUALITY HOUSE SPIRIT BLEND</t>
        </is>
      </c>
      <c r="C500" s="7">
        <f>VLOOKUP(A500,SizeData!A$2:B$3839,2,FALSE)</f>
        <v/>
      </c>
      <c r="D500" s="6" t="n">
        <v>1</v>
      </c>
      <c r="E500" s="6" t="inlineStr">
        <is>
          <t>R1173248</t>
        </is>
      </c>
      <c r="F500" s="2" t="n">
        <v>44393</v>
      </c>
      <c r="G500" s="1" t="n"/>
    </row>
    <row r="501">
      <c r="A501" s="6" t="n">
        <v>24174</v>
      </c>
      <c r="B501" s="6" t="inlineStr">
        <is>
          <t>QUALITY HOUSE SPIRIT BLEND</t>
        </is>
      </c>
      <c r="C501" s="7">
        <f>VLOOKUP(A501,SizeData!A$2:B$3839,2,FALSE)</f>
        <v/>
      </c>
      <c r="D501" s="6" t="n">
        <v>1</v>
      </c>
      <c r="E501" s="6" t="inlineStr">
        <is>
          <t>R1204006</t>
        </is>
      </c>
      <c r="F501" s="2" t="n">
        <v>44415</v>
      </c>
      <c r="G501" s="1" t="n"/>
    </row>
    <row r="502">
      <c r="A502" s="6" t="n">
        <v>24174</v>
      </c>
      <c r="B502" s="6" t="inlineStr">
        <is>
          <t>QUALITY HOUSE SPIRIT BLEND</t>
        </is>
      </c>
      <c r="C502" s="7">
        <f>VLOOKUP(A502,SizeData!A$2:B$3839,2,FALSE)</f>
        <v/>
      </c>
      <c r="D502" s="6" t="n">
        <v>1</v>
      </c>
      <c r="E502" s="6" t="inlineStr">
        <is>
          <t>R1216789</t>
        </is>
      </c>
      <c r="F502" s="2" t="n">
        <v>44432</v>
      </c>
      <c r="G502" s="1" t="n"/>
    </row>
    <row r="503">
      <c r="A503" s="6" t="n">
        <v>24174</v>
      </c>
      <c r="B503" s="6" t="inlineStr">
        <is>
          <t>QUALITY HOUSE SPIRIT BLEND</t>
        </is>
      </c>
      <c r="C503" s="7">
        <f>VLOOKUP(A503,SizeData!A$2:B$3839,2,FALSE)</f>
        <v/>
      </c>
      <c r="D503" s="6" t="n">
        <v>1</v>
      </c>
      <c r="E503" s="6" t="inlineStr">
        <is>
          <t>R1265400</t>
        </is>
      </c>
      <c r="F503" s="2" t="n">
        <v>44467</v>
      </c>
      <c r="G503" s="1" t="n"/>
    </row>
    <row r="504">
      <c r="A504" s="6" t="n">
        <v>24174</v>
      </c>
      <c r="B504" s="6" t="inlineStr">
        <is>
          <t>QUALITY HOUSE SPIRIT BLEND</t>
        </is>
      </c>
      <c r="C504" s="7">
        <f>VLOOKUP(A504,SizeData!A$2:B$3839,2,FALSE)</f>
        <v/>
      </c>
      <c r="D504" s="6" t="n">
        <v>0</v>
      </c>
      <c r="E504" s="6" t="inlineStr">
        <is>
          <t>R1310122</t>
        </is>
      </c>
      <c r="F504" s="2" t="n">
        <v>44488</v>
      </c>
      <c r="G504" s="1" t="n"/>
    </row>
    <row r="505">
      <c r="A505" s="6" t="n">
        <v>24174</v>
      </c>
      <c r="B505" s="6" t="inlineStr">
        <is>
          <t>QUALITY HOUSE SPIRIT BLEND</t>
        </is>
      </c>
      <c r="C505" s="7">
        <f>VLOOKUP(A505,SizeData!A$2:B$3839,2,FALSE)</f>
        <v/>
      </c>
      <c r="D505" s="6" t="n">
        <v>3</v>
      </c>
      <c r="E505" s="6" t="inlineStr">
        <is>
          <t>R1347114</t>
        </is>
      </c>
      <c r="F505" s="2" t="n">
        <v>44531</v>
      </c>
      <c r="G505" s="1" t="n"/>
    </row>
    <row r="506">
      <c r="A506" s="6" t="n">
        <v>24176</v>
      </c>
      <c r="B506" s="6" t="inlineStr">
        <is>
          <t>HEAVEN HILL BLENDED WHISKEY</t>
        </is>
      </c>
      <c r="C506" s="7">
        <f>VLOOKUP(A506,SizeData!A$2:B$3839,2,FALSE)</f>
        <v/>
      </c>
      <c r="D506" s="6" t="n">
        <v>1</v>
      </c>
      <c r="E506" s="6" t="inlineStr">
        <is>
          <t>R989703</t>
        </is>
      </c>
      <c r="F506" s="2" t="n">
        <v>44197</v>
      </c>
      <c r="G506" s="1" t="n"/>
    </row>
    <row r="507">
      <c r="A507" s="6" t="n">
        <v>24176</v>
      </c>
      <c r="B507" s="6" t="inlineStr">
        <is>
          <t>HEAVEN HILL BLENDED WHISKEY</t>
        </is>
      </c>
      <c r="C507" s="7">
        <f>VLOOKUP(A507,SizeData!A$2:B$3839,2,FALSE)</f>
        <v/>
      </c>
      <c r="D507" s="6" t="n">
        <v>2</v>
      </c>
      <c r="E507" s="6" t="inlineStr">
        <is>
          <t>R1056165</t>
        </is>
      </c>
      <c r="F507" s="2" t="n">
        <v>44266</v>
      </c>
      <c r="G507" s="1" t="n"/>
    </row>
    <row r="508">
      <c r="A508" s="6" t="n">
        <v>24176</v>
      </c>
      <c r="B508" s="6" t="inlineStr">
        <is>
          <t>QUALITY HOUSE SPIRIT BLEND</t>
        </is>
      </c>
      <c r="C508" s="7">
        <f>VLOOKUP(A508,SizeData!A$2:B$3839,2,FALSE)</f>
        <v/>
      </c>
      <c r="D508" s="6" t="n">
        <v>1</v>
      </c>
      <c r="E508" s="6" t="inlineStr">
        <is>
          <t>R1122021</t>
        </is>
      </c>
      <c r="F508" s="2" t="n">
        <v>44328</v>
      </c>
      <c r="G508" s="1" t="n"/>
    </row>
    <row r="509">
      <c r="A509" s="6" t="n">
        <v>24176</v>
      </c>
      <c r="B509" s="6" t="inlineStr">
        <is>
          <t>QUALITY HOUSE SPIRIT BLEND</t>
        </is>
      </c>
      <c r="C509" s="7">
        <f>VLOOKUP(A509,SizeData!A$2:B$3839,2,FALSE)</f>
        <v/>
      </c>
      <c r="D509" s="6" t="n">
        <v>1</v>
      </c>
      <c r="E509" s="6" t="inlineStr">
        <is>
          <t xml:space="preserve"> R1171903</t>
        </is>
      </c>
      <c r="F509" s="2" t="n">
        <v>44380</v>
      </c>
      <c r="G509" s="1" t="n"/>
    </row>
    <row r="510">
      <c r="A510" s="6" t="n">
        <v>24176</v>
      </c>
      <c r="B510" s="6" t="inlineStr">
        <is>
          <t>QUALITY HOUSE SPIRIT BLEND</t>
        </is>
      </c>
      <c r="C510" s="7">
        <f>VLOOKUP(A510,SizeData!A$2:B$3839,2,FALSE)</f>
        <v/>
      </c>
      <c r="D510" s="6" t="n">
        <v>1</v>
      </c>
      <c r="E510" s="6" t="inlineStr">
        <is>
          <t>R1216789</t>
        </is>
      </c>
      <c r="F510" s="2" t="n">
        <v>44432</v>
      </c>
      <c r="G510" s="1" t="n"/>
    </row>
    <row r="511">
      <c r="A511" s="6" t="n">
        <v>24176</v>
      </c>
      <c r="B511" s="6" t="inlineStr">
        <is>
          <t>QUALITY HOUSE SPIRIT BLEND</t>
        </is>
      </c>
      <c r="C511" s="7">
        <f>VLOOKUP(A511,SizeData!A$2:B$3839,2,FALSE)</f>
        <v/>
      </c>
      <c r="D511" s="6" t="n">
        <v>1</v>
      </c>
      <c r="E511" s="6" t="inlineStr">
        <is>
          <t>R1214748</t>
        </is>
      </c>
      <c r="F511" s="2" t="n">
        <v>44433</v>
      </c>
      <c r="G511" s="1" t="n"/>
    </row>
    <row r="512">
      <c r="A512" s="6" t="n">
        <v>24176</v>
      </c>
      <c r="B512" s="6" t="inlineStr">
        <is>
          <t>QUALITY HOUSE SPIRIT BLEND</t>
        </is>
      </c>
      <c r="C512" s="7">
        <f>VLOOKUP(A512,SizeData!A$2:B$3839,2,FALSE)</f>
        <v/>
      </c>
      <c r="D512" s="6" t="n">
        <v>0</v>
      </c>
      <c r="E512" s="6" t="inlineStr">
        <is>
          <t>R1265540</t>
        </is>
      </c>
      <c r="F512" s="2" t="n">
        <v>44459</v>
      </c>
      <c r="G512" s="1" t="n"/>
    </row>
    <row r="513">
      <c r="A513" s="6" t="n">
        <v>24176</v>
      </c>
      <c r="B513" s="6" t="inlineStr">
        <is>
          <t>QUALITY HOUSE SPIRIT BLEND</t>
        </is>
      </c>
      <c r="C513" s="7">
        <f>VLOOKUP(A513,SizeData!A$2:B$3839,2,FALSE)</f>
        <v/>
      </c>
      <c r="D513" s="6" t="n">
        <v>1</v>
      </c>
      <c r="E513" s="6" t="inlineStr">
        <is>
          <t>R1265400</t>
        </is>
      </c>
      <c r="F513" s="2" t="n">
        <v>44467</v>
      </c>
      <c r="G513" s="1" t="n"/>
    </row>
    <row r="514">
      <c r="A514" s="6" t="n">
        <v>24176</v>
      </c>
      <c r="B514" s="6" t="inlineStr">
        <is>
          <t>QUALITY HOUSE SPIRIT BLEND</t>
        </is>
      </c>
      <c r="C514" s="7">
        <f>VLOOKUP(A514,SizeData!A$2:B$3839,2,FALSE)</f>
        <v/>
      </c>
      <c r="D514" s="6" t="n">
        <v>1</v>
      </c>
      <c r="E514" s="6" t="inlineStr">
        <is>
          <t>R1267530</t>
        </is>
      </c>
      <c r="F514" s="2" t="n">
        <v>44470</v>
      </c>
      <c r="G514" s="1" t="n"/>
    </row>
    <row r="515">
      <c r="A515" s="6" t="n">
        <v>24176</v>
      </c>
      <c r="B515" s="6" t="inlineStr">
        <is>
          <t>QUALITY HOUSE SPIRIT BLEND</t>
        </is>
      </c>
      <c r="C515" s="7">
        <f>VLOOKUP(A515,SizeData!A$2:B$3839,2,FALSE)</f>
        <v/>
      </c>
      <c r="D515" s="6" t="n">
        <v>3</v>
      </c>
      <c r="E515" s="6" t="inlineStr">
        <is>
          <t>R1278415</t>
        </is>
      </c>
      <c r="F515" s="2" t="n">
        <v>44481</v>
      </c>
      <c r="G515" s="1" t="n"/>
    </row>
    <row r="516">
      <c r="A516" s="6" t="n">
        <v>24176</v>
      </c>
      <c r="B516" s="6" t="inlineStr">
        <is>
          <t>QUALITY HOUSE SPIRIT BLEND</t>
        </is>
      </c>
      <c r="C516" s="7">
        <f>VLOOKUP(A516,SizeData!A$2:B$3839,2,FALSE)</f>
        <v/>
      </c>
      <c r="D516" s="6" t="n">
        <v>3</v>
      </c>
      <c r="E516" s="6" t="inlineStr">
        <is>
          <t>R1360132</t>
        </is>
      </c>
      <c r="F516" s="2" t="n">
        <v>44532</v>
      </c>
      <c r="G516" s="1" t="n"/>
    </row>
    <row r="517">
      <c r="A517" s="6" t="n">
        <v>24177</v>
      </c>
      <c r="B517" s="6" t="inlineStr">
        <is>
          <t>HEAVEN HILL BLENDED WHISKEY</t>
        </is>
      </c>
      <c r="C517" s="7">
        <f>VLOOKUP(A517,SizeData!A$2:B$3839,2,FALSE)</f>
        <v/>
      </c>
      <c r="D517" s="6" t="n">
        <v>1</v>
      </c>
      <c r="E517" s="6" t="inlineStr">
        <is>
          <t>R1042481</t>
        </is>
      </c>
      <c r="F517" s="2" t="n">
        <v>44258</v>
      </c>
      <c r="G517" s="1" t="n"/>
    </row>
    <row r="518">
      <c r="A518" s="6" t="n">
        <v>24177</v>
      </c>
      <c r="B518" s="6" t="inlineStr">
        <is>
          <t>QUALITY HOUSE SPIRIT BLEND</t>
        </is>
      </c>
      <c r="C518" s="7">
        <f>VLOOKUP(A518,SizeData!A$2:B$3839,2,FALSE)</f>
        <v/>
      </c>
      <c r="D518" s="6" t="n">
        <v>1</v>
      </c>
      <c r="E518" s="6" t="inlineStr">
        <is>
          <t>R1216789</t>
        </is>
      </c>
      <c r="F518" s="2" t="n">
        <v>44432</v>
      </c>
      <c r="G518" s="1" t="n"/>
    </row>
    <row r="519">
      <c r="A519" s="6" t="n">
        <v>24178</v>
      </c>
      <c r="B519" s="6" t="inlineStr">
        <is>
          <t>HEAVEN HILL BLENDED WHISKEY</t>
        </is>
      </c>
      <c r="C519" s="7">
        <f>VLOOKUP(A519,SizeData!A$2:B$3839,2,FALSE)</f>
        <v/>
      </c>
      <c r="D519" s="6" t="n">
        <v>2</v>
      </c>
      <c r="E519" s="6" t="inlineStr">
        <is>
          <t>R1018402</t>
        </is>
      </c>
      <c r="F519" s="2" t="n">
        <v>44229</v>
      </c>
      <c r="G519" s="1" t="n"/>
    </row>
    <row r="520">
      <c r="A520" s="6" t="n">
        <v>24178</v>
      </c>
      <c r="B520" s="6" t="inlineStr">
        <is>
          <t>HEAVEN HILL BLENDED WHISKEY</t>
        </is>
      </c>
      <c r="C520" s="7">
        <f>VLOOKUP(A520,SizeData!A$2:B$3839,2,FALSE)</f>
        <v/>
      </c>
      <c r="D520" s="6" t="n">
        <v>3</v>
      </c>
      <c r="E520" s="6" t="inlineStr">
        <is>
          <t>R1034042</t>
        </is>
      </c>
      <c r="F520" s="2" t="n">
        <v>44252</v>
      </c>
      <c r="G520" s="1" t="n"/>
    </row>
    <row r="521">
      <c r="A521" s="6" t="n">
        <v>24178</v>
      </c>
      <c r="B521" s="6" t="inlineStr">
        <is>
          <t>HEAVEN HILL BLENDED WHISKEY</t>
        </is>
      </c>
      <c r="C521" s="7">
        <f>VLOOKUP(A521,SizeData!A$2:B$3839,2,FALSE)</f>
        <v/>
      </c>
      <c r="D521" s="6" t="n">
        <v>1</v>
      </c>
      <c r="E521" s="6" t="inlineStr">
        <is>
          <t>R1163865</t>
        </is>
      </c>
      <c r="F521" s="2" t="n">
        <v>44384</v>
      </c>
      <c r="G521" s="6" t="n"/>
    </row>
    <row r="522">
      <c r="A522" s="6" t="n">
        <v>24178</v>
      </c>
      <c r="B522" s="6" t="inlineStr">
        <is>
          <t>HEAVEN HILL BLENDED WHISKEY</t>
        </is>
      </c>
      <c r="C522" s="7">
        <f>VLOOKUP(A522,SizeData!A$2:B$3839,2,FALSE)</f>
        <v/>
      </c>
      <c r="D522" s="6" t="n">
        <v>1</v>
      </c>
      <c r="E522" s="6" t="inlineStr">
        <is>
          <t>R1181946</t>
        </is>
      </c>
      <c r="F522" s="2" t="n">
        <v>44398</v>
      </c>
      <c r="G522" s="1" t="n"/>
    </row>
    <row r="523">
      <c r="A523" s="6" t="n">
        <v>24178</v>
      </c>
      <c r="B523" s="6" t="inlineStr">
        <is>
          <t>HEAVEN HILL BLENDED WHISKEY</t>
        </is>
      </c>
      <c r="C523" s="7">
        <f>VLOOKUP(A523,SizeData!A$2:B$3839,2,FALSE)</f>
        <v/>
      </c>
      <c r="D523" s="6" t="n">
        <v>1</v>
      </c>
      <c r="E523" s="6" t="inlineStr">
        <is>
          <t>R1192602</t>
        </is>
      </c>
      <c r="F523" s="2" t="n">
        <v>44401</v>
      </c>
      <c r="G523" s="1" t="n"/>
    </row>
    <row r="524">
      <c r="A524" s="6" t="n">
        <v>24178</v>
      </c>
      <c r="B524" s="6" t="inlineStr">
        <is>
          <t>HEAVEN HILL BLENDED WHISKEY</t>
        </is>
      </c>
      <c r="C524" s="7">
        <f>VLOOKUP(A524,SizeData!A$2:B$3839,2,FALSE)</f>
        <v/>
      </c>
      <c r="D524" s="6" t="n">
        <v>1</v>
      </c>
      <c r="E524" s="6" t="inlineStr">
        <is>
          <t>R1206028</t>
        </is>
      </c>
      <c r="F524" s="2" t="n">
        <v>44417</v>
      </c>
      <c r="G524" s="1" t="n"/>
    </row>
    <row r="525">
      <c r="A525" s="6" t="n">
        <v>24178</v>
      </c>
      <c r="B525" s="6" t="inlineStr">
        <is>
          <t>HEAVEN HILL BLENDED WHISKEY</t>
        </is>
      </c>
      <c r="C525" s="7">
        <f>VLOOKUP(A525,SizeData!A$2:B$3839,2,FALSE)</f>
        <v/>
      </c>
      <c r="D525" s="6" t="n">
        <v>1</v>
      </c>
      <c r="E525" s="6" t="inlineStr">
        <is>
          <t>R1218485</t>
        </is>
      </c>
      <c r="F525" s="2" t="n">
        <v>44436</v>
      </c>
      <c r="G525" s="1" t="n"/>
    </row>
    <row r="526">
      <c r="A526" s="6" t="n">
        <v>24178</v>
      </c>
      <c r="B526" s="6" t="inlineStr">
        <is>
          <t>HEAVEN HILL BLENDED WHISKEY</t>
        </is>
      </c>
      <c r="C526" s="7">
        <f>VLOOKUP(A526,SizeData!A$2:B$3839,2,FALSE)</f>
        <v/>
      </c>
      <c r="D526" s="6" t="n">
        <v>1</v>
      </c>
      <c r="E526" s="6" t="inlineStr">
        <is>
          <t>R1248961</t>
        </is>
      </c>
      <c r="F526" s="2" t="n">
        <v>44461</v>
      </c>
      <c r="G526" s="1" t="n"/>
    </row>
    <row r="527">
      <c r="A527" s="6" t="n">
        <v>24178</v>
      </c>
      <c r="B527" s="6" t="inlineStr">
        <is>
          <t>HEAVEN HILL BLENDED WHISKEY</t>
        </is>
      </c>
      <c r="C527" s="7">
        <f>VLOOKUP(A527,SizeData!A$2:B$3839,2,FALSE)</f>
        <v/>
      </c>
      <c r="D527" s="6" t="n">
        <v>4</v>
      </c>
      <c r="E527" s="6" t="inlineStr">
        <is>
          <t>R1338667</t>
        </is>
      </c>
      <c r="F527" s="2" t="n">
        <v>44530</v>
      </c>
      <c r="G527" s="1" t="n"/>
    </row>
    <row r="528">
      <c r="A528" s="6" t="n">
        <v>25608</v>
      </c>
      <c r="B528" s="6" t="inlineStr">
        <is>
          <t>SEAGRAM'S 7 CROWN BLENDED WHISKEY</t>
        </is>
      </c>
      <c r="C528" s="7">
        <f>VLOOKUP(A528,SizeData!A$2:B$3839,2,FALSE)</f>
        <v/>
      </c>
      <c r="D528" s="6" t="n">
        <v>2</v>
      </c>
      <c r="E528" s="6" t="inlineStr">
        <is>
          <t>R998237</t>
        </is>
      </c>
      <c r="F528" s="2" t="n">
        <v>44209</v>
      </c>
      <c r="G528" s="1" t="n"/>
    </row>
    <row r="529">
      <c r="A529" s="6" t="n">
        <v>25608</v>
      </c>
      <c r="B529" s="6" t="inlineStr">
        <is>
          <t>SEAGRAM'S 7 CROWN BLENDED WHISKEY</t>
        </is>
      </c>
      <c r="C529" s="7">
        <f>VLOOKUP(A529,SizeData!A$2:B$3839,2,FALSE)</f>
        <v/>
      </c>
      <c r="D529" s="6" t="n">
        <v>20</v>
      </c>
      <c r="E529" s="6" t="inlineStr">
        <is>
          <t>R1075059</t>
        </is>
      </c>
      <c r="F529" s="2" t="n">
        <v>44273</v>
      </c>
      <c r="G529" s="1" t="n"/>
    </row>
    <row r="530">
      <c r="A530" s="6" t="n">
        <v>25608</v>
      </c>
      <c r="B530" s="6" t="inlineStr">
        <is>
          <t>SEAGRAM'S 7 CROWN BLENDED WHISKEY</t>
        </is>
      </c>
      <c r="C530" s="7">
        <f>VLOOKUP(A530,SizeData!A$2:B$3839,2,FALSE)</f>
        <v/>
      </c>
      <c r="D530" s="6" t="n">
        <v>20</v>
      </c>
      <c r="E530" s="6" t="n"/>
      <c r="F530" s="2" t="n">
        <v>44277</v>
      </c>
      <c r="G530" s="1" t="n"/>
    </row>
    <row r="531">
      <c r="A531" s="6" t="n">
        <v>25603</v>
      </c>
      <c r="B531" s="6" t="inlineStr">
        <is>
          <t>SEAGRAM'S 7 CROWN BLENDED WHISKEY</t>
        </is>
      </c>
      <c r="C531" s="7">
        <f>VLOOKUP(A531,SizeData!A$2:B$3839,2,FALSE)</f>
        <v/>
      </c>
      <c r="D531" s="6" t="n">
        <v>5</v>
      </c>
      <c r="E531" s="6" t="inlineStr">
        <is>
          <t>R1015412</t>
        </is>
      </c>
      <c r="F531" s="2" t="n">
        <v>44215</v>
      </c>
      <c r="G531" s="1" t="n"/>
    </row>
    <row r="532">
      <c r="A532" s="6" t="n">
        <v>25603</v>
      </c>
      <c r="B532" s="6" t="inlineStr">
        <is>
          <t>SEAGRAM'S 7 CROWN BLENDED WHISKEY</t>
        </is>
      </c>
      <c r="C532" s="7">
        <f>VLOOKUP(A532,SizeData!A$2:B$3839,2,FALSE)</f>
        <v/>
      </c>
      <c r="D532" s="6" t="n">
        <v>2</v>
      </c>
      <c r="E532" s="6" t="inlineStr">
        <is>
          <t>R1060153</t>
        </is>
      </c>
      <c r="F532" s="2" t="n">
        <v>44264</v>
      </c>
      <c r="G532" s="1" t="n"/>
    </row>
    <row r="533">
      <c r="A533" s="6" t="n">
        <v>25603</v>
      </c>
      <c r="B533" s="6" t="inlineStr">
        <is>
          <t>SEAGRAM'S 7 CROWN BLENDED WHISKEY</t>
        </is>
      </c>
      <c r="C533" s="7">
        <f>VLOOKUP(A533,SizeData!A$2:B$3839,2,FALSE)</f>
        <v/>
      </c>
      <c r="D533" s="6" t="n">
        <v>5</v>
      </c>
      <c r="E533" s="6" t="inlineStr">
        <is>
          <t>R1173019</t>
        </is>
      </c>
      <c r="F533" s="2" t="n">
        <v>44391</v>
      </c>
      <c r="G533" s="1" t="n"/>
    </row>
    <row r="534">
      <c r="A534" s="6" t="n">
        <v>25603</v>
      </c>
      <c r="B534" s="6" t="inlineStr">
        <is>
          <t>SEAGRAM'S 7 CROWN BLENDED WHISKEY</t>
        </is>
      </c>
      <c r="C534" s="7">
        <f>VLOOKUP(A534,SizeData!A$2:B$3839,2,FALSE)</f>
        <v/>
      </c>
      <c r="D534" s="6" t="n">
        <v>2</v>
      </c>
      <c r="E534" s="6" t="inlineStr">
        <is>
          <t>R1251315</t>
        </is>
      </c>
      <c r="F534" s="2" t="n">
        <v>44454</v>
      </c>
      <c r="G534" s="1" t="n"/>
    </row>
    <row r="535">
      <c r="A535" s="6" t="n">
        <v>25603</v>
      </c>
      <c r="B535" s="6" t="inlineStr">
        <is>
          <t>SEAGRAM'S 7 CROWN BLENDED WHISKEY</t>
        </is>
      </c>
      <c r="C535" s="7">
        <f>VLOOKUP(A535,SizeData!A$2:B$3839,2,FALSE)</f>
        <v/>
      </c>
      <c r="D535" s="6" t="n">
        <v>4</v>
      </c>
      <c r="E535" s="6" t="inlineStr">
        <is>
          <t>R1306609</t>
        </is>
      </c>
      <c r="F535" s="2" t="n">
        <v>44495</v>
      </c>
      <c r="G535" s="1" t="n"/>
    </row>
    <row r="536">
      <c r="A536" s="6" t="n">
        <v>25603</v>
      </c>
      <c r="B536" s="6" t="inlineStr">
        <is>
          <t>SEAGRAM'S 7 CROWN BLENDED WHISKEY</t>
        </is>
      </c>
      <c r="C536" s="7">
        <f>VLOOKUP(A536,SizeData!A$2:B$3839,2,FALSE)</f>
        <v/>
      </c>
      <c r="D536" s="6" t="n">
        <v>5</v>
      </c>
      <c r="E536" s="6" t="inlineStr">
        <is>
          <t>R1340649</t>
        </is>
      </c>
      <c r="F536" s="2" t="n">
        <v>44523</v>
      </c>
      <c r="G536" s="1" t="n"/>
    </row>
    <row r="537">
      <c r="A537" s="6" t="n">
        <v>25604</v>
      </c>
      <c r="B537" s="6" t="inlineStr">
        <is>
          <t>SEAGRAM'S 7 CROWN BLENDED WHISKEY</t>
        </is>
      </c>
      <c r="C537" s="7">
        <f>VLOOKUP(A537,SizeData!A$2:B$3839,2,FALSE)</f>
        <v/>
      </c>
      <c r="D537" s="6" t="n">
        <v>10</v>
      </c>
      <c r="E537" s="6" t="inlineStr">
        <is>
          <t>R997415</t>
        </is>
      </c>
      <c r="F537" s="2" t="n">
        <v>44203</v>
      </c>
      <c r="G537" s="1" t="n"/>
    </row>
    <row r="538">
      <c r="A538" s="6" t="n">
        <v>25604</v>
      </c>
      <c r="B538" s="6" t="inlineStr">
        <is>
          <t>SEAGRAM'S 7 CROWN BLENDED WHISKEY</t>
        </is>
      </c>
      <c r="C538" s="7">
        <f>VLOOKUP(A538,SizeData!A$2:B$3839,2,FALSE)</f>
        <v/>
      </c>
      <c r="D538" s="6" t="n">
        <v>10</v>
      </c>
      <c r="E538" s="6" t="inlineStr">
        <is>
          <t>R1010284</t>
        </is>
      </c>
      <c r="F538" s="2" t="n">
        <v>44217</v>
      </c>
      <c r="G538" s="1" t="n"/>
    </row>
    <row r="539">
      <c r="A539" s="6" t="n">
        <v>25604</v>
      </c>
      <c r="B539" s="6" t="inlineStr">
        <is>
          <t>SEAGRAM'S 7 CROWN BLENDED WHISKEY</t>
        </is>
      </c>
      <c r="C539" s="7">
        <f>VLOOKUP(A539,SizeData!A$2:B$3839,2,FALSE)</f>
        <v/>
      </c>
      <c r="D539" s="6" t="n">
        <v>10</v>
      </c>
      <c r="E539" s="6" t="inlineStr">
        <is>
          <t>R1038155</t>
        </is>
      </c>
      <c r="F539" s="2" t="n">
        <v>44257</v>
      </c>
      <c r="G539" s="1" t="n"/>
    </row>
    <row r="540">
      <c r="A540" s="6" t="n">
        <v>25604</v>
      </c>
      <c r="B540" s="6" t="inlineStr">
        <is>
          <t>SEAGRAM'S 7 CROWN BLENDED WHISKEY</t>
        </is>
      </c>
      <c r="C540" s="7">
        <f>VLOOKUP(A540,SizeData!A$2:B$3839,2,FALSE)</f>
        <v/>
      </c>
      <c r="D540" s="6" t="n">
        <v>10</v>
      </c>
      <c r="E540" s="6" t="inlineStr">
        <is>
          <t>R1057200</t>
        </is>
      </c>
      <c r="F540" s="2" t="n">
        <v>44278</v>
      </c>
      <c r="G540" s="1" t="n"/>
    </row>
    <row r="541">
      <c r="A541" s="6" t="n">
        <v>25604</v>
      </c>
      <c r="B541" s="6" t="inlineStr">
        <is>
          <t>SEAGRAM'S 7 CROWN BLENDED WHISKEY</t>
        </is>
      </c>
      <c r="C541" s="7">
        <f>VLOOKUP(A541,SizeData!A$2:B$3839,2,FALSE)</f>
        <v/>
      </c>
      <c r="D541" s="6" t="n">
        <v>1</v>
      </c>
      <c r="E541" s="6" t="inlineStr">
        <is>
          <t>R1087015</t>
        </is>
      </c>
      <c r="F541" s="2" t="n">
        <v>44291</v>
      </c>
      <c r="G541" s="1" t="n"/>
    </row>
    <row r="542">
      <c r="A542" s="6" t="n">
        <v>25604</v>
      </c>
      <c r="B542" s="6" t="inlineStr">
        <is>
          <t>SEAGRAM'S 7 CROWN BLENDED WHISKEY</t>
        </is>
      </c>
      <c r="C542" s="7">
        <f>VLOOKUP(A542,SizeData!A$2:B$3839,2,FALSE)</f>
        <v/>
      </c>
      <c r="D542" s="6" t="n">
        <v>5</v>
      </c>
      <c r="E542" s="6" t="inlineStr">
        <is>
          <t>R1110509</t>
        </is>
      </c>
      <c r="F542" s="2" t="n">
        <v>44306</v>
      </c>
      <c r="G542" s="1" t="n"/>
    </row>
    <row r="543">
      <c r="A543" s="6" t="n">
        <v>25604</v>
      </c>
      <c r="B543" s="6" t="inlineStr">
        <is>
          <t>SEAGRAM'S 7 CROWN BLENDED WHISKEY</t>
        </is>
      </c>
      <c r="C543" s="7">
        <f>VLOOKUP(A543,SizeData!A$2:B$3839,2,FALSE)</f>
        <v/>
      </c>
      <c r="D543" s="6" t="n">
        <v>3</v>
      </c>
      <c r="E543" s="6" t="inlineStr">
        <is>
          <t>R1115550</t>
        </is>
      </c>
      <c r="F543" s="2" t="n">
        <v>44314</v>
      </c>
      <c r="G543" s="1" t="n"/>
    </row>
    <row r="544">
      <c r="A544" s="6" t="n">
        <v>25604</v>
      </c>
      <c r="B544" s="6" t="inlineStr">
        <is>
          <t>SEAGRAM'S 7 CROWN BLENDED WHISKEY</t>
        </is>
      </c>
      <c r="C544" s="7">
        <f>VLOOKUP(A544,SizeData!A$2:B$3839,2,FALSE)</f>
        <v/>
      </c>
      <c r="D544" s="6" t="n">
        <v>5</v>
      </c>
      <c r="E544" s="6" t="inlineStr">
        <is>
          <t>R1119203</t>
        </is>
      </c>
      <c r="F544" s="2" t="n">
        <v>44327</v>
      </c>
      <c r="G544" s="1" t="n"/>
    </row>
    <row r="545">
      <c r="A545" s="6" t="n">
        <v>25604</v>
      </c>
      <c r="B545" s="6" t="inlineStr">
        <is>
          <t>SEAGRAM'S 7 CROWN BLENDED WHISKEY</t>
        </is>
      </c>
      <c r="C545" s="7">
        <f>VLOOKUP(A545,SizeData!A$2:B$3839,2,FALSE)</f>
        <v/>
      </c>
      <c r="D545" s="6" t="n">
        <v>5</v>
      </c>
      <c r="E545" s="6" t="inlineStr">
        <is>
          <t xml:space="preserve"> R1136635</t>
        </is>
      </c>
      <c r="F545" s="2" t="n">
        <v>44341</v>
      </c>
      <c r="G545" s="1" t="n"/>
    </row>
    <row r="546">
      <c r="A546" s="6" t="n">
        <v>25604</v>
      </c>
      <c r="B546" s="6" t="inlineStr">
        <is>
          <t>SEAGRAM'S 7 CROWN BLENDED WHISKEY</t>
        </is>
      </c>
      <c r="C546" s="7">
        <f>VLOOKUP(A546,SizeData!A$2:B$3839,2,FALSE)</f>
        <v/>
      </c>
      <c r="D546" s="6" t="n">
        <v>5</v>
      </c>
      <c r="E546" s="6" t="inlineStr">
        <is>
          <t>R1134934</t>
        </is>
      </c>
      <c r="F546" s="2" t="n">
        <v>44355</v>
      </c>
      <c r="G546" s="1" t="n"/>
    </row>
    <row r="547">
      <c r="A547" s="6" t="n">
        <v>25604</v>
      </c>
      <c r="B547" s="6" t="inlineStr">
        <is>
          <t>SEAGRAM'S 7 CROWN BLENDED WHISKEY</t>
        </is>
      </c>
      <c r="C547" s="7">
        <f>VLOOKUP(A547,SizeData!A$2:B$3839,2,FALSE)</f>
        <v/>
      </c>
      <c r="D547" s="6" t="n">
        <v>5</v>
      </c>
      <c r="E547" s="6" t="inlineStr">
        <is>
          <t xml:space="preserve"> R1161087</t>
        </is>
      </c>
      <c r="F547" s="2" t="n">
        <v>44373</v>
      </c>
      <c r="G547" s="1" t="n"/>
    </row>
    <row r="548">
      <c r="A548" s="6" t="n">
        <v>25604</v>
      </c>
      <c r="B548" s="6" t="inlineStr">
        <is>
          <t>SEAGRAM'S 7 CROWN BLENDED WHISKEY</t>
        </is>
      </c>
      <c r="C548" s="7">
        <f>VLOOKUP(A548,SizeData!A$2:B$3839,2,FALSE)</f>
        <v/>
      </c>
      <c r="D548" s="6" t="n">
        <v>5</v>
      </c>
      <c r="E548" s="6" t="inlineStr">
        <is>
          <t>R1173019</t>
        </is>
      </c>
      <c r="F548" s="2" t="n">
        <v>44391</v>
      </c>
      <c r="G548" s="1" t="n"/>
    </row>
    <row r="549">
      <c r="A549" s="6" t="n">
        <v>25604</v>
      </c>
      <c r="B549" s="6" t="inlineStr">
        <is>
          <t>SEAGRAM'S 7 CROWN BLENDED WHISKEY</t>
        </is>
      </c>
      <c r="C549" s="7">
        <f>VLOOKUP(A549,SizeData!A$2:B$3839,2,FALSE)</f>
        <v/>
      </c>
      <c r="D549" s="6" t="n">
        <v>5</v>
      </c>
      <c r="E549" s="6" t="inlineStr">
        <is>
          <t>R1185778</t>
        </is>
      </c>
      <c r="F549" s="2" t="n">
        <v>44399</v>
      </c>
      <c r="G549" s="1" t="n"/>
    </row>
    <row r="550">
      <c r="A550" s="6" t="n">
        <v>25604</v>
      </c>
      <c r="B550" s="6" t="inlineStr">
        <is>
          <t>SEAGRAM'S 7 CROWN BLENDED WHISKEY</t>
        </is>
      </c>
      <c r="C550" s="7">
        <f>VLOOKUP(A550,SizeData!A$2:B$3839,2,FALSE)</f>
        <v/>
      </c>
      <c r="D550" s="6" t="n">
        <v>5</v>
      </c>
      <c r="E550" s="6" t="inlineStr">
        <is>
          <t>R1200551</t>
        </is>
      </c>
      <c r="F550" s="2" t="n">
        <v>44411</v>
      </c>
      <c r="G550" s="1" t="n"/>
    </row>
    <row r="551">
      <c r="A551" s="6" t="n">
        <v>25604</v>
      </c>
      <c r="B551" s="6" t="inlineStr">
        <is>
          <t>SEAGRAM'S 7 CROWN BLENDED WHISKEY</t>
        </is>
      </c>
      <c r="C551" s="7">
        <f>VLOOKUP(A551,SizeData!A$2:B$3839,2,FALSE)</f>
        <v/>
      </c>
      <c r="D551" s="6" t="n">
        <v>5</v>
      </c>
      <c r="E551" s="6" t="inlineStr">
        <is>
          <t>R1194857</t>
        </is>
      </c>
      <c r="F551" s="2" t="n">
        <v>44418</v>
      </c>
      <c r="G551" s="1" t="n"/>
    </row>
    <row r="552">
      <c r="A552" s="6" t="n">
        <v>25604</v>
      </c>
      <c r="B552" s="6" t="inlineStr">
        <is>
          <t>SEAGRAM'S 7 CROWN BLENDED WHISKEY</t>
        </is>
      </c>
      <c r="C552" s="7">
        <f>VLOOKUP(A552,SizeData!A$2:B$3839,2,FALSE)</f>
        <v/>
      </c>
      <c r="D552" s="6" t="n">
        <v>5</v>
      </c>
      <c r="E552" s="6" t="inlineStr">
        <is>
          <t>R1208608</t>
        </is>
      </c>
      <c r="F552" s="2" t="n">
        <v>44420</v>
      </c>
      <c r="G552" s="1" t="n"/>
    </row>
    <row r="553">
      <c r="A553" s="6" t="n">
        <v>25604</v>
      </c>
      <c r="B553" s="6" t="inlineStr">
        <is>
          <t>SEAGRAM'S 7 CROWN BLENDED WHISKEY</t>
        </is>
      </c>
      <c r="C553" s="7">
        <f>VLOOKUP(A553,SizeData!A$2:B$3839,2,FALSE)</f>
        <v/>
      </c>
      <c r="D553" s="6" t="n">
        <v>5</v>
      </c>
      <c r="E553" s="6" t="inlineStr">
        <is>
          <t>R1213561</t>
        </is>
      </c>
      <c r="F553" s="2" t="n">
        <v>44427</v>
      </c>
      <c r="G553" s="1" t="n"/>
    </row>
    <row r="554">
      <c r="A554" s="6" t="n">
        <v>25604</v>
      </c>
      <c r="B554" s="6" t="inlineStr">
        <is>
          <t>SEAGRAM'S 7 CROWN BLENDED WHISKEY</t>
        </is>
      </c>
      <c r="C554" s="7">
        <f>VLOOKUP(A554,SizeData!A$2:B$3839,2,FALSE)</f>
        <v/>
      </c>
      <c r="D554" s="6" t="n">
        <v>5</v>
      </c>
      <c r="E554" s="6" t="inlineStr">
        <is>
          <t>R1214849</t>
        </is>
      </c>
      <c r="F554" s="2" t="n">
        <v>44432</v>
      </c>
      <c r="G554" s="1" t="n"/>
    </row>
    <row r="555">
      <c r="A555" s="6" t="n">
        <v>25604</v>
      </c>
      <c r="B555" s="6" t="inlineStr">
        <is>
          <t>SEAGRAM'S 7 CROWN BLENDED WHISKEY</t>
        </is>
      </c>
      <c r="C555" s="7">
        <f>VLOOKUP(A555,SizeData!A$2:B$3839,2,FALSE)</f>
        <v/>
      </c>
      <c r="D555" s="6" t="n">
        <v>5</v>
      </c>
      <c r="E555" s="6" t="inlineStr">
        <is>
          <t>R1222261</t>
        </is>
      </c>
      <c r="F555" s="2" t="n">
        <v>44438</v>
      </c>
      <c r="G555" s="1" t="n"/>
    </row>
    <row r="556">
      <c r="A556" s="6" t="n">
        <v>25604</v>
      </c>
      <c r="B556" s="6" t="inlineStr">
        <is>
          <t>SEAGRAM'S 7 CROWN BLENDED WHISKEY</t>
        </is>
      </c>
      <c r="C556" s="7">
        <f>VLOOKUP(A556,SizeData!A$2:B$3839,2,FALSE)</f>
        <v/>
      </c>
      <c r="D556" s="6" t="n">
        <v>5</v>
      </c>
      <c r="E556" s="6" t="inlineStr">
        <is>
          <t>R1305208</t>
        </is>
      </c>
      <c r="F556" s="2" t="n">
        <v>44488</v>
      </c>
      <c r="G556" s="1" t="n"/>
    </row>
    <row r="557">
      <c r="A557" s="6" t="n">
        <v>25604</v>
      </c>
      <c r="B557" s="6" t="inlineStr">
        <is>
          <t>SEAGRAM'S 7 CROWN BLENDED WHISKEY</t>
        </is>
      </c>
      <c r="C557" s="7">
        <f>VLOOKUP(A557,SizeData!A$2:B$3839,2,FALSE)</f>
        <v/>
      </c>
      <c r="D557" s="6" t="n">
        <v>5</v>
      </c>
      <c r="E557" s="6" t="inlineStr">
        <is>
          <t>R1325454</t>
        </is>
      </c>
      <c r="F557" s="2" t="n">
        <v>44509</v>
      </c>
      <c r="G557" s="1" t="n"/>
    </row>
    <row r="558">
      <c r="A558" s="6" t="n">
        <v>25604</v>
      </c>
      <c r="B558" s="6" t="inlineStr">
        <is>
          <t>SEAGRAM'S 7 CROWN BLENDED WHISKEY</t>
        </is>
      </c>
      <c r="C558" s="7">
        <f>VLOOKUP(A558,SizeData!A$2:B$3839,2,FALSE)</f>
        <v/>
      </c>
      <c r="D558" s="6" t="n">
        <v>5</v>
      </c>
      <c r="E558" s="6" t="inlineStr">
        <is>
          <t>R1334210</t>
        </is>
      </c>
      <c r="F558" s="2" t="n">
        <v>44523</v>
      </c>
      <c r="G558" s="1" t="n"/>
    </row>
    <row r="559">
      <c r="A559" s="6" t="n">
        <v>25606</v>
      </c>
      <c r="B559" s="6" t="inlineStr">
        <is>
          <t>SEAGRAM'S 7 CROWN BLENDED WHISKEY</t>
        </is>
      </c>
      <c r="C559" s="7">
        <f>VLOOKUP(A559,SizeData!A$2:B$3839,2,FALSE)</f>
        <v/>
      </c>
      <c r="D559" s="6" t="n">
        <v>1</v>
      </c>
      <c r="E559" s="6" t="inlineStr">
        <is>
          <t>R1008717</t>
        </is>
      </c>
      <c r="F559" s="2" t="n">
        <v>44217</v>
      </c>
      <c r="G559" s="1" t="n"/>
    </row>
    <row r="560">
      <c r="A560" s="6" t="n">
        <v>25606</v>
      </c>
      <c r="B560" s="6" t="inlineStr">
        <is>
          <t>SEAGRAM'S 7 CROWN BLENDED WHISKEY</t>
        </is>
      </c>
      <c r="C560" s="7">
        <f>VLOOKUP(A560,SizeData!A$2:B$3839,2,FALSE)</f>
        <v/>
      </c>
      <c r="D560" s="6" t="n">
        <v>1</v>
      </c>
      <c r="E560" s="6" t="inlineStr">
        <is>
          <t>R1057200</t>
        </is>
      </c>
      <c r="F560" s="2" t="n">
        <v>44278</v>
      </c>
      <c r="G560" s="1" t="n"/>
    </row>
    <row r="561">
      <c r="A561" s="6" t="n">
        <v>25606</v>
      </c>
      <c r="B561" s="6" t="inlineStr">
        <is>
          <t>SEAGRAM'S 7 CROWN BLENDED WHISKEY</t>
        </is>
      </c>
      <c r="C561" s="7">
        <f>VLOOKUP(A561,SizeData!A$2:B$3839,2,FALSE)</f>
        <v/>
      </c>
      <c r="D561" s="6" t="n">
        <v>1</v>
      </c>
      <c r="E561" s="6" t="inlineStr">
        <is>
          <t xml:space="preserve"> R1161087</t>
        </is>
      </c>
      <c r="F561" s="2" t="n">
        <v>44373</v>
      </c>
      <c r="G561" s="1" t="n"/>
    </row>
    <row r="562">
      <c r="A562" s="6" t="n">
        <v>25606</v>
      </c>
      <c r="B562" s="6" t="inlineStr">
        <is>
          <t>SEAGRAM'S 7 CROWN BLENDED WHISKEY</t>
        </is>
      </c>
      <c r="C562" s="7">
        <f>VLOOKUP(A562,SizeData!A$2:B$3839,2,FALSE)</f>
        <v/>
      </c>
      <c r="D562" s="6" t="n">
        <v>1</v>
      </c>
      <c r="E562" s="6" t="inlineStr">
        <is>
          <t>R1209774</t>
        </is>
      </c>
      <c r="F562" s="2" t="n">
        <v>44433</v>
      </c>
      <c r="G562" s="1" t="n"/>
    </row>
    <row r="563">
      <c r="A563" s="6" t="n">
        <v>26417</v>
      </c>
      <c r="B563" s="6" t="inlineStr">
        <is>
          <t>JACK DANIEL'S TENNESSEE WHISKEY</t>
        </is>
      </c>
      <c r="C563" s="7">
        <f>VLOOKUP(A563,SizeData!A$2:B$3839,2,FALSE)</f>
        <v/>
      </c>
      <c r="D563" s="6" t="n">
        <v>1</v>
      </c>
      <c r="E563" s="6" t="inlineStr">
        <is>
          <t>R1246630</t>
        </is>
      </c>
      <c r="F563" s="2" t="n">
        <v>44450</v>
      </c>
      <c r="G563" s="1" t="n"/>
    </row>
    <row r="564">
      <c r="A564" s="6" t="n">
        <v>26581</v>
      </c>
      <c r="B564" s="6" t="inlineStr">
        <is>
          <t>GENTLEMAN JACK</t>
        </is>
      </c>
      <c r="C564" s="7">
        <f>VLOOKUP(A564,SizeData!A$2:B$3839,2,FALSE)</f>
        <v/>
      </c>
      <c r="D564" s="6" t="n">
        <v>1</v>
      </c>
      <c r="E564" s="6" t="inlineStr">
        <is>
          <t>R1183360</t>
        </is>
      </c>
      <c r="F564" s="2" t="n">
        <v>44405</v>
      </c>
      <c r="G564" s="1" t="n"/>
    </row>
    <row r="565">
      <c r="A565" s="6" t="n">
        <v>26582</v>
      </c>
      <c r="B565" s="6" t="inlineStr">
        <is>
          <t>GENTLEMAN JACK</t>
        </is>
      </c>
      <c r="C565" s="7">
        <f>VLOOKUP(A565,SizeData!A$2:B$3839,2,FALSE)</f>
        <v/>
      </c>
      <c r="D565" s="6" t="n">
        <v>5</v>
      </c>
      <c r="E565" s="6" t="inlineStr">
        <is>
          <t>R1235270</t>
        </is>
      </c>
      <c r="F565" s="2" t="n">
        <v>44440</v>
      </c>
      <c r="G565" s="1" t="n"/>
    </row>
    <row r="566">
      <c r="A566" s="6" t="n">
        <v>26582</v>
      </c>
      <c r="B566" s="6" t="inlineStr">
        <is>
          <t>GENTLEMAN JACK</t>
        </is>
      </c>
      <c r="C566" s="7">
        <f>VLOOKUP(A566,SizeData!A$2:B$3839,2,FALSE)</f>
        <v/>
      </c>
      <c r="D566" s="6" t="n">
        <v>11</v>
      </c>
      <c r="E566" s="6" t="inlineStr">
        <is>
          <t>R1232768</t>
        </is>
      </c>
      <c r="F566" s="2" t="n">
        <v>44445</v>
      </c>
      <c r="G566" s="1" t="n"/>
    </row>
    <row r="567">
      <c r="A567" s="6" t="n">
        <v>26583</v>
      </c>
      <c r="B567" s="6" t="inlineStr">
        <is>
          <t>GENTLEMAN JACK</t>
        </is>
      </c>
      <c r="C567" s="7">
        <f>VLOOKUP(A567,SizeData!A$2:B$3839,2,FALSE)</f>
        <v/>
      </c>
      <c r="D567" s="6" t="n">
        <v>1</v>
      </c>
      <c r="E567" s="6" t="inlineStr">
        <is>
          <t>R994060</t>
        </is>
      </c>
      <c r="F567" s="2" t="n">
        <v>44209</v>
      </c>
      <c r="G567" s="1" t="n"/>
    </row>
    <row r="568">
      <c r="A568" s="6" t="n">
        <v>26583</v>
      </c>
      <c r="B568" s="6" t="inlineStr">
        <is>
          <t>GENTLEMAN JACK</t>
        </is>
      </c>
      <c r="C568" s="7">
        <f>VLOOKUP(A568,SizeData!A$2:B$3839,2,FALSE)</f>
        <v/>
      </c>
      <c r="D568" s="6" t="n">
        <v>1</v>
      </c>
      <c r="E568" s="6" t="inlineStr">
        <is>
          <t>R1096577</t>
        </is>
      </c>
      <c r="F568" s="2" t="n">
        <v>44308</v>
      </c>
      <c r="G568" s="1" t="n"/>
    </row>
    <row r="569">
      <c r="A569" s="6" t="n">
        <v>26585</v>
      </c>
      <c r="B569" s="6" t="inlineStr">
        <is>
          <t>GENTLEMAN JACK (12 BOTTLE PACK)</t>
        </is>
      </c>
      <c r="C569" s="7">
        <f>VLOOKUP(A569,SizeData!A$2:B$3839,2,FALSE)</f>
        <v/>
      </c>
      <c r="D569" s="6" t="n">
        <v>3</v>
      </c>
      <c r="E569" s="6" t="inlineStr">
        <is>
          <t>R1018402</t>
        </is>
      </c>
      <c r="F569" s="2" t="n">
        <v>44229</v>
      </c>
      <c r="G569" s="1" t="n"/>
    </row>
    <row r="570">
      <c r="A570" s="6" t="n">
        <v>26585</v>
      </c>
      <c r="B570" s="6" t="inlineStr">
        <is>
          <t>GENTLEMAN JACK (12 BOTTLE PACK)</t>
        </is>
      </c>
      <c r="C570" s="7">
        <f>VLOOKUP(A570,SizeData!A$2:B$3839,2,FALSE)</f>
        <v/>
      </c>
      <c r="D570" s="6" t="n">
        <v>15</v>
      </c>
      <c r="E570" s="6" t="inlineStr">
        <is>
          <t>R1020698</t>
        </is>
      </c>
      <c r="F570" s="2" t="n">
        <v>44238</v>
      </c>
      <c r="G570" s="1" t="n"/>
    </row>
    <row r="571">
      <c r="A571" s="6" t="n">
        <v>26585</v>
      </c>
      <c r="B571" s="6" t="inlineStr">
        <is>
          <t>GENTLEMAN JACK (12 BOTTLE PACK)</t>
        </is>
      </c>
      <c r="C571" s="7">
        <f>VLOOKUP(A571,SizeData!A$2:B$3839,2,FALSE)</f>
        <v/>
      </c>
      <c r="D571" s="6" t="n">
        <v>5</v>
      </c>
      <c r="E571" s="6" t="inlineStr">
        <is>
          <t>R1203336</t>
        </is>
      </c>
      <c r="F571" s="2" t="n">
        <v>44417</v>
      </c>
      <c r="G571" s="1" t="n"/>
    </row>
    <row r="572">
      <c r="A572" s="6" t="n">
        <v>26589</v>
      </c>
      <c r="B572" s="6" t="inlineStr">
        <is>
          <t>GENTLEMAN JACK</t>
        </is>
      </c>
      <c r="C572" s="7">
        <f>VLOOKUP(A572,SizeData!A$2:B$3839,2,FALSE)</f>
        <v/>
      </c>
      <c r="D572" s="6" t="n">
        <v>1</v>
      </c>
      <c r="E572" s="6" t="inlineStr">
        <is>
          <t>R1048944</t>
        </is>
      </c>
      <c r="F572" s="2" t="n">
        <v>44265</v>
      </c>
      <c r="G572" s="1" t="n"/>
    </row>
    <row r="573">
      <c r="A573" s="6" t="n">
        <v>26589</v>
      </c>
      <c r="B573" s="6" t="inlineStr">
        <is>
          <t>GENTLEMAN JACK</t>
        </is>
      </c>
      <c r="C573" s="7">
        <f>VLOOKUP(A573,SizeData!A$2:B$3839,2,FALSE)</f>
        <v/>
      </c>
      <c r="D573" s="6" t="n">
        <v>1</v>
      </c>
      <c r="E573" s="6" t="inlineStr">
        <is>
          <t>R1096577</t>
        </is>
      </c>
      <c r="F573" s="2" t="n">
        <v>44308</v>
      </c>
      <c r="G573" s="1" t="n"/>
    </row>
    <row r="574">
      <c r="A574" s="6" t="n">
        <v>26589</v>
      </c>
      <c r="B574" s="6" t="inlineStr">
        <is>
          <t>GENTLEMAN JACK</t>
        </is>
      </c>
      <c r="C574" s="7">
        <f>VLOOKUP(A574,SizeData!A$2:B$3839,2,FALSE)</f>
        <v/>
      </c>
      <c r="D574" s="6" t="n">
        <v>5</v>
      </c>
      <c r="E574" s="6" t="inlineStr">
        <is>
          <t xml:space="preserve"> R1204784</t>
        </is>
      </c>
      <c r="F574" s="2" t="n">
        <v>44421</v>
      </c>
      <c r="G574" s="1" t="n"/>
    </row>
    <row r="575">
      <c r="A575" s="6" t="n">
        <v>26707</v>
      </c>
      <c r="B575" s="6" t="inlineStr">
        <is>
          <t>UNCLE NEAREST 1884 SMALL BATCH</t>
        </is>
      </c>
      <c r="C575" s="7">
        <f>VLOOKUP(A575,SizeData!A$2:B$3839,2,FALSE)</f>
        <v/>
      </c>
      <c r="D575" s="6" t="n">
        <v>1</v>
      </c>
      <c r="E575" s="6" t="inlineStr">
        <is>
          <t>R1039467</t>
        </is>
      </c>
      <c r="F575" s="2" t="n">
        <v>44266</v>
      </c>
      <c r="G575" s="1" t="n"/>
    </row>
    <row r="576">
      <c r="A576" s="6" t="n">
        <v>26707</v>
      </c>
      <c r="B576" s="6" t="inlineStr">
        <is>
          <t>UNCLE NEAREST 1884 SMALL BATCH</t>
        </is>
      </c>
      <c r="C576" s="7">
        <f>VLOOKUP(A576,SizeData!A$2:B$3839,2,FALSE)</f>
        <v/>
      </c>
      <c r="D576" s="6" t="n">
        <v>1</v>
      </c>
      <c r="E576" s="6" t="inlineStr">
        <is>
          <t>R1221301</t>
        </is>
      </c>
      <c r="F576" s="2" t="n">
        <v>44426</v>
      </c>
      <c r="G576" s="1" t="n"/>
    </row>
    <row r="577">
      <c r="A577" s="6" t="n">
        <v>26707</v>
      </c>
      <c r="B577" s="6" t="inlineStr">
        <is>
          <t>UNCLE NEAREST 1884 SMALL BATCH WHISKEY</t>
        </is>
      </c>
      <c r="C577" s="7">
        <f>VLOOKUP(A577,SizeData!A$2:B$3839,2,FALSE)</f>
        <v/>
      </c>
      <c r="D577" s="6" t="n">
        <v>1</v>
      </c>
      <c r="E577" s="6" t="inlineStr">
        <is>
          <t>R1335695</t>
        </is>
      </c>
      <c r="F577" s="2" t="n">
        <v>44525</v>
      </c>
      <c r="G577" s="1" t="n"/>
    </row>
    <row r="578">
      <c r="A578" s="6" t="n">
        <v>26729</v>
      </c>
      <c r="B578" s="6" t="inlineStr">
        <is>
          <t>JACK DANIEL'S SINGLE BARREL BARREL PROOF</t>
        </is>
      </c>
      <c r="C578" s="7">
        <f>VLOOKUP(A578,SizeData!A$2:B$3839,2,FALSE)</f>
        <v/>
      </c>
      <c r="D578" s="6" t="n">
        <v>1</v>
      </c>
      <c r="E578" s="6" t="inlineStr">
        <is>
          <t>R1129649</t>
        </is>
      </c>
      <c r="F578" s="2" t="n">
        <v>44343</v>
      </c>
      <c r="G578" s="1" t="n"/>
    </row>
    <row r="579">
      <c r="A579" s="6" t="n">
        <v>26820</v>
      </c>
      <c r="B579" s="6" t="inlineStr">
        <is>
          <t>JACK DANIEL'S NO. 7 BLACK</t>
        </is>
      </c>
      <c r="C579" s="7">
        <f>VLOOKUP(A579,SizeData!A$2:B$3839,2,FALSE)</f>
        <v/>
      </c>
      <c r="D579" s="6" t="n">
        <v>4</v>
      </c>
      <c r="E579" s="6" t="inlineStr">
        <is>
          <t>R1117739</t>
        </is>
      </c>
      <c r="F579" s="2" t="n">
        <v>44328</v>
      </c>
      <c r="G579" s="1" t="n"/>
    </row>
    <row r="580">
      <c r="A580" s="6" t="n">
        <v>26820</v>
      </c>
      <c r="B580" s="6" t="inlineStr">
        <is>
          <t>JACK DANIEL'S NO. 7 BLACK</t>
        </is>
      </c>
      <c r="C580" s="7">
        <f>VLOOKUP(A580,SizeData!A$2:B$3839,2,FALSE)</f>
        <v/>
      </c>
      <c r="D580" s="6" t="n">
        <v>6</v>
      </c>
      <c r="E580" s="6" t="inlineStr">
        <is>
          <t>R1114283</t>
        </is>
      </c>
      <c r="F580" s="2" t="n">
        <v>44340</v>
      </c>
      <c r="G580" s="1" t="n"/>
    </row>
    <row r="581">
      <c r="A581" s="6" t="n">
        <v>26820</v>
      </c>
      <c r="B581" s="6" t="inlineStr">
        <is>
          <t>JACK DANIEL'S NO. 7 BLACK</t>
        </is>
      </c>
      <c r="C581" s="7">
        <f>VLOOKUP(A581,SizeData!A$2:B$3839,2,FALSE)</f>
        <v/>
      </c>
      <c r="D581" s="6" t="n">
        <v>5</v>
      </c>
      <c r="E581" s="6" t="inlineStr">
        <is>
          <t>R1350337</t>
        </is>
      </c>
      <c r="F581" s="2" t="n">
        <v>44531</v>
      </c>
      <c r="G581" s="1" t="n"/>
    </row>
    <row r="582">
      <c r="A582" s="6" t="n">
        <v>26820</v>
      </c>
      <c r="B582" s="6" t="inlineStr">
        <is>
          <t>JACK DANIEL'S NO. 7 BLACK</t>
        </is>
      </c>
      <c r="C582" s="7">
        <f>VLOOKUP(A582,SizeData!A$2:B$3839,2,FALSE)</f>
        <v/>
      </c>
      <c r="D582" s="6" t="n">
        <v>5</v>
      </c>
      <c r="E582" s="6" t="inlineStr">
        <is>
          <t>R1366318</t>
        </is>
      </c>
      <c r="F582" s="2" t="n">
        <v>44538</v>
      </c>
      <c r="G582" s="1" t="n"/>
    </row>
    <row r="583">
      <c r="A583" s="6" t="n">
        <v>26821</v>
      </c>
      <c r="B583" s="6" t="inlineStr">
        <is>
          <t>JACK DANIEL'S NO. 7 BLACK</t>
        </is>
      </c>
      <c r="C583" s="7">
        <f>VLOOKUP(A583,SizeData!A$2:B$3839,2,FALSE)</f>
        <v/>
      </c>
      <c r="D583" s="6" t="n">
        <v>1</v>
      </c>
      <c r="E583" s="6" t="inlineStr">
        <is>
          <t>R992805</t>
        </is>
      </c>
      <c r="F583" s="2" t="n">
        <v>44201</v>
      </c>
      <c r="G583" s="1" t="n"/>
    </row>
    <row r="584">
      <c r="A584" s="6" t="n">
        <v>26822</v>
      </c>
      <c r="B584" s="6" t="inlineStr">
        <is>
          <t>JACK DANIEL'S NO. 7 BLACK</t>
        </is>
      </c>
      <c r="C584" s="7">
        <f>VLOOKUP(A584,SizeData!A$2:B$3839,2,FALSE)</f>
        <v/>
      </c>
      <c r="D584" s="6" t="n">
        <v>2</v>
      </c>
      <c r="E584" s="6" t="inlineStr">
        <is>
          <t>R1013988</t>
        </is>
      </c>
      <c r="F584" s="2" t="n">
        <v>44239</v>
      </c>
      <c r="G584" s="1" t="n"/>
    </row>
    <row r="585">
      <c r="A585" s="6" t="n">
        <v>26822</v>
      </c>
      <c r="B585" s="6" t="inlineStr">
        <is>
          <t>JACK DANIEL'S NO. 7 BLACK</t>
        </is>
      </c>
      <c r="C585" s="7">
        <f>VLOOKUP(A585,SizeData!A$2:B$3839,2,FALSE)</f>
        <v/>
      </c>
      <c r="D585" s="6" t="n">
        <v>2</v>
      </c>
      <c r="E585" s="6" t="inlineStr">
        <is>
          <t>R1190166</t>
        </is>
      </c>
      <c r="F585" s="2" t="n">
        <v>44396</v>
      </c>
      <c r="G585" s="1" t="n"/>
    </row>
    <row r="586">
      <c r="A586" s="6" t="n">
        <v>26823</v>
      </c>
      <c r="B586" s="6" t="inlineStr">
        <is>
          <t>JACK DANIEL'S NO. 7 BLACK</t>
        </is>
      </c>
      <c r="C586" s="7">
        <f>VLOOKUP(A586,SizeData!A$2:B$3839,2,FALSE)</f>
        <v/>
      </c>
      <c r="D586" s="6" t="n">
        <v>1</v>
      </c>
      <c r="E586" s="6" t="inlineStr">
        <is>
          <t>R984274</t>
        </is>
      </c>
      <c r="F586" s="2" t="n">
        <v>44204</v>
      </c>
      <c r="G586" s="1" t="n"/>
    </row>
    <row r="587">
      <c r="A587" s="6" t="n">
        <v>26823</v>
      </c>
      <c r="B587" s="6" t="inlineStr">
        <is>
          <t>JACK DANIEL'S NO. 7 BLACK</t>
        </is>
      </c>
      <c r="C587" s="7">
        <f>VLOOKUP(A587,SizeData!A$2:B$3839,2,FALSE)</f>
        <v/>
      </c>
      <c r="D587" s="6" t="n">
        <v>1</v>
      </c>
      <c r="E587" s="6" t="inlineStr">
        <is>
          <t>R1076240</t>
        </is>
      </c>
      <c r="F587" s="2" t="n">
        <v>44285</v>
      </c>
      <c r="G587" s="1" t="n"/>
    </row>
    <row r="588">
      <c r="A588" s="6" t="n">
        <v>26823</v>
      </c>
      <c r="B588" s="6" t="inlineStr">
        <is>
          <t>JACK DANIEL'S NO. 7 BLACK</t>
        </is>
      </c>
      <c r="C588" s="7">
        <f>VLOOKUP(A588,SizeData!A$2:B$3839,2,FALSE)</f>
        <v/>
      </c>
      <c r="D588" s="6" t="n">
        <v>1</v>
      </c>
      <c r="E588" s="6" t="inlineStr">
        <is>
          <t>R1117739</t>
        </is>
      </c>
      <c r="F588" s="2" t="n">
        <v>44328</v>
      </c>
      <c r="G588" s="1" t="n"/>
    </row>
    <row r="589">
      <c r="A589" s="6" t="n">
        <v>26823</v>
      </c>
      <c r="B589" s="6" t="inlineStr">
        <is>
          <t>JACK DANIEL'S NO. 7 BLACK</t>
        </is>
      </c>
      <c r="C589" s="7">
        <f>VLOOKUP(A589,SizeData!A$2:B$3839,2,FALSE)</f>
        <v/>
      </c>
      <c r="D589" s="6" t="n">
        <v>1</v>
      </c>
      <c r="E589" s="6" t="inlineStr">
        <is>
          <t>R1163907</t>
        </is>
      </c>
      <c r="F589" s="2" t="n">
        <v>44373</v>
      </c>
      <c r="G589" s="1" t="n"/>
    </row>
    <row r="590">
      <c r="A590" s="6" t="n">
        <v>26823</v>
      </c>
      <c r="B590" s="6" t="inlineStr">
        <is>
          <t>JACK DANIEL'S NO. 7 BLACK</t>
        </is>
      </c>
      <c r="C590" s="7">
        <f>VLOOKUP(A590,SizeData!A$2:B$3839,2,FALSE)</f>
        <v/>
      </c>
      <c r="D590" s="6" t="n">
        <v>3</v>
      </c>
      <c r="E590" s="6" t="inlineStr">
        <is>
          <t>R1191670</t>
        </is>
      </c>
      <c r="F590" s="2" t="n">
        <v>44406</v>
      </c>
      <c r="G590" s="1" t="n"/>
    </row>
    <row r="591">
      <c r="A591" s="6" t="n">
        <v>26823</v>
      </c>
      <c r="B591" s="6" t="inlineStr">
        <is>
          <t>JACK DANIEL'S NO. 7 BLACK</t>
        </is>
      </c>
      <c r="C591" s="7">
        <f>VLOOKUP(A591,SizeData!A$2:B$3839,2,FALSE)</f>
        <v/>
      </c>
      <c r="D591" s="6" t="n">
        <v>1</v>
      </c>
      <c r="E591" s="6" t="inlineStr">
        <is>
          <t>R1246630</t>
        </is>
      </c>
      <c r="F591" s="2" t="n">
        <v>44450</v>
      </c>
      <c r="G591" s="1" t="n"/>
    </row>
    <row r="592">
      <c r="A592" s="6" t="n">
        <v>26823</v>
      </c>
      <c r="B592" s="6" t="inlineStr">
        <is>
          <t>JACK DANIEL'S NO. 7 BLACK</t>
        </is>
      </c>
      <c r="C592" s="7">
        <f>VLOOKUP(A592,SizeData!A$2:B$3839,2,FALSE)</f>
        <v/>
      </c>
      <c r="D592" s="6" t="n">
        <v>3</v>
      </c>
      <c r="E592" s="6" t="inlineStr">
        <is>
          <t>R1328617</t>
        </is>
      </c>
      <c r="F592" s="2" t="n">
        <v>44517</v>
      </c>
      <c r="G592" s="1" t="n"/>
    </row>
    <row r="593">
      <c r="A593" s="6" t="n">
        <v>26824</v>
      </c>
      <c r="B593" s="6" t="inlineStr">
        <is>
          <t>JACK DANIEL'S NO. 7 BLACK / SQUARE</t>
        </is>
      </c>
      <c r="C593" s="7">
        <f>VLOOKUP(A593,SizeData!A$2:B$3839,2,FALSE)</f>
        <v/>
      </c>
      <c r="D593" s="6" t="n">
        <v>3</v>
      </c>
      <c r="E593" s="6" t="inlineStr">
        <is>
          <t>R1240644</t>
        </is>
      </c>
      <c r="F593" s="2" t="n">
        <v>44440</v>
      </c>
      <c r="G593" s="1" t="n"/>
    </row>
    <row r="594">
      <c r="A594" s="6" t="n">
        <v>26824</v>
      </c>
      <c r="B594" s="6" t="inlineStr">
        <is>
          <t>JACK DANIEL'S NO. 7 BLACK / SQUARE</t>
        </is>
      </c>
      <c r="C594" s="7">
        <f>VLOOKUP(A594,SizeData!A$2:B$3839,2,FALSE)</f>
        <v/>
      </c>
      <c r="D594" s="6" t="n">
        <v>2</v>
      </c>
      <c r="E594" s="6" t="inlineStr">
        <is>
          <t>R1231673</t>
        </is>
      </c>
      <c r="F594" s="2" t="n">
        <v>44443</v>
      </c>
      <c r="G594" s="1" t="n"/>
    </row>
    <row r="595">
      <c r="A595" s="6" t="n">
        <v>26826</v>
      </c>
      <c r="B595" s="6" t="inlineStr">
        <is>
          <t>JACK DANIEL'S NO. 7 BLACK</t>
        </is>
      </c>
      <c r="C595" s="7">
        <f>VLOOKUP(A595,SizeData!A$2:B$3839,2,FALSE)</f>
        <v/>
      </c>
      <c r="D595" s="6" t="n">
        <v>5</v>
      </c>
      <c r="E595" s="6" t="inlineStr">
        <is>
          <t>R1013524</t>
        </is>
      </c>
      <c r="F595" s="2" t="n">
        <v>44228</v>
      </c>
      <c r="G595" s="1" t="n"/>
    </row>
    <row r="596">
      <c r="A596" s="6" t="n">
        <v>26826</v>
      </c>
      <c r="B596" s="6" t="inlineStr">
        <is>
          <t>JACK DANIEL'S NO. 7 BLACK</t>
        </is>
      </c>
      <c r="C596" s="7">
        <f>VLOOKUP(A596,SizeData!A$2:B$3839,2,FALSE)</f>
        <v/>
      </c>
      <c r="D596" s="6" t="n">
        <v>5</v>
      </c>
      <c r="E596" s="6" t="inlineStr">
        <is>
          <t>R1018402</t>
        </is>
      </c>
      <c r="F596" s="2" t="n">
        <v>44229</v>
      </c>
      <c r="G596" s="1" t="n"/>
    </row>
    <row r="597">
      <c r="A597" s="6" t="n">
        <v>26827</v>
      </c>
      <c r="B597" s="6" t="inlineStr">
        <is>
          <t>JACK DANIEL'S NO. 7 BLACK</t>
        </is>
      </c>
      <c r="C597" s="7">
        <f>VLOOKUP(A597,SizeData!A$2:B$3839,2,FALSE)</f>
        <v/>
      </c>
      <c r="D597" s="6" t="n">
        <v>2</v>
      </c>
      <c r="E597" s="6" t="inlineStr">
        <is>
          <t>R992402</t>
        </is>
      </c>
      <c r="F597" s="2" t="n">
        <v>44198</v>
      </c>
      <c r="G597" s="1" t="n"/>
    </row>
    <row r="598">
      <c r="A598" s="6" t="n">
        <v>26827</v>
      </c>
      <c r="B598" s="6" t="inlineStr">
        <is>
          <t>JACK DANIEL'S NO. 7 BLACK</t>
        </is>
      </c>
      <c r="C598" s="7">
        <f>VLOOKUP(A598,SizeData!A$2:B$3839,2,FALSE)</f>
        <v/>
      </c>
      <c r="D598" s="6" t="n">
        <v>3</v>
      </c>
      <c r="E598" s="6" t="inlineStr">
        <is>
          <t>R1001511</t>
        </is>
      </c>
      <c r="F598" s="2" t="n">
        <v>44208</v>
      </c>
      <c r="G598" s="1" t="n"/>
    </row>
    <row r="599">
      <c r="A599" s="6" t="n">
        <v>26827</v>
      </c>
      <c r="B599" s="6" t="inlineStr">
        <is>
          <t>JACK DANIEL'S NO. 7 BLACK</t>
        </is>
      </c>
      <c r="C599" s="7">
        <f>VLOOKUP(A599,SizeData!A$2:B$3839,2,FALSE)</f>
        <v/>
      </c>
      <c r="D599" s="6" t="n">
        <v>1</v>
      </c>
      <c r="E599" s="6" t="inlineStr">
        <is>
          <t>R1015646</t>
        </is>
      </c>
      <c r="F599" s="2" t="n">
        <v>44223</v>
      </c>
      <c r="G599" s="1" t="n"/>
    </row>
    <row r="600">
      <c r="A600" s="6" t="n">
        <v>26827</v>
      </c>
      <c r="B600" s="6" t="inlineStr">
        <is>
          <t>JACK DANIEL'S NO. 7 BLACK</t>
        </is>
      </c>
      <c r="C600" s="7">
        <f>VLOOKUP(A600,SizeData!A$2:B$3839,2,FALSE)</f>
        <v/>
      </c>
      <c r="D600" s="6" t="n">
        <v>2</v>
      </c>
      <c r="E600" s="6" t="inlineStr">
        <is>
          <t>R1127047</t>
        </is>
      </c>
      <c r="F600" s="2" t="n">
        <v>44333</v>
      </c>
      <c r="G600" s="1" t="n"/>
    </row>
    <row r="601">
      <c r="A601" s="6" t="n">
        <v>26827</v>
      </c>
      <c r="B601" s="6" t="inlineStr">
        <is>
          <t>JACK DANIEL'S NO. 7 BLACK</t>
        </is>
      </c>
      <c r="C601" s="7">
        <f>VLOOKUP(A601,SizeData!A$2:B$3839,2,FALSE)</f>
        <v/>
      </c>
      <c r="D601" s="6" t="n">
        <v>4</v>
      </c>
      <c r="E601" s="6" t="inlineStr">
        <is>
          <t>R1236179</t>
        </is>
      </c>
      <c r="F601" s="2" t="n">
        <v>44443</v>
      </c>
      <c r="G601" s="1" t="n"/>
    </row>
    <row r="602">
      <c r="A602" s="6" t="n">
        <v>26828</v>
      </c>
      <c r="B602" s="6" t="inlineStr">
        <is>
          <t>JACK DANIEL'S NO. 7 BLACK</t>
        </is>
      </c>
      <c r="C602" s="7">
        <f>VLOOKUP(A602,SizeData!A$2:B$3839,2,FALSE)</f>
        <v/>
      </c>
      <c r="D602" s="6" t="n">
        <v>13</v>
      </c>
      <c r="E602" s="6" t="inlineStr">
        <is>
          <t>R1051726</t>
        </is>
      </c>
      <c r="F602" s="2" t="n">
        <v>44260</v>
      </c>
      <c r="G602" s="1" t="n"/>
    </row>
    <row r="603">
      <c r="A603" s="6" t="n">
        <v>26828</v>
      </c>
      <c r="B603" s="6" t="inlineStr">
        <is>
          <t>JACK DANIEL'S NO. 7 BLACK</t>
        </is>
      </c>
      <c r="C603" s="7">
        <f>VLOOKUP(A603,SizeData!A$2:B$3839,2,FALSE)</f>
        <v/>
      </c>
      <c r="D603" s="6" t="n">
        <v>12</v>
      </c>
      <c r="E603" s="6" t="inlineStr">
        <is>
          <t>R1175836</t>
        </is>
      </c>
      <c r="F603" s="2" t="n">
        <v>44389</v>
      </c>
      <c r="G603" s="1" t="n"/>
    </row>
    <row r="604">
      <c r="A604" s="6" t="n">
        <v>26828</v>
      </c>
      <c r="B604" s="6" t="inlineStr">
        <is>
          <t>JACK DANIEL'S NO. 7 BLACK</t>
        </is>
      </c>
      <c r="C604" s="7">
        <f>VLOOKUP(A604,SizeData!A$2:B$3839,2,FALSE)</f>
        <v/>
      </c>
      <c r="D604" s="6" t="n">
        <v>8</v>
      </c>
      <c r="E604" s="6" t="inlineStr">
        <is>
          <t xml:space="preserve"> R1178876</t>
        </is>
      </c>
      <c r="F604" s="2" t="n">
        <v>44397</v>
      </c>
      <c r="G604" s="1" t="n"/>
    </row>
    <row r="605">
      <c r="A605" s="6" t="n">
        <v>26906</v>
      </c>
      <c r="B605" s="6" t="inlineStr">
        <is>
          <t>JACK DANIEL'S SINGLE BARREL</t>
        </is>
      </c>
      <c r="C605" s="7">
        <f>VLOOKUP(A605,SizeData!A$2:B$3839,2,FALSE)</f>
        <v/>
      </c>
      <c r="D605" s="6" t="n">
        <v>1</v>
      </c>
      <c r="E605" s="6" t="inlineStr">
        <is>
          <t>R1129649</t>
        </is>
      </c>
      <c r="F605" s="2" t="n">
        <v>44343</v>
      </c>
      <c r="G605" s="1" t="n"/>
    </row>
    <row r="606">
      <c r="A606" s="6" t="n">
        <v>26906</v>
      </c>
      <c r="B606" s="6" t="inlineStr">
        <is>
          <t>JACK DANIEL'S SINGLE BARREL</t>
        </is>
      </c>
      <c r="C606" s="7">
        <f>VLOOKUP(A606,SizeData!A$2:B$3839,2,FALSE)</f>
        <v/>
      </c>
      <c r="D606" s="6" t="n">
        <v>3</v>
      </c>
      <c r="E606" s="6" t="inlineStr">
        <is>
          <t>R1325385</t>
        </is>
      </c>
      <c r="F606" s="2" t="n">
        <v>44508</v>
      </c>
      <c r="G606" s="1" t="n"/>
    </row>
    <row r="607">
      <c r="A607" s="6" t="n">
        <v>26966</v>
      </c>
      <c r="B607" s="6" t="inlineStr">
        <is>
          <t>UNCLE NEAREST AGED WHISKEY</t>
        </is>
      </c>
      <c r="C607" s="7">
        <f>VLOOKUP(A607,SizeData!A$2:B$3839,2,FALSE)</f>
        <v/>
      </c>
      <c r="D607" s="6" t="n">
        <v>2</v>
      </c>
      <c r="E607" s="6" t="inlineStr">
        <is>
          <t>R1091201</t>
        </is>
      </c>
      <c r="F607" s="2" t="n">
        <v>44286</v>
      </c>
      <c r="G607" s="1" t="n"/>
    </row>
    <row r="608">
      <c r="A608" s="6" t="n">
        <v>26966</v>
      </c>
      <c r="B608" s="6" t="inlineStr">
        <is>
          <t>UNCLE NEAREST AGED WHISKEY</t>
        </is>
      </c>
      <c r="C608" s="7">
        <f>VLOOKUP(A608,SizeData!A$2:B$3839,2,FALSE)</f>
        <v/>
      </c>
      <c r="D608" s="6" t="n">
        <v>1</v>
      </c>
      <c r="E608" s="6" t="inlineStr">
        <is>
          <t>R1221301</t>
        </is>
      </c>
      <c r="F608" s="2" t="n">
        <v>44426</v>
      </c>
      <c r="G608" s="1" t="n"/>
    </row>
    <row r="609">
      <c r="A609" s="6" t="n">
        <v>27025</v>
      </c>
      <c r="B609" s="6" t="inlineStr">
        <is>
          <t>BULLEIT RYE STRAIGHT RYE WHISKEY</t>
        </is>
      </c>
      <c r="C609" s="7">
        <f>VLOOKUP(A609,SizeData!A$2:B$3839,2,FALSE)</f>
        <v/>
      </c>
      <c r="D609" s="6" t="n">
        <v>2</v>
      </c>
      <c r="E609" s="6" t="inlineStr">
        <is>
          <t>R1060153</t>
        </is>
      </c>
      <c r="F609" s="2" t="n">
        <v>44264</v>
      </c>
      <c r="G609" s="1" t="n"/>
    </row>
    <row r="610">
      <c r="A610" s="6" t="n">
        <v>27025</v>
      </c>
      <c r="B610" s="6" t="inlineStr">
        <is>
          <t>BULLEIT RYE STRAIGHT RYE WHISKEY</t>
        </is>
      </c>
      <c r="C610" s="7">
        <f>VLOOKUP(A610,SizeData!A$2:B$3839,2,FALSE)</f>
        <v/>
      </c>
      <c r="D610" s="6" t="n">
        <v>1</v>
      </c>
      <c r="E610" s="6" t="inlineStr">
        <is>
          <t>R1225343</t>
        </is>
      </c>
      <c r="F610" s="2" t="n">
        <v>44427</v>
      </c>
      <c r="G610" s="1" t="n"/>
    </row>
    <row r="611">
      <c r="A611" s="6" t="n">
        <v>27025</v>
      </c>
      <c r="B611" s="6" t="inlineStr">
        <is>
          <t>BULLEIT RYE STRAIGHT RYE WHISKEY</t>
        </is>
      </c>
      <c r="C611" s="7">
        <f>VLOOKUP(A611,SizeData!A$2:B$3839,2,FALSE)</f>
        <v/>
      </c>
      <c r="D611" s="6" t="n">
        <v>2</v>
      </c>
      <c r="E611" s="6" t="inlineStr">
        <is>
          <t>R1301983</t>
        </is>
      </c>
      <c r="F611" s="2" t="n">
        <v>44501</v>
      </c>
      <c r="G611" s="1" t="n"/>
    </row>
    <row r="612">
      <c r="A612" s="6" t="n">
        <v>27025</v>
      </c>
      <c r="B612" s="6" t="inlineStr">
        <is>
          <t>BULLEIT RYE STRAIGHT RYE WHISKEY</t>
        </is>
      </c>
      <c r="C612" s="7">
        <f>VLOOKUP(A612,SizeData!A$2:B$3839,2,FALSE)</f>
        <v/>
      </c>
      <c r="D612" s="6" t="n">
        <v>2</v>
      </c>
      <c r="E612" s="6" t="inlineStr">
        <is>
          <t>R1318952</t>
        </is>
      </c>
      <c r="F612" s="2" t="n">
        <v>44516</v>
      </c>
      <c r="G612" s="1" t="n"/>
    </row>
    <row r="613">
      <c r="A613" s="6" t="n">
        <v>27040</v>
      </c>
      <c r="B613" s="6" t="inlineStr">
        <is>
          <t>HIGH WEST DOUBLE RYE WHISKEY</t>
        </is>
      </c>
      <c r="C613" s="7">
        <f>VLOOKUP(A613,SizeData!A$2:B$3839,2,FALSE)</f>
        <v/>
      </c>
      <c r="D613" s="6" t="n">
        <v>1</v>
      </c>
      <c r="E613" s="6" t="inlineStr">
        <is>
          <t>R992805</t>
        </is>
      </c>
      <c r="F613" s="2" t="n">
        <v>44201</v>
      </c>
      <c r="G613" s="1" t="n"/>
    </row>
    <row r="614">
      <c r="A614" s="6" t="n">
        <v>27189</v>
      </c>
      <c r="B614" s="6" t="inlineStr">
        <is>
          <t>BASIL HAYDEN'S DARK RYE</t>
        </is>
      </c>
      <c r="C614" s="7">
        <f>VLOOKUP(A614,SizeData!A$2:B$3839,2,FALSE)</f>
        <v/>
      </c>
      <c r="D614" s="6" t="n">
        <v>1</v>
      </c>
      <c r="E614" s="6" t="inlineStr">
        <is>
          <t>R984731</t>
        </is>
      </c>
      <c r="F614" s="2" t="n">
        <v>44197</v>
      </c>
      <c r="G614" s="1" t="n"/>
    </row>
    <row r="615">
      <c r="A615" s="6" t="n">
        <v>27189</v>
      </c>
      <c r="B615" s="6" t="inlineStr">
        <is>
          <t>BASIL HAYDEN'S DARK RYE</t>
        </is>
      </c>
      <c r="C615" s="7">
        <f>VLOOKUP(A615,SizeData!A$2:B$3839,2,FALSE)</f>
        <v/>
      </c>
      <c r="D615" s="6" t="n">
        <v>1</v>
      </c>
      <c r="E615" s="6" t="inlineStr">
        <is>
          <t xml:space="preserve"> R1175279</t>
        </is>
      </c>
      <c r="F615" s="2" t="n">
        <v>44382</v>
      </c>
      <c r="G615" s="1" t="n"/>
    </row>
    <row r="616">
      <c r="A616" s="6" t="n">
        <v>27236</v>
      </c>
      <c r="B616" s="6" t="inlineStr">
        <is>
          <t>MELLOW CORN</t>
        </is>
      </c>
      <c r="C616" s="7">
        <f>VLOOKUP(A616,SizeData!A$2:B$3839,2,FALSE)</f>
        <v/>
      </c>
      <c r="D616" s="6" t="n">
        <v>1</v>
      </c>
      <c r="E616" s="6" t="inlineStr">
        <is>
          <t xml:space="preserve"> R1182859</t>
        </is>
      </c>
      <c r="F616" s="2" t="n">
        <v>44404</v>
      </c>
      <c r="G616" s="1" t="n"/>
    </row>
    <row r="617">
      <c r="A617" s="6" t="n">
        <v>27326</v>
      </c>
      <c r="B617" s="6" t="inlineStr">
        <is>
          <t>GEORGIA MOON FRUIT JAR</t>
        </is>
      </c>
      <c r="C617" s="7">
        <f>VLOOKUP(A617,SizeData!A$2:B$3839,2,FALSE)</f>
        <v/>
      </c>
      <c r="D617" s="6" t="n">
        <v>1</v>
      </c>
      <c r="E617" s="6" t="inlineStr">
        <is>
          <t>R1001511</t>
        </is>
      </c>
      <c r="F617" s="2" t="n">
        <v>44208</v>
      </c>
      <c r="G617" s="1" t="n"/>
    </row>
    <row r="618">
      <c r="A618" s="6" t="n">
        <v>27326</v>
      </c>
      <c r="B618" s="6" t="inlineStr">
        <is>
          <t>GEORGIA MOON FRUIT JAR</t>
        </is>
      </c>
      <c r="C618" s="7">
        <f>VLOOKUP(A618,SizeData!A$2:B$3839,2,FALSE)</f>
        <v/>
      </c>
      <c r="D618" s="6" t="n">
        <v>1</v>
      </c>
      <c r="E618" s="6" t="inlineStr">
        <is>
          <t>R1008340</t>
        </is>
      </c>
      <c r="F618" s="2" t="n">
        <v>44222</v>
      </c>
      <c r="G618" s="1" t="n"/>
    </row>
    <row r="619">
      <c r="A619" s="6" t="n">
        <v>27410</v>
      </c>
      <c r="B619" s="6" t="inlineStr">
        <is>
          <t>JIM BEAM HONEY WHISKEY</t>
        </is>
      </c>
      <c r="C619" s="7">
        <f>VLOOKUP(A619,SizeData!A$2:B$3839,2,FALSE)</f>
        <v/>
      </c>
      <c r="D619" s="6" t="n">
        <v>1</v>
      </c>
      <c r="E619" s="6" t="inlineStr">
        <is>
          <t>R1273155</t>
        </is>
      </c>
      <c r="F619" s="2" t="n">
        <v>44480</v>
      </c>
      <c r="G619" s="1" t="n"/>
    </row>
    <row r="620">
      <c r="A620" s="6" t="n">
        <v>27433</v>
      </c>
      <c r="B620" s="6" t="inlineStr">
        <is>
          <t>BIRD DOG PEACH FLAVORED WHISKEY</t>
        </is>
      </c>
      <c r="C620" s="7">
        <f>VLOOKUP(A620,SizeData!A$2:B$3839,2,FALSE)</f>
        <v/>
      </c>
      <c r="D620" s="6" t="n">
        <v>1</v>
      </c>
      <c r="E620" s="6" t="inlineStr">
        <is>
          <t>R1108792</t>
        </is>
      </c>
      <c r="F620" s="2" t="n">
        <v>44322</v>
      </c>
      <c r="G620" s="1" t="n"/>
    </row>
    <row r="621">
      <c r="A621" s="6" t="n">
        <v>27503</v>
      </c>
      <c r="B621" s="6" t="inlineStr">
        <is>
          <t>GEORGIA MOON PEACH FRUIT JAR</t>
        </is>
      </c>
      <c r="C621" s="7">
        <f>VLOOKUP(A621,SizeData!A$2:B$3839,2,FALSE)</f>
        <v/>
      </c>
      <c r="D621" s="6" t="n">
        <v>1</v>
      </c>
      <c r="E621" s="6" t="inlineStr">
        <is>
          <t>R1170994</t>
        </is>
      </c>
      <c r="F621" s="2" t="n">
        <v>44394</v>
      </c>
      <c r="G621" s="1" t="n"/>
    </row>
    <row r="622">
      <c r="A622" s="6" t="n">
        <v>28086</v>
      </c>
      <c r="B622" s="6" t="inlineStr">
        <is>
          <t>BEEFEATER GIN</t>
        </is>
      </c>
      <c r="C622" s="7">
        <f>VLOOKUP(A622,SizeData!A$2:B$3839,2,FALSE)</f>
        <v/>
      </c>
      <c r="D622" s="6" t="n">
        <v>1</v>
      </c>
      <c r="E622" s="6" t="inlineStr">
        <is>
          <t>R1060157</t>
        </is>
      </c>
      <c r="F622" s="2" t="n">
        <v>44258</v>
      </c>
      <c r="G622" s="1" t="n"/>
    </row>
    <row r="623">
      <c r="A623" s="6" t="n">
        <v>28137</v>
      </c>
      <c r="B623" s="6" t="inlineStr">
        <is>
          <t>WIDOW JANE BOURBON 10 YR</t>
        </is>
      </c>
      <c r="C623" s="7">
        <f>VLOOKUP(A623,SizeData!A$2:B$3839,2,FALSE)</f>
        <v/>
      </c>
      <c r="D623" s="6" t="n">
        <v>1</v>
      </c>
      <c r="E623" s="6" t="inlineStr">
        <is>
          <t>R1048948</t>
        </is>
      </c>
      <c r="F623" s="2" t="n">
        <v>44265</v>
      </c>
      <c r="G623" s="1" t="n"/>
    </row>
    <row r="624">
      <c r="A624" s="6" t="n">
        <v>28137</v>
      </c>
      <c r="B624" s="6" t="inlineStr">
        <is>
          <t>WIDOW JANE BOURBON 10 YR</t>
        </is>
      </c>
      <c r="C624" s="7">
        <f>VLOOKUP(A624,SizeData!A$2:B$3839,2,FALSE)</f>
        <v/>
      </c>
      <c r="D624" s="6" t="n">
        <v>1</v>
      </c>
      <c r="E624" s="6" t="inlineStr">
        <is>
          <t>R1083528</t>
        </is>
      </c>
      <c r="F624" s="2" t="n">
        <v>44291</v>
      </c>
      <c r="G624" s="1" t="n"/>
    </row>
    <row r="625">
      <c r="A625" s="6" t="n">
        <v>28137</v>
      </c>
      <c r="B625" s="6" t="inlineStr">
        <is>
          <t>WIDOW JANE BOURBON 10 YR</t>
        </is>
      </c>
      <c r="C625" s="7">
        <f>VLOOKUP(A625,SizeData!A$2:B$3839,2,FALSE)</f>
        <v/>
      </c>
      <c r="D625" s="6" t="n">
        <v>2</v>
      </c>
      <c r="E625" s="6" t="inlineStr">
        <is>
          <t>R1134794</t>
        </is>
      </c>
      <c r="F625" s="2" t="n">
        <v>44365</v>
      </c>
      <c r="G625" s="1" t="n"/>
    </row>
    <row r="626">
      <c r="A626" s="6" t="n">
        <v>28137</v>
      </c>
      <c r="B626" s="6" t="inlineStr">
        <is>
          <t>WIDOW JANE BOURBON 10 YR</t>
        </is>
      </c>
      <c r="C626" s="7">
        <f>VLOOKUP(A626,SizeData!A$2:B$3839,2,FALSE)</f>
        <v/>
      </c>
      <c r="D626" s="6" t="n">
        <v>1</v>
      </c>
      <c r="E626" s="6" t="inlineStr">
        <is>
          <t>R1231184</t>
        </is>
      </c>
      <c r="F626" s="2" t="n">
        <v>44443</v>
      </c>
      <c r="G626" s="1" t="n"/>
    </row>
    <row r="627">
      <c r="A627" s="6" t="n">
        <v>28137</v>
      </c>
      <c r="B627" s="6" t="inlineStr">
        <is>
          <t>WIDOW JANE BOURBON 10 YR</t>
        </is>
      </c>
      <c r="C627" s="7">
        <f>VLOOKUP(A627,SizeData!A$2:B$3839,2,FALSE)</f>
        <v/>
      </c>
      <c r="D627" s="6" t="n">
        <v>1</v>
      </c>
      <c r="E627" s="6" t="inlineStr">
        <is>
          <t>R1259983</t>
        </is>
      </c>
      <c r="F627" s="2" t="n">
        <v>44479</v>
      </c>
      <c r="G627" s="1" t="n"/>
    </row>
    <row r="628">
      <c r="A628" s="6" t="n">
        <v>28137</v>
      </c>
      <c r="B628" s="6" t="inlineStr">
        <is>
          <t>WIDOW JANE BOURBON 10 YR</t>
        </is>
      </c>
      <c r="C628" s="7">
        <f>VLOOKUP(A628,SizeData!A$2:B$3839,2,FALSE)</f>
        <v/>
      </c>
      <c r="D628" s="6" t="n">
        <v>0</v>
      </c>
      <c r="E628" s="6" t="inlineStr">
        <is>
          <t>R1331167</t>
        </is>
      </c>
      <c r="F628" s="2" t="n">
        <v>44522</v>
      </c>
      <c r="G628" s="1" t="n"/>
    </row>
    <row r="629">
      <c r="A629" s="6" t="n">
        <v>28210</v>
      </c>
      <c r="B629" s="6" t="inlineStr">
        <is>
          <t>BOMBAY SAPPHIRE EAST GIN</t>
        </is>
      </c>
      <c r="C629" s="7">
        <f>VLOOKUP(A629,SizeData!A$2:B$3839,2,FALSE)</f>
        <v/>
      </c>
      <c r="D629" s="6" t="n">
        <v>1</v>
      </c>
      <c r="E629" s="6" t="inlineStr">
        <is>
          <t>R1051358</t>
        </is>
      </c>
      <c r="F629" s="2" t="n">
        <v>44259</v>
      </c>
      <c r="G629" s="1" t="n"/>
    </row>
    <row r="630">
      <c r="A630" s="6" t="n">
        <v>28210</v>
      </c>
      <c r="B630" s="6" t="inlineStr">
        <is>
          <t>BOMBAY SAPPHIRE EAST GIN</t>
        </is>
      </c>
      <c r="C630" s="7">
        <f>VLOOKUP(A630,SizeData!A$2:B$3839,2,FALSE)</f>
        <v/>
      </c>
      <c r="D630" s="6" t="n">
        <v>1</v>
      </c>
      <c r="E630" s="6" t="inlineStr">
        <is>
          <t>R1154725</t>
        </is>
      </c>
      <c r="F630" s="2" t="n">
        <v>44376</v>
      </c>
      <c r="G630" s="1" t="n"/>
    </row>
    <row r="631">
      <c r="A631" s="6" t="n">
        <v>28210</v>
      </c>
      <c r="B631" s="6" t="inlineStr">
        <is>
          <t>BOMBAY SAPPHIRE EAST GIN</t>
        </is>
      </c>
      <c r="C631" s="7">
        <f>VLOOKUP(A631,SizeData!A$2:B$3839,2,FALSE)</f>
        <v/>
      </c>
      <c r="D631" s="6" t="n">
        <v>1</v>
      </c>
      <c r="E631" s="6" t="inlineStr">
        <is>
          <t>R1359198</t>
        </is>
      </c>
      <c r="F631" s="2" t="n">
        <v>44538</v>
      </c>
      <c r="G631" s="1" t="n"/>
    </row>
    <row r="632">
      <c r="A632" s="6" t="n">
        <v>28224</v>
      </c>
      <c r="B632" s="6" t="inlineStr">
        <is>
          <t>BOMBAY SAPPHIRE GIN (FLASK)</t>
        </is>
      </c>
      <c r="C632" s="7">
        <f>VLOOKUP(A632,SizeData!A$2:B$3839,2,FALSE)</f>
        <v/>
      </c>
      <c r="D632" s="6" t="n">
        <v>1</v>
      </c>
      <c r="E632" s="6" t="inlineStr">
        <is>
          <t>R1043269</t>
        </is>
      </c>
      <c r="F632" s="2" t="n">
        <v>44263</v>
      </c>
      <c r="G632" s="1" t="n"/>
    </row>
    <row r="633">
      <c r="A633" s="6" t="n">
        <v>28224</v>
      </c>
      <c r="B633" s="6" t="inlineStr">
        <is>
          <t>BOMBAY SAPPHIRE GIN (FLASK)</t>
        </is>
      </c>
      <c r="C633" s="7">
        <f>VLOOKUP(A633,SizeData!A$2:B$3839,2,FALSE)</f>
        <v/>
      </c>
      <c r="D633" s="6" t="n">
        <v>1</v>
      </c>
      <c r="E633" s="6" t="inlineStr">
        <is>
          <t>R1048898</t>
        </is>
      </c>
      <c r="F633" s="2" t="n">
        <v>44266</v>
      </c>
      <c r="G633" s="1" t="n"/>
    </row>
    <row r="634">
      <c r="A634" s="6" t="n">
        <v>28236</v>
      </c>
      <c r="B634" s="6" t="inlineStr">
        <is>
          <t>BOMBAY SAPPHIRE</t>
        </is>
      </c>
      <c r="C634" s="7">
        <f>VLOOKUP(A634,SizeData!A$2:B$3839,2,FALSE)</f>
        <v/>
      </c>
      <c r="D634" s="6" t="n">
        <v>1</v>
      </c>
      <c r="E634" s="6" t="inlineStr">
        <is>
          <t>R1154725</t>
        </is>
      </c>
      <c r="F634" s="2" t="n">
        <v>44376</v>
      </c>
      <c r="G634" s="1" t="n"/>
    </row>
    <row r="635">
      <c r="A635" s="6" t="n">
        <v>28236</v>
      </c>
      <c r="B635" s="6" t="inlineStr">
        <is>
          <t>BOMBAY SAPPHIRE GIFT TIN</t>
        </is>
      </c>
      <c r="C635" s="7">
        <f>VLOOKUP(A635,SizeData!A$2:B$3839,2,FALSE)</f>
        <v/>
      </c>
      <c r="D635" s="6" t="n">
        <v>1</v>
      </c>
      <c r="E635" s="6" t="inlineStr">
        <is>
          <t>R1072840</t>
        </is>
      </c>
      <c r="F635" s="2" t="n">
        <v>44286</v>
      </c>
      <c r="G635" s="1" t="n"/>
    </row>
    <row r="636">
      <c r="A636" s="6" t="n">
        <v>28236</v>
      </c>
      <c r="B636" s="6" t="inlineStr">
        <is>
          <t>BOMBAY SAPPHIRE GIFT TIN</t>
        </is>
      </c>
      <c r="C636" s="7">
        <f>VLOOKUP(A636,SizeData!A$2:B$3839,2,FALSE)</f>
        <v/>
      </c>
      <c r="D636" s="6" t="n">
        <v>1</v>
      </c>
      <c r="E636" s="6" t="inlineStr">
        <is>
          <t>R1137831</t>
        </is>
      </c>
      <c r="F636" s="2" t="n">
        <v>44348</v>
      </c>
      <c r="G636" s="1" t="n"/>
    </row>
    <row r="637">
      <c r="A637" s="6" t="n">
        <v>28279</v>
      </c>
      <c r="B637" s="6" t="inlineStr">
        <is>
          <t>JIM BEAM PEACH</t>
        </is>
      </c>
      <c r="C637" s="7">
        <f>VLOOKUP(A637,SizeData!A$2:B$3839,2,FALSE)</f>
        <v/>
      </c>
      <c r="D637" s="6" t="n">
        <v>1</v>
      </c>
      <c r="E637" s="6" t="inlineStr">
        <is>
          <t>R1085364</t>
        </is>
      </c>
      <c r="F637" s="2" t="n">
        <v>44289</v>
      </c>
      <c r="G637" s="1" t="n"/>
    </row>
    <row r="638">
      <c r="A638" s="6" t="n">
        <v>28281</v>
      </c>
      <c r="B638" s="6" t="inlineStr">
        <is>
          <t>JIM BEAM PEACH</t>
        </is>
      </c>
      <c r="C638" s="7">
        <f>VLOOKUP(A638,SizeData!A$2:B$3839,2,FALSE)</f>
        <v/>
      </c>
      <c r="D638" s="6" t="n">
        <v>1</v>
      </c>
      <c r="E638" s="6" t="inlineStr">
        <is>
          <t>R1129655</t>
        </is>
      </c>
      <c r="F638" s="2" t="n">
        <v>44347</v>
      </c>
      <c r="G638" s="1" t="n"/>
    </row>
    <row r="639">
      <c r="A639" s="6" t="n">
        <v>28625</v>
      </c>
      <c r="B639" s="6" t="inlineStr">
        <is>
          <t>HENDRICK'S GIN</t>
        </is>
      </c>
      <c r="C639" s="7">
        <f>VLOOKUP(A639,SizeData!A$2:B$3839,2,FALSE)</f>
        <v/>
      </c>
      <c r="D639" s="6" t="n">
        <v>1</v>
      </c>
      <c r="E639" s="6" t="inlineStr">
        <is>
          <t>R1046414</t>
        </is>
      </c>
      <c r="F639" s="2" t="n">
        <v>44254</v>
      </c>
      <c r="G639" s="1" t="n"/>
    </row>
    <row r="640">
      <c r="A640" s="6" t="n">
        <v>28625</v>
      </c>
      <c r="B640" s="6" t="inlineStr">
        <is>
          <t>HENDRICK'S GIN</t>
        </is>
      </c>
      <c r="C640" s="7">
        <f>VLOOKUP(A640,SizeData!A$2:B$3839,2,FALSE)</f>
        <v/>
      </c>
      <c r="D640" s="6" t="n">
        <v>1</v>
      </c>
      <c r="E640" s="6" t="inlineStr">
        <is>
          <t>R1126982</t>
        </is>
      </c>
      <c r="F640" s="2" t="n">
        <v>44338</v>
      </c>
      <c r="G640" s="1" t="n"/>
    </row>
    <row r="641">
      <c r="A641" s="6" t="n">
        <v>28675</v>
      </c>
      <c r="B641" s="6" t="inlineStr">
        <is>
          <t>MCQUEEN AND THE VIOLET FOG</t>
        </is>
      </c>
      <c r="C641" s="7">
        <f>VLOOKUP(A641,SizeData!A$2:B$3839,2,FALSE)</f>
        <v/>
      </c>
      <c r="D641" s="6" t="n">
        <v>1</v>
      </c>
      <c r="E641" s="6" t="inlineStr">
        <is>
          <t>R984731</t>
        </is>
      </c>
      <c r="F641" s="2" t="n">
        <v>44197</v>
      </c>
      <c r="G641" s="1" t="n"/>
    </row>
    <row r="642">
      <c r="A642" s="6" t="n">
        <v>28675</v>
      </c>
      <c r="B642" s="6" t="inlineStr">
        <is>
          <t>MCQUEEN AND THE VIOLET FOG</t>
        </is>
      </c>
      <c r="C642" s="7">
        <f>VLOOKUP(A642,SizeData!A$2:B$3839,2,FALSE)</f>
        <v/>
      </c>
      <c r="D642" s="6" t="n">
        <v>1</v>
      </c>
      <c r="E642" s="6" t="inlineStr">
        <is>
          <t>R1008939</t>
        </is>
      </c>
      <c r="F642" s="2" t="n">
        <v>44220</v>
      </c>
      <c r="G642" s="1" t="n"/>
    </row>
    <row r="643">
      <c r="A643" s="6" t="n">
        <v>28778</v>
      </c>
      <c r="B643" s="6" t="inlineStr">
        <is>
          <t>ROKU GIN</t>
        </is>
      </c>
      <c r="C643" s="7">
        <f>VLOOKUP(A643,SizeData!A$2:B$3839,2,FALSE)</f>
        <v/>
      </c>
      <c r="D643" s="6" t="n">
        <v>1</v>
      </c>
      <c r="E643" s="6" t="inlineStr">
        <is>
          <t>R1162430</t>
        </is>
      </c>
      <c r="F643" s="2" t="n">
        <v>44371</v>
      </c>
      <c r="G643" s="1" t="n"/>
    </row>
    <row r="644">
      <c r="A644" s="6" t="n">
        <v>28778</v>
      </c>
      <c r="B644" s="6" t="inlineStr">
        <is>
          <t>ROKU GIN</t>
        </is>
      </c>
      <c r="C644" s="7">
        <f>VLOOKUP(A644,SizeData!A$2:B$3839,2,FALSE)</f>
        <v/>
      </c>
      <c r="D644" s="6" t="n">
        <v>1</v>
      </c>
      <c r="E644" s="6" t="inlineStr">
        <is>
          <t>R1228454</t>
        </is>
      </c>
      <c r="F644" s="2" t="n">
        <v>44445</v>
      </c>
      <c r="G644" s="1" t="n"/>
    </row>
    <row r="645">
      <c r="A645" s="6" t="n">
        <v>28863</v>
      </c>
      <c r="B645" s="6" t="inlineStr">
        <is>
          <t>TANQUERAY GIN</t>
        </is>
      </c>
      <c r="C645" s="7">
        <f>VLOOKUP(A645,SizeData!A$2:B$3839,2,FALSE)</f>
        <v/>
      </c>
      <c r="D645" s="6" t="n">
        <v>1</v>
      </c>
      <c r="E645" s="6" t="inlineStr">
        <is>
          <t>R1085161</t>
        </is>
      </c>
      <c r="F645" s="2" t="n">
        <v>44287</v>
      </c>
      <c r="G645" s="1" t="n"/>
    </row>
    <row r="646">
      <c r="A646" s="6" t="n">
        <v>28863</v>
      </c>
      <c r="B646" s="6" t="inlineStr">
        <is>
          <t>TANQUERAY GIN</t>
        </is>
      </c>
      <c r="C646" s="7">
        <f>VLOOKUP(A646,SizeData!A$2:B$3839,2,FALSE)</f>
        <v/>
      </c>
      <c r="D646" s="6" t="n">
        <v>1</v>
      </c>
      <c r="E646" s="6" t="inlineStr">
        <is>
          <t>R1326778A</t>
        </is>
      </c>
      <c r="F646" s="2" t="n">
        <v>44503</v>
      </c>
      <c r="G646" s="1" t="n"/>
    </row>
    <row r="647">
      <c r="A647" s="6" t="n">
        <v>28864</v>
      </c>
      <c r="B647" s="6" t="inlineStr">
        <is>
          <t>TANQUERAY GIN</t>
        </is>
      </c>
      <c r="C647" s="7">
        <f>VLOOKUP(A647,SizeData!A$2:B$3839,2,FALSE)</f>
        <v/>
      </c>
      <c r="D647" s="6" t="n">
        <v>8</v>
      </c>
      <c r="E647" s="6" t="inlineStr">
        <is>
          <t>R998330</t>
        </is>
      </c>
      <c r="F647" s="2" t="n">
        <v>44207</v>
      </c>
      <c r="G647" s="1" t="n"/>
    </row>
    <row r="648">
      <c r="A648" s="6" t="n">
        <v>28866</v>
      </c>
      <c r="B648" s="6" t="inlineStr">
        <is>
          <t>TANQUERAY GIN</t>
        </is>
      </c>
      <c r="C648" s="7">
        <f>VLOOKUP(A648,SizeData!A$2:B$3839,2,FALSE)</f>
        <v/>
      </c>
      <c r="D648" s="6" t="n">
        <v>2</v>
      </c>
      <c r="E648" s="6" t="inlineStr">
        <is>
          <t>R1085722</t>
        </is>
      </c>
      <c r="F648" s="2" t="n">
        <v>44287</v>
      </c>
      <c r="G648" s="1" t="n"/>
    </row>
    <row r="649">
      <c r="A649" s="6" t="n">
        <v>28866</v>
      </c>
      <c r="B649" s="6" t="inlineStr">
        <is>
          <t>TANQUERAY GIN</t>
        </is>
      </c>
      <c r="C649" s="7">
        <f>VLOOKUP(A649,SizeData!A$2:B$3839,2,FALSE)</f>
        <v/>
      </c>
      <c r="D649" s="6" t="n">
        <v>3</v>
      </c>
      <c r="E649" s="6" t="inlineStr">
        <is>
          <t>R1085574</t>
        </is>
      </c>
      <c r="F649" s="2" t="n">
        <v>44288</v>
      </c>
      <c r="G649" s="1" t="n"/>
    </row>
    <row r="650">
      <c r="A650" s="6" t="n">
        <v>28866</v>
      </c>
      <c r="B650" s="6" t="inlineStr">
        <is>
          <t>TANQUERAY GIN</t>
        </is>
      </c>
      <c r="C650" s="7">
        <f>VLOOKUP(A650,SizeData!A$2:B$3839,2,FALSE)</f>
        <v/>
      </c>
      <c r="D650" s="6" t="n">
        <v>4</v>
      </c>
      <c r="E650" s="6" t="inlineStr">
        <is>
          <t>R1162788</t>
        </is>
      </c>
      <c r="F650" s="2" t="n">
        <v>44385</v>
      </c>
      <c r="G650" s="1" t="n"/>
    </row>
    <row r="651">
      <c r="A651" s="6" t="n">
        <v>28868</v>
      </c>
      <c r="B651" s="6" t="inlineStr">
        <is>
          <t>TANQUERAY GIN</t>
        </is>
      </c>
      <c r="C651" s="7">
        <f>VLOOKUP(A651,SizeData!A$2:B$3839,2,FALSE)</f>
        <v/>
      </c>
      <c r="D651" s="6" t="n">
        <v>1</v>
      </c>
      <c r="E651" s="6" t="inlineStr">
        <is>
          <t>R1015646</t>
        </is>
      </c>
      <c r="F651" s="2" t="n">
        <v>44223</v>
      </c>
      <c r="G651" s="1" t="n"/>
    </row>
    <row r="652">
      <c r="A652" s="6" t="n">
        <v>28868</v>
      </c>
      <c r="B652" s="6" t="inlineStr">
        <is>
          <t>TANQUERAY GIN</t>
        </is>
      </c>
      <c r="C652" s="7">
        <f>VLOOKUP(A652,SizeData!A$2:B$3839,2,FALSE)</f>
        <v/>
      </c>
      <c r="D652" s="6" t="n">
        <v>1</v>
      </c>
      <c r="E652" s="6" t="inlineStr">
        <is>
          <t>R1055142</t>
        </is>
      </c>
      <c r="F652" s="2" t="n">
        <v>44257</v>
      </c>
      <c r="G652" s="1" t="n"/>
    </row>
    <row r="653">
      <c r="A653" s="6" t="n">
        <v>28868</v>
      </c>
      <c r="B653" s="6" t="inlineStr">
        <is>
          <t>TANQUERAY GIN</t>
        </is>
      </c>
      <c r="C653" s="7">
        <f>VLOOKUP(A653,SizeData!A$2:B$3839,2,FALSE)</f>
        <v/>
      </c>
      <c r="D653" s="6" t="n">
        <v>1</v>
      </c>
      <c r="E653" s="6" t="inlineStr">
        <is>
          <t>R1099905</t>
        </is>
      </c>
      <c r="F653" s="2" t="n">
        <v>44310</v>
      </c>
      <c r="G653" s="1" t="n"/>
    </row>
    <row r="654">
      <c r="A654" s="6" t="n">
        <v>28868</v>
      </c>
      <c r="B654" s="6" t="inlineStr">
        <is>
          <t>TANQUERAY GIN</t>
        </is>
      </c>
      <c r="C654" s="7">
        <f>VLOOKUP(A654,SizeData!A$2:B$3839,2,FALSE)</f>
        <v/>
      </c>
      <c r="D654" s="6" t="n">
        <v>1</v>
      </c>
      <c r="E654" s="6" t="inlineStr">
        <is>
          <t>R1162430</t>
        </is>
      </c>
      <c r="F654" s="2" t="n">
        <v>44371</v>
      </c>
      <c r="G654" s="1" t="n"/>
    </row>
    <row r="655">
      <c r="A655" s="6" t="n">
        <v>28868</v>
      </c>
      <c r="B655" s="6" t="inlineStr">
        <is>
          <t>TANQUERAY GIN</t>
        </is>
      </c>
      <c r="C655" s="7">
        <f>VLOOKUP(A655,SizeData!A$2:B$3839,2,FALSE)</f>
        <v/>
      </c>
      <c r="D655" s="6" t="n">
        <v>2</v>
      </c>
      <c r="E655" s="6" t="inlineStr">
        <is>
          <t>R1315248</t>
        </is>
      </c>
      <c r="F655" s="2" t="n">
        <v>44502</v>
      </c>
      <c r="G655" s="1" t="n"/>
    </row>
    <row r="656">
      <c r="A656" s="6" t="n">
        <v>28890</v>
      </c>
      <c r="B656" s="6" t="inlineStr">
        <is>
          <t>TANQUERAY RANGPUR GIN</t>
        </is>
      </c>
      <c r="C656" s="7">
        <f>VLOOKUP(A656,SizeData!A$2:B$3839,2,FALSE)</f>
        <v/>
      </c>
      <c r="D656" s="6" t="n">
        <v>1</v>
      </c>
      <c r="E656" s="6" t="inlineStr">
        <is>
          <t>R1099905</t>
        </is>
      </c>
      <c r="F656" s="2" t="n">
        <v>44310</v>
      </c>
      <c r="G656" s="1" t="n"/>
    </row>
    <row r="657">
      <c r="A657" s="6" t="n">
        <v>29096</v>
      </c>
      <c r="B657" s="6" t="inlineStr">
        <is>
          <t>ARISTOCRAT GIN</t>
        </is>
      </c>
      <c r="C657" s="7">
        <f>VLOOKUP(A657,SizeData!A$2:B$3839,2,FALSE)</f>
        <v/>
      </c>
      <c r="D657" s="6" t="n">
        <v>1</v>
      </c>
      <c r="E657" s="6" t="inlineStr">
        <is>
          <t>R1116842</t>
        </is>
      </c>
      <c r="F657" s="2" t="n">
        <v>44324</v>
      </c>
      <c r="G657" s="1" t="n"/>
    </row>
    <row r="658">
      <c r="A658" s="6" t="n">
        <v>29096</v>
      </c>
      <c r="B658" s="6" t="inlineStr">
        <is>
          <t>ARISTOCRAT GIN</t>
        </is>
      </c>
      <c r="C658" s="7">
        <f>VLOOKUP(A658,SizeData!A$2:B$3839,2,FALSE)</f>
        <v/>
      </c>
      <c r="D658" s="6" t="n">
        <v>1</v>
      </c>
      <c r="E658" s="6" t="inlineStr">
        <is>
          <t>R1335695</t>
        </is>
      </c>
      <c r="F658" s="2" t="n">
        <v>44525</v>
      </c>
      <c r="G658" s="1" t="n"/>
    </row>
    <row r="659">
      <c r="A659" s="6" t="n">
        <v>29098</v>
      </c>
      <c r="B659" s="6" t="inlineStr">
        <is>
          <t>ARISTOCRAT GIN</t>
        </is>
      </c>
      <c r="C659" s="7">
        <f>VLOOKUP(A659,SizeData!A$2:B$3839,2,FALSE)</f>
        <v/>
      </c>
      <c r="D659" s="6" t="n">
        <v>1</v>
      </c>
      <c r="E659" s="6" t="inlineStr">
        <is>
          <t>R1070281</t>
        </is>
      </c>
      <c r="F659" s="2" t="n">
        <v>44275</v>
      </c>
      <c r="G659" s="1" t="n"/>
    </row>
    <row r="660">
      <c r="A660" s="6" t="n">
        <v>29098</v>
      </c>
      <c r="B660" s="6" t="inlineStr">
        <is>
          <t>ARISTOCRAT GIN</t>
        </is>
      </c>
      <c r="C660" s="7">
        <f>VLOOKUP(A660,SizeData!A$2:B$3839,2,FALSE)</f>
        <v/>
      </c>
      <c r="D660" s="6" t="n">
        <v>1</v>
      </c>
      <c r="E660" s="6" t="inlineStr">
        <is>
          <t>R1096915</t>
        </is>
      </c>
      <c r="F660" s="2" t="n">
        <v>44303</v>
      </c>
      <c r="G660" s="1" t="n"/>
    </row>
    <row r="661">
      <c r="A661" s="6" t="n">
        <v>29098</v>
      </c>
      <c r="B661" s="6" t="inlineStr">
        <is>
          <t>ARISTOCRAT GIN</t>
        </is>
      </c>
      <c r="C661" s="7">
        <f>VLOOKUP(A661,SizeData!A$2:B$3839,2,FALSE)</f>
        <v/>
      </c>
      <c r="D661" s="6" t="n">
        <v>1</v>
      </c>
      <c r="E661" s="6" t="inlineStr">
        <is>
          <t>R1119380</t>
        </is>
      </c>
      <c r="F661" s="2" t="n">
        <v>44338</v>
      </c>
      <c r="G661" s="1" t="n"/>
    </row>
    <row r="662">
      <c r="A662" s="6" t="n">
        <v>29098</v>
      </c>
      <c r="B662" s="6" t="inlineStr">
        <is>
          <t>ARISTOCRAT GIN</t>
        </is>
      </c>
      <c r="C662" s="7">
        <f>VLOOKUP(A662,SizeData!A$2:B$3839,2,FALSE)</f>
        <v/>
      </c>
      <c r="D662" s="6" t="n">
        <v>1</v>
      </c>
      <c r="E662" s="6" t="inlineStr">
        <is>
          <t>R1159919</t>
        </is>
      </c>
      <c r="F662" s="2" t="n">
        <v>44370</v>
      </c>
      <c r="G662" s="1" t="n"/>
    </row>
    <row r="663">
      <c r="A663" s="6" t="n">
        <v>29098</v>
      </c>
      <c r="B663" s="6" t="inlineStr">
        <is>
          <t>ARISTOCRAT GIN</t>
        </is>
      </c>
      <c r="C663" s="7">
        <f>VLOOKUP(A663,SizeData!A$2:B$3839,2,FALSE)</f>
        <v/>
      </c>
      <c r="D663" s="6" t="n">
        <v>1</v>
      </c>
      <c r="E663" s="6" t="inlineStr">
        <is>
          <t>R1181946</t>
        </is>
      </c>
      <c r="F663" s="2" t="n">
        <v>44398</v>
      </c>
      <c r="G663" s="1" t="n"/>
    </row>
    <row r="664">
      <c r="A664" s="6" t="n">
        <v>29098</v>
      </c>
      <c r="B664" s="6" t="inlineStr">
        <is>
          <t>ARISTOCRAT GIN</t>
        </is>
      </c>
      <c r="C664" s="7">
        <f>VLOOKUP(A664,SizeData!A$2:B$3839,2,FALSE)</f>
        <v/>
      </c>
      <c r="D664" s="6" t="n">
        <v>1</v>
      </c>
      <c r="E664" s="6" t="inlineStr">
        <is>
          <t>R1192602</t>
        </is>
      </c>
      <c r="F664" s="2" t="n">
        <v>44401</v>
      </c>
      <c r="G664" s="1" t="n"/>
    </row>
    <row r="665">
      <c r="A665" s="6" t="n">
        <v>29868</v>
      </c>
      <c r="B665" s="6" t="inlineStr">
        <is>
          <t>CROWN RUSSE GIN</t>
        </is>
      </c>
      <c r="C665" s="7">
        <f>VLOOKUP(A665,SizeData!A$2:B$3839,2,FALSE)</f>
        <v/>
      </c>
      <c r="D665" s="6" t="n">
        <v>1</v>
      </c>
      <c r="E665" s="6" t="inlineStr">
        <is>
          <t>R1016443</t>
        </is>
      </c>
      <c r="F665" s="2" t="n">
        <v>44226</v>
      </c>
      <c r="G665" s="1" t="n"/>
    </row>
    <row r="666">
      <c r="A666" s="6" t="n">
        <v>29868</v>
      </c>
      <c r="B666" s="6" t="inlineStr">
        <is>
          <t>CROWN RUSSE GIN</t>
        </is>
      </c>
      <c r="C666" s="7">
        <f>VLOOKUP(A666,SizeData!A$2:B$3839,2,FALSE)</f>
        <v/>
      </c>
      <c r="D666" s="6" t="n">
        <v>1</v>
      </c>
      <c r="E666" s="6" t="inlineStr">
        <is>
          <t>R1110509</t>
        </is>
      </c>
      <c r="F666" s="2" t="n">
        <v>44306</v>
      </c>
      <c r="G666" s="1" t="n"/>
    </row>
    <row r="667">
      <c r="A667" s="6" t="n">
        <v>29868</v>
      </c>
      <c r="B667" s="6" t="inlineStr">
        <is>
          <t>CROWN RUSSE GIN</t>
        </is>
      </c>
      <c r="C667" s="7">
        <f>VLOOKUP(A667,SizeData!A$2:B$3839,2,FALSE)</f>
        <v/>
      </c>
      <c r="D667" s="6" t="n">
        <v>1</v>
      </c>
      <c r="E667" s="6" t="inlineStr">
        <is>
          <t>R1146719</t>
        </is>
      </c>
      <c r="F667" s="2" t="n">
        <v>44355</v>
      </c>
      <c r="G667" s="1" t="n"/>
    </row>
    <row r="668">
      <c r="A668" s="6" t="n">
        <v>29868</v>
      </c>
      <c r="B668" s="6" t="inlineStr">
        <is>
          <t>CROWN RUSSE GIN</t>
        </is>
      </c>
      <c r="C668" s="7">
        <f>VLOOKUP(A668,SizeData!A$2:B$3839,2,FALSE)</f>
        <v/>
      </c>
      <c r="D668" s="6" t="n">
        <v>1</v>
      </c>
      <c r="E668" s="6" t="inlineStr">
        <is>
          <t>R1242289</t>
        </is>
      </c>
      <c r="F668" s="2" t="n">
        <v>44455</v>
      </c>
      <c r="G668" s="1" t="n"/>
    </row>
    <row r="669">
      <c r="A669" s="6" t="n">
        <v>29868</v>
      </c>
      <c r="B669" s="6" t="inlineStr">
        <is>
          <t>CROWN RUSSE GIN</t>
        </is>
      </c>
      <c r="C669" s="7">
        <f>VLOOKUP(A669,SizeData!A$2:B$3839,2,FALSE)</f>
        <v/>
      </c>
      <c r="D669" s="6" t="n">
        <v>1</v>
      </c>
      <c r="E669" s="6" t="inlineStr">
        <is>
          <t>R1273155</t>
        </is>
      </c>
      <c r="F669" s="2" t="n">
        <v>44480</v>
      </c>
      <c r="G669" s="1" t="n"/>
    </row>
    <row r="670">
      <c r="A670" s="6" t="n">
        <v>30316</v>
      </c>
      <c r="B670" s="6" t="inlineStr">
        <is>
          <t>GORDON'S GIN</t>
        </is>
      </c>
      <c r="C670" s="7">
        <f>VLOOKUP(A670,SizeData!A$2:B$3839,2,FALSE)</f>
        <v/>
      </c>
      <c r="D670" s="6" t="n">
        <v>2</v>
      </c>
      <c r="E670" s="6" t="inlineStr">
        <is>
          <t>R1018402</t>
        </is>
      </c>
      <c r="F670" s="2" t="n">
        <v>44229</v>
      </c>
      <c r="G670" s="1" t="n"/>
    </row>
    <row r="671">
      <c r="A671" s="6" t="n">
        <v>30316</v>
      </c>
      <c r="B671" s="6" t="inlineStr">
        <is>
          <t>GORDON'S GIN</t>
        </is>
      </c>
      <c r="C671" s="7">
        <f>VLOOKUP(A671,SizeData!A$2:B$3839,2,FALSE)</f>
        <v/>
      </c>
      <c r="D671" s="6" t="n">
        <v>1</v>
      </c>
      <c r="E671" s="6" t="inlineStr">
        <is>
          <t>R1041173</t>
        </is>
      </c>
      <c r="F671" s="2" t="n">
        <v>44257</v>
      </c>
      <c r="G671" s="1" t="n"/>
    </row>
    <row r="672">
      <c r="A672" s="6" t="n">
        <v>30316</v>
      </c>
      <c r="B672" s="6" t="inlineStr">
        <is>
          <t>GORDON'S GIN</t>
        </is>
      </c>
      <c r="C672" s="7">
        <f>VLOOKUP(A672,SizeData!A$2:B$3839,2,FALSE)</f>
        <v/>
      </c>
      <c r="D672" s="6" t="n">
        <v>1</v>
      </c>
      <c r="E672" s="6" t="inlineStr">
        <is>
          <t>R1106414</t>
        </is>
      </c>
      <c r="F672" s="2" t="n">
        <v>44307</v>
      </c>
      <c r="G672" s="1" t="n"/>
    </row>
    <row r="673">
      <c r="A673" s="6" t="n">
        <v>30316</v>
      </c>
      <c r="B673" s="6" t="inlineStr">
        <is>
          <t>GORDON'S GIN</t>
        </is>
      </c>
      <c r="C673" s="7">
        <f>VLOOKUP(A673,SizeData!A$2:B$3839,2,FALSE)</f>
        <v/>
      </c>
      <c r="D673" s="6" t="n">
        <v>1</v>
      </c>
      <c r="E673" s="6" t="inlineStr">
        <is>
          <t>R1163907</t>
        </is>
      </c>
      <c r="F673" s="2" t="n">
        <v>44373</v>
      </c>
      <c r="G673" s="1" t="n"/>
    </row>
    <row r="674">
      <c r="A674" s="6" t="n">
        <v>30316</v>
      </c>
      <c r="B674" s="6" t="inlineStr">
        <is>
          <t>GORDON'S GIN</t>
        </is>
      </c>
      <c r="C674" s="7">
        <f>VLOOKUP(A674,SizeData!A$2:B$3839,2,FALSE)</f>
        <v/>
      </c>
      <c r="D674" s="6" t="n">
        <v>2</v>
      </c>
      <c r="E674" s="6" t="inlineStr">
        <is>
          <t>R1228910</t>
        </is>
      </c>
      <c r="F674" s="2" t="n">
        <v>44439</v>
      </c>
      <c r="G674" s="1" t="n"/>
    </row>
    <row r="675">
      <c r="A675" s="6" t="n">
        <v>30316</v>
      </c>
      <c r="B675" s="6" t="inlineStr">
        <is>
          <t>GORDON'S GIN</t>
        </is>
      </c>
      <c r="C675" s="7">
        <f>VLOOKUP(A675,SizeData!A$2:B$3839,2,FALSE)</f>
        <v/>
      </c>
      <c r="D675" s="6" t="n">
        <v>1</v>
      </c>
      <c r="E675" s="6" t="inlineStr">
        <is>
          <t>R1274548</t>
        </is>
      </c>
      <c r="F675" s="2" t="n">
        <v>44485</v>
      </c>
      <c r="G675" s="1" t="n"/>
    </row>
    <row r="676">
      <c r="A676" s="6" t="n">
        <v>30316</v>
      </c>
      <c r="B676" s="6" t="inlineStr">
        <is>
          <t>GORDON'S GIN</t>
        </is>
      </c>
      <c r="C676" s="7">
        <f>VLOOKUP(A676,SizeData!A$2:B$3839,2,FALSE)</f>
        <v/>
      </c>
      <c r="D676" s="6" t="n">
        <v>2</v>
      </c>
      <c r="E676" s="6" t="inlineStr">
        <is>
          <t>R1330081</t>
        </is>
      </c>
      <c r="F676" s="2" t="n">
        <v>44518</v>
      </c>
      <c r="G676" s="1" t="n"/>
    </row>
    <row r="677">
      <c r="A677" s="6" t="n">
        <v>31472</v>
      </c>
      <c r="B677" s="6" t="inlineStr">
        <is>
          <t>NEW AMSTERDAM GIN</t>
        </is>
      </c>
      <c r="C677" s="7">
        <f>VLOOKUP(A677,SizeData!A$2:B$3839,2,FALSE)</f>
        <v/>
      </c>
      <c r="D677" s="6" t="n">
        <v>1</v>
      </c>
      <c r="E677" s="6" t="inlineStr">
        <is>
          <t>R1072360</t>
        </is>
      </c>
      <c r="F677" s="2" t="n">
        <v>44281</v>
      </c>
      <c r="G677" s="1" t="n"/>
    </row>
    <row r="678">
      <c r="A678" s="6" t="n">
        <v>31472</v>
      </c>
      <c r="B678" s="6" t="inlineStr">
        <is>
          <t>NEW AMSTERDAM GIN</t>
        </is>
      </c>
      <c r="C678" s="7">
        <f>VLOOKUP(A678,SizeData!A$2:B$3839,2,FALSE)</f>
        <v/>
      </c>
      <c r="D678" s="6" t="n">
        <v>1</v>
      </c>
      <c r="E678" s="6" t="inlineStr">
        <is>
          <t xml:space="preserve"> R1162278</t>
        </is>
      </c>
      <c r="F678" s="2" t="n">
        <v>44380</v>
      </c>
      <c r="G678" s="1" t="n"/>
    </row>
    <row r="679">
      <c r="A679" s="6" t="n">
        <v>31472</v>
      </c>
      <c r="B679" s="6" t="inlineStr">
        <is>
          <t>NEW AMSTERDAM GIN</t>
        </is>
      </c>
      <c r="C679" s="7">
        <f>VLOOKUP(A679,SizeData!A$2:B$3839,2,FALSE)</f>
        <v/>
      </c>
      <c r="D679" s="6" t="n">
        <v>1</v>
      </c>
      <c r="E679" s="6" t="inlineStr">
        <is>
          <t>R1175838</t>
        </is>
      </c>
      <c r="F679" s="2" t="n">
        <v>44389</v>
      </c>
      <c r="G679" s="1" t="n"/>
    </row>
    <row r="680">
      <c r="A680" s="6" t="n">
        <v>31472</v>
      </c>
      <c r="B680" s="6" t="inlineStr">
        <is>
          <t>NEW AMSTERDAM GIN</t>
        </is>
      </c>
      <c r="C680" s="7">
        <f>VLOOKUP(A680,SizeData!A$2:B$3839,2,FALSE)</f>
        <v/>
      </c>
      <c r="D680" s="6" t="n">
        <v>1</v>
      </c>
      <c r="E680" s="6" t="inlineStr">
        <is>
          <t>R1240644</t>
        </is>
      </c>
      <c r="F680" s="2" t="n">
        <v>44440</v>
      </c>
      <c r="G680" s="1" t="n"/>
    </row>
    <row r="681">
      <c r="A681" s="6" t="n">
        <v>31472</v>
      </c>
      <c r="B681" s="6" t="inlineStr">
        <is>
          <t>NEW AMSTERDAM GIN</t>
        </is>
      </c>
      <c r="C681" s="7">
        <f>VLOOKUP(A681,SizeData!A$2:B$3839,2,FALSE)</f>
        <v/>
      </c>
      <c r="D681" s="6" t="n">
        <v>1</v>
      </c>
      <c r="E681" s="6" t="inlineStr">
        <is>
          <t>R1277917</t>
        </is>
      </c>
      <c r="F681" s="2" t="n">
        <v>44481</v>
      </c>
      <c r="G681" s="1" t="n"/>
    </row>
    <row r="682">
      <c r="A682" s="6" t="n">
        <v>31472</v>
      </c>
      <c r="B682" s="6" t="inlineStr">
        <is>
          <t>NEW AMSTERDAM GIN</t>
        </is>
      </c>
      <c r="C682" s="7">
        <f>VLOOKUP(A682,SizeData!A$2:B$3839,2,FALSE)</f>
        <v/>
      </c>
      <c r="D682" s="6" t="n">
        <v>1</v>
      </c>
      <c r="E682" s="6" t="inlineStr">
        <is>
          <t>R1336378</t>
        </is>
      </c>
      <c r="F682" s="2" t="n">
        <v>44523</v>
      </c>
      <c r="G682" s="1" t="n"/>
    </row>
    <row r="683">
      <c r="A683" s="6" t="n">
        <v>31473</v>
      </c>
      <c r="B683" s="6" t="inlineStr">
        <is>
          <t>NEW AMSTERDAM GIN</t>
        </is>
      </c>
      <c r="C683" s="7">
        <f>VLOOKUP(A683,SizeData!A$2:B$3839,2,FALSE)</f>
        <v/>
      </c>
      <c r="D683" s="6" t="n">
        <v>1</v>
      </c>
      <c r="E683" s="6" t="inlineStr">
        <is>
          <t>R1025870</t>
        </is>
      </c>
      <c r="F683" s="2" t="n">
        <v>44229</v>
      </c>
      <c r="G683" s="1" t="n"/>
    </row>
    <row r="684">
      <c r="A684" s="6" t="n">
        <v>31473</v>
      </c>
      <c r="B684" s="6" t="inlineStr">
        <is>
          <t>NEW AMSTERDAM GIN</t>
        </is>
      </c>
      <c r="C684" s="7">
        <f>VLOOKUP(A684,SizeData!A$2:B$3839,2,FALSE)</f>
        <v/>
      </c>
      <c r="D684" s="6" t="n">
        <v>1</v>
      </c>
      <c r="E684" s="6" t="inlineStr">
        <is>
          <t>R1045566</t>
        </is>
      </c>
      <c r="F684" s="2" t="n">
        <v>44253</v>
      </c>
      <c r="G684" s="1" t="n"/>
    </row>
    <row r="685">
      <c r="A685" s="6" t="n">
        <v>31473</v>
      </c>
      <c r="B685" s="6" t="inlineStr">
        <is>
          <t>NEW AMSTERDAM GIN</t>
        </is>
      </c>
      <c r="C685" s="7">
        <f>VLOOKUP(A685,SizeData!A$2:B$3839,2,FALSE)</f>
        <v/>
      </c>
      <c r="D685" s="6" t="n">
        <v>3</v>
      </c>
      <c r="E685" s="6" t="inlineStr">
        <is>
          <t>R1066712</t>
        </is>
      </c>
      <c r="F685" s="2" t="n">
        <v>44268</v>
      </c>
      <c r="G685" s="1" t="n"/>
    </row>
    <row r="686">
      <c r="A686" s="6" t="n">
        <v>31473</v>
      </c>
      <c r="B686" s="6" t="inlineStr">
        <is>
          <t>NEW AMSTERDAM GIN</t>
        </is>
      </c>
      <c r="C686" s="7">
        <f>VLOOKUP(A686,SizeData!A$2:B$3839,2,FALSE)</f>
        <v/>
      </c>
      <c r="D686" s="6" t="n">
        <v>2</v>
      </c>
      <c r="E686" s="6" t="inlineStr">
        <is>
          <t>R1262670</t>
        </is>
      </c>
      <c r="F686" s="2" t="n">
        <v>44470</v>
      </c>
      <c r="G686" s="1" t="n"/>
    </row>
    <row r="687">
      <c r="A687" s="6" t="n">
        <v>31473</v>
      </c>
      <c r="B687" s="6" t="inlineStr">
        <is>
          <t>NEW AMSTERDAM GIN</t>
        </is>
      </c>
      <c r="C687" s="7">
        <f>VLOOKUP(A687,SizeData!A$2:B$3839,2,FALSE)</f>
        <v/>
      </c>
      <c r="D687" s="6" t="n">
        <v>0</v>
      </c>
      <c r="E687" s="6" t="inlineStr">
        <is>
          <t>R1301289</t>
        </is>
      </c>
      <c r="F687" s="2" t="n">
        <v>44499</v>
      </c>
      <c r="G687" s="1" t="n"/>
    </row>
    <row r="688">
      <c r="A688" s="6" t="n">
        <v>31473</v>
      </c>
      <c r="B688" s="6" t="inlineStr">
        <is>
          <t>NEW AMSTERDAM GIN</t>
        </is>
      </c>
      <c r="C688" s="7">
        <f>VLOOKUP(A688,SizeData!A$2:B$3839,2,FALSE)</f>
        <v/>
      </c>
      <c r="D688" s="6" t="n">
        <v>2</v>
      </c>
      <c r="E688" s="6" t="inlineStr">
        <is>
          <t>R1341373</t>
        </is>
      </c>
      <c r="F688" s="2" t="n">
        <v>44531</v>
      </c>
      <c r="G688" s="1" t="n"/>
    </row>
    <row r="689">
      <c r="A689" s="6" t="n">
        <v>31474</v>
      </c>
      <c r="B689" s="6" t="inlineStr">
        <is>
          <t>NEW AMSTERDAM GIN</t>
        </is>
      </c>
      <c r="C689" s="7">
        <f>VLOOKUP(A689,SizeData!A$2:B$3839,2,FALSE)</f>
        <v/>
      </c>
      <c r="D689" s="6" t="n">
        <v>4</v>
      </c>
      <c r="E689" s="6" t="inlineStr">
        <is>
          <t>R1048898</t>
        </is>
      </c>
      <c r="F689" s="2" t="n">
        <v>44266</v>
      </c>
      <c r="G689" s="1" t="n"/>
    </row>
    <row r="690">
      <c r="A690" s="6" t="n">
        <v>31474</v>
      </c>
      <c r="B690" s="6" t="inlineStr">
        <is>
          <t>NEW AMSTERDAM GIN</t>
        </is>
      </c>
      <c r="C690" s="7">
        <f>VLOOKUP(A690,SizeData!A$2:B$3839,2,FALSE)</f>
        <v/>
      </c>
      <c r="D690" s="6" t="n">
        <v>1</v>
      </c>
      <c r="E690" s="6" t="inlineStr">
        <is>
          <t>R1071489</t>
        </is>
      </c>
      <c r="F690" s="2" t="n">
        <v>44281</v>
      </c>
      <c r="G690" s="1" t="n"/>
    </row>
    <row r="691">
      <c r="A691" s="6" t="n">
        <v>31474</v>
      </c>
      <c r="B691" s="6" t="inlineStr">
        <is>
          <t>NEW AMSTERDAM GIN</t>
        </is>
      </c>
      <c r="C691" s="7">
        <f>VLOOKUP(A691,SizeData!A$2:B$3839,2,FALSE)</f>
        <v/>
      </c>
      <c r="D691" s="6" t="n">
        <v>6</v>
      </c>
      <c r="E691" s="6" t="inlineStr">
        <is>
          <t>R1132471</t>
        </is>
      </c>
      <c r="F691" s="2" t="n">
        <v>44349</v>
      </c>
      <c r="G691" s="1" t="n"/>
    </row>
    <row r="692">
      <c r="A692" s="6" t="n">
        <v>31474</v>
      </c>
      <c r="B692" s="6" t="inlineStr">
        <is>
          <t>NEW AMSTERDAM GIN</t>
        </is>
      </c>
      <c r="C692" s="7">
        <f>VLOOKUP(A692,SizeData!A$2:B$3839,2,FALSE)</f>
        <v/>
      </c>
      <c r="D692" s="6" t="n">
        <v>6</v>
      </c>
      <c r="E692" s="6" t="inlineStr">
        <is>
          <t>R1134794</t>
        </is>
      </c>
      <c r="F692" s="2" t="n">
        <v>44365</v>
      </c>
      <c r="G692" s="1" t="n"/>
    </row>
    <row r="693">
      <c r="A693" s="6" t="n">
        <v>31474</v>
      </c>
      <c r="B693" s="6" t="inlineStr">
        <is>
          <t>NEW AMSTERDAM GIN</t>
        </is>
      </c>
      <c r="C693" s="7">
        <f>VLOOKUP(A693,SizeData!A$2:B$3839,2,FALSE)</f>
        <v/>
      </c>
      <c r="D693" s="6" t="n">
        <v>2</v>
      </c>
      <c r="E693" s="6" t="inlineStr">
        <is>
          <t>R1162430</t>
        </is>
      </c>
      <c r="F693" s="2" t="n">
        <v>44371</v>
      </c>
      <c r="G693" s="1" t="n"/>
    </row>
    <row r="694">
      <c r="A694" s="6" t="n">
        <v>31474</v>
      </c>
      <c r="B694" s="6" t="inlineStr">
        <is>
          <t>NEW AMSTERDAM GIN</t>
        </is>
      </c>
      <c r="C694" s="7">
        <f>VLOOKUP(A694,SizeData!A$2:B$3839,2,FALSE)</f>
        <v/>
      </c>
      <c r="D694" s="6" t="n">
        <v>10</v>
      </c>
      <c r="E694" s="6" t="inlineStr">
        <is>
          <t>R1235270</t>
        </is>
      </c>
      <c r="F694" s="2" t="n">
        <v>44440</v>
      </c>
      <c r="G694" s="1" t="n"/>
    </row>
    <row r="695">
      <c r="A695" s="6" t="n">
        <v>31474</v>
      </c>
      <c r="B695" s="6" t="inlineStr">
        <is>
          <t>NEW AMSTERDAM GIN</t>
        </is>
      </c>
      <c r="C695" s="7">
        <f>VLOOKUP(A695,SizeData!A$2:B$3839,2,FALSE)</f>
        <v/>
      </c>
      <c r="D695" s="6" t="n">
        <v>8</v>
      </c>
      <c r="E695" s="6" t="inlineStr">
        <is>
          <t>R1250894</t>
        </is>
      </c>
      <c r="F695" s="2" t="n">
        <v>44459</v>
      </c>
      <c r="G695" s="1" t="n"/>
    </row>
    <row r="696">
      <c r="A696" s="6" t="n">
        <v>31474</v>
      </c>
      <c r="B696" s="6" t="inlineStr">
        <is>
          <t>NEW AMSTERDAM GIN</t>
        </is>
      </c>
      <c r="C696" s="7">
        <f>VLOOKUP(A696,SizeData!A$2:B$3839,2,FALSE)</f>
        <v/>
      </c>
      <c r="D696" s="6" t="n">
        <v>15</v>
      </c>
      <c r="E696" s="6" t="inlineStr">
        <is>
          <t>R1360132</t>
        </is>
      </c>
      <c r="F696" s="2" t="n">
        <v>44532</v>
      </c>
      <c r="G696" s="1" t="n"/>
    </row>
    <row r="697">
      <c r="A697" s="6" t="n">
        <v>31475</v>
      </c>
      <c r="B697" s="6" t="inlineStr">
        <is>
          <t>NEW AMSTERDAM GIN</t>
        </is>
      </c>
      <c r="C697" s="7">
        <f>VLOOKUP(A697,SizeData!A$2:B$3839,2,FALSE)</f>
        <v/>
      </c>
      <c r="D697" s="6" t="n">
        <v>3</v>
      </c>
      <c r="E697" s="6" t="inlineStr">
        <is>
          <t>R1071489</t>
        </is>
      </c>
      <c r="F697" s="2" t="n">
        <v>44281</v>
      </c>
      <c r="G697" s="1" t="n"/>
    </row>
    <row r="698">
      <c r="A698" s="6" t="n">
        <v>31475</v>
      </c>
      <c r="B698" s="6" t="inlineStr">
        <is>
          <t>NEW AMSTERDAM GIN</t>
        </is>
      </c>
      <c r="C698" s="7">
        <f>VLOOKUP(A698,SizeData!A$2:B$3839,2,FALSE)</f>
        <v/>
      </c>
      <c r="D698" s="6" t="n">
        <v>3</v>
      </c>
      <c r="E698" s="6" t="inlineStr">
        <is>
          <t>R1242196</t>
        </is>
      </c>
      <c r="F698" s="2" t="n">
        <v>44456</v>
      </c>
      <c r="G698" s="1" t="n"/>
    </row>
    <row r="699">
      <c r="A699" s="6" t="n">
        <v>32214</v>
      </c>
      <c r="B699" s="6" t="inlineStr">
        <is>
          <t>SEAGRAM'S DISTILLER'S RESERVE 94 GIN</t>
        </is>
      </c>
      <c r="C699" s="7">
        <f>VLOOKUP(A699,SizeData!A$2:B$3839,2,FALSE)</f>
        <v/>
      </c>
      <c r="D699" s="6" t="n">
        <v>1</v>
      </c>
      <c r="E699" s="6" t="inlineStr">
        <is>
          <t>R1008979</t>
        </is>
      </c>
      <c r="F699" s="2" t="n">
        <v>44224</v>
      </c>
      <c r="G699" s="1" t="n"/>
    </row>
    <row r="700">
      <c r="A700" s="6" t="n">
        <v>32214</v>
      </c>
      <c r="B700" s="6" t="inlineStr">
        <is>
          <t>SEAGRAM'S DISTILLER'S RESERVE 94 GIN</t>
        </is>
      </c>
      <c r="C700" s="7">
        <f>VLOOKUP(A700,SizeData!A$2:B$3839,2,FALSE)</f>
        <v/>
      </c>
      <c r="D700" s="6" t="n">
        <v>1</v>
      </c>
      <c r="E700" s="6" t="inlineStr">
        <is>
          <t xml:space="preserve"> R1204784</t>
        </is>
      </c>
      <c r="F700" s="2" t="n">
        <v>44421</v>
      </c>
      <c r="G700" s="1" t="n"/>
    </row>
    <row r="701">
      <c r="A701" s="6" t="n">
        <v>32231</v>
      </c>
      <c r="B701" s="6" t="inlineStr">
        <is>
          <t>SEAGRAM'S EXTRA DRY GIN</t>
        </is>
      </c>
      <c r="C701" s="7">
        <f>VLOOKUP(A701,SizeData!A$2:B$3839,2,FALSE)</f>
        <v/>
      </c>
      <c r="D701" s="6" t="n">
        <v>1</v>
      </c>
      <c r="E701" s="6" t="inlineStr">
        <is>
          <t>R1058237</t>
        </is>
      </c>
      <c r="F701" s="2" t="n">
        <v>44273</v>
      </c>
      <c r="G701" s="1" t="n"/>
    </row>
    <row r="702">
      <c r="A702" s="6" t="n">
        <v>32231</v>
      </c>
      <c r="B702" s="6" t="inlineStr">
        <is>
          <t>SEAGRAM'S EXTRA DRY GIN</t>
        </is>
      </c>
      <c r="C702" s="7">
        <f>VLOOKUP(A702,SizeData!A$2:B$3839,2,FALSE)</f>
        <v/>
      </c>
      <c r="D702" s="6" t="n">
        <v>1</v>
      </c>
      <c r="E702" s="6" t="inlineStr">
        <is>
          <t xml:space="preserve"> R1156630</t>
        </is>
      </c>
      <c r="F702" s="2" t="n">
        <v>44364</v>
      </c>
      <c r="G702" s="1" t="n"/>
    </row>
    <row r="703">
      <c r="A703" s="6" t="n">
        <v>32231</v>
      </c>
      <c r="B703" s="6" t="inlineStr">
        <is>
          <t>SEAGRAM'S EXTRA DRY GIN</t>
        </is>
      </c>
      <c r="C703" s="7">
        <f>VLOOKUP(A703,SizeData!A$2:B$3839,2,FALSE)</f>
        <v/>
      </c>
      <c r="D703" s="6" t="n">
        <v>3</v>
      </c>
      <c r="E703" s="6" t="inlineStr">
        <is>
          <t>R1356670</t>
        </is>
      </c>
      <c r="F703" s="2" t="n">
        <v>44539</v>
      </c>
      <c r="G703" s="1" t="n"/>
    </row>
    <row r="704">
      <c r="A704" s="6" t="n">
        <v>32232</v>
      </c>
      <c r="B704" s="6" t="inlineStr">
        <is>
          <t>SEAGRAM'S EXTRA DRY GIN</t>
        </is>
      </c>
      <c r="C704" s="7">
        <f>VLOOKUP(A704,SizeData!A$2:B$3839,2,FALSE)</f>
        <v/>
      </c>
      <c r="D704" s="6" t="n">
        <v>1</v>
      </c>
      <c r="E704" s="6" t="inlineStr">
        <is>
          <t>R992805</t>
        </is>
      </c>
      <c r="F704" s="2" t="n">
        <v>44201</v>
      </c>
      <c r="G704" s="1" t="n"/>
    </row>
    <row r="705">
      <c r="A705" s="6" t="n">
        <v>32232</v>
      </c>
      <c r="B705" s="6" t="inlineStr">
        <is>
          <t>SEAGRAM'S EXTRA DRY GIN</t>
        </is>
      </c>
      <c r="C705" s="7">
        <f>VLOOKUP(A705,SizeData!A$2:B$3839,2,FALSE)</f>
        <v/>
      </c>
      <c r="D705" s="6" t="n">
        <v>1</v>
      </c>
      <c r="E705" s="6" t="inlineStr">
        <is>
          <t>R1007118</t>
        </is>
      </c>
      <c r="F705" s="2" t="n">
        <v>44211</v>
      </c>
      <c r="G705" s="1" t="n"/>
    </row>
    <row r="706">
      <c r="A706" s="6" t="n">
        <v>32232</v>
      </c>
      <c r="B706" s="6" t="inlineStr">
        <is>
          <t>SEAGRAM'S EXTRA DRY GIN</t>
        </is>
      </c>
      <c r="C706" s="7">
        <f>VLOOKUP(A706,SizeData!A$2:B$3839,2,FALSE)</f>
        <v/>
      </c>
      <c r="D706" s="6" t="n">
        <v>1</v>
      </c>
      <c r="E706" s="6" t="inlineStr">
        <is>
          <t>R1030777</t>
        </is>
      </c>
      <c r="F706" s="2" t="n">
        <v>44238</v>
      </c>
      <c r="G706" s="1" t="n"/>
    </row>
    <row r="707">
      <c r="A707" s="6" t="n">
        <v>32232</v>
      </c>
      <c r="B707" s="6" t="inlineStr">
        <is>
          <t>SEAGRAM'S EXTRA DRY GIN</t>
        </is>
      </c>
      <c r="C707" s="7">
        <f>VLOOKUP(A707,SizeData!A$2:B$3839,2,FALSE)</f>
        <v/>
      </c>
      <c r="D707" s="6" t="n">
        <v>1</v>
      </c>
      <c r="E707" s="6" t="inlineStr">
        <is>
          <t>R1046414</t>
        </is>
      </c>
      <c r="F707" s="2" t="n">
        <v>44254</v>
      </c>
      <c r="G707" s="1" t="n"/>
    </row>
    <row r="708">
      <c r="A708" s="6" t="n">
        <v>32232</v>
      </c>
      <c r="B708" s="6" t="inlineStr">
        <is>
          <t>SEAGRAM'S EXTRA DRY GIN</t>
        </is>
      </c>
      <c r="C708" s="7">
        <f>VLOOKUP(A708,SizeData!A$2:B$3839,2,FALSE)</f>
        <v/>
      </c>
      <c r="D708" s="6" t="n">
        <v>0</v>
      </c>
      <c r="E708" s="6" t="inlineStr">
        <is>
          <t>R1274350</t>
        </is>
      </c>
      <c r="F708" s="2" t="n">
        <v>44483</v>
      </c>
      <c r="G708" s="1" t="n"/>
    </row>
    <row r="709">
      <c r="A709" s="6" t="n">
        <v>32232</v>
      </c>
      <c r="B709" s="6" t="inlineStr">
        <is>
          <t>SEAGRAM'S EXTRA DRY GIN</t>
        </is>
      </c>
      <c r="C709" s="7">
        <f>VLOOKUP(A709,SizeData!A$2:B$3839,2,FALSE)</f>
        <v/>
      </c>
      <c r="D709" s="6" t="n">
        <v>0</v>
      </c>
      <c r="E709" s="6" t="inlineStr">
        <is>
          <t>R1303942</t>
        </is>
      </c>
      <c r="F709" s="2" t="n">
        <v>44501</v>
      </c>
      <c r="G709" s="1" t="n"/>
    </row>
    <row r="710">
      <c r="A710" s="6" t="n">
        <v>32233</v>
      </c>
      <c r="B710" s="6" t="inlineStr">
        <is>
          <t>SEAGRAM'S EXTRA DRY GIN</t>
        </is>
      </c>
      <c r="C710" s="7">
        <f>VLOOKUP(A710,SizeData!A$2:B$3839,2,FALSE)</f>
        <v/>
      </c>
      <c r="D710" s="6" t="n">
        <v>3</v>
      </c>
      <c r="E710" s="6" t="inlineStr">
        <is>
          <t xml:space="preserve"> R995100</t>
        </is>
      </c>
      <c r="F710" s="2" t="n">
        <v>44202</v>
      </c>
      <c r="G710" s="1" t="n"/>
    </row>
    <row r="711">
      <c r="A711" s="6" t="n">
        <v>32233</v>
      </c>
      <c r="B711" s="6" t="inlineStr">
        <is>
          <t>SEAGRAM'S EXTRA DRY GIN</t>
        </is>
      </c>
      <c r="C711" s="7">
        <f>VLOOKUP(A711,SizeData!A$2:B$3839,2,FALSE)</f>
        <v/>
      </c>
      <c r="D711" s="6" t="n">
        <v>2</v>
      </c>
      <c r="E711" s="6" t="inlineStr">
        <is>
          <t>R991186</t>
        </is>
      </c>
      <c r="F711" s="2" t="n">
        <v>44203</v>
      </c>
      <c r="G711" s="1" t="n"/>
    </row>
    <row r="712">
      <c r="A712" s="6" t="n">
        <v>32233</v>
      </c>
      <c r="B712" s="6" t="inlineStr">
        <is>
          <t>SEAGRAM'S EXTRA DRY GIN</t>
        </is>
      </c>
      <c r="C712" s="7">
        <f>VLOOKUP(A712,SizeData!A$2:B$3839,2,FALSE)</f>
        <v/>
      </c>
      <c r="D712" s="6" t="n">
        <v>2</v>
      </c>
      <c r="E712" s="6" t="inlineStr">
        <is>
          <t>R1000047</t>
        </is>
      </c>
      <c r="F712" s="2" t="n">
        <v>44207</v>
      </c>
      <c r="G712" s="1" t="n"/>
    </row>
    <row r="713">
      <c r="A713" s="6" t="n">
        <v>32233</v>
      </c>
      <c r="B713" s="6" t="inlineStr">
        <is>
          <t>SEAGRAM'S EXTRA DRY GIN</t>
        </is>
      </c>
      <c r="C713" s="7">
        <f>VLOOKUP(A713,SizeData!A$2:B$3839,2,FALSE)</f>
        <v/>
      </c>
      <c r="D713" s="6" t="n">
        <v>3</v>
      </c>
      <c r="E713" s="6" t="inlineStr">
        <is>
          <t>R1007118</t>
        </is>
      </c>
      <c r="F713" s="2" t="n">
        <v>44211</v>
      </c>
      <c r="G713" s="1" t="n"/>
    </row>
    <row r="714">
      <c r="A714" s="6" t="n">
        <v>32233</v>
      </c>
      <c r="B714" s="6" t="inlineStr">
        <is>
          <t>SEAGRAM'S EXTRA DRY GIN</t>
        </is>
      </c>
      <c r="C714" s="7">
        <f>VLOOKUP(A714,SizeData!A$2:B$3839,2,FALSE)</f>
        <v/>
      </c>
      <c r="D714" s="6" t="n">
        <v>3</v>
      </c>
      <c r="E714" s="6" t="inlineStr">
        <is>
          <t>R1003923</t>
        </is>
      </c>
      <c r="F714" s="2" t="n">
        <v>44219</v>
      </c>
      <c r="G714" s="1" t="n"/>
    </row>
    <row r="715">
      <c r="A715" s="6" t="n">
        <v>32233</v>
      </c>
      <c r="B715" s="6" t="inlineStr">
        <is>
          <t>SEAGRAM'S EXTRA DRY GIN</t>
        </is>
      </c>
      <c r="C715" s="7">
        <f>VLOOKUP(A715,SizeData!A$2:B$3839,2,FALSE)</f>
        <v/>
      </c>
      <c r="D715" s="6" t="n">
        <v>1</v>
      </c>
      <c r="E715" s="6" t="inlineStr">
        <is>
          <t>R1026567</t>
        </is>
      </c>
      <c r="F715" s="2" t="n">
        <v>44245</v>
      </c>
      <c r="G715" s="1" t="n"/>
    </row>
    <row r="716">
      <c r="A716" s="6" t="n">
        <v>32233</v>
      </c>
      <c r="B716" s="6" t="inlineStr">
        <is>
          <t>SEAGRAM'S EXTRA DRY GIN</t>
        </is>
      </c>
      <c r="C716" s="7">
        <f>VLOOKUP(A716,SizeData!A$2:B$3839,2,FALSE)</f>
        <v/>
      </c>
      <c r="D716" s="6" t="n">
        <v>2</v>
      </c>
      <c r="E716" s="6" t="inlineStr">
        <is>
          <t>R1027896</t>
        </is>
      </c>
      <c r="F716" s="2" t="n">
        <v>44247</v>
      </c>
      <c r="G716" s="1" t="n"/>
    </row>
    <row r="717">
      <c r="A717" s="6" t="n">
        <v>32233</v>
      </c>
      <c r="B717" s="6" t="inlineStr">
        <is>
          <t>SEAGRAM'S EXTRA DRY GIN</t>
        </is>
      </c>
      <c r="C717" s="7">
        <f>VLOOKUP(A717,SizeData!A$2:B$3839,2,FALSE)</f>
        <v/>
      </c>
      <c r="D717" s="6" t="n">
        <v>10</v>
      </c>
      <c r="E717" s="6" t="inlineStr">
        <is>
          <t>R1045566</t>
        </is>
      </c>
      <c r="F717" s="2" t="n">
        <v>44253</v>
      </c>
      <c r="G717" s="1" t="n"/>
    </row>
    <row r="718">
      <c r="A718" s="6" t="n">
        <v>32233</v>
      </c>
      <c r="B718" s="6" t="inlineStr">
        <is>
          <t>SEAGRAM'S EXTRA DRY GIN</t>
        </is>
      </c>
      <c r="C718" s="7">
        <f>VLOOKUP(A718,SizeData!A$2:B$3839,2,FALSE)</f>
        <v/>
      </c>
      <c r="D718" s="6" t="n">
        <v>2</v>
      </c>
      <c r="E718" s="6" t="inlineStr">
        <is>
          <t>R1043269</t>
        </is>
      </c>
      <c r="F718" s="2" t="n">
        <v>44263</v>
      </c>
      <c r="G718" s="1" t="n"/>
    </row>
    <row r="719">
      <c r="A719" s="6" t="n">
        <v>32233</v>
      </c>
      <c r="B719" s="6" t="inlineStr">
        <is>
          <t>SEAGRAM'S EXTRA DRY GIN</t>
        </is>
      </c>
      <c r="C719" s="7">
        <f>VLOOKUP(A719,SizeData!A$2:B$3839,2,FALSE)</f>
        <v/>
      </c>
      <c r="D719" s="6" t="n">
        <v>10</v>
      </c>
      <c r="E719" s="6" t="inlineStr">
        <is>
          <t>R1048765</t>
        </is>
      </c>
      <c r="F719" s="2" t="n">
        <v>44265</v>
      </c>
      <c r="G719" s="1" t="n"/>
    </row>
    <row r="720">
      <c r="A720" s="6" t="n">
        <v>32233</v>
      </c>
      <c r="B720" s="6" t="inlineStr">
        <is>
          <t>SEAGRAM'S EXTRA DRY GIN</t>
        </is>
      </c>
      <c r="C720" s="7">
        <f>VLOOKUP(A720,SizeData!A$2:B$3839,2,FALSE)</f>
        <v/>
      </c>
      <c r="D720" s="6" t="n">
        <v>1</v>
      </c>
      <c r="E720" s="6" t="inlineStr">
        <is>
          <t>R1081307</t>
        </is>
      </c>
      <c r="F720" s="2" t="n">
        <v>44284</v>
      </c>
      <c r="G720" s="1" t="n"/>
    </row>
    <row r="721">
      <c r="A721" s="6" t="n">
        <v>32233</v>
      </c>
      <c r="B721" s="6" t="inlineStr">
        <is>
          <t>SEAGRAM'S EXTRA DRY GIN</t>
        </is>
      </c>
      <c r="C721" s="7">
        <f>VLOOKUP(A721,SizeData!A$2:B$3839,2,FALSE)</f>
        <v/>
      </c>
      <c r="D721" s="6" t="n">
        <v>4</v>
      </c>
      <c r="E721" s="6" t="inlineStr">
        <is>
          <t>R1087015</t>
        </is>
      </c>
      <c r="F721" s="2" t="n">
        <v>44291</v>
      </c>
      <c r="G721" s="1" t="n"/>
    </row>
    <row r="722">
      <c r="A722" s="6" t="n">
        <v>32233</v>
      </c>
      <c r="B722" s="6" t="inlineStr">
        <is>
          <t>SEAGRAM'S EXTRA DRY GIN</t>
        </is>
      </c>
      <c r="C722" s="7">
        <f>VLOOKUP(A722,SizeData!A$2:B$3839,2,FALSE)</f>
        <v/>
      </c>
      <c r="D722" s="6" t="n">
        <v>1</v>
      </c>
      <c r="E722" s="6" t="inlineStr">
        <is>
          <t>R1096915</t>
        </is>
      </c>
      <c r="F722" s="2" t="n">
        <v>44303</v>
      </c>
      <c r="G722" s="1" t="n"/>
    </row>
    <row r="723">
      <c r="A723" s="6" t="n">
        <v>32233</v>
      </c>
      <c r="B723" s="6" t="inlineStr">
        <is>
          <t>SEAGRAM'S EXTRA DRY GIN</t>
        </is>
      </c>
      <c r="C723" s="7">
        <f>VLOOKUP(A723,SizeData!A$2:B$3839,2,FALSE)</f>
        <v/>
      </c>
      <c r="D723" s="6" t="n">
        <v>1</v>
      </c>
      <c r="E723" s="6" t="inlineStr">
        <is>
          <t>R1097628</t>
        </is>
      </c>
      <c r="F723" s="2" t="n">
        <v>44305</v>
      </c>
      <c r="G723" s="1" t="n"/>
    </row>
    <row r="724">
      <c r="A724" s="6" t="n">
        <v>32233</v>
      </c>
      <c r="B724" s="6" t="inlineStr">
        <is>
          <t>SEAGRAM'S EXTRA DRY GIN</t>
        </is>
      </c>
      <c r="C724" s="7">
        <f>VLOOKUP(A724,SizeData!A$2:B$3839,2,FALSE)</f>
        <v/>
      </c>
      <c r="D724" s="6" t="n">
        <v>1</v>
      </c>
      <c r="E724" s="6" t="inlineStr">
        <is>
          <t>R1110509</t>
        </is>
      </c>
      <c r="F724" s="2" t="n">
        <v>44306</v>
      </c>
      <c r="G724" s="1" t="n"/>
    </row>
    <row r="725">
      <c r="A725" s="6" t="n">
        <v>32233</v>
      </c>
      <c r="B725" s="6" t="inlineStr">
        <is>
          <t>SEAGRAM'S EXTRA DRY GIN</t>
        </is>
      </c>
      <c r="C725" s="7">
        <f>VLOOKUP(A725,SizeData!A$2:B$3839,2,FALSE)</f>
        <v/>
      </c>
      <c r="D725" s="6" t="n">
        <v>3</v>
      </c>
      <c r="E725" s="6" t="inlineStr">
        <is>
          <t>R1106414</t>
        </is>
      </c>
      <c r="F725" s="2" t="n">
        <v>44307</v>
      </c>
      <c r="G725" s="1" t="n"/>
    </row>
    <row r="726">
      <c r="A726" s="6" t="n">
        <v>32233</v>
      </c>
      <c r="B726" s="6" t="inlineStr">
        <is>
          <t>SEAGRAM'S EXTRA DRY GIN</t>
        </is>
      </c>
      <c r="C726" s="7">
        <f>VLOOKUP(A726,SizeData!A$2:B$3839,2,FALSE)</f>
        <v/>
      </c>
      <c r="D726" s="6" t="n">
        <v>2</v>
      </c>
      <c r="E726" s="6" t="inlineStr">
        <is>
          <t>R1094763</t>
        </is>
      </c>
      <c r="F726" s="2" t="n">
        <v>44312</v>
      </c>
      <c r="G726" s="1" t="n"/>
    </row>
    <row r="727">
      <c r="A727" s="6" t="n">
        <v>32233</v>
      </c>
      <c r="B727" s="6" t="inlineStr">
        <is>
          <t>SEAGRAM'S EXTRA DRY GIN</t>
        </is>
      </c>
      <c r="C727" s="7">
        <f>VLOOKUP(A727,SizeData!A$2:B$3839,2,FALSE)</f>
        <v/>
      </c>
      <c r="D727" s="6" t="n">
        <v>2</v>
      </c>
      <c r="E727" s="6" t="inlineStr">
        <is>
          <t>R1111205</t>
        </is>
      </c>
      <c r="F727" s="2" t="n">
        <v>44313</v>
      </c>
      <c r="G727" s="1" t="n"/>
    </row>
    <row r="728">
      <c r="A728" s="6" t="n">
        <v>32233</v>
      </c>
      <c r="B728" s="6" t="inlineStr">
        <is>
          <t>SEAGRAM'S EXTRA DRY GIN</t>
        </is>
      </c>
      <c r="C728" s="7">
        <f>VLOOKUP(A728,SizeData!A$2:B$3839,2,FALSE)</f>
        <v/>
      </c>
      <c r="D728" s="6" t="n">
        <v>1</v>
      </c>
      <c r="E728" s="6" t="inlineStr">
        <is>
          <t>R1105665</t>
        </is>
      </c>
      <c r="F728" s="2" t="n">
        <v>44316</v>
      </c>
      <c r="G728" s="1" t="n"/>
    </row>
    <row r="729">
      <c r="A729" s="6" t="n">
        <v>32233</v>
      </c>
      <c r="B729" s="6" t="inlineStr">
        <is>
          <t>SEAGRAM'S EXTRA DRY GIN</t>
        </is>
      </c>
      <c r="C729" s="7">
        <f>VLOOKUP(A729,SizeData!A$2:B$3839,2,FALSE)</f>
        <v/>
      </c>
      <c r="D729" s="6" t="n">
        <v>1</v>
      </c>
      <c r="E729" s="6" t="inlineStr">
        <is>
          <t>R1103097</t>
        </is>
      </c>
      <c r="F729" s="2" t="n">
        <v>44320</v>
      </c>
      <c r="G729" s="1" t="n"/>
    </row>
    <row r="730">
      <c r="A730" s="6" t="n">
        <v>32233</v>
      </c>
      <c r="B730" s="6" t="inlineStr">
        <is>
          <t>SEAGRAM'S EXTRA DRY GIN</t>
        </is>
      </c>
      <c r="C730" s="7">
        <f>VLOOKUP(A730,SizeData!A$2:B$3839,2,FALSE)</f>
        <v/>
      </c>
      <c r="D730" s="6" t="n">
        <v>1</v>
      </c>
      <c r="E730" s="6" t="inlineStr">
        <is>
          <t>R1119203</t>
        </is>
      </c>
      <c r="F730" s="2" t="n">
        <v>44327</v>
      </c>
      <c r="G730" s="1" t="n"/>
    </row>
    <row r="731">
      <c r="A731" s="6" t="n">
        <v>32233</v>
      </c>
      <c r="B731" s="6" t="inlineStr">
        <is>
          <t>SEAGRAM'S EXTRA DRY GIN</t>
        </is>
      </c>
      <c r="C731" s="7">
        <f>VLOOKUP(A731,SizeData!A$2:B$3839,2,FALSE)</f>
        <v/>
      </c>
      <c r="D731" s="6" t="n">
        <v>2</v>
      </c>
      <c r="E731" s="6" t="inlineStr">
        <is>
          <t>R1121370</t>
        </is>
      </c>
      <c r="F731" s="2" t="n">
        <v>44331</v>
      </c>
      <c r="G731" s="1" t="n"/>
    </row>
    <row r="732">
      <c r="A732" s="6" t="n">
        <v>32233</v>
      </c>
      <c r="B732" s="6" t="inlineStr">
        <is>
          <t>SEAGRAM'S EXTRA DRY GIN</t>
        </is>
      </c>
      <c r="C732" s="7">
        <f>VLOOKUP(A732,SizeData!A$2:B$3839,2,FALSE)</f>
        <v/>
      </c>
      <c r="D732" s="6" t="n">
        <v>2</v>
      </c>
      <c r="E732" s="6" t="inlineStr">
        <is>
          <t>R1119380</t>
        </is>
      </c>
      <c r="F732" s="2" t="n">
        <v>44338</v>
      </c>
      <c r="G732" s="1" t="n"/>
    </row>
    <row r="733">
      <c r="A733" s="6" t="n">
        <v>32233</v>
      </c>
      <c r="B733" s="6" t="inlineStr">
        <is>
          <t>SEAGRAM'S EXTRA DRY GIN</t>
        </is>
      </c>
      <c r="C733" s="7">
        <f>VLOOKUP(A733,SizeData!A$2:B$3839,2,FALSE)</f>
        <v/>
      </c>
      <c r="D733" s="6" t="n">
        <v>4</v>
      </c>
      <c r="E733" s="6" t="inlineStr">
        <is>
          <t>R1127639</t>
        </is>
      </c>
      <c r="F733" s="2" t="n">
        <v>44341</v>
      </c>
      <c r="G733" s="1" t="n"/>
    </row>
    <row r="734">
      <c r="A734" s="6" t="n">
        <v>32233</v>
      </c>
      <c r="B734" s="6" t="inlineStr">
        <is>
          <t>SEAGRAM'S EXTRA DRY GIN</t>
        </is>
      </c>
      <c r="C734" s="7">
        <f>VLOOKUP(A734,SizeData!A$2:B$3839,2,FALSE)</f>
        <v/>
      </c>
      <c r="D734" s="6" t="n">
        <v>3</v>
      </c>
      <c r="E734" s="6" t="inlineStr">
        <is>
          <t>R1136630</t>
        </is>
      </c>
      <c r="F734" s="2" t="n">
        <v>44341</v>
      </c>
      <c r="G734" s="1" t="n"/>
    </row>
    <row r="735">
      <c r="A735" s="6" t="n">
        <v>32233</v>
      </c>
      <c r="B735" s="6" t="inlineStr">
        <is>
          <t>SEAGRAM'S EXTRA DRY GIN</t>
        </is>
      </c>
      <c r="C735" s="7">
        <f>VLOOKUP(A735,SizeData!A$2:B$3839,2,FALSE)</f>
        <v/>
      </c>
      <c r="D735" s="6" t="n">
        <v>15</v>
      </c>
      <c r="E735" s="6" t="inlineStr">
        <is>
          <t>R1171119</t>
        </is>
      </c>
      <c r="F735" s="2" t="n">
        <v>44383</v>
      </c>
      <c r="G735" s="1" t="n"/>
    </row>
    <row r="736">
      <c r="A736" s="6" t="n">
        <v>32233</v>
      </c>
      <c r="B736" s="6" t="inlineStr">
        <is>
          <t>SEAGRAM'S EXTRA DRY GIN</t>
        </is>
      </c>
      <c r="C736" s="7">
        <f>VLOOKUP(A736,SizeData!A$2:B$3839,2,FALSE)</f>
        <v/>
      </c>
      <c r="D736" s="6" t="n">
        <v>20</v>
      </c>
      <c r="E736" s="6" t="inlineStr">
        <is>
          <t>R1223040</t>
        </is>
      </c>
      <c r="F736" s="2" t="n">
        <v>44438</v>
      </c>
      <c r="G736" s="1" t="n"/>
    </row>
    <row r="737">
      <c r="A737" s="6" t="n">
        <v>32233</v>
      </c>
      <c r="B737" s="6" t="inlineStr">
        <is>
          <t>SEAGRAM'S EXTRA DRY GIN</t>
        </is>
      </c>
      <c r="C737" s="7">
        <f>VLOOKUP(A737,SizeData!A$2:B$3839,2,FALSE)</f>
        <v/>
      </c>
      <c r="D737" s="6" t="n">
        <v>10</v>
      </c>
      <c r="E737" s="6" t="inlineStr">
        <is>
          <t>R1340550</t>
        </is>
      </c>
      <c r="F737" s="2" t="n">
        <v>44523</v>
      </c>
      <c r="G737" s="1" t="n"/>
    </row>
    <row r="738">
      <c r="A738" s="6" t="n">
        <v>32233</v>
      </c>
      <c r="B738" s="6" t="inlineStr">
        <is>
          <t>SEAGRAM'S EXTRA DRY GIN</t>
        </is>
      </c>
      <c r="C738" s="7">
        <f>VLOOKUP(A738,SizeData!A$2:B$3839,2,FALSE)</f>
        <v/>
      </c>
      <c r="D738" s="6" t="n">
        <v>10</v>
      </c>
      <c r="E738" s="6" t="inlineStr">
        <is>
          <t>R1364145</t>
        </is>
      </c>
      <c r="F738" s="2" t="n">
        <v>44544</v>
      </c>
      <c r="G738" s="1" t="n"/>
    </row>
    <row r="739">
      <c r="A739" s="6" t="n">
        <v>32233</v>
      </c>
      <c r="B739" s="6" t="inlineStr">
        <is>
          <t>SEAGRAM'S EXTRA DRY GIN</t>
        </is>
      </c>
      <c r="C739" s="7">
        <f>VLOOKUP(A739,SizeData!A$2:B$3839,2,FALSE)</f>
        <v/>
      </c>
      <c r="D739" s="6" t="n">
        <v>10</v>
      </c>
      <c r="E739" s="6" t="inlineStr">
        <is>
          <t>R1364145</t>
        </is>
      </c>
      <c r="F739" s="2" t="n">
        <v>44544</v>
      </c>
      <c r="G739" s="1" t="n"/>
    </row>
    <row r="740">
      <c r="A740" s="6" t="n">
        <v>32234</v>
      </c>
      <c r="B740" s="6" t="inlineStr">
        <is>
          <t>SEAGRAM'S EXTRA DRY GIN</t>
        </is>
      </c>
      <c r="C740" s="7">
        <f>VLOOKUP(A740,SizeData!A$2:B$3839,2,FALSE)</f>
        <v/>
      </c>
      <c r="D740" s="6" t="n">
        <v>2</v>
      </c>
      <c r="E740" s="6" t="inlineStr">
        <is>
          <t>R1000047</t>
        </is>
      </c>
      <c r="F740" s="2" t="n">
        <v>44207</v>
      </c>
      <c r="G740" s="1" t="n"/>
    </row>
    <row r="741">
      <c r="A741" s="6" t="n">
        <v>32234</v>
      </c>
      <c r="B741" s="6" t="inlineStr">
        <is>
          <t>SEAGRAM'S EXTRA DRY GIN</t>
        </is>
      </c>
      <c r="C741" s="7">
        <f>VLOOKUP(A741,SizeData!A$2:B$3839,2,FALSE)</f>
        <v/>
      </c>
      <c r="D741" s="6" t="n">
        <v>2</v>
      </c>
      <c r="E741" s="6" t="inlineStr">
        <is>
          <t>R1007118</t>
        </is>
      </c>
      <c r="F741" s="2" t="n">
        <v>44211</v>
      </c>
      <c r="G741" s="1" t="n"/>
    </row>
    <row r="742">
      <c r="A742" s="6" t="n">
        <v>32234</v>
      </c>
      <c r="B742" s="6" t="inlineStr">
        <is>
          <t>SEAGRAM'S EXTRA DRY GIN</t>
        </is>
      </c>
      <c r="C742" s="7">
        <f>VLOOKUP(A742,SizeData!A$2:B$3839,2,FALSE)</f>
        <v/>
      </c>
      <c r="D742" s="6" t="n">
        <v>1</v>
      </c>
      <c r="E742" s="6" t="inlineStr">
        <is>
          <t>R997848</t>
        </is>
      </c>
      <c r="F742" s="2" t="n">
        <v>44212</v>
      </c>
      <c r="G742" s="1" t="n"/>
    </row>
    <row r="743">
      <c r="A743" s="6" t="n">
        <v>32234</v>
      </c>
      <c r="B743" s="6" t="inlineStr">
        <is>
          <t>SEAGRAM'S EXTRA DRY GIN</t>
        </is>
      </c>
      <c r="C743" s="7">
        <f>VLOOKUP(A743,SizeData!A$2:B$3839,2,FALSE)</f>
        <v/>
      </c>
      <c r="D743" s="6" t="n">
        <v>1</v>
      </c>
      <c r="E743" s="6" t="inlineStr">
        <is>
          <t>R998453</t>
        </is>
      </c>
      <c r="F743" s="2" t="n">
        <v>44212</v>
      </c>
      <c r="G743" s="1" t="n"/>
    </row>
    <row r="744">
      <c r="A744" s="6" t="n">
        <v>32234</v>
      </c>
      <c r="B744" s="6" t="inlineStr">
        <is>
          <t>SEAGRAM'S EXTRA DRY GIN</t>
        </is>
      </c>
      <c r="C744" s="7">
        <f>VLOOKUP(A744,SizeData!A$2:B$3839,2,FALSE)</f>
        <v/>
      </c>
      <c r="D744" s="6" t="n">
        <v>1</v>
      </c>
      <c r="E744" s="6" t="inlineStr">
        <is>
          <t>R1010197</t>
        </is>
      </c>
      <c r="F744" s="2" t="n">
        <v>44214</v>
      </c>
      <c r="G744" s="1" t="n"/>
    </row>
    <row r="745">
      <c r="A745" s="6" t="n">
        <v>32234</v>
      </c>
      <c r="B745" s="6" t="inlineStr">
        <is>
          <t>SEAGRAM'S EXTRA DRY GIN</t>
        </is>
      </c>
      <c r="C745" s="7">
        <f>VLOOKUP(A745,SizeData!A$2:B$3839,2,FALSE)</f>
        <v/>
      </c>
      <c r="D745" s="6" t="n">
        <v>2</v>
      </c>
      <c r="E745" s="6" t="inlineStr">
        <is>
          <t>R1045566</t>
        </is>
      </c>
      <c r="F745" s="2" t="n">
        <v>44253</v>
      </c>
      <c r="G745" s="1" t="n"/>
    </row>
    <row r="746">
      <c r="A746" s="6" t="n">
        <v>32234</v>
      </c>
      <c r="B746" s="6" t="inlineStr">
        <is>
          <t>SEAGRAM'S EXTRA DRY GIN</t>
        </is>
      </c>
      <c r="C746" s="7">
        <f>VLOOKUP(A746,SizeData!A$2:B$3839,2,FALSE)</f>
        <v/>
      </c>
      <c r="D746" s="6" t="n">
        <v>1</v>
      </c>
      <c r="E746" s="6" t="inlineStr">
        <is>
          <t>R1047061</t>
        </is>
      </c>
      <c r="F746" s="2" t="n">
        <v>44259</v>
      </c>
      <c r="G746" s="1" t="n"/>
    </row>
    <row r="747">
      <c r="A747" s="6" t="n">
        <v>32234</v>
      </c>
      <c r="B747" s="6" t="inlineStr">
        <is>
          <t>SEAGRAM'S EXTRA DRY GIN</t>
        </is>
      </c>
      <c r="C747" s="7">
        <f>VLOOKUP(A747,SizeData!A$2:B$3839,2,FALSE)</f>
        <v/>
      </c>
      <c r="D747" s="6" t="n">
        <v>1</v>
      </c>
      <c r="E747" s="6" t="inlineStr">
        <is>
          <t>R1043269</t>
        </is>
      </c>
      <c r="F747" s="2" t="n">
        <v>44263</v>
      </c>
      <c r="G747" s="1" t="n"/>
    </row>
    <row r="748">
      <c r="A748" s="6" t="n">
        <v>32234</v>
      </c>
      <c r="B748" s="6" t="inlineStr">
        <is>
          <t>SEAGRAM'S EXTRA DRY GIN</t>
        </is>
      </c>
      <c r="C748" s="7">
        <f>VLOOKUP(A748,SizeData!A$2:B$3839,2,FALSE)</f>
        <v/>
      </c>
      <c r="D748" s="6" t="n">
        <v>1</v>
      </c>
      <c r="E748" s="6" t="inlineStr">
        <is>
          <t>R1048765</t>
        </is>
      </c>
      <c r="F748" s="2" t="n">
        <v>44265</v>
      </c>
      <c r="G748" s="1" t="n"/>
    </row>
    <row r="749">
      <c r="A749" s="6" t="n">
        <v>32234</v>
      </c>
      <c r="B749" s="6" t="inlineStr">
        <is>
          <t>SEAGRAM'S EXTRA DRY GIN</t>
        </is>
      </c>
      <c r="C749" s="7">
        <f>VLOOKUP(A749,SizeData!A$2:B$3839,2,FALSE)</f>
        <v/>
      </c>
      <c r="D749" s="6" t="n">
        <v>1</v>
      </c>
      <c r="E749" s="6" t="inlineStr">
        <is>
          <t>R1081307</t>
        </is>
      </c>
      <c r="F749" s="2" t="n">
        <v>44284</v>
      </c>
      <c r="G749" s="1" t="n"/>
    </row>
    <row r="750">
      <c r="A750" s="6" t="n">
        <v>32234</v>
      </c>
      <c r="B750" s="6" t="inlineStr">
        <is>
          <t>SEAGRAM'S EXTRA DRY GIN</t>
        </is>
      </c>
      <c r="C750" s="7">
        <f>VLOOKUP(A750,SizeData!A$2:B$3839,2,FALSE)</f>
        <v/>
      </c>
      <c r="D750" s="6" t="n">
        <v>1</v>
      </c>
      <c r="E750" s="6" t="inlineStr">
        <is>
          <t>R1087015</t>
        </is>
      </c>
      <c r="F750" s="2" t="n">
        <v>44291</v>
      </c>
      <c r="G750" s="1" t="n"/>
    </row>
    <row r="751">
      <c r="A751" s="6" t="n">
        <v>32234</v>
      </c>
      <c r="B751" s="6" t="inlineStr">
        <is>
          <t>SEAGRAM'S EXTRA DRY GIN</t>
        </is>
      </c>
      <c r="C751" s="7">
        <f>VLOOKUP(A751,SizeData!A$2:B$3839,2,FALSE)</f>
        <v/>
      </c>
      <c r="D751" s="6" t="n">
        <v>1</v>
      </c>
      <c r="E751" s="6" t="inlineStr">
        <is>
          <t>R1096915</t>
        </is>
      </c>
      <c r="F751" s="2" t="n">
        <v>44303</v>
      </c>
      <c r="G751" s="1" t="n"/>
    </row>
    <row r="752">
      <c r="A752" s="6" t="n">
        <v>32234</v>
      </c>
      <c r="B752" s="6" t="inlineStr">
        <is>
          <t>SEAGRAM'S EXTRA DRY GIN</t>
        </is>
      </c>
      <c r="C752" s="7">
        <f>VLOOKUP(A752,SizeData!A$2:B$3839,2,FALSE)</f>
        <v/>
      </c>
      <c r="D752" s="6" t="n">
        <v>2</v>
      </c>
      <c r="E752" s="6" t="inlineStr">
        <is>
          <t>R1110509</t>
        </is>
      </c>
      <c r="F752" s="2" t="n">
        <v>44306</v>
      </c>
      <c r="G752" s="1" t="n"/>
    </row>
    <row r="753">
      <c r="A753" s="6" t="n">
        <v>32234</v>
      </c>
      <c r="B753" s="6" t="inlineStr">
        <is>
          <t>SEAGRAM'S EXTRA DRY GIN</t>
        </is>
      </c>
      <c r="C753" s="7">
        <f>VLOOKUP(A753,SizeData!A$2:B$3839,2,FALSE)</f>
        <v/>
      </c>
      <c r="D753" s="6" t="n">
        <v>2</v>
      </c>
      <c r="E753" s="6" t="inlineStr">
        <is>
          <t xml:space="preserve"> R1101656</t>
        </is>
      </c>
      <c r="F753" s="2" t="n">
        <v>44313</v>
      </c>
      <c r="G753" s="1" t="n"/>
    </row>
    <row r="754">
      <c r="A754" s="6" t="n">
        <v>32234</v>
      </c>
      <c r="B754" s="6" t="inlineStr">
        <is>
          <t>SEAGRAM'S EXTRA DRY GIN</t>
        </is>
      </c>
      <c r="C754" s="7">
        <f>VLOOKUP(A754,SizeData!A$2:B$3839,2,FALSE)</f>
        <v/>
      </c>
      <c r="D754" s="6" t="n">
        <v>1</v>
      </c>
      <c r="E754" s="6" t="inlineStr">
        <is>
          <t>R1119203</t>
        </is>
      </c>
      <c r="F754" s="2" t="n">
        <v>44327</v>
      </c>
      <c r="G754" s="1" t="n"/>
    </row>
    <row r="755">
      <c r="A755" s="6" t="n">
        <v>32234</v>
      </c>
      <c r="B755" s="6" t="inlineStr">
        <is>
          <t>SEAGRAM'S EXTRA DRY GIN</t>
        </is>
      </c>
      <c r="C755" s="7">
        <f>VLOOKUP(A755,SizeData!A$2:B$3839,2,FALSE)</f>
        <v/>
      </c>
      <c r="D755" s="6" t="n">
        <v>1</v>
      </c>
      <c r="E755" s="6" t="inlineStr">
        <is>
          <t>R1136630</t>
        </is>
      </c>
      <c r="F755" s="2" t="n">
        <v>44341</v>
      </c>
      <c r="G755" s="1" t="n"/>
    </row>
    <row r="756">
      <c r="A756" s="6" t="n">
        <v>32234</v>
      </c>
      <c r="B756" s="6" t="inlineStr">
        <is>
          <t>SEAGRAM'S EXTRA DRY GIN</t>
        </is>
      </c>
      <c r="C756" s="7">
        <f>VLOOKUP(A756,SizeData!A$2:B$3839,2,FALSE)</f>
        <v/>
      </c>
      <c r="D756" s="6" t="n">
        <v>1</v>
      </c>
      <c r="E756" s="6" t="inlineStr">
        <is>
          <t xml:space="preserve"> R1138813</t>
        </is>
      </c>
      <c r="F756" s="2" t="n">
        <v>44348</v>
      </c>
      <c r="G756" s="1" t="n"/>
    </row>
    <row r="757">
      <c r="A757" s="6" t="n">
        <v>32234</v>
      </c>
      <c r="B757" s="6" t="inlineStr">
        <is>
          <t>SEAGRAM'S EXTRA DRY GIN</t>
        </is>
      </c>
      <c r="C757" s="7">
        <f>VLOOKUP(A757,SizeData!A$2:B$3839,2,FALSE)</f>
        <v/>
      </c>
      <c r="D757" s="6" t="n">
        <v>1</v>
      </c>
      <c r="E757" s="6" t="inlineStr">
        <is>
          <t>R1134134</t>
        </is>
      </c>
      <c r="F757" s="2" t="n">
        <v>44354</v>
      </c>
      <c r="G757" s="1" t="n"/>
    </row>
    <row r="758">
      <c r="A758" s="6" t="n">
        <v>32234</v>
      </c>
      <c r="B758" s="6" t="inlineStr">
        <is>
          <t>SEAGRAM'S EXTRA DRY GIN</t>
        </is>
      </c>
      <c r="C758" s="7">
        <f>VLOOKUP(A758,SizeData!A$2:B$3839,2,FALSE)</f>
        <v/>
      </c>
      <c r="D758" s="6" t="n">
        <v>1</v>
      </c>
      <c r="E758" s="6" t="inlineStr">
        <is>
          <t xml:space="preserve"> R1150889</t>
        </is>
      </c>
      <c r="F758" s="2" t="n">
        <v>44368</v>
      </c>
      <c r="G758" s="1" t="n"/>
    </row>
    <row r="759">
      <c r="A759" s="6" t="n">
        <v>32234</v>
      </c>
      <c r="B759" s="6" t="inlineStr">
        <is>
          <t>SEAGRAM'S EXTRA DRY GIN</t>
        </is>
      </c>
      <c r="C759" s="7">
        <f>VLOOKUP(A759,SizeData!A$2:B$3839,2,FALSE)</f>
        <v/>
      </c>
      <c r="D759" s="6" t="n">
        <v>2</v>
      </c>
      <c r="E759" s="6" t="inlineStr">
        <is>
          <t>R1161476</t>
        </is>
      </c>
      <c r="F759" s="2" t="n">
        <v>44372</v>
      </c>
      <c r="G759" s="1" t="n"/>
    </row>
    <row r="760">
      <c r="A760" s="6" t="n">
        <v>32234</v>
      </c>
      <c r="B760" s="6" t="inlineStr">
        <is>
          <t>SEAGRAM'S EXTRA DRY GIN</t>
        </is>
      </c>
      <c r="C760" s="7">
        <f>VLOOKUP(A760,SizeData!A$2:B$3839,2,FALSE)</f>
        <v/>
      </c>
      <c r="D760" s="6" t="n">
        <v>1</v>
      </c>
      <c r="E760" s="6" t="inlineStr">
        <is>
          <t>R1166742</t>
        </is>
      </c>
      <c r="F760" s="2" t="n">
        <v>44372</v>
      </c>
      <c r="G760" s="1" t="n"/>
    </row>
    <row r="761">
      <c r="A761" s="6" t="n">
        <v>32234</v>
      </c>
      <c r="B761" s="6" t="inlineStr">
        <is>
          <t>SEAGRAM'S EXTRA DRY GIN</t>
        </is>
      </c>
      <c r="C761" s="7">
        <f>VLOOKUP(A761,SizeData!A$2:B$3839,2,FALSE)</f>
        <v/>
      </c>
      <c r="D761" s="6" t="n">
        <v>1</v>
      </c>
      <c r="E761" s="6" t="inlineStr">
        <is>
          <t xml:space="preserve"> R1161087</t>
        </is>
      </c>
      <c r="F761" s="2" t="n">
        <v>44373</v>
      </c>
      <c r="G761" s="1" t="n"/>
    </row>
    <row r="762">
      <c r="A762" s="6" t="n">
        <v>32234</v>
      </c>
      <c r="B762" s="6" t="inlineStr">
        <is>
          <t>SEAGRAM'S EXTRA DRY GIN</t>
        </is>
      </c>
      <c r="C762" s="7">
        <f>VLOOKUP(A762,SizeData!A$2:B$3839,2,FALSE)</f>
        <v/>
      </c>
      <c r="D762" s="6" t="n">
        <v>10</v>
      </c>
      <c r="E762" s="6" t="inlineStr">
        <is>
          <t>R1230854</t>
        </is>
      </c>
      <c r="F762" s="2" t="n">
        <v>44439</v>
      </c>
      <c r="G762" s="1" t="n"/>
    </row>
    <row r="763">
      <c r="A763" s="6" t="n">
        <v>32234</v>
      </c>
      <c r="B763" s="6" t="inlineStr">
        <is>
          <t>SEAGRAM'S EXTRA DRY GIN</t>
        </is>
      </c>
      <c r="C763" s="7">
        <f>VLOOKUP(A763,SizeData!A$2:B$3839,2,FALSE)</f>
        <v/>
      </c>
      <c r="D763" s="6" t="n">
        <v>10</v>
      </c>
      <c r="E763" s="6" t="inlineStr">
        <is>
          <t>R1296022</t>
        </is>
      </c>
      <c r="F763" s="2" t="n">
        <v>44490</v>
      </c>
      <c r="G763" s="1" t="n"/>
    </row>
    <row r="764">
      <c r="A764" s="6" t="n">
        <v>32234</v>
      </c>
      <c r="B764" s="6" t="inlineStr">
        <is>
          <t>SEAGRAM'S EXTRA DRY GIN</t>
        </is>
      </c>
      <c r="C764" s="7">
        <f>VLOOKUP(A764,SizeData!A$2:B$3839,2,FALSE)</f>
        <v/>
      </c>
      <c r="D764" s="6" t="n">
        <v>10</v>
      </c>
      <c r="E764" s="6" t="inlineStr">
        <is>
          <t>R1302073</t>
        </is>
      </c>
      <c r="F764" s="2" t="n">
        <v>44502</v>
      </c>
      <c r="G764" s="1" t="n"/>
    </row>
    <row r="765">
      <c r="A765" s="6" t="n">
        <v>32234</v>
      </c>
      <c r="B765" s="6" t="inlineStr">
        <is>
          <t>SEAGRAM'S EXTRA DRY GIN</t>
        </is>
      </c>
      <c r="C765" s="7">
        <f>VLOOKUP(A765,SizeData!A$2:B$3839,2,FALSE)</f>
        <v/>
      </c>
      <c r="D765" s="6" t="n">
        <v>10</v>
      </c>
      <c r="E765" s="6" t="inlineStr">
        <is>
          <t>R1327447</t>
        </is>
      </c>
      <c r="F765" s="2" t="n">
        <v>44518</v>
      </c>
      <c r="G765" s="1" t="n"/>
    </row>
    <row r="766">
      <c r="A766" s="6" t="n">
        <v>32235</v>
      </c>
      <c r="B766" s="6" t="inlineStr">
        <is>
          <t>SEAGRAM'S EXTRA DRY GIN (PET)</t>
        </is>
      </c>
      <c r="C766" s="7">
        <f>VLOOKUP(A766,SizeData!A$2:B$3839,2,FALSE)</f>
        <v/>
      </c>
      <c r="D766" s="6" t="n">
        <v>1</v>
      </c>
      <c r="E766" s="6" t="inlineStr">
        <is>
          <t>R1028756</t>
        </is>
      </c>
      <c r="F766" s="2" t="n">
        <v>44239</v>
      </c>
      <c r="G766" s="1" t="n"/>
    </row>
    <row r="767">
      <c r="A767" s="6" t="n">
        <v>32235</v>
      </c>
      <c r="B767" s="6" t="inlineStr">
        <is>
          <t>SEAGRAM'S EXTRA DRY GIN (PET)</t>
        </is>
      </c>
      <c r="C767" s="7">
        <f>VLOOKUP(A767,SizeData!A$2:B$3839,2,FALSE)</f>
        <v/>
      </c>
      <c r="D767" s="6" t="n">
        <v>1</v>
      </c>
      <c r="E767" s="6" t="inlineStr">
        <is>
          <t>R1070281</t>
        </is>
      </c>
      <c r="F767" s="2" t="n">
        <v>44275</v>
      </c>
      <c r="G767" s="1" t="n"/>
    </row>
    <row r="768">
      <c r="A768" s="6" t="n">
        <v>32235</v>
      </c>
      <c r="B768" s="6" t="inlineStr">
        <is>
          <t>SEAGRAM'S EXTRA DRY GIN (PET)</t>
        </is>
      </c>
      <c r="C768" s="7">
        <f>VLOOKUP(A768,SizeData!A$2:B$3839,2,FALSE)</f>
        <v/>
      </c>
      <c r="D768" s="6" t="n">
        <v>1</v>
      </c>
      <c r="E768" s="6" t="inlineStr">
        <is>
          <t>R1087015</t>
        </is>
      </c>
      <c r="F768" s="2" t="n">
        <v>44291</v>
      </c>
      <c r="G768" s="1" t="n"/>
    </row>
    <row r="769">
      <c r="A769" s="6" t="n">
        <v>32235</v>
      </c>
      <c r="B769" s="6" t="inlineStr">
        <is>
          <t>SEAGRAM'S EXTRA DRY GIN (PET)</t>
        </is>
      </c>
      <c r="C769" s="7">
        <f>VLOOKUP(A769,SizeData!A$2:B$3839,2,FALSE)</f>
        <v/>
      </c>
      <c r="D769" s="6" t="n">
        <v>1</v>
      </c>
      <c r="E769" s="6" t="inlineStr">
        <is>
          <t>R1146432</t>
        </is>
      </c>
      <c r="F769" s="2" t="n">
        <v>44356</v>
      </c>
      <c r="G769" s="1" t="n"/>
    </row>
    <row r="770">
      <c r="A770" s="6" t="n">
        <v>32235</v>
      </c>
      <c r="B770" s="6" t="inlineStr">
        <is>
          <t>SEAGRAM'S EXTRA DRY GIN (PET)</t>
        </is>
      </c>
      <c r="C770" s="7">
        <f>VLOOKUP(A770,SizeData!A$2:B$3839,2,FALSE)</f>
        <v/>
      </c>
      <c r="D770" s="6" t="n">
        <v>1</v>
      </c>
      <c r="E770" s="6" t="inlineStr">
        <is>
          <t>R1173671</t>
        </is>
      </c>
      <c r="F770" s="2" t="n">
        <v>44394</v>
      </c>
      <c r="G770" s="1" t="n"/>
    </row>
    <row r="771">
      <c r="A771" s="6" t="n">
        <v>32235</v>
      </c>
      <c r="B771" s="6" t="inlineStr">
        <is>
          <t>SEAGRAM'S EXTRA DRY GIN (PET)</t>
        </is>
      </c>
      <c r="C771" s="7">
        <f>VLOOKUP(A771,SizeData!A$2:B$3839,2,FALSE)</f>
        <v/>
      </c>
      <c r="D771" s="6" t="n">
        <v>1</v>
      </c>
      <c r="E771" s="6" t="inlineStr">
        <is>
          <t>R1205285</t>
        </is>
      </c>
      <c r="F771" s="2" t="n">
        <v>44414</v>
      </c>
      <c r="G771" s="1" t="n"/>
    </row>
    <row r="772">
      <c r="A772" s="6" t="n">
        <v>32235</v>
      </c>
      <c r="B772" s="6" t="inlineStr">
        <is>
          <t>SEAGRAM'S EXTRA DRY GIN (PET)</t>
        </is>
      </c>
      <c r="C772" s="7">
        <f>VLOOKUP(A772,SizeData!A$2:B$3839,2,FALSE)</f>
        <v/>
      </c>
      <c r="D772" s="6" t="n">
        <v>10</v>
      </c>
      <c r="E772" s="6" t="inlineStr">
        <is>
          <t>R1255330</t>
        </is>
      </c>
      <c r="F772" s="2" t="n">
        <v>44453</v>
      </c>
      <c r="G772" s="1" t="n"/>
    </row>
    <row r="773">
      <c r="A773" s="6" t="n">
        <v>32236</v>
      </c>
      <c r="B773" s="6" t="inlineStr">
        <is>
          <t>SEAGRAM'S EXTRA DRY GIN</t>
        </is>
      </c>
      <c r="C773" s="7">
        <f>VLOOKUP(A773,SizeData!A$2:B$3839,2,FALSE)</f>
        <v/>
      </c>
      <c r="D773" s="6" t="n">
        <v>1</v>
      </c>
      <c r="E773" s="6" t="inlineStr">
        <is>
          <t>R1015058</t>
        </is>
      </c>
      <c r="F773" s="2" t="n">
        <v>44217</v>
      </c>
      <c r="G773" s="1" t="n"/>
    </row>
    <row r="774">
      <c r="A774" s="6" t="n">
        <v>32236</v>
      </c>
      <c r="B774" s="6" t="inlineStr">
        <is>
          <t>SEAGRAM'S EXTRA DRY GIN</t>
        </is>
      </c>
      <c r="C774" s="7">
        <f>VLOOKUP(A774,SizeData!A$2:B$3839,2,FALSE)</f>
        <v/>
      </c>
      <c r="D774" s="6" t="n">
        <v>2</v>
      </c>
      <c r="E774" s="6" t="inlineStr">
        <is>
          <t>R1003923</t>
        </is>
      </c>
      <c r="F774" s="2" t="n">
        <v>44219</v>
      </c>
      <c r="G774" s="1" t="n"/>
    </row>
    <row r="775">
      <c r="A775" s="6" t="n">
        <v>32236</v>
      </c>
      <c r="B775" s="6" t="inlineStr">
        <is>
          <t>SEAGRAM'S EXTRA DRY GIN</t>
        </is>
      </c>
      <c r="C775" s="7">
        <f>VLOOKUP(A775,SizeData!A$2:B$3839,2,FALSE)</f>
        <v/>
      </c>
      <c r="D775" s="6" t="n">
        <v>2</v>
      </c>
      <c r="E775" s="6" t="inlineStr">
        <is>
          <t>R1008939</t>
        </is>
      </c>
      <c r="F775" s="2" t="n">
        <v>44220</v>
      </c>
      <c r="G775" s="1" t="n"/>
    </row>
    <row r="776">
      <c r="A776" s="6" t="n">
        <v>32236</v>
      </c>
      <c r="B776" s="6" t="inlineStr">
        <is>
          <t>SEAGRAM'S EXTRA DRY GIN</t>
        </is>
      </c>
      <c r="C776" s="7">
        <f>VLOOKUP(A776,SizeData!A$2:B$3839,2,FALSE)</f>
        <v/>
      </c>
      <c r="D776" s="6" t="n">
        <v>2</v>
      </c>
      <c r="E776" s="6" t="inlineStr">
        <is>
          <t>R1018600</t>
        </is>
      </c>
      <c r="F776" s="2" t="n">
        <v>44241</v>
      </c>
      <c r="G776" s="1" t="n"/>
    </row>
    <row r="777">
      <c r="A777" s="6" t="n">
        <v>32236</v>
      </c>
      <c r="B777" s="6" t="inlineStr">
        <is>
          <t>SEAGRAM'S EXTRA DRY GIN</t>
        </is>
      </c>
      <c r="C777" s="7">
        <f>VLOOKUP(A777,SizeData!A$2:B$3839,2,FALSE)</f>
        <v/>
      </c>
      <c r="D777" s="6" t="n">
        <v>1</v>
      </c>
      <c r="E777" s="6" t="inlineStr">
        <is>
          <t>R1027896</t>
        </is>
      </c>
      <c r="F777" s="2" t="n">
        <v>44247</v>
      </c>
      <c r="G777" s="1" t="n"/>
    </row>
    <row r="778">
      <c r="A778" s="6" t="n">
        <v>32236</v>
      </c>
      <c r="B778" s="6" t="inlineStr">
        <is>
          <t>SEAGRAM'S EXTRA DRY GIN</t>
        </is>
      </c>
      <c r="C778" s="7">
        <f>VLOOKUP(A778,SizeData!A$2:B$3839,2,FALSE)</f>
        <v/>
      </c>
      <c r="D778" s="6" t="n">
        <v>2</v>
      </c>
      <c r="E778" s="6" t="inlineStr">
        <is>
          <t>R1045566</t>
        </is>
      </c>
      <c r="F778" s="2" t="n">
        <v>44253</v>
      </c>
      <c r="G778" s="1" t="n"/>
    </row>
    <row r="779">
      <c r="A779" s="6" t="n">
        <v>32236</v>
      </c>
      <c r="B779" s="6" t="inlineStr">
        <is>
          <t>SEAGRAM'S EXTRA DRY GIN</t>
        </is>
      </c>
      <c r="C779" s="7">
        <f>VLOOKUP(A779,SizeData!A$2:B$3839,2,FALSE)</f>
        <v/>
      </c>
      <c r="D779" s="6" t="n">
        <v>1</v>
      </c>
      <c r="E779" s="6" t="inlineStr">
        <is>
          <t>R1046414</t>
        </is>
      </c>
      <c r="F779" s="2" t="n">
        <v>44254</v>
      </c>
      <c r="G779" s="1" t="n"/>
    </row>
    <row r="780">
      <c r="A780" s="6" t="n">
        <v>32236</v>
      </c>
      <c r="B780" s="6" t="inlineStr">
        <is>
          <t>SEAGRAM'S EXTRA DRY GIN</t>
        </is>
      </c>
      <c r="C780" s="7">
        <f>VLOOKUP(A780,SizeData!A$2:B$3839,2,FALSE)</f>
        <v/>
      </c>
      <c r="D780" s="6" t="n">
        <v>1</v>
      </c>
      <c r="E780" s="6" t="inlineStr">
        <is>
          <t>R1047061</t>
        </is>
      </c>
      <c r="F780" s="2" t="n">
        <v>44259</v>
      </c>
      <c r="G780" s="1" t="n"/>
    </row>
    <row r="781">
      <c r="A781" s="6" t="n">
        <v>32236</v>
      </c>
      <c r="B781" s="6" t="inlineStr">
        <is>
          <t>SEAGRAM'S EXTRA DRY GIN</t>
        </is>
      </c>
      <c r="C781" s="7">
        <f>VLOOKUP(A781,SizeData!A$2:B$3839,2,FALSE)</f>
        <v/>
      </c>
      <c r="D781" s="6" t="n">
        <v>1</v>
      </c>
      <c r="E781" s="6" t="inlineStr">
        <is>
          <t>R1042069</t>
        </is>
      </c>
      <c r="F781" s="2" t="n">
        <v>44260</v>
      </c>
      <c r="G781" s="1" t="n"/>
    </row>
    <row r="782">
      <c r="A782" s="6" t="n">
        <v>32236</v>
      </c>
      <c r="B782" s="6" t="inlineStr">
        <is>
          <t>SEAGRAM'S EXTRA DRY GIN</t>
        </is>
      </c>
      <c r="C782" s="7">
        <f>VLOOKUP(A782,SizeData!A$2:B$3839,2,FALSE)</f>
        <v/>
      </c>
      <c r="D782" s="6" t="n">
        <v>2</v>
      </c>
      <c r="E782" s="6" t="inlineStr">
        <is>
          <t>R1081307</t>
        </is>
      </c>
      <c r="F782" s="2" t="n">
        <v>44284</v>
      </c>
      <c r="G782" s="1" t="n"/>
    </row>
    <row r="783">
      <c r="A783" s="6" t="n">
        <v>32236</v>
      </c>
      <c r="B783" s="6" t="inlineStr">
        <is>
          <t>SEAGRAM'S EXTRA DRY GIN</t>
        </is>
      </c>
      <c r="C783" s="7">
        <f>VLOOKUP(A783,SizeData!A$2:B$3839,2,FALSE)</f>
        <v/>
      </c>
      <c r="D783" s="6" t="n">
        <v>1</v>
      </c>
      <c r="E783" s="6" t="inlineStr">
        <is>
          <t>R1087015</t>
        </is>
      </c>
      <c r="F783" s="2" t="n">
        <v>44291</v>
      </c>
      <c r="G783" s="1" t="n"/>
    </row>
    <row r="784">
      <c r="A784" s="6" t="n">
        <v>32236</v>
      </c>
      <c r="B784" s="6" t="inlineStr">
        <is>
          <t>SEAGRAM'S EXTRA DRY GIN</t>
        </is>
      </c>
      <c r="C784" s="7">
        <f>VLOOKUP(A784,SizeData!A$2:B$3839,2,FALSE)</f>
        <v/>
      </c>
      <c r="D784" s="6" t="n">
        <v>1</v>
      </c>
      <c r="E784" s="6" t="inlineStr">
        <is>
          <t>R1097628</t>
        </is>
      </c>
      <c r="F784" s="2" t="n">
        <v>44305</v>
      </c>
      <c r="G784" s="1" t="n"/>
    </row>
    <row r="785">
      <c r="A785" s="6" t="n">
        <v>32236</v>
      </c>
      <c r="B785" s="6" t="inlineStr">
        <is>
          <t>SEAGRAM'S EXTRA DRY GIN</t>
        </is>
      </c>
      <c r="C785" s="7">
        <f>VLOOKUP(A785,SizeData!A$2:B$3839,2,FALSE)</f>
        <v/>
      </c>
      <c r="D785" s="6" t="n">
        <v>2</v>
      </c>
      <c r="E785" s="6" t="inlineStr">
        <is>
          <t xml:space="preserve"> R1101656</t>
        </is>
      </c>
      <c r="F785" s="2" t="n">
        <v>44313</v>
      </c>
      <c r="G785" s="1" t="n"/>
    </row>
    <row r="786">
      <c r="A786" s="6" t="n">
        <v>32236</v>
      </c>
      <c r="B786" s="6" t="inlineStr">
        <is>
          <t>SEAGRAM'S EXTRA DRY GIN</t>
        </is>
      </c>
      <c r="C786" s="7">
        <f>VLOOKUP(A786,SizeData!A$2:B$3839,2,FALSE)</f>
        <v/>
      </c>
      <c r="D786" s="6" t="n">
        <v>1</v>
      </c>
      <c r="E786" s="6" t="inlineStr">
        <is>
          <t xml:space="preserve"> R1107264</t>
        </is>
      </c>
      <c r="F786" s="2" t="n">
        <v>44317</v>
      </c>
      <c r="G786" s="1" t="n"/>
    </row>
    <row r="787">
      <c r="A787" s="6" t="n">
        <v>32236</v>
      </c>
      <c r="B787" s="6" t="inlineStr">
        <is>
          <t>SEAGRAM'S EXTRA DRY GIN</t>
        </is>
      </c>
      <c r="C787" s="7">
        <f>VLOOKUP(A787,SizeData!A$2:B$3839,2,FALSE)</f>
        <v/>
      </c>
      <c r="D787" s="6" t="n">
        <v>1</v>
      </c>
      <c r="E787" s="6" t="inlineStr">
        <is>
          <t>R1103097</t>
        </is>
      </c>
      <c r="F787" s="2" t="n">
        <v>44320</v>
      </c>
      <c r="G787" s="1" t="n"/>
    </row>
    <row r="788">
      <c r="A788" s="6" t="n">
        <v>32236</v>
      </c>
      <c r="B788" s="6" t="inlineStr">
        <is>
          <t>SEAGRAM'S EXTRA DRY GIN</t>
        </is>
      </c>
      <c r="C788" s="7">
        <f>VLOOKUP(A788,SizeData!A$2:B$3839,2,FALSE)</f>
        <v/>
      </c>
      <c r="D788" s="6" t="n">
        <v>1</v>
      </c>
      <c r="E788" s="6" t="inlineStr">
        <is>
          <t xml:space="preserve"> R1125172</t>
        </is>
      </c>
      <c r="F788" s="2" t="n">
        <v>44322</v>
      </c>
      <c r="G788" s="1" t="n"/>
    </row>
    <row r="789">
      <c r="A789" s="6" t="n">
        <v>32236</v>
      </c>
      <c r="B789" s="6" t="inlineStr">
        <is>
          <t>SEAGRAM'S EXTRA DRY GIN</t>
        </is>
      </c>
      <c r="C789" s="7">
        <f>VLOOKUP(A789,SizeData!A$2:B$3839,2,FALSE)</f>
        <v/>
      </c>
      <c r="D789" s="6" t="n">
        <v>1</v>
      </c>
      <c r="E789" s="6" t="inlineStr">
        <is>
          <t>R1119203</t>
        </is>
      </c>
      <c r="F789" s="2" t="n">
        <v>44327</v>
      </c>
      <c r="G789" s="1" t="n"/>
    </row>
    <row r="790">
      <c r="A790" s="6" t="n">
        <v>32236</v>
      </c>
      <c r="B790" s="6" t="inlineStr">
        <is>
          <t>SEAGRAM'S EXTRA DRY GIN</t>
        </is>
      </c>
      <c r="C790" s="7">
        <f>VLOOKUP(A790,SizeData!A$2:B$3839,2,FALSE)</f>
        <v/>
      </c>
      <c r="D790" s="6" t="n">
        <v>1</v>
      </c>
      <c r="E790" s="6" t="inlineStr">
        <is>
          <t>R1114354</t>
        </is>
      </c>
      <c r="F790" s="2" t="n">
        <v>44334</v>
      </c>
      <c r="G790" s="1" t="n"/>
    </row>
    <row r="791">
      <c r="A791" s="6" t="n">
        <v>32236</v>
      </c>
      <c r="B791" s="6" t="inlineStr">
        <is>
          <t>SEAGRAM'S EXTRA DRY GIN</t>
        </is>
      </c>
      <c r="C791" s="7">
        <f>VLOOKUP(A791,SizeData!A$2:B$3839,2,FALSE)</f>
        <v/>
      </c>
      <c r="D791" s="6" t="n">
        <v>1</v>
      </c>
      <c r="E791" s="6" t="inlineStr">
        <is>
          <t>R1133709</t>
        </is>
      </c>
      <c r="F791" s="2" t="n">
        <v>44344</v>
      </c>
      <c r="G791" s="1" t="n"/>
    </row>
    <row r="792">
      <c r="A792" s="6" t="n">
        <v>32236</v>
      </c>
      <c r="B792" s="6" t="inlineStr">
        <is>
          <t>SEAGRAM'S EXTRA DRY GIN</t>
        </is>
      </c>
      <c r="C792" s="7">
        <f>VLOOKUP(A792,SizeData!A$2:B$3839,2,FALSE)</f>
        <v/>
      </c>
      <c r="D792" s="6" t="n">
        <v>1</v>
      </c>
      <c r="E792" s="6" t="inlineStr">
        <is>
          <t xml:space="preserve"> R1138813</t>
        </is>
      </c>
      <c r="F792" s="2" t="n">
        <v>44348</v>
      </c>
      <c r="G792" s="1" t="n"/>
    </row>
    <row r="793">
      <c r="A793" s="6" t="n">
        <v>32236</v>
      </c>
      <c r="B793" s="6" t="inlineStr">
        <is>
          <t>SEAGRAM'S EXTRA DRY GIN</t>
        </is>
      </c>
      <c r="C793" s="7">
        <f>VLOOKUP(A793,SizeData!A$2:B$3839,2,FALSE)</f>
        <v/>
      </c>
      <c r="D793" s="6" t="n">
        <v>1</v>
      </c>
      <c r="E793" s="6" t="inlineStr">
        <is>
          <t>R1134134</t>
        </is>
      </c>
      <c r="F793" s="2" t="n">
        <v>44354</v>
      </c>
      <c r="G793" s="1" t="n"/>
    </row>
    <row r="794">
      <c r="A794" s="6" t="n">
        <v>32236</v>
      </c>
      <c r="B794" s="6" t="inlineStr">
        <is>
          <t>SEAGRAM'S EXTRA DRY GIN</t>
        </is>
      </c>
      <c r="C794" s="7">
        <f>VLOOKUP(A794,SizeData!A$2:B$3839,2,FALSE)</f>
        <v/>
      </c>
      <c r="D794" s="6" t="n">
        <v>1</v>
      </c>
      <c r="E794" s="6" t="inlineStr">
        <is>
          <t>R1151004</t>
        </is>
      </c>
      <c r="F794" s="2" t="n">
        <v>44358</v>
      </c>
      <c r="G794" s="1" t="n"/>
    </row>
    <row r="795">
      <c r="A795" s="6" t="n">
        <v>32236</v>
      </c>
      <c r="B795" s="6" t="inlineStr">
        <is>
          <t>SEAGRAM'S EXTRA DRY GIN</t>
        </is>
      </c>
      <c r="C795" s="7">
        <f>VLOOKUP(A795,SizeData!A$2:B$3839,2,FALSE)</f>
        <v/>
      </c>
      <c r="D795" s="6" t="n">
        <v>1</v>
      </c>
      <c r="E795" s="6" t="inlineStr">
        <is>
          <t>R1134794</t>
        </is>
      </c>
      <c r="F795" s="2" t="n">
        <v>44365</v>
      </c>
      <c r="G795" s="1" t="n"/>
    </row>
    <row r="796">
      <c r="A796" s="6" t="n">
        <v>32236</v>
      </c>
      <c r="B796" s="6" t="inlineStr">
        <is>
          <t>SEAGRAM'S EXTRA DRY GIN</t>
        </is>
      </c>
      <c r="C796" s="7">
        <f>VLOOKUP(A796,SizeData!A$2:B$3839,2,FALSE)</f>
        <v/>
      </c>
      <c r="D796" s="6" t="n">
        <v>1</v>
      </c>
      <c r="E796" s="6" t="inlineStr">
        <is>
          <t>R1150887</t>
        </is>
      </c>
      <c r="F796" s="2" t="n">
        <v>44366</v>
      </c>
      <c r="G796" s="1" t="n"/>
    </row>
    <row r="797">
      <c r="A797" s="6" t="n">
        <v>32236</v>
      </c>
      <c r="B797" s="6" t="inlineStr">
        <is>
          <t>SEAGRAM'S EXTRA DRY GIN</t>
        </is>
      </c>
      <c r="C797" s="7">
        <f>VLOOKUP(A797,SizeData!A$2:B$3839,2,FALSE)</f>
        <v/>
      </c>
      <c r="D797" s="6" t="n">
        <v>1</v>
      </c>
      <c r="E797" s="6" t="inlineStr">
        <is>
          <t>R1161476</t>
        </is>
      </c>
      <c r="F797" s="2" t="n">
        <v>44372</v>
      </c>
      <c r="G797" s="1" t="n"/>
    </row>
    <row r="798">
      <c r="A798" s="6" t="n">
        <v>32236</v>
      </c>
      <c r="B798" s="6" t="inlineStr">
        <is>
          <t>SEAGRAM'S EXTRA DRY GIN</t>
        </is>
      </c>
      <c r="C798" s="7">
        <f>VLOOKUP(A798,SizeData!A$2:B$3839,2,FALSE)</f>
        <v/>
      </c>
      <c r="D798" s="6" t="n">
        <v>2</v>
      </c>
      <c r="E798" s="26" t="inlineStr">
        <is>
          <t>R1158572</t>
        </is>
      </c>
      <c r="F798" s="2" t="n">
        <v>44379</v>
      </c>
      <c r="G798" s="1" t="n"/>
    </row>
    <row r="799">
      <c r="A799" s="6" t="n">
        <v>32236</v>
      </c>
      <c r="B799" s="6" t="inlineStr">
        <is>
          <t>SEAGRAM'S EXTRA DRY GIN</t>
        </is>
      </c>
      <c r="C799" s="7">
        <f>VLOOKUP(A799,SizeData!A$2:B$3839,2,FALSE)</f>
        <v/>
      </c>
      <c r="D799" s="6" t="n">
        <v>1</v>
      </c>
      <c r="E799" s="6" t="inlineStr">
        <is>
          <t>R1181307</t>
        </is>
      </c>
      <c r="F799" s="2" t="n">
        <v>44387</v>
      </c>
      <c r="G799" s="1" t="n"/>
    </row>
    <row r="800">
      <c r="A800" s="6" t="n">
        <v>32236</v>
      </c>
      <c r="B800" s="6" t="inlineStr">
        <is>
          <t>SEAGRAM'S EXTRA DRY GIN</t>
        </is>
      </c>
      <c r="C800" s="7">
        <f>VLOOKUP(A800,SizeData!A$2:B$3839,2,FALSE)</f>
        <v/>
      </c>
      <c r="D800" s="6" t="n">
        <v>1</v>
      </c>
      <c r="E800" s="6" t="inlineStr">
        <is>
          <t>R1169144</t>
        </is>
      </c>
      <c r="F800" s="2" t="n">
        <v>44387</v>
      </c>
      <c r="G800" s="1" t="n"/>
    </row>
    <row r="801">
      <c r="A801" s="6" t="n">
        <v>32236</v>
      </c>
      <c r="B801" s="6" t="inlineStr">
        <is>
          <t>SEAGRAM'S EXTRA DRY GIN</t>
        </is>
      </c>
      <c r="C801" s="7">
        <f>VLOOKUP(A801,SizeData!A$2:B$3839,2,FALSE)</f>
        <v/>
      </c>
      <c r="D801" s="6" t="n">
        <v>1</v>
      </c>
      <c r="E801" s="6" t="inlineStr">
        <is>
          <t>R1175838</t>
        </is>
      </c>
      <c r="F801" s="2" t="n">
        <v>44389</v>
      </c>
      <c r="G801" s="1" t="n"/>
    </row>
    <row r="802">
      <c r="A802" s="6" t="n">
        <v>32236</v>
      </c>
      <c r="B802" s="6" t="inlineStr">
        <is>
          <t>SEAGRAM'S EXTRA DRY GIN</t>
        </is>
      </c>
      <c r="C802" s="7">
        <f>VLOOKUP(A802,SizeData!A$2:B$3839,2,FALSE)</f>
        <v/>
      </c>
      <c r="D802" s="6" t="n">
        <v>1</v>
      </c>
      <c r="E802" s="6" t="inlineStr">
        <is>
          <t>R1171594</t>
        </is>
      </c>
      <c r="F802" s="2" t="n">
        <v>44392</v>
      </c>
      <c r="G802" s="1" t="n"/>
    </row>
    <row r="803">
      <c r="A803" s="6" t="n">
        <v>32236</v>
      </c>
      <c r="B803" s="6" t="inlineStr">
        <is>
          <t>SEAGRAM'S EXTRA DRY GIN</t>
        </is>
      </c>
      <c r="C803" s="7">
        <f>VLOOKUP(A803,SizeData!A$2:B$3839,2,FALSE)</f>
        <v/>
      </c>
      <c r="D803" s="6" t="n">
        <v>1</v>
      </c>
      <c r="E803" s="6" t="inlineStr">
        <is>
          <t>R1173671</t>
        </is>
      </c>
      <c r="F803" s="2" t="n">
        <v>44394</v>
      </c>
      <c r="G803" s="1" t="n"/>
    </row>
    <row r="804">
      <c r="A804" s="6" t="n">
        <v>32236</v>
      </c>
      <c r="B804" s="6" t="inlineStr">
        <is>
          <t>SEAGRAM'S EXTRA DRY GIN</t>
        </is>
      </c>
      <c r="C804" s="7">
        <f>VLOOKUP(A804,SizeData!A$2:B$3839,2,FALSE)</f>
        <v/>
      </c>
      <c r="D804" s="6" t="n">
        <v>1</v>
      </c>
      <c r="E804" s="6" t="inlineStr">
        <is>
          <t>R1174033</t>
        </is>
      </c>
      <c r="F804" s="2" t="n">
        <v>44394</v>
      </c>
      <c r="G804" s="1" t="n"/>
    </row>
    <row r="805">
      <c r="A805" s="6" t="n">
        <v>32236</v>
      </c>
      <c r="B805" s="6" t="inlineStr">
        <is>
          <t>SEAGRAM'S EXTRA DRY GIN</t>
        </is>
      </c>
      <c r="C805" s="7">
        <f>VLOOKUP(A805,SizeData!A$2:B$3839,2,FALSE)</f>
        <v/>
      </c>
      <c r="D805" s="6" t="n">
        <v>1</v>
      </c>
      <c r="E805" s="6" t="inlineStr">
        <is>
          <t>R1172969</t>
        </is>
      </c>
      <c r="F805" s="2" t="n">
        <v>44396</v>
      </c>
      <c r="G805" s="1" t="n"/>
    </row>
    <row r="806">
      <c r="A806" s="6" t="n">
        <v>32236</v>
      </c>
      <c r="B806" s="6" t="inlineStr">
        <is>
          <t>SEAGRAM'S EXTRA DRY GIN</t>
        </is>
      </c>
      <c r="C806" s="7">
        <f>VLOOKUP(A806,SizeData!A$2:B$3839,2,FALSE)</f>
        <v/>
      </c>
      <c r="D806" s="6" t="n">
        <v>2</v>
      </c>
      <c r="E806" s="6" t="inlineStr">
        <is>
          <t>R1200565</t>
        </is>
      </c>
      <c r="F806" s="2" t="n">
        <v>44411</v>
      </c>
      <c r="G806" s="1" t="n"/>
    </row>
    <row r="807">
      <c r="A807" s="6" t="n">
        <v>32236</v>
      </c>
      <c r="B807" s="6" t="inlineStr">
        <is>
          <t>SEAGRAM'S EXTRA DRY GIN</t>
        </is>
      </c>
      <c r="C807" s="7">
        <f>VLOOKUP(A807,SizeData!A$2:B$3839,2,FALSE)</f>
        <v/>
      </c>
      <c r="D807" s="6" t="n">
        <v>1</v>
      </c>
      <c r="E807" s="6" t="inlineStr">
        <is>
          <t>R1203013</t>
        </is>
      </c>
      <c r="F807" s="2" t="n">
        <v>44413</v>
      </c>
      <c r="G807" s="1" t="n"/>
    </row>
    <row r="808">
      <c r="A808" s="6" t="n">
        <v>32236</v>
      </c>
      <c r="B808" s="6" t="inlineStr">
        <is>
          <t>SEAGRAM'S EXTRA DRY GIN</t>
        </is>
      </c>
      <c r="C808" s="7">
        <f>VLOOKUP(A808,SizeData!A$2:B$3839,2,FALSE)</f>
        <v/>
      </c>
      <c r="D808" s="6" t="n">
        <v>2</v>
      </c>
      <c r="E808" s="6" t="inlineStr">
        <is>
          <t>R1205285</t>
        </is>
      </c>
      <c r="F808" s="2" t="n">
        <v>44414</v>
      </c>
      <c r="G808" s="1" t="n"/>
    </row>
    <row r="809">
      <c r="A809" s="6" t="n">
        <v>32236</v>
      </c>
      <c r="B809" s="6" t="inlineStr">
        <is>
          <t>SEAGRAM'S EXTRA DRY GIN</t>
        </is>
      </c>
      <c r="C809" s="7">
        <f>VLOOKUP(A809,SizeData!A$2:B$3839,2,FALSE)</f>
        <v/>
      </c>
      <c r="D809" s="6" t="n">
        <v>8</v>
      </c>
      <c r="E809" s="6" t="inlineStr">
        <is>
          <t>R1241680</t>
        </is>
      </c>
      <c r="F809" s="2" t="n">
        <v>44455</v>
      </c>
      <c r="G809" s="1" t="n"/>
    </row>
    <row r="810">
      <c r="A810" s="6" t="n">
        <v>32236</v>
      </c>
      <c r="B810" s="6" t="inlineStr">
        <is>
          <t>SEAGRAM'S EXTRA DRY GIN</t>
        </is>
      </c>
      <c r="C810" s="7">
        <f>VLOOKUP(A810,SizeData!A$2:B$3839,2,FALSE)</f>
        <v/>
      </c>
      <c r="D810" s="6" t="n">
        <v>5</v>
      </c>
      <c r="E810" s="6" t="inlineStr">
        <is>
          <t>R1301542</t>
        </is>
      </c>
      <c r="F810" s="2" t="n">
        <v>44494</v>
      </c>
      <c r="G810" s="1" t="n"/>
    </row>
    <row r="811">
      <c r="A811" s="6" t="n">
        <v>32236</v>
      </c>
      <c r="B811" s="6" t="inlineStr">
        <is>
          <t>SEAGRAM'S EXTRA DRY GIN</t>
        </is>
      </c>
      <c r="C811" s="7">
        <f>VLOOKUP(A811,SizeData!A$2:B$3839,2,FALSE)</f>
        <v/>
      </c>
      <c r="D811" s="6" t="n">
        <v>6</v>
      </c>
      <c r="E811" s="6" t="inlineStr">
        <is>
          <t>R1303942</t>
        </is>
      </c>
      <c r="F811" s="2" t="n">
        <v>44501</v>
      </c>
      <c r="G811" s="1" t="n"/>
    </row>
    <row r="812">
      <c r="A812" s="6" t="n">
        <v>32236</v>
      </c>
      <c r="B812" s="6" t="inlineStr">
        <is>
          <t>SEAGRAM'S EXTRA DRY GIN</t>
        </is>
      </c>
      <c r="C812" s="7">
        <f>VLOOKUP(A812,SizeData!A$2:B$3839,2,FALSE)</f>
        <v/>
      </c>
      <c r="D812" s="6" t="n">
        <v>7</v>
      </c>
      <c r="E812" s="6" t="inlineStr">
        <is>
          <t>R1360222</t>
        </is>
      </c>
      <c r="F812" s="2" t="n">
        <v>44531</v>
      </c>
      <c r="G812" s="1" t="n"/>
    </row>
    <row r="813">
      <c r="A813" s="6" t="n">
        <v>32236</v>
      </c>
      <c r="B813" s="6" t="inlineStr">
        <is>
          <t xml:space="preserve">SEAGRAM'S EXTRA DRY GIN </t>
        </is>
      </c>
      <c r="C813" s="7">
        <f>VLOOKUP(A813,SizeData!A$2:B$3839,2,FALSE)</f>
        <v/>
      </c>
      <c r="D813" s="6" t="n">
        <v>1</v>
      </c>
      <c r="E813" s="6" t="inlineStr">
        <is>
          <t>R1163865</t>
        </is>
      </c>
      <c r="F813" s="2" t="n">
        <v>44384</v>
      </c>
      <c r="G813" s="6" t="n"/>
    </row>
    <row r="814">
      <c r="A814" s="6" t="n">
        <v>32238</v>
      </c>
      <c r="B814" s="6" t="inlineStr">
        <is>
          <t>SEAGRAM'S EXTRA DRY GIN</t>
        </is>
      </c>
      <c r="C814" s="7">
        <f>VLOOKUP(A814,SizeData!A$2:B$3839,2,FALSE)</f>
        <v/>
      </c>
      <c r="D814" s="6" t="n">
        <v>2</v>
      </c>
      <c r="E814" s="6" t="inlineStr">
        <is>
          <t>R1000047</t>
        </is>
      </c>
      <c r="F814" s="2" t="n">
        <v>44207</v>
      </c>
      <c r="G814" s="1" t="n"/>
    </row>
    <row r="815">
      <c r="A815" s="6" t="n">
        <v>32238</v>
      </c>
      <c r="B815" s="6" t="inlineStr">
        <is>
          <t>SEAGRAM'S EXTRA DRY GIN</t>
        </is>
      </c>
      <c r="C815" s="7">
        <f>VLOOKUP(A815,SizeData!A$2:B$3839,2,FALSE)</f>
        <v/>
      </c>
      <c r="D815" s="6" t="n">
        <v>3</v>
      </c>
      <c r="E815" s="6" t="inlineStr">
        <is>
          <t>R1007118</t>
        </is>
      </c>
      <c r="F815" s="2" t="n">
        <v>44211</v>
      </c>
      <c r="G815" s="1" t="n"/>
    </row>
    <row r="816">
      <c r="A816" s="6" t="n">
        <v>32238</v>
      </c>
      <c r="B816" s="6" t="inlineStr">
        <is>
          <t>SEAGRAM'S EXTRA DRY GIN</t>
        </is>
      </c>
      <c r="C816" s="7">
        <f>VLOOKUP(A816,SizeData!A$2:B$3839,2,FALSE)</f>
        <v/>
      </c>
      <c r="D816" s="6" t="n">
        <v>2</v>
      </c>
      <c r="E816" s="6" t="inlineStr">
        <is>
          <t>R1015058</t>
        </is>
      </c>
      <c r="F816" s="2" t="n">
        <v>44217</v>
      </c>
      <c r="G816" s="1" t="n"/>
    </row>
    <row r="817">
      <c r="A817" s="6" t="n">
        <v>32238</v>
      </c>
      <c r="B817" s="6" t="inlineStr">
        <is>
          <t>SEAGRAM'S EXTRA DRY GIN</t>
        </is>
      </c>
      <c r="C817" s="7">
        <f>VLOOKUP(A817,SizeData!A$2:B$3839,2,FALSE)</f>
        <v/>
      </c>
      <c r="D817" s="6" t="n">
        <v>1</v>
      </c>
      <c r="E817" s="6" t="inlineStr">
        <is>
          <t>R1003923</t>
        </is>
      </c>
      <c r="F817" s="2" t="n">
        <v>44219</v>
      </c>
      <c r="G817" s="1" t="n"/>
    </row>
    <row r="818">
      <c r="A818" s="6" t="n">
        <v>32238</v>
      </c>
      <c r="B818" s="6" t="inlineStr">
        <is>
          <t>SEAGRAM'S EXTRA DRY GIN</t>
        </is>
      </c>
      <c r="C818" s="7">
        <f>VLOOKUP(A818,SizeData!A$2:B$3839,2,FALSE)</f>
        <v/>
      </c>
      <c r="D818" s="6" t="n">
        <v>2</v>
      </c>
      <c r="E818" s="6" t="inlineStr">
        <is>
          <t>R1008939</t>
        </is>
      </c>
      <c r="F818" s="2" t="n">
        <v>44220</v>
      </c>
      <c r="G818" s="1" t="n"/>
    </row>
    <row r="819">
      <c r="A819" s="6" t="n">
        <v>32238</v>
      </c>
      <c r="B819" s="6" t="inlineStr">
        <is>
          <t>SEAGRAM'S EXTRA DRY GIN</t>
        </is>
      </c>
      <c r="C819" s="7">
        <f>VLOOKUP(A819,SizeData!A$2:B$3839,2,FALSE)</f>
        <v/>
      </c>
      <c r="D819" s="6" t="n">
        <v>3</v>
      </c>
      <c r="E819" s="6" t="inlineStr">
        <is>
          <t>R1028707</t>
        </is>
      </c>
      <c r="F819" s="2" t="n">
        <v>44229</v>
      </c>
      <c r="G819" s="1" t="n"/>
    </row>
    <row r="820">
      <c r="A820" s="6" t="n">
        <v>32238</v>
      </c>
      <c r="B820" s="6" t="inlineStr">
        <is>
          <t>SEAGRAM'S EXTRA DRY GIN</t>
        </is>
      </c>
      <c r="C820" s="7">
        <f>VLOOKUP(A820,SizeData!A$2:B$3839,2,FALSE)</f>
        <v/>
      </c>
      <c r="D820" s="6" t="n">
        <v>1</v>
      </c>
      <c r="E820" s="6" t="inlineStr">
        <is>
          <t>R1029260</t>
        </is>
      </c>
      <c r="F820" s="2" t="n">
        <v>44240</v>
      </c>
      <c r="G820" s="1" t="n"/>
    </row>
    <row r="821">
      <c r="A821" s="6" t="n">
        <v>32238</v>
      </c>
      <c r="B821" s="6" t="inlineStr">
        <is>
          <t>SEAGRAM'S EXTRA DRY GIN</t>
        </is>
      </c>
      <c r="C821" s="7">
        <f>VLOOKUP(A821,SizeData!A$2:B$3839,2,FALSE)</f>
        <v/>
      </c>
      <c r="D821" s="6" t="n">
        <v>2</v>
      </c>
      <c r="E821" s="6" t="inlineStr">
        <is>
          <t>R1046414</t>
        </is>
      </c>
      <c r="F821" s="2" t="n">
        <v>44254</v>
      </c>
      <c r="G821" s="1" t="n"/>
    </row>
    <row r="822">
      <c r="A822" s="6" t="n">
        <v>32238</v>
      </c>
      <c r="B822" s="6" t="inlineStr">
        <is>
          <t>SEAGRAM'S EXTRA DRY GIN</t>
        </is>
      </c>
      <c r="C822" s="7">
        <f>VLOOKUP(A822,SizeData!A$2:B$3839,2,FALSE)</f>
        <v/>
      </c>
      <c r="D822" s="6" t="n">
        <v>1</v>
      </c>
      <c r="E822" s="6" t="inlineStr">
        <is>
          <t>R1047061</t>
        </is>
      </c>
      <c r="F822" s="2" t="n">
        <v>44259</v>
      </c>
      <c r="G822" s="1" t="n"/>
    </row>
    <row r="823">
      <c r="A823" s="6" t="n">
        <v>32238</v>
      </c>
      <c r="B823" s="6" t="inlineStr">
        <is>
          <t>SEAGRAM'S EXTRA DRY GIN</t>
        </is>
      </c>
      <c r="C823" s="7">
        <f>VLOOKUP(A823,SizeData!A$2:B$3839,2,FALSE)</f>
        <v/>
      </c>
      <c r="D823" s="6" t="n">
        <v>1</v>
      </c>
      <c r="E823" s="6" t="inlineStr">
        <is>
          <t>R1042069</t>
        </is>
      </c>
      <c r="F823" s="2" t="n">
        <v>44260</v>
      </c>
      <c r="G823" s="1" t="n"/>
    </row>
    <row r="824">
      <c r="A824" s="6" t="n">
        <v>32238</v>
      </c>
      <c r="B824" s="6" t="inlineStr">
        <is>
          <t>SEAGRAM'S EXTRA DRY GIN</t>
        </is>
      </c>
      <c r="C824" s="7">
        <f>VLOOKUP(A824,SizeData!A$2:B$3839,2,FALSE)</f>
        <v/>
      </c>
      <c r="D824" s="6" t="n">
        <v>1</v>
      </c>
      <c r="E824" s="6" t="inlineStr">
        <is>
          <t>R1043269</t>
        </is>
      </c>
      <c r="F824" s="2" t="n">
        <v>44263</v>
      </c>
      <c r="G824" s="1" t="n"/>
    </row>
    <row r="825">
      <c r="A825" s="6" t="n">
        <v>32238</v>
      </c>
      <c r="B825" s="6" t="inlineStr">
        <is>
          <t>SEAGRAM'S EXTRA DRY GIN</t>
        </is>
      </c>
      <c r="C825" s="7">
        <f>VLOOKUP(A825,SizeData!A$2:B$3839,2,FALSE)</f>
        <v/>
      </c>
      <c r="D825" s="6" t="n">
        <v>2</v>
      </c>
      <c r="E825" s="6" t="inlineStr">
        <is>
          <t>R1066712</t>
        </is>
      </c>
      <c r="F825" s="2" t="n">
        <v>44268</v>
      </c>
      <c r="G825" s="1" t="n"/>
    </row>
    <row r="826">
      <c r="A826" s="6" t="n">
        <v>32238</v>
      </c>
      <c r="B826" s="6" t="inlineStr">
        <is>
          <t>SEAGRAM'S EXTRA DRY GIN</t>
        </is>
      </c>
      <c r="C826" s="7">
        <f>VLOOKUP(A826,SizeData!A$2:B$3839,2,FALSE)</f>
        <v/>
      </c>
      <c r="D826" s="6" t="n">
        <v>1</v>
      </c>
      <c r="E826" s="6" t="inlineStr">
        <is>
          <t>R1053588</t>
        </is>
      </c>
      <c r="F826" s="2" t="n">
        <v>44278</v>
      </c>
      <c r="G826" s="1" t="n"/>
    </row>
    <row r="827">
      <c r="A827" s="6" t="n">
        <v>32238</v>
      </c>
      <c r="B827" s="6" t="inlineStr">
        <is>
          <t>SEAGRAM'S EXTRA DRY GIN</t>
        </is>
      </c>
      <c r="C827" s="7">
        <f>VLOOKUP(A827,SizeData!A$2:B$3839,2,FALSE)</f>
        <v/>
      </c>
      <c r="D827" s="6" t="n">
        <v>1</v>
      </c>
      <c r="E827" s="6" t="inlineStr">
        <is>
          <t>R1081307</t>
        </is>
      </c>
      <c r="F827" s="2" t="n">
        <v>44284</v>
      </c>
      <c r="G827" s="1" t="n"/>
    </row>
    <row r="828">
      <c r="A828" s="6" t="n">
        <v>32238</v>
      </c>
      <c r="B828" s="6" t="inlineStr">
        <is>
          <t>SEAGRAM'S EXTRA DRY GIN</t>
        </is>
      </c>
      <c r="C828" s="7">
        <f>VLOOKUP(A828,SizeData!A$2:B$3839,2,FALSE)</f>
        <v/>
      </c>
      <c r="D828" s="6" t="n">
        <v>1</v>
      </c>
      <c r="E828" s="6" t="inlineStr">
        <is>
          <t>R1087015</t>
        </is>
      </c>
      <c r="F828" s="2" t="n">
        <v>44291</v>
      </c>
      <c r="G828" s="1" t="n"/>
    </row>
    <row r="829">
      <c r="A829" s="6" t="n">
        <v>32238</v>
      </c>
      <c r="B829" s="6" t="inlineStr">
        <is>
          <t>SEAGRAM'S EXTRA DRY GIN</t>
        </is>
      </c>
      <c r="C829" s="7">
        <f>VLOOKUP(A829,SizeData!A$2:B$3839,2,FALSE)</f>
        <v/>
      </c>
      <c r="D829" s="6" t="n">
        <v>2</v>
      </c>
      <c r="E829" s="6" t="inlineStr">
        <is>
          <t>R1092837</t>
        </is>
      </c>
      <c r="F829" s="2" t="n">
        <v>44299</v>
      </c>
      <c r="G829" s="1" t="n"/>
    </row>
    <row r="830">
      <c r="A830" s="6" t="n">
        <v>32238</v>
      </c>
      <c r="B830" s="6" t="inlineStr">
        <is>
          <t>SEAGRAM'S EXTRA DRY GIN</t>
        </is>
      </c>
      <c r="C830" s="7">
        <f>VLOOKUP(A830,SizeData!A$2:B$3839,2,FALSE)</f>
        <v/>
      </c>
      <c r="D830" s="6" t="n">
        <v>2</v>
      </c>
      <c r="E830" s="6" t="inlineStr">
        <is>
          <t>R1110509</t>
        </is>
      </c>
      <c r="F830" s="2" t="n">
        <v>44306</v>
      </c>
      <c r="G830" s="1" t="n"/>
    </row>
    <row r="831">
      <c r="A831" s="6" t="n">
        <v>32238</v>
      </c>
      <c r="B831" s="6" t="inlineStr">
        <is>
          <t>SEAGRAM'S EXTRA DRY GIN</t>
        </is>
      </c>
      <c r="C831" s="7">
        <f>VLOOKUP(A831,SizeData!A$2:B$3839,2,FALSE)</f>
        <v/>
      </c>
      <c r="D831" s="6" t="n">
        <v>1</v>
      </c>
      <c r="E831" s="6" t="inlineStr">
        <is>
          <t>R1106414</t>
        </is>
      </c>
      <c r="F831" s="2" t="n">
        <v>44307</v>
      </c>
      <c r="G831" s="1" t="n"/>
    </row>
    <row r="832">
      <c r="A832" s="6" t="n">
        <v>32238</v>
      </c>
      <c r="B832" s="6" t="inlineStr">
        <is>
          <t>SEAGRAM'S EXTRA DRY GIN</t>
        </is>
      </c>
      <c r="C832" s="7">
        <f>VLOOKUP(A832,SizeData!A$2:B$3839,2,FALSE)</f>
        <v/>
      </c>
      <c r="D832" s="6" t="n">
        <v>2</v>
      </c>
      <c r="E832" s="6" t="inlineStr">
        <is>
          <t>R1094763</t>
        </is>
      </c>
      <c r="F832" s="2" t="n">
        <v>44312</v>
      </c>
      <c r="G832" s="1" t="n"/>
    </row>
    <row r="833">
      <c r="A833" s="6" t="n">
        <v>32238</v>
      </c>
      <c r="B833" s="6" t="inlineStr">
        <is>
          <t>SEAGRAM'S EXTRA DRY GIN</t>
        </is>
      </c>
      <c r="C833" s="7">
        <f>VLOOKUP(A833,SizeData!A$2:B$3839,2,FALSE)</f>
        <v/>
      </c>
      <c r="D833" s="6" t="n">
        <v>1</v>
      </c>
      <c r="E833" s="6" t="inlineStr">
        <is>
          <t>R1103097</t>
        </is>
      </c>
      <c r="F833" s="2" t="n">
        <v>44320</v>
      </c>
      <c r="G833" s="1" t="n"/>
    </row>
    <row r="834">
      <c r="A834" s="6" t="n">
        <v>32238</v>
      </c>
      <c r="B834" s="6" t="inlineStr">
        <is>
          <t>SEAGRAM'S EXTRA DRY GIN</t>
        </is>
      </c>
      <c r="C834" s="7">
        <f>VLOOKUP(A834,SizeData!A$2:B$3839,2,FALSE)</f>
        <v/>
      </c>
      <c r="D834" s="6" t="n">
        <v>1</v>
      </c>
      <c r="E834" s="6" t="inlineStr">
        <is>
          <t>R1116842</t>
        </is>
      </c>
      <c r="F834" s="2" t="n">
        <v>44324</v>
      </c>
      <c r="G834" s="1" t="n"/>
    </row>
    <row r="835">
      <c r="A835" s="6" t="n">
        <v>32238</v>
      </c>
      <c r="B835" s="6" t="inlineStr">
        <is>
          <t>SEAGRAM'S EXTRA DRY GIN</t>
        </is>
      </c>
      <c r="C835" s="7">
        <f>VLOOKUP(A835,SizeData!A$2:B$3839,2,FALSE)</f>
        <v/>
      </c>
      <c r="D835" s="6" t="n">
        <v>1</v>
      </c>
      <c r="E835" s="6" t="inlineStr">
        <is>
          <t>R1112663</t>
        </is>
      </c>
      <c r="F835" s="2" t="n">
        <v>44324</v>
      </c>
      <c r="G835" s="1" t="n"/>
    </row>
    <row r="836">
      <c r="A836" s="6" t="n">
        <v>32238</v>
      </c>
      <c r="B836" s="6" t="inlineStr">
        <is>
          <t>SEAGRAM'S EXTRA DRY GIN</t>
        </is>
      </c>
      <c r="C836" s="7">
        <f>VLOOKUP(A836,SizeData!A$2:B$3839,2,FALSE)</f>
        <v/>
      </c>
      <c r="D836" s="6" t="n">
        <v>1</v>
      </c>
      <c r="E836" s="6" t="inlineStr">
        <is>
          <t>R1119203</t>
        </is>
      </c>
      <c r="F836" s="2" t="n">
        <v>44327</v>
      </c>
      <c r="G836" s="1" t="n"/>
    </row>
    <row r="837">
      <c r="A837" s="6" t="n">
        <v>32238</v>
      </c>
      <c r="B837" s="6" t="inlineStr">
        <is>
          <t>SEAGRAM'S EXTRA DRY GIN</t>
        </is>
      </c>
      <c r="C837" s="7">
        <f>VLOOKUP(A837,SizeData!A$2:B$3839,2,FALSE)</f>
        <v/>
      </c>
      <c r="D837" s="6" t="n">
        <v>1</v>
      </c>
      <c r="E837" s="6" t="inlineStr">
        <is>
          <t>R1109574</t>
        </is>
      </c>
      <c r="F837" s="2" t="n">
        <v>44331</v>
      </c>
      <c r="G837" s="1" t="n"/>
    </row>
    <row r="838">
      <c r="A838" s="6" t="n">
        <v>32238</v>
      </c>
      <c r="B838" s="6" t="inlineStr">
        <is>
          <t>SEAGRAM'S EXTRA DRY GIN</t>
        </is>
      </c>
      <c r="C838" s="7">
        <f>VLOOKUP(A838,SizeData!A$2:B$3839,2,FALSE)</f>
        <v/>
      </c>
      <c r="D838" s="6" t="n">
        <v>2</v>
      </c>
      <c r="E838" s="6" t="inlineStr">
        <is>
          <t>R1119856</t>
        </is>
      </c>
      <c r="F838" s="2" t="n">
        <v>44333</v>
      </c>
      <c r="G838" s="1" t="n"/>
    </row>
    <row r="839">
      <c r="A839" s="6" t="n">
        <v>32238</v>
      </c>
      <c r="B839" s="6" t="inlineStr">
        <is>
          <t>SEAGRAM'S EXTRA DRY GIN</t>
        </is>
      </c>
      <c r="C839" s="7">
        <f>VLOOKUP(A839,SizeData!A$2:B$3839,2,FALSE)</f>
        <v/>
      </c>
      <c r="D839" s="6" t="n">
        <v>1</v>
      </c>
      <c r="E839" s="6" t="inlineStr">
        <is>
          <t xml:space="preserve"> R1114563</t>
        </is>
      </c>
      <c r="F839" s="2" t="n">
        <v>44334</v>
      </c>
      <c r="G839" s="1" t="n"/>
    </row>
    <row r="840">
      <c r="A840" s="6" t="n">
        <v>32238</v>
      </c>
      <c r="B840" s="6" t="inlineStr">
        <is>
          <t>SEAGRAM'S EXTRA DRY GIN</t>
        </is>
      </c>
      <c r="C840" s="7">
        <f>VLOOKUP(A840,SizeData!A$2:B$3839,2,FALSE)</f>
        <v/>
      </c>
      <c r="D840" s="6" t="n">
        <v>1</v>
      </c>
      <c r="E840" s="6" t="inlineStr">
        <is>
          <t>R1114354</t>
        </is>
      </c>
      <c r="F840" s="2" t="n">
        <v>44334</v>
      </c>
      <c r="G840" s="1" t="n"/>
    </row>
    <row r="841">
      <c r="A841" s="6" t="n">
        <v>32238</v>
      </c>
      <c r="B841" s="6" t="inlineStr">
        <is>
          <t>SEAGRAM'S EXTRA DRY GIN</t>
        </is>
      </c>
      <c r="C841" s="7">
        <f>VLOOKUP(A841,SizeData!A$2:B$3839,2,FALSE)</f>
        <v/>
      </c>
      <c r="D841" s="6" t="n">
        <v>2</v>
      </c>
      <c r="E841" s="6" t="inlineStr">
        <is>
          <t>R1136630</t>
        </is>
      </c>
      <c r="F841" s="2" t="n">
        <v>44341</v>
      </c>
      <c r="G841" s="1" t="n"/>
    </row>
    <row r="842">
      <c r="A842" s="6" t="n">
        <v>32238</v>
      </c>
      <c r="B842" s="6" t="inlineStr">
        <is>
          <t>SEAGRAM'S EXTRA DRY GIN</t>
        </is>
      </c>
      <c r="C842" s="7">
        <f>VLOOKUP(A842,SizeData!A$2:B$3839,2,FALSE)</f>
        <v/>
      </c>
      <c r="D842" s="6" t="n">
        <v>2</v>
      </c>
      <c r="E842" s="6" t="inlineStr">
        <is>
          <t>R1132471</t>
        </is>
      </c>
      <c r="F842" s="2" t="n">
        <v>44349</v>
      </c>
      <c r="G842" s="1" t="n"/>
    </row>
    <row r="843">
      <c r="A843" s="6" t="n">
        <v>32238</v>
      </c>
      <c r="B843" s="6" t="inlineStr">
        <is>
          <t>SEAGRAM'S EXTRA DRY GIN</t>
        </is>
      </c>
      <c r="C843" s="7">
        <f>VLOOKUP(A843,SizeData!A$2:B$3839,2,FALSE)</f>
        <v/>
      </c>
      <c r="D843" s="6" t="n">
        <v>2</v>
      </c>
      <c r="E843" s="6" t="inlineStr">
        <is>
          <t xml:space="preserve"> R1133829</t>
        </is>
      </c>
      <c r="F843" s="2" t="n">
        <v>44350</v>
      </c>
      <c r="G843" s="1" t="n"/>
    </row>
    <row r="844">
      <c r="A844" s="6" t="n">
        <v>32238</v>
      </c>
      <c r="B844" s="6" t="inlineStr">
        <is>
          <t>SEAGRAM'S EXTRA DRY GIN</t>
        </is>
      </c>
      <c r="C844" s="7">
        <f>VLOOKUP(A844,SizeData!A$2:B$3839,2,FALSE)</f>
        <v/>
      </c>
      <c r="D844" s="6" t="n">
        <v>1</v>
      </c>
      <c r="E844" s="6" t="inlineStr">
        <is>
          <t>R1134134</t>
        </is>
      </c>
      <c r="F844" s="2" t="n">
        <v>44354</v>
      </c>
      <c r="G844" s="1" t="n"/>
    </row>
    <row r="845">
      <c r="A845" s="6" t="n">
        <v>32238</v>
      </c>
      <c r="B845" s="6" t="inlineStr">
        <is>
          <t>SEAGRAM'S EXTRA DRY GIN</t>
        </is>
      </c>
      <c r="C845" s="7">
        <f>VLOOKUP(A845,SizeData!A$2:B$3839,2,FALSE)</f>
        <v/>
      </c>
      <c r="D845" s="6" t="n">
        <v>2</v>
      </c>
      <c r="E845" s="6" t="inlineStr">
        <is>
          <t>R1151004</t>
        </is>
      </c>
      <c r="F845" s="2" t="n">
        <v>44358</v>
      </c>
      <c r="G845" s="1" t="n"/>
    </row>
    <row r="846">
      <c r="A846" s="6" t="n">
        <v>32238</v>
      </c>
      <c r="B846" s="6" t="inlineStr">
        <is>
          <t>SEAGRAM'S EXTRA DRY GIN</t>
        </is>
      </c>
      <c r="C846" s="7">
        <f>VLOOKUP(A846,SizeData!A$2:B$3839,2,FALSE)</f>
        <v/>
      </c>
      <c r="D846" s="6" t="n">
        <v>1</v>
      </c>
      <c r="E846" s="6" t="inlineStr">
        <is>
          <t>R1147055</t>
        </is>
      </c>
      <c r="F846" s="2" t="n">
        <v>44361</v>
      </c>
      <c r="G846" s="1" t="n"/>
    </row>
    <row r="847">
      <c r="A847" s="6" t="n">
        <v>32238</v>
      </c>
      <c r="B847" s="6" t="inlineStr">
        <is>
          <t>SEAGRAM'S EXTRA DRY GIN</t>
        </is>
      </c>
      <c r="C847" s="7">
        <f>VLOOKUP(A847,SizeData!A$2:B$3839,2,FALSE)</f>
        <v/>
      </c>
      <c r="D847" s="6" t="n">
        <v>4</v>
      </c>
      <c r="E847" s="6" t="inlineStr">
        <is>
          <t>R1150887</t>
        </is>
      </c>
      <c r="F847" s="2" t="n">
        <v>44366</v>
      </c>
      <c r="G847" s="1" t="n"/>
    </row>
    <row r="848">
      <c r="A848" s="6" t="n">
        <v>32238</v>
      </c>
      <c r="B848" s="6" t="inlineStr">
        <is>
          <t>SEAGRAM'S EXTRA DRY GIN</t>
        </is>
      </c>
      <c r="C848" s="7">
        <f>VLOOKUP(A848,SizeData!A$2:B$3839,2,FALSE)</f>
        <v/>
      </c>
      <c r="D848" s="6" t="n">
        <v>2</v>
      </c>
      <c r="E848" s="6" t="inlineStr">
        <is>
          <t>R1161476</t>
        </is>
      </c>
      <c r="F848" s="2" t="n">
        <v>44372</v>
      </c>
      <c r="G848" s="1" t="n"/>
    </row>
    <row r="849">
      <c r="A849" s="6" t="n">
        <v>32238</v>
      </c>
      <c r="B849" s="6" t="inlineStr">
        <is>
          <t>SEAGRAM'S EXTRA DRY GIN</t>
        </is>
      </c>
      <c r="C849" s="7">
        <f>VLOOKUP(A849,SizeData!A$2:B$3839,2,FALSE)</f>
        <v/>
      </c>
      <c r="D849" s="6" t="n">
        <v>2</v>
      </c>
      <c r="E849" s="6" t="inlineStr">
        <is>
          <t>R1166742</t>
        </is>
      </c>
      <c r="F849" s="2" t="n">
        <v>44372</v>
      </c>
      <c r="G849" s="1" t="n"/>
    </row>
    <row r="850">
      <c r="A850" s="6" t="n">
        <v>32238</v>
      </c>
      <c r="B850" s="6" t="inlineStr">
        <is>
          <t>SEAGRAM'S EXTRA DRY GIN</t>
        </is>
      </c>
      <c r="C850" s="7">
        <f>VLOOKUP(A850,SizeData!A$2:B$3839,2,FALSE)</f>
        <v/>
      </c>
      <c r="D850" s="6" t="n">
        <v>2</v>
      </c>
      <c r="E850" s="6" t="inlineStr">
        <is>
          <t xml:space="preserve"> R1161087</t>
        </is>
      </c>
      <c r="F850" s="2" t="n">
        <v>44373</v>
      </c>
      <c r="G850" s="1" t="n"/>
    </row>
    <row r="851">
      <c r="A851" s="6" t="n">
        <v>32238</v>
      </c>
      <c r="B851" s="6" t="inlineStr">
        <is>
          <t>SEAGRAM'S EXTRA DRY GIN</t>
        </is>
      </c>
      <c r="C851" s="7">
        <f>VLOOKUP(A851,SizeData!A$2:B$3839,2,FALSE)</f>
        <v/>
      </c>
      <c r="D851" s="6" t="n">
        <v>2</v>
      </c>
      <c r="E851" s="6" t="inlineStr">
        <is>
          <t xml:space="preserve"> R1175279</t>
        </is>
      </c>
      <c r="F851" s="2" t="n">
        <v>44382</v>
      </c>
      <c r="G851" s="1" t="n"/>
    </row>
    <row r="852">
      <c r="A852" s="6" t="n">
        <v>32238</v>
      </c>
      <c r="B852" s="6" t="inlineStr">
        <is>
          <t>SEAGRAM'S EXTRA DRY GIN</t>
        </is>
      </c>
      <c r="C852" s="7">
        <f>VLOOKUP(A852,SizeData!A$2:B$3839,2,FALSE)</f>
        <v/>
      </c>
      <c r="D852" s="6" t="n">
        <v>1</v>
      </c>
      <c r="E852" s="6" t="inlineStr">
        <is>
          <t>R1174033</t>
        </is>
      </c>
      <c r="F852" s="2" t="n">
        <v>44394</v>
      </c>
      <c r="G852" s="1" t="n"/>
    </row>
    <row r="853">
      <c r="A853" s="6" t="n">
        <v>32238</v>
      </c>
      <c r="B853" s="6" t="inlineStr">
        <is>
          <t>SEAGRAM'S EXTRA DRY GIN</t>
        </is>
      </c>
      <c r="C853" s="7">
        <f>VLOOKUP(A853,SizeData!A$2:B$3839,2,FALSE)</f>
        <v/>
      </c>
      <c r="D853" s="6" t="n">
        <v>3</v>
      </c>
      <c r="E853" s="6" t="inlineStr">
        <is>
          <t>R1181946</t>
        </is>
      </c>
      <c r="F853" s="2" t="n">
        <v>44398</v>
      </c>
      <c r="G853" s="1" t="n"/>
    </row>
    <row r="854">
      <c r="A854" s="6" t="n">
        <v>32238</v>
      </c>
      <c r="B854" s="6" t="inlineStr">
        <is>
          <t>SEAGRAM'S EXTRA DRY GIN</t>
        </is>
      </c>
      <c r="C854" s="7">
        <f>VLOOKUP(A854,SizeData!A$2:B$3839,2,FALSE)</f>
        <v/>
      </c>
      <c r="D854" s="6" t="n">
        <v>2</v>
      </c>
      <c r="E854" s="6" t="inlineStr">
        <is>
          <t>R1200565</t>
        </is>
      </c>
      <c r="F854" s="2" t="n">
        <v>44411</v>
      </c>
      <c r="G854" s="1" t="n"/>
    </row>
    <row r="855">
      <c r="A855" s="6" t="n">
        <v>32238</v>
      </c>
      <c r="B855" s="6" t="inlineStr">
        <is>
          <t>SEAGRAM'S EXTRA DRY GIN</t>
        </is>
      </c>
      <c r="C855" s="7">
        <f>VLOOKUP(A855,SizeData!A$2:B$3839,2,FALSE)</f>
        <v/>
      </c>
      <c r="D855" s="6" t="n">
        <v>1</v>
      </c>
      <c r="E855" s="6" t="inlineStr">
        <is>
          <t>R1203013</t>
        </is>
      </c>
      <c r="F855" s="2" t="n">
        <v>44413</v>
      </c>
      <c r="G855" s="1" t="n"/>
    </row>
    <row r="856">
      <c r="A856" s="6" t="n">
        <v>32238</v>
      </c>
      <c r="B856" s="6" t="inlineStr">
        <is>
          <t>SEAGRAM'S EXTRA DRY GIN</t>
        </is>
      </c>
      <c r="C856" s="7">
        <f>VLOOKUP(A856,SizeData!A$2:B$3839,2,FALSE)</f>
        <v/>
      </c>
      <c r="D856" s="6" t="n">
        <v>1</v>
      </c>
      <c r="E856" s="6" t="inlineStr">
        <is>
          <t>R1205285</t>
        </is>
      </c>
      <c r="F856" s="2" t="n">
        <v>44414</v>
      </c>
      <c r="G856" s="1" t="n"/>
    </row>
    <row r="857">
      <c r="A857" s="6" t="n">
        <v>32238</v>
      </c>
      <c r="B857" s="6" t="inlineStr">
        <is>
          <t>SEAGRAM'S EXTRA DRY GIN</t>
        </is>
      </c>
      <c r="C857" s="7">
        <f>VLOOKUP(A857,SizeData!A$2:B$3839,2,FALSE)</f>
        <v/>
      </c>
      <c r="D857" s="6" t="n">
        <v>1</v>
      </c>
      <c r="E857" s="6" t="inlineStr">
        <is>
          <t>R1203719</t>
        </is>
      </c>
      <c r="F857" s="2" t="n">
        <v>44419</v>
      </c>
      <c r="G857" s="1" t="n"/>
    </row>
    <row r="858">
      <c r="A858" s="6" t="n">
        <v>32238</v>
      </c>
      <c r="B858" s="6" t="inlineStr">
        <is>
          <t>SEAGRAM'S EXTRA DRY GIN</t>
        </is>
      </c>
      <c r="C858" s="7">
        <f>VLOOKUP(A858,SizeData!A$2:B$3839,2,FALSE)</f>
        <v/>
      </c>
      <c r="D858" s="6" t="n">
        <v>1</v>
      </c>
      <c r="E858" s="6" t="inlineStr">
        <is>
          <t>R1216789</t>
        </is>
      </c>
      <c r="F858" s="2" t="n">
        <v>44432</v>
      </c>
      <c r="G858" s="1" t="n"/>
    </row>
    <row r="859">
      <c r="A859" s="6" t="n">
        <v>32238</v>
      </c>
      <c r="B859" s="6" t="inlineStr">
        <is>
          <t>SEAGRAM'S EXTRA DRY GIN</t>
        </is>
      </c>
      <c r="C859" s="7">
        <f>VLOOKUP(A859,SizeData!A$2:B$3839,2,FALSE)</f>
        <v/>
      </c>
      <c r="D859" s="6" t="n">
        <v>0</v>
      </c>
      <c r="E859" s="6" t="inlineStr">
        <is>
          <t>R1241453</t>
        </is>
      </c>
      <c r="F859" s="2" t="n">
        <v>44448</v>
      </c>
      <c r="G859" s="1" t="n"/>
    </row>
    <row r="860">
      <c r="A860" s="6" t="n">
        <v>32238</v>
      </c>
      <c r="B860" s="6" t="inlineStr">
        <is>
          <t>SEAGRAM'S EXTRA DRY GIN</t>
        </is>
      </c>
      <c r="C860" s="7">
        <f>VLOOKUP(A860,SizeData!A$2:B$3839,2,FALSE)</f>
        <v/>
      </c>
      <c r="D860" s="6" t="n">
        <v>8</v>
      </c>
      <c r="E860" s="6" t="inlineStr">
        <is>
          <t>R1241680</t>
        </is>
      </c>
      <c r="F860" s="2" t="n">
        <v>44455</v>
      </c>
      <c r="G860" s="1" t="n"/>
    </row>
    <row r="861">
      <c r="A861" s="6" t="n">
        <v>32238</v>
      </c>
      <c r="B861" s="6" t="inlineStr">
        <is>
          <t>SEAGRAM'S EXTRA DRY GIN</t>
        </is>
      </c>
      <c r="C861" s="7">
        <f>VLOOKUP(A861,SizeData!A$2:B$3839,2,FALSE)</f>
        <v/>
      </c>
      <c r="D861" s="6" t="n">
        <v>6</v>
      </c>
      <c r="E861" s="6" t="inlineStr">
        <is>
          <t>R1253502</t>
        </is>
      </c>
      <c r="F861" s="2" t="n">
        <v>44460</v>
      </c>
      <c r="G861" s="1" t="n"/>
    </row>
    <row r="862">
      <c r="A862" s="6" t="n">
        <v>32238</v>
      </c>
      <c r="B862" s="6" t="inlineStr">
        <is>
          <t>SEAGRAM'S EXTRA DRY GIN</t>
        </is>
      </c>
      <c r="C862" s="7">
        <f>VLOOKUP(A862,SizeData!A$2:B$3839,2,FALSE)</f>
        <v/>
      </c>
      <c r="D862" s="6" t="n">
        <v>10</v>
      </c>
      <c r="E862" s="6" t="inlineStr">
        <is>
          <t>R1281179</t>
        </is>
      </c>
      <c r="F862" s="2" t="n">
        <v>44483</v>
      </c>
      <c r="G862" s="1" t="n"/>
    </row>
    <row r="863">
      <c r="A863" s="6" t="n">
        <v>32238</v>
      </c>
      <c r="B863" s="6" t="inlineStr">
        <is>
          <t>SEAGRAM'S EXTRA DRY GIN</t>
        </is>
      </c>
      <c r="C863" s="7">
        <f>VLOOKUP(A863,SizeData!A$2:B$3839,2,FALSE)</f>
        <v/>
      </c>
      <c r="D863" s="6" t="n">
        <v>4</v>
      </c>
      <c r="E863" s="6" t="inlineStr">
        <is>
          <t>R1310122</t>
        </is>
      </c>
      <c r="F863" s="2" t="n">
        <v>44488</v>
      </c>
      <c r="G863" s="1" t="n"/>
    </row>
    <row r="864">
      <c r="A864" s="6" t="n">
        <v>32238</v>
      </c>
      <c r="B864" s="6" t="inlineStr">
        <is>
          <t>SEAGRAM'S EXTRA DRY GIN</t>
        </is>
      </c>
      <c r="C864" s="7">
        <f>VLOOKUP(A864,SizeData!A$2:B$3839,2,FALSE)</f>
        <v/>
      </c>
      <c r="D864" s="6" t="n">
        <v>5</v>
      </c>
      <c r="E864" s="6" t="inlineStr">
        <is>
          <t>R1337036</t>
        </is>
      </c>
      <c r="F864" s="2" t="n">
        <v>44523</v>
      </c>
      <c r="G864" s="1" t="n"/>
    </row>
    <row r="865">
      <c r="A865" s="6" t="n">
        <v>32238</v>
      </c>
      <c r="B865" s="6" t="inlineStr">
        <is>
          <t>SEAGRAM'S EXTRA DRY GIN</t>
        </is>
      </c>
      <c r="C865" s="7">
        <f>VLOOKUP(A865,SizeData!A$2:B$3839,2,FALSE)</f>
        <v/>
      </c>
      <c r="D865" s="6" t="n">
        <v>8</v>
      </c>
      <c r="E865" s="6" t="inlineStr">
        <is>
          <t>R1337698</t>
        </is>
      </c>
      <c r="F865" s="2" t="n">
        <v>44531</v>
      </c>
      <c r="G865" s="1" t="n"/>
    </row>
    <row r="866">
      <c r="A866" s="6" t="n">
        <v>32414</v>
      </c>
      <c r="B866" s="6" t="inlineStr">
        <is>
          <t>TAAKA GIN</t>
        </is>
      </c>
      <c r="C866" s="7">
        <f>VLOOKUP(A866,SizeData!A$2:B$3839,2,FALSE)</f>
        <v/>
      </c>
      <c r="D866" s="6" t="n">
        <v>1</v>
      </c>
      <c r="E866" s="6" t="inlineStr">
        <is>
          <t>R1188262</t>
        </is>
      </c>
      <c r="F866" s="2" t="n">
        <v>44409</v>
      </c>
      <c r="G866" s="1" t="n"/>
    </row>
    <row r="867">
      <c r="A867" s="6" t="n">
        <v>32414</v>
      </c>
      <c r="B867" s="6" t="inlineStr">
        <is>
          <t>TAAKA GIN</t>
        </is>
      </c>
      <c r="C867" s="7">
        <f>VLOOKUP(A867,SizeData!A$2:B$3839,2,FALSE)</f>
        <v/>
      </c>
      <c r="D867" s="6" t="n">
        <v>1</v>
      </c>
      <c r="E867" s="6" t="inlineStr">
        <is>
          <t>R1253669</t>
        </is>
      </c>
      <c r="F867" s="2" t="n">
        <v>44471</v>
      </c>
      <c r="G867" s="1" t="n"/>
    </row>
    <row r="868">
      <c r="A868" s="6" t="n">
        <v>32418</v>
      </c>
      <c r="B868" s="6" t="inlineStr">
        <is>
          <t>TAAKA GIN (PET)</t>
        </is>
      </c>
      <c r="C868" s="7">
        <f>VLOOKUP(A868,SizeData!A$2:B$3839,2,FALSE)</f>
        <v/>
      </c>
      <c r="D868" s="6" t="n">
        <v>1</v>
      </c>
      <c r="E868" s="6" t="inlineStr">
        <is>
          <t>R1030568</t>
        </is>
      </c>
      <c r="F868" s="2" t="n">
        <v>44229</v>
      </c>
      <c r="G868" s="1" t="n"/>
    </row>
    <row r="869">
      <c r="A869" s="6" t="n">
        <v>32418</v>
      </c>
      <c r="B869" s="6" t="inlineStr">
        <is>
          <t>TAAKA GIN (PET)</t>
        </is>
      </c>
      <c r="C869" s="7">
        <f>VLOOKUP(A869,SizeData!A$2:B$3839,2,FALSE)</f>
        <v/>
      </c>
      <c r="D869" s="6" t="n">
        <v>2</v>
      </c>
      <c r="E869" s="6" t="inlineStr">
        <is>
          <t>R1034835</t>
        </is>
      </c>
      <c r="F869" s="2" t="n">
        <v>44254</v>
      </c>
      <c r="G869" s="1" t="n"/>
    </row>
    <row r="870">
      <c r="A870" s="6" t="n">
        <v>32418</v>
      </c>
      <c r="B870" s="6" t="inlineStr">
        <is>
          <t>TAAKA GIN (PET)</t>
        </is>
      </c>
      <c r="C870" s="7">
        <f>VLOOKUP(A870,SizeData!A$2:B$3839,2,FALSE)</f>
        <v/>
      </c>
      <c r="D870" s="6" t="n">
        <v>1</v>
      </c>
      <c r="E870" s="6" t="inlineStr">
        <is>
          <t>R1109381</t>
        </is>
      </c>
      <c r="F870" s="2" t="n">
        <v>44331</v>
      </c>
      <c r="G870" s="1" t="n"/>
    </row>
    <row r="871">
      <c r="A871" s="6" t="n">
        <v>32418</v>
      </c>
      <c r="B871" s="6" t="inlineStr">
        <is>
          <t>TAAKA GIN (PET)</t>
        </is>
      </c>
      <c r="C871" s="7">
        <f>VLOOKUP(A871,SizeData!A$2:B$3839,2,FALSE)</f>
        <v/>
      </c>
      <c r="D871" s="6" t="n">
        <v>1</v>
      </c>
      <c r="E871" s="6" t="inlineStr">
        <is>
          <t>R1119856</t>
        </is>
      </c>
      <c r="F871" s="2" t="n">
        <v>44333</v>
      </c>
      <c r="G871" s="1" t="n"/>
    </row>
    <row r="872">
      <c r="A872" s="6" t="n">
        <v>32418</v>
      </c>
      <c r="B872" s="6" t="inlineStr">
        <is>
          <t>TAAKA GIN (PET)</t>
        </is>
      </c>
      <c r="C872" s="7">
        <f>VLOOKUP(A872,SizeData!A$2:B$3839,2,FALSE)</f>
        <v/>
      </c>
      <c r="D872" s="6" t="n">
        <v>1</v>
      </c>
      <c r="E872" s="6" t="inlineStr">
        <is>
          <t>R1133709</t>
        </is>
      </c>
      <c r="F872" s="2" t="n">
        <v>44344</v>
      </c>
      <c r="G872" s="1" t="n"/>
    </row>
    <row r="873">
      <c r="A873" s="6" t="n">
        <v>32418</v>
      </c>
      <c r="B873" s="6" t="inlineStr">
        <is>
          <t>TAAKA GIN (PET)</t>
        </is>
      </c>
      <c r="C873" s="7">
        <f>VLOOKUP(A873,SizeData!A$2:B$3839,2,FALSE)</f>
        <v/>
      </c>
      <c r="D873" s="6" t="n">
        <v>3</v>
      </c>
      <c r="E873" s="6" t="inlineStr">
        <is>
          <t>R1204006</t>
        </is>
      </c>
      <c r="F873" s="2" t="n">
        <v>44415</v>
      </c>
      <c r="G873" s="1" t="n"/>
    </row>
    <row r="874">
      <c r="A874" s="6" t="n">
        <v>32418</v>
      </c>
      <c r="B874" s="6" t="inlineStr">
        <is>
          <t>TAAKA GIN (PET)</t>
        </is>
      </c>
      <c r="C874" s="7">
        <f>VLOOKUP(A874,SizeData!A$2:B$3839,2,FALSE)</f>
        <v/>
      </c>
      <c r="D874" s="6" t="n">
        <v>2</v>
      </c>
      <c r="E874" s="6" t="inlineStr">
        <is>
          <t>R1320287</t>
        </is>
      </c>
      <c r="F874" s="2" t="n">
        <v>44506</v>
      </c>
      <c r="G874" s="1" t="n"/>
    </row>
    <row r="875">
      <c r="A875" s="6" t="n">
        <v>32650</v>
      </c>
      <c r="B875" s="6" t="inlineStr">
        <is>
          <t>UNCLE VAL'S BOTANICAL GIN</t>
        </is>
      </c>
      <c r="C875" s="7">
        <f>VLOOKUP(A875,SizeData!A$2:B$3839,2,FALSE)</f>
        <v/>
      </c>
      <c r="D875" s="6" t="n">
        <v>1</v>
      </c>
      <c r="E875" s="6" t="inlineStr">
        <is>
          <t>R1206438</t>
        </is>
      </c>
      <c r="F875" s="2" t="n">
        <v>44417</v>
      </c>
      <c r="G875" s="1" t="n"/>
    </row>
    <row r="876">
      <c r="A876" s="6" t="n">
        <v>33253</v>
      </c>
      <c r="B876" s="6" t="inlineStr">
        <is>
          <t>MD 20/20 RED GRAPE</t>
        </is>
      </c>
      <c r="C876" s="7">
        <f>VLOOKUP(A876,SizeData!A$2:B$3839,2,FALSE)</f>
        <v/>
      </c>
      <c r="D876" s="6" t="n">
        <v>1</v>
      </c>
      <c r="E876" s="6" t="inlineStr">
        <is>
          <t>R1139038</t>
        </is>
      </c>
      <c r="F876" s="2" t="n">
        <v>44352</v>
      </c>
      <c r="G876" s="1" t="n"/>
    </row>
    <row r="877">
      <c r="A877" s="6" t="n">
        <v>33253</v>
      </c>
      <c r="B877" s="6" t="inlineStr">
        <is>
          <t>SEAGRAM'S LIME TWISTED GIN</t>
        </is>
      </c>
      <c r="C877" s="7">
        <f>VLOOKUP(A877,SizeData!A$2:B$3839,2,FALSE)</f>
        <v/>
      </c>
      <c r="D877" s="6" t="n">
        <v>1</v>
      </c>
      <c r="E877" s="6" t="inlineStr">
        <is>
          <t>R1007118</t>
        </is>
      </c>
      <c r="F877" s="2" t="n">
        <v>44211</v>
      </c>
      <c r="G877" s="1" t="n"/>
    </row>
    <row r="878">
      <c r="A878" s="6" t="n">
        <v>33253</v>
      </c>
      <c r="B878" s="6" t="inlineStr">
        <is>
          <t>SEAGRAM'S LIME TWISTED GIN</t>
        </is>
      </c>
      <c r="C878" s="7">
        <f>VLOOKUP(A878,SizeData!A$2:B$3839,2,FALSE)</f>
        <v/>
      </c>
      <c r="D878" s="6" t="n">
        <v>1</v>
      </c>
      <c r="E878" s="6" t="inlineStr">
        <is>
          <t>R1028756</t>
        </is>
      </c>
      <c r="F878" s="2" t="n">
        <v>44239</v>
      </c>
      <c r="G878" s="1" t="n"/>
    </row>
    <row r="879">
      <c r="A879" s="6" t="n">
        <v>33253</v>
      </c>
      <c r="B879" s="6" t="inlineStr">
        <is>
          <t>SEAGRAM'S LIME TWISTED GIN</t>
        </is>
      </c>
      <c r="C879" s="7">
        <f>VLOOKUP(A879,SizeData!A$2:B$3839,2,FALSE)</f>
        <v/>
      </c>
      <c r="D879" s="6" t="n">
        <v>1</v>
      </c>
      <c r="E879" s="6" t="inlineStr">
        <is>
          <t>R1018600</t>
        </is>
      </c>
      <c r="F879" s="2" t="n">
        <v>44241</v>
      </c>
      <c r="G879" s="1" t="n"/>
    </row>
    <row r="880">
      <c r="A880" s="6" t="n">
        <v>33253</v>
      </c>
      <c r="B880" s="6" t="inlineStr">
        <is>
          <t>SEAGRAM'S LIME TWISTED GIN</t>
        </is>
      </c>
      <c r="C880" s="7">
        <f>VLOOKUP(A880,SizeData!A$2:B$3839,2,FALSE)</f>
        <v/>
      </c>
      <c r="D880" s="6" t="n">
        <v>1</v>
      </c>
      <c r="E880" s="6" t="inlineStr">
        <is>
          <t>R1048765</t>
        </is>
      </c>
      <c r="F880" s="2" t="n">
        <v>44265</v>
      </c>
      <c r="G880" s="1" t="n"/>
    </row>
    <row r="881">
      <c r="A881" s="6" t="n">
        <v>33253</v>
      </c>
      <c r="B881" s="6" t="inlineStr">
        <is>
          <t>SEAGRAM'S LIME TWISTED GIN</t>
        </is>
      </c>
      <c r="C881" s="7">
        <f>VLOOKUP(A881,SizeData!A$2:B$3839,2,FALSE)</f>
        <v/>
      </c>
      <c r="D881" s="6" t="n">
        <v>1</v>
      </c>
      <c r="E881" s="6" t="inlineStr">
        <is>
          <t>R1139038</t>
        </is>
      </c>
      <c r="F881" s="2" t="n">
        <v>44352</v>
      </c>
      <c r="G881" s="1" t="n"/>
    </row>
    <row r="882">
      <c r="A882" s="6" t="n">
        <v>33253</v>
      </c>
      <c r="B882" s="6" t="inlineStr">
        <is>
          <t>SEAGRAM'S LIME TWISTED GIN</t>
        </is>
      </c>
      <c r="C882" s="7">
        <f>VLOOKUP(A882,SizeData!A$2:B$3839,2,FALSE)</f>
        <v/>
      </c>
      <c r="D882" s="6" t="n">
        <v>1</v>
      </c>
      <c r="E882" s="6" t="inlineStr">
        <is>
          <t>R1161476</t>
        </is>
      </c>
      <c r="F882" s="2" t="n">
        <v>44372</v>
      </c>
      <c r="G882" s="1" t="n"/>
    </row>
    <row r="883">
      <c r="A883" s="6" t="n">
        <v>33256</v>
      </c>
      <c r="B883" s="6" t="inlineStr">
        <is>
          <t>SEAGRAM'S LIME TWISTED GIN</t>
        </is>
      </c>
      <c r="C883" s="7">
        <f>VLOOKUP(A883,SizeData!A$2:B$3839,2,FALSE)</f>
        <v/>
      </c>
      <c r="D883" s="6" t="n">
        <v>1</v>
      </c>
      <c r="E883" s="6" t="inlineStr">
        <is>
          <t>R1007118</t>
        </is>
      </c>
      <c r="F883" s="2" t="n">
        <v>44211</v>
      </c>
      <c r="G883" s="1" t="n"/>
    </row>
    <row r="884">
      <c r="A884" s="6" t="n">
        <v>33256</v>
      </c>
      <c r="B884" s="6" t="inlineStr">
        <is>
          <t>SEAGRAM'S LIME TWISTED GIN</t>
        </is>
      </c>
      <c r="C884" s="7">
        <f>VLOOKUP(A884,SizeData!A$2:B$3839,2,FALSE)</f>
        <v/>
      </c>
      <c r="D884" s="6" t="n">
        <v>1</v>
      </c>
      <c r="E884" s="6" t="inlineStr">
        <is>
          <t>R1081307</t>
        </is>
      </c>
      <c r="F884" s="2" t="n">
        <v>44284</v>
      </c>
      <c r="G884" s="1" t="n"/>
    </row>
    <row r="885">
      <c r="A885" s="6" t="n">
        <v>33256</v>
      </c>
      <c r="B885" s="6" t="inlineStr">
        <is>
          <t>SEAGRAM'S LIME TWISTED GIN</t>
        </is>
      </c>
      <c r="C885" s="7">
        <f>VLOOKUP(A885,SizeData!A$2:B$3839,2,FALSE)</f>
        <v/>
      </c>
      <c r="D885" s="6" t="n">
        <v>1</v>
      </c>
      <c r="E885" s="6" t="inlineStr">
        <is>
          <t>R1192127</t>
        </is>
      </c>
      <c r="F885" s="2" t="n">
        <v>44403</v>
      </c>
      <c r="G885" s="1" t="n"/>
    </row>
    <row r="886">
      <c r="A886" s="6" t="n">
        <v>33256</v>
      </c>
      <c r="B886" s="6" t="inlineStr">
        <is>
          <t>SEAGRAM'S LIME TWISTED GIN</t>
        </is>
      </c>
      <c r="C886" s="7">
        <f>VLOOKUP(A886,SizeData!A$2:B$3839,2,FALSE)</f>
        <v/>
      </c>
      <c r="D886" s="6" t="n">
        <v>1</v>
      </c>
      <c r="E886" s="6" t="inlineStr">
        <is>
          <t>R1209774</t>
        </is>
      </c>
      <c r="F886" s="2" t="n">
        <v>44433</v>
      </c>
      <c r="G886" s="1" t="n"/>
    </row>
    <row r="887">
      <c r="A887" s="6" t="n">
        <v>33256</v>
      </c>
      <c r="B887" s="6" t="inlineStr">
        <is>
          <t>SEAGRAM'S LIME TWISTED GIN</t>
        </is>
      </c>
      <c r="C887" s="7">
        <f>VLOOKUP(A887,SizeData!A$2:B$3839,2,FALSE)</f>
        <v/>
      </c>
      <c r="D887" s="6" t="n">
        <v>1</v>
      </c>
      <c r="E887" s="6" t="inlineStr">
        <is>
          <t>R1246630</t>
        </is>
      </c>
      <c r="F887" s="2" t="n">
        <v>44450</v>
      </c>
      <c r="G887" s="1" t="n"/>
    </row>
    <row r="888">
      <c r="A888" s="6" t="n">
        <v>33256</v>
      </c>
      <c r="B888" s="6" t="inlineStr">
        <is>
          <t>SEAGRAM'S LIME TWISTED GIN</t>
        </is>
      </c>
      <c r="C888" s="7">
        <f>VLOOKUP(A888,SizeData!A$2:B$3839,2,FALSE)</f>
        <v/>
      </c>
      <c r="D888" s="6" t="n">
        <v>2</v>
      </c>
      <c r="E888" s="6" t="inlineStr">
        <is>
          <t>R1326235</t>
        </is>
      </c>
      <c r="F888" s="2" t="n">
        <v>44509</v>
      </c>
      <c r="G888" s="1" t="n"/>
    </row>
    <row r="889">
      <c r="A889" s="6" t="n">
        <v>33258</v>
      </c>
      <c r="B889" s="6" t="inlineStr">
        <is>
          <t>SEAGRAM'S LIME TWISTED GIN</t>
        </is>
      </c>
      <c r="C889" s="7">
        <f>VLOOKUP(A889,SizeData!A$2:B$3839,2,FALSE)</f>
        <v/>
      </c>
      <c r="D889" s="6" t="n">
        <v>1</v>
      </c>
      <c r="E889" s="6" t="inlineStr">
        <is>
          <t>R1015646</t>
        </is>
      </c>
      <c r="F889" s="2" t="n">
        <v>44223</v>
      </c>
      <c r="G889" s="1" t="n"/>
    </row>
    <row r="890">
      <c r="A890" s="6" t="n">
        <v>33258</v>
      </c>
      <c r="B890" s="6" t="inlineStr">
        <is>
          <t>SEAGRAM'S LIME TWISTED GIN</t>
        </is>
      </c>
      <c r="C890" s="7">
        <f>VLOOKUP(A890,SizeData!A$2:B$3839,2,FALSE)</f>
        <v/>
      </c>
      <c r="D890" s="6" t="n">
        <v>1</v>
      </c>
      <c r="E890" s="6" t="inlineStr">
        <is>
          <t>R1028756</t>
        </is>
      </c>
      <c r="F890" s="2" t="n">
        <v>44239</v>
      </c>
      <c r="G890" s="1" t="n"/>
    </row>
    <row r="891">
      <c r="A891" s="6" t="n">
        <v>33258</v>
      </c>
      <c r="B891" s="6" t="inlineStr">
        <is>
          <t>SEAGRAM'S LIME TWISTED GIN</t>
        </is>
      </c>
      <c r="C891" s="7">
        <f>VLOOKUP(A891,SizeData!A$2:B$3839,2,FALSE)</f>
        <v/>
      </c>
      <c r="D891" s="6" t="n">
        <v>1</v>
      </c>
      <c r="E891" s="6" t="inlineStr">
        <is>
          <t>R1029260</t>
        </is>
      </c>
      <c r="F891" s="2" t="n">
        <v>44240</v>
      </c>
      <c r="G891" s="1" t="n"/>
    </row>
    <row r="892">
      <c r="A892" s="6" t="n">
        <v>33258</v>
      </c>
      <c r="B892" s="6" t="inlineStr">
        <is>
          <t>SEAGRAM'S LIME TWISTED GIN</t>
        </is>
      </c>
      <c r="C892" s="7">
        <f>VLOOKUP(A892,SizeData!A$2:B$3839,2,FALSE)</f>
        <v/>
      </c>
      <c r="D892" s="6" t="n">
        <v>1</v>
      </c>
      <c r="E892" s="6" t="inlineStr">
        <is>
          <t>R1081307</t>
        </is>
      </c>
      <c r="F892" s="2" t="n">
        <v>44284</v>
      </c>
      <c r="G892" s="1" t="n"/>
    </row>
    <row r="893">
      <c r="A893" s="6" t="n">
        <v>33258</v>
      </c>
      <c r="B893" s="6" t="inlineStr">
        <is>
          <t>SEAGRAM'S LIME TWISTED GIN</t>
        </is>
      </c>
      <c r="C893" s="7">
        <f>VLOOKUP(A893,SizeData!A$2:B$3839,2,FALSE)</f>
        <v/>
      </c>
      <c r="D893" s="6" t="n">
        <v>1</v>
      </c>
      <c r="E893" s="6" t="inlineStr">
        <is>
          <t>R1206438</t>
        </is>
      </c>
      <c r="F893" s="2" t="n">
        <v>44417</v>
      </c>
      <c r="G893" s="1" t="n"/>
    </row>
    <row r="894">
      <c r="A894" s="6" t="n">
        <v>33258</v>
      </c>
      <c r="B894" s="6" t="inlineStr">
        <is>
          <t>SEAGRAM'S LIME TWISTED GIN</t>
        </is>
      </c>
      <c r="C894" s="7">
        <f>VLOOKUP(A894,SizeData!A$2:B$3839,2,FALSE)</f>
        <v/>
      </c>
      <c r="D894" s="6" t="n">
        <v>2</v>
      </c>
      <c r="E894" s="6" t="inlineStr">
        <is>
          <t>R1267576</t>
        </is>
      </c>
      <c r="F894" s="2" t="n">
        <v>44476</v>
      </c>
      <c r="G894" s="1" t="n"/>
    </row>
    <row r="895">
      <c r="A895" s="6" t="n">
        <v>33258</v>
      </c>
      <c r="B895" s="6" t="inlineStr">
        <is>
          <t>SEAGRAM'S LIME TWISTED GIN</t>
        </is>
      </c>
      <c r="C895" s="7">
        <f>VLOOKUP(A895,SizeData!A$2:B$3839,2,FALSE)</f>
        <v/>
      </c>
      <c r="D895" s="6" t="n">
        <v>1</v>
      </c>
      <c r="E895" s="6" t="inlineStr">
        <is>
          <t>R1310122</t>
        </is>
      </c>
      <c r="F895" s="2" t="n">
        <v>44488</v>
      </c>
      <c r="G895" s="1" t="n"/>
    </row>
    <row r="896">
      <c r="A896" s="6" t="n">
        <v>33258</v>
      </c>
      <c r="B896" s="6" t="inlineStr">
        <is>
          <t>SEAGRAM'S LIME TWISTED GIN</t>
        </is>
      </c>
      <c r="C896" s="7">
        <f>VLOOKUP(A896,SizeData!A$2:B$3839,2,FALSE)</f>
        <v/>
      </c>
      <c r="D896" s="6" t="n">
        <v>1</v>
      </c>
      <c r="E896" s="6" t="inlineStr">
        <is>
          <t>R1360132</t>
        </is>
      </c>
      <c r="F896" s="2" t="n">
        <v>44532</v>
      </c>
      <c r="G896" s="1" t="n"/>
    </row>
    <row r="897">
      <c r="A897" s="6" t="n">
        <v>33278</v>
      </c>
      <c r="B897" s="6" t="inlineStr">
        <is>
          <t>SEAGRAM'S PINEAPPLE TWISTED GIN</t>
        </is>
      </c>
      <c r="C897" s="7">
        <f>VLOOKUP(A897,SizeData!A$2:B$3839,2,FALSE)</f>
        <v/>
      </c>
      <c r="D897" s="6" t="n">
        <v>1</v>
      </c>
      <c r="E897" s="6" t="inlineStr">
        <is>
          <t>R993624</t>
        </is>
      </c>
      <c r="F897" s="2" t="n">
        <v>44206</v>
      </c>
      <c r="G897" s="1" t="n"/>
    </row>
    <row r="898">
      <c r="A898" s="6" t="n">
        <v>33278</v>
      </c>
      <c r="B898" s="6" t="inlineStr">
        <is>
          <t>SEAGRAM'S PINEAPPLE TWISTED GIN</t>
        </is>
      </c>
      <c r="C898" s="7">
        <f>VLOOKUP(A898,SizeData!A$2:B$3839,2,FALSE)</f>
        <v/>
      </c>
      <c r="D898" s="6" t="n">
        <v>1</v>
      </c>
      <c r="E898" s="6" t="inlineStr">
        <is>
          <t>R1040170</t>
        </is>
      </c>
      <c r="F898" s="2" t="n">
        <v>44251</v>
      </c>
      <c r="G898" s="1" t="n"/>
    </row>
    <row r="899">
      <c r="A899" s="6" t="n">
        <v>33278</v>
      </c>
      <c r="B899" s="6" t="inlineStr">
        <is>
          <t>SEAGRAM'S PINEAPPLE TWISTED GIN</t>
        </is>
      </c>
      <c r="C899" s="7">
        <f>VLOOKUP(A899,SizeData!A$2:B$3839,2,FALSE)</f>
        <v/>
      </c>
      <c r="D899" s="6" t="n">
        <v>1</v>
      </c>
      <c r="E899" s="6" t="inlineStr">
        <is>
          <t>R1091962</t>
        </is>
      </c>
      <c r="F899" s="2" t="n">
        <v>44295</v>
      </c>
      <c r="G899" s="1" t="n"/>
    </row>
    <row r="900">
      <c r="A900" s="6" t="n">
        <v>33278</v>
      </c>
      <c r="B900" s="6" t="inlineStr">
        <is>
          <t>SEAGRAM'S PINEAPPLE TWISTED GIN</t>
        </is>
      </c>
      <c r="C900" s="7">
        <f>VLOOKUP(A900,SizeData!A$2:B$3839,2,FALSE)</f>
        <v/>
      </c>
      <c r="D900" s="6" t="n">
        <v>1</v>
      </c>
      <c r="E900" s="6" t="inlineStr">
        <is>
          <t>R1106414</t>
        </is>
      </c>
      <c r="F900" s="2" t="n">
        <v>44307</v>
      </c>
      <c r="G900" s="1" t="n"/>
    </row>
    <row r="901">
      <c r="A901" s="6" t="n">
        <v>33278</v>
      </c>
      <c r="B901" s="6" t="inlineStr">
        <is>
          <t>SEAGRAM'S PINEAPPLE TWISTED GIN</t>
        </is>
      </c>
      <c r="C901" s="7">
        <f>VLOOKUP(A901,SizeData!A$2:B$3839,2,FALSE)</f>
        <v/>
      </c>
      <c r="D901" s="6" t="n">
        <v>1</v>
      </c>
      <c r="E901" s="6" t="inlineStr">
        <is>
          <t>R1125683</t>
        </is>
      </c>
      <c r="F901" s="2" t="n">
        <v>44336</v>
      </c>
      <c r="G901" s="1" t="n"/>
    </row>
    <row r="902">
      <c r="A902" s="6" t="n">
        <v>33278</v>
      </c>
      <c r="B902" s="6" t="inlineStr">
        <is>
          <t>SEAGRAM'S PINEAPPLE TWISTED GIN</t>
        </is>
      </c>
      <c r="C902" s="7">
        <f>VLOOKUP(A902,SizeData!A$2:B$3839,2,FALSE)</f>
        <v/>
      </c>
      <c r="D902" s="6" t="n">
        <v>1</v>
      </c>
      <c r="E902" s="6" t="inlineStr">
        <is>
          <t>R1180298</t>
        </is>
      </c>
      <c r="F902" s="2" t="n">
        <v>44400</v>
      </c>
      <c r="G902" s="1" t="n"/>
    </row>
    <row r="903">
      <c r="A903" s="6" t="n">
        <v>33282</v>
      </c>
      <c r="B903" s="6" t="inlineStr">
        <is>
          <t>SEAGRAM'S PINEAPPLE TWISTED GIN</t>
        </is>
      </c>
      <c r="C903" s="7">
        <f>VLOOKUP(A903,SizeData!A$2:B$3839,2,FALSE)</f>
        <v/>
      </c>
      <c r="D903" s="6" t="n">
        <v>1</v>
      </c>
      <c r="E903" s="6" t="inlineStr">
        <is>
          <t>R1000047</t>
        </is>
      </c>
      <c r="F903" s="2" t="n">
        <v>44207</v>
      </c>
      <c r="G903" s="1" t="n"/>
    </row>
    <row r="904">
      <c r="A904" s="6" t="n">
        <v>33282</v>
      </c>
      <c r="B904" s="6" t="inlineStr">
        <is>
          <t>SEAGRAM'S PINEAPPLE TWISTED GIN</t>
        </is>
      </c>
      <c r="C904" s="7">
        <f>VLOOKUP(A904,SizeData!A$2:B$3839,2,FALSE)</f>
        <v/>
      </c>
      <c r="D904" s="6" t="n">
        <v>1</v>
      </c>
      <c r="E904" s="6" t="inlineStr">
        <is>
          <t>R1015646</t>
        </is>
      </c>
      <c r="F904" s="2" t="n">
        <v>44223</v>
      </c>
      <c r="G904" s="1" t="n"/>
    </row>
    <row r="905">
      <c r="A905" s="6" t="n">
        <v>33282</v>
      </c>
      <c r="B905" s="6" t="inlineStr">
        <is>
          <t>SEAGRAM'S PINEAPPLE TWISTED GIN</t>
        </is>
      </c>
      <c r="C905" s="7">
        <f>VLOOKUP(A905,SizeData!A$2:B$3839,2,FALSE)</f>
        <v/>
      </c>
      <c r="D905" s="6" t="n">
        <v>1</v>
      </c>
      <c r="E905" s="6" t="inlineStr">
        <is>
          <t>R1033132</t>
        </is>
      </c>
      <c r="F905" s="2" t="n">
        <v>44249</v>
      </c>
      <c r="G905" s="1" t="n"/>
    </row>
    <row r="906">
      <c r="A906" s="6" t="n">
        <v>33282</v>
      </c>
      <c r="B906" s="6" t="inlineStr">
        <is>
          <t>SEAGRAM'S PINEAPPLE TWISTED GIN</t>
        </is>
      </c>
      <c r="C906" s="7">
        <f>VLOOKUP(A906,SizeData!A$2:B$3839,2,FALSE)</f>
        <v/>
      </c>
      <c r="D906" s="6" t="n">
        <v>1</v>
      </c>
      <c r="E906" s="6" t="inlineStr">
        <is>
          <t>R1318205</t>
        </is>
      </c>
      <c r="F906" s="2" t="n">
        <v>44509</v>
      </c>
      <c r="G906" s="1" t="n"/>
    </row>
    <row r="907">
      <c r="A907" s="6" t="n">
        <v>33284</v>
      </c>
      <c r="B907" s="6" t="inlineStr">
        <is>
          <t>SEAGRAM'S PEACH TWISTED GIN</t>
        </is>
      </c>
      <c r="C907" s="7">
        <f>VLOOKUP(A907,SizeData!A$2:B$3839,2,FALSE)</f>
        <v/>
      </c>
      <c r="D907" s="6" t="n">
        <v>1</v>
      </c>
      <c r="E907" s="6" t="inlineStr">
        <is>
          <t>R1003923</t>
        </is>
      </c>
      <c r="F907" s="2" t="n">
        <v>44219</v>
      </c>
      <c r="G907" s="1" t="n"/>
    </row>
    <row r="908">
      <c r="A908" s="6" t="n">
        <v>33284</v>
      </c>
      <c r="B908" s="6" t="inlineStr">
        <is>
          <t>SEAGRAM'S PEACH TWISTED GIN</t>
        </is>
      </c>
      <c r="C908" s="7">
        <f>VLOOKUP(A908,SizeData!A$2:B$3839,2,FALSE)</f>
        <v/>
      </c>
      <c r="D908" s="6" t="n">
        <v>1</v>
      </c>
      <c r="E908" s="6" t="inlineStr">
        <is>
          <t>R1048765</t>
        </is>
      </c>
      <c r="F908" s="2" t="n">
        <v>44265</v>
      </c>
      <c r="G908" s="1" t="n"/>
    </row>
    <row r="909">
      <c r="A909" s="6" t="n">
        <v>33284</v>
      </c>
      <c r="B909" s="6" t="inlineStr">
        <is>
          <t>SEAGRAM'S PEACH TWISTED GIN</t>
        </is>
      </c>
      <c r="C909" s="7">
        <f>VLOOKUP(A909,SizeData!A$2:B$3839,2,FALSE)</f>
        <v/>
      </c>
      <c r="D909" s="6" t="n">
        <v>1</v>
      </c>
      <c r="E909" s="6" t="inlineStr">
        <is>
          <t>R1091962</t>
        </is>
      </c>
      <c r="F909" s="2" t="n">
        <v>44295</v>
      </c>
      <c r="G909" s="1" t="n"/>
    </row>
    <row r="910">
      <c r="A910" s="6" t="n">
        <v>33284</v>
      </c>
      <c r="B910" s="6" t="inlineStr">
        <is>
          <t>SEAGRAM'S PEACH TWISTED GIN</t>
        </is>
      </c>
      <c r="C910" s="7">
        <f>VLOOKUP(A910,SizeData!A$2:B$3839,2,FALSE)</f>
        <v/>
      </c>
      <c r="D910" s="6" t="n">
        <v>1</v>
      </c>
      <c r="E910" s="6" t="inlineStr">
        <is>
          <t>R1135580</t>
        </is>
      </c>
      <c r="F910" s="2" t="n">
        <v>44340</v>
      </c>
      <c r="G910" s="1" t="n"/>
    </row>
    <row r="911">
      <c r="A911" s="6" t="n">
        <v>33286</v>
      </c>
      <c r="B911" s="6" t="inlineStr">
        <is>
          <t>SEAGRAM'S PEACH TWISTED GIN</t>
        </is>
      </c>
      <c r="C911" s="7">
        <f>VLOOKUP(A911,SizeData!A$2:B$3839,2,FALSE)</f>
        <v/>
      </c>
      <c r="D911" s="6" t="n">
        <v>1</v>
      </c>
      <c r="E911" s="6" t="inlineStr">
        <is>
          <t>R1000047</t>
        </is>
      </c>
      <c r="F911" s="2" t="n">
        <v>44207</v>
      </c>
      <c r="G911" s="1" t="n"/>
    </row>
    <row r="912">
      <c r="A912" s="6" t="n">
        <v>33286</v>
      </c>
      <c r="B912" s="6" t="inlineStr">
        <is>
          <t>SEAGRAM'S PEACH TWISTED GIN</t>
        </is>
      </c>
      <c r="C912" s="7">
        <f>VLOOKUP(A912,SizeData!A$2:B$3839,2,FALSE)</f>
        <v/>
      </c>
      <c r="D912" s="6" t="n">
        <v>1</v>
      </c>
      <c r="E912" s="6" t="inlineStr">
        <is>
          <t>R1066712</t>
        </is>
      </c>
      <c r="F912" s="2" t="n">
        <v>44268</v>
      </c>
      <c r="G912" s="1" t="n"/>
    </row>
    <row r="913">
      <c r="A913" s="6" t="n">
        <v>33286</v>
      </c>
      <c r="B913" s="6" t="inlineStr">
        <is>
          <t>SEAGRAM'S PEACH TWISTED GIN</t>
        </is>
      </c>
      <c r="C913" s="7">
        <f>VLOOKUP(A913,SizeData!A$2:B$3839,2,FALSE)</f>
        <v/>
      </c>
      <c r="D913" s="6" t="n">
        <v>1</v>
      </c>
      <c r="E913" s="6" t="inlineStr">
        <is>
          <t>R1360134</t>
        </is>
      </c>
      <c r="F913" s="2" t="n">
        <v>44532</v>
      </c>
      <c r="G913" s="1" t="n"/>
    </row>
    <row r="914">
      <c r="A914" s="6" t="n">
        <v>33523</v>
      </c>
      <c r="B914" s="6" t="inlineStr">
        <is>
          <t>EXCLUSIV PINEAPPLE VODKA</t>
        </is>
      </c>
      <c r="C914" s="7">
        <f>VLOOKUP(A914,SizeData!A$2:B$3839,2,FALSE)</f>
        <v/>
      </c>
      <c r="D914" s="6" t="n">
        <v>1</v>
      </c>
      <c r="E914" s="6" t="inlineStr">
        <is>
          <t>R1224445</t>
        </is>
      </c>
      <c r="F914" s="2" t="n">
        <v>44440</v>
      </c>
      <c r="G914" s="1" t="n"/>
    </row>
    <row r="915">
      <c r="A915" s="6" t="n">
        <v>33524</v>
      </c>
      <c r="B915" s="6" t="inlineStr">
        <is>
          <t>EXCLUSIV PINEAPPLE VODKA</t>
        </is>
      </c>
      <c r="C915" s="7">
        <f>VLOOKUP(A915,SizeData!A$2:B$3839,2,FALSE)</f>
        <v/>
      </c>
      <c r="D915" s="6" t="n">
        <v>1</v>
      </c>
      <c r="E915" s="6" t="inlineStr">
        <is>
          <t>R1224445</t>
        </is>
      </c>
      <c r="F915" s="2" t="n">
        <v>44440</v>
      </c>
      <c r="G915" s="1" t="n"/>
    </row>
    <row r="916">
      <c r="A916" s="6" t="n">
        <v>33658</v>
      </c>
      <c r="B916" s="6" t="inlineStr">
        <is>
          <t>SVEDKA MANGO PINEAPPLE VODKA</t>
        </is>
      </c>
      <c r="C916" s="7">
        <f>VLOOKUP(A916,SizeData!A$2:B$3839,2,FALSE)</f>
        <v/>
      </c>
      <c r="D916" s="6" t="n">
        <v>1</v>
      </c>
      <c r="E916" s="6" t="inlineStr">
        <is>
          <t>R996697</t>
        </is>
      </c>
      <c r="F916" s="2" t="n">
        <v>44221</v>
      </c>
      <c r="G916" s="1" t="n"/>
    </row>
    <row r="917">
      <c r="A917" s="6" t="n">
        <v>33658</v>
      </c>
      <c r="B917" s="6" t="inlineStr">
        <is>
          <t>SVEDKA MANGO PINEAPPLE VODKA</t>
        </is>
      </c>
      <c r="C917" s="7">
        <f>VLOOKUP(A917,SizeData!A$2:B$3839,2,FALSE)</f>
        <v/>
      </c>
      <c r="D917" s="6" t="n">
        <v>1</v>
      </c>
      <c r="E917" s="6" t="inlineStr">
        <is>
          <t>R1171594</t>
        </is>
      </c>
      <c r="F917" s="2" t="n">
        <v>44392</v>
      </c>
      <c r="G917" s="1" t="n"/>
    </row>
    <row r="918">
      <c r="A918" s="6" t="n">
        <v>33663</v>
      </c>
      <c r="B918" s="6" t="inlineStr">
        <is>
          <t>SVEDKA STRAWBERRY LEMONADE VODKA</t>
        </is>
      </c>
      <c r="C918" s="7">
        <f>VLOOKUP(A918,SizeData!A$2:B$3839,2,FALSE)</f>
        <v/>
      </c>
      <c r="D918" s="6" t="n">
        <v>1</v>
      </c>
      <c r="E918" s="6" t="inlineStr">
        <is>
          <t>R996697</t>
        </is>
      </c>
      <c r="F918" s="2" t="n">
        <v>44221</v>
      </c>
      <c r="G918" s="1" t="n"/>
    </row>
    <row r="919">
      <c r="A919" s="6" t="n">
        <v>33707</v>
      </c>
      <c r="B919" s="6" t="inlineStr">
        <is>
          <t>EXCLUSIV 1 VODKA</t>
        </is>
      </c>
      <c r="C919" s="7">
        <f>VLOOKUP(A919,SizeData!A$2:B$3839,2,FALSE)</f>
        <v/>
      </c>
      <c r="D919" s="6" t="n">
        <v>1</v>
      </c>
      <c r="E919" s="6" t="inlineStr">
        <is>
          <t>R1047061</t>
        </is>
      </c>
      <c r="F919" s="2" t="n">
        <v>44259</v>
      </c>
      <c r="G919" s="1" t="n"/>
    </row>
    <row r="920">
      <c r="A920" s="6" t="n">
        <v>33707</v>
      </c>
      <c r="B920" s="6" t="inlineStr">
        <is>
          <t>EXCLUSIV 1 VODKA</t>
        </is>
      </c>
      <c r="C920" s="7">
        <f>VLOOKUP(A920,SizeData!A$2:B$3839,2,FALSE)</f>
        <v/>
      </c>
      <c r="D920" s="6" t="n">
        <v>3</v>
      </c>
      <c r="E920" s="6" t="inlineStr">
        <is>
          <t>R1360134</t>
        </is>
      </c>
      <c r="F920" s="2" t="n">
        <v>44532</v>
      </c>
      <c r="G920" s="1" t="n"/>
    </row>
    <row r="921">
      <c r="A921" s="6" t="n">
        <v>33708</v>
      </c>
      <c r="B921" s="6" t="inlineStr">
        <is>
          <t>EXCLUSIV VODKA</t>
        </is>
      </c>
      <c r="C921" s="7">
        <f>VLOOKUP(A921,SizeData!A$2:B$3839,2,FALSE)</f>
        <v/>
      </c>
      <c r="D921" s="6" t="n">
        <v>1</v>
      </c>
      <c r="E921" s="6" t="inlineStr">
        <is>
          <t>R1000879</t>
        </is>
      </c>
      <c r="F921" s="2" t="n">
        <v>44211</v>
      </c>
      <c r="G921" s="1" t="n"/>
    </row>
    <row r="922">
      <c r="A922" s="6" t="n">
        <v>33708</v>
      </c>
      <c r="B922" s="6" t="inlineStr">
        <is>
          <t>EXCLUSIV VODKA</t>
        </is>
      </c>
      <c r="C922" s="7">
        <f>VLOOKUP(A922,SizeData!A$2:B$3839,2,FALSE)</f>
        <v/>
      </c>
      <c r="D922" s="6" t="n">
        <v>2</v>
      </c>
      <c r="E922" s="6" t="inlineStr">
        <is>
          <t>R1059176</t>
        </is>
      </c>
      <c r="F922" s="2" t="n">
        <v>44281</v>
      </c>
      <c r="G922" s="1" t="n"/>
    </row>
    <row r="923">
      <c r="A923" s="6" t="n">
        <v>33708</v>
      </c>
      <c r="B923" s="6" t="inlineStr">
        <is>
          <t>EXCLUSIV VODKA</t>
        </is>
      </c>
      <c r="C923" s="7">
        <f>VLOOKUP(A923,SizeData!A$2:B$3839,2,FALSE)</f>
        <v/>
      </c>
      <c r="D923" s="6" t="n">
        <v>1</v>
      </c>
      <c r="E923" s="6" t="inlineStr">
        <is>
          <t>R1106414</t>
        </is>
      </c>
      <c r="F923" s="2" t="n">
        <v>44307</v>
      </c>
      <c r="G923" s="1" t="n"/>
    </row>
    <row r="924">
      <c r="A924" s="6" t="n">
        <v>33708</v>
      </c>
      <c r="B924" s="6" t="inlineStr">
        <is>
          <t>EXCLUSIV VODKA</t>
        </is>
      </c>
      <c r="C924" s="7">
        <f>VLOOKUP(A924,SizeData!A$2:B$3839,2,FALSE)</f>
        <v/>
      </c>
      <c r="D924" s="6" t="n">
        <v>1</v>
      </c>
      <c r="E924" s="6" t="inlineStr">
        <is>
          <t xml:space="preserve"> R1114563</t>
        </is>
      </c>
      <c r="F924" s="2" t="n">
        <v>44334</v>
      </c>
      <c r="G924" s="1" t="n"/>
    </row>
    <row r="925">
      <c r="A925" s="6" t="n">
        <v>33708</v>
      </c>
      <c r="B925" s="6" t="inlineStr">
        <is>
          <t>EXCLUSIV VODKA</t>
        </is>
      </c>
      <c r="C925" s="7">
        <f>VLOOKUP(A925,SizeData!A$2:B$3839,2,FALSE)</f>
        <v/>
      </c>
      <c r="D925" s="6" t="n">
        <v>1</v>
      </c>
      <c r="E925" s="6" t="inlineStr">
        <is>
          <t>R1129655</t>
        </is>
      </c>
      <c r="F925" s="2" t="n">
        <v>44347</v>
      </c>
      <c r="G925" s="1" t="n"/>
    </row>
    <row r="926">
      <c r="A926" s="6" t="n">
        <v>33708</v>
      </c>
      <c r="B926" s="6" t="inlineStr">
        <is>
          <t>EXCLUSIV VODKA</t>
        </is>
      </c>
      <c r="C926" s="7">
        <f>VLOOKUP(A926,SizeData!A$2:B$3839,2,FALSE)</f>
        <v/>
      </c>
      <c r="D926" s="6" t="n">
        <v>2</v>
      </c>
      <c r="E926" s="6" t="inlineStr">
        <is>
          <t>R1147055</t>
        </is>
      </c>
      <c r="F926" s="2" t="n">
        <v>44361</v>
      </c>
      <c r="G926" s="1" t="n"/>
    </row>
    <row r="927">
      <c r="A927" s="6" t="n">
        <v>33708</v>
      </c>
      <c r="B927" s="6" t="inlineStr">
        <is>
          <t>EXCLUSIV VODKA</t>
        </is>
      </c>
      <c r="C927" s="7">
        <f>VLOOKUP(A927,SizeData!A$2:B$3839,2,FALSE)</f>
        <v/>
      </c>
      <c r="D927" s="6" t="n">
        <v>2</v>
      </c>
      <c r="E927" s="6" t="inlineStr">
        <is>
          <t>R1224445</t>
        </is>
      </c>
      <c r="F927" s="2" t="n">
        <v>44440</v>
      </c>
      <c r="G927" s="1" t="n"/>
    </row>
    <row r="928">
      <c r="A928" s="6" t="n">
        <v>33708</v>
      </c>
      <c r="B928" s="6" t="inlineStr">
        <is>
          <t>EXCLUSIV VODKA</t>
        </is>
      </c>
      <c r="C928" s="7">
        <f>VLOOKUP(A928,SizeData!A$2:B$3839,2,FALSE)</f>
        <v/>
      </c>
      <c r="D928" s="6" t="n">
        <v>2</v>
      </c>
      <c r="E928" s="6" t="inlineStr">
        <is>
          <t>R1239466</t>
        </is>
      </c>
      <c r="F928" s="2" t="n">
        <v>44454</v>
      </c>
      <c r="G928" s="1" t="n"/>
    </row>
    <row r="929">
      <c r="A929" s="6" t="n">
        <v>33708</v>
      </c>
      <c r="B929" s="6" t="inlineStr">
        <is>
          <t>EXCLUSIV VODKA</t>
        </is>
      </c>
      <c r="C929" s="7">
        <f>VLOOKUP(A929,SizeData!A$2:B$3839,2,FALSE)</f>
        <v/>
      </c>
      <c r="D929" s="6" t="n">
        <v>5</v>
      </c>
      <c r="E929" s="6" t="inlineStr">
        <is>
          <t>R1308357</t>
        </is>
      </c>
      <c r="F929" s="2" t="n">
        <v>44504</v>
      </c>
      <c r="G929" s="1" t="n"/>
    </row>
    <row r="930">
      <c r="A930" s="6" t="n">
        <v>33709</v>
      </c>
      <c r="B930" s="6" t="inlineStr">
        <is>
          <t>EXCLUSIV VODKA</t>
        </is>
      </c>
      <c r="C930" s="7">
        <f>VLOOKUP(A930,SizeData!A$2:B$3839,2,FALSE)</f>
        <v/>
      </c>
      <c r="D930" s="6" t="n">
        <v>1</v>
      </c>
      <c r="E930" s="6" t="inlineStr">
        <is>
          <t>R1008340</t>
        </is>
      </c>
      <c r="F930" s="2" t="n">
        <v>44222</v>
      </c>
      <c r="G930" s="1" t="n"/>
    </row>
    <row r="931">
      <c r="A931" s="6" t="n">
        <v>33709</v>
      </c>
      <c r="B931" s="6" t="inlineStr">
        <is>
          <t>EXCLUSIV VODKA</t>
        </is>
      </c>
      <c r="C931" s="7">
        <f>VLOOKUP(A931,SizeData!A$2:B$3839,2,FALSE)</f>
        <v/>
      </c>
      <c r="D931" s="6" t="n">
        <v>2</v>
      </c>
      <c r="E931" s="6" t="inlineStr">
        <is>
          <t>R1047061</t>
        </is>
      </c>
      <c r="F931" s="2" t="n">
        <v>44259</v>
      </c>
      <c r="G931" s="1" t="n"/>
    </row>
    <row r="932">
      <c r="A932" s="6" t="n">
        <v>33709</v>
      </c>
      <c r="B932" s="6" t="inlineStr">
        <is>
          <t>EXCLUSIV VODKA</t>
        </is>
      </c>
      <c r="C932" s="7">
        <f>VLOOKUP(A932,SizeData!A$2:B$3839,2,FALSE)</f>
        <v/>
      </c>
      <c r="D932" s="6" t="n">
        <v>1</v>
      </c>
      <c r="E932" s="6" t="inlineStr">
        <is>
          <t>R1085364</t>
        </is>
      </c>
      <c r="F932" s="2" t="n">
        <v>44289</v>
      </c>
      <c r="G932" s="1" t="n"/>
    </row>
    <row r="933">
      <c r="A933" s="6" t="n">
        <v>33709</v>
      </c>
      <c r="B933" s="6" t="inlineStr">
        <is>
          <t>EXCLUSIV VODKA</t>
        </is>
      </c>
      <c r="C933" s="7">
        <f>VLOOKUP(A933,SizeData!A$2:B$3839,2,FALSE)</f>
        <v/>
      </c>
      <c r="D933" s="6" t="n">
        <v>1</v>
      </c>
      <c r="E933" s="6" t="inlineStr">
        <is>
          <t xml:space="preserve"> R1101656</t>
        </is>
      </c>
      <c r="F933" s="2" t="n">
        <v>44313</v>
      </c>
      <c r="G933" s="1" t="n"/>
    </row>
    <row r="934">
      <c r="A934" s="6" t="n">
        <v>33709</v>
      </c>
      <c r="B934" s="6" t="inlineStr">
        <is>
          <t>EXCLUSIV VODKA</t>
        </is>
      </c>
      <c r="C934" s="7">
        <f>VLOOKUP(A934,SizeData!A$2:B$3839,2,FALSE)</f>
        <v/>
      </c>
      <c r="D934" s="6" t="n">
        <v>1</v>
      </c>
      <c r="E934" s="6" t="inlineStr">
        <is>
          <t>R1116842</t>
        </is>
      </c>
      <c r="F934" s="2" t="n">
        <v>44324</v>
      </c>
      <c r="G934" s="1" t="n"/>
    </row>
    <row r="935">
      <c r="A935" s="6" t="n">
        <v>33709</v>
      </c>
      <c r="B935" s="6" t="inlineStr">
        <is>
          <t>EXCLUSIV VODKA</t>
        </is>
      </c>
      <c r="C935" s="7">
        <f>VLOOKUP(A935,SizeData!A$2:B$3839,2,FALSE)</f>
        <v/>
      </c>
      <c r="D935" s="6" t="n">
        <v>1</v>
      </c>
      <c r="E935" s="6" t="inlineStr">
        <is>
          <t xml:space="preserve"> R1114563</t>
        </is>
      </c>
      <c r="F935" s="2" t="n">
        <v>44334</v>
      </c>
      <c r="G935" s="1" t="n"/>
    </row>
    <row r="936">
      <c r="A936" s="6" t="n">
        <v>33709</v>
      </c>
      <c r="B936" s="6" t="inlineStr">
        <is>
          <t>EXCLUSIV VODKA</t>
        </is>
      </c>
      <c r="C936" s="7">
        <f>VLOOKUP(A936,SizeData!A$2:B$3839,2,FALSE)</f>
        <v/>
      </c>
      <c r="D936" s="6" t="n">
        <v>1</v>
      </c>
      <c r="E936" s="6" t="inlineStr">
        <is>
          <t>R1135580</t>
        </is>
      </c>
      <c r="F936" s="2" t="n">
        <v>44340</v>
      </c>
      <c r="G936" s="1" t="n"/>
    </row>
    <row r="937">
      <c r="A937" s="6" t="n">
        <v>33709</v>
      </c>
      <c r="B937" s="6" t="inlineStr">
        <is>
          <t>EXCLUSIV VODKA</t>
        </is>
      </c>
      <c r="C937" s="7">
        <f>VLOOKUP(A937,SizeData!A$2:B$3839,2,FALSE)</f>
        <v/>
      </c>
      <c r="D937" s="6" t="n">
        <v>1</v>
      </c>
      <c r="E937" s="6" t="inlineStr">
        <is>
          <t>R1124382</t>
        </is>
      </c>
      <c r="F937" s="2" t="n">
        <v>44347</v>
      </c>
      <c r="G937" s="1" t="n"/>
    </row>
    <row r="938">
      <c r="A938" s="6" t="n">
        <v>33709</v>
      </c>
      <c r="B938" s="6" t="inlineStr">
        <is>
          <t>EXCLUSIV VODKA</t>
        </is>
      </c>
      <c r="C938" s="7">
        <f>VLOOKUP(A938,SizeData!A$2:B$3839,2,FALSE)</f>
        <v/>
      </c>
      <c r="D938" s="6" t="n">
        <v>1</v>
      </c>
      <c r="E938" s="6" t="inlineStr">
        <is>
          <t>R1147055</t>
        </is>
      </c>
      <c r="F938" s="2" t="n">
        <v>44361</v>
      </c>
      <c r="G938" s="1" t="n"/>
    </row>
    <row r="939">
      <c r="A939" s="6" t="n">
        <v>33709</v>
      </c>
      <c r="B939" s="6" t="inlineStr">
        <is>
          <t>EXCLUSIV VODKA</t>
        </is>
      </c>
      <c r="C939" s="7">
        <f>VLOOKUP(A939,SizeData!A$2:B$3839,2,FALSE)</f>
        <v/>
      </c>
      <c r="D939" s="6" t="n">
        <v>1</v>
      </c>
      <c r="E939" s="6" t="inlineStr">
        <is>
          <t>R1161476</t>
        </is>
      </c>
      <c r="F939" s="2" t="n">
        <v>44372</v>
      </c>
      <c r="G939" s="1" t="n"/>
    </row>
    <row r="940">
      <c r="A940" s="6" t="n">
        <v>33709</v>
      </c>
      <c r="B940" s="6" t="inlineStr">
        <is>
          <t>EXCLUSIV VODKA</t>
        </is>
      </c>
      <c r="C940" s="7">
        <f>VLOOKUP(A940,SizeData!A$2:B$3839,2,FALSE)</f>
        <v/>
      </c>
      <c r="D940" s="6" t="n">
        <v>1</v>
      </c>
      <c r="E940" s="6" t="inlineStr">
        <is>
          <t xml:space="preserve"> R1161087</t>
        </is>
      </c>
      <c r="F940" s="2" t="n">
        <v>44373</v>
      </c>
      <c r="G940" s="1" t="n"/>
    </row>
    <row r="941">
      <c r="A941" s="6" t="n">
        <v>33709</v>
      </c>
      <c r="B941" s="6" t="inlineStr">
        <is>
          <t>EXCLUSIV VODKA</t>
        </is>
      </c>
      <c r="C941" s="7">
        <f>VLOOKUP(A941,SizeData!A$2:B$3839,2,FALSE)</f>
        <v/>
      </c>
      <c r="D941" s="6" t="n">
        <v>2</v>
      </c>
      <c r="E941" s="6" t="inlineStr">
        <is>
          <t xml:space="preserve"> R1175279</t>
        </is>
      </c>
      <c r="F941" s="2" t="n">
        <v>44382</v>
      </c>
      <c r="G941" s="1" t="n"/>
    </row>
    <row r="942">
      <c r="A942" s="6" t="n">
        <v>33709</v>
      </c>
      <c r="B942" s="6" t="inlineStr">
        <is>
          <t>EXCLUSIV VODKA</t>
        </is>
      </c>
      <c r="C942" s="7">
        <f>VLOOKUP(A942,SizeData!A$2:B$3839,2,FALSE)</f>
        <v/>
      </c>
      <c r="D942" s="6" t="n">
        <v>1</v>
      </c>
      <c r="E942" s="6" t="inlineStr">
        <is>
          <t>R1187907</t>
        </is>
      </c>
      <c r="F942" s="2" t="n">
        <v>44401</v>
      </c>
      <c r="G942" s="1" t="n"/>
    </row>
    <row r="943">
      <c r="A943" s="6" t="n">
        <v>33709</v>
      </c>
      <c r="B943" s="6" t="inlineStr">
        <is>
          <t>EXCLUSIV VODKA</t>
        </is>
      </c>
      <c r="C943" s="7">
        <f>VLOOKUP(A943,SizeData!A$2:B$3839,2,FALSE)</f>
        <v/>
      </c>
      <c r="D943" s="6" t="n">
        <v>1</v>
      </c>
      <c r="E943" s="6" t="inlineStr">
        <is>
          <t>R1192063</t>
        </is>
      </c>
      <c r="F943" s="2" t="n">
        <v>44408</v>
      </c>
      <c r="G943" s="1" t="n"/>
    </row>
    <row r="944">
      <c r="A944" s="6" t="n">
        <v>33709</v>
      </c>
      <c r="B944" s="6" t="inlineStr">
        <is>
          <t>EXCLUSIV VODKA</t>
        </is>
      </c>
      <c r="C944" s="7">
        <f>VLOOKUP(A944,SizeData!A$2:B$3839,2,FALSE)</f>
        <v/>
      </c>
      <c r="D944" s="6" t="n">
        <v>1</v>
      </c>
      <c r="E944" s="6" t="inlineStr">
        <is>
          <t>R1206438</t>
        </is>
      </c>
      <c r="F944" s="2" t="n">
        <v>44417</v>
      </c>
      <c r="G944" s="1" t="n"/>
    </row>
    <row r="945">
      <c r="A945" s="6" t="n">
        <v>33709</v>
      </c>
      <c r="B945" s="6" t="inlineStr">
        <is>
          <t>EXCLUSIV VODKA</t>
        </is>
      </c>
      <c r="C945" s="7">
        <f>VLOOKUP(A945,SizeData!A$2:B$3839,2,FALSE)</f>
        <v/>
      </c>
      <c r="D945" s="6" t="n">
        <v>1</v>
      </c>
      <c r="E945" s="6" t="inlineStr">
        <is>
          <t>R1203719</t>
        </is>
      </c>
      <c r="F945" s="2" t="n">
        <v>44419</v>
      </c>
      <c r="G945" s="1" t="n"/>
      <c r="H945" s="10" t="n"/>
      <c r="I945" s="10" t="n"/>
    </row>
    <row r="946">
      <c r="A946" s="6" t="n">
        <v>33709</v>
      </c>
      <c r="B946" s="6" t="inlineStr">
        <is>
          <t>EXCLUSIV VODKA</t>
        </is>
      </c>
      <c r="C946" s="7">
        <f>VLOOKUP(A946,SizeData!A$2:B$3839,2,FALSE)</f>
        <v/>
      </c>
      <c r="D946" s="6" t="n">
        <v>1</v>
      </c>
      <c r="E946" s="6" t="inlineStr">
        <is>
          <t xml:space="preserve"> R1211770</t>
        </is>
      </c>
      <c r="F946" s="2" t="n">
        <v>44427</v>
      </c>
      <c r="G946" s="1" t="n"/>
      <c r="H946" s="10" t="n"/>
      <c r="I946" s="10" t="n"/>
    </row>
    <row r="947">
      <c r="A947" s="6" t="n">
        <v>33709</v>
      </c>
      <c r="B947" s="6" t="inlineStr">
        <is>
          <t>EXCLUSIV VODKA</t>
        </is>
      </c>
      <c r="C947" s="7">
        <f>VLOOKUP(A947,SizeData!A$2:B$3839,2,FALSE)</f>
        <v/>
      </c>
      <c r="D947" s="6" t="n">
        <v>1</v>
      </c>
      <c r="E947" s="6" t="inlineStr">
        <is>
          <t>R1218485</t>
        </is>
      </c>
      <c r="F947" s="2" t="n">
        <v>44436</v>
      </c>
      <c r="G947" s="1" t="n"/>
      <c r="H947" s="10" t="n"/>
      <c r="I947" s="10" t="n"/>
    </row>
    <row r="948">
      <c r="A948" s="6" t="n">
        <v>33709</v>
      </c>
      <c r="B948" s="6" t="inlineStr">
        <is>
          <t>EXCLUSIV VODKA</t>
        </is>
      </c>
      <c r="C948" s="7">
        <f>VLOOKUP(A948,SizeData!A$2:B$3839,2,FALSE)</f>
        <v/>
      </c>
      <c r="D948" s="6" t="n">
        <v>1</v>
      </c>
      <c r="E948" s="6" t="inlineStr">
        <is>
          <t>R1224445</t>
        </is>
      </c>
      <c r="F948" s="2" t="n">
        <v>44440</v>
      </c>
      <c r="G948" s="1" t="n"/>
    </row>
    <row r="949">
      <c r="A949" s="6" t="n">
        <v>33709</v>
      </c>
      <c r="B949" s="6" t="inlineStr">
        <is>
          <t>EXCLUSIV VODKA</t>
        </is>
      </c>
      <c r="C949" s="7">
        <f>VLOOKUP(A949,SizeData!A$2:B$3839,2,FALSE)</f>
        <v/>
      </c>
      <c r="D949" s="6" t="n">
        <v>0</v>
      </c>
      <c r="E949" s="6" t="inlineStr">
        <is>
          <t>R1230991</t>
        </is>
      </c>
      <c r="F949" s="2" t="n">
        <v>44441</v>
      </c>
      <c r="G949" s="1" t="n">
        <v>1</v>
      </c>
      <c r="H949" s="10" t="n"/>
      <c r="I949" s="10" t="n"/>
    </row>
    <row r="950">
      <c r="A950" s="6" t="n">
        <v>33709</v>
      </c>
      <c r="B950" s="6" t="inlineStr">
        <is>
          <t>EXCLUSIV VODKA</t>
        </is>
      </c>
      <c r="C950" s="7">
        <f>VLOOKUP(A950,SizeData!A$2:B$3839,2,FALSE)</f>
        <v/>
      </c>
      <c r="D950" s="6" t="n">
        <v>2</v>
      </c>
      <c r="E950" s="6" t="inlineStr">
        <is>
          <t>R1259313</t>
        </is>
      </c>
      <c r="F950" s="2" t="n">
        <v>44467</v>
      </c>
      <c r="G950" s="1" t="n"/>
      <c r="H950" s="10" t="n"/>
      <c r="I950" s="10" t="n"/>
    </row>
    <row r="951">
      <c r="A951" s="6" t="n">
        <v>33709</v>
      </c>
      <c r="B951" s="6" t="inlineStr">
        <is>
          <t>EXCLUSIV VODKA</t>
        </is>
      </c>
      <c r="C951" s="7">
        <f>VLOOKUP(A951,SizeData!A$2:B$3839,2,FALSE)</f>
        <v/>
      </c>
      <c r="D951" s="6" t="n">
        <v>3</v>
      </c>
      <c r="E951" s="6" t="inlineStr">
        <is>
          <t>R1308357</t>
        </is>
      </c>
      <c r="F951" s="2" t="n">
        <v>44504</v>
      </c>
      <c r="G951" s="1" t="n"/>
      <c r="H951" s="10" t="n"/>
      <c r="I951" s="10" t="n"/>
    </row>
    <row r="952">
      <c r="A952" s="6" t="n">
        <v>33711</v>
      </c>
      <c r="B952" s="6" t="inlineStr">
        <is>
          <t>EXCLUSIV 4 BERRY FLAVORED VODKA</t>
        </is>
      </c>
      <c r="C952" s="7">
        <f>VLOOKUP(A952,SizeData!A$2:B$3839,2,FALSE)</f>
        <v/>
      </c>
      <c r="D952" s="6" t="n">
        <v>1</v>
      </c>
      <c r="E952" s="6" t="inlineStr">
        <is>
          <t>R1072360</t>
        </is>
      </c>
      <c r="F952" s="2" t="n">
        <v>44281</v>
      </c>
      <c r="G952" s="1" t="n"/>
      <c r="H952" s="10" t="n"/>
      <c r="I952" s="10" t="n"/>
    </row>
    <row r="953">
      <c r="A953" s="6" t="n">
        <v>33711</v>
      </c>
      <c r="B953" s="6" t="inlineStr">
        <is>
          <t>EXCLUSIV 4 BERRY FLAVORED VODKA</t>
        </is>
      </c>
      <c r="C953" s="7">
        <f>VLOOKUP(A953,SizeData!A$2:B$3839,2,FALSE)</f>
        <v/>
      </c>
      <c r="D953" s="6" t="n">
        <v>1</v>
      </c>
      <c r="E953" s="6" t="inlineStr">
        <is>
          <t>R1084456</t>
        </is>
      </c>
      <c r="F953" s="2" t="n">
        <v>44301</v>
      </c>
      <c r="G953" s="1" t="n"/>
      <c r="H953" s="8" t="n"/>
      <c r="I953" s="8" t="n"/>
    </row>
    <row r="954">
      <c r="A954" s="6" t="n">
        <v>33711</v>
      </c>
      <c r="B954" s="6" t="inlineStr">
        <is>
          <t>EXCLUSIV 4 BERRY FLAVORED VODKA</t>
        </is>
      </c>
      <c r="C954" s="7">
        <f>VLOOKUP(A954,SizeData!A$2:B$3839,2,FALSE)</f>
        <v/>
      </c>
      <c r="D954" s="6" t="n">
        <v>1</v>
      </c>
      <c r="E954" s="6" t="inlineStr">
        <is>
          <t xml:space="preserve"> R1101656</t>
        </is>
      </c>
      <c r="F954" s="2" t="n">
        <v>44313</v>
      </c>
      <c r="G954" s="1" t="n"/>
      <c r="H954" s="10" t="n"/>
      <c r="I954" s="10" t="n"/>
    </row>
    <row r="955">
      <c r="A955" s="6" t="n">
        <v>33711</v>
      </c>
      <c r="B955" s="6" t="inlineStr">
        <is>
          <t>EXCLUSIV 4 BERRY FLAVORED VODKA</t>
        </is>
      </c>
      <c r="C955" s="7">
        <f>VLOOKUP(A955,SizeData!A$2:B$3839,2,FALSE)</f>
        <v/>
      </c>
      <c r="D955" s="6" t="n">
        <v>1</v>
      </c>
      <c r="E955" s="6" t="inlineStr">
        <is>
          <t>R1109381</t>
        </is>
      </c>
      <c r="F955" s="2" t="n">
        <v>44331</v>
      </c>
      <c r="G955" s="1" t="n"/>
      <c r="H955" s="10" t="n"/>
      <c r="I955" s="10" t="n"/>
    </row>
    <row r="956">
      <c r="A956" s="6" t="n">
        <v>33711</v>
      </c>
      <c r="B956" s="6" t="inlineStr">
        <is>
          <t>EXCLUSIV 4 BERRY FLAVORED VODKA</t>
        </is>
      </c>
      <c r="C956" s="7">
        <f>VLOOKUP(A956,SizeData!A$2:B$3839,2,FALSE)</f>
        <v/>
      </c>
      <c r="D956" s="6" t="n">
        <v>1</v>
      </c>
      <c r="E956" s="6" t="inlineStr">
        <is>
          <t>R1137831</t>
        </is>
      </c>
      <c r="F956" s="2" t="n">
        <v>44348</v>
      </c>
      <c r="G956" s="1" t="n"/>
      <c r="H956" s="10" t="n"/>
      <c r="I956" s="10" t="n"/>
    </row>
    <row r="957">
      <c r="A957" s="6" t="n">
        <v>33711</v>
      </c>
      <c r="B957" s="6" t="inlineStr">
        <is>
          <t>EXCLUSIV 4 BERRY FLAVORED VODKA</t>
        </is>
      </c>
      <c r="C957" s="7">
        <f>VLOOKUP(A957,SizeData!A$2:B$3839,2,FALSE)</f>
        <v/>
      </c>
      <c r="D957" s="6" t="n">
        <v>1</v>
      </c>
      <c r="E957" s="6" t="inlineStr">
        <is>
          <t>R1155060</t>
        </is>
      </c>
      <c r="F957" s="2" t="n">
        <v>44357</v>
      </c>
      <c r="G957" s="1" t="n"/>
      <c r="I957" t="inlineStr">
        <is>
          <t> </t>
        </is>
      </c>
    </row>
    <row r="958">
      <c r="A958" s="6" t="n">
        <v>33711</v>
      </c>
      <c r="B958" s="6" t="inlineStr">
        <is>
          <t>EXCLUSIV 4 BERRY FLAVORED VODKA</t>
        </is>
      </c>
      <c r="C958" s="7">
        <f>VLOOKUP(A958,SizeData!A$2:B$3839,2,FALSE)</f>
        <v/>
      </c>
      <c r="D958" s="6" t="n">
        <v>1</v>
      </c>
      <c r="E958" s="6" t="inlineStr">
        <is>
          <t xml:space="preserve"> R1161087</t>
        </is>
      </c>
      <c r="F958" s="2" t="n">
        <v>44373</v>
      </c>
      <c r="G958" s="1" t="n"/>
    </row>
    <row r="959">
      <c r="A959" s="6" t="n">
        <v>33711</v>
      </c>
      <c r="B959" s="6" t="inlineStr">
        <is>
          <t>EXCLUSIV 4 BERRY FLAVORED VODKA</t>
        </is>
      </c>
      <c r="C959" s="7">
        <f>VLOOKUP(A959,SizeData!A$2:B$3839,2,FALSE)</f>
        <v/>
      </c>
      <c r="D959" s="6" t="n">
        <v>1</v>
      </c>
      <c r="E959" s="6" t="inlineStr">
        <is>
          <t xml:space="preserve"> R1163539</t>
        </is>
      </c>
      <c r="F959" s="2" t="n">
        <v>44378</v>
      </c>
      <c r="G959" s="1" t="n"/>
    </row>
    <row r="960">
      <c r="A960" s="6" t="n">
        <v>33711</v>
      </c>
      <c r="B960" s="6" t="inlineStr">
        <is>
          <t>EXCLUSIV 4 BERRY FLAVORED VODKA</t>
        </is>
      </c>
      <c r="C960" s="7">
        <f>VLOOKUP(A960,SizeData!A$2:B$3839,2,FALSE)</f>
        <v/>
      </c>
      <c r="D960" s="6" t="n">
        <v>2</v>
      </c>
      <c r="E960" s="6" t="inlineStr">
        <is>
          <t>R1169144</t>
        </is>
      </c>
      <c r="F960" s="2" t="n">
        <v>44387</v>
      </c>
      <c r="G960" s="1" t="n"/>
    </row>
    <row r="961">
      <c r="A961" s="6" t="n">
        <v>33711</v>
      </c>
      <c r="B961" s="6" t="inlineStr">
        <is>
          <t>EXCLUSIV 4 BERRY FLAVORED VODKA</t>
        </is>
      </c>
      <c r="C961" s="7">
        <f>VLOOKUP(A961,SizeData!A$2:B$3839,2,FALSE)</f>
        <v/>
      </c>
      <c r="D961" s="6" t="n">
        <v>1</v>
      </c>
      <c r="E961" s="6" t="inlineStr">
        <is>
          <t>R1197185</t>
        </is>
      </c>
      <c r="F961" s="2" t="n">
        <v>44412</v>
      </c>
      <c r="G961" s="1" t="n"/>
    </row>
    <row r="962">
      <c r="A962" s="6" t="n">
        <v>33711</v>
      </c>
      <c r="B962" s="6" t="inlineStr">
        <is>
          <t>EXCLUSIV 4 BERRY FLAVORED VODKA</t>
        </is>
      </c>
      <c r="C962" s="7">
        <f>VLOOKUP(A962,SizeData!A$2:B$3839,2,FALSE)</f>
        <v/>
      </c>
      <c r="D962" s="6" t="n">
        <v>4</v>
      </c>
      <c r="E962" s="6" t="inlineStr">
        <is>
          <t>R1218485</t>
        </is>
      </c>
      <c r="F962" s="2" t="n">
        <v>44436</v>
      </c>
      <c r="G962" s="1" t="n"/>
    </row>
    <row r="963">
      <c r="A963" s="6" t="n">
        <v>33712</v>
      </c>
      <c r="B963" s="6" t="inlineStr">
        <is>
          <t>EXCLUSIV 4 BERRY FLAVORED VODKA</t>
        </is>
      </c>
      <c r="C963" s="7">
        <f>VLOOKUP(A963,SizeData!A$2:B$3839,2,FALSE)</f>
        <v/>
      </c>
      <c r="D963" s="6" t="n">
        <v>1</v>
      </c>
      <c r="E963" s="6" t="inlineStr">
        <is>
          <t>R992402</t>
        </is>
      </c>
      <c r="F963" s="2" t="n">
        <v>44198</v>
      </c>
      <c r="G963" s="1" t="n"/>
    </row>
    <row r="964">
      <c r="A964" s="6" t="n">
        <v>33712</v>
      </c>
      <c r="B964" s="6" t="inlineStr">
        <is>
          <t>EXCLUSIV 4 BERRY FLAVORED VODKA</t>
        </is>
      </c>
      <c r="C964" s="7">
        <f>VLOOKUP(A964,SizeData!A$2:B$3839,2,FALSE)</f>
        <v/>
      </c>
      <c r="D964" s="6" t="n">
        <v>2</v>
      </c>
      <c r="E964" s="6" t="inlineStr">
        <is>
          <t>R1224445</t>
        </is>
      </c>
      <c r="F964" s="2" t="n">
        <v>44440</v>
      </c>
      <c r="G964" s="1" t="n"/>
    </row>
    <row r="965">
      <c r="A965" s="6" t="n">
        <v>33712</v>
      </c>
      <c r="B965" s="6" t="inlineStr">
        <is>
          <t>EXCLUSIV 4 BERRY FLAVORED VODKA</t>
        </is>
      </c>
      <c r="C965" s="7">
        <f>VLOOKUP(A965,SizeData!A$2:B$3839,2,FALSE)</f>
        <v/>
      </c>
      <c r="D965" s="6" t="n">
        <v>2</v>
      </c>
      <c r="E965" s="6" t="inlineStr">
        <is>
          <t>R1261664</t>
        </is>
      </c>
      <c r="F965" s="2" t="n">
        <v>44467</v>
      </c>
      <c r="G965" s="1" t="n"/>
    </row>
    <row r="966">
      <c r="A966" s="6" t="n">
        <v>33712</v>
      </c>
      <c r="B966" s="6" t="inlineStr">
        <is>
          <t>EXCLUSIV 4 BERRY FLAVORED VODKA</t>
        </is>
      </c>
      <c r="C966" s="7">
        <f>VLOOKUP(A966,SizeData!A$2:B$3839,2,FALSE)</f>
        <v/>
      </c>
      <c r="D966" s="6" t="n">
        <v>5</v>
      </c>
      <c r="E966" s="6" t="inlineStr">
        <is>
          <t>R1308357</t>
        </is>
      </c>
      <c r="F966" s="2" t="n">
        <v>44504</v>
      </c>
      <c r="G966" s="1" t="n"/>
    </row>
    <row r="967">
      <c r="A967" s="6" t="n">
        <v>33724</v>
      </c>
      <c r="B967" s="6" t="inlineStr">
        <is>
          <t>EXCLUSIV 7 PEACH FLAVORD VODKA</t>
        </is>
      </c>
      <c r="C967" s="7">
        <f>VLOOKUP(A967,SizeData!A$2:B$3839,2,FALSE)</f>
        <v/>
      </c>
      <c r="D967" s="6" t="n">
        <v>1</v>
      </c>
      <c r="E967" s="6" t="inlineStr">
        <is>
          <t>R1224445</t>
        </is>
      </c>
      <c r="F967" s="2" t="n">
        <v>44440</v>
      </c>
      <c r="G967" s="1" t="n"/>
    </row>
    <row r="968">
      <c r="A968" s="6" t="n">
        <v>33724</v>
      </c>
      <c r="B968" s="6" t="inlineStr">
        <is>
          <t>EXCLUSIV 7 PEACH FLAVORD VODKA</t>
        </is>
      </c>
      <c r="C968" s="7">
        <f>VLOOKUP(A968,SizeData!A$2:B$3839,2,FALSE)</f>
        <v/>
      </c>
      <c r="D968" s="6" t="n">
        <v>1</v>
      </c>
      <c r="E968" s="6" t="inlineStr">
        <is>
          <t>R1308357</t>
        </is>
      </c>
      <c r="F968" s="2" t="n">
        <v>44504</v>
      </c>
      <c r="G968" s="1" t="n"/>
    </row>
    <row r="969">
      <c r="A969" s="6" t="n">
        <v>33725</v>
      </c>
      <c r="B969" s="6" t="inlineStr">
        <is>
          <t>EXCLUSIV PEACH VODKA</t>
        </is>
      </c>
      <c r="C969" s="7">
        <f>VLOOKUP(A969,SizeData!A$2:B$3839,2,FALSE)</f>
        <v/>
      </c>
      <c r="D969" s="6" t="n">
        <v>2</v>
      </c>
      <c r="E969" s="6" t="inlineStr">
        <is>
          <t>R1000879</t>
        </is>
      </c>
      <c r="F969" s="2" t="n">
        <v>44211</v>
      </c>
      <c r="G969" s="1" t="n"/>
    </row>
    <row r="970">
      <c r="A970" s="6" t="n">
        <v>34001</v>
      </c>
      <c r="B970" s="6" t="inlineStr">
        <is>
          <t>ABSOLUT 80 VODKA</t>
        </is>
      </c>
      <c r="C970" s="7">
        <f>VLOOKUP(A970,SizeData!A$2:B$3839,2,FALSE)</f>
        <v/>
      </c>
      <c r="D970" s="6" t="n">
        <v>1</v>
      </c>
      <c r="E970" s="6" t="inlineStr">
        <is>
          <t>R1160852</t>
        </is>
      </c>
      <c r="F970" s="2" t="n">
        <v>44366</v>
      </c>
      <c r="G970" s="1" t="n"/>
    </row>
    <row r="971">
      <c r="A971" s="6" t="n">
        <v>34003</v>
      </c>
      <c r="B971" s="6" t="inlineStr">
        <is>
          <t>ABSOLUT 80 VODKA</t>
        </is>
      </c>
      <c r="C971" s="7">
        <f>VLOOKUP(A971,SizeData!A$2:B$3839,2,FALSE)</f>
        <v/>
      </c>
      <c r="D971" s="6" t="n">
        <v>1</v>
      </c>
      <c r="E971" s="6" t="inlineStr">
        <is>
          <t>R1003923</t>
        </is>
      </c>
      <c r="F971" s="2" t="n">
        <v>44219</v>
      </c>
      <c r="G971" s="1" t="n"/>
    </row>
    <row r="972">
      <c r="A972" s="6" t="n">
        <v>34003</v>
      </c>
      <c r="B972" s="6" t="inlineStr">
        <is>
          <t>ABSOLUT 80 VODKA</t>
        </is>
      </c>
      <c r="C972" s="7">
        <f>VLOOKUP(A972,SizeData!A$2:B$3839,2,FALSE)</f>
        <v/>
      </c>
      <c r="D972" s="6" t="n">
        <v>1</v>
      </c>
      <c r="E972" s="6" t="inlineStr">
        <is>
          <t>R1070393</t>
        </is>
      </c>
      <c r="F972" s="2" t="n">
        <v>44280</v>
      </c>
      <c r="G972" s="1" t="n"/>
    </row>
    <row r="973">
      <c r="A973" s="6" t="n">
        <v>34003</v>
      </c>
      <c r="B973" s="6" t="inlineStr">
        <is>
          <t>ABSOLUT 80 VODKA</t>
        </is>
      </c>
      <c r="C973" s="7">
        <f>VLOOKUP(A973,SizeData!A$2:B$3839,2,FALSE)</f>
        <v/>
      </c>
      <c r="D973" s="6" t="n">
        <v>1</v>
      </c>
      <c r="E973" s="6" t="inlineStr">
        <is>
          <t>R1111205</t>
        </is>
      </c>
      <c r="F973" s="2" t="n">
        <v>44313</v>
      </c>
      <c r="G973" s="1" t="n"/>
    </row>
    <row r="974">
      <c r="A974" s="6" t="n">
        <v>34003</v>
      </c>
      <c r="B974" s="6" t="inlineStr">
        <is>
          <t>ABSOLUT 80 VODKA</t>
        </is>
      </c>
      <c r="C974" s="7">
        <f>VLOOKUP(A974,SizeData!A$2:B$3839,2,FALSE)</f>
        <v/>
      </c>
      <c r="D974" s="6" t="n">
        <v>1</v>
      </c>
      <c r="E974" s="6" t="inlineStr">
        <is>
          <t>R1160852</t>
        </is>
      </c>
      <c r="F974" s="2" t="n">
        <v>44366</v>
      </c>
      <c r="G974" s="1" t="n"/>
    </row>
    <row r="975">
      <c r="A975" s="6" t="n">
        <v>34003</v>
      </c>
      <c r="B975" s="6" t="inlineStr">
        <is>
          <t>ABSOLUT 80 VODKA</t>
        </is>
      </c>
      <c r="C975" s="7">
        <f>VLOOKUP(A975,SizeData!A$2:B$3839,2,FALSE)</f>
        <v/>
      </c>
      <c r="D975" s="6" t="n">
        <v>1</v>
      </c>
      <c r="E975" s="6" t="inlineStr">
        <is>
          <t>R1187907</t>
        </is>
      </c>
      <c r="F975" s="2" t="n">
        <v>44401</v>
      </c>
      <c r="G975" s="1" t="n"/>
    </row>
    <row r="976">
      <c r="A976" s="6" t="n">
        <v>34003</v>
      </c>
      <c r="B976" s="6" t="inlineStr">
        <is>
          <t>ABSOLUT 80 VODKA</t>
        </is>
      </c>
      <c r="C976" s="7">
        <f>VLOOKUP(A976,SizeData!A$2:B$3839,2,FALSE)</f>
        <v/>
      </c>
      <c r="D976" s="6" t="n">
        <v>1</v>
      </c>
      <c r="E976" s="6" t="inlineStr">
        <is>
          <t>R1228454</t>
        </is>
      </c>
      <c r="F976" s="2" t="n">
        <v>44445</v>
      </c>
      <c r="G976" s="1" t="n"/>
    </row>
    <row r="977">
      <c r="A977" s="6" t="n">
        <v>34003</v>
      </c>
      <c r="B977" s="6" t="inlineStr">
        <is>
          <t>ABSOLUT 80 VODKA</t>
        </is>
      </c>
      <c r="C977" s="7">
        <f>VLOOKUP(A977,SizeData!A$2:B$3839,2,FALSE)</f>
        <v/>
      </c>
      <c r="D977" s="6" t="n">
        <v>0</v>
      </c>
      <c r="E977" s="6" t="inlineStr">
        <is>
          <t>R1320744</t>
        </is>
      </c>
      <c r="F977" s="2" t="n">
        <v>44509</v>
      </c>
      <c r="G977" s="1" t="n"/>
    </row>
    <row r="978">
      <c r="A978" s="6" t="n">
        <v>34004</v>
      </c>
      <c r="B978" s="6" t="inlineStr">
        <is>
          <t>ABSOLUT 80 VODKA</t>
        </is>
      </c>
      <c r="C978" s="7">
        <f>VLOOKUP(A978,SizeData!A$2:B$3839,2,FALSE)</f>
        <v/>
      </c>
      <c r="D978" s="6" t="n">
        <v>10</v>
      </c>
      <c r="E978" s="6" t="inlineStr">
        <is>
          <t>R984731</t>
        </is>
      </c>
      <c r="F978" s="2" t="n">
        <v>44197</v>
      </c>
      <c r="G978" s="1" t="n"/>
    </row>
    <row r="979">
      <c r="A979" s="6" t="n">
        <v>34004</v>
      </c>
      <c r="B979" s="6" t="inlineStr">
        <is>
          <t>ABSOLUT 80 VODKA</t>
        </is>
      </c>
      <c r="C979" s="7">
        <f>VLOOKUP(A979,SizeData!A$2:B$3839,2,FALSE)</f>
        <v/>
      </c>
      <c r="D979" s="6" t="n">
        <v>50</v>
      </c>
      <c r="E979" s="6" t="inlineStr">
        <is>
          <t>R979578</t>
        </is>
      </c>
      <c r="F979" s="2" t="n">
        <v>44202</v>
      </c>
      <c r="G979" s="1" t="n"/>
    </row>
    <row r="980">
      <c r="A980" s="6" t="n">
        <v>34004</v>
      </c>
      <c r="B980" s="6" t="inlineStr">
        <is>
          <t>ABSOLUT 80 VODKA</t>
        </is>
      </c>
      <c r="C980" s="7">
        <f>VLOOKUP(A980,SizeData!A$2:B$3839,2,FALSE)</f>
        <v/>
      </c>
      <c r="D980" s="6" t="n">
        <v>25</v>
      </c>
      <c r="E980" s="6" t="inlineStr">
        <is>
          <t>R984151</t>
        </is>
      </c>
      <c r="F980" s="2" t="n">
        <v>44202</v>
      </c>
      <c r="G980" s="1" t="n"/>
    </row>
    <row r="981">
      <c r="A981" s="6" t="n">
        <v>34004</v>
      </c>
      <c r="B981" s="6" t="inlineStr">
        <is>
          <t>ABSOLUT 80 VODKA</t>
        </is>
      </c>
      <c r="C981" s="7">
        <f>VLOOKUP(A981,SizeData!A$2:B$3839,2,FALSE)</f>
        <v/>
      </c>
      <c r="D981" s="6" t="n">
        <v>25</v>
      </c>
      <c r="E981" s="6" t="inlineStr">
        <is>
          <t>R1000378</t>
        </is>
      </c>
      <c r="F981" s="2" t="n">
        <v>44203</v>
      </c>
      <c r="G981" s="1" t="n"/>
    </row>
    <row r="982">
      <c r="A982" s="6" t="n">
        <v>34006</v>
      </c>
      <c r="B982" s="6" t="inlineStr">
        <is>
          <t>ABSOLUT 80 VODKA</t>
        </is>
      </c>
      <c r="C982" s="7">
        <f>VLOOKUP(A982,SizeData!A$2:B$3839,2,FALSE)</f>
        <v/>
      </c>
      <c r="D982" s="6" t="n">
        <v>1</v>
      </c>
      <c r="E982" s="6" t="inlineStr">
        <is>
          <t>R1047061</t>
        </is>
      </c>
      <c r="F982" s="2" t="n">
        <v>44259</v>
      </c>
      <c r="G982" s="1" t="n"/>
    </row>
    <row r="983">
      <c r="A983" s="6" t="n">
        <v>34006</v>
      </c>
      <c r="B983" s="6" t="inlineStr">
        <is>
          <t>ABSOLUT 80 VODKA</t>
        </is>
      </c>
      <c r="C983" s="7">
        <f>VLOOKUP(A983,SizeData!A$2:B$3839,2,FALSE)</f>
        <v/>
      </c>
      <c r="D983" s="6" t="n">
        <v>3</v>
      </c>
      <c r="E983" s="6" t="inlineStr">
        <is>
          <t>R1165810</t>
        </is>
      </c>
      <c r="F983" s="2" t="n">
        <v>44361</v>
      </c>
      <c r="G983" s="1" t="n"/>
    </row>
    <row r="984">
      <c r="A984" s="6" t="n">
        <v>34006</v>
      </c>
      <c r="B984" s="6" t="inlineStr">
        <is>
          <t>ABSOLUT 80 VODKA</t>
        </is>
      </c>
      <c r="C984" s="7">
        <f>VLOOKUP(A984,SizeData!A$2:B$3839,2,FALSE)</f>
        <v/>
      </c>
      <c r="D984" s="6" t="n">
        <v>1</v>
      </c>
      <c r="E984" s="6" t="inlineStr">
        <is>
          <t>R1152585</t>
        </is>
      </c>
      <c r="F984" s="2" t="n">
        <v>44372</v>
      </c>
      <c r="G984" s="1" t="n"/>
    </row>
    <row r="985">
      <c r="A985" s="6" t="n">
        <v>34006</v>
      </c>
      <c r="B985" s="6" t="inlineStr">
        <is>
          <t>ABSOLUT 80 VODKA</t>
        </is>
      </c>
      <c r="C985" s="7">
        <f>VLOOKUP(A985,SizeData!A$2:B$3839,2,FALSE)</f>
        <v/>
      </c>
      <c r="D985" s="6" t="n">
        <v>1</v>
      </c>
      <c r="E985" s="6" t="inlineStr">
        <is>
          <t>R1154725</t>
        </is>
      </c>
      <c r="F985" s="2" t="n">
        <v>44376</v>
      </c>
      <c r="G985" s="1" t="n"/>
    </row>
    <row r="986">
      <c r="A986" s="6" t="n">
        <v>34006</v>
      </c>
      <c r="B986" s="6" t="inlineStr">
        <is>
          <t>ABSOLUT 80 VODKA</t>
        </is>
      </c>
      <c r="C986" s="7">
        <f>VLOOKUP(A986,SizeData!A$2:B$3839,2,FALSE)</f>
        <v/>
      </c>
      <c r="D986" s="6" t="n">
        <v>2</v>
      </c>
      <c r="E986" s="6" t="inlineStr">
        <is>
          <t>R1310122</t>
        </is>
      </c>
      <c r="F986" s="2" t="n">
        <v>44488</v>
      </c>
      <c r="G986" s="1" t="n"/>
    </row>
    <row r="987">
      <c r="A987" s="6" t="n">
        <v>34007</v>
      </c>
      <c r="B987" s="6" t="inlineStr">
        <is>
          <t>ABSOLUT 80 VODKA</t>
        </is>
      </c>
      <c r="C987" s="7">
        <f>VLOOKUP(A987,SizeData!A$2:B$3839,2,FALSE)</f>
        <v/>
      </c>
      <c r="D987" s="6" t="n">
        <v>1</v>
      </c>
      <c r="E987" s="6" t="inlineStr">
        <is>
          <t>R1048765</t>
        </is>
      </c>
      <c r="F987" s="2" t="n">
        <v>44265</v>
      </c>
      <c r="G987" s="1" t="n"/>
    </row>
    <row r="988">
      <c r="A988" s="6" t="n">
        <v>34007</v>
      </c>
      <c r="B988" s="6" t="inlineStr">
        <is>
          <t>ABSOLUT 80 VODKA</t>
        </is>
      </c>
      <c r="C988" s="7">
        <f>VLOOKUP(A988,SizeData!A$2:B$3839,2,FALSE)</f>
        <v/>
      </c>
      <c r="D988" s="6" t="n">
        <v>1</v>
      </c>
      <c r="E988" s="6" t="inlineStr">
        <is>
          <t xml:space="preserve"> R1135574</t>
        </is>
      </c>
      <c r="F988" s="2" t="n">
        <v>44338</v>
      </c>
      <c r="G988" s="1" t="n"/>
    </row>
    <row r="989">
      <c r="A989" s="6" t="n">
        <v>34007</v>
      </c>
      <c r="B989" s="6" t="inlineStr">
        <is>
          <t>ABSOLUT 80 VODKA</t>
        </is>
      </c>
      <c r="C989" s="7">
        <f>VLOOKUP(A989,SizeData!A$2:B$3839,2,FALSE)</f>
        <v/>
      </c>
      <c r="D989" s="6" t="n">
        <v>1</v>
      </c>
      <c r="E989" s="6" t="inlineStr">
        <is>
          <t>R1173671</t>
        </is>
      </c>
      <c r="F989" s="2" t="n">
        <v>44394</v>
      </c>
      <c r="G989" s="1" t="n"/>
    </row>
    <row r="990">
      <c r="A990" s="6" t="n">
        <v>34007</v>
      </c>
      <c r="B990" s="6" t="inlineStr">
        <is>
          <t>ABSOLUT 80 VODKA</t>
        </is>
      </c>
      <c r="C990" s="7">
        <f>VLOOKUP(A990,SizeData!A$2:B$3839,2,FALSE)</f>
        <v/>
      </c>
      <c r="D990" s="6" t="n">
        <v>1</v>
      </c>
      <c r="E990" s="6" t="inlineStr">
        <is>
          <t>R1216789</t>
        </is>
      </c>
      <c r="F990" s="2" t="n">
        <v>44432</v>
      </c>
      <c r="G990" s="1" t="n"/>
    </row>
    <row r="991">
      <c r="A991" s="6" t="n">
        <v>34007</v>
      </c>
      <c r="B991" s="6" t="inlineStr">
        <is>
          <t>ABSOLUT 80 VODKA</t>
        </is>
      </c>
      <c r="C991" s="7">
        <f>VLOOKUP(A991,SizeData!A$2:B$3839,2,FALSE)</f>
        <v/>
      </c>
      <c r="D991" s="6" t="n">
        <v>10</v>
      </c>
      <c r="E991" s="6" t="inlineStr">
        <is>
          <t>R1286262</t>
        </is>
      </c>
      <c r="F991" s="2" t="n">
        <v>44481</v>
      </c>
      <c r="G991" s="1" t="n"/>
    </row>
    <row r="992">
      <c r="A992" s="6" t="n">
        <v>34008</v>
      </c>
      <c r="B992" s="6" t="inlineStr">
        <is>
          <t>ABSOLUT 80 VODKA</t>
        </is>
      </c>
      <c r="C992" s="7">
        <f>VLOOKUP(A992,SizeData!A$2:B$3839,2,FALSE)</f>
        <v/>
      </c>
      <c r="D992" s="6" t="n">
        <v>2</v>
      </c>
      <c r="E992" s="6" t="inlineStr">
        <is>
          <t>R1031264</t>
        </is>
      </c>
      <c r="F992" s="2" t="n">
        <v>44246</v>
      </c>
      <c r="G992" s="1" t="n"/>
    </row>
    <row r="993">
      <c r="A993" s="6" t="n">
        <v>34008</v>
      </c>
      <c r="B993" s="6" t="inlineStr">
        <is>
          <t>ABSOLUT 80 VODKA</t>
        </is>
      </c>
      <c r="C993" s="7">
        <f>VLOOKUP(A993,SizeData!A$2:B$3839,2,FALSE)</f>
        <v/>
      </c>
      <c r="D993" s="6" t="n">
        <v>2</v>
      </c>
      <c r="E993" s="6" t="inlineStr">
        <is>
          <t>R1111272</t>
        </is>
      </c>
      <c r="F993" s="2" t="n">
        <v>44327</v>
      </c>
      <c r="G993" s="1" t="n"/>
    </row>
    <row r="994">
      <c r="A994" s="6" t="n">
        <v>34008</v>
      </c>
      <c r="B994" s="6" t="inlineStr">
        <is>
          <t>ABSOLUT 80 VODKA</t>
        </is>
      </c>
      <c r="C994" s="7">
        <f>VLOOKUP(A994,SizeData!A$2:B$3839,2,FALSE)</f>
        <v/>
      </c>
      <c r="D994" s="6" t="n">
        <v>1</v>
      </c>
      <c r="E994" s="6" t="inlineStr">
        <is>
          <t>R1109381</t>
        </is>
      </c>
      <c r="F994" s="2" t="n">
        <v>44331</v>
      </c>
      <c r="G994" s="1" t="n"/>
    </row>
    <row r="995">
      <c r="A995" s="6" t="n">
        <v>34008</v>
      </c>
      <c r="B995" s="6" t="inlineStr">
        <is>
          <t>ABSOLUT 80 VODKA</t>
        </is>
      </c>
      <c r="C995" s="7">
        <f>VLOOKUP(A995,SizeData!A$2:B$3839,2,FALSE)</f>
        <v/>
      </c>
      <c r="D995" s="6" t="n">
        <v>6</v>
      </c>
      <c r="E995" s="6" t="inlineStr">
        <is>
          <t>R1197185</t>
        </is>
      </c>
      <c r="F995" s="2" t="n">
        <v>44412</v>
      </c>
      <c r="G995" s="1" t="n"/>
    </row>
    <row r="996">
      <c r="A996" s="6" t="n">
        <v>34008</v>
      </c>
      <c r="B996" s="6" t="inlineStr">
        <is>
          <t>ABSOLUT 80 VODKA</t>
        </is>
      </c>
      <c r="C996" s="7">
        <f>VLOOKUP(A996,SizeData!A$2:B$3839,2,FALSE)</f>
        <v/>
      </c>
      <c r="D996" s="6" t="n">
        <v>2</v>
      </c>
      <c r="E996" s="6" t="inlineStr">
        <is>
          <t xml:space="preserve"> R1204784</t>
        </is>
      </c>
      <c r="F996" s="2" t="n">
        <v>44421</v>
      </c>
      <c r="G996" s="1" t="n"/>
    </row>
    <row r="997">
      <c r="A997" s="6" t="n">
        <v>34008</v>
      </c>
      <c r="B997" s="6" t="inlineStr">
        <is>
          <t>ABSOLUT 80 VODKA</t>
        </is>
      </c>
      <c r="C997" s="7">
        <f>VLOOKUP(A997,SizeData!A$2:B$3839,2,FALSE)</f>
        <v/>
      </c>
      <c r="D997" s="6" t="n">
        <v>12</v>
      </c>
      <c r="E997" s="6" t="inlineStr">
        <is>
          <t>R1318469</t>
        </is>
      </c>
      <c r="F997" s="2" t="n">
        <v>44516</v>
      </c>
      <c r="G997" s="1" t="n"/>
    </row>
    <row r="998">
      <c r="A998" s="6" t="n">
        <v>34154</v>
      </c>
      <c r="B998" s="6" t="inlineStr">
        <is>
          <t>BELVEDERE VODKA</t>
        </is>
      </c>
      <c r="C998" s="7">
        <f>VLOOKUP(A998,SizeData!A$2:B$3839,2,FALSE)</f>
        <v/>
      </c>
      <c r="D998" s="6" t="n">
        <v>2</v>
      </c>
      <c r="E998" s="6" t="inlineStr">
        <is>
          <t>R1235270</t>
        </is>
      </c>
      <c r="F998" s="2" t="n">
        <v>44440</v>
      </c>
      <c r="G998" s="1" t="n"/>
    </row>
    <row r="999">
      <c r="A999" s="6" t="n">
        <v>34155</v>
      </c>
      <c r="B999" s="6" t="inlineStr">
        <is>
          <t>BELVEDERE VODKA</t>
        </is>
      </c>
      <c r="C999" s="7">
        <f>VLOOKUP(A999,SizeData!A$2:B$3839,2,FALSE)</f>
        <v/>
      </c>
      <c r="D999" s="6" t="n">
        <v>9</v>
      </c>
      <c r="E999" s="6" t="inlineStr">
        <is>
          <t>R1294049</t>
        </is>
      </c>
      <c r="F999" s="2" t="n">
        <v>44501</v>
      </c>
      <c r="G999" s="1" t="n"/>
    </row>
    <row r="1000">
      <c r="A1000" s="6" t="n">
        <v>34155</v>
      </c>
      <c r="B1000" s="6" t="inlineStr">
        <is>
          <t>BELVEDERE VODKA</t>
        </is>
      </c>
      <c r="C1000" s="7">
        <f>VLOOKUP(A1000,SizeData!A$2:B$3839,2,FALSE)</f>
        <v/>
      </c>
      <c r="D1000" s="6" t="n">
        <v>2</v>
      </c>
      <c r="E1000" s="6" t="inlineStr">
        <is>
          <t>R1337036</t>
        </is>
      </c>
      <c r="F1000" s="2" t="n">
        <v>44523</v>
      </c>
      <c r="G1000" s="1" t="n"/>
    </row>
    <row r="1001">
      <c r="A1001" s="6" t="n">
        <v>34158</v>
      </c>
      <c r="B1001" s="6" t="inlineStr">
        <is>
          <t>BELVEDERE VODKA</t>
        </is>
      </c>
      <c r="C1001" s="7">
        <f>VLOOKUP(A1001,SizeData!A$2:B$3839,2,FALSE)</f>
        <v/>
      </c>
      <c r="D1001" s="6" t="n">
        <v>7</v>
      </c>
      <c r="E1001" s="6" t="inlineStr">
        <is>
          <t>R1221219</t>
        </is>
      </c>
      <c r="F1001" s="2" t="n">
        <v>44432</v>
      </c>
      <c r="G1001" s="1" t="n"/>
    </row>
    <row r="1002">
      <c r="A1002" s="6" t="n">
        <v>34158</v>
      </c>
      <c r="B1002" s="6" t="inlineStr">
        <is>
          <t>BELVEDERE VODKA</t>
        </is>
      </c>
      <c r="C1002" s="7">
        <f>VLOOKUP(A1002,SizeData!A$2:B$3839,2,FALSE)</f>
        <v/>
      </c>
      <c r="D1002" s="6" t="n">
        <v>7</v>
      </c>
      <c r="E1002" s="6" t="inlineStr">
        <is>
          <t>R1334282</t>
        </is>
      </c>
      <c r="F1002" s="2" t="n">
        <v>44531</v>
      </c>
      <c r="G1002" s="1" t="n"/>
    </row>
    <row r="1003">
      <c r="A1003" s="6" t="n">
        <v>34162</v>
      </c>
      <c r="B1003" s="6" t="inlineStr">
        <is>
          <t>BELVEDERE VODKA</t>
        </is>
      </c>
      <c r="C1003" s="7">
        <f>VLOOKUP(A1003,SizeData!A$2:B$3839,2,FALSE)</f>
        <v/>
      </c>
      <c r="D1003" s="6" t="n">
        <v>2</v>
      </c>
      <c r="E1003" s="6" t="inlineStr">
        <is>
          <t>R1001511</t>
        </is>
      </c>
      <c r="F1003" s="2" t="n">
        <v>44208</v>
      </c>
      <c r="G1003" s="1" t="n"/>
    </row>
    <row r="1004">
      <c r="A1004" s="6" t="n">
        <v>34163</v>
      </c>
      <c r="B1004" s="6" t="inlineStr">
        <is>
          <t>BELVEDERE VODKA</t>
        </is>
      </c>
      <c r="C1004" s="7">
        <f>VLOOKUP(A1004,SizeData!A$2:B$3839,2,FALSE)</f>
        <v/>
      </c>
      <c r="D1004" s="6" t="n">
        <v>10</v>
      </c>
      <c r="E1004" s="6" t="inlineStr">
        <is>
          <t>R1011478</t>
        </is>
      </c>
      <c r="F1004" s="2" t="n">
        <v>44226</v>
      </c>
      <c r="G1004" s="1" t="n"/>
    </row>
    <row r="1005">
      <c r="A1005" s="6" t="n">
        <v>34163</v>
      </c>
      <c r="B1005" s="6" t="inlineStr">
        <is>
          <t>BELVEDERE VODKA</t>
        </is>
      </c>
      <c r="C1005" s="7">
        <f>VLOOKUP(A1005,SizeData!A$2:B$3839,2,FALSE)</f>
        <v/>
      </c>
      <c r="D1005" s="6" t="n">
        <v>3</v>
      </c>
      <c r="E1005" s="6" t="inlineStr">
        <is>
          <t>R1012072</t>
        </is>
      </c>
      <c r="F1005" s="2" t="n">
        <v>44229</v>
      </c>
      <c r="G1005" s="1" t="n"/>
    </row>
    <row r="1006">
      <c r="A1006" s="6" t="n">
        <v>34163</v>
      </c>
      <c r="B1006" s="6" t="inlineStr">
        <is>
          <t>BELVEDERE VODKA</t>
        </is>
      </c>
      <c r="C1006" s="7">
        <f>VLOOKUP(A1006,SizeData!A$2:B$3839,2,FALSE)</f>
        <v/>
      </c>
      <c r="D1006" s="6" t="n">
        <v>6</v>
      </c>
      <c r="E1006" s="6" t="inlineStr">
        <is>
          <t>R1032609</t>
        </is>
      </c>
      <c r="F1006" s="2" t="n">
        <v>44246</v>
      </c>
      <c r="G1006" s="1" t="n"/>
    </row>
    <row r="1007">
      <c r="A1007" s="6" t="n">
        <v>34163</v>
      </c>
      <c r="B1007" s="6" t="inlineStr">
        <is>
          <t>BELVEDERE VODKA</t>
        </is>
      </c>
      <c r="C1007" s="7">
        <f>VLOOKUP(A1007,SizeData!A$2:B$3839,2,FALSE)</f>
        <v/>
      </c>
      <c r="D1007" s="6" t="n">
        <v>4</v>
      </c>
      <c r="E1007" s="6" t="inlineStr">
        <is>
          <t>R1156117</t>
        </is>
      </c>
      <c r="F1007" s="2" t="n">
        <v>44362</v>
      </c>
      <c r="G1007" s="1" t="n"/>
    </row>
    <row r="1008">
      <c r="A1008" s="6" t="n">
        <v>34163</v>
      </c>
      <c r="B1008" s="6" t="inlineStr">
        <is>
          <t>BELVEDERE VODKA</t>
        </is>
      </c>
      <c r="C1008" s="7">
        <f>VLOOKUP(A1008,SizeData!A$2:B$3839,2,FALSE)</f>
        <v/>
      </c>
      <c r="D1008" s="6" t="n">
        <v>3</v>
      </c>
      <c r="E1008" s="6" t="inlineStr">
        <is>
          <t>R1262670</t>
        </is>
      </c>
      <c r="F1008" s="2" t="n">
        <v>44470</v>
      </c>
      <c r="G1008" s="1" t="n"/>
    </row>
    <row r="1009">
      <c r="A1009" s="6" t="n">
        <v>34163</v>
      </c>
      <c r="B1009" s="6" t="inlineStr">
        <is>
          <t>BELVEDERE VODKA</t>
        </is>
      </c>
      <c r="C1009" s="7">
        <f>VLOOKUP(A1009,SizeData!A$2:B$3839,2,FALSE)</f>
        <v/>
      </c>
      <c r="D1009" s="6" t="n">
        <v>20</v>
      </c>
      <c r="E1009" s="6" t="inlineStr">
        <is>
          <t>R1253669</t>
        </is>
      </c>
      <c r="F1009" s="2" t="n">
        <v>44471</v>
      </c>
      <c r="G1009" s="1" t="n"/>
    </row>
    <row r="1010">
      <c r="A1010" s="6" t="n">
        <v>34163</v>
      </c>
      <c r="B1010" s="6" t="inlineStr">
        <is>
          <t>BELVEDERE VODKA</t>
        </is>
      </c>
      <c r="C1010" s="7">
        <f>VLOOKUP(A1010,SizeData!A$2:B$3839,2,FALSE)</f>
        <v/>
      </c>
      <c r="D1010" s="6" t="n">
        <v>0</v>
      </c>
      <c r="E1010" s="6" t="inlineStr">
        <is>
          <t>R1286225</t>
        </is>
      </c>
      <c r="F1010" s="2" t="n">
        <v>44478</v>
      </c>
      <c r="G1010" s="1" t="n"/>
    </row>
    <row r="1011">
      <c r="A1011" s="6" t="n">
        <v>34163</v>
      </c>
      <c r="B1011" s="6" t="inlineStr">
        <is>
          <t>BELVEDERE VODKA</t>
        </is>
      </c>
      <c r="C1011" s="7">
        <f>VLOOKUP(A1011,SizeData!A$2:B$3839,2,FALSE)</f>
        <v/>
      </c>
      <c r="D1011" s="6" t="n">
        <v>4</v>
      </c>
      <c r="E1011" s="6" t="inlineStr">
        <is>
          <t>R1283487</t>
        </is>
      </c>
      <c r="F1011" s="2" t="n">
        <v>44494</v>
      </c>
      <c r="G1011" s="1" t="n"/>
    </row>
    <row r="1012">
      <c r="A1012" s="6" t="n">
        <v>34164</v>
      </c>
      <c r="B1012" s="6" t="inlineStr">
        <is>
          <t>CIROC PREMIUM VODKA</t>
        </is>
      </c>
      <c r="C1012" s="7">
        <f>VLOOKUP(A1012,SizeData!A$2:B$3839,2,FALSE)</f>
        <v/>
      </c>
      <c r="D1012" s="6" t="n">
        <v>1</v>
      </c>
      <c r="E1012" s="6" t="inlineStr">
        <is>
          <t>R1069165</t>
        </is>
      </c>
      <c r="F1012" s="2" t="n">
        <v>44286</v>
      </c>
      <c r="G1012" s="1" t="n"/>
    </row>
    <row r="1013">
      <c r="A1013" s="6" t="n">
        <v>34164</v>
      </c>
      <c r="B1013" s="6" t="inlineStr">
        <is>
          <t>CIROC PREMIUM VODKA</t>
        </is>
      </c>
      <c r="C1013" s="7">
        <f>VLOOKUP(A1013,SizeData!A$2:B$3839,2,FALSE)</f>
        <v/>
      </c>
      <c r="D1013" s="6" t="n">
        <v>1</v>
      </c>
      <c r="E1013" s="6" t="inlineStr">
        <is>
          <t>R1162430</t>
        </is>
      </c>
      <c r="F1013" s="2" t="n">
        <v>44371</v>
      </c>
      <c r="G1013" s="1" t="n"/>
    </row>
    <row r="1014">
      <c r="A1014" s="6" t="n">
        <v>34194</v>
      </c>
      <c r="B1014" s="6" t="inlineStr">
        <is>
          <t>CIROC PREMIUM VODKA</t>
        </is>
      </c>
      <c r="C1014" s="7">
        <f>VLOOKUP(A1014,SizeData!A$2:B$3839,2,FALSE)</f>
        <v/>
      </c>
      <c r="D1014" s="6" t="n">
        <v>1</v>
      </c>
      <c r="E1014" s="6" t="inlineStr">
        <is>
          <t>R1012115</t>
        </is>
      </c>
      <c r="F1014" s="2" t="n">
        <v>44223</v>
      </c>
      <c r="G1014" s="1" t="n"/>
    </row>
    <row r="1015">
      <c r="A1015" s="6" t="n">
        <v>34194</v>
      </c>
      <c r="B1015" s="6" t="inlineStr">
        <is>
          <t>CIROC PREMIUM VODKA</t>
        </is>
      </c>
      <c r="C1015" s="7">
        <f>VLOOKUP(A1015,SizeData!A$2:B$3839,2,FALSE)</f>
        <v/>
      </c>
      <c r="D1015" s="6" t="n">
        <v>1</v>
      </c>
      <c r="E1015" s="6" t="inlineStr">
        <is>
          <t>R1140930</t>
        </is>
      </c>
      <c r="F1015" s="2" t="n">
        <v>44343</v>
      </c>
      <c r="G1015" s="1" t="n"/>
    </row>
    <row r="1016">
      <c r="A1016" s="6" t="n">
        <v>34197</v>
      </c>
      <c r="B1016" s="6" t="inlineStr">
        <is>
          <t>CIROC PREMIUM VODKA</t>
        </is>
      </c>
      <c r="C1016" s="7">
        <f>VLOOKUP(A1016,SizeData!A$2:B$3839,2,FALSE)</f>
        <v/>
      </c>
      <c r="D1016" s="6" t="n">
        <v>3</v>
      </c>
      <c r="E1016" s="6" t="inlineStr">
        <is>
          <t>R998330</t>
        </is>
      </c>
      <c r="F1016" s="2" t="n">
        <v>44207</v>
      </c>
      <c r="G1016" s="1" t="n"/>
    </row>
    <row r="1017">
      <c r="A1017" s="6" t="n">
        <v>34197</v>
      </c>
      <c r="B1017" s="6" t="inlineStr">
        <is>
          <t>CIROC PREMIUM VODKA</t>
        </is>
      </c>
      <c r="C1017" s="7">
        <f>VLOOKUP(A1017,SizeData!A$2:B$3839,2,FALSE)</f>
        <v/>
      </c>
      <c r="D1017" s="6" t="n">
        <v>2</v>
      </c>
      <c r="E1017" s="6" t="inlineStr">
        <is>
          <t>R1013988</t>
        </is>
      </c>
      <c r="F1017" s="2" t="n">
        <v>44239</v>
      </c>
      <c r="G1017" s="1" t="n"/>
    </row>
    <row r="1018">
      <c r="A1018" s="6" t="n">
        <v>34197</v>
      </c>
      <c r="B1018" s="6" t="inlineStr">
        <is>
          <t>CIROC PREMIUM VODKA</t>
        </is>
      </c>
      <c r="C1018" s="7">
        <f>VLOOKUP(A1018,SizeData!A$2:B$3839,2,FALSE)</f>
        <v/>
      </c>
      <c r="D1018" s="6" t="n">
        <v>10</v>
      </c>
      <c r="E1018" s="6" t="inlineStr">
        <is>
          <t>R1049036</t>
        </is>
      </c>
      <c r="F1018" s="2" t="n">
        <v>44265</v>
      </c>
      <c r="G1018" s="1" t="n"/>
    </row>
    <row r="1019">
      <c r="A1019" s="6" t="n">
        <v>34197</v>
      </c>
      <c r="B1019" s="6" t="inlineStr">
        <is>
          <t>CIROC PREMIUM VODKA</t>
        </is>
      </c>
      <c r="C1019" s="7">
        <f>VLOOKUP(A1019,SizeData!A$2:B$3839,2,FALSE)</f>
        <v/>
      </c>
      <c r="D1019" s="6" t="n">
        <v>10</v>
      </c>
      <c r="E1019" s="6" t="inlineStr">
        <is>
          <t>R1065593</t>
        </is>
      </c>
      <c r="F1019" s="2" t="n">
        <v>44273</v>
      </c>
      <c r="G1019" s="1" t="n"/>
    </row>
    <row r="1020">
      <c r="A1020" s="6" t="n">
        <v>34197</v>
      </c>
      <c r="B1020" s="6" t="inlineStr">
        <is>
          <t>CIROC PREMIUM VODKA</t>
        </is>
      </c>
      <c r="C1020" s="7">
        <f>VLOOKUP(A1020,SizeData!A$2:B$3839,2,FALSE)</f>
        <v/>
      </c>
      <c r="D1020" s="6" t="n">
        <v>10</v>
      </c>
      <c r="E1020" s="6" t="inlineStr">
        <is>
          <t>R1067373</t>
        </is>
      </c>
      <c r="F1020" s="2" t="n">
        <v>44277</v>
      </c>
      <c r="G1020" s="1" t="n"/>
    </row>
    <row r="1021">
      <c r="A1021" s="6" t="n">
        <v>34201</v>
      </c>
      <c r="B1021" s="6" t="inlineStr">
        <is>
          <t>CIROC PREMIUM VODKA</t>
        </is>
      </c>
      <c r="C1021" s="7">
        <f>VLOOKUP(A1021,SizeData!A$2:B$3839,2,FALSE)</f>
        <v/>
      </c>
      <c r="D1021" s="6" t="n">
        <v>1</v>
      </c>
      <c r="E1021" s="6" t="inlineStr">
        <is>
          <t>R989713</t>
        </is>
      </c>
      <c r="F1021" s="2" t="n">
        <v>44200</v>
      </c>
      <c r="G1021" s="1" t="n"/>
    </row>
    <row r="1022">
      <c r="A1022" s="6" t="n">
        <v>34201</v>
      </c>
      <c r="B1022" s="6" t="inlineStr">
        <is>
          <t>CIROC PREMIUM VODKA</t>
        </is>
      </c>
      <c r="C1022" s="7">
        <f>VLOOKUP(A1022,SizeData!A$2:B$3839,2,FALSE)</f>
        <v/>
      </c>
      <c r="D1022" s="6" t="n">
        <v>1</v>
      </c>
      <c r="E1022" s="6" t="inlineStr">
        <is>
          <t>R1013988</t>
        </is>
      </c>
      <c r="F1022" s="2" t="n">
        <v>44239</v>
      </c>
      <c r="G1022" s="1" t="n"/>
    </row>
    <row r="1023">
      <c r="A1023" s="6" t="n">
        <v>34201</v>
      </c>
      <c r="B1023" s="6" t="inlineStr">
        <is>
          <t>CIROC PREMIUM VODKA</t>
        </is>
      </c>
      <c r="C1023" s="7">
        <f>VLOOKUP(A1023,SizeData!A$2:B$3839,2,FALSE)</f>
        <v/>
      </c>
      <c r="D1023" s="6" t="n">
        <v>1</v>
      </c>
      <c r="E1023" s="6" t="inlineStr">
        <is>
          <t>R1054435</t>
        </is>
      </c>
      <c r="F1023" s="2" t="n">
        <v>44272</v>
      </c>
      <c r="G1023" s="1" t="n"/>
    </row>
    <row r="1024">
      <c r="A1024" s="6" t="n">
        <v>34201</v>
      </c>
      <c r="B1024" s="6" t="inlineStr">
        <is>
          <t>CIROC PREMIUM VODKA</t>
        </is>
      </c>
      <c r="C1024" s="7">
        <f>VLOOKUP(A1024,SizeData!A$2:B$3839,2,FALSE)</f>
        <v/>
      </c>
      <c r="D1024" s="6" t="n">
        <v>1</v>
      </c>
      <c r="E1024" s="6" t="inlineStr">
        <is>
          <t>R1089290</t>
        </is>
      </c>
      <c r="F1024" s="2" t="n">
        <v>44309</v>
      </c>
      <c r="G1024" s="1" t="n"/>
    </row>
    <row r="1025">
      <c r="A1025" s="6" t="n">
        <v>34201</v>
      </c>
      <c r="B1025" s="6" t="inlineStr">
        <is>
          <t>CIROC PREMIUM VODKA</t>
        </is>
      </c>
      <c r="C1025" s="7">
        <f>VLOOKUP(A1025,SizeData!A$2:B$3839,2,FALSE)</f>
        <v/>
      </c>
      <c r="D1025" s="6" t="n">
        <v>1</v>
      </c>
      <c r="E1025" s="6" t="inlineStr">
        <is>
          <t>R1146432</t>
        </is>
      </c>
      <c r="F1025" s="2" t="n">
        <v>44356</v>
      </c>
      <c r="G1025" s="1" t="n"/>
    </row>
    <row r="1026">
      <c r="A1026" s="6" t="n">
        <v>34201</v>
      </c>
      <c r="B1026" s="6" t="inlineStr">
        <is>
          <t>CIROC PREMIUM VODKA</t>
        </is>
      </c>
      <c r="C1026" s="7">
        <f>VLOOKUP(A1026,SizeData!A$2:B$3839,2,FALSE)</f>
        <v/>
      </c>
      <c r="D1026" s="6" t="n">
        <v>1</v>
      </c>
      <c r="E1026" s="6" t="inlineStr">
        <is>
          <t xml:space="preserve"> R1156630</t>
        </is>
      </c>
      <c r="F1026" s="2" t="n">
        <v>44364</v>
      </c>
      <c r="G1026" s="1" t="n"/>
    </row>
    <row r="1027">
      <c r="A1027" s="6" t="n">
        <v>34201</v>
      </c>
      <c r="B1027" s="6" t="inlineStr">
        <is>
          <t>CIROC PREMIUM VODKA</t>
        </is>
      </c>
      <c r="C1027" s="7">
        <f>VLOOKUP(A1027,SizeData!A$2:B$3839,2,FALSE)</f>
        <v/>
      </c>
      <c r="D1027" s="6" t="n">
        <v>1</v>
      </c>
      <c r="E1027" s="6" t="inlineStr">
        <is>
          <t>R1171340</t>
        </is>
      </c>
      <c r="F1027" s="2" t="n">
        <v>44383</v>
      </c>
      <c r="G1027" s="1" t="n"/>
    </row>
    <row r="1028">
      <c r="A1028" s="6" t="n">
        <v>34201</v>
      </c>
      <c r="B1028" s="6" t="inlineStr">
        <is>
          <t>CIROC PREMIUM VODKA</t>
        </is>
      </c>
      <c r="C1028" s="7">
        <f>VLOOKUP(A1028,SizeData!A$2:B$3839,2,FALSE)</f>
        <v/>
      </c>
      <c r="D1028" s="6" t="n">
        <v>1</v>
      </c>
      <c r="E1028" s="6" t="inlineStr">
        <is>
          <t>R1245880</t>
        </is>
      </c>
      <c r="F1028" s="2" t="n">
        <v>44453</v>
      </c>
      <c r="G1028" s="1" t="n"/>
    </row>
    <row r="1029">
      <c r="A1029" s="6" t="n">
        <v>34326</v>
      </c>
      <c r="B1029" s="6" t="inlineStr">
        <is>
          <t>FINLANDIA VODKA</t>
        </is>
      </c>
      <c r="C1029" s="7">
        <f>VLOOKUP(A1029,SizeData!A$2:B$3839,2,FALSE)</f>
        <v/>
      </c>
      <c r="D1029" s="6" t="n">
        <v>1</v>
      </c>
      <c r="E1029" s="6" t="inlineStr">
        <is>
          <t>R1074089</t>
        </is>
      </c>
      <c r="F1029" s="2" t="n">
        <v>44288</v>
      </c>
      <c r="G1029" s="1" t="n"/>
    </row>
    <row r="1030">
      <c r="A1030" s="6" t="n">
        <v>34328</v>
      </c>
      <c r="B1030" s="6" t="inlineStr">
        <is>
          <t>FINLANDIA VODKA</t>
        </is>
      </c>
      <c r="C1030" s="7">
        <f>VLOOKUP(A1030,SizeData!A$2:B$3839,2,FALSE)</f>
        <v/>
      </c>
      <c r="D1030" s="6" t="n">
        <v>1</v>
      </c>
      <c r="E1030" s="6" t="inlineStr">
        <is>
          <t>R1070393</t>
        </is>
      </c>
      <c r="F1030" s="2" t="n">
        <v>44280</v>
      </c>
      <c r="G1030" s="1" t="n"/>
    </row>
    <row r="1031">
      <c r="A1031" s="6" t="n">
        <v>34359</v>
      </c>
      <c r="B1031" s="6" t="inlineStr">
        <is>
          <t>GREY GOOSE VODKA</t>
        </is>
      </c>
      <c r="C1031" s="7">
        <f>VLOOKUP(A1031,SizeData!A$2:B$3839,2,FALSE)</f>
        <v/>
      </c>
      <c r="D1031" s="6" t="n">
        <v>2</v>
      </c>
      <c r="E1031" s="6" t="inlineStr">
        <is>
          <t>R1005889</t>
        </is>
      </c>
      <c r="F1031" s="2" t="n">
        <v>44217</v>
      </c>
      <c r="G1031" s="1" t="n"/>
    </row>
    <row r="1032">
      <c r="A1032" s="6" t="n">
        <v>34359</v>
      </c>
      <c r="B1032" s="6" t="inlineStr">
        <is>
          <t>GREY GOOSE VODKA</t>
        </is>
      </c>
      <c r="C1032" s="7">
        <f>VLOOKUP(A1032,SizeData!A$2:B$3839,2,FALSE)</f>
        <v/>
      </c>
      <c r="D1032" s="6" t="n">
        <v>1</v>
      </c>
      <c r="E1032" s="6" t="inlineStr">
        <is>
          <t>R1103097</t>
        </is>
      </c>
      <c r="F1032" s="2" t="n">
        <v>44320</v>
      </c>
      <c r="G1032" s="1" t="n"/>
    </row>
    <row r="1033">
      <c r="A1033" s="6" t="n">
        <v>34359</v>
      </c>
      <c r="B1033" s="6" t="inlineStr">
        <is>
          <t>GREY GOOSE VODKA</t>
        </is>
      </c>
      <c r="C1033" s="7">
        <f>VLOOKUP(A1033,SizeData!A$2:B$3839,2,FALSE)</f>
        <v/>
      </c>
      <c r="D1033" s="6" t="n">
        <v>1</v>
      </c>
      <c r="E1033" s="6" t="inlineStr">
        <is>
          <t>R1116842</t>
        </is>
      </c>
      <c r="F1033" s="2" t="n">
        <v>44324</v>
      </c>
      <c r="G1033" s="1" t="n"/>
    </row>
    <row r="1034">
      <c r="A1034" s="6" t="n">
        <v>34359</v>
      </c>
      <c r="B1034" s="6" t="inlineStr">
        <is>
          <t>GREY GOOSE VODKA</t>
        </is>
      </c>
      <c r="C1034" s="7">
        <f>VLOOKUP(A1034,SizeData!A$2:B$3839,2,FALSE)</f>
        <v/>
      </c>
      <c r="D1034" s="6" t="n">
        <v>1</v>
      </c>
      <c r="E1034" s="6" t="inlineStr">
        <is>
          <t xml:space="preserve"> R1151228</t>
        </is>
      </c>
      <c r="F1034" s="2" t="n">
        <v>44363</v>
      </c>
      <c r="G1034" s="1" t="n"/>
    </row>
    <row r="1035">
      <c r="A1035" s="6" t="n">
        <v>34359</v>
      </c>
      <c r="B1035" s="6" t="inlineStr">
        <is>
          <t>GREY GOOSE VODKA</t>
        </is>
      </c>
      <c r="C1035" s="7">
        <f>VLOOKUP(A1035,SizeData!A$2:B$3839,2,FALSE)</f>
        <v/>
      </c>
      <c r="D1035" s="6" t="n">
        <v>1</v>
      </c>
      <c r="E1035" s="6" t="inlineStr">
        <is>
          <t>R1171618</t>
        </is>
      </c>
      <c r="F1035" s="2" t="n">
        <v>44380</v>
      </c>
      <c r="G1035" s="1" t="n"/>
    </row>
    <row r="1036">
      <c r="A1036" s="6" t="n">
        <v>34359</v>
      </c>
      <c r="B1036" s="6" t="inlineStr">
        <is>
          <t>GREY GOOSE VODKA</t>
        </is>
      </c>
      <c r="C1036" s="7">
        <f>VLOOKUP(A1036,SizeData!A$2:B$3839,2,FALSE)</f>
        <v/>
      </c>
      <c r="D1036" s="6" t="n">
        <v>1</v>
      </c>
      <c r="E1036" s="6" t="inlineStr">
        <is>
          <t>R1191193</t>
        </is>
      </c>
      <c r="F1036" s="2" t="n">
        <v>44411</v>
      </c>
      <c r="G1036" s="1" t="n"/>
    </row>
    <row r="1037">
      <c r="A1037" s="6" t="n">
        <v>34359</v>
      </c>
      <c r="B1037" s="6" t="inlineStr">
        <is>
          <t>GREY GOOSE VODKA</t>
        </is>
      </c>
      <c r="C1037" s="7">
        <f>VLOOKUP(A1037,SizeData!A$2:B$3839,2,FALSE)</f>
        <v/>
      </c>
      <c r="D1037" s="6" t="n">
        <v>2</v>
      </c>
      <c r="E1037" s="6" t="inlineStr">
        <is>
          <t>R1217806</t>
        </is>
      </c>
      <c r="F1037" s="2" t="n">
        <v>44427</v>
      </c>
      <c r="G1037" s="1" t="n"/>
    </row>
    <row r="1038">
      <c r="A1038" s="6" t="n">
        <v>34359</v>
      </c>
      <c r="B1038" s="6" t="inlineStr">
        <is>
          <t>GREY GOOSE VODKA</t>
        </is>
      </c>
      <c r="C1038" s="7">
        <f>VLOOKUP(A1038,SizeData!A$2:B$3839,2,FALSE)</f>
        <v/>
      </c>
      <c r="D1038" s="6" t="n">
        <v>4</v>
      </c>
      <c r="E1038" s="6" t="inlineStr">
        <is>
          <t>R1292642</t>
        </is>
      </c>
      <c r="F1038" s="2" t="n">
        <v>44496</v>
      </c>
      <c r="G1038" s="1" t="n"/>
    </row>
    <row r="1039">
      <c r="A1039" s="6" t="n">
        <v>34368</v>
      </c>
      <c r="B1039" s="6" t="inlineStr">
        <is>
          <t>FRIS 80 SKANDIA VODKA DENMARK</t>
        </is>
      </c>
      <c r="C1039" s="7">
        <f>VLOOKUP(A1039,SizeData!A$2:B$3839,2,FALSE)</f>
        <v/>
      </c>
      <c r="D1039" s="6" t="n">
        <v>2</v>
      </c>
      <c r="E1039" s="6" t="inlineStr">
        <is>
          <t>R1034835</t>
        </is>
      </c>
      <c r="F1039" s="2" t="n">
        <v>44254</v>
      </c>
      <c r="G1039" s="1" t="n"/>
    </row>
    <row r="1040">
      <c r="A1040" s="6" t="n">
        <v>34422</v>
      </c>
      <c r="B1040" s="6" t="inlineStr">
        <is>
          <t>GREY GOOSE VODKA</t>
        </is>
      </c>
      <c r="C1040" s="7">
        <f>VLOOKUP(A1040,SizeData!A$2:B$3839,2,FALSE)</f>
        <v/>
      </c>
      <c r="D1040" s="6" t="n">
        <v>6</v>
      </c>
      <c r="E1040" s="6" t="inlineStr">
        <is>
          <t>R1124629</t>
        </is>
      </c>
      <c r="F1040" s="2" t="n">
        <v>44343</v>
      </c>
      <c r="G1040" s="1" t="n"/>
    </row>
    <row r="1041">
      <c r="A1041" s="6" t="n">
        <v>34422</v>
      </c>
      <c r="B1041" s="6" t="inlineStr">
        <is>
          <t>GREY GOOSE VODKA</t>
        </is>
      </c>
      <c r="C1041" s="7">
        <f>VLOOKUP(A1041,SizeData!A$2:B$3839,2,FALSE)</f>
        <v/>
      </c>
      <c r="D1041" s="6" t="n">
        <v>4</v>
      </c>
      <c r="E1041" s="6" t="inlineStr">
        <is>
          <t>R1129649</t>
        </is>
      </c>
      <c r="F1041" s="2" t="n">
        <v>44343</v>
      </c>
      <c r="G1041" s="1" t="n"/>
    </row>
    <row r="1042">
      <c r="A1042" s="6" t="n">
        <v>34422</v>
      </c>
      <c r="B1042" s="6" t="inlineStr">
        <is>
          <t>GREY GOOSE VODKA</t>
        </is>
      </c>
      <c r="C1042" s="7">
        <f>VLOOKUP(A1042,SizeData!A$2:B$3839,2,FALSE)</f>
        <v/>
      </c>
      <c r="D1042" s="6" t="n">
        <v>0</v>
      </c>
      <c r="E1042" s="6" t="inlineStr">
        <is>
          <t>R1292642</t>
        </is>
      </c>
      <c r="F1042" s="2" t="n">
        <v>44496</v>
      </c>
      <c r="G1042" s="1" t="n"/>
    </row>
    <row r="1043">
      <c r="A1043" s="6" t="n">
        <v>34423</v>
      </c>
      <c r="B1043" s="6" t="inlineStr">
        <is>
          <t>GREY GOOSE IMPORTED VODKA</t>
        </is>
      </c>
      <c r="C1043" s="7">
        <f>VLOOKUP(A1043,SizeData!A$2:B$3839,2,FALSE)</f>
        <v/>
      </c>
      <c r="D1043" s="6" t="n">
        <v>4</v>
      </c>
      <c r="E1043" s="6" t="inlineStr">
        <is>
          <t>R1339973A</t>
        </is>
      </c>
      <c r="F1043" s="2" t="n">
        <v>44531</v>
      </c>
      <c r="G1043" s="1" t="n"/>
    </row>
    <row r="1044">
      <c r="A1044" s="6" t="n">
        <v>34423</v>
      </c>
      <c r="B1044" s="6" t="inlineStr">
        <is>
          <t>GREY GOOSE VODKA</t>
        </is>
      </c>
      <c r="C1044" s="7">
        <f>VLOOKUP(A1044,SizeData!A$2:B$3839,2,FALSE)</f>
        <v/>
      </c>
      <c r="D1044" s="6" t="n">
        <v>2</v>
      </c>
      <c r="E1044" s="6" t="inlineStr">
        <is>
          <t>R1092837</t>
        </is>
      </c>
      <c r="F1044" s="2" t="n">
        <v>44299</v>
      </c>
      <c r="G1044" s="1" t="n"/>
    </row>
    <row r="1045">
      <c r="A1045" s="6" t="n">
        <v>34423</v>
      </c>
      <c r="B1045" s="6" t="inlineStr">
        <is>
          <t>GREY GOOSE VODKA</t>
        </is>
      </c>
      <c r="C1045" s="7">
        <f>VLOOKUP(A1045,SizeData!A$2:B$3839,2,FALSE)</f>
        <v/>
      </c>
      <c r="D1045" s="6" t="n">
        <v>2</v>
      </c>
      <c r="E1045" s="6" t="inlineStr">
        <is>
          <t>R1105665</t>
        </is>
      </c>
      <c r="F1045" s="2" t="n">
        <v>44316</v>
      </c>
      <c r="G1045" s="1" t="n"/>
    </row>
    <row r="1046">
      <c r="A1046" s="6" t="n">
        <v>34423</v>
      </c>
      <c r="B1046" s="6" t="inlineStr">
        <is>
          <t>GREY GOOSE VODKA</t>
        </is>
      </c>
      <c r="C1046" s="7">
        <f>VLOOKUP(A1046,SizeData!A$2:B$3839,2,FALSE)</f>
        <v/>
      </c>
      <c r="D1046" s="6" t="n">
        <v>2</v>
      </c>
      <c r="E1046" s="6" t="inlineStr">
        <is>
          <t>R1165810</t>
        </is>
      </c>
      <c r="F1046" s="2" t="n">
        <v>44361</v>
      </c>
      <c r="G1046" s="1" t="n"/>
    </row>
    <row r="1047">
      <c r="A1047" s="6" t="n">
        <v>34423</v>
      </c>
      <c r="B1047" s="6" t="inlineStr">
        <is>
          <t>GREY GOOSE VODKA</t>
        </is>
      </c>
      <c r="C1047" s="7">
        <f>VLOOKUP(A1047,SizeData!A$2:B$3839,2,FALSE)</f>
        <v/>
      </c>
      <c r="D1047" s="6" t="n">
        <v>4</v>
      </c>
      <c r="E1047" s="6" t="inlineStr">
        <is>
          <t xml:space="preserve"> R1206104</t>
        </is>
      </c>
      <c r="F1047" s="2" t="n">
        <v>44413</v>
      </c>
      <c r="G1047" s="1" t="n"/>
    </row>
    <row r="1048">
      <c r="A1048" s="6" t="n">
        <v>34423</v>
      </c>
      <c r="B1048" s="6" t="inlineStr">
        <is>
          <t>GREY GOOSE VODKA</t>
        </is>
      </c>
      <c r="C1048" s="7">
        <f>VLOOKUP(A1048,SizeData!A$2:B$3839,2,FALSE)</f>
        <v/>
      </c>
      <c r="D1048" s="6" t="n">
        <v>3</v>
      </c>
      <c r="E1048" s="6" t="inlineStr">
        <is>
          <t>R1217806</t>
        </is>
      </c>
      <c r="F1048" s="2" t="n">
        <v>44427</v>
      </c>
      <c r="G1048" s="1" t="n"/>
    </row>
    <row r="1049">
      <c r="A1049" s="6" t="n">
        <v>34423</v>
      </c>
      <c r="B1049" s="6" t="inlineStr">
        <is>
          <t>GREY GOOSE VODKA</t>
        </is>
      </c>
      <c r="C1049" s="7">
        <f>VLOOKUP(A1049,SizeData!A$2:B$3839,2,FALSE)</f>
        <v/>
      </c>
      <c r="D1049" s="6" t="n">
        <v>3</v>
      </c>
      <c r="E1049" s="6" t="inlineStr">
        <is>
          <t>R1339973</t>
        </is>
      </c>
      <c r="F1049" s="2" t="n">
        <v>44531</v>
      </c>
      <c r="G1049" s="1" t="n"/>
    </row>
    <row r="1050">
      <c r="A1050" s="6" t="n">
        <v>34425</v>
      </c>
      <c r="B1050" s="6" t="inlineStr">
        <is>
          <t>GREY GOOSE VODKA</t>
        </is>
      </c>
      <c r="C1050" s="7">
        <f>VLOOKUP(A1050,SizeData!A$2:B$3839,2,FALSE)</f>
        <v/>
      </c>
      <c r="D1050" s="6" t="n">
        <v>1</v>
      </c>
      <c r="E1050" s="6" t="inlineStr">
        <is>
          <t>R1085722</t>
        </is>
      </c>
      <c r="F1050" s="2" t="n">
        <v>44287</v>
      </c>
      <c r="G1050" s="1" t="n"/>
    </row>
    <row r="1051">
      <c r="A1051" s="6" t="n">
        <v>34425</v>
      </c>
      <c r="B1051" s="6" t="inlineStr">
        <is>
          <t>GREY GOOSE VODKA</t>
        </is>
      </c>
      <c r="C1051" s="7">
        <f>VLOOKUP(A1051,SizeData!A$2:B$3839,2,FALSE)</f>
        <v/>
      </c>
      <c r="D1051" s="6" t="n">
        <v>2</v>
      </c>
      <c r="E1051" s="6" t="inlineStr">
        <is>
          <t>R1074089</t>
        </is>
      </c>
      <c r="F1051" s="2" t="n">
        <v>44288</v>
      </c>
      <c r="G1051" s="1" t="n"/>
    </row>
    <row r="1052">
      <c r="A1052" s="6" t="n">
        <v>34425</v>
      </c>
      <c r="B1052" s="6" t="inlineStr">
        <is>
          <t>GREY GOOSE VODKA</t>
        </is>
      </c>
      <c r="C1052" s="7">
        <f>VLOOKUP(A1052,SizeData!A$2:B$3839,2,FALSE)</f>
        <v/>
      </c>
      <c r="D1052" s="6" t="n">
        <v>3</v>
      </c>
      <c r="E1052" s="6" t="inlineStr">
        <is>
          <t>R1077298</t>
        </is>
      </c>
      <c r="F1052" s="2" t="n">
        <v>44290</v>
      </c>
      <c r="G1052" s="1" t="n"/>
    </row>
    <row r="1053">
      <c r="A1053" s="6" t="n">
        <v>34425</v>
      </c>
      <c r="B1053" s="6" t="inlineStr">
        <is>
          <t>GREY GOOSE VODKA</t>
        </is>
      </c>
      <c r="C1053" s="7">
        <f>VLOOKUP(A1053,SizeData!A$2:B$3839,2,FALSE)</f>
        <v/>
      </c>
      <c r="D1053" s="6" t="n">
        <v>2</v>
      </c>
      <c r="E1053" s="6" t="inlineStr">
        <is>
          <t>R1084236</t>
        </is>
      </c>
      <c r="F1053" s="2" t="n">
        <v>44296</v>
      </c>
      <c r="G1053" s="1" t="n"/>
    </row>
    <row r="1054">
      <c r="A1054" s="6" t="n">
        <v>34425</v>
      </c>
      <c r="B1054" s="6" t="inlineStr">
        <is>
          <t>GREY GOOSE VODKA</t>
        </is>
      </c>
      <c r="C1054" s="7">
        <f>VLOOKUP(A1054,SizeData!A$2:B$3839,2,FALSE)</f>
        <v/>
      </c>
      <c r="D1054" s="6" t="n">
        <v>4</v>
      </c>
      <c r="E1054" s="6" t="inlineStr">
        <is>
          <t>R1132471</t>
        </is>
      </c>
      <c r="F1054" s="2" t="n">
        <v>44349</v>
      </c>
      <c r="G1054" s="1" t="n"/>
    </row>
    <row r="1055">
      <c r="A1055" s="6" t="n">
        <v>34425</v>
      </c>
      <c r="B1055" s="6" t="inlineStr">
        <is>
          <t>GREY GOOSE VODKA</t>
        </is>
      </c>
      <c r="C1055" s="7">
        <f>VLOOKUP(A1055,SizeData!A$2:B$3839,2,FALSE)</f>
        <v/>
      </c>
      <c r="D1055" s="6" t="n">
        <v>2</v>
      </c>
      <c r="E1055" s="6" t="inlineStr">
        <is>
          <t>R1153323</t>
        </is>
      </c>
      <c r="F1055" s="2" t="n">
        <v>44369</v>
      </c>
      <c r="G1055" s="1" t="n"/>
    </row>
    <row r="1056">
      <c r="A1056" s="6" t="n">
        <v>34425</v>
      </c>
      <c r="B1056" s="6" t="inlineStr">
        <is>
          <t>GREY GOOSE VODKA</t>
        </is>
      </c>
      <c r="C1056" s="7">
        <f>VLOOKUP(A1056,SizeData!A$2:B$3839,2,FALSE)</f>
        <v/>
      </c>
      <c r="D1056" s="6" t="n">
        <v>11</v>
      </c>
      <c r="E1056" s="6" t="inlineStr">
        <is>
          <t>R1251513</t>
        </is>
      </c>
      <c r="F1056" s="2" t="n">
        <v>44455</v>
      </c>
      <c r="G1056" s="1" t="n"/>
    </row>
    <row r="1057">
      <c r="A1057" s="6" t="n">
        <v>34425</v>
      </c>
      <c r="B1057" s="6" t="inlineStr">
        <is>
          <t>GREY GOOSE VODKA</t>
        </is>
      </c>
      <c r="C1057" s="7">
        <f>VLOOKUP(A1057,SizeData!A$2:B$3839,2,FALSE)</f>
        <v/>
      </c>
      <c r="D1057" s="6" t="n">
        <v>5</v>
      </c>
      <c r="E1057" s="6" t="inlineStr">
        <is>
          <t>R1334076</t>
        </is>
      </c>
      <c r="F1057" s="2" t="n">
        <v>44531</v>
      </c>
      <c r="G1057" s="1" t="n"/>
    </row>
    <row r="1058">
      <c r="A1058" s="6" t="n">
        <v>34433</v>
      </c>
      <c r="B1058" s="6" t="inlineStr">
        <is>
          <t>GREY GOOSE VODKA</t>
        </is>
      </c>
      <c r="C1058" s="7">
        <f>VLOOKUP(A1058,SizeData!A$2:B$3839,2,FALSE)</f>
        <v/>
      </c>
      <c r="D1058" s="6" t="n">
        <v>4</v>
      </c>
      <c r="E1058" s="6" t="inlineStr">
        <is>
          <t>R1081307</t>
        </is>
      </c>
      <c r="F1058" s="2" t="n">
        <v>44284</v>
      </c>
      <c r="G1058" s="1" t="n"/>
    </row>
    <row r="1059">
      <c r="A1059" s="6" t="n">
        <v>34433</v>
      </c>
      <c r="B1059" s="6" t="inlineStr">
        <is>
          <t>GREY GOOSE VODKA</t>
        </is>
      </c>
      <c r="C1059" s="7">
        <f>VLOOKUP(A1059,SizeData!A$2:B$3839,2,FALSE)</f>
        <v/>
      </c>
      <c r="D1059" s="6" t="n">
        <v>3</v>
      </c>
      <c r="E1059" s="6" t="inlineStr">
        <is>
          <t>R1124382</t>
        </is>
      </c>
      <c r="F1059" s="2" t="n">
        <v>44347</v>
      </c>
      <c r="G1059" s="1" t="n"/>
    </row>
    <row r="1060">
      <c r="A1060" s="6" t="n">
        <v>34433</v>
      </c>
      <c r="B1060" s="6" t="inlineStr">
        <is>
          <t>GREY GOOSE VODKA</t>
        </is>
      </c>
      <c r="C1060" s="7">
        <f>VLOOKUP(A1060,SizeData!A$2:B$3839,2,FALSE)</f>
        <v/>
      </c>
      <c r="D1060" s="6" t="n">
        <v>9</v>
      </c>
      <c r="E1060" s="6" t="inlineStr">
        <is>
          <t xml:space="preserve"> R1204784</t>
        </is>
      </c>
      <c r="F1060" s="2" t="n">
        <v>44421</v>
      </c>
      <c r="G1060" s="1" t="n"/>
    </row>
    <row r="1061">
      <c r="A1061" s="6" t="n">
        <v>34433</v>
      </c>
      <c r="B1061" s="6" t="inlineStr">
        <is>
          <t>GREY GOOSE VODKA</t>
        </is>
      </c>
      <c r="C1061" s="7">
        <f>VLOOKUP(A1061,SizeData!A$2:B$3839,2,FALSE)</f>
        <v/>
      </c>
      <c r="D1061" s="6" t="n">
        <v>8</v>
      </c>
      <c r="E1061" s="6" t="inlineStr">
        <is>
          <t>R1334280</t>
        </is>
      </c>
      <c r="F1061" s="2" t="n">
        <v>44531</v>
      </c>
      <c r="G1061" s="1" t="n"/>
    </row>
    <row r="1062">
      <c r="A1062" s="6" t="n">
        <v>34454</v>
      </c>
      <c r="B1062" s="6" t="inlineStr">
        <is>
          <t>KETEL ONE VODKA</t>
        </is>
      </c>
      <c r="C1062" s="7">
        <f>VLOOKUP(A1062,SizeData!A$2:B$3839,2,FALSE)</f>
        <v/>
      </c>
      <c r="D1062" s="6" t="n">
        <v>1</v>
      </c>
      <c r="E1062" s="6" t="inlineStr">
        <is>
          <t>R1066712</t>
        </is>
      </c>
      <c r="F1062" s="2" t="n">
        <v>44268</v>
      </c>
      <c r="G1062" s="1" t="n"/>
    </row>
    <row r="1063">
      <c r="A1063" s="6" t="n">
        <v>34454</v>
      </c>
      <c r="B1063" s="6" t="inlineStr">
        <is>
          <t>KETEL ONE VODKA</t>
        </is>
      </c>
      <c r="C1063" s="7">
        <f>VLOOKUP(A1063,SizeData!A$2:B$3839,2,FALSE)</f>
        <v/>
      </c>
      <c r="D1063" s="6" t="n">
        <v>1</v>
      </c>
      <c r="E1063" s="6" t="inlineStr">
        <is>
          <t>R1115090</t>
        </is>
      </c>
      <c r="F1063" s="2" t="n">
        <v>44315</v>
      </c>
      <c r="G1063" s="1" t="n"/>
    </row>
    <row r="1064">
      <c r="A1064" s="6" t="n">
        <v>34454</v>
      </c>
      <c r="B1064" s="6" t="inlineStr">
        <is>
          <t>KETEL ONE VODKA</t>
        </is>
      </c>
      <c r="C1064" s="7">
        <f>VLOOKUP(A1064,SizeData!A$2:B$3839,2,FALSE)</f>
        <v/>
      </c>
      <c r="D1064" s="6" t="n">
        <v>1</v>
      </c>
      <c r="E1064" s="6" t="inlineStr">
        <is>
          <t>R1133709</t>
        </is>
      </c>
      <c r="F1064" s="2" t="n">
        <v>44344</v>
      </c>
      <c r="G1064" s="1" t="n"/>
    </row>
    <row r="1065">
      <c r="A1065" s="6" t="n">
        <v>34454</v>
      </c>
      <c r="B1065" s="6" t="inlineStr">
        <is>
          <t>KETEL ONE VODKA</t>
        </is>
      </c>
      <c r="C1065" s="7">
        <f>VLOOKUP(A1065,SizeData!A$2:B$3839,2,FALSE)</f>
        <v/>
      </c>
      <c r="D1065" s="6" t="n">
        <v>2</v>
      </c>
      <c r="E1065" s="6" t="inlineStr">
        <is>
          <t>R1266638</t>
        </is>
      </c>
      <c r="F1065" s="2" t="n">
        <v>44469</v>
      </c>
      <c r="G1065" s="1" t="n"/>
    </row>
    <row r="1066">
      <c r="A1066" s="6" t="n">
        <v>34454</v>
      </c>
      <c r="B1066" s="6" t="inlineStr">
        <is>
          <t>KETEL ONE VODKA</t>
        </is>
      </c>
      <c r="C1066" s="7">
        <f>VLOOKUP(A1066,SizeData!A$2:B$3839,2,FALSE)</f>
        <v/>
      </c>
      <c r="D1066" s="6" t="n">
        <v>3</v>
      </c>
      <c r="E1066" s="6" t="inlineStr">
        <is>
          <t>R1331167</t>
        </is>
      </c>
      <c r="F1066" s="2" t="n">
        <v>44522</v>
      </c>
      <c r="G1066" s="1" t="n"/>
    </row>
    <row r="1067">
      <c r="A1067" s="6" t="n">
        <v>34456</v>
      </c>
      <c r="B1067" s="6" t="inlineStr">
        <is>
          <t>KETEL ONE VODKA</t>
        </is>
      </c>
      <c r="C1067" s="7">
        <f>VLOOKUP(A1067,SizeData!A$2:B$3839,2,FALSE)</f>
        <v/>
      </c>
      <c r="D1067" s="6" t="n">
        <v>2</v>
      </c>
      <c r="E1067" s="6" t="inlineStr">
        <is>
          <t>R1019806</t>
        </is>
      </c>
      <c r="F1067" s="2" t="n">
        <v>44229</v>
      </c>
      <c r="G1067" s="1" t="n"/>
    </row>
    <row r="1068">
      <c r="A1068" s="6" t="n">
        <v>34456</v>
      </c>
      <c r="B1068" s="6" t="inlineStr">
        <is>
          <t>KETEL ONE VODKA</t>
        </is>
      </c>
      <c r="C1068" s="7">
        <f>VLOOKUP(A1068,SizeData!A$2:B$3839,2,FALSE)</f>
        <v/>
      </c>
      <c r="D1068" s="6" t="n">
        <v>8</v>
      </c>
      <c r="E1068" s="6" t="inlineStr">
        <is>
          <t>R1117255</t>
        </is>
      </c>
      <c r="F1068" s="2" t="n">
        <v>44328</v>
      </c>
      <c r="G1068" s="1" t="n"/>
    </row>
    <row r="1069">
      <c r="A1069" s="6" t="n">
        <v>34456</v>
      </c>
      <c r="B1069" s="6" t="inlineStr">
        <is>
          <t>KETEL ONE VODKA</t>
        </is>
      </c>
      <c r="C1069" s="7">
        <f>VLOOKUP(A1069,SizeData!A$2:B$3839,2,FALSE)</f>
        <v/>
      </c>
      <c r="D1069" s="6" t="n">
        <v>5</v>
      </c>
      <c r="E1069" s="6" t="inlineStr">
        <is>
          <t xml:space="preserve"> R1171903</t>
        </is>
      </c>
      <c r="F1069" s="2" t="n">
        <v>44380</v>
      </c>
      <c r="G1069" s="1" t="n"/>
    </row>
    <row r="1070">
      <c r="A1070" s="6" t="n">
        <v>34456</v>
      </c>
      <c r="B1070" s="6" t="inlineStr">
        <is>
          <t>KETEL ONE VODKA</t>
        </is>
      </c>
      <c r="C1070" s="7">
        <f>VLOOKUP(A1070,SizeData!A$2:B$3839,2,FALSE)</f>
        <v/>
      </c>
      <c r="D1070" s="6" t="n">
        <v>1</v>
      </c>
      <c r="E1070" s="6" t="inlineStr">
        <is>
          <t>R1162788</t>
        </is>
      </c>
      <c r="F1070" s="2" t="n">
        <v>44385</v>
      </c>
      <c r="G1070" s="1" t="n"/>
    </row>
    <row r="1071">
      <c r="A1071" s="6" t="n">
        <v>34456</v>
      </c>
      <c r="B1071" s="6" t="inlineStr">
        <is>
          <t>KETEL ONE VODKA</t>
        </is>
      </c>
      <c r="C1071" s="7">
        <f>VLOOKUP(A1071,SizeData!A$2:B$3839,2,FALSE)</f>
        <v/>
      </c>
      <c r="D1071" s="6" t="n">
        <v>10</v>
      </c>
      <c r="E1071" s="6" t="inlineStr">
        <is>
          <t>R1330920</t>
        </is>
      </c>
      <c r="F1071" s="2" t="n">
        <v>44515</v>
      </c>
      <c r="G1071" s="1" t="n"/>
    </row>
    <row r="1072">
      <c r="A1072" s="6" t="n">
        <v>34457</v>
      </c>
      <c r="B1072" s="6" t="inlineStr">
        <is>
          <t>KETEL ONE VODKA</t>
        </is>
      </c>
      <c r="C1072" s="7">
        <f>VLOOKUP(A1072,SizeData!A$2:B$3839,2,FALSE)</f>
        <v/>
      </c>
      <c r="D1072" s="6" t="n">
        <v>1</v>
      </c>
      <c r="E1072" s="6" t="inlineStr">
        <is>
          <t>R1048944</t>
        </is>
      </c>
      <c r="F1072" s="2" t="n">
        <v>44265</v>
      </c>
      <c r="G1072" s="1" t="n"/>
    </row>
    <row r="1073">
      <c r="A1073" s="6" t="n">
        <v>34458</v>
      </c>
      <c r="B1073" s="6" t="inlineStr">
        <is>
          <t>KETEL ONE VODKA</t>
        </is>
      </c>
      <c r="C1073" s="7">
        <f>VLOOKUP(A1073,SizeData!A$2:B$3839,2,FALSE)</f>
        <v/>
      </c>
      <c r="D1073" s="6" t="n">
        <v>3</v>
      </c>
      <c r="E1073" s="6" t="inlineStr">
        <is>
          <t>R1048944</t>
        </is>
      </c>
      <c r="F1073" s="2" t="n">
        <v>44265</v>
      </c>
      <c r="G1073" s="1" t="n"/>
    </row>
    <row r="1074">
      <c r="A1074" s="6" t="n">
        <v>34458</v>
      </c>
      <c r="B1074" s="6" t="inlineStr">
        <is>
          <t>KETEL ONE VODKA</t>
        </is>
      </c>
      <c r="C1074" s="7">
        <f>VLOOKUP(A1074,SizeData!A$2:B$3839,2,FALSE)</f>
        <v/>
      </c>
      <c r="D1074" s="6" t="n">
        <v>3</v>
      </c>
      <c r="E1074" s="6" t="inlineStr">
        <is>
          <t>R1236687</t>
        </is>
      </c>
      <c r="F1074" s="2" t="n">
        <v>44448</v>
      </c>
      <c r="G1074" s="1" t="n"/>
    </row>
    <row r="1075">
      <c r="A1075" s="6" t="n">
        <v>34458</v>
      </c>
      <c r="B1075" s="6" t="inlineStr">
        <is>
          <t>KETEL ONE VODKA</t>
        </is>
      </c>
      <c r="C1075" s="7">
        <f>VLOOKUP(A1075,SizeData!A$2:B$3839,2,FALSE)</f>
        <v/>
      </c>
      <c r="D1075" s="6" t="n">
        <v>5</v>
      </c>
      <c r="E1075" s="6" t="inlineStr">
        <is>
          <t>R1350337</t>
        </is>
      </c>
      <c r="F1075" s="2" t="n">
        <v>44531</v>
      </c>
      <c r="G1075" s="1" t="n"/>
    </row>
    <row r="1076">
      <c r="A1076" s="6" t="n">
        <v>34546</v>
      </c>
      <c r="B1076" s="6" t="inlineStr">
        <is>
          <t>PEARL VODKA</t>
        </is>
      </c>
      <c r="C1076" s="7">
        <f>VLOOKUP(A1076,SizeData!A$2:B$3839,2,FALSE)</f>
        <v/>
      </c>
      <c r="D1076" s="6" t="n">
        <v>1</v>
      </c>
      <c r="E1076" s="6" t="inlineStr">
        <is>
          <t>R1137831</t>
        </is>
      </c>
      <c r="F1076" s="2" t="n">
        <v>44348</v>
      </c>
      <c r="G1076" s="1" t="n"/>
    </row>
    <row r="1077">
      <c r="A1077" s="6" t="n">
        <v>34546</v>
      </c>
      <c r="B1077" s="6" t="inlineStr">
        <is>
          <t>PEARL VODKA</t>
        </is>
      </c>
      <c r="C1077" s="7">
        <f>VLOOKUP(A1077,SizeData!A$2:B$3839,2,FALSE)</f>
        <v/>
      </c>
      <c r="D1077" s="6" t="n">
        <v>1</v>
      </c>
      <c r="E1077" s="6" t="inlineStr">
        <is>
          <t>R1165810</t>
        </is>
      </c>
      <c r="F1077" s="2" t="n">
        <v>44361</v>
      </c>
      <c r="G1077" s="1" t="n"/>
    </row>
    <row r="1078">
      <c r="A1078" s="6" t="n">
        <v>34546</v>
      </c>
      <c r="B1078" s="6" t="inlineStr">
        <is>
          <t>PEARL VODKA</t>
        </is>
      </c>
      <c r="C1078" s="7">
        <f>VLOOKUP(A1078,SizeData!A$2:B$3839,2,FALSE)</f>
        <v/>
      </c>
      <c r="D1078" s="6" t="n">
        <v>0</v>
      </c>
      <c r="E1078" s="6" t="inlineStr">
        <is>
          <t>R1235270</t>
        </is>
      </c>
      <c r="F1078" s="2" t="n">
        <v>44440</v>
      </c>
      <c r="G1078" s="1" t="n"/>
    </row>
    <row r="1079">
      <c r="A1079" s="6" t="n">
        <v>34546</v>
      </c>
      <c r="B1079" s="6" t="inlineStr">
        <is>
          <t>PEARL VODKA</t>
        </is>
      </c>
      <c r="C1079" s="7">
        <f>VLOOKUP(A1079,SizeData!A$2:B$3839,2,FALSE)</f>
        <v/>
      </c>
      <c r="D1079" s="6" t="n">
        <v>1</v>
      </c>
      <c r="E1079" s="6" t="inlineStr">
        <is>
          <t>R1228454</t>
        </is>
      </c>
      <c r="F1079" s="2" t="n">
        <v>44445</v>
      </c>
      <c r="G1079" s="1" t="n"/>
    </row>
    <row r="1080">
      <c r="A1080" s="6" t="n">
        <v>34546</v>
      </c>
      <c r="B1080" s="6" t="inlineStr">
        <is>
          <t>PEARL VODKA</t>
        </is>
      </c>
      <c r="C1080" s="7">
        <f>VLOOKUP(A1080,SizeData!A$2:B$3839,2,FALSE)</f>
        <v/>
      </c>
      <c r="D1080" s="6" t="n">
        <v>1</v>
      </c>
      <c r="E1080" s="6" t="inlineStr">
        <is>
          <t>R1239466</t>
        </is>
      </c>
      <c r="F1080" s="2" t="n">
        <v>44454</v>
      </c>
      <c r="G1080" s="1" t="n"/>
    </row>
    <row r="1081">
      <c r="A1081" s="6" t="n">
        <v>34546</v>
      </c>
      <c r="B1081" s="6" t="inlineStr">
        <is>
          <t>PEARL VODKA</t>
        </is>
      </c>
      <c r="C1081" s="7">
        <f>VLOOKUP(A1081,SizeData!A$2:B$3839,2,FALSE)</f>
        <v/>
      </c>
      <c r="D1081" s="6" t="n">
        <v>2</v>
      </c>
      <c r="E1081" s="6" t="inlineStr">
        <is>
          <t>R1341373A</t>
        </is>
      </c>
      <c r="F1081" s="2" t="n">
        <v>44531</v>
      </c>
      <c r="G1081" s="1" t="n"/>
    </row>
    <row r="1082">
      <c r="A1082" s="6" t="n">
        <v>34566</v>
      </c>
      <c r="B1082" s="6" t="inlineStr">
        <is>
          <t>PEARL VODKA (PET)</t>
        </is>
      </c>
      <c r="C1082" s="7">
        <f>VLOOKUP(A1082,SizeData!A$2:B$3839,2,FALSE)</f>
        <v/>
      </c>
      <c r="D1082" s="6" t="n">
        <v>14</v>
      </c>
      <c r="E1082" s="6" t="inlineStr">
        <is>
          <t>R1027896</t>
        </is>
      </c>
      <c r="F1082" s="2" t="n">
        <v>44247</v>
      </c>
      <c r="G1082" s="1" t="n"/>
    </row>
    <row r="1083">
      <c r="A1083" s="6" t="n">
        <v>34566</v>
      </c>
      <c r="B1083" s="6" t="inlineStr">
        <is>
          <t>PEARL VODKA (PET)</t>
        </is>
      </c>
      <c r="C1083" s="7">
        <f>VLOOKUP(A1083,SizeData!A$2:B$3839,2,FALSE)</f>
        <v/>
      </c>
      <c r="D1083" s="6" t="n">
        <v>3</v>
      </c>
      <c r="E1083" s="6" t="inlineStr">
        <is>
          <t>R1099557</t>
        </is>
      </c>
      <c r="F1083" s="2" t="n">
        <v>44317</v>
      </c>
      <c r="G1083" s="1" t="n"/>
    </row>
    <row r="1084">
      <c r="A1084" s="6" t="n">
        <v>34566</v>
      </c>
      <c r="B1084" s="6" t="inlineStr">
        <is>
          <t>PEARL VODKA (PET)</t>
        </is>
      </c>
      <c r="C1084" s="7">
        <f>VLOOKUP(A1084,SizeData!A$2:B$3839,2,FALSE)</f>
        <v/>
      </c>
      <c r="D1084" s="6" t="n">
        <v>3</v>
      </c>
      <c r="E1084" s="6" t="inlineStr">
        <is>
          <t>R1135118</t>
        </is>
      </c>
      <c r="F1084" s="2" t="n">
        <v>44321</v>
      </c>
      <c r="G1084" s="1" t="n"/>
    </row>
    <row r="1085">
      <c r="A1085" s="6" t="n">
        <v>34566</v>
      </c>
      <c r="B1085" s="6" t="inlineStr">
        <is>
          <t>PEARL VODKA (PET)</t>
        </is>
      </c>
      <c r="C1085" s="7">
        <f>VLOOKUP(A1085,SizeData!A$2:B$3839,2,FALSE)</f>
        <v/>
      </c>
      <c r="D1085" s="6" t="n">
        <v>7</v>
      </c>
      <c r="E1085" s="6" t="inlineStr">
        <is>
          <t>R1118503</t>
        </is>
      </c>
      <c r="F1085" s="2" t="n">
        <v>44324</v>
      </c>
      <c r="G1085" s="1" t="n"/>
    </row>
    <row r="1086">
      <c r="A1086" s="6" t="n">
        <v>34566</v>
      </c>
      <c r="B1086" s="6" t="inlineStr">
        <is>
          <t>PEARL VODKA (PET)</t>
        </is>
      </c>
      <c r="C1086" s="7">
        <f>VLOOKUP(A1086,SizeData!A$2:B$3839,2,FALSE)</f>
        <v/>
      </c>
      <c r="D1086" s="6" t="n">
        <v>6</v>
      </c>
      <c r="E1086" s="6" t="inlineStr">
        <is>
          <t>R1126982</t>
        </is>
      </c>
      <c r="F1086" s="2" t="n">
        <v>44338</v>
      </c>
      <c r="G1086" s="1" t="n"/>
    </row>
    <row r="1087">
      <c r="A1087" s="6" t="n">
        <v>34566</v>
      </c>
      <c r="B1087" s="6" t="inlineStr">
        <is>
          <t>PEARL VODKA (PET)</t>
        </is>
      </c>
      <c r="C1087" s="7">
        <f>VLOOKUP(A1087,SizeData!A$2:B$3839,2,FALSE)</f>
        <v/>
      </c>
      <c r="D1087" s="6" t="n">
        <v>2</v>
      </c>
      <c r="E1087" s="6" t="inlineStr">
        <is>
          <t>R1206028</t>
        </is>
      </c>
      <c r="F1087" s="2" t="n">
        <v>44417</v>
      </c>
      <c r="G1087" s="1" t="n"/>
    </row>
    <row r="1088">
      <c r="A1088" s="6" t="n">
        <v>34566</v>
      </c>
      <c r="B1088" s="6" t="inlineStr">
        <is>
          <t>PEARL VODKA (PET)</t>
        </is>
      </c>
      <c r="C1088" s="7">
        <f>VLOOKUP(A1088,SizeData!A$2:B$3839,2,FALSE)</f>
        <v/>
      </c>
      <c r="D1088" s="6" t="n">
        <v>4</v>
      </c>
      <c r="E1088" s="6" t="inlineStr">
        <is>
          <t>R1232199</t>
        </is>
      </c>
      <c r="F1088" s="2" t="n">
        <v>44439</v>
      </c>
      <c r="G1088" s="1" t="n"/>
    </row>
    <row r="1089">
      <c r="A1089" s="6" t="n">
        <v>34566</v>
      </c>
      <c r="B1089" s="6" t="inlineStr">
        <is>
          <t>PEARL VODKA (PET)</t>
        </is>
      </c>
      <c r="C1089" s="7">
        <f>VLOOKUP(A1089,SizeData!A$2:B$3839,2,FALSE)</f>
        <v/>
      </c>
      <c r="D1089" s="6" t="n">
        <v>3</v>
      </c>
      <c r="E1089" s="6" t="inlineStr">
        <is>
          <t>R1222187</t>
        </is>
      </c>
      <c r="F1089" s="2" t="n">
        <v>44439</v>
      </c>
      <c r="G1089" s="1" t="n"/>
    </row>
    <row r="1090">
      <c r="A1090" s="6" t="n">
        <v>34566</v>
      </c>
      <c r="B1090" s="6" t="inlineStr">
        <is>
          <t>PEARL VODKA (PET)</t>
        </is>
      </c>
      <c r="C1090" s="7">
        <f>VLOOKUP(A1090,SizeData!A$2:B$3839,2,FALSE)</f>
        <v/>
      </c>
      <c r="D1090" s="6" t="n">
        <v>10</v>
      </c>
      <c r="E1090" s="6" t="inlineStr">
        <is>
          <t>R1301983</t>
        </is>
      </c>
      <c r="F1090" s="2" t="n">
        <v>44501</v>
      </c>
      <c r="G1090" s="1" t="n"/>
    </row>
    <row r="1091">
      <c r="A1091" s="6" t="n">
        <v>34566</v>
      </c>
      <c r="B1091" s="6" t="inlineStr">
        <is>
          <t>PEARL VODKA (PET)</t>
        </is>
      </c>
      <c r="C1091" s="7">
        <f>VLOOKUP(A1091,SizeData!A$2:B$3839,2,FALSE)</f>
        <v/>
      </c>
      <c r="D1091" s="6" t="n">
        <v>9</v>
      </c>
      <c r="E1091" s="6" t="inlineStr">
        <is>
          <t>R1313912</t>
        </is>
      </c>
      <c r="F1091" s="2" t="n">
        <v>44508</v>
      </c>
      <c r="G1091" s="1" t="n"/>
    </row>
    <row r="1092">
      <c r="A1092" s="6" t="n">
        <v>34578</v>
      </c>
      <c r="B1092" s="6" t="inlineStr">
        <is>
          <t>PINNACLE VODKA</t>
        </is>
      </c>
      <c r="C1092" s="7">
        <f>VLOOKUP(A1092,SizeData!A$2:B$3839,2,FALSE)</f>
        <v/>
      </c>
      <c r="D1092" s="6" t="n">
        <v>10</v>
      </c>
      <c r="E1092" s="6" t="inlineStr">
        <is>
          <t>R1043077</t>
        </is>
      </c>
      <c r="F1092" s="2" t="n">
        <v>44260</v>
      </c>
      <c r="G1092" s="1" t="n"/>
    </row>
    <row r="1093">
      <c r="A1093" s="6" t="n">
        <v>34578</v>
      </c>
      <c r="B1093" s="6" t="inlineStr">
        <is>
          <t>PINNACLE VODKA</t>
        </is>
      </c>
      <c r="C1093" s="7">
        <f>VLOOKUP(A1093,SizeData!A$2:B$3839,2,FALSE)</f>
        <v/>
      </c>
      <c r="D1093" s="6" t="n">
        <v>7</v>
      </c>
      <c r="E1093" s="6" t="inlineStr">
        <is>
          <t>R1342961</t>
        </is>
      </c>
      <c r="F1093" s="2" t="n">
        <v>44537</v>
      </c>
      <c r="G1093" s="1" t="n"/>
    </row>
    <row r="1094">
      <c r="A1094" s="6" t="n">
        <v>34579</v>
      </c>
      <c r="B1094" s="6" t="inlineStr">
        <is>
          <t>PINNACLE VODKA</t>
        </is>
      </c>
      <c r="C1094" s="7">
        <f>VLOOKUP(A1094,SizeData!A$2:B$3839,2,FALSE)</f>
        <v/>
      </c>
      <c r="D1094" s="6" t="n">
        <v>1</v>
      </c>
      <c r="E1094" s="6" t="inlineStr">
        <is>
          <t>R1027826</t>
        </is>
      </c>
      <c r="F1094" s="2" t="n">
        <v>44229</v>
      </c>
      <c r="G1094" s="1" t="n"/>
    </row>
    <row r="1095">
      <c r="A1095" s="6" t="n">
        <v>34579</v>
      </c>
      <c r="B1095" s="6" t="inlineStr">
        <is>
          <t>PINNACLE VODKA</t>
        </is>
      </c>
      <c r="C1095" s="7">
        <f>VLOOKUP(A1095,SizeData!A$2:B$3839,2,FALSE)</f>
        <v/>
      </c>
      <c r="D1095" s="6" t="n">
        <v>1</v>
      </c>
      <c r="E1095" s="6" t="inlineStr">
        <is>
          <t xml:space="preserve"> R1125172</t>
        </is>
      </c>
      <c r="F1095" s="2" t="n">
        <v>44322</v>
      </c>
      <c r="G1095" s="1" t="n"/>
    </row>
    <row r="1096">
      <c r="A1096" s="6" t="n">
        <v>34579</v>
      </c>
      <c r="B1096" s="6" t="inlineStr">
        <is>
          <t>PINNACLE VODKA</t>
        </is>
      </c>
      <c r="C1096" s="7">
        <f>VLOOKUP(A1096,SizeData!A$2:B$3839,2,FALSE)</f>
        <v/>
      </c>
      <c r="D1096" s="6" t="n">
        <v>2</v>
      </c>
      <c r="E1096" s="6" t="inlineStr">
        <is>
          <t>R1217867</t>
        </is>
      </c>
      <c r="F1096" s="2" t="n">
        <v>44435</v>
      </c>
      <c r="G1096" s="1" t="n"/>
    </row>
    <row r="1097">
      <c r="A1097" s="6" t="n">
        <v>34579</v>
      </c>
      <c r="B1097" s="6" t="inlineStr">
        <is>
          <t>PINNACLE VODKA</t>
        </is>
      </c>
      <c r="C1097" s="7">
        <f>VLOOKUP(A1097,SizeData!A$2:B$3839,2,FALSE)</f>
        <v/>
      </c>
      <c r="D1097" s="6" t="n">
        <v>2</v>
      </c>
      <c r="E1097" s="6" t="inlineStr">
        <is>
          <t>R1331167</t>
        </is>
      </c>
      <c r="F1097" s="2" t="n">
        <v>44522</v>
      </c>
      <c r="G1097" s="1" t="n"/>
    </row>
    <row r="1098">
      <c r="A1098" s="6" t="n">
        <v>34690</v>
      </c>
      <c r="B1098" s="6" t="inlineStr">
        <is>
          <t>SOBIESKI POLISH VODKA</t>
        </is>
      </c>
      <c r="C1098" s="7">
        <f>VLOOKUP(A1098,SizeData!A$2:B$3839,2,FALSE)</f>
        <v/>
      </c>
      <c r="D1098" s="6" t="n">
        <v>1</v>
      </c>
      <c r="E1098" s="6" t="inlineStr">
        <is>
          <t>R1218485</t>
        </is>
      </c>
      <c r="F1098" s="2" t="n">
        <v>44436</v>
      </c>
      <c r="G1098" s="1" t="n"/>
    </row>
    <row r="1099">
      <c r="A1099" s="6" t="n">
        <v>34690</v>
      </c>
      <c r="B1099" s="6" t="inlineStr">
        <is>
          <t>SOBIESKI POLISH VODKA</t>
        </is>
      </c>
      <c r="C1099" s="7">
        <f>VLOOKUP(A1099,SizeData!A$2:B$3839,2,FALSE)</f>
        <v/>
      </c>
      <c r="D1099" s="6" t="n">
        <v>1</v>
      </c>
      <c r="E1099" s="6" t="inlineStr">
        <is>
          <t>R1301983</t>
        </is>
      </c>
      <c r="F1099" s="2" t="n">
        <v>44501</v>
      </c>
      <c r="G1099" s="1" t="n"/>
    </row>
    <row r="1100">
      <c r="A1100" s="6" t="n">
        <v>34698</v>
      </c>
      <c r="B1100" s="6" t="inlineStr">
        <is>
          <t>PINNACLE VODKA</t>
        </is>
      </c>
      <c r="C1100" s="7">
        <f>VLOOKUP(A1100,SizeData!A$2:B$3839,2,FALSE)</f>
        <v/>
      </c>
      <c r="D1100" s="6" t="n">
        <v>25</v>
      </c>
      <c r="E1100" s="6" t="inlineStr">
        <is>
          <t>R1085294</t>
        </is>
      </c>
      <c r="F1100" s="2" t="n">
        <v>44291</v>
      </c>
      <c r="G1100" s="1" t="n"/>
    </row>
    <row r="1101">
      <c r="A1101" s="31" t="n">
        <v>34698</v>
      </c>
      <c r="B1101" s="31" t="inlineStr">
        <is>
          <t>PINNACLE VODKA</t>
        </is>
      </c>
      <c r="C1101" s="7">
        <f>VLOOKUP(A1101,SizeData!A$2:B$3839,2,FALSE)</f>
        <v/>
      </c>
      <c r="D1101" s="31" t="n">
        <v>10</v>
      </c>
      <c r="E1101" s="31" t="inlineStr">
        <is>
          <t>R1272026</t>
        </is>
      </c>
      <c r="F1101" s="33" t="n">
        <v>44474</v>
      </c>
      <c r="G1101" s="34" t="n"/>
    </row>
    <row r="1102">
      <c r="A1102" s="6" t="n">
        <v>34744</v>
      </c>
      <c r="B1102" s="6" t="inlineStr">
        <is>
          <t>STOLICHNAYA 80 VODKA</t>
        </is>
      </c>
      <c r="C1102" s="7">
        <f>VLOOKUP(A1102,SizeData!A$2:B$3839,2,FALSE)</f>
        <v/>
      </c>
      <c r="D1102" s="6" t="n">
        <v>1</v>
      </c>
      <c r="E1102" s="6" t="inlineStr">
        <is>
          <t>R1028707</t>
        </is>
      </c>
      <c r="F1102" s="2" t="n">
        <v>44229</v>
      </c>
      <c r="G1102" s="1" t="n"/>
    </row>
    <row r="1103">
      <c r="A1103" s="6" t="n">
        <v>34746</v>
      </c>
      <c r="B1103" s="6" t="inlineStr">
        <is>
          <t>STOLICHNAYA 80 VODKA</t>
        </is>
      </c>
      <c r="C1103" s="7">
        <f>VLOOKUP(A1103,SizeData!A$2:B$3839,2,FALSE)</f>
        <v/>
      </c>
      <c r="D1103" s="6" t="n">
        <v>1</v>
      </c>
      <c r="E1103" s="6" t="inlineStr">
        <is>
          <t>R1301983</t>
        </is>
      </c>
      <c r="F1103" s="2" t="n">
        <v>44501</v>
      </c>
      <c r="G1103" s="1" t="n"/>
    </row>
    <row r="1104">
      <c r="A1104" s="6" t="n">
        <v>34753</v>
      </c>
      <c r="B1104" s="6" t="inlineStr">
        <is>
          <t>REYKA ICELAND VODKA</t>
        </is>
      </c>
      <c r="C1104" s="7">
        <f>VLOOKUP(A1104,SizeData!A$2:B$3839,2,FALSE)</f>
        <v/>
      </c>
      <c r="D1104" s="6" t="n">
        <v>1</v>
      </c>
      <c r="E1104" s="6" t="inlineStr">
        <is>
          <t>R1002505</t>
        </is>
      </c>
      <c r="F1104" s="2" t="n">
        <v>44214</v>
      </c>
      <c r="G1104" s="1" t="n"/>
    </row>
    <row r="1105">
      <c r="A1105" s="6" t="n">
        <v>34753</v>
      </c>
      <c r="B1105" s="6" t="inlineStr">
        <is>
          <t>REYKA ICELAND VODKA</t>
        </is>
      </c>
      <c r="C1105" s="7">
        <f>VLOOKUP(A1105,SizeData!A$2:B$3839,2,FALSE)</f>
        <v/>
      </c>
      <c r="D1105" s="6" t="n">
        <v>1</v>
      </c>
      <c r="E1105" s="6" t="inlineStr">
        <is>
          <t>R1259983</t>
        </is>
      </c>
      <c r="F1105" s="2" t="n">
        <v>44479</v>
      </c>
      <c r="G1105" s="1" t="n"/>
    </row>
    <row r="1106">
      <c r="A1106" s="6" t="n">
        <v>34820</v>
      </c>
      <c r="B1106" s="6" t="inlineStr">
        <is>
          <t>SVEDKA SWEDISH VODKA</t>
        </is>
      </c>
      <c r="C1106" s="7">
        <f>VLOOKUP(A1106,SizeData!A$2:B$3839,2,FALSE)</f>
        <v/>
      </c>
      <c r="D1106" s="6" t="n">
        <v>1</v>
      </c>
      <c r="E1106" s="6" t="inlineStr">
        <is>
          <t>R984731</t>
        </is>
      </c>
      <c r="F1106" s="2" t="n">
        <v>44197</v>
      </c>
      <c r="G1106" s="1" t="n"/>
    </row>
    <row r="1107">
      <c r="A1107" s="6" t="n">
        <v>34820</v>
      </c>
      <c r="B1107" s="6" t="inlineStr">
        <is>
          <t>SVEDKA SWEDISH VODKA</t>
        </is>
      </c>
      <c r="C1107" s="7">
        <f>VLOOKUP(A1107,SizeData!A$2:B$3839,2,FALSE)</f>
        <v/>
      </c>
      <c r="D1107" s="6" t="n">
        <v>1</v>
      </c>
      <c r="E1107" s="6" t="inlineStr">
        <is>
          <t>R1015646</t>
        </is>
      </c>
      <c r="F1107" s="2" t="n">
        <v>44223</v>
      </c>
      <c r="G1107" s="1" t="n"/>
    </row>
    <row r="1108">
      <c r="A1108" s="6" t="n">
        <v>34821</v>
      </c>
      <c r="B1108" s="6" t="inlineStr">
        <is>
          <t>SVEDKA SWEDISH VODKA</t>
        </is>
      </c>
      <c r="C1108" s="7">
        <f>VLOOKUP(A1108,SizeData!A$2:B$3839,2,FALSE)</f>
        <v/>
      </c>
      <c r="D1108" s="6" t="n">
        <v>2</v>
      </c>
      <c r="E1108" s="6" t="inlineStr">
        <is>
          <t>R1046038</t>
        </is>
      </c>
      <c r="F1108" s="2" t="n">
        <v>44256</v>
      </c>
      <c r="G1108" s="1" t="n"/>
    </row>
    <row r="1109">
      <c r="A1109" s="6" t="n">
        <v>34821</v>
      </c>
      <c r="B1109" s="6" t="inlineStr">
        <is>
          <t>SVEDKA SWEDISH VODKA</t>
        </is>
      </c>
      <c r="C1109" s="7">
        <f>VLOOKUP(A1109,SizeData!A$2:B$3839,2,FALSE)</f>
        <v/>
      </c>
      <c r="D1109" s="6" t="n">
        <v>1</v>
      </c>
      <c r="E1109" s="6" t="inlineStr">
        <is>
          <t>R1042069</t>
        </is>
      </c>
      <c r="F1109" s="2" t="n">
        <v>44260</v>
      </c>
      <c r="G1109" s="1" t="n"/>
    </row>
    <row r="1110">
      <c r="A1110" s="6" t="n">
        <v>34821</v>
      </c>
      <c r="B1110" s="6" t="inlineStr">
        <is>
          <t>SVEDKA SWEDISH VODKA</t>
        </is>
      </c>
      <c r="C1110" s="7">
        <f>VLOOKUP(A1110,SizeData!A$2:B$3839,2,FALSE)</f>
        <v/>
      </c>
      <c r="D1110" s="6" t="n">
        <v>3</v>
      </c>
      <c r="E1110" s="6" t="inlineStr">
        <is>
          <t>R1039467</t>
        </is>
      </c>
      <c r="F1110" s="2" t="n">
        <v>44266</v>
      </c>
      <c r="G1110" s="1" t="n"/>
    </row>
    <row r="1111">
      <c r="A1111" s="6" t="n">
        <v>34821</v>
      </c>
      <c r="B1111" s="6" t="inlineStr">
        <is>
          <t>SVEDKA SWEDISH VODKA</t>
        </is>
      </c>
      <c r="C1111" s="7">
        <f>VLOOKUP(A1111,SizeData!A$2:B$3839,2,FALSE)</f>
        <v/>
      </c>
      <c r="D1111" s="6" t="n">
        <v>1</v>
      </c>
      <c r="E1111" s="6" t="inlineStr">
        <is>
          <t>R1224208</t>
        </is>
      </c>
      <c r="F1111" s="2" t="n">
        <v>44436</v>
      </c>
      <c r="G1111" s="1" t="n"/>
    </row>
    <row r="1112">
      <c r="A1112" s="6" t="n">
        <v>34821</v>
      </c>
      <c r="B1112" s="6" t="inlineStr">
        <is>
          <t>SVEDKA SWEDISH VODKA</t>
        </is>
      </c>
      <c r="C1112" s="7">
        <f>VLOOKUP(A1112,SizeData!A$2:B$3839,2,FALSE)</f>
        <v/>
      </c>
      <c r="D1112" s="6" t="n">
        <v>1</v>
      </c>
      <c r="E1112" s="6" t="inlineStr">
        <is>
          <t>R1265540</t>
        </is>
      </c>
      <c r="F1112" s="2" t="n">
        <v>44459</v>
      </c>
      <c r="G1112" s="1" t="n"/>
    </row>
    <row r="1113">
      <c r="A1113" s="6" t="n">
        <v>34821</v>
      </c>
      <c r="B1113" s="6" t="inlineStr">
        <is>
          <t>SVEDKA SWEDISH VODKA</t>
        </is>
      </c>
      <c r="C1113" s="7">
        <f>VLOOKUP(A1113,SizeData!A$2:B$3839,2,FALSE)</f>
        <v/>
      </c>
      <c r="D1113" s="6" t="n">
        <v>1</v>
      </c>
      <c r="E1113" s="6" t="inlineStr">
        <is>
          <t>R1267252</t>
        </is>
      </c>
      <c r="F1113" s="2" t="n">
        <v>44470</v>
      </c>
      <c r="G1113" s="1" t="n"/>
    </row>
    <row r="1114">
      <c r="A1114" s="6" t="n">
        <v>34821</v>
      </c>
      <c r="B1114" s="6" t="inlineStr">
        <is>
          <t>SVEDKA SWEDISH VODKA</t>
        </is>
      </c>
      <c r="C1114" s="7">
        <f>VLOOKUP(A1114,SizeData!A$2:B$3839,2,FALSE)</f>
        <v/>
      </c>
      <c r="D1114" s="6" t="n">
        <v>4</v>
      </c>
      <c r="E1114" s="6" t="inlineStr">
        <is>
          <t>R1253669</t>
        </is>
      </c>
      <c r="F1114" s="2" t="n">
        <v>44471</v>
      </c>
      <c r="G1114" s="1" t="n"/>
    </row>
    <row r="1115">
      <c r="A1115" s="6" t="n">
        <v>34821</v>
      </c>
      <c r="B1115" s="6" t="inlineStr">
        <is>
          <t>SVEDKA SWEDISH VODKA</t>
        </is>
      </c>
      <c r="C1115" s="7">
        <f>VLOOKUP(A1115,SizeData!A$2:B$3839,2,FALSE)</f>
        <v/>
      </c>
      <c r="D1115" s="6" t="n">
        <v>2</v>
      </c>
      <c r="E1115" s="6" t="inlineStr">
        <is>
          <t>R1301953</t>
        </is>
      </c>
      <c r="F1115" s="2" t="n">
        <v>44496</v>
      </c>
      <c r="G1115" s="1" t="n"/>
    </row>
    <row r="1116">
      <c r="A1116" s="6" t="n">
        <v>35083</v>
      </c>
      <c r="B1116" s="6" t="inlineStr">
        <is>
          <t>ARISTOCRAT SUPREME VODKA</t>
        </is>
      </c>
      <c r="C1116" s="7">
        <f>VLOOKUP(A1116,SizeData!A$2:B$3839,2,FALSE)</f>
        <v/>
      </c>
      <c r="D1116" s="6" t="n">
        <v>1</v>
      </c>
      <c r="E1116" s="6" t="inlineStr">
        <is>
          <t xml:space="preserve"> R1182859</t>
        </is>
      </c>
      <c r="F1116" s="2" t="n">
        <v>44404</v>
      </c>
      <c r="G1116" s="1" t="n"/>
    </row>
    <row r="1117">
      <c r="A1117" s="6" t="n">
        <v>35083</v>
      </c>
      <c r="B1117" s="6" t="inlineStr">
        <is>
          <t>ARISTOCRAT SUPREME VODKA</t>
        </is>
      </c>
      <c r="C1117" s="7">
        <f>VLOOKUP(A1117,SizeData!A$2:B$3839,2,FALSE)</f>
        <v/>
      </c>
      <c r="D1117" s="6" t="n">
        <v>1</v>
      </c>
      <c r="E1117" s="6" t="inlineStr">
        <is>
          <t>R1323500</t>
        </is>
      </c>
      <c r="F1117" s="2" t="n">
        <v>44518</v>
      </c>
      <c r="G1117" s="1" t="n"/>
    </row>
    <row r="1118">
      <c r="A1118" s="6" t="n">
        <v>35084</v>
      </c>
      <c r="B1118" s="6" t="inlineStr">
        <is>
          <t>ARISTOCRAT SUPREME VODKA</t>
        </is>
      </c>
      <c r="C1118" s="7">
        <f>VLOOKUP(A1118,SizeData!A$2:B$3839,2,FALSE)</f>
        <v/>
      </c>
      <c r="D1118" s="6" t="n">
        <v>1</v>
      </c>
      <c r="E1118" s="6" t="inlineStr">
        <is>
          <t>R1148845</t>
        </is>
      </c>
      <c r="F1118" s="2" t="n">
        <v>44369</v>
      </c>
      <c r="G1118" s="1" t="n"/>
    </row>
    <row r="1119">
      <c r="A1119" s="6" t="n">
        <v>35084</v>
      </c>
      <c r="B1119" s="6" t="inlineStr">
        <is>
          <t>ARISTOCRAT SUPREME VODKA</t>
        </is>
      </c>
      <c r="C1119" s="7">
        <f>VLOOKUP(A1119,SizeData!A$2:B$3839,2,FALSE)</f>
        <v/>
      </c>
      <c r="D1119" s="6" t="n">
        <v>1</v>
      </c>
      <c r="E1119" s="6" t="inlineStr">
        <is>
          <t>R1265400</t>
        </is>
      </c>
      <c r="F1119" s="2" t="n">
        <v>44467</v>
      </c>
      <c r="G1119" s="1" t="n"/>
    </row>
    <row r="1120">
      <c r="A1120" s="6" t="n">
        <v>35084</v>
      </c>
      <c r="B1120" s="6" t="inlineStr">
        <is>
          <t>ARISTOCRAT SUPREME VODKA</t>
        </is>
      </c>
      <c r="C1120" s="7">
        <f>VLOOKUP(A1120,SizeData!A$2:B$3839,2,FALSE)</f>
        <v/>
      </c>
      <c r="D1120" s="6" t="n">
        <v>1</v>
      </c>
      <c r="E1120" s="6" t="inlineStr">
        <is>
          <t>R1318325</t>
        </is>
      </c>
      <c r="F1120" s="2" t="n">
        <v>44509</v>
      </c>
      <c r="G1120" s="1" t="n"/>
    </row>
    <row r="1121">
      <c r="A1121" s="6" t="n">
        <v>35084</v>
      </c>
      <c r="B1121" s="6" t="inlineStr">
        <is>
          <t>ARISTOCRAT SUPREME VODKA</t>
        </is>
      </c>
      <c r="C1121" s="7">
        <f>VLOOKUP(A1121,SizeData!A$2:B$3839,2,FALSE)</f>
        <v/>
      </c>
      <c r="D1121" s="6" t="n">
        <v>2</v>
      </c>
      <c r="E1121" s="6" t="inlineStr">
        <is>
          <t>R1334786</t>
        </is>
      </c>
      <c r="F1121" s="2" t="n">
        <v>44529</v>
      </c>
      <c r="G1121" s="1" t="n"/>
    </row>
    <row r="1122">
      <c r="A1122" s="6" t="n">
        <v>35085</v>
      </c>
      <c r="B1122" s="6" t="inlineStr">
        <is>
          <t>ARISTOCRAT SUPREME VODKA (PET)</t>
        </is>
      </c>
      <c r="C1122" s="7">
        <f>VLOOKUP(A1122,SizeData!A$2:B$3839,2,FALSE)</f>
        <v/>
      </c>
      <c r="D1122" s="6" t="n">
        <v>1</v>
      </c>
      <c r="E1122" s="6" t="inlineStr">
        <is>
          <t>R1056165</t>
        </is>
      </c>
      <c r="F1122" s="2" t="n">
        <v>44266</v>
      </c>
      <c r="G1122" s="1" t="n"/>
    </row>
    <row r="1123">
      <c r="A1123" s="6" t="n">
        <v>35085</v>
      </c>
      <c r="B1123" s="6" t="inlineStr">
        <is>
          <t>ARISTOCRAT SUPREME VODKA (PET)</t>
        </is>
      </c>
      <c r="C1123" s="7">
        <f>VLOOKUP(A1123,SizeData!A$2:B$3839,2,FALSE)</f>
        <v/>
      </c>
      <c r="D1123" s="6" t="n">
        <v>1</v>
      </c>
      <c r="E1123" s="6" t="inlineStr">
        <is>
          <t>R1137596</t>
        </is>
      </c>
      <c r="F1123" s="2" t="n">
        <v>44359</v>
      </c>
      <c r="G1123" s="1" t="n"/>
    </row>
    <row r="1124">
      <c r="A1124" s="6" t="n">
        <v>35085</v>
      </c>
      <c r="B1124" s="6" t="inlineStr">
        <is>
          <t>ARISTOCRAT SUPREME VODKA (PET)</t>
        </is>
      </c>
      <c r="C1124" s="7">
        <f>VLOOKUP(A1124,SizeData!A$2:B$3839,2,FALSE)</f>
        <v/>
      </c>
      <c r="D1124" s="6" t="n">
        <v>1</v>
      </c>
      <c r="E1124" s="6" t="inlineStr">
        <is>
          <t>R1231184</t>
        </is>
      </c>
      <c r="F1124" s="2" t="n">
        <v>44443</v>
      </c>
      <c r="G1124" s="1" t="n"/>
    </row>
    <row r="1125">
      <c r="A1125" s="6" t="n">
        <v>35086</v>
      </c>
      <c r="B1125" s="6" t="inlineStr">
        <is>
          <t>ARISTOCRAT SUPREME VODKA</t>
        </is>
      </c>
      <c r="C1125" s="7">
        <f>VLOOKUP(A1125,SizeData!A$2:B$3839,2,FALSE)</f>
        <v/>
      </c>
      <c r="D1125" s="6" t="n">
        <v>1</v>
      </c>
      <c r="E1125" s="6" t="inlineStr">
        <is>
          <t>R1348543</t>
        </is>
      </c>
      <c r="F1125" s="2" t="n">
        <v>44534</v>
      </c>
      <c r="G1125" s="1" t="n"/>
    </row>
    <row r="1126">
      <c r="A1126" s="6" t="n">
        <v>35088</v>
      </c>
      <c r="B1126" s="6" t="inlineStr">
        <is>
          <t>ARISTOCRAT SUPREME VODKA</t>
        </is>
      </c>
      <c r="C1126" s="7">
        <f>VLOOKUP(A1126,SizeData!A$2:B$3839,2,FALSE)</f>
        <v/>
      </c>
      <c r="D1126" s="6" t="n">
        <v>1</v>
      </c>
      <c r="E1126" s="6" t="inlineStr">
        <is>
          <t>R996697</t>
        </is>
      </c>
      <c r="F1126" s="2" t="n">
        <v>44221</v>
      </c>
      <c r="G1126" s="1" t="n"/>
    </row>
    <row r="1127">
      <c r="A1127" s="6" t="n">
        <v>35088</v>
      </c>
      <c r="B1127" s="6" t="inlineStr">
        <is>
          <t>ARISTOCRAT SUPREME VODKA</t>
        </is>
      </c>
      <c r="C1127" s="7">
        <f>VLOOKUP(A1127,SizeData!A$2:B$3839,2,FALSE)</f>
        <v/>
      </c>
      <c r="D1127" s="6" t="n">
        <v>1</v>
      </c>
      <c r="E1127" s="6" t="inlineStr">
        <is>
          <t>R1011478</t>
        </is>
      </c>
      <c r="F1127" s="2" t="n">
        <v>44226</v>
      </c>
      <c r="G1127" s="1" t="n"/>
    </row>
    <row r="1128">
      <c r="A1128" s="6" t="n">
        <v>35088</v>
      </c>
      <c r="B1128" s="6" t="inlineStr">
        <is>
          <t>ARISTOCRAT SUPREME VODKA</t>
        </is>
      </c>
      <c r="C1128" s="7">
        <f>VLOOKUP(A1128,SizeData!A$2:B$3839,2,FALSE)</f>
        <v/>
      </c>
      <c r="D1128" s="6" t="n">
        <v>1</v>
      </c>
      <c r="E1128" s="6" t="inlineStr">
        <is>
          <t>R1011478</t>
        </is>
      </c>
      <c r="F1128" s="2" t="n">
        <v>44226</v>
      </c>
      <c r="G1128" s="1" t="n"/>
    </row>
    <row r="1129">
      <c r="A1129" s="6" t="n">
        <v>35088</v>
      </c>
      <c r="B1129" s="6" t="inlineStr">
        <is>
          <t>ARISTOCRAT SUPREME VODKA</t>
        </is>
      </c>
      <c r="C1129" s="7">
        <f>VLOOKUP(A1129,SizeData!A$2:B$3839,2,FALSE)</f>
        <v/>
      </c>
      <c r="D1129" s="6" t="n">
        <v>1</v>
      </c>
      <c r="E1129" s="6" t="inlineStr">
        <is>
          <t>R1046414</t>
        </is>
      </c>
      <c r="F1129" s="2" t="n">
        <v>44254</v>
      </c>
      <c r="G1129" s="1" t="n"/>
    </row>
    <row r="1130">
      <c r="A1130" s="6" t="n">
        <v>35088</v>
      </c>
      <c r="B1130" s="6" t="inlineStr">
        <is>
          <t>ARISTOCRAT SUPREME VODKA</t>
        </is>
      </c>
      <c r="C1130" s="7">
        <f>VLOOKUP(A1130,SizeData!A$2:B$3839,2,FALSE)</f>
        <v/>
      </c>
      <c r="D1130" s="6" t="n">
        <v>1</v>
      </c>
      <c r="E1130" s="6" t="inlineStr">
        <is>
          <t>R1083538</t>
        </is>
      </c>
      <c r="F1130" s="2" t="n">
        <v>44292</v>
      </c>
      <c r="G1130" s="1" t="n"/>
    </row>
    <row r="1131">
      <c r="A1131" s="6" t="n">
        <v>35088</v>
      </c>
      <c r="B1131" s="6" t="inlineStr">
        <is>
          <t>ARISTOCRAT SUPREME VODKA</t>
        </is>
      </c>
      <c r="C1131" s="7">
        <f>VLOOKUP(A1131,SizeData!A$2:B$3839,2,FALSE)</f>
        <v/>
      </c>
      <c r="D1131" s="6" t="n">
        <v>1</v>
      </c>
      <c r="E1131" s="6" t="inlineStr">
        <is>
          <t>R1216789</t>
        </is>
      </c>
      <c r="F1131" s="2" t="n">
        <v>44432</v>
      </c>
      <c r="G1131" s="1" t="n"/>
    </row>
    <row r="1132">
      <c r="A1132" s="6" t="n">
        <v>35088</v>
      </c>
      <c r="B1132" s="6" t="inlineStr">
        <is>
          <t>ARISTOCRAT SUPREME VODKA</t>
        </is>
      </c>
      <c r="C1132" s="7">
        <f>VLOOKUP(A1132,SizeData!A$2:B$3839,2,FALSE)</f>
        <v/>
      </c>
      <c r="D1132" s="6" t="n">
        <v>1</v>
      </c>
      <c r="E1132" s="6" t="inlineStr">
        <is>
          <t>R1276082</t>
        </is>
      </c>
      <c r="F1132" s="2" t="n">
        <v>44480</v>
      </c>
      <c r="G1132" s="1" t="n"/>
    </row>
    <row r="1133">
      <c r="A1133" s="6" t="n">
        <v>35088</v>
      </c>
      <c r="B1133" s="6" t="inlineStr">
        <is>
          <t>ARISTOCRAT SUPREME VODKA</t>
        </is>
      </c>
      <c r="C1133" s="7">
        <f>VLOOKUP(A1133,SizeData!A$2:B$3839,2,FALSE)</f>
        <v/>
      </c>
      <c r="D1133" s="6" t="n">
        <v>1</v>
      </c>
      <c r="E1133" s="6" t="inlineStr">
        <is>
          <t>R1274548</t>
        </is>
      </c>
      <c r="F1133" s="2" t="n">
        <v>44485</v>
      </c>
      <c r="G1133" s="1" t="n"/>
    </row>
    <row r="1134">
      <c r="A1134" s="6" t="n">
        <v>35088</v>
      </c>
      <c r="B1134" s="6" t="inlineStr">
        <is>
          <t>ARISTOCRAT SUPREME VODKA</t>
        </is>
      </c>
      <c r="C1134" s="7">
        <f>VLOOKUP(A1134,SizeData!A$2:B$3839,2,FALSE)</f>
        <v/>
      </c>
      <c r="D1134" s="6" t="n">
        <v>3</v>
      </c>
      <c r="E1134" s="6" t="inlineStr">
        <is>
          <t>R1323500</t>
        </is>
      </c>
      <c r="F1134" s="2" t="n">
        <v>44518</v>
      </c>
      <c r="G1134" s="1" t="n"/>
    </row>
    <row r="1135">
      <c r="A1135" s="6" t="n">
        <v>35088</v>
      </c>
      <c r="B1135" s="6" t="inlineStr">
        <is>
          <t>ARISTOCRAT SUPREME VODKA</t>
        </is>
      </c>
      <c r="C1135" s="7">
        <f>VLOOKUP(A1135,SizeData!A$2:B$3839,2,FALSE)</f>
        <v/>
      </c>
      <c r="D1135" s="6" t="n">
        <v>1</v>
      </c>
      <c r="E1135" s="6" t="inlineStr">
        <is>
          <t>R1335695</t>
        </is>
      </c>
      <c r="F1135" s="2" t="n">
        <v>44525</v>
      </c>
      <c r="G1135" s="1" t="n"/>
    </row>
    <row r="1136">
      <c r="A1136" s="6" t="n">
        <v>35213</v>
      </c>
      <c r="B1136" s="6" t="inlineStr">
        <is>
          <t>SOBIESKI POLISH VODKA</t>
        </is>
      </c>
      <c r="C1136" s="7">
        <f>VLOOKUP(A1136,SizeData!A$2:B$3839,2,FALSE)</f>
        <v/>
      </c>
      <c r="D1136" s="6" t="n">
        <v>1</v>
      </c>
      <c r="E1136" s="6" t="inlineStr">
        <is>
          <t>R1007720</t>
        </is>
      </c>
      <c r="F1136" s="2" t="n">
        <v>44216</v>
      </c>
      <c r="G1136" s="1" t="n"/>
    </row>
    <row r="1137">
      <c r="A1137" s="6" t="n">
        <v>35213</v>
      </c>
      <c r="B1137" s="6" t="inlineStr">
        <is>
          <t>SOBIESKI POLISH VODKA</t>
        </is>
      </c>
      <c r="C1137" s="7">
        <f>VLOOKUP(A1137,SizeData!A$2:B$3839,2,FALSE)</f>
        <v/>
      </c>
      <c r="D1137" s="6" t="n">
        <v>1</v>
      </c>
      <c r="E1137" s="6" t="inlineStr">
        <is>
          <t>R1040170</t>
        </is>
      </c>
      <c r="F1137" s="2" t="n">
        <v>44251</v>
      </c>
      <c r="G1137" s="1" t="n"/>
    </row>
    <row r="1138">
      <c r="A1138" s="6" t="n">
        <v>35213</v>
      </c>
      <c r="B1138" s="6" t="inlineStr">
        <is>
          <t>SOBIESKI POLISH VODKA</t>
        </is>
      </c>
      <c r="C1138" s="7">
        <f>VLOOKUP(A1138,SizeData!A$2:B$3839,2,FALSE)</f>
        <v/>
      </c>
      <c r="D1138" s="6" t="n">
        <v>2</v>
      </c>
      <c r="E1138" s="6" t="inlineStr">
        <is>
          <t>R1046038</t>
        </is>
      </c>
      <c r="F1138" s="2" t="n">
        <v>44256</v>
      </c>
      <c r="G1138" s="1" t="n"/>
    </row>
    <row r="1139">
      <c r="A1139" s="6" t="n">
        <v>35213</v>
      </c>
      <c r="B1139" s="6" t="inlineStr">
        <is>
          <t>SOBIESKI POLISH VODKA</t>
        </is>
      </c>
      <c r="C1139" s="7">
        <f>VLOOKUP(A1139,SizeData!A$2:B$3839,2,FALSE)</f>
        <v/>
      </c>
      <c r="D1139" s="6" t="n">
        <v>1</v>
      </c>
      <c r="E1139" s="6" t="inlineStr">
        <is>
          <t>R1047061</t>
        </is>
      </c>
      <c r="F1139" s="2" t="n">
        <v>44259</v>
      </c>
      <c r="G1139" s="1" t="n"/>
    </row>
    <row r="1140">
      <c r="A1140" s="6" t="n">
        <v>35213</v>
      </c>
      <c r="B1140" s="6" t="inlineStr">
        <is>
          <t>SOBIESKI POLISH VODKA</t>
        </is>
      </c>
      <c r="C1140" s="7">
        <f>VLOOKUP(A1140,SizeData!A$2:B$3839,2,FALSE)</f>
        <v/>
      </c>
      <c r="D1140" s="6" t="n">
        <v>1</v>
      </c>
      <c r="E1140" s="6" t="inlineStr">
        <is>
          <t>R1192063</t>
        </is>
      </c>
      <c r="F1140" s="2" t="n">
        <v>44408</v>
      </c>
      <c r="G1140" s="1" t="n"/>
    </row>
    <row r="1141">
      <c r="A1141" s="21" t="n">
        <v>35213</v>
      </c>
      <c r="B1141" s="21" t="inlineStr">
        <is>
          <t>SOBIESKI POLISH VODKA</t>
        </is>
      </c>
      <c r="C1141" s="7">
        <f>VLOOKUP(A1141,SizeData!A$2:B$3839,2,FALSE)</f>
        <v/>
      </c>
      <c r="D1141" s="21" t="n">
        <v>2</v>
      </c>
      <c r="E1141" s="21" t="inlineStr">
        <is>
          <t>R1262670</t>
        </is>
      </c>
      <c r="F1141" s="22" t="n">
        <v>44470</v>
      </c>
      <c r="G1141" s="20" t="n"/>
    </row>
    <row r="1142">
      <c r="A1142" s="21" t="n">
        <v>35213</v>
      </c>
      <c r="B1142" s="21" t="inlineStr">
        <is>
          <t>SOBIESKI POLISH VODKA</t>
        </is>
      </c>
      <c r="C1142" s="7">
        <f>VLOOKUP(A1142,SizeData!A$2:B$3839,2,FALSE)</f>
        <v/>
      </c>
      <c r="D1142" s="21" t="n">
        <v>2</v>
      </c>
      <c r="E1142" s="21" t="inlineStr">
        <is>
          <t>R1264756</t>
        </is>
      </c>
      <c r="F1142" s="22" t="n">
        <v>44472</v>
      </c>
      <c r="G1142" s="20" t="n"/>
    </row>
    <row r="1143">
      <c r="A1143" s="21" t="n">
        <v>35410</v>
      </c>
      <c r="B1143" s="21" t="inlineStr">
        <is>
          <t>BURNETT'S VODKA (CARRY PACK/PET)</t>
        </is>
      </c>
      <c r="C1143" s="7">
        <f>VLOOKUP(A1143,SizeData!A$2:B$3839,2,FALSE)</f>
        <v/>
      </c>
      <c r="D1143" s="21" t="n">
        <v>2</v>
      </c>
      <c r="E1143" s="21" t="inlineStr">
        <is>
          <t>R1008340</t>
        </is>
      </c>
      <c r="F1143" s="22" t="n">
        <v>44222</v>
      </c>
      <c r="G1143" s="20" t="n"/>
    </row>
    <row r="1144">
      <c r="A1144" s="21" t="n">
        <v>35410</v>
      </c>
      <c r="B1144" s="21" t="inlineStr">
        <is>
          <t>BURNETT'S VODKA (CARRY PACK/PET)</t>
        </is>
      </c>
      <c r="C1144" s="7">
        <f>VLOOKUP(A1144,SizeData!A$2:B$3839,2,FALSE)</f>
        <v/>
      </c>
      <c r="D1144" s="21" t="n">
        <v>2</v>
      </c>
      <c r="E1144" s="21" t="inlineStr">
        <is>
          <t>R1172122</t>
        </is>
      </c>
      <c r="F1144" s="22" t="n">
        <v>44390</v>
      </c>
      <c r="G1144" s="20" t="n"/>
    </row>
    <row r="1145">
      <c r="A1145" s="21" t="n">
        <v>35410</v>
      </c>
      <c r="B1145" s="21" t="inlineStr">
        <is>
          <t>BURNETT'S VODKA (CARRY PACK/PET)</t>
        </is>
      </c>
      <c r="C1145" s="7">
        <f>VLOOKUP(A1145,SizeData!A$2:B$3839,2,FALSE)</f>
        <v/>
      </c>
      <c r="D1145" s="21" t="n">
        <v>2</v>
      </c>
      <c r="E1145" s="21" t="inlineStr">
        <is>
          <t>R1170994</t>
        </is>
      </c>
      <c r="F1145" s="22" t="n">
        <v>44394</v>
      </c>
      <c r="G1145" s="20" t="n"/>
    </row>
    <row r="1146">
      <c r="A1146" s="21" t="n">
        <v>35410</v>
      </c>
      <c r="B1146" s="21" t="inlineStr">
        <is>
          <t>BURNETT'S VODKA (CARRY PACK/PET)</t>
        </is>
      </c>
      <c r="C1146" s="7">
        <f>VLOOKUP(A1146,SizeData!A$2:B$3839,2,FALSE)</f>
        <v/>
      </c>
      <c r="D1146" s="21" t="n">
        <v>1</v>
      </c>
      <c r="E1146" s="21" t="inlineStr">
        <is>
          <t>R1189020</t>
        </is>
      </c>
      <c r="F1146" s="22" t="n">
        <v>44406</v>
      </c>
      <c r="G1146" s="20" t="n"/>
    </row>
    <row r="1147">
      <c r="A1147" s="21" t="n">
        <v>35410</v>
      </c>
      <c r="B1147" s="21" t="inlineStr">
        <is>
          <t>BURNETT'S VODKA (CARRY PACK/PET)</t>
        </is>
      </c>
      <c r="C1147" s="7">
        <f>VLOOKUP(A1147,SizeData!A$2:B$3839,2,FALSE)</f>
        <v/>
      </c>
      <c r="D1147" s="21" t="n">
        <v>1</v>
      </c>
      <c r="E1147" s="21" t="inlineStr">
        <is>
          <t>R1356670</t>
        </is>
      </c>
      <c r="F1147" s="22" t="n">
        <v>44539</v>
      </c>
      <c r="G1147" s="20" t="n"/>
    </row>
    <row r="1148">
      <c r="A1148" s="21" t="n">
        <v>35413</v>
      </c>
      <c r="B1148" s="21" t="inlineStr">
        <is>
          <t>BURNETT'S VODKA</t>
        </is>
      </c>
      <c r="C1148" s="7">
        <f>VLOOKUP(A1148,SizeData!A$2:B$3839,2,FALSE)</f>
        <v/>
      </c>
      <c r="D1148" s="21" t="n">
        <v>2</v>
      </c>
      <c r="E1148" s="21" t="inlineStr">
        <is>
          <t>R1013524</t>
        </is>
      </c>
      <c r="F1148" s="22" t="n">
        <v>44229</v>
      </c>
    </row>
    <row r="1149">
      <c r="A1149" s="21" t="n">
        <v>35413</v>
      </c>
      <c r="B1149" s="21" t="inlineStr">
        <is>
          <t>BURNETT'S VODKA</t>
        </is>
      </c>
      <c r="C1149" s="7">
        <f>VLOOKUP(A1149,SizeData!A$2:B$3839,2,FALSE)</f>
        <v/>
      </c>
      <c r="D1149" s="21" t="n">
        <v>3</v>
      </c>
      <c r="E1149" s="21" t="inlineStr">
        <is>
          <t>R1029839</t>
        </is>
      </c>
      <c r="F1149" s="22" t="n">
        <v>44246</v>
      </c>
      <c r="G1149" s="20" t="n"/>
    </row>
    <row r="1150">
      <c r="A1150" s="21" t="n">
        <v>35413</v>
      </c>
      <c r="B1150" s="21" t="inlineStr">
        <is>
          <t>BURNETT'S VODKA</t>
        </is>
      </c>
      <c r="C1150" s="7">
        <f>VLOOKUP(A1150,SizeData!A$2:B$3839,2,FALSE)</f>
        <v/>
      </c>
      <c r="D1150" s="21" t="n">
        <v>10</v>
      </c>
      <c r="E1150" s="21" t="inlineStr">
        <is>
          <t>R1043077</t>
        </is>
      </c>
      <c r="F1150" s="22" t="n">
        <v>44260</v>
      </c>
      <c r="G1150" s="20" t="n"/>
    </row>
    <row r="1151">
      <c r="A1151" s="21" t="n">
        <v>35413</v>
      </c>
      <c r="B1151" s="21" t="inlineStr">
        <is>
          <t>BURNETT'S VODKA</t>
        </is>
      </c>
      <c r="C1151" s="7">
        <f>VLOOKUP(A1151,SizeData!A$2:B$3839,2,FALSE)</f>
        <v/>
      </c>
      <c r="D1151" s="21" t="n">
        <v>15</v>
      </c>
      <c r="E1151" s="21" t="inlineStr">
        <is>
          <t>R1066257</t>
        </is>
      </c>
      <c r="F1151" s="22" t="n">
        <v>44270</v>
      </c>
      <c r="G1151" s="20" t="n"/>
    </row>
    <row r="1152">
      <c r="A1152" s="21" t="n">
        <v>35413</v>
      </c>
      <c r="B1152" s="21" t="inlineStr">
        <is>
          <t>BURNETT'S VODKA</t>
        </is>
      </c>
      <c r="C1152" s="7">
        <f>VLOOKUP(A1152,SizeData!A$2:B$3839,2,FALSE)</f>
        <v/>
      </c>
      <c r="D1152" s="21" t="n">
        <v>15</v>
      </c>
      <c r="E1152" s="21" t="inlineStr">
        <is>
          <t>R1057541</t>
        </is>
      </c>
      <c r="F1152" s="22" t="n">
        <v>44272</v>
      </c>
      <c r="G1152" s="20" t="n"/>
    </row>
    <row r="1153">
      <c r="A1153" s="21" t="n">
        <v>35413</v>
      </c>
      <c r="B1153" s="21" t="inlineStr">
        <is>
          <t>BURNETT'S VODKA</t>
        </is>
      </c>
      <c r="C1153" s="7">
        <f>VLOOKUP(A1153,SizeData!A$2:B$3839,2,FALSE)</f>
        <v/>
      </c>
      <c r="D1153" s="21" t="n">
        <v>6</v>
      </c>
      <c r="E1153" s="21" t="inlineStr">
        <is>
          <t>R1159919</t>
        </is>
      </c>
      <c r="F1153" s="22" t="n">
        <v>44370</v>
      </c>
      <c r="G1153" s="20" t="n"/>
    </row>
    <row r="1154">
      <c r="A1154" s="21" t="n">
        <v>35413</v>
      </c>
      <c r="B1154" s="21" t="inlineStr">
        <is>
          <t>BURNETT'S VODKA</t>
        </is>
      </c>
      <c r="C1154" s="7">
        <f>VLOOKUP(A1154,SizeData!A$2:B$3839,2,FALSE)</f>
        <v/>
      </c>
      <c r="D1154" s="21" t="n">
        <v>6</v>
      </c>
      <c r="E1154" s="21" t="inlineStr">
        <is>
          <t>R1235270</t>
        </is>
      </c>
      <c r="F1154" s="22" t="n">
        <v>44440</v>
      </c>
      <c r="G1154" s="20" t="n"/>
    </row>
    <row r="1155">
      <c r="A1155" s="21" t="n">
        <v>35413</v>
      </c>
      <c r="B1155" s="21" t="inlineStr">
        <is>
          <t>BURNETT'S VODKA</t>
        </is>
      </c>
      <c r="C1155" s="7">
        <f>VLOOKUP(A1155,SizeData!A$2:B$3839,2,FALSE)</f>
        <v/>
      </c>
      <c r="D1155" s="21" t="n">
        <v>10</v>
      </c>
      <c r="E1155" s="21" t="inlineStr">
        <is>
          <t>R1230991</t>
        </is>
      </c>
      <c r="F1155" s="22" t="n">
        <v>44441</v>
      </c>
      <c r="G1155" s="20" t="n"/>
    </row>
    <row r="1156">
      <c r="A1156" s="21" t="n">
        <v>35413</v>
      </c>
      <c r="B1156" s="21" t="inlineStr">
        <is>
          <t>BURNETT'S VODKA</t>
        </is>
      </c>
      <c r="C1156" s="7">
        <f>VLOOKUP(A1156,SizeData!A$2:B$3839,2,FALSE)</f>
        <v/>
      </c>
      <c r="D1156" s="21" t="n">
        <v>1</v>
      </c>
      <c r="E1156" s="21" t="inlineStr">
        <is>
          <t>R1239565</t>
        </is>
      </c>
      <c r="F1156" s="22" t="n">
        <v>44457</v>
      </c>
      <c r="G1156" s="20" t="n"/>
    </row>
    <row r="1157">
      <c r="A1157" s="21" t="n">
        <v>35413</v>
      </c>
      <c r="B1157" s="21" t="inlineStr">
        <is>
          <t>BURNETT'S VODKA</t>
        </is>
      </c>
      <c r="C1157" s="7">
        <f>VLOOKUP(A1157,SizeData!A$2:B$3839,2,FALSE)</f>
        <v/>
      </c>
      <c r="D1157" s="21" t="n">
        <v>2</v>
      </c>
      <c r="E1157" s="21" t="inlineStr">
        <is>
          <t>R1261702</t>
        </is>
      </c>
      <c r="F1157" s="22" t="n">
        <v>44461</v>
      </c>
      <c r="G1157" s="20" t="n"/>
    </row>
    <row r="1158">
      <c r="A1158" s="21" t="n">
        <v>35413</v>
      </c>
      <c r="B1158" s="21" t="inlineStr">
        <is>
          <t>BURNETT'S VODKA</t>
        </is>
      </c>
      <c r="C1158" s="7">
        <f>VLOOKUP(A1158,SizeData!A$2:B$3839,2,FALSE)</f>
        <v/>
      </c>
      <c r="D1158" s="21" t="n">
        <v>3</v>
      </c>
      <c r="E1158" s="21" t="inlineStr">
        <is>
          <t>R1256874</t>
        </is>
      </c>
      <c r="F1158" s="22" t="n">
        <v>44469</v>
      </c>
      <c r="G1158" s="20" t="n"/>
    </row>
    <row r="1159">
      <c r="A1159" s="21" t="n">
        <v>35413</v>
      </c>
      <c r="B1159" s="21" t="inlineStr">
        <is>
          <t>BURNETT'S VODKA</t>
        </is>
      </c>
      <c r="C1159" s="7">
        <f>VLOOKUP(A1159,SizeData!A$2:B$3839,2,FALSE)</f>
        <v/>
      </c>
      <c r="D1159" s="21" t="n">
        <v>10</v>
      </c>
      <c r="E1159" s="21" t="inlineStr">
        <is>
          <t>R1368246</t>
        </is>
      </c>
      <c r="F1159" s="22" t="n">
        <v>44546</v>
      </c>
      <c r="G1159" s="20" t="n"/>
    </row>
    <row r="1160">
      <c r="A1160" s="21" t="n">
        <v>35413</v>
      </c>
      <c r="B1160" s="21" t="inlineStr">
        <is>
          <t>BURNETT'S VODKA</t>
        </is>
      </c>
      <c r="C1160" s="7">
        <f>VLOOKUP(A1160,SizeData!A$2:B$3839,2,FALSE)</f>
        <v/>
      </c>
      <c r="D1160" s="21" t="n">
        <v>10</v>
      </c>
      <c r="E1160" s="21" t="inlineStr">
        <is>
          <t>R1368246</t>
        </is>
      </c>
      <c r="F1160" s="22" t="n">
        <v>44546</v>
      </c>
      <c r="G1160" s="20" t="n"/>
    </row>
    <row r="1161">
      <c r="A1161" s="21" t="n">
        <v>35414</v>
      </c>
      <c r="B1161" s="21" t="inlineStr">
        <is>
          <t>BURNETT'S VODKA</t>
        </is>
      </c>
      <c r="C1161" s="7">
        <f>VLOOKUP(A1161,SizeData!A$2:B$3839,2,FALSE)</f>
        <v/>
      </c>
      <c r="D1161" s="21" t="n">
        <v>2</v>
      </c>
      <c r="E1161" s="21" t="inlineStr">
        <is>
          <t>R1013524</t>
        </is>
      </c>
      <c r="F1161" s="22" t="n">
        <v>44229</v>
      </c>
      <c r="G1161" s="20" t="n"/>
    </row>
    <row r="1162">
      <c r="A1162" s="21" t="n">
        <v>35414</v>
      </c>
      <c r="B1162" s="21" t="inlineStr">
        <is>
          <t>BURNETT'S VODKA</t>
        </is>
      </c>
      <c r="C1162" s="7">
        <f>VLOOKUP(A1162,SizeData!A$2:B$3839,2,FALSE)</f>
        <v/>
      </c>
      <c r="D1162" s="21" t="n">
        <v>2</v>
      </c>
      <c r="E1162" s="21" t="inlineStr">
        <is>
          <t>R1042069</t>
        </is>
      </c>
      <c r="F1162" s="22" t="n">
        <v>44260</v>
      </c>
      <c r="G1162" s="20" t="n"/>
    </row>
    <row r="1163">
      <c r="A1163" s="21" t="n">
        <v>35414</v>
      </c>
      <c r="B1163" s="21" t="inlineStr">
        <is>
          <t>BURNETT'S VODKA</t>
        </is>
      </c>
      <c r="C1163" s="7">
        <f>VLOOKUP(A1163,SizeData!A$2:B$3839,2,FALSE)</f>
        <v/>
      </c>
      <c r="D1163" s="21" t="n">
        <v>6</v>
      </c>
      <c r="E1163" s="21" t="inlineStr">
        <is>
          <t>R1048765</t>
        </is>
      </c>
      <c r="F1163" s="22" t="n">
        <v>44265</v>
      </c>
      <c r="G1163" s="20" t="n"/>
    </row>
    <row r="1164">
      <c r="A1164" s="21" t="n">
        <v>35414</v>
      </c>
      <c r="B1164" s="21" t="inlineStr">
        <is>
          <t>BURNETT'S VODKA</t>
        </is>
      </c>
      <c r="C1164" s="7">
        <f>VLOOKUP(A1164,SizeData!A$2:B$3839,2,FALSE)</f>
        <v/>
      </c>
      <c r="D1164" s="21" t="n">
        <v>3</v>
      </c>
      <c r="E1164" s="21" t="inlineStr">
        <is>
          <t>R1066257</t>
        </is>
      </c>
      <c r="F1164" s="22" t="n">
        <v>44270</v>
      </c>
      <c r="G1164" s="20" t="n"/>
    </row>
    <row r="1165">
      <c r="A1165" s="21" t="n">
        <v>35414</v>
      </c>
      <c r="B1165" s="21" t="inlineStr">
        <is>
          <t>BURNETT'S VODKA</t>
        </is>
      </c>
      <c r="C1165" s="7">
        <f>VLOOKUP(A1165,SizeData!A$2:B$3839,2,FALSE)</f>
        <v/>
      </c>
      <c r="D1165" s="21" t="n">
        <v>6</v>
      </c>
      <c r="E1165" s="21" t="inlineStr">
        <is>
          <t>R1070690</t>
        </is>
      </c>
      <c r="F1165" s="22" t="n">
        <v>44277</v>
      </c>
      <c r="G1165" s="20" t="n"/>
    </row>
    <row r="1166">
      <c r="A1166" s="21" t="n">
        <v>35414</v>
      </c>
      <c r="B1166" s="21" t="inlineStr">
        <is>
          <t>BURNETT'S VODKA</t>
        </is>
      </c>
      <c r="C1166" s="7">
        <f>VLOOKUP(A1166,SizeData!A$2:B$3839,2,FALSE)</f>
        <v/>
      </c>
      <c r="D1166" s="21" t="n">
        <v>4</v>
      </c>
      <c r="E1166" s="21" t="inlineStr">
        <is>
          <t>R1156117</t>
        </is>
      </c>
      <c r="F1166" s="22" t="n">
        <v>44362</v>
      </c>
      <c r="G1166" s="20" t="n"/>
    </row>
    <row r="1167">
      <c r="A1167" s="21" t="n">
        <v>35414</v>
      </c>
      <c r="B1167" s="21" t="inlineStr">
        <is>
          <t>BURNETT'S VODKA</t>
        </is>
      </c>
      <c r="C1167" s="7">
        <f>VLOOKUP(A1167,SizeData!A$2:B$3839,2,FALSE)</f>
        <v/>
      </c>
      <c r="D1167" s="21" t="n">
        <v>5</v>
      </c>
      <c r="E1167" s="21" t="inlineStr">
        <is>
          <t>R1159919</t>
        </is>
      </c>
      <c r="F1167" s="22" t="n">
        <v>44370</v>
      </c>
      <c r="G1167" s="20" t="n"/>
    </row>
    <row r="1168">
      <c r="A1168" s="21" t="n">
        <v>35414</v>
      </c>
      <c r="B1168" s="21" t="inlineStr">
        <is>
          <t>BURNETT'S VODKA</t>
        </is>
      </c>
      <c r="C1168" s="7">
        <f>VLOOKUP(A1168,SizeData!A$2:B$3839,2,FALSE)</f>
        <v/>
      </c>
      <c r="D1168" s="21" t="n">
        <v>4</v>
      </c>
      <c r="E1168" s="21" t="inlineStr">
        <is>
          <t>R1235270</t>
        </is>
      </c>
      <c r="F1168" s="22" t="n">
        <v>44440</v>
      </c>
      <c r="G1168" s="20" t="n"/>
    </row>
    <row r="1169">
      <c r="A1169" s="21" t="n">
        <v>35414</v>
      </c>
      <c r="B1169" s="21" t="inlineStr">
        <is>
          <t>BURNETT'S VODKA</t>
        </is>
      </c>
      <c r="C1169" s="7">
        <f>VLOOKUP(A1169,SizeData!A$2:B$3839,2,FALSE)</f>
        <v/>
      </c>
      <c r="D1169" s="21" t="n">
        <v>10</v>
      </c>
      <c r="E1169" s="21" t="inlineStr">
        <is>
          <t>R1230991</t>
        </is>
      </c>
      <c r="F1169" s="22" t="n">
        <v>44441</v>
      </c>
      <c r="G1169" s="20" t="n"/>
    </row>
    <row r="1170">
      <c r="A1170" s="21" t="n">
        <v>35414</v>
      </c>
      <c r="B1170" s="21" t="inlineStr">
        <is>
          <t>BURNETT'S VODKA</t>
        </is>
      </c>
      <c r="C1170" s="7">
        <f>VLOOKUP(A1170,SizeData!A$2:B$3839,2,FALSE)</f>
        <v/>
      </c>
      <c r="D1170" s="21" t="n">
        <v>3</v>
      </c>
      <c r="E1170" s="21" t="inlineStr">
        <is>
          <t>R1239565</t>
        </is>
      </c>
      <c r="F1170" s="22" t="n">
        <v>44457</v>
      </c>
      <c r="G1170" s="20" t="n"/>
    </row>
    <row r="1171">
      <c r="A1171" s="21" t="n">
        <v>35414</v>
      </c>
      <c r="B1171" s="21" t="inlineStr">
        <is>
          <t>BURNETT'S VODKA</t>
        </is>
      </c>
      <c r="C1171" s="7">
        <f>VLOOKUP(A1171,SizeData!A$2:B$3839,2,FALSE)</f>
        <v/>
      </c>
      <c r="D1171" s="21" t="n">
        <v>4</v>
      </c>
      <c r="E1171" s="21" t="inlineStr">
        <is>
          <t>R1256874</t>
        </is>
      </c>
      <c r="F1171" s="22" t="n">
        <v>44469</v>
      </c>
      <c r="G1171" s="20" t="n"/>
    </row>
    <row r="1172">
      <c r="A1172" s="21" t="n">
        <v>35414</v>
      </c>
      <c r="B1172" s="21" t="inlineStr">
        <is>
          <t>BURNETT'S VODKA</t>
        </is>
      </c>
      <c r="C1172" s="7">
        <f>VLOOKUP(A1172,SizeData!A$2:B$3839,2,FALSE)</f>
        <v/>
      </c>
      <c r="D1172" s="21" t="n">
        <v>15</v>
      </c>
      <c r="E1172" s="21" t="inlineStr">
        <is>
          <t>R1346371</t>
        </is>
      </c>
      <c r="F1172" s="22" t="n">
        <v>44532</v>
      </c>
      <c r="G1172" s="20" t="n"/>
    </row>
    <row r="1173">
      <c r="A1173" s="6" t="n">
        <v>35416</v>
      </c>
      <c r="B1173" s="6" t="inlineStr">
        <is>
          <t>BURNETT'S VODKA</t>
        </is>
      </c>
      <c r="C1173" s="7">
        <f>VLOOKUP(A1173,SizeData!A$2:B$3839,2,FALSE)</f>
        <v/>
      </c>
      <c r="D1173" s="6" t="n">
        <v>10</v>
      </c>
      <c r="E1173" s="6" t="inlineStr">
        <is>
          <t>R996759</t>
        </is>
      </c>
      <c r="F1173" s="2" t="n">
        <v>44210</v>
      </c>
      <c r="G1173" s="1" t="n"/>
    </row>
    <row r="1174">
      <c r="A1174" s="6" t="n">
        <v>35416</v>
      </c>
      <c r="B1174" s="6" t="inlineStr">
        <is>
          <t>BURNETT'S VODKA</t>
        </is>
      </c>
      <c r="C1174" s="7">
        <f>VLOOKUP(A1174,SizeData!A$2:B$3839,2,FALSE)</f>
        <v/>
      </c>
      <c r="D1174" s="6" t="n">
        <v>5</v>
      </c>
      <c r="E1174" s="6" t="inlineStr">
        <is>
          <t>R998453</t>
        </is>
      </c>
      <c r="F1174" s="2" t="n">
        <v>44212</v>
      </c>
      <c r="G1174" s="1" t="n"/>
    </row>
    <row r="1175">
      <c r="A1175" s="17" t="n">
        <v>35416</v>
      </c>
      <c r="B1175" s="18" t="inlineStr">
        <is>
          <t>BURNETT'S VODKA</t>
        </is>
      </c>
      <c r="C1175" s="7">
        <f>VLOOKUP(A1175,SizeData!A$2:B$3839,2,FALSE)</f>
        <v/>
      </c>
      <c r="D1175" s="18" t="n">
        <v>5</v>
      </c>
      <c r="E1175" s="24" t="inlineStr">
        <is>
          <t>R1008340</t>
        </is>
      </c>
      <c r="F1175" s="19" t="n">
        <v>44222</v>
      </c>
      <c r="G1175" s="1" t="n"/>
    </row>
    <row r="1176">
      <c r="A1176" s="17" t="n">
        <v>35416</v>
      </c>
      <c r="B1176" s="18" t="inlineStr">
        <is>
          <t>BURNETT'S VODKA</t>
        </is>
      </c>
      <c r="C1176" s="7">
        <f>VLOOKUP(A1176,SizeData!A$2:B$3839,2,FALSE)</f>
        <v/>
      </c>
      <c r="D1176" s="18" t="n">
        <v>10</v>
      </c>
      <c r="E1176" s="24" t="inlineStr">
        <is>
          <t>R1038759</t>
        </is>
      </c>
      <c r="F1176" s="19" t="n">
        <v>44259</v>
      </c>
      <c r="G1176" s="1" t="n"/>
    </row>
    <row r="1177">
      <c r="A1177" s="6" t="n">
        <v>35416</v>
      </c>
      <c r="B1177" s="6" t="inlineStr">
        <is>
          <t>BURNETT'S VODKA</t>
        </is>
      </c>
      <c r="C1177" s="7">
        <f>VLOOKUP(A1177,SizeData!A$2:B$3839,2,FALSE)</f>
        <v/>
      </c>
      <c r="D1177" s="6" t="n">
        <v>10</v>
      </c>
      <c r="E1177" s="6" t="inlineStr">
        <is>
          <t>R1048898</t>
        </is>
      </c>
      <c r="F1177" s="2" t="n">
        <v>44266</v>
      </c>
      <c r="G1177" s="1" t="n"/>
    </row>
    <row r="1178">
      <c r="A1178" s="6" t="n">
        <v>35416</v>
      </c>
      <c r="B1178" s="6" t="inlineStr">
        <is>
          <t>BURNETT'S VODKA</t>
        </is>
      </c>
      <c r="C1178" s="7">
        <f>VLOOKUP(A1178,SizeData!A$2:B$3839,2,FALSE)</f>
        <v/>
      </c>
      <c r="D1178" s="6" t="n">
        <v>2</v>
      </c>
      <c r="E1178" s="6" t="inlineStr">
        <is>
          <t>R1076321</t>
        </is>
      </c>
      <c r="F1178" s="2" t="n">
        <v>44281</v>
      </c>
      <c r="G1178" s="1" t="n"/>
    </row>
    <row r="1179">
      <c r="A1179" s="6" t="n">
        <v>35416</v>
      </c>
      <c r="B1179" s="6" t="inlineStr">
        <is>
          <t>BURNETT'S VODKA</t>
        </is>
      </c>
      <c r="C1179" s="7">
        <f>VLOOKUP(A1179,SizeData!A$2:B$3839,2,FALSE)</f>
        <v/>
      </c>
      <c r="D1179" s="6" t="n">
        <v>2</v>
      </c>
      <c r="E1179" s="6" t="inlineStr">
        <is>
          <t>R1072360</t>
        </is>
      </c>
      <c r="F1179" s="2" t="n">
        <v>44281</v>
      </c>
      <c r="G1179" s="1" t="n"/>
    </row>
    <row r="1180">
      <c r="A1180" s="6" t="n">
        <v>35416</v>
      </c>
      <c r="B1180" s="6" t="inlineStr">
        <is>
          <t>BURNETT'S VODKA</t>
        </is>
      </c>
      <c r="C1180" s="7">
        <f>VLOOKUP(A1180,SizeData!A$2:B$3839,2,FALSE)</f>
        <v/>
      </c>
      <c r="D1180" s="6" t="n">
        <v>3</v>
      </c>
      <c r="E1180" s="6" t="inlineStr">
        <is>
          <t>R1132522</t>
        </is>
      </c>
      <c r="F1180" s="2" t="n">
        <v>44341</v>
      </c>
      <c r="G1180" s="1" t="n"/>
    </row>
    <row r="1181">
      <c r="A1181" s="6" t="n">
        <v>35416</v>
      </c>
      <c r="B1181" s="6" t="inlineStr">
        <is>
          <t>BURNETT'S VODKA</t>
        </is>
      </c>
      <c r="C1181" s="7">
        <f>VLOOKUP(A1181,SizeData!A$2:B$3839,2,FALSE)</f>
        <v/>
      </c>
      <c r="D1181" s="6" t="n">
        <v>4</v>
      </c>
      <c r="E1181" s="6" t="inlineStr">
        <is>
          <t>R1129655</t>
        </is>
      </c>
      <c r="F1181" s="2" t="n">
        <v>44347</v>
      </c>
      <c r="G1181" s="1" t="n"/>
    </row>
    <row r="1182">
      <c r="A1182" s="6" t="n">
        <v>35416</v>
      </c>
      <c r="B1182" s="6" t="inlineStr">
        <is>
          <t>BURNETT'S VODKA</t>
        </is>
      </c>
      <c r="C1182" s="7">
        <f>VLOOKUP(A1182,SizeData!A$2:B$3839,2,FALSE)</f>
        <v/>
      </c>
      <c r="D1182" s="6" t="n">
        <v>4</v>
      </c>
      <c r="E1182" s="6" t="inlineStr">
        <is>
          <t>R1172122</t>
        </is>
      </c>
      <c r="F1182" s="2" t="n">
        <v>44390</v>
      </c>
      <c r="G1182" s="1" t="n"/>
    </row>
    <row r="1183">
      <c r="A1183" s="6" t="n">
        <v>35416</v>
      </c>
      <c r="B1183" s="6" t="inlineStr">
        <is>
          <t>BURNETT'S VODKA</t>
        </is>
      </c>
      <c r="C1183" s="7">
        <f>VLOOKUP(A1183,SizeData!A$2:B$3839,2,FALSE)</f>
        <v/>
      </c>
      <c r="D1183" s="6" t="n">
        <v>1</v>
      </c>
      <c r="E1183" s="6" t="inlineStr">
        <is>
          <t xml:space="preserve"> R1171994</t>
        </is>
      </c>
      <c r="F1183" s="2" t="n">
        <v>44390</v>
      </c>
      <c r="G1183" s="1" t="n"/>
    </row>
    <row r="1184">
      <c r="A1184" s="6" t="n">
        <v>35416</v>
      </c>
      <c r="B1184" s="6" t="inlineStr">
        <is>
          <t>BURNETT'S VODKA</t>
        </is>
      </c>
      <c r="C1184" s="7">
        <f>VLOOKUP(A1184,SizeData!A$2:B$3839,2,FALSE)</f>
        <v/>
      </c>
      <c r="D1184" s="6" t="n">
        <v>4</v>
      </c>
      <c r="E1184" s="6" t="inlineStr">
        <is>
          <t>R1189020</t>
        </is>
      </c>
      <c r="F1184" s="2" t="n">
        <v>44406</v>
      </c>
      <c r="G1184" s="1" t="n"/>
    </row>
    <row r="1185">
      <c r="A1185" s="6" t="n">
        <v>35416</v>
      </c>
      <c r="B1185" s="6" t="inlineStr">
        <is>
          <t>BURNETT'S VODKA</t>
        </is>
      </c>
      <c r="C1185" s="7">
        <f>VLOOKUP(A1185,SizeData!A$2:B$3839,2,FALSE)</f>
        <v/>
      </c>
      <c r="D1185" s="6" t="n">
        <v>8</v>
      </c>
      <c r="E1185" s="6" t="inlineStr">
        <is>
          <t>R1264756</t>
        </is>
      </c>
      <c r="F1185" s="2" t="n">
        <v>44472</v>
      </c>
      <c r="G1185" s="1" t="n"/>
    </row>
    <row r="1186">
      <c r="A1186" s="6" t="n">
        <v>35416</v>
      </c>
      <c r="B1186" s="6" t="inlineStr">
        <is>
          <t>BURNETT'S VODKA</t>
        </is>
      </c>
      <c r="C1186" s="7">
        <f>VLOOKUP(A1186,SizeData!A$2:B$3839,2,FALSE)</f>
        <v/>
      </c>
      <c r="D1186" s="6" t="n">
        <v>3</v>
      </c>
      <c r="E1186" s="6" t="inlineStr">
        <is>
          <t>R1277917</t>
        </is>
      </c>
      <c r="F1186" s="2" t="n">
        <v>44481</v>
      </c>
      <c r="G1186" s="1" t="n"/>
    </row>
    <row r="1187">
      <c r="A1187" s="6" t="n">
        <v>35416</v>
      </c>
      <c r="B1187" s="6" t="inlineStr">
        <is>
          <t>BURNETT'S VODKA</t>
        </is>
      </c>
      <c r="C1187" s="7">
        <f>VLOOKUP(A1187,SizeData!A$2:B$3839,2,FALSE)</f>
        <v/>
      </c>
      <c r="D1187" s="6" t="n">
        <v>5</v>
      </c>
      <c r="E1187" s="6" t="inlineStr">
        <is>
          <t>R1356670</t>
        </is>
      </c>
      <c r="F1187" s="2" t="n">
        <v>44539</v>
      </c>
      <c r="G1187" s="1" t="n"/>
    </row>
    <row r="1188">
      <c r="A1188" s="6" t="n">
        <v>35417</v>
      </c>
      <c r="B1188" s="6" t="inlineStr">
        <is>
          <t>BURNETT'S VODKA</t>
        </is>
      </c>
      <c r="C1188" s="7">
        <f>VLOOKUP(A1188,SizeData!A$2:B$3839,2,FALSE)</f>
        <v/>
      </c>
      <c r="D1188" s="6" t="n">
        <v>1</v>
      </c>
      <c r="E1188" s="6" t="inlineStr">
        <is>
          <t>R1050757</t>
        </is>
      </c>
      <c r="F1188" s="2" t="n">
        <v>44258</v>
      </c>
      <c r="G1188" s="1" t="n"/>
    </row>
    <row r="1189">
      <c r="A1189" s="6" t="n">
        <v>35417</v>
      </c>
      <c r="B1189" s="6" t="inlineStr">
        <is>
          <t>BURNETT'S VODKA</t>
        </is>
      </c>
      <c r="C1189" s="7">
        <f>VLOOKUP(A1189,SizeData!A$2:B$3839,2,FALSE)</f>
        <v/>
      </c>
      <c r="D1189" s="6" t="n">
        <v>5</v>
      </c>
      <c r="E1189" s="6" t="inlineStr">
        <is>
          <t>R1074089</t>
        </is>
      </c>
      <c r="F1189" s="2" t="n">
        <v>44288</v>
      </c>
      <c r="G1189" s="1" t="n"/>
    </row>
    <row r="1190">
      <c r="A1190" s="6" t="n">
        <v>35417</v>
      </c>
      <c r="B1190" s="6" t="inlineStr">
        <is>
          <t>BURNETT'S VODKA</t>
        </is>
      </c>
      <c r="C1190" s="7">
        <f>VLOOKUP(A1190,SizeData!A$2:B$3839,2,FALSE)</f>
        <v/>
      </c>
      <c r="D1190" s="6" t="n">
        <v>10</v>
      </c>
      <c r="E1190" s="6" t="inlineStr">
        <is>
          <t>R1085364</t>
        </is>
      </c>
      <c r="F1190" s="2" t="n">
        <v>44289</v>
      </c>
      <c r="G1190" s="1" t="n"/>
    </row>
    <row r="1191">
      <c r="A1191" s="6" t="n">
        <v>35417</v>
      </c>
      <c r="B1191" s="6" t="inlineStr">
        <is>
          <t>BURNETT'S VODKA</t>
        </is>
      </c>
      <c r="C1191" s="7">
        <f>VLOOKUP(A1191,SizeData!A$2:B$3839,2,FALSE)</f>
        <v/>
      </c>
      <c r="D1191" s="6" t="n">
        <v>5</v>
      </c>
      <c r="E1191" s="6" t="inlineStr">
        <is>
          <t>R1092837</t>
        </is>
      </c>
      <c r="F1191" s="2" t="n">
        <v>44299</v>
      </c>
      <c r="G1191" s="1" t="n"/>
    </row>
    <row r="1192">
      <c r="A1192" s="6" t="n">
        <v>35417</v>
      </c>
      <c r="B1192" s="6" t="inlineStr">
        <is>
          <t>BURNETT'S VODKA</t>
        </is>
      </c>
      <c r="C1192" s="7">
        <f>VLOOKUP(A1192,SizeData!A$2:B$3839,2,FALSE)</f>
        <v/>
      </c>
      <c r="D1192" s="6" t="n">
        <v>5</v>
      </c>
      <c r="E1192" s="6" t="inlineStr">
        <is>
          <t>R1099905</t>
        </is>
      </c>
      <c r="F1192" s="2" t="n">
        <v>44310</v>
      </c>
      <c r="G1192" s="1" t="n"/>
    </row>
    <row r="1193">
      <c r="A1193" s="6" t="n">
        <v>35417</v>
      </c>
      <c r="B1193" s="6" t="inlineStr">
        <is>
          <t>BURNETT'S VODKA</t>
        </is>
      </c>
      <c r="C1193" s="7">
        <f>VLOOKUP(A1193,SizeData!A$2:B$3839,2,FALSE)</f>
        <v/>
      </c>
      <c r="D1193" s="6" t="n">
        <v>2</v>
      </c>
      <c r="E1193" s="6" t="inlineStr">
        <is>
          <t>R1156117</t>
        </is>
      </c>
      <c r="F1193" s="2" t="n">
        <v>44362</v>
      </c>
      <c r="G1193" s="1" t="n"/>
    </row>
    <row r="1194">
      <c r="A1194" s="6" t="n">
        <v>35417</v>
      </c>
      <c r="B1194" s="6" t="inlineStr">
        <is>
          <t>BURNETT'S VODKA</t>
        </is>
      </c>
      <c r="C1194" s="7">
        <f>VLOOKUP(A1194,SizeData!A$2:B$3839,2,FALSE)</f>
        <v/>
      </c>
      <c r="D1194" s="6" t="n">
        <v>1</v>
      </c>
      <c r="E1194" s="6" t="inlineStr">
        <is>
          <t>R1153323</t>
        </is>
      </c>
      <c r="F1194" s="2" t="n">
        <v>44369</v>
      </c>
      <c r="G1194" s="1" t="n"/>
    </row>
    <row r="1195">
      <c r="A1195" s="6" t="n">
        <v>35417</v>
      </c>
      <c r="B1195" s="6" t="inlineStr">
        <is>
          <t>BURNETT'S VODKA</t>
        </is>
      </c>
      <c r="C1195" s="7">
        <f>VLOOKUP(A1195,SizeData!A$2:B$3839,2,FALSE)</f>
        <v/>
      </c>
      <c r="D1195" s="6" t="n">
        <v>6</v>
      </c>
      <c r="E1195" s="6" t="inlineStr">
        <is>
          <t>R1159919</t>
        </is>
      </c>
      <c r="F1195" s="2" t="n">
        <v>44370</v>
      </c>
      <c r="G1195" s="1" t="n"/>
    </row>
    <row r="1196">
      <c r="A1196" s="6" t="n">
        <v>35417</v>
      </c>
      <c r="B1196" s="6" t="inlineStr">
        <is>
          <t>BURNETT'S VODKA</t>
        </is>
      </c>
      <c r="C1196" s="7">
        <f>VLOOKUP(A1196,SizeData!A$2:B$3839,2,FALSE)</f>
        <v/>
      </c>
      <c r="D1196" s="6" t="n">
        <v>3</v>
      </c>
      <c r="E1196" s="6" t="inlineStr">
        <is>
          <t>R1230991</t>
        </is>
      </c>
      <c r="F1196" s="2" t="n">
        <v>44441</v>
      </c>
      <c r="G1196" s="1" t="n"/>
    </row>
    <row r="1197">
      <c r="A1197" s="6" t="n">
        <v>35417</v>
      </c>
      <c r="B1197" s="6" t="inlineStr">
        <is>
          <t>BURNETT'S VODKA</t>
        </is>
      </c>
      <c r="C1197" s="7">
        <f>VLOOKUP(A1197,SizeData!A$2:B$3839,2,FALSE)</f>
        <v/>
      </c>
      <c r="D1197" s="6" t="n">
        <v>10</v>
      </c>
      <c r="E1197" s="6" t="inlineStr">
        <is>
          <t>R1239106</t>
        </is>
      </c>
      <c r="F1197" s="2" t="n">
        <v>44447</v>
      </c>
      <c r="G1197" s="1" t="n"/>
    </row>
    <row r="1198">
      <c r="A1198" s="6" t="n">
        <v>35418</v>
      </c>
      <c r="B1198" s="6" t="inlineStr">
        <is>
          <t>BURNETT'S VODKA</t>
        </is>
      </c>
      <c r="C1198" s="7">
        <f>VLOOKUP(A1198,SizeData!A$2:B$3839,2,FALSE)</f>
        <v/>
      </c>
      <c r="D1198" s="6" t="n">
        <v>10</v>
      </c>
      <c r="E1198" s="6" t="inlineStr">
        <is>
          <t>R1118503</t>
        </is>
      </c>
      <c r="F1198" s="2" t="n">
        <v>44324</v>
      </c>
      <c r="G1198" s="1" t="n"/>
    </row>
    <row r="1199">
      <c r="A1199" s="6" t="n">
        <v>35418</v>
      </c>
      <c r="B1199" s="6" t="inlineStr">
        <is>
          <t>BURNETT'S VODKA</t>
        </is>
      </c>
      <c r="C1199" s="7">
        <f>VLOOKUP(A1199,SizeData!A$2:B$3839,2,FALSE)</f>
        <v/>
      </c>
      <c r="D1199" s="6" t="n">
        <v>4</v>
      </c>
      <c r="E1199" s="6" t="inlineStr">
        <is>
          <t>R1111874</t>
        </is>
      </c>
      <c r="F1199" s="2" t="n">
        <v>44326</v>
      </c>
      <c r="G1199" s="1" t="n"/>
    </row>
    <row r="1200">
      <c r="A1200" s="6" t="n">
        <v>35418</v>
      </c>
      <c r="B1200" s="6" t="inlineStr">
        <is>
          <t>BURNETT'S VODKA</t>
        </is>
      </c>
      <c r="C1200" s="7">
        <f>VLOOKUP(A1200,SizeData!A$2:B$3839,2,FALSE)</f>
        <v/>
      </c>
      <c r="D1200" s="6" t="n">
        <v>5</v>
      </c>
      <c r="E1200" s="6" t="inlineStr">
        <is>
          <t>R1111272</t>
        </is>
      </c>
      <c r="F1200" s="2" t="n">
        <v>44327</v>
      </c>
      <c r="G1200" s="1" t="n"/>
    </row>
    <row r="1201">
      <c r="A1201" s="6" t="n">
        <v>35418</v>
      </c>
      <c r="B1201" s="6" t="inlineStr">
        <is>
          <t>BURNETT'S VODKA</t>
        </is>
      </c>
      <c r="C1201" s="7">
        <f>VLOOKUP(A1201,SizeData!A$2:B$3839,2,FALSE)</f>
        <v/>
      </c>
      <c r="D1201" s="6" t="n">
        <v>10</v>
      </c>
      <c r="E1201" s="6" t="inlineStr">
        <is>
          <t>R1307558</t>
        </is>
      </c>
      <c r="F1201" s="2" t="n">
        <v>44502</v>
      </c>
      <c r="G1201" s="1" t="n"/>
    </row>
    <row r="1202">
      <c r="A1202" s="6" t="n">
        <v>35418</v>
      </c>
      <c r="B1202" s="6" t="inlineStr">
        <is>
          <t>BURNETT'S VODKA</t>
        </is>
      </c>
      <c r="C1202" s="7">
        <f>VLOOKUP(A1202,SizeData!A$2:B$3839,2,FALSE)</f>
        <v/>
      </c>
      <c r="D1202" s="6" t="n">
        <v>5</v>
      </c>
      <c r="E1202" s="6" t="inlineStr">
        <is>
          <t>R1310843</t>
        </is>
      </c>
      <c r="F1202" s="2" t="n">
        <v>44502</v>
      </c>
      <c r="G1202" s="1" t="n"/>
    </row>
    <row r="1203">
      <c r="A1203" s="6" t="n">
        <v>35418</v>
      </c>
      <c r="B1203" s="6" t="inlineStr">
        <is>
          <t>BURNETT'S VODKA</t>
        </is>
      </c>
      <c r="C1203" s="7">
        <f>VLOOKUP(A1203,SizeData!A$2:B$3839,2,FALSE)</f>
        <v/>
      </c>
      <c r="D1203" s="6" t="n">
        <v>4</v>
      </c>
      <c r="E1203" s="6" t="inlineStr">
        <is>
          <t>R1315248</t>
        </is>
      </c>
      <c r="F1203" s="2" t="n">
        <v>44502</v>
      </c>
      <c r="G1203" s="1" t="n"/>
    </row>
    <row r="1204">
      <c r="A1204" s="6" t="n">
        <v>35418</v>
      </c>
      <c r="B1204" s="6" t="inlineStr">
        <is>
          <t>BURNETT'S VODKA</t>
        </is>
      </c>
      <c r="C1204" s="7">
        <f>VLOOKUP(A1204,SizeData!A$2:B$3839,2,FALSE)</f>
        <v/>
      </c>
      <c r="D1204" s="6" t="n">
        <v>10</v>
      </c>
      <c r="E1204" s="6" t="inlineStr">
        <is>
          <t xml:space="preserve"> R1326045</t>
        </is>
      </c>
      <c r="F1204" s="2" t="n">
        <v>44515</v>
      </c>
      <c r="G1204" s="1" t="n"/>
    </row>
    <row r="1205">
      <c r="A1205" s="6" t="n">
        <v>35418</v>
      </c>
      <c r="B1205" s="6" t="inlineStr">
        <is>
          <t>BURNETT'S VODKA</t>
        </is>
      </c>
      <c r="C1205" s="7">
        <f>VLOOKUP(A1205,SizeData!A$2:B$3839,2,FALSE)</f>
        <v/>
      </c>
      <c r="D1205" s="6" t="n">
        <v>40</v>
      </c>
      <c r="E1205" s="6" t="inlineStr">
        <is>
          <t>R1314553</t>
        </is>
      </c>
      <c r="F1205" s="2" t="n">
        <v>44516</v>
      </c>
      <c r="G1205" s="1" t="n"/>
    </row>
    <row r="1206">
      <c r="A1206" s="6" t="n">
        <v>35529</v>
      </c>
      <c r="B1206" s="6" t="inlineStr">
        <is>
          <t>PINNACLE 100 PROOF VODKA</t>
        </is>
      </c>
      <c r="C1206" s="7">
        <f>VLOOKUP(A1206,SizeData!A$2:B$3839,2,FALSE)</f>
        <v/>
      </c>
      <c r="D1206" s="6" t="n">
        <v>2</v>
      </c>
      <c r="E1206" s="6" t="inlineStr">
        <is>
          <t>R1033413</t>
        </is>
      </c>
      <c r="F1206" s="2" t="n">
        <v>44250</v>
      </c>
      <c r="G1206" s="1" t="n"/>
    </row>
    <row r="1207">
      <c r="A1207" s="21" t="n">
        <v>35529</v>
      </c>
      <c r="B1207" s="21" t="inlineStr">
        <is>
          <t>PINNACLE 100 PROOF VODKA</t>
        </is>
      </c>
      <c r="C1207" s="7">
        <f>VLOOKUP(A1207,SizeData!A$2:B$3839,2,FALSE)</f>
        <v/>
      </c>
      <c r="D1207" s="21" t="n">
        <v>2</v>
      </c>
      <c r="E1207" s="21" t="inlineStr">
        <is>
          <t>R1225343</t>
        </is>
      </c>
      <c r="F1207" s="22" t="n">
        <v>44427</v>
      </c>
      <c r="G1207" s="20" t="n"/>
    </row>
    <row r="1208">
      <c r="A1208" s="6" t="n">
        <v>35568</v>
      </c>
      <c r="B1208" s="6" t="inlineStr">
        <is>
          <t>VESICA VODKA</t>
        </is>
      </c>
      <c r="C1208" s="7">
        <f>VLOOKUP(A1208,SizeData!A$2:B$3839,2,FALSE)</f>
        <v/>
      </c>
      <c r="D1208" s="6" t="n">
        <v>1</v>
      </c>
      <c r="E1208" s="6" t="inlineStr">
        <is>
          <t>R1053588</t>
        </is>
      </c>
      <c r="F1208" s="2" t="n">
        <v>44278</v>
      </c>
      <c r="G1208" s="1" t="n"/>
    </row>
    <row r="1209">
      <c r="A1209" s="6" t="n">
        <v>35568</v>
      </c>
      <c r="B1209" s="6" t="inlineStr">
        <is>
          <t>VESICA VODKA</t>
        </is>
      </c>
      <c r="C1209" s="7">
        <f>VLOOKUP(A1209,SizeData!A$2:B$3839,2,FALSE)</f>
        <v/>
      </c>
      <c r="D1209" s="6" t="n">
        <v>1</v>
      </c>
      <c r="E1209" s="6" t="inlineStr">
        <is>
          <t>R1301804</t>
        </is>
      </c>
      <c r="F1209" s="2" t="n">
        <v>44492</v>
      </c>
      <c r="G1209" s="1" t="n"/>
    </row>
    <row r="1210">
      <c r="A1210" s="6" t="n">
        <v>35568</v>
      </c>
      <c r="B1210" s="6" t="inlineStr">
        <is>
          <t>VESICA VODKA</t>
        </is>
      </c>
      <c r="C1210" s="7">
        <f>VLOOKUP(A1210,SizeData!A$2:B$3839,2,FALSE)</f>
        <v/>
      </c>
      <c r="D1210" s="6" t="n">
        <v>0</v>
      </c>
      <c r="E1210" s="6" t="inlineStr">
        <is>
          <t>R1320287</t>
        </is>
      </c>
      <c r="F1210" s="2" t="n">
        <v>44506</v>
      </c>
      <c r="G1210" s="1" t="n"/>
    </row>
    <row r="1211">
      <c r="A1211" s="6" t="n">
        <v>35592</v>
      </c>
      <c r="B1211" s="6" t="inlineStr">
        <is>
          <t>CATHEAD VODKA</t>
        </is>
      </c>
      <c r="C1211" s="7">
        <f>VLOOKUP(A1211,SizeData!A$2:B$3839,2,FALSE)</f>
        <v/>
      </c>
      <c r="D1211" s="6" t="n">
        <v>1</v>
      </c>
      <c r="E1211" s="6" t="inlineStr">
        <is>
          <t>R1096915</t>
        </is>
      </c>
      <c r="F1211" s="2" t="n">
        <v>44303</v>
      </c>
      <c r="G1211" s="1" t="n"/>
    </row>
    <row r="1212">
      <c r="A1212" s="6" t="n">
        <v>35592</v>
      </c>
      <c r="B1212" s="6" t="inlineStr">
        <is>
          <t>CATHEAD VODKA</t>
        </is>
      </c>
      <c r="C1212" s="7">
        <f>VLOOKUP(A1212,SizeData!A$2:B$3839,2,FALSE)</f>
        <v/>
      </c>
      <c r="D1212" s="6" t="n">
        <v>1</v>
      </c>
      <c r="E1212" s="6" t="inlineStr">
        <is>
          <t xml:space="preserve"> R1182859</t>
        </is>
      </c>
      <c r="F1212" s="2" t="n">
        <v>44404</v>
      </c>
      <c r="G1212" s="1" t="n"/>
    </row>
    <row r="1213">
      <c r="A1213" s="6" t="n">
        <v>35592</v>
      </c>
      <c r="B1213" s="6" t="inlineStr">
        <is>
          <t>CATHEAD VODKA</t>
        </is>
      </c>
      <c r="C1213" s="7">
        <f>VLOOKUP(A1213,SizeData!A$2:B$3839,2,FALSE)</f>
        <v/>
      </c>
      <c r="D1213" s="6" t="n">
        <v>1</v>
      </c>
      <c r="E1213" s="6" t="inlineStr">
        <is>
          <t>R1265540</t>
        </is>
      </c>
      <c r="F1213" s="2" t="n">
        <v>44459</v>
      </c>
      <c r="G1213" s="1" t="n"/>
    </row>
    <row r="1214">
      <c r="A1214" s="6" t="n">
        <v>35626</v>
      </c>
      <c r="B1214" s="6" t="inlineStr">
        <is>
          <t>PINNACLE WHIPPED CREAM VODKA</t>
        </is>
      </c>
      <c r="C1214" s="7">
        <f>VLOOKUP(A1214,SizeData!A$2:B$3839,2,FALSE)</f>
        <v/>
      </c>
      <c r="D1214" s="6" t="n">
        <v>1</v>
      </c>
      <c r="E1214" s="6" t="inlineStr">
        <is>
          <t>R1135118</t>
        </is>
      </c>
      <c r="F1214" s="2" t="n">
        <v>44321</v>
      </c>
      <c r="G1214" s="1" t="n"/>
    </row>
    <row r="1215">
      <c r="A1215" s="6" t="n">
        <v>35628</v>
      </c>
      <c r="B1215" s="6" t="inlineStr">
        <is>
          <t>PINNACLE WHIPPED CREAM VODKA</t>
        </is>
      </c>
      <c r="C1215" s="7">
        <f>VLOOKUP(A1215,SizeData!A$2:B$3839,2,FALSE)</f>
        <v/>
      </c>
      <c r="D1215" s="6" t="n">
        <v>1</v>
      </c>
      <c r="E1215" s="6" t="inlineStr">
        <is>
          <t>R1041173</t>
        </is>
      </c>
      <c r="F1215" s="2" t="n">
        <v>44257</v>
      </c>
      <c r="G1215" s="1" t="n"/>
    </row>
    <row r="1216">
      <c r="A1216" s="6" t="n">
        <v>35628</v>
      </c>
      <c r="B1216" s="6" t="inlineStr">
        <is>
          <t>PINNACLE WHIPPED CREAM VODKA</t>
        </is>
      </c>
      <c r="C1216" s="7">
        <f>VLOOKUP(A1216,SizeData!A$2:B$3839,2,FALSE)</f>
        <v/>
      </c>
      <c r="D1216" s="6" t="n">
        <v>2</v>
      </c>
      <c r="E1216" s="6" t="inlineStr">
        <is>
          <t>R1050757</t>
        </is>
      </c>
      <c r="F1216" s="2" t="n">
        <v>44258</v>
      </c>
      <c r="G1216" s="1" t="n"/>
    </row>
    <row r="1217">
      <c r="A1217" s="6" t="n">
        <v>35628</v>
      </c>
      <c r="B1217" s="6" t="inlineStr">
        <is>
          <t>PINNACLE WHIPPED CREAM VODKA</t>
        </is>
      </c>
      <c r="C1217" s="7">
        <f>VLOOKUP(A1217,SizeData!A$2:B$3839,2,FALSE)</f>
        <v/>
      </c>
      <c r="D1217" s="6" t="n">
        <v>3</v>
      </c>
      <c r="E1217" s="6" t="inlineStr">
        <is>
          <t>R1245880</t>
        </is>
      </c>
      <c r="F1217" s="2" t="n">
        <v>44453</v>
      </c>
      <c r="G1217" s="1" t="n"/>
    </row>
    <row r="1218">
      <c r="A1218" s="6" t="n">
        <v>35648</v>
      </c>
      <c r="B1218" s="6" t="inlineStr">
        <is>
          <t>CROWN RUSSE VODKA</t>
        </is>
      </c>
      <c r="C1218" s="7">
        <f>VLOOKUP(A1218,SizeData!A$2:B$3839,2,FALSE)</f>
        <v/>
      </c>
      <c r="D1218" s="6" t="n">
        <v>1</v>
      </c>
      <c r="E1218" s="6" t="inlineStr">
        <is>
          <t>R998453</t>
        </is>
      </c>
      <c r="F1218" s="2" t="n">
        <v>44212</v>
      </c>
      <c r="G1218" s="1" t="n"/>
    </row>
    <row r="1219">
      <c r="A1219" s="6" t="n">
        <v>35648</v>
      </c>
      <c r="B1219" s="6" t="inlineStr">
        <is>
          <t>CROWN RUSSE VODKA</t>
        </is>
      </c>
      <c r="C1219" s="7">
        <f>VLOOKUP(A1219,SizeData!A$2:B$3839,2,FALSE)</f>
        <v/>
      </c>
      <c r="D1219" s="6" t="n">
        <v>2</v>
      </c>
      <c r="E1219" s="6" t="inlineStr">
        <is>
          <t>R996697</t>
        </is>
      </c>
      <c r="F1219" s="2" t="n">
        <v>44221</v>
      </c>
      <c r="G1219" s="1" t="n"/>
    </row>
    <row r="1220">
      <c r="A1220" s="6" t="n">
        <v>35648</v>
      </c>
      <c r="B1220" s="6" t="inlineStr">
        <is>
          <t>CROWN RUSSE VODKA</t>
        </is>
      </c>
      <c r="C1220" s="7">
        <f>VLOOKUP(A1220,SizeData!A$2:B$3839,2,FALSE)</f>
        <v/>
      </c>
      <c r="D1220" s="6" t="n">
        <v>2</v>
      </c>
      <c r="E1220" s="6" t="inlineStr">
        <is>
          <t>R1016443</t>
        </is>
      </c>
      <c r="F1220" s="2" t="n">
        <v>44226</v>
      </c>
      <c r="G1220" s="1" t="n"/>
    </row>
    <row r="1221">
      <c r="A1221" s="6" t="n">
        <v>35648</v>
      </c>
      <c r="B1221" s="6" t="inlineStr">
        <is>
          <t>CROWN RUSSE VODKA</t>
        </is>
      </c>
      <c r="C1221" s="7">
        <f>VLOOKUP(A1221,SizeData!A$2:B$3839,2,FALSE)</f>
        <v/>
      </c>
      <c r="D1221" s="6" t="n">
        <v>1</v>
      </c>
      <c r="E1221" s="6" t="inlineStr">
        <is>
          <t>R1047061</t>
        </is>
      </c>
      <c r="F1221" s="2" t="n">
        <v>44259</v>
      </c>
      <c r="G1221" s="1" t="n"/>
    </row>
    <row r="1222">
      <c r="A1222" s="6" t="n">
        <v>35648</v>
      </c>
      <c r="B1222" s="6" t="inlineStr">
        <is>
          <t>CROWN RUSSE VODKA</t>
        </is>
      </c>
      <c r="C1222" s="7">
        <f>VLOOKUP(A1222,SizeData!A$2:B$3839,2,FALSE)</f>
        <v/>
      </c>
      <c r="D1222" s="6" t="n">
        <v>2</v>
      </c>
      <c r="E1222" s="6" t="inlineStr">
        <is>
          <t>R1042069</t>
        </is>
      </c>
      <c r="F1222" s="2" t="n">
        <v>44260</v>
      </c>
      <c r="G1222" s="1" t="n"/>
    </row>
    <row r="1223">
      <c r="A1223" s="6" t="n">
        <v>35648</v>
      </c>
      <c r="B1223" s="6" t="inlineStr">
        <is>
          <t>CROWN RUSSE VODKA</t>
        </is>
      </c>
      <c r="C1223" s="7">
        <f>VLOOKUP(A1223,SizeData!A$2:B$3839,2,FALSE)</f>
        <v/>
      </c>
      <c r="D1223" s="6" t="n">
        <v>2</v>
      </c>
      <c r="E1223" s="6" t="inlineStr">
        <is>
          <t>R1058084</t>
        </is>
      </c>
      <c r="F1223" s="2" t="n">
        <v>44277</v>
      </c>
      <c r="G1223" s="1" t="n"/>
    </row>
    <row r="1224">
      <c r="A1224" s="6" t="n">
        <v>35648</v>
      </c>
      <c r="B1224" s="6" t="inlineStr">
        <is>
          <t>CROWN RUSSE VODKA</t>
        </is>
      </c>
      <c r="C1224" s="7">
        <f>VLOOKUP(A1224,SizeData!A$2:B$3839,2,FALSE)</f>
        <v/>
      </c>
      <c r="D1224" s="6" t="n">
        <v>1</v>
      </c>
      <c r="E1224" s="6" t="inlineStr">
        <is>
          <t>R1083538</t>
        </is>
      </c>
      <c r="F1224" s="2" t="n">
        <v>44292</v>
      </c>
      <c r="G1224" s="1" t="n"/>
    </row>
    <row r="1225">
      <c r="A1225" s="6" t="n">
        <v>35648</v>
      </c>
      <c r="B1225" s="6" t="inlineStr">
        <is>
          <t>CROWN RUSSE VODKA</t>
        </is>
      </c>
      <c r="C1225" s="7">
        <f>VLOOKUP(A1225,SizeData!A$2:B$3839,2,FALSE)</f>
        <v/>
      </c>
      <c r="D1225" s="6" t="n">
        <v>1</v>
      </c>
      <c r="E1225" s="6" t="inlineStr">
        <is>
          <t>R1110509</t>
        </is>
      </c>
      <c r="F1225" s="2" t="n">
        <v>44306</v>
      </c>
      <c r="G1225" s="1" t="n"/>
    </row>
    <row r="1226">
      <c r="A1226" s="6" t="n">
        <v>35648</v>
      </c>
      <c r="B1226" s="6" t="inlineStr">
        <is>
          <t>CROWN RUSSE VODKA</t>
        </is>
      </c>
      <c r="C1226" s="7">
        <f>VLOOKUP(A1226,SizeData!A$2:B$3839,2,FALSE)</f>
        <v/>
      </c>
      <c r="D1226" s="6" t="n">
        <v>1</v>
      </c>
      <c r="E1226" s="6" t="inlineStr">
        <is>
          <t>R1115090</t>
        </is>
      </c>
      <c r="F1226" s="2" t="n">
        <v>44315</v>
      </c>
      <c r="G1226" s="1" t="n"/>
    </row>
    <row r="1227">
      <c r="A1227" s="6" t="n">
        <v>35648</v>
      </c>
      <c r="B1227" s="6" t="inlineStr">
        <is>
          <t>CROWN RUSSE VODKA</t>
        </is>
      </c>
      <c r="C1227" s="7">
        <f>VLOOKUP(A1227,SizeData!A$2:B$3839,2,FALSE)</f>
        <v/>
      </c>
      <c r="D1227" s="6" t="n">
        <v>1</v>
      </c>
      <c r="E1227" s="6" t="inlineStr">
        <is>
          <t>R1121370</t>
        </is>
      </c>
      <c r="F1227" s="2" t="n">
        <v>44331</v>
      </c>
      <c r="G1227" s="1" t="n"/>
    </row>
    <row r="1228">
      <c r="A1228" s="6" t="n">
        <v>35648</v>
      </c>
      <c r="B1228" s="6" t="inlineStr">
        <is>
          <t>CROWN RUSSE VODKA</t>
        </is>
      </c>
      <c r="C1228" s="7">
        <f>VLOOKUP(A1228,SizeData!A$2:B$3839,2,FALSE)</f>
        <v/>
      </c>
      <c r="D1228" s="6" t="n">
        <v>1</v>
      </c>
      <c r="E1228" s="6" t="inlineStr">
        <is>
          <t>R1127639</t>
        </is>
      </c>
      <c r="F1228" s="2" t="n">
        <v>44341</v>
      </c>
      <c r="G1228" s="1" t="n"/>
    </row>
    <row r="1229">
      <c r="A1229" s="6" t="n">
        <v>35648</v>
      </c>
      <c r="B1229" s="6" t="inlineStr">
        <is>
          <t>CROWN RUSSE VODKA</t>
        </is>
      </c>
      <c r="C1229" s="7">
        <f>VLOOKUP(A1229,SizeData!A$2:B$3839,2,FALSE)</f>
        <v/>
      </c>
      <c r="D1229" s="6" t="n">
        <v>2</v>
      </c>
      <c r="E1229" s="6" t="inlineStr">
        <is>
          <t>R1151004</t>
        </is>
      </c>
      <c r="F1229" s="2" t="n">
        <v>44358</v>
      </c>
      <c r="G1229" s="1" t="n"/>
    </row>
    <row r="1230">
      <c r="A1230" s="6" t="n">
        <v>35648</v>
      </c>
      <c r="B1230" s="6" t="inlineStr">
        <is>
          <t>CROWN RUSSE VODKA</t>
        </is>
      </c>
      <c r="C1230" s="7">
        <f>VLOOKUP(A1230,SizeData!A$2:B$3839,2,FALSE)</f>
        <v/>
      </c>
      <c r="D1230" s="6" t="n">
        <v>2</v>
      </c>
      <c r="E1230" s="6" t="inlineStr">
        <is>
          <t>R1161476</t>
        </is>
      </c>
      <c r="F1230" s="2" t="n">
        <v>44372</v>
      </c>
      <c r="G1230" s="1" t="n"/>
    </row>
    <row r="1231">
      <c r="A1231" s="6" t="n">
        <v>35648</v>
      </c>
      <c r="B1231" s="6" t="inlineStr">
        <is>
          <t>CROWN RUSSE VODKA</t>
        </is>
      </c>
      <c r="C1231" s="7">
        <f>VLOOKUP(A1231,SizeData!A$2:B$3839,2,FALSE)</f>
        <v/>
      </c>
      <c r="D1231" s="6" t="n">
        <v>2</v>
      </c>
      <c r="E1231" s="6" t="inlineStr">
        <is>
          <t>R1185778</t>
        </is>
      </c>
      <c r="F1231" s="2" t="n">
        <v>44399</v>
      </c>
      <c r="G1231" s="1" t="n"/>
    </row>
    <row r="1232">
      <c r="A1232" s="6" t="n">
        <v>35648</v>
      </c>
      <c r="B1232" s="6" t="inlineStr">
        <is>
          <t>CROWN RUSSE VODKA</t>
        </is>
      </c>
      <c r="C1232" s="7">
        <f>VLOOKUP(A1232,SizeData!A$2:B$3839,2,FALSE)</f>
        <v/>
      </c>
      <c r="D1232" s="6" t="n">
        <v>2</v>
      </c>
      <c r="E1232" s="6" t="inlineStr">
        <is>
          <t>R1197185</t>
        </is>
      </c>
      <c r="F1232" s="2" t="n">
        <v>44412</v>
      </c>
      <c r="G1232" s="1" t="n"/>
    </row>
    <row r="1233">
      <c r="A1233" s="6" t="n">
        <v>35648</v>
      </c>
      <c r="B1233" s="6" t="inlineStr">
        <is>
          <t>CROWN RUSSE VODKA</t>
        </is>
      </c>
      <c r="C1233" s="7">
        <f>VLOOKUP(A1233,SizeData!A$2:B$3839,2,FALSE)</f>
        <v/>
      </c>
      <c r="D1233" s="6" t="n">
        <v>2</v>
      </c>
      <c r="E1233" s="6" t="inlineStr">
        <is>
          <t>R1216789</t>
        </is>
      </c>
      <c r="F1233" s="2" t="n">
        <v>44432</v>
      </c>
      <c r="G1233" s="1" t="n"/>
    </row>
    <row r="1234">
      <c r="A1234" s="6" t="n">
        <v>35648</v>
      </c>
      <c r="B1234" s="6" t="inlineStr">
        <is>
          <t>CROWN RUSSE VODKA</t>
        </is>
      </c>
      <c r="C1234" s="7">
        <f>VLOOKUP(A1234,SizeData!A$2:B$3839,2,FALSE)</f>
        <v/>
      </c>
      <c r="D1234" s="6" t="n">
        <v>1</v>
      </c>
      <c r="E1234" s="6" t="inlineStr">
        <is>
          <t>R1276082</t>
        </is>
      </c>
      <c r="F1234" s="2" t="n">
        <v>44480</v>
      </c>
      <c r="G1234" s="1" t="n"/>
    </row>
    <row r="1235">
      <c r="A1235" s="6" t="n">
        <v>35648</v>
      </c>
      <c r="B1235" s="6" t="inlineStr">
        <is>
          <t>CROWN RUSSE VODKA</t>
        </is>
      </c>
      <c r="C1235" s="7">
        <f>VLOOKUP(A1235,SizeData!A$2:B$3839,2,FALSE)</f>
        <v/>
      </c>
      <c r="D1235" s="6" t="n">
        <v>1</v>
      </c>
      <c r="E1235" s="6" t="inlineStr">
        <is>
          <t>R1279942</t>
        </is>
      </c>
      <c r="F1235" s="2" t="n">
        <v>44487</v>
      </c>
      <c r="G1235" s="1" t="n"/>
    </row>
    <row r="1236">
      <c r="A1236" s="6" t="n">
        <v>35648</v>
      </c>
      <c r="B1236" s="6" t="inlineStr">
        <is>
          <t>CROWN RUSSE VODKA</t>
        </is>
      </c>
      <c r="C1236" s="7">
        <f>VLOOKUP(A1236,SizeData!A$2:B$3839,2,FALSE)</f>
        <v/>
      </c>
      <c r="D1236" s="6" t="n">
        <v>2</v>
      </c>
      <c r="E1236" s="6" t="inlineStr">
        <is>
          <t>R1307558</t>
        </is>
      </c>
      <c r="F1236" s="2" t="n">
        <v>44502</v>
      </c>
      <c r="G1236" s="1" t="n"/>
    </row>
    <row r="1237">
      <c r="A1237" s="6" t="n">
        <v>35648</v>
      </c>
      <c r="B1237" s="6" t="inlineStr">
        <is>
          <t>CROWN RUSSE VODKA</t>
        </is>
      </c>
      <c r="C1237" s="7">
        <f>VLOOKUP(A1237,SizeData!A$2:B$3839,2,FALSE)</f>
        <v/>
      </c>
      <c r="D1237" s="6" t="n">
        <v>3</v>
      </c>
      <c r="E1237" s="6" t="inlineStr">
        <is>
          <t>R1335595</t>
        </is>
      </c>
      <c r="F1237" s="2" t="n">
        <v>44520</v>
      </c>
      <c r="G1237" s="1" t="n"/>
    </row>
    <row r="1238">
      <c r="A1238" s="6" t="n">
        <v>35648</v>
      </c>
      <c r="B1238" s="6" t="inlineStr">
        <is>
          <t>CROWN RUSSE VODKA</t>
        </is>
      </c>
      <c r="C1238" s="7">
        <f>VLOOKUP(A1238,SizeData!A$2:B$3839,2,FALSE)</f>
        <v/>
      </c>
      <c r="D1238" s="6" t="n">
        <v>3</v>
      </c>
      <c r="E1238" s="6" t="inlineStr">
        <is>
          <t>R1352452</t>
        </is>
      </c>
      <c r="F1238" s="2" t="n">
        <v>44536</v>
      </c>
      <c r="G1238" s="1" t="n"/>
    </row>
    <row r="1239">
      <c r="A1239" s="6" t="n">
        <v>35903</v>
      </c>
      <c r="B1239" s="6" t="inlineStr">
        <is>
          <t>BAREFOOT BUBBLY MOSCATO SPUMANTE</t>
        </is>
      </c>
      <c r="C1239" s="7">
        <f>VLOOKUP(A1239,SizeData!A$2:B$3839,2,FALSE)</f>
        <v/>
      </c>
      <c r="D1239" s="6" t="n">
        <v>2</v>
      </c>
      <c r="E1239" s="6" t="inlineStr">
        <is>
          <t>R1008939</t>
        </is>
      </c>
      <c r="F1239" s="2" t="n">
        <v>44220</v>
      </c>
      <c r="G1239" s="1" t="n"/>
    </row>
    <row r="1240">
      <c r="A1240" s="6" t="n">
        <v>35903</v>
      </c>
      <c r="B1240" s="6" t="inlineStr">
        <is>
          <t>WODKA VODKA</t>
        </is>
      </c>
      <c r="C1240" s="7">
        <f>VLOOKUP(A1240,SizeData!A$2:B$3839,2,FALSE)</f>
        <v/>
      </c>
      <c r="D1240" s="6" t="n">
        <v>1</v>
      </c>
      <c r="E1240" s="6" t="inlineStr">
        <is>
          <t>R998453</t>
        </is>
      </c>
      <c r="F1240" s="2" t="n">
        <v>44212</v>
      </c>
      <c r="G1240" s="1" t="n"/>
    </row>
    <row r="1241">
      <c r="A1241" s="6" t="n">
        <v>35903</v>
      </c>
      <c r="B1241" s="6" t="inlineStr">
        <is>
          <t>WODKA VODKA</t>
        </is>
      </c>
      <c r="C1241" s="7">
        <f>VLOOKUP(A1241,SizeData!A$2:B$3839,2,FALSE)</f>
        <v/>
      </c>
      <c r="D1241" s="6" t="n">
        <v>1</v>
      </c>
      <c r="E1241" s="6" t="inlineStr">
        <is>
          <t>R1096915</t>
        </is>
      </c>
      <c r="F1241" s="2" t="n">
        <v>44303</v>
      </c>
      <c r="G1241" s="1" t="n"/>
    </row>
    <row r="1242">
      <c r="A1242" s="6" t="n">
        <v>35903</v>
      </c>
      <c r="B1242" s="6" t="inlineStr">
        <is>
          <t>WODKA VODKA</t>
        </is>
      </c>
      <c r="C1242" s="7">
        <f>VLOOKUP(A1242,SizeData!A$2:B$3839,2,FALSE)</f>
        <v/>
      </c>
      <c r="D1242" s="6" t="n">
        <v>1</v>
      </c>
      <c r="E1242" s="6" t="inlineStr">
        <is>
          <t xml:space="preserve"> R1133829</t>
        </is>
      </c>
      <c r="F1242" s="2" t="n">
        <v>44350</v>
      </c>
      <c r="G1242" s="1" t="n"/>
    </row>
    <row r="1243">
      <c r="A1243" s="6" t="n">
        <v>35903</v>
      </c>
      <c r="B1243" s="6" t="inlineStr">
        <is>
          <t>WODKA VODKA</t>
        </is>
      </c>
      <c r="C1243" s="7">
        <f>VLOOKUP(A1243,SizeData!A$2:B$3839,2,FALSE)</f>
        <v/>
      </c>
      <c r="D1243" s="6" t="n">
        <v>1</v>
      </c>
      <c r="E1243" s="6" t="inlineStr">
        <is>
          <t>R1173248</t>
        </is>
      </c>
      <c r="F1243" s="2" t="n">
        <v>44393</v>
      </c>
      <c r="G1243" s="1" t="n"/>
    </row>
    <row r="1244">
      <c r="A1244" s="6" t="n">
        <v>35903</v>
      </c>
      <c r="B1244" s="6" t="inlineStr">
        <is>
          <t>WODKA VODKA</t>
        </is>
      </c>
      <c r="C1244" s="7">
        <f>VLOOKUP(A1244,SizeData!A$2:B$3839,2,FALSE)</f>
        <v/>
      </c>
      <c r="D1244" s="6" t="n">
        <v>1</v>
      </c>
      <c r="E1244" s="6" t="inlineStr">
        <is>
          <t>R1209774</t>
        </is>
      </c>
      <c r="F1244" s="2" t="n">
        <v>44433</v>
      </c>
      <c r="G1244" s="1" t="n"/>
    </row>
    <row r="1245">
      <c r="A1245" s="6" t="n">
        <v>35903</v>
      </c>
      <c r="B1245" s="6" t="inlineStr">
        <is>
          <t>WODKA VODKA</t>
        </is>
      </c>
      <c r="C1245" s="7">
        <f>VLOOKUP(A1245,SizeData!A$2:B$3839,2,FALSE)</f>
        <v/>
      </c>
      <c r="D1245" s="6" t="n">
        <v>0</v>
      </c>
      <c r="E1245" s="6" t="inlineStr">
        <is>
          <t>R1259313</t>
        </is>
      </c>
      <c r="F1245" s="2" t="n">
        <v>44467</v>
      </c>
      <c r="G1245" s="1" t="n"/>
    </row>
    <row r="1246">
      <c r="A1246" s="6" t="n">
        <v>35903</v>
      </c>
      <c r="B1246" s="6" t="inlineStr">
        <is>
          <t>WODKA VODKA</t>
        </is>
      </c>
      <c r="C1246" s="7">
        <f>VLOOKUP(A1246,SizeData!A$2:B$3839,2,FALSE)</f>
        <v/>
      </c>
      <c r="D1246" s="6" t="n">
        <v>1</v>
      </c>
      <c r="E1246" s="6" t="inlineStr">
        <is>
          <t>R1287055</t>
        </is>
      </c>
      <c r="F1246" s="2" t="n">
        <v>44482</v>
      </c>
      <c r="G1246" s="1" t="n"/>
    </row>
    <row r="1247">
      <c r="A1247" s="6" t="n">
        <v>35953</v>
      </c>
      <c r="B1247" s="6" t="inlineStr">
        <is>
          <t>PINNACLE PINEAPPLE FLAVORED VODKA</t>
        </is>
      </c>
      <c r="C1247" s="7">
        <f>VLOOKUP(A1247,SizeData!A$2:B$3839,2,FALSE)</f>
        <v/>
      </c>
      <c r="D1247" s="6" t="n">
        <v>2</v>
      </c>
      <c r="E1247" s="6" t="inlineStr">
        <is>
          <t>R1092837</t>
        </is>
      </c>
      <c r="F1247" s="2" t="n">
        <v>44299</v>
      </c>
      <c r="G1247" s="1" t="n"/>
    </row>
    <row r="1248">
      <c r="A1248" s="6" t="n">
        <v>35953</v>
      </c>
      <c r="B1248" s="6" t="inlineStr">
        <is>
          <t>PINNACLE PINEAPPLE FLAVORED VODKA</t>
        </is>
      </c>
      <c r="C1248" s="7">
        <f>VLOOKUP(A1248,SizeData!A$2:B$3839,2,FALSE)</f>
        <v/>
      </c>
      <c r="D1248" s="6" t="n">
        <v>1</v>
      </c>
      <c r="E1248" s="6" t="inlineStr">
        <is>
          <t>R1224208</t>
        </is>
      </c>
      <c r="F1248" s="2" t="n">
        <v>44436</v>
      </c>
      <c r="G1248" s="1" t="n"/>
    </row>
    <row r="1249">
      <c r="A1249" s="6" t="n">
        <v>35953</v>
      </c>
      <c r="B1249" s="6" t="inlineStr">
        <is>
          <t>PINNACLE PINEAPPLE FLAVORED VODKA</t>
        </is>
      </c>
      <c r="C1249" s="7">
        <f>VLOOKUP(A1249,SizeData!A$2:B$3839,2,FALSE)</f>
        <v/>
      </c>
      <c r="D1249" s="6" t="n">
        <v>1</v>
      </c>
      <c r="E1249" s="6" t="inlineStr">
        <is>
          <t>R1235270</t>
        </is>
      </c>
      <c r="F1249" s="2" t="n">
        <v>44440</v>
      </c>
      <c r="G1249" s="1" t="n"/>
    </row>
    <row r="1250">
      <c r="A1250" s="6" t="n">
        <v>36576</v>
      </c>
      <c r="B1250" s="6" t="inlineStr">
        <is>
          <t>SVEDKA BLUE RASPBERRY</t>
        </is>
      </c>
      <c r="C1250" s="7">
        <f>VLOOKUP(A1250,SizeData!A$2:B$3839,2,FALSE)</f>
        <v/>
      </c>
      <c r="D1250" s="6" t="n">
        <v>1</v>
      </c>
      <c r="E1250" s="6" t="inlineStr">
        <is>
          <t>R984731</t>
        </is>
      </c>
      <c r="F1250" s="2" t="n">
        <v>44197</v>
      </c>
      <c r="G1250" s="1" t="n"/>
    </row>
    <row r="1251">
      <c r="A1251" s="6" t="n">
        <v>36576</v>
      </c>
      <c r="B1251" s="6" t="inlineStr">
        <is>
          <t>SVEDKA BLUE RASPBERRY</t>
        </is>
      </c>
      <c r="C1251" s="7">
        <f>VLOOKUP(A1251,SizeData!A$2:B$3839,2,FALSE)</f>
        <v/>
      </c>
      <c r="D1251" s="6" t="n">
        <v>1</v>
      </c>
      <c r="E1251" s="6" t="inlineStr">
        <is>
          <t>R996697</t>
        </is>
      </c>
      <c r="F1251" s="2" t="n">
        <v>44221</v>
      </c>
      <c r="G1251" s="1" t="n"/>
    </row>
    <row r="1252">
      <c r="A1252" s="6" t="n">
        <v>36697</v>
      </c>
      <c r="B1252" s="6" t="inlineStr">
        <is>
          <t>BELVEDERE UNFILTERED SOMGORY FORES</t>
        </is>
      </c>
      <c r="C1252" s="7">
        <f>VLOOKUP(A1252,SizeData!A$2:B$3839,2,FALSE)</f>
        <v/>
      </c>
      <c r="D1252" s="6" t="n">
        <v>1</v>
      </c>
      <c r="E1252" s="6" t="inlineStr">
        <is>
          <t>R1032609</t>
        </is>
      </c>
      <c r="F1252" s="2" t="n">
        <v>44246</v>
      </c>
      <c r="G1252" s="1" t="n"/>
    </row>
    <row r="1253">
      <c r="A1253" s="6" t="n">
        <v>36697</v>
      </c>
      <c r="B1253" s="6" t="inlineStr">
        <is>
          <t>BELVEDERE UNFILTERED SOMGORY FOREST SINGLE ESTATE</t>
        </is>
      </c>
      <c r="C1253" s="7">
        <f>VLOOKUP(A1253,SizeData!A$2:B$3839,2,FALSE)</f>
        <v/>
      </c>
      <c r="D1253" s="6" t="n">
        <v>2</v>
      </c>
      <c r="E1253" s="6" t="inlineStr">
        <is>
          <t>R1011478</t>
        </is>
      </c>
      <c r="F1253" s="2" t="n">
        <v>44226</v>
      </c>
      <c r="G1253" s="1" t="n"/>
    </row>
    <row r="1254">
      <c r="A1254" s="6" t="n">
        <v>36871</v>
      </c>
      <c r="B1254" s="6" t="inlineStr">
        <is>
          <t>CIROC PREMIUM VODKA</t>
        </is>
      </c>
      <c r="C1254" s="7">
        <f>VLOOKUP(A1254,SizeData!A$2:B$3839,2,FALSE)</f>
        <v/>
      </c>
      <c r="D1254" s="6" t="n">
        <v>3</v>
      </c>
      <c r="E1254" s="6" t="inlineStr">
        <is>
          <t>R998330</t>
        </is>
      </c>
      <c r="F1254" s="2" t="n">
        <v>44207</v>
      </c>
      <c r="G1254" s="1" t="n"/>
    </row>
    <row r="1255">
      <c r="A1255" s="6" t="n">
        <v>36871</v>
      </c>
      <c r="B1255" s="6" t="inlineStr">
        <is>
          <t>CIROC PREMIUM VODKA</t>
        </is>
      </c>
      <c r="C1255" s="7">
        <f>VLOOKUP(A1255,SizeData!A$2:B$3839,2,FALSE)</f>
        <v/>
      </c>
      <c r="D1255" s="6" t="n">
        <v>3</v>
      </c>
      <c r="E1255" s="6" t="inlineStr">
        <is>
          <t>R1012115</t>
        </is>
      </c>
      <c r="F1255" s="2" t="n">
        <v>44223</v>
      </c>
      <c r="G1255" s="1" t="n"/>
    </row>
    <row r="1256">
      <c r="A1256" s="6" t="n">
        <v>36871</v>
      </c>
      <c r="B1256" s="6" t="inlineStr">
        <is>
          <t>CIROC PREMIUM VODKA</t>
        </is>
      </c>
      <c r="C1256" s="7">
        <f>VLOOKUP(A1256,SizeData!A$2:B$3839,2,FALSE)</f>
        <v/>
      </c>
      <c r="D1256" s="6" t="n">
        <v>5</v>
      </c>
      <c r="E1256" s="6" t="inlineStr">
        <is>
          <t>R1085161</t>
        </is>
      </c>
      <c r="F1256" s="2" t="n">
        <v>44287</v>
      </c>
      <c r="G1256" s="1" t="n"/>
    </row>
    <row r="1257">
      <c r="A1257" s="6" t="n">
        <v>36871</v>
      </c>
      <c r="B1257" s="6" t="inlineStr">
        <is>
          <t>CIROC PREMIUM VODKA</t>
        </is>
      </c>
      <c r="C1257" s="7">
        <f>VLOOKUP(A1257,SizeData!A$2:B$3839,2,FALSE)</f>
        <v/>
      </c>
      <c r="D1257" s="6" t="n">
        <v>3</v>
      </c>
      <c r="E1257" s="6" t="inlineStr">
        <is>
          <t>R1266638</t>
        </is>
      </c>
      <c r="F1257" s="2" t="n">
        <v>44469</v>
      </c>
      <c r="G1257" s="1" t="n"/>
    </row>
    <row r="1258">
      <c r="A1258" s="6" t="n">
        <v>36871</v>
      </c>
      <c r="B1258" s="6" t="inlineStr">
        <is>
          <t>CIROC PREMIUM VODKA</t>
        </is>
      </c>
      <c r="C1258" s="7">
        <f>VLOOKUP(A1258,SizeData!A$2:B$3839,2,FALSE)</f>
        <v/>
      </c>
      <c r="D1258" s="6" t="n">
        <v>3</v>
      </c>
      <c r="E1258" s="6" t="inlineStr">
        <is>
          <t>R1331956</t>
        </is>
      </c>
      <c r="F1258" s="2" t="n">
        <v>44520</v>
      </c>
      <c r="G1258" s="1" t="n"/>
    </row>
    <row r="1259">
      <c r="A1259" s="6" t="n">
        <v>36871</v>
      </c>
      <c r="B1259" s="6" t="inlineStr">
        <is>
          <t>CIROC PREMIUM VODKA</t>
        </is>
      </c>
      <c r="C1259" s="7">
        <f>VLOOKUP(A1259,SizeData!A$2:B$3839,2,FALSE)</f>
        <v/>
      </c>
      <c r="D1259" s="6" t="n">
        <v>2</v>
      </c>
      <c r="E1259" s="6" t="inlineStr">
        <is>
          <t>R1338150</t>
        </is>
      </c>
      <c r="F1259" s="2" t="n">
        <v>44529</v>
      </c>
      <c r="G1259" s="1" t="n"/>
    </row>
    <row r="1260">
      <c r="A1260" s="6" t="n">
        <v>36924</v>
      </c>
      <c r="B1260" s="6" t="inlineStr">
        <is>
          <t>HAKU JAPANESE VODKA</t>
        </is>
      </c>
      <c r="C1260" s="7">
        <f>VLOOKUP(A1260,SizeData!A$2:B$3839,2,FALSE)</f>
        <v/>
      </c>
      <c r="D1260" s="6" t="n">
        <v>1</v>
      </c>
      <c r="E1260" s="6" t="inlineStr">
        <is>
          <t>R1047061</t>
        </is>
      </c>
      <c r="F1260" s="2" t="n">
        <v>44259</v>
      </c>
      <c r="G1260" s="1" t="n"/>
    </row>
    <row r="1261">
      <c r="A1261" s="6" t="n">
        <v>36924</v>
      </c>
      <c r="B1261" s="6" t="inlineStr">
        <is>
          <t>HAKU JAPANESE VODKA</t>
        </is>
      </c>
      <c r="C1261" s="7">
        <f>VLOOKUP(A1261,SizeData!A$2:B$3839,2,FALSE)</f>
        <v/>
      </c>
      <c r="D1261" s="6" t="n">
        <v>1</v>
      </c>
      <c r="E1261" s="6" t="inlineStr">
        <is>
          <t>R1228454</t>
        </is>
      </c>
      <c r="F1261" s="2" t="n">
        <v>44445</v>
      </c>
      <c r="G1261" s="1" t="n"/>
    </row>
    <row r="1262">
      <c r="A1262" s="6" t="n">
        <v>36964</v>
      </c>
      <c r="B1262" s="6" t="inlineStr">
        <is>
          <t>GREY ORIGINAL GOOSE VODKA</t>
        </is>
      </c>
      <c r="C1262" s="7">
        <f>VLOOKUP(A1262,SizeData!A$2:B$3839,2,FALSE)</f>
        <v/>
      </c>
      <c r="D1262" s="6" t="n">
        <v>1</v>
      </c>
      <c r="E1262" s="6" t="inlineStr">
        <is>
          <t>R1099905</t>
        </is>
      </c>
      <c r="F1262" s="2" t="n">
        <v>44310</v>
      </c>
      <c r="G1262" s="1" t="n"/>
    </row>
    <row r="1263">
      <c r="A1263" s="6" t="n">
        <v>36967</v>
      </c>
      <c r="B1263" s="6" t="inlineStr">
        <is>
          <t>NEW AMSTERDAM VODKA</t>
        </is>
      </c>
      <c r="C1263" s="7">
        <f>VLOOKUP(A1263,SizeData!A$2:B$3839,2,FALSE)</f>
        <v/>
      </c>
      <c r="D1263" s="6" t="n">
        <v>1</v>
      </c>
      <c r="E1263" s="6" t="inlineStr">
        <is>
          <t>R993178</t>
        </is>
      </c>
      <c r="F1263" s="2" t="n">
        <v>44218</v>
      </c>
      <c r="G1263" s="1" t="n"/>
    </row>
    <row r="1264">
      <c r="A1264" s="6" t="n">
        <v>36967</v>
      </c>
      <c r="B1264" s="6" t="inlineStr">
        <is>
          <t>NEW AMSTERDAM VODKA</t>
        </is>
      </c>
      <c r="C1264" s="7">
        <f>VLOOKUP(A1264,SizeData!A$2:B$3839,2,FALSE)</f>
        <v/>
      </c>
      <c r="D1264" s="6" t="n">
        <v>1</v>
      </c>
      <c r="E1264" s="6" t="inlineStr">
        <is>
          <t>R1066712</t>
        </is>
      </c>
      <c r="F1264" s="2" t="n">
        <v>44268</v>
      </c>
      <c r="G1264" s="1" t="n"/>
    </row>
    <row r="1265">
      <c r="A1265" s="6" t="n">
        <v>36967</v>
      </c>
      <c r="B1265" s="6" t="inlineStr">
        <is>
          <t>NEW AMSTERDAM VODKA</t>
        </is>
      </c>
      <c r="C1265" s="7">
        <f>VLOOKUP(A1265,SizeData!A$2:B$3839,2,FALSE)</f>
        <v/>
      </c>
      <c r="D1265" s="6" t="n">
        <v>1</v>
      </c>
      <c r="E1265" s="6" t="inlineStr">
        <is>
          <t>R1084456</t>
        </is>
      </c>
      <c r="F1265" s="2" t="n">
        <v>44301</v>
      </c>
      <c r="G1265" s="1" t="n"/>
    </row>
    <row r="1266">
      <c r="A1266" s="6" t="n">
        <v>36967</v>
      </c>
      <c r="B1266" s="6" t="inlineStr">
        <is>
          <t>NEW AMSTERDAM VODKA</t>
        </is>
      </c>
      <c r="C1266" s="7">
        <f>VLOOKUP(A1266,SizeData!A$2:B$3839,2,FALSE)</f>
        <v/>
      </c>
      <c r="D1266" s="6" t="n">
        <v>1</v>
      </c>
      <c r="E1266" s="6" t="inlineStr">
        <is>
          <t>R1147055</t>
        </is>
      </c>
      <c r="F1266" s="2" t="n">
        <v>44361</v>
      </c>
      <c r="G1266" s="1" t="n"/>
    </row>
    <row r="1267">
      <c r="A1267" s="6" t="n">
        <v>36967</v>
      </c>
      <c r="B1267" s="6" t="inlineStr">
        <is>
          <t>NEW AMSTERDAM VODKA</t>
        </is>
      </c>
      <c r="C1267" s="7">
        <f>VLOOKUP(A1267,SizeData!A$2:B$3839,2,FALSE)</f>
        <v/>
      </c>
      <c r="D1267" s="6" t="n">
        <v>1</v>
      </c>
      <c r="E1267" s="6" t="inlineStr">
        <is>
          <t>R1175838</t>
        </is>
      </c>
      <c r="F1267" s="2" t="n">
        <v>44389</v>
      </c>
      <c r="G1267" s="1" t="n"/>
    </row>
    <row r="1268">
      <c r="A1268" s="6" t="n">
        <v>36967</v>
      </c>
      <c r="B1268" s="6" t="inlineStr">
        <is>
          <t>NEW AMSTERDAM VODKA</t>
        </is>
      </c>
      <c r="C1268" s="7">
        <f>VLOOKUP(A1268,SizeData!A$2:B$3839,2,FALSE)</f>
        <v/>
      </c>
      <c r="D1268" s="6" t="n">
        <v>1</v>
      </c>
      <c r="E1268" s="6" t="inlineStr">
        <is>
          <t>R1222253</t>
        </is>
      </c>
      <c r="F1268" s="2" t="n">
        <v>44435</v>
      </c>
      <c r="G1268" s="1" t="n"/>
    </row>
    <row r="1269">
      <c r="A1269" s="6" t="n">
        <v>36967</v>
      </c>
      <c r="B1269" s="6" t="inlineStr">
        <is>
          <t>NEW AMSTERDAM VODKA</t>
        </is>
      </c>
      <c r="C1269" s="7">
        <f>VLOOKUP(A1269,SizeData!A$2:B$3839,2,FALSE)</f>
        <v/>
      </c>
      <c r="D1269" s="6" t="n">
        <v>2</v>
      </c>
      <c r="E1269" s="6" t="inlineStr">
        <is>
          <t>R1273155</t>
        </is>
      </c>
      <c r="F1269" s="2" t="n">
        <v>44480</v>
      </c>
      <c r="G1269" s="1" t="n"/>
    </row>
    <row r="1270">
      <c r="A1270" s="6" t="n">
        <v>36967</v>
      </c>
      <c r="B1270" s="6" t="inlineStr">
        <is>
          <t>NEW AMSTERDAM VODKA</t>
        </is>
      </c>
      <c r="C1270" s="7">
        <f>VLOOKUP(A1270,SizeData!A$2:B$3839,2,FALSE)</f>
        <v/>
      </c>
      <c r="D1270" s="6" t="n">
        <v>2</v>
      </c>
      <c r="E1270" s="6" t="inlineStr">
        <is>
          <t>R1320744</t>
        </is>
      </c>
      <c r="F1270" s="2" t="n">
        <v>44509</v>
      </c>
      <c r="G1270" s="1" t="n"/>
    </row>
    <row r="1271">
      <c r="A1271" s="6" t="n">
        <v>36968</v>
      </c>
      <c r="B1271" s="6" t="inlineStr">
        <is>
          <t>NEW AMSTERDAM VODKA</t>
        </is>
      </c>
      <c r="C1271" s="7">
        <f>VLOOKUP(A1271,SizeData!A$2:B$3839,2,FALSE)</f>
        <v/>
      </c>
      <c r="D1271" s="6" t="n">
        <v>10</v>
      </c>
      <c r="E1271" s="6" t="inlineStr">
        <is>
          <t>R1051858</t>
        </is>
      </c>
      <c r="F1271" s="2" t="n">
        <v>44261</v>
      </c>
      <c r="G1271" s="1" t="n"/>
    </row>
    <row r="1272">
      <c r="A1272" s="6" t="n">
        <v>36968</v>
      </c>
      <c r="B1272" s="6" t="inlineStr">
        <is>
          <t>NEW AMSTERDAM VODKA</t>
        </is>
      </c>
      <c r="C1272" s="7">
        <f>VLOOKUP(A1272,SizeData!A$2:B$3839,2,FALSE)</f>
        <v/>
      </c>
      <c r="D1272" s="6" t="n">
        <v>4</v>
      </c>
      <c r="E1272" s="6" t="inlineStr">
        <is>
          <t>R1070393</t>
        </is>
      </c>
      <c r="F1272" s="2" t="n">
        <v>44280</v>
      </c>
      <c r="G1272" s="1" t="n"/>
    </row>
    <row r="1273">
      <c r="A1273" s="6" t="n">
        <v>36968</v>
      </c>
      <c r="B1273" s="6" t="inlineStr">
        <is>
          <t>NEW AMSTERDAM VODKA</t>
        </is>
      </c>
      <c r="C1273" s="7">
        <f>VLOOKUP(A1273,SizeData!A$2:B$3839,2,FALSE)</f>
        <v/>
      </c>
      <c r="D1273" s="6" t="n">
        <v>2</v>
      </c>
      <c r="E1273" s="6" t="inlineStr">
        <is>
          <t>R1071489</t>
        </is>
      </c>
      <c r="F1273" s="2" t="n">
        <v>44281</v>
      </c>
      <c r="G1273" s="1" t="n"/>
    </row>
    <row r="1274">
      <c r="A1274" s="6" t="n">
        <v>36968</v>
      </c>
      <c r="B1274" s="6" t="inlineStr">
        <is>
          <t>NEW AMSTERDAM VODKA</t>
        </is>
      </c>
      <c r="C1274" s="7">
        <f>VLOOKUP(A1274,SizeData!A$2:B$3839,2,FALSE)</f>
        <v/>
      </c>
      <c r="D1274" s="6" t="n">
        <v>6</v>
      </c>
      <c r="E1274" s="6" t="inlineStr">
        <is>
          <t>R1074902</t>
        </is>
      </c>
      <c r="F1274" s="2" t="n">
        <v>44284</v>
      </c>
      <c r="G1274" s="1" t="n"/>
    </row>
    <row r="1275">
      <c r="A1275" s="6" t="n">
        <v>36968</v>
      </c>
      <c r="B1275" s="6" t="inlineStr">
        <is>
          <t>NEW AMSTERDAM VODKA</t>
        </is>
      </c>
      <c r="C1275" s="7">
        <f>VLOOKUP(A1275,SizeData!A$2:B$3839,2,FALSE)</f>
        <v/>
      </c>
      <c r="D1275" s="6" t="n">
        <v>3</v>
      </c>
      <c r="E1275" s="6" t="inlineStr">
        <is>
          <t>R1151004</t>
        </is>
      </c>
      <c r="F1275" s="2" t="n">
        <v>44358</v>
      </c>
      <c r="G1275" s="1" t="n"/>
    </row>
    <row r="1276">
      <c r="A1276" s="6" t="n">
        <v>36968</v>
      </c>
      <c r="B1276" s="6" t="inlineStr">
        <is>
          <t>NEW AMSTERDAM VODKA</t>
        </is>
      </c>
      <c r="C1276" s="7">
        <f>VLOOKUP(A1276,SizeData!A$2:B$3839,2,FALSE)</f>
        <v/>
      </c>
      <c r="D1276" s="6" t="n">
        <v>3</v>
      </c>
      <c r="E1276" s="6" t="inlineStr">
        <is>
          <t>R1165810</t>
        </is>
      </c>
      <c r="F1276" s="2" t="n">
        <v>44361</v>
      </c>
      <c r="G1276" s="1" t="n"/>
    </row>
    <row r="1277">
      <c r="A1277" s="6" t="n">
        <v>36968</v>
      </c>
      <c r="B1277" s="6" t="inlineStr">
        <is>
          <t>NEW AMSTERDAM VODKA</t>
        </is>
      </c>
      <c r="C1277" s="7">
        <f>VLOOKUP(A1277,SizeData!A$2:B$3839,2,FALSE)</f>
        <v/>
      </c>
      <c r="D1277" s="6" t="n">
        <v>4</v>
      </c>
      <c r="E1277" s="6" t="inlineStr">
        <is>
          <t>R1152585</t>
        </is>
      </c>
      <c r="F1277" s="2" t="n">
        <v>44372</v>
      </c>
      <c r="G1277" s="1" t="n"/>
    </row>
    <row r="1278">
      <c r="A1278" s="6" t="n">
        <v>36968</v>
      </c>
      <c r="B1278" s="6" t="inlineStr">
        <is>
          <t>NEW AMSTERDAM VODKA</t>
        </is>
      </c>
      <c r="C1278" s="7">
        <f>VLOOKUP(A1278,SizeData!A$2:B$3839,2,FALSE)</f>
        <v/>
      </c>
      <c r="D1278" s="6" t="n">
        <v>8</v>
      </c>
      <c r="E1278" s="6" t="inlineStr">
        <is>
          <t>R1231642</t>
        </is>
      </c>
      <c r="F1278" s="2" t="n">
        <v>44440</v>
      </c>
      <c r="G1278" s="1" t="n"/>
    </row>
    <row r="1279">
      <c r="A1279" s="6" t="n">
        <v>36968</v>
      </c>
      <c r="B1279" s="6" t="inlineStr">
        <is>
          <t>NEW AMSTERDAM VODKA</t>
        </is>
      </c>
      <c r="C1279" s="7">
        <f>VLOOKUP(A1279,SizeData!A$2:B$3839,2,FALSE)</f>
        <v/>
      </c>
      <c r="D1279" s="6" t="n">
        <v>5</v>
      </c>
      <c r="E1279" s="6" t="inlineStr">
        <is>
          <t>R1224445</t>
        </is>
      </c>
      <c r="F1279" s="2" t="n">
        <v>44440</v>
      </c>
      <c r="G1279" s="1" t="n"/>
    </row>
    <row r="1280">
      <c r="A1280" s="6" t="n">
        <v>36968</v>
      </c>
      <c r="B1280" s="6" t="inlineStr">
        <is>
          <t>NEW AMSTERDAM VODKA</t>
        </is>
      </c>
      <c r="C1280" s="7">
        <f>VLOOKUP(A1280,SizeData!A$2:B$3839,2,FALSE)</f>
        <v/>
      </c>
      <c r="D1280" s="6" t="n">
        <v>4</v>
      </c>
      <c r="E1280" s="6" t="inlineStr">
        <is>
          <t>R1241453</t>
        </is>
      </c>
      <c r="F1280" s="2" t="n">
        <v>44448</v>
      </c>
      <c r="G1280" s="1" t="n"/>
    </row>
    <row r="1281">
      <c r="A1281" s="6" t="n">
        <v>36968</v>
      </c>
      <c r="B1281" s="6" t="inlineStr">
        <is>
          <t>NEW AMSTERDAM VODKA</t>
        </is>
      </c>
      <c r="C1281" s="7">
        <f>VLOOKUP(A1281,SizeData!A$2:B$3839,2,FALSE)</f>
        <v/>
      </c>
      <c r="D1281" s="6" t="n">
        <v>3</v>
      </c>
      <c r="E1281" s="6" t="inlineStr">
        <is>
          <t>R1259313</t>
        </is>
      </c>
      <c r="F1281" s="2" t="n">
        <v>44467</v>
      </c>
      <c r="G1281" s="1" t="n"/>
    </row>
    <row r="1282">
      <c r="A1282" s="6" t="n">
        <v>36968</v>
      </c>
      <c r="B1282" s="6" t="inlineStr">
        <is>
          <t>NEW AMSTERDAM VODKA</t>
        </is>
      </c>
      <c r="C1282" s="7">
        <f>VLOOKUP(A1282,SizeData!A$2:B$3839,2,FALSE)</f>
        <v/>
      </c>
      <c r="D1282" s="6" t="n">
        <v>12</v>
      </c>
      <c r="E1282" s="6" t="inlineStr">
        <is>
          <t>R1339083</t>
        </is>
      </c>
      <c r="F1282" s="2" t="n">
        <v>44531</v>
      </c>
      <c r="G1282" s="1" t="n"/>
    </row>
    <row r="1283">
      <c r="A1283" s="6" t="n">
        <v>36969</v>
      </c>
      <c r="B1283" s="6" t="inlineStr">
        <is>
          <t>NEW AMSTERDAM VODKA</t>
        </is>
      </c>
      <c r="C1283" s="7">
        <f>VLOOKUP(A1283,SizeData!A$2:B$3839,2,FALSE)</f>
        <v/>
      </c>
      <c r="D1283" s="6" t="n">
        <v>1</v>
      </c>
      <c r="E1283" s="6" t="inlineStr">
        <is>
          <t>R1273155</t>
        </is>
      </c>
      <c r="F1283" s="2" t="n">
        <v>44480</v>
      </c>
      <c r="G1283" s="1" t="n"/>
    </row>
    <row r="1284">
      <c r="A1284" s="6" t="n">
        <v>36969</v>
      </c>
      <c r="B1284" s="6" t="inlineStr">
        <is>
          <t>NEW AMSTERDAM VODKA</t>
        </is>
      </c>
      <c r="C1284" s="7">
        <f>VLOOKUP(A1284,SizeData!A$2:B$3839,2,FALSE)</f>
        <v/>
      </c>
      <c r="D1284" s="6" t="n">
        <v>1</v>
      </c>
      <c r="E1284" s="6" t="inlineStr">
        <is>
          <t>R1335595</t>
        </is>
      </c>
      <c r="F1284" s="2" t="n">
        <v>44520</v>
      </c>
      <c r="G1284" s="1" t="n"/>
    </row>
    <row r="1285">
      <c r="A1285" s="6" t="n">
        <v>36971</v>
      </c>
      <c r="B1285" s="6" t="inlineStr">
        <is>
          <t>NEW AMSTERDAM VODKA</t>
        </is>
      </c>
      <c r="C1285" s="7">
        <f>VLOOKUP(A1285,SizeData!A$2:B$3839,2,FALSE)</f>
        <v/>
      </c>
      <c r="D1285" s="6" t="n">
        <v>5</v>
      </c>
      <c r="E1285" s="6" t="inlineStr">
        <is>
          <t>R1025870</t>
        </is>
      </c>
      <c r="F1285" s="2" t="n">
        <v>44229</v>
      </c>
      <c r="G1285" s="1" t="n"/>
    </row>
    <row r="1286">
      <c r="A1286" s="6" t="n">
        <v>36971</v>
      </c>
      <c r="B1286" s="6" t="inlineStr">
        <is>
          <t>NEW AMSTERDAM VODKA</t>
        </is>
      </c>
      <c r="C1286" s="7">
        <f>VLOOKUP(A1286,SizeData!A$2:B$3839,2,FALSE)</f>
        <v/>
      </c>
      <c r="D1286" s="6" t="n">
        <v>1</v>
      </c>
      <c r="E1286" s="6" t="inlineStr">
        <is>
          <t>R1025870</t>
        </is>
      </c>
      <c r="F1286" s="2" t="n">
        <v>44229</v>
      </c>
      <c r="G1286" s="1" t="n"/>
    </row>
    <row r="1287">
      <c r="A1287" s="6" t="n">
        <v>36971</v>
      </c>
      <c r="B1287" s="6" t="inlineStr">
        <is>
          <t>NEW AMSTERDAM VODKA</t>
        </is>
      </c>
      <c r="C1287" s="7">
        <f>VLOOKUP(A1287,SizeData!A$2:B$3839,2,FALSE)</f>
        <v/>
      </c>
      <c r="D1287" s="6" t="n">
        <v>2</v>
      </c>
      <c r="E1287" s="6" t="inlineStr">
        <is>
          <t>R1018600</t>
        </is>
      </c>
      <c r="F1287" s="2" t="n">
        <v>44241</v>
      </c>
      <c r="G1287" s="1" t="n"/>
    </row>
    <row r="1288">
      <c r="A1288" s="6" t="n">
        <v>36971</v>
      </c>
      <c r="B1288" s="6" t="inlineStr">
        <is>
          <t>NEW AMSTERDAM VODKA</t>
        </is>
      </c>
      <c r="C1288" s="7">
        <f>VLOOKUP(A1288,SizeData!A$2:B$3839,2,FALSE)</f>
        <v/>
      </c>
      <c r="D1288" s="6" t="n">
        <v>3</v>
      </c>
      <c r="E1288" s="6" t="inlineStr">
        <is>
          <t>R1074089</t>
        </is>
      </c>
      <c r="F1288" s="2" t="n">
        <v>44288</v>
      </c>
      <c r="G1288" s="1" t="n"/>
    </row>
    <row r="1289">
      <c r="A1289" s="6" t="n">
        <v>36971</v>
      </c>
      <c r="B1289" s="6" t="inlineStr">
        <is>
          <t>NEW AMSTERDAM VODKA</t>
        </is>
      </c>
      <c r="C1289" s="7">
        <f>VLOOKUP(A1289,SizeData!A$2:B$3839,2,FALSE)</f>
        <v/>
      </c>
      <c r="D1289" s="6" t="n">
        <v>3</v>
      </c>
      <c r="E1289" s="6" t="inlineStr">
        <is>
          <t>R1084236</t>
        </is>
      </c>
      <c r="F1289" s="2" t="n">
        <v>44296</v>
      </c>
      <c r="G1289" s="1" t="n"/>
    </row>
    <row r="1290">
      <c r="A1290" s="6" t="n">
        <v>36971</v>
      </c>
      <c r="B1290" s="6" t="inlineStr">
        <is>
          <t>NEW AMSTERDAM VODKA</t>
        </is>
      </c>
      <c r="C1290" s="7">
        <f>VLOOKUP(A1290,SizeData!A$2:B$3839,2,FALSE)</f>
        <v/>
      </c>
      <c r="D1290" s="6" t="n">
        <v>5</v>
      </c>
      <c r="E1290" s="6" t="inlineStr">
        <is>
          <t>R1099905</t>
        </is>
      </c>
      <c r="F1290" s="2" t="n">
        <v>44310</v>
      </c>
      <c r="G1290" s="1" t="n"/>
    </row>
    <row r="1291">
      <c r="A1291" s="6" t="n">
        <v>36971</v>
      </c>
      <c r="B1291" s="6" t="inlineStr">
        <is>
          <t>NEW AMSTERDAM VODKA</t>
        </is>
      </c>
      <c r="C1291" s="7">
        <f>VLOOKUP(A1291,SizeData!A$2:B$3839,2,FALSE)</f>
        <v/>
      </c>
      <c r="D1291" s="6" t="n">
        <v>2</v>
      </c>
      <c r="E1291" s="6" t="inlineStr">
        <is>
          <t>R1102384</t>
        </is>
      </c>
      <c r="F1291" s="2" t="n">
        <v>44314</v>
      </c>
      <c r="G1291" s="1" t="n"/>
    </row>
    <row r="1292">
      <c r="A1292" s="6" t="n">
        <v>36971</v>
      </c>
      <c r="B1292" s="6" t="inlineStr">
        <is>
          <t>NEW AMSTERDAM VODKA</t>
        </is>
      </c>
      <c r="C1292" s="7">
        <f>VLOOKUP(A1292,SizeData!A$2:B$3839,2,FALSE)</f>
        <v/>
      </c>
      <c r="D1292" s="6" t="n">
        <v>5</v>
      </c>
      <c r="E1292" s="6" t="inlineStr">
        <is>
          <t>R1155060</t>
        </is>
      </c>
      <c r="F1292" s="2" t="n">
        <v>44357</v>
      </c>
      <c r="G1292" s="1" t="n"/>
    </row>
    <row r="1293">
      <c r="A1293" s="6" t="n">
        <v>36971</v>
      </c>
      <c r="B1293" s="6" t="inlineStr">
        <is>
          <t>NEW AMSTERDAM VODKA</t>
        </is>
      </c>
      <c r="C1293" s="7">
        <f>VLOOKUP(A1293,SizeData!A$2:B$3839,2,FALSE)</f>
        <v/>
      </c>
      <c r="D1293" s="6" t="n">
        <v>3</v>
      </c>
      <c r="E1293" s="6" t="inlineStr">
        <is>
          <t xml:space="preserve"> R1150892</t>
        </is>
      </c>
      <c r="F1293" s="2" t="n">
        <v>44368</v>
      </c>
      <c r="G1293" s="1" t="n"/>
    </row>
    <row r="1294">
      <c r="A1294" s="6" t="n">
        <v>36971</v>
      </c>
      <c r="B1294" s="6" t="inlineStr">
        <is>
          <t>NEW AMSTERDAM VODKA</t>
        </is>
      </c>
      <c r="C1294" s="7">
        <f>VLOOKUP(A1294,SizeData!A$2:B$3839,2,FALSE)</f>
        <v/>
      </c>
      <c r="D1294" s="6" t="n">
        <v>2</v>
      </c>
      <c r="E1294" s="6" t="inlineStr">
        <is>
          <t>R1188262</t>
        </is>
      </c>
      <c r="F1294" s="2" t="n">
        <v>44409</v>
      </c>
      <c r="G1294" s="1" t="n"/>
    </row>
    <row r="1295">
      <c r="A1295" s="6" t="n">
        <v>36971</v>
      </c>
      <c r="B1295" s="6" t="inlineStr">
        <is>
          <t>NEW AMSTERDAM VODKA</t>
        </is>
      </c>
      <c r="C1295" s="7">
        <f>VLOOKUP(A1295,SizeData!A$2:B$3839,2,FALSE)</f>
        <v/>
      </c>
      <c r="D1295" s="6" t="n">
        <v>8</v>
      </c>
      <c r="E1295" s="6" t="inlineStr">
        <is>
          <t>R1191193</t>
        </is>
      </c>
      <c r="F1295" s="2" t="n">
        <v>44411</v>
      </c>
      <c r="G1295" s="1" t="n"/>
    </row>
    <row r="1296">
      <c r="A1296" s="6" t="n">
        <v>36971</v>
      </c>
      <c r="B1296" s="6" t="inlineStr">
        <is>
          <t>NEW AMSTERDAM VODKA</t>
        </is>
      </c>
      <c r="C1296" s="7">
        <f>VLOOKUP(A1296,SizeData!A$2:B$3839,2,FALSE)</f>
        <v/>
      </c>
      <c r="D1296" s="6" t="n">
        <v>2</v>
      </c>
      <c r="E1296" s="6" t="inlineStr">
        <is>
          <t>R1253669</t>
        </is>
      </c>
      <c r="F1296" s="2" t="n">
        <v>44471</v>
      </c>
      <c r="G1296" s="1" t="n"/>
    </row>
    <row r="1297">
      <c r="A1297" s="6" t="n">
        <v>36971</v>
      </c>
      <c r="B1297" s="6" t="inlineStr">
        <is>
          <t>NEW AMSTERDAM VODKA</t>
        </is>
      </c>
      <c r="C1297" s="7">
        <f>VLOOKUP(A1297,SizeData!A$2:B$3839,2,FALSE)</f>
        <v/>
      </c>
      <c r="D1297" s="6" t="n">
        <v>7</v>
      </c>
      <c r="E1297" s="6" t="inlineStr">
        <is>
          <t>R1264756</t>
        </is>
      </c>
      <c r="F1297" s="2" t="n">
        <v>44472</v>
      </c>
      <c r="G1297" s="1" t="n"/>
    </row>
    <row r="1298">
      <c r="A1298" s="6" t="n">
        <v>36971</v>
      </c>
      <c r="B1298" s="6" t="inlineStr">
        <is>
          <t>NEW AMSTERDAM VODKA</t>
        </is>
      </c>
      <c r="C1298" s="7">
        <f>VLOOKUP(A1298,SizeData!A$2:B$3839,2,FALSE)</f>
        <v/>
      </c>
      <c r="D1298" s="6" t="n">
        <v>4</v>
      </c>
      <c r="E1298" s="6" t="inlineStr">
        <is>
          <t>R1352452</t>
        </is>
      </c>
      <c r="F1298" s="2" t="n">
        <v>44536</v>
      </c>
      <c r="G1298" s="1" t="n"/>
    </row>
    <row r="1299">
      <c r="A1299" s="6" t="n">
        <v>37040</v>
      </c>
      <c r="B1299" s="6" t="inlineStr">
        <is>
          <t>OCEAN ORGANIC VODKA</t>
        </is>
      </c>
      <c r="C1299" s="7">
        <f>VLOOKUP(A1299,SizeData!A$2:B$3839,2,FALSE)</f>
        <v/>
      </c>
      <c r="D1299" s="6" t="n">
        <v>0</v>
      </c>
      <c r="E1299" s="6" t="inlineStr">
        <is>
          <t>R1253669</t>
        </is>
      </c>
      <c r="F1299" s="2" t="n">
        <v>44471</v>
      </c>
      <c r="G1299" s="1" t="n"/>
    </row>
    <row r="1300">
      <c r="A1300" s="6" t="n">
        <v>37040</v>
      </c>
      <c r="B1300" s="6" t="inlineStr">
        <is>
          <t>OCEAN ORGANIC VODKA</t>
        </is>
      </c>
      <c r="C1300" s="7">
        <f>VLOOKUP(A1300,SizeData!A$2:B$3839,2,FALSE)</f>
        <v/>
      </c>
      <c r="D1300" s="6" t="n">
        <v>1</v>
      </c>
      <c r="E1300" s="6" t="inlineStr">
        <is>
          <t>R1277647</t>
        </is>
      </c>
      <c r="F1300" s="2" t="n">
        <v>44484</v>
      </c>
      <c r="G1300" s="1" t="n"/>
    </row>
    <row r="1301">
      <c r="A1301" s="6" t="n">
        <v>37040</v>
      </c>
      <c r="B1301" s="6" t="inlineStr">
        <is>
          <t>OCEAN ORGANIC VODKA</t>
        </is>
      </c>
      <c r="C1301" s="7">
        <f>VLOOKUP(A1301,SizeData!A$2:B$3839,2,FALSE)</f>
        <v/>
      </c>
      <c r="D1301" s="6" t="n">
        <v>1</v>
      </c>
      <c r="E1301" s="6" t="inlineStr">
        <is>
          <t>R1274548</t>
        </is>
      </c>
      <c r="F1301" s="2" t="n">
        <v>44485</v>
      </c>
      <c r="G1301" s="1" t="n"/>
    </row>
    <row r="1302">
      <c r="A1302" s="6" t="n">
        <v>37040</v>
      </c>
      <c r="B1302" s="6" t="inlineStr">
        <is>
          <t>OCEAN ORGANIC VODKA</t>
        </is>
      </c>
      <c r="C1302" s="7">
        <f>VLOOKUP(A1302,SizeData!A$2:B$3839,2,FALSE)</f>
        <v/>
      </c>
      <c r="D1302" s="6" t="n">
        <v>2</v>
      </c>
      <c r="E1302" s="6" t="inlineStr">
        <is>
          <t>R1301289</t>
        </is>
      </c>
      <c r="F1302" s="2" t="n">
        <v>44499</v>
      </c>
      <c r="G1302" s="1" t="n"/>
    </row>
    <row r="1303">
      <c r="A1303" s="6" t="n">
        <v>37061</v>
      </c>
      <c r="B1303" s="6" t="inlineStr">
        <is>
          <t>BROKEN SHED VODKA</t>
        </is>
      </c>
      <c r="C1303" s="7">
        <f>VLOOKUP(A1303,SizeData!A$2:B$3839,2,FALSE)</f>
        <v/>
      </c>
      <c r="D1303" s="6" t="n">
        <v>1</v>
      </c>
      <c r="E1303" s="6" t="inlineStr">
        <is>
          <t>R1228454</t>
        </is>
      </c>
      <c r="F1303" s="2" t="n">
        <v>44445</v>
      </c>
      <c r="G1303" s="1" t="n"/>
    </row>
    <row r="1304">
      <c r="A1304" s="6" t="n">
        <v>37063</v>
      </c>
      <c r="B1304" s="6" t="inlineStr">
        <is>
          <t>STOLI ELIT ULTRA PREMIUM VODKA</t>
        </is>
      </c>
      <c r="C1304" s="7">
        <f>VLOOKUP(A1304,SizeData!A$2:B$3839,2,FALSE)</f>
        <v/>
      </c>
      <c r="D1304" s="6" t="n">
        <v>1</v>
      </c>
      <c r="E1304" s="6" t="inlineStr">
        <is>
          <t xml:space="preserve"> R1138813</t>
        </is>
      </c>
      <c r="F1304" s="2" t="n">
        <v>44348</v>
      </c>
      <c r="G1304" s="1" t="n"/>
    </row>
    <row r="1305">
      <c r="A1305" s="6" t="n">
        <v>37063</v>
      </c>
      <c r="B1305" s="6" t="inlineStr">
        <is>
          <t>STOLI ELIT ULTRA PREMIUM VODKA</t>
        </is>
      </c>
      <c r="C1305" s="7">
        <f>VLOOKUP(A1305,SizeData!A$2:B$3839,2,FALSE)</f>
        <v/>
      </c>
      <c r="D1305" s="6" t="n">
        <v>2</v>
      </c>
      <c r="E1305" s="6" t="inlineStr">
        <is>
          <t>R1262670</t>
        </is>
      </c>
      <c r="F1305" s="2" t="n">
        <v>44470</v>
      </c>
      <c r="G1305" s="1" t="n"/>
    </row>
    <row r="1306">
      <c r="A1306" s="6" t="n">
        <v>37063</v>
      </c>
      <c r="B1306" s="6" t="inlineStr">
        <is>
          <t>STOLI ELIT ULTRA PREMIUM VODKA</t>
        </is>
      </c>
      <c r="C1306" s="7">
        <f>VLOOKUP(A1306,SizeData!A$2:B$3839,2,FALSE)</f>
        <v/>
      </c>
      <c r="D1306" s="6" t="n">
        <v>2</v>
      </c>
      <c r="E1306" s="6" t="inlineStr">
        <is>
          <t>R1286225</t>
        </is>
      </c>
      <c r="F1306" s="2" t="n">
        <v>44478</v>
      </c>
      <c r="G1306" s="1" t="n"/>
    </row>
    <row r="1307">
      <c r="A1307" s="6" t="n">
        <v>37586</v>
      </c>
      <c r="B1307" s="6" t="inlineStr">
        <is>
          <t>RAIN VODKA</t>
        </is>
      </c>
      <c r="C1307" s="7">
        <f>VLOOKUP(A1307,SizeData!A$2:B$3839,2,FALSE)</f>
        <v/>
      </c>
      <c r="D1307" s="6" t="n">
        <v>1</v>
      </c>
      <c r="E1307" s="6" t="inlineStr">
        <is>
          <t>R1085574</t>
        </is>
      </c>
      <c r="F1307" s="2" t="n">
        <v>44288</v>
      </c>
      <c r="G1307" s="1" t="n"/>
    </row>
    <row r="1308">
      <c r="A1308" s="6" t="n">
        <v>37586</v>
      </c>
      <c r="B1308" s="6" t="inlineStr">
        <is>
          <t>RAIN VODKA</t>
        </is>
      </c>
      <c r="C1308" s="7">
        <f>VLOOKUP(A1308,SizeData!A$2:B$3839,2,FALSE)</f>
        <v/>
      </c>
      <c r="D1308" s="6" t="n">
        <v>1</v>
      </c>
      <c r="E1308" s="6" t="inlineStr">
        <is>
          <t>R1142808</t>
        </is>
      </c>
      <c r="F1308" s="2" t="n">
        <v>44352</v>
      </c>
      <c r="G1308" s="1" t="n"/>
    </row>
    <row r="1309">
      <c r="A1309" s="6" t="n">
        <v>37586</v>
      </c>
      <c r="B1309" s="6" t="inlineStr">
        <is>
          <t>RAIN VODKA</t>
        </is>
      </c>
      <c r="C1309" s="7">
        <f>VLOOKUP(A1309,SizeData!A$2:B$3839,2,FALSE)</f>
        <v/>
      </c>
      <c r="D1309" s="6" t="n">
        <v>0</v>
      </c>
      <c r="E1309" s="6" t="inlineStr">
        <is>
          <t>R1272603</t>
        </is>
      </c>
      <c r="F1309" s="2" t="n">
        <v>44473</v>
      </c>
      <c r="G1309" s="1" t="n"/>
    </row>
    <row r="1310">
      <c r="A1310" s="6" t="n">
        <v>37586</v>
      </c>
      <c r="B1310" s="6" t="inlineStr">
        <is>
          <t>RAIN VODKA</t>
        </is>
      </c>
      <c r="C1310" s="7">
        <f>VLOOKUP(A1310,SizeData!A$2:B$3839,2,FALSE)</f>
        <v/>
      </c>
      <c r="D1310" s="6" t="n">
        <v>0</v>
      </c>
      <c r="E1310" s="6" t="inlineStr">
        <is>
          <t>R1284159</t>
        </is>
      </c>
      <c r="F1310" s="2" t="n">
        <v>44488</v>
      </c>
      <c r="G1310" s="1" t="n"/>
    </row>
    <row r="1311">
      <c r="A1311" s="6" t="n">
        <v>37588</v>
      </c>
      <c r="B1311" s="6" t="inlineStr">
        <is>
          <t>RAIN VODKA</t>
        </is>
      </c>
      <c r="C1311" s="7">
        <f>VLOOKUP(A1311,SizeData!A$2:B$3839,2,FALSE)</f>
        <v/>
      </c>
      <c r="D1311" s="6" t="n">
        <v>3</v>
      </c>
      <c r="E1311" s="6" t="inlineStr">
        <is>
          <t>R1067006</t>
        </is>
      </c>
      <c r="F1311" s="2" t="n">
        <v>44269</v>
      </c>
      <c r="G1311" s="1" t="n"/>
    </row>
    <row r="1312">
      <c r="A1312" s="6" t="n">
        <v>37588</v>
      </c>
      <c r="B1312" s="6" t="inlineStr">
        <is>
          <t>RAIN VODKA</t>
        </is>
      </c>
      <c r="C1312" s="7">
        <f>VLOOKUP(A1312,SizeData!A$2:B$3839,2,FALSE)</f>
        <v/>
      </c>
      <c r="D1312" s="6" t="n">
        <v>2</v>
      </c>
      <c r="E1312" s="6" t="inlineStr">
        <is>
          <t>R1111874</t>
        </is>
      </c>
      <c r="F1312" s="2" t="n">
        <v>44326</v>
      </c>
      <c r="G1312" s="1" t="n"/>
    </row>
    <row r="1313">
      <c r="A1313" s="6" t="n">
        <v>37588</v>
      </c>
      <c r="B1313" s="6" t="inlineStr">
        <is>
          <t>RAIN VODKA</t>
        </is>
      </c>
      <c r="C1313" s="7">
        <f>VLOOKUP(A1313,SizeData!A$2:B$3839,2,FALSE)</f>
        <v/>
      </c>
      <c r="D1313" s="6" t="n">
        <v>1</v>
      </c>
      <c r="E1313" s="6" t="inlineStr">
        <is>
          <t>R1109381</t>
        </is>
      </c>
      <c r="F1313" s="2" t="n">
        <v>44331</v>
      </c>
      <c r="G1313" s="1" t="n"/>
    </row>
    <row r="1314">
      <c r="A1314" s="6" t="n">
        <v>37588</v>
      </c>
      <c r="B1314" s="6" t="inlineStr">
        <is>
          <t>RAIN VODKA</t>
        </is>
      </c>
      <c r="C1314" s="7">
        <f>VLOOKUP(A1314,SizeData!A$2:B$3839,2,FALSE)</f>
        <v/>
      </c>
      <c r="D1314" s="6" t="n">
        <v>1</v>
      </c>
      <c r="E1314" s="6" t="inlineStr">
        <is>
          <t>R1119856</t>
        </is>
      </c>
      <c r="F1314" s="2" t="n">
        <v>44333</v>
      </c>
      <c r="G1314" s="1" t="n"/>
    </row>
    <row r="1315">
      <c r="A1315" s="6" t="n">
        <v>37588</v>
      </c>
      <c r="B1315" s="6" t="inlineStr">
        <is>
          <t>RAIN VODKA</t>
        </is>
      </c>
      <c r="C1315" s="7">
        <f>VLOOKUP(A1315,SizeData!A$2:B$3839,2,FALSE)</f>
        <v/>
      </c>
      <c r="D1315" s="6" t="n">
        <v>1</v>
      </c>
      <c r="E1315" s="6" t="inlineStr">
        <is>
          <t>R1132212</t>
        </is>
      </c>
      <c r="F1315" s="2" t="n">
        <v>44342</v>
      </c>
      <c r="G1315" s="1" t="n"/>
    </row>
    <row r="1316">
      <c r="A1316" s="6" t="n">
        <v>37588</v>
      </c>
      <c r="B1316" s="6" t="inlineStr">
        <is>
          <t>RAIN VODKA</t>
        </is>
      </c>
      <c r="C1316" s="7">
        <f>VLOOKUP(A1316,SizeData!A$2:B$3839,2,FALSE)</f>
        <v/>
      </c>
      <c r="D1316" s="6" t="n">
        <v>2</v>
      </c>
      <c r="E1316" s="6" t="inlineStr">
        <is>
          <t>R1301983</t>
        </is>
      </c>
      <c r="F1316" s="2" t="n">
        <v>44501</v>
      </c>
      <c r="G1316" s="1" t="n"/>
    </row>
    <row r="1317">
      <c r="A1317" s="6" t="n">
        <v>37588</v>
      </c>
      <c r="B1317" s="6" t="inlineStr">
        <is>
          <t>RAIN VODKA</t>
        </is>
      </c>
      <c r="C1317" s="7">
        <f>VLOOKUP(A1317,SizeData!A$2:B$3839,2,FALSE)</f>
        <v/>
      </c>
      <c r="D1317" s="6" t="n">
        <v>3</v>
      </c>
      <c r="E1317" s="6" t="inlineStr">
        <is>
          <t>R1345582</t>
        </is>
      </c>
      <c r="F1317" s="2" t="n">
        <v>44526</v>
      </c>
      <c r="G1317" s="1" t="n"/>
    </row>
    <row r="1318">
      <c r="A1318" s="6" t="n">
        <v>37588</v>
      </c>
      <c r="B1318" s="6" t="inlineStr">
        <is>
          <t>RAIN VODKA</t>
        </is>
      </c>
      <c r="C1318" s="7">
        <f>VLOOKUP(A1318,SizeData!A$2:B$3839,2,FALSE)</f>
        <v/>
      </c>
      <c r="D1318" s="6" t="n">
        <v>5</v>
      </c>
      <c r="E1318" s="6" t="inlineStr">
        <is>
          <t>R1334786</t>
        </is>
      </c>
      <c r="F1318" s="2" t="n">
        <v>44529</v>
      </c>
      <c r="G1318" s="1" t="n"/>
    </row>
    <row r="1319">
      <c r="A1319" s="6" t="n">
        <v>37886</v>
      </c>
      <c r="B1319" s="6" t="inlineStr">
        <is>
          <t>SEAGRAM'S EXTRA SMOOTH VODKA</t>
        </is>
      </c>
      <c r="C1319" s="7">
        <f>VLOOKUP(A1319,SizeData!A$2:B$3839,2,FALSE)</f>
        <v/>
      </c>
      <c r="D1319" s="6" t="n">
        <v>1</v>
      </c>
      <c r="E1319" s="6" t="inlineStr">
        <is>
          <t>R1028756</t>
        </is>
      </c>
      <c r="F1319" s="2" t="n">
        <v>44239</v>
      </c>
      <c r="G1319" s="1" t="n"/>
    </row>
    <row r="1320">
      <c r="A1320" s="6" t="n">
        <v>37886</v>
      </c>
      <c r="B1320" s="6" t="inlineStr">
        <is>
          <t>SEAGRAM'S EXTRA SMOOTH VODKA</t>
        </is>
      </c>
      <c r="C1320" s="7">
        <f>VLOOKUP(A1320,SizeData!A$2:B$3839,2,FALSE)</f>
        <v/>
      </c>
      <c r="D1320" s="6" t="n">
        <v>1</v>
      </c>
      <c r="E1320" s="6" t="inlineStr">
        <is>
          <t>R1074089</t>
        </is>
      </c>
      <c r="F1320" s="2" t="n">
        <v>44288</v>
      </c>
      <c r="G1320" s="1" t="n"/>
    </row>
    <row r="1321">
      <c r="A1321" s="6" t="n">
        <v>37886</v>
      </c>
      <c r="B1321" s="6" t="inlineStr">
        <is>
          <t>SEAGRAM'S EXTRA SMOOTH VODKA</t>
        </is>
      </c>
      <c r="C1321" s="7">
        <f>VLOOKUP(A1321,SizeData!A$2:B$3839,2,FALSE)</f>
        <v/>
      </c>
      <c r="D1321" s="6" t="n">
        <v>1</v>
      </c>
      <c r="E1321" s="6" t="inlineStr">
        <is>
          <t>R1155060</t>
        </is>
      </c>
      <c r="F1321" s="2" t="n">
        <v>44357</v>
      </c>
      <c r="G1321" s="1" t="n"/>
    </row>
    <row r="1322">
      <c r="A1322" s="6" t="n">
        <v>37886</v>
      </c>
      <c r="B1322" s="6" t="inlineStr">
        <is>
          <t>SEAGRAM'S EXTRA SMOOTH VODKA</t>
        </is>
      </c>
      <c r="C1322" s="7">
        <f>VLOOKUP(A1322,SizeData!A$2:B$3839,2,FALSE)</f>
        <v/>
      </c>
      <c r="D1322" s="6" t="n">
        <v>1</v>
      </c>
      <c r="E1322" s="6" t="inlineStr">
        <is>
          <t>R1204006</t>
        </is>
      </c>
      <c r="F1322" s="2" t="n">
        <v>44415</v>
      </c>
      <c r="G1322" s="1" t="n"/>
    </row>
    <row r="1323">
      <c r="A1323" s="6" t="n">
        <v>37886</v>
      </c>
      <c r="B1323" s="6" t="inlineStr">
        <is>
          <t>SEAGRAM'S EXTRA SMOOTH VODKA</t>
        </is>
      </c>
      <c r="C1323" s="7">
        <f>VLOOKUP(A1323,SizeData!A$2:B$3839,2,FALSE)</f>
        <v/>
      </c>
      <c r="D1323" s="6" t="n">
        <v>2</v>
      </c>
      <c r="E1323" s="6" t="inlineStr">
        <is>
          <t xml:space="preserve"> R1193283</t>
        </is>
      </c>
      <c r="F1323" s="2" t="n">
        <v>44418</v>
      </c>
      <c r="G1323" s="1" t="n"/>
    </row>
    <row r="1324">
      <c r="A1324" s="6" t="n">
        <v>37886</v>
      </c>
      <c r="B1324" s="6" t="inlineStr">
        <is>
          <t>SEAGRAM'S EXTRA SMOOTH VODKA</t>
        </is>
      </c>
      <c r="C1324" s="7">
        <f>VLOOKUP(A1324,SizeData!A$2:B$3839,2,FALSE)</f>
        <v/>
      </c>
      <c r="D1324" s="6" t="n">
        <v>1</v>
      </c>
      <c r="E1324" s="6" t="inlineStr">
        <is>
          <t>R1264756</t>
        </is>
      </c>
      <c r="F1324" s="2" t="n">
        <v>44472</v>
      </c>
      <c r="G1324" s="1" t="n"/>
    </row>
    <row r="1325">
      <c r="A1325" s="6" t="n">
        <v>37886</v>
      </c>
      <c r="B1325" s="6" t="inlineStr">
        <is>
          <t>SEAGRAM'S EXTRA SMOOTH VODKA</t>
        </is>
      </c>
      <c r="C1325" s="7">
        <f>VLOOKUP(A1325,SizeData!A$2:B$3839,2,FALSE)</f>
        <v/>
      </c>
      <c r="D1325" s="6" t="n">
        <v>2</v>
      </c>
      <c r="E1325" s="6" t="inlineStr">
        <is>
          <t>R1279880</t>
        </is>
      </c>
      <c r="F1325" s="2" t="n">
        <v>44490</v>
      </c>
      <c r="G1325" s="1" t="n"/>
    </row>
    <row r="1326">
      <c r="A1326" s="6" t="n">
        <v>37886</v>
      </c>
      <c r="B1326" s="6" t="inlineStr">
        <is>
          <t>SEAGRAM'S EXTRA SMOOTH VODKA</t>
        </is>
      </c>
      <c r="C1326" s="7">
        <f>VLOOKUP(A1326,SizeData!A$2:B$3839,2,FALSE)</f>
        <v/>
      </c>
      <c r="D1326" s="6" t="n">
        <v>2</v>
      </c>
      <c r="E1326" s="6" t="inlineStr">
        <is>
          <t>R1301953</t>
        </is>
      </c>
      <c r="F1326" s="2" t="n">
        <v>44496</v>
      </c>
      <c r="G1326" s="1" t="n"/>
    </row>
    <row r="1327">
      <c r="A1327" s="6" t="n">
        <v>37889</v>
      </c>
      <c r="B1327" s="6" t="inlineStr">
        <is>
          <t>SEAGRAM'S EXTRA SMOOTH VODKA</t>
        </is>
      </c>
      <c r="C1327" s="7">
        <f>VLOOKUP(A1327,SizeData!A$2:B$3839,2,FALSE)</f>
        <v/>
      </c>
      <c r="D1327" s="6" t="n">
        <v>3</v>
      </c>
      <c r="E1327" s="6" t="inlineStr">
        <is>
          <t>R1215815</t>
        </is>
      </c>
      <c r="F1327" s="2" t="n">
        <v>44418</v>
      </c>
      <c r="G1327" s="1" t="n"/>
    </row>
    <row r="1328">
      <c r="A1328" s="6" t="n">
        <v>37889</v>
      </c>
      <c r="B1328" s="6" t="inlineStr">
        <is>
          <t>SEAGRAM'S EXTRA SMOOTH VODKA</t>
        </is>
      </c>
      <c r="C1328" s="7">
        <f>VLOOKUP(A1328,SizeData!A$2:B$3839,2,FALSE)</f>
        <v/>
      </c>
      <c r="D1328" s="6" t="n">
        <v>0</v>
      </c>
      <c r="E1328" s="6" t="inlineStr">
        <is>
          <t>R1254400</t>
        </is>
      </c>
      <c r="F1328" s="2" t="n">
        <v>44468</v>
      </c>
      <c r="G1328" s="1" t="n"/>
    </row>
    <row r="1329">
      <c r="A1329" s="6" t="n">
        <v>37890</v>
      </c>
      <c r="B1329" s="6" t="inlineStr">
        <is>
          <t>SEAGRAM'S EXTRA SMOOTH VODKA PET</t>
        </is>
      </c>
      <c r="C1329" s="7">
        <f>VLOOKUP(A1329,SizeData!A$2:B$3839,2,FALSE)</f>
        <v/>
      </c>
      <c r="D1329" s="6" t="n">
        <v>1</v>
      </c>
      <c r="E1329" s="6" t="inlineStr">
        <is>
          <t>R1028756</t>
        </is>
      </c>
      <c r="F1329" s="2" t="n">
        <v>44239</v>
      </c>
      <c r="G1329" s="1" t="n"/>
    </row>
    <row r="1330">
      <c r="A1330" s="6" t="n">
        <v>37890</v>
      </c>
      <c r="B1330" s="6" t="inlineStr">
        <is>
          <t>SEAGRAM'S EXTRA SMOOTH VODKA PET</t>
        </is>
      </c>
      <c r="C1330" s="7">
        <f>VLOOKUP(A1330,SizeData!A$2:B$3839,2,FALSE)</f>
        <v/>
      </c>
      <c r="D1330" s="6" t="n">
        <v>1</v>
      </c>
      <c r="E1330" s="6" t="inlineStr">
        <is>
          <t>R1074089</t>
        </is>
      </c>
      <c r="F1330" s="2" t="n">
        <v>44288</v>
      </c>
      <c r="G1330" s="1" t="n"/>
    </row>
    <row r="1331">
      <c r="A1331" s="6" t="n">
        <v>37890</v>
      </c>
      <c r="B1331" s="6" t="inlineStr">
        <is>
          <t>SEAGRAM'S EXTRA SMOOTH VODKA PET</t>
        </is>
      </c>
      <c r="C1331" s="7">
        <f>VLOOKUP(A1331,SizeData!A$2:B$3839,2,FALSE)</f>
        <v/>
      </c>
      <c r="D1331" s="6" t="n">
        <v>1</v>
      </c>
      <c r="E1331" s="6" t="inlineStr">
        <is>
          <t>R1085364</t>
        </is>
      </c>
      <c r="F1331" s="2" t="n">
        <v>44289</v>
      </c>
      <c r="G1331" s="1" t="n"/>
    </row>
    <row r="1332">
      <c r="A1332" s="6" t="n">
        <v>37890</v>
      </c>
      <c r="B1332" s="6" t="inlineStr">
        <is>
          <t>SEAGRAM'S EXTRA SMOOTH VODKA PET</t>
        </is>
      </c>
      <c r="C1332" s="7">
        <f>VLOOKUP(A1332,SizeData!A$2:B$3839,2,FALSE)</f>
        <v/>
      </c>
      <c r="D1332" s="6" t="n">
        <v>3</v>
      </c>
      <c r="E1332" s="6" t="inlineStr">
        <is>
          <t>R1097628</t>
        </is>
      </c>
      <c r="F1332" s="2" t="n">
        <v>44305</v>
      </c>
      <c r="G1332" s="1" t="n"/>
    </row>
    <row r="1333">
      <c r="A1333" s="6" t="n">
        <v>37890</v>
      </c>
      <c r="B1333" s="6" t="inlineStr">
        <is>
          <t>SEAGRAM'S EXTRA SMOOTH VODKA PET</t>
        </is>
      </c>
      <c r="C1333" s="7">
        <f>VLOOKUP(A1333,SizeData!A$2:B$3839,2,FALSE)</f>
        <v/>
      </c>
      <c r="D1333" s="6" t="n">
        <v>3</v>
      </c>
      <c r="E1333" s="6" t="inlineStr">
        <is>
          <t>R1156117</t>
        </is>
      </c>
      <c r="F1333" s="2" t="n">
        <v>44362</v>
      </c>
      <c r="G1333" s="1" t="n"/>
    </row>
    <row r="1334">
      <c r="A1334" s="6" t="n">
        <v>37890</v>
      </c>
      <c r="B1334" s="6" t="inlineStr">
        <is>
          <t>SEAGRAM'S EXTRA SMOOTH VODKA PET</t>
        </is>
      </c>
      <c r="C1334" s="7">
        <f>VLOOKUP(A1334,SizeData!A$2:B$3839,2,FALSE)</f>
        <v/>
      </c>
      <c r="D1334" s="6" t="n">
        <v>2</v>
      </c>
      <c r="E1334" s="6" t="inlineStr">
        <is>
          <t>R1262670</t>
        </is>
      </c>
      <c r="F1334" s="2" t="n">
        <v>44470</v>
      </c>
      <c r="G1334" s="1" t="n"/>
    </row>
    <row r="1335">
      <c r="A1335" s="6" t="n">
        <v>37890</v>
      </c>
      <c r="B1335" s="6" t="inlineStr">
        <is>
          <t>SEAGRAM'S EXTRA SMOOTH VODKA PET</t>
        </is>
      </c>
      <c r="C1335" s="7">
        <f>VLOOKUP(A1335,SizeData!A$2:B$3839,2,FALSE)</f>
        <v/>
      </c>
      <c r="D1335" s="6" t="n">
        <v>3</v>
      </c>
      <c r="E1335" s="6" t="inlineStr">
        <is>
          <t>R1253669</t>
        </is>
      </c>
      <c r="F1335" s="2" t="n">
        <v>44471</v>
      </c>
      <c r="G1335" s="1" t="n"/>
    </row>
    <row r="1336">
      <c r="A1336" s="6" t="n">
        <v>37890</v>
      </c>
      <c r="B1336" s="6" t="inlineStr">
        <is>
          <t>SEAGRAM'S EXTRA SMOOTH VODKA PET</t>
        </is>
      </c>
      <c r="C1336" s="7">
        <f>VLOOKUP(A1336,SizeData!A$2:B$3839,2,FALSE)</f>
        <v/>
      </c>
      <c r="D1336" s="6" t="n">
        <v>1</v>
      </c>
      <c r="E1336" s="6" t="inlineStr">
        <is>
          <t>R1264756</t>
        </is>
      </c>
      <c r="F1336" s="2" t="n">
        <v>44472</v>
      </c>
      <c r="G1336" s="1" t="n"/>
    </row>
    <row r="1337">
      <c r="A1337" s="6" t="n">
        <v>37890</v>
      </c>
      <c r="B1337" s="6" t="inlineStr">
        <is>
          <t>SEAGRAM'S EXTRA SMOOTH VODKA PET</t>
        </is>
      </c>
      <c r="C1337" s="7">
        <f>VLOOKUP(A1337,SizeData!A$2:B$3839,2,FALSE)</f>
        <v/>
      </c>
      <c r="D1337" s="6" t="n">
        <v>3</v>
      </c>
      <c r="E1337" s="6" t="inlineStr">
        <is>
          <t>R1301953</t>
        </is>
      </c>
      <c r="F1337" s="2" t="n">
        <v>44496</v>
      </c>
      <c r="G1337" s="1" t="n"/>
    </row>
    <row r="1338">
      <c r="A1338" s="6" t="n">
        <v>37982</v>
      </c>
      <c r="B1338" s="6" t="inlineStr">
        <is>
          <t>SKYY VODKA</t>
        </is>
      </c>
      <c r="C1338" s="7">
        <f>VLOOKUP(A1338,SizeData!A$2:B$3839,2,FALSE)</f>
        <v/>
      </c>
      <c r="D1338" s="6" t="n">
        <v>2</v>
      </c>
      <c r="E1338" s="6" t="inlineStr">
        <is>
          <t>R1341373</t>
        </is>
      </c>
      <c r="F1338" s="2" t="n">
        <v>44531</v>
      </c>
      <c r="G1338" s="1" t="n"/>
    </row>
    <row r="1339">
      <c r="A1339" s="6" t="n">
        <v>37982</v>
      </c>
      <c r="B1339" s="6" t="inlineStr">
        <is>
          <t>SKYY VODKA</t>
        </is>
      </c>
      <c r="C1339" s="7">
        <f>VLOOKUP(A1339,SizeData!A$2:B$3839,2,FALSE)</f>
        <v/>
      </c>
      <c r="D1339" s="6" t="n">
        <v>1</v>
      </c>
      <c r="E1339" s="6" t="inlineStr">
        <is>
          <t>R1341373A</t>
        </is>
      </c>
      <c r="F1339" s="2" t="n">
        <v>44531</v>
      </c>
      <c r="G1339" s="1" t="n"/>
    </row>
    <row r="1340">
      <c r="A1340" s="6" t="n">
        <v>37988</v>
      </c>
      <c r="B1340" s="6" t="inlineStr">
        <is>
          <t>SKYY VODKA</t>
        </is>
      </c>
      <c r="C1340" s="7">
        <f>VLOOKUP(A1340,SizeData!A$2:B$3839,2,FALSE)</f>
        <v/>
      </c>
      <c r="D1340" s="6" t="n">
        <v>1</v>
      </c>
      <c r="E1340" s="6" t="inlineStr">
        <is>
          <t>R1204006</t>
        </is>
      </c>
      <c r="F1340" s="2" t="n">
        <v>44415</v>
      </c>
      <c r="G1340" s="1" t="n"/>
    </row>
    <row r="1341">
      <c r="A1341" s="6" t="n">
        <v>37994</v>
      </c>
      <c r="B1341" s="6" t="inlineStr">
        <is>
          <t>SMIRNOFF 80 VODKA</t>
        </is>
      </c>
      <c r="C1341" s="7">
        <f>VLOOKUP(A1341,SizeData!A$2:B$3839,2,FALSE)</f>
        <v/>
      </c>
      <c r="D1341" s="6" t="n">
        <v>7</v>
      </c>
      <c r="E1341" s="6" t="inlineStr">
        <is>
          <t>R1028707</t>
        </is>
      </c>
      <c r="F1341" s="2" t="n">
        <v>44229</v>
      </c>
      <c r="G1341" s="1" t="n"/>
    </row>
    <row r="1342">
      <c r="A1342" s="6" t="n">
        <v>37994</v>
      </c>
      <c r="B1342" s="6" t="inlineStr">
        <is>
          <t>SMIRNOFF 80 VODKA</t>
        </is>
      </c>
      <c r="C1342" s="7">
        <f>VLOOKUP(A1342,SizeData!A$2:B$3839,2,FALSE)</f>
        <v/>
      </c>
      <c r="D1342" s="6" t="n">
        <v>5</v>
      </c>
      <c r="E1342" s="6" t="inlineStr">
        <is>
          <t>R1123426</t>
        </is>
      </c>
      <c r="F1342" s="2" t="n">
        <v>44334</v>
      </c>
      <c r="G1342" s="1" t="n"/>
    </row>
    <row r="1343">
      <c r="A1343" s="6" t="n">
        <v>37994</v>
      </c>
      <c r="B1343" s="6" t="inlineStr">
        <is>
          <t>SMIRNOFF 80 VODKA</t>
        </is>
      </c>
      <c r="C1343" s="7">
        <f>VLOOKUP(A1343,SizeData!A$2:B$3839,2,FALSE)</f>
        <v/>
      </c>
      <c r="D1343" s="6" t="n">
        <v>10</v>
      </c>
      <c r="E1343" s="6" t="inlineStr">
        <is>
          <t>R1267380</t>
        </is>
      </c>
      <c r="F1343" s="2" t="n">
        <v>44474</v>
      </c>
      <c r="G1343" s="1" t="n"/>
    </row>
    <row r="1344">
      <c r="A1344" s="6" t="n">
        <v>37996</v>
      </c>
      <c r="B1344" s="6" t="inlineStr">
        <is>
          <t>SMIRNOFF 80 VODKA</t>
        </is>
      </c>
      <c r="C1344" s="7">
        <f>VLOOKUP(A1344,SizeData!A$2:B$3839,2,FALSE)</f>
        <v/>
      </c>
      <c r="D1344" s="6" t="n">
        <v>1</v>
      </c>
      <c r="E1344" s="6" t="inlineStr">
        <is>
          <t>R1076321</t>
        </is>
      </c>
      <c r="F1344" s="2" t="n">
        <v>44281</v>
      </c>
      <c r="G1344" s="1" t="n"/>
    </row>
    <row r="1345">
      <c r="A1345" s="6" t="n">
        <v>38008</v>
      </c>
      <c r="B1345" s="6" t="inlineStr">
        <is>
          <t>SMIRNOFF 80 VODKA PET</t>
        </is>
      </c>
      <c r="C1345" s="7">
        <f>VLOOKUP(A1345,SizeData!A$2:B$3839,2,FALSE)</f>
        <v/>
      </c>
      <c r="D1345" s="6" t="n">
        <v>30</v>
      </c>
      <c r="E1345" s="6" t="inlineStr">
        <is>
          <t>R1026405</t>
        </is>
      </c>
      <c r="F1345" s="2" t="n">
        <v>44231</v>
      </c>
      <c r="G1345" s="1" t="n"/>
    </row>
    <row r="1346">
      <c r="A1346" s="6" t="n">
        <v>38008</v>
      </c>
      <c r="B1346" s="6" t="inlineStr">
        <is>
          <t>SMIRNOFF 80 VODKA PET</t>
        </is>
      </c>
      <c r="C1346" s="7">
        <f>VLOOKUP(A1346,SizeData!A$2:B$3839,2,FALSE)</f>
        <v/>
      </c>
      <c r="D1346" s="6" t="n">
        <v>8</v>
      </c>
      <c r="E1346" s="6" t="inlineStr">
        <is>
          <t>R1309402</t>
        </is>
      </c>
      <c r="F1346" s="2" t="n">
        <v>44502</v>
      </c>
      <c r="G1346" s="1" t="n"/>
    </row>
    <row r="1347">
      <c r="A1347" s="6" t="n">
        <v>38033</v>
      </c>
      <c r="B1347" s="6" t="inlineStr">
        <is>
          <t>SMITHWORKS AMERICAN VODKA</t>
        </is>
      </c>
      <c r="C1347" s="7">
        <f>VLOOKUP(A1347,SizeData!A$2:B$3839,2,FALSE)</f>
        <v/>
      </c>
      <c r="D1347" s="6" t="n">
        <v>1</v>
      </c>
      <c r="E1347" s="6" t="inlineStr">
        <is>
          <t>R1001511</t>
        </is>
      </c>
      <c r="F1347" s="2" t="n">
        <v>44208</v>
      </c>
      <c r="G1347" s="1" t="n"/>
    </row>
    <row r="1348">
      <c r="A1348" s="6" t="n">
        <v>38033</v>
      </c>
      <c r="B1348" s="6" t="inlineStr">
        <is>
          <t>SMITHWORKS AMERICAN VODKA</t>
        </is>
      </c>
      <c r="C1348" s="7">
        <f>VLOOKUP(A1348,SizeData!A$2:B$3839,2,FALSE)</f>
        <v/>
      </c>
      <c r="D1348" s="6" t="n">
        <v>1</v>
      </c>
      <c r="E1348" s="6" t="inlineStr">
        <is>
          <t>R1137831</t>
        </is>
      </c>
      <c r="F1348" s="2" t="n">
        <v>44348</v>
      </c>
      <c r="G1348" s="1" t="n"/>
    </row>
    <row r="1349">
      <c r="A1349" s="6" t="n">
        <v>38033</v>
      </c>
      <c r="B1349" s="6" t="inlineStr">
        <is>
          <t>SMITHWORKS AMERICAN VODKA</t>
        </is>
      </c>
      <c r="C1349" s="7">
        <f>VLOOKUP(A1349,SizeData!A$2:B$3839,2,FALSE)</f>
        <v/>
      </c>
      <c r="D1349" s="6" t="n">
        <v>1</v>
      </c>
      <c r="E1349" s="6" t="inlineStr">
        <is>
          <t xml:space="preserve"> R1175279</t>
        </is>
      </c>
      <c r="F1349" s="2" t="n">
        <v>44382</v>
      </c>
      <c r="G1349" s="1" t="n"/>
    </row>
    <row r="1350">
      <c r="A1350" s="6" t="n">
        <v>38063</v>
      </c>
      <c r="B1350" s="6" t="inlineStr">
        <is>
          <t>TAAKA VODKA 80</t>
        </is>
      </c>
      <c r="C1350" s="7">
        <f>VLOOKUP(A1350,SizeData!A$2:B$3839,2,FALSE)</f>
        <v/>
      </c>
      <c r="D1350" s="6" t="n">
        <v>20</v>
      </c>
      <c r="E1350" s="6" t="inlineStr">
        <is>
          <t>R1049498</t>
        </is>
      </c>
      <c r="F1350" s="2" t="n">
        <v>44258</v>
      </c>
      <c r="G1350" s="1" t="n"/>
    </row>
    <row r="1351">
      <c r="A1351" s="6" t="n">
        <v>38063</v>
      </c>
      <c r="B1351" s="6" t="inlineStr">
        <is>
          <t>TAAKA VODKA 80</t>
        </is>
      </c>
      <c r="C1351" s="7">
        <f>VLOOKUP(A1351,SizeData!A$2:B$3839,2,FALSE)</f>
        <v/>
      </c>
      <c r="D1351" s="6" t="n">
        <v>20</v>
      </c>
      <c r="E1351" s="6" t="inlineStr">
        <is>
          <t>R1071258</t>
        </is>
      </c>
      <c r="F1351" s="2" t="n">
        <v>44258</v>
      </c>
      <c r="G1351" s="1" t="n"/>
    </row>
    <row r="1352">
      <c r="A1352" s="6" t="n">
        <v>38063</v>
      </c>
      <c r="B1352" s="6" t="inlineStr">
        <is>
          <t>TAAKA VODKA 80</t>
        </is>
      </c>
      <c r="C1352" s="7">
        <f>VLOOKUP(A1352,SizeData!A$2:B$3839,2,FALSE)</f>
        <v/>
      </c>
      <c r="D1352" s="6" t="n">
        <v>10</v>
      </c>
      <c r="E1352" s="6" t="inlineStr">
        <is>
          <t>R1044509</t>
        </is>
      </c>
      <c r="F1352" s="2" t="n">
        <v>44259</v>
      </c>
      <c r="G1352" s="1" t="n"/>
    </row>
    <row r="1353">
      <c r="A1353" s="6" t="n">
        <v>38063</v>
      </c>
      <c r="B1353" s="6" t="inlineStr">
        <is>
          <t>TAAKA VODKA 80</t>
        </is>
      </c>
      <c r="C1353" s="7">
        <f>VLOOKUP(A1353,SizeData!A$2:B$3839,2,FALSE)</f>
        <v/>
      </c>
      <c r="D1353" s="6" t="n">
        <v>8</v>
      </c>
      <c r="E1353" s="6" t="inlineStr">
        <is>
          <t>R1048765</t>
        </is>
      </c>
      <c r="F1353" s="2" t="n">
        <v>44265</v>
      </c>
      <c r="G1353" s="1" t="n"/>
    </row>
    <row r="1354">
      <c r="A1354" s="6" t="n">
        <v>38063</v>
      </c>
      <c r="B1354" s="6" t="inlineStr">
        <is>
          <t>TAAKA VODKA 80</t>
        </is>
      </c>
      <c r="C1354" s="7">
        <f>VLOOKUP(A1354,SizeData!A$2:B$3839,2,FALSE)</f>
        <v/>
      </c>
      <c r="D1354" s="6" t="n">
        <v>10</v>
      </c>
      <c r="E1354" s="6" t="inlineStr">
        <is>
          <t>R1048898</t>
        </is>
      </c>
      <c r="F1354" s="2" t="n">
        <v>44266</v>
      </c>
      <c r="G1354" s="1" t="n"/>
    </row>
    <row r="1355">
      <c r="A1355" s="6" t="n">
        <v>38063</v>
      </c>
      <c r="B1355" s="6" t="inlineStr">
        <is>
          <t>TAAKA VODKA 80</t>
        </is>
      </c>
      <c r="C1355" s="7">
        <f>VLOOKUP(A1355,SizeData!A$2:B$3839,2,FALSE)</f>
        <v/>
      </c>
      <c r="D1355" s="6" t="n">
        <v>10</v>
      </c>
      <c r="E1355" s="6" t="inlineStr">
        <is>
          <t>R1067006</t>
        </is>
      </c>
      <c r="F1355" s="2" t="n">
        <v>44269</v>
      </c>
      <c r="G1355" s="1" t="n"/>
    </row>
    <row r="1356">
      <c r="A1356" s="6" t="n">
        <v>38063</v>
      </c>
      <c r="B1356" s="6" t="inlineStr">
        <is>
          <t>TAAKA VODKA 80</t>
        </is>
      </c>
      <c r="C1356" s="7">
        <f>VLOOKUP(A1356,SizeData!A$2:B$3839,2,FALSE)</f>
        <v/>
      </c>
      <c r="D1356" s="6" t="n">
        <v>4</v>
      </c>
      <c r="E1356" s="6" t="inlineStr">
        <is>
          <t>R1067015</t>
        </is>
      </c>
      <c r="F1356" s="2" t="n">
        <v>44271</v>
      </c>
      <c r="G1356" s="1" t="n"/>
    </row>
    <row r="1357">
      <c r="A1357" s="6" t="n">
        <v>38063</v>
      </c>
      <c r="B1357" s="6" t="inlineStr">
        <is>
          <t>TAAKA VODKA 80</t>
        </is>
      </c>
      <c r="C1357" s="7">
        <f>VLOOKUP(A1357,SizeData!A$2:B$3839,2,FALSE)</f>
        <v/>
      </c>
      <c r="D1357" s="6" t="n">
        <v>3</v>
      </c>
      <c r="E1357" s="6" t="inlineStr">
        <is>
          <t>R1060792</t>
        </is>
      </c>
      <c r="F1357" s="2" t="n">
        <v>44273</v>
      </c>
      <c r="G1357" s="1" t="n"/>
    </row>
    <row r="1358">
      <c r="A1358" s="6" t="n">
        <v>38063</v>
      </c>
      <c r="B1358" s="6" t="inlineStr">
        <is>
          <t>TAAKA VODKA 80</t>
        </is>
      </c>
      <c r="C1358" s="7">
        <f>VLOOKUP(A1358,SizeData!A$2:B$3839,2,FALSE)</f>
        <v/>
      </c>
      <c r="D1358" s="6" t="n">
        <v>5</v>
      </c>
      <c r="E1358" s="6" t="inlineStr">
        <is>
          <t>R1059035</t>
        </is>
      </c>
      <c r="F1358" s="2" t="n">
        <v>44278</v>
      </c>
      <c r="G1358" s="1" t="n"/>
    </row>
    <row r="1359">
      <c r="A1359" s="6" t="n">
        <v>38063</v>
      </c>
      <c r="B1359" s="6" t="inlineStr">
        <is>
          <t>TAAKA VODKA 80</t>
        </is>
      </c>
      <c r="C1359" s="7">
        <f>VLOOKUP(A1359,SizeData!A$2:B$3839,2,FALSE)</f>
        <v/>
      </c>
      <c r="D1359" s="6" t="n">
        <v>5</v>
      </c>
      <c r="E1359" s="6" t="inlineStr">
        <is>
          <t>R1118503</t>
        </is>
      </c>
      <c r="F1359" s="2" t="n">
        <v>44324</v>
      </c>
      <c r="G1359" s="1" t="n"/>
    </row>
    <row r="1360">
      <c r="A1360" s="6" t="n">
        <v>38063</v>
      </c>
      <c r="B1360" s="6" t="inlineStr">
        <is>
          <t>TAAKA VODKA 80</t>
        </is>
      </c>
      <c r="C1360" s="7">
        <f>VLOOKUP(A1360,SizeData!A$2:B$3839,2,FALSE)</f>
        <v/>
      </c>
      <c r="D1360" s="6" t="n">
        <v>5</v>
      </c>
      <c r="E1360" s="6" t="inlineStr">
        <is>
          <t>R1111874</t>
        </is>
      </c>
      <c r="F1360" s="2" t="n">
        <v>44326</v>
      </c>
      <c r="G1360" s="1" t="n"/>
    </row>
    <row r="1361">
      <c r="A1361" s="6" t="n">
        <v>38063</v>
      </c>
      <c r="B1361" s="6" t="inlineStr">
        <is>
          <t>TAAKA VODKA 80</t>
        </is>
      </c>
      <c r="C1361" s="7">
        <f>VLOOKUP(A1361,SizeData!A$2:B$3839,2,FALSE)</f>
        <v/>
      </c>
      <c r="D1361" s="6" t="n">
        <v>7</v>
      </c>
      <c r="E1361" s="6" t="inlineStr">
        <is>
          <t>R1130338</t>
        </is>
      </c>
      <c r="F1361" s="2" t="n">
        <v>44327</v>
      </c>
      <c r="G1361" s="1" t="n"/>
    </row>
    <row r="1362">
      <c r="A1362" s="6" t="n">
        <v>38063</v>
      </c>
      <c r="B1362" s="6" t="inlineStr">
        <is>
          <t>TAAKA VODKA 80</t>
        </is>
      </c>
      <c r="C1362" s="7">
        <f>VLOOKUP(A1362,SizeData!A$2:B$3839,2,FALSE)</f>
        <v/>
      </c>
      <c r="D1362" s="6" t="n">
        <v>5</v>
      </c>
      <c r="E1362" s="6" t="inlineStr">
        <is>
          <t>R1118814</t>
        </is>
      </c>
      <c r="F1362" s="2" t="n">
        <v>44328</v>
      </c>
      <c r="G1362" s="1" t="n"/>
    </row>
    <row r="1363">
      <c r="A1363" s="6" t="n">
        <v>38063</v>
      </c>
      <c r="B1363" s="6" t="inlineStr">
        <is>
          <t>TAAKA VODKA 80</t>
        </is>
      </c>
      <c r="C1363" s="7">
        <f>VLOOKUP(A1363,SizeData!A$2:B$3839,2,FALSE)</f>
        <v/>
      </c>
      <c r="D1363" s="6" t="n">
        <v>5</v>
      </c>
      <c r="E1363" s="6" t="inlineStr">
        <is>
          <t>R1180615</t>
        </is>
      </c>
      <c r="F1363" s="2" t="n">
        <v>44384</v>
      </c>
      <c r="G1363" s="1" t="n"/>
    </row>
    <row r="1364">
      <c r="A1364" s="6" t="n">
        <v>38063</v>
      </c>
      <c r="B1364" s="6" t="inlineStr">
        <is>
          <t>TAAKA VODKA 80</t>
        </is>
      </c>
      <c r="C1364" s="7">
        <f>VLOOKUP(A1364,SizeData!A$2:B$3839,2,FALSE)</f>
        <v/>
      </c>
      <c r="D1364" s="6" t="n">
        <v>3</v>
      </c>
      <c r="E1364" s="6" t="inlineStr">
        <is>
          <t xml:space="preserve"> R1170886</t>
        </is>
      </c>
      <c r="F1364" s="2" t="n">
        <v>44384</v>
      </c>
      <c r="G1364" s="1" t="n"/>
    </row>
    <row r="1365">
      <c r="A1365" s="6" t="n">
        <v>38063</v>
      </c>
      <c r="B1365" s="6" t="inlineStr">
        <is>
          <t>TAAKA VODKA 80</t>
        </is>
      </c>
      <c r="C1365" s="7">
        <f>VLOOKUP(A1365,SizeData!A$2:B$3839,2,FALSE)</f>
        <v/>
      </c>
      <c r="D1365" s="6" t="n">
        <v>1</v>
      </c>
      <c r="E1365" s="6" t="inlineStr">
        <is>
          <t>R1162788</t>
        </is>
      </c>
      <c r="F1365" s="2" t="n">
        <v>44385</v>
      </c>
      <c r="G1365" s="1" t="n"/>
    </row>
    <row r="1366">
      <c r="A1366" s="6" t="n">
        <v>38063</v>
      </c>
      <c r="B1366" s="6" t="inlineStr">
        <is>
          <t>TAAKA VODKA 80</t>
        </is>
      </c>
      <c r="C1366" s="7">
        <f>VLOOKUP(A1366,SizeData!A$2:B$3839,2,FALSE)</f>
        <v/>
      </c>
      <c r="D1366" s="6" t="n">
        <v>3</v>
      </c>
      <c r="E1366" s="6" t="inlineStr">
        <is>
          <t>R1190166</t>
        </is>
      </c>
      <c r="F1366" s="2" t="n">
        <v>44396</v>
      </c>
      <c r="G1366" s="1" t="n"/>
    </row>
    <row r="1367">
      <c r="A1367" s="6" t="n">
        <v>38063</v>
      </c>
      <c r="B1367" s="6" t="inlineStr">
        <is>
          <t>TAAKA VODKA 80</t>
        </is>
      </c>
      <c r="C1367" s="7">
        <f>VLOOKUP(A1367,SizeData!A$2:B$3839,2,FALSE)</f>
        <v/>
      </c>
      <c r="D1367" s="6" t="n">
        <v>1</v>
      </c>
      <c r="E1367" s="6" t="inlineStr">
        <is>
          <t>R1172969</t>
        </is>
      </c>
      <c r="F1367" s="2" t="n">
        <v>44396</v>
      </c>
      <c r="G1367" s="1" t="n"/>
    </row>
    <row r="1368">
      <c r="A1368" s="6" t="n">
        <v>38063</v>
      </c>
      <c r="B1368" s="6" t="inlineStr">
        <is>
          <t>TAAKA VODKA 80</t>
        </is>
      </c>
      <c r="C1368" s="7">
        <f>VLOOKUP(A1368,SizeData!A$2:B$3839,2,FALSE)</f>
        <v/>
      </c>
      <c r="D1368" s="6" t="n">
        <v>2</v>
      </c>
      <c r="E1368" s="6" t="inlineStr">
        <is>
          <t xml:space="preserve"> R1200122</t>
        </is>
      </c>
      <c r="F1368" s="2" t="n">
        <v>44397</v>
      </c>
      <c r="G1368" s="1" t="n"/>
    </row>
    <row r="1369">
      <c r="A1369" s="6" t="n">
        <v>38063</v>
      </c>
      <c r="B1369" s="6" t="inlineStr">
        <is>
          <t>TAAKA VODKA 80</t>
        </is>
      </c>
      <c r="C1369" s="7">
        <f>VLOOKUP(A1369,SizeData!A$2:B$3839,2,FALSE)</f>
        <v/>
      </c>
      <c r="D1369" s="6" t="n">
        <v>10</v>
      </c>
      <c r="E1369" s="6" t="inlineStr">
        <is>
          <t>R1230991</t>
        </is>
      </c>
      <c r="F1369" s="2" t="n">
        <v>44441</v>
      </c>
      <c r="G1369" s="1" t="n"/>
    </row>
    <row r="1370">
      <c r="A1370" s="6" t="n">
        <v>38063</v>
      </c>
      <c r="B1370" s="6" t="inlineStr">
        <is>
          <t>TAAKA VODKA 80</t>
        </is>
      </c>
      <c r="C1370" s="7">
        <f>VLOOKUP(A1370,SizeData!A$2:B$3839,2,FALSE)</f>
        <v/>
      </c>
      <c r="D1370" s="6" t="n">
        <v>15</v>
      </c>
      <c r="E1370" s="6" t="inlineStr">
        <is>
          <t>R1236179</t>
        </is>
      </c>
      <c r="F1370" s="2" t="n">
        <v>44443</v>
      </c>
      <c r="G1370" s="1" t="n"/>
    </row>
    <row r="1371">
      <c r="A1371" s="6" t="n">
        <v>38063</v>
      </c>
      <c r="B1371" s="6" t="inlineStr">
        <is>
          <t>TAAKA VODKA 80</t>
        </is>
      </c>
      <c r="C1371" s="7">
        <f>VLOOKUP(A1371,SizeData!A$2:B$3839,2,FALSE)</f>
        <v/>
      </c>
      <c r="D1371" s="6" t="n">
        <v>1</v>
      </c>
      <c r="E1371" s="6" t="inlineStr">
        <is>
          <t>R1233420</t>
        </is>
      </c>
      <c r="F1371" s="2" t="n">
        <v>44443</v>
      </c>
      <c r="G1371" s="1" t="n"/>
    </row>
    <row r="1372">
      <c r="A1372" s="6" t="n">
        <v>38063</v>
      </c>
      <c r="B1372" s="6" t="inlineStr">
        <is>
          <t>TAAKA VODKA 80</t>
        </is>
      </c>
      <c r="C1372" s="7">
        <f>VLOOKUP(A1372,SizeData!A$2:B$3839,2,FALSE)</f>
        <v/>
      </c>
      <c r="D1372" s="6" t="n">
        <v>6</v>
      </c>
      <c r="E1372" s="6" t="inlineStr">
        <is>
          <t>R1243269</t>
        </is>
      </c>
      <c r="F1372" s="2" t="n">
        <v>44459</v>
      </c>
      <c r="G1372" s="1" t="n"/>
    </row>
    <row r="1373">
      <c r="A1373" s="6" t="n">
        <v>38063</v>
      </c>
      <c r="B1373" s="6" t="inlineStr">
        <is>
          <t>TAAKA VODKA 80</t>
        </is>
      </c>
      <c r="C1373" s="7">
        <f>VLOOKUP(A1373,SizeData!A$2:B$3839,2,FALSE)</f>
        <v/>
      </c>
      <c r="D1373" s="6" t="n">
        <v>1</v>
      </c>
      <c r="E1373" s="6" t="inlineStr">
        <is>
          <t>R1275205</t>
        </is>
      </c>
      <c r="F1373" s="2" t="n">
        <v>44462</v>
      </c>
      <c r="G1373" s="1" t="n"/>
    </row>
    <row r="1374">
      <c r="A1374" s="6" t="n">
        <v>38063</v>
      </c>
      <c r="B1374" s="6" t="inlineStr">
        <is>
          <t>TAAKA VODKA 80</t>
        </is>
      </c>
      <c r="C1374" s="7">
        <f>VLOOKUP(A1374,SizeData!A$2:B$3839,2,FALSE)</f>
        <v/>
      </c>
      <c r="D1374" s="6" t="n">
        <v>7</v>
      </c>
      <c r="E1374" s="6" t="inlineStr">
        <is>
          <t>R1248175</t>
        </is>
      </c>
      <c r="F1374" s="2" t="n">
        <v>44463</v>
      </c>
      <c r="G1374" s="1" t="n"/>
    </row>
    <row r="1375">
      <c r="A1375" s="6" t="n">
        <v>38063</v>
      </c>
      <c r="B1375" s="6" t="inlineStr">
        <is>
          <t>TAAKA VODKA 80</t>
        </is>
      </c>
      <c r="C1375" s="7">
        <f>VLOOKUP(A1375,SizeData!A$2:B$3839,2,FALSE)</f>
        <v/>
      </c>
      <c r="D1375" s="6" t="n">
        <v>12</v>
      </c>
      <c r="E1375" s="6" t="inlineStr">
        <is>
          <t>R1256699</t>
        </is>
      </c>
      <c r="F1375" s="2" t="n">
        <v>44466</v>
      </c>
      <c r="G1375" s="1" t="n"/>
    </row>
    <row r="1376">
      <c r="A1376" s="6" t="n">
        <v>38063</v>
      </c>
      <c r="B1376" s="6" t="inlineStr">
        <is>
          <t>TAAKA VODKA 80</t>
        </is>
      </c>
      <c r="C1376" s="7">
        <f>VLOOKUP(A1376,SizeData!A$2:B$3839,2,FALSE)</f>
        <v/>
      </c>
      <c r="D1376" s="6" t="n">
        <v>5</v>
      </c>
      <c r="E1376" s="6" t="inlineStr">
        <is>
          <t>R1271248</t>
        </is>
      </c>
      <c r="F1376" s="2" t="n">
        <v>44469</v>
      </c>
      <c r="G1376" s="1" t="n"/>
    </row>
    <row r="1377">
      <c r="A1377" s="6" t="n">
        <v>38063</v>
      </c>
      <c r="B1377" s="6" t="inlineStr">
        <is>
          <t>TAAKA VODKA 80</t>
        </is>
      </c>
      <c r="C1377" s="7">
        <f>VLOOKUP(A1377,SizeData!A$2:B$3839,2,FALSE)</f>
        <v/>
      </c>
      <c r="D1377" s="6" t="n">
        <v>4</v>
      </c>
      <c r="E1377" s="6" t="inlineStr">
        <is>
          <t>R1258650</t>
        </is>
      </c>
      <c r="F1377" s="2" t="n">
        <v>44469</v>
      </c>
      <c r="G1377" s="1" t="n"/>
    </row>
    <row r="1378">
      <c r="A1378" s="6" t="n">
        <v>38063</v>
      </c>
      <c r="B1378" s="6" t="inlineStr">
        <is>
          <t>TAAKA VODKA 80</t>
        </is>
      </c>
      <c r="C1378" s="7">
        <f>VLOOKUP(A1378,SizeData!A$2:B$3839,2,FALSE)</f>
        <v/>
      </c>
      <c r="D1378" s="6" t="n">
        <v>5</v>
      </c>
      <c r="E1378" s="6" t="inlineStr">
        <is>
          <t>R1277819</t>
        </is>
      </c>
      <c r="F1378" s="2" t="n">
        <v>44481</v>
      </c>
      <c r="G1378" s="1" t="n"/>
    </row>
    <row r="1379">
      <c r="A1379" s="6" t="n">
        <v>38063</v>
      </c>
      <c r="B1379" s="6" t="inlineStr">
        <is>
          <t>TAAKA VODKA 80</t>
        </is>
      </c>
      <c r="C1379" s="7">
        <f>VLOOKUP(A1379,SizeData!A$2:B$3839,2,FALSE)</f>
        <v/>
      </c>
      <c r="D1379" s="6" t="n">
        <v>10</v>
      </c>
      <c r="E1379" s="6" t="inlineStr">
        <is>
          <t>R1347883</t>
        </is>
      </c>
      <c r="F1379" s="2" t="n">
        <v>44536</v>
      </c>
      <c r="G1379" s="1" t="n"/>
    </row>
    <row r="1380">
      <c r="A1380" s="6" t="n">
        <v>38063</v>
      </c>
      <c r="B1380" s="6" t="inlineStr">
        <is>
          <t>TAAKA VODKA 80</t>
        </is>
      </c>
      <c r="C1380" s="7">
        <f>VLOOKUP(A1380,SizeData!A$2:B$3839,2,FALSE)</f>
        <v/>
      </c>
      <c r="D1380" s="6" t="n">
        <v>15</v>
      </c>
      <c r="E1380" s="6" t="inlineStr">
        <is>
          <t>R1366620</t>
        </is>
      </c>
      <c r="F1380" s="2" t="n">
        <v>44539</v>
      </c>
      <c r="G1380" s="1" t="n"/>
    </row>
    <row r="1381">
      <c r="A1381" s="6" t="n">
        <v>38064</v>
      </c>
      <c r="B1381" s="6" t="inlineStr">
        <is>
          <t>TAAKA VODKA 80</t>
        </is>
      </c>
      <c r="C1381" s="7">
        <f>VLOOKUP(A1381,SizeData!A$2:B$3839,2,FALSE)</f>
        <v/>
      </c>
      <c r="D1381" s="6" t="n">
        <v>4</v>
      </c>
      <c r="E1381" s="6" t="inlineStr">
        <is>
          <t>R991186</t>
        </is>
      </c>
      <c r="F1381" s="2" t="n">
        <v>44203</v>
      </c>
      <c r="G1381" s="1" t="n"/>
    </row>
    <row r="1382">
      <c r="A1382" s="6" t="n">
        <v>38064</v>
      </c>
      <c r="B1382" s="6" t="inlineStr">
        <is>
          <t>TAAKA VODKA 80</t>
        </is>
      </c>
      <c r="C1382" s="7">
        <f>VLOOKUP(A1382,SizeData!A$2:B$3839,2,FALSE)</f>
        <v/>
      </c>
      <c r="D1382" s="6" t="n">
        <v>3</v>
      </c>
      <c r="E1382" s="6" t="inlineStr">
        <is>
          <t>R1031021</t>
        </is>
      </c>
      <c r="F1382" s="2" t="n">
        <v>44229</v>
      </c>
      <c r="G1382" s="1" t="n"/>
    </row>
    <row r="1383">
      <c r="A1383" s="6" t="n">
        <v>38064</v>
      </c>
      <c r="B1383" s="6" t="inlineStr">
        <is>
          <t>TAAKA VODKA 80</t>
        </is>
      </c>
      <c r="C1383" s="7">
        <f>VLOOKUP(A1383,SizeData!A$2:B$3839,2,FALSE)</f>
        <v/>
      </c>
      <c r="D1383" s="6" t="n">
        <v>5</v>
      </c>
      <c r="E1383" s="6" t="inlineStr">
        <is>
          <t>R1026567</t>
        </is>
      </c>
      <c r="F1383" s="2" t="n">
        <v>44245</v>
      </c>
      <c r="G1383" s="1" t="n"/>
    </row>
    <row r="1384">
      <c r="A1384" s="6" t="n">
        <v>38064</v>
      </c>
      <c r="B1384" s="6" t="inlineStr">
        <is>
          <t>TAAKA VODKA 80</t>
        </is>
      </c>
      <c r="C1384" s="7">
        <f>VLOOKUP(A1384,SizeData!A$2:B$3839,2,FALSE)</f>
        <v/>
      </c>
      <c r="D1384" s="6" t="n">
        <v>5</v>
      </c>
      <c r="E1384" s="6" t="inlineStr">
        <is>
          <t>R1035997</t>
        </is>
      </c>
      <c r="F1384" s="2" t="n">
        <v>44252</v>
      </c>
      <c r="G1384" s="1" t="n"/>
    </row>
    <row r="1385">
      <c r="A1385" s="6" t="n">
        <v>38064</v>
      </c>
      <c r="B1385" s="6" t="inlineStr">
        <is>
          <t>TAAKA VODKA 80</t>
        </is>
      </c>
      <c r="C1385" s="7">
        <f>VLOOKUP(A1385,SizeData!A$2:B$3839,2,FALSE)</f>
        <v/>
      </c>
      <c r="D1385" s="6" t="n">
        <v>5</v>
      </c>
      <c r="E1385" s="6" t="inlineStr">
        <is>
          <t>R1041727</t>
        </is>
      </c>
      <c r="F1385" s="2" t="n">
        <v>44254</v>
      </c>
      <c r="G1385" s="1" t="n"/>
    </row>
    <row r="1386">
      <c r="A1386" s="6" t="n">
        <v>38064</v>
      </c>
      <c r="B1386" s="6" t="inlineStr">
        <is>
          <t>TAAKA VODKA 80</t>
        </is>
      </c>
      <c r="C1386" s="7">
        <f>VLOOKUP(A1386,SizeData!A$2:B$3839,2,FALSE)</f>
        <v/>
      </c>
      <c r="D1386" s="6" t="n">
        <v>3</v>
      </c>
      <c r="E1386" s="6" t="inlineStr">
        <is>
          <t>R1108436</t>
        </is>
      </c>
      <c r="F1386" s="2" t="n">
        <v>44316</v>
      </c>
      <c r="G1386" s="1" t="n"/>
    </row>
    <row r="1387">
      <c r="A1387" s="6" t="n">
        <v>38064</v>
      </c>
      <c r="B1387" s="6" t="inlineStr">
        <is>
          <t>TAAKA VODKA 80</t>
        </is>
      </c>
      <c r="C1387" s="7">
        <f>VLOOKUP(A1387,SizeData!A$2:B$3839,2,FALSE)</f>
        <v/>
      </c>
      <c r="D1387" s="6" t="n">
        <v>3</v>
      </c>
      <c r="E1387" s="6" t="inlineStr">
        <is>
          <t>R1165810</t>
        </is>
      </c>
      <c r="F1387" s="2" t="n">
        <v>44361</v>
      </c>
      <c r="G1387" s="1" t="n"/>
    </row>
    <row r="1388">
      <c r="A1388" s="6" t="n">
        <v>38064</v>
      </c>
      <c r="B1388" s="6" t="inlineStr">
        <is>
          <t>TAAKA VODKA 80</t>
        </is>
      </c>
      <c r="C1388" s="7">
        <f>VLOOKUP(A1388,SizeData!A$2:B$3839,2,FALSE)</f>
        <v/>
      </c>
      <c r="D1388" s="6" t="n">
        <v>2</v>
      </c>
      <c r="E1388" s="6" t="inlineStr">
        <is>
          <t xml:space="preserve"> R1150892</t>
        </is>
      </c>
      <c r="F1388" s="2" t="n">
        <v>44368</v>
      </c>
      <c r="G1388" s="1" t="n"/>
    </row>
    <row r="1389">
      <c r="A1389" s="6" t="n">
        <v>38064</v>
      </c>
      <c r="B1389" s="6" t="inlineStr">
        <is>
          <t>TAAKA VODKA 80</t>
        </is>
      </c>
      <c r="C1389" s="7">
        <f>VLOOKUP(A1389,SizeData!A$2:B$3839,2,FALSE)</f>
        <v/>
      </c>
      <c r="D1389" s="6" t="n">
        <v>5</v>
      </c>
      <c r="E1389" s="6" t="inlineStr">
        <is>
          <t>R1200551</t>
        </is>
      </c>
      <c r="F1389" s="2" t="n">
        <v>44411</v>
      </c>
      <c r="G1389" s="1" t="n"/>
    </row>
    <row r="1390">
      <c r="A1390" s="6" t="n">
        <v>38064</v>
      </c>
      <c r="B1390" s="6" t="inlineStr">
        <is>
          <t>TAAKA VODKA 80</t>
        </is>
      </c>
      <c r="C1390" s="7">
        <f>VLOOKUP(A1390,SizeData!A$2:B$3839,2,FALSE)</f>
        <v/>
      </c>
      <c r="D1390" s="6" t="n">
        <v>5</v>
      </c>
      <c r="E1390" s="6" t="inlineStr">
        <is>
          <t>R1198361</t>
        </is>
      </c>
      <c r="F1390" s="2" t="n">
        <v>44416</v>
      </c>
      <c r="G1390" s="1" t="n"/>
    </row>
    <row r="1391">
      <c r="A1391" s="6" t="n">
        <v>38064</v>
      </c>
      <c r="B1391" s="6" t="inlineStr">
        <is>
          <t>TAAKA VODKA 80</t>
        </is>
      </c>
      <c r="C1391" s="7">
        <f>VLOOKUP(A1391,SizeData!A$2:B$3839,2,FALSE)</f>
        <v/>
      </c>
      <c r="D1391" s="6" t="n">
        <v>3</v>
      </c>
      <c r="E1391" s="6" t="inlineStr">
        <is>
          <t>R1203719</t>
        </is>
      </c>
      <c r="F1391" s="2" t="n">
        <v>44419</v>
      </c>
      <c r="G1391" s="1" t="n"/>
    </row>
    <row r="1392">
      <c r="A1392" s="6" t="n">
        <v>38064</v>
      </c>
      <c r="B1392" s="6" t="inlineStr">
        <is>
          <t>TAAKA VODKA 80</t>
        </is>
      </c>
      <c r="C1392" s="7">
        <f>VLOOKUP(A1392,SizeData!A$2:B$3839,2,FALSE)</f>
        <v/>
      </c>
      <c r="D1392" s="6" t="n">
        <v>5</v>
      </c>
      <c r="E1392" s="6" t="inlineStr">
        <is>
          <t>R1264756</t>
        </is>
      </c>
      <c r="F1392" s="2" t="n">
        <v>44472</v>
      </c>
      <c r="G1392" s="1" t="n"/>
    </row>
    <row r="1393">
      <c r="A1393" s="6" t="n">
        <v>38064</v>
      </c>
      <c r="B1393" s="6" t="inlineStr">
        <is>
          <t>TAAKA VODKA 80</t>
        </is>
      </c>
      <c r="C1393" s="7">
        <f>VLOOKUP(A1393,SizeData!A$2:B$3839,2,FALSE)</f>
        <v/>
      </c>
      <c r="D1393" s="6" t="n">
        <v>14</v>
      </c>
      <c r="E1393" s="6" t="inlineStr">
        <is>
          <t>R1306125</t>
        </is>
      </c>
      <c r="F1393" s="2" t="n">
        <v>44495</v>
      </c>
      <c r="G1393" s="1" t="n"/>
    </row>
    <row r="1394">
      <c r="A1394" s="6" t="n">
        <v>38064</v>
      </c>
      <c r="B1394" s="6" t="inlineStr">
        <is>
          <t>TAAKA VODKA 80</t>
        </is>
      </c>
      <c r="C1394" s="7">
        <f>VLOOKUP(A1394,SizeData!A$2:B$3839,2,FALSE)</f>
        <v/>
      </c>
      <c r="D1394" s="6" t="n">
        <v>6</v>
      </c>
      <c r="E1394" s="6" t="inlineStr">
        <is>
          <t>R1292296</t>
        </is>
      </c>
      <c r="F1394" s="2" t="n">
        <v>44496</v>
      </c>
      <c r="G1394" s="1" t="n"/>
    </row>
    <row r="1395">
      <c r="A1395" s="6" t="n">
        <v>38067</v>
      </c>
      <c r="B1395" s="6" t="inlineStr">
        <is>
          <t>TAAKA VODKA 80</t>
        </is>
      </c>
      <c r="C1395" s="7">
        <f>VLOOKUP(A1395,SizeData!A$2:B$3839,2,FALSE)</f>
        <v/>
      </c>
      <c r="D1395" s="6" t="n">
        <v>5</v>
      </c>
      <c r="E1395" s="6" t="inlineStr">
        <is>
          <t>R1031021</t>
        </is>
      </c>
      <c r="F1395" s="2" t="n">
        <v>44229</v>
      </c>
      <c r="G1395" s="1" t="n"/>
    </row>
    <row r="1396">
      <c r="A1396" s="6" t="n">
        <v>38067</v>
      </c>
      <c r="B1396" s="6" t="inlineStr">
        <is>
          <t>TAAKA VODKA 80</t>
        </is>
      </c>
      <c r="C1396" s="7">
        <f>VLOOKUP(A1396,SizeData!A$2:B$3839,2,FALSE)</f>
        <v/>
      </c>
      <c r="D1396" s="6" t="n">
        <v>4</v>
      </c>
      <c r="E1396" s="6" t="inlineStr">
        <is>
          <t>R1046007</t>
        </is>
      </c>
      <c r="F1396" s="2" t="n">
        <v>44250</v>
      </c>
      <c r="G1396" s="1" t="n"/>
    </row>
    <row r="1397">
      <c r="A1397" s="6" t="n">
        <v>38067</v>
      </c>
      <c r="B1397" s="6" t="inlineStr">
        <is>
          <t>TAAKA VODKA 80</t>
        </is>
      </c>
      <c r="C1397" s="7">
        <f>VLOOKUP(A1397,SizeData!A$2:B$3839,2,FALSE)</f>
        <v/>
      </c>
      <c r="D1397" s="6" t="n">
        <v>1</v>
      </c>
      <c r="E1397" s="6" t="inlineStr">
        <is>
          <t>R1055219</t>
        </is>
      </c>
      <c r="F1397" s="2" t="n">
        <v>44250</v>
      </c>
      <c r="G1397" s="1" t="n"/>
    </row>
    <row r="1398">
      <c r="A1398" s="6" t="n">
        <v>38067</v>
      </c>
      <c r="B1398" s="6" t="inlineStr">
        <is>
          <t>TAAKA VODKA 80</t>
        </is>
      </c>
      <c r="C1398" s="7">
        <f>VLOOKUP(A1398,SizeData!A$2:B$3839,2,FALSE)</f>
        <v/>
      </c>
      <c r="D1398" s="6" t="n">
        <v>1</v>
      </c>
      <c r="E1398" s="6" t="inlineStr">
        <is>
          <t>R1035997</t>
        </is>
      </c>
      <c r="F1398" s="2" t="n">
        <v>44252</v>
      </c>
      <c r="G1398" s="1" t="n"/>
    </row>
    <row r="1399">
      <c r="A1399" s="6" t="n">
        <v>38067</v>
      </c>
      <c r="B1399" s="6" t="inlineStr">
        <is>
          <t>TAAKA VODKA 80</t>
        </is>
      </c>
      <c r="C1399" s="7">
        <f>VLOOKUP(A1399,SizeData!A$2:B$3839,2,FALSE)</f>
        <v/>
      </c>
      <c r="D1399" s="6" t="n">
        <v>7</v>
      </c>
      <c r="E1399" s="6" t="inlineStr">
        <is>
          <t>R1118503</t>
        </is>
      </c>
      <c r="F1399" s="2" t="n">
        <v>44324</v>
      </c>
      <c r="G1399" s="1" t="n"/>
    </row>
    <row r="1400">
      <c r="A1400" s="6" t="n">
        <v>38067</v>
      </c>
      <c r="B1400" s="6" t="inlineStr">
        <is>
          <t>TAAKA VODKA 80</t>
        </is>
      </c>
      <c r="C1400" s="7">
        <f>VLOOKUP(A1400,SizeData!A$2:B$3839,2,FALSE)</f>
        <v/>
      </c>
      <c r="D1400" s="6" t="n">
        <v>5</v>
      </c>
      <c r="E1400" s="6" t="inlineStr">
        <is>
          <t>R1109381</t>
        </is>
      </c>
      <c r="F1400" s="2" t="n">
        <v>44331</v>
      </c>
      <c r="G1400" s="1" t="n"/>
    </row>
    <row r="1401">
      <c r="A1401" s="6" t="n">
        <v>38067</v>
      </c>
      <c r="B1401" s="6" t="inlineStr">
        <is>
          <t>TAAKA VODKA 80</t>
        </is>
      </c>
      <c r="C1401" s="7">
        <f>VLOOKUP(A1401,SizeData!A$2:B$3839,2,FALSE)</f>
        <v/>
      </c>
      <c r="D1401" s="6" t="n">
        <v>3</v>
      </c>
      <c r="E1401" s="6" t="inlineStr">
        <is>
          <t>R1206028</t>
        </is>
      </c>
      <c r="F1401" s="2" t="n">
        <v>44417</v>
      </c>
      <c r="G1401" s="1" t="n"/>
    </row>
    <row r="1402">
      <c r="A1402" s="6" t="n">
        <v>38067</v>
      </c>
      <c r="B1402" s="6" t="inlineStr">
        <is>
          <t>TAAKA VODKA 80</t>
        </is>
      </c>
      <c r="C1402" s="7">
        <f>VLOOKUP(A1402,SizeData!A$2:B$3839,2,FALSE)</f>
        <v/>
      </c>
      <c r="D1402" s="6" t="n">
        <v>3</v>
      </c>
      <c r="E1402" s="6" t="inlineStr">
        <is>
          <t>R1229809</t>
        </is>
      </c>
      <c r="F1402" s="2" t="n">
        <v>44440</v>
      </c>
      <c r="G1402" s="1" t="n"/>
    </row>
    <row r="1403">
      <c r="A1403" s="6" t="n">
        <v>38067</v>
      </c>
      <c r="B1403" s="6" t="inlineStr">
        <is>
          <t>TAAKA VODKA 80</t>
        </is>
      </c>
      <c r="C1403" s="7">
        <f>VLOOKUP(A1403,SizeData!A$2:B$3839,2,FALSE)</f>
        <v/>
      </c>
      <c r="D1403" s="6" t="n">
        <v>5</v>
      </c>
      <c r="E1403" s="6" t="inlineStr">
        <is>
          <t>R1230991</t>
        </is>
      </c>
      <c r="F1403" s="2" t="n">
        <v>44441</v>
      </c>
      <c r="G1403" s="1" t="n"/>
    </row>
    <row r="1404">
      <c r="A1404" s="6" t="n">
        <v>38067</v>
      </c>
      <c r="B1404" s="6" t="inlineStr">
        <is>
          <t>TAAKA VODKA 80</t>
        </is>
      </c>
      <c r="C1404" s="7">
        <f>VLOOKUP(A1404,SizeData!A$2:B$3839,2,FALSE)</f>
        <v/>
      </c>
      <c r="D1404" s="6" t="n">
        <v>13</v>
      </c>
      <c r="E1404" s="6" t="inlineStr">
        <is>
          <t>R1249917</t>
        </is>
      </c>
      <c r="F1404" s="2" t="n">
        <v>44461</v>
      </c>
      <c r="G1404" s="1" t="n"/>
    </row>
    <row r="1405">
      <c r="A1405" s="6" t="n">
        <v>38067</v>
      </c>
      <c r="B1405" s="6" t="inlineStr">
        <is>
          <t>TAAKA VODKA 80</t>
        </is>
      </c>
      <c r="C1405" s="7">
        <f>VLOOKUP(A1405,SizeData!A$2:B$3839,2,FALSE)</f>
        <v/>
      </c>
      <c r="D1405" s="6" t="n">
        <v>9</v>
      </c>
      <c r="E1405" s="6" t="inlineStr">
        <is>
          <t>R1360352</t>
        </is>
      </c>
      <c r="F1405" s="2" t="n">
        <v>44531</v>
      </c>
      <c r="G1405" s="1" t="n"/>
    </row>
    <row r="1406">
      <c r="A1406" s="6" t="n">
        <v>38068</v>
      </c>
      <c r="B1406" s="6" t="inlineStr">
        <is>
          <t>TAAKA VODKA 80 (PET)</t>
        </is>
      </c>
      <c r="C1406" s="7">
        <f>VLOOKUP(A1406,SizeData!A$2:B$3839,2,FALSE)</f>
        <v/>
      </c>
      <c r="D1406" s="6" t="n">
        <v>10</v>
      </c>
      <c r="E1406" s="6" t="inlineStr">
        <is>
          <t>R1065868</t>
        </is>
      </c>
      <c r="F1406" s="2" t="n">
        <v>44258</v>
      </c>
      <c r="G1406" s="1" t="n"/>
    </row>
    <row r="1407">
      <c r="A1407" s="6" t="n">
        <v>38068</v>
      </c>
      <c r="B1407" s="6" t="inlineStr">
        <is>
          <t>TAAKA VODKA 80 (PET)</t>
        </is>
      </c>
      <c r="C1407" s="7">
        <f>VLOOKUP(A1407,SizeData!A$2:B$3839,2,FALSE)</f>
        <v/>
      </c>
      <c r="D1407" s="6" t="n">
        <v>15</v>
      </c>
      <c r="E1407" s="6" t="inlineStr">
        <is>
          <t>R1034893</t>
        </is>
      </c>
      <c r="F1407" s="2" t="n">
        <v>44260</v>
      </c>
      <c r="G1407" s="1" t="n"/>
    </row>
    <row r="1408">
      <c r="A1408" s="6" t="n">
        <v>38068</v>
      </c>
      <c r="B1408" s="6" t="inlineStr">
        <is>
          <t>TAAKA VODKA 80 (PET)</t>
        </is>
      </c>
      <c r="C1408" s="7">
        <f>VLOOKUP(A1408,SizeData!A$2:B$3839,2,FALSE)</f>
        <v/>
      </c>
      <c r="D1408" s="6" t="n">
        <v>10</v>
      </c>
      <c r="E1408" s="6" t="inlineStr">
        <is>
          <t>R1048898</t>
        </is>
      </c>
      <c r="F1408" s="2" t="n">
        <v>44266</v>
      </c>
      <c r="G1408" s="1" t="n"/>
    </row>
    <row r="1409">
      <c r="A1409" s="6" t="n">
        <v>38068</v>
      </c>
      <c r="B1409" s="6" t="inlineStr">
        <is>
          <t>TAAKA VODKA 80 (PET)</t>
        </is>
      </c>
      <c r="C1409" s="7">
        <f>VLOOKUP(A1409,SizeData!A$2:B$3839,2,FALSE)</f>
        <v/>
      </c>
      <c r="D1409" s="6" t="n">
        <v>10</v>
      </c>
      <c r="E1409" s="6" t="inlineStr">
        <is>
          <t>R1048898</t>
        </is>
      </c>
      <c r="F1409" s="2" t="n">
        <v>44278</v>
      </c>
      <c r="G1409" s="1" t="n"/>
    </row>
    <row r="1410">
      <c r="A1410" s="6" t="n">
        <v>38068</v>
      </c>
      <c r="B1410" s="6" t="inlineStr">
        <is>
          <t>TAAKA VODKA 80 (PET)</t>
        </is>
      </c>
      <c r="C1410" s="7">
        <f>VLOOKUP(A1410,SizeData!A$2:B$3839,2,FALSE)</f>
        <v/>
      </c>
      <c r="D1410" s="6" t="n">
        <v>10</v>
      </c>
      <c r="E1410" s="6" t="inlineStr">
        <is>
          <t>R1188262</t>
        </is>
      </c>
      <c r="F1410" s="2" t="n">
        <v>44409</v>
      </c>
      <c r="G1410" s="1" t="n"/>
    </row>
    <row r="1411">
      <c r="A1411" s="6" t="n">
        <v>38068</v>
      </c>
      <c r="B1411" s="6" t="inlineStr">
        <is>
          <t>TAAKA VODKA 80 (PET)</t>
        </is>
      </c>
      <c r="C1411" s="7">
        <f>VLOOKUP(A1411,SizeData!A$2:B$3839,2,FALSE)</f>
        <v/>
      </c>
      <c r="D1411" s="6" t="n">
        <v>5</v>
      </c>
      <c r="E1411" s="6" t="inlineStr">
        <is>
          <t>R1201518</t>
        </is>
      </c>
      <c r="F1411" s="2" t="n">
        <v>44412</v>
      </c>
      <c r="G1411" s="1" t="n"/>
    </row>
    <row r="1412">
      <c r="A1412" s="6" t="n">
        <v>38068</v>
      </c>
      <c r="B1412" s="6" t="inlineStr">
        <is>
          <t>TAAKA VODKA 80 (PET)</t>
        </is>
      </c>
      <c r="C1412" s="7">
        <f>VLOOKUP(A1412,SizeData!A$2:B$3839,2,FALSE)</f>
        <v/>
      </c>
      <c r="D1412" s="6" t="n">
        <v>8</v>
      </c>
      <c r="E1412" s="6" t="inlineStr">
        <is>
          <t>R1204006</t>
        </is>
      </c>
      <c r="F1412" s="2" t="n">
        <v>44415</v>
      </c>
      <c r="G1412" s="1" t="n"/>
    </row>
    <row r="1413">
      <c r="A1413" s="6" t="n">
        <v>38068</v>
      </c>
      <c r="B1413" s="6" t="inlineStr">
        <is>
          <t>TAAKA VODKA 80 (PET)</t>
        </is>
      </c>
      <c r="C1413" s="7">
        <f>VLOOKUP(A1413,SizeData!A$2:B$3839,2,FALSE)</f>
        <v/>
      </c>
      <c r="D1413" s="6" t="n">
        <v>8</v>
      </c>
      <c r="E1413" s="6" t="inlineStr">
        <is>
          <t>R1198392</t>
        </is>
      </c>
      <c r="F1413" s="2" t="n">
        <v>44420</v>
      </c>
      <c r="G1413" s="1" t="n"/>
    </row>
    <row r="1414">
      <c r="A1414" s="6" t="n">
        <v>38068</v>
      </c>
      <c r="B1414" s="6" t="inlineStr">
        <is>
          <t>TAAKA VODKA 80 (PET)</t>
        </is>
      </c>
      <c r="C1414" s="7">
        <f>VLOOKUP(A1414,SizeData!A$2:B$3839,2,FALSE)</f>
        <v/>
      </c>
      <c r="D1414" s="6" t="n">
        <v>10</v>
      </c>
      <c r="E1414" s="6" t="inlineStr">
        <is>
          <t>R1216841</t>
        </is>
      </c>
      <c r="F1414" s="2" t="n">
        <v>44425</v>
      </c>
      <c r="G1414" s="1" t="n"/>
    </row>
    <row r="1415">
      <c r="A1415" s="6" t="n">
        <v>38068</v>
      </c>
      <c r="B1415" s="6" t="inlineStr">
        <is>
          <t>TAAKA VODKA 80 (PET)</t>
        </is>
      </c>
      <c r="C1415" s="7">
        <f>VLOOKUP(A1415,SizeData!A$2:B$3839,2,FALSE)</f>
        <v/>
      </c>
      <c r="D1415" s="6" t="n">
        <v>5</v>
      </c>
      <c r="E1415" s="6" t="inlineStr">
        <is>
          <t>R1219170</t>
        </is>
      </c>
      <c r="F1415" s="2" t="n">
        <v>44439</v>
      </c>
      <c r="G1415" s="1" t="n"/>
    </row>
    <row r="1416">
      <c r="A1416" s="6" t="n">
        <v>38068</v>
      </c>
      <c r="B1416" s="6" t="inlineStr">
        <is>
          <t>TAAKA VODKA 80 (PET)</t>
        </is>
      </c>
      <c r="C1416" s="7">
        <f>VLOOKUP(A1416,SizeData!A$2:B$3839,2,FALSE)</f>
        <v/>
      </c>
      <c r="D1416" s="6" t="n">
        <v>10</v>
      </c>
      <c r="E1416" s="6" t="inlineStr">
        <is>
          <t>R1374054</t>
        </is>
      </c>
      <c r="F1416" s="2" t="n">
        <v>44547</v>
      </c>
      <c r="G1416" s="1" t="n"/>
    </row>
    <row r="1417">
      <c r="A1417" s="6" t="n">
        <v>38068</v>
      </c>
      <c r="B1417" s="6" t="inlineStr">
        <is>
          <t>TAAKA VODKA 80 (PET)</t>
        </is>
      </c>
      <c r="C1417" s="7">
        <f>VLOOKUP(A1417,SizeData!A$2:B$3839,2,FALSE)</f>
        <v/>
      </c>
      <c r="D1417" s="6" t="n">
        <v>10</v>
      </c>
      <c r="E1417" s="6" t="inlineStr">
        <is>
          <t>R1400119</t>
        </is>
      </c>
      <c r="F1417" s="2" t="n">
        <v>44547</v>
      </c>
      <c r="G1417" s="1" t="n"/>
    </row>
    <row r="1418">
      <c r="A1418" s="6" t="n">
        <v>38069</v>
      </c>
      <c r="B1418" s="6" t="inlineStr">
        <is>
          <t>TAAKA VODKA 80</t>
        </is>
      </c>
      <c r="C1418" s="7">
        <f>VLOOKUP(A1418,SizeData!A$2:B$3839,2,FALSE)</f>
        <v/>
      </c>
      <c r="D1418" s="6" t="n">
        <v>30</v>
      </c>
      <c r="E1418" s="6" t="inlineStr">
        <is>
          <t>R973696</t>
        </is>
      </c>
      <c r="F1418" s="2" t="n">
        <v>44197</v>
      </c>
      <c r="G1418" s="1" t="n"/>
    </row>
    <row r="1419">
      <c r="A1419" s="6" t="n">
        <v>38069</v>
      </c>
      <c r="B1419" s="6" t="inlineStr">
        <is>
          <t>TAAKA VODKA 80</t>
        </is>
      </c>
      <c r="C1419" s="7">
        <f>VLOOKUP(A1419,SizeData!A$2:B$3839,2,FALSE)</f>
        <v/>
      </c>
      <c r="D1419" s="6" t="n">
        <v>10</v>
      </c>
      <c r="E1419" s="6" t="inlineStr">
        <is>
          <t>R988283</t>
        </is>
      </c>
      <c r="F1419" s="2" t="n">
        <v>44197</v>
      </c>
      <c r="G1419" s="1" t="n"/>
    </row>
    <row r="1420">
      <c r="A1420" s="6" t="n">
        <v>38069</v>
      </c>
      <c r="B1420" s="6" t="inlineStr">
        <is>
          <t>TAAKA VODKA 80</t>
        </is>
      </c>
      <c r="C1420" s="7">
        <f>VLOOKUP(A1420,SizeData!A$2:B$3839,2,FALSE)</f>
        <v/>
      </c>
      <c r="D1420" s="6" t="n">
        <v>77</v>
      </c>
      <c r="E1420" s="6" t="inlineStr">
        <is>
          <t>R995912</t>
        </is>
      </c>
      <c r="F1420" s="2" t="n">
        <v>44198</v>
      </c>
      <c r="G1420" s="1" t="n"/>
    </row>
    <row r="1421">
      <c r="A1421" s="6" t="n">
        <v>38069</v>
      </c>
      <c r="B1421" s="6" t="inlineStr">
        <is>
          <t>TAAKA VODKA 80</t>
        </is>
      </c>
      <c r="C1421" s="7">
        <f>VLOOKUP(A1421,SizeData!A$2:B$3839,2,FALSE)</f>
        <v/>
      </c>
      <c r="D1421" s="6" t="n">
        <v>4</v>
      </c>
      <c r="E1421" s="6" t="inlineStr">
        <is>
          <t>R989713</t>
        </is>
      </c>
      <c r="F1421" s="2" t="n">
        <v>44200</v>
      </c>
      <c r="G1421" s="1" t="n"/>
    </row>
    <row r="1422">
      <c r="A1422" s="6" t="n">
        <v>38069</v>
      </c>
      <c r="B1422" s="6" t="inlineStr">
        <is>
          <t>TAAKA VODKA 80</t>
        </is>
      </c>
      <c r="C1422" s="7">
        <f>VLOOKUP(A1422,SizeData!A$2:B$3839,2,FALSE)</f>
        <v/>
      </c>
      <c r="D1422" s="6" t="n">
        <v>71</v>
      </c>
      <c r="E1422" s="6" t="inlineStr">
        <is>
          <t>R990962</t>
        </is>
      </c>
      <c r="F1422" s="2" t="n">
        <v>44201</v>
      </c>
      <c r="G1422" s="1" t="n"/>
    </row>
    <row r="1423">
      <c r="A1423" s="6" t="n">
        <v>38069</v>
      </c>
      <c r="B1423" s="6" t="inlineStr">
        <is>
          <t>TAAKA VODKA 80</t>
        </is>
      </c>
      <c r="C1423" s="7">
        <f>VLOOKUP(A1423,SizeData!A$2:B$3839,2,FALSE)</f>
        <v/>
      </c>
      <c r="D1423" s="6" t="n">
        <v>7</v>
      </c>
      <c r="E1423" s="6" t="inlineStr">
        <is>
          <t xml:space="preserve"> R995100</t>
        </is>
      </c>
      <c r="F1423" s="2" t="n">
        <v>44202</v>
      </c>
      <c r="G1423" s="1" t="n"/>
    </row>
    <row r="1424">
      <c r="A1424" s="6" t="n">
        <v>38069</v>
      </c>
      <c r="B1424" s="6" t="inlineStr">
        <is>
          <t>TAAKA VODKA 80</t>
        </is>
      </c>
      <c r="C1424" s="7">
        <f>VLOOKUP(A1424,SizeData!A$2:B$3839,2,FALSE)</f>
        <v/>
      </c>
      <c r="D1424" s="6" t="n">
        <v>5</v>
      </c>
      <c r="E1424" s="6" t="inlineStr">
        <is>
          <t>R997005</t>
        </is>
      </c>
      <c r="F1424" s="2" t="n">
        <v>44202</v>
      </c>
      <c r="G1424" s="1" t="n"/>
    </row>
    <row r="1425">
      <c r="A1425" s="6" t="n">
        <v>38069</v>
      </c>
      <c r="B1425" s="6" t="inlineStr">
        <is>
          <t>TAAKA VODKA 80</t>
        </is>
      </c>
      <c r="C1425" s="7">
        <f>VLOOKUP(A1425,SizeData!A$2:B$3839,2,FALSE)</f>
        <v/>
      </c>
      <c r="D1425" s="6" t="n">
        <v>17</v>
      </c>
      <c r="E1425" s="6" t="inlineStr">
        <is>
          <t>R1000182</t>
        </is>
      </c>
      <c r="F1425" s="2" t="n">
        <v>44203</v>
      </c>
      <c r="G1425" s="1" t="n"/>
    </row>
    <row r="1426">
      <c r="A1426" s="6" t="n">
        <v>38069</v>
      </c>
      <c r="B1426" s="6" t="inlineStr">
        <is>
          <t>TAAKA VODKA 80</t>
        </is>
      </c>
      <c r="C1426" s="7">
        <f>VLOOKUP(A1426,SizeData!A$2:B$3839,2,FALSE)</f>
        <v/>
      </c>
      <c r="D1426" s="6" t="n">
        <v>1</v>
      </c>
      <c r="E1426" s="6" t="inlineStr">
        <is>
          <t>R996027</t>
        </is>
      </c>
      <c r="F1426" s="2" t="n">
        <v>44203</v>
      </c>
      <c r="G1426" s="1" t="n"/>
    </row>
    <row r="1427">
      <c r="A1427" s="6" t="n">
        <v>38069</v>
      </c>
      <c r="B1427" s="6" t="inlineStr">
        <is>
          <t>TAAKA VODKA 80</t>
        </is>
      </c>
      <c r="C1427" s="7">
        <f>VLOOKUP(A1427,SizeData!A$2:B$3839,2,FALSE)</f>
        <v/>
      </c>
      <c r="D1427" s="6" t="n">
        <v>50</v>
      </c>
      <c r="E1427" s="6" t="inlineStr">
        <is>
          <t>R984858</t>
        </is>
      </c>
      <c r="F1427" s="2" t="n">
        <v>44204</v>
      </c>
      <c r="G1427" s="1" t="n"/>
    </row>
    <row r="1428">
      <c r="A1428" s="6" t="n">
        <v>38069</v>
      </c>
      <c r="B1428" s="6" t="inlineStr">
        <is>
          <t>TAAKA VODKA 80</t>
        </is>
      </c>
      <c r="C1428" s="7">
        <f>VLOOKUP(A1428,SizeData!A$2:B$3839,2,FALSE)</f>
        <v/>
      </c>
      <c r="D1428" s="6" t="n">
        <v>19</v>
      </c>
      <c r="E1428" s="6" t="inlineStr">
        <is>
          <t>R997526</t>
        </is>
      </c>
      <c r="F1428" s="2" t="n">
        <v>44204</v>
      </c>
      <c r="G1428" s="1" t="n"/>
    </row>
    <row r="1429">
      <c r="A1429" s="6" t="n">
        <v>38069</v>
      </c>
      <c r="B1429" s="6" t="inlineStr">
        <is>
          <t>TAAKA VODKA 80</t>
        </is>
      </c>
      <c r="C1429" s="7">
        <f>VLOOKUP(A1429,SizeData!A$2:B$3839,2,FALSE)</f>
        <v/>
      </c>
      <c r="D1429" s="6" t="n">
        <v>6</v>
      </c>
      <c r="E1429" s="6" t="inlineStr">
        <is>
          <t>R993208</t>
        </is>
      </c>
      <c r="F1429" s="2" t="n">
        <v>44204</v>
      </c>
      <c r="G1429" s="1" t="n"/>
    </row>
    <row r="1430">
      <c r="A1430" s="6" t="n">
        <v>38069</v>
      </c>
      <c r="B1430" s="6" t="inlineStr">
        <is>
          <t>TAAKA VODKA 80</t>
        </is>
      </c>
      <c r="C1430" s="7">
        <f>VLOOKUP(A1430,SizeData!A$2:B$3839,2,FALSE)</f>
        <v/>
      </c>
      <c r="D1430" s="6" t="n">
        <v>70</v>
      </c>
      <c r="E1430" s="6" t="inlineStr">
        <is>
          <t>R979193</t>
        </is>
      </c>
      <c r="F1430" s="2" t="n">
        <v>44205</v>
      </c>
      <c r="G1430" s="1" t="n"/>
    </row>
    <row r="1431">
      <c r="A1431" s="6" t="n">
        <v>38069</v>
      </c>
      <c r="B1431" s="6" t="inlineStr">
        <is>
          <t>TAAKA VODKA 80</t>
        </is>
      </c>
      <c r="C1431" s="7">
        <f>VLOOKUP(A1431,SizeData!A$2:B$3839,2,FALSE)</f>
        <v/>
      </c>
      <c r="D1431" s="6" t="n">
        <v>10</v>
      </c>
      <c r="E1431" s="6" t="inlineStr">
        <is>
          <t>R1000039</t>
        </is>
      </c>
      <c r="F1431" s="2" t="n">
        <v>44205</v>
      </c>
      <c r="G1431" s="1" t="n"/>
    </row>
    <row r="1432">
      <c r="A1432" s="6" t="n">
        <v>38069</v>
      </c>
      <c r="B1432" s="6" t="inlineStr">
        <is>
          <t>TAAKA VODKA 80</t>
        </is>
      </c>
      <c r="C1432" s="7">
        <f>VLOOKUP(A1432,SizeData!A$2:B$3839,2,FALSE)</f>
        <v/>
      </c>
      <c r="D1432" s="6" t="n">
        <v>10</v>
      </c>
      <c r="E1432" s="6" t="inlineStr">
        <is>
          <t>R979193</t>
        </is>
      </c>
      <c r="F1432" s="2" t="n">
        <v>44205</v>
      </c>
      <c r="G1432" s="1" t="n"/>
    </row>
    <row r="1433">
      <c r="A1433" s="6" t="n">
        <v>38069</v>
      </c>
      <c r="B1433" s="6" t="inlineStr">
        <is>
          <t>TAAKA VODKA 80</t>
        </is>
      </c>
      <c r="C1433" s="7">
        <f>VLOOKUP(A1433,SizeData!A$2:B$3839,2,FALSE)</f>
        <v/>
      </c>
      <c r="D1433" s="6" t="n">
        <v>9</v>
      </c>
      <c r="E1433" s="6" t="inlineStr">
        <is>
          <t>R997722</t>
        </is>
      </c>
      <c r="F1433" s="2" t="n">
        <v>44205</v>
      </c>
      <c r="G1433" s="1" t="n"/>
    </row>
    <row r="1434">
      <c r="A1434" s="6" t="n">
        <v>38069</v>
      </c>
      <c r="B1434" s="6" t="inlineStr">
        <is>
          <t>TAAKA VODKA 80</t>
        </is>
      </c>
      <c r="C1434" s="7">
        <f>VLOOKUP(A1434,SizeData!A$2:B$3839,2,FALSE)</f>
        <v/>
      </c>
      <c r="D1434" s="6" t="n">
        <v>89</v>
      </c>
      <c r="E1434" s="6" t="inlineStr">
        <is>
          <t>R993624</t>
        </is>
      </c>
      <c r="F1434" s="2" t="n">
        <v>44206</v>
      </c>
      <c r="G1434" s="1" t="n"/>
    </row>
    <row r="1435">
      <c r="A1435" s="6" t="n">
        <v>38069</v>
      </c>
      <c r="B1435" s="6" t="inlineStr">
        <is>
          <t>TAAKA VODKA 80</t>
        </is>
      </c>
      <c r="C1435" s="7">
        <f>VLOOKUP(A1435,SizeData!A$2:B$3839,2,FALSE)</f>
        <v/>
      </c>
      <c r="D1435" s="6" t="n">
        <v>2</v>
      </c>
      <c r="E1435" s="6" t="inlineStr">
        <is>
          <t>R1000078</t>
        </is>
      </c>
      <c r="F1435" s="2" t="n">
        <v>44211</v>
      </c>
      <c r="G1435" s="1" t="n"/>
    </row>
    <row r="1436">
      <c r="A1436" s="6" t="n">
        <v>38069</v>
      </c>
      <c r="B1436" s="6" t="inlineStr">
        <is>
          <t>TAAKA VODKA 80</t>
        </is>
      </c>
      <c r="C1436" s="7">
        <f>VLOOKUP(A1436,SizeData!A$2:B$3839,2,FALSE)</f>
        <v/>
      </c>
      <c r="D1436" s="6" t="n">
        <v>2</v>
      </c>
      <c r="E1436" s="6" t="inlineStr">
        <is>
          <t>R1000879</t>
        </is>
      </c>
      <c r="F1436" s="2" t="n">
        <v>44211</v>
      </c>
      <c r="G1436" s="1" t="n"/>
    </row>
    <row r="1437">
      <c r="A1437" s="6" t="n">
        <v>38069</v>
      </c>
      <c r="B1437" s="6" t="inlineStr">
        <is>
          <t>TAAKA VODKA 80</t>
        </is>
      </c>
      <c r="C1437" s="7">
        <f>VLOOKUP(A1437,SizeData!A$2:B$3839,2,FALSE)</f>
        <v/>
      </c>
      <c r="D1437" s="6" t="n">
        <v>100</v>
      </c>
      <c r="E1437" s="6" t="n"/>
      <c r="F1437" s="2" t="n">
        <v>44213</v>
      </c>
      <c r="G1437" s="1" t="n"/>
    </row>
    <row r="1438">
      <c r="A1438" s="6" t="n">
        <v>38069</v>
      </c>
      <c r="B1438" s="6" t="inlineStr">
        <is>
          <t>TAAKA VODKA 80</t>
        </is>
      </c>
      <c r="C1438" s="7">
        <f>VLOOKUP(A1438,SizeData!A$2:B$3839,2,FALSE)</f>
        <v/>
      </c>
      <c r="D1438" s="6" t="n">
        <v>5</v>
      </c>
      <c r="E1438" s="6" t="inlineStr">
        <is>
          <t>R1002505</t>
        </is>
      </c>
      <c r="F1438" s="2" t="n">
        <v>44214</v>
      </c>
      <c r="G1438" s="1" t="n"/>
    </row>
    <row r="1439">
      <c r="A1439" s="6" t="n">
        <v>38069</v>
      </c>
      <c r="B1439" s="6" t="inlineStr">
        <is>
          <t>TAAKA VODKA 80</t>
        </is>
      </c>
      <c r="C1439" s="7">
        <f>VLOOKUP(A1439,SizeData!A$2:B$3839,2,FALSE)</f>
        <v/>
      </c>
      <c r="D1439" s="6" t="n">
        <v>3</v>
      </c>
      <c r="E1439" s="6" t="inlineStr">
        <is>
          <t>R1008717</t>
        </is>
      </c>
      <c r="F1439" s="2" t="n">
        <v>44217</v>
      </c>
      <c r="G1439" s="1" t="n"/>
    </row>
    <row r="1440">
      <c r="A1440" s="6" t="n">
        <v>38069</v>
      </c>
      <c r="B1440" s="6" t="inlineStr">
        <is>
          <t>TAAKA VODKA 80</t>
        </is>
      </c>
      <c r="C1440" s="7">
        <f>VLOOKUP(A1440,SizeData!A$2:B$3839,2,FALSE)</f>
        <v/>
      </c>
      <c r="D1440" s="6" t="n">
        <v>3</v>
      </c>
      <c r="E1440" s="6" t="inlineStr">
        <is>
          <t>R1008146</t>
        </is>
      </c>
      <c r="F1440" s="2" t="n">
        <v>44222</v>
      </c>
      <c r="G1440" s="1" t="n"/>
    </row>
    <row r="1441">
      <c r="A1441" s="6" t="n">
        <v>38069</v>
      </c>
      <c r="B1441" s="6" t="inlineStr">
        <is>
          <t>TAAKA VODKA 80</t>
        </is>
      </c>
      <c r="C1441" s="7">
        <f>VLOOKUP(A1441,SizeData!A$2:B$3839,2,FALSE)</f>
        <v/>
      </c>
      <c r="D1441" s="6" t="n">
        <v>3</v>
      </c>
      <c r="E1441" s="6" t="inlineStr">
        <is>
          <t>R1008979</t>
        </is>
      </c>
      <c r="F1441" s="2" t="n">
        <v>44224</v>
      </c>
      <c r="G1441" s="1" t="n"/>
    </row>
    <row r="1442">
      <c r="A1442" s="6" t="n">
        <v>38069</v>
      </c>
      <c r="B1442" s="6" t="inlineStr">
        <is>
          <t>TAAKA VODKA 80</t>
        </is>
      </c>
      <c r="C1442" s="7">
        <f>VLOOKUP(A1442,SizeData!A$2:B$3839,2,FALSE)</f>
        <v/>
      </c>
      <c r="D1442" s="6" t="n">
        <v>50</v>
      </c>
      <c r="E1442" s="6" t="inlineStr">
        <is>
          <t>R1013604</t>
        </is>
      </c>
      <c r="F1442" s="2" t="n">
        <v>44226</v>
      </c>
      <c r="G1442" s="1" t="n"/>
    </row>
    <row r="1443">
      <c r="A1443" s="6" t="n">
        <v>38069</v>
      </c>
      <c r="B1443" s="6" t="inlineStr">
        <is>
          <t>TAAKA VODKA 80</t>
        </is>
      </c>
      <c r="C1443" s="7">
        <f>VLOOKUP(A1443,SizeData!A$2:B$3839,2,FALSE)</f>
        <v/>
      </c>
      <c r="D1443" s="6" t="n">
        <v>100</v>
      </c>
      <c r="E1443" s="6" t="inlineStr">
        <is>
          <t>R1008979</t>
        </is>
      </c>
      <c r="F1443" s="2" t="n">
        <v>44227</v>
      </c>
      <c r="G1443" s="1" t="n"/>
    </row>
    <row r="1444">
      <c r="A1444" s="6" t="n">
        <v>38069</v>
      </c>
      <c r="B1444" s="6" t="inlineStr">
        <is>
          <t>TAAKA VODKA 80</t>
        </is>
      </c>
      <c r="C1444" s="7">
        <f>VLOOKUP(A1444,SizeData!A$2:B$3839,2,FALSE)</f>
        <v/>
      </c>
      <c r="D1444" s="6" t="n">
        <v>1</v>
      </c>
      <c r="E1444" s="6" t="inlineStr">
        <is>
          <t>R1031021</t>
        </is>
      </c>
      <c r="F1444" s="2" t="n">
        <v>44229</v>
      </c>
      <c r="G1444" s="1" t="n"/>
    </row>
    <row r="1445">
      <c r="A1445" s="6" t="n">
        <v>38069</v>
      </c>
      <c r="B1445" s="6" t="inlineStr">
        <is>
          <t>TAAKA VODKA 80</t>
        </is>
      </c>
      <c r="C1445" s="7">
        <f>VLOOKUP(A1445,SizeData!A$2:B$3839,2,FALSE)</f>
        <v/>
      </c>
      <c r="D1445" s="6" t="n">
        <v>25</v>
      </c>
      <c r="E1445" s="6" t="inlineStr">
        <is>
          <t>R1073167</t>
        </is>
      </c>
      <c r="F1445" s="2" t="n">
        <v>44288</v>
      </c>
      <c r="G1445" s="1" t="n"/>
    </row>
    <row r="1446">
      <c r="A1446" s="6" t="n">
        <v>38069</v>
      </c>
      <c r="B1446" s="6" t="inlineStr">
        <is>
          <t>TAAKA VODKA 80</t>
        </is>
      </c>
      <c r="C1446" s="7">
        <f>VLOOKUP(A1446,SizeData!A$2:B$3839,2,FALSE)</f>
        <v/>
      </c>
      <c r="D1446" s="6" t="n">
        <v>86</v>
      </c>
      <c r="E1446" s="6" t="inlineStr">
        <is>
          <t>R1077298</t>
        </is>
      </c>
      <c r="F1446" s="2" t="n">
        <v>44290</v>
      </c>
      <c r="G1446" s="1" t="n"/>
    </row>
    <row r="1447">
      <c r="A1447" s="6" t="n">
        <v>38069</v>
      </c>
      <c r="B1447" s="6" t="inlineStr">
        <is>
          <t>TAAKA VODKA 80</t>
        </is>
      </c>
      <c r="C1447" s="7">
        <f>VLOOKUP(A1447,SizeData!A$2:B$3839,2,FALSE)</f>
        <v/>
      </c>
      <c r="D1447" s="6" t="n">
        <v>2</v>
      </c>
      <c r="E1447" s="6" t="inlineStr">
        <is>
          <t>R1083528</t>
        </is>
      </c>
      <c r="F1447" s="2" t="n">
        <v>44291</v>
      </c>
      <c r="G1447" s="1" t="n"/>
    </row>
    <row r="1448">
      <c r="A1448" s="6" t="n">
        <v>38069</v>
      </c>
      <c r="B1448" s="6" t="inlineStr">
        <is>
          <t>TAAKA VODKA 80</t>
        </is>
      </c>
      <c r="C1448" s="7">
        <f>VLOOKUP(A1448,SizeData!A$2:B$3839,2,FALSE)</f>
        <v/>
      </c>
      <c r="D1448" s="6" t="n">
        <v>61</v>
      </c>
      <c r="E1448" s="6" t="inlineStr">
        <is>
          <t>R1078155</t>
        </is>
      </c>
      <c r="F1448" s="2" t="n">
        <v>44293</v>
      </c>
      <c r="G1448" s="1" t="n"/>
    </row>
    <row r="1449">
      <c r="A1449" s="6" t="n">
        <v>38069</v>
      </c>
      <c r="B1449" s="6" t="inlineStr">
        <is>
          <t>TAAKA VODKA 80</t>
        </is>
      </c>
      <c r="C1449" s="7">
        <f>VLOOKUP(A1449,SizeData!A$2:B$3839,2,FALSE)</f>
        <v/>
      </c>
      <c r="D1449" s="6" t="n">
        <v>25</v>
      </c>
      <c r="E1449" s="6" t="inlineStr">
        <is>
          <t>R1074898</t>
        </is>
      </c>
      <c r="F1449" s="2" t="n">
        <v>44293</v>
      </c>
      <c r="G1449" s="1" t="n"/>
    </row>
    <row r="1450">
      <c r="A1450" s="6" t="n">
        <v>38069</v>
      </c>
      <c r="B1450" s="6" t="inlineStr">
        <is>
          <t>TAAKA VODKA 80</t>
        </is>
      </c>
      <c r="C1450" s="7">
        <f>VLOOKUP(A1450,SizeData!A$2:B$3839,2,FALSE)</f>
        <v/>
      </c>
      <c r="D1450" s="6" t="n">
        <v>8</v>
      </c>
      <c r="E1450" s="6" t="inlineStr">
        <is>
          <t>R1095617</t>
        </is>
      </c>
      <c r="F1450" s="2" t="n">
        <v>44293</v>
      </c>
      <c r="G1450" s="1" t="n"/>
    </row>
    <row r="1451">
      <c r="A1451" s="6" t="n">
        <v>38069</v>
      </c>
      <c r="B1451" s="6" t="inlineStr">
        <is>
          <t>TAAKA VODKA 80</t>
        </is>
      </c>
      <c r="C1451" s="7">
        <f>VLOOKUP(A1451,SizeData!A$2:B$3839,2,FALSE)</f>
        <v/>
      </c>
      <c r="D1451" s="6" t="n">
        <v>4</v>
      </c>
      <c r="E1451" s="6" t="inlineStr">
        <is>
          <t>R1074898</t>
        </is>
      </c>
      <c r="F1451" s="2" t="n">
        <v>44293</v>
      </c>
      <c r="G1451" s="1" t="n"/>
    </row>
    <row r="1452">
      <c r="A1452" s="6" t="n">
        <v>38069</v>
      </c>
      <c r="B1452" s="6" t="inlineStr">
        <is>
          <t>TAAKA VODKA 80</t>
        </is>
      </c>
      <c r="C1452" s="7">
        <f>VLOOKUP(A1452,SizeData!A$2:B$3839,2,FALSE)</f>
        <v/>
      </c>
      <c r="D1452" s="6" t="n">
        <v>7</v>
      </c>
      <c r="E1452" s="6" t="inlineStr">
        <is>
          <t>R1092621</t>
        </is>
      </c>
      <c r="F1452" s="2" t="n">
        <v>44295</v>
      </c>
      <c r="G1452" s="1" t="n"/>
    </row>
    <row r="1453">
      <c r="A1453" s="6" t="n">
        <v>38069</v>
      </c>
      <c r="B1453" s="6" t="inlineStr">
        <is>
          <t>TAAKA VODKA 80</t>
        </is>
      </c>
      <c r="C1453" s="7">
        <f>VLOOKUP(A1453,SizeData!A$2:B$3839,2,FALSE)</f>
        <v/>
      </c>
      <c r="D1453" s="6" t="n">
        <v>7</v>
      </c>
      <c r="E1453" s="6" t="inlineStr">
        <is>
          <t>R1077377</t>
        </is>
      </c>
      <c r="F1453" s="2" t="n">
        <v>44295</v>
      </c>
      <c r="G1453" s="1" t="n"/>
    </row>
    <row r="1454">
      <c r="A1454" s="6" t="n">
        <v>38069</v>
      </c>
      <c r="B1454" s="6" t="inlineStr">
        <is>
          <t>TAAKA VODKA 80</t>
        </is>
      </c>
      <c r="C1454" s="7">
        <f>VLOOKUP(A1454,SizeData!A$2:B$3839,2,FALSE)</f>
        <v/>
      </c>
      <c r="D1454" s="6" t="n">
        <v>6</v>
      </c>
      <c r="E1454" s="6" t="inlineStr">
        <is>
          <t>R1079133</t>
        </is>
      </c>
      <c r="F1454" s="2" t="n">
        <v>44295</v>
      </c>
      <c r="G1454" s="1" t="n"/>
    </row>
    <row r="1455">
      <c r="A1455" s="6" t="n">
        <v>38069</v>
      </c>
      <c r="B1455" s="6" t="inlineStr">
        <is>
          <t>TAAKA VODKA 80</t>
        </is>
      </c>
      <c r="C1455" s="7">
        <f>VLOOKUP(A1455,SizeData!A$2:B$3839,2,FALSE)</f>
        <v/>
      </c>
      <c r="D1455" s="6" t="n">
        <v>8</v>
      </c>
      <c r="E1455" s="6" t="inlineStr">
        <is>
          <t>R1095178</t>
        </is>
      </c>
      <c r="F1455" s="2" t="n">
        <v>44298</v>
      </c>
      <c r="G1455" s="1" t="n"/>
    </row>
    <row r="1456">
      <c r="A1456" s="6" t="n">
        <v>38069</v>
      </c>
      <c r="B1456" s="6" t="inlineStr">
        <is>
          <t>TAAKA VODKA 80</t>
        </is>
      </c>
      <c r="C1456" s="7">
        <f>VLOOKUP(A1456,SizeData!A$2:B$3839,2,FALSE)</f>
        <v/>
      </c>
      <c r="D1456" s="6" t="n">
        <v>6</v>
      </c>
      <c r="E1456" s="6" t="inlineStr">
        <is>
          <t>R1092907</t>
        </is>
      </c>
      <c r="F1456" s="2" t="n">
        <v>44298</v>
      </c>
      <c r="G1456" s="1" t="n"/>
    </row>
    <row r="1457">
      <c r="A1457" s="6" t="n">
        <v>38069</v>
      </c>
      <c r="B1457" s="6" t="inlineStr">
        <is>
          <t>TAAKA VODKA 80</t>
        </is>
      </c>
      <c r="C1457" s="7">
        <f>VLOOKUP(A1457,SizeData!A$2:B$3839,2,FALSE)</f>
        <v/>
      </c>
      <c r="D1457" s="6" t="n">
        <v>1</v>
      </c>
      <c r="E1457" s="6" t="inlineStr">
        <is>
          <t>R1100246</t>
        </is>
      </c>
      <c r="F1457" s="2" t="n">
        <v>44298</v>
      </c>
      <c r="G1457" s="1" t="n"/>
    </row>
    <row r="1458">
      <c r="A1458" s="6" t="n">
        <v>38069</v>
      </c>
      <c r="B1458" s="6" t="inlineStr">
        <is>
          <t>TAAKA VODKA 80</t>
        </is>
      </c>
      <c r="C1458" s="7">
        <f>VLOOKUP(A1458,SizeData!A$2:B$3839,2,FALSE)</f>
        <v/>
      </c>
      <c r="D1458" s="6" t="n">
        <v>15</v>
      </c>
      <c r="E1458" s="6" t="inlineStr">
        <is>
          <t xml:space="preserve"> R1088530</t>
        </is>
      </c>
      <c r="F1458" s="2" t="n">
        <v>44299</v>
      </c>
      <c r="G1458" s="1" t="n"/>
    </row>
    <row r="1459">
      <c r="A1459" s="6" t="n">
        <v>38069</v>
      </c>
      <c r="B1459" s="6" t="inlineStr">
        <is>
          <t>TAAKA VODKA 80</t>
        </is>
      </c>
      <c r="C1459" s="7">
        <f>VLOOKUP(A1459,SizeData!A$2:B$3839,2,FALSE)</f>
        <v/>
      </c>
      <c r="D1459" s="6" t="n">
        <v>5</v>
      </c>
      <c r="E1459" s="6" t="inlineStr">
        <is>
          <t xml:space="preserve"> R1082190</t>
        </is>
      </c>
      <c r="F1459" s="2" t="n">
        <v>44299</v>
      </c>
      <c r="G1459" s="1" t="n"/>
    </row>
    <row r="1460">
      <c r="A1460" s="6" t="n">
        <v>38069</v>
      </c>
      <c r="B1460" s="6" t="inlineStr">
        <is>
          <t>TAAKA VODKA 80</t>
        </is>
      </c>
      <c r="C1460" s="7">
        <f>VLOOKUP(A1460,SizeData!A$2:B$3839,2,FALSE)</f>
        <v/>
      </c>
      <c r="D1460" s="6" t="n">
        <v>8</v>
      </c>
      <c r="E1460" s="6" t="inlineStr">
        <is>
          <t xml:space="preserve"> R1100615</t>
        </is>
      </c>
      <c r="F1460" s="2" t="n">
        <v>44300</v>
      </c>
      <c r="G1460" s="1" t="n"/>
    </row>
    <row r="1461">
      <c r="A1461" s="6" t="n">
        <v>38069</v>
      </c>
      <c r="B1461" s="6" t="inlineStr">
        <is>
          <t>TAAKA VODKA 80</t>
        </is>
      </c>
      <c r="C1461" s="7">
        <f>VLOOKUP(A1461,SizeData!A$2:B$3839,2,FALSE)</f>
        <v/>
      </c>
      <c r="D1461" s="6" t="n">
        <v>5</v>
      </c>
      <c r="E1461" s="6" t="inlineStr">
        <is>
          <t xml:space="preserve"> R1079263</t>
        </is>
      </c>
      <c r="F1461" s="2" t="n">
        <v>44300</v>
      </c>
      <c r="G1461" s="1" t="n"/>
    </row>
    <row r="1462">
      <c r="A1462" s="6" t="n">
        <v>38069</v>
      </c>
      <c r="B1462" s="6" t="inlineStr">
        <is>
          <t>TAAKA VODKA 80</t>
        </is>
      </c>
      <c r="C1462" s="7">
        <f>VLOOKUP(A1462,SizeData!A$2:B$3839,2,FALSE)</f>
        <v/>
      </c>
      <c r="D1462" s="6" t="n">
        <v>5</v>
      </c>
      <c r="E1462" s="6" t="inlineStr">
        <is>
          <t>R1079679</t>
        </is>
      </c>
      <c r="F1462" s="2" t="n">
        <v>44300</v>
      </c>
      <c r="G1462" s="1" t="n"/>
    </row>
    <row r="1463">
      <c r="A1463" s="6" t="n">
        <v>38069</v>
      </c>
      <c r="B1463" s="6" t="inlineStr">
        <is>
          <t>TAAKA VODKA 80</t>
        </is>
      </c>
      <c r="C1463" s="7">
        <f>VLOOKUP(A1463,SizeData!A$2:B$3839,2,FALSE)</f>
        <v/>
      </c>
      <c r="D1463" s="6" t="n">
        <v>3</v>
      </c>
      <c r="E1463" s="6" t="inlineStr">
        <is>
          <t>R1094301</t>
        </is>
      </c>
      <c r="F1463" s="2" t="n">
        <v>44301</v>
      </c>
      <c r="G1463" s="1" t="n"/>
    </row>
    <row r="1464">
      <c r="A1464" s="6" t="n">
        <v>38069</v>
      </c>
      <c r="B1464" s="6" t="inlineStr">
        <is>
          <t>TAAKA VODKA 80</t>
        </is>
      </c>
      <c r="C1464" s="7">
        <f>VLOOKUP(A1464,SizeData!A$2:B$3839,2,FALSE)</f>
        <v/>
      </c>
      <c r="D1464" s="6" t="n">
        <v>25</v>
      </c>
      <c r="E1464" s="6" t="inlineStr">
        <is>
          <t>R1097710</t>
        </is>
      </c>
      <c r="F1464" s="2" t="n">
        <v>44305</v>
      </c>
      <c r="G1464" s="1" t="n"/>
    </row>
    <row r="1465">
      <c r="A1465" s="6" t="n">
        <v>38069</v>
      </c>
      <c r="B1465" s="6" t="inlineStr">
        <is>
          <t>TAAKA VODKA 80</t>
        </is>
      </c>
      <c r="C1465" s="7">
        <f>VLOOKUP(A1465,SizeData!A$2:B$3839,2,FALSE)</f>
        <v/>
      </c>
      <c r="D1465" s="6" t="n">
        <v>8</v>
      </c>
      <c r="E1465" s="6" t="inlineStr">
        <is>
          <t>R1095373</t>
        </is>
      </c>
      <c r="F1465" s="2" t="n">
        <v>44305</v>
      </c>
      <c r="G1465" s="1" t="n"/>
    </row>
    <row r="1466">
      <c r="A1466" s="6" t="n">
        <v>38069</v>
      </c>
      <c r="B1466" s="6" t="inlineStr">
        <is>
          <t>TAAKA VODKA 80</t>
        </is>
      </c>
      <c r="C1466" s="7">
        <f>VLOOKUP(A1466,SizeData!A$2:B$3839,2,FALSE)</f>
        <v/>
      </c>
      <c r="D1466" s="6" t="n">
        <v>8</v>
      </c>
      <c r="E1466" s="6" t="inlineStr">
        <is>
          <t>R1089577</t>
        </is>
      </c>
      <c r="F1466" s="2" t="n">
        <v>44307</v>
      </c>
      <c r="G1466" s="1" t="n"/>
    </row>
    <row r="1467">
      <c r="A1467" s="6" t="n">
        <v>38069</v>
      </c>
      <c r="B1467" s="6" t="inlineStr">
        <is>
          <t>TAAKA VODKA 80</t>
        </is>
      </c>
      <c r="C1467" s="7">
        <f>VLOOKUP(A1467,SizeData!A$2:B$3839,2,FALSE)</f>
        <v/>
      </c>
      <c r="D1467" s="6" t="n">
        <v>6</v>
      </c>
      <c r="E1467" s="6" t="inlineStr">
        <is>
          <t>R1110813</t>
        </is>
      </c>
      <c r="F1467" s="2" t="n">
        <v>44307</v>
      </c>
      <c r="G1467" s="1" t="n"/>
    </row>
    <row r="1468">
      <c r="A1468" s="6" t="n">
        <v>38069</v>
      </c>
      <c r="B1468" s="6" t="inlineStr">
        <is>
          <t>TAAKA VODKA 80</t>
        </is>
      </c>
      <c r="C1468" s="7">
        <f>VLOOKUP(A1468,SizeData!A$2:B$3839,2,FALSE)</f>
        <v/>
      </c>
      <c r="D1468" s="6" t="n">
        <v>7</v>
      </c>
      <c r="E1468" s="6" t="inlineStr">
        <is>
          <t>R1096577</t>
        </is>
      </c>
      <c r="F1468" s="2" t="n">
        <v>44308</v>
      </c>
      <c r="G1468" s="1" t="n"/>
    </row>
    <row r="1469">
      <c r="A1469" s="6" t="n">
        <v>38069</v>
      </c>
      <c r="B1469" s="6" t="inlineStr">
        <is>
          <t>TAAKA VODKA 80</t>
        </is>
      </c>
      <c r="C1469" s="7">
        <f>VLOOKUP(A1469,SizeData!A$2:B$3839,2,FALSE)</f>
        <v/>
      </c>
      <c r="D1469" s="6" t="n">
        <v>5</v>
      </c>
      <c r="E1469" s="6" t="inlineStr">
        <is>
          <t>R1105169</t>
        </is>
      </c>
      <c r="F1469" s="2" t="n">
        <v>44308</v>
      </c>
      <c r="G1469" s="1" t="n"/>
    </row>
    <row r="1470">
      <c r="A1470" s="6" t="n">
        <v>38069</v>
      </c>
      <c r="B1470" s="6" t="inlineStr">
        <is>
          <t>TAAKA VODKA 80</t>
        </is>
      </c>
      <c r="C1470" s="7">
        <f>VLOOKUP(A1470,SizeData!A$2:B$3839,2,FALSE)</f>
        <v/>
      </c>
      <c r="D1470" s="6" t="n">
        <v>5</v>
      </c>
      <c r="E1470" s="6" t="inlineStr">
        <is>
          <t>R1115228</t>
        </is>
      </c>
      <c r="F1470" s="2" t="n">
        <v>44308</v>
      </c>
      <c r="G1470" s="1" t="n"/>
    </row>
    <row r="1471">
      <c r="A1471" s="6" t="n">
        <v>38069</v>
      </c>
      <c r="B1471" s="6" t="inlineStr">
        <is>
          <t>TAAKA VODKA 80</t>
        </is>
      </c>
      <c r="C1471" s="7">
        <f>VLOOKUP(A1471,SizeData!A$2:B$3839,2,FALSE)</f>
        <v/>
      </c>
      <c r="D1471" s="6" t="n">
        <v>2</v>
      </c>
      <c r="E1471" s="6" t="inlineStr">
        <is>
          <t>R1099112</t>
        </is>
      </c>
      <c r="F1471" s="2" t="n">
        <v>44308</v>
      </c>
      <c r="G1471" s="1" t="n"/>
    </row>
    <row r="1472">
      <c r="A1472" s="6" t="n">
        <v>38069</v>
      </c>
      <c r="B1472" s="6" t="inlineStr">
        <is>
          <t>TAAKA VODKA 80</t>
        </is>
      </c>
      <c r="C1472" s="7">
        <f>VLOOKUP(A1472,SizeData!A$2:B$3839,2,FALSE)</f>
        <v/>
      </c>
      <c r="D1472" s="6" t="n">
        <v>5</v>
      </c>
      <c r="E1472" s="6" t="inlineStr">
        <is>
          <t>R1103304</t>
        </is>
      </c>
      <c r="F1472" s="2" t="n">
        <v>44309</v>
      </c>
      <c r="G1472" s="1" t="n"/>
    </row>
    <row r="1473">
      <c r="A1473" s="6" t="n">
        <v>38069</v>
      </c>
      <c r="B1473" s="6" t="inlineStr">
        <is>
          <t>TAAKA VODKA 80</t>
        </is>
      </c>
      <c r="C1473" s="7">
        <f>VLOOKUP(A1473,SizeData!A$2:B$3839,2,FALSE)</f>
        <v/>
      </c>
      <c r="D1473" s="6" t="n">
        <v>50</v>
      </c>
      <c r="E1473" s="6" t="inlineStr">
        <is>
          <t>R1105635</t>
        </is>
      </c>
      <c r="F1473" s="2" t="n">
        <v>44312</v>
      </c>
      <c r="G1473" s="1" t="n"/>
    </row>
    <row r="1474">
      <c r="A1474" s="6" t="n">
        <v>38069</v>
      </c>
      <c r="B1474" s="6" t="inlineStr">
        <is>
          <t>TAAKA VODKA 80</t>
        </is>
      </c>
      <c r="C1474" s="7">
        <f>VLOOKUP(A1474,SizeData!A$2:B$3839,2,FALSE)</f>
        <v/>
      </c>
      <c r="D1474" s="6" t="n">
        <v>25</v>
      </c>
      <c r="E1474" s="6" t="inlineStr">
        <is>
          <t>R1105635</t>
        </is>
      </c>
      <c r="F1474" s="2" t="n">
        <v>44312</v>
      </c>
      <c r="G1474" s="1" t="n"/>
    </row>
    <row r="1475">
      <c r="A1475" s="6" t="n">
        <v>38069</v>
      </c>
      <c r="B1475" s="6" t="inlineStr">
        <is>
          <t>TAAKA VODKA 80</t>
        </is>
      </c>
      <c r="C1475" s="7">
        <f>VLOOKUP(A1475,SizeData!A$2:B$3839,2,FALSE)</f>
        <v/>
      </c>
      <c r="D1475" s="6" t="n">
        <v>110</v>
      </c>
      <c r="E1475" s="6" t="inlineStr">
        <is>
          <t>R1103116</t>
        </is>
      </c>
      <c r="F1475" s="2" t="n">
        <v>44313</v>
      </c>
      <c r="G1475" s="1" t="n"/>
    </row>
    <row r="1476">
      <c r="A1476" s="6" t="n">
        <v>38069</v>
      </c>
      <c r="B1476" s="6" t="inlineStr">
        <is>
          <t>TAAKA VODKA 80</t>
        </is>
      </c>
      <c r="C1476" s="7">
        <f>VLOOKUP(A1476,SizeData!A$2:B$3839,2,FALSE)</f>
        <v/>
      </c>
      <c r="D1476" s="6" t="n">
        <v>100</v>
      </c>
      <c r="E1476" s="6" t="inlineStr">
        <is>
          <t>R1271443</t>
        </is>
      </c>
      <c r="F1476" s="2" t="n">
        <v>44470</v>
      </c>
      <c r="G1476" s="1" t="n"/>
    </row>
    <row r="1477">
      <c r="A1477" s="6" t="n">
        <v>38069</v>
      </c>
      <c r="B1477" s="6" t="inlineStr">
        <is>
          <t>TAAKA VODKA 80</t>
        </is>
      </c>
      <c r="C1477" s="7">
        <f>VLOOKUP(A1477,SizeData!A$2:B$3839,2,FALSE)</f>
        <v/>
      </c>
      <c r="D1477" s="6" t="n">
        <v>100</v>
      </c>
      <c r="E1477" s="6" t="inlineStr">
        <is>
          <t xml:space="preserve"> R1266490</t>
        </is>
      </c>
      <c r="F1477" s="2" t="n">
        <v>44470</v>
      </c>
      <c r="G1477" s="1" t="n"/>
    </row>
    <row r="1478">
      <c r="A1478" s="6" t="n">
        <v>38069</v>
      </c>
      <c r="B1478" s="6" t="inlineStr">
        <is>
          <t>TAAKA VODKA 80</t>
        </is>
      </c>
      <c r="C1478" s="7">
        <f>VLOOKUP(A1478,SizeData!A$2:B$3839,2,FALSE)</f>
        <v/>
      </c>
      <c r="D1478" s="6" t="n">
        <v>50</v>
      </c>
      <c r="E1478" s="6" t="inlineStr">
        <is>
          <t>R1258852</t>
        </is>
      </c>
      <c r="F1478" s="2" t="n">
        <v>44470</v>
      </c>
      <c r="G1478" s="1" t="n"/>
    </row>
    <row r="1479">
      <c r="A1479" s="6" t="n">
        <v>38069</v>
      </c>
      <c r="B1479" s="6" t="inlineStr">
        <is>
          <t>TAAKA VODKA 80</t>
        </is>
      </c>
      <c r="C1479" s="7">
        <f>VLOOKUP(A1479,SizeData!A$2:B$3839,2,FALSE)</f>
        <v/>
      </c>
      <c r="D1479" s="6" t="n">
        <v>25</v>
      </c>
      <c r="E1479" s="6" t="inlineStr">
        <is>
          <t>R1262670</t>
        </is>
      </c>
      <c r="F1479" s="2" t="n">
        <v>44470</v>
      </c>
      <c r="G1479" s="1" t="n"/>
    </row>
    <row r="1480">
      <c r="A1480" s="6" t="n">
        <v>38069</v>
      </c>
      <c r="B1480" s="6" t="inlineStr">
        <is>
          <t>TAAKA VODKA 80</t>
        </is>
      </c>
      <c r="C1480" s="7">
        <f>VLOOKUP(A1480,SizeData!A$2:B$3839,2,FALSE)</f>
        <v/>
      </c>
      <c r="D1480" s="6" t="n">
        <v>3</v>
      </c>
      <c r="E1480" s="6" t="inlineStr">
        <is>
          <t xml:space="preserve"> R1263571</t>
        </is>
      </c>
      <c r="F1480" s="2" t="n">
        <v>44470</v>
      </c>
      <c r="G1480" s="1" t="n"/>
    </row>
    <row r="1481">
      <c r="A1481" s="6" t="n">
        <v>38069</v>
      </c>
      <c r="B1481" s="6" t="inlineStr">
        <is>
          <t>TAAKA VODKA 80</t>
        </is>
      </c>
      <c r="C1481" s="7">
        <f>VLOOKUP(A1481,SizeData!A$2:B$3839,2,FALSE)</f>
        <v/>
      </c>
      <c r="D1481" s="6" t="n">
        <v>100</v>
      </c>
      <c r="E1481" s="6" t="inlineStr">
        <is>
          <t>R1280714</t>
        </is>
      </c>
      <c r="F1481" s="2" t="n">
        <v>44475</v>
      </c>
      <c r="G1481" s="1" t="n"/>
    </row>
    <row r="1482">
      <c r="A1482" s="6" t="n">
        <v>38069</v>
      </c>
      <c r="B1482" s="6" t="inlineStr">
        <is>
          <t>TAAKA VODKA 80</t>
        </is>
      </c>
      <c r="C1482" s="7">
        <f>VLOOKUP(A1482,SizeData!A$2:B$3839,2,FALSE)</f>
        <v/>
      </c>
      <c r="D1482" s="6" t="n">
        <v>25</v>
      </c>
      <c r="E1482" s="6" t="inlineStr">
        <is>
          <t>R1268966</t>
        </is>
      </c>
      <c r="F1482" s="2" t="n">
        <v>44475</v>
      </c>
      <c r="G1482" s="1" t="n"/>
    </row>
    <row r="1483">
      <c r="A1483" s="6" t="n">
        <v>38076</v>
      </c>
      <c r="B1483" s="6" t="inlineStr">
        <is>
          <t>TAAKA VODKA 80 (PET)</t>
        </is>
      </c>
      <c r="C1483" s="7">
        <f>VLOOKUP(A1483,SizeData!A$2:B$3839,2,FALSE)</f>
        <v/>
      </c>
      <c r="D1483" s="6" t="n">
        <v>10</v>
      </c>
      <c r="E1483" s="6" t="inlineStr">
        <is>
          <t>R998453</t>
        </is>
      </c>
      <c r="F1483" s="2" t="n">
        <v>44212</v>
      </c>
      <c r="G1483" s="1" t="n"/>
    </row>
    <row r="1484">
      <c r="A1484" s="6" t="n">
        <v>38076</v>
      </c>
      <c r="B1484" s="6" t="inlineStr">
        <is>
          <t>TAAKA VODKA 80 (PET)</t>
        </is>
      </c>
      <c r="C1484" s="7">
        <f>VLOOKUP(A1484,SizeData!A$2:B$3839,2,FALSE)</f>
        <v/>
      </c>
      <c r="D1484" s="6" t="n">
        <v>10</v>
      </c>
      <c r="E1484" s="6" t="inlineStr">
        <is>
          <t>R1010197</t>
        </is>
      </c>
      <c r="F1484" s="2" t="n">
        <v>44214</v>
      </c>
      <c r="G1484" s="1" t="n"/>
    </row>
    <row r="1485">
      <c r="A1485" s="6" t="n">
        <v>38076</v>
      </c>
      <c r="B1485" s="6" t="inlineStr">
        <is>
          <t>TAAKA VODKA 80 (PET)</t>
        </is>
      </c>
      <c r="C1485" s="7">
        <f>VLOOKUP(A1485,SizeData!A$2:B$3839,2,FALSE)</f>
        <v/>
      </c>
      <c r="D1485" s="6" t="n">
        <v>10</v>
      </c>
      <c r="E1485" s="6" t="inlineStr">
        <is>
          <t>R1042038</t>
        </is>
      </c>
      <c r="F1485" s="2" t="n">
        <v>44257</v>
      </c>
      <c r="G1485" s="1" t="n"/>
    </row>
    <row r="1486">
      <c r="A1486" s="6" t="n">
        <v>38076</v>
      </c>
      <c r="B1486" s="6" t="inlineStr">
        <is>
          <t>TAAKA VODKA 80 (PET)</t>
        </is>
      </c>
      <c r="C1486" s="7">
        <f>VLOOKUP(A1486,SizeData!A$2:B$3839,2,FALSE)</f>
        <v/>
      </c>
      <c r="D1486" s="6" t="n">
        <v>3</v>
      </c>
      <c r="E1486" s="6" t="inlineStr">
        <is>
          <t>R1046056</t>
        </is>
      </c>
      <c r="F1486" s="2" t="n">
        <v>44258</v>
      </c>
      <c r="G1486" s="1" t="n"/>
    </row>
    <row r="1487">
      <c r="A1487" s="6" t="n">
        <v>38076</v>
      </c>
      <c r="B1487" s="6" t="inlineStr">
        <is>
          <t>TAAKA VODKA 80 (PET)</t>
        </is>
      </c>
      <c r="C1487" s="7">
        <f>VLOOKUP(A1487,SizeData!A$2:B$3839,2,FALSE)</f>
        <v/>
      </c>
      <c r="D1487" s="6" t="n">
        <v>1</v>
      </c>
      <c r="E1487" s="6" t="inlineStr">
        <is>
          <t>R1038176</t>
        </is>
      </c>
      <c r="F1487" s="2" t="n">
        <v>44259</v>
      </c>
      <c r="G1487" s="1" t="n"/>
    </row>
    <row r="1488">
      <c r="A1488" s="6" t="n">
        <v>38076</v>
      </c>
      <c r="B1488" s="6" t="inlineStr">
        <is>
          <t>TAAKA VODKA 80 (PET)</t>
        </is>
      </c>
      <c r="C1488" s="7">
        <f>VLOOKUP(A1488,SizeData!A$2:B$3839,2,FALSE)</f>
        <v/>
      </c>
      <c r="D1488" s="6" t="n">
        <v>16</v>
      </c>
      <c r="E1488" s="6" t="inlineStr">
        <is>
          <t>R1043077</t>
        </is>
      </c>
      <c r="F1488" s="2" t="n">
        <v>44260</v>
      </c>
      <c r="G1488" s="1" t="n"/>
    </row>
    <row r="1489">
      <c r="A1489" s="6" t="n">
        <v>38076</v>
      </c>
      <c r="B1489" s="6" t="inlineStr">
        <is>
          <t>TAAKA VODKA 80 (PET)</t>
        </is>
      </c>
      <c r="C1489" s="7">
        <f>VLOOKUP(A1489,SizeData!A$2:B$3839,2,FALSE)</f>
        <v/>
      </c>
      <c r="D1489" s="6" t="n">
        <v>1</v>
      </c>
      <c r="E1489" s="6" t="inlineStr">
        <is>
          <t>R1058237</t>
        </is>
      </c>
      <c r="F1489" s="2" t="n">
        <v>44273</v>
      </c>
      <c r="G1489" s="1" t="n"/>
    </row>
    <row r="1490">
      <c r="A1490" s="6" t="n">
        <v>38076</v>
      </c>
      <c r="B1490" s="6" t="inlineStr">
        <is>
          <t>TAAKA VODKA 80 (PET)</t>
        </is>
      </c>
      <c r="C1490" s="7">
        <f>VLOOKUP(A1490,SizeData!A$2:B$3839,2,FALSE)</f>
        <v/>
      </c>
      <c r="D1490" s="6" t="n">
        <v>10</v>
      </c>
      <c r="E1490" s="6" t="inlineStr">
        <is>
          <t>R1063175</t>
        </is>
      </c>
      <c r="F1490" s="2" t="n">
        <v>44277</v>
      </c>
      <c r="G1490" s="1" t="n"/>
    </row>
    <row r="1491">
      <c r="A1491" s="6" t="n">
        <v>38076</v>
      </c>
      <c r="B1491" s="6" t="inlineStr">
        <is>
          <t>TAAKA VODKA 80 (PET)</t>
        </is>
      </c>
      <c r="C1491" s="7">
        <f>VLOOKUP(A1491,SizeData!A$2:B$3839,2,FALSE)</f>
        <v/>
      </c>
      <c r="D1491" s="6" t="n">
        <v>10</v>
      </c>
      <c r="E1491" s="6" t="inlineStr">
        <is>
          <t>R1071827</t>
        </is>
      </c>
      <c r="F1491" s="2" t="n">
        <v>44282</v>
      </c>
      <c r="G1491" s="1" t="n"/>
    </row>
    <row r="1492">
      <c r="A1492" s="6" t="n">
        <v>38076</v>
      </c>
      <c r="B1492" s="6" t="inlineStr">
        <is>
          <t>TAAKA VODKA 80 (PET)</t>
        </is>
      </c>
      <c r="C1492" s="7">
        <f>VLOOKUP(A1492,SizeData!A$2:B$3839,2,FALSE)</f>
        <v/>
      </c>
      <c r="D1492" s="6" t="n">
        <v>10</v>
      </c>
      <c r="E1492" s="6" t="inlineStr">
        <is>
          <t>R1111762</t>
        </is>
      </c>
      <c r="F1492" s="2" t="n">
        <v>44320</v>
      </c>
      <c r="G1492" s="1" t="n"/>
    </row>
    <row r="1493">
      <c r="A1493" s="6" t="n">
        <v>38076</v>
      </c>
      <c r="B1493" s="6" t="inlineStr">
        <is>
          <t>TAAKA VODKA 80 (PET)</t>
        </is>
      </c>
      <c r="C1493" s="7">
        <f>VLOOKUP(A1493,SizeData!A$2:B$3839,2,FALSE)</f>
        <v/>
      </c>
      <c r="D1493" s="6" t="n">
        <v>7</v>
      </c>
      <c r="E1493" s="6" t="inlineStr">
        <is>
          <t>R1094000</t>
        </is>
      </c>
      <c r="F1493" s="2" t="n">
        <v>44323</v>
      </c>
      <c r="G1493" s="1" t="n"/>
    </row>
    <row r="1494">
      <c r="A1494" s="6" t="n">
        <v>38076</v>
      </c>
      <c r="B1494" s="6" t="inlineStr">
        <is>
          <t>TAAKA VODKA 80 (PET)</t>
        </is>
      </c>
      <c r="C1494" s="7">
        <f>VLOOKUP(A1494,SizeData!A$2:B$3839,2,FALSE)</f>
        <v/>
      </c>
      <c r="D1494" s="6" t="n">
        <v>6</v>
      </c>
      <c r="E1494" s="6" t="inlineStr">
        <is>
          <t>R1118503</t>
        </is>
      </c>
      <c r="F1494" s="2" t="n">
        <v>44324</v>
      </c>
      <c r="G1494" s="1" t="n"/>
    </row>
    <row r="1495">
      <c r="A1495" s="6" t="n">
        <v>38076</v>
      </c>
      <c r="B1495" s="6" t="inlineStr">
        <is>
          <t>TAAKA VODKA 80 (PET)</t>
        </is>
      </c>
      <c r="C1495" s="7">
        <f>VLOOKUP(A1495,SizeData!A$2:B$3839,2,FALSE)</f>
        <v/>
      </c>
      <c r="D1495" s="6" t="n">
        <v>8</v>
      </c>
      <c r="E1495" s="6" t="inlineStr">
        <is>
          <t>R1117957</t>
        </is>
      </c>
      <c r="F1495" s="2" t="n">
        <v>44327</v>
      </c>
      <c r="G1495" s="1" t="n"/>
    </row>
    <row r="1496">
      <c r="A1496" s="6" t="n">
        <v>38076</v>
      </c>
      <c r="B1496" s="6" t="inlineStr">
        <is>
          <t>TAAKA VODKA 80 (PET)</t>
        </is>
      </c>
      <c r="C1496" s="7">
        <f>VLOOKUP(A1496,SizeData!A$2:B$3839,2,FALSE)</f>
        <v/>
      </c>
      <c r="D1496" s="6" t="n">
        <v>5</v>
      </c>
      <c r="E1496" s="6" t="inlineStr">
        <is>
          <t xml:space="preserve"> R1136635</t>
        </is>
      </c>
      <c r="F1496" s="2" t="n">
        <v>44341</v>
      </c>
      <c r="G1496" s="1" t="n"/>
    </row>
    <row r="1497">
      <c r="A1497" s="6" t="n">
        <v>38076</v>
      </c>
      <c r="B1497" s="6" t="inlineStr">
        <is>
          <t>TAAKA VODKA 80 (PET)</t>
        </is>
      </c>
      <c r="C1497" s="7">
        <f>VLOOKUP(A1497,SizeData!A$2:B$3839,2,FALSE)</f>
        <v/>
      </c>
      <c r="D1497" s="6" t="n">
        <v>5</v>
      </c>
      <c r="E1497" s="6" t="inlineStr">
        <is>
          <t>R1137702</t>
        </is>
      </c>
      <c r="F1497" s="2" t="n">
        <v>44342</v>
      </c>
      <c r="G1497" s="1" t="n"/>
    </row>
    <row r="1498">
      <c r="A1498" s="6" t="n">
        <v>38076</v>
      </c>
      <c r="B1498" s="6" t="inlineStr">
        <is>
          <t>TAAKA VODKA 80 (PET)</t>
        </is>
      </c>
      <c r="C1498" s="7">
        <f>VLOOKUP(A1498,SizeData!A$2:B$3839,2,FALSE)</f>
        <v/>
      </c>
      <c r="D1498" s="6" t="n">
        <v>8</v>
      </c>
      <c r="E1498" s="6" t="inlineStr">
        <is>
          <t>R1176212</t>
        </is>
      </c>
      <c r="F1498" s="2" t="n">
        <v>44383</v>
      </c>
      <c r="G1498" s="1" t="n"/>
    </row>
    <row r="1499">
      <c r="A1499" s="6" t="n">
        <v>38076</v>
      </c>
      <c r="B1499" s="6" t="inlineStr">
        <is>
          <t>TAAKA VODKA 80 (PET)</t>
        </is>
      </c>
      <c r="C1499" s="7">
        <f>VLOOKUP(A1499,SizeData!A$2:B$3839,2,FALSE)</f>
        <v/>
      </c>
      <c r="D1499" s="6" t="n">
        <v>2</v>
      </c>
      <c r="E1499" s="6" t="inlineStr">
        <is>
          <t>R1171340</t>
        </is>
      </c>
      <c r="F1499" s="2" t="n">
        <v>44383</v>
      </c>
      <c r="G1499" s="1" t="n"/>
    </row>
    <row r="1500">
      <c r="A1500" s="6" t="n">
        <v>38076</v>
      </c>
      <c r="B1500" s="6" t="inlineStr">
        <is>
          <t>TAAKA VODKA 80 (PET)</t>
        </is>
      </c>
      <c r="C1500" s="7">
        <f>VLOOKUP(A1500,SizeData!A$2:B$3839,2,FALSE)</f>
        <v/>
      </c>
      <c r="D1500" s="6" t="n">
        <v>14</v>
      </c>
      <c r="E1500" s="6" t="inlineStr">
        <is>
          <t>R1181955</t>
        </is>
      </c>
      <c r="F1500" s="2" t="n">
        <v>44400</v>
      </c>
      <c r="G1500" s="1" t="n"/>
    </row>
    <row r="1501">
      <c r="A1501" s="6" t="n">
        <v>38076</v>
      </c>
      <c r="B1501" s="6" t="inlineStr">
        <is>
          <t>TAAKA VODKA 80 (PET)</t>
        </is>
      </c>
      <c r="C1501" s="7">
        <f>VLOOKUP(A1501,SizeData!A$2:B$3839,2,FALSE)</f>
        <v/>
      </c>
      <c r="D1501" s="6" t="n">
        <v>5</v>
      </c>
      <c r="E1501" s="6" t="inlineStr">
        <is>
          <t>R1179796</t>
        </is>
      </c>
      <c r="F1501" s="2" t="n">
        <v>44403</v>
      </c>
      <c r="G1501" s="1" t="n"/>
    </row>
    <row r="1502">
      <c r="A1502" s="6" t="n">
        <v>38076</v>
      </c>
      <c r="B1502" s="6" t="inlineStr">
        <is>
          <t>TAAKA VODKA 80 (PET)</t>
        </is>
      </c>
      <c r="C1502" s="7">
        <f>VLOOKUP(A1502,SizeData!A$2:B$3839,2,FALSE)</f>
        <v/>
      </c>
      <c r="D1502" s="6" t="n">
        <v>3</v>
      </c>
      <c r="E1502" s="6" t="inlineStr">
        <is>
          <t>R1193604</t>
        </is>
      </c>
      <c r="F1502" s="2" t="n">
        <v>44407</v>
      </c>
      <c r="G1502" s="1" t="n"/>
    </row>
    <row r="1503">
      <c r="A1503" s="6" t="n">
        <v>38076</v>
      </c>
      <c r="B1503" s="6" t="inlineStr">
        <is>
          <t>TAAKA VODKA 80 (PET)</t>
        </is>
      </c>
      <c r="C1503" s="7">
        <f>VLOOKUP(A1503,SizeData!A$2:B$3839,2,FALSE)</f>
        <v/>
      </c>
      <c r="D1503" s="6" t="n">
        <v>8</v>
      </c>
      <c r="E1503" s="6" t="inlineStr">
        <is>
          <t>R1236179</t>
        </is>
      </c>
      <c r="F1503" s="2" t="n">
        <v>44443</v>
      </c>
      <c r="G1503" s="1" t="n"/>
    </row>
    <row r="1504">
      <c r="A1504" s="6" t="n">
        <v>38076</v>
      </c>
      <c r="B1504" s="6" t="inlineStr">
        <is>
          <t>TAAKA VODKA 80 (PET)</t>
        </is>
      </c>
      <c r="C1504" s="7">
        <f>VLOOKUP(A1504,SizeData!A$2:B$3839,2,FALSE)</f>
        <v/>
      </c>
      <c r="D1504" s="6" t="n">
        <v>10</v>
      </c>
      <c r="E1504" s="6" t="inlineStr">
        <is>
          <t>R1256699</t>
        </is>
      </c>
      <c r="F1504" s="2" t="n">
        <v>44466</v>
      </c>
      <c r="G1504" s="1" t="n"/>
    </row>
    <row r="1505">
      <c r="A1505" s="6" t="n">
        <v>38076</v>
      </c>
      <c r="B1505" s="6" t="inlineStr">
        <is>
          <t>TAAKA VODKA 80 (PET)</t>
        </is>
      </c>
      <c r="C1505" s="7">
        <f>VLOOKUP(A1505,SizeData!A$2:B$3839,2,FALSE)</f>
        <v/>
      </c>
      <c r="D1505" s="6" t="n">
        <v>10</v>
      </c>
      <c r="E1505" s="6" t="inlineStr">
        <is>
          <t>R1301983</t>
        </is>
      </c>
      <c r="F1505" s="2" t="n">
        <v>44501</v>
      </c>
      <c r="G1505" s="1" t="n"/>
    </row>
    <row r="1506">
      <c r="A1506" s="6" t="n">
        <v>38076</v>
      </c>
      <c r="B1506" s="6" t="inlineStr">
        <is>
          <t>TAAKA VODKA 80 (PET)</t>
        </is>
      </c>
      <c r="C1506" s="7">
        <f>VLOOKUP(A1506,SizeData!A$2:B$3839,2,FALSE)</f>
        <v/>
      </c>
      <c r="D1506" s="6" t="n">
        <v>25</v>
      </c>
      <c r="E1506" s="6" t="inlineStr">
        <is>
          <t>R1325690</t>
        </is>
      </c>
      <c r="F1506" s="2" t="n">
        <v>44510</v>
      </c>
      <c r="G1506" s="1" t="n"/>
    </row>
    <row r="1507">
      <c r="A1507" s="6" t="n">
        <v>38076</v>
      </c>
      <c r="B1507" s="6" t="inlineStr">
        <is>
          <t>TAAKA VODKA 80 (PET)</t>
        </is>
      </c>
      <c r="C1507" s="7">
        <f>VLOOKUP(A1507,SizeData!A$2:B$3839,2,FALSE)</f>
        <v/>
      </c>
      <c r="D1507" s="6" t="n">
        <v>5</v>
      </c>
      <c r="E1507" s="6" t="inlineStr">
        <is>
          <t>R1340649</t>
        </is>
      </c>
      <c r="F1507" s="2" t="n">
        <v>44523</v>
      </c>
      <c r="G1507" s="1" t="n"/>
    </row>
    <row r="1508">
      <c r="A1508" s="6" t="n">
        <v>38174</v>
      </c>
      <c r="B1508" s="6" t="inlineStr">
        <is>
          <t>TITO'S HANDMADE VODKA</t>
        </is>
      </c>
      <c r="C1508" s="7">
        <f>VLOOKUP(A1508,SizeData!A$2:B$3839,2,FALSE)</f>
        <v/>
      </c>
      <c r="D1508" s="6" t="n">
        <v>8</v>
      </c>
      <c r="E1508" s="6" t="inlineStr">
        <is>
          <t>R1185778</t>
        </is>
      </c>
      <c r="F1508" s="2" t="n">
        <v>44399</v>
      </c>
      <c r="G1508" s="1" t="n"/>
    </row>
    <row r="1509">
      <c r="A1509" s="6" t="n">
        <v>38174</v>
      </c>
      <c r="B1509" s="6" t="inlineStr">
        <is>
          <t>TITO'S HANDMADE VODKA</t>
        </is>
      </c>
      <c r="C1509" s="7">
        <f>VLOOKUP(A1509,SizeData!A$2:B$3839,2,FALSE)</f>
        <v/>
      </c>
      <c r="D1509" s="6" t="n">
        <v>2</v>
      </c>
      <c r="E1509" s="6" t="inlineStr">
        <is>
          <t>R1262670</t>
        </is>
      </c>
      <c r="F1509" s="2" t="n">
        <v>44470</v>
      </c>
      <c r="G1509" s="1" t="n"/>
    </row>
    <row r="1510">
      <c r="A1510" s="6" t="n">
        <v>38174</v>
      </c>
      <c r="B1510" s="6" t="inlineStr">
        <is>
          <t>TITO'S HANDMADE VODKA</t>
        </is>
      </c>
      <c r="C1510" s="7">
        <f>VLOOKUP(A1510,SizeData!A$2:B$3839,2,FALSE)</f>
        <v/>
      </c>
      <c r="D1510" s="6" t="n">
        <v>2</v>
      </c>
      <c r="E1510" s="6" t="inlineStr">
        <is>
          <t>R1287055</t>
        </is>
      </c>
      <c r="F1510" s="2" t="n">
        <v>44482</v>
      </c>
      <c r="G1510" s="1" t="n"/>
    </row>
    <row r="1511">
      <c r="A1511" s="6" t="n">
        <v>38174</v>
      </c>
      <c r="B1511" s="6" t="inlineStr">
        <is>
          <t>TITO'S HANDMADE VODKA</t>
        </is>
      </c>
      <c r="C1511" s="7">
        <f>VLOOKUP(A1511,SizeData!A$2:B$3839,2,FALSE)</f>
        <v/>
      </c>
      <c r="D1511" s="6" t="n">
        <v>5</v>
      </c>
      <c r="E1511" s="6" t="inlineStr">
        <is>
          <t>R1274350</t>
        </is>
      </c>
      <c r="F1511" s="2" t="n">
        <v>44483</v>
      </c>
      <c r="G1511" s="1" t="n"/>
    </row>
    <row r="1512">
      <c r="A1512" s="6" t="n">
        <v>38174</v>
      </c>
      <c r="B1512" s="6" t="inlineStr">
        <is>
          <t>TITO'S HANDMADE VODKA</t>
        </is>
      </c>
      <c r="C1512" s="7">
        <f>VLOOKUP(A1512,SizeData!A$2:B$3839,2,FALSE)</f>
        <v/>
      </c>
      <c r="D1512" s="6" t="n">
        <v>2</v>
      </c>
      <c r="E1512" s="6" t="inlineStr">
        <is>
          <t>R1283220</t>
        </is>
      </c>
      <c r="F1512" s="2" t="n">
        <v>44483</v>
      </c>
      <c r="G1512" s="1" t="n"/>
    </row>
    <row r="1513">
      <c r="A1513" s="6" t="n">
        <v>38174</v>
      </c>
      <c r="B1513" s="6" t="inlineStr">
        <is>
          <t>TITO'S HANDMADE VODKA</t>
        </is>
      </c>
      <c r="C1513" s="7">
        <f>VLOOKUP(A1513,SizeData!A$2:B$3839,2,FALSE)</f>
        <v/>
      </c>
      <c r="D1513" s="6" t="n">
        <v>1</v>
      </c>
      <c r="E1513" s="6" t="inlineStr">
        <is>
          <t>R1297265</t>
        </is>
      </c>
      <c r="F1513" s="2" t="n">
        <v>44495</v>
      </c>
      <c r="G1513" s="1" t="n"/>
    </row>
    <row r="1514">
      <c r="A1514" s="6" t="n">
        <v>38176</v>
      </c>
      <c r="B1514" s="6" t="inlineStr">
        <is>
          <t>TITO'S HANDMADE VODKA</t>
        </is>
      </c>
      <c r="C1514" s="7">
        <f>VLOOKUP(A1514,SizeData!A$2:B$3839,2,FALSE)</f>
        <v/>
      </c>
      <c r="D1514" s="6" t="n">
        <v>5</v>
      </c>
      <c r="E1514" s="6" t="inlineStr">
        <is>
          <t>R1053796</t>
        </is>
      </c>
      <c r="F1514" s="2" t="n">
        <v>44279</v>
      </c>
      <c r="G1514" s="1" t="n"/>
    </row>
    <row r="1515">
      <c r="A1515" s="6" t="n">
        <v>38176</v>
      </c>
      <c r="B1515" s="6" t="inlineStr">
        <is>
          <t>TITO'S HANDMADE VODKA</t>
        </is>
      </c>
      <c r="C1515" s="7">
        <f>VLOOKUP(A1515,SizeData!A$2:B$3839,2,FALSE)</f>
        <v/>
      </c>
      <c r="D1515" s="6" t="n">
        <v>4</v>
      </c>
      <c r="E1515" s="6" t="inlineStr">
        <is>
          <t>R1158236</t>
        </is>
      </c>
      <c r="F1515" s="2" t="n">
        <v>44368</v>
      </c>
      <c r="G1515" s="1" t="n"/>
    </row>
    <row r="1516">
      <c r="A1516" s="6" t="n">
        <v>38176</v>
      </c>
      <c r="B1516" s="6" t="inlineStr">
        <is>
          <t>TITO'S HANDMADE VODKA</t>
        </is>
      </c>
      <c r="C1516" s="7">
        <f>VLOOKUP(A1516,SizeData!A$2:B$3839,2,FALSE)</f>
        <v/>
      </c>
      <c r="D1516" s="6" t="n">
        <v>4</v>
      </c>
      <c r="E1516" s="6" t="inlineStr">
        <is>
          <t>R1167152</t>
        </is>
      </c>
      <c r="F1516" s="2" t="n">
        <v>44376</v>
      </c>
      <c r="G1516" s="1" t="n"/>
    </row>
    <row r="1517">
      <c r="A1517" s="6" t="n">
        <v>38176</v>
      </c>
      <c r="B1517" s="6" t="inlineStr">
        <is>
          <t>TITO'S HANDMADE VODKA</t>
        </is>
      </c>
      <c r="C1517" s="7">
        <f>VLOOKUP(A1517,SizeData!A$2:B$3839,2,FALSE)</f>
        <v/>
      </c>
      <c r="D1517" s="6" t="n">
        <v>4</v>
      </c>
      <c r="E1517" s="6" t="inlineStr">
        <is>
          <t>R1230991</t>
        </is>
      </c>
      <c r="F1517" s="2" t="n">
        <v>44441</v>
      </c>
      <c r="G1517" s="1" t="n"/>
    </row>
    <row r="1518">
      <c r="A1518" s="6" t="n">
        <v>38176</v>
      </c>
      <c r="B1518" s="6" t="inlineStr">
        <is>
          <t>TITO'S HANDMADE VODKA</t>
        </is>
      </c>
      <c r="C1518" s="7">
        <f>VLOOKUP(A1518,SizeData!A$2:B$3839,2,FALSE)</f>
        <v/>
      </c>
      <c r="D1518" s="6" t="n">
        <v>8</v>
      </c>
      <c r="E1518" s="6" t="inlineStr">
        <is>
          <t>R1236179</t>
        </is>
      </c>
      <c r="F1518" s="2" t="n">
        <v>44443</v>
      </c>
      <c r="G1518" s="1" t="n"/>
    </row>
    <row r="1519">
      <c r="A1519" s="6" t="n">
        <v>38176</v>
      </c>
      <c r="B1519" s="6" t="inlineStr">
        <is>
          <t>TITO'S HANDMADE VODKA</t>
        </is>
      </c>
      <c r="C1519" s="7">
        <f>VLOOKUP(A1519,SizeData!A$2:B$3839,2,FALSE)</f>
        <v/>
      </c>
      <c r="D1519" s="6" t="n">
        <v>6</v>
      </c>
      <c r="E1519" s="6" t="inlineStr">
        <is>
          <t>R1242196</t>
        </is>
      </c>
      <c r="F1519" s="2" t="n">
        <v>44456</v>
      </c>
      <c r="G1519" s="1" t="n"/>
    </row>
    <row r="1520">
      <c r="A1520" s="6" t="n">
        <v>38176</v>
      </c>
      <c r="B1520" s="6" t="inlineStr">
        <is>
          <t>TITO'S HANDMADE VODKA</t>
        </is>
      </c>
      <c r="C1520" s="7">
        <f>VLOOKUP(A1520,SizeData!A$2:B$3839,2,FALSE)</f>
        <v/>
      </c>
      <c r="D1520" s="6" t="n">
        <v>10</v>
      </c>
      <c r="E1520" s="6" t="inlineStr">
        <is>
          <t>R1254638</t>
        </is>
      </c>
      <c r="F1520" s="2" t="n">
        <v>44468</v>
      </c>
      <c r="G1520" s="1" t="n"/>
    </row>
    <row r="1521">
      <c r="A1521" s="6" t="n">
        <v>38177</v>
      </c>
      <c r="B1521" s="6" t="inlineStr">
        <is>
          <t>TITO'S HANDMADE VODKA</t>
        </is>
      </c>
      <c r="C1521" s="7">
        <f>VLOOKUP(A1521,SizeData!A$2:B$3839,2,FALSE)</f>
        <v/>
      </c>
      <c r="D1521" s="6" t="n">
        <v>5</v>
      </c>
      <c r="E1521" s="6" t="inlineStr">
        <is>
          <t>R997848</t>
        </is>
      </c>
      <c r="F1521" s="2" t="n">
        <v>44212</v>
      </c>
      <c r="G1521" s="1" t="n"/>
    </row>
    <row r="1522">
      <c r="A1522" s="6" t="n">
        <v>38177</v>
      </c>
      <c r="B1522" s="6" t="inlineStr">
        <is>
          <t>TITO'S HANDMADE VODKA</t>
        </is>
      </c>
      <c r="C1522" s="7">
        <f>VLOOKUP(A1522,SizeData!A$2:B$3839,2,FALSE)</f>
        <v/>
      </c>
      <c r="D1522" s="6" t="n">
        <v>5</v>
      </c>
      <c r="E1522" s="6" t="inlineStr">
        <is>
          <t>R998453</t>
        </is>
      </c>
      <c r="F1522" s="2" t="n">
        <v>44212</v>
      </c>
      <c r="G1522" s="1" t="n"/>
    </row>
    <row r="1523">
      <c r="A1523" s="6" t="n">
        <v>38177</v>
      </c>
      <c r="B1523" s="6" t="inlineStr">
        <is>
          <t>TITO'S HANDMADE VODKA</t>
        </is>
      </c>
      <c r="C1523" s="7">
        <f>VLOOKUP(A1523,SizeData!A$2:B$3839,2,FALSE)</f>
        <v/>
      </c>
      <c r="D1523" s="6" t="n">
        <v>4</v>
      </c>
      <c r="E1523" s="6" t="inlineStr">
        <is>
          <t>R1084236</t>
        </is>
      </c>
      <c r="F1523" s="2" t="n">
        <v>44296</v>
      </c>
      <c r="G1523" s="1" t="n"/>
    </row>
    <row r="1524">
      <c r="A1524" s="6" t="n">
        <v>38177</v>
      </c>
      <c r="B1524" s="6" t="inlineStr">
        <is>
          <t>TITO'S HANDMADE VODKA</t>
        </is>
      </c>
      <c r="C1524" s="7">
        <f>VLOOKUP(A1524,SizeData!A$2:B$3839,2,FALSE)</f>
        <v/>
      </c>
      <c r="D1524" s="6" t="n">
        <v>2</v>
      </c>
      <c r="E1524" s="6" t="inlineStr">
        <is>
          <t>R1099905</t>
        </is>
      </c>
      <c r="F1524" s="2" t="n">
        <v>44310</v>
      </c>
      <c r="G1524" s="1" t="n"/>
    </row>
    <row r="1525">
      <c r="A1525" s="6" t="n">
        <v>38177</v>
      </c>
      <c r="B1525" s="6" t="inlineStr">
        <is>
          <t>TITO'S HANDMADE VODKA</t>
        </is>
      </c>
      <c r="C1525" s="7">
        <f>VLOOKUP(A1525,SizeData!A$2:B$3839,2,FALSE)</f>
        <v/>
      </c>
      <c r="D1525" s="6" t="n">
        <v>5</v>
      </c>
      <c r="E1525" s="6" t="inlineStr">
        <is>
          <t>R1167188</t>
        </is>
      </c>
      <c r="F1525" s="2" t="n">
        <v>44379</v>
      </c>
      <c r="G1525" s="1" t="n"/>
    </row>
    <row r="1526">
      <c r="A1526" s="6" t="n">
        <v>38177</v>
      </c>
      <c r="B1526" s="6" t="inlineStr">
        <is>
          <t>TITO'S HANDMADE VODKA</t>
        </is>
      </c>
      <c r="C1526" s="7">
        <f>VLOOKUP(A1526,SizeData!A$2:B$3839,2,FALSE)</f>
        <v/>
      </c>
      <c r="D1526" s="6" t="n">
        <v>0</v>
      </c>
      <c r="E1526" s="6" t="inlineStr">
        <is>
          <t>R1253669</t>
        </is>
      </c>
      <c r="F1526" s="2" t="n">
        <v>44471</v>
      </c>
      <c r="G1526" s="1" t="n"/>
    </row>
    <row r="1527">
      <c r="A1527" s="6" t="n">
        <v>38177</v>
      </c>
      <c r="B1527" s="6" t="inlineStr">
        <is>
          <t>TITO'S HANDMADE VODKA</t>
        </is>
      </c>
      <c r="C1527" s="7">
        <f>VLOOKUP(A1527,SizeData!A$2:B$3839,2,FALSE)</f>
        <v/>
      </c>
      <c r="D1527" s="6" t="n">
        <v>0</v>
      </c>
      <c r="E1527" s="6" t="inlineStr">
        <is>
          <t>R1264756</t>
        </is>
      </c>
      <c r="F1527" s="2" t="n">
        <v>44472</v>
      </c>
      <c r="G1527" s="1" t="n"/>
    </row>
    <row r="1528">
      <c r="A1528" s="6" t="n">
        <v>38177</v>
      </c>
      <c r="B1528" s="6" t="inlineStr">
        <is>
          <t>TITO'S HANDMADE VODKA</t>
        </is>
      </c>
      <c r="C1528" s="7">
        <f>VLOOKUP(A1528,SizeData!A$2:B$3839,2,FALSE)</f>
        <v/>
      </c>
      <c r="D1528" s="6" t="n">
        <v>3</v>
      </c>
      <c r="E1528" s="6" t="inlineStr">
        <is>
          <t>R1297265</t>
        </is>
      </c>
      <c r="F1528" s="2" t="n">
        <v>44495</v>
      </c>
      <c r="G1528" s="1" t="n"/>
    </row>
    <row r="1529">
      <c r="A1529" s="6" t="n">
        <v>38178</v>
      </c>
      <c r="B1529" s="6" t="inlineStr">
        <is>
          <t>TITO'S HANDMADE VODKA</t>
        </is>
      </c>
      <c r="C1529" s="7">
        <f>VLOOKUP(A1529,SizeData!A$2:B$3839,2,FALSE)</f>
        <v/>
      </c>
      <c r="D1529" s="6" t="n">
        <v>24</v>
      </c>
      <c r="E1529" s="6" t="inlineStr">
        <is>
          <t>R1034835</t>
        </is>
      </c>
      <c r="F1529" s="2" t="n">
        <v>44254</v>
      </c>
      <c r="G1529" s="1" t="n"/>
    </row>
    <row r="1530">
      <c r="A1530" s="6" t="n">
        <v>38178</v>
      </c>
      <c r="B1530" s="6" t="inlineStr">
        <is>
          <t>TITO'S HANDMADE VODKA</t>
        </is>
      </c>
      <c r="C1530" s="7">
        <f>VLOOKUP(A1530,SizeData!A$2:B$3839,2,FALSE)</f>
        <v/>
      </c>
      <c r="D1530" s="6" t="n">
        <v>5</v>
      </c>
      <c r="E1530" s="6" t="inlineStr">
        <is>
          <t>R1127639</t>
        </is>
      </c>
      <c r="F1530" s="2" t="n">
        <v>44341</v>
      </c>
      <c r="G1530" s="1" t="n"/>
    </row>
    <row r="1531">
      <c r="A1531" s="6" t="n">
        <v>38178</v>
      </c>
      <c r="B1531" s="6" t="inlineStr">
        <is>
          <t>TITO'S HANDMADE VODKA</t>
        </is>
      </c>
      <c r="C1531" s="7">
        <f>VLOOKUP(A1531,SizeData!A$2:B$3839,2,FALSE)</f>
        <v/>
      </c>
      <c r="D1531" s="6" t="n">
        <v>11</v>
      </c>
      <c r="E1531" s="6" t="inlineStr">
        <is>
          <t>R1189249</t>
        </is>
      </c>
      <c r="F1531" s="2" t="n">
        <v>44410</v>
      </c>
      <c r="G1531" s="1" t="n"/>
    </row>
    <row r="1532">
      <c r="A1532" s="6" t="n">
        <v>38178</v>
      </c>
      <c r="B1532" s="6" t="inlineStr">
        <is>
          <t>TITO'S HANDMADE VODKA</t>
        </is>
      </c>
      <c r="C1532" s="7">
        <f>VLOOKUP(A1532,SizeData!A$2:B$3839,2,FALSE)</f>
        <v/>
      </c>
      <c r="D1532" s="6" t="n">
        <v>3</v>
      </c>
      <c r="E1532" s="6" t="inlineStr">
        <is>
          <t>R1204006</t>
        </is>
      </c>
      <c r="F1532" s="2" t="n">
        <v>44415</v>
      </c>
      <c r="G1532" s="1" t="n"/>
    </row>
    <row r="1533">
      <c r="A1533" s="6" t="n">
        <v>38178</v>
      </c>
      <c r="B1533" s="6" t="inlineStr">
        <is>
          <t>TITO'S HANDMADE VODKA</t>
        </is>
      </c>
      <c r="C1533" s="7">
        <f>VLOOKUP(A1533,SizeData!A$2:B$3839,2,FALSE)</f>
        <v/>
      </c>
      <c r="D1533" s="6" t="n">
        <v>1</v>
      </c>
      <c r="E1533" s="6" t="inlineStr">
        <is>
          <t>R1206028</t>
        </is>
      </c>
      <c r="F1533" s="2" t="n">
        <v>44417</v>
      </c>
      <c r="G1533" s="1" t="n"/>
    </row>
    <row r="1534">
      <c r="A1534" s="6" t="n">
        <v>38178</v>
      </c>
      <c r="B1534" s="6" t="inlineStr">
        <is>
          <t>TITO'S HANDMADE VODKA</t>
        </is>
      </c>
      <c r="C1534" s="7">
        <f>VLOOKUP(A1534,SizeData!A$2:B$3839,2,FALSE)</f>
        <v/>
      </c>
      <c r="D1534" s="6" t="n">
        <v>3</v>
      </c>
      <c r="E1534" s="6" t="inlineStr">
        <is>
          <t>R1217867</t>
        </is>
      </c>
      <c r="F1534" s="2" t="n">
        <v>44435</v>
      </c>
      <c r="G1534" s="1" t="n"/>
    </row>
    <row r="1535">
      <c r="A1535" s="6" t="n">
        <v>38178</v>
      </c>
      <c r="B1535" s="6" t="inlineStr">
        <is>
          <t>TITO'S HANDMADE VODKA</t>
        </is>
      </c>
      <c r="C1535" s="7">
        <f>VLOOKUP(A1535,SizeData!A$2:B$3839,2,FALSE)</f>
        <v/>
      </c>
      <c r="D1535" s="6" t="n">
        <v>22</v>
      </c>
      <c r="E1535" s="6" t="inlineStr">
        <is>
          <t>R1293256</t>
        </is>
      </c>
      <c r="F1535" s="2" t="n">
        <v>44501</v>
      </c>
      <c r="G1535" s="1" t="n"/>
    </row>
    <row r="1536">
      <c r="A1536" s="6" t="n">
        <v>38178</v>
      </c>
      <c r="B1536" s="6" t="inlineStr">
        <is>
          <t>TITO'S HANDMADE VODKA</t>
        </is>
      </c>
      <c r="C1536" s="7">
        <f>VLOOKUP(A1536,SizeData!A$2:B$3839,2,FALSE)</f>
        <v/>
      </c>
      <c r="D1536" s="6" t="n">
        <v>5</v>
      </c>
      <c r="E1536" s="6" t="inlineStr">
        <is>
          <t>R1304810</t>
        </is>
      </c>
      <c r="F1536" s="2" t="n">
        <v>44501</v>
      </c>
      <c r="G1536" s="1" t="n"/>
    </row>
    <row r="1537">
      <c r="A1537" s="6" t="n">
        <v>38178</v>
      </c>
      <c r="B1537" s="6" t="inlineStr">
        <is>
          <t>TITO'S HANDMADE VODKA</t>
        </is>
      </c>
      <c r="C1537" s="7">
        <f>VLOOKUP(A1537,SizeData!A$2:B$3839,2,FALSE)</f>
        <v/>
      </c>
      <c r="D1537" s="6" t="n">
        <v>3</v>
      </c>
      <c r="E1537" s="6" t="inlineStr">
        <is>
          <t>R1301983</t>
        </is>
      </c>
      <c r="F1537" s="2" t="n">
        <v>44501</v>
      </c>
      <c r="G1537" s="1" t="n"/>
    </row>
    <row r="1538">
      <c r="A1538" s="6" t="n">
        <v>38179</v>
      </c>
      <c r="B1538" s="6" t="inlineStr">
        <is>
          <t>TITO'S HANDMADE VODKA</t>
        </is>
      </c>
      <c r="C1538" s="7">
        <f>VLOOKUP(A1538,SizeData!A$2:B$3839,2,FALSE)</f>
        <v/>
      </c>
      <c r="D1538" s="6" t="n">
        <v>1</v>
      </c>
      <c r="E1538" s="6" t="inlineStr">
        <is>
          <t>R984731</t>
        </is>
      </c>
      <c r="F1538" s="2" t="n">
        <v>44197</v>
      </c>
      <c r="G1538" s="1" t="n"/>
    </row>
    <row r="1539">
      <c r="A1539" s="6" t="n">
        <v>38179</v>
      </c>
      <c r="B1539" s="6" t="inlineStr">
        <is>
          <t>TITO'S HANDMADE VODKA</t>
        </is>
      </c>
      <c r="C1539" s="7">
        <f>VLOOKUP(A1539,SizeData!A$2:B$3839,2,FALSE)</f>
        <v/>
      </c>
      <c r="D1539" s="6" t="n">
        <v>1</v>
      </c>
      <c r="E1539" s="6" t="inlineStr">
        <is>
          <t>R1015058</t>
        </is>
      </c>
      <c r="F1539" s="2" t="n">
        <v>44217</v>
      </c>
      <c r="G1539" s="1" t="n"/>
    </row>
    <row r="1540">
      <c r="A1540" s="6" t="n">
        <v>38179</v>
      </c>
      <c r="B1540" s="6" t="inlineStr">
        <is>
          <t>TITO'S HANDMADE VODKA</t>
        </is>
      </c>
      <c r="C1540" s="7">
        <f>VLOOKUP(A1540,SizeData!A$2:B$3839,2,FALSE)</f>
        <v/>
      </c>
      <c r="D1540" s="6" t="n">
        <v>1</v>
      </c>
      <c r="E1540" s="6" t="inlineStr">
        <is>
          <t>R1154324</t>
        </is>
      </c>
      <c r="F1540" s="2" t="n">
        <v>44378</v>
      </c>
      <c r="G1540" s="1" t="n"/>
    </row>
    <row r="1541">
      <c r="A1541" s="6" t="n">
        <v>38179</v>
      </c>
      <c r="B1541" s="6" t="inlineStr">
        <is>
          <t>TITO'S HANDMADE VODKA</t>
        </is>
      </c>
      <c r="C1541" s="7">
        <f>VLOOKUP(A1541,SizeData!A$2:B$3839,2,FALSE)</f>
        <v/>
      </c>
      <c r="D1541" s="6" t="n">
        <v>1</v>
      </c>
      <c r="E1541" s="6" t="inlineStr">
        <is>
          <t xml:space="preserve"> R1175279</t>
        </is>
      </c>
      <c r="F1541" s="2" t="n">
        <v>44382</v>
      </c>
      <c r="G1541" s="1" t="n"/>
    </row>
    <row r="1542">
      <c r="A1542" s="6" t="n">
        <v>38179</v>
      </c>
      <c r="B1542" s="6" t="inlineStr">
        <is>
          <t>TITO'S HANDMADE VODKA</t>
        </is>
      </c>
      <c r="C1542" s="7">
        <f>VLOOKUP(A1542,SizeData!A$2:B$3839,2,FALSE)</f>
        <v/>
      </c>
      <c r="D1542" s="6" t="n">
        <v>1</v>
      </c>
      <c r="E1542" s="6" t="inlineStr">
        <is>
          <t>R1262670</t>
        </is>
      </c>
      <c r="F1542" s="2" t="n">
        <v>44470</v>
      </c>
      <c r="G1542" s="1" t="n"/>
    </row>
    <row r="1543">
      <c r="A1543" s="6" t="n">
        <v>38179</v>
      </c>
      <c r="B1543" s="6" t="inlineStr">
        <is>
          <t>TITO'S HANDMADE VODKA</t>
        </is>
      </c>
      <c r="C1543" s="7">
        <f>VLOOKUP(A1543,SizeData!A$2:B$3839,2,FALSE)</f>
        <v/>
      </c>
      <c r="D1543" s="6" t="n">
        <v>2</v>
      </c>
      <c r="E1543" s="6" t="inlineStr">
        <is>
          <t>R1264756</t>
        </is>
      </c>
      <c r="F1543" s="2" t="n">
        <v>44472</v>
      </c>
      <c r="G1543" s="1" t="n"/>
    </row>
    <row r="1544">
      <c r="A1544" s="6" t="n">
        <v>38179</v>
      </c>
      <c r="B1544" s="6" t="inlineStr">
        <is>
          <t>TITO'S HANDMADE VODKA</t>
        </is>
      </c>
      <c r="C1544" s="7">
        <f>VLOOKUP(A1544,SizeData!A$2:B$3839,2,FALSE)</f>
        <v/>
      </c>
      <c r="D1544" s="6" t="n">
        <v>3</v>
      </c>
      <c r="E1544" s="6" t="inlineStr">
        <is>
          <t>R1272603</t>
        </is>
      </c>
      <c r="F1544" s="2" t="n">
        <v>44473</v>
      </c>
      <c r="G1544" s="1" t="n"/>
    </row>
    <row r="1545">
      <c r="A1545" s="6" t="n">
        <v>38180</v>
      </c>
      <c r="B1545" s="6" t="inlineStr">
        <is>
          <t>TITO'S HANDMADE VODKA</t>
        </is>
      </c>
      <c r="C1545" s="7">
        <f>VLOOKUP(A1545,SizeData!A$2:B$3839,2,FALSE)</f>
        <v/>
      </c>
      <c r="D1545" s="6" t="n">
        <v>5</v>
      </c>
      <c r="E1545" s="6" t="inlineStr">
        <is>
          <t>R1092837</t>
        </is>
      </c>
      <c r="F1545" s="2" t="n">
        <v>44299</v>
      </c>
      <c r="G1545" s="1" t="n"/>
    </row>
    <row r="1546">
      <c r="A1546" s="6" t="n">
        <v>38194</v>
      </c>
      <c r="B1546" s="6" t="inlineStr">
        <is>
          <t>TITO'S HANDMADE VODKA</t>
        </is>
      </c>
      <c r="C1546" s="7">
        <f>VLOOKUP(A1546,SizeData!A$2:B$3839,2,FALSE)</f>
        <v/>
      </c>
      <c r="D1546" s="6" t="n">
        <v>4</v>
      </c>
      <c r="E1546" s="6" t="inlineStr">
        <is>
          <t>R1174179</t>
        </is>
      </c>
      <c r="F1546" s="2" t="n">
        <v>44397</v>
      </c>
      <c r="G1546" s="1" t="n"/>
    </row>
    <row r="1547">
      <c r="A1547" s="6" t="n">
        <v>38194</v>
      </c>
      <c r="B1547" s="6" t="inlineStr">
        <is>
          <t>TITO'S HANDMADE VODKA</t>
        </is>
      </c>
      <c r="C1547" s="7">
        <f>VLOOKUP(A1547,SizeData!A$2:B$3839,2,FALSE)</f>
        <v/>
      </c>
      <c r="D1547" s="6" t="n">
        <v>8</v>
      </c>
      <c r="E1547" s="6" t="inlineStr">
        <is>
          <t>R1306125</t>
        </is>
      </c>
      <c r="F1547" s="2" t="n">
        <v>44495</v>
      </c>
      <c r="G1547" s="1" t="n"/>
    </row>
    <row r="1548">
      <c r="A1548" s="6" t="n">
        <v>38516</v>
      </c>
      <c r="B1548" s="6" t="inlineStr">
        <is>
          <t>WHEATLEY VODKA</t>
        </is>
      </c>
      <c r="C1548" s="7">
        <f>VLOOKUP(A1548,SizeData!A$2:B$3839,2,FALSE)</f>
        <v/>
      </c>
      <c r="D1548" s="6" t="n">
        <v>1</v>
      </c>
      <c r="E1548" s="6" t="inlineStr">
        <is>
          <t>R984731</t>
        </is>
      </c>
      <c r="F1548" s="2" t="n">
        <v>44197</v>
      </c>
      <c r="G1548" s="1" t="n"/>
    </row>
    <row r="1549">
      <c r="A1549" s="6" t="n">
        <v>39382</v>
      </c>
      <c r="B1549" s="6" t="inlineStr">
        <is>
          <t>NEW AMSTERDAM VODKA PINK WHITNEY</t>
        </is>
      </c>
      <c r="C1549" s="7">
        <f>VLOOKUP(A1549,SizeData!A$2:B$3839,2,FALSE)</f>
        <v/>
      </c>
      <c r="D1549" s="6" t="n">
        <v>5</v>
      </c>
      <c r="E1549" s="6" t="inlineStr">
        <is>
          <t>R1033132</t>
        </is>
      </c>
      <c r="F1549" s="2" t="n">
        <v>44249</v>
      </c>
      <c r="G1549" s="1" t="n"/>
    </row>
    <row r="1550">
      <c r="A1550" s="6" t="n">
        <v>39382</v>
      </c>
      <c r="B1550" s="6" t="inlineStr">
        <is>
          <t>NEW AMSTERDAM VODKA PINK WHITNEY</t>
        </is>
      </c>
      <c r="C1550" s="7">
        <f>VLOOKUP(A1550,SizeData!A$2:B$3839,2,FALSE)</f>
        <v/>
      </c>
      <c r="D1550" s="6" t="n">
        <v>15</v>
      </c>
      <c r="E1550" s="6" t="inlineStr">
        <is>
          <t>R1066712</t>
        </is>
      </c>
      <c r="F1550" s="2" t="n">
        <v>44268</v>
      </c>
      <c r="G1550" s="1" t="n"/>
    </row>
    <row r="1551">
      <c r="A1551" s="6" t="n">
        <v>39382</v>
      </c>
      <c r="B1551" s="6" t="inlineStr">
        <is>
          <t>NEW AMSTERDAM VODKA PINK WHITNEY</t>
        </is>
      </c>
      <c r="C1551" s="7">
        <f>VLOOKUP(A1551,SizeData!A$2:B$3839,2,FALSE)</f>
        <v/>
      </c>
      <c r="D1551" s="6" t="n">
        <v>2</v>
      </c>
      <c r="E1551" s="6" t="inlineStr">
        <is>
          <t>R1152585</t>
        </is>
      </c>
      <c r="F1551" s="2" t="n">
        <v>44372</v>
      </c>
      <c r="G1551" s="1" t="n"/>
    </row>
    <row r="1552">
      <c r="A1552" s="6" t="n">
        <v>39382</v>
      </c>
      <c r="B1552" s="6" t="inlineStr">
        <is>
          <t>NEW AMSTERDAM VODKA PINK WHITNEY</t>
        </is>
      </c>
      <c r="C1552" s="7">
        <f>VLOOKUP(A1552,SizeData!A$2:B$3839,2,FALSE)</f>
        <v/>
      </c>
      <c r="D1552" s="6" t="n">
        <v>5</v>
      </c>
      <c r="E1552" s="6" t="inlineStr">
        <is>
          <t>R1241453</t>
        </is>
      </c>
      <c r="F1552" s="2" t="n">
        <v>44448</v>
      </c>
      <c r="G1552" s="1" t="n"/>
    </row>
    <row r="1553">
      <c r="A1553" s="6" t="n">
        <v>39382</v>
      </c>
      <c r="B1553" s="6" t="inlineStr">
        <is>
          <t>NEW AMSTERDAM VODKA PINK WHITNEY</t>
        </is>
      </c>
      <c r="C1553" s="7">
        <f>VLOOKUP(A1553,SizeData!A$2:B$3839,2,FALSE)</f>
        <v/>
      </c>
      <c r="D1553" s="6" t="n">
        <v>4</v>
      </c>
      <c r="E1553" s="6" t="inlineStr">
        <is>
          <t>R1360132</t>
        </is>
      </c>
      <c r="F1553" s="2" t="n">
        <v>44532</v>
      </c>
      <c r="G1553" s="1" t="n"/>
    </row>
    <row r="1554">
      <c r="A1554" s="6" t="n">
        <v>39417</v>
      </c>
      <c r="B1554" s="6" t="inlineStr">
        <is>
          <t>NEW AMSTERDAM VODKA WATERMELON</t>
        </is>
      </c>
      <c r="C1554" s="7">
        <f>VLOOKUP(A1554,SizeData!A$2:B$3839,2,FALSE)</f>
        <v/>
      </c>
      <c r="D1554" s="6" t="n">
        <v>1</v>
      </c>
      <c r="E1554" s="6" t="inlineStr">
        <is>
          <t>R1015058</t>
        </is>
      </c>
      <c r="F1554" s="2" t="n">
        <v>44217</v>
      </c>
      <c r="G1554" s="1" t="n"/>
    </row>
    <row r="1555">
      <c r="A1555" s="6" t="n">
        <v>39417</v>
      </c>
      <c r="B1555" s="6" t="inlineStr">
        <is>
          <t>NEW AMSTERDAM VODKA WATERMELON</t>
        </is>
      </c>
      <c r="C1555" s="7">
        <f>VLOOKUP(A1555,SizeData!A$2:B$3839,2,FALSE)</f>
        <v/>
      </c>
      <c r="D1555" s="6" t="n">
        <v>1</v>
      </c>
      <c r="E1555" s="6" t="inlineStr">
        <is>
          <t>R1126618</t>
        </is>
      </c>
      <c r="F1555" s="2" t="n">
        <v>44326</v>
      </c>
      <c r="G1555" s="1" t="n"/>
    </row>
    <row r="1556">
      <c r="A1556" s="6" t="n">
        <v>39417</v>
      </c>
      <c r="B1556" s="6" t="inlineStr">
        <is>
          <t>NEW AMSTERDAM VODKA WATERMELON</t>
        </is>
      </c>
      <c r="C1556" s="7">
        <f>VLOOKUP(A1556,SizeData!A$2:B$3839,2,FALSE)</f>
        <v/>
      </c>
      <c r="D1556" s="6" t="n">
        <v>1</v>
      </c>
      <c r="E1556" s="6" t="inlineStr">
        <is>
          <t>R1127639</t>
        </is>
      </c>
      <c r="F1556" s="2" t="n">
        <v>44341</v>
      </c>
      <c r="G1556" s="1" t="n"/>
    </row>
    <row r="1557">
      <c r="A1557" s="6" t="n">
        <v>39417</v>
      </c>
      <c r="B1557" s="6" t="inlineStr">
        <is>
          <t>NEW AMSTERDAM VODKA WATERMELON</t>
        </is>
      </c>
      <c r="C1557" s="7">
        <f>VLOOKUP(A1557,SizeData!A$2:B$3839,2,FALSE)</f>
        <v/>
      </c>
      <c r="D1557" s="6" t="n">
        <v>1</v>
      </c>
      <c r="E1557" s="6" t="inlineStr">
        <is>
          <t>R1159919</t>
        </is>
      </c>
      <c r="F1557" s="2" t="n">
        <v>44370</v>
      </c>
      <c r="G1557" s="1" t="n"/>
    </row>
    <row r="1558">
      <c r="A1558" s="6" t="n">
        <v>39417</v>
      </c>
      <c r="B1558" s="6" t="inlineStr">
        <is>
          <t>NEW AMSTERDAM VODKA WATERMELON</t>
        </is>
      </c>
      <c r="C1558" s="7">
        <f>VLOOKUP(A1558,SizeData!A$2:B$3839,2,FALSE)</f>
        <v/>
      </c>
      <c r="D1558" s="6" t="n">
        <v>1</v>
      </c>
      <c r="E1558" s="6" t="inlineStr">
        <is>
          <t xml:space="preserve"> R1163539</t>
        </is>
      </c>
      <c r="F1558" s="2" t="n">
        <v>44378</v>
      </c>
      <c r="G1558" s="1" t="n"/>
    </row>
    <row r="1559">
      <c r="A1559" s="6" t="n">
        <v>39417</v>
      </c>
      <c r="B1559" s="6" t="inlineStr">
        <is>
          <t>NEW AMSTERDAM VODKA WATERMELON</t>
        </is>
      </c>
      <c r="C1559" s="7">
        <f>VLOOKUP(A1559,SizeData!A$2:B$3839,2,FALSE)</f>
        <v/>
      </c>
      <c r="D1559" s="6" t="n">
        <v>1</v>
      </c>
      <c r="E1559" s="6" t="inlineStr">
        <is>
          <t>R1192528</t>
        </is>
      </c>
      <c r="F1559" s="2" t="n">
        <v>44404</v>
      </c>
      <c r="G1559" s="1" t="n"/>
    </row>
    <row r="1560">
      <c r="A1560" s="6" t="n">
        <v>39417</v>
      </c>
      <c r="B1560" s="6" t="inlineStr">
        <is>
          <t>NEW AMSTERDAM VODKA WATERMELON</t>
        </is>
      </c>
      <c r="C1560" s="7">
        <f>VLOOKUP(A1560,SizeData!A$2:B$3839,2,FALSE)</f>
        <v/>
      </c>
      <c r="D1560" s="6" t="n">
        <v>1</v>
      </c>
      <c r="E1560" s="6" t="inlineStr">
        <is>
          <t>R1192063</t>
        </is>
      </c>
      <c r="F1560" s="2" t="n">
        <v>44408</v>
      </c>
      <c r="G1560" s="1" t="n"/>
    </row>
    <row r="1561">
      <c r="A1561" s="6" t="n">
        <v>39417</v>
      </c>
      <c r="B1561" s="6" t="inlineStr">
        <is>
          <t>NEW AMSTERDAM VODKA WATERMELON</t>
        </is>
      </c>
      <c r="C1561" s="7">
        <f>VLOOKUP(A1561,SizeData!A$2:B$3839,2,FALSE)</f>
        <v/>
      </c>
      <c r="D1561" s="6" t="n">
        <v>2</v>
      </c>
      <c r="E1561" s="6" t="inlineStr">
        <is>
          <t>R1226354</t>
        </is>
      </c>
      <c r="F1561" s="2" t="n">
        <v>44434</v>
      </c>
      <c r="G1561" s="1" t="n"/>
    </row>
    <row r="1562">
      <c r="A1562" s="6" t="n">
        <v>39417</v>
      </c>
      <c r="B1562" s="6" t="inlineStr">
        <is>
          <t>NEW AMSTERDAM VODKA WATERMELON</t>
        </is>
      </c>
      <c r="C1562" s="7">
        <f>VLOOKUP(A1562,SizeData!A$2:B$3839,2,FALSE)</f>
        <v/>
      </c>
      <c r="D1562" s="6" t="n">
        <v>1</v>
      </c>
      <c r="E1562" s="6" t="inlineStr">
        <is>
          <t>R1264995</t>
        </is>
      </c>
      <c r="F1562" s="2" t="n">
        <v>44475</v>
      </c>
      <c r="G1562" s="1" t="n"/>
    </row>
    <row r="1563">
      <c r="A1563" s="6" t="n">
        <v>39417</v>
      </c>
      <c r="B1563" s="6" t="inlineStr">
        <is>
          <t>NEW AMSTERDAM VODKA WATERMELON</t>
        </is>
      </c>
      <c r="C1563" s="7">
        <f>VLOOKUP(A1563,SizeData!A$2:B$3839,2,FALSE)</f>
        <v/>
      </c>
      <c r="D1563" s="6" t="n">
        <v>1</v>
      </c>
      <c r="E1563" s="6" t="inlineStr">
        <is>
          <t>R1277917</t>
        </is>
      </c>
      <c r="F1563" s="2" t="n">
        <v>44481</v>
      </c>
      <c r="G1563" s="1" t="n"/>
    </row>
    <row r="1564">
      <c r="A1564" s="6" t="n">
        <v>39420</v>
      </c>
      <c r="B1564" s="6" t="inlineStr">
        <is>
          <t>NEW AMSTERDAM VODKA WATERMELON</t>
        </is>
      </c>
      <c r="C1564" s="7">
        <f>VLOOKUP(A1564,SizeData!A$2:B$3839,2,FALSE)</f>
        <v/>
      </c>
      <c r="D1564" s="6" t="n">
        <v>1</v>
      </c>
      <c r="E1564" s="6" t="inlineStr">
        <is>
          <t>R1015058</t>
        </is>
      </c>
      <c r="F1564" s="2" t="n">
        <v>44217</v>
      </c>
      <c r="G1564" s="1" t="n"/>
    </row>
    <row r="1565">
      <c r="A1565" s="6" t="n">
        <v>39420</v>
      </c>
      <c r="B1565" s="6" t="inlineStr">
        <is>
          <t>NEW AMSTERDAM VODKA WATERMELON</t>
        </is>
      </c>
      <c r="C1565" s="7">
        <f>VLOOKUP(A1565,SizeData!A$2:B$3839,2,FALSE)</f>
        <v/>
      </c>
      <c r="D1565" s="6" t="n">
        <v>1</v>
      </c>
      <c r="E1565" s="6" t="inlineStr">
        <is>
          <t>R1152918</t>
        </is>
      </c>
      <c r="F1565" s="2" t="n">
        <v>44368</v>
      </c>
      <c r="G1565" s="1" t="n"/>
    </row>
    <row r="1566">
      <c r="A1566" s="6" t="n">
        <v>39420</v>
      </c>
      <c r="B1566" s="6" t="inlineStr">
        <is>
          <t>NEW AMSTERDAM VODKA WATERMELON</t>
        </is>
      </c>
      <c r="C1566" s="7">
        <f>VLOOKUP(A1566,SizeData!A$2:B$3839,2,FALSE)</f>
        <v/>
      </c>
      <c r="D1566" s="6" t="n">
        <v>1</v>
      </c>
      <c r="E1566" s="6" t="inlineStr">
        <is>
          <t>R1261664</t>
        </is>
      </c>
      <c r="F1566" s="2" t="n">
        <v>44467</v>
      </c>
      <c r="G1566" s="1" t="n"/>
    </row>
    <row r="1567">
      <c r="A1567" s="6" t="n">
        <v>39421</v>
      </c>
      <c r="B1567" s="6" t="inlineStr">
        <is>
          <t>NEW AMSTERDAM VODKA WATERMELON</t>
        </is>
      </c>
      <c r="C1567" s="7">
        <f>VLOOKUP(A1567,SizeData!A$2:B$3839,2,FALSE)</f>
        <v/>
      </c>
      <c r="D1567" s="6" t="n">
        <v>5</v>
      </c>
      <c r="E1567" s="6" t="inlineStr">
        <is>
          <t>R1025870</t>
        </is>
      </c>
      <c r="F1567" s="2" t="n">
        <v>44229</v>
      </c>
      <c r="G1567" s="1" t="n"/>
    </row>
    <row r="1568">
      <c r="A1568" s="6" t="n">
        <v>39422</v>
      </c>
      <c r="B1568" s="6" t="inlineStr">
        <is>
          <t>NEW AMSTERDAM VODKA PINK WHITNEY</t>
        </is>
      </c>
      <c r="C1568" s="7">
        <f>VLOOKUP(A1568,SizeData!A$2:B$3839,2,FALSE)</f>
        <v/>
      </c>
      <c r="D1568" s="6" t="n">
        <v>6</v>
      </c>
      <c r="E1568" s="6" t="inlineStr">
        <is>
          <t>R996759</t>
        </is>
      </c>
      <c r="F1568" s="2" t="n">
        <v>44210</v>
      </c>
      <c r="G1568" s="1" t="n"/>
    </row>
    <row r="1569">
      <c r="A1569" s="6" t="n">
        <v>39422</v>
      </c>
      <c r="B1569" s="6" t="inlineStr">
        <is>
          <t>NEW AMSTERDAM VODKA PINK WHITNEY</t>
        </is>
      </c>
      <c r="C1569" s="7">
        <f>VLOOKUP(A1569,SizeData!A$2:B$3839,2,FALSE)</f>
        <v/>
      </c>
      <c r="D1569" s="6" t="n">
        <v>10</v>
      </c>
      <c r="E1569" s="6" t="inlineStr">
        <is>
          <t>R1032045</t>
        </is>
      </c>
      <c r="F1569" s="2" t="n">
        <v>44251</v>
      </c>
      <c r="G1569" s="1" t="n"/>
    </row>
    <row r="1570">
      <c r="A1570" s="6" t="n">
        <v>39422</v>
      </c>
      <c r="B1570" s="6" t="inlineStr">
        <is>
          <t>NEW AMSTERDAM VODKA PINK WHITNEY</t>
        </is>
      </c>
      <c r="C1570" s="7">
        <f>VLOOKUP(A1570,SizeData!A$2:B$3839,2,FALSE)</f>
        <v/>
      </c>
      <c r="D1570" s="6" t="n">
        <v>2</v>
      </c>
      <c r="E1570" s="6" t="inlineStr">
        <is>
          <t>R1089290</t>
        </is>
      </c>
      <c r="F1570" s="2" t="n">
        <v>44309</v>
      </c>
      <c r="G1570" s="1" t="n"/>
    </row>
    <row r="1571">
      <c r="A1571" s="6" t="n">
        <v>39422</v>
      </c>
      <c r="B1571" s="6" t="inlineStr">
        <is>
          <t>NEW AMSTERDAM VODKA PINK WHITNEY</t>
        </is>
      </c>
      <c r="C1571" s="7">
        <f>VLOOKUP(A1571,SizeData!A$2:B$3839,2,FALSE)</f>
        <v/>
      </c>
      <c r="D1571" s="6" t="n">
        <v>1</v>
      </c>
      <c r="E1571" s="6" t="inlineStr">
        <is>
          <t>R1109607</t>
        </is>
      </c>
      <c r="F1571" s="2" t="n">
        <v>44317</v>
      </c>
      <c r="G1571" s="1" t="n"/>
    </row>
    <row r="1572">
      <c r="A1572" s="6" t="n">
        <v>39422</v>
      </c>
      <c r="B1572" s="6" t="inlineStr">
        <is>
          <t>NEW AMSTERDAM VODKA PINK WHITNEY</t>
        </is>
      </c>
      <c r="C1572" s="7">
        <f>VLOOKUP(A1572,SizeData!A$2:B$3839,2,FALSE)</f>
        <v/>
      </c>
      <c r="D1572" s="6" t="n">
        <v>1</v>
      </c>
      <c r="E1572" s="6" t="inlineStr">
        <is>
          <t xml:space="preserve"> R1125172</t>
        </is>
      </c>
      <c r="F1572" s="2" t="n">
        <v>44322</v>
      </c>
      <c r="G1572" s="1" t="n"/>
    </row>
    <row r="1573">
      <c r="A1573" s="6" t="n">
        <v>39422</v>
      </c>
      <c r="B1573" s="6" t="inlineStr">
        <is>
          <t>NEW AMSTERDAM VODKA PINK WHITNEY</t>
        </is>
      </c>
      <c r="C1573" s="7">
        <f>VLOOKUP(A1573,SizeData!A$2:B$3839,2,FALSE)</f>
        <v/>
      </c>
      <c r="D1573" s="6" t="n">
        <v>1</v>
      </c>
      <c r="E1573" s="6" t="inlineStr">
        <is>
          <t>R1114354</t>
        </is>
      </c>
      <c r="F1573" s="2" t="n">
        <v>44334</v>
      </c>
      <c r="G1573" s="1" t="n"/>
    </row>
    <row r="1574">
      <c r="A1574" s="6" t="n">
        <v>39422</v>
      </c>
      <c r="B1574" s="6" t="inlineStr">
        <is>
          <t>NEW AMSTERDAM VODKA PINK WHITNEY</t>
        </is>
      </c>
      <c r="C1574" s="7">
        <f>VLOOKUP(A1574,SizeData!A$2:B$3839,2,FALSE)</f>
        <v/>
      </c>
      <c r="D1574" s="6" t="n">
        <v>1</v>
      </c>
      <c r="E1574" s="6" t="inlineStr">
        <is>
          <t>R1136630</t>
        </is>
      </c>
      <c r="F1574" s="2" t="n">
        <v>44341</v>
      </c>
      <c r="G1574" s="1" t="n"/>
    </row>
    <row r="1575">
      <c r="A1575" s="6" t="n">
        <v>39422</v>
      </c>
      <c r="B1575" s="6" t="inlineStr">
        <is>
          <t>NEW AMSTERDAM VODKA PINK WHITNEY</t>
        </is>
      </c>
      <c r="C1575" s="7">
        <f>VLOOKUP(A1575,SizeData!A$2:B$3839,2,FALSE)</f>
        <v/>
      </c>
      <c r="D1575" s="6" t="n">
        <v>1</v>
      </c>
      <c r="E1575" s="6" t="inlineStr">
        <is>
          <t>R1127639</t>
        </is>
      </c>
      <c r="F1575" s="2" t="n">
        <v>44341</v>
      </c>
      <c r="G1575" s="1" t="n"/>
    </row>
    <row r="1576">
      <c r="A1576" s="6" t="n">
        <v>39422</v>
      </c>
      <c r="B1576" s="6" t="inlineStr">
        <is>
          <t>NEW AMSTERDAM VODKA PINK WHITNEY</t>
        </is>
      </c>
      <c r="C1576" s="7">
        <f>VLOOKUP(A1576,SizeData!A$2:B$3839,2,FALSE)</f>
        <v/>
      </c>
      <c r="D1576" s="6" t="n">
        <v>2</v>
      </c>
      <c r="E1576" s="6" t="inlineStr">
        <is>
          <t>R1142808</t>
        </is>
      </c>
      <c r="F1576" s="2" t="n">
        <v>44352</v>
      </c>
      <c r="G1576" s="1" t="n"/>
    </row>
    <row r="1577">
      <c r="A1577" s="6" t="n">
        <v>39422</v>
      </c>
      <c r="B1577" s="6" t="inlineStr">
        <is>
          <t>NEW AMSTERDAM VODKA PINK WHITNEY</t>
        </is>
      </c>
      <c r="C1577" s="7">
        <f>VLOOKUP(A1577,SizeData!A$2:B$3839,2,FALSE)</f>
        <v/>
      </c>
      <c r="D1577" s="6" t="n">
        <v>2</v>
      </c>
      <c r="E1577" s="6" t="inlineStr">
        <is>
          <t>R1137596</t>
        </is>
      </c>
      <c r="F1577" s="2" t="n">
        <v>44359</v>
      </c>
      <c r="G1577" s="1" t="n"/>
    </row>
    <row r="1578">
      <c r="A1578" s="6" t="n">
        <v>39422</v>
      </c>
      <c r="B1578" s="6" t="inlineStr">
        <is>
          <t>NEW AMSTERDAM VODKA PINK WHITNEY</t>
        </is>
      </c>
      <c r="C1578" s="7">
        <f>VLOOKUP(A1578,SizeData!A$2:B$3839,2,FALSE)</f>
        <v/>
      </c>
      <c r="D1578" s="6" t="n">
        <v>2</v>
      </c>
      <c r="E1578" s="6" t="inlineStr">
        <is>
          <t>R1150887</t>
        </is>
      </c>
      <c r="F1578" s="2" t="n">
        <v>44366</v>
      </c>
      <c r="G1578" s="1" t="n"/>
    </row>
    <row r="1579">
      <c r="A1579" s="6" t="n">
        <v>39422</v>
      </c>
      <c r="B1579" s="6" t="inlineStr">
        <is>
          <t>NEW AMSTERDAM VODKA PINK WHITNEY</t>
        </is>
      </c>
      <c r="C1579" s="7">
        <f>VLOOKUP(A1579,SizeData!A$2:B$3839,2,FALSE)</f>
        <v/>
      </c>
      <c r="D1579" s="6" t="n">
        <v>1</v>
      </c>
      <c r="E1579" s="6" t="inlineStr">
        <is>
          <t>R1171117</t>
        </is>
      </c>
      <c r="F1579" s="2" t="n">
        <v>44382</v>
      </c>
      <c r="G1579" s="1" t="n"/>
    </row>
    <row r="1580">
      <c r="A1580" s="6" t="n">
        <v>39422</v>
      </c>
      <c r="B1580" s="6" t="inlineStr">
        <is>
          <t>NEW AMSTERDAM VODKA PINK WHITNEY</t>
        </is>
      </c>
      <c r="C1580" s="7">
        <f>VLOOKUP(A1580,SizeData!A$2:B$3839,2,FALSE)</f>
        <v/>
      </c>
      <c r="D1580" s="6" t="n">
        <v>1</v>
      </c>
      <c r="E1580" s="6" t="inlineStr">
        <is>
          <t>R1173671</t>
        </is>
      </c>
      <c r="F1580" s="2" t="n">
        <v>44394</v>
      </c>
      <c r="G1580" s="1" t="n"/>
    </row>
    <row r="1581">
      <c r="A1581" s="6" t="n">
        <v>39422</v>
      </c>
      <c r="B1581" s="6" t="inlineStr">
        <is>
          <t>NEW AMSTERDAM VODKA PINK WHITNEY</t>
        </is>
      </c>
      <c r="C1581" s="7">
        <f>VLOOKUP(A1581,SizeData!A$2:B$3839,2,FALSE)</f>
        <v/>
      </c>
      <c r="D1581" s="6" t="n">
        <v>2</v>
      </c>
      <c r="E1581" s="6" t="inlineStr">
        <is>
          <t>R1192063</t>
        </is>
      </c>
      <c r="F1581" s="2" t="n">
        <v>44408</v>
      </c>
      <c r="G1581" s="1" t="n"/>
    </row>
    <row r="1582">
      <c r="A1582" s="6" t="n">
        <v>39422</v>
      </c>
      <c r="B1582" s="6" t="inlineStr">
        <is>
          <t>NEW AMSTERDAM VODKA PINK WHITNEY</t>
        </is>
      </c>
      <c r="C1582" s="7">
        <f>VLOOKUP(A1582,SizeData!A$2:B$3839,2,FALSE)</f>
        <v/>
      </c>
      <c r="D1582" s="6" t="n">
        <v>2</v>
      </c>
      <c r="E1582" s="6" t="inlineStr">
        <is>
          <t>R1203013</t>
        </is>
      </c>
      <c r="F1582" s="2" t="n">
        <v>44413</v>
      </c>
      <c r="G1582" s="1" t="n"/>
    </row>
    <row r="1583">
      <c r="A1583" s="6" t="n">
        <v>39422</v>
      </c>
      <c r="B1583" s="6" t="inlineStr">
        <is>
          <t>NEW AMSTERDAM VODKA PINK WHITNEY</t>
        </is>
      </c>
      <c r="C1583" s="7">
        <f>VLOOKUP(A1583,SizeData!A$2:B$3839,2,FALSE)</f>
        <v/>
      </c>
      <c r="D1583" s="6" t="n">
        <v>4</v>
      </c>
      <c r="E1583" s="6" t="inlineStr">
        <is>
          <t>R1206438</t>
        </is>
      </c>
      <c r="F1583" s="2" t="n">
        <v>44417</v>
      </c>
      <c r="G1583" s="1" t="n"/>
    </row>
    <row r="1584">
      <c r="A1584" s="6" t="n">
        <v>39422</v>
      </c>
      <c r="B1584" s="6" t="inlineStr">
        <is>
          <t>NEW AMSTERDAM VODKA PINK WHITNEY</t>
        </is>
      </c>
      <c r="C1584" s="7">
        <f>VLOOKUP(A1584,SizeData!A$2:B$3839,2,FALSE)</f>
        <v/>
      </c>
      <c r="D1584" s="6" t="n">
        <v>2</v>
      </c>
      <c r="E1584" s="6" t="inlineStr">
        <is>
          <t>R1209774</t>
        </is>
      </c>
      <c r="F1584" s="2" t="n">
        <v>44433</v>
      </c>
      <c r="G1584" s="1" t="n"/>
    </row>
    <row r="1585">
      <c r="A1585" s="6" t="n">
        <v>39422</v>
      </c>
      <c r="B1585" s="6" t="inlineStr">
        <is>
          <t>NEW AMSTERDAM VODKA PINK WHITNEY</t>
        </is>
      </c>
      <c r="C1585" s="7">
        <f>VLOOKUP(A1585,SizeData!A$2:B$3839,2,FALSE)</f>
        <v/>
      </c>
      <c r="D1585" s="6" t="n">
        <v>2</v>
      </c>
      <c r="E1585" s="6" t="inlineStr">
        <is>
          <t>R1236179</t>
        </is>
      </c>
      <c r="F1585" s="2" t="n">
        <v>44443</v>
      </c>
      <c r="G1585" s="1" t="n"/>
    </row>
    <row r="1586">
      <c r="A1586" s="6" t="n">
        <v>39422</v>
      </c>
      <c r="B1586" s="6" t="inlineStr">
        <is>
          <t>NEW AMSTERDAM VODKA PINK WHITNEY</t>
        </is>
      </c>
      <c r="C1586" s="7">
        <f>VLOOKUP(A1586,SizeData!A$2:B$3839,2,FALSE)</f>
        <v/>
      </c>
      <c r="D1586" s="6" t="n">
        <v>6</v>
      </c>
      <c r="E1586" s="6" t="inlineStr">
        <is>
          <t>R1258219</t>
        </is>
      </c>
      <c r="F1586" s="2" t="n">
        <v>44462</v>
      </c>
      <c r="G1586" s="1" t="n"/>
    </row>
    <row r="1587">
      <c r="A1587" s="6" t="n">
        <v>39422</v>
      </c>
      <c r="B1587" s="6" t="inlineStr">
        <is>
          <t>NEW AMSTERDAM VODKA PINK WHITNEY</t>
        </is>
      </c>
      <c r="C1587" s="7">
        <f>VLOOKUP(A1587,SizeData!A$2:B$3839,2,FALSE)</f>
        <v/>
      </c>
      <c r="D1587" s="6" t="n">
        <v>3</v>
      </c>
      <c r="E1587" s="6" t="inlineStr">
        <is>
          <t>R1296060</t>
        </is>
      </c>
      <c r="F1587" s="2" t="n">
        <v>44491</v>
      </c>
      <c r="G1587" s="1" t="n"/>
    </row>
    <row r="1588">
      <c r="A1588" s="6" t="n">
        <v>39422</v>
      </c>
      <c r="B1588" s="6" t="inlineStr">
        <is>
          <t>NEW AMSTERDAM VODKA PINK WHITNEY</t>
        </is>
      </c>
      <c r="C1588" s="7">
        <f>VLOOKUP(A1588,SizeData!A$2:B$3839,2,FALSE)</f>
        <v/>
      </c>
      <c r="D1588" s="6" t="n">
        <v>10</v>
      </c>
      <c r="E1588" s="6" t="inlineStr">
        <is>
          <t>R1327983</t>
        </is>
      </c>
      <c r="F1588" s="2" t="n">
        <v>44523</v>
      </c>
      <c r="G1588" s="1" t="n"/>
    </row>
    <row r="1589">
      <c r="A1589" s="6" t="n">
        <v>39492</v>
      </c>
      <c r="B1589" s="6" t="inlineStr">
        <is>
          <t>NEW AMSTERDAM VODKA PINK WHITNEY</t>
        </is>
      </c>
      <c r="C1589" s="7">
        <f>VLOOKUP(A1589,SizeData!A$2:B$3839,2,FALSE)</f>
        <v/>
      </c>
      <c r="D1589" s="6" t="n">
        <v>2</v>
      </c>
      <c r="E1589" s="6" t="inlineStr">
        <is>
          <t>R992402</t>
        </is>
      </c>
      <c r="F1589" s="2" t="n">
        <v>44198</v>
      </c>
      <c r="G1589" s="1" t="n"/>
    </row>
    <row r="1590">
      <c r="A1590" s="6" t="n">
        <v>39492</v>
      </c>
      <c r="B1590" s="6" t="inlineStr">
        <is>
          <t>NEW AMSTERDAM VODKA PINK WHITNEY</t>
        </is>
      </c>
      <c r="C1590" s="7">
        <f>VLOOKUP(A1590,SizeData!A$2:B$3839,2,FALSE)</f>
        <v/>
      </c>
      <c r="D1590" s="6" t="n">
        <v>1</v>
      </c>
      <c r="E1590" s="6" t="inlineStr">
        <is>
          <t>R1000047</t>
        </is>
      </c>
      <c r="F1590" s="2" t="n">
        <v>44207</v>
      </c>
      <c r="G1590" s="1" t="n"/>
    </row>
    <row r="1591">
      <c r="A1591" s="6" t="n">
        <v>39492</v>
      </c>
      <c r="B1591" s="6" t="inlineStr">
        <is>
          <t>NEW AMSTERDAM VODKA PINK WHITNEY</t>
        </is>
      </c>
      <c r="C1591" s="7">
        <f>VLOOKUP(A1591,SizeData!A$2:B$3839,2,FALSE)</f>
        <v/>
      </c>
      <c r="D1591" s="6" t="n">
        <v>1</v>
      </c>
      <c r="E1591" s="6" t="inlineStr">
        <is>
          <t>R1001511</t>
        </is>
      </c>
      <c r="F1591" s="2" t="n">
        <v>44208</v>
      </c>
      <c r="G1591" s="1" t="n"/>
    </row>
    <row r="1592">
      <c r="A1592" s="6" t="n">
        <v>39492</v>
      </c>
      <c r="B1592" s="6" t="inlineStr">
        <is>
          <t>NEW AMSTERDAM VODKA PINK WHITNEY</t>
        </is>
      </c>
      <c r="C1592" s="7">
        <f>VLOOKUP(A1592,SizeData!A$2:B$3839,2,FALSE)</f>
        <v/>
      </c>
      <c r="D1592" s="6" t="n">
        <v>1</v>
      </c>
      <c r="E1592" s="6" t="inlineStr">
        <is>
          <t>R996759</t>
        </is>
      </c>
      <c r="F1592" s="2" t="n">
        <v>44210</v>
      </c>
      <c r="G1592" s="1" t="n"/>
    </row>
    <row r="1593">
      <c r="A1593" s="6" t="n">
        <v>39492</v>
      </c>
      <c r="B1593" s="6" t="inlineStr">
        <is>
          <t>NEW AMSTERDAM VODKA PINK WHITNEY</t>
        </is>
      </c>
      <c r="C1593" s="7">
        <f>VLOOKUP(A1593,SizeData!A$2:B$3839,2,FALSE)</f>
        <v/>
      </c>
      <c r="D1593" s="6" t="n">
        <v>1</v>
      </c>
      <c r="E1593" s="6" t="inlineStr">
        <is>
          <t>R1003923</t>
        </is>
      </c>
      <c r="F1593" s="2" t="n">
        <v>44219</v>
      </c>
      <c r="G1593" s="1" t="n"/>
    </row>
    <row r="1594">
      <c r="A1594" s="6" t="n">
        <v>39492</v>
      </c>
      <c r="B1594" s="6" t="inlineStr">
        <is>
          <t>NEW AMSTERDAM VODKA PINK WHITNEY</t>
        </is>
      </c>
      <c r="C1594" s="7">
        <f>VLOOKUP(A1594,SizeData!A$2:B$3839,2,FALSE)</f>
        <v/>
      </c>
      <c r="D1594" s="6" t="n">
        <v>3</v>
      </c>
      <c r="E1594" s="6" t="inlineStr">
        <is>
          <t>R1025870</t>
        </is>
      </c>
      <c r="F1594" s="2" t="n">
        <v>44229</v>
      </c>
      <c r="G1594" s="1" t="n"/>
    </row>
    <row r="1595">
      <c r="A1595" s="6" t="n">
        <v>39492</v>
      </c>
      <c r="B1595" s="6" t="inlineStr">
        <is>
          <t>NEW AMSTERDAM VODKA PINK WHITNEY</t>
        </is>
      </c>
      <c r="C1595" s="7">
        <f>VLOOKUP(A1595,SizeData!A$2:B$3839,2,FALSE)</f>
        <v/>
      </c>
      <c r="D1595" s="6" t="n">
        <v>2</v>
      </c>
      <c r="E1595" s="6" t="inlineStr">
        <is>
          <t>R1028756</t>
        </is>
      </c>
      <c r="F1595" s="2" t="n">
        <v>44239</v>
      </c>
      <c r="G1595" s="1" t="n"/>
    </row>
    <row r="1596">
      <c r="A1596" s="6" t="n">
        <v>39492</v>
      </c>
      <c r="B1596" s="6" t="inlineStr">
        <is>
          <t>NEW AMSTERDAM VODKA PINK WHITNEY</t>
        </is>
      </c>
      <c r="C1596" s="7">
        <f>VLOOKUP(A1596,SizeData!A$2:B$3839,2,FALSE)</f>
        <v/>
      </c>
      <c r="D1596" s="6" t="n">
        <v>2</v>
      </c>
      <c r="E1596" s="6" t="inlineStr">
        <is>
          <t>R1029260</t>
        </is>
      </c>
      <c r="F1596" s="2" t="n">
        <v>44240</v>
      </c>
      <c r="G1596" s="1" t="n"/>
    </row>
    <row r="1597">
      <c r="A1597" s="6" t="n">
        <v>39492</v>
      </c>
      <c r="B1597" s="6" t="inlineStr">
        <is>
          <t>NEW AMSTERDAM VODKA PINK WHITNEY</t>
        </is>
      </c>
      <c r="C1597" s="7">
        <f>VLOOKUP(A1597,SizeData!A$2:B$3839,2,FALSE)</f>
        <v/>
      </c>
      <c r="D1597" s="6" t="n">
        <v>1</v>
      </c>
      <c r="E1597" s="6" t="inlineStr">
        <is>
          <t>R1028665</t>
        </is>
      </c>
      <c r="F1597" s="2" t="n">
        <v>44247</v>
      </c>
      <c r="G1597" s="1" t="n"/>
    </row>
    <row r="1598">
      <c r="A1598" s="6" t="n">
        <v>39492</v>
      </c>
      <c r="B1598" s="6" t="inlineStr">
        <is>
          <t>NEW AMSTERDAM VODKA PINK WHITNEY</t>
        </is>
      </c>
      <c r="C1598" s="7">
        <f>VLOOKUP(A1598,SizeData!A$2:B$3839,2,FALSE)</f>
        <v/>
      </c>
      <c r="D1598" s="6" t="n">
        <v>1</v>
      </c>
      <c r="E1598" s="6" t="inlineStr">
        <is>
          <t>R1047061</t>
        </is>
      </c>
      <c r="F1598" s="2" t="n">
        <v>44259</v>
      </c>
      <c r="G1598" s="1" t="n"/>
    </row>
    <row r="1599">
      <c r="A1599" s="6" t="n">
        <v>39492</v>
      </c>
      <c r="B1599" s="6" t="inlineStr">
        <is>
          <t>NEW AMSTERDAM VODKA PINK WHITNEY</t>
        </is>
      </c>
      <c r="C1599" s="7">
        <f>VLOOKUP(A1599,SizeData!A$2:B$3839,2,FALSE)</f>
        <v/>
      </c>
      <c r="D1599" s="6" t="n">
        <v>1</v>
      </c>
      <c r="E1599" s="6" t="inlineStr">
        <is>
          <t>R1042069</t>
        </is>
      </c>
      <c r="F1599" s="2" t="n">
        <v>44260</v>
      </c>
      <c r="G1599" s="1" t="n"/>
    </row>
    <row r="1600">
      <c r="A1600" s="6" t="n">
        <v>39492</v>
      </c>
      <c r="B1600" s="6" t="inlineStr">
        <is>
          <t>NEW AMSTERDAM VODKA PINK WHITNEY</t>
        </is>
      </c>
      <c r="C1600" s="7">
        <f>VLOOKUP(A1600,SizeData!A$2:B$3839,2,FALSE)</f>
        <v/>
      </c>
      <c r="D1600" s="6" t="n">
        <v>1</v>
      </c>
      <c r="E1600" s="6" t="inlineStr">
        <is>
          <t>R1066712</t>
        </is>
      </c>
      <c r="F1600" s="2" t="n">
        <v>44268</v>
      </c>
      <c r="G1600" s="1" t="n"/>
    </row>
    <row r="1601">
      <c r="A1601" s="6" t="n">
        <v>39492</v>
      </c>
      <c r="B1601" s="6" t="inlineStr">
        <is>
          <t>NEW AMSTERDAM VODKA PINK WHITNEY</t>
        </is>
      </c>
      <c r="C1601" s="7">
        <f>VLOOKUP(A1601,SizeData!A$2:B$3839,2,FALSE)</f>
        <v/>
      </c>
      <c r="D1601" s="6" t="n">
        <v>1</v>
      </c>
      <c r="E1601" s="6" t="inlineStr">
        <is>
          <t>R1096915</t>
        </is>
      </c>
      <c r="F1601" s="2" t="n">
        <v>44303</v>
      </c>
      <c r="G1601" s="1" t="n"/>
    </row>
    <row r="1602">
      <c r="A1602" s="6" t="n">
        <v>39492</v>
      </c>
      <c r="B1602" s="6" t="inlineStr">
        <is>
          <t>NEW AMSTERDAM VODKA PINK WHITNEY</t>
        </is>
      </c>
      <c r="C1602" s="7">
        <f>VLOOKUP(A1602,SizeData!A$2:B$3839,2,FALSE)</f>
        <v/>
      </c>
      <c r="D1602" s="6" t="n">
        <v>2</v>
      </c>
      <c r="E1602" s="6" t="inlineStr">
        <is>
          <t>R1126618</t>
        </is>
      </c>
      <c r="F1602" s="2" t="n">
        <v>44326</v>
      </c>
      <c r="G1602" s="1" t="n"/>
    </row>
    <row r="1603">
      <c r="A1603" s="6" t="n">
        <v>39492</v>
      </c>
      <c r="B1603" s="6" t="inlineStr">
        <is>
          <t>NEW AMSTERDAM VODKA PINK WHITNEY</t>
        </is>
      </c>
      <c r="C1603" s="7">
        <f>VLOOKUP(A1603,SizeData!A$2:B$3839,2,FALSE)</f>
        <v/>
      </c>
      <c r="D1603" s="6" t="n">
        <v>1</v>
      </c>
      <c r="E1603" s="6" t="inlineStr">
        <is>
          <t>R1127047</t>
        </is>
      </c>
      <c r="F1603" s="2" t="n">
        <v>44333</v>
      </c>
      <c r="G1603" s="1" t="n"/>
    </row>
    <row r="1604">
      <c r="A1604" s="6" t="n">
        <v>39492</v>
      </c>
      <c r="B1604" s="6" t="inlineStr">
        <is>
          <t>NEW AMSTERDAM VODKA PINK WHITNEY</t>
        </is>
      </c>
      <c r="C1604" s="7">
        <f>VLOOKUP(A1604,SizeData!A$2:B$3839,2,FALSE)</f>
        <v/>
      </c>
      <c r="D1604" s="6" t="n">
        <v>1</v>
      </c>
      <c r="E1604" s="6" t="inlineStr">
        <is>
          <t>R1136630</t>
        </is>
      </c>
      <c r="F1604" s="2" t="n">
        <v>44341</v>
      </c>
      <c r="G1604" s="1" t="n"/>
    </row>
    <row r="1605">
      <c r="A1605" s="6" t="n">
        <v>39492</v>
      </c>
      <c r="B1605" s="6" t="inlineStr">
        <is>
          <t>NEW AMSTERDAM VODKA PINK WHITNEY</t>
        </is>
      </c>
      <c r="C1605" s="7">
        <f>VLOOKUP(A1605,SizeData!A$2:B$3839,2,FALSE)</f>
        <v/>
      </c>
      <c r="D1605" s="6" t="n">
        <v>1</v>
      </c>
      <c r="E1605" s="6" t="inlineStr">
        <is>
          <t>R1127639</t>
        </is>
      </c>
      <c r="F1605" s="2" t="n">
        <v>44341</v>
      </c>
      <c r="G1605" s="1" t="n"/>
    </row>
    <row r="1606">
      <c r="A1606" s="6" t="n">
        <v>39492</v>
      </c>
      <c r="B1606" s="6" t="inlineStr">
        <is>
          <t>NEW AMSTERDAM VODKA PINK WHITNEY</t>
        </is>
      </c>
      <c r="C1606" s="7">
        <f>VLOOKUP(A1606,SizeData!A$2:B$3839,2,FALSE)</f>
        <v/>
      </c>
      <c r="D1606" s="6" t="n">
        <v>1</v>
      </c>
      <c r="E1606" s="6" t="inlineStr">
        <is>
          <t>R1147055</t>
        </is>
      </c>
      <c r="F1606" s="2" t="n">
        <v>44361</v>
      </c>
      <c r="G1606" s="1" t="n"/>
    </row>
    <row r="1607">
      <c r="A1607" s="6" t="n">
        <v>39492</v>
      </c>
      <c r="B1607" s="6" t="inlineStr">
        <is>
          <t>NEW AMSTERDAM VODKA PINK WHITNEY</t>
        </is>
      </c>
      <c r="C1607" s="7">
        <f>VLOOKUP(A1607,SizeData!A$2:B$3839,2,FALSE)</f>
        <v/>
      </c>
      <c r="D1607" s="6" t="n">
        <v>1</v>
      </c>
      <c r="E1607" s="6" t="inlineStr">
        <is>
          <t>R1150887</t>
        </is>
      </c>
      <c r="F1607" s="2" t="n">
        <v>44366</v>
      </c>
      <c r="G1607" s="1" t="n"/>
    </row>
    <row r="1608">
      <c r="A1608" s="6" t="n">
        <v>39492</v>
      </c>
      <c r="B1608" s="6" t="inlineStr">
        <is>
          <t>NEW AMSTERDAM VODKA PINK WHITNEY</t>
        </is>
      </c>
      <c r="C1608" s="7">
        <f>VLOOKUP(A1608,SizeData!A$2:B$3839,2,FALSE)</f>
        <v/>
      </c>
      <c r="D1608" s="6" t="n">
        <v>1</v>
      </c>
      <c r="E1608" s="6" t="inlineStr">
        <is>
          <t>R1171117</t>
        </is>
      </c>
      <c r="F1608" s="2" t="n">
        <v>44382</v>
      </c>
      <c r="G1608" s="1" t="n"/>
    </row>
    <row r="1609">
      <c r="A1609" s="6" t="n">
        <v>39492</v>
      </c>
      <c r="B1609" s="6" t="inlineStr">
        <is>
          <t>NEW AMSTERDAM VODKA PINK WHITNEY</t>
        </is>
      </c>
      <c r="C1609" s="7">
        <f>VLOOKUP(A1609,SizeData!A$2:B$3839,2,FALSE)</f>
        <v/>
      </c>
      <c r="D1609" s="6" t="n">
        <v>1</v>
      </c>
      <c r="E1609" s="6" t="inlineStr">
        <is>
          <t>R1173671</t>
        </is>
      </c>
      <c r="F1609" s="2" t="n">
        <v>44394</v>
      </c>
      <c r="G1609" s="1" t="n"/>
    </row>
    <row r="1610">
      <c r="A1610" s="6" t="n">
        <v>39492</v>
      </c>
      <c r="B1610" s="6" t="inlineStr">
        <is>
          <t>NEW AMSTERDAM VODKA PINK WHITNEY</t>
        </is>
      </c>
      <c r="C1610" s="7">
        <f>VLOOKUP(A1610,SizeData!A$2:B$3839,2,FALSE)</f>
        <v/>
      </c>
      <c r="D1610" s="6" t="n">
        <v>1</v>
      </c>
      <c r="E1610" s="6" t="inlineStr">
        <is>
          <t>R1203013</t>
        </is>
      </c>
      <c r="F1610" s="2" t="n">
        <v>44413</v>
      </c>
      <c r="G1610" s="1" t="n"/>
    </row>
    <row r="1611">
      <c r="A1611" s="6" t="n">
        <v>39492</v>
      </c>
      <c r="B1611" s="6" t="inlineStr">
        <is>
          <t>NEW AMSTERDAM VODKA PINK WHITNEY</t>
        </is>
      </c>
      <c r="C1611" s="7">
        <f>VLOOKUP(A1611,SizeData!A$2:B$3839,2,FALSE)</f>
        <v/>
      </c>
      <c r="D1611" s="6" t="n">
        <v>1</v>
      </c>
      <c r="E1611" s="6" t="inlineStr">
        <is>
          <t>R1265540</t>
        </is>
      </c>
      <c r="F1611" s="2" t="n">
        <v>44459</v>
      </c>
      <c r="G1611" s="1" t="n"/>
    </row>
    <row r="1612">
      <c r="A1612" s="6" t="n">
        <v>39492</v>
      </c>
      <c r="B1612" s="6" t="inlineStr">
        <is>
          <t>NEW AMSTERDAM VODKA PINK WHITNEY</t>
        </is>
      </c>
      <c r="C1612" s="7">
        <f>VLOOKUP(A1612,SizeData!A$2:B$3839,2,FALSE)</f>
        <v/>
      </c>
      <c r="D1612" s="6" t="n">
        <v>1</v>
      </c>
      <c r="E1612" s="6" t="inlineStr">
        <is>
          <t>R1248961</t>
        </is>
      </c>
      <c r="F1612" s="2" t="n">
        <v>44461</v>
      </c>
      <c r="G1612" s="1" t="n"/>
    </row>
    <row r="1613">
      <c r="A1613" s="6" t="n">
        <v>39492</v>
      </c>
      <c r="B1613" s="6" t="inlineStr">
        <is>
          <t>NEW AMSTERDAM VODKA PINK WHITNEY</t>
        </is>
      </c>
      <c r="C1613" s="7">
        <f>VLOOKUP(A1613,SizeData!A$2:B$3839,2,FALSE)</f>
        <v/>
      </c>
      <c r="D1613" s="6" t="n">
        <v>3</v>
      </c>
      <c r="E1613" s="6" t="inlineStr">
        <is>
          <t>R1360132</t>
        </is>
      </c>
      <c r="F1613" s="2" t="n">
        <v>44532</v>
      </c>
      <c r="G1613" s="1" t="n"/>
    </row>
    <row r="1614">
      <c r="A1614" s="6" t="n">
        <v>39886</v>
      </c>
      <c r="B1614" s="6" t="inlineStr">
        <is>
          <t>TAAKA SUPREME 100 VODKA</t>
        </is>
      </c>
      <c r="C1614" s="7">
        <f>VLOOKUP(A1614,SizeData!A$2:B$3839,2,FALSE)</f>
        <v/>
      </c>
      <c r="D1614" s="6" t="n">
        <v>1</v>
      </c>
      <c r="E1614" s="6" t="inlineStr">
        <is>
          <t>R1030568</t>
        </is>
      </c>
      <c r="F1614" s="2" t="n">
        <v>44229</v>
      </c>
      <c r="G1614" s="1" t="n"/>
    </row>
    <row r="1615">
      <c r="A1615" s="6" t="n">
        <v>39888</v>
      </c>
      <c r="B1615" s="6" t="inlineStr">
        <is>
          <t>TAAKA SUPREME 100 (PET) VODKA</t>
        </is>
      </c>
      <c r="C1615" s="7">
        <f>VLOOKUP(A1615,SizeData!A$2:B$3839,2,FALSE)</f>
        <v/>
      </c>
      <c r="D1615" s="6" t="n">
        <v>2</v>
      </c>
      <c r="E1615" s="6" t="inlineStr">
        <is>
          <t>R1261702</t>
        </is>
      </c>
      <c r="F1615" s="2" t="n">
        <v>44461</v>
      </c>
      <c r="G1615" s="1" t="n"/>
    </row>
    <row r="1616">
      <c r="A1616" s="6" t="n">
        <v>39918</v>
      </c>
      <c r="B1616" s="6" t="inlineStr">
        <is>
          <t>NEW AMSTERDAM APPLE VODKA</t>
        </is>
      </c>
      <c r="C1616" s="7">
        <f>VLOOKUP(A1616,SizeData!A$2:B$3839,2,FALSE)</f>
        <v/>
      </c>
      <c r="D1616" s="6" t="n">
        <v>1</v>
      </c>
      <c r="E1616" s="6" t="inlineStr">
        <is>
          <t>R1114354</t>
        </is>
      </c>
      <c r="F1616" s="2" t="n">
        <v>44334</v>
      </c>
      <c r="G1616" s="1" t="n"/>
    </row>
    <row r="1617">
      <c r="A1617" s="6" t="n">
        <v>39918</v>
      </c>
      <c r="B1617" s="6" t="inlineStr">
        <is>
          <t>NEW AMSTERDAM APPLE VODKA</t>
        </is>
      </c>
      <c r="C1617" s="7">
        <f>VLOOKUP(A1617,SizeData!A$2:B$3839,2,FALSE)</f>
        <v/>
      </c>
      <c r="D1617" s="6" t="n">
        <v>1</v>
      </c>
      <c r="E1617" s="6" t="inlineStr">
        <is>
          <t>R1200565</t>
        </is>
      </c>
      <c r="F1617" s="2" t="n">
        <v>44411</v>
      </c>
      <c r="G1617" s="1" t="n"/>
    </row>
    <row r="1618">
      <c r="A1618" s="6" t="n">
        <v>39918</v>
      </c>
      <c r="B1618" s="6" t="inlineStr">
        <is>
          <t>NEW AMSTERDAM APPLE VODKA</t>
        </is>
      </c>
      <c r="C1618" s="7">
        <f>VLOOKUP(A1618,SizeData!A$2:B$3839,2,FALSE)</f>
        <v/>
      </c>
      <c r="D1618" s="6" t="n">
        <v>1</v>
      </c>
      <c r="E1618" s="6" t="inlineStr">
        <is>
          <t>R1208607</t>
        </is>
      </c>
      <c r="F1618" s="2" t="n">
        <v>44420</v>
      </c>
      <c r="G1618" s="1" t="n"/>
    </row>
    <row r="1619">
      <c r="A1619" s="6" t="n">
        <v>39918</v>
      </c>
      <c r="B1619" s="6" t="inlineStr">
        <is>
          <t>NEW AMSTERDAM APPLE VODKA</t>
        </is>
      </c>
      <c r="C1619" s="7">
        <f>VLOOKUP(A1619,SizeData!A$2:B$3839,2,FALSE)</f>
        <v/>
      </c>
      <c r="D1619" s="6" t="n">
        <v>1</v>
      </c>
      <c r="E1619" s="6" t="inlineStr">
        <is>
          <t>R1314326</t>
        </is>
      </c>
      <c r="F1619" s="2" t="n">
        <v>44512</v>
      </c>
      <c r="G1619" s="1" t="n"/>
    </row>
    <row r="1620">
      <c r="A1620" s="6" t="n">
        <v>39919</v>
      </c>
      <c r="B1620" s="6" t="inlineStr">
        <is>
          <t>NEW AMSTERDAM APPLE VODKA</t>
        </is>
      </c>
      <c r="C1620" s="7">
        <f>VLOOKUP(A1620,SizeData!A$2:B$3839,2,FALSE)</f>
        <v/>
      </c>
      <c r="D1620" s="6" t="n">
        <v>1</v>
      </c>
      <c r="E1620" s="6" t="inlineStr">
        <is>
          <t>R1036739</t>
        </is>
      </c>
      <c r="F1620" s="2" t="n">
        <v>44249</v>
      </c>
      <c r="G1620" s="1" t="n"/>
    </row>
    <row r="1621">
      <c r="A1621" s="6" t="n">
        <v>40040</v>
      </c>
      <c r="B1621" s="6" t="inlineStr">
        <is>
          <t>TAAKA PINEAPPLE VODKA</t>
        </is>
      </c>
      <c r="C1621" s="7">
        <f>VLOOKUP(A1621,SizeData!A$2:B$3839,2,FALSE)</f>
        <v/>
      </c>
      <c r="D1621" s="6" t="n">
        <v>1</v>
      </c>
      <c r="E1621" s="6" t="inlineStr">
        <is>
          <t>R1030568</t>
        </is>
      </c>
      <c r="F1621" s="2" t="n">
        <v>44229</v>
      </c>
      <c r="G1621" s="1" t="n"/>
    </row>
    <row r="1622">
      <c r="A1622" s="6" t="n">
        <v>40040</v>
      </c>
      <c r="B1622" s="6" t="inlineStr">
        <is>
          <t>TAAKA PINEAPPLE VODKA</t>
        </is>
      </c>
      <c r="C1622" s="7">
        <f>VLOOKUP(A1622,SizeData!A$2:B$3839,2,FALSE)</f>
        <v/>
      </c>
      <c r="D1622" s="6" t="n">
        <v>2</v>
      </c>
      <c r="E1622" s="6" t="inlineStr">
        <is>
          <t>R1261702</t>
        </is>
      </c>
      <c r="F1622" s="2" t="n">
        <v>44461</v>
      </c>
      <c r="G1622" s="1" t="n"/>
    </row>
    <row r="1623">
      <c r="A1623" s="6" t="n">
        <v>40046</v>
      </c>
      <c r="B1623" s="6" t="inlineStr">
        <is>
          <t>TAAKA WATERMELON VODKA</t>
        </is>
      </c>
      <c r="C1623" s="7">
        <f>VLOOKUP(A1623,SizeData!A$2:B$3839,2,FALSE)</f>
        <v/>
      </c>
      <c r="D1623" s="6" t="n">
        <v>1</v>
      </c>
      <c r="E1623" s="6" t="inlineStr">
        <is>
          <t>R1010197</t>
        </is>
      </c>
      <c r="F1623" s="2" t="n">
        <v>44214</v>
      </c>
      <c r="G1623" s="1" t="n"/>
    </row>
    <row r="1624">
      <c r="A1624" s="6" t="n">
        <v>40071</v>
      </c>
      <c r="B1624" s="6" t="inlineStr">
        <is>
          <t>NEW AMSTERDAM MANGO VODKA</t>
        </is>
      </c>
      <c r="C1624" s="7">
        <f>VLOOKUP(A1624,SizeData!A$2:B$3839,2,FALSE)</f>
        <v/>
      </c>
      <c r="D1624" s="6" t="n">
        <v>1</v>
      </c>
      <c r="E1624" s="6" t="inlineStr">
        <is>
          <t>R1163865</t>
        </is>
      </c>
      <c r="F1624" s="2" t="n">
        <v>44384</v>
      </c>
      <c r="G1624" s="6" t="n"/>
    </row>
    <row r="1625">
      <c r="A1625" s="6" t="n">
        <v>40071</v>
      </c>
      <c r="B1625" s="6" t="inlineStr">
        <is>
          <t>NEW AMSTERDAM MANGO VODKA</t>
        </is>
      </c>
      <c r="C1625" s="7">
        <f>VLOOKUP(A1625,SizeData!A$2:B$3839,2,FALSE)</f>
        <v/>
      </c>
      <c r="D1625" s="6" t="n">
        <v>1</v>
      </c>
      <c r="E1625" s="6" t="inlineStr">
        <is>
          <t>R1335595</t>
        </is>
      </c>
      <c r="F1625" s="2" t="n">
        <v>44520</v>
      </c>
      <c r="G1625" s="1" t="n"/>
    </row>
    <row r="1626">
      <c r="A1626" s="6" t="n">
        <v>40189</v>
      </c>
      <c r="B1626" s="6" t="inlineStr">
        <is>
          <t>NEW AMSTERDAM PINEAPPLE FLAVORED VODKA</t>
        </is>
      </c>
      <c r="C1626" s="7">
        <f>VLOOKUP(A1626,SizeData!A$2:B$3839,2,FALSE)</f>
        <v/>
      </c>
      <c r="D1626" s="6" t="n">
        <v>1</v>
      </c>
      <c r="E1626" s="6" t="inlineStr">
        <is>
          <t>R1353189</t>
        </is>
      </c>
      <c r="F1626" s="2" t="n">
        <v>44539</v>
      </c>
      <c r="G1626" s="1" t="n"/>
    </row>
    <row r="1627">
      <c r="A1627" s="6" t="n">
        <v>40189</v>
      </c>
      <c r="B1627" s="6" t="inlineStr">
        <is>
          <t>NEW AMSTERDAM PINEAPPLE VODKA</t>
        </is>
      </c>
      <c r="C1627" s="7">
        <f>VLOOKUP(A1627,SizeData!A$2:B$3839,2,FALSE)</f>
        <v/>
      </c>
      <c r="D1627" s="6" t="n">
        <v>1</v>
      </c>
      <c r="E1627" s="6" t="inlineStr">
        <is>
          <t>R1085574</t>
        </is>
      </c>
      <c r="F1627" s="2" t="n">
        <v>44288</v>
      </c>
      <c r="G1627" s="1" t="n"/>
    </row>
    <row r="1628">
      <c r="A1628" s="6" t="n">
        <v>40189</v>
      </c>
      <c r="B1628" s="6" t="inlineStr">
        <is>
          <t>NEW AMSTERDAM PINEAPPLE VODKA</t>
        </is>
      </c>
      <c r="C1628" s="7">
        <f>VLOOKUP(A1628,SizeData!A$2:B$3839,2,FALSE)</f>
        <v/>
      </c>
      <c r="D1628" s="6" t="n">
        <v>1</v>
      </c>
      <c r="E1628" s="6" t="inlineStr">
        <is>
          <t>R1119380</t>
        </is>
      </c>
      <c r="F1628" s="2" t="n">
        <v>44338</v>
      </c>
      <c r="G1628" s="1" t="n"/>
    </row>
    <row r="1629">
      <c r="A1629" s="6" t="n">
        <v>40189</v>
      </c>
      <c r="B1629" s="6" t="inlineStr">
        <is>
          <t>NEW AMSTERDAM PINEAPPLE VODKA</t>
        </is>
      </c>
      <c r="C1629" s="7">
        <f>VLOOKUP(A1629,SizeData!A$2:B$3839,2,FALSE)</f>
        <v/>
      </c>
      <c r="D1629" s="6" t="n">
        <v>1</v>
      </c>
      <c r="E1629" s="6" t="inlineStr">
        <is>
          <t>R1169967</t>
        </is>
      </c>
      <c r="F1629" s="2" t="n">
        <v>44385</v>
      </c>
      <c r="G1629" s="1" t="n"/>
    </row>
    <row r="1630">
      <c r="A1630" s="6" t="n">
        <v>40189</v>
      </c>
      <c r="B1630" s="6" t="inlineStr">
        <is>
          <t>NEW AMSTERDAM PINEAPPLE VODKA</t>
        </is>
      </c>
      <c r="C1630" s="7">
        <f>VLOOKUP(A1630,SizeData!A$2:B$3839,2,FALSE)</f>
        <v/>
      </c>
      <c r="D1630" s="6" t="n">
        <v>1</v>
      </c>
      <c r="E1630" s="6" t="inlineStr">
        <is>
          <t>R1176234</t>
        </is>
      </c>
      <c r="F1630" s="2" t="n">
        <v>44386</v>
      </c>
      <c r="G1630" s="1" t="n"/>
    </row>
    <row r="1631">
      <c r="A1631" s="6" t="n">
        <v>40189</v>
      </c>
      <c r="B1631" s="6" t="inlineStr">
        <is>
          <t>NEW AMSTERDAM PINEAPPLE VODKA</t>
        </is>
      </c>
      <c r="C1631" s="7">
        <f>VLOOKUP(A1631,SizeData!A$2:B$3839,2,FALSE)</f>
        <v/>
      </c>
      <c r="D1631" s="6" t="n">
        <v>1</v>
      </c>
      <c r="E1631" s="6" t="inlineStr">
        <is>
          <t>R1256874</t>
        </is>
      </c>
      <c r="F1631" s="2" t="n">
        <v>44469</v>
      </c>
      <c r="G1631" s="1" t="n"/>
    </row>
    <row r="1632">
      <c r="A1632" s="6" t="n">
        <v>40189</v>
      </c>
      <c r="B1632" s="6" t="inlineStr">
        <is>
          <t>NEW AMSTERDAM PINEAPPLE VODKA</t>
        </is>
      </c>
      <c r="C1632" s="7">
        <f>VLOOKUP(A1632,SizeData!A$2:B$3839,2,FALSE)</f>
        <v/>
      </c>
      <c r="D1632" s="6" t="n">
        <v>1</v>
      </c>
      <c r="E1632" s="6" t="inlineStr">
        <is>
          <t>R1320744</t>
        </is>
      </c>
      <c r="F1632" s="2" t="n">
        <v>44509</v>
      </c>
      <c r="G1632" s="1" t="n"/>
    </row>
    <row r="1633">
      <c r="A1633" s="6" t="n">
        <v>40191</v>
      </c>
      <c r="B1633" s="6" t="inlineStr">
        <is>
          <t>NEW AMSTERDAM PINEAPPLE VODKA</t>
        </is>
      </c>
      <c r="C1633" s="7">
        <f>VLOOKUP(A1633,SizeData!A$2:B$3839,2,FALSE)</f>
        <v/>
      </c>
      <c r="D1633" s="6" t="n">
        <v>1</v>
      </c>
      <c r="E1633" s="6" t="inlineStr">
        <is>
          <t>R994060</t>
        </is>
      </c>
      <c r="F1633" s="2" t="n">
        <v>44209</v>
      </c>
      <c r="G1633" s="1" t="n"/>
    </row>
    <row r="1634">
      <c r="A1634" s="6" t="n">
        <v>40191</v>
      </c>
      <c r="B1634" s="6" t="inlineStr">
        <is>
          <t>NEW AMSTERDAM PINEAPPLE VODKA</t>
        </is>
      </c>
      <c r="C1634" s="7">
        <f>VLOOKUP(A1634,SizeData!A$2:B$3839,2,FALSE)</f>
        <v/>
      </c>
      <c r="D1634" s="6" t="n">
        <v>1</v>
      </c>
      <c r="E1634" s="6" t="inlineStr">
        <is>
          <t>R1191193</t>
        </is>
      </c>
      <c r="F1634" s="2" t="n">
        <v>44411</v>
      </c>
      <c r="G1634" s="1" t="n"/>
    </row>
    <row r="1635">
      <c r="A1635" s="6" t="n">
        <v>40191</v>
      </c>
      <c r="B1635" s="6" t="inlineStr">
        <is>
          <t>NEW AMSTERDAM PINEAPPLE VODKA</t>
        </is>
      </c>
      <c r="C1635" s="7">
        <f>VLOOKUP(A1635,SizeData!A$2:B$3839,2,FALSE)</f>
        <v/>
      </c>
      <c r="D1635" s="6" t="n">
        <v>1</v>
      </c>
      <c r="E1635" s="6" t="inlineStr">
        <is>
          <t>R1246630</t>
        </is>
      </c>
      <c r="F1635" s="2" t="n">
        <v>44450</v>
      </c>
      <c r="G1635" s="1" t="n"/>
    </row>
    <row r="1636">
      <c r="A1636" s="6" t="n">
        <v>40191</v>
      </c>
      <c r="B1636" s="6" t="inlineStr">
        <is>
          <t>NEW AMSTERDAM PINEAPPLE VODKA</t>
        </is>
      </c>
      <c r="C1636" s="7">
        <f>VLOOKUP(A1636,SizeData!A$2:B$3839,2,FALSE)</f>
        <v/>
      </c>
      <c r="D1636" s="6" t="n">
        <v>1</v>
      </c>
      <c r="E1636" s="6" t="inlineStr">
        <is>
          <t>R1335695</t>
        </is>
      </c>
      <c r="F1636" s="2" t="n">
        <v>44525</v>
      </c>
      <c r="G1636" s="1" t="n"/>
    </row>
    <row r="1637">
      <c r="A1637" s="6" t="n">
        <v>40192</v>
      </c>
      <c r="B1637" s="6" t="inlineStr">
        <is>
          <t>NEW AMSTERDAM PINEAPPLE VODKA</t>
        </is>
      </c>
      <c r="C1637" s="7">
        <f>VLOOKUP(A1637,SizeData!A$2:B$3839,2,FALSE)</f>
        <v/>
      </c>
      <c r="D1637" s="6" t="n">
        <v>3</v>
      </c>
      <c r="E1637" s="6" t="inlineStr">
        <is>
          <t>R1048765</t>
        </is>
      </c>
      <c r="F1637" s="2" t="n">
        <v>44265</v>
      </c>
      <c r="G1637" s="1" t="n"/>
    </row>
    <row r="1638">
      <c r="A1638" s="6" t="n">
        <v>40192</v>
      </c>
      <c r="B1638" s="6" t="inlineStr">
        <is>
          <t>NEW AMSTERDAM PINEAPPLE VODKA</t>
        </is>
      </c>
      <c r="C1638" s="7">
        <f>VLOOKUP(A1638,SizeData!A$2:B$3839,2,FALSE)</f>
        <v/>
      </c>
      <c r="D1638" s="6" t="n">
        <v>1</v>
      </c>
      <c r="E1638" s="6" t="inlineStr">
        <is>
          <t xml:space="preserve"> R1150892</t>
        </is>
      </c>
      <c r="F1638" s="2" t="n">
        <v>44368</v>
      </c>
      <c r="G1638" s="1" t="n"/>
    </row>
    <row r="1639">
      <c r="A1639" s="6" t="n">
        <v>40192</v>
      </c>
      <c r="B1639" s="6" t="inlineStr">
        <is>
          <t>NEW AMSTERDAM PINEAPPLE VODKA</t>
        </is>
      </c>
      <c r="C1639" s="7">
        <f>VLOOKUP(A1639,SizeData!A$2:B$3839,2,FALSE)</f>
        <v/>
      </c>
      <c r="D1639" s="6" t="n">
        <v>2</v>
      </c>
      <c r="E1639" s="6" t="inlineStr">
        <is>
          <t>R1224445</t>
        </is>
      </c>
      <c r="F1639" s="2" t="n">
        <v>44440</v>
      </c>
      <c r="G1639" s="1" t="n"/>
    </row>
    <row r="1640">
      <c r="A1640" s="6" t="n">
        <v>40192</v>
      </c>
      <c r="B1640" s="6" t="inlineStr">
        <is>
          <t>NEW AMSTERDAM PINEAPPLE VODKA</t>
        </is>
      </c>
      <c r="C1640" s="7">
        <f>VLOOKUP(A1640,SizeData!A$2:B$3839,2,FALSE)</f>
        <v/>
      </c>
      <c r="D1640" s="6" t="n">
        <v>2</v>
      </c>
      <c r="E1640" s="6" t="inlineStr">
        <is>
          <t>R1235270</t>
        </is>
      </c>
      <c r="F1640" s="2" t="n">
        <v>44440</v>
      </c>
      <c r="G1640" s="1" t="n"/>
    </row>
    <row r="1641">
      <c r="A1641" s="6" t="n">
        <v>40192</v>
      </c>
      <c r="B1641" s="6" t="inlineStr">
        <is>
          <t>NEW AMSTERDAM PINEAPPLE VODKA</t>
        </is>
      </c>
      <c r="C1641" s="7">
        <f>VLOOKUP(A1641,SizeData!A$2:B$3839,2,FALSE)</f>
        <v/>
      </c>
      <c r="D1641" s="6" t="n">
        <v>1</v>
      </c>
      <c r="E1641" s="6" t="inlineStr">
        <is>
          <t>R1246630</t>
        </is>
      </c>
      <c r="F1641" s="2" t="n">
        <v>44450</v>
      </c>
      <c r="G1641" s="1" t="n"/>
    </row>
    <row r="1642">
      <c r="A1642" s="6" t="n">
        <v>40192</v>
      </c>
      <c r="B1642" s="6" t="inlineStr">
        <is>
          <t>NEW AMSTERDAM PINEAPPLE VODKA</t>
        </is>
      </c>
      <c r="C1642" s="7">
        <f>VLOOKUP(A1642,SizeData!A$2:B$3839,2,FALSE)</f>
        <v/>
      </c>
      <c r="D1642" s="6" t="n">
        <v>4</v>
      </c>
      <c r="E1642" s="6" t="inlineStr">
        <is>
          <t>R1259313</t>
        </is>
      </c>
      <c r="F1642" s="2" t="n">
        <v>44467</v>
      </c>
      <c r="G1642" s="1" t="n"/>
    </row>
    <row r="1643">
      <c r="A1643" s="6" t="n">
        <v>40193</v>
      </c>
      <c r="B1643" s="6" t="inlineStr">
        <is>
          <t>NEW AMSTERDAM PINEAPPLE VODKA</t>
        </is>
      </c>
      <c r="C1643" s="7">
        <f>VLOOKUP(A1643,SizeData!A$2:B$3839,2,FALSE)</f>
        <v/>
      </c>
      <c r="D1643" s="6" t="n">
        <v>1</v>
      </c>
      <c r="E1643" s="6" t="inlineStr">
        <is>
          <t>R1003923</t>
        </is>
      </c>
      <c r="F1643" s="2" t="n">
        <v>44219</v>
      </c>
      <c r="G1643" s="1" t="n"/>
    </row>
    <row r="1644">
      <c r="A1644" s="6" t="n">
        <v>40193</v>
      </c>
      <c r="B1644" s="6" t="inlineStr">
        <is>
          <t>NEW AMSTERDAM PINEAPPLE VODKA</t>
        </is>
      </c>
      <c r="C1644" s="7">
        <f>VLOOKUP(A1644,SizeData!A$2:B$3839,2,FALSE)</f>
        <v/>
      </c>
      <c r="D1644" s="6" t="n">
        <v>1</v>
      </c>
      <c r="E1644" s="6" t="inlineStr">
        <is>
          <t>R1085574</t>
        </is>
      </c>
      <c r="F1644" s="2" t="n">
        <v>44288</v>
      </c>
      <c r="G1644" s="1" t="n"/>
    </row>
    <row r="1645">
      <c r="A1645" s="6" t="n">
        <v>40193</v>
      </c>
      <c r="B1645" s="6" t="inlineStr">
        <is>
          <t>NEW AMSTERDAM PINEAPPLE VODKA</t>
        </is>
      </c>
      <c r="C1645" s="7">
        <f>VLOOKUP(A1645,SizeData!A$2:B$3839,2,FALSE)</f>
        <v/>
      </c>
      <c r="D1645" s="6" t="n">
        <v>1</v>
      </c>
      <c r="E1645" s="6" t="inlineStr">
        <is>
          <t>R1122021</t>
        </is>
      </c>
      <c r="F1645" s="2" t="n">
        <v>44328</v>
      </c>
      <c r="G1645" s="1" t="n"/>
    </row>
    <row r="1646">
      <c r="A1646" s="6" t="n">
        <v>40193</v>
      </c>
      <c r="B1646" s="6" t="inlineStr">
        <is>
          <t>NEW AMSTERDAM PINEAPPLE VODKA</t>
        </is>
      </c>
      <c r="C1646" s="7">
        <f>VLOOKUP(A1646,SizeData!A$2:B$3839,2,FALSE)</f>
        <v/>
      </c>
      <c r="D1646" s="6" t="n">
        <v>1</v>
      </c>
      <c r="E1646" s="6" t="inlineStr">
        <is>
          <t>R1163865</t>
        </is>
      </c>
      <c r="F1646" s="2" t="n">
        <v>44384</v>
      </c>
      <c r="G1646" s="6" t="n"/>
    </row>
    <row r="1647">
      <c r="A1647" s="6" t="n">
        <v>40193</v>
      </c>
      <c r="B1647" s="6" t="inlineStr">
        <is>
          <t>NEW AMSTERDAM PINEAPPLE VODKA</t>
        </is>
      </c>
      <c r="C1647" s="7">
        <f>VLOOKUP(A1647,SizeData!A$2:B$3839,2,FALSE)</f>
        <v/>
      </c>
      <c r="D1647" s="6" t="n">
        <v>1</v>
      </c>
      <c r="E1647" s="6" t="inlineStr">
        <is>
          <t>R1246630</t>
        </is>
      </c>
      <c r="F1647" s="2" t="n">
        <v>44450</v>
      </c>
      <c r="G1647" s="1" t="n"/>
    </row>
    <row r="1648">
      <c r="A1648" s="6" t="n">
        <v>40195</v>
      </c>
      <c r="B1648" s="6" t="inlineStr">
        <is>
          <t>NEW AMSTERDAM PINEAPPLE VODKA</t>
        </is>
      </c>
      <c r="C1648" s="7">
        <f>VLOOKUP(A1648,SizeData!A$2:B$3839,2,FALSE)</f>
        <v/>
      </c>
      <c r="D1648" s="6" t="n">
        <v>4</v>
      </c>
      <c r="E1648" s="6" t="inlineStr">
        <is>
          <t>R1018600</t>
        </is>
      </c>
      <c r="F1648" s="2" t="n">
        <v>44241</v>
      </c>
      <c r="G1648" s="1" t="n"/>
    </row>
    <row r="1649">
      <c r="A1649" s="6" t="n">
        <v>40195</v>
      </c>
      <c r="B1649" s="6" t="inlineStr">
        <is>
          <t>NEW AMSTERDAM PINEAPPLE VODKA</t>
        </is>
      </c>
      <c r="C1649" s="7">
        <f>VLOOKUP(A1649,SizeData!A$2:B$3839,2,FALSE)</f>
        <v/>
      </c>
      <c r="D1649" s="6" t="n">
        <v>1</v>
      </c>
      <c r="E1649" s="6" t="inlineStr">
        <is>
          <t>R1036739</t>
        </is>
      </c>
      <c r="F1649" s="2" t="n">
        <v>44249</v>
      </c>
      <c r="G1649" s="1" t="n"/>
    </row>
    <row r="1650">
      <c r="A1650" s="6" t="n">
        <v>40195</v>
      </c>
      <c r="B1650" s="6" t="inlineStr">
        <is>
          <t>NEW AMSTERDAM PINEAPPLE VODKA</t>
        </is>
      </c>
      <c r="C1650" s="7">
        <f>VLOOKUP(A1650,SizeData!A$2:B$3839,2,FALSE)</f>
        <v/>
      </c>
      <c r="D1650" s="6" t="n">
        <v>3</v>
      </c>
      <c r="E1650" s="6" t="inlineStr">
        <is>
          <t>R1087015</t>
        </is>
      </c>
      <c r="F1650" s="2" t="n">
        <v>44291</v>
      </c>
      <c r="G1650" s="1" t="n"/>
    </row>
    <row r="1651">
      <c r="A1651" s="6" t="n">
        <v>40195</v>
      </c>
      <c r="B1651" s="6" t="inlineStr">
        <is>
          <t>NEW AMSTERDAM PINEAPPLE VODKA</t>
        </is>
      </c>
      <c r="C1651" s="7">
        <f>VLOOKUP(A1651,SizeData!A$2:B$3839,2,FALSE)</f>
        <v/>
      </c>
      <c r="D1651" s="6" t="n">
        <v>3</v>
      </c>
      <c r="E1651" s="6" t="inlineStr">
        <is>
          <t>R1110509</t>
        </is>
      </c>
      <c r="F1651" s="2" t="n">
        <v>44306</v>
      </c>
      <c r="G1651" s="1" t="n"/>
    </row>
    <row r="1652">
      <c r="A1652" s="6" t="n">
        <v>40195</v>
      </c>
      <c r="B1652" s="6" t="inlineStr">
        <is>
          <t>NEW AMSTERDAM PINEAPPLE VODKA</t>
        </is>
      </c>
      <c r="C1652" s="7">
        <f>VLOOKUP(A1652,SizeData!A$2:B$3839,2,FALSE)</f>
        <v/>
      </c>
      <c r="D1652" s="6" t="n">
        <v>2</v>
      </c>
      <c r="E1652" s="6" t="inlineStr">
        <is>
          <t>R1165810</t>
        </is>
      </c>
      <c r="F1652" s="2" t="n">
        <v>44361</v>
      </c>
      <c r="G1652" s="1" t="n"/>
    </row>
    <row r="1653">
      <c r="A1653" s="6" t="n">
        <v>40195</v>
      </c>
      <c r="B1653" s="6" t="inlineStr">
        <is>
          <t>NEW AMSTERDAM PINEAPPLE VODKA</t>
        </is>
      </c>
      <c r="C1653" s="7">
        <f>VLOOKUP(A1653,SizeData!A$2:B$3839,2,FALSE)</f>
        <v/>
      </c>
      <c r="D1653" s="6" t="n">
        <v>2</v>
      </c>
      <c r="E1653" s="6" t="inlineStr">
        <is>
          <t xml:space="preserve"> R1206104</t>
        </is>
      </c>
      <c r="F1653" s="2" t="n">
        <v>44413</v>
      </c>
      <c r="G1653" s="1" t="n"/>
    </row>
    <row r="1654">
      <c r="A1654" s="6" t="n">
        <v>40195</v>
      </c>
      <c r="B1654" s="6" t="inlineStr">
        <is>
          <t>NEW AMSTERDAM PINEAPPLE VODKA</t>
        </is>
      </c>
      <c r="C1654" s="7">
        <f>VLOOKUP(A1654,SizeData!A$2:B$3839,2,FALSE)</f>
        <v/>
      </c>
      <c r="D1654" s="6" t="n">
        <v>2</v>
      </c>
      <c r="E1654" s="6" t="inlineStr">
        <is>
          <t>R1206028</t>
        </is>
      </c>
      <c r="F1654" s="2" t="n">
        <v>44417</v>
      </c>
      <c r="G1654" s="1" t="n"/>
    </row>
    <row r="1655">
      <c r="A1655" s="6" t="n">
        <v>40195</v>
      </c>
      <c r="B1655" s="6" t="inlineStr">
        <is>
          <t>NEW AMSTERDAM PINEAPPLE VODKA</t>
        </is>
      </c>
      <c r="C1655" s="7">
        <f>VLOOKUP(A1655,SizeData!A$2:B$3839,2,FALSE)</f>
        <v/>
      </c>
      <c r="D1655" s="6" t="n">
        <v>0</v>
      </c>
      <c r="E1655" s="6" t="inlineStr">
        <is>
          <t>R1264756</t>
        </is>
      </c>
      <c r="F1655" s="2" t="n">
        <v>44472</v>
      </c>
      <c r="G1655" s="1" t="n"/>
    </row>
    <row r="1656">
      <c r="A1656" s="6" t="n">
        <v>40195</v>
      </c>
      <c r="B1656" s="6" t="inlineStr">
        <is>
          <t>NEW AMSTERDAM PINEAPPLE VODKA</t>
        </is>
      </c>
      <c r="C1656" s="7">
        <f>VLOOKUP(A1656,SizeData!A$2:B$3839,2,FALSE)</f>
        <v/>
      </c>
      <c r="D1656" s="6" t="n">
        <v>3</v>
      </c>
      <c r="E1656" s="6" t="inlineStr">
        <is>
          <t>R1284159</t>
        </is>
      </c>
      <c r="F1656" s="2" t="n">
        <v>44488</v>
      </c>
      <c r="G1656" s="1" t="n"/>
    </row>
    <row r="1657">
      <c r="A1657" s="6" t="n">
        <v>40195</v>
      </c>
      <c r="B1657" s="6" t="inlineStr">
        <is>
          <t>NEW AMSTERDAM PINEAPPLE VODKA</t>
        </is>
      </c>
      <c r="C1657" s="7">
        <f>VLOOKUP(A1657,SizeData!A$2:B$3839,2,FALSE)</f>
        <v/>
      </c>
      <c r="D1657" s="6" t="n">
        <v>3</v>
      </c>
      <c r="E1657" s="6" t="inlineStr">
        <is>
          <t>R1306125</t>
        </is>
      </c>
      <c r="F1657" s="2" t="n">
        <v>44495</v>
      </c>
      <c r="G1657" s="1" t="n"/>
    </row>
    <row r="1658">
      <c r="A1658" s="6" t="n">
        <v>40291</v>
      </c>
      <c r="B1658" s="6" t="inlineStr">
        <is>
          <t>NEW AMSTERDAM COCONUT VODKA</t>
        </is>
      </c>
      <c r="C1658" s="7">
        <f>VLOOKUP(A1658,SizeData!A$2:B$3839,2,FALSE)</f>
        <v/>
      </c>
      <c r="D1658" s="6" t="n">
        <v>1</v>
      </c>
      <c r="E1658" s="6" t="inlineStr">
        <is>
          <t>R1085364</t>
        </is>
      </c>
      <c r="F1658" s="2" t="n">
        <v>44289</v>
      </c>
      <c r="G1658" s="1" t="n"/>
    </row>
    <row r="1659">
      <c r="A1659" s="6" t="n">
        <v>40291</v>
      </c>
      <c r="B1659" s="6" t="inlineStr">
        <is>
          <t>NEW AMSTERDAM COCONUT VODKA</t>
        </is>
      </c>
      <c r="C1659" s="7">
        <f>VLOOKUP(A1659,SizeData!A$2:B$3839,2,FALSE)</f>
        <v/>
      </c>
      <c r="D1659" s="6" t="n">
        <v>1</v>
      </c>
      <c r="E1659" s="6" t="inlineStr">
        <is>
          <t>R1096915</t>
        </is>
      </c>
      <c r="F1659" s="2" t="n">
        <v>44303</v>
      </c>
      <c r="G1659" s="1" t="n"/>
    </row>
    <row r="1660">
      <c r="A1660" s="6" t="n">
        <v>40291</v>
      </c>
      <c r="B1660" s="6" t="inlineStr">
        <is>
          <t>NEW AMSTERDAM COCONUT VODKA</t>
        </is>
      </c>
      <c r="C1660" s="7">
        <f>VLOOKUP(A1660,SizeData!A$2:B$3839,2,FALSE)</f>
        <v/>
      </c>
      <c r="D1660" s="6" t="n">
        <v>1</v>
      </c>
      <c r="E1660" s="6" t="inlineStr">
        <is>
          <t>R1108436</t>
        </is>
      </c>
      <c r="F1660" s="2" t="n">
        <v>44316</v>
      </c>
      <c r="G1660" s="1" t="n"/>
    </row>
    <row r="1661">
      <c r="A1661" s="6" t="n">
        <v>40313</v>
      </c>
      <c r="B1661" s="6" t="inlineStr">
        <is>
          <t>NEW AMSTERDAM PEACH VODKA</t>
        </is>
      </c>
      <c r="C1661" s="7">
        <f>VLOOKUP(A1661,SizeData!A$2:B$3839,2,FALSE)</f>
        <v/>
      </c>
      <c r="D1661" s="6" t="n">
        <v>1</v>
      </c>
      <c r="E1661" s="6" t="inlineStr">
        <is>
          <t>R1045566</t>
        </is>
      </c>
      <c r="F1661" s="2" t="n">
        <v>44253</v>
      </c>
      <c r="G1661" s="1" t="n"/>
    </row>
    <row r="1662">
      <c r="A1662" s="6" t="n">
        <v>40313</v>
      </c>
      <c r="B1662" s="6" t="inlineStr">
        <is>
          <t>NEW AMSTERDAM PEACH VODKA</t>
        </is>
      </c>
      <c r="C1662" s="7">
        <f>VLOOKUP(A1662,SizeData!A$2:B$3839,2,FALSE)</f>
        <v/>
      </c>
      <c r="D1662" s="6" t="n">
        <v>2</v>
      </c>
      <c r="E1662" s="6" t="inlineStr">
        <is>
          <t xml:space="preserve"> R1206104</t>
        </is>
      </c>
      <c r="F1662" s="2" t="n">
        <v>44413</v>
      </c>
      <c r="G1662" s="1" t="n"/>
    </row>
    <row r="1663">
      <c r="A1663" s="6" t="n">
        <v>40313</v>
      </c>
      <c r="B1663" s="6" t="inlineStr">
        <is>
          <t>NEW AMSTERDAM PEACH VODKA</t>
        </is>
      </c>
      <c r="C1663" s="7">
        <f>VLOOKUP(A1663,SizeData!A$2:B$3839,2,FALSE)</f>
        <v/>
      </c>
      <c r="D1663" s="6" t="n">
        <v>0</v>
      </c>
      <c r="E1663" s="6" t="inlineStr">
        <is>
          <t>R1253669</t>
        </is>
      </c>
      <c r="F1663" s="2" t="n">
        <v>44471</v>
      </c>
      <c r="G1663" s="1" t="n"/>
    </row>
    <row r="1664">
      <c r="A1664" s="6" t="n">
        <v>40313</v>
      </c>
      <c r="B1664" s="6" t="inlineStr">
        <is>
          <t>NEW AMSTERDAM PEACH VODKA</t>
        </is>
      </c>
      <c r="C1664" s="7">
        <f>VLOOKUP(A1664,SizeData!A$2:B$3839,2,FALSE)</f>
        <v/>
      </c>
      <c r="D1664" s="6" t="n">
        <v>0</v>
      </c>
      <c r="E1664" s="6" t="inlineStr">
        <is>
          <t>R1264756</t>
        </is>
      </c>
      <c r="F1664" s="2" t="n">
        <v>44472</v>
      </c>
      <c r="G1664" s="1" t="n"/>
    </row>
    <row r="1665">
      <c r="A1665" s="6" t="n">
        <v>40313</v>
      </c>
      <c r="B1665" s="6" t="inlineStr">
        <is>
          <t>NEW AMSTERDAM PEACH VODKA</t>
        </is>
      </c>
      <c r="C1665" s="7">
        <f>VLOOKUP(A1665,SizeData!A$2:B$3839,2,FALSE)</f>
        <v/>
      </c>
      <c r="D1665" s="6" t="n">
        <v>0</v>
      </c>
      <c r="E1665" s="6" t="inlineStr">
        <is>
          <t>R1277647</t>
        </is>
      </c>
      <c r="F1665" s="2" t="n">
        <v>44484</v>
      </c>
      <c r="G1665" s="1" t="n"/>
    </row>
    <row r="1666">
      <c r="A1666" s="6" t="n">
        <v>40313</v>
      </c>
      <c r="B1666" s="6" t="inlineStr">
        <is>
          <t>NEW AMSTERDAM PEACH VODKA</t>
        </is>
      </c>
      <c r="C1666" s="7">
        <f>VLOOKUP(A1666,SizeData!A$2:B$3839,2,FALSE)</f>
        <v/>
      </c>
      <c r="D1666" s="6" t="n">
        <v>1</v>
      </c>
      <c r="E1666" s="6" t="inlineStr">
        <is>
          <t>R1284159</t>
        </is>
      </c>
      <c r="F1666" s="2" t="n">
        <v>44488</v>
      </c>
      <c r="G1666" s="1" t="n"/>
    </row>
    <row r="1667">
      <c r="A1667" s="6" t="n">
        <v>40313</v>
      </c>
      <c r="B1667" s="6" t="inlineStr">
        <is>
          <t>NEW AMSTERDAM PEACH VODKA</t>
        </is>
      </c>
      <c r="C1667" s="7">
        <f>VLOOKUP(A1667,SizeData!A$2:B$3839,2,FALSE)</f>
        <v/>
      </c>
      <c r="D1667" s="6" t="n">
        <v>4</v>
      </c>
      <c r="E1667" s="6" t="inlineStr">
        <is>
          <t>R1298726</t>
        </is>
      </c>
      <c r="F1667" s="2" t="n">
        <v>44497</v>
      </c>
      <c r="G1667" s="1" t="n"/>
    </row>
    <row r="1668">
      <c r="A1668" s="6" t="n">
        <v>40315</v>
      </c>
      <c r="B1668" s="6" t="inlineStr">
        <is>
          <t>NEW AMSTERDAM RED BERRY FLAVORED VODKA</t>
        </is>
      </c>
      <c r="C1668" s="7">
        <f>VLOOKUP(A1668,SizeData!A$2:B$3839,2,FALSE)</f>
        <v/>
      </c>
      <c r="D1668" s="6" t="n">
        <v>2</v>
      </c>
      <c r="E1668" s="6" t="inlineStr">
        <is>
          <t>R1356782A</t>
        </is>
      </c>
      <c r="F1668" s="2" t="n">
        <v>44552</v>
      </c>
      <c r="G1668" s="1" t="n"/>
    </row>
    <row r="1669">
      <c r="A1669" s="6" t="n">
        <v>40315</v>
      </c>
      <c r="B1669" s="6" t="inlineStr">
        <is>
          <t>NEW AMSTERDAM RED BERRY VODKA</t>
        </is>
      </c>
      <c r="C1669" s="7">
        <f>VLOOKUP(A1669,SizeData!A$2:B$3839,2,FALSE)</f>
        <v/>
      </c>
      <c r="D1669" s="6" t="n">
        <v>3</v>
      </c>
      <c r="E1669" s="6" t="inlineStr">
        <is>
          <t>R1025870</t>
        </is>
      </c>
      <c r="F1669" s="2" t="n">
        <v>44229</v>
      </c>
      <c r="G1669" s="1" t="n"/>
    </row>
    <row r="1670">
      <c r="A1670" s="6" t="n">
        <v>40315</v>
      </c>
      <c r="B1670" s="6" t="inlineStr">
        <is>
          <t>NEW AMSTERDAM RED BERRY VODKA</t>
        </is>
      </c>
      <c r="C1670" s="7">
        <f>VLOOKUP(A1670,SizeData!A$2:B$3839,2,FALSE)</f>
        <v/>
      </c>
      <c r="D1670" s="6" t="n">
        <v>1</v>
      </c>
      <c r="E1670" s="6" t="inlineStr">
        <is>
          <t>R1108436</t>
        </is>
      </c>
      <c r="F1670" s="2" t="n">
        <v>44316</v>
      </c>
      <c r="G1670" s="1" t="n"/>
    </row>
    <row r="1671">
      <c r="A1671" s="6" t="n">
        <v>40315</v>
      </c>
      <c r="B1671" s="6" t="inlineStr">
        <is>
          <t>NEW AMSTERDAM RED BERRY VODKA</t>
        </is>
      </c>
      <c r="C1671" s="7">
        <f>VLOOKUP(A1671,SizeData!A$2:B$3839,2,FALSE)</f>
        <v/>
      </c>
      <c r="D1671" s="6" t="n">
        <v>1</v>
      </c>
      <c r="E1671" s="6" t="inlineStr">
        <is>
          <t>R1137831</t>
        </is>
      </c>
      <c r="F1671" s="2" t="n">
        <v>44348</v>
      </c>
      <c r="G1671" s="1" t="n"/>
    </row>
    <row r="1672">
      <c r="A1672" s="6" t="n">
        <v>40315</v>
      </c>
      <c r="B1672" s="6" t="inlineStr">
        <is>
          <t>NEW AMSTERDAM RED BERRY VODKA</t>
        </is>
      </c>
      <c r="C1672" s="7">
        <f>VLOOKUP(A1672,SizeData!A$2:B$3839,2,FALSE)</f>
        <v/>
      </c>
      <c r="D1672" s="6" t="n">
        <v>2</v>
      </c>
      <c r="E1672" s="6" t="inlineStr">
        <is>
          <t>R1155060</t>
        </is>
      </c>
      <c r="F1672" s="2" t="n">
        <v>44357</v>
      </c>
      <c r="G1672" s="1" t="n"/>
    </row>
    <row r="1673">
      <c r="A1673" s="6" t="n">
        <v>40315</v>
      </c>
      <c r="B1673" s="6" t="inlineStr">
        <is>
          <t>NEW AMSTERDAM RED BERRY VODKA</t>
        </is>
      </c>
      <c r="C1673" s="7">
        <f>VLOOKUP(A1673,SizeData!A$2:B$3839,2,FALSE)</f>
        <v/>
      </c>
      <c r="D1673" s="6" t="n">
        <v>1</v>
      </c>
      <c r="E1673" s="6" t="inlineStr">
        <is>
          <t>R1221219</t>
        </is>
      </c>
      <c r="F1673" s="2" t="n">
        <v>44432</v>
      </c>
      <c r="G1673" s="1" t="n"/>
    </row>
    <row r="1674">
      <c r="A1674" s="6" t="n">
        <v>40315</v>
      </c>
      <c r="B1674" s="6" t="inlineStr">
        <is>
          <t>NEW AMSTERDAM RED BERRY VODKA</t>
        </is>
      </c>
      <c r="C1674" s="7">
        <f>VLOOKUP(A1674,SizeData!A$2:B$3839,2,FALSE)</f>
        <v/>
      </c>
      <c r="D1674" s="6" t="n">
        <v>0</v>
      </c>
      <c r="E1674" s="6" t="inlineStr">
        <is>
          <t>R1264756</t>
        </is>
      </c>
      <c r="F1674" s="2" t="n">
        <v>44472</v>
      </c>
      <c r="G1674" s="1" t="n"/>
    </row>
    <row r="1675">
      <c r="A1675" s="6" t="n">
        <v>40315</v>
      </c>
      <c r="B1675" s="6" t="inlineStr">
        <is>
          <t>NEW AMSTERDAM RED BERRY VODKA</t>
        </is>
      </c>
      <c r="C1675" s="7">
        <f>VLOOKUP(A1675,SizeData!A$2:B$3839,2,FALSE)</f>
        <v/>
      </c>
      <c r="D1675" s="6" t="n">
        <v>3</v>
      </c>
      <c r="E1675" s="6" t="inlineStr">
        <is>
          <t>R1301289</t>
        </is>
      </c>
      <c r="F1675" s="2" t="n">
        <v>44499</v>
      </c>
      <c r="G1675" s="1" t="n"/>
    </row>
    <row r="1676">
      <c r="A1676" s="6" t="n">
        <v>40494</v>
      </c>
      <c r="B1676" s="6" t="inlineStr">
        <is>
          <t>TAAKA PEACH VODKA</t>
        </is>
      </c>
      <c r="C1676" s="7">
        <f>VLOOKUP(A1676,SizeData!A$2:B$3839,2,FALSE)</f>
        <v/>
      </c>
      <c r="D1676" s="6" t="n">
        <v>3</v>
      </c>
      <c r="E1676" s="6" t="inlineStr">
        <is>
          <t xml:space="preserve"> R1149817</t>
        </is>
      </c>
      <c r="F1676" s="2" t="n">
        <v>44364</v>
      </c>
      <c r="G1676" s="1" t="n"/>
    </row>
    <row r="1677">
      <c r="A1677" s="6" t="n">
        <v>40494</v>
      </c>
      <c r="B1677" s="6" t="inlineStr">
        <is>
          <t>TAAKA PEACH VODKA</t>
        </is>
      </c>
      <c r="C1677" s="7">
        <f>VLOOKUP(A1677,SizeData!A$2:B$3839,2,FALSE)</f>
        <v/>
      </c>
      <c r="D1677" s="6" t="n">
        <v>5</v>
      </c>
      <c r="E1677" s="6" t="inlineStr">
        <is>
          <t>R1162430</t>
        </is>
      </c>
      <c r="F1677" s="2" t="n">
        <v>44371</v>
      </c>
      <c r="G1677" s="1" t="n"/>
    </row>
    <row r="1678">
      <c r="A1678" s="6" t="n">
        <v>40589</v>
      </c>
      <c r="B1678" s="6" t="inlineStr">
        <is>
          <t>TAAKA PEACH VODKA</t>
        </is>
      </c>
      <c r="C1678" s="7">
        <f>VLOOKUP(A1678,SizeData!A$2:B$3839,2,FALSE)</f>
        <v/>
      </c>
      <c r="D1678" s="6" t="n">
        <v>1</v>
      </c>
      <c r="E1678" s="6" t="inlineStr">
        <is>
          <t>R1010197</t>
        </is>
      </c>
      <c r="F1678" s="2" t="n">
        <v>44214</v>
      </c>
      <c r="G1678" s="1" t="n"/>
    </row>
    <row r="1679">
      <c r="A1679" s="6" t="n">
        <v>40589</v>
      </c>
      <c r="B1679" s="6" t="inlineStr">
        <is>
          <t>TAAKA PEACH VODKA</t>
        </is>
      </c>
      <c r="C1679" s="7">
        <f>VLOOKUP(A1679,SizeData!A$2:B$3839,2,FALSE)</f>
        <v/>
      </c>
      <c r="D1679" s="6" t="n">
        <v>1</v>
      </c>
      <c r="E1679" s="6" t="inlineStr">
        <is>
          <t>R1030568</t>
        </is>
      </c>
      <c r="F1679" s="2" t="n">
        <v>44229</v>
      </c>
      <c r="G1679" s="1" t="n"/>
    </row>
    <row r="1680">
      <c r="A1680" s="6" t="n">
        <v>40589</v>
      </c>
      <c r="B1680" s="6" t="inlineStr">
        <is>
          <t>TAAKA PEACH VODKA</t>
        </is>
      </c>
      <c r="C1680" s="7">
        <f>VLOOKUP(A1680,SizeData!A$2:B$3839,2,FALSE)</f>
        <v/>
      </c>
      <c r="D1680" s="6" t="n">
        <v>1</v>
      </c>
      <c r="E1680" s="6" t="inlineStr">
        <is>
          <t>R1307558</t>
        </is>
      </c>
      <c r="F1680" s="2" t="n">
        <v>44502</v>
      </c>
      <c r="G1680" s="1" t="n"/>
    </row>
    <row r="1681">
      <c r="A1681" s="6" t="n">
        <v>40589</v>
      </c>
      <c r="B1681" s="6" t="inlineStr">
        <is>
          <t>TAAKA PEACH VODKA</t>
        </is>
      </c>
      <c r="C1681" s="7">
        <f>VLOOKUP(A1681,SizeData!A$2:B$3839,2,FALSE)</f>
        <v/>
      </c>
      <c r="D1681" s="6" t="n">
        <v>1</v>
      </c>
      <c r="E1681" s="6" t="inlineStr">
        <is>
          <t>R1340613</t>
        </is>
      </c>
      <c r="F1681" s="2" t="n">
        <v>44520</v>
      </c>
      <c r="G1681" s="1" t="n"/>
    </row>
    <row r="1682">
      <c r="A1682" s="6" t="n">
        <v>40590</v>
      </c>
      <c r="B1682" s="6" t="inlineStr">
        <is>
          <t>NEW AMSTERDAM PEACH VODKA</t>
        </is>
      </c>
      <c r="C1682" s="7">
        <f>VLOOKUP(A1682,SizeData!A$2:B$3839,2,FALSE)</f>
        <v/>
      </c>
      <c r="D1682" s="6" t="n">
        <v>1</v>
      </c>
      <c r="E1682" s="6" t="inlineStr">
        <is>
          <t>R1007720</t>
        </is>
      </c>
      <c r="F1682" s="2" t="n">
        <v>44216</v>
      </c>
      <c r="G1682" s="1" t="n"/>
    </row>
    <row r="1683">
      <c r="A1683" s="6" t="n">
        <v>40590</v>
      </c>
      <c r="B1683" s="6" t="inlineStr">
        <is>
          <t>NEW AMSTERDAM PEACH VODKA</t>
        </is>
      </c>
      <c r="C1683" s="7">
        <f>VLOOKUP(A1683,SizeData!A$2:B$3839,2,FALSE)</f>
        <v/>
      </c>
      <c r="D1683" s="6" t="n">
        <v>1</v>
      </c>
      <c r="E1683" s="6" t="inlineStr">
        <is>
          <t>R1077298</t>
        </is>
      </c>
      <c r="F1683" s="2" t="n">
        <v>44290</v>
      </c>
      <c r="G1683" s="1" t="n"/>
    </row>
    <row r="1684">
      <c r="A1684" s="6" t="n">
        <v>40590</v>
      </c>
      <c r="B1684" s="6" t="inlineStr">
        <is>
          <t>NEW AMSTERDAM PEACH VODKA</t>
        </is>
      </c>
      <c r="C1684" s="7">
        <f>VLOOKUP(A1684,SizeData!A$2:B$3839,2,FALSE)</f>
        <v/>
      </c>
      <c r="D1684" s="6" t="n">
        <v>1</v>
      </c>
      <c r="E1684" s="6" t="inlineStr">
        <is>
          <t>R1083538</t>
        </is>
      </c>
      <c r="F1684" s="2" t="n">
        <v>44292</v>
      </c>
      <c r="G1684" s="1" t="n"/>
    </row>
    <row r="1685">
      <c r="A1685" s="6" t="n">
        <v>40590</v>
      </c>
      <c r="B1685" s="6" t="inlineStr">
        <is>
          <t>NEW AMSTERDAM PEACH VODKA</t>
        </is>
      </c>
      <c r="C1685" s="7">
        <f>VLOOKUP(A1685,SizeData!A$2:B$3839,2,FALSE)</f>
        <v/>
      </c>
      <c r="D1685" s="6" t="n">
        <v>1</v>
      </c>
      <c r="E1685" s="6" t="inlineStr">
        <is>
          <t>R1119380</t>
        </is>
      </c>
      <c r="F1685" s="2" t="n">
        <v>44338</v>
      </c>
      <c r="G1685" s="1" t="n"/>
    </row>
    <row r="1686">
      <c r="A1686" s="6" t="n">
        <v>40590</v>
      </c>
      <c r="B1686" s="6" t="inlineStr">
        <is>
          <t>NEW AMSTERDAM PEACH VODKA</t>
        </is>
      </c>
      <c r="C1686" s="7">
        <f>VLOOKUP(A1686,SizeData!A$2:B$3839,2,FALSE)</f>
        <v/>
      </c>
      <c r="D1686" s="6" t="n">
        <v>1</v>
      </c>
      <c r="E1686" s="6" t="inlineStr">
        <is>
          <t>R1181307</t>
        </is>
      </c>
      <c r="F1686" s="2" t="n">
        <v>44387</v>
      </c>
      <c r="G1686" s="1" t="n"/>
    </row>
    <row r="1687">
      <c r="A1687" s="6" t="n">
        <v>40590</v>
      </c>
      <c r="B1687" s="6" t="inlineStr">
        <is>
          <t>NEW AMSTERDAM PEACH VODKA</t>
        </is>
      </c>
      <c r="C1687" s="7">
        <f>VLOOKUP(A1687,SizeData!A$2:B$3839,2,FALSE)</f>
        <v/>
      </c>
      <c r="D1687" s="6" t="n">
        <v>1</v>
      </c>
      <c r="E1687" s="6" t="inlineStr">
        <is>
          <t>R1192528</t>
        </is>
      </c>
      <c r="F1687" s="2" t="n">
        <v>44404</v>
      </c>
      <c r="G1687" s="1" t="n"/>
    </row>
    <row r="1688">
      <c r="A1688" s="6" t="n">
        <v>40590</v>
      </c>
      <c r="B1688" s="6" t="inlineStr">
        <is>
          <t>NEW AMSTERDAM PEACH VODKA</t>
        </is>
      </c>
      <c r="C1688" s="7">
        <f>VLOOKUP(A1688,SizeData!A$2:B$3839,2,FALSE)</f>
        <v/>
      </c>
      <c r="D1688" s="6" t="n">
        <v>1</v>
      </c>
      <c r="E1688" s="6" t="inlineStr">
        <is>
          <t>R1256874</t>
        </is>
      </c>
      <c r="F1688" s="2" t="n">
        <v>44469</v>
      </c>
      <c r="G1688" s="1" t="n"/>
    </row>
    <row r="1689">
      <c r="A1689" s="6" t="n">
        <v>40590</v>
      </c>
      <c r="B1689" s="6" t="inlineStr">
        <is>
          <t>NEW AMSTERDAM PEACH VODKA</t>
        </is>
      </c>
      <c r="C1689" s="7">
        <f>VLOOKUP(A1689,SizeData!A$2:B$3839,2,FALSE)</f>
        <v/>
      </c>
      <c r="D1689" s="6" t="n">
        <v>2</v>
      </c>
      <c r="E1689" s="6" t="inlineStr">
        <is>
          <t>R1345582</t>
        </is>
      </c>
      <c r="F1689" s="2" t="n">
        <v>44526</v>
      </c>
      <c r="G1689" s="1" t="n"/>
    </row>
    <row r="1690">
      <c r="A1690" s="6" t="n">
        <v>40592</v>
      </c>
      <c r="B1690" s="6" t="inlineStr">
        <is>
          <t>NEW AMSTERDAM PEACH VODKA</t>
        </is>
      </c>
      <c r="C1690" s="7">
        <f>VLOOKUP(A1690,SizeData!A$2:B$3839,2,FALSE)</f>
        <v/>
      </c>
      <c r="D1690" s="6" t="n">
        <v>1</v>
      </c>
      <c r="E1690" s="6" t="inlineStr">
        <is>
          <t>R1003923</t>
        </is>
      </c>
      <c r="F1690" s="2" t="n">
        <v>44219</v>
      </c>
      <c r="G1690" s="1" t="n"/>
    </row>
    <row r="1691">
      <c r="A1691" s="6" t="n">
        <v>40592</v>
      </c>
      <c r="B1691" s="6" t="inlineStr">
        <is>
          <t>NEW AMSTERDAM PEACH VODKA</t>
        </is>
      </c>
      <c r="C1691" s="7">
        <f>VLOOKUP(A1691,SizeData!A$2:B$3839,2,FALSE)</f>
        <v/>
      </c>
      <c r="D1691" s="6" t="n">
        <v>1</v>
      </c>
      <c r="E1691" s="6" t="inlineStr">
        <is>
          <t>R1133709</t>
        </is>
      </c>
      <c r="F1691" s="2" t="n">
        <v>44344</v>
      </c>
      <c r="G1691" s="1" t="n"/>
    </row>
    <row r="1692">
      <c r="A1692" s="6" t="n">
        <v>40592</v>
      </c>
      <c r="B1692" s="6" t="inlineStr">
        <is>
          <t>NEW AMSTERDAM PEACH VODKA</t>
        </is>
      </c>
      <c r="C1692" s="7">
        <f>VLOOKUP(A1692,SizeData!A$2:B$3839,2,FALSE)</f>
        <v/>
      </c>
      <c r="D1692" s="6" t="n">
        <v>1</v>
      </c>
      <c r="E1692" s="6" t="inlineStr">
        <is>
          <t>R1226354</t>
        </is>
      </c>
      <c r="F1692" s="2" t="n">
        <v>44434</v>
      </c>
      <c r="G1692" s="1" t="n"/>
    </row>
    <row r="1693">
      <c r="A1693" s="6" t="n">
        <v>40592</v>
      </c>
      <c r="B1693" s="6" t="inlineStr">
        <is>
          <t>NEW AMSTERDAM PEACH VODKA</t>
        </is>
      </c>
      <c r="C1693" s="7">
        <f>VLOOKUP(A1693,SizeData!A$2:B$3839,2,FALSE)</f>
        <v/>
      </c>
      <c r="D1693" s="6" t="n">
        <v>1</v>
      </c>
      <c r="E1693" s="6" t="inlineStr">
        <is>
          <t>R1335595</t>
        </is>
      </c>
      <c r="F1693" s="2" t="n">
        <v>44520</v>
      </c>
      <c r="G1693" s="1" t="n"/>
    </row>
    <row r="1694">
      <c r="A1694" s="6" t="n">
        <v>40593</v>
      </c>
      <c r="B1694" s="6" t="inlineStr">
        <is>
          <t>NEW AMSTERDAM PEACH VODKA</t>
        </is>
      </c>
      <c r="C1694" s="7">
        <f>VLOOKUP(A1694,SizeData!A$2:B$3839,2,FALSE)</f>
        <v/>
      </c>
      <c r="D1694" s="6" t="n">
        <v>6</v>
      </c>
      <c r="E1694" s="6" t="inlineStr">
        <is>
          <t>R1070690</t>
        </is>
      </c>
      <c r="F1694" s="2" t="n">
        <v>44277</v>
      </c>
      <c r="G1694" s="1" t="n"/>
    </row>
    <row r="1695">
      <c r="A1695" s="6" t="n">
        <v>40593</v>
      </c>
      <c r="B1695" s="6" t="inlineStr">
        <is>
          <t>NEW AMSTERDAM PEACH VODKA</t>
        </is>
      </c>
      <c r="C1695" s="7">
        <f>VLOOKUP(A1695,SizeData!A$2:B$3839,2,FALSE)</f>
        <v/>
      </c>
      <c r="D1695" s="6" t="n">
        <v>2</v>
      </c>
      <c r="E1695" s="6" t="inlineStr">
        <is>
          <t xml:space="preserve"> R1150892</t>
        </is>
      </c>
      <c r="F1695" s="2" t="n">
        <v>44368</v>
      </c>
      <c r="G1695" s="1" t="n"/>
    </row>
    <row r="1696">
      <c r="A1696" s="6" t="n">
        <v>40593</v>
      </c>
      <c r="B1696" s="6" t="inlineStr">
        <is>
          <t>NEW AMSTERDAM PEACH VODKA</t>
        </is>
      </c>
      <c r="C1696" s="7">
        <f>VLOOKUP(A1696,SizeData!A$2:B$3839,2,FALSE)</f>
        <v/>
      </c>
      <c r="D1696" s="6" t="n">
        <v>3</v>
      </c>
      <c r="E1696" s="6" t="inlineStr">
        <is>
          <t>R1265540</t>
        </is>
      </c>
      <c r="F1696" s="2" t="n">
        <v>44459</v>
      </c>
      <c r="G1696" s="1" t="n"/>
    </row>
    <row r="1697">
      <c r="A1697" s="6" t="n">
        <v>40593</v>
      </c>
      <c r="B1697" s="6" t="inlineStr">
        <is>
          <t>NEW AMSTERDAM PEACH VODKA</t>
        </is>
      </c>
      <c r="C1697" s="7">
        <f>VLOOKUP(A1697,SizeData!A$2:B$3839,2,FALSE)</f>
        <v/>
      </c>
      <c r="D1697" s="6" t="n">
        <v>2</v>
      </c>
      <c r="E1697" s="6" t="inlineStr">
        <is>
          <t>R1360134</t>
        </is>
      </c>
      <c r="F1697" s="2" t="n">
        <v>44532</v>
      </c>
      <c r="G1697" s="1" t="n"/>
    </row>
    <row r="1698">
      <c r="A1698" s="6" t="n">
        <v>40593</v>
      </c>
      <c r="B1698" s="6" t="inlineStr">
        <is>
          <t>NEW AMSTERDAM PEACH VODKA</t>
        </is>
      </c>
      <c r="C1698" s="7">
        <f>VLOOKUP(A1698,SizeData!A$2:B$3839,2,FALSE)</f>
        <v/>
      </c>
      <c r="D1698" s="6" t="n">
        <v>2</v>
      </c>
      <c r="E1698" s="6" t="inlineStr">
        <is>
          <t>R1360134</t>
        </is>
      </c>
      <c r="F1698" s="2" t="n">
        <v>44532</v>
      </c>
      <c r="G1698" s="1" t="n"/>
    </row>
    <row r="1699">
      <c r="A1699" s="6" t="n">
        <v>40594</v>
      </c>
      <c r="B1699" s="6" t="inlineStr">
        <is>
          <t>NEW AMSTERDAM PEACH VODKA</t>
        </is>
      </c>
      <c r="C1699" s="7">
        <f>VLOOKUP(A1699,SizeData!A$2:B$3839,2,FALSE)</f>
        <v/>
      </c>
      <c r="D1699" s="6" t="n">
        <v>1</v>
      </c>
      <c r="E1699" s="6" t="inlineStr">
        <is>
          <t>R1066712</t>
        </is>
      </c>
      <c r="F1699" s="2" t="n">
        <v>44268</v>
      </c>
      <c r="G1699" s="1" t="n"/>
    </row>
    <row r="1700">
      <c r="A1700" s="6" t="n">
        <v>40594</v>
      </c>
      <c r="B1700" s="6" t="inlineStr">
        <is>
          <t>NEW AMSTERDAM PEACH VODKA</t>
        </is>
      </c>
      <c r="C1700" s="7">
        <f>VLOOKUP(A1700,SizeData!A$2:B$3839,2,FALSE)</f>
        <v/>
      </c>
      <c r="D1700" s="6" t="n">
        <v>1</v>
      </c>
      <c r="E1700" s="6" t="inlineStr">
        <is>
          <t>R1084456</t>
        </is>
      </c>
      <c r="F1700" s="2" t="n">
        <v>44301</v>
      </c>
      <c r="G1700" s="1" t="n"/>
    </row>
    <row r="1701">
      <c r="A1701" s="6" t="n">
        <v>40594</v>
      </c>
      <c r="B1701" s="6" t="inlineStr">
        <is>
          <t>NEW AMSTERDAM PEACH VODKA</t>
        </is>
      </c>
      <c r="C1701" s="7">
        <f>VLOOKUP(A1701,SizeData!A$2:B$3839,2,FALSE)</f>
        <v/>
      </c>
      <c r="D1701" s="6" t="n">
        <v>1</v>
      </c>
      <c r="E1701" s="6" t="inlineStr">
        <is>
          <t>R1139712</t>
        </is>
      </c>
      <c r="F1701" s="2" t="n">
        <v>44352</v>
      </c>
      <c r="G1701" s="1" t="n"/>
    </row>
    <row r="1702">
      <c r="A1702" s="6" t="n">
        <v>40594</v>
      </c>
      <c r="B1702" s="6" t="inlineStr">
        <is>
          <t>NEW AMSTERDAM PEACH VODKA</t>
        </is>
      </c>
      <c r="C1702" s="7">
        <f>VLOOKUP(A1702,SizeData!A$2:B$3839,2,FALSE)</f>
        <v/>
      </c>
      <c r="D1702" s="6" t="n">
        <v>1</v>
      </c>
      <c r="E1702" s="6" t="inlineStr">
        <is>
          <t>R1173671</t>
        </is>
      </c>
      <c r="F1702" s="2" t="n">
        <v>44394</v>
      </c>
      <c r="G1702" s="1" t="n"/>
    </row>
    <row r="1703">
      <c r="A1703" s="6" t="n">
        <v>40594</v>
      </c>
      <c r="B1703" s="6" t="inlineStr">
        <is>
          <t>NEW AMSTERDAM PEACH VODKA</t>
        </is>
      </c>
      <c r="C1703" s="7">
        <f>VLOOKUP(A1703,SizeData!A$2:B$3839,2,FALSE)</f>
        <v/>
      </c>
      <c r="D1703" s="6" t="n">
        <v>0</v>
      </c>
      <c r="E1703" s="6" t="inlineStr">
        <is>
          <t>R1246630</t>
        </is>
      </c>
      <c r="F1703" s="2" t="n">
        <v>44450</v>
      </c>
      <c r="G1703" s="1" t="n"/>
    </row>
    <row r="1704">
      <c r="A1704" s="6" t="n">
        <v>40594</v>
      </c>
      <c r="B1704" s="6" t="inlineStr">
        <is>
          <t>NEW AMSTERDAM PEACH VODKA</t>
        </is>
      </c>
      <c r="C1704" s="7">
        <f>VLOOKUP(A1704,SizeData!A$2:B$3839,2,FALSE)</f>
        <v/>
      </c>
      <c r="D1704" s="6" t="n">
        <v>1</v>
      </c>
      <c r="E1704" s="6" t="inlineStr">
        <is>
          <t>R1299736</t>
        </is>
      </c>
      <c r="F1704" s="2" t="n">
        <v>44499</v>
      </c>
      <c r="G1704" s="1" t="n"/>
    </row>
    <row r="1705">
      <c r="A1705" s="6" t="n">
        <v>40595</v>
      </c>
      <c r="B1705" s="6" t="inlineStr">
        <is>
          <t>NEW AMSTERDAM RED BERRY VODKA</t>
        </is>
      </c>
      <c r="C1705" s="7">
        <f>VLOOKUP(A1705,SizeData!A$2:B$3839,2,FALSE)</f>
        <v/>
      </c>
      <c r="D1705" s="6" t="n">
        <v>1</v>
      </c>
      <c r="E1705" s="6" t="inlineStr">
        <is>
          <t>R1025870</t>
        </is>
      </c>
      <c r="F1705" s="2" t="n">
        <v>44229</v>
      </c>
      <c r="G1705" s="1" t="n"/>
    </row>
    <row r="1706">
      <c r="A1706" s="6" t="n">
        <v>40597</v>
      </c>
      <c r="B1706" s="6" t="inlineStr">
        <is>
          <t>NEW AMSTERDAM RED BERRY VODKA</t>
        </is>
      </c>
      <c r="C1706" s="7">
        <f>VLOOKUP(A1706,SizeData!A$2:B$3839,2,FALSE)</f>
        <v/>
      </c>
      <c r="D1706" s="6" t="n">
        <v>1</v>
      </c>
      <c r="E1706" s="6" t="inlineStr">
        <is>
          <t>R1003923</t>
        </is>
      </c>
      <c r="F1706" s="2" t="n">
        <v>44219</v>
      </c>
      <c r="G1706" s="1" t="n"/>
    </row>
    <row r="1707">
      <c r="A1707" s="6" t="n">
        <v>40597</v>
      </c>
      <c r="B1707" s="6" t="inlineStr">
        <is>
          <t>NEW AMSTERDAM RED BERRY VODKA</t>
        </is>
      </c>
      <c r="C1707" s="7">
        <f>VLOOKUP(A1707,SizeData!A$2:B$3839,2,FALSE)</f>
        <v/>
      </c>
      <c r="D1707" s="6" t="n">
        <v>1</v>
      </c>
      <c r="E1707" s="6" t="inlineStr">
        <is>
          <t>R1226354</t>
        </is>
      </c>
      <c r="F1707" s="2" t="n">
        <v>44434</v>
      </c>
      <c r="G1707" s="1" t="n"/>
    </row>
    <row r="1708">
      <c r="A1708" s="6" t="n">
        <v>40597</v>
      </c>
      <c r="B1708" s="6" t="inlineStr">
        <is>
          <t>NEW AMSTERDAM RED BERRY VODKA</t>
        </is>
      </c>
      <c r="C1708" s="7">
        <f>VLOOKUP(A1708,SizeData!A$2:B$3839,2,FALSE)</f>
        <v/>
      </c>
      <c r="D1708" s="6" t="n">
        <v>1</v>
      </c>
      <c r="E1708" s="6" t="inlineStr">
        <is>
          <t>R1335595</t>
        </is>
      </c>
      <c r="F1708" s="2" t="n">
        <v>44520</v>
      </c>
      <c r="G1708" s="1" t="n"/>
    </row>
    <row r="1709">
      <c r="A1709" s="6" t="n">
        <v>40598</v>
      </c>
      <c r="B1709" s="6" t="inlineStr">
        <is>
          <t>NEW AMSTERDAM RED BERRY VODKA</t>
        </is>
      </c>
      <c r="C1709" s="7">
        <f>VLOOKUP(A1709,SizeData!A$2:B$3839,2,FALSE)</f>
        <v/>
      </c>
      <c r="D1709" s="6" t="n">
        <v>2</v>
      </c>
      <c r="E1709" s="6" t="inlineStr">
        <is>
          <t>R1235270</t>
        </is>
      </c>
      <c r="F1709" s="2" t="n">
        <v>44440</v>
      </c>
      <c r="G1709" s="1" t="n"/>
    </row>
    <row r="1710">
      <c r="A1710" s="6" t="n">
        <v>40598</v>
      </c>
      <c r="B1710" s="6" t="inlineStr">
        <is>
          <t>NEW AMSTERDAM RED BERRY VODKA</t>
        </is>
      </c>
      <c r="C1710" s="7">
        <f>VLOOKUP(A1710,SizeData!A$2:B$3839,2,FALSE)</f>
        <v/>
      </c>
      <c r="D1710" s="6" t="n">
        <v>0</v>
      </c>
      <c r="E1710" s="6" t="inlineStr">
        <is>
          <t>R1228454</t>
        </is>
      </c>
      <c r="F1710" s="2" t="n">
        <v>44445</v>
      </c>
      <c r="G1710" s="1" t="n"/>
    </row>
    <row r="1711">
      <c r="A1711" s="6" t="n">
        <v>40598</v>
      </c>
      <c r="B1711" s="6" t="inlineStr">
        <is>
          <t>NEW AMSTERDAM RED BERRY VODKA</t>
        </is>
      </c>
      <c r="C1711" s="7">
        <f>VLOOKUP(A1711,SizeData!A$2:B$3839,2,FALSE)</f>
        <v/>
      </c>
      <c r="D1711" s="6" t="n">
        <v>0</v>
      </c>
      <c r="E1711" s="6" t="inlineStr">
        <is>
          <t>R1259313</t>
        </is>
      </c>
      <c r="F1711" s="2" t="n">
        <v>44467</v>
      </c>
      <c r="G1711" s="1" t="n"/>
    </row>
    <row r="1712">
      <c r="A1712" s="6" t="n">
        <v>40599</v>
      </c>
      <c r="B1712" s="6" t="inlineStr">
        <is>
          <t>NEW AMSTERDAM RED BERRY VODKA</t>
        </is>
      </c>
      <c r="C1712" s="7">
        <f>VLOOKUP(A1712,SizeData!A$2:B$3839,2,FALSE)</f>
        <v/>
      </c>
      <c r="D1712" s="6" t="n">
        <v>1</v>
      </c>
      <c r="E1712" s="6" t="inlineStr">
        <is>
          <t>R1114354</t>
        </is>
      </c>
      <c r="F1712" s="2" t="n">
        <v>44334</v>
      </c>
      <c r="G1712" s="1" t="n"/>
    </row>
    <row r="1713">
      <c r="A1713" s="6" t="n">
        <v>40599</v>
      </c>
      <c r="B1713" s="6" t="inlineStr">
        <is>
          <t>NEW AMSTERDAM RED BERRY VODKA</t>
        </is>
      </c>
      <c r="C1713" s="7">
        <f>VLOOKUP(A1713,SizeData!A$2:B$3839,2,FALSE)</f>
        <v/>
      </c>
      <c r="D1713" s="6" t="n">
        <v>1</v>
      </c>
      <c r="E1713" s="6" t="inlineStr">
        <is>
          <t xml:space="preserve"> R1264833</t>
        </is>
      </c>
      <c r="F1713" s="2" t="n">
        <v>44471</v>
      </c>
      <c r="G1713" s="1" t="n"/>
    </row>
    <row r="1714">
      <c r="A1714" s="6" t="n">
        <v>40599</v>
      </c>
      <c r="B1714" s="6" t="inlineStr">
        <is>
          <t>NEW AMSTERDAM RED BERRY VODKA</t>
        </is>
      </c>
      <c r="C1714" s="7">
        <f>VLOOKUP(A1714,SizeData!A$2:B$3839,2,FALSE)</f>
        <v/>
      </c>
      <c r="D1714" s="6" t="n">
        <v>1</v>
      </c>
      <c r="E1714" s="6" t="inlineStr">
        <is>
          <t>R1335595</t>
        </is>
      </c>
      <c r="F1714" s="2" t="n">
        <v>44520</v>
      </c>
      <c r="G1714" s="1" t="n"/>
    </row>
    <row r="1715">
      <c r="A1715" s="6" t="n">
        <v>41060</v>
      </c>
      <c r="B1715" s="6" t="inlineStr">
        <is>
          <t>BURNETT'S PINK LEMONADE VODKA</t>
        </is>
      </c>
      <c r="C1715" s="7">
        <f>VLOOKUP(A1715,SizeData!A$2:B$3839,2,FALSE)</f>
        <v/>
      </c>
      <c r="D1715" s="6" t="n">
        <v>1</v>
      </c>
      <c r="E1715" s="6" t="inlineStr">
        <is>
          <t>R1099557</t>
        </is>
      </c>
      <c r="F1715" s="2" t="n">
        <v>44317</v>
      </c>
      <c r="G1715" s="1" t="n"/>
    </row>
    <row r="1716">
      <c r="A1716" s="6" t="n">
        <v>41226</v>
      </c>
      <c r="B1716" s="6" t="inlineStr">
        <is>
          <t>BURNETT'S STRAWBERRY VODKA</t>
        </is>
      </c>
      <c r="C1716" s="7">
        <f>VLOOKUP(A1716,SizeData!A$2:B$3839,2,FALSE)</f>
        <v/>
      </c>
      <c r="D1716" s="6" t="n">
        <v>0</v>
      </c>
      <c r="E1716" s="6" t="inlineStr">
        <is>
          <t>R1228454</t>
        </is>
      </c>
      <c r="F1716" s="2" t="n">
        <v>44445</v>
      </c>
      <c r="G1716" s="1" t="n"/>
    </row>
    <row r="1717">
      <c r="A1717" s="6" t="n">
        <v>41226</v>
      </c>
      <c r="B1717" s="6" t="inlineStr">
        <is>
          <t>BURNETT'S STRAWBERRY VODKA</t>
        </is>
      </c>
      <c r="C1717" s="7">
        <f>VLOOKUP(A1717,SizeData!A$2:B$3839,2,FALSE)</f>
        <v/>
      </c>
      <c r="D1717" s="6" t="n">
        <v>1</v>
      </c>
      <c r="E1717" s="6" t="inlineStr">
        <is>
          <t>R1341373</t>
        </is>
      </c>
      <c r="F1717" s="2" t="n">
        <v>44531</v>
      </c>
      <c r="G1717" s="1" t="n"/>
    </row>
    <row r="1718">
      <c r="A1718" s="6" t="n">
        <v>41271</v>
      </c>
      <c r="B1718" s="6" t="inlineStr">
        <is>
          <t>BURNETT'S BLUEBERRY VODKA</t>
        </is>
      </c>
      <c r="C1718" s="7">
        <f>VLOOKUP(A1718,SizeData!A$2:B$3839,2,FALSE)</f>
        <v/>
      </c>
      <c r="D1718" s="6" t="n">
        <v>1</v>
      </c>
      <c r="E1718" s="6" t="inlineStr">
        <is>
          <t>R989703</t>
        </is>
      </c>
      <c r="F1718" s="2" t="n">
        <v>44197</v>
      </c>
      <c r="G1718" s="1" t="n"/>
    </row>
    <row r="1719">
      <c r="A1719" s="6" t="n">
        <v>41294</v>
      </c>
      <c r="B1719" s="6" t="inlineStr">
        <is>
          <t>BURNETT'S PEACH VODKA</t>
        </is>
      </c>
      <c r="C1719" s="7">
        <f>VLOOKUP(A1719,SizeData!A$2:B$3839,2,FALSE)</f>
        <v/>
      </c>
      <c r="D1719" s="6" t="n">
        <v>1</v>
      </c>
      <c r="E1719" s="6" t="inlineStr">
        <is>
          <t>R996759</t>
        </is>
      </c>
      <c r="F1719" s="2" t="n">
        <v>44210</v>
      </c>
      <c r="G1719" s="1" t="n"/>
    </row>
    <row r="1720">
      <c r="A1720" s="6" t="n">
        <v>41294</v>
      </c>
      <c r="B1720" s="6" t="inlineStr">
        <is>
          <t>BURNETT'S PEACH VODKA</t>
        </is>
      </c>
      <c r="C1720" s="7">
        <f>VLOOKUP(A1720,SizeData!A$2:B$3839,2,FALSE)</f>
        <v/>
      </c>
      <c r="D1720" s="6" t="n">
        <v>1</v>
      </c>
      <c r="E1720" s="6" t="inlineStr">
        <is>
          <t>R1003923</t>
        </is>
      </c>
      <c r="F1720" s="2" t="n">
        <v>44219</v>
      </c>
      <c r="G1720" s="1" t="n"/>
    </row>
    <row r="1721">
      <c r="A1721" s="6" t="n">
        <v>41294</v>
      </c>
      <c r="B1721" s="6" t="inlineStr">
        <is>
          <t>BURNETT'S PEACH VODKA</t>
        </is>
      </c>
      <c r="C1721" s="7">
        <f>VLOOKUP(A1721,SizeData!A$2:B$3839,2,FALSE)</f>
        <v/>
      </c>
      <c r="D1721" s="6" t="n">
        <v>0</v>
      </c>
      <c r="E1721" s="6" t="inlineStr">
        <is>
          <t>R1264756</t>
        </is>
      </c>
      <c r="F1721" s="2" t="n">
        <v>44472</v>
      </c>
      <c r="G1721" s="1" t="n"/>
    </row>
    <row r="1722">
      <c r="A1722" s="6" t="n">
        <v>41294</v>
      </c>
      <c r="B1722" s="6" t="inlineStr">
        <is>
          <t>BURNETT'S PEACH VODKA</t>
        </is>
      </c>
      <c r="C1722" s="7">
        <f>VLOOKUP(A1722,SizeData!A$2:B$3839,2,FALSE)</f>
        <v/>
      </c>
      <c r="D1722" s="6" t="n">
        <v>1</v>
      </c>
      <c r="E1722" s="6" t="inlineStr">
        <is>
          <t>R1284159</t>
        </is>
      </c>
      <c r="F1722" s="2" t="n">
        <v>44488</v>
      </c>
      <c r="G1722" s="1" t="n"/>
    </row>
    <row r="1723">
      <c r="A1723" s="6" t="n">
        <v>41306</v>
      </c>
      <c r="B1723" s="6" t="inlineStr">
        <is>
          <t>BURNETT'S SOUR APPLE VODKA</t>
        </is>
      </c>
      <c r="C1723" s="7">
        <f>VLOOKUP(A1723,SizeData!A$2:B$3839,2,FALSE)</f>
        <v/>
      </c>
      <c r="D1723" s="6" t="n">
        <v>1</v>
      </c>
      <c r="E1723" s="6" t="inlineStr">
        <is>
          <t>R1273155</t>
        </is>
      </c>
      <c r="F1723" s="2" t="n">
        <v>44480</v>
      </c>
      <c r="G1723" s="1" t="n"/>
    </row>
    <row r="1724">
      <c r="A1724" s="6" t="n">
        <v>41413</v>
      </c>
      <c r="B1724" s="6" t="inlineStr">
        <is>
          <t>BURNETT'S PINEAPPLE VODKA</t>
        </is>
      </c>
      <c r="C1724" s="7">
        <f>VLOOKUP(A1724,SizeData!A$2:B$3839,2,FALSE)</f>
        <v/>
      </c>
      <c r="D1724" s="6" t="n">
        <v>1</v>
      </c>
      <c r="E1724" s="6" t="inlineStr">
        <is>
          <t>R1003923</t>
        </is>
      </c>
      <c r="F1724" s="2" t="n">
        <v>44219</v>
      </c>
      <c r="G1724" s="1" t="n"/>
    </row>
    <row r="1725">
      <c r="A1725" s="6" t="n">
        <v>41413</v>
      </c>
      <c r="B1725" s="6" t="inlineStr">
        <is>
          <t>BURNETT'S PINEAPPLE VODKA</t>
        </is>
      </c>
      <c r="C1725" s="7">
        <f>VLOOKUP(A1725,SizeData!A$2:B$3839,2,FALSE)</f>
        <v/>
      </c>
      <c r="D1725" s="6" t="n">
        <v>0</v>
      </c>
      <c r="E1725" s="6" t="inlineStr">
        <is>
          <t>R1299736</t>
        </is>
      </c>
      <c r="F1725" s="2" t="n">
        <v>44499</v>
      </c>
      <c r="G1725" s="1" t="n"/>
    </row>
    <row r="1726">
      <c r="A1726" s="6" t="n">
        <v>41413</v>
      </c>
      <c r="B1726" s="6" t="inlineStr">
        <is>
          <t>BURNETT'S PINEAPPLE VODKA</t>
        </is>
      </c>
      <c r="C1726" s="7">
        <f>VLOOKUP(A1726,SizeData!A$2:B$3839,2,FALSE)</f>
        <v/>
      </c>
      <c r="D1726" s="6" t="n">
        <v>1</v>
      </c>
      <c r="E1726" s="6" t="inlineStr">
        <is>
          <t>R1341373A</t>
        </is>
      </c>
      <c r="F1726" s="2" t="n">
        <v>44531</v>
      </c>
      <c r="G1726" s="1" t="n"/>
    </row>
    <row r="1727">
      <c r="A1727" s="6" t="n">
        <v>41785</v>
      </c>
      <c r="B1727" s="6" t="inlineStr">
        <is>
          <t>TAAKA PINK LEMONADE VODKA</t>
        </is>
      </c>
      <c r="C1727" s="7">
        <f>VLOOKUP(A1727,SizeData!A$2:B$3839,2,FALSE)</f>
        <v/>
      </c>
      <c r="D1727" s="6" t="n">
        <v>1</v>
      </c>
      <c r="E1727" s="6" t="inlineStr">
        <is>
          <t>R1094763</t>
        </is>
      </c>
      <c r="F1727" s="2" t="n">
        <v>44312</v>
      </c>
      <c r="G1727" s="1" t="n"/>
    </row>
    <row r="1728">
      <c r="A1728" s="6" t="n">
        <v>41834</v>
      </c>
      <c r="B1728" s="6" t="inlineStr">
        <is>
          <t>EVERCLEAR ALCOHOL</t>
        </is>
      </c>
      <c r="C1728" s="7">
        <f>VLOOKUP(A1728,SizeData!A$2:B$3839,2,FALSE)</f>
        <v/>
      </c>
      <c r="D1728" s="6" t="n">
        <v>1</v>
      </c>
      <c r="E1728" s="6" t="inlineStr">
        <is>
          <t>R1043793</t>
        </is>
      </c>
      <c r="F1728" s="2" t="n">
        <v>44270</v>
      </c>
      <c r="G1728" s="1" t="n"/>
    </row>
    <row r="1729">
      <c r="A1729" s="6" t="n">
        <v>41834</v>
      </c>
      <c r="B1729" s="6" t="inlineStr">
        <is>
          <t>EVERCLEAR ALCOHOL</t>
        </is>
      </c>
      <c r="C1729" s="7">
        <f>VLOOKUP(A1729,SizeData!A$2:B$3839,2,FALSE)</f>
        <v/>
      </c>
      <c r="D1729" s="6" t="n">
        <v>1</v>
      </c>
      <c r="E1729" s="6" t="inlineStr">
        <is>
          <t>R1259107</t>
        </is>
      </c>
      <c r="F1729" s="2" t="n">
        <v>44466</v>
      </c>
      <c r="G1729" s="1" t="n"/>
    </row>
    <row r="1730">
      <c r="A1730" s="6" t="n">
        <v>41834</v>
      </c>
      <c r="B1730" s="6" t="inlineStr">
        <is>
          <t>EVERCLEAR ALCOHOL</t>
        </is>
      </c>
      <c r="C1730" s="7">
        <f>VLOOKUP(A1730,SizeData!A$2:B$3839,2,FALSE)</f>
        <v/>
      </c>
      <c r="D1730" s="6" t="n">
        <v>1</v>
      </c>
      <c r="E1730" s="6" t="inlineStr">
        <is>
          <t>R1353189</t>
        </is>
      </c>
      <c r="F1730" s="2" t="n">
        <v>44539</v>
      </c>
      <c r="G1730" s="1" t="n"/>
    </row>
    <row r="1731">
      <c r="A1731" s="6" t="n">
        <v>41836</v>
      </c>
      <c r="B1731" s="6" t="inlineStr">
        <is>
          <t>EVERCLEAR ALCOHOL</t>
        </is>
      </c>
      <c r="C1731" s="7">
        <f>VLOOKUP(A1731,SizeData!A$2:B$3839,2,FALSE)</f>
        <v/>
      </c>
      <c r="D1731" s="6" t="n">
        <v>1</v>
      </c>
      <c r="E1731" s="6" t="inlineStr">
        <is>
          <t>R1072840</t>
        </is>
      </c>
      <c r="F1731" s="2" t="n">
        <v>44286</v>
      </c>
      <c r="G1731" s="1" t="n"/>
    </row>
    <row r="1732">
      <c r="A1732" s="6" t="n">
        <v>41836</v>
      </c>
      <c r="B1732" s="6" t="inlineStr">
        <is>
          <t>EVERCLEAR ALCOHOL</t>
        </is>
      </c>
      <c r="C1732" s="7">
        <f>VLOOKUP(A1732,SizeData!A$2:B$3839,2,FALSE)</f>
        <v/>
      </c>
      <c r="D1732" s="6" t="n">
        <v>1</v>
      </c>
      <c r="E1732" s="6" t="inlineStr">
        <is>
          <t>R1085574</t>
        </is>
      </c>
      <c r="F1732" s="2" t="n">
        <v>44288</v>
      </c>
      <c r="G1732" s="1" t="n"/>
    </row>
    <row r="1733">
      <c r="A1733" s="6" t="n">
        <v>41836</v>
      </c>
      <c r="B1733" s="6" t="inlineStr">
        <is>
          <t>EVERCLEAR ALCOHOL</t>
        </is>
      </c>
      <c r="C1733" s="7">
        <f>VLOOKUP(A1733,SizeData!A$2:B$3839,2,FALSE)</f>
        <v/>
      </c>
      <c r="D1733" s="6" t="n">
        <v>1</v>
      </c>
      <c r="E1733" s="6" t="inlineStr">
        <is>
          <t xml:space="preserve"> R1135574</t>
        </is>
      </c>
      <c r="F1733" s="2" t="n">
        <v>44338</v>
      </c>
      <c r="G1733" s="1" t="n"/>
    </row>
    <row r="1734">
      <c r="A1734" s="6" t="n">
        <v>41836</v>
      </c>
      <c r="B1734" s="6" t="inlineStr">
        <is>
          <t>EVERCLEAR ALCOHOL</t>
        </is>
      </c>
      <c r="C1734" s="7">
        <f>VLOOKUP(A1734,SizeData!A$2:B$3839,2,FALSE)</f>
        <v/>
      </c>
      <c r="D1734" s="6" t="n">
        <v>1</v>
      </c>
      <c r="E1734" s="6" t="inlineStr">
        <is>
          <t>R1165810</t>
        </is>
      </c>
      <c r="F1734" s="2" t="n">
        <v>44361</v>
      </c>
      <c r="G1734" s="1" t="n"/>
    </row>
    <row r="1735">
      <c r="A1735" s="6" t="n">
        <v>41836</v>
      </c>
      <c r="B1735" s="6" t="inlineStr">
        <is>
          <t>EVERCLEAR ALCOHOL</t>
        </is>
      </c>
      <c r="C1735" s="7">
        <f>VLOOKUP(A1735,SizeData!A$2:B$3839,2,FALSE)</f>
        <v/>
      </c>
      <c r="D1735" s="6" t="n">
        <v>3</v>
      </c>
      <c r="E1735" s="6" t="inlineStr">
        <is>
          <t>R1156117</t>
        </is>
      </c>
      <c r="F1735" s="2" t="n">
        <v>44362</v>
      </c>
      <c r="G1735" s="1" t="n"/>
    </row>
    <row r="1736">
      <c r="A1736" s="6" t="n">
        <v>41836</v>
      </c>
      <c r="B1736" s="6" t="inlineStr">
        <is>
          <t>EVERCLEAR ALCOHOL</t>
        </is>
      </c>
      <c r="C1736" s="7">
        <f>VLOOKUP(A1736,SizeData!A$2:B$3839,2,FALSE)</f>
        <v/>
      </c>
      <c r="D1736" s="6" t="n">
        <v>1</v>
      </c>
      <c r="E1736" s="6" t="inlineStr">
        <is>
          <t>R1256874</t>
        </is>
      </c>
      <c r="F1736" s="2" t="n">
        <v>44469</v>
      </c>
      <c r="G1736" s="1" t="n"/>
    </row>
    <row r="1737">
      <c r="A1737" s="6" t="n">
        <v>41838</v>
      </c>
      <c r="B1737" s="6" t="inlineStr">
        <is>
          <t>EVERCLEAR ALCOHOL</t>
        </is>
      </c>
      <c r="C1737" s="7">
        <f>VLOOKUP(A1737,SizeData!A$2:B$3839,2,FALSE)</f>
        <v/>
      </c>
      <c r="D1737" s="6" t="n">
        <v>1</v>
      </c>
      <c r="E1737" s="6" t="inlineStr">
        <is>
          <t>R1066712</t>
        </is>
      </c>
      <c r="F1737" s="2" t="n">
        <v>44268</v>
      </c>
      <c r="G1737" s="1" t="n"/>
    </row>
    <row r="1738">
      <c r="A1738" s="6" t="n">
        <v>41838</v>
      </c>
      <c r="B1738" s="6" t="inlineStr">
        <is>
          <t>EVERCLEAR ALCOHOL</t>
        </is>
      </c>
      <c r="C1738" s="7">
        <f>VLOOKUP(A1738,SizeData!A$2:B$3839,2,FALSE)</f>
        <v/>
      </c>
      <c r="D1738" s="6" t="n">
        <v>1</v>
      </c>
      <c r="E1738" s="6" t="inlineStr">
        <is>
          <t>R1099557</t>
        </is>
      </c>
      <c r="F1738" s="2" t="n">
        <v>44317</v>
      </c>
      <c r="G1738" s="1" t="n"/>
    </row>
    <row r="1739">
      <c r="A1739" s="6" t="n">
        <v>41838</v>
      </c>
      <c r="B1739" s="6" t="inlineStr">
        <is>
          <t>EVERCLEAR ALCOHOL</t>
        </is>
      </c>
      <c r="C1739" s="7">
        <f>VLOOKUP(A1739,SizeData!A$2:B$3839,2,FALSE)</f>
        <v/>
      </c>
      <c r="D1739" s="6" t="n">
        <v>1</v>
      </c>
      <c r="E1739" s="6" t="inlineStr">
        <is>
          <t>R1116842</t>
        </is>
      </c>
      <c r="F1739" s="2" t="n">
        <v>44324</v>
      </c>
      <c r="G1739" s="1" t="n"/>
    </row>
    <row r="1740">
      <c r="A1740" s="6" t="n">
        <v>41838</v>
      </c>
      <c r="B1740" s="6" t="inlineStr">
        <is>
          <t>EVERCLEAR ALCOHOL</t>
        </is>
      </c>
      <c r="C1740" s="7">
        <f>VLOOKUP(A1740,SizeData!A$2:B$3839,2,FALSE)</f>
        <v/>
      </c>
      <c r="D1740" s="6" t="n">
        <v>1</v>
      </c>
      <c r="E1740" s="6" t="inlineStr">
        <is>
          <t>R1119380</t>
        </is>
      </c>
      <c r="F1740" s="2" t="n">
        <v>44338</v>
      </c>
      <c r="G1740" s="1" t="n"/>
    </row>
    <row r="1741">
      <c r="A1741" s="6" t="n">
        <v>41838</v>
      </c>
      <c r="B1741" s="6" t="inlineStr">
        <is>
          <t>EVERCLEAR ALCOHOL</t>
        </is>
      </c>
      <c r="C1741" s="7">
        <f>VLOOKUP(A1741,SizeData!A$2:B$3839,2,FALSE)</f>
        <v/>
      </c>
      <c r="D1741" s="6" t="n">
        <v>5</v>
      </c>
      <c r="E1741" s="6" t="inlineStr">
        <is>
          <t>R1124382</t>
        </is>
      </c>
      <c r="F1741" s="2" t="n">
        <v>44347</v>
      </c>
      <c r="G1741" s="1" t="n"/>
    </row>
    <row r="1742">
      <c r="A1742" s="6" t="n">
        <v>41943</v>
      </c>
      <c r="B1742" s="6" t="inlineStr">
        <is>
          <t>360 GEORGIA PEACH FLAVOR VODKA</t>
        </is>
      </c>
      <c r="C1742" s="7">
        <f>VLOOKUP(A1742,SizeData!A$2:B$3839,2,FALSE)</f>
        <v/>
      </c>
      <c r="D1742" s="6" t="n">
        <v>1</v>
      </c>
      <c r="E1742" s="6" t="inlineStr">
        <is>
          <t>R1154725</t>
        </is>
      </c>
      <c r="F1742" s="2" t="n">
        <v>44376</v>
      </c>
      <c r="G1742" s="1" t="n"/>
    </row>
    <row r="1743">
      <c r="A1743" s="6" t="n">
        <v>42031</v>
      </c>
      <c r="B1743" s="6" t="inlineStr">
        <is>
          <t>BURNETT'S WHIPPED CREAM VODKA</t>
        </is>
      </c>
      <c r="C1743" s="7">
        <f>VLOOKUP(A1743,SizeData!A$2:B$3839,2,FALSE)</f>
        <v/>
      </c>
      <c r="D1743" s="6" t="n">
        <v>1</v>
      </c>
      <c r="E1743" s="6" t="inlineStr">
        <is>
          <t>R1127047</t>
        </is>
      </c>
      <c r="F1743" s="2" t="n">
        <v>44333</v>
      </c>
      <c r="G1743" s="1" t="n"/>
    </row>
    <row r="1744">
      <c r="A1744" s="6" t="n">
        <v>42031</v>
      </c>
      <c r="B1744" s="6" t="inlineStr">
        <is>
          <t>BURNETT'S WHIPPED CREAM VODKA</t>
        </is>
      </c>
      <c r="C1744" s="7">
        <f>VLOOKUP(A1744,SizeData!A$2:B$3839,2,FALSE)</f>
        <v/>
      </c>
      <c r="D1744" s="6" t="n">
        <v>1</v>
      </c>
      <c r="E1744" s="6" t="inlineStr">
        <is>
          <t>R1240644</t>
        </is>
      </c>
      <c r="F1744" s="2" t="n">
        <v>44440</v>
      </c>
      <c r="G1744" s="1" t="n"/>
    </row>
    <row r="1745">
      <c r="A1745" s="6" t="n">
        <v>42031</v>
      </c>
      <c r="B1745" s="6" t="inlineStr">
        <is>
          <t>BURNETT'S WHIPPED CREAM VODKA</t>
        </is>
      </c>
      <c r="C1745" s="7">
        <f>VLOOKUP(A1745,SizeData!A$2:B$3839,2,FALSE)</f>
        <v/>
      </c>
      <c r="D1745" s="6" t="n">
        <v>1</v>
      </c>
      <c r="E1745" s="6" t="inlineStr">
        <is>
          <t>R1239466</t>
        </is>
      </c>
      <c r="F1745" s="2" t="n">
        <v>44454</v>
      </c>
      <c r="G1745" s="1" t="n"/>
    </row>
    <row r="1746">
      <c r="A1746" s="6" t="n">
        <v>42112</v>
      </c>
      <c r="B1746" s="6" t="inlineStr">
        <is>
          <t>TAAKA PINK LEMONADE VODKA</t>
        </is>
      </c>
      <c r="C1746" s="7">
        <f>VLOOKUP(A1746,SizeData!A$2:B$3839,2,FALSE)</f>
        <v/>
      </c>
      <c r="D1746" s="6" t="n">
        <v>3</v>
      </c>
      <c r="E1746" s="6" t="inlineStr">
        <is>
          <t xml:space="preserve"> R1149817</t>
        </is>
      </c>
      <c r="F1746" s="2" t="n">
        <v>44364</v>
      </c>
      <c r="G1746" s="1" t="n"/>
    </row>
    <row r="1747">
      <c r="A1747" s="6" t="n">
        <v>42112</v>
      </c>
      <c r="B1747" s="6" t="inlineStr">
        <is>
          <t>TAAKA PINK LEMONADE VODKA</t>
        </is>
      </c>
      <c r="C1747" s="7">
        <f>VLOOKUP(A1747,SizeData!A$2:B$3839,2,FALSE)</f>
        <v/>
      </c>
      <c r="D1747" s="6" t="n">
        <v>5</v>
      </c>
      <c r="E1747" s="6" t="inlineStr">
        <is>
          <t>R1162430</t>
        </is>
      </c>
      <c r="F1747" s="2" t="n">
        <v>44371</v>
      </c>
      <c r="G1747" s="1" t="n"/>
    </row>
    <row r="1748">
      <c r="A1748" s="6" t="n">
        <v>42395</v>
      </c>
      <c r="B1748" s="6" t="inlineStr">
        <is>
          <t>PLANTATION ORIGINAL DARK RUM</t>
        </is>
      </c>
      <c r="C1748" s="7">
        <f>VLOOKUP(A1748,SizeData!A$2:B$3839,2,FALSE)</f>
        <v/>
      </c>
      <c r="D1748" s="6" t="n">
        <v>1</v>
      </c>
      <c r="E1748" s="6" t="inlineStr">
        <is>
          <t xml:space="preserve"> R1138813</t>
        </is>
      </c>
      <c r="F1748" s="2" t="n">
        <v>44348</v>
      </c>
      <c r="G1748" s="1" t="n"/>
    </row>
    <row r="1749">
      <c r="A1749" s="6" t="n">
        <v>42396</v>
      </c>
      <c r="B1749" s="6" t="inlineStr">
        <is>
          <t>PLANTATION 3 STAR WHITE RUM</t>
        </is>
      </c>
      <c r="C1749" s="7">
        <f>VLOOKUP(A1749,SizeData!A$2:B$3839,2,FALSE)</f>
        <v/>
      </c>
      <c r="D1749" s="6" t="n">
        <v>1</v>
      </c>
      <c r="E1749" s="6" t="inlineStr">
        <is>
          <t xml:space="preserve"> R1138813</t>
        </is>
      </c>
      <c r="F1749" s="2" t="n">
        <v>44348</v>
      </c>
      <c r="G1749" s="1" t="n"/>
    </row>
    <row r="1750">
      <c r="A1750" s="6" t="n">
        <v>42511</v>
      </c>
      <c r="B1750" s="6" t="inlineStr">
        <is>
          <t>KIRK AND SWEENEY 12YR RUM</t>
        </is>
      </c>
      <c r="C1750" s="7">
        <f>VLOOKUP(A1750,SizeData!A$2:B$3839,2,FALSE)</f>
        <v/>
      </c>
      <c r="D1750" s="6" t="n">
        <v>1</v>
      </c>
      <c r="E1750" s="6" t="inlineStr">
        <is>
          <t>R1137831</t>
        </is>
      </c>
      <c r="F1750" s="2" t="n">
        <v>44348</v>
      </c>
      <c r="G1750" s="1" t="n"/>
    </row>
    <row r="1751">
      <c r="A1751" s="6" t="n">
        <v>42687</v>
      </c>
      <c r="B1751" s="6" t="inlineStr">
        <is>
          <t>MALIBU BLACK COCONUT RUM</t>
        </is>
      </c>
      <c r="C1751" s="7">
        <f>VLOOKUP(A1751,SizeData!A$2:B$3839,2,FALSE)</f>
        <v/>
      </c>
      <c r="D1751" s="6" t="n">
        <v>1</v>
      </c>
      <c r="E1751" s="6" t="inlineStr">
        <is>
          <t>R1101961</t>
        </is>
      </c>
      <c r="F1751" s="2" t="n">
        <v>44320</v>
      </c>
      <c r="G1751" s="1" t="n"/>
    </row>
    <row r="1752">
      <c r="A1752" s="6" t="n">
        <v>42699</v>
      </c>
      <c r="B1752" s="6" t="inlineStr">
        <is>
          <t>MALIBU MANGO RUM</t>
        </is>
      </c>
      <c r="C1752" s="7">
        <f>VLOOKUP(A1752,SizeData!A$2:B$3839,2,FALSE)</f>
        <v/>
      </c>
      <c r="D1752" s="6" t="n">
        <v>1</v>
      </c>
      <c r="E1752" s="6" t="inlineStr">
        <is>
          <t>R1001511</t>
        </is>
      </c>
      <c r="F1752" s="2" t="n">
        <v>44208</v>
      </c>
      <c r="G1752" s="1" t="n"/>
    </row>
    <row r="1753">
      <c r="A1753" s="6" t="n">
        <v>42699</v>
      </c>
      <c r="B1753" s="6" t="inlineStr">
        <is>
          <t>MALIBU MANGO RUM</t>
        </is>
      </c>
      <c r="C1753" s="7">
        <f>VLOOKUP(A1753,SizeData!A$2:B$3839,2,FALSE)</f>
        <v/>
      </c>
      <c r="D1753" s="6" t="n">
        <v>1</v>
      </c>
      <c r="E1753" s="6" t="inlineStr">
        <is>
          <t>R1085722</t>
        </is>
      </c>
      <c r="F1753" s="2" t="n">
        <v>44287</v>
      </c>
      <c r="G1753" s="1" t="n"/>
    </row>
    <row r="1754">
      <c r="A1754" s="6" t="n">
        <v>42699</v>
      </c>
      <c r="B1754" s="6" t="inlineStr">
        <is>
          <t>MALIBU MANGO RUM</t>
        </is>
      </c>
      <c r="C1754" s="7">
        <f>VLOOKUP(A1754,SizeData!A$2:B$3839,2,FALSE)</f>
        <v/>
      </c>
      <c r="D1754" s="6" t="n">
        <v>1</v>
      </c>
      <c r="E1754" s="6" t="inlineStr">
        <is>
          <t>R1084456</t>
        </is>
      </c>
      <c r="F1754" s="2" t="n">
        <v>44301</v>
      </c>
      <c r="G1754" s="1" t="n"/>
    </row>
    <row r="1755">
      <c r="A1755" s="6" t="n">
        <v>42699</v>
      </c>
      <c r="B1755" s="6" t="inlineStr">
        <is>
          <t>MALIBU MANGO RUM</t>
        </is>
      </c>
      <c r="C1755" s="7">
        <f>VLOOKUP(A1755,SizeData!A$2:B$3839,2,FALSE)</f>
        <v/>
      </c>
      <c r="D1755" s="6" t="n">
        <v>1</v>
      </c>
      <c r="E1755" s="6" t="inlineStr">
        <is>
          <t>R1096915</t>
        </is>
      </c>
      <c r="F1755" s="2" t="n">
        <v>44303</v>
      </c>
      <c r="G1755" s="1" t="n"/>
    </row>
    <row r="1756">
      <c r="A1756" s="6" t="n">
        <v>42699</v>
      </c>
      <c r="B1756" s="6" t="inlineStr">
        <is>
          <t>MALIBU MANGO RUM</t>
        </is>
      </c>
      <c r="C1756" s="7">
        <f>VLOOKUP(A1756,SizeData!A$2:B$3839,2,FALSE)</f>
        <v/>
      </c>
      <c r="D1756" s="6" t="n">
        <v>2</v>
      </c>
      <c r="E1756" s="6" t="inlineStr">
        <is>
          <t xml:space="preserve"> R1178876</t>
        </is>
      </c>
      <c r="F1756" s="2" t="n">
        <v>44397</v>
      </c>
      <c r="G1756" s="1" t="n"/>
    </row>
    <row r="1757">
      <c r="A1757" s="6" t="n">
        <v>42703</v>
      </c>
      <c r="B1757" s="6" t="inlineStr">
        <is>
          <t>MALIBU PINEAPPLE RUM</t>
        </is>
      </c>
      <c r="C1757" s="7">
        <f>VLOOKUP(A1757,SizeData!A$2:B$3839,2,FALSE)</f>
        <v/>
      </c>
      <c r="D1757" s="6" t="n">
        <v>1</v>
      </c>
      <c r="E1757" s="6" t="inlineStr">
        <is>
          <t>R984731</t>
        </is>
      </c>
      <c r="F1757" s="2" t="n">
        <v>44197</v>
      </c>
      <c r="G1757" s="1" t="n"/>
    </row>
    <row r="1758">
      <c r="A1758" s="6" t="n">
        <v>42703</v>
      </c>
      <c r="B1758" s="6" t="inlineStr">
        <is>
          <t>MALIBU PINEAPPLE RUM</t>
        </is>
      </c>
      <c r="C1758" s="7">
        <f>VLOOKUP(A1758,SizeData!A$2:B$3839,2,FALSE)</f>
        <v/>
      </c>
      <c r="D1758" s="6" t="n">
        <v>1</v>
      </c>
      <c r="E1758" s="6" t="inlineStr">
        <is>
          <t>R993208</t>
        </is>
      </c>
      <c r="F1758" s="2" t="n">
        <v>44204</v>
      </c>
      <c r="G1758" s="1" t="n"/>
    </row>
    <row r="1759">
      <c r="A1759" s="6" t="n">
        <v>42703</v>
      </c>
      <c r="B1759" s="6" t="inlineStr">
        <is>
          <t>MALIBU PINEAPPLE RUM</t>
        </is>
      </c>
      <c r="C1759" s="7">
        <f>VLOOKUP(A1759,SizeData!A$2:B$3839,2,FALSE)</f>
        <v/>
      </c>
      <c r="D1759" s="6" t="n">
        <v>1</v>
      </c>
      <c r="E1759" s="6" t="inlineStr">
        <is>
          <t>R1002505</t>
        </is>
      </c>
      <c r="F1759" s="2" t="n">
        <v>44214</v>
      </c>
      <c r="G1759" s="1" t="n"/>
    </row>
    <row r="1760">
      <c r="A1760" s="6" t="n">
        <v>42703</v>
      </c>
      <c r="B1760" s="6" t="inlineStr">
        <is>
          <t>MALIBU PINEAPPLE RUM</t>
        </is>
      </c>
      <c r="C1760" s="7">
        <f>VLOOKUP(A1760,SizeData!A$2:B$3839,2,FALSE)</f>
        <v/>
      </c>
      <c r="D1760" s="6" t="n">
        <v>1</v>
      </c>
      <c r="E1760" s="6" t="inlineStr">
        <is>
          <t>R1099905</t>
        </is>
      </c>
      <c r="F1760" s="2" t="n">
        <v>44310</v>
      </c>
      <c r="G1760" s="1" t="n"/>
    </row>
    <row r="1761">
      <c r="A1761" s="6" t="n">
        <v>42703</v>
      </c>
      <c r="B1761" s="6" t="inlineStr">
        <is>
          <t>MALIBU PINEAPPLE RUM</t>
        </is>
      </c>
      <c r="C1761" s="7">
        <f>VLOOKUP(A1761,SizeData!A$2:B$3839,2,FALSE)</f>
        <v/>
      </c>
      <c r="D1761" s="6" t="n">
        <v>0</v>
      </c>
      <c r="E1761" s="6" t="inlineStr">
        <is>
          <t>R1284745</t>
        </is>
      </c>
      <c r="F1761" s="2" t="n">
        <v>44490</v>
      </c>
      <c r="G1761" s="1" t="n"/>
    </row>
    <row r="1762">
      <c r="A1762" s="6" t="n">
        <v>42703</v>
      </c>
      <c r="B1762" s="6" t="inlineStr">
        <is>
          <t>MALIBU PINEAPPLE RUM</t>
        </is>
      </c>
      <c r="C1762" s="7">
        <f>VLOOKUP(A1762,SizeData!A$2:B$3839,2,FALSE)</f>
        <v/>
      </c>
      <c r="D1762" s="6" t="n">
        <v>1</v>
      </c>
      <c r="E1762" s="6" t="inlineStr">
        <is>
          <t>R1356670</t>
        </is>
      </c>
      <c r="F1762" s="2" t="n">
        <v>44539</v>
      </c>
      <c r="G1762" s="1" t="n"/>
    </row>
    <row r="1763">
      <c r="A1763" s="6" t="n">
        <v>42712</v>
      </c>
      <c r="B1763" s="6" t="inlineStr">
        <is>
          <t>MALIBU RUM</t>
        </is>
      </c>
      <c r="C1763" s="7">
        <f>VLOOKUP(A1763,SizeData!A$2:B$3839,2,FALSE)</f>
        <v/>
      </c>
      <c r="D1763" s="6" t="n">
        <v>0</v>
      </c>
      <c r="E1763" s="6" t="inlineStr">
        <is>
          <t>R1259983</t>
        </is>
      </c>
      <c r="F1763" s="2" t="n">
        <v>44479</v>
      </c>
      <c r="G1763" s="1" t="n"/>
    </row>
    <row r="1764">
      <c r="A1764" s="6" t="n">
        <v>42712</v>
      </c>
      <c r="B1764" s="6" t="inlineStr">
        <is>
          <t>MALIBU RUM</t>
        </is>
      </c>
      <c r="C1764" s="7">
        <f>VLOOKUP(A1764,SizeData!A$2:B$3839,2,FALSE)</f>
        <v/>
      </c>
      <c r="D1764" s="6" t="n">
        <v>1</v>
      </c>
      <c r="E1764" s="6" t="inlineStr">
        <is>
          <t>R1301804</t>
        </is>
      </c>
      <c r="F1764" s="2" t="n">
        <v>44492</v>
      </c>
      <c r="G1764" s="1" t="n"/>
    </row>
    <row r="1765">
      <c r="A1765" s="6" t="n">
        <v>42716</v>
      </c>
      <c r="B1765" s="6" t="inlineStr">
        <is>
          <t>MALIBU RUM</t>
        </is>
      </c>
      <c r="C1765" s="7">
        <f>VLOOKUP(A1765,SizeData!A$2:B$3839,2,FALSE)</f>
        <v/>
      </c>
      <c r="D1765" s="6" t="n">
        <v>1</v>
      </c>
      <c r="E1765" s="6" t="inlineStr">
        <is>
          <t>R984731</t>
        </is>
      </c>
      <c r="F1765" s="2" t="n">
        <v>44197</v>
      </c>
      <c r="G1765" s="1" t="n"/>
    </row>
    <row r="1766">
      <c r="A1766" s="6" t="n">
        <v>42716</v>
      </c>
      <c r="B1766" s="6" t="inlineStr">
        <is>
          <t>MALIBU RUM</t>
        </is>
      </c>
      <c r="C1766" s="7">
        <f>VLOOKUP(A1766,SizeData!A$2:B$3839,2,FALSE)</f>
        <v/>
      </c>
      <c r="D1766" s="6" t="n">
        <v>3</v>
      </c>
      <c r="E1766" s="6" t="inlineStr">
        <is>
          <t>R993208</t>
        </is>
      </c>
      <c r="F1766" s="2" t="n">
        <v>44204</v>
      </c>
      <c r="G1766" s="1" t="n"/>
    </row>
    <row r="1767">
      <c r="A1767" s="6" t="n">
        <v>42716</v>
      </c>
      <c r="B1767" s="6" t="inlineStr">
        <is>
          <t>MALIBU RUM</t>
        </is>
      </c>
      <c r="C1767" s="7">
        <f>VLOOKUP(A1767,SizeData!A$2:B$3839,2,FALSE)</f>
        <v/>
      </c>
      <c r="D1767" s="6" t="n">
        <v>2</v>
      </c>
      <c r="E1767" s="6" t="inlineStr">
        <is>
          <t>R1092714</t>
        </is>
      </c>
      <c r="F1767" s="2" t="n">
        <v>44296</v>
      </c>
      <c r="G1767" s="1" t="n"/>
    </row>
    <row r="1768">
      <c r="A1768" s="6" t="n">
        <v>42716</v>
      </c>
      <c r="B1768" s="6" t="inlineStr">
        <is>
          <t>MALIBU RUM</t>
        </is>
      </c>
      <c r="C1768" s="7">
        <f>VLOOKUP(A1768,SizeData!A$2:B$3839,2,FALSE)</f>
        <v/>
      </c>
      <c r="D1768" s="6" t="n">
        <v>4</v>
      </c>
      <c r="E1768" s="6" t="inlineStr">
        <is>
          <t>R1099905</t>
        </is>
      </c>
      <c r="F1768" s="2" t="n">
        <v>44310</v>
      </c>
      <c r="G1768" s="1" t="n"/>
    </row>
    <row r="1769">
      <c r="A1769" s="6" t="n">
        <v>42716</v>
      </c>
      <c r="B1769" s="6" t="inlineStr">
        <is>
          <t>MALIBU RUM</t>
        </is>
      </c>
      <c r="C1769" s="7">
        <f>VLOOKUP(A1769,SizeData!A$2:B$3839,2,FALSE)</f>
        <v/>
      </c>
      <c r="D1769" s="6" t="n">
        <v>4</v>
      </c>
      <c r="E1769" s="6" t="inlineStr">
        <is>
          <t xml:space="preserve"> R1178876</t>
        </is>
      </c>
      <c r="F1769" s="2" t="n">
        <v>44397</v>
      </c>
      <c r="G1769" s="1" t="n"/>
    </row>
    <row r="1770">
      <c r="A1770" s="6" t="n">
        <v>42716</v>
      </c>
      <c r="B1770" s="6" t="inlineStr">
        <is>
          <t>MALIBU RUM</t>
        </is>
      </c>
      <c r="C1770" s="7">
        <f>VLOOKUP(A1770,SizeData!A$2:B$3839,2,FALSE)</f>
        <v/>
      </c>
      <c r="D1770" s="6" t="n">
        <v>1</v>
      </c>
      <c r="E1770" s="6" t="inlineStr">
        <is>
          <t>R1191670</t>
        </is>
      </c>
      <c r="F1770" s="2" t="n">
        <v>44406</v>
      </c>
      <c r="G1770" s="1" t="n"/>
    </row>
    <row r="1771">
      <c r="A1771" s="6" t="n">
        <v>42718</v>
      </c>
      <c r="B1771" s="6" t="inlineStr">
        <is>
          <t>MALIBU RUM</t>
        </is>
      </c>
      <c r="C1771" s="7">
        <f>VLOOKUP(A1771,SizeData!A$2:B$3839,2,FALSE)</f>
        <v/>
      </c>
      <c r="D1771" s="6" t="n">
        <v>1</v>
      </c>
      <c r="E1771" s="6" t="inlineStr">
        <is>
          <t>R1046038</t>
        </is>
      </c>
      <c r="F1771" s="2" t="n">
        <v>44256</v>
      </c>
      <c r="G1771" s="1" t="n"/>
    </row>
    <row r="1772">
      <c r="A1772" s="6" t="n">
        <v>42718</v>
      </c>
      <c r="B1772" s="6" t="inlineStr">
        <is>
          <t>MALIBU RUM</t>
        </is>
      </c>
      <c r="C1772" s="7">
        <f>VLOOKUP(A1772,SizeData!A$2:B$3839,2,FALSE)</f>
        <v/>
      </c>
      <c r="D1772" s="6" t="n">
        <v>10</v>
      </c>
      <c r="E1772" s="6" t="inlineStr">
        <is>
          <t>R1043077</t>
        </is>
      </c>
      <c r="F1772" s="2" t="n">
        <v>44260</v>
      </c>
      <c r="G1772" s="1" t="n"/>
    </row>
    <row r="1773">
      <c r="A1773" s="6" t="n">
        <v>42718</v>
      </c>
      <c r="B1773" s="6" t="inlineStr">
        <is>
          <t>MALIBU RUM</t>
        </is>
      </c>
      <c r="C1773" s="7">
        <f>VLOOKUP(A1773,SizeData!A$2:B$3839,2,FALSE)</f>
        <v/>
      </c>
      <c r="D1773" s="6" t="n">
        <v>8</v>
      </c>
      <c r="E1773" s="6" t="inlineStr">
        <is>
          <t xml:space="preserve"> R1178876</t>
        </is>
      </c>
      <c r="F1773" s="2" t="n">
        <v>44397</v>
      </c>
      <c r="G1773" s="1" t="n"/>
    </row>
    <row r="1774">
      <c r="A1774" s="6" t="n">
        <v>42983</v>
      </c>
      <c r="B1774" s="6" t="inlineStr">
        <is>
          <t>ZAYA GRAN RESERVA TRINIDAD RUM</t>
        </is>
      </c>
      <c r="C1774" s="7">
        <f>VLOOKUP(A1774,SizeData!A$2:B$3839,2,FALSE)</f>
        <v/>
      </c>
      <c r="D1774" s="6" t="n">
        <v>1</v>
      </c>
      <c r="E1774" s="6" t="inlineStr">
        <is>
          <t>R1137831</t>
        </is>
      </c>
      <c r="F1774" s="2" t="n">
        <v>44348</v>
      </c>
      <c r="G1774" s="1" t="n"/>
    </row>
    <row r="1775">
      <c r="A1775" s="6" t="n">
        <v>43028</v>
      </c>
      <c r="B1775" s="6" t="inlineStr">
        <is>
          <t>ADMIRAL NELSON SPICED RUM</t>
        </is>
      </c>
      <c r="C1775" s="7">
        <f>VLOOKUP(A1775,SizeData!A$2:B$3839,2,FALSE)</f>
        <v/>
      </c>
      <c r="D1775" s="6" t="n">
        <v>3</v>
      </c>
      <c r="E1775" s="6" t="inlineStr">
        <is>
          <t>R1003894</t>
        </is>
      </c>
      <c r="F1775" s="2" t="n">
        <v>44229</v>
      </c>
      <c r="G1775" s="1" t="n"/>
    </row>
    <row r="1776">
      <c r="A1776" s="6" t="n">
        <v>43028</v>
      </c>
      <c r="B1776" s="6" t="inlineStr">
        <is>
          <t>ADMIRAL NELSON SPICED RUM</t>
        </is>
      </c>
      <c r="C1776" s="7">
        <f>VLOOKUP(A1776,SizeData!A$2:B$3839,2,FALSE)</f>
        <v/>
      </c>
      <c r="D1776" s="6" t="n">
        <v>2</v>
      </c>
      <c r="E1776" s="6" t="inlineStr">
        <is>
          <t>R1109607</t>
        </is>
      </c>
      <c r="F1776" s="2" t="n">
        <v>44317</v>
      </c>
      <c r="G1776" s="1" t="n"/>
    </row>
    <row r="1777">
      <c r="A1777" s="6" t="n">
        <v>43028</v>
      </c>
      <c r="B1777" s="6" t="inlineStr">
        <is>
          <t>ADMIRAL NELSON SPICED RUM</t>
        </is>
      </c>
      <c r="C1777" s="7">
        <f>VLOOKUP(A1777,SizeData!A$2:B$3839,2,FALSE)</f>
        <v/>
      </c>
      <c r="D1777" s="6" t="n">
        <v>2</v>
      </c>
      <c r="E1777" s="6" t="inlineStr">
        <is>
          <t>R1109381</t>
        </is>
      </c>
      <c r="F1777" s="2" t="n">
        <v>44331</v>
      </c>
      <c r="G1777" s="1" t="n"/>
    </row>
    <row r="1778">
      <c r="A1778" s="6" t="n">
        <v>43028</v>
      </c>
      <c r="B1778" s="6" t="inlineStr">
        <is>
          <t>ADMIRAL NELSON SPICED RUM</t>
        </is>
      </c>
      <c r="C1778" s="7">
        <f>VLOOKUP(A1778,SizeData!A$2:B$3839,2,FALSE)</f>
        <v/>
      </c>
      <c r="D1778" s="6" t="n">
        <v>2</v>
      </c>
      <c r="E1778" s="6" t="inlineStr">
        <is>
          <t>R1125683</t>
        </is>
      </c>
      <c r="F1778" s="2" t="n">
        <v>44336</v>
      </c>
      <c r="G1778" s="1" t="n"/>
    </row>
    <row r="1779">
      <c r="A1779" s="6" t="n">
        <v>43028</v>
      </c>
      <c r="B1779" s="6" t="inlineStr">
        <is>
          <t>ADMIRAL NELSON SPICED RUM</t>
        </is>
      </c>
      <c r="C1779" s="7">
        <f>VLOOKUP(A1779,SizeData!A$2:B$3839,2,FALSE)</f>
        <v/>
      </c>
      <c r="D1779" s="6" t="n">
        <v>2</v>
      </c>
      <c r="E1779" s="6" t="inlineStr">
        <is>
          <t>R1126982</t>
        </is>
      </c>
      <c r="F1779" s="2" t="n">
        <v>44338</v>
      </c>
      <c r="G1779" s="1" t="n"/>
    </row>
    <row r="1780">
      <c r="A1780" s="6" t="n">
        <v>43028</v>
      </c>
      <c r="B1780" s="6" t="inlineStr">
        <is>
          <t>ADMIRAL NELSON SPICED RUM</t>
        </is>
      </c>
      <c r="C1780" s="7">
        <f>VLOOKUP(A1780,SizeData!A$2:B$3839,2,FALSE)</f>
        <v/>
      </c>
      <c r="D1780" s="6" t="n">
        <v>5</v>
      </c>
      <c r="E1780" s="6" t="inlineStr">
        <is>
          <t>R1200565</t>
        </is>
      </c>
      <c r="F1780" s="2" t="n">
        <v>44411</v>
      </c>
      <c r="G1780" s="1" t="n"/>
    </row>
    <row r="1781">
      <c r="A1781" s="6" t="n">
        <v>43028</v>
      </c>
      <c r="B1781" s="6" t="inlineStr">
        <is>
          <t>ADMIRAL NELSON SPICED RUM</t>
        </is>
      </c>
      <c r="C1781" s="7">
        <f>VLOOKUP(A1781,SizeData!A$2:B$3839,2,FALSE)</f>
        <v/>
      </c>
      <c r="D1781" s="6" t="n">
        <v>4</v>
      </c>
      <c r="E1781" s="6" t="inlineStr">
        <is>
          <t>R1337036</t>
        </is>
      </c>
      <c r="F1781" s="2" t="n">
        <v>44523</v>
      </c>
      <c r="G1781" s="1" t="n"/>
    </row>
    <row r="1782">
      <c r="A1782" s="6" t="n">
        <v>43034</v>
      </c>
      <c r="B1782" s="6" t="inlineStr">
        <is>
          <t>BACARDI GOLD RUM</t>
        </is>
      </c>
      <c r="C1782" s="7">
        <f>VLOOKUP(A1782,SizeData!A$2:B$3839,2,FALSE)</f>
        <v/>
      </c>
      <c r="D1782" s="6" t="n">
        <v>4</v>
      </c>
      <c r="E1782" s="6" t="inlineStr">
        <is>
          <t>R1008979</t>
        </is>
      </c>
      <c r="F1782" s="2" t="n">
        <v>44224</v>
      </c>
      <c r="G1782" s="1" t="n"/>
    </row>
    <row r="1783">
      <c r="A1783" s="6" t="n">
        <v>43034</v>
      </c>
      <c r="B1783" s="6" t="inlineStr">
        <is>
          <t>BACARDI GOLD RUM</t>
        </is>
      </c>
      <c r="C1783" s="7">
        <f>VLOOKUP(A1783,SizeData!A$2:B$3839,2,FALSE)</f>
        <v/>
      </c>
      <c r="D1783" s="6" t="n">
        <v>2</v>
      </c>
      <c r="E1783" s="6" t="inlineStr">
        <is>
          <t>R1108792</t>
        </is>
      </c>
      <c r="F1783" s="2" t="n">
        <v>44322</v>
      </c>
      <c r="G1783" s="1" t="n"/>
    </row>
    <row r="1784">
      <c r="A1784" s="6" t="n">
        <v>43034</v>
      </c>
      <c r="B1784" s="6" t="inlineStr">
        <is>
          <t>BACARDI GOLD RUM</t>
        </is>
      </c>
      <c r="C1784" s="7">
        <f>VLOOKUP(A1784,SizeData!A$2:B$3839,2,FALSE)</f>
        <v/>
      </c>
      <c r="D1784" s="6" t="n">
        <v>2</v>
      </c>
      <c r="E1784" s="6" t="inlineStr">
        <is>
          <t>R1112663</t>
        </is>
      </c>
      <c r="F1784" s="2" t="n">
        <v>44324</v>
      </c>
      <c r="G1784" s="1" t="n"/>
    </row>
    <row r="1785">
      <c r="A1785" s="6" t="n">
        <v>43034</v>
      </c>
      <c r="B1785" s="6" t="inlineStr">
        <is>
          <t>BACARDI GOLD RUM</t>
        </is>
      </c>
      <c r="C1785" s="7">
        <f>VLOOKUP(A1785,SizeData!A$2:B$3839,2,FALSE)</f>
        <v/>
      </c>
      <c r="D1785" s="6" t="n">
        <v>1</v>
      </c>
      <c r="E1785" s="6" t="inlineStr">
        <is>
          <t>R1132212</t>
        </is>
      </c>
      <c r="F1785" s="2" t="n">
        <v>44342</v>
      </c>
      <c r="G1785" s="1" t="n"/>
    </row>
    <row r="1786">
      <c r="A1786" s="6" t="n">
        <v>43034</v>
      </c>
      <c r="B1786" s="6" t="inlineStr">
        <is>
          <t>BACARDI GOLD RUM</t>
        </is>
      </c>
      <c r="C1786" s="7">
        <f>VLOOKUP(A1786,SizeData!A$2:B$3839,2,FALSE)</f>
        <v/>
      </c>
      <c r="D1786" s="6" t="n">
        <v>4</v>
      </c>
      <c r="E1786" s="26" t="inlineStr">
        <is>
          <t>R1158572</t>
        </is>
      </c>
      <c r="F1786" s="2" t="n">
        <v>44379</v>
      </c>
      <c r="G1786" s="1" t="n"/>
    </row>
    <row r="1787">
      <c r="A1787" s="6" t="n">
        <v>43034</v>
      </c>
      <c r="B1787" s="6" t="inlineStr">
        <is>
          <t>BACARDI GOLD RUM</t>
        </is>
      </c>
      <c r="C1787" s="7">
        <f>VLOOKUP(A1787,SizeData!A$2:B$3839,2,FALSE)</f>
        <v/>
      </c>
      <c r="D1787" s="6" t="n">
        <v>2</v>
      </c>
      <c r="E1787" s="6" t="inlineStr">
        <is>
          <t xml:space="preserve"> R1162278</t>
        </is>
      </c>
      <c r="F1787" s="2" t="n">
        <v>44380</v>
      </c>
      <c r="G1787" s="1" t="n"/>
    </row>
    <row r="1788">
      <c r="A1788" s="6" t="n">
        <v>43034</v>
      </c>
      <c r="B1788" s="6" t="inlineStr">
        <is>
          <t>BACARDI GOLD RUM</t>
        </is>
      </c>
      <c r="C1788" s="7">
        <f>VLOOKUP(A1788,SizeData!A$2:B$3839,2,FALSE)</f>
        <v/>
      </c>
      <c r="D1788" s="6" t="n">
        <v>1</v>
      </c>
      <c r="E1788" s="6" t="inlineStr">
        <is>
          <t>R1181307</t>
        </is>
      </c>
      <c r="F1788" s="2" t="n">
        <v>44387</v>
      </c>
      <c r="G1788" s="1" t="n"/>
    </row>
    <row r="1789">
      <c r="A1789" s="6" t="n">
        <v>43034</v>
      </c>
      <c r="B1789" s="6" t="inlineStr">
        <is>
          <t>BACARDI GOLD RUM</t>
        </is>
      </c>
      <c r="C1789" s="7">
        <f>VLOOKUP(A1789,SizeData!A$2:B$3839,2,FALSE)</f>
        <v/>
      </c>
      <c r="D1789" s="6" t="n">
        <v>1</v>
      </c>
      <c r="E1789" s="6" t="inlineStr">
        <is>
          <t>R1170994</t>
        </is>
      </c>
      <c r="F1789" s="2" t="n">
        <v>44394</v>
      </c>
      <c r="G1789" s="1" t="n"/>
    </row>
    <row r="1790">
      <c r="A1790" s="6" t="n">
        <v>43034</v>
      </c>
      <c r="B1790" s="6" t="inlineStr">
        <is>
          <t>BACARDI GOLD RUM</t>
        </is>
      </c>
      <c r="C1790" s="7">
        <f>VLOOKUP(A1790,SizeData!A$2:B$3839,2,FALSE)</f>
        <v/>
      </c>
      <c r="D1790" s="6" t="n">
        <v>1</v>
      </c>
      <c r="E1790" s="6" t="inlineStr">
        <is>
          <t>R1192602</t>
        </is>
      </c>
      <c r="F1790" s="2" t="n">
        <v>44401</v>
      </c>
      <c r="G1790" s="1" t="n"/>
    </row>
    <row r="1791">
      <c r="A1791" s="6" t="n">
        <v>43034</v>
      </c>
      <c r="B1791" s="6" t="inlineStr">
        <is>
          <t>BACARDI GOLD RUM</t>
        </is>
      </c>
      <c r="C1791" s="7">
        <f>VLOOKUP(A1791,SizeData!A$2:B$3839,2,FALSE)</f>
        <v/>
      </c>
      <c r="D1791" s="6" t="n">
        <v>2</v>
      </c>
      <c r="E1791" s="6" t="inlineStr">
        <is>
          <t xml:space="preserve"> R1182859</t>
        </is>
      </c>
      <c r="F1791" s="2" t="n">
        <v>44404</v>
      </c>
      <c r="G1791" s="1" t="n"/>
    </row>
    <row r="1792">
      <c r="A1792" s="6" t="n">
        <v>43034</v>
      </c>
      <c r="B1792" s="6" t="inlineStr">
        <is>
          <t>BACARDI GOLD RUM</t>
        </is>
      </c>
      <c r="C1792" s="7">
        <f>VLOOKUP(A1792,SizeData!A$2:B$3839,2,FALSE)</f>
        <v/>
      </c>
      <c r="D1792" s="6" t="n">
        <v>4</v>
      </c>
      <c r="E1792" s="6" t="inlineStr">
        <is>
          <t>R1265540</t>
        </is>
      </c>
      <c r="F1792" s="2" t="n">
        <v>44459</v>
      </c>
      <c r="G1792" s="1" t="n"/>
    </row>
    <row r="1793">
      <c r="A1793" s="6" t="n">
        <v>43034</v>
      </c>
      <c r="B1793" s="6" t="inlineStr">
        <is>
          <t>BACARDI GOLD RUM</t>
        </is>
      </c>
      <c r="C1793" s="7">
        <f>VLOOKUP(A1793,SizeData!A$2:B$3839,2,FALSE)</f>
        <v/>
      </c>
      <c r="D1793" s="6" t="n">
        <v>4</v>
      </c>
      <c r="E1793" s="6" t="inlineStr">
        <is>
          <t>R1268210</t>
        </is>
      </c>
      <c r="F1793" s="2" t="n">
        <v>44469</v>
      </c>
      <c r="G1793" s="1" t="n"/>
    </row>
    <row r="1794">
      <c r="A1794" s="6" t="n">
        <v>43036</v>
      </c>
      <c r="B1794" s="6" t="inlineStr">
        <is>
          <t>BACARDI GOLD RUM</t>
        </is>
      </c>
      <c r="C1794" s="7">
        <f>VLOOKUP(A1794,SizeData!A$2:B$3839,2,FALSE)</f>
        <v/>
      </c>
      <c r="D1794" s="6" t="n">
        <v>1</v>
      </c>
      <c r="E1794" s="6" t="inlineStr">
        <is>
          <t>R1046038</t>
        </is>
      </c>
      <c r="F1794" s="2" t="n">
        <v>44256</v>
      </c>
      <c r="G1794" s="1" t="n"/>
    </row>
    <row r="1795">
      <c r="A1795" s="6" t="n">
        <v>43036</v>
      </c>
      <c r="B1795" s="6" t="inlineStr">
        <is>
          <t>BACARDI GOLD RUM</t>
        </is>
      </c>
      <c r="C1795" s="7">
        <f>VLOOKUP(A1795,SizeData!A$2:B$3839,2,FALSE)</f>
        <v/>
      </c>
      <c r="D1795" s="6" t="n">
        <v>1</v>
      </c>
      <c r="E1795" s="6" t="inlineStr">
        <is>
          <t>R1136630</t>
        </is>
      </c>
      <c r="F1795" s="2" t="n">
        <v>44341</v>
      </c>
      <c r="G1795" s="1" t="n"/>
    </row>
    <row r="1796">
      <c r="A1796" s="6" t="n">
        <v>43036</v>
      </c>
      <c r="B1796" s="6" t="inlineStr">
        <is>
          <t>BACARDI GOLD RUM</t>
        </is>
      </c>
      <c r="C1796" s="7">
        <f>VLOOKUP(A1796,SizeData!A$2:B$3839,2,FALSE)</f>
        <v/>
      </c>
      <c r="D1796" s="6" t="n">
        <v>1</v>
      </c>
      <c r="E1796" s="6" t="inlineStr">
        <is>
          <t>R1132212</t>
        </is>
      </c>
      <c r="F1796" s="2" t="n">
        <v>44342</v>
      </c>
      <c r="G1796" s="1" t="n"/>
    </row>
    <row r="1797">
      <c r="A1797" s="6" t="n">
        <v>43036</v>
      </c>
      <c r="B1797" s="6" t="inlineStr">
        <is>
          <t>BACARDI GOLD RUM</t>
        </is>
      </c>
      <c r="C1797" s="7">
        <f>VLOOKUP(A1797,SizeData!A$2:B$3839,2,FALSE)</f>
        <v/>
      </c>
      <c r="D1797" s="6" t="n">
        <v>1</v>
      </c>
      <c r="E1797" s="6" t="inlineStr">
        <is>
          <t>R1133709</t>
        </is>
      </c>
      <c r="F1797" s="2" t="n">
        <v>44344</v>
      </c>
      <c r="G1797" s="1" t="n"/>
    </row>
    <row r="1798">
      <c r="A1798" s="6" t="n">
        <v>43036</v>
      </c>
      <c r="B1798" s="6" t="inlineStr">
        <is>
          <t>BACARDI GOLD RUM</t>
        </is>
      </c>
      <c r="C1798" s="7">
        <f>VLOOKUP(A1798,SizeData!A$2:B$3839,2,FALSE)</f>
        <v/>
      </c>
      <c r="D1798" s="6" t="n">
        <v>1</v>
      </c>
      <c r="E1798" s="6" t="inlineStr">
        <is>
          <t>R1185856</t>
        </is>
      </c>
      <c r="F1798" s="2" t="n">
        <v>44400</v>
      </c>
      <c r="G1798" s="1" t="n"/>
    </row>
    <row r="1799">
      <c r="A1799" s="6" t="n">
        <v>43036</v>
      </c>
      <c r="B1799" s="6" t="inlineStr">
        <is>
          <t>BACARDI GOLD RUM</t>
        </is>
      </c>
      <c r="C1799" s="7">
        <f>VLOOKUP(A1799,SizeData!A$2:B$3839,2,FALSE)</f>
        <v/>
      </c>
      <c r="D1799" s="6" t="n">
        <v>1</v>
      </c>
      <c r="E1799" s="6" t="inlineStr">
        <is>
          <t>R1193604</t>
        </is>
      </c>
      <c r="F1799" s="2" t="n">
        <v>44407</v>
      </c>
      <c r="G1799" s="1" t="n"/>
    </row>
    <row r="1800">
      <c r="A1800" s="6" t="n">
        <v>43036</v>
      </c>
      <c r="B1800" s="6" t="inlineStr">
        <is>
          <t>BACARDI GOLD RUM</t>
        </is>
      </c>
      <c r="C1800" s="7">
        <f>VLOOKUP(A1800,SizeData!A$2:B$3839,2,FALSE)</f>
        <v/>
      </c>
      <c r="D1800" s="6" t="n">
        <v>1</v>
      </c>
      <c r="E1800" s="6" t="inlineStr">
        <is>
          <t>R1189620</t>
        </is>
      </c>
      <c r="F1800" s="2" t="n">
        <v>44408</v>
      </c>
      <c r="G1800" s="1" t="n"/>
    </row>
    <row r="1801">
      <c r="A1801" s="6" t="n">
        <v>43036</v>
      </c>
      <c r="B1801" s="6" t="inlineStr">
        <is>
          <t>BACARDI GOLD RUM</t>
        </is>
      </c>
      <c r="C1801" s="7">
        <f>VLOOKUP(A1801,SizeData!A$2:B$3839,2,FALSE)</f>
        <v/>
      </c>
      <c r="D1801" s="6" t="n">
        <v>0</v>
      </c>
      <c r="E1801" s="6" t="inlineStr">
        <is>
          <t>R1314326B</t>
        </is>
      </c>
      <c r="F1801" s="2" t="n">
        <v>44532</v>
      </c>
      <c r="G1801" s="1" t="n"/>
    </row>
    <row r="1802">
      <c r="A1802" s="6" t="n">
        <v>43038</v>
      </c>
      <c r="B1802" s="6" t="inlineStr">
        <is>
          <t>BACARDI GOLD RUM</t>
        </is>
      </c>
      <c r="C1802" s="7">
        <f>VLOOKUP(A1802,SizeData!A$2:B$3839,2,FALSE)</f>
        <v/>
      </c>
      <c r="D1802" s="6" t="n">
        <v>2</v>
      </c>
      <c r="E1802" s="6" t="inlineStr">
        <is>
          <t>R1072840</t>
        </is>
      </c>
      <c r="F1802" s="2" t="n">
        <v>44286</v>
      </c>
      <c r="G1802" s="1" t="n"/>
    </row>
    <row r="1803">
      <c r="A1803" s="6" t="n">
        <v>43040</v>
      </c>
      <c r="B1803" s="6" t="inlineStr">
        <is>
          <t>BACARDI GOLD RUM (PET)</t>
        </is>
      </c>
      <c r="C1803" s="7">
        <f>VLOOKUP(A1803,SizeData!A$2:B$3839,2,FALSE)</f>
        <v/>
      </c>
      <c r="D1803" s="6" t="n">
        <v>1</v>
      </c>
      <c r="E1803" s="6" t="inlineStr">
        <is>
          <t>R1092837</t>
        </is>
      </c>
      <c r="F1803" s="2" t="n">
        <v>44299</v>
      </c>
      <c r="G1803" s="1" t="n"/>
    </row>
    <row r="1804">
      <c r="A1804" s="6" t="n">
        <v>43040</v>
      </c>
      <c r="B1804" s="6" t="inlineStr">
        <is>
          <t>BACARDI GOLD RUM (PET)</t>
        </is>
      </c>
      <c r="C1804" s="7">
        <f>VLOOKUP(A1804,SizeData!A$2:B$3839,2,FALSE)</f>
        <v/>
      </c>
      <c r="D1804" s="6" t="n">
        <v>1</v>
      </c>
      <c r="E1804" s="6" t="inlineStr">
        <is>
          <t>R1110509</t>
        </is>
      </c>
      <c r="F1804" s="2" t="n">
        <v>44306</v>
      </c>
      <c r="G1804" s="1" t="n"/>
    </row>
    <row r="1805">
      <c r="A1805" s="6" t="n">
        <v>43040</v>
      </c>
      <c r="B1805" s="6" t="inlineStr">
        <is>
          <t>BACARDI GOLD RUM (PET)</t>
        </is>
      </c>
      <c r="C1805" s="7">
        <f>VLOOKUP(A1805,SizeData!A$2:B$3839,2,FALSE)</f>
        <v/>
      </c>
      <c r="D1805" s="6" t="n">
        <v>1</v>
      </c>
      <c r="E1805" s="6" t="inlineStr">
        <is>
          <t xml:space="preserve"> R1107264</t>
        </is>
      </c>
      <c r="F1805" s="2" t="n">
        <v>44317</v>
      </c>
      <c r="G1805" s="1" t="n"/>
    </row>
    <row r="1806">
      <c r="A1806" s="6" t="n">
        <v>43040</v>
      </c>
      <c r="B1806" s="6" t="inlineStr">
        <is>
          <t>BACARDI GOLD RUM (PET)</t>
        </is>
      </c>
      <c r="C1806" s="7">
        <f>VLOOKUP(A1806,SizeData!A$2:B$3839,2,FALSE)</f>
        <v/>
      </c>
      <c r="D1806" s="6" t="n">
        <v>1</v>
      </c>
      <c r="E1806" s="6" t="inlineStr">
        <is>
          <t>R1116842</t>
        </is>
      </c>
      <c r="F1806" s="2" t="n">
        <v>44324</v>
      </c>
      <c r="G1806" s="1" t="n"/>
    </row>
    <row r="1807">
      <c r="A1807" s="6" t="n">
        <v>43040</v>
      </c>
      <c r="B1807" s="6" t="inlineStr">
        <is>
          <t>BACARDI GOLD RUM (PET)</t>
        </is>
      </c>
      <c r="C1807" s="7">
        <f>VLOOKUP(A1807,SizeData!A$2:B$3839,2,FALSE)</f>
        <v/>
      </c>
      <c r="D1807" s="6" t="n">
        <v>2</v>
      </c>
      <c r="E1807" s="6" t="inlineStr">
        <is>
          <t>R1137831</t>
        </is>
      </c>
      <c r="F1807" s="2" t="n">
        <v>44348</v>
      </c>
      <c r="G1807" s="1" t="n"/>
    </row>
    <row r="1808">
      <c r="A1808" s="6" t="n">
        <v>43040</v>
      </c>
      <c r="B1808" s="6" t="inlineStr">
        <is>
          <t>BACARDI GOLD RUM (PET)</t>
        </is>
      </c>
      <c r="C1808" s="7">
        <f>VLOOKUP(A1808,SizeData!A$2:B$3839,2,FALSE)</f>
        <v/>
      </c>
      <c r="D1808" s="6" t="n">
        <v>3</v>
      </c>
      <c r="E1808" s="6" t="inlineStr">
        <is>
          <t>R1139641</t>
        </is>
      </c>
      <c r="F1808" s="2" t="n">
        <v>44356</v>
      </c>
      <c r="G1808" s="1" t="n"/>
    </row>
    <row r="1809">
      <c r="A1809" s="6" t="n">
        <v>43040</v>
      </c>
      <c r="B1809" s="6" t="inlineStr">
        <is>
          <t>BACARDI GOLD RUM (PET)</t>
        </is>
      </c>
      <c r="C1809" s="7">
        <f>VLOOKUP(A1809,SizeData!A$2:B$3839,2,FALSE)</f>
        <v/>
      </c>
      <c r="D1809" s="6" t="n">
        <v>2</v>
      </c>
      <c r="E1809" s="6" t="inlineStr">
        <is>
          <t>R1165810</t>
        </is>
      </c>
      <c r="F1809" s="2" t="n">
        <v>44361</v>
      </c>
      <c r="G1809" s="1" t="n"/>
    </row>
    <row r="1810">
      <c r="A1810" s="6" t="n">
        <v>43040</v>
      </c>
      <c r="B1810" s="6" t="inlineStr">
        <is>
          <t>BACARDI GOLD RUM (PET)</t>
        </is>
      </c>
      <c r="C1810" s="7">
        <f>VLOOKUP(A1810,SizeData!A$2:B$3839,2,FALSE)</f>
        <v/>
      </c>
      <c r="D1810" s="6" t="n">
        <v>3</v>
      </c>
      <c r="E1810" s="6" t="inlineStr">
        <is>
          <t>R1156117</t>
        </is>
      </c>
      <c r="F1810" s="2" t="n">
        <v>44362</v>
      </c>
      <c r="G1810" s="1" t="n"/>
    </row>
    <row r="1811">
      <c r="A1811" s="6" t="n">
        <v>43040</v>
      </c>
      <c r="B1811" s="6" t="inlineStr">
        <is>
          <t>BACARDI GOLD RUM (PET)</t>
        </is>
      </c>
      <c r="C1811" s="7">
        <f>VLOOKUP(A1811,SizeData!A$2:B$3839,2,FALSE)</f>
        <v/>
      </c>
      <c r="D1811" s="6" t="n">
        <v>4</v>
      </c>
      <c r="E1811" s="6" t="inlineStr">
        <is>
          <t>R1152585</t>
        </is>
      </c>
      <c r="F1811" s="2" t="n">
        <v>44372</v>
      </c>
      <c r="G1811" s="1" t="n"/>
    </row>
    <row r="1812">
      <c r="A1812" s="6" t="n">
        <v>43040</v>
      </c>
      <c r="B1812" s="6" t="inlineStr">
        <is>
          <t>BACARDI GOLD RUM (PET)</t>
        </is>
      </c>
      <c r="C1812" s="7">
        <f>VLOOKUP(A1812,SizeData!A$2:B$3839,2,FALSE)</f>
        <v/>
      </c>
      <c r="D1812" s="6" t="n">
        <v>3</v>
      </c>
      <c r="E1812" s="6" t="inlineStr">
        <is>
          <t>R1230991</t>
        </is>
      </c>
      <c r="F1812" s="2" t="n">
        <v>44441</v>
      </c>
      <c r="G1812" s="1" t="n"/>
    </row>
    <row r="1813">
      <c r="A1813" s="6" t="n">
        <v>43040</v>
      </c>
      <c r="B1813" s="6" t="inlineStr">
        <is>
          <t>BACARDI GOLD RUM (PET)</t>
        </is>
      </c>
      <c r="C1813" s="7">
        <f>VLOOKUP(A1813,SizeData!A$2:B$3839,2,FALSE)</f>
        <v/>
      </c>
      <c r="D1813" s="6" t="n">
        <v>4</v>
      </c>
      <c r="E1813" s="6" t="inlineStr">
        <is>
          <t>R1233531</t>
        </is>
      </c>
      <c r="F1813" s="2" t="n">
        <v>44450</v>
      </c>
      <c r="G1813" s="1" t="n"/>
    </row>
    <row r="1814">
      <c r="A1814" s="6" t="n">
        <v>43078</v>
      </c>
      <c r="B1814" s="6" t="inlineStr">
        <is>
          <t>ADMIRAL NELSON COCONUT RUM</t>
        </is>
      </c>
      <c r="C1814" s="7">
        <f>VLOOKUP(A1814,SizeData!A$2:B$3839,2,FALSE)</f>
        <v/>
      </c>
      <c r="D1814" s="6" t="n">
        <v>1</v>
      </c>
      <c r="E1814" s="6" t="inlineStr">
        <is>
          <t>R1127047</t>
        </is>
      </c>
      <c r="F1814" s="2" t="n">
        <v>44333</v>
      </c>
      <c r="G1814" s="1" t="n"/>
    </row>
    <row r="1815">
      <c r="A1815" s="6" t="n">
        <v>43095</v>
      </c>
      <c r="B1815" s="6" t="inlineStr">
        <is>
          <t>BACARDI MANGO RUM</t>
        </is>
      </c>
      <c r="C1815" s="7">
        <f>VLOOKUP(A1815,SizeData!A$2:B$3839,2,FALSE)</f>
        <v/>
      </c>
      <c r="D1815" s="6" t="n">
        <v>1</v>
      </c>
      <c r="E1815" s="6" t="inlineStr">
        <is>
          <t xml:space="preserve"> R1107264</t>
        </is>
      </c>
      <c r="F1815" s="2" t="n">
        <v>44317</v>
      </c>
      <c r="G1815" s="1" t="n"/>
    </row>
    <row r="1816">
      <c r="A1816" s="6" t="n">
        <v>43095</v>
      </c>
      <c r="B1816" s="6" t="inlineStr">
        <is>
          <t>BACARDI MANGO RUM</t>
        </is>
      </c>
      <c r="C1816" s="7">
        <f>VLOOKUP(A1816,SizeData!A$2:B$3839,2,FALSE)</f>
        <v/>
      </c>
      <c r="D1816" s="6" t="n">
        <v>1</v>
      </c>
      <c r="E1816" s="6" t="inlineStr">
        <is>
          <t>R1128764</t>
        </is>
      </c>
      <c r="F1816" s="2" t="n">
        <v>44336</v>
      </c>
      <c r="G1816" s="1" t="n"/>
    </row>
    <row r="1817">
      <c r="A1817" s="6" t="n">
        <v>43095</v>
      </c>
      <c r="B1817" s="6" t="inlineStr">
        <is>
          <t>BACARDI MANGO RUM</t>
        </is>
      </c>
      <c r="C1817" s="7">
        <f>VLOOKUP(A1817,SizeData!A$2:B$3839,2,FALSE)</f>
        <v/>
      </c>
      <c r="D1817" s="6" t="n">
        <v>1</v>
      </c>
      <c r="E1817" s="6" t="inlineStr">
        <is>
          <t>R1187907</t>
        </is>
      </c>
      <c r="F1817" s="2" t="n">
        <v>44401</v>
      </c>
      <c r="G1817" s="1" t="n"/>
    </row>
    <row r="1818">
      <c r="A1818" s="6" t="n">
        <v>43120</v>
      </c>
      <c r="B1818" s="6" t="inlineStr">
        <is>
          <t>BACARDI LIGHT RUM (PET)</t>
        </is>
      </c>
      <c r="C1818" s="7">
        <f>VLOOKUP(A1818,SizeData!A$2:B$3839,2,FALSE)</f>
        <v/>
      </c>
      <c r="D1818" s="6" t="n">
        <v>1</v>
      </c>
      <c r="E1818" s="6" t="inlineStr">
        <is>
          <t>R1096915</t>
        </is>
      </c>
      <c r="F1818" s="2" t="n">
        <v>44303</v>
      </c>
      <c r="G1818" s="1" t="n"/>
    </row>
    <row r="1819">
      <c r="A1819" s="6" t="n">
        <v>43120</v>
      </c>
      <c r="B1819" s="6" t="inlineStr">
        <is>
          <t>BACARDI LIGHT RUM (PET)</t>
        </is>
      </c>
      <c r="C1819" s="7">
        <f>VLOOKUP(A1819,SizeData!A$2:B$3839,2,FALSE)</f>
        <v/>
      </c>
      <c r="D1819" s="6" t="n">
        <v>1</v>
      </c>
      <c r="E1819" s="6" t="inlineStr">
        <is>
          <t>R1099905</t>
        </is>
      </c>
      <c r="F1819" s="2" t="n">
        <v>44310</v>
      </c>
      <c r="G1819" s="1" t="n"/>
    </row>
    <row r="1820">
      <c r="A1820" s="6" t="n">
        <v>43120</v>
      </c>
      <c r="B1820" s="6" t="inlineStr">
        <is>
          <t>BACARDI LIGHT RUM (PET)</t>
        </is>
      </c>
      <c r="C1820" s="7">
        <f>VLOOKUP(A1820,SizeData!A$2:B$3839,2,FALSE)</f>
        <v/>
      </c>
      <c r="D1820" s="6" t="n">
        <v>1</v>
      </c>
      <c r="E1820" s="6" t="inlineStr">
        <is>
          <t>R1137831</t>
        </is>
      </c>
      <c r="F1820" s="2" t="n">
        <v>44348</v>
      </c>
      <c r="G1820" s="1" t="n"/>
    </row>
    <row r="1821">
      <c r="A1821" s="6" t="n">
        <v>43120</v>
      </c>
      <c r="B1821" s="6" t="inlineStr">
        <is>
          <t>BACARDI LIGHT RUM (PET)</t>
        </is>
      </c>
      <c r="C1821" s="7">
        <f>VLOOKUP(A1821,SizeData!A$2:B$3839,2,FALSE)</f>
        <v/>
      </c>
      <c r="D1821" s="6" t="n">
        <v>4</v>
      </c>
      <c r="E1821" s="6" t="inlineStr">
        <is>
          <t>R1146158</t>
        </is>
      </c>
      <c r="F1821" s="2" t="n">
        <v>44356</v>
      </c>
      <c r="G1821" s="1" t="n"/>
    </row>
    <row r="1822">
      <c r="A1822" s="6" t="n">
        <v>43120</v>
      </c>
      <c r="B1822" s="6" t="inlineStr">
        <is>
          <t>BACARDI LIGHT RUM (PET)</t>
        </is>
      </c>
      <c r="C1822" s="7">
        <f>VLOOKUP(A1822,SizeData!A$2:B$3839,2,FALSE)</f>
        <v/>
      </c>
      <c r="D1822" s="6" t="n">
        <v>2</v>
      </c>
      <c r="E1822" s="6" t="inlineStr">
        <is>
          <t xml:space="preserve"> R1150892</t>
        </is>
      </c>
      <c r="F1822" s="2" t="n">
        <v>44368</v>
      </c>
      <c r="G1822" s="1" t="n"/>
    </row>
    <row r="1823">
      <c r="A1823" s="6" t="n">
        <v>43120</v>
      </c>
      <c r="B1823" s="6" t="inlineStr">
        <is>
          <t>BACARDI LIGHT RUM (PET)</t>
        </is>
      </c>
      <c r="C1823" s="7">
        <f>VLOOKUP(A1823,SizeData!A$2:B$3839,2,FALSE)</f>
        <v/>
      </c>
      <c r="D1823" s="6" t="n">
        <v>2</v>
      </c>
      <c r="E1823" s="6" t="inlineStr">
        <is>
          <t>R1230991</t>
        </is>
      </c>
      <c r="F1823" s="2" t="n">
        <v>44441</v>
      </c>
      <c r="G1823" s="1" t="n"/>
    </row>
    <row r="1824">
      <c r="A1824" s="6" t="n">
        <v>43120</v>
      </c>
      <c r="B1824" s="6" t="inlineStr">
        <is>
          <t>BACARDI LIGHT RUM (PET)</t>
        </is>
      </c>
      <c r="C1824" s="7">
        <f>VLOOKUP(A1824,SizeData!A$2:B$3839,2,FALSE)</f>
        <v/>
      </c>
      <c r="D1824" s="6" t="n">
        <v>3</v>
      </c>
      <c r="E1824" s="6" t="inlineStr">
        <is>
          <t>R1233531</t>
        </is>
      </c>
      <c r="F1824" s="2" t="n">
        <v>44450</v>
      </c>
      <c r="G1824" s="1" t="n"/>
    </row>
    <row r="1825">
      <c r="A1825" s="6" t="n">
        <v>43121</v>
      </c>
      <c r="B1825" s="6" t="inlineStr">
        <is>
          <t>BACARDI LIGHT RUM</t>
        </is>
      </c>
      <c r="C1825" s="7">
        <f>VLOOKUP(A1825,SizeData!A$2:B$3839,2,FALSE)</f>
        <v/>
      </c>
      <c r="D1825" s="6" t="n">
        <v>1</v>
      </c>
      <c r="E1825" s="6" t="inlineStr">
        <is>
          <t>R1067564</t>
        </is>
      </c>
      <c r="F1825" s="2" t="n">
        <v>44279</v>
      </c>
      <c r="G1825" s="1" t="n"/>
    </row>
    <row r="1826">
      <c r="A1826" s="6" t="n">
        <v>43121</v>
      </c>
      <c r="B1826" s="6" t="inlineStr">
        <is>
          <t>BACARDI LIGHT RUM</t>
        </is>
      </c>
      <c r="C1826" s="7">
        <f>VLOOKUP(A1826,SizeData!A$2:B$3839,2,FALSE)</f>
        <v/>
      </c>
      <c r="D1826" s="6" t="n">
        <v>1</v>
      </c>
      <c r="E1826" s="6" t="inlineStr">
        <is>
          <t>R1155060</t>
        </is>
      </c>
      <c r="F1826" s="2" t="n">
        <v>44357</v>
      </c>
      <c r="G1826" s="1" t="n"/>
    </row>
    <row r="1827">
      <c r="A1827" s="6" t="n">
        <v>43121</v>
      </c>
      <c r="B1827" s="6" t="inlineStr">
        <is>
          <t>BACARDI LIGHT RUM</t>
        </is>
      </c>
      <c r="C1827" s="7">
        <f>VLOOKUP(A1827,SizeData!A$2:B$3839,2,FALSE)</f>
        <v/>
      </c>
      <c r="D1827" s="6" t="n">
        <v>1</v>
      </c>
      <c r="E1827" s="6" t="inlineStr">
        <is>
          <t>R1264995</t>
        </is>
      </c>
      <c r="F1827" s="2" t="n">
        <v>44475</v>
      </c>
      <c r="G1827" s="1" t="n"/>
    </row>
    <row r="1828">
      <c r="A1828" s="6" t="n">
        <v>43124</v>
      </c>
      <c r="B1828" s="6" t="inlineStr">
        <is>
          <t>BACARDI LIGHT RUM</t>
        </is>
      </c>
      <c r="C1828" s="7">
        <f>VLOOKUP(A1828,SizeData!A$2:B$3839,2,FALSE)</f>
        <v/>
      </c>
      <c r="D1828" s="6" t="n">
        <v>5</v>
      </c>
      <c r="E1828" s="6" t="inlineStr">
        <is>
          <t>R1005889</t>
        </is>
      </c>
      <c r="F1828" s="2" t="n">
        <v>44217</v>
      </c>
      <c r="G1828" s="1" t="n"/>
    </row>
    <row r="1829">
      <c r="A1829" s="6" t="n">
        <v>43124</v>
      </c>
      <c r="B1829" s="6" t="inlineStr">
        <is>
          <t>BACARDI LIGHT RUM</t>
        </is>
      </c>
      <c r="C1829" s="7">
        <f>VLOOKUP(A1829,SizeData!A$2:B$3839,2,FALSE)</f>
        <v/>
      </c>
      <c r="D1829" s="6" t="n">
        <v>2</v>
      </c>
      <c r="E1829" s="6" t="inlineStr">
        <is>
          <t>R1130062</t>
        </is>
      </c>
      <c r="F1829" s="2" t="n">
        <v>44328</v>
      </c>
      <c r="G1829" s="1" t="n"/>
    </row>
    <row r="1830">
      <c r="A1830" s="6" t="n">
        <v>43124</v>
      </c>
      <c r="B1830" s="6" t="inlineStr">
        <is>
          <t>BACARDI LIGHT RUM</t>
        </is>
      </c>
      <c r="C1830" s="7">
        <f>VLOOKUP(A1830,SizeData!A$2:B$3839,2,FALSE)</f>
        <v/>
      </c>
      <c r="D1830" s="6" t="n">
        <v>1</v>
      </c>
      <c r="E1830" s="6" t="inlineStr">
        <is>
          <t>R1132212</t>
        </is>
      </c>
      <c r="F1830" s="2" t="n">
        <v>44342</v>
      </c>
      <c r="G1830" s="1" t="n"/>
    </row>
    <row r="1831">
      <c r="A1831" s="6" t="n">
        <v>43124</v>
      </c>
      <c r="B1831" s="6" t="inlineStr">
        <is>
          <t>BACARDI LIGHT RUM</t>
        </is>
      </c>
      <c r="C1831" s="7">
        <f>VLOOKUP(A1831,SizeData!A$2:B$3839,2,FALSE)</f>
        <v/>
      </c>
      <c r="D1831" s="6" t="n">
        <v>2</v>
      </c>
      <c r="E1831" s="6" t="inlineStr">
        <is>
          <t>R1192602</t>
        </is>
      </c>
      <c r="F1831" s="2" t="n">
        <v>44401</v>
      </c>
      <c r="G1831" s="1" t="n"/>
    </row>
    <row r="1832">
      <c r="A1832" s="6" t="n">
        <v>43124</v>
      </c>
      <c r="B1832" s="6" t="inlineStr">
        <is>
          <t>BACARDI LIGHT RUM</t>
        </is>
      </c>
      <c r="C1832" s="7">
        <f>VLOOKUP(A1832,SizeData!A$2:B$3839,2,FALSE)</f>
        <v/>
      </c>
      <c r="D1832" s="6" t="n">
        <v>2</v>
      </c>
      <c r="E1832" s="6" t="inlineStr">
        <is>
          <t xml:space="preserve"> R1182859</t>
        </is>
      </c>
      <c r="F1832" s="2" t="n">
        <v>44404</v>
      </c>
      <c r="G1832" s="1" t="n"/>
    </row>
    <row r="1833">
      <c r="A1833" s="6" t="n">
        <v>43124</v>
      </c>
      <c r="B1833" s="6" t="inlineStr">
        <is>
          <t>BACARDI LIGHT RUM</t>
        </is>
      </c>
      <c r="C1833" s="7">
        <f>VLOOKUP(A1833,SizeData!A$2:B$3839,2,FALSE)</f>
        <v/>
      </c>
      <c r="D1833" s="6" t="n">
        <v>2</v>
      </c>
      <c r="E1833" s="6" t="inlineStr">
        <is>
          <t>R1192528</t>
        </is>
      </c>
      <c r="F1833" s="2" t="n">
        <v>44404</v>
      </c>
      <c r="G1833" s="1" t="n"/>
    </row>
    <row r="1834">
      <c r="A1834" s="6" t="n">
        <v>43124</v>
      </c>
      <c r="B1834" s="6" t="inlineStr">
        <is>
          <t>BACARDI LIGHT RUM</t>
        </is>
      </c>
      <c r="C1834" s="7">
        <f>VLOOKUP(A1834,SizeData!A$2:B$3839,2,FALSE)</f>
        <v/>
      </c>
      <c r="D1834" s="6" t="n">
        <v>0</v>
      </c>
      <c r="E1834" s="6" t="inlineStr">
        <is>
          <t>R1265540</t>
        </is>
      </c>
      <c r="F1834" s="2" t="n">
        <v>44459</v>
      </c>
      <c r="G1834" s="1" t="n"/>
    </row>
    <row r="1835">
      <c r="A1835" s="6" t="n">
        <v>43124</v>
      </c>
      <c r="B1835" s="6" t="inlineStr">
        <is>
          <t>BACARDI LIGHT RUM</t>
        </is>
      </c>
      <c r="C1835" s="7">
        <f>VLOOKUP(A1835,SizeData!A$2:B$3839,2,FALSE)</f>
        <v/>
      </c>
      <c r="D1835" s="6" t="n">
        <v>0</v>
      </c>
      <c r="E1835" s="6" t="inlineStr">
        <is>
          <t>R1268210</t>
        </is>
      </c>
      <c r="F1835" s="2" t="n">
        <v>44469</v>
      </c>
      <c r="G1835" s="1" t="n"/>
    </row>
    <row r="1836">
      <c r="A1836" s="6" t="n">
        <v>43126</v>
      </c>
      <c r="B1836" s="6" t="inlineStr">
        <is>
          <t>BACARDI LIGHT RUM</t>
        </is>
      </c>
      <c r="C1836" s="7">
        <f>VLOOKUP(A1836,SizeData!A$2:B$3839,2,FALSE)</f>
        <v/>
      </c>
      <c r="D1836" s="6" t="n">
        <v>1</v>
      </c>
      <c r="E1836" s="6" t="inlineStr">
        <is>
          <t>R1039467</t>
        </is>
      </c>
      <c r="F1836" s="2" t="n">
        <v>44266</v>
      </c>
      <c r="G1836" s="1" t="n"/>
    </row>
    <row r="1837">
      <c r="A1837" s="6" t="n">
        <v>43126</v>
      </c>
      <c r="B1837" s="6" t="inlineStr">
        <is>
          <t>BACARDI LIGHT RUM</t>
        </is>
      </c>
      <c r="C1837" s="7">
        <f>VLOOKUP(A1837,SizeData!A$2:B$3839,2,FALSE)</f>
        <v/>
      </c>
      <c r="D1837" s="6" t="n">
        <v>1</v>
      </c>
      <c r="E1837" s="6" t="inlineStr">
        <is>
          <t>R1122021</t>
        </is>
      </c>
      <c r="F1837" s="2" t="n">
        <v>44328</v>
      </c>
      <c r="G1837" s="1" t="n"/>
    </row>
    <row r="1838">
      <c r="A1838" s="6" t="n">
        <v>43126</v>
      </c>
      <c r="B1838" s="6" t="inlineStr">
        <is>
          <t>BACARDI LIGHT RUM</t>
        </is>
      </c>
      <c r="C1838" s="7">
        <f>VLOOKUP(A1838,SizeData!A$2:B$3839,2,FALSE)</f>
        <v/>
      </c>
      <c r="D1838" s="6" t="n">
        <v>1</v>
      </c>
      <c r="E1838" s="6" t="inlineStr">
        <is>
          <t>R1109381</t>
        </is>
      </c>
      <c r="F1838" s="2" t="n">
        <v>44331</v>
      </c>
      <c r="G1838" s="1" t="n"/>
    </row>
    <row r="1839">
      <c r="A1839" s="6" t="n">
        <v>43126</v>
      </c>
      <c r="B1839" s="6" t="inlineStr">
        <is>
          <t>BACARDI LIGHT RUM</t>
        </is>
      </c>
      <c r="C1839" s="7">
        <f>VLOOKUP(A1839,SizeData!A$2:B$3839,2,FALSE)</f>
        <v/>
      </c>
      <c r="D1839" s="6" t="n">
        <v>1</v>
      </c>
      <c r="E1839" s="6" t="inlineStr">
        <is>
          <t>R1132212</t>
        </is>
      </c>
      <c r="F1839" s="2" t="n">
        <v>44342</v>
      </c>
      <c r="G1839" s="1" t="n"/>
    </row>
    <row r="1840">
      <c r="A1840" s="6" t="n">
        <v>43126</v>
      </c>
      <c r="B1840" s="6" t="inlineStr">
        <is>
          <t>BACARDI LIGHT RUM</t>
        </is>
      </c>
      <c r="C1840" s="7">
        <f>VLOOKUP(A1840,SizeData!A$2:B$3839,2,FALSE)</f>
        <v/>
      </c>
      <c r="D1840" s="6" t="n">
        <v>1</v>
      </c>
      <c r="E1840" s="6" t="inlineStr">
        <is>
          <t>R1175838</t>
        </is>
      </c>
      <c r="F1840" s="2" t="n">
        <v>44389</v>
      </c>
      <c r="G1840" s="1" t="n"/>
    </row>
    <row r="1841">
      <c r="A1841" s="6" t="n">
        <v>43126</v>
      </c>
      <c r="B1841" s="6" t="inlineStr">
        <is>
          <t>BACARDI LIGHT RUM</t>
        </is>
      </c>
      <c r="C1841" s="7">
        <f>VLOOKUP(A1841,SizeData!A$2:B$3839,2,FALSE)</f>
        <v/>
      </c>
      <c r="D1841" s="6" t="n">
        <v>2</v>
      </c>
      <c r="E1841" s="6" t="inlineStr">
        <is>
          <t>R1173248</t>
        </is>
      </c>
      <c r="F1841" s="2" t="n">
        <v>44393</v>
      </c>
      <c r="G1841" s="1" t="n"/>
    </row>
    <row r="1842">
      <c r="A1842" s="6" t="n">
        <v>43126</v>
      </c>
      <c r="B1842" s="6" t="inlineStr">
        <is>
          <t>BACARDI LIGHT RUM</t>
        </is>
      </c>
      <c r="C1842" s="7">
        <f>VLOOKUP(A1842,SizeData!A$2:B$3839,2,FALSE)</f>
        <v/>
      </c>
      <c r="D1842" s="6" t="n">
        <v>1</v>
      </c>
      <c r="E1842" s="6" t="inlineStr">
        <is>
          <t>R1314326</t>
        </is>
      </c>
      <c r="F1842" s="2" t="n">
        <v>44512</v>
      </c>
      <c r="G1842" s="1" t="n"/>
    </row>
    <row r="1843">
      <c r="A1843" s="6" t="n">
        <v>43126</v>
      </c>
      <c r="B1843" s="6" t="inlineStr">
        <is>
          <t>BACARDI LIGHT RUM</t>
        </is>
      </c>
      <c r="C1843" s="7">
        <f>VLOOKUP(A1843,SizeData!A$2:B$3839,2,FALSE)</f>
        <v/>
      </c>
      <c r="D1843" s="6" t="n">
        <v>3</v>
      </c>
      <c r="E1843" s="6" t="inlineStr">
        <is>
          <t>R1321455</t>
        </is>
      </c>
      <c r="F1843" s="2" t="n">
        <v>44513</v>
      </c>
      <c r="G1843" s="1" t="n"/>
    </row>
    <row r="1844">
      <c r="A1844" s="6" t="n">
        <v>43136</v>
      </c>
      <c r="B1844" s="6" t="inlineStr">
        <is>
          <t>BACARDI LIMON RUM</t>
        </is>
      </c>
      <c r="C1844" s="7">
        <f>VLOOKUP(A1844,SizeData!A$2:B$3839,2,FALSE)</f>
        <v/>
      </c>
      <c r="D1844" s="6" t="n">
        <v>1</v>
      </c>
      <c r="E1844" s="6" t="inlineStr">
        <is>
          <t xml:space="preserve"> R1107264</t>
        </is>
      </c>
      <c r="F1844" s="2" t="n">
        <v>44317</v>
      </c>
      <c r="G1844" s="1" t="n"/>
    </row>
    <row r="1845">
      <c r="A1845" s="6" t="n">
        <v>43136</v>
      </c>
      <c r="B1845" s="6" t="inlineStr">
        <is>
          <t>BACARDI LIMON RUM</t>
        </is>
      </c>
      <c r="C1845" s="7">
        <f>VLOOKUP(A1845,SizeData!A$2:B$3839,2,FALSE)</f>
        <v/>
      </c>
      <c r="D1845" s="6" t="n">
        <v>1</v>
      </c>
      <c r="E1845" s="6" t="inlineStr">
        <is>
          <t>R1189620</t>
        </is>
      </c>
      <c r="F1845" s="2" t="n">
        <v>44408</v>
      </c>
      <c r="G1845" s="1" t="n"/>
    </row>
    <row r="1846">
      <c r="A1846" s="6" t="n">
        <v>43145</v>
      </c>
      <c r="B1846" s="6" t="inlineStr">
        <is>
          <t>BACARDI PINEAPPLE RUM</t>
        </is>
      </c>
      <c r="C1846" s="7">
        <f>VLOOKUP(A1846,SizeData!A$2:B$3839,2,FALSE)</f>
        <v/>
      </c>
      <c r="D1846" s="6" t="n">
        <v>1</v>
      </c>
      <c r="E1846" s="6" t="inlineStr">
        <is>
          <t xml:space="preserve"> R1107264</t>
        </is>
      </c>
      <c r="F1846" s="2" t="n">
        <v>44317</v>
      </c>
      <c r="G1846" s="1" t="n"/>
    </row>
    <row r="1847">
      <c r="A1847" s="6" t="n">
        <v>43145</v>
      </c>
      <c r="B1847" s="6" t="inlineStr">
        <is>
          <t>BACARDI PINEAPPLE RUM</t>
        </is>
      </c>
      <c r="C1847" s="7">
        <f>VLOOKUP(A1847,SizeData!A$2:B$3839,2,FALSE)</f>
        <v/>
      </c>
      <c r="D1847" s="6" t="n">
        <v>1</v>
      </c>
      <c r="E1847" s="6" t="inlineStr">
        <is>
          <t>R1318654</t>
        </is>
      </c>
      <c r="F1847" s="2" t="n">
        <v>44513</v>
      </c>
      <c r="G1847" s="1" t="n"/>
    </row>
    <row r="1848">
      <c r="A1848" s="6" t="n">
        <v>43145</v>
      </c>
      <c r="B1848" s="6" t="inlineStr">
        <is>
          <t>BACARDI PINEAPPLE RUM</t>
        </is>
      </c>
      <c r="C1848" s="7">
        <f>VLOOKUP(A1848,SizeData!A$2:B$3839,2,FALSE)</f>
        <v/>
      </c>
      <c r="D1848" s="6" t="n">
        <v>1</v>
      </c>
      <c r="E1848" s="6" t="inlineStr">
        <is>
          <t>R1335595</t>
        </is>
      </c>
      <c r="F1848" s="2" t="n">
        <v>44520</v>
      </c>
      <c r="G1848" s="1" t="n"/>
    </row>
    <row r="1849">
      <c r="A1849" s="6" t="n">
        <v>43296</v>
      </c>
      <c r="B1849" s="6" t="inlineStr">
        <is>
          <t>CAPTAIN MORGAN SILVER SPICED RUM</t>
        </is>
      </c>
      <c r="C1849" s="7">
        <f>VLOOKUP(A1849,SizeData!A$2:B$3839,2,FALSE)</f>
        <v/>
      </c>
      <c r="D1849" s="6" t="n">
        <v>1</v>
      </c>
      <c r="E1849" s="6" t="inlineStr">
        <is>
          <t>R1058918</t>
        </is>
      </c>
      <c r="F1849" s="2" t="n">
        <v>44273</v>
      </c>
      <c r="G1849" s="1" t="n"/>
    </row>
    <row r="1850">
      <c r="A1850" s="6" t="n">
        <v>43328</v>
      </c>
      <c r="B1850" s="6" t="inlineStr">
        <is>
          <t>CAPTAIN MORGAN WHITE RUM</t>
        </is>
      </c>
      <c r="C1850" s="7">
        <f>VLOOKUP(A1850,SizeData!A$2:B$3839,2,FALSE)</f>
        <v/>
      </c>
      <c r="D1850" s="6" t="n">
        <v>1</v>
      </c>
      <c r="E1850" s="6" t="inlineStr">
        <is>
          <t>R1073603</t>
        </is>
      </c>
      <c r="F1850" s="2" t="n">
        <v>44280</v>
      </c>
      <c r="G1850" s="1" t="n"/>
    </row>
    <row r="1851">
      <c r="A1851" s="6" t="n">
        <v>43334</v>
      </c>
      <c r="B1851" s="6" t="inlineStr">
        <is>
          <t>CAPTAIN MORGAN ORIGINAL SPICED RUM</t>
        </is>
      </c>
      <c r="C1851" s="7">
        <f>VLOOKUP(A1851,SizeData!A$2:B$3839,2,FALSE)</f>
        <v/>
      </c>
      <c r="D1851" s="6" t="n">
        <v>1</v>
      </c>
      <c r="E1851" s="6" t="inlineStr">
        <is>
          <t>R1173248</t>
        </is>
      </c>
      <c r="F1851" s="2" t="n">
        <v>44393</v>
      </c>
      <c r="G1851" s="1" t="n"/>
    </row>
    <row r="1852">
      <c r="A1852" s="6" t="n">
        <v>43336</v>
      </c>
      <c r="B1852" s="6" t="inlineStr">
        <is>
          <t>CAPTAIN MORGAN ORIGINAL SPICED RUM</t>
        </is>
      </c>
      <c r="C1852" s="7">
        <f>VLOOKUP(A1852,SizeData!A$2:B$3839,2,FALSE)</f>
        <v/>
      </c>
      <c r="D1852" s="6" t="n">
        <v>3</v>
      </c>
      <c r="E1852" s="6" t="inlineStr">
        <is>
          <t>R1213561</t>
        </is>
      </c>
      <c r="F1852" s="2" t="n">
        <v>44427</v>
      </c>
      <c r="G1852" s="1" t="n"/>
    </row>
    <row r="1853">
      <c r="A1853" s="6" t="n">
        <v>43533</v>
      </c>
      <c r="B1853" s="6" t="inlineStr">
        <is>
          <t>PLANTATION "OFTD" OVERPROOF AGED RUM</t>
        </is>
      </c>
      <c r="C1853" s="7">
        <f>VLOOKUP(A1853,SizeData!A$2:B$3839,2,FALSE)</f>
        <v/>
      </c>
      <c r="D1853" s="6" t="n">
        <v>1</v>
      </c>
      <c r="E1853" s="6" t="inlineStr">
        <is>
          <t>R1188262</t>
        </is>
      </c>
      <c r="F1853" s="2" t="n">
        <v>44409</v>
      </c>
      <c r="G1853" s="1" t="n"/>
    </row>
    <row r="1854">
      <c r="A1854" s="6" t="n">
        <v>43641</v>
      </c>
      <c r="B1854" s="6" t="inlineStr">
        <is>
          <t>DIPLOMATICO RESERVA EXCLUSIVA RUM</t>
        </is>
      </c>
      <c r="C1854" s="7">
        <f>VLOOKUP(A1854,SizeData!A$2:B$3839,2,FALSE)</f>
        <v/>
      </c>
      <c r="D1854" s="6" t="n">
        <v>1</v>
      </c>
      <c r="E1854" s="6" t="inlineStr">
        <is>
          <t>R1166742</t>
        </is>
      </c>
      <c r="F1854" s="2" t="n">
        <v>44372</v>
      </c>
      <c r="G1854" s="1" t="n"/>
    </row>
    <row r="1855">
      <c r="A1855" s="6" t="n">
        <v>43691</v>
      </c>
      <c r="B1855" s="6" t="inlineStr">
        <is>
          <t>DON Q 151</t>
        </is>
      </c>
      <c r="C1855" s="7">
        <f>VLOOKUP(A1855,SizeData!A$2:B$3839,2,FALSE)</f>
        <v/>
      </c>
      <c r="D1855" s="6" t="n">
        <v>1</v>
      </c>
      <c r="E1855" s="6" t="inlineStr">
        <is>
          <t>R1224208</t>
        </is>
      </c>
      <c r="F1855" s="2" t="n">
        <v>44436</v>
      </c>
      <c r="G1855" s="1" t="n"/>
    </row>
    <row r="1856">
      <c r="A1856" s="6" t="n">
        <v>43735</v>
      </c>
      <c r="B1856" s="6" t="inlineStr">
        <is>
          <t>BUMBU XO</t>
        </is>
      </c>
      <c r="C1856" s="7">
        <f>VLOOKUP(A1856,SizeData!A$2:B$3839,2,FALSE)</f>
        <v/>
      </c>
      <c r="D1856" s="6" t="n">
        <v>1</v>
      </c>
      <c r="E1856" s="6" t="inlineStr">
        <is>
          <t>R1015412</t>
        </is>
      </c>
      <c r="F1856" s="2" t="n">
        <v>44215</v>
      </c>
      <c r="G1856" s="1" t="n"/>
    </row>
    <row r="1857">
      <c r="A1857" s="6" t="n">
        <v>43735</v>
      </c>
      <c r="B1857" s="6" t="inlineStr">
        <is>
          <t>BUMBU XO</t>
        </is>
      </c>
      <c r="C1857" s="7">
        <f>VLOOKUP(A1857,SizeData!A$2:B$3839,2,FALSE)</f>
        <v/>
      </c>
      <c r="D1857" s="6" t="n">
        <v>1</v>
      </c>
      <c r="E1857" s="6" t="inlineStr">
        <is>
          <t>R1074089</t>
        </is>
      </c>
      <c r="F1857" s="2" t="n">
        <v>44288</v>
      </c>
      <c r="G1857" s="1" t="n"/>
    </row>
    <row r="1858">
      <c r="A1858" s="6" t="n">
        <v>43735</v>
      </c>
      <c r="B1858" s="6" t="inlineStr">
        <is>
          <t>BUMBU XO</t>
        </is>
      </c>
      <c r="C1858" s="7">
        <f>VLOOKUP(A1858,SizeData!A$2:B$3839,2,FALSE)</f>
        <v/>
      </c>
      <c r="D1858" s="6" t="n">
        <v>1</v>
      </c>
      <c r="E1858" s="6" t="inlineStr">
        <is>
          <t>R1089602</t>
        </is>
      </c>
      <c r="F1858" s="2" t="n">
        <v>44298</v>
      </c>
      <c r="G1858" s="1" t="n"/>
    </row>
    <row r="1859">
      <c r="A1859" s="6" t="n">
        <v>43735</v>
      </c>
      <c r="B1859" s="6" t="inlineStr">
        <is>
          <t>BUMBU XO</t>
        </is>
      </c>
      <c r="C1859" s="7">
        <f>VLOOKUP(A1859,SizeData!A$2:B$3839,2,FALSE)</f>
        <v/>
      </c>
      <c r="D1859" s="6" t="n">
        <v>1</v>
      </c>
      <c r="E1859" s="6" t="inlineStr">
        <is>
          <t>R1099905</t>
        </is>
      </c>
      <c r="F1859" s="2" t="n">
        <v>44310</v>
      </c>
      <c r="G1859" s="1" t="n"/>
    </row>
    <row r="1860">
      <c r="A1860" s="6" t="n">
        <v>43735</v>
      </c>
      <c r="B1860" s="6" t="inlineStr">
        <is>
          <t>BUMBU XO</t>
        </is>
      </c>
      <c r="C1860" s="7">
        <f>VLOOKUP(A1860,SizeData!A$2:B$3839,2,FALSE)</f>
        <v/>
      </c>
      <c r="D1860" s="6" t="n">
        <v>3</v>
      </c>
      <c r="E1860" s="6" t="inlineStr">
        <is>
          <t>R1269954</t>
        </is>
      </c>
      <c r="F1860" s="2" t="n">
        <v>44475</v>
      </c>
      <c r="G1860" s="1" t="n"/>
    </row>
    <row r="1861">
      <c r="A1861" s="6" t="n">
        <v>43747</v>
      </c>
      <c r="B1861" s="6" t="inlineStr">
        <is>
          <t>BACARDI LIME</t>
        </is>
      </c>
      <c r="C1861" s="7">
        <f>VLOOKUP(A1861,SizeData!A$2:B$3839,2,FALSE)</f>
        <v/>
      </c>
      <c r="D1861" s="6" t="n">
        <v>1</v>
      </c>
      <c r="E1861" s="6" t="inlineStr">
        <is>
          <t>R1066712</t>
        </is>
      </c>
      <c r="F1861" s="2" t="n">
        <v>44268</v>
      </c>
      <c r="G1861" s="1" t="n"/>
    </row>
    <row r="1862">
      <c r="A1862" s="6" t="n">
        <v>43797</v>
      </c>
      <c r="B1862" s="6" t="inlineStr">
        <is>
          <t>APPLETON ESTATE SIGNATURE BLEND</t>
        </is>
      </c>
      <c r="C1862" s="7">
        <f>VLOOKUP(A1862,SizeData!A$2:B$3839,2,FALSE)</f>
        <v/>
      </c>
      <c r="D1862" s="6" t="n">
        <v>1</v>
      </c>
      <c r="E1862" s="6" t="inlineStr">
        <is>
          <t>R1091962</t>
        </is>
      </c>
      <c r="F1862" s="2" t="n">
        <v>44295</v>
      </c>
      <c r="G1862" s="1" t="n"/>
    </row>
    <row r="1863">
      <c r="A1863" s="6" t="n">
        <v>43801</v>
      </c>
      <c r="B1863" s="6" t="inlineStr">
        <is>
          <t>APPLETON ESTATE 8YR RUM</t>
        </is>
      </c>
      <c r="C1863" s="7">
        <f>VLOOKUP(A1863,SizeData!A$2:B$3839,2,FALSE)</f>
        <v/>
      </c>
      <c r="D1863" s="6" t="n">
        <v>1</v>
      </c>
      <c r="E1863" s="6" t="inlineStr">
        <is>
          <t>R1091962</t>
        </is>
      </c>
      <c r="F1863" s="2" t="n">
        <v>44295</v>
      </c>
      <c r="G1863" s="1" t="n"/>
    </row>
    <row r="1864">
      <c r="A1864" s="6" t="n">
        <v>43803</v>
      </c>
      <c r="B1864" s="6" t="inlineStr">
        <is>
          <t>APPLETON ESTATE 12YR RUM</t>
        </is>
      </c>
      <c r="C1864" s="7">
        <f>VLOOKUP(A1864,SizeData!A$2:B$3839,2,FALSE)</f>
        <v/>
      </c>
      <c r="D1864" s="6" t="n">
        <v>1</v>
      </c>
      <c r="E1864" s="6" t="inlineStr">
        <is>
          <t>R1166672</t>
        </is>
      </c>
      <c r="F1864" s="2" t="n">
        <v>44375</v>
      </c>
      <c r="G1864" s="1" t="n"/>
    </row>
    <row r="1865">
      <c r="A1865" s="6" t="n">
        <v>43848</v>
      </c>
      <c r="B1865" s="6" t="inlineStr">
        <is>
          <t>RONRICO SILVER RUM</t>
        </is>
      </c>
      <c r="C1865" s="7">
        <f>VLOOKUP(A1865,SizeData!A$2:B$3839,2,FALSE)</f>
        <v/>
      </c>
      <c r="D1865" s="6" t="n">
        <v>1</v>
      </c>
      <c r="E1865" s="6" t="inlineStr">
        <is>
          <t>R992805</t>
        </is>
      </c>
      <c r="F1865" s="2" t="n">
        <v>44201</v>
      </c>
      <c r="G1865" s="1" t="n"/>
    </row>
    <row r="1866">
      <c r="A1866" s="6" t="n">
        <v>43902</v>
      </c>
      <c r="B1866" s="6" t="inlineStr">
        <is>
          <t>MALIBU STRAWBERRY</t>
        </is>
      </c>
      <c r="C1866" s="7">
        <f>VLOOKUP(A1866,SizeData!A$2:B$3839,2,FALSE)</f>
        <v/>
      </c>
      <c r="D1866" s="6" t="n">
        <v>1</v>
      </c>
      <c r="E1866" s="6" t="inlineStr">
        <is>
          <t>R1085722</t>
        </is>
      </c>
      <c r="F1866" s="2" t="n">
        <v>44287</v>
      </c>
      <c r="G1866" s="1" t="n"/>
    </row>
    <row r="1867">
      <c r="A1867" s="6" t="n">
        <v>43902</v>
      </c>
      <c r="B1867" s="6" t="inlineStr">
        <is>
          <t>MALIBU STRAWBERRY</t>
        </is>
      </c>
      <c r="C1867" s="7">
        <f>VLOOKUP(A1867,SizeData!A$2:B$3839,2,FALSE)</f>
        <v/>
      </c>
      <c r="D1867" s="6" t="n">
        <v>1</v>
      </c>
      <c r="E1867" s="6" t="inlineStr">
        <is>
          <t>R1084236</t>
        </is>
      </c>
      <c r="F1867" s="2" t="n">
        <v>44296</v>
      </c>
      <c r="G1867" s="1" t="n"/>
    </row>
    <row r="1868">
      <c r="A1868" s="6" t="n">
        <v>44088</v>
      </c>
      <c r="B1868" s="6" t="inlineStr">
        <is>
          <t>ADMIRAL NELSON WATERMELON</t>
        </is>
      </c>
      <c r="C1868" s="7">
        <f>VLOOKUP(A1868,SizeData!A$2:B$3839,2,FALSE)</f>
        <v/>
      </c>
      <c r="D1868" s="6" t="n">
        <v>1</v>
      </c>
      <c r="E1868" s="6" t="inlineStr">
        <is>
          <t>R1109607</t>
        </is>
      </c>
      <c r="F1868" s="2" t="n">
        <v>44317</v>
      </c>
      <c r="G1868" s="1" t="n"/>
    </row>
    <row r="1869">
      <c r="A1869" s="6" t="n">
        <v>44088</v>
      </c>
      <c r="B1869" s="6" t="inlineStr">
        <is>
          <t>ADMIRAL NELSON WATERMELON</t>
        </is>
      </c>
      <c r="C1869" s="7">
        <f>VLOOKUP(A1869,SizeData!A$2:B$3839,2,FALSE)</f>
        <v/>
      </c>
      <c r="D1869" s="6" t="n">
        <v>1</v>
      </c>
      <c r="E1869" s="6" t="inlineStr">
        <is>
          <t>R1200565</t>
        </is>
      </c>
      <c r="F1869" s="2" t="n">
        <v>44411</v>
      </c>
      <c r="G1869" s="1" t="n"/>
    </row>
    <row r="1870">
      <c r="A1870" s="6" t="n">
        <v>44331</v>
      </c>
      <c r="B1870" s="6" t="inlineStr">
        <is>
          <t>CALYPSO COCONUT RUM</t>
        </is>
      </c>
      <c r="C1870" s="7">
        <f>VLOOKUP(A1870,SizeData!A$2:B$3839,2,FALSE)</f>
        <v/>
      </c>
      <c r="D1870" s="6" t="n">
        <v>3</v>
      </c>
      <c r="E1870" s="6" t="inlineStr">
        <is>
          <t>R1352452</t>
        </is>
      </c>
      <c r="F1870" s="2" t="n">
        <v>44536</v>
      </c>
      <c r="G1870" s="1" t="n"/>
    </row>
    <row r="1871">
      <c r="A1871" s="6" t="n">
        <v>44333</v>
      </c>
      <c r="B1871" s="6" t="inlineStr">
        <is>
          <t>CALYPSO COCONUT FLAVORED RUM</t>
        </is>
      </c>
      <c r="C1871" s="7">
        <f>VLOOKUP(A1871,SizeData!A$2:B$3839,2,FALSE)</f>
        <v/>
      </c>
      <c r="D1871" s="6" t="n">
        <v>1</v>
      </c>
      <c r="E1871" s="6" t="inlineStr">
        <is>
          <t>R1072360</t>
        </is>
      </c>
      <c r="F1871" s="2" t="n">
        <v>44281</v>
      </c>
      <c r="G1871" s="1" t="n"/>
    </row>
    <row r="1872">
      <c r="A1872" s="6" t="n">
        <v>44333</v>
      </c>
      <c r="B1872" s="6" t="inlineStr">
        <is>
          <t>CALYPSO COCONUT FLAVORED RUM</t>
        </is>
      </c>
      <c r="C1872" s="7">
        <f>VLOOKUP(A1872,SizeData!A$2:B$3839,2,FALSE)</f>
        <v/>
      </c>
      <c r="D1872" s="6" t="n">
        <v>1</v>
      </c>
      <c r="E1872" s="6" t="inlineStr">
        <is>
          <t>R1135118</t>
        </is>
      </c>
      <c r="F1872" s="2" t="n">
        <v>44321</v>
      </c>
      <c r="G1872" s="1" t="n"/>
    </row>
    <row r="1873">
      <c r="A1873" s="6" t="n">
        <v>44333</v>
      </c>
      <c r="B1873" s="6" t="inlineStr">
        <is>
          <t>CALYPSO COCONUT FLAVORED RUM</t>
        </is>
      </c>
      <c r="C1873" s="7">
        <f>VLOOKUP(A1873,SizeData!A$2:B$3839,2,FALSE)</f>
        <v/>
      </c>
      <c r="D1873" s="6" t="n">
        <v>2</v>
      </c>
      <c r="E1873" s="6" t="inlineStr">
        <is>
          <t>R1129649</t>
        </is>
      </c>
      <c r="F1873" s="2" t="n">
        <v>44343</v>
      </c>
      <c r="G1873" s="1" t="n"/>
    </row>
    <row r="1874">
      <c r="A1874" s="6" t="n">
        <v>44333</v>
      </c>
      <c r="B1874" s="6" t="inlineStr">
        <is>
          <t>CALYPSO COCONUT FLAVORED RUM</t>
        </is>
      </c>
      <c r="C1874" s="7">
        <f>VLOOKUP(A1874,SizeData!A$2:B$3839,2,FALSE)</f>
        <v/>
      </c>
      <c r="D1874" s="6" t="n">
        <v>1</v>
      </c>
      <c r="E1874" s="6" t="inlineStr">
        <is>
          <t>R1124382</t>
        </is>
      </c>
      <c r="F1874" s="2" t="n">
        <v>44347</v>
      </c>
      <c r="G1874" s="1" t="n"/>
    </row>
    <row r="1875">
      <c r="A1875" s="6" t="n">
        <v>44333</v>
      </c>
      <c r="B1875" s="6" t="inlineStr">
        <is>
          <t>CALYPSO COCONUT FLAVORED RUM</t>
        </is>
      </c>
      <c r="C1875" s="7">
        <f>VLOOKUP(A1875,SizeData!A$2:B$3839,2,FALSE)</f>
        <v/>
      </c>
      <c r="D1875" s="6" t="n">
        <v>1</v>
      </c>
      <c r="E1875" s="6" t="inlineStr">
        <is>
          <t>R1235270</t>
        </is>
      </c>
      <c r="F1875" s="2" t="n">
        <v>44440</v>
      </c>
      <c r="G1875" s="1" t="n"/>
    </row>
    <row r="1876">
      <c r="A1876" s="6" t="n">
        <v>44333</v>
      </c>
      <c r="B1876" s="6" t="inlineStr">
        <is>
          <t>CALYPSO COCONUT FLAVORED RUM</t>
        </is>
      </c>
      <c r="C1876" s="7">
        <f>VLOOKUP(A1876,SizeData!A$2:B$3839,2,FALSE)</f>
        <v/>
      </c>
      <c r="D1876" s="6" t="n">
        <v>3</v>
      </c>
      <c r="E1876" s="6" t="inlineStr">
        <is>
          <t>R1232932</t>
        </is>
      </c>
      <c r="F1876" s="2" t="n">
        <v>44446</v>
      </c>
      <c r="G1876" s="1" t="n"/>
    </row>
    <row r="1877">
      <c r="A1877" s="6" t="n">
        <v>44333</v>
      </c>
      <c r="B1877" s="6" t="inlineStr">
        <is>
          <t>CALYPSO COCONUT FLAVORED RUM</t>
        </is>
      </c>
      <c r="C1877" s="7">
        <f>VLOOKUP(A1877,SizeData!A$2:B$3839,2,FALSE)</f>
        <v/>
      </c>
      <c r="D1877" s="6" t="n">
        <v>0</v>
      </c>
      <c r="E1877" s="6" t="inlineStr">
        <is>
          <t>R1340613</t>
        </is>
      </c>
      <c r="F1877" s="2" t="n">
        <v>44520</v>
      </c>
      <c r="G1877" s="1" t="n"/>
    </row>
    <row r="1878">
      <c r="A1878" s="6" t="n">
        <v>44333</v>
      </c>
      <c r="B1878" s="6" t="inlineStr">
        <is>
          <t>CALYPSO COCONUT FLAVORED RUM</t>
        </is>
      </c>
      <c r="C1878" s="7">
        <f>VLOOKUP(A1878,SizeData!A$2:B$3839,2,FALSE)</f>
        <v/>
      </c>
      <c r="D1878" s="6" t="n">
        <v>0</v>
      </c>
      <c r="E1878" s="6" t="inlineStr">
        <is>
          <t>R1340613</t>
        </is>
      </c>
      <c r="F1878" s="2" t="n">
        <v>44520</v>
      </c>
      <c r="G1878" s="1" t="n"/>
    </row>
    <row r="1879">
      <c r="A1879" s="6" t="n">
        <v>44340</v>
      </c>
      <c r="B1879" s="6" t="inlineStr">
        <is>
          <t>CALYPSO SPICED RUM</t>
        </is>
      </c>
      <c r="C1879" s="7">
        <f>VLOOKUP(A1879,SizeData!A$2:B$3839,2,FALSE)</f>
        <v/>
      </c>
      <c r="D1879" s="6" t="n">
        <v>1</v>
      </c>
      <c r="E1879" s="6" t="inlineStr">
        <is>
          <t>R1235270</t>
        </is>
      </c>
      <c r="F1879" s="2" t="n">
        <v>44440</v>
      </c>
      <c r="G1879" s="1" t="n"/>
    </row>
    <row r="1880">
      <c r="A1880" s="6" t="n">
        <v>44340</v>
      </c>
      <c r="B1880" s="6" t="inlineStr">
        <is>
          <t>CALYPSO SPICED RUM</t>
        </is>
      </c>
      <c r="C1880" s="7">
        <f>VLOOKUP(A1880,SizeData!A$2:B$3839,2,FALSE)</f>
        <v/>
      </c>
      <c r="D1880" s="6" t="n">
        <v>3</v>
      </c>
      <c r="E1880" s="6" t="inlineStr">
        <is>
          <t>R1242289</t>
        </is>
      </c>
      <c r="F1880" s="2" t="n">
        <v>44455</v>
      </c>
      <c r="G1880" s="1" t="n"/>
    </row>
    <row r="1881">
      <c r="A1881" s="6" t="n">
        <v>44340</v>
      </c>
      <c r="B1881" s="6" t="inlineStr">
        <is>
          <t>CALYPSO SPICED RUM</t>
        </is>
      </c>
      <c r="C1881" s="7">
        <f>VLOOKUP(A1881,SizeData!A$2:B$3839,2,FALSE)</f>
        <v/>
      </c>
      <c r="D1881" s="6" t="n">
        <v>2</v>
      </c>
      <c r="E1881" s="6" t="inlineStr">
        <is>
          <t>R1308140</t>
        </is>
      </c>
      <c r="F1881" s="2" t="n">
        <v>44503</v>
      </c>
      <c r="G1881" s="1" t="n"/>
    </row>
    <row r="1882">
      <c r="A1882" s="6" t="n">
        <v>44340</v>
      </c>
      <c r="B1882" s="6" t="inlineStr">
        <is>
          <t>CALYPSO SPICED RUM</t>
        </is>
      </c>
      <c r="C1882" s="7">
        <f>VLOOKUP(A1882,SizeData!A$2:B$3839,2,FALSE)</f>
        <v/>
      </c>
      <c r="D1882" s="6" t="n">
        <v>2</v>
      </c>
      <c r="E1882" s="6" t="inlineStr">
        <is>
          <t>R1338705</t>
        </is>
      </c>
      <c r="F1882" s="2" t="n">
        <v>44522</v>
      </c>
      <c r="G1882" s="1" t="n"/>
    </row>
    <row r="1883">
      <c r="A1883" s="6" t="n">
        <v>44342</v>
      </c>
      <c r="B1883" s="6" t="inlineStr">
        <is>
          <t>CALYPSO SPICED RUM</t>
        </is>
      </c>
      <c r="C1883" s="7">
        <f>VLOOKUP(A1883,SizeData!A$2:B$3839,2,FALSE)</f>
        <v/>
      </c>
      <c r="D1883" s="6" t="n">
        <v>1</v>
      </c>
      <c r="E1883" s="6" t="inlineStr">
        <is>
          <t>R1181307</t>
        </is>
      </c>
      <c r="F1883" s="2" t="n">
        <v>44387</v>
      </c>
      <c r="G1883" s="1" t="n"/>
    </row>
    <row r="1884">
      <c r="A1884" s="6" t="n">
        <v>44342</v>
      </c>
      <c r="B1884" s="6" t="inlineStr">
        <is>
          <t>CALYPSO SPICED RUM</t>
        </is>
      </c>
      <c r="C1884" s="7">
        <f>VLOOKUP(A1884,SizeData!A$2:B$3839,2,FALSE)</f>
        <v/>
      </c>
      <c r="D1884" s="6" t="n">
        <v>1</v>
      </c>
      <c r="E1884" s="6" t="inlineStr">
        <is>
          <t>R1170994</t>
        </is>
      </c>
      <c r="F1884" s="2" t="n">
        <v>44394</v>
      </c>
      <c r="G1884" s="1" t="n"/>
    </row>
    <row r="1885">
      <c r="A1885" s="6" t="n">
        <v>44348</v>
      </c>
      <c r="B1885" s="6" t="inlineStr">
        <is>
          <t>CALYPSO SILVER RUM PET</t>
        </is>
      </c>
      <c r="C1885" s="7">
        <f>VLOOKUP(A1885,SizeData!A$2:B$3839,2,FALSE)</f>
        <v/>
      </c>
      <c r="D1885" s="6" t="n">
        <v>1</v>
      </c>
      <c r="E1885" s="6" t="inlineStr">
        <is>
          <t>R1261664</t>
        </is>
      </c>
      <c r="F1885" s="2" t="n">
        <v>44467</v>
      </c>
      <c r="G1885" s="1" t="n"/>
    </row>
    <row r="1886">
      <c r="A1886" s="6" t="n">
        <v>44348</v>
      </c>
      <c r="B1886" s="6" t="inlineStr">
        <is>
          <t>CALYPSO SILVER RUM PET</t>
        </is>
      </c>
      <c r="C1886" s="7">
        <f>VLOOKUP(A1886,SizeData!A$2:B$3839,2,FALSE)</f>
        <v/>
      </c>
      <c r="D1886" s="6" t="n">
        <v>2</v>
      </c>
      <c r="E1886" s="6" t="inlineStr">
        <is>
          <t>R1340613</t>
        </is>
      </c>
      <c r="F1886" s="2" t="n">
        <v>44520</v>
      </c>
      <c r="G1886" s="1" t="n"/>
    </row>
    <row r="1887">
      <c r="A1887" s="6" t="n">
        <v>44476</v>
      </c>
      <c r="B1887" s="6" t="inlineStr">
        <is>
          <t>CRUZAN COCONUT RUM</t>
        </is>
      </c>
      <c r="C1887" s="7">
        <f>VLOOKUP(A1887,SizeData!A$2:B$3839,2,FALSE)</f>
        <v/>
      </c>
      <c r="D1887" s="6" t="n">
        <v>3</v>
      </c>
      <c r="E1887" s="6" t="inlineStr">
        <is>
          <t>R1038155</t>
        </is>
      </c>
      <c r="F1887" s="2" t="n">
        <v>44257</v>
      </c>
      <c r="G1887" s="1" t="n"/>
    </row>
    <row r="1888">
      <c r="A1888" s="6" t="n">
        <v>44476</v>
      </c>
      <c r="B1888" s="6" t="inlineStr">
        <is>
          <t>CRUZAN COCONUT RUM</t>
        </is>
      </c>
      <c r="C1888" s="7">
        <f>VLOOKUP(A1888,SizeData!A$2:B$3839,2,FALSE)</f>
        <v/>
      </c>
      <c r="D1888" s="6" t="n">
        <v>2</v>
      </c>
      <c r="E1888" s="6" t="inlineStr">
        <is>
          <t>R1085364</t>
        </is>
      </c>
      <c r="F1888" s="2" t="n">
        <v>44289</v>
      </c>
      <c r="G1888" s="1" t="n"/>
    </row>
    <row r="1889">
      <c r="A1889" s="6" t="n">
        <v>44476</v>
      </c>
      <c r="B1889" s="6" t="inlineStr">
        <is>
          <t>CRUZAN COCONUT RUM</t>
        </is>
      </c>
      <c r="C1889" s="7">
        <f>VLOOKUP(A1889,SizeData!A$2:B$3839,2,FALSE)</f>
        <v/>
      </c>
      <c r="D1889" s="6" t="n">
        <v>2</v>
      </c>
      <c r="E1889" s="6" t="inlineStr">
        <is>
          <t>R1099905</t>
        </is>
      </c>
      <c r="F1889" s="2" t="n">
        <v>44310</v>
      </c>
      <c r="G1889" s="1" t="n"/>
    </row>
    <row r="1890">
      <c r="A1890" s="6" t="n">
        <v>44476</v>
      </c>
      <c r="B1890" s="6" t="inlineStr">
        <is>
          <t>CRUZAN COCONUT RUM</t>
        </is>
      </c>
      <c r="C1890" s="7">
        <f>VLOOKUP(A1890,SizeData!A$2:B$3839,2,FALSE)</f>
        <v/>
      </c>
      <c r="D1890" s="6" t="n">
        <v>1</v>
      </c>
      <c r="E1890" s="6" t="inlineStr">
        <is>
          <t>R1115090</t>
        </is>
      </c>
      <c r="F1890" s="2" t="n">
        <v>44315</v>
      </c>
      <c r="G1890" s="1" t="n"/>
    </row>
    <row r="1891">
      <c r="A1891" s="6" t="n">
        <v>44476</v>
      </c>
      <c r="B1891" s="6" t="inlineStr">
        <is>
          <t>CRUZAN COCONUT RUM</t>
        </is>
      </c>
      <c r="C1891" s="7">
        <f>VLOOKUP(A1891,SizeData!A$2:B$3839,2,FALSE)</f>
        <v/>
      </c>
      <c r="D1891" s="6" t="n">
        <v>1</v>
      </c>
      <c r="E1891" s="6" t="inlineStr">
        <is>
          <t>R1154324</t>
        </is>
      </c>
      <c r="F1891" s="2" t="n">
        <v>44378</v>
      </c>
      <c r="G1891" s="1" t="n"/>
    </row>
    <row r="1892">
      <c r="A1892" s="6" t="n">
        <v>44476</v>
      </c>
      <c r="B1892" s="6" t="inlineStr">
        <is>
          <t>CRUZAN COCONUT RUM</t>
        </is>
      </c>
      <c r="C1892" s="7">
        <f>VLOOKUP(A1892,SizeData!A$2:B$3839,2,FALSE)</f>
        <v/>
      </c>
      <c r="D1892" s="6" t="n">
        <v>3</v>
      </c>
      <c r="E1892" s="6" t="inlineStr">
        <is>
          <t xml:space="preserve"> R1171903</t>
        </is>
      </c>
      <c r="F1892" s="2" t="n">
        <v>44380</v>
      </c>
      <c r="G1892" s="1" t="n"/>
    </row>
    <row r="1893">
      <c r="A1893" s="6" t="n">
        <v>44506</v>
      </c>
      <c r="B1893" s="6" t="inlineStr">
        <is>
          <t>CRUZAN PINEAPPLE RUM</t>
        </is>
      </c>
      <c r="C1893" s="7">
        <f>VLOOKUP(A1893,SizeData!A$2:B$3839,2,FALSE)</f>
        <v/>
      </c>
      <c r="D1893" s="6" t="n">
        <v>1</v>
      </c>
      <c r="E1893" s="6" t="inlineStr">
        <is>
          <t>R1033413</t>
        </is>
      </c>
      <c r="F1893" s="2" t="n">
        <v>44250</v>
      </c>
      <c r="G1893" s="1" t="n"/>
    </row>
    <row r="1894">
      <c r="A1894" s="6" t="n">
        <v>44506</v>
      </c>
      <c r="B1894" s="6" t="inlineStr">
        <is>
          <t>CRUZAN PINEAPPLE RUM</t>
        </is>
      </c>
      <c r="C1894" s="7">
        <f>VLOOKUP(A1894,SizeData!A$2:B$3839,2,FALSE)</f>
        <v/>
      </c>
      <c r="D1894" s="6" t="n">
        <v>1</v>
      </c>
      <c r="E1894" s="6" t="inlineStr">
        <is>
          <t>R1110509</t>
        </is>
      </c>
      <c r="F1894" s="2" t="n">
        <v>44306</v>
      </c>
      <c r="G1894" s="1" t="n"/>
    </row>
    <row r="1895">
      <c r="A1895" s="6" t="n">
        <v>44506</v>
      </c>
      <c r="B1895" s="6" t="inlineStr">
        <is>
          <t>CRUZAN PINEAPPLE RUM</t>
        </is>
      </c>
      <c r="C1895" s="7">
        <f>VLOOKUP(A1895,SizeData!A$2:B$3839,2,FALSE)</f>
        <v/>
      </c>
      <c r="D1895" s="6" t="n">
        <v>1</v>
      </c>
      <c r="E1895" s="6" t="inlineStr">
        <is>
          <t xml:space="preserve"> R1125172</t>
        </is>
      </c>
      <c r="F1895" s="2" t="n">
        <v>44322</v>
      </c>
      <c r="G1895" s="1" t="n"/>
    </row>
    <row r="1896">
      <c r="A1896" s="6" t="n">
        <v>44506</v>
      </c>
      <c r="B1896" s="6" t="inlineStr">
        <is>
          <t>CRUZAN PINEAPPLE RUM</t>
        </is>
      </c>
      <c r="C1896" s="7">
        <f>VLOOKUP(A1896,SizeData!A$2:B$3839,2,FALSE)</f>
        <v/>
      </c>
      <c r="D1896" s="6" t="n">
        <v>1</v>
      </c>
      <c r="E1896" s="6" t="inlineStr">
        <is>
          <t>R1142808</t>
        </is>
      </c>
      <c r="F1896" s="2" t="n">
        <v>44352</v>
      </c>
      <c r="G1896" s="1" t="n"/>
    </row>
    <row r="1897">
      <c r="A1897" s="6" t="n">
        <v>44506</v>
      </c>
      <c r="B1897" s="6" t="inlineStr">
        <is>
          <t>CRUZAN PINEAPPLE RUM</t>
        </is>
      </c>
      <c r="C1897" s="7">
        <f>VLOOKUP(A1897,SizeData!A$2:B$3839,2,FALSE)</f>
        <v/>
      </c>
      <c r="D1897" s="6" t="n">
        <v>1</v>
      </c>
      <c r="E1897" s="6" t="inlineStr">
        <is>
          <t xml:space="preserve"> R1151228</t>
        </is>
      </c>
      <c r="F1897" s="2" t="n">
        <v>44363</v>
      </c>
      <c r="G1897" s="1" t="n"/>
    </row>
    <row r="1898">
      <c r="A1898" s="6" t="n">
        <v>44506</v>
      </c>
      <c r="B1898" s="6" t="inlineStr">
        <is>
          <t>CRUZAN PINEAPPLE RUM</t>
        </is>
      </c>
      <c r="C1898" s="7">
        <f>VLOOKUP(A1898,SizeData!A$2:B$3839,2,FALSE)</f>
        <v/>
      </c>
      <c r="D1898" s="6" t="n">
        <v>1</v>
      </c>
      <c r="E1898" s="6" t="inlineStr">
        <is>
          <t xml:space="preserve"> R1161087</t>
        </is>
      </c>
      <c r="F1898" s="2" t="n">
        <v>44373</v>
      </c>
      <c r="G1898" s="1" t="n"/>
    </row>
    <row r="1899">
      <c r="A1899" s="6" t="n">
        <v>44506</v>
      </c>
      <c r="B1899" s="6" t="inlineStr">
        <is>
          <t>CRUZAN PINEAPPLE RUM</t>
        </is>
      </c>
      <c r="C1899" s="7">
        <f>VLOOKUP(A1899,SizeData!A$2:B$3839,2,FALSE)</f>
        <v/>
      </c>
      <c r="D1899" s="6" t="n">
        <v>1</v>
      </c>
      <c r="E1899" s="6" t="inlineStr">
        <is>
          <t>R1171117</t>
        </is>
      </c>
      <c r="F1899" s="2" t="n">
        <v>44382</v>
      </c>
      <c r="G1899" s="1" t="n"/>
    </row>
    <row r="1900">
      <c r="A1900" s="6" t="n">
        <v>44506</v>
      </c>
      <c r="B1900" s="6" t="inlineStr">
        <is>
          <t>CRUZAN PINEAPPLE RUM</t>
        </is>
      </c>
      <c r="C1900" s="7">
        <f>VLOOKUP(A1900,SizeData!A$2:B$3839,2,FALSE)</f>
        <v/>
      </c>
      <c r="D1900" s="6" t="n">
        <v>1</v>
      </c>
      <c r="E1900" s="6" t="inlineStr">
        <is>
          <t>R1214748</t>
        </is>
      </c>
      <c r="F1900" s="2" t="n">
        <v>44433</v>
      </c>
      <c r="G1900" s="1" t="n"/>
    </row>
    <row r="1901">
      <c r="A1901" s="6" t="n">
        <v>44557</v>
      </c>
      <c r="B1901" s="6" t="inlineStr">
        <is>
          <t>CRUZAN STRAWBERRY GINGER RUM</t>
        </is>
      </c>
      <c r="C1901" s="7">
        <f>VLOOKUP(A1901,SizeData!A$2:B$3839,2,FALSE)</f>
        <v/>
      </c>
      <c r="D1901" s="6" t="n">
        <v>2</v>
      </c>
      <c r="E1901" s="6" t="inlineStr">
        <is>
          <t>R1033413</t>
        </is>
      </c>
      <c r="F1901" s="2" t="n">
        <v>44250</v>
      </c>
      <c r="G1901" s="1" t="n"/>
    </row>
    <row r="1902">
      <c r="A1902" s="6" t="n">
        <v>44557</v>
      </c>
      <c r="B1902" s="6" t="inlineStr">
        <is>
          <t>CRUZAN STRAWBERRY GINGER RUM</t>
        </is>
      </c>
      <c r="C1902" s="7">
        <f>VLOOKUP(A1902,SizeData!A$2:B$3839,2,FALSE)</f>
        <v/>
      </c>
      <c r="D1902" s="6" t="n">
        <v>1</v>
      </c>
      <c r="E1902" s="6" t="inlineStr">
        <is>
          <t xml:space="preserve"> R1125172</t>
        </is>
      </c>
      <c r="F1902" s="2" t="n">
        <v>44322</v>
      </c>
      <c r="G1902" s="1" t="n"/>
    </row>
    <row r="1903">
      <c r="A1903" s="6" t="n">
        <v>44557</v>
      </c>
      <c r="B1903" s="6" t="inlineStr">
        <is>
          <t>CRUZAN STRAWBERRY GINGER RUM</t>
        </is>
      </c>
      <c r="C1903" s="7">
        <f>VLOOKUP(A1903,SizeData!A$2:B$3839,2,FALSE)</f>
        <v/>
      </c>
      <c r="D1903" s="6" t="n">
        <v>1</v>
      </c>
      <c r="E1903" s="6" t="inlineStr">
        <is>
          <t xml:space="preserve"> R1163539</t>
        </is>
      </c>
      <c r="F1903" s="2" t="n">
        <v>44378</v>
      </c>
      <c r="G1903" s="1" t="n"/>
    </row>
    <row r="1904">
      <c r="A1904" s="6" t="n">
        <v>44568</v>
      </c>
      <c r="B1904" s="6" t="inlineStr">
        <is>
          <t>CRUZAN PEACH RUM</t>
        </is>
      </c>
      <c r="C1904" s="7">
        <f>VLOOKUP(A1904,SizeData!A$2:B$3839,2,FALSE)</f>
        <v/>
      </c>
      <c r="D1904" s="6" t="n">
        <v>2</v>
      </c>
      <c r="E1904" s="6" t="inlineStr">
        <is>
          <t>R1033413</t>
        </is>
      </c>
      <c r="F1904" s="2" t="n">
        <v>44250</v>
      </c>
      <c r="G1904" s="1" t="n"/>
    </row>
    <row r="1905">
      <c r="A1905" s="6" t="n">
        <v>44568</v>
      </c>
      <c r="B1905" s="6" t="inlineStr">
        <is>
          <t>CRUZAN PEACH RUM</t>
        </is>
      </c>
      <c r="C1905" s="7">
        <f>VLOOKUP(A1905,SizeData!A$2:B$3839,2,FALSE)</f>
        <v/>
      </c>
      <c r="D1905" s="6" t="n">
        <v>1</v>
      </c>
      <c r="E1905" s="6" t="inlineStr">
        <is>
          <t xml:space="preserve"> R1151228</t>
        </is>
      </c>
      <c r="F1905" s="2" t="n">
        <v>44363</v>
      </c>
      <c r="G1905" s="1" t="n"/>
    </row>
    <row r="1906">
      <c r="A1906" s="6" t="n">
        <v>44568</v>
      </c>
      <c r="B1906" s="6" t="inlineStr">
        <is>
          <t>CRUZAN PEACH RUM</t>
        </is>
      </c>
      <c r="C1906" s="7">
        <f>VLOOKUP(A1906,SizeData!A$2:B$3839,2,FALSE)</f>
        <v/>
      </c>
      <c r="D1906" s="6" t="n">
        <v>1</v>
      </c>
      <c r="E1906" s="6" t="inlineStr">
        <is>
          <t>R1169144</t>
        </is>
      </c>
      <c r="F1906" s="2" t="n">
        <v>44387</v>
      </c>
      <c r="G1906" s="1" t="n"/>
    </row>
    <row r="1907">
      <c r="A1907" s="6" t="n">
        <v>44573</v>
      </c>
      <c r="B1907" s="6" t="inlineStr">
        <is>
          <t>CRUZAN WATERMELON</t>
        </is>
      </c>
      <c r="C1907" s="7">
        <f>VLOOKUP(A1907,SizeData!A$2:B$3839,2,FALSE)</f>
        <v/>
      </c>
      <c r="D1907" s="6" t="n">
        <v>1</v>
      </c>
      <c r="E1907" s="6" t="inlineStr">
        <is>
          <t>R1016443</t>
        </is>
      </c>
      <c r="F1907" s="2" t="n">
        <v>44226</v>
      </c>
      <c r="G1907" s="1" t="n"/>
    </row>
    <row r="1908">
      <c r="A1908" s="6" t="n">
        <v>44573</v>
      </c>
      <c r="B1908" s="6" t="inlineStr">
        <is>
          <t>CRUZAN WATERMELON</t>
        </is>
      </c>
      <c r="C1908" s="7">
        <f>VLOOKUP(A1908,SizeData!A$2:B$3839,2,FALSE)</f>
        <v/>
      </c>
      <c r="D1908" s="6" t="n">
        <v>1</v>
      </c>
      <c r="E1908" s="6" t="inlineStr">
        <is>
          <t>R1033413</t>
        </is>
      </c>
      <c r="F1908" s="2" t="n">
        <v>44250</v>
      </c>
      <c r="G1908" s="1" t="n"/>
    </row>
    <row r="1909">
      <c r="A1909" s="6" t="n">
        <v>44573</v>
      </c>
      <c r="B1909" s="6" t="inlineStr">
        <is>
          <t>CRUZAN WATERMELON</t>
        </is>
      </c>
      <c r="C1909" s="7">
        <f>VLOOKUP(A1909,SizeData!A$2:B$3839,2,FALSE)</f>
        <v/>
      </c>
      <c r="D1909" s="6" t="n">
        <v>1</v>
      </c>
      <c r="E1909" s="6" t="inlineStr">
        <is>
          <t>R1083538</t>
        </is>
      </c>
      <c r="F1909" s="2" t="n">
        <v>44292</v>
      </c>
      <c r="G1909" s="1" t="n"/>
    </row>
    <row r="1910">
      <c r="A1910" s="6" t="n">
        <v>44573</v>
      </c>
      <c r="B1910" s="6" t="inlineStr">
        <is>
          <t>CRUZAN WATERMELON</t>
        </is>
      </c>
      <c r="C1910" s="7">
        <f>VLOOKUP(A1910,SizeData!A$2:B$3839,2,FALSE)</f>
        <v/>
      </c>
      <c r="D1910" s="6" t="n">
        <v>1</v>
      </c>
      <c r="E1910" s="6" t="inlineStr">
        <is>
          <t xml:space="preserve"> R1125172</t>
        </is>
      </c>
      <c r="F1910" s="2" t="n">
        <v>44322</v>
      </c>
      <c r="G1910" s="1" t="n"/>
    </row>
    <row r="1911">
      <c r="A1911" s="6" t="n">
        <v>44573</v>
      </c>
      <c r="B1911" s="6" t="inlineStr">
        <is>
          <t>CRUZAN WATERMELON</t>
        </is>
      </c>
      <c r="C1911" s="7">
        <f>VLOOKUP(A1911,SizeData!A$2:B$3839,2,FALSE)</f>
        <v/>
      </c>
      <c r="D1911" s="6" t="n">
        <v>1</v>
      </c>
      <c r="E1911" s="6" t="inlineStr">
        <is>
          <t xml:space="preserve"> R1151228</t>
        </is>
      </c>
      <c r="F1911" s="2" t="n">
        <v>44363</v>
      </c>
      <c r="G1911" s="1" t="n"/>
    </row>
    <row r="1912">
      <c r="A1912" s="6" t="n">
        <v>45066</v>
      </c>
      <c r="B1912" s="6" t="inlineStr">
        <is>
          <t>MONTEGO BAY GOLD RUM</t>
        </is>
      </c>
      <c r="C1912" s="7">
        <f>VLOOKUP(A1912,SizeData!A$2:B$3839,2,FALSE)</f>
        <v/>
      </c>
      <c r="D1912" s="6" t="n">
        <v>1</v>
      </c>
      <c r="E1912" s="6" t="inlineStr">
        <is>
          <t>R1025870</t>
        </is>
      </c>
      <c r="F1912" s="2" t="n">
        <v>44229</v>
      </c>
      <c r="G1912" s="1" t="n"/>
    </row>
    <row r="1913">
      <c r="A1913" s="6" t="n">
        <v>45066</v>
      </c>
      <c r="B1913" s="6" t="inlineStr">
        <is>
          <t>MONTEGO BAY GOLD RUM</t>
        </is>
      </c>
      <c r="C1913" s="7">
        <f>VLOOKUP(A1913,SizeData!A$2:B$3839,2,FALSE)</f>
        <v/>
      </c>
      <c r="D1913" s="6" t="n">
        <v>1</v>
      </c>
      <c r="E1913" s="6" t="inlineStr">
        <is>
          <t>R1070281</t>
        </is>
      </c>
      <c r="F1913" s="2" t="n">
        <v>44275</v>
      </c>
      <c r="G1913" s="1" t="n"/>
    </row>
    <row r="1914">
      <c r="A1914" s="6" t="n">
        <v>45066</v>
      </c>
      <c r="B1914" s="6" t="inlineStr">
        <is>
          <t>MONTEGO BAY GOLD RUM</t>
        </is>
      </c>
      <c r="C1914" s="7">
        <f>VLOOKUP(A1914,SizeData!A$2:B$3839,2,FALSE)</f>
        <v/>
      </c>
      <c r="D1914" s="6" t="n">
        <v>1</v>
      </c>
      <c r="E1914" s="6" t="inlineStr">
        <is>
          <t>R1097628</t>
        </is>
      </c>
      <c r="F1914" s="2" t="n">
        <v>44305</v>
      </c>
      <c r="G1914" s="1" t="n"/>
    </row>
    <row r="1915">
      <c r="A1915" s="6" t="n">
        <v>45066</v>
      </c>
      <c r="B1915" s="6" t="inlineStr">
        <is>
          <t>MONTEGO BAY GOLD RUM</t>
        </is>
      </c>
      <c r="C1915" s="7">
        <f>VLOOKUP(A1915,SizeData!A$2:B$3839,2,FALSE)</f>
        <v/>
      </c>
      <c r="D1915" s="6" t="n">
        <v>1</v>
      </c>
      <c r="E1915" s="6" t="inlineStr">
        <is>
          <t>R1103097</t>
        </is>
      </c>
      <c r="F1915" s="2" t="n">
        <v>44320</v>
      </c>
      <c r="G1915" s="1" t="n"/>
    </row>
    <row r="1916">
      <c r="A1916" s="6" t="n">
        <v>45066</v>
      </c>
      <c r="B1916" s="6" t="inlineStr">
        <is>
          <t>MONTEGO BAY GOLD RUM</t>
        </is>
      </c>
      <c r="C1916" s="7">
        <f>VLOOKUP(A1916,SizeData!A$2:B$3839,2,FALSE)</f>
        <v/>
      </c>
      <c r="D1916" s="6" t="n">
        <v>3</v>
      </c>
      <c r="E1916" s="6" t="inlineStr">
        <is>
          <t>R1125683</t>
        </is>
      </c>
      <c r="F1916" s="2" t="n">
        <v>44336</v>
      </c>
      <c r="G1916" s="1" t="n"/>
    </row>
    <row r="1917">
      <c r="A1917" s="6" t="n">
        <v>45066</v>
      </c>
      <c r="B1917" s="6" t="inlineStr">
        <is>
          <t>MONTEGO BAY GOLD RUM</t>
        </is>
      </c>
      <c r="C1917" s="7">
        <f>VLOOKUP(A1917,SizeData!A$2:B$3839,2,FALSE)</f>
        <v/>
      </c>
      <c r="D1917" s="6" t="n">
        <v>1</v>
      </c>
      <c r="E1917" s="6" t="inlineStr">
        <is>
          <t>R1129655</t>
        </is>
      </c>
      <c r="F1917" s="2" t="n">
        <v>44347</v>
      </c>
      <c r="G1917" s="1" t="n"/>
    </row>
    <row r="1918">
      <c r="A1918" s="6" t="n">
        <v>45066</v>
      </c>
      <c r="B1918" s="6" t="inlineStr">
        <is>
          <t>MONTEGO BAY GOLD RUM</t>
        </is>
      </c>
      <c r="C1918" s="7">
        <f>VLOOKUP(A1918,SizeData!A$2:B$3839,2,FALSE)</f>
        <v/>
      </c>
      <c r="D1918" s="6" t="n">
        <v>1</v>
      </c>
      <c r="E1918" s="6" t="inlineStr">
        <is>
          <t>R1338705</t>
        </is>
      </c>
      <c r="F1918" s="2" t="n">
        <v>44522</v>
      </c>
      <c r="G1918" s="1" t="n"/>
    </row>
    <row r="1919">
      <c r="A1919" s="6" t="n">
        <v>45066</v>
      </c>
      <c r="B1919" s="6" t="inlineStr">
        <is>
          <t>MONTEGO BAY GOLD RUM</t>
        </is>
      </c>
      <c r="C1919" s="7">
        <f>VLOOKUP(A1919,SizeData!A$2:B$3839,2,FALSE)</f>
        <v/>
      </c>
      <c r="D1919" s="6" t="n">
        <v>0</v>
      </c>
      <c r="E1919" s="6" t="inlineStr">
        <is>
          <t>R1338705</t>
        </is>
      </c>
      <c r="F1919" s="2" t="n">
        <v>44522</v>
      </c>
      <c r="G1919" s="1" t="n"/>
    </row>
    <row r="1920">
      <c r="A1920" s="6" t="n">
        <v>45068</v>
      </c>
      <c r="B1920" s="6" t="inlineStr">
        <is>
          <t>MONTEGO BAY GOLD RUM</t>
        </is>
      </c>
      <c r="C1920" s="7">
        <f>VLOOKUP(A1920,SizeData!A$2:B$3839,2,FALSE)</f>
        <v/>
      </c>
      <c r="D1920" s="6" t="n">
        <v>1</v>
      </c>
      <c r="E1920" s="6" t="inlineStr">
        <is>
          <t>R1240644</t>
        </is>
      </c>
      <c r="F1920" s="2" t="n">
        <v>44440</v>
      </c>
      <c r="G1920" s="1" t="n"/>
    </row>
    <row r="1921">
      <c r="A1921" s="6" t="n">
        <v>45068</v>
      </c>
      <c r="B1921" s="6" t="inlineStr">
        <is>
          <t>MONTEGO BAY GOLD RUM</t>
        </is>
      </c>
      <c r="C1921" s="7">
        <f>VLOOKUP(A1921,SizeData!A$2:B$3839,2,FALSE)</f>
        <v/>
      </c>
      <c r="D1921" s="6" t="n">
        <v>2</v>
      </c>
      <c r="E1921" s="6" t="inlineStr">
        <is>
          <t>R1228454</t>
        </is>
      </c>
      <c r="F1921" s="2" t="n">
        <v>44445</v>
      </c>
      <c r="G1921" s="1" t="n"/>
    </row>
    <row r="1922">
      <c r="A1922" s="6" t="n">
        <v>45096</v>
      </c>
      <c r="B1922" s="6" t="inlineStr">
        <is>
          <t>MONTEGO BAY LIGHT RUM</t>
        </is>
      </c>
      <c r="C1922" s="7">
        <f>VLOOKUP(A1922,SizeData!A$2:B$3839,2,FALSE)</f>
        <v/>
      </c>
      <c r="D1922" s="6" t="n">
        <v>1</v>
      </c>
      <c r="E1922" s="6" t="inlineStr">
        <is>
          <t>R1025870</t>
        </is>
      </c>
      <c r="F1922" s="2" t="n">
        <v>44229</v>
      </c>
      <c r="G1922" s="1" t="n"/>
    </row>
    <row r="1923">
      <c r="A1923" s="6" t="n">
        <v>45096</v>
      </c>
      <c r="B1923" s="6" t="inlineStr">
        <is>
          <t>MONTEGO BAY LIGHT RUM</t>
        </is>
      </c>
      <c r="C1923" s="7">
        <f>VLOOKUP(A1923,SizeData!A$2:B$3839,2,FALSE)</f>
        <v/>
      </c>
      <c r="D1923" s="6" t="n">
        <v>0</v>
      </c>
      <c r="E1923" s="6" t="inlineStr">
        <is>
          <t>R1338705</t>
        </is>
      </c>
      <c r="F1923" s="2" t="n">
        <v>44522</v>
      </c>
      <c r="G1923" s="1" t="n"/>
    </row>
    <row r="1924">
      <c r="A1924" s="6" t="n">
        <v>46503</v>
      </c>
      <c r="B1924" s="6" t="inlineStr">
        <is>
          <t>KRAKEN BLACK SPICED RUM 94 PROOF</t>
        </is>
      </c>
      <c r="C1924" s="7">
        <f>VLOOKUP(A1924,SizeData!A$2:B$3839,2,FALSE)</f>
        <v/>
      </c>
      <c r="D1924" s="6" t="n">
        <v>1</v>
      </c>
      <c r="E1924" s="6" t="inlineStr">
        <is>
          <t>R1109381</t>
        </is>
      </c>
      <c r="F1924" s="2" t="n">
        <v>44331</v>
      </c>
      <c r="G1924" s="1" t="n"/>
    </row>
    <row r="1925">
      <c r="A1925" s="6" t="n">
        <v>46504</v>
      </c>
      <c r="B1925" s="6" t="inlineStr">
        <is>
          <t>KRAKEN BLACK SPICED RUM 94 PROOF</t>
        </is>
      </c>
      <c r="C1925" s="7">
        <f>VLOOKUP(A1925,SizeData!A$2:B$3839,2,FALSE)</f>
        <v/>
      </c>
      <c r="D1925" s="6" t="n">
        <v>1</v>
      </c>
      <c r="E1925" s="6" t="inlineStr">
        <is>
          <t>R1264756</t>
        </is>
      </c>
      <c r="F1925" s="2" t="n">
        <v>44472</v>
      </c>
      <c r="G1925" s="1" t="n"/>
    </row>
    <row r="1926">
      <c r="A1926" s="6" t="n">
        <v>46504</v>
      </c>
      <c r="B1926" s="6" t="inlineStr">
        <is>
          <t>KRAKEN BLACK SPICED RUM 94 PROOF</t>
        </is>
      </c>
      <c r="C1926" s="7">
        <f>VLOOKUP(A1926,SizeData!A$2:B$3839,2,FALSE)</f>
        <v/>
      </c>
      <c r="D1926" s="6" t="n">
        <v>0</v>
      </c>
      <c r="E1926" s="6" t="inlineStr">
        <is>
          <t>R1284159</t>
        </is>
      </c>
      <c r="F1926" s="2" t="n">
        <v>44488</v>
      </c>
      <c r="G1926" s="1" t="n"/>
    </row>
    <row r="1927">
      <c r="A1927" s="6" t="n">
        <v>47544</v>
      </c>
      <c r="B1927" s="6" t="inlineStr">
        <is>
          <t>ANSAC V S COGNAC</t>
        </is>
      </c>
      <c r="C1927" s="7">
        <f>VLOOKUP(A1927,SizeData!A$2:B$3839,2,FALSE)</f>
        <v/>
      </c>
      <c r="D1927" s="6" t="n">
        <v>1</v>
      </c>
      <c r="E1927" s="6" t="inlineStr">
        <is>
          <t>R1051358</t>
        </is>
      </c>
      <c r="F1927" s="2" t="n">
        <v>44259</v>
      </c>
      <c r="G1927" s="1" t="n"/>
    </row>
    <row r="1928">
      <c r="A1928" s="6" t="n">
        <v>47544</v>
      </c>
      <c r="B1928" s="6" t="inlineStr">
        <is>
          <t>ANSAC V S COGNAC</t>
        </is>
      </c>
      <c r="C1928" s="7">
        <f>VLOOKUP(A1928,SizeData!A$2:B$3839,2,FALSE)</f>
        <v/>
      </c>
      <c r="D1928" s="6" t="n">
        <v>1</v>
      </c>
      <c r="E1928" s="6" t="inlineStr">
        <is>
          <t>R1214748</t>
        </is>
      </c>
      <c r="F1928" s="2" t="n">
        <v>44433</v>
      </c>
      <c r="G1928" s="1" t="n"/>
    </row>
    <row r="1929">
      <c r="A1929" s="6" t="n">
        <v>47544</v>
      </c>
      <c r="B1929" s="6" t="inlineStr">
        <is>
          <t>ANSAC V S COGNAC</t>
        </is>
      </c>
      <c r="C1929" s="7">
        <f>VLOOKUP(A1929,SizeData!A$2:B$3839,2,FALSE)</f>
        <v/>
      </c>
      <c r="D1929" s="6" t="n">
        <v>0</v>
      </c>
      <c r="E1929" s="6" t="inlineStr">
        <is>
          <t>R1325385</t>
        </is>
      </c>
      <c r="F1929" s="2" t="n">
        <v>44508</v>
      </c>
      <c r="G1929" s="1" t="n"/>
    </row>
    <row r="1930">
      <c r="A1930" s="6" t="n">
        <v>47546</v>
      </c>
      <c r="B1930" s="6" t="inlineStr">
        <is>
          <t>ANSAC V S COGNAC</t>
        </is>
      </c>
      <c r="C1930" s="7">
        <f>VLOOKUP(A1930,SizeData!A$2:B$3839,2,FALSE)</f>
        <v/>
      </c>
      <c r="D1930" s="6" t="n">
        <v>1</v>
      </c>
      <c r="E1930" s="6" t="inlineStr">
        <is>
          <t>R998453</t>
        </is>
      </c>
      <c r="F1930" s="2" t="n">
        <v>44212</v>
      </c>
      <c r="G1930" s="1" t="n"/>
    </row>
    <row r="1931">
      <c r="A1931" s="6" t="n">
        <v>47546</v>
      </c>
      <c r="B1931" s="6" t="inlineStr">
        <is>
          <t>ANSAC V S COGNAC</t>
        </is>
      </c>
      <c r="C1931" s="7">
        <f>VLOOKUP(A1931,SizeData!A$2:B$3839,2,FALSE)</f>
        <v/>
      </c>
      <c r="D1931" s="6" t="n">
        <v>3</v>
      </c>
      <c r="E1931" s="6" t="inlineStr">
        <is>
          <t>R1046046</t>
        </is>
      </c>
      <c r="F1931" s="2" t="n">
        <v>44256</v>
      </c>
      <c r="G1931" s="1" t="n"/>
    </row>
    <row r="1932">
      <c r="A1932" s="6" t="n">
        <v>47546</v>
      </c>
      <c r="B1932" s="6" t="inlineStr">
        <is>
          <t>ANSAC V S COGNAC</t>
        </is>
      </c>
      <c r="C1932" s="7">
        <f>VLOOKUP(A1932,SizeData!A$2:B$3839,2,FALSE)</f>
        <v/>
      </c>
      <c r="D1932" s="6" t="n">
        <v>2</v>
      </c>
      <c r="E1932" s="6" t="inlineStr">
        <is>
          <t>R1264756</t>
        </is>
      </c>
      <c r="F1932" s="2" t="n">
        <v>44472</v>
      </c>
      <c r="G1932" s="1" t="n"/>
    </row>
    <row r="1933">
      <c r="A1933" s="6" t="n">
        <v>47546</v>
      </c>
      <c r="B1933" s="6" t="inlineStr">
        <is>
          <t>ANSAC V S COGNAC</t>
        </is>
      </c>
      <c r="C1933" s="7">
        <f>VLOOKUP(A1933,SizeData!A$2:B$3839,2,FALSE)</f>
        <v/>
      </c>
      <c r="D1933" s="6" t="n">
        <v>4</v>
      </c>
      <c r="E1933" s="6" t="inlineStr">
        <is>
          <t>R1299928</t>
        </is>
      </c>
      <c r="F1933" s="2" t="n">
        <v>44497</v>
      </c>
      <c r="G1933" s="1" t="n"/>
    </row>
    <row r="1934">
      <c r="A1934" s="6" t="n">
        <v>47547</v>
      </c>
      <c r="B1934" s="6" t="inlineStr">
        <is>
          <t>ANSAC V S COGNAC</t>
        </is>
      </c>
      <c r="C1934" s="7">
        <f>VLOOKUP(A1934,SizeData!A$2:B$3839,2,FALSE)</f>
        <v/>
      </c>
      <c r="D1934" s="6" t="n">
        <v>1</v>
      </c>
      <c r="E1934" s="6" t="inlineStr">
        <is>
          <t>R998453</t>
        </is>
      </c>
      <c r="F1934" s="2" t="n">
        <v>44212</v>
      </c>
      <c r="G1934" s="1" t="n"/>
    </row>
    <row r="1935">
      <c r="A1935" s="6" t="n">
        <v>47647</v>
      </c>
      <c r="B1935" s="6" t="inlineStr">
        <is>
          <t>BRANSON VSOP ROYAL COGNAC</t>
        </is>
      </c>
      <c r="C1935" s="7">
        <f>VLOOKUP(A1935,SizeData!A$2:B$3839,2,FALSE)</f>
        <v/>
      </c>
      <c r="D1935" s="6" t="n">
        <v>1</v>
      </c>
      <c r="E1935" s="6" t="inlineStr">
        <is>
          <t>R1321455</t>
        </is>
      </c>
      <c r="F1935" s="2" t="n">
        <v>44513</v>
      </c>
      <c r="G1935" s="1" t="n"/>
    </row>
    <row r="1936">
      <c r="A1936" s="6" t="n">
        <v>47775</v>
      </c>
      <c r="B1936" s="6" t="inlineStr">
        <is>
          <t>COURVOISIER VSOP COGNAC</t>
        </is>
      </c>
      <c r="C1936" s="7">
        <f>VLOOKUP(A1936,SizeData!A$2:B$3839,2,FALSE)</f>
        <v/>
      </c>
      <c r="D1936" s="6" t="n">
        <v>2</v>
      </c>
      <c r="E1936" s="6" t="inlineStr">
        <is>
          <t>R1109607</t>
        </is>
      </c>
      <c r="F1936" s="2" t="n">
        <v>44317</v>
      </c>
      <c r="G1936" s="1" t="n"/>
    </row>
    <row r="1937">
      <c r="A1937" s="6" t="n">
        <v>47775</v>
      </c>
      <c r="B1937" s="6" t="inlineStr">
        <is>
          <t>COURVOISIER VSOP COGNAC</t>
        </is>
      </c>
      <c r="C1937" s="7">
        <f>VLOOKUP(A1937,SizeData!A$2:B$3839,2,FALSE)</f>
        <v/>
      </c>
      <c r="D1937" s="6" t="n">
        <v>1</v>
      </c>
      <c r="E1937" s="6" t="inlineStr">
        <is>
          <t>R1099557</t>
        </is>
      </c>
      <c r="F1937" s="2" t="n">
        <v>44317</v>
      </c>
      <c r="G1937" s="1" t="n"/>
    </row>
    <row r="1938">
      <c r="A1938" s="6" t="n">
        <v>47775</v>
      </c>
      <c r="B1938" s="6" t="inlineStr">
        <is>
          <t>COURVOISIER VSOP COGNAC</t>
        </is>
      </c>
      <c r="C1938" s="7">
        <f>VLOOKUP(A1938,SizeData!A$2:B$3839,2,FALSE)</f>
        <v/>
      </c>
      <c r="D1938" s="6" t="n">
        <v>6</v>
      </c>
      <c r="E1938" s="6" t="inlineStr">
        <is>
          <t>R1302916</t>
        </is>
      </c>
      <c r="F1938" s="2" t="n">
        <v>44496</v>
      </c>
      <c r="G1938" s="1" t="n"/>
    </row>
    <row r="1939">
      <c r="A1939" s="6" t="n">
        <v>47775</v>
      </c>
      <c r="B1939" s="6" t="inlineStr">
        <is>
          <t>COURVOISIER VSOP COGNAC</t>
        </is>
      </c>
      <c r="C1939" s="7">
        <f>VLOOKUP(A1939,SizeData!A$2:B$3839,2,FALSE)</f>
        <v/>
      </c>
      <c r="D1939" s="6" t="n">
        <v>3</v>
      </c>
      <c r="E1939" s="6" t="inlineStr">
        <is>
          <t>R1301953</t>
        </is>
      </c>
      <c r="F1939" s="2" t="n">
        <v>44496</v>
      </c>
      <c r="G1939" s="1" t="n"/>
    </row>
    <row r="1940">
      <c r="A1940" s="6" t="n">
        <v>47775</v>
      </c>
      <c r="B1940" s="6" t="inlineStr">
        <is>
          <t>COURVOISIER VSOP COGNAC</t>
        </is>
      </c>
      <c r="C1940" s="7">
        <f>VLOOKUP(A1940,SizeData!A$2:B$3839,2,FALSE)</f>
        <v/>
      </c>
      <c r="D1940" s="6" t="n">
        <v>5</v>
      </c>
      <c r="E1940" s="6" t="inlineStr">
        <is>
          <t>R1294025</t>
        </is>
      </c>
      <c r="F1940" s="2" t="n">
        <v>44497</v>
      </c>
      <c r="G1940" s="1" t="n"/>
    </row>
    <row r="1941">
      <c r="A1941" s="6" t="n">
        <v>47776</v>
      </c>
      <c r="B1941" s="6" t="inlineStr">
        <is>
          <t>COURVOISIER VSOP COGNAC</t>
        </is>
      </c>
      <c r="C1941" s="7">
        <f>VLOOKUP(A1941,SizeData!A$2:B$3839,2,FALSE)</f>
        <v/>
      </c>
      <c r="D1941" s="6" t="n">
        <v>1</v>
      </c>
      <c r="E1941" s="6" t="inlineStr">
        <is>
          <t>R984731</t>
        </is>
      </c>
      <c r="F1941" s="2" t="n">
        <v>44197</v>
      </c>
      <c r="G1941" s="1" t="n"/>
    </row>
    <row r="1942">
      <c r="A1942" s="6" t="n">
        <v>47776</v>
      </c>
      <c r="B1942" s="6" t="inlineStr">
        <is>
          <t>COURVOISIER VSOP COGNAC</t>
        </is>
      </c>
      <c r="C1942" s="7">
        <f>VLOOKUP(A1942,SizeData!A$2:B$3839,2,FALSE)</f>
        <v/>
      </c>
      <c r="D1942" s="6" t="n">
        <v>2</v>
      </c>
      <c r="E1942" s="6" t="inlineStr">
        <is>
          <t>R1135118</t>
        </is>
      </c>
      <c r="F1942" s="2" t="n">
        <v>44321</v>
      </c>
      <c r="G1942" s="1" t="n"/>
    </row>
    <row r="1943">
      <c r="A1943" s="6" t="n">
        <v>47780</v>
      </c>
      <c r="B1943" s="6" t="inlineStr">
        <is>
          <t>COURVOISIER VS</t>
        </is>
      </c>
      <c r="C1943" s="7">
        <f>VLOOKUP(A1943,SizeData!A$2:B$3839,2,FALSE)</f>
        <v/>
      </c>
      <c r="D1943" s="6" t="n">
        <v>0</v>
      </c>
      <c r="E1943" s="6" t="inlineStr">
        <is>
          <t>R1241453</t>
        </is>
      </c>
      <c r="F1943" s="2" t="n">
        <v>44448</v>
      </c>
      <c r="G1943" s="1" t="n"/>
    </row>
    <row r="1944">
      <c r="A1944" s="6" t="n">
        <v>47780</v>
      </c>
      <c r="B1944" s="6" t="inlineStr">
        <is>
          <t>COURVOISIER VS</t>
        </is>
      </c>
      <c r="C1944" s="7">
        <f>VLOOKUP(A1944,SizeData!A$2:B$3839,2,FALSE)</f>
        <v/>
      </c>
      <c r="D1944" s="6" t="n">
        <v>2</v>
      </c>
      <c r="E1944" s="6" t="inlineStr">
        <is>
          <t>R1326235</t>
        </is>
      </c>
      <c r="F1944" s="2" t="n">
        <v>44509</v>
      </c>
      <c r="G1944" s="1" t="n"/>
    </row>
    <row r="1945">
      <c r="A1945" s="6" t="n">
        <v>47782</v>
      </c>
      <c r="B1945" s="6" t="inlineStr">
        <is>
          <t>COURVOISIER VS COGNAC</t>
        </is>
      </c>
      <c r="C1945" s="7">
        <f>VLOOKUP(A1945,SizeData!A$2:B$3839,2,FALSE)</f>
        <v/>
      </c>
      <c r="D1945" s="6" t="n">
        <v>5</v>
      </c>
      <c r="E1945" s="6" t="inlineStr">
        <is>
          <t>R1019092</t>
        </is>
      </c>
      <c r="F1945" s="2" t="n">
        <v>44238</v>
      </c>
      <c r="G1945" s="1" t="n"/>
    </row>
    <row r="1946">
      <c r="A1946" s="6" t="n">
        <v>47782</v>
      </c>
      <c r="B1946" s="6" t="inlineStr">
        <is>
          <t>COURVOISIER VS COGNAC</t>
        </is>
      </c>
      <c r="C1946" s="7">
        <f>VLOOKUP(A1946,SizeData!A$2:B$3839,2,FALSE)</f>
        <v/>
      </c>
      <c r="D1946" s="6" t="n">
        <v>3</v>
      </c>
      <c r="E1946" s="6" t="inlineStr">
        <is>
          <t>R1192127</t>
        </is>
      </c>
      <c r="F1946" s="2" t="n">
        <v>44403</v>
      </c>
      <c r="G1946" s="1" t="n"/>
    </row>
    <row r="1947">
      <c r="A1947" s="6" t="n">
        <v>47782</v>
      </c>
      <c r="B1947" s="6" t="inlineStr">
        <is>
          <t>COURVOISIER VS COGNAC</t>
        </is>
      </c>
      <c r="C1947" s="7">
        <f>VLOOKUP(A1947,SizeData!A$2:B$3839,2,FALSE)</f>
        <v/>
      </c>
      <c r="D1947" s="6" t="n">
        <v>3</v>
      </c>
      <c r="E1947" s="6" t="inlineStr">
        <is>
          <t>R1265540</t>
        </is>
      </c>
      <c r="F1947" s="2" t="n">
        <v>44459</v>
      </c>
      <c r="G1947" s="1" t="n"/>
    </row>
    <row r="1948">
      <c r="A1948" s="6" t="n">
        <v>47782</v>
      </c>
      <c r="B1948" s="6" t="inlineStr">
        <is>
          <t>COURVOISIER VS COGNAC</t>
        </is>
      </c>
      <c r="C1948" s="7">
        <f>VLOOKUP(A1948,SizeData!A$2:B$3839,2,FALSE)</f>
        <v/>
      </c>
      <c r="D1948" s="6" t="n">
        <v>5</v>
      </c>
      <c r="E1948" s="6" t="inlineStr">
        <is>
          <t>R1301542</t>
        </is>
      </c>
      <c r="F1948" s="2" t="n">
        <v>44494</v>
      </c>
      <c r="G1948" s="1" t="n"/>
    </row>
    <row r="1949">
      <c r="A1949" s="6" t="n">
        <v>47782</v>
      </c>
      <c r="B1949" s="6" t="inlineStr">
        <is>
          <t>COURVOISIER VS COGNAC</t>
        </is>
      </c>
      <c r="C1949" s="7">
        <f>VLOOKUP(A1949,SizeData!A$2:B$3839,2,FALSE)</f>
        <v/>
      </c>
      <c r="D1949" s="6" t="n">
        <v>3</v>
      </c>
      <c r="E1949" s="6" t="inlineStr">
        <is>
          <t>R1335595</t>
        </is>
      </c>
      <c r="F1949" s="2" t="n">
        <v>44520</v>
      </c>
      <c r="G1949" s="1" t="n"/>
    </row>
    <row r="1950">
      <c r="A1950" s="6" t="n">
        <v>47782</v>
      </c>
      <c r="B1950" s="6" t="inlineStr">
        <is>
          <t>COURVOISIER VS COGNAC</t>
        </is>
      </c>
      <c r="C1950" s="7">
        <f>VLOOKUP(A1950,SizeData!A$2:B$3839,2,FALSE)</f>
        <v/>
      </c>
      <c r="D1950" s="6" t="n">
        <v>5</v>
      </c>
      <c r="E1950" s="6" t="inlineStr">
        <is>
          <t>R1365354</t>
        </is>
      </c>
      <c r="F1950" s="2" t="n">
        <v>44532</v>
      </c>
      <c r="G1950" s="1" t="n"/>
    </row>
    <row r="1951">
      <c r="A1951" s="6" t="n">
        <v>47785</v>
      </c>
      <c r="B1951" s="6" t="inlineStr">
        <is>
          <t>COURVOISIER V S COGNAC</t>
        </is>
      </c>
      <c r="C1951" s="7">
        <f>VLOOKUP(A1951,SizeData!A$2:B$3839,2,FALSE)</f>
        <v/>
      </c>
      <c r="D1951" s="6" t="n">
        <v>50</v>
      </c>
      <c r="E1951" s="6" t="inlineStr">
        <is>
          <t>R1030551</t>
        </is>
      </c>
      <c r="F1951" s="2" t="n">
        <v>44232</v>
      </c>
      <c r="G1951" s="1" t="n"/>
    </row>
    <row r="1952">
      <c r="A1952" s="6" t="n">
        <v>47785</v>
      </c>
      <c r="B1952" s="6" t="inlineStr">
        <is>
          <t>COURVOISIER V S COGNAC</t>
        </is>
      </c>
      <c r="C1952" s="7">
        <f>VLOOKUP(A1952,SizeData!A$2:B$3839,2,FALSE)</f>
        <v/>
      </c>
      <c r="D1952" s="6" t="n">
        <v>13</v>
      </c>
      <c r="E1952" s="6" t="inlineStr">
        <is>
          <t>R1099559</t>
        </is>
      </c>
      <c r="F1952" s="2" t="n">
        <v>44317</v>
      </c>
      <c r="G1952" s="1" t="n"/>
    </row>
    <row r="1953">
      <c r="A1953" s="6" t="n">
        <v>47785</v>
      </c>
      <c r="B1953" s="6" t="inlineStr">
        <is>
          <t>COURVOISIER V S COGNAC</t>
        </is>
      </c>
      <c r="C1953" s="7">
        <f>VLOOKUP(A1953,SizeData!A$2:B$3839,2,FALSE)</f>
        <v/>
      </c>
      <c r="D1953" s="6" t="n">
        <v>20</v>
      </c>
      <c r="E1953" s="6" t="inlineStr">
        <is>
          <t>R1120521</t>
        </is>
      </c>
      <c r="F1953" s="2" t="n">
        <v>44322</v>
      </c>
      <c r="G1953" s="1" t="n"/>
    </row>
    <row r="1954">
      <c r="A1954" s="6" t="n">
        <v>47785</v>
      </c>
      <c r="B1954" s="6" t="inlineStr">
        <is>
          <t>COURVOISIER V S COGNAC</t>
        </is>
      </c>
      <c r="C1954" s="7">
        <f>VLOOKUP(A1954,SizeData!A$2:B$3839,2,FALSE)</f>
        <v/>
      </c>
      <c r="D1954" s="6" t="n">
        <v>15</v>
      </c>
      <c r="E1954" s="6" t="inlineStr">
        <is>
          <t>R1304615</t>
        </is>
      </c>
      <c r="F1954" s="2" t="n">
        <v>44501</v>
      </c>
      <c r="G1954" s="1" t="n"/>
    </row>
    <row r="1955">
      <c r="A1955" s="6" t="n">
        <v>47785</v>
      </c>
      <c r="B1955" s="6" t="inlineStr">
        <is>
          <t>COURVOISIER V S COGNAC</t>
        </is>
      </c>
      <c r="C1955" s="7">
        <f>VLOOKUP(A1955,SizeData!A$2:B$3839,2,FALSE)</f>
        <v/>
      </c>
      <c r="D1955" s="6" t="n">
        <v>30</v>
      </c>
      <c r="E1955" s="6" t="inlineStr">
        <is>
          <t>R1304973</t>
        </is>
      </c>
      <c r="F1955" s="2" t="n">
        <v>44504</v>
      </c>
      <c r="G1955" s="1" t="n"/>
    </row>
    <row r="1956">
      <c r="A1956" s="6" t="n">
        <v>47785</v>
      </c>
      <c r="B1956" s="6" t="inlineStr">
        <is>
          <t>COURVOISIER V S COGNAC</t>
        </is>
      </c>
      <c r="C1956" s="7">
        <f>VLOOKUP(A1956,SizeData!A$2:B$3839,2,FALSE)</f>
        <v/>
      </c>
      <c r="D1956" s="6" t="n">
        <v>10</v>
      </c>
      <c r="E1956" s="6" t="inlineStr">
        <is>
          <t>R1299862</t>
        </is>
      </c>
      <c r="F1956" s="2" t="n">
        <v>44504</v>
      </c>
      <c r="G1956" s="1" t="n"/>
    </row>
    <row r="1957">
      <c r="A1957" s="6" t="n">
        <v>47786</v>
      </c>
      <c r="B1957" s="6" t="inlineStr">
        <is>
          <t>COURVOISIER V S COGNAC</t>
        </is>
      </c>
      <c r="C1957" s="7">
        <f>VLOOKUP(A1957,SizeData!A$2:B$3839,2,FALSE)</f>
        <v/>
      </c>
      <c r="D1957" s="6" t="n">
        <v>1</v>
      </c>
      <c r="E1957" s="6" t="inlineStr">
        <is>
          <t>R1013727</t>
        </is>
      </c>
      <c r="F1957" s="2" t="n">
        <v>44229</v>
      </c>
      <c r="G1957" s="1" t="n"/>
    </row>
    <row r="1958">
      <c r="A1958" s="6" t="n">
        <v>47786</v>
      </c>
      <c r="B1958" s="6" t="inlineStr">
        <is>
          <t>COURVOISIER V S COGNAC</t>
        </is>
      </c>
      <c r="C1958" s="7">
        <f>VLOOKUP(A1958,SizeData!A$2:B$3839,2,FALSE)</f>
        <v/>
      </c>
      <c r="D1958" s="6" t="n">
        <v>2</v>
      </c>
      <c r="E1958" s="6" t="inlineStr">
        <is>
          <t>R1046038</t>
        </is>
      </c>
      <c r="F1958" s="2" t="n">
        <v>44256</v>
      </c>
      <c r="G1958" s="1" t="n"/>
    </row>
    <row r="1959">
      <c r="A1959" s="6" t="n">
        <v>47786</v>
      </c>
      <c r="B1959" s="6" t="inlineStr">
        <is>
          <t>COURVOISIER V S COGNAC</t>
        </is>
      </c>
      <c r="C1959" s="7">
        <f>VLOOKUP(A1959,SizeData!A$2:B$3839,2,FALSE)</f>
        <v/>
      </c>
      <c r="D1959" s="6" t="n">
        <v>10</v>
      </c>
      <c r="E1959" s="6" t="inlineStr">
        <is>
          <t>R1043809</t>
        </is>
      </c>
      <c r="F1959" s="2" t="n">
        <v>44257</v>
      </c>
      <c r="G1959" s="1" t="n"/>
    </row>
    <row r="1960">
      <c r="A1960" s="6" t="n">
        <v>47786</v>
      </c>
      <c r="B1960" s="6" t="inlineStr">
        <is>
          <t>COURVOISIER V S COGNAC</t>
        </is>
      </c>
      <c r="C1960" s="7">
        <f>VLOOKUP(A1960,SizeData!A$2:B$3839,2,FALSE)</f>
        <v/>
      </c>
      <c r="D1960" s="6" t="n">
        <v>5</v>
      </c>
      <c r="E1960" s="6" t="inlineStr">
        <is>
          <t>R1061273</t>
        </is>
      </c>
      <c r="F1960" s="2" t="n">
        <v>44277</v>
      </c>
      <c r="G1960" s="1" t="n"/>
    </row>
    <row r="1961">
      <c r="A1961" s="6" t="n">
        <v>47786</v>
      </c>
      <c r="B1961" s="6" t="inlineStr">
        <is>
          <t>COURVOISIER V S COGNAC</t>
        </is>
      </c>
      <c r="C1961" s="7">
        <f>VLOOKUP(A1961,SizeData!A$2:B$3839,2,FALSE)</f>
        <v/>
      </c>
      <c r="D1961" s="6" t="n">
        <v>1</v>
      </c>
      <c r="E1961" s="6" t="inlineStr">
        <is>
          <t xml:space="preserve"> R1138813</t>
        </is>
      </c>
      <c r="F1961" s="2" t="n">
        <v>44348</v>
      </c>
      <c r="G1961" s="1" t="n"/>
    </row>
    <row r="1962">
      <c r="A1962" s="6" t="n">
        <v>47786</v>
      </c>
      <c r="B1962" s="6" t="inlineStr">
        <is>
          <t>COURVOISIER V S COGNAC</t>
        </is>
      </c>
      <c r="C1962" s="7">
        <f>VLOOKUP(A1962,SizeData!A$2:B$3839,2,FALSE)</f>
        <v/>
      </c>
      <c r="D1962" s="6" t="n">
        <v>3</v>
      </c>
      <c r="E1962" s="6" t="inlineStr">
        <is>
          <t xml:space="preserve"> R1156630</t>
        </is>
      </c>
      <c r="F1962" s="2" t="n">
        <v>44364</v>
      </c>
      <c r="G1962" s="1" t="n"/>
    </row>
    <row r="1963">
      <c r="A1963" s="6" t="n">
        <v>47786</v>
      </c>
      <c r="B1963" s="6" t="inlineStr">
        <is>
          <t>COURVOISIER V S COGNAC</t>
        </is>
      </c>
      <c r="C1963" s="7">
        <f>VLOOKUP(A1963,SizeData!A$2:B$3839,2,FALSE)</f>
        <v/>
      </c>
      <c r="D1963" s="6" t="n">
        <v>3</v>
      </c>
      <c r="E1963" s="6" t="inlineStr">
        <is>
          <t>R1152322</t>
        </is>
      </c>
      <c r="F1963" s="2" t="n">
        <v>44364</v>
      </c>
      <c r="G1963" s="1" t="n"/>
    </row>
    <row r="1964">
      <c r="A1964" s="6" t="n">
        <v>47786</v>
      </c>
      <c r="B1964" s="6" t="inlineStr">
        <is>
          <t>COURVOISIER V S COGNAC</t>
        </is>
      </c>
      <c r="C1964" s="7">
        <f>VLOOKUP(A1964,SizeData!A$2:B$3839,2,FALSE)</f>
        <v/>
      </c>
      <c r="D1964" s="6" t="n">
        <v>2</v>
      </c>
      <c r="E1964" s="6" t="inlineStr">
        <is>
          <t>R1159919</t>
        </is>
      </c>
      <c r="F1964" s="2" t="n">
        <v>44370</v>
      </c>
      <c r="G1964" s="1" t="n"/>
    </row>
    <row r="1965">
      <c r="A1965" s="6" t="n">
        <v>47786</v>
      </c>
      <c r="B1965" s="6" t="inlineStr">
        <is>
          <t>COURVOISIER V S COGNAC</t>
        </is>
      </c>
      <c r="C1965" s="7">
        <f>VLOOKUP(A1965,SizeData!A$2:B$3839,2,FALSE)</f>
        <v/>
      </c>
      <c r="D1965" s="6" t="n">
        <v>2</v>
      </c>
      <c r="E1965" s="6" t="inlineStr">
        <is>
          <t>R1152585</t>
        </is>
      </c>
      <c r="F1965" s="2" t="n">
        <v>44372</v>
      </c>
      <c r="G1965" s="1" t="n"/>
    </row>
    <row r="1966">
      <c r="A1966" s="6" t="n">
        <v>47786</v>
      </c>
      <c r="B1966" s="6" t="inlineStr">
        <is>
          <t>COURVOISIER V S COGNAC</t>
        </is>
      </c>
      <c r="C1966" s="7">
        <f>VLOOKUP(A1966,SizeData!A$2:B$3839,2,FALSE)</f>
        <v/>
      </c>
      <c r="D1966" s="6" t="n">
        <v>5</v>
      </c>
      <c r="E1966" s="6" t="inlineStr">
        <is>
          <t>R1266090</t>
        </is>
      </c>
      <c r="F1966" s="2" t="n">
        <v>44473</v>
      </c>
      <c r="G1966" s="1" t="n"/>
    </row>
    <row r="1967">
      <c r="A1967" s="6" t="n">
        <v>47786</v>
      </c>
      <c r="B1967" s="6" t="inlineStr">
        <is>
          <t>COURVOISIER V S COGNAC</t>
        </is>
      </c>
      <c r="C1967" s="7">
        <f>VLOOKUP(A1967,SizeData!A$2:B$3839,2,FALSE)</f>
        <v/>
      </c>
      <c r="D1967" s="6" t="n">
        <v>5</v>
      </c>
      <c r="E1967" s="6" t="inlineStr">
        <is>
          <t>R1267858</t>
        </is>
      </c>
      <c r="F1967" s="2" t="n">
        <v>44473</v>
      </c>
      <c r="G1967" s="1" t="n"/>
    </row>
    <row r="1968">
      <c r="A1968" s="6" t="n">
        <v>47788</v>
      </c>
      <c r="B1968" s="6" t="inlineStr">
        <is>
          <t>COURVOISIER V S COGNAC</t>
        </is>
      </c>
      <c r="C1968" s="7">
        <f>VLOOKUP(A1968,SizeData!A$2:B$3839,2,FALSE)</f>
        <v/>
      </c>
      <c r="D1968" s="6" t="n">
        <v>1</v>
      </c>
      <c r="E1968" s="6" t="inlineStr">
        <is>
          <t>R1034351</t>
        </is>
      </c>
      <c r="F1968" s="2" t="n">
        <v>44256</v>
      </c>
      <c r="G1968" s="1" t="n"/>
    </row>
    <row r="1969">
      <c r="A1969" s="6" t="n">
        <v>47788</v>
      </c>
      <c r="B1969" s="6" t="inlineStr">
        <is>
          <t>COURVOISIER V S COGNAC</t>
        </is>
      </c>
      <c r="C1969" s="7">
        <f>VLOOKUP(A1969,SizeData!A$2:B$3839,2,FALSE)</f>
        <v/>
      </c>
      <c r="D1969" s="6" t="n">
        <v>5</v>
      </c>
      <c r="E1969" s="6" t="inlineStr">
        <is>
          <t>R1120204</t>
        </is>
      </c>
      <c r="F1969" s="2" t="n">
        <v>44300</v>
      </c>
      <c r="G1969" s="1" t="n"/>
    </row>
    <row r="1970">
      <c r="A1970" s="6" t="n">
        <v>47788</v>
      </c>
      <c r="B1970" s="6" t="inlineStr">
        <is>
          <t>COURVOISIER V S COGNAC</t>
        </is>
      </c>
      <c r="C1970" s="7">
        <f>VLOOKUP(A1970,SizeData!A$2:B$3839,2,FALSE)</f>
        <v/>
      </c>
      <c r="D1970" s="6" t="n">
        <v>1</v>
      </c>
      <c r="E1970" s="6" t="inlineStr">
        <is>
          <t>R1110509</t>
        </is>
      </c>
      <c r="F1970" s="2" t="n">
        <v>44306</v>
      </c>
      <c r="G1970" s="1" t="n"/>
    </row>
    <row r="1971">
      <c r="A1971" s="6" t="n">
        <v>47788</v>
      </c>
      <c r="B1971" s="6" t="inlineStr">
        <is>
          <t>COURVOISIER V S COGNAC</t>
        </is>
      </c>
      <c r="C1971" s="7">
        <f>VLOOKUP(A1971,SizeData!A$2:B$3839,2,FALSE)</f>
        <v/>
      </c>
      <c r="D1971" s="6" t="n">
        <v>1</v>
      </c>
      <c r="E1971" s="6" t="inlineStr">
        <is>
          <t>R1099905</t>
        </is>
      </c>
      <c r="F1971" s="2" t="n">
        <v>44310</v>
      </c>
      <c r="G1971" s="1" t="n"/>
    </row>
    <row r="1972">
      <c r="A1972" s="6" t="n">
        <v>47788</v>
      </c>
      <c r="B1972" s="6" t="inlineStr">
        <is>
          <t>COURVOISIER V S COGNAC</t>
        </is>
      </c>
      <c r="C1972" s="7">
        <f>VLOOKUP(A1972,SizeData!A$2:B$3839,2,FALSE)</f>
        <v/>
      </c>
      <c r="D1972" s="6" t="n">
        <v>2</v>
      </c>
      <c r="E1972" s="6" t="inlineStr">
        <is>
          <t>R1241453</t>
        </is>
      </c>
      <c r="F1972" s="2" t="n">
        <v>44448</v>
      </c>
      <c r="G1972" s="1" t="n"/>
    </row>
    <row r="1973">
      <c r="A1973" s="6" t="n">
        <v>47788</v>
      </c>
      <c r="B1973" s="6" t="inlineStr">
        <is>
          <t>COURVOISIER V S COGNAC</t>
        </is>
      </c>
      <c r="C1973" s="7">
        <f>VLOOKUP(A1973,SizeData!A$2:B$3839,2,FALSE)</f>
        <v/>
      </c>
      <c r="D1973" s="6" t="n">
        <v>0</v>
      </c>
      <c r="E1973" s="6" t="inlineStr">
        <is>
          <t>R1272603</t>
        </is>
      </c>
      <c r="F1973" s="2" t="n">
        <v>44473</v>
      </c>
      <c r="G1973" s="1" t="n"/>
    </row>
    <row r="1974">
      <c r="A1974" s="6" t="n">
        <v>47788</v>
      </c>
      <c r="B1974" s="6" t="inlineStr">
        <is>
          <t>COURVOISIER V S COGNAC</t>
        </is>
      </c>
      <c r="C1974" s="7">
        <f>VLOOKUP(A1974,SizeData!A$2:B$3839,2,FALSE)</f>
        <v/>
      </c>
      <c r="D1974" s="6" t="n">
        <v>2</v>
      </c>
      <c r="E1974" s="6" t="inlineStr">
        <is>
          <t>R1284159</t>
        </is>
      </c>
      <c r="F1974" s="2" t="n">
        <v>44488</v>
      </c>
      <c r="G1974" s="1" t="n"/>
    </row>
    <row r="1975">
      <c r="A1975" s="6" t="n">
        <v>47788</v>
      </c>
      <c r="B1975" s="6" t="inlineStr">
        <is>
          <t>COURVOISIER V S COGNAC</t>
        </is>
      </c>
      <c r="C1975" s="7">
        <f>VLOOKUP(A1975,SizeData!A$2:B$3839,2,FALSE)</f>
        <v/>
      </c>
      <c r="D1975" s="6" t="n">
        <v>2</v>
      </c>
      <c r="E1975" s="6" t="inlineStr">
        <is>
          <t>R1301289</t>
        </is>
      </c>
      <c r="F1975" s="2" t="n">
        <v>44499</v>
      </c>
      <c r="G1975" s="1" t="n"/>
    </row>
    <row r="1976">
      <c r="A1976" s="6" t="n">
        <v>47790</v>
      </c>
      <c r="B1976" s="6" t="inlineStr">
        <is>
          <t>COURVOISIER V S COGNAC</t>
        </is>
      </c>
      <c r="C1976" s="7">
        <f>VLOOKUP(A1976,SizeData!A$2:B$3839,2,FALSE)</f>
        <v/>
      </c>
      <c r="D1976" s="6" t="n">
        <v>12</v>
      </c>
      <c r="E1976" s="6" t="inlineStr">
        <is>
          <t>R1095137</t>
        </is>
      </c>
      <c r="F1976" s="2" t="n">
        <v>44287</v>
      </c>
      <c r="G1976" s="1" t="n"/>
    </row>
    <row r="1977">
      <c r="A1977" s="6" t="n">
        <v>47790</v>
      </c>
      <c r="B1977" s="6" t="inlineStr">
        <is>
          <t>COURVOISIER V S COGNAC</t>
        </is>
      </c>
      <c r="C1977" s="7">
        <f>VLOOKUP(A1977,SizeData!A$2:B$3839,2,FALSE)</f>
        <v/>
      </c>
      <c r="D1977" s="6" t="n">
        <v>15</v>
      </c>
      <c r="E1977" s="6" t="inlineStr">
        <is>
          <t>R1084015</t>
        </is>
      </c>
      <c r="F1977" s="2" t="n">
        <v>44292</v>
      </c>
      <c r="G1977" s="1" t="n"/>
    </row>
    <row r="1978">
      <c r="A1978" s="6" t="n">
        <v>47790</v>
      </c>
      <c r="B1978" s="6" t="inlineStr">
        <is>
          <t>COURVOISIER V S COGNAC</t>
        </is>
      </c>
      <c r="C1978" s="7">
        <f>VLOOKUP(A1978,SizeData!A$2:B$3839,2,FALSE)</f>
        <v/>
      </c>
      <c r="D1978" s="6" t="n">
        <v>10</v>
      </c>
      <c r="E1978" s="6" t="inlineStr">
        <is>
          <t>R1074959</t>
        </is>
      </c>
      <c r="F1978" s="2" t="n">
        <v>44292</v>
      </c>
      <c r="G1978" s="1" t="n"/>
    </row>
    <row r="1979">
      <c r="A1979" s="6" t="n">
        <v>47790</v>
      </c>
      <c r="B1979" s="6" t="inlineStr">
        <is>
          <t>COURVOISIER V S COGNAC</t>
        </is>
      </c>
      <c r="C1979" s="7">
        <f>VLOOKUP(A1979,SizeData!A$2:B$3839,2,FALSE)</f>
        <v/>
      </c>
      <c r="D1979" s="6" t="n">
        <v>23</v>
      </c>
      <c r="E1979" s="6" t="inlineStr">
        <is>
          <t xml:space="preserve"> R1175360</t>
        </is>
      </c>
      <c r="F1979" s="2" t="n">
        <v>44383</v>
      </c>
      <c r="G1979" s="1" t="n"/>
    </row>
    <row r="1980">
      <c r="A1980" s="6" t="n">
        <v>47790</v>
      </c>
      <c r="B1980" s="6" t="inlineStr">
        <is>
          <t>COURVOISIER V S COGNAC</t>
        </is>
      </c>
      <c r="C1980" s="7">
        <f>VLOOKUP(A1980,SizeData!A$2:B$3839,2,FALSE)</f>
        <v/>
      </c>
      <c r="D1980" s="6" t="n">
        <v>3</v>
      </c>
      <c r="E1980" s="6" t="inlineStr">
        <is>
          <t>R1170994</t>
        </is>
      </c>
      <c r="F1980" s="2" t="n">
        <v>44394</v>
      </c>
      <c r="G1980" s="1" t="n"/>
    </row>
    <row r="1981">
      <c r="A1981" s="6" t="n">
        <v>47790</v>
      </c>
      <c r="B1981" s="6" t="inlineStr">
        <is>
          <t>COURVOISIER V S COGNAC</t>
        </is>
      </c>
      <c r="C1981" s="7">
        <f>VLOOKUP(A1981,SizeData!A$2:B$3839,2,FALSE)</f>
        <v/>
      </c>
      <c r="D1981" s="6" t="n">
        <v>25</v>
      </c>
      <c r="E1981" s="6" t="inlineStr">
        <is>
          <t>R1287802</t>
        </is>
      </c>
      <c r="F1981" s="2" t="n">
        <v>44487</v>
      </c>
      <c r="G1981" s="1" t="n"/>
    </row>
    <row r="1982">
      <c r="A1982" s="6" t="n">
        <v>47861</v>
      </c>
      <c r="B1982" s="6" t="inlineStr">
        <is>
          <t>DUSSE VSOP COGNAC</t>
        </is>
      </c>
      <c r="C1982" s="7">
        <f>VLOOKUP(A1982,SizeData!A$2:B$3839,2,FALSE)</f>
        <v/>
      </c>
      <c r="D1982" s="6" t="n">
        <v>5</v>
      </c>
      <c r="E1982" s="6" t="inlineStr">
        <is>
          <t>R1018402</t>
        </is>
      </c>
      <c r="F1982" s="2" t="n">
        <v>44229</v>
      </c>
      <c r="G1982" s="1" t="n"/>
    </row>
    <row r="1983">
      <c r="A1983" s="6" t="n">
        <v>47861</v>
      </c>
      <c r="B1983" s="6" t="inlineStr">
        <is>
          <t>DUSSE VSOP COGNAC</t>
        </is>
      </c>
      <c r="C1983" s="7">
        <f>VLOOKUP(A1983,SizeData!A$2:B$3839,2,FALSE)</f>
        <v/>
      </c>
      <c r="D1983" s="6" t="n">
        <v>1</v>
      </c>
      <c r="E1983" s="6" t="inlineStr">
        <is>
          <t>R1033783</t>
        </is>
      </c>
      <c r="F1983" s="2" t="n">
        <v>44258</v>
      </c>
      <c r="G1983" s="1" t="n"/>
    </row>
    <row r="1984">
      <c r="A1984" s="6" t="n">
        <v>47861</v>
      </c>
      <c r="B1984" s="6" t="inlineStr">
        <is>
          <t>DUSSE VSOP COGNAC</t>
        </is>
      </c>
      <c r="C1984" s="7">
        <f>VLOOKUP(A1984,SizeData!A$2:B$3839,2,FALSE)</f>
        <v/>
      </c>
      <c r="D1984" s="6" t="n">
        <v>4</v>
      </c>
      <c r="E1984" s="6" t="inlineStr">
        <is>
          <t>R1110813</t>
        </is>
      </c>
      <c r="F1984" s="2" t="n">
        <v>44307</v>
      </c>
      <c r="G1984" s="1" t="n"/>
    </row>
    <row r="1985">
      <c r="A1985" s="6" t="n">
        <v>47861</v>
      </c>
      <c r="B1985" s="6" t="inlineStr">
        <is>
          <t>DUSSE VSOP COGNAC</t>
        </is>
      </c>
      <c r="C1985" s="7">
        <f>VLOOKUP(A1985,SizeData!A$2:B$3839,2,FALSE)</f>
        <v/>
      </c>
      <c r="D1985" s="6" t="n">
        <v>2</v>
      </c>
      <c r="E1985" s="6" t="inlineStr">
        <is>
          <t>R1145870</t>
        </is>
      </c>
      <c r="F1985" s="2" t="n">
        <v>44357</v>
      </c>
      <c r="G1985" s="1" t="n"/>
    </row>
    <row r="1986">
      <c r="A1986" s="6" t="n">
        <v>47861</v>
      </c>
      <c r="B1986" s="6" t="inlineStr">
        <is>
          <t>DUSSE VSOP COGNAC</t>
        </is>
      </c>
      <c r="C1986" s="7">
        <f>VLOOKUP(A1986,SizeData!A$2:B$3839,2,FALSE)</f>
        <v/>
      </c>
      <c r="D1986" s="6" t="n">
        <v>2</v>
      </c>
      <c r="E1986" s="6" t="inlineStr">
        <is>
          <t>R1178659</t>
        </is>
      </c>
      <c r="F1986" s="2" t="n">
        <v>44391</v>
      </c>
      <c r="G1986" s="1" t="n"/>
    </row>
    <row r="1987">
      <c r="A1987" s="6" t="n">
        <v>47861</v>
      </c>
      <c r="B1987" s="6" t="inlineStr">
        <is>
          <t>DUSSE VSOP COGNAC</t>
        </is>
      </c>
      <c r="C1987" s="7">
        <f>VLOOKUP(A1987,SizeData!A$2:B$3839,2,FALSE)</f>
        <v/>
      </c>
      <c r="D1987" s="6" t="n">
        <v>5</v>
      </c>
      <c r="E1987" s="6" t="inlineStr">
        <is>
          <t>R1203604</t>
        </is>
      </c>
      <c r="F1987" s="2" t="n">
        <v>44413</v>
      </c>
      <c r="G1987" s="1" t="n"/>
    </row>
    <row r="1988">
      <c r="A1988" s="6" t="n">
        <v>47861</v>
      </c>
      <c r="B1988" s="6" t="inlineStr">
        <is>
          <t>DUSSE VSOP COGNAC</t>
        </is>
      </c>
      <c r="C1988" s="7">
        <f>VLOOKUP(A1988,SizeData!A$2:B$3839,2,FALSE)</f>
        <v/>
      </c>
      <c r="D1988" s="6" t="n">
        <v>4</v>
      </c>
      <c r="E1988" s="6" t="inlineStr">
        <is>
          <t>R1258650</t>
        </is>
      </c>
      <c r="F1988" s="2" t="n">
        <v>44469</v>
      </c>
      <c r="G1988" s="1" t="n"/>
    </row>
    <row r="1989">
      <c r="A1989" s="6" t="n">
        <v>47861</v>
      </c>
      <c r="B1989" s="6" t="inlineStr">
        <is>
          <t>DUSSE VSOP COGNAC</t>
        </is>
      </c>
      <c r="C1989" s="7">
        <f>VLOOKUP(A1989,SizeData!A$2:B$3839,2,FALSE)</f>
        <v/>
      </c>
      <c r="D1989" s="6" t="n">
        <v>0</v>
      </c>
      <c r="E1989" s="6" t="inlineStr">
        <is>
          <t>R1330081</t>
        </is>
      </c>
      <c r="F1989" s="2" t="n">
        <v>44518</v>
      </c>
      <c r="G1989" s="1" t="n"/>
    </row>
    <row r="1990">
      <c r="A1990" s="6" t="n">
        <v>47863</v>
      </c>
      <c r="B1990" s="6" t="inlineStr">
        <is>
          <t>DUSSE VSOP COGNAC</t>
        </is>
      </c>
      <c r="C1990" s="7">
        <f>VLOOKUP(A1990,SizeData!A$2:B$3839,2,FALSE)</f>
        <v/>
      </c>
      <c r="D1990" s="6" t="n">
        <v>10</v>
      </c>
      <c r="E1990" s="6" t="inlineStr">
        <is>
          <t>R1003621</t>
        </is>
      </c>
      <c r="F1990" s="2" t="n">
        <v>44216</v>
      </c>
      <c r="G1990" s="1" t="n"/>
    </row>
    <row r="1991">
      <c r="A1991" s="6" t="n">
        <v>47863</v>
      </c>
      <c r="B1991" s="6" t="inlineStr">
        <is>
          <t>DUSSE VSOP COGNAC</t>
        </is>
      </c>
      <c r="C1991" s="7">
        <f>VLOOKUP(A1991,SizeData!A$2:B$3839,2,FALSE)</f>
        <v/>
      </c>
      <c r="D1991" s="6" t="n">
        <v>5</v>
      </c>
      <c r="E1991" s="6" t="inlineStr">
        <is>
          <t>R1054530</t>
        </is>
      </c>
      <c r="F1991" s="2" t="n">
        <v>44271</v>
      </c>
      <c r="G1991" s="1" t="n"/>
    </row>
    <row r="1992">
      <c r="A1992" s="6" t="n">
        <v>47863</v>
      </c>
      <c r="B1992" s="6" t="inlineStr">
        <is>
          <t>DUSSE VSOP COGNAC</t>
        </is>
      </c>
      <c r="C1992" s="7">
        <f>VLOOKUP(A1992,SizeData!A$2:B$3839,2,FALSE)</f>
        <v/>
      </c>
      <c r="D1992" s="6" t="n">
        <v>10</v>
      </c>
      <c r="E1992" s="6" t="inlineStr">
        <is>
          <t>R1096578</t>
        </is>
      </c>
      <c r="F1992" s="2" t="n">
        <v>44308</v>
      </c>
      <c r="G1992" s="1" t="n"/>
    </row>
    <row r="1993">
      <c r="A1993" s="6" t="n">
        <v>47863</v>
      </c>
      <c r="B1993" s="6" t="inlineStr">
        <is>
          <t>DUSSE VSOP COGNAC</t>
        </is>
      </c>
      <c r="C1993" s="7">
        <f>VLOOKUP(A1993,SizeData!A$2:B$3839,2,FALSE)</f>
        <v/>
      </c>
      <c r="D1993" s="6" t="n">
        <v>10</v>
      </c>
      <c r="E1993" s="6" t="inlineStr">
        <is>
          <t>R1131506</t>
        </is>
      </c>
      <c r="F1993" s="2" t="n">
        <v>44336</v>
      </c>
      <c r="G1993" s="1" t="n"/>
    </row>
    <row r="1994">
      <c r="A1994" s="6" t="n">
        <v>47863</v>
      </c>
      <c r="B1994" s="6" t="inlineStr">
        <is>
          <t>DUSSE VSOP COGNAC</t>
        </is>
      </c>
      <c r="C1994" s="7">
        <f>VLOOKUP(A1994,SizeData!A$2:B$3839,2,FALSE)</f>
        <v/>
      </c>
      <c r="D1994" s="6" t="n">
        <v>5</v>
      </c>
      <c r="E1994" s="6" t="inlineStr">
        <is>
          <t>R1145870</t>
        </is>
      </c>
      <c r="F1994" s="2" t="n">
        <v>44357</v>
      </c>
      <c r="G1994" s="1" t="n"/>
    </row>
    <row r="1995">
      <c r="A1995" s="6" t="n">
        <v>47863</v>
      </c>
      <c r="B1995" s="6" t="inlineStr">
        <is>
          <t>DUSSE VSOP COGNAC</t>
        </is>
      </c>
      <c r="C1995" s="7">
        <f>VLOOKUP(A1995,SizeData!A$2:B$3839,2,FALSE)</f>
        <v/>
      </c>
      <c r="D1995" s="6" t="n">
        <v>5</v>
      </c>
      <c r="E1995" s="6" t="inlineStr">
        <is>
          <t>R1178659</t>
        </is>
      </c>
      <c r="F1995" s="2" t="n">
        <v>44391</v>
      </c>
      <c r="G1995" s="1" t="n"/>
    </row>
    <row r="1996">
      <c r="A1996" s="6" t="n">
        <v>47863</v>
      </c>
      <c r="B1996" s="6" t="inlineStr">
        <is>
          <t>DUSSE VSOP COGNAC</t>
        </is>
      </c>
      <c r="C1996" s="7">
        <f>VLOOKUP(A1996,SizeData!A$2:B$3839,2,FALSE)</f>
        <v/>
      </c>
      <c r="D1996" s="6" t="n">
        <v>5</v>
      </c>
      <c r="E1996" s="6" t="inlineStr">
        <is>
          <t xml:space="preserve"> R1254141</t>
        </is>
      </c>
      <c r="F1996" s="2" t="n">
        <v>44468</v>
      </c>
      <c r="G1996" s="1" t="n"/>
    </row>
    <row r="1997">
      <c r="A1997" s="6" t="n">
        <v>47863</v>
      </c>
      <c r="B1997" s="6" t="inlineStr">
        <is>
          <t>DUSSE VSOP COGNAC</t>
        </is>
      </c>
      <c r="C1997" s="7">
        <f>VLOOKUP(A1997,SizeData!A$2:B$3839,2,FALSE)</f>
        <v/>
      </c>
      <c r="D1997" s="6" t="n">
        <v>5</v>
      </c>
      <c r="E1997" s="6" t="inlineStr">
        <is>
          <t>R1275618</t>
        </is>
      </c>
      <c r="F1997" s="2" t="n">
        <v>44474</v>
      </c>
      <c r="G1997" s="1" t="n"/>
    </row>
    <row r="1998">
      <c r="A1998" s="6" t="n">
        <v>47863</v>
      </c>
      <c r="B1998" s="6" t="inlineStr">
        <is>
          <t>DUSSE VSOP COGNAC</t>
        </is>
      </c>
      <c r="C1998" s="7">
        <f>VLOOKUP(A1998,SizeData!A$2:B$3839,2,FALSE)</f>
        <v/>
      </c>
      <c r="D1998" s="6" t="n">
        <v>5</v>
      </c>
      <c r="E1998" s="6" t="inlineStr">
        <is>
          <t>R1279322</t>
        </is>
      </c>
      <c r="F1998" s="2" t="n">
        <v>44482</v>
      </c>
      <c r="G1998" s="1" t="n"/>
    </row>
    <row r="1999">
      <c r="A1999" s="6" t="n">
        <v>47863</v>
      </c>
      <c r="B1999" s="6" t="inlineStr">
        <is>
          <t>DUSSE VSOP COGNAC</t>
        </is>
      </c>
      <c r="C1999" s="7">
        <f>VLOOKUP(A1999,SizeData!A$2:B$3839,2,FALSE)</f>
        <v/>
      </c>
      <c r="D1999" s="6" t="n">
        <v>5</v>
      </c>
      <c r="E1999" s="6" t="inlineStr">
        <is>
          <t>R1292642</t>
        </is>
      </c>
      <c r="F1999" s="2" t="n">
        <v>44496</v>
      </c>
      <c r="G1999" s="1" t="n"/>
    </row>
    <row r="2000">
      <c r="A2000" s="6" t="n">
        <v>47865</v>
      </c>
      <c r="B2000" s="6" t="inlineStr">
        <is>
          <t>DUSSE VSOP COGNAC</t>
        </is>
      </c>
      <c r="C2000" s="7">
        <f>VLOOKUP(A2000,SizeData!A$2:B$3839,2,FALSE)</f>
        <v/>
      </c>
      <c r="D2000" s="6" t="n">
        <v>10</v>
      </c>
      <c r="E2000" s="6" t="inlineStr">
        <is>
          <t>R998434</t>
        </is>
      </c>
      <c r="F2000" s="2" t="n">
        <v>44210</v>
      </c>
      <c r="G2000" s="1" t="n"/>
    </row>
    <row r="2001">
      <c r="A2001" s="6" t="n">
        <v>47865</v>
      </c>
      <c r="B2001" s="6" t="inlineStr">
        <is>
          <t>DUSSE VSOP COGNAC</t>
        </is>
      </c>
      <c r="C2001" s="7">
        <f>VLOOKUP(A2001,SizeData!A$2:B$3839,2,FALSE)</f>
        <v/>
      </c>
      <c r="D2001" s="6" t="n">
        <v>4</v>
      </c>
      <c r="E2001" s="6" t="inlineStr">
        <is>
          <t>R1033783</t>
        </is>
      </c>
      <c r="F2001" s="2" t="n">
        <v>44258</v>
      </c>
      <c r="G2001" s="1" t="n"/>
    </row>
    <row r="2002">
      <c r="A2002" s="6" t="n">
        <v>47865</v>
      </c>
      <c r="B2002" s="6" t="inlineStr">
        <is>
          <t>DUSSE VSOP COGNAC</t>
        </is>
      </c>
      <c r="C2002" s="7">
        <f>VLOOKUP(A2002,SizeData!A$2:B$3839,2,FALSE)</f>
        <v/>
      </c>
      <c r="D2002" s="6" t="n">
        <v>8</v>
      </c>
      <c r="E2002" s="6" t="inlineStr">
        <is>
          <t>R1054530</t>
        </is>
      </c>
      <c r="F2002" s="2" t="n">
        <v>44271</v>
      </c>
      <c r="G2002" s="1" t="n"/>
    </row>
    <row r="2003">
      <c r="A2003" s="6" t="n">
        <v>47865</v>
      </c>
      <c r="B2003" s="6" t="inlineStr">
        <is>
          <t>DUSSE VSOP COGNAC</t>
        </is>
      </c>
      <c r="C2003" s="7">
        <f>VLOOKUP(A2003,SizeData!A$2:B$3839,2,FALSE)</f>
        <v/>
      </c>
      <c r="D2003" s="6" t="n">
        <v>10</v>
      </c>
      <c r="E2003" s="6" t="inlineStr">
        <is>
          <t>R1096578</t>
        </is>
      </c>
      <c r="F2003" s="2" t="n">
        <v>44308</v>
      </c>
      <c r="G2003" s="1" t="n"/>
    </row>
    <row r="2004">
      <c r="A2004" s="6" t="n">
        <v>47865</v>
      </c>
      <c r="B2004" s="6" t="inlineStr">
        <is>
          <t>DUSSE VSOP COGNAC</t>
        </is>
      </c>
      <c r="C2004" s="7">
        <f>VLOOKUP(A2004,SizeData!A$2:B$3839,2,FALSE)</f>
        <v/>
      </c>
      <c r="D2004" s="6" t="n">
        <v>10</v>
      </c>
      <c r="E2004" s="6" t="inlineStr">
        <is>
          <t>R1124629</t>
        </is>
      </c>
      <c r="F2004" s="2" t="n">
        <v>44343</v>
      </c>
      <c r="G2004" s="1" t="n"/>
    </row>
    <row r="2005">
      <c r="A2005" s="6" t="n">
        <v>47865</v>
      </c>
      <c r="B2005" s="6" t="inlineStr">
        <is>
          <t>DUSSE VSOP COGNAC</t>
        </is>
      </c>
      <c r="C2005" s="7">
        <f>VLOOKUP(A2005,SizeData!A$2:B$3839,2,FALSE)</f>
        <v/>
      </c>
      <c r="D2005" s="6" t="n">
        <v>10</v>
      </c>
      <c r="E2005" s="6" t="inlineStr">
        <is>
          <t xml:space="preserve"> R1139666</t>
        </is>
      </c>
      <c r="F2005" s="2" t="n">
        <v>44363</v>
      </c>
      <c r="G2005" s="1" t="n"/>
    </row>
    <row r="2006">
      <c r="A2006" s="6" t="n">
        <v>47865</v>
      </c>
      <c r="B2006" s="6" t="inlineStr">
        <is>
          <t>DUSSE VSOP COGNAC</t>
        </is>
      </c>
      <c r="C2006" s="7">
        <f>VLOOKUP(A2006,SizeData!A$2:B$3839,2,FALSE)</f>
        <v/>
      </c>
      <c r="D2006" s="6" t="n">
        <v>5</v>
      </c>
      <c r="E2006" s="6" t="inlineStr">
        <is>
          <t>R1171938</t>
        </is>
      </c>
      <c r="F2006" s="2" t="n">
        <v>44385</v>
      </c>
      <c r="G2006" s="1" t="n"/>
    </row>
    <row r="2007">
      <c r="A2007" s="6" t="n">
        <v>47865</v>
      </c>
      <c r="B2007" s="6" t="inlineStr">
        <is>
          <t>DUSSE VSOP COGNAC</t>
        </is>
      </c>
      <c r="C2007" s="7">
        <f>VLOOKUP(A2007,SizeData!A$2:B$3839,2,FALSE)</f>
        <v/>
      </c>
      <c r="D2007" s="6" t="n">
        <v>5</v>
      </c>
      <c r="E2007" s="6" t="inlineStr">
        <is>
          <t>R1178659</t>
        </is>
      </c>
      <c r="F2007" s="2" t="n">
        <v>44391</v>
      </c>
      <c r="G2007" s="1" t="n"/>
    </row>
    <row r="2008">
      <c r="A2008" s="6" t="n">
        <v>47865</v>
      </c>
      <c r="B2008" s="6" t="inlineStr">
        <is>
          <t>DUSSE VSOP COGNAC</t>
        </is>
      </c>
      <c r="C2008" s="7">
        <f>VLOOKUP(A2008,SizeData!A$2:B$3839,2,FALSE)</f>
        <v/>
      </c>
      <c r="D2008" s="6" t="n">
        <v>5</v>
      </c>
      <c r="E2008" s="6" t="inlineStr">
        <is>
          <t>R1251513</t>
        </is>
      </c>
      <c r="F2008" s="2" t="n">
        <v>44455</v>
      </c>
      <c r="G2008" s="1" t="n"/>
    </row>
    <row r="2009">
      <c r="A2009" s="6" t="n">
        <v>47865</v>
      </c>
      <c r="B2009" s="6" t="inlineStr">
        <is>
          <t>DUSSE VSOP COGNAC</t>
        </is>
      </c>
      <c r="C2009" s="7">
        <f>VLOOKUP(A2009,SizeData!A$2:B$3839,2,FALSE)</f>
        <v/>
      </c>
      <c r="D2009" s="6" t="n">
        <v>5</v>
      </c>
      <c r="E2009" s="6" t="inlineStr">
        <is>
          <t>R1275618</t>
        </is>
      </c>
      <c r="F2009" s="2" t="n">
        <v>44474</v>
      </c>
      <c r="G2009" s="1" t="n"/>
    </row>
    <row r="2010">
      <c r="A2010" s="6" t="n">
        <v>47865</v>
      </c>
      <c r="B2010" s="6" t="inlineStr">
        <is>
          <t>DUSSE VSOP COGNAC</t>
        </is>
      </c>
      <c r="C2010" s="7">
        <f>VLOOKUP(A2010,SizeData!A$2:B$3839,2,FALSE)</f>
        <v/>
      </c>
      <c r="D2010" s="6" t="n">
        <v>5</v>
      </c>
      <c r="E2010" s="6" t="inlineStr">
        <is>
          <t>R1279322</t>
        </is>
      </c>
      <c r="F2010" s="2" t="n">
        <v>44482</v>
      </c>
      <c r="G2010" s="1" t="n"/>
    </row>
    <row r="2011">
      <c r="A2011" s="6" t="n">
        <v>47865</v>
      </c>
      <c r="B2011" s="6" t="inlineStr">
        <is>
          <t>DUSSE VSOP COGNAC</t>
        </is>
      </c>
      <c r="C2011" s="7">
        <f>VLOOKUP(A2011,SizeData!A$2:B$3839,2,FALSE)</f>
        <v/>
      </c>
      <c r="D2011" s="6" t="n">
        <v>5</v>
      </c>
      <c r="E2011" s="6" t="inlineStr">
        <is>
          <t>R1292642</t>
        </is>
      </c>
      <c r="F2011" s="2" t="n">
        <v>44496</v>
      </c>
      <c r="G2011" s="1" t="n"/>
    </row>
    <row r="2012">
      <c r="A2012" s="6" t="n">
        <v>47865</v>
      </c>
      <c r="B2012" s="6" t="inlineStr">
        <is>
          <t>DUSSE VSOP COGNAC</t>
        </is>
      </c>
      <c r="C2012" s="7">
        <f>VLOOKUP(A2012,SizeData!A$2:B$3839,2,FALSE)</f>
        <v/>
      </c>
      <c r="D2012" s="6" t="n">
        <v>5</v>
      </c>
      <c r="E2012" s="6" t="inlineStr">
        <is>
          <t>R1361845</t>
        </is>
      </c>
      <c r="F2012" s="2" t="n">
        <v>44538</v>
      </c>
      <c r="G2012" s="1" t="n"/>
    </row>
    <row r="2013">
      <c r="A2013" s="6" t="n">
        <v>47869</v>
      </c>
      <c r="B2013" s="6" t="inlineStr">
        <is>
          <t>DUSSE XO COGNAC</t>
        </is>
      </c>
      <c r="C2013" s="7">
        <f>VLOOKUP(A2013,SizeData!A$2:B$3839,2,FALSE)</f>
        <v/>
      </c>
      <c r="D2013" s="6" t="n">
        <v>1</v>
      </c>
      <c r="E2013" s="6" t="inlineStr">
        <is>
          <t>R1318281</t>
        </is>
      </c>
      <c r="F2013" s="2" t="n">
        <v>44518</v>
      </c>
      <c r="G2013" s="1" t="n"/>
    </row>
    <row r="2014">
      <c r="A2014" s="6" t="n">
        <v>47875</v>
      </c>
      <c r="B2014" s="6" t="inlineStr">
        <is>
          <t>DE LUZE VS COGNAC FLASK</t>
        </is>
      </c>
      <c r="C2014" s="7">
        <f>VLOOKUP(A2014,SizeData!A$2:B$3839,2,FALSE)</f>
        <v/>
      </c>
      <c r="D2014" s="6" t="n">
        <v>1</v>
      </c>
      <c r="E2014" s="6" t="inlineStr">
        <is>
          <t>R1016884</t>
        </is>
      </c>
      <c r="F2014" s="2" t="n">
        <v>44229</v>
      </c>
      <c r="G2014" s="1" t="n"/>
    </row>
    <row r="2015">
      <c r="A2015" s="6" t="n">
        <v>47876</v>
      </c>
      <c r="B2015" s="6" t="inlineStr">
        <is>
          <t>DE LUZE VS COGNAC</t>
        </is>
      </c>
      <c r="C2015" s="7">
        <f>VLOOKUP(A2015,SizeData!A$2:B$3839,2,FALSE)</f>
        <v/>
      </c>
      <c r="D2015" s="6" t="n">
        <v>5</v>
      </c>
      <c r="E2015" s="6" t="inlineStr">
        <is>
          <t>R1085574</t>
        </is>
      </c>
      <c r="F2015" s="2" t="n">
        <v>44288</v>
      </c>
      <c r="G2015" s="1" t="n"/>
    </row>
    <row r="2016">
      <c r="A2016" s="6" t="n">
        <v>48016</v>
      </c>
      <c r="B2016" s="6" t="inlineStr">
        <is>
          <t>GAUTIER COGNAC V S</t>
        </is>
      </c>
      <c r="C2016" s="7">
        <f>VLOOKUP(A2016,SizeData!A$2:B$3839,2,FALSE)</f>
        <v/>
      </c>
      <c r="D2016" s="6" t="n">
        <v>3</v>
      </c>
      <c r="E2016" s="6" t="inlineStr">
        <is>
          <t>R1265400</t>
        </is>
      </c>
      <c r="F2016" s="2" t="n">
        <v>44467</v>
      </c>
      <c r="G2016" s="1" t="n"/>
    </row>
    <row r="2017">
      <c r="A2017" s="6" t="n">
        <v>48016</v>
      </c>
      <c r="B2017" s="6" t="inlineStr">
        <is>
          <t>MAISON GAUTIER</t>
        </is>
      </c>
      <c r="C2017" s="7">
        <f>VLOOKUP(A2017,SizeData!A$2:B$3839,2,FALSE)</f>
        <v/>
      </c>
      <c r="D2017" s="6" t="n">
        <v>3</v>
      </c>
      <c r="E2017" s="6" t="inlineStr">
        <is>
          <t>R1084236</t>
        </is>
      </c>
      <c r="F2017" s="2" t="n">
        <v>44296</v>
      </c>
      <c r="G2017" s="1" t="n"/>
    </row>
    <row r="2018">
      <c r="A2018" s="6" t="n">
        <v>48099</v>
      </c>
      <c r="B2018" s="6" t="inlineStr">
        <is>
          <t>HENNESSY V S COGNAC</t>
        </is>
      </c>
      <c r="C2018" s="7">
        <f>VLOOKUP(A2018,SizeData!A$2:B$3839,2,FALSE)</f>
        <v/>
      </c>
      <c r="D2018" s="6" t="n">
        <v>10</v>
      </c>
      <c r="E2018" s="6" t="inlineStr">
        <is>
          <t>R1005065</t>
        </is>
      </c>
      <c r="F2018" s="2" t="n">
        <v>44209</v>
      </c>
      <c r="G2018" s="1" t="n"/>
    </row>
    <row r="2019">
      <c r="A2019" s="6" t="n">
        <v>48099</v>
      </c>
      <c r="B2019" s="6" t="inlineStr">
        <is>
          <t>HENNESSY V S COGNAC</t>
        </is>
      </c>
      <c r="C2019" s="7">
        <f>VLOOKUP(A2019,SizeData!A$2:B$3839,2,FALSE)</f>
        <v/>
      </c>
      <c r="D2019" s="6" t="n">
        <v>8</v>
      </c>
      <c r="E2019" s="6" t="inlineStr">
        <is>
          <t>R1000078</t>
        </is>
      </c>
      <c r="F2019" s="2" t="n">
        <v>44211</v>
      </c>
      <c r="G2019" s="1" t="n"/>
    </row>
    <row r="2020">
      <c r="A2020" s="6" t="n">
        <v>48099</v>
      </c>
      <c r="B2020" s="6" t="inlineStr">
        <is>
          <t>HENNESSY V S COGNAC</t>
        </is>
      </c>
      <c r="C2020" s="7">
        <f>VLOOKUP(A2020,SizeData!A$2:B$3839,2,FALSE)</f>
        <v/>
      </c>
      <c r="D2020" s="6" t="n">
        <v>10</v>
      </c>
      <c r="E2020" s="6" t="inlineStr">
        <is>
          <t>R1030025</t>
        </is>
      </c>
      <c r="F2020" s="2" t="n">
        <v>44230</v>
      </c>
      <c r="G2020" s="1" t="n"/>
    </row>
    <row r="2021">
      <c r="A2021" s="6" t="n">
        <v>48099</v>
      </c>
      <c r="B2021" s="6" t="inlineStr">
        <is>
          <t>HENNESSY V S COGNAC</t>
        </is>
      </c>
      <c r="C2021" s="7">
        <f>VLOOKUP(A2021,SizeData!A$2:B$3839,2,FALSE)</f>
        <v/>
      </c>
      <c r="D2021" s="6" t="n">
        <v>10</v>
      </c>
      <c r="E2021" s="6" t="inlineStr">
        <is>
          <t>R1074077</t>
        </is>
      </c>
      <c r="F2021" s="2" t="n">
        <v>44288</v>
      </c>
      <c r="G2021" s="1" t="n"/>
    </row>
    <row r="2022">
      <c r="A2022" s="6" t="n">
        <v>48099</v>
      </c>
      <c r="B2022" s="6" t="inlineStr">
        <is>
          <t>HENNESSY V S COGNAC</t>
        </is>
      </c>
      <c r="C2022" s="7">
        <f>VLOOKUP(A2022,SizeData!A$2:B$3839,2,FALSE)</f>
        <v/>
      </c>
      <c r="D2022" s="6" t="n">
        <v>10</v>
      </c>
      <c r="E2022" s="6" t="inlineStr">
        <is>
          <t>R1082866</t>
        </is>
      </c>
      <c r="F2022" s="2" t="n">
        <v>44293</v>
      </c>
      <c r="G2022" s="1" t="n"/>
    </row>
    <row r="2023">
      <c r="A2023" s="6" t="n">
        <v>48099</v>
      </c>
      <c r="B2023" s="6" t="inlineStr">
        <is>
          <t>HENNESSY V S COGNAC</t>
        </is>
      </c>
      <c r="C2023" s="7">
        <f>VLOOKUP(A2023,SizeData!A$2:B$3839,2,FALSE)</f>
        <v/>
      </c>
      <c r="D2023" s="6" t="n">
        <v>10</v>
      </c>
      <c r="E2023" s="6" t="inlineStr">
        <is>
          <t>R1099951</t>
        </is>
      </c>
      <c r="F2023" s="2" t="n">
        <v>44315</v>
      </c>
      <c r="G2023" s="1" t="n"/>
    </row>
    <row r="2024">
      <c r="A2024" s="6" t="n">
        <v>48099</v>
      </c>
      <c r="B2024" s="6" t="inlineStr">
        <is>
          <t>HENNESSY V S COGNAC</t>
        </is>
      </c>
      <c r="C2024" s="7">
        <f>VLOOKUP(A2024,SizeData!A$2:B$3839,2,FALSE)</f>
        <v/>
      </c>
      <c r="D2024" s="6" t="n">
        <v>10</v>
      </c>
      <c r="E2024" s="6" t="inlineStr">
        <is>
          <t>R1134250</t>
        </is>
      </c>
      <c r="F2024" s="2" t="n">
        <v>44349</v>
      </c>
      <c r="G2024" s="1" t="n"/>
    </row>
    <row r="2025">
      <c r="A2025" s="6" t="n">
        <v>48099</v>
      </c>
      <c r="B2025" s="6" t="inlineStr">
        <is>
          <t>HENNESSY V S COGNAC</t>
        </is>
      </c>
      <c r="C2025" s="7">
        <f>VLOOKUP(A2025,SizeData!A$2:B$3839,2,FALSE)</f>
        <v/>
      </c>
      <c r="D2025" s="6" t="n">
        <v>10</v>
      </c>
      <c r="E2025" s="6" t="inlineStr">
        <is>
          <t xml:space="preserve"> R1170981</t>
        </is>
      </c>
      <c r="F2025" s="2" t="n">
        <v>44391</v>
      </c>
      <c r="G2025" s="1" t="n"/>
    </row>
    <row r="2026">
      <c r="A2026" s="6" t="n">
        <v>48099</v>
      </c>
      <c r="B2026" s="6" t="inlineStr">
        <is>
          <t>HENNESSY V S COGNAC</t>
        </is>
      </c>
      <c r="C2026" s="7">
        <f>VLOOKUP(A2026,SizeData!A$2:B$3839,2,FALSE)</f>
        <v/>
      </c>
      <c r="D2026" s="6" t="n">
        <v>10</v>
      </c>
      <c r="E2026" s="6" t="inlineStr">
        <is>
          <t>R1186452</t>
        </is>
      </c>
      <c r="F2026" s="2" t="n">
        <v>44396</v>
      </c>
      <c r="G2026" s="1" t="n"/>
    </row>
    <row r="2027">
      <c r="A2027" s="6" t="n">
        <v>48099</v>
      </c>
      <c r="B2027" s="6" t="inlineStr">
        <is>
          <t>HENNESSY V S COGNAC</t>
        </is>
      </c>
      <c r="C2027" s="7">
        <f>VLOOKUP(A2027,SizeData!A$2:B$3839,2,FALSE)</f>
        <v/>
      </c>
      <c r="D2027" s="6" t="n">
        <v>10</v>
      </c>
      <c r="E2027" s="6" t="inlineStr">
        <is>
          <t>R1237025</t>
        </is>
      </c>
      <c r="F2027" s="2" t="n">
        <v>44440</v>
      </c>
      <c r="G2027" s="1" t="n"/>
    </row>
    <row r="2028">
      <c r="A2028" s="6" t="n">
        <v>48099</v>
      </c>
      <c r="B2028" s="6" t="inlineStr">
        <is>
          <t>HENNESSY V S COGNAC</t>
        </is>
      </c>
      <c r="C2028" s="7">
        <f>VLOOKUP(A2028,SizeData!A$2:B$3839,2,FALSE)</f>
        <v/>
      </c>
      <c r="D2028" s="6" t="n">
        <v>10</v>
      </c>
      <c r="E2028" s="6" t="inlineStr">
        <is>
          <t>R1284439</t>
        </is>
      </c>
      <c r="F2028" s="2" t="n">
        <v>44490</v>
      </c>
      <c r="G2028" s="1" t="n"/>
    </row>
    <row r="2029">
      <c r="A2029" s="6" t="n">
        <v>48099</v>
      </c>
      <c r="B2029" s="6" t="inlineStr">
        <is>
          <t>HENNESSY V S COGNAC</t>
        </is>
      </c>
      <c r="C2029" s="7">
        <f>VLOOKUP(A2029,SizeData!A$2:B$3839,2,FALSE)</f>
        <v/>
      </c>
      <c r="D2029" s="6" t="n">
        <v>10</v>
      </c>
      <c r="E2029" s="6" t="inlineStr">
        <is>
          <t>R1387733</t>
        </is>
      </c>
      <c r="F2029" s="2" t="n">
        <v>44557</v>
      </c>
      <c r="G2029" s="1" t="n"/>
    </row>
    <row r="2030">
      <c r="A2030" s="6" t="n">
        <v>48101</v>
      </c>
      <c r="B2030" s="6" t="inlineStr">
        <is>
          <t>HENNESSY V S COGNAC</t>
        </is>
      </c>
      <c r="C2030" s="7">
        <f>VLOOKUP(A2030,SizeData!A$2:B$3839,2,FALSE)</f>
        <v/>
      </c>
      <c r="D2030" s="6" t="n">
        <v>1</v>
      </c>
      <c r="E2030" s="6" t="inlineStr">
        <is>
          <t>R999814</t>
        </is>
      </c>
      <c r="F2030" s="2" t="n">
        <v>44210</v>
      </c>
      <c r="G2030" s="1" t="n"/>
    </row>
    <row r="2031">
      <c r="A2031" s="6" t="n">
        <v>48101</v>
      </c>
      <c r="B2031" s="6" t="inlineStr">
        <is>
          <t>HENNESSY V S COGNAC</t>
        </is>
      </c>
      <c r="C2031" s="7">
        <f>VLOOKUP(A2031,SizeData!A$2:B$3839,2,FALSE)</f>
        <v/>
      </c>
      <c r="D2031" s="6" t="n">
        <v>4</v>
      </c>
      <c r="E2031" s="6" t="inlineStr">
        <is>
          <t>R1082866</t>
        </is>
      </c>
      <c r="F2031" s="2" t="n">
        <v>44293</v>
      </c>
      <c r="G2031" s="1" t="n"/>
    </row>
    <row r="2032">
      <c r="A2032" s="6" t="n">
        <v>48101</v>
      </c>
      <c r="B2032" s="6" t="inlineStr">
        <is>
          <t>HENNESSY V S COGNAC</t>
        </is>
      </c>
      <c r="C2032" s="7">
        <f>VLOOKUP(A2032,SizeData!A$2:B$3839,2,FALSE)</f>
        <v/>
      </c>
      <c r="D2032" s="6" t="n">
        <v>3</v>
      </c>
      <c r="E2032" s="6" t="inlineStr">
        <is>
          <t xml:space="preserve"> R1114285</t>
        </is>
      </c>
      <c r="F2032" s="2" t="n">
        <v>44340</v>
      </c>
      <c r="G2032" s="1" t="n"/>
    </row>
    <row r="2033">
      <c r="A2033" s="6" t="n">
        <v>48102</v>
      </c>
      <c r="B2033" s="6" t="inlineStr">
        <is>
          <t>HENNESSY V S COGNAC</t>
        </is>
      </c>
      <c r="C2033" s="7">
        <f>VLOOKUP(A2033,SizeData!A$2:B$3839,2,FALSE)</f>
        <v/>
      </c>
      <c r="D2033" s="6" t="n">
        <v>2</v>
      </c>
      <c r="E2033" s="6" t="inlineStr">
        <is>
          <t>R1092621</t>
        </is>
      </c>
      <c r="F2033" s="2" t="n">
        <v>44295</v>
      </c>
      <c r="G2033" s="1" t="n"/>
    </row>
    <row r="2034">
      <c r="A2034" s="6" t="n">
        <v>48102</v>
      </c>
      <c r="B2034" s="6" t="inlineStr">
        <is>
          <t>HENNESSY V S COGNAC</t>
        </is>
      </c>
      <c r="C2034" s="7">
        <f>VLOOKUP(A2034,SizeData!A$2:B$3839,2,FALSE)</f>
        <v/>
      </c>
      <c r="D2034" s="6" t="n">
        <v>4</v>
      </c>
      <c r="E2034" s="6" t="inlineStr">
        <is>
          <t xml:space="preserve"> R1114285</t>
        </is>
      </c>
      <c r="F2034" s="2" t="n">
        <v>44340</v>
      </c>
      <c r="G2034" s="1" t="n"/>
    </row>
    <row r="2035">
      <c r="A2035" s="6" t="n">
        <v>48102</v>
      </c>
      <c r="B2035" s="6" t="inlineStr">
        <is>
          <t>HENNESSY V S COGNAC</t>
        </is>
      </c>
      <c r="C2035" s="7">
        <f>VLOOKUP(A2035,SizeData!A$2:B$3839,2,FALSE)</f>
        <v/>
      </c>
      <c r="D2035" s="6" t="n">
        <v>3</v>
      </c>
      <c r="E2035" s="6" t="inlineStr">
        <is>
          <t>R1225657</t>
        </is>
      </c>
      <c r="F2035" s="2" t="n">
        <v>44426</v>
      </c>
      <c r="G2035" s="1" t="n"/>
    </row>
    <row r="2036">
      <c r="A2036" s="6" t="n">
        <v>48102</v>
      </c>
      <c r="B2036" s="6" t="inlineStr">
        <is>
          <t>HENNESSY V S COGNAC</t>
        </is>
      </c>
      <c r="C2036" s="7">
        <f>VLOOKUP(A2036,SizeData!A$2:B$3839,2,FALSE)</f>
        <v/>
      </c>
      <c r="D2036" s="6" t="n">
        <v>0</v>
      </c>
      <c r="E2036" s="6" t="inlineStr">
        <is>
          <t>R1284439</t>
        </is>
      </c>
      <c r="F2036" s="2" t="n">
        <v>44490</v>
      </c>
      <c r="G2036" s="1" t="n"/>
    </row>
    <row r="2037">
      <c r="A2037" s="6" t="n">
        <v>48105</v>
      </c>
      <c r="B2037" s="6" t="inlineStr">
        <is>
          <t>HENNESSY V S COGNAC</t>
        </is>
      </c>
      <c r="C2037" s="7">
        <f>VLOOKUP(A2037,SizeData!A$2:B$3839,2,FALSE)</f>
        <v/>
      </c>
      <c r="D2037" s="6" t="n">
        <v>10</v>
      </c>
      <c r="E2037" s="6" t="inlineStr">
        <is>
          <t>R999814</t>
        </is>
      </c>
      <c r="F2037" s="2" t="n">
        <v>44210</v>
      </c>
      <c r="G2037" s="1" t="n"/>
    </row>
    <row r="2038">
      <c r="A2038" s="6" t="n">
        <v>48105</v>
      </c>
      <c r="B2038" s="6" t="inlineStr">
        <is>
          <t>HENNESSY V S COGNAC</t>
        </is>
      </c>
      <c r="C2038" s="7">
        <f>VLOOKUP(A2038,SizeData!A$2:B$3839,2,FALSE)</f>
        <v/>
      </c>
      <c r="D2038" s="6" t="n">
        <v>10</v>
      </c>
      <c r="E2038" s="6" t="inlineStr">
        <is>
          <t>R1003492</t>
        </is>
      </c>
      <c r="F2038" s="2" t="n">
        <v>44228</v>
      </c>
      <c r="G2038" s="1" t="n"/>
    </row>
    <row r="2039">
      <c r="A2039" s="6" t="n">
        <v>48105</v>
      </c>
      <c r="B2039" s="6" t="inlineStr">
        <is>
          <t>HENNESSY V S COGNAC</t>
        </is>
      </c>
      <c r="C2039" s="7">
        <f>VLOOKUP(A2039,SizeData!A$2:B$3839,2,FALSE)</f>
        <v/>
      </c>
      <c r="D2039" s="6" t="n">
        <v>10</v>
      </c>
      <c r="E2039" s="6" t="inlineStr">
        <is>
          <t>R1039043</t>
        </is>
      </c>
      <c r="F2039" s="2" t="n">
        <v>44256</v>
      </c>
      <c r="G2039" s="1" t="n"/>
    </row>
    <row r="2040">
      <c r="A2040" s="6" t="n">
        <v>48105</v>
      </c>
      <c r="B2040" s="6" t="inlineStr">
        <is>
          <t>HENNESSY V S COGNAC</t>
        </is>
      </c>
      <c r="C2040" s="7">
        <f>VLOOKUP(A2040,SizeData!A$2:B$3839,2,FALSE)</f>
        <v/>
      </c>
      <c r="D2040" s="6" t="n">
        <v>10</v>
      </c>
      <c r="E2040" s="6" t="inlineStr">
        <is>
          <t>R1049504</t>
        </is>
      </c>
      <c r="F2040" s="2" t="n">
        <v>44260</v>
      </c>
      <c r="G2040" s="1" t="n"/>
    </row>
    <row r="2041">
      <c r="A2041" s="6" t="n">
        <v>48105</v>
      </c>
      <c r="B2041" s="6" t="inlineStr">
        <is>
          <t>HENNESSY V S COGNAC</t>
        </is>
      </c>
      <c r="C2041" s="7">
        <f>VLOOKUP(A2041,SizeData!A$2:B$3839,2,FALSE)</f>
        <v/>
      </c>
      <c r="D2041" s="6" t="n">
        <v>10</v>
      </c>
      <c r="E2041" s="6" t="inlineStr">
        <is>
          <t>R1056544</t>
        </is>
      </c>
      <c r="F2041" s="2" t="n">
        <v>44267</v>
      </c>
      <c r="G2041" s="1" t="n"/>
    </row>
    <row r="2042">
      <c r="A2042" s="6" t="n">
        <v>48105</v>
      </c>
      <c r="B2042" s="6" t="inlineStr">
        <is>
          <t>HENNESSY V S COGNAC</t>
        </is>
      </c>
      <c r="C2042" s="7">
        <f>VLOOKUP(A2042,SizeData!A$2:B$3839,2,FALSE)</f>
        <v/>
      </c>
      <c r="D2042" s="6" t="n">
        <v>10</v>
      </c>
      <c r="E2042" s="6" t="inlineStr">
        <is>
          <t>R1057478</t>
        </is>
      </c>
      <c r="F2042" s="2" t="n">
        <v>44278</v>
      </c>
      <c r="G2042" s="1" t="n"/>
    </row>
    <row r="2043">
      <c r="A2043" s="6" t="n">
        <v>48105</v>
      </c>
      <c r="B2043" s="6" t="inlineStr">
        <is>
          <t>HENNESSY V S COGNAC</t>
        </is>
      </c>
      <c r="C2043" s="7">
        <f>VLOOKUP(A2043,SizeData!A$2:B$3839,2,FALSE)</f>
        <v/>
      </c>
      <c r="D2043" s="6" t="n">
        <v>10</v>
      </c>
      <c r="E2043" s="6" t="inlineStr">
        <is>
          <t>R1077894</t>
        </is>
      </c>
      <c r="F2043" s="2" t="n">
        <v>44305</v>
      </c>
      <c r="G2043" s="1" t="n"/>
    </row>
    <row r="2044">
      <c r="A2044" s="6" t="n">
        <v>48105</v>
      </c>
      <c r="B2044" s="6" t="inlineStr">
        <is>
          <t>HENNESSY V S COGNAC</t>
        </is>
      </c>
      <c r="C2044" s="7">
        <f>VLOOKUP(A2044,SizeData!A$2:B$3839,2,FALSE)</f>
        <v/>
      </c>
      <c r="D2044" s="6" t="n">
        <v>10</v>
      </c>
      <c r="E2044" s="6" t="inlineStr">
        <is>
          <t>R1120416</t>
        </is>
      </c>
      <c r="F2044" s="2" t="n">
        <v>44313</v>
      </c>
      <c r="G2044" s="1" t="n"/>
    </row>
    <row r="2045">
      <c r="A2045" s="6" t="n">
        <v>48105</v>
      </c>
      <c r="B2045" s="6" t="inlineStr">
        <is>
          <t>HENNESSY V S COGNAC</t>
        </is>
      </c>
      <c r="C2045" s="7">
        <f>VLOOKUP(A2045,SizeData!A$2:B$3839,2,FALSE)</f>
        <v/>
      </c>
      <c r="D2045" s="6" t="n">
        <v>10</v>
      </c>
      <c r="E2045" s="6" t="inlineStr">
        <is>
          <t>R1103899</t>
        </is>
      </c>
      <c r="F2045" s="2" t="n">
        <v>44321</v>
      </c>
      <c r="G2045" s="1" t="n"/>
    </row>
    <row r="2046">
      <c r="A2046" s="6" t="n">
        <v>48105</v>
      </c>
      <c r="B2046" s="6" t="inlineStr">
        <is>
          <t>HENNESSY V S COGNAC</t>
        </is>
      </c>
      <c r="C2046" s="7">
        <f>VLOOKUP(A2046,SizeData!A$2:B$3839,2,FALSE)</f>
        <v/>
      </c>
      <c r="D2046" s="6" t="n">
        <v>10</v>
      </c>
      <c r="E2046" s="6" t="inlineStr">
        <is>
          <t>R1140018</t>
        </is>
      </c>
      <c r="F2046" s="2" t="n">
        <v>44333</v>
      </c>
      <c r="G2046" s="1" t="n"/>
    </row>
    <row r="2047">
      <c r="A2047" s="6" t="n">
        <v>48105</v>
      </c>
      <c r="B2047" s="6" t="inlineStr">
        <is>
          <t>HENNESSY V S COGNAC</t>
        </is>
      </c>
      <c r="C2047" s="7">
        <f>VLOOKUP(A2047,SizeData!A$2:B$3839,2,FALSE)</f>
        <v/>
      </c>
      <c r="D2047" s="6" t="n">
        <v>10</v>
      </c>
      <c r="E2047" s="6" t="inlineStr">
        <is>
          <t xml:space="preserve"> R1129753</t>
        </is>
      </c>
      <c r="F2047" s="2" t="n">
        <v>44342</v>
      </c>
      <c r="G2047" s="1" t="n"/>
    </row>
    <row r="2048">
      <c r="A2048" s="6" t="n">
        <v>48105</v>
      </c>
      <c r="B2048" s="6" t="inlineStr">
        <is>
          <t>HENNESSY V S COGNAC</t>
        </is>
      </c>
      <c r="C2048" s="7">
        <f>VLOOKUP(A2048,SizeData!A$2:B$3839,2,FALSE)</f>
        <v/>
      </c>
      <c r="D2048" s="6" t="n">
        <v>10</v>
      </c>
      <c r="E2048" s="6" t="inlineStr">
        <is>
          <t>R1142207</t>
        </is>
      </c>
      <c r="F2048" s="2" t="n">
        <v>44350</v>
      </c>
      <c r="G2048" s="1" t="n"/>
    </row>
    <row r="2049">
      <c r="A2049" s="6" t="n">
        <v>48105</v>
      </c>
      <c r="B2049" s="6" t="inlineStr">
        <is>
          <t>HENNESSY V S COGNAC</t>
        </is>
      </c>
      <c r="C2049" s="7">
        <f>VLOOKUP(A2049,SizeData!A$2:B$3839,2,FALSE)</f>
        <v/>
      </c>
      <c r="D2049" s="6" t="n">
        <v>10</v>
      </c>
      <c r="E2049" s="6" t="inlineStr">
        <is>
          <t>R1148347</t>
        </is>
      </c>
      <c r="F2049" s="2" t="n">
        <v>44363</v>
      </c>
      <c r="G2049" s="1" t="n"/>
    </row>
    <row r="2050">
      <c r="A2050" s="6" t="n">
        <v>48105</v>
      </c>
      <c r="B2050" s="6" t="inlineStr">
        <is>
          <t>HENNESSY V S COGNAC</t>
        </is>
      </c>
      <c r="C2050" s="7">
        <f>VLOOKUP(A2050,SizeData!A$2:B$3839,2,FALSE)</f>
        <v/>
      </c>
      <c r="D2050" s="6" t="n">
        <v>10</v>
      </c>
      <c r="E2050" s="6" t="inlineStr">
        <is>
          <t>R1160682</t>
        </is>
      </c>
      <c r="F2050" s="2" t="n">
        <v>44371</v>
      </c>
      <c r="G2050" s="1" t="n"/>
    </row>
    <row r="2051">
      <c r="A2051" s="6" t="n">
        <v>48105</v>
      </c>
      <c r="B2051" s="6" t="inlineStr">
        <is>
          <t>HENNESSY V S COGNAC</t>
        </is>
      </c>
      <c r="C2051" s="7">
        <f>VLOOKUP(A2051,SizeData!A$2:B$3839,2,FALSE)</f>
        <v/>
      </c>
      <c r="D2051" s="6" t="n">
        <v>3</v>
      </c>
      <c r="E2051" s="6" t="inlineStr">
        <is>
          <t>R1166766</t>
        </is>
      </c>
      <c r="F2051" s="2" t="n">
        <v>44377</v>
      </c>
      <c r="G2051" s="1" t="n"/>
    </row>
    <row r="2052">
      <c r="A2052" s="6" t="n">
        <v>48105</v>
      </c>
      <c r="B2052" s="6" t="inlineStr">
        <is>
          <t>HENNESSY V S COGNAC</t>
        </is>
      </c>
      <c r="C2052" s="7">
        <f>VLOOKUP(A2052,SizeData!A$2:B$3839,2,FALSE)</f>
        <v/>
      </c>
      <c r="D2052" s="6" t="n">
        <v>2</v>
      </c>
      <c r="E2052" s="6" t="inlineStr">
        <is>
          <t xml:space="preserve"> R1170981</t>
        </is>
      </c>
      <c r="F2052" s="2" t="n">
        <v>44391</v>
      </c>
      <c r="G2052" s="1" t="n"/>
    </row>
    <row r="2053">
      <c r="A2053" s="6" t="n">
        <v>48105</v>
      </c>
      <c r="B2053" s="6" t="inlineStr">
        <is>
          <t>HENNESSY V S COGNAC</t>
        </is>
      </c>
      <c r="C2053" s="7">
        <f>VLOOKUP(A2053,SizeData!A$2:B$3839,2,FALSE)</f>
        <v/>
      </c>
      <c r="D2053" s="6" t="n">
        <v>10</v>
      </c>
      <c r="E2053" s="6" t="inlineStr">
        <is>
          <t>R1174973</t>
        </is>
      </c>
      <c r="F2053" s="2" t="n">
        <v>44399</v>
      </c>
      <c r="G2053" s="1" t="n"/>
    </row>
    <row r="2054">
      <c r="A2054" s="6" t="n">
        <v>48105</v>
      </c>
      <c r="B2054" s="6" t="inlineStr">
        <is>
          <t>HENNESSY V S COGNAC</t>
        </is>
      </c>
      <c r="C2054" s="7">
        <f>VLOOKUP(A2054,SizeData!A$2:B$3839,2,FALSE)</f>
        <v/>
      </c>
      <c r="D2054" s="6" t="n">
        <v>10</v>
      </c>
      <c r="E2054" s="6" t="inlineStr">
        <is>
          <t xml:space="preserve"> R1183852</t>
        </is>
      </c>
      <c r="F2054" s="2" t="n">
        <v>44405</v>
      </c>
      <c r="G2054" s="1" t="n"/>
    </row>
    <row r="2055">
      <c r="A2055" s="6" t="n">
        <v>48105</v>
      </c>
      <c r="B2055" s="6" t="inlineStr">
        <is>
          <t>HENNESSY V S COGNAC</t>
        </is>
      </c>
      <c r="C2055" s="7">
        <f>VLOOKUP(A2055,SizeData!A$2:B$3839,2,FALSE)</f>
        <v/>
      </c>
      <c r="D2055" s="6" t="n">
        <v>10</v>
      </c>
      <c r="E2055" s="6" t="inlineStr">
        <is>
          <t>R1283329</t>
        </is>
      </c>
      <c r="F2055" s="2" t="n">
        <v>44487</v>
      </c>
      <c r="G2055" s="1" t="n"/>
    </row>
    <row r="2056">
      <c r="A2056" s="6" t="n">
        <v>48105</v>
      </c>
      <c r="B2056" s="6" t="inlineStr">
        <is>
          <t>HENNESSY V S COGNAC</t>
        </is>
      </c>
      <c r="C2056" s="7">
        <f>VLOOKUP(A2056,SizeData!A$2:B$3839,2,FALSE)</f>
        <v/>
      </c>
      <c r="D2056" s="6" t="n">
        <v>10</v>
      </c>
      <c r="E2056" s="6" t="inlineStr">
        <is>
          <t>R1300362</t>
        </is>
      </c>
      <c r="F2056" s="2" t="n">
        <v>44494</v>
      </c>
      <c r="G2056" s="1" t="n"/>
    </row>
    <row r="2057">
      <c r="A2057" s="6" t="n">
        <v>48105</v>
      </c>
      <c r="B2057" s="6" t="inlineStr">
        <is>
          <t>HENNESSY V S COGNAC</t>
        </is>
      </c>
      <c r="C2057" s="7">
        <f>VLOOKUP(A2057,SizeData!A$2:B$3839,2,FALSE)</f>
        <v/>
      </c>
      <c r="D2057" s="6" t="n">
        <v>10</v>
      </c>
      <c r="E2057" s="6" t="inlineStr">
        <is>
          <t>R1340407</t>
        </is>
      </c>
      <c r="F2057" s="2" t="n">
        <v>44517</v>
      </c>
      <c r="G2057" s="1" t="n"/>
    </row>
    <row r="2058">
      <c r="A2058" s="6" t="n">
        <v>48105</v>
      </c>
      <c r="B2058" s="6" t="inlineStr">
        <is>
          <t>HENNESSY V S COGNAC</t>
        </is>
      </c>
      <c r="C2058" s="7">
        <f>VLOOKUP(A2058,SizeData!A$2:B$3839,2,FALSE)</f>
        <v/>
      </c>
      <c r="D2058" s="6" t="n">
        <v>10</v>
      </c>
      <c r="E2058" s="6" t="inlineStr">
        <is>
          <t>R1331461</t>
        </is>
      </c>
      <c r="F2058" s="2" t="n">
        <v>44522</v>
      </c>
      <c r="G2058" s="1" t="n"/>
    </row>
    <row r="2059">
      <c r="A2059" s="6" t="n">
        <v>48105</v>
      </c>
      <c r="B2059" s="6" t="inlineStr">
        <is>
          <t>HENNESSY V S COGNAC</t>
        </is>
      </c>
      <c r="C2059" s="7">
        <f>VLOOKUP(A2059,SizeData!A$2:B$3839,2,FALSE)</f>
        <v/>
      </c>
      <c r="D2059" s="6" t="n">
        <v>10</v>
      </c>
      <c r="E2059" s="6" t="inlineStr">
        <is>
          <t>R1333560</t>
        </is>
      </c>
      <c r="F2059" s="2" t="n">
        <v>44529</v>
      </c>
      <c r="G2059" s="1" t="n"/>
    </row>
    <row r="2060">
      <c r="A2060" s="6" t="n">
        <v>48105</v>
      </c>
      <c r="B2060" s="6" t="inlineStr">
        <is>
          <t>HENNESSY V S COGNAC</t>
        </is>
      </c>
      <c r="C2060" s="7">
        <f>VLOOKUP(A2060,SizeData!A$2:B$3839,2,FALSE)</f>
        <v/>
      </c>
      <c r="D2060" s="6" t="n">
        <v>10</v>
      </c>
      <c r="E2060" s="6" t="inlineStr">
        <is>
          <t>R1353648</t>
        </is>
      </c>
      <c r="F2060" s="2" t="n">
        <v>44539</v>
      </c>
      <c r="G2060" s="1" t="n"/>
    </row>
    <row r="2061">
      <c r="A2061" s="6" t="n">
        <v>48106</v>
      </c>
      <c r="B2061" s="6" t="inlineStr">
        <is>
          <t>HENNESSY V S COGNAC</t>
        </is>
      </c>
      <c r="C2061" s="7">
        <f>VLOOKUP(A2061,SizeData!A$2:B$3839,2,FALSE)</f>
        <v/>
      </c>
      <c r="D2061" s="6" t="n">
        <v>10</v>
      </c>
      <c r="E2061" s="6" t="inlineStr">
        <is>
          <t>R1008803</t>
        </is>
      </c>
      <c r="F2061" s="2" t="n">
        <v>44217</v>
      </c>
      <c r="G2061" s="1" t="n"/>
    </row>
    <row r="2062">
      <c r="A2062" s="6" t="n">
        <v>48106</v>
      </c>
      <c r="B2062" s="6" t="inlineStr">
        <is>
          <t>HENNESSY V S COGNAC</t>
        </is>
      </c>
      <c r="C2062" s="7">
        <f>VLOOKUP(A2062,SizeData!A$2:B$3839,2,FALSE)</f>
        <v/>
      </c>
      <c r="D2062" s="6" t="n">
        <v>10</v>
      </c>
      <c r="E2062" s="6" t="inlineStr">
        <is>
          <t>R1027611</t>
        </is>
      </c>
      <c r="F2062" s="2" t="n">
        <v>44235</v>
      </c>
      <c r="G2062" s="1" t="n"/>
    </row>
    <row r="2063">
      <c r="A2063" s="6" t="n">
        <v>48106</v>
      </c>
      <c r="B2063" s="6" t="inlineStr">
        <is>
          <t>HENNESSY V S COGNAC</t>
        </is>
      </c>
      <c r="C2063" s="7">
        <f>VLOOKUP(A2063,SizeData!A$2:B$3839,2,FALSE)</f>
        <v/>
      </c>
      <c r="D2063" s="6" t="n">
        <v>10</v>
      </c>
      <c r="E2063" s="6" t="inlineStr">
        <is>
          <t>R1061768</t>
        </is>
      </c>
      <c r="F2063" s="2" t="n">
        <v>44273</v>
      </c>
      <c r="G2063" s="1" t="n"/>
    </row>
    <row r="2064">
      <c r="A2064" s="6" t="n">
        <v>48106</v>
      </c>
      <c r="B2064" s="6" t="inlineStr">
        <is>
          <t>HENNESSY V S COGNAC</t>
        </is>
      </c>
      <c r="C2064" s="7">
        <f>VLOOKUP(A2064,SizeData!A$2:B$3839,2,FALSE)</f>
        <v/>
      </c>
      <c r="D2064" s="6" t="n">
        <v>10</v>
      </c>
      <c r="E2064" s="6" t="inlineStr">
        <is>
          <t>R1068772</t>
        </is>
      </c>
      <c r="F2064" s="2" t="n">
        <v>44284</v>
      </c>
      <c r="G2064" s="1" t="n"/>
    </row>
    <row r="2065">
      <c r="A2065" s="6" t="n">
        <v>48106</v>
      </c>
      <c r="B2065" s="6" t="inlineStr">
        <is>
          <t>HENNESSY V S COGNAC</t>
        </is>
      </c>
      <c r="C2065" s="7">
        <f>VLOOKUP(A2065,SizeData!A$2:B$3839,2,FALSE)</f>
        <v/>
      </c>
      <c r="D2065" s="6" t="n">
        <v>10</v>
      </c>
      <c r="E2065" s="6" t="inlineStr">
        <is>
          <t>R1072184</t>
        </is>
      </c>
      <c r="F2065" s="2" t="n">
        <v>44287</v>
      </c>
      <c r="G2065" s="1" t="n"/>
    </row>
    <row r="2066">
      <c r="A2066" s="6" t="n">
        <v>48106</v>
      </c>
      <c r="B2066" s="6" t="inlineStr">
        <is>
          <t>HENNESSY V S COGNAC</t>
        </is>
      </c>
      <c r="C2066" s="7">
        <f>VLOOKUP(A2066,SizeData!A$2:B$3839,2,FALSE)</f>
        <v/>
      </c>
      <c r="D2066" s="6" t="n">
        <v>10</v>
      </c>
      <c r="E2066" s="6" t="inlineStr">
        <is>
          <t>R1074559</t>
        </is>
      </c>
      <c r="F2066" s="2" t="n">
        <v>44289</v>
      </c>
      <c r="G2066" s="1" t="n"/>
    </row>
    <row r="2067">
      <c r="A2067" s="6" t="n">
        <v>48106</v>
      </c>
      <c r="B2067" s="6" t="inlineStr">
        <is>
          <t>HENNESSY V S COGNAC</t>
        </is>
      </c>
      <c r="C2067" s="7">
        <f>VLOOKUP(A2067,SizeData!A$2:B$3839,2,FALSE)</f>
        <v/>
      </c>
      <c r="D2067" s="6" t="n">
        <v>10</v>
      </c>
      <c r="E2067" s="6" t="inlineStr">
        <is>
          <t>R1082744</t>
        </is>
      </c>
      <c r="F2067" s="2" t="n">
        <v>44291</v>
      </c>
      <c r="G2067" s="1" t="n"/>
    </row>
    <row r="2068">
      <c r="A2068" s="6" t="n">
        <v>48106</v>
      </c>
      <c r="B2068" s="6" t="inlineStr">
        <is>
          <t>HENNESSY V S COGNAC</t>
        </is>
      </c>
      <c r="C2068" s="7">
        <f>VLOOKUP(A2068,SizeData!A$2:B$3839,2,FALSE)</f>
        <v/>
      </c>
      <c r="D2068" s="6" t="n">
        <v>10</v>
      </c>
      <c r="E2068" s="6" t="inlineStr">
        <is>
          <t xml:space="preserve"> R1091983</t>
        </is>
      </c>
      <c r="F2068" s="2" t="n">
        <v>44300</v>
      </c>
      <c r="G2068" s="1" t="n"/>
    </row>
    <row r="2069">
      <c r="A2069" s="6" t="n">
        <v>48106</v>
      </c>
      <c r="B2069" s="6" t="inlineStr">
        <is>
          <t>HENNESSY V S COGNAC</t>
        </is>
      </c>
      <c r="C2069" s="7">
        <f>VLOOKUP(A2069,SizeData!A$2:B$3839,2,FALSE)</f>
        <v/>
      </c>
      <c r="D2069" s="6" t="n">
        <v>10</v>
      </c>
      <c r="E2069" s="6" t="inlineStr">
        <is>
          <t>R1105829</t>
        </is>
      </c>
      <c r="F2069" s="2" t="n">
        <v>44306</v>
      </c>
      <c r="G2069" s="1" t="n"/>
    </row>
    <row r="2070">
      <c r="A2070" s="6" t="n">
        <v>48106</v>
      </c>
      <c r="B2070" s="6" t="inlineStr">
        <is>
          <t>HENNESSY V S COGNAC</t>
        </is>
      </c>
      <c r="C2070" s="7">
        <f>VLOOKUP(A2070,SizeData!A$2:B$3839,2,FALSE)</f>
        <v/>
      </c>
      <c r="D2070" s="6" t="n">
        <v>10</v>
      </c>
      <c r="E2070" s="6" t="inlineStr">
        <is>
          <t>R1204916</t>
        </is>
      </c>
      <c r="F2070" s="2" t="n">
        <v>44419</v>
      </c>
      <c r="G2070" s="1" t="n"/>
    </row>
    <row r="2071">
      <c r="A2071" s="6" t="n">
        <v>48106</v>
      </c>
      <c r="B2071" s="6" t="inlineStr">
        <is>
          <t>HENNESSY V S COGNAC</t>
        </is>
      </c>
      <c r="C2071" s="7">
        <f>VLOOKUP(A2071,SizeData!A$2:B$3839,2,FALSE)</f>
        <v/>
      </c>
      <c r="D2071" s="6" t="n">
        <v>10</v>
      </c>
      <c r="E2071" s="6" t="inlineStr">
        <is>
          <t>R1217287</t>
        </is>
      </c>
      <c r="F2071" s="2" t="n">
        <v>44432</v>
      </c>
      <c r="G2071" s="1" t="n"/>
    </row>
    <row r="2072">
      <c r="A2072" s="6" t="n">
        <v>48106</v>
      </c>
      <c r="B2072" s="6" t="inlineStr">
        <is>
          <t>HENNESSY V S COGNAC</t>
        </is>
      </c>
      <c r="C2072" s="7">
        <f>VLOOKUP(A2072,SizeData!A$2:B$3839,2,FALSE)</f>
        <v/>
      </c>
      <c r="D2072" s="6" t="n">
        <v>10</v>
      </c>
      <c r="E2072" s="6" t="inlineStr">
        <is>
          <t>R1240298</t>
        </is>
      </c>
      <c r="F2072" s="2" t="n">
        <v>44446</v>
      </c>
      <c r="G2072" s="1" t="n"/>
    </row>
    <row r="2073">
      <c r="A2073" s="6" t="n">
        <v>48106</v>
      </c>
      <c r="B2073" s="6" t="inlineStr">
        <is>
          <t>HENNESSY V S COGNAC</t>
        </is>
      </c>
      <c r="C2073" s="7">
        <f>VLOOKUP(A2073,SizeData!A$2:B$3839,2,FALSE)</f>
        <v/>
      </c>
      <c r="D2073" s="6" t="n">
        <v>10</v>
      </c>
      <c r="E2073" s="6" t="inlineStr">
        <is>
          <t>R1242785</t>
        </is>
      </c>
      <c r="F2073" s="2" t="n">
        <v>44453</v>
      </c>
      <c r="G2073" s="1" t="n"/>
    </row>
    <row r="2074">
      <c r="A2074" s="6" t="n">
        <v>48106</v>
      </c>
      <c r="B2074" s="6" t="inlineStr">
        <is>
          <t>HENNESSY V S COGNAC</t>
        </is>
      </c>
      <c r="C2074" s="7">
        <f>VLOOKUP(A2074,SizeData!A$2:B$3839,2,FALSE)</f>
        <v/>
      </c>
      <c r="D2074" s="6" t="n">
        <v>10</v>
      </c>
      <c r="E2074" s="6" t="inlineStr">
        <is>
          <t>R1276947</t>
        </is>
      </c>
      <c r="F2074" s="2" t="n">
        <v>44480</v>
      </c>
      <c r="G2074" s="1" t="n"/>
    </row>
    <row r="2075">
      <c r="A2075" s="6" t="n">
        <v>48106</v>
      </c>
      <c r="B2075" s="6" t="inlineStr">
        <is>
          <t>HENNESSY V S COGNAC</t>
        </is>
      </c>
      <c r="C2075" s="7">
        <f>VLOOKUP(A2075,SizeData!A$2:B$3839,2,FALSE)</f>
        <v/>
      </c>
      <c r="D2075" s="6" t="n">
        <v>10</v>
      </c>
      <c r="E2075" s="6" t="inlineStr">
        <is>
          <t>R1318366</t>
        </is>
      </c>
      <c r="F2075" s="2" t="n">
        <v>44510</v>
      </c>
      <c r="G2075" s="1" t="n"/>
    </row>
    <row r="2076">
      <c r="A2076" s="6" t="n">
        <v>48106</v>
      </c>
      <c r="B2076" s="6" t="inlineStr">
        <is>
          <t>HENNESSY V S COGNAC</t>
        </is>
      </c>
      <c r="C2076" s="7">
        <f>VLOOKUP(A2076,SizeData!A$2:B$3839,2,FALSE)</f>
        <v/>
      </c>
      <c r="D2076" s="6" t="n">
        <v>10</v>
      </c>
      <c r="E2076" s="6" t="inlineStr">
        <is>
          <t>R1323250</t>
        </is>
      </c>
      <c r="F2076" s="2" t="n">
        <v>44515</v>
      </c>
      <c r="G2076" s="1" t="n"/>
    </row>
    <row r="2077">
      <c r="A2077" s="6" t="n">
        <v>48106</v>
      </c>
      <c r="B2077" s="6" t="inlineStr">
        <is>
          <t>HENNESSY V S COGNAC</t>
        </is>
      </c>
      <c r="C2077" s="7">
        <f>VLOOKUP(A2077,SizeData!A$2:B$3839,2,FALSE)</f>
        <v/>
      </c>
      <c r="D2077" s="6" t="n">
        <v>10</v>
      </c>
      <c r="E2077" s="6" t="inlineStr">
        <is>
          <t>R1318995</t>
        </is>
      </c>
      <c r="F2077" s="2" t="n">
        <v>44518</v>
      </c>
      <c r="G2077" s="1" t="n"/>
    </row>
    <row r="2078">
      <c r="A2078" s="6" t="n">
        <v>48106</v>
      </c>
      <c r="B2078" s="6" t="inlineStr">
        <is>
          <t>HENNESSY V S COGNAC</t>
        </is>
      </c>
      <c r="C2078" s="7">
        <f>VLOOKUP(A2078,SizeData!A$2:B$3839,2,FALSE)</f>
        <v/>
      </c>
      <c r="D2078" s="6" t="n">
        <v>10</v>
      </c>
      <c r="E2078" s="6" t="inlineStr">
        <is>
          <t>R1358598</t>
        </is>
      </c>
      <c r="F2078" s="2" t="n">
        <v>44543</v>
      </c>
      <c r="G2078" s="1" t="n"/>
    </row>
    <row r="2079">
      <c r="A2079" s="6" t="n">
        <v>48107</v>
      </c>
      <c r="B2079" s="6" t="inlineStr">
        <is>
          <t>HENNESSY V S COGNAC</t>
        </is>
      </c>
      <c r="C2079" s="7">
        <f>VLOOKUP(A2079,SizeData!A$2:B$3839,2,FALSE)</f>
        <v/>
      </c>
      <c r="D2079" s="6" t="n">
        <v>10</v>
      </c>
      <c r="E2079" s="6" t="inlineStr">
        <is>
          <t>R1002470</t>
        </is>
      </c>
      <c r="F2079" s="2" t="n">
        <v>44221</v>
      </c>
      <c r="G2079" s="1" t="n"/>
    </row>
    <row r="2080">
      <c r="A2080" s="6" t="n">
        <v>48107</v>
      </c>
      <c r="B2080" s="6" t="inlineStr">
        <is>
          <t>HENNESSY V S COGNAC</t>
        </is>
      </c>
      <c r="C2080" s="7">
        <f>VLOOKUP(A2080,SizeData!A$2:B$3839,2,FALSE)</f>
        <v/>
      </c>
      <c r="D2080" s="6" t="n">
        <v>10</v>
      </c>
      <c r="E2080" s="6" t="inlineStr">
        <is>
          <t>R1039934</t>
        </is>
      </c>
      <c r="F2080" s="2" t="n">
        <v>44257</v>
      </c>
      <c r="G2080" s="1" t="n"/>
    </row>
    <row r="2081">
      <c r="A2081" s="6" t="n">
        <v>48107</v>
      </c>
      <c r="B2081" s="6" t="inlineStr">
        <is>
          <t>HENNESSY V S COGNAC</t>
        </is>
      </c>
      <c r="C2081" s="7">
        <f>VLOOKUP(A2081,SizeData!A$2:B$3839,2,FALSE)</f>
        <v/>
      </c>
      <c r="D2081" s="6" t="n">
        <v>10</v>
      </c>
      <c r="E2081" s="6" t="inlineStr">
        <is>
          <t>R1039991</t>
        </is>
      </c>
      <c r="F2081" s="2" t="n">
        <v>44260</v>
      </c>
      <c r="G2081" s="1" t="n"/>
    </row>
    <row r="2082">
      <c r="A2082" s="6" t="n">
        <v>48107</v>
      </c>
      <c r="B2082" s="6" t="inlineStr">
        <is>
          <t>HENNESSY V S COGNAC</t>
        </is>
      </c>
      <c r="C2082" s="7">
        <f>VLOOKUP(A2082,SizeData!A$2:B$3839,2,FALSE)</f>
        <v/>
      </c>
      <c r="D2082" s="6" t="n">
        <v>10</v>
      </c>
      <c r="E2082" s="6" t="inlineStr">
        <is>
          <t>R1114840</t>
        </is>
      </c>
      <c r="F2082" s="2" t="n">
        <v>44334</v>
      </c>
      <c r="G2082" s="1" t="n"/>
    </row>
    <row r="2083">
      <c r="A2083" s="6" t="n">
        <v>48107</v>
      </c>
      <c r="B2083" s="6" t="inlineStr">
        <is>
          <t>HENNESSY V S COGNAC</t>
        </is>
      </c>
      <c r="C2083" s="7">
        <f>VLOOKUP(A2083,SizeData!A$2:B$3839,2,FALSE)</f>
        <v/>
      </c>
      <c r="D2083" s="6" t="n">
        <v>10</v>
      </c>
      <c r="E2083" s="6" t="inlineStr">
        <is>
          <t>R1142207</t>
        </is>
      </c>
      <c r="F2083" s="2" t="n">
        <v>44350</v>
      </c>
      <c r="G2083" s="1" t="n"/>
    </row>
    <row r="2084">
      <c r="A2084" s="6" t="n">
        <v>48107</v>
      </c>
      <c r="B2084" s="6" t="inlineStr">
        <is>
          <t>HENNESSY V S COGNAC</t>
        </is>
      </c>
      <c r="C2084" s="7">
        <f>VLOOKUP(A2084,SizeData!A$2:B$3839,2,FALSE)</f>
        <v/>
      </c>
      <c r="D2084" s="6" t="n">
        <v>10</v>
      </c>
      <c r="E2084" s="6" t="inlineStr">
        <is>
          <t>R1166766</t>
        </is>
      </c>
      <c r="F2084" s="2" t="n">
        <v>44377</v>
      </c>
      <c r="G2084" s="1" t="n"/>
    </row>
    <row r="2085">
      <c r="A2085" s="6" t="n">
        <v>48107</v>
      </c>
      <c r="B2085" s="6" t="inlineStr">
        <is>
          <t>HENNESSY V S COGNAC</t>
        </is>
      </c>
      <c r="C2085" s="7">
        <f>VLOOKUP(A2085,SizeData!A$2:B$3839,2,FALSE)</f>
        <v/>
      </c>
      <c r="D2085" s="6" t="n">
        <v>10</v>
      </c>
      <c r="E2085" s="6" t="inlineStr">
        <is>
          <t>R1198318</t>
        </is>
      </c>
      <c r="F2085" s="2" t="n">
        <v>44410</v>
      </c>
      <c r="G2085" s="1" t="n"/>
    </row>
    <row r="2086">
      <c r="A2086" s="6" t="n">
        <v>48107</v>
      </c>
      <c r="B2086" s="6" t="inlineStr">
        <is>
          <t>HENNESSY V S COGNAC</t>
        </is>
      </c>
      <c r="C2086" s="7">
        <f>VLOOKUP(A2086,SizeData!A$2:B$3839,2,FALSE)</f>
        <v/>
      </c>
      <c r="D2086" s="6" t="n">
        <v>10</v>
      </c>
      <c r="E2086" s="6" t="inlineStr">
        <is>
          <t>R1225657</t>
        </is>
      </c>
      <c r="F2086" s="2" t="n">
        <v>44426</v>
      </c>
      <c r="G2086" s="1" t="n"/>
    </row>
    <row r="2087">
      <c r="A2087" s="6" t="n">
        <v>48107</v>
      </c>
      <c r="B2087" s="6" t="inlineStr">
        <is>
          <t>HENNESSY V S COGNAC</t>
        </is>
      </c>
      <c r="C2087" s="7">
        <f>VLOOKUP(A2087,SizeData!A$2:B$3839,2,FALSE)</f>
        <v/>
      </c>
      <c r="D2087" s="6" t="n">
        <v>10</v>
      </c>
      <c r="E2087" s="6" t="inlineStr">
        <is>
          <t>R1276947</t>
        </is>
      </c>
      <c r="F2087" s="2" t="n">
        <v>44480</v>
      </c>
      <c r="G2087" s="1" t="n"/>
    </row>
    <row r="2088">
      <c r="A2088" s="6" t="n">
        <v>48108</v>
      </c>
      <c r="B2088" s="6" t="inlineStr">
        <is>
          <t>HENNESSY V S COGNAC</t>
        </is>
      </c>
      <c r="C2088" s="7">
        <f>VLOOKUP(A2088,SizeData!A$2:B$3839,2,FALSE)</f>
        <v/>
      </c>
      <c r="D2088" s="6" t="n">
        <v>10</v>
      </c>
      <c r="E2088" s="6" t="inlineStr">
        <is>
          <t>R999772</t>
        </is>
      </c>
      <c r="F2088" s="2" t="n">
        <v>44218</v>
      </c>
      <c r="G2088" s="1" t="n"/>
    </row>
    <row r="2089">
      <c r="A2089" s="6" t="n">
        <v>48108</v>
      </c>
      <c r="B2089" s="6" t="inlineStr">
        <is>
          <t>HENNESSY V S COGNAC</t>
        </is>
      </c>
      <c r="C2089" s="7">
        <f>VLOOKUP(A2089,SizeData!A$2:B$3839,2,FALSE)</f>
        <v/>
      </c>
      <c r="D2089" s="6" t="n">
        <v>10</v>
      </c>
      <c r="E2089" s="6" t="inlineStr">
        <is>
          <t>R1064963</t>
        </is>
      </c>
      <c r="F2089" s="2" t="n">
        <v>44284</v>
      </c>
      <c r="G2089" s="1" t="n"/>
    </row>
    <row r="2090">
      <c r="A2090" s="6" t="n">
        <v>48108</v>
      </c>
      <c r="B2090" s="6" t="inlineStr">
        <is>
          <t>HENNESSY V S COGNAC</t>
        </is>
      </c>
      <c r="C2090" s="7">
        <f>VLOOKUP(A2090,SizeData!A$2:B$3839,2,FALSE)</f>
        <v/>
      </c>
      <c r="D2090" s="6" t="n">
        <v>10</v>
      </c>
      <c r="E2090" s="6" t="inlineStr">
        <is>
          <t xml:space="preserve"> R1114285</t>
        </is>
      </c>
      <c r="F2090" s="2" t="n">
        <v>44340</v>
      </c>
      <c r="G2090" s="1" t="n"/>
    </row>
    <row r="2091">
      <c r="A2091" s="6" t="n">
        <v>48108</v>
      </c>
      <c r="B2091" s="6" t="inlineStr">
        <is>
          <t>HENNESSY V S COGNAC</t>
        </is>
      </c>
      <c r="C2091" s="7">
        <f>VLOOKUP(A2091,SizeData!A$2:B$3839,2,FALSE)</f>
        <v/>
      </c>
      <c r="D2091" s="6" t="n">
        <v>10</v>
      </c>
      <c r="E2091" s="6" t="inlineStr">
        <is>
          <t>R1186452</t>
        </is>
      </c>
      <c r="F2091" s="2" t="n">
        <v>44396</v>
      </c>
      <c r="G2091" s="1" t="n"/>
    </row>
    <row r="2092">
      <c r="A2092" s="6" t="n">
        <v>48108</v>
      </c>
      <c r="B2092" s="6" t="inlineStr">
        <is>
          <t>HENNESSY V S COGNAC</t>
        </is>
      </c>
      <c r="C2092" s="7">
        <f>VLOOKUP(A2092,SizeData!A$2:B$3839,2,FALSE)</f>
        <v/>
      </c>
      <c r="D2092" s="6" t="n">
        <v>10</v>
      </c>
      <c r="E2092" s="6" t="inlineStr">
        <is>
          <t>R1198318</t>
        </is>
      </c>
      <c r="F2092" s="2" t="n">
        <v>44410</v>
      </c>
      <c r="G2092" s="1" t="n"/>
    </row>
    <row r="2093">
      <c r="A2093" s="6" t="n">
        <v>48108</v>
      </c>
      <c r="B2093" s="6" t="inlineStr">
        <is>
          <t>HENNESSY V S COGNAC</t>
        </is>
      </c>
      <c r="C2093" s="7">
        <f>VLOOKUP(A2093,SizeData!A$2:B$3839,2,FALSE)</f>
        <v/>
      </c>
      <c r="D2093" s="6" t="n">
        <v>9</v>
      </c>
      <c r="E2093" s="6" t="inlineStr">
        <is>
          <t>R1311536</t>
        </is>
      </c>
      <c r="F2093" s="2" t="n">
        <v>44502</v>
      </c>
      <c r="G2093" s="1" t="n"/>
    </row>
    <row r="2094">
      <c r="A2094" s="6" t="n">
        <v>48120</v>
      </c>
      <c r="B2094" s="6" t="inlineStr">
        <is>
          <t>HENNESSY XO</t>
        </is>
      </c>
      <c r="C2094" s="7">
        <f>VLOOKUP(A2094,SizeData!A$2:B$3839,2,FALSE)</f>
        <v/>
      </c>
      <c r="D2094" s="6" t="n">
        <v>8</v>
      </c>
      <c r="E2094" s="6" t="inlineStr">
        <is>
          <t>R1258219</t>
        </is>
      </c>
      <c r="F2094" s="2" t="n">
        <v>44462</v>
      </c>
      <c r="G2094" s="1" t="n"/>
    </row>
    <row r="2095">
      <c r="A2095" s="6" t="n">
        <v>48142</v>
      </c>
      <c r="B2095" s="6" t="inlineStr">
        <is>
          <t>HENNESSY VSOP PRIVILEGE FLASK</t>
        </is>
      </c>
      <c r="C2095" s="7">
        <f>VLOOKUP(A2095,SizeData!A$2:B$3839,2,FALSE)</f>
        <v/>
      </c>
      <c r="D2095" s="6" t="n">
        <v>1</v>
      </c>
      <c r="E2095" s="6" t="inlineStr">
        <is>
          <t>R1046038</t>
        </is>
      </c>
      <c r="F2095" s="2" t="n">
        <v>44256</v>
      </c>
      <c r="G2095" s="1" t="n"/>
    </row>
    <row r="2096">
      <c r="A2096" s="6" t="n">
        <v>48142</v>
      </c>
      <c r="B2096" s="6" t="inlineStr">
        <is>
          <t>HENNESSY VSOP PRIVILEGE FLASK</t>
        </is>
      </c>
      <c r="C2096" s="7">
        <f>VLOOKUP(A2096,SizeData!A$2:B$3839,2,FALSE)</f>
        <v/>
      </c>
      <c r="D2096" s="6" t="n">
        <v>2</v>
      </c>
      <c r="E2096" s="6" t="inlineStr">
        <is>
          <t>R1048898</t>
        </is>
      </c>
      <c r="F2096" s="2" t="n">
        <v>44266</v>
      </c>
      <c r="G2096" s="1" t="n"/>
    </row>
    <row r="2097">
      <c r="A2097" s="6" t="n">
        <v>48142</v>
      </c>
      <c r="B2097" s="6" t="inlineStr">
        <is>
          <t>HENNESSY VSOP PRIVILEGE FLASK</t>
        </is>
      </c>
      <c r="C2097" s="7">
        <f>VLOOKUP(A2097,SizeData!A$2:B$3839,2,FALSE)</f>
        <v/>
      </c>
      <c r="D2097" s="6" t="n">
        <v>2</v>
      </c>
      <c r="E2097" s="6" t="inlineStr">
        <is>
          <t>R1081307</t>
        </is>
      </c>
      <c r="F2097" s="2" t="n">
        <v>44284</v>
      </c>
      <c r="G2097" s="1" t="n"/>
    </row>
    <row r="2098">
      <c r="A2098" s="6" t="n">
        <v>48151</v>
      </c>
      <c r="B2098" s="6" t="inlineStr">
        <is>
          <t>HENNESSY VSOP PRIVILEGE COGNAC</t>
        </is>
      </c>
      <c r="C2098" s="7">
        <f>VLOOKUP(A2098,SizeData!A$2:B$3839,2,FALSE)</f>
        <v/>
      </c>
      <c r="D2098" s="6" t="n">
        <v>5</v>
      </c>
      <c r="E2098" s="6" t="inlineStr">
        <is>
          <t>R984731</t>
        </is>
      </c>
      <c r="F2098" s="2" t="n">
        <v>44197</v>
      </c>
      <c r="G2098" s="1" t="n"/>
    </row>
    <row r="2099">
      <c r="A2099" s="6" t="n">
        <v>48151</v>
      </c>
      <c r="B2099" s="6" t="inlineStr">
        <is>
          <t>HENNESSY VSOP PRIVILEGE COGNAC</t>
        </is>
      </c>
      <c r="C2099" s="7">
        <f>VLOOKUP(A2099,SizeData!A$2:B$3839,2,FALSE)</f>
        <v/>
      </c>
      <c r="D2099" s="6" t="n">
        <v>3</v>
      </c>
      <c r="E2099" s="6" t="inlineStr">
        <is>
          <t>R1000047</t>
        </is>
      </c>
      <c r="F2099" s="2" t="n">
        <v>44207</v>
      </c>
      <c r="G2099" s="1" t="n"/>
    </row>
    <row r="2100">
      <c r="A2100" s="6" t="n">
        <v>48151</v>
      </c>
      <c r="B2100" s="6" t="inlineStr">
        <is>
          <t>HENNESSY VSOP PRIVILEGE COGNAC</t>
        </is>
      </c>
      <c r="C2100" s="7">
        <f>VLOOKUP(A2100,SizeData!A$2:B$3839,2,FALSE)</f>
        <v/>
      </c>
      <c r="D2100" s="6" t="n">
        <v>8</v>
      </c>
      <c r="E2100" s="6" t="inlineStr">
        <is>
          <t>R994060</t>
        </is>
      </c>
      <c r="F2100" s="2" t="n">
        <v>44209</v>
      </c>
      <c r="G2100" s="1" t="n"/>
    </row>
    <row r="2101">
      <c r="A2101" s="6" t="n">
        <v>48151</v>
      </c>
      <c r="B2101" s="6" t="inlineStr">
        <is>
          <t>HENNESSY VSOP PRIVILEGE COGNAC</t>
        </is>
      </c>
      <c r="C2101" s="7">
        <f>VLOOKUP(A2101,SizeData!A$2:B$3839,2,FALSE)</f>
        <v/>
      </c>
      <c r="D2101" s="6" t="n">
        <v>1</v>
      </c>
      <c r="E2101" s="6" t="inlineStr">
        <is>
          <t>R1008939</t>
        </is>
      </c>
      <c r="F2101" s="2" t="n">
        <v>44220</v>
      </c>
      <c r="G2101" s="1" t="n"/>
    </row>
    <row r="2102">
      <c r="A2102" s="6" t="n">
        <v>48154</v>
      </c>
      <c r="B2102" s="6" t="inlineStr">
        <is>
          <t>HENNESSY BLACK COGNAC</t>
        </is>
      </c>
      <c r="C2102" s="7">
        <f>VLOOKUP(A2102,SizeData!A$2:B$3839,2,FALSE)</f>
        <v/>
      </c>
      <c r="D2102" s="6" t="n">
        <v>2</v>
      </c>
      <c r="E2102" s="6" t="inlineStr">
        <is>
          <t>R1019092</t>
        </is>
      </c>
      <c r="F2102" s="2" t="n">
        <v>44238</v>
      </c>
      <c r="G2102" s="1" t="n"/>
    </row>
    <row r="2103">
      <c r="A2103" s="6" t="n">
        <v>48154</v>
      </c>
      <c r="B2103" s="6" t="inlineStr">
        <is>
          <t>HENNESSY BLACK COGNAC</t>
        </is>
      </c>
      <c r="C2103" s="7">
        <f>VLOOKUP(A2103,SizeData!A$2:B$3839,2,FALSE)</f>
        <v/>
      </c>
      <c r="D2103" s="6" t="n">
        <v>3</v>
      </c>
      <c r="E2103" s="6" t="inlineStr">
        <is>
          <t>R1036739</t>
        </is>
      </c>
      <c r="F2103" s="2" t="n">
        <v>44249</v>
      </c>
      <c r="G2103" s="1" t="n"/>
    </row>
    <row r="2104">
      <c r="A2104" s="6" t="n">
        <v>48154</v>
      </c>
      <c r="B2104" s="6" t="inlineStr">
        <is>
          <t>HENNESSY BLACK COGNAC</t>
        </is>
      </c>
      <c r="C2104" s="7">
        <f>VLOOKUP(A2104,SizeData!A$2:B$3839,2,FALSE)</f>
        <v/>
      </c>
      <c r="D2104" s="6" t="n">
        <v>5</v>
      </c>
      <c r="E2104" s="6" t="inlineStr">
        <is>
          <t>R1082866</t>
        </is>
      </c>
      <c r="F2104" s="2" t="n">
        <v>44293</v>
      </c>
      <c r="G2104" s="1" t="n"/>
    </row>
    <row r="2105">
      <c r="A2105" s="6" t="n">
        <v>48154</v>
      </c>
      <c r="B2105" s="6" t="inlineStr">
        <is>
          <t>HENNESSY BLACK COGNAC</t>
        </is>
      </c>
      <c r="C2105" s="7">
        <f>VLOOKUP(A2105,SizeData!A$2:B$3839,2,FALSE)</f>
        <v/>
      </c>
      <c r="D2105" s="6" t="n">
        <v>3</v>
      </c>
      <c r="E2105" s="6" t="inlineStr">
        <is>
          <t xml:space="preserve"> R1114285</t>
        </is>
      </c>
      <c r="F2105" s="2" t="n">
        <v>44340</v>
      </c>
      <c r="G2105" s="1" t="n"/>
    </row>
    <row r="2106">
      <c r="A2106" s="6" t="n">
        <v>48154</v>
      </c>
      <c r="B2106" s="6" t="inlineStr">
        <is>
          <t>HENNESSY BLACK COGNAC</t>
        </is>
      </c>
      <c r="C2106" s="7">
        <f>VLOOKUP(A2106,SizeData!A$2:B$3839,2,FALSE)</f>
        <v/>
      </c>
      <c r="D2106" s="6" t="n">
        <v>5</v>
      </c>
      <c r="E2106" s="6" t="inlineStr">
        <is>
          <t>R1179796</t>
        </is>
      </c>
      <c r="F2106" s="2" t="n">
        <v>44403</v>
      </c>
      <c r="G2106" s="1" t="n"/>
    </row>
    <row r="2107">
      <c r="A2107" s="6" t="n">
        <v>48164</v>
      </c>
      <c r="B2107" s="6" t="inlineStr">
        <is>
          <t>HENNESSY VSOP PRIVILEGE COGNAC</t>
        </is>
      </c>
      <c r="C2107" s="7">
        <f>VLOOKUP(A2107,SizeData!A$2:B$3839,2,FALSE)</f>
        <v/>
      </c>
      <c r="D2107" s="6" t="n">
        <v>1</v>
      </c>
      <c r="E2107" s="6" t="inlineStr">
        <is>
          <t>R1000047</t>
        </is>
      </c>
      <c r="F2107" s="2" t="n">
        <v>44207</v>
      </c>
      <c r="G2107" s="1" t="n"/>
    </row>
    <row r="2108">
      <c r="A2108" s="6" t="n">
        <v>48164</v>
      </c>
      <c r="B2108" s="6" t="inlineStr">
        <is>
          <t>HENNESSY VSOP PRIVILEGE COGNAC</t>
        </is>
      </c>
      <c r="C2108" s="7">
        <f>VLOOKUP(A2108,SizeData!A$2:B$3839,2,FALSE)</f>
        <v/>
      </c>
      <c r="D2108" s="6" t="n">
        <v>5</v>
      </c>
      <c r="E2108" s="6" t="inlineStr">
        <is>
          <t>R1018402</t>
        </is>
      </c>
      <c r="F2108" s="2" t="n">
        <v>44229</v>
      </c>
      <c r="G2108" s="1" t="n"/>
    </row>
    <row r="2109">
      <c r="A2109" s="6" t="n">
        <v>48164</v>
      </c>
      <c r="B2109" s="6" t="inlineStr">
        <is>
          <t>HENNESSY VSOP PRIVILEGE COGNAC</t>
        </is>
      </c>
      <c r="C2109" s="7">
        <f>VLOOKUP(A2109,SizeData!A$2:B$3839,2,FALSE)</f>
        <v/>
      </c>
      <c r="D2109" s="6" t="n">
        <v>8</v>
      </c>
      <c r="E2109" s="6" t="inlineStr">
        <is>
          <t>R1240298</t>
        </is>
      </c>
      <c r="F2109" s="2" t="n">
        <v>44446</v>
      </c>
      <c r="G2109" s="1" t="n"/>
    </row>
    <row r="2110">
      <c r="A2110" s="6" t="n">
        <v>48658</v>
      </c>
      <c r="B2110" s="6" t="inlineStr">
        <is>
          <t>MARTELL CORDON BLEU COGNAC</t>
        </is>
      </c>
      <c r="C2110" s="7">
        <f>VLOOKUP(A2110,SizeData!A$2:B$3839,2,FALSE)</f>
        <v/>
      </c>
      <c r="D2110" s="6" t="n">
        <v>7</v>
      </c>
      <c r="E2110" s="6" t="inlineStr">
        <is>
          <t>R990933</t>
        </is>
      </c>
      <c r="F2110" s="2" t="n">
        <v>44197</v>
      </c>
      <c r="G2110" s="1" t="n"/>
    </row>
    <row r="2111">
      <c r="A2111" s="6" t="n">
        <v>48658</v>
      </c>
      <c r="B2111" s="6" t="inlineStr">
        <is>
          <t>MARTELL CORDON BLEU COGNAC</t>
        </is>
      </c>
      <c r="C2111" s="7">
        <f>VLOOKUP(A2111,SizeData!A$2:B$3839,2,FALSE)</f>
        <v/>
      </c>
      <c r="D2111" s="6" t="n">
        <v>7</v>
      </c>
      <c r="E2111" s="6" t="inlineStr">
        <is>
          <t>R991241</t>
        </is>
      </c>
      <c r="F2111" s="2" t="n">
        <v>44197</v>
      </c>
      <c r="G2111" s="1" t="n"/>
    </row>
    <row r="2112">
      <c r="A2112" s="6" t="n">
        <v>48696</v>
      </c>
      <c r="B2112" s="6" t="inlineStr">
        <is>
          <t>MARTELL V S COGNAC</t>
        </is>
      </c>
      <c r="C2112" s="7">
        <f>VLOOKUP(A2112,SizeData!A$2:B$3839,2,FALSE)</f>
        <v/>
      </c>
      <c r="D2112" s="6" t="n">
        <v>3</v>
      </c>
      <c r="E2112" s="6" t="inlineStr">
        <is>
          <t>R1075802</t>
        </is>
      </c>
      <c r="F2112" s="2" t="n">
        <v>44270</v>
      </c>
      <c r="G2112" s="1" t="n"/>
    </row>
    <row r="2113">
      <c r="A2113" s="6" t="n">
        <v>48696</v>
      </c>
      <c r="B2113" s="6" t="inlineStr">
        <is>
          <t>MARTELL V S COGNAC</t>
        </is>
      </c>
      <c r="C2113" s="7">
        <f>VLOOKUP(A2113,SizeData!A$2:B$3839,2,FALSE)</f>
        <v/>
      </c>
      <c r="D2113" s="6" t="n">
        <v>3</v>
      </c>
      <c r="E2113" s="6" t="inlineStr">
        <is>
          <t>R1322242</t>
        </is>
      </c>
      <c r="F2113" s="2" t="n">
        <v>44509</v>
      </c>
      <c r="G2113" s="1" t="n"/>
    </row>
    <row r="2114">
      <c r="A2114" s="6" t="n">
        <v>48699</v>
      </c>
      <c r="B2114" s="6" t="inlineStr">
        <is>
          <t>MARTELL V S COGNAC FLASK</t>
        </is>
      </c>
      <c r="C2114" s="7">
        <f>VLOOKUP(A2114,SizeData!A$2:B$3839,2,FALSE)</f>
        <v/>
      </c>
      <c r="D2114" s="6" t="n">
        <v>3</v>
      </c>
      <c r="E2114" s="6" t="inlineStr">
        <is>
          <t>R1075802</t>
        </is>
      </c>
      <c r="F2114" s="2" t="n">
        <v>44270</v>
      </c>
      <c r="G2114" s="1" t="n"/>
    </row>
    <row r="2115">
      <c r="A2115" s="6" t="n">
        <v>48699</v>
      </c>
      <c r="B2115" s="6" t="inlineStr">
        <is>
          <t>MARTELL V S COGNAC FLASK</t>
        </is>
      </c>
      <c r="C2115" s="7">
        <f>VLOOKUP(A2115,SizeData!A$2:B$3839,2,FALSE)</f>
        <v/>
      </c>
      <c r="D2115" s="6" t="n">
        <v>5</v>
      </c>
      <c r="E2115" s="6" t="inlineStr">
        <is>
          <t>R1073603</t>
        </is>
      </c>
      <c r="F2115" s="2" t="n">
        <v>44280</v>
      </c>
      <c r="G2115" s="1" t="n"/>
    </row>
    <row r="2116">
      <c r="A2116" s="6" t="n">
        <v>48699</v>
      </c>
      <c r="B2116" s="6" t="inlineStr">
        <is>
          <t>MARTELL V S COGNAC FLASK</t>
        </is>
      </c>
      <c r="C2116" s="7">
        <f>VLOOKUP(A2116,SizeData!A$2:B$3839,2,FALSE)</f>
        <v/>
      </c>
      <c r="D2116" s="6" t="n">
        <v>10</v>
      </c>
      <c r="E2116" s="6" t="inlineStr">
        <is>
          <t>R1085722</t>
        </is>
      </c>
      <c r="F2116" s="2" t="n">
        <v>44287</v>
      </c>
      <c r="G2116" s="1" t="n"/>
    </row>
    <row r="2117">
      <c r="A2117" s="6" t="n">
        <v>48699</v>
      </c>
      <c r="B2117" s="6" t="inlineStr">
        <is>
          <t>MARTELL V S COGNAC FLASK</t>
        </is>
      </c>
      <c r="C2117" s="7">
        <f>VLOOKUP(A2117,SizeData!A$2:B$3839,2,FALSE)</f>
        <v/>
      </c>
      <c r="D2117" s="6" t="n">
        <v>15</v>
      </c>
      <c r="E2117" s="6" t="inlineStr">
        <is>
          <t>R1081183</t>
        </is>
      </c>
      <c r="F2117" s="2" t="n">
        <v>44293</v>
      </c>
      <c r="G2117" s="1" t="n"/>
    </row>
    <row r="2118">
      <c r="A2118" s="6" t="n">
        <v>48699</v>
      </c>
      <c r="B2118" s="6" t="inlineStr">
        <is>
          <t>MARTELL V S COGNAC FLASK</t>
        </is>
      </c>
      <c r="C2118" s="7">
        <f>VLOOKUP(A2118,SizeData!A$2:B$3839,2,FALSE)</f>
        <v/>
      </c>
      <c r="D2118" s="6" t="n">
        <v>9</v>
      </c>
      <c r="E2118" s="6" t="inlineStr">
        <is>
          <t>R1233420</t>
        </is>
      </c>
      <c r="F2118" s="2" t="n">
        <v>44443</v>
      </c>
      <c r="G2118" s="1" t="n"/>
    </row>
    <row r="2119">
      <c r="A2119" s="6" t="n">
        <v>48699</v>
      </c>
      <c r="B2119" s="6" t="inlineStr">
        <is>
          <t>MARTELL V S COGNAC FLASK</t>
        </is>
      </c>
      <c r="C2119" s="7">
        <f>VLOOKUP(A2119,SizeData!A$2:B$3839,2,FALSE)</f>
        <v/>
      </c>
      <c r="D2119" s="6" t="n">
        <v>25</v>
      </c>
      <c r="E2119" s="6" t="inlineStr">
        <is>
          <t>R1322242</t>
        </is>
      </c>
      <c r="F2119" s="2" t="n">
        <v>44509</v>
      </c>
      <c r="G2119" s="1" t="n"/>
    </row>
    <row r="2120">
      <c r="A2120" s="6" t="n">
        <v>48699</v>
      </c>
      <c r="B2120" s="6" t="inlineStr">
        <is>
          <t>MARTELL V S COGNAC FLASK</t>
        </is>
      </c>
      <c r="C2120" s="7">
        <f>VLOOKUP(A2120,SizeData!A$2:B$3839,2,FALSE)</f>
        <v/>
      </c>
      <c r="D2120" s="6" t="n">
        <v>16</v>
      </c>
      <c r="E2120" s="6" t="inlineStr">
        <is>
          <t>R1334280</t>
        </is>
      </c>
      <c r="F2120" s="2" t="n">
        <v>44531</v>
      </c>
      <c r="G2120" s="1" t="n"/>
    </row>
    <row r="2121">
      <c r="A2121" s="6" t="n">
        <v>48699</v>
      </c>
      <c r="B2121" s="6" t="inlineStr">
        <is>
          <t>MARTELL V S COGNAC FLASK</t>
        </is>
      </c>
      <c r="C2121" s="7">
        <f>VLOOKUP(A2121,SizeData!A$2:B$3839,2,FALSE)</f>
        <v/>
      </c>
      <c r="D2121" s="6" t="n">
        <v>16</v>
      </c>
      <c r="E2121" s="6" t="inlineStr">
        <is>
          <t>R1337583</t>
        </is>
      </c>
      <c r="F2121" s="2" t="n">
        <v>44531</v>
      </c>
      <c r="G2121" s="1" t="n"/>
    </row>
    <row r="2122">
      <c r="A2122" s="6" t="n">
        <v>48699</v>
      </c>
      <c r="B2122" s="6" t="inlineStr">
        <is>
          <t>MARTELL V S COGNAC FLASK</t>
        </is>
      </c>
      <c r="C2122" s="7">
        <f>VLOOKUP(A2122,SizeData!A$2:B$3839,2,FALSE)</f>
        <v/>
      </c>
      <c r="D2122" s="6" t="n">
        <v>8</v>
      </c>
      <c r="E2122" s="6" t="inlineStr">
        <is>
          <t>R1341856</t>
        </is>
      </c>
      <c r="F2122" s="2" t="n">
        <v>44531</v>
      </c>
      <c r="G2122" s="1" t="n"/>
    </row>
    <row r="2123">
      <c r="A2123" s="6" t="n">
        <v>48699</v>
      </c>
      <c r="B2123" s="6" t="inlineStr">
        <is>
          <t>MARTELL V S COGNAC FLASK</t>
        </is>
      </c>
      <c r="C2123" s="7">
        <f>VLOOKUP(A2123,SizeData!A$2:B$3839,2,FALSE)</f>
        <v/>
      </c>
      <c r="D2123" s="6" t="n">
        <v>30</v>
      </c>
      <c r="E2123" s="6" t="inlineStr">
        <is>
          <t>R1361843</t>
        </is>
      </c>
      <c r="F2123" s="2" t="n">
        <v>44538</v>
      </c>
      <c r="G2123" s="1" t="n"/>
    </row>
    <row r="2124">
      <c r="A2124" s="6" t="n">
        <v>48699</v>
      </c>
      <c r="B2124" s="6" t="inlineStr">
        <is>
          <t>MARTELL V S COGNAC FLASK</t>
        </is>
      </c>
      <c r="C2124" s="7">
        <f>VLOOKUP(A2124,SizeData!A$2:B$3839,2,FALSE)</f>
        <v/>
      </c>
      <c r="D2124" s="6" t="n">
        <v>20</v>
      </c>
      <c r="E2124" s="6" t="inlineStr">
        <is>
          <t>R1366720</t>
        </is>
      </c>
      <c r="F2124" s="2" t="n">
        <v>44538</v>
      </c>
      <c r="G2124" s="1" t="n"/>
    </row>
    <row r="2125">
      <c r="A2125" s="6" t="n">
        <v>48699</v>
      </c>
      <c r="B2125" s="6" t="inlineStr">
        <is>
          <t>MARTELL V S COGNAC FLASK</t>
        </is>
      </c>
      <c r="C2125" s="7">
        <f>VLOOKUP(A2125,SizeData!A$2:B$3839,2,FALSE)</f>
        <v/>
      </c>
      <c r="D2125" s="6" t="n">
        <v>5</v>
      </c>
      <c r="E2125" s="6" t="inlineStr">
        <is>
          <t>R1361845</t>
        </is>
      </c>
      <c r="F2125" s="2" t="n">
        <v>44538</v>
      </c>
      <c r="G2125" s="1" t="n"/>
    </row>
    <row r="2126">
      <c r="A2126" s="6" t="n">
        <v>48725</v>
      </c>
      <c r="B2126" s="6" t="inlineStr">
        <is>
          <t>REMY MARTIN LOUIS XIII COGNAC</t>
        </is>
      </c>
      <c r="C2126" s="7">
        <f>VLOOKUP(A2126,SizeData!A$2:B$3839,2,FALSE)</f>
        <v/>
      </c>
      <c r="D2126" s="6" t="n">
        <v>1</v>
      </c>
      <c r="E2126" s="6" t="inlineStr">
        <is>
          <t>R1360352</t>
        </is>
      </c>
      <c r="F2126" s="2" t="n">
        <v>44531</v>
      </c>
      <c r="G2126" s="1" t="n"/>
    </row>
    <row r="2127">
      <c r="A2127" s="6" t="n">
        <v>48764</v>
      </c>
      <c r="B2127" s="6" t="inlineStr">
        <is>
          <t>MEUKOW VS COGNAC (ROUND BOTTLE)</t>
        </is>
      </c>
      <c r="C2127" s="7">
        <f>VLOOKUP(A2127,SizeData!A$2:B$3839,2,FALSE)</f>
        <v/>
      </c>
      <c r="D2127" s="6" t="n">
        <v>1</v>
      </c>
      <c r="E2127" s="6" t="inlineStr">
        <is>
          <t>R992805</t>
        </is>
      </c>
      <c r="F2127" s="2" t="n">
        <v>44201</v>
      </c>
      <c r="G2127" s="1" t="n"/>
    </row>
    <row r="2128">
      <c r="A2128" s="6" t="n">
        <v>48764</v>
      </c>
      <c r="B2128" s="6" t="inlineStr">
        <is>
          <t>MEUKOW VS COGNAC (ROUND BOTTLE)</t>
        </is>
      </c>
      <c r="C2128" s="7">
        <f>VLOOKUP(A2128,SizeData!A$2:B$3839,2,FALSE)</f>
        <v/>
      </c>
      <c r="D2128" s="6" t="n">
        <v>1</v>
      </c>
      <c r="E2128" s="6" t="inlineStr">
        <is>
          <t>R1092837</t>
        </is>
      </c>
      <c r="F2128" s="2" t="n">
        <v>44299</v>
      </c>
      <c r="G2128" s="1" t="n"/>
    </row>
    <row r="2129">
      <c r="A2129" s="6" t="n">
        <v>48764</v>
      </c>
      <c r="B2129" s="6" t="inlineStr">
        <is>
          <t>MEUKOW VS COGNAC (ROUND BOTTLE)</t>
        </is>
      </c>
      <c r="C2129" s="7">
        <f>VLOOKUP(A2129,SizeData!A$2:B$3839,2,FALSE)</f>
        <v/>
      </c>
      <c r="D2129" s="6" t="n">
        <v>1</v>
      </c>
      <c r="E2129" s="6" t="inlineStr">
        <is>
          <t xml:space="preserve"> R1135574</t>
        </is>
      </c>
      <c r="F2129" s="2" t="n">
        <v>44338</v>
      </c>
      <c r="G2129" s="1" t="n"/>
    </row>
    <row r="2130">
      <c r="A2130" s="6" t="n">
        <v>48764</v>
      </c>
      <c r="B2130" s="6" t="inlineStr">
        <is>
          <t>MEUKOW VS COGNAC (ROUND BOTTLE)</t>
        </is>
      </c>
      <c r="C2130" s="7">
        <f>VLOOKUP(A2130,SizeData!A$2:B$3839,2,FALSE)</f>
        <v/>
      </c>
      <c r="D2130" s="6" t="n">
        <v>1</v>
      </c>
      <c r="E2130" s="6" t="inlineStr">
        <is>
          <t>R1148206</t>
        </is>
      </c>
      <c r="F2130" s="2" t="n">
        <v>44359</v>
      </c>
      <c r="G2130" s="1" t="n"/>
    </row>
    <row r="2131">
      <c r="A2131" s="6" t="n">
        <v>48764</v>
      </c>
      <c r="B2131" s="6" t="inlineStr">
        <is>
          <t>MEUKOW VS COGNAC (ROUND BOTTLE)</t>
        </is>
      </c>
      <c r="C2131" s="7">
        <f>VLOOKUP(A2131,SizeData!A$2:B$3839,2,FALSE)</f>
        <v/>
      </c>
      <c r="D2131" s="6" t="n">
        <v>2</v>
      </c>
      <c r="E2131" s="6" t="inlineStr">
        <is>
          <t>R1188262</t>
        </is>
      </c>
      <c r="F2131" s="2" t="n">
        <v>44409</v>
      </c>
      <c r="G2131" s="1" t="n"/>
    </row>
    <row r="2132">
      <c r="A2132" s="6" t="n">
        <v>48764</v>
      </c>
      <c r="B2132" s="6" t="inlineStr">
        <is>
          <t>MEUKOW VS COGNAC (ROUND BOTTLE)</t>
        </is>
      </c>
      <c r="C2132" s="7">
        <f>VLOOKUP(A2132,SizeData!A$2:B$3839,2,FALSE)</f>
        <v/>
      </c>
      <c r="D2132" s="6" t="n">
        <v>1</v>
      </c>
      <c r="E2132" s="6" t="inlineStr">
        <is>
          <t>R1215815</t>
        </is>
      </c>
      <c r="F2132" s="2" t="n">
        <v>44418</v>
      </c>
      <c r="G2132" s="1" t="n"/>
    </row>
    <row r="2133">
      <c r="A2133" s="6" t="n">
        <v>48766</v>
      </c>
      <c r="B2133" s="6" t="inlineStr">
        <is>
          <t>MEUKOW VS COGNAC</t>
        </is>
      </c>
      <c r="C2133" s="7">
        <f>VLOOKUP(A2133,SizeData!A$2:B$3839,2,FALSE)</f>
        <v/>
      </c>
      <c r="D2133" s="6" t="n">
        <v>2</v>
      </c>
      <c r="E2133" s="6" t="inlineStr">
        <is>
          <t>R1025870</t>
        </is>
      </c>
      <c r="F2133" s="2" t="n">
        <v>44229</v>
      </c>
      <c r="G2133" s="1" t="n"/>
    </row>
    <row r="2134">
      <c r="A2134" s="6" t="n">
        <v>48766</v>
      </c>
      <c r="B2134" s="6" t="inlineStr">
        <is>
          <t>MEUKOW VS COGNAC</t>
        </is>
      </c>
      <c r="C2134" s="7">
        <f>VLOOKUP(A2134,SizeData!A$2:B$3839,2,FALSE)</f>
        <v/>
      </c>
      <c r="D2134" s="6" t="n">
        <v>1</v>
      </c>
      <c r="E2134" s="6" t="inlineStr">
        <is>
          <t>R1028665</t>
        </is>
      </c>
      <c r="F2134" s="2" t="n">
        <v>44247</v>
      </c>
      <c r="G2134" s="1" t="n"/>
    </row>
    <row r="2135">
      <c r="A2135" s="6" t="n">
        <v>48766</v>
      </c>
      <c r="B2135" s="6" t="inlineStr">
        <is>
          <t>MEUKOW VS COGNAC</t>
        </is>
      </c>
      <c r="C2135" s="7">
        <f>VLOOKUP(A2135,SizeData!A$2:B$3839,2,FALSE)</f>
        <v/>
      </c>
      <c r="D2135" s="6" t="n">
        <v>1</v>
      </c>
      <c r="E2135" s="6" t="inlineStr">
        <is>
          <t>R1074089</t>
        </is>
      </c>
      <c r="F2135" s="2" t="n">
        <v>44288</v>
      </c>
      <c r="G2135" s="1" t="n"/>
    </row>
    <row r="2136">
      <c r="A2136" s="6" t="n">
        <v>48766</v>
      </c>
      <c r="B2136" s="6" t="inlineStr">
        <is>
          <t>MEUKOW VS COGNAC</t>
        </is>
      </c>
      <c r="C2136" s="7">
        <f>VLOOKUP(A2136,SizeData!A$2:B$3839,2,FALSE)</f>
        <v/>
      </c>
      <c r="D2136" s="6" t="n">
        <v>2</v>
      </c>
      <c r="E2136" s="6" t="inlineStr">
        <is>
          <t>R1091962</t>
        </is>
      </c>
      <c r="F2136" s="2" t="n">
        <v>44295</v>
      </c>
      <c r="G2136" s="1" t="n"/>
    </row>
    <row r="2137">
      <c r="A2137" s="6" t="n">
        <v>48766</v>
      </c>
      <c r="B2137" s="6" t="inlineStr">
        <is>
          <t>MEUKOW VS COGNAC</t>
        </is>
      </c>
      <c r="C2137" s="7">
        <f>VLOOKUP(A2137,SizeData!A$2:B$3839,2,FALSE)</f>
        <v/>
      </c>
      <c r="D2137" s="6" t="n">
        <v>2</v>
      </c>
      <c r="E2137" s="6" t="inlineStr">
        <is>
          <t>R1099905</t>
        </is>
      </c>
      <c r="F2137" s="2" t="n">
        <v>44310</v>
      </c>
      <c r="G2137" s="1" t="n"/>
    </row>
    <row r="2138">
      <c r="A2138" s="6" t="n">
        <v>48766</v>
      </c>
      <c r="B2138" s="6" t="inlineStr">
        <is>
          <t>MEUKOW VS COGNAC</t>
        </is>
      </c>
      <c r="C2138" s="7">
        <f>VLOOKUP(A2138,SizeData!A$2:B$3839,2,FALSE)</f>
        <v/>
      </c>
      <c r="D2138" s="6" t="n">
        <v>2</v>
      </c>
      <c r="E2138" s="6" t="inlineStr">
        <is>
          <t>R1188262</t>
        </is>
      </c>
      <c r="F2138" s="2" t="n">
        <v>44409</v>
      </c>
      <c r="G2138" s="1" t="n"/>
    </row>
    <row r="2139">
      <c r="A2139" s="6" t="n">
        <v>48766</v>
      </c>
      <c r="B2139" s="6" t="inlineStr">
        <is>
          <t>MEUKOW VS COGNAC</t>
        </is>
      </c>
      <c r="C2139" s="7">
        <f>VLOOKUP(A2139,SizeData!A$2:B$3839,2,FALSE)</f>
        <v/>
      </c>
      <c r="D2139" s="6" t="n">
        <v>3</v>
      </c>
      <c r="E2139" s="6" t="inlineStr">
        <is>
          <t>R1225343</t>
        </is>
      </c>
      <c r="F2139" s="2" t="n">
        <v>44427</v>
      </c>
      <c r="G2139" s="1" t="n"/>
    </row>
    <row r="2140">
      <c r="A2140" s="6" t="n">
        <v>48766</v>
      </c>
      <c r="B2140" s="6" t="inlineStr">
        <is>
          <t>MEUKOW VS COGNAC</t>
        </is>
      </c>
      <c r="C2140" s="7">
        <f>VLOOKUP(A2140,SizeData!A$2:B$3839,2,FALSE)</f>
        <v/>
      </c>
      <c r="D2140" s="6" t="n">
        <v>1</v>
      </c>
      <c r="E2140" s="6" t="inlineStr">
        <is>
          <t>R1214748</t>
        </is>
      </c>
      <c r="F2140" s="2" t="n">
        <v>44433</v>
      </c>
      <c r="G2140" s="1" t="n"/>
    </row>
    <row r="2141">
      <c r="A2141" s="6" t="n">
        <v>48766</v>
      </c>
      <c r="B2141" s="6" t="inlineStr">
        <is>
          <t>MEUKOW VS COGNAC</t>
        </is>
      </c>
      <c r="C2141" s="7">
        <f>VLOOKUP(A2141,SizeData!A$2:B$3839,2,FALSE)</f>
        <v/>
      </c>
      <c r="D2141" s="6" t="n">
        <v>2</v>
      </c>
      <c r="E2141" s="6" t="inlineStr">
        <is>
          <t>R1259983</t>
        </is>
      </c>
      <c r="F2141" s="2" t="n">
        <v>44479</v>
      </c>
      <c r="G2141" s="1" t="n"/>
    </row>
    <row r="2142">
      <c r="A2142" s="6" t="n">
        <v>48996</v>
      </c>
      <c r="B2142" s="6" t="inlineStr">
        <is>
          <t>PIERRE FERRAND COGNAC AMBRE</t>
        </is>
      </c>
      <c r="C2142" s="7">
        <f>VLOOKUP(A2142,SizeData!A$2:B$3839,2,FALSE)</f>
        <v/>
      </c>
      <c r="D2142" s="6" t="n">
        <v>5</v>
      </c>
      <c r="E2142" s="6" t="inlineStr">
        <is>
          <t>R1007720</t>
        </is>
      </c>
      <c r="F2142" s="2" t="n">
        <v>44216</v>
      </c>
      <c r="G2142" s="1" t="n"/>
    </row>
    <row r="2143">
      <c r="A2143" s="6" t="n">
        <v>49000</v>
      </c>
      <c r="B2143" s="6" t="inlineStr">
        <is>
          <t>PIERRE FERRAND COGNAC 1840</t>
        </is>
      </c>
      <c r="C2143" s="7">
        <f>VLOOKUP(A2143,SizeData!A$2:B$3839,2,FALSE)</f>
        <v/>
      </c>
      <c r="D2143" s="6" t="n">
        <v>1</v>
      </c>
      <c r="E2143" s="6" t="inlineStr">
        <is>
          <t>R984731</t>
        </is>
      </c>
      <c r="F2143" s="2" t="n">
        <v>44197</v>
      </c>
      <c r="G2143" s="1" t="n"/>
    </row>
    <row r="2144">
      <c r="A2144" s="6" t="n">
        <v>49000</v>
      </c>
      <c r="B2144" s="6" t="inlineStr">
        <is>
          <t>PIERRE FERRAND COGNAC 1840</t>
        </is>
      </c>
      <c r="C2144" s="7">
        <f>VLOOKUP(A2144,SizeData!A$2:B$3839,2,FALSE)</f>
        <v/>
      </c>
      <c r="D2144" s="6" t="n">
        <v>3</v>
      </c>
      <c r="E2144" s="6" t="inlineStr">
        <is>
          <t>R997848</t>
        </is>
      </c>
      <c r="F2144" s="2" t="n">
        <v>44212</v>
      </c>
      <c r="G2144" s="1" t="n"/>
    </row>
    <row r="2145">
      <c r="A2145" s="6" t="n">
        <v>49000</v>
      </c>
      <c r="B2145" s="6" t="inlineStr">
        <is>
          <t>PIERRE FERRAND COGNAC 1840</t>
        </is>
      </c>
      <c r="C2145" s="7">
        <f>VLOOKUP(A2145,SizeData!A$2:B$3839,2,FALSE)</f>
        <v/>
      </c>
      <c r="D2145" s="6" t="n">
        <v>2</v>
      </c>
      <c r="E2145" s="6" t="inlineStr">
        <is>
          <t>R1007720</t>
        </is>
      </c>
      <c r="F2145" s="2" t="n">
        <v>44216</v>
      </c>
      <c r="G2145" s="1" t="n"/>
    </row>
    <row r="2146">
      <c r="A2146" s="6" t="n">
        <v>49083</v>
      </c>
      <c r="B2146" s="6" t="inlineStr">
        <is>
          <t>REMY MARTIN 1738 ACCORD ROYAL COGNAC</t>
        </is>
      </c>
      <c r="C2146" s="7">
        <f>VLOOKUP(A2146,SizeData!A$2:B$3839,2,FALSE)</f>
        <v/>
      </c>
      <c r="D2146" s="6" t="n">
        <v>3</v>
      </c>
      <c r="E2146" s="6" t="inlineStr">
        <is>
          <t>R1180742</t>
        </is>
      </c>
      <c r="F2146" s="2" t="n">
        <v>44390</v>
      </c>
      <c r="G2146" s="1" t="n"/>
    </row>
    <row r="2147">
      <c r="A2147" s="6" t="n">
        <v>49083</v>
      </c>
      <c r="B2147" s="6" t="inlineStr">
        <is>
          <t>REMY MARTIN 1738 ACCORD ROYAL COGNAC</t>
        </is>
      </c>
      <c r="C2147" s="7">
        <f>VLOOKUP(A2147,SizeData!A$2:B$3839,2,FALSE)</f>
        <v/>
      </c>
      <c r="D2147" s="6" t="n">
        <v>10</v>
      </c>
      <c r="E2147" s="6" t="inlineStr">
        <is>
          <t>R1226909</t>
        </is>
      </c>
      <c r="F2147" s="2" t="n">
        <v>44431</v>
      </c>
      <c r="G2147" s="1" t="n"/>
    </row>
    <row r="2148">
      <c r="A2148" s="6" t="n">
        <v>49084</v>
      </c>
      <c r="B2148" s="6" t="inlineStr">
        <is>
          <t>REMY MARTIN 1738 ACCORD ROYAL COGNAC</t>
        </is>
      </c>
      <c r="C2148" s="7">
        <f>VLOOKUP(A2148,SizeData!A$2:B$3839,2,FALSE)</f>
        <v/>
      </c>
      <c r="D2148" s="6" t="n">
        <v>10</v>
      </c>
      <c r="E2148" s="6" t="inlineStr">
        <is>
          <t>R1049086</t>
        </is>
      </c>
      <c r="F2148" s="2" t="n">
        <v>44270</v>
      </c>
      <c r="G2148" s="1" t="n"/>
    </row>
    <row r="2149">
      <c r="A2149" s="6" t="n">
        <v>49084</v>
      </c>
      <c r="B2149" s="6" t="inlineStr">
        <is>
          <t>REMY MARTIN 1738 ACCORD ROYAL COGNAC</t>
        </is>
      </c>
      <c r="C2149" s="7">
        <f>VLOOKUP(A2149,SizeData!A$2:B$3839,2,FALSE)</f>
        <v/>
      </c>
      <c r="D2149" s="6" t="n">
        <v>10</v>
      </c>
      <c r="E2149" s="6" t="inlineStr">
        <is>
          <t>R1098494</t>
        </is>
      </c>
      <c r="F2149" s="2" t="n">
        <v>44314</v>
      </c>
      <c r="G2149" s="1" t="n"/>
    </row>
    <row r="2150">
      <c r="A2150" s="6" t="n">
        <v>49084</v>
      </c>
      <c r="B2150" s="6" t="inlineStr">
        <is>
          <t>REMY MARTIN 1738 ACCORD ROYAL COGNAC</t>
        </is>
      </c>
      <c r="C2150" s="7">
        <f>VLOOKUP(A2150,SizeData!A$2:B$3839,2,FALSE)</f>
        <v/>
      </c>
      <c r="D2150" s="6" t="n">
        <v>5</v>
      </c>
      <c r="E2150" s="6" t="inlineStr">
        <is>
          <t>R1125434</t>
        </is>
      </c>
      <c r="F2150" s="2" t="n">
        <v>44320</v>
      </c>
      <c r="G2150" s="1" t="n"/>
    </row>
    <row r="2151">
      <c r="A2151" s="6" t="n">
        <v>49084</v>
      </c>
      <c r="B2151" s="6" t="inlineStr">
        <is>
          <t>REMY MARTIN 1738 ACCORD ROYAL COGNAC</t>
        </is>
      </c>
      <c r="C2151" s="7">
        <f>VLOOKUP(A2151,SizeData!A$2:B$3839,2,FALSE)</f>
        <v/>
      </c>
      <c r="D2151" s="6" t="n">
        <v>10</v>
      </c>
      <c r="E2151" s="6" t="inlineStr">
        <is>
          <t>R1180742</t>
        </is>
      </c>
      <c r="F2151" s="2" t="n">
        <v>44390</v>
      </c>
      <c r="G2151" s="1" t="n"/>
    </row>
    <row r="2152">
      <c r="A2152" s="6" t="n">
        <v>49084</v>
      </c>
      <c r="B2152" s="6" t="inlineStr">
        <is>
          <t>REMY MARTIN 1738 ACCORD ROYAL COGNAC</t>
        </is>
      </c>
      <c r="C2152" s="7">
        <f>VLOOKUP(A2152,SizeData!A$2:B$3839,2,FALSE)</f>
        <v/>
      </c>
      <c r="D2152" s="6" t="n">
        <v>10</v>
      </c>
      <c r="E2152" s="6" t="inlineStr">
        <is>
          <t>R1310368</t>
        </is>
      </c>
      <c r="F2152" s="2" t="n">
        <v>44497</v>
      </c>
      <c r="G2152" s="1" t="n"/>
    </row>
    <row r="2153">
      <c r="A2153" s="6" t="n">
        <v>49084</v>
      </c>
      <c r="B2153" s="6" t="inlineStr">
        <is>
          <t>REMY MARTIN 1738 ACCORD ROYAL COGNAC</t>
        </is>
      </c>
      <c r="C2153" s="7">
        <f>VLOOKUP(A2153,SizeData!A$2:B$3839,2,FALSE)</f>
        <v/>
      </c>
      <c r="D2153" s="6" t="n">
        <v>10</v>
      </c>
      <c r="E2153" s="6" t="inlineStr">
        <is>
          <t>R1372807</t>
        </is>
      </c>
      <c r="F2153" s="2" t="n">
        <v>44544</v>
      </c>
      <c r="G2153" s="1" t="n"/>
    </row>
    <row r="2154">
      <c r="A2154" s="6" t="n">
        <v>49084</v>
      </c>
      <c r="B2154" s="6" t="inlineStr">
        <is>
          <t>REMY MARTIN 1738 ACCORD ROYAL COGNAC</t>
        </is>
      </c>
      <c r="C2154" s="7">
        <f>VLOOKUP(A2154,SizeData!A$2:B$3839,2,FALSE)</f>
        <v/>
      </c>
      <c r="D2154" s="6" t="n">
        <v>10</v>
      </c>
      <c r="E2154" s="6" t="inlineStr">
        <is>
          <t>R1372807</t>
        </is>
      </c>
      <c r="F2154" s="2" t="n">
        <v>44544</v>
      </c>
      <c r="G2154" s="1" t="n"/>
    </row>
    <row r="2155">
      <c r="A2155" s="6" t="n">
        <v>49086</v>
      </c>
      <c r="B2155" s="6" t="inlineStr">
        <is>
          <t>REMY MARTIN 1738 ACCORD ROYAL COGNAC</t>
        </is>
      </c>
      <c r="C2155" s="7">
        <f>VLOOKUP(A2155,SizeData!A$2:B$3839,2,FALSE)</f>
        <v/>
      </c>
      <c r="D2155" s="6" t="n">
        <v>5</v>
      </c>
      <c r="E2155" s="6" t="inlineStr">
        <is>
          <t>R1010169</t>
        </is>
      </c>
      <c r="F2155" s="2" t="n">
        <v>44203</v>
      </c>
      <c r="G2155" s="1" t="n"/>
    </row>
    <row r="2156">
      <c r="A2156" s="6" t="n">
        <v>49086</v>
      </c>
      <c r="B2156" s="6" t="inlineStr">
        <is>
          <t>REMY MARTIN 1738 ACCORD ROYAL COGNAC</t>
        </is>
      </c>
      <c r="C2156" s="7">
        <f>VLOOKUP(A2156,SizeData!A$2:B$3839,2,FALSE)</f>
        <v/>
      </c>
      <c r="D2156" s="6" t="n">
        <v>5</v>
      </c>
      <c r="E2156" s="6" t="inlineStr">
        <is>
          <t>R996027</t>
        </is>
      </c>
      <c r="F2156" s="2" t="n">
        <v>44203</v>
      </c>
      <c r="G2156" s="1" t="n"/>
    </row>
    <row r="2157">
      <c r="A2157" s="6" t="n">
        <v>49086</v>
      </c>
      <c r="B2157" s="6" t="inlineStr">
        <is>
          <t>REMY MARTIN 1738 ACCORD ROYAL COGNAC</t>
        </is>
      </c>
      <c r="C2157" s="7">
        <f>VLOOKUP(A2157,SizeData!A$2:B$3839,2,FALSE)</f>
        <v/>
      </c>
      <c r="D2157" s="6" t="n">
        <v>10</v>
      </c>
      <c r="E2157" s="6" t="inlineStr">
        <is>
          <t>R1125434</t>
        </is>
      </c>
      <c r="F2157" s="2" t="n">
        <v>44321</v>
      </c>
      <c r="G2157" s="1" t="n"/>
    </row>
    <row r="2158">
      <c r="A2158" s="6" t="n">
        <v>49086</v>
      </c>
      <c r="B2158" s="6" t="inlineStr">
        <is>
          <t>REMY MARTIN 1738 ACCORD ROYAL COGNAC</t>
        </is>
      </c>
      <c r="C2158" s="7">
        <f>VLOOKUP(A2158,SizeData!A$2:B$3839,2,FALSE)</f>
        <v/>
      </c>
      <c r="D2158" s="6" t="n">
        <v>10</v>
      </c>
      <c r="E2158" s="6" t="inlineStr">
        <is>
          <t>R1180742</t>
        </is>
      </c>
      <c r="F2158" s="2" t="n">
        <v>44390</v>
      </c>
      <c r="G2158" s="1" t="n"/>
    </row>
    <row r="2159">
      <c r="A2159" s="6" t="n">
        <v>49086</v>
      </c>
      <c r="B2159" s="6" t="inlineStr">
        <is>
          <t>REMY MARTIN 1738 ACCORD ROYAL COGNAC</t>
        </is>
      </c>
      <c r="C2159" s="7">
        <f>VLOOKUP(A2159,SizeData!A$2:B$3839,2,FALSE)</f>
        <v/>
      </c>
      <c r="D2159" s="6" t="n">
        <v>5</v>
      </c>
      <c r="E2159" s="6" t="inlineStr">
        <is>
          <t>R1263507</t>
        </is>
      </c>
      <c r="F2159" s="2" t="n">
        <v>44467</v>
      </c>
      <c r="G2159" s="1" t="n"/>
    </row>
    <row r="2160">
      <c r="A2160" s="6" t="n">
        <v>49086</v>
      </c>
      <c r="B2160" s="6" t="inlineStr">
        <is>
          <t>REMY MARTIN 1738 ACCORD ROYAL COGNAC</t>
        </is>
      </c>
      <c r="C2160" s="7">
        <f>VLOOKUP(A2160,SizeData!A$2:B$3839,2,FALSE)</f>
        <v/>
      </c>
      <c r="D2160" s="6" t="n">
        <v>5</v>
      </c>
      <c r="E2160" s="6" t="inlineStr">
        <is>
          <t>R1277819</t>
        </is>
      </c>
      <c r="F2160" s="2" t="n">
        <v>44481</v>
      </c>
      <c r="G2160" s="1" t="n"/>
    </row>
    <row r="2161">
      <c r="A2161" s="6" t="n">
        <v>49086</v>
      </c>
      <c r="B2161" s="6" t="inlineStr">
        <is>
          <t>REMY MARTIN 1738 ACCORD ROYAL COGNAC</t>
        </is>
      </c>
      <c r="C2161" s="7">
        <f>VLOOKUP(A2161,SizeData!A$2:B$3839,2,FALSE)</f>
        <v/>
      </c>
      <c r="D2161" s="6" t="n">
        <v>10</v>
      </c>
      <c r="E2161" s="6" t="inlineStr">
        <is>
          <t>R1299186</t>
        </is>
      </c>
      <c r="F2161" s="2" t="n">
        <v>44501</v>
      </c>
      <c r="G2161" s="1" t="n"/>
    </row>
    <row r="2162">
      <c r="A2162" s="6" t="n">
        <v>49087</v>
      </c>
      <c r="B2162" s="6" t="inlineStr">
        <is>
          <t>REMY MARTIN 1738 ACCORD ROYAL</t>
        </is>
      </c>
      <c r="C2162" s="7">
        <f>VLOOKUP(A2162,SizeData!A$2:B$3839,2,FALSE)</f>
        <v/>
      </c>
      <c r="D2162" s="6" t="n">
        <v>9</v>
      </c>
      <c r="E2162" s="6" t="inlineStr">
        <is>
          <t>R1017513</t>
        </is>
      </c>
      <c r="F2162" s="2" t="n">
        <v>44224</v>
      </c>
      <c r="G2162" s="1" t="n"/>
    </row>
    <row r="2163">
      <c r="A2163" s="6" t="n">
        <v>49087</v>
      </c>
      <c r="B2163" s="6" t="inlineStr">
        <is>
          <t>REMY MARTIN 1738 ACCORD ROYAL</t>
        </is>
      </c>
      <c r="C2163" s="7">
        <f>VLOOKUP(A2163,SizeData!A$2:B$3839,2,FALSE)</f>
        <v/>
      </c>
      <c r="D2163" s="6" t="n">
        <v>2</v>
      </c>
      <c r="E2163" s="6" t="inlineStr">
        <is>
          <t>R1095178</t>
        </is>
      </c>
      <c r="F2163" s="2" t="n">
        <v>44298</v>
      </c>
      <c r="G2163" s="1" t="n"/>
    </row>
    <row r="2164">
      <c r="A2164" s="6" t="n">
        <v>49087</v>
      </c>
      <c r="B2164" s="6" t="inlineStr">
        <is>
          <t>REMY MARTIN 1738 ACCORD ROYAL</t>
        </is>
      </c>
      <c r="C2164" s="7">
        <f>VLOOKUP(A2164,SizeData!A$2:B$3839,2,FALSE)</f>
        <v/>
      </c>
      <c r="D2164" s="6" t="n">
        <v>10</v>
      </c>
      <c r="E2164" s="6" t="inlineStr">
        <is>
          <t>R1125434</t>
        </is>
      </c>
      <c r="F2164" s="2" t="n">
        <v>44321</v>
      </c>
      <c r="G2164" s="1" t="n"/>
    </row>
    <row r="2165">
      <c r="A2165" s="6" t="n">
        <v>49087</v>
      </c>
      <c r="B2165" s="6" t="inlineStr">
        <is>
          <t>REMY MARTIN 1738 ACCORD ROYAL</t>
        </is>
      </c>
      <c r="C2165" s="7">
        <f>VLOOKUP(A2165,SizeData!A$2:B$3839,2,FALSE)</f>
        <v/>
      </c>
      <c r="D2165" s="6" t="n">
        <v>10</v>
      </c>
      <c r="E2165" s="6" t="inlineStr">
        <is>
          <t>R1180742</t>
        </is>
      </c>
      <c r="F2165" s="2" t="n">
        <v>44390</v>
      </c>
      <c r="G2165" s="1" t="n"/>
    </row>
    <row r="2166">
      <c r="A2166" s="6" t="n">
        <v>49087</v>
      </c>
      <c r="B2166" s="6" t="inlineStr">
        <is>
          <t>REMY MARTIN 1738 ACCORD ROYAL</t>
        </is>
      </c>
      <c r="C2166" s="7">
        <f>VLOOKUP(A2166,SizeData!A$2:B$3839,2,FALSE)</f>
        <v/>
      </c>
      <c r="D2166" s="6" t="n">
        <v>5</v>
      </c>
      <c r="E2166" s="6" t="inlineStr">
        <is>
          <t>R1276317</t>
        </is>
      </c>
      <c r="F2166" s="2" t="n">
        <v>44475</v>
      </c>
      <c r="G2166" s="1" t="n"/>
    </row>
    <row r="2167">
      <c r="A2167" s="6" t="n">
        <v>49156</v>
      </c>
      <c r="B2167" s="6" t="inlineStr">
        <is>
          <t>REMY MARTIN X O EXCELLENCE COGNAC</t>
        </is>
      </c>
      <c r="C2167" s="7">
        <f>VLOOKUP(A2167,SizeData!A$2:B$3839,2,FALSE)</f>
        <v/>
      </c>
      <c r="D2167" s="6" t="n">
        <v>1</v>
      </c>
      <c r="E2167" s="6" t="inlineStr">
        <is>
          <t>R1100246</t>
        </is>
      </c>
      <c r="F2167" s="2" t="n">
        <v>44298</v>
      </c>
      <c r="G2167" s="1" t="n"/>
    </row>
    <row r="2168">
      <c r="A2168" s="6" t="n">
        <v>49156</v>
      </c>
      <c r="B2168" s="6" t="inlineStr">
        <is>
          <t>REMY MARTIN X O EXCELLENCE COGNAC</t>
        </is>
      </c>
      <c r="C2168" s="7">
        <f>VLOOKUP(A2168,SizeData!A$2:B$3839,2,FALSE)</f>
        <v/>
      </c>
      <c r="D2168" s="6" t="n">
        <v>2</v>
      </c>
      <c r="E2168" s="6" t="inlineStr">
        <is>
          <t>R1299186</t>
        </is>
      </c>
      <c r="F2168" s="2" t="n">
        <v>44501</v>
      </c>
      <c r="G2168" s="1" t="n"/>
    </row>
    <row r="2169">
      <c r="A2169" s="6" t="n">
        <v>49156</v>
      </c>
      <c r="B2169" s="6" t="inlineStr">
        <is>
          <t>REMY MARTIN XO EXCELLENCE</t>
        </is>
      </c>
      <c r="C2169" s="7">
        <f>VLOOKUP(A2169,SizeData!A$2:B$3839,2,FALSE)</f>
        <v/>
      </c>
      <c r="D2169" s="6" t="n">
        <v>1</v>
      </c>
      <c r="E2169" s="6" t="inlineStr">
        <is>
          <t>R1313912</t>
        </is>
      </c>
      <c r="F2169" s="2" t="n">
        <v>44508</v>
      </c>
      <c r="G2169" s="1" t="n"/>
    </row>
    <row r="2170">
      <c r="A2170" s="6" t="n">
        <v>49185</v>
      </c>
      <c r="B2170" s="6" t="inlineStr">
        <is>
          <t>REMY MARTIN VSOP COGNAC (FLASK)</t>
        </is>
      </c>
      <c r="C2170" s="7">
        <f>VLOOKUP(A2170,SizeData!A$2:B$3839,2,FALSE)</f>
        <v/>
      </c>
      <c r="D2170" s="6" t="n">
        <v>10</v>
      </c>
      <c r="E2170" s="6" t="inlineStr">
        <is>
          <t>R1098494</t>
        </is>
      </c>
      <c r="F2170" s="2" t="n">
        <v>44314</v>
      </c>
      <c r="G2170" s="1" t="n"/>
    </row>
    <row r="2171">
      <c r="A2171" s="6" t="n">
        <v>49185</v>
      </c>
      <c r="B2171" s="6" t="inlineStr">
        <is>
          <t>REMY MARTIN VSOP COGNAC (FLASK)</t>
        </is>
      </c>
      <c r="C2171" s="7">
        <f>VLOOKUP(A2171,SizeData!A$2:B$3839,2,FALSE)</f>
        <v/>
      </c>
      <c r="D2171" s="6" t="n">
        <v>5</v>
      </c>
      <c r="E2171" s="6" t="inlineStr">
        <is>
          <t>R1120680</t>
        </is>
      </c>
      <c r="F2171" s="2" t="n">
        <v>44333</v>
      </c>
      <c r="G2171" s="1" t="n"/>
    </row>
    <row r="2172">
      <c r="A2172" s="6" t="n">
        <v>49185</v>
      </c>
      <c r="B2172" s="6" t="inlineStr">
        <is>
          <t>REMY MARTIN VSOP COGNAC (FLASK)</t>
        </is>
      </c>
      <c r="C2172" s="7">
        <f>VLOOKUP(A2172,SizeData!A$2:B$3839,2,FALSE)</f>
        <v/>
      </c>
      <c r="D2172" s="6" t="n">
        <v>5</v>
      </c>
      <c r="E2172" s="6" t="inlineStr">
        <is>
          <t>R1159440</t>
        </is>
      </c>
      <c r="F2172" s="2" t="n">
        <v>44375</v>
      </c>
      <c r="G2172" s="1" t="n"/>
    </row>
    <row r="2173">
      <c r="A2173" s="6" t="n">
        <v>49185</v>
      </c>
      <c r="B2173" s="6" t="inlineStr">
        <is>
          <t>REMY MARTIN VSOP COGNAC (FLASK)</t>
        </is>
      </c>
      <c r="C2173" s="7">
        <f>VLOOKUP(A2173,SizeData!A$2:B$3839,2,FALSE)</f>
        <v/>
      </c>
      <c r="D2173" s="6" t="n">
        <v>5</v>
      </c>
      <c r="E2173" s="6" t="inlineStr">
        <is>
          <t>R1197474</t>
        </is>
      </c>
      <c r="F2173" s="2" t="n">
        <v>44413</v>
      </c>
      <c r="G2173" s="1" t="n"/>
    </row>
    <row r="2174">
      <c r="A2174" s="6" t="n">
        <v>49185</v>
      </c>
      <c r="B2174" s="6" t="inlineStr">
        <is>
          <t>REMY MARTIN VSOP COGNAC (FLASK)</t>
        </is>
      </c>
      <c r="C2174" s="7">
        <f>VLOOKUP(A2174,SizeData!A$2:B$3839,2,FALSE)</f>
        <v/>
      </c>
      <c r="D2174" s="6" t="n">
        <v>5</v>
      </c>
      <c r="E2174" s="6" t="inlineStr">
        <is>
          <t>R1276317</t>
        </is>
      </c>
      <c r="F2174" s="2" t="n">
        <v>44475</v>
      </c>
      <c r="G2174" s="1" t="n"/>
    </row>
    <row r="2175">
      <c r="A2175" s="6" t="n">
        <v>49185</v>
      </c>
      <c r="B2175" s="6" t="inlineStr">
        <is>
          <t>REMY MARTIN VSOP COGNAC (FLASK)</t>
        </is>
      </c>
      <c r="C2175" s="7">
        <f>VLOOKUP(A2175,SizeData!A$2:B$3839,2,FALSE)</f>
        <v/>
      </c>
      <c r="D2175" s="6" t="n">
        <v>10</v>
      </c>
      <c r="E2175" s="6" t="inlineStr">
        <is>
          <t>R1290186</t>
        </is>
      </c>
      <c r="F2175" s="2" t="n">
        <v>44482</v>
      </c>
      <c r="G2175" s="1" t="n"/>
    </row>
    <row r="2176">
      <c r="A2176" s="6" t="n">
        <v>49185</v>
      </c>
      <c r="B2176" s="6" t="inlineStr">
        <is>
          <t>REMY MARTIN VSOP COGNAC (FLASK)</t>
        </is>
      </c>
      <c r="C2176" s="7">
        <f>VLOOKUP(A2176,SizeData!A$2:B$3839,2,FALSE)</f>
        <v/>
      </c>
      <c r="D2176" s="6" t="n">
        <v>10</v>
      </c>
      <c r="E2176" s="6" t="inlineStr">
        <is>
          <t>R1364293</t>
        </is>
      </c>
      <c r="F2176" s="2" t="n">
        <v>44545</v>
      </c>
      <c r="G2176" s="1" t="n"/>
    </row>
    <row r="2177">
      <c r="A2177" s="6" t="n">
        <v>49186</v>
      </c>
      <c r="B2177" s="6" t="inlineStr">
        <is>
          <t>REMY MARTIN VSOP COGNAC</t>
        </is>
      </c>
      <c r="C2177" s="7">
        <f>VLOOKUP(A2177,SizeData!A$2:B$3839,2,FALSE)</f>
        <v/>
      </c>
      <c r="D2177" s="6" t="n">
        <v>5</v>
      </c>
      <c r="E2177" s="6" t="inlineStr">
        <is>
          <t>R1010169</t>
        </is>
      </c>
      <c r="F2177" s="2" t="n">
        <v>44203</v>
      </c>
      <c r="G2177" s="1" t="n"/>
    </row>
    <row r="2178">
      <c r="A2178" s="6" t="n">
        <v>49186</v>
      </c>
      <c r="B2178" s="6" t="inlineStr">
        <is>
          <t>REMY MARTIN VSOP COGNAC</t>
        </is>
      </c>
      <c r="C2178" s="7">
        <f>VLOOKUP(A2178,SizeData!A$2:B$3839,2,FALSE)</f>
        <v/>
      </c>
      <c r="D2178" s="6" t="n">
        <v>2</v>
      </c>
      <c r="E2178" s="6" t="inlineStr">
        <is>
          <t>R996027</t>
        </is>
      </c>
      <c r="F2178" s="2" t="n">
        <v>44203</v>
      </c>
      <c r="G2178" s="1" t="n"/>
    </row>
    <row r="2179">
      <c r="A2179" s="6" t="n">
        <v>49186</v>
      </c>
      <c r="B2179" s="6" t="inlineStr">
        <is>
          <t>REMY MARTIN VSOP COGNAC</t>
        </is>
      </c>
      <c r="C2179" s="7">
        <f>VLOOKUP(A2179,SizeData!A$2:B$3839,2,FALSE)</f>
        <v/>
      </c>
      <c r="D2179" s="6" t="n">
        <v>3</v>
      </c>
      <c r="E2179" s="6" t="inlineStr">
        <is>
          <t>R1017513</t>
        </is>
      </c>
      <c r="F2179" s="2" t="n">
        <v>44224</v>
      </c>
      <c r="G2179" s="1" t="n"/>
    </row>
    <row r="2180">
      <c r="A2180" s="6" t="n">
        <v>49186</v>
      </c>
      <c r="B2180" s="6" t="inlineStr">
        <is>
          <t>REMY MARTIN VSOP COGNAC</t>
        </is>
      </c>
      <c r="C2180" s="7">
        <f>VLOOKUP(A2180,SizeData!A$2:B$3839,2,FALSE)</f>
        <v/>
      </c>
      <c r="D2180" s="6" t="n">
        <v>6</v>
      </c>
      <c r="E2180" s="6" t="inlineStr">
        <is>
          <t>R1098494</t>
        </is>
      </c>
      <c r="F2180" s="2" t="n">
        <v>44314</v>
      </c>
      <c r="G2180" s="1" t="n"/>
    </row>
    <row r="2181">
      <c r="A2181" s="6" t="n">
        <v>49186</v>
      </c>
      <c r="B2181" s="6" t="inlineStr">
        <is>
          <t>REMY MARTIN VSOP COGNAC</t>
        </is>
      </c>
      <c r="C2181" s="7">
        <f>VLOOKUP(A2181,SizeData!A$2:B$3839,2,FALSE)</f>
        <v/>
      </c>
      <c r="D2181" s="6" t="n">
        <v>10</v>
      </c>
      <c r="E2181" s="6" t="inlineStr">
        <is>
          <t>R1125434</t>
        </is>
      </c>
      <c r="F2181" s="2" t="n">
        <v>44321</v>
      </c>
      <c r="G2181" s="1" t="n"/>
    </row>
    <row r="2182">
      <c r="A2182" s="6" t="n">
        <v>49186</v>
      </c>
      <c r="B2182" s="6" t="inlineStr">
        <is>
          <t>REMY MARTIN VSOP COGNAC</t>
        </is>
      </c>
      <c r="C2182" s="7">
        <f>VLOOKUP(A2182,SizeData!A$2:B$3839,2,FALSE)</f>
        <v/>
      </c>
      <c r="D2182" s="6" t="n">
        <v>9</v>
      </c>
      <c r="E2182" s="6" t="inlineStr">
        <is>
          <t>R1120680</t>
        </is>
      </c>
      <c r="F2182" s="2" t="n">
        <v>44333</v>
      </c>
      <c r="G2182" s="1" t="n"/>
    </row>
    <row r="2183">
      <c r="A2183" s="6" t="n">
        <v>49186</v>
      </c>
      <c r="B2183" s="6" t="inlineStr">
        <is>
          <t>REMY MARTIN VSOP COGNAC</t>
        </is>
      </c>
      <c r="C2183" s="7">
        <f>VLOOKUP(A2183,SizeData!A$2:B$3839,2,FALSE)</f>
        <v/>
      </c>
      <c r="D2183" s="6" t="n">
        <v>5</v>
      </c>
      <c r="E2183" s="6" t="inlineStr">
        <is>
          <t>R1159440</t>
        </is>
      </c>
      <c r="F2183" s="2" t="n">
        <v>44375</v>
      </c>
      <c r="G2183" s="1" t="n"/>
    </row>
    <row r="2184">
      <c r="A2184" s="6" t="n">
        <v>49186</v>
      </c>
      <c r="B2184" s="6" t="inlineStr">
        <is>
          <t>REMY MARTIN VSOP COGNAC</t>
        </is>
      </c>
      <c r="C2184" s="7">
        <f>VLOOKUP(A2184,SizeData!A$2:B$3839,2,FALSE)</f>
        <v/>
      </c>
      <c r="D2184" s="6" t="n">
        <v>5</v>
      </c>
      <c r="E2184" s="6" t="inlineStr">
        <is>
          <t>R1201518</t>
        </is>
      </c>
      <c r="F2184" s="2" t="n">
        <v>44412</v>
      </c>
      <c r="G2184" s="1" t="n"/>
    </row>
    <row r="2185">
      <c r="A2185" s="6" t="n">
        <v>49186</v>
      </c>
      <c r="B2185" s="6" t="inlineStr">
        <is>
          <t>REMY MARTIN VSOP COGNAC</t>
        </is>
      </c>
      <c r="C2185" s="7">
        <f>VLOOKUP(A2185,SizeData!A$2:B$3839,2,FALSE)</f>
        <v/>
      </c>
      <c r="D2185" s="6" t="n">
        <v>5</v>
      </c>
      <c r="E2185" s="6" t="inlineStr">
        <is>
          <t>R1276317</t>
        </is>
      </c>
      <c r="F2185" s="2" t="n">
        <v>44475</v>
      </c>
      <c r="G2185" s="1" t="n"/>
    </row>
    <row r="2186">
      <c r="A2186" s="6" t="n">
        <v>49186</v>
      </c>
      <c r="B2186" s="6" t="inlineStr">
        <is>
          <t>REMY MARTIN VSOP COGNAC</t>
        </is>
      </c>
      <c r="C2186" s="7">
        <f>VLOOKUP(A2186,SizeData!A$2:B$3839,2,FALSE)</f>
        <v/>
      </c>
      <c r="D2186" s="6" t="n">
        <v>10</v>
      </c>
      <c r="E2186" s="6" t="inlineStr">
        <is>
          <t>R1281929</t>
        </is>
      </c>
      <c r="F2186" s="2" t="n">
        <v>44483</v>
      </c>
      <c r="G2186" s="1" t="n"/>
    </row>
    <row r="2187">
      <c r="A2187" s="6" t="n">
        <v>49186</v>
      </c>
      <c r="B2187" s="6" t="inlineStr">
        <is>
          <t>REMY MARTIN VSOP COGNAC</t>
        </is>
      </c>
      <c r="C2187" s="7">
        <f>VLOOKUP(A2187,SizeData!A$2:B$3839,2,FALSE)</f>
        <v/>
      </c>
      <c r="D2187" s="6" t="n">
        <v>10</v>
      </c>
      <c r="E2187" s="6" t="inlineStr">
        <is>
          <t>R1349147</t>
        </is>
      </c>
      <c r="F2187" s="2" t="n">
        <v>44537</v>
      </c>
      <c r="G2187" s="1" t="n"/>
    </row>
    <row r="2188">
      <c r="A2188" s="6" t="n">
        <v>49187</v>
      </c>
      <c r="B2188" s="6" t="inlineStr">
        <is>
          <t>REMY MARTIN VSOP COGNAC</t>
        </is>
      </c>
      <c r="C2188" s="7">
        <f>VLOOKUP(A2188,SizeData!A$2:B$3839,2,FALSE)</f>
        <v/>
      </c>
      <c r="D2188" s="6" t="n">
        <v>1</v>
      </c>
      <c r="E2188" s="6" t="inlineStr">
        <is>
          <t>R996027</t>
        </is>
      </c>
      <c r="F2188" s="2" t="n">
        <v>44203</v>
      </c>
      <c r="G2188" s="1" t="n"/>
    </row>
    <row r="2189">
      <c r="A2189" s="6" t="n">
        <v>49187</v>
      </c>
      <c r="B2189" s="6" t="inlineStr">
        <is>
          <t>REMY MARTIN VSOP COGNAC</t>
        </is>
      </c>
      <c r="C2189" s="7">
        <f>VLOOKUP(A2189,SizeData!A$2:B$3839,2,FALSE)</f>
        <v/>
      </c>
      <c r="D2189" s="6" t="n">
        <v>5</v>
      </c>
      <c r="E2189" s="6" t="inlineStr">
        <is>
          <t>R1017513</t>
        </is>
      </c>
      <c r="F2189" s="2" t="n">
        <v>44224</v>
      </c>
      <c r="G2189" s="1" t="n"/>
    </row>
    <row r="2190">
      <c r="A2190" s="6" t="n">
        <v>49187</v>
      </c>
      <c r="B2190" s="6" t="inlineStr">
        <is>
          <t>REMY MARTIN VSOP COGNAC</t>
        </is>
      </c>
      <c r="C2190" s="7">
        <f>VLOOKUP(A2190,SizeData!A$2:B$3839,2,FALSE)</f>
        <v/>
      </c>
      <c r="D2190" s="6" t="n">
        <v>10</v>
      </c>
      <c r="E2190" s="6" t="inlineStr">
        <is>
          <t>R1083851</t>
        </is>
      </c>
      <c r="F2190" s="2" t="n">
        <v>44298</v>
      </c>
      <c r="G2190" s="1" t="n"/>
    </row>
    <row r="2191">
      <c r="A2191" s="6" t="n">
        <v>49187</v>
      </c>
      <c r="B2191" s="6" t="inlineStr">
        <is>
          <t>REMY MARTIN VSOP COGNAC</t>
        </is>
      </c>
      <c r="C2191" s="7">
        <f>VLOOKUP(A2191,SizeData!A$2:B$3839,2,FALSE)</f>
        <v/>
      </c>
      <c r="D2191" s="6" t="n">
        <v>5</v>
      </c>
      <c r="E2191" s="6" t="inlineStr">
        <is>
          <t>R1159440</t>
        </is>
      </c>
      <c r="F2191" s="2" t="n">
        <v>44375</v>
      </c>
      <c r="G2191" s="1" t="n"/>
    </row>
    <row r="2192">
      <c r="A2192" s="6" t="n">
        <v>49187</v>
      </c>
      <c r="B2192" s="6" t="inlineStr">
        <is>
          <t>REMY MARTIN VSOP COGNAC</t>
        </is>
      </c>
      <c r="C2192" s="7">
        <f>VLOOKUP(A2192,SizeData!A$2:B$3839,2,FALSE)</f>
        <v/>
      </c>
      <c r="D2192" s="6" t="n">
        <v>5</v>
      </c>
      <c r="E2192" s="6" t="inlineStr">
        <is>
          <t>R1197474</t>
        </is>
      </c>
      <c r="F2192" s="2" t="n">
        <v>44413</v>
      </c>
      <c r="G2192" s="1" t="n"/>
    </row>
    <row r="2193">
      <c r="A2193" s="6" t="n">
        <v>49187</v>
      </c>
      <c r="B2193" s="6" t="inlineStr">
        <is>
          <t>REMY MARTIN VSOP COGNAC</t>
        </is>
      </c>
      <c r="C2193" s="7">
        <f>VLOOKUP(A2193,SizeData!A$2:B$3839,2,FALSE)</f>
        <v/>
      </c>
      <c r="D2193" s="6" t="n">
        <v>5</v>
      </c>
      <c r="E2193" s="6" t="inlineStr">
        <is>
          <t>R1276317</t>
        </is>
      </c>
      <c r="F2193" s="2" t="n">
        <v>44475</v>
      </c>
      <c r="G2193" s="1" t="n"/>
    </row>
    <row r="2194">
      <c r="A2194" s="6" t="n">
        <v>49188</v>
      </c>
      <c r="B2194" s="6" t="inlineStr">
        <is>
          <t>REMY MARTIN VSOP COGNAC</t>
        </is>
      </c>
      <c r="C2194" s="7">
        <f>VLOOKUP(A2194,SizeData!A$2:B$3839,2,FALSE)</f>
        <v/>
      </c>
      <c r="D2194" s="6" t="n">
        <v>1</v>
      </c>
      <c r="E2194" s="6" t="inlineStr">
        <is>
          <t>R1073603</t>
        </is>
      </c>
      <c r="F2194" s="2" t="n">
        <v>44280</v>
      </c>
      <c r="G2194" s="1" t="n"/>
    </row>
    <row r="2195">
      <c r="A2195" s="6" t="n">
        <v>49188</v>
      </c>
      <c r="B2195" s="6" t="inlineStr">
        <is>
          <t>REMY MARTIN VSOP COGNAC</t>
        </is>
      </c>
      <c r="C2195" s="7">
        <f>VLOOKUP(A2195,SizeData!A$2:B$3839,2,FALSE)</f>
        <v/>
      </c>
      <c r="D2195" s="6" t="n">
        <v>1</v>
      </c>
      <c r="E2195" s="6" t="inlineStr">
        <is>
          <t>R1085574</t>
        </is>
      </c>
      <c r="F2195" s="2" t="n">
        <v>44288</v>
      </c>
      <c r="G2195" s="1" t="n"/>
    </row>
    <row r="2196">
      <c r="A2196" s="6" t="n">
        <v>49188</v>
      </c>
      <c r="B2196" s="6" t="inlineStr">
        <is>
          <t>REMY MARTIN VSOP COGNAC</t>
        </is>
      </c>
      <c r="C2196" s="7">
        <f>VLOOKUP(A2196,SizeData!A$2:B$3839,2,FALSE)</f>
        <v/>
      </c>
      <c r="D2196" s="6" t="n">
        <v>1</v>
      </c>
      <c r="E2196" s="6" t="inlineStr">
        <is>
          <t>R1077298</t>
        </is>
      </c>
      <c r="F2196" s="2" t="n">
        <v>44290</v>
      </c>
      <c r="G2196" s="1" t="n"/>
    </row>
    <row r="2197">
      <c r="A2197" s="6" t="n">
        <v>49188</v>
      </c>
      <c r="B2197" s="6" t="inlineStr">
        <is>
          <t>REMY MARTIN VSOP COGNAC</t>
        </is>
      </c>
      <c r="C2197" s="7">
        <f>VLOOKUP(A2197,SizeData!A$2:B$3839,2,FALSE)</f>
        <v/>
      </c>
      <c r="D2197" s="6" t="n">
        <v>1</v>
      </c>
      <c r="E2197" s="6" t="inlineStr">
        <is>
          <t>R1086355</t>
        </is>
      </c>
      <c r="F2197" s="2" t="n">
        <v>44294</v>
      </c>
      <c r="G2197" s="1" t="n"/>
    </row>
    <row r="2198">
      <c r="A2198" s="6" t="n">
        <v>49188</v>
      </c>
      <c r="B2198" s="6" t="inlineStr">
        <is>
          <t>REMY MARTIN VSOP COGNAC</t>
        </is>
      </c>
      <c r="C2198" s="7">
        <f>VLOOKUP(A2198,SizeData!A$2:B$3839,2,FALSE)</f>
        <v/>
      </c>
      <c r="D2198" s="6" t="n">
        <v>1</v>
      </c>
      <c r="E2198" s="6" t="inlineStr">
        <is>
          <t>R1096915</t>
        </is>
      </c>
      <c r="F2198" s="2" t="n">
        <v>44303</v>
      </c>
      <c r="G2198" s="1" t="n"/>
    </row>
    <row r="2199">
      <c r="A2199" s="6" t="n">
        <v>49188</v>
      </c>
      <c r="B2199" s="6" t="inlineStr">
        <is>
          <t>REMY MARTIN VSOP COGNAC</t>
        </is>
      </c>
      <c r="C2199" s="7">
        <f>VLOOKUP(A2199,SizeData!A$2:B$3839,2,FALSE)</f>
        <v/>
      </c>
      <c r="D2199" s="6" t="n">
        <v>1</v>
      </c>
      <c r="E2199" s="6" t="inlineStr">
        <is>
          <t>R1110509</t>
        </is>
      </c>
      <c r="F2199" s="2" t="n">
        <v>44306</v>
      </c>
      <c r="G2199" s="1" t="n"/>
    </row>
    <row r="2200">
      <c r="A2200" s="6" t="n">
        <v>49188</v>
      </c>
      <c r="B2200" s="6" t="inlineStr">
        <is>
          <t>REMY MARTIN VSOP COGNAC</t>
        </is>
      </c>
      <c r="C2200" s="7">
        <f>VLOOKUP(A2200,SizeData!A$2:B$3839,2,FALSE)</f>
        <v/>
      </c>
      <c r="D2200" s="6" t="n">
        <v>1</v>
      </c>
      <c r="E2200" s="6" t="inlineStr">
        <is>
          <t>R1116842</t>
        </is>
      </c>
      <c r="F2200" s="2" t="n">
        <v>44324</v>
      </c>
      <c r="G2200" s="1" t="n"/>
    </row>
    <row r="2201">
      <c r="A2201" s="6" t="n">
        <v>49188</v>
      </c>
      <c r="B2201" s="6" t="inlineStr">
        <is>
          <t>REMY MARTIN VSOP COGNAC</t>
        </is>
      </c>
      <c r="C2201" s="7">
        <f>VLOOKUP(A2201,SizeData!A$2:B$3839,2,FALSE)</f>
        <v/>
      </c>
      <c r="D2201" s="6" t="n">
        <v>1</v>
      </c>
      <c r="E2201" s="6" t="inlineStr">
        <is>
          <t>R1127639</t>
        </is>
      </c>
      <c r="F2201" s="2" t="n">
        <v>44341</v>
      </c>
      <c r="G2201" s="1" t="n"/>
    </row>
    <row r="2202">
      <c r="A2202" s="6" t="n">
        <v>49188</v>
      </c>
      <c r="B2202" s="6" t="inlineStr">
        <is>
          <t>REMY MARTIN VSOP COGNAC</t>
        </is>
      </c>
      <c r="C2202" s="7">
        <f>VLOOKUP(A2202,SizeData!A$2:B$3839,2,FALSE)</f>
        <v/>
      </c>
      <c r="D2202" s="6" t="n">
        <v>10</v>
      </c>
      <c r="E2202" s="6" t="inlineStr">
        <is>
          <t>R1230368</t>
        </is>
      </c>
      <c r="F2202" s="2" t="n">
        <v>44432</v>
      </c>
      <c r="G2202" s="1" t="n"/>
    </row>
    <row r="2203">
      <c r="A2203" s="6" t="n">
        <v>49188</v>
      </c>
      <c r="B2203" s="6" t="inlineStr">
        <is>
          <t>REMY MARTIN VSOP COGNAC</t>
        </is>
      </c>
      <c r="C2203" s="7">
        <f>VLOOKUP(A2203,SizeData!A$2:B$3839,2,FALSE)</f>
        <v/>
      </c>
      <c r="D2203" s="6" t="n">
        <v>0</v>
      </c>
      <c r="E2203" s="6" t="inlineStr">
        <is>
          <t>R1276317</t>
        </is>
      </c>
      <c r="F2203" s="2" t="n">
        <v>44475</v>
      </c>
      <c r="G2203" s="1" t="n"/>
    </row>
    <row r="2204">
      <c r="A2204" s="6" t="n">
        <v>49189</v>
      </c>
      <c r="B2204" s="6" t="inlineStr">
        <is>
          <t>REMY MARTIN VSOP COGNAC</t>
        </is>
      </c>
      <c r="C2204" s="7">
        <f>VLOOKUP(A2204,SizeData!A$2:B$3839,2,FALSE)</f>
        <v/>
      </c>
      <c r="D2204" s="6" t="n">
        <v>1</v>
      </c>
      <c r="E2204" s="6" t="inlineStr">
        <is>
          <t>R996027</t>
        </is>
      </c>
      <c r="F2204" s="2" t="n">
        <v>44203</v>
      </c>
      <c r="G2204" s="1" t="n"/>
    </row>
    <row r="2205">
      <c r="A2205" s="6" t="n">
        <v>49189</v>
      </c>
      <c r="B2205" s="6" t="inlineStr">
        <is>
          <t>REMY MARTIN VSOP COGNAC</t>
        </is>
      </c>
      <c r="C2205" s="7">
        <f>VLOOKUP(A2205,SizeData!A$2:B$3839,2,FALSE)</f>
        <v/>
      </c>
      <c r="D2205" s="6" t="n">
        <v>4</v>
      </c>
      <c r="E2205" s="6" t="inlineStr">
        <is>
          <t>R1000879</t>
        </is>
      </c>
      <c r="F2205" s="2" t="n">
        <v>44211</v>
      </c>
      <c r="G2205" s="1" t="n"/>
    </row>
    <row r="2206">
      <c r="A2206" s="6" t="n">
        <v>49189</v>
      </c>
      <c r="B2206" s="6" t="inlineStr">
        <is>
          <t>REMY MARTIN VSOP COGNAC</t>
        </is>
      </c>
      <c r="C2206" s="7">
        <f>VLOOKUP(A2206,SizeData!A$2:B$3839,2,FALSE)</f>
        <v/>
      </c>
      <c r="D2206" s="6" t="n">
        <v>6</v>
      </c>
      <c r="E2206" s="6" t="inlineStr">
        <is>
          <t>R1017513</t>
        </is>
      </c>
      <c r="F2206" s="2" t="n">
        <v>44224</v>
      </c>
      <c r="G2206" s="1" t="n"/>
    </row>
    <row r="2207">
      <c r="A2207" s="6" t="n">
        <v>49189</v>
      </c>
      <c r="B2207" s="6" t="inlineStr">
        <is>
          <t>REMY MARTIN VSOP COGNAC</t>
        </is>
      </c>
      <c r="C2207" s="7">
        <f>VLOOKUP(A2207,SizeData!A$2:B$3839,2,FALSE)</f>
        <v/>
      </c>
      <c r="D2207" s="6" t="n">
        <v>10</v>
      </c>
      <c r="E2207" s="6" t="inlineStr">
        <is>
          <t>R1083851</t>
        </is>
      </c>
      <c r="F2207" s="2" t="n">
        <v>44298</v>
      </c>
      <c r="G2207" s="1" t="n"/>
    </row>
    <row r="2208">
      <c r="A2208" s="6" t="n">
        <v>49189</v>
      </c>
      <c r="B2208" s="6" t="inlineStr">
        <is>
          <t>REMY MARTIN VSOP COGNAC</t>
        </is>
      </c>
      <c r="C2208" s="7">
        <f>VLOOKUP(A2208,SizeData!A$2:B$3839,2,FALSE)</f>
        <v/>
      </c>
      <c r="D2208" s="6" t="n">
        <v>3</v>
      </c>
      <c r="E2208" s="6" t="inlineStr">
        <is>
          <t>R1120680</t>
        </is>
      </c>
      <c r="F2208" s="2" t="n">
        <v>44333</v>
      </c>
      <c r="G2208" s="1" t="n"/>
    </row>
    <row r="2209">
      <c r="A2209" s="6" t="n">
        <v>49189</v>
      </c>
      <c r="B2209" s="6" t="inlineStr">
        <is>
          <t>REMY MARTIN VSOP COGNAC</t>
        </is>
      </c>
      <c r="C2209" s="7">
        <f>VLOOKUP(A2209,SizeData!A$2:B$3839,2,FALSE)</f>
        <v/>
      </c>
      <c r="D2209" s="6" t="n">
        <v>5</v>
      </c>
      <c r="E2209" s="6" t="inlineStr">
        <is>
          <t>R1159440</t>
        </is>
      </c>
      <c r="F2209" s="2" t="n">
        <v>44375</v>
      </c>
      <c r="G2209" s="1" t="n"/>
    </row>
    <row r="2210">
      <c r="A2210" s="6" t="n">
        <v>49189</v>
      </c>
      <c r="B2210" s="6" t="inlineStr">
        <is>
          <t>REMY MARTIN VSOP COGNAC</t>
        </is>
      </c>
      <c r="C2210" s="7">
        <f>VLOOKUP(A2210,SizeData!A$2:B$3839,2,FALSE)</f>
        <v/>
      </c>
      <c r="D2210" s="6" t="n">
        <v>5</v>
      </c>
      <c r="E2210" s="6" t="inlineStr">
        <is>
          <t>R1254638</t>
        </is>
      </c>
      <c r="F2210" s="2" t="n">
        <v>44468</v>
      </c>
      <c r="G2210" s="1" t="n"/>
    </row>
    <row r="2211">
      <c r="A2211" s="6" t="n">
        <v>49189</v>
      </c>
      <c r="B2211" s="6" t="inlineStr">
        <is>
          <t>REMY MARTIN VSOP COGNAC</t>
        </is>
      </c>
      <c r="C2211" s="7">
        <f>VLOOKUP(A2211,SizeData!A$2:B$3839,2,FALSE)</f>
        <v/>
      </c>
      <c r="D2211" s="6" t="n">
        <v>10</v>
      </c>
      <c r="E2211" s="6" t="inlineStr">
        <is>
          <t>R1294528</t>
        </is>
      </c>
      <c r="F2211" s="2" t="n">
        <v>44501</v>
      </c>
      <c r="G2211" s="1" t="n"/>
    </row>
    <row r="2212">
      <c r="A2212" s="6" t="n">
        <v>49254</v>
      </c>
      <c r="B2212" s="6" t="inlineStr">
        <is>
          <t>REVANCHE COGNAC</t>
        </is>
      </c>
      <c r="C2212" s="7">
        <f>VLOOKUP(A2212,SizeData!A$2:B$3839,2,FALSE)</f>
        <v/>
      </c>
      <c r="D2212" s="6" t="n">
        <v>1</v>
      </c>
      <c r="E2212" s="6" t="inlineStr">
        <is>
          <t>R1045566</t>
        </is>
      </c>
      <c r="F2212" s="2" t="n">
        <v>44253</v>
      </c>
      <c r="G2212" s="1" t="n"/>
    </row>
    <row r="2213">
      <c r="A2213" s="6" t="n">
        <v>49254</v>
      </c>
      <c r="B2213" s="6" t="inlineStr">
        <is>
          <t>REVANCHE COGNAC</t>
        </is>
      </c>
      <c r="C2213" s="7">
        <f>VLOOKUP(A2213,SizeData!A$2:B$3839,2,FALSE)</f>
        <v/>
      </c>
      <c r="D2213" s="6" t="n">
        <v>1</v>
      </c>
      <c r="E2213" s="6" t="inlineStr">
        <is>
          <t>R1119380</t>
        </is>
      </c>
      <c r="F2213" s="2" t="n">
        <v>44338</v>
      </c>
      <c r="G2213" s="1" t="n"/>
    </row>
    <row r="2214">
      <c r="A2214" s="6" t="n">
        <v>49254</v>
      </c>
      <c r="B2214" s="6" t="inlineStr">
        <is>
          <t>REVANCHE COGNAC</t>
        </is>
      </c>
      <c r="C2214" s="7">
        <f>VLOOKUP(A2214,SizeData!A$2:B$3839,2,FALSE)</f>
        <v/>
      </c>
      <c r="D2214" s="6" t="n">
        <v>1</v>
      </c>
      <c r="E2214" s="6" t="inlineStr">
        <is>
          <t>R1228454</t>
        </is>
      </c>
      <c r="F2214" s="2" t="n">
        <v>44445</v>
      </c>
      <c r="G2214" s="1" t="n"/>
    </row>
    <row r="2215">
      <c r="A2215" s="6" t="n">
        <v>49254</v>
      </c>
      <c r="B2215" s="6" t="inlineStr">
        <is>
          <t>REVANCHE COGNAC</t>
        </is>
      </c>
      <c r="C2215" s="7">
        <f>VLOOKUP(A2215,SizeData!A$2:B$3839,2,FALSE)</f>
        <v/>
      </c>
      <c r="D2215" s="6" t="n">
        <v>3</v>
      </c>
      <c r="E2215" s="6" t="inlineStr">
        <is>
          <t>R1301983</t>
        </is>
      </c>
      <c r="F2215" s="2" t="n">
        <v>44501</v>
      </c>
      <c r="G2215" s="1" t="n"/>
    </row>
    <row r="2216">
      <c r="A2216" s="6" t="n">
        <v>49254</v>
      </c>
      <c r="B2216" s="6" t="inlineStr">
        <is>
          <t>REVANCHE COGNAC</t>
        </is>
      </c>
      <c r="C2216" s="7">
        <f>VLOOKUP(A2216,SizeData!A$2:B$3839,2,FALSE)</f>
        <v/>
      </c>
      <c r="D2216" s="6" t="n">
        <v>2</v>
      </c>
      <c r="E2216" s="6" t="inlineStr">
        <is>
          <t>R1340613</t>
        </is>
      </c>
      <c r="F2216" s="2" t="n">
        <v>44520</v>
      </c>
      <c r="G2216" s="1" t="n"/>
    </row>
    <row r="2217">
      <c r="A2217" s="6" t="n">
        <v>49255</v>
      </c>
      <c r="B2217" s="6" t="inlineStr">
        <is>
          <t>REVANCHE COGNAC</t>
        </is>
      </c>
      <c r="C2217" s="7">
        <f>VLOOKUP(A2217,SizeData!A$2:B$3839,2,FALSE)</f>
        <v/>
      </c>
      <c r="D2217" s="6" t="n">
        <v>1</v>
      </c>
      <c r="E2217" s="6" t="inlineStr">
        <is>
          <t>R998453</t>
        </is>
      </c>
      <c r="F2217" s="2" t="n">
        <v>44212</v>
      </c>
      <c r="G2217" s="1" t="n"/>
    </row>
    <row r="2218">
      <c r="A2218" s="6" t="n">
        <v>49255</v>
      </c>
      <c r="B2218" s="6" t="inlineStr">
        <is>
          <t>REVANCHE COGNAC</t>
        </is>
      </c>
      <c r="C2218" s="7">
        <f>VLOOKUP(A2218,SizeData!A$2:B$3839,2,FALSE)</f>
        <v/>
      </c>
      <c r="D2218" s="6" t="n">
        <v>1</v>
      </c>
      <c r="E2218" s="6" t="inlineStr">
        <is>
          <t>R1047061</t>
        </is>
      </c>
      <c r="F2218" s="2" t="n">
        <v>44259</v>
      </c>
      <c r="G2218" s="1" t="n"/>
    </row>
    <row r="2219">
      <c r="A2219" s="6" t="n">
        <v>49255</v>
      </c>
      <c r="B2219" s="6" t="inlineStr">
        <is>
          <t>REVANCHE COGNAC</t>
        </is>
      </c>
      <c r="C2219" s="7">
        <f>VLOOKUP(A2219,SizeData!A$2:B$3839,2,FALSE)</f>
        <v/>
      </c>
      <c r="D2219" s="6" t="n">
        <v>1</v>
      </c>
      <c r="E2219" s="6" t="inlineStr">
        <is>
          <t>R1039467</t>
        </is>
      </c>
      <c r="F2219" s="2" t="n">
        <v>44266</v>
      </c>
      <c r="G2219" s="1" t="n"/>
    </row>
    <row r="2220">
      <c r="A2220" s="6" t="n">
        <v>49255</v>
      </c>
      <c r="B2220" s="6" t="inlineStr">
        <is>
          <t>REVANCHE COGNAC</t>
        </is>
      </c>
      <c r="C2220" s="7">
        <f>VLOOKUP(A2220,SizeData!A$2:B$3839,2,FALSE)</f>
        <v/>
      </c>
      <c r="D2220" s="6" t="n">
        <v>1</v>
      </c>
      <c r="E2220" s="6" t="inlineStr">
        <is>
          <t>R1204006</t>
        </is>
      </c>
      <c r="F2220" s="2" t="n">
        <v>44415</v>
      </c>
      <c r="G2220" s="1" t="n"/>
    </row>
    <row r="2221">
      <c r="A2221" s="6" t="n">
        <v>49255</v>
      </c>
      <c r="B2221" s="6" t="inlineStr">
        <is>
          <t>REVANCHE COGNAC</t>
        </is>
      </c>
      <c r="C2221" s="7">
        <f>VLOOKUP(A2221,SizeData!A$2:B$3839,2,FALSE)</f>
        <v/>
      </c>
      <c r="D2221" s="6" t="n">
        <v>2</v>
      </c>
      <c r="E2221" s="6" t="inlineStr">
        <is>
          <t>R1262670</t>
        </is>
      </c>
      <c r="F2221" s="2" t="n">
        <v>44470</v>
      </c>
      <c r="G2221" s="1" t="n"/>
    </row>
    <row r="2222">
      <c r="A2222" s="6" t="n">
        <v>49255</v>
      </c>
      <c r="B2222" s="6" t="inlineStr">
        <is>
          <t>REVANCHE COGNAC</t>
        </is>
      </c>
      <c r="C2222" s="7">
        <f>VLOOKUP(A2222,SizeData!A$2:B$3839,2,FALSE)</f>
        <v/>
      </c>
      <c r="D2222" s="6" t="n">
        <v>2</v>
      </c>
      <c r="E2222" s="6" t="inlineStr">
        <is>
          <t>R1253669</t>
        </is>
      </c>
      <c r="F2222" s="2" t="n">
        <v>44471</v>
      </c>
      <c r="G2222" s="1" t="n"/>
    </row>
    <row r="2223">
      <c r="A2223" s="6" t="n">
        <v>49255</v>
      </c>
      <c r="B2223" s="6" t="inlineStr">
        <is>
          <t>REVANCHE COGNAC</t>
        </is>
      </c>
      <c r="C2223" s="7">
        <f>VLOOKUP(A2223,SizeData!A$2:B$3839,2,FALSE)</f>
        <v/>
      </c>
      <c r="D2223" s="6" t="n">
        <v>1</v>
      </c>
      <c r="E2223" s="6" t="inlineStr">
        <is>
          <t>R1259983</t>
        </is>
      </c>
      <c r="F2223" s="2" t="n">
        <v>44479</v>
      </c>
      <c r="G2223" s="1" t="n"/>
    </row>
    <row r="2224">
      <c r="A2224" s="6" t="n">
        <v>49373</v>
      </c>
      <c r="B2224" s="6" t="inlineStr">
        <is>
          <t>SALIGNAC V S</t>
        </is>
      </c>
      <c r="C2224" s="7">
        <f>VLOOKUP(A2224,SizeData!A$2:B$3839,2,FALSE)</f>
        <v/>
      </c>
      <c r="D2224" s="6" t="n">
        <v>20</v>
      </c>
      <c r="E2224" s="6" t="inlineStr">
        <is>
          <t>R992702</t>
        </is>
      </c>
      <c r="F2224" s="2" t="n">
        <v>44200</v>
      </c>
      <c r="G2224" s="1" t="n"/>
    </row>
    <row r="2225">
      <c r="A2225" s="6" t="n">
        <v>49374</v>
      </c>
      <c r="B2225" s="6" t="inlineStr">
        <is>
          <t>SALIGNAC V S</t>
        </is>
      </c>
      <c r="C2225" s="7">
        <f>VLOOKUP(A2225,SizeData!A$2:B$3839,2,FALSE)</f>
        <v/>
      </c>
      <c r="D2225" s="6" t="n">
        <v>3</v>
      </c>
      <c r="E2225" s="6" t="inlineStr">
        <is>
          <t>R1266090</t>
        </is>
      </c>
      <c r="F2225" s="2" t="n">
        <v>44473</v>
      </c>
      <c r="G2225" s="1" t="n"/>
    </row>
    <row r="2226">
      <c r="A2226" s="6" t="n">
        <v>49376</v>
      </c>
      <c r="B2226" s="6" t="inlineStr">
        <is>
          <t>SALIGNAC V S</t>
        </is>
      </c>
      <c r="C2226" s="7">
        <f>VLOOKUP(A2226,SizeData!A$2:B$3839,2,FALSE)</f>
        <v/>
      </c>
      <c r="D2226" s="6" t="n">
        <v>50</v>
      </c>
      <c r="E2226" s="6" t="inlineStr">
        <is>
          <t>R1056981</t>
        </is>
      </c>
      <c r="F2226" s="2" t="n">
        <v>44271</v>
      </c>
      <c r="G2226" s="1" t="n"/>
    </row>
    <row r="2227">
      <c r="A2227" s="6" t="n">
        <v>49378</v>
      </c>
      <c r="B2227" s="6" t="inlineStr">
        <is>
          <t>SALIGNAC V S</t>
        </is>
      </c>
      <c r="C2227" s="7">
        <f>VLOOKUP(A2227,SizeData!A$2:B$3839,2,FALSE)</f>
        <v/>
      </c>
      <c r="D2227" s="6" t="n">
        <v>2</v>
      </c>
      <c r="E2227" s="6" t="inlineStr">
        <is>
          <t>R1019092</t>
        </is>
      </c>
      <c r="F2227" s="2" t="n">
        <v>44238</v>
      </c>
      <c r="G2227" s="1" t="n"/>
    </row>
    <row r="2228">
      <c r="A2228" s="6" t="n">
        <v>49378</v>
      </c>
      <c r="B2228" s="6" t="inlineStr">
        <is>
          <t>SALIGNAC V S</t>
        </is>
      </c>
      <c r="C2228" s="7">
        <f>VLOOKUP(A2228,SizeData!A$2:B$3839,2,FALSE)</f>
        <v/>
      </c>
      <c r="D2228" s="6" t="n">
        <v>1</v>
      </c>
      <c r="E2228" s="6" t="inlineStr">
        <is>
          <t>R1134794</t>
        </is>
      </c>
      <c r="F2228" s="2" t="n">
        <v>44365</v>
      </c>
      <c r="G2228" s="1" t="n"/>
    </row>
    <row r="2229">
      <c r="A2229" s="6" t="n">
        <v>50375</v>
      </c>
      <c r="B2229" s="6" t="inlineStr">
        <is>
          <t>ORIGINAL GANGSTER OG</t>
        </is>
      </c>
      <c r="C2229" s="7">
        <f>VLOOKUP(A2229,SizeData!A$2:B$3839,2,FALSE)</f>
        <v/>
      </c>
      <c r="D2229" s="6" t="n">
        <v>1</v>
      </c>
      <c r="E2229" s="6" t="inlineStr">
        <is>
          <t>R1008985</t>
        </is>
      </c>
      <c r="F2229" s="2" t="n">
        <v>44224</v>
      </c>
      <c r="G2229" s="1" t="n"/>
    </row>
    <row r="2230">
      <c r="A2230" s="6" t="n">
        <v>50375</v>
      </c>
      <c r="B2230" s="6" t="inlineStr">
        <is>
          <t>ORIGINAL GANGSTER OG</t>
        </is>
      </c>
      <c r="C2230" s="7">
        <f>VLOOKUP(A2230,SizeData!A$2:B$3839,2,FALSE)</f>
        <v/>
      </c>
      <c r="D2230" s="6" t="n">
        <v>1</v>
      </c>
      <c r="E2230" s="6" t="inlineStr">
        <is>
          <t>R1047061</t>
        </is>
      </c>
      <c r="F2230" s="2" t="n">
        <v>44259</v>
      </c>
      <c r="G2230" s="1" t="n"/>
    </row>
    <row r="2231">
      <c r="A2231" s="6" t="n">
        <v>50375</v>
      </c>
      <c r="B2231" s="6" t="inlineStr">
        <is>
          <t>ORIGINAL GANGSTER OG</t>
        </is>
      </c>
      <c r="C2231" s="7">
        <f>VLOOKUP(A2231,SizeData!A$2:B$3839,2,FALSE)</f>
        <v/>
      </c>
      <c r="D2231" s="6" t="n">
        <v>1</v>
      </c>
      <c r="E2231" s="6" t="inlineStr">
        <is>
          <t>R1181307</t>
        </is>
      </c>
      <c r="F2231" s="2" t="n">
        <v>44387</v>
      </c>
      <c r="G2231" s="1" t="n"/>
    </row>
    <row r="2232">
      <c r="A2232" s="6" t="n">
        <v>51107</v>
      </c>
      <c r="B2232" s="6" t="inlineStr">
        <is>
          <t>CIROC VS</t>
        </is>
      </c>
      <c r="C2232" s="7">
        <f>VLOOKUP(A2232,SizeData!A$2:B$3839,2,FALSE)</f>
        <v/>
      </c>
      <c r="D2232" s="6" t="n">
        <v>1</v>
      </c>
      <c r="E2232" s="6" t="inlineStr">
        <is>
          <t>R998330</t>
        </is>
      </c>
      <c r="F2232" s="2" t="n">
        <v>44207</v>
      </c>
      <c r="G2232" s="1" t="n"/>
    </row>
    <row r="2233">
      <c r="A2233" s="6" t="n">
        <v>51107</v>
      </c>
      <c r="B2233" s="6" t="inlineStr">
        <is>
          <t>CIROC VS</t>
        </is>
      </c>
      <c r="C2233" s="7">
        <f>VLOOKUP(A2233,SizeData!A$2:B$3839,2,FALSE)</f>
        <v/>
      </c>
      <c r="D2233" s="6" t="n">
        <v>1</v>
      </c>
      <c r="E2233" s="6" t="inlineStr">
        <is>
          <t>R1013727</t>
        </is>
      </c>
      <c r="F2233" s="2" t="n">
        <v>44229</v>
      </c>
      <c r="G2233" s="1" t="n"/>
    </row>
    <row r="2234">
      <c r="A2234" s="6" t="n">
        <v>51107</v>
      </c>
      <c r="B2234" s="6" t="inlineStr">
        <is>
          <t>CIROC VS</t>
        </is>
      </c>
      <c r="C2234" s="7">
        <f>VLOOKUP(A2234,SizeData!A$2:B$3839,2,FALSE)</f>
        <v/>
      </c>
      <c r="D2234" s="6" t="n">
        <v>2</v>
      </c>
      <c r="E2234" s="6" t="inlineStr">
        <is>
          <t>R1050226</t>
        </is>
      </c>
      <c r="F2234" s="2" t="n">
        <v>44256</v>
      </c>
      <c r="G2234" s="1" t="n"/>
    </row>
    <row r="2235">
      <c r="A2235" s="6" t="n">
        <v>51107</v>
      </c>
      <c r="B2235" s="6" t="inlineStr">
        <is>
          <t>CIROC VS</t>
        </is>
      </c>
      <c r="C2235" s="7">
        <f>VLOOKUP(A2235,SizeData!A$2:B$3839,2,FALSE)</f>
        <v/>
      </c>
      <c r="D2235" s="6" t="n">
        <v>2</v>
      </c>
      <c r="E2235" s="6" t="inlineStr">
        <is>
          <t>R1084748</t>
        </is>
      </c>
      <c r="F2235" s="2" t="n">
        <v>44294</v>
      </c>
      <c r="G2235" s="1" t="n"/>
    </row>
    <row r="2236">
      <c r="A2236" s="6" t="n">
        <v>51107</v>
      </c>
      <c r="B2236" s="6" t="inlineStr">
        <is>
          <t>CIROC VS</t>
        </is>
      </c>
      <c r="C2236" s="7">
        <f>VLOOKUP(A2236,SizeData!A$2:B$3839,2,FALSE)</f>
        <v/>
      </c>
      <c r="D2236" s="6" t="n">
        <v>0</v>
      </c>
      <c r="E2236" s="6" t="inlineStr">
        <is>
          <t>R1286225</t>
        </is>
      </c>
      <c r="F2236" s="2" t="n">
        <v>44478</v>
      </c>
      <c r="G2236" s="1" t="n"/>
    </row>
    <row r="2237">
      <c r="A2237" s="6" t="n">
        <v>51107</v>
      </c>
      <c r="B2237" s="6" t="inlineStr">
        <is>
          <t>CIROC VS</t>
        </is>
      </c>
      <c r="C2237" s="7">
        <f>VLOOKUP(A2237,SizeData!A$2:B$3839,2,FALSE)</f>
        <v/>
      </c>
      <c r="D2237" s="6" t="n">
        <v>2</v>
      </c>
      <c r="E2237" s="6" t="inlineStr">
        <is>
          <t>R1283487</t>
        </is>
      </c>
      <c r="F2237" s="2" t="n">
        <v>44494</v>
      </c>
      <c r="G2237" s="1" t="n"/>
    </row>
    <row r="2238">
      <c r="A2238" s="6" t="n">
        <v>51107</v>
      </c>
      <c r="B2238" s="6" t="inlineStr">
        <is>
          <t>CIROC VS</t>
        </is>
      </c>
      <c r="C2238" s="7">
        <f>VLOOKUP(A2238,SizeData!A$2:B$3839,2,FALSE)</f>
        <v/>
      </c>
      <c r="D2238" s="6" t="n">
        <v>1</v>
      </c>
      <c r="E2238" s="6" t="inlineStr">
        <is>
          <t>R1331167</t>
        </is>
      </c>
      <c r="F2238" s="2" t="n">
        <v>44522</v>
      </c>
      <c r="G2238" s="1" t="n"/>
    </row>
    <row r="2239">
      <c r="A2239" s="6" t="n">
        <v>51109</v>
      </c>
      <c r="B2239" s="6" t="inlineStr">
        <is>
          <t>CIROC VS</t>
        </is>
      </c>
      <c r="C2239" s="7">
        <f>VLOOKUP(A2239,SizeData!A$2:B$3839,2,FALSE)</f>
        <v/>
      </c>
      <c r="D2239" s="6" t="n">
        <v>5</v>
      </c>
      <c r="E2239" s="6" t="inlineStr">
        <is>
          <t>R1013727</t>
        </is>
      </c>
      <c r="F2239" s="2" t="n">
        <v>44229</v>
      </c>
      <c r="G2239" s="1" t="n"/>
    </row>
    <row r="2240">
      <c r="A2240" s="6" t="n">
        <v>51109</v>
      </c>
      <c r="B2240" s="6" t="inlineStr">
        <is>
          <t>CIROC VS</t>
        </is>
      </c>
      <c r="C2240" s="7">
        <f>VLOOKUP(A2240,SizeData!A$2:B$3839,2,FALSE)</f>
        <v/>
      </c>
      <c r="D2240" s="6" t="n">
        <v>10</v>
      </c>
      <c r="E2240" s="6" t="inlineStr">
        <is>
          <t>R1069165</t>
        </is>
      </c>
      <c r="F2240" s="2" t="n">
        <v>44286</v>
      </c>
      <c r="G2240" s="1" t="n"/>
    </row>
    <row r="2241">
      <c r="A2241" s="6" t="n">
        <v>51109</v>
      </c>
      <c r="B2241" s="6" t="inlineStr">
        <is>
          <t>CIROC VS</t>
        </is>
      </c>
      <c r="C2241" s="7">
        <f>VLOOKUP(A2241,SizeData!A$2:B$3839,2,FALSE)</f>
        <v/>
      </c>
      <c r="D2241" s="6" t="n">
        <v>1</v>
      </c>
      <c r="E2241" s="6" t="inlineStr">
        <is>
          <t xml:space="preserve"> R1137452</t>
        </is>
      </c>
      <c r="F2241" s="2" t="n">
        <v>44350</v>
      </c>
      <c r="G2241" s="1" t="n"/>
    </row>
    <row r="2242">
      <c r="A2242" s="6" t="n">
        <v>51109</v>
      </c>
      <c r="B2242" s="6" t="inlineStr">
        <is>
          <t>CIROC VS</t>
        </is>
      </c>
      <c r="C2242" s="7">
        <f>VLOOKUP(A2242,SizeData!A$2:B$3839,2,FALSE)</f>
        <v/>
      </c>
      <c r="D2242" s="6" t="n">
        <v>5</v>
      </c>
      <c r="E2242" s="6" t="inlineStr">
        <is>
          <t xml:space="preserve"> R1162248</t>
        </is>
      </c>
      <c r="F2242" s="2" t="n">
        <v>44375</v>
      </c>
      <c r="G2242" s="1" t="n"/>
    </row>
    <row r="2243">
      <c r="A2243" s="6" t="n">
        <v>51109</v>
      </c>
      <c r="B2243" s="6" t="inlineStr">
        <is>
          <t>CIROC VS</t>
        </is>
      </c>
      <c r="C2243" s="7">
        <f>VLOOKUP(A2243,SizeData!A$2:B$3839,2,FALSE)</f>
        <v/>
      </c>
      <c r="D2243" s="6" t="n">
        <v>3</v>
      </c>
      <c r="E2243" s="6" t="inlineStr">
        <is>
          <t>R1203719</t>
        </is>
      </c>
      <c r="F2243" s="2" t="n">
        <v>44419</v>
      </c>
      <c r="G2243" s="1" t="n"/>
    </row>
    <row r="2244">
      <c r="A2244" s="6" t="n">
        <v>51109</v>
      </c>
      <c r="B2244" s="6" t="inlineStr">
        <is>
          <t>CIROC VS</t>
        </is>
      </c>
      <c r="C2244" s="7">
        <f>VLOOKUP(A2244,SizeData!A$2:B$3839,2,FALSE)</f>
        <v/>
      </c>
      <c r="D2244" s="6" t="n">
        <v>1</v>
      </c>
      <c r="E2244" s="6" t="inlineStr">
        <is>
          <t>R1276264</t>
        </is>
      </c>
      <c r="F2244" s="2" t="n">
        <v>44477</v>
      </c>
      <c r="G2244" s="1" t="n"/>
    </row>
    <row r="2245">
      <c r="A2245" s="6" t="n">
        <v>51109</v>
      </c>
      <c r="B2245" s="6" t="inlineStr">
        <is>
          <t>CIROC VS</t>
        </is>
      </c>
      <c r="C2245" s="7">
        <f>VLOOKUP(A2245,SizeData!A$2:B$3839,2,FALSE)</f>
        <v/>
      </c>
      <c r="D2245" s="6" t="n">
        <v>1</v>
      </c>
      <c r="E2245" s="6" t="inlineStr">
        <is>
          <t>R1303942</t>
        </is>
      </c>
      <c r="F2245" s="2" t="n">
        <v>44501</v>
      </c>
      <c r="G2245" s="1" t="n"/>
    </row>
    <row r="2246">
      <c r="A2246" s="6" t="n">
        <v>51109</v>
      </c>
      <c r="B2246" s="6" t="inlineStr">
        <is>
          <t>CIROC VS</t>
        </is>
      </c>
      <c r="C2246" s="7">
        <f>VLOOKUP(A2246,SizeData!A$2:B$3839,2,FALSE)</f>
        <v/>
      </c>
      <c r="D2246" s="6" t="n">
        <v>3</v>
      </c>
      <c r="E2246" s="6" t="inlineStr">
        <is>
          <t>R1318952</t>
        </is>
      </c>
      <c r="F2246" s="2" t="n">
        <v>44516</v>
      </c>
      <c r="G2246" s="1" t="n"/>
    </row>
    <row r="2247">
      <c r="A2247" s="6" t="n">
        <v>51109</v>
      </c>
      <c r="B2247" s="6" t="inlineStr">
        <is>
          <t>CIROC VS</t>
        </is>
      </c>
      <c r="C2247" s="7">
        <f>VLOOKUP(A2247,SizeData!A$2:B$3839,2,FALSE)</f>
        <v/>
      </c>
      <c r="D2247" s="6" t="n">
        <v>1</v>
      </c>
      <c r="E2247" s="6" t="inlineStr">
        <is>
          <t>R1326778</t>
        </is>
      </c>
      <c r="F2247" s="2" t="n">
        <v>44517</v>
      </c>
      <c r="G2247" s="1" t="n"/>
    </row>
    <row r="2248">
      <c r="A2248" s="6" t="n">
        <v>51109</v>
      </c>
      <c r="B2248" s="6" t="inlineStr">
        <is>
          <t>CIROC VS</t>
        </is>
      </c>
      <c r="C2248" s="7">
        <f>VLOOKUP(A2248,SizeData!A$2:B$3839,2,FALSE)</f>
        <v/>
      </c>
      <c r="D2248" s="6" t="n">
        <v>1</v>
      </c>
      <c r="E2248" s="6" t="inlineStr">
        <is>
          <t>R1360222</t>
        </is>
      </c>
      <c r="F2248" s="2" t="n">
        <v>44531</v>
      </c>
      <c r="G2248" s="1" t="n"/>
    </row>
    <row r="2249">
      <c r="A2249" s="6" t="n">
        <v>52199</v>
      </c>
      <c r="B2249" s="6" t="inlineStr">
        <is>
          <t>PAUL MASSON GRANDE AMBER BRANDY</t>
        </is>
      </c>
      <c r="C2249" s="7">
        <f>VLOOKUP(A2249,SizeData!A$2:B$3839,2,FALSE)</f>
        <v/>
      </c>
      <c r="D2249" s="6" t="n">
        <v>5</v>
      </c>
      <c r="E2249" s="6" t="inlineStr">
        <is>
          <t>R1066387</t>
        </is>
      </c>
      <c r="F2249" s="2" t="n">
        <v>44274</v>
      </c>
      <c r="G2249" s="1" t="n"/>
    </row>
    <row r="2250">
      <c r="A2250" s="6" t="n">
        <v>52199</v>
      </c>
      <c r="B2250" s="6" t="inlineStr">
        <is>
          <t>PAUL MASSON GRANDE AMBER BRANDY</t>
        </is>
      </c>
      <c r="C2250" s="7">
        <f>VLOOKUP(A2250,SizeData!A$2:B$3839,2,FALSE)</f>
        <v/>
      </c>
      <c r="D2250" s="6" t="n">
        <v>0</v>
      </c>
      <c r="E2250" s="6" t="inlineStr">
        <is>
          <t>R1308354</t>
        </is>
      </c>
      <c r="F2250" s="2" t="n">
        <v>44504</v>
      </c>
      <c r="G2250" s="1" t="n"/>
    </row>
    <row r="2251">
      <c r="A2251" s="6" t="n">
        <v>52312</v>
      </c>
      <c r="B2251" s="6" t="inlineStr">
        <is>
          <t>CHRISTIAN BROTHERS BRANDY</t>
        </is>
      </c>
      <c r="C2251" s="7">
        <f>VLOOKUP(A2251,SizeData!A$2:B$3839,2,FALSE)</f>
        <v/>
      </c>
      <c r="D2251" s="6" t="n">
        <v>1</v>
      </c>
      <c r="E2251" s="6" t="inlineStr">
        <is>
          <t>R1335695</t>
        </is>
      </c>
      <c r="F2251" s="2" t="n">
        <v>44525</v>
      </c>
      <c r="G2251" s="1" t="n"/>
    </row>
    <row r="2252">
      <c r="A2252" s="6" t="n">
        <v>52315</v>
      </c>
      <c r="B2252" s="6" t="inlineStr">
        <is>
          <t>CHRISTIAN BROTHERS BRANDY</t>
        </is>
      </c>
      <c r="C2252" s="7">
        <f>VLOOKUP(A2252,SizeData!A$2:B$3839,2,FALSE)</f>
        <v/>
      </c>
      <c r="D2252" s="6" t="n">
        <v>1</v>
      </c>
      <c r="E2252" s="6" t="inlineStr">
        <is>
          <t>R1030777</t>
        </is>
      </c>
      <c r="F2252" s="2" t="n">
        <v>44238</v>
      </c>
      <c r="G2252" s="1" t="n"/>
    </row>
    <row r="2253">
      <c r="A2253" s="6" t="n">
        <v>52315</v>
      </c>
      <c r="B2253" s="6" t="inlineStr">
        <is>
          <t>CHRISTIAN BROTHERS BRANDY</t>
        </is>
      </c>
      <c r="C2253" s="7">
        <f>VLOOKUP(A2253,SizeData!A$2:B$3839,2,FALSE)</f>
        <v/>
      </c>
      <c r="D2253" s="6" t="n">
        <v>1</v>
      </c>
      <c r="E2253" s="6" t="inlineStr">
        <is>
          <t>R1187907</t>
        </is>
      </c>
      <c r="F2253" s="2" t="n">
        <v>44401</v>
      </c>
      <c r="G2253" s="1" t="n"/>
    </row>
    <row r="2254">
      <c r="A2254" s="6" t="n">
        <v>52315</v>
      </c>
      <c r="B2254" s="6" t="inlineStr">
        <is>
          <t>CHRISTIAN BROTHERS BRANDY</t>
        </is>
      </c>
      <c r="C2254" s="7">
        <f>VLOOKUP(A2254,SizeData!A$2:B$3839,2,FALSE)</f>
        <v/>
      </c>
      <c r="D2254" s="6" t="n">
        <v>1</v>
      </c>
      <c r="E2254" s="6" t="inlineStr">
        <is>
          <t>R1342961</t>
        </is>
      </c>
      <c r="F2254" s="2" t="n">
        <v>44537</v>
      </c>
      <c r="G2254" s="1" t="n"/>
    </row>
    <row r="2255">
      <c r="A2255" s="6" t="n">
        <v>52316</v>
      </c>
      <c r="B2255" s="6" t="inlineStr">
        <is>
          <t>CHRISTIAN BROTHERS BRANDY</t>
        </is>
      </c>
      <c r="C2255" s="7">
        <f>VLOOKUP(A2255,SizeData!A$2:B$3839,2,FALSE)</f>
        <v/>
      </c>
      <c r="D2255" s="6" t="n">
        <v>1</v>
      </c>
      <c r="E2255" s="6" t="inlineStr">
        <is>
          <t>R1035997</t>
        </is>
      </c>
      <c r="F2255" s="2" t="n">
        <v>44252</v>
      </c>
      <c r="G2255" s="1" t="n"/>
    </row>
    <row r="2256">
      <c r="A2256" s="6" t="n">
        <v>52316</v>
      </c>
      <c r="B2256" s="6" t="inlineStr">
        <is>
          <t>CHRISTIAN BROTHERS BRANDY</t>
        </is>
      </c>
      <c r="C2256" s="7">
        <f>VLOOKUP(A2256,SizeData!A$2:B$3839,2,FALSE)</f>
        <v/>
      </c>
      <c r="D2256" s="6" t="n">
        <v>1</v>
      </c>
      <c r="E2256" s="6" t="inlineStr">
        <is>
          <t>R1342961</t>
        </is>
      </c>
      <c r="F2256" s="2" t="n">
        <v>44537</v>
      </c>
      <c r="G2256" s="1" t="n"/>
    </row>
    <row r="2257">
      <c r="A2257" s="6" t="n">
        <v>52559</v>
      </c>
      <c r="B2257" s="6" t="inlineStr">
        <is>
          <t>E &amp; J XO BRANDY</t>
        </is>
      </c>
      <c r="C2257" s="7">
        <f>VLOOKUP(A2257,SizeData!A$2:B$3839,2,FALSE)</f>
        <v/>
      </c>
      <c r="D2257" s="6" t="n">
        <v>1</v>
      </c>
      <c r="E2257" s="6" t="inlineStr">
        <is>
          <t xml:space="preserve"> R1133829</t>
        </is>
      </c>
      <c r="F2257" s="2" t="n">
        <v>44350</v>
      </c>
      <c r="G2257" s="1" t="n"/>
    </row>
    <row r="2258">
      <c r="A2258" s="6" t="n">
        <v>52559</v>
      </c>
      <c r="B2258" s="6" t="inlineStr">
        <is>
          <t>E &amp; J XO BRANDY</t>
        </is>
      </c>
      <c r="C2258" s="7">
        <f>VLOOKUP(A2258,SizeData!A$2:B$3839,2,FALSE)</f>
        <v/>
      </c>
      <c r="D2258" s="6" t="n">
        <v>1</v>
      </c>
      <c r="E2258" s="6" t="inlineStr">
        <is>
          <t>R1226354</t>
        </is>
      </c>
      <c r="F2258" s="2" t="n">
        <v>44434</v>
      </c>
      <c r="G2258" s="1" t="n"/>
    </row>
    <row r="2259">
      <c r="A2259" s="6" t="n">
        <v>52559</v>
      </c>
      <c r="B2259" s="6" t="inlineStr">
        <is>
          <t>E &amp; J XO BRANDY</t>
        </is>
      </c>
      <c r="C2259" s="7">
        <f>VLOOKUP(A2259,SizeData!A$2:B$3839,2,FALSE)</f>
        <v/>
      </c>
      <c r="D2259" s="6" t="n">
        <v>0</v>
      </c>
      <c r="E2259" s="6" t="inlineStr">
        <is>
          <t>R1264756</t>
        </is>
      </c>
      <c r="F2259" s="2" t="n">
        <v>44472</v>
      </c>
      <c r="G2259" s="1" t="n"/>
    </row>
    <row r="2260">
      <c r="A2260" s="6" t="n">
        <v>52559</v>
      </c>
      <c r="B2260" s="6" t="inlineStr">
        <is>
          <t>E &amp; J XO BRANDY</t>
        </is>
      </c>
      <c r="C2260" s="7">
        <f>VLOOKUP(A2260,SizeData!A$2:B$3839,2,FALSE)</f>
        <v/>
      </c>
      <c r="D2260" s="6" t="n">
        <v>1</v>
      </c>
      <c r="E2260" s="6" t="inlineStr">
        <is>
          <t>R1284159</t>
        </is>
      </c>
      <c r="F2260" s="2" t="n">
        <v>44488</v>
      </c>
      <c r="G2260" s="1" t="n"/>
    </row>
    <row r="2261">
      <c r="A2261" s="6" t="n">
        <v>52559</v>
      </c>
      <c r="B2261" s="6" t="inlineStr">
        <is>
          <t>E &amp; J XO BRANDY</t>
        </is>
      </c>
      <c r="C2261" s="7">
        <f>VLOOKUP(A2261,SizeData!A$2:B$3839,2,FALSE)</f>
        <v/>
      </c>
      <c r="D2261" s="6" t="n">
        <v>1</v>
      </c>
      <c r="E2261" s="6" t="inlineStr">
        <is>
          <t>R1283487</t>
        </is>
      </c>
      <c r="F2261" s="2" t="n">
        <v>44494</v>
      </c>
      <c r="G2261" s="1" t="n"/>
    </row>
    <row r="2262">
      <c r="A2262" s="6" t="n">
        <v>52559</v>
      </c>
      <c r="B2262" s="6" t="inlineStr">
        <is>
          <t>E &amp; J XO BRANDY</t>
        </is>
      </c>
      <c r="C2262" s="7">
        <f>VLOOKUP(A2262,SizeData!A$2:B$3839,2,FALSE)</f>
        <v/>
      </c>
      <c r="D2262" s="6" t="n">
        <v>2</v>
      </c>
      <c r="E2262" s="6" t="inlineStr">
        <is>
          <t>R1331411</t>
        </is>
      </c>
      <c r="F2262" s="2" t="n">
        <v>44517</v>
      </c>
      <c r="G2262" s="1" t="n"/>
    </row>
    <row r="2263">
      <c r="A2263" s="6" t="n">
        <v>52562</v>
      </c>
      <c r="B2263" s="6" t="inlineStr">
        <is>
          <t>E &amp; J XO BRANDY</t>
        </is>
      </c>
      <c r="C2263" s="7">
        <f>VLOOKUP(A2263,SizeData!A$2:B$3839,2,FALSE)</f>
        <v/>
      </c>
      <c r="D2263" s="6" t="n">
        <v>1</v>
      </c>
      <c r="E2263" s="6" t="inlineStr">
        <is>
          <t>R1018402</t>
        </is>
      </c>
      <c r="F2263" s="2" t="n">
        <v>44229</v>
      </c>
      <c r="G2263" s="1" t="n"/>
    </row>
    <row r="2264">
      <c r="A2264" s="6" t="n">
        <v>52562</v>
      </c>
      <c r="B2264" s="6" t="inlineStr">
        <is>
          <t>E &amp; J XO BRANDY</t>
        </is>
      </c>
      <c r="C2264" s="7">
        <f>VLOOKUP(A2264,SizeData!A$2:B$3839,2,FALSE)</f>
        <v/>
      </c>
      <c r="D2264" s="6" t="n">
        <v>1</v>
      </c>
      <c r="E2264" s="6" t="inlineStr">
        <is>
          <t>R1148206</t>
        </is>
      </c>
      <c r="F2264" s="2" t="n">
        <v>44359</v>
      </c>
      <c r="G2264" s="1" t="n"/>
    </row>
    <row r="2265">
      <c r="A2265" s="6" t="n">
        <v>52562</v>
      </c>
      <c r="B2265" s="6" t="inlineStr">
        <is>
          <t>E &amp; J XO BRANDY</t>
        </is>
      </c>
      <c r="C2265" s="7">
        <f>VLOOKUP(A2265,SizeData!A$2:B$3839,2,FALSE)</f>
        <v/>
      </c>
      <c r="D2265" s="6" t="n">
        <v>1</v>
      </c>
      <c r="E2265" s="6" t="inlineStr">
        <is>
          <t>R1285811</t>
        </is>
      </c>
      <c r="F2265" s="2" t="n">
        <v>44474</v>
      </c>
      <c r="G2265" s="1" t="n"/>
    </row>
    <row r="2266">
      <c r="A2266" s="6" t="n">
        <v>52563</v>
      </c>
      <c r="B2266" s="6" t="inlineStr">
        <is>
          <t>E &amp; J XO BRANDY</t>
        </is>
      </c>
      <c r="C2266" s="7">
        <f>VLOOKUP(A2266,SizeData!A$2:B$3839,2,FALSE)</f>
        <v/>
      </c>
      <c r="D2266" s="6" t="n">
        <v>1</v>
      </c>
      <c r="E2266" s="6" t="inlineStr">
        <is>
          <t>R992402</t>
        </is>
      </c>
      <c r="F2266" s="2" t="n">
        <v>44198</v>
      </c>
      <c r="G2266" s="1" t="n"/>
    </row>
    <row r="2267">
      <c r="A2267" s="6" t="n">
        <v>52563</v>
      </c>
      <c r="B2267" s="6" t="inlineStr">
        <is>
          <t>E &amp; J XO BRANDY</t>
        </is>
      </c>
      <c r="C2267" s="7">
        <f>VLOOKUP(A2267,SizeData!A$2:B$3839,2,FALSE)</f>
        <v/>
      </c>
      <c r="D2267" s="6" t="n">
        <v>1</v>
      </c>
      <c r="E2267" s="6" t="inlineStr">
        <is>
          <t>R1029260</t>
        </is>
      </c>
      <c r="F2267" s="2" t="n">
        <v>44240</v>
      </c>
      <c r="G2267" s="1" t="n"/>
    </row>
    <row r="2268">
      <c r="A2268" s="6" t="n">
        <v>52563</v>
      </c>
      <c r="B2268" s="6" t="inlineStr">
        <is>
          <t>E &amp; J XO BRANDY</t>
        </is>
      </c>
      <c r="C2268" s="7">
        <f>VLOOKUP(A2268,SizeData!A$2:B$3839,2,FALSE)</f>
        <v/>
      </c>
      <c r="D2268" s="6" t="n">
        <v>1</v>
      </c>
      <c r="E2268" s="6" t="inlineStr">
        <is>
          <t>R1125683</t>
        </is>
      </c>
      <c r="F2268" s="2" t="n">
        <v>44336</v>
      </c>
      <c r="G2268" s="1" t="n"/>
    </row>
    <row r="2269">
      <c r="A2269" s="6" t="n">
        <v>52563</v>
      </c>
      <c r="B2269" s="6" t="inlineStr">
        <is>
          <t>E &amp; J XO BRANDY</t>
        </is>
      </c>
      <c r="C2269" s="7">
        <f>VLOOKUP(A2269,SizeData!A$2:B$3839,2,FALSE)</f>
        <v/>
      </c>
      <c r="D2269" s="6" t="n">
        <v>1</v>
      </c>
      <c r="E2269" s="6" t="inlineStr">
        <is>
          <t>R1222253</t>
        </is>
      </c>
      <c r="F2269" s="2" t="n">
        <v>44435</v>
      </c>
      <c r="G2269" s="1" t="n"/>
    </row>
    <row r="2270">
      <c r="A2270" s="6" t="n">
        <v>52563</v>
      </c>
      <c r="B2270" s="6" t="inlineStr">
        <is>
          <t>E &amp; J XO BRANDY</t>
        </is>
      </c>
      <c r="C2270" s="7">
        <f>VLOOKUP(A2270,SizeData!A$2:B$3839,2,FALSE)</f>
        <v/>
      </c>
      <c r="D2270" s="6" t="n">
        <v>1</v>
      </c>
      <c r="E2270" s="6" t="inlineStr">
        <is>
          <t>R1276264</t>
        </is>
      </c>
      <c r="F2270" s="2" t="n">
        <v>44477</v>
      </c>
      <c r="G2270" s="1" t="n"/>
    </row>
    <row r="2271">
      <c r="A2271" s="6" t="n">
        <v>52563</v>
      </c>
      <c r="B2271" s="6" t="inlineStr">
        <is>
          <t>E &amp; J XO BRANDY</t>
        </is>
      </c>
      <c r="C2271" s="7">
        <f>VLOOKUP(A2271,SizeData!A$2:B$3839,2,FALSE)</f>
        <v/>
      </c>
      <c r="D2271" s="6" t="n">
        <v>1</v>
      </c>
      <c r="E2271" s="6" t="inlineStr">
        <is>
          <t>R1307558</t>
        </is>
      </c>
      <c r="F2271" s="2" t="n">
        <v>44502</v>
      </c>
      <c r="G2271" s="1" t="n"/>
    </row>
    <row r="2272">
      <c r="A2272" s="6" t="n">
        <v>52563</v>
      </c>
      <c r="B2272" s="6" t="inlineStr">
        <is>
          <t>E &amp; J XO BRANDY</t>
        </is>
      </c>
      <c r="C2272" s="7">
        <f>VLOOKUP(A2272,SizeData!A$2:B$3839,2,FALSE)</f>
        <v/>
      </c>
      <c r="D2272" s="6" t="n">
        <v>2</v>
      </c>
      <c r="E2272" s="6" t="inlineStr">
        <is>
          <t>R1331411A</t>
        </is>
      </c>
      <c r="F2272" s="2" t="n">
        <v>44503</v>
      </c>
      <c r="G2272" s="1" t="n"/>
    </row>
    <row r="2273">
      <c r="A2273" s="6" t="n">
        <v>52580</v>
      </c>
      <c r="B2273" s="6" t="inlineStr">
        <is>
          <t>E &amp; J SUPERIOR RESERVE VSOP BRANDY</t>
        </is>
      </c>
      <c r="C2273" s="7">
        <f>VLOOKUP(A2273,SizeData!A$2:B$3839,2,FALSE)</f>
        <v/>
      </c>
      <c r="D2273" s="6" t="n">
        <v>1</v>
      </c>
      <c r="E2273" s="6" t="inlineStr">
        <is>
          <t>R993178</t>
        </is>
      </c>
      <c r="F2273" s="2" t="n">
        <v>44218</v>
      </c>
      <c r="G2273" s="1" t="n"/>
    </row>
    <row r="2274">
      <c r="A2274" s="6" t="n">
        <v>52580</v>
      </c>
      <c r="B2274" s="6" t="inlineStr">
        <is>
          <t>E &amp; J SUPERIOR RESERVE VSOP BRANDY</t>
        </is>
      </c>
      <c r="C2274" s="7">
        <f>VLOOKUP(A2274,SizeData!A$2:B$3839,2,FALSE)</f>
        <v/>
      </c>
      <c r="D2274" s="6" t="n">
        <v>1</v>
      </c>
      <c r="E2274" s="6" t="inlineStr">
        <is>
          <t>R1018402</t>
        </is>
      </c>
      <c r="F2274" s="2" t="n">
        <v>44229</v>
      </c>
      <c r="G2274" s="1" t="n"/>
    </row>
    <row r="2275">
      <c r="A2275" s="6" t="n">
        <v>52580</v>
      </c>
      <c r="B2275" s="6" t="inlineStr">
        <is>
          <t>E &amp; J SUPERIOR RESERVE VSOP BRANDY</t>
        </is>
      </c>
      <c r="C2275" s="7">
        <f>VLOOKUP(A2275,SizeData!A$2:B$3839,2,FALSE)</f>
        <v/>
      </c>
      <c r="D2275" s="6" t="n">
        <v>1</v>
      </c>
      <c r="E2275" s="6" t="inlineStr">
        <is>
          <t>R1135580</t>
        </is>
      </c>
      <c r="F2275" s="2" t="n">
        <v>44340</v>
      </c>
      <c r="G2275" s="1" t="n"/>
    </row>
    <row r="2276">
      <c r="A2276" s="6" t="n">
        <v>52580</v>
      </c>
      <c r="B2276" s="6" t="inlineStr">
        <is>
          <t>E &amp; J SUPERIOR RESERVE VSOP BRANDY</t>
        </is>
      </c>
      <c r="C2276" s="7">
        <f>VLOOKUP(A2276,SizeData!A$2:B$3839,2,FALSE)</f>
        <v/>
      </c>
      <c r="D2276" s="6" t="n">
        <v>1</v>
      </c>
      <c r="E2276" s="6" t="inlineStr">
        <is>
          <t>R1200565</t>
        </is>
      </c>
      <c r="F2276" s="2" t="n">
        <v>44411</v>
      </c>
      <c r="G2276" s="1" t="n"/>
    </row>
    <row r="2277">
      <c r="A2277" s="6" t="n">
        <v>52580</v>
      </c>
      <c r="B2277" s="6" t="inlineStr">
        <is>
          <t>E &amp; J SUPERIOR RESERVE VSOP BRANDY</t>
        </is>
      </c>
      <c r="C2277" s="7">
        <f>VLOOKUP(A2277,SizeData!A$2:B$3839,2,FALSE)</f>
        <v/>
      </c>
      <c r="D2277" s="6" t="n">
        <v>1</v>
      </c>
      <c r="E2277" s="6" t="inlineStr">
        <is>
          <t>R1197185</t>
        </is>
      </c>
      <c r="F2277" s="2" t="n">
        <v>44412</v>
      </c>
      <c r="G2277" s="1" t="n"/>
    </row>
    <row r="2278">
      <c r="A2278" s="6" t="n">
        <v>52580</v>
      </c>
      <c r="B2278" s="6" t="inlineStr">
        <is>
          <t>E &amp; J SUPERIOR RESERVE VSOP BRANDY</t>
        </is>
      </c>
      <c r="C2278" s="7">
        <f>VLOOKUP(A2278,SizeData!A$2:B$3839,2,FALSE)</f>
        <v/>
      </c>
      <c r="D2278" s="6" t="n">
        <v>2</v>
      </c>
      <c r="E2278" s="6" t="inlineStr">
        <is>
          <t>R1273155</t>
        </is>
      </c>
      <c r="F2278" s="2" t="n">
        <v>44480</v>
      </c>
      <c r="G2278" s="1" t="n"/>
    </row>
    <row r="2279">
      <c r="A2279" s="6" t="n">
        <v>52581</v>
      </c>
      <c r="B2279" s="6" t="inlineStr">
        <is>
          <t>E &amp; J SUPERIOR RESERVE VSOP BRANDY</t>
        </is>
      </c>
      <c r="C2279" s="7">
        <f>VLOOKUP(A2279,SizeData!A$2:B$3839,2,FALSE)</f>
        <v/>
      </c>
      <c r="D2279" s="6" t="n">
        <v>1</v>
      </c>
      <c r="E2279" s="6" t="inlineStr">
        <is>
          <t>R992402</t>
        </is>
      </c>
      <c r="F2279" s="2" t="n">
        <v>44198</v>
      </c>
      <c r="G2279" s="1" t="n"/>
    </row>
    <row r="2280">
      <c r="A2280" s="6" t="n">
        <v>52581</v>
      </c>
      <c r="B2280" s="6" t="inlineStr">
        <is>
          <t>E &amp; J SUPERIOR RESERVE VSOP BRANDY</t>
        </is>
      </c>
      <c r="C2280" s="7">
        <f>VLOOKUP(A2280,SizeData!A$2:B$3839,2,FALSE)</f>
        <v/>
      </c>
      <c r="D2280" s="6" t="n">
        <v>1</v>
      </c>
      <c r="E2280" s="6" t="inlineStr">
        <is>
          <t>R993624</t>
        </is>
      </c>
      <c r="F2280" s="2" t="n">
        <v>44206</v>
      </c>
      <c r="G2280" s="1" t="n"/>
    </row>
    <row r="2281">
      <c r="A2281" s="6" t="n">
        <v>52581</v>
      </c>
      <c r="B2281" s="6" t="inlineStr">
        <is>
          <t>E &amp; J SUPERIOR RESERVE VSOP BRANDY</t>
        </is>
      </c>
      <c r="C2281" s="7">
        <f>VLOOKUP(A2281,SizeData!A$2:B$3839,2,FALSE)</f>
        <v/>
      </c>
      <c r="D2281" s="6" t="n">
        <v>1</v>
      </c>
      <c r="E2281" s="6" t="inlineStr">
        <is>
          <t>R993178</t>
        </is>
      </c>
      <c r="F2281" s="2" t="n">
        <v>44218</v>
      </c>
      <c r="G2281" s="1" t="n"/>
    </row>
    <row r="2282">
      <c r="A2282" s="6" t="n">
        <v>52581</v>
      </c>
      <c r="B2282" s="6" t="inlineStr">
        <is>
          <t>E &amp; J SUPERIOR RESERVE VSOP BRANDY</t>
        </is>
      </c>
      <c r="C2282" s="7">
        <f>VLOOKUP(A2282,SizeData!A$2:B$3839,2,FALSE)</f>
        <v/>
      </c>
      <c r="D2282" s="6" t="n">
        <v>2</v>
      </c>
      <c r="E2282" s="6" t="inlineStr">
        <is>
          <t>R1076321</t>
        </is>
      </c>
      <c r="F2282" s="2" t="n">
        <v>44281</v>
      </c>
      <c r="G2282" s="1" t="n"/>
    </row>
    <row r="2283">
      <c r="A2283" s="6" t="n">
        <v>52581</v>
      </c>
      <c r="B2283" s="6" t="inlineStr">
        <is>
          <t>E &amp; J SUPERIOR RESERVE VSOP BRANDY</t>
        </is>
      </c>
      <c r="C2283" s="7">
        <f>VLOOKUP(A2283,SizeData!A$2:B$3839,2,FALSE)</f>
        <v/>
      </c>
      <c r="D2283" s="6" t="n">
        <v>1</v>
      </c>
      <c r="E2283" s="6" t="inlineStr">
        <is>
          <t>R1084018</t>
        </is>
      </c>
      <c r="F2283" s="2" t="n">
        <v>44292</v>
      </c>
      <c r="G2283" s="1" t="n"/>
    </row>
    <row r="2284">
      <c r="A2284" s="6" t="n">
        <v>52581</v>
      </c>
      <c r="B2284" s="6" t="inlineStr">
        <is>
          <t>E &amp; J SUPERIOR RESERVE VSOP BRANDY</t>
        </is>
      </c>
      <c r="C2284" s="7">
        <f>VLOOKUP(A2284,SizeData!A$2:B$3839,2,FALSE)</f>
        <v/>
      </c>
      <c r="D2284" s="6" t="n">
        <v>1</v>
      </c>
      <c r="E2284" s="6" t="inlineStr">
        <is>
          <t>R1124382</t>
        </is>
      </c>
      <c r="F2284" s="2" t="n">
        <v>44347</v>
      </c>
      <c r="G2284" s="1" t="n"/>
    </row>
    <row r="2285">
      <c r="A2285" s="6" t="n">
        <v>52581</v>
      </c>
      <c r="B2285" s="6" t="inlineStr">
        <is>
          <t>E &amp; J SUPERIOR RESERVE VSOP BRANDY</t>
        </is>
      </c>
      <c r="C2285" s="7">
        <f>VLOOKUP(A2285,SizeData!A$2:B$3839,2,FALSE)</f>
        <v/>
      </c>
      <c r="D2285" s="6" t="n">
        <v>1</v>
      </c>
      <c r="E2285" s="6" t="inlineStr">
        <is>
          <t>R1159919</t>
        </is>
      </c>
      <c r="F2285" s="2" t="n">
        <v>44370</v>
      </c>
      <c r="G2285" s="1" t="n"/>
    </row>
    <row r="2286">
      <c r="A2286" s="6" t="n">
        <v>52581</v>
      </c>
      <c r="B2286" s="6" t="inlineStr">
        <is>
          <t>E &amp; J SUPERIOR RESERVE VSOP BRANDY</t>
        </is>
      </c>
      <c r="C2286" s="7">
        <f>VLOOKUP(A2286,SizeData!A$2:B$3839,2,FALSE)</f>
        <v/>
      </c>
      <c r="D2286" s="6" t="n">
        <v>1</v>
      </c>
      <c r="E2286" s="6" t="inlineStr">
        <is>
          <t>R1171594</t>
        </is>
      </c>
      <c r="F2286" s="2" t="n">
        <v>44392</v>
      </c>
      <c r="G2286" s="1" t="n"/>
    </row>
    <row r="2287">
      <c r="A2287" s="6" t="n">
        <v>52581</v>
      </c>
      <c r="B2287" s="6" t="inlineStr">
        <is>
          <t>E &amp; J SUPERIOR RESERVE VSOP BRANDY</t>
        </is>
      </c>
      <c r="C2287" s="7">
        <f>VLOOKUP(A2287,SizeData!A$2:B$3839,2,FALSE)</f>
        <v/>
      </c>
      <c r="D2287" s="6" t="n">
        <v>1</v>
      </c>
      <c r="E2287" s="6" t="inlineStr">
        <is>
          <t>R1241985</t>
        </is>
      </c>
      <c r="F2287" s="2" t="n">
        <v>44450</v>
      </c>
      <c r="G2287" s="1" t="n"/>
    </row>
    <row r="2288">
      <c r="A2288" s="6" t="n">
        <v>52581</v>
      </c>
      <c r="B2288" s="6" t="inlineStr">
        <is>
          <t>E &amp; J SUPERIOR RESERVE VSOP BRANDY</t>
        </is>
      </c>
      <c r="C2288" s="7">
        <f>VLOOKUP(A2288,SizeData!A$2:B$3839,2,FALSE)</f>
        <v/>
      </c>
      <c r="D2288" s="6" t="n">
        <v>1</v>
      </c>
      <c r="E2288" s="6" t="inlineStr">
        <is>
          <t>R1246630</t>
        </is>
      </c>
      <c r="F2288" s="2" t="n">
        <v>44450</v>
      </c>
      <c r="G2288" s="1" t="n"/>
    </row>
    <row r="2289">
      <c r="A2289" s="6" t="n">
        <v>52581</v>
      </c>
      <c r="B2289" s="6" t="inlineStr">
        <is>
          <t>E &amp; J SUPERIOR RESERVE VSOP BRANDY</t>
        </is>
      </c>
      <c r="C2289" s="7">
        <f>VLOOKUP(A2289,SizeData!A$2:B$3839,2,FALSE)</f>
        <v/>
      </c>
      <c r="D2289" s="6" t="n">
        <v>2</v>
      </c>
      <c r="E2289" s="6" t="inlineStr">
        <is>
          <t>R1301953</t>
        </is>
      </c>
      <c r="F2289" s="2" t="n">
        <v>44496</v>
      </c>
      <c r="G2289" s="1" t="n"/>
    </row>
    <row r="2290">
      <c r="A2290" s="6" t="n">
        <v>52581</v>
      </c>
      <c r="B2290" s="6" t="inlineStr">
        <is>
          <t>E &amp; J SUPERIOR RESERVE VSOP BRANDY</t>
        </is>
      </c>
      <c r="C2290" s="7">
        <f>VLOOKUP(A2290,SizeData!A$2:B$3839,2,FALSE)</f>
        <v/>
      </c>
      <c r="D2290" s="6" t="n">
        <v>2</v>
      </c>
      <c r="E2290" s="6" t="inlineStr">
        <is>
          <t>R1315248</t>
        </is>
      </c>
      <c r="F2290" s="2" t="n">
        <v>44502</v>
      </c>
      <c r="G2290" s="1" t="n"/>
    </row>
    <row r="2291">
      <c r="A2291" s="6" t="n">
        <v>52582</v>
      </c>
      <c r="B2291" s="6" t="inlineStr">
        <is>
          <t>E &amp; J SUPERIOR RESERVE VSOP BRANDY</t>
        </is>
      </c>
      <c r="C2291" s="7">
        <f>VLOOKUP(A2291,SizeData!A$2:B$3839,2,FALSE)</f>
        <v/>
      </c>
      <c r="D2291" s="6" t="n">
        <v>1</v>
      </c>
      <c r="E2291" s="6" t="inlineStr">
        <is>
          <t>R990933</t>
        </is>
      </c>
      <c r="F2291" s="2" t="n">
        <v>44197</v>
      </c>
      <c r="G2291" s="1" t="n"/>
    </row>
    <row r="2292">
      <c r="A2292" s="6" t="n">
        <v>52582</v>
      </c>
      <c r="B2292" s="6" t="inlineStr">
        <is>
          <t>E &amp; J SUPERIOR RESERVE VSOP BRANDY</t>
        </is>
      </c>
      <c r="C2292" s="7">
        <f>VLOOKUP(A2292,SizeData!A$2:B$3839,2,FALSE)</f>
        <v/>
      </c>
      <c r="D2292" s="6" t="n">
        <v>1</v>
      </c>
      <c r="E2292" s="6" t="inlineStr">
        <is>
          <t>R1000047</t>
        </is>
      </c>
      <c r="F2292" s="2" t="n">
        <v>44207</v>
      </c>
      <c r="G2292" s="1" t="n"/>
    </row>
    <row r="2293">
      <c r="A2293" s="6" t="n">
        <v>52582</v>
      </c>
      <c r="B2293" s="6" t="inlineStr">
        <is>
          <t>E &amp; J SUPERIOR RESERVE VSOP BRANDY</t>
        </is>
      </c>
      <c r="C2293" s="7">
        <f>VLOOKUP(A2293,SizeData!A$2:B$3839,2,FALSE)</f>
        <v/>
      </c>
      <c r="D2293" s="6" t="n">
        <v>1</v>
      </c>
      <c r="E2293" s="6" t="inlineStr">
        <is>
          <t>R1018402</t>
        </is>
      </c>
      <c r="F2293" s="2" t="n">
        <v>44229</v>
      </c>
      <c r="G2293" s="1" t="n"/>
    </row>
    <row r="2294">
      <c r="A2294" s="6" t="n">
        <v>52582</v>
      </c>
      <c r="B2294" s="6" t="inlineStr">
        <is>
          <t>E &amp; J SUPERIOR RESERVE VSOP BRANDY</t>
        </is>
      </c>
      <c r="C2294" s="7">
        <f>VLOOKUP(A2294,SizeData!A$2:B$3839,2,FALSE)</f>
        <v/>
      </c>
      <c r="D2294" s="6" t="n">
        <v>1</v>
      </c>
      <c r="E2294" s="6" t="inlineStr">
        <is>
          <t>R1029260</t>
        </is>
      </c>
      <c r="F2294" s="2" t="n">
        <v>44240</v>
      </c>
      <c r="G2294" s="1" t="n"/>
    </row>
    <row r="2295">
      <c r="A2295" s="6" t="n">
        <v>52582</v>
      </c>
      <c r="B2295" s="6" t="inlineStr">
        <is>
          <t>E &amp; J SUPERIOR RESERVE VSOP BRANDY</t>
        </is>
      </c>
      <c r="C2295" s="7">
        <f>VLOOKUP(A2295,SizeData!A$2:B$3839,2,FALSE)</f>
        <v/>
      </c>
      <c r="D2295" s="6" t="n">
        <v>1</v>
      </c>
      <c r="E2295" s="6" t="inlineStr">
        <is>
          <t>R1040170</t>
        </is>
      </c>
      <c r="F2295" s="2" t="n">
        <v>44251</v>
      </c>
      <c r="G2295" s="1" t="n"/>
    </row>
    <row r="2296">
      <c r="A2296" s="6" t="n">
        <v>52582</v>
      </c>
      <c r="B2296" s="6" t="inlineStr">
        <is>
          <t>E &amp; J SUPERIOR RESERVE VSOP BRANDY</t>
        </is>
      </c>
      <c r="C2296" s="7">
        <f>VLOOKUP(A2296,SizeData!A$2:B$3839,2,FALSE)</f>
        <v/>
      </c>
      <c r="D2296" s="6" t="n">
        <v>1</v>
      </c>
      <c r="E2296" s="6" t="inlineStr">
        <is>
          <t>R1048765</t>
        </is>
      </c>
      <c r="F2296" s="2" t="n">
        <v>44265</v>
      </c>
      <c r="G2296" s="1" t="n"/>
    </row>
    <row r="2297">
      <c r="A2297" s="6" t="n">
        <v>52582</v>
      </c>
      <c r="B2297" s="6" t="inlineStr">
        <is>
          <t>E &amp; J SUPERIOR RESERVE VSOP BRANDY</t>
        </is>
      </c>
      <c r="C2297" s="7">
        <f>VLOOKUP(A2297,SizeData!A$2:B$3839,2,FALSE)</f>
        <v/>
      </c>
      <c r="D2297" s="6" t="n">
        <v>1</v>
      </c>
      <c r="E2297" s="6" t="inlineStr">
        <is>
          <t>R1084018</t>
        </is>
      </c>
      <c r="F2297" s="2" t="n">
        <v>44292</v>
      </c>
      <c r="G2297" s="1" t="n"/>
    </row>
    <row r="2298">
      <c r="A2298" s="6" t="n">
        <v>52582</v>
      </c>
      <c r="B2298" s="6" t="inlineStr">
        <is>
          <t>E &amp; J SUPERIOR RESERVE VSOP BRANDY</t>
        </is>
      </c>
      <c r="C2298" s="7">
        <f>VLOOKUP(A2298,SizeData!A$2:B$3839,2,FALSE)</f>
        <v/>
      </c>
      <c r="D2298" s="6" t="n">
        <v>1</v>
      </c>
      <c r="E2298" s="6" t="inlineStr">
        <is>
          <t>R1089290</t>
        </is>
      </c>
      <c r="F2298" s="2" t="n">
        <v>44309</v>
      </c>
      <c r="G2298" s="1" t="n"/>
    </row>
    <row r="2299">
      <c r="A2299" s="6" t="n">
        <v>52582</v>
      </c>
      <c r="B2299" s="6" t="inlineStr">
        <is>
          <t>E &amp; J SUPERIOR RESERVE VSOP BRANDY</t>
        </is>
      </c>
      <c r="C2299" s="7">
        <f>VLOOKUP(A2299,SizeData!A$2:B$3839,2,FALSE)</f>
        <v/>
      </c>
      <c r="D2299" s="6" t="n">
        <v>1</v>
      </c>
      <c r="E2299" s="6" t="inlineStr">
        <is>
          <t>R1111802</t>
        </is>
      </c>
      <c r="F2299" s="2" t="n">
        <v>44314</v>
      </c>
      <c r="G2299" s="1" t="n"/>
    </row>
    <row r="2300">
      <c r="A2300" s="6" t="n">
        <v>52582</v>
      </c>
      <c r="B2300" s="6" t="inlineStr">
        <is>
          <t>E &amp; J SUPERIOR RESERVE VSOP BRANDY</t>
        </is>
      </c>
      <c r="C2300" s="7">
        <f>VLOOKUP(A2300,SizeData!A$2:B$3839,2,FALSE)</f>
        <v/>
      </c>
      <c r="D2300" s="6" t="n">
        <v>1</v>
      </c>
      <c r="E2300" s="6" t="inlineStr">
        <is>
          <t>R1119203</t>
        </is>
      </c>
      <c r="F2300" s="2" t="n">
        <v>44327</v>
      </c>
      <c r="G2300" s="1" t="n"/>
    </row>
    <row r="2301">
      <c r="A2301" s="6" t="n">
        <v>52582</v>
      </c>
      <c r="B2301" s="6" t="inlineStr">
        <is>
          <t>E &amp; J SUPERIOR RESERVE VSOP BRANDY</t>
        </is>
      </c>
      <c r="C2301" s="7">
        <f>VLOOKUP(A2301,SizeData!A$2:B$3839,2,FALSE)</f>
        <v/>
      </c>
      <c r="D2301" s="6" t="n">
        <v>1</v>
      </c>
      <c r="E2301" s="6" t="inlineStr">
        <is>
          <t>R1135580</t>
        </is>
      </c>
      <c r="F2301" s="2" t="n">
        <v>44340</v>
      </c>
      <c r="G2301" s="1" t="n"/>
    </row>
    <row r="2302">
      <c r="A2302" s="6" t="n">
        <v>52582</v>
      </c>
      <c r="B2302" s="6" t="inlineStr">
        <is>
          <t>E &amp; J SUPERIOR RESERVE VSOP BRANDY</t>
        </is>
      </c>
      <c r="C2302" s="7">
        <f>VLOOKUP(A2302,SizeData!A$2:B$3839,2,FALSE)</f>
        <v/>
      </c>
      <c r="D2302" s="6" t="n">
        <v>1</v>
      </c>
      <c r="E2302" s="6" t="inlineStr">
        <is>
          <t>R1143298</t>
        </is>
      </c>
      <c r="F2302" s="2" t="n">
        <v>44364</v>
      </c>
      <c r="G2302" s="1" t="n"/>
    </row>
    <row r="2303">
      <c r="A2303" s="6" t="n">
        <v>52582</v>
      </c>
      <c r="B2303" s="6" t="inlineStr">
        <is>
          <t>E &amp; J SUPERIOR RESERVE VSOP BRANDY</t>
        </is>
      </c>
      <c r="C2303" s="7">
        <f>VLOOKUP(A2303,SizeData!A$2:B$3839,2,FALSE)</f>
        <v/>
      </c>
      <c r="D2303" s="6" t="n">
        <v>2</v>
      </c>
      <c r="E2303" s="6" t="inlineStr">
        <is>
          <t>R1180298</t>
        </is>
      </c>
      <c r="F2303" s="2" t="n">
        <v>44400</v>
      </c>
      <c r="G2303" s="1" t="n"/>
    </row>
    <row r="2304">
      <c r="A2304" s="6" t="n">
        <v>52582</v>
      </c>
      <c r="B2304" s="6" t="inlineStr">
        <is>
          <t>E &amp; J SUPERIOR RESERVE VSOP BRANDY</t>
        </is>
      </c>
      <c r="C2304" s="7">
        <f>VLOOKUP(A2304,SizeData!A$2:B$3839,2,FALSE)</f>
        <v/>
      </c>
      <c r="D2304" s="6" t="n">
        <v>2</v>
      </c>
      <c r="E2304" s="6" t="inlineStr">
        <is>
          <t xml:space="preserve"> R1204784</t>
        </is>
      </c>
      <c r="F2304" s="2" t="n">
        <v>44421</v>
      </c>
      <c r="G2304" s="1" t="n"/>
    </row>
    <row r="2305">
      <c r="A2305" s="6" t="n">
        <v>52582</v>
      </c>
      <c r="B2305" s="6" t="inlineStr">
        <is>
          <t>E &amp; J SUPERIOR RESERVE VSOP BRANDY</t>
        </is>
      </c>
      <c r="C2305" s="7">
        <f>VLOOKUP(A2305,SizeData!A$2:B$3839,2,FALSE)</f>
        <v/>
      </c>
      <c r="D2305" s="6" t="n">
        <v>2</v>
      </c>
      <c r="E2305" s="6" t="inlineStr">
        <is>
          <t>R1217867</t>
        </is>
      </c>
      <c r="F2305" s="2" t="n">
        <v>44435</v>
      </c>
      <c r="G2305" s="1" t="n"/>
    </row>
    <row r="2306">
      <c r="A2306" s="6" t="n">
        <v>52582</v>
      </c>
      <c r="B2306" s="6" t="inlineStr">
        <is>
          <t>E &amp; J SUPERIOR RESERVE VSOP BRANDY</t>
        </is>
      </c>
      <c r="C2306" s="7">
        <f>VLOOKUP(A2306,SizeData!A$2:B$3839,2,FALSE)</f>
        <v/>
      </c>
      <c r="D2306" s="6" t="n">
        <v>1</v>
      </c>
      <c r="E2306" s="6" t="inlineStr">
        <is>
          <t>R1230991</t>
        </is>
      </c>
      <c r="F2306" s="2" t="n">
        <v>44441</v>
      </c>
      <c r="G2306" s="1" t="inlineStr">
        <is>
          <t>out of 2</t>
        </is>
      </c>
    </row>
    <row r="2307">
      <c r="A2307" s="6" t="n">
        <v>52582</v>
      </c>
      <c r="B2307" s="6" t="inlineStr">
        <is>
          <t>E &amp; J SUPERIOR RESERVE VSOP BRANDY</t>
        </is>
      </c>
      <c r="C2307" s="7">
        <f>VLOOKUP(A2307,SizeData!A$2:B$3839,2,FALSE)</f>
        <v/>
      </c>
      <c r="D2307" s="6" t="n">
        <v>0</v>
      </c>
      <c r="E2307" s="6" t="inlineStr">
        <is>
          <t>R1242289</t>
        </is>
      </c>
      <c r="F2307" s="2" t="n">
        <v>44455</v>
      </c>
      <c r="G2307" s="1" t="n"/>
    </row>
    <row r="2308">
      <c r="A2308" s="6" t="n">
        <v>52582</v>
      </c>
      <c r="B2308" s="6" t="inlineStr">
        <is>
          <t>E &amp; J SUPERIOR RESERVE VSOP BRANDY</t>
        </is>
      </c>
      <c r="C2308" s="7">
        <f>VLOOKUP(A2308,SizeData!A$2:B$3839,2,FALSE)</f>
        <v/>
      </c>
      <c r="D2308" s="6" t="n">
        <v>0</v>
      </c>
      <c r="E2308" s="6" t="inlineStr">
        <is>
          <t>R1275278</t>
        </is>
      </c>
      <c r="F2308" s="2" t="n">
        <v>44478</v>
      </c>
      <c r="G2308" s="1" t="n"/>
    </row>
    <row r="2309">
      <c r="A2309" s="6" t="n">
        <v>52582</v>
      </c>
      <c r="B2309" s="6" t="inlineStr">
        <is>
          <t>E &amp; J SUPERIOR RESERVE VSOP BRANDY</t>
        </is>
      </c>
      <c r="C2309" s="7">
        <f>VLOOKUP(A2309,SizeData!A$2:B$3839,2,FALSE)</f>
        <v/>
      </c>
      <c r="D2309" s="6" t="n">
        <v>0</v>
      </c>
      <c r="E2309" s="6" t="inlineStr">
        <is>
          <t>R1286225</t>
        </is>
      </c>
      <c r="F2309" s="2" t="n">
        <v>44478</v>
      </c>
      <c r="G2309" s="1" t="n"/>
    </row>
    <row r="2310">
      <c r="A2310" s="6" t="n">
        <v>52582</v>
      </c>
      <c r="B2310" s="6" t="inlineStr">
        <is>
          <t>E &amp; J SUPERIOR RESERVE VSOP BRANDY</t>
        </is>
      </c>
      <c r="C2310" s="7">
        <f>VLOOKUP(A2310,SizeData!A$2:B$3839,2,FALSE)</f>
        <v/>
      </c>
      <c r="D2310" s="6" t="n">
        <v>1</v>
      </c>
      <c r="E2310" s="6" t="inlineStr">
        <is>
          <t>R1301804</t>
        </is>
      </c>
      <c r="F2310" s="2" t="n">
        <v>44492</v>
      </c>
      <c r="G2310" s="1" t="n"/>
    </row>
    <row r="2311">
      <c r="A2311" s="6" t="n">
        <v>52582</v>
      </c>
      <c r="B2311" s="6" t="inlineStr">
        <is>
          <t>E &amp; J SUPERIOR RESERVE VSOP BRANDY</t>
        </is>
      </c>
      <c r="C2311" s="7">
        <f>VLOOKUP(A2311,SizeData!A$2:B$3839,2,FALSE)</f>
        <v/>
      </c>
      <c r="D2311" s="6" t="n">
        <v>2</v>
      </c>
      <c r="E2311" s="6" t="inlineStr">
        <is>
          <t>R1283487</t>
        </is>
      </c>
      <c r="F2311" s="2" t="n">
        <v>44494</v>
      </c>
      <c r="G2311" s="1" t="n"/>
    </row>
    <row r="2312">
      <c r="A2312" s="6" t="n">
        <v>52582</v>
      </c>
      <c r="B2312" s="6" t="inlineStr">
        <is>
          <t>E &amp; J SUPERIOR RESERVE VSOP BRANDY</t>
        </is>
      </c>
      <c r="C2312" s="7">
        <f>VLOOKUP(A2312,SizeData!A$2:B$3839,2,FALSE)</f>
        <v/>
      </c>
      <c r="D2312" s="6" t="n">
        <v>1</v>
      </c>
      <c r="E2312" s="6" t="inlineStr">
        <is>
          <t>R1300187</t>
        </is>
      </c>
      <c r="F2312" s="2" t="n">
        <v>44494</v>
      </c>
      <c r="G2312" s="1" t="n"/>
    </row>
    <row r="2313">
      <c r="A2313" s="6" t="n">
        <v>52582</v>
      </c>
      <c r="B2313" s="6" t="inlineStr">
        <is>
          <t>E &amp; J SUPERIOR RESERVE VSOP BRANDY</t>
        </is>
      </c>
      <c r="C2313" s="7">
        <f>VLOOKUP(A2313,SizeData!A$2:B$3839,2,FALSE)</f>
        <v/>
      </c>
      <c r="D2313" s="6" t="n">
        <v>2</v>
      </c>
      <c r="E2313" s="6" t="inlineStr">
        <is>
          <t>R1291275</t>
        </is>
      </c>
      <c r="F2313" s="2" t="n">
        <v>44498</v>
      </c>
      <c r="G2313" s="1" t="n"/>
    </row>
    <row r="2314">
      <c r="A2314" s="6" t="n">
        <v>52582</v>
      </c>
      <c r="B2314" s="6" t="inlineStr">
        <is>
          <t>E &amp; J SUPERIOR RESERVE VSOP BRANDY</t>
        </is>
      </c>
      <c r="C2314" s="7">
        <f>VLOOKUP(A2314,SizeData!A$2:B$3839,2,FALSE)</f>
        <v/>
      </c>
      <c r="D2314" s="6" t="n">
        <v>3</v>
      </c>
      <c r="E2314" s="6" t="inlineStr">
        <is>
          <t>R1334786</t>
        </is>
      </c>
      <c r="F2314" s="2" t="n">
        <v>44529</v>
      </c>
      <c r="G2314" s="1" t="n"/>
    </row>
    <row r="2315">
      <c r="A2315" s="6" t="n">
        <v>52584</v>
      </c>
      <c r="B2315" s="6" t="inlineStr">
        <is>
          <t>E &amp; J SUPERIOR RESERVE VSOP BRANDY</t>
        </is>
      </c>
      <c r="C2315" s="7">
        <f>VLOOKUP(A2315,SizeData!A$2:B$3839,2,FALSE)</f>
        <v/>
      </c>
      <c r="D2315" s="6" t="n">
        <v>1</v>
      </c>
      <c r="E2315" s="6" t="inlineStr">
        <is>
          <t>R1018402</t>
        </is>
      </c>
      <c r="F2315" s="2" t="n">
        <v>44229</v>
      </c>
      <c r="G2315" s="1" t="n"/>
    </row>
    <row r="2316">
      <c r="A2316" s="6" t="n">
        <v>52584</v>
      </c>
      <c r="B2316" s="6" t="inlineStr">
        <is>
          <t>E &amp; J SUPERIOR RESERVE VSOP BRANDY</t>
        </is>
      </c>
      <c r="C2316" s="7">
        <f>VLOOKUP(A2316,SizeData!A$2:B$3839,2,FALSE)</f>
        <v/>
      </c>
      <c r="D2316" s="6" t="n">
        <v>1</v>
      </c>
      <c r="E2316" s="6" t="inlineStr">
        <is>
          <t>R1029260</t>
        </is>
      </c>
      <c r="F2316" s="2" t="n">
        <v>44240</v>
      </c>
      <c r="G2316" s="1" t="n"/>
    </row>
    <row r="2317">
      <c r="A2317" s="6" t="n">
        <v>52584</v>
      </c>
      <c r="B2317" s="6" t="inlineStr">
        <is>
          <t>E &amp; J SUPERIOR RESERVE VSOP BRANDY</t>
        </is>
      </c>
      <c r="C2317" s="7">
        <f>VLOOKUP(A2317,SizeData!A$2:B$3839,2,FALSE)</f>
        <v/>
      </c>
      <c r="D2317" s="6" t="n">
        <v>1</v>
      </c>
      <c r="E2317" s="6" t="inlineStr">
        <is>
          <t>R1274548</t>
        </is>
      </c>
      <c r="F2317" s="2" t="n">
        <v>44485</v>
      </c>
      <c r="G2317" s="1" t="n"/>
    </row>
    <row r="2318">
      <c r="A2318" s="6" t="n">
        <v>52584</v>
      </c>
      <c r="B2318" s="6" t="inlineStr">
        <is>
          <t>E &amp; J SUPERIOR RESERVE VSOP BRANDY</t>
        </is>
      </c>
      <c r="C2318" s="7">
        <f>VLOOKUP(A2318,SizeData!A$2:B$3839,2,FALSE)</f>
        <v/>
      </c>
      <c r="D2318" s="6" t="n">
        <v>2</v>
      </c>
      <c r="E2318" s="6" t="inlineStr">
        <is>
          <t>R1328617</t>
        </is>
      </c>
      <c r="F2318" s="2" t="n">
        <v>44517</v>
      </c>
      <c r="G2318" s="1" t="n"/>
    </row>
    <row r="2319">
      <c r="A2319" s="6" t="n">
        <v>52593</v>
      </c>
      <c r="B2319" s="6" t="inlineStr">
        <is>
          <t>E &amp; J BRANDY</t>
        </is>
      </c>
      <c r="C2319" s="7">
        <f>VLOOKUP(A2319,SizeData!A$2:B$3839,2,FALSE)</f>
        <v/>
      </c>
      <c r="D2319" s="6" t="n">
        <v>1</v>
      </c>
      <c r="E2319" s="6" t="inlineStr">
        <is>
          <t>R993624</t>
        </is>
      </c>
      <c r="F2319" s="2" t="n">
        <v>44206</v>
      </c>
      <c r="G2319" s="1" t="n"/>
    </row>
    <row r="2320">
      <c r="A2320" s="6" t="n">
        <v>52593</v>
      </c>
      <c r="B2320" s="6" t="inlineStr">
        <is>
          <t>E &amp; J BRANDY</t>
        </is>
      </c>
      <c r="C2320" s="7">
        <f>VLOOKUP(A2320,SizeData!A$2:B$3839,2,FALSE)</f>
        <v/>
      </c>
      <c r="D2320" s="6" t="n">
        <v>1</v>
      </c>
      <c r="E2320" s="6" t="inlineStr">
        <is>
          <t>R1018402</t>
        </is>
      </c>
      <c r="F2320" s="2" t="n">
        <v>44229</v>
      </c>
      <c r="G2320" s="1" t="n"/>
    </row>
    <row r="2321">
      <c r="A2321" s="6" t="n">
        <v>52593</v>
      </c>
      <c r="B2321" s="6" t="inlineStr">
        <is>
          <t>E &amp; J BRANDY</t>
        </is>
      </c>
      <c r="C2321" s="7">
        <f>VLOOKUP(A2321,SizeData!A$2:B$3839,2,FALSE)</f>
        <v/>
      </c>
      <c r="D2321" s="6" t="n">
        <v>2</v>
      </c>
      <c r="E2321" s="6" t="inlineStr">
        <is>
          <t>R1055142</t>
        </is>
      </c>
      <c r="F2321" s="2" t="n">
        <v>44257</v>
      </c>
      <c r="G2321" s="1" t="n"/>
    </row>
    <row r="2322">
      <c r="A2322" s="6" t="n">
        <v>52593</v>
      </c>
      <c r="B2322" s="6" t="inlineStr">
        <is>
          <t>E &amp; J BRANDY</t>
        </is>
      </c>
      <c r="C2322" s="7">
        <f>VLOOKUP(A2322,SizeData!A$2:B$3839,2,FALSE)</f>
        <v/>
      </c>
      <c r="D2322" s="6" t="n">
        <v>1</v>
      </c>
      <c r="E2322" s="6" t="inlineStr">
        <is>
          <t>R1115090</t>
        </is>
      </c>
      <c r="F2322" s="2" t="n">
        <v>44315</v>
      </c>
      <c r="G2322" s="1" t="n"/>
    </row>
    <row r="2323">
      <c r="A2323" s="6" t="n">
        <v>52593</v>
      </c>
      <c r="B2323" s="6" t="inlineStr">
        <is>
          <t>E &amp; J BRANDY</t>
        </is>
      </c>
      <c r="C2323" s="7">
        <f>VLOOKUP(A2323,SizeData!A$2:B$3839,2,FALSE)</f>
        <v/>
      </c>
      <c r="D2323" s="6" t="n">
        <v>1</v>
      </c>
      <c r="E2323" s="6" t="inlineStr">
        <is>
          <t>R1148206</t>
        </is>
      </c>
      <c r="F2323" s="2" t="n">
        <v>44359</v>
      </c>
      <c r="G2323" s="1" t="n"/>
    </row>
    <row r="2324">
      <c r="A2324" s="6" t="n">
        <v>52593</v>
      </c>
      <c r="B2324" s="6" t="inlineStr">
        <is>
          <t>E &amp; J BRANDY</t>
        </is>
      </c>
      <c r="C2324" s="7">
        <f>VLOOKUP(A2324,SizeData!A$2:B$3839,2,FALSE)</f>
        <v/>
      </c>
      <c r="D2324" s="6" t="n">
        <v>1</v>
      </c>
      <c r="E2324" s="6" t="inlineStr">
        <is>
          <t>R1192528</t>
        </is>
      </c>
      <c r="F2324" s="2" t="n">
        <v>44404</v>
      </c>
      <c r="G2324" s="1" t="n"/>
    </row>
    <row r="2325">
      <c r="A2325" s="6" t="n">
        <v>52593</v>
      </c>
      <c r="B2325" s="6" t="inlineStr">
        <is>
          <t>E &amp; J BRANDY</t>
        </is>
      </c>
      <c r="C2325" s="7">
        <f>VLOOKUP(A2325,SizeData!A$2:B$3839,2,FALSE)</f>
        <v/>
      </c>
      <c r="D2325" s="6" t="n">
        <v>1</v>
      </c>
      <c r="E2325" s="6" t="inlineStr">
        <is>
          <t>R1216789</t>
        </is>
      </c>
      <c r="F2325" s="2" t="n">
        <v>44432</v>
      </c>
      <c r="G2325" s="1" t="n"/>
    </row>
    <row r="2326">
      <c r="A2326" s="6" t="n">
        <v>52593</v>
      </c>
      <c r="B2326" s="6" t="inlineStr">
        <is>
          <t>E &amp; J BRANDY</t>
        </is>
      </c>
      <c r="C2326" s="7">
        <f>VLOOKUP(A2326,SizeData!A$2:B$3839,2,FALSE)</f>
        <v/>
      </c>
      <c r="D2326" s="6" t="n">
        <v>1</v>
      </c>
      <c r="E2326" s="6" t="inlineStr">
        <is>
          <t>R1246630</t>
        </is>
      </c>
      <c r="F2326" s="2" t="n">
        <v>44450</v>
      </c>
      <c r="G2326" s="1" t="n"/>
    </row>
    <row r="2327">
      <c r="A2327" s="6" t="n">
        <v>52593</v>
      </c>
      <c r="B2327" s="6" t="inlineStr">
        <is>
          <t>E &amp; J BRANDY</t>
        </is>
      </c>
      <c r="C2327" s="7">
        <f>VLOOKUP(A2327,SizeData!A$2:B$3839,2,FALSE)</f>
        <v/>
      </c>
      <c r="D2327" s="6" t="n">
        <v>1</v>
      </c>
      <c r="E2327" s="6" t="inlineStr">
        <is>
          <t xml:space="preserve"> R1264833</t>
        </is>
      </c>
      <c r="F2327" s="2" t="n">
        <v>44471</v>
      </c>
      <c r="G2327" s="1" t="n"/>
    </row>
    <row r="2328">
      <c r="A2328" s="6" t="n">
        <v>52593</v>
      </c>
      <c r="B2328" s="6" t="inlineStr">
        <is>
          <t>E &amp; J BRANDY</t>
        </is>
      </c>
      <c r="C2328" s="7">
        <f>VLOOKUP(A2328,SizeData!A$2:B$3839,2,FALSE)</f>
        <v/>
      </c>
      <c r="D2328" s="6" t="n">
        <v>1</v>
      </c>
      <c r="E2328" s="6" t="inlineStr">
        <is>
          <t>R1274548</t>
        </is>
      </c>
      <c r="F2328" s="2" t="n">
        <v>44485</v>
      </c>
      <c r="G2328" s="1" t="n"/>
    </row>
    <row r="2329">
      <c r="A2329" s="6" t="n">
        <v>52593</v>
      </c>
      <c r="B2329" s="6" t="inlineStr">
        <is>
          <t>E &amp; J BRANDY</t>
        </is>
      </c>
      <c r="C2329" s="7">
        <f>VLOOKUP(A2329,SizeData!A$2:B$3839,2,FALSE)</f>
        <v/>
      </c>
      <c r="D2329" s="6" t="n">
        <v>2</v>
      </c>
      <c r="E2329" s="6" t="inlineStr">
        <is>
          <t>R1301542</t>
        </is>
      </c>
      <c r="F2329" s="2" t="n">
        <v>44494</v>
      </c>
      <c r="G2329" s="1" t="n"/>
    </row>
    <row r="2330">
      <c r="A2330" s="6" t="n">
        <v>52593</v>
      </c>
      <c r="B2330" s="6" t="inlineStr">
        <is>
          <t>E &amp; J BRANDY</t>
        </is>
      </c>
      <c r="C2330" s="7">
        <f>VLOOKUP(A2330,SizeData!A$2:B$3839,2,FALSE)</f>
        <v/>
      </c>
      <c r="D2330" s="6" t="n">
        <v>1</v>
      </c>
      <c r="E2330" s="6" t="inlineStr">
        <is>
          <t>R1329103</t>
        </is>
      </c>
      <c r="F2330" s="2" t="n">
        <v>44518</v>
      </c>
      <c r="G2330" s="1" t="n"/>
    </row>
    <row r="2331">
      <c r="A2331" s="6" t="n">
        <v>52594</v>
      </c>
      <c r="B2331" s="6" t="inlineStr">
        <is>
          <t>E &amp; J BRANDY</t>
        </is>
      </c>
      <c r="C2331" s="7">
        <f>VLOOKUP(A2331,SizeData!A$2:B$3839,2,FALSE)</f>
        <v/>
      </c>
      <c r="D2331" s="6" t="n">
        <v>1</v>
      </c>
      <c r="E2331" s="6" t="inlineStr">
        <is>
          <t>R993624</t>
        </is>
      </c>
      <c r="F2331" s="2" t="n">
        <v>44206</v>
      </c>
      <c r="G2331" s="1" t="n"/>
    </row>
    <row r="2332">
      <c r="A2332" s="6" t="n">
        <v>52594</v>
      </c>
      <c r="B2332" s="6" t="inlineStr">
        <is>
          <t>E &amp; J BRANDY</t>
        </is>
      </c>
      <c r="C2332" s="7">
        <f>VLOOKUP(A2332,SizeData!A$2:B$3839,2,FALSE)</f>
        <v/>
      </c>
      <c r="D2332" s="6" t="n">
        <v>1</v>
      </c>
      <c r="E2332" s="6" t="inlineStr">
        <is>
          <t>R993178</t>
        </is>
      </c>
      <c r="F2332" s="2" t="n">
        <v>44218</v>
      </c>
      <c r="G2332" s="1" t="n"/>
    </row>
    <row r="2333">
      <c r="A2333" s="6" t="n">
        <v>52594</v>
      </c>
      <c r="B2333" s="6" t="inlineStr">
        <is>
          <t>E &amp; J BRANDY</t>
        </is>
      </c>
      <c r="C2333" s="7">
        <f>VLOOKUP(A2333,SizeData!A$2:B$3839,2,FALSE)</f>
        <v/>
      </c>
      <c r="D2333" s="6" t="n">
        <v>1</v>
      </c>
      <c r="E2333" s="6" t="inlineStr">
        <is>
          <t>R1015646</t>
        </is>
      </c>
      <c r="F2333" s="2" t="n">
        <v>44223</v>
      </c>
      <c r="G2333" s="1" t="n"/>
    </row>
    <row r="2334">
      <c r="A2334" s="6" t="n">
        <v>52594</v>
      </c>
      <c r="B2334" s="6" t="inlineStr">
        <is>
          <t>E &amp; J BRANDY</t>
        </is>
      </c>
      <c r="C2334" s="7">
        <f>VLOOKUP(A2334,SizeData!A$2:B$3839,2,FALSE)</f>
        <v/>
      </c>
      <c r="D2334" s="6" t="n">
        <v>1</v>
      </c>
      <c r="E2334" s="6" t="inlineStr">
        <is>
          <t>R1028756</t>
        </is>
      </c>
      <c r="F2334" s="2" t="n">
        <v>44239</v>
      </c>
      <c r="G2334" s="1" t="n"/>
    </row>
    <row r="2335">
      <c r="A2335" s="6" t="n">
        <v>52594</v>
      </c>
      <c r="B2335" s="6" t="inlineStr">
        <is>
          <t>E &amp; J BRANDY</t>
        </is>
      </c>
      <c r="C2335" s="7">
        <f>VLOOKUP(A2335,SizeData!A$2:B$3839,2,FALSE)</f>
        <v/>
      </c>
      <c r="D2335" s="6" t="n">
        <v>1</v>
      </c>
      <c r="E2335" s="6" t="inlineStr">
        <is>
          <t>R1040170</t>
        </is>
      </c>
      <c r="F2335" s="2" t="n">
        <v>44251</v>
      </c>
      <c r="G2335" s="1" t="n"/>
    </row>
    <row r="2336">
      <c r="A2336" s="6" t="n">
        <v>52594</v>
      </c>
      <c r="B2336" s="6" t="inlineStr">
        <is>
          <t>E &amp; J BRANDY</t>
        </is>
      </c>
      <c r="C2336" s="7">
        <f>VLOOKUP(A2336,SizeData!A$2:B$3839,2,FALSE)</f>
        <v/>
      </c>
      <c r="D2336" s="6" t="n">
        <v>1</v>
      </c>
      <c r="E2336" s="6" t="inlineStr">
        <is>
          <t>R1108792</t>
        </is>
      </c>
      <c r="F2336" s="2" t="n">
        <v>44322</v>
      </c>
      <c r="G2336" s="1" t="n"/>
    </row>
    <row r="2337">
      <c r="A2337" s="6" t="n">
        <v>52594</v>
      </c>
      <c r="B2337" s="6" t="inlineStr">
        <is>
          <t>E &amp; J BRANDY</t>
        </is>
      </c>
      <c r="C2337" s="7">
        <f>VLOOKUP(A2337,SizeData!A$2:B$3839,2,FALSE)</f>
        <v/>
      </c>
      <c r="D2337" s="6" t="n">
        <v>1</v>
      </c>
      <c r="E2337" s="6" t="inlineStr">
        <is>
          <t>R1142808</t>
        </is>
      </c>
      <c r="F2337" s="2" t="n">
        <v>44352</v>
      </c>
      <c r="G2337" s="1" t="n"/>
    </row>
    <row r="2338">
      <c r="A2338" s="6" t="n">
        <v>52594</v>
      </c>
      <c r="B2338" s="6" t="inlineStr">
        <is>
          <t>E &amp; J BRANDY</t>
        </is>
      </c>
      <c r="C2338" s="7">
        <f>VLOOKUP(A2338,SizeData!A$2:B$3839,2,FALSE)</f>
        <v/>
      </c>
      <c r="D2338" s="6" t="n">
        <v>1</v>
      </c>
      <c r="E2338" s="6" t="inlineStr">
        <is>
          <t>R1159919</t>
        </is>
      </c>
      <c r="F2338" s="2" t="n">
        <v>44370</v>
      </c>
      <c r="G2338" s="1" t="n"/>
    </row>
    <row r="2339">
      <c r="A2339" s="6" t="n">
        <v>52594</v>
      </c>
      <c r="B2339" s="6" t="inlineStr">
        <is>
          <t>E &amp; J BRANDY</t>
        </is>
      </c>
      <c r="C2339" s="7">
        <f>VLOOKUP(A2339,SizeData!A$2:B$3839,2,FALSE)</f>
        <v/>
      </c>
      <c r="D2339" s="6" t="n">
        <v>1</v>
      </c>
      <c r="E2339" s="6" t="inlineStr">
        <is>
          <t>R1171594</t>
        </is>
      </c>
      <c r="F2339" s="2" t="n">
        <v>44392</v>
      </c>
      <c r="G2339" s="1" t="n"/>
    </row>
    <row r="2340">
      <c r="A2340" s="6" t="n">
        <v>52594</v>
      </c>
      <c r="B2340" s="6" t="inlineStr">
        <is>
          <t>E &amp; J BRANDY</t>
        </is>
      </c>
      <c r="C2340" s="7">
        <f>VLOOKUP(A2340,SizeData!A$2:B$3839,2,FALSE)</f>
        <v/>
      </c>
      <c r="D2340" s="6" t="n">
        <v>1</v>
      </c>
      <c r="E2340" s="6" t="inlineStr">
        <is>
          <t>R1232932</t>
        </is>
      </c>
      <c r="F2340" s="2" t="n">
        <v>44446</v>
      </c>
      <c r="G2340" s="1" t="n"/>
    </row>
    <row r="2341">
      <c r="A2341" s="6" t="n">
        <v>52594</v>
      </c>
      <c r="B2341" s="6" t="inlineStr">
        <is>
          <t>E &amp; J BRANDY</t>
        </is>
      </c>
      <c r="C2341" s="7">
        <f>VLOOKUP(A2341,SizeData!A$2:B$3839,2,FALSE)</f>
        <v/>
      </c>
      <c r="D2341" s="6" t="n">
        <v>2</v>
      </c>
      <c r="E2341" s="6" t="inlineStr">
        <is>
          <t>R1241985</t>
        </is>
      </c>
      <c r="F2341" s="2" t="n">
        <v>44450</v>
      </c>
      <c r="G2341" s="1" t="n"/>
    </row>
    <row r="2342">
      <c r="A2342" s="6" t="n">
        <v>52594</v>
      </c>
      <c r="B2342" s="6" t="inlineStr">
        <is>
          <t>E &amp; J BRANDY</t>
        </is>
      </c>
      <c r="C2342" s="7">
        <f>VLOOKUP(A2342,SizeData!A$2:B$3839,2,FALSE)</f>
        <v/>
      </c>
      <c r="D2342" s="6" t="n">
        <v>1</v>
      </c>
      <c r="E2342" s="6" t="inlineStr">
        <is>
          <t>R1275231</t>
        </is>
      </c>
      <c r="F2342" s="2" t="n">
        <v>44473</v>
      </c>
      <c r="G2342" s="1" t="n"/>
    </row>
    <row r="2343">
      <c r="A2343" s="6" t="n">
        <v>52594</v>
      </c>
      <c r="B2343" s="6" t="inlineStr">
        <is>
          <t>E &amp; J BRANDY</t>
        </is>
      </c>
      <c r="C2343" s="7">
        <f>VLOOKUP(A2343,SizeData!A$2:B$3839,2,FALSE)</f>
        <v/>
      </c>
      <c r="D2343" s="6" t="n">
        <v>2</v>
      </c>
      <c r="E2343" s="6" t="inlineStr">
        <is>
          <t>R1315248</t>
        </is>
      </c>
      <c r="F2343" s="2" t="n">
        <v>44502</v>
      </c>
      <c r="G2343" s="1" t="n"/>
    </row>
    <row r="2344">
      <c r="A2344" s="6" t="n">
        <v>52594</v>
      </c>
      <c r="B2344" s="6" t="inlineStr">
        <is>
          <t>E &amp; J BRANDY</t>
        </is>
      </c>
      <c r="C2344" s="7">
        <f>VLOOKUP(A2344,SizeData!A$2:B$3839,2,FALSE)</f>
        <v/>
      </c>
      <c r="D2344" s="6" t="n">
        <v>1</v>
      </c>
      <c r="E2344" s="6" t="inlineStr">
        <is>
          <t>R1329103</t>
        </is>
      </c>
      <c r="F2344" s="2" t="n">
        <v>44518</v>
      </c>
      <c r="G2344" s="1" t="n"/>
    </row>
    <row r="2345">
      <c r="A2345" s="6" t="n">
        <v>52594</v>
      </c>
      <c r="B2345" s="6" t="inlineStr">
        <is>
          <t>E &amp; J BRANDY</t>
        </is>
      </c>
      <c r="C2345" s="7">
        <f>VLOOKUP(A2345,SizeData!A$2:B$3839,2,FALSE)</f>
        <v/>
      </c>
      <c r="D2345" s="6" t="n">
        <v>2</v>
      </c>
      <c r="E2345" s="6" t="inlineStr">
        <is>
          <t>R1327983</t>
        </is>
      </c>
      <c r="F2345" s="2" t="n">
        <v>44523</v>
      </c>
      <c r="G2345" s="1" t="n"/>
    </row>
    <row r="2346">
      <c r="A2346" s="6" t="n">
        <v>52596</v>
      </c>
      <c r="B2346" s="6" t="inlineStr">
        <is>
          <t>E &amp; J BRANDY</t>
        </is>
      </c>
      <c r="C2346" s="7">
        <f>VLOOKUP(A2346,SizeData!A$2:B$3839,2,FALSE)</f>
        <v/>
      </c>
      <c r="D2346" s="6" t="n">
        <v>7</v>
      </c>
      <c r="E2346" s="6" t="inlineStr">
        <is>
          <t>R1013798</t>
        </is>
      </c>
      <c r="F2346" s="2" t="n">
        <v>44246</v>
      </c>
      <c r="G2346" s="1" t="n"/>
    </row>
    <row r="2347">
      <c r="A2347" s="6" t="n">
        <v>52596</v>
      </c>
      <c r="B2347" s="6" t="inlineStr">
        <is>
          <t>E &amp; J BRANDY</t>
        </is>
      </c>
      <c r="C2347" s="7">
        <f>VLOOKUP(A2347,SizeData!A$2:B$3839,2,FALSE)</f>
        <v/>
      </c>
      <c r="D2347" s="6" t="n">
        <v>2</v>
      </c>
      <c r="E2347" s="6" t="inlineStr">
        <is>
          <t>R1204006</t>
        </is>
      </c>
      <c r="F2347" s="2" t="n">
        <v>44415</v>
      </c>
      <c r="G2347" s="1" t="n"/>
    </row>
    <row r="2348">
      <c r="A2348" s="6" t="n">
        <v>52596</v>
      </c>
      <c r="B2348" s="6" t="inlineStr">
        <is>
          <t>E &amp; J BRANDY</t>
        </is>
      </c>
      <c r="C2348" s="7">
        <f>VLOOKUP(A2348,SizeData!A$2:B$3839,2,FALSE)</f>
        <v/>
      </c>
      <c r="D2348" s="6" t="n">
        <v>2</v>
      </c>
      <c r="E2348" s="6" t="inlineStr">
        <is>
          <t>R1217867</t>
        </is>
      </c>
      <c r="F2348" s="2" t="n">
        <v>44435</v>
      </c>
      <c r="G2348" s="1" t="n"/>
    </row>
    <row r="2349">
      <c r="A2349" s="6" t="n">
        <v>52596</v>
      </c>
      <c r="B2349" s="6" t="inlineStr">
        <is>
          <t>E &amp; J BRANDY</t>
        </is>
      </c>
      <c r="C2349" s="7">
        <f>VLOOKUP(A2349,SizeData!A$2:B$3839,2,FALSE)</f>
        <v/>
      </c>
      <c r="D2349" s="6" t="n">
        <v>0</v>
      </c>
      <c r="E2349" s="6" t="inlineStr">
        <is>
          <t>R1308354</t>
        </is>
      </c>
      <c r="F2349" s="2" t="n">
        <v>44504</v>
      </c>
      <c r="G2349" s="1" t="n"/>
    </row>
    <row r="2350">
      <c r="A2350" s="6" t="n">
        <v>52596</v>
      </c>
      <c r="B2350" s="6" t="inlineStr">
        <is>
          <t>E &amp; J BRANDY</t>
        </is>
      </c>
      <c r="C2350" s="7">
        <f>VLOOKUP(A2350,SizeData!A$2:B$3839,2,FALSE)</f>
        <v/>
      </c>
      <c r="D2350" s="6" t="n">
        <v>1</v>
      </c>
      <c r="E2350" s="6" t="inlineStr">
        <is>
          <t>R1318654</t>
        </is>
      </c>
      <c r="F2350" s="2" t="n">
        <v>44513</v>
      </c>
      <c r="G2350" s="1" t="n"/>
    </row>
    <row r="2351">
      <c r="A2351" s="6" t="n">
        <v>52596</v>
      </c>
      <c r="B2351" s="6" t="inlineStr">
        <is>
          <t>E &amp; J BRANDY</t>
        </is>
      </c>
      <c r="C2351" s="7">
        <f>VLOOKUP(A2351,SizeData!A$2:B$3839,2,FALSE)</f>
        <v/>
      </c>
      <c r="D2351" s="6" t="n">
        <v>3</v>
      </c>
      <c r="E2351" s="6" t="inlineStr">
        <is>
          <t>R1340613</t>
        </is>
      </c>
      <c r="F2351" s="2" t="n">
        <v>44520</v>
      </c>
      <c r="G2351" s="1" t="n"/>
    </row>
    <row r="2352">
      <c r="A2352" s="6" t="n">
        <v>52598</v>
      </c>
      <c r="B2352" s="6" t="inlineStr">
        <is>
          <t>E &amp; J BRANDY</t>
        </is>
      </c>
      <c r="C2352" s="7">
        <f>VLOOKUP(A2352,SizeData!A$2:B$3839,2,FALSE)</f>
        <v/>
      </c>
      <c r="D2352" s="6" t="n">
        <v>1</v>
      </c>
      <c r="E2352" s="6" t="inlineStr">
        <is>
          <t>R998453</t>
        </is>
      </c>
      <c r="F2352" s="2" t="n">
        <v>44212</v>
      </c>
      <c r="G2352" s="1" t="n"/>
    </row>
    <row r="2353">
      <c r="A2353" s="6" t="n">
        <v>52598</v>
      </c>
      <c r="B2353" s="6" t="inlineStr">
        <is>
          <t>E &amp; J BRANDY</t>
        </is>
      </c>
      <c r="C2353" s="7">
        <f>VLOOKUP(A2353,SizeData!A$2:B$3839,2,FALSE)</f>
        <v/>
      </c>
      <c r="D2353" s="6" t="n">
        <v>1</v>
      </c>
      <c r="E2353" s="6" t="inlineStr">
        <is>
          <t>R1029260</t>
        </is>
      </c>
      <c r="F2353" s="2" t="n">
        <v>44240</v>
      </c>
      <c r="G2353" s="1" t="n"/>
    </row>
    <row r="2354">
      <c r="A2354" s="6" t="n">
        <v>52598</v>
      </c>
      <c r="B2354" s="6" t="inlineStr">
        <is>
          <t>E &amp; J BRANDY</t>
        </is>
      </c>
      <c r="C2354" s="7">
        <f>VLOOKUP(A2354,SizeData!A$2:B$3839,2,FALSE)</f>
        <v/>
      </c>
      <c r="D2354" s="6" t="n">
        <v>1</v>
      </c>
      <c r="E2354" s="6" t="inlineStr">
        <is>
          <t>R1043269</t>
        </is>
      </c>
      <c r="F2354" s="2" t="n">
        <v>44263</v>
      </c>
      <c r="G2354" s="1" t="n"/>
    </row>
    <row r="2355">
      <c r="A2355" s="6" t="n">
        <v>52598</v>
      </c>
      <c r="B2355" s="6" t="inlineStr">
        <is>
          <t>E &amp; J BRANDY</t>
        </is>
      </c>
      <c r="C2355" s="7">
        <f>VLOOKUP(A2355,SizeData!A$2:B$3839,2,FALSE)</f>
        <v/>
      </c>
      <c r="D2355" s="6" t="n">
        <v>1</v>
      </c>
      <c r="E2355" s="6" t="inlineStr">
        <is>
          <t>R1067006</t>
        </is>
      </c>
      <c r="F2355" s="2" t="n">
        <v>44269</v>
      </c>
      <c r="G2355" s="1" t="n"/>
    </row>
    <row r="2356">
      <c r="A2356" s="6" t="n">
        <v>52598</v>
      </c>
      <c r="B2356" s="6" t="inlineStr">
        <is>
          <t>E &amp; J BRANDY</t>
        </is>
      </c>
      <c r="C2356" s="7">
        <f>VLOOKUP(A2356,SizeData!A$2:B$3839,2,FALSE)</f>
        <v/>
      </c>
      <c r="D2356" s="6" t="n">
        <v>1</v>
      </c>
      <c r="E2356" s="6" t="inlineStr">
        <is>
          <t>R1115877</t>
        </is>
      </c>
      <c r="F2356" s="2" t="n">
        <v>44329</v>
      </c>
      <c r="G2356" s="1" t="n"/>
    </row>
    <row r="2357">
      <c r="A2357" s="6" t="n">
        <v>52598</v>
      </c>
      <c r="B2357" s="6" t="inlineStr">
        <is>
          <t>E &amp; J BRANDY</t>
        </is>
      </c>
      <c r="C2357" s="7">
        <f>VLOOKUP(A2357,SizeData!A$2:B$3839,2,FALSE)</f>
        <v/>
      </c>
      <c r="D2357" s="6" t="n">
        <v>1</v>
      </c>
      <c r="E2357" s="6" t="inlineStr">
        <is>
          <t xml:space="preserve"> R1135574</t>
        </is>
      </c>
      <c r="F2357" s="2" t="n">
        <v>44338</v>
      </c>
      <c r="G2357" s="1" t="n"/>
    </row>
    <row r="2358">
      <c r="A2358" s="6" t="n">
        <v>52598</v>
      </c>
      <c r="B2358" s="6" t="inlineStr">
        <is>
          <t>E &amp; J BRANDY</t>
        </is>
      </c>
      <c r="C2358" s="7">
        <f>VLOOKUP(A2358,SizeData!A$2:B$3839,2,FALSE)</f>
        <v/>
      </c>
      <c r="D2358" s="6" t="n">
        <v>1</v>
      </c>
      <c r="E2358" s="6" t="inlineStr">
        <is>
          <t>R1151004</t>
        </is>
      </c>
      <c r="F2358" s="2" t="n">
        <v>44358</v>
      </c>
      <c r="G2358" s="1" t="n"/>
    </row>
    <row r="2359">
      <c r="A2359" s="6" t="n">
        <v>52598</v>
      </c>
      <c r="B2359" s="6" t="inlineStr">
        <is>
          <t>E &amp; J BRANDY</t>
        </is>
      </c>
      <c r="C2359" s="7">
        <f>VLOOKUP(A2359,SizeData!A$2:B$3839,2,FALSE)</f>
        <v/>
      </c>
      <c r="D2359" s="6" t="n">
        <v>1</v>
      </c>
      <c r="E2359" s="6" t="inlineStr">
        <is>
          <t>R1150887</t>
        </is>
      </c>
      <c r="F2359" s="2" t="n">
        <v>44366</v>
      </c>
      <c r="G2359" s="1" t="n"/>
    </row>
    <row r="2360">
      <c r="A2360" s="6" t="n">
        <v>52598</v>
      </c>
      <c r="B2360" s="6" t="inlineStr">
        <is>
          <t>E &amp; J BRANDY</t>
        </is>
      </c>
      <c r="C2360" s="7">
        <f>VLOOKUP(A2360,SizeData!A$2:B$3839,2,FALSE)</f>
        <v/>
      </c>
      <c r="D2360" s="6" t="n">
        <v>1</v>
      </c>
      <c r="E2360" s="6" t="inlineStr">
        <is>
          <t>R1192528</t>
        </is>
      </c>
      <c r="F2360" s="2" t="n">
        <v>44404</v>
      </c>
      <c r="G2360" s="1" t="n"/>
    </row>
    <row r="2361">
      <c r="A2361" s="6" t="n">
        <v>52598</v>
      </c>
      <c r="B2361" s="6" t="inlineStr">
        <is>
          <t>E &amp; J BRANDY</t>
        </is>
      </c>
      <c r="C2361" s="7">
        <f>VLOOKUP(A2361,SizeData!A$2:B$3839,2,FALSE)</f>
        <v/>
      </c>
      <c r="D2361" s="6" t="n">
        <v>1</v>
      </c>
      <c r="E2361" s="6" t="inlineStr">
        <is>
          <t>R1260244</t>
        </is>
      </c>
      <c r="F2361" s="2" t="n">
        <v>44457</v>
      </c>
      <c r="G2361" s="1" t="n"/>
    </row>
    <row r="2362">
      <c r="A2362" s="6" t="n">
        <v>52598</v>
      </c>
      <c r="B2362" s="6" t="inlineStr">
        <is>
          <t>E &amp; J BRANDY</t>
        </is>
      </c>
      <c r="C2362" s="7">
        <f>VLOOKUP(A2362,SizeData!A$2:B$3839,2,FALSE)</f>
        <v/>
      </c>
      <c r="D2362" s="6" t="n">
        <v>2</v>
      </c>
      <c r="E2362" s="6" t="inlineStr">
        <is>
          <t>R1301953</t>
        </is>
      </c>
      <c r="F2362" s="2" t="n">
        <v>44496</v>
      </c>
      <c r="G2362" s="1" t="n"/>
    </row>
    <row r="2363">
      <c r="A2363" s="6" t="n">
        <v>52598</v>
      </c>
      <c r="B2363" s="6" t="inlineStr">
        <is>
          <t>E &amp; J BRANDY</t>
        </is>
      </c>
      <c r="C2363" s="7">
        <f>VLOOKUP(A2363,SizeData!A$2:B$3839,2,FALSE)</f>
        <v/>
      </c>
      <c r="D2363" s="6" t="n">
        <v>1</v>
      </c>
      <c r="E2363" s="6" t="inlineStr">
        <is>
          <t>R1329103</t>
        </is>
      </c>
      <c r="F2363" s="2" t="n">
        <v>44518</v>
      </c>
      <c r="G2363" s="1" t="n"/>
    </row>
    <row r="2364">
      <c r="A2364" s="6" t="n">
        <v>52656</v>
      </c>
      <c r="B2364" s="6" t="inlineStr">
        <is>
          <t>HARTLEY VSOP BRANDY</t>
        </is>
      </c>
      <c r="C2364" s="7">
        <f>VLOOKUP(A2364,SizeData!A$2:B$3839,2,FALSE)</f>
        <v/>
      </c>
      <c r="D2364" s="6" t="n">
        <v>3</v>
      </c>
      <c r="E2364" s="6" t="inlineStr">
        <is>
          <t>R998453</t>
        </is>
      </c>
      <c r="F2364" s="2" t="n">
        <v>44212</v>
      </c>
      <c r="G2364" s="1" t="n"/>
    </row>
    <row r="2365">
      <c r="A2365" s="6" t="n">
        <v>52656</v>
      </c>
      <c r="B2365" s="6" t="inlineStr">
        <is>
          <t>HARTLEY VSOP BRANDY</t>
        </is>
      </c>
      <c r="C2365" s="7">
        <f>VLOOKUP(A2365,SizeData!A$2:B$3839,2,FALSE)</f>
        <v/>
      </c>
      <c r="D2365" s="6" t="n">
        <v>1</v>
      </c>
      <c r="E2365" s="6" t="inlineStr">
        <is>
          <t>R1008939</t>
        </is>
      </c>
      <c r="F2365" s="2" t="n">
        <v>44220</v>
      </c>
      <c r="G2365" s="1" t="n"/>
    </row>
    <row r="2366">
      <c r="A2366" s="6" t="n">
        <v>52656</v>
      </c>
      <c r="B2366" s="6" t="inlineStr">
        <is>
          <t>HARTLEY VSOP BRANDY</t>
        </is>
      </c>
      <c r="C2366" s="7">
        <f>VLOOKUP(A2366,SizeData!A$2:B$3839,2,FALSE)</f>
        <v/>
      </c>
      <c r="D2366" s="6" t="n">
        <v>1</v>
      </c>
      <c r="E2366" s="6" t="inlineStr">
        <is>
          <t>R1046038</t>
        </is>
      </c>
      <c r="F2366" s="2" t="n">
        <v>44256</v>
      </c>
      <c r="G2366" s="1" t="n"/>
    </row>
    <row r="2367">
      <c r="A2367" s="6" t="n">
        <v>52656</v>
      </c>
      <c r="B2367" s="6" t="inlineStr">
        <is>
          <t>HARTLEY VSOP BRANDY</t>
        </is>
      </c>
      <c r="C2367" s="7">
        <f>VLOOKUP(A2367,SizeData!A$2:B$3839,2,FALSE)</f>
        <v/>
      </c>
      <c r="D2367" s="6" t="n">
        <v>1</v>
      </c>
      <c r="E2367" s="6" t="inlineStr">
        <is>
          <t>R1089290</t>
        </is>
      </c>
      <c r="F2367" s="2" t="n">
        <v>44309</v>
      </c>
      <c r="G2367" s="1" t="n"/>
    </row>
    <row r="2368">
      <c r="A2368" s="6" t="n">
        <v>52656</v>
      </c>
      <c r="B2368" s="6" t="inlineStr">
        <is>
          <t>HARTLEY VSOP BRANDY</t>
        </is>
      </c>
      <c r="C2368" s="7">
        <f>VLOOKUP(A2368,SizeData!A$2:B$3839,2,FALSE)</f>
        <v/>
      </c>
      <c r="D2368" s="6" t="n">
        <v>1</v>
      </c>
      <c r="E2368" s="6" t="inlineStr">
        <is>
          <t>R1099557</t>
        </is>
      </c>
      <c r="F2368" s="2" t="n">
        <v>44317</v>
      </c>
      <c r="G2368" s="1" t="n"/>
    </row>
    <row r="2369">
      <c r="A2369" s="6" t="n">
        <v>52656</v>
      </c>
      <c r="B2369" s="6" t="inlineStr">
        <is>
          <t>HARTLEY VSOP BRANDY</t>
        </is>
      </c>
      <c r="C2369" s="7">
        <f>VLOOKUP(A2369,SizeData!A$2:B$3839,2,FALSE)</f>
        <v/>
      </c>
      <c r="D2369" s="6" t="n">
        <v>3</v>
      </c>
      <c r="E2369" s="6" t="inlineStr">
        <is>
          <t>R1122021</t>
        </is>
      </c>
      <c r="F2369" s="2" t="n">
        <v>44328</v>
      </c>
      <c r="G2369" s="1" t="n"/>
    </row>
    <row r="2370">
      <c r="A2370" s="6" t="n">
        <v>52656</v>
      </c>
      <c r="B2370" s="6" t="inlineStr">
        <is>
          <t>HARTLEY VSOP BRANDY</t>
        </is>
      </c>
      <c r="C2370" s="7">
        <f>VLOOKUP(A2370,SizeData!A$2:B$3839,2,FALSE)</f>
        <v/>
      </c>
      <c r="D2370" s="6" t="n">
        <v>1</v>
      </c>
      <c r="E2370" s="6" t="inlineStr">
        <is>
          <t>R1125683</t>
        </is>
      </c>
      <c r="F2370" s="2" t="n">
        <v>44336</v>
      </c>
      <c r="G2370" s="1" t="n"/>
    </row>
    <row r="2371">
      <c r="A2371" s="6" t="n">
        <v>52656</v>
      </c>
      <c r="B2371" s="6" t="inlineStr">
        <is>
          <t>HARTLEY VSOP BRANDY</t>
        </is>
      </c>
      <c r="C2371" s="7">
        <f>VLOOKUP(A2371,SizeData!A$2:B$3839,2,FALSE)</f>
        <v/>
      </c>
      <c r="D2371" s="6" t="n">
        <v>1</v>
      </c>
      <c r="E2371" s="6" t="inlineStr">
        <is>
          <t>R1124382</t>
        </is>
      </c>
      <c r="F2371" s="2" t="n">
        <v>44347</v>
      </c>
      <c r="G2371" s="1" t="n"/>
    </row>
    <row r="2372">
      <c r="A2372" s="6" t="n">
        <v>52656</v>
      </c>
      <c r="B2372" s="6" t="inlineStr">
        <is>
          <t>HARTLEY VSOP BRANDY</t>
        </is>
      </c>
      <c r="C2372" s="7">
        <f>VLOOKUP(A2372,SizeData!A$2:B$3839,2,FALSE)</f>
        <v/>
      </c>
      <c r="D2372" s="6" t="n">
        <v>1</v>
      </c>
      <c r="E2372" s="6" t="inlineStr">
        <is>
          <t>R1154324</t>
        </is>
      </c>
      <c r="F2372" s="2" t="n">
        <v>44378</v>
      </c>
      <c r="G2372" s="1" t="n"/>
    </row>
    <row r="2373">
      <c r="A2373" s="6" t="n">
        <v>52656</v>
      </c>
      <c r="B2373" s="6" t="inlineStr">
        <is>
          <t>HARTLEY VSOP BRANDY</t>
        </is>
      </c>
      <c r="C2373" s="7">
        <f>VLOOKUP(A2373,SizeData!A$2:B$3839,2,FALSE)</f>
        <v/>
      </c>
      <c r="D2373" s="6" t="n">
        <v>1</v>
      </c>
      <c r="E2373" s="6" t="inlineStr">
        <is>
          <t>R1169967</t>
        </is>
      </c>
      <c r="F2373" s="2" t="n">
        <v>44385</v>
      </c>
      <c r="G2373" s="1" t="n"/>
    </row>
    <row r="2374">
      <c r="A2374" s="6" t="n">
        <v>52656</v>
      </c>
      <c r="B2374" s="6" t="inlineStr">
        <is>
          <t>HARTLEY VSOP BRANDY</t>
        </is>
      </c>
      <c r="C2374" s="7">
        <f>VLOOKUP(A2374,SizeData!A$2:B$3839,2,FALSE)</f>
        <v/>
      </c>
      <c r="D2374" s="6" t="n">
        <v>1</v>
      </c>
      <c r="E2374" s="6" t="inlineStr">
        <is>
          <t>R1169144</t>
        </is>
      </c>
      <c r="F2374" s="2" t="n">
        <v>44387</v>
      </c>
      <c r="G2374" s="1" t="n"/>
    </row>
    <row r="2375">
      <c r="A2375" s="6" t="n">
        <v>52656</v>
      </c>
      <c r="B2375" s="6" t="inlineStr">
        <is>
          <t>HARTLEY VSOP BRANDY</t>
        </is>
      </c>
      <c r="C2375" s="7">
        <f>VLOOKUP(A2375,SizeData!A$2:B$3839,2,FALSE)</f>
        <v/>
      </c>
      <c r="D2375" s="6" t="n">
        <v>2</v>
      </c>
      <c r="E2375" s="6" t="inlineStr">
        <is>
          <t>R1174455</t>
        </is>
      </c>
      <c r="F2375" s="2" t="n">
        <v>44393</v>
      </c>
      <c r="G2375" s="1" t="n"/>
    </row>
    <row r="2376">
      <c r="A2376" s="6" t="n">
        <v>52656</v>
      </c>
      <c r="B2376" s="6" t="inlineStr">
        <is>
          <t>HARTLEY VSOP BRANDY</t>
        </is>
      </c>
      <c r="C2376" s="7">
        <f>VLOOKUP(A2376,SizeData!A$2:B$3839,2,FALSE)</f>
        <v/>
      </c>
      <c r="D2376" s="6" t="n">
        <v>2</v>
      </c>
      <c r="E2376" s="6" t="inlineStr">
        <is>
          <t>R1235270</t>
        </is>
      </c>
      <c r="F2376" s="2" t="n">
        <v>44440</v>
      </c>
      <c r="G2376" s="1" t="n"/>
    </row>
    <row r="2377">
      <c r="A2377" s="6" t="n">
        <v>52656</v>
      </c>
      <c r="B2377" s="6" t="inlineStr">
        <is>
          <t>HARTLEY VSOP BRANDY</t>
        </is>
      </c>
      <c r="C2377" s="7">
        <f>VLOOKUP(A2377,SizeData!A$2:B$3839,2,FALSE)</f>
        <v/>
      </c>
      <c r="D2377" s="6" t="n">
        <v>3</v>
      </c>
      <c r="E2377" s="6" t="inlineStr">
        <is>
          <t>R1228454</t>
        </is>
      </c>
      <c r="F2377" s="2" t="n">
        <v>44445</v>
      </c>
      <c r="G2377" s="1" t="n"/>
    </row>
    <row r="2378">
      <c r="A2378" s="6" t="n">
        <v>52656</v>
      </c>
      <c r="B2378" s="6" t="inlineStr">
        <is>
          <t>HARTLEY VSOP BRANDY</t>
        </is>
      </c>
      <c r="C2378" s="7">
        <f>VLOOKUP(A2378,SizeData!A$2:B$3839,2,FALSE)</f>
        <v/>
      </c>
      <c r="D2378" s="6" t="n">
        <v>0</v>
      </c>
      <c r="E2378" s="6" t="inlineStr">
        <is>
          <t>R1265540</t>
        </is>
      </c>
      <c r="F2378" s="2" t="n">
        <v>44459</v>
      </c>
      <c r="G2378" s="1" t="n"/>
    </row>
    <row r="2379">
      <c r="A2379" s="6" t="n">
        <v>52656</v>
      </c>
      <c r="B2379" s="6" t="inlineStr">
        <is>
          <t>HARTLEY VSOP BRANDY</t>
        </is>
      </c>
      <c r="C2379" s="7">
        <f>VLOOKUP(A2379,SizeData!A$2:B$3839,2,FALSE)</f>
        <v/>
      </c>
      <c r="D2379" s="6" t="n">
        <v>1</v>
      </c>
      <c r="E2379" s="6" t="inlineStr">
        <is>
          <t>R1301983</t>
        </is>
      </c>
      <c r="F2379" s="2" t="n">
        <v>44501</v>
      </c>
      <c r="G2379" s="1" t="n"/>
    </row>
    <row r="2380">
      <c r="A2380" s="6" t="n">
        <v>52656</v>
      </c>
      <c r="B2380" s="6" t="inlineStr">
        <is>
          <t>HARTLEY VSOP BRANDY</t>
        </is>
      </c>
      <c r="C2380" s="7">
        <f>VLOOKUP(A2380,SizeData!A$2:B$3839,2,FALSE)</f>
        <v/>
      </c>
      <c r="D2380" s="6" t="n">
        <v>1</v>
      </c>
      <c r="E2380" s="6" t="inlineStr">
        <is>
          <t>R1323053</t>
        </is>
      </c>
      <c r="F2380" s="2" t="n">
        <v>44515</v>
      </c>
      <c r="G2380" s="1" t="n"/>
    </row>
    <row r="2381">
      <c r="A2381" s="6" t="n">
        <v>52656</v>
      </c>
      <c r="B2381" s="6" t="inlineStr">
        <is>
          <t>HARTLEY VSOP BRANDY</t>
        </is>
      </c>
      <c r="C2381" s="7">
        <f>VLOOKUP(A2381,SizeData!A$2:B$3839,2,FALSE)</f>
        <v/>
      </c>
      <c r="D2381" s="6" t="n">
        <v>1</v>
      </c>
      <c r="E2381" s="6" t="inlineStr">
        <is>
          <t>R1314488</t>
        </is>
      </c>
      <c r="F2381" s="2" t="n">
        <v>44516</v>
      </c>
      <c r="G2381" s="1" t="n"/>
    </row>
    <row r="2382">
      <c r="A2382" s="6" t="n">
        <v>52656</v>
      </c>
      <c r="B2382" s="6" t="inlineStr">
        <is>
          <t>HARTLEY VSOP BRANDY</t>
        </is>
      </c>
      <c r="C2382" s="7">
        <f>VLOOKUP(A2382,SizeData!A$2:B$3839,2,FALSE)</f>
        <v/>
      </c>
      <c r="D2382" s="6" t="n">
        <v>1</v>
      </c>
      <c r="E2382" s="6" t="inlineStr">
        <is>
          <t>R1314488A</t>
        </is>
      </c>
      <c r="F2382" s="2" t="n">
        <v>44517</v>
      </c>
      <c r="G2382" s="1" t="n"/>
    </row>
    <row r="2383">
      <c r="A2383" s="6" t="n">
        <v>52656</v>
      </c>
      <c r="B2383" s="6" t="inlineStr">
        <is>
          <t>HARTLEY VSOP BRANDY</t>
        </is>
      </c>
      <c r="C2383" s="7">
        <f>VLOOKUP(A2383,SizeData!A$2:B$3839,2,FALSE)</f>
        <v/>
      </c>
      <c r="D2383" s="6" t="n">
        <v>1</v>
      </c>
      <c r="E2383" s="6" t="inlineStr">
        <is>
          <t>R1323053B</t>
        </is>
      </c>
      <c r="F2383" s="2" t="n">
        <v>44517</v>
      </c>
      <c r="G2383" s="1" t="n"/>
    </row>
    <row r="2384">
      <c r="A2384" s="6" t="n">
        <v>52656</v>
      </c>
      <c r="B2384" s="6" t="inlineStr">
        <is>
          <t>HARTLEY VSOP BRANDY</t>
        </is>
      </c>
      <c r="C2384" s="7">
        <f>VLOOKUP(A2384,SizeData!A$2:B$3839,2,FALSE)</f>
        <v/>
      </c>
      <c r="D2384" s="6" t="n">
        <v>1</v>
      </c>
      <c r="E2384" s="6" t="inlineStr">
        <is>
          <t>R1338705</t>
        </is>
      </c>
      <c r="F2384" s="2" t="n">
        <v>44522</v>
      </c>
      <c r="G2384" s="1" t="n"/>
    </row>
    <row r="2385">
      <c r="A2385" s="6" t="n">
        <v>52656</v>
      </c>
      <c r="B2385" s="6" t="inlineStr">
        <is>
          <t>HARTLEY VSOP BRANDY</t>
        </is>
      </c>
      <c r="C2385" s="7">
        <f>VLOOKUP(A2385,SizeData!A$2:B$3839,2,FALSE)</f>
        <v/>
      </c>
      <c r="D2385" s="6" t="n">
        <v>0</v>
      </c>
      <c r="E2385" s="6" t="inlineStr">
        <is>
          <t>R1323053A</t>
        </is>
      </c>
      <c r="F2385" s="2" t="n">
        <v>44532</v>
      </c>
      <c r="G2385" s="1" t="n"/>
    </row>
    <row r="2386">
      <c r="A2386" s="6" t="n">
        <v>52806</v>
      </c>
      <c r="B2386" s="6" t="inlineStr">
        <is>
          <t>KORBEL BRANDY</t>
        </is>
      </c>
      <c r="C2386" s="7">
        <f>VLOOKUP(A2386,SizeData!A$2:B$3839,2,FALSE)</f>
        <v/>
      </c>
      <c r="D2386" s="6" t="n">
        <v>1</v>
      </c>
      <c r="E2386" s="6" t="inlineStr">
        <is>
          <t>R1046038</t>
        </is>
      </c>
      <c r="F2386" s="2" t="n">
        <v>44256</v>
      </c>
      <c r="G2386" s="1" t="n"/>
    </row>
    <row r="2387">
      <c r="A2387" s="6" t="n">
        <v>52806</v>
      </c>
      <c r="B2387" s="6" t="inlineStr">
        <is>
          <t>KORBEL BRANDY</t>
        </is>
      </c>
      <c r="C2387" s="7">
        <f>VLOOKUP(A2387,SizeData!A$2:B$3839,2,FALSE)</f>
        <v/>
      </c>
      <c r="D2387" s="6" t="n">
        <v>1</v>
      </c>
      <c r="E2387" s="6" t="inlineStr">
        <is>
          <t>R1128764</t>
        </is>
      </c>
      <c r="F2387" s="2" t="n">
        <v>44336</v>
      </c>
      <c r="G2387" s="1" t="n"/>
    </row>
    <row r="2388">
      <c r="A2388" s="6" t="n">
        <v>52806</v>
      </c>
      <c r="B2388" s="6" t="inlineStr">
        <is>
          <t>KORBEL BRANDY</t>
        </is>
      </c>
      <c r="C2388" s="7">
        <f>VLOOKUP(A2388,SizeData!A$2:B$3839,2,FALSE)</f>
        <v/>
      </c>
      <c r="D2388" s="6" t="n">
        <v>2</v>
      </c>
      <c r="E2388" s="6" t="inlineStr">
        <is>
          <t>R1170994</t>
        </is>
      </c>
      <c r="F2388" s="2" t="n">
        <v>44394</v>
      </c>
      <c r="G2388" s="1" t="n"/>
    </row>
    <row r="2389">
      <c r="A2389" s="6" t="n">
        <v>52806</v>
      </c>
      <c r="B2389" s="6" t="inlineStr">
        <is>
          <t>KORBEL BRANDY</t>
        </is>
      </c>
      <c r="C2389" s="7">
        <f>VLOOKUP(A2389,SizeData!A$2:B$3839,2,FALSE)</f>
        <v/>
      </c>
      <c r="D2389" s="6" t="n">
        <v>2</v>
      </c>
      <c r="E2389" s="6" t="inlineStr">
        <is>
          <t>R1301983</t>
        </is>
      </c>
      <c r="F2389" s="2" t="n">
        <v>44501</v>
      </c>
      <c r="G2389" s="1" t="n"/>
    </row>
    <row r="2390">
      <c r="A2390" s="6" t="n">
        <v>52806</v>
      </c>
      <c r="B2390" s="6" t="inlineStr">
        <is>
          <t>KORBEL BRANDY</t>
        </is>
      </c>
      <c r="C2390" s="7">
        <f>VLOOKUP(A2390,SizeData!A$2:B$3839,2,FALSE)</f>
        <v/>
      </c>
      <c r="D2390" s="6" t="n">
        <v>2</v>
      </c>
      <c r="E2390" s="6" t="inlineStr">
        <is>
          <t>R1335695</t>
        </is>
      </c>
      <c r="F2390" s="2" t="n">
        <v>44525</v>
      </c>
      <c r="G2390" s="1" t="n"/>
    </row>
    <row r="2391">
      <c r="A2391" s="6" t="n">
        <v>53203</v>
      </c>
      <c r="B2391" s="6" t="inlineStr">
        <is>
          <t>PAUL MASSON GRANDE AMBER VSOP BRANDY</t>
        </is>
      </c>
      <c r="C2391" s="7">
        <f>VLOOKUP(A2391,SizeData!A$2:B$3839,2,FALSE)</f>
        <v/>
      </c>
      <c r="D2391" s="6" t="n">
        <v>1</v>
      </c>
      <c r="E2391" s="6" t="inlineStr">
        <is>
          <t xml:space="preserve"> R1125172</t>
        </is>
      </c>
      <c r="F2391" s="2" t="n">
        <v>44322</v>
      </c>
      <c r="G2391" s="1" t="n"/>
    </row>
    <row r="2392">
      <c r="A2392" s="6" t="n">
        <v>53203</v>
      </c>
      <c r="B2392" s="6" t="inlineStr">
        <is>
          <t>PAUL MASSON GRANDE AMBER VSOP BRANDY</t>
        </is>
      </c>
      <c r="C2392" s="7">
        <f>VLOOKUP(A2392,SizeData!A$2:B$3839,2,FALSE)</f>
        <v/>
      </c>
      <c r="D2392" s="6" t="n">
        <v>2</v>
      </c>
      <c r="E2392" s="6" t="inlineStr">
        <is>
          <t xml:space="preserve"> R1332156</t>
        </is>
      </c>
      <c r="F2392" s="2" t="n">
        <v>44523</v>
      </c>
      <c r="G2392" s="1" t="n"/>
    </row>
    <row r="2393">
      <c r="A2393" s="6" t="n">
        <v>53204</v>
      </c>
      <c r="B2393" s="6" t="inlineStr">
        <is>
          <t>PAUL MASSON GRANDE AMBER VSOP BRANDY</t>
        </is>
      </c>
      <c r="C2393" s="7">
        <f>VLOOKUP(A2393,SizeData!A$2:B$3839,2,FALSE)</f>
        <v/>
      </c>
      <c r="D2393" s="6" t="n">
        <v>3</v>
      </c>
      <c r="E2393" s="6" t="inlineStr">
        <is>
          <t>R1032280</t>
        </is>
      </c>
      <c r="F2393" s="2" t="n">
        <v>44253</v>
      </c>
      <c r="G2393" s="1" t="n"/>
    </row>
    <row r="2394">
      <c r="A2394" s="6" t="n">
        <v>53204</v>
      </c>
      <c r="B2394" s="6" t="inlineStr">
        <is>
          <t>PAUL MASSON GRANDE AMBER VSOP BRANDY</t>
        </is>
      </c>
      <c r="C2394" s="7">
        <f>VLOOKUP(A2394,SizeData!A$2:B$3839,2,FALSE)</f>
        <v/>
      </c>
      <c r="D2394" s="6" t="n">
        <v>1</v>
      </c>
      <c r="E2394" s="6" t="inlineStr">
        <is>
          <t>R1246630</t>
        </is>
      </c>
      <c r="F2394" s="2" t="n">
        <v>44450</v>
      </c>
      <c r="G2394" s="1" t="n"/>
    </row>
    <row r="2395">
      <c r="A2395" s="6" t="n">
        <v>53204</v>
      </c>
      <c r="B2395" s="6" t="inlineStr">
        <is>
          <t>PAUL MASSON GRANDE AMBER VSOP BRANDY</t>
        </is>
      </c>
      <c r="C2395" s="7">
        <f>VLOOKUP(A2395,SizeData!A$2:B$3839,2,FALSE)</f>
        <v/>
      </c>
      <c r="D2395" s="6" t="n">
        <v>3</v>
      </c>
      <c r="E2395" s="6" t="inlineStr">
        <is>
          <t>R1341714</t>
        </is>
      </c>
      <c r="F2395" s="2" t="n">
        <v>44524</v>
      </c>
      <c r="G2395" s="1" t="n"/>
    </row>
    <row r="2396">
      <c r="A2396" s="6" t="n">
        <v>53204</v>
      </c>
      <c r="B2396" s="6" t="inlineStr">
        <is>
          <t>PAUL MASSON GRANDE AMBER VSOP BRANDY</t>
        </is>
      </c>
      <c r="C2396" s="7">
        <f>VLOOKUP(A2396,SizeData!A$2:B$3839,2,FALSE)</f>
        <v/>
      </c>
      <c r="D2396" s="6" t="n">
        <v>1</v>
      </c>
      <c r="E2396" s="6" t="inlineStr">
        <is>
          <t>R1341714</t>
        </is>
      </c>
      <c r="F2396" s="2" t="n">
        <v>44524</v>
      </c>
      <c r="G2396" s="1" t="n"/>
    </row>
    <row r="2397">
      <c r="A2397" s="6" t="n">
        <v>53206</v>
      </c>
      <c r="B2397" s="6" t="inlineStr">
        <is>
          <t>PAUL MASSON GRANDE AMBER VSOP BRANDY</t>
        </is>
      </c>
      <c r="C2397" s="7">
        <f>VLOOKUP(A2397,SizeData!A$2:B$3839,2,FALSE)</f>
        <v/>
      </c>
      <c r="D2397" s="6" t="n">
        <v>3</v>
      </c>
      <c r="E2397" s="6" t="inlineStr">
        <is>
          <t>R1032280</t>
        </is>
      </c>
      <c r="F2397" s="2" t="n">
        <v>44253</v>
      </c>
      <c r="G2397" s="1" t="n"/>
    </row>
    <row r="2398">
      <c r="A2398" s="6" t="n">
        <v>53206</v>
      </c>
      <c r="B2398" s="6" t="inlineStr">
        <is>
          <t>PAUL MASSON GRANDE AMBER VSOP BRANDY</t>
        </is>
      </c>
      <c r="C2398" s="7">
        <f>VLOOKUP(A2398,SizeData!A$2:B$3839,2,FALSE)</f>
        <v/>
      </c>
      <c r="D2398" s="6" t="n">
        <v>2</v>
      </c>
      <c r="E2398" s="6" t="inlineStr">
        <is>
          <t>R1076321</t>
        </is>
      </c>
      <c r="F2398" s="2" t="n">
        <v>44281</v>
      </c>
      <c r="G2398" s="1" t="n"/>
    </row>
    <row r="2399">
      <c r="A2399" s="6" t="n">
        <v>53206</v>
      </c>
      <c r="B2399" s="6" t="inlineStr">
        <is>
          <t>PAUL MASSON GRANDE AMBER VSOP BRANDY</t>
        </is>
      </c>
      <c r="C2399" s="7">
        <f>VLOOKUP(A2399,SizeData!A$2:B$3839,2,FALSE)</f>
        <v/>
      </c>
      <c r="D2399" s="6" t="n">
        <v>1</v>
      </c>
      <c r="E2399" s="6" t="inlineStr">
        <is>
          <t>R1156117</t>
        </is>
      </c>
      <c r="F2399" s="2" t="n">
        <v>44362</v>
      </c>
      <c r="G2399" s="1" t="n"/>
    </row>
    <row r="2400">
      <c r="A2400" s="6" t="n">
        <v>53206</v>
      </c>
      <c r="B2400" s="6" t="inlineStr">
        <is>
          <t>PAUL MASSON GRANDE AMBER VSOP BRANDY</t>
        </is>
      </c>
      <c r="C2400" s="7">
        <f>VLOOKUP(A2400,SizeData!A$2:B$3839,2,FALSE)</f>
        <v/>
      </c>
      <c r="D2400" s="6" t="n">
        <v>3</v>
      </c>
      <c r="E2400" s="6" t="inlineStr">
        <is>
          <t xml:space="preserve"> R1161087</t>
        </is>
      </c>
      <c r="F2400" s="2" t="n">
        <v>44373</v>
      </c>
      <c r="G2400" s="1" t="n"/>
    </row>
    <row r="2401">
      <c r="A2401" s="6" t="n">
        <v>53206</v>
      </c>
      <c r="B2401" s="6" t="inlineStr">
        <is>
          <t>PAUL MASSON GRANDE AMBER VSOP BRANDY</t>
        </is>
      </c>
      <c r="C2401" s="7">
        <f>VLOOKUP(A2401,SizeData!A$2:B$3839,2,FALSE)</f>
        <v/>
      </c>
      <c r="D2401" s="6" t="n">
        <v>2</v>
      </c>
      <c r="E2401" s="6" t="inlineStr">
        <is>
          <t>R1340649</t>
        </is>
      </c>
      <c r="F2401" s="2" t="n">
        <v>44523</v>
      </c>
      <c r="G2401" s="1" t="n"/>
    </row>
    <row r="2402">
      <c r="A2402" s="6" t="n">
        <v>53206</v>
      </c>
      <c r="B2402" s="6" t="inlineStr">
        <is>
          <t>PAUL MASSON GRANDE AMBER VSOP BRANDY</t>
        </is>
      </c>
      <c r="C2402" s="7">
        <f>VLOOKUP(A2402,SizeData!A$2:B$3839,2,FALSE)</f>
        <v/>
      </c>
      <c r="D2402" s="6" t="n">
        <v>4</v>
      </c>
      <c r="E2402" s="6" t="inlineStr">
        <is>
          <t>R1342961</t>
        </is>
      </c>
      <c r="F2402" s="2" t="n">
        <v>44537</v>
      </c>
      <c r="G2402" s="1" t="n"/>
    </row>
    <row r="2403">
      <c r="A2403" s="6" t="n">
        <v>53208</v>
      </c>
      <c r="B2403" s="6" t="inlineStr">
        <is>
          <t>PAUL MASSON GRANDE AMBER VSOP BRANDY</t>
        </is>
      </c>
      <c r="C2403" s="7">
        <f>VLOOKUP(A2403,SizeData!A$2:B$3839,2,FALSE)</f>
        <v/>
      </c>
      <c r="D2403" s="6" t="n">
        <v>5</v>
      </c>
      <c r="E2403" s="6" t="inlineStr">
        <is>
          <t>R1032280</t>
        </is>
      </c>
      <c r="F2403" s="2" t="n">
        <v>44253</v>
      </c>
      <c r="G2403" s="1" t="n"/>
    </row>
    <row r="2404">
      <c r="A2404" s="6" t="n">
        <v>53208</v>
      </c>
      <c r="B2404" s="6" t="inlineStr">
        <is>
          <t>PAUL MASSON GRANDE AMBER VSOP BRANDY</t>
        </is>
      </c>
      <c r="C2404" s="7">
        <f>VLOOKUP(A2404,SizeData!A$2:B$3839,2,FALSE)</f>
        <v/>
      </c>
      <c r="D2404" s="6" t="n">
        <v>0</v>
      </c>
      <c r="E2404" s="6" t="inlineStr">
        <is>
          <t>R1301289</t>
        </is>
      </c>
      <c r="F2404" s="2" t="n">
        <v>44499</v>
      </c>
      <c r="G2404" s="1" t="n"/>
    </row>
    <row r="2405">
      <c r="A2405" s="6" t="n">
        <v>53211</v>
      </c>
      <c r="B2405" s="6" t="inlineStr">
        <is>
          <t>PAUL MASSON GRANDE AMBER BRANDY</t>
        </is>
      </c>
      <c r="C2405" s="7">
        <f>VLOOKUP(A2405,SizeData!A$2:B$3839,2,FALSE)</f>
        <v/>
      </c>
      <c r="D2405" s="6" t="n">
        <v>4</v>
      </c>
      <c r="E2405" s="6" t="inlineStr">
        <is>
          <t>R1027826</t>
        </is>
      </c>
      <c r="F2405" s="2" t="n">
        <v>44229</v>
      </c>
      <c r="G2405" s="1" t="n"/>
    </row>
    <row r="2406">
      <c r="A2406" s="6" t="n">
        <v>53211</v>
      </c>
      <c r="B2406" s="6" t="inlineStr">
        <is>
          <t>PAUL MASSON GRANDE AMBER BRANDY</t>
        </is>
      </c>
      <c r="C2406" s="7">
        <f>VLOOKUP(A2406,SizeData!A$2:B$3839,2,FALSE)</f>
        <v/>
      </c>
      <c r="D2406" s="6" t="n">
        <v>3</v>
      </c>
      <c r="E2406" s="6" t="inlineStr">
        <is>
          <t>R1038616</t>
        </is>
      </c>
      <c r="F2406" s="2" t="n">
        <v>44251</v>
      </c>
      <c r="G2406" s="1" t="n"/>
    </row>
    <row r="2407">
      <c r="A2407" s="6" t="n">
        <v>53211</v>
      </c>
      <c r="B2407" s="6" t="inlineStr">
        <is>
          <t>PAUL MASSON GRANDE AMBER BRANDY</t>
        </is>
      </c>
      <c r="C2407" s="7">
        <f>VLOOKUP(A2407,SizeData!A$2:B$3839,2,FALSE)</f>
        <v/>
      </c>
      <c r="D2407" s="6" t="n">
        <v>2</v>
      </c>
      <c r="E2407" s="6" t="inlineStr">
        <is>
          <t>R1111874</t>
        </is>
      </c>
      <c r="F2407" s="2" t="n">
        <v>44326</v>
      </c>
      <c r="G2407" s="1" t="n"/>
    </row>
    <row r="2408">
      <c r="A2408" s="6" t="n">
        <v>53211</v>
      </c>
      <c r="B2408" s="6" t="inlineStr">
        <is>
          <t>PAUL MASSON GRANDE AMBER BRANDY</t>
        </is>
      </c>
      <c r="C2408" s="7">
        <f>VLOOKUP(A2408,SizeData!A$2:B$3839,2,FALSE)</f>
        <v/>
      </c>
      <c r="D2408" s="6" t="n">
        <v>1</v>
      </c>
      <c r="E2408" s="6" t="inlineStr">
        <is>
          <t>R1185856</t>
        </is>
      </c>
      <c r="F2408" s="2" t="n">
        <v>44400</v>
      </c>
      <c r="G2408" s="1" t="n"/>
    </row>
    <row r="2409">
      <c r="A2409" s="6" t="n">
        <v>53211</v>
      </c>
      <c r="B2409" s="6" t="inlineStr">
        <is>
          <t>PAUL MASSON GRANDE AMBER BRANDY</t>
        </is>
      </c>
      <c r="C2409" s="7">
        <f>VLOOKUP(A2409,SizeData!A$2:B$3839,2,FALSE)</f>
        <v/>
      </c>
      <c r="D2409" s="6" t="n">
        <v>3</v>
      </c>
      <c r="E2409" s="6" t="inlineStr">
        <is>
          <t>R1263507</t>
        </is>
      </c>
      <c r="F2409" s="2" t="n">
        <v>44467</v>
      </c>
      <c r="G2409" s="1" t="n"/>
    </row>
    <row r="2410">
      <c r="A2410" s="6" t="n">
        <v>53213</v>
      </c>
      <c r="B2410" s="6" t="inlineStr">
        <is>
          <t>PAUL MASSON GRANDE AMBER BRANDY</t>
        </is>
      </c>
      <c r="C2410" s="7">
        <f>VLOOKUP(A2410,SizeData!A$2:B$3839,2,FALSE)</f>
        <v/>
      </c>
      <c r="D2410" s="6" t="n">
        <v>10</v>
      </c>
      <c r="E2410" s="6" t="inlineStr">
        <is>
          <t>R1014945</t>
        </is>
      </c>
      <c r="F2410" s="2" t="n">
        <v>44232</v>
      </c>
      <c r="G2410" s="1" t="n"/>
    </row>
    <row r="2411">
      <c r="A2411" s="6" t="n">
        <v>53213</v>
      </c>
      <c r="B2411" s="6" t="inlineStr">
        <is>
          <t>PAUL MASSON GRANDE AMBER BRANDY</t>
        </is>
      </c>
      <c r="C2411" s="7">
        <f>VLOOKUP(A2411,SizeData!A$2:B$3839,2,FALSE)</f>
        <v/>
      </c>
      <c r="D2411" s="6" t="n">
        <v>10</v>
      </c>
      <c r="E2411" s="6" t="inlineStr">
        <is>
          <t>R1032280</t>
        </is>
      </c>
      <c r="F2411" s="2" t="n">
        <v>44253</v>
      </c>
      <c r="G2411" s="1" t="n"/>
    </row>
    <row r="2412">
      <c r="A2412" s="6" t="n">
        <v>53213</v>
      </c>
      <c r="B2412" s="6" t="inlineStr">
        <is>
          <t>PAUL MASSON GRANDE AMBER BRANDY</t>
        </is>
      </c>
      <c r="C2412" s="7">
        <f>VLOOKUP(A2412,SizeData!A$2:B$3839,2,FALSE)</f>
        <v/>
      </c>
      <c r="D2412" s="6" t="n">
        <v>10</v>
      </c>
      <c r="E2412" s="6" t="inlineStr">
        <is>
          <t>R1039148</t>
        </is>
      </c>
      <c r="F2412" s="2" t="n">
        <v>44256</v>
      </c>
      <c r="G2412" s="1" t="n"/>
    </row>
    <row r="2413">
      <c r="A2413" s="6" t="n">
        <v>53213</v>
      </c>
      <c r="B2413" s="6" t="inlineStr">
        <is>
          <t>PAUL MASSON GRANDE AMBER BRANDY</t>
        </is>
      </c>
      <c r="C2413" s="7">
        <f>VLOOKUP(A2413,SizeData!A$2:B$3839,2,FALSE)</f>
        <v/>
      </c>
      <c r="D2413" s="6" t="n">
        <v>10</v>
      </c>
      <c r="E2413" s="6" t="inlineStr">
        <is>
          <t>R1047903</t>
        </is>
      </c>
      <c r="F2413" s="2" t="n">
        <v>44257</v>
      </c>
      <c r="G2413" s="1" t="n"/>
    </row>
    <row r="2414">
      <c r="A2414" s="6" t="n">
        <v>53213</v>
      </c>
      <c r="B2414" s="6" t="inlineStr">
        <is>
          <t>PAUL MASSON GRANDE AMBER BRANDY</t>
        </is>
      </c>
      <c r="C2414" s="7">
        <f>VLOOKUP(A2414,SizeData!A$2:B$3839,2,FALSE)</f>
        <v/>
      </c>
      <c r="D2414" s="6" t="n">
        <v>6</v>
      </c>
      <c r="E2414" s="6" t="inlineStr">
        <is>
          <t>R1067015</t>
        </is>
      </c>
      <c r="F2414" s="2" t="n">
        <v>44271</v>
      </c>
      <c r="G2414" s="1" t="n"/>
    </row>
    <row r="2415">
      <c r="A2415" s="6" t="n">
        <v>53213</v>
      </c>
      <c r="B2415" s="6" t="inlineStr">
        <is>
          <t>PAUL MASSON GRANDE AMBER BRANDY</t>
        </is>
      </c>
      <c r="C2415" s="7">
        <f>VLOOKUP(A2415,SizeData!A$2:B$3839,2,FALSE)</f>
        <v/>
      </c>
      <c r="D2415" s="6" t="n">
        <v>10</v>
      </c>
      <c r="E2415" s="6" t="inlineStr">
        <is>
          <t>R1062451</t>
        </is>
      </c>
      <c r="F2415" s="2" t="n">
        <v>44275</v>
      </c>
      <c r="G2415" s="1" t="n"/>
    </row>
    <row r="2416">
      <c r="A2416" s="6" t="n">
        <v>53213</v>
      </c>
      <c r="B2416" s="6" t="inlineStr">
        <is>
          <t>PAUL MASSON GRANDE AMBER BRANDY</t>
        </is>
      </c>
      <c r="C2416" s="7">
        <f>VLOOKUP(A2416,SizeData!A$2:B$3839,2,FALSE)</f>
        <v/>
      </c>
      <c r="D2416" s="6" t="n">
        <v>10</v>
      </c>
      <c r="E2416" s="6" t="inlineStr">
        <is>
          <t>R1062178</t>
        </is>
      </c>
      <c r="F2416" s="2" t="n">
        <v>44275</v>
      </c>
      <c r="G2416" s="1" t="n"/>
    </row>
    <row r="2417">
      <c r="A2417" s="6" t="n">
        <v>53213</v>
      </c>
      <c r="B2417" s="6" t="inlineStr">
        <is>
          <t>PAUL MASSON GRANDE AMBER BRANDY</t>
        </is>
      </c>
      <c r="C2417" s="7">
        <f>VLOOKUP(A2417,SizeData!A$2:B$3839,2,FALSE)</f>
        <v/>
      </c>
      <c r="D2417" s="6" t="n">
        <v>10</v>
      </c>
      <c r="E2417" s="6" t="inlineStr">
        <is>
          <t>R1063992</t>
        </is>
      </c>
      <c r="F2417" s="2" t="n">
        <v>44281</v>
      </c>
      <c r="G2417" s="1" t="n"/>
    </row>
    <row r="2418">
      <c r="A2418" s="6" t="n">
        <v>53213</v>
      </c>
      <c r="B2418" s="6" t="inlineStr">
        <is>
          <t>PAUL MASSON GRANDE AMBER BRANDY</t>
        </is>
      </c>
      <c r="C2418" s="7">
        <f>VLOOKUP(A2418,SizeData!A$2:B$3839,2,FALSE)</f>
        <v/>
      </c>
      <c r="D2418" s="6" t="n">
        <v>10</v>
      </c>
      <c r="E2418" s="6" t="inlineStr">
        <is>
          <t>R1075736</t>
        </is>
      </c>
      <c r="F2418" s="2" t="n">
        <v>44281</v>
      </c>
      <c r="G2418" s="1" t="n"/>
    </row>
    <row r="2419">
      <c r="A2419" s="6" t="n">
        <v>53213</v>
      </c>
      <c r="B2419" s="6" t="inlineStr">
        <is>
          <t>PAUL MASSON GRANDE AMBER BRANDY</t>
        </is>
      </c>
      <c r="C2419" s="7">
        <f>VLOOKUP(A2419,SizeData!A$2:B$3839,2,FALSE)</f>
        <v/>
      </c>
      <c r="D2419" s="6" t="n">
        <v>8</v>
      </c>
      <c r="E2419" s="6" t="inlineStr">
        <is>
          <t>R1101640</t>
        </is>
      </c>
      <c r="F2419" s="2" t="n">
        <v>44310</v>
      </c>
      <c r="G2419" s="1" t="n"/>
    </row>
    <row r="2420">
      <c r="A2420" s="6" t="n">
        <v>53213</v>
      </c>
      <c r="B2420" s="6" t="inlineStr">
        <is>
          <t>PAUL MASSON GRANDE AMBER BRANDY</t>
        </is>
      </c>
      <c r="C2420" s="7">
        <f>VLOOKUP(A2420,SizeData!A$2:B$3839,2,FALSE)</f>
        <v/>
      </c>
      <c r="D2420" s="6" t="n">
        <v>2</v>
      </c>
      <c r="E2420" s="6" t="inlineStr">
        <is>
          <t>R1111205</t>
        </is>
      </c>
      <c r="F2420" s="2" t="n">
        <v>44313</v>
      </c>
      <c r="G2420" s="1" t="n"/>
    </row>
    <row r="2421">
      <c r="A2421" s="6" t="n">
        <v>53213</v>
      </c>
      <c r="B2421" s="6" t="inlineStr">
        <is>
          <t>PAUL MASSON GRANDE AMBER BRANDY</t>
        </is>
      </c>
      <c r="C2421" s="7">
        <f>VLOOKUP(A2421,SizeData!A$2:B$3839,2,FALSE)</f>
        <v/>
      </c>
      <c r="D2421" s="6" t="n">
        <v>3</v>
      </c>
      <c r="E2421" s="6" t="inlineStr">
        <is>
          <t>R1105665</t>
        </is>
      </c>
      <c r="F2421" s="2" t="n">
        <v>44316</v>
      </c>
      <c r="G2421" s="1" t="n"/>
    </row>
    <row r="2422">
      <c r="A2422" s="6" t="n">
        <v>53213</v>
      </c>
      <c r="B2422" s="6" t="inlineStr">
        <is>
          <t>PAUL MASSON GRANDE AMBER BRANDY</t>
        </is>
      </c>
      <c r="C2422" s="7">
        <f>VLOOKUP(A2422,SizeData!A$2:B$3839,2,FALSE)</f>
        <v/>
      </c>
      <c r="D2422" s="6" t="n">
        <v>2</v>
      </c>
      <c r="E2422" s="6" t="inlineStr">
        <is>
          <t>R1108436</t>
        </is>
      </c>
      <c r="F2422" s="2" t="n">
        <v>44316</v>
      </c>
      <c r="G2422" s="1" t="n"/>
    </row>
    <row r="2423">
      <c r="A2423" s="6" t="n">
        <v>53213</v>
      </c>
      <c r="B2423" s="6" t="inlineStr">
        <is>
          <t>PAUL MASSON GRANDE AMBER BRANDY</t>
        </is>
      </c>
      <c r="C2423" s="7">
        <f>VLOOKUP(A2423,SizeData!A$2:B$3839,2,FALSE)</f>
        <v/>
      </c>
      <c r="D2423" s="6" t="n">
        <v>5</v>
      </c>
      <c r="E2423" s="6" t="inlineStr">
        <is>
          <t>R1116842</t>
        </is>
      </c>
      <c r="F2423" s="2" t="n">
        <v>44324</v>
      </c>
      <c r="G2423" s="1" t="n"/>
    </row>
    <row r="2424">
      <c r="A2424" s="6" t="n">
        <v>53213</v>
      </c>
      <c r="B2424" s="6" t="inlineStr">
        <is>
          <t>PAUL MASSON GRANDE AMBER BRANDY</t>
        </is>
      </c>
      <c r="C2424" s="7">
        <f>VLOOKUP(A2424,SizeData!A$2:B$3839,2,FALSE)</f>
        <v/>
      </c>
      <c r="D2424" s="6" t="n">
        <v>7</v>
      </c>
      <c r="E2424" s="6" t="inlineStr">
        <is>
          <t>R1127639</t>
        </is>
      </c>
      <c r="F2424" s="2" t="n">
        <v>44341</v>
      </c>
      <c r="G2424" s="1" t="n"/>
    </row>
    <row r="2425">
      <c r="A2425" s="6" t="n">
        <v>53213</v>
      </c>
      <c r="B2425" s="6" t="inlineStr">
        <is>
          <t>PAUL MASSON GRANDE AMBER BRANDY</t>
        </is>
      </c>
      <c r="C2425" s="7">
        <f>VLOOKUP(A2425,SizeData!A$2:B$3839,2,FALSE)</f>
        <v/>
      </c>
      <c r="D2425" s="6" t="n">
        <v>1</v>
      </c>
      <c r="E2425" s="6" t="inlineStr">
        <is>
          <t xml:space="preserve"> R1138813</t>
        </is>
      </c>
      <c r="F2425" s="2" t="n">
        <v>44348</v>
      </c>
      <c r="G2425" s="1" t="n"/>
    </row>
    <row r="2426">
      <c r="A2426" s="6" t="n">
        <v>53213</v>
      </c>
      <c r="B2426" s="6" t="inlineStr">
        <is>
          <t>PAUL MASSON GRANDE AMBER BRANDY</t>
        </is>
      </c>
      <c r="C2426" s="7">
        <f>VLOOKUP(A2426,SizeData!A$2:B$3839,2,FALSE)</f>
        <v/>
      </c>
      <c r="D2426" s="6" t="n">
        <v>5</v>
      </c>
      <c r="E2426" s="6" t="inlineStr">
        <is>
          <t>R1132471</t>
        </is>
      </c>
      <c r="F2426" s="2" t="n">
        <v>44349</v>
      </c>
      <c r="G2426" s="1" t="n"/>
    </row>
    <row r="2427">
      <c r="A2427" s="6" t="n">
        <v>53213</v>
      </c>
      <c r="B2427" s="6" t="inlineStr">
        <is>
          <t>PAUL MASSON GRANDE AMBER BRANDY</t>
        </is>
      </c>
      <c r="C2427" s="7">
        <f>VLOOKUP(A2427,SizeData!A$2:B$3839,2,FALSE)</f>
        <v/>
      </c>
      <c r="D2427" s="6" t="n">
        <v>10</v>
      </c>
      <c r="E2427" s="6" t="inlineStr">
        <is>
          <t xml:space="preserve"> R1133829</t>
        </is>
      </c>
      <c r="F2427" s="2" t="n">
        <v>44350</v>
      </c>
      <c r="G2427" s="1" t="n"/>
    </row>
    <row r="2428">
      <c r="A2428" s="6" t="n">
        <v>53213</v>
      </c>
      <c r="B2428" s="6" t="inlineStr">
        <is>
          <t>PAUL MASSON GRANDE AMBER BRANDY</t>
        </is>
      </c>
      <c r="C2428" s="7">
        <f>VLOOKUP(A2428,SizeData!A$2:B$3839,2,FALSE)</f>
        <v/>
      </c>
      <c r="D2428" s="6" t="n">
        <v>2</v>
      </c>
      <c r="E2428" s="6" t="inlineStr">
        <is>
          <t>R1147055</t>
        </is>
      </c>
      <c r="F2428" s="2" t="n">
        <v>44361</v>
      </c>
      <c r="G2428" s="1" t="n"/>
    </row>
    <row r="2429">
      <c r="A2429" s="6" t="n">
        <v>53213</v>
      </c>
      <c r="B2429" s="6" t="inlineStr">
        <is>
          <t>PAUL MASSON GRANDE AMBER BRANDY</t>
        </is>
      </c>
      <c r="C2429" s="7">
        <f>VLOOKUP(A2429,SizeData!A$2:B$3839,2,FALSE)</f>
        <v/>
      </c>
      <c r="D2429" s="6" t="n">
        <v>8</v>
      </c>
      <c r="E2429" s="6" t="inlineStr">
        <is>
          <t>R1150887</t>
        </is>
      </c>
      <c r="F2429" s="2" t="n">
        <v>44366</v>
      </c>
      <c r="G2429" s="1" t="n"/>
    </row>
    <row r="2430">
      <c r="A2430" s="6" t="n">
        <v>53213</v>
      </c>
      <c r="B2430" s="6" t="inlineStr">
        <is>
          <t>PAUL MASSON GRANDE AMBER BRANDY</t>
        </is>
      </c>
      <c r="C2430" s="7">
        <f>VLOOKUP(A2430,SizeData!A$2:B$3839,2,FALSE)</f>
        <v/>
      </c>
      <c r="D2430" s="6" t="n">
        <v>6</v>
      </c>
      <c r="E2430" s="6" t="inlineStr">
        <is>
          <t>R1160852</t>
        </is>
      </c>
      <c r="F2430" s="2" t="n">
        <v>44366</v>
      </c>
      <c r="G2430" s="1" t="n"/>
    </row>
    <row r="2431">
      <c r="A2431" s="6" t="n">
        <v>53213</v>
      </c>
      <c r="B2431" s="6" t="inlineStr">
        <is>
          <t>PAUL MASSON GRANDE AMBER BRANDY</t>
        </is>
      </c>
      <c r="C2431" s="7">
        <f>VLOOKUP(A2431,SizeData!A$2:B$3839,2,FALSE)</f>
        <v/>
      </c>
      <c r="D2431" s="6" t="n">
        <v>3</v>
      </c>
      <c r="E2431" s="6" t="inlineStr">
        <is>
          <t>R1161479</t>
        </is>
      </c>
      <c r="F2431" s="2" t="n">
        <v>44373</v>
      </c>
      <c r="G2431" s="1" t="n"/>
    </row>
    <row r="2432">
      <c r="A2432" s="6" t="n">
        <v>53213</v>
      </c>
      <c r="B2432" s="6" t="inlineStr">
        <is>
          <t>PAUL MASSON GRANDE AMBER BRANDY</t>
        </is>
      </c>
      <c r="C2432" s="7">
        <f>VLOOKUP(A2432,SizeData!A$2:B$3839,2,FALSE)</f>
        <v/>
      </c>
      <c r="D2432" s="6" t="n">
        <v>2</v>
      </c>
      <c r="E2432" s="6" t="inlineStr">
        <is>
          <t>R1167188</t>
        </is>
      </c>
      <c r="F2432" s="2" t="n">
        <v>44379</v>
      </c>
      <c r="G2432" s="1" t="n"/>
    </row>
    <row r="2433">
      <c r="A2433" s="6" t="n">
        <v>53213</v>
      </c>
      <c r="B2433" s="6" t="inlineStr">
        <is>
          <t>PAUL MASSON GRANDE AMBER BRANDY</t>
        </is>
      </c>
      <c r="C2433" s="7">
        <f>VLOOKUP(A2433,SizeData!A$2:B$3839,2,FALSE)</f>
        <v/>
      </c>
      <c r="D2433" s="6" t="n">
        <v>5</v>
      </c>
      <c r="E2433" s="6" t="inlineStr">
        <is>
          <t>R1166959</t>
        </is>
      </c>
      <c r="F2433" s="2" t="n">
        <v>44380</v>
      </c>
      <c r="G2433" s="1" t="n"/>
    </row>
    <row r="2434">
      <c r="A2434" s="6" t="n">
        <v>53213</v>
      </c>
      <c r="B2434" s="6" t="inlineStr">
        <is>
          <t>PAUL MASSON GRANDE AMBER BRANDY</t>
        </is>
      </c>
      <c r="C2434" s="7">
        <f>VLOOKUP(A2434,SizeData!A$2:B$3839,2,FALSE)</f>
        <v/>
      </c>
      <c r="D2434" s="6" t="n">
        <v>3</v>
      </c>
      <c r="E2434" s="6" t="inlineStr">
        <is>
          <t>R1171117</t>
        </is>
      </c>
      <c r="F2434" s="2" t="n">
        <v>44382</v>
      </c>
      <c r="G2434" s="1" t="n"/>
    </row>
    <row r="2435">
      <c r="A2435" s="6" t="n">
        <v>53213</v>
      </c>
      <c r="B2435" s="6" t="inlineStr">
        <is>
          <t>PAUL MASSON GRANDE AMBER BRANDY</t>
        </is>
      </c>
      <c r="C2435" s="7">
        <f>VLOOKUP(A2435,SizeData!A$2:B$3839,2,FALSE)</f>
        <v/>
      </c>
      <c r="D2435" s="6" t="n">
        <v>2</v>
      </c>
      <c r="E2435" s="6" t="inlineStr">
        <is>
          <t xml:space="preserve"> R1175360</t>
        </is>
      </c>
      <c r="F2435" s="2" t="n">
        <v>44383</v>
      </c>
      <c r="G2435" s="1" t="n"/>
    </row>
    <row r="2436">
      <c r="A2436" s="6" t="n">
        <v>53213</v>
      </c>
      <c r="B2436" s="6" t="inlineStr">
        <is>
          <t>PAUL MASSON GRANDE AMBER BRANDY</t>
        </is>
      </c>
      <c r="C2436" s="7">
        <f>VLOOKUP(A2436,SizeData!A$2:B$3839,2,FALSE)</f>
        <v/>
      </c>
      <c r="D2436" s="6" t="n">
        <v>5</v>
      </c>
      <c r="E2436" s="6" t="inlineStr">
        <is>
          <t>R1163865</t>
        </is>
      </c>
      <c r="F2436" s="2" t="n">
        <v>44384</v>
      </c>
      <c r="G2436" s="6" t="n"/>
    </row>
    <row r="2437">
      <c r="A2437" s="6" t="n">
        <v>53213</v>
      </c>
      <c r="B2437" s="6" t="inlineStr">
        <is>
          <t>PAUL MASSON GRANDE AMBER BRANDY</t>
        </is>
      </c>
      <c r="C2437" s="7">
        <f>VLOOKUP(A2437,SizeData!A$2:B$3839,2,FALSE)</f>
        <v/>
      </c>
      <c r="D2437" s="6" t="n">
        <v>4</v>
      </c>
      <c r="E2437" s="6" t="inlineStr">
        <is>
          <t>R1172122</t>
        </is>
      </c>
      <c r="F2437" s="2" t="n">
        <v>44390</v>
      </c>
      <c r="G2437" s="1" t="n"/>
    </row>
    <row r="2438">
      <c r="A2438" s="6" t="n">
        <v>53213</v>
      </c>
      <c r="B2438" s="6" t="inlineStr">
        <is>
          <t>PAUL MASSON GRANDE AMBER BRANDY</t>
        </is>
      </c>
      <c r="C2438" s="7">
        <f>VLOOKUP(A2438,SizeData!A$2:B$3839,2,FALSE)</f>
        <v/>
      </c>
      <c r="D2438" s="6" t="n">
        <v>5</v>
      </c>
      <c r="E2438" s="6" t="inlineStr">
        <is>
          <t>R1173248</t>
        </is>
      </c>
      <c r="F2438" s="2" t="n">
        <v>44393</v>
      </c>
      <c r="G2438" s="1" t="n"/>
    </row>
    <row r="2439">
      <c r="A2439" s="6" t="n">
        <v>53213</v>
      </c>
      <c r="B2439" s="6" t="inlineStr">
        <is>
          <t>PAUL MASSON GRANDE AMBER BRANDY</t>
        </is>
      </c>
      <c r="C2439" s="7">
        <f>VLOOKUP(A2439,SizeData!A$2:B$3839,2,FALSE)</f>
        <v/>
      </c>
      <c r="D2439" s="6" t="n">
        <v>4</v>
      </c>
      <c r="E2439" s="6" t="inlineStr">
        <is>
          <t>R1182440</t>
        </is>
      </c>
      <c r="F2439" s="2" t="n">
        <v>44398</v>
      </c>
      <c r="G2439" s="1" t="n"/>
    </row>
    <row r="2440">
      <c r="A2440" s="6" t="n">
        <v>53213</v>
      </c>
      <c r="B2440" s="6" t="inlineStr">
        <is>
          <t>PAUL MASSON GRANDE AMBER BRANDY</t>
        </is>
      </c>
      <c r="C2440" s="7">
        <f>VLOOKUP(A2440,SizeData!A$2:B$3839,2,FALSE)</f>
        <v/>
      </c>
      <c r="D2440" s="6" t="n">
        <v>5</v>
      </c>
      <c r="E2440" s="6" t="inlineStr">
        <is>
          <t>R1196336</t>
        </is>
      </c>
      <c r="F2440" s="2" t="n">
        <v>44405</v>
      </c>
      <c r="G2440" s="1" t="n"/>
    </row>
    <row r="2441">
      <c r="A2441" s="6" t="n">
        <v>53213</v>
      </c>
      <c r="B2441" s="6" t="inlineStr">
        <is>
          <t>PAUL MASSON GRANDE AMBER BRANDY</t>
        </is>
      </c>
      <c r="C2441" s="7">
        <f>VLOOKUP(A2441,SizeData!A$2:B$3839,2,FALSE)</f>
        <v/>
      </c>
      <c r="D2441" s="6" t="n">
        <v>8</v>
      </c>
      <c r="E2441" s="6" t="inlineStr">
        <is>
          <t>R1184247</t>
        </is>
      </c>
      <c r="F2441" s="2" t="n">
        <v>44411</v>
      </c>
      <c r="G2441" s="1" t="n"/>
    </row>
    <row r="2442">
      <c r="A2442" s="6" t="n">
        <v>53213</v>
      </c>
      <c r="B2442" s="6" t="inlineStr">
        <is>
          <t>PAUL MASSON GRANDE AMBER BRANDY</t>
        </is>
      </c>
      <c r="C2442" s="7">
        <f>VLOOKUP(A2442,SizeData!A$2:B$3839,2,FALSE)</f>
        <v/>
      </c>
      <c r="D2442" s="6" t="n">
        <v>2</v>
      </c>
      <c r="E2442" s="6" t="inlineStr">
        <is>
          <t>R1205285</t>
        </is>
      </c>
      <c r="F2442" s="2" t="n">
        <v>44414</v>
      </c>
      <c r="G2442" s="1" t="n"/>
    </row>
    <row r="2443">
      <c r="A2443" s="6" t="n">
        <v>53213</v>
      </c>
      <c r="B2443" s="6" t="inlineStr">
        <is>
          <t>PAUL MASSON GRANDE AMBER BRANDY</t>
        </is>
      </c>
      <c r="C2443" s="7">
        <f>VLOOKUP(A2443,SizeData!A$2:B$3839,2,FALSE)</f>
        <v/>
      </c>
      <c r="D2443" s="6" t="n">
        <v>3</v>
      </c>
      <c r="E2443" s="6" t="inlineStr">
        <is>
          <t>R1204006</t>
        </is>
      </c>
      <c r="F2443" s="2" t="n">
        <v>44415</v>
      </c>
      <c r="G2443" s="1" t="n"/>
    </row>
    <row r="2444">
      <c r="A2444" s="6" t="n">
        <v>53213</v>
      </c>
      <c r="B2444" s="6" t="inlineStr">
        <is>
          <t>PAUL MASSON GRANDE AMBER BRANDY</t>
        </is>
      </c>
      <c r="C2444" s="7">
        <f>VLOOKUP(A2444,SizeData!A$2:B$3839,2,FALSE)</f>
        <v/>
      </c>
      <c r="D2444" s="6" t="n">
        <v>5</v>
      </c>
      <c r="E2444" s="6" t="inlineStr">
        <is>
          <t>R1225343</t>
        </is>
      </c>
      <c r="F2444" s="2" t="n">
        <v>44427</v>
      </c>
      <c r="G2444" s="1" t="n"/>
    </row>
    <row r="2445">
      <c r="A2445" s="6" t="n">
        <v>53213</v>
      </c>
      <c r="B2445" s="6" t="inlineStr">
        <is>
          <t>PAUL MASSON GRANDE AMBER BRANDY</t>
        </is>
      </c>
      <c r="C2445" s="7">
        <f>VLOOKUP(A2445,SizeData!A$2:B$3839,2,FALSE)</f>
        <v/>
      </c>
      <c r="D2445" s="6" t="n">
        <v>1</v>
      </c>
      <c r="E2445" s="6" t="inlineStr">
        <is>
          <t xml:space="preserve"> R1211770</t>
        </is>
      </c>
      <c r="F2445" s="2" t="n">
        <v>44427</v>
      </c>
      <c r="G2445" s="1" t="n"/>
    </row>
    <row r="2446">
      <c r="A2446" s="6" t="n">
        <v>53213</v>
      </c>
      <c r="B2446" s="6" t="inlineStr">
        <is>
          <t>PAUL MASSON GRANDE AMBER BRANDY</t>
        </is>
      </c>
      <c r="C2446" s="7">
        <f>VLOOKUP(A2446,SizeData!A$2:B$3839,2,FALSE)</f>
        <v/>
      </c>
      <c r="D2446" s="6" t="n">
        <v>6</v>
      </c>
      <c r="E2446" s="6" t="inlineStr">
        <is>
          <t xml:space="preserve"> R1223918</t>
        </is>
      </c>
      <c r="F2446" s="2" t="n">
        <v>44434</v>
      </c>
      <c r="G2446" s="1" t="n"/>
    </row>
    <row r="2447">
      <c r="A2447" s="6" t="n">
        <v>53213</v>
      </c>
      <c r="B2447" s="6" t="inlineStr">
        <is>
          <t>PAUL MASSON GRANDE AMBER BRANDY</t>
        </is>
      </c>
      <c r="C2447" s="7">
        <f>VLOOKUP(A2447,SizeData!A$2:B$3839,2,FALSE)</f>
        <v/>
      </c>
      <c r="D2447" s="6" t="n">
        <v>10</v>
      </c>
      <c r="E2447" s="6" t="inlineStr">
        <is>
          <t>R1231704</t>
        </is>
      </c>
      <c r="F2447" s="2" t="n">
        <v>44438</v>
      </c>
      <c r="G2447" s="1" t="n"/>
    </row>
    <row r="2448">
      <c r="A2448" s="6" t="n">
        <v>53213</v>
      </c>
      <c r="B2448" s="6" t="inlineStr">
        <is>
          <t>PAUL MASSON GRANDE AMBER BRANDY</t>
        </is>
      </c>
      <c r="C2448" s="7">
        <f>VLOOKUP(A2448,SizeData!A$2:B$3839,2,FALSE)</f>
        <v/>
      </c>
      <c r="D2448" s="6" t="n">
        <v>8</v>
      </c>
      <c r="E2448" s="6" t="inlineStr">
        <is>
          <t>R1239012</t>
        </is>
      </c>
      <c r="F2448" s="2" t="n">
        <v>44449</v>
      </c>
      <c r="G2448" s="1" t="n"/>
    </row>
    <row r="2449">
      <c r="A2449" s="6" t="n">
        <v>53213</v>
      </c>
      <c r="B2449" s="6" t="inlineStr">
        <is>
          <t>PAUL MASSON GRANDE AMBER BRANDY</t>
        </is>
      </c>
      <c r="C2449" s="7">
        <f>VLOOKUP(A2449,SizeData!A$2:B$3839,2,FALSE)</f>
        <v/>
      </c>
      <c r="D2449" s="6" t="n">
        <v>4</v>
      </c>
      <c r="E2449" s="6" t="inlineStr">
        <is>
          <t>R1260782</t>
        </is>
      </c>
      <c r="F2449" s="2" t="n">
        <v>44467</v>
      </c>
      <c r="G2449" s="1" t="n"/>
    </row>
    <row r="2450">
      <c r="A2450" s="6" t="n">
        <v>53213</v>
      </c>
      <c r="B2450" s="6" t="inlineStr">
        <is>
          <t>PAUL MASSON GRANDE AMBER BRANDY</t>
        </is>
      </c>
      <c r="C2450" s="7">
        <f>VLOOKUP(A2450,SizeData!A$2:B$3839,2,FALSE)</f>
        <v/>
      </c>
      <c r="D2450" s="6" t="n">
        <v>50</v>
      </c>
      <c r="E2450" s="6" t="inlineStr">
        <is>
          <t>R1284378</t>
        </is>
      </c>
      <c r="F2450" s="2" t="n">
        <v>44494</v>
      </c>
      <c r="G2450" s="1" t="n"/>
    </row>
    <row r="2451">
      <c r="A2451" s="6" t="n">
        <v>53213</v>
      </c>
      <c r="B2451" s="6" t="inlineStr">
        <is>
          <t>PAUL MASSON GRANDE AMBER BRANDY</t>
        </is>
      </c>
      <c r="C2451" s="7">
        <f>VLOOKUP(A2451,SizeData!A$2:B$3839,2,FALSE)</f>
        <v/>
      </c>
      <c r="D2451" s="6" t="n">
        <v>20</v>
      </c>
      <c r="E2451" s="6" t="inlineStr">
        <is>
          <t>R1305360</t>
        </is>
      </c>
      <c r="F2451" s="2" t="n">
        <v>44494</v>
      </c>
      <c r="G2451" s="1" t="n"/>
    </row>
    <row r="2452">
      <c r="A2452" s="6" t="n">
        <v>53213</v>
      </c>
      <c r="B2452" s="6" t="inlineStr">
        <is>
          <t>PAUL MASSON GRANDE AMBER BRANDY</t>
        </is>
      </c>
      <c r="C2452" s="7">
        <f>VLOOKUP(A2452,SizeData!A$2:B$3839,2,FALSE)</f>
        <v/>
      </c>
      <c r="D2452" s="6" t="n">
        <v>29</v>
      </c>
      <c r="E2452" s="6" t="inlineStr">
        <is>
          <t xml:space="preserve"> R1332156</t>
        </is>
      </c>
      <c r="F2452" s="2" t="n">
        <v>44523</v>
      </c>
      <c r="G2452" s="1" t="n"/>
    </row>
    <row r="2453">
      <c r="A2453" s="6" t="n">
        <v>53213</v>
      </c>
      <c r="B2453" s="6" t="inlineStr">
        <is>
          <t>PAUL MASSON GRANDE AMBER BRANDY</t>
        </is>
      </c>
      <c r="C2453" s="7">
        <f>VLOOKUP(A2453,SizeData!A$2:B$3839,2,FALSE)</f>
        <v/>
      </c>
      <c r="D2453" s="6" t="n">
        <v>20</v>
      </c>
      <c r="E2453" s="6" t="inlineStr">
        <is>
          <t>R1355256</t>
        </is>
      </c>
      <c r="F2453" s="2" t="n">
        <v>44532</v>
      </c>
      <c r="G2453" s="1" t="n"/>
    </row>
    <row r="2454">
      <c r="A2454" s="6" t="n">
        <v>53213</v>
      </c>
      <c r="B2454" s="6" t="inlineStr">
        <is>
          <t>PAUL MASSON GRANDE AMBER BRANDY</t>
        </is>
      </c>
      <c r="C2454" s="7">
        <f>VLOOKUP(A2454,SizeData!A$2:B$3839,2,FALSE)</f>
        <v/>
      </c>
      <c r="D2454" s="6" t="n">
        <v>20</v>
      </c>
      <c r="E2454" s="6" t="inlineStr">
        <is>
          <t>R1357821</t>
        </is>
      </c>
      <c r="F2454" s="2" t="n">
        <v>44536</v>
      </c>
      <c r="G2454" s="1" t="n"/>
    </row>
    <row r="2455">
      <c r="A2455" s="6" t="n">
        <v>53213</v>
      </c>
      <c r="B2455" s="6" t="inlineStr">
        <is>
          <t>PAUL MASSON GRANDE AMBER BRANDY</t>
        </is>
      </c>
      <c r="C2455" s="7">
        <f>VLOOKUP(A2455,SizeData!A$2:B$3839,2,FALSE)</f>
        <v/>
      </c>
      <c r="D2455" s="6" t="n">
        <v>8</v>
      </c>
      <c r="E2455" s="6" t="inlineStr">
        <is>
          <t>R1346160</t>
        </is>
      </c>
      <c r="F2455" s="2" t="n">
        <v>44536</v>
      </c>
      <c r="G2455" s="1" t="n"/>
    </row>
    <row r="2456">
      <c r="A2456" s="6" t="n">
        <v>53214</v>
      </c>
      <c r="B2456" s="6" t="inlineStr">
        <is>
          <t>PAUL MASSON GRANDE AMBER BRANDY</t>
        </is>
      </c>
      <c r="C2456" s="7">
        <f>VLOOKUP(A2456,SizeData!A$2:B$3839,2,FALSE)</f>
        <v/>
      </c>
      <c r="D2456" s="6" t="n">
        <v>10</v>
      </c>
      <c r="E2456" s="6" t="inlineStr">
        <is>
          <t>R1014945</t>
        </is>
      </c>
      <c r="F2456" s="2" t="n">
        <v>44232</v>
      </c>
      <c r="G2456" s="1" t="n"/>
    </row>
    <row r="2457">
      <c r="A2457" s="6" t="n">
        <v>53214</v>
      </c>
      <c r="B2457" s="6" t="inlineStr">
        <is>
          <t>PAUL MASSON GRANDE AMBER BRANDY</t>
        </is>
      </c>
      <c r="C2457" s="7">
        <f>VLOOKUP(A2457,SizeData!A$2:B$3839,2,FALSE)</f>
        <v/>
      </c>
      <c r="D2457" s="6" t="n">
        <v>10</v>
      </c>
      <c r="E2457" s="6" t="inlineStr">
        <is>
          <t>R1032280</t>
        </is>
      </c>
      <c r="F2457" s="2" t="n">
        <v>44253</v>
      </c>
      <c r="G2457" s="1" t="n"/>
    </row>
    <row r="2458">
      <c r="A2458" s="6" t="n">
        <v>53214</v>
      </c>
      <c r="B2458" s="6" t="inlineStr">
        <is>
          <t>PAUL MASSON GRANDE AMBER BRANDY</t>
        </is>
      </c>
      <c r="C2458" s="7">
        <f>VLOOKUP(A2458,SizeData!A$2:B$3839,2,FALSE)</f>
        <v/>
      </c>
      <c r="D2458" s="6" t="n">
        <v>5</v>
      </c>
      <c r="E2458" s="6" t="inlineStr">
        <is>
          <t>R1066387</t>
        </is>
      </c>
      <c r="F2458" s="2" t="n">
        <v>44274</v>
      </c>
      <c r="G2458" s="1" t="n"/>
    </row>
    <row r="2459">
      <c r="A2459" s="6" t="n">
        <v>53214</v>
      </c>
      <c r="B2459" s="6" t="inlineStr">
        <is>
          <t>PAUL MASSON GRANDE AMBER BRANDY</t>
        </is>
      </c>
      <c r="C2459" s="7">
        <f>VLOOKUP(A2459,SizeData!A$2:B$3839,2,FALSE)</f>
        <v/>
      </c>
      <c r="D2459" s="6" t="n">
        <v>2</v>
      </c>
      <c r="E2459" s="6" t="inlineStr">
        <is>
          <t>R1097628</t>
        </is>
      </c>
      <c r="F2459" s="2" t="n">
        <v>44305</v>
      </c>
      <c r="G2459" s="1" t="n"/>
    </row>
    <row r="2460">
      <c r="A2460" s="6" t="n">
        <v>53214</v>
      </c>
      <c r="B2460" s="6" t="inlineStr">
        <is>
          <t>PAUL MASSON GRANDE AMBER BRANDY</t>
        </is>
      </c>
      <c r="C2460" s="7">
        <f>VLOOKUP(A2460,SizeData!A$2:B$3839,2,FALSE)</f>
        <v/>
      </c>
      <c r="D2460" s="6" t="n">
        <v>2</v>
      </c>
      <c r="E2460" s="6" t="inlineStr">
        <is>
          <t xml:space="preserve"> R1101656</t>
        </is>
      </c>
      <c r="F2460" s="2" t="n">
        <v>44313</v>
      </c>
      <c r="G2460" s="1" t="n"/>
    </row>
    <row r="2461">
      <c r="A2461" s="6" t="n">
        <v>53214</v>
      </c>
      <c r="B2461" s="6" t="inlineStr">
        <is>
          <t>PAUL MASSON GRANDE AMBER BRANDY</t>
        </is>
      </c>
      <c r="C2461" s="7">
        <f>VLOOKUP(A2461,SizeData!A$2:B$3839,2,FALSE)</f>
        <v/>
      </c>
      <c r="D2461" s="6" t="n">
        <v>2</v>
      </c>
      <c r="E2461" s="6" t="inlineStr">
        <is>
          <t>R1122021</t>
        </is>
      </c>
      <c r="F2461" s="2" t="n">
        <v>44328</v>
      </c>
      <c r="G2461" s="1" t="n"/>
    </row>
    <row r="2462">
      <c r="A2462" s="6" t="n">
        <v>53214</v>
      </c>
      <c r="B2462" s="6" t="inlineStr">
        <is>
          <t>PAUL MASSON GRANDE AMBER BRANDY</t>
        </is>
      </c>
      <c r="C2462" s="7">
        <f>VLOOKUP(A2462,SizeData!A$2:B$3839,2,FALSE)</f>
        <v/>
      </c>
      <c r="D2462" s="6" t="n">
        <v>1</v>
      </c>
      <c r="E2462" s="6" t="inlineStr">
        <is>
          <t xml:space="preserve"> R1114563</t>
        </is>
      </c>
      <c r="F2462" s="2" t="n">
        <v>44334</v>
      </c>
      <c r="G2462" s="1" t="n"/>
    </row>
    <row r="2463">
      <c r="A2463" s="6" t="n">
        <v>53214</v>
      </c>
      <c r="B2463" s="6" t="inlineStr">
        <is>
          <t>PAUL MASSON GRANDE AMBER BRANDY</t>
        </is>
      </c>
      <c r="C2463" s="7">
        <f>VLOOKUP(A2463,SizeData!A$2:B$3839,2,FALSE)</f>
        <v/>
      </c>
      <c r="D2463" s="6" t="n">
        <v>1</v>
      </c>
      <c r="E2463" s="6" t="inlineStr">
        <is>
          <t>R1128764</t>
        </is>
      </c>
      <c r="F2463" s="2" t="n">
        <v>44336</v>
      </c>
      <c r="G2463" s="1" t="n"/>
    </row>
    <row r="2464">
      <c r="A2464" s="6" t="n">
        <v>53214</v>
      </c>
      <c r="B2464" s="6" t="inlineStr">
        <is>
          <t>PAUL MASSON GRANDE AMBER BRANDY</t>
        </is>
      </c>
      <c r="C2464" s="7">
        <f>VLOOKUP(A2464,SizeData!A$2:B$3839,2,FALSE)</f>
        <v/>
      </c>
      <c r="D2464" s="6" t="n">
        <v>1</v>
      </c>
      <c r="E2464" s="6" t="inlineStr">
        <is>
          <t xml:space="preserve"> R1138813</t>
        </is>
      </c>
      <c r="F2464" s="2" t="n">
        <v>44348</v>
      </c>
      <c r="G2464" s="1" t="n"/>
    </row>
    <row r="2465">
      <c r="A2465" s="6" t="n">
        <v>53214</v>
      </c>
      <c r="B2465" s="6" t="inlineStr">
        <is>
          <t>PAUL MASSON GRANDE AMBER BRANDY</t>
        </is>
      </c>
      <c r="C2465" s="7">
        <f>VLOOKUP(A2465,SizeData!A$2:B$3839,2,FALSE)</f>
        <v/>
      </c>
      <c r="D2465" s="6" t="n">
        <v>1</v>
      </c>
      <c r="E2465" s="6" t="inlineStr">
        <is>
          <t xml:space="preserve"> R1133829</t>
        </is>
      </c>
      <c r="F2465" s="2" t="n">
        <v>44350</v>
      </c>
      <c r="G2465" s="1" t="n"/>
    </row>
    <row r="2466">
      <c r="A2466" s="6" t="n">
        <v>53214</v>
      </c>
      <c r="B2466" s="6" t="inlineStr">
        <is>
          <t>PAUL MASSON GRANDE AMBER BRANDY</t>
        </is>
      </c>
      <c r="C2466" s="7">
        <f>VLOOKUP(A2466,SizeData!A$2:B$3839,2,FALSE)</f>
        <v/>
      </c>
      <c r="D2466" s="6" t="n">
        <v>1</v>
      </c>
      <c r="E2466" s="6" t="inlineStr">
        <is>
          <t>R1134134</t>
        </is>
      </c>
      <c r="F2466" s="2" t="n">
        <v>44354</v>
      </c>
      <c r="G2466" s="1" t="n"/>
    </row>
    <row r="2467">
      <c r="A2467" s="6" t="n">
        <v>53214</v>
      </c>
      <c r="B2467" s="6" t="inlineStr">
        <is>
          <t>PAUL MASSON GRANDE AMBER BRANDY</t>
        </is>
      </c>
      <c r="C2467" s="7">
        <f>VLOOKUP(A2467,SizeData!A$2:B$3839,2,FALSE)</f>
        <v/>
      </c>
      <c r="D2467" s="6" t="n">
        <v>1</v>
      </c>
      <c r="E2467" s="6" t="inlineStr">
        <is>
          <t>R1159919</t>
        </is>
      </c>
      <c r="F2467" s="2" t="n">
        <v>44370</v>
      </c>
      <c r="G2467" s="1" t="n"/>
    </row>
    <row r="2468">
      <c r="A2468" s="6" t="n">
        <v>53214</v>
      </c>
      <c r="B2468" s="6" t="inlineStr">
        <is>
          <t>PAUL MASSON GRANDE AMBER BRANDY</t>
        </is>
      </c>
      <c r="C2468" s="7">
        <f>VLOOKUP(A2468,SizeData!A$2:B$3839,2,FALSE)</f>
        <v/>
      </c>
      <c r="D2468" s="6" t="n">
        <v>1</v>
      </c>
      <c r="E2468" s="6" t="inlineStr">
        <is>
          <t>R1161479</t>
        </is>
      </c>
      <c r="F2468" s="2" t="n">
        <v>44373</v>
      </c>
      <c r="G2468" s="1" t="n"/>
    </row>
    <row r="2469">
      <c r="A2469" s="6" t="n">
        <v>53214</v>
      </c>
      <c r="B2469" s="6" t="inlineStr">
        <is>
          <t>PAUL MASSON GRANDE AMBER BRANDY</t>
        </is>
      </c>
      <c r="C2469" s="7">
        <f>VLOOKUP(A2469,SizeData!A$2:B$3839,2,FALSE)</f>
        <v/>
      </c>
      <c r="D2469" s="6" t="n">
        <v>1</v>
      </c>
      <c r="E2469" s="6" t="inlineStr">
        <is>
          <t xml:space="preserve"> R1162278</t>
        </is>
      </c>
      <c r="F2469" s="2" t="n">
        <v>44380</v>
      </c>
      <c r="G2469" s="1" t="n"/>
    </row>
    <row r="2470">
      <c r="A2470" s="6" t="n">
        <v>53214</v>
      </c>
      <c r="B2470" s="6" t="inlineStr">
        <is>
          <t>PAUL MASSON GRANDE AMBER BRANDY</t>
        </is>
      </c>
      <c r="C2470" s="7">
        <f>VLOOKUP(A2470,SizeData!A$2:B$3839,2,FALSE)</f>
        <v/>
      </c>
      <c r="D2470" s="6" t="n">
        <v>1</v>
      </c>
      <c r="E2470" s="6" t="inlineStr">
        <is>
          <t>R1163865</t>
        </is>
      </c>
      <c r="F2470" s="2" t="n">
        <v>44384</v>
      </c>
      <c r="G2470" s="6" t="n"/>
    </row>
    <row r="2471">
      <c r="A2471" s="6" t="n">
        <v>53214</v>
      </c>
      <c r="B2471" s="6" t="inlineStr">
        <is>
          <t>PAUL MASSON GRANDE AMBER BRANDY</t>
        </is>
      </c>
      <c r="C2471" s="7">
        <f>VLOOKUP(A2471,SizeData!A$2:B$3839,2,FALSE)</f>
        <v/>
      </c>
      <c r="D2471" s="6" t="n">
        <v>2</v>
      </c>
      <c r="E2471" s="6" t="inlineStr">
        <is>
          <t>R1172122</t>
        </is>
      </c>
      <c r="F2471" s="2" t="n">
        <v>44390</v>
      </c>
      <c r="G2471" s="1" t="n"/>
    </row>
    <row r="2472">
      <c r="A2472" s="6" t="n">
        <v>53214</v>
      </c>
      <c r="B2472" s="6" t="inlineStr">
        <is>
          <t>PAUL MASSON GRANDE AMBER BRANDY</t>
        </is>
      </c>
      <c r="C2472" s="7">
        <f>VLOOKUP(A2472,SizeData!A$2:B$3839,2,FALSE)</f>
        <v/>
      </c>
      <c r="D2472" s="6" t="n">
        <v>1</v>
      </c>
      <c r="E2472" s="6" t="inlineStr">
        <is>
          <t>R1187907</t>
        </is>
      </c>
      <c r="F2472" s="2" t="n">
        <v>44401</v>
      </c>
      <c r="G2472" s="1" t="n"/>
    </row>
    <row r="2473">
      <c r="A2473" s="6" t="n">
        <v>53214</v>
      </c>
      <c r="B2473" s="6" t="inlineStr">
        <is>
          <t>PAUL MASSON GRANDE AMBER BRANDY</t>
        </is>
      </c>
      <c r="C2473" s="7">
        <f>VLOOKUP(A2473,SizeData!A$2:B$3839,2,FALSE)</f>
        <v/>
      </c>
      <c r="D2473" s="6" t="n">
        <v>2</v>
      </c>
      <c r="E2473" s="6" t="inlineStr">
        <is>
          <t>R1188262</t>
        </is>
      </c>
      <c r="F2473" s="2" t="n">
        <v>44409</v>
      </c>
      <c r="G2473" s="1" t="n"/>
    </row>
    <row r="2474">
      <c r="A2474" s="6" t="n">
        <v>53214</v>
      </c>
      <c r="B2474" s="6" t="inlineStr">
        <is>
          <t>PAUL MASSON GRANDE AMBER BRANDY</t>
        </is>
      </c>
      <c r="C2474" s="7">
        <f>VLOOKUP(A2474,SizeData!A$2:B$3839,2,FALSE)</f>
        <v/>
      </c>
      <c r="D2474" s="6" t="n">
        <v>10</v>
      </c>
      <c r="E2474" s="6" t="inlineStr">
        <is>
          <t>R1200565</t>
        </is>
      </c>
      <c r="F2474" s="2" t="n">
        <v>44411</v>
      </c>
      <c r="G2474" s="1" t="n"/>
    </row>
    <row r="2475">
      <c r="A2475" s="6" t="n">
        <v>53214</v>
      </c>
      <c r="B2475" s="6" t="inlineStr">
        <is>
          <t>PAUL MASSON GRANDE AMBER BRANDY</t>
        </is>
      </c>
      <c r="C2475" s="7">
        <f>VLOOKUP(A2475,SizeData!A$2:B$3839,2,FALSE)</f>
        <v/>
      </c>
      <c r="D2475" s="6" t="n">
        <v>2</v>
      </c>
      <c r="E2475" s="6" t="inlineStr">
        <is>
          <t>R1184247</t>
        </is>
      </c>
      <c r="F2475" s="2" t="n">
        <v>44411</v>
      </c>
      <c r="G2475" s="1" t="n"/>
    </row>
    <row r="2476">
      <c r="A2476" s="6" t="n">
        <v>53214</v>
      </c>
      <c r="B2476" s="6" t="inlineStr">
        <is>
          <t>PAUL MASSON GRANDE AMBER BRANDY</t>
        </is>
      </c>
      <c r="C2476" s="7">
        <f>VLOOKUP(A2476,SizeData!A$2:B$3839,2,FALSE)</f>
        <v/>
      </c>
      <c r="D2476" s="6" t="n">
        <v>2</v>
      </c>
      <c r="E2476" s="6" t="inlineStr">
        <is>
          <t xml:space="preserve"> R1211770</t>
        </is>
      </c>
      <c r="F2476" s="2" t="n">
        <v>44427</v>
      </c>
      <c r="G2476" s="1" t="n"/>
    </row>
    <row r="2477">
      <c r="A2477" s="6" t="n">
        <v>53214</v>
      </c>
      <c r="B2477" s="6" t="inlineStr">
        <is>
          <t>PAUL MASSON GRANDE AMBER BRANDY</t>
        </is>
      </c>
      <c r="C2477" s="7">
        <f>VLOOKUP(A2477,SizeData!A$2:B$3839,2,FALSE)</f>
        <v/>
      </c>
      <c r="D2477" s="6" t="n">
        <v>3</v>
      </c>
      <c r="E2477" s="6" t="inlineStr">
        <is>
          <t>R1218485</t>
        </is>
      </c>
      <c r="F2477" s="2" t="n">
        <v>44436</v>
      </c>
      <c r="G2477" s="1" t="n"/>
    </row>
    <row r="2478">
      <c r="A2478" s="6" t="n">
        <v>53214</v>
      </c>
      <c r="B2478" s="6" t="inlineStr">
        <is>
          <t>PAUL MASSON GRANDE AMBER BRANDY</t>
        </is>
      </c>
      <c r="C2478" s="7">
        <f>VLOOKUP(A2478,SizeData!A$2:B$3839,2,FALSE)</f>
        <v/>
      </c>
      <c r="D2478" s="6" t="n">
        <v>12</v>
      </c>
      <c r="E2478" s="6" t="inlineStr">
        <is>
          <t>R1222187</t>
        </is>
      </c>
      <c r="F2478" s="2" t="n">
        <v>44439</v>
      </c>
      <c r="G2478" s="1" t="n"/>
    </row>
    <row r="2479">
      <c r="A2479" s="6" t="n">
        <v>53214</v>
      </c>
      <c r="B2479" s="6" t="inlineStr">
        <is>
          <t>PAUL MASSON GRANDE AMBER BRANDY</t>
        </is>
      </c>
      <c r="C2479" s="7">
        <f>VLOOKUP(A2479,SizeData!A$2:B$3839,2,FALSE)</f>
        <v/>
      </c>
      <c r="D2479" s="6" t="n">
        <v>24</v>
      </c>
      <c r="E2479" s="6" t="inlineStr">
        <is>
          <t>R1304823</t>
        </is>
      </c>
      <c r="F2479" s="2" t="n">
        <v>44501</v>
      </c>
      <c r="G2479" s="1" t="n"/>
    </row>
    <row r="2480">
      <c r="A2480" s="6" t="n">
        <v>53214</v>
      </c>
      <c r="B2480" s="6" t="inlineStr">
        <is>
          <t>PAUL MASSON GRANDE AMBER BRANDY</t>
        </is>
      </c>
      <c r="C2480" s="7">
        <f>VLOOKUP(A2480,SizeData!A$2:B$3839,2,FALSE)</f>
        <v/>
      </c>
      <c r="D2480" s="6" t="n">
        <v>25</v>
      </c>
      <c r="E2480" s="6" t="inlineStr">
        <is>
          <t>R1311459</t>
        </is>
      </c>
      <c r="F2480" s="2" t="n">
        <v>44502</v>
      </c>
      <c r="G2480" s="1" t="n"/>
    </row>
    <row r="2481">
      <c r="A2481" s="6" t="n">
        <v>53214</v>
      </c>
      <c r="B2481" s="6" t="inlineStr">
        <is>
          <t>PAUL MASSON GRANDE AMBER BRANDY</t>
        </is>
      </c>
      <c r="C2481" s="7">
        <f>VLOOKUP(A2481,SizeData!A$2:B$3839,2,FALSE)</f>
        <v/>
      </c>
      <c r="D2481" s="6" t="n">
        <v>13</v>
      </c>
      <c r="E2481" s="6" t="inlineStr">
        <is>
          <t>R1341408</t>
        </is>
      </c>
      <c r="F2481" s="2" t="n">
        <v>44522</v>
      </c>
      <c r="G2481" s="1" t="n"/>
    </row>
    <row r="2482">
      <c r="A2482" s="6" t="n">
        <v>53216</v>
      </c>
      <c r="B2482" s="6" t="inlineStr">
        <is>
          <t>PAUL MASSON GRANDE AMBER BRANDY</t>
        </is>
      </c>
      <c r="C2482" s="7">
        <f>VLOOKUP(A2482,SizeData!A$2:B$3839,2,FALSE)</f>
        <v/>
      </c>
      <c r="D2482" s="6" t="n">
        <v>10</v>
      </c>
      <c r="E2482" s="6" t="inlineStr">
        <is>
          <t>R1051676</t>
        </is>
      </c>
      <c r="F2482" s="2" t="n">
        <v>44263</v>
      </c>
      <c r="G2482" s="1" t="n"/>
    </row>
    <row r="2483">
      <c r="A2483" s="6" t="n">
        <v>53216</v>
      </c>
      <c r="B2483" s="6" t="inlineStr">
        <is>
          <t>PAUL MASSON GRANDE AMBER BRANDY</t>
        </is>
      </c>
      <c r="C2483" s="7">
        <f>VLOOKUP(A2483,SizeData!A$2:B$3839,2,FALSE)</f>
        <v/>
      </c>
      <c r="D2483" s="6" t="n">
        <v>1</v>
      </c>
      <c r="E2483" s="6" t="inlineStr">
        <is>
          <t>R1134134</t>
        </is>
      </c>
      <c r="F2483" s="2" t="n">
        <v>44354</v>
      </c>
      <c r="G2483" s="1" t="n"/>
    </row>
    <row r="2484">
      <c r="A2484" s="6" t="n">
        <v>53216</v>
      </c>
      <c r="B2484" s="6" t="inlineStr">
        <is>
          <t>PAUL MASSON GRANDE AMBER BRANDY</t>
        </is>
      </c>
      <c r="C2484" s="7">
        <f>VLOOKUP(A2484,SizeData!A$2:B$3839,2,FALSE)</f>
        <v/>
      </c>
      <c r="D2484" s="6" t="n">
        <v>2</v>
      </c>
      <c r="E2484" s="6" t="inlineStr">
        <is>
          <t>R1146158</t>
        </is>
      </c>
      <c r="F2484" s="2" t="n">
        <v>44356</v>
      </c>
      <c r="G2484" s="1" t="n"/>
    </row>
    <row r="2485">
      <c r="A2485" s="6" t="n">
        <v>53216</v>
      </c>
      <c r="B2485" s="6" t="inlineStr">
        <is>
          <t>PAUL MASSON GRANDE AMBER BRANDY</t>
        </is>
      </c>
      <c r="C2485" s="7">
        <f>VLOOKUP(A2485,SizeData!A$2:B$3839,2,FALSE)</f>
        <v/>
      </c>
      <c r="D2485" s="6" t="n">
        <v>2</v>
      </c>
      <c r="E2485" s="6" t="inlineStr">
        <is>
          <t>R1150887</t>
        </is>
      </c>
      <c r="F2485" s="2" t="n">
        <v>44366</v>
      </c>
      <c r="G2485" s="1" t="n"/>
    </row>
    <row r="2486">
      <c r="A2486" s="6" t="n">
        <v>53216</v>
      </c>
      <c r="B2486" s="6" t="inlineStr">
        <is>
          <t>PAUL MASSON GRANDE AMBER BRANDY</t>
        </is>
      </c>
      <c r="C2486" s="7">
        <f>VLOOKUP(A2486,SizeData!A$2:B$3839,2,FALSE)</f>
        <v/>
      </c>
      <c r="D2486" s="6" t="n">
        <v>1</v>
      </c>
      <c r="E2486" s="6" t="inlineStr">
        <is>
          <t>R1166959</t>
        </is>
      </c>
      <c r="F2486" s="2" t="n">
        <v>44380</v>
      </c>
      <c r="G2486" s="1" t="n"/>
    </row>
    <row r="2487">
      <c r="A2487" s="6" t="n">
        <v>53216</v>
      </c>
      <c r="B2487" s="6" t="inlineStr">
        <is>
          <t>PAUL MASSON GRANDE AMBER BRANDY</t>
        </is>
      </c>
      <c r="C2487" s="7">
        <f>VLOOKUP(A2487,SizeData!A$2:B$3839,2,FALSE)</f>
        <v/>
      </c>
      <c r="D2487" s="6" t="n">
        <v>1</v>
      </c>
      <c r="E2487" s="6" t="inlineStr">
        <is>
          <t>R1163865</t>
        </is>
      </c>
      <c r="F2487" s="2" t="n">
        <v>44384</v>
      </c>
      <c r="G2487" s="6" t="n"/>
    </row>
    <row r="2488">
      <c r="A2488" s="6" t="n">
        <v>53216</v>
      </c>
      <c r="B2488" s="6" t="inlineStr">
        <is>
          <t>PAUL MASSON GRANDE AMBER BRANDY</t>
        </is>
      </c>
      <c r="C2488" s="7">
        <f>VLOOKUP(A2488,SizeData!A$2:B$3839,2,FALSE)</f>
        <v/>
      </c>
      <c r="D2488" s="6" t="n">
        <v>1</v>
      </c>
      <c r="E2488" s="6" t="inlineStr">
        <is>
          <t>R1175838</t>
        </is>
      </c>
      <c r="F2488" s="2" t="n">
        <v>44389</v>
      </c>
      <c r="G2488" s="1" t="n"/>
    </row>
    <row r="2489">
      <c r="A2489" s="6" t="n">
        <v>53216</v>
      </c>
      <c r="B2489" s="6" t="inlineStr">
        <is>
          <t>PAUL MASSON GRANDE AMBER BRANDY</t>
        </is>
      </c>
      <c r="C2489" s="7">
        <f>VLOOKUP(A2489,SizeData!A$2:B$3839,2,FALSE)</f>
        <v/>
      </c>
      <c r="D2489" s="6" t="n">
        <v>1</v>
      </c>
      <c r="E2489" s="6" t="inlineStr">
        <is>
          <t>R1172122</t>
        </is>
      </c>
      <c r="F2489" s="2" t="n">
        <v>44390</v>
      </c>
      <c r="G2489" s="1" t="n"/>
    </row>
    <row r="2490">
      <c r="A2490" s="6" t="n">
        <v>53216</v>
      </c>
      <c r="B2490" s="6" t="inlineStr">
        <is>
          <t>PAUL MASSON GRANDE AMBER BRANDY</t>
        </is>
      </c>
      <c r="C2490" s="7">
        <f>VLOOKUP(A2490,SizeData!A$2:B$3839,2,FALSE)</f>
        <v/>
      </c>
      <c r="D2490" s="6" t="n">
        <v>2</v>
      </c>
      <c r="E2490" s="6" t="inlineStr">
        <is>
          <t>R1192602</t>
        </is>
      </c>
      <c r="F2490" s="2" t="n">
        <v>44401</v>
      </c>
      <c r="G2490" s="1" t="n"/>
    </row>
    <row r="2491">
      <c r="A2491" s="6" t="n">
        <v>53216</v>
      </c>
      <c r="B2491" s="6" t="inlineStr">
        <is>
          <t>PAUL MASSON GRANDE AMBER BRANDY</t>
        </is>
      </c>
      <c r="C2491" s="7">
        <f>VLOOKUP(A2491,SizeData!A$2:B$3839,2,FALSE)</f>
        <v/>
      </c>
      <c r="D2491" s="6" t="n">
        <v>2</v>
      </c>
      <c r="E2491" s="6" t="inlineStr">
        <is>
          <t>R1205285</t>
        </is>
      </c>
      <c r="F2491" s="2" t="n">
        <v>44414</v>
      </c>
      <c r="G2491" s="1" t="n"/>
    </row>
    <row r="2492">
      <c r="A2492" s="6" t="n">
        <v>53216</v>
      </c>
      <c r="B2492" s="6" t="inlineStr">
        <is>
          <t>PAUL MASSON GRANDE AMBER BRANDY</t>
        </is>
      </c>
      <c r="C2492" s="7">
        <f>VLOOKUP(A2492,SizeData!A$2:B$3839,2,FALSE)</f>
        <v/>
      </c>
      <c r="D2492" s="6" t="n">
        <v>1</v>
      </c>
      <c r="E2492" s="6" t="inlineStr">
        <is>
          <t>R1204006</t>
        </is>
      </c>
      <c r="F2492" s="2" t="n">
        <v>44415</v>
      </c>
      <c r="G2492" s="1" t="n"/>
    </row>
    <row r="2493">
      <c r="A2493" s="6" t="n">
        <v>53216</v>
      </c>
      <c r="B2493" s="6" t="inlineStr">
        <is>
          <t>PAUL MASSON GRANDE AMBER BRANDY</t>
        </is>
      </c>
      <c r="C2493" s="7">
        <f>VLOOKUP(A2493,SizeData!A$2:B$3839,2,FALSE)</f>
        <v/>
      </c>
      <c r="D2493" s="6" t="n">
        <v>10</v>
      </c>
      <c r="E2493" s="6" t="inlineStr">
        <is>
          <t>R1235270</t>
        </is>
      </c>
      <c r="F2493" s="2" t="n">
        <v>44440</v>
      </c>
      <c r="G2493" s="1" t="n"/>
    </row>
    <row r="2494">
      <c r="A2494" s="6" t="n">
        <v>53216</v>
      </c>
      <c r="B2494" s="6" t="inlineStr">
        <is>
          <t>PAUL MASSON GRANDE AMBER BRANDY</t>
        </is>
      </c>
      <c r="C2494" s="7">
        <f>VLOOKUP(A2494,SizeData!A$2:B$3839,2,FALSE)</f>
        <v/>
      </c>
      <c r="D2494" s="6" t="n">
        <v>10</v>
      </c>
      <c r="E2494" s="6" t="inlineStr">
        <is>
          <t>R1236179</t>
        </is>
      </c>
      <c r="F2494" s="2" t="n">
        <v>44443</v>
      </c>
      <c r="G2494" s="1" t="n"/>
    </row>
    <row r="2495">
      <c r="A2495" s="6" t="n">
        <v>53216</v>
      </c>
      <c r="B2495" s="6" t="inlineStr">
        <is>
          <t>PAUL MASSON GRANDE AMBER BRANDY</t>
        </is>
      </c>
      <c r="C2495" s="7">
        <f>VLOOKUP(A2495,SizeData!A$2:B$3839,2,FALSE)</f>
        <v/>
      </c>
      <c r="D2495" s="6" t="n">
        <v>10</v>
      </c>
      <c r="E2495" s="6" t="inlineStr">
        <is>
          <t>R1223079</t>
        </is>
      </c>
      <c r="F2495" s="2" t="n">
        <v>44445</v>
      </c>
      <c r="G2495" s="1" t="n"/>
    </row>
    <row r="2496">
      <c r="A2496" s="6" t="n">
        <v>53216</v>
      </c>
      <c r="B2496" s="6" t="inlineStr">
        <is>
          <t>PAUL MASSON GRANDE AMBER BRANDY</t>
        </is>
      </c>
      <c r="C2496" s="7">
        <f>VLOOKUP(A2496,SizeData!A$2:B$3839,2,FALSE)</f>
        <v/>
      </c>
      <c r="D2496" s="6" t="n">
        <v>10</v>
      </c>
      <c r="E2496" s="6" t="inlineStr">
        <is>
          <t>R1237056</t>
        </is>
      </c>
      <c r="F2496" s="2" t="n">
        <v>44445</v>
      </c>
      <c r="G2496" s="1" t="n"/>
    </row>
    <row r="2497">
      <c r="A2497" s="6" t="n">
        <v>53216</v>
      </c>
      <c r="B2497" s="6" t="inlineStr">
        <is>
          <t>PAUL MASSON GRANDE AMBER BRANDY</t>
        </is>
      </c>
      <c r="C2497" s="7">
        <f>VLOOKUP(A2497,SizeData!A$2:B$3839,2,FALSE)</f>
        <v/>
      </c>
      <c r="D2497" s="6" t="n">
        <v>10</v>
      </c>
      <c r="E2497" s="6" t="inlineStr">
        <is>
          <t>R1249903</t>
        </is>
      </c>
      <c r="F2497" s="2" t="n">
        <v>44460</v>
      </c>
      <c r="G2497" s="1" t="n"/>
    </row>
    <row r="2498">
      <c r="A2498" s="6" t="n">
        <v>53216</v>
      </c>
      <c r="B2498" s="6" t="inlineStr">
        <is>
          <t>PAUL MASSON GRANDE AMBER BRANDY</t>
        </is>
      </c>
      <c r="C2498" s="7">
        <f>VLOOKUP(A2498,SizeData!A$2:B$3839,2,FALSE)</f>
        <v/>
      </c>
      <c r="D2498" s="6" t="n">
        <v>20</v>
      </c>
      <c r="E2498" s="6" t="inlineStr">
        <is>
          <t>R1350649</t>
        </is>
      </c>
      <c r="F2498" s="2" t="n">
        <v>44531</v>
      </c>
      <c r="G2498" s="1" t="n"/>
    </row>
    <row r="2499">
      <c r="A2499" s="6" t="n">
        <v>53216</v>
      </c>
      <c r="B2499" s="6" t="inlineStr">
        <is>
          <t>PAUL MASSON GRANDE AMBER BRANDY</t>
        </is>
      </c>
      <c r="C2499" s="7">
        <f>VLOOKUP(A2499,SizeData!A$2:B$3839,2,FALSE)</f>
        <v/>
      </c>
      <c r="D2499" s="6" t="n">
        <v>20</v>
      </c>
      <c r="E2499" s="6" t="inlineStr">
        <is>
          <t>R1342921</t>
        </is>
      </c>
      <c r="F2499" s="2" t="n">
        <v>44532</v>
      </c>
      <c r="G2499" s="1" t="n"/>
    </row>
    <row r="2500">
      <c r="A2500" s="6" t="n">
        <v>53217</v>
      </c>
      <c r="B2500" s="6" t="inlineStr">
        <is>
          <t>PAUL MASSON GRANDE AMBER BRANDY</t>
        </is>
      </c>
      <c r="C2500" s="7">
        <f>VLOOKUP(A2500,SizeData!A$2:B$3839,2,FALSE)</f>
        <v/>
      </c>
      <c r="D2500" s="6" t="n">
        <v>10</v>
      </c>
      <c r="E2500" s="6" t="inlineStr">
        <is>
          <t>R1051676</t>
        </is>
      </c>
      <c r="F2500" s="2" t="n">
        <v>44263</v>
      </c>
      <c r="G2500" s="1" t="n"/>
    </row>
    <row r="2501">
      <c r="A2501" s="6" t="n">
        <v>53217</v>
      </c>
      <c r="B2501" s="6" t="inlineStr">
        <is>
          <t>PAUL MASSON GRANDE AMBER BRANDY</t>
        </is>
      </c>
      <c r="C2501" s="7">
        <f>VLOOKUP(A2501,SizeData!A$2:B$3839,2,FALSE)</f>
        <v/>
      </c>
      <c r="D2501" s="6" t="n">
        <v>1</v>
      </c>
      <c r="E2501" s="6" t="inlineStr">
        <is>
          <t>R1150887</t>
        </is>
      </c>
      <c r="F2501" s="2" t="n">
        <v>44366</v>
      </c>
      <c r="G2501" s="1" t="n"/>
    </row>
    <row r="2502">
      <c r="A2502" s="6" t="n">
        <v>53217</v>
      </c>
      <c r="B2502" s="6" t="inlineStr">
        <is>
          <t>PAUL MASSON GRANDE AMBER BRANDY</t>
        </is>
      </c>
      <c r="C2502" s="7">
        <f>VLOOKUP(A2502,SizeData!A$2:B$3839,2,FALSE)</f>
        <v/>
      </c>
      <c r="D2502" s="6" t="n">
        <v>1</v>
      </c>
      <c r="E2502" s="6" t="inlineStr">
        <is>
          <t>R1161479</t>
        </is>
      </c>
      <c r="F2502" s="2" t="n">
        <v>44373</v>
      </c>
      <c r="G2502" s="1" t="n"/>
    </row>
    <row r="2503">
      <c r="A2503" s="6" t="n">
        <v>53217</v>
      </c>
      <c r="B2503" s="6" t="inlineStr">
        <is>
          <t>PAUL MASSON GRANDE AMBER BRANDY</t>
        </is>
      </c>
      <c r="C2503" s="7">
        <f>VLOOKUP(A2503,SizeData!A$2:B$3839,2,FALSE)</f>
        <v/>
      </c>
      <c r="D2503" s="6" t="n">
        <v>1</v>
      </c>
      <c r="E2503" s="6" t="inlineStr">
        <is>
          <t>R1166959</t>
        </is>
      </c>
      <c r="F2503" s="2" t="n">
        <v>44380</v>
      </c>
      <c r="G2503" s="1" t="n"/>
    </row>
    <row r="2504">
      <c r="A2504" s="6" t="n">
        <v>53217</v>
      </c>
      <c r="B2504" s="6" t="inlineStr">
        <is>
          <t>PAUL MASSON GRANDE AMBER BRANDY</t>
        </is>
      </c>
      <c r="C2504" s="7">
        <f>VLOOKUP(A2504,SizeData!A$2:B$3839,2,FALSE)</f>
        <v/>
      </c>
      <c r="D2504" s="6" t="n">
        <v>1</v>
      </c>
      <c r="E2504" s="6" t="inlineStr">
        <is>
          <t>R1163865</t>
        </is>
      </c>
      <c r="F2504" s="2" t="n">
        <v>44384</v>
      </c>
      <c r="G2504" s="6" t="n"/>
    </row>
    <row r="2505">
      <c r="A2505" s="6" t="n">
        <v>53217</v>
      </c>
      <c r="B2505" s="6" t="inlineStr">
        <is>
          <t>PAUL MASSON GRANDE AMBER BRANDY</t>
        </is>
      </c>
      <c r="C2505" s="7">
        <f>VLOOKUP(A2505,SizeData!A$2:B$3839,2,FALSE)</f>
        <v/>
      </c>
      <c r="D2505" s="6" t="n">
        <v>1</v>
      </c>
      <c r="E2505" s="6" t="inlineStr">
        <is>
          <t>R1175838</t>
        </is>
      </c>
      <c r="F2505" s="2" t="n">
        <v>44389</v>
      </c>
      <c r="G2505" s="1" t="n"/>
    </row>
    <row r="2506">
      <c r="A2506" s="6" t="n">
        <v>53217</v>
      </c>
      <c r="B2506" s="6" t="inlineStr">
        <is>
          <t>PAUL MASSON GRANDE AMBER BRANDY</t>
        </is>
      </c>
      <c r="C2506" s="7">
        <f>VLOOKUP(A2506,SizeData!A$2:B$3839,2,FALSE)</f>
        <v/>
      </c>
      <c r="D2506" s="6" t="n">
        <v>1</v>
      </c>
      <c r="E2506" s="6" t="inlineStr">
        <is>
          <t>R1187907</t>
        </is>
      </c>
      <c r="F2506" s="2" t="n">
        <v>44401</v>
      </c>
      <c r="G2506" s="1" t="n"/>
    </row>
    <row r="2507">
      <c r="A2507" s="6" t="n">
        <v>53217</v>
      </c>
      <c r="B2507" s="6" t="inlineStr">
        <is>
          <t>PAUL MASSON GRANDE AMBER BRANDY</t>
        </is>
      </c>
      <c r="C2507" s="7">
        <f>VLOOKUP(A2507,SizeData!A$2:B$3839,2,FALSE)</f>
        <v/>
      </c>
      <c r="D2507" s="6" t="n">
        <v>1</v>
      </c>
      <c r="E2507" s="6" t="inlineStr">
        <is>
          <t>R1205285</t>
        </is>
      </c>
      <c r="F2507" s="2" t="n">
        <v>44414</v>
      </c>
      <c r="G2507" s="1" t="n"/>
    </row>
    <row r="2508">
      <c r="A2508" s="6" t="n">
        <v>53217</v>
      </c>
      <c r="B2508" s="6" t="inlineStr">
        <is>
          <t>PAUL MASSON GRANDE AMBER BRANDY</t>
        </is>
      </c>
      <c r="C2508" s="7">
        <f>VLOOKUP(A2508,SizeData!A$2:B$3839,2,FALSE)</f>
        <v/>
      </c>
      <c r="D2508" s="6" t="n">
        <v>1</v>
      </c>
      <c r="E2508" s="6" t="inlineStr">
        <is>
          <t>R1204006</t>
        </is>
      </c>
      <c r="F2508" s="2" t="n">
        <v>44415</v>
      </c>
      <c r="G2508" s="1" t="n"/>
    </row>
    <row r="2509">
      <c r="A2509" s="6" t="n">
        <v>53217</v>
      </c>
      <c r="B2509" s="6" t="inlineStr">
        <is>
          <t>PAUL MASSON GRANDE AMBER BRANDY</t>
        </is>
      </c>
      <c r="C2509" s="7">
        <f>VLOOKUP(A2509,SizeData!A$2:B$3839,2,FALSE)</f>
        <v/>
      </c>
      <c r="D2509" s="6" t="n">
        <v>1</v>
      </c>
      <c r="E2509" s="6" t="inlineStr">
        <is>
          <t>R1236179</t>
        </is>
      </c>
      <c r="F2509" s="2" t="n">
        <v>44443</v>
      </c>
      <c r="G2509" s="1" t="n"/>
    </row>
    <row r="2510">
      <c r="A2510" s="6" t="n">
        <v>53217</v>
      </c>
      <c r="B2510" s="6" t="inlineStr">
        <is>
          <t>PAUL MASSON GRANDE AMBER BRANDY</t>
        </is>
      </c>
      <c r="C2510" s="7">
        <f>VLOOKUP(A2510,SizeData!A$2:B$3839,2,FALSE)</f>
        <v/>
      </c>
      <c r="D2510" s="6" t="n">
        <v>1</v>
      </c>
      <c r="E2510" s="6" t="inlineStr">
        <is>
          <t>R1234926</t>
        </is>
      </c>
      <c r="F2510" s="2" t="n">
        <v>44448</v>
      </c>
      <c r="G2510" s="1" t="n"/>
    </row>
    <row r="2511">
      <c r="A2511" s="6" t="n">
        <v>53217</v>
      </c>
      <c r="B2511" s="6" t="inlineStr">
        <is>
          <t>PAUL MASSON GRANDE AMBER BRANDY</t>
        </is>
      </c>
      <c r="C2511" s="7">
        <f>VLOOKUP(A2511,SizeData!A$2:B$3839,2,FALSE)</f>
        <v/>
      </c>
      <c r="D2511" s="6" t="n">
        <v>2</v>
      </c>
      <c r="E2511" s="6" t="inlineStr">
        <is>
          <t>R1241985</t>
        </is>
      </c>
      <c r="F2511" s="2" t="n">
        <v>44450</v>
      </c>
      <c r="G2511" s="1" t="n"/>
    </row>
    <row r="2512">
      <c r="A2512" s="6" t="n">
        <v>53217</v>
      </c>
      <c r="B2512" s="6" t="inlineStr">
        <is>
          <t>PAUL MASSON GRANDE AMBER BRANDY</t>
        </is>
      </c>
      <c r="C2512" s="7">
        <f>VLOOKUP(A2512,SizeData!A$2:B$3839,2,FALSE)</f>
        <v/>
      </c>
      <c r="D2512" s="6" t="n">
        <v>1</v>
      </c>
      <c r="E2512" s="6" t="inlineStr">
        <is>
          <t>R1242196</t>
        </is>
      </c>
      <c r="F2512" s="2" t="n">
        <v>44456</v>
      </c>
      <c r="G2512" s="1" t="n"/>
    </row>
    <row r="2513">
      <c r="A2513" s="6" t="n">
        <v>53217</v>
      </c>
      <c r="B2513" s="6" t="inlineStr">
        <is>
          <t>PAUL MASSON GRANDE AMBER BRANDY</t>
        </is>
      </c>
      <c r="C2513" s="7">
        <f>VLOOKUP(A2513,SizeData!A$2:B$3839,2,FALSE)</f>
        <v/>
      </c>
      <c r="D2513" s="6" t="n">
        <v>3</v>
      </c>
      <c r="E2513" s="6" t="inlineStr">
        <is>
          <t>R1275922</t>
        </is>
      </c>
      <c r="F2513" s="2" t="n">
        <v>44474</v>
      </c>
      <c r="G2513" s="1" t="n"/>
    </row>
    <row r="2514">
      <c r="A2514" s="31" t="n">
        <v>53217</v>
      </c>
      <c r="B2514" s="31" t="inlineStr">
        <is>
          <t>PAUL MASSON GRANDE AMBER BRANDY</t>
        </is>
      </c>
      <c r="C2514" s="7">
        <f>VLOOKUP(A2514,SizeData!A$2:B$3839,2,FALSE)</f>
        <v/>
      </c>
      <c r="D2514" s="31" t="n">
        <v>5</v>
      </c>
      <c r="E2514" s="31" t="inlineStr">
        <is>
          <t>R1269183</t>
        </is>
      </c>
      <c r="F2514" s="33" t="n">
        <v>44482</v>
      </c>
      <c r="G2514" s="34" t="n"/>
    </row>
    <row r="2515">
      <c r="A2515" s="6" t="n">
        <v>53217</v>
      </c>
      <c r="B2515" s="6" t="inlineStr">
        <is>
          <t>PAUL MASSON GRANDE AMBER BRANDY</t>
        </is>
      </c>
      <c r="C2515" s="7">
        <f>VLOOKUP(A2515,SizeData!A$2:B$3839,2,FALSE)</f>
        <v/>
      </c>
      <c r="D2515" s="6" t="n">
        <v>2</v>
      </c>
      <c r="E2515" s="6" t="inlineStr">
        <is>
          <t>R1360134</t>
        </is>
      </c>
      <c r="F2515" s="2" t="n">
        <v>44532</v>
      </c>
      <c r="G2515" s="1" t="n"/>
    </row>
    <row r="2516">
      <c r="A2516" s="6" t="n">
        <v>53218</v>
      </c>
      <c r="B2516" s="6" t="inlineStr">
        <is>
          <t>PAUL MASSON GRANDE AMBER BRANDY</t>
        </is>
      </c>
      <c r="C2516" s="7">
        <f>VLOOKUP(A2516,SizeData!A$2:B$3839,2,FALSE)</f>
        <v/>
      </c>
      <c r="D2516" s="6" t="n">
        <v>10</v>
      </c>
      <c r="E2516" s="6" t="inlineStr">
        <is>
          <t>R1042481</t>
        </is>
      </c>
      <c r="F2516" s="2" t="n">
        <v>44258</v>
      </c>
      <c r="G2516" s="1" t="n"/>
    </row>
    <row r="2517">
      <c r="A2517" s="6" t="n">
        <v>53218</v>
      </c>
      <c r="B2517" s="6" t="inlineStr">
        <is>
          <t>PAUL MASSON GRANDE AMBER BRANDY</t>
        </is>
      </c>
      <c r="C2517" s="7">
        <f>VLOOKUP(A2517,SizeData!A$2:B$3839,2,FALSE)</f>
        <v/>
      </c>
      <c r="D2517" s="6" t="n">
        <v>10</v>
      </c>
      <c r="E2517" s="6" t="inlineStr">
        <is>
          <t>R1051676</t>
        </is>
      </c>
      <c r="F2517" s="2" t="n">
        <v>44263</v>
      </c>
      <c r="G2517" s="1" t="n"/>
    </row>
    <row r="2518">
      <c r="A2518" s="6" t="n">
        <v>53218</v>
      </c>
      <c r="B2518" s="6" t="inlineStr">
        <is>
          <t>PAUL MASSON GRANDE AMBER BRANDY</t>
        </is>
      </c>
      <c r="C2518" s="7">
        <f>VLOOKUP(A2518,SizeData!A$2:B$3839,2,FALSE)</f>
        <v/>
      </c>
      <c r="D2518" s="6" t="n">
        <v>10</v>
      </c>
      <c r="E2518" s="6" t="inlineStr">
        <is>
          <t>R1076695</t>
        </is>
      </c>
      <c r="F2518" s="2" t="n">
        <v>44291</v>
      </c>
      <c r="G2518" s="1" t="n"/>
    </row>
    <row r="2519">
      <c r="A2519" s="6" t="n">
        <v>53218</v>
      </c>
      <c r="B2519" s="6" t="inlineStr">
        <is>
          <t>PAUL MASSON GRANDE AMBER BRANDY</t>
        </is>
      </c>
      <c r="C2519" s="7">
        <f>VLOOKUP(A2519,SizeData!A$2:B$3839,2,FALSE)</f>
        <v/>
      </c>
      <c r="D2519" s="6" t="n">
        <v>10</v>
      </c>
      <c r="E2519" s="6" t="inlineStr">
        <is>
          <t>R1082535</t>
        </is>
      </c>
      <c r="F2519" s="2" t="n">
        <v>44292</v>
      </c>
      <c r="G2519" s="1" t="n"/>
    </row>
    <row r="2520">
      <c r="A2520" s="6" t="n">
        <v>53218</v>
      </c>
      <c r="B2520" s="6" t="inlineStr">
        <is>
          <t>PAUL MASSON GRANDE AMBER BRANDY</t>
        </is>
      </c>
      <c r="C2520" s="7">
        <f>VLOOKUP(A2520,SizeData!A$2:B$3839,2,FALSE)</f>
        <v/>
      </c>
      <c r="D2520" s="6" t="n">
        <v>5</v>
      </c>
      <c r="E2520" s="6" t="inlineStr">
        <is>
          <t>R1269323</t>
        </is>
      </c>
      <c r="F2520" s="2" t="n">
        <v>44474</v>
      </c>
      <c r="G2520" s="1" t="n"/>
    </row>
    <row r="2521">
      <c r="A2521" s="6" t="n">
        <v>53218</v>
      </c>
      <c r="B2521" s="6" t="inlineStr">
        <is>
          <t>PAUL MASSON GRANDE AMBER BRANDY</t>
        </is>
      </c>
      <c r="C2521" s="7">
        <f>VLOOKUP(A2521,SizeData!A$2:B$3839,2,FALSE)</f>
        <v/>
      </c>
      <c r="D2521" s="6" t="n">
        <v>1</v>
      </c>
      <c r="E2521" s="6" t="inlineStr">
        <is>
          <t>R1285811</t>
        </is>
      </c>
      <c r="F2521" s="2" t="n">
        <v>44474</v>
      </c>
      <c r="G2521" s="1" t="n"/>
    </row>
    <row r="2522">
      <c r="A2522" s="6" t="n">
        <v>53218</v>
      </c>
      <c r="B2522" s="6" t="inlineStr">
        <is>
          <t>PAUL MASSON GRANDE AMBER BRANDY</t>
        </is>
      </c>
      <c r="C2522" s="7">
        <f>VLOOKUP(A2522,SizeData!A$2:B$3839,2,FALSE)</f>
        <v/>
      </c>
      <c r="D2522" s="6" t="n">
        <v>11</v>
      </c>
      <c r="E2522" s="6" t="inlineStr">
        <is>
          <t>R1300187</t>
        </is>
      </c>
      <c r="F2522" s="2" t="n">
        <v>44494</v>
      </c>
      <c r="G2522" s="1" t="n"/>
    </row>
    <row r="2523">
      <c r="A2523" s="6" t="n">
        <v>56194</v>
      </c>
      <c r="B2523" s="6" t="inlineStr">
        <is>
          <t>PAUL MASSON PEACH GRAND AMBER BRANDY</t>
        </is>
      </c>
      <c r="C2523" s="7">
        <f>VLOOKUP(A2523,SizeData!A$2:B$3839,2,FALSE)</f>
        <v/>
      </c>
      <c r="D2523" s="6" t="n">
        <v>1</v>
      </c>
      <c r="E2523" s="6" t="inlineStr">
        <is>
          <t>R1091962</t>
        </is>
      </c>
      <c r="F2523" s="2" t="n">
        <v>44295</v>
      </c>
      <c r="G2523" s="1" t="n"/>
    </row>
    <row r="2524">
      <c r="A2524" s="6" t="n">
        <v>56194</v>
      </c>
      <c r="B2524" s="6" t="inlineStr">
        <is>
          <t>PAUL MASSON PEACH GRAND AMBER BRANDY</t>
        </is>
      </c>
      <c r="C2524" s="7">
        <f>VLOOKUP(A2524,SizeData!A$2:B$3839,2,FALSE)</f>
        <v/>
      </c>
      <c r="D2524" s="6" t="n">
        <v>1</v>
      </c>
      <c r="E2524" s="6" t="inlineStr">
        <is>
          <t>R1224208</t>
        </is>
      </c>
      <c r="F2524" s="2" t="n">
        <v>44436</v>
      </c>
      <c r="G2524" s="1" t="n"/>
    </row>
    <row r="2525">
      <c r="A2525" s="6" t="n">
        <v>56195</v>
      </c>
      <c r="B2525" s="6" t="inlineStr">
        <is>
          <t>PAUL MASSON PEACH GRAND AMBER BRANDY</t>
        </is>
      </c>
      <c r="C2525" s="7">
        <f>VLOOKUP(A2525,SizeData!A$2:B$3839,2,FALSE)</f>
        <v/>
      </c>
      <c r="D2525" s="6" t="n">
        <v>1</v>
      </c>
      <c r="E2525" s="6" t="inlineStr">
        <is>
          <t>R1070393</t>
        </is>
      </c>
      <c r="F2525" s="2" t="n">
        <v>44280</v>
      </c>
      <c r="G2525" s="1" t="n"/>
    </row>
    <row r="2526">
      <c r="A2526" s="6" t="n">
        <v>56195</v>
      </c>
      <c r="B2526" s="6" t="inlineStr">
        <is>
          <t>PAUL MASSON PEACH GRAND AMBER BRANDY</t>
        </is>
      </c>
      <c r="C2526" s="7">
        <f>VLOOKUP(A2526,SizeData!A$2:B$3839,2,FALSE)</f>
        <v/>
      </c>
      <c r="D2526" s="6" t="n">
        <v>1</v>
      </c>
      <c r="E2526" s="6" t="inlineStr">
        <is>
          <t>R1160852</t>
        </is>
      </c>
      <c r="F2526" s="2" t="n">
        <v>44366</v>
      </c>
      <c r="G2526" s="1" t="n"/>
    </row>
    <row r="2527">
      <c r="A2527" s="6" t="n">
        <v>56195</v>
      </c>
      <c r="B2527" s="6" t="inlineStr">
        <is>
          <t>PAUL MASSON PEACH GRAND AMBER BRANDY</t>
        </is>
      </c>
      <c r="C2527" s="7">
        <f>VLOOKUP(A2527,SizeData!A$2:B$3839,2,FALSE)</f>
        <v/>
      </c>
      <c r="D2527" s="6" t="n">
        <v>1</v>
      </c>
      <c r="E2527" s="6" t="inlineStr">
        <is>
          <t>R1246630</t>
        </is>
      </c>
      <c r="F2527" s="2" t="n">
        <v>44450</v>
      </c>
      <c r="G2527" s="1" t="n"/>
    </row>
    <row r="2528">
      <c r="A2528" s="6" t="n">
        <v>56196</v>
      </c>
      <c r="B2528" s="6" t="inlineStr">
        <is>
          <t>PAUL MASSON PEACH GRAND AMBER BRANDY</t>
        </is>
      </c>
      <c r="C2528" s="7">
        <f>VLOOKUP(A2528,SizeData!A$2:B$3839,2,FALSE)</f>
        <v/>
      </c>
      <c r="D2528" s="6" t="n">
        <v>3</v>
      </c>
      <c r="E2528" s="6" t="inlineStr">
        <is>
          <t>R1027826</t>
        </is>
      </c>
      <c r="F2528" s="2" t="n">
        <v>44229</v>
      </c>
      <c r="G2528" s="1" t="n"/>
    </row>
    <row r="2529">
      <c r="A2529" s="6" t="n">
        <v>56196</v>
      </c>
      <c r="B2529" s="6" t="inlineStr">
        <is>
          <t>PAUL MASSON PEACH GRAND AMBER BRANDY</t>
        </is>
      </c>
      <c r="C2529" s="7">
        <f>VLOOKUP(A2529,SizeData!A$2:B$3839,2,FALSE)</f>
        <v/>
      </c>
      <c r="D2529" s="6" t="n">
        <v>4</v>
      </c>
      <c r="E2529" s="6" t="inlineStr">
        <is>
          <t>R1023965</t>
        </is>
      </c>
      <c r="F2529" s="2" t="n">
        <v>44246</v>
      </c>
      <c r="G2529" s="1" t="n"/>
    </row>
    <row r="2530">
      <c r="A2530" s="6" t="n">
        <v>56196</v>
      </c>
      <c r="B2530" s="6" t="inlineStr">
        <is>
          <t>PAUL MASSON PEACH GRAND AMBER BRANDY</t>
        </is>
      </c>
      <c r="C2530" s="7">
        <f>VLOOKUP(A2530,SizeData!A$2:B$3839,2,FALSE)</f>
        <v/>
      </c>
      <c r="D2530" s="6" t="n">
        <v>2</v>
      </c>
      <c r="E2530" s="6" t="inlineStr">
        <is>
          <t>R1053588</t>
        </is>
      </c>
      <c r="F2530" s="2" t="n">
        <v>44278</v>
      </c>
      <c r="G2530" s="1" t="n"/>
    </row>
    <row r="2531">
      <c r="A2531" s="6" t="n">
        <v>56196</v>
      </c>
      <c r="B2531" s="6" t="inlineStr">
        <is>
          <t>PAUL MASSON PEACH GRAND AMBER BRANDY</t>
        </is>
      </c>
      <c r="C2531" s="7">
        <f>VLOOKUP(A2531,SizeData!A$2:B$3839,2,FALSE)</f>
        <v/>
      </c>
      <c r="D2531" s="6" t="n">
        <v>1</v>
      </c>
      <c r="E2531" s="6" t="inlineStr">
        <is>
          <t>R1119203</t>
        </is>
      </c>
      <c r="F2531" s="2" t="n">
        <v>44327</v>
      </c>
      <c r="G2531" s="1" t="n"/>
    </row>
    <row r="2532">
      <c r="A2532" s="6" t="n">
        <v>56196</v>
      </c>
      <c r="B2532" s="6" t="inlineStr">
        <is>
          <t>PAUL MASSON PEACH GRAND AMBER BRANDY</t>
        </is>
      </c>
      <c r="C2532" s="7">
        <f>VLOOKUP(A2532,SizeData!A$2:B$3839,2,FALSE)</f>
        <v/>
      </c>
      <c r="D2532" s="6" t="n">
        <v>1</v>
      </c>
      <c r="E2532" s="6" t="inlineStr">
        <is>
          <t>R1124382</t>
        </is>
      </c>
      <c r="F2532" s="2" t="n">
        <v>44347</v>
      </c>
      <c r="G2532" s="1" t="n"/>
    </row>
    <row r="2533">
      <c r="A2533" s="6" t="n">
        <v>56196</v>
      </c>
      <c r="B2533" s="6" t="inlineStr">
        <is>
          <t>PAUL MASSON PEACH GRAND AMBER BRANDY</t>
        </is>
      </c>
      <c r="C2533" s="7">
        <f>VLOOKUP(A2533,SizeData!A$2:B$3839,2,FALSE)</f>
        <v/>
      </c>
      <c r="D2533" s="6" t="n">
        <v>1</v>
      </c>
      <c r="E2533" s="6" t="inlineStr">
        <is>
          <t xml:space="preserve"> R1150892</t>
        </is>
      </c>
      <c r="F2533" s="2" t="n">
        <v>44368</v>
      </c>
      <c r="G2533" s="1" t="n"/>
    </row>
    <row r="2534">
      <c r="A2534" s="6" t="n">
        <v>56196</v>
      </c>
      <c r="B2534" s="6" t="inlineStr">
        <is>
          <t>PAUL MASSON PEACH GRAND AMBER BRANDY</t>
        </is>
      </c>
      <c r="C2534" s="7">
        <f>VLOOKUP(A2534,SizeData!A$2:B$3839,2,FALSE)</f>
        <v/>
      </c>
      <c r="D2534" s="6" t="n">
        <v>1</v>
      </c>
      <c r="E2534" s="6" t="inlineStr">
        <is>
          <t>R1154324</t>
        </is>
      </c>
      <c r="F2534" s="2" t="n">
        <v>44378</v>
      </c>
      <c r="G2534" s="1" t="n"/>
    </row>
    <row r="2535">
      <c r="A2535" s="6" t="n">
        <v>56196</v>
      </c>
      <c r="B2535" s="6" t="inlineStr">
        <is>
          <t>PAUL MASSON PEACH GRAND AMBER BRANDY</t>
        </is>
      </c>
      <c r="C2535" s="7">
        <f>VLOOKUP(A2535,SizeData!A$2:B$3839,2,FALSE)</f>
        <v/>
      </c>
      <c r="D2535" s="6" t="n">
        <v>1</v>
      </c>
      <c r="E2535" s="6" t="inlineStr">
        <is>
          <t>R1171618</t>
        </is>
      </c>
      <c r="F2535" s="2" t="n">
        <v>44380</v>
      </c>
      <c r="G2535" s="1" t="n"/>
    </row>
    <row r="2536">
      <c r="A2536" s="6" t="n">
        <v>56196</v>
      </c>
      <c r="B2536" s="6" t="inlineStr">
        <is>
          <t>PAUL MASSON PEACH GRAND AMBER BRANDY</t>
        </is>
      </c>
      <c r="C2536" s="7">
        <f>VLOOKUP(A2536,SizeData!A$2:B$3839,2,FALSE)</f>
        <v/>
      </c>
      <c r="D2536" s="6" t="n">
        <v>4</v>
      </c>
      <c r="E2536" s="6" t="inlineStr">
        <is>
          <t>R1171117</t>
        </is>
      </c>
      <c r="F2536" s="2" t="n">
        <v>44382</v>
      </c>
      <c r="G2536" s="1" t="n"/>
    </row>
    <row r="2537">
      <c r="A2537" s="6" t="n">
        <v>56196</v>
      </c>
      <c r="B2537" s="6" t="inlineStr">
        <is>
          <t>PAUL MASSON PEACH GRAND AMBER BRANDY</t>
        </is>
      </c>
      <c r="C2537" s="7">
        <f>VLOOKUP(A2537,SizeData!A$2:B$3839,2,FALSE)</f>
        <v/>
      </c>
      <c r="D2537" s="6" t="n">
        <v>6</v>
      </c>
      <c r="E2537" s="6" t="inlineStr">
        <is>
          <t>R1170994</t>
        </is>
      </c>
      <c r="F2537" s="2" t="n">
        <v>44394</v>
      </c>
      <c r="G2537" s="1" t="n"/>
    </row>
    <row r="2538">
      <c r="A2538" s="6" t="n">
        <v>56768</v>
      </c>
      <c r="B2538" s="6" t="inlineStr">
        <is>
          <t>PAUL MASSON MANGO GRANDE AMBER BRANDY</t>
        </is>
      </c>
      <c r="C2538" s="7">
        <f>VLOOKUP(A2538,SizeData!A$2:B$3839,2,FALSE)</f>
        <v/>
      </c>
      <c r="D2538" s="6" t="n">
        <v>2</v>
      </c>
      <c r="E2538" s="6" t="inlineStr">
        <is>
          <t xml:space="preserve"> R1182859</t>
        </is>
      </c>
      <c r="F2538" s="2" t="n">
        <v>44404</v>
      </c>
      <c r="G2538" s="1" t="n"/>
    </row>
    <row r="2539">
      <c r="A2539" s="6" t="n">
        <v>56768</v>
      </c>
      <c r="B2539" s="6" t="inlineStr">
        <is>
          <t>PAUL MASSON MANGO GRANDE AMBER BRANDY</t>
        </is>
      </c>
      <c r="C2539" s="7">
        <f>VLOOKUP(A2539,SizeData!A$2:B$3839,2,FALSE)</f>
        <v/>
      </c>
      <c r="D2539" s="6" t="n">
        <v>2</v>
      </c>
      <c r="E2539" s="6" t="inlineStr">
        <is>
          <t>R1366620</t>
        </is>
      </c>
      <c r="F2539" s="2" t="n">
        <v>44539</v>
      </c>
      <c r="G2539" s="1" t="n"/>
    </row>
    <row r="2540">
      <c r="A2540" s="6" t="n">
        <v>56793</v>
      </c>
      <c r="B2540" s="6" t="inlineStr">
        <is>
          <t>PAUL MASSON APPLE GRAND AMBER BRANDY</t>
        </is>
      </c>
      <c r="C2540" s="7">
        <f>VLOOKUP(A2540,SizeData!A$2:B$3839,2,FALSE)</f>
        <v/>
      </c>
      <c r="D2540" s="6" t="n">
        <v>1</v>
      </c>
      <c r="E2540" s="6" t="inlineStr">
        <is>
          <t>R1042481</t>
        </is>
      </c>
      <c r="F2540" s="2" t="n">
        <v>44258</v>
      </c>
      <c r="G2540" s="1" t="n"/>
    </row>
    <row r="2541">
      <c r="A2541" s="6" t="n">
        <v>56793</v>
      </c>
      <c r="B2541" s="6" t="inlineStr">
        <is>
          <t>PAUL MASSON APPLE GRAND AMBER BRANDY</t>
        </is>
      </c>
      <c r="C2541" s="7">
        <f>VLOOKUP(A2541,SizeData!A$2:B$3839,2,FALSE)</f>
        <v/>
      </c>
      <c r="D2541" s="6" t="n">
        <v>1</v>
      </c>
      <c r="E2541" s="6" t="inlineStr">
        <is>
          <t>R1116842</t>
        </is>
      </c>
      <c r="F2541" s="2" t="n">
        <v>44324</v>
      </c>
      <c r="G2541" s="1" t="n"/>
    </row>
    <row r="2542">
      <c r="A2542" s="6" t="n">
        <v>56793</v>
      </c>
      <c r="B2542" s="6" t="inlineStr">
        <is>
          <t>PAUL MASSON APPLE GRAND AMBER BRANDY</t>
        </is>
      </c>
      <c r="C2542" s="7">
        <f>VLOOKUP(A2542,SizeData!A$2:B$3839,2,FALSE)</f>
        <v/>
      </c>
      <c r="D2542" s="6" t="n">
        <v>2</v>
      </c>
      <c r="E2542" s="6" t="inlineStr">
        <is>
          <t>R1360134</t>
        </is>
      </c>
      <c r="F2542" s="2" t="n">
        <v>44532</v>
      </c>
      <c r="G2542" s="1" t="n"/>
    </row>
    <row r="2543">
      <c r="A2543" s="6" t="n">
        <v>56798</v>
      </c>
      <c r="B2543" s="6" t="inlineStr">
        <is>
          <t>PAUL MASSON PINEAPPLE GRAND AMBER BRANDY</t>
        </is>
      </c>
      <c r="C2543" s="7">
        <f>VLOOKUP(A2543,SizeData!A$2:B$3839,2,FALSE)</f>
        <v/>
      </c>
      <c r="D2543" s="6" t="n">
        <v>2</v>
      </c>
      <c r="E2543" s="6" t="inlineStr">
        <is>
          <t>R1047903</t>
        </is>
      </c>
      <c r="F2543" s="2" t="n">
        <v>44257</v>
      </c>
      <c r="G2543" s="1" t="n"/>
    </row>
    <row r="2544">
      <c r="A2544" s="6" t="n">
        <v>56798</v>
      </c>
      <c r="B2544" s="6" t="inlineStr">
        <is>
          <t>PAUL MASSON PINEAPPLE GRAND AMBER BRANDY</t>
        </is>
      </c>
      <c r="C2544" s="7">
        <f>VLOOKUP(A2544,SizeData!A$2:B$3839,2,FALSE)</f>
        <v/>
      </c>
      <c r="D2544" s="6" t="n">
        <v>1</v>
      </c>
      <c r="E2544" s="6" t="inlineStr">
        <is>
          <t>R1166959</t>
        </is>
      </c>
      <c r="F2544" s="2" t="n">
        <v>44380</v>
      </c>
      <c r="G2544" s="1" t="n"/>
    </row>
    <row r="2545">
      <c r="A2545" s="6" t="n">
        <v>56798</v>
      </c>
      <c r="B2545" s="6" t="inlineStr">
        <is>
          <t>PAUL MASSON PINEAPPLE GRAND AMBER BRANDY</t>
        </is>
      </c>
      <c r="C2545" s="7">
        <f>VLOOKUP(A2545,SizeData!A$2:B$3839,2,FALSE)</f>
        <v/>
      </c>
      <c r="D2545" s="6" t="n">
        <v>1</v>
      </c>
      <c r="E2545" s="6" t="inlineStr">
        <is>
          <t>R1170994</t>
        </is>
      </c>
      <c r="F2545" s="2" t="n">
        <v>44394</v>
      </c>
      <c r="G2545" s="1" t="n"/>
    </row>
    <row r="2546">
      <c r="A2546" s="6" t="n">
        <v>56798</v>
      </c>
      <c r="B2546" s="6" t="inlineStr">
        <is>
          <t>PAUL MASSON PINEAPPLE GRAND AMBER BRANDY</t>
        </is>
      </c>
      <c r="C2546" s="7">
        <f>VLOOKUP(A2546,SizeData!A$2:B$3839,2,FALSE)</f>
        <v/>
      </c>
      <c r="D2546" s="6" t="n">
        <v>2</v>
      </c>
      <c r="E2546" s="6" t="inlineStr">
        <is>
          <t>R1189620</t>
        </is>
      </c>
      <c r="F2546" s="2" t="n">
        <v>44408</v>
      </c>
      <c r="G2546" s="1" t="n"/>
    </row>
    <row r="2547">
      <c r="A2547" s="6" t="n">
        <v>56798</v>
      </c>
      <c r="B2547" s="6" t="inlineStr">
        <is>
          <t>PAUL MASSON PINEAPPLE GRAND AMBER BRANDY</t>
        </is>
      </c>
      <c r="C2547" s="7">
        <f>VLOOKUP(A2547,SizeData!A$2:B$3839,2,FALSE)</f>
        <v/>
      </c>
      <c r="D2547" s="6" t="n">
        <v>2</v>
      </c>
      <c r="E2547" s="6" t="inlineStr">
        <is>
          <t>R1360134</t>
        </is>
      </c>
      <c r="F2547" s="2" t="n">
        <v>44532</v>
      </c>
      <c r="G2547" s="1" t="n"/>
    </row>
    <row r="2548">
      <c r="A2548" s="6" t="n">
        <v>56805</v>
      </c>
      <c r="B2548" s="6" t="inlineStr">
        <is>
          <t>PAUL MASSON RED BERRY GRAN AMBER BRANDY</t>
        </is>
      </c>
      <c r="C2548" s="7">
        <f>VLOOKUP(A2548,SizeData!A$2:B$3839,2,FALSE)</f>
        <v/>
      </c>
      <c r="D2548" s="6" t="n">
        <v>1</v>
      </c>
      <c r="E2548" s="6" t="inlineStr">
        <is>
          <t>R1239565</t>
        </is>
      </c>
      <c r="F2548" s="2" t="n">
        <v>44457</v>
      </c>
      <c r="G2548" s="1" t="n"/>
    </row>
    <row r="2549">
      <c r="A2549" s="6" t="n">
        <v>57037</v>
      </c>
      <c r="B2549" s="6" t="inlineStr">
        <is>
          <t>BUZZBALLZ CHOC TEASE</t>
        </is>
      </c>
      <c r="C2549" s="7">
        <f>VLOOKUP(A2549,SizeData!A$2:B$3839,2,FALSE)</f>
        <v/>
      </c>
      <c r="D2549" s="6" t="n">
        <v>1</v>
      </c>
      <c r="E2549" s="6" t="inlineStr">
        <is>
          <t>R1029839</t>
        </is>
      </c>
      <c r="F2549" s="2" t="n">
        <v>44246</v>
      </c>
      <c r="G2549" s="1" t="n"/>
    </row>
    <row r="2550">
      <c r="A2550" s="6" t="n">
        <v>57037</v>
      </c>
      <c r="B2550" s="6" t="inlineStr">
        <is>
          <t>BUZZBALLZ CHOC TEASE</t>
        </is>
      </c>
      <c r="C2550" s="7">
        <f>VLOOKUP(A2550,SizeData!A$2:B$3839,2,FALSE)</f>
        <v/>
      </c>
      <c r="D2550" s="6" t="n">
        <v>1</v>
      </c>
      <c r="E2550" s="6" t="inlineStr">
        <is>
          <t>R1056544</t>
        </is>
      </c>
      <c r="F2550" s="2" t="n">
        <v>44267</v>
      </c>
      <c r="G2550" s="1" t="n"/>
    </row>
    <row r="2551">
      <c r="A2551" s="6" t="n">
        <v>57037</v>
      </c>
      <c r="B2551" s="6" t="inlineStr">
        <is>
          <t>BUZZBALLZ CHOC TEASE</t>
        </is>
      </c>
      <c r="C2551" s="7">
        <f>VLOOKUP(A2551,SizeData!A$2:B$3839,2,FALSE)</f>
        <v/>
      </c>
      <c r="D2551" s="6" t="n">
        <v>2</v>
      </c>
      <c r="E2551" s="6" t="inlineStr">
        <is>
          <t>R1063144</t>
        </is>
      </c>
      <c r="F2551" s="2" t="n">
        <v>44273</v>
      </c>
      <c r="G2551" s="1" t="n"/>
    </row>
    <row r="2552">
      <c r="A2552" s="6" t="n">
        <v>57037</v>
      </c>
      <c r="B2552" s="6" t="inlineStr">
        <is>
          <t>BUZZBALLZ CHOC TEASE</t>
        </is>
      </c>
      <c r="C2552" s="7">
        <f>VLOOKUP(A2552,SizeData!A$2:B$3839,2,FALSE)</f>
        <v/>
      </c>
      <c r="D2552" s="6" t="n">
        <v>2</v>
      </c>
      <c r="E2552" s="6" t="inlineStr">
        <is>
          <t>R1072906</t>
        </is>
      </c>
      <c r="F2552" s="2" t="n">
        <v>44280</v>
      </c>
      <c r="G2552" s="1" t="n"/>
    </row>
    <row r="2553">
      <c r="A2553" s="6" t="n">
        <v>57037</v>
      </c>
      <c r="B2553" s="6" t="inlineStr">
        <is>
          <t>BUZZBALLZ CHOC TEASE</t>
        </is>
      </c>
      <c r="C2553" s="7">
        <f>VLOOKUP(A2553,SizeData!A$2:B$3839,2,FALSE)</f>
        <v/>
      </c>
      <c r="D2553" s="6" t="n">
        <v>1</v>
      </c>
      <c r="E2553" s="6" t="inlineStr">
        <is>
          <t>R1072840</t>
        </is>
      </c>
      <c r="F2553" s="2" t="n">
        <v>44286</v>
      </c>
      <c r="G2553" s="1" t="n"/>
    </row>
    <row r="2554">
      <c r="A2554" s="6" t="n">
        <v>57037</v>
      </c>
      <c r="B2554" s="6" t="inlineStr">
        <is>
          <t>BUZZBALLZ CHOC TEASE</t>
        </is>
      </c>
      <c r="C2554" s="7">
        <f>VLOOKUP(A2554,SizeData!A$2:B$3839,2,FALSE)</f>
        <v/>
      </c>
      <c r="D2554" s="6" t="n">
        <v>0</v>
      </c>
      <c r="E2554" s="6" t="inlineStr">
        <is>
          <t>R1259983</t>
        </is>
      </c>
      <c r="F2554" s="2" t="n">
        <v>44479</v>
      </c>
      <c r="G2554" s="1" t="n"/>
    </row>
    <row r="2555">
      <c r="A2555" s="6" t="n">
        <v>57049</v>
      </c>
      <c r="B2555" s="6" t="inlineStr">
        <is>
          <t>BARTON LONG ISLAND ICE TEA</t>
        </is>
      </c>
      <c r="C2555" s="7">
        <f>VLOOKUP(A2555,SizeData!A$2:B$3839,2,FALSE)</f>
        <v/>
      </c>
      <c r="D2555" s="6" t="n">
        <v>1</v>
      </c>
      <c r="E2555" s="6" t="inlineStr">
        <is>
          <t>R1040211</t>
        </is>
      </c>
      <c r="F2555" s="2" t="n">
        <v>44229</v>
      </c>
      <c r="G2555" s="1" t="n"/>
    </row>
    <row r="2556">
      <c r="A2556" s="6" t="n">
        <v>57049</v>
      </c>
      <c r="B2556" s="6" t="inlineStr">
        <is>
          <t>BARTON LONG ISLAND ICE TEA</t>
        </is>
      </c>
      <c r="C2556" s="7">
        <f>VLOOKUP(A2556,SizeData!A$2:B$3839,2,FALSE)</f>
        <v/>
      </c>
      <c r="D2556" s="6" t="n">
        <v>1</v>
      </c>
      <c r="E2556" s="6" t="inlineStr">
        <is>
          <t>R1072906</t>
        </is>
      </c>
      <c r="F2556" s="2" t="n">
        <v>44280</v>
      </c>
      <c r="G2556" s="1" t="n"/>
    </row>
    <row r="2557">
      <c r="A2557" s="6" t="n">
        <v>57049</v>
      </c>
      <c r="B2557" s="6" t="inlineStr">
        <is>
          <t>BARTON LONG ISLAND ICE TEA</t>
        </is>
      </c>
      <c r="C2557" s="7">
        <f>VLOOKUP(A2557,SizeData!A$2:B$3839,2,FALSE)</f>
        <v/>
      </c>
      <c r="D2557" s="6" t="n">
        <v>1</v>
      </c>
      <c r="E2557" s="6" t="inlineStr">
        <is>
          <t>R1108436</t>
        </is>
      </c>
      <c r="F2557" s="2" t="n">
        <v>44316</v>
      </c>
      <c r="G2557" s="1" t="n"/>
    </row>
    <row r="2558">
      <c r="A2558" s="6" t="n">
        <v>57049</v>
      </c>
      <c r="B2558" s="6" t="inlineStr">
        <is>
          <t>BARTON LONG ISLAND ICE TEA</t>
        </is>
      </c>
      <c r="C2558" s="7">
        <f>VLOOKUP(A2558,SizeData!A$2:B$3839,2,FALSE)</f>
        <v/>
      </c>
      <c r="D2558" s="6" t="n">
        <v>2</v>
      </c>
      <c r="E2558" s="6" t="inlineStr">
        <is>
          <t>R1206438</t>
        </is>
      </c>
      <c r="F2558" s="2" t="n">
        <v>44417</v>
      </c>
      <c r="G2558" s="1" t="n"/>
    </row>
    <row r="2559">
      <c r="A2559" s="6" t="n">
        <v>57049</v>
      </c>
      <c r="B2559" s="6" t="inlineStr">
        <is>
          <t>BARTON LONG ISLAND ICE TEA</t>
        </is>
      </c>
      <c r="C2559" s="7">
        <f>VLOOKUP(A2559,SizeData!A$2:B$3839,2,FALSE)</f>
        <v/>
      </c>
      <c r="D2559" s="6" t="n">
        <v>2</v>
      </c>
      <c r="E2559" s="6" t="inlineStr">
        <is>
          <t>R1222253</t>
        </is>
      </c>
      <c r="F2559" s="2" t="n">
        <v>44435</v>
      </c>
      <c r="G2559" s="1" t="n"/>
    </row>
    <row r="2560">
      <c r="A2560" s="6" t="n">
        <v>57049</v>
      </c>
      <c r="B2560" s="6" t="inlineStr">
        <is>
          <t>BARTON LONG ISLAND ICE TEA</t>
        </is>
      </c>
      <c r="C2560" s="7">
        <f>VLOOKUP(A2560,SizeData!A$2:B$3839,2,FALSE)</f>
        <v/>
      </c>
      <c r="D2560" s="6" t="n">
        <v>0</v>
      </c>
      <c r="E2560" s="6" t="inlineStr">
        <is>
          <t>R1240644</t>
        </is>
      </c>
      <c r="F2560" s="2" t="n">
        <v>44440</v>
      </c>
      <c r="G2560" s="1" t="n"/>
    </row>
    <row r="2561">
      <c r="A2561" s="6" t="n">
        <v>57049</v>
      </c>
      <c r="B2561" s="6" t="inlineStr">
        <is>
          <t>BARTON LONG ISLAND ICE TEA</t>
        </is>
      </c>
      <c r="C2561" s="7">
        <f>VLOOKUP(A2561,SizeData!A$2:B$3839,2,FALSE)</f>
        <v/>
      </c>
      <c r="D2561" s="6" t="n">
        <v>0</v>
      </c>
      <c r="E2561" s="6" t="inlineStr">
        <is>
          <t>R1239466</t>
        </is>
      </c>
      <c r="F2561" s="2" t="n">
        <v>44454</v>
      </c>
      <c r="G2561" s="1" t="n"/>
    </row>
    <row r="2562">
      <c r="A2562" s="6" t="n">
        <v>57049</v>
      </c>
      <c r="B2562" s="6" t="inlineStr">
        <is>
          <t>BARTON LONG ISLAND ICE TEA</t>
        </is>
      </c>
      <c r="C2562" s="7">
        <f>VLOOKUP(A2562,SizeData!A$2:B$3839,2,FALSE)</f>
        <v/>
      </c>
      <c r="D2562" s="6" t="n">
        <v>0</v>
      </c>
      <c r="E2562" s="6" t="inlineStr">
        <is>
          <t>R1275378</t>
        </is>
      </c>
      <c r="F2562" s="2" t="n">
        <v>44478</v>
      </c>
      <c r="G2562" s="1" t="n"/>
    </row>
    <row r="2563">
      <c r="A2563" s="6" t="n">
        <v>57049</v>
      </c>
      <c r="B2563" s="6" t="inlineStr">
        <is>
          <t>BARTON LONG ISLAND ICE TEA</t>
        </is>
      </c>
      <c r="C2563" s="7">
        <f>VLOOKUP(A2563,SizeData!A$2:B$3839,2,FALSE)</f>
        <v/>
      </c>
      <c r="D2563" s="6" t="n">
        <v>0</v>
      </c>
      <c r="E2563" s="6" t="inlineStr">
        <is>
          <t>R1301804</t>
        </is>
      </c>
      <c r="F2563" s="2" t="n">
        <v>44492</v>
      </c>
      <c r="G2563" s="1" t="n"/>
    </row>
    <row r="2564">
      <c r="A2564" s="6" t="n">
        <v>57049</v>
      </c>
      <c r="B2564" s="6" t="inlineStr">
        <is>
          <t>BARTON LONG ISLAND ICE TEA</t>
        </is>
      </c>
      <c r="C2564" s="7">
        <f>VLOOKUP(A2564,SizeData!A$2:B$3839,2,FALSE)</f>
        <v/>
      </c>
      <c r="D2564" s="6" t="n">
        <v>2</v>
      </c>
      <c r="E2564" s="6" t="inlineStr">
        <is>
          <t>R1353189</t>
        </is>
      </c>
      <c r="F2564" s="2" t="n">
        <v>44539</v>
      </c>
      <c r="G2564" s="1" t="n"/>
    </row>
    <row r="2565">
      <c r="A2565" s="6" t="n">
        <v>57051</v>
      </c>
      <c r="B2565" s="6" t="inlineStr">
        <is>
          <t>BARTON LONG ISLAND ICED TEA</t>
        </is>
      </c>
      <c r="C2565" s="7">
        <f>VLOOKUP(A2565,SizeData!A$2:B$3839,2,FALSE)</f>
        <v/>
      </c>
      <c r="D2565" s="6" t="n">
        <v>1</v>
      </c>
      <c r="E2565" s="6" t="inlineStr">
        <is>
          <t>R993178</t>
        </is>
      </c>
      <c r="F2565" s="2" t="n">
        <v>44218</v>
      </c>
      <c r="G2565" s="1" t="n"/>
    </row>
    <row r="2566">
      <c r="A2566" s="6" t="n">
        <v>57051</v>
      </c>
      <c r="B2566" s="6" t="inlineStr">
        <is>
          <t>BARTON LONG ISLAND ICED TEA</t>
        </is>
      </c>
      <c r="C2566" s="7">
        <f>VLOOKUP(A2566,SizeData!A$2:B$3839,2,FALSE)</f>
        <v/>
      </c>
      <c r="D2566" s="6" t="n">
        <v>1</v>
      </c>
      <c r="E2566" s="6" t="inlineStr">
        <is>
          <t>R1048765</t>
        </is>
      </c>
      <c r="F2566" s="2" t="n">
        <v>44265</v>
      </c>
      <c r="G2566" s="1" t="n"/>
    </row>
    <row r="2567">
      <c r="A2567" s="6" t="n">
        <v>57051</v>
      </c>
      <c r="B2567" s="6" t="inlineStr">
        <is>
          <t>BARTON LONG ISLAND ICED TEA</t>
        </is>
      </c>
      <c r="C2567" s="7">
        <f>VLOOKUP(A2567,SizeData!A$2:B$3839,2,FALSE)</f>
        <v/>
      </c>
      <c r="D2567" s="6" t="n">
        <v>1</v>
      </c>
      <c r="E2567" s="6" t="inlineStr">
        <is>
          <t>R1106414</t>
        </is>
      </c>
      <c r="F2567" s="2" t="n">
        <v>44307</v>
      </c>
      <c r="G2567" s="1" t="n"/>
    </row>
    <row r="2568">
      <c r="A2568" s="6" t="n">
        <v>57051</v>
      </c>
      <c r="B2568" s="6" t="inlineStr">
        <is>
          <t>BARTON LONG ISLAND ICED TEA</t>
        </is>
      </c>
      <c r="C2568" s="7">
        <f>VLOOKUP(A2568,SizeData!A$2:B$3839,2,FALSE)</f>
        <v/>
      </c>
      <c r="D2568" s="6" t="n">
        <v>1</v>
      </c>
      <c r="E2568" s="6" t="inlineStr">
        <is>
          <t>R1132212</t>
        </is>
      </c>
      <c r="F2568" s="2" t="n">
        <v>44342</v>
      </c>
      <c r="G2568" s="1" t="n"/>
    </row>
    <row r="2569">
      <c r="A2569" s="6" t="n">
        <v>57051</v>
      </c>
      <c r="B2569" s="6" t="inlineStr">
        <is>
          <t>BARTON LONG ISLAND ICED TEA</t>
        </is>
      </c>
      <c r="C2569" s="7">
        <f>VLOOKUP(A2569,SizeData!A$2:B$3839,2,FALSE)</f>
        <v/>
      </c>
      <c r="D2569" s="6" t="n">
        <v>2</v>
      </c>
      <c r="E2569" s="6" t="inlineStr">
        <is>
          <t>R1226354</t>
        </is>
      </c>
      <c r="F2569" s="2" t="n">
        <v>44434</v>
      </c>
      <c r="G2569" s="1" t="n"/>
    </row>
    <row r="2570">
      <c r="A2570" s="6" t="n">
        <v>57051</v>
      </c>
      <c r="B2570" s="6" t="inlineStr">
        <is>
          <t>BARTON LONG ISLAND ICED TEA</t>
        </is>
      </c>
      <c r="C2570" s="7">
        <f>VLOOKUP(A2570,SizeData!A$2:B$3839,2,FALSE)</f>
        <v/>
      </c>
      <c r="D2570" s="6" t="n">
        <v>0</v>
      </c>
      <c r="E2570" s="6" t="inlineStr">
        <is>
          <t>R1275278</t>
        </is>
      </c>
      <c r="F2570" s="2" t="n">
        <v>44478</v>
      </c>
      <c r="G2570" s="1" t="n"/>
    </row>
    <row r="2571">
      <c r="A2571" s="6" t="n">
        <v>57051</v>
      </c>
      <c r="B2571" s="6" t="inlineStr">
        <is>
          <t>BARTON LONG ISLAND ICED TEA</t>
        </is>
      </c>
      <c r="C2571" s="7">
        <f>VLOOKUP(A2571,SizeData!A$2:B$3839,2,FALSE)</f>
        <v/>
      </c>
      <c r="D2571" s="6" t="n">
        <v>1</v>
      </c>
      <c r="E2571" s="6" t="inlineStr">
        <is>
          <t>R1301804</t>
        </is>
      </c>
      <c r="F2571" s="2" t="n">
        <v>44492</v>
      </c>
      <c r="G2571" s="1" t="n"/>
    </row>
    <row r="2572">
      <c r="A2572" s="6" t="n">
        <v>57051</v>
      </c>
      <c r="B2572" s="6" t="inlineStr">
        <is>
          <t>BARTON LONG ISLAND ICED TEA</t>
        </is>
      </c>
      <c r="C2572" s="7">
        <f>VLOOKUP(A2572,SizeData!A$2:B$3839,2,FALSE)</f>
        <v/>
      </c>
      <c r="D2572" s="6" t="n">
        <v>0</v>
      </c>
      <c r="E2572" s="6" t="inlineStr">
        <is>
          <t>R1291275</t>
        </is>
      </c>
      <c r="F2572" s="2" t="n">
        <v>44498</v>
      </c>
      <c r="G2572" s="1" t="n"/>
    </row>
    <row r="2573">
      <c r="A2573" s="6" t="n">
        <v>57083</v>
      </c>
      <c r="B2573" s="6" t="inlineStr">
        <is>
          <t>BUZZBALLZ LOTTA COLADA</t>
        </is>
      </c>
      <c r="C2573" s="7">
        <f>VLOOKUP(A2573,SizeData!A$2:B$3839,2,FALSE)</f>
        <v/>
      </c>
      <c r="D2573" s="6" t="n">
        <v>1</v>
      </c>
      <c r="E2573" s="6" t="inlineStr">
        <is>
          <t>R1089290</t>
        </is>
      </c>
      <c r="F2573" s="2" t="n">
        <v>44309</v>
      </c>
      <c r="G2573" s="1" t="n"/>
    </row>
    <row r="2574">
      <c r="A2574" s="6" t="n">
        <v>57095</v>
      </c>
      <c r="B2574" s="6" t="inlineStr">
        <is>
          <t>BUZZBALLZ STRAWBERRY RUM JOB</t>
        </is>
      </c>
      <c r="C2574" s="7">
        <f>VLOOKUP(A2574,SizeData!A$2:B$3839,2,FALSE)</f>
        <v/>
      </c>
      <c r="D2574" s="6" t="n">
        <v>1</v>
      </c>
      <c r="E2574" s="6" t="inlineStr">
        <is>
          <t>R1029839</t>
        </is>
      </c>
      <c r="F2574" s="2" t="n">
        <v>44246</v>
      </c>
      <c r="G2574" s="1" t="n"/>
    </row>
    <row r="2575">
      <c r="A2575" s="6" t="n">
        <v>57095</v>
      </c>
      <c r="B2575" s="6" t="inlineStr">
        <is>
          <t>BUZZBALLZ STRAWBERRY RUM JOB</t>
        </is>
      </c>
      <c r="C2575" s="7">
        <f>VLOOKUP(A2575,SizeData!A$2:B$3839,2,FALSE)</f>
        <v/>
      </c>
      <c r="D2575" s="6" t="n">
        <v>1</v>
      </c>
      <c r="E2575" s="6" t="inlineStr">
        <is>
          <t>R1218514</t>
        </is>
      </c>
      <c r="F2575" s="2" t="n">
        <v>44432</v>
      </c>
      <c r="G2575" s="1" t="n"/>
    </row>
    <row r="2576">
      <c r="A2576" s="6" t="n">
        <v>57095</v>
      </c>
      <c r="B2576" s="6" t="inlineStr">
        <is>
          <t>BUZZBALLZ STRAWBERRY RUM JOB</t>
        </is>
      </c>
      <c r="C2576" s="7">
        <f>VLOOKUP(A2576,SizeData!A$2:B$3839,2,FALSE)</f>
        <v/>
      </c>
      <c r="D2576" s="6" t="n">
        <v>2</v>
      </c>
      <c r="E2576" s="6" t="inlineStr">
        <is>
          <t>R1270963</t>
        </is>
      </c>
      <c r="F2576" s="2" t="n">
        <v>44470</v>
      </c>
      <c r="G2576" s="1" t="n"/>
    </row>
    <row r="2577">
      <c r="A2577" s="6" t="n">
        <v>57095</v>
      </c>
      <c r="B2577" s="6" t="inlineStr">
        <is>
          <t>BUZZBALLZ STRAWBERRY RUM JOB</t>
        </is>
      </c>
      <c r="C2577" s="7">
        <f>VLOOKUP(A2577,SizeData!A$2:B$3839,2,FALSE)</f>
        <v/>
      </c>
      <c r="D2577" s="6" t="n">
        <v>0</v>
      </c>
      <c r="E2577" s="6" t="inlineStr">
        <is>
          <t>R1267252</t>
        </is>
      </c>
      <c r="F2577" s="2" t="n">
        <v>44470</v>
      </c>
      <c r="G2577" s="1" t="n"/>
    </row>
    <row r="2578">
      <c r="A2578" s="6" t="n">
        <v>57095</v>
      </c>
      <c r="B2578" s="6" t="inlineStr">
        <is>
          <t>BUZZBALLZ STRAWBERRY RUM JOB</t>
        </is>
      </c>
      <c r="C2578" s="7">
        <f>VLOOKUP(A2578,SizeData!A$2:B$3839,2,FALSE)</f>
        <v/>
      </c>
      <c r="D2578" s="6" t="n">
        <v>0</v>
      </c>
      <c r="E2578" s="6" t="inlineStr">
        <is>
          <t>R1277647</t>
        </is>
      </c>
      <c r="F2578" s="2" t="n">
        <v>44484</v>
      </c>
      <c r="G2578" s="1" t="n"/>
    </row>
    <row r="2579">
      <c r="A2579" s="6" t="n">
        <v>57095</v>
      </c>
      <c r="B2579" s="6" t="inlineStr">
        <is>
          <t>BUZZBALLZ STRAWBERRY RUM JOB</t>
        </is>
      </c>
      <c r="C2579" s="7">
        <f>VLOOKUP(A2579,SizeData!A$2:B$3839,2,FALSE)</f>
        <v/>
      </c>
      <c r="D2579" s="6" t="n">
        <v>0</v>
      </c>
      <c r="E2579" s="6" t="inlineStr">
        <is>
          <t>R1298726</t>
        </is>
      </c>
      <c r="F2579" s="2" t="n">
        <v>44497</v>
      </c>
      <c r="G2579" s="1" t="n"/>
    </row>
    <row r="2580">
      <c r="A2580" s="6" t="n">
        <v>57098</v>
      </c>
      <c r="B2580" s="6" t="inlineStr">
        <is>
          <t>BUZZBALLZ TEQUILA RITA</t>
        </is>
      </c>
      <c r="C2580" s="7">
        <f>VLOOKUP(A2580,SizeData!A$2:B$3839,2,FALSE)</f>
        <v/>
      </c>
      <c r="D2580" s="6" t="n">
        <v>1</v>
      </c>
      <c r="E2580" s="6" t="inlineStr">
        <is>
          <t>R1018600</t>
        </is>
      </c>
      <c r="F2580" s="2" t="n">
        <v>44241</v>
      </c>
      <c r="G2580" s="1" t="n"/>
    </row>
    <row r="2581">
      <c r="A2581" s="6" t="n">
        <v>57098</v>
      </c>
      <c r="B2581" s="6" t="inlineStr">
        <is>
          <t>BUZZBALLZ TEQUILA RITA</t>
        </is>
      </c>
      <c r="C2581" s="7">
        <f>VLOOKUP(A2581,SizeData!A$2:B$3839,2,FALSE)</f>
        <v/>
      </c>
      <c r="D2581" s="6" t="n">
        <v>1</v>
      </c>
      <c r="E2581" s="6" t="inlineStr">
        <is>
          <t>R1029839</t>
        </is>
      </c>
      <c r="F2581" s="2" t="n">
        <v>44246</v>
      </c>
      <c r="G2581" s="1" t="n"/>
    </row>
    <row r="2582">
      <c r="A2582" s="6" t="n">
        <v>57098</v>
      </c>
      <c r="B2582" s="6" t="inlineStr">
        <is>
          <t>BUZZBALLZ TEQUILA RITA</t>
        </is>
      </c>
      <c r="C2582" s="7">
        <f>VLOOKUP(A2582,SizeData!A$2:B$3839,2,FALSE)</f>
        <v/>
      </c>
      <c r="D2582" s="6" t="n">
        <v>2</v>
      </c>
      <c r="E2582" s="6" t="inlineStr">
        <is>
          <t>R1046038</t>
        </is>
      </c>
      <c r="F2582" s="2" t="n">
        <v>44256</v>
      </c>
      <c r="G2582" s="1" t="n"/>
    </row>
    <row r="2583">
      <c r="A2583" s="6" t="n">
        <v>57098</v>
      </c>
      <c r="B2583" s="6" t="inlineStr">
        <is>
          <t>BUZZBALLZ TEQUILA RITA</t>
        </is>
      </c>
      <c r="C2583" s="7">
        <f>VLOOKUP(A2583,SizeData!A$2:B$3839,2,FALSE)</f>
        <v/>
      </c>
      <c r="D2583" s="6" t="n">
        <v>3</v>
      </c>
      <c r="E2583" s="6" t="inlineStr">
        <is>
          <t>R1063144</t>
        </is>
      </c>
      <c r="F2583" s="2" t="n">
        <v>44273</v>
      </c>
      <c r="G2583" s="1" t="n"/>
    </row>
    <row r="2584">
      <c r="A2584" s="6" t="n">
        <v>57098</v>
      </c>
      <c r="B2584" s="6" t="inlineStr">
        <is>
          <t>BUZZBALLZ TEQUILA RITA</t>
        </is>
      </c>
      <c r="C2584" s="7">
        <f>VLOOKUP(A2584,SizeData!A$2:B$3839,2,FALSE)</f>
        <v/>
      </c>
      <c r="D2584" s="6" t="n">
        <v>3</v>
      </c>
      <c r="E2584" s="6" t="inlineStr">
        <is>
          <t>R1072906</t>
        </is>
      </c>
      <c r="F2584" s="2" t="n">
        <v>44280</v>
      </c>
      <c r="G2584" s="1" t="n"/>
    </row>
    <row r="2585">
      <c r="A2585" s="6" t="n">
        <v>57098</v>
      </c>
      <c r="B2585" s="6" t="inlineStr">
        <is>
          <t>BUZZBALLZ TEQUILA RITA</t>
        </is>
      </c>
      <c r="C2585" s="7">
        <f>VLOOKUP(A2585,SizeData!A$2:B$3839,2,FALSE)</f>
        <v/>
      </c>
      <c r="D2585" s="6" t="n">
        <v>1</v>
      </c>
      <c r="E2585" s="6" t="inlineStr">
        <is>
          <t>R1102384</t>
        </is>
      </c>
      <c r="F2585" s="2" t="n">
        <v>44314</v>
      </c>
      <c r="G2585" s="1" t="n"/>
    </row>
    <row r="2586">
      <c r="A2586" s="6" t="n">
        <v>57098</v>
      </c>
      <c r="B2586" s="6" t="inlineStr">
        <is>
          <t>BUZZBALLZ TEQUILA RITA</t>
        </is>
      </c>
      <c r="C2586" s="7">
        <f>VLOOKUP(A2586,SizeData!A$2:B$3839,2,FALSE)</f>
        <v/>
      </c>
      <c r="D2586" s="6" t="n">
        <v>1</v>
      </c>
      <c r="E2586" s="6" t="inlineStr">
        <is>
          <t>R1128764</t>
        </is>
      </c>
      <c r="F2586" s="2" t="n">
        <v>44336</v>
      </c>
      <c r="G2586" s="1" t="n"/>
    </row>
    <row r="2587">
      <c r="A2587" s="6" t="n">
        <v>57098</v>
      </c>
      <c r="B2587" s="6" t="inlineStr">
        <is>
          <t>BUZZBALLZ TEQUILA RITA</t>
        </is>
      </c>
      <c r="C2587" s="7">
        <f>VLOOKUP(A2587,SizeData!A$2:B$3839,2,FALSE)</f>
        <v/>
      </c>
      <c r="D2587" s="6" t="n">
        <v>1</v>
      </c>
      <c r="E2587" s="6" t="inlineStr">
        <is>
          <t xml:space="preserve"> R1133829</t>
        </is>
      </c>
      <c r="F2587" s="2" t="n">
        <v>44350</v>
      </c>
      <c r="G2587" s="1" t="n"/>
    </row>
    <row r="2588">
      <c r="A2588" s="6" t="n">
        <v>57098</v>
      </c>
      <c r="B2588" s="6" t="inlineStr">
        <is>
          <t>BUZZBALLZ TEQUILA RITA</t>
        </is>
      </c>
      <c r="C2588" s="7">
        <f>VLOOKUP(A2588,SizeData!A$2:B$3839,2,FALSE)</f>
        <v/>
      </c>
      <c r="D2588" s="6" t="n">
        <v>1</v>
      </c>
      <c r="E2588" s="6" t="inlineStr">
        <is>
          <t>R1146719</t>
        </is>
      </c>
      <c r="F2588" s="2" t="n">
        <v>44355</v>
      </c>
      <c r="G2588" s="1" t="n"/>
    </row>
    <row r="2589">
      <c r="A2589" s="6" t="n">
        <v>57098</v>
      </c>
      <c r="B2589" s="6" t="inlineStr">
        <is>
          <t>BUZZBALLZ TEQUILA RITA</t>
        </is>
      </c>
      <c r="C2589" s="7">
        <f>VLOOKUP(A2589,SizeData!A$2:B$3839,2,FALSE)</f>
        <v/>
      </c>
      <c r="D2589" s="6" t="n">
        <v>6</v>
      </c>
      <c r="E2589" s="6" t="inlineStr">
        <is>
          <t>R1267252</t>
        </is>
      </c>
      <c r="F2589" s="2" t="n">
        <v>44470</v>
      </c>
      <c r="G2589" s="1" t="n"/>
    </row>
    <row r="2590">
      <c r="A2590" s="6" t="n">
        <v>57098</v>
      </c>
      <c r="B2590" s="6" t="inlineStr">
        <is>
          <t>BUZZBALLZ TEQUILA RITA</t>
        </is>
      </c>
      <c r="C2590" s="7">
        <f>VLOOKUP(A2590,SizeData!A$2:B$3839,2,FALSE)</f>
        <v/>
      </c>
      <c r="D2590" s="6" t="n">
        <v>0</v>
      </c>
      <c r="E2590" s="6" t="inlineStr">
        <is>
          <t>R1270963</t>
        </is>
      </c>
      <c r="F2590" s="2" t="n">
        <v>44470</v>
      </c>
      <c r="G2590" s="1" t="n"/>
    </row>
    <row r="2591">
      <c r="A2591" s="6" t="n">
        <v>57113</v>
      </c>
      <c r="B2591" s="6" t="inlineStr">
        <is>
          <t>BUZZBALLZ PEACHBALLZ</t>
        </is>
      </c>
      <c r="C2591" s="7">
        <f>VLOOKUP(A2591,SizeData!A$2:B$3839,2,FALSE)</f>
        <v/>
      </c>
      <c r="D2591" s="6" t="n">
        <v>2</v>
      </c>
      <c r="E2591" s="6" t="inlineStr">
        <is>
          <t>R1066257</t>
        </is>
      </c>
      <c r="F2591" s="2" t="n">
        <v>44270</v>
      </c>
      <c r="G2591" s="1" t="n"/>
    </row>
    <row r="2592">
      <c r="A2592" s="6" t="n">
        <v>57113</v>
      </c>
      <c r="B2592" s="6" t="inlineStr">
        <is>
          <t>BUZZBALLZ PEACHBALLZ</t>
        </is>
      </c>
      <c r="C2592" s="7">
        <f>VLOOKUP(A2592,SizeData!A$2:B$3839,2,FALSE)</f>
        <v/>
      </c>
      <c r="D2592" s="6" t="n">
        <v>2</v>
      </c>
      <c r="E2592" s="6" t="inlineStr">
        <is>
          <t>R1270963</t>
        </is>
      </c>
      <c r="F2592" s="2" t="n">
        <v>44470</v>
      </c>
      <c r="G2592" s="1" t="n"/>
    </row>
    <row r="2593">
      <c r="A2593" s="6" t="n">
        <v>57113</v>
      </c>
      <c r="B2593" s="6" t="inlineStr">
        <is>
          <t>BUZZBALLZ PEACHBALLZ</t>
        </is>
      </c>
      <c r="C2593" s="7">
        <f>VLOOKUP(A2593,SizeData!A$2:B$3839,2,FALSE)</f>
        <v/>
      </c>
      <c r="D2593" s="6" t="n">
        <v>0</v>
      </c>
      <c r="E2593" s="6" t="inlineStr">
        <is>
          <t>R1267252</t>
        </is>
      </c>
      <c r="F2593" s="2" t="n">
        <v>44470</v>
      </c>
      <c r="G2593" s="1" t="n"/>
    </row>
    <row r="2594">
      <c r="A2594" s="6" t="n">
        <v>57113</v>
      </c>
      <c r="B2594" s="6" t="inlineStr">
        <is>
          <t>BUZZBALLZ PEACHBALLZ</t>
        </is>
      </c>
      <c r="C2594" s="7">
        <f>VLOOKUP(A2594,SizeData!A$2:B$3839,2,FALSE)</f>
        <v/>
      </c>
      <c r="D2594" s="6" t="n">
        <v>0</v>
      </c>
      <c r="E2594" s="6" t="inlineStr">
        <is>
          <t>R1277647</t>
        </is>
      </c>
      <c r="F2594" s="2" t="n">
        <v>44484</v>
      </c>
      <c r="G2594" s="1" t="n"/>
    </row>
    <row r="2595">
      <c r="A2595" s="6" t="n">
        <v>57113</v>
      </c>
      <c r="B2595" s="6" t="inlineStr">
        <is>
          <t>BUZZBALLZ PEACHBALLZ</t>
        </is>
      </c>
      <c r="C2595" s="7">
        <f>VLOOKUP(A2595,SizeData!A$2:B$3839,2,FALSE)</f>
        <v/>
      </c>
      <c r="D2595" s="6" t="n">
        <v>2</v>
      </c>
      <c r="E2595" s="6" t="inlineStr">
        <is>
          <t>R1298726</t>
        </is>
      </c>
      <c r="F2595" s="2" t="n">
        <v>44497</v>
      </c>
      <c r="G2595" s="1" t="n"/>
    </row>
    <row r="2596">
      <c r="A2596" s="6" t="n">
        <v>57120</v>
      </c>
      <c r="B2596" s="6" t="inlineStr">
        <is>
          <t>CHI CHI'S LONG ISLAND ICED TEA</t>
        </is>
      </c>
      <c r="C2596" s="7">
        <f>VLOOKUP(A2596,SizeData!A$2:B$3839,2,FALSE)</f>
        <v/>
      </c>
      <c r="D2596" s="6" t="n">
        <v>2</v>
      </c>
      <c r="E2596" s="6" t="inlineStr">
        <is>
          <t>R1043793</t>
        </is>
      </c>
      <c r="F2596" s="2" t="n">
        <v>44270</v>
      </c>
      <c r="G2596" s="1" t="n"/>
    </row>
    <row r="2597">
      <c r="A2597" s="6" t="n">
        <v>57120</v>
      </c>
      <c r="B2597" s="6" t="inlineStr">
        <is>
          <t>CHI CHI'S LONG ISLAND ICED TEA</t>
        </is>
      </c>
      <c r="C2597" s="7">
        <f>VLOOKUP(A2597,SizeData!A$2:B$3839,2,FALSE)</f>
        <v/>
      </c>
      <c r="D2597" s="6" t="n">
        <v>2</v>
      </c>
      <c r="E2597" s="6" t="inlineStr">
        <is>
          <t>R1272603</t>
        </is>
      </c>
      <c r="F2597" s="2" t="n">
        <v>44473</v>
      </c>
      <c r="G2597" s="1" t="n"/>
    </row>
    <row r="2598">
      <c r="A2598" s="6" t="n">
        <v>57120</v>
      </c>
      <c r="B2598" s="6" t="inlineStr">
        <is>
          <t>CHI CHI'S LONG ISLAND ICED TEA</t>
        </is>
      </c>
      <c r="C2598" s="7">
        <f>VLOOKUP(A2598,SizeData!A$2:B$3839,2,FALSE)</f>
        <v/>
      </c>
      <c r="D2598" s="6" t="n">
        <v>2</v>
      </c>
      <c r="E2598" s="6" t="inlineStr">
        <is>
          <t>R1286225</t>
        </is>
      </c>
      <c r="F2598" s="2" t="n">
        <v>44478</v>
      </c>
      <c r="G2598" s="1" t="n"/>
    </row>
    <row r="2599">
      <c r="A2599" s="6" t="n">
        <v>57125</v>
      </c>
      <c r="B2599" s="6" t="inlineStr">
        <is>
          <t>CHI-CHI'S GOLD MARGARITA</t>
        </is>
      </c>
      <c r="C2599" s="7">
        <f>VLOOKUP(A2599,SizeData!A$2:B$3839,2,FALSE)</f>
        <v/>
      </c>
      <c r="D2599" s="6" t="n">
        <v>2</v>
      </c>
      <c r="E2599" s="6" t="inlineStr">
        <is>
          <t>R1094763</t>
        </is>
      </c>
      <c r="F2599" s="2" t="n">
        <v>44312</v>
      </c>
      <c r="G2599" s="1" t="n"/>
    </row>
    <row r="2600">
      <c r="A2600" s="6" t="n">
        <v>57129</v>
      </c>
      <c r="B2600" s="6" t="inlineStr">
        <is>
          <t>CHI-CHI'S MEXICAN MUDSLIDE</t>
        </is>
      </c>
      <c r="C2600" s="7">
        <f>VLOOKUP(A2600,SizeData!A$2:B$3839,2,FALSE)</f>
        <v/>
      </c>
      <c r="D2600" s="6" t="n">
        <v>1</v>
      </c>
      <c r="E2600" s="6" t="inlineStr">
        <is>
          <t>R1050757</t>
        </is>
      </c>
      <c r="F2600" s="2" t="n">
        <v>44258</v>
      </c>
      <c r="G2600" s="1" t="n"/>
    </row>
    <row r="2601">
      <c r="A2601" s="6" t="n">
        <v>57129</v>
      </c>
      <c r="B2601" s="6" t="inlineStr">
        <is>
          <t>CHI-CHI'S MEXICAN MUDSLIDE</t>
        </is>
      </c>
      <c r="C2601" s="7">
        <f>VLOOKUP(A2601,SizeData!A$2:B$3839,2,FALSE)</f>
        <v/>
      </c>
      <c r="D2601" s="6" t="n">
        <v>1</v>
      </c>
      <c r="E2601" s="6" t="inlineStr">
        <is>
          <t>R1053588</t>
        </is>
      </c>
      <c r="F2601" s="2" t="n">
        <v>44278</v>
      </c>
      <c r="G2601" s="1" t="n"/>
    </row>
    <row r="2602">
      <c r="A2602" s="6" t="n">
        <v>57129</v>
      </c>
      <c r="B2602" s="6" t="inlineStr">
        <is>
          <t>CHI-CHI'S MEXICAN MUDSLIDE</t>
        </is>
      </c>
      <c r="C2602" s="7">
        <f>VLOOKUP(A2602,SizeData!A$2:B$3839,2,FALSE)</f>
        <v/>
      </c>
      <c r="D2602" s="6" t="n">
        <v>2</v>
      </c>
      <c r="E2602" s="6" t="inlineStr">
        <is>
          <t>R1067564</t>
        </is>
      </c>
      <c r="F2602" s="2" t="n">
        <v>44279</v>
      </c>
      <c r="G2602" s="1" t="n"/>
    </row>
    <row r="2603">
      <c r="A2603" s="6" t="n">
        <v>57129</v>
      </c>
      <c r="B2603" s="6" t="inlineStr">
        <is>
          <t>CHI-CHI'S MEXICAN MUDSLIDE</t>
        </is>
      </c>
      <c r="C2603" s="7">
        <f>VLOOKUP(A2603,SizeData!A$2:B$3839,2,FALSE)</f>
        <v/>
      </c>
      <c r="D2603" s="6" t="n">
        <v>1</v>
      </c>
      <c r="E2603" s="6" t="inlineStr">
        <is>
          <t>R1094763</t>
        </is>
      </c>
      <c r="F2603" s="2" t="n">
        <v>44312</v>
      </c>
      <c r="G2603" s="1" t="n"/>
    </row>
    <row r="2604">
      <c r="A2604" s="6" t="n">
        <v>57129</v>
      </c>
      <c r="B2604" s="6" t="inlineStr">
        <is>
          <t>CHI-CHI'S MEXICAN MUDSLIDE</t>
        </is>
      </c>
      <c r="C2604" s="7">
        <f>VLOOKUP(A2604,SizeData!A$2:B$3839,2,FALSE)</f>
        <v/>
      </c>
      <c r="D2604" s="6" t="n">
        <v>1</v>
      </c>
      <c r="E2604" s="6" t="inlineStr">
        <is>
          <t>R1156117</t>
        </is>
      </c>
      <c r="F2604" s="2" t="n">
        <v>44362</v>
      </c>
      <c r="G2604" s="1" t="n"/>
    </row>
    <row r="2605">
      <c r="A2605" s="6" t="n">
        <v>57129</v>
      </c>
      <c r="B2605" s="6" t="inlineStr">
        <is>
          <t>CHI-CHI'S MEXICAN MUDSLIDE</t>
        </is>
      </c>
      <c r="C2605" s="7">
        <f>VLOOKUP(A2605,SizeData!A$2:B$3839,2,FALSE)</f>
        <v/>
      </c>
      <c r="D2605" s="6" t="n">
        <v>0</v>
      </c>
      <c r="E2605" s="6" t="inlineStr">
        <is>
          <t>R1286225</t>
        </is>
      </c>
      <c r="F2605" s="2" t="n">
        <v>44478</v>
      </c>
      <c r="G2605" s="1" t="n"/>
    </row>
    <row r="2606">
      <c r="A2606" s="6" t="n">
        <v>57129</v>
      </c>
      <c r="B2606" s="6" t="inlineStr">
        <is>
          <t>CHI-CHI'S MEXICAN MUDSLIDE</t>
        </is>
      </c>
      <c r="C2606" s="7">
        <f>VLOOKUP(A2606,SizeData!A$2:B$3839,2,FALSE)</f>
        <v/>
      </c>
      <c r="D2606" s="6" t="n">
        <v>2</v>
      </c>
      <c r="E2606" s="6" t="inlineStr">
        <is>
          <t>R1283487</t>
        </is>
      </c>
      <c r="F2606" s="2" t="n">
        <v>44494</v>
      </c>
      <c r="G2606" s="1" t="n"/>
    </row>
    <row r="2607">
      <c r="A2607" s="6" t="n">
        <v>57144</v>
      </c>
      <c r="B2607" s="6" t="inlineStr">
        <is>
          <t>CHI-CHI'S WHITE RUSSIAN</t>
        </is>
      </c>
      <c r="C2607" s="7">
        <f>VLOOKUP(A2607,SizeData!A$2:B$3839,2,FALSE)</f>
        <v/>
      </c>
      <c r="D2607" s="6" t="n">
        <v>1</v>
      </c>
      <c r="E2607" s="6" t="inlineStr">
        <is>
          <t>R1137831</t>
        </is>
      </c>
      <c r="F2607" s="2" t="n">
        <v>44348</v>
      </c>
      <c r="G2607" s="1" t="n"/>
    </row>
    <row r="2608">
      <c r="A2608" s="6" t="n">
        <v>57144</v>
      </c>
      <c r="B2608" s="6" t="inlineStr">
        <is>
          <t>CHI-CHI'S WHITE RUSSIAN</t>
        </is>
      </c>
      <c r="C2608" s="7">
        <f>VLOOKUP(A2608,SizeData!A$2:B$3839,2,FALSE)</f>
        <v/>
      </c>
      <c r="D2608" s="6" t="n">
        <v>2</v>
      </c>
      <c r="E2608" s="6" t="inlineStr">
        <is>
          <t>R1156117</t>
        </is>
      </c>
      <c r="F2608" s="2" t="n">
        <v>44362</v>
      </c>
      <c r="G2608" s="1" t="n"/>
    </row>
    <row r="2609">
      <c r="A2609" s="6" t="n">
        <v>57144</v>
      </c>
      <c r="B2609" s="6" t="inlineStr">
        <is>
          <t>CHI-CHI'S WHITE RUSSIAN</t>
        </is>
      </c>
      <c r="C2609" s="7">
        <f>VLOOKUP(A2609,SizeData!A$2:B$3839,2,FALSE)</f>
        <v/>
      </c>
      <c r="D2609" s="6" t="n">
        <v>0</v>
      </c>
      <c r="E2609" s="6" t="inlineStr">
        <is>
          <t>R1286225</t>
        </is>
      </c>
      <c r="F2609" s="2" t="n">
        <v>44478</v>
      </c>
      <c r="G2609" s="1" t="n"/>
    </row>
    <row r="2610">
      <c r="A2610" s="6" t="n">
        <v>57144</v>
      </c>
      <c r="B2610" s="6" t="inlineStr">
        <is>
          <t>CHI-CHI'S WHITE RUSSIAN</t>
        </is>
      </c>
      <c r="C2610" s="7">
        <f>VLOOKUP(A2610,SizeData!A$2:B$3839,2,FALSE)</f>
        <v/>
      </c>
      <c r="D2610" s="6" t="n">
        <v>1</v>
      </c>
      <c r="E2610" s="6" t="inlineStr">
        <is>
          <t>R1283487</t>
        </is>
      </c>
      <c r="F2610" s="2" t="n">
        <v>44494</v>
      </c>
      <c r="G2610" s="1" t="n"/>
    </row>
    <row r="2611">
      <c r="A2611" s="6" t="n">
        <v>57148</v>
      </c>
      <c r="B2611" s="6" t="inlineStr">
        <is>
          <t>CHI-CHI'S MARGARITA</t>
        </is>
      </c>
      <c r="C2611" s="7">
        <f>VLOOKUP(A2611,SizeData!A$2:B$3839,2,FALSE)</f>
        <v/>
      </c>
      <c r="D2611" s="6" t="n">
        <v>2</v>
      </c>
      <c r="E2611" s="6" t="inlineStr">
        <is>
          <t>R1046038</t>
        </is>
      </c>
      <c r="F2611" s="2" t="n">
        <v>44256</v>
      </c>
      <c r="G2611" s="1" t="n"/>
    </row>
    <row r="2612">
      <c r="A2612" s="6" t="n">
        <v>57148</v>
      </c>
      <c r="B2612" s="6" t="inlineStr">
        <is>
          <t>CHI-CHI'S MARGARITA</t>
        </is>
      </c>
      <c r="C2612" s="7">
        <f>VLOOKUP(A2612,SizeData!A$2:B$3839,2,FALSE)</f>
        <v/>
      </c>
      <c r="D2612" s="6" t="n">
        <v>3</v>
      </c>
      <c r="E2612" s="6" t="inlineStr">
        <is>
          <t>R1092837</t>
        </is>
      </c>
      <c r="F2612" s="2" t="n">
        <v>44299</v>
      </c>
      <c r="G2612" s="1" t="n"/>
    </row>
    <row r="2613">
      <c r="A2613" s="6" t="n">
        <v>57148</v>
      </c>
      <c r="B2613" s="6" t="inlineStr">
        <is>
          <t>CHI-CHI'S MARGARITA</t>
        </is>
      </c>
      <c r="C2613" s="7">
        <f>VLOOKUP(A2613,SizeData!A$2:B$3839,2,FALSE)</f>
        <v/>
      </c>
      <c r="D2613" s="6" t="n">
        <v>3</v>
      </c>
      <c r="E2613" s="6" t="inlineStr">
        <is>
          <t>R1102384</t>
        </is>
      </c>
      <c r="F2613" s="2" t="n">
        <v>44314</v>
      </c>
      <c r="G2613" s="1" t="n"/>
    </row>
    <row r="2614">
      <c r="A2614" s="6" t="n">
        <v>57148</v>
      </c>
      <c r="B2614" s="6" t="inlineStr">
        <is>
          <t>CHI-CHI'S MARGARITA</t>
        </is>
      </c>
      <c r="C2614" s="7">
        <f>VLOOKUP(A2614,SizeData!A$2:B$3839,2,FALSE)</f>
        <v/>
      </c>
      <c r="D2614" s="6" t="n">
        <v>2</v>
      </c>
      <c r="E2614" s="6" t="inlineStr">
        <is>
          <t>R1115090</t>
        </is>
      </c>
      <c r="F2614" s="2" t="n">
        <v>44315</v>
      </c>
      <c r="G2614" s="1" t="n"/>
    </row>
    <row r="2615">
      <c r="A2615" s="6" t="n">
        <v>57148</v>
      </c>
      <c r="B2615" s="6" t="inlineStr">
        <is>
          <t>CHI-CHI'S MARGARITA</t>
        </is>
      </c>
      <c r="C2615" s="7">
        <f>VLOOKUP(A2615,SizeData!A$2:B$3839,2,FALSE)</f>
        <v/>
      </c>
      <c r="D2615" s="6" t="n">
        <v>3</v>
      </c>
      <c r="E2615" s="6" t="inlineStr">
        <is>
          <t>R1165810</t>
        </is>
      </c>
      <c r="F2615" s="2" t="n">
        <v>44361</v>
      </c>
      <c r="G2615" s="1" t="n"/>
    </row>
    <row r="2616">
      <c r="A2616" s="6" t="n">
        <v>57148</v>
      </c>
      <c r="B2616" s="6" t="inlineStr">
        <is>
          <t>CHI-CHI'S MARGARITA</t>
        </is>
      </c>
      <c r="C2616" s="7">
        <f>VLOOKUP(A2616,SizeData!A$2:B$3839,2,FALSE)</f>
        <v/>
      </c>
      <c r="D2616" s="6" t="n">
        <v>4</v>
      </c>
      <c r="E2616" s="6" t="inlineStr">
        <is>
          <t>R1156117</t>
        </is>
      </c>
      <c r="F2616" s="2" t="n">
        <v>44362</v>
      </c>
      <c r="G2616" s="1" t="n"/>
    </row>
    <row r="2617">
      <c r="A2617" s="6" t="n">
        <v>57148</v>
      </c>
      <c r="B2617" s="6" t="inlineStr">
        <is>
          <t>CHI-CHI'S MARGARITA</t>
        </is>
      </c>
      <c r="C2617" s="7">
        <f>VLOOKUP(A2617,SizeData!A$2:B$3839,2,FALSE)</f>
        <v/>
      </c>
      <c r="D2617" s="6" t="n">
        <v>2</v>
      </c>
      <c r="E2617" s="6" t="inlineStr">
        <is>
          <t>R1262670</t>
        </is>
      </c>
      <c r="F2617" s="2" t="n">
        <v>44470</v>
      </c>
      <c r="G2617" s="1" t="n"/>
    </row>
    <row r="2618">
      <c r="A2618" s="6" t="n">
        <v>57148</v>
      </c>
      <c r="B2618" s="6" t="inlineStr">
        <is>
          <t>CHI-CHI'S MARGARITA</t>
        </is>
      </c>
      <c r="C2618" s="7">
        <f>VLOOKUP(A2618,SizeData!A$2:B$3839,2,FALSE)</f>
        <v/>
      </c>
      <c r="D2618" s="6" t="n">
        <v>3</v>
      </c>
      <c r="E2618" s="6" t="inlineStr">
        <is>
          <t>R1253669</t>
        </is>
      </c>
      <c r="F2618" s="2" t="n">
        <v>44471</v>
      </c>
      <c r="G2618" s="1" t="n"/>
    </row>
    <row r="2619">
      <c r="A2619" s="6" t="n">
        <v>57148</v>
      </c>
      <c r="B2619" s="6" t="inlineStr">
        <is>
          <t>CHI-CHI'S MARGARITA</t>
        </is>
      </c>
      <c r="C2619" s="7">
        <f>VLOOKUP(A2619,SizeData!A$2:B$3839,2,FALSE)</f>
        <v/>
      </c>
      <c r="D2619" s="6" t="n">
        <v>4</v>
      </c>
      <c r="E2619" s="6" t="inlineStr">
        <is>
          <t>R1286225</t>
        </is>
      </c>
      <c r="F2619" s="2" t="n">
        <v>44478</v>
      </c>
      <c r="G2619" s="1" t="n"/>
    </row>
    <row r="2620">
      <c r="A2620" s="6" t="n">
        <v>57148</v>
      </c>
      <c r="B2620" s="6" t="inlineStr">
        <is>
          <t>CHI-CHI'S MARGARITA</t>
        </is>
      </c>
      <c r="C2620" s="7">
        <f>VLOOKUP(A2620,SizeData!A$2:B$3839,2,FALSE)</f>
        <v/>
      </c>
      <c r="D2620" s="6" t="n">
        <v>6</v>
      </c>
      <c r="E2620" s="6" t="inlineStr">
        <is>
          <t>R1274548</t>
        </is>
      </c>
      <c r="F2620" s="2" t="n">
        <v>44485</v>
      </c>
      <c r="G2620" s="1" t="n"/>
    </row>
    <row r="2621">
      <c r="A2621" s="6" t="n">
        <v>57157</v>
      </c>
      <c r="B2621" s="6" t="inlineStr">
        <is>
          <t>CHI-CHI'S PINA COLADA</t>
        </is>
      </c>
      <c r="C2621" s="7">
        <f>VLOOKUP(A2621,SizeData!A$2:B$3839,2,FALSE)</f>
        <v/>
      </c>
      <c r="D2621" s="6" t="n">
        <v>1</v>
      </c>
      <c r="E2621" s="6" t="inlineStr">
        <is>
          <t>R1097628</t>
        </is>
      </c>
      <c r="F2621" s="2" t="n">
        <v>44305</v>
      </c>
      <c r="G2621" s="1" t="n"/>
    </row>
    <row r="2622">
      <c r="A2622" s="6" t="n">
        <v>57157</v>
      </c>
      <c r="B2622" s="6" t="inlineStr">
        <is>
          <t>CHI-CHI'S PINA COLADA</t>
        </is>
      </c>
      <c r="C2622" s="7">
        <f>VLOOKUP(A2622,SizeData!A$2:B$3839,2,FALSE)</f>
        <v/>
      </c>
      <c r="D2622" s="6" t="n">
        <v>0</v>
      </c>
      <c r="E2622" s="6" t="inlineStr">
        <is>
          <t xml:space="preserve"> R1264833</t>
        </is>
      </c>
      <c r="F2622" s="2" t="n">
        <v>44471</v>
      </c>
      <c r="G2622" s="1" t="n"/>
    </row>
    <row r="2623">
      <c r="A2623" s="6" t="n">
        <v>57179</v>
      </c>
      <c r="B2623" s="6" t="inlineStr">
        <is>
          <t>CHI CHI'S RUBY RED MARGARITA</t>
        </is>
      </c>
      <c r="C2623" s="7">
        <f>VLOOKUP(A2623,SizeData!A$2:B$3839,2,FALSE)</f>
        <v/>
      </c>
      <c r="D2623" s="6" t="n">
        <v>2</v>
      </c>
      <c r="E2623" s="6" t="inlineStr">
        <is>
          <t>R1043793</t>
        </is>
      </c>
      <c r="F2623" s="2" t="n">
        <v>44270</v>
      </c>
      <c r="G2623" s="1" t="n"/>
    </row>
    <row r="2624">
      <c r="A2624" s="6" t="n">
        <v>57179</v>
      </c>
      <c r="B2624" s="6" t="inlineStr">
        <is>
          <t>CHI CHI'S RUBY RED MARGARITA</t>
        </is>
      </c>
      <c r="C2624" s="7">
        <f>VLOOKUP(A2624,SizeData!A$2:B$3839,2,FALSE)</f>
        <v/>
      </c>
      <c r="D2624" s="6" t="n">
        <v>5</v>
      </c>
      <c r="E2624" s="6" t="inlineStr">
        <is>
          <t>R1156671</t>
        </is>
      </c>
      <c r="F2624" s="2" t="n">
        <v>44369</v>
      </c>
      <c r="G2624" s="1" t="n"/>
    </row>
    <row r="2625">
      <c r="A2625" s="6" t="n">
        <v>57179</v>
      </c>
      <c r="B2625" s="6" t="inlineStr">
        <is>
          <t>CHI CHI'S RUBY RED MARGARITA</t>
        </is>
      </c>
      <c r="C2625" s="7">
        <f>VLOOKUP(A2625,SizeData!A$2:B$3839,2,FALSE)</f>
        <v/>
      </c>
      <c r="D2625" s="6" t="n">
        <v>1</v>
      </c>
      <c r="E2625" s="6" t="inlineStr">
        <is>
          <t>R1153323</t>
        </is>
      </c>
      <c r="F2625" s="2" t="n">
        <v>44369</v>
      </c>
      <c r="G2625" s="1" t="n"/>
    </row>
    <row r="2626">
      <c r="A2626" s="6" t="n">
        <v>57179</v>
      </c>
      <c r="B2626" s="6" t="inlineStr">
        <is>
          <t>CHI CHI'S RUBY RED MARGARITA</t>
        </is>
      </c>
      <c r="C2626" s="7">
        <f>VLOOKUP(A2626,SizeData!A$2:B$3839,2,FALSE)</f>
        <v/>
      </c>
      <c r="D2626" s="6" t="n">
        <v>2</v>
      </c>
      <c r="E2626" s="6" t="inlineStr">
        <is>
          <t>R1161479</t>
        </is>
      </c>
      <c r="F2626" s="2" t="n">
        <v>44373</v>
      </c>
      <c r="G2626" s="1" t="n"/>
    </row>
    <row r="2627">
      <c r="A2627" s="6" t="n">
        <v>57181</v>
      </c>
      <c r="B2627" s="6" t="inlineStr">
        <is>
          <t>CHI CHI'S PINEAPPLE MARGARITA</t>
        </is>
      </c>
      <c r="C2627" s="7">
        <f>VLOOKUP(A2627,SizeData!A$2:B$3839,2,FALSE)</f>
        <v/>
      </c>
      <c r="D2627" s="6" t="n">
        <v>2</v>
      </c>
      <c r="E2627" s="6" t="inlineStr">
        <is>
          <t>R1050757</t>
        </is>
      </c>
      <c r="F2627" s="2" t="n">
        <v>44258</v>
      </c>
      <c r="G2627" s="1" t="n"/>
    </row>
    <row r="2628">
      <c r="A2628" s="6" t="n">
        <v>57181</v>
      </c>
      <c r="B2628" s="6" t="inlineStr">
        <is>
          <t>CHI CHI'S PINEAPPLE MARGARITA</t>
        </is>
      </c>
      <c r="C2628" s="7">
        <f>VLOOKUP(A2628,SizeData!A$2:B$3839,2,FALSE)</f>
        <v/>
      </c>
      <c r="D2628" s="6" t="n">
        <v>7</v>
      </c>
      <c r="E2628" s="6" t="inlineStr">
        <is>
          <t>R1156671</t>
        </is>
      </c>
      <c r="F2628" s="2" t="n">
        <v>44369</v>
      </c>
      <c r="G2628" s="1" t="n"/>
    </row>
    <row r="2629">
      <c r="A2629" s="6" t="n">
        <v>57181</v>
      </c>
      <c r="B2629" s="6" t="inlineStr">
        <is>
          <t>CHI CHI'S PINEAPPLE MARGARITA</t>
        </is>
      </c>
      <c r="C2629" s="7">
        <f>VLOOKUP(A2629,SizeData!A$2:B$3839,2,FALSE)</f>
        <v/>
      </c>
      <c r="D2629" s="6" t="n">
        <v>2</v>
      </c>
      <c r="E2629" s="6" t="inlineStr">
        <is>
          <t>R1153323</t>
        </is>
      </c>
      <c r="F2629" s="2" t="n">
        <v>44369</v>
      </c>
      <c r="G2629" s="1" t="n"/>
    </row>
    <row r="2630">
      <c r="A2630" s="6" t="n">
        <v>57181</v>
      </c>
      <c r="B2630" s="6" t="inlineStr">
        <is>
          <t>CHI CHI'S PINEAPPLE MARGARITA</t>
        </is>
      </c>
      <c r="C2630" s="7">
        <f>VLOOKUP(A2630,SizeData!A$2:B$3839,2,FALSE)</f>
        <v/>
      </c>
      <c r="D2630" s="6" t="n">
        <v>0</v>
      </c>
      <c r="E2630" s="6" t="inlineStr">
        <is>
          <t>R1286225</t>
        </is>
      </c>
      <c r="F2630" s="2" t="n">
        <v>44478</v>
      </c>
      <c r="G2630" s="1" t="n"/>
    </row>
    <row r="2631">
      <c r="A2631" s="6" t="n">
        <v>58800</v>
      </c>
      <c r="B2631" s="6" t="inlineStr">
        <is>
          <t>CAPTAIN MORGAN LONG ISLAND ICED TEA</t>
        </is>
      </c>
      <c r="C2631" s="7">
        <f>VLOOKUP(A2631,SizeData!A$2:B$3839,2,FALSE)</f>
        <v/>
      </c>
      <c r="D2631" s="6" t="n">
        <v>1</v>
      </c>
      <c r="E2631" s="6" t="inlineStr">
        <is>
          <t>R1072840</t>
        </is>
      </c>
      <c r="F2631" s="2" t="n">
        <v>44286</v>
      </c>
      <c r="G2631" s="1" t="n"/>
    </row>
    <row r="2632">
      <c r="A2632" s="6" t="n">
        <v>58800</v>
      </c>
      <c r="B2632" s="6" t="inlineStr">
        <is>
          <t>CAPTAIN MORGAN LONG ISLAND ICED TEA</t>
        </is>
      </c>
      <c r="C2632" s="7">
        <f>VLOOKUP(A2632,SizeData!A$2:B$3839,2,FALSE)</f>
        <v/>
      </c>
      <c r="D2632" s="6" t="n">
        <v>1</v>
      </c>
      <c r="E2632" s="6" t="inlineStr">
        <is>
          <t>R1172048</t>
        </is>
      </c>
      <c r="F2632" s="2" t="n">
        <v>44387</v>
      </c>
      <c r="G2632" s="1" t="n"/>
    </row>
    <row r="2633">
      <c r="A2633" s="6" t="n">
        <v>58800</v>
      </c>
      <c r="B2633" s="6" t="inlineStr">
        <is>
          <t>CAPTAIN MORGAN LONG ISLAND ICED TEA</t>
        </is>
      </c>
      <c r="C2633" s="7">
        <f>VLOOKUP(A2633,SizeData!A$2:B$3839,2,FALSE)</f>
        <v/>
      </c>
      <c r="D2633" s="6" t="n">
        <v>1</v>
      </c>
      <c r="E2633" s="6" t="inlineStr">
        <is>
          <t>R1228029</t>
        </is>
      </c>
      <c r="F2633" s="2" t="n">
        <v>44439</v>
      </c>
      <c r="G2633" s="1" t="n"/>
    </row>
    <row r="2634">
      <c r="A2634" s="6" t="n">
        <v>58835</v>
      </c>
      <c r="B2634" s="6" t="inlineStr">
        <is>
          <t>CUERVO AUTHETIC MARGARITAS</t>
        </is>
      </c>
      <c r="C2634" s="7">
        <f>VLOOKUP(A2634,SizeData!A$2:B$3839,2,FALSE)</f>
        <v/>
      </c>
      <c r="D2634" s="6" t="n">
        <v>2</v>
      </c>
      <c r="E2634" s="6" t="inlineStr">
        <is>
          <t>R1008985</t>
        </is>
      </c>
      <c r="F2634" s="2" t="n">
        <v>44224</v>
      </c>
      <c r="G2634" s="1" t="n"/>
    </row>
    <row r="2635">
      <c r="A2635" s="6" t="n">
        <v>58835</v>
      </c>
      <c r="B2635" s="6" t="inlineStr">
        <is>
          <t>CUERVO AUTHETIC MARGARITAS</t>
        </is>
      </c>
      <c r="C2635" s="7">
        <f>VLOOKUP(A2635,SizeData!A$2:B$3839,2,FALSE)</f>
        <v/>
      </c>
      <c r="D2635" s="6" t="n">
        <v>3</v>
      </c>
      <c r="E2635" s="6" t="inlineStr">
        <is>
          <t>R1016443</t>
        </is>
      </c>
      <c r="F2635" s="2" t="n">
        <v>44226</v>
      </c>
      <c r="G2635" s="1" t="n"/>
    </row>
    <row r="2636">
      <c r="A2636" s="6" t="n">
        <v>58835</v>
      </c>
      <c r="B2636" s="6" t="inlineStr">
        <is>
          <t>CUERVO AUTHETIC MARGARITAS</t>
        </is>
      </c>
      <c r="C2636" s="7">
        <f>VLOOKUP(A2636,SizeData!A$2:B$3839,2,FALSE)</f>
        <v/>
      </c>
      <c r="D2636" s="6" t="n">
        <v>1</v>
      </c>
      <c r="E2636" s="6" t="inlineStr">
        <is>
          <t>R1074089</t>
        </is>
      </c>
      <c r="F2636" s="2" t="n">
        <v>44288</v>
      </c>
      <c r="G2636" s="1" t="n"/>
    </row>
    <row r="2637">
      <c r="A2637" s="6" t="n">
        <v>58835</v>
      </c>
      <c r="B2637" s="6" t="inlineStr">
        <is>
          <t>CUERVO AUTHETIC MARGARITAS</t>
        </is>
      </c>
      <c r="C2637" s="7">
        <f>VLOOKUP(A2637,SizeData!A$2:B$3839,2,FALSE)</f>
        <v/>
      </c>
      <c r="D2637" s="6" t="n">
        <v>2</v>
      </c>
      <c r="E2637" s="6" t="inlineStr">
        <is>
          <t>R1206028</t>
        </is>
      </c>
      <c r="F2637" s="2" t="n">
        <v>44417</v>
      </c>
      <c r="G2637" s="1" t="n"/>
    </row>
    <row r="2638">
      <c r="A2638" s="6" t="n">
        <v>58835</v>
      </c>
      <c r="B2638" s="6" t="inlineStr">
        <is>
          <t>CUERVO AUTHETIC MARGARITAS</t>
        </is>
      </c>
      <c r="C2638" s="7">
        <f>VLOOKUP(A2638,SizeData!A$2:B$3839,2,FALSE)</f>
        <v/>
      </c>
      <c r="D2638" s="6" t="n">
        <v>4</v>
      </c>
      <c r="E2638" s="6" t="inlineStr">
        <is>
          <t>R1335695</t>
        </is>
      </c>
      <c r="F2638" s="2" t="n">
        <v>44525</v>
      </c>
      <c r="G2638" s="1" t="n"/>
    </row>
    <row r="2639">
      <c r="A2639" s="6" t="n">
        <v>58838</v>
      </c>
      <c r="B2639" s="6" t="inlineStr">
        <is>
          <t>CUERVO LIME MARGARITA / 20PF</t>
        </is>
      </c>
      <c r="C2639" s="7">
        <f>VLOOKUP(A2639,SizeData!A$2:B$3839,2,FALSE)</f>
        <v/>
      </c>
      <c r="D2639" s="6" t="n">
        <v>2</v>
      </c>
      <c r="E2639" s="6" t="inlineStr">
        <is>
          <t>R1016443</t>
        </is>
      </c>
      <c r="F2639" s="2" t="n">
        <v>44226</v>
      </c>
      <c r="G2639" s="1" t="n"/>
    </row>
    <row r="2640">
      <c r="A2640" s="6" t="n">
        <v>58838</v>
      </c>
      <c r="B2640" s="6" t="inlineStr">
        <is>
          <t>CUERVO LIME MARGARITA / 20PF</t>
        </is>
      </c>
      <c r="C2640" s="7">
        <f>VLOOKUP(A2640,SizeData!A$2:B$3839,2,FALSE)</f>
        <v/>
      </c>
      <c r="D2640" s="6" t="n">
        <v>1</v>
      </c>
      <c r="E2640" s="6" t="inlineStr">
        <is>
          <t>R1126982</t>
        </is>
      </c>
      <c r="F2640" s="2" t="n">
        <v>44338</v>
      </c>
      <c r="G2640" s="1" t="n"/>
    </row>
    <row r="2641">
      <c r="A2641" s="6" t="n">
        <v>58838</v>
      </c>
      <c r="B2641" s="6" t="inlineStr">
        <is>
          <t>CUERVO LIME MARGARITA / 20PF</t>
        </is>
      </c>
      <c r="C2641" s="7">
        <f>VLOOKUP(A2641,SizeData!A$2:B$3839,2,FALSE)</f>
        <v/>
      </c>
      <c r="D2641" s="6" t="n">
        <v>1</v>
      </c>
      <c r="E2641" s="6" t="inlineStr">
        <is>
          <t>R1129655</t>
        </is>
      </c>
      <c r="F2641" s="2" t="n">
        <v>44347</v>
      </c>
      <c r="G2641" s="1" t="n"/>
    </row>
    <row r="2642">
      <c r="A2642" s="6" t="n">
        <v>58838</v>
      </c>
      <c r="B2642" s="6" t="inlineStr">
        <is>
          <t>CUERVO LIME MARGARITA / 20PF</t>
        </is>
      </c>
      <c r="C2642" s="7">
        <f>VLOOKUP(A2642,SizeData!A$2:B$3839,2,FALSE)</f>
        <v/>
      </c>
      <c r="D2642" s="6" t="n">
        <v>2</v>
      </c>
      <c r="E2642" s="6" t="inlineStr">
        <is>
          <t>R1189620</t>
        </is>
      </c>
      <c r="F2642" s="2" t="n">
        <v>44408</v>
      </c>
      <c r="G2642" s="1" t="n"/>
    </row>
    <row r="2643">
      <c r="A2643" s="6" t="n">
        <v>58838</v>
      </c>
      <c r="B2643" s="6" t="inlineStr">
        <is>
          <t>CUERVO LIME MARGARITA / 20PF</t>
        </is>
      </c>
      <c r="C2643" s="7">
        <f>VLOOKUP(A2643,SizeData!A$2:B$3839,2,FALSE)</f>
        <v/>
      </c>
      <c r="D2643" s="6" t="n">
        <v>2</v>
      </c>
      <c r="E2643" s="6" t="inlineStr">
        <is>
          <t>R1236179</t>
        </is>
      </c>
      <c r="F2643" s="2" t="n">
        <v>44443</v>
      </c>
      <c r="G2643" s="1" t="n"/>
    </row>
    <row r="2644">
      <c r="A2644" s="6" t="n">
        <v>58838</v>
      </c>
      <c r="B2644" s="6" t="inlineStr">
        <is>
          <t>CUERVO LIME MARGARITA / 20PF</t>
        </is>
      </c>
      <c r="C2644" s="7">
        <f>VLOOKUP(A2644,SizeData!A$2:B$3839,2,FALSE)</f>
        <v/>
      </c>
      <c r="D2644" s="6" t="n">
        <v>1</v>
      </c>
      <c r="E2644" s="6" t="inlineStr">
        <is>
          <t>R1256874</t>
        </is>
      </c>
      <c r="F2644" s="2" t="n">
        <v>44469</v>
      </c>
      <c r="G2644" s="1" t="n"/>
    </row>
    <row r="2645">
      <c r="A2645" s="6" t="n">
        <v>58838</v>
      </c>
      <c r="B2645" s="6" t="inlineStr">
        <is>
          <t>CUERVO LIME MARGARITA / 20PF</t>
        </is>
      </c>
      <c r="C2645" s="7">
        <f>VLOOKUP(A2645,SizeData!A$2:B$3839,2,FALSE)</f>
        <v/>
      </c>
      <c r="D2645" s="6" t="n">
        <v>2</v>
      </c>
      <c r="E2645" s="6" t="inlineStr">
        <is>
          <t>R1341373</t>
        </is>
      </c>
      <c r="F2645" s="2" t="n">
        <v>44531</v>
      </c>
      <c r="G2645" s="1" t="n"/>
    </row>
    <row r="2646">
      <c r="A2646" s="6" t="n">
        <v>58858</v>
      </c>
      <c r="B2646" s="6" t="inlineStr">
        <is>
          <t>JOSE CUERVO (JC) STRAWBERRY LIME (PET)</t>
        </is>
      </c>
      <c r="C2646" s="7">
        <f>VLOOKUP(A2646,SizeData!A$2:B$3839,2,FALSE)</f>
        <v/>
      </c>
      <c r="D2646" s="6" t="n">
        <v>2</v>
      </c>
      <c r="E2646" s="6" t="inlineStr">
        <is>
          <t>R992402</t>
        </is>
      </c>
      <c r="F2646" s="2" t="n">
        <v>44198</v>
      </c>
      <c r="G2646" s="1" t="n"/>
    </row>
    <row r="2647">
      <c r="A2647" s="6" t="n">
        <v>58858</v>
      </c>
      <c r="B2647" s="6" t="inlineStr">
        <is>
          <t>JOSE CUERVO (JC) STRAWBERRY LIME (PET)</t>
        </is>
      </c>
      <c r="C2647" s="7">
        <f>VLOOKUP(A2647,SizeData!A$2:B$3839,2,FALSE)</f>
        <v/>
      </c>
      <c r="D2647" s="6" t="n">
        <v>3</v>
      </c>
      <c r="E2647" s="6" t="inlineStr">
        <is>
          <t>R1018703</t>
        </is>
      </c>
      <c r="F2647" s="2" t="n">
        <v>44229</v>
      </c>
      <c r="G2647" s="1" t="n"/>
    </row>
    <row r="2648">
      <c r="A2648" s="6" t="n">
        <v>58858</v>
      </c>
      <c r="B2648" s="6" t="inlineStr">
        <is>
          <t>JOSE CUERVO (JC) STRAWBERRY LIME (PET)</t>
        </is>
      </c>
      <c r="C2648" s="7">
        <f>VLOOKUP(A2648,SizeData!A$2:B$3839,2,FALSE)</f>
        <v/>
      </c>
      <c r="D2648" s="6" t="n">
        <v>3</v>
      </c>
      <c r="E2648" s="6" t="inlineStr">
        <is>
          <t>R1066328</t>
        </is>
      </c>
      <c r="F2648" s="2" t="n">
        <v>44267</v>
      </c>
      <c r="G2648" s="1" t="n"/>
    </row>
    <row r="2649">
      <c r="A2649" s="6" t="n">
        <v>58858</v>
      </c>
      <c r="B2649" s="6" t="inlineStr">
        <is>
          <t>JOSE CUERVO (JC) STRAWBERRY LIME (PET)</t>
        </is>
      </c>
      <c r="C2649" s="7">
        <f>VLOOKUP(A2649,SizeData!A$2:B$3839,2,FALSE)</f>
        <v/>
      </c>
      <c r="D2649" s="6" t="n">
        <v>1</v>
      </c>
      <c r="E2649" s="6" t="inlineStr">
        <is>
          <t>R1074089</t>
        </is>
      </c>
      <c r="F2649" s="2" t="n">
        <v>44288</v>
      </c>
      <c r="G2649" s="1" t="n"/>
    </row>
    <row r="2650">
      <c r="A2650" s="6" t="n">
        <v>58858</v>
      </c>
      <c r="B2650" s="6" t="inlineStr">
        <is>
          <t>JOSE CUERVO (JC) STRAWBERRY LIME (PET)</t>
        </is>
      </c>
      <c r="C2650" s="7">
        <f>VLOOKUP(A2650,SizeData!A$2:B$3839,2,FALSE)</f>
        <v/>
      </c>
      <c r="D2650" s="6" t="n">
        <v>4</v>
      </c>
      <c r="E2650" s="6" t="inlineStr">
        <is>
          <t>R1094763</t>
        </is>
      </c>
      <c r="F2650" s="2" t="n">
        <v>44312</v>
      </c>
      <c r="G2650" s="1" t="n"/>
    </row>
    <row r="2651">
      <c r="A2651" s="6" t="n">
        <v>58858</v>
      </c>
      <c r="B2651" s="6" t="inlineStr">
        <is>
          <t>JOSE CUERVO (JC) STRAWBERRY LIME (PET)</t>
        </is>
      </c>
      <c r="C2651" s="7">
        <f>VLOOKUP(A2651,SizeData!A$2:B$3839,2,FALSE)</f>
        <v/>
      </c>
      <c r="D2651" s="6" t="n">
        <v>5</v>
      </c>
      <c r="E2651" s="6" t="inlineStr">
        <is>
          <t>R1156117</t>
        </is>
      </c>
      <c r="F2651" s="2" t="n">
        <v>44362</v>
      </c>
      <c r="G2651" s="1" t="n"/>
    </row>
    <row r="2652">
      <c r="A2652" s="6" t="n">
        <v>58858</v>
      </c>
      <c r="B2652" s="6" t="inlineStr">
        <is>
          <t>JOSE CUERVO (JC) STRAWBERRY LIME (PET)</t>
        </is>
      </c>
      <c r="C2652" s="7">
        <f>VLOOKUP(A2652,SizeData!A$2:B$3839,2,FALSE)</f>
        <v/>
      </c>
      <c r="D2652" s="6" t="n">
        <v>1</v>
      </c>
      <c r="E2652" s="6" t="inlineStr">
        <is>
          <t>R1166672</t>
        </is>
      </c>
      <c r="F2652" s="2" t="n">
        <v>44375</v>
      </c>
      <c r="G2652" s="1" t="n"/>
    </row>
    <row r="2653">
      <c r="A2653" s="6" t="n">
        <v>58858</v>
      </c>
      <c r="B2653" s="6" t="inlineStr">
        <is>
          <t>JOSE CUERVO (JC) STRAWBERRY LIME (PET)</t>
        </is>
      </c>
      <c r="C2653" s="7">
        <f>VLOOKUP(A2653,SizeData!A$2:B$3839,2,FALSE)</f>
        <v/>
      </c>
      <c r="D2653" s="6" t="n">
        <v>4</v>
      </c>
      <c r="E2653" s="6" t="inlineStr">
        <is>
          <t>R1200565</t>
        </is>
      </c>
      <c r="F2653" s="2" t="n">
        <v>44411</v>
      </c>
      <c r="G2653" s="1" t="n"/>
    </row>
    <row r="2654">
      <c r="A2654" s="6" t="n">
        <v>58858</v>
      </c>
      <c r="B2654" s="6" t="inlineStr">
        <is>
          <t>JOSE CUERVO (JC) STRAWBERRY LIME (PET)</t>
        </is>
      </c>
      <c r="C2654" s="7">
        <f>VLOOKUP(A2654,SizeData!A$2:B$3839,2,FALSE)</f>
        <v/>
      </c>
      <c r="D2654" s="6" t="n">
        <v>3</v>
      </c>
      <c r="E2654" s="6" t="inlineStr">
        <is>
          <t>R1335695</t>
        </is>
      </c>
      <c r="F2654" s="2" t="n">
        <v>44525</v>
      </c>
      <c r="G2654" s="1" t="n"/>
    </row>
    <row r="2655">
      <c r="A2655" s="6" t="n">
        <v>58866</v>
      </c>
      <c r="B2655" s="6" t="inlineStr">
        <is>
          <t>CUERVO STRAWBERRY MARGARITA / 20PF</t>
        </is>
      </c>
      <c r="C2655" s="7">
        <f>VLOOKUP(A2655,SizeData!A$2:B$3839,2,FALSE)</f>
        <v/>
      </c>
      <c r="D2655" s="6" t="n">
        <v>1</v>
      </c>
      <c r="E2655" s="6" t="inlineStr">
        <is>
          <t>R1048765</t>
        </is>
      </c>
      <c r="F2655" s="2" t="n">
        <v>44265</v>
      </c>
      <c r="G2655" s="1" t="n"/>
    </row>
    <row r="2656">
      <c r="A2656" s="6" t="n">
        <v>58866</v>
      </c>
      <c r="B2656" s="6" t="inlineStr">
        <is>
          <t>CUERVO STRAWBERRY MARGARITA / 20PF</t>
        </is>
      </c>
      <c r="C2656" s="7">
        <f>VLOOKUP(A2656,SizeData!A$2:B$3839,2,FALSE)</f>
        <v/>
      </c>
      <c r="D2656" s="6" t="n">
        <v>1</v>
      </c>
      <c r="E2656" s="6" t="inlineStr">
        <is>
          <t>R1083538</t>
        </is>
      </c>
      <c r="F2656" s="2" t="n">
        <v>44292</v>
      </c>
      <c r="G2656" s="1" t="n"/>
    </row>
    <row r="2657">
      <c r="A2657" s="6" t="n">
        <v>58866</v>
      </c>
      <c r="B2657" s="6" t="inlineStr">
        <is>
          <t>CUERVO STRAWBERRY MARGARITA / 20PF</t>
        </is>
      </c>
      <c r="C2657" s="7">
        <f>VLOOKUP(A2657,SizeData!A$2:B$3839,2,FALSE)</f>
        <v/>
      </c>
      <c r="D2657" s="6" t="n">
        <v>2</v>
      </c>
      <c r="E2657" s="6" t="inlineStr">
        <is>
          <t>R1099905</t>
        </is>
      </c>
      <c r="F2657" s="2" t="n">
        <v>44310</v>
      </c>
      <c r="G2657" s="1" t="n"/>
    </row>
    <row r="2658">
      <c r="A2658" s="6" t="n">
        <v>58866</v>
      </c>
      <c r="B2658" s="6" t="inlineStr">
        <is>
          <t>CUERVO STRAWBERRY MARGARITA / 20PF</t>
        </is>
      </c>
      <c r="C2658" s="7">
        <f>VLOOKUP(A2658,SizeData!A$2:B$3839,2,FALSE)</f>
        <v/>
      </c>
      <c r="D2658" s="6" t="n">
        <v>1</v>
      </c>
      <c r="E2658" s="6" t="inlineStr">
        <is>
          <t>R1204006</t>
        </is>
      </c>
      <c r="F2658" s="2" t="n">
        <v>44415</v>
      </c>
      <c r="G2658" s="1" t="n"/>
    </row>
    <row r="2659">
      <c r="A2659" s="6" t="n">
        <v>58868</v>
      </c>
      <c r="B2659" s="6" t="inlineStr">
        <is>
          <t>CUERVO STRAWBERRY MARGARITA / 20PF</t>
        </is>
      </c>
      <c r="C2659" s="7">
        <f>VLOOKUP(A2659,SizeData!A$2:B$3839,2,FALSE)</f>
        <v/>
      </c>
      <c r="D2659" s="6" t="n">
        <v>1</v>
      </c>
      <c r="E2659" s="6" t="inlineStr">
        <is>
          <t>R994060</t>
        </is>
      </c>
      <c r="F2659" s="2" t="n">
        <v>44209</v>
      </c>
      <c r="G2659" s="1" t="n"/>
    </row>
    <row r="2660">
      <c r="A2660" s="6" t="n">
        <v>58868</v>
      </c>
      <c r="B2660" s="6" t="inlineStr">
        <is>
          <t>CUERVO STRAWBERRY MARGARITA / 20PF</t>
        </is>
      </c>
      <c r="C2660" s="7">
        <f>VLOOKUP(A2660,SizeData!A$2:B$3839,2,FALSE)</f>
        <v/>
      </c>
      <c r="D2660" s="6" t="n">
        <v>2</v>
      </c>
      <c r="E2660" s="6" t="inlineStr">
        <is>
          <t>R1016443</t>
        </is>
      </c>
      <c r="F2660" s="2" t="n">
        <v>44226</v>
      </c>
      <c r="G2660" s="1" t="n"/>
    </row>
    <row r="2661">
      <c r="A2661" s="6" t="n">
        <v>58868</v>
      </c>
      <c r="B2661" s="6" t="inlineStr">
        <is>
          <t>CUERVO STRAWBERRY MARGARITA / 20PF</t>
        </is>
      </c>
      <c r="C2661" s="7">
        <f>VLOOKUP(A2661,SizeData!A$2:B$3839,2,FALSE)</f>
        <v/>
      </c>
      <c r="D2661" s="6" t="n">
        <v>3</v>
      </c>
      <c r="E2661" s="6" t="inlineStr">
        <is>
          <t>R1126982</t>
        </is>
      </c>
      <c r="F2661" s="2" t="n">
        <v>44338</v>
      </c>
      <c r="G2661" s="1" t="n"/>
    </row>
    <row r="2662">
      <c r="A2662" s="6" t="n">
        <v>58868</v>
      </c>
      <c r="B2662" s="6" t="inlineStr">
        <is>
          <t>CUERVO STRAWBERRY MARGARITA / 20PF</t>
        </is>
      </c>
      <c r="C2662" s="7">
        <f>VLOOKUP(A2662,SizeData!A$2:B$3839,2,FALSE)</f>
        <v/>
      </c>
      <c r="D2662" s="6" t="n">
        <v>2</v>
      </c>
      <c r="E2662" s="6" t="inlineStr">
        <is>
          <t>R1189620</t>
        </is>
      </c>
      <c r="F2662" s="2" t="n">
        <v>44408</v>
      </c>
      <c r="G2662" s="1" t="n"/>
    </row>
    <row r="2663">
      <c r="A2663" s="6" t="n">
        <v>58868</v>
      </c>
      <c r="B2663" s="6" t="inlineStr">
        <is>
          <t>CUERVO STRAWBERRY MARGARITA / 20PF</t>
        </is>
      </c>
      <c r="C2663" s="7">
        <f>VLOOKUP(A2663,SizeData!A$2:B$3839,2,FALSE)</f>
        <v/>
      </c>
      <c r="D2663" s="6" t="n">
        <v>2</v>
      </c>
      <c r="E2663" s="6" t="inlineStr">
        <is>
          <t>R1228454</t>
        </is>
      </c>
      <c r="F2663" s="2" t="n">
        <v>44445</v>
      </c>
      <c r="G2663" s="1" t="n"/>
    </row>
    <row r="2664">
      <c r="A2664" s="6" t="n">
        <v>58868</v>
      </c>
      <c r="B2664" s="6" t="inlineStr">
        <is>
          <t>CUERVO STRAWBERRY MARGARITA / 20PF</t>
        </is>
      </c>
      <c r="C2664" s="7">
        <f>VLOOKUP(A2664,SizeData!A$2:B$3839,2,FALSE)</f>
        <v/>
      </c>
      <c r="D2664" s="6" t="n">
        <v>2</v>
      </c>
      <c r="E2664" s="6" t="inlineStr">
        <is>
          <t>R1341373</t>
        </is>
      </c>
      <c r="F2664" s="2" t="n">
        <v>44531</v>
      </c>
      <c r="G2664" s="1" t="n"/>
    </row>
    <row r="2665">
      <c r="A2665" s="6" t="n">
        <v>58868</v>
      </c>
      <c r="B2665" s="6" t="inlineStr">
        <is>
          <t>CUERVO STRAWBERRY MARGARITA / 20PF</t>
        </is>
      </c>
      <c r="C2665" s="7">
        <f>VLOOKUP(A2665,SizeData!A$2:B$3839,2,FALSE)</f>
        <v/>
      </c>
      <c r="D2665" s="6" t="n">
        <v>1</v>
      </c>
      <c r="E2665" s="6" t="inlineStr">
        <is>
          <t>R1348404</t>
        </is>
      </c>
      <c r="F2665" s="2" t="n">
        <v>44532</v>
      </c>
      <c r="G2665" s="1" t="n"/>
    </row>
    <row r="2666">
      <c r="A2666" s="6" t="n">
        <v>58868</v>
      </c>
      <c r="B2666" s="6" t="inlineStr">
        <is>
          <t>CUERVO STRAWBERRY MARGARITA / 20PF</t>
        </is>
      </c>
      <c r="C2666" s="7">
        <f>VLOOKUP(A2666,SizeData!A$2:B$3839,2,FALSE)</f>
        <v/>
      </c>
      <c r="D2666" s="6" t="n">
        <v>1</v>
      </c>
      <c r="E2666" s="6" t="inlineStr">
        <is>
          <t>R1348404</t>
        </is>
      </c>
      <c r="F2666" s="2" t="n">
        <v>44532</v>
      </c>
      <c r="G2666" s="1" t="n"/>
    </row>
    <row r="2667">
      <c r="A2667" s="6" t="n">
        <v>58874</v>
      </c>
      <c r="B2667" s="6" t="inlineStr">
        <is>
          <t>JOSE CUERVO AUTHENTIC PINK LEMONADE</t>
        </is>
      </c>
      <c r="C2667" s="7">
        <f>VLOOKUP(A2667,SizeData!A$2:B$3839,2,FALSE)</f>
        <v/>
      </c>
      <c r="D2667" s="6" t="n">
        <v>2</v>
      </c>
      <c r="E2667" s="6" t="inlineStr">
        <is>
          <t>R1008985</t>
        </is>
      </c>
      <c r="F2667" s="2" t="n">
        <v>44224</v>
      </c>
      <c r="G2667" s="1" t="n"/>
    </row>
    <row r="2668">
      <c r="A2668" s="6" t="n">
        <v>58874</v>
      </c>
      <c r="B2668" s="6" t="inlineStr">
        <is>
          <t>JOSE CUERVO AUTHENTIC PINK LEMONADE</t>
        </is>
      </c>
      <c r="C2668" s="7">
        <f>VLOOKUP(A2668,SizeData!A$2:B$3839,2,FALSE)</f>
        <v/>
      </c>
      <c r="D2668" s="6" t="n">
        <v>2</v>
      </c>
      <c r="E2668" s="6" t="inlineStr">
        <is>
          <t>R1126982</t>
        </is>
      </c>
      <c r="F2668" s="2" t="n">
        <v>44338</v>
      </c>
      <c r="G2668" s="1" t="n"/>
    </row>
    <row r="2669">
      <c r="A2669" s="6" t="n">
        <v>58874</v>
      </c>
      <c r="B2669" s="6" t="inlineStr">
        <is>
          <t>JOSE CUERVO AUTHENTIC PINK LEMONADE</t>
        </is>
      </c>
      <c r="C2669" s="7">
        <f>VLOOKUP(A2669,SizeData!A$2:B$3839,2,FALSE)</f>
        <v/>
      </c>
      <c r="D2669" s="6" t="n">
        <v>1</v>
      </c>
      <c r="E2669" s="6" t="inlineStr">
        <is>
          <t>R1235270</t>
        </is>
      </c>
      <c r="F2669" s="2" t="n">
        <v>44440</v>
      </c>
      <c r="G2669" s="1" t="inlineStr">
        <is>
          <t>Out of 2</t>
        </is>
      </c>
    </row>
    <row r="2670">
      <c r="A2670" s="6" t="n">
        <v>58874</v>
      </c>
      <c r="B2670" s="6" t="inlineStr">
        <is>
          <t>JOSE CUERVO AUTHENTIC PINK LEMONADE</t>
        </is>
      </c>
      <c r="C2670" s="7">
        <f>VLOOKUP(A2670,SizeData!A$2:B$3839,2,FALSE)</f>
        <v/>
      </c>
      <c r="D2670" s="6" t="n">
        <v>2</v>
      </c>
      <c r="E2670" s="6" t="inlineStr">
        <is>
          <t>R1239466</t>
        </is>
      </c>
      <c r="F2670" s="2" t="n">
        <v>44454</v>
      </c>
      <c r="G2670" s="1" t="n"/>
    </row>
    <row r="2671">
      <c r="A2671" s="6" t="n">
        <v>58874</v>
      </c>
      <c r="B2671" s="6" t="inlineStr">
        <is>
          <t>JOSE CUERVO AUTHENTIC PINK LEMONADE</t>
        </is>
      </c>
      <c r="C2671" s="7">
        <f>VLOOKUP(A2671,SizeData!A$2:B$3839,2,FALSE)</f>
        <v/>
      </c>
      <c r="D2671" s="6" t="n">
        <v>2</v>
      </c>
      <c r="E2671" s="6" t="inlineStr">
        <is>
          <t>R1341373</t>
        </is>
      </c>
      <c r="F2671" s="2" t="n">
        <v>44531</v>
      </c>
      <c r="G2671" s="1" t="n"/>
    </row>
    <row r="2672">
      <c r="A2672" s="6" t="n">
        <v>58875</v>
      </c>
      <c r="B2672" s="6" t="inlineStr">
        <is>
          <t>CUERVO GOLD MARGARITA</t>
        </is>
      </c>
      <c r="C2672" s="7">
        <f>VLOOKUP(A2672,SizeData!A$2:B$3839,2,FALSE)</f>
        <v/>
      </c>
      <c r="D2672" s="6" t="n">
        <v>1</v>
      </c>
      <c r="E2672" s="6" t="inlineStr">
        <is>
          <t>R1016443</t>
        </is>
      </c>
      <c r="F2672" s="2" t="n">
        <v>44226</v>
      </c>
      <c r="G2672" s="1" t="n"/>
    </row>
    <row r="2673">
      <c r="A2673" s="6" t="n">
        <v>58875</v>
      </c>
      <c r="B2673" s="6" t="inlineStr">
        <is>
          <t>CUERVO GOLD MARGARITA</t>
        </is>
      </c>
      <c r="C2673" s="7">
        <f>VLOOKUP(A2673,SizeData!A$2:B$3839,2,FALSE)</f>
        <v/>
      </c>
      <c r="D2673" s="6" t="n">
        <v>1</v>
      </c>
      <c r="E2673" s="6" t="inlineStr">
        <is>
          <t>R1074089</t>
        </is>
      </c>
      <c r="F2673" s="2" t="n">
        <v>44288</v>
      </c>
      <c r="G2673" s="1" t="n"/>
    </row>
    <row r="2674">
      <c r="A2674" s="6" t="n">
        <v>58875</v>
      </c>
      <c r="B2674" s="6" t="inlineStr">
        <is>
          <t>CUERVO GOLD MARGARITA</t>
        </is>
      </c>
      <c r="C2674" s="7">
        <f>VLOOKUP(A2674,SizeData!A$2:B$3839,2,FALSE)</f>
        <v/>
      </c>
      <c r="D2674" s="6" t="n">
        <v>1</v>
      </c>
      <c r="E2674" s="6" t="inlineStr">
        <is>
          <t>R1099905</t>
        </is>
      </c>
      <c r="F2674" s="2" t="n">
        <v>44310</v>
      </c>
      <c r="G2674" s="1" t="n"/>
    </row>
    <row r="2675">
      <c r="A2675" s="6" t="n">
        <v>58875</v>
      </c>
      <c r="B2675" s="6" t="inlineStr">
        <is>
          <t>CUERVO GOLD MARGARITA</t>
        </is>
      </c>
      <c r="C2675" s="7">
        <f>VLOOKUP(A2675,SizeData!A$2:B$3839,2,FALSE)</f>
        <v/>
      </c>
      <c r="D2675" s="6" t="n">
        <v>1</v>
      </c>
      <c r="E2675" s="6" t="inlineStr">
        <is>
          <t>R1137831</t>
        </is>
      </c>
      <c r="F2675" s="2" t="n">
        <v>44348</v>
      </c>
      <c r="G2675" s="1" t="n"/>
    </row>
    <row r="2676">
      <c r="A2676" s="6" t="n">
        <v>58875</v>
      </c>
      <c r="B2676" s="6" t="inlineStr">
        <is>
          <t>CUERVO GOLD MARGARITA</t>
        </is>
      </c>
      <c r="C2676" s="7">
        <f>VLOOKUP(A2676,SizeData!A$2:B$3839,2,FALSE)</f>
        <v/>
      </c>
      <c r="D2676" s="6" t="n">
        <v>1</v>
      </c>
      <c r="E2676" s="6" t="inlineStr">
        <is>
          <t>R1206028</t>
        </is>
      </c>
      <c r="F2676" s="2" t="n">
        <v>44417</v>
      </c>
      <c r="G2676" s="1" t="n"/>
    </row>
    <row r="2677">
      <c r="A2677" s="6" t="n">
        <v>58875</v>
      </c>
      <c r="B2677" s="6" t="inlineStr">
        <is>
          <t>CUERVO GOLD MARGARITA</t>
        </is>
      </c>
      <c r="C2677" s="7">
        <f>VLOOKUP(A2677,SizeData!A$2:B$3839,2,FALSE)</f>
        <v/>
      </c>
      <c r="D2677" s="6" t="n">
        <v>1</v>
      </c>
      <c r="E2677" s="6" t="inlineStr">
        <is>
          <t>R1264756</t>
        </is>
      </c>
      <c r="F2677" s="2" t="n">
        <v>44472</v>
      </c>
      <c r="G2677" s="1" t="n"/>
    </row>
    <row r="2678">
      <c r="A2678" s="6" t="n">
        <v>58875</v>
      </c>
      <c r="B2678" s="6" t="inlineStr">
        <is>
          <t>CUERVO GOLD MARGARITA</t>
        </is>
      </c>
      <c r="C2678" s="7">
        <f>VLOOKUP(A2678,SizeData!A$2:B$3839,2,FALSE)</f>
        <v/>
      </c>
      <c r="D2678" s="6" t="n">
        <v>2</v>
      </c>
      <c r="E2678" s="6" t="inlineStr">
        <is>
          <t>R1274548</t>
        </is>
      </c>
      <c r="F2678" s="2" t="n">
        <v>44485</v>
      </c>
      <c r="G2678" s="1" t="n"/>
    </row>
    <row r="2679">
      <c r="A2679" s="6" t="n">
        <v>58876</v>
      </c>
      <c r="B2679" s="6" t="inlineStr">
        <is>
          <t>CUERVO GOLD MARGARITA</t>
        </is>
      </c>
      <c r="C2679" s="7">
        <f>VLOOKUP(A2679,SizeData!A$2:B$3839,2,FALSE)</f>
        <v/>
      </c>
      <c r="D2679" s="6" t="n">
        <v>2</v>
      </c>
      <c r="E2679" s="6" t="inlineStr">
        <is>
          <t>R1132212</t>
        </is>
      </c>
      <c r="F2679" s="2" t="n">
        <v>44342</v>
      </c>
      <c r="G2679" s="1" t="n"/>
    </row>
    <row r="2680">
      <c r="A2680" s="6" t="n">
        <v>58876</v>
      </c>
      <c r="B2680" s="6" t="inlineStr">
        <is>
          <t>CUERVO GOLD MARGARITA</t>
        </is>
      </c>
      <c r="C2680" s="7">
        <f>VLOOKUP(A2680,SizeData!A$2:B$3839,2,FALSE)</f>
        <v/>
      </c>
      <c r="D2680" s="6" t="n">
        <v>1</v>
      </c>
      <c r="E2680" s="6" t="inlineStr">
        <is>
          <t>R1171594</t>
        </is>
      </c>
      <c r="F2680" s="2" t="n">
        <v>44392</v>
      </c>
      <c r="G2680" s="1" t="n"/>
    </row>
    <row r="2681">
      <c r="A2681" s="6" t="n">
        <v>58876</v>
      </c>
      <c r="B2681" s="6" t="inlineStr">
        <is>
          <t>CUERVO GOLD MARGARITA</t>
        </is>
      </c>
      <c r="C2681" s="7">
        <f>VLOOKUP(A2681,SizeData!A$2:B$3839,2,FALSE)</f>
        <v/>
      </c>
      <c r="D2681" s="6" t="n">
        <v>1</v>
      </c>
      <c r="E2681" s="6" t="inlineStr">
        <is>
          <t>R1301983</t>
        </is>
      </c>
      <c r="F2681" s="2" t="n">
        <v>44501</v>
      </c>
      <c r="G2681" s="1" t="n"/>
    </row>
    <row r="2682">
      <c r="A2682" s="6" t="n">
        <v>58877</v>
      </c>
      <c r="B2682" s="6" t="inlineStr">
        <is>
          <t>JOSE CUERVO GOLDEN STAW MARG</t>
        </is>
      </c>
      <c r="C2682" s="7">
        <f>VLOOKUP(A2682,SizeData!A$2:B$3839,2,FALSE)</f>
        <v/>
      </c>
      <c r="D2682" s="6" t="n">
        <v>1</v>
      </c>
      <c r="E2682" s="6" t="inlineStr">
        <is>
          <t>R1074089</t>
        </is>
      </c>
      <c r="F2682" s="2" t="n">
        <v>44288</v>
      </c>
      <c r="G2682" s="1" t="n"/>
    </row>
    <row r="2683">
      <c r="A2683" s="6" t="n">
        <v>58877</v>
      </c>
      <c r="B2683" s="6" t="inlineStr">
        <is>
          <t>JOSE CUERVO GOLDEN STAW MARG</t>
        </is>
      </c>
      <c r="C2683" s="7">
        <f>VLOOKUP(A2683,SizeData!A$2:B$3839,2,FALSE)</f>
        <v/>
      </c>
      <c r="D2683" s="6" t="n">
        <v>1</v>
      </c>
      <c r="E2683" s="6" t="inlineStr">
        <is>
          <t>R1141636</t>
        </is>
      </c>
      <c r="F2683" s="2" t="n">
        <v>44350</v>
      </c>
      <c r="G2683" s="1" t="n"/>
    </row>
    <row r="2684">
      <c r="A2684" s="6" t="n">
        <v>58877</v>
      </c>
      <c r="B2684" s="6" t="inlineStr">
        <is>
          <t>JOSE CUERVO GOLDEN STAW MARG</t>
        </is>
      </c>
      <c r="C2684" s="7">
        <f>VLOOKUP(A2684,SizeData!A$2:B$3839,2,FALSE)</f>
        <v/>
      </c>
      <c r="D2684" s="6" t="n">
        <v>1</v>
      </c>
      <c r="E2684" s="6" t="inlineStr">
        <is>
          <t>R1188262</t>
        </is>
      </c>
      <c r="F2684" s="2" t="n">
        <v>44409</v>
      </c>
      <c r="G2684" s="1" t="n"/>
    </row>
    <row r="2685">
      <c r="A2685" s="6" t="n">
        <v>58877</v>
      </c>
      <c r="B2685" s="6" t="inlineStr">
        <is>
          <t>JOSE CUERVO GOLDEN STAW MARG</t>
        </is>
      </c>
      <c r="C2685" s="7">
        <f>VLOOKUP(A2685,SizeData!A$2:B$3839,2,FALSE)</f>
        <v/>
      </c>
      <c r="D2685" s="6" t="n">
        <v>1</v>
      </c>
      <c r="E2685" s="6" t="inlineStr">
        <is>
          <t>R1253669</t>
        </is>
      </c>
      <c r="F2685" s="2" t="n">
        <v>44471</v>
      </c>
      <c r="G2685" s="1" t="n"/>
    </row>
    <row r="2686">
      <c r="A2686" s="6" t="n">
        <v>58877</v>
      </c>
      <c r="B2686" s="6" t="inlineStr">
        <is>
          <t>JOSE CUERVO GOLDEN STAW MARG</t>
        </is>
      </c>
      <c r="C2686" s="7">
        <f>VLOOKUP(A2686,SizeData!A$2:B$3839,2,FALSE)</f>
        <v/>
      </c>
      <c r="D2686" s="6" t="n">
        <v>0</v>
      </c>
      <c r="E2686" s="6" t="inlineStr">
        <is>
          <t>R1264756</t>
        </is>
      </c>
      <c r="F2686" s="2" t="n">
        <v>44472</v>
      </c>
      <c r="G2686" s="1" t="n"/>
    </row>
    <row r="2687">
      <c r="A2687" s="6" t="n">
        <v>58877</v>
      </c>
      <c r="B2687" s="6" t="inlineStr">
        <is>
          <t>JOSE CUERVO GOLDEN STAW MARG</t>
        </is>
      </c>
      <c r="C2687" s="7">
        <f>VLOOKUP(A2687,SizeData!A$2:B$3839,2,FALSE)</f>
        <v/>
      </c>
      <c r="D2687" s="6" t="n">
        <v>1</v>
      </c>
      <c r="E2687" s="6" t="inlineStr">
        <is>
          <t>R1259983</t>
        </is>
      </c>
      <c r="F2687" s="2" t="n">
        <v>44479</v>
      </c>
      <c r="G2687" s="1" t="n"/>
    </row>
    <row r="2688">
      <c r="A2688" s="6" t="n">
        <v>58877</v>
      </c>
      <c r="B2688" s="6" t="inlineStr">
        <is>
          <t>JOSE CUERVO GOLDEN STAW MARG</t>
        </is>
      </c>
      <c r="C2688" s="7">
        <f>VLOOKUP(A2688,SizeData!A$2:B$3839,2,FALSE)</f>
        <v/>
      </c>
      <c r="D2688" s="6" t="n">
        <v>0</v>
      </c>
      <c r="E2688" s="6" t="inlineStr">
        <is>
          <t>R1277647</t>
        </is>
      </c>
      <c r="F2688" s="2" t="n">
        <v>44484</v>
      </c>
      <c r="G2688" s="1" t="n"/>
    </row>
    <row r="2689">
      <c r="A2689" s="6" t="n">
        <v>58877</v>
      </c>
      <c r="B2689" s="6" t="inlineStr">
        <is>
          <t>JOSE CUERVO GOLDEN STAW MARG</t>
        </is>
      </c>
      <c r="C2689" s="7">
        <f>VLOOKUP(A2689,SizeData!A$2:B$3839,2,FALSE)</f>
        <v/>
      </c>
      <c r="D2689" s="6" t="n">
        <v>1</v>
      </c>
      <c r="E2689" s="6" t="inlineStr">
        <is>
          <t>R1284159</t>
        </is>
      </c>
      <c r="F2689" s="2" t="n">
        <v>44488</v>
      </c>
      <c r="G2689" s="1" t="n"/>
    </row>
    <row r="2690">
      <c r="A2690" s="6" t="n">
        <v>58877</v>
      </c>
      <c r="B2690" s="6" t="inlineStr">
        <is>
          <t>JOSE CUERVO GOLDEN STAW MARG</t>
        </is>
      </c>
      <c r="C2690" s="7">
        <f>VLOOKUP(A2690,SizeData!A$2:B$3839,2,FALSE)</f>
        <v/>
      </c>
      <c r="D2690" s="6" t="n">
        <v>1</v>
      </c>
      <c r="E2690" s="6" t="inlineStr">
        <is>
          <t>R1298726</t>
        </is>
      </c>
      <c r="F2690" s="2" t="n">
        <v>44497</v>
      </c>
      <c r="G2690" s="1" t="n"/>
    </row>
    <row r="2691">
      <c r="A2691" s="6" t="n">
        <v>58914</v>
      </c>
      <c r="B2691" s="6" t="inlineStr">
        <is>
          <t>JOSE CUERVO AUTHENTIC SPARKLING LIME CANS</t>
        </is>
      </c>
      <c r="C2691" s="7">
        <f>VLOOKUP(A2691,SizeData!A$2:B$3839,2,FALSE)</f>
        <v/>
      </c>
      <c r="D2691" s="6" t="n">
        <v>1</v>
      </c>
      <c r="E2691" s="6" t="inlineStr">
        <is>
          <t>R1092837</t>
        </is>
      </c>
      <c r="F2691" s="2" t="n">
        <v>44299</v>
      </c>
      <c r="G2691" s="1" t="n"/>
    </row>
    <row r="2692">
      <c r="A2692" s="6" t="n">
        <v>58914</v>
      </c>
      <c r="B2692" s="6" t="inlineStr">
        <is>
          <t>JOSE CUERVO AUTHENTIC SPARKLING LIME CANS</t>
        </is>
      </c>
      <c r="C2692" s="7">
        <f>VLOOKUP(A2692,SizeData!A$2:B$3839,2,FALSE)</f>
        <v/>
      </c>
      <c r="D2692" s="6" t="n">
        <v>1</v>
      </c>
      <c r="E2692" s="6" t="inlineStr">
        <is>
          <t>R1167152</t>
        </is>
      </c>
      <c r="F2692" s="2" t="n">
        <v>44376</v>
      </c>
      <c r="G2692" s="1" t="n"/>
    </row>
    <row r="2693">
      <c r="A2693" s="6" t="n">
        <v>58914</v>
      </c>
      <c r="B2693" s="6" t="inlineStr">
        <is>
          <t>JOSE CUERVO AUTHENTIC SPARKLING LIME CANS</t>
        </is>
      </c>
      <c r="C2693" s="7">
        <f>VLOOKUP(A2693,SizeData!A$2:B$3839,2,FALSE)</f>
        <v/>
      </c>
      <c r="D2693" s="6" t="n">
        <v>2</v>
      </c>
      <c r="E2693" s="6" t="inlineStr">
        <is>
          <t>R1318654</t>
        </is>
      </c>
      <c r="F2693" s="2" t="n">
        <v>44513</v>
      </c>
      <c r="G2693" s="1" t="n"/>
    </row>
    <row r="2694">
      <c r="A2694" s="6" t="n">
        <v>58918</v>
      </c>
      <c r="B2694" s="6" t="inlineStr">
        <is>
          <t>JOSE CUERVO AUTHENTIC STRAWBERRY CANS</t>
        </is>
      </c>
      <c r="C2694" s="7">
        <f>VLOOKUP(A2694,SizeData!A$2:B$3839,2,FALSE)</f>
        <v/>
      </c>
      <c r="D2694" s="6" t="n">
        <v>1</v>
      </c>
      <c r="E2694" s="6" t="inlineStr">
        <is>
          <t>R994060</t>
        </is>
      </c>
      <c r="F2694" s="2" t="n">
        <v>44209</v>
      </c>
      <c r="G2694" s="1" t="n"/>
    </row>
    <row r="2695">
      <c r="A2695" s="6" t="n">
        <v>58918</v>
      </c>
      <c r="B2695" s="6" t="inlineStr">
        <is>
          <t>JOSE CUERVO AUTHENTIC STRAWBERRY CANS</t>
        </is>
      </c>
      <c r="C2695" s="7">
        <f>VLOOKUP(A2695,SizeData!A$2:B$3839,2,FALSE)</f>
        <v/>
      </c>
      <c r="D2695" s="6" t="n">
        <v>1</v>
      </c>
      <c r="E2695" s="6" t="inlineStr">
        <is>
          <t>R1092837</t>
        </is>
      </c>
      <c r="F2695" s="2" t="n">
        <v>44299</v>
      </c>
      <c r="G2695" s="1" t="n"/>
    </row>
    <row r="2696">
      <c r="A2696" s="6" t="n">
        <v>58918</v>
      </c>
      <c r="B2696" s="6" t="inlineStr">
        <is>
          <t>JOSE CUERVO AUTHENTIC STRAWBERRY CANS</t>
        </is>
      </c>
      <c r="C2696" s="7">
        <f>VLOOKUP(A2696,SizeData!A$2:B$3839,2,FALSE)</f>
        <v/>
      </c>
      <c r="D2696" s="6" t="n">
        <v>1</v>
      </c>
      <c r="E2696" s="6" t="inlineStr">
        <is>
          <t>R1209774</t>
        </is>
      </c>
      <c r="F2696" s="2" t="n">
        <v>44433</v>
      </c>
      <c r="G2696" s="1" t="n"/>
    </row>
    <row r="2697">
      <c r="A2697" s="6" t="n">
        <v>58918</v>
      </c>
      <c r="B2697" s="6" t="inlineStr">
        <is>
          <t>JOSE CUERVO AUTHENTIC STRAWBERRY CANS</t>
        </is>
      </c>
      <c r="C2697" s="7">
        <f>VLOOKUP(A2697,SizeData!A$2:B$3839,2,FALSE)</f>
        <v/>
      </c>
      <c r="D2697" s="6" t="n">
        <v>2</v>
      </c>
      <c r="E2697" s="6" t="inlineStr">
        <is>
          <t>R1335695</t>
        </is>
      </c>
      <c r="F2697" s="2" t="n">
        <v>44525</v>
      </c>
      <c r="G2697" s="1" t="n"/>
    </row>
    <row r="2698">
      <c r="A2698" s="6" t="n">
        <v>59100</v>
      </c>
      <c r="B2698" s="6" t="inlineStr">
        <is>
          <t>EVAN WILLIAMS EGG NOG</t>
        </is>
      </c>
      <c r="C2698" s="7">
        <f>VLOOKUP(A2698,SizeData!A$2:B$3839,2,FALSE)</f>
        <v/>
      </c>
      <c r="D2698" s="6" t="n">
        <v>30</v>
      </c>
      <c r="E2698" s="6" t="inlineStr">
        <is>
          <t>R1279681</t>
        </is>
      </c>
      <c r="F2698" s="2" t="n">
        <v>44487</v>
      </c>
      <c r="G2698" s="1" t="n"/>
    </row>
    <row r="2699">
      <c r="A2699" s="6" t="n">
        <v>59101</v>
      </c>
      <c r="B2699" s="6" t="inlineStr">
        <is>
          <t>EVAN WILLIAMS EGG NOG</t>
        </is>
      </c>
      <c r="C2699" s="7">
        <f>VLOOKUP(A2699,SizeData!A$2:B$3839,2,FALSE)</f>
        <v/>
      </c>
      <c r="D2699" s="6" t="n">
        <v>5</v>
      </c>
      <c r="E2699" s="6" t="inlineStr">
        <is>
          <t>R1285811</t>
        </is>
      </c>
      <c r="F2699" s="2" t="n">
        <v>44474</v>
      </c>
      <c r="G2699" s="1" t="n"/>
    </row>
    <row r="2700">
      <c r="A2700" s="6" t="n">
        <v>59154</v>
      </c>
      <c r="B2700" s="6" t="inlineStr">
        <is>
          <t>1800 ULTIMATE MARGARITA RTD</t>
        </is>
      </c>
      <c r="C2700" s="7">
        <f>VLOOKUP(A2700,SizeData!A$2:B$3839,2,FALSE)</f>
        <v/>
      </c>
      <c r="D2700" s="6" t="n">
        <v>3</v>
      </c>
      <c r="E2700" s="6" t="inlineStr">
        <is>
          <t>R1007161</t>
        </is>
      </c>
      <c r="F2700" s="2" t="n">
        <v>44217</v>
      </c>
      <c r="G2700" s="1" t="n"/>
    </row>
    <row r="2701">
      <c r="A2701" s="6" t="n">
        <v>59154</v>
      </c>
      <c r="B2701" s="6" t="inlineStr">
        <is>
          <t>1800 ULTIMATE MARGARITA RTD</t>
        </is>
      </c>
      <c r="C2701" s="7">
        <f>VLOOKUP(A2701,SizeData!A$2:B$3839,2,FALSE)</f>
        <v/>
      </c>
      <c r="D2701" s="6" t="n">
        <v>2</v>
      </c>
      <c r="E2701" s="6" t="inlineStr">
        <is>
          <t>R1038616</t>
        </is>
      </c>
      <c r="F2701" s="2" t="n">
        <v>44251</v>
      </c>
      <c r="G2701" s="1" t="n"/>
    </row>
    <row r="2702">
      <c r="A2702" s="6" t="n">
        <v>59154</v>
      </c>
      <c r="B2702" s="6" t="inlineStr">
        <is>
          <t>1800 ULTIMATE MARGARITA RTD</t>
        </is>
      </c>
      <c r="C2702" s="7">
        <f>VLOOKUP(A2702,SizeData!A$2:B$3839,2,FALSE)</f>
        <v/>
      </c>
      <c r="D2702" s="6" t="n">
        <v>1</v>
      </c>
      <c r="E2702" s="6" t="inlineStr">
        <is>
          <t>R1054435</t>
        </is>
      </c>
      <c r="F2702" s="2" t="n">
        <v>44272</v>
      </c>
      <c r="G2702" s="1" t="n"/>
    </row>
    <row r="2703">
      <c r="A2703" s="6" t="n">
        <v>59154</v>
      </c>
      <c r="B2703" s="6" t="inlineStr">
        <is>
          <t>1800 ULTIMATE MARGARITA RTD</t>
        </is>
      </c>
      <c r="C2703" s="7">
        <f>VLOOKUP(A2703,SizeData!A$2:B$3839,2,FALSE)</f>
        <v/>
      </c>
      <c r="D2703" s="6" t="n">
        <v>2</v>
      </c>
      <c r="E2703" s="6" t="inlineStr">
        <is>
          <t xml:space="preserve"> R1079980</t>
        </is>
      </c>
      <c r="F2703" s="2" t="n">
        <v>44302</v>
      </c>
      <c r="G2703" s="1" t="n"/>
    </row>
    <row r="2704">
      <c r="A2704" s="6" t="n">
        <v>59154</v>
      </c>
      <c r="B2704" s="6" t="inlineStr">
        <is>
          <t>1800 ULTIMATE MARGARITA RTD</t>
        </is>
      </c>
      <c r="C2704" s="7">
        <f>VLOOKUP(A2704,SizeData!A$2:B$3839,2,FALSE)</f>
        <v/>
      </c>
      <c r="D2704" s="6" t="n">
        <v>2</v>
      </c>
      <c r="E2704" s="6" t="inlineStr">
        <is>
          <t>R1099905</t>
        </is>
      </c>
      <c r="F2704" s="2" t="n">
        <v>44310</v>
      </c>
      <c r="G2704" s="1" t="n"/>
    </row>
    <row r="2705">
      <c r="A2705" s="6" t="n">
        <v>59154</v>
      </c>
      <c r="B2705" s="6" t="inlineStr">
        <is>
          <t>1800 ULTIMATE MARGARITA RTD</t>
        </is>
      </c>
      <c r="C2705" s="7">
        <f>VLOOKUP(A2705,SizeData!A$2:B$3839,2,FALSE)</f>
        <v/>
      </c>
      <c r="D2705" s="6" t="n">
        <v>1</v>
      </c>
      <c r="E2705" s="6" t="inlineStr">
        <is>
          <t>R1137831</t>
        </is>
      </c>
      <c r="F2705" s="2" t="n">
        <v>44348</v>
      </c>
      <c r="G2705" s="1" t="n"/>
    </row>
    <row r="2706">
      <c r="A2706" s="6" t="n">
        <v>59154</v>
      </c>
      <c r="B2706" s="6" t="inlineStr">
        <is>
          <t>1800 ULTIMATE MARGARITA RTD</t>
        </is>
      </c>
      <c r="C2706" s="7">
        <f>VLOOKUP(A2706,SizeData!A$2:B$3839,2,FALSE)</f>
        <v/>
      </c>
      <c r="D2706" s="6" t="n">
        <v>2</v>
      </c>
      <c r="E2706" s="6" t="inlineStr">
        <is>
          <t>R1160852</t>
        </is>
      </c>
      <c r="F2706" s="2" t="n">
        <v>44366</v>
      </c>
      <c r="G2706" s="1" t="n"/>
    </row>
    <row r="2707">
      <c r="A2707" s="6" t="n">
        <v>59154</v>
      </c>
      <c r="B2707" s="6" t="inlineStr">
        <is>
          <t>1800 ULTIMATE MARGARITA RTD</t>
        </is>
      </c>
      <c r="C2707" s="7">
        <f>VLOOKUP(A2707,SizeData!A$2:B$3839,2,FALSE)</f>
        <v/>
      </c>
      <c r="D2707" s="6" t="n">
        <v>1</v>
      </c>
      <c r="E2707" s="6" t="inlineStr">
        <is>
          <t>R1163907</t>
        </is>
      </c>
      <c r="F2707" s="2" t="n">
        <v>44373</v>
      </c>
      <c r="G2707" s="1" t="n"/>
    </row>
    <row r="2708">
      <c r="A2708" s="6" t="n">
        <v>59154</v>
      </c>
      <c r="B2708" s="6" t="inlineStr">
        <is>
          <t>1800 ULTIMATE MARGARITA RTD</t>
        </is>
      </c>
      <c r="C2708" s="7">
        <f>VLOOKUP(A2708,SizeData!A$2:B$3839,2,FALSE)</f>
        <v/>
      </c>
      <c r="D2708" s="6" t="n">
        <v>4</v>
      </c>
      <c r="E2708" s="6" t="inlineStr">
        <is>
          <t>R1188262</t>
        </is>
      </c>
      <c r="F2708" s="2" t="n">
        <v>44409</v>
      </c>
      <c r="G2708" s="1" t="n"/>
    </row>
    <row r="2709">
      <c r="A2709" s="6" t="n">
        <v>59154</v>
      </c>
      <c r="B2709" s="6" t="inlineStr">
        <is>
          <t>1800 ULTIMATE MARGARITA RTD</t>
        </is>
      </c>
      <c r="C2709" s="7">
        <f>VLOOKUP(A2709,SizeData!A$2:B$3839,2,FALSE)</f>
        <v/>
      </c>
      <c r="D2709" s="6" t="n">
        <v>2</v>
      </c>
      <c r="E2709" s="6" t="inlineStr">
        <is>
          <t>R1275378</t>
        </is>
      </c>
      <c r="F2709" s="2" t="n">
        <v>44478</v>
      </c>
      <c r="G2709" s="1" t="n"/>
    </row>
    <row r="2710">
      <c r="A2710" s="6" t="n">
        <v>59154</v>
      </c>
      <c r="B2710" s="6" t="inlineStr">
        <is>
          <t>1800 ULTIMATE MARGARITA RTD</t>
        </is>
      </c>
      <c r="C2710" s="7">
        <f>VLOOKUP(A2710,SizeData!A$2:B$3839,2,FALSE)</f>
        <v/>
      </c>
      <c r="D2710" s="6" t="n">
        <v>5</v>
      </c>
      <c r="E2710" s="6" t="inlineStr">
        <is>
          <t>R1356782</t>
        </is>
      </c>
      <c r="F2710" s="2" t="n">
        <v>44534</v>
      </c>
      <c r="G2710" s="1" t="n"/>
    </row>
    <row r="2711">
      <c r="A2711" s="6" t="n">
        <v>59159</v>
      </c>
      <c r="B2711" s="6" t="inlineStr">
        <is>
          <t>1800 ULTIMATE RASPBERRY</t>
        </is>
      </c>
      <c r="C2711" s="7">
        <f>VLOOKUP(A2711,SizeData!A$2:B$3839,2,FALSE)</f>
        <v/>
      </c>
      <c r="D2711" s="6" t="n">
        <v>2</v>
      </c>
      <c r="E2711" s="6" t="inlineStr">
        <is>
          <t>R995987</t>
        </is>
      </c>
      <c r="F2711" s="2" t="n">
        <v>44216</v>
      </c>
      <c r="G2711" s="1" t="n"/>
    </row>
    <row r="2712">
      <c r="A2712" s="6" t="n">
        <v>59161</v>
      </c>
      <c r="B2712" s="6" t="inlineStr">
        <is>
          <t>1800 ULTIMATE PEACH MARGARITA</t>
        </is>
      </c>
      <c r="C2712" s="7">
        <f>VLOOKUP(A2712,SizeData!A$2:B$3839,2,FALSE)</f>
        <v/>
      </c>
      <c r="D2712" s="6" t="n">
        <v>10</v>
      </c>
      <c r="E2712" s="6" t="inlineStr">
        <is>
          <t>R997568</t>
        </is>
      </c>
      <c r="F2712" s="2" t="n">
        <v>44210</v>
      </c>
      <c r="G2712" s="1" t="n"/>
    </row>
    <row r="2713">
      <c r="A2713" s="6" t="n">
        <v>59161</v>
      </c>
      <c r="B2713" s="6" t="inlineStr">
        <is>
          <t>1800 ULTIMATE PEACH MARGARITA</t>
        </is>
      </c>
      <c r="C2713" s="7">
        <f>VLOOKUP(A2713,SizeData!A$2:B$3839,2,FALSE)</f>
        <v/>
      </c>
      <c r="D2713" s="6" t="n">
        <v>3</v>
      </c>
      <c r="E2713" s="6" t="inlineStr">
        <is>
          <t>R1002566</t>
        </is>
      </c>
      <c r="F2713" s="2" t="n">
        <v>44224</v>
      </c>
      <c r="G2713" s="1" t="n"/>
    </row>
    <row r="2714">
      <c r="A2714" s="6" t="n">
        <v>59161</v>
      </c>
      <c r="B2714" s="6" t="inlineStr">
        <is>
          <t>1800 ULTIMATE PEACH MARGARITA</t>
        </is>
      </c>
      <c r="C2714" s="7">
        <f>VLOOKUP(A2714,SizeData!A$2:B$3839,2,FALSE)</f>
        <v/>
      </c>
      <c r="D2714" s="6" t="n">
        <v>10</v>
      </c>
      <c r="E2714" s="6" t="inlineStr">
        <is>
          <t>R1037896</t>
        </is>
      </c>
      <c r="F2714" s="2" t="n">
        <v>44258</v>
      </c>
      <c r="G2714" s="1" t="n"/>
    </row>
    <row r="2715">
      <c r="A2715" s="6" t="n">
        <v>59161</v>
      </c>
      <c r="B2715" s="6" t="inlineStr">
        <is>
          <t>1800 ULTIMATE PEACH MARGARITA</t>
        </is>
      </c>
      <c r="C2715" s="7">
        <f>VLOOKUP(A2715,SizeData!A$2:B$3839,2,FALSE)</f>
        <v/>
      </c>
      <c r="D2715" s="6" t="n">
        <v>8</v>
      </c>
      <c r="E2715" s="6" t="inlineStr">
        <is>
          <t>R1137596</t>
        </is>
      </c>
      <c r="F2715" s="2" t="n">
        <v>44359</v>
      </c>
      <c r="G2715" s="1" t="n"/>
    </row>
    <row r="2716">
      <c r="A2716" s="6" t="n">
        <v>59161</v>
      </c>
      <c r="B2716" s="6" t="inlineStr">
        <is>
          <t>1800 ULTIMATE PEACH MARGARITA</t>
        </is>
      </c>
      <c r="C2716" s="7">
        <f>VLOOKUP(A2716,SizeData!A$2:B$3839,2,FALSE)</f>
        <v/>
      </c>
      <c r="D2716" s="6" t="n">
        <v>10</v>
      </c>
      <c r="E2716" s="6" t="inlineStr">
        <is>
          <t>R1188262</t>
        </is>
      </c>
      <c r="F2716" s="2" t="n">
        <v>44409</v>
      </c>
      <c r="G2716" s="1" t="n"/>
    </row>
    <row r="2717">
      <c r="A2717" s="6" t="n">
        <v>59161</v>
      </c>
      <c r="B2717" s="6" t="inlineStr">
        <is>
          <t>1800 ULTIMATE PEACH MARGARITA</t>
        </is>
      </c>
      <c r="C2717" s="7">
        <f>VLOOKUP(A2717,SizeData!A$2:B$3839,2,FALSE)</f>
        <v/>
      </c>
      <c r="D2717" s="6" t="n">
        <v>4</v>
      </c>
      <c r="E2717" s="6" t="inlineStr">
        <is>
          <t xml:space="preserve"> R1206104</t>
        </is>
      </c>
      <c r="F2717" s="2" t="n">
        <v>44413</v>
      </c>
      <c r="G2717" s="1" t="n"/>
    </row>
    <row r="2718">
      <c r="A2718" s="6" t="n">
        <v>59161</v>
      </c>
      <c r="B2718" s="6" t="inlineStr">
        <is>
          <t>1800 ULTIMATE PEACH MARGARITA</t>
        </is>
      </c>
      <c r="C2718" s="7">
        <f>VLOOKUP(A2718,SizeData!A$2:B$3839,2,FALSE)</f>
        <v/>
      </c>
      <c r="D2718" s="6" t="n">
        <v>1</v>
      </c>
      <c r="E2718" s="6" t="inlineStr">
        <is>
          <t xml:space="preserve"> R1204784</t>
        </is>
      </c>
      <c r="F2718" s="2" t="n">
        <v>44421</v>
      </c>
      <c r="G2718" s="1" t="n"/>
    </row>
    <row r="2719">
      <c r="A2719" s="6" t="n">
        <v>59161</v>
      </c>
      <c r="B2719" s="6" t="inlineStr">
        <is>
          <t>1800 ULTIMATE PEACH MARGARITA</t>
        </is>
      </c>
      <c r="C2719" s="7">
        <f>VLOOKUP(A2719,SizeData!A$2:B$3839,2,FALSE)</f>
        <v/>
      </c>
      <c r="D2719" s="6" t="n">
        <v>10</v>
      </c>
      <c r="E2719" s="6" t="inlineStr">
        <is>
          <t>R1352405</t>
        </is>
      </c>
      <c r="F2719" s="2" t="n">
        <v>44532</v>
      </c>
      <c r="G2719" s="1" t="n"/>
    </row>
    <row r="2720">
      <c r="A2720" s="6" t="n">
        <v>59161</v>
      </c>
      <c r="B2720" s="6" t="inlineStr">
        <is>
          <t>1800 ULTIMATE PEACH MARGARITA</t>
        </is>
      </c>
      <c r="C2720" s="7">
        <f>VLOOKUP(A2720,SizeData!A$2:B$3839,2,FALSE)</f>
        <v/>
      </c>
      <c r="D2720" s="6" t="n">
        <v>5</v>
      </c>
      <c r="E2720" s="6" t="inlineStr">
        <is>
          <t>R1360587</t>
        </is>
      </c>
      <c r="F2720" s="2" t="n">
        <v>44538</v>
      </c>
      <c r="G2720" s="1" t="n"/>
    </row>
    <row r="2721">
      <c r="A2721" s="6" t="n">
        <v>59162</v>
      </c>
      <c r="B2721" s="6" t="inlineStr">
        <is>
          <t>1800 ULTIMATE PINEAPPLE MAR.</t>
        </is>
      </c>
      <c r="C2721" s="7">
        <f>VLOOKUP(A2721,SizeData!A$2:B$3839,2,FALSE)</f>
        <v/>
      </c>
      <c r="D2721" s="6" t="n">
        <v>10</v>
      </c>
      <c r="E2721" s="6" t="inlineStr">
        <is>
          <t>R1002566</t>
        </is>
      </c>
      <c r="F2721" s="2" t="n">
        <v>44224</v>
      </c>
      <c r="G2721" s="1" t="n"/>
    </row>
    <row r="2722">
      <c r="A2722" s="6" t="n">
        <v>59162</v>
      </c>
      <c r="B2722" s="6" t="inlineStr">
        <is>
          <t>1800 ULTIMATE PINEAPPLE MAR.</t>
        </is>
      </c>
      <c r="C2722" s="7">
        <f>VLOOKUP(A2722,SizeData!A$2:B$3839,2,FALSE)</f>
        <v/>
      </c>
      <c r="D2722" s="6" t="n">
        <v>10</v>
      </c>
      <c r="E2722" s="6" t="inlineStr">
        <is>
          <t>R1047727</t>
        </is>
      </c>
      <c r="F2722" s="2" t="n">
        <v>44258</v>
      </c>
      <c r="G2722" s="1" t="n"/>
    </row>
    <row r="2723">
      <c r="A2723" s="6" t="n">
        <v>59162</v>
      </c>
      <c r="B2723" s="6" t="inlineStr">
        <is>
          <t>1800 ULTIMATE PINEAPPLE MAR.</t>
        </is>
      </c>
      <c r="C2723" s="7">
        <f>VLOOKUP(A2723,SizeData!A$2:B$3839,2,FALSE)</f>
        <v/>
      </c>
      <c r="D2723" s="6" t="n">
        <v>10</v>
      </c>
      <c r="E2723" s="6" t="inlineStr">
        <is>
          <t>R1068678</t>
        </is>
      </c>
      <c r="F2723" s="2" t="n">
        <v>44285</v>
      </c>
      <c r="G2723" s="1" t="n"/>
    </row>
    <row r="2724">
      <c r="A2724" s="6" t="n">
        <v>59162</v>
      </c>
      <c r="B2724" s="6" t="inlineStr">
        <is>
          <t>1800 ULTIMATE PINEAPPLE MAR.</t>
        </is>
      </c>
      <c r="C2724" s="7">
        <f>VLOOKUP(A2724,SizeData!A$2:B$3839,2,FALSE)</f>
        <v/>
      </c>
      <c r="D2724" s="6" t="n">
        <v>8</v>
      </c>
      <c r="E2724" s="6" t="inlineStr">
        <is>
          <t>R1115090</t>
        </is>
      </c>
      <c r="F2724" s="2" t="n">
        <v>44315</v>
      </c>
      <c r="G2724" s="1" t="n"/>
    </row>
    <row r="2725">
      <c r="A2725" s="6" t="n">
        <v>59162</v>
      </c>
      <c r="B2725" s="6" t="inlineStr">
        <is>
          <t>1800 ULTIMATE PINEAPPLE MAR.</t>
        </is>
      </c>
      <c r="C2725" s="7">
        <f>VLOOKUP(A2725,SizeData!A$2:B$3839,2,FALSE)</f>
        <v/>
      </c>
      <c r="D2725" s="6" t="n">
        <v>7</v>
      </c>
      <c r="E2725" s="6" t="inlineStr">
        <is>
          <t xml:space="preserve"> R1170886</t>
        </is>
      </c>
      <c r="F2725" s="2" t="n">
        <v>44384</v>
      </c>
      <c r="G2725" s="1" t="n"/>
    </row>
    <row r="2726">
      <c r="A2726" s="6" t="n">
        <v>59162</v>
      </c>
      <c r="B2726" s="6" t="inlineStr">
        <is>
          <t>1800 ULTIMATE PINEAPPLE MAR.</t>
        </is>
      </c>
      <c r="C2726" s="7">
        <f>VLOOKUP(A2726,SizeData!A$2:B$3839,2,FALSE)</f>
        <v/>
      </c>
      <c r="D2726" s="6" t="n">
        <v>10</v>
      </c>
      <c r="E2726" s="6" t="inlineStr">
        <is>
          <t>R1201836</t>
        </is>
      </c>
      <c r="F2726" s="2" t="n">
        <v>44412</v>
      </c>
      <c r="G2726" s="1" t="n"/>
    </row>
    <row r="2727">
      <c r="A2727" s="6" t="n">
        <v>59162</v>
      </c>
      <c r="B2727" s="6" t="inlineStr">
        <is>
          <t>1800 ULTIMATE PINEAPPLE MAR.</t>
        </is>
      </c>
      <c r="C2727" s="7">
        <f>VLOOKUP(A2727,SizeData!A$2:B$3839,2,FALSE)</f>
        <v/>
      </c>
      <c r="D2727" s="6" t="n">
        <v>10</v>
      </c>
      <c r="E2727" s="6" t="inlineStr">
        <is>
          <t>R1216501</t>
        </is>
      </c>
      <c r="F2727" s="2" t="n">
        <v>44420</v>
      </c>
      <c r="G2727" s="1" t="n"/>
    </row>
    <row r="2728">
      <c r="A2728" s="6" t="n">
        <v>59162</v>
      </c>
      <c r="B2728" s="6" t="inlineStr">
        <is>
          <t>1800 ULTIMATE PINEAPPLE MAR.</t>
        </is>
      </c>
      <c r="C2728" s="7">
        <f>VLOOKUP(A2728,SizeData!A$2:B$3839,2,FALSE)</f>
        <v/>
      </c>
      <c r="D2728" s="6" t="n">
        <v>6</v>
      </c>
      <c r="E2728" s="6" t="inlineStr">
        <is>
          <t>R1275378</t>
        </is>
      </c>
      <c r="F2728" s="2" t="n">
        <v>44478</v>
      </c>
      <c r="G2728" s="1" t="n"/>
    </row>
    <row r="2729">
      <c r="A2729" s="6" t="n">
        <v>59162</v>
      </c>
      <c r="B2729" s="6" t="inlineStr">
        <is>
          <t>1800 ULTIMATE PINEAPPLE MAR.</t>
        </is>
      </c>
      <c r="C2729" s="7">
        <f>VLOOKUP(A2729,SizeData!A$2:B$3839,2,FALSE)</f>
        <v/>
      </c>
      <c r="D2729" s="6" t="n">
        <v>9</v>
      </c>
      <c r="E2729" s="6" t="inlineStr">
        <is>
          <t>R1352405</t>
        </is>
      </c>
      <c r="F2729" s="2" t="n">
        <v>44532</v>
      </c>
      <c r="G2729" s="1" t="n"/>
    </row>
    <row r="2730">
      <c r="A2730" s="6" t="n">
        <v>59162</v>
      </c>
      <c r="B2730" s="6" t="inlineStr">
        <is>
          <t>1800 ULTIMATE PINEAPPLE MAR.</t>
        </is>
      </c>
      <c r="C2730" s="7">
        <f>VLOOKUP(A2730,SizeData!A$2:B$3839,2,FALSE)</f>
        <v/>
      </c>
      <c r="D2730" s="6" t="n">
        <v>1</v>
      </c>
      <c r="E2730" s="6" t="inlineStr">
        <is>
          <t>R1352405</t>
        </is>
      </c>
      <c r="F2730" s="2" t="n">
        <v>44532</v>
      </c>
      <c r="G2730" s="1" t="n"/>
    </row>
    <row r="2731">
      <c r="A2731" s="6" t="n">
        <v>59162</v>
      </c>
      <c r="B2731" s="6" t="inlineStr">
        <is>
          <t>1800 ULTIMATE PINEAPPLE MAR.</t>
        </is>
      </c>
      <c r="C2731" s="7">
        <f>VLOOKUP(A2731,SizeData!A$2:B$3839,2,FALSE)</f>
        <v/>
      </c>
      <c r="D2731" s="6" t="n">
        <v>2</v>
      </c>
      <c r="E2731" s="6" t="inlineStr">
        <is>
          <t>R1360587</t>
        </is>
      </c>
      <c r="F2731" s="2" t="n">
        <v>44538</v>
      </c>
      <c r="G2731" s="1" t="n"/>
    </row>
    <row r="2732">
      <c r="A2732" s="6" t="n">
        <v>59163</v>
      </c>
      <c r="B2732" s="6" t="inlineStr">
        <is>
          <t>1800 WATERMELON RTD TEQUILA</t>
        </is>
      </c>
      <c r="C2732" s="7">
        <f>VLOOKUP(A2732,SizeData!A$2:B$3839,2,FALSE)</f>
        <v/>
      </c>
      <c r="D2732" s="6" t="n">
        <v>10</v>
      </c>
      <c r="E2732" s="6" t="inlineStr">
        <is>
          <t>R1037896</t>
        </is>
      </c>
      <c r="F2732" s="2" t="n">
        <v>44258</v>
      </c>
      <c r="G2732" s="1" t="n"/>
    </row>
    <row r="2733">
      <c r="A2733" s="6" t="n">
        <v>59163</v>
      </c>
      <c r="B2733" s="6" t="inlineStr">
        <is>
          <t>1800 WATERMELON RTD TEQUILA</t>
        </is>
      </c>
      <c r="C2733" s="7">
        <f>VLOOKUP(A2733,SizeData!A$2:B$3839,2,FALSE)</f>
        <v/>
      </c>
      <c r="D2733" s="6" t="n">
        <v>5</v>
      </c>
      <c r="E2733" s="6" t="inlineStr">
        <is>
          <t>R1083819</t>
        </is>
      </c>
      <c r="F2733" s="2" t="n">
        <v>44292</v>
      </c>
      <c r="G2733" s="1" t="n"/>
    </row>
    <row r="2734">
      <c r="A2734" s="6" t="n">
        <v>59163</v>
      </c>
      <c r="B2734" s="6" t="inlineStr">
        <is>
          <t>1800 WATERMELON RTD TEQUILA</t>
        </is>
      </c>
      <c r="C2734" s="7">
        <f>VLOOKUP(A2734,SizeData!A$2:B$3839,2,FALSE)</f>
        <v/>
      </c>
      <c r="D2734" s="6" t="n">
        <v>2</v>
      </c>
      <c r="E2734" s="6" t="inlineStr">
        <is>
          <t>R1128764</t>
        </is>
      </c>
      <c r="F2734" s="2" t="n">
        <v>44336</v>
      </c>
      <c r="G2734" s="1" t="n"/>
    </row>
    <row r="2735">
      <c r="A2735" s="6" t="n">
        <v>59163</v>
      </c>
      <c r="B2735" s="6" t="inlineStr">
        <is>
          <t>1800 WATERMELON RTD TEQUILA</t>
        </is>
      </c>
      <c r="C2735" s="7">
        <f>VLOOKUP(A2735,SizeData!A$2:B$3839,2,FALSE)</f>
        <v/>
      </c>
      <c r="D2735" s="6" t="n">
        <v>10</v>
      </c>
      <c r="E2735" s="6" t="inlineStr">
        <is>
          <t>R1211502</t>
        </is>
      </c>
      <c r="F2735" s="2" t="n">
        <v>44418</v>
      </c>
      <c r="G2735" s="1" t="n"/>
    </row>
    <row r="2736">
      <c r="A2736" s="6" t="n">
        <v>59180</v>
      </c>
      <c r="B2736" s="6" t="inlineStr">
        <is>
          <t>1800 SPICY ULTIMATE MARGARITA</t>
        </is>
      </c>
      <c r="C2736" s="7">
        <f>VLOOKUP(A2736,SizeData!A$2:B$3839,2,FALSE)</f>
        <v/>
      </c>
      <c r="D2736" s="6" t="n">
        <v>1</v>
      </c>
      <c r="E2736" s="6" t="inlineStr">
        <is>
          <t>R1154725</t>
        </is>
      </c>
      <c r="F2736" s="2" t="n">
        <v>44376</v>
      </c>
      <c r="G2736" s="1" t="n"/>
    </row>
    <row r="2737">
      <c r="A2737" s="6" t="n">
        <v>59182</v>
      </c>
      <c r="B2737" s="6" t="inlineStr">
        <is>
          <t>1800 ULTIMATE MANGO MARGARITA RTD</t>
        </is>
      </c>
      <c r="C2737" s="7">
        <f>VLOOKUP(A2737,SizeData!A$2:B$3839,2,FALSE)</f>
        <v/>
      </c>
      <c r="D2737" s="6" t="n">
        <v>10</v>
      </c>
      <c r="E2737" s="6" t="inlineStr">
        <is>
          <t>R995987</t>
        </is>
      </c>
      <c r="F2737" s="2" t="n">
        <v>44216</v>
      </c>
      <c r="G2737" s="1" t="inlineStr">
        <is>
          <t> </t>
        </is>
      </c>
    </row>
    <row r="2738">
      <c r="A2738" s="6" t="n">
        <v>59182</v>
      </c>
      <c r="B2738" s="6" t="inlineStr">
        <is>
          <t>1800 ULTIMATE MANGO MARGARITA RTD</t>
        </is>
      </c>
      <c r="C2738" s="7">
        <f>VLOOKUP(A2738,SizeData!A$2:B$3839,2,FALSE)</f>
        <v/>
      </c>
      <c r="D2738" s="6" t="n">
        <v>5</v>
      </c>
      <c r="E2738" s="6" t="inlineStr">
        <is>
          <t>R1076321</t>
        </is>
      </c>
      <c r="F2738" s="2" t="n">
        <v>44281</v>
      </c>
      <c r="G2738" s="1" t="n"/>
    </row>
    <row r="2739">
      <c r="A2739" s="6" t="n">
        <v>59182</v>
      </c>
      <c r="B2739" s="6" t="inlineStr">
        <is>
          <t>1800 ULTIMATE MANGO MARGARITA RTD</t>
        </is>
      </c>
      <c r="C2739" s="7">
        <f>VLOOKUP(A2739,SizeData!A$2:B$3839,2,FALSE)</f>
        <v/>
      </c>
      <c r="D2739" s="6" t="n">
        <v>4</v>
      </c>
      <c r="E2739" s="6" t="inlineStr">
        <is>
          <t>R1163907</t>
        </is>
      </c>
      <c r="F2739" s="2" t="n">
        <v>44373</v>
      </c>
      <c r="G2739" s="1" t="n"/>
    </row>
    <row r="2740">
      <c r="A2740" s="6" t="n">
        <v>59182</v>
      </c>
      <c r="B2740" s="6" t="inlineStr">
        <is>
          <t>1800 ULTIMATE MANGO MARGARITA RTD</t>
        </is>
      </c>
      <c r="C2740" s="7">
        <f>VLOOKUP(A2740,SizeData!A$2:B$3839,2,FALSE)</f>
        <v/>
      </c>
      <c r="D2740" s="6" t="n">
        <v>5</v>
      </c>
      <c r="E2740" s="6" t="inlineStr">
        <is>
          <t>R1225343</t>
        </is>
      </c>
      <c r="F2740" s="2" t="n">
        <v>44427</v>
      </c>
      <c r="G2740" s="1" t="n"/>
    </row>
    <row r="2741">
      <c r="A2741" s="6" t="n">
        <v>59182</v>
      </c>
      <c r="B2741" s="6" t="inlineStr">
        <is>
          <t>1800 ULTIMATE MANGO MARGARITA RTD</t>
        </is>
      </c>
      <c r="C2741" s="7">
        <f>VLOOKUP(A2741,SizeData!A$2:B$3839,2,FALSE)</f>
        <v/>
      </c>
      <c r="D2741" s="6" t="n">
        <v>2</v>
      </c>
      <c r="E2741" s="6" t="inlineStr">
        <is>
          <t>R1219842</t>
        </is>
      </c>
      <c r="F2741" s="2" t="n">
        <v>44434</v>
      </c>
      <c r="G2741" s="1" t="n"/>
    </row>
    <row r="2742">
      <c r="A2742" s="6" t="n">
        <v>59182</v>
      </c>
      <c r="B2742" s="6" t="inlineStr">
        <is>
          <t>1800 ULTIMATE MANGO MARGARITA RTD</t>
        </is>
      </c>
      <c r="C2742" s="7">
        <f>VLOOKUP(A2742,SizeData!A$2:B$3839,2,FALSE)</f>
        <v/>
      </c>
      <c r="D2742" s="6" t="n">
        <v>3</v>
      </c>
      <c r="E2742" s="6" t="inlineStr">
        <is>
          <t>R1228029</t>
        </is>
      </c>
      <c r="F2742" s="2" t="n">
        <v>44439</v>
      </c>
      <c r="G2742" s="1" t="n"/>
    </row>
    <row r="2743">
      <c r="A2743" s="6" t="n">
        <v>59182</v>
      </c>
      <c r="B2743" s="6" t="inlineStr">
        <is>
          <t>1800 ULTIMATE MANGO MARGARITA RTD</t>
        </is>
      </c>
      <c r="C2743" s="7">
        <f>VLOOKUP(A2743,SizeData!A$2:B$3839,2,FALSE)</f>
        <v/>
      </c>
      <c r="D2743" s="6" t="n">
        <v>0</v>
      </c>
      <c r="E2743" s="6" t="inlineStr">
        <is>
          <t>R1264756</t>
        </is>
      </c>
      <c r="F2743" s="2" t="n">
        <v>44472</v>
      </c>
      <c r="G2743" s="1" t="n"/>
    </row>
    <row r="2744">
      <c r="A2744" s="6" t="n">
        <v>59182</v>
      </c>
      <c r="B2744" s="6" t="inlineStr">
        <is>
          <t>1800 ULTIMATE MANGO MARGARITA RTD</t>
        </is>
      </c>
      <c r="C2744" s="7">
        <f>VLOOKUP(A2744,SizeData!A$2:B$3839,2,FALSE)</f>
        <v/>
      </c>
      <c r="D2744" s="6" t="n">
        <v>0</v>
      </c>
      <c r="E2744" s="6" t="inlineStr">
        <is>
          <t>R1264995</t>
        </is>
      </c>
      <c r="F2744" s="2" t="n">
        <v>44475</v>
      </c>
      <c r="G2744" s="1" t="n"/>
    </row>
    <row r="2745">
      <c r="A2745" s="6" t="n">
        <v>59182</v>
      </c>
      <c r="B2745" s="6" t="inlineStr">
        <is>
          <t>1800 ULTIMATE MANGO MARGARITA RTD</t>
        </is>
      </c>
      <c r="C2745" s="7">
        <f>VLOOKUP(A2745,SizeData!A$2:B$3839,2,FALSE)</f>
        <v/>
      </c>
      <c r="D2745" s="6" t="n">
        <v>0</v>
      </c>
      <c r="E2745" s="6" t="inlineStr">
        <is>
          <t>R1284159</t>
        </is>
      </c>
      <c r="F2745" s="2" t="n">
        <v>44488</v>
      </c>
      <c r="G2745" s="1" t="n"/>
    </row>
    <row r="2746">
      <c r="A2746" s="6" t="n">
        <v>59182</v>
      </c>
      <c r="B2746" s="6" t="inlineStr">
        <is>
          <t>1800 ULTIMATE MANGO MARGARITA RTD</t>
        </is>
      </c>
      <c r="C2746" s="7">
        <f>VLOOKUP(A2746,SizeData!A$2:B$3839,2,FALSE)</f>
        <v/>
      </c>
      <c r="D2746" s="6" t="n">
        <v>4</v>
      </c>
      <c r="E2746" s="6" t="inlineStr">
        <is>
          <t>R1297007</t>
        </is>
      </c>
      <c r="F2746" s="2" t="n">
        <v>44490</v>
      </c>
      <c r="G2746" s="1" t="n"/>
    </row>
    <row r="2747">
      <c r="A2747" s="6" t="n">
        <v>59182</v>
      </c>
      <c r="B2747" s="6" t="inlineStr">
        <is>
          <t>1800 ULTIMATE MANGO MARGARITA RTD</t>
        </is>
      </c>
      <c r="C2747" s="7">
        <f>VLOOKUP(A2747,SizeData!A$2:B$3839,2,FALSE)</f>
        <v/>
      </c>
      <c r="D2747" s="6" t="n">
        <v>1</v>
      </c>
      <c r="E2747" s="6" t="inlineStr">
        <is>
          <t>R1291275</t>
        </is>
      </c>
      <c r="F2747" s="2" t="n">
        <v>44498</v>
      </c>
      <c r="G2747" s="1" t="n"/>
    </row>
    <row r="2748">
      <c r="A2748" s="6" t="n">
        <v>59182</v>
      </c>
      <c r="B2748" s="6" t="inlineStr">
        <is>
          <t>1800 ULTIMATE MANGO MARGARITA RTD</t>
        </is>
      </c>
      <c r="C2748" s="7">
        <f>VLOOKUP(A2748,SizeData!A$2:B$3839,2,FALSE)</f>
        <v/>
      </c>
      <c r="D2748" s="6" t="n">
        <v>3</v>
      </c>
      <c r="E2748" s="6" t="inlineStr">
        <is>
          <t>R1356782</t>
        </is>
      </c>
      <c r="F2748" s="2" t="n">
        <v>44534</v>
      </c>
      <c r="G2748" s="1" t="n"/>
    </row>
    <row r="2749">
      <c r="A2749" s="6" t="n">
        <v>59192</v>
      </c>
      <c r="B2749" s="6" t="inlineStr">
        <is>
          <t>1800 BLACK CHERRY ULTIMATE MARGARITA</t>
        </is>
      </c>
      <c r="C2749" s="7">
        <f>VLOOKUP(A2749,SizeData!A$2:B$3839,2,FALSE)</f>
        <v/>
      </c>
      <c r="D2749" s="6" t="n">
        <v>3</v>
      </c>
      <c r="E2749" s="6" t="inlineStr">
        <is>
          <t>R1094602</t>
        </is>
      </c>
      <c r="F2749" s="2" t="n">
        <v>44301</v>
      </c>
      <c r="G2749" s="1" t="n"/>
    </row>
    <row r="2750">
      <c r="A2750" s="6" t="n">
        <v>59192</v>
      </c>
      <c r="B2750" s="6" t="inlineStr">
        <is>
          <t>1800 BLACK CHERRY ULTIMATE MARGARITA</t>
        </is>
      </c>
      <c r="C2750" s="7">
        <f>VLOOKUP(A2750,SizeData!A$2:B$3839,2,FALSE)</f>
        <v/>
      </c>
      <c r="D2750" s="6" t="n">
        <v>1</v>
      </c>
      <c r="E2750" s="6" t="inlineStr">
        <is>
          <t xml:space="preserve"> R1107264</t>
        </is>
      </c>
      <c r="F2750" s="2" t="n">
        <v>44317</v>
      </c>
      <c r="G2750" s="1" t="n"/>
    </row>
    <row r="2751">
      <c r="A2751" s="6" t="n">
        <v>59192</v>
      </c>
      <c r="B2751" s="6" t="inlineStr">
        <is>
          <t>1800 BLACK CHERRY ULTIMATE MARGARITA</t>
        </is>
      </c>
      <c r="C2751" s="7">
        <f>VLOOKUP(A2751,SizeData!A$2:B$3839,2,FALSE)</f>
        <v/>
      </c>
      <c r="D2751" s="6" t="n">
        <v>2</v>
      </c>
      <c r="E2751" s="6" t="inlineStr">
        <is>
          <t>R1137831</t>
        </is>
      </c>
      <c r="F2751" s="2" t="n">
        <v>44348</v>
      </c>
      <c r="G2751" s="1" t="n"/>
    </row>
    <row r="2752">
      <c r="A2752" s="6" t="n">
        <v>59192</v>
      </c>
      <c r="B2752" s="6" t="inlineStr">
        <is>
          <t>1800 BLACK CHERRY ULTIMATE MARGARITA</t>
        </is>
      </c>
      <c r="C2752" s="7">
        <f>VLOOKUP(A2752,SizeData!A$2:B$3839,2,FALSE)</f>
        <v/>
      </c>
      <c r="D2752" s="6" t="n">
        <v>2</v>
      </c>
      <c r="E2752" s="6" t="inlineStr">
        <is>
          <t>R1134134</t>
        </is>
      </c>
      <c r="F2752" s="2" t="n">
        <v>44354</v>
      </c>
      <c r="G2752" s="1" t="n"/>
    </row>
    <row r="2753">
      <c r="A2753" s="6" t="n">
        <v>59192</v>
      </c>
      <c r="B2753" s="6" t="inlineStr">
        <is>
          <t>1800 BLACK CHERRY ULTIMATE MARGARITA</t>
        </is>
      </c>
      <c r="C2753" s="7">
        <f>VLOOKUP(A2753,SizeData!A$2:B$3839,2,FALSE)</f>
        <v/>
      </c>
      <c r="D2753" s="6" t="n">
        <v>2</v>
      </c>
      <c r="E2753" s="6" t="inlineStr">
        <is>
          <t>R1159919</t>
        </is>
      </c>
      <c r="F2753" s="2" t="n">
        <v>44370</v>
      </c>
      <c r="G2753" s="1" t="n"/>
    </row>
    <row r="2754">
      <c r="A2754" s="6" t="n">
        <v>59192</v>
      </c>
      <c r="B2754" s="6" t="inlineStr">
        <is>
          <t>1800 BLACK CHERRY ULTIMATE MARGARITA</t>
        </is>
      </c>
      <c r="C2754" s="7">
        <f>VLOOKUP(A2754,SizeData!A$2:B$3839,2,FALSE)</f>
        <v/>
      </c>
      <c r="D2754" s="6" t="n">
        <v>1</v>
      </c>
      <c r="E2754" s="6" t="inlineStr">
        <is>
          <t>R1163907</t>
        </is>
      </c>
      <c r="F2754" s="2" t="n">
        <v>44373</v>
      </c>
      <c r="G2754" s="1" t="n"/>
    </row>
    <row r="2755">
      <c r="A2755" s="6" t="n">
        <v>59192</v>
      </c>
      <c r="B2755" s="6" t="inlineStr">
        <is>
          <t>1800 BLACK CHERRY ULTIMATE MARGARITA</t>
        </is>
      </c>
      <c r="C2755" s="7">
        <f>VLOOKUP(A2755,SizeData!A$2:B$3839,2,FALSE)</f>
        <v/>
      </c>
      <c r="D2755" s="6" t="n">
        <v>1</v>
      </c>
      <c r="E2755" s="6" t="inlineStr">
        <is>
          <t>R1154725</t>
        </is>
      </c>
      <c r="F2755" s="2" t="n">
        <v>44376</v>
      </c>
      <c r="G2755" s="1" t="n"/>
    </row>
    <row r="2756">
      <c r="A2756" s="6" t="n">
        <v>59192</v>
      </c>
      <c r="B2756" s="6" t="inlineStr">
        <is>
          <t>1800 BLACK CHERRY ULTIMATE MARGARITA</t>
        </is>
      </c>
      <c r="C2756" s="7">
        <f>VLOOKUP(A2756,SizeData!A$2:B$3839,2,FALSE)</f>
        <v/>
      </c>
      <c r="D2756" s="6" t="n">
        <v>6</v>
      </c>
      <c r="E2756" s="6" t="inlineStr">
        <is>
          <t>R1201836</t>
        </is>
      </c>
      <c r="F2756" s="2" t="n">
        <v>44412</v>
      </c>
      <c r="G2756" s="1" t="n"/>
    </row>
    <row r="2757">
      <c r="A2757" s="6" t="n">
        <v>59192</v>
      </c>
      <c r="B2757" s="6" t="inlineStr">
        <is>
          <t>1800 BLACK CHERRY ULTIMATE MARGARITA</t>
        </is>
      </c>
      <c r="C2757" s="7">
        <f>VLOOKUP(A2757,SizeData!A$2:B$3839,2,FALSE)</f>
        <v/>
      </c>
      <c r="D2757" s="6" t="n">
        <v>0</v>
      </c>
      <c r="E2757" s="6" t="inlineStr">
        <is>
          <t>R1253669</t>
        </is>
      </c>
      <c r="F2757" s="2" t="n">
        <v>44471</v>
      </c>
      <c r="G2757" s="1" t="n"/>
    </row>
    <row r="2758">
      <c r="A2758" s="6" t="n">
        <v>59192</v>
      </c>
      <c r="B2758" s="6" t="inlineStr">
        <is>
          <t>1800 BLACK CHERRY ULTIMATE MARGARITA</t>
        </is>
      </c>
      <c r="C2758" s="7">
        <f>VLOOKUP(A2758,SizeData!A$2:B$3839,2,FALSE)</f>
        <v/>
      </c>
      <c r="D2758" s="6" t="n">
        <v>4</v>
      </c>
      <c r="E2758" s="6" t="inlineStr">
        <is>
          <t>R1275378</t>
        </is>
      </c>
      <c r="F2758" s="2" t="n">
        <v>44478</v>
      </c>
      <c r="G2758" s="1" t="n"/>
    </row>
    <row r="2759">
      <c r="A2759" s="6" t="n">
        <v>59192</v>
      </c>
      <c r="B2759" s="6" t="inlineStr">
        <is>
          <t>1800 BLACK CHERRY ULTIMATE MARGARITA</t>
        </is>
      </c>
      <c r="C2759" s="7">
        <f>VLOOKUP(A2759,SizeData!A$2:B$3839,2,FALSE)</f>
        <v/>
      </c>
      <c r="D2759" s="6" t="n">
        <v>3</v>
      </c>
      <c r="E2759" s="6" t="inlineStr">
        <is>
          <t xml:space="preserve"> R1358938</t>
        </is>
      </c>
      <c r="F2759" s="2" t="n">
        <v>44538</v>
      </c>
      <c r="G2759" s="1" t="n"/>
    </row>
    <row r="2760">
      <c r="A2760" s="6" t="n">
        <v>61616</v>
      </c>
      <c r="B2760" s="6" t="inlineStr">
        <is>
          <t>PENNSYLVANIA DUTCH EGG NOG</t>
        </is>
      </c>
      <c r="C2760" s="7">
        <f>VLOOKUP(A2760,SizeData!A$2:B$3839,2,FALSE)</f>
        <v/>
      </c>
      <c r="D2760" s="6" t="n">
        <v>4</v>
      </c>
      <c r="E2760" s="6" t="inlineStr">
        <is>
          <t>R1276082</t>
        </is>
      </c>
      <c r="F2760" s="2" t="n">
        <v>44480</v>
      </c>
      <c r="G2760" s="1" t="n"/>
    </row>
    <row r="2761">
      <c r="A2761" s="6" t="n">
        <v>62089</v>
      </c>
      <c r="B2761" s="6" t="inlineStr">
        <is>
          <t>KAHLUA RTD WHITE RUSSIAN</t>
        </is>
      </c>
      <c r="C2761" s="7">
        <f>VLOOKUP(A2761,SizeData!A$2:B$3839,2,FALSE)</f>
        <v/>
      </c>
      <c r="D2761" s="6" t="n">
        <v>1</v>
      </c>
      <c r="E2761" s="6" t="inlineStr">
        <is>
          <t>R1129655</t>
        </is>
      </c>
      <c r="F2761" s="2" t="n">
        <v>44347</v>
      </c>
      <c r="G2761" s="1" t="n"/>
    </row>
    <row r="2762">
      <c r="A2762" s="6" t="n">
        <v>62089</v>
      </c>
      <c r="B2762" s="6" t="inlineStr">
        <is>
          <t>KAHLUA RTD WHITE RUSSIAN</t>
        </is>
      </c>
      <c r="C2762" s="7">
        <f>VLOOKUP(A2762,SizeData!A$2:B$3839,2,FALSE)</f>
        <v/>
      </c>
      <c r="D2762" s="6" t="n">
        <v>1</v>
      </c>
      <c r="E2762" s="6" t="inlineStr">
        <is>
          <t>R1228454</t>
        </is>
      </c>
      <c r="F2762" s="2" t="n">
        <v>44445</v>
      </c>
      <c r="G2762" s="1" t="n"/>
    </row>
    <row r="2763">
      <c r="A2763" s="6" t="n">
        <v>62114</v>
      </c>
      <c r="B2763" s="6" t="inlineStr">
        <is>
          <t>MONTEBELLO LONG ISLAND ICED TEA</t>
        </is>
      </c>
      <c r="C2763" s="7">
        <f>VLOOKUP(A2763,SizeData!A$2:B$3839,2,FALSE)</f>
        <v/>
      </c>
      <c r="D2763" s="6" t="n">
        <v>1</v>
      </c>
      <c r="E2763" s="6" t="inlineStr">
        <is>
          <t>R1003015</t>
        </is>
      </c>
      <c r="F2763" s="2" t="n">
        <v>44216</v>
      </c>
      <c r="G2763" s="1" t="n"/>
    </row>
    <row r="2764">
      <c r="A2764" s="6" t="n">
        <v>62114</v>
      </c>
      <c r="B2764" s="6" t="inlineStr">
        <is>
          <t>MONTEBELLO LONG ISLAND ICED TEA</t>
        </is>
      </c>
      <c r="C2764" s="7">
        <f>VLOOKUP(A2764,SizeData!A$2:B$3839,2,FALSE)</f>
        <v/>
      </c>
      <c r="D2764" s="6" t="n">
        <v>1</v>
      </c>
      <c r="E2764" s="6" t="inlineStr">
        <is>
          <t>R1025870</t>
        </is>
      </c>
      <c r="F2764" s="2" t="n">
        <v>44229</v>
      </c>
      <c r="G2764" s="1" t="n"/>
    </row>
    <row r="2765">
      <c r="A2765" s="6" t="n">
        <v>62114</v>
      </c>
      <c r="B2765" s="6" t="inlineStr">
        <is>
          <t>MONTEBELLO LONG ISLAND ICED TEA</t>
        </is>
      </c>
      <c r="C2765" s="7">
        <f>VLOOKUP(A2765,SizeData!A$2:B$3839,2,FALSE)</f>
        <v/>
      </c>
      <c r="D2765" s="6" t="n">
        <v>1</v>
      </c>
      <c r="E2765" s="6" t="inlineStr">
        <is>
          <t>R1028756</t>
        </is>
      </c>
      <c r="F2765" s="2" t="n">
        <v>44239</v>
      </c>
      <c r="G2765" s="1" t="n"/>
    </row>
    <row r="2766">
      <c r="A2766" s="6" t="n">
        <v>62114</v>
      </c>
      <c r="B2766" s="6" t="inlineStr">
        <is>
          <t>MONTEBELLO LONG ISLAND ICED TEA</t>
        </is>
      </c>
      <c r="C2766" s="7">
        <f>VLOOKUP(A2766,SizeData!A$2:B$3839,2,FALSE)</f>
        <v/>
      </c>
      <c r="D2766" s="6" t="n">
        <v>1</v>
      </c>
      <c r="E2766" s="6" t="inlineStr">
        <is>
          <t>R1084456</t>
        </is>
      </c>
      <c r="F2766" s="2" t="n">
        <v>44301</v>
      </c>
      <c r="G2766" s="1" t="n"/>
    </row>
    <row r="2767">
      <c r="A2767" s="6" t="n">
        <v>62114</v>
      </c>
      <c r="B2767" s="6" t="inlineStr">
        <is>
          <t>MONTEBELLO LONG ISLAND ICED TEA</t>
        </is>
      </c>
      <c r="C2767" s="7">
        <f>VLOOKUP(A2767,SizeData!A$2:B$3839,2,FALSE)</f>
        <v/>
      </c>
      <c r="D2767" s="6" t="n">
        <v>1</v>
      </c>
      <c r="E2767" s="6" t="inlineStr">
        <is>
          <t>R1163907</t>
        </is>
      </c>
      <c r="F2767" s="2" t="n">
        <v>44373</v>
      </c>
      <c r="G2767" s="1" t="n"/>
    </row>
    <row r="2768">
      <c r="A2768" s="6" t="n">
        <v>62114</v>
      </c>
      <c r="B2768" s="6" t="inlineStr">
        <is>
          <t>MONTEBELLO LONG ISLAND ICED TEA</t>
        </is>
      </c>
      <c r="C2768" s="7">
        <f>VLOOKUP(A2768,SizeData!A$2:B$3839,2,FALSE)</f>
        <v/>
      </c>
      <c r="D2768" s="6" t="n">
        <v>1</v>
      </c>
      <c r="E2768" s="6" t="inlineStr">
        <is>
          <t xml:space="preserve"> R1211770</t>
        </is>
      </c>
      <c r="F2768" s="2" t="n">
        <v>44427</v>
      </c>
      <c r="G2768" s="1" t="n"/>
    </row>
    <row r="2769">
      <c r="A2769" s="6" t="n">
        <v>62114</v>
      </c>
      <c r="B2769" s="6" t="inlineStr">
        <is>
          <t>MONTEBELLO LONG ISLAND ICED TEA</t>
        </is>
      </c>
      <c r="C2769" s="7">
        <f>VLOOKUP(A2769,SizeData!A$2:B$3839,2,FALSE)</f>
        <v/>
      </c>
      <c r="D2769" s="6" t="n">
        <v>2</v>
      </c>
      <c r="E2769" s="6" t="inlineStr">
        <is>
          <t>R1329660</t>
        </is>
      </c>
      <c r="F2769" s="2" t="n">
        <v>44525</v>
      </c>
      <c r="G2769" s="1" t="n"/>
    </row>
    <row r="2770">
      <c r="A2770" s="6" t="n">
        <v>62116</v>
      </c>
      <c r="B2770" s="6" t="inlineStr">
        <is>
          <t>MONTEBELLO LONG ISLAND ICED TEA</t>
        </is>
      </c>
      <c r="C2770" s="7">
        <f>VLOOKUP(A2770,SizeData!A$2:B$3839,2,FALSE)</f>
        <v/>
      </c>
      <c r="D2770" s="6" t="n">
        <v>1</v>
      </c>
      <c r="E2770" s="6" t="inlineStr">
        <is>
          <t>R1003015</t>
        </is>
      </c>
      <c r="F2770" s="2" t="n">
        <v>44216</v>
      </c>
      <c r="G2770" s="1" t="n"/>
    </row>
    <row r="2771">
      <c r="A2771" s="6" t="n">
        <v>62116</v>
      </c>
      <c r="B2771" s="6" t="inlineStr">
        <is>
          <t>MONTEBELLO LONG ISLAND ICED TEA</t>
        </is>
      </c>
      <c r="C2771" s="7">
        <f>VLOOKUP(A2771,SizeData!A$2:B$3839,2,FALSE)</f>
        <v/>
      </c>
      <c r="D2771" s="6" t="n">
        <v>1</v>
      </c>
      <c r="E2771" s="6" t="inlineStr">
        <is>
          <t>R1028756</t>
        </is>
      </c>
      <c r="F2771" s="2" t="n">
        <v>44239</v>
      </c>
      <c r="G2771" s="1" t="n"/>
    </row>
    <row r="2772">
      <c r="A2772" s="6" t="n">
        <v>62116</v>
      </c>
      <c r="B2772" s="6" t="inlineStr">
        <is>
          <t>MONTEBELLO LONG ISLAND ICED TEA</t>
        </is>
      </c>
      <c r="C2772" s="7">
        <f>VLOOKUP(A2772,SizeData!A$2:B$3839,2,FALSE)</f>
        <v/>
      </c>
      <c r="D2772" s="6" t="n">
        <v>1</v>
      </c>
      <c r="E2772" s="6" t="inlineStr">
        <is>
          <t>R1039467</t>
        </is>
      </c>
      <c r="F2772" s="2" t="n">
        <v>44266</v>
      </c>
      <c r="G2772" s="1" t="n"/>
    </row>
    <row r="2773">
      <c r="A2773" s="6" t="n">
        <v>62116</v>
      </c>
      <c r="B2773" s="6" t="inlineStr">
        <is>
          <t>MONTEBELLO LONG ISLAND ICED TEA</t>
        </is>
      </c>
      <c r="C2773" s="7">
        <f>VLOOKUP(A2773,SizeData!A$2:B$3839,2,FALSE)</f>
        <v/>
      </c>
      <c r="D2773" s="6" t="n">
        <v>1</v>
      </c>
      <c r="E2773" s="6" t="inlineStr">
        <is>
          <t>R1084456</t>
        </is>
      </c>
      <c r="F2773" s="2" t="n">
        <v>44301</v>
      </c>
      <c r="G2773" s="1" t="n"/>
    </row>
    <row r="2774">
      <c r="A2774" s="6" t="n">
        <v>62116</v>
      </c>
      <c r="B2774" s="6" t="inlineStr">
        <is>
          <t>MONTEBELLO LONG ISLAND ICED TEA</t>
        </is>
      </c>
      <c r="C2774" s="7">
        <f>VLOOKUP(A2774,SizeData!A$2:B$3839,2,FALSE)</f>
        <v/>
      </c>
      <c r="D2774" s="6" t="n">
        <v>1</v>
      </c>
      <c r="E2774" s="6" t="inlineStr">
        <is>
          <t>R1121370</t>
        </is>
      </c>
      <c r="F2774" s="2" t="n">
        <v>44331</v>
      </c>
      <c r="G2774" s="1" t="n"/>
    </row>
    <row r="2775">
      <c r="A2775" s="6" t="n">
        <v>62116</v>
      </c>
      <c r="B2775" s="6" t="inlineStr">
        <is>
          <t>MONTEBELLO LONG ISLAND ICED TEA</t>
        </is>
      </c>
      <c r="C2775" s="7">
        <f>VLOOKUP(A2775,SizeData!A$2:B$3839,2,FALSE)</f>
        <v/>
      </c>
      <c r="D2775" s="6" t="n">
        <v>1</v>
      </c>
      <c r="E2775" s="6" t="inlineStr">
        <is>
          <t>R1165810</t>
        </is>
      </c>
      <c r="F2775" s="2" t="n">
        <v>44361</v>
      </c>
      <c r="G2775" s="1" t="n"/>
    </row>
    <row r="2776">
      <c r="A2776" s="6" t="n">
        <v>62116</v>
      </c>
      <c r="B2776" s="6" t="inlineStr">
        <is>
          <t>MONTEBELLO LONG ISLAND ICED TEA</t>
        </is>
      </c>
      <c r="C2776" s="7">
        <f>VLOOKUP(A2776,SizeData!A$2:B$3839,2,FALSE)</f>
        <v/>
      </c>
      <c r="D2776" s="6" t="n">
        <v>1</v>
      </c>
      <c r="E2776" s="6" t="inlineStr">
        <is>
          <t>R1171594</t>
        </is>
      </c>
      <c r="F2776" s="2" t="n">
        <v>44392</v>
      </c>
      <c r="G2776" s="1" t="n"/>
    </row>
    <row r="2777">
      <c r="A2777" s="6" t="n">
        <v>62116</v>
      </c>
      <c r="B2777" s="6" t="inlineStr">
        <is>
          <t>MONTEBELLO LONG ISLAND ICED TEA</t>
        </is>
      </c>
      <c r="C2777" s="7">
        <f>VLOOKUP(A2777,SizeData!A$2:B$3839,2,FALSE)</f>
        <v/>
      </c>
      <c r="D2777" s="6" t="n">
        <v>1</v>
      </c>
      <c r="E2777" s="6" t="inlineStr">
        <is>
          <t>R1224208</t>
        </is>
      </c>
      <c r="F2777" s="2" t="n">
        <v>44436</v>
      </c>
      <c r="G2777" s="1" t="n"/>
    </row>
    <row r="2778">
      <c r="A2778" s="6" t="n">
        <v>62116</v>
      </c>
      <c r="B2778" s="6" t="inlineStr">
        <is>
          <t>MONTEBELLO LONG ISLAND ICED TEA</t>
        </is>
      </c>
      <c r="C2778" s="7">
        <f>VLOOKUP(A2778,SizeData!A$2:B$3839,2,FALSE)</f>
        <v/>
      </c>
      <c r="D2778" s="6" t="n">
        <v>3</v>
      </c>
      <c r="E2778" s="6" t="inlineStr">
        <is>
          <t>R1277917</t>
        </is>
      </c>
      <c r="F2778" s="2" t="n">
        <v>44481</v>
      </c>
      <c r="G2778" s="1" t="n"/>
    </row>
    <row r="2779">
      <c r="A2779" s="6" t="n">
        <v>62116</v>
      </c>
      <c r="B2779" s="6" t="inlineStr">
        <is>
          <t>MONTEBELLO LONG ISLAND ICED TEA</t>
        </is>
      </c>
      <c r="C2779" s="7">
        <f>VLOOKUP(A2779,SizeData!A$2:B$3839,2,FALSE)</f>
        <v/>
      </c>
      <c r="D2779" s="6" t="n">
        <v>2</v>
      </c>
      <c r="E2779" s="6" t="inlineStr">
        <is>
          <t>R1274548</t>
        </is>
      </c>
      <c r="F2779" s="2" t="n">
        <v>44485</v>
      </c>
      <c r="G2779" s="1" t="n"/>
    </row>
    <row r="2780">
      <c r="A2780" s="6" t="n">
        <v>62116</v>
      </c>
      <c r="B2780" s="6" t="inlineStr">
        <is>
          <t>MONTEBELLO LONG ISLAND ICED TEA</t>
        </is>
      </c>
      <c r="C2780" s="7">
        <f>VLOOKUP(A2780,SizeData!A$2:B$3839,2,FALSE)</f>
        <v/>
      </c>
      <c r="D2780" s="6" t="n">
        <v>2</v>
      </c>
      <c r="E2780" s="6" t="inlineStr">
        <is>
          <t>R1329660</t>
        </is>
      </c>
      <c r="F2780" s="2" t="n">
        <v>44525</v>
      </c>
      <c r="G2780" s="1" t="n"/>
    </row>
    <row r="2781">
      <c r="A2781" s="6" t="n">
        <v>62116</v>
      </c>
      <c r="B2781" s="6" t="inlineStr">
        <is>
          <t>MONTEBELLO LONG ISLAND ICED TEA</t>
        </is>
      </c>
      <c r="C2781" s="7">
        <f>VLOOKUP(A2781,SizeData!A$2:B$3839,2,FALSE)</f>
        <v/>
      </c>
      <c r="D2781" s="6" t="n">
        <v>2</v>
      </c>
      <c r="E2781" s="6" t="inlineStr">
        <is>
          <t>R1363171</t>
        </is>
      </c>
      <c r="F2781" s="2" t="n">
        <v>44541</v>
      </c>
      <c r="G2781" s="1" t="n"/>
    </row>
    <row r="2782">
      <c r="A2782" s="6" t="n">
        <v>62623</v>
      </c>
      <c r="B2782" s="6" t="inlineStr">
        <is>
          <t>MONACO BLUE CRUSH RTD</t>
        </is>
      </c>
      <c r="C2782" s="7">
        <f>VLOOKUP(A2782,SizeData!A$2:B$3839,2,FALSE)</f>
        <v/>
      </c>
      <c r="D2782" s="6" t="n">
        <v>1</v>
      </c>
      <c r="E2782" s="6" t="inlineStr">
        <is>
          <t>R1018600</t>
        </is>
      </c>
      <c r="F2782" s="2" t="n">
        <v>44241</v>
      </c>
      <c r="G2782" s="1" t="n"/>
    </row>
    <row r="2783">
      <c r="A2783" s="6" t="n">
        <v>62623</v>
      </c>
      <c r="B2783" s="6" t="inlineStr">
        <is>
          <t>MONACO BLUE CRUSH RTD</t>
        </is>
      </c>
      <c r="C2783" s="7">
        <f>VLOOKUP(A2783,SizeData!A$2:B$3839,2,FALSE)</f>
        <v/>
      </c>
      <c r="D2783" s="6" t="n">
        <v>1</v>
      </c>
      <c r="E2783" s="6" t="inlineStr">
        <is>
          <t>R1099905</t>
        </is>
      </c>
      <c r="F2783" s="2" t="n">
        <v>44310</v>
      </c>
      <c r="G2783" s="1" t="n"/>
    </row>
    <row r="2784">
      <c r="A2784" s="6" t="n">
        <v>62623</v>
      </c>
      <c r="B2784" s="6" t="inlineStr">
        <is>
          <t>MONACO BLUE CRUSH RTD</t>
        </is>
      </c>
      <c r="C2784" s="7">
        <f>VLOOKUP(A2784,SizeData!A$2:B$3839,2,FALSE)</f>
        <v/>
      </c>
      <c r="D2784" s="6" t="n">
        <v>1</v>
      </c>
      <c r="E2784" s="6" t="inlineStr">
        <is>
          <t>R1174179</t>
        </is>
      </c>
      <c r="F2784" s="2" t="n">
        <v>44397</v>
      </c>
      <c r="G2784" s="1" t="n"/>
    </row>
    <row r="2785">
      <c r="A2785" s="6" t="n">
        <v>62623</v>
      </c>
      <c r="B2785" s="6" t="inlineStr">
        <is>
          <t>MONACO BLUE CRUSH RTD</t>
        </is>
      </c>
      <c r="C2785" s="7">
        <f>VLOOKUP(A2785,SizeData!A$2:B$3839,2,FALSE)</f>
        <v/>
      </c>
      <c r="D2785" s="6" t="n">
        <v>1</v>
      </c>
      <c r="E2785" s="6" t="inlineStr">
        <is>
          <t>R1206028</t>
        </is>
      </c>
      <c r="F2785" s="2" t="n">
        <v>44417</v>
      </c>
      <c r="G2785" s="1" t="n"/>
    </row>
    <row r="2786">
      <c r="A2786" s="6" t="n">
        <v>62623</v>
      </c>
      <c r="B2786" s="6" t="inlineStr">
        <is>
          <t>MONACO BLUE CRUSH RTD</t>
        </is>
      </c>
      <c r="C2786" s="7">
        <f>VLOOKUP(A2786,SizeData!A$2:B$3839,2,FALSE)</f>
        <v/>
      </c>
      <c r="D2786" s="6" t="n">
        <v>1</v>
      </c>
      <c r="E2786" s="6" t="inlineStr">
        <is>
          <t>R1242289</t>
        </is>
      </c>
      <c r="F2786" s="2" t="n">
        <v>44455</v>
      </c>
      <c r="G2786" s="1" t="n"/>
    </row>
    <row r="2787">
      <c r="A2787" s="6" t="n">
        <v>62623</v>
      </c>
      <c r="B2787" s="6" t="inlineStr">
        <is>
          <t>MONACO BLUE CRUSH RTD</t>
        </is>
      </c>
      <c r="C2787" s="7">
        <f>VLOOKUP(A2787,SizeData!A$2:B$3839,2,FALSE)</f>
        <v/>
      </c>
      <c r="D2787" s="6" t="n">
        <v>2</v>
      </c>
      <c r="E2787" s="6" t="inlineStr">
        <is>
          <t>R1299736</t>
        </is>
      </c>
      <c r="F2787" s="2" t="n">
        <v>44499</v>
      </c>
      <c r="G2787" s="1" t="n"/>
    </row>
    <row r="2788">
      <c r="A2788" s="6" t="n">
        <v>62632</v>
      </c>
      <c r="B2788" s="6" t="inlineStr">
        <is>
          <t>MONACO TEQUILA LIME CRUSH RTD</t>
        </is>
      </c>
      <c r="C2788" s="7">
        <f>VLOOKUP(A2788,SizeData!A$2:B$3839,2,FALSE)</f>
        <v/>
      </c>
      <c r="D2788" s="6" t="n">
        <v>1</v>
      </c>
      <c r="E2788" s="6" t="inlineStr">
        <is>
          <t>R1166959</t>
        </is>
      </c>
      <c r="F2788" s="2" t="n">
        <v>44380</v>
      </c>
      <c r="G2788" s="1" t="n"/>
    </row>
    <row r="2789">
      <c r="A2789" s="6" t="n">
        <v>62632</v>
      </c>
      <c r="B2789" s="6" t="inlineStr">
        <is>
          <t>MONACO TEQUILA LIME CRUSH RTD</t>
        </is>
      </c>
      <c r="C2789" s="7">
        <f>VLOOKUP(A2789,SizeData!A$2:B$3839,2,FALSE)</f>
        <v/>
      </c>
      <c r="D2789" s="6" t="n">
        <v>2</v>
      </c>
      <c r="E2789" s="6" t="inlineStr">
        <is>
          <t>R1253669</t>
        </is>
      </c>
      <c r="F2789" s="2" t="n">
        <v>44471</v>
      </c>
      <c r="G2789" s="1" t="n"/>
    </row>
    <row r="2790">
      <c r="A2790" s="6" t="n">
        <v>62632</v>
      </c>
      <c r="B2790" s="6" t="inlineStr">
        <is>
          <t>MONACO TEQUILA LIME CRUSH RTD</t>
        </is>
      </c>
      <c r="C2790" s="7">
        <f>VLOOKUP(A2790,SizeData!A$2:B$3839,2,FALSE)</f>
        <v/>
      </c>
      <c r="D2790" s="6" t="n">
        <v>2</v>
      </c>
      <c r="E2790" s="6" t="inlineStr">
        <is>
          <t>R1333539</t>
        </is>
      </c>
      <c r="F2790" s="2" t="n">
        <v>44527</v>
      </c>
      <c r="G2790" s="1" t="n"/>
    </row>
    <row r="2791">
      <c r="A2791" s="6" t="n">
        <v>62634</v>
      </c>
      <c r="B2791" s="6" t="inlineStr">
        <is>
          <t>MONACO TROPIC RUSH RTD</t>
        </is>
      </c>
      <c r="C2791" s="7">
        <f>VLOOKUP(A2791,SizeData!A$2:B$3839,2,FALSE)</f>
        <v/>
      </c>
      <c r="D2791" s="6" t="n">
        <v>1</v>
      </c>
      <c r="E2791" s="6" t="inlineStr">
        <is>
          <t>R1214748</t>
        </is>
      </c>
      <c r="F2791" s="2" t="n">
        <v>44433</v>
      </c>
      <c r="G2791" s="1" t="n"/>
    </row>
    <row r="2792">
      <c r="A2792" s="6" t="n">
        <v>62634</v>
      </c>
      <c r="B2792" s="6" t="inlineStr">
        <is>
          <t>MONACO TROPIC RUSH RTD</t>
        </is>
      </c>
      <c r="C2792" s="7">
        <f>VLOOKUP(A2792,SizeData!A$2:B$3839,2,FALSE)</f>
        <v/>
      </c>
      <c r="D2792" s="6" t="n">
        <v>0</v>
      </c>
      <c r="E2792" s="6" t="inlineStr">
        <is>
          <t>R1233531</t>
        </is>
      </c>
      <c r="F2792" s="2" t="n">
        <v>44450</v>
      </c>
      <c r="G2792" s="1" t="n"/>
    </row>
    <row r="2793">
      <c r="A2793" s="6" t="n">
        <v>62634</v>
      </c>
      <c r="B2793" s="6" t="inlineStr">
        <is>
          <t>MONACO TROPIC RUSH RTD</t>
        </is>
      </c>
      <c r="C2793" s="7">
        <f>VLOOKUP(A2793,SizeData!A$2:B$3839,2,FALSE)</f>
        <v/>
      </c>
      <c r="D2793" s="6" t="n">
        <v>2</v>
      </c>
      <c r="E2793" s="6" t="inlineStr">
        <is>
          <t>R1248175</t>
        </is>
      </c>
      <c r="F2793" s="2" t="n">
        <v>44463</v>
      </c>
      <c r="G2793" s="1" t="n"/>
    </row>
    <row r="2794">
      <c r="A2794" s="6" t="n">
        <v>62634</v>
      </c>
      <c r="B2794" s="6" t="inlineStr">
        <is>
          <t>MONACO TROPIC RUSH RTD</t>
        </is>
      </c>
      <c r="C2794" s="7">
        <f>VLOOKUP(A2794,SizeData!A$2:B$3839,2,FALSE)</f>
        <v/>
      </c>
      <c r="D2794" s="6" t="n">
        <v>1</v>
      </c>
      <c r="E2794" s="6" t="inlineStr">
        <is>
          <t>R1253669</t>
        </is>
      </c>
      <c r="F2794" s="2" t="n">
        <v>44471</v>
      </c>
      <c r="G2794" s="1" t="n"/>
    </row>
    <row r="2795">
      <c r="A2795" s="6" t="n">
        <v>62647</v>
      </c>
      <c r="B2795" s="6" t="inlineStr">
        <is>
          <t>MONACO COCKTAILS PURPLE CRUSH 4PK 355ML</t>
        </is>
      </c>
      <c r="C2795" s="7">
        <f>VLOOKUP(A2795,SizeData!A$2:B$3839,2,FALSE)</f>
        <v/>
      </c>
      <c r="D2795" s="6" t="n">
        <v>1</v>
      </c>
      <c r="E2795" s="6" t="inlineStr">
        <is>
          <t>R1148206</t>
        </is>
      </c>
      <c r="F2795" s="2" t="n">
        <v>44359</v>
      </c>
      <c r="G2795" s="1" t="n"/>
    </row>
    <row r="2796">
      <c r="A2796" s="6" t="n">
        <v>62647</v>
      </c>
      <c r="B2796" s="6" t="inlineStr">
        <is>
          <t>MONACO COCKTAILS PURPLE CRUSH 4PK 355ML</t>
        </is>
      </c>
      <c r="C2796" s="7">
        <f>VLOOKUP(A2796,SizeData!A$2:B$3839,2,FALSE)</f>
        <v/>
      </c>
      <c r="D2796" s="6" t="n">
        <v>1</v>
      </c>
      <c r="E2796" s="6" t="inlineStr">
        <is>
          <t xml:space="preserve"> R1211770</t>
        </is>
      </c>
      <c r="F2796" s="2" t="n">
        <v>44427</v>
      </c>
      <c r="G2796" s="1" t="n"/>
    </row>
    <row r="2797">
      <c r="A2797" s="6" t="n">
        <v>62647</v>
      </c>
      <c r="B2797" s="6" t="inlineStr">
        <is>
          <t>MONACO COCKTAILS PURPLE CRUSH 4PK 355ML</t>
        </is>
      </c>
      <c r="C2797" s="7">
        <f>VLOOKUP(A2797,SizeData!A$2:B$3839,2,FALSE)</f>
        <v/>
      </c>
      <c r="D2797" s="6" t="n">
        <v>1</v>
      </c>
      <c r="E2797" s="6" t="inlineStr">
        <is>
          <t>R1248961</t>
        </is>
      </c>
      <c r="F2797" s="2" t="n">
        <v>44461</v>
      </c>
      <c r="G2797" s="1" t="n"/>
    </row>
    <row r="2798">
      <c r="A2798" s="6" t="n">
        <v>63086</v>
      </c>
      <c r="B2798" s="6" t="inlineStr">
        <is>
          <t>MR. BOSTON SCREWDRIVER</t>
        </is>
      </c>
      <c r="C2798" s="7">
        <f>VLOOKUP(A2798,SizeData!A$2:B$3839,2,FALSE)</f>
        <v/>
      </c>
      <c r="D2798" s="6" t="n">
        <v>1</v>
      </c>
      <c r="E2798" s="6" t="inlineStr">
        <is>
          <t>R992402</t>
        </is>
      </c>
      <c r="F2798" s="2" t="n">
        <v>44198</v>
      </c>
      <c r="G2798" s="1" t="n"/>
    </row>
    <row r="2799">
      <c r="A2799" s="6" t="n">
        <v>63530</v>
      </c>
      <c r="B2799" s="6" t="inlineStr">
        <is>
          <t>SALVADOR'S ORIGINAL MARGARITA 26PRF</t>
        </is>
      </c>
      <c r="C2799" s="7">
        <f>VLOOKUP(A2799,SizeData!A$2:B$3839,2,FALSE)</f>
        <v/>
      </c>
      <c r="D2799" s="6" t="n">
        <v>1</v>
      </c>
      <c r="E2799" s="6" t="inlineStr">
        <is>
          <t>R1028108</t>
        </is>
      </c>
      <c r="F2799" s="2" t="n">
        <v>44229</v>
      </c>
      <c r="G2799" s="1" t="n"/>
    </row>
    <row r="2800">
      <c r="A2800" s="6" t="n">
        <v>63530</v>
      </c>
      <c r="B2800" s="6" t="inlineStr">
        <is>
          <t>SALVADOR'S ORIGINAL MARGARITA 26PRF</t>
        </is>
      </c>
      <c r="C2800" s="7">
        <f>VLOOKUP(A2800,SizeData!A$2:B$3839,2,FALSE)</f>
        <v/>
      </c>
      <c r="D2800" s="6" t="n">
        <v>1</v>
      </c>
      <c r="E2800" s="6" t="inlineStr">
        <is>
          <t>R1135118</t>
        </is>
      </c>
      <c r="F2800" s="2" t="n">
        <v>44321</v>
      </c>
      <c r="G2800" s="1" t="n"/>
    </row>
    <row r="2801">
      <c r="A2801" s="6" t="n">
        <v>63530</v>
      </c>
      <c r="B2801" s="6" t="inlineStr">
        <is>
          <t>SALVADOR'S ORIGINAL MARGARITA 26PRF</t>
        </is>
      </c>
      <c r="C2801" s="7">
        <f>VLOOKUP(A2801,SizeData!A$2:B$3839,2,FALSE)</f>
        <v/>
      </c>
      <c r="D2801" s="6" t="n">
        <v>1</v>
      </c>
      <c r="E2801" s="6" t="inlineStr">
        <is>
          <t>R1125683</t>
        </is>
      </c>
      <c r="F2801" s="2" t="n">
        <v>44336</v>
      </c>
      <c r="G2801" s="1" t="n"/>
    </row>
    <row r="2802">
      <c r="A2802" s="6" t="n">
        <v>63530</v>
      </c>
      <c r="B2802" s="6" t="inlineStr">
        <is>
          <t>SALVADOR'S ORIGINAL MARGARITA 26PRF</t>
        </is>
      </c>
      <c r="C2802" s="7">
        <f>VLOOKUP(A2802,SizeData!A$2:B$3839,2,FALSE)</f>
        <v/>
      </c>
      <c r="D2802" s="6" t="n">
        <v>2</v>
      </c>
      <c r="E2802" s="6" t="inlineStr">
        <is>
          <t>R1318325</t>
        </is>
      </c>
      <c r="F2802" s="2" t="n">
        <v>44509</v>
      </c>
      <c r="G2802" s="1" t="n"/>
    </row>
    <row r="2803">
      <c r="A2803" s="6" t="n">
        <v>63582</v>
      </c>
      <c r="B2803" s="6" t="inlineStr">
        <is>
          <t>SEAGRAM'S GIN &amp; JUICE</t>
        </is>
      </c>
      <c r="C2803" s="7">
        <f>VLOOKUP(A2803,SizeData!A$2:B$3839,2,FALSE)</f>
        <v/>
      </c>
      <c r="D2803" s="6" t="n">
        <v>1</v>
      </c>
      <c r="E2803" s="6" t="inlineStr">
        <is>
          <t>R1047061</t>
        </is>
      </c>
      <c r="F2803" s="2" t="n">
        <v>44259</v>
      </c>
      <c r="G2803" s="1" t="n"/>
    </row>
    <row r="2804">
      <c r="A2804" s="6" t="n">
        <v>63582</v>
      </c>
      <c r="B2804" s="6" t="inlineStr">
        <is>
          <t>SEAGRAM'S GIN &amp; JUICE</t>
        </is>
      </c>
      <c r="C2804" s="7">
        <f>VLOOKUP(A2804,SizeData!A$2:B$3839,2,FALSE)</f>
        <v/>
      </c>
      <c r="D2804" s="6" t="n">
        <v>1</v>
      </c>
      <c r="E2804" s="6" t="inlineStr">
        <is>
          <t>R1068678</t>
        </is>
      </c>
      <c r="F2804" s="2" t="n">
        <v>44285</v>
      </c>
      <c r="G2804" s="1" t="n"/>
    </row>
    <row r="2805">
      <c r="A2805" s="6" t="n">
        <v>63586</v>
      </c>
      <c r="B2805" s="6" t="inlineStr">
        <is>
          <t>SEAGRAM'S GIN &amp; JUICE</t>
        </is>
      </c>
      <c r="C2805" s="7">
        <f>VLOOKUP(A2805,SizeData!A$2:B$3839,2,FALSE)</f>
        <v/>
      </c>
      <c r="D2805" s="6" t="n">
        <v>1</v>
      </c>
      <c r="E2805" s="6" t="inlineStr">
        <is>
          <t>R1028707</t>
        </is>
      </c>
      <c r="F2805" s="2" t="n">
        <v>44229</v>
      </c>
      <c r="G2805" s="1" t="n"/>
    </row>
    <row r="2806">
      <c r="A2806" s="6" t="n">
        <v>63586</v>
      </c>
      <c r="B2806" s="6" t="inlineStr">
        <is>
          <t>SEAGRAM'S GIN &amp; JUICE</t>
        </is>
      </c>
      <c r="C2806" s="7">
        <f>VLOOKUP(A2806,SizeData!A$2:B$3839,2,FALSE)</f>
        <v/>
      </c>
      <c r="D2806" s="6" t="n">
        <v>1</v>
      </c>
      <c r="E2806" s="6" t="inlineStr">
        <is>
          <t>R1216789</t>
        </is>
      </c>
      <c r="F2806" s="2" t="n">
        <v>44432</v>
      </c>
      <c r="G2806" s="1" t="n"/>
    </row>
    <row r="2807">
      <c r="A2807" s="6" t="n">
        <v>63619</v>
      </c>
      <c r="B2807" s="6" t="inlineStr">
        <is>
          <t>SEAGRAM'S GIN &amp; JUICE BLUE BEAST</t>
        </is>
      </c>
      <c r="C2807" s="7">
        <f>VLOOKUP(A2807,SizeData!A$2:B$3839,2,FALSE)</f>
        <v/>
      </c>
      <c r="D2807" s="6" t="n">
        <v>1</v>
      </c>
      <c r="E2807" s="6" t="inlineStr">
        <is>
          <t>R1046414</t>
        </is>
      </c>
      <c r="F2807" s="2" t="n">
        <v>44254</v>
      </c>
      <c r="G2807" s="1" t="n"/>
    </row>
    <row r="2808">
      <c r="A2808" s="6" t="n">
        <v>63619</v>
      </c>
      <c r="B2808" s="6" t="inlineStr">
        <is>
          <t>SEAGRAM'S GIN &amp; JUICE BLUE BEAST</t>
        </is>
      </c>
      <c r="C2808" s="7">
        <f>VLOOKUP(A2808,SizeData!A$2:B$3839,2,FALSE)</f>
        <v/>
      </c>
      <c r="D2808" s="6" t="n">
        <v>1</v>
      </c>
      <c r="E2808" s="6" t="inlineStr">
        <is>
          <t>R1125683</t>
        </is>
      </c>
      <c r="F2808" s="2" t="n">
        <v>44336</v>
      </c>
      <c r="G2808" s="1" t="n"/>
    </row>
    <row r="2809">
      <c r="A2809" s="6" t="n">
        <v>63619</v>
      </c>
      <c r="B2809" s="6" t="inlineStr">
        <is>
          <t>SEAGRAM'S GIN &amp; JUICE BLUE BEAST</t>
        </is>
      </c>
      <c r="C2809" s="7">
        <f>VLOOKUP(A2809,SizeData!A$2:B$3839,2,FALSE)</f>
        <v/>
      </c>
      <c r="D2809" s="6" t="n">
        <v>1</v>
      </c>
      <c r="E2809" s="6" t="inlineStr">
        <is>
          <t>R1314326</t>
        </is>
      </c>
      <c r="F2809" s="2" t="n">
        <v>44512</v>
      </c>
      <c r="G2809" s="1" t="n"/>
    </row>
    <row r="2810">
      <c r="A2810" s="6" t="n">
        <v>63624</v>
      </c>
      <c r="B2810" s="6" t="inlineStr">
        <is>
          <t>SEAGRAM'S GIN AND JUICE BLUE BEAST</t>
        </is>
      </c>
      <c r="C2810" s="7">
        <f>VLOOKUP(A2810,SizeData!A$2:B$3839,2,FALSE)</f>
        <v/>
      </c>
      <c r="D2810" s="6" t="n">
        <v>1</v>
      </c>
      <c r="E2810" s="6" t="inlineStr">
        <is>
          <t xml:space="preserve"> R1125172</t>
        </is>
      </c>
      <c r="F2810" s="2" t="n">
        <v>44322</v>
      </c>
      <c r="G2810" s="1" t="n"/>
    </row>
    <row r="2811">
      <c r="A2811" s="6" t="n">
        <v>63624</v>
      </c>
      <c r="B2811" s="6" t="inlineStr">
        <is>
          <t>SEAGRAM'S GIN AND JUICE BLUE BEAST</t>
        </is>
      </c>
      <c r="C2811" s="7">
        <f>VLOOKUP(A2811,SizeData!A$2:B$3839,2,FALSE)</f>
        <v/>
      </c>
      <c r="D2811" s="6" t="n">
        <v>1</v>
      </c>
      <c r="E2811" s="6" t="inlineStr">
        <is>
          <t xml:space="preserve"> R1161087</t>
        </is>
      </c>
      <c r="F2811" s="2" t="n">
        <v>44373</v>
      </c>
      <c r="G2811" s="1" t="n"/>
    </row>
    <row r="2812">
      <c r="A2812" s="6" t="n">
        <v>63624</v>
      </c>
      <c r="B2812" s="6" t="inlineStr">
        <is>
          <t>SEAGRAM'S GIN AND JUICE BLUE BEAST</t>
        </is>
      </c>
      <c r="C2812" s="7">
        <f>VLOOKUP(A2812,SizeData!A$2:B$3839,2,FALSE)</f>
        <v/>
      </c>
      <c r="D2812" s="6" t="n">
        <v>1</v>
      </c>
      <c r="E2812" s="6" t="inlineStr">
        <is>
          <t>R1209774</t>
        </is>
      </c>
      <c r="F2812" s="2" t="n">
        <v>44433</v>
      </c>
      <c r="G2812" s="1" t="n"/>
    </row>
    <row r="2813">
      <c r="A2813" s="6" t="n">
        <v>63657</v>
      </c>
      <c r="B2813" s="6" t="inlineStr">
        <is>
          <t>SEAGRAM'S GREEN DRAGON GIN &amp; JUICE</t>
        </is>
      </c>
      <c r="C2813" s="7">
        <f>VLOOKUP(A2813,SizeData!A$2:B$3839,2,FALSE)</f>
        <v/>
      </c>
      <c r="D2813" s="6" t="n">
        <v>1</v>
      </c>
      <c r="E2813" s="6" t="inlineStr">
        <is>
          <t>R1028707</t>
        </is>
      </c>
      <c r="F2813" s="2" t="n">
        <v>44229</v>
      </c>
      <c r="G2813" s="1" t="n"/>
    </row>
    <row r="2814">
      <c r="A2814" s="6" t="n">
        <v>63657</v>
      </c>
      <c r="B2814" s="6" t="inlineStr">
        <is>
          <t>SEAGRAM'S GREEN DRAGON GIN &amp; JUICE</t>
        </is>
      </c>
      <c r="C2814" s="7">
        <f>VLOOKUP(A2814,SizeData!A$2:B$3839,2,FALSE)</f>
        <v/>
      </c>
      <c r="D2814" s="6" t="n">
        <v>1</v>
      </c>
      <c r="E2814" s="6" t="inlineStr">
        <is>
          <t>R1146432</t>
        </is>
      </c>
      <c r="F2814" s="2" t="n">
        <v>44356</v>
      </c>
      <c r="G2814" s="1" t="n"/>
    </row>
    <row r="2815">
      <c r="A2815" s="6" t="n">
        <v>63657</v>
      </c>
      <c r="B2815" s="6" t="inlineStr">
        <is>
          <t>SEAGRAM'S GREEN DRAGON GIN &amp; JUICE</t>
        </is>
      </c>
      <c r="C2815" s="7">
        <f>VLOOKUP(A2815,SizeData!A$2:B$3839,2,FALSE)</f>
        <v/>
      </c>
      <c r="D2815" s="6" t="n">
        <v>1</v>
      </c>
      <c r="E2815" s="6" t="inlineStr">
        <is>
          <t>R1160852</t>
        </is>
      </c>
      <c r="F2815" s="2" t="n">
        <v>44366</v>
      </c>
      <c r="G2815" s="1" t="n"/>
    </row>
    <row r="2816">
      <c r="A2816" s="6" t="n">
        <v>63657</v>
      </c>
      <c r="B2816" s="6" t="inlineStr">
        <is>
          <t>SEAGRAM'S GREEN DRAGON GIN &amp; JUICE</t>
        </is>
      </c>
      <c r="C2816" s="7">
        <f>VLOOKUP(A2816,SizeData!A$2:B$3839,2,FALSE)</f>
        <v/>
      </c>
      <c r="D2816" s="6" t="n">
        <v>1</v>
      </c>
      <c r="E2816" s="6" t="inlineStr">
        <is>
          <t>R1180298</t>
        </is>
      </c>
      <c r="F2816" s="2" t="n">
        <v>44400</v>
      </c>
      <c r="G2816" s="1" t="n"/>
    </row>
    <row r="2817">
      <c r="A2817" s="6" t="n">
        <v>63657</v>
      </c>
      <c r="B2817" s="6" t="inlineStr">
        <is>
          <t>SEAGRAM'S GREEN DRAGON GIN &amp; JUICE</t>
        </is>
      </c>
      <c r="C2817" s="7">
        <f>VLOOKUP(A2817,SizeData!A$2:B$3839,2,FALSE)</f>
        <v/>
      </c>
      <c r="D2817" s="6" t="n">
        <v>0</v>
      </c>
      <c r="E2817" s="6" t="inlineStr">
        <is>
          <t>R1320744</t>
        </is>
      </c>
      <c r="F2817" s="2" t="n">
        <v>44509</v>
      </c>
      <c r="G2817" s="1" t="n"/>
    </row>
    <row r="2818">
      <c r="A2818" s="6" t="n">
        <v>63657</v>
      </c>
      <c r="B2818" s="6" t="inlineStr">
        <is>
          <t>SEAGRAM'S GREEN DRAGON GIN &amp; JUICE</t>
        </is>
      </c>
      <c r="C2818" s="7">
        <f>VLOOKUP(A2818,SizeData!A$2:B$3839,2,FALSE)</f>
        <v/>
      </c>
      <c r="D2818" s="6" t="n">
        <v>1</v>
      </c>
      <c r="E2818" s="6" t="inlineStr">
        <is>
          <t>R1329660</t>
        </is>
      </c>
      <c r="F2818" s="2" t="n">
        <v>44525</v>
      </c>
      <c r="G2818" s="1" t="n"/>
    </row>
    <row r="2819">
      <c r="A2819" s="6" t="n">
        <v>63657</v>
      </c>
      <c r="B2819" s="6" t="inlineStr">
        <is>
          <t>SEAGRAM'S GREEN DRAGON GIN &amp; JUICE</t>
        </is>
      </c>
      <c r="C2819" s="7">
        <f>VLOOKUP(A2819,SizeData!A$2:B$3839,2,FALSE)</f>
        <v/>
      </c>
      <c r="D2819" s="6" t="n">
        <v>1</v>
      </c>
      <c r="E2819" s="6" t="inlineStr">
        <is>
          <t>R1360134</t>
        </is>
      </c>
      <c r="F2819" s="2" t="n">
        <v>44532</v>
      </c>
      <c r="G2819" s="1" t="n"/>
    </row>
    <row r="2820">
      <c r="A2820" s="6" t="n">
        <v>63762</v>
      </c>
      <c r="B2820" s="6" t="inlineStr">
        <is>
          <t>TARANTULA AZUL RTD</t>
        </is>
      </c>
      <c r="C2820" s="7">
        <f>VLOOKUP(A2820,SizeData!A$2:B$3839,2,FALSE)</f>
        <v/>
      </c>
      <c r="D2820" s="6" t="n">
        <v>1</v>
      </c>
      <c r="E2820" s="6" t="inlineStr">
        <is>
          <t>R1056165</t>
        </is>
      </c>
      <c r="F2820" s="2" t="n">
        <v>44266</v>
      </c>
      <c r="G2820" s="1" t="n"/>
    </row>
    <row r="2821">
      <c r="A2821" s="6" t="n">
        <v>63762</v>
      </c>
      <c r="B2821" s="6" t="inlineStr">
        <is>
          <t>TARANTULA AZUL RTD</t>
        </is>
      </c>
      <c r="C2821" s="7">
        <f>VLOOKUP(A2821,SizeData!A$2:B$3839,2,FALSE)</f>
        <v/>
      </c>
      <c r="D2821" s="6" t="n">
        <v>2</v>
      </c>
      <c r="E2821" s="6" t="inlineStr">
        <is>
          <t>R1127047</t>
        </is>
      </c>
      <c r="F2821" s="2" t="n">
        <v>44333</v>
      </c>
      <c r="G2821" s="1" t="n"/>
    </row>
    <row r="2822">
      <c r="A2822" s="6" t="n">
        <v>63762</v>
      </c>
      <c r="B2822" s="6" t="inlineStr">
        <is>
          <t>TARANTULA AZUL RTD</t>
        </is>
      </c>
      <c r="C2822" s="7">
        <f>VLOOKUP(A2822,SizeData!A$2:B$3839,2,FALSE)</f>
        <v/>
      </c>
      <c r="D2822" s="6" t="n">
        <v>4</v>
      </c>
      <c r="E2822" s="6" t="inlineStr">
        <is>
          <t>R1180298</t>
        </is>
      </c>
      <c r="F2822" s="2" t="n">
        <v>44400</v>
      </c>
      <c r="G2822" s="1" t="n"/>
    </row>
    <row r="2823">
      <c r="A2823" s="6" t="n">
        <v>63762</v>
      </c>
      <c r="B2823" s="6" t="inlineStr">
        <is>
          <t>TARANTULA AZUL RTD</t>
        </is>
      </c>
      <c r="C2823" s="7">
        <f>VLOOKUP(A2823,SizeData!A$2:B$3839,2,FALSE)</f>
        <v/>
      </c>
      <c r="D2823" s="6" t="n">
        <v>5</v>
      </c>
      <c r="E2823" s="6" t="inlineStr">
        <is>
          <t>R1266258</t>
        </is>
      </c>
      <c r="F2823" s="2" t="n">
        <v>44469</v>
      </c>
      <c r="G2823" s="1" t="n"/>
    </row>
    <row r="2824">
      <c r="A2824" s="6" t="n">
        <v>63767</v>
      </c>
      <c r="B2824" s="6" t="inlineStr">
        <is>
          <t>TARANTULA STRAWBERRY RTD</t>
        </is>
      </c>
      <c r="C2824" s="7">
        <f>VLOOKUP(A2824,SizeData!A$2:B$3839,2,FALSE)</f>
        <v/>
      </c>
      <c r="D2824" s="6" t="n">
        <v>1</v>
      </c>
      <c r="E2824" s="6" t="inlineStr">
        <is>
          <t>R1129655</t>
        </is>
      </c>
      <c r="F2824" s="2" t="n">
        <v>44347</v>
      </c>
      <c r="G2824" s="1" t="n"/>
    </row>
    <row r="2825">
      <c r="A2825" s="6" t="n">
        <v>63767</v>
      </c>
      <c r="B2825" s="6" t="inlineStr">
        <is>
          <t>TARANTULA STRAWBERRY RTD</t>
        </is>
      </c>
      <c r="C2825" s="7">
        <f>VLOOKUP(A2825,SizeData!A$2:B$3839,2,FALSE)</f>
        <v/>
      </c>
      <c r="D2825" s="6" t="n">
        <v>1</v>
      </c>
      <c r="E2825" s="6" t="inlineStr">
        <is>
          <t>R1154324</t>
        </is>
      </c>
      <c r="F2825" s="2" t="n">
        <v>44378</v>
      </c>
      <c r="G2825" s="1" t="n"/>
    </row>
    <row r="2826">
      <c r="A2826" s="6" t="n">
        <v>63767</v>
      </c>
      <c r="B2826" s="6" t="inlineStr">
        <is>
          <t>TARANTULA STRAWBERRY RTD</t>
        </is>
      </c>
      <c r="C2826" s="7">
        <f>VLOOKUP(A2826,SizeData!A$2:B$3839,2,FALSE)</f>
        <v/>
      </c>
      <c r="D2826" s="6" t="n">
        <v>1</v>
      </c>
      <c r="E2826" s="6" t="inlineStr">
        <is>
          <t xml:space="preserve"> R1171903</t>
        </is>
      </c>
      <c r="F2826" s="2" t="n">
        <v>44380</v>
      </c>
      <c r="G2826" s="1" t="n"/>
    </row>
    <row r="2827">
      <c r="A2827" s="6" t="n">
        <v>63767</v>
      </c>
      <c r="B2827" s="6" t="inlineStr">
        <is>
          <t>TARANTULA STRAWBERRY RTD</t>
        </is>
      </c>
      <c r="C2827" s="7">
        <f>VLOOKUP(A2827,SizeData!A$2:B$3839,2,FALSE)</f>
        <v/>
      </c>
      <c r="D2827" s="6" t="n">
        <v>4</v>
      </c>
      <c r="E2827" s="6" t="inlineStr">
        <is>
          <t>R1236179</t>
        </is>
      </c>
      <c r="F2827" s="2" t="n">
        <v>44443</v>
      </c>
      <c r="G2827" s="1" t="n"/>
    </row>
    <row r="2828">
      <c r="A2828" s="6" t="n">
        <v>64028</v>
      </c>
      <c r="B2828" s="6" t="inlineStr">
        <is>
          <t>ALIZE PINEAPPLE</t>
        </is>
      </c>
      <c r="C2828" s="7">
        <f>VLOOKUP(A2828,SizeData!A$2:B$3839,2,FALSE)</f>
        <v/>
      </c>
      <c r="D2828" s="6" t="n">
        <v>2</v>
      </c>
      <c r="E2828" s="6" t="inlineStr">
        <is>
          <t>R1003894</t>
        </is>
      </c>
      <c r="F2828" s="2" t="n">
        <v>44229</v>
      </c>
      <c r="G2828" s="1" t="n"/>
    </row>
    <row r="2829">
      <c r="A2829" s="6" t="n">
        <v>64085</v>
      </c>
      <c r="B2829" s="6" t="inlineStr">
        <is>
          <t>ALIZE RED PASSION</t>
        </is>
      </c>
      <c r="C2829" s="7">
        <f>VLOOKUP(A2829,SizeData!A$2:B$3839,2,FALSE)</f>
        <v/>
      </c>
      <c r="D2829" s="6" t="n">
        <v>2</v>
      </c>
      <c r="E2829" s="6" t="inlineStr">
        <is>
          <t>R1081307</t>
        </is>
      </c>
      <c r="F2829" s="2" t="n">
        <v>44284</v>
      </c>
      <c r="G2829" s="1" t="n"/>
    </row>
    <row r="2830">
      <c r="A2830" s="6" t="n">
        <v>64085</v>
      </c>
      <c r="B2830" s="6" t="inlineStr">
        <is>
          <t>ALIZE RED PASSION</t>
        </is>
      </c>
      <c r="C2830" s="7">
        <f>VLOOKUP(A2830,SizeData!A$2:B$3839,2,FALSE)</f>
        <v/>
      </c>
      <c r="D2830" s="6" t="n">
        <v>2</v>
      </c>
      <c r="E2830" s="6" t="inlineStr">
        <is>
          <t>R1285811</t>
        </is>
      </c>
      <c r="F2830" s="2" t="n">
        <v>44474</v>
      </c>
      <c r="G2830" s="1" t="n"/>
    </row>
    <row r="2831">
      <c r="A2831" s="6" t="n">
        <v>64135</v>
      </c>
      <c r="B2831" s="6" t="inlineStr">
        <is>
          <t>DISARONNO AMARETTO</t>
        </is>
      </c>
      <c r="C2831" s="7">
        <f>VLOOKUP(A2831,SizeData!A$2:B$3839,2,FALSE)</f>
        <v/>
      </c>
      <c r="D2831" s="6" t="n">
        <v>0</v>
      </c>
      <c r="E2831" s="6" t="inlineStr">
        <is>
          <t>R1253669</t>
        </is>
      </c>
      <c r="F2831" s="2" t="n">
        <v>44471</v>
      </c>
      <c r="G2831" s="1" t="n"/>
    </row>
    <row r="2832">
      <c r="A2832" s="6" t="n">
        <v>64136</v>
      </c>
      <c r="B2832" s="6" t="inlineStr">
        <is>
          <t>DISARONNO AMARETTO</t>
        </is>
      </c>
      <c r="C2832" s="7">
        <f>VLOOKUP(A2832,SizeData!A$2:B$3839,2,FALSE)</f>
        <v/>
      </c>
      <c r="D2832" s="6" t="n">
        <v>1</v>
      </c>
      <c r="E2832" s="6" t="inlineStr">
        <is>
          <t>R1089290</t>
        </is>
      </c>
      <c r="F2832" s="2" t="n">
        <v>44309</v>
      </c>
      <c r="G2832" s="1" t="n"/>
    </row>
    <row r="2833">
      <c r="A2833" s="6" t="n">
        <v>64136</v>
      </c>
      <c r="B2833" s="6" t="inlineStr">
        <is>
          <t>DISARONNO AMARETTO</t>
        </is>
      </c>
      <c r="C2833" s="7">
        <f>VLOOKUP(A2833,SizeData!A$2:B$3839,2,FALSE)</f>
        <v/>
      </c>
      <c r="D2833" s="6" t="n">
        <v>1</v>
      </c>
      <c r="E2833" s="6" t="inlineStr">
        <is>
          <t>R1151004</t>
        </is>
      </c>
      <c r="F2833" s="2" t="n">
        <v>44358</v>
      </c>
      <c r="G2833" s="1" t="n"/>
    </row>
    <row r="2834">
      <c r="A2834" s="6" t="n">
        <v>64136</v>
      </c>
      <c r="B2834" s="6" t="inlineStr">
        <is>
          <t>DISARONNO AMARETTO</t>
        </is>
      </c>
      <c r="C2834" s="7">
        <f>VLOOKUP(A2834,SizeData!A$2:B$3839,2,FALSE)</f>
        <v/>
      </c>
      <c r="D2834" s="6" t="n">
        <v>1</v>
      </c>
      <c r="E2834" s="6" t="inlineStr">
        <is>
          <t>R1180298</t>
        </is>
      </c>
      <c r="F2834" s="2" t="n">
        <v>44400</v>
      </c>
      <c r="G2834" s="1" t="n"/>
    </row>
    <row r="2835">
      <c r="A2835" s="6" t="n">
        <v>64136</v>
      </c>
      <c r="B2835" s="6" t="inlineStr">
        <is>
          <t>DISARONNO AMARETTO</t>
        </is>
      </c>
      <c r="C2835" s="7">
        <f>VLOOKUP(A2835,SizeData!A$2:B$3839,2,FALSE)</f>
        <v/>
      </c>
      <c r="D2835" s="6" t="n">
        <v>2</v>
      </c>
      <c r="E2835" s="6" t="inlineStr">
        <is>
          <t>R1295503</t>
        </is>
      </c>
      <c r="F2835" s="2" t="n">
        <v>44476</v>
      </c>
      <c r="G2835" s="1" t="n"/>
    </row>
    <row r="2836">
      <c r="A2836" s="6" t="n">
        <v>64136</v>
      </c>
      <c r="B2836" s="6" t="inlineStr">
        <is>
          <t>DISARONNO AMARETTO</t>
        </is>
      </c>
      <c r="C2836" s="7">
        <f>VLOOKUP(A2836,SizeData!A$2:B$3839,2,FALSE)</f>
        <v/>
      </c>
      <c r="D2836" s="6" t="n">
        <v>1</v>
      </c>
      <c r="E2836" s="6" t="inlineStr">
        <is>
          <t>R1335595</t>
        </is>
      </c>
      <c r="F2836" s="2" t="n">
        <v>44520</v>
      </c>
      <c r="G2836" s="1" t="n"/>
    </row>
    <row r="2837">
      <c r="A2837" s="6" t="n">
        <v>64136</v>
      </c>
      <c r="B2837" s="6" t="inlineStr">
        <is>
          <t>DISARONNO AMARETTO</t>
        </is>
      </c>
      <c r="C2837" s="7">
        <f>VLOOKUP(A2837,SizeData!A$2:B$3839,2,FALSE)</f>
        <v/>
      </c>
      <c r="D2837" s="6" t="n">
        <v>0</v>
      </c>
      <c r="E2837" s="6" t="inlineStr">
        <is>
          <t>R1335595</t>
        </is>
      </c>
      <c r="F2837" s="2" t="n">
        <v>44520</v>
      </c>
      <c r="G2837" s="1" t="n"/>
    </row>
    <row r="2838">
      <c r="A2838" s="6" t="n">
        <v>64136</v>
      </c>
      <c r="B2838" s="6" t="inlineStr">
        <is>
          <t>DISARONNO AMARETTO</t>
        </is>
      </c>
      <c r="C2838" s="7">
        <f>VLOOKUP(A2838,SizeData!A$2:B$3839,2,FALSE)</f>
        <v/>
      </c>
      <c r="D2838" s="6" t="n">
        <v>1</v>
      </c>
      <c r="E2838" s="6" t="inlineStr">
        <is>
          <t>R1335695</t>
        </is>
      </c>
      <c r="F2838" s="2" t="n">
        <v>44525</v>
      </c>
      <c r="G2838" s="1" t="n"/>
    </row>
    <row r="2839">
      <c r="A2839" s="6" t="n">
        <v>64328</v>
      </c>
      <c r="B2839" s="6" t="inlineStr">
        <is>
          <t>CIROC SUMMER WATERMELON</t>
        </is>
      </c>
      <c r="C2839" s="7">
        <f>VLOOKUP(A2839,SizeData!A$2:B$3839,2,FALSE)</f>
        <v/>
      </c>
      <c r="D2839" s="6" t="n">
        <v>3</v>
      </c>
      <c r="E2839" s="6" t="inlineStr">
        <is>
          <t>R1120446</t>
        </is>
      </c>
      <c r="F2839" s="2" t="n">
        <v>44321</v>
      </c>
      <c r="G2839" s="1" t="n"/>
    </row>
    <row r="2840">
      <c r="A2840" s="6" t="n">
        <v>64328</v>
      </c>
      <c r="B2840" s="6" t="inlineStr">
        <is>
          <t>CIROC SUMMER WATERMELON</t>
        </is>
      </c>
      <c r="C2840" s="7">
        <f>VLOOKUP(A2840,SizeData!A$2:B$3839,2,FALSE)</f>
        <v/>
      </c>
      <c r="D2840" s="6" t="n">
        <v>3</v>
      </c>
      <c r="E2840" s="6" t="inlineStr">
        <is>
          <t>R1162788</t>
        </is>
      </c>
      <c r="F2840" s="2" t="n">
        <v>44385</v>
      </c>
      <c r="G2840" s="1" t="n"/>
    </row>
    <row r="2841">
      <c r="A2841" s="6" t="n">
        <v>64328</v>
      </c>
      <c r="B2841" s="6" t="inlineStr">
        <is>
          <t>CIROC SUMMER WATERMELON</t>
        </is>
      </c>
      <c r="C2841" s="7">
        <f>VLOOKUP(A2841,SizeData!A$2:B$3839,2,FALSE)</f>
        <v/>
      </c>
      <c r="D2841" s="6" t="n">
        <v>1</v>
      </c>
      <c r="E2841" s="6" t="inlineStr">
        <is>
          <t>R1236687</t>
        </is>
      </c>
      <c r="F2841" s="2" t="n">
        <v>44448</v>
      </c>
      <c r="G2841" s="1" t="n"/>
    </row>
    <row r="2842">
      <c r="A2842" s="6" t="n">
        <v>64328</v>
      </c>
      <c r="B2842" s="6" t="inlineStr">
        <is>
          <t>CIROC SUMMER WATERMELON</t>
        </is>
      </c>
      <c r="C2842" s="7">
        <f>VLOOKUP(A2842,SizeData!A$2:B$3839,2,FALSE)</f>
        <v/>
      </c>
      <c r="D2842" s="6" t="n">
        <v>1</v>
      </c>
      <c r="E2842" s="6" t="inlineStr">
        <is>
          <t>R1251294</t>
        </is>
      </c>
      <c r="F2842" s="2" t="n">
        <v>44455</v>
      </c>
      <c r="G2842" s="1" t="n"/>
    </row>
    <row r="2843">
      <c r="A2843" s="6" t="n">
        <v>64328</v>
      </c>
      <c r="B2843" s="6" t="inlineStr">
        <is>
          <t>CIROC SUMMER WATERMELON</t>
        </is>
      </c>
      <c r="C2843" s="7">
        <f>VLOOKUP(A2843,SizeData!A$2:B$3839,2,FALSE)</f>
        <v/>
      </c>
      <c r="D2843" s="6" t="n">
        <v>2</v>
      </c>
      <c r="E2843" s="6" t="inlineStr">
        <is>
          <t>R1330081</t>
        </is>
      </c>
      <c r="F2843" s="2" t="n">
        <v>44518</v>
      </c>
      <c r="G2843" s="1" t="n"/>
    </row>
    <row r="2844">
      <c r="A2844" s="6" t="n">
        <v>64339</v>
      </c>
      <c r="B2844" s="6" t="inlineStr">
        <is>
          <t>CIROC POMEGRANATE FLAVORED VDK SPECIALTY</t>
        </is>
      </c>
      <c r="C2844" s="7">
        <f>VLOOKUP(A2844,SizeData!A$2:B$3839,2,FALSE)</f>
        <v/>
      </c>
      <c r="D2844" s="6" t="n">
        <v>0</v>
      </c>
      <c r="E2844" s="6" t="inlineStr">
        <is>
          <t>R1266638</t>
        </is>
      </c>
      <c r="F2844" s="2" t="n">
        <v>44469</v>
      </c>
      <c r="G2844" s="1" t="n"/>
    </row>
    <row r="2845">
      <c r="A2845" s="6" t="n">
        <v>64339</v>
      </c>
      <c r="B2845" s="6" t="inlineStr">
        <is>
          <t>CIROC POMEGRANATE FLAVORED VDK SPECIALTY</t>
        </is>
      </c>
      <c r="C2845" s="7">
        <f>VLOOKUP(A2845,SizeData!A$2:B$3839,2,FALSE)</f>
        <v/>
      </c>
      <c r="D2845" s="6" t="n">
        <v>3</v>
      </c>
      <c r="E2845" s="6" t="inlineStr">
        <is>
          <t>R1286696</t>
        </is>
      </c>
      <c r="F2845" s="2" t="n">
        <v>44487</v>
      </c>
      <c r="G2845" s="1" t="n"/>
    </row>
    <row r="2846">
      <c r="A2846" s="6" t="n">
        <v>64339</v>
      </c>
      <c r="B2846" s="6" t="inlineStr">
        <is>
          <t>CIROC POMEGRANATE FLAVORED VDK SPECIALTY</t>
        </is>
      </c>
      <c r="C2846" s="7">
        <f>VLOOKUP(A2846,SizeData!A$2:B$3839,2,FALSE)</f>
        <v/>
      </c>
      <c r="D2846" s="6" t="n">
        <v>5</v>
      </c>
      <c r="E2846" s="6" t="inlineStr">
        <is>
          <t>R1293538</t>
        </is>
      </c>
      <c r="F2846" s="2" t="n">
        <v>44497</v>
      </c>
      <c r="G2846" s="1" t="n"/>
    </row>
    <row r="2847">
      <c r="A2847" s="6" t="n">
        <v>64339</v>
      </c>
      <c r="B2847" s="6" t="inlineStr">
        <is>
          <t>CIROC POMEGRANATE FLAVORED VDK SPECIALTY</t>
        </is>
      </c>
      <c r="C2847" s="7">
        <f>VLOOKUP(A2847,SizeData!A$2:B$3839,2,FALSE)</f>
        <v/>
      </c>
      <c r="D2847" s="6" t="n">
        <v>5</v>
      </c>
      <c r="E2847" s="6" t="inlineStr">
        <is>
          <t>R1325813</t>
        </is>
      </c>
      <c r="F2847" s="2" t="n">
        <v>44504</v>
      </c>
      <c r="G2847" s="1" t="n"/>
    </row>
    <row r="2848">
      <c r="A2848" s="6" t="n">
        <v>64339</v>
      </c>
      <c r="B2848" s="6" t="inlineStr">
        <is>
          <t>CIROC POMEGRANATE FLAVORED VDK SPECIALTY</t>
        </is>
      </c>
      <c r="C2848" s="7">
        <f>VLOOKUP(A2848,SizeData!A$2:B$3839,2,FALSE)</f>
        <v/>
      </c>
      <c r="D2848" s="6" t="n">
        <v>5</v>
      </c>
      <c r="E2848" s="6" t="inlineStr">
        <is>
          <t>R1330920</t>
        </is>
      </c>
      <c r="F2848" s="2" t="n">
        <v>44515</v>
      </c>
      <c r="G2848" s="1" t="n"/>
    </row>
    <row r="2849">
      <c r="A2849" s="6" t="n">
        <v>64388</v>
      </c>
      <c r="B2849" s="6" t="inlineStr">
        <is>
          <t>BUMBU RUM</t>
        </is>
      </c>
      <c r="C2849" s="7">
        <f>VLOOKUP(A2849,SizeData!A$2:B$3839,2,FALSE)</f>
        <v/>
      </c>
      <c r="D2849" s="6" t="n">
        <v>1</v>
      </c>
      <c r="E2849" s="6" t="inlineStr">
        <is>
          <t>R1084456</t>
        </is>
      </c>
      <c r="F2849" s="2" t="n">
        <v>44301</v>
      </c>
      <c r="G2849" s="1" t="n"/>
    </row>
    <row r="2850">
      <c r="A2850" s="6" t="n">
        <v>64388</v>
      </c>
      <c r="B2850" s="6" t="inlineStr">
        <is>
          <t>BUMBU RUM</t>
        </is>
      </c>
      <c r="C2850" s="7">
        <f>VLOOKUP(A2850,SizeData!A$2:B$3839,2,FALSE)</f>
        <v/>
      </c>
      <c r="D2850" s="6" t="n">
        <v>1</v>
      </c>
      <c r="E2850" s="6" t="inlineStr">
        <is>
          <t>R1096915</t>
        </is>
      </c>
      <c r="F2850" s="2" t="n">
        <v>44303</v>
      </c>
      <c r="G2850" s="1" t="n"/>
    </row>
    <row r="2851">
      <c r="A2851" s="6" t="n">
        <v>64388</v>
      </c>
      <c r="B2851" s="6" t="inlineStr">
        <is>
          <t>BUMBU RUM</t>
        </is>
      </c>
      <c r="C2851" s="7">
        <f>VLOOKUP(A2851,SizeData!A$2:B$3839,2,FALSE)</f>
        <v/>
      </c>
      <c r="D2851" s="6" t="n">
        <v>3</v>
      </c>
      <c r="E2851" s="6" t="inlineStr">
        <is>
          <t>R1156528</t>
        </is>
      </c>
      <c r="F2851" s="2" t="n">
        <v>44362</v>
      </c>
      <c r="G2851" s="1" t="n"/>
    </row>
    <row r="2852">
      <c r="A2852" s="6" t="n">
        <v>64388</v>
      </c>
      <c r="B2852" s="6" t="inlineStr">
        <is>
          <t>BUMBU RUM</t>
        </is>
      </c>
      <c r="C2852" s="7">
        <f>VLOOKUP(A2852,SizeData!A$2:B$3839,2,FALSE)</f>
        <v/>
      </c>
      <c r="D2852" s="6" t="n">
        <v>5</v>
      </c>
      <c r="E2852" s="6" t="inlineStr">
        <is>
          <t>R1269954</t>
        </is>
      </c>
      <c r="F2852" s="2" t="n">
        <v>44475</v>
      </c>
      <c r="G2852" s="1" t="n"/>
    </row>
    <row r="2853">
      <c r="A2853" s="6" t="n">
        <v>64389</v>
      </c>
      <c r="B2853" s="6" t="inlineStr">
        <is>
          <t>CIROC SUMMER CITRUS</t>
        </is>
      </c>
      <c r="C2853" s="7">
        <f>VLOOKUP(A2853,SizeData!A$2:B$3839,2,FALSE)</f>
        <v/>
      </c>
      <c r="D2853" s="6" t="n">
        <v>10</v>
      </c>
      <c r="E2853" s="6" t="inlineStr">
        <is>
          <t>R1126504</t>
        </is>
      </c>
      <c r="F2853" s="2" t="n">
        <v>44322</v>
      </c>
      <c r="G2853" s="1" t="n"/>
    </row>
    <row r="2854">
      <c r="A2854" s="6" t="n">
        <v>64389</v>
      </c>
      <c r="B2854" s="6" t="inlineStr">
        <is>
          <t>CIROC SUMMER CITRUS</t>
        </is>
      </c>
      <c r="C2854" s="7">
        <f>VLOOKUP(A2854,SizeData!A$2:B$3839,2,FALSE)</f>
        <v/>
      </c>
      <c r="D2854" s="6" t="n">
        <v>10</v>
      </c>
      <c r="E2854" s="6" t="inlineStr">
        <is>
          <t>R1140930</t>
        </is>
      </c>
      <c r="F2854" s="2" t="n">
        <v>44343</v>
      </c>
      <c r="G2854" s="1" t="n"/>
    </row>
    <row r="2855">
      <c r="A2855" s="6" t="n">
        <v>64389</v>
      </c>
      <c r="B2855" s="6" t="inlineStr">
        <is>
          <t>CIROC SUMMER CITRUS</t>
        </is>
      </c>
      <c r="C2855" s="7">
        <f>VLOOKUP(A2855,SizeData!A$2:B$3839,2,FALSE)</f>
        <v/>
      </c>
      <c r="D2855" s="6" t="n">
        <v>3</v>
      </c>
      <c r="E2855" s="6" t="inlineStr">
        <is>
          <t>R1152322</t>
        </is>
      </c>
      <c r="F2855" s="2" t="n">
        <v>44364</v>
      </c>
      <c r="G2855" s="1" t="n"/>
    </row>
    <row r="2856">
      <c r="A2856" s="6" t="n">
        <v>64389</v>
      </c>
      <c r="B2856" s="6" t="inlineStr">
        <is>
          <t>CIROC SUMMER CITRUS</t>
        </is>
      </c>
      <c r="C2856" s="7">
        <f>VLOOKUP(A2856,SizeData!A$2:B$3839,2,FALSE)</f>
        <v/>
      </c>
      <c r="D2856" s="6" t="n">
        <v>4</v>
      </c>
      <c r="E2856" s="6" t="inlineStr">
        <is>
          <t xml:space="preserve"> R1162248</t>
        </is>
      </c>
      <c r="F2856" s="2" t="n">
        <v>44375</v>
      </c>
      <c r="G2856" s="1" t="n"/>
    </row>
    <row r="2857">
      <c r="A2857" s="6" t="n">
        <v>64389</v>
      </c>
      <c r="B2857" s="6" t="inlineStr">
        <is>
          <t>CIROC SUMMER CITRUS</t>
        </is>
      </c>
      <c r="C2857" s="7">
        <f>VLOOKUP(A2857,SizeData!A$2:B$3839,2,FALSE)</f>
        <v/>
      </c>
      <c r="D2857" s="6" t="n">
        <v>2</v>
      </c>
      <c r="E2857" s="6" t="inlineStr">
        <is>
          <t>R1189020</t>
        </is>
      </c>
      <c r="F2857" s="2" t="n">
        <v>44406</v>
      </c>
      <c r="G2857" s="1" t="n"/>
    </row>
    <row r="2858">
      <c r="A2858" s="6" t="n">
        <v>64418</v>
      </c>
      <c r="B2858" s="6" t="inlineStr">
        <is>
          <t>CIROC SUMMER WATERMELON</t>
        </is>
      </c>
      <c r="C2858" s="7">
        <f>VLOOKUP(A2858,SizeData!A$2:B$3839,2,FALSE)</f>
        <v/>
      </c>
      <c r="D2858" s="6" t="n">
        <v>3</v>
      </c>
      <c r="E2858" s="6" t="inlineStr">
        <is>
          <t>R1034351</t>
        </is>
      </c>
      <c r="F2858" s="2" t="n">
        <v>44256</v>
      </c>
      <c r="G2858" s="1" t="n"/>
    </row>
    <row r="2859">
      <c r="A2859" s="6" t="n">
        <v>64418</v>
      </c>
      <c r="B2859" s="6" t="inlineStr">
        <is>
          <t>CIROC SUMMER WATERMELON</t>
        </is>
      </c>
      <c r="C2859" s="7">
        <f>VLOOKUP(A2859,SizeData!A$2:B$3839,2,FALSE)</f>
        <v/>
      </c>
      <c r="D2859" s="6" t="n">
        <v>1</v>
      </c>
      <c r="E2859" s="6" t="inlineStr">
        <is>
          <t>R1049036</t>
        </is>
      </c>
      <c r="F2859" s="2" t="n">
        <v>44265</v>
      </c>
      <c r="G2859" s="1" t="n"/>
    </row>
    <row r="2860">
      <c r="A2860" s="6" t="n">
        <v>64418</v>
      </c>
      <c r="B2860" s="6" t="inlineStr">
        <is>
          <t>CIROC SUMMER WATERMELON</t>
        </is>
      </c>
      <c r="C2860" s="7">
        <f>VLOOKUP(A2860,SizeData!A$2:B$3839,2,FALSE)</f>
        <v/>
      </c>
      <c r="D2860" s="6" t="n">
        <v>5</v>
      </c>
      <c r="E2860" s="6" t="inlineStr">
        <is>
          <t>R1085161</t>
        </is>
      </c>
      <c r="F2860" s="2" t="n">
        <v>44287</v>
      </c>
      <c r="G2860" s="1" t="n"/>
    </row>
    <row r="2861">
      <c r="A2861" s="6" t="n">
        <v>64418</v>
      </c>
      <c r="B2861" s="6" t="inlineStr">
        <is>
          <t>CIROC SUMMER WATERMELON</t>
        </is>
      </c>
      <c r="C2861" s="7">
        <f>VLOOKUP(A2861,SizeData!A$2:B$3839,2,FALSE)</f>
        <v/>
      </c>
      <c r="D2861" s="6" t="n">
        <v>3</v>
      </c>
      <c r="E2861" s="6" t="inlineStr">
        <is>
          <t xml:space="preserve"> R1162248</t>
        </is>
      </c>
      <c r="F2861" s="2" t="n">
        <v>44375</v>
      </c>
      <c r="G2861" s="1" t="n"/>
    </row>
    <row r="2862">
      <c r="A2862" s="6" t="n">
        <v>64418</v>
      </c>
      <c r="B2862" s="6" t="inlineStr">
        <is>
          <t>CIROC SUMMER WATERMELON</t>
        </is>
      </c>
      <c r="C2862" s="7">
        <f>VLOOKUP(A2862,SizeData!A$2:B$3839,2,FALSE)</f>
        <v/>
      </c>
      <c r="D2862" s="6" t="n">
        <v>2</v>
      </c>
      <c r="E2862" s="6" t="inlineStr">
        <is>
          <t>R1251294</t>
        </is>
      </c>
      <c r="F2862" s="2" t="n">
        <v>44455</v>
      </c>
      <c r="G2862" s="1" t="n"/>
    </row>
    <row r="2863">
      <c r="A2863" s="6" t="n">
        <v>64418</v>
      </c>
      <c r="B2863" s="6" t="inlineStr">
        <is>
          <t>CIROC SUMMER WATERMELON</t>
        </is>
      </c>
      <c r="C2863" s="7">
        <f>VLOOKUP(A2863,SizeData!A$2:B$3839,2,FALSE)</f>
        <v/>
      </c>
      <c r="D2863" s="6" t="n">
        <v>4</v>
      </c>
      <c r="E2863" s="6" t="inlineStr">
        <is>
          <t>R1302966</t>
        </is>
      </c>
      <c r="F2863" s="2" t="n">
        <v>44501</v>
      </c>
      <c r="G2863" s="1" t="n"/>
    </row>
    <row r="2864">
      <c r="A2864" s="6" t="n">
        <v>64418</v>
      </c>
      <c r="B2864" s="6" t="inlineStr">
        <is>
          <t>CIROC SUMMER WATERMELON</t>
        </is>
      </c>
      <c r="C2864" s="7">
        <f>VLOOKUP(A2864,SizeData!A$2:B$3839,2,FALSE)</f>
        <v/>
      </c>
      <c r="D2864" s="6" t="n">
        <v>6</v>
      </c>
      <c r="E2864" s="6" t="inlineStr">
        <is>
          <t>R1330081</t>
        </is>
      </c>
      <c r="F2864" s="2" t="n">
        <v>44518</v>
      </c>
      <c r="G2864" s="1" t="n"/>
    </row>
    <row r="2865">
      <c r="A2865" s="6" t="n">
        <v>64509</v>
      </c>
      <c r="B2865" s="6" t="inlineStr">
        <is>
          <t>CIROC APPLE</t>
        </is>
      </c>
      <c r="C2865" s="7">
        <f>VLOOKUP(A2865,SizeData!A$2:B$3839,2,FALSE)</f>
        <v/>
      </c>
      <c r="D2865" s="6" t="n">
        <v>1</v>
      </c>
      <c r="E2865" s="6" t="inlineStr">
        <is>
          <t>R1013727</t>
        </is>
      </c>
      <c r="F2865" s="2" t="n">
        <v>44229</v>
      </c>
      <c r="G2865" s="1" t="n"/>
    </row>
    <row r="2866">
      <c r="A2866" s="6" t="n">
        <v>64509</v>
      </c>
      <c r="B2866" s="6" t="inlineStr">
        <is>
          <t>CIROC APPLE</t>
        </is>
      </c>
      <c r="C2866" s="7">
        <f>VLOOKUP(A2866,SizeData!A$2:B$3839,2,FALSE)</f>
        <v/>
      </c>
      <c r="D2866" s="6" t="n">
        <v>1</v>
      </c>
      <c r="E2866" s="6" t="inlineStr">
        <is>
          <t>R1162788</t>
        </is>
      </c>
      <c r="F2866" s="2" t="n">
        <v>44385</v>
      </c>
      <c r="G2866" s="1" t="n"/>
    </row>
    <row r="2867">
      <c r="A2867" s="6" t="n">
        <v>64510</v>
      </c>
      <c r="B2867" s="6" t="inlineStr">
        <is>
          <t>CIROC APPLE</t>
        </is>
      </c>
      <c r="C2867" s="7">
        <f>VLOOKUP(A2867,SizeData!A$2:B$3839,2,FALSE)</f>
        <v/>
      </c>
      <c r="D2867" s="6" t="n">
        <v>1</v>
      </c>
      <c r="E2867" s="6" t="inlineStr">
        <is>
          <t>R1069165</t>
        </is>
      </c>
      <c r="F2867" s="2" t="n">
        <v>44286</v>
      </c>
      <c r="G2867" s="1" t="n"/>
    </row>
    <row r="2868">
      <c r="A2868" s="6" t="n">
        <v>64510</v>
      </c>
      <c r="B2868" s="6" t="inlineStr">
        <is>
          <t>CIROC APPLE</t>
        </is>
      </c>
      <c r="C2868" s="7">
        <f>VLOOKUP(A2868,SizeData!A$2:B$3839,2,FALSE)</f>
        <v/>
      </c>
      <c r="D2868" s="6" t="n">
        <v>1</v>
      </c>
      <c r="E2868" s="6" t="inlineStr">
        <is>
          <t>R1117255</t>
        </is>
      </c>
      <c r="F2868" s="2" t="n">
        <v>44328</v>
      </c>
      <c r="G2868" s="1" t="n"/>
    </row>
    <row r="2869">
      <c r="A2869" s="6" t="n">
        <v>64510</v>
      </c>
      <c r="B2869" s="6" t="inlineStr">
        <is>
          <t>CIROC APPLE</t>
        </is>
      </c>
      <c r="C2869" s="7">
        <f>VLOOKUP(A2869,SizeData!A$2:B$3839,2,FALSE)</f>
        <v/>
      </c>
      <c r="D2869" s="6" t="n">
        <v>1</v>
      </c>
      <c r="E2869" s="6" t="inlineStr">
        <is>
          <t>R1331167</t>
        </is>
      </c>
      <c r="F2869" s="2" t="n">
        <v>44522</v>
      </c>
      <c r="G2869" s="1" t="n"/>
    </row>
    <row r="2870">
      <c r="A2870" s="6" t="n">
        <v>64510</v>
      </c>
      <c r="B2870" s="6" t="inlineStr">
        <is>
          <t>CIROC APPLE</t>
        </is>
      </c>
      <c r="C2870" s="7">
        <f>VLOOKUP(A2870,SizeData!A$2:B$3839,2,FALSE)</f>
        <v/>
      </c>
      <c r="D2870" s="6" t="n">
        <v>1</v>
      </c>
      <c r="E2870" s="6" t="inlineStr">
        <is>
          <t>R1331167</t>
        </is>
      </c>
      <c r="F2870" s="2" t="n">
        <v>44522</v>
      </c>
      <c r="G2870" s="1" t="n"/>
    </row>
    <row r="2871">
      <c r="A2871" s="6" t="n">
        <v>64511</v>
      </c>
      <c r="B2871" s="6" t="inlineStr">
        <is>
          <t>CIROC APPLE</t>
        </is>
      </c>
      <c r="C2871" s="7">
        <f>VLOOKUP(A2871,SizeData!A$2:B$3839,2,FALSE)</f>
        <v/>
      </c>
      <c r="D2871" s="6" t="n">
        <v>2</v>
      </c>
      <c r="E2871" s="6" t="inlineStr">
        <is>
          <t>R1013988</t>
        </is>
      </c>
      <c r="F2871" s="2" t="n">
        <v>44239</v>
      </c>
      <c r="G2871" s="1" t="n"/>
    </row>
    <row r="2872">
      <c r="A2872" s="6" t="n">
        <v>64511</v>
      </c>
      <c r="B2872" s="6" t="inlineStr">
        <is>
          <t>CIROC APPLE</t>
        </is>
      </c>
      <c r="C2872" s="7">
        <f>VLOOKUP(A2872,SizeData!A$2:B$3839,2,FALSE)</f>
        <v/>
      </c>
      <c r="D2872" s="6" t="n">
        <v>10</v>
      </c>
      <c r="E2872" s="6" t="inlineStr">
        <is>
          <t>R1050226</t>
        </is>
      </c>
      <c r="F2872" s="2" t="n">
        <v>44256</v>
      </c>
      <c r="G2872" s="1" t="n"/>
    </row>
    <row r="2873">
      <c r="A2873" s="6" t="n">
        <v>64511</v>
      </c>
      <c r="B2873" s="6" t="inlineStr">
        <is>
          <t>CIROC APPLE</t>
        </is>
      </c>
      <c r="C2873" s="7">
        <f>VLOOKUP(A2873,SizeData!A$2:B$3839,2,FALSE)</f>
        <v/>
      </c>
      <c r="D2873" s="6" t="n">
        <v>10</v>
      </c>
      <c r="E2873" s="6" t="inlineStr">
        <is>
          <t>R1049036</t>
        </is>
      </c>
      <c r="F2873" s="2" t="n">
        <v>44265</v>
      </c>
      <c r="G2873" s="1" t="n"/>
    </row>
    <row r="2874">
      <c r="A2874" s="6" t="n">
        <v>64511</v>
      </c>
      <c r="B2874" s="6" t="inlineStr">
        <is>
          <t>CIROC APPLE</t>
        </is>
      </c>
      <c r="C2874" s="7">
        <f>VLOOKUP(A2874,SizeData!A$2:B$3839,2,FALSE)</f>
        <v/>
      </c>
      <c r="D2874" s="6" t="n">
        <v>6</v>
      </c>
      <c r="E2874" s="6" t="inlineStr">
        <is>
          <t>R1063984</t>
        </is>
      </c>
      <c r="F2874" s="2" t="n">
        <v>44280</v>
      </c>
      <c r="G2874" s="1" t="n"/>
    </row>
    <row r="2875">
      <c r="A2875" s="6" t="n">
        <v>64512</v>
      </c>
      <c r="B2875" s="6" t="inlineStr">
        <is>
          <t>CIROC APPLE</t>
        </is>
      </c>
      <c r="C2875" s="7">
        <f>VLOOKUP(A2875,SizeData!A$2:B$3839,2,FALSE)</f>
        <v/>
      </c>
      <c r="D2875" s="6" t="n">
        <v>4</v>
      </c>
      <c r="E2875" s="6" t="inlineStr">
        <is>
          <t>R1012115</t>
        </is>
      </c>
      <c r="F2875" s="2" t="n">
        <v>44223</v>
      </c>
      <c r="G2875" s="1" t="n"/>
    </row>
    <row r="2876">
      <c r="A2876" s="6" t="n">
        <v>64512</v>
      </c>
      <c r="B2876" s="6" t="inlineStr">
        <is>
          <t>CIROC APPLE</t>
        </is>
      </c>
      <c r="C2876" s="7">
        <f>VLOOKUP(A2876,SizeData!A$2:B$3839,2,FALSE)</f>
        <v/>
      </c>
      <c r="D2876" s="6" t="n">
        <v>5</v>
      </c>
      <c r="E2876" s="6" t="inlineStr">
        <is>
          <t>R1013727</t>
        </is>
      </c>
      <c r="F2876" s="2" t="n">
        <v>44229</v>
      </c>
      <c r="G2876" s="1" t="n"/>
    </row>
    <row r="2877">
      <c r="A2877" s="6" t="n">
        <v>64512</v>
      </c>
      <c r="B2877" s="6" t="inlineStr">
        <is>
          <t>CIROC APPLE</t>
        </is>
      </c>
      <c r="C2877" s="7">
        <f>VLOOKUP(A2877,SizeData!A$2:B$3839,2,FALSE)</f>
        <v/>
      </c>
      <c r="D2877" s="6" t="n">
        <v>10</v>
      </c>
      <c r="E2877" s="6" t="inlineStr">
        <is>
          <t>R1090707</t>
        </is>
      </c>
      <c r="F2877" s="2" t="n">
        <v>44287</v>
      </c>
      <c r="G2877" s="1" t="n"/>
    </row>
    <row r="2878">
      <c r="A2878" s="6" t="n">
        <v>64512</v>
      </c>
      <c r="B2878" s="6" t="inlineStr">
        <is>
          <t>CIROC APPLE</t>
        </is>
      </c>
      <c r="C2878" s="7">
        <f>VLOOKUP(A2878,SizeData!A$2:B$3839,2,FALSE)</f>
        <v/>
      </c>
      <c r="D2878" s="6" t="n">
        <v>2</v>
      </c>
      <c r="E2878" s="6" t="inlineStr">
        <is>
          <t>R1094301</t>
        </is>
      </c>
      <c r="F2878" s="2" t="n">
        <v>44301</v>
      </c>
      <c r="G2878" s="1" t="n"/>
    </row>
    <row r="2879">
      <c r="A2879" s="6" t="n">
        <v>64512</v>
      </c>
      <c r="B2879" s="6" t="inlineStr">
        <is>
          <t>CIROC APPLE</t>
        </is>
      </c>
      <c r="C2879" s="7">
        <f>VLOOKUP(A2879,SizeData!A$2:B$3839,2,FALSE)</f>
        <v/>
      </c>
      <c r="D2879" s="6" t="n">
        <v>2</v>
      </c>
      <c r="E2879" s="6" t="inlineStr">
        <is>
          <t>R1235270</t>
        </is>
      </c>
      <c r="F2879" s="2" t="n">
        <v>44440</v>
      </c>
      <c r="G2879" s="1" t="inlineStr">
        <is>
          <t>Out of 5</t>
        </is>
      </c>
    </row>
    <row r="2880">
      <c r="A2880" s="6" t="n">
        <v>64512</v>
      </c>
      <c r="B2880" s="6" t="inlineStr">
        <is>
          <t>CIROC APPLE</t>
        </is>
      </c>
      <c r="C2880" s="7">
        <f>VLOOKUP(A2880,SizeData!A$2:B$3839,2,FALSE)</f>
        <v/>
      </c>
      <c r="D2880" s="6" t="n">
        <v>0</v>
      </c>
      <c r="E2880" s="6" t="inlineStr">
        <is>
          <t>R1236687</t>
        </is>
      </c>
      <c r="F2880" s="2" t="n">
        <v>44448</v>
      </c>
      <c r="G2880" s="1" t="n"/>
    </row>
    <row r="2881">
      <c r="A2881" s="6" t="n">
        <v>64512</v>
      </c>
      <c r="B2881" s="6" t="inlineStr">
        <is>
          <t>CIROC APPLE</t>
        </is>
      </c>
      <c r="C2881" s="7">
        <f>VLOOKUP(A2881,SizeData!A$2:B$3839,2,FALSE)</f>
        <v/>
      </c>
      <c r="D2881" s="6" t="n">
        <v>1</v>
      </c>
      <c r="E2881" s="6" t="inlineStr">
        <is>
          <t>R1266638</t>
        </is>
      </c>
      <c r="F2881" s="2" t="n">
        <v>44469</v>
      </c>
      <c r="G2881" s="1" t="n"/>
    </row>
    <row r="2882">
      <c r="A2882" s="6" t="n">
        <v>64512</v>
      </c>
      <c r="B2882" s="6" t="inlineStr">
        <is>
          <t>CIROC APPLE</t>
        </is>
      </c>
      <c r="C2882" s="7">
        <f>VLOOKUP(A2882,SizeData!A$2:B$3839,2,FALSE)</f>
        <v/>
      </c>
      <c r="D2882" s="6" t="n">
        <v>0</v>
      </c>
      <c r="E2882" s="6" t="inlineStr">
        <is>
          <t>R1311057</t>
        </is>
      </c>
      <c r="F2882" s="2" t="n">
        <v>44501</v>
      </c>
      <c r="G2882" s="1" t="n"/>
    </row>
    <row r="2883">
      <c r="A2883" s="6" t="n">
        <v>64512</v>
      </c>
      <c r="B2883" s="6" t="inlineStr">
        <is>
          <t>CIROC APPLE</t>
        </is>
      </c>
      <c r="C2883" s="7">
        <f>VLOOKUP(A2883,SizeData!A$2:B$3839,2,FALSE)</f>
        <v/>
      </c>
      <c r="D2883" s="6" t="n">
        <v>5</v>
      </c>
      <c r="E2883" s="6" t="inlineStr">
        <is>
          <t>R1318325</t>
        </is>
      </c>
      <c r="F2883" s="2" t="n">
        <v>44509</v>
      </c>
      <c r="G2883" s="1" t="n"/>
    </row>
    <row r="2884">
      <c r="A2884" s="6" t="n">
        <v>64512</v>
      </c>
      <c r="B2884" s="6" t="inlineStr">
        <is>
          <t>CIROC APPLE</t>
        </is>
      </c>
      <c r="C2884" s="7">
        <f>VLOOKUP(A2884,SizeData!A$2:B$3839,2,FALSE)</f>
        <v/>
      </c>
      <c r="D2884" s="6" t="n">
        <v>2</v>
      </c>
      <c r="E2884" s="6" t="inlineStr">
        <is>
          <t>R1331956</t>
        </is>
      </c>
      <c r="F2884" s="2" t="n">
        <v>44520</v>
      </c>
      <c r="G2884" s="1" t="n"/>
    </row>
    <row r="2885">
      <c r="A2885" s="6" t="n">
        <v>64512</v>
      </c>
      <c r="B2885" s="6" t="inlineStr">
        <is>
          <t>CIROC APPLE</t>
        </is>
      </c>
      <c r="C2885" s="7">
        <f>VLOOKUP(A2885,SizeData!A$2:B$3839,2,FALSE)</f>
        <v/>
      </c>
      <c r="D2885" s="6" t="n">
        <v>1</v>
      </c>
      <c r="E2885" s="6" t="inlineStr">
        <is>
          <t>R1331956</t>
        </is>
      </c>
      <c r="F2885" s="2" t="n">
        <v>44520</v>
      </c>
      <c r="G2885" s="1" t="n"/>
    </row>
    <row r="2886">
      <c r="A2886" s="6" t="n">
        <v>64512</v>
      </c>
      <c r="B2886" s="6" t="inlineStr">
        <is>
          <t>CIROC APPLE</t>
        </is>
      </c>
      <c r="C2886" s="7">
        <f>VLOOKUP(A2886,SizeData!A$2:B$3839,2,FALSE)</f>
        <v/>
      </c>
      <c r="D2886" s="6" t="n">
        <v>5</v>
      </c>
      <c r="E2886" s="6" t="inlineStr">
        <is>
          <t>R1338150</t>
        </is>
      </c>
      <c r="F2886" s="2" t="n">
        <v>44529</v>
      </c>
      <c r="G2886" s="1" t="n"/>
    </row>
    <row r="2887">
      <c r="A2887" s="6" t="n">
        <v>64514</v>
      </c>
      <c r="B2887" s="6" t="inlineStr">
        <is>
          <t>CIROC APPLE VODKA</t>
        </is>
      </c>
      <c r="C2887" s="7">
        <f>VLOOKUP(A2887,SizeData!A$2:B$3839,2,FALSE)</f>
        <v/>
      </c>
      <c r="D2887" s="6" t="n">
        <v>2</v>
      </c>
      <c r="E2887" s="6" t="inlineStr">
        <is>
          <t>R989713</t>
        </is>
      </c>
      <c r="F2887" s="2" t="n">
        <v>44200</v>
      </c>
      <c r="G2887" s="1" t="n"/>
    </row>
    <row r="2888">
      <c r="A2888" s="6" t="n">
        <v>64514</v>
      </c>
      <c r="B2888" s="6" t="inlineStr">
        <is>
          <t>CIROC APPLE VODKA</t>
        </is>
      </c>
      <c r="C2888" s="7">
        <f>VLOOKUP(A2888,SizeData!A$2:B$3839,2,FALSE)</f>
        <v/>
      </c>
      <c r="D2888" s="6" t="n">
        <v>2</v>
      </c>
      <c r="E2888" s="6" t="inlineStr">
        <is>
          <t>R993178</t>
        </is>
      </c>
      <c r="F2888" s="2" t="n">
        <v>44218</v>
      </c>
      <c r="G2888" s="1" t="n"/>
    </row>
    <row r="2889">
      <c r="A2889" s="6" t="n">
        <v>64514</v>
      </c>
      <c r="B2889" s="6" t="inlineStr">
        <is>
          <t>CIROC APPLE VODKA</t>
        </is>
      </c>
      <c r="C2889" s="7">
        <f>VLOOKUP(A2889,SizeData!A$2:B$3839,2,FALSE)</f>
        <v/>
      </c>
      <c r="D2889" s="6" t="n">
        <v>1</v>
      </c>
      <c r="E2889" s="6" t="inlineStr">
        <is>
          <t>R1050226</t>
        </is>
      </c>
      <c r="F2889" s="2" t="n">
        <v>44256</v>
      </c>
      <c r="G2889" s="1" t="n"/>
    </row>
    <row r="2890">
      <c r="A2890" s="6" t="n">
        <v>64514</v>
      </c>
      <c r="B2890" s="6" t="inlineStr">
        <is>
          <t>CIROC APPLE VODKA</t>
        </is>
      </c>
      <c r="C2890" s="7">
        <f>VLOOKUP(A2890,SizeData!A$2:B$3839,2,FALSE)</f>
        <v/>
      </c>
      <c r="D2890" s="6" t="n">
        <v>1</v>
      </c>
      <c r="E2890" s="6" t="inlineStr">
        <is>
          <t>R1117255</t>
        </is>
      </c>
      <c r="F2890" s="2" t="n">
        <v>44328</v>
      </c>
      <c r="G2890" s="1" t="n"/>
    </row>
    <row r="2891">
      <c r="A2891" s="6" t="n">
        <v>64514</v>
      </c>
      <c r="B2891" s="6" t="inlineStr">
        <is>
          <t>CIROC APPLE VODKA</t>
        </is>
      </c>
      <c r="C2891" s="7">
        <f>VLOOKUP(A2891,SizeData!A$2:B$3839,2,FALSE)</f>
        <v/>
      </c>
      <c r="D2891" s="6" t="n">
        <v>1</v>
      </c>
      <c r="E2891" s="6" t="inlineStr">
        <is>
          <t>R1109574</t>
        </is>
      </c>
      <c r="F2891" s="2" t="n">
        <v>44331</v>
      </c>
      <c r="G2891" s="1" t="n"/>
    </row>
    <row r="2892">
      <c r="A2892" s="6" t="n">
        <v>64514</v>
      </c>
      <c r="B2892" s="6" t="inlineStr">
        <is>
          <t>CIROC APPLE VODKA</t>
        </is>
      </c>
      <c r="C2892" s="7">
        <f>VLOOKUP(A2892,SizeData!A$2:B$3839,2,FALSE)</f>
        <v/>
      </c>
      <c r="D2892" s="6" t="n">
        <v>1</v>
      </c>
      <c r="E2892" s="6" t="inlineStr">
        <is>
          <t>R1236687</t>
        </is>
      </c>
      <c r="F2892" s="2" t="n">
        <v>44448</v>
      </c>
      <c r="G2892" s="1" t="n"/>
    </row>
    <row r="2893">
      <c r="A2893" s="6" t="n">
        <v>64529</v>
      </c>
      <c r="B2893" s="6" t="inlineStr">
        <is>
          <t>BUMBU RUM</t>
        </is>
      </c>
      <c r="C2893" s="7">
        <f>VLOOKUP(A2893,SizeData!A$2:B$3839,2,FALSE)</f>
        <v/>
      </c>
      <c r="D2893" s="6" t="n">
        <v>2</v>
      </c>
      <c r="E2893" s="6" t="inlineStr">
        <is>
          <t>R984731</t>
        </is>
      </c>
      <c r="F2893" s="2" t="n">
        <v>44197</v>
      </c>
      <c r="G2893" s="1" t="n"/>
    </row>
    <row r="2894">
      <c r="A2894" s="6" t="n">
        <v>64529</v>
      </c>
      <c r="B2894" s="6" t="inlineStr">
        <is>
          <t>BUMBU RUM</t>
        </is>
      </c>
      <c r="C2894" s="7">
        <f>VLOOKUP(A2894,SizeData!A$2:B$3839,2,FALSE)</f>
        <v/>
      </c>
      <c r="D2894" s="6" t="n">
        <v>3</v>
      </c>
      <c r="E2894" s="6" t="inlineStr">
        <is>
          <t>R1015412</t>
        </is>
      </c>
      <c r="F2894" s="2" t="n">
        <v>44215</v>
      </c>
      <c r="G2894" s="1" t="n"/>
    </row>
    <row r="2895">
      <c r="A2895" s="6" t="n">
        <v>64529</v>
      </c>
      <c r="B2895" s="6" t="inlineStr">
        <is>
          <t>BUMBU RUM</t>
        </is>
      </c>
      <c r="C2895" s="7">
        <f>VLOOKUP(A2895,SizeData!A$2:B$3839,2,FALSE)</f>
        <v/>
      </c>
      <c r="D2895" s="6" t="n">
        <v>2</v>
      </c>
      <c r="E2895" s="6" t="inlineStr">
        <is>
          <t>R996697</t>
        </is>
      </c>
      <c r="F2895" s="2" t="n">
        <v>44221</v>
      </c>
      <c r="G2895" s="1" t="n"/>
    </row>
    <row r="2896">
      <c r="A2896" s="6" t="n">
        <v>64529</v>
      </c>
      <c r="B2896" s="6" t="inlineStr">
        <is>
          <t>BUMBU RUM</t>
        </is>
      </c>
      <c r="C2896" s="7">
        <f>VLOOKUP(A2896,SizeData!A$2:B$3839,2,FALSE)</f>
        <v/>
      </c>
      <c r="D2896" s="6" t="n">
        <v>1</v>
      </c>
      <c r="E2896" s="6" t="inlineStr">
        <is>
          <t>R1074089</t>
        </is>
      </c>
      <c r="F2896" s="2" t="n">
        <v>44288</v>
      </c>
      <c r="G2896" s="1" t="n"/>
    </row>
    <row r="2897">
      <c r="A2897" s="6" t="n">
        <v>64529</v>
      </c>
      <c r="B2897" s="6" t="inlineStr">
        <is>
          <t>BUMBU RUM</t>
        </is>
      </c>
      <c r="C2897" s="7">
        <f>VLOOKUP(A2897,SizeData!A$2:B$3839,2,FALSE)</f>
        <v/>
      </c>
      <c r="D2897" s="6" t="n">
        <v>3</v>
      </c>
      <c r="E2897" s="6" t="inlineStr">
        <is>
          <t>R1085364</t>
        </is>
      </c>
      <c r="F2897" s="2" t="n">
        <v>44289</v>
      </c>
      <c r="G2897" s="1" t="n"/>
    </row>
    <row r="2898">
      <c r="A2898" s="6" t="n">
        <v>64529</v>
      </c>
      <c r="B2898" s="6" t="inlineStr">
        <is>
          <t>BUMBU RUM</t>
        </is>
      </c>
      <c r="C2898" s="7">
        <f>VLOOKUP(A2898,SizeData!A$2:B$3839,2,FALSE)</f>
        <v/>
      </c>
      <c r="D2898" s="6" t="n">
        <v>4</v>
      </c>
      <c r="E2898" s="6" t="inlineStr">
        <is>
          <t>R1089602</t>
        </is>
      </c>
      <c r="F2898" s="2" t="n">
        <v>44298</v>
      </c>
      <c r="G2898" s="1" t="n"/>
    </row>
    <row r="2899">
      <c r="A2899" s="6" t="n">
        <v>64529</v>
      </c>
      <c r="B2899" s="6" t="inlineStr">
        <is>
          <t>BUMBU RUM</t>
        </is>
      </c>
      <c r="C2899" s="7">
        <f>VLOOKUP(A2899,SizeData!A$2:B$3839,2,FALSE)</f>
        <v/>
      </c>
      <c r="D2899" s="6" t="n">
        <v>1</v>
      </c>
      <c r="E2899" s="6" t="inlineStr">
        <is>
          <t>R1099905</t>
        </is>
      </c>
      <c r="F2899" s="2" t="n">
        <v>44310</v>
      </c>
      <c r="G2899" s="1" t="n"/>
    </row>
    <row r="2900">
      <c r="A2900" s="6" t="n">
        <v>64529</v>
      </c>
      <c r="B2900" s="6" t="inlineStr">
        <is>
          <t>BUMBU RUM</t>
        </is>
      </c>
      <c r="C2900" s="7">
        <f>VLOOKUP(A2900,SizeData!A$2:B$3839,2,FALSE)</f>
        <v/>
      </c>
      <c r="D2900" s="6" t="n">
        <v>5</v>
      </c>
      <c r="E2900" s="6" t="inlineStr">
        <is>
          <t xml:space="preserve"> R1162278</t>
        </is>
      </c>
      <c r="F2900" s="2" t="n">
        <v>44380</v>
      </c>
      <c r="G2900" s="1" t="n"/>
    </row>
    <row r="2901">
      <c r="A2901" s="6" t="n">
        <v>64529</v>
      </c>
      <c r="B2901" s="6" t="inlineStr">
        <is>
          <t>BUMBU RUM</t>
        </is>
      </c>
      <c r="C2901" s="7">
        <f>VLOOKUP(A2901,SizeData!A$2:B$3839,2,FALSE)</f>
        <v/>
      </c>
      <c r="D2901" s="6" t="n">
        <v>5</v>
      </c>
      <c r="E2901" s="6" t="inlineStr">
        <is>
          <t>R1269954</t>
        </is>
      </c>
      <c r="F2901" s="2" t="n">
        <v>44475</v>
      </c>
      <c r="G2901" s="1" t="n"/>
    </row>
    <row r="2902">
      <c r="A2902" s="6" t="n">
        <v>64529</v>
      </c>
      <c r="B2902" s="6" t="inlineStr">
        <is>
          <t>BUMBU RUM</t>
        </is>
      </c>
      <c r="C2902" s="7">
        <f>VLOOKUP(A2902,SizeData!A$2:B$3839,2,FALSE)</f>
        <v/>
      </c>
      <c r="D2902" s="6" t="n">
        <v>1</v>
      </c>
      <c r="E2902" s="6" t="inlineStr">
        <is>
          <t>R1297007</t>
        </is>
      </c>
      <c r="F2902" s="2" t="n">
        <v>44490</v>
      </c>
      <c r="G2902" s="1" t="n"/>
    </row>
    <row r="2903">
      <c r="A2903" s="6" t="n">
        <v>64571</v>
      </c>
      <c r="B2903" s="6" t="inlineStr">
        <is>
          <t>CIROC PINEAPPLE VODKA</t>
        </is>
      </c>
      <c r="C2903" s="7">
        <f>VLOOKUP(A2903,SizeData!A$2:B$3839,2,FALSE)</f>
        <v/>
      </c>
      <c r="D2903" s="6" t="n">
        <v>1</v>
      </c>
      <c r="E2903" s="6" t="inlineStr">
        <is>
          <t>R1013727</t>
        </is>
      </c>
      <c r="F2903" s="2" t="n">
        <v>44229</v>
      </c>
      <c r="G2903" s="1" t="n"/>
    </row>
    <row r="2904">
      <c r="A2904" s="6" t="n">
        <v>64571</v>
      </c>
      <c r="B2904" s="6" t="inlineStr">
        <is>
          <t>CIROC PINEAPPLE VODKA</t>
        </is>
      </c>
      <c r="C2904" s="7">
        <f>VLOOKUP(A2904,SizeData!A$2:B$3839,2,FALSE)</f>
        <v/>
      </c>
      <c r="D2904" s="6" t="n">
        <v>1</v>
      </c>
      <c r="E2904" s="6" t="inlineStr">
        <is>
          <t>R1106414</t>
        </is>
      </c>
      <c r="F2904" s="2" t="n">
        <v>44307</v>
      </c>
      <c r="G2904" s="2" t="n"/>
    </row>
    <row r="2905">
      <c r="A2905" s="6" t="n">
        <v>64572</v>
      </c>
      <c r="B2905" s="6" t="inlineStr">
        <is>
          <t>CIROC PINEAPPLE VODKA</t>
        </is>
      </c>
      <c r="C2905" s="7">
        <f>VLOOKUP(A2905,SizeData!A$2:B$3839,2,FALSE)</f>
        <v/>
      </c>
      <c r="D2905" s="6" t="n">
        <v>2</v>
      </c>
      <c r="E2905" s="6" t="inlineStr">
        <is>
          <t>R1013988</t>
        </is>
      </c>
      <c r="F2905" s="2" t="n">
        <v>44239</v>
      </c>
      <c r="G2905" s="1" t="n"/>
    </row>
    <row r="2906">
      <c r="A2906" s="6" t="n">
        <v>64572</v>
      </c>
      <c r="B2906" s="6" t="inlineStr">
        <is>
          <t>CIROC PINEAPPLE VODKA</t>
        </is>
      </c>
      <c r="C2906" s="7">
        <f>VLOOKUP(A2906,SizeData!A$2:B$3839,2,FALSE)</f>
        <v/>
      </c>
      <c r="D2906" s="6" t="n">
        <v>10</v>
      </c>
      <c r="E2906" s="6" t="inlineStr">
        <is>
          <t>R1053375</t>
        </is>
      </c>
      <c r="F2906" s="2" t="n">
        <v>44272</v>
      </c>
      <c r="G2906" s="1" t="n"/>
    </row>
    <row r="2907">
      <c r="A2907" s="6" t="n">
        <v>64573</v>
      </c>
      <c r="B2907" s="6" t="inlineStr">
        <is>
          <t>CIROC PINEAPPLE VODKA</t>
        </is>
      </c>
      <c r="C2907" s="7">
        <f>VLOOKUP(A2907,SizeData!A$2:B$3839,2,FALSE)</f>
        <v/>
      </c>
      <c r="D2907" s="6" t="n">
        <v>10</v>
      </c>
      <c r="E2907" s="6" t="inlineStr">
        <is>
          <t>R1090707</t>
        </is>
      </c>
      <c r="F2907" s="2" t="n">
        <v>44287</v>
      </c>
      <c r="G2907" s="1" t="n"/>
    </row>
    <row r="2908">
      <c r="A2908" s="6" t="n">
        <v>64573</v>
      </c>
      <c r="B2908" s="6" t="inlineStr">
        <is>
          <t>CIROC PINEAPPLE VODKA</t>
        </is>
      </c>
      <c r="C2908" s="7">
        <f>VLOOKUP(A2908,SizeData!A$2:B$3839,2,FALSE)</f>
        <v/>
      </c>
      <c r="D2908" s="6" t="n">
        <v>0</v>
      </c>
      <c r="E2908" s="6" t="inlineStr">
        <is>
          <t>R1251294</t>
        </is>
      </c>
      <c r="F2908" s="2" t="n">
        <v>44455</v>
      </c>
      <c r="G2908" s="1" t="n"/>
    </row>
    <row r="2909">
      <c r="A2909" s="6" t="n">
        <v>64573</v>
      </c>
      <c r="B2909" s="6" t="inlineStr">
        <is>
          <t>CIROC PINEAPPLE VODKA</t>
        </is>
      </c>
      <c r="C2909" s="7">
        <f>VLOOKUP(A2909,SizeData!A$2:B$3839,2,FALSE)</f>
        <v/>
      </c>
      <c r="D2909" s="6" t="n">
        <v>5</v>
      </c>
      <c r="E2909" s="6" t="inlineStr">
        <is>
          <t>R1271248</t>
        </is>
      </c>
      <c r="F2909" s="2" t="n">
        <v>44469</v>
      </c>
      <c r="G2909" s="1" t="n"/>
    </row>
    <row r="2910">
      <c r="A2910" s="6" t="n">
        <v>64573</v>
      </c>
      <c r="B2910" s="6" t="inlineStr">
        <is>
          <t>CIROC PINEAPPLE VODKA</t>
        </is>
      </c>
      <c r="C2910" s="7">
        <f>VLOOKUP(A2910,SizeData!A$2:B$3839,2,FALSE)</f>
        <v/>
      </c>
      <c r="D2910" s="6" t="n">
        <v>3</v>
      </c>
      <c r="E2910" s="6" t="inlineStr">
        <is>
          <t>R1325813</t>
        </is>
      </c>
      <c r="F2910" s="2" t="n">
        <v>44504</v>
      </c>
      <c r="G2910" s="1" t="n"/>
    </row>
    <row r="2911">
      <c r="A2911" s="6" t="n">
        <v>64573</v>
      </c>
      <c r="B2911" s="6" t="inlineStr">
        <is>
          <t>CIROC PINEAPPLE VODKA</t>
        </is>
      </c>
      <c r="C2911" s="7">
        <f>VLOOKUP(A2911,SizeData!A$2:B$3839,2,FALSE)</f>
        <v/>
      </c>
      <c r="D2911" s="6" t="n">
        <v>3</v>
      </c>
      <c r="E2911" s="6" t="inlineStr">
        <is>
          <t>R1338150</t>
        </is>
      </c>
      <c r="F2911" s="2" t="n">
        <v>44529</v>
      </c>
      <c r="G2911" s="1" t="n"/>
    </row>
    <row r="2912">
      <c r="A2912" s="6" t="n">
        <v>64575</v>
      </c>
      <c r="B2912" s="6" t="inlineStr">
        <is>
          <t>CIROC PINEAPPLE VODKA</t>
        </is>
      </c>
      <c r="C2912" s="7">
        <f>VLOOKUP(A2912,SizeData!A$2:B$3839,2,FALSE)</f>
        <v/>
      </c>
      <c r="D2912" s="6" t="n">
        <v>1</v>
      </c>
      <c r="E2912" s="6" t="inlineStr">
        <is>
          <t>R1056544</t>
        </is>
      </c>
      <c r="F2912" s="2" t="n">
        <v>44267</v>
      </c>
      <c r="G2912" s="1" t="n"/>
    </row>
    <row r="2913">
      <c r="A2913" s="6" t="n">
        <v>64575</v>
      </c>
      <c r="B2913" s="6" t="inlineStr">
        <is>
          <t>CIROC PINEAPPLE VODKA</t>
        </is>
      </c>
      <c r="C2913" s="7">
        <f>VLOOKUP(A2913,SizeData!A$2:B$3839,2,FALSE)</f>
        <v/>
      </c>
      <c r="D2913" s="6" t="n">
        <v>1</v>
      </c>
      <c r="E2913" s="6" t="inlineStr">
        <is>
          <t>R1085161</t>
        </is>
      </c>
      <c r="F2913" s="2" t="n">
        <v>44287</v>
      </c>
      <c r="G2913" s="1" t="n"/>
    </row>
    <row r="2914">
      <c r="A2914" s="6" t="n">
        <v>64575</v>
      </c>
      <c r="B2914" s="6" t="inlineStr">
        <is>
          <t>CIROC PINEAPPLE VODKA</t>
        </is>
      </c>
      <c r="C2914" s="7">
        <f>VLOOKUP(A2914,SizeData!A$2:B$3839,2,FALSE)</f>
        <v/>
      </c>
      <c r="D2914" s="6" t="n">
        <v>1</v>
      </c>
      <c r="E2914" s="6" t="inlineStr">
        <is>
          <t>R1117255</t>
        </is>
      </c>
      <c r="F2914" s="2" t="n">
        <v>44328</v>
      </c>
      <c r="G2914" s="1" t="n"/>
    </row>
    <row r="2915">
      <c r="A2915" s="6" t="n">
        <v>64575</v>
      </c>
      <c r="B2915" s="6" t="inlineStr">
        <is>
          <t>CIROC PINEAPPLE VODKA</t>
        </is>
      </c>
      <c r="C2915" s="7">
        <f>VLOOKUP(A2915,SizeData!A$2:B$3839,2,FALSE)</f>
        <v/>
      </c>
      <c r="D2915" s="6" t="n">
        <v>1</v>
      </c>
      <c r="E2915" s="6" t="inlineStr">
        <is>
          <t>R1245880</t>
        </is>
      </c>
      <c r="F2915" s="2" t="n">
        <v>44453</v>
      </c>
      <c r="G2915" s="1" t="n"/>
    </row>
    <row r="2916">
      <c r="A2916" s="6" t="n">
        <v>64601</v>
      </c>
      <c r="B2916" s="6" t="inlineStr">
        <is>
          <t>CARAVELLA LIMONCELLO LEMON LIQUEUR</t>
        </is>
      </c>
      <c r="C2916" s="7">
        <f>VLOOKUP(A2916,SizeData!A$2:B$3839,2,FALSE)</f>
        <v/>
      </c>
      <c r="D2916" s="6" t="n">
        <v>1</v>
      </c>
      <c r="E2916" s="6" t="inlineStr">
        <is>
          <t>R1109381</t>
        </is>
      </c>
      <c r="F2916" s="2" t="n">
        <v>44331</v>
      </c>
      <c r="G2916" s="1" t="n"/>
    </row>
    <row r="2917">
      <c r="A2917" s="6" t="n">
        <v>64676</v>
      </c>
      <c r="B2917" s="6" t="inlineStr">
        <is>
          <t>CHAMBORD ROYALE</t>
        </is>
      </c>
      <c r="C2917" s="7">
        <f>VLOOKUP(A2917,SizeData!A$2:B$3839,2,FALSE)</f>
        <v/>
      </c>
      <c r="D2917" s="6" t="n">
        <v>0</v>
      </c>
      <c r="E2917" s="6" t="inlineStr">
        <is>
          <t>R1303942</t>
        </is>
      </c>
      <c r="F2917" s="2" t="n">
        <v>44501</v>
      </c>
      <c r="G2917" s="1" t="n"/>
    </row>
    <row r="2918">
      <c r="A2918" s="6" t="n">
        <v>64676</v>
      </c>
      <c r="B2918" s="6" t="inlineStr">
        <is>
          <t>CHAMBORD ROYALE</t>
        </is>
      </c>
      <c r="C2918" s="7">
        <f>VLOOKUP(A2918,SizeData!A$2:B$3839,2,FALSE)</f>
        <v/>
      </c>
      <c r="D2918" s="6" t="n">
        <v>1</v>
      </c>
      <c r="E2918" s="6" t="inlineStr">
        <is>
          <t>R1340613</t>
        </is>
      </c>
      <c r="F2918" s="2" t="n">
        <v>44520</v>
      </c>
      <c r="G2918" s="1" t="n"/>
    </row>
    <row r="2919">
      <c r="A2919" s="6" t="n">
        <v>64676</v>
      </c>
      <c r="B2919" s="6" t="inlineStr">
        <is>
          <t>CHAMBORD ROYALE</t>
        </is>
      </c>
      <c r="C2919" s="7">
        <f>VLOOKUP(A2919,SizeData!A$2:B$3839,2,FALSE)</f>
        <v/>
      </c>
      <c r="D2919" s="6" t="n">
        <v>0</v>
      </c>
      <c r="E2919" s="6" t="inlineStr">
        <is>
          <t>R1340613</t>
        </is>
      </c>
      <c r="F2919" s="2" t="n">
        <v>44520</v>
      </c>
      <c r="G2919" s="1" t="n"/>
    </row>
    <row r="2920">
      <c r="A2920" s="6" t="n">
        <v>64710</v>
      </c>
      <c r="B2920" s="6" t="inlineStr">
        <is>
          <t>CIROC PEACH FLAVORED VODKA</t>
        </is>
      </c>
      <c r="C2920" s="7">
        <f>VLOOKUP(A2920,SizeData!A$2:B$3839,2,FALSE)</f>
        <v/>
      </c>
      <c r="D2920" s="6" t="n">
        <v>1</v>
      </c>
      <c r="E2920" s="6" t="inlineStr">
        <is>
          <t>R993178</t>
        </is>
      </c>
      <c r="F2920" s="2" t="n">
        <v>44218</v>
      </c>
      <c r="G2920" s="1" t="n"/>
    </row>
    <row r="2921">
      <c r="A2921" s="6" t="n">
        <v>64711</v>
      </c>
      <c r="B2921" s="6" t="inlineStr">
        <is>
          <t>CIROC PEACH FLAVORED VODKA</t>
        </is>
      </c>
      <c r="C2921" s="7">
        <f>VLOOKUP(A2921,SizeData!A$2:B$3839,2,FALSE)</f>
        <v/>
      </c>
      <c r="D2921" s="6" t="n">
        <v>2</v>
      </c>
      <c r="E2921" s="6" t="inlineStr">
        <is>
          <t>R1000359</t>
        </is>
      </c>
      <c r="F2921" s="2" t="n">
        <v>44201</v>
      </c>
      <c r="G2921" s="1" t="n"/>
    </row>
    <row r="2922">
      <c r="A2922" s="6" t="n">
        <v>64711</v>
      </c>
      <c r="B2922" s="6" t="inlineStr">
        <is>
          <t>CIROC PEACH FLAVORED VODKA</t>
        </is>
      </c>
      <c r="C2922" s="7">
        <f>VLOOKUP(A2922,SizeData!A$2:B$3839,2,FALSE)</f>
        <v/>
      </c>
      <c r="D2922" s="6" t="n">
        <v>4</v>
      </c>
      <c r="E2922" s="6" t="inlineStr">
        <is>
          <t>R1012115</t>
        </is>
      </c>
      <c r="F2922" s="2" t="n">
        <v>44223</v>
      </c>
      <c r="G2922" s="1" t="n"/>
    </row>
    <row r="2923">
      <c r="A2923" s="6" t="n">
        <v>64711</v>
      </c>
      <c r="B2923" s="6" t="inlineStr">
        <is>
          <t>CIROC PEACH FLAVORED VODKA</t>
        </is>
      </c>
      <c r="C2923" s="7">
        <f>VLOOKUP(A2923,SizeData!A$2:B$3839,2,FALSE)</f>
        <v/>
      </c>
      <c r="D2923" s="6" t="n">
        <v>10</v>
      </c>
      <c r="E2923" s="6" t="inlineStr">
        <is>
          <t>R1053375</t>
        </is>
      </c>
      <c r="F2923" s="2" t="n">
        <v>44272</v>
      </c>
      <c r="G2923" s="1" t="n"/>
    </row>
    <row r="2924">
      <c r="A2924" s="6" t="n">
        <v>64714</v>
      </c>
      <c r="B2924" s="6" t="inlineStr">
        <is>
          <t>CIROC PEACH FLAVORED VODKA</t>
        </is>
      </c>
      <c r="C2924" s="7">
        <f>VLOOKUP(A2924,SizeData!A$2:B$3839,2,FALSE)</f>
        <v/>
      </c>
      <c r="D2924" s="6" t="n">
        <v>1</v>
      </c>
      <c r="E2924" s="6" t="inlineStr">
        <is>
          <t>R993178</t>
        </is>
      </c>
      <c r="F2924" s="2" t="n">
        <v>44218</v>
      </c>
      <c r="G2924" s="1" t="n"/>
    </row>
    <row r="2925">
      <c r="A2925" s="6" t="n">
        <v>64714</v>
      </c>
      <c r="B2925" s="6" t="inlineStr">
        <is>
          <t>CIROC PEACH FLAVORED VODKA</t>
        </is>
      </c>
      <c r="C2925" s="7">
        <f>VLOOKUP(A2925,SizeData!A$2:B$3839,2,FALSE)</f>
        <v/>
      </c>
      <c r="D2925" s="6" t="n">
        <v>1</v>
      </c>
      <c r="E2925" s="6" t="inlineStr">
        <is>
          <t>R1091201</t>
        </is>
      </c>
      <c r="F2925" s="2" t="n">
        <v>44286</v>
      </c>
      <c r="G2925" s="1" t="n"/>
    </row>
    <row r="2926">
      <c r="A2926" s="6" t="n">
        <v>64714</v>
      </c>
      <c r="B2926" s="6" t="inlineStr">
        <is>
          <t>CIROC PEACH FLAVORED VODKA</t>
        </is>
      </c>
      <c r="C2926" s="7">
        <f>VLOOKUP(A2926,SizeData!A$2:B$3839,2,FALSE)</f>
        <v/>
      </c>
      <c r="D2926" s="6" t="n">
        <v>1</v>
      </c>
      <c r="E2926" s="6" t="inlineStr">
        <is>
          <t>R1114354</t>
        </is>
      </c>
      <c r="F2926" s="2" t="n">
        <v>44334</v>
      </c>
      <c r="G2926" s="1" t="n"/>
    </row>
    <row r="2927">
      <c r="A2927" s="6" t="n">
        <v>64714</v>
      </c>
      <c r="B2927" s="6" t="inlineStr">
        <is>
          <t>CIROC PEACH FLAVORED VODKA</t>
        </is>
      </c>
      <c r="C2927" s="7">
        <f>VLOOKUP(A2927,SizeData!A$2:B$3839,2,FALSE)</f>
        <v/>
      </c>
      <c r="D2927" s="6" t="n">
        <v>1</v>
      </c>
      <c r="E2927" s="6" t="inlineStr">
        <is>
          <t>R1119380</t>
        </is>
      </c>
      <c r="F2927" s="2" t="n">
        <v>44338</v>
      </c>
      <c r="G2927" s="1" t="n"/>
    </row>
    <row r="2928">
      <c r="A2928" s="6" t="n">
        <v>64714</v>
      </c>
      <c r="B2928" s="6" t="inlineStr">
        <is>
          <t>CIROC PEACH FLAVORED VODKA</t>
        </is>
      </c>
      <c r="C2928" s="7">
        <f>VLOOKUP(A2928,SizeData!A$2:B$3839,2,FALSE)</f>
        <v/>
      </c>
      <c r="D2928" s="6" t="n">
        <v>1</v>
      </c>
      <c r="E2928" s="6" t="inlineStr">
        <is>
          <t>R1166959</t>
        </is>
      </c>
      <c r="F2928" s="2" t="n">
        <v>44380</v>
      </c>
      <c r="G2928" s="1" t="n"/>
    </row>
    <row r="2929">
      <c r="A2929" s="6" t="n">
        <v>64714</v>
      </c>
      <c r="B2929" s="6" t="inlineStr">
        <is>
          <t>CIROC PEACH FLAVORED VODKA</t>
        </is>
      </c>
      <c r="C2929" s="7">
        <f>VLOOKUP(A2929,SizeData!A$2:B$3839,2,FALSE)</f>
        <v/>
      </c>
      <c r="D2929" s="6" t="n">
        <v>1</v>
      </c>
      <c r="E2929" s="6" t="inlineStr">
        <is>
          <t>R1222253</t>
        </is>
      </c>
      <c r="F2929" s="2" t="n">
        <v>44435</v>
      </c>
      <c r="G2929" s="1" t="n"/>
    </row>
    <row r="2930">
      <c r="A2930" s="6" t="n">
        <v>64714</v>
      </c>
      <c r="B2930" s="6" t="inlineStr">
        <is>
          <t>CIROC PEACH FLAVORED VODKA</t>
        </is>
      </c>
      <c r="C2930" s="7">
        <f>VLOOKUP(A2930,SizeData!A$2:B$3839,2,FALSE)</f>
        <v/>
      </c>
      <c r="D2930" s="6" t="n">
        <v>1</v>
      </c>
      <c r="E2930" s="6" t="inlineStr">
        <is>
          <t>R1267530</t>
        </is>
      </c>
      <c r="F2930" s="2" t="n">
        <v>44470</v>
      </c>
      <c r="G2930" s="1" t="n"/>
    </row>
    <row r="2931">
      <c r="A2931" s="6" t="n">
        <v>64716</v>
      </c>
      <c r="B2931" s="6" t="inlineStr">
        <is>
          <t>CIROC PEACH FLAVORED VODKA</t>
        </is>
      </c>
      <c r="C2931" s="7">
        <f>VLOOKUP(A2931,SizeData!A$2:B$3839,2,FALSE)</f>
        <v/>
      </c>
      <c r="D2931" s="6" t="n">
        <v>1</v>
      </c>
      <c r="E2931" s="6" t="inlineStr">
        <is>
          <t>R993178</t>
        </is>
      </c>
      <c r="F2931" s="2" t="n">
        <v>44218</v>
      </c>
      <c r="G2931" s="1" t="n"/>
    </row>
    <row r="2932">
      <c r="A2932" s="6" t="n">
        <v>64716</v>
      </c>
      <c r="B2932" s="6" t="inlineStr">
        <is>
          <t>CIROC PEACH FLAVORED VODKA</t>
        </is>
      </c>
      <c r="C2932" s="7">
        <f>VLOOKUP(A2932,SizeData!A$2:B$3839,2,FALSE)</f>
        <v/>
      </c>
      <c r="D2932" s="6" t="n">
        <v>3</v>
      </c>
      <c r="E2932" s="6" t="inlineStr">
        <is>
          <t>R1013988</t>
        </is>
      </c>
      <c r="F2932" s="2" t="n">
        <v>44239</v>
      </c>
      <c r="G2932" s="1" t="n"/>
    </row>
    <row r="2933">
      <c r="A2933" s="6" t="n">
        <v>64716</v>
      </c>
      <c r="B2933" s="6" t="inlineStr">
        <is>
          <t>CIROC PEACH FLAVORED VODKA</t>
        </is>
      </c>
      <c r="C2933" s="7">
        <f>VLOOKUP(A2933,SizeData!A$2:B$3839,2,FALSE)</f>
        <v/>
      </c>
      <c r="D2933" s="6" t="n">
        <v>2</v>
      </c>
      <c r="E2933" s="6" t="inlineStr">
        <is>
          <t>R1046056</t>
        </is>
      </c>
      <c r="F2933" s="2" t="n">
        <v>44258</v>
      </c>
      <c r="G2933" s="1" t="n"/>
    </row>
    <row r="2934">
      <c r="A2934" s="6" t="n">
        <v>64716</v>
      </c>
      <c r="B2934" s="6" t="inlineStr">
        <is>
          <t>CIROC PEACH FLAVORED VODKA</t>
        </is>
      </c>
      <c r="C2934" s="7">
        <f>VLOOKUP(A2934,SizeData!A$2:B$3839,2,FALSE)</f>
        <v/>
      </c>
      <c r="D2934" s="6" t="n">
        <v>10</v>
      </c>
      <c r="E2934" s="6" t="inlineStr">
        <is>
          <t>R1085161</t>
        </is>
      </c>
      <c r="F2934" s="2" t="n">
        <v>44287</v>
      </c>
      <c r="G2934" s="1" t="n"/>
    </row>
    <row r="2935">
      <c r="A2935" s="6" t="n">
        <v>64716</v>
      </c>
      <c r="B2935" s="6" t="inlineStr">
        <is>
          <t>CIROC PEACH FLAVORED VODKA</t>
        </is>
      </c>
      <c r="C2935" s="7">
        <f>VLOOKUP(A2935,SizeData!A$2:B$3839,2,FALSE)</f>
        <v/>
      </c>
      <c r="D2935" s="6" t="n">
        <v>10</v>
      </c>
      <c r="E2935" s="6" t="inlineStr">
        <is>
          <t>R1084748</t>
        </is>
      </c>
      <c r="F2935" s="2" t="n">
        <v>44294</v>
      </c>
      <c r="G2935" s="1" t="n"/>
    </row>
    <row r="2936">
      <c r="A2936" s="6" t="n">
        <v>64716</v>
      </c>
      <c r="B2936" s="6" t="inlineStr">
        <is>
          <t>CIROC PEACH FLAVORED VODKA</t>
        </is>
      </c>
      <c r="C2936" s="7">
        <f>VLOOKUP(A2936,SizeData!A$2:B$3839,2,FALSE)</f>
        <v/>
      </c>
      <c r="D2936" s="6" t="n">
        <v>0</v>
      </c>
      <c r="E2936" s="6" t="inlineStr">
        <is>
          <t>R1266638</t>
        </is>
      </c>
      <c r="F2936" s="2" t="n">
        <v>44469</v>
      </c>
      <c r="G2936" s="1" t="n"/>
    </row>
    <row r="2937">
      <c r="A2937" s="6" t="n">
        <v>64716</v>
      </c>
      <c r="B2937" s="6" t="inlineStr">
        <is>
          <t>CIROC PEACH FLAVORED VODKA</t>
        </is>
      </c>
      <c r="C2937" s="7">
        <f>VLOOKUP(A2937,SizeData!A$2:B$3839,2,FALSE)</f>
        <v/>
      </c>
      <c r="D2937" s="6" t="n">
        <v>7</v>
      </c>
      <c r="E2937" s="6" t="inlineStr">
        <is>
          <t>R1323500</t>
        </is>
      </c>
      <c r="F2937" s="2" t="n">
        <v>44518</v>
      </c>
      <c r="G2937" s="1" t="n"/>
    </row>
    <row r="2938">
      <c r="A2938" s="6" t="n">
        <v>64722</v>
      </c>
      <c r="B2938" s="6" t="inlineStr">
        <is>
          <t>CIROC PEACH FLAVORED VODKA</t>
        </is>
      </c>
      <c r="C2938" s="7">
        <f>VLOOKUP(A2938,SizeData!A$2:B$3839,2,FALSE)</f>
        <v/>
      </c>
      <c r="D2938" s="6" t="n">
        <v>1</v>
      </c>
      <c r="E2938" s="6" t="inlineStr">
        <is>
          <t>R1046056</t>
        </is>
      </c>
      <c r="F2938" s="2" t="n">
        <v>44258</v>
      </c>
      <c r="G2938" s="1" t="n"/>
    </row>
    <row r="2939">
      <c r="A2939" s="6" t="n">
        <v>64722</v>
      </c>
      <c r="B2939" s="6" t="inlineStr">
        <is>
          <t>CIROC PEACH FLAVORED VODKA</t>
        </is>
      </c>
      <c r="C2939" s="7">
        <f>VLOOKUP(A2939,SizeData!A$2:B$3839,2,FALSE)</f>
        <v/>
      </c>
      <c r="D2939" s="6" t="n">
        <v>1</v>
      </c>
      <c r="E2939" s="6" t="inlineStr">
        <is>
          <t xml:space="preserve"> R1137452</t>
        </is>
      </c>
      <c r="F2939" s="2" t="n">
        <v>44350</v>
      </c>
      <c r="G2939" s="1" t="n"/>
    </row>
    <row r="2940">
      <c r="A2940" s="6" t="n">
        <v>64722</v>
      </c>
      <c r="B2940" s="6" t="inlineStr">
        <is>
          <t>CIROC PEACH FLAVORED VODKA</t>
        </is>
      </c>
      <c r="C2940" s="7">
        <f>VLOOKUP(A2940,SizeData!A$2:B$3839,2,FALSE)</f>
        <v/>
      </c>
      <c r="D2940" s="6" t="n">
        <v>1</v>
      </c>
      <c r="E2940" s="6" t="inlineStr">
        <is>
          <t>R1245880</t>
        </is>
      </c>
      <c r="F2940" s="2" t="n">
        <v>44453</v>
      </c>
      <c r="G2940" s="1" t="n"/>
    </row>
    <row r="2941">
      <c r="A2941" s="6" t="n">
        <v>64722</v>
      </c>
      <c r="B2941" s="6" t="inlineStr">
        <is>
          <t>CIROC PEACH FLAVORED VODKA</t>
        </is>
      </c>
      <c r="C2941" s="7">
        <f>VLOOKUP(A2941,SizeData!A$2:B$3839,2,FALSE)</f>
        <v/>
      </c>
      <c r="D2941" s="6" t="n">
        <v>1</v>
      </c>
      <c r="E2941" s="6" t="inlineStr">
        <is>
          <t>R1331167</t>
        </is>
      </c>
      <c r="F2941" s="2" t="n">
        <v>44522</v>
      </c>
      <c r="G2941" s="1" t="n"/>
    </row>
    <row r="2942">
      <c r="A2942" s="6" t="n">
        <v>64741</v>
      </c>
      <c r="B2942" s="6" t="inlineStr">
        <is>
          <t>CIROC COCONUT VODKA</t>
        </is>
      </c>
      <c r="C2942" s="7">
        <f>VLOOKUP(A2942,SizeData!A$2:B$3839,2,FALSE)</f>
        <v/>
      </c>
      <c r="D2942" s="6" t="n">
        <v>10</v>
      </c>
      <c r="E2942" s="6" t="inlineStr">
        <is>
          <t>R1053375</t>
        </is>
      </c>
      <c r="F2942" s="2" t="n">
        <v>44272</v>
      </c>
      <c r="G2942" s="1" t="n"/>
    </row>
    <row r="2943">
      <c r="A2943" s="6" t="n">
        <v>64744</v>
      </c>
      <c r="B2943" s="6" t="inlineStr">
        <is>
          <t>CIROC COCONUT VODKA</t>
        </is>
      </c>
      <c r="C2943" s="7">
        <f>VLOOKUP(A2943,SizeData!A$2:B$3839,2,FALSE)</f>
        <v/>
      </c>
      <c r="D2943" s="6" t="n">
        <v>1</v>
      </c>
      <c r="E2943" s="6" t="inlineStr">
        <is>
          <t>R989713</t>
        </is>
      </c>
      <c r="F2943" s="2" t="n">
        <v>44200</v>
      </c>
      <c r="G2943" s="1" t="n"/>
    </row>
    <row r="2944">
      <c r="A2944" s="6" t="n">
        <v>64744</v>
      </c>
      <c r="B2944" s="6" t="inlineStr">
        <is>
          <t>CIROC COCONUT VODKA</t>
        </is>
      </c>
      <c r="C2944" s="7">
        <f>VLOOKUP(A2944,SizeData!A$2:B$3839,2,FALSE)</f>
        <v/>
      </c>
      <c r="D2944" s="6" t="n">
        <v>1</v>
      </c>
      <c r="E2944" s="6" t="inlineStr">
        <is>
          <t>R993178</t>
        </is>
      </c>
      <c r="F2944" s="2" t="n">
        <v>44218</v>
      </c>
      <c r="G2944" s="1" t="n"/>
    </row>
    <row r="2945">
      <c r="A2945" s="6" t="n">
        <v>64750</v>
      </c>
      <c r="B2945" s="6" t="inlineStr">
        <is>
          <t>CIROC COCONUT VODKA</t>
        </is>
      </c>
      <c r="C2945" s="7">
        <f>VLOOKUP(A2945,SizeData!A$2:B$3839,2,FALSE)</f>
        <v/>
      </c>
      <c r="D2945" s="6" t="n">
        <v>1</v>
      </c>
      <c r="E2945" s="6" t="inlineStr">
        <is>
          <t>R1000359</t>
        </is>
      </c>
      <c r="F2945" s="2" t="n">
        <v>44201</v>
      </c>
      <c r="G2945" s="1" t="n"/>
    </row>
    <row r="2946">
      <c r="A2946" s="6" t="n">
        <v>64750</v>
      </c>
      <c r="B2946" s="6" t="inlineStr">
        <is>
          <t>CIROC COCONUT VODKA</t>
        </is>
      </c>
      <c r="C2946" s="7">
        <f>VLOOKUP(A2946,SizeData!A$2:B$3839,2,FALSE)</f>
        <v/>
      </c>
      <c r="D2946" s="6" t="n">
        <v>2</v>
      </c>
      <c r="E2946" s="6" t="inlineStr">
        <is>
          <t>R1012115</t>
        </is>
      </c>
      <c r="F2946" s="2" t="n">
        <v>44223</v>
      </c>
      <c r="G2946" s="1" t="n"/>
    </row>
    <row r="2947">
      <c r="A2947" s="6" t="n">
        <v>64750</v>
      </c>
      <c r="B2947" s="6" t="inlineStr">
        <is>
          <t>CIROC COCONUT VODKA</t>
        </is>
      </c>
      <c r="C2947" s="7">
        <f>VLOOKUP(A2947,SizeData!A$2:B$3839,2,FALSE)</f>
        <v/>
      </c>
      <c r="D2947" s="6" t="n">
        <v>1</v>
      </c>
      <c r="E2947" s="6" t="inlineStr">
        <is>
          <t>R1034351</t>
        </is>
      </c>
      <c r="F2947" s="2" t="n">
        <v>44256</v>
      </c>
      <c r="G2947" s="1" t="n"/>
    </row>
    <row r="2948">
      <c r="A2948" s="6" t="n">
        <v>64750</v>
      </c>
      <c r="B2948" s="6" t="inlineStr">
        <is>
          <t>CIROC COCONUT VODKA</t>
        </is>
      </c>
      <c r="C2948" s="7">
        <f>VLOOKUP(A2948,SizeData!A$2:B$3839,2,FALSE)</f>
        <v/>
      </c>
      <c r="D2948" s="6" t="n">
        <v>1</v>
      </c>
      <c r="E2948" s="6" t="inlineStr">
        <is>
          <t>R1085161</t>
        </is>
      </c>
      <c r="F2948" s="2" t="n">
        <v>44287</v>
      </c>
      <c r="G2948" s="1" t="n"/>
    </row>
    <row r="2949">
      <c r="A2949" s="6" t="n">
        <v>64750</v>
      </c>
      <c r="B2949" s="6" t="inlineStr">
        <is>
          <t>CIROC COCONUT VODKA</t>
        </is>
      </c>
      <c r="C2949" s="7">
        <f>VLOOKUP(A2949,SizeData!A$2:B$3839,2,FALSE)</f>
        <v/>
      </c>
      <c r="D2949" s="6" t="n">
        <v>2</v>
      </c>
      <c r="E2949" s="6" t="inlineStr">
        <is>
          <t>R1077377</t>
        </is>
      </c>
      <c r="F2949" s="2" t="n">
        <v>44295</v>
      </c>
      <c r="G2949" s="1" t="n"/>
    </row>
    <row r="2950">
      <c r="A2950" s="6" t="n">
        <v>64750</v>
      </c>
      <c r="B2950" s="6" t="inlineStr">
        <is>
          <t>CIROC COCONUT VODKA</t>
        </is>
      </c>
      <c r="C2950" s="7">
        <f>VLOOKUP(A2950,SizeData!A$2:B$3839,2,FALSE)</f>
        <v/>
      </c>
      <c r="D2950" s="6" t="n">
        <v>3</v>
      </c>
      <c r="E2950" s="6" t="inlineStr">
        <is>
          <t>R1266638</t>
        </is>
      </c>
      <c r="F2950" s="2" t="n">
        <v>44469</v>
      </c>
      <c r="G2950" s="1" t="n"/>
    </row>
    <row r="2951">
      <c r="A2951" s="6" t="n">
        <v>64750</v>
      </c>
      <c r="B2951" s="6" t="inlineStr">
        <is>
          <t>CIROC COCONUT VODKA</t>
        </is>
      </c>
      <c r="C2951" s="7">
        <f>VLOOKUP(A2951,SizeData!A$2:B$3839,2,FALSE)</f>
        <v/>
      </c>
      <c r="D2951" s="6" t="n">
        <v>0</v>
      </c>
      <c r="E2951" s="6" t="inlineStr">
        <is>
          <t>R1325813</t>
        </is>
      </c>
      <c r="F2951" s="2" t="n">
        <v>44504</v>
      </c>
      <c r="G2951" s="1" t="n"/>
    </row>
    <row r="2952">
      <c r="A2952" s="6" t="n">
        <v>64750</v>
      </c>
      <c r="B2952" s="6" t="inlineStr">
        <is>
          <t>CIROC COCONUT VODKA</t>
        </is>
      </c>
      <c r="C2952" s="7">
        <f>VLOOKUP(A2952,SizeData!A$2:B$3839,2,FALSE)</f>
        <v/>
      </c>
      <c r="D2952" s="6" t="n">
        <v>3</v>
      </c>
      <c r="E2952" s="6" t="inlineStr">
        <is>
          <t>R1331956</t>
        </is>
      </c>
      <c r="F2952" s="2" t="n">
        <v>44520</v>
      </c>
      <c r="G2952" s="1" t="n"/>
    </row>
    <row r="2953">
      <c r="A2953" s="6" t="n">
        <v>64755</v>
      </c>
      <c r="B2953" s="6" t="inlineStr">
        <is>
          <t>CIROC RED BERRY VODKA</t>
        </is>
      </c>
      <c r="C2953" s="7">
        <f>VLOOKUP(A2953,SizeData!A$2:B$3839,2,FALSE)</f>
        <v/>
      </c>
      <c r="D2953" s="6" t="n">
        <v>4</v>
      </c>
      <c r="E2953" s="6" t="inlineStr">
        <is>
          <t>R1012115</t>
        </is>
      </c>
      <c r="F2953" s="2" t="n">
        <v>44223</v>
      </c>
      <c r="G2953" s="1" t="n"/>
    </row>
    <row r="2954">
      <c r="A2954" s="6" t="n">
        <v>64755</v>
      </c>
      <c r="B2954" s="6" t="inlineStr">
        <is>
          <t>CIROC RED BERRY VODKA</t>
        </is>
      </c>
      <c r="C2954" s="7">
        <f>VLOOKUP(A2954,SizeData!A$2:B$3839,2,FALSE)</f>
        <v/>
      </c>
      <c r="D2954" s="6" t="n">
        <v>3</v>
      </c>
      <c r="E2954" s="6" t="inlineStr">
        <is>
          <t>R1034351</t>
        </is>
      </c>
      <c r="F2954" s="2" t="n">
        <v>44256</v>
      </c>
      <c r="G2954" s="1" t="n"/>
    </row>
    <row r="2955">
      <c r="A2955" s="6" t="n">
        <v>64755</v>
      </c>
      <c r="B2955" s="6" t="inlineStr">
        <is>
          <t>CIROC RED BERRY VODKA</t>
        </is>
      </c>
      <c r="C2955" s="7">
        <f>VLOOKUP(A2955,SizeData!A$2:B$3839,2,FALSE)</f>
        <v/>
      </c>
      <c r="D2955" s="6" t="n">
        <v>9</v>
      </c>
      <c r="E2955" s="6" t="inlineStr">
        <is>
          <t>R1084748</t>
        </is>
      </c>
      <c r="F2955" s="2" t="n">
        <v>44294</v>
      </c>
      <c r="G2955" s="1" t="n"/>
    </row>
    <row r="2956">
      <c r="A2956" s="6" t="n">
        <v>64755</v>
      </c>
      <c r="B2956" s="6" t="inlineStr">
        <is>
          <t>CIROC RED BERRY VODKA</t>
        </is>
      </c>
      <c r="C2956" s="7">
        <f>VLOOKUP(A2956,SizeData!A$2:B$3839,2,FALSE)</f>
        <v/>
      </c>
      <c r="D2956" s="6" t="n">
        <v>5</v>
      </c>
      <c r="E2956" s="6" t="inlineStr">
        <is>
          <t>R1251294</t>
        </is>
      </c>
      <c r="F2956" s="2" t="n">
        <v>44455</v>
      </c>
      <c r="G2956" s="1" t="n"/>
    </row>
    <row r="2957">
      <c r="A2957" s="6" t="n">
        <v>64755</v>
      </c>
      <c r="B2957" s="6" t="inlineStr">
        <is>
          <t>CIROC RED BERRY VODKA</t>
        </is>
      </c>
      <c r="C2957" s="7">
        <f>VLOOKUP(A2957,SizeData!A$2:B$3839,2,FALSE)</f>
        <v/>
      </c>
      <c r="D2957" s="6" t="n">
        <v>5</v>
      </c>
      <c r="E2957" s="6" t="inlineStr">
        <is>
          <t>R1318952</t>
        </is>
      </c>
      <c r="F2957" s="2" t="n">
        <v>44516</v>
      </c>
      <c r="G2957" s="1" t="n"/>
    </row>
    <row r="2958">
      <c r="A2958" s="6" t="n">
        <v>64759</v>
      </c>
      <c r="B2958" s="6" t="inlineStr">
        <is>
          <t>CIROC RED BERRY VODKA</t>
        </is>
      </c>
      <c r="C2958" s="7">
        <f>VLOOKUP(A2958,SizeData!A$2:B$3839,2,FALSE)</f>
        <v/>
      </c>
      <c r="D2958" s="6" t="n">
        <v>1</v>
      </c>
      <c r="E2958" s="6" t="inlineStr">
        <is>
          <t>R1013727</t>
        </is>
      </c>
      <c r="F2958" s="2" t="n">
        <v>44229</v>
      </c>
      <c r="G2958" s="1" t="n"/>
    </row>
    <row r="2959">
      <c r="A2959" s="6" t="n">
        <v>64759</v>
      </c>
      <c r="B2959" s="6" t="inlineStr">
        <is>
          <t>CIROC RED BERRY VODKA</t>
        </is>
      </c>
      <c r="C2959" s="7">
        <f>VLOOKUP(A2959,SizeData!A$2:B$3839,2,FALSE)</f>
        <v/>
      </c>
      <c r="D2959" s="6" t="n">
        <v>1</v>
      </c>
      <c r="E2959" s="6" t="inlineStr">
        <is>
          <t>R1085161</t>
        </is>
      </c>
      <c r="F2959" s="2" t="n">
        <v>44287</v>
      </c>
      <c r="G2959" s="1" t="n"/>
    </row>
    <row r="2960">
      <c r="A2960" s="6" t="n">
        <v>64759</v>
      </c>
      <c r="B2960" s="6" t="inlineStr">
        <is>
          <t>CIROC RED BERRY VODKA</t>
        </is>
      </c>
      <c r="C2960" s="7">
        <f>VLOOKUP(A2960,SizeData!A$2:B$3839,2,FALSE)</f>
        <v/>
      </c>
      <c r="D2960" s="6" t="n">
        <v>1</v>
      </c>
      <c r="E2960" s="6" t="inlineStr">
        <is>
          <t>R1245880</t>
        </is>
      </c>
      <c r="F2960" s="2" t="n">
        <v>44453</v>
      </c>
      <c r="G2960" s="1" t="n"/>
    </row>
    <row r="2961">
      <c r="A2961" s="6" t="n">
        <v>64761</v>
      </c>
      <c r="B2961" s="6" t="inlineStr">
        <is>
          <t>CIROC RED BERRY VODKA</t>
        </is>
      </c>
      <c r="C2961" s="7">
        <f>VLOOKUP(A2961,SizeData!A$2:B$3839,2,FALSE)</f>
        <v/>
      </c>
      <c r="D2961" s="6" t="n">
        <v>1</v>
      </c>
      <c r="E2961" s="6" t="inlineStr">
        <is>
          <t>R993178</t>
        </is>
      </c>
      <c r="F2961" s="2" t="n">
        <v>44218</v>
      </c>
      <c r="G2961" s="1" t="n"/>
    </row>
    <row r="2962">
      <c r="A2962" s="6" t="n">
        <v>64761</v>
      </c>
      <c r="B2962" s="6" t="inlineStr">
        <is>
          <t>CIROC RED BERRY VODKA</t>
        </is>
      </c>
      <c r="C2962" s="7">
        <f>VLOOKUP(A2962,SizeData!A$2:B$3839,2,FALSE)</f>
        <v/>
      </c>
      <c r="D2962" s="6" t="n">
        <v>0</v>
      </c>
      <c r="E2962" s="6" t="inlineStr">
        <is>
          <t>R1236687</t>
        </is>
      </c>
      <c r="F2962" s="2" t="n">
        <v>44448</v>
      </c>
      <c r="G2962" s="1" t="n"/>
    </row>
    <row r="2963">
      <c r="A2963" s="6" t="n">
        <v>64761</v>
      </c>
      <c r="B2963" s="6" t="inlineStr">
        <is>
          <t>CIROC RED BERRY VODKA</t>
        </is>
      </c>
      <c r="C2963" s="7">
        <f>VLOOKUP(A2963,SizeData!A$2:B$3839,2,FALSE)</f>
        <v/>
      </c>
      <c r="D2963" s="6" t="n">
        <v>1</v>
      </c>
      <c r="E2963" s="6" t="inlineStr">
        <is>
          <t>R1350820</t>
        </is>
      </c>
      <c r="F2963" s="2" t="n">
        <v>44531</v>
      </c>
      <c r="G2963" s="1" t="n"/>
    </row>
    <row r="2964">
      <c r="A2964" s="6" t="n">
        <v>64762</v>
      </c>
      <c r="B2964" s="6" t="inlineStr">
        <is>
          <t>CIROC RED BERRY VODKA</t>
        </is>
      </c>
      <c r="C2964" s="7">
        <f>VLOOKUP(A2964,SizeData!A$2:B$3839,2,FALSE)</f>
        <v/>
      </c>
      <c r="D2964" s="6" t="n">
        <v>2</v>
      </c>
      <c r="E2964" s="6" t="inlineStr">
        <is>
          <t>R1013988</t>
        </is>
      </c>
      <c r="F2964" s="2" t="n">
        <v>44239</v>
      </c>
      <c r="G2964" s="1" t="n"/>
    </row>
    <row r="2965">
      <c r="A2965" s="6" t="n">
        <v>64762</v>
      </c>
      <c r="B2965" s="6" t="inlineStr">
        <is>
          <t>CIROC RED BERRY VODKA</t>
        </is>
      </c>
      <c r="C2965" s="7">
        <f>VLOOKUP(A2965,SizeData!A$2:B$3839,2,FALSE)</f>
        <v/>
      </c>
      <c r="D2965" s="6" t="n">
        <v>2</v>
      </c>
      <c r="E2965" s="6" t="inlineStr">
        <is>
          <t>R1094301</t>
        </is>
      </c>
      <c r="F2965" s="2" t="n">
        <v>44301</v>
      </c>
      <c r="G2965" s="1" t="n"/>
    </row>
    <row r="2966">
      <c r="A2966" s="6" t="n">
        <v>64762</v>
      </c>
      <c r="B2966" s="6" t="inlineStr">
        <is>
          <t>CIROC RED BERRY VODKA</t>
        </is>
      </c>
      <c r="C2966" s="7">
        <f>VLOOKUP(A2966,SizeData!A$2:B$3839,2,FALSE)</f>
        <v/>
      </c>
      <c r="D2966" s="6" t="n">
        <v>4</v>
      </c>
      <c r="E2966" s="6" t="inlineStr">
        <is>
          <t xml:space="preserve"> R1137452</t>
        </is>
      </c>
      <c r="F2966" s="2" t="n">
        <v>44350</v>
      </c>
      <c r="G2966" s="1" t="n"/>
    </row>
    <row r="2967">
      <c r="A2967" s="6" t="n">
        <v>64762</v>
      </c>
      <c r="B2967" s="6" t="inlineStr">
        <is>
          <t>CIROC RED BERRY VODKA</t>
        </is>
      </c>
      <c r="C2967" s="7">
        <f>VLOOKUP(A2967,SizeData!A$2:B$3839,2,FALSE)</f>
        <v/>
      </c>
      <c r="D2967" s="6" t="n">
        <v>2</v>
      </c>
      <c r="E2967" s="6" t="inlineStr">
        <is>
          <t>R1318952</t>
        </is>
      </c>
      <c r="F2967" s="2" t="n">
        <v>44516</v>
      </c>
      <c r="G2967" s="1" t="n"/>
    </row>
    <row r="2968">
      <c r="A2968" s="6" t="n">
        <v>64767</v>
      </c>
      <c r="B2968" s="6" t="inlineStr">
        <is>
          <t>CIROC RED BERRY VODKA</t>
        </is>
      </c>
      <c r="C2968" s="7">
        <f>VLOOKUP(A2968,SizeData!A$2:B$3839,2,FALSE)</f>
        <v/>
      </c>
      <c r="D2968" s="6" t="n">
        <v>1</v>
      </c>
      <c r="E2968" s="6" t="inlineStr">
        <is>
          <t>R1008717</t>
        </is>
      </c>
      <c r="F2968" s="2" t="n">
        <v>44217</v>
      </c>
      <c r="G2968" s="1" t="n"/>
    </row>
    <row r="2969">
      <c r="A2969" s="6" t="n">
        <v>64767</v>
      </c>
      <c r="B2969" s="6" t="inlineStr">
        <is>
          <t>CIROC RED BERRY VODKA</t>
        </is>
      </c>
      <c r="C2969" s="7">
        <f>VLOOKUP(A2969,SizeData!A$2:B$3839,2,FALSE)</f>
        <v/>
      </c>
      <c r="D2969" s="6" t="n">
        <v>1</v>
      </c>
      <c r="E2969" s="6" t="inlineStr">
        <is>
          <t>R993178</t>
        </is>
      </c>
      <c r="F2969" s="2" t="n">
        <v>44218</v>
      </c>
      <c r="G2969" s="1" t="n"/>
    </row>
    <row r="2970">
      <c r="A2970" s="6" t="n">
        <v>64767</v>
      </c>
      <c r="B2970" s="6" t="inlineStr">
        <is>
          <t>CIROC RED BERRY VODKA</t>
        </is>
      </c>
      <c r="C2970" s="7">
        <f>VLOOKUP(A2970,SizeData!A$2:B$3839,2,FALSE)</f>
        <v/>
      </c>
      <c r="D2970" s="6" t="n">
        <v>1</v>
      </c>
      <c r="E2970" s="6" t="inlineStr">
        <is>
          <t>R1117255</t>
        </is>
      </c>
      <c r="F2970" s="2" t="n">
        <v>44328</v>
      </c>
      <c r="G2970" s="1" t="n"/>
    </row>
    <row r="2971">
      <c r="A2971" s="6" t="n">
        <v>64767</v>
      </c>
      <c r="B2971" s="6" t="inlineStr">
        <is>
          <t>CIROC RED BERRY VODKA</t>
        </is>
      </c>
      <c r="C2971" s="7">
        <f>VLOOKUP(A2971,SizeData!A$2:B$3839,2,FALSE)</f>
        <v/>
      </c>
      <c r="D2971" s="6" t="n">
        <v>2</v>
      </c>
      <c r="E2971" s="6" t="inlineStr">
        <is>
          <t>R1162430</t>
        </is>
      </c>
      <c r="F2971" s="2" t="n">
        <v>44371</v>
      </c>
      <c r="G2971" s="1" t="n"/>
    </row>
    <row r="2972">
      <c r="A2972" s="6" t="n">
        <v>64776</v>
      </c>
      <c r="B2972" s="6" t="inlineStr">
        <is>
          <t>COINTREAU</t>
        </is>
      </c>
      <c r="C2972" s="7">
        <f>VLOOKUP(A2972,SizeData!A$2:B$3839,2,FALSE)</f>
        <v/>
      </c>
      <c r="D2972" s="6" t="n">
        <v>1</v>
      </c>
      <c r="E2972" s="6" t="inlineStr">
        <is>
          <t>R989703</t>
        </is>
      </c>
      <c r="F2972" s="2" t="n">
        <v>44197</v>
      </c>
      <c r="G2972" s="1" t="n"/>
    </row>
    <row r="2973">
      <c r="A2973" s="6" t="n">
        <v>64776</v>
      </c>
      <c r="B2973" s="6" t="inlineStr">
        <is>
          <t>COINTREAU</t>
        </is>
      </c>
      <c r="C2973" s="7">
        <f>VLOOKUP(A2973,SizeData!A$2:B$3839,2,FALSE)</f>
        <v/>
      </c>
      <c r="D2973" s="6" t="n">
        <v>1</v>
      </c>
      <c r="E2973" s="6" t="inlineStr">
        <is>
          <t>R1008717</t>
        </is>
      </c>
      <c r="F2973" s="2" t="n">
        <v>44217</v>
      </c>
      <c r="G2973" s="1" t="n"/>
    </row>
    <row r="2974">
      <c r="A2974" s="6" t="n">
        <v>64863</v>
      </c>
      <c r="B2974" s="6" t="inlineStr">
        <is>
          <t>FIREBALL CINNAMON WHISKEY PET</t>
        </is>
      </c>
      <c r="C2974" s="7">
        <f>VLOOKUP(A2974,SizeData!A$2:B$3839,2,FALSE)</f>
        <v/>
      </c>
      <c r="D2974" s="6" t="n">
        <v>1</v>
      </c>
      <c r="E2974" s="6" t="inlineStr">
        <is>
          <t>R1129655</t>
        </is>
      </c>
      <c r="F2974" s="2" t="n">
        <v>44347</v>
      </c>
      <c r="G2974" s="1" t="n"/>
    </row>
    <row r="2975">
      <c r="A2975" s="6" t="n">
        <v>64863</v>
      </c>
      <c r="B2975" s="6" t="inlineStr">
        <is>
          <t>FIREBALL CINNAMON WHISKEY PET</t>
        </is>
      </c>
      <c r="C2975" s="7">
        <f>VLOOKUP(A2975,SizeData!A$2:B$3839,2,FALSE)</f>
        <v/>
      </c>
      <c r="D2975" s="6" t="n">
        <v>2</v>
      </c>
      <c r="E2975" s="6" t="inlineStr">
        <is>
          <t>R1330926</t>
        </is>
      </c>
      <c r="F2975" s="2" t="n">
        <v>44515</v>
      </c>
      <c r="G2975" s="1" t="n"/>
    </row>
    <row r="2976">
      <c r="A2976" s="6" t="n">
        <v>64863</v>
      </c>
      <c r="B2976" s="6" t="inlineStr">
        <is>
          <t>FIREBALL CINNAMON WHISKEY PET</t>
        </is>
      </c>
      <c r="C2976" s="7">
        <f>VLOOKUP(A2976,SizeData!A$2:B$3839,2,FALSE)</f>
        <v/>
      </c>
      <c r="D2976" s="6" t="n">
        <v>1</v>
      </c>
      <c r="E2976" s="6" t="inlineStr">
        <is>
          <t>R1323053</t>
        </is>
      </c>
      <c r="F2976" s="2" t="n">
        <v>44515</v>
      </c>
      <c r="G2976" s="1" t="n"/>
    </row>
    <row r="2977">
      <c r="A2977" s="6" t="n">
        <v>64864</v>
      </c>
      <c r="B2977" s="6" t="inlineStr">
        <is>
          <t>FIREBALL CINNAMON WHISKEY (PET)</t>
        </is>
      </c>
      <c r="C2977" s="7">
        <f>VLOOKUP(A2977,SizeData!A$2:B$3839,2,FALSE)</f>
        <v/>
      </c>
      <c r="D2977" s="6" t="n">
        <v>2</v>
      </c>
      <c r="E2977" s="6" t="inlineStr">
        <is>
          <t>R1085364</t>
        </is>
      </c>
      <c r="F2977" s="2" t="n">
        <v>44289</v>
      </c>
      <c r="G2977" s="1" t="n"/>
    </row>
    <row r="2978">
      <c r="A2978" s="6" t="n">
        <v>64864</v>
      </c>
      <c r="B2978" s="6" t="inlineStr">
        <is>
          <t>FIREBALL CINNAMON WHISKEY (PET)</t>
        </is>
      </c>
      <c r="C2978" s="7">
        <f>VLOOKUP(A2978,SizeData!A$2:B$3839,2,FALSE)</f>
        <v/>
      </c>
      <c r="D2978" s="6" t="n">
        <v>2</v>
      </c>
      <c r="E2978" s="6" t="inlineStr">
        <is>
          <t>R1094763</t>
        </is>
      </c>
      <c r="F2978" s="2" t="n">
        <v>44312</v>
      </c>
      <c r="G2978" s="1" t="n"/>
    </row>
    <row r="2979">
      <c r="A2979" s="6" t="n">
        <v>64864</v>
      </c>
      <c r="B2979" s="6" t="inlineStr">
        <is>
          <t>FIREBALL CINNAMON WHISKEY (PET)</t>
        </is>
      </c>
      <c r="C2979" s="7">
        <f>VLOOKUP(A2979,SizeData!A$2:B$3839,2,FALSE)</f>
        <v/>
      </c>
      <c r="D2979" s="6" t="n">
        <v>1</v>
      </c>
      <c r="E2979" s="6" t="inlineStr">
        <is>
          <t xml:space="preserve"> R1264833</t>
        </is>
      </c>
      <c r="F2979" s="2" t="n">
        <v>44471</v>
      </c>
      <c r="G2979" s="1" t="n"/>
    </row>
    <row r="2980">
      <c r="A2980" s="6" t="n">
        <v>64864</v>
      </c>
      <c r="B2980" s="6" t="inlineStr">
        <is>
          <t>FIREBALL CINNAMON WHISKEY (PET)</t>
        </is>
      </c>
      <c r="C2980" s="7">
        <f>VLOOKUP(A2980,SizeData!A$2:B$3839,2,FALSE)</f>
        <v/>
      </c>
      <c r="D2980" s="6" t="n">
        <v>1</v>
      </c>
      <c r="E2980" s="6" t="inlineStr">
        <is>
          <t>R1279880</t>
        </is>
      </c>
      <c r="F2980" s="2" t="n">
        <v>44490</v>
      </c>
      <c r="G2980" s="1" t="n"/>
    </row>
    <row r="2981">
      <c r="A2981" s="6" t="n">
        <v>64865</v>
      </c>
      <c r="B2981" s="6" t="inlineStr">
        <is>
          <t>FIREBALL CINNAMON WHISKEY PET</t>
        </is>
      </c>
      <c r="C2981" s="7">
        <f>VLOOKUP(A2981,SizeData!A$2:B$3839,2,FALSE)</f>
        <v/>
      </c>
      <c r="D2981" s="6" t="n">
        <v>1</v>
      </c>
      <c r="E2981" s="6" t="inlineStr">
        <is>
          <t>R1028756</t>
        </is>
      </c>
      <c r="F2981" s="2" t="n">
        <v>44239</v>
      </c>
      <c r="G2981" s="1" t="n"/>
    </row>
    <row r="2982">
      <c r="A2982" s="6" t="n">
        <v>64865</v>
      </c>
      <c r="B2982" s="6" t="inlineStr">
        <is>
          <t>FIREBALL CINNAMON WHISKEY PET</t>
        </is>
      </c>
      <c r="C2982" s="7">
        <f>VLOOKUP(A2982,SizeData!A$2:B$3839,2,FALSE)</f>
        <v/>
      </c>
      <c r="D2982" s="6" t="n">
        <v>1</v>
      </c>
      <c r="E2982" s="6" t="inlineStr">
        <is>
          <t>R1029260</t>
        </is>
      </c>
      <c r="F2982" s="2" t="n">
        <v>44240</v>
      </c>
      <c r="G2982" s="1" t="n"/>
    </row>
    <row r="2983">
      <c r="A2983" s="6" t="n">
        <v>64865</v>
      </c>
      <c r="B2983" s="6" t="inlineStr">
        <is>
          <t>FIREBALL CINNAMON WHISKEY PET</t>
        </is>
      </c>
      <c r="C2983" s="7">
        <f>VLOOKUP(A2983,SizeData!A$2:B$3839,2,FALSE)</f>
        <v/>
      </c>
      <c r="D2983" s="6" t="n">
        <v>2</v>
      </c>
      <c r="E2983" s="6" t="inlineStr">
        <is>
          <t>R1018600</t>
        </is>
      </c>
      <c r="F2983" s="2" t="n">
        <v>44241</v>
      </c>
      <c r="G2983" s="1" t="n"/>
    </row>
    <row r="2984">
      <c r="A2984" s="6" t="n">
        <v>64865</v>
      </c>
      <c r="B2984" s="6" t="inlineStr">
        <is>
          <t>FIREBALL CINNAMON WHISKEY PET</t>
        </is>
      </c>
      <c r="C2984" s="7">
        <f>VLOOKUP(A2984,SizeData!A$2:B$3839,2,FALSE)</f>
        <v/>
      </c>
      <c r="D2984" s="6" t="n">
        <v>1</v>
      </c>
      <c r="E2984" s="6" t="inlineStr">
        <is>
          <t xml:space="preserve"> R1175360</t>
        </is>
      </c>
      <c r="F2984" s="2" t="n">
        <v>44383</v>
      </c>
      <c r="G2984" s="1" t="n"/>
    </row>
    <row r="2985">
      <c r="A2985" s="6" t="n">
        <v>64865</v>
      </c>
      <c r="B2985" s="6" t="inlineStr">
        <is>
          <t>FIREBALL CINNAMON WHISKEY PET</t>
        </is>
      </c>
      <c r="C2985" s="7">
        <f>VLOOKUP(A2985,SizeData!A$2:B$3839,2,FALSE)</f>
        <v/>
      </c>
      <c r="D2985" s="6" t="n">
        <v>1</v>
      </c>
      <c r="E2985" s="6" t="inlineStr">
        <is>
          <t>R1176234</t>
        </is>
      </c>
      <c r="F2985" s="2" t="n">
        <v>44386</v>
      </c>
      <c r="G2985" s="1" t="n"/>
    </row>
    <row r="2986">
      <c r="A2986" s="6" t="n">
        <v>64865</v>
      </c>
      <c r="B2986" s="6" t="inlineStr">
        <is>
          <t>FIREBALL CINNAMON WHISKEY PET</t>
        </is>
      </c>
      <c r="C2986" s="7">
        <f>VLOOKUP(A2986,SizeData!A$2:B$3839,2,FALSE)</f>
        <v/>
      </c>
      <c r="D2986" s="6" t="n">
        <v>1</v>
      </c>
      <c r="E2986" s="6" t="inlineStr">
        <is>
          <t>R1231184</t>
        </is>
      </c>
      <c r="F2986" s="2" t="n">
        <v>44443</v>
      </c>
      <c r="G2986" s="1" t="n"/>
    </row>
    <row r="2987">
      <c r="A2987" s="6" t="n">
        <v>64865</v>
      </c>
      <c r="B2987" s="6" t="inlineStr">
        <is>
          <t>FIREBALL CINNAMON WHISKEY PET</t>
        </is>
      </c>
      <c r="C2987" s="7">
        <f>VLOOKUP(A2987,SizeData!A$2:B$3839,2,FALSE)</f>
        <v/>
      </c>
      <c r="D2987" s="6" t="n">
        <v>1</v>
      </c>
      <c r="E2987" s="6" t="inlineStr">
        <is>
          <t>R1246630</t>
        </is>
      </c>
      <c r="F2987" s="2" t="n">
        <v>44450</v>
      </c>
      <c r="G2987" s="1" t="n"/>
    </row>
    <row r="2988">
      <c r="A2988" s="6" t="n">
        <v>64865</v>
      </c>
      <c r="B2988" s="6" t="inlineStr">
        <is>
          <t>FIREBALL CINNAMON WHISKEY PET</t>
        </is>
      </c>
      <c r="C2988" s="7">
        <f>VLOOKUP(A2988,SizeData!A$2:B$3839,2,FALSE)</f>
        <v/>
      </c>
      <c r="D2988" s="6" t="n">
        <v>1</v>
      </c>
      <c r="E2988" s="6" t="inlineStr">
        <is>
          <t>R1366620</t>
        </is>
      </c>
      <c r="F2988" s="2" t="n">
        <v>44539</v>
      </c>
      <c r="G2988" s="1" t="n"/>
    </row>
    <row r="2989">
      <c r="A2989" s="6" t="n">
        <v>64866</v>
      </c>
      <c r="B2989" s="6" t="inlineStr">
        <is>
          <t>FIREBALL CINNAMON WHISKEY</t>
        </is>
      </c>
      <c r="C2989" s="7">
        <f>VLOOKUP(A2989,SizeData!A$2:B$3839,2,FALSE)</f>
        <v/>
      </c>
      <c r="D2989" s="6" t="n">
        <v>1</v>
      </c>
      <c r="E2989" s="6" t="inlineStr">
        <is>
          <t>R1003923</t>
        </is>
      </c>
      <c r="F2989" s="2" t="n">
        <v>44219</v>
      </c>
      <c r="G2989" s="1" t="n"/>
    </row>
    <row r="2990">
      <c r="A2990" s="6" t="n">
        <v>64866</v>
      </c>
      <c r="B2990" s="6" t="inlineStr">
        <is>
          <t>FIREBALL CINNAMON WHISKEY</t>
        </is>
      </c>
      <c r="C2990" s="7">
        <f>VLOOKUP(A2990,SizeData!A$2:B$3839,2,FALSE)</f>
        <v/>
      </c>
      <c r="D2990" s="6" t="n">
        <v>2</v>
      </c>
      <c r="E2990" s="6" t="inlineStr">
        <is>
          <t>R1284745</t>
        </is>
      </c>
      <c r="F2990" s="2" t="n">
        <v>44490</v>
      </c>
      <c r="G2990" s="1" t="n"/>
    </row>
    <row r="2991">
      <c r="A2991" s="6" t="n">
        <v>64868</v>
      </c>
      <c r="B2991" s="6" t="inlineStr">
        <is>
          <t>FIREBALL CINNAMON WHISKEY</t>
        </is>
      </c>
      <c r="C2991" s="7">
        <f>VLOOKUP(A2991,SizeData!A$2:B$3839,2,FALSE)</f>
        <v/>
      </c>
      <c r="D2991" s="6" t="n">
        <v>1</v>
      </c>
      <c r="E2991" s="6" t="inlineStr">
        <is>
          <t>R1230991</t>
        </is>
      </c>
      <c r="F2991" s="2" t="n">
        <v>44441</v>
      </c>
      <c r="G2991" s="1" t="n"/>
    </row>
    <row r="2992">
      <c r="A2992" s="6" t="n">
        <v>64868</v>
      </c>
      <c r="B2992" s="6" t="inlineStr">
        <is>
          <t>FIREBALL CINNAMON WHISKEY</t>
        </is>
      </c>
      <c r="C2992" s="7">
        <f>VLOOKUP(A2992,SizeData!A$2:B$3839,2,FALSE)</f>
        <v/>
      </c>
      <c r="D2992" s="6" t="n">
        <v>1</v>
      </c>
      <c r="E2992" s="6" t="inlineStr">
        <is>
          <t>R1236179</t>
        </is>
      </c>
      <c r="F2992" s="2" t="n">
        <v>44443</v>
      </c>
      <c r="G2992" s="1" t="n"/>
    </row>
    <row r="2993">
      <c r="A2993" s="6" t="n">
        <v>64904</v>
      </c>
      <c r="B2993" s="6" t="inlineStr">
        <is>
          <t>FIREBALL CINNAMON WHISKY PET</t>
        </is>
      </c>
      <c r="C2993" s="7">
        <f>VLOOKUP(A2993,SizeData!A$2:B$3839,2,FALSE)</f>
        <v/>
      </c>
      <c r="D2993" s="6" t="n">
        <v>3</v>
      </c>
      <c r="E2993" s="6" t="inlineStr">
        <is>
          <t>R1094763</t>
        </is>
      </c>
      <c r="F2993" s="2" t="n">
        <v>44312</v>
      </c>
      <c r="G2993" s="1" t="n"/>
    </row>
    <row r="2994">
      <c r="A2994" s="6" t="n">
        <v>64912</v>
      </c>
      <c r="B2994" s="6" t="inlineStr">
        <is>
          <t>CIROC MANGO VODKA</t>
        </is>
      </c>
      <c r="C2994" s="7">
        <f>VLOOKUP(A2994,SizeData!A$2:B$3839,2,FALSE)</f>
        <v/>
      </c>
      <c r="D2994" s="6" t="n">
        <v>1</v>
      </c>
      <c r="E2994" s="6" t="inlineStr">
        <is>
          <t>R1069165</t>
        </is>
      </c>
      <c r="F2994" s="2" t="n">
        <v>44286</v>
      </c>
      <c r="G2994" s="1" t="n"/>
    </row>
    <row r="2995">
      <c r="A2995" s="6" t="n">
        <v>64912</v>
      </c>
      <c r="B2995" s="6" t="inlineStr">
        <is>
          <t>CIROC MANGO VODKA</t>
        </is>
      </c>
      <c r="C2995" s="7">
        <f>VLOOKUP(A2995,SizeData!A$2:B$3839,2,FALSE)</f>
        <v/>
      </c>
      <c r="D2995" s="6" t="n">
        <v>1</v>
      </c>
      <c r="E2995" s="6" t="inlineStr">
        <is>
          <t>R1171340</t>
        </is>
      </c>
      <c r="F2995" s="2" t="n">
        <v>44383</v>
      </c>
      <c r="G2995" s="1" t="n"/>
    </row>
    <row r="2996">
      <c r="A2996" s="6" t="n">
        <v>64913</v>
      </c>
      <c r="B2996" s="6" t="inlineStr">
        <is>
          <t>CIROC MANGO VODKA</t>
        </is>
      </c>
      <c r="C2996" s="7">
        <f>VLOOKUP(A2996,SizeData!A$2:B$3839,2,FALSE)</f>
        <v/>
      </c>
      <c r="D2996" s="6" t="n">
        <v>6</v>
      </c>
      <c r="E2996" s="6" t="inlineStr">
        <is>
          <t>R1050226</t>
        </is>
      </c>
      <c r="F2996" s="2" t="n">
        <v>44256</v>
      </c>
      <c r="G2996" s="1" t="n"/>
    </row>
    <row r="2997">
      <c r="A2997" s="6" t="n">
        <v>64913</v>
      </c>
      <c r="B2997" s="6" t="inlineStr">
        <is>
          <t>CIROC MANGO VODKA</t>
        </is>
      </c>
      <c r="C2997" s="7">
        <f>VLOOKUP(A2997,SizeData!A$2:B$3839,2,FALSE)</f>
        <v/>
      </c>
      <c r="D2997" s="6" t="n">
        <v>10</v>
      </c>
      <c r="E2997" s="6" t="inlineStr">
        <is>
          <t>R1065593</t>
        </is>
      </c>
      <c r="F2997" s="2" t="n">
        <v>44273</v>
      </c>
      <c r="G2997" s="1" t="n"/>
    </row>
    <row r="2998">
      <c r="A2998" s="6" t="n">
        <v>64914</v>
      </c>
      <c r="B2998" s="6" t="inlineStr">
        <is>
          <t>CIROC MANGO VODKA</t>
        </is>
      </c>
      <c r="C2998" s="7">
        <f>VLOOKUP(A2998,SizeData!A$2:B$3839,2,FALSE)</f>
        <v/>
      </c>
      <c r="D2998" s="6" t="n">
        <v>2</v>
      </c>
      <c r="E2998" s="6" t="inlineStr">
        <is>
          <t>R993178</t>
        </is>
      </c>
      <c r="F2998" s="2" t="n">
        <v>44218</v>
      </c>
      <c r="G2998" s="1" t="n"/>
    </row>
    <row r="2999">
      <c r="A2999" s="6" t="n">
        <v>64914</v>
      </c>
      <c r="B2999" s="6" t="inlineStr">
        <is>
          <t>CIROC MANGO VODKA</t>
        </is>
      </c>
      <c r="C2999" s="7">
        <f>VLOOKUP(A2999,SizeData!A$2:B$3839,2,FALSE)</f>
        <v/>
      </c>
      <c r="D2999" s="6" t="n">
        <v>10</v>
      </c>
      <c r="E2999" s="6" t="inlineStr">
        <is>
          <t>R1085161</t>
        </is>
      </c>
      <c r="F2999" s="2" t="n">
        <v>44287</v>
      </c>
      <c r="G2999" s="1" t="n"/>
    </row>
    <row r="3000">
      <c r="A3000" s="6" t="n">
        <v>64914</v>
      </c>
      <c r="B3000" s="6" t="inlineStr">
        <is>
          <t>CIROC MANGO VODKA</t>
        </is>
      </c>
      <c r="C3000" s="7">
        <f>VLOOKUP(A3000,SizeData!A$2:B$3839,2,FALSE)</f>
        <v/>
      </c>
      <c r="D3000" s="6" t="n">
        <v>1</v>
      </c>
      <c r="E3000" s="6" t="inlineStr">
        <is>
          <t>R1094301</t>
        </is>
      </c>
      <c r="F3000" s="2" t="n">
        <v>44301</v>
      </c>
      <c r="G3000" s="1" t="n"/>
    </row>
    <row r="3001">
      <c r="A3001" s="6" t="n">
        <v>64914</v>
      </c>
      <c r="B3001" s="6" t="inlineStr">
        <is>
          <t>CIROC MANGO VODKA</t>
        </is>
      </c>
      <c r="C3001" s="7">
        <f>VLOOKUP(A3001,SizeData!A$2:B$3839,2,FALSE)</f>
        <v/>
      </c>
      <c r="D3001" s="6" t="n">
        <v>5</v>
      </c>
      <c r="E3001" s="6" t="inlineStr">
        <is>
          <t>R1311057</t>
        </is>
      </c>
      <c r="F3001" s="2" t="n">
        <v>44501</v>
      </c>
      <c r="G3001" s="1" t="n"/>
    </row>
    <row r="3002">
      <c r="A3002" s="6" t="n">
        <v>64914</v>
      </c>
      <c r="B3002" s="6" t="inlineStr">
        <is>
          <t>CIROC MANGO VODKA</t>
        </is>
      </c>
      <c r="C3002" s="7">
        <f>VLOOKUP(A3002,SizeData!A$2:B$3839,2,FALSE)</f>
        <v/>
      </c>
      <c r="D3002" s="6" t="n">
        <v>2</v>
      </c>
      <c r="E3002" s="6" t="inlineStr">
        <is>
          <t>R1338150</t>
        </is>
      </c>
      <c r="F3002" s="2" t="n">
        <v>44529</v>
      </c>
      <c r="G3002" s="1" t="n"/>
    </row>
    <row r="3003">
      <c r="A3003" s="6" t="n">
        <v>64932</v>
      </c>
      <c r="B3003" s="6" t="inlineStr">
        <is>
          <t>1800 COCONUT FLAVORED TEQUILA</t>
        </is>
      </c>
      <c r="C3003" s="7">
        <f>VLOOKUP(A3003,SizeData!A$2:B$3839,2,FALSE)</f>
        <v/>
      </c>
      <c r="D3003" s="6" t="n">
        <v>1</v>
      </c>
      <c r="E3003" s="6" t="inlineStr">
        <is>
          <t>R1116842</t>
        </is>
      </c>
      <c r="F3003" s="2" t="n">
        <v>44324</v>
      </c>
      <c r="G3003" s="1" t="n"/>
    </row>
    <row r="3004">
      <c r="A3004" s="6" t="n">
        <v>64932</v>
      </c>
      <c r="B3004" s="6" t="inlineStr">
        <is>
          <t>1800 COCONUT FLAVORED TEQUILA</t>
        </is>
      </c>
      <c r="C3004" s="7">
        <f>VLOOKUP(A3004,SizeData!A$2:B$3839,2,FALSE)</f>
        <v/>
      </c>
      <c r="D3004" s="6" t="n">
        <v>1</v>
      </c>
      <c r="E3004" s="6" t="inlineStr">
        <is>
          <t>R1166672</t>
        </is>
      </c>
      <c r="F3004" s="2" t="n">
        <v>44375</v>
      </c>
      <c r="G3004" s="1" t="n"/>
    </row>
    <row r="3005">
      <c r="A3005" s="6" t="n">
        <v>64932</v>
      </c>
      <c r="B3005" s="6" t="inlineStr">
        <is>
          <t>1800 COCONUT FLAVORED TEQUILA</t>
        </is>
      </c>
      <c r="C3005" s="7">
        <f>VLOOKUP(A3005,SizeData!A$2:B$3839,2,FALSE)</f>
        <v/>
      </c>
      <c r="D3005" s="6" t="n">
        <v>1</v>
      </c>
      <c r="E3005" s="6" t="inlineStr">
        <is>
          <t>R1340613</t>
        </is>
      </c>
      <c r="F3005" s="2" t="n">
        <v>44520</v>
      </c>
      <c r="G3005" s="1" t="n"/>
    </row>
    <row r="3006">
      <c r="A3006" s="6" t="n">
        <v>64932</v>
      </c>
      <c r="B3006" s="6" t="inlineStr">
        <is>
          <t>1800 COCONUT FLAVORED TEQUILA</t>
        </is>
      </c>
      <c r="C3006" s="7">
        <f>VLOOKUP(A3006,SizeData!A$2:B$3839,2,FALSE)</f>
        <v/>
      </c>
      <c r="D3006" s="6" t="n">
        <v>1</v>
      </c>
      <c r="E3006" s="6" t="inlineStr">
        <is>
          <t>R1329660</t>
        </is>
      </c>
      <c r="F3006" s="2" t="n">
        <v>44525</v>
      </c>
      <c r="G3006" s="1" t="n"/>
    </row>
    <row r="3007">
      <c r="A3007" s="6" t="n">
        <v>64933</v>
      </c>
      <c r="B3007" s="6" t="inlineStr">
        <is>
          <t>1800 COCONUT FLAVORED TEQUILA</t>
        </is>
      </c>
      <c r="C3007" s="7">
        <f>VLOOKUP(A3007,SizeData!A$2:B$3839,2,FALSE)</f>
        <v/>
      </c>
      <c r="D3007" s="6" t="n">
        <v>1</v>
      </c>
      <c r="E3007" s="6" t="inlineStr">
        <is>
          <t>R1154324</t>
        </is>
      </c>
      <c r="F3007" s="2" t="n">
        <v>44378</v>
      </c>
      <c r="G3007" s="1" t="n"/>
    </row>
    <row r="3008">
      <c r="A3008" s="6" t="n">
        <v>64933</v>
      </c>
      <c r="B3008" s="6" t="inlineStr">
        <is>
          <t>1800 COCONUT FLAVORED TEQUILA</t>
        </is>
      </c>
      <c r="C3008" s="7">
        <f>VLOOKUP(A3008,SizeData!A$2:B$3839,2,FALSE)</f>
        <v/>
      </c>
      <c r="D3008" s="6" t="n">
        <v>1</v>
      </c>
      <c r="E3008" s="6" t="inlineStr">
        <is>
          <t>R1169144</t>
        </is>
      </c>
      <c r="F3008" s="2" t="n">
        <v>44387</v>
      </c>
      <c r="G3008" s="1" t="n"/>
    </row>
    <row r="3009">
      <c r="A3009" s="6" t="n">
        <v>65013</v>
      </c>
      <c r="B3009" s="6" t="inlineStr">
        <is>
          <t>FIREBALL CINNAMON WHISKEY (PET)</t>
        </is>
      </c>
      <c r="C3009" s="7">
        <f>VLOOKUP(A3009,SizeData!A$2:B$3839,2,FALSE)</f>
        <v/>
      </c>
      <c r="D3009" s="6" t="n">
        <v>3</v>
      </c>
      <c r="E3009" s="6" t="inlineStr">
        <is>
          <t>R1039467</t>
        </is>
      </c>
      <c r="F3009" s="2" t="n">
        <v>44266</v>
      </c>
      <c r="G3009" s="1" t="n"/>
    </row>
    <row r="3010">
      <c r="A3010" s="6" t="n">
        <v>65013</v>
      </c>
      <c r="B3010" s="6" t="inlineStr">
        <is>
          <t>FIREBALL CINNAMON WHISKEY (PET)</t>
        </is>
      </c>
      <c r="C3010" s="7">
        <f>VLOOKUP(A3010,SizeData!A$2:B$3839,2,FALSE)</f>
        <v/>
      </c>
      <c r="D3010" s="6" t="n">
        <v>2</v>
      </c>
      <c r="E3010" s="6" t="inlineStr">
        <is>
          <t>R1152585</t>
        </is>
      </c>
      <c r="F3010" s="2" t="n">
        <v>44372</v>
      </c>
      <c r="G3010" s="1" t="n"/>
    </row>
    <row r="3011">
      <c r="A3011" s="6" t="n">
        <v>65013</v>
      </c>
      <c r="B3011" s="6" t="inlineStr">
        <is>
          <t>FIREBALL CINNAMON WHISKEY (PET)</t>
        </is>
      </c>
      <c r="C3011" s="7">
        <f>VLOOKUP(A3011,SizeData!A$2:B$3839,2,FALSE)</f>
        <v/>
      </c>
      <c r="D3011" s="6" t="n">
        <v>6</v>
      </c>
      <c r="E3011" s="6" t="inlineStr">
        <is>
          <t>R1229809</t>
        </is>
      </c>
      <c r="F3011" s="2" t="n">
        <v>44440</v>
      </c>
      <c r="G3011" s="1" t="n"/>
    </row>
    <row r="3012">
      <c r="A3012" s="6" t="n">
        <v>65013</v>
      </c>
      <c r="B3012" s="6" t="inlineStr">
        <is>
          <t>FIREBALL CINNAMON WHISKEY (PET)</t>
        </is>
      </c>
      <c r="C3012" s="7">
        <f>VLOOKUP(A3012,SizeData!A$2:B$3839,2,FALSE)</f>
        <v/>
      </c>
      <c r="D3012" s="6" t="n">
        <v>4</v>
      </c>
      <c r="E3012" s="6" t="inlineStr">
        <is>
          <t>R1231184</t>
        </is>
      </c>
      <c r="F3012" s="2" t="n">
        <v>44443</v>
      </c>
      <c r="G3012" s="1" t="n"/>
    </row>
    <row r="3013">
      <c r="A3013" s="6" t="n">
        <v>65013</v>
      </c>
      <c r="B3013" s="6" t="inlineStr">
        <is>
          <t>FIREBALL CINNAMON WHISKEY (PET)</t>
        </is>
      </c>
      <c r="C3013" s="7">
        <f>VLOOKUP(A3013,SizeData!A$2:B$3839,2,FALSE)</f>
        <v/>
      </c>
      <c r="D3013" s="6" t="n">
        <v>6</v>
      </c>
      <c r="E3013" s="6" t="inlineStr">
        <is>
          <t>R1347154</t>
        </is>
      </c>
      <c r="F3013" s="2" t="n">
        <v>44536</v>
      </c>
      <c r="G3013" s="1" t="n"/>
    </row>
    <row r="3014">
      <c r="A3014" s="6" t="n">
        <v>65120</v>
      </c>
      <c r="B3014" s="6" t="inlineStr">
        <is>
          <t>GRAND MARNIER</t>
        </is>
      </c>
      <c r="C3014" s="7">
        <f>VLOOKUP(A3014,SizeData!A$2:B$3839,2,FALSE)</f>
        <v/>
      </c>
      <c r="D3014" s="6" t="n">
        <v>1</v>
      </c>
      <c r="E3014" s="6" t="inlineStr">
        <is>
          <t>R1129655</t>
        </is>
      </c>
      <c r="F3014" s="2" t="n">
        <v>44347</v>
      </c>
      <c r="G3014" s="1" t="n"/>
    </row>
    <row r="3015">
      <c r="A3015" s="6" t="n">
        <v>65125</v>
      </c>
      <c r="B3015" s="6" t="inlineStr">
        <is>
          <t>GRAND MARNIER</t>
        </is>
      </c>
      <c r="C3015" s="7">
        <f>VLOOKUP(A3015,SizeData!A$2:B$3839,2,FALSE)</f>
        <v/>
      </c>
      <c r="D3015" s="6" t="n">
        <v>1</v>
      </c>
      <c r="E3015" s="6" t="inlineStr">
        <is>
          <t>R1033413</t>
        </is>
      </c>
      <c r="F3015" s="2" t="n">
        <v>44250</v>
      </c>
      <c r="G3015" s="1" t="n"/>
    </row>
    <row r="3016">
      <c r="A3016" s="6" t="n">
        <v>65125</v>
      </c>
      <c r="B3016" s="6" t="inlineStr">
        <is>
          <t>GRAND MARNIER</t>
        </is>
      </c>
      <c r="C3016" s="7">
        <f>VLOOKUP(A3016,SizeData!A$2:B$3839,2,FALSE)</f>
        <v/>
      </c>
      <c r="D3016" s="6" t="n">
        <v>1</v>
      </c>
      <c r="E3016" s="6" t="inlineStr">
        <is>
          <t>R1099557</t>
        </is>
      </c>
      <c r="F3016" s="2" t="n">
        <v>44317</v>
      </c>
      <c r="G3016" s="1" t="n"/>
    </row>
    <row r="3017">
      <c r="A3017" s="6" t="n">
        <v>65125</v>
      </c>
      <c r="B3017" s="6" t="inlineStr">
        <is>
          <t>GRAND MARNIER</t>
        </is>
      </c>
      <c r="C3017" s="7">
        <f>VLOOKUP(A3017,SizeData!A$2:B$3839,2,FALSE)</f>
        <v/>
      </c>
      <c r="D3017" s="6" t="n">
        <v>3</v>
      </c>
      <c r="E3017" s="6" t="inlineStr">
        <is>
          <t>R1125683</t>
        </is>
      </c>
      <c r="F3017" s="2" t="n">
        <v>44336</v>
      </c>
      <c r="G3017" s="1" t="n"/>
    </row>
    <row r="3018">
      <c r="A3018" s="6" t="n">
        <v>65126</v>
      </c>
      <c r="B3018" s="6" t="inlineStr">
        <is>
          <t>GRAND MARNIER</t>
        </is>
      </c>
      <c r="C3018" s="7">
        <f>VLOOKUP(A3018,SizeData!A$2:B$3839,2,FALSE)</f>
        <v/>
      </c>
      <c r="D3018" s="6" t="n">
        <v>1</v>
      </c>
      <c r="E3018" s="6" t="inlineStr">
        <is>
          <t>R1040170</t>
        </is>
      </c>
      <c r="F3018" s="2" t="n">
        <v>44251</v>
      </c>
      <c r="G3018" s="1" t="n"/>
    </row>
    <row r="3019">
      <c r="A3019" s="6" t="n">
        <v>65126</v>
      </c>
      <c r="B3019" s="6" t="inlineStr">
        <is>
          <t>GRAND MARNIER</t>
        </is>
      </c>
      <c r="C3019" s="7">
        <f>VLOOKUP(A3019,SizeData!A$2:B$3839,2,FALSE)</f>
        <v/>
      </c>
      <c r="D3019" s="6" t="n">
        <v>1</v>
      </c>
      <c r="E3019" s="6" t="inlineStr">
        <is>
          <t>R1085722</t>
        </is>
      </c>
      <c r="F3019" s="2" t="n">
        <v>44287</v>
      </c>
      <c r="G3019" s="1" t="n"/>
    </row>
    <row r="3020">
      <c r="A3020" s="6" t="n">
        <v>65126</v>
      </c>
      <c r="B3020" s="6" t="inlineStr">
        <is>
          <t>GRAND MARNIER</t>
        </is>
      </c>
      <c r="C3020" s="7">
        <f>VLOOKUP(A3020,SizeData!A$2:B$3839,2,FALSE)</f>
        <v/>
      </c>
      <c r="D3020" s="6" t="n">
        <v>3</v>
      </c>
      <c r="E3020" s="6" t="inlineStr">
        <is>
          <t>R1077298</t>
        </is>
      </c>
      <c r="F3020" s="2" t="n">
        <v>44290</v>
      </c>
      <c r="G3020" s="1" t="n"/>
    </row>
    <row r="3021">
      <c r="A3021" s="6" t="n">
        <v>65126</v>
      </c>
      <c r="B3021" s="6" t="inlineStr">
        <is>
          <t>GRAND MARNIER</t>
        </is>
      </c>
      <c r="C3021" s="7">
        <f>VLOOKUP(A3021,SizeData!A$2:B$3839,2,FALSE)</f>
        <v/>
      </c>
      <c r="D3021" s="6" t="n">
        <v>2</v>
      </c>
      <c r="E3021" s="6" t="inlineStr">
        <is>
          <t>R1092837</t>
        </is>
      </c>
      <c r="F3021" s="2" t="n">
        <v>44299</v>
      </c>
      <c r="G3021" s="1" t="n"/>
    </row>
    <row r="3022">
      <c r="A3022" s="6" t="n">
        <v>65126</v>
      </c>
      <c r="B3022" s="6" t="inlineStr">
        <is>
          <t>GRAND MARNIER</t>
        </is>
      </c>
      <c r="C3022" s="7">
        <f>VLOOKUP(A3022,SizeData!A$2:B$3839,2,FALSE)</f>
        <v/>
      </c>
      <c r="D3022" s="6" t="n">
        <v>2</v>
      </c>
      <c r="E3022" s="6" t="inlineStr">
        <is>
          <t>R1099905</t>
        </is>
      </c>
      <c r="F3022" s="2" t="n">
        <v>44310</v>
      </c>
      <c r="G3022" s="1" t="n"/>
    </row>
    <row r="3023">
      <c r="A3023" s="6" t="n">
        <v>65126</v>
      </c>
      <c r="B3023" s="6" t="inlineStr">
        <is>
          <t>GRAND MARNIER</t>
        </is>
      </c>
      <c r="C3023" s="7">
        <f>VLOOKUP(A3023,SizeData!A$2:B$3839,2,FALSE)</f>
        <v/>
      </c>
      <c r="D3023" s="6" t="n">
        <v>1</v>
      </c>
      <c r="E3023" s="6" t="inlineStr">
        <is>
          <t xml:space="preserve"> R1150889</t>
        </is>
      </c>
      <c r="F3023" s="2" t="n">
        <v>44368</v>
      </c>
      <c r="G3023" s="1" t="n"/>
    </row>
    <row r="3024">
      <c r="A3024" s="6" t="n">
        <v>65126</v>
      </c>
      <c r="B3024" s="6" t="inlineStr">
        <is>
          <t>GRAND MARNIER</t>
        </is>
      </c>
      <c r="C3024" s="7">
        <f>VLOOKUP(A3024,SizeData!A$2:B$3839,2,FALSE)</f>
        <v/>
      </c>
      <c r="D3024" s="6" t="n">
        <v>10</v>
      </c>
      <c r="E3024" s="6" t="inlineStr">
        <is>
          <t>R1161479</t>
        </is>
      </c>
      <c r="F3024" s="2" t="n">
        <v>44373</v>
      </c>
      <c r="G3024" s="1" t="n"/>
    </row>
    <row r="3025">
      <c r="A3025" s="6" t="n">
        <v>65126</v>
      </c>
      <c r="B3025" s="6" t="inlineStr">
        <is>
          <t>GRAND MARNIER</t>
        </is>
      </c>
      <c r="C3025" s="7">
        <f>VLOOKUP(A3025,SizeData!A$2:B$3839,2,FALSE)</f>
        <v/>
      </c>
      <c r="D3025" s="6" t="n">
        <v>4</v>
      </c>
      <c r="E3025" s="6" t="inlineStr">
        <is>
          <t>R1274548</t>
        </is>
      </c>
      <c r="F3025" s="2" t="n">
        <v>44485</v>
      </c>
      <c r="G3025" s="1" t="n"/>
    </row>
    <row r="3026">
      <c r="A3026" s="6" t="n">
        <v>65188</v>
      </c>
      <c r="B3026" s="6" t="inlineStr">
        <is>
          <t>HPNOTIQ</t>
        </is>
      </c>
      <c r="C3026" s="7">
        <f>VLOOKUP(A3026,SizeData!A$2:B$3839,2,FALSE)</f>
        <v/>
      </c>
      <c r="D3026" s="6" t="n">
        <v>1</v>
      </c>
      <c r="E3026" s="6" t="inlineStr">
        <is>
          <t>R989713</t>
        </is>
      </c>
      <c r="F3026" s="2" t="n">
        <v>44200</v>
      </c>
      <c r="G3026" s="1" t="n"/>
    </row>
    <row r="3027">
      <c r="A3027" s="6" t="n">
        <v>65188</v>
      </c>
      <c r="B3027" s="6" t="inlineStr">
        <is>
          <t>HPNOTIQ</t>
        </is>
      </c>
      <c r="C3027" s="7">
        <f>VLOOKUP(A3027,SizeData!A$2:B$3839,2,FALSE)</f>
        <v/>
      </c>
      <c r="D3027" s="6" t="n">
        <v>1</v>
      </c>
      <c r="E3027" s="6" t="inlineStr">
        <is>
          <t>R1018402</t>
        </is>
      </c>
      <c r="F3027" s="2" t="n">
        <v>44229</v>
      </c>
      <c r="G3027" s="1" t="n"/>
    </row>
    <row r="3028">
      <c r="A3028" s="6" t="n">
        <v>65188</v>
      </c>
      <c r="B3028" s="6" t="inlineStr">
        <is>
          <t>HPNOTIQ</t>
        </is>
      </c>
      <c r="C3028" s="7">
        <f>VLOOKUP(A3028,SizeData!A$2:B$3839,2,FALSE)</f>
        <v/>
      </c>
      <c r="D3028" s="6" t="n">
        <v>1</v>
      </c>
      <c r="E3028" s="6" t="inlineStr">
        <is>
          <t>R1047061</t>
        </is>
      </c>
      <c r="F3028" s="2" t="n">
        <v>44259</v>
      </c>
      <c r="G3028" s="1" t="n"/>
    </row>
    <row r="3029">
      <c r="A3029" s="6" t="n">
        <v>65188</v>
      </c>
      <c r="B3029" s="6" t="inlineStr">
        <is>
          <t>HPNOTIQ</t>
        </is>
      </c>
      <c r="C3029" s="7">
        <f>VLOOKUP(A3029,SizeData!A$2:B$3839,2,FALSE)</f>
        <v/>
      </c>
      <c r="D3029" s="6" t="n">
        <v>1</v>
      </c>
      <c r="E3029" s="6" t="inlineStr">
        <is>
          <t>R1074089</t>
        </is>
      </c>
      <c r="F3029" s="2" t="n">
        <v>44288</v>
      </c>
      <c r="G3029" s="1" t="n"/>
    </row>
    <row r="3030">
      <c r="A3030" s="6" t="n">
        <v>65188</v>
      </c>
      <c r="B3030" s="6" t="inlineStr">
        <is>
          <t>HPNOTIQ</t>
        </is>
      </c>
      <c r="C3030" s="7">
        <f>VLOOKUP(A3030,SizeData!A$2:B$3839,2,FALSE)</f>
        <v/>
      </c>
      <c r="D3030" s="6" t="n">
        <v>3</v>
      </c>
      <c r="E3030" s="6" t="inlineStr">
        <is>
          <t>R1085364</t>
        </is>
      </c>
      <c r="F3030" s="2" t="n">
        <v>44289</v>
      </c>
      <c r="G3030" s="1" t="n"/>
    </row>
    <row r="3031">
      <c r="A3031" s="6" t="n">
        <v>65188</v>
      </c>
      <c r="B3031" s="6" t="inlineStr">
        <is>
          <t>HPNOTIQ</t>
        </is>
      </c>
      <c r="C3031" s="7">
        <f>VLOOKUP(A3031,SizeData!A$2:B$3839,2,FALSE)</f>
        <v/>
      </c>
      <c r="D3031" s="6" t="n">
        <v>1</v>
      </c>
      <c r="E3031" s="6" t="inlineStr">
        <is>
          <t>R1092837</t>
        </is>
      </c>
      <c r="F3031" s="2" t="n">
        <v>44299</v>
      </c>
      <c r="G3031" s="1" t="n"/>
    </row>
    <row r="3032">
      <c r="A3032" s="6" t="n">
        <v>65188</v>
      </c>
      <c r="B3032" s="6" t="inlineStr">
        <is>
          <t>HPNOTIQ</t>
        </is>
      </c>
      <c r="C3032" s="7">
        <f>VLOOKUP(A3032,SizeData!A$2:B$3839,2,FALSE)</f>
        <v/>
      </c>
      <c r="D3032" s="6" t="n">
        <v>1</v>
      </c>
      <c r="E3032" s="6" t="inlineStr">
        <is>
          <t>R1084456</t>
        </is>
      </c>
      <c r="F3032" s="2" t="n">
        <v>44301</v>
      </c>
      <c r="G3032" s="1" t="n"/>
    </row>
    <row r="3033">
      <c r="A3033" s="6" t="n">
        <v>65188</v>
      </c>
      <c r="B3033" s="6" t="inlineStr">
        <is>
          <t>HPNOTIQ</t>
        </is>
      </c>
      <c r="C3033" s="7">
        <f>VLOOKUP(A3033,SizeData!A$2:B$3839,2,FALSE)</f>
        <v/>
      </c>
      <c r="D3033" s="6" t="n">
        <v>0</v>
      </c>
      <c r="E3033" s="6" t="inlineStr">
        <is>
          <t>R1262670</t>
        </is>
      </c>
      <c r="F3033" s="2" t="n">
        <v>44470</v>
      </c>
      <c r="G3033" s="1" t="n"/>
    </row>
    <row r="3034">
      <c r="A3034" s="6" t="n">
        <v>65188</v>
      </c>
      <c r="B3034" s="6" t="inlineStr">
        <is>
          <t>HPNOTIQ</t>
        </is>
      </c>
      <c r="C3034" s="7">
        <f>VLOOKUP(A3034,SizeData!A$2:B$3839,2,FALSE)</f>
        <v/>
      </c>
      <c r="D3034" s="6" t="n">
        <v>6</v>
      </c>
      <c r="E3034" s="6" t="inlineStr">
        <is>
          <t>R1253669</t>
        </is>
      </c>
      <c r="F3034" s="2" t="n">
        <v>44471</v>
      </c>
      <c r="G3034" s="1" t="n"/>
    </row>
    <row r="3035">
      <c r="A3035" s="6" t="n">
        <v>65191</v>
      </c>
      <c r="B3035" s="6" t="inlineStr">
        <is>
          <t>HPNOTIQ</t>
        </is>
      </c>
      <c r="C3035" s="7">
        <f>VLOOKUP(A3035,SizeData!A$2:B$3839,2,FALSE)</f>
        <v/>
      </c>
      <c r="D3035" s="6" t="n">
        <v>1</v>
      </c>
      <c r="E3035" s="6" t="inlineStr">
        <is>
          <t xml:space="preserve"> R1125172</t>
        </is>
      </c>
      <c r="F3035" s="2" t="n">
        <v>44322</v>
      </c>
      <c r="G3035" s="1" t="n"/>
    </row>
    <row r="3036">
      <c r="A3036" s="6" t="n">
        <v>65191</v>
      </c>
      <c r="B3036" s="6" t="inlineStr">
        <is>
          <t>HPNOTIQ</t>
        </is>
      </c>
      <c r="C3036" s="7">
        <f>VLOOKUP(A3036,SizeData!A$2:B$3839,2,FALSE)</f>
        <v/>
      </c>
      <c r="D3036" s="6" t="n">
        <v>1</v>
      </c>
      <c r="E3036" s="6" t="inlineStr">
        <is>
          <t>R1264995</t>
        </is>
      </c>
      <c r="F3036" s="2" t="n">
        <v>44475</v>
      </c>
      <c r="G3036" s="1" t="n"/>
    </row>
    <row r="3037">
      <c r="A3037" s="6" t="n">
        <v>65193</v>
      </c>
      <c r="B3037" s="6" t="inlineStr">
        <is>
          <t>HPNOTIQ</t>
        </is>
      </c>
      <c r="C3037" s="7">
        <f>VLOOKUP(A3037,SizeData!A$2:B$3839,2,FALSE)</f>
        <v/>
      </c>
      <c r="D3037" s="6" t="n">
        <v>1</v>
      </c>
      <c r="E3037" s="6" t="inlineStr">
        <is>
          <t>R992402</t>
        </is>
      </c>
      <c r="F3037" s="2" t="n">
        <v>44198</v>
      </c>
      <c r="G3037" s="1" t="n"/>
    </row>
    <row r="3038">
      <c r="A3038" s="6" t="n">
        <v>65193</v>
      </c>
      <c r="B3038" s="6" t="inlineStr">
        <is>
          <t>HPNOTIQ</t>
        </is>
      </c>
      <c r="C3038" s="7">
        <f>VLOOKUP(A3038,SizeData!A$2:B$3839,2,FALSE)</f>
        <v/>
      </c>
      <c r="D3038" s="6" t="n">
        <v>1</v>
      </c>
      <c r="E3038" s="6" t="inlineStr">
        <is>
          <t>R1030486</t>
        </is>
      </c>
      <c r="F3038" s="2" t="n">
        <v>44247</v>
      </c>
      <c r="G3038" s="1" t="n"/>
    </row>
    <row r="3039">
      <c r="A3039" s="6" t="n">
        <v>65193</v>
      </c>
      <c r="B3039" s="6" t="inlineStr">
        <is>
          <t>HPNOTIQ</t>
        </is>
      </c>
      <c r="C3039" s="7">
        <f>VLOOKUP(A3039,SizeData!A$2:B$3839,2,FALSE)</f>
        <v/>
      </c>
      <c r="D3039" s="6" t="n">
        <v>1</v>
      </c>
      <c r="E3039" s="6" t="inlineStr">
        <is>
          <t>R1045566</t>
        </is>
      </c>
      <c r="F3039" s="2" t="n">
        <v>44253</v>
      </c>
      <c r="G3039" s="1" t="n"/>
    </row>
    <row r="3040">
      <c r="A3040" s="6" t="n">
        <v>65193</v>
      </c>
      <c r="B3040" s="6" t="inlineStr">
        <is>
          <t>HPNOTIQ</t>
        </is>
      </c>
      <c r="C3040" s="7">
        <f>VLOOKUP(A3040,SizeData!A$2:B$3839,2,FALSE)</f>
        <v/>
      </c>
      <c r="D3040" s="6" t="n">
        <v>1</v>
      </c>
      <c r="E3040" s="6" t="inlineStr">
        <is>
          <t>R1114354</t>
        </is>
      </c>
      <c r="F3040" s="2" t="n">
        <v>44334</v>
      </c>
      <c r="G3040" s="1" t="n"/>
    </row>
    <row r="3041">
      <c r="A3041" s="6" t="n">
        <v>65193</v>
      </c>
      <c r="B3041" s="6" t="inlineStr">
        <is>
          <t>HPNOTIQ</t>
        </is>
      </c>
      <c r="C3041" s="7">
        <f>VLOOKUP(A3041,SizeData!A$2:B$3839,2,FALSE)</f>
        <v/>
      </c>
      <c r="D3041" s="6" t="n">
        <v>1</v>
      </c>
      <c r="E3041" s="6" t="inlineStr">
        <is>
          <t>R1129655</t>
        </is>
      </c>
      <c r="F3041" s="2" t="n">
        <v>44347</v>
      </c>
      <c r="G3041" s="1" t="n"/>
    </row>
    <row r="3042">
      <c r="A3042" s="6" t="n">
        <v>65193</v>
      </c>
      <c r="B3042" s="6" t="inlineStr">
        <is>
          <t>HPNOTIQ</t>
        </is>
      </c>
      <c r="C3042" s="7">
        <f>VLOOKUP(A3042,SizeData!A$2:B$3839,2,FALSE)</f>
        <v/>
      </c>
      <c r="D3042" s="6" t="n">
        <v>1</v>
      </c>
      <c r="E3042" s="6" t="inlineStr">
        <is>
          <t>R1206028</t>
        </is>
      </c>
      <c r="F3042" s="2" t="n">
        <v>44417</v>
      </c>
      <c r="G3042" s="1" t="n"/>
    </row>
    <row r="3043">
      <c r="A3043" s="6" t="n">
        <v>65193</v>
      </c>
      <c r="B3043" s="6" t="inlineStr">
        <is>
          <t>HPNOTIQ</t>
        </is>
      </c>
      <c r="C3043" s="7">
        <f>VLOOKUP(A3043,SizeData!A$2:B$3839,2,FALSE)</f>
        <v/>
      </c>
      <c r="D3043" s="6" t="n">
        <v>4</v>
      </c>
      <c r="E3043" s="6" t="inlineStr">
        <is>
          <t>R1332510</t>
        </is>
      </c>
      <c r="F3043" s="2" t="n">
        <v>44518</v>
      </c>
      <c r="G3043" s="1" t="n"/>
    </row>
    <row r="3044">
      <c r="A3044" s="6" t="n">
        <v>65194</v>
      </c>
      <c r="B3044" s="6" t="inlineStr">
        <is>
          <t>HPNOTIQ</t>
        </is>
      </c>
      <c r="C3044" s="7">
        <f>VLOOKUP(A3044,SizeData!A$2:B$3839,2,FALSE)</f>
        <v/>
      </c>
      <c r="D3044" s="6" t="n">
        <v>3</v>
      </c>
      <c r="E3044" s="6" t="inlineStr">
        <is>
          <t>R994060</t>
        </is>
      </c>
      <c r="F3044" s="2" t="n">
        <v>44209</v>
      </c>
      <c r="G3044" s="1" t="n"/>
    </row>
    <row r="3045">
      <c r="A3045" s="6" t="n">
        <v>65194</v>
      </c>
      <c r="B3045" s="6" t="inlineStr">
        <is>
          <t>HPNOTIQ</t>
        </is>
      </c>
      <c r="C3045" s="7">
        <f>VLOOKUP(A3045,SizeData!A$2:B$3839,2,FALSE)</f>
        <v/>
      </c>
      <c r="D3045" s="6" t="n">
        <v>2</v>
      </c>
      <c r="E3045" s="6" t="inlineStr">
        <is>
          <t>R1018402</t>
        </is>
      </c>
      <c r="F3045" s="2" t="n">
        <v>44229</v>
      </c>
      <c r="G3045" s="1" t="n"/>
    </row>
    <row r="3046">
      <c r="A3046" s="6" t="n">
        <v>65194</v>
      </c>
      <c r="B3046" s="6" t="inlineStr">
        <is>
          <t>HPNOTIQ</t>
        </is>
      </c>
      <c r="C3046" s="7">
        <f>VLOOKUP(A3046,SizeData!A$2:B$3839,2,FALSE)</f>
        <v/>
      </c>
      <c r="D3046" s="6" t="n">
        <v>1</v>
      </c>
      <c r="E3046" s="6" t="inlineStr">
        <is>
          <t>R1018402</t>
        </is>
      </c>
      <c r="F3046" s="2" t="n">
        <v>44229</v>
      </c>
      <c r="G3046" s="1" t="n"/>
    </row>
    <row r="3047">
      <c r="A3047" s="6" t="n">
        <v>65194</v>
      </c>
      <c r="B3047" s="6" t="inlineStr">
        <is>
          <t>HPNOTIQ</t>
        </is>
      </c>
      <c r="C3047" s="7">
        <f>VLOOKUP(A3047,SizeData!A$2:B$3839,2,FALSE)</f>
        <v/>
      </c>
      <c r="D3047" s="6" t="n">
        <v>6</v>
      </c>
      <c r="E3047" s="6" t="inlineStr">
        <is>
          <t>R1030486</t>
        </is>
      </c>
      <c r="F3047" s="2" t="n">
        <v>44247</v>
      </c>
      <c r="G3047" s="1" t="n"/>
    </row>
    <row r="3048">
      <c r="A3048" s="6" t="n">
        <v>65194</v>
      </c>
      <c r="B3048" s="6" t="inlineStr">
        <is>
          <t>HPNOTIQ</t>
        </is>
      </c>
      <c r="C3048" s="7">
        <f>VLOOKUP(A3048,SizeData!A$2:B$3839,2,FALSE)</f>
        <v/>
      </c>
      <c r="D3048" s="6" t="n">
        <v>3</v>
      </c>
      <c r="E3048" s="6" t="inlineStr">
        <is>
          <t>R1126982</t>
        </is>
      </c>
      <c r="F3048" s="2" t="n">
        <v>44338</v>
      </c>
      <c r="G3048" s="1" t="n"/>
    </row>
    <row r="3049">
      <c r="A3049" s="6" t="n">
        <v>65194</v>
      </c>
      <c r="B3049" s="6" t="inlineStr">
        <is>
          <t>HPNOTIQ</t>
        </is>
      </c>
      <c r="C3049" s="7">
        <f>VLOOKUP(A3049,SizeData!A$2:B$3839,2,FALSE)</f>
        <v/>
      </c>
      <c r="D3049" s="6" t="n">
        <v>5</v>
      </c>
      <c r="E3049" s="6" t="inlineStr">
        <is>
          <t>R1124382</t>
        </is>
      </c>
      <c r="F3049" s="2" t="n">
        <v>44347</v>
      </c>
      <c r="G3049" s="1" t="n"/>
    </row>
    <row r="3050">
      <c r="A3050" s="6" t="n">
        <v>65194</v>
      </c>
      <c r="B3050" s="6" t="inlineStr">
        <is>
          <t>HPNOTIQ</t>
        </is>
      </c>
      <c r="C3050" s="7">
        <f>VLOOKUP(A3050,SizeData!A$2:B$3839,2,FALSE)</f>
        <v/>
      </c>
      <c r="D3050" s="6" t="n">
        <v>2</v>
      </c>
      <c r="E3050" s="6" t="inlineStr">
        <is>
          <t>R1206028</t>
        </is>
      </c>
      <c r="F3050" s="2" t="n">
        <v>44417</v>
      </c>
      <c r="G3050" s="1" t="n"/>
    </row>
    <row r="3051">
      <c r="A3051" s="6" t="n">
        <v>65195</v>
      </c>
      <c r="B3051" s="6" t="inlineStr">
        <is>
          <t>HPNOTIQ</t>
        </is>
      </c>
      <c r="C3051" s="7">
        <f>VLOOKUP(A3051,SizeData!A$2:B$3839,2,FALSE)</f>
        <v/>
      </c>
      <c r="D3051" s="6" t="n">
        <v>1</v>
      </c>
      <c r="E3051" s="6" t="inlineStr">
        <is>
          <t>R997526</t>
        </is>
      </c>
      <c r="F3051" s="2" t="n">
        <v>44204</v>
      </c>
      <c r="G3051" s="1" t="n"/>
    </row>
    <row r="3052">
      <c r="A3052" s="6" t="n">
        <v>65195</v>
      </c>
      <c r="B3052" s="6" t="inlineStr">
        <is>
          <t>HPNOTIQ</t>
        </is>
      </c>
      <c r="C3052" s="7">
        <f>VLOOKUP(A3052,SizeData!A$2:B$3839,2,FALSE)</f>
        <v/>
      </c>
      <c r="D3052" s="6" t="n">
        <v>3</v>
      </c>
      <c r="E3052" s="6" t="inlineStr">
        <is>
          <t>R994060</t>
        </is>
      </c>
      <c r="F3052" s="2" t="n">
        <v>44209</v>
      </c>
      <c r="G3052" s="1" t="n"/>
    </row>
    <row r="3053">
      <c r="A3053" s="6" t="n">
        <v>65195</v>
      </c>
      <c r="B3053" s="6" t="inlineStr">
        <is>
          <t>HPNOTIQ</t>
        </is>
      </c>
      <c r="C3053" s="7">
        <f>VLOOKUP(A3053,SizeData!A$2:B$3839,2,FALSE)</f>
        <v/>
      </c>
      <c r="D3053" s="6" t="n">
        <v>3</v>
      </c>
      <c r="E3053" s="6" t="inlineStr">
        <is>
          <t>R1018402</t>
        </is>
      </c>
      <c r="F3053" s="2" t="n">
        <v>44229</v>
      </c>
      <c r="G3053" s="1" t="n"/>
    </row>
    <row r="3054">
      <c r="A3054" s="6" t="n">
        <v>65195</v>
      </c>
      <c r="B3054" s="6" t="inlineStr">
        <is>
          <t>HPNOTIQ</t>
        </is>
      </c>
      <c r="C3054" s="7">
        <f>VLOOKUP(A3054,SizeData!A$2:B$3839,2,FALSE)</f>
        <v/>
      </c>
      <c r="D3054" s="6" t="n">
        <v>1</v>
      </c>
      <c r="E3054" s="6" t="inlineStr">
        <is>
          <t>R1018402</t>
        </is>
      </c>
      <c r="F3054" s="2" t="n">
        <v>44229</v>
      </c>
      <c r="G3054" s="1" t="n"/>
    </row>
    <row r="3055">
      <c r="A3055" s="6" t="n">
        <v>65195</v>
      </c>
      <c r="B3055" s="6" t="inlineStr">
        <is>
          <t>HPNOTIQ</t>
        </is>
      </c>
      <c r="C3055" s="7">
        <f>VLOOKUP(A3055,SizeData!A$2:B$3839,2,FALSE)</f>
        <v/>
      </c>
      <c r="D3055" s="6" t="n">
        <v>2</v>
      </c>
      <c r="E3055" s="6" t="inlineStr">
        <is>
          <t>R1137831</t>
        </is>
      </c>
      <c r="F3055" s="2" t="n">
        <v>44348</v>
      </c>
      <c r="G3055" s="1" t="n"/>
    </row>
    <row r="3056">
      <c r="A3056" s="6" t="n">
        <v>65195</v>
      </c>
      <c r="B3056" s="6" t="inlineStr">
        <is>
          <t>HPNOTIQ</t>
        </is>
      </c>
      <c r="C3056" s="7">
        <f>VLOOKUP(A3056,SizeData!A$2:B$3839,2,FALSE)</f>
        <v/>
      </c>
      <c r="D3056" s="6" t="n">
        <v>10</v>
      </c>
      <c r="E3056" s="6" t="inlineStr">
        <is>
          <t>R1137596</t>
        </is>
      </c>
      <c r="F3056" s="2" t="n">
        <v>44359</v>
      </c>
      <c r="G3056" s="1" t="n"/>
    </row>
    <row r="3057">
      <c r="A3057" s="6" t="n">
        <v>65195</v>
      </c>
      <c r="B3057" s="6" t="inlineStr">
        <is>
          <t>HPNOTIQ</t>
        </is>
      </c>
      <c r="C3057" s="7">
        <f>VLOOKUP(A3057,SizeData!A$2:B$3839,2,FALSE)</f>
        <v/>
      </c>
      <c r="D3057" s="6" t="n">
        <v>4</v>
      </c>
      <c r="E3057" s="6" t="inlineStr">
        <is>
          <t>R1230991</t>
        </is>
      </c>
      <c r="F3057" s="2" t="n">
        <v>44441</v>
      </c>
      <c r="G3057" s="1" t="n"/>
    </row>
    <row r="3058">
      <c r="A3058" s="6" t="n">
        <v>65195</v>
      </c>
      <c r="B3058" s="6" t="inlineStr">
        <is>
          <t>HPNOTIQ</t>
        </is>
      </c>
      <c r="C3058" s="7">
        <f>VLOOKUP(A3058,SizeData!A$2:B$3839,2,FALSE)</f>
        <v/>
      </c>
      <c r="D3058" s="6" t="n">
        <v>1</v>
      </c>
      <c r="E3058" s="6" t="inlineStr">
        <is>
          <t>R1228454</t>
        </is>
      </c>
      <c r="F3058" s="2" t="n">
        <v>44445</v>
      </c>
      <c r="G3058" s="1" t="n"/>
    </row>
    <row r="3059">
      <c r="A3059" s="6" t="n">
        <v>65200</v>
      </c>
      <c r="B3059" s="6" t="inlineStr">
        <is>
          <t>TEQUILA ROSE STRAWBERRY LIQUEUR</t>
        </is>
      </c>
      <c r="C3059" s="7">
        <f>VLOOKUP(A3059,SizeData!A$2:B$3839,2,FALSE)</f>
        <v/>
      </c>
      <c r="D3059" s="6" t="n">
        <v>0</v>
      </c>
      <c r="E3059" s="6" t="inlineStr">
        <is>
          <t>R1253669</t>
        </is>
      </c>
      <c r="F3059" s="2" t="n">
        <v>44471</v>
      </c>
      <c r="G3059" s="1" t="n"/>
    </row>
    <row r="3060">
      <c r="A3060" s="6" t="n">
        <v>65200</v>
      </c>
      <c r="B3060" s="6" t="inlineStr">
        <is>
          <t>TEQUILA ROSE STRAWBERRY LIQUEUR</t>
        </is>
      </c>
      <c r="C3060" s="7">
        <f>VLOOKUP(A3060,SizeData!A$2:B$3839,2,FALSE)</f>
        <v/>
      </c>
      <c r="D3060" s="6" t="n">
        <v>2</v>
      </c>
      <c r="E3060" s="6" t="inlineStr">
        <is>
          <t>R1301289</t>
        </is>
      </c>
      <c r="F3060" s="2" t="n">
        <v>44499</v>
      </c>
      <c r="G3060" s="1" t="n"/>
    </row>
    <row r="3061">
      <c r="A3061" s="6" t="n">
        <v>65204</v>
      </c>
      <c r="B3061" s="6" t="inlineStr">
        <is>
          <t>TEQUILA ROSE LIQUEUR</t>
        </is>
      </c>
      <c r="C3061" s="7">
        <f>VLOOKUP(A3061,SizeData!A$2:B$3839,2,FALSE)</f>
        <v/>
      </c>
      <c r="D3061" s="6" t="n">
        <v>9</v>
      </c>
      <c r="E3061" s="6" t="inlineStr">
        <is>
          <t>R1302966</t>
        </is>
      </c>
      <c r="F3061" s="2" t="n">
        <v>44501</v>
      </c>
      <c r="G3061" s="1" t="n"/>
    </row>
    <row r="3062">
      <c r="A3062" s="6" t="n">
        <v>65204</v>
      </c>
      <c r="B3062" s="6" t="inlineStr">
        <is>
          <t>TEQUILA ROSE LIQUEUR</t>
        </is>
      </c>
      <c r="C3062" s="7">
        <f>VLOOKUP(A3062,SizeData!A$2:B$3839,2,FALSE)</f>
        <v/>
      </c>
      <c r="D3062" s="6" t="n">
        <v>19</v>
      </c>
      <c r="E3062" s="6" t="inlineStr">
        <is>
          <t>R1317164</t>
        </is>
      </c>
      <c r="F3062" s="2" t="n">
        <v>44510</v>
      </c>
      <c r="G3062" s="1" t="n"/>
    </row>
    <row r="3063">
      <c r="A3063" s="6" t="n">
        <v>65204</v>
      </c>
      <c r="B3063" s="6" t="inlineStr">
        <is>
          <t>TEQUILA ROSE LIQUEUR</t>
        </is>
      </c>
      <c r="C3063" s="7">
        <f>VLOOKUP(A3063,SizeData!A$2:B$3839,2,FALSE)</f>
        <v/>
      </c>
      <c r="D3063" s="6" t="n">
        <v>10</v>
      </c>
      <c r="E3063" s="6" t="inlineStr">
        <is>
          <t xml:space="preserve"> R1317246</t>
        </is>
      </c>
      <c r="F3063" s="2" t="n">
        <v>44510</v>
      </c>
      <c r="G3063" s="1" t="n"/>
    </row>
    <row r="3064">
      <c r="A3064" s="6" t="n">
        <v>65209</v>
      </c>
      <c r="B3064" s="6" t="inlineStr">
        <is>
          <t>TEQUILA ROSE STRAWBERRY LIQUEUR</t>
        </is>
      </c>
      <c r="C3064" s="7">
        <f>VLOOKUP(A3064,SizeData!A$2:B$3839,2,FALSE)</f>
        <v/>
      </c>
      <c r="D3064" s="6" t="n">
        <v>1</v>
      </c>
      <c r="E3064" s="6" t="inlineStr">
        <is>
          <t>R1109381</t>
        </is>
      </c>
      <c r="F3064" s="2" t="n">
        <v>44331</v>
      </c>
      <c r="G3064" s="1" t="n"/>
    </row>
    <row r="3065">
      <c r="A3065" s="6" t="n">
        <v>65209</v>
      </c>
      <c r="B3065" s="6" t="inlineStr">
        <is>
          <t>TEQUILA ROSE STRAWBERRY LIQUEUR</t>
        </is>
      </c>
      <c r="C3065" s="7">
        <f>VLOOKUP(A3065,SizeData!A$2:B$3839,2,FALSE)</f>
        <v/>
      </c>
      <c r="D3065" s="6" t="n">
        <v>0</v>
      </c>
      <c r="E3065" s="6" t="inlineStr">
        <is>
          <t>R1240644</t>
        </is>
      </c>
      <c r="F3065" s="2" t="n">
        <v>44440</v>
      </c>
      <c r="G3065" s="1" t="n"/>
    </row>
    <row r="3066">
      <c r="A3066" s="6" t="n">
        <v>65209</v>
      </c>
      <c r="B3066" s="6" t="inlineStr">
        <is>
          <t>TEQUILA ROSE STRAWBERRY LIQUEUR</t>
        </is>
      </c>
      <c r="C3066" s="7">
        <f>VLOOKUP(A3066,SizeData!A$2:B$3839,2,FALSE)</f>
        <v/>
      </c>
      <c r="D3066" s="6" t="n">
        <v>1</v>
      </c>
      <c r="E3066" s="6" t="inlineStr">
        <is>
          <t>R1228454</t>
        </is>
      </c>
      <c r="F3066" s="2" t="n">
        <v>44445</v>
      </c>
      <c r="G3066" s="1" t="n"/>
    </row>
    <row r="3067">
      <c r="A3067" s="6" t="n">
        <v>65209</v>
      </c>
      <c r="B3067" s="6" t="inlineStr">
        <is>
          <t>TEQUILA ROSE STRAWBERRY LIQUEUR</t>
        </is>
      </c>
      <c r="C3067" s="7">
        <f>VLOOKUP(A3067,SizeData!A$2:B$3839,2,FALSE)</f>
        <v/>
      </c>
      <c r="D3067" s="6" t="n">
        <v>0</v>
      </c>
      <c r="E3067" s="6" t="inlineStr">
        <is>
          <t>R1239466</t>
        </is>
      </c>
      <c r="F3067" s="2" t="n">
        <v>44454</v>
      </c>
      <c r="G3067" s="1" t="n"/>
    </row>
    <row r="3068">
      <c r="A3068" s="6" t="n">
        <v>65209</v>
      </c>
      <c r="B3068" s="6" t="inlineStr">
        <is>
          <t>TEQUILA ROSE STRAWBERRY LIQUEUR</t>
        </is>
      </c>
      <c r="C3068" s="7">
        <f>VLOOKUP(A3068,SizeData!A$2:B$3839,2,FALSE)</f>
        <v/>
      </c>
      <c r="D3068" s="6" t="n">
        <v>2</v>
      </c>
      <c r="E3068" s="6" t="inlineStr">
        <is>
          <t>R1268210</t>
        </is>
      </c>
      <c r="F3068" s="2" t="n">
        <v>44469</v>
      </c>
      <c r="G3068" s="1" t="n"/>
    </row>
    <row r="3069">
      <c r="A3069" s="6" t="n">
        <v>65254</v>
      </c>
      <c r="B3069" s="6" t="inlineStr">
        <is>
          <t>JAGERMEISTER</t>
        </is>
      </c>
      <c r="C3069" s="7">
        <f>VLOOKUP(A3069,SizeData!A$2:B$3839,2,FALSE)</f>
        <v/>
      </c>
      <c r="D3069" s="6" t="n">
        <v>1</v>
      </c>
      <c r="E3069" s="6" t="inlineStr">
        <is>
          <t>R1272603</t>
        </is>
      </c>
      <c r="F3069" s="2" t="n">
        <v>44473</v>
      </c>
      <c r="G3069" s="1" t="n"/>
    </row>
    <row r="3070">
      <c r="A3070" s="6" t="n">
        <v>65256</v>
      </c>
      <c r="B3070" s="6" t="inlineStr">
        <is>
          <t>JAGERMEISTER</t>
        </is>
      </c>
      <c r="C3070" s="7">
        <f>VLOOKUP(A3070,SizeData!A$2:B$3839,2,FALSE)</f>
        <v/>
      </c>
      <c r="D3070" s="6" t="n">
        <v>1</v>
      </c>
      <c r="E3070" s="6" t="inlineStr">
        <is>
          <t>R1175838</t>
        </is>
      </c>
      <c r="F3070" s="2" t="n">
        <v>44389</v>
      </c>
      <c r="G3070" s="1" t="n"/>
    </row>
    <row r="3071">
      <c r="A3071" s="6" t="n">
        <v>65258</v>
      </c>
      <c r="B3071" s="6" t="inlineStr">
        <is>
          <t>JAGERMEISTER</t>
        </is>
      </c>
      <c r="C3071" s="7">
        <f>VLOOKUP(A3071,SizeData!A$2:B$3839,2,FALSE)</f>
        <v/>
      </c>
      <c r="D3071" s="6" t="n">
        <v>1</v>
      </c>
      <c r="E3071" s="6" t="inlineStr">
        <is>
          <t>R1218514</t>
        </is>
      </c>
      <c r="F3071" s="2" t="n">
        <v>44432</v>
      </c>
      <c r="G3071" s="1" t="n"/>
    </row>
    <row r="3072">
      <c r="A3072" s="6" t="n">
        <v>65332</v>
      </c>
      <c r="B3072" s="6" t="inlineStr">
        <is>
          <t>CIROC WHITE GRAPE</t>
        </is>
      </c>
      <c r="C3072" s="7">
        <f>VLOOKUP(A3072,SizeData!A$2:B$3839,2,FALSE)</f>
        <v/>
      </c>
      <c r="D3072" s="6" t="n">
        <v>1</v>
      </c>
      <c r="E3072" s="6" t="inlineStr">
        <is>
          <t>R993178</t>
        </is>
      </c>
      <c r="F3072" s="2" t="n">
        <v>44218</v>
      </c>
      <c r="G3072" s="1" t="n"/>
    </row>
    <row r="3073">
      <c r="A3073" s="6" t="n">
        <v>65332</v>
      </c>
      <c r="B3073" s="6" t="inlineStr">
        <is>
          <t>CIROC WHITE GRAPE</t>
        </is>
      </c>
      <c r="C3073" s="7">
        <f>VLOOKUP(A3073,SizeData!A$2:B$3839,2,FALSE)</f>
        <v/>
      </c>
      <c r="D3073" s="6" t="n">
        <v>1</v>
      </c>
      <c r="E3073" s="6" t="inlineStr">
        <is>
          <t>R1013727</t>
        </is>
      </c>
      <c r="F3073" s="2" t="n">
        <v>44229</v>
      </c>
      <c r="G3073" s="1" t="n"/>
    </row>
    <row r="3074">
      <c r="A3074" s="6" t="n">
        <v>65332</v>
      </c>
      <c r="B3074" s="6" t="inlineStr">
        <is>
          <t>CIROC WHITE GRAPE</t>
        </is>
      </c>
      <c r="C3074" s="7">
        <f>VLOOKUP(A3074,SizeData!A$2:B$3839,2,FALSE)</f>
        <v/>
      </c>
      <c r="D3074" s="6" t="n">
        <v>1</v>
      </c>
      <c r="E3074" s="6" t="inlineStr">
        <is>
          <t>R1028665</t>
        </is>
      </c>
      <c r="F3074" s="2" t="n">
        <v>44247</v>
      </c>
      <c r="G3074" s="1" t="n"/>
    </row>
    <row r="3075">
      <c r="A3075" s="6" t="n">
        <v>65332</v>
      </c>
      <c r="B3075" s="6" t="inlineStr">
        <is>
          <t>CIROC WHITE GRAPE</t>
        </is>
      </c>
      <c r="C3075" s="7">
        <f>VLOOKUP(A3075,SizeData!A$2:B$3839,2,FALSE)</f>
        <v/>
      </c>
      <c r="D3075" s="6" t="n">
        <v>1</v>
      </c>
      <c r="E3075" s="6" t="inlineStr">
        <is>
          <t>R1074089</t>
        </is>
      </c>
      <c r="F3075" s="2" t="n">
        <v>44288</v>
      </c>
      <c r="G3075" s="1" t="n"/>
    </row>
    <row r="3076">
      <c r="A3076" s="6" t="n">
        <v>65332</v>
      </c>
      <c r="B3076" s="6" t="inlineStr">
        <is>
          <t>CIROC WHITE GRAPE</t>
        </is>
      </c>
      <c r="C3076" s="7">
        <f>VLOOKUP(A3076,SizeData!A$2:B$3839,2,FALSE)</f>
        <v/>
      </c>
      <c r="D3076" s="6" t="n">
        <v>1</v>
      </c>
      <c r="E3076" s="6" t="inlineStr">
        <is>
          <t>R1135118</t>
        </is>
      </c>
      <c r="F3076" s="2" t="n">
        <v>44321</v>
      </c>
      <c r="G3076" s="1" t="n"/>
    </row>
    <row r="3077">
      <c r="A3077" s="6" t="n">
        <v>65368</v>
      </c>
      <c r="B3077" s="6" t="inlineStr">
        <is>
          <t>JAGERMEISTER COLD BREW COFFEE</t>
        </is>
      </c>
      <c r="C3077" s="7">
        <f>VLOOKUP(A3077,SizeData!A$2:B$3839,2,FALSE)</f>
        <v/>
      </c>
      <c r="D3077" s="6" t="n">
        <v>1</v>
      </c>
      <c r="E3077" s="6" t="inlineStr">
        <is>
          <t>R1091962</t>
        </is>
      </c>
      <c r="F3077" s="2" t="n">
        <v>44295</v>
      </c>
      <c r="G3077" s="1" t="n"/>
    </row>
    <row r="3078">
      <c r="A3078" s="6" t="n">
        <v>65790</v>
      </c>
      <c r="B3078" s="6" t="inlineStr">
        <is>
          <t>MARTELL BLUE SWIFT</t>
        </is>
      </c>
      <c r="C3078" s="7">
        <f>VLOOKUP(A3078,SizeData!A$2:B$3839,2,FALSE)</f>
        <v/>
      </c>
      <c r="D3078" s="6" t="n">
        <v>4</v>
      </c>
      <c r="E3078" s="6" t="inlineStr">
        <is>
          <t>R1047674</t>
        </is>
      </c>
      <c r="F3078" s="2" t="n">
        <v>44258</v>
      </c>
      <c r="G3078" s="1" t="n"/>
    </row>
    <row r="3079">
      <c r="A3079" s="6" t="n">
        <v>65790</v>
      </c>
      <c r="B3079" s="6" t="inlineStr">
        <is>
          <t>MARTELL BLUE SWIFT</t>
        </is>
      </c>
      <c r="C3079" s="7">
        <f>VLOOKUP(A3079,SizeData!A$2:B$3839,2,FALSE)</f>
        <v/>
      </c>
      <c r="D3079" s="6" t="n">
        <v>0</v>
      </c>
      <c r="E3079" s="6" t="inlineStr">
        <is>
          <t>R1322242</t>
        </is>
      </c>
      <c r="F3079" s="2" t="n">
        <v>44509</v>
      </c>
      <c r="G3079" s="1" t="n"/>
    </row>
    <row r="3080">
      <c r="A3080" s="6" t="n">
        <v>65792</v>
      </c>
      <c r="B3080" s="6" t="inlineStr">
        <is>
          <t xml:space="preserve">
MARTELL BLUE SWIFT COGNAC BRAND</t>
        </is>
      </c>
      <c r="C3080" s="7">
        <f>VLOOKUP(A3080,SizeData!A$2:B$3839,2,FALSE)</f>
        <v/>
      </c>
      <c r="D3080" s="6" t="n">
        <v>3</v>
      </c>
      <c r="E3080" s="6" t="inlineStr">
        <is>
          <t>R986958</t>
        </is>
      </c>
      <c r="F3080" s="2" t="n">
        <v>44200</v>
      </c>
      <c r="G3080" s="1" t="n"/>
    </row>
    <row r="3081">
      <c r="A3081" s="6" t="n">
        <v>65792</v>
      </c>
      <c r="B3081" s="6" t="inlineStr">
        <is>
          <t>MARTELL BLUE SWIFT COGNAC BRANDY</t>
        </is>
      </c>
      <c r="C3081" s="7">
        <f>VLOOKUP(A3081,SizeData!A$2:B$3839,2,FALSE)</f>
        <v/>
      </c>
      <c r="D3081" s="6" t="n">
        <v>12</v>
      </c>
      <c r="E3081" s="6" t="inlineStr">
        <is>
          <t>R1047674</t>
        </is>
      </c>
      <c r="F3081" s="2" t="n">
        <v>44258</v>
      </c>
      <c r="G3081" s="1" t="n"/>
    </row>
    <row r="3082">
      <c r="A3082" s="6" t="n">
        <v>65792</v>
      </c>
      <c r="B3082" s="6" t="inlineStr">
        <is>
          <t>MARTELL BLUE SWIFT COGNAC BRANDY</t>
        </is>
      </c>
      <c r="C3082" s="7">
        <f>VLOOKUP(A3082,SizeData!A$2:B$3839,2,FALSE)</f>
        <v/>
      </c>
      <c r="D3082" s="6" t="n">
        <v>9</v>
      </c>
      <c r="E3082" s="6" t="inlineStr">
        <is>
          <t>R1314304</t>
        </is>
      </c>
      <c r="F3082" s="2" t="n">
        <v>44509</v>
      </c>
      <c r="G3082" s="1" t="n"/>
    </row>
    <row r="3083">
      <c r="A3083" s="6" t="n">
        <v>65793</v>
      </c>
      <c r="B3083" s="6" t="inlineStr">
        <is>
          <t>MARTELL BLUESWIFT</t>
        </is>
      </c>
      <c r="C3083" s="7">
        <f>VLOOKUP(A3083,SizeData!A$2:B$3839,2,FALSE)</f>
        <v/>
      </c>
      <c r="D3083" s="6" t="n">
        <v>7</v>
      </c>
      <c r="E3083" s="6" t="inlineStr">
        <is>
          <t>R1083655</t>
        </is>
      </c>
      <c r="F3083" s="2" t="n">
        <v>44294</v>
      </c>
      <c r="G3083" s="1" t="n"/>
    </row>
    <row r="3084">
      <c r="A3084" s="6" t="n">
        <v>65793</v>
      </c>
      <c r="B3084" s="6" t="inlineStr">
        <is>
          <t>MARTELL BLUESWIFT</t>
        </is>
      </c>
      <c r="C3084" s="7">
        <f>VLOOKUP(A3084,SizeData!A$2:B$3839,2,FALSE)</f>
        <v/>
      </c>
      <c r="D3084" s="6" t="n">
        <v>4</v>
      </c>
      <c r="E3084" s="6" t="inlineStr">
        <is>
          <t>R1154324</t>
        </is>
      </c>
      <c r="F3084" s="2" t="n">
        <v>44378</v>
      </c>
      <c r="G3084" s="1" t="n"/>
    </row>
    <row r="3085">
      <c r="A3085" s="6" t="n">
        <v>66052</v>
      </c>
      <c r="B3085" s="6" t="inlineStr">
        <is>
          <t>NUVO VODKA &amp; CHAMPAGNE LIQUEUR</t>
        </is>
      </c>
      <c r="C3085" s="7">
        <f>VLOOKUP(A3085,SizeData!A$2:B$3839,2,FALSE)</f>
        <v/>
      </c>
      <c r="D3085" s="6" t="n">
        <v>1</v>
      </c>
      <c r="E3085" s="6" t="inlineStr">
        <is>
          <t>R1067006</t>
        </is>
      </c>
      <c r="F3085" s="2" t="n">
        <v>44269</v>
      </c>
      <c r="G3085" s="1" t="n"/>
    </row>
    <row r="3086">
      <c r="A3086" s="6" t="n">
        <v>66052</v>
      </c>
      <c r="B3086" s="6" t="inlineStr">
        <is>
          <t>NUVO VODKA &amp; CHAMPAGNE LIQUEUR</t>
        </is>
      </c>
      <c r="C3086" s="7">
        <f>VLOOKUP(A3086,SizeData!A$2:B$3839,2,FALSE)</f>
        <v/>
      </c>
      <c r="D3086" s="6" t="n">
        <v>1</v>
      </c>
      <c r="E3086" s="6" t="inlineStr">
        <is>
          <t>R1074089</t>
        </is>
      </c>
      <c r="F3086" s="2" t="n">
        <v>44288</v>
      </c>
      <c r="G3086" s="1" t="n"/>
    </row>
    <row r="3087">
      <c r="A3087" s="6" t="n">
        <v>66052</v>
      </c>
      <c r="B3087" s="6" t="inlineStr">
        <is>
          <t>NUVO VODKA &amp; CHAMPAGNE LIQUEUR</t>
        </is>
      </c>
      <c r="C3087" s="7">
        <f>VLOOKUP(A3087,SizeData!A$2:B$3839,2,FALSE)</f>
        <v/>
      </c>
      <c r="D3087" s="6" t="n">
        <v>1</v>
      </c>
      <c r="E3087" s="6" t="inlineStr">
        <is>
          <t>R1267530</t>
        </is>
      </c>
      <c r="F3087" s="2" t="n">
        <v>44470</v>
      </c>
      <c r="G3087" s="1" t="n"/>
    </row>
    <row r="3088">
      <c r="A3088" s="6" t="n">
        <v>66293</v>
      </c>
      <c r="B3088" s="6" t="inlineStr">
        <is>
          <t>REMY MARTIN "V" GRAPE BRANDY</t>
        </is>
      </c>
      <c r="C3088" s="7">
        <f>VLOOKUP(A3088,SizeData!A$2:B$3839,2,FALSE)</f>
        <v/>
      </c>
      <c r="D3088" s="6" t="n">
        <v>4</v>
      </c>
      <c r="E3088" s="6" t="inlineStr">
        <is>
          <t>R1008803</t>
        </is>
      </c>
      <c r="F3088" s="2" t="n">
        <v>44217</v>
      </c>
      <c r="G3088" s="1" t="n"/>
    </row>
    <row r="3089">
      <c r="A3089" s="6" t="n">
        <v>66293</v>
      </c>
      <c r="B3089" s="6" t="inlineStr">
        <is>
          <t>REMY MARTIN "V" GRAPE BRANDY</t>
        </is>
      </c>
      <c r="C3089" s="7">
        <f>VLOOKUP(A3089,SizeData!A$2:B$3839,2,FALSE)</f>
        <v/>
      </c>
      <c r="D3089" s="6" t="n">
        <v>5</v>
      </c>
      <c r="E3089" s="6" t="inlineStr">
        <is>
          <t>R1240298</t>
        </is>
      </c>
      <c r="F3089" s="2" t="n">
        <v>44446</v>
      </c>
      <c r="G3089" s="1" t="n"/>
    </row>
    <row r="3090">
      <c r="A3090" s="6" t="n">
        <v>66296</v>
      </c>
      <c r="B3090" s="6" t="inlineStr">
        <is>
          <t>REMY MARTIN "V" GRAPE BRANDY</t>
        </is>
      </c>
      <c r="C3090" s="7">
        <f>VLOOKUP(A3090,SizeData!A$2:B$3839,2,FALSE)</f>
        <v/>
      </c>
      <c r="D3090" s="6" t="n">
        <v>3</v>
      </c>
      <c r="E3090" s="6" t="inlineStr">
        <is>
          <t>R1008803</t>
        </is>
      </c>
      <c r="F3090" s="2" t="n">
        <v>44217</v>
      </c>
      <c r="G3090" s="1" t="n"/>
    </row>
    <row r="3091">
      <c r="A3091" s="6" t="n">
        <v>66296</v>
      </c>
      <c r="B3091" s="6" t="inlineStr">
        <is>
          <t>REMY MARTIN "V" GRAPE BRANDY</t>
        </is>
      </c>
      <c r="C3091" s="7">
        <f>VLOOKUP(A3091,SizeData!A$2:B$3839,2,FALSE)</f>
        <v/>
      </c>
      <c r="D3091" s="6" t="n">
        <v>10</v>
      </c>
      <c r="E3091" s="6" t="inlineStr">
        <is>
          <t>R1083851</t>
        </is>
      </c>
      <c r="F3091" s="2" t="n">
        <v>44298</v>
      </c>
      <c r="G3091" s="1" t="n"/>
    </row>
    <row r="3092">
      <c r="A3092" s="6" t="n">
        <v>66296</v>
      </c>
      <c r="B3092" s="6" t="inlineStr">
        <is>
          <t>REMY MARTIN "V" GRAPE BRANDY</t>
        </is>
      </c>
      <c r="C3092" s="7">
        <f>VLOOKUP(A3092,SizeData!A$2:B$3839,2,FALSE)</f>
        <v/>
      </c>
      <c r="D3092" s="6" t="n">
        <v>10</v>
      </c>
      <c r="E3092" s="6" t="inlineStr">
        <is>
          <t>R1240298</t>
        </is>
      </c>
      <c r="F3092" s="2" t="n">
        <v>44446</v>
      </c>
      <c r="G3092" s="1" t="n"/>
    </row>
    <row r="3093">
      <c r="A3093" s="6" t="n">
        <v>66296</v>
      </c>
      <c r="B3093" s="6" t="inlineStr">
        <is>
          <t>REMY MARTIN "V" GRAPE BRANDY</t>
        </is>
      </c>
      <c r="C3093" s="7">
        <f>VLOOKUP(A3093,SizeData!A$2:B$3839,2,FALSE)</f>
        <v/>
      </c>
      <c r="D3093" s="6" t="n">
        <v>0</v>
      </c>
      <c r="E3093" s="6" t="inlineStr">
        <is>
          <t>R1313912</t>
        </is>
      </c>
      <c r="F3093" s="2" t="n">
        <v>44508</v>
      </c>
      <c r="G3093" s="1" t="n"/>
    </row>
    <row r="3094">
      <c r="A3094" s="6" t="n">
        <v>66580</v>
      </c>
      <c r="B3094" s="6" t="inlineStr">
        <is>
          <t>SALVADOR'S PREMIUM MARGARITA</t>
        </is>
      </c>
      <c r="C3094" s="7">
        <f>VLOOKUP(A3094,SizeData!A$2:B$3839,2,FALSE)</f>
        <v/>
      </c>
      <c r="D3094" s="6" t="n">
        <v>1</v>
      </c>
      <c r="E3094" s="6" t="inlineStr">
        <is>
          <t>R1028108</t>
        </is>
      </c>
      <c r="F3094" s="2" t="n">
        <v>44229</v>
      </c>
      <c r="G3094" s="1" t="n"/>
    </row>
    <row r="3095">
      <c r="A3095" s="6" t="n">
        <v>66580</v>
      </c>
      <c r="B3095" s="6" t="inlineStr">
        <is>
          <t>SALVADOR'S PREMIUM MARGARITA</t>
        </is>
      </c>
      <c r="C3095" s="7">
        <f>VLOOKUP(A3095,SizeData!A$2:B$3839,2,FALSE)</f>
        <v/>
      </c>
      <c r="D3095" s="6" t="n">
        <v>1</v>
      </c>
      <c r="E3095" s="6" t="inlineStr">
        <is>
          <t>R1112663</t>
        </is>
      </c>
      <c r="F3095" s="2" t="n">
        <v>44324</v>
      </c>
      <c r="G3095" s="1" t="n"/>
    </row>
    <row r="3096">
      <c r="A3096" s="6" t="n">
        <v>66580</v>
      </c>
      <c r="B3096" s="6" t="inlineStr">
        <is>
          <t>SALVADOR'S PREMIUM MARGARITA</t>
        </is>
      </c>
      <c r="C3096" s="7">
        <f>VLOOKUP(A3096,SizeData!A$2:B$3839,2,FALSE)</f>
        <v/>
      </c>
      <c r="D3096" s="6" t="n">
        <v>1</v>
      </c>
      <c r="E3096" s="6" t="inlineStr">
        <is>
          <t>R1246630</t>
        </is>
      </c>
      <c r="F3096" s="2" t="n">
        <v>44450</v>
      </c>
      <c r="G3096" s="1" t="n"/>
    </row>
    <row r="3097">
      <c r="A3097" s="6" t="n">
        <v>66580</v>
      </c>
      <c r="B3097" s="6" t="inlineStr">
        <is>
          <t>SALVADOR'S PREMIUM MARGARITA</t>
        </is>
      </c>
      <c r="C3097" s="7">
        <f>VLOOKUP(A3097,SizeData!A$2:B$3839,2,FALSE)</f>
        <v/>
      </c>
      <c r="D3097" s="6" t="n">
        <v>3</v>
      </c>
      <c r="E3097" s="6" t="inlineStr">
        <is>
          <t>R1318325</t>
        </is>
      </c>
      <c r="F3097" s="2" t="n">
        <v>44509</v>
      </c>
      <c r="G3097" s="1" t="n"/>
    </row>
    <row r="3098">
      <c r="A3098" s="6" t="n">
        <v>66836</v>
      </c>
      <c r="B3098" s="6" t="inlineStr">
        <is>
          <t>ST GERMAIN ELDERFLOWER LIQUEUR</t>
        </is>
      </c>
      <c r="C3098" s="7">
        <f>VLOOKUP(A3098,SizeData!A$2:B$3839,2,FALSE)</f>
        <v/>
      </c>
      <c r="D3098" s="6" t="n">
        <v>1</v>
      </c>
      <c r="E3098" s="6" t="inlineStr">
        <is>
          <t>R1074089</t>
        </is>
      </c>
      <c r="F3098" s="2" t="n">
        <v>44288</v>
      </c>
      <c r="G3098" s="1" t="n"/>
    </row>
    <row r="3099">
      <c r="A3099" s="6" t="n">
        <v>66836</v>
      </c>
      <c r="B3099" s="6" t="inlineStr">
        <is>
          <t>ST GERMAIN ELDERFLOWER LIQUEUR</t>
        </is>
      </c>
      <c r="C3099" s="7">
        <f>VLOOKUP(A3099,SizeData!A$2:B$3839,2,FALSE)</f>
        <v/>
      </c>
      <c r="D3099" s="6" t="n">
        <v>1</v>
      </c>
      <c r="E3099" s="6" t="inlineStr">
        <is>
          <t>R1089290</t>
        </is>
      </c>
      <c r="F3099" s="2" t="n">
        <v>44309</v>
      </c>
      <c r="G3099" s="1" t="n"/>
    </row>
    <row r="3100">
      <c r="A3100" s="6" t="n">
        <v>66836</v>
      </c>
      <c r="B3100" s="6" t="inlineStr">
        <is>
          <t>ST GERMAIN ELDERFLOWER LIQUEUR</t>
        </is>
      </c>
      <c r="C3100" s="7">
        <f>VLOOKUP(A3100,SizeData!A$2:B$3839,2,FALSE)</f>
        <v/>
      </c>
      <c r="D3100" s="6" t="n">
        <v>1</v>
      </c>
      <c r="E3100" s="6" t="inlineStr">
        <is>
          <t>R1189136</t>
        </is>
      </c>
      <c r="F3100" s="2" t="n">
        <v>44410</v>
      </c>
      <c r="G3100" s="1" t="n"/>
    </row>
    <row r="3101">
      <c r="A3101" s="6" t="n">
        <v>66936</v>
      </c>
      <c r="B3101" s="6" t="inlineStr">
        <is>
          <t>GRANGALA</t>
        </is>
      </c>
      <c r="C3101" s="7">
        <f>VLOOKUP(A3101,SizeData!A$2:B$3839,2,FALSE)</f>
        <v/>
      </c>
      <c r="D3101" s="6" t="n">
        <v>1</v>
      </c>
      <c r="E3101" s="6" t="inlineStr">
        <is>
          <t>R1200565</t>
        </is>
      </c>
      <c r="F3101" s="2" t="n">
        <v>44411</v>
      </c>
      <c r="G3101" s="1" t="n"/>
    </row>
    <row r="3102">
      <c r="A3102" s="6" t="n">
        <v>67006</v>
      </c>
      <c r="B3102" s="6" t="inlineStr">
        <is>
          <t>MIDORI MELON</t>
        </is>
      </c>
      <c r="C3102" s="7">
        <f>VLOOKUP(A3102,SizeData!A$2:B$3839,2,FALSE)</f>
        <v/>
      </c>
      <c r="D3102" s="6" t="n">
        <v>1</v>
      </c>
      <c r="E3102" s="6" t="inlineStr">
        <is>
          <t>R1300187</t>
        </is>
      </c>
      <c r="F3102" s="2" t="n">
        <v>44494</v>
      </c>
      <c r="G3102" s="1" t="n"/>
    </row>
    <row r="3103">
      <c r="A3103" s="6" t="n">
        <v>67037</v>
      </c>
      <c r="B3103" s="6" t="inlineStr">
        <is>
          <t>TWISTED SHOTZ BUTTERY NIPPLE</t>
        </is>
      </c>
      <c r="C3103" s="7">
        <f>VLOOKUP(A3103,SizeData!A$2:B$3839,2,FALSE)</f>
        <v/>
      </c>
      <c r="D3103" s="6" t="n">
        <v>1</v>
      </c>
      <c r="E3103" s="6" t="inlineStr">
        <is>
          <t>R1015058</t>
        </is>
      </c>
      <c r="F3103" s="2" t="n">
        <v>44217</v>
      </c>
      <c r="G3103" s="1" t="n"/>
    </row>
    <row r="3104">
      <c r="A3104" s="6" t="n">
        <v>67037</v>
      </c>
      <c r="B3104" s="6" t="inlineStr">
        <is>
          <t>TWISTED SHOTZ BUTTERY NIPPLE</t>
        </is>
      </c>
      <c r="C3104" s="7">
        <f>VLOOKUP(A3104,SizeData!A$2:B$3839,2,FALSE)</f>
        <v/>
      </c>
      <c r="D3104" s="6" t="n">
        <v>2</v>
      </c>
      <c r="E3104" s="6" t="inlineStr">
        <is>
          <t>R1181946</t>
        </is>
      </c>
      <c r="F3104" s="2" t="n">
        <v>44398</v>
      </c>
      <c r="G3104" s="1" t="n"/>
    </row>
    <row r="3105">
      <c r="A3105" s="6" t="n">
        <v>67037</v>
      </c>
      <c r="B3105" s="6" t="inlineStr">
        <is>
          <t>TWISTED SHOTZ BUTTERY NIPPLE</t>
        </is>
      </c>
      <c r="C3105" s="7">
        <f>VLOOKUP(A3105,SizeData!A$2:B$3839,2,FALSE)</f>
        <v/>
      </c>
      <c r="D3105" s="6" t="n">
        <v>1</v>
      </c>
      <c r="E3105" s="6" t="inlineStr">
        <is>
          <t>R1183128</t>
        </is>
      </c>
      <c r="F3105" s="2" t="n">
        <v>44398</v>
      </c>
      <c r="G3105" s="1" t="n"/>
    </row>
    <row r="3106">
      <c r="A3106" s="6" t="n">
        <v>67037</v>
      </c>
      <c r="B3106" s="6" t="inlineStr">
        <is>
          <t>TWISTED SHOTZ BUTTERY NIPPLE</t>
        </is>
      </c>
      <c r="C3106" s="7">
        <f>VLOOKUP(A3106,SizeData!A$2:B$3839,2,FALSE)</f>
        <v/>
      </c>
      <c r="D3106" s="6" t="n">
        <v>1</v>
      </c>
      <c r="E3106" s="6" t="inlineStr">
        <is>
          <t>R1241453</t>
        </is>
      </c>
      <c r="F3106" s="2" t="n">
        <v>44448</v>
      </c>
      <c r="G3106" s="1" t="n"/>
    </row>
    <row r="3107">
      <c r="A3107" s="6" t="n">
        <v>67037</v>
      </c>
      <c r="B3107" s="6" t="inlineStr">
        <is>
          <t>TWISTED SHOTZ BUTTERY NIPPLE</t>
        </is>
      </c>
      <c r="C3107" s="7">
        <f>VLOOKUP(A3107,SizeData!A$2:B$3839,2,FALSE)</f>
        <v/>
      </c>
      <c r="D3107" s="6" t="n">
        <v>6</v>
      </c>
      <c r="E3107" s="6" t="inlineStr">
        <is>
          <t>R1267252</t>
        </is>
      </c>
      <c r="F3107" s="2" t="n">
        <v>44470</v>
      </c>
      <c r="G3107" s="1" t="n"/>
    </row>
    <row r="3108">
      <c r="A3108" s="6" t="n">
        <v>67043</v>
      </c>
      <c r="B3108" s="6" t="inlineStr">
        <is>
          <t>TWISTED SHOTZ PORN STAR</t>
        </is>
      </c>
      <c r="C3108" s="7">
        <f>VLOOKUP(A3108,SizeData!A$2:B$3839,2,FALSE)</f>
        <v/>
      </c>
      <c r="D3108" s="6" t="n">
        <v>1</v>
      </c>
      <c r="E3108" s="6" t="inlineStr">
        <is>
          <t>R1015058</t>
        </is>
      </c>
      <c r="F3108" s="2" t="n">
        <v>44217</v>
      </c>
      <c r="G3108" s="1" t="n"/>
    </row>
    <row r="3109">
      <c r="A3109" s="6" t="n">
        <v>67043</v>
      </c>
      <c r="B3109" s="6" t="inlineStr">
        <is>
          <t>TWISTED SHOTZ PORN STAR</t>
        </is>
      </c>
      <c r="C3109" s="7">
        <f>VLOOKUP(A3109,SizeData!A$2:B$3839,2,FALSE)</f>
        <v/>
      </c>
      <c r="D3109" s="6" t="n">
        <v>0</v>
      </c>
      <c r="E3109" s="6" t="inlineStr">
        <is>
          <t>R1301289</t>
        </is>
      </c>
      <c r="F3109" s="2" t="n">
        <v>44499</v>
      </c>
      <c r="G3109" s="1" t="n"/>
    </row>
    <row r="3110">
      <c r="A3110" s="6" t="n">
        <v>67044</v>
      </c>
      <c r="B3110" s="6" t="inlineStr">
        <is>
          <t>TWISTED SHOTZ RATTLESNAKE</t>
        </is>
      </c>
      <c r="C3110" s="7">
        <f>VLOOKUP(A3110,SizeData!A$2:B$3839,2,FALSE)</f>
        <v/>
      </c>
      <c r="D3110" s="6" t="n">
        <v>1</v>
      </c>
      <c r="E3110" s="6" t="inlineStr">
        <is>
          <t>R1015058</t>
        </is>
      </c>
      <c r="F3110" s="2" t="n">
        <v>44217</v>
      </c>
      <c r="G3110" s="1" t="n"/>
    </row>
    <row r="3111">
      <c r="A3111" s="6" t="n">
        <v>67044</v>
      </c>
      <c r="B3111" s="6" t="inlineStr">
        <is>
          <t>TWISTED SHOTZ RATTLESNAKE</t>
        </is>
      </c>
      <c r="C3111" s="7">
        <f>VLOOKUP(A3111,SizeData!A$2:B$3839,2,FALSE)</f>
        <v/>
      </c>
      <c r="D3111" s="6" t="n">
        <v>1</v>
      </c>
      <c r="E3111" s="6" t="inlineStr">
        <is>
          <t>R1137831</t>
        </is>
      </c>
      <c r="F3111" s="2" t="n">
        <v>44348</v>
      </c>
      <c r="G3111" s="1" t="n"/>
    </row>
    <row r="3112">
      <c r="A3112" s="6" t="n">
        <v>67044</v>
      </c>
      <c r="B3112" s="6" t="inlineStr">
        <is>
          <t>TWISTED SHOTZ RATTLESNAKE</t>
        </is>
      </c>
      <c r="C3112" s="7">
        <f>VLOOKUP(A3112,SizeData!A$2:B$3839,2,FALSE)</f>
        <v/>
      </c>
      <c r="D3112" s="6" t="n">
        <v>1</v>
      </c>
      <c r="E3112" s="6" t="inlineStr">
        <is>
          <t>R1183128</t>
        </is>
      </c>
      <c r="F3112" s="2" t="n">
        <v>44398</v>
      </c>
      <c r="G3112" s="1" t="n"/>
    </row>
    <row r="3113">
      <c r="A3113" s="6" t="n">
        <v>67044</v>
      </c>
      <c r="B3113" s="6" t="inlineStr">
        <is>
          <t>TWISTED SHOTZ RATTLESNAKE</t>
        </is>
      </c>
      <c r="C3113" s="7">
        <f>VLOOKUP(A3113,SizeData!A$2:B$3839,2,FALSE)</f>
        <v/>
      </c>
      <c r="D3113" s="6" t="n">
        <v>3</v>
      </c>
      <c r="E3113" s="6" t="inlineStr">
        <is>
          <t>R1226354</t>
        </is>
      </c>
      <c r="F3113" s="2" t="n">
        <v>44434</v>
      </c>
      <c r="G3113" s="1" t="n"/>
    </row>
    <row r="3114">
      <c r="A3114" s="6" t="n">
        <v>67075</v>
      </c>
      <c r="B3114" s="6" t="inlineStr">
        <is>
          <t>TWISTED SHOTZ SEX ON THE BEACH</t>
        </is>
      </c>
      <c r="C3114" s="7">
        <f>VLOOKUP(A3114,SizeData!A$2:B$3839,2,FALSE)</f>
        <v/>
      </c>
      <c r="D3114" s="6" t="n">
        <v>1</v>
      </c>
      <c r="E3114" s="6" t="inlineStr">
        <is>
          <t>R1015058</t>
        </is>
      </c>
      <c r="F3114" s="2" t="n">
        <v>44217</v>
      </c>
      <c r="G3114" s="1" t="n"/>
    </row>
    <row r="3115">
      <c r="A3115" s="6" t="n">
        <v>67192</v>
      </c>
      <c r="B3115" s="6" t="inlineStr">
        <is>
          <t>X-RATED FUSION LIQUEUR</t>
        </is>
      </c>
      <c r="C3115" s="7">
        <f>VLOOKUP(A3115,SizeData!A$2:B$3839,2,FALSE)</f>
        <v/>
      </c>
      <c r="D3115" s="6" t="n">
        <v>1</v>
      </c>
      <c r="E3115" s="6" t="inlineStr">
        <is>
          <t>R1116842</t>
        </is>
      </c>
      <c r="F3115" s="2" t="n">
        <v>44324</v>
      </c>
      <c r="G3115" s="1" t="n"/>
    </row>
    <row r="3116">
      <c r="A3116" s="6" t="n">
        <v>67192</v>
      </c>
      <c r="B3116" s="6" t="inlineStr">
        <is>
          <t>X-RATED FUSION LIQUEUR</t>
        </is>
      </c>
      <c r="C3116" s="7">
        <f>VLOOKUP(A3116,SizeData!A$2:B$3839,2,FALSE)</f>
        <v/>
      </c>
      <c r="D3116" s="6" t="n">
        <v>1</v>
      </c>
      <c r="E3116" s="6" t="inlineStr">
        <is>
          <t xml:space="preserve"> R1135574</t>
        </is>
      </c>
      <c r="F3116" s="2" t="n">
        <v>44338</v>
      </c>
      <c r="G3116" s="1" t="n"/>
    </row>
    <row r="3117">
      <c r="A3117" s="6" t="n">
        <v>67192</v>
      </c>
      <c r="B3117" s="6" t="inlineStr">
        <is>
          <t>X-RATED FUSION LIQUEUR</t>
        </is>
      </c>
      <c r="C3117" s="7">
        <f>VLOOKUP(A3117,SizeData!A$2:B$3839,2,FALSE)</f>
        <v/>
      </c>
      <c r="D3117" s="6" t="n">
        <v>1</v>
      </c>
      <c r="E3117" s="6" t="inlineStr">
        <is>
          <t>R1137596</t>
        </is>
      </c>
      <c r="F3117" s="2" t="n">
        <v>44359</v>
      </c>
      <c r="G3117" s="1" t="n"/>
    </row>
    <row r="3118">
      <c r="A3118" s="6" t="n">
        <v>67192</v>
      </c>
      <c r="B3118" s="6" t="inlineStr">
        <is>
          <t>X-RATED FUSION LIQUEUR</t>
        </is>
      </c>
      <c r="C3118" s="7">
        <f>VLOOKUP(A3118,SizeData!A$2:B$3839,2,FALSE)</f>
        <v/>
      </c>
      <c r="D3118" s="6" t="n">
        <v>5</v>
      </c>
      <c r="E3118" s="6" t="inlineStr">
        <is>
          <t xml:space="preserve"> R1264833</t>
        </is>
      </c>
      <c r="F3118" s="2" t="n">
        <v>44471</v>
      </c>
      <c r="G3118" s="1" t="n"/>
    </row>
    <row r="3119">
      <c r="A3119" s="6" t="n">
        <v>67192</v>
      </c>
      <c r="B3119" s="6" t="inlineStr">
        <is>
          <t>X-RATED FUSION LIQUEUR</t>
        </is>
      </c>
      <c r="C3119" s="7">
        <f>VLOOKUP(A3119,SizeData!A$2:B$3839,2,FALSE)</f>
        <v/>
      </c>
      <c r="D3119" s="6" t="n">
        <v>5</v>
      </c>
      <c r="E3119" s="6" t="inlineStr">
        <is>
          <t>R1296060</t>
        </is>
      </c>
      <c r="F3119" s="2" t="n">
        <v>44491</v>
      </c>
      <c r="G3119" s="1" t="n"/>
    </row>
    <row r="3120">
      <c r="A3120" s="6" t="n">
        <v>67526</v>
      </c>
      <c r="B3120" s="6" t="inlineStr">
        <is>
          <t>KAHLUA COFFEE</t>
        </is>
      </c>
      <c r="C3120" s="7">
        <f>VLOOKUP(A3120,SizeData!A$2:B$3839,2,FALSE)</f>
        <v/>
      </c>
      <c r="D3120" s="6" t="n">
        <v>1</v>
      </c>
      <c r="E3120" s="6" t="inlineStr">
        <is>
          <t>R1046038</t>
        </is>
      </c>
      <c r="F3120" s="2" t="n">
        <v>44256</v>
      </c>
      <c r="G3120" s="1" t="n"/>
    </row>
    <row r="3121">
      <c r="A3121" s="6" t="n">
        <v>67526</v>
      </c>
      <c r="B3121" s="6" t="inlineStr">
        <is>
          <t>KAHLUA COFFEE</t>
        </is>
      </c>
      <c r="C3121" s="7">
        <f>VLOOKUP(A3121,SizeData!A$2:B$3839,2,FALSE)</f>
        <v/>
      </c>
      <c r="D3121" s="6" t="n">
        <v>1</v>
      </c>
      <c r="E3121" s="6" t="inlineStr">
        <is>
          <t>R1360134</t>
        </is>
      </c>
      <c r="F3121" s="2" t="n">
        <v>44532</v>
      </c>
      <c r="G3121" s="1" t="n"/>
      <c r="H3121" s="27" t="n"/>
      <c r="I3121" s="28" t="n"/>
    </row>
    <row r="3122">
      <c r="A3122" s="6" t="n">
        <v>67536</v>
      </c>
      <c r="B3122" s="6" t="inlineStr">
        <is>
          <t>KAHLUA ESPECIAL</t>
        </is>
      </c>
      <c r="C3122" s="7">
        <f>VLOOKUP(A3122,SizeData!A$2:B$3839,2,FALSE)</f>
        <v/>
      </c>
      <c r="D3122" s="6" t="n">
        <v>0</v>
      </c>
      <c r="E3122" s="6" t="inlineStr">
        <is>
          <t>R1301983</t>
        </is>
      </c>
      <c r="F3122" s="2" t="n">
        <v>44501</v>
      </c>
      <c r="G3122" s="1" t="n"/>
      <c r="H3122" s="27" t="n"/>
      <c r="I3122" s="28" t="n"/>
    </row>
    <row r="3123">
      <c r="A3123" s="6" t="n">
        <v>67536</v>
      </c>
      <c r="B3123" s="6" t="inlineStr">
        <is>
          <t>KAHLUA ESPECIAL</t>
        </is>
      </c>
      <c r="C3123" s="7">
        <f>VLOOKUP(A3123,SizeData!A$2:B$3839,2,FALSE)</f>
        <v/>
      </c>
      <c r="D3123" s="6" t="n">
        <v>0</v>
      </c>
      <c r="E3123" s="6" t="inlineStr">
        <is>
          <t>R1302966</t>
        </is>
      </c>
      <c r="F3123" s="2" t="n">
        <v>44501</v>
      </c>
      <c r="G3123" s="1" t="n"/>
      <c r="H3123" s="27" t="n"/>
      <c r="I3123" s="28" t="n"/>
    </row>
    <row r="3124">
      <c r="A3124" s="6" t="n">
        <v>67550</v>
      </c>
      <c r="B3124" s="6" t="inlineStr">
        <is>
          <t>KAMORA COFFEE LIQUEUR PET</t>
        </is>
      </c>
      <c r="C3124" s="7">
        <f>VLOOKUP(A3124,SizeData!A$2:B$3839,2,FALSE)</f>
        <v/>
      </c>
      <c r="D3124" s="6" t="n">
        <v>1</v>
      </c>
      <c r="E3124" s="6" t="inlineStr">
        <is>
          <t xml:space="preserve"> R1264833</t>
        </is>
      </c>
      <c r="F3124" s="2" t="n">
        <v>44471</v>
      </c>
      <c r="G3124" s="1" t="n"/>
      <c r="H3124" s="27" t="n"/>
      <c r="I3124" s="28" t="n"/>
    </row>
    <row r="3125">
      <c r="A3125" s="6" t="n">
        <v>67550</v>
      </c>
      <c r="B3125" s="6" t="inlineStr">
        <is>
          <t>KAMORA COFFEE LIQUEUR PET</t>
        </is>
      </c>
      <c r="C3125" s="7">
        <f>VLOOKUP(A3125,SizeData!A$2:B$3839,2,FALSE)</f>
        <v/>
      </c>
      <c r="D3125" s="6" t="n">
        <v>2</v>
      </c>
      <c r="E3125" s="6" t="inlineStr">
        <is>
          <t>R1307558</t>
        </is>
      </c>
      <c r="F3125" s="2" t="n">
        <v>44502</v>
      </c>
      <c r="G3125" s="1" t="n"/>
      <c r="H3125" s="27" t="n"/>
      <c r="I3125" s="28" t="n"/>
    </row>
    <row r="3126">
      <c r="A3126" s="6" t="n">
        <v>67550</v>
      </c>
      <c r="B3126" s="6" t="inlineStr">
        <is>
          <t>KAMORA COFFEE LIQUEUR PET</t>
        </is>
      </c>
      <c r="C3126" s="7">
        <f>VLOOKUP(A3126,SizeData!A$2:B$3839,2,FALSE)</f>
        <v/>
      </c>
      <c r="D3126" s="6" t="n">
        <v>2</v>
      </c>
      <c r="E3126" s="6" t="inlineStr">
        <is>
          <t>R1329103</t>
        </is>
      </c>
      <c r="F3126" s="2" t="n">
        <v>44518</v>
      </c>
      <c r="G3126" s="1" t="n"/>
      <c r="H3126" s="27" t="n"/>
      <c r="I3126" s="28" t="n"/>
    </row>
    <row r="3127">
      <c r="A3127" s="6" t="n">
        <v>67550</v>
      </c>
      <c r="B3127" s="6" t="inlineStr">
        <is>
          <t>KAMORA COFFEE LIQUEUR PET</t>
        </is>
      </c>
      <c r="C3127" s="7">
        <f>VLOOKUP(A3127,SizeData!A$2:B$3839,2,FALSE)</f>
        <v/>
      </c>
      <c r="D3127" s="6" t="n">
        <v>0</v>
      </c>
      <c r="E3127" s="6" t="inlineStr">
        <is>
          <t>R1329103</t>
        </is>
      </c>
      <c r="F3127" s="2" t="n">
        <v>44518</v>
      </c>
      <c r="G3127" s="1" t="n"/>
      <c r="H3127" s="27" t="n"/>
      <c r="I3127" s="28" t="n"/>
    </row>
    <row r="3128">
      <c r="A3128" s="6" t="n">
        <v>67556</v>
      </c>
      <c r="B3128" s="6" t="inlineStr">
        <is>
          <t>KAMORA COFFEE</t>
        </is>
      </c>
      <c r="C3128" s="7">
        <f>VLOOKUP(A3128,SizeData!A$2:B$3839,2,FALSE)</f>
        <v/>
      </c>
      <c r="D3128" s="6" t="n">
        <v>1</v>
      </c>
      <c r="E3128" s="6" t="inlineStr">
        <is>
          <t>R1018703</t>
        </is>
      </c>
      <c r="F3128" s="2" t="n">
        <v>44229</v>
      </c>
      <c r="G3128" s="1" t="n"/>
      <c r="H3128" s="27" t="n"/>
      <c r="I3128" s="28" t="n"/>
    </row>
    <row r="3129">
      <c r="A3129" s="6" t="n">
        <v>67556</v>
      </c>
      <c r="B3129" s="6" t="inlineStr">
        <is>
          <t>KAMORA COFFEE</t>
        </is>
      </c>
      <c r="C3129" s="7">
        <f>VLOOKUP(A3129,SizeData!A$2:B$3839,2,FALSE)</f>
        <v/>
      </c>
      <c r="D3129" s="6" t="n">
        <v>1</v>
      </c>
      <c r="E3129" s="6" t="inlineStr">
        <is>
          <t>R1323053</t>
        </is>
      </c>
      <c r="F3129" s="2" t="n">
        <v>44515</v>
      </c>
      <c r="G3129" s="1" t="n"/>
      <c r="H3129" s="27" t="n"/>
      <c r="I3129" s="28" t="n"/>
    </row>
    <row r="3130">
      <c r="A3130" s="6" t="n">
        <v>67556</v>
      </c>
      <c r="B3130" s="6" t="inlineStr">
        <is>
          <t>KAMORA COFFEE</t>
        </is>
      </c>
      <c r="C3130" s="7">
        <f>VLOOKUP(A3130,SizeData!A$2:B$3839,2,FALSE)</f>
        <v/>
      </c>
      <c r="D3130" s="6" t="n">
        <v>2</v>
      </c>
      <c r="E3130" s="6" t="inlineStr">
        <is>
          <t>R1329103</t>
        </is>
      </c>
      <c r="F3130" s="2" t="n">
        <v>44518</v>
      </c>
      <c r="G3130" s="1" t="n"/>
      <c r="H3130" s="27" t="n"/>
      <c r="I3130" s="28" t="n"/>
    </row>
    <row r="3131">
      <c r="A3131" s="6" t="n">
        <v>67595</v>
      </c>
      <c r="B3131" s="6" t="inlineStr">
        <is>
          <t>PATRON XO CAFE'COFFEE LIQUEUR</t>
        </is>
      </c>
      <c r="C3131" s="7">
        <f>VLOOKUP(A3131,SizeData!A$2:B$3839,2,FALSE)</f>
        <v/>
      </c>
      <c r="D3131" s="6" t="n">
        <v>1</v>
      </c>
      <c r="E3131" s="6" t="inlineStr">
        <is>
          <t>R1329660</t>
        </is>
      </c>
      <c r="F3131" s="2" t="n">
        <v>44525</v>
      </c>
      <c r="G3131" s="1" t="n"/>
      <c r="H3131" s="27" t="n"/>
      <c r="I3131" s="28" t="n"/>
    </row>
    <row r="3132">
      <c r="A3132" s="6" t="n">
        <v>67708</v>
      </c>
      <c r="B3132" s="6" t="inlineStr">
        <is>
          <t>SABROSO COFFEE</t>
        </is>
      </c>
      <c r="C3132" s="7">
        <f>VLOOKUP(A3132,SizeData!A$2:B$3839,2,FALSE)</f>
        <v/>
      </c>
      <c r="D3132" s="6" t="n">
        <v>0</v>
      </c>
      <c r="E3132" s="6" t="inlineStr">
        <is>
          <t>R1291275</t>
        </is>
      </c>
      <c r="F3132" s="2" t="n">
        <v>44498</v>
      </c>
      <c r="G3132" s="1" t="n"/>
      <c r="H3132" s="27" t="n"/>
      <c r="I3132" s="28" t="n"/>
    </row>
    <row r="3133">
      <c r="A3133" s="6" t="n">
        <v>67708</v>
      </c>
      <c r="B3133" s="6" t="inlineStr">
        <is>
          <t>SABROSO COFFEE</t>
        </is>
      </c>
      <c r="C3133" s="7">
        <f>VLOOKUP(A3133,SizeData!A$2:B$3839,2,FALSE)</f>
        <v/>
      </c>
      <c r="D3133" s="6" t="n">
        <v>2</v>
      </c>
      <c r="E3133" s="6" t="inlineStr">
        <is>
          <t>R1314326</t>
        </is>
      </c>
      <c r="F3133" s="2" t="n">
        <v>44512</v>
      </c>
      <c r="G3133" s="1" t="n"/>
      <c r="H3133" s="27" t="n"/>
      <c r="I3133" s="28" t="n"/>
    </row>
    <row r="3134">
      <c r="A3134" s="6" t="n">
        <v>68034</v>
      </c>
      <c r="B3134" s="6" t="inlineStr">
        <is>
          <t>BAILEYS ORIGINAL IRISH CREAM</t>
        </is>
      </c>
      <c r="C3134" s="7">
        <f>VLOOKUP(A3134,SizeData!A$2:B$3839,2,FALSE)</f>
        <v/>
      </c>
      <c r="D3134" s="6" t="n">
        <v>2</v>
      </c>
      <c r="E3134" s="6" t="inlineStr">
        <is>
          <t>R1046056</t>
        </is>
      </c>
      <c r="F3134" s="2" t="n">
        <v>44258</v>
      </c>
      <c r="G3134" s="1" t="n"/>
      <c r="H3134" s="27" t="n"/>
      <c r="I3134" s="28" t="n"/>
    </row>
    <row r="3135">
      <c r="A3135" s="6" t="n">
        <v>68036</v>
      </c>
      <c r="B3135" s="6" t="inlineStr">
        <is>
          <t>BAILEYS ORIGINAL IRISH CREAM</t>
        </is>
      </c>
      <c r="C3135" s="7">
        <f>VLOOKUP(A3135,SizeData!A$2:B$3839,2,FALSE)</f>
        <v/>
      </c>
      <c r="D3135" s="6" t="n">
        <v>1</v>
      </c>
      <c r="E3135" s="6" t="inlineStr">
        <is>
          <t>R1013988</t>
        </is>
      </c>
      <c r="F3135" s="2" t="n">
        <v>44239</v>
      </c>
      <c r="G3135" s="1" t="n"/>
      <c r="H3135" s="27" t="n"/>
      <c r="I3135" s="28" t="n"/>
    </row>
    <row r="3136">
      <c r="A3136" s="6" t="n">
        <v>68036</v>
      </c>
      <c r="B3136" s="6" t="inlineStr">
        <is>
          <t>BAILEYS ORIGINAL IRISH CREAM</t>
        </is>
      </c>
      <c r="C3136" s="7">
        <f>VLOOKUP(A3136,SizeData!A$2:B$3839,2,FALSE)</f>
        <v/>
      </c>
      <c r="D3136" s="6" t="n">
        <v>0</v>
      </c>
      <c r="E3136" s="6" t="inlineStr">
        <is>
          <t>R1267858</t>
        </is>
      </c>
      <c r="F3136" s="2" t="n">
        <v>44473</v>
      </c>
      <c r="G3136" s="1" t="n"/>
      <c r="H3136" s="27" t="n"/>
      <c r="I3136" s="28" t="n"/>
      <c r="J3136" t="inlineStr">
        <is>
          <t>d</t>
        </is>
      </c>
    </row>
    <row r="3137">
      <c r="A3137" s="6" t="n">
        <v>68036</v>
      </c>
      <c r="B3137" s="6" t="inlineStr">
        <is>
          <t>BAILEYS ORIGINAL IRISH CREAM</t>
        </is>
      </c>
      <c r="C3137" s="7">
        <f>VLOOKUP(A3137,SizeData!A$2:B$3839,2,FALSE)</f>
        <v/>
      </c>
      <c r="D3137" s="6" t="n">
        <v>0</v>
      </c>
      <c r="E3137" s="6" t="inlineStr">
        <is>
          <t>R1286696</t>
        </is>
      </c>
      <c r="F3137" s="2" t="n">
        <v>44487</v>
      </c>
      <c r="G3137" s="1" t="n"/>
    </row>
    <row r="3138">
      <c r="A3138" s="6" t="n">
        <v>68126</v>
      </c>
      <c r="B3138" s="6" t="inlineStr">
        <is>
          <t>CAROLAN'S IRISH CREAM</t>
        </is>
      </c>
      <c r="C3138" s="7">
        <f>VLOOKUP(A3138,SizeData!A$2:B$3839,2,FALSE)</f>
        <v/>
      </c>
      <c r="D3138" s="6" t="n">
        <v>2</v>
      </c>
      <c r="E3138" s="6" t="inlineStr">
        <is>
          <t>R1034042</t>
        </is>
      </c>
      <c r="F3138" s="2" t="n">
        <v>44252</v>
      </c>
      <c r="G3138" s="1" t="n"/>
    </row>
    <row r="3139">
      <c r="A3139" s="6" t="n">
        <v>71827</v>
      </c>
      <c r="B3139" s="6" t="inlineStr">
        <is>
          <t>AMARITO AMARETTO</t>
        </is>
      </c>
      <c r="C3139" s="7">
        <f>VLOOKUP(A3139,SizeData!A$2:B$3839,2,FALSE)</f>
        <v/>
      </c>
      <c r="D3139" s="6" t="n">
        <v>1</v>
      </c>
      <c r="E3139" s="6" t="inlineStr">
        <is>
          <t>R1027896</t>
        </is>
      </c>
      <c r="F3139" s="2" t="n">
        <v>44247</v>
      </c>
      <c r="G3139" s="1" t="n"/>
    </row>
    <row r="3140">
      <c r="A3140" s="6" t="n">
        <v>71827</v>
      </c>
      <c r="B3140" s="6" t="inlineStr">
        <is>
          <t>AMARITO AMARETTO</t>
        </is>
      </c>
      <c r="C3140" s="7">
        <f>VLOOKUP(A3140,SizeData!A$2:B$3839,2,FALSE)</f>
        <v/>
      </c>
      <c r="D3140" s="6" t="n">
        <v>1</v>
      </c>
      <c r="E3140" s="6" t="inlineStr">
        <is>
          <t>R1334786</t>
        </is>
      </c>
      <c r="F3140" s="2" t="n">
        <v>44529</v>
      </c>
      <c r="G3140" s="1" t="n"/>
    </row>
    <row r="3141">
      <c r="A3141" s="6" t="n">
        <v>72818</v>
      </c>
      <c r="B3141" s="6" t="inlineStr">
        <is>
          <t>CAFFE LOLITA COFFEE</t>
        </is>
      </c>
      <c r="C3141" s="7">
        <f>VLOOKUP(A3141,SizeData!A$2:B$3839,2,FALSE)</f>
        <v/>
      </c>
      <c r="D3141" s="6" t="n">
        <v>1</v>
      </c>
      <c r="E3141" s="6" t="inlineStr">
        <is>
          <t>R1173248</t>
        </is>
      </c>
      <c r="F3141" s="2" t="n">
        <v>44393</v>
      </c>
      <c r="G3141" s="1" t="n"/>
    </row>
    <row r="3142">
      <c r="A3142" s="6" t="n">
        <v>73052</v>
      </c>
      <c r="B3142" s="6" t="inlineStr">
        <is>
          <t>RUMCHATA ORIGINAL</t>
        </is>
      </c>
      <c r="C3142" s="7">
        <f>VLOOKUP(A3142,SizeData!A$2:B$3839,2,FALSE)</f>
        <v/>
      </c>
      <c r="D3142" s="6" t="n">
        <v>1</v>
      </c>
      <c r="E3142" s="6" t="inlineStr">
        <is>
          <t>R1296060</t>
        </is>
      </c>
      <c r="F3142" s="2" t="n">
        <v>44491</v>
      </c>
      <c r="G3142" s="1" t="n"/>
    </row>
    <row r="3143">
      <c r="A3143" s="6" t="n">
        <v>73055</v>
      </c>
      <c r="B3143" s="6" t="inlineStr">
        <is>
          <t>RUMCHATA</t>
        </is>
      </c>
      <c r="C3143" s="7">
        <f>VLOOKUP(A3143,SizeData!A$2:B$3839,2,FALSE)</f>
        <v/>
      </c>
      <c r="D3143" s="6" t="n">
        <v>1</v>
      </c>
      <c r="E3143" s="6" t="inlineStr">
        <is>
          <t>R1248961</t>
        </is>
      </c>
      <c r="F3143" s="2" t="n">
        <v>44461</v>
      </c>
      <c r="G3143" s="1" t="n"/>
    </row>
    <row r="3144">
      <c r="A3144" s="6" t="n">
        <v>73056</v>
      </c>
      <c r="B3144" s="6" t="inlineStr">
        <is>
          <t>RUMCHATA ORIGINAL</t>
        </is>
      </c>
      <c r="C3144" s="7">
        <f>VLOOKUP(A3144,SizeData!A$2:B$3839,2,FALSE)</f>
        <v/>
      </c>
      <c r="D3144" s="6" t="n">
        <v>1</v>
      </c>
      <c r="E3144" s="6" t="inlineStr">
        <is>
          <t>R1109607</t>
        </is>
      </c>
      <c r="F3144" s="2" t="n">
        <v>44317</v>
      </c>
      <c r="G3144" s="1" t="n"/>
    </row>
    <row r="3145">
      <c r="A3145" s="6" t="n">
        <v>73056</v>
      </c>
      <c r="B3145" s="6" t="inlineStr">
        <is>
          <t>RUMCHATA ORIGINAL</t>
        </is>
      </c>
      <c r="C3145" s="7">
        <f>VLOOKUP(A3145,SizeData!A$2:B$3839,2,FALSE)</f>
        <v/>
      </c>
      <c r="D3145" s="6" t="n">
        <v>1</v>
      </c>
      <c r="E3145" s="6" t="inlineStr">
        <is>
          <t>R1111272</t>
        </is>
      </c>
      <c r="F3145" s="2" t="n">
        <v>44327</v>
      </c>
      <c r="G3145" s="1" t="n"/>
    </row>
    <row r="3146">
      <c r="A3146" s="6" t="n">
        <v>73056</v>
      </c>
      <c r="B3146" s="6" t="inlineStr">
        <is>
          <t>RUMCHATA ORIGINAL</t>
        </is>
      </c>
      <c r="C3146" s="7">
        <f>VLOOKUP(A3146,SizeData!A$2:B$3839,2,FALSE)</f>
        <v/>
      </c>
      <c r="D3146" s="6" t="n">
        <v>1</v>
      </c>
      <c r="E3146" s="6" t="inlineStr">
        <is>
          <t>R1160852</t>
        </is>
      </c>
      <c r="F3146" s="2" t="n">
        <v>44366</v>
      </c>
      <c r="G3146" s="1" t="n"/>
    </row>
    <row r="3147">
      <c r="A3147" s="6" t="n">
        <v>73056</v>
      </c>
      <c r="B3147" s="6" t="inlineStr">
        <is>
          <t>RUMCHATA ORIGINAL</t>
        </is>
      </c>
      <c r="C3147" s="7">
        <f>VLOOKUP(A3147,SizeData!A$2:B$3839,2,FALSE)</f>
        <v/>
      </c>
      <c r="D3147" s="6" t="n">
        <v>1</v>
      </c>
      <c r="E3147" s="6" t="inlineStr">
        <is>
          <t>R1173248</t>
        </is>
      </c>
      <c r="F3147" s="2" t="n">
        <v>44393</v>
      </c>
      <c r="G3147" s="1" t="n"/>
    </row>
    <row r="3148">
      <c r="A3148" s="6" t="n">
        <v>73056</v>
      </c>
      <c r="B3148" s="6" t="inlineStr">
        <is>
          <t>RUMCHATA ORIGINAL</t>
        </is>
      </c>
      <c r="C3148" s="7">
        <f>VLOOKUP(A3148,SizeData!A$2:B$3839,2,FALSE)</f>
        <v/>
      </c>
      <c r="D3148" s="6" t="n">
        <v>1</v>
      </c>
      <c r="E3148" s="6" t="inlineStr">
        <is>
          <t>R1248961</t>
        </is>
      </c>
      <c r="F3148" s="2" t="n">
        <v>44461</v>
      </c>
      <c r="G3148" s="1" t="n"/>
    </row>
    <row r="3149">
      <c r="A3149" s="6" t="n">
        <v>73056</v>
      </c>
      <c r="B3149" s="6" t="inlineStr">
        <is>
          <t>RUMCHATA ORIGINAL</t>
        </is>
      </c>
      <c r="C3149" s="7">
        <f>VLOOKUP(A3149,SizeData!A$2:B$3839,2,FALSE)</f>
        <v/>
      </c>
      <c r="D3149" s="6" t="n">
        <v>2</v>
      </c>
      <c r="E3149" s="6" t="inlineStr">
        <is>
          <t>R1350820</t>
        </is>
      </c>
      <c r="F3149" s="2" t="n">
        <v>44531</v>
      </c>
      <c r="G3149" s="1" t="n"/>
    </row>
    <row r="3150">
      <c r="A3150" s="6" t="n">
        <v>73136</v>
      </c>
      <c r="B3150" s="6" t="inlineStr">
        <is>
          <t>CHILA COFFEE</t>
        </is>
      </c>
      <c r="C3150" s="7">
        <f>VLOOKUP(A3150,SizeData!A$2:B$3839,2,FALSE)</f>
        <v/>
      </c>
      <c r="D3150" s="6" t="n">
        <v>0</v>
      </c>
      <c r="E3150" s="6" t="inlineStr">
        <is>
          <t xml:space="preserve"> R1264833</t>
        </is>
      </c>
      <c r="F3150" s="2" t="n">
        <v>44471</v>
      </c>
      <c r="G3150" s="1" t="n"/>
    </row>
    <row r="3151">
      <c r="A3151" s="6" t="n">
        <v>73136</v>
      </c>
      <c r="B3151" s="6" t="inlineStr">
        <is>
          <t>CHILA COFFEE</t>
        </is>
      </c>
      <c r="C3151" s="7">
        <f>VLOOKUP(A3151,SizeData!A$2:B$3839,2,FALSE)</f>
        <v/>
      </c>
      <c r="D3151" s="6" t="n">
        <v>0</v>
      </c>
      <c r="E3151" s="6" t="inlineStr">
        <is>
          <t>R1277647</t>
        </is>
      </c>
      <c r="F3151" s="2" t="n">
        <v>44484</v>
      </c>
      <c r="G3151" s="1" t="n"/>
    </row>
    <row r="3152">
      <c r="A3152" s="6" t="n">
        <v>73136</v>
      </c>
      <c r="B3152" s="6" t="inlineStr">
        <is>
          <t>CHILA COFFEE</t>
        </is>
      </c>
      <c r="C3152" s="7">
        <f>VLOOKUP(A3152,SizeData!A$2:B$3839,2,FALSE)</f>
        <v/>
      </c>
      <c r="D3152" s="6" t="n">
        <v>1</v>
      </c>
      <c r="E3152" s="6" t="inlineStr">
        <is>
          <t>R1301983</t>
        </is>
      </c>
      <c r="F3152" s="2" t="n">
        <v>44501</v>
      </c>
      <c r="G3152" s="1" t="n"/>
    </row>
    <row r="3153">
      <c r="A3153" s="6" t="n">
        <v>73526</v>
      </c>
      <c r="B3153" s="6" t="inlineStr">
        <is>
          <t>DEKUYPER MELON DEW</t>
        </is>
      </c>
      <c r="C3153" s="7">
        <f>VLOOKUP(A3153,SizeData!A$2:B$3839,2,FALSE)</f>
        <v/>
      </c>
      <c r="D3153" s="6" t="n">
        <v>1</v>
      </c>
      <c r="E3153" s="6" t="inlineStr">
        <is>
          <t>R1156528</t>
        </is>
      </c>
      <c r="F3153" s="2" t="n">
        <v>44362</v>
      </c>
      <c r="G3153" s="1" t="n"/>
    </row>
    <row r="3154">
      <c r="A3154" s="6" t="n">
        <v>73702</v>
      </c>
      <c r="B3154" s="6" t="inlineStr">
        <is>
          <t>EVAN WILLIAMS HONEY</t>
        </is>
      </c>
      <c r="C3154" s="7">
        <f>VLOOKUP(A3154,SizeData!A$2:B$3839,2,FALSE)</f>
        <v/>
      </c>
      <c r="D3154" s="6" t="n">
        <v>1</v>
      </c>
      <c r="E3154" s="6" t="inlineStr">
        <is>
          <t>R1018402</t>
        </is>
      </c>
      <c r="F3154" s="2" t="n">
        <v>44229</v>
      </c>
      <c r="G3154" s="1" t="n"/>
    </row>
    <row r="3155">
      <c r="A3155" s="6" t="n">
        <v>73702</v>
      </c>
      <c r="B3155" s="6" t="inlineStr">
        <is>
          <t>EVAN WILLIAMS HONEY</t>
        </is>
      </c>
      <c r="C3155" s="7">
        <f>VLOOKUP(A3155,SizeData!A$2:B$3839,2,FALSE)</f>
        <v/>
      </c>
      <c r="D3155" s="6" t="n">
        <v>1</v>
      </c>
      <c r="E3155" s="6" t="inlineStr">
        <is>
          <t>R1099557</t>
        </is>
      </c>
      <c r="F3155" s="2" t="n">
        <v>44317</v>
      </c>
      <c r="G3155" s="1" t="n"/>
    </row>
    <row r="3156">
      <c r="A3156" s="6" t="n">
        <v>73702</v>
      </c>
      <c r="B3156" s="6" t="inlineStr">
        <is>
          <t>EVAN WILLIAMS HONEY</t>
        </is>
      </c>
      <c r="C3156" s="7">
        <f>VLOOKUP(A3156,SizeData!A$2:B$3839,2,FALSE)</f>
        <v/>
      </c>
      <c r="D3156" s="6" t="n">
        <v>1</v>
      </c>
      <c r="E3156" s="6" t="inlineStr">
        <is>
          <t>R1124382</t>
        </is>
      </c>
      <c r="F3156" s="2" t="n">
        <v>44347</v>
      </c>
      <c r="G3156" s="1" t="n"/>
    </row>
    <row r="3157">
      <c r="A3157" s="6" t="n">
        <v>73753</v>
      </c>
      <c r="B3157" s="6" t="inlineStr">
        <is>
          <t>E &amp; J APPLE BRANDY</t>
        </is>
      </c>
      <c r="C3157" s="7">
        <f>VLOOKUP(A3157,SizeData!A$2:B$3839,2,FALSE)</f>
        <v/>
      </c>
      <c r="D3157" s="6" t="n">
        <v>1</v>
      </c>
      <c r="E3157" s="6" t="inlineStr">
        <is>
          <t>R993178</t>
        </is>
      </c>
      <c r="F3157" s="2" t="n">
        <v>44218</v>
      </c>
      <c r="G3157" s="1" t="n"/>
    </row>
    <row r="3158">
      <c r="A3158" s="6" t="n">
        <v>73753</v>
      </c>
      <c r="B3158" s="6" t="inlineStr">
        <is>
          <t>E &amp; J APPLE BRANDY</t>
        </is>
      </c>
      <c r="C3158" s="7">
        <f>VLOOKUP(A3158,SizeData!A$2:B$3839,2,FALSE)</f>
        <v/>
      </c>
      <c r="D3158" s="6" t="n">
        <v>1</v>
      </c>
      <c r="E3158" s="6" t="inlineStr">
        <is>
          <t>R1246630</t>
        </is>
      </c>
      <c r="F3158" s="2" t="n">
        <v>44450</v>
      </c>
      <c r="G3158" s="1" t="n"/>
    </row>
    <row r="3159">
      <c r="A3159" s="6" t="n">
        <v>73753</v>
      </c>
      <c r="B3159" s="6" t="inlineStr">
        <is>
          <t>E &amp; J APPLE BRANDY</t>
        </is>
      </c>
      <c r="C3159" s="7">
        <f>VLOOKUP(A3159,SizeData!A$2:B$3839,2,FALSE)</f>
        <v/>
      </c>
      <c r="D3159" s="6" t="n">
        <v>1</v>
      </c>
      <c r="E3159" s="6" t="inlineStr">
        <is>
          <t>R1276264</t>
        </is>
      </c>
      <c r="F3159" s="2" t="n">
        <v>44477</v>
      </c>
      <c r="G3159" s="1" t="n"/>
    </row>
    <row r="3160">
      <c r="A3160" s="6" t="n">
        <v>73754</v>
      </c>
      <c r="B3160" s="6" t="inlineStr">
        <is>
          <t>E &amp; J APPLE BRANDY</t>
        </is>
      </c>
      <c r="C3160" s="7">
        <f>VLOOKUP(A3160,SizeData!A$2:B$3839,2,FALSE)</f>
        <v/>
      </c>
      <c r="D3160" s="6" t="n">
        <v>1</v>
      </c>
      <c r="E3160" s="6" t="inlineStr">
        <is>
          <t>R993178</t>
        </is>
      </c>
      <c r="F3160" s="2" t="n">
        <v>44218</v>
      </c>
      <c r="G3160" s="1" t="n"/>
    </row>
    <row r="3161">
      <c r="A3161" s="6" t="n">
        <v>73754</v>
      </c>
      <c r="B3161" s="6" t="inlineStr">
        <is>
          <t>E &amp; J APPLE BRANDY</t>
        </is>
      </c>
      <c r="C3161" s="7">
        <f>VLOOKUP(A3161,SizeData!A$2:B$3839,2,FALSE)</f>
        <v/>
      </c>
      <c r="D3161" s="6" t="n">
        <v>1</v>
      </c>
      <c r="E3161" s="6" t="inlineStr">
        <is>
          <t>R1114354</t>
        </is>
      </c>
      <c r="F3161" s="2" t="n">
        <v>44334</v>
      </c>
      <c r="G3161" s="1" t="n"/>
    </row>
    <row r="3162">
      <c r="A3162" s="6" t="n">
        <v>73754</v>
      </c>
      <c r="B3162" s="6" t="inlineStr">
        <is>
          <t>E &amp; J APPLE BRANDY</t>
        </is>
      </c>
      <c r="C3162" s="7">
        <f>VLOOKUP(A3162,SizeData!A$2:B$3839,2,FALSE)</f>
        <v/>
      </c>
      <c r="D3162" s="6" t="n">
        <v>1</v>
      </c>
      <c r="E3162" s="6" t="inlineStr">
        <is>
          <t>R1185856</t>
        </is>
      </c>
      <c r="F3162" s="2" t="n">
        <v>44400</v>
      </c>
      <c r="G3162" s="1" t="n"/>
    </row>
    <row r="3163">
      <c r="A3163" s="6" t="n">
        <v>73754</v>
      </c>
      <c r="B3163" s="6" t="inlineStr">
        <is>
          <t>E &amp; J APPLE BRANDY</t>
        </is>
      </c>
      <c r="C3163" s="7">
        <f>VLOOKUP(A3163,SizeData!A$2:B$3839,2,FALSE)</f>
        <v/>
      </c>
      <c r="D3163" s="6" t="n">
        <v>1</v>
      </c>
      <c r="E3163" s="6" t="inlineStr">
        <is>
          <t>R1246630</t>
        </is>
      </c>
      <c r="F3163" s="2" t="n">
        <v>44450</v>
      </c>
      <c r="G3163" s="1" t="n"/>
    </row>
    <row r="3164">
      <c r="A3164" s="6" t="n">
        <v>73755</v>
      </c>
      <c r="B3164" s="6" t="inlineStr">
        <is>
          <t>E &amp; J APPLE BRANDY</t>
        </is>
      </c>
      <c r="C3164" s="7">
        <f>VLOOKUP(A3164,SizeData!A$2:B$3839,2,FALSE)</f>
        <v/>
      </c>
      <c r="D3164" s="6" t="n">
        <v>1</v>
      </c>
      <c r="E3164" s="6" t="inlineStr">
        <is>
          <t>R1029260</t>
        </is>
      </c>
      <c r="F3164" s="2" t="n">
        <v>44240</v>
      </c>
      <c r="G3164" s="1" t="n"/>
    </row>
    <row r="3165">
      <c r="A3165" s="6" t="n">
        <v>73755</v>
      </c>
      <c r="B3165" s="6" t="inlineStr">
        <is>
          <t>E &amp; J APPLE BRANDY</t>
        </is>
      </c>
      <c r="C3165" s="7">
        <f>VLOOKUP(A3165,SizeData!A$2:B$3839,2,FALSE)</f>
        <v/>
      </c>
      <c r="D3165" s="6" t="n">
        <v>1</v>
      </c>
      <c r="E3165" s="6" t="inlineStr">
        <is>
          <t>R1027896</t>
        </is>
      </c>
      <c r="F3165" s="2" t="n">
        <v>44247</v>
      </c>
      <c r="G3165" s="1" t="n"/>
    </row>
    <row r="3166">
      <c r="A3166" s="6" t="n">
        <v>73755</v>
      </c>
      <c r="B3166" s="6" t="inlineStr">
        <is>
          <t>E &amp; J APPLE BRANDY</t>
        </is>
      </c>
      <c r="C3166" s="7">
        <f>VLOOKUP(A3166,SizeData!A$2:B$3839,2,FALSE)</f>
        <v/>
      </c>
      <c r="D3166" s="6" t="n">
        <v>2</v>
      </c>
      <c r="E3166" s="6" t="inlineStr">
        <is>
          <t>R1033219</t>
        </is>
      </c>
      <c r="F3166" s="2" t="n">
        <v>44249</v>
      </c>
      <c r="G3166" s="1" t="n"/>
    </row>
    <row r="3167">
      <c r="A3167" s="6" t="n">
        <v>73755</v>
      </c>
      <c r="B3167" s="6" t="inlineStr">
        <is>
          <t>E &amp; J APPLE BRANDY</t>
        </is>
      </c>
      <c r="C3167" s="7">
        <f>VLOOKUP(A3167,SizeData!A$2:B$3839,2,FALSE)</f>
        <v/>
      </c>
      <c r="D3167" s="6" t="n">
        <v>1</v>
      </c>
      <c r="E3167" s="6" t="inlineStr">
        <is>
          <t>R1169144</t>
        </is>
      </c>
      <c r="F3167" s="2" t="n">
        <v>44387</v>
      </c>
      <c r="G3167" s="1" t="n"/>
    </row>
    <row r="3168">
      <c r="A3168" s="6" t="n">
        <v>73755</v>
      </c>
      <c r="B3168" s="6" t="inlineStr">
        <is>
          <t>E &amp; J APPLE BRANDY</t>
        </is>
      </c>
      <c r="C3168" s="7">
        <f>VLOOKUP(A3168,SizeData!A$2:B$3839,2,FALSE)</f>
        <v/>
      </c>
      <c r="D3168" s="6" t="n">
        <v>1</v>
      </c>
      <c r="E3168" s="6" t="inlineStr">
        <is>
          <t xml:space="preserve"> R1193283</t>
        </is>
      </c>
      <c r="F3168" s="2" t="n">
        <v>44418</v>
      </c>
      <c r="G3168" s="1" t="n"/>
    </row>
    <row r="3169">
      <c r="A3169" s="6" t="n">
        <v>73755</v>
      </c>
      <c r="B3169" s="6" t="inlineStr">
        <is>
          <t>E &amp; J APPLE BRANDY</t>
        </is>
      </c>
      <c r="C3169" s="7">
        <f>VLOOKUP(A3169,SizeData!A$2:B$3839,2,FALSE)</f>
        <v/>
      </c>
      <c r="D3169" s="6" t="n">
        <v>3</v>
      </c>
      <c r="E3169" s="6" t="inlineStr">
        <is>
          <t>R1221301</t>
        </is>
      </c>
      <c r="F3169" s="2" t="n">
        <v>44426</v>
      </c>
      <c r="G3169" s="1" t="n"/>
    </row>
    <row r="3170">
      <c r="A3170" s="6" t="n">
        <v>73755</v>
      </c>
      <c r="B3170" s="6" t="inlineStr">
        <is>
          <t>E &amp; J APPLE BRANDY</t>
        </is>
      </c>
      <c r="C3170" s="7">
        <f>VLOOKUP(A3170,SizeData!A$2:B$3839,2,FALSE)</f>
        <v/>
      </c>
      <c r="D3170" s="6" t="n">
        <v>2</v>
      </c>
      <c r="E3170" s="6" t="inlineStr">
        <is>
          <t>R1217867</t>
        </is>
      </c>
      <c r="F3170" s="2" t="n">
        <v>44435</v>
      </c>
      <c r="G3170" s="1" t="n"/>
    </row>
    <row r="3171">
      <c r="A3171" s="6" t="n">
        <v>73757</v>
      </c>
      <c r="B3171" s="6" t="inlineStr">
        <is>
          <t>E &amp; J APPLE BRANDY</t>
        </is>
      </c>
      <c r="C3171" s="7">
        <f>VLOOKUP(A3171,SizeData!A$2:B$3839,2,FALSE)</f>
        <v/>
      </c>
      <c r="D3171" s="6" t="n">
        <v>1</v>
      </c>
      <c r="E3171" s="6" t="inlineStr">
        <is>
          <t>R1028756</t>
        </is>
      </c>
      <c r="F3171" s="2" t="n">
        <v>44239</v>
      </c>
      <c r="G3171" s="1" t="n"/>
    </row>
    <row r="3172">
      <c r="A3172" s="6" t="n">
        <v>73757</v>
      </c>
      <c r="B3172" s="6" t="inlineStr">
        <is>
          <t>E &amp; J APPLE BRANDY</t>
        </is>
      </c>
      <c r="C3172" s="7">
        <f>VLOOKUP(A3172,SizeData!A$2:B$3839,2,FALSE)</f>
        <v/>
      </c>
      <c r="D3172" s="6" t="n">
        <v>1</v>
      </c>
      <c r="E3172" s="6" t="inlineStr">
        <is>
          <t>R1084236</t>
        </is>
      </c>
      <c r="F3172" s="2" t="n">
        <v>44296</v>
      </c>
      <c r="G3172" s="1" t="n"/>
    </row>
    <row r="3173">
      <c r="A3173" s="6" t="n">
        <v>73757</v>
      </c>
      <c r="B3173" s="6" t="inlineStr">
        <is>
          <t>E &amp; J APPLE BRANDY</t>
        </is>
      </c>
      <c r="C3173" s="7">
        <f>VLOOKUP(A3173,SizeData!A$2:B$3839,2,FALSE)</f>
        <v/>
      </c>
      <c r="D3173" s="6" t="n">
        <v>1</v>
      </c>
      <c r="E3173" s="6" t="inlineStr">
        <is>
          <t>R1111874</t>
        </is>
      </c>
      <c r="F3173" s="2" t="n">
        <v>44326</v>
      </c>
      <c r="G3173" s="1" t="n"/>
    </row>
    <row r="3174">
      <c r="A3174" s="6" t="n">
        <v>73757</v>
      </c>
      <c r="B3174" s="6" t="inlineStr">
        <is>
          <t>E &amp; J APPLE BRANDY</t>
        </is>
      </c>
      <c r="C3174" s="7">
        <f>VLOOKUP(A3174,SizeData!A$2:B$3839,2,FALSE)</f>
        <v/>
      </c>
      <c r="D3174" s="6" t="n">
        <v>1</v>
      </c>
      <c r="E3174" s="6" t="inlineStr">
        <is>
          <t>R1159919</t>
        </is>
      </c>
      <c r="F3174" s="2" t="n">
        <v>44370</v>
      </c>
      <c r="G3174" s="1" t="n"/>
    </row>
    <row r="3175">
      <c r="A3175" s="6" t="n">
        <v>73757</v>
      </c>
      <c r="B3175" s="6" t="inlineStr">
        <is>
          <t>E &amp; J APPLE BRANDY</t>
        </is>
      </c>
      <c r="C3175" s="7">
        <f>VLOOKUP(A3175,SizeData!A$2:B$3839,2,FALSE)</f>
        <v/>
      </c>
      <c r="D3175" s="6" t="n">
        <v>1</v>
      </c>
      <c r="E3175" s="6" t="inlineStr">
        <is>
          <t>R1192528</t>
        </is>
      </c>
      <c r="F3175" s="2" t="n">
        <v>44404</v>
      </c>
      <c r="G3175" s="1" t="n"/>
    </row>
    <row r="3176">
      <c r="A3176" s="6" t="n">
        <v>73757</v>
      </c>
      <c r="B3176" s="6" t="inlineStr">
        <is>
          <t>E &amp; J APPLE BRANDY</t>
        </is>
      </c>
      <c r="C3176" s="7">
        <f>VLOOKUP(A3176,SizeData!A$2:B$3839,2,FALSE)</f>
        <v/>
      </c>
      <c r="D3176" s="6" t="n">
        <v>1</v>
      </c>
      <c r="E3176" s="6" t="inlineStr">
        <is>
          <t>R1241453</t>
        </is>
      </c>
      <c r="F3176" s="2" t="n">
        <v>44448</v>
      </c>
      <c r="G3176" s="1" t="n"/>
    </row>
    <row r="3177">
      <c r="A3177" s="6" t="n">
        <v>73757</v>
      </c>
      <c r="B3177" s="6" t="inlineStr">
        <is>
          <t>E &amp; J APPLE BRANDY</t>
        </is>
      </c>
      <c r="C3177" s="7">
        <f>VLOOKUP(A3177,SizeData!A$2:B$3839,2,FALSE)</f>
        <v/>
      </c>
      <c r="D3177" s="6" t="n">
        <v>1</v>
      </c>
      <c r="E3177" s="6" t="inlineStr">
        <is>
          <t>R1264756</t>
        </is>
      </c>
      <c r="F3177" s="2" t="n">
        <v>44472</v>
      </c>
      <c r="G3177" s="1" t="n"/>
    </row>
    <row r="3178">
      <c r="A3178" s="6" t="n">
        <v>73757</v>
      </c>
      <c r="B3178" s="6" t="inlineStr">
        <is>
          <t>E &amp; J APPLE BRANDY</t>
        </is>
      </c>
      <c r="C3178" s="7">
        <f>VLOOKUP(A3178,SizeData!A$2:B$3839,2,FALSE)</f>
        <v/>
      </c>
      <c r="D3178" s="6" t="n">
        <v>1</v>
      </c>
      <c r="E3178" s="6" t="inlineStr">
        <is>
          <t>R1329660</t>
        </is>
      </c>
      <c r="F3178" s="2" t="n">
        <v>44525</v>
      </c>
      <c r="G3178" s="1" t="n"/>
    </row>
    <row r="3179">
      <c r="A3179" s="6" t="n">
        <v>73757</v>
      </c>
      <c r="B3179" s="6" t="inlineStr">
        <is>
          <t>E &amp; J APPLE BRANDY</t>
        </is>
      </c>
      <c r="C3179" s="7">
        <f>VLOOKUP(A3179,SizeData!A$2:B$3839,2,FALSE)</f>
        <v/>
      </c>
      <c r="D3179" s="6" t="n">
        <v>1</v>
      </c>
      <c r="E3179" s="6" t="inlineStr">
        <is>
          <t>R1333539</t>
        </is>
      </c>
      <c r="F3179" s="2" t="n">
        <v>44527</v>
      </c>
      <c r="G3179" s="1" t="n"/>
    </row>
    <row r="3180">
      <c r="A3180" s="6" t="n">
        <v>73762</v>
      </c>
      <c r="B3180" s="6" t="inlineStr">
        <is>
          <t>E &amp; J PEACH BRANDY</t>
        </is>
      </c>
      <c r="C3180" s="7">
        <f>VLOOKUP(A3180,SizeData!A$2:B$3839,2,FALSE)</f>
        <v/>
      </c>
      <c r="D3180" s="6" t="n">
        <v>1</v>
      </c>
      <c r="E3180" s="6" t="inlineStr">
        <is>
          <t>R1000047</t>
        </is>
      </c>
      <c r="F3180" s="2" t="n">
        <v>44207</v>
      </c>
      <c r="G3180" s="1" t="n"/>
    </row>
    <row r="3181">
      <c r="A3181" s="6" t="n">
        <v>73762</v>
      </c>
      <c r="B3181" s="6" t="inlineStr">
        <is>
          <t>E &amp; J PEACH BRANDY</t>
        </is>
      </c>
      <c r="C3181" s="7">
        <f>VLOOKUP(A3181,SizeData!A$2:B$3839,2,FALSE)</f>
        <v/>
      </c>
      <c r="D3181" s="6" t="n">
        <v>5</v>
      </c>
      <c r="E3181" s="6" t="inlineStr">
        <is>
          <t>R1029260</t>
        </is>
      </c>
      <c r="F3181" s="2" t="n">
        <v>44240</v>
      </c>
      <c r="G3181" s="1" t="n"/>
    </row>
    <row r="3182">
      <c r="A3182" s="6" t="n">
        <v>73762</v>
      </c>
      <c r="B3182" s="6" t="inlineStr">
        <is>
          <t>E &amp; J PEACH BRANDY</t>
        </is>
      </c>
      <c r="C3182" s="7">
        <f>VLOOKUP(A3182,SizeData!A$2:B$3839,2,FALSE)</f>
        <v/>
      </c>
      <c r="D3182" s="6" t="n">
        <v>1</v>
      </c>
      <c r="E3182" s="6" t="inlineStr">
        <is>
          <t>R1340613</t>
        </is>
      </c>
      <c r="F3182" s="2" t="n">
        <v>44520</v>
      </c>
      <c r="G3182" s="1" t="n"/>
    </row>
    <row r="3183">
      <c r="A3183" s="6" t="n">
        <v>73762</v>
      </c>
      <c r="B3183" s="6" t="inlineStr">
        <is>
          <t>E &amp; J PEACH BRANDY</t>
        </is>
      </c>
      <c r="C3183" s="7">
        <f>VLOOKUP(A3183,SizeData!A$2:B$3839,2,FALSE)</f>
        <v/>
      </c>
      <c r="D3183" s="6" t="n">
        <v>1</v>
      </c>
      <c r="E3183" s="6" t="inlineStr">
        <is>
          <t>R1329660</t>
        </is>
      </c>
      <c r="F3183" s="2" t="n">
        <v>44525</v>
      </c>
      <c r="G3183" s="1" t="n"/>
    </row>
    <row r="3184">
      <c r="A3184" s="6" t="n">
        <v>73780</v>
      </c>
      <c r="B3184" s="6" t="inlineStr">
        <is>
          <t>E &amp; J VANILLA (BRANDY W/VANILLA LIQUEUR)</t>
        </is>
      </c>
      <c r="C3184" s="7">
        <f>VLOOKUP(A3184,SizeData!A$2:B$3839,2,FALSE)</f>
        <v/>
      </c>
      <c r="D3184" s="6" t="n">
        <v>0</v>
      </c>
      <c r="E3184" s="6" t="inlineStr">
        <is>
          <t>R1314488B</t>
        </is>
      </c>
      <c r="F3184" s="2" t="n">
        <v>44503</v>
      </c>
      <c r="G3184" s="1" t="n"/>
    </row>
    <row r="3185">
      <c r="A3185" s="6" t="n">
        <v>73780</v>
      </c>
      <c r="B3185" s="6" t="inlineStr">
        <is>
          <t>E &amp; J VANILLA BRANDY</t>
        </is>
      </c>
      <c r="C3185" s="7">
        <f>VLOOKUP(A3185,SizeData!A$2:B$3839,2,FALSE)</f>
        <v/>
      </c>
      <c r="D3185" s="6" t="n">
        <v>1</v>
      </c>
      <c r="E3185" s="6" t="inlineStr">
        <is>
          <t>R997526</t>
        </is>
      </c>
      <c r="F3185" s="2" t="n">
        <v>44204</v>
      </c>
      <c r="G3185" s="1" t="n"/>
    </row>
    <row r="3186">
      <c r="A3186" s="6" t="n">
        <v>73780</v>
      </c>
      <c r="B3186" s="6" t="inlineStr">
        <is>
          <t>E &amp; J VANILLA BRANDY</t>
        </is>
      </c>
      <c r="C3186" s="7">
        <f>VLOOKUP(A3186,SizeData!A$2:B$3839,2,FALSE)</f>
        <v/>
      </c>
      <c r="D3186" s="6" t="n">
        <v>2</v>
      </c>
      <c r="E3186" s="6" t="inlineStr">
        <is>
          <t>R1036739</t>
        </is>
      </c>
      <c r="F3186" s="2" t="n">
        <v>44249</v>
      </c>
      <c r="G3186" s="1" t="n"/>
    </row>
    <row r="3187">
      <c r="A3187" s="6" t="n">
        <v>73780</v>
      </c>
      <c r="B3187" s="6" t="inlineStr">
        <is>
          <t>E &amp; J VANILLA BRANDY</t>
        </is>
      </c>
      <c r="C3187" s="7">
        <f>VLOOKUP(A3187,SizeData!A$2:B$3839,2,FALSE)</f>
        <v/>
      </c>
      <c r="D3187" s="6" t="n">
        <v>0</v>
      </c>
      <c r="E3187" s="6" t="inlineStr">
        <is>
          <t>R1301983</t>
        </is>
      </c>
      <c r="F3187" s="2" t="n">
        <v>44501</v>
      </c>
      <c r="G3187" s="1" t="n"/>
    </row>
    <row r="3188">
      <c r="A3188" s="6" t="n">
        <v>73780</v>
      </c>
      <c r="B3188" s="6" t="inlineStr">
        <is>
          <t>E &amp; J VANILLA BRANDY</t>
        </is>
      </c>
      <c r="C3188" s="7">
        <f>VLOOKUP(A3188,SizeData!A$2:B$3839,2,FALSE)</f>
        <v/>
      </c>
      <c r="D3188" s="6" t="n">
        <v>0</v>
      </c>
      <c r="E3188" s="6" t="inlineStr">
        <is>
          <t>R1314488</t>
        </is>
      </c>
      <c r="F3188" s="2" t="n">
        <v>44516</v>
      </c>
      <c r="G3188" s="1" t="n"/>
    </row>
    <row r="3189">
      <c r="A3189" s="6" t="n">
        <v>73986</v>
      </c>
      <c r="B3189" s="6" t="inlineStr">
        <is>
          <t>AMARETTO DI AMORE</t>
        </is>
      </c>
      <c r="C3189" s="7">
        <f>VLOOKUP(A3189,SizeData!A$2:B$3839,2,FALSE)</f>
        <v/>
      </c>
      <c r="D3189" s="6" t="n">
        <v>1</v>
      </c>
      <c r="E3189" s="6" t="inlineStr">
        <is>
          <t>R1173671</t>
        </is>
      </c>
      <c r="F3189" s="2" t="n">
        <v>44394</v>
      </c>
      <c r="G3189" s="1" t="n"/>
    </row>
    <row r="3190">
      <c r="A3190" s="6" t="n">
        <v>73986</v>
      </c>
      <c r="B3190" s="6" t="inlineStr">
        <is>
          <t>AMARETTO DI AMORE</t>
        </is>
      </c>
      <c r="C3190" s="7">
        <f>VLOOKUP(A3190,SizeData!A$2:B$3839,2,FALSE)</f>
        <v/>
      </c>
      <c r="D3190" s="6" t="n">
        <v>1</v>
      </c>
      <c r="E3190" s="6" t="inlineStr">
        <is>
          <t>R1241985</t>
        </is>
      </c>
      <c r="F3190" s="2" t="n">
        <v>44450</v>
      </c>
      <c r="G3190" s="1" t="n"/>
    </row>
    <row r="3191">
      <c r="A3191" s="6" t="n">
        <v>73986</v>
      </c>
      <c r="B3191" s="6" t="inlineStr">
        <is>
          <t>AMARETTO DI AMORE</t>
        </is>
      </c>
      <c r="C3191" s="7">
        <f>VLOOKUP(A3191,SizeData!A$2:B$3839,2,FALSE)</f>
        <v/>
      </c>
      <c r="D3191" s="6" t="n">
        <v>0</v>
      </c>
      <c r="E3191" s="6" t="inlineStr">
        <is>
          <t>R1279942</t>
        </is>
      </c>
      <c r="F3191" s="2" t="n">
        <v>44487</v>
      </c>
      <c r="G3191" s="1" t="n"/>
    </row>
    <row r="3192">
      <c r="A3192" s="6" t="n">
        <v>73986</v>
      </c>
      <c r="B3192" s="6" t="inlineStr">
        <is>
          <t>AMARETTO DI AMORE</t>
        </is>
      </c>
      <c r="C3192" s="7">
        <f>VLOOKUP(A3192,SizeData!A$2:B$3839,2,FALSE)</f>
        <v/>
      </c>
      <c r="D3192" s="6" t="n">
        <v>2</v>
      </c>
      <c r="E3192" s="6" t="inlineStr">
        <is>
          <t>R1311057</t>
        </is>
      </c>
      <c r="F3192" s="2" t="n">
        <v>44501</v>
      </c>
      <c r="G3192" s="1" t="n"/>
    </row>
    <row r="3193">
      <c r="A3193" s="6" t="n">
        <v>73986</v>
      </c>
      <c r="B3193" s="6" t="inlineStr">
        <is>
          <t>AMARETTO DI AMORE</t>
        </is>
      </c>
      <c r="C3193" s="7">
        <f>VLOOKUP(A3193,SizeData!A$2:B$3839,2,FALSE)</f>
        <v/>
      </c>
      <c r="D3193" s="6" t="n">
        <v>0</v>
      </c>
      <c r="E3193" s="6" t="inlineStr">
        <is>
          <t>R1323602</t>
        </is>
      </c>
      <c r="F3193" s="2" t="n">
        <v>44511</v>
      </c>
      <c r="G3193" s="1" t="n"/>
    </row>
    <row r="3194">
      <c r="A3194" s="6" t="n">
        <v>74086</v>
      </c>
      <c r="B3194" s="6" t="inlineStr">
        <is>
          <t>GODIVA LIQUEUR</t>
        </is>
      </c>
      <c r="C3194" s="7">
        <f>VLOOKUP(A3194,SizeData!A$2:B$3839,2,FALSE)</f>
        <v/>
      </c>
      <c r="D3194" s="6" t="n">
        <v>1</v>
      </c>
      <c r="E3194" s="6" t="inlineStr">
        <is>
          <t>R1079679</t>
        </is>
      </c>
      <c r="F3194" s="2" t="n">
        <v>44300</v>
      </c>
      <c r="G3194" s="1" t="n"/>
    </row>
    <row r="3195">
      <c r="A3195" s="6" t="n">
        <v>74782</v>
      </c>
      <c r="B3195" s="6" t="inlineStr">
        <is>
          <t>JACK DANIEL'S WINTER JACK</t>
        </is>
      </c>
      <c r="C3195" s="7">
        <f>VLOOKUP(A3195,SizeData!A$2:B$3839,2,FALSE)</f>
        <v/>
      </c>
      <c r="D3195" s="6" t="n">
        <v>0</v>
      </c>
      <c r="E3195" s="6" t="inlineStr">
        <is>
          <t>R1292296</t>
        </is>
      </c>
      <c r="F3195" s="2" t="n">
        <v>44496</v>
      </c>
      <c r="G3195" s="1" t="n"/>
    </row>
    <row r="3196">
      <c r="A3196" s="6" t="n">
        <v>74782</v>
      </c>
      <c r="B3196" s="6" t="inlineStr">
        <is>
          <t>JACK DANIEL'S WINTER JACK</t>
        </is>
      </c>
      <c r="C3196" s="7">
        <f>VLOOKUP(A3196,SizeData!A$2:B$3839,2,FALSE)</f>
        <v/>
      </c>
      <c r="D3196" s="6" t="n">
        <v>0</v>
      </c>
      <c r="E3196" s="6" t="inlineStr">
        <is>
          <t>R1311055</t>
        </is>
      </c>
      <c r="F3196" s="2" t="n">
        <v>44501</v>
      </c>
      <c r="G3196" s="1" t="n"/>
    </row>
    <row r="3197">
      <c r="A3197" s="6" t="n">
        <v>74801</v>
      </c>
      <c r="B3197" s="6" t="inlineStr">
        <is>
          <t>JACK DANIEL'S TENNESSEE APPLE</t>
        </is>
      </c>
      <c r="C3197" s="7">
        <f>VLOOKUP(A3197,SizeData!A$2:B$3839,2,FALSE)</f>
        <v/>
      </c>
      <c r="D3197" s="6" t="n">
        <v>0</v>
      </c>
      <c r="E3197" s="6" t="inlineStr">
        <is>
          <t>R1253669</t>
        </is>
      </c>
      <c r="F3197" s="2" t="n">
        <v>44471</v>
      </c>
      <c r="G3197" s="1" t="n"/>
    </row>
    <row r="3198">
      <c r="A3198" s="6" t="n">
        <v>74805</v>
      </c>
      <c r="B3198" s="6" t="inlineStr">
        <is>
          <t>JACK DANIEL'S TENNESSEE APPLE</t>
        </is>
      </c>
      <c r="C3198" s="7">
        <f>VLOOKUP(A3198,SizeData!A$2:B$3839,2,FALSE)</f>
        <v/>
      </c>
      <c r="D3198" s="6" t="n">
        <v>2</v>
      </c>
      <c r="E3198" s="6" t="inlineStr">
        <is>
          <t>R1366318</t>
        </is>
      </c>
      <c r="F3198" s="2" t="n">
        <v>44538</v>
      </c>
      <c r="G3198" s="1" t="n"/>
    </row>
    <row r="3199">
      <c r="A3199" s="6" t="n">
        <v>75165</v>
      </c>
      <c r="B3199" s="6" t="inlineStr">
        <is>
          <t>KETEL ONE CUCUMBER &amp; MINT</t>
        </is>
      </c>
      <c r="C3199" s="7">
        <f>VLOOKUP(A3199,SizeData!A$2:B$3839,2,FALSE)</f>
        <v/>
      </c>
      <c r="D3199" s="6" t="n">
        <v>1</v>
      </c>
      <c r="E3199" s="6" t="inlineStr">
        <is>
          <t>R1185856</t>
        </is>
      </c>
      <c r="F3199" s="2" t="n">
        <v>44400</v>
      </c>
      <c r="G3199" s="1" t="n"/>
    </row>
    <row r="3200">
      <c r="A3200" s="6" t="n">
        <v>75181</v>
      </c>
      <c r="B3200" s="6" t="inlineStr">
        <is>
          <t>KETEL ONE GRAPEFRUIT &amp; ROSE</t>
        </is>
      </c>
      <c r="C3200" s="7">
        <f>VLOOKUP(A3200,SizeData!A$2:B$3839,2,FALSE)</f>
        <v/>
      </c>
      <c r="D3200" s="6" t="n">
        <v>1</v>
      </c>
      <c r="E3200" s="6" t="inlineStr">
        <is>
          <t>R1185856</t>
        </is>
      </c>
      <c r="F3200" s="2" t="n">
        <v>44400</v>
      </c>
      <c r="G3200" s="1" t="n"/>
    </row>
    <row r="3201">
      <c r="A3201" s="6" t="n">
        <v>75181</v>
      </c>
      <c r="B3201" s="6" t="inlineStr">
        <is>
          <t>KETEL ONE GRAPEFRUIT &amp; ROSE</t>
        </is>
      </c>
      <c r="C3201" s="7">
        <f>VLOOKUP(A3201,SizeData!A$2:B$3839,2,FALSE)</f>
        <v/>
      </c>
      <c r="D3201" s="6" t="n">
        <v>1</v>
      </c>
      <c r="E3201" s="6" t="inlineStr">
        <is>
          <t>R1340613</t>
        </is>
      </c>
      <c r="F3201" s="2" t="n">
        <v>44520</v>
      </c>
      <c r="G3201" s="1" t="n"/>
    </row>
    <row r="3202">
      <c r="A3202" s="6" t="n">
        <v>75183</v>
      </c>
      <c r="B3202" s="6" t="inlineStr">
        <is>
          <t>KETEL ONE PEACH &amp; ORANGE BLOSSOM</t>
        </is>
      </c>
      <c r="C3202" s="7">
        <f>VLOOKUP(A3202,SizeData!A$2:B$3839,2,FALSE)</f>
        <v/>
      </c>
      <c r="D3202" s="6" t="n">
        <v>1</v>
      </c>
      <c r="E3202" s="6" t="inlineStr">
        <is>
          <t>R1019806</t>
        </is>
      </c>
      <c r="F3202" s="2" t="n">
        <v>44229</v>
      </c>
      <c r="G3202" s="1" t="n"/>
    </row>
    <row r="3203">
      <c r="A3203" s="6" t="n">
        <v>75183</v>
      </c>
      <c r="B3203" s="6" t="inlineStr">
        <is>
          <t>KETEL ONE PEACH &amp; ORANGE BLOSSOM</t>
        </is>
      </c>
      <c r="C3203" s="7">
        <f>VLOOKUP(A3203,SizeData!A$2:B$3839,2,FALSE)</f>
        <v/>
      </c>
      <c r="D3203" s="6" t="n">
        <v>1</v>
      </c>
      <c r="E3203" s="6" t="inlineStr">
        <is>
          <t>R1171594</t>
        </is>
      </c>
      <c r="F3203" s="2" t="n">
        <v>44392</v>
      </c>
      <c r="G3203" s="1" t="n"/>
    </row>
    <row r="3204">
      <c r="A3204" s="6" t="n">
        <v>75210</v>
      </c>
      <c r="B3204" s="6" t="inlineStr">
        <is>
          <t>KINKY PINK LIQUEUR</t>
        </is>
      </c>
      <c r="C3204" s="7">
        <f>VLOOKUP(A3204,SizeData!A$2:B$3839,2,FALSE)</f>
        <v/>
      </c>
      <c r="D3204" s="6" t="n">
        <v>1</v>
      </c>
      <c r="E3204" s="6" t="inlineStr">
        <is>
          <t>R1041727</t>
        </is>
      </c>
      <c r="F3204" s="2" t="n">
        <v>44254</v>
      </c>
      <c r="G3204" s="1" t="n"/>
    </row>
    <row r="3205">
      <c r="A3205" s="6" t="n">
        <v>75230</v>
      </c>
      <c r="B3205" s="6" t="inlineStr">
        <is>
          <t>KINKY RED LIQUEUR</t>
        </is>
      </c>
      <c r="C3205" s="7">
        <f>VLOOKUP(A3205,SizeData!A$2:B$3839,2,FALSE)</f>
        <v/>
      </c>
      <c r="D3205" s="6" t="n">
        <v>1</v>
      </c>
      <c r="E3205" s="6" t="inlineStr">
        <is>
          <t>R1041727</t>
        </is>
      </c>
      <c r="F3205" s="2" t="n">
        <v>44254</v>
      </c>
      <c r="G3205" s="1" t="n"/>
    </row>
    <row r="3206">
      <c r="A3206" s="6" t="n">
        <v>76413</v>
      </c>
      <c r="B3206" s="6" t="inlineStr">
        <is>
          <t>OLE SMOKY BUTTER PECAN MOONSHINE</t>
        </is>
      </c>
      <c r="C3206" s="7">
        <f>VLOOKUP(A3206,SizeData!A$2:B$3839,2,FALSE)</f>
        <v/>
      </c>
      <c r="D3206" s="6" t="n">
        <v>1</v>
      </c>
      <c r="E3206" s="6" t="inlineStr">
        <is>
          <t xml:space="preserve"> R1188252</t>
        </is>
      </c>
      <c r="F3206" s="2" t="n">
        <v>44406</v>
      </c>
      <c r="G3206" s="1" t="n"/>
    </row>
    <row r="3207">
      <c r="A3207" s="6" t="n">
        <v>76413</v>
      </c>
      <c r="B3207" s="6" t="inlineStr">
        <is>
          <t>OLE SMOKY BUTTER PECAN MOONSHINE</t>
        </is>
      </c>
      <c r="C3207" s="7">
        <f>VLOOKUP(A3207,SizeData!A$2:B$3839,2,FALSE)</f>
        <v/>
      </c>
      <c r="D3207" s="6" t="n">
        <v>2</v>
      </c>
      <c r="E3207" s="6" t="inlineStr">
        <is>
          <t>R1234926</t>
        </is>
      </c>
      <c r="F3207" s="2" t="n">
        <v>44448</v>
      </c>
      <c r="G3207" s="1" t="n"/>
    </row>
    <row r="3208">
      <c r="A3208" s="6" t="n">
        <v>76413</v>
      </c>
      <c r="B3208" s="6" t="inlineStr">
        <is>
          <t>OLE SMOKY BUTTER PECAN MOONSHINE</t>
        </is>
      </c>
      <c r="C3208" s="7">
        <f>VLOOKUP(A3208,SizeData!A$2:B$3839,2,FALSE)</f>
        <v/>
      </c>
      <c r="D3208" s="6" t="n">
        <v>2</v>
      </c>
      <c r="E3208" s="6" t="inlineStr">
        <is>
          <t>R1276082</t>
        </is>
      </c>
      <c r="F3208" s="2" t="n">
        <v>44480</v>
      </c>
      <c r="G3208" s="1" t="n"/>
    </row>
    <row r="3209">
      <c r="A3209" s="6" t="n">
        <v>76413</v>
      </c>
      <c r="B3209" s="6" t="inlineStr">
        <is>
          <t>OLE SMOKY BUTTER PECAN MOONSHINE</t>
        </is>
      </c>
      <c r="C3209" s="7">
        <f>VLOOKUP(A3209,SizeData!A$2:B$3839,2,FALSE)</f>
        <v/>
      </c>
      <c r="D3209" s="6" t="n">
        <v>4</v>
      </c>
      <c r="E3209" s="6" t="inlineStr">
        <is>
          <t>R1291275</t>
        </is>
      </c>
      <c r="F3209" s="2" t="n">
        <v>44498</v>
      </c>
      <c r="G3209" s="1" t="n"/>
    </row>
    <row r="3210">
      <c r="A3210" s="6" t="n">
        <v>76467</v>
      </c>
      <c r="B3210" s="6" t="inlineStr">
        <is>
          <t>MR. BOSTON AMARETTO</t>
        </is>
      </c>
      <c r="C3210" s="7">
        <f>VLOOKUP(A3210,SizeData!A$2:B$3839,2,FALSE)</f>
        <v/>
      </c>
      <c r="D3210" s="6" t="n">
        <v>1</v>
      </c>
      <c r="E3210" s="6" t="inlineStr">
        <is>
          <t>R1026567</t>
        </is>
      </c>
      <c r="F3210" s="2" t="n">
        <v>44245</v>
      </c>
      <c r="G3210" s="1" t="n"/>
    </row>
    <row r="3211">
      <c r="A3211" s="6" t="n">
        <v>76467</v>
      </c>
      <c r="B3211" s="6" t="inlineStr">
        <is>
          <t>MR. BOSTON AMARETTO</t>
        </is>
      </c>
      <c r="C3211" s="7">
        <f>VLOOKUP(A3211,SizeData!A$2:B$3839,2,FALSE)</f>
        <v/>
      </c>
      <c r="D3211" s="6" t="n">
        <v>1</v>
      </c>
      <c r="E3211" s="6" t="inlineStr">
        <is>
          <t>R1163234</t>
        </is>
      </c>
      <c r="F3211" s="2" t="n">
        <v>44376</v>
      </c>
      <c r="G3211" s="1" t="n"/>
    </row>
    <row r="3212">
      <c r="A3212" s="6" t="n">
        <v>76467</v>
      </c>
      <c r="B3212" s="6" t="inlineStr">
        <is>
          <t>MR. BOSTON AMARETTO</t>
        </is>
      </c>
      <c r="C3212" s="7">
        <f>VLOOKUP(A3212,SizeData!A$2:B$3839,2,FALSE)</f>
        <v/>
      </c>
      <c r="D3212" s="6" t="n">
        <v>1</v>
      </c>
      <c r="E3212" s="6" t="inlineStr">
        <is>
          <t>R1279942</t>
        </is>
      </c>
      <c r="F3212" s="2" t="n">
        <v>44487</v>
      </c>
      <c r="G3212" s="1" t="n"/>
    </row>
    <row r="3213">
      <c r="A3213" s="6" t="n">
        <v>76467</v>
      </c>
      <c r="B3213" s="6" t="inlineStr">
        <is>
          <t>MR. BOSTON AMARETTO</t>
        </is>
      </c>
      <c r="C3213" s="7">
        <f>VLOOKUP(A3213,SizeData!A$2:B$3839,2,FALSE)</f>
        <v/>
      </c>
      <c r="D3213" s="6" t="n">
        <v>0</v>
      </c>
      <c r="E3213" s="6" t="inlineStr">
        <is>
          <t>R1299583</t>
        </is>
      </c>
      <c r="F3213" s="2" t="n">
        <v>44502</v>
      </c>
      <c r="G3213" s="1" t="n"/>
    </row>
    <row r="3214">
      <c r="A3214" s="6" t="n">
        <v>76477</v>
      </c>
      <c r="B3214" s="6" t="inlineStr">
        <is>
          <t>MR. BOSTON MELON</t>
        </is>
      </c>
      <c r="C3214" s="7">
        <f>VLOOKUP(A3214,SizeData!A$2:B$3839,2,FALSE)</f>
        <v/>
      </c>
      <c r="D3214" s="6" t="n">
        <v>1</v>
      </c>
      <c r="E3214" s="6" t="inlineStr">
        <is>
          <t>R1135580</t>
        </is>
      </c>
      <c r="F3214" s="2" t="n">
        <v>44340</v>
      </c>
      <c r="G3214" s="1" t="n"/>
    </row>
    <row r="3215">
      <c r="A3215" s="6" t="n">
        <v>76477</v>
      </c>
      <c r="B3215" s="6" t="inlineStr">
        <is>
          <t>MR. BOSTON MELON</t>
        </is>
      </c>
      <c r="C3215" s="7">
        <f>VLOOKUP(A3215,SizeData!A$2:B$3839,2,FALSE)</f>
        <v/>
      </c>
      <c r="D3215" s="6" t="n">
        <v>2</v>
      </c>
      <c r="E3215" s="6" t="inlineStr">
        <is>
          <t>R1183360</t>
        </is>
      </c>
      <c r="F3215" s="2" t="n">
        <v>44405</v>
      </c>
      <c r="G3215" s="1" t="n"/>
    </row>
    <row r="3216">
      <c r="A3216" s="6" t="n">
        <v>76477</v>
      </c>
      <c r="B3216" s="6" t="inlineStr">
        <is>
          <t>MR. BOSTON MELON</t>
        </is>
      </c>
      <c r="C3216" s="7">
        <f>VLOOKUP(A3216,SizeData!A$2:B$3839,2,FALSE)</f>
        <v/>
      </c>
      <c r="D3216" s="6" t="n">
        <v>1</v>
      </c>
      <c r="E3216" s="6" t="inlineStr">
        <is>
          <t>R1338150</t>
        </is>
      </c>
      <c r="F3216" s="2" t="n">
        <v>44529</v>
      </c>
      <c r="G3216" s="1" t="n"/>
    </row>
    <row r="3217">
      <c r="A3217" s="6" t="n">
        <v>76892</v>
      </c>
      <c r="B3217" s="6" t="inlineStr">
        <is>
          <t>PLANTATION STIGGINS' FANCY PINEAPPLE RUM</t>
        </is>
      </c>
      <c r="C3217" s="7">
        <f>VLOOKUP(A3217,SizeData!A$2:B$3839,2,FALSE)</f>
        <v/>
      </c>
      <c r="D3217" s="6" t="n">
        <v>1</v>
      </c>
      <c r="E3217" s="6" t="inlineStr">
        <is>
          <t>R1218514</t>
        </is>
      </c>
      <c r="F3217" s="2" t="n">
        <v>44432</v>
      </c>
      <c r="G3217" s="1" t="n"/>
    </row>
    <row r="3218">
      <c r="A3218" s="6" t="n">
        <v>77419</v>
      </c>
      <c r="B3218" s="6" t="inlineStr">
        <is>
          <t>STINKY GRINGO MARGARITA RTD</t>
        </is>
      </c>
      <c r="C3218" s="7">
        <f>VLOOKUP(A3218,SizeData!A$2:B$3839,2,FALSE)</f>
        <v/>
      </c>
      <c r="D3218" s="6" t="n">
        <v>1</v>
      </c>
      <c r="E3218" s="6" t="inlineStr">
        <is>
          <t>R991186</t>
        </is>
      </c>
      <c r="F3218" s="2" t="n">
        <v>44203</v>
      </c>
      <c r="G3218" s="1" t="n"/>
    </row>
    <row r="3219">
      <c r="A3219" s="6" t="n">
        <v>77419</v>
      </c>
      <c r="B3219" s="6" t="inlineStr">
        <is>
          <t>STINKY GRINGO MARGARITA RTD</t>
        </is>
      </c>
      <c r="C3219" s="7">
        <f>VLOOKUP(A3219,SizeData!A$2:B$3839,2,FALSE)</f>
        <v/>
      </c>
      <c r="D3219" s="6" t="n">
        <v>5</v>
      </c>
      <c r="E3219" s="6" t="inlineStr">
        <is>
          <t>R1001511</t>
        </is>
      </c>
      <c r="F3219" s="2" t="n">
        <v>44208</v>
      </c>
      <c r="G3219" s="1" t="n"/>
    </row>
    <row r="3220">
      <c r="A3220" s="6" t="n">
        <v>77419</v>
      </c>
      <c r="B3220" s="6" t="inlineStr">
        <is>
          <t>STINKY GRINGO MARGARITA RTD</t>
        </is>
      </c>
      <c r="C3220" s="7">
        <f>VLOOKUP(A3220,SizeData!A$2:B$3839,2,FALSE)</f>
        <v/>
      </c>
      <c r="D3220" s="6" t="n">
        <v>10</v>
      </c>
      <c r="E3220" s="6" t="inlineStr">
        <is>
          <t>R1003015</t>
        </is>
      </c>
      <c r="F3220" s="2" t="n">
        <v>44216</v>
      </c>
      <c r="G3220" s="1" t="n"/>
    </row>
    <row r="3221">
      <c r="A3221" s="6" t="n">
        <v>77420</v>
      </c>
      <c r="B3221" s="6" t="inlineStr">
        <is>
          <t>STINKY GRINGO MARGARITA RTD</t>
        </is>
      </c>
      <c r="C3221" s="7">
        <f>VLOOKUP(A3221,SizeData!A$2:B$3839,2,FALSE)</f>
        <v/>
      </c>
      <c r="D3221" s="6" t="n">
        <v>3</v>
      </c>
      <c r="E3221" s="6" t="inlineStr">
        <is>
          <t>R1137596</t>
        </is>
      </c>
      <c r="F3221" s="2" t="n">
        <v>44359</v>
      </c>
      <c r="G3221" s="1" t="n"/>
    </row>
    <row r="3222">
      <c r="A3222" s="6" t="n">
        <v>77577</v>
      </c>
      <c r="B3222" s="6" t="inlineStr">
        <is>
          <t>TWENTY GRAND VODKA INFUSED W/COGNAC</t>
        </is>
      </c>
      <c r="C3222" s="7">
        <f>VLOOKUP(A3222,SizeData!A$2:B$3839,2,FALSE)</f>
        <v/>
      </c>
      <c r="D3222" s="6" t="n">
        <v>1</v>
      </c>
      <c r="E3222" s="6" t="inlineStr">
        <is>
          <t>R1084236</t>
        </is>
      </c>
      <c r="F3222" s="2" t="n">
        <v>44296</v>
      </c>
      <c r="G3222" s="1" t="n"/>
    </row>
    <row r="3223">
      <c r="A3223" s="6" t="n">
        <v>77577</v>
      </c>
      <c r="B3223" s="6" t="inlineStr">
        <is>
          <t>TWENTY GRAND VODKA INFUSED W/COGNAC</t>
        </is>
      </c>
      <c r="C3223" s="7">
        <f>VLOOKUP(A3223,SizeData!A$2:B$3839,2,FALSE)</f>
        <v/>
      </c>
      <c r="D3223" s="6" t="n">
        <v>0</v>
      </c>
      <c r="E3223" s="6" t="inlineStr">
        <is>
          <t>R1262670</t>
        </is>
      </c>
      <c r="F3223" s="2" t="n">
        <v>44470</v>
      </c>
      <c r="G3223" s="1" t="n"/>
    </row>
    <row r="3224">
      <c r="A3224" s="6" t="n">
        <v>77577</v>
      </c>
      <c r="B3224" s="6" t="inlineStr">
        <is>
          <t>TWENTY GRAND VODKA INFUSED W/COGNAC</t>
        </is>
      </c>
      <c r="C3224" s="7">
        <f>VLOOKUP(A3224,SizeData!A$2:B$3839,2,FALSE)</f>
        <v/>
      </c>
      <c r="D3224" s="6" t="n">
        <v>0</v>
      </c>
      <c r="E3224" s="6" t="inlineStr">
        <is>
          <t>R1286225</t>
        </is>
      </c>
      <c r="F3224" s="2" t="n">
        <v>44478</v>
      </c>
      <c r="G3224" s="1" t="n"/>
    </row>
    <row r="3225">
      <c r="A3225" s="6" t="n">
        <v>77577</v>
      </c>
      <c r="B3225" s="6" t="inlineStr">
        <is>
          <t>TWENTY GRAND VODKA INFUSED W/COGNAC</t>
        </is>
      </c>
      <c r="C3225" s="7">
        <f>VLOOKUP(A3225,SizeData!A$2:B$3839,2,FALSE)</f>
        <v/>
      </c>
      <c r="D3225" s="6" t="n">
        <v>3</v>
      </c>
      <c r="E3225" s="6" t="inlineStr">
        <is>
          <t>R1283487</t>
        </is>
      </c>
      <c r="F3225" s="2" t="n">
        <v>44494</v>
      </c>
      <c r="G3225" s="1" t="n"/>
    </row>
    <row r="3226">
      <c r="A3226" s="6" t="n">
        <v>77599</v>
      </c>
      <c r="B3226" s="6" t="inlineStr">
        <is>
          <t>RED EYE LOUIES VODQUILA</t>
        </is>
      </c>
      <c r="C3226" s="7">
        <f>VLOOKUP(A3226,SizeData!A$2:B$3839,2,FALSE)</f>
        <v/>
      </c>
      <c r="D3226" s="6" t="n">
        <v>1</v>
      </c>
      <c r="E3226" s="6" t="inlineStr">
        <is>
          <t>R1027826</t>
        </is>
      </c>
      <c r="F3226" s="2" t="n">
        <v>44229</v>
      </c>
      <c r="G3226" s="1" t="n"/>
    </row>
    <row r="3227">
      <c r="A3227" s="6" t="n">
        <v>77599</v>
      </c>
      <c r="B3227" s="6" t="inlineStr">
        <is>
          <t>RED EYE LOUIES VODQUILA</t>
        </is>
      </c>
      <c r="C3227" s="7">
        <f>VLOOKUP(A3227,SizeData!A$2:B$3839,2,FALSE)</f>
        <v/>
      </c>
      <c r="D3227" s="6" t="n">
        <v>1</v>
      </c>
      <c r="E3227" s="6" t="inlineStr">
        <is>
          <t>R1027826</t>
        </is>
      </c>
      <c r="F3227" s="2" t="n">
        <v>44229</v>
      </c>
      <c r="G3227" s="1" t="n"/>
    </row>
    <row r="3228">
      <c r="A3228" s="6" t="n">
        <v>77599</v>
      </c>
      <c r="B3228" s="6" t="inlineStr">
        <is>
          <t>RED EYE LOUIES VODQUILA</t>
        </is>
      </c>
      <c r="C3228" s="7">
        <f>VLOOKUP(A3228,SizeData!A$2:B$3839,2,FALSE)</f>
        <v/>
      </c>
      <c r="D3228" s="6" t="n">
        <v>2</v>
      </c>
      <c r="E3228" s="6" t="inlineStr">
        <is>
          <t>R1320287</t>
        </is>
      </c>
      <c r="F3228" s="2" t="n">
        <v>44506</v>
      </c>
      <c r="G3228" s="1" t="n"/>
    </row>
    <row r="3229">
      <c r="A3229" s="6" t="n">
        <v>77683</v>
      </c>
      <c r="B3229" s="6" t="inlineStr">
        <is>
          <t>SMIRNOFF KISS CARAMEL VODKA SPECIALT</t>
        </is>
      </c>
      <c r="C3229" s="7">
        <f>VLOOKUP(A3229,SizeData!A$2:B$3839,2,FALSE)</f>
        <v/>
      </c>
      <c r="D3229" s="6" t="n">
        <v>1</v>
      </c>
      <c r="E3229" s="6" t="inlineStr">
        <is>
          <t>R1058918</t>
        </is>
      </c>
      <c r="F3229" s="2" t="n">
        <v>44273</v>
      </c>
      <c r="G3229" s="1" t="n"/>
    </row>
    <row r="3230">
      <c r="A3230" s="6" t="n">
        <v>77683</v>
      </c>
      <c r="B3230" s="6" t="inlineStr">
        <is>
          <t>SMIRNOFF KISS CARAMEL VODKA SPECIALT</t>
        </is>
      </c>
      <c r="C3230" s="7">
        <f>VLOOKUP(A3230,SizeData!A$2:B$3839,2,FALSE)</f>
        <v/>
      </c>
      <c r="D3230" s="6" t="n">
        <v>1</v>
      </c>
      <c r="E3230" s="6" t="inlineStr">
        <is>
          <t>R1109574</t>
        </is>
      </c>
      <c r="F3230" s="2" t="n">
        <v>44331</v>
      </c>
      <c r="G3230" s="1" t="n"/>
    </row>
    <row r="3231">
      <c r="A3231" s="6" t="n">
        <v>77683</v>
      </c>
      <c r="B3231" s="6" t="inlineStr">
        <is>
          <t>SMIRNOFF KISS CARAMEL VODKA SPECIALT</t>
        </is>
      </c>
      <c r="C3231" s="7">
        <f>VLOOKUP(A3231,SizeData!A$2:B$3839,2,FALSE)</f>
        <v/>
      </c>
      <c r="D3231" s="6" t="n">
        <v>1</v>
      </c>
      <c r="E3231" s="6" t="inlineStr">
        <is>
          <t>R1156117</t>
        </is>
      </c>
      <c r="F3231" s="2" t="n">
        <v>44362</v>
      </c>
      <c r="G3231" s="1" t="n"/>
    </row>
    <row r="3232">
      <c r="A3232" s="6" t="n">
        <v>77683</v>
      </c>
      <c r="B3232" s="6" t="inlineStr">
        <is>
          <t>SMIRNOFF KISS CARAMEL VODKA SPECIALT</t>
        </is>
      </c>
      <c r="C3232" s="7">
        <f>VLOOKUP(A3232,SizeData!A$2:B$3839,2,FALSE)</f>
        <v/>
      </c>
      <c r="D3232" s="6" t="n">
        <v>1</v>
      </c>
      <c r="E3232" s="6" t="inlineStr">
        <is>
          <t>R1156671</t>
        </is>
      </c>
      <c r="F3232" s="2" t="n">
        <v>44369</v>
      </c>
      <c r="G3232" s="1" t="n"/>
    </row>
    <row r="3233">
      <c r="A3233" s="6" t="n">
        <v>77683</v>
      </c>
      <c r="B3233" s="6" t="inlineStr">
        <is>
          <t>SMIRNOFF KISS CARAMEL VODKA SPECIALT</t>
        </is>
      </c>
      <c r="C3233" s="7">
        <f>VLOOKUP(A3233,SizeData!A$2:B$3839,2,FALSE)</f>
        <v/>
      </c>
      <c r="D3233" s="6" t="n">
        <v>0</v>
      </c>
      <c r="E3233" s="6" t="inlineStr">
        <is>
          <t>R1265540</t>
        </is>
      </c>
      <c r="F3233" s="2" t="n">
        <v>44459</v>
      </c>
      <c r="G3233" s="1" t="n"/>
    </row>
    <row r="3234">
      <c r="A3234" s="6" t="n">
        <v>77683</v>
      </c>
      <c r="B3234" s="6" t="inlineStr">
        <is>
          <t>SMIRNOFF KISS CARAMEL VODKA SPECIALT</t>
        </is>
      </c>
      <c r="C3234" s="7">
        <f>VLOOKUP(A3234,SizeData!A$2:B$3839,2,FALSE)</f>
        <v/>
      </c>
      <c r="D3234" s="6" t="n">
        <v>0</v>
      </c>
      <c r="E3234" s="6" t="inlineStr">
        <is>
          <t>R1275278</t>
        </is>
      </c>
      <c r="F3234" s="2" t="n">
        <v>44478</v>
      </c>
      <c r="G3234" s="1" t="n"/>
    </row>
    <row r="3235">
      <c r="A3235" s="6" t="n">
        <v>77683</v>
      </c>
      <c r="B3235" s="6" t="inlineStr">
        <is>
          <t>SMIRNOFF KISS CARAMEL VODKA SPECIALT</t>
        </is>
      </c>
      <c r="C3235" s="7">
        <f>VLOOKUP(A3235,SizeData!A$2:B$3839,2,FALSE)</f>
        <v/>
      </c>
      <c r="D3235" s="6" t="n">
        <v>0</v>
      </c>
      <c r="E3235" s="6" t="inlineStr">
        <is>
          <t>R1301804</t>
        </is>
      </c>
      <c r="F3235" s="2" t="n">
        <v>44492</v>
      </c>
      <c r="G3235" s="1" t="n"/>
    </row>
    <row r="3236">
      <c r="A3236" s="31" t="n">
        <v>77683</v>
      </c>
      <c r="B3236" s="31" t="inlineStr">
        <is>
          <t>SMIRNOFF KISS CARAMEL VODKA SPECIALT</t>
        </is>
      </c>
      <c r="C3236" s="7">
        <f>VLOOKUP(A3236,SizeData!A$2:B$3839,2,FALSE)</f>
        <v/>
      </c>
      <c r="D3236" s="31" t="n">
        <v>1</v>
      </c>
      <c r="E3236" s="31" t="inlineStr">
        <is>
          <t>R1320287</t>
        </is>
      </c>
      <c r="F3236" s="33" t="n">
        <v>44506</v>
      </c>
      <c r="G3236" s="34" t="n"/>
    </row>
    <row r="3237">
      <c r="A3237" s="6" t="n">
        <v>77683</v>
      </c>
      <c r="B3237" s="6" t="inlineStr">
        <is>
          <t>SMIRNOFF KISS CARAMEL VODKA SPECIALT</t>
        </is>
      </c>
      <c r="C3237" s="7">
        <f>VLOOKUP(A3237,SizeData!A$2:B$3839,2,FALSE)</f>
        <v/>
      </c>
      <c r="D3237" s="6" t="n">
        <v>1</v>
      </c>
      <c r="E3237" s="6" t="inlineStr">
        <is>
          <t>R1348543</t>
        </is>
      </c>
      <c r="F3237" s="2" t="n">
        <v>44534</v>
      </c>
      <c r="G3237" s="1" t="n"/>
    </row>
    <row r="3238">
      <c r="A3238" s="6" t="n">
        <v>77771</v>
      </c>
      <c r="B3238" s="6" t="inlineStr">
        <is>
          <t>WILD TURKEY AMERICAN HONEY</t>
        </is>
      </c>
      <c r="C3238" s="7">
        <f>VLOOKUP(A3238,SizeData!A$2:B$3839,2,FALSE)</f>
        <v/>
      </c>
      <c r="D3238" s="6" t="n">
        <v>1</v>
      </c>
      <c r="E3238" s="6" t="n">
        <v>120</v>
      </c>
      <c r="F3238" s="2" t="n">
        <v>44639.66</v>
      </c>
      <c r="G3238" s="1" t="n"/>
    </row>
    <row r="3239">
      <c r="A3239" s="6" t="n">
        <v>77771</v>
      </c>
      <c r="B3239" s="6" t="inlineStr">
        <is>
          <t>WILD TURKEY AMERICAN HONEY</t>
        </is>
      </c>
      <c r="C3239" s="7">
        <f>VLOOKUP(A3239,SizeData!A$2:B$3839,2,FALSE)</f>
        <v/>
      </c>
      <c r="D3239" s="6" t="n">
        <v>1</v>
      </c>
      <c r="E3239" s="6" t="inlineStr">
        <is>
          <t>R1102384</t>
        </is>
      </c>
      <c r="F3239" s="2" t="n">
        <v>44314</v>
      </c>
      <c r="G3239" s="1" t="n"/>
    </row>
    <row r="3240">
      <c r="A3240" s="6" t="n">
        <v>77771</v>
      </c>
      <c r="B3240" s="6" t="inlineStr">
        <is>
          <t>WILD TURKEY AMERICAN HONEY</t>
        </is>
      </c>
      <c r="C3240" s="7">
        <f>VLOOKUP(A3240,SizeData!A$2:B$3839,2,FALSE)</f>
        <v/>
      </c>
      <c r="D3240" s="6" t="n">
        <v>1</v>
      </c>
      <c r="E3240" s="6" t="inlineStr">
        <is>
          <t>R1143298</t>
        </is>
      </c>
      <c r="F3240" s="2" t="n">
        <v>44364</v>
      </c>
      <c r="G3240" s="1" t="n"/>
    </row>
    <row r="3241">
      <c r="A3241" s="6" t="n">
        <v>77771</v>
      </c>
      <c r="B3241" s="6" t="inlineStr">
        <is>
          <t>WILD TURKEY AMERICAN HONEY</t>
        </is>
      </c>
      <c r="C3241" s="7">
        <f>VLOOKUP(A3241,SizeData!A$2:B$3839,2,FALSE)</f>
        <v/>
      </c>
      <c r="D3241" s="6" t="n">
        <v>1</v>
      </c>
      <c r="E3241" s="6" t="inlineStr">
        <is>
          <t>R1176234</t>
        </is>
      </c>
      <c r="F3241" s="2" t="n">
        <v>44386</v>
      </c>
      <c r="G3241" s="1" t="n"/>
    </row>
    <row r="3242">
      <c r="A3242" s="6" t="n">
        <v>77771</v>
      </c>
      <c r="B3242" s="6" t="inlineStr">
        <is>
          <t>WILD TURKEY AMERICAN HONEY</t>
        </is>
      </c>
      <c r="C3242" s="7">
        <f>VLOOKUP(A3242,SizeData!A$2:B$3839,2,FALSE)</f>
        <v/>
      </c>
      <c r="D3242" s="6" t="n">
        <v>1</v>
      </c>
      <c r="E3242" s="6" t="inlineStr">
        <is>
          <t>R1246630</t>
        </is>
      </c>
      <c r="F3242" s="2" t="n">
        <v>44450</v>
      </c>
      <c r="G3242" s="1" t="n"/>
    </row>
    <row r="3243">
      <c r="A3243" s="6" t="n">
        <v>77771</v>
      </c>
      <c r="B3243" s="6" t="inlineStr">
        <is>
          <t>WILD TURKEY AMERICAN HONEY</t>
        </is>
      </c>
      <c r="C3243" s="7">
        <f>VLOOKUP(A3243,SizeData!A$2:B$3839,2,FALSE)</f>
        <v/>
      </c>
      <c r="D3243" s="6" t="n">
        <v>0</v>
      </c>
      <c r="E3243" s="6" t="inlineStr">
        <is>
          <t>R1275378</t>
        </is>
      </c>
      <c r="F3243" s="2" t="n">
        <v>44478</v>
      </c>
      <c r="G3243" s="1" t="n"/>
    </row>
    <row r="3244">
      <c r="A3244" s="6" t="n">
        <v>77771</v>
      </c>
      <c r="B3244" s="6" t="inlineStr">
        <is>
          <t>WILD TURKEY AMERICAN HONEY</t>
        </is>
      </c>
      <c r="C3244" s="7">
        <f>VLOOKUP(A3244,SizeData!A$2:B$3839,2,FALSE)</f>
        <v/>
      </c>
      <c r="D3244" s="6" t="n">
        <v>1</v>
      </c>
      <c r="E3244" s="6" t="inlineStr">
        <is>
          <t>R1301804</t>
        </is>
      </c>
      <c r="F3244" s="2" t="n">
        <v>44492</v>
      </c>
      <c r="G3244" s="1" t="n"/>
    </row>
    <row r="3245">
      <c r="A3245" s="6" t="n">
        <v>77771</v>
      </c>
      <c r="B3245" s="6" t="inlineStr">
        <is>
          <t>WILD TURKEY AMERICAN HONEY</t>
        </is>
      </c>
      <c r="C3245" s="7">
        <f>VLOOKUP(A3245,SizeData!A$2:B$3839,2,FALSE)</f>
        <v/>
      </c>
      <c r="D3245" s="6" t="n">
        <v>3</v>
      </c>
      <c r="E3245" s="6" t="inlineStr">
        <is>
          <t>R1338150</t>
        </is>
      </c>
      <c r="F3245" s="2" t="n">
        <v>44529</v>
      </c>
      <c r="G3245" s="1" t="n"/>
    </row>
    <row r="3246">
      <c r="A3246" s="6" t="n">
        <v>77776</v>
      </c>
      <c r="B3246" s="6" t="inlineStr">
        <is>
          <t>WILD TURKEY AMERICAN HONEY</t>
        </is>
      </c>
      <c r="C3246" s="7">
        <f>VLOOKUP(A3246,SizeData!A$2:B$3839,2,FALSE)</f>
        <v/>
      </c>
      <c r="D3246" s="6" t="n">
        <v>2</v>
      </c>
      <c r="E3246" s="6" t="inlineStr">
        <is>
          <t>R1045566</t>
        </is>
      </c>
      <c r="F3246" s="2" t="n">
        <v>44253</v>
      </c>
      <c r="G3246" s="1" t="n"/>
    </row>
    <row r="3247">
      <c r="A3247" s="6" t="n">
        <v>77776</v>
      </c>
      <c r="B3247" s="6" t="inlineStr">
        <is>
          <t>WILD TURKEY AMERICAN HONEY</t>
        </is>
      </c>
      <c r="C3247" s="7">
        <f>VLOOKUP(A3247,SizeData!A$2:B$3839,2,FALSE)</f>
        <v/>
      </c>
      <c r="D3247" s="6" t="n">
        <v>2</v>
      </c>
      <c r="E3247" s="6" t="inlineStr">
        <is>
          <t xml:space="preserve"> R1101656</t>
        </is>
      </c>
      <c r="F3247" s="2" t="n">
        <v>44313</v>
      </c>
      <c r="G3247" s="1" t="n"/>
    </row>
    <row r="3248">
      <c r="A3248" s="6" t="n">
        <v>77776</v>
      </c>
      <c r="B3248" s="6" t="inlineStr">
        <is>
          <t>WILD TURKEY AMERICAN HONEY</t>
        </is>
      </c>
      <c r="C3248" s="7">
        <f>VLOOKUP(A3248,SizeData!A$2:B$3839,2,FALSE)</f>
        <v/>
      </c>
      <c r="D3248" s="6" t="n">
        <v>1</v>
      </c>
      <c r="E3248" s="6" t="inlineStr">
        <is>
          <t xml:space="preserve"> R1151228</t>
        </is>
      </c>
      <c r="F3248" s="2" t="n">
        <v>44363</v>
      </c>
      <c r="G3248" s="1" t="n"/>
    </row>
    <row r="3249">
      <c r="A3249" s="6" t="n">
        <v>77776</v>
      </c>
      <c r="B3249" s="6" t="inlineStr">
        <is>
          <t>WILD TURKEY AMERICAN HONEY</t>
        </is>
      </c>
      <c r="C3249" s="7">
        <f>VLOOKUP(A3249,SizeData!A$2:B$3839,2,FALSE)</f>
        <v/>
      </c>
      <c r="D3249" s="6" t="n">
        <v>1</v>
      </c>
      <c r="E3249" s="6" t="inlineStr">
        <is>
          <t>R1341373</t>
        </is>
      </c>
      <c r="F3249" s="2" t="n">
        <v>44531</v>
      </c>
      <c r="G3249" s="1" t="n"/>
    </row>
    <row r="3250">
      <c r="A3250" s="6" t="n">
        <v>77777</v>
      </c>
      <c r="B3250" s="6" t="inlineStr">
        <is>
          <t>WILD TURKEY AMERICAN HONEY</t>
        </is>
      </c>
      <c r="C3250" s="7">
        <f>VLOOKUP(A3250,SizeData!A$2:B$3839,2,FALSE)</f>
        <v/>
      </c>
      <c r="D3250" s="6" t="n">
        <v>2</v>
      </c>
      <c r="E3250" s="6" t="inlineStr">
        <is>
          <t>R1075636</t>
        </is>
      </c>
      <c r="F3250" s="2" t="n">
        <v>44280</v>
      </c>
      <c r="G3250" s="1" t="n"/>
    </row>
    <row r="3251">
      <c r="A3251" s="6" t="n">
        <v>77777</v>
      </c>
      <c r="B3251" s="6" t="inlineStr">
        <is>
          <t>WILD TURKEY AMERICAN HONEY</t>
        </is>
      </c>
      <c r="C3251" s="7">
        <f>VLOOKUP(A3251,SizeData!A$2:B$3839,2,FALSE)</f>
        <v/>
      </c>
      <c r="D3251" s="6" t="n">
        <v>1</v>
      </c>
      <c r="E3251" s="6" t="inlineStr">
        <is>
          <t>R1233531</t>
        </is>
      </c>
      <c r="F3251" s="2" t="n">
        <v>44450</v>
      </c>
      <c r="G3251" s="1" t="n"/>
    </row>
    <row r="3252">
      <c r="A3252" s="6" t="n">
        <v>77777</v>
      </c>
      <c r="B3252" s="6" t="inlineStr">
        <is>
          <t>WILD TURKEY AMERICAN HONEY</t>
        </is>
      </c>
      <c r="C3252" s="7">
        <f>VLOOKUP(A3252,SizeData!A$2:B$3839,2,FALSE)</f>
        <v/>
      </c>
      <c r="D3252" s="6" t="n">
        <v>1</v>
      </c>
      <c r="E3252" s="6" t="inlineStr">
        <is>
          <t>R1246630</t>
        </is>
      </c>
      <c r="F3252" s="2" t="n">
        <v>44450</v>
      </c>
      <c r="G3252" s="1" t="n"/>
    </row>
    <row r="3253">
      <c r="A3253" s="6" t="n">
        <v>77779</v>
      </c>
      <c r="B3253" s="6" t="inlineStr">
        <is>
          <t>WILD TURKEY AMERICAN HONEY</t>
        </is>
      </c>
      <c r="C3253" s="7">
        <f>VLOOKUP(A3253,SizeData!A$2:B$3839,2,FALSE)</f>
        <v/>
      </c>
      <c r="D3253" s="6" t="n">
        <v>2</v>
      </c>
      <c r="E3253" s="6" t="inlineStr">
        <is>
          <t>R1043269</t>
        </is>
      </c>
      <c r="F3253" s="2" t="n">
        <v>44263</v>
      </c>
      <c r="G3253" s="1" t="n"/>
    </row>
    <row r="3254">
      <c r="A3254" s="6" t="n">
        <v>77897</v>
      </c>
      <c r="B3254" s="6" t="inlineStr">
        <is>
          <t>TWENTY GRAND PEACH:VODKA/COGNAC &amp; PEACH</t>
        </is>
      </c>
      <c r="C3254" s="7">
        <f>VLOOKUP(A3254,SizeData!A$2:B$3839,2,FALSE)</f>
        <v/>
      </c>
      <c r="D3254" s="6" t="n">
        <v>3</v>
      </c>
      <c r="E3254" s="6" t="inlineStr">
        <is>
          <t>R1264756</t>
        </is>
      </c>
      <c r="F3254" s="2" t="n">
        <v>44472</v>
      </c>
      <c r="G3254" s="1" t="n"/>
    </row>
    <row r="3255">
      <c r="A3255" s="6" t="n">
        <v>78025</v>
      </c>
      <c r="B3255" s="6" t="inlineStr">
        <is>
          <t>SMIRNOFF PINEAPPLE - PET</t>
        </is>
      </c>
      <c r="C3255" s="7">
        <f>VLOOKUP(A3255,SizeData!A$2:B$3839,2,FALSE)</f>
        <v/>
      </c>
      <c r="D3255" s="6" t="n">
        <v>1</v>
      </c>
      <c r="E3255" s="6" t="inlineStr">
        <is>
          <t>R1028707</t>
        </is>
      </c>
      <c r="F3255" s="2" t="n">
        <v>44229</v>
      </c>
      <c r="G3255" s="1" t="n"/>
    </row>
    <row r="3256">
      <c r="A3256" s="6" t="n">
        <v>78029</v>
      </c>
      <c r="B3256" s="6" t="inlineStr">
        <is>
          <t>SMIRNOFF WATERMELON VODKA (PET)</t>
        </is>
      </c>
      <c r="C3256" s="7">
        <f>VLOOKUP(A3256,SizeData!A$2:B$3839,2,FALSE)</f>
        <v/>
      </c>
      <c r="D3256" s="6" t="n">
        <v>1</v>
      </c>
      <c r="E3256" s="6" t="inlineStr">
        <is>
          <t>R1028707</t>
        </is>
      </c>
      <c r="F3256" s="2" t="n">
        <v>44229</v>
      </c>
      <c r="G3256" s="1" t="n"/>
    </row>
    <row r="3257">
      <c r="A3257" s="6" t="n">
        <v>78063</v>
      </c>
      <c r="B3257" s="6" t="inlineStr">
        <is>
          <t>SMIRNOFF PEACH - PET</t>
        </is>
      </c>
      <c r="C3257" s="7">
        <f>VLOOKUP(A3257,SizeData!A$2:B$3839,2,FALSE)</f>
        <v/>
      </c>
      <c r="D3257" s="6" t="n">
        <v>1</v>
      </c>
      <c r="E3257" s="6" t="inlineStr">
        <is>
          <t>R1036739</t>
        </is>
      </c>
      <c r="F3257" s="2" t="n">
        <v>44249</v>
      </c>
      <c r="G3257" s="1" t="n"/>
    </row>
    <row r="3258">
      <c r="A3258" s="6" t="n">
        <v>78091</v>
      </c>
      <c r="B3258" s="6" t="inlineStr">
        <is>
          <t>SMIRNOFF STRAWBERRY</t>
        </is>
      </c>
      <c r="C3258" s="7">
        <f>VLOOKUP(A3258,SizeData!A$2:B$3839,2,FALSE)</f>
        <v/>
      </c>
      <c r="D3258" s="6" t="n">
        <v>1</v>
      </c>
      <c r="E3258" s="6" t="inlineStr">
        <is>
          <t>R1028707</t>
        </is>
      </c>
      <c r="F3258" s="2" t="n">
        <v>44229</v>
      </c>
      <c r="G3258" s="1" t="n"/>
    </row>
    <row r="3259">
      <c r="A3259" s="6" t="n">
        <v>78107</v>
      </c>
      <c r="B3259" s="6" t="inlineStr">
        <is>
          <t>SUGARLANDS APP BANANA PUDDING SIPPIN' CREAM</t>
        </is>
      </c>
      <c r="C3259" s="7">
        <f>VLOOKUP(A3259,SizeData!A$2:B$3839,2,FALSE)</f>
        <v/>
      </c>
      <c r="D3259" s="6" t="n">
        <v>1</v>
      </c>
      <c r="E3259" s="6" t="inlineStr">
        <is>
          <t>R1129649</t>
        </is>
      </c>
      <c r="F3259" s="2" t="n">
        <v>44343</v>
      </c>
      <c r="G3259" s="1" t="n"/>
    </row>
    <row r="3260">
      <c r="A3260" s="6" t="n">
        <v>78107</v>
      </c>
      <c r="B3260" s="6" t="inlineStr">
        <is>
          <t>SUGARLANDS APP BANANA PUDDING SIPPIN' CREAM</t>
        </is>
      </c>
      <c r="C3260" s="7">
        <f>VLOOKUP(A3260,SizeData!A$2:B$3839,2,FALSE)</f>
        <v/>
      </c>
      <c r="D3260" s="6" t="n">
        <v>1</v>
      </c>
      <c r="E3260" s="6" t="inlineStr">
        <is>
          <t>R1143298</t>
        </is>
      </c>
      <c r="F3260" s="2" t="n">
        <v>44364</v>
      </c>
      <c r="G3260" s="1" t="n"/>
    </row>
    <row r="3261">
      <c r="A3261" s="6" t="n">
        <v>78133</v>
      </c>
      <c r="B3261" s="6" t="inlineStr">
        <is>
          <t>SMIRNOFF PINK LEMONADE</t>
        </is>
      </c>
      <c r="C3261" s="7">
        <f>VLOOKUP(A3261,SizeData!A$2:B$3839,2,FALSE)</f>
        <v/>
      </c>
      <c r="D3261" s="6" t="n">
        <v>1</v>
      </c>
      <c r="E3261" s="6" t="inlineStr">
        <is>
          <t>R1126982</t>
        </is>
      </c>
      <c r="F3261" s="2" t="n">
        <v>44338</v>
      </c>
      <c r="G3261" s="1" t="n"/>
    </row>
    <row r="3262">
      <c r="A3262" s="6" t="n">
        <v>78133</v>
      </c>
      <c r="B3262" s="6" t="inlineStr">
        <is>
          <t>SMIRNOFF PINK LEMONADE</t>
        </is>
      </c>
      <c r="C3262" s="7">
        <f>VLOOKUP(A3262,SizeData!A$2:B$3839,2,FALSE)</f>
        <v/>
      </c>
      <c r="D3262" s="6" t="n">
        <v>1</v>
      </c>
      <c r="E3262" s="6" t="inlineStr">
        <is>
          <t>R1156117</t>
        </is>
      </c>
      <c r="F3262" s="2" t="n">
        <v>44362</v>
      </c>
      <c r="G3262" s="1" t="n"/>
    </row>
    <row r="3263">
      <c r="A3263" s="6" t="n">
        <v>78133</v>
      </c>
      <c r="B3263" s="6" t="inlineStr">
        <is>
          <t>SMIRNOFF PINK LEMONADE</t>
        </is>
      </c>
      <c r="C3263" s="7">
        <f>VLOOKUP(A3263,SizeData!A$2:B$3839,2,FALSE)</f>
        <v/>
      </c>
      <c r="D3263" s="6" t="n">
        <v>1</v>
      </c>
      <c r="E3263" s="6" t="inlineStr">
        <is>
          <t>R1156671</t>
        </is>
      </c>
      <c r="F3263" s="2" t="n">
        <v>44369</v>
      </c>
      <c r="G3263" s="1" t="n"/>
    </row>
    <row r="3264">
      <c r="A3264" s="6" t="n">
        <v>80365</v>
      </c>
      <c r="B3264" s="6" t="inlineStr">
        <is>
          <t>OLE SMOKY WHITE CHOCOLATE STRAWBERRY MOONSHINE</t>
        </is>
      </c>
      <c r="C3264" s="7">
        <f>VLOOKUP(A3264,SizeData!A$2:B$3839,2,FALSE)</f>
        <v/>
      </c>
      <c r="D3264" s="6" t="n">
        <v>0</v>
      </c>
      <c r="E3264" s="6" t="inlineStr">
        <is>
          <t>R1267530</t>
        </is>
      </c>
      <c r="F3264" s="2" t="n">
        <v>44470</v>
      </c>
      <c r="G3264" s="1" t="n"/>
    </row>
    <row r="3265">
      <c r="A3265" s="6" t="n">
        <v>80456</v>
      </c>
      <c r="B3265" s="6" t="inlineStr">
        <is>
          <t>RYAN'S CREAM</t>
        </is>
      </c>
      <c r="C3265" s="7">
        <f>VLOOKUP(A3265,SizeData!A$2:B$3839,2,FALSE)</f>
        <v/>
      </c>
      <c r="D3265" s="6" t="n">
        <v>1</v>
      </c>
      <c r="E3265" s="6" t="inlineStr">
        <is>
          <t>R1030486</t>
        </is>
      </c>
      <c r="F3265" s="2" t="n">
        <v>44247</v>
      </c>
      <c r="G3265" s="1" t="n"/>
    </row>
    <row r="3266">
      <c r="A3266" s="6" t="n">
        <v>80456</v>
      </c>
      <c r="B3266" s="6" t="inlineStr">
        <is>
          <t>RYAN'S CREAM</t>
        </is>
      </c>
      <c r="C3266" s="7">
        <f>VLOOKUP(A3266,SizeData!A$2:B$3839,2,FALSE)</f>
        <v/>
      </c>
      <c r="D3266" s="6" t="n">
        <v>1</v>
      </c>
      <c r="E3266" s="6" t="inlineStr">
        <is>
          <t>R1094763</t>
        </is>
      </c>
      <c r="F3266" s="2" t="n">
        <v>44312</v>
      </c>
      <c r="G3266" s="1" t="n"/>
    </row>
    <row r="3267">
      <c r="A3267" s="6" t="n">
        <v>80456</v>
      </c>
      <c r="B3267" s="6" t="inlineStr">
        <is>
          <t>RYAN'S CREAM</t>
        </is>
      </c>
      <c r="C3267" s="7">
        <f>VLOOKUP(A3267,SizeData!A$2:B$3839,2,FALSE)</f>
        <v/>
      </c>
      <c r="D3267" s="6" t="n">
        <v>1</v>
      </c>
      <c r="E3267" s="6" t="inlineStr">
        <is>
          <t>R1111205</t>
        </is>
      </c>
      <c r="F3267" s="2" t="n">
        <v>44313</v>
      </c>
      <c r="G3267" s="1" t="n"/>
    </row>
    <row r="3268">
      <c r="A3268" s="6" t="n">
        <v>80456</v>
      </c>
      <c r="B3268" s="6" t="inlineStr">
        <is>
          <t>RYAN'S CREAM</t>
        </is>
      </c>
      <c r="C3268" s="7">
        <f>VLOOKUP(A3268,SizeData!A$2:B$3839,2,FALSE)</f>
        <v/>
      </c>
      <c r="D3268" s="6" t="n">
        <v>1</v>
      </c>
      <c r="E3268" s="6" t="inlineStr">
        <is>
          <t>R1261664</t>
        </is>
      </c>
      <c r="F3268" s="2" t="n">
        <v>44467</v>
      </c>
      <c r="G3268" s="1" t="n"/>
    </row>
    <row r="3269">
      <c r="A3269" s="6" t="n">
        <v>80458</v>
      </c>
      <c r="B3269" s="6" t="inlineStr">
        <is>
          <t>RYAN'S CREAM</t>
        </is>
      </c>
      <c r="C3269" s="7">
        <f>VLOOKUP(A3269,SizeData!A$2:B$3839,2,FALSE)</f>
        <v/>
      </c>
      <c r="D3269" s="6" t="n">
        <v>2</v>
      </c>
      <c r="E3269" s="6" t="inlineStr">
        <is>
          <t>R1048765</t>
        </is>
      </c>
      <c r="F3269" s="2" t="n">
        <v>44265</v>
      </c>
      <c r="G3269" s="1" t="n"/>
    </row>
    <row r="3270">
      <c r="A3270" s="6" t="n">
        <v>80458</v>
      </c>
      <c r="B3270" s="6" t="inlineStr">
        <is>
          <t>RYAN'S CREAM</t>
        </is>
      </c>
      <c r="C3270" s="7">
        <f>VLOOKUP(A3270,SizeData!A$2:B$3839,2,FALSE)</f>
        <v/>
      </c>
      <c r="D3270" s="6" t="n">
        <v>1</v>
      </c>
      <c r="E3270" s="6" t="inlineStr">
        <is>
          <t>R1137596</t>
        </is>
      </c>
      <c r="F3270" s="2" t="n">
        <v>44359</v>
      </c>
      <c r="G3270" s="1" t="n"/>
    </row>
    <row r="3271">
      <c r="A3271" s="6" t="n">
        <v>80518</v>
      </c>
      <c r="B3271" s="6" t="inlineStr">
        <is>
          <t>SUGARLANDS SHINE DARK BUTTER PECAN SIPPIN' CREAM</t>
        </is>
      </c>
      <c r="C3271" s="7">
        <f>VLOOKUP(A3271,SizeData!A$2:B$3839,2,FALSE)</f>
        <v/>
      </c>
      <c r="D3271" s="6" t="n">
        <v>1</v>
      </c>
      <c r="E3271" s="6" t="inlineStr">
        <is>
          <t>R1046007</t>
        </is>
      </c>
      <c r="F3271" s="2" t="n">
        <v>44250</v>
      </c>
      <c r="G3271" s="1" t="n"/>
    </row>
    <row r="3272">
      <c r="A3272" s="6" t="n">
        <v>80518</v>
      </c>
      <c r="B3272" s="6" t="inlineStr">
        <is>
          <t>SUGARLANDS SHINE DARK BUTTER PECAN SIPPIN' CREAM</t>
        </is>
      </c>
      <c r="C3272" s="7">
        <f>VLOOKUP(A3272,SizeData!A$2:B$3839,2,FALSE)</f>
        <v/>
      </c>
      <c r="D3272" s="6" t="n">
        <v>1</v>
      </c>
      <c r="E3272" s="6" t="inlineStr">
        <is>
          <t>R1119380</t>
        </is>
      </c>
      <c r="F3272" s="2" t="n">
        <v>44338</v>
      </c>
      <c r="G3272" s="1" t="n"/>
    </row>
    <row r="3273">
      <c r="A3273" s="6" t="n">
        <v>80518</v>
      </c>
      <c r="B3273" s="6" t="inlineStr">
        <is>
          <t>SUGARLANDS SHINE DARK BUTTER PECAN SIPPIN' CREAM</t>
        </is>
      </c>
      <c r="C3273" s="7">
        <f>VLOOKUP(A3273,SizeData!A$2:B$3839,2,FALSE)</f>
        <v/>
      </c>
      <c r="D3273" s="6" t="n">
        <v>1</v>
      </c>
      <c r="E3273" s="6" t="inlineStr">
        <is>
          <t>R1183128</t>
        </is>
      </c>
      <c r="F3273" s="2" t="n">
        <v>44398</v>
      </c>
      <c r="G3273" s="1" t="n"/>
    </row>
    <row r="3274">
      <c r="A3274" s="6" t="n">
        <v>80518</v>
      </c>
      <c r="B3274" s="6" t="inlineStr">
        <is>
          <t>SUGARLANDS SHINE DARK BUTTER PECAN SIPPIN' CREAM</t>
        </is>
      </c>
      <c r="C3274" s="7">
        <f>VLOOKUP(A3274,SizeData!A$2:B$3839,2,FALSE)</f>
        <v/>
      </c>
      <c r="D3274" s="6" t="n">
        <v>1</v>
      </c>
      <c r="E3274" s="6" t="inlineStr">
        <is>
          <t>R1279942</t>
        </is>
      </c>
      <c r="F3274" s="2" t="n">
        <v>44487</v>
      </c>
      <c r="G3274" s="1" t="n"/>
    </row>
    <row r="3275">
      <c r="A3275" s="6" t="n">
        <v>80684</v>
      </c>
      <c r="B3275" s="6" t="inlineStr">
        <is>
          <t>DEKUYPER PEPPERMINT</t>
        </is>
      </c>
      <c r="C3275" s="7">
        <f>VLOOKUP(A3275,SizeData!A$2:B$3839,2,FALSE)</f>
        <v/>
      </c>
      <c r="D3275" s="6" t="n">
        <v>1</v>
      </c>
      <c r="E3275" s="6" t="inlineStr">
        <is>
          <t>R1267530</t>
        </is>
      </c>
      <c r="F3275" s="2" t="n">
        <v>44470</v>
      </c>
      <c r="G3275" s="1" t="n"/>
    </row>
    <row r="3276">
      <c r="A3276" s="6" t="n">
        <v>82358</v>
      </c>
      <c r="B3276" s="6" t="inlineStr">
        <is>
          <t>BARTON PEACH SCHNAPPS</t>
        </is>
      </c>
      <c r="C3276" s="7">
        <f>VLOOKUP(A3276,SizeData!A$2:B$3839,2,FALSE)</f>
        <v/>
      </c>
      <c r="D3276" s="6" t="n">
        <v>1</v>
      </c>
      <c r="E3276" s="6" t="inlineStr">
        <is>
          <t xml:space="preserve"> R1161087</t>
        </is>
      </c>
      <c r="F3276" s="2" t="n">
        <v>44373</v>
      </c>
      <c r="G3276" s="1" t="n"/>
    </row>
    <row r="3277">
      <c r="A3277" s="6" t="n">
        <v>82358</v>
      </c>
      <c r="B3277" s="6" t="inlineStr">
        <is>
          <t>BARTON PEACH SCHNAPPS</t>
        </is>
      </c>
      <c r="C3277" s="7">
        <f>VLOOKUP(A3277,SizeData!A$2:B$3839,2,FALSE)</f>
        <v/>
      </c>
      <c r="D3277" s="6" t="n">
        <v>1</v>
      </c>
      <c r="E3277" s="6" t="inlineStr">
        <is>
          <t>R1185856</t>
        </is>
      </c>
      <c r="F3277" s="2" t="n">
        <v>44400</v>
      </c>
      <c r="G3277" s="1" t="n"/>
    </row>
    <row r="3278">
      <c r="A3278" s="6" t="n">
        <v>82358</v>
      </c>
      <c r="B3278" s="6" t="inlineStr">
        <is>
          <t>BARTON PEACH SCHNAPPS</t>
        </is>
      </c>
      <c r="C3278" s="7">
        <f>VLOOKUP(A3278,SizeData!A$2:B$3839,2,FALSE)</f>
        <v/>
      </c>
      <c r="D3278" s="6" t="n">
        <v>2</v>
      </c>
      <c r="E3278" s="6" t="inlineStr">
        <is>
          <t>R1218485</t>
        </is>
      </c>
      <c r="F3278" s="2" t="n">
        <v>44436</v>
      </c>
      <c r="G3278" s="1" t="n"/>
    </row>
    <row r="3279">
      <c r="A3279" s="6" t="n">
        <v>82606</v>
      </c>
      <c r="B3279" s="6" t="inlineStr">
        <is>
          <t>DEKUYPER SOUR APPLE PUCKER</t>
        </is>
      </c>
      <c r="C3279" s="7">
        <f>VLOOKUP(A3279,SizeData!A$2:B$3839,2,FALSE)</f>
        <v/>
      </c>
      <c r="D3279" s="6" t="n">
        <v>1</v>
      </c>
      <c r="E3279" s="6" t="inlineStr">
        <is>
          <t>R996759</t>
        </is>
      </c>
      <c r="F3279" s="2" t="n">
        <v>44210</v>
      </c>
      <c r="G3279" s="1" t="n"/>
    </row>
    <row r="3280">
      <c r="A3280" s="6" t="n">
        <v>82606</v>
      </c>
      <c r="B3280" s="6" t="inlineStr">
        <is>
          <t>DEKUYPER SOUR APPLE PUCKER</t>
        </is>
      </c>
      <c r="C3280" s="7">
        <f>VLOOKUP(A3280,SizeData!A$2:B$3839,2,FALSE)</f>
        <v/>
      </c>
      <c r="D3280" s="6" t="n">
        <v>1</v>
      </c>
      <c r="E3280" s="6" t="inlineStr">
        <is>
          <t>R1070281</t>
        </is>
      </c>
      <c r="F3280" s="2" t="n">
        <v>44275</v>
      </c>
      <c r="G3280" s="1" t="n"/>
    </row>
    <row r="3281">
      <c r="A3281" s="6" t="n">
        <v>82606</v>
      </c>
      <c r="B3281" s="6" t="inlineStr">
        <is>
          <t>DEKUYPER SOUR APPLE PUCKER</t>
        </is>
      </c>
      <c r="C3281" s="7">
        <f>VLOOKUP(A3281,SizeData!A$2:B$3839,2,FALSE)</f>
        <v/>
      </c>
      <c r="D3281" s="6" t="n">
        <v>1</v>
      </c>
      <c r="E3281" s="6" t="inlineStr">
        <is>
          <t>R1119380</t>
        </is>
      </c>
      <c r="F3281" s="2" t="n">
        <v>44338</v>
      </c>
      <c r="G3281" s="1" t="n"/>
    </row>
    <row r="3282">
      <c r="A3282" s="6" t="n">
        <v>82606</v>
      </c>
      <c r="B3282" s="6" t="inlineStr">
        <is>
          <t>DEKUYPER SOUR APPLE PUCKER</t>
        </is>
      </c>
      <c r="C3282" s="7">
        <f>VLOOKUP(A3282,SizeData!A$2:B$3839,2,FALSE)</f>
        <v/>
      </c>
      <c r="D3282" s="6" t="n">
        <v>1</v>
      </c>
      <c r="E3282" s="6" t="inlineStr">
        <is>
          <t>R1231642</t>
        </is>
      </c>
      <c r="F3282" s="2" t="n">
        <v>44440</v>
      </c>
      <c r="G3282" s="1" t="inlineStr">
        <is>
          <t>Out of 2</t>
        </is>
      </c>
    </row>
    <row r="3283">
      <c r="A3283" s="6" t="n">
        <v>82606</v>
      </c>
      <c r="B3283" s="6" t="inlineStr">
        <is>
          <t>DEKUYPER SOUR APPLE PUCKER</t>
        </is>
      </c>
      <c r="C3283" s="7">
        <f>VLOOKUP(A3283,SizeData!A$2:B$3839,2,FALSE)</f>
        <v/>
      </c>
      <c r="D3283" s="6" t="n">
        <v>1</v>
      </c>
      <c r="E3283" s="6" t="inlineStr">
        <is>
          <t>R1234926</t>
        </is>
      </c>
      <c r="F3283" s="2" t="n">
        <v>44448</v>
      </c>
      <c r="G3283" s="1" t="n"/>
    </row>
    <row r="3284">
      <c r="A3284" s="6" t="n">
        <v>82606</v>
      </c>
      <c r="B3284" s="6" t="inlineStr">
        <is>
          <t>DEKUYPER SOUR APPLE PUCKER</t>
        </is>
      </c>
      <c r="C3284" s="7">
        <f>VLOOKUP(A3284,SizeData!A$2:B$3839,2,FALSE)</f>
        <v/>
      </c>
      <c r="D3284" s="6" t="n">
        <v>1</v>
      </c>
      <c r="E3284" s="6" t="inlineStr">
        <is>
          <t>R1239466</t>
        </is>
      </c>
      <c r="F3284" s="2" t="n">
        <v>44454</v>
      </c>
      <c r="G3284" s="1" t="n"/>
    </row>
    <row r="3285">
      <c r="A3285" s="6" t="n">
        <v>82820</v>
      </c>
      <c r="B3285" s="6" t="inlineStr">
        <is>
          <t>DEKUYPER STRAWBERRY PUCKER</t>
        </is>
      </c>
      <c r="C3285" s="7">
        <f>VLOOKUP(A3285,SizeData!A$2:B$3839,2,FALSE)</f>
        <v/>
      </c>
      <c r="D3285" s="6" t="n">
        <v>1</v>
      </c>
      <c r="E3285" s="6" t="inlineStr">
        <is>
          <t>R1156528</t>
        </is>
      </c>
      <c r="F3285" s="2" t="n">
        <v>44362</v>
      </c>
      <c r="G3285" s="1" t="n"/>
    </row>
    <row r="3286">
      <c r="A3286" s="6" t="n">
        <v>82846</v>
      </c>
      <c r="B3286" s="6" t="inlineStr">
        <is>
          <t>DEKUYPER LUSCIOUS PEACHTREE</t>
        </is>
      </c>
      <c r="C3286" s="7">
        <f>VLOOKUP(A3286,SizeData!A$2:B$3839,2,FALSE)</f>
        <v/>
      </c>
      <c r="D3286" s="6" t="n">
        <v>1</v>
      </c>
      <c r="E3286" s="6" t="inlineStr">
        <is>
          <t>R1070281</t>
        </is>
      </c>
      <c r="F3286" s="2" t="n">
        <v>44275</v>
      </c>
      <c r="G3286" s="1" t="n"/>
    </row>
    <row r="3287">
      <c r="A3287" s="6" t="n">
        <v>82846</v>
      </c>
      <c r="B3287" s="6" t="inlineStr">
        <is>
          <t>DEKUYPER LUSCIOUS PEACHTREE</t>
        </is>
      </c>
      <c r="C3287" s="7">
        <f>VLOOKUP(A3287,SizeData!A$2:B$3839,2,FALSE)</f>
        <v/>
      </c>
      <c r="D3287" s="6" t="n">
        <v>1</v>
      </c>
      <c r="E3287" s="6" t="inlineStr">
        <is>
          <t>R1163907</t>
        </is>
      </c>
      <c r="F3287" s="2" t="n">
        <v>44373</v>
      </c>
      <c r="G3287" s="1" t="n"/>
    </row>
    <row r="3288">
      <c r="A3288" s="6" t="n">
        <v>82846</v>
      </c>
      <c r="B3288" s="6" t="inlineStr">
        <is>
          <t>DEKUYPER LUSCIOUS PEACHTREE</t>
        </is>
      </c>
      <c r="C3288" s="7">
        <f>VLOOKUP(A3288,SizeData!A$2:B$3839,2,FALSE)</f>
        <v/>
      </c>
      <c r="D3288" s="6" t="n">
        <v>1</v>
      </c>
      <c r="E3288" s="6" t="inlineStr">
        <is>
          <t>R1206438</t>
        </is>
      </c>
      <c r="F3288" s="2" t="n">
        <v>44417</v>
      </c>
      <c r="G3288" s="1" t="n"/>
    </row>
    <row r="3289">
      <c r="A3289" s="6" t="n">
        <v>82846</v>
      </c>
      <c r="B3289" s="6" t="inlineStr">
        <is>
          <t>DEKUYPER LUSCIOUS PEACHTREE</t>
        </is>
      </c>
      <c r="C3289" s="7">
        <f>VLOOKUP(A3289,SizeData!A$2:B$3839,2,FALSE)</f>
        <v/>
      </c>
      <c r="D3289" s="6" t="n">
        <v>1</v>
      </c>
      <c r="E3289" s="6" t="inlineStr">
        <is>
          <t>R1274548</t>
        </is>
      </c>
      <c r="F3289" s="2" t="n">
        <v>44485</v>
      </c>
      <c r="G3289" s="1" t="n"/>
    </row>
    <row r="3290">
      <c r="A3290" s="6" t="n">
        <v>82846</v>
      </c>
      <c r="B3290" s="6" t="inlineStr">
        <is>
          <t>DEKUYPER LUSCIOUS PEACHTREE</t>
        </is>
      </c>
      <c r="C3290" s="7">
        <f>VLOOKUP(A3290,SizeData!A$2:B$3839,2,FALSE)</f>
        <v/>
      </c>
      <c r="D3290" s="6" t="n">
        <v>1</v>
      </c>
      <c r="E3290" s="6" t="inlineStr">
        <is>
          <t>R1279942</t>
        </is>
      </c>
      <c r="F3290" s="2" t="n">
        <v>44487</v>
      </c>
      <c r="G3290" s="1" t="n"/>
    </row>
    <row r="3291">
      <c r="A3291" s="6" t="n">
        <v>84142</v>
      </c>
      <c r="B3291" s="6" t="inlineStr">
        <is>
          <t>99 PEACHES</t>
        </is>
      </c>
      <c r="C3291" s="7">
        <f>VLOOKUP(A3291,SizeData!A$2:B$3839,2,FALSE)</f>
        <v/>
      </c>
      <c r="D3291" s="6" t="n">
        <v>1</v>
      </c>
      <c r="E3291" s="6" t="inlineStr">
        <is>
          <t>R1286225</t>
        </is>
      </c>
      <c r="F3291" s="2" t="n">
        <v>44478</v>
      </c>
      <c r="G3291" s="1" t="n"/>
    </row>
    <row r="3292">
      <c r="A3292" s="6" t="n">
        <v>84170</v>
      </c>
      <c r="B3292" s="6" t="inlineStr">
        <is>
          <t>99 BANANAS</t>
        </is>
      </c>
      <c r="C3292" s="7">
        <f>VLOOKUP(A3292,SizeData!A$2:B$3839,2,FALSE)</f>
        <v/>
      </c>
      <c r="D3292" s="6" t="n">
        <v>1</v>
      </c>
      <c r="E3292" s="6" t="inlineStr">
        <is>
          <t>R984274</t>
        </is>
      </c>
      <c r="F3292" s="2" t="n">
        <v>44204</v>
      </c>
      <c r="G3292" s="1" t="n"/>
    </row>
    <row r="3293">
      <c r="A3293" s="6" t="n">
        <v>84170</v>
      </c>
      <c r="B3293" s="6" t="inlineStr">
        <is>
          <t>99 BANANAS</t>
        </is>
      </c>
      <c r="C3293" s="7">
        <f>VLOOKUP(A3293,SizeData!A$2:B$3839,2,FALSE)</f>
        <v/>
      </c>
      <c r="D3293" s="6" t="n">
        <v>1</v>
      </c>
      <c r="E3293" s="6" t="inlineStr">
        <is>
          <t>R998453</t>
        </is>
      </c>
      <c r="F3293" s="2" t="n">
        <v>44212</v>
      </c>
      <c r="G3293" s="1" t="n"/>
    </row>
    <row r="3294">
      <c r="A3294" s="6" t="n">
        <v>84170</v>
      </c>
      <c r="B3294" s="6" t="inlineStr">
        <is>
          <t>99 BANANAS</t>
        </is>
      </c>
      <c r="C3294" s="7">
        <f>VLOOKUP(A3294,SizeData!A$2:B$3839,2,FALSE)</f>
        <v/>
      </c>
      <c r="D3294" s="6" t="n">
        <v>1</v>
      </c>
      <c r="E3294" s="6" t="inlineStr">
        <is>
          <t>R1029839</t>
        </is>
      </c>
      <c r="F3294" s="2" t="n">
        <v>44246</v>
      </c>
      <c r="G3294" s="1" t="n"/>
    </row>
    <row r="3295">
      <c r="A3295" s="6" t="n">
        <v>84170</v>
      </c>
      <c r="B3295" s="6" t="inlineStr">
        <is>
          <t>99 BANANAS</t>
        </is>
      </c>
      <c r="C3295" s="7">
        <f>VLOOKUP(A3295,SizeData!A$2:B$3839,2,FALSE)</f>
        <v/>
      </c>
      <c r="D3295" s="6" t="n">
        <v>1</v>
      </c>
      <c r="E3295" s="6" t="inlineStr">
        <is>
          <t>R1103097</t>
        </is>
      </c>
      <c r="F3295" s="2" t="n">
        <v>44320</v>
      </c>
      <c r="G3295" s="1" t="n"/>
    </row>
    <row r="3296">
      <c r="A3296" s="6" t="n">
        <v>84170</v>
      </c>
      <c r="B3296" s="6" t="inlineStr">
        <is>
          <t>99 BANANAS</t>
        </is>
      </c>
      <c r="C3296" s="7">
        <f>VLOOKUP(A3296,SizeData!A$2:B$3839,2,FALSE)</f>
        <v/>
      </c>
      <c r="D3296" s="6" t="n">
        <v>1</v>
      </c>
      <c r="E3296" s="6" t="inlineStr">
        <is>
          <t>R1314326</t>
        </is>
      </c>
      <c r="F3296" s="2" t="n">
        <v>44512</v>
      </c>
      <c r="G3296" s="1" t="n"/>
    </row>
    <row r="3297">
      <c r="A3297" s="6" t="n">
        <v>84172</v>
      </c>
      <c r="B3297" s="6" t="inlineStr">
        <is>
          <t>99 BANANAS SCHNAPPS</t>
        </is>
      </c>
      <c r="C3297" s="7">
        <f>VLOOKUP(A3297,SizeData!A$2:B$3839,2,FALSE)</f>
        <v/>
      </c>
      <c r="D3297" s="6" t="n">
        <v>1</v>
      </c>
      <c r="E3297" s="6" t="inlineStr">
        <is>
          <t>R1028756</t>
        </is>
      </c>
      <c r="F3297" s="2" t="n">
        <v>44239</v>
      </c>
      <c r="G3297" s="1" t="n"/>
    </row>
    <row r="3298">
      <c r="A3298" s="6" t="n">
        <v>84172</v>
      </c>
      <c r="B3298" s="6" t="inlineStr">
        <is>
          <t>99 BANANAS SCHNAPPS</t>
        </is>
      </c>
      <c r="C3298" s="7">
        <f>VLOOKUP(A3298,SizeData!A$2:B$3839,2,FALSE)</f>
        <v/>
      </c>
      <c r="D3298" s="6" t="n">
        <v>1</v>
      </c>
      <c r="E3298" s="6" t="inlineStr">
        <is>
          <t>R1114354</t>
        </is>
      </c>
      <c r="F3298" s="2" t="n">
        <v>44334</v>
      </c>
      <c r="G3298" s="1" t="n"/>
    </row>
    <row r="3299">
      <c r="A3299" s="6" t="n">
        <v>84172</v>
      </c>
      <c r="B3299" s="6" t="inlineStr">
        <is>
          <t>99 BANANAS SCHNAPPS</t>
        </is>
      </c>
      <c r="C3299" s="7">
        <f>VLOOKUP(A3299,SizeData!A$2:B$3839,2,FALSE)</f>
        <v/>
      </c>
      <c r="D3299" s="6" t="n">
        <v>0</v>
      </c>
      <c r="E3299" s="6" t="inlineStr">
        <is>
          <t>R1275278</t>
        </is>
      </c>
      <c r="F3299" s="2" t="n">
        <v>44478</v>
      </c>
      <c r="G3299" s="1" t="n"/>
    </row>
    <row r="3300">
      <c r="A3300" s="6" t="n">
        <v>84172</v>
      </c>
      <c r="B3300" s="6" t="inlineStr">
        <is>
          <t>99 BANANAS SCHNAPPS</t>
        </is>
      </c>
      <c r="C3300" s="7">
        <f>VLOOKUP(A3300,SizeData!A$2:B$3839,2,FALSE)</f>
        <v/>
      </c>
      <c r="D3300" s="6" t="n">
        <v>0</v>
      </c>
      <c r="E3300" s="6" t="inlineStr">
        <is>
          <t>R1301804</t>
        </is>
      </c>
      <c r="F3300" s="2" t="n">
        <v>44492</v>
      </c>
      <c r="G3300" s="1" t="n"/>
    </row>
    <row r="3301">
      <c r="A3301" s="6" t="n">
        <v>84172</v>
      </c>
      <c r="B3301" s="6" t="inlineStr">
        <is>
          <t>99 BANANAS SCHNAPPS</t>
        </is>
      </c>
      <c r="C3301" s="7">
        <f>VLOOKUP(A3301,SizeData!A$2:B$3839,2,FALSE)</f>
        <v/>
      </c>
      <c r="D3301" s="6" t="n">
        <v>0</v>
      </c>
      <c r="E3301" s="6" t="inlineStr">
        <is>
          <t>R1320287</t>
        </is>
      </c>
      <c r="F3301" s="2" t="n">
        <v>44506</v>
      </c>
      <c r="G3301" s="1" t="n"/>
    </row>
    <row r="3302">
      <c r="A3302" s="6" t="n">
        <v>84172</v>
      </c>
      <c r="B3302" s="6" t="inlineStr">
        <is>
          <t>99 BANANAS SCHNAPPS</t>
        </is>
      </c>
      <c r="C3302" s="7">
        <f>VLOOKUP(A3302,SizeData!A$2:B$3839,2,FALSE)</f>
        <v/>
      </c>
      <c r="D3302" s="6" t="n">
        <v>2</v>
      </c>
      <c r="E3302" s="6" t="inlineStr">
        <is>
          <t>R1346005</t>
        </is>
      </c>
      <c r="F3302" s="2" t="n">
        <v>44523</v>
      </c>
      <c r="G3302" s="1" t="n"/>
    </row>
    <row r="3303">
      <c r="A3303" s="6" t="n">
        <v>84191</v>
      </c>
      <c r="B3303" s="6" t="inlineStr">
        <is>
          <t>99 BUTTERSCOTCH SCHNAPPS</t>
        </is>
      </c>
      <c r="C3303" s="7">
        <f>VLOOKUP(A3303,SizeData!A$2:B$3839,2,FALSE)</f>
        <v/>
      </c>
      <c r="D3303" s="6" t="n">
        <v>1</v>
      </c>
      <c r="E3303" s="6" t="inlineStr">
        <is>
          <t>R1346277</t>
        </is>
      </c>
      <c r="F3303" s="2" t="n">
        <v>44530</v>
      </c>
      <c r="G3303" s="1" t="n"/>
    </row>
    <row r="3304">
      <c r="A3304" s="6" t="n">
        <v>84222</v>
      </c>
      <c r="B3304" s="6" t="inlineStr">
        <is>
          <t>99 BLUE RASPBERRIES</t>
        </is>
      </c>
      <c r="C3304" s="7">
        <f>VLOOKUP(A3304,SizeData!A$2:B$3839,2,FALSE)</f>
        <v/>
      </c>
      <c r="D3304" s="6" t="n">
        <v>1</v>
      </c>
      <c r="E3304" s="6" t="inlineStr">
        <is>
          <t>R1028756</t>
        </is>
      </c>
      <c r="F3304" s="2" t="n">
        <v>44239</v>
      </c>
      <c r="G3304" s="1" t="n"/>
    </row>
    <row r="3305">
      <c r="A3305" s="6" t="n">
        <v>84222</v>
      </c>
      <c r="B3305" s="6" t="inlineStr">
        <is>
          <t>99 BLUE RASPBERRIES</t>
        </is>
      </c>
      <c r="C3305" s="7">
        <f>VLOOKUP(A3305,SizeData!A$2:B$3839,2,FALSE)</f>
        <v/>
      </c>
      <c r="D3305" s="6" t="n">
        <v>1</v>
      </c>
      <c r="E3305" s="6" t="inlineStr">
        <is>
          <t>R1129649</t>
        </is>
      </c>
      <c r="F3305" s="2" t="n">
        <v>44343</v>
      </c>
      <c r="G3305" s="1" t="n"/>
    </row>
    <row r="3306">
      <c r="A3306" s="6" t="n">
        <v>84222</v>
      </c>
      <c r="B3306" s="6" t="inlineStr">
        <is>
          <t>99 BLUE RASPBERRIES</t>
        </is>
      </c>
      <c r="C3306" s="7">
        <f>VLOOKUP(A3306,SizeData!A$2:B$3839,2,FALSE)</f>
        <v/>
      </c>
      <c r="D3306" s="6" t="n">
        <v>1</v>
      </c>
      <c r="E3306" s="6" t="inlineStr">
        <is>
          <t>R1173672</t>
        </is>
      </c>
      <c r="F3306" s="2" t="n">
        <v>44394</v>
      </c>
      <c r="G3306" s="1" t="n"/>
    </row>
    <row r="3307">
      <c r="A3307" s="6" t="n">
        <v>84222</v>
      </c>
      <c r="B3307" s="6" t="inlineStr">
        <is>
          <t>99 BLUE RASPBERRIES</t>
        </is>
      </c>
      <c r="C3307" s="7">
        <f>VLOOKUP(A3307,SizeData!A$2:B$3839,2,FALSE)</f>
        <v/>
      </c>
      <c r="D3307" s="6" t="n">
        <v>2</v>
      </c>
      <c r="E3307" s="6" t="inlineStr">
        <is>
          <t>R1270963</t>
        </is>
      </c>
      <c r="F3307" s="2" t="n">
        <v>44470</v>
      </c>
      <c r="G3307" s="1" t="n"/>
    </row>
    <row r="3308">
      <c r="A3308" s="6" t="n">
        <v>84222</v>
      </c>
      <c r="B3308" s="6" t="inlineStr">
        <is>
          <t>99 BLUE RASPBERRIES</t>
        </is>
      </c>
      <c r="C3308" s="7">
        <f>VLOOKUP(A3308,SizeData!A$2:B$3839,2,FALSE)</f>
        <v/>
      </c>
      <c r="D3308" s="6" t="n">
        <v>1</v>
      </c>
      <c r="E3308" s="6" t="inlineStr">
        <is>
          <t>R1320287</t>
        </is>
      </c>
      <c r="F3308" s="2" t="n">
        <v>44506</v>
      </c>
      <c r="G3308" s="1" t="n"/>
    </row>
    <row r="3309">
      <c r="A3309" s="6" t="n">
        <v>84222</v>
      </c>
      <c r="B3309" s="6" t="inlineStr">
        <is>
          <t>99 BLUE RASPBERRIES</t>
        </is>
      </c>
      <c r="C3309" s="7">
        <f>VLOOKUP(A3309,SizeData!A$2:B$3839,2,FALSE)</f>
        <v/>
      </c>
      <c r="D3309" s="6" t="n">
        <v>2</v>
      </c>
      <c r="E3309" s="6" t="inlineStr">
        <is>
          <t>R1320744</t>
        </is>
      </c>
      <c r="F3309" s="2" t="n">
        <v>44509</v>
      </c>
      <c r="G3309" s="1" t="n"/>
    </row>
    <row r="3310">
      <c r="A3310" s="6" t="n">
        <v>84226</v>
      </c>
      <c r="B3310" s="6" t="inlineStr">
        <is>
          <t>99 STRAWBERRIES</t>
        </is>
      </c>
      <c r="C3310" s="7">
        <f>VLOOKUP(A3310,SizeData!A$2:B$3839,2,FALSE)</f>
        <v/>
      </c>
      <c r="D3310" s="6" t="n">
        <v>0</v>
      </c>
      <c r="E3310" s="6" t="inlineStr">
        <is>
          <t>R1286225</t>
        </is>
      </c>
      <c r="F3310" s="2" t="n">
        <v>44478</v>
      </c>
      <c r="G3310" s="1" t="n"/>
    </row>
    <row r="3311">
      <c r="A3311" s="6" t="n">
        <v>84226</v>
      </c>
      <c r="B3311" s="6" t="inlineStr">
        <is>
          <t>99 STRAWBERRIES</t>
        </is>
      </c>
      <c r="C3311" s="7">
        <f>VLOOKUP(A3311,SizeData!A$2:B$3839,2,FALSE)</f>
        <v/>
      </c>
      <c r="D3311" s="6" t="n">
        <v>0</v>
      </c>
      <c r="E3311" s="6" t="inlineStr">
        <is>
          <t>R1320287</t>
        </is>
      </c>
      <c r="F3311" s="2" t="n">
        <v>44506</v>
      </c>
      <c r="G3311" s="1" t="n"/>
    </row>
    <row r="3312">
      <c r="A3312" s="6" t="n">
        <v>84257</v>
      </c>
      <c r="B3312" s="6" t="inlineStr">
        <is>
          <t>MR. BOSTON BUTTERSCOTCH SCHNAPPS</t>
        </is>
      </c>
      <c r="C3312" s="7">
        <f>VLOOKUP(A3312,SizeData!A$2:B$3839,2,FALSE)</f>
        <v/>
      </c>
      <c r="D3312" s="6" t="n">
        <v>1</v>
      </c>
      <c r="E3312" s="6" t="inlineStr">
        <is>
          <t>R1119380</t>
        </is>
      </c>
      <c r="F3312" s="2" t="n">
        <v>44338</v>
      </c>
      <c r="G3312" s="1" t="n"/>
    </row>
    <row r="3313">
      <c r="A3313" s="6" t="n">
        <v>84257</v>
      </c>
      <c r="B3313" s="6" t="inlineStr">
        <is>
          <t>MR. BOSTON BUTTERSCOTCH SCHNAPPS</t>
        </is>
      </c>
      <c r="C3313" s="7">
        <f>VLOOKUP(A3313,SizeData!A$2:B$3839,2,FALSE)</f>
        <v/>
      </c>
      <c r="D3313" s="6" t="n">
        <v>1</v>
      </c>
      <c r="E3313" s="6" t="inlineStr">
        <is>
          <t>R1240644</t>
        </is>
      </c>
      <c r="F3313" s="2" t="n">
        <v>44440</v>
      </c>
      <c r="G3313" s="1" t="n"/>
    </row>
    <row r="3314">
      <c r="A3314" s="6" t="n">
        <v>84257</v>
      </c>
      <c r="B3314" s="6" t="inlineStr">
        <is>
          <t>MR. BOSTON BUTTERSCOTCH SCHNAPPS</t>
        </is>
      </c>
      <c r="C3314" s="7">
        <f>VLOOKUP(A3314,SizeData!A$2:B$3839,2,FALSE)</f>
        <v/>
      </c>
      <c r="D3314" s="6" t="n">
        <v>1</v>
      </c>
      <c r="E3314" s="6" t="inlineStr">
        <is>
          <t>R1296060</t>
        </is>
      </c>
      <c r="F3314" s="2" t="n">
        <v>44491</v>
      </c>
      <c r="G3314" s="1" t="n"/>
    </row>
    <row r="3315">
      <c r="A3315" s="6" t="n">
        <v>84307</v>
      </c>
      <c r="B3315" s="6" t="inlineStr">
        <is>
          <t>MR. BOSTON PEACH SCHNAPPS</t>
        </is>
      </c>
      <c r="C3315" s="7">
        <f>VLOOKUP(A3315,SizeData!A$2:B$3839,2,FALSE)</f>
        <v/>
      </c>
      <c r="D3315" s="6" t="n">
        <v>1</v>
      </c>
      <c r="E3315" s="6" t="inlineStr">
        <is>
          <t>R1066712</t>
        </is>
      </c>
      <c r="F3315" s="2" t="n">
        <v>44268</v>
      </c>
      <c r="G3315" s="1" t="n"/>
    </row>
    <row r="3316">
      <c r="A3316" s="6" t="n">
        <v>84307</v>
      </c>
      <c r="B3316" s="6" t="inlineStr">
        <is>
          <t>MR. BOSTON PEACH SCHNAPPS</t>
        </is>
      </c>
      <c r="C3316" s="7">
        <f>VLOOKUP(A3316,SizeData!A$2:B$3839,2,FALSE)</f>
        <v/>
      </c>
      <c r="D3316" s="6" t="n">
        <v>1</v>
      </c>
      <c r="E3316" s="6" t="inlineStr">
        <is>
          <t>R1085364</t>
        </is>
      </c>
      <c r="F3316" s="2" t="n">
        <v>44289</v>
      </c>
      <c r="G3316" s="1" t="n"/>
    </row>
    <row r="3317">
      <c r="A3317" s="6" t="n">
        <v>84307</v>
      </c>
      <c r="B3317" s="6" t="inlineStr">
        <is>
          <t>MR. BOSTON PEACH SCHNAPPS</t>
        </is>
      </c>
      <c r="C3317" s="7">
        <f>VLOOKUP(A3317,SizeData!A$2:B$3839,2,FALSE)</f>
        <v/>
      </c>
      <c r="D3317" s="6" t="n">
        <v>1</v>
      </c>
      <c r="E3317" s="6" t="inlineStr">
        <is>
          <t xml:space="preserve"> R1171903</t>
        </is>
      </c>
      <c r="F3317" s="2" t="n">
        <v>44380</v>
      </c>
      <c r="G3317" s="1" t="n"/>
    </row>
    <row r="3318">
      <c r="A3318" s="6" t="n">
        <v>84307</v>
      </c>
      <c r="B3318" s="6" t="inlineStr">
        <is>
          <t>MR. BOSTON PEACH SCHNAPPS</t>
        </is>
      </c>
      <c r="C3318" s="7">
        <f>VLOOKUP(A3318,SizeData!A$2:B$3839,2,FALSE)</f>
        <v/>
      </c>
      <c r="D3318" s="6" t="n">
        <v>3</v>
      </c>
      <c r="E3318" s="6" t="inlineStr">
        <is>
          <t>R1214748</t>
        </is>
      </c>
      <c r="F3318" s="2" t="n">
        <v>44433</v>
      </c>
      <c r="G3318" s="1" t="n"/>
    </row>
    <row r="3319">
      <c r="A3319" s="6" t="n">
        <v>84367</v>
      </c>
      <c r="B3319" s="6" t="inlineStr">
        <is>
          <t>MR. BOSTON SOUR APPLE SCHNAPPS</t>
        </is>
      </c>
      <c r="C3319" s="7">
        <f>VLOOKUP(A3319,SizeData!A$2:B$3839,2,FALSE)</f>
        <v/>
      </c>
      <c r="D3319" s="6" t="n">
        <v>1</v>
      </c>
      <c r="E3319" s="6" t="inlineStr">
        <is>
          <t>R1085364</t>
        </is>
      </c>
      <c r="F3319" s="2" t="n">
        <v>44289</v>
      </c>
      <c r="G3319" s="1" t="n"/>
    </row>
    <row r="3320">
      <c r="A3320" s="6" t="n">
        <v>84367</v>
      </c>
      <c r="B3320" s="6" t="inlineStr">
        <is>
          <t>MR. BOSTON SOUR APPLE SCHNAPPS</t>
        </is>
      </c>
      <c r="C3320" s="7">
        <f>VLOOKUP(A3320,SizeData!A$2:B$3839,2,FALSE)</f>
        <v/>
      </c>
      <c r="D3320" s="6" t="n">
        <v>1</v>
      </c>
      <c r="E3320" s="6" t="inlineStr">
        <is>
          <t>R1167152</t>
        </is>
      </c>
      <c r="F3320" s="2" t="n">
        <v>44376</v>
      </c>
      <c r="G3320" s="1" t="n"/>
    </row>
    <row r="3321">
      <c r="A3321" s="6" t="n">
        <v>84367</v>
      </c>
      <c r="B3321" s="6" t="inlineStr">
        <is>
          <t>MR. BOSTON SOUR APPLE SCHNAPPS</t>
        </is>
      </c>
      <c r="C3321" s="7">
        <f>VLOOKUP(A3321,SizeData!A$2:B$3839,2,FALSE)</f>
        <v/>
      </c>
      <c r="D3321" s="6" t="n">
        <v>3</v>
      </c>
      <c r="E3321" s="6" t="inlineStr">
        <is>
          <t>R1221301</t>
        </is>
      </c>
      <c r="F3321" s="2" t="n">
        <v>44426</v>
      </c>
      <c r="G3321" s="1" t="n"/>
    </row>
    <row r="3322">
      <c r="A3322" s="6" t="n">
        <v>85437</v>
      </c>
      <c r="B3322" s="6" t="inlineStr">
        <is>
          <t>MR. BOSTON BLUE CURACAO</t>
        </is>
      </c>
      <c r="C3322" s="7">
        <f>VLOOKUP(A3322,SizeData!A$2:B$3839,2,FALSE)</f>
        <v/>
      </c>
      <c r="D3322" s="6" t="n">
        <v>1</v>
      </c>
      <c r="E3322" s="6" t="inlineStr">
        <is>
          <t>R1026567</t>
        </is>
      </c>
      <c r="F3322" s="2" t="n">
        <v>44245</v>
      </c>
      <c r="G3322" s="1" t="n"/>
    </row>
    <row r="3323">
      <c r="A3323" s="6" t="n">
        <v>85437</v>
      </c>
      <c r="B3323" s="6" t="inlineStr">
        <is>
          <t>MR. BOSTON BLUE CURACAO</t>
        </is>
      </c>
      <c r="C3323" s="7">
        <f>VLOOKUP(A3323,SizeData!A$2:B$3839,2,FALSE)</f>
        <v/>
      </c>
      <c r="D3323" s="6" t="n">
        <v>2</v>
      </c>
      <c r="E3323" s="6" t="inlineStr">
        <is>
          <t>R1070393</t>
        </is>
      </c>
      <c r="F3323" s="2" t="n">
        <v>44280</v>
      </c>
      <c r="G3323" s="1" t="n"/>
    </row>
    <row r="3324">
      <c r="A3324" s="6" t="n">
        <v>85437</v>
      </c>
      <c r="B3324" s="6" t="inlineStr">
        <is>
          <t>MR. BOSTON BLUE CURACAO</t>
        </is>
      </c>
      <c r="C3324" s="7">
        <f>VLOOKUP(A3324,SizeData!A$2:B$3839,2,FALSE)</f>
        <v/>
      </c>
      <c r="D3324" s="6" t="n">
        <v>1</v>
      </c>
      <c r="E3324" s="6" t="inlineStr">
        <is>
          <t>R1115090</t>
        </is>
      </c>
      <c r="F3324" s="2" t="n">
        <v>44315</v>
      </c>
      <c r="G3324" s="1" t="n"/>
    </row>
    <row r="3325">
      <c r="A3325" s="6" t="n">
        <v>85437</v>
      </c>
      <c r="B3325" s="6" t="inlineStr">
        <is>
          <t>MR. BOSTON BLUE CURACAO</t>
        </is>
      </c>
      <c r="C3325" s="7">
        <f>VLOOKUP(A3325,SizeData!A$2:B$3839,2,FALSE)</f>
        <v/>
      </c>
      <c r="D3325" s="6" t="n">
        <v>5</v>
      </c>
      <c r="E3325" s="6" t="inlineStr">
        <is>
          <t>R1221301</t>
        </is>
      </c>
      <c r="F3325" s="2" t="n">
        <v>44426</v>
      </c>
      <c r="G3325" s="1" t="n"/>
    </row>
    <row r="3326">
      <c r="A3326" s="6" t="n">
        <v>85437</v>
      </c>
      <c r="B3326" s="6" t="inlineStr">
        <is>
          <t>MR. BOSTON BLUE CURACAO</t>
        </is>
      </c>
      <c r="C3326" s="7">
        <f>VLOOKUP(A3326,SizeData!A$2:B$3839,2,FALSE)</f>
        <v/>
      </c>
      <c r="D3326" s="6" t="n">
        <v>1</v>
      </c>
      <c r="E3326" s="6" t="inlineStr">
        <is>
          <t>R1346277</t>
        </is>
      </c>
      <c r="F3326" s="2" t="n">
        <v>44530</v>
      </c>
      <c r="G3326" s="1" t="n"/>
    </row>
    <row r="3327">
      <c r="A3327" s="6" t="n">
        <v>85437</v>
      </c>
      <c r="B3327" s="6" t="inlineStr">
        <is>
          <t>MR. BOSTON BLUE CURACAO</t>
        </is>
      </c>
      <c r="C3327" s="7">
        <f>VLOOKUP(A3327,SizeData!A$2:B$3839,2,FALSE)</f>
        <v/>
      </c>
      <c r="D3327" s="6" t="n">
        <v>2</v>
      </c>
      <c r="E3327" s="6" t="inlineStr">
        <is>
          <t>R1348543</t>
        </is>
      </c>
      <c r="F3327" s="2" t="n">
        <v>44534</v>
      </c>
      <c r="G3327" s="1" t="n"/>
    </row>
    <row r="3328">
      <c r="A3328" s="6" t="n">
        <v>85437</v>
      </c>
      <c r="B3328" s="6" t="inlineStr">
        <is>
          <t>MR. BOSTON BLUE CURACAO</t>
        </is>
      </c>
      <c r="C3328" s="7">
        <f>VLOOKUP(A3328,SizeData!A$2:B$3839,2,FALSE)</f>
        <v/>
      </c>
      <c r="D3328" s="6" t="n">
        <v>2</v>
      </c>
      <c r="E3328" s="6" t="inlineStr">
        <is>
          <t>R1348543A</t>
        </is>
      </c>
      <c r="F3328" s="2" t="n">
        <v>44552</v>
      </c>
      <c r="G3328" s="1" t="n"/>
    </row>
    <row r="3329">
      <c r="A3329" s="6" t="n">
        <v>85526</v>
      </c>
      <c r="B3329" s="6" t="inlineStr">
        <is>
          <t>DEKUYPER BLUE CURACAO</t>
        </is>
      </c>
      <c r="C3329" s="7">
        <f>VLOOKUP(A3329,SizeData!A$2:B$3839,2,FALSE)</f>
        <v/>
      </c>
      <c r="D3329" s="6" t="n">
        <v>1</v>
      </c>
      <c r="E3329" s="6" t="inlineStr">
        <is>
          <t>R1016884</t>
        </is>
      </c>
      <c r="F3329" s="2" t="n">
        <v>44229</v>
      </c>
      <c r="G3329" s="1" t="n"/>
    </row>
    <row r="3330">
      <c r="A3330" s="6" t="n">
        <v>85526</v>
      </c>
      <c r="B3330" s="6" t="inlineStr">
        <is>
          <t>DEKUYPER BLUE CURACAO</t>
        </is>
      </c>
      <c r="C3330" s="7">
        <f>VLOOKUP(A3330,SizeData!A$2:B$3839,2,FALSE)</f>
        <v/>
      </c>
      <c r="D3330" s="6" t="n">
        <v>1</v>
      </c>
      <c r="E3330" s="6" t="inlineStr">
        <is>
          <t>R1119380</t>
        </is>
      </c>
      <c r="F3330" s="2" t="n">
        <v>44338</v>
      </c>
      <c r="G3330" s="1" t="n"/>
    </row>
    <row r="3331">
      <c r="A3331" s="6" t="n">
        <v>85526</v>
      </c>
      <c r="B3331" s="6" t="inlineStr">
        <is>
          <t>DEKUYPER BLUE CURACAO</t>
        </is>
      </c>
      <c r="C3331" s="7">
        <f>VLOOKUP(A3331,SizeData!A$2:B$3839,2,FALSE)</f>
        <v/>
      </c>
      <c r="D3331" s="6" t="n">
        <v>1</v>
      </c>
      <c r="E3331" s="6" t="inlineStr">
        <is>
          <t>R1190166</t>
        </is>
      </c>
      <c r="F3331" s="2" t="n">
        <v>44396</v>
      </c>
      <c r="G3331" s="1" t="n"/>
    </row>
    <row r="3332">
      <c r="A3332" s="6" t="n">
        <v>85526</v>
      </c>
      <c r="B3332" s="6" t="inlineStr">
        <is>
          <t>DEKUYPER BLUE CURACAO</t>
        </is>
      </c>
      <c r="C3332" s="7">
        <f>VLOOKUP(A3332,SizeData!A$2:B$3839,2,FALSE)</f>
        <v/>
      </c>
      <c r="D3332" s="6" t="n">
        <v>1</v>
      </c>
      <c r="E3332" s="6" t="inlineStr">
        <is>
          <t>R1346277</t>
        </is>
      </c>
      <c r="F3332" s="2" t="n">
        <v>44530</v>
      </c>
      <c r="G3332" s="1" t="n"/>
    </row>
    <row r="3333">
      <c r="A3333" s="6" t="n">
        <v>86110</v>
      </c>
      <c r="B3333" s="6" t="inlineStr">
        <is>
          <t>DEKUYPER TRIPLE SEC</t>
        </is>
      </c>
      <c r="C3333" s="7">
        <f>VLOOKUP(A3333,SizeData!A$2:B$3839,2,FALSE)</f>
        <v/>
      </c>
      <c r="D3333" s="6" t="n">
        <v>1</v>
      </c>
      <c r="E3333" s="6" t="inlineStr">
        <is>
          <t>R991241</t>
        </is>
      </c>
      <c r="F3333" s="2" t="n">
        <v>44197</v>
      </c>
      <c r="G3333" s="1" t="n"/>
    </row>
    <row r="3334">
      <c r="A3334" s="6" t="n">
        <v>86110</v>
      </c>
      <c r="B3334" s="6" t="inlineStr">
        <is>
          <t>DEKUYPER TRIPLE SEC</t>
        </is>
      </c>
      <c r="C3334" s="7">
        <f>VLOOKUP(A3334,SizeData!A$2:B$3839,2,FALSE)</f>
        <v/>
      </c>
      <c r="D3334" s="6" t="n">
        <v>1</v>
      </c>
      <c r="E3334" s="6" t="inlineStr">
        <is>
          <t>R1028756</t>
        </is>
      </c>
      <c r="F3334" s="2" t="n">
        <v>44239</v>
      </c>
      <c r="G3334" s="1" t="n"/>
    </row>
    <row r="3335">
      <c r="A3335" s="6" t="n">
        <v>86110</v>
      </c>
      <c r="B3335" s="6" t="inlineStr">
        <is>
          <t>DEKUYPER TRIPLE SEC</t>
        </is>
      </c>
      <c r="C3335" s="7">
        <f>VLOOKUP(A3335,SizeData!A$2:B$3839,2,FALSE)</f>
        <v/>
      </c>
      <c r="D3335" s="6" t="n">
        <v>1</v>
      </c>
      <c r="E3335" s="6" t="inlineStr">
        <is>
          <t>R1070281</t>
        </is>
      </c>
      <c r="F3335" s="2" t="n">
        <v>44275</v>
      </c>
      <c r="G3335" s="1" t="n"/>
    </row>
    <row r="3336">
      <c r="A3336" s="6" t="n">
        <v>86110</v>
      </c>
      <c r="B3336" s="6" t="inlineStr">
        <is>
          <t>DEKUYPER TRIPLE SEC</t>
        </is>
      </c>
      <c r="C3336" s="7">
        <f>VLOOKUP(A3336,SizeData!A$2:B$3839,2,FALSE)</f>
        <v/>
      </c>
      <c r="D3336" s="6" t="n">
        <v>1</v>
      </c>
      <c r="E3336" s="6" t="inlineStr">
        <is>
          <t>R1142808</t>
        </is>
      </c>
      <c r="F3336" s="2" t="n">
        <v>44352</v>
      </c>
      <c r="G3336" s="1" t="n"/>
    </row>
    <row r="3337">
      <c r="A3337" s="6" t="n">
        <v>86110</v>
      </c>
      <c r="B3337" s="6" t="inlineStr">
        <is>
          <t>DEKUYPER TRIPLE SEC</t>
        </is>
      </c>
      <c r="C3337" s="7">
        <f>VLOOKUP(A3337,SizeData!A$2:B$3839,2,FALSE)</f>
        <v/>
      </c>
      <c r="D3337" s="6" t="n">
        <v>1</v>
      </c>
      <c r="E3337" s="6" t="inlineStr">
        <is>
          <t>R1148371</t>
        </is>
      </c>
      <c r="F3337" s="2" t="n">
        <v>44365</v>
      </c>
      <c r="G3337" s="1" t="n"/>
    </row>
    <row r="3338">
      <c r="A3338" s="6" t="n">
        <v>86110</v>
      </c>
      <c r="B3338" s="6" t="inlineStr">
        <is>
          <t>DEKUYPER TRIPLE SEC</t>
        </is>
      </c>
      <c r="C3338" s="7">
        <f>VLOOKUP(A3338,SizeData!A$2:B$3839,2,FALSE)</f>
        <v/>
      </c>
      <c r="D3338" s="6" t="n">
        <v>1</v>
      </c>
      <c r="E3338" s="6" t="inlineStr">
        <is>
          <t>R1175838</t>
        </is>
      </c>
      <c r="F3338" s="2" t="n">
        <v>44389</v>
      </c>
      <c r="G3338" s="1" t="n"/>
    </row>
    <row r="3339">
      <c r="A3339" s="6" t="n">
        <v>86110</v>
      </c>
      <c r="B3339" s="6" t="inlineStr">
        <is>
          <t>DEKUYPER TRIPLE SEC</t>
        </is>
      </c>
      <c r="C3339" s="7">
        <f>VLOOKUP(A3339,SizeData!A$2:B$3839,2,FALSE)</f>
        <v/>
      </c>
      <c r="D3339" s="6" t="n">
        <v>2</v>
      </c>
      <c r="E3339" s="6" t="inlineStr">
        <is>
          <t>R1267576</t>
        </is>
      </c>
      <c r="F3339" s="2" t="n">
        <v>44476</v>
      </c>
      <c r="G3339" s="1" t="n"/>
    </row>
    <row r="3340">
      <c r="A3340" s="6" t="n">
        <v>86110</v>
      </c>
      <c r="B3340" s="6" t="inlineStr">
        <is>
          <t>DEKUYPER TRIPLE SEC - BOTTLES</t>
        </is>
      </c>
      <c r="C3340" s="7">
        <f>VLOOKUP(A3340,SizeData!A$2:B$3839,2,FALSE)</f>
        <v/>
      </c>
      <c r="D3340" s="6" t="n">
        <v>0.25</v>
      </c>
      <c r="E3340" s="6" t="inlineStr">
        <is>
          <t>R1162430</t>
        </is>
      </c>
      <c r="F3340" s="2" t="n">
        <v>44371</v>
      </c>
      <c r="G3340" s="6" t="n"/>
    </row>
    <row r="3341">
      <c r="A3341" s="6" t="n">
        <v>86249</v>
      </c>
      <c r="B3341" s="6" t="inlineStr">
        <is>
          <t>JUAREZ TRIPLE SEC</t>
        </is>
      </c>
      <c r="C3341" s="7">
        <f>VLOOKUP(A3341,SizeData!A$2:B$3839,2,FALSE)</f>
        <v/>
      </c>
      <c r="D3341" s="6" t="n">
        <v>1</v>
      </c>
      <c r="E3341" s="6" t="inlineStr">
        <is>
          <t>R1181946</t>
        </is>
      </c>
      <c r="F3341" s="2" t="n">
        <v>44398</v>
      </c>
      <c r="G3341" s="1" t="n"/>
    </row>
    <row r="3342">
      <c r="A3342" s="6" t="n">
        <v>86249</v>
      </c>
      <c r="B3342" s="6" t="inlineStr">
        <is>
          <t>JUAREZ TRIPLE SEC</t>
        </is>
      </c>
      <c r="C3342" s="7">
        <f>VLOOKUP(A3342,SizeData!A$2:B$3839,2,FALSE)</f>
        <v/>
      </c>
      <c r="D3342" s="6" t="n">
        <v>1</v>
      </c>
      <c r="E3342" s="6" t="inlineStr">
        <is>
          <t>R1296060</t>
        </is>
      </c>
      <c r="F3342" s="2" t="n">
        <v>44491</v>
      </c>
      <c r="G3342" s="1" t="n"/>
    </row>
    <row r="3343">
      <c r="A3343" s="6" t="n">
        <v>86251</v>
      </c>
      <c r="B3343" s="6" t="inlineStr">
        <is>
          <t>JUAREZ TRIPLE SEC</t>
        </is>
      </c>
      <c r="C3343" s="7">
        <f>VLOOKUP(A3343,SizeData!A$2:B$3839,2,FALSE)</f>
        <v/>
      </c>
      <c r="D3343" s="6" t="n">
        <v>1</v>
      </c>
      <c r="E3343" s="6" t="inlineStr">
        <is>
          <t xml:space="preserve"> R1161087</t>
        </is>
      </c>
      <c r="F3343" s="2" t="n">
        <v>44373</v>
      </c>
      <c r="G3343" s="1" t="n"/>
    </row>
    <row r="3344">
      <c r="A3344" s="6" t="n">
        <v>86251</v>
      </c>
      <c r="B3344" s="6" t="inlineStr">
        <is>
          <t>JUAREZ TRIPLE SEC</t>
        </is>
      </c>
      <c r="C3344" s="7">
        <f>VLOOKUP(A3344,SizeData!A$2:B$3839,2,FALSE)</f>
        <v/>
      </c>
      <c r="D3344" s="6" t="n">
        <v>1</v>
      </c>
      <c r="E3344" s="6" t="inlineStr">
        <is>
          <t>R1181946</t>
        </is>
      </c>
      <c r="F3344" s="2" t="n">
        <v>44398</v>
      </c>
      <c r="G3344" s="1" t="n"/>
    </row>
    <row r="3345">
      <c r="A3345" s="6" t="n">
        <v>86251</v>
      </c>
      <c r="B3345" s="6" t="inlineStr">
        <is>
          <t>JUAREZ TRIPLE SEC</t>
        </is>
      </c>
      <c r="C3345" s="7">
        <f>VLOOKUP(A3345,SizeData!A$2:B$3839,2,FALSE)</f>
        <v/>
      </c>
      <c r="D3345" s="6" t="n">
        <v>1</v>
      </c>
      <c r="E3345" s="6" t="inlineStr">
        <is>
          <t>R1275378</t>
        </is>
      </c>
      <c r="F3345" s="2" t="n">
        <v>44478</v>
      </c>
      <c r="G3345" s="1" t="n"/>
    </row>
    <row r="3346">
      <c r="A3346" s="6" t="n">
        <v>86251</v>
      </c>
      <c r="B3346" s="6" t="inlineStr">
        <is>
          <t>JUAREZ TRIPLE SEC</t>
        </is>
      </c>
      <c r="C3346" s="7">
        <f>VLOOKUP(A3346,SizeData!A$2:B$3839,2,FALSE)</f>
        <v/>
      </c>
      <c r="D3346" s="6" t="n">
        <v>0</v>
      </c>
      <c r="E3346" s="6" t="inlineStr">
        <is>
          <t>R1279942</t>
        </is>
      </c>
      <c r="F3346" s="2" t="n">
        <v>44487</v>
      </c>
      <c r="G3346" s="1" t="n"/>
    </row>
    <row r="3347">
      <c r="A3347" s="6" t="n">
        <v>86251</v>
      </c>
      <c r="B3347" s="6" t="inlineStr">
        <is>
          <t>JUAREZ TRIPLE SEC</t>
        </is>
      </c>
      <c r="C3347" s="7">
        <f>VLOOKUP(A3347,SizeData!A$2:B$3839,2,FALSE)</f>
        <v/>
      </c>
      <c r="D3347" s="6" t="n">
        <v>1</v>
      </c>
      <c r="E3347" s="6" t="inlineStr">
        <is>
          <t>R1331167</t>
        </is>
      </c>
      <c r="F3347" s="2" t="n">
        <v>44522</v>
      </c>
      <c r="G3347" s="1" t="n"/>
    </row>
    <row r="3348">
      <c r="A3348" s="6" t="n">
        <v>86251</v>
      </c>
      <c r="B3348" s="6" t="inlineStr">
        <is>
          <t>JUAREZ TRIPLE SEC</t>
        </is>
      </c>
      <c r="C3348" s="7">
        <f>VLOOKUP(A3348,SizeData!A$2:B$3839,2,FALSE)</f>
        <v/>
      </c>
      <c r="D3348" s="6" t="n">
        <v>1</v>
      </c>
      <c r="E3348" s="6" t="inlineStr">
        <is>
          <t>R1352452</t>
        </is>
      </c>
      <c r="F3348" s="2" t="n">
        <v>44536</v>
      </c>
      <c r="G3348" s="1" t="n"/>
    </row>
    <row r="3349">
      <c r="A3349" s="6" t="n">
        <v>86433</v>
      </c>
      <c r="B3349" s="6" t="inlineStr">
        <is>
          <t>JACK DANIEL'S TENNESSEE HONEY</t>
        </is>
      </c>
      <c r="C3349" s="7">
        <f>VLOOKUP(A3349,SizeData!A$2:B$3839,2,FALSE)</f>
        <v/>
      </c>
      <c r="D3349" s="6" t="n">
        <v>1</v>
      </c>
      <c r="E3349" s="6" t="inlineStr">
        <is>
          <t>R1264995</t>
        </is>
      </c>
      <c r="F3349" s="2" t="n">
        <v>44475</v>
      </c>
      <c r="G3349" s="1" t="n"/>
    </row>
    <row r="3350">
      <c r="A3350" s="6" t="n">
        <v>86487</v>
      </c>
      <c r="B3350" s="6" t="inlineStr">
        <is>
          <t>MR. BOSTON TRIPLE SEC</t>
        </is>
      </c>
      <c r="C3350" s="7">
        <f>VLOOKUP(A3350,SizeData!A$2:B$3839,2,FALSE)</f>
        <v/>
      </c>
      <c r="D3350" s="6" t="n">
        <v>1</v>
      </c>
      <c r="E3350" s="6" t="inlineStr">
        <is>
          <t>R1085364</t>
        </is>
      </c>
      <c r="F3350" s="2" t="n">
        <v>44289</v>
      </c>
      <c r="G3350" s="1" t="n"/>
    </row>
    <row r="3351">
      <c r="A3351" s="6" t="n">
        <v>86487</v>
      </c>
      <c r="B3351" s="6" t="inlineStr">
        <is>
          <t>MR. BOSTON TRIPLE SEC</t>
        </is>
      </c>
      <c r="C3351" s="7">
        <f>VLOOKUP(A3351,SizeData!A$2:B$3839,2,FALSE)</f>
        <v/>
      </c>
      <c r="D3351" s="6" t="n">
        <v>1</v>
      </c>
      <c r="E3351" s="6" t="inlineStr">
        <is>
          <t>R1115090</t>
        </is>
      </c>
      <c r="F3351" s="2" t="n">
        <v>44315</v>
      </c>
      <c r="G3351" s="1" t="n"/>
    </row>
    <row r="3352">
      <c r="A3352" s="6" t="n">
        <v>86487</v>
      </c>
      <c r="B3352" s="6" t="inlineStr">
        <is>
          <t>MR. BOSTON TRIPLE SEC</t>
        </is>
      </c>
      <c r="C3352" s="7">
        <f>VLOOKUP(A3352,SizeData!A$2:B$3839,2,FALSE)</f>
        <v/>
      </c>
      <c r="D3352" s="6" t="n">
        <v>1</v>
      </c>
      <c r="E3352" s="6" t="inlineStr">
        <is>
          <t>R1163234</t>
        </is>
      </c>
      <c r="F3352" s="2" t="n">
        <v>44376</v>
      </c>
      <c r="G3352" s="1" t="n"/>
    </row>
    <row r="3353">
      <c r="A3353" s="6" t="n">
        <v>86487</v>
      </c>
      <c r="B3353" s="6" t="inlineStr">
        <is>
          <t>MR. BOSTON TRIPLE SEC</t>
        </is>
      </c>
      <c r="C3353" s="7">
        <f>VLOOKUP(A3353,SizeData!A$2:B$3839,2,FALSE)</f>
        <v/>
      </c>
      <c r="D3353" s="6" t="n">
        <v>1</v>
      </c>
      <c r="E3353" s="6" t="inlineStr">
        <is>
          <t>R1187907</t>
        </is>
      </c>
      <c r="F3353" s="2" t="n">
        <v>44401</v>
      </c>
      <c r="G3353" s="1" t="n"/>
    </row>
    <row r="3354">
      <c r="A3354" s="6" t="n">
        <v>86487</v>
      </c>
      <c r="B3354" s="6" t="inlineStr">
        <is>
          <t>MR. BOSTON TRIPLE SEC</t>
        </is>
      </c>
      <c r="C3354" s="7">
        <f>VLOOKUP(A3354,SizeData!A$2:B$3839,2,FALSE)</f>
        <v/>
      </c>
      <c r="D3354" s="6" t="n">
        <v>1</v>
      </c>
      <c r="E3354" s="6" t="inlineStr">
        <is>
          <t>R1275378</t>
        </is>
      </c>
      <c r="F3354" s="2" t="n">
        <v>44478</v>
      </c>
      <c r="G3354" s="1" t="n"/>
    </row>
    <row r="3355">
      <c r="A3355" s="6" t="n">
        <v>86487</v>
      </c>
      <c r="B3355" s="6" t="inlineStr">
        <is>
          <t>MR. BOSTON TRIPLE SEC</t>
        </is>
      </c>
      <c r="C3355" s="7">
        <f>VLOOKUP(A3355,SizeData!A$2:B$3839,2,FALSE)</f>
        <v/>
      </c>
      <c r="D3355" s="6" t="n">
        <v>1</v>
      </c>
      <c r="E3355" s="6" t="inlineStr">
        <is>
          <t>R1348543</t>
        </is>
      </c>
      <c r="F3355" s="2" t="n">
        <v>44534</v>
      </c>
      <c r="G3355" s="1" t="n"/>
    </row>
    <row r="3356">
      <c r="A3356" s="6" t="n">
        <v>86669</v>
      </c>
      <c r="B3356" s="6" t="inlineStr">
        <is>
          <t>JACK DANIEL'S TENNESSEE HONEY</t>
        </is>
      </c>
      <c r="C3356" s="7">
        <f>VLOOKUP(A3356,SizeData!A$2:B$3839,2,FALSE)</f>
        <v/>
      </c>
      <c r="D3356" s="6" t="n">
        <v>4</v>
      </c>
      <c r="E3356" s="6" t="inlineStr">
        <is>
          <t>R1126618</t>
        </is>
      </c>
      <c r="F3356" s="2" t="n">
        <v>44326</v>
      </c>
      <c r="G3356" s="1" t="n"/>
    </row>
    <row r="3357">
      <c r="A3357" s="6" t="n">
        <v>86669</v>
      </c>
      <c r="B3357" s="6" t="inlineStr">
        <is>
          <t>JACK DANIEL'S TENNESSEE HONEY</t>
        </is>
      </c>
      <c r="C3357" s="7">
        <f>VLOOKUP(A3357,SizeData!A$2:B$3839,2,FALSE)</f>
        <v/>
      </c>
      <c r="D3357" s="6" t="n">
        <v>3</v>
      </c>
      <c r="E3357" s="6" t="inlineStr">
        <is>
          <t>R1366318</t>
        </is>
      </c>
      <c r="F3357" s="2" t="n">
        <v>44538</v>
      </c>
      <c r="G3357" s="1" t="n"/>
    </row>
    <row r="3358">
      <c r="A3358" s="6" t="n">
        <v>86670</v>
      </c>
      <c r="B3358" s="6" t="inlineStr">
        <is>
          <t>JACK DANIEL'S TENNESSEE HONEY</t>
        </is>
      </c>
      <c r="C3358" s="7">
        <f>VLOOKUP(A3358,SizeData!A$2:B$3839,2,FALSE)</f>
        <v/>
      </c>
      <c r="D3358" s="6" t="n">
        <v>4</v>
      </c>
      <c r="E3358" s="6" t="inlineStr">
        <is>
          <t>R1074902</t>
        </is>
      </c>
      <c r="F3358" s="2" t="n">
        <v>44284</v>
      </c>
      <c r="G3358" s="1" t="n"/>
    </row>
    <row r="3359">
      <c r="A3359" s="6" t="n">
        <v>86670</v>
      </c>
      <c r="B3359" s="6" t="inlineStr">
        <is>
          <t>JACK DANIEL'S TENNESSEE HONEY</t>
        </is>
      </c>
      <c r="C3359" s="7">
        <f>VLOOKUP(A3359,SizeData!A$2:B$3839,2,FALSE)</f>
        <v/>
      </c>
      <c r="D3359" s="6" t="n">
        <v>0</v>
      </c>
      <c r="E3359" s="6" t="inlineStr">
        <is>
          <t>R1245880</t>
        </is>
      </c>
      <c r="F3359" s="2" t="n">
        <v>44453</v>
      </c>
      <c r="G3359" s="1" t="n"/>
    </row>
    <row r="3360">
      <c r="A3360" s="6" t="n">
        <v>86670</v>
      </c>
      <c r="B3360" s="6" t="inlineStr">
        <is>
          <t>JACK DANIEL'S TENNESSEE HONEY</t>
        </is>
      </c>
      <c r="C3360" s="7">
        <f>VLOOKUP(A3360,SizeData!A$2:B$3839,2,FALSE)</f>
        <v/>
      </c>
      <c r="D3360" s="6" t="n">
        <v>5</v>
      </c>
      <c r="E3360" s="6" t="inlineStr">
        <is>
          <t>R1269323</t>
        </is>
      </c>
      <c r="F3360" s="2" t="n">
        <v>44474</v>
      </c>
      <c r="G3360" s="1" t="n"/>
    </row>
    <row r="3361">
      <c r="A3361" s="6" t="n">
        <v>86670</v>
      </c>
      <c r="B3361" s="6" t="inlineStr">
        <is>
          <t>JACK DANIEL'S TENNESSEE HONEY</t>
        </is>
      </c>
      <c r="C3361" s="7">
        <f>VLOOKUP(A3361,SizeData!A$2:B$3839,2,FALSE)</f>
        <v/>
      </c>
      <c r="D3361" s="6" t="n">
        <v>1</v>
      </c>
      <c r="E3361" s="6" t="inlineStr">
        <is>
          <t>R1276303</t>
        </is>
      </c>
      <c r="F3361" s="2" t="n">
        <v>44474</v>
      </c>
      <c r="G3361" s="1" t="n"/>
    </row>
    <row r="3362">
      <c r="A3362" s="6" t="n">
        <v>86672</v>
      </c>
      <c r="B3362" s="6" t="inlineStr">
        <is>
          <t>JACK DANIEL'S TENNESSEE HONEY</t>
        </is>
      </c>
      <c r="C3362" s="7">
        <f>VLOOKUP(A3362,SizeData!A$2:B$3839,2,FALSE)</f>
        <v/>
      </c>
      <c r="D3362" s="6" t="n">
        <v>1</v>
      </c>
      <c r="E3362" s="6" t="inlineStr">
        <is>
          <t>R1166959</t>
        </is>
      </c>
      <c r="F3362" s="2" t="n">
        <v>44380</v>
      </c>
      <c r="G3362" s="1" t="n"/>
    </row>
    <row r="3363">
      <c r="A3363" s="6" t="n">
        <v>86672</v>
      </c>
      <c r="B3363" s="6" t="inlineStr">
        <is>
          <t>JACK DANIEL'S TENNESSEE HONEY</t>
        </is>
      </c>
      <c r="C3363" s="7">
        <f>VLOOKUP(A3363,SizeData!A$2:B$3839,2,FALSE)</f>
        <v/>
      </c>
      <c r="D3363" s="6" t="n">
        <v>2</v>
      </c>
      <c r="E3363" s="6" t="inlineStr">
        <is>
          <t>R1339973</t>
        </is>
      </c>
      <c r="F3363" s="2" t="n">
        <v>44531</v>
      </c>
      <c r="G3363" s="1" t="n"/>
    </row>
    <row r="3364">
      <c r="A3364" s="6" t="n">
        <v>86673</v>
      </c>
      <c r="B3364" s="6" t="inlineStr">
        <is>
          <t>JACK DANIEL'S TENNESSEE HONEY</t>
        </is>
      </c>
      <c r="C3364" s="7">
        <f>VLOOKUP(A3364,SizeData!A$2:B$3839,2,FALSE)</f>
        <v/>
      </c>
      <c r="D3364" s="6" t="n">
        <v>1</v>
      </c>
      <c r="E3364" s="6" t="inlineStr">
        <is>
          <t>R1101961</t>
        </is>
      </c>
      <c r="F3364" s="2" t="n">
        <v>44320</v>
      </c>
      <c r="G3364" s="1" t="n"/>
    </row>
    <row r="3365">
      <c r="A3365" s="6" t="n">
        <v>86673</v>
      </c>
      <c r="B3365" s="6" t="inlineStr">
        <is>
          <t>JACK DANIEL'S TENNESSEE HONEY</t>
        </is>
      </c>
      <c r="C3365" s="7">
        <f>VLOOKUP(A3365,SizeData!A$2:B$3839,2,FALSE)</f>
        <v/>
      </c>
      <c r="D3365" s="6" t="n">
        <v>4</v>
      </c>
      <c r="E3365" s="6" t="inlineStr">
        <is>
          <t>R1320744</t>
        </is>
      </c>
      <c r="F3365" s="2" t="n">
        <v>44509</v>
      </c>
      <c r="G3365" s="1" t="n"/>
    </row>
    <row r="3366">
      <c r="A3366" s="6" t="n">
        <v>86692</v>
      </c>
      <c r="B3366" s="6" t="inlineStr">
        <is>
          <t>JACK DANIEL'S TENNESSEE FIRE</t>
        </is>
      </c>
      <c r="C3366" s="7">
        <f>VLOOKUP(A3366,SizeData!A$2:B$3839,2,FALSE)</f>
        <v/>
      </c>
      <c r="D3366" s="6" t="n">
        <v>1</v>
      </c>
      <c r="E3366" s="6" t="inlineStr">
        <is>
          <t>R1018402</t>
        </is>
      </c>
      <c r="F3366" s="2" t="n">
        <v>44229</v>
      </c>
      <c r="G3366" s="1" t="n"/>
    </row>
    <row r="3367">
      <c r="A3367" s="6" t="n">
        <v>86739</v>
      </c>
      <c r="B3367" s="6" t="inlineStr">
        <is>
          <t>OLE SMOKY APPLE PIE MOONSHINE</t>
        </is>
      </c>
      <c r="C3367" s="7">
        <f>VLOOKUP(A3367,SizeData!A$2:B$3839,2,FALSE)</f>
        <v/>
      </c>
      <c r="D3367" s="6" t="n">
        <v>1</v>
      </c>
      <c r="E3367" s="6" t="inlineStr">
        <is>
          <t>R1224208</t>
        </is>
      </c>
      <c r="F3367" s="2" t="n">
        <v>44436</v>
      </c>
      <c r="G3367" s="1" t="n"/>
    </row>
    <row r="3368">
      <c r="A3368" s="6" t="n">
        <v>86748</v>
      </c>
      <c r="B3368" s="6" t="inlineStr">
        <is>
          <t>OLE SMOKY TENN MOOSHINE BLACKBERRY</t>
        </is>
      </c>
      <c r="C3368" s="7">
        <f>VLOOKUP(A3368,SizeData!A$2:B$3839,2,FALSE)</f>
        <v/>
      </c>
      <c r="D3368" s="6" t="n">
        <v>1</v>
      </c>
      <c r="E3368" s="6" t="inlineStr">
        <is>
          <t>R1181946</t>
        </is>
      </c>
      <c r="F3368" s="2" t="n">
        <v>44398</v>
      </c>
      <c r="G3368" s="1" t="n"/>
    </row>
    <row r="3369">
      <c r="A3369" s="6" t="n">
        <v>86748</v>
      </c>
      <c r="B3369" s="6" t="inlineStr">
        <is>
          <t>OLE SMOKY TENN MOOSHINE BLACKBERRY</t>
        </is>
      </c>
      <c r="C3369" s="7">
        <f>VLOOKUP(A3369,SizeData!A$2:B$3839,2,FALSE)</f>
        <v/>
      </c>
      <c r="D3369" s="6" t="n">
        <v>2</v>
      </c>
      <c r="E3369" s="6" t="inlineStr">
        <is>
          <t>R1189020</t>
        </is>
      </c>
      <c r="F3369" s="2" t="n">
        <v>44406</v>
      </c>
      <c r="G3369" s="1" t="n"/>
    </row>
    <row r="3370">
      <c r="A3370" s="6" t="n">
        <v>86751</v>
      </c>
      <c r="B3370" s="6" t="inlineStr">
        <is>
          <t>OLE SMOKY TENN. MOONSHINE HUNCH PUNCH LIGHTNIN'</t>
        </is>
      </c>
      <c r="C3370" s="7">
        <f>VLOOKUP(A3370,SizeData!A$2:B$3839,2,FALSE)</f>
        <v/>
      </c>
      <c r="D3370" s="6" t="n">
        <v>1</v>
      </c>
      <c r="E3370" s="6" t="inlineStr">
        <is>
          <t>R1127639</t>
        </is>
      </c>
      <c r="F3370" s="2" t="n">
        <v>44341</v>
      </c>
      <c r="G3370" s="1" t="n"/>
    </row>
    <row r="3371">
      <c r="A3371" s="6" t="n">
        <v>86751</v>
      </c>
      <c r="B3371" s="6" t="inlineStr">
        <is>
          <t>OLE SMOKY TENN. MOONSHINE HUNCH PUNCH LIGHTNIN'</t>
        </is>
      </c>
      <c r="C3371" s="7">
        <f>VLOOKUP(A3371,SizeData!A$2:B$3839,2,FALSE)</f>
        <v/>
      </c>
      <c r="D3371" s="6" t="n">
        <v>1</v>
      </c>
      <c r="E3371" s="6" t="inlineStr">
        <is>
          <t>R1148206</t>
        </is>
      </c>
      <c r="F3371" s="2" t="n">
        <v>44359</v>
      </c>
      <c r="G3371" s="1" t="n"/>
    </row>
    <row r="3372">
      <c r="A3372" s="6" t="n">
        <v>86751</v>
      </c>
      <c r="B3372" s="6" t="inlineStr">
        <is>
          <t>OLE SMOKY TENN. MOONSHINE HUNCH PUNCH LIGHTNIN'</t>
        </is>
      </c>
      <c r="C3372" s="7">
        <f>VLOOKUP(A3372,SizeData!A$2:B$3839,2,FALSE)</f>
        <v/>
      </c>
      <c r="D3372" s="6" t="n">
        <v>2</v>
      </c>
      <c r="E3372" s="6" t="inlineStr">
        <is>
          <t>R1154324</t>
        </is>
      </c>
      <c r="F3372" s="2" t="n">
        <v>44378</v>
      </c>
      <c r="G3372" s="1" t="n"/>
    </row>
    <row r="3373">
      <c r="A3373" s="6" t="n">
        <v>86751</v>
      </c>
      <c r="B3373" s="6" t="inlineStr">
        <is>
          <t>OLE SMOKY TENN. MOONSHINE HUNCH PUNCH LIGHTNIN'</t>
        </is>
      </c>
      <c r="C3373" s="7">
        <f>VLOOKUP(A3373,SizeData!A$2:B$3839,2,FALSE)</f>
        <v/>
      </c>
      <c r="D3373" s="6" t="n">
        <v>2</v>
      </c>
      <c r="E3373" s="6" t="inlineStr">
        <is>
          <t>R1169144</t>
        </is>
      </c>
      <c r="F3373" s="2" t="n">
        <v>44387</v>
      </c>
      <c r="G3373" s="1" t="n"/>
    </row>
    <row r="3374">
      <c r="A3374" s="6" t="n">
        <v>86751</v>
      </c>
      <c r="B3374" s="6" t="inlineStr">
        <is>
          <t>OLE SMOKY TENN. MOONSHINE HUNCH PUNCH LIGHTNIN'</t>
        </is>
      </c>
      <c r="C3374" s="7">
        <f>VLOOKUP(A3374,SizeData!A$2:B$3839,2,FALSE)</f>
        <v/>
      </c>
      <c r="D3374" s="6" t="n">
        <v>1</v>
      </c>
      <c r="E3374" s="6" t="inlineStr">
        <is>
          <t>R1209774</t>
        </is>
      </c>
      <c r="F3374" s="2" t="n">
        <v>44433</v>
      </c>
      <c r="G3374" s="1" t="n"/>
    </row>
    <row r="3375">
      <c r="A3375" s="6" t="n">
        <v>86751</v>
      </c>
      <c r="B3375" s="6" t="inlineStr">
        <is>
          <t>OLE SMOKY TENN. MOONSHINE HUNCH PUNCH LIGHTNIN'</t>
        </is>
      </c>
      <c r="C3375" s="7">
        <f>VLOOKUP(A3375,SizeData!A$2:B$3839,2,FALSE)</f>
        <v/>
      </c>
      <c r="D3375" s="6" t="n">
        <v>2</v>
      </c>
      <c r="E3375" s="6" t="inlineStr">
        <is>
          <t>R1261664</t>
        </is>
      </c>
      <c r="F3375" s="2" t="n">
        <v>44467</v>
      </c>
      <c r="G3375" s="1" t="n"/>
    </row>
    <row r="3376">
      <c r="A3376" s="6" t="n">
        <v>86751</v>
      </c>
      <c r="B3376" s="6" t="inlineStr">
        <is>
          <t>OLE SMOKY TENN. MOONSHINE HUNCH PUNCH LIGHTNIN'</t>
        </is>
      </c>
      <c r="C3376" s="7">
        <f>VLOOKUP(A3376,SizeData!A$2:B$3839,2,FALSE)</f>
        <v/>
      </c>
      <c r="D3376" s="6" t="n">
        <v>1</v>
      </c>
      <c r="E3376" s="6" t="inlineStr">
        <is>
          <t>R1274548</t>
        </is>
      </c>
      <c r="F3376" s="2" t="n">
        <v>44485</v>
      </c>
      <c r="G3376" s="1" t="n"/>
    </row>
    <row r="3377">
      <c r="A3377" s="6" t="n">
        <v>86751</v>
      </c>
      <c r="B3377" s="6" t="inlineStr">
        <is>
          <t>OLE SMOKY TENN. MOONSHINE HUNCH PUNCH LIGHTNIN'</t>
        </is>
      </c>
      <c r="C3377" s="7">
        <f>VLOOKUP(A3377,SizeData!A$2:B$3839,2,FALSE)</f>
        <v/>
      </c>
      <c r="D3377" s="6" t="n">
        <v>1</v>
      </c>
      <c r="E3377" s="6" t="inlineStr">
        <is>
          <t>R1284504</t>
        </is>
      </c>
      <c r="F3377" s="2" t="n">
        <v>44485</v>
      </c>
      <c r="G3377" s="1" t="n"/>
    </row>
    <row r="3378">
      <c r="A3378" s="6" t="n">
        <v>86751</v>
      </c>
      <c r="B3378" s="6" t="inlineStr">
        <is>
          <t>OLE SMOKY TENN. MOONSHINE HUNCH PUNCH LIGHTNIN'</t>
        </is>
      </c>
      <c r="C3378" s="7">
        <f>VLOOKUP(A3378,SizeData!A$2:B$3839,2,FALSE)</f>
        <v/>
      </c>
      <c r="D3378" s="6" t="n">
        <v>2</v>
      </c>
      <c r="E3378" s="6" t="inlineStr">
        <is>
          <t>R1337036</t>
        </is>
      </c>
      <c r="F3378" s="2" t="n">
        <v>44523</v>
      </c>
      <c r="G3378" s="1" t="n"/>
    </row>
    <row r="3379">
      <c r="A3379" s="6" t="n">
        <v>86751</v>
      </c>
      <c r="B3379" s="6" t="inlineStr">
        <is>
          <t>OLE SMOKY TENN. MOONSHINE HUNCH PUNCH LIGHTNIN'</t>
        </is>
      </c>
      <c r="C3379" s="7">
        <f>VLOOKUP(A3379,SizeData!A$2:B$3839,2,FALSE)</f>
        <v/>
      </c>
      <c r="D3379" s="6" t="n">
        <v>2</v>
      </c>
      <c r="E3379" s="6" t="inlineStr">
        <is>
          <t>R1352452</t>
        </is>
      </c>
      <c r="F3379" s="2" t="n">
        <v>44536</v>
      </c>
      <c r="G3379" s="1" t="n"/>
    </row>
    <row r="3380">
      <c r="A3380" s="6" t="n">
        <v>86753</v>
      </c>
      <c r="B3380" s="6" t="inlineStr">
        <is>
          <t>OLE SMOKY TENNESSEE MOONSHINE PEACH</t>
        </is>
      </c>
      <c r="C3380" s="7">
        <f>VLOOKUP(A3380,SizeData!A$2:B$3839,2,FALSE)</f>
        <v/>
      </c>
      <c r="D3380" s="6" t="n">
        <v>1</v>
      </c>
      <c r="E3380" s="6" t="inlineStr">
        <is>
          <t>R1025870</t>
        </is>
      </c>
      <c r="F3380" s="2" t="n">
        <v>44229</v>
      </c>
      <c r="G3380" s="1" t="n"/>
    </row>
    <row r="3381">
      <c r="A3381" s="6" t="n">
        <v>86753</v>
      </c>
      <c r="B3381" s="6" t="inlineStr">
        <is>
          <t>OLE SMOKY TENNESSEE MOONSHINE PEACH</t>
        </is>
      </c>
      <c r="C3381" s="7">
        <f>VLOOKUP(A3381,SizeData!A$2:B$3839,2,FALSE)</f>
        <v/>
      </c>
      <c r="D3381" s="6" t="n">
        <v>2</v>
      </c>
      <c r="E3381" s="6" t="inlineStr">
        <is>
          <t>R1170994</t>
        </is>
      </c>
      <c r="F3381" s="2" t="n">
        <v>44394</v>
      </c>
      <c r="G3381" s="1" t="n"/>
    </row>
    <row r="3382">
      <c r="A3382" s="6" t="n">
        <v>86753</v>
      </c>
      <c r="B3382" s="6" t="inlineStr">
        <is>
          <t>OLE SMOKY TENNESSEE MOONSHINE PEACH</t>
        </is>
      </c>
      <c r="C3382" s="7">
        <f>VLOOKUP(A3382,SizeData!A$2:B$3839,2,FALSE)</f>
        <v/>
      </c>
      <c r="D3382" s="6" t="n">
        <v>1</v>
      </c>
      <c r="E3382" s="6" t="inlineStr">
        <is>
          <t>R1192528</t>
        </is>
      </c>
      <c r="F3382" s="2" t="n">
        <v>44404</v>
      </c>
      <c r="G3382" s="1" t="n"/>
    </row>
    <row r="3383">
      <c r="A3383" s="6" t="n">
        <v>86771</v>
      </c>
      <c r="B3383" s="6" t="inlineStr">
        <is>
          <t>OLE SMOKY TENNESSEE MOONSHINE WHITE LIGHTNIN</t>
        </is>
      </c>
      <c r="C3383" s="7">
        <f>VLOOKUP(A3383,SizeData!A$2:B$3839,2,FALSE)</f>
        <v/>
      </c>
      <c r="D3383" s="6" t="n">
        <v>1</v>
      </c>
      <c r="E3383" s="6" t="inlineStr">
        <is>
          <t>R1092714</t>
        </is>
      </c>
      <c r="F3383" s="2" t="n">
        <v>44296</v>
      </c>
      <c r="G3383" s="1" t="n"/>
    </row>
    <row r="3384">
      <c r="A3384" s="6" t="n">
        <v>86771</v>
      </c>
      <c r="B3384" s="6" t="inlineStr">
        <is>
          <t>OLE SMOKY TENNESSEE MOONSHINE WHITE LIGHTNIN</t>
        </is>
      </c>
      <c r="C3384" s="7">
        <f>VLOOKUP(A3384,SizeData!A$2:B$3839,2,FALSE)</f>
        <v/>
      </c>
      <c r="D3384" s="6" t="n">
        <v>1</v>
      </c>
      <c r="E3384" s="6" t="inlineStr">
        <is>
          <t>R1154324</t>
        </is>
      </c>
      <c r="F3384" s="2" t="n">
        <v>44378</v>
      </c>
      <c r="G3384" s="1" t="n"/>
    </row>
    <row r="3385">
      <c r="A3385" s="6" t="n">
        <v>86771</v>
      </c>
      <c r="B3385" s="6" t="inlineStr">
        <is>
          <t>OLE SMOKY TENNESSEE MOONSHINE WHITE LIGHTNIN</t>
        </is>
      </c>
      <c r="C3385" s="7">
        <f>VLOOKUP(A3385,SizeData!A$2:B$3839,2,FALSE)</f>
        <v/>
      </c>
      <c r="D3385" s="6" t="n">
        <v>2</v>
      </c>
      <c r="E3385" s="6" t="inlineStr">
        <is>
          <t>R1170994</t>
        </is>
      </c>
      <c r="F3385" s="2" t="n">
        <v>44394</v>
      </c>
      <c r="G3385" s="1" t="n"/>
    </row>
    <row r="3386">
      <c r="A3386" s="6" t="n">
        <v>86785</v>
      </c>
      <c r="B3386" s="6" t="inlineStr">
        <is>
          <t>OLE SMOKY APPLE PIE MOONSHINE 70PF</t>
        </is>
      </c>
      <c r="C3386" s="7">
        <f>VLOOKUP(A3386,SizeData!A$2:B$3839,2,FALSE)</f>
        <v/>
      </c>
      <c r="D3386" s="6" t="n">
        <v>1</v>
      </c>
      <c r="E3386" s="6" t="inlineStr">
        <is>
          <t>R1170994</t>
        </is>
      </c>
      <c r="F3386" s="2" t="n">
        <v>44394</v>
      </c>
      <c r="G3386" s="1" t="n"/>
    </row>
    <row r="3387">
      <c r="A3387" s="6" t="n">
        <v>86785</v>
      </c>
      <c r="B3387" s="6" t="inlineStr">
        <is>
          <t>OLE SMOKY APPLE PIE MOONSHINE 70PF</t>
        </is>
      </c>
      <c r="C3387" s="7">
        <f>VLOOKUP(A3387,SizeData!A$2:B$3839,2,FALSE)</f>
        <v/>
      </c>
      <c r="D3387" s="6" t="n">
        <v>2</v>
      </c>
      <c r="E3387" s="6" t="inlineStr">
        <is>
          <t>R1180298</t>
        </is>
      </c>
      <c r="F3387" s="2" t="n">
        <v>44400</v>
      </c>
      <c r="G3387" s="1" t="n"/>
    </row>
    <row r="3388">
      <c r="A3388" s="6" t="n">
        <v>86828</v>
      </c>
      <c r="B3388" s="6" t="inlineStr">
        <is>
          <t>OLE SMOKY HUNCH PUNCH MOONSHINE</t>
        </is>
      </c>
      <c r="C3388" s="7">
        <f>VLOOKUP(A3388,SizeData!A$2:B$3839,2,FALSE)</f>
        <v/>
      </c>
      <c r="D3388" s="6" t="n">
        <v>1</v>
      </c>
      <c r="E3388" s="6" t="inlineStr">
        <is>
          <t>R1091962</t>
        </is>
      </c>
      <c r="F3388" s="2" t="n">
        <v>44295</v>
      </c>
      <c r="G3388" s="1" t="n"/>
    </row>
    <row r="3389">
      <c r="A3389" s="6" t="n">
        <v>86828</v>
      </c>
      <c r="B3389" s="6" t="inlineStr">
        <is>
          <t>OLE SMOKY HUNCH PUNCH MOONSHINE</t>
        </is>
      </c>
      <c r="C3389" s="7">
        <f>VLOOKUP(A3389,SizeData!A$2:B$3839,2,FALSE)</f>
        <v/>
      </c>
      <c r="D3389" s="6" t="n">
        <v>1</v>
      </c>
      <c r="E3389" s="6" t="inlineStr">
        <is>
          <t>R1187881</t>
        </is>
      </c>
      <c r="F3389" s="2" t="n">
        <v>44412</v>
      </c>
      <c r="G3389" s="1" t="n"/>
    </row>
    <row r="3390">
      <c r="A3390" s="6" t="n">
        <v>86828</v>
      </c>
      <c r="B3390" s="6" t="inlineStr">
        <is>
          <t>OLE SMOKY HUNCH PUNCH MOONSHINE</t>
        </is>
      </c>
      <c r="C3390" s="7">
        <f>VLOOKUP(A3390,SizeData!A$2:B$3839,2,FALSE)</f>
        <v/>
      </c>
      <c r="D3390" s="6" t="n">
        <v>2</v>
      </c>
      <c r="E3390" s="6" t="inlineStr">
        <is>
          <t xml:space="preserve"> R1211770</t>
        </is>
      </c>
      <c r="F3390" s="2" t="n">
        <v>44427</v>
      </c>
      <c r="G3390" s="1" t="n"/>
    </row>
    <row r="3391">
      <c r="A3391" s="6" t="n">
        <v>86828</v>
      </c>
      <c r="B3391" s="6" t="inlineStr">
        <is>
          <t>OLE SMOKY HUNCH PUNCH MOONSHINE</t>
        </is>
      </c>
      <c r="C3391" s="7">
        <f>VLOOKUP(A3391,SizeData!A$2:B$3839,2,FALSE)</f>
        <v/>
      </c>
      <c r="D3391" s="6" t="n">
        <v>2</v>
      </c>
      <c r="E3391" s="6" t="inlineStr">
        <is>
          <t>R1261664</t>
        </is>
      </c>
      <c r="F3391" s="2" t="n">
        <v>44467</v>
      </c>
      <c r="G3391" s="1" t="n"/>
    </row>
    <row r="3392">
      <c r="A3392" s="6" t="n">
        <v>86839</v>
      </c>
      <c r="B3392" s="6" t="inlineStr">
        <is>
          <t>OLE SMOKY MANGO HABANERO WHISKEY</t>
        </is>
      </c>
      <c r="C3392" s="7">
        <f>VLOOKUP(A3392,SizeData!A$2:B$3839,2,FALSE)</f>
        <v/>
      </c>
      <c r="D3392" s="6" t="n">
        <v>1</v>
      </c>
      <c r="E3392" s="6" t="inlineStr">
        <is>
          <t>R1270963</t>
        </is>
      </c>
      <c r="F3392" s="2" t="n">
        <v>44470</v>
      </c>
      <c r="G3392" s="1" t="n"/>
    </row>
    <row r="3393">
      <c r="A3393" s="6" t="n">
        <v>86843</v>
      </c>
      <c r="B3393" s="6" t="inlineStr">
        <is>
          <t>OLE SMOKY SALTY CARAMEL WHISKEY</t>
        </is>
      </c>
      <c r="C3393" s="7">
        <f>VLOOKUP(A3393,SizeData!A$2:B$3839,2,FALSE)</f>
        <v/>
      </c>
      <c r="D3393" s="6" t="n">
        <v>1</v>
      </c>
      <c r="E3393" s="6" t="inlineStr">
        <is>
          <t>R1204006</t>
        </is>
      </c>
      <c r="F3393" s="2" t="n">
        <v>44415</v>
      </c>
      <c r="G3393" s="1" t="n"/>
    </row>
    <row r="3394">
      <c r="A3394" s="6" t="n">
        <v>86843</v>
      </c>
      <c r="B3394" s="6" t="inlineStr">
        <is>
          <t>OLE SMOKY SALTY CARAMEL WHISKEY</t>
        </is>
      </c>
      <c r="C3394" s="7">
        <f>VLOOKUP(A3394,SizeData!A$2:B$3839,2,FALSE)</f>
        <v/>
      </c>
      <c r="D3394" s="6" t="n">
        <v>1</v>
      </c>
      <c r="E3394" s="6" t="inlineStr">
        <is>
          <t>R1233531</t>
        </is>
      </c>
      <c r="F3394" s="2" t="n">
        <v>44450</v>
      </c>
      <c r="G3394" s="1" t="n"/>
    </row>
    <row r="3395">
      <c r="A3395" s="6" t="n">
        <v>86843</v>
      </c>
      <c r="B3395" s="6" t="inlineStr">
        <is>
          <t>OLE SMOKY SALTY CARAMEL WHISKEY</t>
        </is>
      </c>
      <c r="C3395" s="7">
        <f>VLOOKUP(A3395,SizeData!A$2:B$3839,2,FALSE)</f>
        <v/>
      </c>
      <c r="D3395" s="6" t="n">
        <v>1</v>
      </c>
      <c r="E3395" s="6" t="inlineStr">
        <is>
          <t>R1248175</t>
        </is>
      </c>
      <c r="F3395" s="2" t="n">
        <v>44463</v>
      </c>
      <c r="G3395" s="1" t="n"/>
    </row>
    <row r="3396">
      <c r="A3396" s="6" t="n">
        <v>86845</v>
      </c>
      <c r="B3396" s="6" t="inlineStr">
        <is>
          <t>OLE SMOKY BLACKBERRY MOONSHINE</t>
        </is>
      </c>
      <c r="C3396" s="7">
        <f>VLOOKUP(A3396,SizeData!A$2:B$3839,2,FALSE)</f>
        <v/>
      </c>
      <c r="D3396" s="6" t="n">
        <v>1</v>
      </c>
      <c r="E3396" s="6" t="inlineStr">
        <is>
          <t xml:space="preserve"> R1188252</t>
        </is>
      </c>
      <c r="F3396" s="2" t="n">
        <v>44406</v>
      </c>
      <c r="G3396" s="1" t="n"/>
    </row>
    <row r="3397">
      <c r="A3397" s="6" t="n">
        <v>86851</v>
      </c>
      <c r="B3397" s="6" t="inlineStr">
        <is>
          <t>OLE SMOKEY BLUE FLAME TENNESSEE MOONSHINE</t>
        </is>
      </c>
      <c r="C3397" s="7">
        <f>VLOOKUP(A3397,SizeData!A$2:B$3839,2,FALSE)</f>
        <v/>
      </c>
      <c r="D3397" s="6" t="n">
        <v>1</v>
      </c>
      <c r="E3397" s="6" t="inlineStr">
        <is>
          <t>R1163865</t>
        </is>
      </c>
      <c r="F3397" s="2" t="n">
        <v>44384</v>
      </c>
      <c r="G3397" s="6" t="n"/>
    </row>
    <row r="3398">
      <c r="A3398" s="6" t="n">
        <v>86886</v>
      </c>
      <c r="B3398" s="6" t="inlineStr">
        <is>
          <t>SOUTHERN COMFORT</t>
        </is>
      </c>
      <c r="C3398" s="7">
        <f>VLOOKUP(A3398,SizeData!A$2:B$3839,2,FALSE)</f>
        <v/>
      </c>
      <c r="D3398" s="6" t="n">
        <v>1</v>
      </c>
      <c r="E3398" s="6" t="inlineStr">
        <is>
          <t>R1115090</t>
        </is>
      </c>
      <c r="F3398" s="2" t="n">
        <v>44315</v>
      </c>
      <c r="G3398" s="1" t="n"/>
    </row>
    <row r="3399">
      <c r="A3399" s="6" t="n">
        <v>86970</v>
      </c>
      <c r="B3399" s="6" t="inlineStr">
        <is>
          <t>OLE SMOKY BLUE FLAME MOONSHINE</t>
        </is>
      </c>
      <c r="C3399" s="7">
        <f>VLOOKUP(A3399,SizeData!A$2:B$3839,2,FALSE)</f>
        <v/>
      </c>
      <c r="D3399" s="6" t="n">
        <v>1</v>
      </c>
      <c r="E3399" s="6" t="inlineStr">
        <is>
          <t>R1091962</t>
        </is>
      </c>
      <c r="F3399" s="2" t="n">
        <v>44295</v>
      </c>
      <c r="G3399" s="1" t="n"/>
    </row>
    <row r="3400">
      <c r="A3400" s="6" t="n">
        <v>86970</v>
      </c>
      <c r="B3400" s="6" t="inlineStr">
        <is>
          <t>OLE SMOKY BLUE FLAME MOONSHINE</t>
        </is>
      </c>
      <c r="C3400" s="7">
        <f>VLOOKUP(A3400,SizeData!A$2:B$3839,2,FALSE)</f>
        <v/>
      </c>
      <c r="D3400" s="6" t="n">
        <v>1</v>
      </c>
      <c r="E3400" s="6" t="inlineStr">
        <is>
          <t>R1264995</t>
        </is>
      </c>
      <c r="F3400" s="2" t="n">
        <v>44475</v>
      </c>
      <c r="G3400" s="1" t="n"/>
    </row>
    <row r="3401">
      <c r="A3401" s="6" t="n">
        <v>87018</v>
      </c>
      <c r="B3401" s="6" t="inlineStr">
        <is>
          <t>OLE SMOKY PEACH WHISKEY</t>
        </is>
      </c>
      <c r="C3401" s="7">
        <f>VLOOKUP(A3401,SizeData!A$2:B$3839,2,FALSE)</f>
        <v/>
      </c>
      <c r="D3401" s="6" t="n">
        <v>1</v>
      </c>
      <c r="E3401" s="6" t="inlineStr">
        <is>
          <t>R1025870</t>
        </is>
      </c>
      <c r="F3401" s="2" t="n">
        <v>44229</v>
      </c>
      <c r="G3401" s="1" t="n"/>
    </row>
    <row r="3402">
      <c r="A3402" s="6" t="n">
        <v>87018</v>
      </c>
      <c r="B3402" s="6" t="inlineStr">
        <is>
          <t>OLE SMOKY PEACH WHISKEY</t>
        </is>
      </c>
      <c r="C3402" s="7">
        <f>VLOOKUP(A3402,SizeData!A$2:B$3839,2,FALSE)</f>
        <v/>
      </c>
      <c r="D3402" s="6" t="n">
        <v>1</v>
      </c>
      <c r="E3402" s="6" t="inlineStr">
        <is>
          <t>R1028756</t>
        </is>
      </c>
      <c r="F3402" s="2" t="n">
        <v>44239</v>
      </c>
      <c r="G3402" s="1" t="n"/>
    </row>
    <row r="3403">
      <c r="A3403" s="6" t="n">
        <v>87018</v>
      </c>
      <c r="B3403" s="6" t="inlineStr">
        <is>
          <t>OLE SMOKY PEACH WHISKEY</t>
        </is>
      </c>
      <c r="C3403" s="7">
        <f>VLOOKUP(A3403,SizeData!A$2:B$3839,2,FALSE)</f>
        <v/>
      </c>
      <c r="D3403" s="6" t="n">
        <v>1</v>
      </c>
      <c r="E3403" s="6" t="inlineStr">
        <is>
          <t>R1066712</t>
        </is>
      </c>
      <c r="F3403" s="2" t="n">
        <v>44268</v>
      </c>
      <c r="G3403" s="1" t="n"/>
    </row>
    <row r="3404">
      <c r="A3404" s="6" t="n">
        <v>87026</v>
      </c>
      <c r="B3404" s="6" t="inlineStr">
        <is>
          <t>SKREWBALL PEANUT BUTTER WHISKEY</t>
        </is>
      </c>
      <c r="C3404" s="7">
        <f>VLOOKUP(A3404,SizeData!A$2:B$3839,2,FALSE)</f>
        <v/>
      </c>
      <c r="D3404" s="6" t="n">
        <v>1</v>
      </c>
      <c r="E3404" s="6" t="inlineStr">
        <is>
          <t>R1028707</t>
        </is>
      </c>
      <c r="F3404" s="2" t="n">
        <v>44229</v>
      </c>
      <c r="G3404" s="1" t="n"/>
    </row>
    <row r="3405">
      <c r="A3405" s="6" t="n">
        <v>87026</v>
      </c>
      <c r="B3405" s="6" t="inlineStr">
        <is>
          <t>SKREWBALL PEANUT BUTTER WHISKEY</t>
        </is>
      </c>
      <c r="C3405" s="7">
        <f>VLOOKUP(A3405,SizeData!A$2:B$3839,2,FALSE)</f>
        <v/>
      </c>
      <c r="D3405" s="6" t="n">
        <v>1</v>
      </c>
      <c r="E3405" s="6" t="inlineStr">
        <is>
          <t>R1108436</t>
        </is>
      </c>
      <c r="F3405" s="2" t="n">
        <v>44316</v>
      </c>
      <c r="G3405" s="1" t="n"/>
    </row>
    <row r="3406">
      <c r="A3406" s="6" t="n">
        <v>87026</v>
      </c>
      <c r="B3406" s="6" t="inlineStr">
        <is>
          <t>SKREWBALL PEANUT BUTTER WHISKEY</t>
        </is>
      </c>
      <c r="C3406" s="7">
        <f>VLOOKUP(A3406,SizeData!A$2:B$3839,2,FALSE)</f>
        <v/>
      </c>
      <c r="D3406" s="6" t="n">
        <v>1</v>
      </c>
      <c r="E3406" s="6" t="inlineStr">
        <is>
          <t>R1142808</t>
        </is>
      </c>
      <c r="F3406" s="2" t="n">
        <v>44352</v>
      </c>
      <c r="G3406" s="1" t="n"/>
    </row>
    <row r="3407">
      <c r="A3407" s="6" t="n">
        <v>87026</v>
      </c>
      <c r="B3407" s="6" t="inlineStr">
        <is>
          <t>SKREWBALL PEANUT BUTTER WHISKEY</t>
        </is>
      </c>
      <c r="C3407" s="7">
        <f>VLOOKUP(A3407,SizeData!A$2:B$3839,2,FALSE)</f>
        <v/>
      </c>
      <c r="D3407" s="6" t="n">
        <v>1</v>
      </c>
      <c r="E3407" s="6" t="inlineStr">
        <is>
          <t>R1209774</t>
        </is>
      </c>
      <c r="F3407" s="2" t="n">
        <v>44433</v>
      </c>
      <c r="G3407" s="1" t="n"/>
    </row>
    <row r="3408">
      <c r="A3408" s="6" t="n">
        <v>87026</v>
      </c>
      <c r="B3408" s="6" t="inlineStr">
        <is>
          <t>SKREWBALL PEANUT BUTTER WHISKEY</t>
        </is>
      </c>
      <c r="C3408" s="7">
        <f>VLOOKUP(A3408,SizeData!A$2:B$3839,2,FALSE)</f>
        <v/>
      </c>
      <c r="D3408" s="6" t="n">
        <v>1</v>
      </c>
      <c r="E3408" s="6" t="inlineStr">
        <is>
          <t>R1250894</t>
        </is>
      </c>
      <c r="F3408" s="2" t="n">
        <v>44459</v>
      </c>
      <c r="G3408" s="1" t="n"/>
    </row>
    <row r="3409">
      <c r="A3409" s="6" t="n">
        <v>87043</v>
      </c>
      <c r="B3409" s="6" t="inlineStr">
        <is>
          <t>OLE SMOKY PEANUT BUTTER WHISKEY</t>
        </is>
      </c>
      <c r="C3409" s="7">
        <f>VLOOKUP(A3409,SizeData!A$2:B$3839,2,FALSE)</f>
        <v/>
      </c>
      <c r="D3409" s="6" t="n">
        <v>1</v>
      </c>
      <c r="E3409" s="6" t="inlineStr">
        <is>
          <t>R1172048</t>
        </is>
      </c>
      <c r="F3409" s="2" t="n">
        <v>44387</v>
      </c>
      <c r="G3409" s="1" t="n"/>
    </row>
    <row r="3410">
      <c r="A3410" s="6" t="n">
        <v>87152</v>
      </c>
      <c r="B3410" s="6" t="inlineStr">
        <is>
          <t>AVION SILVER TEQUILA</t>
        </is>
      </c>
      <c r="C3410" s="7">
        <f>VLOOKUP(A3410,SizeData!A$2:B$3839,2,FALSE)</f>
        <v/>
      </c>
      <c r="D3410" s="6" t="n">
        <v>5</v>
      </c>
      <c r="E3410" s="6" t="inlineStr">
        <is>
          <t>R1083538</t>
        </is>
      </c>
      <c r="F3410" s="2" t="n">
        <v>44292</v>
      </c>
      <c r="G3410" s="1" t="n"/>
    </row>
    <row r="3411">
      <c r="A3411" s="6" t="n">
        <v>87152</v>
      </c>
      <c r="B3411" s="6" t="inlineStr">
        <is>
          <t>AVION SILVER TEQUILA</t>
        </is>
      </c>
      <c r="C3411" s="7">
        <f>VLOOKUP(A3411,SizeData!A$2:B$3839,2,FALSE)</f>
        <v/>
      </c>
      <c r="D3411" s="6" t="n">
        <v>150</v>
      </c>
      <c r="E3411" s="6" t="inlineStr">
        <is>
          <t>R1262670</t>
        </is>
      </c>
      <c r="F3411" s="2" t="n">
        <v>44470</v>
      </c>
      <c r="G3411" s="1" t="n"/>
    </row>
    <row r="3412">
      <c r="A3412" s="6" t="n">
        <v>87152</v>
      </c>
      <c r="B3412" s="6" t="inlineStr">
        <is>
          <t>AVION SILVER TEQUILA</t>
        </is>
      </c>
      <c r="C3412" s="7">
        <f>VLOOKUP(A3412,SizeData!A$2:B$3839,2,FALSE)</f>
        <v/>
      </c>
      <c r="D3412" s="6" t="n">
        <v>22</v>
      </c>
      <c r="E3412" s="6" t="inlineStr">
        <is>
          <t>R1293832</t>
        </is>
      </c>
      <c r="F3412" s="2" t="n">
        <v>44497</v>
      </c>
      <c r="G3412" s="1" t="n"/>
    </row>
    <row r="3413">
      <c r="A3413" s="6" t="n">
        <v>87250</v>
      </c>
      <c r="B3413" s="6" t="inlineStr">
        <is>
          <t>CABO WABO BLANCO WHITE TEQUILA</t>
        </is>
      </c>
      <c r="C3413" s="7">
        <f>VLOOKUP(A3413,SizeData!A$2:B$3839,2,FALSE)</f>
        <v/>
      </c>
      <c r="D3413" s="6" t="n">
        <v>2</v>
      </c>
      <c r="E3413" s="6" t="inlineStr">
        <is>
          <t>R1033413</t>
        </is>
      </c>
      <c r="F3413" s="2" t="n">
        <v>44250</v>
      </c>
      <c r="G3413" s="1" t="n"/>
    </row>
    <row r="3414">
      <c r="A3414" s="6" t="n">
        <v>87250</v>
      </c>
      <c r="B3414" s="6" t="inlineStr">
        <is>
          <t>CABO WABO BLANCO WHITE TEQUILA</t>
        </is>
      </c>
      <c r="C3414" s="7">
        <f>VLOOKUP(A3414,SizeData!A$2:B$3839,2,FALSE)</f>
        <v/>
      </c>
      <c r="D3414" s="6" t="n">
        <v>2</v>
      </c>
      <c r="E3414" s="6" t="inlineStr">
        <is>
          <t>R1136661</t>
        </is>
      </c>
      <c r="F3414" s="2" t="n">
        <v>44343</v>
      </c>
      <c r="G3414" s="1" t="n"/>
    </row>
    <row r="3415">
      <c r="A3415" s="6" t="n">
        <v>87250</v>
      </c>
      <c r="B3415" s="6" t="inlineStr">
        <is>
          <t>CABO WABO BLANCO WHITE TEQUILA</t>
        </is>
      </c>
      <c r="C3415" s="7">
        <f>VLOOKUP(A3415,SizeData!A$2:B$3839,2,FALSE)</f>
        <v/>
      </c>
      <c r="D3415" s="6" t="n">
        <v>5</v>
      </c>
      <c r="E3415" s="6" t="inlineStr">
        <is>
          <t>R1235270</t>
        </is>
      </c>
      <c r="F3415" s="2" t="n">
        <v>44440</v>
      </c>
      <c r="G3415" s="1" t="n"/>
    </row>
    <row r="3416">
      <c r="A3416" s="6" t="n">
        <v>87278</v>
      </c>
      <c r="B3416" s="6" t="inlineStr">
        <is>
          <t>CASA DRAGONES BLANCO PURO AGAVE AZUL</t>
        </is>
      </c>
      <c r="C3416" s="7">
        <f>VLOOKUP(A3416,SizeData!A$2:B$3839,2,FALSE)</f>
        <v/>
      </c>
      <c r="D3416" s="6" t="n">
        <v>1</v>
      </c>
      <c r="E3416" s="6" t="inlineStr">
        <is>
          <t>R1167188</t>
        </is>
      </c>
      <c r="F3416" s="2" t="n">
        <v>44379</v>
      </c>
      <c r="G3416" s="1" t="n"/>
    </row>
    <row r="3417">
      <c r="A3417" s="6" t="n">
        <v>87278</v>
      </c>
      <c r="B3417" s="6" t="inlineStr">
        <is>
          <t>CASA DRAGONES BLANCO PURO AGAVE AZUL</t>
        </is>
      </c>
      <c r="C3417" s="7">
        <f>VLOOKUP(A3417,SizeData!A$2:B$3839,2,FALSE)</f>
        <v/>
      </c>
      <c r="D3417" s="6" t="n">
        <v>1</v>
      </c>
      <c r="E3417" s="6" t="inlineStr">
        <is>
          <t>R1192602</t>
        </is>
      </c>
      <c r="F3417" s="2" t="n">
        <v>44401</v>
      </c>
      <c r="G3417" s="1" t="n"/>
    </row>
    <row r="3418">
      <c r="A3418" s="6" t="n">
        <v>87278</v>
      </c>
      <c r="B3418" s="6" t="inlineStr">
        <is>
          <t>CASA DRAGONES BLANCO PURO AGAVE AZUL</t>
        </is>
      </c>
      <c r="C3418" s="7">
        <f>VLOOKUP(A3418,SizeData!A$2:B$3839,2,FALSE)</f>
        <v/>
      </c>
      <c r="D3418" s="6" t="n">
        <v>0</v>
      </c>
      <c r="E3418" s="6" t="inlineStr">
        <is>
          <t>R1234926</t>
        </is>
      </c>
      <c r="F3418" s="2" t="n">
        <v>44448</v>
      </c>
      <c r="G3418" s="1" t="n"/>
    </row>
    <row r="3419">
      <c r="A3419" s="6" t="n">
        <v>87278</v>
      </c>
      <c r="B3419" s="6" t="inlineStr">
        <is>
          <t>CASA DRAGONES BLANCO PURO AGAVE AZUL</t>
        </is>
      </c>
      <c r="C3419" s="7">
        <f>VLOOKUP(A3419,SizeData!A$2:B$3839,2,FALSE)</f>
        <v/>
      </c>
      <c r="D3419" s="6" t="n">
        <v>1</v>
      </c>
      <c r="E3419" s="6" t="inlineStr">
        <is>
          <t>R1260244</t>
        </is>
      </c>
      <c r="F3419" s="2" t="n">
        <v>44457</v>
      </c>
      <c r="G3419" s="1" t="n"/>
    </row>
    <row r="3420">
      <c r="A3420" s="6" t="n">
        <v>87278</v>
      </c>
      <c r="B3420" s="6" t="inlineStr">
        <is>
          <t>CASA DRAGONES BLANCO PURO AGAVE AZUL</t>
        </is>
      </c>
      <c r="C3420" s="7">
        <f>VLOOKUP(A3420,SizeData!A$2:B$3839,2,FALSE)</f>
        <v/>
      </c>
      <c r="D3420" s="6" t="n">
        <v>1</v>
      </c>
      <c r="E3420" s="6" t="inlineStr">
        <is>
          <t xml:space="preserve"> R1265479</t>
        </is>
      </c>
      <c r="F3420" s="2" t="n">
        <v>44462</v>
      </c>
      <c r="G3420" s="1" t="n"/>
    </row>
    <row r="3421">
      <c r="A3421" s="6" t="n">
        <v>87278</v>
      </c>
      <c r="B3421" s="6" t="inlineStr">
        <is>
          <t>CASA DRAGONES BLANCO PURO AGAVE AZUL</t>
        </is>
      </c>
      <c r="C3421" s="7">
        <f>VLOOKUP(A3421,SizeData!A$2:B$3839,2,FALSE)</f>
        <v/>
      </c>
      <c r="D3421" s="6" t="n">
        <v>2</v>
      </c>
      <c r="E3421" s="6" t="inlineStr">
        <is>
          <t>R1323602</t>
        </is>
      </c>
      <c r="F3421" s="2" t="n">
        <v>44511</v>
      </c>
      <c r="G3421" s="1" t="n"/>
    </row>
    <row r="3422">
      <c r="A3422" s="6" t="n">
        <v>87280</v>
      </c>
      <c r="B3422" s="6" t="inlineStr">
        <is>
          <t>CASAMIGOS BLANCO TEQUILA</t>
        </is>
      </c>
      <c r="C3422" s="7">
        <f>VLOOKUP(A3422,SizeData!A$2:B$3839,2,FALSE)</f>
        <v/>
      </c>
      <c r="D3422" s="6" t="n">
        <v>5</v>
      </c>
      <c r="E3422" s="6" t="inlineStr">
        <is>
          <t>R1013727</t>
        </is>
      </c>
      <c r="F3422" s="2" t="n">
        <v>44229</v>
      </c>
      <c r="G3422" s="1" t="n"/>
    </row>
    <row r="3423">
      <c r="A3423" s="6" t="n">
        <v>87280</v>
      </c>
      <c r="B3423" s="6" t="inlineStr">
        <is>
          <t>CASAMIGOS BLANCO TEQUILA</t>
        </is>
      </c>
      <c r="C3423" s="7">
        <f>VLOOKUP(A3423,SizeData!A$2:B$3839,2,FALSE)</f>
        <v/>
      </c>
      <c r="D3423" s="6" t="n">
        <v>3</v>
      </c>
      <c r="E3423" s="6" t="inlineStr">
        <is>
          <t>R1013727</t>
        </is>
      </c>
      <c r="F3423" s="2" t="n">
        <v>44229</v>
      </c>
      <c r="G3423" s="1" t="n"/>
    </row>
    <row r="3424">
      <c r="A3424" s="6" t="n">
        <v>87280</v>
      </c>
      <c r="B3424" s="6" t="inlineStr">
        <is>
          <t>CASAMIGOS BLANCO TEQUILA</t>
        </is>
      </c>
      <c r="C3424" s="7">
        <f>VLOOKUP(A3424,SizeData!A$2:B$3839,2,FALSE)</f>
        <v/>
      </c>
      <c r="D3424" s="6" t="n">
        <v>2</v>
      </c>
      <c r="E3424" s="6" t="inlineStr">
        <is>
          <t>R1099557</t>
        </is>
      </c>
      <c r="F3424" s="2" t="n">
        <v>44317</v>
      </c>
      <c r="G3424" s="1" t="n"/>
    </row>
    <row r="3425">
      <c r="A3425" s="6" t="n">
        <v>87280</v>
      </c>
      <c r="B3425" s="6" t="inlineStr">
        <is>
          <t>CASAMIGOS BLANCO TEQUILA</t>
        </is>
      </c>
      <c r="C3425" s="7">
        <f>VLOOKUP(A3425,SizeData!A$2:B$3839,2,FALSE)</f>
        <v/>
      </c>
      <c r="D3425" s="6" t="n">
        <v>20</v>
      </c>
      <c r="E3425" s="6" t="inlineStr">
        <is>
          <t>R1136146</t>
        </is>
      </c>
      <c r="F3425" s="2" t="n">
        <v>44342</v>
      </c>
      <c r="G3425" s="1" t="n"/>
    </row>
    <row r="3426">
      <c r="A3426" s="6" t="n">
        <v>87280</v>
      </c>
      <c r="B3426" s="6" t="inlineStr">
        <is>
          <t>CASAMIGOS BLANCO TEQUILA</t>
        </is>
      </c>
      <c r="C3426" s="7">
        <f>VLOOKUP(A3426,SizeData!A$2:B$3839,2,FALSE)</f>
        <v/>
      </c>
      <c r="D3426" s="6" t="n">
        <v>12</v>
      </c>
      <c r="E3426" s="6" t="inlineStr">
        <is>
          <t>R1180985</t>
        </is>
      </c>
      <c r="F3426" s="2" t="n">
        <v>44399</v>
      </c>
      <c r="G3426" s="1" t="n"/>
    </row>
    <row r="3427">
      <c r="A3427" s="6" t="n">
        <v>87280</v>
      </c>
      <c r="B3427" s="6" t="inlineStr">
        <is>
          <t>CASAMIGOS BLANCO TEQUILA</t>
        </is>
      </c>
      <c r="C3427" s="7">
        <f>VLOOKUP(A3427,SizeData!A$2:B$3839,2,FALSE)</f>
        <v/>
      </c>
      <c r="D3427" s="6" t="n">
        <v>10</v>
      </c>
      <c r="E3427" s="6" t="inlineStr">
        <is>
          <t xml:space="preserve"> R1190695</t>
        </is>
      </c>
      <c r="F3427" s="2" t="n">
        <v>44405</v>
      </c>
      <c r="G3427" s="1" t="n"/>
    </row>
    <row r="3428">
      <c r="A3428" s="6" t="n">
        <v>87280</v>
      </c>
      <c r="B3428" s="6" t="inlineStr">
        <is>
          <t>CASAMIGOS BLANCO TEQUILA</t>
        </is>
      </c>
      <c r="C3428" s="7">
        <f>VLOOKUP(A3428,SizeData!A$2:B$3839,2,FALSE)</f>
        <v/>
      </c>
      <c r="D3428" s="6" t="n">
        <v>5</v>
      </c>
      <c r="E3428" s="6" t="inlineStr">
        <is>
          <t>R1213561</t>
        </is>
      </c>
      <c r="F3428" s="2" t="n">
        <v>44427</v>
      </c>
      <c r="G3428" s="1" t="n"/>
    </row>
    <row r="3429">
      <c r="A3429" s="6" t="n">
        <v>87280</v>
      </c>
      <c r="B3429" s="6" t="inlineStr">
        <is>
          <t>CASAMIGOS BLANCO TEQUILA</t>
        </is>
      </c>
      <c r="C3429" s="7">
        <f>VLOOKUP(A3429,SizeData!A$2:B$3839,2,FALSE)</f>
        <v/>
      </c>
      <c r="D3429" s="6" t="n">
        <v>5</v>
      </c>
      <c r="E3429" s="6" t="inlineStr">
        <is>
          <t>R1246388</t>
        </is>
      </c>
      <c r="F3429" s="2" t="n">
        <v>44460</v>
      </c>
      <c r="G3429" s="1" t="n"/>
    </row>
    <row r="3430">
      <c r="A3430" s="6" t="n">
        <v>87280</v>
      </c>
      <c r="B3430" s="6" t="inlineStr">
        <is>
          <t>CASAMIGOS BLANCO TEQUILA</t>
        </is>
      </c>
      <c r="C3430" s="7">
        <f>VLOOKUP(A3430,SizeData!A$2:B$3839,2,FALSE)</f>
        <v/>
      </c>
      <c r="D3430" s="6" t="n">
        <v>4</v>
      </c>
      <c r="E3430" s="6" t="inlineStr">
        <is>
          <t>R1276475</t>
        </is>
      </c>
      <c r="F3430" s="2" t="n">
        <v>44481</v>
      </c>
      <c r="G3430" s="1" t="n"/>
    </row>
    <row r="3431">
      <c r="A3431" s="6" t="n">
        <v>87280</v>
      </c>
      <c r="B3431" s="6" t="inlineStr">
        <is>
          <t>CASAMIGOS BLANCO TEQUILA</t>
        </is>
      </c>
      <c r="C3431" s="7">
        <f>VLOOKUP(A3431,SizeData!A$2:B$3839,2,FALSE)</f>
        <v/>
      </c>
      <c r="D3431" s="6" t="n">
        <v>5</v>
      </c>
      <c r="E3431" s="6" t="inlineStr">
        <is>
          <t>R1325454</t>
        </is>
      </c>
      <c r="F3431" s="2" t="n">
        <v>44509</v>
      </c>
      <c r="G3431" s="1" t="n"/>
    </row>
    <row r="3432">
      <c r="A3432" s="6" t="n">
        <v>87280</v>
      </c>
      <c r="B3432" s="6" t="inlineStr">
        <is>
          <t>CASAMIGOS BLANCO TEQUILA</t>
        </is>
      </c>
      <c r="C3432" s="7">
        <f>VLOOKUP(A3432,SizeData!A$2:B$3839,2,FALSE)</f>
        <v/>
      </c>
      <c r="D3432" s="6" t="n">
        <v>5</v>
      </c>
      <c r="E3432" s="6" t="inlineStr">
        <is>
          <t>R1331801</t>
        </is>
      </c>
      <c r="F3432" s="2" t="n">
        <v>44516</v>
      </c>
      <c r="G3432" s="1" t="n"/>
    </row>
    <row r="3433">
      <c r="A3433" s="6" t="n">
        <v>87288</v>
      </c>
      <c r="B3433" s="6" t="inlineStr">
        <is>
          <t>CASAMIGOS MEZCAL JOVEN</t>
        </is>
      </c>
      <c r="C3433" s="7">
        <f>VLOOKUP(A3433,SizeData!A$2:B$3839,2,FALSE)</f>
        <v/>
      </c>
      <c r="D3433" s="6" t="n">
        <v>1</v>
      </c>
      <c r="E3433" s="6" t="inlineStr">
        <is>
          <t>R1213561</t>
        </is>
      </c>
      <c r="F3433" s="2" t="n">
        <v>44427</v>
      </c>
      <c r="G3433" s="1" t="n"/>
    </row>
    <row r="3434">
      <c r="A3434" s="6" t="n">
        <v>87288</v>
      </c>
      <c r="B3434" s="6" t="inlineStr">
        <is>
          <t>CASAMIGOS MEZCAL JOVEN</t>
        </is>
      </c>
      <c r="C3434" s="7">
        <f>VLOOKUP(A3434,SizeData!A$2:B$3839,2,FALSE)</f>
        <v/>
      </c>
      <c r="D3434" s="6" t="n">
        <v>1</v>
      </c>
      <c r="E3434" s="6" t="inlineStr">
        <is>
          <t>R1246388</t>
        </is>
      </c>
      <c r="F3434" s="2" t="n">
        <v>44460</v>
      </c>
      <c r="G3434" s="1" t="n"/>
    </row>
    <row r="3435">
      <c r="A3435" s="6" t="n">
        <v>87370</v>
      </c>
      <c r="B3435" s="6" t="inlineStr">
        <is>
          <t>CODIGO 1530 ROSA TEQ</t>
        </is>
      </c>
      <c r="C3435" s="7">
        <f>VLOOKUP(A3435,SizeData!A$2:B$3839,2,FALSE)</f>
        <v/>
      </c>
      <c r="D3435" s="6" t="n">
        <v>1</v>
      </c>
      <c r="E3435" s="6" t="inlineStr">
        <is>
          <t>R989703</t>
        </is>
      </c>
      <c r="F3435" s="2" t="n">
        <v>44197</v>
      </c>
      <c r="G3435" s="1" t="n"/>
    </row>
    <row r="3436">
      <c r="A3436" s="6" t="n">
        <v>87370</v>
      </c>
      <c r="B3436" s="6" t="inlineStr">
        <is>
          <t>CODIGO 1530 ROSA TEQ</t>
        </is>
      </c>
      <c r="C3436" s="7">
        <f>VLOOKUP(A3436,SizeData!A$2:B$3839,2,FALSE)</f>
        <v/>
      </c>
      <c r="D3436" s="6" t="n">
        <v>1</v>
      </c>
      <c r="E3436" s="6" t="inlineStr">
        <is>
          <t>R1099557</t>
        </is>
      </c>
      <c r="F3436" s="2" t="n">
        <v>44317</v>
      </c>
      <c r="G3436" s="1" t="n"/>
    </row>
    <row r="3437">
      <c r="A3437" s="6" t="n">
        <v>87402</v>
      </c>
      <c r="B3437" s="6" t="inlineStr">
        <is>
          <t>JOSE CUERVO ESPECIAL SILVER</t>
        </is>
      </c>
      <c r="C3437" s="7">
        <f>VLOOKUP(A3437,SizeData!A$2:B$3839,2,FALSE)</f>
        <v/>
      </c>
      <c r="D3437" s="6" t="n">
        <v>1</v>
      </c>
      <c r="E3437" s="6" t="inlineStr">
        <is>
          <t>R1029260</t>
        </is>
      </c>
      <c r="F3437" s="2" t="n">
        <v>44240</v>
      </c>
      <c r="G3437" s="1" t="n"/>
    </row>
    <row r="3438">
      <c r="A3438" s="6" t="n">
        <v>87402</v>
      </c>
      <c r="B3438" s="6" t="inlineStr">
        <is>
          <t>JOSE CUERVO ESPECIAL SILVER</t>
        </is>
      </c>
      <c r="C3438" s="7">
        <f>VLOOKUP(A3438,SizeData!A$2:B$3839,2,FALSE)</f>
        <v/>
      </c>
      <c r="D3438" s="6" t="n">
        <v>1</v>
      </c>
      <c r="E3438" s="6" t="inlineStr">
        <is>
          <t>R1154324</t>
        </is>
      </c>
      <c r="F3438" s="2" t="n">
        <v>44378</v>
      </c>
      <c r="G3438" s="1" t="n"/>
    </row>
    <row r="3439">
      <c r="A3439" s="6" t="n">
        <v>87403</v>
      </c>
      <c r="B3439" s="6" t="inlineStr">
        <is>
          <t>JOSE CUERVO ESPECIAL SILVER</t>
        </is>
      </c>
      <c r="C3439" s="7">
        <f>VLOOKUP(A3439,SizeData!A$2:B$3839,2,FALSE)</f>
        <v/>
      </c>
      <c r="D3439" s="6" t="n">
        <v>1</v>
      </c>
      <c r="E3439" s="6" t="inlineStr">
        <is>
          <t>R1008939</t>
        </is>
      </c>
      <c r="F3439" s="2" t="n">
        <v>44220</v>
      </c>
      <c r="G3439" s="1" t="n"/>
    </row>
    <row r="3440">
      <c r="A3440" s="6" t="n">
        <v>87403</v>
      </c>
      <c r="B3440" s="6" t="inlineStr">
        <is>
          <t>JOSE CUERVO ESPECIAL SILVER</t>
        </is>
      </c>
      <c r="C3440" s="7">
        <f>VLOOKUP(A3440,SizeData!A$2:B$3839,2,FALSE)</f>
        <v/>
      </c>
      <c r="D3440" s="6" t="n">
        <v>3</v>
      </c>
      <c r="E3440" s="6" t="inlineStr">
        <is>
          <t xml:space="preserve"> R1089911</t>
        </is>
      </c>
      <c r="F3440" s="2" t="n">
        <v>44299</v>
      </c>
      <c r="G3440" s="1" t="n"/>
    </row>
    <row r="3441">
      <c r="A3441" s="6" t="n">
        <v>87403</v>
      </c>
      <c r="B3441" s="6" t="inlineStr">
        <is>
          <t>JOSE CUERVO ESPECIAL SILVER</t>
        </is>
      </c>
      <c r="C3441" s="7">
        <f>VLOOKUP(A3441,SizeData!A$2:B$3839,2,FALSE)</f>
        <v/>
      </c>
      <c r="D3441" s="6" t="n">
        <v>2</v>
      </c>
      <c r="E3441" s="6" t="inlineStr">
        <is>
          <t>R1169967</t>
        </is>
      </c>
      <c r="F3441" s="2" t="n">
        <v>44385</v>
      </c>
      <c r="G3441" s="1" t="n"/>
    </row>
    <row r="3442">
      <c r="A3442" s="6" t="n">
        <v>87403</v>
      </c>
      <c r="B3442" s="6" t="inlineStr">
        <is>
          <t>JOSE CUERVO ESPECIAL SILVER</t>
        </is>
      </c>
      <c r="C3442" s="7">
        <f>VLOOKUP(A3442,SizeData!A$2:B$3839,2,FALSE)</f>
        <v/>
      </c>
      <c r="D3442" s="6" t="n">
        <v>2</v>
      </c>
      <c r="E3442" s="6" t="inlineStr">
        <is>
          <t>R1180298</t>
        </is>
      </c>
      <c r="F3442" s="2" t="n">
        <v>44400</v>
      </c>
      <c r="G3442" s="1" t="n"/>
    </row>
    <row r="3443">
      <c r="A3443" s="6" t="n">
        <v>87403</v>
      </c>
      <c r="B3443" s="6" t="inlineStr">
        <is>
          <t>JOSE CUERVO ESPECIAL SILVER</t>
        </is>
      </c>
      <c r="C3443" s="7">
        <f>VLOOKUP(A3443,SizeData!A$2:B$3839,2,FALSE)</f>
        <v/>
      </c>
      <c r="D3443" s="6" t="n">
        <v>1</v>
      </c>
      <c r="E3443" s="6" t="inlineStr">
        <is>
          <t>R1254400</t>
        </is>
      </c>
      <c r="F3443" s="2" t="n">
        <v>44468</v>
      </c>
      <c r="G3443" s="1" t="n"/>
    </row>
    <row r="3444">
      <c r="A3444" s="6" t="n">
        <v>87403</v>
      </c>
      <c r="B3444" s="6" t="inlineStr">
        <is>
          <t>JOSE CUERVO ESPECIAL SILVER</t>
        </is>
      </c>
      <c r="C3444" s="7">
        <f>VLOOKUP(A3444,SizeData!A$2:B$3839,2,FALSE)</f>
        <v/>
      </c>
      <c r="D3444" s="6" t="n">
        <v>1</v>
      </c>
      <c r="E3444" s="6" t="inlineStr">
        <is>
          <t>R1314326</t>
        </is>
      </c>
      <c r="F3444" s="2" t="n">
        <v>44512</v>
      </c>
      <c r="G3444" s="1" t="n"/>
    </row>
    <row r="3445">
      <c r="A3445" s="6" t="n">
        <v>87408</v>
      </c>
      <c r="B3445" s="6" t="inlineStr">
        <is>
          <t>JOSE CUERVO ESPECIAL SILVER</t>
        </is>
      </c>
      <c r="C3445" s="7">
        <f>VLOOKUP(A3445,SizeData!A$2:B$3839,2,FALSE)</f>
        <v/>
      </c>
      <c r="D3445" s="6" t="n">
        <v>3</v>
      </c>
      <c r="E3445" s="6" t="inlineStr">
        <is>
          <t>R1118503</t>
        </is>
      </c>
      <c r="F3445" s="2" t="n">
        <v>44324</v>
      </c>
      <c r="G3445" s="1" t="n"/>
    </row>
    <row r="3446">
      <c r="A3446" s="6" t="n">
        <v>87408</v>
      </c>
      <c r="B3446" s="6" t="inlineStr">
        <is>
          <t>JOSE CUERVO ESPECIAL SILVER</t>
        </is>
      </c>
      <c r="C3446" s="7">
        <f>VLOOKUP(A3446,SizeData!A$2:B$3839,2,FALSE)</f>
        <v/>
      </c>
      <c r="D3446" s="6" t="n">
        <v>1</v>
      </c>
      <c r="E3446" s="6" t="inlineStr">
        <is>
          <t>R1151004</t>
        </is>
      </c>
      <c r="F3446" s="2" t="n">
        <v>44358</v>
      </c>
      <c r="G3446" s="1" t="n"/>
    </row>
    <row r="3447">
      <c r="A3447" s="6" t="n">
        <v>87408</v>
      </c>
      <c r="B3447" s="6" t="inlineStr">
        <is>
          <t>JOSE CUERVO ESPECIAL SILVER</t>
        </is>
      </c>
      <c r="C3447" s="7">
        <f>VLOOKUP(A3447,SizeData!A$2:B$3839,2,FALSE)</f>
        <v/>
      </c>
      <c r="D3447" s="6" t="n">
        <v>2</v>
      </c>
      <c r="E3447" s="6" t="inlineStr">
        <is>
          <t xml:space="preserve"> R1150889</t>
        </is>
      </c>
      <c r="F3447" s="2" t="n">
        <v>44368</v>
      </c>
      <c r="G3447" s="1" t="n"/>
    </row>
    <row r="3448">
      <c r="A3448" s="6" t="n">
        <v>87408</v>
      </c>
      <c r="B3448" s="6" t="inlineStr">
        <is>
          <t>JOSE CUERVO ESPECIAL SILVER</t>
        </is>
      </c>
      <c r="C3448" s="7">
        <f>VLOOKUP(A3448,SizeData!A$2:B$3839,2,FALSE)</f>
        <v/>
      </c>
      <c r="D3448" s="6" t="n">
        <v>1</v>
      </c>
      <c r="E3448" s="6" t="inlineStr">
        <is>
          <t>R1161479</t>
        </is>
      </c>
      <c r="F3448" s="2" t="n">
        <v>44373</v>
      </c>
      <c r="G3448" s="1" t="n"/>
    </row>
    <row r="3449">
      <c r="A3449" s="6" t="n">
        <v>87408</v>
      </c>
      <c r="B3449" s="6" t="inlineStr">
        <is>
          <t>JOSE CUERVO ESPECIAL SILVER</t>
        </is>
      </c>
      <c r="C3449" s="7">
        <f>VLOOKUP(A3449,SizeData!A$2:B$3839,2,FALSE)</f>
        <v/>
      </c>
      <c r="D3449" s="6" t="n">
        <v>1</v>
      </c>
      <c r="E3449" s="6" t="inlineStr">
        <is>
          <t>R1154324</t>
        </is>
      </c>
      <c r="F3449" s="2" t="n">
        <v>44378</v>
      </c>
      <c r="G3449" s="1" t="n"/>
    </row>
    <row r="3450">
      <c r="A3450" s="6" t="n">
        <v>87408</v>
      </c>
      <c r="B3450" s="6" t="inlineStr">
        <is>
          <t>JOSE CUERVO ESPECIAL SILVER</t>
        </is>
      </c>
      <c r="C3450" s="7">
        <f>VLOOKUP(A3450,SizeData!A$2:B$3839,2,FALSE)</f>
        <v/>
      </c>
      <c r="D3450" s="6" t="n">
        <v>3</v>
      </c>
      <c r="E3450" s="6" t="inlineStr">
        <is>
          <t xml:space="preserve"> R1171903</t>
        </is>
      </c>
      <c r="F3450" s="2" t="n">
        <v>44380</v>
      </c>
      <c r="G3450" s="1" t="n"/>
    </row>
    <row r="3451">
      <c r="A3451" s="6" t="n">
        <v>87408</v>
      </c>
      <c r="B3451" s="6" t="inlineStr">
        <is>
          <t>JOSE CUERVO ESPECIAL SILVER</t>
        </is>
      </c>
      <c r="C3451" s="7">
        <f>VLOOKUP(A3451,SizeData!A$2:B$3839,2,FALSE)</f>
        <v/>
      </c>
      <c r="D3451" s="6" t="n">
        <v>2</v>
      </c>
      <c r="E3451" s="6" t="inlineStr">
        <is>
          <t>R1170994</t>
        </is>
      </c>
      <c r="F3451" s="2" t="n">
        <v>44394</v>
      </c>
      <c r="G3451" s="1" t="n"/>
    </row>
    <row r="3452">
      <c r="A3452" s="6" t="n">
        <v>87408</v>
      </c>
      <c r="B3452" s="6" t="inlineStr">
        <is>
          <t>JOSE CUERVO ESPECIAL SILVER</t>
        </is>
      </c>
      <c r="C3452" s="7">
        <f>VLOOKUP(A3452,SizeData!A$2:B$3839,2,FALSE)</f>
        <v/>
      </c>
      <c r="D3452" s="6" t="n">
        <v>1</v>
      </c>
      <c r="E3452" s="6" t="inlineStr">
        <is>
          <t>R1187907</t>
        </is>
      </c>
      <c r="F3452" s="2" t="n">
        <v>44401</v>
      </c>
      <c r="G3452" s="1" t="n"/>
    </row>
    <row r="3453">
      <c r="A3453" s="6" t="n">
        <v>87408</v>
      </c>
      <c r="B3453" s="6" t="inlineStr">
        <is>
          <t>JOSE CUERVO ESPECIAL SILVER</t>
        </is>
      </c>
      <c r="C3453" s="7">
        <f>VLOOKUP(A3453,SizeData!A$2:B$3839,2,FALSE)</f>
        <v/>
      </c>
      <c r="D3453" s="6" t="n">
        <v>1</v>
      </c>
      <c r="E3453" s="6" t="inlineStr">
        <is>
          <t xml:space="preserve"> R1182859</t>
        </is>
      </c>
      <c r="F3453" s="2" t="n">
        <v>44404</v>
      </c>
      <c r="G3453" s="1" t="n"/>
    </row>
    <row r="3454">
      <c r="A3454" s="6" t="n">
        <v>87408</v>
      </c>
      <c r="B3454" s="6" t="inlineStr">
        <is>
          <t>JOSE CUERVO ESPECIAL SILVER</t>
        </is>
      </c>
      <c r="C3454" s="7">
        <f>VLOOKUP(A3454,SizeData!A$2:B$3839,2,FALSE)</f>
        <v/>
      </c>
      <c r="D3454" s="6" t="n">
        <v>10</v>
      </c>
      <c r="E3454" s="6" t="inlineStr">
        <is>
          <t>R1196544</t>
        </is>
      </c>
      <c r="F3454" s="2" t="n">
        <v>44405</v>
      </c>
      <c r="G3454" s="1" t="n"/>
    </row>
    <row r="3455">
      <c r="A3455" s="6" t="n">
        <v>87408</v>
      </c>
      <c r="B3455" s="6" t="inlineStr">
        <is>
          <t>JOSE CUERVO ESPECIAL SILVER</t>
        </is>
      </c>
      <c r="C3455" s="7">
        <f>VLOOKUP(A3455,SizeData!A$2:B$3839,2,FALSE)</f>
        <v/>
      </c>
      <c r="D3455" s="6" t="n">
        <v>3</v>
      </c>
      <c r="E3455" s="6" t="inlineStr">
        <is>
          <t>R1228454</t>
        </is>
      </c>
      <c r="F3455" s="2" t="n">
        <v>44445</v>
      </c>
      <c r="G3455" s="1" t="n"/>
    </row>
    <row r="3456">
      <c r="A3456" s="6" t="n">
        <v>87408</v>
      </c>
      <c r="B3456" s="6" t="inlineStr">
        <is>
          <t>JOSE CUERVO ESPECIAL SILVER</t>
        </is>
      </c>
      <c r="C3456" s="7">
        <f>VLOOKUP(A3456,SizeData!A$2:B$3839,2,FALSE)</f>
        <v/>
      </c>
      <c r="D3456" s="6" t="n">
        <v>5</v>
      </c>
      <c r="E3456" s="6" t="inlineStr">
        <is>
          <t>R1239565</t>
        </is>
      </c>
      <c r="F3456" s="2" t="n">
        <v>44457</v>
      </c>
      <c r="G3456" s="1" t="n"/>
    </row>
    <row r="3457">
      <c r="A3457" s="6" t="n">
        <v>87408</v>
      </c>
      <c r="B3457" s="6" t="inlineStr">
        <is>
          <t>JOSE CUERVO ESPECIAL SILVER</t>
        </is>
      </c>
      <c r="C3457" s="7">
        <f>VLOOKUP(A3457,SizeData!A$2:B$3839,2,FALSE)</f>
        <v/>
      </c>
      <c r="D3457" s="6" t="n">
        <v>3</v>
      </c>
      <c r="E3457" s="6" t="inlineStr">
        <is>
          <t>R1341373</t>
        </is>
      </c>
      <c r="F3457" s="2" t="n">
        <v>44531</v>
      </c>
      <c r="G3457" s="1" t="n"/>
    </row>
    <row r="3458">
      <c r="A3458" s="6" t="n">
        <v>87410</v>
      </c>
      <c r="B3458" s="6" t="inlineStr">
        <is>
          <t>JOSE CUERVO ESPECIAL SILVER</t>
        </is>
      </c>
      <c r="C3458" s="7">
        <f>VLOOKUP(A3458,SizeData!A$2:B$3839,2,FALSE)</f>
        <v/>
      </c>
      <c r="D3458" s="6" t="n">
        <v>1</v>
      </c>
      <c r="E3458" s="6" t="inlineStr">
        <is>
          <t>R1074089</t>
        </is>
      </c>
      <c r="F3458" s="2" t="n">
        <v>44288</v>
      </c>
      <c r="G3458" s="1" t="n"/>
    </row>
    <row r="3459">
      <c r="A3459" s="6" t="n">
        <v>87410</v>
      </c>
      <c r="B3459" s="6" t="inlineStr">
        <is>
          <t>JOSE CUERVO ESPECIAL SILVER</t>
        </is>
      </c>
      <c r="C3459" s="7">
        <f>VLOOKUP(A3459,SizeData!A$2:B$3839,2,FALSE)</f>
        <v/>
      </c>
      <c r="D3459" s="6" t="n">
        <v>2</v>
      </c>
      <c r="E3459" s="6" t="inlineStr">
        <is>
          <t>R1091962</t>
        </is>
      </c>
      <c r="F3459" s="2" t="n">
        <v>44295</v>
      </c>
      <c r="G3459" s="1" t="n"/>
    </row>
    <row r="3460">
      <c r="A3460" s="6" t="n">
        <v>87410</v>
      </c>
      <c r="B3460" s="6" t="inlineStr">
        <is>
          <t>JOSE CUERVO ESPECIAL SILVER</t>
        </is>
      </c>
      <c r="C3460" s="7">
        <f>VLOOKUP(A3460,SizeData!A$2:B$3839,2,FALSE)</f>
        <v/>
      </c>
      <c r="D3460" s="6" t="n">
        <v>3</v>
      </c>
      <c r="E3460" s="6" t="inlineStr">
        <is>
          <t xml:space="preserve"> R1079980</t>
        </is>
      </c>
      <c r="F3460" s="2" t="n">
        <v>44302</v>
      </c>
      <c r="G3460" s="1" t="n"/>
    </row>
    <row r="3461">
      <c r="A3461" s="6" t="n">
        <v>87410</v>
      </c>
      <c r="B3461" s="6" t="inlineStr">
        <is>
          <t>JOSE CUERVO ESPECIAL SILVER</t>
        </is>
      </c>
      <c r="C3461" s="7">
        <f>VLOOKUP(A3461,SizeData!A$2:B$3839,2,FALSE)</f>
        <v/>
      </c>
      <c r="D3461" s="6" t="n">
        <v>1</v>
      </c>
      <c r="E3461" s="6" t="inlineStr">
        <is>
          <t xml:space="preserve"> R1193283</t>
        </is>
      </c>
      <c r="F3461" s="2" t="n">
        <v>44418</v>
      </c>
      <c r="G3461" s="1" t="n"/>
    </row>
    <row r="3462">
      <c r="A3462" s="6" t="n">
        <v>87410</v>
      </c>
      <c r="B3462" s="6" t="inlineStr">
        <is>
          <t>JOSE CUERVO ESPECIAL SILVER</t>
        </is>
      </c>
      <c r="C3462" s="7">
        <f>VLOOKUP(A3462,SizeData!A$2:B$3839,2,FALSE)</f>
        <v/>
      </c>
      <c r="D3462" s="6" t="n">
        <v>5</v>
      </c>
      <c r="E3462" s="6" t="inlineStr">
        <is>
          <t>R1217867</t>
        </is>
      </c>
      <c r="F3462" s="2" t="n">
        <v>44435</v>
      </c>
      <c r="G3462" s="1" t="n"/>
    </row>
    <row r="3463">
      <c r="A3463" s="6" t="n">
        <v>87410</v>
      </c>
      <c r="B3463" s="6" t="inlineStr">
        <is>
          <t>JOSE CUERVO ESPECIAL SILVER</t>
        </is>
      </c>
      <c r="C3463" s="7">
        <f>VLOOKUP(A3463,SizeData!A$2:B$3839,2,FALSE)</f>
        <v/>
      </c>
      <c r="D3463" s="6" t="n">
        <v>3</v>
      </c>
      <c r="E3463" s="6" t="inlineStr">
        <is>
          <t>R1320287</t>
        </is>
      </c>
      <c r="F3463" s="2" t="n">
        <v>44506</v>
      </c>
      <c r="G3463" s="1" t="n"/>
    </row>
    <row r="3464">
      <c r="A3464" s="6" t="n">
        <v>87410</v>
      </c>
      <c r="B3464" s="6" t="inlineStr">
        <is>
          <t>JOSE CUERVO ESPECIAL SILVER</t>
        </is>
      </c>
      <c r="C3464" s="7">
        <f>VLOOKUP(A3464,SizeData!A$2:B$3839,2,FALSE)</f>
        <v/>
      </c>
      <c r="D3464" s="6" t="n">
        <v>3</v>
      </c>
      <c r="E3464" s="6" t="inlineStr">
        <is>
          <t>R1323053</t>
        </is>
      </c>
      <c r="F3464" s="2" t="n">
        <v>44515</v>
      </c>
      <c r="G3464" s="1" t="n"/>
    </row>
    <row r="3465">
      <c r="A3465" s="6" t="n">
        <v>87410</v>
      </c>
      <c r="B3465" s="6" t="inlineStr">
        <is>
          <t>JOSE CUERVO ESPECIAL SILVER</t>
        </is>
      </c>
      <c r="C3465" s="7">
        <f>VLOOKUP(A3465,SizeData!A$2:B$3839,2,FALSE)</f>
        <v/>
      </c>
      <c r="D3465" s="6" t="n">
        <v>2</v>
      </c>
      <c r="E3465" s="6" t="inlineStr">
        <is>
          <t>R1346277</t>
        </is>
      </c>
      <c r="F3465" s="2" t="n">
        <v>44530</v>
      </c>
      <c r="G3465" s="1" t="n"/>
    </row>
    <row r="3466">
      <c r="A3466" s="6" t="n">
        <v>87414</v>
      </c>
      <c r="B3466" s="6" t="inlineStr">
        <is>
          <t>JOSE CUERVO TRADICIONAL SILVER</t>
        </is>
      </c>
      <c r="C3466" s="7">
        <f>VLOOKUP(A3466,SizeData!A$2:B$3839,2,FALSE)</f>
        <v/>
      </c>
      <c r="D3466" s="6" t="n">
        <v>1</v>
      </c>
      <c r="E3466" s="6" t="inlineStr">
        <is>
          <t>R989703</t>
        </is>
      </c>
      <c r="F3466" s="2" t="n">
        <v>44197</v>
      </c>
      <c r="G3466" s="1" t="n"/>
    </row>
    <row r="3467">
      <c r="A3467" s="6" t="n">
        <v>87414</v>
      </c>
      <c r="B3467" s="6" t="inlineStr">
        <is>
          <t>JOSE CUERVO TRADICIONAL SILVER</t>
        </is>
      </c>
      <c r="C3467" s="7">
        <f>VLOOKUP(A3467,SizeData!A$2:B$3839,2,FALSE)</f>
        <v/>
      </c>
      <c r="D3467" s="6" t="n">
        <v>1</v>
      </c>
      <c r="E3467" s="6" t="inlineStr">
        <is>
          <t>R1008939</t>
        </is>
      </c>
      <c r="F3467" s="2" t="n">
        <v>44220</v>
      </c>
      <c r="G3467" s="1" t="n"/>
    </row>
    <row r="3468">
      <c r="A3468" s="6" t="n">
        <v>87414</v>
      </c>
      <c r="B3468" s="6" t="inlineStr">
        <is>
          <t>JOSE CUERVO TRADICIONAL SILVER</t>
        </is>
      </c>
      <c r="C3468" s="7">
        <f>VLOOKUP(A3468,SizeData!A$2:B$3839,2,FALSE)</f>
        <v/>
      </c>
      <c r="D3468" s="6" t="n">
        <v>1</v>
      </c>
      <c r="E3468" s="6" t="inlineStr">
        <is>
          <t>R1076240</t>
        </is>
      </c>
      <c r="F3468" s="2" t="n">
        <v>44285</v>
      </c>
      <c r="G3468" s="1" t="n"/>
    </row>
    <row r="3469">
      <c r="A3469" s="6" t="n">
        <v>87414</v>
      </c>
      <c r="B3469" s="6" t="inlineStr">
        <is>
          <t>JOSE CUERVO TRADICIONAL SILVER</t>
        </is>
      </c>
      <c r="C3469" s="7">
        <f>VLOOKUP(A3469,SizeData!A$2:B$3839,2,FALSE)</f>
        <v/>
      </c>
      <c r="D3469" s="6" t="n">
        <v>1</v>
      </c>
      <c r="E3469" s="6" t="inlineStr">
        <is>
          <t>R1259107</t>
        </is>
      </c>
      <c r="F3469" s="2" t="n">
        <v>44466</v>
      </c>
      <c r="G3469" s="1" t="n"/>
    </row>
    <row r="3470">
      <c r="A3470" s="6" t="n">
        <v>87414</v>
      </c>
      <c r="B3470" s="6" t="inlineStr">
        <is>
          <t>JOSE CUERVO TRADICIONAL SILVER</t>
        </is>
      </c>
      <c r="C3470" s="7">
        <f>VLOOKUP(A3470,SizeData!A$2:B$3839,2,FALSE)</f>
        <v/>
      </c>
      <c r="D3470" s="6" t="n">
        <v>1</v>
      </c>
      <c r="E3470" s="6" t="inlineStr">
        <is>
          <t>R1332510</t>
        </is>
      </c>
      <c r="F3470" s="2" t="n">
        <v>44518</v>
      </c>
      <c r="G3470" s="1" t="n"/>
    </row>
    <row r="3471">
      <c r="A3471" s="6" t="n">
        <v>87416</v>
      </c>
      <c r="B3471" s="6" t="inlineStr">
        <is>
          <t>JOSE CUERVO TRADICIONAL SILVER TEQ</t>
        </is>
      </c>
      <c r="C3471" s="7">
        <f>VLOOKUP(A3471,SizeData!A$2:B$3839,2,FALSE)</f>
        <v/>
      </c>
      <c r="D3471" s="6" t="n">
        <v>1</v>
      </c>
      <c r="E3471" s="6" t="inlineStr">
        <is>
          <t>R1066257</t>
        </is>
      </c>
      <c r="F3471" s="2" t="n">
        <v>44270</v>
      </c>
      <c r="G3471" s="1" t="n"/>
    </row>
    <row r="3472">
      <c r="A3472" s="6" t="n">
        <v>87416</v>
      </c>
      <c r="B3472" s="6" t="inlineStr">
        <is>
          <t>JOSE CUERVO TRADICIONAL SILVER TEQ</t>
        </is>
      </c>
      <c r="C3472" s="7">
        <f>VLOOKUP(A3472,SizeData!A$2:B$3839,2,FALSE)</f>
        <v/>
      </c>
      <c r="D3472" s="6" t="n">
        <v>1</v>
      </c>
      <c r="E3472" s="6" t="inlineStr">
        <is>
          <t>R1097628</t>
        </is>
      </c>
      <c r="F3472" s="2" t="n">
        <v>44305</v>
      </c>
      <c r="G3472" s="1" t="n"/>
    </row>
    <row r="3473">
      <c r="A3473" s="6" t="n">
        <v>87418</v>
      </c>
      <c r="B3473" s="6" t="inlineStr">
        <is>
          <t>JOSE CUERVO TRADICIONAL SILVER</t>
        </is>
      </c>
      <c r="C3473" s="7">
        <f>VLOOKUP(A3473,SizeData!A$2:B$3839,2,FALSE)</f>
        <v/>
      </c>
      <c r="D3473" s="6" t="n">
        <v>1</v>
      </c>
      <c r="E3473" s="6" t="inlineStr">
        <is>
          <t>R1013798</t>
        </is>
      </c>
      <c r="F3473" s="2" t="n">
        <v>44246</v>
      </c>
      <c r="G3473" s="1" t="n"/>
    </row>
    <row r="3474">
      <c r="A3474" s="6" t="n">
        <v>87418</v>
      </c>
      <c r="B3474" s="6" t="inlineStr">
        <is>
          <t>JOSE CUERVO TRADICIONAL SILVER</t>
        </is>
      </c>
      <c r="C3474" s="7">
        <f>VLOOKUP(A3474,SizeData!A$2:B$3839,2,FALSE)</f>
        <v/>
      </c>
      <c r="D3474" s="6" t="n">
        <v>1</v>
      </c>
      <c r="E3474" s="6" t="inlineStr">
        <is>
          <t>R1066257</t>
        </is>
      </c>
      <c r="F3474" s="2" t="n">
        <v>44270</v>
      </c>
      <c r="G3474" s="1" t="n"/>
    </row>
    <row r="3475">
      <c r="A3475" s="6" t="n">
        <v>87418</v>
      </c>
      <c r="B3475" s="6" t="inlineStr">
        <is>
          <t>JOSE CUERVO TRADICIONAL SILVER</t>
        </is>
      </c>
      <c r="C3475" s="7">
        <f>VLOOKUP(A3475,SizeData!A$2:B$3839,2,FALSE)</f>
        <v/>
      </c>
      <c r="D3475" s="6" t="n">
        <v>1</v>
      </c>
      <c r="E3475" s="6" t="inlineStr">
        <is>
          <t>R1109381</t>
        </is>
      </c>
      <c r="F3475" s="2" t="n">
        <v>44331</v>
      </c>
      <c r="G3475" s="1" t="n"/>
    </row>
    <row r="3476">
      <c r="A3476" s="6" t="n">
        <v>87418</v>
      </c>
      <c r="B3476" s="6" t="inlineStr">
        <is>
          <t>JOSE CUERVO TRADICIONAL SILVER</t>
        </is>
      </c>
      <c r="C3476" s="7">
        <f>VLOOKUP(A3476,SizeData!A$2:B$3839,2,FALSE)</f>
        <v/>
      </c>
      <c r="D3476" s="6" t="n">
        <v>1</v>
      </c>
      <c r="E3476" s="6" t="inlineStr">
        <is>
          <t>R1170994</t>
        </is>
      </c>
      <c r="F3476" s="2" t="n">
        <v>44394</v>
      </c>
      <c r="G3476" s="1" t="n"/>
    </row>
    <row r="3477">
      <c r="A3477" s="6" t="n">
        <v>87484</v>
      </c>
      <c r="B3477" s="6" t="inlineStr">
        <is>
          <t>DON JULIO BLANCO</t>
        </is>
      </c>
      <c r="C3477" s="7">
        <f>VLOOKUP(A3477,SizeData!A$2:B$3839,2,FALSE)</f>
        <v/>
      </c>
      <c r="D3477" s="6" t="n">
        <v>5</v>
      </c>
      <c r="E3477" s="6" t="inlineStr">
        <is>
          <t>R1016884</t>
        </is>
      </c>
      <c r="F3477" s="2" t="n">
        <v>44229</v>
      </c>
      <c r="G3477" s="1" t="n"/>
    </row>
    <row r="3478">
      <c r="A3478" s="6" t="n">
        <v>87484</v>
      </c>
      <c r="B3478" s="6" t="inlineStr">
        <is>
          <t>DON JULIO BLANCO</t>
        </is>
      </c>
      <c r="C3478" s="7">
        <f>VLOOKUP(A3478,SizeData!A$2:B$3839,2,FALSE)</f>
        <v/>
      </c>
      <c r="D3478" s="6" t="n">
        <v>5</v>
      </c>
      <c r="E3478" s="6" t="inlineStr">
        <is>
          <t>R1134934</t>
        </is>
      </c>
      <c r="F3478" s="2" t="n">
        <v>44355</v>
      </c>
      <c r="G3478" s="1" t="n"/>
    </row>
    <row r="3479">
      <c r="A3479" s="6" t="n">
        <v>87484</v>
      </c>
      <c r="B3479" s="6" t="inlineStr">
        <is>
          <t>DON JULIO BLANCO</t>
        </is>
      </c>
      <c r="C3479" s="7">
        <f>VLOOKUP(A3479,SizeData!A$2:B$3839,2,FALSE)</f>
        <v/>
      </c>
      <c r="D3479" s="6" t="n">
        <v>4</v>
      </c>
      <c r="E3479" s="6" t="inlineStr">
        <is>
          <t>R1163989</t>
        </is>
      </c>
      <c r="F3479" s="2" t="n">
        <v>44384</v>
      </c>
      <c r="G3479" s="1" t="n"/>
    </row>
    <row r="3480">
      <c r="A3480" s="6" t="n">
        <v>87484</v>
      </c>
      <c r="B3480" s="6" t="inlineStr">
        <is>
          <t>DON JULIO BLANCO</t>
        </is>
      </c>
      <c r="C3480" s="7">
        <f>VLOOKUP(A3480,SizeData!A$2:B$3839,2,FALSE)</f>
        <v/>
      </c>
      <c r="D3480" s="6" t="n">
        <v>5</v>
      </c>
      <c r="E3480" s="6" t="inlineStr">
        <is>
          <t xml:space="preserve"> R1195141</t>
        </is>
      </c>
      <c r="F3480" s="2" t="n">
        <v>44398</v>
      </c>
      <c r="G3480" s="1" t="n"/>
    </row>
    <row r="3481">
      <c r="A3481" s="6" t="n">
        <v>87484</v>
      </c>
      <c r="B3481" s="6" t="inlineStr">
        <is>
          <t>DON JULIO BLANCO</t>
        </is>
      </c>
      <c r="C3481" s="7">
        <f>VLOOKUP(A3481,SizeData!A$2:B$3839,2,FALSE)</f>
        <v/>
      </c>
      <c r="D3481" s="6" t="n">
        <v>5</v>
      </c>
      <c r="E3481" s="6" t="inlineStr">
        <is>
          <t>R1276475</t>
        </is>
      </c>
      <c r="F3481" s="2" t="n">
        <v>44481</v>
      </c>
      <c r="G3481" s="1" t="n"/>
    </row>
    <row r="3482">
      <c r="A3482" s="6" t="n">
        <v>87484</v>
      </c>
      <c r="B3482" s="6" t="inlineStr">
        <is>
          <t>DON JULIO BLANCO</t>
        </is>
      </c>
      <c r="C3482" s="7">
        <f>VLOOKUP(A3482,SizeData!A$2:B$3839,2,FALSE)</f>
        <v/>
      </c>
      <c r="D3482" s="6" t="n">
        <v>0</v>
      </c>
      <c r="E3482" s="6" t="inlineStr">
        <is>
          <t>R1350401</t>
        </is>
      </c>
      <c r="F3482" s="2" t="n">
        <v>44518</v>
      </c>
      <c r="G3482" s="1" t="n"/>
    </row>
    <row r="3483">
      <c r="A3483" s="6" t="n">
        <v>87485</v>
      </c>
      <c r="B3483" s="6" t="inlineStr">
        <is>
          <t>DON JULIO BLANCO TEQUILA</t>
        </is>
      </c>
      <c r="C3483" s="7">
        <f>VLOOKUP(A3483,SizeData!A$2:B$3839,2,FALSE)</f>
        <v/>
      </c>
      <c r="D3483" s="6" t="n">
        <v>10</v>
      </c>
      <c r="E3483" s="6" t="inlineStr">
        <is>
          <t>R1018402</t>
        </is>
      </c>
      <c r="F3483" s="2" t="n">
        <v>44229</v>
      </c>
      <c r="G3483" s="1" t="n"/>
    </row>
    <row r="3484">
      <c r="A3484" s="6" t="n">
        <v>87485</v>
      </c>
      <c r="B3484" s="6" t="inlineStr">
        <is>
          <t>DON JULIO BLANCO TEQUILA</t>
        </is>
      </c>
      <c r="C3484" s="7">
        <f>VLOOKUP(A3484,SizeData!A$2:B$3839,2,FALSE)</f>
        <v/>
      </c>
      <c r="D3484" s="6" t="n">
        <v>5</v>
      </c>
      <c r="E3484" s="6" t="inlineStr">
        <is>
          <t>R1058918</t>
        </is>
      </c>
      <c r="F3484" s="2" t="n">
        <v>44273</v>
      </c>
      <c r="G3484" s="1" t="n"/>
    </row>
    <row r="3485">
      <c r="A3485" s="6" t="n">
        <v>87485</v>
      </c>
      <c r="B3485" s="6" t="inlineStr">
        <is>
          <t>DON JULIO BLANCO TEQUILA</t>
        </is>
      </c>
      <c r="C3485" s="7">
        <f>VLOOKUP(A3485,SizeData!A$2:B$3839,2,FALSE)</f>
        <v/>
      </c>
      <c r="D3485" s="6" t="n">
        <v>5</v>
      </c>
      <c r="E3485" s="6" t="inlineStr">
        <is>
          <t>R1100246</t>
        </is>
      </c>
      <c r="F3485" s="2" t="n">
        <v>44298</v>
      </c>
      <c r="G3485" s="1" t="n"/>
    </row>
    <row r="3486">
      <c r="A3486" s="6" t="n">
        <v>87485</v>
      </c>
      <c r="B3486" s="6" t="inlineStr">
        <is>
          <t>DON JULIO BLANCO TEQUILA</t>
        </is>
      </c>
      <c r="C3486" s="7">
        <f>VLOOKUP(A3486,SizeData!A$2:B$3839,2,FALSE)</f>
        <v/>
      </c>
      <c r="D3486" s="6" t="n">
        <v>5</v>
      </c>
      <c r="E3486" s="6" t="inlineStr">
        <is>
          <t>R1115228</t>
        </is>
      </c>
      <c r="F3486" s="2" t="n">
        <v>44308</v>
      </c>
      <c r="G3486" s="1" t="n"/>
    </row>
    <row r="3487">
      <c r="A3487" s="6" t="n">
        <v>87485</v>
      </c>
      <c r="B3487" s="6" t="inlineStr">
        <is>
          <t>DON JULIO BLANCO TEQUILA</t>
        </is>
      </c>
      <c r="C3487" s="7">
        <f>VLOOKUP(A3487,SizeData!A$2:B$3839,2,FALSE)</f>
        <v/>
      </c>
      <c r="D3487" s="6" t="n">
        <v>5</v>
      </c>
      <c r="E3487" s="6" t="inlineStr">
        <is>
          <t>R1134934</t>
        </is>
      </c>
      <c r="F3487" s="2" t="n">
        <v>44355</v>
      </c>
      <c r="G3487" s="1" t="n"/>
    </row>
    <row r="3488">
      <c r="A3488" s="6" t="n">
        <v>87485</v>
      </c>
      <c r="B3488" s="6" t="inlineStr">
        <is>
          <t>DON JULIO BLANCO TEQUILA</t>
        </is>
      </c>
      <c r="C3488" s="7">
        <f>VLOOKUP(A3488,SizeData!A$2:B$3839,2,FALSE)</f>
        <v/>
      </c>
      <c r="D3488" s="6" t="n">
        <v>5</v>
      </c>
      <c r="E3488" s="6" t="inlineStr">
        <is>
          <t>R1163989</t>
        </is>
      </c>
      <c r="F3488" s="2" t="n">
        <v>44384</v>
      </c>
      <c r="G3488" s="1" t="n"/>
    </row>
    <row r="3489">
      <c r="A3489" s="6" t="n">
        <v>87485</v>
      </c>
      <c r="B3489" s="6" t="inlineStr">
        <is>
          <t>DON JULIO BLANCO TEQUILA</t>
        </is>
      </c>
      <c r="C3489" s="7">
        <f>VLOOKUP(A3489,SizeData!A$2:B$3839,2,FALSE)</f>
        <v/>
      </c>
      <c r="D3489" s="6" t="n">
        <v>5</v>
      </c>
      <c r="E3489" s="6" t="inlineStr">
        <is>
          <t xml:space="preserve"> R1195141</t>
        </is>
      </c>
      <c r="F3489" s="2" t="n">
        <v>44398</v>
      </c>
      <c r="G3489" s="1" t="n"/>
    </row>
    <row r="3490">
      <c r="A3490" s="6" t="n">
        <v>87485</v>
      </c>
      <c r="B3490" s="6" t="inlineStr">
        <is>
          <t>DON JULIO BLANCO TEQUILA</t>
        </is>
      </c>
      <c r="C3490" s="7">
        <f>VLOOKUP(A3490,SizeData!A$2:B$3839,2,FALSE)</f>
        <v/>
      </c>
      <c r="D3490" s="6" t="n">
        <v>5</v>
      </c>
      <c r="E3490" s="6" t="inlineStr">
        <is>
          <t>R1194857</t>
        </is>
      </c>
      <c r="F3490" s="2" t="n">
        <v>44418</v>
      </c>
      <c r="G3490" s="1" t="n"/>
    </row>
    <row r="3491">
      <c r="A3491" s="6" t="n">
        <v>87485</v>
      </c>
      <c r="B3491" s="6" t="inlineStr">
        <is>
          <t>DON JULIO BLANCO TEQUILA</t>
        </is>
      </c>
      <c r="C3491" s="7">
        <f>VLOOKUP(A3491,SizeData!A$2:B$3839,2,FALSE)</f>
        <v/>
      </c>
      <c r="D3491" s="6" t="n">
        <v>5</v>
      </c>
      <c r="E3491" s="6" t="inlineStr">
        <is>
          <t>R1242106</t>
        </is>
      </c>
      <c r="F3491" s="2" t="n">
        <v>44446</v>
      </c>
      <c r="G3491" s="1" t="n"/>
    </row>
    <row r="3492">
      <c r="A3492" s="6" t="n">
        <v>87485</v>
      </c>
      <c r="B3492" s="6" t="inlineStr">
        <is>
          <t>DON JULIO BLANCO TEQUILA</t>
        </is>
      </c>
      <c r="C3492" s="7">
        <f>VLOOKUP(A3492,SizeData!A$2:B$3839,2,FALSE)</f>
        <v/>
      </c>
      <c r="D3492" s="6" t="n">
        <v>0</v>
      </c>
      <c r="E3492" s="6" t="inlineStr">
        <is>
          <t>R1251315</t>
        </is>
      </c>
      <c r="F3492" s="2" t="n">
        <v>44454</v>
      </c>
      <c r="G3492" s="1" t="n"/>
    </row>
    <row r="3493">
      <c r="A3493" s="6" t="n">
        <v>87485</v>
      </c>
      <c r="B3493" s="6" t="inlineStr">
        <is>
          <t>DON JULIO BLANCO TEQUILA</t>
        </is>
      </c>
      <c r="C3493" s="7">
        <f>VLOOKUP(A3493,SizeData!A$2:B$3839,2,FALSE)</f>
        <v/>
      </c>
      <c r="D3493" s="6" t="n">
        <v>5</v>
      </c>
      <c r="E3493" s="6" t="inlineStr">
        <is>
          <t>R1276475</t>
        </is>
      </c>
      <c r="F3493" s="2" t="n">
        <v>44481</v>
      </c>
      <c r="G3493" s="1" t="n"/>
    </row>
    <row r="3494">
      <c r="A3494" s="6" t="n">
        <v>87485</v>
      </c>
      <c r="B3494" s="6" t="inlineStr">
        <is>
          <t>DON JULIO BLANCO TEQUILA</t>
        </is>
      </c>
      <c r="C3494" s="7">
        <f>VLOOKUP(A3494,SizeData!A$2:B$3839,2,FALSE)</f>
        <v/>
      </c>
      <c r="D3494" s="6" t="n">
        <v>5</v>
      </c>
      <c r="E3494" s="6" t="inlineStr">
        <is>
          <t>R1305208</t>
        </is>
      </c>
      <c r="F3494" s="2" t="n">
        <v>44488</v>
      </c>
      <c r="G3494" s="1" t="n"/>
    </row>
    <row r="3495">
      <c r="A3495" s="6" t="n">
        <v>87485</v>
      </c>
      <c r="B3495" s="6" t="inlineStr">
        <is>
          <t>DON JULIO BLANCO TEQUILA</t>
        </is>
      </c>
      <c r="C3495" s="7">
        <f>VLOOKUP(A3495,SizeData!A$2:B$3839,2,FALSE)</f>
        <v/>
      </c>
      <c r="D3495" s="6" t="n">
        <v>3</v>
      </c>
      <c r="E3495" s="6" t="inlineStr">
        <is>
          <t>R1300187</t>
        </is>
      </c>
      <c r="F3495" s="2" t="n">
        <v>44494</v>
      </c>
      <c r="G3495" s="1" t="n"/>
    </row>
    <row r="3496">
      <c r="A3496" s="6" t="n">
        <v>87485</v>
      </c>
      <c r="B3496" s="6" t="inlineStr">
        <is>
          <t>DON JULIO BLANCO TEQUILA</t>
        </is>
      </c>
      <c r="C3496" s="7">
        <f>VLOOKUP(A3496,SizeData!A$2:B$3839,2,FALSE)</f>
        <v/>
      </c>
      <c r="D3496" s="6" t="n">
        <v>0</v>
      </c>
      <c r="E3496" s="6" t="inlineStr">
        <is>
          <t>R1306125</t>
        </is>
      </c>
      <c r="F3496" s="2" t="n">
        <v>44495</v>
      </c>
      <c r="G3496" s="1" t="n"/>
    </row>
    <row r="3497">
      <c r="A3497" s="6" t="n">
        <v>87485</v>
      </c>
      <c r="B3497" s="6" t="inlineStr">
        <is>
          <t>DON JULIO BLANCO TEQUILA</t>
        </is>
      </c>
      <c r="C3497" s="7">
        <f>VLOOKUP(A3497,SizeData!A$2:B$3839,2,FALSE)</f>
        <v/>
      </c>
      <c r="D3497" s="6" t="n">
        <v>0</v>
      </c>
      <c r="E3497" s="6" t="inlineStr">
        <is>
          <t>R1294331</t>
        </is>
      </c>
      <c r="F3497" s="2" t="n">
        <v>44497</v>
      </c>
      <c r="G3497" s="1" t="n"/>
    </row>
    <row r="3498">
      <c r="A3498" s="6" t="n">
        <v>87485</v>
      </c>
      <c r="B3498" s="6" t="inlineStr">
        <is>
          <t>DON JULIO BLANCO TEQUILA</t>
        </is>
      </c>
      <c r="C3498" s="7">
        <f>VLOOKUP(A3498,SizeData!A$2:B$3839,2,FALSE)</f>
        <v/>
      </c>
      <c r="D3498" s="6" t="n">
        <v>5</v>
      </c>
      <c r="E3498" s="6" t="inlineStr">
        <is>
          <t>R1304810</t>
        </is>
      </c>
      <c r="F3498" s="2" t="n">
        <v>44501</v>
      </c>
      <c r="G3498" s="1" t="n"/>
    </row>
    <row r="3499">
      <c r="A3499" s="6" t="n">
        <v>87485</v>
      </c>
      <c r="B3499" s="6" t="inlineStr">
        <is>
          <t>DON JULIO BLANCO TEQUILA</t>
        </is>
      </c>
      <c r="C3499" s="7">
        <f>VLOOKUP(A3499,SizeData!A$2:B$3839,2,FALSE)</f>
        <v/>
      </c>
      <c r="D3499" s="6" t="n">
        <v>5</v>
      </c>
      <c r="E3499" s="6" t="inlineStr">
        <is>
          <t>R1359198</t>
        </is>
      </c>
      <c r="F3499" s="2" t="n">
        <v>44538</v>
      </c>
      <c r="G3499" s="1" t="n"/>
    </row>
    <row r="3500">
      <c r="A3500" s="6" t="n">
        <v>87506</v>
      </c>
      <c r="B3500" s="6" t="inlineStr">
        <is>
          <t>GRAN CENTENARIO PLATA TEQ</t>
        </is>
      </c>
      <c r="C3500" s="7">
        <f>VLOOKUP(A3500,SizeData!A$2:B$3839,2,FALSE)</f>
        <v/>
      </c>
      <c r="D3500" s="6" t="n">
        <v>0</v>
      </c>
      <c r="E3500" s="6" t="inlineStr">
        <is>
          <t>R1240644</t>
        </is>
      </c>
      <c r="F3500" s="2" t="n">
        <v>44440</v>
      </c>
      <c r="G3500" s="1" t="n"/>
    </row>
    <row r="3501">
      <c r="A3501" s="6" t="n">
        <v>87506</v>
      </c>
      <c r="B3501" s="6" t="inlineStr">
        <is>
          <t>GRAN CENTENARIO PLATA TEQ</t>
        </is>
      </c>
      <c r="C3501" s="7">
        <f>VLOOKUP(A3501,SizeData!A$2:B$3839,2,FALSE)</f>
        <v/>
      </c>
      <c r="D3501" s="6" t="n">
        <v>1</v>
      </c>
      <c r="E3501" s="6" t="inlineStr">
        <is>
          <t>R1239466</t>
        </is>
      </c>
      <c r="F3501" s="2" t="n">
        <v>44454</v>
      </c>
      <c r="G3501" s="1" t="n"/>
    </row>
    <row r="3502">
      <c r="A3502" s="6" t="n">
        <v>87506</v>
      </c>
      <c r="B3502" s="6" t="inlineStr">
        <is>
          <t>GRAN CENTENARIO PLATA TEQ</t>
        </is>
      </c>
      <c r="C3502" s="7">
        <f>VLOOKUP(A3502,SizeData!A$2:B$3839,2,FALSE)</f>
        <v/>
      </c>
      <c r="D3502" s="6" t="n">
        <v>0</v>
      </c>
      <c r="E3502" s="6" t="inlineStr">
        <is>
          <t>R1301983</t>
        </is>
      </c>
      <c r="F3502" s="2" t="n">
        <v>44501</v>
      </c>
      <c r="G3502" s="1" t="n"/>
    </row>
    <row r="3503">
      <c r="A3503" s="6" t="n">
        <v>87506</v>
      </c>
      <c r="B3503" s="6" t="inlineStr">
        <is>
          <t>GRAN CENTENARIO PLATA TEQ</t>
        </is>
      </c>
      <c r="C3503" s="7">
        <f>VLOOKUP(A3503,SizeData!A$2:B$3839,2,FALSE)</f>
        <v/>
      </c>
      <c r="D3503" s="6" t="n">
        <v>1</v>
      </c>
      <c r="E3503" s="6" t="inlineStr">
        <is>
          <t>R1314488</t>
        </is>
      </c>
      <c r="F3503" s="2" t="n">
        <v>44516</v>
      </c>
      <c r="G3503" s="1" t="n"/>
    </row>
    <row r="3504">
      <c r="A3504" s="6" t="n">
        <v>87506</v>
      </c>
      <c r="B3504" s="6" t="inlineStr">
        <is>
          <t>GRAN CENTENARIO PLATA TEQ</t>
        </is>
      </c>
      <c r="C3504" s="7">
        <f>VLOOKUP(A3504,SizeData!A$2:B$3839,2,FALSE)</f>
        <v/>
      </c>
      <c r="D3504" s="6" t="n">
        <v>1</v>
      </c>
      <c r="E3504" s="6" t="inlineStr">
        <is>
          <t>R1341373</t>
        </is>
      </c>
      <c r="F3504" s="2" t="n">
        <v>44531</v>
      </c>
      <c r="G3504" s="1" t="n"/>
    </row>
    <row r="3505">
      <c r="A3505" s="6" t="n">
        <v>87507</v>
      </c>
      <c r="B3505" s="6" t="inlineStr">
        <is>
          <t>1800 SILVER TEQUILA</t>
        </is>
      </c>
      <c r="C3505" s="7">
        <f>VLOOKUP(A3505,SizeData!A$2:B$3839,2,FALSE)</f>
        <v/>
      </c>
      <c r="D3505" s="6" t="n">
        <v>1</v>
      </c>
      <c r="E3505" s="6" t="inlineStr">
        <is>
          <t xml:space="preserve"> R1107264</t>
        </is>
      </c>
      <c r="F3505" s="2" t="n">
        <v>44317</v>
      </c>
      <c r="G3505" s="1" t="n"/>
    </row>
    <row r="3506">
      <c r="A3506" s="6" t="n">
        <v>87507</v>
      </c>
      <c r="B3506" s="6" t="inlineStr">
        <is>
          <t>1800 SILVER TEQUILA</t>
        </is>
      </c>
      <c r="C3506" s="7">
        <f>VLOOKUP(A3506,SizeData!A$2:B$3839,2,FALSE)</f>
        <v/>
      </c>
      <c r="D3506" s="6" t="n">
        <v>1</v>
      </c>
      <c r="E3506" s="6" t="inlineStr">
        <is>
          <t>R1173248</t>
        </is>
      </c>
      <c r="F3506" s="2" t="n">
        <v>44393</v>
      </c>
      <c r="G3506" s="1" t="n"/>
    </row>
    <row r="3507">
      <c r="A3507" s="6" t="n">
        <v>87507</v>
      </c>
      <c r="B3507" s="6" t="inlineStr">
        <is>
          <t>1800 SILVER TEQUILA</t>
        </is>
      </c>
      <c r="C3507" s="7">
        <f>VLOOKUP(A3507,SizeData!A$2:B$3839,2,FALSE)</f>
        <v/>
      </c>
      <c r="D3507" s="6" t="n">
        <v>1</v>
      </c>
      <c r="E3507" s="6" t="inlineStr">
        <is>
          <t>R1260244</t>
        </is>
      </c>
      <c r="F3507" s="2" t="n">
        <v>44457</v>
      </c>
      <c r="G3507" s="1" t="n"/>
    </row>
    <row r="3508">
      <c r="A3508" s="6" t="n">
        <v>87507</v>
      </c>
      <c r="B3508" s="6" t="inlineStr">
        <is>
          <t>1800 SILVER TEQUILA</t>
        </is>
      </c>
      <c r="C3508" s="7">
        <f>VLOOKUP(A3508,SizeData!A$2:B$3839,2,FALSE)</f>
        <v/>
      </c>
      <c r="D3508" s="6" t="n">
        <v>1</v>
      </c>
      <c r="E3508" s="6" t="inlineStr">
        <is>
          <t>R1248961</t>
        </is>
      </c>
      <c r="F3508" s="2" t="n">
        <v>44461</v>
      </c>
      <c r="G3508" s="1" t="n"/>
    </row>
    <row r="3509">
      <c r="A3509" s="6" t="n">
        <v>87509</v>
      </c>
      <c r="B3509" s="6" t="inlineStr">
        <is>
          <t>1800 SILVER TEQUILA</t>
        </is>
      </c>
      <c r="C3509" s="7">
        <f>VLOOKUP(A3509,SizeData!A$2:B$3839,2,FALSE)</f>
        <v/>
      </c>
      <c r="D3509" s="6" t="n">
        <v>2</v>
      </c>
      <c r="E3509" s="6" t="inlineStr">
        <is>
          <t>R1003923</t>
        </is>
      </c>
      <c r="F3509" s="2" t="n">
        <v>44219</v>
      </c>
      <c r="G3509" s="1" t="n"/>
    </row>
    <row r="3510">
      <c r="A3510" s="6" t="n">
        <v>87509</v>
      </c>
      <c r="B3510" s="6" t="inlineStr">
        <is>
          <t>1800 SILVER TEQUILA</t>
        </is>
      </c>
      <c r="C3510" s="7">
        <f>VLOOKUP(A3510,SizeData!A$2:B$3839,2,FALSE)</f>
        <v/>
      </c>
      <c r="D3510" s="6" t="n">
        <v>2</v>
      </c>
      <c r="E3510" s="6" t="inlineStr">
        <is>
          <t>R1008985</t>
        </is>
      </c>
      <c r="F3510" s="2" t="n">
        <v>44224</v>
      </c>
      <c r="G3510" s="1" t="n"/>
    </row>
    <row r="3511">
      <c r="A3511" s="6" t="n">
        <v>87509</v>
      </c>
      <c r="B3511" s="6" t="inlineStr">
        <is>
          <t>1800 SILVER TEQUILA</t>
        </is>
      </c>
      <c r="C3511" s="7">
        <f>VLOOKUP(A3511,SizeData!A$2:B$3839,2,FALSE)</f>
        <v/>
      </c>
      <c r="D3511" s="6" t="n">
        <v>5</v>
      </c>
      <c r="E3511" s="6" t="inlineStr">
        <is>
          <t>R1048948</t>
        </is>
      </c>
      <c r="F3511" s="2" t="n">
        <v>44265</v>
      </c>
      <c r="G3511" s="1" t="n"/>
    </row>
    <row r="3512">
      <c r="A3512" s="6" t="n">
        <v>87509</v>
      </c>
      <c r="B3512" s="6" t="inlineStr">
        <is>
          <t>1800 SILVER TEQUILA</t>
        </is>
      </c>
      <c r="C3512" s="7">
        <f>VLOOKUP(A3512,SizeData!A$2:B$3839,2,FALSE)</f>
        <v/>
      </c>
      <c r="D3512" s="6" t="n">
        <v>2</v>
      </c>
      <c r="E3512" s="6" t="inlineStr">
        <is>
          <t>R1058237</t>
        </is>
      </c>
      <c r="F3512" s="2" t="n">
        <v>44273</v>
      </c>
      <c r="G3512" s="1" t="n"/>
    </row>
    <row r="3513">
      <c r="A3513" s="6" t="n">
        <v>87509</v>
      </c>
      <c r="B3513" s="6" t="inlineStr">
        <is>
          <t>1800 SILVER TEQUILA</t>
        </is>
      </c>
      <c r="C3513" s="7">
        <f>VLOOKUP(A3513,SizeData!A$2:B$3839,2,FALSE)</f>
        <v/>
      </c>
      <c r="D3513" s="6" t="n">
        <v>4</v>
      </c>
      <c r="E3513" s="6" t="inlineStr">
        <is>
          <t>R1108792</t>
        </is>
      </c>
      <c r="F3513" s="2" t="n">
        <v>44322</v>
      </c>
      <c r="G3513" s="1" t="n"/>
    </row>
    <row r="3514">
      <c r="A3514" s="6" t="n">
        <v>87509</v>
      </c>
      <c r="B3514" s="6" t="inlineStr">
        <is>
          <t>1800 SILVER TEQUILA</t>
        </is>
      </c>
      <c r="C3514" s="7">
        <f>VLOOKUP(A3514,SizeData!A$2:B$3839,2,FALSE)</f>
        <v/>
      </c>
      <c r="D3514" s="6" t="n">
        <v>2</v>
      </c>
      <c r="E3514" s="6" t="inlineStr">
        <is>
          <t>R1119380</t>
        </is>
      </c>
      <c r="F3514" s="2" t="n">
        <v>44338</v>
      </c>
      <c r="G3514" s="1" t="n"/>
    </row>
    <row r="3515">
      <c r="A3515" s="6" t="n">
        <v>87509</v>
      </c>
      <c r="B3515" s="6" t="inlineStr">
        <is>
          <t>1800 SILVER TEQUILA</t>
        </is>
      </c>
      <c r="C3515" s="7">
        <f>VLOOKUP(A3515,SizeData!A$2:B$3839,2,FALSE)</f>
        <v/>
      </c>
      <c r="D3515" s="6" t="n">
        <v>2</v>
      </c>
      <c r="E3515" s="6" t="inlineStr">
        <is>
          <t xml:space="preserve"> R1150889</t>
        </is>
      </c>
      <c r="F3515" s="2" t="n">
        <v>44368</v>
      </c>
      <c r="G3515" s="1" t="n"/>
    </row>
    <row r="3516">
      <c r="A3516" s="6" t="n">
        <v>87509</v>
      </c>
      <c r="B3516" s="6" t="inlineStr">
        <is>
          <t>1800 SILVER TEQUILA</t>
        </is>
      </c>
      <c r="C3516" s="7">
        <f>VLOOKUP(A3516,SizeData!A$2:B$3839,2,FALSE)</f>
        <v/>
      </c>
      <c r="D3516" s="6" t="n">
        <v>2</v>
      </c>
      <c r="E3516" s="6" t="inlineStr">
        <is>
          <t>R1171117</t>
        </is>
      </c>
      <c r="F3516" s="2" t="n">
        <v>44382</v>
      </c>
      <c r="G3516" s="1" t="n"/>
    </row>
    <row r="3517">
      <c r="A3517" s="6" t="n">
        <v>87509</v>
      </c>
      <c r="B3517" s="6" t="inlineStr">
        <is>
          <t>1800 SILVER TEQUILA</t>
        </is>
      </c>
      <c r="C3517" s="7">
        <f>VLOOKUP(A3517,SizeData!A$2:B$3839,2,FALSE)</f>
        <v/>
      </c>
      <c r="D3517" s="6" t="n">
        <v>1</v>
      </c>
      <c r="E3517" s="6" t="inlineStr">
        <is>
          <t>R1175838</t>
        </is>
      </c>
      <c r="F3517" s="2" t="n">
        <v>44389</v>
      </c>
      <c r="G3517" s="1" t="n"/>
    </row>
    <row r="3518">
      <c r="A3518" s="6" t="n">
        <v>87509</v>
      </c>
      <c r="B3518" s="6" t="inlineStr">
        <is>
          <t>1800 SILVER TEQUILA</t>
        </is>
      </c>
      <c r="C3518" s="7">
        <f>VLOOKUP(A3518,SizeData!A$2:B$3839,2,FALSE)</f>
        <v/>
      </c>
      <c r="D3518" s="6" t="n">
        <v>1</v>
      </c>
      <c r="E3518" s="6" t="inlineStr">
        <is>
          <t>R1173671</t>
        </is>
      </c>
      <c r="F3518" s="2" t="n">
        <v>44394</v>
      </c>
      <c r="G3518" s="1" t="n"/>
    </row>
    <row r="3519">
      <c r="A3519" s="6" t="n">
        <v>87509</v>
      </c>
      <c r="B3519" s="6" t="inlineStr">
        <is>
          <t>1800 SILVER TEQUILA</t>
        </is>
      </c>
      <c r="C3519" s="7">
        <f>VLOOKUP(A3519,SizeData!A$2:B$3839,2,FALSE)</f>
        <v/>
      </c>
      <c r="D3519" s="6" t="n">
        <v>2</v>
      </c>
      <c r="E3519" s="6" t="inlineStr">
        <is>
          <t>R1172969</t>
        </is>
      </c>
      <c r="F3519" s="2" t="n">
        <v>44396</v>
      </c>
      <c r="G3519" s="1" t="n"/>
    </row>
    <row r="3520">
      <c r="A3520" s="6" t="n">
        <v>87509</v>
      </c>
      <c r="B3520" s="6" t="inlineStr">
        <is>
          <t>1800 SILVER TEQUILA</t>
        </is>
      </c>
      <c r="C3520" s="7">
        <f>VLOOKUP(A3520,SizeData!A$2:B$3839,2,FALSE)</f>
        <v/>
      </c>
      <c r="D3520" s="6" t="n">
        <v>2</v>
      </c>
      <c r="E3520" s="6" t="inlineStr">
        <is>
          <t>R1224208</t>
        </is>
      </c>
      <c r="F3520" s="2" t="n">
        <v>44436</v>
      </c>
      <c r="G3520" s="1" t="n"/>
    </row>
    <row r="3521">
      <c r="A3521" s="6" t="n">
        <v>87509</v>
      </c>
      <c r="B3521" s="6" t="inlineStr">
        <is>
          <t>1800 SILVER TEQUILA</t>
        </is>
      </c>
      <c r="C3521" s="7">
        <f>VLOOKUP(A3521,SizeData!A$2:B$3839,2,FALSE)</f>
        <v/>
      </c>
      <c r="D3521" s="6" t="n">
        <v>2</v>
      </c>
      <c r="E3521" s="6" t="inlineStr">
        <is>
          <t>R1240644</t>
        </is>
      </c>
      <c r="F3521" s="2" t="n">
        <v>44440</v>
      </c>
      <c r="G3521" s="1" t="n"/>
    </row>
    <row r="3522">
      <c r="A3522" s="6" t="n">
        <v>87509</v>
      </c>
      <c r="B3522" s="6" t="inlineStr">
        <is>
          <t>1800 SILVER TEQUILA</t>
        </is>
      </c>
      <c r="C3522" s="7">
        <f>VLOOKUP(A3522,SizeData!A$2:B$3839,2,FALSE)</f>
        <v/>
      </c>
      <c r="D3522" s="6" t="n">
        <v>2</v>
      </c>
      <c r="E3522" s="6" t="inlineStr">
        <is>
          <t>R1246630</t>
        </is>
      </c>
      <c r="F3522" s="2" t="n">
        <v>44450</v>
      </c>
      <c r="G3522" s="1" t="n"/>
    </row>
    <row r="3523">
      <c r="A3523" s="6" t="n">
        <v>87509</v>
      </c>
      <c r="B3523" s="6" t="inlineStr">
        <is>
          <t>1800 SILVER TEQUILA</t>
        </is>
      </c>
      <c r="C3523" s="7">
        <f>VLOOKUP(A3523,SizeData!A$2:B$3839,2,FALSE)</f>
        <v/>
      </c>
      <c r="D3523" s="6" t="n">
        <v>2</v>
      </c>
      <c r="E3523" s="6" t="inlineStr">
        <is>
          <t>R1260244</t>
        </is>
      </c>
      <c r="F3523" s="2" t="n">
        <v>44457</v>
      </c>
      <c r="G3523" s="1" t="n"/>
    </row>
    <row r="3524">
      <c r="A3524" s="6" t="n">
        <v>87509</v>
      </c>
      <c r="B3524" s="6" t="inlineStr">
        <is>
          <t>1800 SILVER TEQUILA</t>
        </is>
      </c>
      <c r="C3524" s="7">
        <f>VLOOKUP(A3524,SizeData!A$2:B$3839,2,FALSE)</f>
        <v/>
      </c>
      <c r="D3524" s="6" t="n">
        <v>2</v>
      </c>
      <c r="E3524" s="6" t="inlineStr">
        <is>
          <t>R1265540</t>
        </is>
      </c>
      <c r="F3524" s="2" t="n">
        <v>44459</v>
      </c>
      <c r="G3524" s="1" t="n"/>
    </row>
    <row r="3525">
      <c r="A3525" s="6" t="n">
        <v>87509</v>
      </c>
      <c r="B3525" s="6" t="inlineStr">
        <is>
          <t>1800 SILVER TEQUILA</t>
        </is>
      </c>
      <c r="C3525" s="7">
        <f>VLOOKUP(A3525,SizeData!A$2:B$3839,2,FALSE)</f>
        <v/>
      </c>
      <c r="D3525" s="6" t="n">
        <v>5</v>
      </c>
      <c r="E3525" s="6" t="inlineStr">
        <is>
          <t>R1294331</t>
        </is>
      </c>
      <c r="F3525" s="2" t="n">
        <v>44497</v>
      </c>
      <c r="G3525" s="1" t="n"/>
    </row>
    <row r="3526">
      <c r="A3526" s="6" t="n">
        <v>87510</v>
      </c>
      <c r="B3526" s="6" t="inlineStr">
        <is>
          <t>1800 SILVER TEQUILA</t>
        </is>
      </c>
      <c r="C3526" s="7">
        <f>VLOOKUP(A3526,SizeData!A$2:B$3839,2,FALSE)</f>
        <v/>
      </c>
      <c r="D3526" s="6" t="n">
        <v>3</v>
      </c>
      <c r="E3526" s="6" t="inlineStr">
        <is>
          <t>R1037896</t>
        </is>
      </c>
      <c r="F3526" s="2" t="n">
        <v>44258</v>
      </c>
      <c r="G3526" s="1" t="n"/>
    </row>
    <row r="3527">
      <c r="A3527" s="6" t="n">
        <v>87510</v>
      </c>
      <c r="B3527" s="6" t="inlineStr">
        <is>
          <t>1800 SILVER TEQUILA</t>
        </is>
      </c>
      <c r="C3527" s="7">
        <f>VLOOKUP(A3527,SizeData!A$2:B$3839,2,FALSE)</f>
        <v/>
      </c>
      <c r="D3527" s="6" t="n">
        <v>10</v>
      </c>
      <c r="E3527" s="6" t="inlineStr">
        <is>
          <t>R1111762</t>
        </is>
      </c>
      <c r="F3527" s="2" t="n">
        <v>44320</v>
      </c>
      <c r="G3527" s="1" t="n"/>
    </row>
    <row r="3528">
      <c r="A3528" s="6" t="n">
        <v>87510</v>
      </c>
      <c r="B3528" s="6" t="inlineStr">
        <is>
          <t>1800 SILVER TEQUILA</t>
        </is>
      </c>
      <c r="C3528" s="7">
        <f>VLOOKUP(A3528,SizeData!A$2:B$3839,2,FALSE)</f>
        <v/>
      </c>
      <c r="D3528" s="6" t="n">
        <v>4</v>
      </c>
      <c r="E3528" s="6" t="inlineStr">
        <is>
          <t>R1109574</t>
        </is>
      </c>
      <c r="F3528" s="2" t="n">
        <v>44331</v>
      </c>
      <c r="G3528" s="1" t="n"/>
    </row>
    <row r="3529">
      <c r="A3529" s="6" t="n">
        <v>87510</v>
      </c>
      <c r="B3529" s="6" t="inlineStr">
        <is>
          <t>1800 SILVER TEQUILA</t>
        </is>
      </c>
      <c r="C3529" s="7">
        <f>VLOOKUP(A3529,SizeData!A$2:B$3839,2,FALSE)</f>
        <v/>
      </c>
      <c r="D3529" s="6" t="n">
        <v>20</v>
      </c>
      <c r="E3529" s="6" t="inlineStr">
        <is>
          <t xml:space="preserve"> R1135574</t>
        </is>
      </c>
      <c r="F3529" s="2" t="n">
        <v>44338</v>
      </c>
      <c r="G3529" s="1" t="n"/>
    </row>
    <row r="3530">
      <c r="A3530" s="6" t="n">
        <v>87513</v>
      </c>
      <c r="B3530" s="6" t="inlineStr">
        <is>
          <t>1800 SILVER TEQUILA</t>
        </is>
      </c>
      <c r="C3530" s="7">
        <f>VLOOKUP(A3530,SizeData!A$2:B$3839,2,FALSE)</f>
        <v/>
      </c>
      <c r="D3530" s="6" t="n">
        <v>6</v>
      </c>
      <c r="E3530" s="6" t="inlineStr">
        <is>
          <t>R1089602</t>
        </is>
      </c>
      <c r="F3530" s="2" t="n">
        <v>44298</v>
      </c>
      <c r="G3530" s="1" t="n"/>
    </row>
    <row r="3531">
      <c r="A3531" s="6" t="n">
        <v>87513</v>
      </c>
      <c r="B3531" s="6" t="inlineStr">
        <is>
          <t>1800 SILVER TEQUILA</t>
        </is>
      </c>
      <c r="C3531" s="7">
        <f>VLOOKUP(A3531,SizeData!A$2:B$3839,2,FALSE)</f>
        <v/>
      </c>
      <c r="D3531" s="6" t="n">
        <v>10</v>
      </c>
      <c r="E3531" s="6" t="inlineStr">
        <is>
          <t>R1202106</t>
        </is>
      </c>
      <c r="F3531" s="2" t="n">
        <v>44411</v>
      </c>
      <c r="G3531" s="1" t="n"/>
    </row>
    <row r="3532">
      <c r="A3532" s="6" t="n">
        <v>87513</v>
      </c>
      <c r="B3532" s="6" t="inlineStr">
        <is>
          <t>1800 SILVER TEQUILA</t>
        </is>
      </c>
      <c r="C3532" s="7">
        <f>VLOOKUP(A3532,SizeData!A$2:B$3839,2,FALSE)</f>
        <v/>
      </c>
      <c r="D3532" s="6" t="n">
        <v>10</v>
      </c>
      <c r="E3532" s="6" t="inlineStr">
        <is>
          <t>R1225343</t>
        </is>
      </c>
      <c r="F3532" s="2" t="n">
        <v>44427</v>
      </c>
      <c r="G3532" s="1" t="n"/>
    </row>
    <row r="3533">
      <c r="A3533" s="6" t="n">
        <v>87513</v>
      </c>
      <c r="B3533" s="6" t="inlineStr">
        <is>
          <t>1800 SILVER TEQUILA</t>
        </is>
      </c>
      <c r="C3533" s="7">
        <f>VLOOKUP(A3533,SizeData!A$2:B$3839,2,FALSE)</f>
        <v/>
      </c>
      <c r="D3533" s="6" t="n">
        <v>5</v>
      </c>
      <c r="E3533" s="6" t="inlineStr">
        <is>
          <t>R1301983</t>
        </is>
      </c>
      <c r="F3533" s="2" t="n">
        <v>44501</v>
      </c>
      <c r="G3533" s="1" t="n"/>
    </row>
    <row r="3534">
      <c r="A3534" s="6" t="n">
        <v>87513</v>
      </c>
      <c r="B3534" s="6" t="inlineStr">
        <is>
          <t>1800 SILVER TEQUILA</t>
        </is>
      </c>
      <c r="C3534" s="7">
        <f>VLOOKUP(A3534,SizeData!A$2:B$3839,2,FALSE)</f>
        <v/>
      </c>
      <c r="D3534" s="6" t="n">
        <v>1</v>
      </c>
      <c r="E3534" s="6" t="inlineStr">
        <is>
          <t>R1294049</t>
        </is>
      </c>
      <c r="F3534" s="2" t="n">
        <v>44501</v>
      </c>
      <c r="G3534" s="1" t="n"/>
    </row>
    <row r="3535">
      <c r="A3535" s="6" t="n">
        <v>87513</v>
      </c>
      <c r="B3535" s="6" t="inlineStr">
        <is>
          <t>1800 SILVER TEQUILA</t>
        </is>
      </c>
      <c r="C3535" s="7">
        <f>VLOOKUP(A3535,SizeData!A$2:B$3839,2,FALSE)</f>
        <v/>
      </c>
      <c r="D3535" s="6" t="n">
        <v>10</v>
      </c>
      <c r="E3535" s="6" t="inlineStr">
        <is>
          <t>R1304788</t>
        </is>
      </c>
      <c r="F3535" s="2" t="n">
        <v>44506</v>
      </c>
      <c r="G3535" s="1" t="n"/>
    </row>
    <row r="3536">
      <c r="A3536" s="6" t="n">
        <v>87513</v>
      </c>
      <c r="B3536" s="6" t="inlineStr">
        <is>
          <t>1800 SILVER TEQUILA</t>
        </is>
      </c>
      <c r="C3536" s="7">
        <f>VLOOKUP(A3536,SizeData!A$2:B$3839,2,FALSE)</f>
        <v/>
      </c>
      <c r="D3536" s="6" t="n">
        <v>2</v>
      </c>
      <c r="E3536" s="6" t="inlineStr">
        <is>
          <t>R1346277</t>
        </is>
      </c>
      <c r="F3536" s="2" t="n">
        <v>44530</v>
      </c>
      <c r="G3536" s="1" t="n"/>
    </row>
    <row r="3537">
      <c r="A3537" s="6" t="n">
        <v>87564</v>
      </c>
      <c r="B3537" s="6" t="inlineStr">
        <is>
          <t>1800 SILVER</t>
        </is>
      </c>
      <c r="C3537" s="7">
        <f>VLOOKUP(A3537,SizeData!A$2:B$3839,2,FALSE)</f>
        <v/>
      </c>
      <c r="D3537" s="6" t="n">
        <v>2</v>
      </c>
      <c r="E3537" s="6" t="inlineStr">
        <is>
          <t>R1013798</t>
        </is>
      </c>
      <c r="F3537" s="2" t="n">
        <v>44246</v>
      </c>
      <c r="G3537" s="1" t="n"/>
    </row>
    <row r="3538">
      <c r="A3538" s="6" t="n">
        <v>87564</v>
      </c>
      <c r="B3538" s="6" t="inlineStr">
        <is>
          <t>1800 SILVER</t>
        </is>
      </c>
      <c r="C3538" s="7">
        <f>VLOOKUP(A3538,SizeData!A$2:B$3839,2,FALSE)</f>
        <v/>
      </c>
      <c r="D3538" s="6" t="n">
        <v>1</v>
      </c>
      <c r="E3538" s="6" t="inlineStr">
        <is>
          <t xml:space="preserve"> R1133829</t>
        </is>
      </c>
      <c r="F3538" s="2" t="n">
        <v>44350</v>
      </c>
      <c r="G3538" s="1" t="n"/>
    </row>
    <row r="3539">
      <c r="A3539" s="6" t="n">
        <v>87564</v>
      </c>
      <c r="B3539" s="6" t="inlineStr">
        <is>
          <t>1800 SILVER</t>
        </is>
      </c>
      <c r="C3539" s="7">
        <f>VLOOKUP(A3539,SizeData!A$2:B$3839,2,FALSE)</f>
        <v/>
      </c>
      <c r="D3539" s="6" t="n">
        <v>1</v>
      </c>
      <c r="E3539" s="6" t="inlineStr">
        <is>
          <t>R1173248</t>
        </is>
      </c>
      <c r="F3539" s="2" t="n">
        <v>44393</v>
      </c>
      <c r="G3539" s="1" t="n"/>
    </row>
    <row r="3540">
      <c r="A3540" s="6" t="n">
        <v>87564</v>
      </c>
      <c r="B3540" s="6" t="inlineStr">
        <is>
          <t>1800 SILVER</t>
        </is>
      </c>
      <c r="C3540" s="7">
        <f>VLOOKUP(A3540,SizeData!A$2:B$3839,2,FALSE)</f>
        <v/>
      </c>
      <c r="D3540" s="6" t="n">
        <v>1</v>
      </c>
      <c r="E3540" s="6" t="inlineStr">
        <is>
          <t>R1261664</t>
        </is>
      </c>
      <c r="F3540" s="2" t="n">
        <v>44467</v>
      </c>
      <c r="G3540" s="1" t="n"/>
    </row>
    <row r="3541">
      <c r="A3541" s="6" t="n">
        <v>87564</v>
      </c>
      <c r="B3541" s="6" t="inlineStr">
        <is>
          <t>1800 SILVER</t>
        </is>
      </c>
      <c r="C3541" s="7">
        <f>VLOOKUP(A3541,SizeData!A$2:B$3839,2,FALSE)</f>
        <v/>
      </c>
      <c r="D3541" s="6" t="n">
        <v>1</v>
      </c>
      <c r="E3541" s="6" t="inlineStr">
        <is>
          <t>R1307558</t>
        </is>
      </c>
      <c r="F3541" s="2" t="n">
        <v>44502</v>
      </c>
      <c r="G3541" s="1" t="n"/>
    </row>
    <row r="3542">
      <c r="A3542" s="6" t="n">
        <v>87564</v>
      </c>
      <c r="B3542" s="6" t="inlineStr">
        <is>
          <t>1800 SILVER</t>
        </is>
      </c>
      <c r="C3542" s="7">
        <f>VLOOKUP(A3542,SizeData!A$2:B$3839,2,FALSE)</f>
        <v/>
      </c>
      <c r="D3542" s="6" t="n">
        <v>1</v>
      </c>
      <c r="E3542" s="6" t="inlineStr">
        <is>
          <t>R1340613</t>
        </is>
      </c>
      <c r="F3542" s="2" t="n">
        <v>44520</v>
      </c>
      <c r="G3542" s="1" t="n"/>
    </row>
    <row r="3543">
      <c r="A3543" s="6" t="n">
        <v>87564</v>
      </c>
      <c r="B3543" s="6" t="inlineStr">
        <is>
          <t>1800 SILVER</t>
        </is>
      </c>
      <c r="C3543" s="7">
        <f>VLOOKUP(A3543,SizeData!A$2:B$3839,2,FALSE)</f>
        <v/>
      </c>
      <c r="D3543" s="6" t="n">
        <v>0</v>
      </c>
      <c r="E3543" s="6" t="inlineStr">
        <is>
          <t>R1314326B</t>
        </is>
      </c>
      <c r="F3543" s="2" t="n">
        <v>44532</v>
      </c>
      <c r="G3543" s="1" t="n"/>
    </row>
    <row r="3544">
      <c r="A3544" s="6" t="n">
        <v>87596</v>
      </c>
      <c r="B3544" s="6" t="inlineStr">
        <is>
          <t>EL MAYOR BLANCO</t>
        </is>
      </c>
      <c r="C3544" s="7">
        <f>VLOOKUP(A3544,SizeData!A$2:B$3839,2,FALSE)</f>
        <v/>
      </c>
      <c r="D3544" s="6" t="n">
        <v>1</v>
      </c>
      <c r="E3544" s="6" t="inlineStr">
        <is>
          <t>R1094763</t>
        </is>
      </c>
      <c r="F3544" s="2" t="n">
        <v>44312</v>
      </c>
      <c r="G3544" s="1" t="n"/>
    </row>
    <row r="3545">
      <c r="A3545" s="6" t="n">
        <v>87619</v>
      </c>
      <c r="B3545" s="6" t="inlineStr">
        <is>
          <t>ESPOLON BLANCO WHITE TEQUILA</t>
        </is>
      </c>
      <c r="C3545" s="7">
        <f>VLOOKUP(A3545,SizeData!A$2:B$3839,2,FALSE)</f>
        <v/>
      </c>
      <c r="D3545" s="6" t="n">
        <v>1</v>
      </c>
      <c r="E3545" s="6" t="inlineStr">
        <is>
          <t>R1072840</t>
        </is>
      </c>
      <c r="F3545" s="2" t="n">
        <v>44286</v>
      </c>
      <c r="G3545" s="1" t="n"/>
    </row>
    <row r="3546">
      <c r="A3546" s="6" t="n">
        <v>87619</v>
      </c>
      <c r="B3546" s="6" t="inlineStr">
        <is>
          <t>ESPOLON BLANCO WHITE TEQUILA</t>
        </is>
      </c>
      <c r="C3546" s="7">
        <f>VLOOKUP(A3546,SizeData!A$2:B$3839,2,FALSE)</f>
        <v/>
      </c>
      <c r="D3546" s="6" t="n">
        <v>1</v>
      </c>
      <c r="E3546" s="6" t="inlineStr">
        <is>
          <t>R1262670</t>
        </is>
      </c>
      <c r="F3546" s="2" t="n">
        <v>44470</v>
      </c>
      <c r="G3546" s="1" t="n"/>
    </row>
    <row r="3547">
      <c r="A3547" s="6" t="n">
        <v>87619</v>
      </c>
      <c r="B3547" s="6" t="inlineStr">
        <is>
          <t>ESPOLON BLANCO WHITE TEQUILA</t>
        </is>
      </c>
      <c r="C3547" s="7">
        <f>VLOOKUP(A3547,SizeData!A$2:B$3839,2,FALSE)</f>
        <v/>
      </c>
      <c r="D3547" s="6" t="n">
        <v>0</v>
      </c>
      <c r="E3547" s="6" t="inlineStr">
        <is>
          <t>R1264756</t>
        </is>
      </c>
      <c r="F3547" s="2" t="n">
        <v>44472</v>
      </c>
      <c r="G3547" s="1" t="n"/>
    </row>
    <row r="3548">
      <c r="A3548" s="6" t="n">
        <v>87619</v>
      </c>
      <c r="B3548" s="6" t="inlineStr">
        <is>
          <t>ESPOLON BLANCO WHITE TEQUILA</t>
        </is>
      </c>
      <c r="C3548" s="7">
        <f>VLOOKUP(A3548,SizeData!A$2:B$3839,2,FALSE)</f>
        <v/>
      </c>
      <c r="D3548" s="6" t="n">
        <v>1</v>
      </c>
      <c r="E3548" s="6" t="inlineStr">
        <is>
          <t>R1284159</t>
        </is>
      </c>
      <c r="F3548" s="2" t="n">
        <v>44488</v>
      </c>
      <c r="G3548" s="1" t="n"/>
    </row>
    <row r="3549">
      <c r="A3549" s="6" t="n">
        <v>87849</v>
      </c>
      <c r="B3549" s="6" t="inlineStr">
        <is>
          <t>HERRADURA SILVER TEQUILA</t>
        </is>
      </c>
      <c r="C3549" s="7">
        <f>VLOOKUP(A3549,SizeData!A$2:B$3839,2,FALSE)</f>
        <v/>
      </c>
      <c r="D3549" s="6" t="n">
        <v>1</v>
      </c>
      <c r="E3549" s="6" t="inlineStr">
        <is>
          <t>R1126618</t>
        </is>
      </c>
      <c r="F3549" s="2" t="n">
        <v>44326</v>
      </c>
      <c r="G3549" s="1" t="n"/>
    </row>
    <row r="3550">
      <c r="A3550" s="6" t="n">
        <v>87849</v>
      </c>
      <c r="B3550" s="6" t="inlineStr">
        <is>
          <t>HERRADURA SILVER TEQUILA</t>
        </is>
      </c>
      <c r="C3550" s="7">
        <f>VLOOKUP(A3550,SizeData!A$2:B$3839,2,FALSE)</f>
        <v/>
      </c>
      <c r="D3550" s="6" t="n">
        <v>2</v>
      </c>
      <c r="E3550" s="6" t="inlineStr">
        <is>
          <t>R1146158</t>
        </is>
      </c>
      <c r="F3550" s="2" t="n">
        <v>44356</v>
      </c>
      <c r="G3550" s="1" t="n"/>
    </row>
    <row r="3551">
      <c r="A3551" s="6" t="n">
        <v>88018</v>
      </c>
      <c r="B3551" s="6" t="inlineStr">
        <is>
          <t>LUNAZUL TEQUILA BLANCO</t>
        </is>
      </c>
      <c r="C3551" s="7">
        <f>VLOOKUP(A3551,SizeData!A$2:B$3839,2,FALSE)</f>
        <v/>
      </c>
      <c r="D3551" s="6" t="n">
        <v>1</v>
      </c>
      <c r="E3551" s="6" t="inlineStr">
        <is>
          <t>R1235270</t>
        </is>
      </c>
      <c r="F3551" s="2" t="n">
        <v>44440</v>
      </c>
      <c r="G3551" s="1" t="n"/>
    </row>
    <row r="3552">
      <c r="A3552" s="6" t="n">
        <v>88095</v>
      </c>
      <c r="B3552" s="6" t="inlineStr">
        <is>
          <t>MI CAMPO BLANCO TEQ</t>
        </is>
      </c>
      <c r="C3552" s="7">
        <f>VLOOKUP(A3552,SizeData!A$2:B$3839,2,FALSE)</f>
        <v/>
      </c>
      <c r="D3552" s="6" t="n">
        <v>1</v>
      </c>
      <c r="E3552" s="6" t="inlineStr">
        <is>
          <t xml:space="preserve"> R1265479</t>
        </is>
      </c>
      <c r="F3552" s="2" t="n">
        <v>44462</v>
      </c>
      <c r="G3552" s="1" t="n"/>
    </row>
    <row r="3553">
      <c r="A3553" s="6" t="n">
        <v>88116</v>
      </c>
      <c r="B3553" s="6" t="inlineStr">
        <is>
          <t>MILAGRO 100% BLUE AGAVE SILVER</t>
        </is>
      </c>
      <c r="C3553" s="7">
        <f>VLOOKUP(A3553,SizeData!A$2:B$3839,2,FALSE)</f>
        <v/>
      </c>
      <c r="D3553" s="6" t="n">
        <v>1</v>
      </c>
      <c r="E3553" s="6" t="inlineStr">
        <is>
          <t>R1135118</t>
        </is>
      </c>
      <c r="F3553" s="2" t="n">
        <v>44321</v>
      </c>
      <c r="G3553" s="1" t="n"/>
    </row>
    <row r="3554">
      <c r="A3554" s="6" t="n">
        <v>88116</v>
      </c>
      <c r="B3554" s="6" t="inlineStr">
        <is>
          <t>MILAGRO 100% BLUE AGAVE SILVER</t>
        </is>
      </c>
      <c r="C3554" s="7">
        <f>VLOOKUP(A3554,SizeData!A$2:B$3839,2,FALSE)</f>
        <v/>
      </c>
      <c r="D3554" s="6" t="n">
        <v>2</v>
      </c>
      <c r="E3554" s="6" t="inlineStr">
        <is>
          <t>R1126618</t>
        </is>
      </c>
      <c r="F3554" s="2" t="n">
        <v>44326</v>
      </c>
      <c r="G3554" s="1" t="n"/>
    </row>
    <row r="3555">
      <c r="A3555" s="6" t="n">
        <v>88148</v>
      </c>
      <c r="B3555" s="6" t="inlineStr">
        <is>
          <t>MONTEZUMA WHITE TEQUILA</t>
        </is>
      </c>
      <c r="C3555" s="7">
        <f>VLOOKUP(A3555,SizeData!A$2:B$3839,2,FALSE)</f>
        <v/>
      </c>
      <c r="D3555" s="6" t="n">
        <v>0</v>
      </c>
      <c r="E3555" s="6" t="inlineStr">
        <is>
          <t>R1234926</t>
        </is>
      </c>
      <c r="F3555" s="2" t="n">
        <v>44448</v>
      </c>
      <c r="G3555" s="1" t="n"/>
    </row>
    <row r="3556">
      <c r="A3556" s="6" t="n">
        <v>88290</v>
      </c>
      <c r="B3556" s="6" t="inlineStr">
        <is>
          <t>PATRON SILVER TEQUILA</t>
        </is>
      </c>
      <c r="C3556" s="7">
        <f>VLOOKUP(A3556,SizeData!A$2:B$3839,2,FALSE)</f>
        <v/>
      </c>
      <c r="D3556" s="6" t="n">
        <v>3</v>
      </c>
      <c r="E3556" s="6" t="inlineStr">
        <is>
          <t>R1102384</t>
        </is>
      </c>
      <c r="F3556" s="2" t="n">
        <v>44314</v>
      </c>
      <c r="G3556" s="1" t="n"/>
    </row>
    <row r="3557">
      <c r="A3557" s="6" t="n">
        <v>88291</v>
      </c>
      <c r="B3557" s="6" t="inlineStr">
        <is>
          <t>PATRON SILVER TEQUILA</t>
        </is>
      </c>
      <c r="C3557" s="7">
        <f>VLOOKUP(A3557,SizeData!A$2:B$3839,2,FALSE)</f>
        <v/>
      </c>
      <c r="D3557" s="6" t="n">
        <v>10</v>
      </c>
      <c r="E3557" s="6" t="inlineStr">
        <is>
          <t>R1126422</t>
        </is>
      </c>
      <c r="F3557" s="2" t="n">
        <v>44322</v>
      </c>
      <c r="G3557" s="1" t="n"/>
    </row>
    <row r="3558">
      <c r="A3558" s="6" t="n">
        <v>88294</v>
      </c>
      <c r="B3558" s="6" t="inlineStr">
        <is>
          <t>PATRON SILVER TEQUILA</t>
        </is>
      </c>
      <c r="C3558" s="7">
        <f>VLOOKUP(A3558,SizeData!A$2:B$3839,2,FALSE)</f>
        <v/>
      </c>
      <c r="D3558" s="6" t="n">
        <v>5</v>
      </c>
      <c r="E3558" s="6" t="inlineStr">
        <is>
          <t xml:space="preserve"> R995100</t>
        </is>
      </c>
      <c r="F3558" s="2" t="n">
        <v>44202</v>
      </c>
      <c r="G3558" s="1" t="n"/>
    </row>
    <row r="3559">
      <c r="A3559" s="6" t="n">
        <v>88294</v>
      </c>
      <c r="B3559" s="6" t="inlineStr">
        <is>
          <t>PATRON SILVER TEQUILA</t>
        </is>
      </c>
      <c r="C3559" s="7">
        <f>VLOOKUP(A3559,SizeData!A$2:B$3839,2,FALSE)</f>
        <v/>
      </c>
      <c r="D3559" s="6" t="n">
        <v>5</v>
      </c>
      <c r="E3559" s="6" t="inlineStr">
        <is>
          <t>R991186</t>
        </is>
      </c>
      <c r="F3559" s="2" t="n">
        <v>44203</v>
      </c>
      <c r="G3559" s="1" t="n"/>
    </row>
    <row r="3560">
      <c r="A3560" s="6" t="n">
        <v>88294</v>
      </c>
      <c r="B3560" s="6" t="inlineStr">
        <is>
          <t>PATRON SILVER TEQUILA</t>
        </is>
      </c>
      <c r="C3560" s="7">
        <f>VLOOKUP(A3560,SizeData!A$2:B$3839,2,FALSE)</f>
        <v/>
      </c>
      <c r="D3560" s="6" t="n">
        <v>10</v>
      </c>
      <c r="E3560" s="6" t="inlineStr">
        <is>
          <t>R1002902</t>
        </is>
      </c>
      <c r="F3560" s="2" t="n">
        <v>44212</v>
      </c>
      <c r="G3560" s="1" t="n"/>
    </row>
    <row r="3561">
      <c r="A3561" s="6" t="n">
        <v>88294</v>
      </c>
      <c r="B3561" s="6" t="inlineStr">
        <is>
          <t>PATRON SILVER TEQUILA</t>
        </is>
      </c>
      <c r="C3561" s="7">
        <f>VLOOKUP(A3561,SizeData!A$2:B$3839,2,FALSE)</f>
        <v/>
      </c>
      <c r="D3561" s="6" t="n">
        <v>10</v>
      </c>
      <c r="E3561" s="6" t="inlineStr">
        <is>
          <t>R1038616</t>
        </is>
      </c>
      <c r="F3561" s="2" t="n">
        <v>44251</v>
      </c>
      <c r="G3561" s="1" t="n"/>
    </row>
    <row r="3562">
      <c r="A3562" s="6" t="n">
        <v>88294</v>
      </c>
      <c r="B3562" s="6" t="inlineStr">
        <is>
          <t>PATRON SILVER TEQUILA</t>
        </is>
      </c>
      <c r="C3562" s="7">
        <f>VLOOKUP(A3562,SizeData!A$2:B$3839,2,FALSE)</f>
        <v/>
      </c>
      <c r="D3562" s="6" t="n">
        <v>2</v>
      </c>
      <c r="E3562" s="6" t="inlineStr">
        <is>
          <t>R1056133</t>
        </is>
      </c>
      <c r="F3562" s="2" t="n">
        <v>44259</v>
      </c>
      <c r="G3562" s="1" t="n"/>
    </row>
    <row r="3563">
      <c r="A3563" s="6" t="n">
        <v>88294</v>
      </c>
      <c r="B3563" s="6" t="inlineStr">
        <is>
          <t>PATRON SILVER TEQUILA</t>
        </is>
      </c>
      <c r="C3563" s="7">
        <f>VLOOKUP(A3563,SizeData!A$2:B$3839,2,FALSE)</f>
        <v/>
      </c>
      <c r="D3563" s="6" t="n">
        <v>10</v>
      </c>
      <c r="E3563" s="6" t="inlineStr">
        <is>
          <t>R1063144</t>
        </is>
      </c>
      <c r="F3563" s="2" t="n">
        <v>44273</v>
      </c>
      <c r="G3563" s="1" t="n"/>
    </row>
    <row r="3564">
      <c r="A3564" s="6" t="n">
        <v>88294</v>
      </c>
      <c r="B3564" s="6" t="inlineStr">
        <is>
          <t>PATRON SILVER TEQUILA</t>
        </is>
      </c>
      <c r="C3564" s="7">
        <f>VLOOKUP(A3564,SizeData!A$2:B$3839,2,FALSE)</f>
        <v/>
      </c>
      <c r="D3564" s="6" t="n">
        <v>15</v>
      </c>
      <c r="E3564" s="6" t="inlineStr">
        <is>
          <t>R1088503</t>
        </is>
      </c>
      <c r="F3564" s="2" t="n">
        <v>44294</v>
      </c>
      <c r="G3564" s="1" t="n"/>
    </row>
    <row r="3565">
      <c r="A3565" s="6" t="n">
        <v>88294</v>
      </c>
      <c r="B3565" s="6" t="inlineStr">
        <is>
          <t>PATRON SILVER TEQUILA</t>
        </is>
      </c>
      <c r="C3565" s="7">
        <f>VLOOKUP(A3565,SizeData!A$2:B$3839,2,FALSE)</f>
        <v/>
      </c>
      <c r="D3565" s="6" t="n">
        <v>10</v>
      </c>
      <c r="E3565" s="6" t="inlineStr">
        <is>
          <t>R1096578</t>
        </is>
      </c>
      <c r="F3565" s="2" t="n">
        <v>44308</v>
      </c>
      <c r="G3565" s="1" t="n"/>
    </row>
    <row r="3566">
      <c r="A3566" s="6" t="n">
        <v>88294</v>
      </c>
      <c r="B3566" s="6" t="inlineStr">
        <is>
          <t>PATRON SILVER TEQUILA</t>
        </is>
      </c>
      <c r="C3566" s="7">
        <f>VLOOKUP(A3566,SizeData!A$2:B$3839,2,FALSE)</f>
        <v/>
      </c>
      <c r="D3566" s="6" t="n">
        <v>10</v>
      </c>
      <c r="E3566" s="6" t="inlineStr">
        <is>
          <t>R1126422</t>
        </is>
      </c>
      <c r="F3566" s="2" t="n">
        <v>44322</v>
      </c>
      <c r="G3566" s="1" t="n"/>
    </row>
    <row r="3567">
      <c r="A3567" s="6" t="n">
        <v>88294</v>
      </c>
      <c r="B3567" s="6" t="inlineStr">
        <is>
          <t>PATRON SILVER TEQUILA</t>
        </is>
      </c>
      <c r="C3567" s="7">
        <f>VLOOKUP(A3567,SizeData!A$2:B$3839,2,FALSE)</f>
        <v/>
      </c>
      <c r="D3567" s="6" t="n">
        <v>15</v>
      </c>
      <c r="E3567" s="6" t="inlineStr">
        <is>
          <t>R1138196</t>
        </is>
      </c>
      <c r="F3567" s="2" t="n">
        <v>44356</v>
      </c>
      <c r="G3567" s="1" t="n"/>
    </row>
    <row r="3568">
      <c r="A3568" s="6" t="n">
        <v>88294</v>
      </c>
      <c r="B3568" s="6" t="inlineStr">
        <is>
          <t>PATRON SILVER TEQUILA</t>
        </is>
      </c>
      <c r="C3568" s="7">
        <f>VLOOKUP(A3568,SizeData!A$2:B$3839,2,FALSE)</f>
        <v/>
      </c>
      <c r="D3568" s="6" t="n">
        <v>20</v>
      </c>
      <c r="E3568" s="6" t="inlineStr">
        <is>
          <t>R1171938</t>
        </is>
      </c>
      <c r="F3568" s="2" t="n">
        <v>44385</v>
      </c>
      <c r="G3568" s="1" t="n"/>
    </row>
    <row r="3569">
      <c r="A3569" s="6" t="n">
        <v>88294</v>
      </c>
      <c r="B3569" s="6" t="inlineStr">
        <is>
          <t>PATRON SILVER TEQUILA</t>
        </is>
      </c>
      <c r="C3569" s="7">
        <f>VLOOKUP(A3569,SizeData!A$2:B$3839,2,FALSE)</f>
        <v/>
      </c>
      <c r="D3569" s="6" t="n">
        <v>10</v>
      </c>
      <c r="E3569" s="6" t="inlineStr">
        <is>
          <t xml:space="preserve"> R1199083</t>
        </is>
      </c>
      <c r="F3569" s="2" t="n">
        <v>44420</v>
      </c>
      <c r="G3569" s="1" t="n"/>
    </row>
    <row r="3570">
      <c r="A3570" s="6" t="n">
        <v>88294</v>
      </c>
      <c r="B3570" s="6" t="inlineStr">
        <is>
          <t>PATRON SILVER TEQUILA</t>
        </is>
      </c>
      <c r="C3570" s="7">
        <f>VLOOKUP(A3570,SizeData!A$2:B$3839,2,FALSE)</f>
        <v/>
      </c>
      <c r="D3570" s="6" t="n">
        <v>10</v>
      </c>
      <c r="E3570" s="6" t="inlineStr">
        <is>
          <t>R1217806</t>
        </is>
      </c>
      <c r="F3570" s="2" t="n">
        <v>44427</v>
      </c>
      <c r="G3570" s="1" t="n"/>
    </row>
    <row r="3571">
      <c r="A3571" s="6" t="n">
        <v>88294</v>
      </c>
      <c r="B3571" s="6" t="inlineStr">
        <is>
          <t>PATRON SILVER TEQUILA</t>
        </is>
      </c>
      <c r="C3571" s="7">
        <f>VLOOKUP(A3571,SizeData!A$2:B$3839,2,FALSE)</f>
        <v/>
      </c>
      <c r="D3571" s="6" t="n">
        <v>10</v>
      </c>
      <c r="E3571" s="6" t="inlineStr">
        <is>
          <t>R1260630</t>
        </is>
      </c>
      <c r="F3571" s="2" t="n">
        <v>44461</v>
      </c>
      <c r="G3571" s="1" t="n"/>
    </row>
    <row r="3572">
      <c r="A3572" s="6" t="n">
        <v>88294</v>
      </c>
      <c r="B3572" s="6" t="inlineStr">
        <is>
          <t>PATRON SILVER TEQUILA</t>
        </is>
      </c>
      <c r="C3572" s="7">
        <f>VLOOKUP(A3572,SizeData!A$2:B$3839,2,FALSE)</f>
        <v/>
      </c>
      <c r="D3572" s="6" t="n">
        <v>2</v>
      </c>
      <c r="E3572" s="6" t="inlineStr">
        <is>
          <t>R1283407</t>
        </is>
      </c>
      <c r="F3572" s="2" t="n">
        <v>44483</v>
      </c>
      <c r="G3572" s="1" t="n"/>
    </row>
    <row r="3573">
      <c r="A3573" s="6" t="n">
        <v>88294</v>
      </c>
      <c r="B3573" s="6" t="inlineStr">
        <is>
          <t>PATRON SILVER TEQUILA</t>
        </is>
      </c>
      <c r="C3573" s="7">
        <f>VLOOKUP(A3573,SizeData!A$2:B$3839,2,FALSE)</f>
        <v/>
      </c>
      <c r="D3573" s="6" t="n">
        <v>10</v>
      </c>
      <c r="E3573" s="6" t="inlineStr">
        <is>
          <t>R1287547</t>
        </is>
      </c>
      <c r="F3573" s="2" t="n">
        <v>44490</v>
      </c>
      <c r="G3573" s="1" t="n"/>
    </row>
    <row r="3574">
      <c r="A3574" s="6" t="n">
        <v>88294</v>
      </c>
      <c r="B3574" s="6" t="inlineStr">
        <is>
          <t>PATRON SILVER TEQUILA</t>
        </is>
      </c>
      <c r="C3574" s="7">
        <f>VLOOKUP(A3574,SizeData!A$2:B$3839,2,FALSE)</f>
        <v/>
      </c>
      <c r="D3574" s="6" t="n">
        <v>9</v>
      </c>
      <c r="E3574" s="6" t="inlineStr">
        <is>
          <t>R1318205</t>
        </is>
      </c>
      <c r="F3574" s="2" t="n">
        <v>44509</v>
      </c>
      <c r="G3574" s="1" t="n"/>
    </row>
    <row r="3575">
      <c r="A3575" s="6" t="n">
        <v>88294</v>
      </c>
      <c r="B3575" s="6" t="inlineStr">
        <is>
          <t>PATRON SILVER TEQUILA</t>
        </is>
      </c>
      <c r="C3575" s="7">
        <f>VLOOKUP(A3575,SizeData!A$2:B$3839,2,FALSE)</f>
        <v/>
      </c>
      <c r="D3575" s="6" t="n">
        <v>5</v>
      </c>
      <c r="E3575" s="6" t="inlineStr">
        <is>
          <t>R1313784</t>
        </is>
      </c>
      <c r="F3575" s="2" t="n">
        <v>44517</v>
      </c>
      <c r="G3575" s="1" t="n"/>
    </row>
    <row r="3576">
      <c r="A3576" s="6" t="n">
        <v>88296</v>
      </c>
      <c r="B3576" s="6" t="inlineStr">
        <is>
          <t>PATRON SILVER TEQUILA</t>
        </is>
      </c>
      <c r="C3576" s="7">
        <f>VLOOKUP(A3576,SizeData!A$2:B$3839,2,FALSE)</f>
        <v/>
      </c>
      <c r="D3576" s="6" t="n">
        <v>10</v>
      </c>
      <c r="E3576" s="6" t="inlineStr">
        <is>
          <t>R1025844</t>
        </is>
      </c>
      <c r="F3576" s="2" t="n">
        <v>44230</v>
      </c>
      <c r="G3576" s="1" t="n"/>
    </row>
    <row r="3577">
      <c r="A3577" s="6" t="n">
        <v>88296</v>
      </c>
      <c r="B3577" s="6" t="inlineStr">
        <is>
          <t>PATRON SILVER TEQUILA</t>
        </is>
      </c>
      <c r="C3577" s="7">
        <f>VLOOKUP(A3577,SizeData!A$2:B$3839,2,FALSE)</f>
        <v/>
      </c>
      <c r="D3577" s="6" t="n">
        <v>3</v>
      </c>
      <c r="E3577" s="6" t="inlineStr">
        <is>
          <t>R1018600</t>
        </is>
      </c>
      <c r="F3577" s="2" t="n">
        <v>44241</v>
      </c>
      <c r="G3577" s="1" t="n"/>
    </row>
    <row r="3578">
      <c r="A3578" s="6" t="n">
        <v>88296</v>
      </c>
      <c r="B3578" s="6" t="inlineStr">
        <is>
          <t>PATRON SILVER TEQUILA</t>
        </is>
      </c>
      <c r="C3578" s="7">
        <f>VLOOKUP(A3578,SizeData!A$2:B$3839,2,FALSE)</f>
        <v/>
      </c>
      <c r="D3578" s="6" t="n">
        <v>3</v>
      </c>
      <c r="E3578" s="6" t="inlineStr">
        <is>
          <t>R1028665</t>
        </is>
      </c>
      <c r="F3578" s="2" t="n">
        <v>44247</v>
      </c>
      <c r="G3578" s="1" t="n"/>
    </row>
    <row r="3579">
      <c r="A3579" s="6" t="n">
        <v>88296</v>
      </c>
      <c r="B3579" s="6" t="inlineStr">
        <is>
          <t>PATRON SILVER TEQUILA</t>
        </is>
      </c>
      <c r="C3579" s="7">
        <f>VLOOKUP(A3579,SizeData!A$2:B$3839,2,FALSE)</f>
        <v/>
      </c>
      <c r="D3579" s="6" t="n">
        <v>7</v>
      </c>
      <c r="E3579" s="6" t="inlineStr">
        <is>
          <t>R1056133</t>
        </is>
      </c>
      <c r="F3579" s="2" t="n">
        <v>44259</v>
      </c>
      <c r="G3579" s="1" t="n"/>
    </row>
    <row r="3580">
      <c r="A3580" s="6" t="n">
        <v>88296</v>
      </c>
      <c r="B3580" s="6" t="inlineStr">
        <is>
          <t>PATRON SILVER TEQUILA</t>
        </is>
      </c>
      <c r="C3580" s="7">
        <f>VLOOKUP(A3580,SizeData!A$2:B$3839,2,FALSE)</f>
        <v/>
      </c>
      <c r="D3580" s="6" t="n">
        <v>8</v>
      </c>
      <c r="E3580" s="6" t="inlineStr">
        <is>
          <t>R1054120</t>
        </is>
      </c>
      <c r="F3580" s="2" t="n">
        <v>44268</v>
      </c>
      <c r="G3580" s="1" t="n"/>
    </row>
    <row r="3581">
      <c r="A3581" s="6" t="n">
        <v>88296</v>
      </c>
      <c r="B3581" s="6" t="inlineStr">
        <is>
          <t>PATRON SILVER TEQUILA</t>
        </is>
      </c>
      <c r="C3581" s="7">
        <f>VLOOKUP(A3581,SizeData!A$2:B$3839,2,FALSE)</f>
        <v/>
      </c>
      <c r="D3581" s="6" t="n">
        <v>15</v>
      </c>
      <c r="E3581" s="6" t="inlineStr">
        <is>
          <t>R1096578</t>
        </is>
      </c>
      <c r="F3581" s="2" t="n">
        <v>44308</v>
      </c>
      <c r="G3581" s="1" t="n"/>
    </row>
    <row r="3582">
      <c r="A3582" s="6" t="n">
        <v>88296</v>
      </c>
      <c r="B3582" s="6" t="inlineStr">
        <is>
          <t>PATRON SILVER TEQUILA</t>
        </is>
      </c>
      <c r="C3582" s="7">
        <f>VLOOKUP(A3582,SizeData!A$2:B$3839,2,FALSE)</f>
        <v/>
      </c>
      <c r="D3582" s="6" t="n">
        <v>5</v>
      </c>
      <c r="E3582" s="6" t="inlineStr">
        <is>
          <t>R1120446</t>
        </is>
      </c>
      <c r="F3582" s="2" t="n">
        <v>44321</v>
      </c>
      <c r="G3582" s="1" t="n"/>
    </row>
    <row r="3583">
      <c r="A3583" s="6" t="n">
        <v>88296</v>
      </c>
      <c r="B3583" s="6" t="inlineStr">
        <is>
          <t>PATRON SILVER TEQUILA</t>
        </is>
      </c>
      <c r="C3583" s="7">
        <f>VLOOKUP(A3583,SizeData!A$2:B$3839,2,FALSE)</f>
        <v/>
      </c>
      <c r="D3583" s="6" t="n">
        <v>10</v>
      </c>
      <c r="E3583" s="6" t="inlineStr">
        <is>
          <t>R1121598</t>
        </is>
      </c>
      <c r="F3583" s="2" t="n">
        <v>44335</v>
      </c>
      <c r="G3583" s="1" t="n"/>
    </row>
    <row r="3584">
      <c r="A3584" s="6" t="n">
        <v>88296</v>
      </c>
      <c r="B3584" s="6" t="inlineStr">
        <is>
          <t>PATRON SILVER TEQUILA</t>
        </is>
      </c>
      <c r="C3584" s="7">
        <f>VLOOKUP(A3584,SizeData!A$2:B$3839,2,FALSE)</f>
        <v/>
      </c>
      <c r="D3584" s="6" t="n">
        <v>10</v>
      </c>
      <c r="E3584" s="6" t="inlineStr">
        <is>
          <t>R1145870</t>
        </is>
      </c>
      <c r="F3584" s="2" t="n">
        <v>44357</v>
      </c>
      <c r="G3584" s="1" t="n"/>
    </row>
    <row r="3585">
      <c r="A3585" s="6" t="n">
        <v>88296</v>
      </c>
      <c r="B3585" s="6" t="inlineStr">
        <is>
          <t>PATRON SILVER TEQUILA</t>
        </is>
      </c>
      <c r="C3585" s="7">
        <f>VLOOKUP(A3585,SizeData!A$2:B$3839,2,FALSE)</f>
        <v/>
      </c>
      <c r="D3585" s="6" t="n">
        <v>10</v>
      </c>
      <c r="E3585" s="6" t="inlineStr">
        <is>
          <t>R1152857</t>
        </is>
      </c>
      <c r="F3585" s="2" t="n">
        <v>44370</v>
      </c>
      <c r="G3585" s="1" t="n"/>
    </row>
    <row r="3586">
      <c r="A3586" s="6" t="n">
        <v>88296</v>
      </c>
      <c r="B3586" s="6" t="inlineStr">
        <is>
          <t>PATRON SILVER TEQUILA</t>
        </is>
      </c>
      <c r="C3586" s="7">
        <f>VLOOKUP(A3586,SizeData!A$2:B$3839,2,FALSE)</f>
        <v/>
      </c>
      <c r="D3586" s="6" t="n">
        <v>8</v>
      </c>
      <c r="E3586" s="6" t="inlineStr">
        <is>
          <t>R1163734</t>
        </is>
      </c>
      <c r="F3586" s="2" t="n">
        <v>44377</v>
      </c>
      <c r="G3586" s="1" t="n"/>
    </row>
    <row r="3587">
      <c r="A3587" s="6" t="n">
        <v>88296</v>
      </c>
      <c r="B3587" s="6" t="inlineStr">
        <is>
          <t>PATRON SILVER TEQUILA</t>
        </is>
      </c>
      <c r="C3587" s="7">
        <f>VLOOKUP(A3587,SizeData!A$2:B$3839,2,FALSE)</f>
        <v/>
      </c>
      <c r="D3587" s="6" t="n">
        <v>10</v>
      </c>
      <c r="E3587" s="6" t="inlineStr">
        <is>
          <t>R1171938</t>
        </is>
      </c>
      <c r="F3587" s="2" t="n">
        <v>44385</v>
      </c>
      <c r="G3587" s="1" t="n"/>
    </row>
    <row r="3588">
      <c r="A3588" s="6" t="n">
        <v>88296</v>
      </c>
      <c r="B3588" s="6" t="inlineStr">
        <is>
          <t>PATRON SILVER TEQUILA</t>
        </is>
      </c>
      <c r="C3588" s="7">
        <f>VLOOKUP(A3588,SizeData!A$2:B$3839,2,FALSE)</f>
        <v/>
      </c>
      <c r="D3588" s="6" t="n">
        <v>10</v>
      </c>
      <c r="E3588" s="6" t="inlineStr">
        <is>
          <t>R1230507</t>
        </is>
      </c>
      <c r="F3588" s="2" t="n">
        <v>44426</v>
      </c>
      <c r="G3588" s="1" t="n"/>
    </row>
    <row r="3589">
      <c r="A3589" s="6" t="n">
        <v>88296</v>
      </c>
      <c r="B3589" s="6" t="inlineStr">
        <is>
          <t>PATRON SILVER TEQUILA</t>
        </is>
      </c>
      <c r="C3589" s="7">
        <f>VLOOKUP(A3589,SizeData!A$2:B$3839,2,FALSE)</f>
        <v/>
      </c>
      <c r="D3589" s="6" t="n">
        <v>10</v>
      </c>
      <c r="E3589" s="6" t="inlineStr">
        <is>
          <t>R1251513</t>
        </is>
      </c>
      <c r="F3589" s="2" t="n">
        <v>44455</v>
      </c>
      <c r="G3589" s="1" t="n"/>
    </row>
    <row r="3590">
      <c r="A3590" s="6" t="n">
        <v>88296</v>
      </c>
      <c r="B3590" s="6" t="inlineStr">
        <is>
          <t>PATRON SILVER TEQUILA</t>
        </is>
      </c>
      <c r="C3590" s="7">
        <f>VLOOKUP(A3590,SizeData!A$2:B$3839,2,FALSE)</f>
        <v/>
      </c>
      <c r="D3590" s="6" t="n">
        <v>10</v>
      </c>
      <c r="E3590" s="6" t="inlineStr">
        <is>
          <t xml:space="preserve"> R1254141</t>
        </is>
      </c>
      <c r="F3590" s="2" t="n">
        <v>44468</v>
      </c>
      <c r="G3590" s="1" t="n"/>
    </row>
    <row r="3591">
      <c r="A3591" s="6" t="n">
        <v>88296</v>
      </c>
      <c r="B3591" s="6" t="inlineStr">
        <is>
          <t>PATRON SILVER TEQUILA</t>
        </is>
      </c>
      <c r="C3591" s="7">
        <f>VLOOKUP(A3591,SizeData!A$2:B$3839,2,FALSE)</f>
        <v/>
      </c>
      <c r="D3591" s="6" t="n">
        <v>10</v>
      </c>
      <c r="E3591" s="6" t="inlineStr">
        <is>
          <t>R1283407</t>
        </is>
      </c>
      <c r="F3591" s="2" t="n">
        <v>44483</v>
      </c>
      <c r="G3591" s="1" t="n"/>
    </row>
    <row r="3592">
      <c r="A3592" s="6" t="n">
        <v>88296</v>
      </c>
      <c r="B3592" s="6" t="inlineStr">
        <is>
          <t>PATRON SILVER TEQUILA</t>
        </is>
      </c>
      <c r="C3592" s="7">
        <f>VLOOKUP(A3592,SizeData!A$2:B$3839,2,FALSE)</f>
        <v/>
      </c>
      <c r="D3592" s="6" t="n">
        <v>10</v>
      </c>
      <c r="E3592" s="6" t="inlineStr">
        <is>
          <t>R1287547</t>
        </is>
      </c>
      <c r="F3592" s="2" t="n">
        <v>44490</v>
      </c>
      <c r="G3592" s="1" t="n"/>
    </row>
    <row r="3593">
      <c r="A3593" s="6" t="n">
        <v>88296</v>
      </c>
      <c r="B3593" s="6" t="inlineStr">
        <is>
          <t>PATRON SILVER TEQUILA</t>
        </is>
      </c>
      <c r="C3593" s="7">
        <f>VLOOKUP(A3593,SizeData!A$2:B$3839,2,FALSE)</f>
        <v/>
      </c>
      <c r="D3593" s="6" t="n">
        <v>10</v>
      </c>
      <c r="E3593" s="6" t="inlineStr">
        <is>
          <t>R1341803</t>
        </is>
      </c>
      <c r="F3593" s="2" t="n">
        <v>44524</v>
      </c>
      <c r="G3593" s="1" t="n"/>
    </row>
    <row r="3594">
      <c r="A3594" s="6" t="n">
        <v>88298</v>
      </c>
      <c r="B3594" s="6" t="inlineStr">
        <is>
          <t>PATRON SILVER TEQUILA</t>
        </is>
      </c>
      <c r="C3594" s="7">
        <f>VLOOKUP(A3594,SizeData!A$2:B$3839,2,FALSE)</f>
        <v/>
      </c>
      <c r="D3594" s="6" t="n">
        <v>5</v>
      </c>
      <c r="E3594" s="6" t="inlineStr">
        <is>
          <t>R1122902</t>
        </is>
      </c>
      <c r="F3594" s="2" t="n">
        <v>44329</v>
      </c>
      <c r="G3594" s="1" t="n"/>
    </row>
    <row r="3595">
      <c r="A3595" s="6" t="n">
        <v>88298</v>
      </c>
      <c r="B3595" s="6" t="inlineStr">
        <is>
          <t>PATRON SILVER TEQUILA</t>
        </is>
      </c>
      <c r="C3595" s="7">
        <f>VLOOKUP(A3595,SizeData!A$2:B$3839,2,FALSE)</f>
        <v/>
      </c>
      <c r="D3595" s="6" t="n">
        <v>5</v>
      </c>
      <c r="E3595" s="6" t="inlineStr">
        <is>
          <t>R1152857</t>
        </is>
      </c>
      <c r="F3595" s="2" t="n">
        <v>44370</v>
      </c>
      <c r="G3595" s="1" t="n"/>
    </row>
    <row r="3596">
      <c r="A3596" s="6" t="n">
        <v>88298</v>
      </c>
      <c r="B3596" s="6" t="inlineStr">
        <is>
          <t>PATRON SILVER TEQUILA</t>
        </is>
      </c>
      <c r="C3596" s="7">
        <f>VLOOKUP(A3596,SizeData!A$2:B$3839,2,FALSE)</f>
        <v/>
      </c>
      <c r="D3596" s="6" t="n">
        <v>5</v>
      </c>
      <c r="E3596" s="6" t="inlineStr">
        <is>
          <t>R1171938</t>
        </is>
      </c>
      <c r="F3596" s="2" t="n">
        <v>44385</v>
      </c>
      <c r="G3596" s="1" t="n"/>
    </row>
    <row r="3597">
      <c r="A3597" s="6" t="n">
        <v>88298</v>
      </c>
      <c r="B3597" s="6" t="inlineStr">
        <is>
          <t>PATRON SILVER TEQUILA</t>
        </is>
      </c>
      <c r="C3597" s="7">
        <f>VLOOKUP(A3597,SizeData!A$2:B$3839,2,FALSE)</f>
        <v/>
      </c>
      <c r="D3597" s="6" t="n">
        <v>5</v>
      </c>
      <c r="E3597" s="6" t="inlineStr">
        <is>
          <t xml:space="preserve"> R1199083</t>
        </is>
      </c>
      <c r="F3597" s="2" t="n">
        <v>44420</v>
      </c>
      <c r="G3597" s="1" t="n"/>
    </row>
    <row r="3598">
      <c r="A3598" s="6" t="n">
        <v>88298</v>
      </c>
      <c r="B3598" s="6" t="inlineStr">
        <is>
          <t>PATRON SILVER TEQUILA</t>
        </is>
      </c>
      <c r="C3598" s="7">
        <f>VLOOKUP(A3598,SizeData!A$2:B$3839,2,FALSE)</f>
        <v/>
      </c>
      <c r="D3598" s="6" t="n">
        <v>5</v>
      </c>
      <c r="E3598" s="6" t="inlineStr">
        <is>
          <t>R1241090</t>
        </is>
      </c>
      <c r="F3598" s="2" t="n">
        <v>44448</v>
      </c>
      <c r="G3598" s="1" t="n"/>
    </row>
    <row r="3599">
      <c r="A3599" s="6" t="n">
        <v>88298</v>
      </c>
      <c r="B3599" s="6" t="inlineStr">
        <is>
          <t>PATRON SILVER TEQUILA</t>
        </is>
      </c>
      <c r="C3599" s="7">
        <f>VLOOKUP(A3599,SizeData!A$2:B$3839,2,FALSE)</f>
        <v/>
      </c>
      <c r="D3599" s="6" t="n">
        <v>5</v>
      </c>
      <c r="E3599" s="6" t="inlineStr">
        <is>
          <t>R1283407</t>
        </is>
      </c>
      <c r="F3599" s="2" t="n">
        <v>44483</v>
      </c>
      <c r="G3599" s="1" t="n"/>
    </row>
    <row r="3600">
      <c r="A3600" s="6" t="n">
        <v>88298</v>
      </c>
      <c r="B3600" s="6" t="inlineStr">
        <is>
          <t>PATRON SILVER TEQUILA</t>
        </is>
      </c>
      <c r="C3600" s="7">
        <f>VLOOKUP(A3600,SizeData!A$2:B$3839,2,FALSE)</f>
        <v/>
      </c>
      <c r="D3600" s="6" t="n">
        <v>5</v>
      </c>
      <c r="E3600" s="6" t="inlineStr">
        <is>
          <t>R1350820</t>
        </is>
      </c>
      <c r="F3600" s="2" t="n">
        <v>44531</v>
      </c>
      <c r="G3600" s="1" t="n"/>
    </row>
    <row r="3601">
      <c r="A3601" s="6" t="n">
        <v>88300</v>
      </c>
      <c r="B3601" s="6" t="inlineStr">
        <is>
          <t>GRAN PATRON PLATINUM SILVER TEQUILA</t>
        </is>
      </c>
      <c r="C3601" s="7">
        <f>VLOOKUP(A3601,SizeData!A$2:B$3839,2,FALSE)</f>
        <v/>
      </c>
      <c r="D3601" s="6" t="n">
        <v>0</v>
      </c>
      <c r="E3601" s="6" t="inlineStr">
        <is>
          <t>R1258650</t>
        </is>
      </c>
      <c r="F3601" s="2" t="n">
        <v>44469</v>
      </c>
      <c r="G3601" s="1" t="n"/>
    </row>
    <row r="3602">
      <c r="A3602" s="6" t="n">
        <v>88300</v>
      </c>
      <c r="B3602" s="6" t="inlineStr">
        <is>
          <t>GRAN PATRON PLATINUM SILVER TEQUILA</t>
        </is>
      </c>
      <c r="C3602" s="7">
        <f>VLOOKUP(A3602,SizeData!A$2:B$3839,2,FALSE)</f>
        <v/>
      </c>
      <c r="D3602" s="6" t="n">
        <v>2</v>
      </c>
      <c r="E3602" s="6" t="inlineStr">
        <is>
          <t>R1313784A</t>
        </is>
      </c>
      <c r="F3602" s="2" t="n">
        <v>44503</v>
      </c>
      <c r="G3602" s="1" t="n"/>
    </row>
    <row r="3603">
      <c r="A3603" s="6" t="n">
        <v>88315</v>
      </c>
      <c r="B3603" s="6" t="inlineStr">
        <is>
          <t>PATRON SILVER ESTATE RELEASE</t>
        </is>
      </c>
      <c r="C3603" s="7">
        <f>VLOOKUP(A3603,SizeData!A$2:B$3839,2,FALSE)</f>
        <v/>
      </c>
      <c r="D3603" s="6" t="n">
        <v>0</v>
      </c>
      <c r="E3603" s="6" t="inlineStr">
        <is>
          <t>R1241985</t>
        </is>
      </c>
      <c r="F3603" s="2" t="n">
        <v>44450</v>
      </c>
      <c r="G3603" s="1" t="n"/>
    </row>
    <row r="3604">
      <c r="A3604" s="6" t="n">
        <v>88354</v>
      </c>
      <c r="B3604" s="6" t="inlineStr">
        <is>
          <t>TEREMANA BLANCO TEQUILA</t>
        </is>
      </c>
      <c r="C3604" s="7">
        <f>VLOOKUP(A3604,SizeData!A$2:B$3839,2,FALSE)</f>
        <v/>
      </c>
      <c r="D3604" s="6" t="n">
        <v>0</v>
      </c>
      <c r="E3604" s="6" t="inlineStr">
        <is>
          <t>R1261664</t>
        </is>
      </c>
      <c r="F3604" s="2" t="n">
        <v>44467</v>
      </c>
      <c r="G3604" s="1" t="n"/>
    </row>
    <row r="3605">
      <c r="A3605" s="6" t="n">
        <v>88354</v>
      </c>
      <c r="B3605" s="6" t="inlineStr">
        <is>
          <t>TEREMANA BLANCO TEQUILA</t>
        </is>
      </c>
      <c r="C3605" s="7">
        <f>VLOOKUP(A3605,SizeData!A$2:B$3839,2,FALSE)</f>
        <v/>
      </c>
      <c r="D3605" s="6" t="n">
        <v>1</v>
      </c>
      <c r="E3605" s="6" t="inlineStr">
        <is>
          <t>R1270963</t>
        </is>
      </c>
      <c r="F3605" s="2" t="n">
        <v>44470</v>
      </c>
      <c r="G3605" s="1" t="n"/>
    </row>
    <row r="3606">
      <c r="A3606" s="6" t="n">
        <v>88354</v>
      </c>
      <c r="B3606" s="6" t="inlineStr">
        <is>
          <t>TEREMANA BLANCO TEQUILA</t>
        </is>
      </c>
      <c r="C3606" s="7">
        <f>VLOOKUP(A3606,SizeData!A$2:B$3839,2,FALSE)</f>
        <v/>
      </c>
      <c r="D3606" s="6" t="n">
        <v>1</v>
      </c>
      <c r="E3606" s="6" t="inlineStr">
        <is>
          <t>R1277647</t>
        </is>
      </c>
      <c r="F3606" s="2" t="n">
        <v>44484</v>
      </c>
      <c r="G3606" s="1" t="n"/>
    </row>
    <row r="3607">
      <c r="A3607" s="6" t="n">
        <v>88354</v>
      </c>
      <c r="B3607" s="6" t="inlineStr">
        <is>
          <t>TEREMANA BLANCO TEQUILA</t>
        </is>
      </c>
      <c r="C3607" s="7">
        <f>VLOOKUP(A3607,SizeData!A$2:B$3839,2,FALSE)</f>
        <v/>
      </c>
      <c r="D3607" s="6" t="n">
        <v>0</v>
      </c>
      <c r="E3607" s="6" t="inlineStr">
        <is>
          <t>R1320744</t>
        </is>
      </c>
      <c r="F3607" s="2" t="n">
        <v>44509</v>
      </c>
      <c r="G3607" s="1" t="n"/>
    </row>
    <row r="3608">
      <c r="A3608" s="6" t="n">
        <v>88354</v>
      </c>
      <c r="B3608" s="6" t="inlineStr">
        <is>
          <t>TEREMANA BLANCO TEQUILA</t>
        </is>
      </c>
      <c r="C3608" s="7">
        <f>VLOOKUP(A3608,SizeData!A$2:B$3839,2,FALSE)</f>
        <v/>
      </c>
      <c r="D3608" s="6" t="n">
        <v>2</v>
      </c>
      <c r="E3608" s="6" t="inlineStr">
        <is>
          <t>R1329660</t>
        </is>
      </c>
      <c r="F3608" s="2" t="n">
        <v>44525</v>
      </c>
      <c r="G3608" s="1" t="n"/>
    </row>
    <row r="3609">
      <c r="A3609" s="6" t="n">
        <v>88356</v>
      </c>
      <c r="B3609" s="6" t="inlineStr">
        <is>
          <t>PROSPERO BLANCO TEQUILA</t>
        </is>
      </c>
      <c r="C3609" s="7">
        <f>VLOOKUP(A3609,SizeData!A$2:B$3839,2,FALSE)</f>
        <v/>
      </c>
      <c r="D3609" s="6" t="n">
        <v>1</v>
      </c>
      <c r="E3609" s="6" t="inlineStr">
        <is>
          <t>R1027826</t>
        </is>
      </c>
      <c r="F3609" s="2" t="n">
        <v>44229</v>
      </c>
      <c r="G3609" s="1" t="n"/>
    </row>
    <row r="3610">
      <c r="A3610" s="6" t="n">
        <v>88369</v>
      </c>
      <c r="B3610" s="6" t="inlineStr">
        <is>
          <t>TEREMANA REPOSADO TEQUILA</t>
        </is>
      </c>
      <c r="C3610" s="7">
        <f>VLOOKUP(A3610,SizeData!A$2:B$3839,2,FALSE)</f>
        <v/>
      </c>
      <c r="D3610" s="6" t="n">
        <v>1</v>
      </c>
      <c r="E3610" s="6" t="inlineStr">
        <is>
          <t>R1209774</t>
        </is>
      </c>
      <c r="F3610" s="2" t="n">
        <v>44433</v>
      </c>
      <c r="G3610" s="1" t="n"/>
    </row>
    <row r="3611">
      <c r="A3611" s="6" t="n">
        <v>88369</v>
      </c>
      <c r="B3611" s="6" t="inlineStr">
        <is>
          <t>TEREMANA REPOSADO TEQUILA</t>
        </is>
      </c>
      <c r="C3611" s="7">
        <f>VLOOKUP(A3611,SizeData!A$2:B$3839,2,FALSE)</f>
        <v/>
      </c>
      <c r="D3611" s="6" t="n">
        <v>1</v>
      </c>
      <c r="E3611" s="6" t="inlineStr">
        <is>
          <t>R1261664</t>
        </is>
      </c>
      <c r="F3611" s="2" t="n">
        <v>44467</v>
      </c>
      <c r="G3611" s="1" t="n"/>
    </row>
    <row r="3612">
      <c r="A3612" s="6" t="n">
        <v>88371</v>
      </c>
      <c r="B3612" s="6" t="inlineStr">
        <is>
          <t>TEREMANA BLANCO TEQUILA</t>
        </is>
      </c>
      <c r="C3612" s="7">
        <f>VLOOKUP(A3612,SizeData!A$2:B$3839,2,FALSE)</f>
        <v/>
      </c>
      <c r="D3612" s="6" t="n">
        <v>4</v>
      </c>
      <c r="E3612" s="6" t="inlineStr">
        <is>
          <t>R1050757</t>
        </is>
      </c>
      <c r="F3612" s="2" t="n">
        <v>44258</v>
      </c>
      <c r="G3612" s="1" t="n"/>
    </row>
    <row r="3613">
      <c r="A3613" s="6" t="n">
        <v>88371</v>
      </c>
      <c r="B3613" s="6" t="inlineStr">
        <is>
          <t>TEREMANA BLANCO TEQUILA</t>
        </is>
      </c>
      <c r="C3613" s="7">
        <f>VLOOKUP(A3613,SizeData!A$2:B$3839,2,FALSE)</f>
        <v/>
      </c>
      <c r="D3613" s="6" t="n">
        <v>1</v>
      </c>
      <c r="E3613" s="6" t="inlineStr">
        <is>
          <t>R1231184</t>
        </is>
      </c>
      <c r="F3613" s="2" t="n">
        <v>44443</v>
      </c>
      <c r="G3613" s="1" t="n"/>
    </row>
    <row r="3614">
      <c r="A3614" s="6" t="n">
        <v>88371</v>
      </c>
      <c r="B3614" s="6" t="inlineStr">
        <is>
          <t>TEREMANA BLANCO TEQUILA</t>
        </is>
      </c>
      <c r="C3614" s="7">
        <f>VLOOKUP(A3614,SizeData!A$2:B$3839,2,FALSE)</f>
        <v/>
      </c>
      <c r="D3614" s="6" t="n">
        <v>0</v>
      </c>
      <c r="E3614" s="6" t="inlineStr">
        <is>
          <t>R1246630</t>
        </is>
      </c>
      <c r="F3614" s="2" t="n">
        <v>44450</v>
      </c>
      <c r="G3614" s="1" t="n"/>
    </row>
    <row r="3615">
      <c r="A3615" s="6" t="n">
        <v>88371</v>
      </c>
      <c r="B3615" s="6" t="inlineStr">
        <is>
          <t>TEREMANA BLANCO TEQUILA</t>
        </is>
      </c>
      <c r="C3615" s="7">
        <f>VLOOKUP(A3615,SizeData!A$2:B$3839,2,FALSE)</f>
        <v/>
      </c>
      <c r="D3615" s="6" t="n">
        <v>0</v>
      </c>
      <c r="E3615" s="6" t="inlineStr">
        <is>
          <t>R1261664</t>
        </is>
      </c>
      <c r="F3615" s="2" t="n">
        <v>44467</v>
      </c>
      <c r="G3615" s="1" t="n"/>
    </row>
    <row r="3616">
      <c r="A3616" s="6" t="n">
        <v>88371</v>
      </c>
      <c r="B3616" s="6" t="inlineStr">
        <is>
          <t>TEREMANA BLANCO TEQUILA</t>
        </is>
      </c>
      <c r="C3616" s="7">
        <f>VLOOKUP(A3616,SizeData!A$2:B$3839,2,FALSE)</f>
        <v/>
      </c>
      <c r="D3616" s="6" t="n">
        <v>0</v>
      </c>
      <c r="E3616" s="6" t="inlineStr">
        <is>
          <t>R1301983</t>
        </is>
      </c>
      <c r="F3616" s="2" t="n">
        <v>44501</v>
      </c>
      <c r="G3616" s="1" t="n"/>
    </row>
    <row r="3617">
      <c r="A3617" s="6" t="n">
        <v>88371</v>
      </c>
      <c r="B3617" s="6" t="inlineStr">
        <is>
          <t>TEREMANA BLANCO TEQUILA</t>
        </is>
      </c>
      <c r="C3617" s="7">
        <f>VLOOKUP(A3617,SizeData!A$2:B$3839,2,FALSE)</f>
        <v/>
      </c>
      <c r="D3617" s="6" t="n">
        <v>15</v>
      </c>
      <c r="E3617" s="6" t="inlineStr">
        <is>
          <t>R1304830</t>
        </is>
      </c>
      <c r="F3617" s="2" t="n">
        <v>44502</v>
      </c>
      <c r="G3617" s="1" t="n"/>
    </row>
    <row r="3618">
      <c r="A3618" s="6" t="n">
        <v>88372</v>
      </c>
      <c r="B3618" s="6" t="inlineStr">
        <is>
          <t>TEREMANA REPOSADO TEQUILA</t>
        </is>
      </c>
      <c r="C3618" s="7">
        <f>VLOOKUP(A3618,SizeData!A$2:B$3839,2,FALSE)</f>
        <v/>
      </c>
      <c r="D3618" s="6" t="n">
        <v>3</v>
      </c>
      <c r="E3618" s="6" t="inlineStr">
        <is>
          <t>R1050757</t>
        </is>
      </c>
      <c r="F3618" s="2" t="n">
        <v>44258</v>
      </c>
      <c r="G3618" s="1" t="n"/>
    </row>
    <row r="3619">
      <c r="A3619" s="6" t="n">
        <v>88372</v>
      </c>
      <c r="B3619" s="6" t="inlineStr">
        <is>
          <t>TEREMANA REPOSADO TEQUILA</t>
        </is>
      </c>
      <c r="C3619" s="7">
        <f>VLOOKUP(A3619,SizeData!A$2:B$3839,2,FALSE)</f>
        <v/>
      </c>
      <c r="D3619" s="6" t="n">
        <v>1</v>
      </c>
      <c r="E3619" s="6" t="inlineStr">
        <is>
          <t>R1214748</t>
        </is>
      </c>
      <c r="F3619" s="2" t="n">
        <v>44433</v>
      </c>
      <c r="G3619" s="1" t="n"/>
    </row>
    <row r="3620">
      <c r="A3620" s="6" t="n">
        <v>88372</v>
      </c>
      <c r="B3620" s="6" t="inlineStr">
        <is>
          <t>TEREMANA REPOSADO TEQUILA</t>
        </is>
      </c>
      <c r="C3620" s="7">
        <f>VLOOKUP(A3620,SizeData!A$2:B$3839,2,FALSE)</f>
        <v/>
      </c>
      <c r="D3620" s="6" t="n">
        <v>3</v>
      </c>
      <c r="E3620" s="6" t="inlineStr">
        <is>
          <t>R1239466</t>
        </is>
      </c>
      <c r="F3620" s="2" t="n">
        <v>44454</v>
      </c>
      <c r="G3620" s="1" t="n"/>
    </row>
    <row r="3621">
      <c r="A3621" s="6" t="n">
        <v>88372</v>
      </c>
      <c r="B3621" s="6" t="inlineStr">
        <is>
          <t>TEREMANA REPOSADO TEQUILA</t>
        </is>
      </c>
      <c r="C3621" s="7">
        <f>VLOOKUP(A3621,SizeData!A$2:B$3839,2,FALSE)</f>
        <v/>
      </c>
      <c r="D3621" s="6" t="n">
        <v>1</v>
      </c>
      <c r="E3621" s="6" t="inlineStr">
        <is>
          <t>R1261664</t>
        </is>
      </c>
      <c r="F3621" s="2" t="n">
        <v>44467</v>
      </c>
      <c r="G3621" s="1" t="n"/>
    </row>
    <row r="3622">
      <c r="A3622" s="6" t="n">
        <v>88372</v>
      </c>
      <c r="B3622" s="6" t="inlineStr">
        <is>
          <t>TEREMANA REPOSADO TEQUILA</t>
        </is>
      </c>
      <c r="C3622" s="7">
        <f>VLOOKUP(A3622,SizeData!A$2:B$3839,2,FALSE)</f>
        <v/>
      </c>
      <c r="D3622" s="6" t="n">
        <v>0</v>
      </c>
      <c r="E3622" s="6" t="inlineStr">
        <is>
          <t>R1275278</t>
        </is>
      </c>
      <c r="F3622" s="2" t="n">
        <v>44478</v>
      </c>
      <c r="G3622" s="1" t="n"/>
    </row>
    <row r="3623">
      <c r="A3623" s="6" t="n">
        <v>88372</v>
      </c>
      <c r="B3623" s="6" t="inlineStr">
        <is>
          <t>TEREMANA REPOSADO TEQUILA</t>
        </is>
      </c>
      <c r="C3623" s="7">
        <f>VLOOKUP(A3623,SizeData!A$2:B$3839,2,FALSE)</f>
        <v/>
      </c>
      <c r="D3623" s="6" t="n">
        <v>1</v>
      </c>
      <c r="E3623" s="6" t="inlineStr">
        <is>
          <t>R1301804</t>
        </is>
      </c>
      <c r="F3623" s="2" t="n">
        <v>44492</v>
      </c>
      <c r="G3623" s="1" t="n"/>
    </row>
    <row r="3624">
      <c r="A3624" s="6" t="n">
        <v>88372</v>
      </c>
      <c r="B3624" s="6" t="inlineStr">
        <is>
          <t>TEREMANA REPOSADO TEQUILA</t>
        </is>
      </c>
      <c r="C3624" s="7">
        <f>VLOOKUP(A3624,SizeData!A$2:B$3839,2,FALSE)</f>
        <v/>
      </c>
      <c r="D3624" s="6" t="n">
        <v>6</v>
      </c>
      <c r="E3624" s="6" t="inlineStr">
        <is>
          <t>R1301983</t>
        </is>
      </c>
      <c r="F3624" s="2" t="n">
        <v>44501</v>
      </c>
      <c r="G3624" s="1" t="n"/>
    </row>
    <row r="3625">
      <c r="A3625" s="6" t="n">
        <v>88424</v>
      </c>
      <c r="B3625" s="6" t="inlineStr">
        <is>
          <t>JOSE CUERVO TRADICIONAL ANEJO</t>
        </is>
      </c>
      <c r="C3625" s="7">
        <f>VLOOKUP(A3625,SizeData!A$2:B$3839,2,FALSE)</f>
        <v/>
      </c>
      <c r="D3625" s="6" t="n">
        <v>1</v>
      </c>
      <c r="E3625" s="6" t="inlineStr">
        <is>
          <t>R1229809</t>
        </is>
      </c>
      <c r="F3625" s="2" t="n">
        <v>44440</v>
      </c>
      <c r="G3625" s="1" t="n"/>
    </row>
    <row r="3626">
      <c r="A3626" s="6" t="n">
        <v>88540</v>
      </c>
      <c r="B3626" s="6" t="inlineStr">
        <is>
          <t>HORNITOS LIME SHOT TEQUILA (WHITE)</t>
        </is>
      </c>
      <c r="C3626" s="7">
        <f>VLOOKUP(A3626,SizeData!A$2:B$3839,2,FALSE)</f>
        <v/>
      </c>
      <c r="D3626" s="6" t="n">
        <v>1</v>
      </c>
      <c r="E3626" s="6" t="inlineStr">
        <is>
          <t>R1185856</t>
        </is>
      </c>
      <c r="F3626" s="2" t="n">
        <v>44400</v>
      </c>
      <c r="G3626" s="1" t="n"/>
    </row>
    <row r="3627">
      <c r="A3627" s="6" t="n">
        <v>88540</v>
      </c>
      <c r="B3627" s="6" t="inlineStr">
        <is>
          <t>HORNITOS LIME SHOT TEQUILA (WHITE)</t>
        </is>
      </c>
      <c r="C3627" s="7">
        <f>VLOOKUP(A3627,SizeData!A$2:B$3839,2,FALSE)</f>
        <v/>
      </c>
      <c r="D3627" s="6" t="n">
        <v>1</v>
      </c>
      <c r="E3627" s="6" t="inlineStr">
        <is>
          <t>R1205285</t>
        </is>
      </c>
      <c r="F3627" s="2" t="n">
        <v>44414</v>
      </c>
      <c r="G3627" s="1" t="n"/>
    </row>
    <row r="3628">
      <c r="A3628" s="6" t="n">
        <v>88540</v>
      </c>
      <c r="B3628" s="6" t="inlineStr">
        <is>
          <t>HORNITOS LIME SHOT TEQUILA (WHITE)</t>
        </is>
      </c>
      <c r="C3628" s="7">
        <f>VLOOKUP(A3628,SizeData!A$2:B$3839,2,FALSE)</f>
        <v/>
      </c>
      <c r="D3628" s="6" t="n">
        <v>1</v>
      </c>
      <c r="E3628" s="6" t="inlineStr">
        <is>
          <t>R1294331</t>
        </is>
      </c>
      <c r="F3628" s="2" t="n">
        <v>44497</v>
      </c>
      <c r="G3628" s="1" t="n"/>
    </row>
    <row r="3629">
      <c r="A3629" s="6" t="n">
        <v>88548</v>
      </c>
      <c r="B3629" s="6" t="inlineStr">
        <is>
          <t>HORNITOS PLATA WHITE TEQUILA</t>
        </is>
      </c>
      <c r="C3629" s="7">
        <f>VLOOKUP(A3629,SizeData!A$2:B$3839,2,FALSE)</f>
        <v/>
      </c>
      <c r="D3629" s="6" t="n">
        <v>1</v>
      </c>
      <c r="E3629" s="6" t="inlineStr">
        <is>
          <t>R1000879</t>
        </is>
      </c>
      <c r="F3629" s="2" t="n">
        <v>44211</v>
      </c>
      <c r="G3629" s="1" t="n"/>
    </row>
    <row r="3630">
      <c r="A3630" s="6" t="n">
        <v>88548</v>
      </c>
      <c r="B3630" s="6" t="inlineStr">
        <is>
          <t>HORNITOS PLATA WHITE TEQUILA</t>
        </is>
      </c>
      <c r="C3630" s="7">
        <f>VLOOKUP(A3630,SizeData!A$2:B$3839,2,FALSE)</f>
        <v/>
      </c>
      <c r="D3630" s="6" t="n">
        <v>1</v>
      </c>
      <c r="E3630" s="6" t="inlineStr">
        <is>
          <t>R1085364</t>
        </is>
      </c>
      <c r="F3630" s="2" t="n">
        <v>44289</v>
      </c>
      <c r="G3630" s="1" t="n"/>
    </row>
    <row r="3631">
      <c r="A3631" s="6" t="n">
        <v>88548</v>
      </c>
      <c r="B3631" s="6" t="inlineStr">
        <is>
          <t>HORNITOS PLATA WHITE TEQUILA</t>
        </is>
      </c>
      <c r="C3631" s="7">
        <f>VLOOKUP(A3631,SizeData!A$2:B$3839,2,FALSE)</f>
        <v/>
      </c>
      <c r="D3631" s="6" t="n">
        <v>0</v>
      </c>
      <c r="E3631" s="6" t="inlineStr">
        <is>
          <t>R1262670</t>
        </is>
      </c>
      <c r="F3631" s="2" t="n">
        <v>44470</v>
      </c>
      <c r="G3631" s="1" t="n"/>
    </row>
    <row r="3632">
      <c r="A3632" s="6" t="n">
        <v>88548</v>
      </c>
      <c r="B3632" s="6" t="inlineStr">
        <is>
          <t>HORNITOS PLATA WHITE TEQUILA</t>
        </is>
      </c>
      <c r="C3632" s="7">
        <f>VLOOKUP(A3632,SizeData!A$2:B$3839,2,FALSE)</f>
        <v/>
      </c>
      <c r="D3632" s="6" t="n">
        <v>0</v>
      </c>
      <c r="E3632" s="6" t="inlineStr">
        <is>
          <t>R1253669</t>
        </is>
      </c>
      <c r="F3632" s="2" t="n">
        <v>44471</v>
      </c>
      <c r="G3632" s="1" t="n"/>
    </row>
    <row r="3633">
      <c r="A3633" s="6" t="n">
        <v>88548</v>
      </c>
      <c r="B3633" s="6" t="inlineStr">
        <is>
          <t>HORNITOS PLATA WHITE TEQUILA</t>
        </is>
      </c>
      <c r="C3633" s="7">
        <f>VLOOKUP(A3633,SizeData!A$2:B$3839,2,FALSE)</f>
        <v/>
      </c>
      <c r="D3633" s="6" t="n">
        <v>1</v>
      </c>
      <c r="E3633" s="6" t="inlineStr">
        <is>
          <t>R1277647</t>
        </is>
      </c>
      <c r="F3633" s="2" t="n">
        <v>44484</v>
      </c>
      <c r="G3633" s="1" t="n"/>
    </row>
    <row r="3634">
      <c r="A3634" s="6" t="n">
        <v>88548</v>
      </c>
      <c r="B3634" s="6" t="inlineStr">
        <is>
          <t>HORNITOS PLATA WHITE TEQUILA</t>
        </is>
      </c>
      <c r="C3634" s="7">
        <f>VLOOKUP(A3634,SizeData!A$2:B$3839,2,FALSE)</f>
        <v/>
      </c>
      <c r="D3634" s="6" t="n">
        <v>0</v>
      </c>
      <c r="E3634" s="6" t="inlineStr">
        <is>
          <t>R1298726</t>
        </is>
      </c>
      <c r="F3634" s="2" t="n">
        <v>44497</v>
      </c>
      <c r="G3634" s="1" t="n"/>
    </row>
    <row r="3635">
      <c r="A3635" s="6" t="n">
        <v>88549</v>
      </c>
      <c r="B3635" s="6" t="inlineStr">
        <is>
          <t>HORNITOS PLATA TEQUILA SILVER</t>
        </is>
      </c>
      <c r="C3635" s="7">
        <f>VLOOKUP(A3635,SizeData!A$2:B$3839,2,FALSE)</f>
        <v/>
      </c>
      <c r="D3635" s="6" t="n">
        <v>1</v>
      </c>
      <c r="E3635" s="6" t="inlineStr">
        <is>
          <t>R1099905</t>
        </is>
      </c>
      <c r="F3635" s="2" t="n">
        <v>44310</v>
      </c>
      <c r="G3635" s="1" t="n"/>
    </row>
    <row r="3636">
      <c r="A3636" s="6" t="n">
        <v>88549</v>
      </c>
      <c r="B3636" s="6" t="inlineStr">
        <is>
          <t>HORNITOS PLATA TEQUILA SILVER</t>
        </is>
      </c>
      <c r="C3636" s="7">
        <f>VLOOKUP(A3636,SizeData!A$2:B$3839,2,FALSE)</f>
        <v/>
      </c>
      <c r="D3636" s="6" t="n">
        <v>1</v>
      </c>
      <c r="E3636" s="6" t="inlineStr">
        <is>
          <t>R1192602</t>
        </is>
      </c>
      <c r="F3636" s="2" t="n">
        <v>44401</v>
      </c>
      <c r="G3636" s="1" t="n"/>
    </row>
    <row r="3637">
      <c r="A3637" s="6" t="n">
        <v>88549</v>
      </c>
      <c r="B3637" s="6" t="inlineStr">
        <is>
          <t>HORNITOS PLATA TEQUILA SILVER</t>
        </is>
      </c>
      <c r="C3637" s="7">
        <f>VLOOKUP(A3637,SizeData!A$2:B$3839,2,FALSE)</f>
        <v/>
      </c>
      <c r="D3637" s="6" t="n">
        <v>1</v>
      </c>
      <c r="E3637" s="6" t="inlineStr">
        <is>
          <t>R1240644</t>
        </is>
      </c>
      <c r="F3637" s="2" t="n">
        <v>44440</v>
      </c>
      <c r="G3637" s="1" t="n"/>
    </row>
    <row r="3638">
      <c r="A3638" s="6" t="n">
        <v>88549</v>
      </c>
      <c r="B3638" s="6" t="inlineStr">
        <is>
          <t>HORNITOS PLATA TEQUILA SILVER</t>
        </is>
      </c>
      <c r="C3638" s="7">
        <f>VLOOKUP(A3638,SizeData!A$2:B$3839,2,FALSE)</f>
        <v/>
      </c>
      <c r="D3638" s="6" t="n">
        <v>1</v>
      </c>
      <c r="E3638" s="6" t="inlineStr">
        <is>
          <t>R1294331</t>
        </is>
      </c>
      <c r="F3638" s="2" t="n">
        <v>44497</v>
      </c>
      <c r="G3638" s="1" t="n"/>
    </row>
    <row r="3639">
      <c r="A3639" s="6" t="n">
        <v>88549</v>
      </c>
      <c r="B3639" s="6" t="inlineStr">
        <is>
          <t>HORNITOS PLATA TEQUILA SILVER</t>
        </is>
      </c>
      <c r="C3639" s="7">
        <f>VLOOKUP(A3639,SizeData!A$2:B$3839,2,FALSE)</f>
        <v/>
      </c>
      <c r="D3639" s="6" t="n">
        <v>2</v>
      </c>
      <c r="E3639" s="6" t="inlineStr">
        <is>
          <t>R1340613</t>
        </is>
      </c>
      <c r="F3639" s="2" t="n">
        <v>44520</v>
      </c>
      <c r="G3639" s="1" t="n"/>
    </row>
    <row r="3640">
      <c r="A3640" s="6" t="n">
        <v>88566</v>
      </c>
      <c r="B3640" s="6" t="inlineStr">
        <is>
          <t>SAUZA TRES GENERACIONES PLATA TEQ.</t>
        </is>
      </c>
      <c r="C3640" s="7">
        <f>VLOOKUP(A3640,SizeData!A$2:B$3839,2,FALSE)</f>
        <v/>
      </c>
      <c r="D3640" s="6" t="n">
        <v>1</v>
      </c>
      <c r="E3640" s="6" t="inlineStr">
        <is>
          <t>R1038616</t>
        </is>
      </c>
      <c r="F3640" s="2" t="n">
        <v>44251</v>
      </c>
      <c r="G3640" s="1" t="n"/>
    </row>
    <row r="3641">
      <c r="A3641" s="6" t="n">
        <v>88566</v>
      </c>
      <c r="B3641" s="6" t="inlineStr">
        <is>
          <t>SAUZA TRES GENERACIONES PLATA TEQ.</t>
        </is>
      </c>
      <c r="C3641" s="7">
        <f>VLOOKUP(A3641,SizeData!A$2:B$3839,2,FALSE)</f>
        <v/>
      </c>
      <c r="D3641" s="6" t="n">
        <v>1</v>
      </c>
      <c r="E3641" s="6" t="inlineStr">
        <is>
          <t>R1101961</t>
        </is>
      </c>
      <c r="F3641" s="2" t="n">
        <v>44320</v>
      </c>
      <c r="G3641" s="1" t="n"/>
    </row>
    <row r="3642">
      <c r="A3642" s="6" t="n">
        <v>88566</v>
      </c>
      <c r="B3642" s="6" t="inlineStr">
        <is>
          <t>SAUZA TRES GENERACIONES PLATA TEQ.</t>
        </is>
      </c>
      <c r="C3642" s="7">
        <f>VLOOKUP(A3642,SizeData!A$2:B$3839,2,FALSE)</f>
        <v/>
      </c>
      <c r="D3642" s="6" t="n">
        <v>2</v>
      </c>
      <c r="E3642" s="6" t="inlineStr">
        <is>
          <t>R1114354</t>
        </is>
      </c>
      <c r="F3642" s="2" t="n">
        <v>44334</v>
      </c>
      <c r="G3642" s="1" t="n"/>
    </row>
    <row r="3643">
      <c r="A3643" s="6" t="n">
        <v>88566</v>
      </c>
      <c r="B3643" s="6" t="inlineStr">
        <is>
          <t>SAUZA TRES GENERACIONES PLATA TEQ.</t>
        </is>
      </c>
      <c r="C3643" s="7">
        <f>VLOOKUP(A3643,SizeData!A$2:B$3839,2,FALSE)</f>
        <v/>
      </c>
      <c r="D3643" s="6" t="n">
        <v>1</v>
      </c>
      <c r="E3643" s="6" t="inlineStr">
        <is>
          <t>R1126982</t>
        </is>
      </c>
      <c r="F3643" s="2" t="n">
        <v>44338</v>
      </c>
      <c r="G3643" s="1" t="n"/>
    </row>
    <row r="3644">
      <c r="A3644" s="6" t="n">
        <v>88566</v>
      </c>
      <c r="B3644" s="6" t="inlineStr">
        <is>
          <t>SAUZA TRES GENERACIONES PLATA TEQ.</t>
        </is>
      </c>
      <c r="C3644" s="7">
        <f>VLOOKUP(A3644,SizeData!A$2:B$3839,2,FALSE)</f>
        <v/>
      </c>
      <c r="D3644" s="6" t="n">
        <v>1</v>
      </c>
      <c r="E3644" s="6" t="inlineStr">
        <is>
          <t>R1129655</t>
        </is>
      </c>
      <c r="F3644" s="2" t="n">
        <v>44347</v>
      </c>
      <c r="G3644" s="1" t="n"/>
    </row>
    <row r="3645">
      <c r="A3645" s="6" t="n">
        <v>88736</v>
      </c>
      <c r="B3645" s="6" t="inlineStr">
        <is>
          <t>TORADA WHITE TEQUILA</t>
        </is>
      </c>
      <c r="C3645" s="7">
        <f>VLOOKUP(A3645,SizeData!A$2:B$3839,2,FALSE)</f>
        <v/>
      </c>
      <c r="D3645" s="6" t="n">
        <v>1</v>
      </c>
      <c r="E3645" s="6" t="inlineStr">
        <is>
          <t>R1173671</t>
        </is>
      </c>
      <c r="F3645" s="2" t="n">
        <v>44394</v>
      </c>
      <c r="G3645" s="1" t="n"/>
    </row>
    <row r="3646">
      <c r="A3646" s="6" t="n">
        <v>88737</v>
      </c>
      <c r="B3646" s="6" t="inlineStr">
        <is>
          <t>TORADA WHITE TEQUILA</t>
        </is>
      </c>
      <c r="C3646" s="7">
        <f>VLOOKUP(A3646,SizeData!A$2:B$3839,2,FALSE)</f>
        <v/>
      </c>
      <c r="D3646" s="6" t="n">
        <v>1</v>
      </c>
      <c r="E3646" s="6" t="inlineStr">
        <is>
          <t>R1084236</t>
        </is>
      </c>
      <c r="F3646" s="2" t="n">
        <v>44296</v>
      </c>
      <c r="G3646" s="1" t="n"/>
    </row>
    <row r="3647">
      <c r="A3647" s="6" t="n">
        <v>88737</v>
      </c>
      <c r="B3647" s="6" t="inlineStr">
        <is>
          <t>TORADA WHITE TEQUILA</t>
        </is>
      </c>
      <c r="C3647" s="7">
        <f>VLOOKUP(A3647,SizeData!A$2:B$3839,2,FALSE)</f>
        <v/>
      </c>
      <c r="D3647" s="6" t="n">
        <v>1</v>
      </c>
      <c r="E3647" s="6" t="inlineStr">
        <is>
          <t>R1108792</t>
        </is>
      </c>
      <c r="F3647" s="2" t="n">
        <v>44322</v>
      </c>
      <c r="G3647" s="1" t="n"/>
    </row>
    <row r="3648">
      <c r="A3648" s="6" t="n">
        <v>88737</v>
      </c>
      <c r="B3648" s="6" t="inlineStr">
        <is>
          <t>TORADA WHITE TEQUILA</t>
        </is>
      </c>
      <c r="C3648" s="7">
        <f>VLOOKUP(A3648,SizeData!A$2:B$3839,2,FALSE)</f>
        <v/>
      </c>
      <c r="D3648" s="6" t="n">
        <v>1</v>
      </c>
      <c r="E3648" s="6" t="inlineStr">
        <is>
          <t>R1121370</t>
        </is>
      </c>
      <c r="F3648" s="2" t="n">
        <v>44331</v>
      </c>
      <c r="G3648" s="1" t="n"/>
    </row>
    <row r="3649">
      <c r="A3649" s="6" t="n">
        <v>88737</v>
      </c>
      <c r="B3649" s="6" t="inlineStr">
        <is>
          <t>TORADA WHITE TEQUILA</t>
        </is>
      </c>
      <c r="C3649" s="7">
        <f>VLOOKUP(A3649,SizeData!A$2:B$3839,2,FALSE)</f>
        <v/>
      </c>
      <c r="D3649" s="6" t="n">
        <v>0</v>
      </c>
      <c r="E3649" s="6" t="inlineStr">
        <is>
          <t>R1286225</t>
        </is>
      </c>
      <c r="F3649" s="2" t="n">
        <v>44478</v>
      </c>
      <c r="G3649" s="1" t="n"/>
    </row>
    <row r="3650">
      <c r="A3650" s="6" t="n">
        <v>88737</v>
      </c>
      <c r="B3650" s="6" t="inlineStr">
        <is>
          <t>TORADA WHITE TEQUILA</t>
        </is>
      </c>
      <c r="C3650" s="7">
        <f>VLOOKUP(A3650,SizeData!A$2:B$3839,2,FALSE)</f>
        <v/>
      </c>
      <c r="D3650" s="6" t="n">
        <v>1</v>
      </c>
      <c r="E3650" s="6" t="inlineStr">
        <is>
          <t>R1306125</t>
        </is>
      </c>
      <c r="F3650" s="2" t="n">
        <v>44495</v>
      </c>
      <c r="G3650" s="1" t="n"/>
    </row>
    <row r="3651">
      <c r="A3651" s="6" t="n">
        <v>88737</v>
      </c>
      <c r="B3651" s="6" t="inlineStr">
        <is>
          <t>TORADA WHITE TEQUILA</t>
        </is>
      </c>
      <c r="C3651" s="7">
        <f>VLOOKUP(A3651,SizeData!A$2:B$3839,2,FALSE)</f>
        <v/>
      </c>
      <c r="D3651" s="6" t="n">
        <v>1</v>
      </c>
      <c r="E3651" s="6" t="inlineStr">
        <is>
          <t>R1330081</t>
        </is>
      </c>
      <c r="F3651" s="2" t="n">
        <v>44518</v>
      </c>
      <c r="G3651" s="1" t="n"/>
    </row>
    <row r="3652">
      <c r="A3652" s="6" t="n">
        <v>88737</v>
      </c>
      <c r="B3652" s="6" t="inlineStr">
        <is>
          <t>TORADA WHITE TEQUILA</t>
        </is>
      </c>
      <c r="C3652" s="7">
        <f>VLOOKUP(A3652,SizeData!A$2:B$3839,2,FALSE)</f>
        <v/>
      </c>
      <c r="D3652" s="6" t="n">
        <v>1</v>
      </c>
      <c r="E3652" s="6" t="inlineStr">
        <is>
          <t>R1346277</t>
        </is>
      </c>
      <c r="F3652" s="2" t="n">
        <v>44530</v>
      </c>
      <c r="G3652" s="1" t="n"/>
    </row>
    <row r="3653">
      <c r="A3653" s="6" t="n">
        <v>88738</v>
      </c>
      <c r="B3653" s="6" t="inlineStr">
        <is>
          <t>TORADA WHITE TEQUILA</t>
        </is>
      </c>
      <c r="C3653" s="7">
        <f>VLOOKUP(A3653,SizeData!A$2:B$3839,2,FALSE)</f>
        <v/>
      </c>
      <c r="D3653" s="6" t="n">
        <v>1</v>
      </c>
      <c r="E3653" s="6" t="inlineStr">
        <is>
          <t>R1085364</t>
        </is>
      </c>
      <c r="F3653" s="2" t="n">
        <v>44289</v>
      </c>
      <c r="G3653" s="1" t="n"/>
    </row>
    <row r="3654">
      <c r="A3654" s="6" t="n">
        <v>88738</v>
      </c>
      <c r="B3654" s="6" t="inlineStr">
        <is>
          <t>TORADA WHITE TEQUILA</t>
        </is>
      </c>
      <c r="C3654" s="7">
        <f>VLOOKUP(A3654,SizeData!A$2:B$3839,2,FALSE)</f>
        <v/>
      </c>
      <c r="D3654" s="6" t="n">
        <v>2</v>
      </c>
      <c r="E3654" s="6" t="inlineStr">
        <is>
          <t>R1119856</t>
        </is>
      </c>
      <c r="F3654" s="2" t="n">
        <v>44333</v>
      </c>
      <c r="G3654" s="1" t="n"/>
    </row>
    <row r="3655">
      <c r="A3655" s="6" t="n">
        <v>88738</v>
      </c>
      <c r="B3655" s="6" t="inlineStr">
        <is>
          <t>TORADA WHITE TEQUILA</t>
        </is>
      </c>
      <c r="C3655" s="7">
        <f>VLOOKUP(A3655,SizeData!A$2:B$3839,2,FALSE)</f>
        <v/>
      </c>
      <c r="D3655" s="6" t="n">
        <v>1</v>
      </c>
      <c r="E3655" s="6" t="inlineStr">
        <is>
          <t>R1133709</t>
        </is>
      </c>
      <c r="F3655" s="2" t="n">
        <v>44344</v>
      </c>
      <c r="G3655" s="1" t="n"/>
    </row>
    <row r="3656">
      <c r="A3656" s="6" t="n">
        <v>88738</v>
      </c>
      <c r="B3656" s="6" t="inlineStr">
        <is>
          <t>TORADA WHITE TEQUILA</t>
        </is>
      </c>
      <c r="C3656" s="7">
        <f>VLOOKUP(A3656,SizeData!A$2:B$3839,2,FALSE)</f>
        <v/>
      </c>
      <c r="D3656" s="6" t="n">
        <v>1</v>
      </c>
      <c r="E3656" s="6" t="inlineStr">
        <is>
          <t>R1137596</t>
        </is>
      </c>
      <c r="F3656" s="2" t="n">
        <v>44359</v>
      </c>
      <c r="G3656" s="1" t="n"/>
    </row>
    <row r="3657">
      <c r="A3657" s="6" t="n">
        <v>88738</v>
      </c>
      <c r="B3657" s="6" t="inlineStr">
        <is>
          <t>TORADA WHITE TEQUILA</t>
        </is>
      </c>
      <c r="C3657" s="7">
        <f>VLOOKUP(A3657,SizeData!A$2:B$3839,2,FALSE)</f>
        <v/>
      </c>
      <c r="D3657" s="6" t="n">
        <v>1</v>
      </c>
      <c r="E3657" s="6" t="inlineStr">
        <is>
          <t>R1175838</t>
        </is>
      </c>
      <c r="F3657" s="2" t="n">
        <v>44389</v>
      </c>
      <c r="G3657" s="1" t="n"/>
    </row>
    <row r="3658">
      <c r="A3658" s="6" t="n">
        <v>88738</v>
      </c>
      <c r="B3658" s="6" t="inlineStr">
        <is>
          <t>TORADA WHITE TEQUILA</t>
        </is>
      </c>
      <c r="C3658" s="7">
        <f>VLOOKUP(A3658,SizeData!A$2:B$3839,2,FALSE)</f>
        <v/>
      </c>
      <c r="D3658" s="6" t="n">
        <v>1</v>
      </c>
      <c r="E3658" s="6" t="inlineStr">
        <is>
          <t>R1174179</t>
        </is>
      </c>
      <c r="F3658" s="2" t="n">
        <v>44397</v>
      </c>
      <c r="G3658" s="1" t="n"/>
    </row>
    <row r="3659">
      <c r="A3659" s="6" t="n">
        <v>88738</v>
      </c>
      <c r="B3659" s="6" t="inlineStr">
        <is>
          <t>TORADA WHITE TEQUILA</t>
        </is>
      </c>
      <c r="C3659" s="7">
        <f>VLOOKUP(A3659,SizeData!A$2:B$3839,2,FALSE)</f>
        <v/>
      </c>
      <c r="D3659" s="6" t="n">
        <v>2</v>
      </c>
      <c r="E3659" s="6" t="inlineStr">
        <is>
          <t>R1202106</t>
        </is>
      </c>
      <c r="F3659" s="2" t="n">
        <v>44411</v>
      </c>
      <c r="G3659" s="1" t="n"/>
    </row>
    <row r="3660">
      <c r="A3660" s="6" t="n">
        <v>88738</v>
      </c>
      <c r="B3660" s="6" t="inlineStr">
        <is>
          <t>TORADA WHITE TEQUILA</t>
        </is>
      </c>
      <c r="C3660" s="7">
        <f>VLOOKUP(A3660,SizeData!A$2:B$3839,2,FALSE)</f>
        <v/>
      </c>
      <c r="D3660" s="6" t="n">
        <v>4</v>
      </c>
      <c r="E3660" s="6" t="inlineStr">
        <is>
          <t>R1224208</t>
        </is>
      </c>
      <c r="F3660" s="2" t="n">
        <v>44436</v>
      </c>
      <c r="G3660" s="1" t="n"/>
      <c r="L3660" s="6" t="n">
        <v>1</v>
      </c>
    </row>
    <row r="3661">
      <c r="A3661" s="6" t="n">
        <v>88738</v>
      </c>
      <c r="B3661" s="6" t="inlineStr">
        <is>
          <t>TORADA WHITE TEQUILA</t>
        </is>
      </c>
      <c r="C3661" s="7">
        <f>VLOOKUP(A3661,SizeData!A$2:B$3839,2,FALSE)</f>
        <v/>
      </c>
      <c r="D3661" s="6" t="n">
        <v>0</v>
      </c>
      <c r="E3661" s="6" t="inlineStr">
        <is>
          <t>R1286225</t>
        </is>
      </c>
      <c r="F3661" s="2" t="n">
        <v>44478</v>
      </c>
      <c r="G3661" s="1" t="n"/>
      <c r="L3661" s="6" t="n">
        <v>1</v>
      </c>
    </row>
    <row r="3662">
      <c r="A3662" s="6" t="n">
        <v>88738</v>
      </c>
      <c r="B3662" s="6" t="inlineStr">
        <is>
          <t>TORADA WHITE TEQUILA</t>
        </is>
      </c>
      <c r="C3662" s="7">
        <f>VLOOKUP(A3662,SizeData!A$2:B$3839,2,FALSE)</f>
        <v/>
      </c>
      <c r="D3662" s="6" t="n">
        <v>0</v>
      </c>
      <c r="E3662" s="6" t="inlineStr">
        <is>
          <t>R1308354</t>
        </is>
      </c>
      <c r="F3662" s="2" t="n">
        <v>44504</v>
      </c>
      <c r="G3662" s="1" t="n"/>
    </row>
    <row r="3663">
      <c r="A3663" s="6" t="n">
        <v>88738</v>
      </c>
      <c r="B3663" s="6" t="inlineStr">
        <is>
          <t>TORADA WHITE TEQUILA</t>
        </is>
      </c>
      <c r="C3663" s="7">
        <f>VLOOKUP(A3663,SizeData!A$2:B$3839,2,FALSE)</f>
        <v/>
      </c>
      <c r="D3663" s="6" t="n">
        <v>1</v>
      </c>
      <c r="E3663" s="6" t="inlineStr">
        <is>
          <t>R1318952</t>
        </is>
      </c>
      <c r="F3663" s="2" t="n">
        <v>44516</v>
      </c>
      <c r="G3663" s="1" t="n"/>
    </row>
    <row r="3664">
      <c r="A3664" s="6" t="n">
        <v>88738</v>
      </c>
      <c r="B3664" s="6" t="inlineStr">
        <is>
          <t>TORADA WHITE TEQUILA</t>
        </is>
      </c>
      <c r="C3664" s="7">
        <f>VLOOKUP(A3664,SizeData!A$2:B$3839,2,FALSE)</f>
        <v/>
      </c>
      <c r="D3664" s="6" t="n">
        <v>1</v>
      </c>
      <c r="E3664" s="6" t="inlineStr">
        <is>
          <t>R1318952A</t>
        </is>
      </c>
      <c r="F3664" s="2" t="n">
        <v>44517</v>
      </c>
      <c r="G3664" s="1" t="n"/>
    </row>
    <row r="3665">
      <c r="A3665" s="6" t="n">
        <v>88738</v>
      </c>
      <c r="B3665" s="6" t="inlineStr">
        <is>
          <t>TORADA WHITE TEQUILA</t>
        </is>
      </c>
      <c r="C3665" s="7">
        <f>VLOOKUP(A3665,SizeData!A$2:B$3839,2,FALSE)</f>
        <v/>
      </c>
      <c r="D3665" s="6" t="n">
        <v>4</v>
      </c>
      <c r="E3665" s="6" t="inlineStr">
        <is>
          <t>R1335595</t>
        </is>
      </c>
      <c r="F3665" s="2" t="n">
        <v>44520</v>
      </c>
      <c r="G3665" s="1" t="n"/>
    </row>
    <row r="3666">
      <c r="A3666" s="6" t="n">
        <v>88833</v>
      </c>
      <c r="B3666" s="6" t="inlineStr">
        <is>
          <t>CASAMIGOS ANEJO</t>
        </is>
      </c>
      <c r="C3666" s="7">
        <f>VLOOKUP(A3666,SizeData!A$2:B$3839,2,FALSE)</f>
        <v/>
      </c>
      <c r="D3666" s="6" t="n">
        <v>3</v>
      </c>
      <c r="E3666" s="6" t="inlineStr">
        <is>
          <t>R1058918</t>
        </is>
      </c>
      <c r="F3666" s="2" t="n">
        <v>44273</v>
      </c>
      <c r="G3666" s="1" t="n"/>
    </row>
    <row r="3667">
      <c r="A3667" s="6" t="n">
        <v>88833</v>
      </c>
      <c r="B3667" s="6" t="inlineStr">
        <is>
          <t>CASAMIGOS ANEJO</t>
        </is>
      </c>
      <c r="C3667" s="7">
        <f>VLOOKUP(A3667,SizeData!A$2:B$3839,2,FALSE)</f>
        <v/>
      </c>
      <c r="D3667" s="6" t="n">
        <v>12</v>
      </c>
      <c r="E3667" s="6" t="inlineStr">
        <is>
          <t>R1136465</t>
        </is>
      </c>
      <c r="F3667" s="2" t="n">
        <v>44348</v>
      </c>
      <c r="G3667" s="1" t="n"/>
    </row>
    <row r="3668">
      <c r="A3668" s="6" t="n">
        <v>88833</v>
      </c>
      <c r="B3668" s="6" t="inlineStr">
        <is>
          <t>CASAMIGOS ANEJO</t>
        </is>
      </c>
      <c r="C3668" s="7">
        <f>VLOOKUP(A3668,SizeData!A$2:B$3839,2,FALSE)</f>
        <v/>
      </c>
      <c r="D3668" s="6" t="n">
        <v>15</v>
      </c>
      <c r="E3668" s="6" t="inlineStr">
        <is>
          <t>R1143491</t>
        </is>
      </c>
      <c r="F3668" s="2" t="n">
        <v>44364</v>
      </c>
      <c r="G3668" s="1" t="n"/>
    </row>
    <row r="3669">
      <c r="A3669" s="6" t="n">
        <v>88833</v>
      </c>
      <c r="B3669" s="6" t="inlineStr">
        <is>
          <t>CASAMIGOS ANEJO</t>
        </is>
      </c>
      <c r="C3669" s="7">
        <f>VLOOKUP(A3669,SizeData!A$2:B$3839,2,FALSE)</f>
        <v/>
      </c>
      <c r="D3669" s="6" t="n">
        <v>5</v>
      </c>
      <c r="E3669" s="6" t="inlineStr">
        <is>
          <t xml:space="preserve"> R1149817</t>
        </is>
      </c>
      <c r="F3669" s="2" t="n">
        <v>44364</v>
      </c>
      <c r="G3669" s="1" t="n"/>
    </row>
    <row r="3670">
      <c r="A3670" s="6" t="n">
        <v>88833</v>
      </c>
      <c r="B3670" s="6" t="inlineStr">
        <is>
          <t>CASAMIGOS ANEJO</t>
        </is>
      </c>
      <c r="C3670" s="7">
        <f>VLOOKUP(A3670,SizeData!A$2:B$3839,2,FALSE)</f>
        <v/>
      </c>
      <c r="D3670" s="6" t="n">
        <v>5</v>
      </c>
      <c r="E3670" s="6" t="inlineStr">
        <is>
          <t>R1310843</t>
        </is>
      </c>
      <c r="F3670" s="2" t="n">
        <v>44502</v>
      </c>
      <c r="G3670" s="1" t="n"/>
    </row>
    <row r="3671">
      <c r="A3671" s="6" t="n">
        <v>88833</v>
      </c>
      <c r="B3671" s="6" t="inlineStr">
        <is>
          <t>CASAMIGOS ANEJO</t>
        </is>
      </c>
      <c r="C3671" s="7">
        <f>VLOOKUP(A3671,SizeData!A$2:B$3839,2,FALSE)</f>
        <v/>
      </c>
      <c r="D3671" s="6" t="n">
        <v>5</v>
      </c>
      <c r="E3671" s="6" t="inlineStr">
        <is>
          <t>R1350401</t>
        </is>
      </c>
      <c r="F3671" s="2" t="n">
        <v>44518</v>
      </c>
      <c r="G3671" s="1" t="n"/>
    </row>
    <row r="3672">
      <c r="A3672" s="6" t="n">
        <v>88833</v>
      </c>
      <c r="B3672" s="6" t="inlineStr">
        <is>
          <t>CASAMIGOS ANEJO</t>
        </is>
      </c>
      <c r="C3672" s="7">
        <f>VLOOKUP(A3672,SizeData!A$2:B$3839,2,FALSE)</f>
        <v/>
      </c>
      <c r="D3672" s="6" t="n">
        <v>5</v>
      </c>
      <c r="E3672" s="6" t="inlineStr">
        <is>
          <t>R1334210</t>
        </is>
      </c>
      <c r="F3672" s="2" t="n">
        <v>44523</v>
      </c>
      <c r="G3672" s="1" t="n"/>
    </row>
    <row r="3673">
      <c r="A3673" s="6" t="n">
        <v>88931</v>
      </c>
      <c r="B3673" s="6" t="inlineStr">
        <is>
          <t>FAMILIA CAMARENA ANEJO</t>
        </is>
      </c>
      <c r="C3673" s="7">
        <f>VLOOKUP(A3673,SizeData!A$2:B$3839,2,FALSE)</f>
        <v/>
      </c>
      <c r="D3673" s="6" t="n">
        <v>1</v>
      </c>
      <c r="E3673" s="6" t="inlineStr">
        <is>
          <t>R1085364</t>
        </is>
      </c>
      <c r="F3673" s="2" t="n">
        <v>44289</v>
      </c>
      <c r="G3673" s="1" t="n"/>
    </row>
    <row r="3674">
      <c r="A3674" s="6" t="n">
        <v>88931</v>
      </c>
      <c r="B3674" s="6" t="inlineStr">
        <is>
          <t>FAMILIA CAMARENA ANEJO</t>
        </is>
      </c>
      <c r="C3674" s="7">
        <f>VLOOKUP(A3674,SizeData!A$2:B$3839,2,FALSE)</f>
        <v/>
      </c>
      <c r="D3674" s="6" t="n">
        <v>1</v>
      </c>
      <c r="E3674" s="6" t="inlineStr">
        <is>
          <t>R1099905</t>
        </is>
      </c>
      <c r="F3674" s="2" t="n">
        <v>44310</v>
      </c>
      <c r="G3674" s="1" t="n"/>
    </row>
    <row r="3675">
      <c r="A3675" s="6" t="n">
        <v>88961</v>
      </c>
      <c r="B3675" s="6" t="inlineStr">
        <is>
          <t>JOSE CUERVO TRADICIONAL REPOSADO</t>
        </is>
      </c>
      <c r="C3675" s="7">
        <f>VLOOKUP(A3675,SizeData!A$2:B$3839,2,FALSE)</f>
        <v/>
      </c>
      <c r="D3675" s="6" t="n">
        <v>1</v>
      </c>
      <c r="E3675" s="6" t="inlineStr">
        <is>
          <t>R1254400</t>
        </is>
      </c>
      <c r="F3675" s="2" t="n">
        <v>44468</v>
      </c>
      <c r="G3675" s="1" t="n"/>
    </row>
    <row r="3676">
      <c r="A3676" s="6" t="n">
        <v>88979</v>
      </c>
      <c r="B3676" s="6" t="inlineStr">
        <is>
          <t>MAESTRO DOBEL 50 CRISTANLINO</t>
        </is>
      </c>
      <c r="C3676" s="7">
        <f>VLOOKUP(A3676,SizeData!A$2:B$3839,2,FALSE)</f>
        <v/>
      </c>
      <c r="D3676" s="6" t="n">
        <v>0</v>
      </c>
      <c r="E3676" s="6" t="inlineStr">
        <is>
          <t>R1234926</t>
        </is>
      </c>
      <c r="F3676" s="2" t="n">
        <v>44448</v>
      </c>
      <c r="G3676" s="1" t="n"/>
    </row>
    <row r="3677">
      <c r="A3677" s="6" t="n">
        <v>88979</v>
      </c>
      <c r="B3677" s="6" t="inlineStr">
        <is>
          <t>MAESTRO DOBEL 50 CRISTANLINO</t>
        </is>
      </c>
      <c r="C3677" s="7">
        <f>VLOOKUP(A3677,SizeData!A$2:B$3839,2,FALSE)</f>
        <v/>
      </c>
      <c r="D3677" s="6" t="n">
        <v>2</v>
      </c>
      <c r="E3677" s="6" t="inlineStr">
        <is>
          <t>R1275205</t>
        </is>
      </c>
      <c r="F3677" s="2" t="n">
        <v>44462</v>
      </c>
      <c r="G3677" s="1" t="n"/>
    </row>
    <row r="3678">
      <c r="A3678" s="6" t="n">
        <v>88979</v>
      </c>
      <c r="B3678" s="6" t="inlineStr">
        <is>
          <t>MAESTRO DOBEL 50 CRISTANLINO</t>
        </is>
      </c>
      <c r="C3678" s="7">
        <f>VLOOKUP(A3678,SizeData!A$2:B$3839,2,FALSE)</f>
        <v/>
      </c>
      <c r="D3678" s="6" t="n">
        <v>1</v>
      </c>
      <c r="E3678" s="6" t="inlineStr">
        <is>
          <t>R1326778</t>
        </is>
      </c>
      <c r="F3678" s="2" t="n">
        <v>44517</v>
      </c>
      <c r="G3678" s="1" t="n"/>
    </row>
    <row r="3679">
      <c r="A3679" s="6" t="n">
        <v>88979</v>
      </c>
      <c r="B3679" s="6" t="inlineStr">
        <is>
          <t>MAESTRO DOBEL 50 CRISTANLINO</t>
        </is>
      </c>
      <c r="C3679" s="7">
        <f>VLOOKUP(A3679,SizeData!A$2:B$3839,2,FALSE)</f>
        <v/>
      </c>
      <c r="D3679" s="6" t="n">
        <v>1</v>
      </c>
      <c r="E3679" s="6" t="inlineStr">
        <is>
          <t>R1359198</t>
        </is>
      </c>
      <c r="F3679" s="2" t="n">
        <v>44538</v>
      </c>
      <c r="G3679" s="1" t="n"/>
    </row>
    <row r="3680">
      <c r="A3680" s="6" t="n">
        <v>88979</v>
      </c>
      <c r="B3680" s="6" t="inlineStr">
        <is>
          <t>MAESTRO DOBEL 50 CRISTANLINO</t>
        </is>
      </c>
      <c r="C3680" s="7">
        <f>VLOOKUP(A3680,SizeData!A$2:B$3839,2,FALSE)</f>
        <v/>
      </c>
      <c r="D3680" s="6" t="n">
        <v>2</v>
      </c>
      <c r="E3680" s="6" t="inlineStr">
        <is>
          <t>R1353189</t>
        </is>
      </c>
      <c r="F3680" s="2" t="n">
        <v>44539</v>
      </c>
      <c r="G3680" s="1" t="n"/>
    </row>
    <row r="3681">
      <c r="A3681" s="6" t="n">
        <v>89139</v>
      </c>
      <c r="B3681" s="6" t="inlineStr">
        <is>
          <t>CABO WABO REPOSADO TEQUILA</t>
        </is>
      </c>
      <c r="C3681" s="7">
        <f>VLOOKUP(A3681,SizeData!A$2:B$3839,2,FALSE)</f>
        <v/>
      </c>
      <c r="D3681" s="6" t="n">
        <v>4</v>
      </c>
      <c r="E3681" s="6" t="inlineStr">
        <is>
          <t>R1240644</t>
        </is>
      </c>
      <c r="F3681" s="2" t="n">
        <v>44440</v>
      </c>
      <c r="G3681" s="1" t="n"/>
    </row>
    <row r="3682">
      <c r="A3682" s="6" t="n">
        <v>89154</v>
      </c>
      <c r="B3682" s="6" t="inlineStr">
        <is>
          <t>DON JULIO REPOSADO TEQUILA</t>
        </is>
      </c>
      <c r="C3682" s="7">
        <f>VLOOKUP(A3682,SizeData!A$2:B$3839,2,FALSE)</f>
        <v/>
      </c>
      <c r="D3682" s="6" t="n">
        <v>5</v>
      </c>
      <c r="E3682" s="6" t="inlineStr">
        <is>
          <t>R1018402</t>
        </is>
      </c>
      <c r="F3682" s="2" t="n">
        <v>44229</v>
      </c>
      <c r="G3682" s="1" t="n"/>
    </row>
    <row r="3683">
      <c r="A3683" s="6" t="n">
        <v>89154</v>
      </c>
      <c r="B3683" s="6" t="inlineStr">
        <is>
          <t>DON JULIO REPOSADO TEQUILA</t>
        </is>
      </c>
      <c r="C3683" s="7">
        <f>VLOOKUP(A3683,SizeData!A$2:B$3839,2,FALSE)</f>
        <v/>
      </c>
      <c r="D3683" s="6" t="n">
        <v>3</v>
      </c>
      <c r="E3683" s="6" t="inlineStr">
        <is>
          <t>R1058918</t>
        </is>
      </c>
      <c r="F3683" s="2" t="n">
        <v>44273</v>
      </c>
      <c r="G3683" s="1" t="n"/>
    </row>
    <row r="3684">
      <c r="A3684" s="6" t="n">
        <v>89154</v>
      </c>
      <c r="B3684" s="6" t="inlineStr">
        <is>
          <t>DON JULIO REPOSADO TEQUILA</t>
        </is>
      </c>
      <c r="C3684" s="7">
        <f>VLOOKUP(A3684,SizeData!A$2:B$3839,2,FALSE)</f>
        <v/>
      </c>
      <c r="D3684" s="6" t="n">
        <v>5</v>
      </c>
      <c r="E3684" s="6" t="inlineStr">
        <is>
          <t>R1100246</t>
        </is>
      </c>
      <c r="F3684" s="2" t="n">
        <v>44298</v>
      </c>
      <c r="G3684" s="1" t="n"/>
    </row>
    <row r="3685">
      <c r="A3685" s="6" t="n">
        <v>89154</v>
      </c>
      <c r="B3685" s="6" t="inlineStr">
        <is>
          <t>DON JULIO REPOSADO TEQUILA</t>
        </is>
      </c>
      <c r="C3685" s="7">
        <f>VLOOKUP(A3685,SizeData!A$2:B$3839,2,FALSE)</f>
        <v/>
      </c>
      <c r="D3685" s="6" t="n">
        <v>3</v>
      </c>
      <c r="E3685" s="6" t="inlineStr">
        <is>
          <t>R1130338</t>
        </is>
      </c>
      <c r="F3685" s="2" t="n">
        <v>44327</v>
      </c>
      <c r="G3685" s="1" t="n"/>
    </row>
    <row r="3686">
      <c r="A3686" s="6" t="n">
        <v>89154</v>
      </c>
      <c r="B3686" s="6" t="inlineStr">
        <is>
          <t>DON JULIO REPOSADO TEQUILA</t>
        </is>
      </c>
      <c r="C3686" s="7">
        <f>VLOOKUP(A3686,SizeData!A$2:B$3839,2,FALSE)</f>
        <v/>
      </c>
      <c r="D3686" s="6" t="n">
        <v>5</v>
      </c>
      <c r="E3686" s="6" t="inlineStr">
        <is>
          <t>R1163989</t>
        </is>
      </c>
      <c r="F3686" s="2" t="n">
        <v>44384</v>
      </c>
      <c r="G3686" s="1" t="n"/>
    </row>
    <row r="3687">
      <c r="A3687" s="6" t="n">
        <v>89154</v>
      </c>
      <c r="B3687" s="6" t="inlineStr">
        <is>
          <t>DON JULIO REPOSADO TEQUILA</t>
        </is>
      </c>
      <c r="C3687" s="7">
        <f>VLOOKUP(A3687,SizeData!A$2:B$3839,2,FALSE)</f>
        <v/>
      </c>
      <c r="D3687" s="6" t="n">
        <v>5</v>
      </c>
      <c r="E3687" s="6" t="inlineStr">
        <is>
          <t>R1242106</t>
        </is>
      </c>
      <c r="F3687" s="2" t="n">
        <v>44446</v>
      </c>
      <c r="G3687" s="1" t="n"/>
    </row>
    <row r="3688">
      <c r="A3688" s="6" t="n">
        <v>89154</v>
      </c>
      <c r="B3688" s="6" t="inlineStr">
        <is>
          <t>DON JULIO REPOSADO TEQUILA</t>
        </is>
      </c>
      <c r="C3688" s="7">
        <f>VLOOKUP(A3688,SizeData!A$2:B$3839,2,FALSE)</f>
        <v/>
      </c>
      <c r="D3688" s="6" t="n">
        <v>5</v>
      </c>
      <c r="E3688" s="6" t="inlineStr">
        <is>
          <t>R1251315</t>
        </is>
      </c>
      <c r="F3688" s="2" t="n">
        <v>44454</v>
      </c>
      <c r="G3688" s="1" t="n"/>
    </row>
    <row r="3689">
      <c r="A3689" s="6" t="n">
        <v>89154</v>
      </c>
      <c r="B3689" s="6" t="inlineStr">
        <is>
          <t>DON JULIO REPOSADO TEQUILA</t>
        </is>
      </c>
      <c r="C3689" s="7">
        <f>VLOOKUP(A3689,SizeData!A$2:B$3839,2,FALSE)</f>
        <v/>
      </c>
      <c r="D3689" s="6" t="n">
        <v>5</v>
      </c>
      <c r="E3689" s="6" t="inlineStr">
        <is>
          <t>R1276475</t>
        </is>
      </c>
      <c r="F3689" s="2" t="n">
        <v>44481</v>
      </c>
      <c r="G3689" s="1" t="n"/>
    </row>
    <row r="3690">
      <c r="A3690" s="6" t="n">
        <v>89154</v>
      </c>
      <c r="B3690" s="6" t="inlineStr">
        <is>
          <t>DON JULIO REPOSADO TEQUILA</t>
        </is>
      </c>
      <c r="C3690" s="7">
        <f>VLOOKUP(A3690,SizeData!A$2:B$3839,2,FALSE)</f>
        <v/>
      </c>
      <c r="D3690" s="6" t="n">
        <v>5</v>
      </c>
      <c r="E3690" s="6" t="inlineStr">
        <is>
          <t>R1331801</t>
        </is>
      </c>
      <c r="F3690" s="2" t="n">
        <v>44516</v>
      </c>
      <c r="G3690" s="1" t="n"/>
    </row>
    <row r="3691">
      <c r="A3691" s="6" t="n">
        <v>89175</v>
      </c>
      <c r="B3691" s="6" t="inlineStr">
        <is>
          <t>DON JULIO ANEJO TEQUILA GOLD</t>
        </is>
      </c>
      <c r="C3691" s="7">
        <f>VLOOKUP(A3691,SizeData!A$2:B$3839,2,FALSE)</f>
        <v/>
      </c>
      <c r="D3691" s="6" t="n">
        <v>6</v>
      </c>
      <c r="E3691" s="6" t="inlineStr">
        <is>
          <t>R998237</t>
        </is>
      </c>
      <c r="F3691" s="2" t="n">
        <v>44209</v>
      </c>
      <c r="G3691" s="1" t="n"/>
    </row>
    <row r="3692">
      <c r="A3692" s="6" t="n">
        <v>89175</v>
      </c>
      <c r="B3692" s="6" t="inlineStr">
        <is>
          <t>DON JULIO ANEJO TEQUILA GOLD</t>
        </is>
      </c>
      <c r="C3692" s="7">
        <f>VLOOKUP(A3692,SizeData!A$2:B$3839,2,FALSE)</f>
        <v/>
      </c>
      <c r="D3692" s="6" t="n">
        <v>2</v>
      </c>
      <c r="E3692" s="6" t="inlineStr">
        <is>
          <t>R1016884</t>
        </is>
      </c>
      <c r="F3692" s="2" t="n">
        <v>44229</v>
      </c>
      <c r="G3692" s="1" t="n"/>
    </row>
    <row r="3693">
      <c r="A3693" s="6" t="n">
        <v>89175</v>
      </c>
      <c r="B3693" s="6" t="inlineStr">
        <is>
          <t>DON JULIO ANEJO TEQUILA GOLD</t>
        </is>
      </c>
      <c r="C3693" s="7">
        <f>VLOOKUP(A3693,SizeData!A$2:B$3839,2,FALSE)</f>
        <v/>
      </c>
      <c r="D3693" s="6" t="n">
        <v>1</v>
      </c>
      <c r="E3693" s="6" t="inlineStr">
        <is>
          <t>R1063984</t>
        </is>
      </c>
      <c r="F3693" s="2" t="n">
        <v>44280</v>
      </c>
      <c r="G3693" s="1" t="n"/>
    </row>
    <row r="3694">
      <c r="A3694" s="6" t="n">
        <v>89175</v>
      </c>
      <c r="B3694" s="6" t="inlineStr">
        <is>
          <t>DON JULIO ANEJO TEQUILA GOLD</t>
        </is>
      </c>
      <c r="C3694" s="7">
        <f>VLOOKUP(A3694,SizeData!A$2:B$3839,2,FALSE)</f>
        <v/>
      </c>
      <c r="D3694" s="6" t="n">
        <v>5</v>
      </c>
      <c r="E3694" s="6" t="inlineStr">
        <is>
          <t>R1082744</t>
        </is>
      </c>
      <c r="F3694" s="2" t="n">
        <v>44291</v>
      </c>
      <c r="G3694" s="1" t="n"/>
    </row>
    <row r="3695">
      <c r="A3695" s="6" t="n">
        <v>89175</v>
      </c>
      <c r="B3695" s="6" t="inlineStr">
        <is>
          <t>DON JULIO ANEJO TEQUILA GOLD</t>
        </is>
      </c>
      <c r="C3695" s="7">
        <f>VLOOKUP(A3695,SizeData!A$2:B$3839,2,FALSE)</f>
        <v/>
      </c>
      <c r="D3695" s="6" t="n">
        <v>5</v>
      </c>
      <c r="E3695" s="6" t="inlineStr">
        <is>
          <t>R1163234</t>
        </is>
      </c>
      <c r="F3695" s="2" t="n">
        <v>44376</v>
      </c>
      <c r="G3695" s="1" t="n"/>
    </row>
    <row r="3696">
      <c r="A3696" s="6" t="n">
        <v>89175</v>
      </c>
      <c r="B3696" s="6" t="inlineStr">
        <is>
          <t>DON JULIO ANEJO TEQUILA GOLD</t>
        </is>
      </c>
      <c r="C3696" s="7">
        <f>VLOOKUP(A3696,SizeData!A$2:B$3839,2,FALSE)</f>
        <v/>
      </c>
      <c r="D3696" s="6" t="n">
        <v>5</v>
      </c>
      <c r="E3696" s="6" t="inlineStr">
        <is>
          <t xml:space="preserve"> R1190695</t>
        </is>
      </c>
      <c r="F3696" s="2" t="n">
        <v>44405</v>
      </c>
      <c r="G3696" s="1" t="n"/>
    </row>
    <row r="3697">
      <c r="A3697" s="6" t="n">
        <v>89175</v>
      </c>
      <c r="B3697" s="6" t="inlineStr">
        <is>
          <t>DON JULIO ANEJO TEQUILA GOLD</t>
        </is>
      </c>
      <c r="C3697" s="7">
        <f>VLOOKUP(A3697,SizeData!A$2:B$3839,2,FALSE)</f>
        <v/>
      </c>
      <c r="D3697" s="6" t="n">
        <v>5</v>
      </c>
      <c r="E3697" s="6" t="inlineStr">
        <is>
          <t>R1210629</t>
        </is>
      </c>
      <c r="F3697" s="2" t="n">
        <v>44420</v>
      </c>
      <c r="G3697" s="1" t="n"/>
    </row>
    <row r="3698">
      <c r="A3698" s="6" t="n">
        <v>89175</v>
      </c>
      <c r="B3698" s="6" t="inlineStr">
        <is>
          <t>DON JULIO ANEJO TEQUILA GOLD</t>
        </is>
      </c>
      <c r="C3698" s="7">
        <f>VLOOKUP(A3698,SizeData!A$2:B$3839,2,FALSE)</f>
        <v/>
      </c>
      <c r="D3698" s="6" t="n">
        <v>5</v>
      </c>
      <c r="E3698" s="6" t="inlineStr">
        <is>
          <t>R1251315</t>
        </is>
      </c>
      <c r="F3698" s="2" t="n">
        <v>44454</v>
      </c>
      <c r="G3698" s="1" t="n"/>
    </row>
    <row r="3699">
      <c r="A3699" s="6" t="n">
        <v>89175</v>
      </c>
      <c r="B3699" s="6" t="inlineStr">
        <is>
          <t>DON JULIO ANEJO TEQUILA GOLD</t>
        </is>
      </c>
      <c r="C3699" s="7">
        <f>VLOOKUP(A3699,SizeData!A$2:B$3839,2,FALSE)</f>
        <v/>
      </c>
      <c r="D3699" s="6" t="n">
        <v>5</v>
      </c>
      <c r="E3699" s="6" t="inlineStr">
        <is>
          <t>R1325454</t>
        </is>
      </c>
      <c r="F3699" s="2" t="n">
        <v>44509</v>
      </c>
      <c r="G3699" s="1" t="n"/>
    </row>
    <row r="3700">
      <c r="A3700" s="6" t="n">
        <v>89175</v>
      </c>
      <c r="B3700" s="6" t="inlineStr">
        <is>
          <t>DON JULIO ANEJO TEQUILA GOLD</t>
        </is>
      </c>
      <c r="C3700" s="7">
        <f>VLOOKUP(A3700,SizeData!A$2:B$3839,2,FALSE)</f>
        <v/>
      </c>
      <c r="D3700" s="6" t="n">
        <v>5</v>
      </c>
      <c r="E3700" s="6" t="inlineStr">
        <is>
          <t>R1350401</t>
        </is>
      </c>
      <c r="F3700" s="2" t="n">
        <v>44518</v>
      </c>
      <c r="G3700" s="1" t="n"/>
    </row>
    <row r="3701">
      <c r="A3701" s="6" t="n">
        <v>89175</v>
      </c>
      <c r="B3701" s="6" t="inlineStr">
        <is>
          <t>DON JULIO ANEJO TEQUILA GOLD</t>
        </is>
      </c>
      <c r="C3701" s="7">
        <f>VLOOKUP(A3701,SizeData!A$2:B$3839,2,FALSE)</f>
        <v/>
      </c>
      <c r="D3701" s="6" t="n">
        <v>0</v>
      </c>
      <c r="E3701" s="6" t="inlineStr">
        <is>
          <t>R1350401</t>
        </is>
      </c>
      <c r="F3701" s="2" t="n">
        <v>44518</v>
      </c>
      <c r="G3701" s="1" t="n"/>
    </row>
    <row r="3702">
      <c r="A3702" s="6" t="n">
        <v>89177</v>
      </c>
      <c r="B3702" s="6" t="inlineStr">
        <is>
          <t>CASAMIGOS REPOSADO TEQUILA</t>
        </is>
      </c>
      <c r="C3702" s="7">
        <f>VLOOKUP(A3702,SizeData!A$2:B$3839,2,FALSE)</f>
        <v/>
      </c>
      <c r="D3702" s="6" t="n">
        <v>1</v>
      </c>
      <c r="E3702" s="6" t="inlineStr">
        <is>
          <t>R984731</t>
        </is>
      </c>
      <c r="F3702" s="2" t="n">
        <v>44197</v>
      </c>
      <c r="G3702" s="1" t="n"/>
    </row>
    <row r="3703">
      <c r="A3703" s="6" t="n">
        <v>89177</v>
      </c>
      <c r="B3703" s="6" t="inlineStr">
        <is>
          <t>CASAMIGOS REPOSADO TEQUILA</t>
        </is>
      </c>
      <c r="C3703" s="7">
        <f>VLOOKUP(A3703,SizeData!A$2:B$3839,2,FALSE)</f>
        <v/>
      </c>
      <c r="D3703" s="6" t="n">
        <v>1</v>
      </c>
      <c r="E3703" s="6" t="inlineStr">
        <is>
          <t>R989703</t>
        </is>
      </c>
      <c r="F3703" s="2" t="n">
        <v>44197</v>
      </c>
      <c r="G3703" s="1" t="n"/>
    </row>
    <row r="3704">
      <c r="A3704" s="6" t="n">
        <v>89177</v>
      </c>
      <c r="B3704" s="6" t="inlineStr">
        <is>
          <t>CASAMIGOS REPOSADO TEQUILA</t>
        </is>
      </c>
      <c r="C3704" s="7">
        <f>VLOOKUP(A3704,SizeData!A$2:B$3839,2,FALSE)</f>
        <v/>
      </c>
      <c r="D3704" s="6" t="n">
        <v>3</v>
      </c>
      <c r="E3704" s="6" t="inlineStr">
        <is>
          <t>R1008939</t>
        </is>
      </c>
      <c r="F3704" s="2" t="n">
        <v>44220</v>
      </c>
      <c r="G3704" s="1" t="n"/>
    </row>
    <row r="3705">
      <c r="A3705" s="6" t="n">
        <v>89177</v>
      </c>
      <c r="B3705" s="6" t="inlineStr">
        <is>
          <t>CASAMIGOS REPOSADO TEQUILA</t>
        </is>
      </c>
      <c r="C3705" s="7">
        <f>VLOOKUP(A3705,SizeData!A$2:B$3839,2,FALSE)</f>
        <v/>
      </c>
      <c r="D3705" s="6" t="n">
        <v>4</v>
      </c>
      <c r="E3705" s="6" t="inlineStr">
        <is>
          <t>R1084018</t>
        </is>
      </c>
      <c r="F3705" s="2" t="n">
        <v>44292</v>
      </c>
      <c r="G3705" s="1" t="n"/>
    </row>
    <row r="3706">
      <c r="A3706" s="6" t="n">
        <v>89177</v>
      </c>
      <c r="B3706" s="6" t="inlineStr">
        <is>
          <t>CASAMIGOS REPOSADO TEQUILA</t>
        </is>
      </c>
      <c r="C3706" s="7">
        <f>VLOOKUP(A3706,SizeData!A$2:B$3839,2,FALSE)</f>
        <v/>
      </c>
      <c r="D3706" s="6" t="n">
        <v>4</v>
      </c>
      <c r="E3706" s="6" t="inlineStr">
        <is>
          <t>R1115550</t>
        </is>
      </c>
      <c r="F3706" s="2" t="n">
        <v>44314</v>
      </c>
      <c r="G3706" s="1" t="n"/>
    </row>
    <row r="3707">
      <c r="A3707" s="6" t="n">
        <v>89177</v>
      </c>
      <c r="B3707" s="6" t="inlineStr">
        <is>
          <t>CASAMIGOS REPOSADO TEQUILA</t>
        </is>
      </c>
      <c r="C3707" s="7">
        <f>VLOOKUP(A3707,SizeData!A$2:B$3839,2,FALSE)</f>
        <v/>
      </c>
      <c r="D3707" s="6" t="n">
        <v>2</v>
      </c>
      <c r="E3707" s="6" t="inlineStr">
        <is>
          <t>R1150887</t>
        </is>
      </c>
      <c r="F3707" s="2" t="n">
        <v>44366</v>
      </c>
      <c r="G3707" s="1" t="n"/>
    </row>
    <row r="3708">
      <c r="A3708" s="6" t="n">
        <v>89177</v>
      </c>
      <c r="B3708" s="6" t="inlineStr">
        <is>
          <t>CASAMIGOS REPOSADO TEQUILA</t>
        </is>
      </c>
      <c r="C3708" s="7">
        <f>VLOOKUP(A3708,SizeData!A$2:B$3839,2,FALSE)</f>
        <v/>
      </c>
      <c r="D3708" s="6" t="n">
        <v>16</v>
      </c>
      <c r="E3708" s="6" t="inlineStr">
        <is>
          <t>R1166686</t>
        </is>
      </c>
      <c r="F3708" s="2" t="n">
        <v>44378</v>
      </c>
      <c r="G3708" s="1" t="n"/>
    </row>
    <row r="3709">
      <c r="A3709" s="6" t="n">
        <v>89177</v>
      </c>
      <c r="B3709" s="6" t="inlineStr">
        <is>
          <t>CASAMIGOS REPOSADO TEQUILA</t>
        </is>
      </c>
      <c r="C3709" s="7">
        <f>VLOOKUP(A3709,SizeData!A$2:B$3839,2,FALSE)</f>
        <v/>
      </c>
      <c r="D3709" s="6" t="n">
        <v>40</v>
      </c>
      <c r="E3709" s="6" t="inlineStr">
        <is>
          <t>R1180985</t>
        </is>
      </c>
      <c r="F3709" s="2" t="n">
        <v>44399</v>
      </c>
      <c r="G3709" s="1" t="n"/>
    </row>
    <row r="3710">
      <c r="A3710" s="6" t="n">
        <v>89177</v>
      </c>
      <c r="B3710" s="6" t="inlineStr">
        <is>
          <t>CASAMIGOS REPOSADO TEQUILA</t>
        </is>
      </c>
      <c r="C3710" s="7">
        <f>VLOOKUP(A3710,SizeData!A$2:B$3839,2,FALSE)</f>
        <v/>
      </c>
      <c r="D3710" s="6" t="n">
        <v>49</v>
      </c>
      <c r="E3710" s="6" t="inlineStr">
        <is>
          <t>R1200852</t>
        </is>
      </c>
      <c r="F3710" s="2" t="n">
        <v>44405</v>
      </c>
      <c r="G3710" s="1" t="n"/>
    </row>
    <row r="3711">
      <c r="A3711" s="6" t="n">
        <v>89177</v>
      </c>
      <c r="B3711" s="6" t="inlineStr">
        <is>
          <t>CASAMIGOS REPOSADO TEQUILA</t>
        </is>
      </c>
      <c r="C3711" s="7">
        <f>VLOOKUP(A3711,SizeData!A$2:B$3839,2,FALSE)</f>
        <v/>
      </c>
      <c r="D3711" s="6" t="n">
        <v>5</v>
      </c>
      <c r="E3711" s="6" t="inlineStr">
        <is>
          <t>R1261702</t>
        </is>
      </c>
      <c r="F3711" s="2" t="n">
        <v>44461</v>
      </c>
      <c r="G3711" s="1" t="n"/>
    </row>
    <row r="3712">
      <c r="A3712" s="6" t="n">
        <v>89177</v>
      </c>
      <c r="B3712" s="6" t="inlineStr">
        <is>
          <t>CASAMIGOS REPOSADO TEQUILA</t>
        </is>
      </c>
      <c r="C3712" s="7">
        <f>VLOOKUP(A3712,SizeData!A$2:B$3839,2,FALSE)</f>
        <v/>
      </c>
      <c r="D3712" s="6" t="n">
        <v>5</v>
      </c>
      <c r="E3712" s="6" t="inlineStr">
        <is>
          <t>R1266186</t>
        </is>
      </c>
      <c r="F3712" s="2" t="n">
        <v>44467</v>
      </c>
      <c r="G3712" s="1" t="n"/>
    </row>
    <row r="3713">
      <c r="A3713" s="6" t="n">
        <v>89177</v>
      </c>
      <c r="B3713" s="6" t="inlineStr">
        <is>
          <t>CASAMIGOS REPOSADO TEQUILA</t>
        </is>
      </c>
      <c r="C3713" s="7">
        <f>VLOOKUP(A3713,SizeData!A$2:B$3839,2,FALSE)</f>
        <v/>
      </c>
      <c r="D3713" s="6" t="n">
        <v>5</v>
      </c>
      <c r="E3713" s="6" t="inlineStr">
        <is>
          <t>R1325454</t>
        </is>
      </c>
      <c r="F3713" s="2" t="n">
        <v>44509</v>
      </c>
      <c r="G3713" s="1" t="n"/>
    </row>
    <row r="3714">
      <c r="A3714" s="6" t="n">
        <v>89177</v>
      </c>
      <c r="B3714" s="6" t="inlineStr">
        <is>
          <t>CASAMIGOS REPOSADO TEQUILA</t>
        </is>
      </c>
      <c r="C3714" s="7">
        <f>VLOOKUP(A3714,SizeData!A$2:B$3839,2,FALSE)</f>
        <v/>
      </c>
      <c r="D3714" s="6" t="n">
        <v>5</v>
      </c>
      <c r="E3714" s="6" t="inlineStr">
        <is>
          <t>R1331801</t>
        </is>
      </c>
      <c r="F3714" s="2" t="n">
        <v>44516</v>
      </c>
      <c r="G3714" s="1" t="n"/>
    </row>
    <row r="3715">
      <c r="A3715" s="6" t="n">
        <v>89178</v>
      </c>
      <c r="B3715" s="6" t="inlineStr">
        <is>
          <t>EL MAYOR ANEJO</t>
        </is>
      </c>
      <c r="C3715" s="7">
        <f>VLOOKUP(A3715,SizeData!A$2:B$3839,2,FALSE)</f>
        <v/>
      </c>
      <c r="D3715" s="6" t="n">
        <v>1</v>
      </c>
      <c r="E3715" s="6" t="inlineStr">
        <is>
          <t>R984731</t>
        </is>
      </c>
      <c r="F3715" s="2" t="n">
        <v>44197</v>
      </c>
      <c r="G3715" s="1" t="n"/>
    </row>
    <row r="3716">
      <c r="A3716" s="6" t="n">
        <v>89178</v>
      </c>
      <c r="B3716" s="6" t="inlineStr">
        <is>
          <t>EL MAYOR ANEJO</t>
        </is>
      </c>
      <c r="C3716" s="7">
        <f>VLOOKUP(A3716,SizeData!A$2:B$3839,2,FALSE)</f>
        <v/>
      </c>
      <c r="D3716" s="6" t="n">
        <v>1</v>
      </c>
      <c r="E3716" s="6" t="inlineStr">
        <is>
          <t>R1002505</t>
        </is>
      </c>
      <c r="F3716" s="2" t="n">
        <v>44214</v>
      </c>
      <c r="G3716" s="1" t="n"/>
    </row>
    <row r="3717">
      <c r="A3717" s="6" t="n">
        <v>89178</v>
      </c>
      <c r="B3717" s="6" t="inlineStr">
        <is>
          <t>EL MAYOR ANEJO</t>
        </is>
      </c>
      <c r="C3717" s="7">
        <f>VLOOKUP(A3717,SizeData!A$2:B$3839,2,FALSE)</f>
        <v/>
      </c>
      <c r="D3717" s="6" t="n">
        <v>1</v>
      </c>
      <c r="E3717" s="6" t="inlineStr">
        <is>
          <t>R1074089</t>
        </is>
      </c>
      <c r="F3717" s="2" t="n">
        <v>44288</v>
      </c>
      <c r="G3717" s="1" t="n"/>
    </row>
    <row r="3718">
      <c r="A3718" s="6" t="n">
        <v>89178</v>
      </c>
      <c r="B3718" s="6" t="inlineStr">
        <is>
          <t>EL MAYOR ANEJO</t>
        </is>
      </c>
      <c r="C3718" s="7">
        <f>VLOOKUP(A3718,SizeData!A$2:B$3839,2,FALSE)</f>
        <v/>
      </c>
      <c r="D3718" s="6" t="n">
        <v>2</v>
      </c>
      <c r="E3718" s="6" t="inlineStr">
        <is>
          <t>R1077298</t>
        </is>
      </c>
      <c r="F3718" s="2" t="n">
        <v>44290</v>
      </c>
      <c r="G3718" s="1" t="n"/>
    </row>
    <row r="3719">
      <c r="A3719" s="6" t="n">
        <v>89178</v>
      </c>
      <c r="B3719" s="6" t="inlineStr">
        <is>
          <t>EL MAYOR ANEJO</t>
        </is>
      </c>
      <c r="C3719" s="7">
        <f>VLOOKUP(A3719,SizeData!A$2:B$3839,2,FALSE)</f>
        <v/>
      </c>
      <c r="D3719" s="6" t="n">
        <v>1</v>
      </c>
      <c r="E3719" s="6" t="inlineStr">
        <is>
          <t>R1094763</t>
        </is>
      </c>
      <c r="F3719" s="2" t="n">
        <v>44312</v>
      </c>
      <c r="G3719" s="1" t="n"/>
    </row>
    <row r="3720">
      <c r="A3720" s="6" t="n">
        <v>89178</v>
      </c>
      <c r="B3720" s="6" t="inlineStr">
        <is>
          <t>EL MAYOR ANEJO</t>
        </is>
      </c>
      <c r="C3720" s="7">
        <f>VLOOKUP(A3720,SizeData!A$2:B$3839,2,FALSE)</f>
        <v/>
      </c>
      <c r="D3720" s="6" t="n">
        <v>0</v>
      </c>
      <c r="E3720" s="6" t="inlineStr">
        <is>
          <t>R1253669</t>
        </is>
      </c>
      <c r="F3720" s="2" t="n">
        <v>44471</v>
      </c>
      <c r="G3720" s="1" t="n"/>
    </row>
    <row r="3721">
      <c r="A3721" s="6" t="n">
        <v>89182</v>
      </c>
      <c r="B3721" s="6" t="inlineStr">
        <is>
          <t>EL MAYOR REPOSADO TEQIULA</t>
        </is>
      </c>
      <c r="C3721" s="7">
        <f>VLOOKUP(A3721,SizeData!A$2:B$3839,2,FALSE)</f>
        <v/>
      </c>
      <c r="D3721" s="6" t="n">
        <v>1</v>
      </c>
      <c r="E3721" s="6" t="inlineStr">
        <is>
          <t>R984731</t>
        </is>
      </c>
      <c r="F3721" s="2" t="n">
        <v>44197</v>
      </c>
      <c r="G3721" s="1" t="n"/>
    </row>
    <row r="3722">
      <c r="A3722" s="6" t="n">
        <v>89182</v>
      </c>
      <c r="B3722" s="6" t="inlineStr">
        <is>
          <t>EL MAYOR REPOSADO TEQIULA</t>
        </is>
      </c>
      <c r="C3722" s="7">
        <f>VLOOKUP(A3722,SizeData!A$2:B$3839,2,FALSE)</f>
        <v/>
      </c>
      <c r="D3722" s="6" t="n">
        <v>1</v>
      </c>
      <c r="E3722" s="6" t="inlineStr">
        <is>
          <t>R1002505</t>
        </is>
      </c>
      <c r="F3722" s="2" t="n">
        <v>44214</v>
      </c>
      <c r="G3722" s="1" t="n"/>
    </row>
    <row r="3723">
      <c r="A3723" s="6" t="n">
        <v>89182</v>
      </c>
      <c r="B3723" s="6" t="inlineStr">
        <is>
          <t>EL MAYOR REPOSADO TEQIULA</t>
        </is>
      </c>
      <c r="C3723" s="7">
        <f>VLOOKUP(A3723,SizeData!A$2:B$3839,2,FALSE)</f>
        <v/>
      </c>
      <c r="D3723" s="6" t="n">
        <v>1</v>
      </c>
      <c r="E3723" s="6" t="inlineStr">
        <is>
          <t>R1077377</t>
        </is>
      </c>
      <c r="F3723" s="2" t="n">
        <v>44295</v>
      </c>
      <c r="G3723" s="1" t="n"/>
    </row>
    <row r="3724">
      <c r="A3724" s="6" t="n">
        <v>89182</v>
      </c>
      <c r="B3724" s="6" t="inlineStr">
        <is>
          <t>EL MAYOR REPOSADO TEQIULA</t>
        </is>
      </c>
      <c r="C3724" s="7">
        <f>VLOOKUP(A3724,SizeData!A$2:B$3839,2,FALSE)</f>
        <v/>
      </c>
      <c r="D3724" s="6" t="n">
        <v>2</v>
      </c>
      <c r="E3724" s="6" t="inlineStr">
        <is>
          <t>R1079257</t>
        </is>
      </c>
      <c r="F3724" s="2" t="n">
        <v>44298</v>
      </c>
      <c r="G3724" s="1" t="n"/>
    </row>
    <row r="3725">
      <c r="A3725" s="6" t="n">
        <v>89182</v>
      </c>
      <c r="B3725" s="6" t="inlineStr">
        <is>
          <t>EL MAYOR REPOSADO TEQIULA</t>
        </is>
      </c>
      <c r="C3725" s="7">
        <f>VLOOKUP(A3725,SizeData!A$2:B$3839,2,FALSE)</f>
        <v/>
      </c>
      <c r="D3725" s="6" t="n">
        <v>2</v>
      </c>
      <c r="E3725" s="6" t="inlineStr">
        <is>
          <t>R1291275</t>
        </is>
      </c>
      <c r="F3725" s="2" t="n">
        <v>44498</v>
      </c>
      <c r="G3725" s="1" t="n"/>
    </row>
    <row r="3726">
      <c r="A3726" s="6" t="n">
        <v>89191</v>
      </c>
      <c r="B3726" s="6" t="inlineStr">
        <is>
          <t>JOSE CUERVO ESPECIAL TEQUILA</t>
        </is>
      </c>
      <c r="C3726" s="7">
        <f>VLOOKUP(A3726,SizeData!A$2:B$3839,2,FALSE)</f>
        <v/>
      </c>
      <c r="D3726" s="6" t="n">
        <v>1</v>
      </c>
      <c r="E3726" s="6" t="inlineStr">
        <is>
          <t xml:space="preserve"> R1079980</t>
        </is>
      </c>
      <c r="F3726" s="2" t="n">
        <v>44302</v>
      </c>
      <c r="G3726" s="1" t="n"/>
    </row>
    <row r="3727">
      <c r="A3727" s="6" t="n">
        <v>89191</v>
      </c>
      <c r="B3727" s="6" t="inlineStr">
        <is>
          <t>JOSE CUERVO ESPECIAL TEQUILA</t>
        </is>
      </c>
      <c r="C3727" s="7">
        <f>VLOOKUP(A3727,SizeData!A$2:B$3839,2,FALSE)</f>
        <v/>
      </c>
      <c r="D3727" s="6" t="n">
        <v>4</v>
      </c>
      <c r="E3727" s="6" t="inlineStr">
        <is>
          <t>R1097628</t>
        </is>
      </c>
      <c r="F3727" s="2" t="n">
        <v>44305</v>
      </c>
      <c r="G3727" s="1" t="n"/>
    </row>
    <row r="3728">
      <c r="A3728" s="6" t="n">
        <v>89193</v>
      </c>
      <c r="B3728" s="6" t="inlineStr">
        <is>
          <t>JOSE CUERVO ESPECIAL TEQUILA</t>
        </is>
      </c>
      <c r="C3728" s="7">
        <f>VLOOKUP(A3728,SizeData!A$2:B$3839,2,FALSE)</f>
        <v/>
      </c>
      <c r="D3728" s="6" t="n">
        <v>1</v>
      </c>
      <c r="E3728" s="6" t="inlineStr">
        <is>
          <t>R992402</t>
        </is>
      </c>
      <c r="F3728" s="2" t="n">
        <v>44198</v>
      </c>
      <c r="G3728" s="1" t="n"/>
    </row>
    <row r="3729">
      <c r="A3729" s="6" t="n">
        <v>89193</v>
      </c>
      <c r="B3729" s="6" t="inlineStr">
        <is>
          <t>JOSE CUERVO ESPECIAL TEQUILA</t>
        </is>
      </c>
      <c r="C3729" s="7">
        <f>VLOOKUP(A3729,SizeData!A$2:B$3839,2,FALSE)</f>
        <v/>
      </c>
      <c r="D3729" s="6" t="n">
        <v>1</v>
      </c>
      <c r="E3729" s="6" t="inlineStr">
        <is>
          <t>R1068678</t>
        </is>
      </c>
      <c r="F3729" s="2" t="n">
        <v>44285</v>
      </c>
      <c r="G3729" s="1" t="n"/>
    </row>
    <row r="3730">
      <c r="A3730" s="6" t="n">
        <v>89193</v>
      </c>
      <c r="B3730" s="6" t="inlineStr">
        <is>
          <t>JOSE CUERVO ESPECIAL TEQUILA</t>
        </is>
      </c>
      <c r="C3730" s="7">
        <f>VLOOKUP(A3730,SizeData!A$2:B$3839,2,FALSE)</f>
        <v/>
      </c>
      <c r="D3730" s="6" t="n">
        <v>5</v>
      </c>
      <c r="E3730" s="6" t="inlineStr">
        <is>
          <t xml:space="preserve"> R1089911</t>
        </is>
      </c>
      <c r="F3730" s="2" t="n">
        <v>44299</v>
      </c>
      <c r="G3730" s="1" t="n"/>
    </row>
    <row r="3731">
      <c r="A3731" s="6" t="n">
        <v>89193</v>
      </c>
      <c r="B3731" s="6" t="inlineStr">
        <is>
          <t>JOSE CUERVO ESPECIAL TEQUILA</t>
        </is>
      </c>
      <c r="C3731" s="7">
        <f>VLOOKUP(A3731,SizeData!A$2:B$3839,2,FALSE)</f>
        <v/>
      </c>
      <c r="D3731" s="6" t="n">
        <v>3</v>
      </c>
      <c r="E3731" s="6" t="inlineStr">
        <is>
          <t>R1111802</t>
        </is>
      </c>
      <c r="F3731" s="2" t="n">
        <v>44314</v>
      </c>
      <c r="G3731" s="1" t="n"/>
    </row>
    <row r="3732">
      <c r="A3732" s="6" t="n">
        <v>89193</v>
      </c>
      <c r="B3732" s="6" t="inlineStr">
        <is>
          <t>JOSE CUERVO ESPECIAL TEQUILA</t>
        </is>
      </c>
      <c r="C3732" s="7">
        <f>VLOOKUP(A3732,SizeData!A$2:B$3839,2,FALSE)</f>
        <v/>
      </c>
      <c r="D3732" s="6" t="n">
        <v>1</v>
      </c>
      <c r="E3732" s="6" t="inlineStr">
        <is>
          <t>R1365354</t>
        </is>
      </c>
      <c r="F3732" s="2" t="n">
        <v>44532</v>
      </c>
      <c r="G3732" s="1" t="n"/>
    </row>
    <row r="3733">
      <c r="A3733" s="6" t="n">
        <v>89194</v>
      </c>
      <c r="B3733" s="6" t="inlineStr">
        <is>
          <t>JOSE CUERVO ESPECIAL TEQUILA</t>
        </is>
      </c>
      <c r="C3733" s="7">
        <f>VLOOKUP(A3733,SizeData!A$2:B$3839,2,FALSE)</f>
        <v/>
      </c>
      <c r="D3733" s="6" t="n">
        <v>1</v>
      </c>
      <c r="E3733" s="6" t="inlineStr">
        <is>
          <t>R992402</t>
        </is>
      </c>
      <c r="F3733" s="2" t="n">
        <v>44198</v>
      </c>
      <c r="G3733" s="1" t="n"/>
    </row>
    <row r="3734">
      <c r="A3734" s="6" t="n">
        <v>89194</v>
      </c>
      <c r="B3734" s="6" t="inlineStr">
        <is>
          <t>JOSE CUERVO ESPECIAL TEQUILA</t>
        </is>
      </c>
      <c r="C3734" s="7">
        <f>VLOOKUP(A3734,SizeData!A$2:B$3839,2,FALSE)</f>
        <v/>
      </c>
      <c r="D3734" s="6" t="n">
        <v>2</v>
      </c>
      <c r="E3734" s="6" t="inlineStr">
        <is>
          <t>R1018703</t>
        </is>
      </c>
      <c r="F3734" s="2" t="n">
        <v>44229</v>
      </c>
      <c r="G3734" s="1" t="n"/>
    </row>
    <row r="3735">
      <c r="A3735" s="6" t="n">
        <v>89194</v>
      </c>
      <c r="B3735" s="6" t="inlineStr">
        <is>
          <t>JOSE CUERVO ESPECIAL TEQUILA</t>
        </is>
      </c>
      <c r="C3735" s="7">
        <f>VLOOKUP(A3735,SizeData!A$2:B$3839,2,FALSE)</f>
        <v/>
      </c>
      <c r="D3735" s="6" t="n">
        <v>1</v>
      </c>
      <c r="E3735" s="6" t="inlineStr">
        <is>
          <t>R1030486</t>
        </is>
      </c>
      <c r="F3735" s="2" t="n">
        <v>44247</v>
      </c>
      <c r="G3735" s="1" t="n"/>
    </row>
    <row r="3736">
      <c r="A3736" s="6" t="n">
        <v>89194</v>
      </c>
      <c r="B3736" s="6" t="inlineStr">
        <is>
          <t>JOSE CUERVO ESPECIAL TEQUILA</t>
        </is>
      </c>
      <c r="C3736" s="7">
        <f>VLOOKUP(A3736,SizeData!A$2:B$3839,2,FALSE)</f>
        <v/>
      </c>
      <c r="D3736" s="6" t="n">
        <v>1</v>
      </c>
      <c r="E3736" s="6" t="inlineStr">
        <is>
          <t>R1041727</t>
        </is>
      </c>
      <c r="F3736" s="2" t="n">
        <v>44254</v>
      </c>
      <c r="G3736" s="1" t="n"/>
    </row>
    <row r="3737">
      <c r="A3737" s="6" t="n">
        <v>89194</v>
      </c>
      <c r="B3737" s="6" t="inlineStr">
        <is>
          <t>JOSE CUERVO ESPECIAL TEQUILA</t>
        </is>
      </c>
      <c r="C3737" s="7">
        <f>VLOOKUP(A3737,SizeData!A$2:B$3839,2,FALSE)</f>
        <v/>
      </c>
      <c r="D3737" s="6" t="n">
        <v>5</v>
      </c>
      <c r="E3737" s="6" t="inlineStr">
        <is>
          <t>R1111802</t>
        </is>
      </c>
      <c r="F3737" s="2" t="n">
        <v>44314</v>
      </c>
      <c r="G3737" s="1" t="n"/>
    </row>
    <row r="3738">
      <c r="A3738" s="6" t="n">
        <v>89194</v>
      </c>
      <c r="B3738" s="6" t="inlineStr">
        <is>
          <t>JOSE CUERVO ESPECIAL TEQUILA</t>
        </is>
      </c>
      <c r="C3738" s="7">
        <f>VLOOKUP(A3738,SizeData!A$2:B$3839,2,FALSE)</f>
        <v/>
      </c>
      <c r="D3738" s="6" t="n">
        <v>1</v>
      </c>
      <c r="E3738" s="6" t="inlineStr">
        <is>
          <t>R1248961</t>
        </is>
      </c>
      <c r="F3738" s="2" t="n">
        <v>44461</v>
      </c>
      <c r="G3738" s="1" t="n"/>
    </row>
    <row r="3739">
      <c r="A3739" s="6" t="n">
        <v>89194</v>
      </c>
      <c r="B3739" s="6" t="inlineStr">
        <is>
          <t>JOSE CUERVO ESPECIAL TEQUILA</t>
        </is>
      </c>
      <c r="C3739" s="7">
        <f>VLOOKUP(A3739,SizeData!A$2:B$3839,2,FALSE)</f>
        <v/>
      </c>
      <c r="D3739" s="6" t="n">
        <v>1</v>
      </c>
      <c r="E3739" s="6" t="inlineStr">
        <is>
          <t>R1267576</t>
        </is>
      </c>
      <c r="F3739" s="2" t="n">
        <v>44476</v>
      </c>
      <c r="G3739" s="1" t="n"/>
    </row>
    <row r="3740">
      <c r="A3740" s="6" t="n">
        <v>89194</v>
      </c>
      <c r="B3740" s="6" t="inlineStr">
        <is>
          <t>JOSE CUERVO ESPECIAL TEQUILA</t>
        </is>
      </c>
      <c r="C3740" s="7">
        <f>VLOOKUP(A3740,SizeData!A$2:B$3839,2,FALSE)</f>
        <v/>
      </c>
      <c r="D3740" s="6" t="n">
        <v>1</v>
      </c>
      <c r="E3740" s="6" t="inlineStr">
        <is>
          <t>R1314326</t>
        </is>
      </c>
      <c r="F3740" s="2" t="n">
        <v>44512</v>
      </c>
      <c r="G3740" s="1" t="n"/>
    </row>
    <row r="3741">
      <c r="A3741" s="6" t="n">
        <v>89194</v>
      </c>
      <c r="B3741" s="6" t="inlineStr">
        <is>
          <t>JOSE CUERVO ESPECIAL TEQUILA</t>
        </is>
      </c>
      <c r="C3741" s="7">
        <f>VLOOKUP(A3741,SizeData!A$2:B$3839,2,FALSE)</f>
        <v/>
      </c>
      <c r="D3741" s="6" t="n">
        <v>1</v>
      </c>
      <c r="E3741" s="6" t="inlineStr">
        <is>
          <t>R1335595</t>
        </is>
      </c>
      <c r="F3741" s="2" t="n">
        <v>44520</v>
      </c>
      <c r="G3741" s="1" t="n"/>
    </row>
    <row r="3742">
      <c r="A3742" s="6" t="n">
        <v>89194</v>
      </c>
      <c r="B3742" s="6" t="inlineStr">
        <is>
          <t>JOSE CUERVO ESPECIAL TEQUILA</t>
        </is>
      </c>
      <c r="C3742" s="7">
        <f>VLOOKUP(A3742,SizeData!A$2:B$3839,2,FALSE)</f>
        <v/>
      </c>
      <c r="D3742" s="6" t="n">
        <v>2</v>
      </c>
      <c r="E3742" s="6" t="inlineStr">
        <is>
          <t>R1356782</t>
        </is>
      </c>
      <c r="F3742" s="2" t="n">
        <v>44534</v>
      </c>
      <c r="G3742" s="1" t="n"/>
    </row>
    <row r="3743">
      <c r="A3743" s="6" t="n">
        <v>89196</v>
      </c>
      <c r="B3743" s="6" t="inlineStr">
        <is>
          <t>JOSE CUERVO ESPECIAL TEQUILA GOLD</t>
        </is>
      </c>
      <c r="C3743" s="7">
        <f>VLOOKUP(A3743,SizeData!A$2:B$3839,2,FALSE)</f>
        <v/>
      </c>
      <c r="D3743" s="6" t="n">
        <v>2</v>
      </c>
      <c r="E3743" s="6" t="inlineStr">
        <is>
          <t>R1046038</t>
        </is>
      </c>
      <c r="F3743" s="2" t="n">
        <v>44256</v>
      </c>
      <c r="G3743" s="1" t="n"/>
    </row>
    <row r="3744">
      <c r="A3744" s="6" t="n">
        <v>89196</v>
      </c>
      <c r="B3744" s="6" t="inlineStr">
        <is>
          <t>JOSE CUERVO ESPECIAL TEQUILA GOLD</t>
        </is>
      </c>
      <c r="C3744" s="7">
        <f>VLOOKUP(A3744,SizeData!A$2:B$3839,2,FALSE)</f>
        <v/>
      </c>
      <c r="D3744" s="6" t="n">
        <v>8</v>
      </c>
      <c r="E3744" s="6" t="inlineStr">
        <is>
          <t>R1067564</t>
        </is>
      </c>
      <c r="F3744" s="2" t="n">
        <v>44279</v>
      </c>
      <c r="G3744" s="1" t="n"/>
    </row>
    <row r="3745">
      <c r="A3745" s="6" t="n">
        <v>89196</v>
      </c>
      <c r="B3745" s="6" t="inlineStr">
        <is>
          <t>JOSE CUERVO ESPECIAL TEQUILA GOLD</t>
        </is>
      </c>
      <c r="C3745" s="7">
        <f>VLOOKUP(A3745,SizeData!A$2:B$3839,2,FALSE)</f>
        <v/>
      </c>
      <c r="D3745" s="6" t="n">
        <v>15</v>
      </c>
      <c r="E3745" s="6" t="inlineStr">
        <is>
          <t>R1196544</t>
        </is>
      </c>
      <c r="F3745" s="2" t="n">
        <v>44405</v>
      </c>
      <c r="G3745" s="1" t="n"/>
    </row>
    <row r="3746">
      <c r="A3746" s="6" t="n">
        <v>89196</v>
      </c>
      <c r="B3746" s="6" t="inlineStr">
        <is>
          <t>JOSE CUERVO ESPECIAL TEQUILA GOLD</t>
        </is>
      </c>
      <c r="C3746" s="7">
        <f>VLOOKUP(A3746,SizeData!A$2:B$3839,2,FALSE)</f>
        <v/>
      </c>
      <c r="D3746" s="6" t="n">
        <v>2</v>
      </c>
      <c r="E3746" s="6" t="inlineStr">
        <is>
          <t>R1228454</t>
        </is>
      </c>
      <c r="F3746" s="2" t="n">
        <v>44445</v>
      </c>
      <c r="G3746" s="1" t="n"/>
    </row>
    <row r="3747">
      <c r="A3747" s="6" t="n">
        <v>89196</v>
      </c>
      <c r="B3747" s="6" t="inlineStr">
        <is>
          <t>JOSE CUERVO ESPECIAL TEQUILA GOLD</t>
        </is>
      </c>
      <c r="C3747" s="7">
        <f>VLOOKUP(A3747,SizeData!A$2:B$3839,2,FALSE)</f>
        <v/>
      </c>
      <c r="D3747" s="6" t="n">
        <v>3</v>
      </c>
      <c r="E3747" s="6" t="inlineStr">
        <is>
          <t>R1239565</t>
        </is>
      </c>
      <c r="F3747" s="2" t="n">
        <v>44457</v>
      </c>
      <c r="G3747" s="1" t="n"/>
    </row>
    <row r="3748">
      <c r="A3748" s="6" t="n">
        <v>89196</v>
      </c>
      <c r="B3748" s="6" t="inlineStr">
        <is>
          <t>JOSE CUERVO ESPECIAL TEQUILA GOLD</t>
        </is>
      </c>
      <c r="C3748" s="7">
        <f>VLOOKUP(A3748,SizeData!A$2:B$3839,2,FALSE)</f>
        <v/>
      </c>
      <c r="D3748" s="6" t="n">
        <v>5</v>
      </c>
      <c r="E3748" s="6" t="inlineStr">
        <is>
          <t>R1341373</t>
        </is>
      </c>
      <c r="F3748" s="2" t="n">
        <v>44531</v>
      </c>
      <c r="G3748" s="1" t="n"/>
    </row>
    <row r="3749">
      <c r="A3749" s="6" t="n">
        <v>89198</v>
      </c>
      <c r="B3749" s="6" t="inlineStr">
        <is>
          <t>JOSE CUERVO ESPECIAL TEQUILA GOLD</t>
        </is>
      </c>
      <c r="C3749" s="7">
        <f>VLOOKUP(A3749,SizeData!A$2:B$3839,2,FALSE)</f>
        <v/>
      </c>
      <c r="D3749" s="6" t="n">
        <v>1</v>
      </c>
      <c r="E3749" s="6" t="inlineStr">
        <is>
          <t>R1070281</t>
        </is>
      </c>
      <c r="F3749" s="2" t="n">
        <v>44275</v>
      </c>
      <c r="G3749" s="1" t="n"/>
    </row>
    <row r="3750">
      <c r="A3750" s="6" t="n">
        <v>89198</v>
      </c>
      <c r="B3750" s="6" t="inlineStr">
        <is>
          <t>JOSE CUERVO ESPECIAL TEQUILA GOLD</t>
        </is>
      </c>
      <c r="C3750" s="7">
        <f>VLOOKUP(A3750,SizeData!A$2:B$3839,2,FALSE)</f>
        <v/>
      </c>
      <c r="D3750" s="6" t="n">
        <v>3</v>
      </c>
      <c r="E3750" s="6" t="inlineStr">
        <is>
          <t xml:space="preserve"> R1079980</t>
        </is>
      </c>
      <c r="F3750" s="2" t="n">
        <v>44302</v>
      </c>
      <c r="G3750" s="1" t="n"/>
    </row>
    <row r="3751">
      <c r="A3751" s="6" t="n">
        <v>89198</v>
      </c>
      <c r="B3751" s="6" t="inlineStr">
        <is>
          <t>JOSE CUERVO ESPECIAL TEQUILA GOLD</t>
        </is>
      </c>
      <c r="C3751" s="7">
        <f>VLOOKUP(A3751,SizeData!A$2:B$3839,2,FALSE)</f>
        <v/>
      </c>
      <c r="D3751" s="6" t="n">
        <v>1</v>
      </c>
      <c r="E3751" s="6" t="inlineStr">
        <is>
          <t>R1105665</t>
        </is>
      </c>
      <c r="F3751" s="2" t="n">
        <v>44316</v>
      </c>
      <c r="G3751" s="1" t="n"/>
    </row>
    <row r="3752">
      <c r="A3752" s="6" t="n">
        <v>89198</v>
      </c>
      <c r="B3752" s="6" t="inlineStr">
        <is>
          <t>JOSE CUERVO ESPECIAL TEQUILA GOLD</t>
        </is>
      </c>
      <c r="C3752" s="7">
        <f>VLOOKUP(A3752,SizeData!A$2:B$3839,2,FALSE)</f>
        <v/>
      </c>
      <c r="D3752" s="6" t="n">
        <v>4</v>
      </c>
      <c r="E3752" s="6" t="inlineStr">
        <is>
          <t>R1151004</t>
        </is>
      </c>
      <c r="F3752" s="2" t="n">
        <v>44358</v>
      </c>
      <c r="G3752" s="1" t="n"/>
    </row>
    <row r="3753">
      <c r="A3753" s="6" t="n">
        <v>89198</v>
      </c>
      <c r="B3753" s="6" t="inlineStr">
        <is>
          <t>JOSE CUERVO ESPECIAL TEQUILA GOLD</t>
        </is>
      </c>
      <c r="C3753" s="7">
        <f>VLOOKUP(A3753,SizeData!A$2:B$3839,2,FALSE)</f>
        <v/>
      </c>
      <c r="D3753" s="6" t="n">
        <v>2</v>
      </c>
      <c r="E3753" s="6" t="inlineStr">
        <is>
          <t xml:space="preserve"> R1150892</t>
        </is>
      </c>
      <c r="F3753" s="2" t="n">
        <v>44368</v>
      </c>
      <c r="G3753" s="1" t="n"/>
    </row>
    <row r="3754">
      <c r="A3754" s="6" t="n">
        <v>89198</v>
      </c>
      <c r="B3754" s="6" t="inlineStr">
        <is>
          <t>JOSE CUERVO ESPECIAL TEQUILA GOLD</t>
        </is>
      </c>
      <c r="C3754" s="7">
        <f>VLOOKUP(A3754,SizeData!A$2:B$3839,2,FALSE)</f>
        <v/>
      </c>
      <c r="D3754" s="6" t="n">
        <v>0</v>
      </c>
      <c r="E3754" s="6" t="inlineStr">
        <is>
          <t>R1320287</t>
        </is>
      </c>
      <c r="F3754" s="2" t="n">
        <v>44506</v>
      </c>
      <c r="G3754" s="1" t="n"/>
    </row>
    <row r="3755">
      <c r="A3755" s="6" t="n">
        <v>89198</v>
      </c>
      <c r="B3755" s="6" t="inlineStr">
        <is>
          <t>JOSE CUERVO ESPECIAL TEQUILA GOLD</t>
        </is>
      </c>
      <c r="C3755" s="7">
        <f>VLOOKUP(A3755,SizeData!A$2:B$3839,2,FALSE)</f>
        <v/>
      </c>
      <c r="D3755" s="6" t="n">
        <v>1</v>
      </c>
      <c r="E3755" s="6" t="inlineStr">
        <is>
          <t>R1323053</t>
        </is>
      </c>
      <c r="F3755" s="2" t="n">
        <v>44515</v>
      </c>
      <c r="G3755" s="1" t="n"/>
    </row>
    <row r="3756">
      <c r="A3756" s="6" t="n">
        <v>89198</v>
      </c>
      <c r="B3756" s="6" t="inlineStr">
        <is>
          <t>JOSE CUERVO ESPECIAL TEQUILA GOLD</t>
        </is>
      </c>
      <c r="C3756" s="7">
        <f>VLOOKUP(A3756,SizeData!A$2:B$3839,2,FALSE)</f>
        <v/>
      </c>
      <c r="D3756" s="6" t="n">
        <v>3</v>
      </c>
      <c r="E3756" s="6" t="inlineStr">
        <is>
          <t>R1346005</t>
        </is>
      </c>
      <c r="F3756" s="2" t="n">
        <v>44523</v>
      </c>
      <c r="G3756" s="1" t="n"/>
    </row>
    <row r="3757">
      <c r="A3757" s="6" t="n">
        <v>89198</v>
      </c>
      <c r="B3757" s="6" t="inlineStr">
        <is>
          <t>JOSE CUERVO ESPECIAL TEQUILA GOLD</t>
        </is>
      </c>
      <c r="C3757" s="7">
        <f>VLOOKUP(A3757,SizeData!A$2:B$3839,2,FALSE)</f>
        <v/>
      </c>
      <c r="D3757" s="6" t="n">
        <v>2</v>
      </c>
      <c r="E3757" s="6" t="inlineStr">
        <is>
          <t>R1346277</t>
        </is>
      </c>
      <c r="F3757" s="2" t="n">
        <v>44530</v>
      </c>
      <c r="G3757" s="1" t="n"/>
    </row>
    <row r="3758">
      <c r="A3758" s="6" t="n">
        <v>89200</v>
      </c>
      <c r="B3758" s="6" t="inlineStr">
        <is>
          <t>DON JULIO ANEJO 70TH ANNIVERSARY</t>
        </is>
      </c>
      <c r="C3758" s="7">
        <f>VLOOKUP(A3758,SizeData!A$2:B$3839,2,FALSE)</f>
        <v/>
      </c>
      <c r="D3758" s="6" t="n">
        <v>5</v>
      </c>
      <c r="E3758" s="6" t="inlineStr">
        <is>
          <t>R998237</t>
        </is>
      </c>
      <c r="F3758" s="2" t="n">
        <v>44209</v>
      </c>
      <c r="G3758" s="1" t="n"/>
    </row>
    <row r="3759">
      <c r="A3759" s="6" t="n">
        <v>89200</v>
      </c>
      <c r="B3759" s="6" t="inlineStr">
        <is>
          <t>DON JULIO ANEJO 70TH ANNIVERSARY</t>
        </is>
      </c>
      <c r="C3759" s="7">
        <f>VLOOKUP(A3759,SizeData!A$2:B$3839,2,FALSE)</f>
        <v/>
      </c>
      <c r="D3759" s="6" t="n">
        <v>2</v>
      </c>
      <c r="E3759" s="6" t="inlineStr">
        <is>
          <t>R1016884</t>
        </is>
      </c>
      <c r="F3759" s="2" t="n">
        <v>44229</v>
      </c>
      <c r="G3759" s="1" t="n"/>
    </row>
    <row r="3760">
      <c r="A3760" s="6" t="n">
        <v>89200</v>
      </c>
      <c r="B3760" s="6" t="inlineStr">
        <is>
          <t>DON JULIO ANEJO 70TH ANNIVERSARY</t>
        </is>
      </c>
      <c r="C3760" s="7">
        <f>VLOOKUP(A3760,SizeData!A$2:B$3839,2,FALSE)</f>
        <v/>
      </c>
      <c r="D3760" s="6" t="n">
        <v>2</v>
      </c>
      <c r="E3760" s="6" t="inlineStr">
        <is>
          <t>R1082744</t>
        </is>
      </c>
      <c r="F3760" s="2" t="n">
        <v>44291</v>
      </c>
      <c r="G3760" s="1" t="n"/>
    </row>
    <row r="3761">
      <c r="A3761" s="6" t="n">
        <v>89200</v>
      </c>
      <c r="B3761" s="6" t="inlineStr">
        <is>
          <t>DON JULIO ANEJO 70TH ANNIVERSARY</t>
        </is>
      </c>
      <c r="C3761" s="7">
        <f>VLOOKUP(A3761,SizeData!A$2:B$3839,2,FALSE)</f>
        <v/>
      </c>
      <c r="D3761" s="6" t="n">
        <v>1</v>
      </c>
      <c r="E3761" s="6" t="inlineStr">
        <is>
          <t>R1092621</t>
        </is>
      </c>
      <c r="F3761" s="2" t="n">
        <v>44295</v>
      </c>
      <c r="G3761" s="1" t="n"/>
    </row>
    <row r="3762">
      <c r="A3762" s="6" t="n">
        <v>89200</v>
      </c>
      <c r="B3762" s="6" t="inlineStr">
        <is>
          <t>DON JULIO ANEJO 70TH ANNIVERSARY</t>
        </is>
      </c>
      <c r="C3762" s="7">
        <f>VLOOKUP(A3762,SizeData!A$2:B$3839,2,FALSE)</f>
        <v/>
      </c>
      <c r="D3762" s="6" t="n">
        <v>2</v>
      </c>
      <c r="E3762" s="6" t="inlineStr">
        <is>
          <t>R1117957</t>
        </is>
      </c>
      <c r="F3762" s="2" t="n">
        <v>44327</v>
      </c>
      <c r="G3762" s="1" t="n"/>
    </row>
    <row r="3763">
      <c r="A3763" s="6" t="n">
        <v>89200</v>
      </c>
      <c r="B3763" s="6" t="inlineStr">
        <is>
          <t>DON JULIO ANEJO 70TH ANNIVERSARY</t>
        </is>
      </c>
      <c r="C3763" s="7">
        <f>VLOOKUP(A3763,SizeData!A$2:B$3839,2,FALSE)</f>
        <v/>
      </c>
      <c r="D3763" s="6" t="n">
        <v>2</v>
      </c>
      <c r="E3763" s="6" t="inlineStr">
        <is>
          <t>R1134934</t>
        </is>
      </c>
      <c r="F3763" s="2" t="n">
        <v>44355</v>
      </c>
      <c r="G3763" s="1" t="n"/>
    </row>
    <row r="3764">
      <c r="A3764" s="6" t="n">
        <v>89200</v>
      </c>
      <c r="B3764" s="6" t="inlineStr">
        <is>
          <t>DON JULIO ANEJO 70TH ANNIVERSARY</t>
        </is>
      </c>
      <c r="C3764" s="7">
        <f>VLOOKUP(A3764,SizeData!A$2:B$3839,2,FALSE)</f>
        <v/>
      </c>
      <c r="D3764" s="6" t="n">
        <v>2</v>
      </c>
      <c r="E3764" s="6" t="inlineStr">
        <is>
          <t>R1163989</t>
        </is>
      </c>
      <c r="F3764" s="2" t="n">
        <v>44384</v>
      </c>
      <c r="G3764" s="1" t="n"/>
    </row>
    <row r="3765">
      <c r="A3765" s="6" t="n">
        <v>89200</v>
      </c>
      <c r="B3765" s="6" t="inlineStr">
        <is>
          <t>DON JULIO ANEJO 70TH ANNIVERSARY</t>
        </is>
      </c>
      <c r="C3765" s="7">
        <f>VLOOKUP(A3765,SizeData!A$2:B$3839,2,FALSE)</f>
        <v/>
      </c>
      <c r="D3765" s="6" t="n">
        <v>2</v>
      </c>
      <c r="E3765" s="6" t="inlineStr">
        <is>
          <t>R1194857</t>
        </is>
      </c>
      <c r="F3765" s="2" t="n">
        <v>44418</v>
      </c>
      <c r="G3765" s="1" t="n"/>
    </row>
    <row r="3766">
      <c r="A3766" s="6" t="n">
        <v>89200</v>
      </c>
      <c r="B3766" s="6" t="inlineStr">
        <is>
          <t>DON JULIO ANEJO 70TH ANNIVERSARY</t>
        </is>
      </c>
      <c r="C3766" s="7">
        <f>VLOOKUP(A3766,SizeData!A$2:B$3839,2,FALSE)</f>
        <v/>
      </c>
      <c r="D3766" s="6" t="n">
        <v>1</v>
      </c>
      <c r="E3766" s="6" t="inlineStr">
        <is>
          <t>R1242106</t>
        </is>
      </c>
      <c r="F3766" s="2" t="n">
        <v>44446</v>
      </c>
      <c r="G3766" s="1" t="inlineStr">
        <is>
          <t>Out of 2</t>
        </is>
      </c>
    </row>
    <row r="3767">
      <c r="A3767" s="6" t="n">
        <v>89200</v>
      </c>
      <c r="B3767" s="6" t="inlineStr">
        <is>
          <t>DON JULIO ANEJO 70TH ANNIVERSARY</t>
        </is>
      </c>
      <c r="C3767" s="7">
        <f>VLOOKUP(A3767,SizeData!A$2:B$3839,2,FALSE)</f>
        <v/>
      </c>
      <c r="D3767" s="6" t="n">
        <v>2</v>
      </c>
      <c r="E3767" s="6" t="inlineStr">
        <is>
          <t>R1276475</t>
        </is>
      </c>
      <c r="F3767" s="2" t="n">
        <v>44481</v>
      </c>
      <c r="G3767" s="1" t="n"/>
    </row>
    <row r="3768">
      <c r="A3768" s="6" t="n">
        <v>89200</v>
      </c>
      <c r="B3768" s="6" t="inlineStr">
        <is>
          <t>DON JULIO ANEJO 70TH ANNIVERSARY</t>
        </is>
      </c>
      <c r="C3768" s="7">
        <f>VLOOKUP(A3768,SizeData!A$2:B$3839,2,FALSE)</f>
        <v/>
      </c>
      <c r="D3768" s="6" t="n">
        <v>2</v>
      </c>
      <c r="E3768" s="6" t="inlineStr">
        <is>
          <t>R1331801</t>
        </is>
      </c>
      <c r="F3768" s="2" t="n">
        <v>44516</v>
      </c>
      <c r="G3768" s="1" t="n"/>
    </row>
    <row r="3769">
      <c r="A3769" s="6" t="n">
        <v>89204</v>
      </c>
      <c r="B3769" s="6" t="inlineStr">
        <is>
          <t>1800 REPOSADO TEQUILA</t>
        </is>
      </c>
      <c r="C3769" s="7">
        <f>VLOOKUP(A3769,SizeData!A$2:B$3839,2,FALSE)</f>
        <v/>
      </c>
      <c r="D3769" s="6" t="n">
        <v>1</v>
      </c>
      <c r="E3769" s="6" t="inlineStr">
        <is>
          <t>R1005889</t>
        </is>
      </c>
      <c r="F3769" s="2" t="n">
        <v>44217</v>
      </c>
      <c r="G3769" s="1" t="n"/>
    </row>
    <row r="3770">
      <c r="A3770" s="6" t="n">
        <v>89204</v>
      </c>
      <c r="B3770" s="6" t="inlineStr">
        <is>
          <t>1800 REPOSADO TEQUILA</t>
        </is>
      </c>
      <c r="C3770" s="7">
        <f>VLOOKUP(A3770,SizeData!A$2:B$3839,2,FALSE)</f>
        <v/>
      </c>
      <c r="D3770" s="6" t="n">
        <v>1</v>
      </c>
      <c r="E3770" s="6" t="inlineStr">
        <is>
          <t>R1099905</t>
        </is>
      </c>
      <c r="F3770" s="2" t="n">
        <v>44310</v>
      </c>
      <c r="G3770" s="1" t="n"/>
    </row>
    <row r="3771">
      <c r="A3771" s="6" t="n">
        <v>89204</v>
      </c>
      <c r="B3771" s="6" t="inlineStr">
        <is>
          <t>1800 REPOSADO TEQUILA</t>
        </is>
      </c>
      <c r="C3771" s="7">
        <f>VLOOKUP(A3771,SizeData!A$2:B$3839,2,FALSE)</f>
        <v/>
      </c>
      <c r="D3771" s="6" t="n">
        <v>1</v>
      </c>
      <c r="E3771" s="6" t="inlineStr">
        <is>
          <t>R1137831</t>
        </is>
      </c>
      <c r="F3771" s="2" t="n">
        <v>44348</v>
      </c>
      <c r="G3771" s="1" t="n"/>
    </row>
    <row r="3772">
      <c r="A3772" s="6" t="n">
        <v>89204</v>
      </c>
      <c r="B3772" s="6" t="inlineStr">
        <is>
          <t>1800 REPOSADO TEQUILA</t>
        </is>
      </c>
      <c r="C3772" s="7">
        <f>VLOOKUP(A3772,SizeData!A$2:B$3839,2,FALSE)</f>
        <v/>
      </c>
      <c r="D3772" s="6" t="n">
        <v>1</v>
      </c>
      <c r="E3772" s="6" t="inlineStr">
        <is>
          <t>R1173671</t>
        </is>
      </c>
      <c r="F3772" s="2" t="n">
        <v>44394</v>
      </c>
      <c r="G3772" s="1" t="n"/>
    </row>
    <row r="3773">
      <c r="A3773" s="6" t="n">
        <v>89204</v>
      </c>
      <c r="B3773" s="6" t="inlineStr">
        <is>
          <t>1800 REPOSADO TEQUILA</t>
        </is>
      </c>
      <c r="C3773" s="7">
        <f>VLOOKUP(A3773,SizeData!A$2:B$3839,2,FALSE)</f>
        <v/>
      </c>
      <c r="D3773" s="6" t="n">
        <v>1</v>
      </c>
      <c r="E3773" s="6" t="inlineStr">
        <is>
          <t>R1285811</t>
        </is>
      </c>
      <c r="F3773" s="2" t="n">
        <v>44474</v>
      </c>
      <c r="G3773" s="1" t="n"/>
    </row>
    <row r="3774">
      <c r="A3774" s="6" t="n">
        <v>89204</v>
      </c>
      <c r="B3774" s="6" t="inlineStr">
        <is>
          <t>1800 REPOSADO TEQUILA</t>
        </is>
      </c>
      <c r="C3774" s="7">
        <f>VLOOKUP(A3774,SizeData!A$2:B$3839,2,FALSE)</f>
        <v/>
      </c>
      <c r="D3774" s="6" t="n">
        <v>1</v>
      </c>
      <c r="E3774" s="6" t="inlineStr">
        <is>
          <t>R1340613</t>
        </is>
      </c>
      <c r="F3774" s="2" t="n">
        <v>44520</v>
      </c>
      <c r="G3774" s="1" t="n"/>
    </row>
    <row r="3775">
      <c r="A3775" s="6" t="n">
        <v>89204</v>
      </c>
      <c r="B3775" s="6" t="inlineStr">
        <is>
          <t>1800 REPOSADO TEQUILA</t>
        </is>
      </c>
      <c r="C3775" s="7">
        <f>VLOOKUP(A3775,SizeData!A$2:B$3839,2,FALSE)</f>
        <v/>
      </c>
      <c r="D3775" s="6" t="n">
        <v>1</v>
      </c>
      <c r="E3775" s="6" t="inlineStr">
        <is>
          <t>R1333539</t>
        </is>
      </c>
      <c r="F3775" s="2" t="n">
        <v>44527</v>
      </c>
      <c r="G3775" s="1" t="n"/>
    </row>
    <row r="3776">
      <c r="A3776" s="6" t="n">
        <v>89204</v>
      </c>
      <c r="B3776" s="6" t="inlineStr">
        <is>
          <t>1800 REPOSADO TEQUILA</t>
        </is>
      </c>
      <c r="C3776" s="7">
        <f>VLOOKUP(A3776,SizeData!A$2:B$3839,2,FALSE)</f>
        <v/>
      </c>
      <c r="D3776" s="6" t="n">
        <v>1</v>
      </c>
      <c r="E3776" s="6" t="inlineStr">
        <is>
          <t>R1333539A</t>
        </is>
      </c>
      <c r="F3776" s="2" t="n">
        <v>44529</v>
      </c>
      <c r="G3776" s="1" t="n"/>
    </row>
    <row r="3777">
      <c r="A3777" s="6" t="n">
        <v>89206</v>
      </c>
      <c r="B3777" s="6" t="inlineStr">
        <is>
          <t>1800 REPOSADO TEQUILA</t>
        </is>
      </c>
      <c r="C3777" s="7">
        <f>VLOOKUP(A3777,SizeData!A$2:B$3839,2,FALSE)</f>
        <v/>
      </c>
      <c r="D3777" s="6" t="n">
        <v>1</v>
      </c>
      <c r="E3777" s="6" t="inlineStr">
        <is>
          <t>R1037896</t>
        </is>
      </c>
      <c r="F3777" s="2" t="n">
        <v>44258</v>
      </c>
      <c r="G3777" s="1" t="n"/>
    </row>
    <row r="3778">
      <c r="A3778" s="6" t="n">
        <v>89206</v>
      </c>
      <c r="B3778" s="6" t="inlineStr">
        <is>
          <t>1800 REPOSADO TEQUILA</t>
        </is>
      </c>
      <c r="C3778" s="7">
        <f>VLOOKUP(A3778,SizeData!A$2:B$3839,2,FALSE)</f>
        <v/>
      </c>
      <c r="D3778" s="6" t="n">
        <v>1</v>
      </c>
      <c r="E3778" s="6" t="inlineStr">
        <is>
          <t>R1043269</t>
        </is>
      </c>
      <c r="F3778" s="2" t="n">
        <v>44263</v>
      </c>
      <c r="G3778" s="1" t="n"/>
    </row>
    <row r="3779">
      <c r="A3779" s="6" t="n">
        <v>89206</v>
      </c>
      <c r="B3779" s="6" t="inlineStr">
        <is>
          <t>1800 REPOSADO TEQUILA</t>
        </is>
      </c>
      <c r="C3779" s="7">
        <f>VLOOKUP(A3779,SizeData!A$2:B$3839,2,FALSE)</f>
        <v/>
      </c>
      <c r="D3779" s="6" t="n">
        <v>1</v>
      </c>
      <c r="E3779" s="6" t="inlineStr">
        <is>
          <t>R1116842</t>
        </is>
      </c>
      <c r="F3779" s="2" t="n">
        <v>44324</v>
      </c>
      <c r="G3779" s="1" t="n"/>
    </row>
    <row r="3780">
      <c r="A3780" s="6" t="n">
        <v>89206</v>
      </c>
      <c r="B3780" s="6" t="inlineStr">
        <is>
          <t>1800 REPOSADO TEQUILA</t>
        </is>
      </c>
      <c r="C3780" s="7">
        <f>VLOOKUP(A3780,SizeData!A$2:B$3839,2,FALSE)</f>
        <v/>
      </c>
      <c r="D3780" s="6" t="n">
        <v>2</v>
      </c>
      <c r="E3780" s="6" t="inlineStr">
        <is>
          <t xml:space="preserve"> R1135574</t>
        </is>
      </c>
      <c r="F3780" s="2" t="n">
        <v>44338</v>
      </c>
      <c r="G3780" s="1" t="n"/>
    </row>
    <row r="3781">
      <c r="A3781" s="6" t="n">
        <v>89208</v>
      </c>
      <c r="B3781" s="6" t="inlineStr">
        <is>
          <t>1800 REPOSADO TEQUILA</t>
        </is>
      </c>
      <c r="C3781" s="7">
        <f>VLOOKUP(A3781,SizeData!A$2:B$3839,2,FALSE)</f>
        <v/>
      </c>
      <c r="D3781" s="6" t="n">
        <v>1</v>
      </c>
      <c r="E3781" s="6" t="inlineStr">
        <is>
          <t>R1074089</t>
        </is>
      </c>
      <c r="F3781" s="2" t="n">
        <v>44288</v>
      </c>
      <c r="G3781" s="1" t="n"/>
    </row>
    <row r="3782">
      <c r="A3782" s="6" t="n">
        <v>89208</v>
      </c>
      <c r="B3782" s="6" t="inlineStr">
        <is>
          <t>1800 REPOSADO TEQUILA</t>
        </is>
      </c>
      <c r="C3782" s="7">
        <f>VLOOKUP(A3782,SizeData!A$2:B$3839,2,FALSE)</f>
        <v/>
      </c>
      <c r="D3782" s="6" t="n">
        <v>1</v>
      </c>
      <c r="E3782" s="6" t="inlineStr">
        <is>
          <t>R1115090</t>
        </is>
      </c>
      <c r="F3782" s="2" t="n">
        <v>44315</v>
      </c>
      <c r="G3782" s="1" t="n"/>
    </row>
    <row r="3783">
      <c r="A3783" s="6" t="n">
        <v>89208</v>
      </c>
      <c r="B3783" s="6" t="inlineStr">
        <is>
          <t>1800 REPOSADO TEQUILA</t>
        </is>
      </c>
      <c r="C3783" s="7">
        <f>VLOOKUP(A3783,SizeData!A$2:B$3839,2,FALSE)</f>
        <v/>
      </c>
      <c r="D3783" s="6" t="n">
        <v>2</v>
      </c>
      <c r="E3783" s="6" t="inlineStr">
        <is>
          <t>R1301983</t>
        </is>
      </c>
      <c r="F3783" s="2" t="n">
        <v>44501</v>
      </c>
      <c r="G3783" s="1" t="n"/>
    </row>
    <row r="3784">
      <c r="A3784" s="6" t="n">
        <v>89214</v>
      </c>
      <c r="B3784" s="6" t="inlineStr">
        <is>
          <t>JOSE CUERVO TRADICIONAL REPOSADO</t>
        </is>
      </c>
      <c r="C3784" s="7">
        <f>VLOOKUP(A3784,SizeData!A$2:B$3839,2,FALSE)</f>
        <v/>
      </c>
      <c r="D3784" s="6" t="n">
        <v>2</v>
      </c>
      <c r="E3784" s="6" t="inlineStr">
        <is>
          <t>R1018703</t>
        </is>
      </c>
      <c r="F3784" s="2" t="n">
        <v>44229</v>
      </c>
      <c r="G3784" s="1" t="n"/>
    </row>
    <row r="3785">
      <c r="A3785" s="6" t="n">
        <v>89214</v>
      </c>
      <c r="B3785" s="6" t="inlineStr">
        <is>
          <t>JOSE CUERVO TRADICIONAL REPOSADO</t>
        </is>
      </c>
      <c r="C3785" s="7">
        <f>VLOOKUP(A3785,SizeData!A$2:B$3839,2,FALSE)</f>
        <v/>
      </c>
      <c r="D3785" s="6" t="n">
        <v>1</v>
      </c>
      <c r="E3785" s="6" t="inlineStr">
        <is>
          <t>R1134134</t>
        </is>
      </c>
      <c r="F3785" s="2" t="n">
        <v>44354</v>
      </c>
      <c r="G3785" s="1" t="n"/>
    </row>
    <row r="3786">
      <c r="A3786" s="6" t="n">
        <v>89214</v>
      </c>
      <c r="B3786" s="6" t="inlineStr">
        <is>
          <t>JOSE CUERVO TRADICIONAL REPOSADO</t>
        </is>
      </c>
      <c r="C3786" s="7">
        <f>VLOOKUP(A3786,SizeData!A$2:B$3839,2,FALSE)</f>
        <v/>
      </c>
      <c r="D3786" s="6" t="n">
        <v>1</v>
      </c>
      <c r="E3786" s="6" t="inlineStr">
        <is>
          <t>R1185778</t>
        </is>
      </c>
      <c r="F3786" s="2" t="n">
        <v>44399</v>
      </c>
      <c r="G3786" s="1" t="n"/>
    </row>
    <row r="3787">
      <c r="A3787" s="6" t="n">
        <v>89214</v>
      </c>
      <c r="B3787" s="6" t="inlineStr">
        <is>
          <t>JOSE CUERVO TRADICIONAL REPOSADO</t>
        </is>
      </c>
      <c r="C3787" s="7">
        <f>VLOOKUP(A3787,SizeData!A$2:B$3839,2,FALSE)</f>
        <v/>
      </c>
      <c r="D3787" s="6" t="n">
        <v>1</v>
      </c>
      <c r="E3787" s="6" t="inlineStr">
        <is>
          <t>R1205285</t>
        </is>
      </c>
      <c r="F3787" s="2" t="n">
        <v>44414</v>
      </c>
      <c r="G3787" s="1" t="n"/>
    </row>
    <row r="3788">
      <c r="A3788" s="6" t="n">
        <v>89214</v>
      </c>
      <c r="B3788" s="6" t="inlineStr">
        <is>
          <t>JOSE CUERVO TRADICIONAL REPOSADO</t>
        </is>
      </c>
      <c r="C3788" s="7">
        <f>VLOOKUP(A3788,SizeData!A$2:B$3839,2,FALSE)</f>
        <v/>
      </c>
      <c r="D3788" s="6" t="n">
        <v>1</v>
      </c>
      <c r="E3788" s="6" t="inlineStr">
        <is>
          <t>R1214748</t>
        </is>
      </c>
      <c r="F3788" s="2" t="n">
        <v>44433</v>
      </c>
      <c r="G3788" s="1" t="n"/>
    </row>
    <row r="3789">
      <c r="A3789" s="6" t="n">
        <v>89214</v>
      </c>
      <c r="B3789" s="6" t="inlineStr">
        <is>
          <t>JOSE CUERVO TRADICIONAL REPOSADO</t>
        </is>
      </c>
      <c r="C3789" s="7">
        <f>VLOOKUP(A3789,SizeData!A$2:B$3839,2,FALSE)</f>
        <v/>
      </c>
      <c r="D3789" s="6" t="n">
        <v>1</v>
      </c>
      <c r="E3789" s="6" t="inlineStr">
        <is>
          <t>R1246630</t>
        </is>
      </c>
      <c r="F3789" s="2" t="n">
        <v>44450</v>
      </c>
      <c r="G3789" s="1" t="n"/>
    </row>
    <row r="3790">
      <c r="A3790" s="6" t="n">
        <v>89214</v>
      </c>
      <c r="B3790" s="6" t="inlineStr">
        <is>
          <t>JOSE CUERVO TRADICIONAL REPOSADO</t>
        </is>
      </c>
      <c r="C3790" s="7">
        <f>VLOOKUP(A3790,SizeData!A$2:B$3839,2,FALSE)</f>
        <v/>
      </c>
      <c r="D3790" s="6" t="n">
        <v>0</v>
      </c>
      <c r="E3790" s="6" t="inlineStr">
        <is>
          <t>R1270963</t>
        </is>
      </c>
      <c r="F3790" s="2" t="n">
        <v>44470</v>
      </c>
      <c r="G3790" s="1" t="n"/>
    </row>
    <row r="3791">
      <c r="A3791" s="6" t="n">
        <v>89214</v>
      </c>
      <c r="B3791" s="6" t="inlineStr">
        <is>
          <t>JOSE CUERVO TRADICIONAL REPOSADO</t>
        </is>
      </c>
      <c r="C3791" s="7">
        <f>VLOOKUP(A3791,SizeData!A$2:B$3839,2,FALSE)</f>
        <v/>
      </c>
      <c r="D3791" s="6" t="n">
        <v>0</v>
      </c>
      <c r="E3791" s="6" t="inlineStr">
        <is>
          <t>R1277647</t>
        </is>
      </c>
      <c r="F3791" s="2" t="n">
        <v>44484</v>
      </c>
      <c r="G3791" s="1" t="n"/>
    </row>
    <row r="3792">
      <c r="A3792" s="6" t="n">
        <v>89214</v>
      </c>
      <c r="B3792" s="6" t="inlineStr">
        <is>
          <t>JOSE CUERVO TRADICIONAL REPOSADO</t>
        </is>
      </c>
      <c r="C3792" s="7">
        <f>VLOOKUP(A3792,SizeData!A$2:B$3839,2,FALSE)</f>
        <v/>
      </c>
      <c r="D3792" s="6" t="n">
        <v>9</v>
      </c>
      <c r="E3792" s="6" t="inlineStr">
        <is>
          <t>R1298726</t>
        </is>
      </c>
      <c r="F3792" s="2" t="n">
        <v>44497</v>
      </c>
      <c r="G3792" s="1" t="n"/>
    </row>
    <row r="3793">
      <c r="A3793" s="6" t="n">
        <v>89214</v>
      </c>
      <c r="B3793" s="6" t="inlineStr">
        <is>
          <t>JOSE CUERVO TRADICIONAL REPOSADO</t>
        </is>
      </c>
      <c r="C3793" s="7">
        <f>VLOOKUP(A3793,SizeData!A$2:B$3839,2,FALSE)</f>
        <v/>
      </c>
      <c r="D3793" s="6" t="n">
        <v>1</v>
      </c>
      <c r="E3793" s="6" t="inlineStr">
        <is>
          <t>R1334786</t>
        </is>
      </c>
      <c r="F3793" s="2" t="n">
        <v>44529</v>
      </c>
      <c r="G3793" s="1" t="n"/>
    </row>
    <row r="3794">
      <c r="A3794" s="6" t="n">
        <v>89215</v>
      </c>
      <c r="B3794" s="6" t="inlineStr">
        <is>
          <t>JOSE CUERVO TRADICIONAL REPOSADO TEQ</t>
        </is>
      </c>
      <c r="C3794" s="7">
        <f>VLOOKUP(A3794,SizeData!A$2:B$3839,2,FALSE)</f>
        <v/>
      </c>
      <c r="D3794" s="6" t="n">
        <v>1</v>
      </c>
      <c r="E3794" s="6" t="inlineStr">
        <is>
          <t>R1067564</t>
        </is>
      </c>
      <c r="F3794" s="2" t="n">
        <v>44279</v>
      </c>
      <c r="G3794" s="1" t="n"/>
    </row>
    <row r="3795">
      <c r="A3795" s="6" t="n">
        <v>89215</v>
      </c>
      <c r="B3795" s="6" t="inlineStr">
        <is>
          <t>JOSE CUERVO TRADICIONAL REPOSADO TEQ</t>
        </is>
      </c>
      <c r="C3795" s="7">
        <f>VLOOKUP(A3795,SizeData!A$2:B$3839,2,FALSE)</f>
        <v/>
      </c>
      <c r="D3795" s="6" t="n">
        <v>0</v>
      </c>
      <c r="E3795" s="6" t="inlineStr">
        <is>
          <t>R1301983</t>
        </is>
      </c>
      <c r="F3795" s="2" t="n">
        <v>44501</v>
      </c>
      <c r="G3795" s="1" t="n"/>
    </row>
    <row r="3796">
      <c r="A3796" s="6" t="n">
        <v>89215</v>
      </c>
      <c r="B3796" s="6" t="inlineStr">
        <is>
          <t>JOSE CUERVO TRADICIONAL REPOSADO TEQ</t>
        </is>
      </c>
      <c r="C3796" s="7">
        <f>VLOOKUP(A3796,SizeData!A$2:B$3839,2,FALSE)</f>
        <v/>
      </c>
      <c r="D3796" s="6" t="n">
        <v>2</v>
      </c>
      <c r="E3796" s="6" t="inlineStr">
        <is>
          <t>R1314488</t>
        </is>
      </c>
      <c r="F3796" s="2" t="n">
        <v>44516</v>
      </c>
      <c r="G3796" s="1" t="n"/>
    </row>
    <row r="3797">
      <c r="A3797" s="6" t="n">
        <v>89219</v>
      </c>
      <c r="B3797" s="6" t="inlineStr">
        <is>
          <t>JOSE CUERVO TRADICIONAL REPOSADO</t>
        </is>
      </c>
      <c r="C3797" s="7">
        <f>VLOOKUP(A3797,SizeData!A$2:B$3839,2,FALSE)</f>
        <v/>
      </c>
      <c r="D3797" s="6" t="n">
        <v>1</v>
      </c>
      <c r="E3797" s="6" t="inlineStr">
        <is>
          <t>R1013798</t>
        </is>
      </c>
      <c r="F3797" s="2" t="n">
        <v>44246</v>
      </c>
      <c r="G3797" s="1" t="n"/>
    </row>
    <row r="3798">
      <c r="A3798" s="6" t="n">
        <v>89219</v>
      </c>
      <c r="B3798" s="6" t="inlineStr">
        <is>
          <t>JOSE CUERVO TRADICIONAL REPOSADO</t>
        </is>
      </c>
      <c r="C3798" s="7">
        <f>VLOOKUP(A3798,SizeData!A$2:B$3839,2,FALSE)</f>
        <v/>
      </c>
      <c r="D3798" s="6" t="n">
        <v>3</v>
      </c>
      <c r="E3798" s="6" t="inlineStr">
        <is>
          <t>R1136661</t>
        </is>
      </c>
      <c r="F3798" s="2" t="n">
        <v>44343</v>
      </c>
      <c r="G3798" s="1" t="n"/>
    </row>
    <row r="3799">
      <c r="A3799" s="6" t="n">
        <v>89221</v>
      </c>
      <c r="B3799" s="6" t="inlineStr">
        <is>
          <t>DEL MAGUEY VIDA</t>
        </is>
      </c>
      <c r="C3799" s="7">
        <f>VLOOKUP(A3799,SizeData!A$2:B$3839,2,FALSE)</f>
        <v/>
      </c>
      <c r="D3799" s="6" t="n">
        <v>1</v>
      </c>
      <c r="E3799" s="6" t="inlineStr">
        <is>
          <t>R1155060</t>
        </is>
      </c>
      <c r="F3799" s="2" t="n">
        <v>44357</v>
      </c>
      <c r="G3799" s="1" t="n"/>
    </row>
    <row r="3800">
      <c r="A3800" s="6" t="n">
        <v>89230</v>
      </c>
      <c r="B3800" s="6" t="inlineStr">
        <is>
          <t>1800 ANEJO TEQUILA</t>
        </is>
      </c>
      <c r="C3800" s="7">
        <f>VLOOKUP(A3800,SizeData!A$2:B$3839,2,FALSE)</f>
        <v/>
      </c>
      <c r="D3800" s="6" t="n">
        <v>1</v>
      </c>
      <c r="E3800" s="6" t="inlineStr">
        <is>
          <t>R1047061</t>
        </is>
      </c>
      <c r="F3800" s="2" t="n">
        <v>44259</v>
      </c>
      <c r="G3800" s="1" t="n"/>
    </row>
    <row r="3801">
      <c r="A3801" s="6" t="n">
        <v>89230</v>
      </c>
      <c r="B3801" s="6" t="inlineStr">
        <is>
          <t>1800 ANEJO TEQUILA</t>
        </is>
      </c>
      <c r="C3801" s="7">
        <f>VLOOKUP(A3801,SizeData!A$2:B$3839,2,FALSE)</f>
        <v/>
      </c>
      <c r="D3801" s="6" t="n">
        <v>1</v>
      </c>
      <c r="E3801" s="6" t="inlineStr">
        <is>
          <t>R1099557</t>
        </is>
      </c>
      <c r="F3801" s="2" t="n">
        <v>44317</v>
      </c>
      <c r="G3801" s="1" t="n"/>
    </row>
    <row r="3802">
      <c r="A3802" s="6" t="n">
        <v>89230</v>
      </c>
      <c r="B3802" s="6" t="inlineStr">
        <is>
          <t>1800 ANEJO TEQUILA</t>
        </is>
      </c>
      <c r="C3802" s="7">
        <f>VLOOKUP(A3802,SizeData!A$2:B$3839,2,FALSE)</f>
        <v/>
      </c>
      <c r="D3802" s="6" t="n">
        <v>2</v>
      </c>
      <c r="E3802" s="6" t="inlineStr">
        <is>
          <t>R1135118</t>
        </is>
      </c>
      <c r="F3802" s="2" t="n">
        <v>44321</v>
      </c>
      <c r="G3802" s="1" t="n"/>
    </row>
    <row r="3803">
      <c r="A3803" s="6" t="n">
        <v>89256</v>
      </c>
      <c r="B3803" s="6" t="inlineStr">
        <is>
          <t>GRAN CENTENARIO REPOSADO TEQUILA</t>
        </is>
      </c>
      <c r="C3803" s="7">
        <f>VLOOKUP(A3803,SizeData!A$2:B$3839,2,FALSE)</f>
        <v/>
      </c>
      <c r="D3803" s="6" t="n">
        <v>0</v>
      </c>
      <c r="E3803" s="6" t="inlineStr">
        <is>
          <t>R1240644</t>
        </is>
      </c>
      <c r="F3803" s="2" t="n">
        <v>44440</v>
      </c>
      <c r="G3803" s="1" t="n"/>
    </row>
    <row r="3804">
      <c r="A3804" s="6" t="n">
        <v>89256</v>
      </c>
      <c r="B3804" s="6" t="inlineStr">
        <is>
          <t>GRAN CENTENARIO REPOSADO TEQUILA</t>
        </is>
      </c>
      <c r="C3804" s="7">
        <f>VLOOKUP(A3804,SizeData!A$2:B$3839,2,FALSE)</f>
        <v/>
      </c>
      <c r="D3804" s="6" t="n">
        <v>0</v>
      </c>
      <c r="E3804" s="6" t="inlineStr">
        <is>
          <t>R1239466</t>
        </is>
      </c>
      <c r="F3804" s="2" t="n">
        <v>44454</v>
      </c>
      <c r="G3804" s="1" t="n"/>
    </row>
    <row r="3805">
      <c r="A3805" s="6" t="n">
        <v>89286</v>
      </c>
      <c r="B3805" s="6" t="inlineStr">
        <is>
          <t>ESPOLON REPOSADO TEQUILA</t>
        </is>
      </c>
      <c r="C3805" s="7">
        <f>VLOOKUP(A3805,SizeData!A$2:B$3839,2,FALSE)</f>
        <v/>
      </c>
      <c r="D3805" s="6" t="n">
        <v>1</v>
      </c>
      <c r="E3805" s="6" t="inlineStr">
        <is>
          <t>R1046038</t>
        </is>
      </c>
      <c r="F3805" s="2" t="n">
        <v>44256</v>
      </c>
      <c r="G3805" s="1" t="n"/>
    </row>
    <row r="3806">
      <c r="A3806" s="6" t="n">
        <v>89286</v>
      </c>
      <c r="B3806" s="6" t="inlineStr">
        <is>
          <t>ESPOLON REPOSADO TEQUILA</t>
        </is>
      </c>
      <c r="C3806" s="7">
        <f>VLOOKUP(A3806,SizeData!A$2:B$3839,2,FALSE)</f>
        <v/>
      </c>
      <c r="D3806" s="6" t="n">
        <v>1</v>
      </c>
      <c r="E3806" s="6" t="inlineStr">
        <is>
          <t>R1262670</t>
        </is>
      </c>
      <c r="F3806" s="2" t="n">
        <v>44470</v>
      </c>
      <c r="G3806" s="1" t="n"/>
    </row>
    <row r="3807">
      <c r="A3807" s="6" t="n">
        <v>89292</v>
      </c>
      <c r="B3807" s="6" t="inlineStr">
        <is>
          <t>GRAN CENTENARIO ANJEO TEQUILA</t>
        </is>
      </c>
      <c r="C3807" s="7">
        <f>VLOOKUP(A3807,SizeData!A$2:B$3839,2,FALSE)</f>
        <v/>
      </c>
      <c r="D3807" s="6" t="n">
        <v>1</v>
      </c>
      <c r="E3807" s="6" t="inlineStr">
        <is>
          <t>R1240644</t>
        </is>
      </c>
      <c r="F3807" s="2" t="n">
        <v>44440</v>
      </c>
      <c r="G3807" s="1" t="n"/>
    </row>
    <row r="3808">
      <c r="A3808" s="6" t="n">
        <v>89339</v>
      </c>
      <c r="B3808" s="6" t="inlineStr">
        <is>
          <t>HERRADURA REPOSADO TEQUILA</t>
        </is>
      </c>
      <c r="C3808" s="7">
        <f>VLOOKUP(A3808,SizeData!A$2:B$3839,2,FALSE)</f>
        <v/>
      </c>
      <c r="D3808" s="6" t="n">
        <v>1</v>
      </c>
      <c r="E3808" s="6" t="inlineStr">
        <is>
          <t>R1076240</t>
        </is>
      </c>
      <c r="F3808" s="2" t="n">
        <v>44285</v>
      </c>
      <c r="G3808" s="1" t="n"/>
    </row>
    <row r="3809">
      <c r="A3809" s="6" t="n">
        <v>89339</v>
      </c>
      <c r="B3809" s="6" t="inlineStr">
        <is>
          <t>HERRADURA REPOSADO TEQUILA</t>
        </is>
      </c>
      <c r="C3809" s="7">
        <f>VLOOKUP(A3809,SizeData!A$2:B$3839,2,FALSE)</f>
        <v/>
      </c>
      <c r="D3809" s="6" t="n">
        <v>2</v>
      </c>
      <c r="E3809" s="6" t="inlineStr">
        <is>
          <t>R1147055</t>
        </is>
      </c>
      <c r="F3809" s="2" t="n">
        <v>44361</v>
      </c>
      <c r="G3809" s="1" t="n"/>
    </row>
    <row r="3810">
      <c r="A3810" s="6" t="n">
        <v>89339</v>
      </c>
      <c r="B3810" s="6" t="inlineStr">
        <is>
          <t>HERRADURA REPOSADO TEQUILA</t>
        </is>
      </c>
      <c r="C3810" s="7">
        <f>VLOOKUP(A3810,SizeData!A$2:B$3839,2,FALSE)</f>
        <v/>
      </c>
      <c r="D3810" s="6" t="n">
        <v>1</v>
      </c>
      <c r="E3810" s="6" t="inlineStr">
        <is>
          <t>R1253669</t>
        </is>
      </c>
      <c r="F3810" s="2" t="n">
        <v>44471</v>
      </c>
      <c r="G3810" s="1" t="n"/>
    </row>
    <row r="3811">
      <c r="A3811" s="6" t="n">
        <v>89339</v>
      </c>
      <c r="B3811" s="6" t="inlineStr">
        <is>
          <t>HERRADURA REPOSADO TEQUILA</t>
        </is>
      </c>
      <c r="C3811" s="7">
        <f>VLOOKUP(A3811,SizeData!A$2:B$3839,2,FALSE)</f>
        <v/>
      </c>
      <c r="D3811" s="6" t="n">
        <v>2</v>
      </c>
      <c r="E3811" s="6" t="inlineStr">
        <is>
          <t>R1281530</t>
        </is>
      </c>
      <c r="F3811" s="2" t="n">
        <v>44481</v>
      </c>
      <c r="G3811" s="1" t="n"/>
    </row>
    <row r="3812">
      <c r="A3812" s="6" t="n">
        <v>89468</v>
      </c>
      <c r="B3812" s="6" t="inlineStr">
        <is>
          <t>LUNAZUL TEQUILA REPOSADO</t>
        </is>
      </c>
      <c r="C3812" s="7">
        <f>VLOOKUP(A3812,SizeData!A$2:B$3839,2,FALSE)</f>
        <v/>
      </c>
      <c r="D3812" s="6" t="n">
        <v>1</v>
      </c>
      <c r="E3812" s="6" t="inlineStr">
        <is>
          <t>R1235270</t>
        </is>
      </c>
      <c r="F3812" s="2" t="n">
        <v>44440</v>
      </c>
      <c r="G3812" s="1" t="n"/>
    </row>
    <row r="3813">
      <c r="A3813" s="6" t="n">
        <v>89468</v>
      </c>
      <c r="B3813" s="6" t="inlineStr">
        <is>
          <t>LUNAZUL TEQUILA REPOSADO</t>
        </is>
      </c>
      <c r="C3813" s="7">
        <f>VLOOKUP(A3813,SizeData!A$2:B$3839,2,FALSE)</f>
        <v/>
      </c>
      <c r="D3813" s="6" t="n">
        <v>1</v>
      </c>
      <c r="E3813" s="6" t="inlineStr">
        <is>
          <t>R1228454</t>
        </is>
      </c>
      <c r="F3813" s="2" t="n">
        <v>44445</v>
      </c>
      <c r="G3813" s="1" t="n"/>
    </row>
    <row r="3814">
      <c r="A3814" s="6" t="n">
        <v>89488</v>
      </c>
      <c r="B3814" s="6" t="inlineStr">
        <is>
          <t>MAESTRO DOBEL DIAMOND REPOSADO</t>
        </is>
      </c>
      <c r="C3814" s="7">
        <f>VLOOKUP(A3814,SizeData!A$2:B$3839,2,FALSE)</f>
        <v/>
      </c>
      <c r="D3814" s="6" t="n">
        <v>2</v>
      </c>
      <c r="E3814" s="6" t="inlineStr">
        <is>
          <t>R1085364</t>
        </is>
      </c>
      <c r="F3814" s="2" t="n">
        <v>44289</v>
      </c>
      <c r="G3814" s="1" t="n"/>
    </row>
    <row r="3815">
      <c r="A3815" s="6" t="n">
        <v>89488</v>
      </c>
      <c r="B3815" s="6" t="inlineStr">
        <is>
          <t>MAESTRO DOBEL DIAMOND REPOSADO</t>
        </is>
      </c>
      <c r="C3815" s="7">
        <f>VLOOKUP(A3815,SizeData!A$2:B$3839,2,FALSE)</f>
        <v/>
      </c>
      <c r="D3815" s="6" t="n">
        <v>3</v>
      </c>
      <c r="E3815" s="6" t="inlineStr">
        <is>
          <t>R1135118</t>
        </is>
      </c>
      <c r="F3815" s="2" t="n">
        <v>44321</v>
      </c>
      <c r="G3815" s="1" t="n"/>
    </row>
    <row r="3816">
      <c r="A3816" s="6" t="n">
        <v>89488</v>
      </c>
      <c r="B3816" s="6" t="inlineStr">
        <is>
          <t>MAESTRO DOBEL DIAMOND REPOSADO</t>
        </is>
      </c>
      <c r="C3816" s="7">
        <f>VLOOKUP(A3816,SizeData!A$2:B$3839,2,FALSE)</f>
        <v/>
      </c>
      <c r="D3816" s="6" t="n">
        <v>5</v>
      </c>
      <c r="E3816" s="6" t="inlineStr">
        <is>
          <t>R1169967</t>
        </is>
      </c>
      <c r="F3816" s="2" t="n">
        <v>44385</v>
      </c>
      <c r="G3816" s="1" t="n"/>
    </row>
    <row r="3817">
      <c r="A3817" s="6" t="n">
        <v>89488</v>
      </c>
      <c r="B3817" s="6" t="inlineStr">
        <is>
          <t>MAESTRO DOBEL DIAMOND REPOSADO</t>
        </is>
      </c>
      <c r="C3817" s="7">
        <f>VLOOKUP(A3817,SizeData!A$2:B$3839,2,FALSE)</f>
        <v/>
      </c>
      <c r="D3817" s="6" t="n">
        <v>5</v>
      </c>
      <c r="E3817" s="6" t="inlineStr">
        <is>
          <t xml:space="preserve"> R1358938</t>
        </is>
      </c>
      <c r="F3817" s="2" t="n">
        <v>44538</v>
      </c>
      <c r="G3817" s="1" t="n"/>
    </row>
    <row r="3818">
      <c r="A3818" s="6" t="n">
        <v>89578</v>
      </c>
      <c r="B3818" s="6" t="inlineStr">
        <is>
          <t>MONTEZUMA GOLD TEQUILA</t>
        </is>
      </c>
      <c r="C3818" s="7">
        <f>VLOOKUP(A3818,SizeData!A$2:B$3839,2,FALSE)</f>
        <v/>
      </c>
      <c r="D3818" s="6" t="n">
        <v>2</v>
      </c>
      <c r="E3818" s="6" t="inlineStr">
        <is>
          <t>R1224208</t>
        </is>
      </c>
      <c r="F3818" s="2" t="n">
        <v>44436</v>
      </c>
      <c r="G3818" s="1" t="n"/>
    </row>
    <row r="3819">
      <c r="A3819" s="6" t="n">
        <v>89583</v>
      </c>
      <c r="B3819" s="6" t="inlineStr">
        <is>
          <t>MILAGRO TEQUILA REPOSADO</t>
        </is>
      </c>
      <c r="C3819" s="7">
        <f>VLOOKUP(A3819,SizeData!A$2:B$3839,2,FALSE)</f>
        <v/>
      </c>
      <c r="D3819" s="6" t="n">
        <v>1</v>
      </c>
      <c r="E3819" s="6" t="inlineStr">
        <is>
          <t>R1099557</t>
        </is>
      </c>
      <c r="F3819" s="2" t="n">
        <v>44317</v>
      </c>
      <c r="G3819" s="1" t="n"/>
    </row>
    <row r="3820">
      <c r="A3820" s="6" t="n">
        <v>89583</v>
      </c>
      <c r="B3820" s="6" t="inlineStr">
        <is>
          <t>MILAGRO TEQUILA REPOSADO</t>
        </is>
      </c>
      <c r="C3820" s="7">
        <f>VLOOKUP(A3820,SizeData!A$2:B$3839,2,FALSE)</f>
        <v/>
      </c>
      <c r="D3820" s="6" t="n">
        <v>1</v>
      </c>
      <c r="E3820" s="6" t="inlineStr">
        <is>
          <t>R1192063</t>
        </is>
      </c>
      <c r="F3820" s="2" t="n">
        <v>44408</v>
      </c>
      <c r="G3820" s="1" t="n"/>
    </row>
    <row r="3821">
      <c r="A3821" s="6" t="n">
        <v>89624</v>
      </c>
      <c r="B3821" s="6" t="inlineStr">
        <is>
          <t>PATRON REPOSADO TEQUILA</t>
        </is>
      </c>
      <c r="C3821" s="7">
        <f>VLOOKUP(A3821,SizeData!A$2:B$3839,2,FALSE)</f>
        <v/>
      </c>
      <c r="D3821" s="6" t="n">
        <v>1</v>
      </c>
      <c r="E3821" s="6" t="inlineStr">
        <is>
          <t>R986958</t>
        </is>
      </c>
      <c r="F3821" s="2" t="n">
        <v>44200</v>
      </c>
      <c r="G3821" s="1" t="n"/>
    </row>
    <row r="3822">
      <c r="A3822" s="6" t="n">
        <v>89624</v>
      </c>
      <c r="B3822" s="6" t="inlineStr">
        <is>
          <t>PATRON REPOSADO TEQUILA</t>
        </is>
      </c>
      <c r="C3822" s="7">
        <f>VLOOKUP(A3822,SizeData!A$2:B$3839,2,FALSE)</f>
        <v/>
      </c>
      <c r="D3822" s="6" t="n">
        <v>2</v>
      </c>
      <c r="E3822" s="6" t="inlineStr">
        <is>
          <t>R1029842</t>
        </is>
      </c>
      <c r="F3822" s="2" t="n">
        <v>44249</v>
      </c>
      <c r="G3822" s="1" t="n"/>
    </row>
    <row r="3823">
      <c r="A3823" s="6" t="n">
        <v>89624</v>
      </c>
      <c r="B3823" s="6" t="inlineStr">
        <is>
          <t>PATRON REPOSADO TEQUILA</t>
        </is>
      </c>
      <c r="C3823" s="7">
        <f>VLOOKUP(A3823,SizeData!A$2:B$3839,2,FALSE)</f>
        <v/>
      </c>
      <c r="D3823" s="6" t="n">
        <v>1</v>
      </c>
      <c r="E3823" s="6" t="inlineStr">
        <is>
          <t>R1067564</t>
        </is>
      </c>
      <c r="F3823" s="2" t="n">
        <v>44279</v>
      </c>
      <c r="G3823" s="1" t="n"/>
    </row>
    <row r="3824">
      <c r="A3824" s="6" t="n">
        <v>89624</v>
      </c>
      <c r="B3824" s="6" t="inlineStr">
        <is>
          <t>PATRON REPOSADO TEQUILA</t>
        </is>
      </c>
      <c r="C3824" s="7">
        <f>VLOOKUP(A3824,SizeData!A$2:B$3839,2,FALSE)</f>
        <v/>
      </c>
      <c r="D3824" s="6" t="n">
        <v>1</v>
      </c>
      <c r="E3824" s="6" t="inlineStr">
        <is>
          <t>R1086355</t>
        </is>
      </c>
      <c r="F3824" s="2" t="n">
        <v>44294</v>
      </c>
      <c r="G3824" s="1" t="n"/>
    </row>
    <row r="3825">
      <c r="A3825" s="6" t="n">
        <v>89624</v>
      </c>
      <c r="B3825" s="6" t="inlineStr">
        <is>
          <t>PATRON REPOSADO TEQUILA</t>
        </is>
      </c>
      <c r="C3825" s="7">
        <f>VLOOKUP(A3825,SizeData!A$2:B$3839,2,FALSE)</f>
        <v/>
      </c>
      <c r="D3825" s="6" t="n">
        <v>4</v>
      </c>
      <c r="E3825" s="6" t="inlineStr">
        <is>
          <t>R1121598</t>
        </is>
      </c>
      <c r="F3825" s="2" t="n">
        <v>44335</v>
      </c>
      <c r="G3825" s="1" t="n"/>
    </row>
    <row r="3826">
      <c r="A3826" s="6" t="n">
        <v>89624</v>
      </c>
      <c r="B3826" s="6" t="inlineStr">
        <is>
          <t>PATRON REPOSADO TEQUILA</t>
        </is>
      </c>
      <c r="C3826" s="7">
        <f>VLOOKUP(A3826,SizeData!A$2:B$3839,2,FALSE)</f>
        <v/>
      </c>
      <c r="D3826" s="6" t="n">
        <v>5</v>
      </c>
      <c r="E3826" s="6" t="inlineStr">
        <is>
          <t>R1139641</t>
        </is>
      </c>
      <c r="F3826" s="2" t="n">
        <v>44356</v>
      </c>
      <c r="G3826" s="1" t="n"/>
    </row>
    <row r="3827">
      <c r="A3827" s="6" t="n">
        <v>89624</v>
      </c>
      <c r="B3827" s="6" t="inlineStr">
        <is>
          <t>PATRON REPOSADO TEQUILA</t>
        </is>
      </c>
      <c r="C3827" s="7">
        <f>VLOOKUP(A3827,SizeData!A$2:B$3839,2,FALSE)</f>
        <v/>
      </c>
      <c r="D3827" s="6" t="n">
        <v>0</v>
      </c>
      <c r="E3827" s="6" t="inlineStr">
        <is>
          <t>R1283407</t>
        </is>
      </c>
      <c r="F3827" s="2" t="n">
        <v>44483</v>
      </c>
      <c r="G3827" s="1" t="n"/>
    </row>
    <row r="3828">
      <c r="A3828" s="6" t="n">
        <v>89624</v>
      </c>
      <c r="B3828" s="6" t="inlineStr">
        <is>
          <t>PATRON REPOSADO TEQUILA</t>
        </is>
      </c>
      <c r="C3828" s="7">
        <f>VLOOKUP(A3828,SizeData!A$2:B$3839,2,FALSE)</f>
        <v/>
      </c>
      <c r="D3828" s="6" t="n">
        <v>3</v>
      </c>
      <c r="E3828" s="6" t="inlineStr">
        <is>
          <t>R1287547</t>
        </is>
      </c>
      <c r="F3828" s="2" t="n">
        <v>44490</v>
      </c>
      <c r="G3828" s="1" t="n"/>
    </row>
    <row r="3829">
      <c r="A3829" s="6" t="n">
        <v>89626</v>
      </c>
      <c r="B3829" s="6" t="inlineStr">
        <is>
          <t>PATRON REPOSADO GOLD TEQUILA</t>
        </is>
      </c>
      <c r="C3829" s="7">
        <f>VLOOKUP(A3829,SizeData!A$2:B$3839,2,FALSE)</f>
        <v/>
      </c>
      <c r="D3829" s="6" t="n">
        <v>1</v>
      </c>
      <c r="E3829" s="6" t="inlineStr">
        <is>
          <t>R1026405</t>
        </is>
      </c>
      <c r="F3829" s="2" t="n">
        <v>44229</v>
      </c>
      <c r="G3829" s="1" t="n"/>
    </row>
    <row r="3830">
      <c r="A3830" s="6" t="n">
        <v>89626</v>
      </c>
      <c r="B3830" s="6" t="inlineStr">
        <is>
          <t>PATRON REPOSADO GOLD TEQUILA</t>
        </is>
      </c>
      <c r="C3830" s="7">
        <f>VLOOKUP(A3830,SizeData!A$2:B$3839,2,FALSE)</f>
        <v/>
      </c>
      <c r="D3830" s="6" t="n">
        <v>1</v>
      </c>
      <c r="E3830" s="6" t="inlineStr">
        <is>
          <t>R1029842</t>
        </is>
      </c>
      <c r="F3830" s="2" t="n">
        <v>44249</v>
      </c>
      <c r="G3830" s="1" t="n"/>
    </row>
    <row r="3831">
      <c r="A3831" s="6" t="n">
        <v>89626</v>
      </c>
      <c r="B3831" s="6" t="inlineStr">
        <is>
          <t>PATRON REPOSADO GOLD TEQUILA</t>
        </is>
      </c>
      <c r="C3831" s="7">
        <f>VLOOKUP(A3831,SizeData!A$2:B$3839,2,FALSE)</f>
        <v/>
      </c>
      <c r="D3831" s="6" t="n">
        <v>5</v>
      </c>
      <c r="E3831" s="6" t="inlineStr">
        <is>
          <t>R1099557</t>
        </is>
      </c>
      <c r="F3831" s="2" t="n">
        <v>44317</v>
      </c>
      <c r="G3831" s="1" t="n"/>
    </row>
    <row r="3832">
      <c r="A3832" s="6" t="n">
        <v>89626</v>
      </c>
      <c r="B3832" s="6" t="inlineStr">
        <is>
          <t>PATRON REPOSADO GOLD TEQUILA</t>
        </is>
      </c>
      <c r="C3832" s="7">
        <f>VLOOKUP(A3832,SizeData!A$2:B$3839,2,FALSE)</f>
        <v/>
      </c>
      <c r="D3832" s="6" t="n">
        <v>1</v>
      </c>
      <c r="E3832" s="6" t="inlineStr">
        <is>
          <t>R1283407</t>
        </is>
      </c>
      <c r="F3832" s="2" t="n">
        <v>44483</v>
      </c>
      <c r="G3832" s="1" t="n"/>
    </row>
    <row r="3833">
      <c r="A3833" s="6" t="n">
        <v>89626</v>
      </c>
      <c r="B3833" s="6" t="inlineStr">
        <is>
          <t>PATRON REPOSADO GOLD TEQUILA</t>
        </is>
      </c>
      <c r="C3833" s="7">
        <f>VLOOKUP(A3833,SizeData!A$2:B$3839,2,FALSE)</f>
        <v/>
      </c>
      <c r="D3833" s="6" t="n">
        <v>2</v>
      </c>
      <c r="E3833" s="6" t="inlineStr">
        <is>
          <t>R1287547</t>
        </is>
      </c>
      <c r="F3833" s="2" t="n">
        <v>44490</v>
      </c>
      <c r="G3833" s="1" t="n"/>
    </row>
    <row r="3834">
      <c r="A3834" s="6" t="n">
        <v>89644</v>
      </c>
      <c r="B3834" s="6" t="inlineStr">
        <is>
          <t>PATRON ANEJO TEQUILA</t>
        </is>
      </c>
      <c r="C3834" s="7">
        <f>VLOOKUP(A3834,SizeData!A$2:B$3839,2,FALSE)</f>
        <v/>
      </c>
      <c r="D3834" s="6" t="n">
        <v>5</v>
      </c>
      <c r="E3834" s="6" t="inlineStr">
        <is>
          <t>R1124629</t>
        </is>
      </c>
      <c r="F3834" s="2" t="n">
        <v>44343</v>
      </c>
      <c r="G3834" s="1" t="n"/>
    </row>
    <row r="3835">
      <c r="A3835" s="6" t="n">
        <v>89644</v>
      </c>
      <c r="B3835" s="6" t="inlineStr">
        <is>
          <t>PATRON ANEJO TEQUILA</t>
        </is>
      </c>
      <c r="C3835" s="7">
        <f>VLOOKUP(A3835,SizeData!A$2:B$3839,2,FALSE)</f>
        <v/>
      </c>
      <c r="D3835" s="6" t="n">
        <v>4</v>
      </c>
      <c r="E3835" s="6" t="inlineStr">
        <is>
          <t>R1139641</t>
        </is>
      </c>
      <c r="F3835" s="2" t="n">
        <v>44356</v>
      </c>
      <c r="G3835" s="1" t="n"/>
    </row>
    <row r="3836">
      <c r="A3836" s="6" t="n">
        <v>89644</v>
      </c>
      <c r="B3836" s="6" t="inlineStr">
        <is>
          <t>PATRON ANEJO TEQUILA</t>
        </is>
      </c>
      <c r="C3836" s="7">
        <f>VLOOKUP(A3836,SizeData!A$2:B$3839,2,FALSE)</f>
        <v/>
      </c>
      <c r="D3836" s="6" t="n">
        <v>0</v>
      </c>
      <c r="E3836" s="6" t="inlineStr">
        <is>
          <t>R1283407</t>
        </is>
      </c>
      <c r="F3836" s="2" t="n">
        <v>44483</v>
      </c>
      <c r="G3836" s="1" t="n"/>
    </row>
    <row r="3837">
      <c r="A3837" s="6" t="n">
        <v>89644</v>
      </c>
      <c r="B3837" s="6" t="inlineStr">
        <is>
          <t>PATRON ANEJO TEQUILA</t>
        </is>
      </c>
      <c r="C3837" s="7">
        <f>VLOOKUP(A3837,SizeData!A$2:B$3839,2,FALSE)</f>
        <v/>
      </c>
      <c r="D3837" s="6" t="n">
        <v>5</v>
      </c>
      <c r="E3837" s="6" t="inlineStr">
        <is>
          <t>R1353189</t>
        </is>
      </c>
      <c r="F3837" s="2" t="n">
        <v>44539</v>
      </c>
      <c r="G3837" s="1" t="n"/>
    </row>
    <row r="3838">
      <c r="A3838" s="6" t="n">
        <v>89646</v>
      </c>
      <c r="B3838" s="6" t="inlineStr">
        <is>
          <t>PATRON ANEJO TEQUILA</t>
        </is>
      </c>
      <c r="C3838" s="7">
        <f>VLOOKUP(A3838,SizeData!A$2:B$3839,2,FALSE)</f>
        <v/>
      </c>
      <c r="D3838" s="6" t="n">
        <v>1</v>
      </c>
      <c r="E3838" s="6" t="inlineStr">
        <is>
          <t>R1029842</t>
        </is>
      </c>
      <c r="F3838" s="2" t="n">
        <v>44249</v>
      </c>
      <c r="G3838" s="1" t="n"/>
    </row>
    <row r="3839">
      <c r="A3839" s="6" t="n">
        <v>89646</v>
      </c>
      <c r="B3839" s="6" t="inlineStr">
        <is>
          <t>PATRON ANEJO TEQUILA</t>
        </is>
      </c>
      <c r="C3839" s="7">
        <f>VLOOKUP(A3839,SizeData!A$2:B$3839,2,FALSE)</f>
        <v/>
      </c>
      <c r="D3839" s="6" t="n">
        <v>1</v>
      </c>
      <c r="E3839" s="6" t="inlineStr">
        <is>
          <t>R1086355</t>
        </is>
      </c>
      <c r="F3839" s="2" t="n">
        <v>44294</v>
      </c>
      <c r="G3839" s="1" t="n"/>
    </row>
    <row r="3840">
      <c r="A3840" s="6" t="n">
        <v>89646</v>
      </c>
      <c r="B3840" s="6" t="inlineStr">
        <is>
          <t>PATRON ANEJO TEQUILA</t>
        </is>
      </c>
      <c r="C3840" s="7">
        <f>VLOOKUP(A3840,SizeData!A$2:B$3839,2,FALSE)</f>
        <v/>
      </c>
      <c r="D3840" s="6" t="n">
        <v>4</v>
      </c>
      <c r="E3840" s="6" t="inlineStr">
        <is>
          <t>R1124629</t>
        </is>
      </c>
      <c r="F3840" s="2" t="n">
        <v>44343</v>
      </c>
      <c r="G3840" s="1" t="n"/>
    </row>
    <row r="3841">
      <c r="A3841" s="6" t="n">
        <v>89646</v>
      </c>
      <c r="B3841" s="6" t="inlineStr">
        <is>
          <t>PATRON ANEJO TEQUILA</t>
        </is>
      </c>
      <c r="C3841" s="7">
        <f>VLOOKUP(A3841,SizeData!A$2:B$3839,2,FALSE)</f>
        <v/>
      </c>
      <c r="D3841" s="6" t="n">
        <v>0</v>
      </c>
      <c r="E3841" s="6" t="inlineStr">
        <is>
          <t>R1283407</t>
        </is>
      </c>
      <c r="F3841" s="2" t="n">
        <v>44483</v>
      </c>
      <c r="G3841" s="1" t="n"/>
    </row>
    <row r="3842">
      <c r="A3842" s="6" t="n">
        <v>89646</v>
      </c>
      <c r="B3842" s="6" t="inlineStr">
        <is>
          <t>PATRON ANEJO TEQUILA</t>
        </is>
      </c>
      <c r="C3842" s="7">
        <f>VLOOKUP(A3842,SizeData!A$2:B$3839,2,FALSE)</f>
        <v/>
      </c>
      <c r="D3842" s="6" t="n">
        <v>0</v>
      </c>
      <c r="E3842" s="6" t="inlineStr">
        <is>
          <t>R1313784A</t>
        </is>
      </c>
      <c r="F3842" s="2" t="n">
        <v>44503</v>
      </c>
      <c r="G3842" s="1" t="n"/>
    </row>
    <row r="3843">
      <c r="A3843" s="6" t="n">
        <v>89646</v>
      </c>
      <c r="B3843" s="6" t="inlineStr">
        <is>
          <t>PATRON ANEJO TEQUILA</t>
        </is>
      </c>
      <c r="C3843" s="7">
        <f>VLOOKUP(A3843,SizeData!A$2:B$3839,2,FALSE)</f>
        <v/>
      </c>
      <c r="D3843" s="6" t="n">
        <v>5</v>
      </c>
      <c r="E3843" s="6" t="inlineStr">
        <is>
          <t>R1358666</t>
        </is>
      </c>
      <c r="F3843" s="2" t="n">
        <v>44539</v>
      </c>
      <c r="G3843" s="1" t="n"/>
    </row>
    <row r="3844">
      <c r="A3844" s="6" t="n">
        <v>89836</v>
      </c>
      <c r="B3844" s="6" t="inlineStr">
        <is>
          <t>HORNITOS REPOSADO TEQUILA</t>
        </is>
      </c>
      <c r="C3844" s="7">
        <f>VLOOKUP(A3844,SizeData!A$2:B$3839,2,FALSE)</f>
        <v/>
      </c>
      <c r="D3844" s="6" t="n">
        <v>1</v>
      </c>
      <c r="E3844" s="6" t="inlineStr">
        <is>
          <t>R1085364</t>
        </is>
      </c>
      <c r="F3844" s="2" t="n">
        <v>44289</v>
      </c>
      <c r="G3844" s="1" t="n"/>
    </row>
    <row r="3845">
      <c r="A3845" s="6" t="n">
        <v>89846</v>
      </c>
      <c r="B3845" s="6" t="inlineStr">
        <is>
          <t>SAUZA TRES GENERACIONES ANEJO TEQUIL</t>
        </is>
      </c>
      <c r="C3845" s="7">
        <f>VLOOKUP(A3845,SizeData!A$2:B$3839,2,FALSE)</f>
        <v/>
      </c>
      <c r="D3845" s="6" t="n">
        <v>1</v>
      </c>
      <c r="E3845" s="6" t="inlineStr">
        <is>
          <t>R1038616</t>
        </is>
      </c>
      <c r="F3845" s="2" t="n">
        <v>44251</v>
      </c>
      <c r="G3845" s="1" t="n"/>
    </row>
    <row r="3846">
      <c r="A3846" s="6" t="n">
        <v>89846</v>
      </c>
      <c r="B3846" s="6" t="inlineStr">
        <is>
          <t>SAUZA TRES GENERACIONES ANEJO TEQUIL</t>
        </is>
      </c>
      <c r="C3846" s="7">
        <f>VLOOKUP(A3846,SizeData!A$2:B$3839,2,FALSE)</f>
        <v/>
      </c>
      <c r="D3846" s="6" t="n">
        <v>2</v>
      </c>
      <c r="E3846" s="6" t="inlineStr">
        <is>
          <t>R1070281</t>
        </is>
      </c>
      <c r="F3846" s="2" t="n">
        <v>44275</v>
      </c>
      <c r="G3846" s="1" t="n"/>
    </row>
    <row r="3847">
      <c r="A3847" s="6" t="n">
        <v>89846</v>
      </c>
      <c r="B3847" s="6" t="inlineStr">
        <is>
          <t>SAUZA TRES GENERACIONES ANEJO TEQUIL</t>
        </is>
      </c>
      <c r="C3847" s="7">
        <f>VLOOKUP(A3847,SizeData!A$2:B$3839,2,FALSE)</f>
        <v/>
      </c>
      <c r="D3847" s="6" t="n">
        <v>1</v>
      </c>
      <c r="E3847" s="6" t="inlineStr">
        <is>
          <t>R1109381</t>
        </is>
      </c>
      <c r="F3847" s="2" t="n">
        <v>44331</v>
      </c>
      <c r="G3847" s="1" t="n"/>
    </row>
    <row r="3848">
      <c r="A3848" s="6" t="n">
        <v>89887</v>
      </c>
      <c r="B3848" s="6" t="inlineStr">
        <is>
          <t>TORADA REPOSADO TEQUILA</t>
        </is>
      </c>
      <c r="C3848" s="7">
        <f>VLOOKUP(A3848,SizeData!A$2:B$3839,2,FALSE)</f>
        <v/>
      </c>
      <c r="D3848" s="6" t="n">
        <v>1</v>
      </c>
      <c r="E3848" s="6" t="inlineStr">
        <is>
          <t>R1156528</t>
        </is>
      </c>
      <c r="F3848" s="2" t="n">
        <v>44362</v>
      </c>
      <c r="G3848" s="1" t="n"/>
    </row>
    <row r="3849">
      <c r="A3849" s="6" t="n">
        <v>89887</v>
      </c>
      <c r="B3849" s="6" t="inlineStr">
        <is>
          <t>TORADA REPOSADO TEQUILA</t>
        </is>
      </c>
      <c r="C3849" s="7">
        <f>VLOOKUP(A3849,SizeData!A$2:B$3839,2,FALSE)</f>
        <v/>
      </c>
      <c r="D3849" s="6" t="n">
        <v>1</v>
      </c>
      <c r="E3849" s="6" t="inlineStr">
        <is>
          <t>R1273155</t>
        </is>
      </c>
      <c r="F3849" s="2" t="n">
        <v>44480</v>
      </c>
      <c r="G3849" s="1" t="n"/>
    </row>
    <row r="3850">
      <c r="A3850" s="6" t="n">
        <v>89887</v>
      </c>
      <c r="B3850" s="6" t="inlineStr">
        <is>
          <t>TORADA REPOSADO TEQUILA</t>
        </is>
      </c>
      <c r="C3850" s="7">
        <f>VLOOKUP(A3850,SizeData!A$2:B$3839,2,FALSE)</f>
        <v/>
      </c>
      <c r="D3850" s="6" t="n">
        <v>1</v>
      </c>
      <c r="E3850" s="6" t="inlineStr">
        <is>
          <t>R1330081</t>
        </is>
      </c>
      <c r="F3850" s="2" t="n">
        <v>44518</v>
      </c>
      <c r="G3850" s="1" t="n"/>
    </row>
    <row r="3851">
      <c r="A3851" s="6" t="n">
        <v>89888</v>
      </c>
      <c r="B3851" s="6" t="inlineStr">
        <is>
          <t>TORADA REPOSADA TEQUILA</t>
        </is>
      </c>
      <c r="C3851" s="7">
        <f>VLOOKUP(A3851,SizeData!A$2:B$3839,2,FALSE)</f>
        <v/>
      </c>
      <c r="D3851" s="6" t="n">
        <v>1</v>
      </c>
      <c r="E3851" s="6" t="inlineStr">
        <is>
          <t>R1146432</t>
        </is>
      </c>
      <c r="F3851" s="2" t="n">
        <v>44356</v>
      </c>
      <c r="G3851" s="1" t="n"/>
    </row>
    <row r="3852">
      <c r="A3852" s="6" t="n">
        <v>89888</v>
      </c>
      <c r="B3852" s="6" t="inlineStr">
        <is>
          <t>TORADA REPOSADA TEQUILA</t>
        </is>
      </c>
      <c r="C3852" s="7">
        <f>VLOOKUP(A3852,SizeData!A$2:B$3839,2,FALSE)</f>
        <v/>
      </c>
      <c r="D3852" s="6" t="n">
        <v>1</v>
      </c>
      <c r="E3852" s="6" t="inlineStr">
        <is>
          <t>R1166959</t>
        </is>
      </c>
      <c r="F3852" s="2" t="n">
        <v>44380</v>
      </c>
      <c r="G3852" s="1" t="n"/>
    </row>
    <row r="3853">
      <c r="A3853" s="6" t="n">
        <v>89888</v>
      </c>
      <c r="B3853" s="6" t="inlineStr">
        <is>
          <t>TORADA REPOSADA TEQUILA</t>
        </is>
      </c>
      <c r="C3853" s="7">
        <f>VLOOKUP(A3853,SizeData!A$2:B$3839,2,FALSE)</f>
        <v/>
      </c>
      <c r="D3853" s="6" t="n">
        <v>2</v>
      </c>
      <c r="E3853" s="6" t="inlineStr">
        <is>
          <t>R1214849</t>
        </is>
      </c>
      <c r="F3853" s="2" t="n">
        <v>44432</v>
      </c>
      <c r="G3853" s="1" t="n"/>
    </row>
    <row r="3854">
      <c r="A3854" s="6" t="n">
        <v>89888</v>
      </c>
      <c r="B3854" s="6" t="inlineStr">
        <is>
          <t>TORADA REPOSADA TEQUILA</t>
        </is>
      </c>
      <c r="C3854" s="7">
        <f>VLOOKUP(A3854,SizeData!A$2:B$3839,2,FALSE)</f>
        <v/>
      </c>
      <c r="D3854" s="6" t="n">
        <v>3</v>
      </c>
      <c r="E3854" s="6" t="inlineStr">
        <is>
          <t>R1297210</t>
        </is>
      </c>
      <c r="F3854" s="2" t="n">
        <v>44490</v>
      </c>
      <c r="G3854" s="1" t="n"/>
    </row>
    <row r="3855">
      <c r="A3855" s="6" t="n">
        <v>89888</v>
      </c>
      <c r="B3855" s="6" t="inlineStr">
        <is>
          <t>TORADA REPOSADA TEQUILA</t>
        </is>
      </c>
      <c r="C3855" s="7">
        <f>VLOOKUP(A3855,SizeData!A$2:B$3839,2,FALSE)</f>
        <v/>
      </c>
      <c r="D3855" s="6" t="n">
        <v>0</v>
      </c>
      <c r="E3855" s="6" t="inlineStr">
        <is>
          <t>R1318952</t>
        </is>
      </c>
      <c r="F3855" s="2" t="n">
        <v>44516</v>
      </c>
      <c r="G3855" s="1" t="n"/>
    </row>
    <row r="3856">
      <c r="A3856" s="6" t="n">
        <v>90298</v>
      </c>
      <c r="B3856" s="6" t="inlineStr">
        <is>
          <t>FONSECA BIN #27 PORT</t>
        </is>
      </c>
      <c r="C3856" s="7">
        <f>VLOOKUP(A3856,SizeData!A$2:B$3839,2,FALSE)</f>
        <v/>
      </c>
      <c r="D3856" s="6" t="n">
        <v>5</v>
      </c>
      <c r="E3856" s="6" t="inlineStr">
        <is>
          <t>R996697</t>
        </is>
      </c>
      <c r="F3856" s="2" t="n">
        <v>44221</v>
      </c>
      <c r="G3856" s="1" t="n"/>
    </row>
    <row r="3857">
      <c r="A3857" s="6" t="n">
        <v>90298</v>
      </c>
      <c r="B3857" s="6" t="inlineStr">
        <is>
          <t>FONSECA BIN #27 PORT</t>
        </is>
      </c>
      <c r="C3857" s="7">
        <f>VLOOKUP(A3857,SizeData!A$2:B$3839,2,FALSE)</f>
        <v/>
      </c>
      <c r="D3857" s="6" t="n">
        <v>1</v>
      </c>
      <c r="E3857" s="6" t="inlineStr">
        <is>
          <t>R1152585</t>
        </is>
      </c>
      <c r="F3857" s="2" t="n">
        <v>44372</v>
      </c>
      <c r="G3857" s="1" t="n"/>
    </row>
    <row r="3858">
      <c r="A3858" s="6" t="n">
        <v>90298</v>
      </c>
      <c r="B3858" s="6" t="inlineStr">
        <is>
          <t>FONSECA BIN #27 PORT</t>
        </is>
      </c>
      <c r="C3858" s="7">
        <f>VLOOKUP(A3858,SizeData!A$2:B$3839,2,FALSE)</f>
        <v/>
      </c>
      <c r="D3858" s="6" t="n">
        <v>1</v>
      </c>
      <c r="E3858" s="6" t="inlineStr">
        <is>
          <t>R1200565</t>
        </is>
      </c>
      <c r="F3858" s="2" t="n">
        <v>44411</v>
      </c>
      <c r="G3858" s="1" t="n"/>
    </row>
    <row r="3859">
      <c r="A3859" s="6" t="n">
        <v>90298</v>
      </c>
      <c r="B3859" s="6" t="inlineStr">
        <is>
          <t>FONSECA BIN #27 PORT</t>
        </is>
      </c>
      <c r="C3859" s="7">
        <f>VLOOKUP(A3859,SizeData!A$2:B$3839,2,FALSE)</f>
        <v/>
      </c>
      <c r="D3859" s="6" t="n">
        <v>1</v>
      </c>
      <c r="E3859" s="6" t="inlineStr">
        <is>
          <t>R1235270</t>
        </is>
      </c>
      <c r="F3859" s="2" t="n">
        <v>44440</v>
      </c>
      <c r="G3859" s="1" t="n"/>
    </row>
    <row r="3860">
      <c r="A3860" s="6" t="n">
        <v>90298</v>
      </c>
      <c r="B3860" s="6" t="inlineStr">
        <is>
          <t>FONSECA BIN #27 PORT</t>
        </is>
      </c>
      <c r="C3860" s="7">
        <f>VLOOKUP(A3860,SizeData!A$2:B$3839,2,FALSE)</f>
        <v/>
      </c>
      <c r="D3860" s="6" t="n">
        <v>5</v>
      </c>
      <c r="E3860" s="6" t="inlineStr">
        <is>
          <t>R1236179</t>
        </is>
      </c>
      <c r="F3860" s="2" t="n">
        <v>44443</v>
      </c>
      <c r="G3860" s="1" t="n"/>
    </row>
    <row r="3861">
      <c r="A3861" s="6" t="n">
        <v>90326</v>
      </c>
      <c r="B3861" s="6" t="inlineStr">
        <is>
          <t>GRAHAM'S 20 YEAR OLD TAWNY PORT</t>
        </is>
      </c>
      <c r="C3861" s="7">
        <f>VLOOKUP(A3861,SizeData!A$2:B$3839,2,FALSE)</f>
        <v/>
      </c>
      <c r="D3861" s="6" t="n">
        <v>1</v>
      </c>
      <c r="E3861" s="6" t="inlineStr">
        <is>
          <t>R984731</t>
        </is>
      </c>
      <c r="F3861" s="2" t="n">
        <v>44197</v>
      </c>
      <c r="G3861" s="1" t="n"/>
    </row>
    <row r="3862">
      <c r="A3862" s="6" t="n">
        <v>90326</v>
      </c>
      <c r="B3862" s="6" t="inlineStr">
        <is>
          <t>GRAHAM'S 20 YEAR OLD TAWNY PORT</t>
        </is>
      </c>
      <c r="C3862" s="7">
        <f>VLOOKUP(A3862,SizeData!A$2:B$3839,2,FALSE)</f>
        <v/>
      </c>
      <c r="D3862" s="6" t="n">
        <v>2</v>
      </c>
      <c r="E3862" s="6" t="inlineStr">
        <is>
          <t>R1321455</t>
        </is>
      </c>
      <c r="F3862" s="2" t="n">
        <v>44513</v>
      </c>
      <c r="G3862" s="1" t="n"/>
    </row>
    <row r="3863">
      <c r="A3863" s="6" t="n">
        <v>90330</v>
      </c>
      <c r="B3863" s="6" t="inlineStr">
        <is>
          <t>GRAHAM'S 6 GRAPE PORT</t>
        </is>
      </c>
      <c r="C3863" s="7">
        <f>VLOOKUP(A3863,SizeData!A$2:B$3839,2,FALSE)</f>
        <v/>
      </c>
      <c r="D3863" s="6" t="n">
        <v>3</v>
      </c>
      <c r="E3863" s="6" t="inlineStr">
        <is>
          <t>R1018402</t>
        </is>
      </c>
      <c r="F3863" s="2" t="n">
        <v>44229</v>
      </c>
      <c r="G3863" s="1" t="n"/>
    </row>
    <row r="3864">
      <c r="A3864" s="6" t="n">
        <v>90330</v>
      </c>
      <c r="B3864" s="6" t="inlineStr">
        <is>
          <t>GRAHAM'S 6 GRAPE PORT</t>
        </is>
      </c>
      <c r="C3864" s="7">
        <f>VLOOKUP(A3864,SizeData!A$2:B$3839,2,FALSE)</f>
        <v/>
      </c>
      <c r="D3864" s="6" t="n">
        <v>2</v>
      </c>
      <c r="E3864" s="6" t="inlineStr">
        <is>
          <t>R1074089</t>
        </is>
      </c>
      <c r="F3864" s="2" t="n">
        <v>44288</v>
      </c>
      <c r="G3864" s="1" t="n"/>
    </row>
    <row r="3865">
      <c r="A3865" s="6" t="n">
        <v>90330</v>
      </c>
      <c r="B3865" s="6" t="inlineStr">
        <is>
          <t>GRAHAM'S 6 GRAPE PORT</t>
        </is>
      </c>
      <c r="C3865" s="7">
        <f>VLOOKUP(A3865,SizeData!A$2:B$3839,2,FALSE)</f>
        <v/>
      </c>
      <c r="D3865" s="6" t="n">
        <v>3</v>
      </c>
      <c r="E3865" s="6" t="inlineStr">
        <is>
          <t>R1264756</t>
        </is>
      </c>
      <c r="F3865" s="2" t="n">
        <v>44472</v>
      </c>
      <c r="G3865" s="1" t="n"/>
    </row>
    <row r="3866">
      <c r="A3866" s="6" t="n">
        <v>90824</v>
      </c>
      <c r="B3866" s="6" t="inlineStr">
        <is>
          <t>TAYLOR FLADGATE LBV PORT</t>
        </is>
      </c>
      <c r="C3866" s="7">
        <f>VLOOKUP(A3866,SizeData!A$2:B$3839,2,FALSE)</f>
        <v/>
      </c>
      <c r="D3866" s="6" t="n">
        <v>1</v>
      </c>
      <c r="E3866" s="6" t="inlineStr">
        <is>
          <t>R1236179</t>
        </is>
      </c>
      <c r="F3866" s="2" t="n">
        <v>44443</v>
      </c>
      <c r="G3866" s="1" t="n"/>
    </row>
    <row r="3867">
      <c r="A3867" s="6" t="n">
        <v>92270</v>
      </c>
      <c r="B3867" s="6" t="inlineStr">
        <is>
          <t>CHOCOVINE CHOCOLATE RED WINE</t>
        </is>
      </c>
      <c r="C3867" s="7">
        <f>VLOOKUP(A3867,SizeData!A$2:B$3839,2,FALSE)</f>
        <v/>
      </c>
      <c r="D3867" s="6" t="n">
        <v>1</v>
      </c>
      <c r="E3867" s="6" t="inlineStr">
        <is>
          <t>R1008985</t>
        </is>
      </c>
      <c r="F3867" s="2" t="n">
        <v>44224</v>
      </c>
      <c r="G3867" s="1" t="n"/>
    </row>
    <row r="3868">
      <c r="A3868" s="6" t="n">
        <v>92270</v>
      </c>
      <c r="B3868" s="6" t="inlineStr">
        <is>
          <t>CHOCOVINE CHOCOLATE RED WINE</t>
        </is>
      </c>
      <c r="C3868" s="7">
        <f>VLOOKUP(A3868,SizeData!A$2:B$3839,2,FALSE)</f>
        <v/>
      </c>
      <c r="D3868" s="6" t="n">
        <v>1</v>
      </c>
      <c r="E3868" s="6" t="inlineStr">
        <is>
          <t>R1099557</t>
        </is>
      </c>
      <c r="F3868" s="2" t="n">
        <v>44317</v>
      </c>
      <c r="G3868" s="1" t="n"/>
    </row>
    <row r="3869">
      <c r="A3869" s="6" t="n">
        <v>93256</v>
      </c>
      <c r="B3869" s="6" t="inlineStr">
        <is>
          <t>FAIRBANKS PORT</t>
        </is>
      </c>
      <c r="C3869" s="7">
        <f>VLOOKUP(A3869,SizeData!A$2:B$3839,2,FALSE)</f>
        <v/>
      </c>
      <c r="D3869" s="6" t="n">
        <v>1</v>
      </c>
      <c r="E3869" s="6" t="inlineStr">
        <is>
          <t>R1197185</t>
        </is>
      </c>
      <c r="F3869" s="2" t="n">
        <v>44412</v>
      </c>
      <c r="G3869" s="1" t="n"/>
    </row>
    <row r="3870">
      <c r="A3870" s="6" t="n">
        <v>93256</v>
      </c>
      <c r="B3870" s="6" t="inlineStr">
        <is>
          <t>FAIRBANKS PORT</t>
        </is>
      </c>
      <c r="C3870" s="7">
        <f>VLOOKUP(A3870,SizeData!A$2:B$3839,2,FALSE)</f>
        <v/>
      </c>
      <c r="D3870" s="6" t="n">
        <v>1</v>
      </c>
      <c r="E3870" s="6" t="inlineStr">
        <is>
          <t xml:space="preserve"> R1265479</t>
        </is>
      </c>
      <c r="F3870" s="2" t="n">
        <v>44462</v>
      </c>
      <c r="G3870" s="1" t="n"/>
    </row>
    <row r="3871">
      <c r="A3871" s="6" t="n">
        <v>93256</v>
      </c>
      <c r="B3871" s="6" t="inlineStr">
        <is>
          <t>FAIRBANKS PORT</t>
        </is>
      </c>
      <c r="C3871" s="7">
        <f>VLOOKUP(A3871,SizeData!A$2:B$3839,2,FALSE)</f>
        <v/>
      </c>
      <c r="D3871" s="6" t="n">
        <v>0</v>
      </c>
      <c r="E3871" s="6" t="inlineStr">
        <is>
          <t>R1297265</t>
        </is>
      </c>
      <c r="F3871" s="2" t="n">
        <v>44495</v>
      </c>
      <c r="G3871" s="1" t="n"/>
    </row>
    <row r="3872">
      <c r="A3872" s="6" t="n">
        <v>93257</v>
      </c>
      <c r="B3872" s="6" t="inlineStr">
        <is>
          <t>FAIRBANKS PORT</t>
        </is>
      </c>
      <c r="C3872" s="7">
        <f>VLOOKUP(A3872,SizeData!A$2:B$3839,2,FALSE)</f>
        <v/>
      </c>
      <c r="D3872" s="6" t="n">
        <v>2</v>
      </c>
      <c r="E3872" s="6" t="inlineStr">
        <is>
          <t>R1096915</t>
        </is>
      </c>
      <c r="F3872" s="2" t="n">
        <v>44303</v>
      </c>
      <c r="G3872" s="1" t="n"/>
    </row>
    <row r="3873">
      <c r="A3873" s="6" t="n">
        <v>93257</v>
      </c>
      <c r="B3873" s="6" t="inlineStr">
        <is>
          <t>FAIRBANKS PORT</t>
        </is>
      </c>
      <c r="C3873" s="7">
        <f>VLOOKUP(A3873,SizeData!A$2:B$3839,2,FALSE)</f>
        <v/>
      </c>
      <c r="D3873" s="6" t="n">
        <v>1</v>
      </c>
      <c r="E3873" s="6" t="inlineStr">
        <is>
          <t>R1109607</t>
        </is>
      </c>
      <c r="F3873" s="2" t="n">
        <v>44317</v>
      </c>
      <c r="G3873" s="1" t="n"/>
    </row>
    <row r="3874">
      <c r="A3874" s="6" t="n">
        <v>93257</v>
      </c>
      <c r="B3874" s="6" t="inlineStr">
        <is>
          <t>FAIRBANKS PORT</t>
        </is>
      </c>
      <c r="C3874" s="7">
        <f>VLOOKUP(A3874,SizeData!A$2:B$3839,2,FALSE)</f>
        <v/>
      </c>
      <c r="D3874" s="6" t="n">
        <v>1</v>
      </c>
      <c r="E3874" s="6" t="inlineStr">
        <is>
          <t>R1116842</t>
        </is>
      </c>
      <c r="F3874" s="2" t="n">
        <v>44324</v>
      </c>
      <c r="G3874" s="1" t="n"/>
    </row>
    <row r="3875">
      <c r="A3875" s="6" t="n">
        <v>93257</v>
      </c>
      <c r="B3875" s="6" t="inlineStr">
        <is>
          <t>FAIRBANKS PORT</t>
        </is>
      </c>
      <c r="C3875" s="7">
        <f>VLOOKUP(A3875,SizeData!A$2:B$3839,2,FALSE)</f>
        <v/>
      </c>
      <c r="D3875" s="6" t="n">
        <v>1</v>
      </c>
      <c r="E3875" s="6" t="inlineStr">
        <is>
          <t>R1122623</t>
        </is>
      </c>
      <c r="F3875" s="2" t="n">
        <v>44331</v>
      </c>
      <c r="G3875" s="1" t="n"/>
    </row>
    <row r="3876">
      <c r="A3876" s="6" t="n">
        <v>93257</v>
      </c>
      <c r="B3876" s="6" t="inlineStr">
        <is>
          <t>FAIRBANKS PORT</t>
        </is>
      </c>
      <c r="C3876" s="7">
        <f>VLOOKUP(A3876,SizeData!A$2:B$3839,2,FALSE)</f>
        <v/>
      </c>
      <c r="D3876" s="6" t="n">
        <v>2</v>
      </c>
      <c r="E3876" s="6" t="inlineStr">
        <is>
          <t>R1126982</t>
        </is>
      </c>
      <c r="F3876" s="2" t="n">
        <v>44338</v>
      </c>
      <c r="G3876" s="1" t="n"/>
    </row>
    <row r="3877">
      <c r="A3877" s="6" t="n">
        <v>93257</v>
      </c>
      <c r="B3877" s="6" t="inlineStr">
        <is>
          <t>FAIRBANKS PORT</t>
        </is>
      </c>
      <c r="C3877" s="7">
        <f>VLOOKUP(A3877,SizeData!A$2:B$3839,2,FALSE)</f>
        <v/>
      </c>
      <c r="D3877" s="6" t="n">
        <v>1</v>
      </c>
      <c r="E3877" s="6" t="inlineStr">
        <is>
          <t xml:space="preserve"> R1138813</t>
        </is>
      </c>
      <c r="F3877" s="2" t="n">
        <v>44348</v>
      </c>
      <c r="G3877" s="1" t="n"/>
    </row>
    <row r="3878">
      <c r="A3878" s="6" t="n">
        <v>93257</v>
      </c>
      <c r="B3878" s="6" t="inlineStr">
        <is>
          <t>FAIRBANKS PORT</t>
        </is>
      </c>
      <c r="C3878" s="7">
        <f>VLOOKUP(A3878,SizeData!A$2:B$3839,2,FALSE)</f>
        <v/>
      </c>
      <c r="D3878" s="6" t="n">
        <v>1</v>
      </c>
      <c r="E3878" s="6" t="inlineStr">
        <is>
          <t>R1139712</t>
        </is>
      </c>
      <c r="F3878" s="2" t="n">
        <v>44352</v>
      </c>
      <c r="G3878" s="1" t="n"/>
    </row>
    <row r="3879">
      <c r="A3879" s="6" t="n">
        <v>93257</v>
      </c>
      <c r="B3879" s="6" t="inlineStr">
        <is>
          <t>FAIRBANKS PORT</t>
        </is>
      </c>
      <c r="C3879" s="7">
        <f>VLOOKUP(A3879,SizeData!A$2:B$3839,2,FALSE)</f>
        <v/>
      </c>
      <c r="D3879" s="6" t="n">
        <v>2</v>
      </c>
      <c r="E3879" s="6" t="inlineStr">
        <is>
          <t>R1162430</t>
        </is>
      </c>
      <c r="F3879" s="2" t="n">
        <v>44371</v>
      </c>
      <c r="G3879" s="1" t="n"/>
    </row>
    <row r="3880">
      <c r="A3880" s="6" t="n">
        <v>93257</v>
      </c>
      <c r="B3880" s="6" t="inlineStr">
        <is>
          <t>FAIRBANKS PORT</t>
        </is>
      </c>
      <c r="C3880" s="7">
        <f>VLOOKUP(A3880,SizeData!A$2:B$3839,2,FALSE)</f>
        <v/>
      </c>
      <c r="D3880" s="6" t="n">
        <v>1</v>
      </c>
      <c r="E3880" s="6" t="inlineStr">
        <is>
          <t>R1181307</t>
        </is>
      </c>
      <c r="F3880" s="2" t="n">
        <v>44387</v>
      </c>
      <c r="G3880" s="1" t="n"/>
    </row>
    <row r="3881">
      <c r="A3881" s="6" t="n">
        <v>93257</v>
      </c>
      <c r="B3881" s="6" t="inlineStr">
        <is>
          <t>FAIRBANKS PORT</t>
        </is>
      </c>
      <c r="C3881" s="7">
        <f>VLOOKUP(A3881,SizeData!A$2:B$3839,2,FALSE)</f>
        <v/>
      </c>
      <c r="D3881" s="6" t="n">
        <v>1</v>
      </c>
      <c r="E3881" s="6" t="inlineStr">
        <is>
          <t>R1173671</t>
        </is>
      </c>
      <c r="F3881" s="2" t="n">
        <v>44394</v>
      </c>
      <c r="G3881" s="1" t="n"/>
    </row>
    <row r="3882">
      <c r="A3882" s="6" t="n">
        <v>93257</v>
      </c>
      <c r="B3882" s="6" t="inlineStr">
        <is>
          <t>FAIRBANKS PORT</t>
        </is>
      </c>
      <c r="C3882" s="7">
        <f>VLOOKUP(A3882,SizeData!A$2:B$3839,2,FALSE)</f>
        <v/>
      </c>
      <c r="D3882" s="6" t="n">
        <v>2</v>
      </c>
      <c r="E3882" s="6" t="inlineStr">
        <is>
          <t>R1187907</t>
        </is>
      </c>
      <c r="F3882" s="2" t="n">
        <v>44401</v>
      </c>
      <c r="G3882" s="1" t="n"/>
    </row>
    <row r="3883">
      <c r="A3883" s="6" t="n">
        <v>93257</v>
      </c>
      <c r="B3883" s="6" t="inlineStr">
        <is>
          <t>FAIRBANKS PORT</t>
        </is>
      </c>
      <c r="C3883" s="7">
        <f>VLOOKUP(A3883,SizeData!A$2:B$3839,2,FALSE)</f>
        <v/>
      </c>
      <c r="D3883" s="6" t="n">
        <v>1</v>
      </c>
      <c r="E3883" s="6" t="inlineStr">
        <is>
          <t>R1192063</t>
        </is>
      </c>
      <c r="F3883" s="2" t="n">
        <v>44408</v>
      </c>
      <c r="G3883" s="1" t="n"/>
    </row>
    <row r="3884">
      <c r="A3884" s="6" t="n">
        <v>93257</v>
      </c>
      <c r="B3884" s="6" t="inlineStr">
        <is>
          <t>FAIRBANKS PORT</t>
        </is>
      </c>
      <c r="C3884" s="7">
        <f>VLOOKUP(A3884,SizeData!A$2:B$3839,2,FALSE)</f>
        <v/>
      </c>
      <c r="D3884" s="6" t="n">
        <v>1</v>
      </c>
      <c r="E3884" s="6" t="inlineStr">
        <is>
          <t xml:space="preserve"> R1211770</t>
        </is>
      </c>
      <c r="F3884" s="2" t="n">
        <v>44427</v>
      </c>
      <c r="G3884" s="1" t="n"/>
    </row>
    <row r="3885">
      <c r="A3885" s="6" t="n">
        <v>93257</v>
      </c>
      <c r="B3885" s="6" t="inlineStr">
        <is>
          <t>FAIRBANKS PORT</t>
        </is>
      </c>
      <c r="C3885" s="7">
        <f>VLOOKUP(A3885,SizeData!A$2:B$3839,2,FALSE)</f>
        <v/>
      </c>
      <c r="D3885" s="6" t="n">
        <v>1</v>
      </c>
      <c r="E3885" s="6" t="inlineStr">
        <is>
          <t>R1230991</t>
        </is>
      </c>
      <c r="F3885" s="2" t="n">
        <v>44441</v>
      </c>
      <c r="G3885" s="1" t="n"/>
    </row>
    <row r="3886">
      <c r="A3886" s="6" t="n">
        <v>93257</v>
      </c>
      <c r="B3886" s="6" t="inlineStr">
        <is>
          <t>FAIRBANKS PORT</t>
        </is>
      </c>
      <c r="C3886" s="7">
        <f>VLOOKUP(A3886,SizeData!A$2:B$3839,2,FALSE)</f>
        <v/>
      </c>
      <c r="D3886" s="6" t="n">
        <v>1</v>
      </c>
      <c r="E3886" s="6" t="inlineStr">
        <is>
          <t>R1242289</t>
        </is>
      </c>
      <c r="F3886" s="2" t="n">
        <v>44455</v>
      </c>
      <c r="G3886" s="1" t="n"/>
    </row>
    <row r="3887">
      <c r="A3887" s="6" t="n">
        <v>93257</v>
      </c>
      <c r="B3887" s="6" t="inlineStr">
        <is>
          <t>FAIRBANKS PORT</t>
        </is>
      </c>
      <c r="C3887" s="7">
        <f>VLOOKUP(A3887,SizeData!A$2:B$3839,2,FALSE)</f>
        <v/>
      </c>
      <c r="D3887" s="6" t="n">
        <v>0</v>
      </c>
      <c r="E3887" s="6" t="inlineStr">
        <is>
          <t>R1276303</t>
        </is>
      </c>
      <c r="F3887" s="2" t="n">
        <v>44474</v>
      </c>
      <c r="G3887" s="1" t="n"/>
    </row>
    <row r="3888">
      <c r="A3888" s="6" t="n">
        <v>93257</v>
      </c>
      <c r="B3888" s="6" t="inlineStr">
        <is>
          <t>FAIRBANKS PORT</t>
        </is>
      </c>
      <c r="C3888" s="7">
        <f>VLOOKUP(A3888,SizeData!A$2:B$3839,2,FALSE)</f>
        <v/>
      </c>
      <c r="D3888" s="6" t="n">
        <v>5</v>
      </c>
      <c r="E3888" s="6" t="inlineStr">
        <is>
          <t>R1297265</t>
        </is>
      </c>
      <c r="F3888" s="2" t="n">
        <v>44495</v>
      </c>
      <c r="G3888" s="1" t="n"/>
    </row>
    <row r="3889">
      <c r="A3889" s="6" t="n">
        <v>93564</v>
      </c>
      <c r="B3889" s="6" t="inlineStr">
        <is>
          <t>TAYLOR N Y PORT</t>
        </is>
      </c>
      <c r="C3889" s="7">
        <f>VLOOKUP(A3889,SizeData!A$2:B$3839,2,FALSE)</f>
        <v/>
      </c>
      <c r="D3889" s="6" t="n">
        <v>2</v>
      </c>
      <c r="E3889" s="6" t="inlineStr">
        <is>
          <t>R1015646</t>
        </is>
      </c>
      <c r="F3889" s="2" t="n">
        <v>44223</v>
      </c>
      <c r="G3889" s="1" t="n"/>
    </row>
    <row r="3890">
      <c r="A3890" s="6" t="n">
        <v>93564</v>
      </c>
      <c r="B3890" s="6" t="inlineStr">
        <is>
          <t>TAYLOR N Y PORT</t>
        </is>
      </c>
      <c r="C3890" s="7">
        <f>VLOOKUP(A3890,SizeData!A$2:B$3839,2,FALSE)</f>
        <v/>
      </c>
      <c r="D3890" s="6" t="n">
        <v>1</v>
      </c>
      <c r="E3890" s="6" t="inlineStr">
        <is>
          <t>R1089290</t>
        </is>
      </c>
      <c r="F3890" s="2" t="n">
        <v>44309</v>
      </c>
      <c r="G3890" s="1" t="n"/>
    </row>
    <row r="3891">
      <c r="A3891" s="6" t="n">
        <v>93564</v>
      </c>
      <c r="B3891" s="6" t="inlineStr">
        <is>
          <t>TAYLOR N Y PORT</t>
        </is>
      </c>
      <c r="C3891" s="7">
        <f>VLOOKUP(A3891,SizeData!A$2:B$3839,2,FALSE)</f>
        <v/>
      </c>
      <c r="D3891" s="6" t="n">
        <v>1</v>
      </c>
      <c r="E3891" s="6" t="inlineStr">
        <is>
          <t>R1128764</t>
        </is>
      </c>
      <c r="F3891" s="2" t="n">
        <v>44336</v>
      </c>
      <c r="G3891" s="1" t="n"/>
    </row>
    <row r="3892">
      <c r="A3892" s="6" t="n">
        <v>93564</v>
      </c>
      <c r="B3892" s="6" t="inlineStr">
        <is>
          <t>TAYLOR N Y PORT</t>
        </is>
      </c>
      <c r="C3892" s="7">
        <f>VLOOKUP(A3892,SizeData!A$2:B$3839,2,FALSE)</f>
        <v/>
      </c>
      <c r="D3892" s="6" t="n">
        <v>1</v>
      </c>
      <c r="E3892" s="6" t="inlineStr">
        <is>
          <t>R1135580</t>
        </is>
      </c>
      <c r="F3892" s="2" t="n">
        <v>44340</v>
      </c>
      <c r="G3892" s="1" t="n"/>
    </row>
    <row r="3893">
      <c r="A3893" s="6" t="n">
        <v>93564</v>
      </c>
      <c r="B3893" s="6" t="inlineStr">
        <is>
          <t>TAYLOR N Y PORT</t>
        </is>
      </c>
      <c r="C3893" s="7">
        <f>VLOOKUP(A3893,SizeData!A$2:B$3839,2,FALSE)</f>
        <v/>
      </c>
      <c r="D3893" s="6" t="n">
        <v>1</v>
      </c>
      <c r="E3893" s="6" t="inlineStr">
        <is>
          <t>R1171618</t>
        </is>
      </c>
      <c r="F3893" s="2" t="n">
        <v>44380</v>
      </c>
      <c r="G3893" s="1" t="n"/>
    </row>
    <row r="3894">
      <c r="A3894" s="6" t="n">
        <v>93564</v>
      </c>
      <c r="B3894" s="6" t="inlineStr">
        <is>
          <t>TAYLOR N Y PORT</t>
        </is>
      </c>
      <c r="C3894" s="7">
        <f>VLOOKUP(A3894,SizeData!A$2:B$3839,2,FALSE)</f>
        <v/>
      </c>
      <c r="D3894" s="6" t="n">
        <v>1</v>
      </c>
      <c r="E3894" s="6" t="inlineStr">
        <is>
          <t>R1248961</t>
        </is>
      </c>
      <c r="F3894" s="2" t="n">
        <v>44461</v>
      </c>
      <c r="G3894" s="1" t="n"/>
    </row>
    <row r="3895">
      <c r="A3895" s="6" t="n">
        <v>93564</v>
      </c>
      <c r="B3895" s="6" t="inlineStr">
        <is>
          <t>TAYLOR N Y PORT</t>
        </is>
      </c>
      <c r="C3895" s="7">
        <f>VLOOKUP(A3895,SizeData!A$2:B$3839,2,FALSE)</f>
        <v/>
      </c>
      <c r="D3895" s="6" t="n">
        <v>3</v>
      </c>
      <c r="E3895" s="6" t="inlineStr">
        <is>
          <t>R1287399</t>
        </is>
      </c>
      <c r="F3895" s="2" t="n">
        <v>44490</v>
      </c>
      <c r="G3895" s="1" t="n"/>
    </row>
    <row r="3896">
      <c r="A3896" s="6" t="n">
        <v>93564</v>
      </c>
      <c r="B3896" s="6" t="inlineStr">
        <is>
          <t>TAYLOR N Y PORT</t>
        </is>
      </c>
      <c r="C3896" s="7">
        <f>VLOOKUP(A3896,SizeData!A$2:B$3839,2,FALSE)</f>
        <v/>
      </c>
      <c r="D3896" s="6" t="n">
        <v>5</v>
      </c>
      <c r="E3896" s="6" t="inlineStr">
        <is>
          <t>R1336378</t>
        </is>
      </c>
      <c r="F3896" s="2" t="n">
        <v>44523</v>
      </c>
      <c r="G3896" s="1" t="n"/>
    </row>
    <row r="3897">
      <c r="A3897" s="6" t="n">
        <v>93564</v>
      </c>
      <c r="B3897" s="6" t="inlineStr">
        <is>
          <t>TAYLOR N Y PORT</t>
        </is>
      </c>
      <c r="C3897" s="7">
        <f>VLOOKUP(A3897,SizeData!A$2:B$3839,2,FALSE)</f>
        <v/>
      </c>
      <c r="D3897" s="6" t="n">
        <v>4</v>
      </c>
      <c r="E3897" s="6" t="inlineStr">
        <is>
          <t>R1352420</t>
        </is>
      </c>
      <c r="F3897" s="2" t="n">
        <v>44532</v>
      </c>
      <c r="G3897" s="1" t="n"/>
    </row>
    <row r="3898">
      <c r="A3898" s="6" t="n">
        <v>93564</v>
      </c>
      <c r="B3898" s="6" t="inlineStr">
        <is>
          <t>TAYLOR N Y PORT</t>
        </is>
      </c>
      <c r="C3898" s="7">
        <f>VLOOKUP(A3898,SizeData!A$2:B$3839,2,FALSE)</f>
        <v/>
      </c>
      <c r="D3898" s="6" t="n">
        <v>10</v>
      </c>
      <c r="E3898" s="6" t="inlineStr">
        <is>
          <t>R1365930</t>
        </is>
      </c>
      <c r="F3898" s="2" t="n">
        <v>44536</v>
      </c>
      <c r="G3898" s="1" t="n"/>
    </row>
    <row r="3899">
      <c r="A3899" s="6" t="n">
        <v>93566</v>
      </c>
      <c r="B3899" s="6" t="inlineStr">
        <is>
          <t>TAYLOR N Y PORT</t>
        </is>
      </c>
      <c r="C3899" s="7">
        <f>VLOOKUP(A3899,SizeData!A$2:B$3839,2,FALSE)</f>
        <v/>
      </c>
      <c r="D3899" s="6" t="n">
        <v>5</v>
      </c>
      <c r="E3899" s="6" t="inlineStr">
        <is>
          <t>R1015646</t>
        </is>
      </c>
      <c r="F3899" s="2" t="n">
        <v>44223</v>
      </c>
      <c r="G3899" s="1" t="n"/>
    </row>
    <row r="3900">
      <c r="A3900" s="6" t="n">
        <v>93566</v>
      </c>
      <c r="B3900" s="6" t="inlineStr">
        <is>
          <t>TAYLOR N Y PORT</t>
        </is>
      </c>
      <c r="C3900" s="7">
        <f>VLOOKUP(A3900,SizeData!A$2:B$3839,2,FALSE)</f>
        <v/>
      </c>
      <c r="D3900" s="6" t="n">
        <v>3</v>
      </c>
      <c r="E3900" s="6" t="inlineStr">
        <is>
          <t>R1040211</t>
        </is>
      </c>
      <c r="F3900" s="2" t="n">
        <v>44229</v>
      </c>
      <c r="G3900" s="1" t="n"/>
    </row>
    <row r="3901">
      <c r="A3901" s="6" t="n">
        <v>93566</v>
      </c>
      <c r="B3901" s="6" t="inlineStr">
        <is>
          <t>TAYLOR N Y PORT</t>
        </is>
      </c>
      <c r="C3901" s="7">
        <f>VLOOKUP(A3901,SizeData!A$2:B$3839,2,FALSE)</f>
        <v/>
      </c>
      <c r="D3901" s="6" t="n">
        <v>5</v>
      </c>
      <c r="E3901" s="6" t="inlineStr">
        <is>
          <t>R1038616</t>
        </is>
      </c>
      <c r="F3901" s="2" t="n">
        <v>44251</v>
      </c>
      <c r="G3901" s="1" t="n"/>
    </row>
    <row r="3902">
      <c r="A3902" s="6" t="n">
        <v>93566</v>
      </c>
      <c r="B3902" s="6" t="inlineStr">
        <is>
          <t>TAYLOR N Y PORT</t>
        </is>
      </c>
      <c r="C3902" s="7">
        <f>VLOOKUP(A3902,SizeData!A$2:B$3839,2,FALSE)</f>
        <v/>
      </c>
      <c r="D3902" s="6" t="n">
        <v>10</v>
      </c>
      <c r="E3902" s="6" t="inlineStr">
        <is>
          <t>R1043818</t>
        </is>
      </c>
      <c r="F3902" s="2" t="n">
        <v>44259</v>
      </c>
      <c r="G3902" s="1" t="n"/>
    </row>
    <row r="3903">
      <c r="A3903" s="6" t="n">
        <v>93566</v>
      </c>
      <c r="B3903" s="6" t="inlineStr">
        <is>
          <t>TAYLOR N Y PORT</t>
        </is>
      </c>
      <c r="C3903" s="7">
        <f>VLOOKUP(A3903,SizeData!A$2:B$3839,2,FALSE)</f>
        <v/>
      </c>
      <c r="D3903" s="6" t="n">
        <v>3</v>
      </c>
      <c r="E3903" s="6" t="inlineStr">
        <is>
          <t>R1085364</t>
        </is>
      </c>
      <c r="F3903" s="2" t="n">
        <v>44289</v>
      </c>
      <c r="G3903" s="1" t="n"/>
    </row>
    <row r="3904">
      <c r="A3904" s="6" t="n">
        <v>93566</v>
      </c>
      <c r="B3904" s="6" t="inlineStr">
        <is>
          <t>TAYLOR N Y PORT</t>
        </is>
      </c>
      <c r="C3904" s="7">
        <f>VLOOKUP(A3904,SizeData!A$2:B$3839,2,FALSE)</f>
        <v/>
      </c>
      <c r="D3904" s="6" t="n">
        <v>6</v>
      </c>
      <c r="E3904" s="6" t="inlineStr">
        <is>
          <t>R1091684</t>
        </is>
      </c>
      <c r="F3904" s="2" t="n">
        <v>44305</v>
      </c>
      <c r="G3904" s="1" t="n"/>
    </row>
    <row r="3905">
      <c r="A3905" s="6" t="n">
        <v>93566</v>
      </c>
      <c r="B3905" s="6" t="inlineStr">
        <is>
          <t>TAYLOR N Y PORT</t>
        </is>
      </c>
      <c r="C3905" s="7">
        <f>VLOOKUP(A3905,SizeData!A$2:B$3839,2,FALSE)</f>
        <v/>
      </c>
      <c r="D3905" s="6" t="n">
        <v>6</v>
      </c>
      <c r="E3905" s="6" t="inlineStr">
        <is>
          <t>R1103633</t>
        </is>
      </c>
      <c r="F3905" s="2" t="n">
        <v>44320</v>
      </c>
      <c r="G3905" s="1" t="n"/>
    </row>
    <row r="3906">
      <c r="A3906" s="6" t="n">
        <v>93566</v>
      </c>
      <c r="B3906" s="6" t="inlineStr">
        <is>
          <t>TAYLOR N Y PORT</t>
        </is>
      </c>
      <c r="C3906" s="7">
        <f>VLOOKUP(A3906,SizeData!A$2:B$3839,2,FALSE)</f>
        <v/>
      </c>
      <c r="D3906" s="6" t="n">
        <v>3</v>
      </c>
      <c r="E3906" s="6" t="inlineStr">
        <is>
          <t>R1111272</t>
        </is>
      </c>
      <c r="F3906" s="2" t="n">
        <v>44327</v>
      </c>
      <c r="G3906" s="1" t="n"/>
    </row>
    <row r="3907">
      <c r="A3907" s="6" t="n">
        <v>93566</v>
      </c>
      <c r="B3907" s="6" t="inlineStr">
        <is>
          <t>TAYLOR N Y PORT</t>
        </is>
      </c>
      <c r="C3907" s="7">
        <f>VLOOKUP(A3907,SizeData!A$2:B$3839,2,FALSE)</f>
        <v/>
      </c>
      <c r="D3907" s="6" t="n">
        <v>4</v>
      </c>
      <c r="E3907" s="6" t="inlineStr">
        <is>
          <t>R1128764</t>
        </is>
      </c>
      <c r="F3907" s="2" t="n">
        <v>44336</v>
      </c>
      <c r="G3907" s="1" t="n"/>
    </row>
    <row r="3908">
      <c r="A3908" s="6" t="n">
        <v>93566</v>
      </c>
      <c r="B3908" s="6" t="inlineStr">
        <is>
          <t>TAYLOR N Y PORT</t>
        </is>
      </c>
      <c r="C3908" s="7">
        <f>VLOOKUP(A3908,SizeData!A$2:B$3839,2,FALSE)</f>
        <v/>
      </c>
      <c r="D3908" s="6" t="n">
        <v>7</v>
      </c>
      <c r="E3908" s="6" t="inlineStr">
        <is>
          <t xml:space="preserve"> R1156630</t>
        </is>
      </c>
      <c r="F3908" s="2" t="n">
        <v>44364</v>
      </c>
      <c r="G3908" s="1" t="n"/>
    </row>
    <row r="3909" customFormat="1" s="14">
      <c r="A3909" s="6" t="n">
        <v>93566</v>
      </c>
      <c r="B3909" s="6" t="inlineStr">
        <is>
          <t>TAYLOR N Y PORT</t>
        </is>
      </c>
      <c r="C3909" s="7">
        <f>VLOOKUP(A3909,SizeData!A$2:B$3839,2,FALSE)</f>
        <v/>
      </c>
      <c r="D3909" s="6" t="n">
        <v>3</v>
      </c>
      <c r="E3909" s="6" t="inlineStr">
        <is>
          <t>R1152918</t>
        </is>
      </c>
      <c r="F3909" s="2" t="n">
        <v>44368</v>
      </c>
      <c r="G3909" s="1" t="n"/>
    </row>
    <row r="3910">
      <c r="A3910" s="6" t="n">
        <v>93566</v>
      </c>
      <c r="B3910" s="6" t="inlineStr">
        <is>
          <t>TAYLOR N Y PORT</t>
        </is>
      </c>
      <c r="C3910" s="7">
        <f>VLOOKUP(A3910,SizeData!A$2:B$3839,2,FALSE)</f>
        <v/>
      </c>
      <c r="D3910" s="6" t="n">
        <v>7</v>
      </c>
      <c r="E3910" s="6" t="inlineStr">
        <is>
          <t>R1171117</t>
        </is>
      </c>
      <c r="F3910" s="2" t="n">
        <v>44382</v>
      </c>
      <c r="G3910" s="1" t="n"/>
    </row>
    <row r="3911">
      <c r="A3911" s="6" t="n">
        <v>93566</v>
      </c>
      <c r="B3911" s="6" t="inlineStr">
        <is>
          <t>TAYLOR N Y PORT</t>
        </is>
      </c>
      <c r="C3911" s="7">
        <f>VLOOKUP(A3911,SizeData!A$2:B$3839,2,FALSE)</f>
        <v/>
      </c>
      <c r="D3911" s="6" t="n">
        <v>2</v>
      </c>
      <c r="E3911" s="6" t="inlineStr">
        <is>
          <t>R1173248</t>
        </is>
      </c>
      <c r="F3911" s="2" t="n">
        <v>44393</v>
      </c>
      <c r="G3911" s="1" t="n"/>
    </row>
    <row r="3912">
      <c r="A3912" s="6" t="n">
        <v>93566</v>
      </c>
      <c r="B3912" s="6" t="inlineStr">
        <is>
          <t>TAYLOR N Y PORT</t>
        </is>
      </c>
      <c r="C3912" s="7">
        <f>VLOOKUP(A3912,SizeData!A$2:B$3839,2,FALSE)</f>
        <v/>
      </c>
      <c r="D3912" s="6" t="n">
        <v>5</v>
      </c>
      <c r="E3912" s="6" t="inlineStr">
        <is>
          <t>R1187881</t>
        </is>
      </c>
      <c r="F3912" s="2" t="n">
        <v>44412</v>
      </c>
      <c r="G3912" s="1" t="n"/>
    </row>
    <row r="3913">
      <c r="A3913" s="6" t="n">
        <v>93566</v>
      </c>
      <c r="B3913" s="6" t="inlineStr">
        <is>
          <t>TAYLOR N Y PORT</t>
        </is>
      </c>
      <c r="C3913" s="7">
        <f>VLOOKUP(A3913,SizeData!A$2:B$3839,2,FALSE)</f>
        <v/>
      </c>
      <c r="D3913" s="6" t="n">
        <v>4</v>
      </c>
      <c r="E3913" s="6" t="inlineStr">
        <is>
          <t>R1230991</t>
        </is>
      </c>
      <c r="F3913" s="2" t="n">
        <v>44441</v>
      </c>
      <c r="G3913" s="1" t="n"/>
    </row>
    <row r="3914">
      <c r="A3914" s="6" t="n">
        <v>93566</v>
      </c>
      <c r="B3914" s="6" t="inlineStr">
        <is>
          <t>TAYLOR N Y PORT</t>
        </is>
      </c>
      <c r="C3914" s="7">
        <f>VLOOKUP(A3914,SizeData!A$2:B$3839,2,FALSE)</f>
        <v/>
      </c>
      <c r="D3914" s="6" t="n">
        <v>6</v>
      </c>
      <c r="E3914" s="6" t="inlineStr">
        <is>
          <t>R1246630</t>
        </is>
      </c>
      <c r="F3914" s="2" t="n">
        <v>44450</v>
      </c>
      <c r="G3914" s="1" t="n"/>
    </row>
    <row r="3915">
      <c r="A3915" s="6" t="n">
        <v>93566</v>
      </c>
      <c r="B3915" s="6" t="inlineStr">
        <is>
          <t>TAYLOR N Y PORT</t>
        </is>
      </c>
      <c r="C3915" s="7">
        <f>VLOOKUP(A3915,SizeData!A$2:B$3839,2,FALSE)</f>
        <v/>
      </c>
      <c r="D3915" s="6" t="n">
        <v>5</v>
      </c>
      <c r="E3915" s="6" t="inlineStr">
        <is>
          <t>R1266186</t>
        </is>
      </c>
      <c r="F3915" s="2" t="n">
        <v>44467</v>
      </c>
      <c r="G3915" s="1" t="n"/>
    </row>
    <row r="3916">
      <c r="A3916" s="6" t="n">
        <v>93566</v>
      </c>
      <c r="B3916" s="6" t="inlineStr">
        <is>
          <t>TAYLOR N Y PORT</t>
        </is>
      </c>
      <c r="C3916" s="7">
        <f>VLOOKUP(A3916,SizeData!A$2:B$3839,2,FALSE)</f>
        <v/>
      </c>
      <c r="D3916" s="6" t="n">
        <v>10</v>
      </c>
      <c r="E3916" s="6" t="inlineStr">
        <is>
          <t>R1275231</t>
        </is>
      </c>
      <c r="F3916" s="2" t="n">
        <v>44473</v>
      </c>
      <c r="G3916" s="1" t="n"/>
    </row>
    <row r="3917">
      <c r="A3917" s="6" t="n">
        <v>93566</v>
      </c>
      <c r="B3917" s="6" t="inlineStr">
        <is>
          <t>TAYLOR N Y PORT</t>
        </is>
      </c>
      <c r="C3917" s="7">
        <f>VLOOKUP(A3917,SizeData!A$2:B$3839,2,FALSE)</f>
        <v/>
      </c>
      <c r="D3917" s="6" t="n">
        <v>8</v>
      </c>
      <c r="E3917" s="6" t="inlineStr">
        <is>
          <t>R1275941</t>
        </is>
      </c>
      <c r="F3917" s="2" t="n">
        <v>44476</v>
      </c>
      <c r="G3917" s="1" t="n"/>
    </row>
    <row r="3918">
      <c r="A3918" s="6" t="n">
        <v>93566</v>
      </c>
      <c r="B3918" s="6" t="inlineStr">
        <is>
          <t>TAYLOR N Y PORT</t>
        </is>
      </c>
      <c r="C3918" s="7">
        <f>VLOOKUP(A3918,SizeData!A$2:B$3839,2,FALSE)</f>
        <v/>
      </c>
      <c r="D3918" s="6" t="n">
        <v>10</v>
      </c>
      <c r="E3918" s="6" t="inlineStr">
        <is>
          <t>R1287399</t>
        </is>
      </c>
      <c r="F3918" s="2" t="n">
        <v>44490</v>
      </c>
      <c r="G3918" s="1" t="n"/>
    </row>
    <row r="3919">
      <c r="A3919" s="6" t="n">
        <v>93566</v>
      </c>
      <c r="B3919" s="6" t="inlineStr">
        <is>
          <t>TAYLOR N Y PORT</t>
        </is>
      </c>
      <c r="C3919" s="7">
        <f>VLOOKUP(A3919,SizeData!A$2:B$3839,2,FALSE)</f>
        <v/>
      </c>
      <c r="D3919" s="6" t="n">
        <v>9</v>
      </c>
      <c r="E3919" s="6" t="inlineStr">
        <is>
          <t>R1303685</t>
        </is>
      </c>
      <c r="F3919" s="2" t="n">
        <v>44502</v>
      </c>
      <c r="G3919" s="1" t="n"/>
    </row>
    <row r="3920">
      <c r="A3920" s="6" t="n">
        <v>93566</v>
      </c>
      <c r="B3920" s="6" t="inlineStr">
        <is>
          <t>TAYLOR N Y PORT</t>
        </is>
      </c>
      <c r="C3920" s="7">
        <f>VLOOKUP(A3920,SizeData!A$2:B$3839,2,FALSE)</f>
        <v/>
      </c>
      <c r="D3920" s="6" t="n">
        <v>5</v>
      </c>
      <c r="E3920" s="6" t="inlineStr">
        <is>
          <t>R1317127</t>
        </is>
      </c>
      <c r="F3920" s="2" t="n">
        <v>44509</v>
      </c>
      <c r="G3920" s="1" t="n"/>
    </row>
    <row r="3921">
      <c r="A3921" s="6" t="n">
        <v>95486</v>
      </c>
      <c r="B3921" s="6" t="inlineStr">
        <is>
          <t>TAYLOR N Y CREAM SHERRY</t>
        </is>
      </c>
      <c r="C3921" s="7">
        <f>VLOOKUP(A3921,SizeData!A$2:B$3839,2,FALSE)</f>
        <v/>
      </c>
      <c r="D3921" s="6" t="n">
        <v>1</v>
      </c>
      <c r="E3921" s="6" t="inlineStr">
        <is>
          <t>R992805</t>
        </is>
      </c>
      <c r="F3921" s="2" t="n">
        <v>44201</v>
      </c>
      <c r="G3921" s="1" t="n"/>
    </row>
    <row r="3922">
      <c r="A3922" s="6" t="n">
        <v>95486</v>
      </c>
      <c r="B3922" s="6" t="inlineStr">
        <is>
          <t>TAYLOR N Y CREAM SHERRY</t>
        </is>
      </c>
      <c r="C3922" s="7">
        <f>VLOOKUP(A3922,SizeData!A$2:B$3839,2,FALSE)</f>
        <v/>
      </c>
      <c r="D3922" s="6" t="n">
        <v>1</v>
      </c>
      <c r="E3922" s="6" t="inlineStr">
        <is>
          <t>R1084236</t>
        </is>
      </c>
      <c r="F3922" s="2" t="n">
        <v>44296</v>
      </c>
      <c r="G3922" s="1" t="n"/>
    </row>
    <row r="3923">
      <c r="A3923" s="6" t="n">
        <v>95486</v>
      </c>
      <c r="B3923" s="6" t="inlineStr">
        <is>
          <t>TAYLOR N Y CREAM SHERRY</t>
        </is>
      </c>
      <c r="C3923" s="7">
        <f>VLOOKUP(A3923,SizeData!A$2:B$3839,2,FALSE)</f>
        <v/>
      </c>
      <c r="D3923" s="6" t="n">
        <v>1</v>
      </c>
      <c r="E3923" s="6" t="inlineStr">
        <is>
          <t>R1111802</t>
        </is>
      </c>
      <c r="F3923" s="2" t="n">
        <v>44314</v>
      </c>
      <c r="G3923" s="1" t="n"/>
    </row>
    <row r="3924">
      <c r="A3924" s="6" t="n">
        <v>95486</v>
      </c>
      <c r="B3924" s="6" t="inlineStr">
        <is>
          <t>TAYLOR N Y CREAM SHERRY</t>
        </is>
      </c>
      <c r="C3924" s="7">
        <f>VLOOKUP(A3924,SizeData!A$2:B$3839,2,FALSE)</f>
        <v/>
      </c>
      <c r="D3924" s="6" t="n">
        <v>1</v>
      </c>
      <c r="E3924" s="6" t="inlineStr">
        <is>
          <t>R1240644</t>
        </is>
      </c>
      <c r="F3924" s="2" t="n">
        <v>44440</v>
      </c>
      <c r="G3924" s="1" t="n"/>
    </row>
    <row r="3925">
      <c r="A3925" s="6" t="n">
        <v>95916</v>
      </c>
      <c r="B3925" s="6" t="inlineStr">
        <is>
          <t>TAYLOR N Y DRY SHERRY</t>
        </is>
      </c>
      <c r="C3925" s="7">
        <f>VLOOKUP(A3925,SizeData!A$2:B$3839,2,FALSE)</f>
        <v/>
      </c>
      <c r="D3925" s="6" t="n">
        <v>1</v>
      </c>
      <c r="E3925" s="6" t="inlineStr">
        <is>
          <t>R992805</t>
        </is>
      </c>
      <c r="F3925" s="2" t="n">
        <v>44201</v>
      </c>
      <c r="G3925" s="1" t="n"/>
    </row>
    <row r="3926">
      <c r="A3926" s="6" t="n">
        <v>95916</v>
      </c>
      <c r="B3926" s="6" t="inlineStr">
        <is>
          <t>TAYLOR N Y DRY SHERRY</t>
        </is>
      </c>
      <c r="C3926" s="7">
        <f>VLOOKUP(A3926,SizeData!A$2:B$3839,2,FALSE)</f>
        <v/>
      </c>
      <c r="D3926" s="6" t="n">
        <v>1</v>
      </c>
      <c r="E3926" s="6" t="inlineStr">
        <is>
          <t>R1166959</t>
        </is>
      </c>
      <c r="F3926" s="2" t="n">
        <v>44380</v>
      </c>
      <c r="G3926" s="1" t="n"/>
    </row>
    <row r="3927">
      <c r="A3927" s="6" t="n">
        <v>95916</v>
      </c>
      <c r="B3927" s="6" t="inlineStr">
        <is>
          <t>TAYLOR N Y DRY SHERRY</t>
        </is>
      </c>
      <c r="C3927" s="7">
        <f>VLOOKUP(A3927,SizeData!A$2:B$3839,2,FALSE)</f>
        <v/>
      </c>
      <c r="D3927" s="6" t="n">
        <v>1</v>
      </c>
      <c r="E3927" s="6" t="inlineStr">
        <is>
          <t>R1242289</t>
        </is>
      </c>
      <c r="F3927" s="2" t="n">
        <v>44455</v>
      </c>
      <c r="G3927" s="1" t="n"/>
    </row>
    <row r="3928">
      <c r="A3928" s="6" t="n">
        <v>96008</v>
      </c>
      <c r="B3928" s="6" t="inlineStr">
        <is>
          <t>APOTHIC DARK</t>
        </is>
      </c>
      <c r="C3928" s="7">
        <f>VLOOKUP(A3928,SizeData!A$2:B$3839,2,FALSE)</f>
        <v/>
      </c>
      <c r="D3928" s="6" t="n">
        <v>2</v>
      </c>
      <c r="E3928" s="6" t="inlineStr">
        <is>
          <t>R1028756</t>
        </is>
      </c>
      <c r="F3928" s="2" t="n">
        <v>44239</v>
      </c>
      <c r="G3928" s="1" t="n"/>
    </row>
    <row r="3929">
      <c r="A3929" s="6" t="n">
        <v>97722</v>
      </c>
      <c r="B3929" s="6" t="inlineStr">
        <is>
          <t>WILD IRISH ROSE RED</t>
        </is>
      </c>
      <c r="C3929" s="7">
        <f>VLOOKUP(A3929,SizeData!A$2:B$3839,2,FALSE)</f>
        <v/>
      </c>
      <c r="D3929" s="6" t="n">
        <v>1</v>
      </c>
      <c r="E3929" s="6" t="inlineStr">
        <is>
          <t>R1030486</t>
        </is>
      </c>
      <c r="F3929" s="2" t="n">
        <v>44247</v>
      </c>
      <c r="G3929" s="1" t="n"/>
    </row>
    <row r="3930">
      <c r="A3930" s="6" t="n">
        <v>97722</v>
      </c>
      <c r="B3930" s="6" t="inlineStr">
        <is>
          <t>WILD IRISH ROSE RED</t>
        </is>
      </c>
      <c r="C3930" s="7">
        <f>VLOOKUP(A3930,SizeData!A$2:B$3839,2,FALSE)</f>
        <v/>
      </c>
      <c r="D3930" s="6" t="n">
        <v>1</v>
      </c>
      <c r="E3930" s="6" t="inlineStr">
        <is>
          <t>R1066257</t>
        </is>
      </c>
      <c r="F3930" s="2" t="n">
        <v>44270</v>
      </c>
      <c r="G3930" s="1" t="n"/>
    </row>
    <row r="3931">
      <c r="A3931" s="6" t="n">
        <v>97722</v>
      </c>
      <c r="B3931" s="6" t="inlineStr">
        <is>
          <t>WILD IRISH ROSE RED</t>
        </is>
      </c>
      <c r="C3931" s="7">
        <f>VLOOKUP(A3931,SizeData!A$2:B$3839,2,FALSE)</f>
        <v/>
      </c>
      <c r="D3931" s="6" t="n">
        <v>1</v>
      </c>
      <c r="E3931" s="6" t="inlineStr">
        <is>
          <t xml:space="preserve"> R1079980</t>
        </is>
      </c>
      <c r="F3931" s="2" t="n">
        <v>44302</v>
      </c>
      <c r="G3931" s="1" t="n"/>
    </row>
    <row r="3932">
      <c r="A3932" s="6" t="n">
        <v>97722</v>
      </c>
      <c r="B3932" s="6" t="inlineStr">
        <is>
          <t>WILD IRISH ROSE RED</t>
        </is>
      </c>
      <c r="C3932" s="7">
        <f>VLOOKUP(A3932,SizeData!A$2:B$3839,2,FALSE)</f>
        <v/>
      </c>
      <c r="D3932" s="6" t="n">
        <v>1</v>
      </c>
      <c r="E3932" s="6" t="inlineStr">
        <is>
          <t xml:space="preserve"> R1135574</t>
        </is>
      </c>
      <c r="F3932" s="2" t="n">
        <v>44338</v>
      </c>
      <c r="G3932" s="1" t="n"/>
    </row>
    <row r="3933">
      <c r="A3933" s="6" t="n">
        <v>97722</v>
      </c>
      <c r="B3933" s="6" t="inlineStr">
        <is>
          <t>WILD IRISH ROSE RED</t>
        </is>
      </c>
      <c r="C3933" s="7">
        <f>VLOOKUP(A3933,SizeData!A$2:B$3839,2,FALSE)</f>
        <v/>
      </c>
      <c r="D3933" s="6" t="n">
        <v>1</v>
      </c>
      <c r="E3933" s="6" t="inlineStr">
        <is>
          <t>R1166742</t>
        </is>
      </c>
      <c r="F3933" s="2" t="n">
        <v>44372</v>
      </c>
      <c r="G3933" s="1" t="n"/>
    </row>
    <row r="3934">
      <c r="A3934" s="6" t="n">
        <v>97722</v>
      </c>
      <c r="B3934" s="6" t="inlineStr">
        <is>
          <t>WILD IRISH ROSE RED</t>
        </is>
      </c>
      <c r="C3934" s="7">
        <f>VLOOKUP(A3934,SizeData!A$2:B$3839,2,FALSE)</f>
        <v/>
      </c>
      <c r="D3934" s="6" t="n">
        <v>1</v>
      </c>
      <c r="E3934" s="6" t="inlineStr">
        <is>
          <t>R1172969</t>
        </is>
      </c>
      <c r="F3934" s="2" t="n">
        <v>44396</v>
      </c>
      <c r="G3934" s="1" t="n"/>
    </row>
    <row r="3935">
      <c r="A3935" s="6" t="n">
        <v>97722</v>
      </c>
      <c r="B3935" s="6" t="inlineStr">
        <is>
          <t>WILD IRISH ROSE RED</t>
        </is>
      </c>
      <c r="C3935" s="7">
        <f>VLOOKUP(A3935,SizeData!A$2:B$3839,2,FALSE)</f>
        <v/>
      </c>
      <c r="D3935" s="6" t="n">
        <v>1</v>
      </c>
      <c r="E3935" s="6" t="inlineStr">
        <is>
          <t>R1241453</t>
        </is>
      </c>
      <c r="F3935" s="2" t="n">
        <v>44448</v>
      </c>
      <c r="G3935" s="1" t="n"/>
    </row>
    <row r="3936">
      <c r="A3936" s="6" t="n">
        <v>97722</v>
      </c>
      <c r="B3936" s="6" t="inlineStr">
        <is>
          <t>WILD IRISH ROSE RED</t>
        </is>
      </c>
      <c r="C3936" s="7">
        <f>VLOOKUP(A3936,SizeData!A$2:B$3839,2,FALSE)</f>
        <v/>
      </c>
      <c r="D3936" s="6" t="n">
        <v>1</v>
      </c>
      <c r="E3936" s="6" t="inlineStr">
        <is>
          <t>R1265400</t>
        </is>
      </c>
      <c r="F3936" s="2" t="n">
        <v>44467</v>
      </c>
      <c r="G3936" s="1" t="n"/>
    </row>
    <row r="3937">
      <c r="A3937" s="6" t="n">
        <v>97722</v>
      </c>
      <c r="B3937" s="6" t="inlineStr">
        <is>
          <t>WILD IRISH ROSE RED</t>
        </is>
      </c>
      <c r="C3937" s="7">
        <f>VLOOKUP(A3937,SizeData!A$2:B$3839,2,FALSE)</f>
        <v/>
      </c>
      <c r="D3937" s="6" t="n">
        <v>2</v>
      </c>
      <c r="E3937" s="6" t="inlineStr">
        <is>
          <t>R1273155</t>
        </is>
      </c>
      <c r="F3937" s="2" t="n">
        <v>44480</v>
      </c>
      <c r="G3937" s="1" t="n"/>
    </row>
    <row r="3938">
      <c r="A3938" s="6" t="n">
        <v>97722</v>
      </c>
      <c r="B3938" s="6" t="inlineStr">
        <is>
          <t>WILD IRISH ROSE RED</t>
        </is>
      </c>
      <c r="C3938" s="7">
        <f>VLOOKUP(A3938,SizeData!A$2:B$3839,2,FALSE)</f>
        <v/>
      </c>
      <c r="D3938" s="6" t="n">
        <v>1</v>
      </c>
      <c r="E3938" s="6" t="inlineStr">
        <is>
          <t>R1318325</t>
        </is>
      </c>
      <c r="F3938" s="2" t="n">
        <v>44509</v>
      </c>
      <c r="G3938" s="1" t="n"/>
    </row>
    <row r="3939">
      <c r="A3939" s="6" t="n">
        <v>97722</v>
      </c>
      <c r="B3939" s="6" t="inlineStr">
        <is>
          <t>WILD IRISH ROSE RED</t>
        </is>
      </c>
      <c r="C3939" s="7">
        <f>VLOOKUP(A3939,SizeData!A$2:B$3839,2,FALSE)</f>
        <v/>
      </c>
      <c r="D3939" s="6" t="n">
        <v>1</v>
      </c>
      <c r="E3939" s="6" t="inlineStr">
        <is>
          <t>R1338667</t>
        </is>
      </c>
      <c r="F3939" s="2" t="n">
        <v>44530</v>
      </c>
      <c r="G3939" s="1" t="n"/>
    </row>
    <row r="3940">
      <c r="A3940" s="6" t="n">
        <v>97723</v>
      </c>
      <c r="B3940" s="6" t="inlineStr">
        <is>
          <t>WILD IRISH ROSE RED</t>
        </is>
      </c>
      <c r="C3940" s="7">
        <f>VLOOKUP(A3940,SizeData!A$2:B$3839,2,FALSE)</f>
        <v/>
      </c>
      <c r="D3940" s="6" t="n">
        <v>2</v>
      </c>
      <c r="E3940" s="6" t="inlineStr">
        <is>
          <t>R990933</t>
        </is>
      </c>
      <c r="F3940" s="2" t="n">
        <v>44197</v>
      </c>
      <c r="G3940" s="1" t="n"/>
    </row>
    <row r="3941">
      <c r="A3941" s="6" t="n">
        <v>97723</v>
      </c>
      <c r="B3941" s="6" t="inlineStr">
        <is>
          <t>WILD IRISH ROSE RED</t>
        </is>
      </c>
      <c r="C3941" s="7">
        <f>VLOOKUP(A3941,SizeData!A$2:B$3839,2,FALSE)</f>
        <v/>
      </c>
      <c r="D3941" s="6" t="n">
        <v>2</v>
      </c>
      <c r="E3941" s="6" t="inlineStr">
        <is>
          <t>R1008340</t>
        </is>
      </c>
      <c r="F3941" s="2" t="n">
        <v>44222</v>
      </c>
      <c r="G3941" s="1" t="n"/>
    </row>
    <row r="3942">
      <c r="A3942" s="6" t="n">
        <v>97723</v>
      </c>
      <c r="B3942" s="6" t="inlineStr">
        <is>
          <t>WILD IRISH ROSE RED</t>
        </is>
      </c>
      <c r="C3942" s="7">
        <f>VLOOKUP(A3942,SizeData!A$2:B$3839,2,FALSE)</f>
        <v/>
      </c>
      <c r="D3942" s="6" t="n">
        <v>2</v>
      </c>
      <c r="E3942" s="6" t="inlineStr">
        <is>
          <t>R1028756</t>
        </is>
      </c>
      <c r="F3942" s="2" t="n">
        <v>44239</v>
      </c>
      <c r="G3942" s="1" t="n"/>
    </row>
    <row r="3943">
      <c r="A3943" s="6" t="n">
        <v>97723</v>
      </c>
      <c r="B3943" s="6" t="inlineStr">
        <is>
          <t>WILD IRISH ROSE RED</t>
        </is>
      </c>
      <c r="C3943" s="7">
        <f>VLOOKUP(A3943,SizeData!A$2:B$3839,2,FALSE)</f>
        <v/>
      </c>
      <c r="D3943" s="6" t="n">
        <v>2</v>
      </c>
      <c r="E3943" s="6" t="inlineStr">
        <is>
          <t>R1048765</t>
        </is>
      </c>
      <c r="F3943" s="2" t="n">
        <v>44265</v>
      </c>
      <c r="G3943" s="1" t="n"/>
    </row>
    <row r="3944">
      <c r="A3944" s="6" t="n">
        <v>97723</v>
      </c>
      <c r="B3944" s="6" t="inlineStr">
        <is>
          <t>WILD IRISH ROSE RED</t>
        </is>
      </c>
      <c r="C3944" s="7">
        <f>VLOOKUP(A3944,SizeData!A$2:B$3839,2,FALSE)</f>
        <v/>
      </c>
      <c r="D3944" s="6" t="n">
        <v>2</v>
      </c>
      <c r="E3944" s="6" t="inlineStr">
        <is>
          <t>R1155060</t>
        </is>
      </c>
      <c r="F3944" s="2" t="n">
        <v>44357</v>
      </c>
      <c r="G3944" s="1" t="n"/>
    </row>
    <row r="3945">
      <c r="A3945" s="6" t="n">
        <v>97723</v>
      </c>
      <c r="B3945" s="6" t="inlineStr">
        <is>
          <t>WILD IRISH ROSE RED</t>
        </is>
      </c>
      <c r="C3945" s="7">
        <f>VLOOKUP(A3945,SizeData!A$2:B$3839,2,FALSE)</f>
        <v/>
      </c>
      <c r="D3945" s="6" t="n">
        <v>1</v>
      </c>
      <c r="E3945" s="6" t="inlineStr">
        <is>
          <t>R1189020</t>
        </is>
      </c>
      <c r="F3945" s="2" t="n">
        <v>44406</v>
      </c>
      <c r="G3945" s="1" t="n"/>
    </row>
    <row r="3946">
      <c r="A3946" s="6" t="n">
        <v>97723</v>
      </c>
      <c r="B3946" s="6" t="inlineStr">
        <is>
          <t>WILD IRISH ROSE RED</t>
        </is>
      </c>
      <c r="C3946" s="7">
        <f>VLOOKUP(A3946,SizeData!A$2:B$3839,2,FALSE)</f>
        <v/>
      </c>
      <c r="D3946" s="6" t="n">
        <v>1</v>
      </c>
      <c r="E3946" s="6" t="inlineStr">
        <is>
          <t>R1192063</t>
        </is>
      </c>
      <c r="F3946" s="2" t="n">
        <v>44408</v>
      </c>
      <c r="G3946" s="1" t="n"/>
    </row>
    <row r="3947">
      <c r="A3947" s="6" t="n">
        <v>97723</v>
      </c>
      <c r="B3947" s="6" t="inlineStr">
        <is>
          <t>WILD IRISH ROSE RED</t>
        </is>
      </c>
      <c r="C3947" s="7">
        <f>VLOOKUP(A3947,SizeData!A$2:B$3839,2,FALSE)</f>
        <v/>
      </c>
      <c r="D3947" s="6" t="n">
        <v>1</v>
      </c>
      <c r="E3947" s="6" t="inlineStr">
        <is>
          <t>R1231184</t>
        </is>
      </c>
      <c r="F3947" s="2" t="n">
        <v>44443</v>
      </c>
      <c r="G3947" s="1" t="n"/>
    </row>
    <row r="3948">
      <c r="A3948" s="6" t="n">
        <v>97723</v>
      </c>
      <c r="B3948" s="6" t="inlineStr">
        <is>
          <t>WILD IRISH ROSE RED</t>
        </is>
      </c>
      <c r="C3948" s="7">
        <f>VLOOKUP(A3948,SizeData!A$2:B$3839,2,FALSE)</f>
        <v/>
      </c>
      <c r="D3948" s="6" t="n">
        <v>1</v>
      </c>
      <c r="E3948" s="6" t="inlineStr">
        <is>
          <t>R1246630</t>
        </is>
      </c>
      <c r="F3948" s="2" t="n">
        <v>44450</v>
      </c>
      <c r="G3948" s="1" t="n"/>
    </row>
    <row r="3949">
      <c r="A3949" s="6" t="n">
        <v>97723</v>
      </c>
      <c r="B3949" s="6" t="inlineStr">
        <is>
          <t>WILD IRISH ROSE RED</t>
        </is>
      </c>
      <c r="C3949" s="7">
        <f>VLOOKUP(A3949,SizeData!A$2:B$3839,2,FALSE)</f>
        <v/>
      </c>
      <c r="D3949" s="6" t="n">
        <v>1</v>
      </c>
      <c r="E3949" s="6" t="inlineStr">
        <is>
          <t>R1265400</t>
        </is>
      </c>
      <c r="F3949" s="2" t="n">
        <v>44467</v>
      </c>
      <c r="G3949" s="1" t="n"/>
    </row>
    <row r="3950">
      <c r="A3950" s="6" t="n">
        <v>97723</v>
      </c>
      <c r="B3950" s="6" t="inlineStr">
        <is>
          <t>WILD IRISH ROSE RED</t>
        </is>
      </c>
      <c r="C3950" s="7">
        <f>VLOOKUP(A3950,SizeData!A$2:B$3839,2,FALSE)</f>
        <v/>
      </c>
      <c r="D3950" s="6" t="n">
        <v>1</v>
      </c>
      <c r="E3950" s="6" t="inlineStr">
        <is>
          <t>R1264995</t>
        </is>
      </c>
      <c r="F3950" s="2" t="n">
        <v>44475</v>
      </c>
      <c r="G3950" s="1" t="n"/>
    </row>
    <row r="3951">
      <c r="A3951" s="6" t="n">
        <v>97723</v>
      </c>
      <c r="B3951" s="6" t="inlineStr">
        <is>
          <t>WILD IRISH ROSE RED</t>
        </is>
      </c>
      <c r="C3951" s="7">
        <f>VLOOKUP(A3951,SizeData!A$2:B$3839,2,FALSE)</f>
        <v/>
      </c>
      <c r="D3951" s="6" t="n">
        <v>0</v>
      </c>
      <c r="E3951" s="6" t="inlineStr">
        <is>
          <t>R1318325</t>
        </is>
      </c>
      <c r="F3951" s="2" t="n">
        <v>44509</v>
      </c>
      <c r="G3951" s="1" t="n"/>
    </row>
    <row r="3952">
      <c r="A3952" s="6" t="n">
        <v>97723</v>
      </c>
      <c r="B3952" s="6" t="inlineStr">
        <is>
          <t>WILD IRISH ROSE RED</t>
        </is>
      </c>
      <c r="C3952" s="7">
        <f>VLOOKUP(A3952,SizeData!A$2:B$3839,2,FALSE)</f>
        <v/>
      </c>
      <c r="D3952" s="6" t="n">
        <v>2</v>
      </c>
      <c r="E3952" s="6" t="inlineStr">
        <is>
          <t>R1341714</t>
        </is>
      </c>
      <c r="F3952" s="2" t="n">
        <v>44524</v>
      </c>
      <c r="G3952" s="1" t="n"/>
    </row>
    <row r="3953">
      <c r="A3953" s="6" t="n">
        <v>97724</v>
      </c>
      <c r="B3953" s="6" t="inlineStr">
        <is>
          <t>WILD IRISH ROSE RED</t>
        </is>
      </c>
      <c r="C3953" s="7">
        <f>VLOOKUP(A3953,SizeData!A$2:B$3839,2,FALSE)</f>
        <v/>
      </c>
      <c r="D3953" s="6" t="n">
        <v>1</v>
      </c>
      <c r="E3953" s="6" t="inlineStr">
        <is>
          <t>R990933</t>
        </is>
      </c>
      <c r="F3953" s="2" t="n">
        <v>44197</v>
      </c>
      <c r="G3953" s="1" t="n"/>
    </row>
    <row r="3954">
      <c r="A3954" s="6" t="n">
        <v>97724</v>
      </c>
      <c r="B3954" s="6" t="inlineStr">
        <is>
          <t>WILD IRISH ROSE RED</t>
        </is>
      </c>
      <c r="C3954" s="7">
        <f>VLOOKUP(A3954,SizeData!A$2:B$3839,2,FALSE)</f>
        <v/>
      </c>
      <c r="D3954" s="6" t="n">
        <v>2</v>
      </c>
      <c r="E3954" s="6" t="inlineStr">
        <is>
          <t>R986958</t>
        </is>
      </c>
      <c r="F3954" s="2" t="n">
        <v>44200</v>
      </c>
      <c r="G3954" s="1" t="n"/>
    </row>
    <row r="3955">
      <c r="A3955" s="6" t="n">
        <v>97724</v>
      </c>
      <c r="B3955" s="6" t="inlineStr">
        <is>
          <t>WILD IRISH ROSE RED</t>
        </is>
      </c>
      <c r="C3955" s="7">
        <f>VLOOKUP(A3955,SizeData!A$2:B$3839,2,FALSE)</f>
        <v/>
      </c>
      <c r="D3955" s="6" t="n">
        <v>2</v>
      </c>
      <c r="E3955" s="6" t="inlineStr">
        <is>
          <t>R1000047</t>
        </is>
      </c>
      <c r="F3955" s="2" t="n">
        <v>44207</v>
      </c>
      <c r="G3955" s="1" t="n"/>
    </row>
    <row r="3956">
      <c r="A3956" s="6" t="n">
        <v>97724</v>
      </c>
      <c r="B3956" s="6" t="inlineStr">
        <is>
          <t>WILD IRISH ROSE RED</t>
        </is>
      </c>
      <c r="C3956" s="7">
        <f>VLOOKUP(A3956,SizeData!A$2:B$3839,2,FALSE)</f>
        <v/>
      </c>
      <c r="D3956" s="6" t="n">
        <v>1</v>
      </c>
      <c r="E3956" s="6" t="inlineStr">
        <is>
          <t>R1030486</t>
        </is>
      </c>
      <c r="F3956" s="2" t="n">
        <v>44247</v>
      </c>
      <c r="G3956" s="1" t="n"/>
    </row>
    <row r="3957">
      <c r="A3957" s="6" t="n">
        <v>97724</v>
      </c>
      <c r="B3957" s="6" t="inlineStr">
        <is>
          <t>WILD IRISH ROSE RED</t>
        </is>
      </c>
      <c r="C3957" s="7">
        <f>VLOOKUP(A3957,SizeData!A$2:B$3839,2,FALSE)</f>
        <v/>
      </c>
      <c r="D3957" s="6" t="n">
        <v>2</v>
      </c>
      <c r="E3957" s="6" t="inlineStr">
        <is>
          <t>R1036739</t>
        </is>
      </c>
      <c r="F3957" s="2" t="n">
        <v>44249</v>
      </c>
      <c r="G3957" s="1" t="n"/>
    </row>
    <row r="3958">
      <c r="A3958" s="6" t="n">
        <v>97724</v>
      </c>
      <c r="B3958" s="6" t="inlineStr">
        <is>
          <t>WILD IRISH ROSE RED</t>
        </is>
      </c>
      <c r="C3958" s="7">
        <f>VLOOKUP(A3958,SizeData!A$2:B$3839,2,FALSE)</f>
        <v/>
      </c>
      <c r="D3958" s="6" t="n">
        <v>1</v>
      </c>
      <c r="E3958" s="6" t="inlineStr">
        <is>
          <t>R1070281</t>
        </is>
      </c>
      <c r="F3958" s="2" t="n">
        <v>44275</v>
      </c>
      <c r="G3958" s="1" t="n"/>
    </row>
    <row r="3959">
      <c r="A3959" s="6" t="n">
        <v>97724</v>
      </c>
      <c r="B3959" s="6" t="inlineStr">
        <is>
          <t>WILD IRISH ROSE RED</t>
        </is>
      </c>
      <c r="C3959" s="7">
        <f>VLOOKUP(A3959,SizeData!A$2:B$3839,2,FALSE)</f>
        <v/>
      </c>
      <c r="D3959" s="6" t="n">
        <v>1</v>
      </c>
      <c r="E3959" s="6" t="inlineStr">
        <is>
          <t>R1089290</t>
        </is>
      </c>
      <c r="F3959" s="2" t="n">
        <v>44309</v>
      </c>
      <c r="G3959" s="1" t="n"/>
    </row>
    <row r="3960">
      <c r="A3960" s="6" t="n">
        <v>97724</v>
      </c>
      <c r="B3960" s="6" t="inlineStr">
        <is>
          <t>WILD IRISH ROSE RED</t>
        </is>
      </c>
      <c r="C3960" s="7">
        <f>VLOOKUP(A3960,SizeData!A$2:B$3839,2,FALSE)</f>
        <v/>
      </c>
      <c r="D3960" s="6" t="n">
        <v>1</v>
      </c>
      <c r="E3960" s="6" t="inlineStr">
        <is>
          <t>R1115877</t>
        </is>
      </c>
      <c r="F3960" s="2" t="n">
        <v>44329</v>
      </c>
      <c r="G3960" s="1" t="n"/>
    </row>
    <row r="3961">
      <c r="A3961" s="6" t="n">
        <v>97724</v>
      </c>
      <c r="B3961" s="6" t="inlineStr">
        <is>
          <t>WILD IRISH ROSE RED</t>
        </is>
      </c>
      <c r="C3961" s="7">
        <f>VLOOKUP(A3961,SizeData!A$2:B$3839,2,FALSE)</f>
        <v/>
      </c>
      <c r="D3961" s="6" t="n">
        <v>1</v>
      </c>
      <c r="E3961" s="6" t="inlineStr">
        <is>
          <t>R1148371</t>
        </is>
      </c>
      <c r="F3961" s="2" t="n">
        <v>44365</v>
      </c>
      <c r="G3961" s="1" t="n"/>
    </row>
    <row r="3962">
      <c r="A3962" s="6" t="n">
        <v>97724</v>
      </c>
      <c r="B3962" s="6" t="inlineStr">
        <is>
          <t>WILD IRISH ROSE RED</t>
        </is>
      </c>
      <c r="C3962" s="7">
        <f>VLOOKUP(A3962,SizeData!A$2:B$3839,2,FALSE)</f>
        <v/>
      </c>
      <c r="D3962" s="6" t="n">
        <v>1</v>
      </c>
      <c r="E3962" s="6" t="inlineStr">
        <is>
          <t>R1169967</t>
        </is>
      </c>
      <c r="F3962" s="2" t="n">
        <v>44385</v>
      </c>
      <c r="G3962" s="1" t="n"/>
    </row>
    <row r="3963">
      <c r="A3963" s="6" t="n">
        <v>97724</v>
      </c>
      <c r="B3963" s="6" t="inlineStr">
        <is>
          <t>WILD IRISH ROSE RED</t>
        </is>
      </c>
      <c r="C3963" s="7">
        <f>VLOOKUP(A3963,SizeData!A$2:B$3839,2,FALSE)</f>
        <v/>
      </c>
      <c r="D3963" s="6" t="n">
        <v>1</v>
      </c>
      <c r="E3963" s="6" t="inlineStr">
        <is>
          <t>R1192063</t>
        </is>
      </c>
      <c r="F3963" s="2" t="n">
        <v>44408</v>
      </c>
      <c r="G3963" s="1" t="n"/>
    </row>
    <row r="3964">
      <c r="A3964" s="6" t="n">
        <v>97724</v>
      </c>
      <c r="B3964" s="6" t="inlineStr">
        <is>
          <t>WILD IRISH ROSE RED</t>
        </is>
      </c>
      <c r="C3964" s="7">
        <f>VLOOKUP(A3964,SizeData!A$2:B$3839,2,FALSE)</f>
        <v/>
      </c>
      <c r="D3964" s="6" t="n">
        <v>1</v>
      </c>
      <c r="E3964" s="6" t="inlineStr">
        <is>
          <t>R1241453</t>
        </is>
      </c>
      <c r="F3964" s="2" t="n">
        <v>44448</v>
      </c>
      <c r="G3964" s="1" t="n"/>
    </row>
    <row r="3965">
      <c r="A3965" s="6" t="n">
        <v>97724</v>
      </c>
      <c r="B3965" s="6" t="inlineStr">
        <is>
          <t>WILD IRISH ROSE RED</t>
        </is>
      </c>
      <c r="C3965" s="7">
        <f>VLOOKUP(A3965,SizeData!A$2:B$3839,2,FALSE)</f>
        <v/>
      </c>
      <c r="D3965" s="6" t="n">
        <v>1</v>
      </c>
      <c r="E3965" s="6" t="inlineStr">
        <is>
          <t>R1267530</t>
        </is>
      </c>
      <c r="F3965" s="2" t="n">
        <v>44470</v>
      </c>
      <c r="G3965" s="1" t="n"/>
    </row>
    <row r="3966">
      <c r="A3966" s="6" t="n">
        <v>97724</v>
      </c>
      <c r="B3966" s="6" t="inlineStr">
        <is>
          <t>WILD IRISH ROSE RED</t>
        </is>
      </c>
      <c r="C3966" s="7">
        <f>VLOOKUP(A3966,SizeData!A$2:B$3839,2,FALSE)</f>
        <v/>
      </c>
      <c r="D3966" s="6" t="n">
        <v>1</v>
      </c>
      <c r="E3966" s="6" t="inlineStr">
        <is>
          <t>R1273155</t>
        </is>
      </c>
      <c r="F3966" s="2" t="n">
        <v>44480</v>
      </c>
      <c r="G3966" s="1" t="n"/>
    </row>
    <row r="3967">
      <c r="A3967" s="6" t="n">
        <v>97724</v>
      </c>
      <c r="B3967" s="6" t="inlineStr">
        <is>
          <t>WILD IRISH ROSE RED</t>
        </is>
      </c>
      <c r="C3967" s="7">
        <f>VLOOKUP(A3967,SizeData!A$2:B$3839,2,FALSE)</f>
        <v/>
      </c>
      <c r="D3967" s="6" t="n">
        <v>3</v>
      </c>
      <c r="E3967" s="6" t="inlineStr">
        <is>
          <t>R1327983</t>
        </is>
      </c>
      <c r="F3967" s="2" t="n">
        <v>44523</v>
      </c>
      <c r="G3967" s="1" t="n"/>
    </row>
    <row r="3968">
      <c r="A3968" s="6" t="n">
        <v>97724</v>
      </c>
      <c r="B3968" s="6" t="inlineStr">
        <is>
          <t>WILD IRISH ROSE RED</t>
        </is>
      </c>
      <c r="C3968" s="7">
        <f>VLOOKUP(A3968,SizeData!A$2:B$3839,2,FALSE)</f>
        <v/>
      </c>
      <c r="D3968" s="6" t="n">
        <v>1</v>
      </c>
      <c r="E3968" s="6" t="inlineStr">
        <is>
          <t>R1335695</t>
        </is>
      </c>
      <c r="F3968" s="2" t="n">
        <v>44525</v>
      </c>
      <c r="G3968" s="1" t="n"/>
    </row>
    <row r="3969">
      <c r="A3969" s="6" t="n">
        <v>97726</v>
      </c>
      <c r="B3969" s="6" t="inlineStr">
        <is>
          <t>WILD IRISH ROSE RED</t>
        </is>
      </c>
      <c r="C3969" s="7">
        <f>VLOOKUP(A3969,SizeData!A$2:B$3839,2,FALSE)</f>
        <v/>
      </c>
      <c r="D3969" s="6" t="n">
        <v>3</v>
      </c>
      <c r="E3969" s="6" t="inlineStr">
        <is>
          <t>R1015646</t>
        </is>
      </c>
      <c r="F3969" s="2" t="n">
        <v>44223</v>
      </c>
      <c r="G3969" s="1" t="n"/>
    </row>
    <row r="3970">
      <c r="A3970" s="6" t="n">
        <v>97726</v>
      </c>
      <c r="B3970" s="6" t="inlineStr">
        <is>
          <t>WILD IRISH ROSE RED</t>
        </is>
      </c>
      <c r="C3970" s="7">
        <f>VLOOKUP(A3970,SizeData!A$2:B$3839,2,FALSE)</f>
        <v/>
      </c>
      <c r="D3970" s="6" t="n">
        <v>2</v>
      </c>
      <c r="E3970" s="6" t="inlineStr">
        <is>
          <t>R1028756</t>
        </is>
      </c>
      <c r="F3970" s="2" t="n">
        <v>44239</v>
      </c>
      <c r="G3970" s="1" t="n"/>
    </row>
    <row r="3971">
      <c r="A3971" s="6" t="n">
        <v>97726</v>
      </c>
      <c r="B3971" s="6" t="inlineStr">
        <is>
          <t>WILD IRISH ROSE RED</t>
        </is>
      </c>
      <c r="C3971" s="7">
        <f>VLOOKUP(A3971,SizeData!A$2:B$3839,2,FALSE)</f>
        <v/>
      </c>
      <c r="D3971" s="6" t="n">
        <v>1</v>
      </c>
      <c r="E3971" s="6" t="inlineStr">
        <is>
          <t>R1066712</t>
        </is>
      </c>
      <c r="F3971" s="2" t="n">
        <v>44268</v>
      </c>
      <c r="G3971" s="1" t="n"/>
    </row>
    <row r="3972">
      <c r="A3972" s="6" t="n">
        <v>97726</v>
      </c>
      <c r="B3972" s="6" t="inlineStr">
        <is>
          <t>WILD IRISH ROSE RED</t>
        </is>
      </c>
      <c r="C3972" s="7">
        <f>VLOOKUP(A3972,SizeData!A$2:B$3839,2,FALSE)</f>
        <v/>
      </c>
      <c r="D3972" s="6" t="n">
        <v>2</v>
      </c>
      <c r="E3972" s="6" t="inlineStr">
        <is>
          <t>R1070281</t>
        </is>
      </c>
      <c r="F3972" s="2" t="n">
        <v>44275</v>
      </c>
      <c r="G3972" s="1" t="n"/>
    </row>
    <row r="3973">
      <c r="A3973" s="6" t="n">
        <v>97726</v>
      </c>
      <c r="B3973" s="6" t="inlineStr">
        <is>
          <t>WILD IRISH ROSE RED</t>
        </is>
      </c>
      <c r="C3973" s="7">
        <f>VLOOKUP(A3973,SizeData!A$2:B$3839,2,FALSE)</f>
        <v/>
      </c>
      <c r="D3973" s="6" t="n">
        <v>2</v>
      </c>
      <c r="E3973" s="6" t="inlineStr">
        <is>
          <t>R1084018</t>
        </is>
      </c>
      <c r="F3973" s="2" t="n">
        <v>44292</v>
      </c>
      <c r="G3973" s="1" t="n"/>
    </row>
    <row r="3974">
      <c r="A3974" s="6" t="n">
        <v>97726</v>
      </c>
      <c r="B3974" s="6" t="inlineStr">
        <is>
          <t>WILD IRISH ROSE RED</t>
        </is>
      </c>
      <c r="C3974" s="7">
        <f>VLOOKUP(A3974,SizeData!A$2:B$3839,2,FALSE)</f>
        <v/>
      </c>
      <c r="D3974" s="6" t="n">
        <v>1</v>
      </c>
      <c r="E3974" s="6" t="inlineStr">
        <is>
          <t>R1206028</t>
        </is>
      </c>
      <c r="F3974" s="2" t="n">
        <v>44417</v>
      </c>
      <c r="G3974" s="1" t="n"/>
    </row>
    <row r="3975">
      <c r="A3975" s="6" t="n">
        <v>97726</v>
      </c>
      <c r="B3975" s="6" t="inlineStr">
        <is>
          <t>WILD IRISH ROSE RED</t>
        </is>
      </c>
      <c r="C3975" s="7">
        <f>VLOOKUP(A3975,SizeData!A$2:B$3839,2,FALSE)</f>
        <v/>
      </c>
      <c r="D3975" s="6" t="n">
        <v>0</v>
      </c>
      <c r="E3975" s="6" t="inlineStr">
        <is>
          <t>R1306125</t>
        </is>
      </c>
      <c r="F3975" s="2" t="n">
        <v>44495</v>
      </c>
      <c r="G3975" s="1" t="n"/>
    </row>
    <row r="3976">
      <c r="A3976" s="6" t="n">
        <v>97726</v>
      </c>
      <c r="B3976" s="6" t="inlineStr">
        <is>
          <t>WILD IRISH ROSE RED</t>
        </is>
      </c>
      <c r="C3976" s="7">
        <f>VLOOKUP(A3976,SizeData!A$2:B$3839,2,FALSE)</f>
        <v/>
      </c>
      <c r="D3976" s="6" t="n">
        <v>4</v>
      </c>
      <c r="E3976" s="6" t="inlineStr">
        <is>
          <t>R1336378</t>
        </is>
      </c>
      <c r="F3976" s="2" t="n">
        <v>44523</v>
      </c>
      <c r="G3976" s="1" t="n"/>
    </row>
    <row r="3977">
      <c r="A3977" s="6" t="n">
        <v>97726</v>
      </c>
      <c r="B3977" s="6" t="inlineStr">
        <is>
          <t>WILD IRISH ROSE RED</t>
        </is>
      </c>
      <c r="C3977" s="7">
        <f>VLOOKUP(A3977,SizeData!A$2:B$3839,2,FALSE)</f>
        <v/>
      </c>
      <c r="D3977" s="6" t="n">
        <v>3</v>
      </c>
      <c r="E3977" s="6" t="inlineStr">
        <is>
          <t>R1347114</t>
        </is>
      </c>
      <c r="F3977" s="2" t="n">
        <v>44531</v>
      </c>
      <c r="G3977" s="1" t="n"/>
    </row>
    <row r="3978">
      <c r="A3978" s="6" t="n">
        <v>97727</v>
      </c>
      <c r="B3978" s="6" t="inlineStr">
        <is>
          <t>WILD IRISH ROSE RED</t>
        </is>
      </c>
      <c r="C3978" s="7">
        <f>VLOOKUP(A3978,SizeData!A$2:B$3839,2,FALSE)</f>
        <v/>
      </c>
      <c r="D3978" s="6" t="n">
        <v>1</v>
      </c>
      <c r="E3978" s="6" t="inlineStr">
        <is>
          <t>R1043793</t>
        </is>
      </c>
      <c r="F3978" s="2" t="n">
        <v>44270</v>
      </c>
      <c r="G3978" s="1" t="n"/>
    </row>
    <row r="3979">
      <c r="A3979" s="6" t="n">
        <v>97727</v>
      </c>
      <c r="B3979" s="6" t="inlineStr">
        <is>
          <t>WILD IRISH ROSE RED</t>
        </is>
      </c>
      <c r="C3979" s="7">
        <f>VLOOKUP(A3979,SizeData!A$2:B$3839,2,FALSE)</f>
        <v/>
      </c>
      <c r="D3979" s="6" t="n">
        <v>1</v>
      </c>
      <c r="E3979" s="6" t="inlineStr">
        <is>
          <t>R1074898</t>
        </is>
      </c>
      <c r="F3979" s="2" t="n">
        <v>44293</v>
      </c>
      <c r="G3979" s="1" t="n"/>
    </row>
    <row r="3980">
      <c r="A3980" s="6" t="n">
        <v>97727</v>
      </c>
      <c r="B3980" s="6" t="inlineStr">
        <is>
          <t>WILD IRISH ROSE RED</t>
        </is>
      </c>
      <c r="C3980" s="7">
        <f>VLOOKUP(A3980,SizeData!A$2:B$3839,2,FALSE)</f>
        <v/>
      </c>
      <c r="D3980" s="6" t="n">
        <v>1</v>
      </c>
      <c r="E3980" s="6" t="inlineStr">
        <is>
          <t>R1192063</t>
        </is>
      </c>
      <c r="F3980" s="2" t="n">
        <v>44408</v>
      </c>
      <c r="G3980" s="1" t="n"/>
    </row>
    <row r="3981">
      <c r="A3981" s="6" t="n">
        <v>97727</v>
      </c>
      <c r="B3981" s="6" t="inlineStr">
        <is>
          <t>WILD IRISH ROSE RED</t>
        </is>
      </c>
      <c r="C3981" s="7">
        <f>VLOOKUP(A3981,SizeData!A$2:B$3839,2,FALSE)</f>
        <v/>
      </c>
      <c r="D3981" s="6" t="n">
        <v>0</v>
      </c>
      <c r="E3981" s="6" t="inlineStr">
        <is>
          <t>R1259983</t>
        </is>
      </c>
      <c r="F3981" s="2" t="n">
        <v>44479</v>
      </c>
      <c r="G3981" s="1" t="n"/>
    </row>
    <row r="3982">
      <c r="A3982" s="6" t="n">
        <v>97727</v>
      </c>
      <c r="B3982" s="6" t="inlineStr">
        <is>
          <t>WILD IRISH ROSE RED</t>
        </is>
      </c>
      <c r="C3982" s="7">
        <f>VLOOKUP(A3982,SizeData!A$2:B$3839,2,FALSE)</f>
        <v/>
      </c>
      <c r="D3982" s="6" t="n">
        <v>1</v>
      </c>
      <c r="E3982" s="6" t="inlineStr">
        <is>
          <t>R1301804</t>
        </is>
      </c>
      <c r="F3982" s="2" t="n">
        <v>44492</v>
      </c>
      <c r="G3982" s="1" t="n"/>
    </row>
    <row r="3983">
      <c r="A3983" s="6" t="n">
        <v>98197</v>
      </c>
      <c r="B3983" s="6" t="inlineStr">
        <is>
          <t>MARTINI AND ROSSI EXTRA DRY VERMOUTH</t>
        </is>
      </c>
      <c r="C3983" s="7">
        <f>VLOOKUP(A3983,SizeData!A$2:B$3839,2,FALSE)</f>
        <v/>
      </c>
      <c r="D3983" s="6" t="n">
        <v>1</v>
      </c>
      <c r="E3983" s="6" t="inlineStr">
        <is>
          <t>R1109607</t>
        </is>
      </c>
      <c r="F3983" s="2" t="n">
        <v>44317</v>
      </c>
      <c r="G3983" s="1" t="n"/>
    </row>
    <row r="3984">
      <c r="A3984" s="6" t="n">
        <v>98197</v>
      </c>
      <c r="B3984" s="6" t="inlineStr">
        <is>
          <t>MARTINI AND ROSSI EXTRA DRY VERMOUTH</t>
        </is>
      </c>
      <c r="C3984" s="7">
        <f>VLOOKUP(A3984,SizeData!A$2:B$3839,2,FALSE)</f>
        <v/>
      </c>
      <c r="D3984" s="6" t="n">
        <v>1</v>
      </c>
      <c r="E3984" s="6" t="inlineStr">
        <is>
          <t>R1242196</t>
        </is>
      </c>
      <c r="F3984" s="2" t="n">
        <v>44456</v>
      </c>
      <c r="G3984" s="1" t="n"/>
    </row>
    <row r="3985">
      <c r="A3985" s="6" t="n">
        <v>98197</v>
      </c>
      <c r="B3985" s="6" t="inlineStr">
        <is>
          <t>MARTINI AND ROSSI EXTRA DRY VERMOUTH</t>
        </is>
      </c>
      <c r="C3985" s="7">
        <f>VLOOKUP(A3985,SizeData!A$2:B$3839,2,FALSE)</f>
        <v/>
      </c>
      <c r="D3985" s="6" t="n">
        <v>1</v>
      </c>
      <c r="E3985" s="6" t="inlineStr">
        <is>
          <t>R1350820</t>
        </is>
      </c>
      <c r="F3985" s="2" t="n">
        <v>44531</v>
      </c>
      <c r="G3985" s="1" t="n"/>
    </row>
    <row r="3986">
      <c r="A3986" s="6" t="n">
        <v>98747</v>
      </c>
      <c r="B3986" s="6" t="inlineStr">
        <is>
          <t>MARTINI AND ROSSI ROSSO SWEET VERMOUTH (RED)</t>
        </is>
      </c>
      <c r="C3986" s="7">
        <f>VLOOKUP(A3986,SizeData!A$2:B$3839,2,FALSE)</f>
        <v/>
      </c>
      <c r="D3986" s="6" t="n">
        <v>0</v>
      </c>
      <c r="E3986" s="6" t="inlineStr">
        <is>
          <t>R1320287</t>
        </is>
      </c>
      <c r="F3986" s="2" t="n">
        <v>44506</v>
      </c>
      <c r="G3986" s="1" t="n"/>
    </row>
    <row r="3987">
      <c r="A3987" s="6" t="n">
        <v>98747</v>
      </c>
      <c r="B3987" s="6" t="inlineStr">
        <is>
          <t>MARTINI AND ROSSI ROSSO SWEET VERMOUTH (RED)</t>
        </is>
      </c>
      <c r="C3987" s="7">
        <f>VLOOKUP(A3987,SizeData!A$2:B$3839,2,FALSE)</f>
        <v/>
      </c>
      <c r="D3987" s="6" t="n">
        <v>1</v>
      </c>
      <c r="E3987" s="6" t="inlineStr">
        <is>
          <t>R1341714</t>
        </is>
      </c>
      <c r="F3987" s="2" t="n">
        <v>44524</v>
      </c>
      <c r="G3987" s="1" t="n"/>
    </row>
    <row r="3988">
      <c r="A3988" s="6" t="n">
        <v>98747</v>
      </c>
      <c r="B3988" s="6" t="inlineStr">
        <is>
          <t>MARTINI AND ROSSI ROSSO SWEET VERMOUTH (RED)</t>
        </is>
      </c>
      <c r="C3988" s="7">
        <f>VLOOKUP(A3988,SizeData!A$2:B$3839,2,FALSE)</f>
        <v/>
      </c>
      <c r="D3988" s="6" t="n">
        <v>1</v>
      </c>
      <c r="E3988" s="6" t="inlineStr">
        <is>
          <t>R1341714</t>
        </is>
      </c>
      <c r="F3988" s="2" t="n">
        <v>44524</v>
      </c>
      <c r="G3988" s="1" t="n"/>
    </row>
    <row r="3989">
      <c r="A3989" s="6" t="n">
        <v>100104</v>
      </c>
      <c r="B3989" s="6" t="inlineStr">
        <is>
          <t>HERRADURA ULTRA ANEJO</t>
        </is>
      </c>
      <c r="C3989" s="7">
        <f>VLOOKUP(A3989,SizeData!A$2:B$3839,2,FALSE)</f>
        <v/>
      </c>
      <c r="D3989" s="6" t="n">
        <v>3</v>
      </c>
      <c r="E3989" s="6" t="inlineStr">
        <is>
          <t xml:space="preserve"> R1153854</t>
        </is>
      </c>
      <c r="F3989" s="2" t="n">
        <v>44377</v>
      </c>
      <c r="G3989" s="1" t="n"/>
    </row>
    <row r="3990">
      <c r="A3990" s="6" t="n">
        <v>100104</v>
      </c>
      <c r="B3990" s="6" t="inlineStr">
        <is>
          <t>HERRADURA ULTRA ANEJO</t>
        </is>
      </c>
      <c r="C3990" s="7">
        <f>VLOOKUP(A3990,SizeData!A$2:B$3839,2,FALSE)</f>
        <v/>
      </c>
      <c r="D3990" s="6" t="n">
        <v>2</v>
      </c>
      <c r="E3990" s="6" t="inlineStr">
        <is>
          <t xml:space="preserve"> R1202273</t>
        </is>
      </c>
      <c r="F3990" s="2" t="n">
        <v>44419</v>
      </c>
      <c r="G3990" s="1" t="n"/>
    </row>
    <row r="3991">
      <c r="A3991" s="6" t="n">
        <v>100104</v>
      </c>
      <c r="B3991" s="6" t="inlineStr">
        <is>
          <t>HERRADURA ULTRA ANEJO</t>
        </is>
      </c>
      <c r="C3991" s="7">
        <f>VLOOKUP(A3991,SizeData!A$2:B$3839,2,FALSE)</f>
        <v/>
      </c>
      <c r="D3991" s="6" t="n">
        <v>2</v>
      </c>
      <c r="E3991" s="6" t="inlineStr">
        <is>
          <t>R1259983</t>
        </is>
      </c>
      <c r="F3991" s="2" t="n">
        <v>44479</v>
      </c>
      <c r="G3991" s="1" t="n"/>
    </row>
    <row r="3992">
      <c r="A3992" s="6" t="n">
        <v>100104</v>
      </c>
      <c r="B3992" s="6" t="inlineStr">
        <is>
          <t>HERRADURA ULTRA ANEJO</t>
        </is>
      </c>
      <c r="C3992" s="7">
        <f>VLOOKUP(A3992,SizeData!A$2:B$3839,2,FALSE)</f>
        <v/>
      </c>
      <c r="D3992" s="6" t="n">
        <v>3</v>
      </c>
      <c r="E3992" s="6" t="inlineStr">
        <is>
          <t>R1274548</t>
        </is>
      </c>
      <c r="F3992" s="2" t="n">
        <v>44485</v>
      </c>
      <c r="G3992" s="1" t="n"/>
    </row>
    <row r="3993">
      <c r="A3993" s="6" t="n">
        <v>100248</v>
      </c>
      <c r="B3993" s="6" t="inlineStr">
        <is>
          <t>MARTELL BLUESWIFT W/ 2 GLASSES-QUAVO EDITION</t>
        </is>
      </c>
      <c r="C3993" s="7">
        <f>VLOOKUP(A3993,SizeData!A$2:B$3839,2,FALSE)</f>
        <v/>
      </c>
      <c r="D3993" s="6" t="n">
        <v>16</v>
      </c>
      <c r="E3993" s="6" t="inlineStr">
        <is>
          <t>R1305203</t>
        </is>
      </c>
      <c r="F3993" s="2" t="n">
        <v>44487</v>
      </c>
      <c r="G3993" s="1" t="n"/>
    </row>
    <row r="3994">
      <c r="A3994" s="6" t="n">
        <v>100397</v>
      </c>
      <c r="B3994" s="6" t="inlineStr">
        <is>
          <t>AVION SILVER CANISTER</t>
        </is>
      </c>
      <c r="C3994" s="7">
        <f>VLOOKUP(A3994,SizeData!A$2:B$3839,2,FALSE)</f>
        <v/>
      </c>
      <c r="D3994" s="6" t="n">
        <v>1</v>
      </c>
      <c r="E3994" s="6" t="inlineStr">
        <is>
          <t xml:space="preserve"> R1150889</t>
        </is>
      </c>
      <c r="F3994" s="2" t="n">
        <v>44368</v>
      </c>
      <c r="G3994" s="1" t="n"/>
    </row>
    <row r="3995">
      <c r="A3995" s="6" t="n">
        <v>100397</v>
      </c>
      <c r="B3995" s="6" t="inlineStr">
        <is>
          <t>AVION SILVER CANISTER</t>
        </is>
      </c>
      <c r="C3995" s="7">
        <f>VLOOKUP(A3995,SizeData!A$2:B$3839,2,FALSE)</f>
        <v/>
      </c>
      <c r="D3995" s="6" t="n">
        <v>2</v>
      </c>
      <c r="E3995" s="6" t="inlineStr">
        <is>
          <t>R1169144</t>
        </is>
      </c>
      <c r="F3995" s="2" t="n">
        <v>44387</v>
      </c>
      <c r="G3995" s="1" t="n"/>
    </row>
    <row r="3996">
      <c r="A3996" s="6" t="n">
        <v>100397</v>
      </c>
      <c r="B3996" s="6" t="inlineStr">
        <is>
          <t>AVION SILVER CANISTER</t>
        </is>
      </c>
      <c r="C3996" s="7">
        <f>VLOOKUP(A3996,SizeData!A$2:B$3839,2,FALSE)</f>
        <v/>
      </c>
      <c r="D3996" s="6" t="n">
        <v>1</v>
      </c>
      <c r="E3996" s="6" t="inlineStr">
        <is>
          <t>R1192528</t>
        </is>
      </c>
      <c r="F3996" s="2" t="n">
        <v>44404</v>
      </c>
      <c r="G3996" s="1" t="n"/>
    </row>
    <row r="3997">
      <c r="A3997" s="6" t="n">
        <v>100397</v>
      </c>
      <c r="B3997" s="6" t="inlineStr">
        <is>
          <t>AVION SILVER CANISTER</t>
        </is>
      </c>
      <c r="C3997" s="7">
        <f>VLOOKUP(A3997,SizeData!A$2:B$3839,2,FALSE)</f>
        <v/>
      </c>
      <c r="D3997" s="6" t="n">
        <v>1</v>
      </c>
      <c r="E3997" s="6" t="inlineStr">
        <is>
          <t>R1279880</t>
        </is>
      </c>
      <c r="F3997" s="2" t="n">
        <v>44490</v>
      </c>
      <c r="G3997" s="1" t="n"/>
    </row>
    <row r="3998">
      <c r="A3998" s="6" t="n">
        <v>100397</v>
      </c>
      <c r="B3998" s="6" t="inlineStr">
        <is>
          <t>AVION SILVER CANISTER</t>
        </is>
      </c>
      <c r="C3998" s="7">
        <f>VLOOKUP(A3998,SizeData!A$2:B$3839,2,FALSE)</f>
        <v/>
      </c>
      <c r="D3998" s="6" t="n">
        <v>1</v>
      </c>
      <c r="E3998" s="6" t="inlineStr">
        <is>
          <t>R1352452</t>
        </is>
      </c>
      <c r="F3998" s="2" t="n">
        <v>44536</v>
      </c>
      <c r="G3998" s="1" t="n"/>
    </row>
    <row r="3999">
      <c r="A3999" s="6" t="n">
        <v>100639</v>
      </c>
      <c r="B3999" s="6" t="inlineStr">
        <is>
          <t>CROWN ROYAL W/JERSEY FOOTBALL BAG</t>
        </is>
      </c>
      <c r="C3999" s="7">
        <f>VLOOKUP(A3999,SizeData!A$2:B$3839,2,FALSE)</f>
        <v/>
      </c>
      <c r="D3999" s="6" t="n">
        <v>1</v>
      </c>
      <c r="E3999" s="6" t="inlineStr">
        <is>
          <t>R1234926</t>
        </is>
      </c>
      <c r="F3999" s="2" t="n">
        <v>44448</v>
      </c>
      <c r="G3999" s="1" t="n"/>
    </row>
    <row r="4000">
      <c r="A4000" s="6" t="n">
        <v>100686</v>
      </c>
      <c r="B4000" s="6" t="inlineStr">
        <is>
          <t>JOSE CUERVO AUTHENTIC PINK LEMONADE (4PK)</t>
        </is>
      </c>
      <c r="C4000" s="7">
        <f>VLOOKUP(A4000,SizeData!A$2:B$3839,2,FALSE)</f>
        <v/>
      </c>
      <c r="D4000" s="6" t="n">
        <v>2</v>
      </c>
      <c r="E4000" s="6" t="inlineStr">
        <is>
          <t>R1000359</t>
        </is>
      </c>
      <c r="F4000" s="2" t="n">
        <v>44201</v>
      </c>
      <c r="G4000" s="1" t="n"/>
    </row>
    <row r="4001">
      <c r="A4001" s="6" t="n">
        <v>100686</v>
      </c>
      <c r="B4001" s="6" t="inlineStr">
        <is>
          <t>JOSE CUERVO AUTHENTIC PINK LEMONADE (4PK)</t>
        </is>
      </c>
      <c r="C4001" s="7">
        <f>VLOOKUP(A4001,SizeData!A$2:B$3839,2,FALSE)</f>
        <v/>
      </c>
      <c r="D4001" s="6" t="n">
        <v>3</v>
      </c>
      <c r="E4001" s="6" t="inlineStr">
        <is>
          <t>R1040170</t>
        </is>
      </c>
      <c r="F4001" s="2" t="n">
        <v>44251</v>
      </c>
      <c r="G4001" s="1" t="n"/>
    </row>
    <row r="4002">
      <c r="A4002" s="6" t="n">
        <v>100686</v>
      </c>
      <c r="B4002" s="6" t="inlineStr">
        <is>
          <t>JOSE CUERVO AUTHENTIC PINK LEMONADE (4PK)</t>
        </is>
      </c>
      <c r="C4002" s="7">
        <f>VLOOKUP(A4002,SizeData!A$2:B$3839,2,FALSE)</f>
        <v/>
      </c>
      <c r="D4002" s="6" t="n">
        <v>2</v>
      </c>
      <c r="E4002" s="6" t="inlineStr">
        <is>
          <t>R1056165</t>
        </is>
      </c>
      <c r="F4002" s="2" t="n">
        <v>44266</v>
      </c>
      <c r="G4002" s="1" t="n"/>
    </row>
    <row r="4003">
      <c r="A4003" s="6" t="n">
        <v>100686</v>
      </c>
      <c r="B4003" s="6" t="inlineStr">
        <is>
          <t>JOSE CUERVO AUTHENTIC PINK LEMONADE (4PK)</t>
        </is>
      </c>
      <c r="C4003" s="7">
        <f>VLOOKUP(A4003,SizeData!A$2:B$3839,2,FALSE)</f>
        <v/>
      </c>
      <c r="D4003" s="6" t="n">
        <v>1</v>
      </c>
      <c r="E4003" s="6" t="inlineStr">
        <is>
          <t>R1066328</t>
        </is>
      </c>
      <c r="F4003" s="2" t="n">
        <v>44267</v>
      </c>
      <c r="G4003" s="1" t="n"/>
    </row>
    <row r="4004">
      <c r="A4004" s="6" t="n">
        <v>100686</v>
      </c>
      <c r="B4004" s="6" t="inlineStr">
        <is>
          <t>JOSE CUERVO AUTHENTIC PINK LEMONADE (4PK)</t>
        </is>
      </c>
      <c r="C4004" s="7">
        <f>VLOOKUP(A4004,SizeData!A$2:B$3839,2,FALSE)</f>
        <v/>
      </c>
      <c r="D4004" s="6" t="n">
        <v>1</v>
      </c>
      <c r="E4004" s="6" t="inlineStr">
        <is>
          <t>R1074089</t>
        </is>
      </c>
      <c r="F4004" s="2" t="n">
        <v>44288</v>
      </c>
      <c r="G4004" s="1" t="n"/>
    </row>
    <row r="4005">
      <c r="A4005" s="6" t="n">
        <v>100686</v>
      </c>
      <c r="B4005" s="6" t="inlineStr">
        <is>
          <t>JOSE CUERVO AUTHENTIC PINK LEMONADE (4PK)</t>
        </is>
      </c>
      <c r="C4005" s="7">
        <f>VLOOKUP(A4005,SizeData!A$2:B$3839,2,FALSE)</f>
        <v/>
      </c>
      <c r="D4005" s="6" t="n">
        <v>4</v>
      </c>
      <c r="E4005" s="6" t="inlineStr">
        <is>
          <t>R1094763</t>
        </is>
      </c>
      <c r="F4005" s="2" t="n">
        <v>44312</v>
      </c>
      <c r="G4005" s="1" t="n"/>
    </row>
    <row r="4006">
      <c r="A4006" s="6" t="n">
        <v>100686</v>
      </c>
      <c r="B4006" s="6" t="inlineStr">
        <is>
          <t>JOSE CUERVO AUTHENTIC PINK LEMONADE (4PK)</t>
        </is>
      </c>
      <c r="C4006" s="7">
        <f>VLOOKUP(A4006,SizeData!A$2:B$3839,2,FALSE)</f>
        <v/>
      </c>
      <c r="D4006" s="6" t="n">
        <v>3</v>
      </c>
      <c r="E4006" s="6" t="inlineStr">
        <is>
          <t>R1156117</t>
        </is>
      </c>
      <c r="F4006" s="2" t="n">
        <v>44362</v>
      </c>
      <c r="G4006" s="1" t="n"/>
    </row>
    <row r="4007">
      <c r="A4007" s="6" t="n">
        <v>100686</v>
      </c>
      <c r="B4007" s="6" t="inlineStr">
        <is>
          <t>JOSE CUERVO AUTHENTIC PINK LEMONADE (4PK)</t>
        </is>
      </c>
      <c r="C4007" s="7">
        <f>VLOOKUP(A4007,SizeData!A$2:B$3839,2,FALSE)</f>
        <v/>
      </c>
      <c r="D4007" s="6" t="n">
        <v>1</v>
      </c>
      <c r="E4007" s="6" t="inlineStr">
        <is>
          <t>R1200565</t>
        </is>
      </c>
      <c r="F4007" s="2" t="n">
        <v>44411</v>
      </c>
      <c r="G4007" s="1" t="n"/>
    </row>
    <row r="4008">
      <c r="A4008" s="6" t="n">
        <v>100686</v>
      </c>
      <c r="B4008" s="6" t="inlineStr">
        <is>
          <t>JOSE CUERVO AUTHENTIC PINK LEMONADE (4PK)</t>
        </is>
      </c>
      <c r="C4008" s="7">
        <f>VLOOKUP(A4008,SizeData!A$2:B$3839,2,FALSE)</f>
        <v/>
      </c>
      <c r="D4008" s="6" t="n">
        <v>1</v>
      </c>
      <c r="E4008" s="6" t="inlineStr">
        <is>
          <t>R1206028</t>
        </is>
      </c>
      <c r="F4008" s="2" t="n">
        <v>44417</v>
      </c>
      <c r="G4008" s="1" t="n"/>
    </row>
    <row r="4009">
      <c r="A4009" s="6" t="n">
        <v>100744</v>
      </c>
      <c r="B4009" s="6" t="inlineStr">
        <is>
          <t>JACK DANIEL'S TN HONEY W/2 ROCK GLASSES</t>
        </is>
      </c>
      <c r="C4009" s="7">
        <f>VLOOKUP(A4009,SizeData!A$2:B$3839,2,FALSE)</f>
        <v/>
      </c>
      <c r="D4009" s="6" t="n">
        <v>4</v>
      </c>
      <c r="E4009" s="6" t="inlineStr">
        <is>
          <t>R1182440</t>
        </is>
      </c>
      <c r="F4009" s="2" t="n">
        <v>44398</v>
      </c>
      <c r="G4009" s="1" t="n"/>
    </row>
    <row r="4010">
      <c r="A4010" s="6" t="n">
        <v>100795</v>
      </c>
      <c r="B4010" s="6" t="inlineStr">
        <is>
          <t>JW BLACK W/50ML JW BLACK RSV &amp; JW GOLD LABEL RSV</t>
        </is>
      </c>
      <c r="C4010" s="7">
        <f>VLOOKUP(A4010,SizeData!A$2:B$3839,2,FALSE)</f>
        <v/>
      </c>
      <c r="D4010" s="6" t="n">
        <v>5</v>
      </c>
      <c r="E4010" s="6" t="inlineStr">
        <is>
          <t>R1293538</t>
        </is>
      </c>
      <c r="F4010" s="2" t="n">
        <v>44497</v>
      </c>
      <c r="G4010" s="1" t="n"/>
    </row>
    <row r="4011">
      <c r="A4011" s="6" t="n">
        <v>100959</v>
      </c>
      <c r="B4011" s="6" t="inlineStr">
        <is>
          <t>99 PEANUT BUTTER WHISKEY COUNTER UNIT</t>
        </is>
      </c>
      <c r="C4011" s="7">
        <f>VLOOKUP(A4011,SizeData!A$2:B$3839,2,FALSE)</f>
        <v/>
      </c>
      <c r="D4011" s="6" t="n">
        <v>1</v>
      </c>
      <c r="E4011" s="6" t="inlineStr">
        <is>
          <t>R992805</t>
        </is>
      </c>
      <c r="F4011" s="2" t="n">
        <v>44201</v>
      </c>
      <c r="G4011" s="1" t="n"/>
    </row>
    <row r="4012">
      <c r="A4012" s="6" t="n">
        <v>100959</v>
      </c>
      <c r="B4012" s="6" t="inlineStr">
        <is>
          <t>99 PEANUT BUTTER WHISKEY COUNTER UNIT</t>
        </is>
      </c>
      <c r="C4012" s="7">
        <f>VLOOKUP(A4012,SizeData!A$2:B$3839,2,FALSE)</f>
        <v/>
      </c>
      <c r="D4012" s="6" t="n">
        <v>1</v>
      </c>
      <c r="E4012" s="6" t="inlineStr">
        <is>
          <t>R1135118</t>
        </is>
      </c>
      <c r="F4012" s="2" t="n">
        <v>44321</v>
      </c>
      <c r="G4012" s="1" t="n"/>
    </row>
    <row r="4013">
      <c r="A4013" s="6" t="n">
        <v>100959</v>
      </c>
      <c r="B4013" s="6" t="inlineStr">
        <is>
          <t>99 PEANUT BUTTER WHISKEY COUNTER UNIT</t>
        </is>
      </c>
      <c r="C4013" s="7">
        <f>VLOOKUP(A4013,SizeData!A$2:B$3839,2,FALSE)</f>
        <v/>
      </c>
      <c r="D4013" s="6" t="n">
        <v>1</v>
      </c>
      <c r="E4013" s="6" t="inlineStr">
        <is>
          <t>R1155060</t>
        </is>
      </c>
      <c r="F4013" s="2" t="n">
        <v>44357</v>
      </c>
      <c r="G4013" s="1" t="n"/>
    </row>
    <row r="4014">
      <c r="A4014" s="6" t="n">
        <v>100959</v>
      </c>
      <c r="B4014" s="6" t="inlineStr">
        <is>
          <t>99 PEANUT BUTTER WHISKEY COUNTER UNIT</t>
        </is>
      </c>
      <c r="C4014" s="7">
        <f>VLOOKUP(A4014,SizeData!A$2:B$3839,2,FALSE)</f>
        <v/>
      </c>
      <c r="D4014" s="6" t="n">
        <v>1</v>
      </c>
      <c r="E4014" s="6" t="inlineStr">
        <is>
          <t>R1222253</t>
        </is>
      </c>
      <c r="F4014" s="2" t="n">
        <v>44435</v>
      </c>
      <c r="G4014" s="1" t="n"/>
    </row>
    <row r="4015">
      <c r="A4015" s="6" t="n">
        <v>100959</v>
      </c>
      <c r="B4015" s="6" t="inlineStr">
        <is>
          <t>99 PEANUT BUTTER WHISKEY COUNTER UNIT</t>
        </is>
      </c>
      <c r="C4015" s="7">
        <f>VLOOKUP(A4015,SizeData!A$2:B$3839,2,FALSE)</f>
        <v/>
      </c>
      <c r="D4015" s="6" t="n">
        <v>1</v>
      </c>
      <c r="E4015" s="6" t="inlineStr">
        <is>
          <t>R1306125</t>
        </is>
      </c>
      <c r="F4015" s="2" t="n">
        <v>44495</v>
      </c>
      <c r="G4015" s="1" t="n"/>
    </row>
    <row r="4016">
      <c r="A4016" s="6" t="n">
        <v>101293</v>
      </c>
      <c r="B4016" s="6" t="inlineStr">
        <is>
          <t>JIM BEAM WHITE WITH THERMAL CUP</t>
        </is>
      </c>
      <c r="C4016" s="7">
        <f>VLOOKUP(A4016,SizeData!A$2:B$3839,2,FALSE)</f>
        <v/>
      </c>
      <c r="D4016" s="6" t="n">
        <v>1</v>
      </c>
      <c r="E4016" s="6" t="inlineStr">
        <is>
          <t>R1294331</t>
        </is>
      </c>
      <c r="F4016" s="2" t="n">
        <v>44497</v>
      </c>
      <c r="G4016" s="1" t="n"/>
    </row>
    <row r="4017">
      <c r="A4017" s="6" t="n">
        <v>101359</v>
      </c>
      <c r="B4017" s="6" t="inlineStr">
        <is>
          <t>REMY MARTIN 1738 W/ JIGGER</t>
        </is>
      </c>
      <c r="C4017" s="7">
        <f>VLOOKUP(A4017,SizeData!A$2:B$3839,2,FALSE)</f>
        <v/>
      </c>
      <c r="D4017" s="6" t="n">
        <v>10</v>
      </c>
      <c r="E4017" s="6" t="inlineStr">
        <is>
          <t>R1371372</t>
        </is>
      </c>
      <c r="F4017" s="2" t="n">
        <v>44544</v>
      </c>
      <c r="G4017" s="1" t="n"/>
    </row>
    <row r="4018">
      <c r="A4018" s="6" t="n">
        <v>101490</v>
      </c>
      <c r="B4018" s="6" t="inlineStr">
        <is>
          <t>MAKER'S MARK PRIVATE SEL &amp; 46 CSK CO-PCK</t>
        </is>
      </c>
      <c r="C4018" s="7">
        <f>VLOOKUP(A4018,SizeData!A$2:B$3839,2,FALSE)</f>
        <v/>
      </c>
      <c r="D4018" s="6" t="n">
        <v>1</v>
      </c>
      <c r="E4018" s="6" t="inlineStr">
        <is>
          <t>R1283220</t>
        </is>
      </c>
      <c r="F4018" s="2" t="n">
        <v>44483</v>
      </c>
      <c r="G4018" s="1" t="n"/>
    </row>
    <row r="4019">
      <c r="A4019" s="6" t="n">
        <v>217279</v>
      </c>
      <c r="B4019" s="6" t="inlineStr">
        <is>
          <t>LUC BELAIRE RARE ROSE + TWO FLUTES GIFT SET</t>
        </is>
      </c>
      <c r="C4019" s="7">
        <f>VLOOKUP(A4019,SizeData!A$2:B$3839,2,FALSE)</f>
        <v/>
      </c>
      <c r="D4019" s="6" t="n">
        <v>5</v>
      </c>
      <c r="E4019" s="6" t="inlineStr">
        <is>
          <t>R1266090</t>
        </is>
      </c>
      <c r="F4019" s="2" t="n">
        <v>44473</v>
      </c>
      <c r="G4019" s="1" t="n"/>
    </row>
    <row r="4020">
      <c r="A4020" s="6" t="n">
        <v>219158</v>
      </c>
      <c r="B4020" s="6" t="inlineStr">
        <is>
          <t>MOET &amp; CHANDON ICE IMPERIAL W/NECKER</t>
        </is>
      </c>
      <c r="C4020" s="7">
        <f>VLOOKUP(A4020,SizeData!A$2:B$3839,2,FALSE)</f>
        <v/>
      </c>
      <c r="D4020" s="6" t="n">
        <v>2</v>
      </c>
      <c r="E4020" s="6" t="inlineStr">
        <is>
          <t>R1105619</t>
        </is>
      </c>
      <c r="F4020" s="2" t="n">
        <v>44307</v>
      </c>
      <c r="G4020" s="1" t="n"/>
    </row>
    <row r="4021">
      <c r="A4021" s="6" t="n">
        <v>219158</v>
      </c>
      <c r="B4021" s="6" t="inlineStr">
        <is>
          <t>MOET &amp; CHANDON ICE IMPERIAL W/NECKER</t>
        </is>
      </c>
      <c r="C4021" s="7">
        <f>VLOOKUP(A4021,SizeData!A$2:B$3839,2,FALSE)</f>
        <v/>
      </c>
      <c r="D4021" s="6" t="n">
        <v>2</v>
      </c>
      <c r="E4021" s="6" t="inlineStr">
        <is>
          <t>R1181307</t>
        </is>
      </c>
      <c r="F4021" s="2" t="n">
        <v>44387</v>
      </c>
      <c r="G4021" s="1" t="n"/>
    </row>
    <row r="4022">
      <c r="A4022" s="6" t="n">
        <v>219158</v>
      </c>
      <c r="B4022" s="6" t="inlineStr">
        <is>
          <t>MOET &amp; CHANDON ICE IMPERIAL W/NECKER</t>
        </is>
      </c>
      <c r="C4022" s="7">
        <f>VLOOKUP(A4022,SizeData!A$2:B$3839,2,FALSE)</f>
        <v/>
      </c>
      <c r="D4022" s="6" t="n">
        <v>4</v>
      </c>
      <c r="E4022" s="6" t="inlineStr">
        <is>
          <t>R1243269</t>
        </is>
      </c>
      <c r="F4022" s="2" t="n">
        <v>44459</v>
      </c>
      <c r="G4022" s="1" t="n"/>
    </row>
    <row r="4023">
      <c r="A4023" s="6" t="n">
        <v>352440</v>
      </c>
      <c r="B4023" s="6" t="inlineStr">
        <is>
          <t>BRICCO RIELLA MOSCATO D'ASTI</t>
        </is>
      </c>
      <c r="C4023" s="7">
        <f>VLOOKUP(A4023,SizeData!A$2:B$3839,2,FALSE)</f>
        <v/>
      </c>
      <c r="D4023" s="6" t="n">
        <v>5</v>
      </c>
      <c r="E4023" s="6" t="inlineStr">
        <is>
          <t>R1007161</t>
        </is>
      </c>
      <c r="F4023" s="2" t="n">
        <v>44217</v>
      </c>
      <c r="G4023" s="1" t="n"/>
    </row>
    <row r="4024">
      <c r="A4024" s="6" t="n">
        <v>354249</v>
      </c>
      <c r="B4024" s="6" t="inlineStr">
        <is>
          <t>CANDONI MOSCATO D'ITALIA WHITE</t>
        </is>
      </c>
      <c r="C4024" s="7">
        <f>VLOOKUP(A4024,SizeData!A$2:B$3839,2,FALSE)</f>
        <v/>
      </c>
      <c r="D4024" s="6" t="n">
        <v>3</v>
      </c>
      <c r="E4024" s="6" t="inlineStr">
        <is>
          <t>R1122639</t>
        </is>
      </c>
      <c r="F4024" s="2" t="n">
        <v>44334</v>
      </c>
      <c r="G4024" s="1" t="n"/>
    </row>
    <row r="4025">
      <c r="A4025" s="6" t="n">
        <v>354249</v>
      </c>
      <c r="B4025" s="6" t="inlineStr">
        <is>
          <t>CANDONI MOSCATO D'ITALIA WHITE</t>
        </is>
      </c>
      <c r="C4025" s="7">
        <f>VLOOKUP(A4025,SizeData!A$2:B$3839,2,FALSE)</f>
        <v/>
      </c>
      <c r="D4025" s="6" t="n">
        <v>2</v>
      </c>
      <c r="E4025" s="6" t="inlineStr">
        <is>
          <t>R1221219</t>
        </is>
      </c>
      <c r="F4025" s="2" t="n">
        <v>44432</v>
      </c>
      <c r="G4025" s="1" t="n"/>
    </row>
    <row r="4026">
      <c r="A4026" s="6" t="n">
        <v>354249</v>
      </c>
      <c r="B4026" s="6" t="inlineStr">
        <is>
          <t>CANDONI MOSCATO D'ITALIA WHITE</t>
        </is>
      </c>
      <c r="C4026" s="7">
        <f>VLOOKUP(A4026,SizeData!A$2:B$3839,2,FALSE)</f>
        <v/>
      </c>
      <c r="D4026" s="6" t="n">
        <v>2</v>
      </c>
      <c r="E4026" s="6" t="inlineStr">
        <is>
          <t>R1301983</t>
        </is>
      </c>
      <c r="F4026" s="2" t="n">
        <v>44501</v>
      </c>
      <c r="G4026" s="1" t="n"/>
    </row>
    <row r="4027">
      <c r="A4027" s="6" t="n">
        <v>354249</v>
      </c>
      <c r="B4027" s="6" t="inlineStr">
        <is>
          <t>CANDONI MOSCATO D'ITALIA WHITE</t>
        </is>
      </c>
      <c r="C4027" s="7">
        <f>VLOOKUP(A4027,SizeData!A$2:B$3839,2,FALSE)</f>
        <v/>
      </c>
      <c r="D4027" s="6" t="n">
        <v>1</v>
      </c>
      <c r="E4027" s="6" t="inlineStr">
        <is>
          <t>R1346277</t>
        </is>
      </c>
      <c r="F4027" s="2" t="n">
        <v>44530</v>
      </c>
      <c r="G4027" s="1" t="n"/>
    </row>
    <row r="4028">
      <c r="A4028" s="6" t="n">
        <v>355616</v>
      </c>
      <c r="B4028" s="6" t="inlineStr">
        <is>
          <t>CAVIT COLLECTION MOSCATO</t>
        </is>
      </c>
      <c r="C4028" s="7">
        <f>VLOOKUP(A4028,SizeData!A$2:B$3839,2,FALSE)</f>
        <v/>
      </c>
      <c r="D4028" s="6" t="n">
        <v>1</v>
      </c>
      <c r="E4028" s="6" t="inlineStr">
        <is>
          <t>R1169144</t>
        </is>
      </c>
      <c r="F4028" s="2" t="n">
        <v>44387</v>
      </c>
      <c r="G4028" s="1" t="n"/>
    </row>
    <row r="4029">
      <c r="A4029" s="6" t="n">
        <v>355618</v>
      </c>
      <c r="B4029" s="6" t="inlineStr">
        <is>
          <t>CAVIT MOSCATO</t>
        </is>
      </c>
      <c r="C4029" s="7">
        <f>VLOOKUP(A4029,SizeData!A$2:B$3839,2,FALSE)</f>
        <v/>
      </c>
      <c r="D4029" s="6" t="n">
        <v>1</v>
      </c>
      <c r="E4029" s="6" t="inlineStr">
        <is>
          <t>R1032609</t>
        </is>
      </c>
      <c r="F4029" s="2" t="n">
        <v>44246</v>
      </c>
      <c r="G4029" s="1" t="n"/>
    </row>
    <row r="4030">
      <c r="A4030" s="6" t="n">
        <v>355618</v>
      </c>
      <c r="B4030" s="6" t="inlineStr">
        <is>
          <t>CAVIT MOSCATO</t>
        </is>
      </c>
      <c r="C4030" s="7">
        <f>VLOOKUP(A4030,SizeData!A$2:B$3839,2,FALSE)</f>
        <v/>
      </c>
      <c r="D4030" s="6" t="n">
        <v>1</v>
      </c>
      <c r="E4030" s="6" t="inlineStr">
        <is>
          <t>R1085364</t>
        </is>
      </c>
      <c r="F4030" s="2" t="n">
        <v>44289</v>
      </c>
      <c r="G4030" s="1" t="n"/>
    </row>
    <row r="4031">
      <c r="A4031" s="6" t="n">
        <v>355618</v>
      </c>
      <c r="B4031" s="6" t="inlineStr">
        <is>
          <t>CAVIT MOSCATO</t>
        </is>
      </c>
      <c r="C4031" s="7">
        <f>VLOOKUP(A4031,SizeData!A$2:B$3839,2,FALSE)</f>
        <v/>
      </c>
      <c r="D4031" s="6" t="n">
        <v>1</v>
      </c>
      <c r="E4031" s="6" t="inlineStr">
        <is>
          <t>R1165810</t>
        </is>
      </c>
      <c r="F4031" s="2" t="n">
        <v>44361</v>
      </c>
      <c r="G4031" s="1" t="n"/>
    </row>
    <row r="4032">
      <c r="A4032" s="6" t="n">
        <v>355800</v>
      </c>
      <c r="B4032" s="6" t="inlineStr">
        <is>
          <t>CAVIT PINOT GRIGIO</t>
        </is>
      </c>
      <c r="C4032" s="7">
        <f>VLOOKUP(A4032,SizeData!A$2:B$3839,2,FALSE)</f>
        <v/>
      </c>
      <c r="D4032" s="6" t="n">
        <v>1</v>
      </c>
      <c r="E4032" s="6" t="inlineStr">
        <is>
          <t>R1132471</t>
        </is>
      </c>
      <c r="F4032" s="2" t="n">
        <v>44349</v>
      </c>
      <c r="G4032" s="1" t="n"/>
    </row>
    <row r="4033">
      <c r="A4033" s="6" t="n">
        <v>355800</v>
      </c>
      <c r="B4033" s="6" t="inlineStr">
        <is>
          <t>CAVIT PINOT GRIGIO</t>
        </is>
      </c>
      <c r="C4033" s="7">
        <f>VLOOKUP(A4033,SizeData!A$2:B$3839,2,FALSE)</f>
        <v/>
      </c>
      <c r="D4033" s="6" t="n">
        <v>0</v>
      </c>
      <c r="E4033" s="6" t="inlineStr">
        <is>
          <t>R1323602</t>
        </is>
      </c>
      <c r="F4033" s="2" t="n">
        <v>44511</v>
      </c>
      <c r="G4033" s="1" t="n"/>
    </row>
    <row r="4034">
      <c r="A4034" s="6" t="n">
        <v>355805</v>
      </c>
      <c r="B4034" s="6" t="inlineStr">
        <is>
          <t>CAVIT PINOT GRIGIO</t>
        </is>
      </c>
      <c r="C4034" s="7">
        <f>VLOOKUP(A4034,SizeData!A$2:B$3839,2,FALSE)</f>
        <v/>
      </c>
      <c r="D4034" s="6" t="n">
        <v>1</v>
      </c>
      <c r="E4034" s="6" t="inlineStr">
        <is>
          <t>R1074089</t>
        </is>
      </c>
      <c r="F4034" s="2" t="n">
        <v>44288</v>
      </c>
      <c r="G4034" s="1" t="n"/>
    </row>
    <row r="4035">
      <c r="A4035" s="6" t="n">
        <v>355805</v>
      </c>
      <c r="B4035" s="6" t="inlineStr">
        <is>
          <t>CAVIT PINOT GRIGIO</t>
        </is>
      </c>
      <c r="C4035" s="7">
        <f>VLOOKUP(A4035,SizeData!A$2:B$3839,2,FALSE)</f>
        <v/>
      </c>
      <c r="D4035" s="6" t="n">
        <v>2</v>
      </c>
      <c r="E4035" s="6" t="inlineStr">
        <is>
          <t>R1099905</t>
        </is>
      </c>
      <c r="F4035" s="2" t="n">
        <v>44310</v>
      </c>
      <c r="G4035" s="1" t="n"/>
    </row>
    <row r="4036">
      <c r="A4036" s="6" t="n">
        <v>359029</v>
      </c>
      <c r="B4036" s="6" t="inlineStr">
        <is>
          <t>CASTELLO DEL POGGIO MOSCATO PAVIA</t>
        </is>
      </c>
      <c r="C4036" s="7">
        <f>VLOOKUP(A4036,SizeData!A$2:B$3839,2,FALSE)</f>
        <v/>
      </c>
      <c r="D4036" s="6" t="n">
        <v>5</v>
      </c>
      <c r="E4036" s="6" t="inlineStr">
        <is>
          <t>R1198361</t>
        </is>
      </c>
      <c r="F4036" s="2" t="n">
        <v>44416</v>
      </c>
      <c r="G4036" s="1" t="n"/>
    </row>
    <row r="4037">
      <c r="A4037" s="6" t="n">
        <v>359029</v>
      </c>
      <c r="B4037" s="6" t="inlineStr">
        <is>
          <t>CASTELLO DEL POGGIO MOSCATO PAVIA</t>
        </is>
      </c>
      <c r="C4037" s="7">
        <f>VLOOKUP(A4037,SizeData!A$2:B$3839,2,FALSE)</f>
        <v/>
      </c>
      <c r="D4037" s="6" t="n">
        <v>2</v>
      </c>
      <c r="E4037" s="6" t="inlineStr">
        <is>
          <t>R1264756</t>
        </is>
      </c>
      <c r="F4037" s="2" t="n">
        <v>44472</v>
      </c>
      <c r="G4037" s="1" t="n"/>
    </row>
    <row r="4038">
      <c r="A4038" s="6" t="n">
        <v>359592</v>
      </c>
      <c r="B4038" s="6" t="inlineStr">
        <is>
          <t>CUPCAKE MOSCATO</t>
        </is>
      </c>
      <c r="C4038" s="7">
        <f>VLOOKUP(A4038,SizeData!A$2:B$3839,2,FALSE)</f>
        <v/>
      </c>
      <c r="D4038" s="6" t="n">
        <v>2</v>
      </c>
      <c r="E4038" s="6" t="inlineStr">
        <is>
          <t xml:space="preserve"> R1175360</t>
        </is>
      </c>
      <c r="F4038" s="2" t="n">
        <v>44383</v>
      </c>
      <c r="G4038" s="1" t="n"/>
    </row>
    <row r="4039">
      <c r="A4039" s="6" t="n">
        <v>359592</v>
      </c>
      <c r="B4039" s="6" t="inlineStr">
        <is>
          <t>CUPCAKE MOSCATO</t>
        </is>
      </c>
      <c r="C4039" s="7">
        <f>VLOOKUP(A4039,SizeData!A$2:B$3839,2,FALSE)</f>
        <v/>
      </c>
      <c r="D4039" s="6" t="n">
        <v>3</v>
      </c>
      <c r="E4039" s="6" t="inlineStr">
        <is>
          <t>R1206438</t>
        </is>
      </c>
      <c r="F4039" s="2" t="n">
        <v>44417</v>
      </c>
      <c r="G4039" s="1" t="n"/>
    </row>
    <row r="4040">
      <c r="A4040" s="6" t="n">
        <v>359592</v>
      </c>
      <c r="B4040" s="6" t="inlineStr">
        <is>
          <t>CUPCAKE MOSCATO</t>
        </is>
      </c>
      <c r="C4040" s="7">
        <f>VLOOKUP(A4040,SizeData!A$2:B$3839,2,FALSE)</f>
        <v/>
      </c>
      <c r="D4040" s="6" t="n">
        <v>0</v>
      </c>
      <c r="E4040" s="6" t="inlineStr">
        <is>
          <t>R1276303</t>
        </is>
      </c>
      <c r="F4040" s="2" t="n">
        <v>44474</v>
      </c>
      <c r="G4040" s="1" t="n"/>
    </row>
    <row r="4041">
      <c r="A4041" s="6" t="n">
        <v>359592</v>
      </c>
      <c r="B4041" s="6" t="inlineStr">
        <is>
          <t>CUPCAKE MOSCATO</t>
        </is>
      </c>
      <c r="C4041" s="7">
        <f>VLOOKUP(A4041,SizeData!A$2:B$3839,2,FALSE)</f>
        <v/>
      </c>
      <c r="D4041" s="6" t="n">
        <v>3</v>
      </c>
      <c r="E4041" s="6" t="inlineStr">
        <is>
          <t>R1325385</t>
        </is>
      </c>
      <c r="F4041" s="2" t="n">
        <v>44508</v>
      </c>
      <c r="G4041" s="1" t="n"/>
    </row>
    <row r="4042">
      <c r="A4042" s="6" t="n">
        <v>361732</v>
      </c>
      <c r="B4042" s="6" t="inlineStr">
        <is>
          <t>ECCO DOMANI PINOT GRIGIO</t>
        </is>
      </c>
      <c r="C4042" s="7">
        <f>VLOOKUP(A4042,SizeData!A$2:B$3839,2,FALSE)</f>
        <v/>
      </c>
      <c r="D4042" s="6" t="n">
        <v>1</v>
      </c>
      <c r="E4042" s="6" t="inlineStr">
        <is>
          <t>R1072840</t>
        </is>
      </c>
      <c r="F4042" s="2" t="n">
        <v>44286</v>
      </c>
      <c r="G4042" s="1" t="n"/>
    </row>
    <row r="4043">
      <c r="A4043" s="6" t="n">
        <v>361732</v>
      </c>
      <c r="B4043" s="6" t="inlineStr">
        <is>
          <t>ECCO DOMANI PINOT GRIGIO</t>
        </is>
      </c>
      <c r="C4043" s="7">
        <f>VLOOKUP(A4043,SizeData!A$2:B$3839,2,FALSE)</f>
        <v/>
      </c>
      <c r="D4043" s="6" t="n">
        <v>1</v>
      </c>
      <c r="E4043" s="6" t="inlineStr">
        <is>
          <t>R1236179</t>
        </is>
      </c>
      <c r="F4043" s="2" t="n">
        <v>44443</v>
      </c>
      <c r="G4043" s="1" t="n"/>
    </row>
    <row r="4044">
      <c r="A4044" s="6" t="n">
        <v>364694</v>
      </c>
      <c r="B4044" s="6" t="inlineStr">
        <is>
          <t>FRATELLI PONTE MOSCATO D'ASTI FIORE DI LOTO</t>
        </is>
      </c>
      <c r="C4044" s="7">
        <f>VLOOKUP(A4044,SizeData!A$2:B$3839,2,FALSE)</f>
        <v/>
      </c>
      <c r="D4044" s="6" t="n">
        <v>1</v>
      </c>
      <c r="E4044" s="6" t="inlineStr">
        <is>
          <t>R1365354</t>
        </is>
      </c>
      <c r="F4044" s="2" t="n">
        <v>44532</v>
      </c>
      <c r="G4044" s="1" t="n"/>
    </row>
    <row r="4045">
      <c r="A4045" s="6" t="n">
        <v>369100</v>
      </c>
      <c r="B4045" s="6" t="inlineStr">
        <is>
          <t>MARCO NEGRI MOSCATO D'ASTI</t>
        </is>
      </c>
      <c r="C4045" s="7">
        <f>VLOOKUP(A4045,SizeData!A$2:B$3839,2,FALSE)</f>
        <v/>
      </c>
      <c r="D4045" s="6" t="n">
        <v>2</v>
      </c>
      <c r="E4045" s="6" t="inlineStr">
        <is>
          <t>R1019092</t>
        </is>
      </c>
      <c r="F4045" s="2" t="n">
        <v>44238</v>
      </c>
      <c r="G4045" s="1" t="n"/>
    </row>
    <row r="4046">
      <c r="A4046" s="6" t="n">
        <v>369100</v>
      </c>
      <c r="B4046" s="6" t="inlineStr">
        <is>
          <t>MARCO NEGRI MOSCATO D'ASTI</t>
        </is>
      </c>
      <c r="C4046" s="7">
        <f>VLOOKUP(A4046,SizeData!A$2:B$3839,2,FALSE)</f>
        <v/>
      </c>
      <c r="D4046" s="6" t="n">
        <v>2</v>
      </c>
      <c r="E4046" s="6" t="inlineStr">
        <is>
          <t>R1048944</t>
        </is>
      </c>
      <c r="F4046" s="2" t="n">
        <v>44265</v>
      </c>
      <c r="G4046" s="1" t="n"/>
    </row>
    <row r="4047">
      <c r="A4047" s="6" t="n">
        <v>369100</v>
      </c>
      <c r="B4047" s="6" t="inlineStr">
        <is>
          <t>MARCO NEGRI MOSCATO D'ASTI</t>
        </is>
      </c>
      <c r="C4047" s="7">
        <f>VLOOKUP(A4047,SizeData!A$2:B$3839,2,FALSE)</f>
        <v/>
      </c>
      <c r="D4047" s="6" t="n">
        <v>1</v>
      </c>
      <c r="E4047" s="6" t="inlineStr">
        <is>
          <t>R1162430</t>
        </is>
      </c>
      <c r="F4047" s="2" t="n">
        <v>44371</v>
      </c>
      <c r="G4047" s="1" t="n"/>
    </row>
    <row r="4048">
      <c r="A4048" s="6" t="n">
        <v>378810</v>
      </c>
      <c r="B4048" s="6" t="inlineStr">
        <is>
          <t>RIUNITE D' ORO MOSCATO</t>
        </is>
      </c>
      <c r="C4048" s="7">
        <f>VLOOKUP(A4048,SizeData!A$2:B$3839,2,FALSE)</f>
        <v/>
      </c>
      <c r="D4048" s="6" t="n">
        <v>1</v>
      </c>
      <c r="E4048" s="6" t="inlineStr">
        <is>
          <t>R993178</t>
        </is>
      </c>
      <c r="F4048" s="2" t="n">
        <v>44218</v>
      </c>
      <c r="G4048" s="1" t="n"/>
    </row>
    <row r="4049">
      <c r="A4049" s="6" t="n">
        <v>378810</v>
      </c>
      <c r="B4049" s="6" t="inlineStr">
        <is>
          <t>RIUNITE D' ORO MOSCATO</t>
        </is>
      </c>
      <c r="C4049" s="7">
        <f>VLOOKUP(A4049,SizeData!A$2:B$3839,2,FALSE)</f>
        <v/>
      </c>
      <c r="D4049" s="6" t="n">
        <v>1</v>
      </c>
      <c r="E4049" s="6" t="inlineStr">
        <is>
          <t>R1109381</t>
        </is>
      </c>
      <c r="F4049" s="2" t="n">
        <v>44331</v>
      </c>
      <c r="G4049" s="1" t="n"/>
    </row>
    <row r="4050">
      <c r="A4050" s="6" t="n">
        <v>378810</v>
      </c>
      <c r="B4050" s="6" t="inlineStr">
        <is>
          <t>RIUNITE D' ORO MOSCATO</t>
        </is>
      </c>
      <c r="C4050" s="7">
        <f>VLOOKUP(A4050,SizeData!A$2:B$3839,2,FALSE)</f>
        <v/>
      </c>
      <c r="D4050" s="6" t="n">
        <v>1</v>
      </c>
      <c r="E4050" s="6" t="inlineStr">
        <is>
          <t>R1139712</t>
        </is>
      </c>
      <c r="F4050" s="2" t="n">
        <v>44352</v>
      </c>
      <c r="G4050" s="1" t="n"/>
    </row>
    <row r="4051">
      <c r="A4051" s="6" t="n">
        <v>378810</v>
      </c>
      <c r="B4051" s="6" t="inlineStr">
        <is>
          <t>RIUNITE D' ORO MOSCATO</t>
        </is>
      </c>
      <c r="C4051" s="7">
        <f>VLOOKUP(A4051,SizeData!A$2:B$3839,2,FALSE)</f>
        <v/>
      </c>
      <c r="D4051" s="6" t="n">
        <v>1</v>
      </c>
      <c r="E4051" s="6" t="inlineStr">
        <is>
          <t>R1155060</t>
        </is>
      </c>
      <c r="F4051" s="2" t="n">
        <v>44357</v>
      </c>
      <c r="G4051" s="1" t="n"/>
    </row>
    <row r="4052">
      <c r="A4052" s="6" t="n">
        <v>378820</v>
      </c>
      <c r="B4052" s="6" t="inlineStr">
        <is>
          <t>RIUNITE TREBBIANO MOSCATO EMILY</t>
        </is>
      </c>
      <c r="C4052" s="7">
        <f>VLOOKUP(A4052,SizeData!A$2:B$3839,2,FALSE)</f>
        <v/>
      </c>
      <c r="D4052" s="6" t="n">
        <v>1</v>
      </c>
      <c r="E4052" s="6" t="inlineStr">
        <is>
          <t>R1081307</t>
        </is>
      </c>
      <c r="F4052" s="2" t="n">
        <v>44284</v>
      </c>
      <c r="G4052" s="1" t="n"/>
    </row>
    <row r="4053">
      <c r="A4053" s="6" t="n">
        <v>378820</v>
      </c>
      <c r="B4053" s="6" t="inlineStr">
        <is>
          <t>RIUNITE TREBBIANO MOSCATO EMILY</t>
        </is>
      </c>
      <c r="C4053" s="7">
        <f>VLOOKUP(A4053,SizeData!A$2:B$3839,2,FALSE)</f>
        <v/>
      </c>
      <c r="D4053" s="6" t="n">
        <v>1</v>
      </c>
      <c r="E4053" s="6" t="inlineStr">
        <is>
          <t>R1173672</t>
        </is>
      </c>
      <c r="F4053" s="2" t="n">
        <v>44394</v>
      </c>
      <c r="G4053" s="1" t="n"/>
    </row>
    <row r="4054">
      <c r="A4054" s="6" t="n">
        <v>378820</v>
      </c>
      <c r="B4054" s="6" t="inlineStr">
        <is>
          <t>RIUNITE TREBBIANO MOSCATO EMILY</t>
        </is>
      </c>
      <c r="C4054" s="7">
        <f>VLOOKUP(A4054,SizeData!A$2:B$3839,2,FALSE)</f>
        <v/>
      </c>
      <c r="D4054" s="6" t="n">
        <v>1</v>
      </c>
      <c r="E4054" s="6" t="inlineStr">
        <is>
          <t>R1216789</t>
        </is>
      </c>
      <c r="F4054" s="2" t="n">
        <v>44432</v>
      </c>
      <c r="G4054" s="1" t="n"/>
    </row>
    <row r="4055">
      <c r="A4055" s="6" t="n">
        <v>378910</v>
      </c>
      <c r="B4055" s="6" t="inlineStr">
        <is>
          <t>RIUNITE LAMBRUSCO</t>
        </is>
      </c>
      <c r="C4055" s="7">
        <f>VLOOKUP(A4055,SizeData!A$2:B$3839,2,FALSE)</f>
        <v/>
      </c>
      <c r="D4055" s="6" t="n">
        <v>1</v>
      </c>
      <c r="E4055" s="6" t="inlineStr">
        <is>
          <t>R1108792</t>
        </is>
      </c>
      <c r="F4055" s="2" t="n">
        <v>44322</v>
      </c>
      <c r="G4055" s="1" t="n"/>
    </row>
    <row r="4056">
      <c r="A4056" s="6" t="n">
        <v>378910</v>
      </c>
      <c r="B4056" s="6" t="inlineStr">
        <is>
          <t>RIUNITE LAMBRUSCO</t>
        </is>
      </c>
      <c r="C4056" s="7">
        <f>VLOOKUP(A4056,SizeData!A$2:B$3839,2,FALSE)</f>
        <v/>
      </c>
      <c r="D4056" s="6" t="n">
        <v>2</v>
      </c>
      <c r="E4056" s="6" t="inlineStr">
        <is>
          <t xml:space="preserve"> R1175279</t>
        </is>
      </c>
      <c r="F4056" s="2" t="n">
        <v>44382</v>
      </c>
      <c r="G4056" s="1" t="n"/>
    </row>
    <row r="4057">
      <c r="A4057" s="6" t="n">
        <v>378910</v>
      </c>
      <c r="B4057" s="6" t="inlineStr">
        <is>
          <t>RIUNITE LAMBRUSCO</t>
        </is>
      </c>
      <c r="C4057" s="7">
        <f>VLOOKUP(A4057,SizeData!A$2:B$3839,2,FALSE)</f>
        <v/>
      </c>
      <c r="D4057" s="6" t="n">
        <v>2</v>
      </c>
      <c r="E4057" s="6" t="inlineStr">
        <is>
          <t>R1318952</t>
        </is>
      </c>
      <c r="F4057" s="2" t="n">
        <v>44516</v>
      </c>
      <c r="G4057" s="1" t="n"/>
    </row>
    <row r="4058">
      <c r="A4058" s="6" t="n">
        <v>378915</v>
      </c>
      <c r="B4058" s="6" t="inlineStr">
        <is>
          <t>RIUNITE LAMBRUSCO</t>
        </is>
      </c>
      <c r="C4058" s="7">
        <f>VLOOKUP(A4058,SizeData!A$2:B$3839,2,FALSE)</f>
        <v/>
      </c>
      <c r="D4058" s="6" t="n">
        <v>2</v>
      </c>
      <c r="E4058" s="6" t="inlineStr">
        <is>
          <t>R1070281</t>
        </is>
      </c>
      <c r="F4058" s="2" t="n">
        <v>44275</v>
      </c>
      <c r="G4058" s="1" t="n"/>
    </row>
    <row r="4059">
      <c r="A4059" s="6" t="n">
        <v>378915</v>
      </c>
      <c r="B4059" s="6" t="inlineStr">
        <is>
          <t>RIUNITE LAMBRUSCO</t>
        </is>
      </c>
      <c r="C4059" s="7">
        <f>VLOOKUP(A4059,SizeData!A$2:B$3839,2,FALSE)</f>
        <v/>
      </c>
      <c r="D4059" s="6" t="n">
        <v>5</v>
      </c>
      <c r="E4059" s="6" t="inlineStr">
        <is>
          <t>R1082744</t>
        </is>
      </c>
      <c r="F4059" s="2" t="n">
        <v>44291</v>
      </c>
      <c r="G4059" s="1" t="n"/>
    </row>
    <row r="4060">
      <c r="A4060" s="6" t="n">
        <v>378915</v>
      </c>
      <c r="B4060" s="6" t="inlineStr">
        <is>
          <t>RIUNITE LAMBRUSCO</t>
        </is>
      </c>
      <c r="C4060" s="7">
        <f>VLOOKUP(A4060,SizeData!A$2:B$3839,2,FALSE)</f>
        <v/>
      </c>
      <c r="D4060" s="6" t="n">
        <v>1</v>
      </c>
      <c r="E4060" s="6" t="inlineStr">
        <is>
          <t xml:space="preserve"> R1107264</t>
        </is>
      </c>
      <c r="F4060" s="2" t="n">
        <v>44317</v>
      </c>
      <c r="G4060" s="1" t="n"/>
    </row>
    <row r="4061">
      <c r="A4061" s="6" t="n">
        <v>378915</v>
      </c>
      <c r="B4061" s="6" t="inlineStr">
        <is>
          <t>RIUNITE LAMBRUSCO</t>
        </is>
      </c>
      <c r="C4061" s="7">
        <f>VLOOKUP(A4061,SizeData!A$2:B$3839,2,FALSE)</f>
        <v/>
      </c>
      <c r="D4061" s="6" t="n">
        <v>3</v>
      </c>
      <c r="E4061" s="6" t="inlineStr">
        <is>
          <t>R1112663</t>
        </is>
      </c>
      <c r="F4061" s="2" t="n">
        <v>44324</v>
      </c>
      <c r="G4061" s="1" t="n"/>
    </row>
    <row r="4062">
      <c r="A4062" s="6" t="n">
        <v>378915</v>
      </c>
      <c r="B4062" s="6" t="inlineStr">
        <is>
          <t>RIUNITE LAMBRUSCO</t>
        </is>
      </c>
      <c r="C4062" s="7">
        <f>VLOOKUP(A4062,SizeData!A$2:B$3839,2,FALSE)</f>
        <v/>
      </c>
      <c r="D4062" s="6" t="n">
        <v>2</v>
      </c>
      <c r="E4062" s="6" t="inlineStr">
        <is>
          <t>R1136630</t>
        </is>
      </c>
      <c r="F4062" s="2" t="n">
        <v>44341</v>
      </c>
      <c r="G4062" s="1" t="n"/>
    </row>
    <row r="4063">
      <c r="A4063" s="6" t="n">
        <v>378915</v>
      </c>
      <c r="B4063" s="6" t="inlineStr">
        <is>
          <t>RIUNITE LAMBRUSCO</t>
        </is>
      </c>
      <c r="C4063" s="7">
        <f>VLOOKUP(A4063,SizeData!A$2:B$3839,2,FALSE)</f>
        <v/>
      </c>
      <c r="D4063" s="6" t="n">
        <v>20</v>
      </c>
      <c r="E4063" s="6" t="inlineStr">
        <is>
          <t>R1149892</t>
        </is>
      </c>
      <c r="F4063" s="2" t="n">
        <v>44370</v>
      </c>
      <c r="G4063" s="1" t="n"/>
    </row>
    <row r="4064">
      <c r="A4064" s="6" t="n">
        <v>378915</v>
      </c>
      <c r="B4064" s="6" t="inlineStr">
        <is>
          <t>RIUNITE LAMBRUSCO</t>
        </is>
      </c>
      <c r="C4064" s="7">
        <f>VLOOKUP(A4064,SizeData!A$2:B$3839,2,FALSE)</f>
        <v/>
      </c>
      <c r="D4064" s="6" t="n">
        <v>3</v>
      </c>
      <c r="E4064" s="6" t="inlineStr">
        <is>
          <t>R1323053</t>
        </is>
      </c>
      <c r="F4064" s="2" t="n">
        <v>44515</v>
      </c>
      <c r="G4064" s="1" t="n"/>
    </row>
    <row r="4065">
      <c r="A4065" s="6" t="n">
        <v>378915</v>
      </c>
      <c r="B4065" s="6" t="inlineStr">
        <is>
          <t>RIUNITE LAMBRUSCO</t>
        </is>
      </c>
      <c r="C4065" s="7">
        <f>VLOOKUP(A4065,SizeData!A$2:B$3839,2,FALSE)</f>
        <v/>
      </c>
      <c r="D4065" s="6" t="n">
        <v>5</v>
      </c>
      <c r="E4065" s="6" t="inlineStr">
        <is>
          <t>R1341373</t>
        </is>
      </c>
      <c r="F4065" s="2" t="n">
        <v>44531</v>
      </c>
      <c r="G4065" s="1" t="n"/>
    </row>
    <row r="4066">
      <c r="A4066" s="6" t="n">
        <v>378915</v>
      </c>
      <c r="B4066" s="6" t="inlineStr">
        <is>
          <t>RIUNITE LAMBRUSCO</t>
        </is>
      </c>
      <c r="C4066" s="7">
        <f>VLOOKUP(A4066,SizeData!A$2:B$3839,2,FALSE)</f>
        <v/>
      </c>
      <c r="D4066" s="6" t="n">
        <v>15</v>
      </c>
      <c r="E4066" s="6" t="inlineStr">
        <is>
          <t>R1348404</t>
        </is>
      </c>
      <c r="F4066" s="2" t="n">
        <v>44532</v>
      </c>
      <c r="G4066" s="1" t="n"/>
    </row>
    <row r="4067">
      <c r="A4067" s="6" t="n">
        <v>378915</v>
      </c>
      <c r="B4067" s="6" t="inlineStr">
        <is>
          <t>RIUNITE LAMBRUSCO</t>
        </is>
      </c>
      <c r="C4067" s="7">
        <f>VLOOKUP(A4067,SizeData!A$2:B$3839,2,FALSE)</f>
        <v/>
      </c>
      <c r="D4067" s="6" t="n">
        <v>5</v>
      </c>
      <c r="E4067" s="6" t="inlineStr">
        <is>
          <t>R1358666</t>
        </is>
      </c>
      <c r="F4067" s="2" t="n">
        <v>44539</v>
      </c>
      <c r="G4067" s="1" t="n"/>
    </row>
    <row r="4068">
      <c r="A4068" s="6" t="n">
        <v>378920</v>
      </c>
      <c r="B4068" s="6" t="inlineStr">
        <is>
          <t>RIUNITE LAMBRUSCO</t>
        </is>
      </c>
      <c r="C4068" s="7">
        <f>VLOOKUP(A4068,SizeData!A$2:B$3839,2,FALSE)</f>
        <v/>
      </c>
      <c r="D4068" s="6" t="n">
        <v>3</v>
      </c>
      <c r="E4068" s="6" t="inlineStr">
        <is>
          <t>R1085574</t>
        </is>
      </c>
      <c r="F4068" s="2" t="n">
        <v>44288</v>
      </c>
      <c r="G4068" s="1" t="n"/>
    </row>
    <row r="4069">
      <c r="A4069" s="6" t="n">
        <v>378920</v>
      </c>
      <c r="B4069" s="6" t="inlineStr">
        <is>
          <t>RIUNITE LAMBRUSCO</t>
        </is>
      </c>
      <c r="C4069" s="7">
        <f>VLOOKUP(A4069,SizeData!A$2:B$3839,2,FALSE)</f>
        <v/>
      </c>
      <c r="D4069" s="6" t="n">
        <v>1</v>
      </c>
      <c r="E4069" s="6" t="inlineStr">
        <is>
          <t>R1114354</t>
        </is>
      </c>
      <c r="F4069" s="2" t="n">
        <v>44334</v>
      </c>
      <c r="G4069" s="1" t="n"/>
    </row>
    <row r="4070">
      <c r="A4070" s="6" t="n">
        <v>378920</v>
      </c>
      <c r="B4070" s="6" t="inlineStr">
        <is>
          <t>RIUNITE LAMBRUSCO</t>
        </is>
      </c>
      <c r="C4070" s="7">
        <f>VLOOKUP(A4070,SizeData!A$2:B$3839,2,FALSE)</f>
        <v/>
      </c>
      <c r="D4070" s="6" t="n">
        <v>2</v>
      </c>
      <c r="E4070" s="6" t="inlineStr">
        <is>
          <t>R1172048</t>
        </is>
      </c>
      <c r="F4070" s="2" t="n">
        <v>44387</v>
      </c>
      <c r="G4070" s="1" t="n"/>
    </row>
    <row r="4071">
      <c r="A4071" s="6" t="n">
        <v>378920</v>
      </c>
      <c r="B4071" s="6" t="inlineStr">
        <is>
          <t>RIUNITE LAMBRUSCO</t>
        </is>
      </c>
      <c r="C4071" s="7">
        <f>VLOOKUP(A4071,SizeData!A$2:B$3839,2,FALSE)</f>
        <v/>
      </c>
      <c r="D4071" s="6" t="n">
        <v>2</v>
      </c>
      <c r="E4071" s="6" t="inlineStr">
        <is>
          <t>R1248961</t>
        </is>
      </c>
      <c r="F4071" s="2" t="n">
        <v>44461</v>
      </c>
      <c r="G4071" s="1" t="n"/>
    </row>
    <row r="4072">
      <c r="A4072" s="6" t="n">
        <v>378920</v>
      </c>
      <c r="B4072" s="6" t="inlineStr">
        <is>
          <t>RIUNITE LAMBRUSCO</t>
        </is>
      </c>
      <c r="C4072" s="7">
        <f>VLOOKUP(A4072,SizeData!A$2:B$3839,2,FALSE)</f>
        <v/>
      </c>
      <c r="D4072" s="6" t="n">
        <v>2</v>
      </c>
      <c r="E4072" s="6" t="inlineStr">
        <is>
          <t>R1284504</t>
        </is>
      </c>
      <c r="F4072" s="2" t="n">
        <v>44485</v>
      </c>
      <c r="G4072" s="1" t="n"/>
    </row>
    <row r="4073">
      <c r="A4073" s="6" t="n">
        <v>378920</v>
      </c>
      <c r="B4073" s="6" t="inlineStr">
        <is>
          <t>RIUNITE LAMBRUSCO</t>
        </is>
      </c>
      <c r="C4073" s="7">
        <f>VLOOKUP(A4073,SizeData!A$2:B$3839,2,FALSE)</f>
        <v/>
      </c>
      <c r="D4073" s="6" t="n">
        <v>1</v>
      </c>
      <c r="E4073" s="6" t="inlineStr">
        <is>
          <t>R1323053</t>
        </is>
      </c>
      <c r="F4073" s="2" t="n">
        <v>44515</v>
      </c>
      <c r="G4073" s="1" t="n"/>
    </row>
    <row r="4074">
      <c r="A4074" s="6" t="n">
        <v>379250</v>
      </c>
      <c r="B4074" s="6" t="inlineStr">
        <is>
          <t>ROSCATO ROSSO DOLCE</t>
        </is>
      </c>
      <c r="C4074" s="7">
        <f>VLOOKUP(A4074,SizeData!A$2:B$3839,2,FALSE)</f>
        <v/>
      </c>
      <c r="D4074" s="6" t="n">
        <v>19</v>
      </c>
      <c r="E4074" s="6" t="inlineStr">
        <is>
          <t>R1304788</t>
        </is>
      </c>
      <c r="F4074" s="2" t="n">
        <v>44506</v>
      </c>
      <c r="G4074" s="1" t="n"/>
    </row>
    <row r="4075">
      <c r="A4075" s="6" t="n">
        <v>379250</v>
      </c>
      <c r="B4075" s="6" t="inlineStr">
        <is>
          <t>ROSCATO ROSSO DOLCE</t>
        </is>
      </c>
      <c r="C4075" s="7">
        <f>VLOOKUP(A4075,SizeData!A$2:B$3839,2,FALSE)</f>
        <v/>
      </c>
      <c r="D4075" s="6" t="n">
        <v>9</v>
      </c>
      <c r="E4075" s="6" t="inlineStr">
        <is>
          <t>R1318281</t>
        </is>
      </c>
      <c r="F4075" s="2" t="n">
        <v>44518</v>
      </c>
      <c r="G4075" s="1" t="n"/>
    </row>
    <row r="4076">
      <c r="A4076" s="6" t="n">
        <v>381770</v>
      </c>
      <c r="B4076" s="6" t="inlineStr">
        <is>
          <t>SKINNYGIRL MOSCATO ITALY</t>
        </is>
      </c>
      <c r="C4076" s="7">
        <f>VLOOKUP(A4076,SizeData!A$2:B$3839,2,FALSE)</f>
        <v/>
      </c>
      <c r="D4076" s="6" t="n">
        <v>1</v>
      </c>
      <c r="E4076" s="6" t="inlineStr">
        <is>
          <t>R1060157</t>
        </is>
      </c>
      <c r="F4076" s="2" t="n">
        <v>44258</v>
      </c>
      <c r="G4076" s="1" t="n"/>
    </row>
    <row r="4077">
      <c r="A4077" s="6" t="n">
        <v>381770</v>
      </c>
      <c r="B4077" s="6" t="inlineStr">
        <is>
          <t>SKINNYGIRL MOSCATO ITALY</t>
        </is>
      </c>
      <c r="C4077" s="7">
        <f>VLOOKUP(A4077,SizeData!A$2:B$3839,2,FALSE)</f>
        <v/>
      </c>
      <c r="D4077" s="6" t="n">
        <v>1</v>
      </c>
      <c r="E4077" s="6" t="inlineStr">
        <is>
          <t>R1225343</t>
        </is>
      </c>
      <c r="F4077" s="2" t="n">
        <v>44427</v>
      </c>
      <c r="G4077" s="1" t="n"/>
    </row>
    <row r="4078">
      <c r="A4078" s="6" t="n">
        <v>381770</v>
      </c>
      <c r="B4078" s="6" t="inlineStr">
        <is>
          <t>SKINNYGIRL MOSCATO ITALY</t>
        </is>
      </c>
      <c r="C4078" s="7">
        <f>VLOOKUP(A4078,SizeData!A$2:B$3839,2,FALSE)</f>
        <v/>
      </c>
      <c r="D4078" s="6" t="n">
        <v>1</v>
      </c>
      <c r="E4078" s="6" t="inlineStr">
        <is>
          <t>R1264756</t>
        </is>
      </c>
      <c r="F4078" s="2" t="n">
        <v>44472</v>
      </c>
      <c r="G4078" s="1" t="n"/>
    </row>
    <row r="4079">
      <c r="A4079" s="6" t="n">
        <v>382000</v>
      </c>
      <c r="B4079" s="6" t="inlineStr">
        <is>
          <t>SANTA MARGHERITA PINOT GRIGIO</t>
        </is>
      </c>
      <c r="C4079" s="7">
        <f>VLOOKUP(A4079,SizeData!A$2:B$3839,2,FALSE)</f>
        <v/>
      </c>
      <c r="D4079" s="6" t="n">
        <v>1</v>
      </c>
      <c r="E4079" s="6" t="inlineStr">
        <is>
          <t>R1039467</t>
        </is>
      </c>
      <c r="F4079" s="2" t="n">
        <v>44266</v>
      </c>
      <c r="G4079" s="1" t="n"/>
    </row>
    <row r="4080">
      <c r="A4080" s="6" t="n">
        <v>382047</v>
      </c>
      <c r="B4080" s="6" t="inlineStr">
        <is>
          <t>STELLA ROSA ROYALE</t>
        </is>
      </c>
      <c r="C4080" s="7">
        <f>VLOOKUP(A4080,SizeData!A$2:B$3839,2,FALSE)</f>
        <v/>
      </c>
      <c r="D4080" s="6" t="n">
        <v>4</v>
      </c>
      <c r="E4080" s="6" t="inlineStr">
        <is>
          <t>R1034042</t>
        </is>
      </c>
      <c r="F4080" s="2" t="n">
        <v>44252</v>
      </c>
      <c r="G4080" s="1" t="n"/>
    </row>
    <row r="4081">
      <c r="A4081" s="6" t="n">
        <v>382047</v>
      </c>
      <c r="B4081" s="6" t="inlineStr">
        <is>
          <t>STELLA ROSA ROYALE</t>
        </is>
      </c>
      <c r="C4081" s="7">
        <f>VLOOKUP(A4081,SizeData!A$2:B$3839,2,FALSE)</f>
        <v/>
      </c>
      <c r="D4081" s="6" t="n">
        <v>2</v>
      </c>
      <c r="E4081" s="6" t="inlineStr">
        <is>
          <t>R1134134</t>
        </is>
      </c>
      <c r="F4081" s="2" t="n">
        <v>44354</v>
      </c>
      <c r="G4081" s="1" t="n"/>
    </row>
    <row r="4082">
      <c r="A4082" s="6" t="n">
        <v>382047</v>
      </c>
      <c r="B4082" s="6" t="inlineStr">
        <is>
          <t>STELLA ROSA ROYALE</t>
        </is>
      </c>
      <c r="C4082" s="7">
        <f>VLOOKUP(A4082,SizeData!A$2:B$3839,2,FALSE)</f>
        <v/>
      </c>
      <c r="D4082" s="6" t="n">
        <v>2</v>
      </c>
      <c r="E4082" s="6" t="inlineStr">
        <is>
          <t>R1239565</t>
        </is>
      </c>
      <c r="F4082" s="2" t="n">
        <v>44457</v>
      </c>
      <c r="G4082" s="1" t="n"/>
    </row>
    <row r="4083">
      <c r="A4083" s="6" t="n">
        <v>382047</v>
      </c>
      <c r="B4083" s="6" t="inlineStr">
        <is>
          <t>STELLA ROSA ROYALE</t>
        </is>
      </c>
      <c r="C4083" s="7">
        <f>VLOOKUP(A4083,SizeData!A$2:B$3839,2,FALSE)</f>
        <v/>
      </c>
      <c r="D4083" s="6" t="n">
        <v>2</v>
      </c>
      <c r="E4083" s="6" t="inlineStr">
        <is>
          <t>R1296060</t>
        </is>
      </c>
      <c r="F4083" s="2" t="n">
        <v>44491</v>
      </c>
      <c r="G4083" s="1" t="n"/>
    </row>
    <row r="4084">
      <c r="A4084" s="6" t="n">
        <v>395461</v>
      </c>
      <c r="B4084" s="6" t="inlineStr">
        <is>
          <t>VOGA PINOT GRIGIO</t>
        </is>
      </c>
      <c r="C4084" s="7">
        <f>VLOOKUP(A4084,SizeData!A$2:B$3839,2,FALSE)</f>
        <v/>
      </c>
      <c r="D4084" s="6" t="n">
        <v>1</v>
      </c>
      <c r="E4084" s="6" t="inlineStr">
        <is>
          <t>R1320744</t>
        </is>
      </c>
      <c r="F4084" s="2" t="n">
        <v>44509</v>
      </c>
      <c r="G4084" s="1" t="n"/>
    </row>
    <row r="4085">
      <c r="A4085" s="6" t="n">
        <v>395464</v>
      </c>
      <c r="B4085" s="6" t="inlineStr">
        <is>
          <t>VOGA MOSCATO</t>
        </is>
      </c>
      <c r="C4085" s="7">
        <f>VLOOKUP(A4085,SizeData!A$2:B$3839,2,FALSE)</f>
        <v/>
      </c>
      <c r="D4085" s="6" t="n">
        <v>1</v>
      </c>
      <c r="E4085" s="6" t="inlineStr">
        <is>
          <t xml:space="preserve"> R1175279</t>
        </is>
      </c>
      <c r="F4085" s="2" t="n">
        <v>44382</v>
      </c>
      <c r="G4085" s="1" t="n"/>
    </row>
    <row r="4086">
      <c r="A4086" s="6" t="n">
        <v>395464</v>
      </c>
      <c r="B4086" s="6" t="inlineStr">
        <is>
          <t>VOGA MOSCATO</t>
        </is>
      </c>
      <c r="C4086" s="7">
        <f>VLOOKUP(A4086,SizeData!A$2:B$3839,2,FALSE)</f>
        <v/>
      </c>
      <c r="D4086" s="6" t="n">
        <v>1</v>
      </c>
      <c r="E4086" s="6" t="inlineStr">
        <is>
          <t>R1320744</t>
        </is>
      </c>
      <c r="F4086" s="2" t="n">
        <v>44509</v>
      </c>
      <c r="G4086" s="1" t="n"/>
    </row>
    <row r="4087">
      <c r="A4087" s="6" t="n">
        <v>402537</v>
      </c>
      <c r="B4087" s="6" t="inlineStr">
        <is>
          <t>BAREFOOT CABERNET SAUVIGNON ARGENTINA</t>
        </is>
      </c>
      <c r="C4087" s="7">
        <f>VLOOKUP(A4087,SizeData!A$2:B$3839,2,FALSE)</f>
        <v/>
      </c>
      <c r="D4087" s="6" t="n">
        <v>1</v>
      </c>
      <c r="E4087" s="6" t="inlineStr">
        <is>
          <t>R1348543</t>
        </is>
      </c>
      <c r="F4087" s="2" t="n">
        <v>44534</v>
      </c>
      <c r="G4087" s="1" t="n"/>
    </row>
    <row r="4088">
      <c r="A4088" s="6" t="n">
        <v>402537</v>
      </c>
      <c r="B4088" s="6" t="inlineStr">
        <is>
          <t>BAREFOOT CELLARS CABERNET SAUVIGNON</t>
        </is>
      </c>
      <c r="C4088" s="7">
        <f>VLOOKUP(A4088,SizeData!A$2:B$3839,2,FALSE)</f>
        <v/>
      </c>
      <c r="D4088" s="6" t="n">
        <v>1</v>
      </c>
      <c r="E4088" s="6" t="inlineStr">
        <is>
          <t>R1218514</t>
        </is>
      </c>
      <c r="F4088" s="2" t="n">
        <v>44432</v>
      </c>
      <c r="G4088" s="1" t="n"/>
    </row>
    <row r="4089">
      <c r="A4089" s="6" t="n">
        <v>403717</v>
      </c>
      <c r="B4089" s="6" t="inlineStr">
        <is>
          <t>BERINGER CAB SAUV CHILE</t>
        </is>
      </c>
      <c r="C4089" s="7">
        <f>VLOOKUP(A4089,SizeData!A$2:B$3839,2,FALSE)</f>
        <v/>
      </c>
      <c r="D4089" s="6" t="n">
        <v>0</v>
      </c>
      <c r="E4089" s="6" t="inlineStr">
        <is>
          <t>R1232932</t>
        </is>
      </c>
      <c r="F4089" s="2" t="n">
        <v>44446</v>
      </c>
      <c r="G4089" s="1" t="n"/>
    </row>
    <row r="4090">
      <c r="A4090" s="6" t="n">
        <v>403717</v>
      </c>
      <c r="B4090" s="6" t="inlineStr">
        <is>
          <t>BERINGER CAB SAUV CHILE</t>
        </is>
      </c>
      <c r="C4090" s="7">
        <f>VLOOKUP(A4090,SizeData!A$2:B$3839,2,FALSE)</f>
        <v/>
      </c>
      <c r="D4090" s="6" t="n">
        <v>1</v>
      </c>
      <c r="E4090" s="6" t="inlineStr">
        <is>
          <t>R1318952B</t>
        </is>
      </c>
      <c r="F4090" s="2" t="n">
        <v>44503</v>
      </c>
      <c r="G4090" s="1" t="n"/>
    </row>
    <row r="4091">
      <c r="A4091" s="6" t="n">
        <v>403717</v>
      </c>
      <c r="B4091" s="6" t="inlineStr">
        <is>
          <t>BERINGER CAB SAUV CHILE</t>
        </is>
      </c>
      <c r="C4091" s="7">
        <f>VLOOKUP(A4091,SizeData!A$2:B$3839,2,FALSE)</f>
        <v/>
      </c>
      <c r="D4091" s="6" t="n">
        <v>1</v>
      </c>
      <c r="E4091" s="6" t="inlineStr">
        <is>
          <t>R1318952</t>
        </is>
      </c>
      <c r="F4091" s="2" t="n">
        <v>44516</v>
      </c>
      <c r="G4091" s="1" t="n"/>
    </row>
    <row r="4092">
      <c r="A4092" s="6" t="n">
        <v>407180</v>
      </c>
      <c r="B4092" s="6" t="inlineStr">
        <is>
          <t>CONCHA Y TORO FRONTERA MALBEC</t>
        </is>
      </c>
      <c r="C4092" s="7">
        <f>VLOOKUP(A4092,SizeData!A$2:B$3839,2,FALSE)</f>
        <v/>
      </c>
      <c r="D4092" s="6" t="n">
        <v>1</v>
      </c>
      <c r="E4092" s="6" t="inlineStr">
        <is>
          <t>R1008340</t>
        </is>
      </c>
      <c r="F4092" s="2" t="n">
        <v>44222</v>
      </c>
      <c r="G4092" s="1" t="n"/>
    </row>
    <row r="4093">
      <c r="A4093" s="6" t="n">
        <v>410929</v>
      </c>
      <c r="B4093" s="6" t="inlineStr">
        <is>
          <t>FLYBIRD WATERMELON CUCUMBER MARGARITA RTD</t>
        </is>
      </c>
      <c r="C4093" s="7">
        <f>VLOOKUP(A4093,SizeData!A$2:B$3839,2,FALSE)</f>
        <v/>
      </c>
      <c r="D4093" s="6" t="n">
        <v>1</v>
      </c>
      <c r="E4093" s="6" t="inlineStr">
        <is>
          <t>R1094763</t>
        </is>
      </c>
      <c r="F4093" s="2" t="n">
        <v>44312</v>
      </c>
      <c r="G4093" s="1" t="n"/>
    </row>
    <row r="4094">
      <c r="A4094" s="6" t="n">
        <v>410936</v>
      </c>
      <c r="B4094" s="6" t="inlineStr">
        <is>
          <t>FLYBIRD STRAWBERRY MARGARITA RTD WINE</t>
        </is>
      </c>
      <c r="C4094" s="7">
        <f>VLOOKUP(A4094,SizeData!A$2:B$3839,2,FALSE)</f>
        <v/>
      </c>
      <c r="D4094" s="6" t="n">
        <v>1</v>
      </c>
      <c r="E4094" s="6" t="inlineStr">
        <is>
          <t>R1094763</t>
        </is>
      </c>
      <c r="F4094" s="2" t="n">
        <v>44312</v>
      </c>
      <c r="G4094" s="1" t="n"/>
    </row>
    <row r="4095">
      <c r="A4095" s="6" t="n">
        <v>411120</v>
      </c>
      <c r="B4095" s="6" t="inlineStr">
        <is>
          <t>DON MIGUEL GASCON MALBEC</t>
        </is>
      </c>
      <c r="C4095" s="7">
        <f>VLOOKUP(A4095,SizeData!A$2:B$3839,2,FALSE)</f>
        <v/>
      </c>
      <c r="D4095" s="6" t="n">
        <v>1</v>
      </c>
      <c r="E4095" s="6" t="inlineStr">
        <is>
          <t>R996697</t>
        </is>
      </c>
      <c r="F4095" s="2" t="n">
        <v>44221</v>
      </c>
      <c r="G4095" s="1" t="n"/>
    </row>
    <row r="4096">
      <c r="A4096" s="6" t="n">
        <v>413340</v>
      </c>
      <c r="B4096" s="6" t="inlineStr">
        <is>
          <t>JAM JAR SWEET SHIRAZ WESTERN CAPE</t>
        </is>
      </c>
      <c r="C4096" s="7">
        <f>VLOOKUP(A4096,SizeData!A$2:B$3839,2,FALSE)</f>
        <v/>
      </c>
      <c r="D4096" s="6" t="n">
        <v>3</v>
      </c>
      <c r="E4096" s="6" t="inlineStr">
        <is>
          <t>R1000359</t>
        </is>
      </c>
      <c r="F4096" s="2" t="n">
        <v>44201</v>
      </c>
      <c r="G4096" s="1" t="n"/>
    </row>
    <row r="4097">
      <c r="A4097" s="6" t="n">
        <v>413340</v>
      </c>
      <c r="B4097" s="6" t="inlineStr">
        <is>
          <t>JAM JAR SWEET SHIRAZ WESTERN CAPE</t>
        </is>
      </c>
      <c r="C4097" s="7">
        <f>VLOOKUP(A4097,SizeData!A$2:B$3839,2,FALSE)</f>
        <v/>
      </c>
      <c r="D4097" s="6" t="n">
        <v>2</v>
      </c>
      <c r="E4097" s="6" t="inlineStr">
        <is>
          <t>R1033219</t>
        </is>
      </c>
      <c r="F4097" s="2" t="n">
        <v>44249</v>
      </c>
      <c r="G4097" s="1" t="n"/>
    </row>
    <row r="4098">
      <c r="A4098" s="6" t="n">
        <v>413340</v>
      </c>
      <c r="B4098" s="6" t="inlineStr">
        <is>
          <t>JAM JAR SWEET SHIRAZ WESTERN CAPE</t>
        </is>
      </c>
      <c r="C4098" s="7">
        <f>VLOOKUP(A4098,SizeData!A$2:B$3839,2,FALSE)</f>
        <v/>
      </c>
      <c r="D4098" s="6" t="n">
        <v>3</v>
      </c>
      <c r="E4098" s="6" t="inlineStr">
        <is>
          <t>R1060153</t>
        </is>
      </c>
      <c r="F4098" s="2" t="n">
        <v>44264</v>
      </c>
      <c r="G4098" s="1" t="n"/>
    </row>
    <row r="4099">
      <c r="A4099" s="6" t="n">
        <v>413340</v>
      </c>
      <c r="B4099" s="6" t="inlineStr">
        <is>
          <t>JAM JAR SWEET SHIRAZ WESTERN CAPE</t>
        </is>
      </c>
      <c r="C4099" s="7">
        <f>VLOOKUP(A4099,SizeData!A$2:B$3839,2,FALSE)</f>
        <v/>
      </c>
      <c r="D4099" s="6" t="n">
        <v>1</v>
      </c>
      <c r="E4099" s="6" t="inlineStr">
        <is>
          <t>R1084018</t>
        </is>
      </c>
      <c r="F4099" s="2" t="n">
        <v>44292</v>
      </c>
      <c r="G4099" s="1" t="n"/>
    </row>
    <row r="4100">
      <c r="A4100" s="6" t="n">
        <v>413340</v>
      </c>
      <c r="B4100" s="6" t="inlineStr">
        <is>
          <t>JAM JAR SWEET SHIRAZ WESTERN CAPE</t>
        </is>
      </c>
      <c r="C4100" s="7">
        <f>VLOOKUP(A4100,SizeData!A$2:B$3839,2,FALSE)</f>
        <v/>
      </c>
      <c r="D4100" s="6" t="n">
        <v>1</v>
      </c>
      <c r="E4100" s="6" t="inlineStr">
        <is>
          <t xml:space="preserve"> R1138813</t>
        </is>
      </c>
      <c r="F4100" s="2" t="n">
        <v>44348</v>
      </c>
      <c r="G4100" s="1" t="n"/>
    </row>
    <row r="4101">
      <c r="A4101" s="6" t="n">
        <v>413340</v>
      </c>
      <c r="B4101" s="6" t="inlineStr">
        <is>
          <t>JAM JAR SWEET SHIRAZ WESTERN CAPE</t>
        </is>
      </c>
      <c r="C4101" s="7">
        <f>VLOOKUP(A4101,SizeData!A$2:B$3839,2,FALSE)</f>
        <v/>
      </c>
      <c r="D4101" s="6" t="n">
        <v>1</v>
      </c>
      <c r="E4101" s="6" t="inlineStr">
        <is>
          <t>R1148206</t>
        </is>
      </c>
      <c r="F4101" s="2" t="n">
        <v>44359</v>
      </c>
      <c r="G4101" s="1" t="n"/>
    </row>
    <row r="4102">
      <c r="A4102" s="6" t="n">
        <v>413340</v>
      </c>
      <c r="B4102" s="6" t="inlineStr">
        <is>
          <t>JAM JAR SWEET SHIRAZ WESTERN CAPE</t>
        </is>
      </c>
      <c r="C4102" s="7">
        <f>VLOOKUP(A4102,SizeData!A$2:B$3839,2,FALSE)</f>
        <v/>
      </c>
      <c r="D4102" s="6" t="n">
        <v>1</v>
      </c>
      <c r="E4102" s="6" t="inlineStr">
        <is>
          <t>R1192528</t>
        </is>
      </c>
      <c r="F4102" s="2" t="n">
        <v>44404</v>
      </c>
      <c r="G4102" s="1" t="n"/>
    </row>
    <row r="4103">
      <c r="A4103" s="6" t="n">
        <v>413340</v>
      </c>
      <c r="B4103" s="6" t="inlineStr">
        <is>
          <t>JAM JAR SWEET SHIRAZ WESTERN CAPE</t>
        </is>
      </c>
      <c r="C4103" s="7">
        <f>VLOOKUP(A4103,SizeData!A$2:B$3839,2,FALSE)</f>
        <v/>
      </c>
      <c r="D4103" s="6" t="n">
        <v>1</v>
      </c>
      <c r="E4103" s="6" t="inlineStr">
        <is>
          <t>R1231184</t>
        </is>
      </c>
      <c r="F4103" s="2" t="n">
        <v>44443</v>
      </c>
      <c r="G4103" s="1" t="n"/>
    </row>
    <row r="4104">
      <c r="A4104" s="6" t="n">
        <v>413340</v>
      </c>
      <c r="B4104" s="6" t="inlineStr">
        <is>
          <t>JAM JAR SWEET SHIRAZ WESTERN CAPE</t>
        </is>
      </c>
      <c r="C4104" s="7">
        <f>VLOOKUP(A4104,SizeData!A$2:B$3839,2,FALSE)</f>
        <v/>
      </c>
      <c r="D4104" s="6" t="n">
        <v>2</v>
      </c>
      <c r="E4104" s="6" t="inlineStr">
        <is>
          <t>R1286225</t>
        </is>
      </c>
      <c r="F4104" s="2" t="n">
        <v>44478</v>
      </c>
      <c r="G4104" s="1" t="n"/>
    </row>
    <row r="4105">
      <c r="A4105" s="6" t="n">
        <v>413340</v>
      </c>
      <c r="B4105" s="6" t="inlineStr">
        <is>
          <t>JAM JAR SWEET SHIRAZ WESTERN CAPE</t>
        </is>
      </c>
      <c r="C4105" s="7">
        <f>VLOOKUP(A4105,SizeData!A$2:B$3839,2,FALSE)</f>
        <v/>
      </c>
      <c r="D4105" s="6" t="n">
        <v>1</v>
      </c>
      <c r="E4105" s="6" t="inlineStr">
        <is>
          <t>R1301404</t>
        </is>
      </c>
      <c r="F4105" s="2" t="n">
        <v>44489</v>
      </c>
      <c r="G4105" s="1" t="n"/>
    </row>
    <row r="4106">
      <c r="A4106" s="6" t="n">
        <v>413340</v>
      </c>
      <c r="B4106" s="6" t="inlineStr">
        <is>
          <t>JAM JAR SWEET SHIRAZ WESTERN CAPE</t>
        </is>
      </c>
      <c r="C4106" s="7">
        <f>VLOOKUP(A4106,SizeData!A$2:B$3839,2,FALSE)</f>
        <v/>
      </c>
      <c r="D4106" s="6" t="n">
        <v>3</v>
      </c>
      <c r="E4106" s="6" t="inlineStr">
        <is>
          <t>R1342961</t>
        </is>
      </c>
      <c r="F4106" s="2" t="n">
        <v>44537</v>
      </c>
      <c r="G4106" s="1" t="n"/>
    </row>
    <row r="4107">
      <c r="A4107" s="6" t="n">
        <v>414350</v>
      </c>
      <c r="B4107" s="6" t="inlineStr">
        <is>
          <t>KILLKA MALBEC MENDOZA</t>
        </is>
      </c>
      <c r="C4107" s="7">
        <f>VLOOKUP(A4107,SizeData!A$2:B$3839,2,FALSE)</f>
        <v/>
      </c>
      <c r="D4107" s="6" t="n">
        <v>1</v>
      </c>
      <c r="E4107" s="6" t="inlineStr">
        <is>
          <t>R1127047</t>
        </is>
      </c>
      <c r="F4107" s="2" t="n">
        <v>44333</v>
      </c>
      <c r="G4107" s="1" t="n"/>
    </row>
    <row r="4108">
      <c r="A4108" s="6" t="n">
        <v>415315</v>
      </c>
      <c r="B4108" s="6" t="inlineStr">
        <is>
          <t>CARLO ROSSI SWEET RED</t>
        </is>
      </c>
      <c r="C4108" s="7">
        <f>VLOOKUP(A4108,SizeData!A$2:B$3839,2,FALSE)</f>
        <v/>
      </c>
      <c r="D4108" s="6" t="n">
        <v>4</v>
      </c>
      <c r="E4108" s="6" t="inlineStr">
        <is>
          <t>R997526</t>
        </is>
      </c>
      <c r="F4108" s="2" t="n">
        <v>44204</v>
      </c>
      <c r="G4108" s="1" t="n"/>
    </row>
    <row r="4109">
      <c r="A4109" s="6" t="n">
        <v>415315</v>
      </c>
      <c r="B4109" s="6" t="inlineStr">
        <is>
          <t>CARLO ROSSI SWEET RED</t>
        </is>
      </c>
      <c r="C4109" s="7">
        <f>VLOOKUP(A4109,SizeData!A$2:B$3839,2,FALSE)</f>
        <v/>
      </c>
      <c r="D4109" s="6" t="n">
        <v>1</v>
      </c>
      <c r="E4109" s="6" t="inlineStr">
        <is>
          <t>R1008340</t>
        </is>
      </c>
      <c r="F4109" s="2" t="n">
        <v>44222</v>
      </c>
      <c r="G4109" s="1" t="n"/>
    </row>
    <row r="4110">
      <c r="A4110" s="6" t="n">
        <v>415315</v>
      </c>
      <c r="B4110" s="6" t="inlineStr">
        <is>
          <t>CARLO ROSSI SWEET RED</t>
        </is>
      </c>
      <c r="C4110" s="7">
        <f>VLOOKUP(A4110,SizeData!A$2:B$3839,2,FALSE)</f>
        <v/>
      </c>
      <c r="D4110" s="6" t="n">
        <v>2</v>
      </c>
      <c r="E4110" s="6" t="inlineStr">
        <is>
          <t>R1013727</t>
        </is>
      </c>
      <c r="F4110" s="2" t="n">
        <v>44229</v>
      </c>
      <c r="G4110" s="1" t="n"/>
    </row>
    <row r="4111">
      <c r="A4111" s="6" t="n">
        <v>415315</v>
      </c>
      <c r="B4111" s="6" t="inlineStr">
        <is>
          <t>CARLO ROSSI SWEET RED</t>
        </is>
      </c>
      <c r="C4111" s="7">
        <f>VLOOKUP(A4111,SizeData!A$2:B$3839,2,FALSE)</f>
        <v/>
      </c>
      <c r="D4111" s="6" t="n">
        <v>7</v>
      </c>
      <c r="E4111" s="6" t="inlineStr">
        <is>
          <t>R1060157</t>
        </is>
      </c>
      <c r="F4111" s="2" t="n">
        <v>44258</v>
      </c>
      <c r="G4111" s="1" t="n"/>
    </row>
    <row r="4112">
      <c r="A4112" s="6" t="n">
        <v>415315</v>
      </c>
      <c r="B4112" s="6" t="inlineStr">
        <is>
          <t>CARLO ROSSI SWEET RED</t>
        </is>
      </c>
      <c r="C4112" s="7">
        <f>VLOOKUP(A4112,SizeData!A$2:B$3839,2,FALSE)</f>
        <v/>
      </c>
      <c r="D4112" s="6" t="n">
        <v>3</v>
      </c>
      <c r="E4112" s="6" t="inlineStr">
        <is>
          <t>R1077298</t>
        </is>
      </c>
      <c r="F4112" s="2" t="n">
        <v>44290</v>
      </c>
      <c r="G4112" s="1" t="n"/>
    </row>
    <row r="4113">
      <c r="A4113" s="6" t="n">
        <v>415315</v>
      </c>
      <c r="B4113" s="6" t="inlineStr">
        <is>
          <t>CARLO ROSSI SWEET RED</t>
        </is>
      </c>
      <c r="C4113" s="7">
        <f>VLOOKUP(A4113,SizeData!A$2:B$3839,2,FALSE)</f>
        <v/>
      </c>
      <c r="D4113" s="6" t="n">
        <v>4</v>
      </c>
      <c r="E4113" s="6" t="inlineStr">
        <is>
          <t>R1091684</t>
        </is>
      </c>
      <c r="F4113" s="2" t="n">
        <v>44305</v>
      </c>
      <c r="G4113" s="1" t="n"/>
    </row>
    <row r="4114">
      <c r="A4114" s="6" t="n">
        <v>415315</v>
      </c>
      <c r="B4114" s="6" t="inlineStr">
        <is>
          <t>CARLO ROSSI SWEET RED</t>
        </is>
      </c>
      <c r="C4114" s="7">
        <f>VLOOKUP(A4114,SizeData!A$2:B$3839,2,FALSE)</f>
        <v/>
      </c>
      <c r="D4114" s="6" t="n">
        <v>2</v>
      </c>
      <c r="E4114" s="6" t="inlineStr">
        <is>
          <t>R1121370</t>
        </is>
      </c>
      <c r="F4114" s="2" t="n">
        <v>44331</v>
      </c>
      <c r="G4114" s="1" t="n"/>
    </row>
    <row r="4115">
      <c r="A4115" s="6" t="n">
        <v>415315</v>
      </c>
      <c r="B4115" s="6" t="inlineStr">
        <is>
          <t>CARLO ROSSI SWEET RED</t>
        </is>
      </c>
      <c r="C4115" s="7">
        <f>VLOOKUP(A4115,SizeData!A$2:B$3839,2,FALSE)</f>
        <v/>
      </c>
      <c r="D4115" s="6" t="n">
        <v>4</v>
      </c>
      <c r="E4115" s="6" t="inlineStr">
        <is>
          <t xml:space="preserve"> R1151228</t>
        </is>
      </c>
      <c r="F4115" s="2" t="n">
        <v>44363</v>
      </c>
      <c r="G4115" s="1" t="n"/>
    </row>
    <row r="4116">
      <c r="A4116" s="6" t="n">
        <v>415315</v>
      </c>
      <c r="B4116" s="6" t="inlineStr">
        <is>
          <t>CARLO ROSSI SWEET RED</t>
        </is>
      </c>
      <c r="C4116" s="7">
        <f>VLOOKUP(A4116,SizeData!A$2:B$3839,2,FALSE)</f>
        <v/>
      </c>
      <c r="D4116" s="6" t="n">
        <v>5</v>
      </c>
      <c r="E4116" s="6" t="inlineStr">
        <is>
          <t>R1169967</t>
        </is>
      </c>
      <c r="F4116" s="2" t="n">
        <v>44385</v>
      </c>
      <c r="G4116" s="1" t="n"/>
    </row>
    <row r="4117">
      <c r="A4117" s="6" t="n">
        <v>415315</v>
      </c>
      <c r="B4117" s="6" t="inlineStr">
        <is>
          <t>CARLO ROSSI SWEET RED</t>
        </is>
      </c>
      <c r="C4117" s="7">
        <f>VLOOKUP(A4117,SizeData!A$2:B$3839,2,FALSE)</f>
        <v/>
      </c>
      <c r="D4117" s="6" t="n">
        <v>1</v>
      </c>
      <c r="E4117" s="6" t="inlineStr">
        <is>
          <t>R1173672</t>
        </is>
      </c>
      <c r="F4117" s="2" t="n">
        <v>44394</v>
      </c>
      <c r="G4117" s="1" t="n"/>
    </row>
    <row r="4118">
      <c r="A4118" s="6" t="n">
        <v>415315</v>
      </c>
      <c r="B4118" s="6" t="inlineStr">
        <is>
          <t>CARLO ROSSI SWEET RED</t>
        </is>
      </c>
      <c r="C4118" s="7">
        <f>VLOOKUP(A4118,SizeData!A$2:B$3839,2,FALSE)</f>
        <v/>
      </c>
      <c r="D4118" s="6" t="n">
        <v>1</v>
      </c>
      <c r="E4118" s="6" t="inlineStr">
        <is>
          <t>R1192602</t>
        </is>
      </c>
      <c r="F4118" s="2" t="n">
        <v>44401</v>
      </c>
      <c r="G4118" s="1" t="n"/>
    </row>
    <row r="4119">
      <c r="A4119" s="6" t="n">
        <v>415315</v>
      </c>
      <c r="B4119" s="6" t="inlineStr">
        <is>
          <t>CARLO ROSSI SWEET RED</t>
        </is>
      </c>
      <c r="C4119" s="7">
        <f>VLOOKUP(A4119,SizeData!A$2:B$3839,2,FALSE)</f>
        <v/>
      </c>
      <c r="D4119" s="6" t="n">
        <v>2</v>
      </c>
      <c r="E4119" s="6" t="inlineStr">
        <is>
          <t xml:space="preserve"> R1211770</t>
        </is>
      </c>
      <c r="F4119" s="2" t="n">
        <v>44427</v>
      </c>
      <c r="G4119" s="1" t="n"/>
    </row>
    <row r="4120">
      <c r="A4120" s="6" t="n">
        <v>415315</v>
      </c>
      <c r="B4120" s="6" t="inlineStr">
        <is>
          <t>CARLO ROSSI SWEET RED</t>
        </is>
      </c>
      <c r="C4120" s="7">
        <f>VLOOKUP(A4120,SizeData!A$2:B$3839,2,FALSE)</f>
        <v/>
      </c>
      <c r="D4120" s="6" t="n">
        <v>1</v>
      </c>
      <c r="E4120" s="6" t="inlineStr">
        <is>
          <t>R1224208</t>
        </is>
      </c>
      <c r="F4120" s="2" t="n">
        <v>44436</v>
      </c>
      <c r="G4120" s="1" t="n"/>
    </row>
    <row r="4121">
      <c r="A4121" s="6" t="n">
        <v>415315</v>
      </c>
      <c r="B4121" s="6" t="inlineStr">
        <is>
          <t>CARLO ROSSI SWEET RED</t>
        </is>
      </c>
      <c r="C4121" s="7">
        <f>VLOOKUP(A4121,SizeData!A$2:B$3839,2,FALSE)</f>
        <v/>
      </c>
      <c r="D4121" s="6" t="n">
        <v>1</v>
      </c>
      <c r="E4121" s="6" t="inlineStr">
        <is>
          <t>R1260244</t>
        </is>
      </c>
      <c r="F4121" s="2" t="n">
        <v>44457</v>
      </c>
      <c r="G4121" s="1" t="n"/>
    </row>
    <row r="4122">
      <c r="A4122" s="6" t="n">
        <v>415315</v>
      </c>
      <c r="B4122" s="6" t="inlineStr">
        <is>
          <t>CARLO ROSSI SWEET RED</t>
        </is>
      </c>
      <c r="C4122" s="7">
        <f>VLOOKUP(A4122,SizeData!A$2:B$3839,2,FALSE)</f>
        <v/>
      </c>
      <c r="D4122" s="6" t="n">
        <v>2</v>
      </c>
      <c r="E4122" s="6" t="inlineStr">
        <is>
          <t xml:space="preserve"> R1265479</t>
        </is>
      </c>
      <c r="F4122" s="2" t="n">
        <v>44462</v>
      </c>
      <c r="G4122" s="1" t="n"/>
    </row>
    <row r="4123">
      <c r="A4123" s="6" t="n">
        <v>415315</v>
      </c>
      <c r="B4123" s="6" t="inlineStr">
        <is>
          <t>CARLO ROSSI SWEET RED</t>
        </is>
      </c>
      <c r="C4123" s="7">
        <f>VLOOKUP(A4123,SizeData!A$2:B$3839,2,FALSE)</f>
        <v/>
      </c>
      <c r="D4123" s="6" t="n">
        <v>2</v>
      </c>
      <c r="E4123" s="6" t="inlineStr">
        <is>
          <t>R1265400</t>
        </is>
      </c>
      <c r="F4123" s="2" t="n">
        <v>44467</v>
      </c>
      <c r="G4123" s="1" t="n"/>
    </row>
    <row r="4124">
      <c r="A4124" s="6" t="n">
        <v>415315</v>
      </c>
      <c r="B4124" s="6" t="inlineStr">
        <is>
          <t>CARLO ROSSI SWEET RED</t>
        </is>
      </c>
      <c r="C4124" s="7">
        <f>VLOOKUP(A4124,SizeData!A$2:B$3839,2,FALSE)</f>
        <v/>
      </c>
      <c r="D4124" s="6" t="n">
        <v>2</v>
      </c>
      <c r="E4124" s="6" t="inlineStr">
        <is>
          <t>R1286225</t>
        </is>
      </c>
      <c r="F4124" s="2" t="n">
        <v>44478</v>
      </c>
      <c r="G4124" s="1" t="n"/>
    </row>
    <row r="4125">
      <c r="A4125" s="6" t="n">
        <v>415315</v>
      </c>
      <c r="B4125" s="6" t="inlineStr">
        <is>
          <t>CARLO ROSSI SWEET RED</t>
        </is>
      </c>
      <c r="C4125" s="7">
        <f>VLOOKUP(A4125,SizeData!A$2:B$3839,2,FALSE)</f>
        <v/>
      </c>
      <c r="D4125" s="6" t="n">
        <v>7</v>
      </c>
      <c r="E4125" s="6" t="inlineStr">
        <is>
          <t>R1331411</t>
        </is>
      </c>
      <c r="F4125" s="2" t="n">
        <v>44517</v>
      </c>
      <c r="G4125" s="1" t="n"/>
    </row>
    <row r="4126">
      <c r="A4126" s="6" t="n">
        <v>415315</v>
      </c>
      <c r="B4126" s="6" t="inlineStr">
        <is>
          <t>CARLO ROSSI SWEET RED</t>
        </is>
      </c>
      <c r="C4126" s="7">
        <f>VLOOKUP(A4126,SizeData!A$2:B$3839,2,FALSE)</f>
        <v/>
      </c>
      <c r="D4126" s="6" t="n">
        <v>6</v>
      </c>
      <c r="E4126" s="6" t="inlineStr">
        <is>
          <t>R1366604</t>
        </is>
      </c>
      <c r="F4126" s="2" t="n">
        <v>44538</v>
      </c>
      <c r="G4126" s="1" t="n"/>
    </row>
    <row r="4127">
      <c r="A4127" s="6" t="n">
        <v>415318</v>
      </c>
      <c r="B4127" s="6" t="inlineStr">
        <is>
          <t>CARLO ROSSI SWEET RED</t>
        </is>
      </c>
      <c r="C4127" s="7">
        <f>VLOOKUP(A4127,SizeData!A$2:B$3839,2,FALSE)</f>
        <v/>
      </c>
      <c r="D4127" s="6" t="n">
        <v>5</v>
      </c>
      <c r="E4127" s="6" t="inlineStr">
        <is>
          <t>R984274</t>
        </is>
      </c>
      <c r="F4127" s="2" t="n">
        <v>44204</v>
      </c>
      <c r="G4127" s="1" t="n"/>
    </row>
    <row r="4128">
      <c r="A4128" s="6" t="n">
        <v>415318</v>
      </c>
      <c r="B4128" s="6" t="inlineStr">
        <is>
          <t>CARLO ROSSI SWEET RED</t>
        </is>
      </c>
      <c r="C4128" s="7">
        <f>VLOOKUP(A4128,SizeData!A$2:B$3839,2,FALSE)</f>
        <v/>
      </c>
      <c r="D4128" s="6" t="n">
        <v>2</v>
      </c>
      <c r="E4128" s="6" t="inlineStr">
        <is>
          <t>R1000047</t>
        </is>
      </c>
      <c r="F4128" s="2" t="n">
        <v>44207</v>
      </c>
      <c r="G4128" s="1" t="n"/>
    </row>
    <row r="4129">
      <c r="A4129" s="6" t="n">
        <v>415318</v>
      </c>
      <c r="B4129" s="6" t="inlineStr">
        <is>
          <t>CARLO ROSSI SWEET RED</t>
        </is>
      </c>
      <c r="C4129" s="7">
        <f>VLOOKUP(A4129,SizeData!A$2:B$3839,2,FALSE)</f>
        <v/>
      </c>
      <c r="D4129" s="6" t="n">
        <v>2</v>
      </c>
      <c r="E4129" s="6" t="inlineStr">
        <is>
          <t>R1001511</t>
        </is>
      </c>
      <c r="F4129" s="2" t="n">
        <v>44208</v>
      </c>
      <c r="G4129" s="1" t="n"/>
    </row>
    <row r="4130">
      <c r="A4130" s="6" t="n">
        <v>415318</v>
      </c>
      <c r="B4130" s="6" t="inlineStr">
        <is>
          <t>CARLO ROSSI SWEET RED</t>
        </is>
      </c>
      <c r="C4130" s="7">
        <f>VLOOKUP(A4130,SizeData!A$2:B$3839,2,FALSE)</f>
        <v/>
      </c>
      <c r="D4130" s="6" t="n">
        <v>3</v>
      </c>
      <c r="E4130" s="6" t="inlineStr">
        <is>
          <t>R994060</t>
        </is>
      </c>
      <c r="F4130" s="2" t="n">
        <v>44209</v>
      </c>
      <c r="G4130" s="1" t="n"/>
    </row>
    <row r="4131">
      <c r="A4131" s="6" t="n">
        <v>415318</v>
      </c>
      <c r="B4131" s="6" t="inlineStr">
        <is>
          <t>CARLO ROSSI SWEET RED</t>
        </is>
      </c>
      <c r="C4131" s="7">
        <f>VLOOKUP(A4131,SizeData!A$2:B$3839,2,FALSE)</f>
        <v/>
      </c>
      <c r="D4131" s="6" t="n">
        <v>7</v>
      </c>
      <c r="E4131" s="6" t="inlineStr">
        <is>
          <t>R1033219</t>
        </is>
      </c>
      <c r="F4131" s="2" t="n">
        <v>44249</v>
      </c>
      <c r="G4131" s="1" t="n"/>
    </row>
    <row r="4132">
      <c r="A4132" s="6" t="n">
        <v>415318</v>
      </c>
      <c r="B4132" s="6" t="inlineStr">
        <is>
          <t>CARLO ROSSI SWEET RED</t>
        </is>
      </c>
      <c r="C4132" s="7">
        <f>VLOOKUP(A4132,SizeData!A$2:B$3839,2,FALSE)</f>
        <v/>
      </c>
      <c r="D4132" s="6" t="n">
        <v>6</v>
      </c>
      <c r="E4132" s="6" t="inlineStr">
        <is>
          <t>R1031268</t>
        </is>
      </c>
      <c r="F4132" s="2" t="n">
        <v>44249</v>
      </c>
      <c r="G4132" s="1" t="n"/>
    </row>
    <row r="4133">
      <c r="A4133" s="6" t="n">
        <v>415318</v>
      </c>
      <c r="B4133" s="6" t="inlineStr">
        <is>
          <t>CARLO ROSSI SWEET RED</t>
        </is>
      </c>
      <c r="C4133" s="7">
        <f>VLOOKUP(A4133,SizeData!A$2:B$3839,2,FALSE)</f>
        <v/>
      </c>
      <c r="D4133" s="6" t="n">
        <v>5</v>
      </c>
      <c r="E4133" s="6" t="inlineStr">
        <is>
          <t>R1086355</t>
        </is>
      </c>
      <c r="F4133" s="2" t="n">
        <v>44294</v>
      </c>
      <c r="G4133" s="1" t="n"/>
    </row>
    <row r="4134">
      <c r="A4134" s="6" t="n">
        <v>415318</v>
      </c>
      <c r="B4134" s="6" t="inlineStr">
        <is>
          <t>CARLO ROSSI SWEET RED</t>
        </is>
      </c>
      <c r="C4134" s="7">
        <f>VLOOKUP(A4134,SizeData!A$2:B$3839,2,FALSE)</f>
        <v/>
      </c>
      <c r="D4134" s="6" t="n">
        <v>3</v>
      </c>
      <c r="E4134" s="6" t="inlineStr">
        <is>
          <t>R1117739</t>
        </is>
      </c>
      <c r="F4134" s="2" t="n">
        <v>44328</v>
      </c>
      <c r="G4134" s="1" t="n"/>
    </row>
    <row r="4135">
      <c r="A4135" s="6" t="n">
        <v>415318</v>
      </c>
      <c r="B4135" s="6" t="inlineStr">
        <is>
          <t>CARLO ROSSI SWEET RED</t>
        </is>
      </c>
      <c r="C4135" s="7">
        <f>VLOOKUP(A4135,SizeData!A$2:B$3839,2,FALSE)</f>
        <v/>
      </c>
      <c r="D4135" s="6" t="n">
        <v>2</v>
      </c>
      <c r="E4135" s="6" t="inlineStr">
        <is>
          <t>R1119380</t>
        </is>
      </c>
      <c r="F4135" s="2" t="n">
        <v>44338</v>
      </c>
      <c r="G4135" s="1" t="n"/>
    </row>
    <row r="4136">
      <c r="A4136" s="6" t="n">
        <v>415318</v>
      </c>
      <c r="B4136" s="6" t="inlineStr">
        <is>
          <t>CARLO ROSSI SWEET RED</t>
        </is>
      </c>
      <c r="C4136" s="7">
        <f>VLOOKUP(A4136,SizeData!A$2:B$3839,2,FALSE)</f>
        <v/>
      </c>
      <c r="D4136" s="6" t="n">
        <v>1</v>
      </c>
      <c r="E4136" s="6" t="inlineStr">
        <is>
          <t>R1135580</t>
        </is>
      </c>
      <c r="F4136" s="2" t="n">
        <v>44340</v>
      </c>
      <c r="G4136" s="1" t="n"/>
    </row>
    <row r="4137">
      <c r="A4137" s="6" t="n">
        <v>415318</v>
      </c>
      <c r="B4137" s="6" t="inlineStr">
        <is>
          <t>CARLO ROSSI SWEET RED</t>
        </is>
      </c>
      <c r="C4137" s="7">
        <f>VLOOKUP(A4137,SizeData!A$2:B$3839,2,FALSE)</f>
        <v/>
      </c>
      <c r="D4137" s="6" t="n">
        <v>3</v>
      </c>
      <c r="E4137" s="6" t="inlineStr">
        <is>
          <t xml:space="preserve"> R1133829</t>
        </is>
      </c>
      <c r="F4137" s="2" t="n">
        <v>44350</v>
      </c>
      <c r="G4137" s="1" t="n"/>
    </row>
    <row r="4138">
      <c r="A4138" s="6" t="n">
        <v>415318</v>
      </c>
      <c r="B4138" s="6" t="inlineStr">
        <is>
          <t>CARLO ROSSI SWEET RED</t>
        </is>
      </c>
      <c r="C4138" s="7">
        <f>VLOOKUP(A4138,SizeData!A$2:B$3839,2,FALSE)</f>
        <v/>
      </c>
      <c r="D4138" s="6" t="n">
        <v>2</v>
      </c>
      <c r="E4138" s="6" t="inlineStr">
        <is>
          <t>R1139712</t>
        </is>
      </c>
      <c r="F4138" s="2" t="n">
        <v>44352</v>
      </c>
      <c r="G4138" s="1" t="n"/>
    </row>
    <row r="4139">
      <c r="A4139" s="6" t="n">
        <v>415318</v>
      </c>
      <c r="B4139" s="6" t="inlineStr">
        <is>
          <t>CARLO ROSSI SWEET RED</t>
        </is>
      </c>
      <c r="C4139" s="7">
        <f>VLOOKUP(A4139,SizeData!A$2:B$3839,2,FALSE)</f>
        <v/>
      </c>
      <c r="D4139" s="6" t="n">
        <v>2</v>
      </c>
      <c r="E4139" s="6" t="inlineStr">
        <is>
          <t>R1152918</t>
        </is>
      </c>
      <c r="F4139" s="2" t="n">
        <v>44368</v>
      </c>
      <c r="G4139" s="1" t="n"/>
    </row>
    <row r="4140">
      <c r="A4140" s="6" t="n">
        <v>415318</v>
      </c>
      <c r="B4140" s="6" t="inlineStr">
        <is>
          <t>CARLO ROSSI SWEET RED</t>
        </is>
      </c>
      <c r="C4140" s="7">
        <f>VLOOKUP(A4140,SizeData!A$2:B$3839,2,FALSE)</f>
        <v/>
      </c>
      <c r="D4140" s="6" t="n">
        <v>4</v>
      </c>
      <c r="E4140" s="6" t="inlineStr">
        <is>
          <t>R1169967</t>
        </is>
      </c>
      <c r="F4140" s="2" t="n">
        <v>44385</v>
      </c>
      <c r="G4140" s="1" t="n"/>
    </row>
    <row r="4141">
      <c r="A4141" s="6" t="n">
        <v>415318</v>
      </c>
      <c r="B4141" s="6" t="inlineStr">
        <is>
          <t>CARLO ROSSI SWEET RED</t>
        </is>
      </c>
      <c r="C4141" s="7">
        <f>VLOOKUP(A4141,SizeData!A$2:B$3839,2,FALSE)</f>
        <v/>
      </c>
      <c r="D4141" s="6" t="n">
        <v>2</v>
      </c>
      <c r="E4141" s="6" t="inlineStr">
        <is>
          <t xml:space="preserve"> R1182859</t>
        </is>
      </c>
      <c r="F4141" s="2" t="n">
        <v>44404</v>
      </c>
      <c r="G4141" s="1" t="n"/>
    </row>
    <row r="4142">
      <c r="A4142" s="6" t="n">
        <v>415318</v>
      </c>
      <c r="B4142" s="6" t="inlineStr">
        <is>
          <t>CARLO ROSSI SWEET RED</t>
        </is>
      </c>
      <c r="C4142" s="7">
        <f>VLOOKUP(A4142,SizeData!A$2:B$3839,2,FALSE)</f>
        <v/>
      </c>
      <c r="D4142" s="6" t="n">
        <v>3</v>
      </c>
      <c r="E4142" s="6" t="inlineStr">
        <is>
          <t>R1231673</t>
        </is>
      </c>
      <c r="F4142" s="2" t="n">
        <v>44443</v>
      </c>
      <c r="G4142" s="1" t="n"/>
    </row>
    <row r="4143">
      <c r="A4143" s="6" t="n">
        <v>415318</v>
      </c>
      <c r="B4143" s="6" t="inlineStr">
        <is>
          <t>CARLO ROSSI SWEET RED</t>
        </is>
      </c>
      <c r="C4143" s="7">
        <f>VLOOKUP(A4143,SizeData!A$2:B$3839,2,FALSE)</f>
        <v/>
      </c>
      <c r="D4143" s="6" t="n">
        <v>3</v>
      </c>
      <c r="E4143" s="6" t="inlineStr">
        <is>
          <t>R1253713</t>
        </is>
      </c>
      <c r="F4143" s="2" t="n">
        <v>44461</v>
      </c>
      <c r="G4143" s="1" t="n"/>
    </row>
    <row r="4144">
      <c r="A4144" s="6" t="n">
        <v>415318</v>
      </c>
      <c r="B4144" s="6" t="inlineStr">
        <is>
          <t>CARLO ROSSI SWEET RED</t>
        </is>
      </c>
      <c r="C4144" s="7">
        <f>VLOOKUP(A4144,SizeData!A$2:B$3839,2,FALSE)</f>
        <v/>
      </c>
      <c r="D4144" s="6" t="n">
        <v>3</v>
      </c>
      <c r="E4144" s="6" t="inlineStr">
        <is>
          <t>R1286225</t>
        </is>
      </c>
      <c r="F4144" s="2" t="n">
        <v>44478</v>
      </c>
      <c r="G4144" s="1" t="n"/>
    </row>
    <row r="4145">
      <c r="A4145" s="6" t="n">
        <v>415318</v>
      </c>
      <c r="B4145" s="6" t="inlineStr">
        <is>
          <t>CARLO ROSSI SWEET RED</t>
        </is>
      </c>
      <c r="C4145" s="7">
        <f>VLOOKUP(A4145,SizeData!A$2:B$3839,2,FALSE)</f>
        <v/>
      </c>
      <c r="D4145" s="6" t="n">
        <v>6</v>
      </c>
      <c r="E4145" s="6" t="inlineStr">
        <is>
          <t>R1276358</t>
        </is>
      </c>
      <c r="F4145" s="2" t="n">
        <v>44480</v>
      </c>
      <c r="G4145" s="1" t="n"/>
    </row>
    <row r="4146">
      <c r="A4146" s="6" t="n">
        <v>419951</v>
      </c>
      <c r="B4146" s="6" t="inlineStr">
        <is>
          <t>19 CRIMES CABERNET SAUVINGON</t>
        </is>
      </c>
      <c r="C4146" s="7">
        <f>VLOOKUP(A4146,SizeData!A$2:B$3839,2,FALSE)</f>
        <v/>
      </c>
      <c r="D4146" s="6" t="n">
        <v>1</v>
      </c>
      <c r="E4146" s="6" t="inlineStr">
        <is>
          <t>R1031264</t>
        </is>
      </c>
      <c r="F4146" s="2" t="n">
        <v>44246</v>
      </c>
      <c r="G4146" s="1" t="n"/>
    </row>
    <row r="4147">
      <c r="A4147" s="6" t="n">
        <v>419951</v>
      </c>
      <c r="B4147" s="6" t="inlineStr">
        <is>
          <t>19 CRIMES CABERNET SAUVINGON</t>
        </is>
      </c>
      <c r="C4147" s="7">
        <f>VLOOKUP(A4147,SizeData!A$2:B$3839,2,FALSE)</f>
        <v/>
      </c>
      <c r="D4147" s="6" t="n">
        <v>1</v>
      </c>
      <c r="E4147" s="6" t="inlineStr">
        <is>
          <t>R1163234</t>
        </is>
      </c>
      <c r="F4147" s="2" t="n">
        <v>44376</v>
      </c>
      <c r="G4147" s="1" t="n"/>
    </row>
    <row r="4148">
      <c r="A4148" s="6" t="n">
        <v>419952</v>
      </c>
      <c r="B4148" s="6" t="inlineStr">
        <is>
          <t>19 CRIMES RED WINE</t>
        </is>
      </c>
      <c r="C4148" s="7">
        <f>VLOOKUP(A4148,SizeData!A$2:B$3839,2,FALSE)</f>
        <v/>
      </c>
      <c r="D4148" s="6" t="n">
        <v>1</v>
      </c>
      <c r="E4148" s="6" t="inlineStr">
        <is>
          <t>R1188262</t>
        </is>
      </c>
      <c r="F4148" s="2" t="n">
        <v>44409</v>
      </c>
      <c r="G4148" s="1" t="n"/>
    </row>
    <row r="4149">
      <c r="A4149" s="6" t="n">
        <v>419952</v>
      </c>
      <c r="B4149" s="6" t="inlineStr">
        <is>
          <t>19 CRIMES RED WINE</t>
        </is>
      </c>
      <c r="C4149" s="7">
        <f>VLOOKUP(A4149,SizeData!A$2:B$3839,2,FALSE)</f>
        <v/>
      </c>
      <c r="D4149" s="6" t="n">
        <v>2</v>
      </c>
      <c r="E4149" s="6" t="inlineStr">
        <is>
          <t>R1309402</t>
        </is>
      </c>
      <c r="F4149" s="2" t="n">
        <v>44502</v>
      </c>
      <c r="G4149" s="1" t="n"/>
    </row>
    <row r="4150">
      <c r="A4150" s="6" t="n">
        <v>419955</v>
      </c>
      <c r="B4150" s="6" t="inlineStr">
        <is>
          <t>19 CRIMES THE BANISHED RED WINE</t>
        </is>
      </c>
      <c r="C4150" s="7">
        <f>VLOOKUP(A4150,SizeData!A$2:B$3839,2,FALSE)</f>
        <v/>
      </c>
      <c r="D4150" s="6" t="n">
        <v>1</v>
      </c>
      <c r="E4150" s="6" t="inlineStr">
        <is>
          <t xml:space="preserve"> R1151228</t>
        </is>
      </c>
      <c r="F4150" s="2" t="n">
        <v>44363</v>
      </c>
      <c r="G4150" s="1" t="n"/>
    </row>
    <row r="4151">
      <c r="A4151" s="6" t="n">
        <v>419955</v>
      </c>
      <c r="B4151" s="6" t="inlineStr">
        <is>
          <t>19 CRIMES THE BANISHED RED WINE</t>
        </is>
      </c>
      <c r="C4151" s="7">
        <f>VLOOKUP(A4151,SizeData!A$2:B$3839,2,FALSE)</f>
        <v/>
      </c>
      <c r="D4151" s="6" t="n">
        <v>1</v>
      </c>
      <c r="E4151" s="6" t="inlineStr">
        <is>
          <t>R1134794</t>
        </is>
      </c>
      <c r="F4151" s="2" t="n">
        <v>44365</v>
      </c>
      <c r="G4151" s="1" t="n"/>
    </row>
    <row r="4152">
      <c r="A4152" s="6" t="n">
        <v>419959</v>
      </c>
      <c r="B4152" s="6" t="inlineStr">
        <is>
          <t>19 CRIMES HARD CHARD CHARDONNAY</t>
        </is>
      </c>
      <c r="C4152" s="7">
        <f>VLOOKUP(A4152,SizeData!A$2:B$3839,2,FALSE)</f>
        <v/>
      </c>
      <c r="D4152" s="6" t="n">
        <v>2</v>
      </c>
      <c r="E4152" s="6" t="inlineStr">
        <is>
          <t>R1225343</t>
        </is>
      </c>
      <c r="F4152" s="2" t="n">
        <v>44427</v>
      </c>
      <c r="G4152" s="1" t="n"/>
    </row>
    <row r="4153">
      <c r="A4153" s="6" t="n">
        <v>419961</v>
      </c>
      <c r="B4153" s="6" t="inlineStr">
        <is>
          <t>19 CRIMES THE UPRISING RED WINE</t>
        </is>
      </c>
      <c r="C4153" s="7">
        <f>VLOOKUP(A4153,SizeData!A$2:B$3839,2,FALSE)</f>
        <v/>
      </c>
      <c r="D4153" s="6" t="n">
        <v>1</v>
      </c>
      <c r="E4153" s="6" t="inlineStr">
        <is>
          <t>R1003894</t>
        </is>
      </c>
      <c r="F4153" s="2" t="n">
        <v>44229</v>
      </c>
      <c r="G4153" s="1" t="n"/>
    </row>
    <row r="4154">
      <c r="A4154" s="6" t="n">
        <v>419961</v>
      </c>
      <c r="B4154" s="6" t="inlineStr">
        <is>
          <t>19 CRIMES THE UPRISING RED WINE</t>
        </is>
      </c>
      <c r="C4154" s="7">
        <f>VLOOKUP(A4154,SizeData!A$2:B$3839,2,FALSE)</f>
        <v/>
      </c>
      <c r="D4154" s="6" t="n">
        <v>2</v>
      </c>
      <c r="E4154" s="6" t="inlineStr">
        <is>
          <t>R1031264</t>
        </is>
      </c>
      <c r="F4154" s="2" t="n">
        <v>44246</v>
      </c>
      <c r="G4154" s="1" t="n"/>
    </row>
    <row r="4155">
      <c r="A4155" s="6" t="n">
        <v>419961</v>
      </c>
      <c r="B4155" s="6" t="inlineStr">
        <is>
          <t>19 CRIMES THE UPRISING RED WINE</t>
        </is>
      </c>
      <c r="C4155" s="7">
        <f>VLOOKUP(A4155,SizeData!A$2:B$3839,2,FALSE)</f>
        <v/>
      </c>
      <c r="D4155" s="6" t="n">
        <v>1</v>
      </c>
      <c r="E4155" s="6" t="inlineStr">
        <is>
          <t>R1084236</t>
        </is>
      </c>
      <c r="F4155" s="2" t="n">
        <v>44296</v>
      </c>
      <c r="G4155" s="1" t="n"/>
    </row>
    <row r="4156">
      <c r="A4156" s="6" t="n">
        <v>419961</v>
      </c>
      <c r="B4156" s="6" t="inlineStr">
        <is>
          <t>19 CRIMES THE UPRISING RED WINE</t>
        </is>
      </c>
      <c r="C4156" s="7">
        <f>VLOOKUP(A4156,SizeData!A$2:B$3839,2,FALSE)</f>
        <v/>
      </c>
      <c r="D4156" s="6" t="n">
        <v>0</v>
      </c>
      <c r="E4156" s="6" t="inlineStr">
        <is>
          <t>R1307558</t>
        </is>
      </c>
      <c r="F4156" s="2" t="n">
        <v>44502</v>
      </c>
      <c r="G4156" s="1" t="n"/>
    </row>
    <row r="4157">
      <c r="A4157" s="6" t="n">
        <v>419973</v>
      </c>
      <c r="B4157" s="6" t="inlineStr">
        <is>
          <t>19 CRIMES THE PUNISHMENT PINOT NOIR</t>
        </is>
      </c>
      <c r="C4157" s="7">
        <f>VLOOKUP(A4157,SizeData!A$2:B$3839,2,FALSE)</f>
        <v/>
      </c>
      <c r="D4157" s="6" t="n">
        <v>1</v>
      </c>
      <c r="E4157" s="6" t="inlineStr">
        <is>
          <t>R1031264</t>
        </is>
      </c>
      <c r="F4157" s="2" t="n">
        <v>44246</v>
      </c>
      <c r="G4157" s="1" t="n"/>
    </row>
    <row r="4158">
      <c r="A4158" s="6" t="n">
        <v>420407</v>
      </c>
      <c r="B4158" s="6" t="inlineStr">
        <is>
          <t>JACOB'S CREEK MOSCATO</t>
        </is>
      </c>
      <c r="C4158" s="7">
        <f>VLOOKUP(A4158,SizeData!A$2:B$3839,2,FALSE)</f>
        <v/>
      </c>
      <c r="D4158" s="6" t="n">
        <v>1</v>
      </c>
      <c r="E4158" s="6" t="inlineStr">
        <is>
          <t>R1072840</t>
        </is>
      </c>
      <c r="F4158" s="2" t="n">
        <v>44286</v>
      </c>
      <c r="G4158" s="1" t="n"/>
    </row>
    <row r="4159">
      <c r="A4159" s="6" t="n">
        <v>420407</v>
      </c>
      <c r="B4159" s="6" t="inlineStr">
        <is>
          <t>JACOB'S CREEK MOSCATO</t>
        </is>
      </c>
      <c r="C4159" s="7">
        <f>VLOOKUP(A4159,SizeData!A$2:B$3839,2,FALSE)</f>
        <v/>
      </c>
      <c r="D4159" s="6" t="n">
        <v>1</v>
      </c>
      <c r="E4159" s="6" t="inlineStr">
        <is>
          <t>R1272603</t>
        </is>
      </c>
      <c r="F4159" s="2" t="n">
        <v>44473</v>
      </c>
      <c r="G4159" s="1" t="n"/>
    </row>
    <row r="4160">
      <c r="A4160" s="6" t="n">
        <v>420431</v>
      </c>
      <c r="B4160" s="6" t="inlineStr">
        <is>
          <t>JACOB'S CREEK CABERNET SAUVIGNON</t>
        </is>
      </c>
      <c r="C4160" s="7">
        <f>VLOOKUP(A4160,SizeData!A$2:B$3839,2,FALSE)</f>
        <v/>
      </c>
      <c r="D4160" s="6" t="n">
        <v>24</v>
      </c>
      <c r="E4160" s="6" t="inlineStr">
        <is>
          <t>R1305691</t>
        </is>
      </c>
      <c r="F4160" s="2" t="n">
        <v>44496</v>
      </c>
      <c r="G4160" s="1" t="n"/>
    </row>
    <row r="4161">
      <c r="A4161" s="6" t="n">
        <v>420431</v>
      </c>
      <c r="B4161" s="6" t="inlineStr">
        <is>
          <t>JACOB'S CREEK CABERNET SAUVIGNON</t>
        </is>
      </c>
      <c r="C4161" s="7">
        <f>VLOOKUP(A4161,SizeData!A$2:B$3839,2,FALSE)</f>
        <v/>
      </c>
      <c r="D4161" s="6" t="n">
        <v>30</v>
      </c>
      <c r="E4161" s="6" t="inlineStr">
        <is>
          <t>R1310368</t>
        </is>
      </c>
      <c r="F4161" s="2" t="n">
        <v>44497</v>
      </c>
      <c r="G4161" s="1" t="n"/>
    </row>
    <row r="4162">
      <c r="A4162" s="6" t="n">
        <v>420431</v>
      </c>
      <c r="B4162" s="6" t="inlineStr">
        <is>
          <t>JACOB'S CREEK CABERNET SAUVIGNON</t>
        </is>
      </c>
      <c r="C4162" s="7">
        <f>VLOOKUP(A4162,SizeData!A$2:B$3839,2,FALSE)</f>
        <v/>
      </c>
      <c r="D4162" s="6" t="n">
        <v>4</v>
      </c>
      <c r="E4162" s="6" t="inlineStr">
        <is>
          <t>R1293909</t>
        </is>
      </c>
      <c r="F4162" s="2" t="n">
        <v>44497</v>
      </c>
      <c r="G4162" s="1" t="n"/>
    </row>
    <row r="4163">
      <c r="A4163" s="6" t="n">
        <v>420435</v>
      </c>
      <c r="B4163" s="6" t="inlineStr">
        <is>
          <t>JACOB'S CREEK CHARDONNAY</t>
        </is>
      </c>
      <c r="C4163" s="7">
        <f>VLOOKUP(A4163,SizeData!A$2:B$3839,2,FALSE)</f>
        <v/>
      </c>
      <c r="D4163" s="6" t="n">
        <v>1</v>
      </c>
      <c r="E4163" s="6" t="inlineStr">
        <is>
          <t>R1171594</t>
        </is>
      </c>
      <c r="F4163" s="2" t="n">
        <v>44392</v>
      </c>
      <c r="G4163" s="1" t="n"/>
    </row>
    <row r="4164">
      <c r="A4164" s="6" t="n">
        <v>420436</v>
      </c>
      <c r="B4164" s="6" t="inlineStr">
        <is>
          <t>JACOB'S CREEK CHARDONNAY</t>
        </is>
      </c>
      <c r="C4164" s="7">
        <f>VLOOKUP(A4164,SizeData!A$2:B$3839,2,FALSE)</f>
        <v/>
      </c>
      <c r="D4164" s="6" t="n">
        <v>0</v>
      </c>
      <c r="E4164" s="6" t="inlineStr">
        <is>
          <t>R1254255</t>
        </is>
      </c>
      <c r="F4164" s="2" t="n">
        <v>44470</v>
      </c>
      <c r="G4164" s="1" t="n"/>
    </row>
    <row r="4165">
      <c r="A4165" s="6" t="n">
        <v>420436</v>
      </c>
      <c r="B4165" s="6" t="inlineStr">
        <is>
          <t>JACOB'S CREEK CHARDONNAY</t>
        </is>
      </c>
      <c r="C4165" s="7">
        <f>VLOOKUP(A4165,SizeData!A$2:B$3839,2,FALSE)</f>
        <v/>
      </c>
      <c r="D4165" s="6" t="n">
        <v>50</v>
      </c>
      <c r="E4165" s="6" t="inlineStr">
        <is>
          <t>R1279975</t>
        </is>
      </c>
      <c r="F4165" s="2" t="n">
        <v>44490</v>
      </c>
      <c r="G4165" s="1" t="n"/>
    </row>
    <row r="4166">
      <c r="A4166" s="6" t="n">
        <v>420436</v>
      </c>
      <c r="B4166" s="6" t="inlineStr">
        <is>
          <t>JACOB'S CREEK CHARDONNAY</t>
        </is>
      </c>
      <c r="C4166" s="7">
        <f>VLOOKUP(A4166,SizeData!A$2:B$3839,2,FALSE)</f>
        <v/>
      </c>
      <c r="D4166" s="6" t="n">
        <v>40</v>
      </c>
      <c r="E4166" s="6" t="inlineStr">
        <is>
          <t>R1310368</t>
        </is>
      </c>
      <c r="F4166" s="2" t="n">
        <v>44497</v>
      </c>
      <c r="G4166" s="1" t="n"/>
    </row>
    <row r="4167">
      <c r="A4167" s="6" t="n">
        <v>420436</v>
      </c>
      <c r="B4167" s="6" t="inlineStr">
        <is>
          <t>JACOB'S CREEK CHARDONNAY</t>
        </is>
      </c>
      <c r="C4167" s="7">
        <f>VLOOKUP(A4167,SizeData!A$2:B$3839,2,FALSE)</f>
        <v/>
      </c>
      <c r="D4167" s="6" t="n">
        <v>12</v>
      </c>
      <c r="E4167" s="6" t="inlineStr">
        <is>
          <t>R1292556</t>
        </is>
      </c>
      <c r="F4167" s="2" t="n">
        <v>44497</v>
      </c>
      <c r="G4167" s="1" t="n"/>
    </row>
    <row r="4168">
      <c r="A4168" s="6" t="n">
        <v>420437</v>
      </c>
      <c r="B4168" s="6" t="inlineStr">
        <is>
          <t>JACOB'S CREEK MERLOT</t>
        </is>
      </c>
      <c r="C4168" s="7">
        <f>VLOOKUP(A4168,SizeData!A$2:B$3839,2,FALSE)</f>
        <v/>
      </c>
      <c r="D4168" s="6" t="n">
        <v>1</v>
      </c>
      <c r="E4168" s="6" t="inlineStr">
        <is>
          <t>R1171594</t>
        </is>
      </c>
      <c r="F4168" s="2" t="n">
        <v>44392</v>
      </c>
      <c r="G4168" s="1" t="n"/>
    </row>
    <row r="4169">
      <c r="A4169" s="6" t="n">
        <v>424389</v>
      </c>
      <c r="B4169" s="6" t="inlineStr">
        <is>
          <t>FLYBIRD BAJA LIME MARGARITA</t>
        </is>
      </c>
      <c r="C4169" s="7">
        <f>VLOOKUP(A4169,SizeData!A$2:B$3839,2,FALSE)</f>
        <v/>
      </c>
      <c r="D4169" s="6" t="n">
        <v>1</v>
      </c>
      <c r="E4169" s="6" t="inlineStr">
        <is>
          <t>R1127639</t>
        </is>
      </c>
      <c r="F4169" s="2" t="n">
        <v>44341</v>
      </c>
      <c r="G4169" s="1" t="n"/>
    </row>
    <row r="4170">
      <c r="A4170" s="6" t="n">
        <v>425605</v>
      </c>
      <c r="B4170" s="6" t="inlineStr">
        <is>
          <t>SWEET BITCH MERLOT</t>
        </is>
      </c>
      <c r="C4170" s="7">
        <f>VLOOKUP(A4170,SizeData!A$2:B$3839,2,FALSE)</f>
        <v/>
      </c>
      <c r="D4170" s="6" t="n">
        <v>10</v>
      </c>
      <c r="E4170" s="6" t="inlineStr">
        <is>
          <t>R1001511</t>
        </is>
      </c>
      <c r="F4170" s="2" t="n">
        <v>44208</v>
      </c>
      <c r="G4170" s="1" t="n"/>
    </row>
    <row r="4171">
      <c r="A4171" s="6" t="n">
        <v>425610</v>
      </c>
      <c r="B4171" s="6" t="inlineStr">
        <is>
          <t>SWEET BITCH MOSCATO ROSE</t>
        </is>
      </c>
      <c r="C4171" s="7">
        <f>VLOOKUP(A4171,SizeData!A$2:B$3839,2,FALSE)</f>
        <v/>
      </c>
      <c r="D4171" s="6" t="n">
        <v>3</v>
      </c>
      <c r="E4171" s="6" t="inlineStr">
        <is>
          <t>R1001511</t>
        </is>
      </c>
      <c r="F4171" s="2" t="n">
        <v>44208</v>
      </c>
      <c r="G4171" s="1" t="n"/>
    </row>
    <row r="4172">
      <c r="A4172" s="6" t="n">
        <v>425610</v>
      </c>
      <c r="B4172" s="6" t="inlineStr">
        <is>
          <t>SWEET BITCH MOSCATO ROSE</t>
        </is>
      </c>
      <c r="C4172" s="7">
        <f>VLOOKUP(A4172,SizeData!A$2:B$3839,2,FALSE)</f>
        <v/>
      </c>
      <c r="D4172" s="6" t="n">
        <v>1</v>
      </c>
      <c r="E4172" s="6" t="inlineStr">
        <is>
          <t>R1096915</t>
        </is>
      </c>
      <c r="F4172" s="2" t="n">
        <v>44303</v>
      </c>
      <c r="G4172" s="1" t="n"/>
    </row>
    <row r="4173">
      <c r="A4173" s="6" t="n">
        <v>425610</v>
      </c>
      <c r="B4173" s="6" t="inlineStr">
        <is>
          <t>SWEET BITCH MOSCATO ROSE</t>
        </is>
      </c>
      <c r="C4173" s="7">
        <f>VLOOKUP(A4173,SizeData!A$2:B$3839,2,FALSE)</f>
        <v/>
      </c>
      <c r="D4173" s="6" t="n">
        <v>1</v>
      </c>
      <c r="E4173" s="6" t="inlineStr">
        <is>
          <t>R1099905</t>
        </is>
      </c>
      <c r="F4173" s="2" t="n">
        <v>44310</v>
      </c>
      <c r="G4173" s="1" t="n"/>
    </row>
    <row r="4174">
      <c r="A4174" s="6" t="n">
        <v>425610</v>
      </c>
      <c r="B4174" s="6" t="inlineStr">
        <is>
          <t>SWEET BITCH MOSCATO ROSE</t>
        </is>
      </c>
      <c r="C4174" s="7">
        <f>VLOOKUP(A4174,SizeData!A$2:B$3839,2,FALSE)</f>
        <v/>
      </c>
      <c r="D4174" s="6" t="n">
        <v>1</v>
      </c>
      <c r="E4174" s="6" t="inlineStr">
        <is>
          <t>R1188262</t>
        </is>
      </c>
      <c r="F4174" s="2" t="n">
        <v>44409</v>
      </c>
      <c r="G4174" s="1" t="n"/>
    </row>
    <row r="4175">
      <c r="A4175" s="6" t="n">
        <v>425610</v>
      </c>
      <c r="B4175" s="6" t="inlineStr">
        <is>
          <t>SWEET BITCH MOSCATO ROSE</t>
        </is>
      </c>
      <c r="C4175" s="7">
        <f>VLOOKUP(A4175,SizeData!A$2:B$3839,2,FALSE)</f>
        <v/>
      </c>
      <c r="D4175" s="6" t="n">
        <v>1</v>
      </c>
      <c r="E4175" s="6" t="inlineStr">
        <is>
          <t>R1204006</t>
        </is>
      </c>
      <c r="F4175" s="2" t="n">
        <v>44415</v>
      </c>
      <c r="G4175" s="1" t="n"/>
    </row>
    <row r="4176">
      <c r="A4176" s="6" t="n">
        <v>425610</v>
      </c>
      <c r="B4176" s="6" t="inlineStr">
        <is>
          <t>SWEET BITCH MOSCATO ROSE</t>
        </is>
      </c>
      <c r="C4176" s="7">
        <f>VLOOKUP(A4176,SizeData!A$2:B$3839,2,FALSE)</f>
        <v/>
      </c>
      <c r="D4176" s="6" t="n">
        <v>1</v>
      </c>
      <c r="E4176" s="6" t="inlineStr">
        <is>
          <t>R1225343</t>
        </is>
      </c>
      <c r="F4176" s="2" t="n">
        <v>44427</v>
      </c>
      <c r="G4176" s="1" t="n"/>
    </row>
    <row r="4177">
      <c r="A4177" s="6" t="n">
        <v>425610</v>
      </c>
      <c r="B4177" s="6" t="inlineStr">
        <is>
          <t>SWEET BITCH MOSCATO ROSE</t>
        </is>
      </c>
      <c r="C4177" s="7">
        <f>VLOOKUP(A4177,SizeData!A$2:B$3839,2,FALSE)</f>
        <v/>
      </c>
      <c r="D4177" s="6" t="n">
        <v>0</v>
      </c>
      <c r="E4177" s="6" t="inlineStr">
        <is>
          <t>R1272603</t>
        </is>
      </c>
      <c r="F4177" s="2" t="n">
        <v>44473</v>
      </c>
      <c r="G4177" s="1" t="n"/>
    </row>
    <row r="4178">
      <c r="A4178" s="6" t="n">
        <v>425610</v>
      </c>
      <c r="B4178" s="6" t="inlineStr">
        <is>
          <t>SWEET BITCH MOSCATO ROSE</t>
        </is>
      </c>
      <c r="C4178" s="7">
        <f>VLOOKUP(A4178,SizeData!A$2:B$3839,2,FALSE)</f>
        <v/>
      </c>
      <c r="D4178" s="6" t="n">
        <v>0</v>
      </c>
      <c r="E4178" s="6" t="inlineStr">
        <is>
          <t>R1284159</t>
        </is>
      </c>
      <c r="F4178" s="2" t="n">
        <v>44488</v>
      </c>
      <c r="G4178" s="1" t="n"/>
    </row>
    <row r="4179">
      <c r="A4179" s="6" t="n">
        <v>425611</v>
      </c>
      <c r="B4179" s="6" t="inlineStr">
        <is>
          <t>SWEET BITCH MOSCATO ROSE</t>
        </is>
      </c>
      <c r="C4179" s="7">
        <f>VLOOKUP(A4179,SizeData!A$2:B$3839,2,FALSE)</f>
        <v/>
      </c>
      <c r="D4179" s="6" t="n">
        <v>15</v>
      </c>
      <c r="E4179" s="6" t="inlineStr">
        <is>
          <t>R1001511</t>
        </is>
      </c>
      <c r="F4179" s="2" t="n">
        <v>44208</v>
      </c>
      <c r="G4179" s="1" t="n"/>
    </row>
    <row r="4180">
      <c r="A4180" s="6" t="n">
        <v>425611</v>
      </c>
      <c r="B4180" s="6" t="inlineStr">
        <is>
          <t>SWEET BITCH MOSCATO ROSE</t>
        </is>
      </c>
      <c r="C4180" s="7">
        <f>VLOOKUP(A4180,SizeData!A$2:B$3839,2,FALSE)</f>
        <v/>
      </c>
      <c r="D4180" s="6" t="n">
        <v>1</v>
      </c>
      <c r="E4180" s="6" t="inlineStr">
        <is>
          <t>R1228454</t>
        </is>
      </c>
      <c r="F4180" s="2" t="n">
        <v>44445</v>
      </c>
      <c r="G4180" s="1" t="n"/>
    </row>
    <row r="4181">
      <c r="A4181" s="6" t="n">
        <v>425611</v>
      </c>
      <c r="B4181" s="6" t="inlineStr">
        <is>
          <t>SWEET BITCH MOSCATO ROSE</t>
        </is>
      </c>
      <c r="C4181" s="7">
        <f>VLOOKUP(A4181,SizeData!A$2:B$3839,2,FALSE)</f>
        <v/>
      </c>
      <c r="D4181" s="6" t="n">
        <v>3</v>
      </c>
      <c r="E4181" s="6" t="inlineStr">
        <is>
          <t>R1348543</t>
        </is>
      </c>
      <c r="F4181" s="2" t="n">
        <v>44534</v>
      </c>
      <c r="G4181" s="1" t="n"/>
    </row>
    <row r="4182">
      <c r="A4182" s="6" t="n">
        <v>425611</v>
      </c>
      <c r="B4182" s="6" t="inlineStr">
        <is>
          <t>SWEET BITCH MOSCATO ROSE</t>
        </is>
      </c>
      <c r="C4182" s="7">
        <f>VLOOKUP(A4182,SizeData!A$2:B$3839,2,FALSE)</f>
        <v/>
      </c>
      <c r="D4182" s="6" t="n">
        <v>1</v>
      </c>
      <c r="E4182" s="6" t="inlineStr">
        <is>
          <t>R1348543A</t>
        </is>
      </c>
      <c r="F4182" s="2" t="n">
        <v>44552</v>
      </c>
      <c r="G4182" s="1" t="n"/>
    </row>
    <row r="4183">
      <c r="A4183" s="6" t="n">
        <v>429945</v>
      </c>
      <c r="B4183" s="6" t="inlineStr">
        <is>
          <t>YELLOW TAIL CABERNET SAUVIGNON</t>
        </is>
      </c>
      <c r="C4183" s="7">
        <f>VLOOKUP(A4183,SizeData!A$2:B$3839,2,FALSE)</f>
        <v/>
      </c>
      <c r="D4183" s="6" t="n">
        <v>1</v>
      </c>
      <c r="E4183" s="6" t="inlineStr">
        <is>
          <t>R1008340</t>
        </is>
      </c>
      <c r="F4183" s="2" t="n">
        <v>44222</v>
      </c>
      <c r="G4183" s="1" t="n"/>
    </row>
    <row r="4184">
      <c r="A4184" s="6" t="n">
        <v>429945</v>
      </c>
      <c r="B4184" s="6" t="inlineStr">
        <is>
          <t>YELLOW TAIL CABERNET SAUVIGNON</t>
        </is>
      </c>
      <c r="C4184" s="7">
        <f>VLOOKUP(A4184,SizeData!A$2:B$3839,2,FALSE)</f>
        <v/>
      </c>
      <c r="D4184" s="6" t="n">
        <v>1</v>
      </c>
      <c r="E4184" s="6" t="inlineStr">
        <is>
          <t>R1135580</t>
        </is>
      </c>
      <c r="F4184" s="2" t="n">
        <v>44340</v>
      </c>
      <c r="G4184" s="1" t="n"/>
    </row>
    <row r="4185">
      <c r="A4185" s="6" t="n">
        <v>429945</v>
      </c>
      <c r="B4185" s="6" t="inlineStr">
        <is>
          <t>YELLOW TAIL CABERNET SAUVIGNON</t>
        </is>
      </c>
      <c r="C4185" s="7">
        <f>VLOOKUP(A4185,SizeData!A$2:B$3839,2,FALSE)</f>
        <v/>
      </c>
      <c r="D4185" s="6" t="n">
        <v>1</v>
      </c>
      <c r="E4185" s="6" t="inlineStr">
        <is>
          <t>R1187907</t>
        </is>
      </c>
      <c r="F4185" s="2" t="n">
        <v>44401</v>
      </c>
      <c r="G4185" s="1" t="n"/>
    </row>
    <row r="4186">
      <c r="A4186" s="6" t="n">
        <v>429945</v>
      </c>
      <c r="B4186" s="6" t="inlineStr">
        <is>
          <t>YELLOW TAIL CABERNET SAUVIGNON</t>
        </is>
      </c>
      <c r="C4186" s="7">
        <f>VLOOKUP(A4186,SizeData!A$2:B$3839,2,FALSE)</f>
        <v/>
      </c>
      <c r="D4186" s="6" t="n">
        <v>1</v>
      </c>
      <c r="E4186" s="6" t="inlineStr">
        <is>
          <t>R1192602</t>
        </is>
      </c>
      <c r="F4186" s="2" t="n">
        <v>44401</v>
      </c>
      <c r="G4186" s="1" t="n"/>
    </row>
    <row r="4187">
      <c r="A4187" s="6" t="n">
        <v>429945</v>
      </c>
      <c r="B4187" s="6" t="inlineStr">
        <is>
          <t>YELLOW TAIL CABERNET SAUVIGNON</t>
        </is>
      </c>
      <c r="C4187" s="7">
        <f>VLOOKUP(A4187,SizeData!A$2:B$3839,2,FALSE)</f>
        <v/>
      </c>
      <c r="D4187" s="6" t="n">
        <v>2</v>
      </c>
      <c r="E4187" s="6" t="inlineStr">
        <is>
          <t>R1256874</t>
        </is>
      </c>
      <c r="F4187" s="2" t="n">
        <v>44469</v>
      </c>
      <c r="G4187" s="1" t="n"/>
    </row>
    <row r="4188">
      <c r="A4188" s="6" t="n">
        <v>429955</v>
      </c>
      <c r="B4188" s="6" t="inlineStr">
        <is>
          <t>YELLOW TAIL CHARDONNAY</t>
        </is>
      </c>
      <c r="C4188" s="7">
        <f>VLOOKUP(A4188,SizeData!A$2:B$3839,2,FALSE)</f>
        <v/>
      </c>
      <c r="D4188" s="6" t="n">
        <v>3</v>
      </c>
      <c r="E4188" s="6" t="inlineStr">
        <is>
          <t>R1008340</t>
        </is>
      </c>
      <c r="F4188" s="2" t="n">
        <v>44222</v>
      </c>
      <c r="G4188" s="1" t="n"/>
    </row>
    <row r="4189">
      <c r="A4189" s="6" t="n">
        <v>429955</v>
      </c>
      <c r="B4189" s="6" t="inlineStr">
        <is>
          <t>YELLOW TAIL CHARDONNAY</t>
        </is>
      </c>
      <c r="C4189" s="7">
        <f>VLOOKUP(A4189,SizeData!A$2:B$3839,2,FALSE)</f>
        <v/>
      </c>
      <c r="D4189" s="6" t="n">
        <v>3</v>
      </c>
      <c r="E4189" s="6" t="inlineStr">
        <is>
          <t>R1081307</t>
        </is>
      </c>
      <c r="F4189" s="2" t="n">
        <v>44284</v>
      </c>
      <c r="G4189" s="1" t="n"/>
    </row>
    <row r="4190">
      <c r="A4190" s="6" t="n">
        <v>429955</v>
      </c>
      <c r="B4190" s="6" t="inlineStr">
        <is>
          <t>YELLOW TAIL CHARDONNAY</t>
        </is>
      </c>
      <c r="C4190" s="7">
        <f>VLOOKUP(A4190,SizeData!A$2:B$3839,2,FALSE)</f>
        <v/>
      </c>
      <c r="D4190" s="6" t="n">
        <v>2</v>
      </c>
      <c r="E4190" s="6" t="inlineStr">
        <is>
          <t>R1111874</t>
        </is>
      </c>
      <c r="F4190" s="2" t="n">
        <v>44326</v>
      </c>
      <c r="G4190" s="1" t="n"/>
    </row>
    <row r="4191">
      <c r="A4191" s="6" t="n">
        <v>429955</v>
      </c>
      <c r="B4191" s="6" t="inlineStr">
        <is>
          <t>YELLOW TAIL CHARDONNAY</t>
        </is>
      </c>
      <c r="C4191" s="7">
        <f>VLOOKUP(A4191,SizeData!A$2:B$3839,2,FALSE)</f>
        <v/>
      </c>
      <c r="D4191" s="6" t="n">
        <v>2</v>
      </c>
      <c r="E4191" s="6" t="inlineStr">
        <is>
          <t>R1109381</t>
        </is>
      </c>
      <c r="F4191" s="2" t="n">
        <v>44331</v>
      </c>
      <c r="G4191" s="1" t="n"/>
    </row>
    <row r="4192">
      <c r="A4192" s="6" t="n">
        <v>429955</v>
      </c>
      <c r="B4192" s="6" t="inlineStr">
        <is>
          <t>YELLOW TAIL CHARDONNAY</t>
        </is>
      </c>
      <c r="C4192" s="7">
        <f>VLOOKUP(A4192,SizeData!A$2:B$3839,2,FALSE)</f>
        <v/>
      </c>
      <c r="D4192" s="6" t="n">
        <v>1</v>
      </c>
      <c r="E4192" s="6" t="inlineStr">
        <is>
          <t>R1126982</t>
        </is>
      </c>
      <c r="F4192" s="2" t="n">
        <v>44338</v>
      </c>
      <c r="G4192" s="1" t="n"/>
    </row>
    <row r="4193">
      <c r="A4193" s="6" t="n">
        <v>429955</v>
      </c>
      <c r="B4193" s="6" t="inlineStr">
        <is>
          <t>YELLOW TAIL CHARDONNAY</t>
        </is>
      </c>
      <c r="C4193" s="7">
        <f>VLOOKUP(A4193,SizeData!A$2:B$3839,2,FALSE)</f>
        <v/>
      </c>
      <c r="D4193" s="6" t="n">
        <v>1</v>
      </c>
      <c r="E4193" s="6" t="inlineStr">
        <is>
          <t>R1136630</t>
        </is>
      </c>
      <c r="F4193" s="2" t="n">
        <v>44341</v>
      </c>
      <c r="G4193" s="1" t="n"/>
    </row>
    <row r="4194">
      <c r="A4194" s="6" t="n">
        <v>429955</v>
      </c>
      <c r="B4194" s="6" t="inlineStr">
        <is>
          <t>YELLOW TAIL CHARDONNAY</t>
        </is>
      </c>
      <c r="C4194" s="7">
        <f>VLOOKUP(A4194,SizeData!A$2:B$3839,2,FALSE)</f>
        <v/>
      </c>
      <c r="D4194" s="6" t="n">
        <v>1</v>
      </c>
      <c r="E4194" s="6" t="inlineStr">
        <is>
          <t>R1154324</t>
        </is>
      </c>
      <c r="F4194" s="2" t="n">
        <v>44378</v>
      </c>
      <c r="G4194" s="1" t="n"/>
    </row>
    <row r="4195">
      <c r="A4195" s="6" t="n">
        <v>429955</v>
      </c>
      <c r="B4195" s="6" t="inlineStr">
        <is>
          <t>YELLOW TAIL CHARDONNAY</t>
        </is>
      </c>
      <c r="C4195" s="7">
        <f>VLOOKUP(A4195,SizeData!A$2:B$3839,2,FALSE)</f>
        <v/>
      </c>
      <c r="D4195" s="6" t="n">
        <v>3</v>
      </c>
      <c r="E4195" s="6" t="inlineStr">
        <is>
          <t xml:space="preserve"> R1171903</t>
        </is>
      </c>
      <c r="F4195" s="2" t="n">
        <v>44380</v>
      </c>
      <c r="G4195" s="1" t="n"/>
    </row>
    <row r="4196">
      <c r="A4196" s="6" t="n">
        <v>429955</v>
      </c>
      <c r="B4196" s="6" t="inlineStr">
        <is>
          <t>YELLOW TAIL CHARDONNAY</t>
        </is>
      </c>
      <c r="C4196" s="7">
        <f>VLOOKUP(A4196,SizeData!A$2:B$3839,2,FALSE)</f>
        <v/>
      </c>
      <c r="D4196" s="6" t="n">
        <v>1</v>
      </c>
      <c r="E4196" s="6" t="inlineStr">
        <is>
          <t xml:space="preserve"> R1171994</t>
        </is>
      </c>
      <c r="F4196" s="2" t="n">
        <v>44390</v>
      </c>
      <c r="G4196" s="1" t="n"/>
    </row>
    <row r="4197">
      <c r="A4197" s="6" t="n">
        <v>429955</v>
      </c>
      <c r="B4197" s="6" t="inlineStr">
        <is>
          <t>YELLOW TAIL CHARDONNAY</t>
        </is>
      </c>
      <c r="C4197" s="7">
        <f>VLOOKUP(A4197,SizeData!A$2:B$3839,2,FALSE)</f>
        <v/>
      </c>
      <c r="D4197" s="6" t="n">
        <v>1</v>
      </c>
      <c r="E4197" s="6" t="inlineStr">
        <is>
          <t>R1171594</t>
        </is>
      </c>
      <c r="F4197" s="2" t="n">
        <v>44392</v>
      </c>
      <c r="G4197" s="1" t="n"/>
    </row>
    <row r="4198">
      <c r="A4198" s="6" t="n">
        <v>429955</v>
      </c>
      <c r="B4198" s="6" t="inlineStr">
        <is>
          <t>YELLOW TAIL CHARDONNAY</t>
        </is>
      </c>
      <c r="C4198" s="7">
        <f>VLOOKUP(A4198,SizeData!A$2:B$3839,2,FALSE)</f>
        <v/>
      </c>
      <c r="D4198" s="6" t="n">
        <v>1</v>
      </c>
      <c r="E4198" s="6" t="inlineStr">
        <is>
          <t>R1174033</t>
        </is>
      </c>
      <c r="F4198" s="2" t="n">
        <v>44394</v>
      </c>
      <c r="G4198" s="1" t="n"/>
    </row>
    <row r="4199">
      <c r="A4199" s="6" t="n">
        <v>429955</v>
      </c>
      <c r="B4199" s="6" t="inlineStr">
        <is>
          <t>YELLOW TAIL CHARDONNAY</t>
        </is>
      </c>
      <c r="C4199" s="7">
        <f>VLOOKUP(A4199,SizeData!A$2:B$3839,2,FALSE)</f>
        <v/>
      </c>
      <c r="D4199" s="6" t="n">
        <v>1</v>
      </c>
      <c r="E4199" s="6" t="inlineStr">
        <is>
          <t>R1189020</t>
        </is>
      </c>
      <c r="F4199" s="2" t="n">
        <v>44406</v>
      </c>
      <c r="G4199" s="1" t="n"/>
    </row>
    <row r="4200">
      <c r="A4200" s="6" t="n">
        <v>429955</v>
      </c>
      <c r="B4200" s="6" t="inlineStr">
        <is>
          <t>YELLOW TAIL CHARDONNAY</t>
        </is>
      </c>
      <c r="C4200" s="7">
        <f>VLOOKUP(A4200,SizeData!A$2:B$3839,2,FALSE)</f>
        <v/>
      </c>
      <c r="D4200" s="6" t="n">
        <v>2</v>
      </c>
      <c r="E4200" s="6" t="inlineStr">
        <is>
          <t>R1189620</t>
        </is>
      </c>
      <c r="F4200" s="2" t="n">
        <v>44408</v>
      </c>
      <c r="G4200" s="1" t="n"/>
    </row>
    <row r="4201">
      <c r="A4201" s="6" t="n">
        <v>429955</v>
      </c>
      <c r="B4201" s="6" t="inlineStr">
        <is>
          <t>YELLOW TAIL CHARDONNAY</t>
        </is>
      </c>
      <c r="C4201" s="7">
        <f>VLOOKUP(A4201,SizeData!A$2:B$3839,2,FALSE)</f>
        <v/>
      </c>
      <c r="D4201" s="6" t="n">
        <v>20</v>
      </c>
      <c r="E4201" s="6" t="inlineStr">
        <is>
          <t>R1238007</t>
        </is>
      </c>
      <c r="F4201" s="2" t="n">
        <v>44446</v>
      </c>
      <c r="G4201" s="1" t="n"/>
    </row>
    <row r="4202">
      <c r="A4202" s="6" t="n">
        <v>429955</v>
      </c>
      <c r="B4202" s="6" t="inlineStr">
        <is>
          <t>YELLOW TAIL CHARDONNAY</t>
        </is>
      </c>
      <c r="C4202" s="7">
        <f>VLOOKUP(A4202,SizeData!A$2:B$3839,2,FALSE)</f>
        <v/>
      </c>
      <c r="D4202" s="6" t="n">
        <v>14</v>
      </c>
      <c r="E4202" s="6" t="inlineStr">
        <is>
          <t>R1346277A</t>
        </is>
      </c>
      <c r="F4202" s="2" t="n">
        <v>44531</v>
      </c>
      <c r="G4202" s="1" t="n"/>
    </row>
    <row r="4203">
      <c r="A4203" s="6" t="n">
        <v>429964</v>
      </c>
      <c r="B4203" s="6" t="inlineStr">
        <is>
          <t>YELLOW TAIL MOSCATO</t>
        </is>
      </c>
      <c r="C4203" s="7">
        <f>VLOOKUP(A4203,SizeData!A$2:B$3839,2,FALSE)</f>
        <v/>
      </c>
      <c r="D4203" s="6" t="n">
        <v>2</v>
      </c>
      <c r="E4203" s="6" t="inlineStr">
        <is>
          <t>R1076240</t>
        </is>
      </c>
      <c r="F4203" s="2" t="n">
        <v>44285</v>
      </c>
      <c r="G4203" s="1" t="n"/>
    </row>
    <row r="4204">
      <c r="A4204" s="6" t="n">
        <v>429964</v>
      </c>
      <c r="B4204" s="6" t="inlineStr">
        <is>
          <t>YELLOW TAIL MOSCATO</t>
        </is>
      </c>
      <c r="C4204" s="7">
        <f>VLOOKUP(A4204,SizeData!A$2:B$3839,2,FALSE)</f>
        <v/>
      </c>
      <c r="D4204" s="6" t="n">
        <v>1</v>
      </c>
      <c r="E4204" s="6" t="inlineStr">
        <is>
          <t>R1256874</t>
        </is>
      </c>
      <c r="F4204" s="2" t="n">
        <v>44469</v>
      </c>
      <c r="G4204" s="1" t="n"/>
    </row>
    <row r="4205">
      <c r="A4205" s="6" t="n">
        <v>429975</v>
      </c>
      <c r="B4205" s="6" t="inlineStr">
        <is>
          <t>YELLOW TAIL MERLOT</t>
        </is>
      </c>
      <c r="C4205" s="7">
        <f>VLOOKUP(A4205,SizeData!A$2:B$3839,2,FALSE)</f>
        <v/>
      </c>
      <c r="D4205" s="6" t="n">
        <v>1</v>
      </c>
      <c r="E4205" s="6" t="inlineStr">
        <is>
          <t>R1008340</t>
        </is>
      </c>
      <c r="F4205" s="2" t="n">
        <v>44222</v>
      </c>
      <c r="G4205" s="1" t="n"/>
    </row>
    <row r="4206">
      <c r="A4206" s="6" t="n">
        <v>429975</v>
      </c>
      <c r="B4206" s="6" t="inlineStr">
        <is>
          <t>YELLOW TAIL MERLOT</t>
        </is>
      </c>
      <c r="C4206" s="7">
        <f>VLOOKUP(A4206,SizeData!A$2:B$3839,2,FALSE)</f>
        <v/>
      </c>
      <c r="D4206" s="6" t="n">
        <v>2</v>
      </c>
      <c r="E4206" s="6" t="inlineStr">
        <is>
          <t xml:space="preserve"> R1175360</t>
        </is>
      </c>
      <c r="F4206" s="2" t="n">
        <v>44383</v>
      </c>
      <c r="G4206" s="1" t="n"/>
    </row>
    <row r="4207">
      <c r="A4207" s="6" t="n">
        <v>429975</v>
      </c>
      <c r="B4207" s="6" t="inlineStr">
        <is>
          <t>YELLOW TAIL MERLOT</t>
        </is>
      </c>
      <c r="C4207" s="7">
        <f>VLOOKUP(A4207,SizeData!A$2:B$3839,2,FALSE)</f>
        <v/>
      </c>
      <c r="D4207" s="6" t="n">
        <v>1</v>
      </c>
      <c r="E4207" s="6" t="inlineStr">
        <is>
          <t xml:space="preserve"> R1171994</t>
        </is>
      </c>
      <c r="F4207" s="2" t="n">
        <v>44390</v>
      </c>
      <c r="G4207" s="1" t="n"/>
    </row>
    <row r="4208">
      <c r="A4208" s="6" t="n">
        <v>429975</v>
      </c>
      <c r="B4208" s="6" t="inlineStr">
        <is>
          <t>YELLOW TAIL MERLOT</t>
        </is>
      </c>
      <c r="C4208" s="7">
        <f>VLOOKUP(A4208,SizeData!A$2:B$3839,2,FALSE)</f>
        <v/>
      </c>
      <c r="D4208" s="6" t="n">
        <v>1</v>
      </c>
      <c r="E4208" s="6" t="inlineStr">
        <is>
          <t>R1174033</t>
        </is>
      </c>
      <c r="F4208" s="2" t="n">
        <v>44394</v>
      </c>
      <c r="G4208" s="1" t="n"/>
    </row>
    <row r="4209">
      <c r="A4209" s="6" t="n">
        <v>429975</v>
      </c>
      <c r="B4209" s="6" t="inlineStr">
        <is>
          <t>YELLOW TAIL MERLOT</t>
        </is>
      </c>
      <c r="C4209" s="7">
        <f>VLOOKUP(A4209,SizeData!A$2:B$3839,2,FALSE)</f>
        <v/>
      </c>
      <c r="D4209" s="6" t="n">
        <v>2</v>
      </c>
      <c r="E4209" s="6" t="inlineStr">
        <is>
          <t>R1189620</t>
        </is>
      </c>
      <c r="F4209" s="2" t="n">
        <v>44408</v>
      </c>
      <c r="G4209" s="1" t="n"/>
    </row>
    <row r="4210">
      <c r="A4210" s="6" t="n">
        <v>429976</v>
      </c>
      <c r="B4210" s="6" t="inlineStr">
        <is>
          <t>YELLOW TAIL PINOT NOIR</t>
        </is>
      </c>
      <c r="C4210" s="7">
        <f>VLOOKUP(A4210,SizeData!A$2:B$3839,2,FALSE)</f>
        <v/>
      </c>
      <c r="D4210" s="6" t="n">
        <v>1</v>
      </c>
      <c r="E4210" s="6" t="inlineStr">
        <is>
          <t>R1008340</t>
        </is>
      </c>
      <c r="F4210" s="2" t="n">
        <v>44222</v>
      </c>
      <c r="G4210" s="1" t="n"/>
    </row>
    <row r="4211">
      <c r="A4211" s="6" t="n">
        <v>429982</v>
      </c>
      <c r="B4211" s="6" t="inlineStr">
        <is>
          <t>YELLOW TAIL RIESLING</t>
        </is>
      </c>
      <c r="C4211" s="7">
        <f>VLOOKUP(A4211,SizeData!A$2:B$3839,2,FALSE)</f>
        <v/>
      </c>
      <c r="D4211" s="6" t="n">
        <v>1</v>
      </c>
      <c r="E4211" s="6" t="inlineStr">
        <is>
          <t>R1173248</t>
        </is>
      </c>
      <c r="F4211" s="2" t="n">
        <v>44393</v>
      </c>
      <c r="G4211" s="1" t="n"/>
    </row>
    <row r="4212">
      <c r="A4212" s="6" t="n">
        <v>429982</v>
      </c>
      <c r="B4212" s="6" t="inlineStr">
        <is>
          <t>YELLOW TAIL RIESLING</t>
        </is>
      </c>
      <c r="C4212" s="7">
        <f>VLOOKUP(A4212,SizeData!A$2:B$3839,2,FALSE)</f>
        <v/>
      </c>
      <c r="D4212" s="6" t="n">
        <v>1</v>
      </c>
      <c r="E4212" s="6" t="inlineStr">
        <is>
          <t>R1241453</t>
        </is>
      </c>
      <c r="F4212" s="2" t="n">
        <v>44448</v>
      </c>
      <c r="G4212" s="1" t="n"/>
    </row>
    <row r="4213">
      <c r="A4213" s="6" t="n">
        <v>429983</v>
      </c>
      <c r="B4213" s="6" t="inlineStr">
        <is>
          <t>YELLOW TAIL PINOT NOIR</t>
        </is>
      </c>
      <c r="C4213" s="7">
        <f>VLOOKUP(A4213,SizeData!A$2:B$3839,2,FALSE)</f>
        <v/>
      </c>
      <c r="D4213" s="6" t="n">
        <v>1</v>
      </c>
      <c r="E4213" s="6" t="inlineStr">
        <is>
          <t>R1099557</t>
        </is>
      </c>
      <c r="F4213" s="2" t="n">
        <v>44317</v>
      </c>
      <c r="G4213" s="1" t="n"/>
    </row>
    <row r="4214">
      <c r="A4214" s="6" t="n">
        <v>429983</v>
      </c>
      <c r="B4214" s="6" t="inlineStr">
        <is>
          <t>YELLOW TAIL PINOT NOIR</t>
        </is>
      </c>
      <c r="C4214" s="7">
        <f>VLOOKUP(A4214,SizeData!A$2:B$3839,2,FALSE)</f>
        <v/>
      </c>
      <c r="D4214" s="6" t="n">
        <v>1</v>
      </c>
      <c r="E4214" s="6" t="inlineStr">
        <is>
          <t>R1235270</t>
        </is>
      </c>
      <c r="F4214" s="2" t="n">
        <v>44440</v>
      </c>
      <c r="G4214" s="1" t="n"/>
    </row>
    <row r="4215">
      <c r="A4215" s="6" t="n">
        <v>429993</v>
      </c>
      <c r="B4215" s="6" t="inlineStr">
        <is>
          <t>YELLOW TAIL SANGRIA</t>
        </is>
      </c>
      <c r="C4215" s="7">
        <f>VLOOKUP(A4215,SizeData!A$2:B$3839,2,FALSE)</f>
        <v/>
      </c>
      <c r="D4215" s="6" t="n">
        <v>1</v>
      </c>
      <c r="E4215" s="6" t="inlineStr">
        <is>
          <t>R1003923</t>
        </is>
      </c>
      <c r="F4215" s="2" t="n">
        <v>44219</v>
      </c>
      <c r="G4215" s="1" t="n"/>
    </row>
    <row r="4216">
      <c r="A4216" s="6" t="n">
        <v>429993</v>
      </c>
      <c r="B4216" s="6" t="inlineStr">
        <is>
          <t>YELLOW TAIL SANGRIA</t>
        </is>
      </c>
      <c r="C4216" s="7">
        <f>VLOOKUP(A4216,SizeData!A$2:B$3839,2,FALSE)</f>
        <v/>
      </c>
      <c r="D4216" s="6" t="n">
        <v>1</v>
      </c>
      <c r="E4216" s="6" t="inlineStr">
        <is>
          <t>R1070281</t>
        </is>
      </c>
      <c r="F4216" s="2" t="n">
        <v>44275</v>
      </c>
      <c r="G4216" s="1" t="n"/>
    </row>
    <row r="4217">
      <c r="A4217" s="6" t="n">
        <v>429993</v>
      </c>
      <c r="B4217" s="6" t="inlineStr">
        <is>
          <t>YELLOW TAIL SANGRIA</t>
        </is>
      </c>
      <c r="C4217" s="7">
        <f>VLOOKUP(A4217,SizeData!A$2:B$3839,2,FALSE)</f>
        <v/>
      </c>
      <c r="D4217" s="6" t="n">
        <v>2</v>
      </c>
      <c r="E4217" s="6" t="inlineStr">
        <is>
          <t>R1235270</t>
        </is>
      </c>
      <c r="F4217" s="2" t="n">
        <v>44440</v>
      </c>
      <c r="G4217" s="1" t="n"/>
    </row>
    <row r="4218">
      <c r="A4218" s="6" t="n">
        <v>429999</v>
      </c>
      <c r="B4218" s="6" t="inlineStr">
        <is>
          <t>YELLOW TAIL SWEET RED ROO</t>
        </is>
      </c>
      <c r="C4218" s="7">
        <f>VLOOKUP(A4218,SizeData!A$2:B$3839,2,FALSE)</f>
        <v/>
      </c>
      <c r="D4218" s="6" t="n">
        <v>4</v>
      </c>
      <c r="E4218" s="6" t="inlineStr">
        <is>
          <t>R1060153</t>
        </is>
      </c>
      <c r="F4218" s="2" t="n">
        <v>44264</v>
      </c>
      <c r="G4218" s="1" t="n"/>
    </row>
    <row r="4219">
      <c r="A4219" s="6" t="n">
        <v>430012</v>
      </c>
      <c r="B4219" s="6" t="inlineStr">
        <is>
          <t>YELLOW TAIL PINOT GRIGIO</t>
        </is>
      </c>
      <c r="C4219" s="7">
        <f>VLOOKUP(A4219,SizeData!A$2:B$3839,2,FALSE)</f>
        <v/>
      </c>
      <c r="D4219" s="6" t="n">
        <v>1</v>
      </c>
      <c r="E4219" s="6" t="inlineStr">
        <is>
          <t>R1235270</t>
        </is>
      </c>
      <c r="F4219" s="2" t="n">
        <v>44440</v>
      </c>
      <c r="G4219" s="1" t="n"/>
    </row>
    <row r="4220">
      <c r="A4220" s="6" t="n">
        <v>441976</v>
      </c>
      <c r="B4220" s="6" t="inlineStr">
        <is>
          <t>APOTHIC RED WINEMAKER'S BLEND</t>
        </is>
      </c>
      <c r="C4220" s="7">
        <f>VLOOKUP(A4220,SizeData!A$2:B$3839,2,FALSE)</f>
        <v/>
      </c>
      <c r="D4220" s="6" t="n">
        <v>1</v>
      </c>
      <c r="E4220" s="6" t="inlineStr">
        <is>
          <t>R1003894</t>
        </is>
      </c>
      <c r="F4220" s="2" t="n">
        <v>44229</v>
      </c>
      <c r="G4220" s="1" t="n"/>
    </row>
    <row r="4221">
      <c r="A4221" s="6" t="n">
        <v>441976</v>
      </c>
      <c r="B4221" s="6" t="inlineStr">
        <is>
          <t>APOTHIC RED WINEMAKER'S BLEND</t>
        </is>
      </c>
      <c r="C4221" s="7">
        <f>VLOOKUP(A4221,SizeData!A$2:B$3839,2,FALSE)</f>
        <v/>
      </c>
      <c r="D4221" s="6" t="n">
        <v>2</v>
      </c>
      <c r="E4221" s="6" t="inlineStr">
        <is>
          <t>R1099905</t>
        </is>
      </c>
      <c r="F4221" s="2" t="n">
        <v>44310</v>
      </c>
      <c r="G4221" s="1" t="n"/>
    </row>
    <row r="4222">
      <c r="A4222" s="6" t="n">
        <v>441976</v>
      </c>
      <c r="B4222" s="6" t="inlineStr">
        <is>
          <t>APOTHIC RED WINEMAKER'S BLEND</t>
        </is>
      </c>
      <c r="C4222" s="7">
        <f>VLOOKUP(A4222,SizeData!A$2:B$3839,2,FALSE)</f>
        <v/>
      </c>
      <c r="D4222" s="6" t="n">
        <v>1</v>
      </c>
      <c r="E4222" s="6" t="inlineStr">
        <is>
          <t xml:space="preserve"> R1138813</t>
        </is>
      </c>
      <c r="F4222" s="2" t="n">
        <v>44348</v>
      </c>
      <c r="G4222" s="1" t="n"/>
    </row>
    <row r="4223">
      <c r="A4223" s="6" t="n">
        <v>441976</v>
      </c>
      <c r="B4223" s="6" t="inlineStr">
        <is>
          <t>APOTHIC RED WINEMAKER'S BLEND</t>
        </is>
      </c>
      <c r="C4223" s="7">
        <f>VLOOKUP(A4223,SizeData!A$2:B$3839,2,FALSE)</f>
        <v/>
      </c>
      <c r="D4223" s="6" t="n">
        <v>1</v>
      </c>
      <c r="E4223" s="6" t="inlineStr">
        <is>
          <t>R1137596</t>
        </is>
      </c>
      <c r="F4223" s="2" t="n">
        <v>44359</v>
      </c>
      <c r="G4223" s="1" t="n"/>
    </row>
    <row r="4224">
      <c r="A4224" s="6" t="n">
        <v>441976</v>
      </c>
      <c r="B4224" s="6" t="inlineStr">
        <is>
          <t>APOTHIC RED WINEMAKER'S BLEND</t>
        </is>
      </c>
      <c r="C4224" s="7">
        <f>VLOOKUP(A4224,SizeData!A$2:B$3839,2,FALSE)</f>
        <v/>
      </c>
      <c r="D4224" s="6" t="n">
        <v>1</v>
      </c>
      <c r="E4224" s="6" t="inlineStr">
        <is>
          <t>R1148206</t>
        </is>
      </c>
      <c r="F4224" s="2" t="n">
        <v>44359</v>
      </c>
      <c r="G4224" s="1" t="n"/>
    </row>
    <row r="4225">
      <c r="A4225" s="6" t="n">
        <v>441976</v>
      </c>
      <c r="B4225" s="6" t="inlineStr">
        <is>
          <t>APOTHIC RED WINEMAKER'S BLEND</t>
        </is>
      </c>
      <c r="C4225" s="7">
        <f>VLOOKUP(A4225,SizeData!A$2:B$3839,2,FALSE)</f>
        <v/>
      </c>
      <c r="D4225" s="6" t="n">
        <v>2</v>
      </c>
      <c r="E4225" s="6" t="inlineStr">
        <is>
          <t xml:space="preserve"> R1206104</t>
        </is>
      </c>
      <c r="F4225" s="2" t="n">
        <v>44413</v>
      </c>
      <c r="G4225" s="1" t="n"/>
    </row>
    <row r="4226">
      <c r="A4226" s="6" t="n">
        <v>441976</v>
      </c>
      <c r="B4226" s="6" t="inlineStr">
        <is>
          <t>APOTHIC RED WINEMAKER'S BLEND</t>
        </is>
      </c>
      <c r="C4226" s="7">
        <f>VLOOKUP(A4226,SizeData!A$2:B$3839,2,FALSE)</f>
        <v/>
      </c>
      <c r="D4226" s="6" t="n">
        <v>0</v>
      </c>
      <c r="E4226" s="24" t="inlineStr">
        <is>
          <t>R1264756</t>
        </is>
      </c>
      <c r="F4226" s="2" t="n">
        <v>44472</v>
      </c>
      <c r="G4226" s="1" t="n"/>
    </row>
    <row r="4227">
      <c r="A4227" s="6" t="n">
        <v>441976</v>
      </c>
      <c r="B4227" s="6" t="inlineStr">
        <is>
          <t>APOTHIC RED WINEMAKER'S BLEND</t>
        </is>
      </c>
      <c r="C4227" s="7">
        <f>VLOOKUP(A4227,SizeData!A$2:B$3839,2,FALSE)</f>
        <v/>
      </c>
      <c r="D4227" s="6" t="n">
        <v>2</v>
      </c>
      <c r="E4227" s="6" t="inlineStr">
        <is>
          <t>R1284159</t>
        </is>
      </c>
      <c r="F4227" s="2" t="n">
        <v>44488</v>
      </c>
      <c r="G4227" s="1" t="n"/>
    </row>
    <row r="4228">
      <c r="A4228" s="6" t="n">
        <v>441977</v>
      </c>
      <c r="B4228" s="6" t="inlineStr">
        <is>
          <t>APOTHIC CRUSH</t>
        </is>
      </c>
      <c r="C4228" s="7">
        <f>VLOOKUP(A4228,SizeData!A$2:B$3839,2,FALSE)</f>
        <v/>
      </c>
      <c r="D4228" s="6" t="n">
        <v>1</v>
      </c>
      <c r="E4228" s="6" t="inlineStr">
        <is>
          <t>R1003894</t>
        </is>
      </c>
      <c r="F4228" s="2" t="n">
        <v>44229</v>
      </c>
      <c r="G4228" s="1" t="n"/>
    </row>
    <row r="4229">
      <c r="A4229" s="6" t="n">
        <v>441977</v>
      </c>
      <c r="B4229" s="6" t="inlineStr">
        <is>
          <t>APOTHIC CRUSH</t>
        </is>
      </c>
      <c r="C4229" s="7">
        <f>VLOOKUP(A4229,SizeData!A$2:B$3839,2,FALSE)</f>
        <v/>
      </c>
      <c r="D4229" s="6" t="n">
        <v>1</v>
      </c>
      <c r="E4229" s="6" t="inlineStr">
        <is>
          <t>R1155060</t>
        </is>
      </c>
      <c r="F4229" s="2" t="n">
        <v>44357</v>
      </c>
      <c r="G4229" s="1" t="n"/>
    </row>
    <row r="4230">
      <c r="A4230" s="6" t="n">
        <v>441977</v>
      </c>
      <c r="B4230" s="6" t="inlineStr">
        <is>
          <t>APOTHIC CRUSH</t>
        </is>
      </c>
      <c r="C4230" s="7">
        <f>VLOOKUP(A4230,SizeData!A$2:B$3839,2,FALSE)</f>
        <v/>
      </c>
      <c r="D4230" s="6" t="n">
        <v>2</v>
      </c>
      <c r="E4230" s="6" t="inlineStr">
        <is>
          <t>R1143298</t>
        </is>
      </c>
      <c r="F4230" s="2" t="n">
        <v>44364</v>
      </c>
      <c r="G4230" s="1" t="n"/>
    </row>
    <row r="4231">
      <c r="A4231" s="6" t="n">
        <v>441977</v>
      </c>
      <c r="B4231" s="6" t="inlineStr">
        <is>
          <t>APOTHIC CRUSH</t>
        </is>
      </c>
      <c r="C4231" s="7">
        <f>VLOOKUP(A4231,SizeData!A$2:B$3839,2,FALSE)</f>
        <v/>
      </c>
      <c r="D4231" s="6" t="n">
        <v>1</v>
      </c>
      <c r="E4231" s="6" t="inlineStr">
        <is>
          <t xml:space="preserve"> R1206104</t>
        </is>
      </c>
      <c r="F4231" s="2" t="n">
        <v>44413</v>
      </c>
      <c r="G4231" s="1" t="n"/>
    </row>
    <row r="4232">
      <c r="A4232" s="6" t="n">
        <v>441978</v>
      </c>
      <c r="B4232" s="6" t="inlineStr">
        <is>
          <t>APOTHIC INFERNO</t>
        </is>
      </c>
      <c r="C4232" s="7">
        <f>VLOOKUP(A4232,SizeData!A$2:B$3839,2,FALSE)</f>
        <v/>
      </c>
      <c r="D4232" s="6" t="n">
        <v>1</v>
      </c>
      <c r="E4232" s="6" t="inlineStr">
        <is>
          <t>R1031264</t>
        </is>
      </c>
      <c r="F4232" s="2" t="n">
        <v>44246</v>
      </c>
      <c r="G4232" s="1" t="n"/>
    </row>
    <row r="4233">
      <c r="A4233" s="6" t="n">
        <v>441978</v>
      </c>
      <c r="B4233" s="6" t="inlineStr">
        <is>
          <t>APOTHIC INFERNO RED BLEND CALIFORNIA</t>
        </is>
      </c>
      <c r="C4233" s="7">
        <f>VLOOKUP(A4233,SizeData!A$2:B$3839,2,FALSE)</f>
        <v/>
      </c>
      <c r="D4233" s="6" t="n">
        <v>1</v>
      </c>
      <c r="E4233" s="6" t="inlineStr">
        <is>
          <t>R1360587</t>
        </is>
      </c>
      <c r="F4233" s="2" t="n">
        <v>44538</v>
      </c>
      <c r="G4233" s="1" t="n"/>
    </row>
    <row r="4234">
      <c r="A4234" s="6" t="n">
        <v>441986</v>
      </c>
      <c r="B4234" s="6" t="inlineStr">
        <is>
          <t>APOTHIC CABERNET SAUVIGNON</t>
        </is>
      </c>
      <c r="C4234" s="7">
        <f>VLOOKUP(A4234,SizeData!A$2:B$3839,2,FALSE)</f>
        <v/>
      </c>
      <c r="D4234" s="6" t="n">
        <v>2</v>
      </c>
      <c r="E4234" s="6" t="inlineStr">
        <is>
          <t>R1003894</t>
        </is>
      </c>
      <c r="F4234" s="2" t="n">
        <v>44229</v>
      </c>
      <c r="G4234" s="1" t="n"/>
    </row>
    <row r="4235">
      <c r="A4235" s="6" t="n">
        <v>441986</v>
      </c>
      <c r="B4235" s="6" t="inlineStr">
        <is>
          <t>APOTHIC CABERNET SAUVIGNON</t>
        </is>
      </c>
      <c r="C4235" s="7">
        <f>VLOOKUP(A4235,SizeData!A$2:B$3839,2,FALSE)</f>
        <v/>
      </c>
      <c r="D4235" s="6" t="n">
        <v>3</v>
      </c>
      <c r="E4235" s="6" t="inlineStr">
        <is>
          <t>R1031264</t>
        </is>
      </c>
      <c r="F4235" s="2" t="n">
        <v>44246</v>
      </c>
      <c r="G4235" s="1" t="n"/>
    </row>
    <row r="4236">
      <c r="A4236" s="6" t="n">
        <v>441986</v>
      </c>
      <c r="B4236" s="6" t="inlineStr">
        <is>
          <t>APOTHIC CABERNET SAUVIGNON</t>
        </is>
      </c>
      <c r="C4236" s="7">
        <f>VLOOKUP(A4236,SizeData!A$2:B$3839,2,FALSE)</f>
        <v/>
      </c>
      <c r="D4236" s="6" t="n">
        <v>1</v>
      </c>
      <c r="E4236" s="6" t="inlineStr">
        <is>
          <t>R1262670</t>
        </is>
      </c>
      <c r="F4236" s="2" t="n">
        <v>44470</v>
      </c>
      <c r="G4236" s="1" t="n"/>
    </row>
    <row r="4237">
      <c r="A4237" s="6" t="n">
        <v>441988</v>
      </c>
      <c r="B4237" s="6" t="inlineStr">
        <is>
          <t>APOTHIC MERLOT</t>
        </is>
      </c>
      <c r="C4237" s="7">
        <f>VLOOKUP(A4237,SizeData!A$2:B$3839,2,FALSE)</f>
        <v/>
      </c>
      <c r="D4237" s="6" t="n">
        <v>1</v>
      </c>
      <c r="E4237" s="6" t="inlineStr">
        <is>
          <t>R1084236</t>
        </is>
      </c>
      <c r="F4237" s="2" t="n">
        <v>44296</v>
      </c>
      <c r="G4237" s="1" t="n"/>
    </row>
    <row r="4238">
      <c r="A4238" s="6" t="n">
        <v>441988</v>
      </c>
      <c r="B4238" s="6" t="inlineStr">
        <is>
          <t>APOTHIC MERLOT</t>
        </is>
      </c>
      <c r="C4238" s="7">
        <f>VLOOKUP(A4238,SizeData!A$2:B$3839,2,FALSE)</f>
        <v/>
      </c>
      <c r="D4238" s="6" t="n">
        <v>1</v>
      </c>
      <c r="E4238" s="6" t="inlineStr">
        <is>
          <t>R1209774</t>
        </is>
      </c>
      <c r="F4238" s="2" t="n">
        <v>44433</v>
      </c>
      <c r="G4238" s="1" t="n"/>
    </row>
    <row r="4239">
      <c r="A4239" s="6" t="n">
        <v>442562</v>
      </c>
      <c r="B4239" s="6" t="inlineStr">
        <is>
          <t>BAREFOOT CELLARS RED MOSCATO</t>
        </is>
      </c>
      <c r="C4239" s="7">
        <f>VLOOKUP(A4239,SizeData!A$2:B$3839,2,FALSE)</f>
        <v/>
      </c>
      <c r="D4239" s="6" t="n">
        <v>1</v>
      </c>
      <c r="E4239" s="6" t="inlineStr">
        <is>
          <t>R1170994</t>
        </is>
      </c>
      <c r="F4239" s="2" t="n">
        <v>44394</v>
      </c>
      <c r="G4239" s="1" t="n"/>
    </row>
    <row r="4240">
      <c r="A4240" s="6" t="n">
        <v>442562</v>
      </c>
      <c r="B4240" s="6" t="inlineStr">
        <is>
          <t>BAREFOOT CELLARS RED MOSCATO</t>
        </is>
      </c>
      <c r="C4240" s="7">
        <f>VLOOKUP(A4240,SizeData!A$2:B$3839,2,FALSE)</f>
        <v/>
      </c>
      <c r="D4240" s="6" t="n">
        <v>1</v>
      </c>
      <c r="E4240" s="6" t="inlineStr">
        <is>
          <t>R1284745</t>
        </is>
      </c>
      <c r="F4240" s="2" t="n">
        <v>44490</v>
      </c>
      <c r="G4240" s="1" t="n"/>
    </row>
    <row r="4241">
      <c r="A4241" s="6" t="n">
        <v>442562</v>
      </c>
      <c r="B4241" s="6" t="inlineStr">
        <is>
          <t>BAREFOOT CELLARS RED MOSCATO</t>
        </is>
      </c>
      <c r="C4241" s="7">
        <f>VLOOKUP(A4241,SizeData!A$2:B$3839,2,FALSE)</f>
        <v/>
      </c>
      <c r="D4241" s="6" t="n">
        <v>2</v>
      </c>
      <c r="E4241" s="6" t="inlineStr">
        <is>
          <t>R1301983</t>
        </is>
      </c>
      <c r="F4241" s="2" t="n">
        <v>44501</v>
      </c>
      <c r="G4241" s="1" t="n"/>
    </row>
    <row r="4242">
      <c r="A4242" s="6" t="n">
        <v>442562</v>
      </c>
      <c r="B4242" s="6" t="inlineStr">
        <is>
          <t>BAREFOOT CELLARS RED MOSCATO</t>
        </is>
      </c>
      <c r="C4242" s="7">
        <f>VLOOKUP(A4242,SizeData!A$2:B$3839,2,FALSE)</f>
        <v/>
      </c>
      <c r="D4242" s="6" t="n">
        <v>2</v>
      </c>
      <c r="E4242" s="6" t="inlineStr">
        <is>
          <t>R1314740</t>
        </is>
      </c>
      <c r="F4242" s="2" t="n">
        <v>44512</v>
      </c>
      <c r="G4242" s="1" t="n"/>
    </row>
    <row r="4243">
      <c r="A4243" s="6" t="n">
        <v>442562</v>
      </c>
      <c r="B4243" s="6" t="inlineStr">
        <is>
          <t>BAREFOOT CELLARS RED MOSCATO</t>
        </is>
      </c>
      <c r="C4243" s="7">
        <f>VLOOKUP(A4243,SizeData!A$2:B$3839,2,FALSE)</f>
        <v/>
      </c>
      <c r="D4243" s="6" t="n">
        <v>1</v>
      </c>
      <c r="E4243" s="6" t="inlineStr">
        <is>
          <t>R1326778</t>
        </is>
      </c>
      <c r="F4243" s="2" t="n">
        <v>44517</v>
      </c>
      <c r="G4243" s="1" t="n"/>
    </row>
    <row r="4244">
      <c r="A4244" s="6" t="n">
        <v>442562</v>
      </c>
      <c r="B4244" s="6" t="inlineStr">
        <is>
          <t>BAREFOOT CELLARS RED MOSCATO</t>
        </is>
      </c>
      <c r="C4244" s="7">
        <f>VLOOKUP(A4244,SizeData!A$2:B$3839,2,FALSE)</f>
        <v/>
      </c>
      <c r="D4244" s="6" t="n">
        <v>1</v>
      </c>
      <c r="E4244" s="6" t="inlineStr">
        <is>
          <t>R1338667</t>
        </is>
      </c>
      <c r="F4244" s="2" t="n">
        <v>44530</v>
      </c>
      <c r="G4244" s="1" t="n"/>
    </row>
    <row r="4245">
      <c r="A4245" s="6" t="n">
        <v>442563</v>
      </c>
      <c r="B4245" s="6" t="inlineStr">
        <is>
          <t>BAREFOOT CELLARS RED MOSCATO</t>
        </is>
      </c>
      <c r="C4245" s="7">
        <f>VLOOKUP(A4245,SizeData!A$2:B$3839,2,FALSE)</f>
        <v/>
      </c>
      <c r="D4245" s="6" t="n">
        <v>3</v>
      </c>
      <c r="E4245" s="6" t="inlineStr">
        <is>
          <t>R1032609</t>
        </is>
      </c>
      <c r="F4245" s="2" t="n">
        <v>44246</v>
      </c>
      <c r="G4245" s="1" t="n"/>
    </row>
    <row r="4246">
      <c r="A4246" s="6" t="n">
        <v>442563</v>
      </c>
      <c r="B4246" s="6" t="inlineStr">
        <is>
          <t>BAREFOOT CELLARS RED MOSCATO</t>
        </is>
      </c>
      <c r="C4246" s="7">
        <f>VLOOKUP(A4246,SizeData!A$2:B$3839,2,FALSE)</f>
        <v/>
      </c>
      <c r="D4246" s="6" t="n">
        <v>2</v>
      </c>
      <c r="E4246" s="6" t="inlineStr">
        <is>
          <t>R1155060</t>
        </is>
      </c>
      <c r="F4246" s="2" t="n">
        <v>44357</v>
      </c>
      <c r="G4246" s="1" t="n"/>
    </row>
    <row r="4247">
      <c r="A4247" s="6" t="n">
        <v>442563</v>
      </c>
      <c r="B4247" s="6" t="inlineStr">
        <is>
          <t>BAREFOOT CELLARS RED MOSCATO</t>
        </is>
      </c>
      <c r="C4247" s="7">
        <f>VLOOKUP(A4247,SizeData!A$2:B$3839,2,FALSE)</f>
        <v/>
      </c>
      <c r="D4247" s="6" t="n">
        <v>3</v>
      </c>
      <c r="E4247" s="6" t="inlineStr">
        <is>
          <t>R1187881</t>
        </is>
      </c>
      <c r="F4247" s="2" t="n">
        <v>44412</v>
      </c>
      <c r="G4247" s="1" t="n"/>
    </row>
    <row r="4248">
      <c r="A4248" s="6" t="n">
        <v>442563</v>
      </c>
      <c r="B4248" s="6" t="inlineStr">
        <is>
          <t>BAREFOOT CELLARS RED MOSCATO</t>
        </is>
      </c>
      <c r="C4248" s="7">
        <f>VLOOKUP(A4248,SizeData!A$2:B$3839,2,FALSE)</f>
        <v/>
      </c>
      <c r="D4248" s="6" t="n">
        <v>1</v>
      </c>
      <c r="E4248" s="6" t="inlineStr">
        <is>
          <t xml:space="preserve"> R1206104</t>
        </is>
      </c>
      <c r="F4248" s="2" t="n">
        <v>44413</v>
      </c>
      <c r="G4248" s="1" t="n"/>
    </row>
    <row r="4249">
      <c r="A4249" s="6" t="n">
        <v>442563</v>
      </c>
      <c r="B4249" s="6" t="inlineStr">
        <is>
          <t>BAREFOOT CELLARS RED MOSCATO</t>
        </is>
      </c>
      <c r="C4249" s="7">
        <f>VLOOKUP(A4249,SizeData!A$2:B$3839,2,FALSE)</f>
        <v/>
      </c>
      <c r="D4249" s="6" t="n">
        <v>3</v>
      </c>
      <c r="E4249" s="6" t="inlineStr">
        <is>
          <t>R1264756</t>
        </is>
      </c>
      <c r="F4249" s="2" t="n">
        <v>44472</v>
      </c>
      <c r="G4249" s="1" t="n"/>
    </row>
    <row r="4250">
      <c r="A4250" s="6" t="n">
        <v>442563</v>
      </c>
      <c r="B4250" s="6" t="inlineStr">
        <is>
          <t>BAREFOOT CELLARS RED MOSCATO</t>
        </is>
      </c>
      <c r="C4250" s="7">
        <f>VLOOKUP(A4250,SizeData!A$2:B$3839,2,FALSE)</f>
        <v/>
      </c>
      <c r="D4250" s="6" t="n">
        <v>1</v>
      </c>
      <c r="E4250" s="6" t="inlineStr">
        <is>
          <t>R1301289</t>
        </is>
      </c>
      <c r="F4250" s="2" t="n">
        <v>44499</v>
      </c>
      <c r="G4250" s="1" t="n"/>
    </row>
    <row r="4251">
      <c r="A4251" s="6" t="n">
        <v>442569</v>
      </c>
      <c r="B4251" s="6" t="inlineStr">
        <is>
          <t>BAREFOOT CELLARS RED MOSCATO CALIF</t>
        </is>
      </c>
      <c r="C4251" s="7">
        <f>VLOOKUP(A4251,SizeData!A$2:B$3839,2,FALSE)</f>
        <v/>
      </c>
      <c r="D4251" s="6" t="n">
        <v>1</v>
      </c>
      <c r="E4251" s="6" t="inlineStr">
        <is>
          <t>R992402</t>
        </is>
      </c>
      <c r="F4251" s="2" t="n">
        <v>44198</v>
      </c>
      <c r="G4251" s="1" t="n"/>
    </row>
    <row r="4252">
      <c r="A4252" s="6" t="n">
        <v>442569</v>
      </c>
      <c r="B4252" s="6" t="inlineStr">
        <is>
          <t>BAREFOOT CELLARS RED MOSCATO CALIF</t>
        </is>
      </c>
      <c r="C4252" s="7">
        <f>VLOOKUP(A4252,SizeData!A$2:B$3839,2,FALSE)</f>
        <v/>
      </c>
      <c r="D4252" s="6" t="n">
        <v>1</v>
      </c>
      <c r="E4252" s="6" t="inlineStr">
        <is>
          <t>R1028756</t>
        </is>
      </c>
      <c r="F4252" s="2" t="n">
        <v>44239</v>
      </c>
      <c r="G4252" s="1" t="n"/>
    </row>
    <row r="4253">
      <c r="A4253" s="6" t="n">
        <v>442569</v>
      </c>
      <c r="B4253" s="6" t="inlineStr">
        <is>
          <t>BAREFOOT CELLARS RED MOSCATO CALIF</t>
        </is>
      </c>
      <c r="C4253" s="7">
        <f>VLOOKUP(A4253,SizeData!A$2:B$3839,2,FALSE)</f>
        <v/>
      </c>
      <c r="D4253" s="6" t="n">
        <v>1</v>
      </c>
      <c r="E4253" s="6" t="inlineStr">
        <is>
          <t>R1099589</t>
        </is>
      </c>
      <c r="F4253" s="2" t="n">
        <v>44321</v>
      </c>
      <c r="G4253" s="1" t="n"/>
    </row>
    <row r="4254">
      <c r="A4254" s="6" t="n">
        <v>442569</v>
      </c>
      <c r="B4254" s="6" t="inlineStr">
        <is>
          <t>BAREFOOT CELLARS RED MOSCATO CALIF</t>
        </is>
      </c>
      <c r="C4254" s="7">
        <f>VLOOKUP(A4254,SizeData!A$2:B$3839,2,FALSE)</f>
        <v/>
      </c>
      <c r="D4254" s="6" t="n">
        <v>1</v>
      </c>
      <c r="E4254" s="6" t="inlineStr">
        <is>
          <t>R1148371</t>
        </is>
      </c>
      <c r="F4254" s="2" t="n">
        <v>44365</v>
      </c>
      <c r="G4254" s="1" t="n"/>
    </row>
    <row r="4255">
      <c r="A4255" s="6" t="n">
        <v>442569</v>
      </c>
      <c r="B4255" s="6" t="inlineStr">
        <is>
          <t>BAREFOOT CELLARS RED MOSCATO CALIF</t>
        </is>
      </c>
      <c r="C4255" s="7">
        <f>VLOOKUP(A4255,SizeData!A$2:B$3839,2,FALSE)</f>
        <v/>
      </c>
      <c r="D4255" s="6" t="n">
        <v>1</v>
      </c>
      <c r="E4255" s="6" t="inlineStr">
        <is>
          <t>R1196336</t>
        </is>
      </c>
      <c r="F4255" s="2" t="n">
        <v>44405</v>
      </c>
      <c r="G4255" s="1" t="n"/>
    </row>
    <row r="4256">
      <c r="A4256" s="6" t="n">
        <v>442569</v>
      </c>
      <c r="B4256" s="6" t="inlineStr">
        <is>
          <t>BAREFOOT CELLARS RED MOSCATO CALIF</t>
        </is>
      </c>
      <c r="C4256" s="7">
        <f>VLOOKUP(A4256,SizeData!A$2:B$3839,2,FALSE)</f>
        <v/>
      </c>
      <c r="D4256" s="6" t="n">
        <v>2</v>
      </c>
      <c r="E4256" s="6" t="inlineStr">
        <is>
          <t>R1301404</t>
        </is>
      </c>
      <c r="F4256" s="2" t="n">
        <v>44489</v>
      </c>
      <c r="G4256" s="1" t="n"/>
    </row>
    <row r="4257">
      <c r="A4257" s="6" t="n">
        <v>442577</v>
      </c>
      <c r="B4257" s="6" t="inlineStr">
        <is>
          <t>BAREFOOT CELLARS MERLOT</t>
        </is>
      </c>
      <c r="C4257" s="7">
        <f>VLOOKUP(A4257,SizeData!A$2:B$3839,2,FALSE)</f>
        <v/>
      </c>
      <c r="D4257" s="6" t="n">
        <v>1</v>
      </c>
      <c r="E4257" s="6" t="inlineStr">
        <is>
          <t>R1204006</t>
        </is>
      </c>
      <c r="F4257" s="2" t="n">
        <v>44415</v>
      </c>
      <c r="G4257" s="1" t="n"/>
    </row>
    <row r="4258">
      <c r="A4258" s="6" t="n">
        <v>443950</v>
      </c>
      <c r="B4258" s="6" t="inlineStr">
        <is>
          <t>MEIOMI PINOT NOIR</t>
        </is>
      </c>
      <c r="C4258" s="7">
        <f>VLOOKUP(A4258,SizeData!A$2:B$3839,2,FALSE)</f>
        <v/>
      </c>
      <c r="D4258" s="6" t="n">
        <v>4</v>
      </c>
      <c r="E4258" s="6" t="inlineStr">
        <is>
          <t>R1202106</t>
        </is>
      </c>
      <c r="F4258" s="2" t="n">
        <v>44411</v>
      </c>
      <c r="G4258" s="1" t="n"/>
    </row>
    <row r="4259">
      <c r="A4259" s="6" t="n">
        <v>444232</v>
      </c>
      <c r="B4259" s="6" t="inlineStr">
        <is>
          <t>BERINGER CALIF MERLOT</t>
        </is>
      </c>
      <c r="C4259" s="7">
        <f>VLOOKUP(A4259,SizeData!A$2:B$3839,2,FALSE)</f>
        <v/>
      </c>
      <c r="D4259" s="6" t="n">
        <v>3</v>
      </c>
      <c r="E4259" s="6" t="inlineStr">
        <is>
          <t>R1325385</t>
        </is>
      </c>
      <c r="F4259" s="2" t="n">
        <v>44508</v>
      </c>
      <c r="G4259" s="1" t="n"/>
    </row>
    <row r="4260">
      <c r="A4260" s="6" t="n">
        <v>445836</v>
      </c>
      <c r="B4260" s="6" t="inlineStr">
        <is>
          <t>BERINGER MAIN &amp; VINE RED MOSCATO</t>
        </is>
      </c>
      <c r="C4260" s="7">
        <f>VLOOKUP(A4260,SizeData!A$2:B$3839,2,FALSE)</f>
        <v/>
      </c>
      <c r="D4260" s="6" t="n">
        <v>1</v>
      </c>
      <c r="E4260" s="6" t="inlineStr">
        <is>
          <t>R1043269</t>
        </is>
      </c>
      <c r="F4260" s="2" t="n">
        <v>44263</v>
      </c>
      <c r="G4260" s="1" t="n"/>
    </row>
    <row r="4261">
      <c r="A4261" s="6" t="n">
        <v>445836</v>
      </c>
      <c r="B4261" s="6" t="inlineStr">
        <is>
          <t>BERINGER MAIN &amp; VINE RED MOSCATO</t>
        </is>
      </c>
      <c r="C4261" s="7">
        <f>VLOOKUP(A4261,SizeData!A$2:B$3839,2,FALSE)</f>
        <v/>
      </c>
      <c r="D4261" s="6" t="n">
        <v>1</v>
      </c>
      <c r="E4261" s="6" t="inlineStr">
        <is>
          <t>R1072840</t>
        </is>
      </c>
      <c r="F4261" s="2" t="n">
        <v>44286</v>
      </c>
      <c r="G4261" s="1" t="n"/>
    </row>
    <row r="4262">
      <c r="A4262" s="6" t="n">
        <v>445836</v>
      </c>
      <c r="B4262" s="6" t="inlineStr">
        <is>
          <t>BERINGER MAIN &amp; VINE RED MOSCATO</t>
        </is>
      </c>
      <c r="C4262" s="7">
        <f>VLOOKUP(A4262,SizeData!A$2:B$3839,2,FALSE)</f>
        <v/>
      </c>
      <c r="D4262" s="6" t="n">
        <v>1</v>
      </c>
      <c r="E4262" s="6" t="inlineStr">
        <is>
          <t>R1197185</t>
        </is>
      </c>
      <c r="F4262" s="2" t="n">
        <v>44412</v>
      </c>
      <c r="G4262" s="1" t="n"/>
    </row>
    <row r="4263">
      <c r="A4263" s="6" t="n">
        <v>445836</v>
      </c>
      <c r="B4263" s="6" t="inlineStr">
        <is>
          <t>BERINGER MAIN &amp; VINE RED MOSCATO</t>
        </is>
      </c>
      <c r="C4263" s="7">
        <f>VLOOKUP(A4263,SizeData!A$2:B$3839,2,FALSE)</f>
        <v/>
      </c>
      <c r="D4263" s="6" t="n">
        <v>2</v>
      </c>
      <c r="E4263" s="6" t="inlineStr">
        <is>
          <t>R1299928</t>
        </is>
      </c>
      <c r="F4263" s="2" t="n">
        <v>44497</v>
      </c>
      <c r="G4263" s="1" t="n"/>
    </row>
    <row r="4264">
      <c r="A4264" s="6" t="n">
        <v>445837</v>
      </c>
      <c r="B4264" s="6" t="inlineStr">
        <is>
          <t>BERINGER MAIN &amp; VINE RED MOSCATO</t>
        </is>
      </c>
      <c r="C4264" s="7">
        <f>VLOOKUP(A4264,SizeData!A$2:B$3839,2,FALSE)</f>
        <v/>
      </c>
      <c r="D4264" s="6" t="n">
        <v>25</v>
      </c>
      <c r="E4264" s="6" t="inlineStr">
        <is>
          <t>R1265798</t>
        </is>
      </c>
      <c r="F4264" s="2" t="n">
        <v>44468</v>
      </c>
      <c r="G4264" s="1" t="n"/>
    </row>
    <row r="4265">
      <c r="A4265" s="6" t="n">
        <v>445882</v>
      </c>
      <c r="B4265" s="6" t="inlineStr">
        <is>
          <t>BERINGER WHITE ZINFANDEL MOSCATO</t>
        </is>
      </c>
      <c r="C4265" s="7">
        <f>VLOOKUP(A4265,SizeData!A$2:B$3839,2,FALSE)</f>
        <v/>
      </c>
      <c r="D4265" s="6" t="n">
        <v>0</v>
      </c>
      <c r="E4265" s="6" t="inlineStr">
        <is>
          <t>R1264756</t>
        </is>
      </c>
      <c r="F4265" s="2" t="n">
        <v>44472</v>
      </c>
      <c r="G4265" s="1" t="n"/>
    </row>
    <row r="4266">
      <c r="A4266" s="6" t="n">
        <v>445882</v>
      </c>
      <c r="B4266" s="6" t="inlineStr">
        <is>
          <t>BERINGER WHITE ZINFANDEL MOSCATO</t>
        </is>
      </c>
      <c r="C4266" s="7">
        <f>VLOOKUP(A4266,SizeData!A$2:B$3839,2,FALSE)</f>
        <v/>
      </c>
      <c r="D4266" s="6" t="n">
        <v>1</v>
      </c>
      <c r="E4266" s="6" t="inlineStr">
        <is>
          <t>R1284159</t>
        </is>
      </c>
      <c r="F4266" s="2" t="n">
        <v>44488</v>
      </c>
      <c r="G4266" s="1" t="n"/>
    </row>
    <row r="4267">
      <c r="A4267" s="6" t="n">
        <v>445883</v>
      </c>
      <c r="B4267" s="6" t="inlineStr">
        <is>
          <t>BERINGER WHITE ZINFANDEL MOSCATO</t>
        </is>
      </c>
      <c r="C4267" s="7">
        <f>VLOOKUP(A4267,SizeData!A$2:B$3839,2,FALSE)</f>
        <v/>
      </c>
      <c r="D4267" s="6" t="n">
        <v>1</v>
      </c>
      <c r="E4267" s="6" t="inlineStr">
        <is>
          <t>R1137831</t>
        </is>
      </c>
      <c r="F4267" s="2" t="n">
        <v>44348</v>
      </c>
      <c r="G4267" s="1" t="n"/>
    </row>
    <row r="4268">
      <c r="A4268" s="6" t="n">
        <v>445883</v>
      </c>
      <c r="B4268" s="6" t="inlineStr">
        <is>
          <t>BERINGER WHITE ZINFANDEL MOSCATO</t>
        </is>
      </c>
      <c r="C4268" s="7">
        <f>VLOOKUP(A4268,SizeData!A$2:B$3839,2,FALSE)</f>
        <v/>
      </c>
      <c r="D4268" s="6" t="n">
        <v>2</v>
      </c>
      <c r="E4268" s="6" t="inlineStr">
        <is>
          <t>R1232932</t>
        </is>
      </c>
      <c r="F4268" s="2" t="n">
        <v>44446</v>
      </c>
      <c r="G4268" s="1" t="n"/>
    </row>
    <row r="4269">
      <c r="A4269" s="6" t="n">
        <v>445883</v>
      </c>
      <c r="B4269" s="6" t="inlineStr">
        <is>
          <t>BERINGER WHITE ZINFANDEL MOSCATO</t>
        </is>
      </c>
      <c r="C4269" s="7">
        <f>VLOOKUP(A4269,SizeData!A$2:B$3839,2,FALSE)</f>
        <v/>
      </c>
      <c r="D4269" s="6" t="n">
        <v>3</v>
      </c>
      <c r="E4269" s="6" t="inlineStr">
        <is>
          <t>R1256874</t>
        </is>
      </c>
      <c r="F4269" s="2" t="n">
        <v>44469</v>
      </c>
      <c r="G4269" s="1" t="n"/>
    </row>
    <row r="4270">
      <c r="A4270" s="6" t="n">
        <v>445883</v>
      </c>
      <c r="B4270" s="6" t="inlineStr">
        <is>
          <t>BERINGER WHITE ZINFANDEL MOSCATO</t>
        </is>
      </c>
      <c r="C4270" s="7">
        <f>VLOOKUP(A4270,SizeData!A$2:B$3839,2,FALSE)</f>
        <v/>
      </c>
      <c r="D4270" s="6" t="n">
        <v>0</v>
      </c>
      <c r="E4270" s="6" t="inlineStr">
        <is>
          <t>R1301983</t>
        </is>
      </c>
      <c r="F4270" s="2" t="n">
        <v>44501</v>
      </c>
      <c r="G4270" s="1" t="n"/>
    </row>
    <row r="4271">
      <c r="A4271" s="6" t="n">
        <v>445883</v>
      </c>
      <c r="B4271" s="6" t="inlineStr">
        <is>
          <t>BERINGER WHITE ZINFANDEL MOSCATO</t>
        </is>
      </c>
      <c r="C4271" s="7">
        <f>VLOOKUP(A4271,SizeData!A$2:B$3839,2,FALSE)</f>
        <v/>
      </c>
      <c r="D4271" s="6" t="n">
        <v>2</v>
      </c>
      <c r="E4271" s="6" t="inlineStr">
        <is>
          <t>R1318654</t>
        </is>
      </c>
      <c r="F4271" s="2" t="n">
        <v>44513</v>
      </c>
      <c r="G4271" s="1" t="n"/>
    </row>
    <row r="4272">
      <c r="A4272" s="6" t="n">
        <v>445897</v>
      </c>
      <c r="B4272" s="6" t="inlineStr">
        <is>
          <t>BONANZA LOT 1 CABERNET SAUVIGNON</t>
        </is>
      </c>
      <c r="C4272" s="7">
        <f>VLOOKUP(A4272,SizeData!A$2:B$3839,2,FALSE)</f>
        <v/>
      </c>
      <c r="D4272" s="6" t="n">
        <v>1</v>
      </c>
      <c r="E4272" s="6" t="inlineStr">
        <is>
          <t>R1013524</t>
        </is>
      </c>
      <c r="F4272" s="2" t="n">
        <v>44229</v>
      </c>
      <c r="G4272" s="1" t="n"/>
    </row>
    <row r="4273">
      <c r="A4273" s="6" t="n">
        <v>446150</v>
      </c>
      <c r="B4273" s="6" t="inlineStr">
        <is>
          <t>BULLY HILL SWEET WALTER RED</t>
        </is>
      </c>
      <c r="C4273" s="7">
        <f>VLOOKUP(A4273,SizeData!A$2:B$3839,2,FALSE)</f>
        <v/>
      </c>
      <c r="D4273" s="6" t="n">
        <v>15</v>
      </c>
      <c r="E4273" s="6" t="inlineStr">
        <is>
          <t>R1060029</t>
        </is>
      </c>
      <c r="F4273" s="2" t="n">
        <v>44252</v>
      </c>
      <c r="G4273" s="1" t="n"/>
    </row>
    <row r="4274">
      <c r="A4274" s="6" t="n">
        <v>446150</v>
      </c>
      <c r="B4274" s="6" t="inlineStr">
        <is>
          <t>BULLY HILL SWEET WALTER RED</t>
        </is>
      </c>
      <c r="C4274" s="7">
        <f>VLOOKUP(A4274,SizeData!A$2:B$3839,2,FALSE)</f>
        <v/>
      </c>
      <c r="D4274" s="6" t="n">
        <v>15</v>
      </c>
      <c r="E4274" s="6" t="inlineStr">
        <is>
          <t>R1093979</t>
        </is>
      </c>
      <c r="F4274" s="2" t="n">
        <v>44321</v>
      </c>
      <c r="G4274" s="1" t="n"/>
    </row>
    <row r="4275">
      <c r="A4275" s="6" t="n">
        <v>446151</v>
      </c>
      <c r="B4275" s="6" t="inlineStr">
        <is>
          <t>SWEET WALTER RED</t>
        </is>
      </c>
      <c r="C4275" s="7">
        <f>VLOOKUP(A4275,SizeData!A$2:B$3839,2,FALSE)</f>
        <v/>
      </c>
      <c r="D4275" s="6" t="n">
        <v>2</v>
      </c>
      <c r="E4275" s="6" t="inlineStr">
        <is>
          <t>R1060029</t>
        </is>
      </c>
      <c r="F4275" s="2" t="n">
        <v>44252</v>
      </c>
      <c r="G4275" s="1" t="n"/>
    </row>
    <row r="4276">
      <c r="A4276" s="6" t="n">
        <v>446151</v>
      </c>
      <c r="B4276" s="6" t="inlineStr">
        <is>
          <t>SWEET WALTER RED</t>
        </is>
      </c>
      <c r="C4276" s="7">
        <f>VLOOKUP(A4276,SizeData!A$2:B$3839,2,FALSE)</f>
        <v/>
      </c>
      <c r="D4276" s="6" t="n">
        <v>3</v>
      </c>
      <c r="E4276" s="6" t="inlineStr">
        <is>
          <t>R1130062</t>
        </is>
      </c>
      <c r="F4276" s="2" t="n">
        <v>44328</v>
      </c>
      <c r="G4276" s="1" t="n"/>
    </row>
    <row r="4277">
      <c r="A4277" s="6" t="n">
        <v>446151</v>
      </c>
      <c r="B4277" s="6" t="inlineStr">
        <is>
          <t>SWEET WALTER RED</t>
        </is>
      </c>
      <c r="C4277" s="7">
        <f>VLOOKUP(A4277,SizeData!A$2:B$3839,2,FALSE)</f>
        <v/>
      </c>
      <c r="D4277" s="6" t="n">
        <v>9</v>
      </c>
      <c r="E4277" s="6" t="inlineStr">
        <is>
          <t>R1136465</t>
        </is>
      </c>
      <c r="F4277" s="2" t="n">
        <v>44348</v>
      </c>
      <c r="G4277" s="1" t="n"/>
    </row>
    <row r="4278">
      <c r="A4278" s="6" t="n">
        <v>446151</v>
      </c>
      <c r="B4278" s="6" t="inlineStr">
        <is>
          <t>SWEET WALTER RED</t>
        </is>
      </c>
      <c r="C4278" s="7">
        <f>VLOOKUP(A4278,SizeData!A$2:B$3839,2,FALSE)</f>
        <v/>
      </c>
      <c r="D4278" s="6" t="n">
        <v>7</v>
      </c>
      <c r="E4278" s="6" t="inlineStr">
        <is>
          <t>R1241090</t>
        </is>
      </c>
      <c r="F4278" s="2" t="n">
        <v>44448</v>
      </c>
      <c r="G4278" s="1" t="n"/>
    </row>
    <row r="4279">
      <c r="A4279" s="6" t="n">
        <v>446151</v>
      </c>
      <c r="B4279" s="6" t="inlineStr">
        <is>
          <t>SWEET WALTER RED</t>
        </is>
      </c>
      <c r="C4279" s="7">
        <f>VLOOKUP(A4279,SizeData!A$2:B$3839,2,FALSE)</f>
        <v/>
      </c>
      <c r="D4279" s="6" t="n">
        <v>12</v>
      </c>
      <c r="E4279" s="6" t="inlineStr">
        <is>
          <t>R1356782A</t>
        </is>
      </c>
      <c r="F4279" s="2" t="n">
        <v>44552</v>
      </c>
      <c r="G4279" s="1" t="n"/>
    </row>
    <row r="4280">
      <c r="A4280" s="6" t="n">
        <v>451246</v>
      </c>
      <c r="B4280" s="6" t="inlineStr">
        <is>
          <t>CARLO ROSSI CABERNET SAUVIGNON</t>
        </is>
      </c>
      <c r="C4280" s="7">
        <f>VLOOKUP(A4280,SizeData!A$2:B$3839,2,FALSE)</f>
        <v/>
      </c>
      <c r="D4280" s="6" t="n">
        <v>1</v>
      </c>
      <c r="E4280" s="6" t="inlineStr">
        <is>
          <t>R1013524</t>
        </is>
      </c>
      <c r="F4280" s="2" t="n">
        <v>44229</v>
      </c>
      <c r="G4280" s="1" t="n"/>
    </row>
    <row r="4281">
      <c r="A4281" s="6" t="n">
        <v>451246</v>
      </c>
      <c r="B4281" s="6" t="inlineStr">
        <is>
          <t>CARLO ROSSI CABERNET SAUVIGNON</t>
        </is>
      </c>
      <c r="C4281" s="7">
        <f>VLOOKUP(A4281,SizeData!A$2:B$3839,2,FALSE)</f>
        <v/>
      </c>
      <c r="D4281" s="6" t="n">
        <v>1</v>
      </c>
      <c r="E4281" s="6" t="inlineStr">
        <is>
          <t>R1029260</t>
        </is>
      </c>
      <c r="F4281" s="2" t="n">
        <v>44240</v>
      </c>
      <c r="G4281" s="1" t="n"/>
    </row>
    <row r="4282">
      <c r="A4282" s="6" t="n">
        <v>451246</v>
      </c>
      <c r="B4282" s="6" t="inlineStr">
        <is>
          <t>CARLO ROSSI CABERNET SAUVIGNON</t>
        </is>
      </c>
      <c r="C4282" s="7">
        <f>VLOOKUP(A4282,SizeData!A$2:B$3839,2,FALSE)</f>
        <v/>
      </c>
      <c r="D4282" s="6" t="n">
        <v>1</v>
      </c>
      <c r="E4282" s="6" t="inlineStr">
        <is>
          <t>R1041173</t>
        </is>
      </c>
      <c r="F4282" s="2" t="n">
        <v>44257</v>
      </c>
      <c r="G4282" s="1" t="n"/>
    </row>
    <row r="4283">
      <c r="A4283" s="6" t="n">
        <v>451246</v>
      </c>
      <c r="B4283" s="6" t="inlineStr">
        <is>
          <t>CARLO ROSSI CABERNET SAUVIGNON</t>
        </is>
      </c>
      <c r="C4283" s="7">
        <f>VLOOKUP(A4283,SizeData!A$2:B$3839,2,FALSE)</f>
        <v/>
      </c>
      <c r="D4283" s="6" t="n">
        <v>1</v>
      </c>
      <c r="E4283" s="6" t="inlineStr">
        <is>
          <t>R1171117</t>
        </is>
      </c>
      <c r="F4283" s="2" t="n">
        <v>44382</v>
      </c>
      <c r="G4283" s="1" t="n"/>
    </row>
    <row r="4284">
      <c r="A4284" s="6" t="n">
        <v>451246</v>
      </c>
      <c r="B4284" s="6" t="inlineStr">
        <is>
          <t>CARLO ROSSI CABERNET SAUVIGNON</t>
        </is>
      </c>
      <c r="C4284" s="7">
        <f>VLOOKUP(A4284,SizeData!A$2:B$3839,2,FALSE)</f>
        <v/>
      </c>
      <c r="D4284" s="6" t="n">
        <v>1</v>
      </c>
      <c r="E4284" s="6" t="inlineStr">
        <is>
          <t>R1176234</t>
        </is>
      </c>
      <c r="F4284" s="2" t="n">
        <v>44386</v>
      </c>
      <c r="G4284" s="1" t="n"/>
    </row>
    <row r="4285">
      <c r="A4285" s="6" t="n">
        <v>451246</v>
      </c>
      <c r="B4285" s="6" t="inlineStr">
        <is>
          <t>CARLO ROSSI CABERNET SAUVIGNON</t>
        </is>
      </c>
      <c r="C4285" s="7">
        <f>VLOOKUP(A4285,SizeData!A$2:B$3839,2,FALSE)</f>
        <v/>
      </c>
      <c r="D4285" s="6" t="n">
        <v>0</v>
      </c>
      <c r="E4285" s="6" t="inlineStr">
        <is>
          <t>R1296060</t>
        </is>
      </c>
      <c r="F4285" s="2" t="n">
        <v>44491</v>
      </c>
      <c r="G4285" s="1" t="n"/>
    </row>
    <row r="4286">
      <c r="A4286" s="6" t="n">
        <v>451249</v>
      </c>
      <c r="B4286" s="6" t="inlineStr">
        <is>
          <t>CARLO ROSSI MERLOT</t>
        </is>
      </c>
      <c r="C4286" s="7">
        <f>VLOOKUP(A4286,SizeData!A$2:B$3839,2,FALSE)</f>
        <v/>
      </c>
      <c r="D4286" s="6" t="n">
        <v>1</v>
      </c>
      <c r="E4286" s="6" t="inlineStr">
        <is>
          <t>R1013727</t>
        </is>
      </c>
      <c r="F4286" s="2" t="n">
        <v>44229</v>
      </c>
      <c r="G4286" s="1" t="n"/>
    </row>
    <row r="4287">
      <c r="A4287" s="6" t="n">
        <v>451249</v>
      </c>
      <c r="B4287" s="6" t="inlineStr">
        <is>
          <t>CARLO ROSSI MERLOT</t>
        </is>
      </c>
      <c r="C4287" s="7">
        <f>VLOOKUP(A4287,SizeData!A$2:B$3839,2,FALSE)</f>
        <v/>
      </c>
      <c r="D4287" s="6" t="n">
        <v>1</v>
      </c>
      <c r="E4287" s="6" t="inlineStr">
        <is>
          <t>R1091684</t>
        </is>
      </c>
      <c r="F4287" s="2" t="n">
        <v>44305</v>
      </c>
      <c r="G4287" s="1" t="n"/>
    </row>
    <row r="4288">
      <c r="A4288" s="6" t="n">
        <v>451249</v>
      </c>
      <c r="B4288" s="6" t="inlineStr">
        <is>
          <t>CARLO ROSSI MERLOT</t>
        </is>
      </c>
      <c r="C4288" s="7">
        <f>VLOOKUP(A4288,SizeData!A$2:B$3839,2,FALSE)</f>
        <v/>
      </c>
      <c r="D4288" s="6" t="n">
        <v>1</v>
      </c>
      <c r="E4288" s="6" t="inlineStr">
        <is>
          <t xml:space="preserve"> R1151228</t>
        </is>
      </c>
      <c r="F4288" s="2" t="n">
        <v>44363</v>
      </c>
      <c r="G4288" s="1" t="n"/>
    </row>
    <row r="4289">
      <c r="A4289" s="6" t="n">
        <v>451754</v>
      </c>
      <c r="B4289" s="6" t="inlineStr">
        <is>
          <t>CARNIVOR CABERNET SAUVIGNON BOURBON BARREL AGED</t>
        </is>
      </c>
      <c r="C4289" s="7">
        <f>VLOOKUP(A4289,SizeData!A$2:B$3839,2,FALSE)</f>
        <v/>
      </c>
      <c r="D4289" s="6" t="n">
        <v>1</v>
      </c>
      <c r="E4289" s="6" t="inlineStr">
        <is>
          <t>R1085364</t>
        </is>
      </c>
      <c r="F4289" s="2" t="n">
        <v>44289</v>
      </c>
      <c r="G4289" s="1" t="n"/>
    </row>
    <row r="4290">
      <c r="A4290" s="6" t="n">
        <v>451754</v>
      </c>
      <c r="B4290" s="6" t="inlineStr">
        <is>
          <t>CARNIVOR CABERNET SAUVIGNON BOURBON BARREL AGED</t>
        </is>
      </c>
      <c r="C4290" s="7">
        <f>VLOOKUP(A4290,SizeData!A$2:B$3839,2,FALSE)</f>
        <v/>
      </c>
      <c r="D4290" s="6" t="n">
        <v>1</v>
      </c>
      <c r="E4290" s="6" t="inlineStr">
        <is>
          <t>R1137831</t>
        </is>
      </c>
      <c r="F4290" s="2" t="n">
        <v>44348</v>
      </c>
      <c r="G4290" s="1" t="n"/>
    </row>
    <row r="4291">
      <c r="A4291" s="6" t="n">
        <v>451754</v>
      </c>
      <c r="B4291" s="6" t="inlineStr">
        <is>
          <t>CARNIVOR CABERNET SAUVIGNON BOURBON BARREL AGED</t>
        </is>
      </c>
      <c r="C4291" s="7">
        <f>VLOOKUP(A4291,SizeData!A$2:B$3839,2,FALSE)</f>
        <v/>
      </c>
      <c r="D4291" s="6" t="n">
        <v>2</v>
      </c>
      <c r="E4291" s="6" t="inlineStr">
        <is>
          <t>R1214748</t>
        </is>
      </c>
      <c r="F4291" s="2" t="n">
        <v>44433</v>
      </c>
      <c r="G4291" s="1" t="n"/>
    </row>
    <row r="4292">
      <c r="A4292" s="6" t="n">
        <v>458530</v>
      </c>
      <c r="B4292" s="6" t="inlineStr">
        <is>
          <t>CONUNDRUM RED 25TH ANNIVERSARY</t>
        </is>
      </c>
      <c r="C4292" s="7">
        <f>VLOOKUP(A4292,SizeData!A$2:B$3839,2,FALSE)</f>
        <v/>
      </c>
      <c r="D4292" s="6" t="n">
        <v>1</v>
      </c>
      <c r="E4292" s="6" t="inlineStr">
        <is>
          <t>R991186</t>
        </is>
      </c>
      <c r="F4292" s="2" t="n">
        <v>44203</v>
      </c>
      <c r="G4292" s="1" t="n"/>
    </row>
    <row r="4293">
      <c r="A4293" s="6" t="n">
        <v>458530</v>
      </c>
      <c r="B4293" s="6" t="inlineStr">
        <is>
          <t>CONUNDRUM RED 25TH ANNIVERSARY</t>
        </is>
      </c>
      <c r="C4293" s="7">
        <f>VLOOKUP(A4293,SizeData!A$2:B$3839,2,FALSE)</f>
        <v/>
      </c>
      <c r="D4293" s="6" t="n">
        <v>1</v>
      </c>
      <c r="E4293" s="6" t="inlineStr">
        <is>
          <t>R1000047</t>
        </is>
      </c>
      <c r="F4293" s="2" t="n">
        <v>44207</v>
      </c>
      <c r="G4293" s="1" t="n"/>
    </row>
    <row r="4294">
      <c r="A4294" s="6" t="n">
        <v>458530</v>
      </c>
      <c r="B4294" s="6" t="inlineStr">
        <is>
          <t>CONUNDRUM RED 25TH ANNIVERSARY</t>
        </is>
      </c>
      <c r="C4294" s="7">
        <f>VLOOKUP(A4294,SizeData!A$2:B$3839,2,FALSE)</f>
        <v/>
      </c>
      <c r="D4294" s="6" t="n">
        <v>2</v>
      </c>
      <c r="E4294" s="6" t="inlineStr">
        <is>
          <t>R1007118</t>
        </is>
      </c>
      <c r="F4294" s="2" t="n">
        <v>44211</v>
      </c>
      <c r="G4294" s="1" t="n"/>
    </row>
    <row r="4295">
      <c r="A4295" s="6" t="n">
        <v>460938</v>
      </c>
      <c r="B4295" s="6" t="inlineStr">
        <is>
          <t>DUCKHORN DECOY CABERNET SAUVIGNON</t>
        </is>
      </c>
      <c r="C4295" s="7">
        <f>VLOOKUP(A4295,SizeData!A$2:B$3839,2,FALSE)</f>
        <v/>
      </c>
      <c r="D4295" s="6" t="n">
        <v>1</v>
      </c>
      <c r="E4295" s="6" t="inlineStr">
        <is>
          <t>R1156117</t>
        </is>
      </c>
      <c r="F4295" s="2" t="n">
        <v>44362</v>
      </c>
      <c r="G4295" s="1" t="n"/>
    </row>
    <row r="4296">
      <c r="A4296" s="6" t="n">
        <v>460938</v>
      </c>
      <c r="B4296" s="6" t="inlineStr">
        <is>
          <t>DUCKHORN DECOY CABERNET SAUVIGNON</t>
        </is>
      </c>
      <c r="C4296" s="7">
        <f>VLOOKUP(A4296,SizeData!A$2:B$3839,2,FALSE)</f>
        <v/>
      </c>
      <c r="D4296" s="6" t="n">
        <v>1</v>
      </c>
      <c r="E4296" s="6" t="inlineStr">
        <is>
          <t>R1275941</t>
        </is>
      </c>
      <c r="F4296" s="2" t="n">
        <v>44476</v>
      </c>
      <c r="G4296" s="1" t="n"/>
    </row>
    <row r="4297">
      <c r="A4297" s="6" t="n">
        <v>462522</v>
      </c>
      <c r="B4297" s="6" t="inlineStr">
        <is>
          <t>DUPLIN CAROLINA RED</t>
        </is>
      </c>
      <c r="C4297" s="7">
        <f>VLOOKUP(A4297,SizeData!A$2:B$3839,2,FALSE)</f>
        <v/>
      </c>
      <c r="D4297" s="6" t="n">
        <v>2</v>
      </c>
      <c r="E4297" s="6" t="inlineStr">
        <is>
          <t>R1007118</t>
        </is>
      </c>
      <c r="F4297" s="2" t="n">
        <v>44211</v>
      </c>
      <c r="G4297" s="1" t="n"/>
    </row>
    <row r="4298">
      <c r="A4298" s="6" t="n">
        <v>462522</v>
      </c>
      <c r="B4298" s="6" t="inlineStr">
        <is>
          <t>DUPLIN CAROLINA RED</t>
        </is>
      </c>
      <c r="C4298" s="7">
        <f>VLOOKUP(A4298,SizeData!A$2:B$3839,2,FALSE)</f>
        <v/>
      </c>
      <c r="D4298" s="6" t="n">
        <v>1</v>
      </c>
      <c r="E4298" s="6" t="inlineStr">
        <is>
          <t>R1061273</t>
        </is>
      </c>
      <c r="F4298" s="2" t="n">
        <v>44277</v>
      </c>
      <c r="G4298" s="1" t="n"/>
    </row>
    <row r="4299">
      <c r="A4299" s="6" t="n">
        <v>462522</v>
      </c>
      <c r="B4299" s="6" t="inlineStr">
        <is>
          <t>DUPLIN CAROLINA RED</t>
        </is>
      </c>
      <c r="C4299" s="7">
        <f>VLOOKUP(A4299,SizeData!A$2:B$3839,2,FALSE)</f>
        <v/>
      </c>
      <c r="D4299" s="6" t="n">
        <v>1</v>
      </c>
      <c r="E4299" s="6" t="inlineStr">
        <is>
          <t>R1109574</t>
        </is>
      </c>
      <c r="F4299" s="2" t="n">
        <v>44331</v>
      </c>
      <c r="G4299" s="1" t="n"/>
    </row>
    <row r="4300">
      <c r="A4300" s="6" t="n">
        <v>466271</v>
      </c>
      <c r="B4300" s="6" t="inlineStr">
        <is>
          <t>FLIP FLOP CABERNET SAUVIGNON</t>
        </is>
      </c>
      <c r="C4300" s="7">
        <f>VLOOKUP(A4300,SizeData!A$2:B$3839,2,FALSE)</f>
        <v/>
      </c>
      <c r="D4300" s="6" t="n">
        <v>2</v>
      </c>
      <c r="E4300" s="6" t="inlineStr">
        <is>
          <t>R1008340</t>
        </is>
      </c>
      <c r="F4300" s="2" t="n">
        <v>44222</v>
      </c>
      <c r="G4300" s="1" t="n"/>
    </row>
    <row r="4301">
      <c r="A4301" s="6" t="n">
        <v>467655</v>
      </c>
      <c r="B4301" s="6" t="inlineStr">
        <is>
          <t>FRANZIA VINTNER SELECT MERLOT</t>
        </is>
      </c>
      <c r="C4301" s="7">
        <f>VLOOKUP(A4301,SizeData!A$2:B$3839,2,FALSE)</f>
        <v/>
      </c>
      <c r="D4301" s="6" t="n">
        <v>1</v>
      </c>
      <c r="E4301" s="6" t="inlineStr">
        <is>
          <t>R1047061</t>
        </is>
      </c>
      <c r="F4301" s="2" t="n">
        <v>44259</v>
      </c>
      <c r="G4301" s="1" t="n"/>
    </row>
    <row r="4302">
      <c r="A4302" s="6" t="n">
        <v>467655</v>
      </c>
      <c r="B4302" s="6" t="inlineStr">
        <is>
          <t>FRANZIA VINTNER SELECT MERLOT</t>
        </is>
      </c>
      <c r="C4302" s="7">
        <f>VLOOKUP(A4302,SizeData!A$2:B$3839,2,FALSE)</f>
        <v/>
      </c>
      <c r="D4302" s="6" t="n">
        <v>1</v>
      </c>
      <c r="E4302" s="6" t="inlineStr">
        <is>
          <t>R1085364</t>
        </is>
      </c>
      <c r="F4302" s="2" t="n">
        <v>44289</v>
      </c>
      <c r="G4302" s="1" t="n"/>
    </row>
    <row r="4303">
      <c r="A4303" s="6" t="n">
        <v>467655</v>
      </c>
      <c r="B4303" s="6" t="inlineStr">
        <is>
          <t>FRANZIA VINTNER SELECT MERLOT</t>
        </is>
      </c>
      <c r="C4303" s="7">
        <f>VLOOKUP(A4303,SizeData!A$2:B$3839,2,FALSE)</f>
        <v/>
      </c>
      <c r="D4303" s="6" t="n">
        <v>1</v>
      </c>
      <c r="E4303" s="6" t="inlineStr">
        <is>
          <t>R1096915</t>
        </is>
      </c>
      <c r="F4303" s="2" t="n">
        <v>44303</v>
      </c>
      <c r="G4303" s="1" t="n"/>
    </row>
    <row r="4304">
      <c r="A4304" s="6" t="n">
        <v>467655</v>
      </c>
      <c r="B4304" s="6" t="inlineStr">
        <is>
          <t>FRANZIA VINTNER SELECT MERLOT</t>
        </is>
      </c>
      <c r="C4304" s="7">
        <f>VLOOKUP(A4304,SizeData!A$2:B$3839,2,FALSE)</f>
        <v/>
      </c>
      <c r="D4304" s="6" t="n">
        <v>1</v>
      </c>
      <c r="E4304" s="6" t="inlineStr">
        <is>
          <t>R1094763</t>
        </is>
      </c>
      <c r="F4304" s="2" t="n">
        <v>44312</v>
      </c>
      <c r="G4304" s="1" t="n"/>
    </row>
    <row r="4305">
      <c r="A4305" s="6" t="n">
        <v>467655</v>
      </c>
      <c r="B4305" s="6" t="inlineStr">
        <is>
          <t>FRANZIA VINTNER SELECT MERLOT</t>
        </is>
      </c>
      <c r="C4305" s="7">
        <f>VLOOKUP(A4305,SizeData!A$2:B$3839,2,FALSE)</f>
        <v/>
      </c>
      <c r="D4305" s="6" t="n">
        <v>1</v>
      </c>
      <c r="E4305" s="6" t="inlineStr">
        <is>
          <t>R1139712</t>
        </is>
      </c>
      <c r="F4305" s="2" t="n">
        <v>44352</v>
      </c>
      <c r="G4305" s="1" t="n"/>
    </row>
    <row r="4306">
      <c r="A4306" s="6" t="n">
        <v>467655</v>
      </c>
      <c r="B4306" s="6" t="inlineStr">
        <is>
          <t>FRANZIA VINTNER SELECT MERLOT</t>
        </is>
      </c>
      <c r="C4306" s="7">
        <f>VLOOKUP(A4306,SizeData!A$2:B$3839,2,FALSE)</f>
        <v/>
      </c>
      <c r="D4306" s="6" t="n">
        <v>1</v>
      </c>
      <c r="E4306" s="6" t="inlineStr">
        <is>
          <t xml:space="preserve"> R1151228</t>
        </is>
      </c>
      <c r="F4306" s="2" t="n">
        <v>44363</v>
      </c>
      <c r="G4306" s="1" t="n"/>
    </row>
    <row r="4307">
      <c r="A4307" s="6" t="n">
        <v>467655</v>
      </c>
      <c r="B4307" s="6" t="inlineStr">
        <is>
          <t>FRANZIA VINTNER SELECT MERLOT</t>
        </is>
      </c>
      <c r="C4307" s="7">
        <f>VLOOKUP(A4307,SizeData!A$2:B$3839,2,FALSE)</f>
        <v/>
      </c>
      <c r="D4307" s="6" t="n">
        <v>1</v>
      </c>
      <c r="E4307" s="6" t="inlineStr">
        <is>
          <t xml:space="preserve"> R1188252</t>
        </is>
      </c>
      <c r="F4307" s="2" t="n">
        <v>44406</v>
      </c>
      <c r="G4307" s="1" t="n"/>
    </row>
    <row r="4308">
      <c r="A4308" s="6" t="n">
        <v>467655</v>
      </c>
      <c r="B4308" s="6" t="inlineStr">
        <is>
          <t>FRANZIA VINTNER SELECT MERLOT</t>
        </is>
      </c>
      <c r="C4308" s="7">
        <f>VLOOKUP(A4308,SizeData!A$2:B$3839,2,FALSE)</f>
        <v/>
      </c>
      <c r="D4308" s="6" t="n">
        <v>1</v>
      </c>
      <c r="E4308" s="6" t="inlineStr">
        <is>
          <t>R1231673</t>
        </is>
      </c>
      <c r="F4308" s="2" t="n">
        <v>44443</v>
      </c>
      <c r="G4308" s="1" t="n"/>
    </row>
    <row r="4309">
      <c r="A4309" s="6" t="n">
        <v>467655</v>
      </c>
      <c r="B4309" s="6" t="inlineStr">
        <is>
          <t>FRANZIA VINTNER SELECT MERLOT</t>
        </is>
      </c>
      <c r="C4309" s="7">
        <f>VLOOKUP(A4309,SizeData!A$2:B$3839,2,FALSE)</f>
        <v/>
      </c>
      <c r="D4309" s="6" t="n">
        <v>1</v>
      </c>
      <c r="E4309" s="6" t="inlineStr">
        <is>
          <t>R1246630</t>
        </is>
      </c>
      <c r="F4309" s="2" t="n">
        <v>44450</v>
      </c>
      <c r="G4309" s="1" t="n"/>
    </row>
    <row r="4310">
      <c r="A4310" s="6" t="n">
        <v>467655</v>
      </c>
      <c r="B4310" s="6" t="inlineStr">
        <is>
          <t>FRANZIA VINTNER SELECT MERLOT</t>
        </is>
      </c>
      <c r="C4310" s="7">
        <f>VLOOKUP(A4310,SizeData!A$2:B$3839,2,FALSE)</f>
        <v/>
      </c>
      <c r="D4310" s="6" t="n">
        <v>1</v>
      </c>
      <c r="E4310" s="6" t="inlineStr">
        <is>
          <t>R1267576</t>
        </is>
      </c>
      <c r="F4310" s="2" t="n">
        <v>44476</v>
      </c>
      <c r="G4310" s="1" t="n"/>
    </row>
    <row r="4311">
      <c r="A4311" s="6" t="n">
        <v>467655</v>
      </c>
      <c r="B4311" s="6" t="inlineStr">
        <is>
          <t>FRANZIA VINTNER SELECT MERLOT</t>
        </is>
      </c>
      <c r="C4311" s="7">
        <f>VLOOKUP(A4311,SizeData!A$2:B$3839,2,FALSE)</f>
        <v/>
      </c>
      <c r="D4311" s="6" t="n">
        <v>1</v>
      </c>
      <c r="E4311" s="6" t="inlineStr">
        <is>
          <t>R1274548</t>
        </is>
      </c>
      <c r="F4311" s="2" t="n">
        <v>44485</v>
      </c>
      <c r="G4311" s="1" t="n"/>
    </row>
    <row r="4312">
      <c r="A4312" s="6" t="n">
        <v>467655</v>
      </c>
      <c r="B4312" s="6" t="inlineStr">
        <is>
          <t>FRANZIA VINTNER SELECT MERLOT</t>
        </is>
      </c>
      <c r="C4312" s="7">
        <f>VLOOKUP(A4312,SizeData!A$2:B$3839,2,FALSE)</f>
        <v/>
      </c>
      <c r="D4312" s="6" t="n">
        <v>1</v>
      </c>
      <c r="E4312" s="6" t="inlineStr">
        <is>
          <t>R1320744</t>
        </is>
      </c>
      <c r="F4312" s="2" t="n">
        <v>44509</v>
      </c>
      <c r="G4312" s="1" t="n"/>
    </row>
    <row r="4313">
      <c r="A4313" s="6" t="n">
        <v>467655</v>
      </c>
      <c r="B4313" s="6" t="inlineStr">
        <is>
          <t>FRANZIA VINTNER SELECT MERLOT</t>
        </is>
      </c>
      <c r="C4313" s="7">
        <f>VLOOKUP(A4313,SizeData!A$2:B$3839,2,FALSE)</f>
        <v/>
      </c>
      <c r="D4313" s="6" t="n">
        <v>1</v>
      </c>
      <c r="E4313" s="6" t="inlineStr">
        <is>
          <t>R1340613</t>
        </is>
      </c>
      <c r="F4313" s="2" t="n">
        <v>44520</v>
      </c>
      <c r="G4313" s="1" t="n"/>
    </row>
    <row r="4314">
      <c r="A4314" s="6" t="n">
        <v>467655</v>
      </c>
      <c r="B4314" s="6" t="inlineStr">
        <is>
          <t>FRANZIA VINTNER SELECT MERLOT</t>
        </is>
      </c>
      <c r="C4314" s="7">
        <f>VLOOKUP(A4314,SizeData!A$2:B$3839,2,FALSE)</f>
        <v/>
      </c>
      <c r="D4314" s="6" t="n">
        <v>2</v>
      </c>
      <c r="E4314" s="6" t="inlineStr">
        <is>
          <t>R1329660</t>
        </is>
      </c>
      <c r="F4314" s="2" t="n">
        <v>44525</v>
      </c>
      <c r="G4314" s="1" t="n"/>
    </row>
    <row r="4315">
      <c r="A4315" s="6" t="n">
        <v>467800</v>
      </c>
      <c r="B4315" s="6" t="inlineStr">
        <is>
          <t>FRANZIA HOUSE WINE FAV CHILLABLE RED</t>
        </is>
      </c>
      <c r="C4315" s="7">
        <f>VLOOKUP(A4315,SizeData!A$2:B$3839,2,FALSE)</f>
        <v/>
      </c>
      <c r="D4315" s="6" t="n">
        <v>2</v>
      </c>
      <c r="E4315" s="6" t="inlineStr">
        <is>
          <t>R996697</t>
        </is>
      </c>
      <c r="F4315" s="2" t="n">
        <v>44221</v>
      </c>
      <c r="G4315" s="1" t="n"/>
    </row>
    <row r="4316">
      <c r="A4316" s="6" t="n">
        <v>467800</v>
      </c>
      <c r="B4316" s="6" t="inlineStr">
        <is>
          <t>FRANZIA HOUSE WINE FAV CHILLABLE RED</t>
        </is>
      </c>
      <c r="C4316" s="7">
        <f>VLOOKUP(A4316,SizeData!A$2:B$3839,2,FALSE)</f>
        <v/>
      </c>
      <c r="D4316" s="6" t="n">
        <v>2</v>
      </c>
      <c r="E4316" s="6" t="inlineStr">
        <is>
          <t>R1018402</t>
        </is>
      </c>
      <c r="F4316" s="2" t="n">
        <v>44229</v>
      </c>
      <c r="G4316" s="1" t="n"/>
    </row>
    <row r="4317">
      <c r="A4317" s="6" t="n">
        <v>467800</v>
      </c>
      <c r="B4317" s="6" t="inlineStr">
        <is>
          <t>FRANZIA HOUSE WINE FAV CHILLABLE RED</t>
        </is>
      </c>
      <c r="C4317" s="7">
        <f>VLOOKUP(A4317,SizeData!A$2:B$3839,2,FALSE)</f>
        <v/>
      </c>
      <c r="D4317" s="6" t="n">
        <v>3</v>
      </c>
      <c r="E4317" s="6" t="inlineStr">
        <is>
          <t>R1046414</t>
        </is>
      </c>
      <c r="F4317" s="2" t="n">
        <v>44254</v>
      </c>
      <c r="G4317" s="1" t="n"/>
    </row>
    <row r="4318">
      <c r="A4318" s="6" t="n">
        <v>467800</v>
      </c>
      <c r="B4318" s="6" t="inlineStr">
        <is>
          <t>FRANZIA HOUSE WINE FAV CHILLABLE RED</t>
        </is>
      </c>
      <c r="C4318" s="7">
        <f>VLOOKUP(A4318,SizeData!A$2:B$3839,2,FALSE)</f>
        <v/>
      </c>
      <c r="D4318" s="6" t="n">
        <v>1</v>
      </c>
      <c r="E4318" s="6" t="inlineStr">
        <is>
          <t>R1050757</t>
        </is>
      </c>
      <c r="F4318" s="2" t="n">
        <v>44258</v>
      </c>
      <c r="G4318" s="1" t="n"/>
    </row>
    <row r="4319">
      <c r="A4319" s="6" t="n">
        <v>467800</v>
      </c>
      <c r="B4319" s="6" t="inlineStr">
        <is>
          <t>FRANZIA HOUSE WINE FAV CHILLABLE RED</t>
        </is>
      </c>
      <c r="C4319" s="7">
        <f>VLOOKUP(A4319,SizeData!A$2:B$3839,2,FALSE)</f>
        <v/>
      </c>
      <c r="D4319" s="6" t="n">
        <v>2</v>
      </c>
      <c r="E4319" s="6" t="inlineStr">
        <is>
          <t>R1070281</t>
        </is>
      </c>
      <c r="F4319" s="2" t="n">
        <v>44275</v>
      </c>
      <c r="G4319" s="1" t="n"/>
    </row>
    <row r="4320">
      <c r="A4320" s="6" t="n">
        <v>467800</v>
      </c>
      <c r="B4320" s="6" t="inlineStr">
        <is>
          <t>FRANZIA HOUSE WINE FAV CHILLABLE RED</t>
        </is>
      </c>
      <c r="C4320" s="7">
        <f>VLOOKUP(A4320,SizeData!A$2:B$3839,2,FALSE)</f>
        <v/>
      </c>
      <c r="D4320" s="6" t="n">
        <v>1</v>
      </c>
      <c r="E4320" s="6" t="inlineStr">
        <is>
          <t>R1085364</t>
        </is>
      </c>
      <c r="F4320" s="2" t="n">
        <v>44289</v>
      </c>
      <c r="G4320" s="1" t="n"/>
    </row>
    <row r="4321">
      <c r="A4321" s="6" t="n">
        <v>467800</v>
      </c>
      <c r="B4321" s="6" t="inlineStr">
        <is>
          <t>FRANZIA HOUSE WINE FAV CHILLABLE RED</t>
        </is>
      </c>
      <c r="C4321" s="7">
        <f>VLOOKUP(A4321,SizeData!A$2:B$3839,2,FALSE)</f>
        <v/>
      </c>
      <c r="D4321" s="6" t="n">
        <v>1</v>
      </c>
      <c r="E4321" s="6" t="inlineStr">
        <is>
          <t>R1096915</t>
        </is>
      </c>
      <c r="F4321" s="2" t="n">
        <v>44303</v>
      </c>
      <c r="G4321" s="1" t="n"/>
    </row>
    <row r="4322">
      <c r="A4322" s="6" t="n">
        <v>467800</v>
      </c>
      <c r="B4322" s="6" t="inlineStr">
        <is>
          <t>FRANZIA HOUSE WINE FAV CHILLABLE RED</t>
        </is>
      </c>
      <c r="C4322" s="7">
        <f>VLOOKUP(A4322,SizeData!A$2:B$3839,2,FALSE)</f>
        <v/>
      </c>
      <c r="D4322" s="6" t="n">
        <v>2</v>
      </c>
      <c r="E4322" s="6" t="inlineStr">
        <is>
          <t>R1110509</t>
        </is>
      </c>
      <c r="F4322" s="2" t="n">
        <v>44306</v>
      </c>
      <c r="G4322" s="1" t="n"/>
    </row>
    <row r="4323">
      <c r="A4323" s="6" t="n">
        <v>467800</v>
      </c>
      <c r="B4323" s="6" t="inlineStr">
        <is>
          <t>FRANZIA HOUSE WINE FAV CHILLABLE RED</t>
        </is>
      </c>
      <c r="C4323" s="7">
        <f>VLOOKUP(A4323,SizeData!A$2:B$3839,2,FALSE)</f>
        <v/>
      </c>
      <c r="D4323" s="6" t="n">
        <v>1</v>
      </c>
      <c r="E4323" s="6" t="inlineStr">
        <is>
          <t>R1115090</t>
        </is>
      </c>
      <c r="F4323" s="2" t="n">
        <v>44315</v>
      </c>
      <c r="G4323" s="1" t="n"/>
    </row>
    <row r="4324">
      <c r="A4324" s="6" t="n">
        <v>467800</v>
      </c>
      <c r="B4324" s="6" t="inlineStr">
        <is>
          <t>FRANZIA HOUSE WINE FAV CHILLABLE RED</t>
        </is>
      </c>
      <c r="C4324" s="7">
        <f>VLOOKUP(A4324,SizeData!A$2:B$3839,2,FALSE)</f>
        <v/>
      </c>
      <c r="D4324" s="6" t="n">
        <v>2</v>
      </c>
      <c r="E4324" s="6" t="inlineStr">
        <is>
          <t>R1115877</t>
        </is>
      </c>
      <c r="F4324" s="2" t="n">
        <v>44329</v>
      </c>
      <c r="G4324" s="1" t="n"/>
    </row>
    <row r="4325">
      <c r="A4325" s="6" t="n">
        <v>467800</v>
      </c>
      <c r="B4325" s="6" t="inlineStr">
        <is>
          <t>FRANZIA HOUSE WINE FAV CHILLABLE RED</t>
        </is>
      </c>
      <c r="C4325" s="7">
        <f>VLOOKUP(A4325,SizeData!A$2:B$3839,2,FALSE)</f>
        <v/>
      </c>
      <c r="D4325" s="6" t="n">
        <v>2</v>
      </c>
      <c r="E4325" s="6" t="inlineStr">
        <is>
          <t>R1114354</t>
        </is>
      </c>
      <c r="F4325" s="2" t="n">
        <v>44334</v>
      </c>
      <c r="G4325" s="1" t="n"/>
    </row>
    <row r="4326">
      <c r="A4326" s="6" t="n">
        <v>467800</v>
      </c>
      <c r="B4326" s="6" t="inlineStr">
        <is>
          <t>FRANZIA HOUSE WINE FAV CHILLABLE RED</t>
        </is>
      </c>
      <c r="C4326" s="7">
        <f>VLOOKUP(A4326,SizeData!A$2:B$3839,2,FALSE)</f>
        <v/>
      </c>
      <c r="D4326" s="6" t="n">
        <v>2</v>
      </c>
      <c r="E4326" s="6" t="inlineStr">
        <is>
          <t>R1131905</t>
        </is>
      </c>
      <c r="F4326" s="2" t="n">
        <v>44340</v>
      </c>
      <c r="G4326" s="1" t="n"/>
    </row>
    <row r="4327">
      <c r="A4327" s="6" t="n">
        <v>467800</v>
      </c>
      <c r="B4327" s="6" t="inlineStr">
        <is>
          <t>FRANZIA HOUSE WINE FAV CHILLABLE RED</t>
        </is>
      </c>
      <c r="C4327" s="7">
        <f>VLOOKUP(A4327,SizeData!A$2:B$3839,2,FALSE)</f>
        <v/>
      </c>
      <c r="D4327" s="6" t="n">
        <v>2</v>
      </c>
      <c r="E4327" s="6" t="inlineStr">
        <is>
          <t>R1139038</t>
        </is>
      </c>
      <c r="F4327" s="2" t="n">
        <v>44352</v>
      </c>
      <c r="G4327" s="1" t="n"/>
    </row>
    <row r="4328">
      <c r="A4328" s="6" t="n">
        <v>467800</v>
      </c>
      <c r="B4328" s="6" t="inlineStr">
        <is>
          <t>FRANZIA HOUSE WINE FAV CHILLABLE RED</t>
        </is>
      </c>
      <c r="C4328" s="7">
        <f>VLOOKUP(A4328,SizeData!A$2:B$3839,2,FALSE)</f>
        <v/>
      </c>
      <c r="D4328" s="6" t="n">
        <v>1</v>
      </c>
      <c r="E4328" s="6" t="inlineStr">
        <is>
          <t>R1148206</t>
        </is>
      </c>
      <c r="F4328" s="2" t="n">
        <v>44359</v>
      </c>
      <c r="G4328" s="1" t="n"/>
    </row>
    <row r="4329">
      <c r="A4329" s="6" t="n">
        <v>467800</v>
      </c>
      <c r="B4329" s="6" t="inlineStr">
        <is>
          <t>FRANZIA HOUSE WINE FAV CHILLABLE RED</t>
        </is>
      </c>
      <c r="C4329" s="7">
        <f>VLOOKUP(A4329,SizeData!A$2:B$3839,2,FALSE)</f>
        <v/>
      </c>
      <c r="D4329" s="6" t="n">
        <v>2</v>
      </c>
      <c r="E4329" s="6" t="inlineStr">
        <is>
          <t>R1165810</t>
        </is>
      </c>
      <c r="F4329" s="2" t="n">
        <v>44361</v>
      </c>
      <c r="G4329" s="1" t="n"/>
    </row>
    <row r="4330">
      <c r="A4330" s="6" t="n">
        <v>467800</v>
      </c>
      <c r="B4330" s="6" t="inlineStr">
        <is>
          <t>FRANZIA HOUSE WINE FAV CHILLABLE RED</t>
        </is>
      </c>
      <c r="C4330" s="7">
        <f>VLOOKUP(A4330,SizeData!A$2:B$3839,2,FALSE)</f>
        <v/>
      </c>
      <c r="D4330" s="6" t="n">
        <v>2</v>
      </c>
      <c r="E4330" s="6" t="inlineStr">
        <is>
          <t xml:space="preserve"> R1163539</t>
        </is>
      </c>
      <c r="F4330" s="2" t="n">
        <v>44378</v>
      </c>
      <c r="G4330" s="1" t="n"/>
    </row>
    <row r="4331">
      <c r="A4331" s="6" t="n">
        <v>467800</v>
      </c>
      <c r="B4331" s="6" t="inlineStr">
        <is>
          <t>FRANZIA HOUSE WINE FAV CHILLABLE RED</t>
        </is>
      </c>
      <c r="C4331" s="7">
        <f>VLOOKUP(A4331,SizeData!A$2:B$3839,2,FALSE)</f>
        <v/>
      </c>
      <c r="D4331" s="6" t="n">
        <v>2</v>
      </c>
      <c r="E4331" s="6" t="inlineStr">
        <is>
          <t>R1172048</t>
        </is>
      </c>
      <c r="F4331" s="2" t="n">
        <v>44387</v>
      </c>
      <c r="G4331" s="1" t="n"/>
    </row>
    <row r="4332">
      <c r="A4332" s="6" t="n">
        <v>467800</v>
      </c>
      <c r="B4332" s="6" t="inlineStr">
        <is>
          <t>FRANZIA HOUSE WINE FAV CHILLABLE RED</t>
        </is>
      </c>
      <c r="C4332" s="7">
        <f>VLOOKUP(A4332,SizeData!A$2:B$3839,2,FALSE)</f>
        <v/>
      </c>
      <c r="D4332" s="6" t="n">
        <v>4</v>
      </c>
      <c r="E4332" s="6" t="inlineStr">
        <is>
          <t>R1173248</t>
        </is>
      </c>
      <c r="F4332" s="2" t="n">
        <v>44393</v>
      </c>
      <c r="G4332" s="1" t="n"/>
    </row>
    <row r="4333">
      <c r="A4333" s="6" t="n">
        <v>467800</v>
      </c>
      <c r="B4333" s="6" t="inlineStr">
        <is>
          <t>FRANZIA HOUSE WINE FAV CHILLABLE RED</t>
        </is>
      </c>
      <c r="C4333" s="7">
        <f>VLOOKUP(A4333,SizeData!A$2:B$3839,2,FALSE)</f>
        <v/>
      </c>
      <c r="D4333" s="6" t="n">
        <v>1</v>
      </c>
      <c r="E4333" s="6" t="inlineStr">
        <is>
          <t>R1192528</t>
        </is>
      </c>
      <c r="F4333" s="2" t="n">
        <v>44404</v>
      </c>
      <c r="G4333" s="1" t="n"/>
    </row>
    <row r="4334">
      <c r="A4334" s="6" t="n">
        <v>467800</v>
      </c>
      <c r="B4334" s="6" t="inlineStr">
        <is>
          <t>FRANZIA HOUSE WINE FAV CHILLABLE RED</t>
        </is>
      </c>
      <c r="C4334" s="7">
        <f>VLOOKUP(A4334,SizeData!A$2:B$3839,2,FALSE)</f>
        <v/>
      </c>
      <c r="D4334" s="6" t="n">
        <v>2</v>
      </c>
      <c r="E4334" s="6" t="inlineStr">
        <is>
          <t>R1200565</t>
        </is>
      </c>
      <c r="F4334" s="2" t="n">
        <v>44411</v>
      </c>
      <c r="G4334" s="1" t="n"/>
    </row>
    <row r="4335">
      <c r="A4335" s="6" t="n">
        <v>467800</v>
      </c>
      <c r="B4335" s="6" t="inlineStr">
        <is>
          <t>FRANZIA HOUSE WINE FAV CHILLABLE RED</t>
        </is>
      </c>
      <c r="C4335" s="7">
        <f>VLOOKUP(A4335,SizeData!A$2:B$3839,2,FALSE)</f>
        <v/>
      </c>
      <c r="D4335" s="6" t="n">
        <v>2</v>
      </c>
      <c r="E4335" s="6" t="inlineStr">
        <is>
          <t>R1206028</t>
        </is>
      </c>
      <c r="F4335" s="2" t="n">
        <v>44417</v>
      </c>
      <c r="G4335" s="1" t="n"/>
    </row>
    <row r="4336">
      <c r="A4336" s="6" t="n">
        <v>467800</v>
      </c>
      <c r="B4336" s="6" t="inlineStr">
        <is>
          <t>FRANZIA HOUSE WINE FAV CHILLABLE RED</t>
        </is>
      </c>
      <c r="C4336" s="7">
        <f>VLOOKUP(A4336,SizeData!A$2:B$3839,2,FALSE)</f>
        <v/>
      </c>
      <c r="D4336" s="6" t="n">
        <v>1</v>
      </c>
      <c r="E4336" s="6" t="inlineStr">
        <is>
          <t>R1206438</t>
        </is>
      </c>
      <c r="F4336" s="2" t="n">
        <v>44417</v>
      </c>
      <c r="G4336" s="1" t="n"/>
    </row>
    <row r="4337">
      <c r="A4337" s="6" t="n">
        <v>467800</v>
      </c>
      <c r="B4337" s="6" t="inlineStr">
        <is>
          <t>FRANZIA HOUSE WINE FAV CHILLABLE RED</t>
        </is>
      </c>
      <c r="C4337" s="7">
        <f>VLOOKUP(A4337,SizeData!A$2:B$3839,2,FALSE)</f>
        <v/>
      </c>
      <c r="D4337" s="6" t="n">
        <v>1</v>
      </c>
      <c r="E4337" s="6" t="inlineStr">
        <is>
          <t>R1231673</t>
        </is>
      </c>
      <c r="F4337" s="2" t="n">
        <v>44443</v>
      </c>
      <c r="G4337" s="1" t="n"/>
    </row>
    <row r="4338">
      <c r="A4338" s="6" t="n">
        <v>467800</v>
      </c>
      <c r="B4338" s="6" t="inlineStr">
        <is>
          <t>FRANZIA HOUSE WINE FAV CHILLABLE RED</t>
        </is>
      </c>
      <c r="C4338" s="7">
        <f>VLOOKUP(A4338,SizeData!A$2:B$3839,2,FALSE)</f>
        <v/>
      </c>
      <c r="D4338" s="6" t="n">
        <v>2</v>
      </c>
      <c r="E4338" s="6" t="inlineStr">
        <is>
          <t>R1233531</t>
        </is>
      </c>
      <c r="F4338" s="2" t="n">
        <v>44450</v>
      </c>
      <c r="G4338" s="1" t="n"/>
    </row>
    <row r="4339">
      <c r="A4339" s="6" t="n">
        <v>467800</v>
      </c>
      <c r="B4339" s="6" t="inlineStr">
        <is>
          <t>FRANZIA HOUSE WINE FAV CHILLABLE RED</t>
        </is>
      </c>
      <c r="C4339" s="7">
        <f>VLOOKUP(A4339,SizeData!A$2:B$3839,2,FALSE)</f>
        <v/>
      </c>
      <c r="D4339" s="6" t="n">
        <v>1</v>
      </c>
      <c r="E4339" s="6" t="inlineStr">
        <is>
          <t>R1246630</t>
        </is>
      </c>
      <c r="F4339" s="2" t="n">
        <v>44450</v>
      </c>
      <c r="G4339" s="1" t="n"/>
    </row>
    <row r="4340">
      <c r="A4340" s="6" t="n">
        <v>467800</v>
      </c>
      <c r="B4340" s="6" t="inlineStr">
        <is>
          <t>FRANZIA HOUSE WINE FAV CHILLABLE RED</t>
        </is>
      </c>
      <c r="C4340" s="7">
        <f>VLOOKUP(A4340,SizeData!A$2:B$3839,2,FALSE)</f>
        <v/>
      </c>
      <c r="D4340" s="6" t="n">
        <v>1</v>
      </c>
      <c r="E4340" s="6" t="inlineStr">
        <is>
          <t xml:space="preserve"> R1264833</t>
        </is>
      </c>
      <c r="F4340" s="2" t="n">
        <v>44471</v>
      </c>
      <c r="G4340" s="1" t="n"/>
    </row>
    <row r="4341">
      <c r="A4341" s="6" t="n">
        <v>467800</v>
      </c>
      <c r="B4341" s="6" t="inlineStr">
        <is>
          <t>FRANZIA HOUSE WINE FAV CHILLABLE RED</t>
        </is>
      </c>
      <c r="C4341" s="7">
        <f>VLOOKUP(A4341,SizeData!A$2:B$3839,2,FALSE)</f>
        <v/>
      </c>
      <c r="D4341" s="6" t="n">
        <v>3</v>
      </c>
      <c r="E4341" s="6" t="inlineStr">
        <is>
          <t>R1267576</t>
        </is>
      </c>
      <c r="F4341" s="2" t="n">
        <v>44476</v>
      </c>
      <c r="G4341" s="1" t="n"/>
    </row>
    <row r="4342">
      <c r="A4342" s="6" t="n">
        <v>467800</v>
      </c>
      <c r="B4342" s="6" t="inlineStr">
        <is>
          <t>FRANZIA HOUSE WINE FAV CHILLABLE RED</t>
        </is>
      </c>
      <c r="C4342" s="7">
        <f>VLOOKUP(A4342,SizeData!A$2:B$3839,2,FALSE)</f>
        <v/>
      </c>
      <c r="D4342" s="6" t="n">
        <v>2</v>
      </c>
      <c r="E4342" s="6" t="inlineStr">
        <is>
          <t>R1274548</t>
        </is>
      </c>
      <c r="F4342" s="2" t="n">
        <v>44485</v>
      </c>
      <c r="G4342" s="1" t="n"/>
    </row>
    <row r="4343">
      <c r="A4343" s="6" t="n">
        <v>467800</v>
      </c>
      <c r="B4343" s="6" t="inlineStr">
        <is>
          <t>FRANZIA HOUSE WINE FAV CHILLABLE RED</t>
        </is>
      </c>
      <c r="C4343" s="7">
        <f>VLOOKUP(A4343,SizeData!A$2:B$3839,2,FALSE)</f>
        <v/>
      </c>
      <c r="D4343" s="6" t="n">
        <v>3</v>
      </c>
      <c r="E4343" s="6" t="inlineStr">
        <is>
          <t>R1306609</t>
        </is>
      </c>
      <c r="F4343" s="2" t="n">
        <v>44495</v>
      </c>
      <c r="G4343" s="1" t="n"/>
    </row>
    <row r="4344">
      <c r="A4344" s="6" t="n">
        <v>467800</v>
      </c>
      <c r="B4344" s="6" t="inlineStr">
        <is>
          <t>FRANZIA HOUSE WINE FAV CHILLABLE RED</t>
        </is>
      </c>
      <c r="C4344" s="7">
        <f>VLOOKUP(A4344,SizeData!A$2:B$3839,2,FALSE)</f>
        <v/>
      </c>
      <c r="D4344" s="6" t="n">
        <v>4</v>
      </c>
      <c r="E4344" s="6" t="inlineStr">
        <is>
          <t>R1304788</t>
        </is>
      </c>
      <c r="F4344" s="2" t="n">
        <v>44506</v>
      </c>
      <c r="G4344" s="1" t="n"/>
    </row>
    <row r="4345">
      <c r="A4345" s="6" t="n">
        <v>467800</v>
      </c>
      <c r="B4345" s="6" t="inlineStr">
        <is>
          <t>FRANZIA HOUSE WINE FAV CHILLABLE RED</t>
        </is>
      </c>
      <c r="C4345" s="7">
        <f>VLOOKUP(A4345,SizeData!A$2:B$3839,2,FALSE)</f>
        <v/>
      </c>
      <c r="D4345" s="6" t="n">
        <v>3</v>
      </c>
      <c r="E4345" s="6" t="inlineStr">
        <is>
          <t>R1340613</t>
        </is>
      </c>
      <c r="F4345" s="2" t="n">
        <v>44520</v>
      </c>
      <c r="G4345" s="1" t="n"/>
    </row>
    <row r="4346">
      <c r="A4346" s="6" t="n">
        <v>467800</v>
      </c>
      <c r="B4346" s="6" t="inlineStr">
        <is>
          <t>FRANZIA HOUSE WINE FAV CHILLABLE RED</t>
        </is>
      </c>
      <c r="C4346" s="7">
        <f>VLOOKUP(A4346,SizeData!A$2:B$3839,2,FALSE)</f>
        <v/>
      </c>
      <c r="D4346" s="6" t="n">
        <v>1</v>
      </c>
      <c r="E4346" s="6" t="inlineStr">
        <is>
          <t>R1365354</t>
        </is>
      </c>
      <c r="F4346" s="2" t="n">
        <v>44532</v>
      </c>
      <c r="G4346" s="1" t="n"/>
    </row>
    <row r="4347">
      <c r="A4347" s="6" t="n">
        <v>467810</v>
      </c>
      <c r="B4347" s="6" t="inlineStr">
        <is>
          <t>FREAKSHOW CABERNET SAUVIGNON</t>
        </is>
      </c>
      <c r="C4347" s="7">
        <f>VLOOKUP(A4347,SizeData!A$2:B$3839,2,FALSE)</f>
        <v/>
      </c>
      <c r="D4347" s="6" t="n">
        <v>1</v>
      </c>
      <c r="E4347" s="6" t="inlineStr">
        <is>
          <t>R1132522</t>
        </is>
      </c>
      <c r="F4347" s="2" t="n">
        <v>44341</v>
      </c>
      <c r="G4347" s="1" t="n"/>
    </row>
    <row r="4348">
      <c r="A4348" s="6" t="n">
        <v>467810</v>
      </c>
      <c r="B4348" s="6" t="inlineStr">
        <is>
          <t>FREAKSHOW CABERNET SAUVIGNON</t>
        </is>
      </c>
      <c r="C4348" s="7">
        <f>VLOOKUP(A4348,SizeData!A$2:B$3839,2,FALSE)</f>
        <v/>
      </c>
      <c r="D4348" s="6" t="n">
        <v>1</v>
      </c>
      <c r="E4348" s="6" t="inlineStr">
        <is>
          <t>R1275278</t>
        </is>
      </c>
      <c r="F4348" s="2" t="n">
        <v>44478</v>
      </c>
      <c r="G4348" s="1" t="n"/>
    </row>
    <row r="4349">
      <c r="A4349" s="6" t="n">
        <v>467812</v>
      </c>
      <c r="B4349" s="6" t="inlineStr">
        <is>
          <t>FREAKSHOW RED</t>
        </is>
      </c>
      <c r="C4349" s="7">
        <f>VLOOKUP(A4349,SizeData!A$2:B$3839,2,FALSE)</f>
        <v/>
      </c>
      <c r="D4349" s="6" t="n">
        <v>1</v>
      </c>
      <c r="E4349" s="6" t="inlineStr">
        <is>
          <t>R996697</t>
        </is>
      </c>
      <c r="F4349" s="2" t="n">
        <v>44221</v>
      </c>
      <c r="G4349" s="1" t="n"/>
    </row>
    <row r="4350">
      <c r="A4350" s="6" t="n">
        <v>477852</v>
      </c>
      <c r="B4350" s="6" t="inlineStr">
        <is>
          <t>J VINEYARDS PINOT NOIR MNTRY/SNMA/S BRBR</t>
        </is>
      </c>
      <c r="C4350" s="7">
        <f>VLOOKUP(A4350,SizeData!A$2:B$3839,2,FALSE)</f>
        <v/>
      </c>
      <c r="D4350" s="6" t="n">
        <v>1</v>
      </c>
      <c r="E4350" s="6" t="inlineStr">
        <is>
          <t>R1230991</t>
        </is>
      </c>
      <c r="F4350" s="2" t="n">
        <v>44441</v>
      </c>
      <c r="G4350" s="1" t="n"/>
    </row>
    <row r="4351">
      <c r="A4351" s="6" t="n">
        <v>478116</v>
      </c>
      <c r="B4351" s="6" t="inlineStr">
        <is>
          <t>JOSH CELLARS LEGACY RED BLEND</t>
        </is>
      </c>
      <c r="C4351" s="7">
        <f>VLOOKUP(A4351,SizeData!A$2:B$3839,2,FALSE)</f>
        <v/>
      </c>
      <c r="D4351" s="6" t="n">
        <v>1</v>
      </c>
      <c r="E4351" s="6" t="inlineStr">
        <is>
          <t>R1074089</t>
        </is>
      </c>
      <c r="F4351" s="2" t="n">
        <v>44288</v>
      </c>
      <c r="G4351" s="1" t="n"/>
    </row>
    <row r="4352">
      <c r="A4352" s="6" t="n">
        <v>478120</v>
      </c>
      <c r="B4352" s="6" t="inlineStr">
        <is>
          <t>JOSH CELLARS NORTH COAST CAB SAUV</t>
        </is>
      </c>
      <c r="C4352" s="7">
        <f>VLOOKUP(A4352,SizeData!A$2:B$3839,2,FALSE)</f>
        <v/>
      </c>
      <c r="D4352" s="6" t="n">
        <v>1</v>
      </c>
      <c r="E4352" s="6" t="inlineStr">
        <is>
          <t>R1074089</t>
        </is>
      </c>
      <c r="F4352" s="2" t="n">
        <v>44288</v>
      </c>
      <c r="G4352" s="1" t="n"/>
    </row>
    <row r="4353">
      <c r="A4353" s="6" t="n">
        <v>478120</v>
      </c>
      <c r="B4353" s="6" t="inlineStr">
        <is>
          <t>JOSH CELLARS NORTH COAST CAB SAUV</t>
        </is>
      </c>
      <c r="C4353" s="7">
        <f>VLOOKUP(A4353,SizeData!A$2:B$3839,2,FALSE)</f>
        <v/>
      </c>
      <c r="D4353" s="6" t="n">
        <v>1</v>
      </c>
      <c r="E4353" s="6" t="inlineStr">
        <is>
          <t>R1154725</t>
        </is>
      </c>
      <c r="F4353" s="2" t="n">
        <v>44376</v>
      </c>
      <c r="G4353" s="1" t="n"/>
    </row>
    <row r="4354">
      <c r="A4354" s="6" t="n">
        <v>478120</v>
      </c>
      <c r="B4354" s="6" t="inlineStr">
        <is>
          <t>JOSH CELLARS NORTH COAST CAB SAUV</t>
        </is>
      </c>
      <c r="C4354" s="7">
        <f>VLOOKUP(A4354,SizeData!A$2:B$3839,2,FALSE)</f>
        <v/>
      </c>
      <c r="D4354" s="6" t="n">
        <v>1</v>
      </c>
      <c r="E4354" s="6" t="inlineStr">
        <is>
          <t>R1262670</t>
        </is>
      </c>
      <c r="F4354" s="2" t="n">
        <v>44470</v>
      </c>
      <c r="G4354" s="1" t="n"/>
    </row>
    <row r="4355">
      <c r="A4355" s="6" t="n">
        <v>478120</v>
      </c>
      <c r="B4355" s="6" t="inlineStr">
        <is>
          <t>JOSH CELLARS NORTH COAST CAB SAUV</t>
        </is>
      </c>
      <c r="C4355" s="7">
        <f>VLOOKUP(A4355,SizeData!A$2:B$3839,2,FALSE)</f>
        <v/>
      </c>
      <c r="D4355" s="6" t="n">
        <v>1</v>
      </c>
      <c r="E4355" s="6" t="inlineStr">
        <is>
          <t>R1253669</t>
        </is>
      </c>
      <c r="F4355" s="2" t="n">
        <v>44471</v>
      </c>
      <c r="G4355" s="1" t="n"/>
    </row>
    <row r="4356">
      <c r="A4356" s="6" t="n">
        <v>478122</v>
      </c>
      <c r="B4356" s="6" t="inlineStr">
        <is>
          <t>JOSH CELLARS SONOMA MERLOT</t>
        </is>
      </c>
      <c r="C4356" s="7">
        <f>VLOOKUP(A4356,SizeData!A$2:B$3839,2,FALSE)</f>
        <v/>
      </c>
      <c r="D4356" s="6" t="n">
        <v>1</v>
      </c>
      <c r="E4356" s="6" t="inlineStr">
        <is>
          <t>R1166742</t>
        </is>
      </c>
      <c r="F4356" s="2" t="n">
        <v>44372</v>
      </c>
      <c r="G4356" s="1" t="n"/>
    </row>
    <row r="4357">
      <c r="A4357" s="6" t="n">
        <v>479345</v>
      </c>
      <c r="B4357" s="6" t="inlineStr">
        <is>
          <t>KENDALL JKSN VINTNERS RSV MERLOT</t>
        </is>
      </c>
      <c r="C4357" s="7">
        <f>VLOOKUP(A4357,SizeData!A$2:B$3839,2,FALSE)</f>
        <v/>
      </c>
      <c r="D4357" s="6" t="n">
        <v>1</v>
      </c>
      <c r="E4357" s="6" t="inlineStr">
        <is>
          <t>R1163234</t>
        </is>
      </c>
      <c r="F4357" s="2" t="n">
        <v>44376</v>
      </c>
      <c r="G4357" s="1" t="n"/>
    </row>
    <row r="4358">
      <c r="A4358" s="6" t="n">
        <v>479690</v>
      </c>
      <c r="B4358" s="6" t="inlineStr">
        <is>
          <t>LA CREMA PINOT NOIR SONOMA COAST</t>
        </is>
      </c>
      <c r="C4358" s="7">
        <f>VLOOKUP(A4358,SizeData!A$2:B$3839,2,FALSE)</f>
        <v/>
      </c>
      <c r="D4358" s="6" t="n">
        <v>1</v>
      </c>
      <c r="E4358" s="6" t="inlineStr">
        <is>
          <t>R1148371</t>
        </is>
      </c>
      <c r="F4358" s="2" t="n">
        <v>44365</v>
      </c>
      <c r="G4358" s="1" t="n"/>
    </row>
    <row r="4359">
      <c r="A4359" s="6" t="n">
        <v>480305</v>
      </c>
      <c r="B4359" s="6" t="inlineStr">
        <is>
          <t>LIBERTY CREEK CABERNET SAUVIGNON</t>
        </is>
      </c>
      <c r="C4359" s="7">
        <f>VLOOKUP(A4359,SizeData!A$2:B$3839,2,FALSE)</f>
        <v/>
      </c>
      <c r="D4359" s="6" t="n">
        <v>5</v>
      </c>
      <c r="E4359" s="6" t="inlineStr">
        <is>
          <t>R999392</t>
        </is>
      </c>
      <c r="F4359" s="2" t="n">
        <v>44224</v>
      </c>
      <c r="G4359" s="1" t="n"/>
    </row>
    <row r="4360">
      <c r="A4360" s="6" t="n">
        <v>480305</v>
      </c>
      <c r="B4360" s="6" t="inlineStr">
        <is>
          <t>LIBERTY CREEK CABERNET SAUVIGNON</t>
        </is>
      </c>
      <c r="C4360" s="7">
        <f>VLOOKUP(A4360,SizeData!A$2:B$3839,2,FALSE)</f>
        <v/>
      </c>
      <c r="D4360" s="6" t="n">
        <v>1</v>
      </c>
      <c r="E4360" s="6" t="inlineStr">
        <is>
          <t>R1075636</t>
        </is>
      </c>
      <c r="F4360" s="2" t="n">
        <v>44280</v>
      </c>
      <c r="G4360" s="1" t="n"/>
    </row>
    <row r="4361">
      <c r="A4361" s="6" t="n">
        <v>480305</v>
      </c>
      <c r="B4361" s="6" t="inlineStr">
        <is>
          <t>LIBERTY CREEK CABERNET SAUVIGNON</t>
        </is>
      </c>
      <c r="C4361" s="7">
        <f>VLOOKUP(A4361,SizeData!A$2:B$3839,2,FALSE)</f>
        <v/>
      </c>
      <c r="D4361" s="6" t="n">
        <v>2</v>
      </c>
      <c r="E4361" s="6" t="inlineStr">
        <is>
          <t>R1101475</t>
        </is>
      </c>
      <c r="F4361" s="2" t="n">
        <v>44313</v>
      </c>
      <c r="G4361" s="1" t="n"/>
    </row>
    <row r="4362">
      <c r="A4362" s="6" t="n">
        <v>480315</v>
      </c>
      <c r="B4362" s="6" t="inlineStr">
        <is>
          <t>LIBERTY CREEK MERLOT</t>
        </is>
      </c>
      <c r="C4362" s="7">
        <f>VLOOKUP(A4362,SizeData!A$2:B$3839,2,FALSE)</f>
        <v/>
      </c>
      <c r="D4362" s="6" t="n">
        <v>3</v>
      </c>
      <c r="E4362" s="6" t="inlineStr">
        <is>
          <t>R1101475</t>
        </is>
      </c>
      <c r="F4362" s="2" t="n">
        <v>44313</v>
      </c>
      <c r="G4362" s="1" t="n"/>
    </row>
    <row r="4363">
      <c r="A4363" s="6" t="n">
        <v>480318</v>
      </c>
      <c r="B4363" s="6" t="inlineStr">
        <is>
          <t>LIBERTY CREEK PINOT NOIR</t>
        </is>
      </c>
      <c r="C4363" s="7">
        <f>VLOOKUP(A4363,SizeData!A$2:B$3839,2,FALSE)</f>
        <v/>
      </c>
      <c r="D4363" s="6" t="n">
        <v>3</v>
      </c>
      <c r="E4363" s="6" t="inlineStr">
        <is>
          <t>R999392</t>
        </is>
      </c>
      <c r="F4363" s="2" t="n">
        <v>44224</v>
      </c>
      <c r="G4363" s="1" t="n"/>
    </row>
    <row r="4364">
      <c r="A4364" s="6" t="n">
        <v>480318</v>
      </c>
      <c r="B4364" s="6" t="inlineStr">
        <is>
          <t>LIBERTY CREEK PINOT NOIR</t>
        </is>
      </c>
      <c r="C4364" s="7">
        <f>VLOOKUP(A4364,SizeData!A$2:B$3839,2,FALSE)</f>
        <v/>
      </c>
      <c r="D4364" s="6" t="n">
        <v>2</v>
      </c>
      <c r="E4364" s="6" t="inlineStr">
        <is>
          <t>R1101475</t>
        </is>
      </c>
      <c r="F4364" s="2" t="n">
        <v>44313</v>
      </c>
      <c r="G4364" s="1" t="n"/>
    </row>
    <row r="4365">
      <c r="A4365" s="6" t="n">
        <v>480318</v>
      </c>
      <c r="B4365" s="6" t="inlineStr">
        <is>
          <t>LIBERTY CREEK PINOT NOIR</t>
        </is>
      </c>
      <c r="C4365" s="7">
        <f>VLOOKUP(A4365,SizeData!A$2:B$3839,2,FALSE)</f>
        <v/>
      </c>
      <c r="D4365" s="6" t="n">
        <v>4</v>
      </c>
      <c r="E4365" s="6" t="inlineStr">
        <is>
          <t xml:space="preserve"> R1137452</t>
        </is>
      </c>
      <c r="F4365" s="2" t="n">
        <v>44350</v>
      </c>
      <c r="G4365" s="1" t="n"/>
    </row>
    <row r="4366">
      <c r="A4366" s="6" t="n">
        <v>480320</v>
      </c>
      <c r="B4366" s="6" t="inlineStr">
        <is>
          <t>LIBERTY CREEK SWEET RED</t>
        </is>
      </c>
      <c r="C4366" s="7">
        <f>VLOOKUP(A4366,SizeData!A$2:B$3839,2,FALSE)</f>
        <v/>
      </c>
      <c r="D4366" s="6" t="n">
        <v>1</v>
      </c>
      <c r="E4366" s="6" t="inlineStr">
        <is>
          <t>R1022831</t>
        </is>
      </c>
      <c r="F4366" s="2" t="n">
        <v>44229</v>
      </c>
      <c r="G4366" s="1" t="n"/>
    </row>
    <row r="4367">
      <c r="A4367" s="6" t="n">
        <v>480320</v>
      </c>
      <c r="B4367" s="6" t="inlineStr">
        <is>
          <t>LIBERTY CREEK SWEET RED</t>
        </is>
      </c>
      <c r="C4367" s="7">
        <f>VLOOKUP(A4367,SizeData!A$2:B$3839,2,FALSE)</f>
        <v/>
      </c>
      <c r="D4367" s="6" t="n">
        <v>2</v>
      </c>
      <c r="E4367" s="6" t="inlineStr">
        <is>
          <t>R1033413</t>
        </is>
      </c>
      <c r="F4367" s="2" t="n">
        <v>44250</v>
      </c>
      <c r="G4367" s="1" t="n"/>
    </row>
    <row r="4368">
      <c r="A4368" s="6" t="n">
        <v>480320</v>
      </c>
      <c r="B4368" s="6" t="inlineStr">
        <is>
          <t>LIBERTY CREEK SWEET RED</t>
        </is>
      </c>
      <c r="C4368" s="7">
        <f>VLOOKUP(A4368,SizeData!A$2:B$3839,2,FALSE)</f>
        <v/>
      </c>
      <c r="D4368" s="6" t="n">
        <v>3</v>
      </c>
      <c r="E4368" s="6" t="inlineStr">
        <is>
          <t>R1051358</t>
        </is>
      </c>
      <c r="F4368" s="2" t="n">
        <v>44259</v>
      </c>
      <c r="G4368" s="1" t="n"/>
    </row>
    <row r="4369">
      <c r="A4369" s="6" t="n">
        <v>480320</v>
      </c>
      <c r="B4369" s="6" t="inlineStr">
        <is>
          <t>LIBERTY CREEK SWEET RED</t>
        </is>
      </c>
      <c r="C4369" s="7">
        <f>VLOOKUP(A4369,SizeData!A$2:B$3839,2,FALSE)</f>
        <v/>
      </c>
      <c r="D4369" s="6" t="n">
        <v>1</v>
      </c>
      <c r="E4369" s="6" t="inlineStr">
        <is>
          <t>R1265400</t>
        </is>
      </c>
      <c r="F4369" s="2" t="n">
        <v>44467</v>
      </c>
      <c r="G4369" s="1" t="n"/>
    </row>
    <row r="4370">
      <c r="A4370" s="6" t="n">
        <v>480320</v>
      </c>
      <c r="B4370" s="6" t="inlineStr">
        <is>
          <t>LIBERTY CREEK SWEET RED</t>
        </is>
      </c>
      <c r="C4370" s="7">
        <f>VLOOKUP(A4370,SizeData!A$2:B$3839,2,FALSE)</f>
        <v/>
      </c>
      <c r="D4370" s="6" t="n">
        <v>3</v>
      </c>
      <c r="E4370" s="6" t="inlineStr">
        <is>
          <t>R1284745</t>
        </is>
      </c>
      <c r="F4370" s="2" t="n">
        <v>44490</v>
      </c>
      <c r="G4370" s="1" t="n"/>
    </row>
    <row r="4371">
      <c r="A4371" s="6" t="n">
        <v>480742</v>
      </c>
      <c r="B4371" s="6" t="inlineStr">
        <is>
          <t>LINE 39 PINOT NOIR</t>
        </is>
      </c>
      <c r="C4371" s="7">
        <f>VLOOKUP(A4371,SizeData!A$2:B$3839,2,FALSE)</f>
        <v/>
      </c>
      <c r="D4371" s="6" t="n">
        <v>2</v>
      </c>
      <c r="E4371" s="6" t="inlineStr">
        <is>
          <t>R998453</t>
        </is>
      </c>
      <c r="F4371" s="2" t="n">
        <v>44212</v>
      </c>
      <c r="G4371" s="1" t="n"/>
    </row>
    <row r="4372">
      <c r="A4372" s="6" t="n">
        <v>480742</v>
      </c>
      <c r="B4372" s="6" t="inlineStr">
        <is>
          <t>LINE 39 PINOT NOIR</t>
        </is>
      </c>
      <c r="C4372" s="7">
        <f>VLOOKUP(A4372,SizeData!A$2:B$3839,2,FALSE)</f>
        <v/>
      </c>
      <c r="D4372" s="6" t="n">
        <v>2</v>
      </c>
      <c r="E4372" s="6" t="inlineStr">
        <is>
          <t>R1008340</t>
        </is>
      </c>
      <c r="F4372" s="2" t="n">
        <v>44222</v>
      </c>
      <c r="G4372" s="1" t="n"/>
    </row>
    <row r="4373">
      <c r="A4373" s="6" t="n">
        <v>480742</v>
      </c>
      <c r="B4373" s="6" t="inlineStr">
        <is>
          <t>LINE 39 PINOT NOIR</t>
        </is>
      </c>
      <c r="C4373" s="7">
        <f>VLOOKUP(A4373,SizeData!A$2:B$3839,2,FALSE)</f>
        <v/>
      </c>
      <c r="D4373" s="6" t="n">
        <v>2</v>
      </c>
      <c r="E4373" s="6" t="inlineStr">
        <is>
          <t>R1022831</t>
        </is>
      </c>
      <c r="F4373" s="2" t="n">
        <v>44229</v>
      </c>
      <c r="G4373" s="1" t="n"/>
    </row>
    <row r="4374">
      <c r="A4374" s="6" t="n">
        <v>480742</v>
      </c>
      <c r="B4374" s="6" t="inlineStr">
        <is>
          <t>LINE 39 PINOT NOIR</t>
        </is>
      </c>
      <c r="C4374" s="7">
        <f>VLOOKUP(A4374,SizeData!A$2:B$3839,2,FALSE)</f>
        <v/>
      </c>
      <c r="D4374" s="6" t="n">
        <v>1</v>
      </c>
      <c r="E4374" s="6" t="inlineStr">
        <is>
          <t>R1301983</t>
        </is>
      </c>
      <c r="F4374" s="2" t="n">
        <v>44501</v>
      </c>
      <c r="G4374" s="1" t="n"/>
    </row>
    <row r="4375">
      <c r="A4375" s="6" t="n">
        <v>480742</v>
      </c>
      <c r="B4375" s="6" t="inlineStr">
        <is>
          <t>LINE 39 PINOT NOIR</t>
        </is>
      </c>
      <c r="C4375" s="7">
        <f>VLOOKUP(A4375,SizeData!A$2:B$3839,2,FALSE)</f>
        <v/>
      </c>
      <c r="D4375" s="6" t="n">
        <v>2</v>
      </c>
      <c r="E4375" s="6" t="inlineStr">
        <is>
          <t>R1314326</t>
        </is>
      </c>
      <c r="F4375" s="2" t="n">
        <v>44512</v>
      </c>
      <c r="G4375" s="1" t="n"/>
    </row>
    <row r="4376">
      <c r="A4376" s="6" t="n">
        <v>482703</v>
      </c>
      <c r="B4376" s="6" t="inlineStr">
        <is>
          <t>MANISCHEWITZ CREAM RED</t>
        </is>
      </c>
      <c r="C4376" s="7">
        <f>VLOOKUP(A4376,SizeData!A$2:B$3839,2,FALSE)</f>
        <v/>
      </c>
      <c r="D4376" s="6" t="n">
        <v>1</v>
      </c>
      <c r="E4376" s="6" t="inlineStr">
        <is>
          <t>R1084236</t>
        </is>
      </c>
      <c r="F4376" s="2" t="n">
        <v>44296</v>
      </c>
      <c r="G4376" s="1" t="n"/>
    </row>
    <row r="4377">
      <c r="A4377" s="6" t="n">
        <v>482705</v>
      </c>
      <c r="B4377" s="6" t="inlineStr">
        <is>
          <t>MANISCHEWITZ CREAM RED</t>
        </is>
      </c>
      <c r="C4377" s="7">
        <f>VLOOKUP(A4377,SizeData!A$2:B$3839,2,FALSE)</f>
        <v/>
      </c>
      <c r="D4377" s="6" t="n">
        <v>1</v>
      </c>
      <c r="E4377" s="6" t="inlineStr">
        <is>
          <t>R1025870</t>
        </is>
      </c>
      <c r="F4377" s="2" t="n">
        <v>44229</v>
      </c>
      <c r="G4377" s="1" t="n"/>
    </row>
    <row r="4378">
      <c r="A4378" s="6" t="n">
        <v>482705</v>
      </c>
      <c r="B4378" s="6" t="inlineStr">
        <is>
          <t>MANISCHEWITZ CREAM RED</t>
        </is>
      </c>
      <c r="C4378" s="7">
        <f>VLOOKUP(A4378,SizeData!A$2:B$3839,2,FALSE)</f>
        <v/>
      </c>
      <c r="D4378" s="6" t="n">
        <v>1</v>
      </c>
      <c r="E4378" s="6" t="inlineStr">
        <is>
          <t>R1076240</t>
        </is>
      </c>
      <c r="F4378" s="2" t="n">
        <v>44285</v>
      </c>
      <c r="G4378" s="1" t="n"/>
    </row>
    <row r="4379">
      <c r="A4379" s="6" t="n">
        <v>482705</v>
      </c>
      <c r="B4379" s="6" t="inlineStr">
        <is>
          <t>MANISCHEWITZ CREAM RED</t>
        </is>
      </c>
      <c r="C4379" s="7">
        <f>VLOOKUP(A4379,SizeData!A$2:B$3839,2,FALSE)</f>
        <v/>
      </c>
      <c r="D4379" s="6" t="n">
        <v>1</v>
      </c>
      <c r="E4379" s="6" t="inlineStr">
        <is>
          <t>R1148371</t>
        </is>
      </c>
      <c r="F4379" s="2" t="n">
        <v>44365</v>
      </c>
      <c r="G4379" s="1" t="n"/>
    </row>
    <row r="4380">
      <c r="A4380" s="6" t="n">
        <v>483120</v>
      </c>
      <c r="B4380" s="6" t="inlineStr">
        <is>
          <t>MANISCHEWITZ CONCORD</t>
        </is>
      </c>
      <c r="C4380" s="7">
        <f>VLOOKUP(A4380,SizeData!A$2:B$3839,2,FALSE)</f>
        <v/>
      </c>
      <c r="D4380" s="6" t="n">
        <v>1</v>
      </c>
      <c r="E4380" s="6" t="inlineStr">
        <is>
          <t>R1025870</t>
        </is>
      </c>
      <c r="F4380" s="2" t="n">
        <v>44229</v>
      </c>
      <c r="G4380" s="1" t="n"/>
    </row>
    <row r="4381">
      <c r="A4381" s="6" t="n">
        <v>484705</v>
      </c>
      <c r="B4381" s="6" t="inlineStr">
        <is>
          <t>LOUIS M MARTINI SONOMA CAB SAUV</t>
        </is>
      </c>
      <c r="C4381" s="7">
        <f>VLOOKUP(A4381,SizeData!A$2:B$3839,2,FALSE)</f>
        <v/>
      </c>
      <c r="D4381" s="6" t="n">
        <v>1</v>
      </c>
      <c r="E4381" s="6" t="inlineStr">
        <is>
          <t xml:space="preserve"> R1138813</t>
        </is>
      </c>
      <c r="F4381" s="2" t="n">
        <v>44348</v>
      </c>
      <c r="G4381" s="1" t="n"/>
    </row>
    <row r="4382">
      <c r="A4382" s="6" t="n">
        <v>485449</v>
      </c>
      <c r="B4382" s="6" t="inlineStr">
        <is>
          <t>MENAGE SWEET COLLECTION DOLCE RED</t>
        </is>
      </c>
      <c r="C4382" s="7">
        <f>VLOOKUP(A4382,SizeData!A$2:B$3839,2,FALSE)</f>
        <v/>
      </c>
      <c r="D4382" s="6" t="n">
        <v>1</v>
      </c>
      <c r="E4382" s="6" t="inlineStr">
        <is>
          <t>R1261664</t>
        </is>
      </c>
      <c r="F4382" s="2" t="n">
        <v>44467</v>
      </c>
      <c r="G4382" s="1" t="n"/>
    </row>
    <row r="4383">
      <c r="A4383" s="6" t="n">
        <v>485449</v>
      </c>
      <c r="B4383" s="6" t="inlineStr">
        <is>
          <t>MENAGE SWEET COLLECTION DOLCE RED</t>
        </is>
      </c>
      <c r="C4383" s="7">
        <f>VLOOKUP(A4383,SizeData!A$2:B$3839,2,FALSE)</f>
        <v/>
      </c>
      <c r="D4383" s="6" t="n">
        <v>0</v>
      </c>
      <c r="E4383" s="6" t="inlineStr">
        <is>
          <t>R1337036</t>
        </is>
      </c>
      <c r="F4383" s="2" t="n">
        <v>44523</v>
      </c>
      <c r="G4383" s="1" t="n"/>
    </row>
    <row r="4384">
      <c r="A4384" s="6" t="n">
        <v>485449</v>
      </c>
      <c r="B4384" s="6" t="inlineStr">
        <is>
          <t>MENAGE SWEET COLLECTION DOLCE RED</t>
        </is>
      </c>
      <c r="C4384" s="7">
        <f>VLOOKUP(A4384,SizeData!A$2:B$3839,2,FALSE)</f>
        <v/>
      </c>
      <c r="D4384" s="6" t="n">
        <v>1</v>
      </c>
      <c r="E4384" s="6" t="inlineStr">
        <is>
          <t>R1338918</t>
        </is>
      </c>
      <c r="F4384" s="2" t="n">
        <v>44524</v>
      </c>
      <c r="G4384" s="1" t="n"/>
    </row>
    <row r="4385">
      <c r="A4385" s="6" t="n">
        <v>485449</v>
      </c>
      <c r="B4385" s="6" t="inlineStr">
        <is>
          <t>MENAGE SWEET COLLECTION DOLCE RED</t>
        </is>
      </c>
      <c r="C4385" s="7">
        <f>VLOOKUP(A4385,SizeData!A$2:B$3839,2,FALSE)</f>
        <v/>
      </c>
      <c r="D4385" s="6" t="n">
        <v>1</v>
      </c>
      <c r="E4385" s="6" t="inlineStr">
        <is>
          <t>R1337036A</t>
        </is>
      </c>
      <c r="F4385" s="2" t="n">
        <v>44541</v>
      </c>
      <c r="G4385" s="1" t="n"/>
    </row>
    <row r="4386">
      <c r="A4386" s="6" t="n">
        <v>485473</v>
      </c>
      <c r="B4386" s="6" t="inlineStr">
        <is>
          <t>MENAGE A TROIS SILK RED</t>
        </is>
      </c>
      <c r="C4386" s="7">
        <f>VLOOKUP(A4386,SizeData!A$2:B$3839,2,FALSE)</f>
        <v/>
      </c>
      <c r="D4386" s="6" t="n">
        <v>1</v>
      </c>
      <c r="E4386" s="6" t="inlineStr">
        <is>
          <t xml:space="preserve"> R1079980</t>
        </is>
      </c>
      <c r="F4386" s="2" t="n">
        <v>44302</v>
      </c>
      <c r="G4386" s="1" t="n"/>
    </row>
    <row r="4387">
      <c r="A4387" s="6" t="n">
        <v>485473</v>
      </c>
      <c r="B4387" s="6" t="inlineStr">
        <is>
          <t>MENAGE A TROIS SILK RED</t>
        </is>
      </c>
      <c r="C4387" s="7">
        <f>VLOOKUP(A4387,SizeData!A$2:B$3839,2,FALSE)</f>
        <v/>
      </c>
      <c r="D4387" s="6" t="n">
        <v>1</v>
      </c>
      <c r="E4387" s="6" t="inlineStr">
        <is>
          <t>R1108792</t>
        </is>
      </c>
      <c r="F4387" s="2" t="n">
        <v>44322</v>
      </c>
      <c r="G4387" s="1" t="n"/>
    </row>
    <row r="4388">
      <c r="A4388" s="6" t="n">
        <v>485473</v>
      </c>
      <c r="B4388" s="6" t="inlineStr">
        <is>
          <t>MENAGE A TROIS SILK RED</t>
        </is>
      </c>
      <c r="C4388" s="7">
        <f>VLOOKUP(A4388,SizeData!A$2:B$3839,2,FALSE)</f>
        <v/>
      </c>
      <c r="D4388" s="6" t="n">
        <v>1</v>
      </c>
      <c r="E4388" s="6" t="inlineStr">
        <is>
          <t>R1262670</t>
        </is>
      </c>
      <c r="F4388" s="2" t="n">
        <v>44470</v>
      </c>
      <c r="G4388" s="1" t="n"/>
    </row>
    <row r="4389">
      <c r="A4389" s="6" t="n">
        <v>485490</v>
      </c>
      <c r="B4389" s="6" t="inlineStr">
        <is>
          <t>FOLIE A DEUX MENAGE A TROIS RED</t>
        </is>
      </c>
      <c r="C4389" s="7">
        <f>VLOOKUP(A4389,SizeData!A$2:B$3839,2,FALSE)</f>
        <v/>
      </c>
      <c r="D4389" s="6" t="n">
        <v>1</v>
      </c>
      <c r="E4389" s="6" t="inlineStr">
        <is>
          <t>R1089290</t>
        </is>
      </c>
      <c r="F4389" s="2" t="n">
        <v>44309</v>
      </c>
      <c r="G4389" s="1" t="n"/>
    </row>
    <row r="4390">
      <c r="A4390" s="6" t="n">
        <v>485490</v>
      </c>
      <c r="B4390" s="6" t="inlineStr">
        <is>
          <t>FOLIE A DEUX MENAGE A TROIS RED</t>
        </is>
      </c>
      <c r="C4390" s="7">
        <f>VLOOKUP(A4390,SizeData!A$2:B$3839,2,FALSE)</f>
        <v/>
      </c>
      <c r="D4390" s="6" t="n">
        <v>1</v>
      </c>
      <c r="E4390" s="6" t="inlineStr">
        <is>
          <t>R1156117</t>
        </is>
      </c>
      <c r="F4390" s="2" t="n">
        <v>44362</v>
      </c>
      <c r="G4390" s="1" t="n"/>
    </row>
    <row r="4391">
      <c r="A4391" s="6" t="n">
        <v>485490</v>
      </c>
      <c r="B4391" s="6" t="inlineStr">
        <is>
          <t>MENAGE A TROIS FOLIE A DEUX RED</t>
        </is>
      </c>
      <c r="C4391" s="7">
        <f>VLOOKUP(A4391,SizeData!A$2:B$3839,2,FALSE)</f>
        <v/>
      </c>
      <c r="D4391" s="6" t="n">
        <v>1</v>
      </c>
      <c r="E4391" s="6" t="inlineStr">
        <is>
          <t>R1262670</t>
        </is>
      </c>
      <c r="F4391" s="2" t="n">
        <v>44470</v>
      </c>
      <c r="G4391" s="1" t="n"/>
    </row>
    <row r="4392">
      <c r="A4392" s="6" t="n">
        <v>487000</v>
      </c>
      <c r="B4392" s="6" t="inlineStr">
        <is>
          <t>MOGEN DAVID CONCORD</t>
        </is>
      </c>
      <c r="C4392" s="7">
        <f>VLOOKUP(A4392,SizeData!A$2:B$3839,2,FALSE)</f>
        <v/>
      </c>
      <c r="D4392" s="6" t="n">
        <v>1</v>
      </c>
      <c r="E4392" s="6" t="inlineStr">
        <is>
          <t>R997526</t>
        </is>
      </c>
      <c r="F4392" s="2" t="n">
        <v>44204</v>
      </c>
      <c r="G4392" s="1" t="n"/>
    </row>
    <row r="4393">
      <c r="A4393" s="6" t="n">
        <v>487000</v>
      </c>
      <c r="B4393" s="6" t="inlineStr">
        <is>
          <t>MOGEN DAVID CONCORD</t>
        </is>
      </c>
      <c r="C4393" s="7">
        <f>VLOOKUP(A4393,SizeData!A$2:B$3839,2,FALSE)</f>
        <v/>
      </c>
      <c r="D4393" s="6" t="n">
        <v>1</v>
      </c>
      <c r="E4393" s="6" t="inlineStr">
        <is>
          <t>R993624</t>
        </is>
      </c>
      <c r="F4393" s="2" t="n">
        <v>44206</v>
      </c>
      <c r="G4393" s="1" t="n"/>
    </row>
    <row r="4394">
      <c r="A4394" s="6" t="n">
        <v>487000</v>
      </c>
      <c r="B4394" s="6" t="inlineStr">
        <is>
          <t>MOGEN DAVID CONCORD</t>
        </is>
      </c>
      <c r="C4394" s="7">
        <f>VLOOKUP(A4394,SizeData!A$2:B$3839,2,FALSE)</f>
        <v/>
      </c>
      <c r="D4394" s="6" t="n">
        <v>1</v>
      </c>
      <c r="E4394" s="6" t="inlineStr">
        <is>
          <t>R1003015</t>
        </is>
      </c>
      <c r="F4394" s="2" t="n">
        <v>44216</v>
      </c>
      <c r="G4394" s="1" t="n"/>
    </row>
    <row r="4395">
      <c r="A4395" s="6" t="n">
        <v>487000</v>
      </c>
      <c r="B4395" s="6" t="inlineStr">
        <is>
          <t>MOGEN DAVID CONCORD</t>
        </is>
      </c>
      <c r="C4395" s="7">
        <f>VLOOKUP(A4395,SizeData!A$2:B$3839,2,FALSE)</f>
        <v/>
      </c>
      <c r="D4395" s="6" t="n">
        <v>3</v>
      </c>
      <c r="E4395" s="6" t="inlineStr">
        <is>
          <t>R1025870</t>
        </is>
      </c>
      <c r="F4395" s="2" t="n">
        <v>44229</v>
      </c>
      <c r="G4395" s="1" t="n"/>
    </row>
    <row r="4396">
      <c r="A4396" s="6" t="n">
        <v>487000</v>
      </c>
      <c r="B4396" s="6" t="inlineStr">
        <is>
          <t>MOGEN DAVID CONCORD</t>
        </is>
      </c>
      <c r="C4396" s="7">
        <f>VLOOKUP(A4396,SizeData!A$2:B$3839,2,FALSE)</f>
        <v/>
      </c>
      <c r="D4396" s="6" t="n">
        <v>1</v>
      </c>
      <c r="E4396" s="6" t="inlineStr">
        <is>
          <t>R1028756</t>
        </is>
      </c>
      <c r="F4396" s="2" t="n">
        <v>44239</v>
      </c>
      <c r="G4396" s="1" t="inlineStr">
        <is>
          <t> </t>
        </is>
      </c>
    </row>
    <row r="4397">
      <c r="A4397" s="6" t="n">
        <v>487000</v>
      </c>
      <c r="B4397" s="6" t="inlineStr">
        <is>
          <t>MOGEN DAVID CONCORD</t>
        </is>
      </c>
      <c r="C4397" s="7">
        <f>VLOOKUP(A4397,SizeData!A$2:B$3839,2,FALSE)</f>
        <v/>
      </c>
      <c r="D4397" s="6" t="n">
        <v>1</v>
      </c>
      <c r="E4397" s="6" t="inlineStr">
        <is>
          <t>R1026567</t>
        </is>
      </c>
      <c r="F4397" s="2" t="n">
        <v>44245</v>
      </c>
      <c r="G4397" s="1" t="n"/>
    </row>
    <row r="4398">
      <c r="A4398" s="6" t="n">
        <v>487000</v>
      </c>
      <c r="B4398" s="6" t="inlineStr">
        <is>
          <t>MOGEN DAVID CONCORD</t>
        </is>
      </c>
      <c r="C4398" s="7">
        <f>VLOOKUP(A4398,SizeData!A$2:B$3839,2,FALSE)</f>
        <v/>
      </c>
      <c r="D4398" s="6" t="n">
        <v>1</v>
      </c>
      <c r="E4398" s="6" t="inlineStr">
        <is>
          <t>R1048765</t>
        </is>
      </c>
      <c r="F4398" s="2" t="n">
        <v>44265</v>
      </c>
      <c r="G4398" s="1" t="n"/>
    </row>
    <row r="4399">
      <c r="A4399" s="6" t="n">
        <v>487000</v>
      </c>
      <c r="B4399" s="6" t="inlineStr">
        <is>
          <t>MOGEN DAVID CONCORD</t>
        </is>
      </c>
      <c r="C4399" s="7">
        <f>VLOOKUP(A4399,SizeData!A$2:B$3839,2,FALSE)</f>
        <v/>
      </c>
      <c r="D4399" s="6" t="n">
        <v>1</v>
      </c>
      <c r="E4399" s="6" t="inlineStr">
        <is>
          <t>R1066328</t>
        </is>
      </c>
      <c r="F4399" s="2" t="n">
        <v>44267</v>
      </c>
      <c r="G4399" s="1" t="n"/>
    </row>
    <row r="4400">
      <c r="A4400" s="6" t="n">
        <v>487000</v>
      </c>
      <c r="B4400" s="6" t="inlineStr">
        <is>
          <t>MOGEN DAVID CONCORD</t>
        </is>
      </c>
      <c r="C4400" s="7">
        <f>VLOOKUP(A4400,SizeData!A$2:B$3839,2,FALSE)</f>
        <v/>
      </c>
      <c r="D4400" s="6" t="n">
        <v>2</v>
      </c>
      <c r="E4400" s="6" t="inlineStr">
        <is>
          <t>R1072360</t>
        </is>
      </c>
      <c r="F4400" s="2" t="n">
        <v>44281</v>
      </c>
      <c r="G4400" s="1" t="n"/>
    </row>
    <row r="4401">
      <c r="A4401" s="6" t="n">
        <v>487000</v>
      </c>
      <c r="B4401" s="6" t="inlineStr">
        <is>
          <t>MOGEN DAVID CONCORD</t>
        </is>
      </c>
      <c r="C4401" s="7">
        <f>VLOOKUP(A4401,SizeData!A$2:B$3839,2,FALSE)</f>
        <v/>
      </c>
      <c r="D4401" s="6" t="n">
        <v>1</v>
      </c>
      <c r="E4401" s="6" t="inlineStr">
        <is>
          <t>R1083538</t>
        </is>
      </c>
      <c r="F4401" s="2" t="n">
        <v>44292</v>
      </c>
      <c r="G4401" s="1" t="n"/>
    </row>
    <row r="4402">
      <c r="A4402" s="6" t="n">
        <v>487000</v>
      </c>
      <c r="B4402" s="6" t="inlineStr">
        <is>
          <t>MOGEN DAVID CONCORD</t>
        </is>
      </c>
      <c r="C4402" s="7">
        <f>VLOOKUP(A4402,SizeData!A$2:B$3839,2,FALSE)</f>
        <v/>
      </c>
      <c r="D4402" s="6" t="n">
        <v>1</v>
      </c>
      <c r="E4402" s="6" t="inlineStr">
        <is>
          <t>R1096915</t>
        </is>
      </c>
      <c r="F4402" s="2" t="n">
        <v>44303</v>
      </c>
      <c r="G4402" s="1" t="n"/>
    </row>
    <row r="4403">
      <c r="A4403" s="6" t="n">
        <v>487000</v>
      </c>
      <c r="B4403" s="6" t="inlineStr">
        <is>
          <t>MOGEN DAVID CONCORD</t>
        </is>
      </c>
      <c r="C4403" s="7">
        <f>VLOOKUP(A4403,SizeData!A$2:B$3839,2,FALSE)</f>
        <v/>
      </c>
      <c r="D4403" s="6" t="n">
        <v>1</v>
      </c>
      <c r="E4403" s="6" t="inlineStr">
        <is>
          <t>R1089290</t>
        </is>
      </c>
      <c r="F4403" s="2" t="n">
        <v>44309</v>
      </c>
      <c r="G4403" s="1" t="n"/>
    </row>
    <row r="4404">
      <c r="A4404" s="6" t="n">
        <v>487000</v>
      </c>
      <c r="B4404" s="6" t="inlineStr">
        <is>
          <t>MOGEN DAVID CONCORD</t>
        </is>
      </c>
      <c r="C4404" s="7">
        <f>VLOOKUP(A4404,SizeData!A$2:B$3839,2,FALSE)</f>
        <v/>
      </c>
      <c r="D4404" s="6" t="n">
        <v>1</v>
      </c>
      <c r="E4404" s="6" t="inlineStr">
        <is>
          <t>R1114354</t>
        </is>
      </c>
      <c r="F4404" s="2" t="n">
        <v>44334</v>
      </c>
      <c r="G4404" s="1" t="n"/>
    </row>
    <row r="4405">
      <c r="A4405" s="6" t="n">
        <v>487000</v>
      </c>
      <c r="B4405" s="6" t="inlineStr">
        <is>
          <t>MOGEN DAVID CONCORD</t>
        </is>
      </c>
      <c r="C4405" s="7">
        <f>VLOOKUP(A4405,SizeData!A$2:B$3839,2,FALSE)</f>
        <v/>
      </c>
      <c r="D4405" s="6" t="n">
        <v>1</v>
      </c>
      <c r="E4405" s="6" t="inlineStr">
        <is>
          <t>R1132522</t>
        </is>
      </c>
      <c r="F4405" s="2" t="n">
        <v>44341</v>
      </c>
      <c r="G4405" s="1" t="n"/>
    </row>
    <row r="4406">
      <c r="A4406" s="6" t="n">
        <v>487000</v>
      </c>
      <c r="B4406" s="6" t="inlineStr">
        <is>
          <t>MOGEN DAVID CONCORD</t>
        </is>
      </c>
      <c r="C4406" s="7">
        <f>VLOOKUP(A4406,SizeData!A$2:B$3839,2,FALSE)</f>
        <v/>
      </c>
      <c r="D4406" s="6" t="n">
        <v>1</v>
      </c>
      <c r="E4406" s="6" t="inlineStr">
        <is>
          <t>R1134134</t>
        </is>
      </c>
      <c r="F4406" s="2" t="n">
        <v>44354</v>
      </c>
      <c r="G4406" s="1" t="n"/>
    </row>
    <row r="4407">
      <c r="A4407" s="6" t="n">
        <v>487000</v>
      </c>
      <c r="B4407" s="6" t="inlineStr">
        <is>
          <t>MOGEN DAVID CONCORD</t>
        </is>
      </c>
      <c r="C4407" s="7">
        <f>VLOOKUP(A4407,SizeData!A$2:B$3839,2,FALSE)</f>
        <v/>
      </c>
      <c r="D4407" s="6" t="n">
        <v>1</v>
      </c>
      <c r="E4407" s="6" t="inlineStr">
        <is>
          <t>R1137596</t>
        </is>
      </c>
      <c r="F4407" s="2" t="n">
        <v>44359</v>
      </c>
      <c r="G4407" s="1" t="n"/>
    </row>
    <row r="4408">
      <c r="A4408" s="6" t="n">
        <v>487000</v>
      </c>
      <c r="B4408" s="6" t="inlineStr">
        <is>
          <t>MOGEN DAVID CONCORD</t>
        </is>
      </c>
      <c r="C4408" s="7">
        <f>VLOOKUP(A4408,SizeData!A$2:B$3839,2,FALSE)</f>
        <v/>
      </c>
      <c r="D4408" s="6" t="n">
        <v>1</v>
      </c>
      <c r="E4408" s="6" t="inlineStr">
        <is>
          <t>R1171618</t>
        </is>
      </c>
      <c r="F4408" s="2" t="n">
        <v>44380</v>
      </c>
      <c r="G4408" s="1" t="n"/>
    </row>
    <row r="4409">
      <c r="A4409" s="6" t="n">
        <v>487000</v>
      </c>
      <c r="B4409" s="6" t="inlineStr">
        <is>
          <t>MOGEN DAVID CONCORD</t>
        </is>
      </c>
      <c r="C4409" s="7">
        <f>VLOOKUP(A4409,SizeData!A$2:B$3839,2,FALSE)</f>
        <v/>
      </c>
      <c r="D4409" s="6" t="n">
        <v>1</v>
      </c>
      <c r="E4409" s="6" t="inlineStr">
        <is>
          <t>R1163865</t>
        </is>
      </c>
      <c r="F4409" s="2" t="n">
        <v>44384</v>
      </c>
      <c r="G4409" s="6" t="n"/>
    </row>
    <row r="4410">
      <c r="A4410" s="6" t="n">
        <v>487000</v>
      </c>
      <c r="B4410" s="6" t="inlineStr">
        <is>
          <t>MOGEN DAVID CONCORD</t>
        </is>
      </c>
      <c r="C4410" s="7">
        <f>VLOOKUP(A4410,SizeData!A$2:B$3839,2,FALSE)</f>
        <v/>
      </c>
      <c r="D4410" s="6" t="n">
        <v>2</v>
      </c>
      <c r="E4410" s="6" t="inlineStr">
        <is>
          <t>R1174033</t>
        </is>
      </c>
      <c r="F4410" s="2" t="n">
        <v>44394</v>
      </c>
      <c r="G4410" s="1" t="n"/>
    </row>
    <row r="4411">
      <c r="A4411" s="6" t="n">
        <v>487000</v>
      </c>
      <c r="B4411" s="6" t="inlineStr">
        <is>
          <t>MOGEN DAVID CONCORD</t>
        </is>
      </c>
      <c r="C4411" s="7">
        <f>VLOOKUP(A4411,SizeData!A$2:B$3839,2,FALSE)</f>
        <v/>
      </c>
      <c r="D4411" s="6" t="n">
        <v>1</v>
      </c>
      <c r="E4411" s="6" t="inlineStr">
        <is>
          <t>R1172969</t>
        </is>
      </c>
      <c r="F4411" s="2" t="n">
        <v>44396</v>
      </c>
      <c r="G4411" s="1" t="n"/>
    </row>
    <row r="4412">
      <c r="A4412" s="6" t="n">
        <v>487000</v>
      </c>
      <c r="B4412" s="6" t="inlineStr">
        <is>
          <t>MOGEN DAVID CONCORD</t>
        </is>
      </c>
      <c r="C4412" s="7">
        <f>VLOOKUP(A4412,SizeData!A$2:B$3839,2,FALSE)</f>
        <v/>
      </c>
      <c r="D4412" s="6" t="n">
        <v>1</v>
      </c>
      <c r="E4412" s="6" t="inlineStr">
        <is>
          <t>R1187881</t>
        </is>
      </c>
      <c r="F4412" s="2" t="n">
        <v>44412</v>
      </c>
      <c r="G4412" s="1" t="n"/>
    </row>
    <row r="4413">
      <c r="A4413" s="6" t="n">
        <v>487000</v>
      </c>
      <c r="B4413" s="6" t="inlineStr">
        <is>
          <t>MOGEN DAVID CONCORD</t>
        </is>
      </c>
      <c r="C4413" s="7">
        <f>VLOOKUP(A4413,SizeData!A$2:B$3839,2,FALSE)</f>
        <v/>
      </c>
      <c r="D4413" s="6" t="n">
        <v>1</v>
      </c>
      <c r="E4413" s="6" t="inlineStr">
        <is>
          <t>R1203719</t>
        </is>
      </c>
      <c r="F4413" s="2" t="n">
        <v>44419</v>
      </c>
      <c r="G4413" s="1" t="n"/>
    </row>
    <row r="4414">
      <c r="A4414" s="6" t="n">
        <v>487000</v>
      </c>
      <c r="B4414" s="6" t="inlineStr">
        <is>
          <t>MOGEN DAVID CONCORD</t>
        </is>
      </c>
      <c r="C4414" s="7">
        <f>VLOOKUP(A4414,SizeData!A$2:B$3839,2,FALSE)</f>
        <v/>
      </c>
      <c r="D4414" s="6" t="n">
        <v>2</v>
      </c>
      <c r="E4414" s="6" t="inlineStr">
        <is>
          <t>R1231184</t>
        </is>
      </c>
      <c r="F4414" s="2" t="n">
        <v>44443</v>
      </c>
      <c r="G4414" s="1" t="n"/>
    </row>
    <row r="4415">
      <c r="A4415" s="6" t="n">
        <v>487000</v>
      </c>
      <c r="B4415" s="6" t="inlineStr">
        <is>
          <t>MOGEN DAVID CONCORD</t>
        </is>
      </c>
      <c r="C4415" s="7">
        <f>VLOOKUP(A4415,SizeData!A$2:B$3839,2,FALSE)</f>
        <v/>
      </c>
      <c r="D4415" s="6" t="n">
        <v>1</v>
      </c>
      <c r="E4415" s="6" t="inlineStr">
        <is>
          <t xml:space="preserve"> R1265479</t>
        </is>
      </c>
      <c r="F4415" s="2" t="n">
        <v>44462</v>
      </c>
      <c r="G4415" s="1" t="n"/>
    </row>
    <row r="4416">
      <c r="A4416" s="6" t="n">
        <v>487000</v>
      </c>
      <c r="B4416" s="6" t="inlineStr">
        <is>
          <t>MOGEN DAVID CONCORD</t>
        </is>
      </c>
      <c r="C4416" s="7">
        <f>VLOOKUP(A4416,SizeData!A$2:B$3839,2,FALSE)</f>
        <v/>
      </c>
      <c r="D4416" s="6" t="n">
        <v>2</v>
      </c>
      <c r="E4416" s="6" t="inlineStr">
        <is>
          <t>R1267530</t>
        </is>
      </c>
      <c r="F4416" s="2" t="n">
        <v>44470</v>
      </c>
      <c r="G4416" s="1" t="n"/>
    </row>
    <row r="4417">
      <c r="A4417" s="6" t="n">
        <v>487000</v>
      </c>
      <c r="B4417" s="6" t="inlineStr">
        <is>
          <t>MOGEN DAVID CONCORD</t>
        </is>
      </c>
      <c r="C4417" s="7">
        <f>VLOOKUP(A4417,SizeData!A$2:B$3839,2,FALSE)</f>
        <v/>
      </c>
      <c r="D4417" s="6" t="n">
        <v>1</v>
      </c>
      <c r="E4417" s="6" t="inlineStr">
        <is>
          <t>R1277647</t>
        </is>
      </c>
      <c r="F4417" s="2" t="n">
        <v>44484</v>
      </c>
      <c r="G4417" s="1" t="n"/>
    </row>
    <row r="4418">
      <c r="A4418" s="6" t="n">
        <v>487000</v>
      </c>
      <c r="B4418" s="6" t="inlineStr">
        <is>
          <t>MOGEN DAVID CONCORD</t>
        </is>
      </c>
      <c r="C4418" s="7">
        <f>VLOOKUP(A4418,SizeData!A$2:B$3839,2,FALSE)</f>
        <v/>
      </c>
      <c r="D4418" s="6" t="n">
        <v>2</v>
      </c>
      <c r="E4418" s="6" t="inlineStr">
        <is>
          <t>R1308140</t>
        </is>
      </c>
      <c r="F4418" s="2" t="n">
        <v>44503</v>
      </c>
      <c r="G4418" s="1" t="n"/>
    </row>
    <row r="4419">
      <c r="A4419" s="6" t="n">
        <v>487000</v>
      </c>
      <c r="B4419" s="6" t="inlineStr">
        <is>
          <t>MOGEN DAVID CONCORD</t>
        </is>
      </c>
      <c r="C4419" s="7">
        <f>VLOOKUP(A4419,SizeData!A$2:B$3839,2,FALSE)</f>
        <v/>
      </c>
      <c r="D4419" s="6" t="n">
        <v>1</v>
      </c>
      <c r="E4419" s="6" t="inlineStr">
        <is>
          <t>R1304788</t>
        </is>
      </c>
      <c r="F4419" s="2" t="n">
        <v>44506</v>
      </c>
      <c r="G4419" s="1" t="n"/>
    </row>
    <row r="4420">
      <c r="A4420" s="6" t="n">
        <v>487000</v>
      </c>
      <c r="B4420" s="6" t="inlineStr">
        <is>
          <t>MOGEN DAVID CONCORD</t>
        </is>
      </c>
      <c r="C4420" s="7">
        <f>VLOOKUP(A4420,SizeData!A$2:B$3839,2,FALSE)</f>
        <v/>
      </c>
      <c r="D4420" s="6" t="n">
        <v>3</v>
      </c>
      <c r="E4420" s="6" t="inlineStr">
        <is>
          <t xml:space="preserve"> R1358938</t>
        </is>
      </c>
      <c r="F4420" s="2" t="n">
        <v>44538</v>
      </c>
      <c r="G4420" s="1" t="n"/>
    </row>
    <row r="4421">
      <c r="A4421" s="6" t="n">
        <v>487010</v>
      </c>
      <c r="B4421" s="6" t="inlineStr">
        <is>
          <t>MOGEN DAVID CONCORD</t>
        </is>
      </c>
      <c r="C4421" s="7">
        <f>VLOOKUP(A4421,SizeData!A$2:B$3839,2,FALSE)</f>
        <v/>
      </c>
      <c r="D4421" s="6" t="n">
        <v>1</v>
      </c>
      <c r="E4421" s="6" t="inlineStr">
        <is>
          <t>R991186</t>
        </is>
      </c>
      <c r="F4421" s="2" t="n">
        <v>44203</v>
      </c>
      <c r="G4421" s="1" t="n"/>
    </row>
    <row r="4422">
      <c r="A4422" s="6" t="n">
        <v>487010</v>
      </c>
      <c r="B4422" s="6" t="inlineStr">
        <is>
          <t>MOGEN DAVID CONCORD</t>
        </is>
      </c>
      <c r="C4422" s="7">
        <f>VLOOKUP(A4422,SizeData!A$2:B$3839,2,FALSE)</f>
        <v/>
      </c>
      <c r="D4422" s="6" t="n">
        <v>5</v>
      </c>
      <c r="E4422" s="6" t="inlineStr">
        <is>
          <t>R994060</t>
        </is>
      </c>
      <c r="F4422" s="2" t="n">
        <v>44209</v>
      </c>
      <c r="G4422" s="1" t="n"/>
    </row>
    <row r="4423">
      <c r="A4423" s="6" t="n">
        <v>487010</v>
      </c>
      <c r="B4423" s="6" t="inlineStr">
        <is>
          <t>MOGEN DAVID CONCORD</t>
        </is>
      </c>
      <c r="C4423" s="7">
        <f>VLOOKUP(A4423,SizeData!A$2:B$3839,2,FALSE)</f>
        <v/>
      </c>
      <c r="D4423" s="6" t="n">
        <v>1</v>
      </c>
      <c r="E4423" s="6" t="inlineStr">
        <is>
          <t>R1007118</t>
        </is>
      </c>
      <c r="F4423" s="2" t="n">
        <v>44211</v>
      </c>
      <c r="G4423" s="1" t="n"/>
    </row>
    <row r="4424">
      <c r="A4424" s="6" t="n">
        <v>487010</v>
      </c>
      <c r="B4424" s="6" t="inlineStr">
        <is>
          <t>MOGEN DAVID CONCORD</t>
        </is>
      </c>
      <c r="C4424" s="7">
        <f>VLOOKUP(A4424,SizeData!A$2:B$3839,2,FALSE)</f>
        <v/>
      </c>
      <c r="D4424" s="6" t="n">
        <v>1</v>
      </c>
      <c r="E4424" s="6" t="inlineStr">
        <is>
          <t>R997848</t>
        </is>
      </c>
      <c r="F4424" s="2" t="n">
        <v>44212</v>
      </c>
      <c r="G4424" s="1" t="n"/>
    </row>
    <row r="4425">
      <c r="A4425" s="6" t="n">
        <v>487010</v>
      </c>
      <c r="B4425" s="6" t="inlineStr">
        <is>
          <t>MOGEN DAVID CONCORD</t>
        </is>
      </c>
      <c r="C4425" s="7">
        <f>VLOOKUP(A4425,SizeData!A$2:B$3839,2,FALSE)</f>
        <v/>
      </c>
      <c r="D4425" s="6" t="n">
        <v>1</v>
      </c>
      <c r="E4425" s="6" t="inlineStr">
        <is>
          <t>R998453</t>
        </is>
      </c>
      <c r="F4425" s="2" t="n">
        <v>44212</v>
      </c>
      <c r="G4425" s="1" t="n"/>
    </row>
    <row r="4426">
      <c r="A4426" s="6" t="n">
        <v>487010</v>
      </c>
      <c r="B4426" s="6" t="inlineStr">
        <is>
          <t>MOGEN DAVID CONCORD</t>
        </is>
      </c>
      <c r="C4426" s="7">
        <f>VLOOKUP(A4426,SizeData!A$2:B$3839,2,FALSE)</f>
        <v/>
      </c>
      <c r="D4426" s="6" t="n">
        <v>2</v>
      </c>
      <c r="E4426" s="6" t="inlineStr">
        <is>
          <t>R1003015</t>
        </is>
      </c>
      <c r="F4426" s="2" t="n">
        <v>44216</v>
      </c>
      <c r="G4426" s="1" t="n"/>
    </row>
    <row r="4427">
      <c r="A4427" s="6" t="n">
        <v>487010</v>
      </c>
      <c r="B4427" s="6" t="inlineStr">
        <is>
          <t>MOGEN DAVID CONCORD</t>
        </is>
      </c>
      <c r="C4427" s="7">
        <f>VLOOKUP(A4427,SizeData!A$2:B$3839,2,FALSE)</f>
        <v/>
      </c>
      <c r="D4427" s="6" t="n">
        <v>5</v>
      </c>
      <c r="E4427" s="6" t="inlineStr">
        <is>
          <t>R1040170</t>
        </is>
      </c>
      <c r="F4427" s="2" t="n">
        <v>44251</v>
      </c>
      <c r="G4427" s="1" t="n"/>
    </row>
    <row r="4428">
      <c r="A4428" s="6" t="n">
        <v>487010</v>
      </c>
      <c r="B4428" s="6" t="inlineStr">
        <is>
          <t>MOGEN DAVID CONCORD</t>
        </is>
      </c>
      <c r="C4428" s="7">
        <f>VLOOKUP(A4428,SizeData!A$2:B$3839,2,FALSE)</f>
        <v/>
      </c>
      <c r="D4428" s="6" t="n">
        <v>6</v>
      </c>
      <c r="E4428" s="6" t="inlineStr">
        <is>
          <t>R1066328</t>
        </is>
      </c>
      <c r="F4428" s="2" t="n">
        <v>44267</v>
      </c>
      <c r="G4428" s="1" t="n"/>
    </row>
    <row r="4429">
      <c r="A4429" s="6" t="n">
        <v>487010</v>
      </c>
      <c r="B4429" s="6" t="inlineStr">
        <is>
          <t>MOGEN DAVID CONCORD</t>
        </is>
      </c>
      <c r="C4429" s="7">
        <f>VLOOKUP(A4429,SizeData!A$2:B$3839,2,FALSE)</f>
        <v/>
      </c>
      <c r="D4429" s="6" t="n">
        <v>2</v>
      </c>
      <c r="E4429" s="6" t="inlineStr">
        <is>
          <t>R1111874</t>
        </is>
      </c>
      <c r="F4429" s="2" t="n">
        <v>44326</v>
      </c>
      <c r="G4429" s="1" t="n"/>
    </row>
    <row r="4430">
      <c r="A4430" s="6" t="n">
        <v>487010</v>
      </c>
      <c r="B4430" s="6" t="inlineStr">
        <is>
          <t>MOGEN DAVID CONCORD</t>
        </is>
      </c>
      <c r="C4430" s="7">
        <f>VLOOKUP(A4430,SizeData!A$2:B$3839,2,FALSE)</f>
        <v/>
      </c>
      <c r="D4430" s="6" t="n">
        <v>1</v>
      </c>
      <c r="E4430" s="6" t="inlineStr">
        <is>
          <t>R1132522</t>
        </is>
      </c>
      <c r="F4430" s="2" t="n">
        <v>44341</v>
      </c>
      <c r="G4430" s="1" t="n"/>
    </row>
    <row r="4431">
      <c r="A4431" s="6" t="n">
        <v>487010</v>
      </c>
      <c r="B4431" s="6" t="inlineStr">
        <is>
          <t>MOGEN DAVID CONCORD</t>
        </is>
      </c>
      <c r="C4431" s="7">
        <f>VLOOKUP(A4431,SizeData!A$2:B$3839,2,FALSE)</f>
        <v/>
      </c>
      <c r="D4431" s="6" t="n">
        <v>1</v>
      </c>
      <c r="E4431" s="6" t="inlineStr">
        <is>
          <t>R1165810</t>
        </is>
      </c>
      <c r="F4431" s="2" t="n">
        <v>44361</v>
      </c>
      <c r="G4431" s="1" t="n"/>
    </row>
    <row r="4432">
      <c r="A4432" s="6" t="n">
        <v>487010</v>
      </c>
      <c r="B4432" s="6" t="inlineStr">
        <is>
          <t>MOGEN DAVID CONCORD</t>
        </is>
      </c>
      <c r="C4432" s="7">
        <f>VLOOKUP(A4432,SizeData!A$2:B$3839,2,FALSE)</f>
        <v/>
      </c>
      <c r="D4432" s="6" t="n">
        <v>1</v>
      </c>
      <c r="E4432" s="6" t="inlineStr">
        <is>
          <t>R1171117</t>
        </is>
      </c>
      <c r="F4432" s="2" t="n">
        <v>44382</v>
      </c>
      <c r="G4432" s="1" t="n"/>
    </row>
    <row r="4433">
      <c r="A4433" s="6" t="n">
        <v>487010</v>
      </c>
      <c r="B4433" s="6" t="inlineStr">
        <is>
          <t>MOGEN DAVID CONCORD</t>
        </is>
      </c>
      <c r="C4433" s="7">
        <f>VLOOKUP(A4433,SizeData!A$2:B$3839,2,FALSE)</f>
        <v/>
      </c>
      <c r="D4433" s="6" t="n">
        <v>1</v>
      </c>
      <c r="E4433" s="6" t="inlineStr">
        <is>
          <t>R1173248</t>
        </is>
      </c>
      <c r="F4433" s="2" t="n">
        <v>44393</v>
      </c>
      <c r="G4433" s="1" t="n"/>
    </row>
    <row r="4434">
      <c r="A4434" s="6" t="n">
        <v>487010</v>
      </c>
      <c r="B4434" s="6" t="inlineStr">
        <is>
          <t>MOGEN DAVID CONCORD</t>
        </is>
      </c>
      <c r="C4434" s="7">
        <f>VLOOKUP(A4434,SizeData!A$2:B$3839,2,FALSE)</f>
        <v/>
      </c>
      <c r="D4434" s="6" t="n">
        <v>1</v>
      </c>
      <c r="E4434" s="6" t="inlineStr">
        <is>
          <t>R1174033</t>
        </is>
      </c>
      <c r="F4434" s="2" t="n">
        <v>44394</v>
      </c>
      <c r="G4434" s="1" t="n"/>
    </row>
    <row r="4435">
      <c r="A4435" s="6" t="n">
        <v>487010</v>
      </c>
      <c r="B4435" s="6" t="inlineStr">
        <is>
          <t>MOGEN DAVID CONCORD</t>
        </is>
      </c>
      <c r="C4435" s="7">
        <f>VLOOKUP(A4435,SizeData!A$2:B$3839,2,FALSE)</f>
        <v/>
      </c>
      <c r="D4435" s="6" t="n">
        <v>1</v>
      </c>
      <c r="E4435" s="6" t="inlineStr">
        <is>
          <t>R1246630</t>
        </is>
      </c>
      <c r="F4435" s="2" t="n">
        <v>44450</v>
      </c>
      <c r="G4435" s="1" t="n"/>
    </row>
    <row r="4436">
      <c r="A4436" s="6" t="n">
        <v>487010</v>
      </c>
      <c r="B4436" s="6" t="inlineStr">
        <is>
          <t>MOGEN DAVID CONCORD</t>
        </is>
      </c>
      <c r="C4436" s="7">
        <f>VLOOKUP(A4436,SizeData!A$2:B$3839,2,FALSE)</f>
        <v/>
      </c>
      <c r="D4436" s="6" t="n">
        <v>3</v>
      </c>
      <c r="E4436" s="6" t="inlineStr">
        <is>
          <t>R1239565</t>
        </is>
      </c>
      <c r="F4436" s="2" t="n">
        <v>44457</v>
      </c>
      <c r="G4436" s="1" t="n"/>
    </row>
    <row r="4437">
      <c r="A4437" s="6" t="n">
        <v>487010</v>
      </c>
      <c r="B4437" s="6" t="inlineStr">
        <is>
          <t>MOGEN DAVID CONCORD</t>
        </is>
      </c>
      <c r="C4437" s="7">
        <f>VLOOKUP(A4437,SizeData!A$2:B$3839,2,FALSE)</f>
        <v/>
      </c>
      <c r="D4437" s="6" t="n">
        <v>5</v>
      </c>
      <c r="E4437" s="6" t="inlineStr">
        <is>
          <t>R1338705</t>
        </is>
      </c>
      <c r="F4437" s="2" t="n">
        <v>44522</v>
      </c>
      <c r="G4437" s="1" t="n"/>
    </row>
    <row r="4438">
      <c r="A4438" s="6" t="n">
        <v>487010</v>
      </c>
      <c r="B4438" s="6" t="inlineStr">
        <is>
          <t>MOGEN DAVID CONCORD</t>
        </is>
      </c>
      <c r="C4438" s="7">
        <f>VLOOKUP(A4438,SizeData!A$2:B$3839,2,FALSE)</f>
        <v/>
      </c>
      <c r="D4438" s="6" t="n">
        <v>2</v>
      </c>
      <c r="E4438" s="6" t="inlineStr">
        <is>
          <t>R1335695</t>
        </is>
      </c>
      <c r="F4438" s="2" t="n">
        <v>44525</v>
      </c>
      <c r="G4438" s="1" t="n"/>
    </row>
    <row r="4439">
      <c r="A4439" s="6" t="n">
        <v>487020</v>
      </c>
      <c r="B4439" s="6" t="inlineStr">
        <is>
          <t>MOGEN DAVID CONCORD</t>
        </is>
      </c>
      <c r="C4439" s="7">
        <f>VLOOKUP(A4439,SizeData!A$2:B$3839,2,FALSE)</f>
        <v/>
      </c>
      <c r="D4439" s="6" t="n">
        <v>3</v>
      </c>
      <c r="E4439" s="6" t="inlineStr">
        <is>
          <t>R994060</t>
        </is>
      </c>
      <c r="F4439" s="2" t="n">
        <v>44209</v>
      </c>
      <c r="G4439" s="1" t="n"/>
    </row>
    <row r="4440">
      <c r="A4440" s="6" t="n">
        <v>487020</v>
      </c>
      <c r="B4440" s="6" t="inlineStr">
        <is>
          <t>MOGEN DAVID CONCORD</t>
        </is>
      </c>
      <c r="C4440" s="7">
        <f>VLOOKUP(A4440,SizeData!A$2:B$3839,2,FALSE)</f>
        <v/>
      </c>
      <c r="D4440" s="6" t="n">
        <v>2</v>
      </c>
      <c r="E4440" s="6" t="inlineStr">
        <is>
          <t>R1066328</t>
        </is>
      </c>
      <c r="F4440" s="2" t="n">
        <v>44267</v>
      </c>
      <c r="G4440" s="1" t="n"/>
    </row>
    <row r="4441">
      <c r="A4441" s="6" t="n">
        <v>487020</v>
      </c>
      <c r="B4441" s="6" t="inlineStr">
        <is>
          <t>MOGEN DAVID CONCORD</t>
        </is>
      </c>
      <c r="C4441" s="7">
        <f>VLOOKUP(A4441,SizeData!A$2:B$3839,2,FALSE)</f>
        <v/>
      </c>
      <c r="D4441" s="6" t="n">
        <v>1</v>
      </c>
      <c r="E4441" s="6" t="inlineStr">
        <is>
          <t>R1083538</t>
        </is>
      </c>
      <c r="F4441" s="2" t="n">
        <v>44292</v>
      </c>
      <c r="G4441" s="1" t="n"/>
    </row>
    <row r="4442">
      <c r="A4442" s="6" t="n">
        <v>487020</v>
      </c>
      <c r="B4442" s="6" t="inlineStr">
        <is>
          <t>MOGEN DAVID CONCORD</t>
        </is>
      </c>
      <c r="C4442" s="7">
        <f>VLOOKUP(A4442,SizeData!A$2:B$3839,2,FALSE)</f>
        <v/>
      </c>
      <c r="D4442" s="6" t="n">
        <v>1</v>
      </c>
      <c r="E4442" s="6" t="inlineStr">
        <is>
          <t>R1111205</t>
        </is>
      </c>
      <c r="F4442" s="2" t="n">
        <v>44313</v>
      </c>
      <c r="G4442" s="1" t="n"/>
    </row>
    <row r="4443">
      <c r="A4443" s="6" t="n">
        <v>487020</v>
      </c>
      <c r="B4443" s="6" t="inlineStr">
        <is>
          <t>MOGEN DAVID CONCORD</t>
        </is>
      </c>
      <c r="C4443" s="7">
        <f>VLOOKUP(A4443,SizeData!A$2:B$3839,2,FALSE)</f>
        <v/>
      </c>
      <c r="D4443" s="6" t="n">
        <v>2</v>
      </c>
      <c r="E4443" s="6" t="inlineStr">
        <is>
          <t>R1109607</t>
        </is>
      </c>
      <c r="F4443" s="2" t="n">
        <v>44317</v>
      </c>
      <c r="G4443" s="1" t="n"/>
    </row>
    <row r="4444">
      <c r="A4444" s="6" t="n">
        <v>487020</v>
      </c>
      <c r="B4444" s="6" t="inlineStr">
        <is>
          <t>MOGEN DAVID CONCORD</t>
        </is>
      </c>
      <c r="C4444" s="7">
        <f>VLOOKUP(A4444,SizeData!A$2:B$3839,2,FALSE)</f>
        <v/>
      </c>
      <c r="D4444" s="6" t="n">
        <v>1</v>
      </c>
      <c r="E4444" s="6" t="inlineStr">
        <is>
          <t>R1122623</t>
        </is>
      </c>
      <c r="F4444" s="2" t="n">
        <v>44331</v>
      </c>
      <c r="G4444" s="1" t="n"/>
    </row>
    <row r="4445">
      <c r="A4445" s="6" t="n">
        <v>487020</v>
      </c>
      <c r="B4445" s="6" t="inlineStr">
        <is>
          <t>MOGEN DAVID CONCORD</t>
        </is>
      </c>
      <c r="C4445" s="7">
        <f>VLOOKUP(A4445,SizeData!A$2:B$3839,2,FALSE)</f>
        <v/>
      </c>
      <c r="D4445" s="6" t="n">
        <v>2</v>
      </c>
      <c r="E4445" s="6" t="inlineStr">
        <is>
          <t xml:space="preserve"> R1188252</t>
        </is>
      </c>
      <c r="F4445" s="2" t="n">
        <v>44406</v>
      </c>
      <c r="G4445" s="1" t="n"/>
    </row>
    <row r="4446">
      <c r="A4446" s="6" t="n">
        <v>487020</v>
      </c>
      <c r="B4446" s="6" t="inlineStr">
        <is>
          <t>MOGEN DAVID CONCORD</t>
        </is>
      </c>
      <c r="C4446" s="7">
        <f>VLOOKUP(A4446,SizeData!A$2:B$3839,2,FALSE)</f>
        <v/>
      </c>
      <c r="D4446" s="6" t="n">
        <v>1</v>
      </c>
      <c r="E4446" s="6" t="inlineStr">
        <is>
          <t>R1224208</t>
        </is>
      </c>
      <c r="F4446" s="2" t="n">
        <v>44436</v>
      </c>
      <c r="G4446" s="1" t="n"/>
    </row>
    <row r="4447">
      <c r="A4447" s="6" t="n">
        <v>487020</v>
      </c>
      <c r="B4447" s="6" t="inlineStr">
        <is>
          <t>MOGEN DAVID CONCORD</t>
        </is>
      </c>
      <c r="C4447" s="7">
        <f>VLOOKUP(A4447,SizeData!A$2:B$3839,2,FALSE)</f>
        <v/>
      </c>
      <c r="D4447" s="6" t="n">
        <v>1</v>
      </c>
      <c r="E4447" s="6" t="inlineStr">
        <is>
          <t xml:space="preserve"> R1264833</t>
        </is>
      </c>
      <c r="F4447" s="2" t="n">
        <v>44471</v>
      </c>
      <c r="G4447" s="1" t="n"/>
    </row>
    <row r="4448">
      <c r="A4448" s="6" t="n">
        <v>487020</v>
      </c>
      <c r="B4448" s="6" t="inlineStr">
        <is>
          <t>MOGEN DAVID CONCORD</t>
        </is>
      </c>
      <c r="C4448" s="7">
        <f>VLOOKUP(A4448,SizeData!A$2:B$3839,2,FALSE)</f>
        <v/>
      </c>
      <c r="D4448" s="6" t="n">
        <v>1</v>
      </c>
      <c r="E4448" s="6" t="inlineStr">
        <is>
          <t>R1320287</t>
        </is>
      </c>
      <c r="F4448" s="2" t="n">
        <v>44506</v>
      </c>
      <c r="G4448" s="1" t="n"/>
    </row>
    <row r="4449">
      <c r="A4449" s="6" t="n">
        <v>487020</v>
      </c>
      <c r="B4449" s="6" t="inlineStr">
        <is>
          <t>MOGEN DAVID CONCORD</t>
        </is>
      </c>
      <c r="C4449" s="7">
        <f>VLOOKUP(A4449,SizeData!A$2:B$3839,2,FALSE)</f>
        <v/>
      </c>
      <c r="D4449" s="6" t="n">
        <v>1</v>
      </c>
      <c r="E4449" s="6" t="inlineStr">
        <is>
          <t>R1335695</t>
        </is>
      </c>
      <c r="F4449" s="2" t="n">
        <v>44525</v>
      </c>
      <c r="G4449" s="1" t="n"/>
    </row>
    <row r="4450">
      <c r="A4450" s="6" t="n">
        <v>487020</v>
      </c>
      <c r="B4450" s="6" t="inlineStr">
        <is>
          <t>MOGEN DAVID CONCORD</t>
        </is>
      </c>
      <c r="C4450" s="7">
        <f>VLOOKUP(A4450,SizeData!A$2:B$3839,2,FALSE)</f>
        <v/>
      </c>
      <c r="D4450" s="6" t="n">
        <v>4</v>
      </c>
      <c r="E4450" s="6" t="inlineStr">
        <is>
          <t>R1347154</t>
        </is>
      </c>
      <c r="F4450" s="2" t="n">
        <v>44536</v>
      </c>
      <c r="G4450" s="1" t="n"/>
    </row>
    <row r="4451">
      <c r="A4451" s="6" t="n">
        <v>489388</v>
      </c>
      <c r="B4451" s="6" t="inlineStr">
        <is>
          <t>MIRASSOU PINOT NOIR</t>
        </is>
      </c>
      <c r="C4451" s="7">
        <f>VLOOKUP(A4451,SizeData!A$2:B$3839,2,FALSE)</f>
        <v/>
      </c>
      <c r="D4451" s="6" t="n">
        <v>1</v>
      </c>
      <c r="E4451" s="6" t="inlineStr">
        <is>
          <t>R1036739</t>
        </is>
      </c>
      <c r="F4451" s="2" t="n">
        <v>44249</v>
      </c>
      <c r="G4451" s="1" t="n"/>
    </row>
    <row r="4452">
      <c r="A4452" s="6" t="n">
        <v>490692</v>
      </c>
      <c r="B4452" s="6" t="inlineStr">
        <is>
          <t>19 CRIMES MODERN CALI RED</t>
        </is>
      </c>
      <c r="C4452" s="7">
        <f>VLOOKUP(A4452,SizeData!A$2:B$3839,2,FALSE)</f>
        <v/>
      </c>
      <c r="D4452" s="6" t="n">
        <v>10</v>
      </c>
      <c r="E4452" s="6" t="inlineStr">
        <is>
          <t>R1007013</t>
        </is>
      </c>
      <c r="F4452" s="2" t="n">
        <v>44212</v>
      </c>
      <c r="G4452" s="1" t="n"/>
    </row>
    <row r="4453">
      <c r="A4453" s="6" t="n">
        <v>490692</v>
      </c>
      <c r="B4453" s="6" t="inlineStr">
        <is>
          <t>19 CRIMES MODERN CALI RED</t>
        </is>
      </c>
      <c r="C4453" s="7">
        <f>VLOOKUP(A4453,SizeData!A$2:B$3839,2,FALSE)</f>
        <v/>
      </c>
      <c r="D4453" s="6" t="n">
        <v>5</v>
      </c>
      <c r="E4453" s="6" t="inlineStr">
        <is>
          <t>R1079257</t>
        </is>
      </c>
      <c r="F4453" s="2" t="n">
        <v>44298</v>
      </c>
      <c r="G4453" s="1" t="n"/>
    </row>
    <row r="4454">
      <c r="A4454" s="6" t="n">
        <v>490692</v>
      </c>
      <c r="B4454" s="6" t="inlineStr">
        <is>
          <t>19 CRIMES MODERN CALI RED</t>
        </is>
      </c>
      <c r="C4454" s="7">
        <f>VLOOKUP(A4454,SizeData!A$2:B$3839,2,FALSE)</f>
        <v/>
      </c>
      <c r="D4454" s="6" t="n">
        <v>2</v>
      </c>
      <c r="E4454" s="6" t="inlineStr">
        <is>
          <t xml:space="preserve"> R1125172</t>
        </is>
      </c>
      <c r="F4454" s="2" t="n">
        <v>44322</v>
      </c>
      <c r="G4454" s="1" t="n"/>
    </row>
    <row r="4455">
      <c r="A4455" s="6" t="n">
        <v>490692</v>
      </c>
      <c r="B4455" s="6" t="inlineStr">
        <is>
          <t>19 CRIMES MODERN CALI RED</t>
        </is>
      </c>
      <c r="C4455" s="7">
        <f>VLOOKUP(A4455,SizeData!A$2:B$3839,2,FALSE)</f>
        <v/>
      </c>
      <c r="D4455" s="6" t="n">
        <v>1</v>
      </c>
      <c r="E4455" s="6" t="inlineStr">
        <is>
          <t>R1136630</t>
        </is>
      </c>
      <c r="F4455" s="2" t="n">
        <v>44341</v>
      </c>
      <c r="G4455" s="1" t="n"/>
    </row>
    <row r="4456">
      <c r="A4456" s="6" t="n">
        <v>490692</v>
      </c>
      <c r="B4456" s="6" t="inlineStr">
        <is>
          <t>19 CRIMES MODERN CALI RED</t>
        </is>
      </c>
      <c r="C4456" s="7">
        <f>VLOOKUP(A4456,SizeData!A$2:B$3839,2,FALSE)</f>
        <v/>
      </c>
      <c r="D4456" s="6" t="n">
        <v>3</v>
      </c>
      <c r="E4456" s="6" t="inlineStr">
        <is>
          <t>R1166742</t>
        </is>
      </c>
      <c r="F4456" s="2" t="n">
        <v>44372</v>
      </c>
      <c r="G4456" s="1" t="n"/>
    </row>
    <row r="4457">
      <c r="A4457" s="6" t="n">
        <v>490692</v>
      </c>
      <c r="B4457" s="6" t="inlineStr">
        <is>
          <t>19 CRIMES MODERN CALI RED</t>
        </is>
      </c>
      <c r="C4457" s="7">
        <f>VLOOKUP(A4457,SizeData!A$2:B$3839,2,FALSE)</f>
        <v/>
      </c>
      <c r="D4457" s="6" t="n">
        <v>3</v>
      </c>
      <c r="E4457" s="6" t="inlineStr">
        <is>
          <t>R1154725</t>
        </is>
      </c>
      <c r="F4457" s="2" t="n">
        <v>44376</v>
      </c>
      <c r="G4457" s="1" t="n"/>
    </row>
    <row r="4458">
      <c r="A4458" s="6" t="n">
        <v>490692</v>
      </c>
      <c r="B4458" s="6" t="inlineStr">
        <is>
          <t>19 CRIMES MODERN CALI RED</t>
        </is>
      </c>
      <c r="C4458" s="7">
        <f>VLOOKUP(A4458,SizeData!A$2:B$3839,2,FALSE)</f>
        <v/>
      </c>
      <c r="D4458" s="6" t="n">
        <v>2</v>
      </c>
      <c r="E4458" s="6" t="inlineStr">
        <is>
          <t>R1172969</t>
        </is>
      </c>
      <c r="F4458" s="2" t="n">
        <v>44396</v>
      </c>
      <c r="G4458" s="1" t="n"/>
    </row>
    <row r="4459">
      <c r="A4459" s="6" t="n">
        <v>490692</v>
      </c>
      <c r="B4459" s="6" t="inlineStr">
        <is>
          <t>19 CRIMES MODERN CALI RED</t>
        </is>
      </c>
      <c r="C4459" s="7">
        <f>VLOOKUP(A4459,SizeData!A$2:B$3839,2,FALSE)</f>
        <v/>
      </c>
      <c r="D4459" s="6" t="n">
        <v>1</v>
      </c>
      <c r="E4459" s="6" t="inlineStr">
        <is>
          <t>R1226354</t>
        </is>
      </c>
      <c r="F4459" s="2" t="n">
        <v>44434</v>
      </c>
      <c r="G4459" s="1" t="n"/>
    </row>
    <row r="4460">
      <c r="A4460" s="6" t="n">
        <v>490692</v>
      </c>
      <c r="B4460" s="6" t="inlineStr">
        <is>
          <t>19 CRIMES MODERN CALI RED</t>
        </is>
      </c>
      <c r="C4460" s="7">
        <f>VLOOKUP(A4460,SizeData!A$2:B$3839,2,FALSE)</f>
        <v/>
      </c>
      <c r="D4460" s="6" t="n">
        <v>2</v>
      </c>
      <c r="E4460" s="6" t="inlineStr">
        <is>
          <t>R1307558</t>
        </is>
      </c>
      <c r="F4460" s="2" t="n">
        <v>44502</v>
      </c>
      <c r="G4460" s="1" t="n"/>
    </row>
    <row r="4461">
      <c r="A4461" s="6" t="n">
        <v>490692</v>
      </c>
      <c r="B4461" s="6" t="inlineStr">
        <is>
          <t>19 CRIMES MODERN CALI RED</t>
        </is>
      </c>
      <c r="C4461" s="7">
        <f>VLOOKUP(A4461,SizeData!A$2:B$3839,2,FALSE)</f>
        <v/>
      </c>
      <c r="D4461" s="6" t="n">
        <v>2</v>
      </c>
      <c r="E4461" s="6" t="inlineStr">
        <is>
          <t>R1345582</t>
        </is>
      </c>
      <c r="F4461" s="2" t="n">
        <v>44526</v>
      </c>
      <c r="G4461" s="1" t="n"/>
    </row>
    <row r="4462">
      <c r="A4462" s="6" t="n">
        <v>490692</v>
      </c>
      <c r="B4462" s="6" t="inlineStr">
        <is>
          <t>19 CRIMES MODERN CALI RED</t>
        </is>
      </c>
      <c r="C4462" s="7">
        <f>VLOOKUP(A4462,SizeData!A$2:B$3839,2,FALSE)</f>
        <v/>
      </c>
      <c r="D4462" s="6" t="n">
        <v>2</v>
      </c>
      <c r="E4462" s="6" t="inlineStr">
        <is>
          <t>R1333539</t>
        </is>
      </c>
      <c r="F4462" s="2" t="n">
        <v>44527</v>
      </c>
      <c r="G4462" s="1" t="n"/>
    </row>
    <row r="4463">
      <c r="A4463" s="6" t="n">
        <v>498044</v>
      </c>
      <c r="B4463" s="6" t="inlineStr">
        <is>
          <t>ROBERT MONDAVI PVT SEL BOURBON BARREL CAB SAUV</t>
        </is>
      </c>
      <c r="C4463" s="7">
        <f>VLOOKUP(A4463,SizeData!A$2:B$3839,2,FALSE)</f>
        <v/>
      </c>
      <c r="D4463" s="6" t="n">
        <v>1</v>
      </c>
      <c r="E4463" s="6" t="inlineStr">
        <is>
          <t>R1071489</t>
        </is>
      </c>
      <c r="F4463" s="2" t="n">
        <v>44281</v>
      </c>
      <c r="G4463" s="1" t="n"/>
    </row>
    <row r="4464">
      <c r="A4464" s="6" t="n">
        <v>498044</v>
      </c>
      <c r="B4464" s="6" t="inlineStr">
        <is>
          <t>ROBERT MONDAVI PVT SEL BOURBON BARREL CAB SAUV</t>
        </is>
      </c>
      <c r="C4464" s="7">
        <f>VLOOKUP(A4464,SizeData!A$2:B$3839,2,FALSE)</f>
        <v/>
      </c>
      <c r="D4464" s="6" t="n">
        <v>1</v>
      </c>
      <c r="E4464" s="6" t="inlineStr">
        <is>
          <t>R1183128</t>
        </is>
      </c>
      <c r="F4464" s="2" t="n">
        <v>44398</v>
      </c>
      <c r="G4464" s="1" t="n"/>
    </row>
    <row r="4465">
      <c r="A4465" s="6" t="n">
        <v>498105</v>
      </c>
      <c r="B4465" s="6" t="inlineStr">
        <is>
          <t>WOODBRIDGE CABERNET SAUVIGNON</t>
        </is>
      </c>
      <c r="C4465" s="7">
        <f>VLOOKUP(A4465,SizeData!A$2:B$3839,2,FALSE)</f>
        <v/>
      </c>
      <c r="D4465" s="6" t="n">
        <v>1</v>
      </c>
      <c r="E4465" s="6" t="inlineStr">
        <is>
          <t>R1028665</t>
        </is>
      </c>
      <c r="F4465" s="2" t="n">
        <v>44247</v>
      </c>
      <c r="G4465" s="1" t="n"/>
    </row>
    <row r="4466">
      <c r="A4466" s="6" t="n">
        <v>498105</v>
      </c>
      <c r="B4466" s="6" t="inlineStr">
        <is>
          <t>WOODBRIDGE CABERNET SAUVIGNON</t>
        </is>
      </c>
      <c r="C4466" s="7">
        <f>VLOOKUP(A4466,SizeData!A$2:B$3839,2,FALSE)</f>
        <v/>
      </c>
      <c r="D4466" s="6" t="n">
        <v>2</v>
      </c>
      <c r="E4466" s="6" t="inlineStr">
        <is>
          <t>R1134794</t>
        </is>
      </c>
      <c r="F4466" s="2" t="n">
        <v>44365</v>
      </c>
      <c r="G4466" s="1" t="n"/>
    </row>
    <row r="4467">
      <c r="A4467" s="6" t="n">
        <v>498105</v>
      </c>
      <c r="B4467" s="6" t="inlineStr">
        <is>
          <t>WOODBRIDGE CABERNET SAUVIGNON</t>
        </is>
      </c>
      <c r="C4467" s="7">
        <f>VLOOKUP(A4467,SizeData!A$2:B$3839,2,FALSE)</f>
        <v/>
      </c>
      <c r="D4467" s="6" t="n">
        <v>1</v>
      </c>
      <c r="E4467" s="6" t="inlineStr">
        <is>
          <t xml:space="preserve"> R1223918</t>
        </is>
      </c>
      <c r="F4467" s="2" t="n">
        <v>44434</v>
      </c>
      <c r="G4467" s="1" t="n"/>
    </row>
    <row r="4468">
      <c r="A4468" s="6" t="n">
        <v>498123</v>
      </c>
      <c r="B4468" s="6" t="inlineStr">
        <is>
          <t>WOODBRIDGE PINOT NOIR</t>
        </is>
      </c>
      <c r="C4468" s="7">
        <f>VLOOKUP(A4468,SizeData!A$2:B$3839,2,FALSE)</f>
        <v/>
      </c>
      <c r="D4468" s="6" t="n">
        <v>1</v>
      </c>
      <c r="E4468" s="6" t="inlineStr">
        <is>
          <t>R1137831</t>
        </is>
      </c>
      <c r="F4468" s="2" t="n">
        <v>44348</v>
      </c>
      <c r="G4468" s="1" t="n"/>
    </row>
    <row r="4469">
      <c r="A4469" s="6" t="n">
        <v>498123</v>
      </c>
      <c r="B4469" s="6" t="inlineStr">
        <is>
          <t>WOODBRIDGE PINOT NOIR</t>
        </is>
      </c>
      <c r="C4469" s="7">
        <f>VLOOKUP(A4469,SizeData!A$2:B$3839,2,FALSE)</f>
        <v/>
      </c>
      <c r="D4469" s="6" t="n">
        <v>1</v>
      </c>
      <c r="E4469" s="6" t="inlineStr">
        <is>
          <t>R1142808</t>
        </is>
      </c>
      <c r="F4469" s="2" t="n">
        <v>44352</v>
      </c>
      <c r="G4469" s="1" t="n"/>
    </row>
    <row r="4470">
      <c r="A4470" s="6" t="n">
        <v>503850</v>
      </c>
      <c r="B4470" s="6" t="inlineStr">
        <is>
          <t>SALT OF THE EARTH MOSCATO RUBINO</t>
        </is>
      </c>
      <c r="C4470" s="7">
        <f>VLOOKUP(A4470,SizeData!A$2:B$3839,2,FALSE)</f>
        <v/>
      </c>
      <c r="D4470" s="6" t="n">
        <v>10</v>
      </c>
      <c r="E4470" s="6" t="inlineStr">
        <is>
          <t>R1058858</t>
        </is>
      </c>
      <c r="F4470" s="2" t="n">
        <v>44279</v>
      </c>
      <c r="G4470" s="1" t="n"/>
    </row>
    <row r="4471">
      <c r="A4471" s="6" t="n">
        <v>503850</v>
      </c>
      <c r="B4471" s="6" t="inlineStr">
        <is>
          <t>SALT OF THE EARTH MOSCATO RUBINO</t>
        </is>
      </c>
      <c r="C4471" s="7">
        <f>VLOOKUP(A4471,SizeData!A$2:B$3839,2,FALSE)</f>
        <v/>
      </c>
      <c r="D4471" s="6" t="n">
        <v>10</v>
      </c>
      <c r="E4471" s="6" t="inlineStr">
        <is>
          <t>R1069379</t>
        </is>
      </c>
      <c r="F4471" s="2" t="n">
        <v>44286</v>
      </c>
      <c r="G4471" s="1" t="n"/>
    </row>
    <row r="4472">
      <c r="A4472" s="6" t="n">
        <v>503850</v>
      </c>
      <c r="B4472" s="6" t="inlineStr">
        <is>
          <t>SALT OF THE EARTH MOSCATO RUBINO</t>
        </is>
      </c>
      <c r="C4472" s="7">
        <f>VLOOKUP(A4472,SizeData!A$2:B$3839,2,FALSE)</f>
        <v/>
      </c>
      <c r="D4472" s="6" t="n">
        <v>10</v>
      </c>
      <c r="E4472" s="6" t="inlineStr">
        <is>
          <t>R1101208</t>
        </is>
      </c>
      <c r="F4472" s="2" t="n">
        <v>44301</v>
      </c>
      <c r="G4472" s="1" t="n"/>
    </row>
    <row r="4473">
      <c r="A4473" s="6" t="n">
        <v>503850</v>
      </c>
      <c r="B4473" s="6" t="inlineStr">
        <is>
          <t>SALT OF THE EARTH MOSCATO RUBINO</t>
        </is>
      </c>
      <c r="C4473" s="7">
        <f>VLOOKUP(A4473,SizeData!A$2:B$3839,2,FALSE)</f>
        <v/>
      </c>
      <c r="D4473" s="6" t="n">
        <v>10</v>
      </c>
      <c r="E4473" s="6" t="inlineStr">
        <is>
          <t>R1093257</t>
        </is>
      </c>
      <c r="F4473" s="2" t="n">
        <v>44307</v>
      </c>
      <c r="G4473" s="1" t="n"/>
    </row>
    <row r="4474">
      <c r="A4474" s="6" t="n">
        <v>503850</v>
      </c>
      <c r="B4474" s="6" t="inlineStr">
        <is>
          <t>SALT OF THE EARTH MOSCATO RUBINO</t>
        </is>
      </c>
      <c r="C4474" s="7">
        <f>VLOOKUP(A4474,SizeData!A$2:B$3839,2,FALSE)</f>
        <v/>
      </c>
      <c r="D4474" s="6" t="n">
        <v>5</v>
      </c>
      <c r="E4474" s="6" t="inlineStr">
        <is>
          <t>R1118814</t>
        </is>
      </c>
      <c r="F4474" s="2" t="n">
        <v>44328</v>
      </c>
      <c r="G4474" s="1" t="n"/>
    </row>
    <row r="4475">
      <c r="A4475" s="6" t="n">
        <v>503850</v>
      </c>
      <c r="B4475" s="6" t="inlineStr">
        <is>
          <t>SALT OF THE EARTH MOSCATO RUBINO</t>
        </is>
      </c>
      <c r="C4475" s="7">
        <f>VLOOKUP(A4475,SizeData!A$2:B$3839,2,FALSE)</f>
        <v/>
      </c>
      <c r="D4475" s="6" t="n">
        <v>5</v>
      </c>
      <c r="E4475" s="6" t="inlineStr">
        <is>
          <t>R1123607</t>
        </is>
      </c>
      <c r="F4475" s="2" t="n">
        <v>44335</v>
      </c>
      <c r="G4475" s="1" t="n"/>
    </row>
    <row r="4476">
      <c r="A4476" s="6" t="n">
        <v>503850</v>
      </c>
      <c r="B4476" s="6" t="inlineStr">
        <is>
          <t>SALT OF THE EARTH MOSCATO RUBINO</t>
        </is>
      </c>
      <c r="C4476" s="7">
        <f>VLOOKUP(A4476,SizeData!A$2:B$3839,2,FALSE)</f>
        <v/>
      </c>
      <c r="D4476" s="6" t="n">
        <v>5</v>
      </c>
      <c r="E4476" s="6" t="inlineStr">
        <is>
          <t>R1137702</t>
        </is>
      </c>
      <c r="F4476" s="2" t="n">
        <v>44342</v>
      </c>
      <c r="G4476" s="1" t="n"/>
    </row>
    <row r="4477">
      <c r="A4477" s="6" t="n">
        <v>503850</v>
      </c>
      <c r="B4477" s="6" t="inlineStr">
        <is>
          <t>SALT OF THE EARTH MOSCATO RUBINO</t>
        </is>
      </c>
      <c r="C4477" s="7">
        <f>VLOOKUP(A4477,SizeData!A$2:B$3839,2,FALSE)</f>
        <v/>
      </c>
      <c r="D4477" s="6" t="n">
        <v>5</v>
      </c>
      <c r="E4477" s="6" t="inlineStr">
        <is>
          <t>R1146432</t>
        </is>
      </c>
      <c r="F4477" s="2" t="n">
        <v>44356</v>
      </c>
      <c r="G4477" s="1" t="n"/>
    </row>
    <row r="4478">
      <c r="A4478" s="6" t="n">
        <v>503850</v>
      </c>
      <c r="B4478" s="6" t="inlineStr">
        <is>
          <t>SALT OF THE EARTH MOSCATO RUBINO</t>
        </is>
      </c>
      <c r="C4478" s="7">
        <f>VLOOKUP(A4478,SizeData!A$2:B$3839,2,FALSE)</f>
        <v/>
      </c>
      <c r="D4478" s="6" t="n">
        <v>5</v>
      </c>
      <c r="E4478" s="6" t="inlineStr">
        <is>
          <t xml:space="preserve"> R1160715</t>
        </is>
      </c>
      <c r="F4478" s="2" t="n">
        <v>44363</v>
      </c>
      <c r="G4478" s="1" t="n"/>
    </row>
    <row r="4479">
      <c r="A4479" s="6" t="n">
        <v>503850</v>
      </c>
      <c r="B4479" s="6" t="inlineStr">
        <is>
          <t>SALT OF THE EARTH MOSCATO RUBINO</t>
        </is>
      </c>
      <c r="C4479" s="7">
        <f>VLOOKUP(A4479,SizeData!A$2:B$3839,2,FALSE)</f>
        <v/>
      </c>
      <c r="D4479" s="6" t="n">
        <v>5</v>
      </c>
      <c r="E4479" s="6" t="inlineStr">
        <is>
          <t>R1155966</t>
        </is>
      </c>
      <c r="F4479" s="2" t="n">
        <v>44370</v>
      </c>
      <c r="G4479" s="1" t="n"/>
    </row>
    <row r="4480">
      <c r="A4480" s="6" t="n">
        <v>503850</v>
      </c>
      <c r="B4480" s="6" t="inlineStr">
        <is>
          <t>SALT OF THE EARTH MOSCATO RUBINO</t>
        </is>
      </c>
      <c r="C4480" s="7">
        <f>VLOOKUP(A4480,SizeData!A$2:B$3839,2,FALSE)</f>
        <v/>
      </c>
      <c r="D4480" s="6" t="n">
        <v>5</v>
      </c>
      <c r="E4480" s="6" t="inlineStr">
        <is>
          <t>R1180615</t>
        </is>
      </c>
      <c r="F4480" s="2" t="n">
        <v>44384</v>
      </c>
      <c r="G4480" s="1" t="n"/>
    </row>
    <row r="4481">
      <c r="A4481" s="6" t="n">
        <v>503850</v>
      </c>
      <c r="B4481" s="6" t="inlineStr">
        <is>
          <t>SALT OF THE EARTH MOSCATO RUBINO</t>
        </is>
      </c>
      <c r="C4481" s="7">
        <f>VLOOKUP(A4481,SizeData!A$2:B$3839,2,FALSE)</f>
        <v/>
      </c>
      <c r="D4481" s="6" t="n">
        <v>5</v>
      </c>
      <c r="E4481" s="6" t="inlineStr">
        <is>
          <t>R1173019</t>
        </is>
      </c>
      <c r="F4481" s="2" t="n">
        <v>44391</v>
      </c>
      <c r="G4481" s="1" t="n"/>
    </row>
    <row r="4482">
      <c r="A4482" s="6" t="n">
        <v>503850</v>
      </c>
      <c r="B4482" s="6" t="inlineStr">
        <is>
          <t>SALT OF THE EARTH MOSCATO RUBINO</t>
        </is>
      </c>
      <c r="C4482" s="7">
        <f>VLOOKUP(A4482,SizeData!A$2:B$3839,2,FALSE)</f>
        <v/>
      </c>
      <c r="D4482" s="6" t="n">
        <v>5</v>
      </c>
      <c r="E4482" s="6" t="inlineStr">
        <is>
          <t xml:space="preserve"> R1174563</t>
        </is>
      </c>
      <c r="F4482" s="2" t="n">
        <v>44398</v>
      </c>
      <c r="G4482" s="1" t="n"/>
    </row>
    <row r="4483">
      <c r="A4483" s="6" t="n">
        <v>503850</v>
      </c>
      <c r="B4483" s="6" t="inlineStr">
        <is>
          <t>SALT OF THE EARTH MOSCATO RUBINO</t>
        </is>
      </c>
      <c r="C4483" s="7">
        <f>VLOOKUP(A4483,SizeData!A$2:B$3839,2,FALSE)</f>
        <v/>
      </c>
      <c r="D4483" s="6" t="n">
        <v>5</v>
      </c>
      <c r="E4483" s="6" t="inlineStr">
        <is>
          <t xml:space="preserve"> R1202273</t>
        </is>
      </c>
      <c r="F4483" s="2" t="n">
        <v>44419</v>
      </c>
      <c r="G4483" s="1" t="n"/>
    </row>
    <row r="4484">
      <c r="A4484" s="6" t="n">
        <v>503850</v>
      </c>
      <c r="B4484" s="6" t="inlineStr">
        <is>
          <t>SALT OF THE EARTH MOSCATO RUBINO</t>
        </is>
      </c>
      <c r="C4484" s="7">
        <f>VLOOKUP(A4484,SizeData!A$2:B$3839,2,FALSE)</f>
        <v/>
      </c>
      <c r="D4484" s="6" t="n">
        <v>4</v>
      </c>
      <c r="E4484" s="6" t="inlineStr">
        <is>
          <t>R1231776</t>
        </is>
      </c>
      <c r="F4484" s="2" t="n">
        <v>44447</v>
      </c>
      <c r="G4484" s="1" t="n"/>
    </row>
    <row r="4485">
      <c r="A4485" s="6" t="n">
        <v>503850</v>
      </c>
      <c r="B4485" s="6" t="inlineStr">
        <is>
          <t>SALT OF THE EARTH MOSCATO RUBINO</t>
        </is>
      </c>
      <c r="C4485" s="7">
        <f>VLOOKUP(A4485,SizeData!A$2:B$3839,2,FALSE)</f>
        <v/>
      </c>
      <c r="D4485" s="6" t="n">
        <v>5</v>
      </c>
      <c r="E4485" s="6" t="inlineStr">
        <is>
          <t>R1250295</t>
        </is>
      </c>
      <c r="F4485" s="2" t="n">
        <v>44453</v>
      </c>
      <c r="G4485" s="1" t="n"/>
    </row>
    <row r="4486">
      <c r="A4486" s="6" t="n">
        <v>503850</v>
      </c>
      <c r="B4486" s="6" t="inlineStr">
        <is>
          <t>SALT OF THE EARTH MOSCATO RUBINO</t>
        </is>
      </c>
      <c r="C4486" s="7">
        <f>VLOOKUP(A4486,SizeData!A$2:B$3839,2,FALSE)</f>
        <v/>
      </c>
      <c r="D4486" s="6" t="n">
        <v>5</v>
      </c>
      <c r="E4486" s="6" t="inlineStr">
        <is>
          <t>R1256356</t>
        </is>
      </c>
      <c r="F4486" s="2" t="n">
        <v>44461</v>
      </c>
      <c r="G4486" s="1" t="n"/>
    </row>
    <row r="4487">
      <c r="A4487" s="6" t="n">
        <v>503850</v>
      </c>
      <c r="B4487" s="6" t="inlineStr">
        <is>
          <t>SALT OF THE EARTH MOSCATO RUBINO</t>
        </is>
      </c>
      <c r="C4487" s="7">
        <f>VLOOKUP(A4487,SizeData!A$2:B$3839,2,FALSE)</f>
        <v/>
      </c>
      <c r="D4487" s="6" t="n">
        <v>5</v>
      </c>
      <c r="E4487" s="6" t="inlineStr">
        <is>
          <t>R1295122</t>
        </is>
      </c>
      <c r="F4487" s="2" t="n">
        <v>44475</v>
      </c>
      <c r="G4487" s="1" t="n"/>
    </row>
    <row r="4488">
      <c r="A4488" s="6" t="n">
        <v>503850</v>
      </c>
      <c r="B4488" s="6" t="inlineStr">
        <is>
          <t>SALT OF THE EARTH MOSCATO RUBINO</t>
        </is>
      </c>
      <c r="C4488" s="7">
        <f>VLOOKUP(A4488,SizeData!A$2:B$3839,2,FALSE)</f>
        <v/>
      </c>
      <c r="D4488" s="6" t="n">
        <v>5</v>
      </c>
      <c r="E4488" s="6" t="inlineStr">
        <is>
          <t>R1269183</t>
        </is>
      </c>
      <c r="F4488" s="2" t="n">
        <v>44482</v>
      </c>
      <c r="G4488" s="1" t="n"/>
    </row>
    <row r="4489">
      <c r="A4489" s="6" t="n">
        <v>503850</v>
      </c>
      <c r="B4489" s="6" t="inlineStr">
        <is>
          <t>SALT OF THE EARTH MOSCATO RUBINO</t>
        </is>
      </c>
      <c r="C4489" s="7">
        <f>VLOOKUP(A4489,SizeData!A$2:B$3839,2,FALSE)</f>
        <v/>
      </c>
      <c r="D4489" s="6" t="n">
        <v>5</v>
      </c>
      <c r="E4489" s="6" t="inlineStr">
        <is>
          <t>R1288708</t>
        </is>
      </c>
      <c r="F4489" s="2" t="n">
        <v>44489</v>
      </c>
      <c r="G4489" s="1" t="n"/>
    </row>
    <row r="4490">
      <c r="A4490" s="6" t="n">
        <v>503850</v>
      </c>
      <c r="B4490" s="6" t="inlineStr">
        <is>
          <t>SALT OF THE EARTH MOSCATO RUBINO</t>
        </is>
      </c>
      <c r="C4490" s="7">
        <f>VLOOKUP(A4490,SizeData!A$2:B$3839,2,FALSE)</f>
        <v/>
      </c>
      <c r="D4490" s="6" t="n">
        <v>5</v>
      </c>
      <c r="E4490" s="6" t="inlineStr">
        <is>
          <t>R1308140</t>
        </is>
      </c>
      <c r="F4490" s="2" t="n">
        <v>44503</v>
      </c>
      <c r="G4490" s="1" t="n"/>
    </row>
    <row r="4491">
      <c r="A4491" s="6" t="n">
        <v>503850</v>
      </c>
      <c r="B4491" s="6" t="inlineStr">
        <is>
          <t>SALT OF THE EARTH MOSCATO RUBINO</t>
        </is>
      </c>
      <c r="C4491" s="7">
        <f>VLOOKUP(A4491,SizeData!A$2:B$3839,2,FALSE)</f>
        <v/>
      </c>
      <c r="D4491" s="6" t="n">
        <v>5</v>
      </c>
      <c r="E4491" s="6" t="inlineStr">
        <is>
          <t>R1314740</t>
        </is>
      </c>
      <c r="F4491" s="2" t="n">
        <v>44512</v>
      </c>
      <c r="G4491" s="1" t="n"/>
    </row>
    <row r="4492">
      <c r="A4492" s="6" t="n">
        <v>503850</v>
      </c>
      <c r="B4492" s="6" t="inlineStr">
        <is>
          <t>SALT OF THE EARTH MOSCATO RUBINO</t>
        </is>
      </c>
      <c r="C4492" s="7">
        <f>VLOOKUP(A4492,SizeData!A$2:B$3839,2,FALSE)</f>
        <v/>
      </c>
      <c r="D4492" s="6" t="n">
        <v>5</v>
      </c>
      <c r="E4492" s="6" t="inlineStr">
        <is>
          <t>R1332510</t>
        </is>
      </c>
      <c r="F4492" s="2" t="n">
        <v>44518</v>
      </c>
      <c r="G4492" s="1" t="n"/>
    </row>
    <row r="4493" customFormat="1" s="35">
      <c r="A4493" s="6" t="n">
        <v>504640</v>
      </c>
      <c r="B4493" s="6" t="inlineStr">
        <is>
          <t>SAN ANTONIO CARDINALE</t>
        </is>
      </c>
      <c r="C4493" s="7">
        <f>VLOOKUP(A4493,SizeData!A$2:B$3839,2,FALSE)</f>
        <v/>
      </c>
      <c r="D4493" s="6" t="n">
        <v>10</v>
      </c>
      <c r="E4493" s="6" t="inlineStr">
        <is>
          <t>R1048944</t>
        </is>
      </c>
      <c r="F4493" s="2" t="n">
        <v>44265</v>
      </c>
      <c r="G4493" s="1" t="n"/>
    </row>
    <row r="4494">
      <c r="A4494" s="6" t="n">
        <v>513360</v>
      </c>
      <c r="B4494" s="6" t="inlineStr">
        <is>
          <t>SUTTER HOME SWEET RED</t>
        </is>
      </c>
      <c r="C4494" s="7">
        <f>VLOOKUP(A4494,SizeData!A$2:B$3839,2,FALSE)</f>
        <v/>
      </c>
      <c r="D4494" s="6" t="n">
        <v>3</v>
      </c>
      <c r="E4494" s="6" t="inlineStr">
        <is>
          <t>R1048948</t>
        </is>
      </c>
      <c r="F4494" s="2" t="n">
        <v>44265</v>
      </c>
      <c r="G4494" s="1" t="n"/>
    </row>
    <row r="4495">
      <c r="A4495" s="6" t="n">
        <v>513360</v>
      </c>
      <c r="B4495" s="6" t="inlineStr">
        <is>
          <t>SUTTER HOME SWEET RED</t>
        </is>
      </c>
      <c r="C4495" s="7">
        <f>VLOOKUP(A4495,SizeData!A$2:B$3839,2,FALSE)</f>
        <v/>
      </c>
      <c r="D4495" s="6" t="n">
        <v>1</v>
      </c>
      <c r="E4495" s="6" t="inlineStr">
        <is>
          <t>R1076240</t>
        </is>
      </c>
      <c r="F4495" s="2" t="n">
        <v>44285</v>
      </c>
      <c r="G4495" s="1" t="n"/>
    </row>
    <row r="4496">
      <c r="A4496" s="6" t="n">
        <v>513360</v>
      </c>
      <c r="B4496" s="6" t="inlineStr">
        <is>
          <t>SUTTER HOME SWEET RED</t>
        </is>
      </c>
      <c r="C4496" s="7">
        <f>VLOOKUP(A4496,SizeData!A$2:B$3839,2,FALSE)</f>
        <v/>
      </c>
      <c r="D4496" s="6" t="n">
        <v>1</v>
      </c>
      <c r="E4496" s="6" t="inlineStr">
        <is>
          <t xml:space="preserve"> R1171903</t>
        </is>
      </c>
      <c r="F4496" s="2" t="n">
        <v>44380</v>
      </c>
      <c r="G4496" s="1" t="n"/>
    </row>
    <row r="4497">
      <c r="A4497" s="6" t="n">
        <v>513360</v>
      </c>
      <c r="B4497" s="6" t="inlineStr">
        <is>
          <t>SUTTER HOME SWEET RED</t>
        </is>
      </c>
      <c r="C4497" s="7">
        <f>VLOOKUP(A4497,SizeData!A$2:B$3839,2,FALSE)</f>
        <v/>
      </c>
      <c r="D4497" s="6" t="n">
        <v>1</v>
      </c>
      <c r="E4497" s="6" t="inlineStr">
        <is>
          <t>R1189620</t>
        </is>
      </c>
      <c r="F4497" s="2" t="n">
        <v>44408</v>
      </c>
      <c r="G4497" s="1" t="n"/>
    </row>
    <row r="4498">
      <c r="A4498" s="6" t="n">
        <v>513360</v>
      </c>
      <c r="B4498" s="6" t="inlineStr">
        <is>
          <t>SUTTER HOME SWEET RED</t>
        </is>
      </c>
      <c r="C4498" s="7">
        <f>VLOOKUP(A4498,SizeData!A$2:B$3839,2,FALSE)</f>
        <v/>
      </c>
      <c r="D4498" s="6" t="n">
        <v>2</v>
      </c>
      <c r="E4498" s="6" t="inlineStr">
        <is>
          <t>R1323602</t>
        </is>
      </c>
      <c r="F4498" s="2" t="n">
        <v>44511</v>
      </c>
      <c r="G4498" s="1" t="n"/>
    </row>
    <row r="4499">
      <c r="A4499" s="6" t="n">
        <v>513364</v>
      </c>
      <c r="B4499" s="6" t="inlineStr">
        <is>
          <t>SUTTER HOME SWEET RED</t>
        </is>
      </c>
      <c r="C4499" s="7">
        <f>VLOOKUP(A4499,SizeData!A$2:B$3839,2,FALSE)</f>
        <v/>
      </c>
      <c r="D4499" s="6" t="n">
        <v>2</v>
      </c>
      <c r="E4499" s="6" t="inlineStr">
        <is>
          <t>R992402</t>
        </is>
      </c>
      <c r="F4499" s="2" t="n">
        <v>44198</v>
      </c>
      <c r="G4499" s="1" t="n"/>
    </row>
    <row r="4500">
      <c r="A4500" s="6" t="n">
        <v>513364</v>
      </c>
      <c r="B4500" s="6" t="inlineStr">
        <is>
          <t>SUTTER HOME SWEET RED</t>
        </is>
      </c>
      <c r="C4500" s="7">
        <f>VLOOKUP(A4500,SizeData!A$2:B$3839,2,FALSE)</f>
        <v/>
      </c>
      <c r="D4500" s="6" t="n">
        <v>2</v>
      </c>
      <c r="E4500" s="6" t="inlineStr">
        <is>
          <t>R1028665</t>
        </is>
      </c>
      <c r="F4500" s="2" t="n">
        <v>44247</v>
      </c>
      <c r="G4500" s="1" t="n"/>
    </row>
    <row r="4501">
      <c r="A4501" s="6" t="n">
        <v>513364</v>
      </c>
      <c r="B4501" s="6" t="inlineStr">
        <is>
          <t>SUTTER HOME SWEET RED</t>
        </is>
      </c>
      <c r="C4501" s="7">
        <f>VLOOKUP(A4501,SizeData!A$2:B$3839,2,FALSE)</f>
        <v/>
      </c>
      <c r="D4501" s="6" t="n">
        <v>2</v>
      </c>
      <c r="E4501" s="6" t="inlineStr">
        <is>
          <t>R1146158</t>
        </is>
      </c>
      <c r="F4501" s="2" t="n">
        <v>44356</v>
      </c>
      <c r="G4501" s="1" t="n"/>
    </row>
    <row r="4502">
      <c r="A4502" s="6" t="n">
        <v>513364</v>
      </c>
      <c r="B4502" s="6" t="inlineStr">
        <is>
          <t>SUTTER HOME SWEET RED</t>
        </is>
      </c>
      <c r="C4502" s="7">
        <f>VLOOKUP(A4502,SizeData!A$2:B$3839,2,FALSE)</f>
        <v/>
      </c>
      <c r="D4502" s="6" t="n">
        <v>1</v>
      </c>
      <c r="E4502" s="6" t="inlineStr">
        <is>
          <t>R1215815</t>
        </is>
      </c>
      <c r="F4502" s="2" t="n">
        <v>44418</v>
      </c>
      <c r="G4502" s="1" t="n"/>
    </row>
    <row r="4503">
      <c r="A4503" s="6" t="n">
        <v>513364</v>
      </c>
      <c r="B4503" s="6" t="inlineStr">
        <is>
          <t>SUTTER HOME SWEET RED</t>
        </is>
      </c>
      <c r="C4503" s="7">
        <f>VLOOKUP(A4503,SizeData!A$2:B$3839,2,FALSE)</f>
        <v/>
      </c>
      <c r="D4503" s="6" t="n">
        <v>3</v>
      </c>
      <c r="E4503" s="6" t="inlineStr">
        <is>
          <t>R1228454</t>
        </is>
      </c>
      <c r="F4503" s="2" t="n">
        <v>44445</v>
      </c>
      <c r="G4503" s="1" t="n"/>
    </row>
    <row r="4504">
      <c r="A4504" s="6" t="n">
        <v>513365</v>
      </c>
      <c r="B4504" s="6" t="inlineStr">
        <is>
          <t>SUTTER HOME SWEET RED</t>
        </is>
      </c>
      <c r="C4504" s="7">
        <f>VLOOKUP(A4504,SizeData!A$2:B$3839,2,FALSE)</f>
        <v/>
      </c>
      <c r="D4504" s="6" t="n">
        <v>6</v>
      </c>
      <c r="E4504" s="6" t="inlineStr">
        <is>
          <t>R1030345</t>
        </is>
      </c>
      <c r="F4504" s="2" t="n">
        <v>44229</v>
      </c>
      <c r="G4504" s="1" t="n"/>
    </row>
    <row r="4505">
      <c r="A4505" s="6" t="n">
        <v>513365</v>
      </c>
      <c r="B4505" s="6" t="inlineStr">
        <is>
          <t>SUTTER HOME SWEET RED</t>
        </is>
      </c>
      <c r="C4505" s="7">
        <f>VLOOKUP(A4505,SizeData!A$2:B$3839,2,FALSE)</f>
        <v/>
      </c>
      <c r="D4505" s="6" t="n">
        <v>3</v>
      </c>
      <c r="E4505" s="6" t="inlineStr">
        <is>
          <t>R1030568</t>
        </is>
      </c>
      <c r="F4505" s="2" t="n">
        <v>44229</v>
      </c>
      <c r="G4505" s="1" t="n"/>
    </row>
    <row r="4506">
      <c r="A4506" s="6" t="n">
        <v>513365</v>
      </c>
      <c r="B4506" s="6" t="inlineStr">
        <is>
          <t>SUTTER HOME SWEET RED</t>
        </is>
      </c>
      <c r="C4506" s="7">
        <f>VLOOKUP(A4506,SizeData!A$2:B$3839,2,FALSE)</f>
        <v/>
      </c>
      <c r="D4506" s="6" t="n">
        <v>3</v>
      </c>
      <c r="E4506" s="6" t="inlineStr">
        <is>
          <t xml:space="preserve"> R1263571</t>
        </is>
      </c>
      <c r="F4506" s="2" t="n">
        <v>44470</v>
      </c>
      <c r="G4506" s="1" t="n"/>
    </row>
    <row r="4507">
      <c r="A4507" s="6" t="n">
        <v>513365</v>
      </c>
      <c r="B4507" s="6" t="inlineStr">
        <is>
          <t>SUTTER HOME SWEET RED</t>
        </is>
      </c>
      <c r="C4507" s="7">
        <f>VLOOKUP(A4507,SizeData!A$2:B$3839,2,FALSE)</f>
        <v/>
      </c>
      <c r="D4507" s="6" t="n">
        <v>0</v>
      </c>
      <c r="E4507" s="6" t="inlineStr">
        <is>
          <t>R1264756</t>
        </is>
      </c>
      <c r="F4507" s="2" t="n">
        <v>44472</v>
      </c>
      <c r="G4507" s="1" t="n"/>
    </row>
    <row r="4508">
      <c r="A4508" s="6" t="n">
        <v>513365</v>
      </c>
      <c r="B4508" s="6" t="inlineStr">
        <is>
          <t>SUTTER HOME SWEET RED</t>
        </is>
      </c>
      <c r="C4508" s="7">
        <f>VLOOKUP(A4508,SizeData!A$2:B$3839,2,FALSE)</f>
        <v/>
      </c>
      <c r="D4508" s="6" t="n">
        <v>4</v>
      </c>
      <c r="E4508" s="6" t="inlineStr">
        <is>
          <t>R1284159</t>
        </is>
      </c>
      <c r="F4508" s="2" t="n">
        <v>44488</v>
      </c>
      <c r="G4508" s="1" t="n"/>
    </row>
    <row r="4509">
      <c r="A4509" s="6" t="n">
        <v>513500</v>
      </c>
      <c r="B4509" s="6" t="inlineStr">
        <is>
          <t>SUTTER HOME MERLOT</t>
        </is>
      </c>
      <c r="C4509" s="7">
        <f>VLOOKUP(A4509,SizeData!A$2:B$3839,2,FALSE)</f>
        <v/>
      </c>
      <c r="D4509" s="6" t="n">
        <v>2</v>
      </c>
      <c r="E4509" s="6" t="inlineStr">
        <is>
          <t>R1101961</t>
        </is>
      </c>
      <c r="F4509" s="2" t="n">
        <v>44320</v>
      </c>
      <c r="G4509" s="1" t="n"/>
    </row>
    <row r="4510">
      <c r="A4510" s="6" t="n">
        <v>513500</v>
      </c>
      <c r="B4510" s="6" t="inlineStr">
        <is>
          <t>SUTTER HOME MERLOT</t>
        </is>
      </c>
      <c r="C4510" s="7">
        <f>VLOOKUP(A4510,SizeData!A$2:B$3839,2,FALSE)</f>
        <v/>
      </c>
      <c r="D4510" s="6" t="n">
        <v>1</v>
      </c>
      <c r="E4510" s="6" t="inlineStr">
        <is>
          <t>R1111874</t>
        </is>
      </c>
      <c r="F4510" s="2" t="n">
        <v>44326</v>
      </c>
      <c r="G4510" s="1" t="n"/>
    </row>
    <row r="4511">
      <c r="A4511" s="6" t="n">
        <v>513500</v>
      </c>
      <c r="B4511" s="6" t="inlineStr">
        <is>
          <t>SUTTER HOME MERLOT</t>
        </is>
      </c>
      <c r="C4511" s="7">
        <f>VLOOKUP(A4511,SizeData!A$2:B$3839,2,FALSE)</f>
        <v/>
      </c>
      <c r="D4511" s="6" t="n">
        <v>2</v>
      </c>
      <c r="E4511" s="6" t="inlineStr">
        <is>
          <t xml:space="preserve"> R1171903</t>
        </is>
      </c>
      <c r="F4511" s="2" t="n">
        <v>44380</v>
      </c>
      <c r="G4511" s="1" t="n"/>
    </row>
    <row r="4512">
      <c r="A4512" s="6" t="n">
        <v>513500</v>
      </c>
      <c r="B4512" s="6" t="inlineStr">
        <is>
          <t>SUTTER HOME MERLOT</t>
        </is>
      </c>
      <c r="C4512" s="7">
        <f>VLOOKUP(A4512,SizeData!A$2:B$3839,2,FALSE)</f>
        <v/>
      </c>
      <c r="D4512" s="6" t="n">
        <v>1</v>
      </c>
      <c r="E4512" s="6" t="inlineStr">
        <is>
          <t>R1190166</t>
        </is>
      </c>
      <c r="F4512" s="2" t="n">
        <v>44396</v>
      </c>
      <c r="G4512" s="1" t="n"/>
    </row>
    <row r="4513">
      <c r="A4513" s="6" t="n">
        <v>513500</v>
      </c>
      <c r="B4513" s="6" t="inlineStr">
        <is>
          <t>SUTTER HOME MERLOT</t>
        </is>
      </c>
      <c r="C4513" s="7">
        <f>VLOOKUP(A4513,SizeData!A$2:B$3839,2,FALSE)</f>
        <v/>
      </c>
      <c r="D4513" s="6" t="n">
        <v>2</v>
      </c>
      <c r="E4513" s="6" t="inlineStr">
        <is>
          <t>R1187907</t>
        </is>
      </c>
      <c r="F4513" s="2" t="n">
        <v>44401</v>
      </c>
      <c r="G4513" s="1" t="n"/>
    </row>
    <row r="4514">
      <c r="A4514" s="6" t="n">
        <v>513500</v>
      </c>
      <c r="B4514" s="6" t="inlineStr">
        <is>
          <t>SUTTER HOME MERLOT</t>
        </is>
      </c>
      <c r="C4514" s="7">
        <f>VLOOKUP(A4514,SizeData!A$2:B$3839,2,FALSE)</f>
        <v/>
      </c>
      <c r="D4514" s="6" t="n">
        <v>2</v>
      </c>
      <c r="E4514" s="6" t="inlineStr">
        <is>
          <t>R1228454</t>
        </is>
      </c>
      <c r="F4514" s="2" t="n">
        <v>44445</v>
      </c>
      <c r="G4514" s="1" t="n"/>
    </row>
    <row r="4515">
      <c r="A4515" s="6" t="n">
        <v>513500</v>
      </c>
      <c r="B4515" s="6" t="inlineStr">
        <is>
          <t>SUTTER HOME MERLOT</t>
        </is>
      </c>
      <c r="C4515" s="7">
        <f>VLOOKUP(A4515,SizeData!A$2:B$3839,2,FALSE)</f>
        <v/>
      </c>
      <c r="D4515" s="6" t="n">
        <v>3</v>
      </c>
      <c r="E4515" s="6" t="inlineStr">
        <is>
          <t xml:space="preserve"> R1265479</t>
        </is>
      </c>
      <c r="F4515" s="2" t="n">
        <v>44462</v>
      </c>
      <c r="G4515" s="1" t="n"/>
    </row>
    <row r="4516">
      <c r="A4516" s="6" t="n">
        <v>513500</v>
      </c>
      <c r="B4516" s="6" t="inlineStr">
        <is>
          <t>SUTTER HOME MERLOT</t>
        </is>
      </c>
      <c r="C4516" s="7">
        <f>VLOOKUP(A4516,SizeData!A$2:B$3839,2,FALSE)</f>
        <v/>
      </c>
      <c r="D4516" s="6" t="n">
        <v>3</v>
      </c>
      <c r="E4516" s="6" t="inlineStr">
        <is>
          <t>R1307558</t>
        </is>
      </c>
      <c r="F4516" s="2" t="n">
        <v>44502</v>
      </c>
      <c r="G4516" s="1" t="n"/>
    </row>
    <row r="4517">
      <c r="A4517" s="6" t="n">
        <v>513500</v>
      </c>
      <c r="B4517" s="6" t="inlineStr">
        <is>
          <t>SUTTER HOME MERLOT</t>
        </is>
      </c>
      <c r="C4517" s="7">
        <f>VLOOKUP(A4517,SizeData!A$2:B$3839,2,FALSE)</f>
        <v/>
      </c>
      <c r="D4517" s="6" t="n">
        <v>4</v>
      </c>
      <c r="E4517" s="6" t="inlineStr">
        <is>
          <t>R1345582</t>
        </is>
      </c>
      <c r="F4517" s="2" t="n">
        <v>44526</v>
      </c>
      <c r="G4517" s="1" t="n"/>
    </row>
    <row r="4518">
      <c r="A4518" s="6" t="n">
        <v>513505</v>
      </c>
      <c r="B4518" s="6" t="inlineStr">
        <is>
          <t>SUTTER HOME MERLOT</t>
        </is>
      </c>
      <c r="C4518" s="7">
        <f>VLOOKUP(A4518,SizeData!A$2:B$3839,2,FALSE)</f>
        <v/>
      </c>
      <c r="D4518" s="6" t="n">
        <v>2</v>
      </c>
      <c r="E4518" s="6" t="inlineStr">
        <is>
          <t>R1084236</t>
        </is>
      </c>
      <c r="F4518" s="2" t="n">
        <v>44296</v>
      </c>
      <c r="G4518" s="1" t="n"/>
    </row>
    <row r="4519">
      <c r="A4519" s="6" t="n">
        <v>513505</v>
      </c>
      <c r="B4519" s="6" t="inlineStr">
        <is>
          <t>SUTTER HOME MERLOT</t>
        </is>
      </c>
      <c r="C4519" s="7">
        <f>VLOOKUP(A4519,SizeData!A$2:B$3839,2,FALSE)</f>
        <v/>
      </c>
      <c r="D4519" s="6" t="n">
        <v>2</v>
      </c>
      <c r="E4519" s="6" t="inlineStr">
        <is>
          <t>R1106414</t>
        </is>
      </c>
      <c r="F4519" s="2" t="n">
        <v>44307</v>
      </c>
      <c r="G4519" s="1" t="n"/>
    </row>
    <row r="4520">
      <c r="A4520" s="6" t="n">
        <v>513505</v>
      </c>
      <c r="B4520" s="6" t="inlineStr">
        <is>
          <t>SUTTER HOME MERLOT</t>
        </is>
      </c>
      <c r="C4520" s="7">
        <f>VLOOKUP(A4520,SizeData!A$2:B$3839,2,FALSE)</f>
        <v/>
      </c>
      <c r="D4520" s="6" t="n">
        <v>8</v>
      </c>
      <c r="E4520" s="6" t="inlineStr">
        <is>
          <t>R1152585</t>
        </is>
      </c>
      <c r="F4520" s="2" t="n">
        <v>44372</v>
      </c>
      <c r="G4520" s="1" t="n"/>
    </row>
    <row r="4521">
      <c r="A4521" s="6" t="n">
        <v>513505</v>
      </c>
      <c r="B4521" s="6" t="inlineStr">
        <is>
          <t>SUTTER HOME MERLOT</t>
        </is>
      </c>
      <c r="C4521" s="7">
        <f>VLOOKUP(A4521,SizeData!A$2:B$3839,2,FALSE)</f>
        <v/>
      </c>
      <c r="D4521" s="6" t="n">
        <v>3</v>
      </c>
      <c r="E4521" s="6" t="inlineStr">
        <is>
          <t>R1335695</t>
        </is>
      </c>
      <c r="F4521" s="2" t="n">
        <v>44525</v>
      </c>
      <c r="G4521" s="1" t="n"/>
    </row>
    <row r="4522">
      <c r="A4522" s="6" t="n">
        <v>513505</v>
      </c>
      <c r="B4522" s="6" t="inlineStr">
        <is>
          <t>SUTTER HOME MERLOT</t>
        </is>
      </c>
      <c r="C4522" s="7">
        <f>VLOOKUP(A4522,SizeData!A$2:B$3839,2,FALSE)</f>
        <v/>
      </c>
      <c r="D4522" s="6" t="n">
        <v>3</v>
      </c>
      <c r="E4522" s="6" t="inlineStr">
        <is>
          <t>R1356782</t>
        </is>
      </c>
      <c r="F4522" s="2" t="n">
        <v>44534</v>
      </c>
      <c r="G4522" s="1" t="n"/>
    </row>
    <row r="4523">
      <c r="A4523" s="6" t="n">
        <v>513645</v>
      </c>
      <c r="B4523" s="6" t="inlineStr">
        <is>
          <t>SWEET BITCH MERLOT</t>
        </is>
      </c>
      <c r="C4523" s="7">
        <f>VLOOKUP(A4523,SizeData!A$2:B$3839,2,FALSE)</f>
        <v/>
      </c>
      <c r="D4523" s="6" t="n">
        <v>2</v>
      </c>
      <c r="E4523" s="6" t="inlineStr">
        <is>
          <t>R1001511</t>
        </is>
      </c>
      <c r="F4523" s="2" t="n">
        <v>44208</v>
      </c>
      <c r="G4523" s="1" t="n"/>
    </row>
    <row r="4524">
      <c r="A4524" s="6" t="n">
        <v>513645</v>
      </c>
      <c r="B4524" s="6" t="inlineStr">
        <is>
          <t>SWEET BITCH MERLOT</t>
        </is>
      </c>
      <c r="C4524" s="7">
        <f>VLOOKUP(A4524,SizeData!A$2:B$3839,2,FALSE)</f>
        <v/>
      </c>
      <c r="D4524" s="6" t="n">
        <v>1</v>
      </c>
      <c r="E4524" s="6" t="inlineStr">
        <is>
          <t>R1099905</t>
        </is>
      </c>
      <c r="F4524" s="2" t="n">
        <v>44310</v>
      </c>
      <c r="G4524" s="1" t="n"/>
    </row>
    <row r="4525">
      <c r="A4525" s="6" t="n">
        <v>515856</v>
      </c>
      <c r="B4525" s="6" t="inlineStr">
        <is>
          <t>LINE 39 CABERNET SAUVIGNON</t>
        </is>
      </c>
      <c r="C4525" s="7">
        <f>VLOOKUP(A4525,SizeData!A$2:B$3839,2,FALSE)</f>
        <v/>
      </c>
      <c r="D4525" s="6" t="n">
        <v>1</v>
      </c>
      <c r="E4525" s="6" t="inlineStr">
        <is>
          <t>R1084456</t>
        </is>
      </c>
      <c r="F4525" s="2" t="n">
        <v>44301</v>
      </c>
      <c r="G4525" s="1" t="n"/>
    </row>
    <row r="4526">
      <c r="A4526" s="6" t="n">
        <v>515856</v>
      </c>
      <c r="B4526" s="6" t="inlineStr">
        <is>
          <t>LINE 39 CABERNET SAUVIGNON</t>
        </is>
      </c>
      <c r="C4526" s="7">
        <f>VLOOKUP(A4526,SizeData!A$2:B$3839,2,FALSE)</f>
        <v/>
      </c>
      <c r="D4526" s="6" t="n">
        <v>1</v>
      </c>
      <c r="E4526" s="6" t="inlineStr">
        <is>
          <t>R1118503</t>
        </is>
      </c>
      <c r="F4526" s="2" t="n">
        <v>44324</v>
      </c>
      <c r="G4526" s="1" t="n"/>
    </row>
    <row r="4527">
      <c r="A4527" s="6" t="n">
        <v>515856</v>
      </c>
      <c r="B4527" s="6" t="inlineStr">
        <is>
          <t>LINE 39 CABERNET SAUVIGNON</t>
        </is>
      </c>
      <c r="C4527" s="7">
        <f>VLOOKUP(A4527,SizeData!A$2:B$3839,2,FALSE)</f>
        <v/>
      </c>
      <c r="D4527" s="6" t="n">
        <v>2</v>
      </c>
      <c r="E4527" s="6" t="inlineStr">
        <is>
          <t>R1314326</t>
        </is>
      </c>
      <c r="F4527" s="2" t="n">
        <v>44512</v>
      </c>
      <c r="G4527" s="1" t="n"/>
    </row>
    <row r="4528">
      <c r="A4528" s="6" t="n">
        <v>515916</v>
      </c>
      <c r="B4528" s="6" t="inlineStr">
        <is>
          <t>THREE WISHES CABERNET SAUVIGNON</t>
        </is>
      </c>
      <c r="C4528" s="7">
        <f>VLOOKUP(A4528,SizeData!A$2:B$3839,2,FALSE)</f>
        <v/>
      </c>
      <c r="D4528" s="6" t="n">
        <v>1</v>
      </c>
      <c r="E4528" s="6" t="inlineStr">
        <is>
          <t>R1197185</t>
        </is>
      </c>
      <c r="F4528" s="2" t="n">
        <v>44412</v>
      </c>
      <c r="G4528" s="1" t="n"/>
    </row>
    <row r="4529">
      <c r="A4529" s="6" t="n">
        <v>515916</v>
      </c>
      <c r="B4529" s="6" t="inlineStr">
        <is>
          <t>THREE WISHES CABERNET SAUVIGNON</t>
        </is>
      </c>
      <c r="C4529" s="7">
        <f>VLOOKUP(A4529,SizeData!A$2:B$3839,2,FALSE)</f>
        <v/>
      </c>
      <c r="D4529" s="6" t="n">
        <v>1</v>
      </c>
      <c r="E4529" s="6" t="inlineStr">
        <is>
          <t>R1330081</t>
        </is>
      </c>
      <c r="F4529" s="2" t="n">
        <v>44518</v>
      </c>
      <c r="G4529" s="1" t="n"/>
    </row>
    <row r="4530">
      <c r="A4530" s="6" t="n">
        <v>515918</v>
      </c>
      <c r="B4530" s="6" t="inlineStr">
        <is>
          <t>THREE WISHES MERLOT</t>
        </is>
      </c>
      <c r="C4530" s="7">
        <f>VLOOKUP(A4530,SizeData!A$2:B$3839,2,FALSE)</f>
        <v/>
      </c>
      <c r="D4530" s="6" t="n">
        <v>0</v>
      </c>
      <c r="E4530" s="6" t="inlineStr">
        <is>
          <t>R1301404</t>
        </is>
      </c>
      <c r="F4530" s="2" t="n">
        <v>44489</v>
      </c>
      <c r="G4530" s="1" t="n"/>
    </row>
    <row r="4531">
      <c r="A4531" s="6" t="n">
        <v>515918</v>
      </c>
      <c r="B4531" s="6" t="inlineStr">
        <is>
          <t>THREE WISHES MERLOT</t>
        </is>
      </c>
      <c r="C4531" s="7">
        <f>VLOOKUP(A4531,SizeData!A$2:B$3839,2,FALSE)</f>
        <v/>
      </c>
      <c r="D4531" s="6" t="n">
        <v>1</v>
      </c>
      <c r="E4531" s="6" t="inlineStr">
        <is>
          <t>R1330081</t>
        </is>
      </c>
      <c r="F4531" s="2" t="n">
        <v>44518</v>
      </c>
      <c r="G4531" s="1" t="n"/>
    </row>
    <row r="4532">
      <c r="A4532" s="6" t="n">
        <v>544077</v>
      </c>
      <c r="B4532" s="6" t="inlineStr">
        <is>
          <t>BAREFOOT CELLARS CHARDONNAY</t>
        </is>
      </c>
      <c r="C4532" s="7">
        <f>VLOOKUP(A4532,SizeData!A$2:B$3839,2,FALSE)</f>
        <v/>
      </c>
      <c r="D4532" s="6" t="n">
        <v>1</v>
      </c>
      <c r="E4532" s="6" t="inlineStr">
        <is>
          <t>R1011478</t>
        </is>
      </c>
      <c r="F4532" s="2" t="n">
        <v>44226</v>
      </c>
      <c r="G4532" s="1" t="n"/>
    </row>
    <row r="4533">
      <c r="A4533" s="6" t="n">
        <v>544077</v>
      </c>
      <c r="B4533" s="6" t="inlineStr">
        <is>
          <t>BAREFOOT CELLARS CHARDONNAY</t>
        </is>
      </c>
      <c r="C4533" s="7">
        <f>VLOOKUP(A4533,SizeData!A$2:B$3839,2,FALSE)</f>
        <v/>
      </c>
      <c r="D4533" s="6" t="n">
        <v>1</v>
      </c>
      <c r="E4533" s="6" t="inlineStr">
        <is>
          <t>R1142808</t>
        </is>
      </c>
      <c r="F4533" s="2" t="n">
        <v>44352</v>
      </c>
      <c r="G4533" s="1" t="n"/>
    </row>
    <row r="4534">
      <c r="A4534" s="6" t="n">
        <v>544077</v>
      </c>
      <c r="B4534" s="6" t="inlineStr">
        <is>
          <t>BAREFOOT CELLARS CHARDONNAY</t>
        </is>
      </c>
      <c r="C4534" s="7">
        <f>VLOOKUP(A4534,SizeData!A$2:B$3839,2,FALSE)</f>
        <v/>
      </c>
      <c r="D4534" s="6" t="n">
        <v>1</v>
      </c>
      <c r="E4534" s="6" t="inlineStr">
        <is>
          <t>R1262670</t>
        </is>
      </c>
      <c r="F4534" s="2" t="n">
        <v>44470</v>
      </c>
      <c r="G4534" s="1" t="n"/>
    </row>
    <row r="4535">
      <c r="A4535" s="6" t="n">
        <v>544107</v>
      </c>
      <c r="B4535" s="6" t="inlineStr">
        <is>
          <t>BAREFOOT CELLARS MOSCATO(PET)</t>
        </is>
      </c>
      <c r="C4535" s="7">
        <f>VLOOKUP(A4535,SizeData!A$2:B$3839,2,FALSE)</f>
        <v/>
      </c>
      <c r="D4535" s="6" t="n">
        <v>1</v>
      </c>
      <c r="E4535" s="6" t="inlineStr">
        <is>
          <t>R1028756</t>
        </is>
      </c>
      <c r="F4535" s="2" t="n">
        <v>44239</v>
      </c>
      <c r="G4535" s="1" t="n"/>
    </row>
    <row r="4536">
      <c r="A4536" s="6" t="n">
        <v>544107</v>
      </c>
      <c r="B4536" s="6" t="inlineStr">
        <is>
          <t>BAREFOOT CELLARS MOSCATO(PET)</t>
        </is>
      </c>
      <c r="C4536" s="7">
        <f>VLOOKUP(A4536,SizeData!A$2:B$3839,2,FALSE)</f>
        <v/>
      </c>
      <c r="D4536" s="6" t="n">
        <v>1</v>
      </c>
      <c r="E4536" s="6" t="inlineStr">
        <is>
          <t>R1109607</t>
        </is>
      </c>
      <c r="F4536" s="2" t="n">
        <v>44317</v>
      </c>
      <c r="G4536" s="1" t="n"/>
    </row>
    <row r="4537">
      <c r="A4537" s="6" t="n">
        <v>544107</v>
      </c>
      <c r="B4537" s="6" t="inlineStr">
        <is>
          <t>BAREFOOT CELLARS MOSCATO(PET)</t>
        </is>
      </c>
      <c r="C4537" s="7">
        <f>VLOOKUP(A4537,SizeData!A$2:B$3839,2,FALSE)</f>
        <v/>
      </c>
      <c r="D4537" s="6" t="n">
        <v>1</v>
      </c>
      <c r="E4537" s="6" t="inlineStr">
        <is>
          <t xml:space="preserve"> R1151228</t>
        </is>
      </c>
      <c r="F4537" s="2" t="n">
        <v>44363</v>
      </c>
      <c r="G4537" s="1" t="n"/>
    </row>
    <row r="4538">
      <c r="A4538" s="6" t="n">
        <v>544107</v>
      </c>
      <c r="B4538" s="6" t="inlineStr">
        <is>
          <t>BAREFOOT CELLARS MOSCATO(PET)</t>
        </is>
      </c>
      <c r="C4538" s="7">
        <f>VLOOKUP(A4538,SizeData!A$2:B$3839,2,FALSE)</f>
        <v/>
      </c>
      <c r="D4538" s="6" t="n">
        <v>2</v>
      </c>
      <c r="E4538" s="6" t="inlineStr">
        <is>
          <t>R1301404</t>
        </is>
      </c>
      <c r="F4538" s="2" t="n">
        <v>44489</v>
      </c>
      <c r="G4538" s="1" t="n"/>
    </row>
    <row r="4539">
      <c r="A4539" s="6" t="n">
        <v>544109</v>
      </c>
      <c r="B4539" s="6" t="inlineStr">
        <is>
          <t>BAREFOOT CELLARS MOSCATO</t>
        </is>
      </c>
      <c r="C4539" s="7">
        <f>VLOOKUP(A4539,SizeData!A$2:B$3839,2,FALSE)</f>
        <v/>
      </c>
      <c r="D4539" s="6" t="n">
        <v>2</v>
      </c>
      <c r="E4539" s="6" t="inlineStr">
        <is>
          <t>R1028756</t>
        </is>
      </c>
      <c r="F4539" s="2" t="n">
        <v>44239</v>
      </c>
      <c r="G4539" s="1" t="n"/>
    </row>
    <row r="4540">
      <c r="A4540" s="6" t="n">
        <v>544109</v>
      </c>
      <c r="B4540" s="6" t="inlineStr">
        <is>
          <t>BAREFOOT CELLARS MOSCATO</t>
        </is>
      </c>
      <c r="C4540" s="7">
        <f>VLOOKUP(A4540,SizeData!A$2:B$3839,2,FALSE)</f>
        <v/>
      </c>
      <c r="D4540" s="6" t="n">
        <v>1</v>
      </c>
      <c r="E4540" s="6" t="inlineStr">
        <is>
          <t>R1047061</t>
        </is>
      </c>
      <c r="F4540" s="2" t="n">
        <v>44259</v>
      </c>
      <c r="G4540" s="1" t="n"/>
    </row>
    <row r="4541">
      <c r="A4541" s="6" t="n">
        <v>544109</v>
      </c>
      <c r="B4541" s="6" t="inlineStr">
        <is>
          <t>BAREFOOT CELLARS MOSCATO</t>
        </is>
      </c>
      <c r="C4541" s="7">
        <f>VLOOKUP(A4541,SizeData!A$2:B$3839,2,FALSE)</f>
        <v/>
      </c>
      <c r="D4541" s="6" t="n">
        <v>1</v>
      </c>
      <c r="E4541" s="6" t="inlineStr">
        <is>
          <t>R1135580</t>
        </is>
      </c>
      <c r="F4541" s="2" t="n">
        <v>44340</v>
      </c>
      <c r="G4541" s="1" t="n"/>
    </row>
    <row r="4542">
      <c r="A4542" s="6" t="n">
        <v>544109</v>
      </c>
      <c r="B4542" s="6" t="inlineStr">
        <is>
          <t>BAREFOOT CELLARS MOSCATO</t>
        </is>
      </c>
      <c r="C4542" s="7">
        <f>VLOOKUP(A4542,SizeData!A$2:B$3839,2,FALSE)</f>
        <v/>
      </c>
      <c r="D4542" s="6" t="n">
        <v>2</v>
      </c>
      <c r="E4542" s="6" t="inlineStr">
        <is>
          <t xml:space="preserve"> R1163539</t>
        </is>
      </c>
      <c r="F4542" s="2" t="n">
        <v>44378</v>
      </c>
      <c r="G4542" s="1" t="n"/>
    </row>
    <row r="4543">
      <c r="A4543" s="6" t="n">
        <v>544109</v>
      </c>
      <c r="B4543" s="6" t="inlineStr">
        <is>
          <t>BAREFOOT CELLARS MOSCATO</t>
        </is>
      </c>
      <c r="C4543" s="7">
        <f>VLOOKUP(A4543,SizeData!A$2:B$3839,2,FALSE)</f>
        <v/>
      </c>
      <c r="D4543" s="6" t="n">
        <v>5</v>
      </c>
      <c r="E4543" s="6" t="inlineStr">
        <is>
          <t xml:space="preserve"> R1171903</t>
        </is>
      </c>
      <c r="F4543" s="2" t="n">
        <v>44380</v>
      </c>
      <c r="G4543" s="1" t="n"/>
    </row>
    <row r="4544">
      <c r="A4544" s="6" t="n">
        <v>544109</v>
      </c>
      <c r="B4544" s="6" t="inlineStr">
        <is>
          <t>BAREFOOT CELLARS MOSCATO</t>
        </is>
      </c>
      <c r="C4544" s="7">
        <f>VLOOKUP(A4544,SizeData!A$2:B$3839,2,FALSE)</f>
        <v/>
      </c>
      <c r="D4544" s="6" t="n">
        <v>1</v>
      </c>
      <c r="E4544" s="6" t="inlineStr">
        <is>
          <t>R1301983</t>
        </is>
      </c>
      <c r="F4544" s="2" t="n">
        <v>44501</v>
      </c>
      <c r="G4544" s="1" t="n"/>
    </row>
    <row r="4545">
      <c r="A4545" s="6" t="n">
        <v>544109</v>
      </c>
      <c r="B4545" s="6" t="inlineStr">
        <is>
          <t>BAREFOOT CELLARS MOSCATO</t>
        </is>
      </c>
      <c r="C4545" s="7">
        <f>VLOOKUP(A4545,SizeData!A$2:B$3839,2,FALSE)</f>
        <v/>
      </c>
      <c r="D4545" s="6" t="n">
        <v>4</v>
      </c>
      <c r="E4545" s="6" t="inlineStr">
        <is>
          <t>R1314740</t>
        </is>
      </c>
      <c r="F4545" s="2" t="n">
        <v>44512</v>
      </c>
      <c r="G4545" s="1" t="n"/>
    </row>
    <row r="4546">
      <c r="A4546" s="6" t="n">
        <v>544109</v>
      </c>
      <c r="B4546" s="6" t="inlineStr">
        <is>
          <t>BAREFOOT CELLARS MOSCATO</t>
        </is>
      </c>
      <c r="C4546" s="7">
        <f>VLOOKUP(A4546,SizeData!A$2:B$3839,2,FALSE)</f>
        <v/>
      </c>
      <c r="D4546" s="6" t="n">
        <v>1</v>
      </c>
      <c r="E4546" s="6" t="inlineStr">
        <is>
          <t>R1326778</t>
        </is>
      </c>
      <c r="F4546" s="2" t="n">
        <v>44517</v>
      </c>
      <c r="G4546" s="1" t="n"/>
    </row>
    <row r="4547">
      <c r="A4547" s="6" t="n">
        <v>544109</v>
      </c>
      <c r="B4547" s="6" t="inlineStr">
        <is>
          <t>BAREFOOT CELLARS MOSCATO</t>
        </is>
      </c>
      <c r="C4547" s="7">
        <f>VLOOKUP(A4547,SizeData!A$2:B$3839,2,FALSE)</f>
        <v/>
      </c>
      <c r="D4547" s="6" t="n">
        <v>1</v>
      </c>
      <c r="E4547" s="6" t="inlineStr">
        <is>
          <t>R1345582</t>
        </is>
      </c>
      <c r="F4547" s="2" t="n">
        <v>44526</v>
      </c>
      <c r="G4547" s="1" t="n"/>
    </row>
    <row r="4548">
      <c r="A4548" s="6" t="n">
        <v>544110</v>
      </c>
      <c r="B4548" s="6" t="inlineStr">
        <is>
          <t>BAREFOOT CELLARS MOSCATO</t>
        </is>
      </c>
      <c r="C4548" s="7">
        <f>VLOOKUP(A4548,SizeData!A$2:B$3839,2,FALSE)</f>
        <v/>
      </c>
      <c r="D4548" s="6" t="n">
        <v>3</v>
      </c>
      <c r="E4548" s="6" t="inlineStr">
        <is>
          <t>R1034835</t>
        </is>
      </c>
      <c r="F4548" s="2" t="n">
        <v>44254</v>
      </c>
      <c r="G4548" s="1" t="n"/>
    </row>
    <row r="4549">
      <c r="A4549" s="6" t="n">
        <v>544110</v>
      </c>
      <c r="B4549" s="6" t="inlineStr">
        <is>
          <t>BAREFOOT CELLARS MOSCATO</t>
        </is>
      </c>
      <c r="C4549" s="7">
        <f>VLOOKUP(A4549,SizeData!A$2:B$3839,2,FALSE)</f>
        <v/>
      </c>
      <c r="D4549" s="6" t="n">
        <v>2</v>
      </c>
      <c r="E4549" s="6" t="inlineStr">
        <is>
          <t>R1097628</t>
        </is>
      </c>
      <c r="F4549" s="2" t="n">
        <v>44305</v>
      </c>
      <c r="G4549" s="1" t="n"/>
    </row>
    <row r="4550">
      <c r="A4550" s="6" t="n">
        <v>544110</v>
      </c>
      <c r="B4550" s="6" t="inlineStr">
        <is>
          <t>BAREFOOT CELLARS MOSCATO</t>
        </is>
      </c>
      <c r="C4550" s="7">
        <f>VLOOKUP(A4550,SizeData!A$2:B$3839,2,FALSE)</f>
        <v/>
      </c>
      <c r="D4550" s="6" t="n">
        <v>3</v>
      </c>
      <c r="E4550" s="6" t="inlineStr">
        <is>
          <t>R1155060</t>
        </is>
      </c>
      <c r="F4550" s="2" t="n">
        <v>44357</v>
      </c>
      <c r="G4550" s="1" t="n"/>
    </row>
    <row r="4551">
      <c r="A4551" s="6" t="n">
        <v>544110</v>
      </c>
      <c r="B4551" s="6" t="inlineStr">
        <is>
          <t>BAREFOOT CELLARS MOSCATO</t>
        </is>
      </c>
      <c r="C4551" s="7">
        <f>VLOOKUP(A4551,SizeData!A$2:B$3839,2,FALSE)</f>
        <v/>
      </c>
      <c r="D4551" s="6" t="n">
        <v>2</v>
      </c>
      <c r="E4551" s="6" t="inlineStr">
        <is>
          <t xml:space="preserve"> R1206104</t>
        </is>
      </c>
      <c r="F4551" s="2" t="n">
        <v>44413</v>
      </c>
      <c r="G4551" s="1" t="n"/>
    </row>
    <row r="4552">
      <c r="A4552" s="6" t="n">
        <v>544110</v>
      </c>
      <c r="B4552" s="6" t="inlineStr">
        <is>
          <t>BAREFOOT CELLARS MOSCATO</t>
        </is>
      </c>
      <c r="C4552" s="7">
        <f>VLOOKUP(A4552,SizeData!A$2:B$3839,2,FALSE)</f>
        <v/>
      </c>
      <c r="D4552" s="6" t="n">
        <v>2</v>
      </c>
      <c r="E4552" s="6" t="inlineStr">
        <is>
          <t xml:space="preserve"> R1264833</t>
        </is>
      </c>
      <c r="F4552" s="2" t="n">
        <v>44471</v>
      </c>
      <c r="G4552" s="1" t="n"/>
    </row>
    <row r="4553">
      <c r="A4553" s="6" t="n">
        <v>544110</v>
      </c>
      <c r="B4553" s="6" t="inlineStr">
        <is>
          <t>BAREFOOT CELLARS MOSCATO</t>
        </is>
      </c>
      <c r="C4553" s="7">
        <f>VLOOKUP(A4553,SizeData!A$2:B$3839,2,FALSE)</f>
        <v/>
      </c>
      <c r="D4553" s="6" t="n">
        <v>4</v>
      </c>
      <c r="E4553" s="6" t="inlineStr">
        <is>
          <t>R1264756</t>
        </is>
      </c>
      <c r="F4553" s="2" t="n">
        <v>44472</v>
      </c>
      <c r="G4553" s="1" t="n"/>
    </row>
    <row r="4554">
      <c r="A4554" s="6" t="n">
        <v>544115</v>
      </c>
      <c r="B4554" s="6" t="inlineStr">
        <is>
          <t>BAREFOOT CELLARS RIESLING</t>
        </is>
      </c>
      <c r="C4554" s="7">
        <f>VLOOKUP(A4554,SizeData!A$2:B$3839,2,FALSE)</f>
        <v/>
      </c>
      <c r="D4554" s="6" t="n">
        <v>1</v>
      </c>
      <c r="E4554" s="6" t="inlineStr">
        <is>
          <t>R1115090</t>
        </is>
      </c>
      <c r="F4554" s="2" t="n">
        <v>44315</v>
      </c>
      <c r="G4554" s="1" t="n"/>
    </row>
    <row r="4555">
      <c r="A4555" s="6" t="n">
        <v>544117</v>
      </c>
      <c r="B4555" s="6" t="inlineStr">
        <is>
          <t>BAREFOOT CELLARS RIESLING</t>
        </is>
      </c>
      <c r="C4555" s="7">
        <f>VLOOKUP(A4555,SizeData!A$2:B$3839,2,FALSE)</f>
        <v/>
      </c>
      <c r="D4555" s="6" t="n">
        <v>1</v>
      </c>
      <c r="E4555" s="6" t="inlineStr">
        <is>
          <t>R1083528</t>
        </is>
      </c>
      <c r="F4555" s="2" t="n">
        <v>44291</v>
      </c>
      <c r="G4555" s="1" t="n"/>
    </row>
    <row r="4556">
      <c r="A4556" s="6" t="n">
        <v>546437</v>
      </c>
      <c r="B4556" s="6" t="inlineStr">
        <is>
          <t>BERINGER PINOT GRIGIO AMERICAN</t>
        </is>
      </c>
      <c r="C4556" s="7">
        <f>VLOOKUP(A4556,SizeData!A$2:B$3839,2,FALSE)</f>
        <v/>
      </c>
      <c r="D4556" s="6" t="n">
        <v>2</v>
      </c>
      <c r="E4556" s="6" t="inlineStr">
        <is>
          <t xml:space="preserve"> R1175360</t>
        </is>
      </c>
      <c r="F4556" s="2" t="n">
        <v>44383</v>
      </c>
      <c r="G4556" s="1" t="n"/>
    </row>
    <row r="4557">
      <c r="A4557" s="6" t="n">
        <v>546630</v>
      </c>
      <c r="B4557" s="6" t="inlineStr">
        <is>
          <t>BERINGER MAIN AND VINE MOSCATO</t>
        </is>
      </c>
      <c r="C4557" s="7">
        <f>VLOOKUP(A4557,SizeData!A$2:B$3839,2,FALSE)</f>
        <v/>
      </c>
      <c r="D4557" s="6" t="n">
        <v>1</v>
      </c>
      <c r="E4557" s="6" t="inlineStr">
        <is>
          <t>R1301983</t>
        </is>
      </c>
      <c r="F4557" s="2" t="n">
        <v>44501</v>
      </c>
      <c r="G4557" s="1" t="n"/>
    </row>
    <row r="4558">
      <c r="A4558" s="6" t="n">
        <v>546630</v>
      </c>
      <c r="B4558" s="6" t="inlineStr">
        <is>
          <t>BERINGER MAIN AND VINE MOSCATO</t>
        </is>
      </c>
      <c r="C4558" s="7">
        <f>VLOOKUP(A4558,SizeData!A$2:B$3839,2,FALSE)</f>
        <v/>
      </c>
      <c r="D4558" s="6" t="n">
        <v>1</v>
      </c>
      <c r="E4558" s="6" t="inlineStr">
        <is>
          <t>R1314488</t>
        </is>
      </c>
      <c r="F4558" s="2" t="n">
        <v>44516</v>
      </c>
      <c r="G4558" s="1" t="n"/>
    </row>
    <row r="4559">
      <c r="A4559" s="6" t="n">
        <v>546636</v>
      </c>
      <c r="B4559" s="6" t="inlineStr">
        <is>
          <t>BERINGER MAIN &amp; VINE MOSCATO</t>
        </is>
      </c>
      <c r="C4559" s="7">
        <f>VLOOKUP(A4559,SizeData!A$2:B$3839,2,FALSE)</f>
        <v/>
      </c>
      <c r="D4559" s="6" t="n">
        <v>1</v>
      </c>
      <c r="E4559" s="6" t="inlineStr">
        <is>
          <t>R1299928</t>
        </is>
      </c>
      <c r="F4559" s="2" t="n">
        <v>44497</v>
      </c>
      <c r="G4559" s="1" t="n"/>
    </row>
    <row r="4560">
      <c r="A4560" s="6" t="n">
        <v>548561</v>
      </c>
      <c r="B4560" s="6" t="inlineStr">
        <is>
          <t>BERINGER CALIF CHARDONNAY (BONUS)</t>
        </is>
      </c>
      <c r="C4560" s="7">
        <f>VLOOKUP(A4560,SizeData!A$2:B$3839,2,FALSE)</f>
        <v/>
      </c>
      <c r="D4560" s="6" t="n">
        <v>1</v>
      </c>
      <c r="E4560" s="6" t="inlineStr">
        <is>
          <t>R991241</t>
        </is>
      </c>
      <c r="F4560" s="2" t="n">
        <v>44197</v>
      </c>
      <c r="G4560" s="1" t="n"/>
    </row>
    <row r="4561">
      <c r="A4561" s="6" t="n">
        <v>548992</v>
      </c>
      <c r="B4561" s="6" t="inlineStr">
        <is>
          <t>BULLY HILL SWEET WALTER WHITE</t>
        </is>
      </c>
      <c r="C4561" s="7">
        <f>VLOOKUP(A4561,SizeData!A$2:B$3839,2,FALSE)</f>
        <v/>
      </c>
      <c r="D4561" s="6" t="n">
        <v>1</v>
      </c>
      <c r="E4561" s="6" t="inlineStr">
        <is>
          <t>R1120446</t>
        </is>
      </c>
      <c r="F4561" s="2" t="n">
        <v>44321</v>
      </c>
      <c r="G4561" s="1" t="n"/>
    </row>
    <row r="4562">
      <c r="A4562" s="6" t="n">
        <v>548992</v>
      </c>
      <c r="B4562" s="6" t="inlineStr">
        <is>
          <t>BULLY HILL SWEET WALTER WHITE</t>
        </is>
      </c>
      <c r="C4562" s="7">
        <f>VLOOKUP(A4562,SizeData!A$2:B$3839,2,FALSE)</f>
        <v/>
      </c>
      <c r="D4562" s="6" t="n">
        <v>1</v>
      </c>
      <c r="E4562" s="6" t="inlineStr">
        <is>
          <t>R1130062</t>
        </is>
      </c>
      <c r="F4562" s="2" t="n">
        <v>44328</v>
      </c>
      <c r="G4562" s="1" t="n"/>
    </row>
    <row r="4563">
      <c r="A4563" s="6" t="n">
        <v>552052</v>
      </c>
      <c r="B4563" s="6" t="inlineStr">
        <is>
          <t>CARLO ROSSI CHARDONNAY</t>
        </is>
      </c>
      <c r="C4563" s="7">
        <f>VLOOKUP(A4563,SizeData!A$2:B$3839,2,FALSE)</f>
        <v/>
      </c>
      <c r="D4563" s="6" t="n">
        <v>1</v>
      </c>
      <c r="E4563" s="6" t="inlineStr">
        <is>
          <t>R984274</t>
        </is>
      </c>
      <c r="F4563" s="2" t="n">
        <v>44204</v>
      </c>
      <c r="G4563" s="1" t="n"/>
    </row>
    <row r="4564">
      <c r="A4564" s="6" t="n">
        <v>552052</v>
      </c>
      <c r="B4564" s="6" t="inlineStr">
        <is>
          <t>CARLO ROSSI CHARDONNAY</t>
        </is>
      </c>
      <c r="C4564" s="7">
        <f>VLOOKUP(A4564,SizeData!A$2:B$3839,2,FALSE)</f>
        <v/>
      </c>
      <c r="D4564" s="6" t="n">
        <v>1</v>
      </c>
      <c r="E4564" s="6" t="inlineStr">
        <is>
          <t>R994060</t>
        </is>
      </c>
      <c r="F4564" s="2" t="n">
        <v>44209</v>
      </c>
      <c r="G4564" s="1" t="n"/>
    </row>
    <row r="4565">
      <c r="A4565" s="6" t="n">
        <v>552052</v>
      </c>
      <c r="B4565" s="6" t="inlineStr">
        <is>
          <t>CARLO ROSSI CHARDONNAY</t>
        </is>
      </c>
      <c r="C4565" s="7">
        <f>VLOOKUP(A4565,SizeData!A$2:B$3839,2,FALSE)</f>
        <v/>
      </c>
      <c r="D4565" s="6" t="n">
        <v>1</v>
      </c>
      <c r="E4565" s="6" t="inlineStr">
        <is>
          <t>R1033219</t>
        </is>
      </c>
      <c r="F4565" s="2" t="n">
        <v>44249</v>
      </c>
      <c r="G4565" s="1" t="n"/>
    </row>
    <row r="4566">
      <c r="A4566" s="6" t="n">
        <v>552052</v>
      </c>
      <c r="B4566" s="6" t="inlineStr">
        <is>
          <t>CARLO ROSSI CHARDONNAY</t>
        </is>
      </c>
      <c r="C4566" s="7">
        <f>VLOOKUP(A4566,SizeData!A$2:B$3839,2,FALSE)</f>
        <v/>
      </c>
      <c r="D4566" s="6" t="n">
        <v>1</v>
      </c>
      <c r="E4566" s="6" t="inlineStr">
        <is>
          <t>R1031268</t>
        </is>
      </c>
      <c r="F4566" s="2" t="n">
        <v>44249</v>
      </c>
      <c r="G4566" s="1" t="n"/>
    </row>
    <row r="4567">
      <c r="A4567" s="6" t="n">
        <v>552052</v>
      </c>
      <c r="B4567" s="6" t="inlineStr">
        <is>
          <t>CARLO ROSSI CHARDONNAY</t>
        </is>
      </c>
      <c r="C4567" s="7">
        <f>VLOOKUP(A4567,SizeData!A$2:B$3839,2,FALSE)</f>
        <v/>
      </c>
      <c r="D4567" s="6" t="n">
        <v>2</v>
      </c>
      <c r="E4567" s="6" t="inlineStr">
        <is>
          <t>R1071489</t>
        </is>
      </c>
      <c r="F4567" s="2" t="n">
        <v>44281</v>
      </c>
      <c r="G4567" s="1" t="n"/>
    </row>
    <row r="4568">
      <c r="A4568" s="6" t="n">
        <v>552052</v>
      </c>
      <c r="B4568" s="6" t="inlineStr">
        <is>
          <t>CARLO ROSSI CHARDONNAY</t>
        </is>
      </c>
      <c r="C4568" s="7">
        <f>VLOOKUP(A4568,SizeData!A$2:B$3839,2,FALSE)</f>
        <v/>
      </c>
      <c r="D4568" s="6" t="n">
        <v>2</v>
      </c>
      <c r="E4568" s="6" t="inlineStr">
        <is>
          <t>R1084456</t>
        </is>
      </c>
      <c r="F4568" s="2" t="n">
        <v>44301</v>
      </c>
      <c r="G4568" s="1" t="n"/>
    </row>
    <row r="4569">
      <c r="A4569" s="6" t="n">
        <v>552052</v>
      </c>
      <c r="B4569" s="6" t="inlineStr">
        <is>
          <t>CARLO ROSSI CHARDONNAY</t>
        </is>
      </c>
      <c r="C4569" s="7">
        <f>VLOOKUP(A4569,SizeData!A$2:B$3839,2,FALSE)</f>
        <v/>
      </c>
      <c r="D4569" s="6" t="n">
        <v>2</v>
      </c>
      <c r="E4569" s="6" t="inlineStr">
        <is>
          <t>R1115090</t>
        </is>
      </c>
      <c r="F4569" s="2" t="n">
        <v>44315</v>
      </c>
      <c r="G4569" s="1" t="n"/>
    </row>
    <row r="4570">
      <c r="A4570" s="6" t="n">
        <v>552052</v>
      </c>
      <c r="B4570" s="6" t="inlineStr">
        <is>
          <t>CARLO ROSSI CHARDONNAY</t>
        </is>
      </c>
      <c r="C4570" s="7">
        <f>VLOOKUP(A4570,SizeData!A$2:B$3839,2,FALSE)</f>
        <v/>
      </c>
      <c r="D4570" s="6" t="n">
        <v>1</v>
      </c>
      <c r="E4570" s="6" t="inlineStr">
        <is>
          <t>R1108792</t>
        </is>
      </c>
      <c r="F4570" s="2" t="n">
        <v>44322</v>
      </c>
      <c r="G4570" s="1" t="n"/>
    </row>
    <row r="4571">
      <c r="A4571" s="6" t="n">
        <v>552052</v>
      </c>
      <c r="B4571" s="6" t="inlineStr">
        <is>
          <t>CARLO ROSSI CHARDONNAY</t>
        </is>
      </c>
      <c r="C4571" s="7">
        <f>VLOOKUP(A4571,SizeData!A$2:B$3839,2,FALSE)</f>
        <v/>
      </c>
      <c r="D4571" s="6" t="n">
        <v>1</v>
      </c>
      <c r="E4571" s="6" t="inlineStr">
        <is>
          <t xml:space="preserve"> R1133829</t>
        </is>
      </c>
      <c r="F4571" s="2" t="n">
        <v>44350</v>
      </c>
      <c r="G4571" s="1" t="n"/>
    </row>
    <row r="4572">
      <c r="A4572" s="6" t="n">
        <v>552052</v>
      </c>
      <c r="B4572" s="6" t="inlineStr">
        <is>
          <t>CARLO ROSSI CHARDONNAY</t>
        </is>
      </c>
      <c r="C4572" s="7">
        <f>VLOOKUP(A4572,SizeData!A$2:B$3839,2,FALSE)</f>
        <v/>
      </c>
      <c r="D4572" s="6" t="n">
        <v>1</v>
      </c>
      <c r="E4572" s="6" t="inlineStr">
        <is>
          <t>R1156117</t>
        </is>
      </c>
      <c r="F4572" s="2" t="n">
        <v>44362</v>
      </c>
      <c r="G4572" s="1" t="n"/>
    </row>
    <row r="4573">
      <c r="A4573" s="6" t="n">
        <v>552052</v>
      </c>
      <c r="B4573" s="6" t="inlineStr">
        <is>
          <t>CARLO ROSSI CHARDONNAY</t>
        </is>
      </c>
      <c r="C4573" s="7">
        <f>VLOOKUP(A4573,SizeData!A$2:B$3839,2,FALSE)</f>
        <v/>
      </c>
      <c r="D4573" s="6" t="n">
        <v>1</v>
      </c>
      <c r="E4573" s="6" t="inlineStr">
        <is>
          <t>R1167188</t>
        </is>
      </c>
      <c r="F4573" s="2" t="n">
        <v>44379</v>
      </c>
      <c r="G4573" s="1" t="n"/>
    </row>
    <row r="4574">
      <c r="A4574" s="6" t="n">
        <v>552052</v>
      </c>
      <c r="B4574" s="6" t="inlineStr">
        <is>
          <t>CARLO ROSSI CHARDONNAY</t>
        </is>
      </c>
      <c r="C4574" s="7">
        <f>VLOOKUP(A4574,SizeData!A$2:B$3839,2,FALSE)</f>
        <v/>
      </c>
      <c r="D4574" s="6" t="n">
        <v>1</v>
      </c>
      <c r="E4574" s="6" t="inlineStr">
        <is>
          <t>R1171117</t>
        </is>
      </c>
      <c r="F4574" s="2" t="n">
        <v>44382</v>
      </c>
      <c r="G4574" s="1" t="n"/>
    </row>
    <row r="4575">
      <c r="A4575" s="6" t="n">
        <v>552052</v>
      </c>
      <c r="B4575" s="6" t="inlineStr">
        <is>
          <t>CARLO ROSSI CHARDONNAY</t>
        </is>
      </c>
      <c r="C4575" s="7">
        <f>VLOOKUP(A4575,SizeData!A$2:B$3839,2,FALSE)</f>
        <v/>
      </c>
      <c r="D4575" s="6" t="n">
        <v>1</v>
      </c>
      <c r="E4575" s="6" t="inlineStr">
        <is>
          <t>R1192127</t>
        </is>
      </c>
      <c r="F4575" s="2" t="n">
        <v>44403</v>
      </c>
      <c r="G4575" s="1" t="n"/>
    </row>
    <row r="4576">
      <c r="A4576" s="6" t="n">
        <v>552052</v>
      </c>
      <c r="B4576" s="6" t="inlineStr">
        <is>
          <t>CARLO ROSSI CHARDONNAY</t>
        </is>
      </c>
      <c r="C4576" s="7">
        <f>VLOOKUP(A4576,SizeData!A$2:B$3839,2,FALSE)</f>
        <v/>
      </c>
      <c r="D4576" s="6" t="n">
        <v>1</v>
      </c>
      <c r="E4576" s="6" t="inlineStr">
        <is>
          <t xml:space="preserve"> R1182859</t>
        </is>
      </c>
      <c r="F4576" s="2" t="n">
        <v>44404</v>
      </c>
      <c r="G4576" s="1" t="n"/>
    </row>
    <row r="4577">
      <c r="A4577" s="6" t="n">
        <v>552052</v>
      </c>
      <c r="B4577" s="6" t="inlineStr">
        <is>
          <t>CARLO ROSSI CHARDONNAY</t>
        </is>
      </c>
      <c r="C4577" s="7">
        <f>VLOOKUP(A4577,SizeData!A$2:B$3839,2,FALSE)</f>
        <v/>
      </c>
      <c r="D4577" s="6" t="n">
        <v>1</v>
      </c>
      <c r="E4577" s="6" t="inlineStr">
        <is>
          <t>R1225343</t>
        </is>
      </c>
      <c r="F4577" s="2" t="n">
        <v>44427</v>
      </c>
      <c r="G4577" s="1" t="n"/>
    </row>
    <row r="4578">
      <c r="A4578" s="6" t="n">
        <v>552052</v>
      </c>
      <c r="B4578" s="6" t="inlineStr">
        <is>
          <t>CARLO ROSSI CHARDONNAY</t>
        </is>
      </c>
      <c r="C4578" s="7">
        <f>VLOOKUP(A4578,SizeData!A$2:B$3839,2,FALSE)</f>
        <v/>
      </c>
      <c r="D4578" s="6" t="n">
        <v>2</v>
      </c>
      <c r="E4578" s="6" t="inlineStr">
        <is>
          <t>R1274491</t>
        </is>
      </c>
      <c r="F4578" s="2" t="n">
        <v>44489</v>
      </c>
      <c r="G4578" s="1" t="n"/>
    </row>
    <row r="4579">
      <c r="A4579" s="6" t="n">
        <v>565371</v>
      </c>
      <c r="B4579" s="6" t="inlineStr">
        <is>
          <t>FLIP FLOP CHARDONNAY</t>
        </is>
      </c>
      <c r="C4579" s="7">
        <f>VLOOKUP(A4579,SizeData!A$2:B$3839,2,FALSE)</f>
        <v/>
      </c>
      <c r="D4579" s="6" t="n">
        <v>1</v>
      </c>
      <c r="E4579" s="6" t="inlineStr">
        <is>
          <t>R1230991</t>
        </is>
      </c>
      <c r="F4579" s="2" t="n">
        <v>44441</v>
      </c>
      <c r="G4579" s="1" t="n"/>
    </row>
    <row r="4580">
      <c r="A4580" s="6" t="n">
        <v>565371</v>
      </c>
      <c r="B4580" s="6" t="inlineStr">
        <is>
          <t>FLIP FLOP CHARDONNAY</t>
        </is>
      </c>
      <c r="C4580" s="7">
        <f>VLOOKUP(A4580,SizeData!A$2:B$3839,2,FALSE)</f>
        <v/>
      </c>
      <c r="D4580" s="6" t="n">
        <v>2</v>
      </c>
      <c r="E4580" s="6" t="inlineStr">
        <is>
          <t>R1236179</t>
        </is>
      </c>
      <c r="F4580" s="2" t="n">
        <v>44443</v>
      </c>
      <c r="G4580" s="1" t="n"/>
    </row>
    <row r="4581">
      <c r="A4581" s="6" t="n">
        <v>565377</v>
      </c>
      <c r="B4581" s="6" t="inlineStr">
        <is>
          <t>FLIP FLOP MOSCATO</t>
        </is>
      </c>
      <c r="C4581" s="7">
        <f>VLOOKUP(A4581,SizeData!A$2:B$3839,2,FALSE)</f>
        <v/>
      </c>
      <c r="D4581" s="6" t="n">
        <v>3</v>
      </c>
      <c r="E4581" s="6" t="inlineStr">
        <is>
          <t>R1003015</t>
        </is>
      </c>
      <c r="F4581" s="2" t="n">
        <v>44216</v>
      </c>
      <c r="G4581" s="1" t="n"/>
    </row>
    <row r="4582">
      <c r="A4582" s="6" t="n">
        <v>565377</v>
      </c>
      <c r="B4582" s="6" t="inlineStr">
        <is>
          <t>FLIP FLOP MOSCATO</t>
        </is>
      </c>
      <c r="C4582" s="7">
        <f>VLOOKUP(A4582,SizeData!A$2:B$3839,2,FALSE)</f>
        <v/>
      </c>
      <c r="D4582" s="6" t="n">
        <v>3</v>
      </c>
      <c r="E4582" s="6" t="inlineStr">
        <is>
          <t>R1040170</t>
        </is>
      </c>
      <c r="F4582" s="2" t="n">
        <v>44251</v>
      </c>
      <c r="G4582" s="1" t="n"/>
    </row>
    <row r="4583">
      <c r="A4583" s="6" t="n">
        <v>565377</v>
      </c>
      <c r="B4583" s="6" t="inlineStr">
        <is>
          <t>FLIP FLOP MOSCATO</t>
        </is>
      </c>
      <c r="C4583" s="7">
        <f>VLOOKUP(A4583,SizeData!A$2:B$3839,2,FALSE)</f>
        <v/>
      </c>
      <c r="D4583" s="6" t="n">
        <v>2</v>
      </c>
      <c r="E4583" s="6" t="inlineStr">
        <is>
          <t>R1053588</t>
        </is>
      </c>
      <c r="F4583" s="2" t="n">
        <v>44278</v>
      </c>
      <c r="G4583" s="1" t="n"/>
    </row>
    <row r="4584">
      <c r="A4584" s="6" t="n">
        <v>565377</v>
      </c>
      <c r="B4584" s="6" t="inlineStr">
        <is>
          <t>FLIP FLOP MOSCATO</t>
        </is>
      </c>
      <c r="C4584" s="7">
        <f>VLOOKUP(A4584,SizeData!A$2:B$3839,2,FALSE)</f>
        <v/>
      </c>
      <c r="D4584" s="6" t="n">
        <v>3</v>
      </c>
      <c r="E4584" s="6" t="inlineStr">
        <is>
          <t>R1081307</t>
        </is>
      </c>
      <c r="F4584" s="2" t="n">
        <v>44284</v>
      </c>
      <c r="G4584" s="1" t="n"/>
    </row>
    <row r="4585">
      <c r="A4585" s="6" t="n">
        <v>565377</v>
      </c>
      <c r="B4585" s="6" t="inlineStr">
        <is>
          <t>FLIP FLOP MOSCATO</t>
        </is>
      </c>
      <c r="C4585" s="7">
        <f>VLOOKUP(A4585,SizeData!A$2:B$3839,2,FALSE)</f>
        <v/>
      </c>
      <c r="D4585" s="6" t="n">
        <v>2</v>
      </c>
      <c r="E4585" s="6" t="inlineStr">
        <is>
          <t xml:space="preserve"> R1089911</t>
        </is>
      </c>
      <c r="F4585" s="2" t="n">
        <v>44299</v>
      </c>
      <c r="G4585" s="1" t="n"/>
    </row>
    <row r="4586">
      <c r="A4586" s="6" t="n">
        <v>565377</v>
      </c>
      <c r="B4586" s="6" t="inlineStr">
        <is>
          <t>FLIP FLOP MOSCATO</t>
        </is>
      </c>
      <c r="C4586" s="7">
        <f>VLOOKUP(A4586,SizeData!A$2:B$3839,2,FALSE)</f>
        <v/>
      </c>
      <c r="D4586" s="6" t="n">
        <v>1</v>
      </c>
      <c r="E4586" s="6" t="inlineStr">
        <is>
          <t>R1103097</t>
        </is>
      </c>
      <c r="F4586" s="2" t="n">
        <v>44320</v>
      </c>
      <c r="G4586" s="1" t="n"/>
    </row>
    <row r="4587">
      <c r="A4587" s="6" t="n">
        <v>565377</v>
      </c>
      <c r="B4587" s="6" t="inlineStr">
        <is>
          <t>FLIP FLOP MOSCATO</t>
        </is>
      </c>
      <c r="C4587" s="7">
        <f>VLOOKUP(A4587,SizeData!A$2:B$3839,2,FALSE)</f>
        <v/>
      </c>
      <c r="D4587" s="6" t="n">
        <v>2</v>
      </c>
      <c r="E4587" s="6" t="inlineStr">
        <is>
          <t>R1108792</t>
        </is>
      </c>
      <c r="F4587" s="2" t="n">
        <v>44322</v>
      </c>
      <c r="G4587" s="1" t="n"/>
    </row>
    <row r="4588">
      <c r="A4588" s="6" t="n">
        <v>565377</v>
      </c>
      <c r="B4588" s="6" t="inlineStr">
        <is>
          <t>FLIP FLOP MOSCATO</t>
        </is>
      </c>
      <c r="C4588" s="7">
        <f>VLOOKUP(A4588,SizeData!A$2:B$3839,2,FALSE)</f>
        <v/>
      </c>
      <c r="D4588" s="6" t="n">
        <v>5</v>
      </c>
      <c r="E4588" s="6" t="inlineStr">
        <is>
          <t>R1146719</t>
        </is>
      </c>
      <c r="F4588" s="2" t="n">
        <v>44355</v>
      </c>
      <c r="G4588" s="1" t="n"/>
    </row>
    <row r="4589">
      <c r="A4589" s="6" t="n">
        <v>565377</v>
      </c>
      <c r="B4589" s="6" t="inlineStr">
        <is>
          <t>FLIP FLOP MOSCATO</t>
        </is>
      </c>
      <c r="C4589" s="7">
        <f>VLOOKUP(A4589,SizeData!A$2:B$3839,2,FALSE)</f>
        <v/>
      </c>
      <c r="D4589" s="6" t="n">
        <v>3</v>
      </c>
      <c r="E4589" s="6" t="inlineStr">
        <is>
          <t xml:space="preserve"> R1163539</t>
        </is>
      </c>
      <c r="F4589" s="2" t="n">
        <v>44378</v>
      </c>
      <c r="G4589" s="1" t="n"/>
    </row>
    <row r="4590">
      <c r="A4590" s="6" t="n">
        <v>565377</v>
      </c>
      <c r="B4590" s="6" t="inlineStr">
        <is>
          <t>FLIP FLOP MOSCATO</t>
        </is>
      </c>
      <c r="C4590" s="7">
        <f>VLOOKUP(A4590,SizeData!A$2:B$3839,2,FALSE)</f>
        <v/>
      </c>
      <c r="D4590" s="6" t="n">
        <v>1</v>
      </c>
      <c r="E4590" s="6" t="inlineStr">
        <is>
          <t>R1192602</t>
        </is>
      </c>
      <c r="F4590" s="2" t="n">
        <v>44401</v>
      </c>
      <c r="G4590" s="1" t="n"/>
    </row>
    <row r="4591">
      <c r="A4591" s="6" t="n">
        <v>565377</v>
      </c>
      <c r="B4591" s="6" t="inlineStr">
        <is>
          <t>FLIP FLOP MOSCATO</t>
        </is>
      </c>
      <c r="C4591" s="7">
        <f>VLOOKUP(A4591,SizeData!A$2:B$3839,2,FALSE)</f>
        <v/>
      </c>
      <c r="D4591" s="6" t="n">
        <v>1</v>
      </c>
      <c r="E4591" s="6" t="inlineStr">
        <is>
          <t>R1192528</t>
        </is>
      </c>
      <c r="F4591" s="2" t="n">
        <v>44404</v>
      </c>
      <c r="G4591" s="1" t="n"/>
    </row>
    <row r="4592">
      <c r="A4592" s="6" t="n">
        <v>565377</v>
      </c>
      <c r="B4592" s="6" t="inlineStr">
        <is>
          <t>FLIP FLOP MOSCATO</t>
        </is>
      </c>
      <c r="C4592" s="7">
        <f>VLOOKUP(A4592,SizeData!A$2:B$3839,2,FALSE)</f>
        <v/>
      </c>
      <c r="D4592" s="6" t="n">
        <v>5</v>
      </c>
      <c r="E4592" s="6" t="inlineStr">
        <is>
          <t>R1189136</t>
        </is>
      </c>
      <c r="F4592" s="2" t="n">
        <v>44410</v>
      </c>
      <c r="G4592" s="1" t="n"/>
    </row>
    <row r="4593">
      <c r="A4593" s="6" t="n">
        <v>565377</v>
      </c>
      <c r="B4593" s="6" t="inlineStr">
        <is>
          <t>FLIP FLOP MOSCATO</t>
        </is>
      </c>
      <c r="C4593" s="7">
        <f>VLOOKUP(A4593,SizeData!A$2:B$3839,2,FALSE)</f>
        <v/>
      </c>
      <c r="D4593" s="6" t="n">
        <v>7</v>
      </c>
      <c r="E4593" s="6" t="inlineStr">
        <is>
          <t>R1200565</t>
        </is>
      </c>
      <c r="F4593" s="2" t="n">
        <v>44411</v>
      </c>
      <c r="G4593" s="1" t="n"/>
    </row>
    <row r="4594">
      <c r="A4594" s="6" t="n">
        <v>566375</v>
      </c>
      <c r="B4594" s="6" t="inlineStr">
        <is>
          <t>FRANZIA HOUSE WINE FAV CRISP WHITE</t>
        </is>
      </c>
      <c r="C4594" s="7">
        <f>VLOOKUP(A4594,SizeData!A$2:B$3839,2,FALSE)</f>
        <v/>
      </c>
      <c r="D4594" s="6" t="n">
        <v>1</v>
      </c>
      <c r="E4594" s="6" t="inlineStr">
        <is>
          <t>R1134134</t>
        </is>
      </c>
      <c r="F4594" s="2" t="n">
        <v>44354</v>
      </c>
      <c r="G4594" s="1" t="n"/>
    </row>
    <row r="4595">
      <c r="A4595" s="6" t="n">
        <v>566520</v>
      </c>
      <c r="B4595" s="6" t="inlineStr">
        <is>
          <t>FRANZIA VINTNER SELECT CHARDONNAY</t>
        </is>
      </c>
      <c r="C4595" s="7">
        <f>VLOOKUP(A4595,SizeData!A$2:B$3839,2,FALSE)</f>
        <v/>
      </c>
      <c r="D4595" s="6" t="n">
        <v>1</v>
      </c>
      <c r="E4595" s="6" t="inlineStr">
        <is>
          <t>R1018402</t>
        </is>
      </c>
      <c r="F4595" s="2" t="n">
        <v>44229</v>
      </c>
      <c r="G4595" s="1" t="n"/>
    </row>
    <row r="4596">
      <c r="A4596" s="6" t="n">
        <v>566520</v>
      </c>
      <c r="B4596" s="6" t="inlineStr">
        <is>
          <t>FRANZIA VINTNER SELECT CHARDONNAY</t>
        </is>
      </c>
      <c r="C4596" s="7">
        <f>VLOOKUP(A4596,SizeData!A$2:B$3839,2,FALSE)</f>
        <v/>
      </c>
      <c r="D4596" s="6" t="n">
        <v>1</v>
      </c>
      <c r="E4596" s="6" t="inlineStr">
        <is>
          <t>R1085364</t>
        </is>
      </c>
      <c r="F4596" s="2" t="n">
        <v>44289</v>
      </c>
      <c r="G4596" s="1" t="n"/>
    </row>
    <row r="4597">
      <c r="A4597" s="6" t="n">
        <v>566520</v>
      </c>
      <c r="B4597" s="6" t="inlineStr">
        <is>
          <t>FRANZIA VINTNER SELECT CHARDONNAY</t>
        </is>
      </c>
      <c r="C4597" s="7">
        <f>VLOOKUP(A4597,SizeData!A$2:B$3839,2,FALSE)</f>
        <v/>
      </c>
      <c r="D4597" s="6" t="n">
        <v>1</v>
      </c>
      <c r="E4597" s="6" t="inlineStr">
        <is>
          <t>R1089602</t>
        </is>
      </c>
      <c r="F4597" s="2" t="n">
        <v>44298</v>
      </c>
      <c r="G4597" s="1" t="n"/>
    </row>
    <row r="4598">
      <c r="A4598" s="6" t="n">
        <v>566520</v>
      </c>
      <c r="B4598" s="6" t="inlineStr">
        <is>
          <t>FRANZIA VINTNER SELECT CHARDONNAY</t>
        </is>
      </c>
      <c r="C4598" s="7">
        <f>VLOOKUP(A4598,SizeData!A$2:B$3839,2,FALSE)</f>
        <v/>
      </c>
      <c r="D4598" s="6" t="n">
        <v>1</v>
      </c>
      <c r="E4598" s="6" t="inlineStr">
        <is>
          <t>R1132522</t>
        </is>
      </c>
      <c r="F4598" s="2" t="n">
        <v>44341</v>
      </c>
      <c r="G4598" s="1" t="n"/>
    </row>
    <row r="4599">
      <c r="A4599" s="6" t="n">
        <v>566520</v>
      </c>
      <c r="B4599" s="6" t="inlineStr">
        <is>
          <t>FRANZIA VINTNER SELECT CHARDONNAY</t>
        </is>
      </c>
      <c r="C4599" s="7">
        <f>VLOOKUP(A4599,SizeData!A$2:B$3839,2,FALSE)</f>
        <v/>
      </c>
      <c r="D4599" s="6" t="n">
        <v>1</v>
      </c>
      <c r="E4599" s="6" t="inlineStr">
        <is>
          <t>R1225343</t>
        </is>
      </c>
      <c r="F4599" s="2" t="n">
        <v>44427</v>
      </c>
      <c r="G4599" s="1" t="n"/>
    </row>
    <row r="4600">
      <c r="A4600" s="6" t="n">
        <v>566520</v>
      </c>
      <c r="B4600" s="6" t="inlineStr">
        <is>
          <t>FRANZIA VINTNER SELECT CHARDONNAY</t>
        </is>
      </c>
      <c r="C4600" s="7">
        <f>VLOOKUP(A4600,SizeData!A$2:B$3839,2,FALSE)</f>
        <v/>
      </c>
      <c r="D4600" s="6" t="n">
        <v>1</v>
      </c>
      <c r="E4600" s="6" t="inlineStr">
        <is>
          <t>R1231673</t>
        </is>
      </c>
      <c r="F4600" s="2" t="n">
        <v>44443</v>
      </c>
      <c r="G4600" s="1" t="n"/>
    </row>
    <row r="4601">
      <c r="A4601" s="6" t="n">
        <v>566520</v>
      </c>
      <c r="B4601" s="6" t="inlineStr">
        <is>
          <t>FRANZIA VINTNER SELECT CHARDONNAY</t>
        </is>
      </c>
      <c r="C4601" s="7">
        <f>VLOOKUP(A4601,SizeData!A$2:B$3839,2,FALSE)</f>
        <v/>
      </c>
      <c r="D4601" s="6" t="n">
        <v>1</v>
      </c>
      <c r="E4601" s="6" t="inlineStr">
        <is>
          <t>R1348543</t>
        </is>
      </c>
      <c r="F4601" s="2" t="n">
        <v>44534</v>
      </c>
      <c r="G4601" s="1" t="n"/>
    </row>
    <row r="4602">
      <c r="A4602" s="6" t="n">
        <v>566575</v>
      </c>
      <c r="B4602" s="6" t="inlineStr">
        <is>
          <t>FRANZIA PINOT GRIGIO/COLOMBARD</t>
        </is>
      </c>
      <c r="C4602" s="7">
        <f>VLOOKUP(A4602,SizeData!A$2:B$3839,2,FALSE)</f>
        <v/>
      </c>
      <c r="D4602" s="6" t="n">
        <v>1</v>
      </c>
      <c r="E4602" s="6" t="inlineStr">
        <is>
          <t>R1026567</t>
        </is>
      </c>
      <c r="F4602" s="2" t="n">
        <v>44245</v>
      </c>
      <c r="G4602" s="1" t="n"/>
    </row>
    <row r="4603">
      <c r="A4603" s="6" t="n">
        <v>566575</v>
      </c>
      <c r="B4603" s="6" t="inlineStr">
        <is>
          <t>FRANZIA PINOT GRIGIO/COLOMBARD</t>
        </is>
      </c>
      <c r="C4603" s="7">
        <f>VLOOKUP(A4603,SizeData!A$2:B$3839,2,FALSE)</f>
        <v/>
      </c>
      <c r="D4603" s="6" t="n">
        <v>1</v>
      </c>
      <c r="E4603" s="6" t="inlineStr">
        <is>
          <t>R1070281</t>
        </is>
      </c>
      <c r="F4603" s="2" t="n">
        <v>44275</v>
      </c>
      <c r="G4603" s="1" t="n"/>
    </row>
    <row r="4604">
      <c r="A4604" s="6" t="n">
        <v>566575</v>
      </c>
      <c r="B4604" s="6" t="inlineStr">
        <is>
          <t>FRANZIA PINOT GRIGIO/COLOMBARD</t>
        </is>
      </c>
      <c r="C4604" s="7">
        <f>VLOOKUP(A4604,SizeData!A$2:B$3839,2,FALSE)</f>
        <v/>
      </c>
      <c r="D4604" s="6" t="n">
        <v>1</v>
      </c>
      <c r="E4604" s="6" t="inlineStr">
        <is>
          <t>R1310122</t>
        </is>
      </c>
      <c r="F4604" s="2" t="n">
        <v>44488</v>
      </c>
      <c r="G4604" s="1" t="n"/>
    </row>
    <row r="4605">
      <c r="A4605" s="6" t="n">
        <v>571060</v>
      </c>
      <c r="B4605" s="6" t="inlineStr">
        <is>
          <t>GALLO FAMILY VINEYARDS SAUVIGNON BLANC</t>
        </is>
      </c>
      <c r="C4605" s="7">
        <f>VLOOKUP(A4605,SizeData!A$2:B$3839,2,FALSE)</f>
        <v/>
      </c>
      <c r="D4605" s="6" t="n">
        <v>3</v>
      </c>
      <c r="E4605" s="6" t="inlineStr">
        <is>
          <t>R1101475</t>
        </is>
      </c>
      <c r="F4605" s="2" t="n">
        <v>44313</v>
      </c>
      <c r="G4605" s="1" t="n"/>
    </row>
    <row r="4606">
      <c r="A4606" s="6" t="n">
        <v>575250</v>
      </c>
      <c r="B4606" s="6" t="inlineStr">
        <is>
          <t>HOGUE LATE HARVEST WHITE RIESLING</t>
        </is>
      </c>
      <c r="C4606" s="7">
        <f>VLOOKUP(A4606,SizeData!A$2:B$3839,2,FALSE)</f>
        <v/>
      </c>
      <c r="D4606" s="6" t="n">
        <v>1</v>
      </c>
      <c r="E4606" s="6" t="inlineStr">
        <is>
          <t>R1161479</t>
        </is>
      </c>
      <c r="F4606" s="2" t="n">
        <v>44373</v>
      </c>
      <c r="G4606" s="1" t="n"/>
    </row>
    <row r="4607">
      <c r="A4607" s="6" t="n">
        <v>575250</v>
      </c>
      <c r="B4607" s="6" t="inlineStr">
        <is>
          <t>HOGUE LATE HARVEST WHITE RIESLING</t>
        </is>
      </c>
      <c r="C4607" s="7">
        <f>VLOOKUP(A4607,SizeData!A$2:B$3839,2,FALSE)</f>
        <v/>
      </c>
      <c r="D4607" s="6" t="n">
        <v>1</v>
      </c>
      <c r="E4607" s="6" t="inlineStr">
        <is>
          <t>R1240644</t>
        </is>
      </c>
      <c r="F4607" s="2" t="n">
        <v>44440</v>
      </c>
      <c r="G4607" s="1" t="n"/>
    </row>
    <row r="4608">
      <c r="A4608" s="6" t="n">
        <v>580125</v>
      </c>
      <c r="B4608" s="6" t="inlineStr">
        <is>
          <t>KENDALL JKSN GRAND RSV CHARDNY</t>
        </is>
      </c>
      <c r="C4608" s="7">
        <f>VLOOKUP(A4608,SizeData!A$2:B$3839,2,FALSE)</f>
        <v/>
      </c>
      <c r="D4608" s="6" t="n">
        <v>1</v>
      </c>
      <c r="E4608" s="6" t="inlineStr">
        <is>
          <t>R1340613</t>
        </is>
      </c>
      <c r="F4608" s="2" t="n">
        <v>44520</v>
      </c>
      <c r="G4608" s="1" t="n"/>
    </row>
    <row r="4609">
      <c r="A4609" s="6" t="n">
        <v>581330</v>
      </c>
      <c r="B4609" s="6" t="inlineStr">
        <is>
          <t>KENDALL JKSN VINTNERS RSV CHARDNY</t>
        </is>
      </c>
      <c r="C4609" s="7">
        <f>VLOOKUP(A4609,SizeData!A$2:B$3839,2,FALSE)</f>
        <v/>
      </c>
      <c r="D4609" s="6" t="n">
        <v>1</v>
      </c>
      <c r="E4609" s="6" t="inlineStr">
        <is>
          <t>R1035997</t>
        </is>
      </c>
      <c r="F4609" s="2" t="n">
        <v>44252</v>
      </c>
      <c r="G4609" s="1" t="n"/>
    </row>
    <row r="4610">
      <c r="A4610" s="6" t="n">
        <v>581330</v>
      </c>
      <c r="B4610" s="6" t="inlineStr">
        <is>
          <t>KENDALL JKSN VINTNERS RSV CHARDNY</t>
        </is>
      </c>
      <c r="C4610" s="7">
        <f>VLOOKUP(A4610,SizeData!A$2:B$3839,2,FALSE)</f>
        <v/>
      </c>
      <c r="D4610" s="6" t="n">
        <v>1</v>
      </c>
      <c r="E4610" s="6" t="inlineStr">
        <is>
          <t>R1159919</t>
        </is>
      </c>
      <c r="F4610" s="2" t="n">
        <v>44370</v>
      </c>
      <c r="G4610" s="1" t="n"/>
    </row>
    <row r="4611">
      <c r="A4611" s="6" t="n">
        <v>581330</v>
      </c>
      <c r="B4611" s="6" t="inlineStr">
        <is>
          <t>KENDALL JKSN VINTNERS RSV CHARDNY</t>
        </is>
      </c>
      <c r="C4611" s="7">
        <f>VLOOKUP(A4611,SizeData!A$2:B$3839,2,FALSE)</f>
        <v/>
      </c>
      <c r="D4611" s="6" t="n">
        <v>1</v>
      </c>
      <c r="E4611" s="6" t="inlineStr">
        <is>
          <t>R1163907</t>
        </is>
      </c>
      <c r="F4611" s="2" t="n">
        <v>44373</v>
      </c>
      <c r="G4611" s="1" t="n"/>
    </row>
    <row r="4612">
      <c r="A4612" s="6" t="n">
        <v>581330</v>
      </c>
      <c r="B4612" s="6" t="inlineStr">
        <is>
          <t>KENDALL JKSN VINTNERS RSV CHARDNY</t>
        </is>
      </c>
      <c r="C4612" s="7">
        <f>VLOOKUP(A4612,SizeData!A$2:B$3839,2,FALSE)</f>
        <v/>
      </c>
      <c r="D4612" s="6" t="n">
        <v>1</v>
      </c>
      <c r="E4612" s="6" t="inlineStr">
        <is>
          <t>R1286225</t>
        </is>
      </c>
      <c r="F4612" s="2" t="n">
        <v>44478</v>
      </c>
      <c r="G4612" s="1" t="n"/>
    </row>
    <row r="4613">
      <c r="A4613" s="6" t="n">
        <v>581330</v>
      </c>
      <c r="B4613" s="6" t="inlineStr">
        <is>
          <t>KENDALL JKSN VINTNERS RSV CHARDNY</t>
        </is>
      </c>
      <c r="C4613" s="7">
        <f>VLOOKUP(A4613,SizeData!A$2:B$3839,2,FALSE)</f>
        <v/>
      </c>
      <c r="D4613" s="6" t="n">
        <v>2</v>
      </c>
      <c r="E4613" s="6" t="inlineStr">
        <is>
          <t>R1345582</t>
        </is>
      </c>
      <c r="F4613" s="2" t="n">
        <v>44526</v>
      </c>
      <c r="G4613" s="1" t="n"/>
    </row>
    <row r="4614">
      <c r="A4614" s="6" t="n">
        <v>581495</v>
      </c>
      <c r="B4614" s="6" t="inlineStr">
        <is>
          <t>KENDALL JKSN VINTNERS RSV RIESLING</t>
        </is>
      </c>
      <c r="C4614" s="7">
        <f>VLOOKUP(A4614,SizeData!A$2:B$3839,2,FALSE)</f>
        <v/>
      </c>
      <c r="D4614" s="6" t="n">
        <v>1</v>
      </c>
      <c r="E4614" s="6" t="inlineStr">
        <is>
          <t>R1135118</t>
        </is>
      </c>
      <c r="F4614" s="2" t="n">
        <v>44321</v>
      </c>
      <c r="G4614" s="1" t="n"/>
    </row>
    <row r="4615">
      <c r="A4615" s="6" t="n">
        <v>581495</v>
      </c>
      <c r="B4615" s="6" t="inlineStr">
        <is>
          <t>KENDALL JKSN VINTNERS RSV RIESLING</t>
        </is>
      </c>
      <c r="C4615" s="7">
        <f>VLOOKUP(A4615,SizeData!A$2:B$3839,2,FALSE)</f>
        <v/>
      </c>
      <c r="D4615" s="6" t="n">
        <v>1</v>
      </c>
      <c r="E4615" s="6" t="inlineStr">
        <is>
          <t>R1148371</t>
        </is>
      </c>
      <c r="F4615" s="2" t="n">
        <v>44365</v>
      </c>
      <c r="G4615" s="1" t="n"/>
    </row>
    <row r="4616">
      <c r="A4616" s="6" t="n">
        <v>581495</v>
      </c>
      <c r="B4616" s="6" t="inlineStr">
        <is>
          <t>KENDALL JKSN VINTNERS RSV RIESLING</t>
        </is>
      </c>
      <c r="C4616" s="7">
        <f>VLOOKUP(A4616,SizeData!A$2:B$3839,2,FALSE)</f>
        <v/>
      </c>
      <c r="D4616" s="6" t="n">
        <v>1</v>
      </c>
      <c r="E4616" s="6" t="inlineStr">
        <is>
          <t>R1225343</t>
        </is>
      </c>
      <c r="F4616" s="2" t="n">
        <v>44427</v>
      </c>
      <c r="G4616" s="1" t="n"/>
    </row>
    <row r="4617">
      <c r="A4617" s="6" t="n">
        <v>581495</v>
      </c>
      <c r="B4617" s="6" t="inlineStr">
        <is>
          <t>KENDALL JKSN VINTNERS RSV RIESLING</t>
        </is>
      </c>
      <c r="C4617" s="7">
        <f>VLOOKUP(A4617,SizeData!A$2:B$3839,2,FALSE)</f>
        <v/>
      </c>
      <c r="D4617" s="6" t="n">
        <v>1</v>
      </c>
      <c r="E4617" s="6" t="inlineStr">
        <is>
          <t>R1272603</t>
        </is>
      </c>
      <c r="F4617" s="2" t="n">
        <v>44473</v>
      </c>
      <c r="G4617" s="1" t="n"/>
    </row>
    <row r="4618">
      <c r="A4618" s="6" t="n">
        <v>581565</v>
      </c>
      <c r="B4618" s="6" t="inlineStr">
        <is>
          <t>KENDALL JKSN VINTNERS RSV SAUV BLANC</t>
        </is>
      </c>
      <c r="C4618" s="7">
        <f>VLOOKUP(A4618,SizeData!A$2:B$3839,2,FALSE)</f>
        <v/>
      </c>
      <c r="D4618" s="6" t="n">
        <v>1</v>
      </c>
      <c r="E4618" s="6" t="inlineStr">
        <is>
          <t>R1148371</t>
        </is>
      </c>
      <c r="F4618" s="2" t="n">
        <v>44365</v>
      </c>
      <c r="G4618" s="1" t="n"/>
    </row>
    <row r="4619">
      <c r="A4619" s="6" t="n">
        <v>581565</v>
      </c>
      <c r="B4619" s="6" t="inlineStr">
        <is>
          <t>KENDALL JKSN VINTNERS RSV SAUV BLANC</t>
        </is>
      </c>
      <c r="C4619" s="7">
        <f>VLOOKUP(A4619,SizeData!A$2:B$3839,2,FALSE)</f>
        <v/>
      </c>
      <c r="D4619" s="6" t="n">
        <v>1</v>
      </c>
      <c r="E4619" s="6" t="inlineStr">
        <is>
          <t>R1215815</t>
        </is>
      </c>
      <c r="F4619" s="2" t="n">
        <v>44418</v>
      </c>
      <c r="G4619" s="1" t="n"/>
    </row>
    <row r="4620">
      <c r="A4620" s="6" t="n">
        <v>582307</v>
      </c>
      <c r="B4620" s="6" t="inlineStr">
        <is>
          <t>LA CREMA CHARDONNAY SONOMA COAST</t>
        </is>
      </c>
      <c r="C4620" s="7">
        <f>VLOOKUP(A4620,SizeData!A$2:B$3839,2,FALSE)</f>
        <v/>
      </c>
      <c r="D4620" s="6" t="n">
        <v>1</v>
      </c>
      <c r="E4620" s="6" t="inlineStr">
        <is>
          <t>R1135118</t>
        </is>
      </c>
      <c r="F4620" s="2" t="n">
        <v>44321</v>
      </c>
      <c r="G4620" s="1" t="n"/>
    </row>
    <row r="4621">
      <c r="A4621" s="6" t="n">
        <v>582307</v>
      </c>
      <c r="B4621" s="6" t="inlineStr">
        <is>
          <t>LA CREMA CHARDONNAY SONOMA COAST</t>
        </is>
      </c>
      <c r="C4621" s="7">
        <f>VLOOKUP(A4621,SizeData!A$2:B$3839,2,FALSE)</f>
        <v/>
      </c>
      <c r="D4621" s="6" t="n">
        <v>1</v>
      </c>
      <c r="E4621" s="6" t="inlineStr">
        <is>
          <t>R1136630</t>
        </is>
      </c>
      <c r="F4621" s="2" t="n">
        <v>44341</v>
      </c>
      <c r="G4621" s="1" t="n"/>
    </row>
    <row r="4622">
      <c r="A4622" s="6" t="n">
        <v>583802</v>
      </c>
      <c r="B4622" s="6" t="inlineStr">
        <is>
          <t>LIBERTY CREEK MOSCATO</t>
        </is>
      </c>
      <c r="C4622" s="7">
        <f>VLOOKUP(A4622,SizeData!A$2:B$3839,2,FALSE)</f>
        <v/>
      </c>
      <c r="D4622" s="6" t="n">
        <v>1</v>
      </c>
      <c r="E4622" s="6" t="inlineStr">
        <is>
          <t>R992402</t>
        </is>
      </c>
      <c r="F4622" s="2" t="n">
        <v>44198</v>
      </c>
      <c r="G4622" s="1" t="n"/>
    </row>
    <row r="4623">
      <c r="A4623" s="6" t="n">
        <v>583802</v>
      </c>
      <c r="B4623" s="6" t="inlineStr">
        <is>
          <t>LIBERTY CREEK MOSCATO</t>
        </is>
      </c>
      <c r="C4623" s="7">
        <f>VLOOKUP(A4623,SizeData!A$2:B$3839,2,FALSE)</f>
        <v/>
      </c>
      <c r="D4623" s="6" t="n">
        <v>2</v>
      </c>
      <c r="E4623" s="6" t="inlineStr">
        <is>
          <t>R999392</t>
        </is>
      </c>
      <c r="F4623" s="2" t="n">
        <v>44224</v>
      </c>
      <c r="G4623" s="1" t="n"/>
    </row>
    <row r="4624">
      <c r="A4624" s="6" t="n">
        <v>583802</v>
      </c>
      <c r="B4624" s="6" t="inlineStr">
        <is>
          <t>LIBERTY CREEK MOSCATO</t>
        </is>
      </c>
      <c r="C4624" s="7">
        <f>VLOOKUP(A4624,SizeData!A$2:B$3839,2,FALSE)</f>
        <v/>
      </c>
      <c r="D4624" s="6" t="n">
        <v>1</v>
      </c>
      <c r="E4624" s="6" t="inlineStr">
        <is>
          <t>R1046414</t>
        </is>
      </c>
      <c r="F4624" s="2" t="n">
        <v>44254</v>
      </c>
      <c r="G4624" s="1" t="n"/>
    </row>
    <row r="4625">
      <c r="A4625" s="6" t="n">
        <v>583802</v>
      </c>
      <c r="B4625" s="6" t="inlineStr">
        <is>
          <t>LIBERTY CREEK MOSCATO</t>
        </is>
      </c>
      <c r="C4625" s="7">
        <f>VLOOKUP(A4625,SizeData!A$2:B$3839,2,FALSE)</f>
        <v/>
      </c>
      <c r="D4625" s="6" t="n">
        <v>1</v>
      </c>
      <c r="E4625" s="6" t="inlineStr">
        <is>
          <t>R1067564</t>
        </is>
      </c>
      <c r="F4625" s="2" t="n">
        <v>44279</v>
      </c>
      <c r="G4625" s="1" t="n"/>
    </row>
    <row r="4626">
      <c r="A4626" s="6" t="n">
        <v>583802</v>
      </c>
      <c r="B4626" s="6" t="inlineStr">
        <is>
          <t>LIBERTY CREEK MOSCATO</t>
        </is>
      </c>
      <c r="C4626" s="7">
        <f>VLOOKUP(A4626,SizeData!A$2:B$3839,2,FALSE)</f>
        <v/>
      </c>
      <c r="D4626" s="6" t="n">
        <v>1</v>
      </c>
      <c r="E4626" s="6" t="inlineStr">
        <is>
          <t>R1074089</t>
        </is>
      </c>
      <c r="F4626" s="2" t="n">
        <v>44288</v>
      </c>
      <c r="G4626" s="1" t="n"/>
    </row>
    <row r="4627">
      <c r="A4627" s="6" t="n">
        <v>583802</v>
      </c>
      <c r="B4627" s="6" t="inlineStr">
        <is>
          <t>LIBERTY CREEK MOSCATO</t>
        </is>
      </c>
      <c r="C4627" s="7">
        <f>VLOOKUP(A4627,SizeData!A$2:B$3839,2,FALSE)</f>
        <v/>
      </c>
      <c r="D4627" s="6" t="n">
        <v>4</v>
      </c>
      <c r="E4627" s="6" t="inlineStr">
        <is>
          <t>R1226354</t>
        </is>
      </c>
      <c r="F4627" s="2" t="n">
        <v>44434</v>
      </c>
      <c r="G4627" s="1" t="n"/>
    </row>
    <row r="4628">
      <c r="A4628" s="6" t="n">
        <v>583802</v>
      </c>
      <c r="B4628" s="6" t="inlineStr">
        <is>
          <t>LIBERTY CREEK MOSCATO</t>
        </is>
      </c>
      <c r="C4628" s="7">
        <f>VLOOKUP(A4628,SizeData!A$2:B$3839,2,FALSE)</f>
        <v/>
      </c>
      <c r="D4628" s="6" t="n">
        <v>1</v>
      </c>
      <c r="E4628" s="6" t="inlineStr">
        <is>
          <t>R1242196</t>
        </is>
      </c>
      <c r="F4628" s="2" t="n">
        <v>44456</v>
      </c>
      <c r="G4628" s="1" t="n"/>
    </row>
    <row r="4629">
      <c r="A4629" s="6" t="n">
        <v>583802</v>
      </c>
      <c r="B4629" s="6" t="inlineStr">
        <is>
          <t>LIBERTY CREEK MOSCATO</t>
        </is>
      </c>
      <c r="C4629" s="7">
        <f>VLOOKUP(A4629,SizeData!A$2:B$3839,2,FALSE)</f>
        <v/>
      </c>
      <c r="D4629" s="6" t="n">
        <v>1</v>
      </c>
      <c r="E4629" s="6" t="inlineStr">
        <is>
          <t xml:space="preserve"> R1265479</t>
        </is>
      </c>
      <c r="F4629" s="2" t="n">
        <v>44462</v>
      </c>
      <c r="G4629" s="1" t="n"/>
    </row>
    <row r="4630">
      <c r="A4630" s="6" t="n">
        <v>583805</v>
      </c>
      <c r="B4630" s="6" t="inlineStr">
        <is>
          <t>LIBERTY CREEK CHARDONNAY</t>
        </is>
      </c>
      <c r="C4630" s="7">
        <f>VLOOKUP(A4630,SizeData!A$2:B$3839,2,FALSE)</f>
        <v/>
      </c>
      <c r="D4630" s="6" t="n">
        <v>5</v>
      </c>
      <c r="E4630" s="6" t="inlineStr">
        <is>
          <t>R999392</t>
        </is>
      </c>
      <c r="F4630" s="2" t="n">
        <v>44224</v>
      </c>
      <c r="G4630" s="1" t="n"/>
    </row>
    <row r="4631">
      <c r="A4631" s="6" t="n">
        <v>583805</v>
      </c>
      <c r="B4631" s="6" t="inlineStr">
        <is>
          <t>LIBERTY CREEK CHARDONNAY</t>
        </is>
      </c>
      <c r="C4631" s="7">
        <f>VLOOKUP(A4631,SizeData!A$2:B$3839,2,FALSE)</f>
        <v/>
      </c>
      <c r="D4631" s="6" t="n">
        <v>1</v>
      </c>
      <c r="E4631" s="6" t="inlineStr">
        <is>
          <t>R1101475</t>
        </is>
      </c>
      <c r="F4631" s="2" t="n">
        <v>44313</v>
      </c>
      <c r="G4631" s="1" t="n"/>
    </row>
    <row r="4632">
      <c r="A4632" s="6" t="n">
        <v>583805</v>
      </c>
      <c r="B4632" s="6" t="inlineStr">
        <is>
          <t>LIBERTY CREEK CHARDONNAY</t>
        </is>
      </c>
      <c r="C4632" s="7">
        <f>VLOOKUP(A4632,SizeData!A$2:B$3839,2,FALSE)</f>
        <v/>
      </c>
      <c r="D4632" s="6" t="n">
        <v>1</v>
      </c>
      <c r="E4632" s="6" t="inlineStr">
        <is>
          <t>R1108436</t>
        </is>
      </c>
      <c r="F4632" s="2" t="n">
        <v>44316</v>
      </c>
      <c r="G4632" s="1" t="n"/>
    </row>
    <row r="4633">
      <c r="A4633" s="6" t="n">
        <v>583815</v>
      </c>
      <c r="B4633" s="6" t="inlineStr">
        <is>
          <t>LIBERTY CREEK PINOT GRIGIO</t>
        </is>
      </c>
      <c r="C4633" s="7">
        <f>VLOOKUP(A4633,SizeData!A$2:B$3839,2,FALSE)</f>
        <v/>
      </c>
      <c r="D4633" s="6" t="n">
        <v>3</v>
      </c>
      <c r="E4633" s="6" t="inlineStr">
        <is>
          <t>R999392</t>
        </is>
      </c>
      <c r="F4633" s="2" t="n">
        <v>44224</v>
      </c>
      <c r="G4633" s="1" t="n"/>
    </row>
    <row r="4634">
      <c r="A4634" s="6" t="n">
        <v>583815</v>
      </c>
      <c r="B4634" s="6" t="inlineStr">
        <is>
          <t>LIBERTY CREEK PINOT GRIGIO</t>
        </is>
      </c>
      <c r="C4634" s="7">
        <f>VLOOKUP(A4634,SizeData!A$2:B$3839,2,FALSE)</f>
        <v/>
      </c>
      <c r="D4634" s="6" t="n">
        <v>4</v>
      </c>
      <c r="E4634" s="6" t="inlineStr">
        <is>
          <t xml:space="preserve"> R1137452</t>
        </is>
      </c>
      <c r="F4634" s="2" t="n">
        <v>44350</v>
      </c>
      <c r="G4634" s="1" t="n"/>
    </row>
    <row r="4635">
      <c r="A4635" s="6" t="n">
        <v>584030</v>
      </c>
      <c r="B4635" s="6" t="inlineStr">
        <is>
          <t>LINE 39 CHARDONNAY</t>
        </is>
      </c>
      <c r="C4635" s="7">
        <f>VLOOKUP(A4635,SizeData!A$2:B$3839,2,FALSE)</f>
        <v/>
      </c>
      <c r="D4635" s="6" t="n">
        <v>1</v>
      </c>
      <c r="E4635" s="6" t="inlineStr">
        <is>
          <t>R1007118</t>
        </is>
      </c>
      <c r="F4635" s="2" t="n">
        <v>44211</v>
      </c>
      <c r="G4635" s="1" t="n"/>
    </row>
    <row r="4636">
      <c r="A4636" s="6" t="n">
        <v>584030</v>
      </c>
      <c r="B4636" s="6" t="inlineStr">
        <is>
          <t>LINE 39 CHARDONNAY</t>
        </is>
      </c>
      <c r="C4636" s="7">
        <f>VLOOKUP(A4636,SizeData!A$2:B$3839,2,FALSE)</f>
        <v/>
      </c>
      <c r="D4636" s="6" t="n">
        <v>1</v>
      </c>
      <c r="E4636" s="6" t="inlineStr">
        <is>
          <t>R997848</t>
        </is>
      </c>
      <c r="F4636" s="2" t="n">
        <v>44212</v>
      </c>
      <c r="G4636" s="1" t="n"/>
    </row>
    <row r="4637">
      <c r="A4637" s="6" t="n">
        <v>584030</v>
      </c>
      <c r="B4637" s="6" t="inlineStr">
        <is>
          <t>LINE 39 CHARDONNAY</t>
        </is>
      </c>
      <c r="C4637" s="7">
        <f>VLOOKUP(A4637,SizeData!A$2:B$3839,2,FALSE)</f>
        <v/>
      </c>
      <c r="D4637" s="6" t="n">
        <v>1</v>
      </c>
      <c r="E4637" s="6" t="inlineStr">
        <is>
          <t>R1008340</t>
        </is>
      </c>
      <c r="F4637" s="2" t="n">
        <v>44222</v>
      </c>
      <c r="G4637" s="1" t="n"/>
    </row>
    <row r="4638">
      <c r="A4638" s="6" t="n">
        <v>584030</v>
      </c>
      <c r="B4638" s="6" t="inlineStr">
        <is>
          <t>LINE 39 CHARDONNAY</t>
        </is>
      </c>
      <c r="C4638" s="7">
        <f>VLOOKUP(A4638,SizeData!A$2:B$3839,2,FALSE)</f>
        <v/>
      </c>
      <c r="D4638" s="6" t="n">
        <v>1</v>
      </c>
      <c r="E4638" s="6" t="inlineStr">
        <is>
          <t>R1209774</t>
        </is>
      </c>
      <c r="F4638" s="2" t="n">
        <v>44433</v>
      </c>
      <c r="G4638" s="1" t="n"/>
    </row>
    <row r="4639">
      <c r="A4639" s="6" t="n">
        <v>584030</v>
      </c>
      <c r="B4639" s="6" t="inlineStr">
        <is>
          <t>LINE 39 CHARDONNAY</t>
        </is>
      </c>
      <c r="C4639" s="7">
        <f>VLOOKUP(A4639,SizeData!A$2:B$3839,2,FALSE)</f>
        <v/>
      </c>
      <c r="D4639" s="6" t="n">
        <v>2</v>
      </c>
      <c r="E4639" s="6" t="inlineStr">
        <is>
          <t>R1314326</t>
        </is>
      </c>
      <c r="F4639" s="2" t="n">
        <v>44512</v>
      </c>
      <c r="G4639" s="1" t="n"/>
    </row>
    <row r="4640">
      <c r="A4640" s="6" t="n">
        <v>584032</v>
      </c>
      <c r="B4640" s="6" t="inlineStr">
        <is>
          <t>LINE 39 PINOT GRIGIO CALIFORNIA</t>
        </is>
      </c>
      <c r="C4640" s="7">
        <f>VLOOKUP(A4640,SizeData!A$2:B$3839,2,FALSE)</f>
        <v/>
      </c>
      <c r="D4640" s="6" t="n">
        <v>1</v>
      </c>
      <c r="E4640" s="6" t="inlineStr">
        <is>
          <t>R1314326</t>
        </is>
      </c>
      <c r="F4640" s="2" t="n">
        <v>44512</v>
      </c>
      <c r="G4640" s="1" t="n"/>
    </row>
    <row r="4641">
      <c r="A4641" s="6" t="n">
        <v>586415</v>
      </c>
      <c r="B4641" s="6" t="inlineStr">
        <is>
          <t>MANISCHEWITZ CREAM WHITE</t>
        </is>
      </c>
      <c r="C4641" s="7">
        <f>VLOOKUP(A4641,SizeData!A$2:B$3839,2,FALSE)</f>
        <v/>
      </c>
      <c r="D4641" s="6" t="n">
        <v>1</v>
      </c>
      <c r="E4641" s="6" t="inlineStr">
        <is>
          <t>R1025870</t>
        </is>
      </c>
      <c r="F4641" s="2" t="n">
        <v>44229</v>
      </c>
      <c r="G4641" s="1" t="n"/>
    </row>
    <row r="4642">
      <c r="A4642" s="6" t="n">
        <v>586415</v>
      </c>
      <c r="B4642" s="6" t="inlineStr">
        <is>
          <t>MANISCHEWITZ CREAM WHITE</t>
        </is>
      </c>
      <c r="C4642" s="7">
        <f>VLOOKUP(A4642,SizeData!A$2:B$3839,2,FALSE)</f>
        <v/>
      </c>
      <c r="D4642" s="6" t="n">
        <v>1</v>
      </c>
      <c r="E4642" s="6" t="inlineStr">
        <is>
          <t>R1087015</t>
        </is>
      </c>
      <c r="F4642" s="2" t="n">
        <v>44291</v>
      </c>
      <c r="G4642" s="1" t="n"/>
    </row>
    <row r="4643">
      <c r="A4643" s="6" t="n">
        <v>586415</v>
      </c>
      <c r="B4643" s="6" t="inlineStr">
        <is>
          <t>MANISCHEWITZ CREAM WHITE</t>
        </is>
      </c>
      <c r="C4643" s="7">
        <f>VLOOKUP(A4643,SizeData!A$2:B$3839,2,FALSE)</f>
        <v/>
      </c>
      <c r="D4643" s="6" t="n">
        <v>1</v>
      </c>
      <c r="E4643" s="6" t="inlineStr">
        <is>
          <t>R1129655</t>
        </is>
      </c>
      <c r="F4643" s="2" t="n">
        <v>44347</v>
      </c>
      <c r="G4643" s="1" t="n"/>
    </row>
    <row r="4644">
      <c r="A4644" s="6" t="n">
        <v>586415</v>
      </c>
      <c r="B4644" s="6" t="inlineStr">
        <is>
          <t>MANISCHEWITZ CREAM WHITE</t>
        </is>
      </c>
      <c r="C4644" s="7">
        <f>VLOOKUP(A4644,SizeData!A$2:B$3839,2,FALSE)</f>
        <v/>
      </c>
      <c r="D4644" s="6" t="n">
        <v>1</v>
      </c>
      <c r="E4644" s="6" t="inlineStr">
        <is>
          <t>R1148371</t>
        </is>
      </c>
      <c r="F4644" s="2" t="n">
        <v>44365</v>
      </c>
      <c r="G4644" s="1" t="n"/>
    </row>
    <row r="4645">
      <c r="A4645" s="6" t="n">
        <v>586415</v>
      </c>
      <c r="B4645" s="6" t="inlineStr">
        <is>
          <t>MANISCHEWITZ CREAM WHITE</t>
        </is>
      </c>
      <c r="C4645" s="7">
        <f>VLOOKUP(A4645,SizeData!A$2:B$3839,2,FALSE)</f>
        <v/>
      </c>
      <c r="D4645" s="6" t="n">
        <v>1</v>
      </c>
      <c r="E4645" s="6" t="inlineStr">
        <is>
          <t>R1187907</t>
        </is>
      </c>
      <c r="F4645" s="2" t="n">
        <v>44401</v>
      </c>
      <c r="G4645" s="1" t="n"/>
    </row>
    <row r="4646">
      <c r="A4646" s="6" t="n">
        <v>586415</v>
      </c>
      <c r="B4646" s="6" t="inlineStr">
        <is>
          <t>MANISCHEWITZ CREAM WHITE</t>
        </is>
      </c>
      <c r="C4646" s="7">
        <f>VLOOKUP(A4646,SizeData!A$2:B$3839,2,FALSE)</f>
        <v/>
      </c>
      <c r="D4646" s="6" t="n">
        <v>2</v>
      </c>
      <c r="E4646" s="6" t="inlineStr">
        <is>
          <t>R1304788</t>
        </is>
      </c>
      <c r="F4646" s="2" t="n">
        <v>44506</v>
      </c>
      <c r="G4646" s="1" t="n"/>
    </row>
    <row r="4647">
      <c r="A4647" s="6" t="n">
        <v>586415</v>
      </c>
      <c r="B4647" s="6" t="inlineStr">
        <is>
          <t>MANISCHEWITZ CREAM WHITE</t>
        </is>
      </c>
      <c r="C4647" s="7">
        <f>VLOOKUP(A4647,SizeData!A$2:B$3839,2,FALSE)</f>
        <v/>
      </c>
      <c r="D4647" s="6" t="n">
        <v>1</v>
      </c>
      <c r="E4647" s="6" t="inlineStr">
        <is>
          <t>R1320287</t>
        </is>
      </c>
      <c r="F4647" s="2" t="n">
        <v>44506</v>
      </c>
      <c r="G4647" s="1" t="n"/>
    </row>
    <row r="4648">
      <c r="A4648" s="6" t="n">
        <v>588642</v>
      </c>
      <c r="B4648" s="6" t="inlineStr">
        <is>
          <t>MENAGE SWEET COLLECTION MOSCATO</t>
        </is>
      </c>
      <c r="C4648" s="7">
        <f>VLOOKUP(A4648,SizeData!A$2:B$3839,2,FALSE)</f>
        <v/>
      </c>
      <c r="D4648" s="6" t="n">
        <v>1</v>
      </c>
      <c r="E4648" s="6" t="inlineStr">
        <is>
          <t>R1242289</t>
        </is>
      </c>
      <c r="F4648" s="2" t="n">
        <v>44455</v>
      </c>
      <c r="G4648" s="1" t="n"/>
    </row>
    <row r="4649">
      <c r="A4649" s="6" t="n">
        <v>611940</v>
      </c>
      <c r="B4649" s="6" t="inlineStr">
        <is>
          <t>SALT OF THE EARTH FLORE DE MOSCATO</t>
        </is>
      </c>
      <c r="C4649" s="7">
        <f>VLOOKUP(A4649,SizeData!A$2:B$3839,2,FALSE)</f>
        <v/>
      </c>
      <c r="D4649" s="6" t="n">
        <v>10</v>
      </c>
      <c r="E4649" s="6" t="inlineStr">
        <is>
          <t>R1094193</t>
        </is>
      </c>
      <c r="F4649" s="2" t="n">
        <v>44315</v>
      </c>
      <c r="G4649" s="1" t="n"/>
    </row>
    <row r="4650">
      <c r="A4650" s="6" t="n">
        <v>611940</v>
      </c>
      <c r="B4650" s="6" t="inlineStr">
        <is>
          <t>SALT OF THE EARTH FLORE DE MOSCATO</t>
        </is>
      </c>
      <c r="C4650" s="7">
        <f>VLOOKUP(A4650,SizeData!A$2:B$3839,2,FALSE)</f>
        <v/>
      </c>
      <c r="D4650" s="6" t="n">
        <v>5</v>
      </c>
      <c r="E4650" s="6" t="inlineStr">
        <is>
          <t>R1123607</t>
        </is>
      </c>
      <c r="F4650" s="2" t="n">
        <v>44335</v>
      </c>
      <c r="G4650" s="1" t="n"/>
    </row>
    <row r="4651">
      <c r="A4651" s="6" t="n">
        <v>611940</v>
      </c>
      <c r="B4651" s="6" t="inlineStr">
        <is>
          <t>SALT OF THE EARTH FLORE DE MOSCATO</t>
        </is>
      </c>
      <c r="C4651" s="7">
        <f>VLOOKUP(A4651,SizeData!A$2:B$3839,2,FALSE)</f>
        <v/>
      </c>
      <c r="D4651" s="6" t="n">
        <v>5</v>
      </c>
      <c r="E4651" s="6" t="inlineStr">
        <is>
          <t xml:space="preserve"> R1160715</t>
        </is>
      </c>
      <c r="F4651" s="2" t="n">
        <v>44363</v>
      </c>
      <c r="G4651" s="1" t="n"/>
    </row>
    <row r="4652">
      <c r="A4652" s="6" t="n">
        <v>611940</v>
      </c>
      <c r="B4652" s="6" t="inlineStr">
        <is>
          <t>SALT OF THE EARTH FLORE DE MOSCATO</t>
        </is>
      </c>
      <c r="C4652" s="7">
        <f>VLOOKUP(A4652,SizeData!A$2:B$3839,2,FALSE)</f>
        <v/>
      </c>
      <c r="D4652" s="6" t="n">
        <v>5</v>
      </c>
      <c r="E4652" s="6" t="inlineStr">
        <is>
          <t>R1155966</t>
        </is>
      </c>
      <c r="F4652" s="2" t="n">
        <v>44370</v>
      </c>
      <c r="G4652" s="1" t="n"/>
    </row>
    <row r="4653">
      <c r="A4653" s="6" t="n">
        <v>611940</v>
      </c>
      <c r="B4653" s="6" t="inlineStr">
        <is>
          <t>SALT OF THE EARTH FLORE DE MOSCATO</t>
        </is>
      </c>
      <c r="C4653" s="7">
        <f>VLOOKUP(A4653,SizeData!A$2:B$3839,2,FALSE)</f>
        <v/>
      </c>
      <c r="D4653" s="6" t="n">
        <v>5</v>
      </c>
      <c r="E4653" s="6" t="inlineStr">
        <is>
          <t xml:space="preserve"> R1205722</t>
        </is>
      </c>
      <c r="F4653" s="2" t="n">
        <v>44412</v>
      </c>
      <c r="G4653" s="1" t="n"/>
    </row>
    <row r="4654">
      <c r="A4654" s="6" t="n">
        <v>611940</v>
      </c>
      <c r="B4654" s="6" t="inlineStr">
        <is>
          <t>SALT OF THE EARTH FLORE DE MOSCATO</t>
        </is>
      </c>
      <c r="C4654" s="7">
        <f>VLOOKUP(A4654,SizeData!A$2:B$3839,2,FALSE)</f>
        <v/>
      </c>
      <c r="D4654" s="6" t="n">
        <v>5</v>
      </c>
      <c r="E4654" s="6" t="inlineStr">
        <is>
          <t>R1231776</t>
        </is>
      </c>
      <c r="F4654" s="2" t="n">
        <v>44447</v>
      </c>
      <c r="G4654" s="1" t="n"/>
    </row>
    <row r="4655">
      <c r="A4655" s="6" t="n">
        <v>611940</v>
      </c>
      <c r="B4655" s="6" t="inlineStr">
        <is>
          <t>SALT OF THE EARTH FLORE DE MOSCATO</t>
        </is>
      </c>
      <c r="C4655" s="7">
        <f>VLOOKUP(A4655,SizeData!A$2:B$3839,2,FALSE)</f>
        <v/>
      </c>
      <c r="D4655" s="6" t="n">
        <v>5</v>
      </c>
      <c r="E4655" s="6" t="inlineStr">
        <is>
          <t>R1250295</t>
        </is>
      </c>
      <c r="F4655" s="2" t="n">
        <v>44453</v>
      </c>
      <c r="G4655" s="1" t="n"/>
    </row>
    <row r="4656">
      <c r="A4656" s="6" t="n">
        <v>611940</v>
      </c>
      <c r="B4656" s="6" t="inlineStr">
        <is>
          <t>SALT OF THE EARTH FLORE DE MOSCATO</t>
        </is>
      </c>
      <c r="C4656" s="7">
        <f>VLOOKUP(A4656,SizeData!A$2:B$3839,2,FALSE)</f>
        <v/>
      </c>
      <c r="D4656" s="6" t="n">
        <v>5</v>
      </c>
      <c r="E4656" s="6" t="inlineStr">
        <is>
          <t>R1256356</t>
        </is>
      </c>
      <c r="F4656" s="2" t="n">
        <v>44461</v>
      </c>
      <c r="G4656" s="1" t="n"/>
    </row>
    <row r="4657">
      <c r="A4657" s="6" t="n">
        <v>611940</v>
      </c>
      <c r="B4657" s="6" t="inlineStr">
        <is>
          <t>SALT OF THE EARTH FLORE DE MOSCATO</t>
        </is>
      </c>
      <c r="C4657" s="7">
        <f>VLOOKUP(A4657,SizeData!A$2:B$3839,2,FALSE)</f>
        <v/>
      </c>
      <c r="D4657" s="6" t="n">
        <v>5</v>
      </c>
      <c r="E4657" s="6" t="inlineStr">
        <is>
          <t>R1295122</t>
        </is>
      </c>
      <c r="F4657" s="2" t="n">
        <v>44475</v>
      </c>
      <c r="G4657" s="1" t="n"/>
    </row>
    <row r="4658">
      <c r="A4658" s="6" t="n">
        <v>611940</v>
      </c>
      <c r="B4658" s="6" t="inlineStr">
        <is>
          <t>SALT OF THE EARTH FLORE DE MOSCATO</t>
        </is>
      </c>
      <c r="C4658" s="7">
        <f>VLOOKUP(A4658,SizeData!A$2:B$3839,2,FALSE)</f>
        <v/>
      </c>
      <c r="D4658" s="6" t="n">
        <v>5</v>
      </c>
      <c r="E4658" s="6" t="inlineStr">
        <is>
          <t>R1269183</t>
        </is>
      </c>
      <c r="F4658" s="2" t="n">
        <v>44482</v>
      </c>
      <c r="G4658" s="1" t="n"/>
    </row>
    <row r="4659">
      <c r="A4659" s="6" t="n">
        <v>611940</v>
      </c>
      <c r="B4659" s="6" t="inlineStr">
        <is>
          <t>SALT OF THE EARTH FLORE DE MOSCATO</t>
        </is>
      </c>
      <c r="C4659" s="7">
        <f>VLOOKUP(A4659,SizeData!A$2:B$3839,2,FALSE)</f>
        <v/>
      </c>
      <c r="D4659" s="6" t="n">
        <v>5</v>
      </c>
      <c r="E4659" s="6" t="inlineStr">
        <is>
          <t>R1288708</t>
        </is>
      </c>
      <c r="F4659" s="2" t="n">
        <v>44489</v>
      </c>
      <c r="G4659" s="1" t="n"/>
    </row>
    <row r="4660">
      <c r="A4660" s="6" t="n">
        <v>626210</v>
      </c>
      <c r="B4660" s="6" t="inlineStr">
        <is>
          <t>STE MICHELLE COLUMBIA VL RIESLING</t>
        </is>
      </c>
      <c r="C4660" s="7">
        <f>VLOOKUP(A4660,SizeData!A$2:B$3839,2,FALSE)</f>
        <v/>
      </c>
      <c r="D4660" s="6" t="n">
        <v>1</v>
      </c>
      <c r="E4660" s="6" t="inlineStr">
        <is>
          <t>R1174179</t>
        </is>
      </c>
      <c r="F4660" s="2" t="n">
        <v>44397</v>
      </c>
      <c r="G4660" s="1" t="n"/>
    </row>
    <row r="4661">
      <c r="A4661" s="6" t="n">
        <v>629300</v>
      </c>
      <c r="B4661" s="6" t="inlineStr">
        <is>
          <t>SUTTER HOME MOSCATO</t>
        </is>
      </c>
      <c r="C4661" s="7">
        <f>VLOOKUP(A4661,SizeData!A$2:B$3839,2,FALSE)</f>
        <v/>
      </c>
      <c r="D4661" s="6" t="n">
        <v>1</v>
      </c>
      <c r="E4661" s="6" t="inlineStr">
        <is>
          <t>R996759</t>
        </is>
      </c>
      <c r="F4661" s="2" t="n">
        <v>44210</v>
      </c>
      <c r="G4661" s="1" t="n"/>
    </row>
    <row r="4662">
      <c r="A4662" s="6" t="n">
        <v>629300</v>
      </c>
      <c r="B4662" s="6" t="inlineStr">
        <is>
          <t>SUTTER HOME MOSCATO</t>
        </is>
      </c>
      <c r="C4662" s="7">
        <f>VLOOKUP(A4662,SizeData!A$2:B$3839,2,FALSE)</f>
        <v/>
      </c>
      <c r="D4662" s="6" t="n">
        <v>1</v>
      </c>
      <c r="E4662" s="6" t="inlineStr">
        <is>
          <t>R1114354</t>
        </is>
      </c>
      <c r="F4662" s="2" t="n">
        <v>44334</v>
      </c>
      <c r="G4662" s="1" t="n"/>
    </row>
    <row r="4663">
      <c r="A4663" s="6" t="n">
        <v>629300</v>
      </c>
      <c r="B4663" s="6" t="inlineStr">
        <is>
          <t>SUTTER HOME MOSCATO</t>
        </is>
      </c>
      <c r="C4663" s="7">
        <f>VLOOKUP(A4663,SizeData!A$2:B$3839,2,FALSE)</f>
        <v/>
      </c>
      <c r="D4663" s="6" t="n">
        <v>2</v>
      </c>
      <c r="E4663" s="6" t="inlineStr">
        <is>
          <t>R1181946</t>
        </is>
      </c>
      <c r="F4663" s="2" t="n">
        <v>44398</v>
      </c>
      <c r="G4663" s="1" t="n"/>
    </row>
    <row r="4664">
      <c r="A4664" s="6" t="n">
        <v>629300</v>
      </c>
      <c r="B4664" s="6" t="inlineStr">
        <is>
          <t>SUTTER HOME MOSCATO</t>
        </is>
      </c>
      <c r="C4664" s="7">
        <f>VLOOKUP(A4664,SizeData!A$2:B$3839,2,FALSE)</f>
        <v/>
      </c>
      <c r="D4664" s="6" t="n">
        <v>1</v>
      </c>
      <c r="E4664" s="6" t="inlineStr">
        <is>
          <t>R1346277</t>
        </is>
      </c>
      <c r="F4664" s="2" t="n">
        <v>44530</v>
      </c>
      <c r="G4664" s="1" t="n"/>
    </row>
    <row r="4665">
      <c r="A4665" s="6" t="n">
        <v>629305</v>
      </c>
      <c r="B4665" s="6" t="inlineStr">
        <is>
          <t>SUTTER HOME MOSCATO</t>
        </is>
      </c>
      <c r="C4665" s="7">
        <f>VLOOKUP(A4665,SizeData!A$2:B$3839,2,FALSE)</f>
        <v/>
      </c>
      <c r="D4665" s="6" t="n">
        <v>1</v>
      </c>
      <c r="E4665" s="6" t="inlineStr">
        <is>
          <t>R1030025</t>
        </is>
      </c>
      <c r="F4665" s="2" t="n">
        <v>44229</v>
      </c>
      <c r="G4665" s="1" t="n"/>
    </row>
    <row r="4666">
      <c r="A4666" s="6" t="n">
        <v>629305</v>
      </c>
      <c r="B4666" s="6" t="inlineStr">
        <is>
          <t>SUTTER HOME MOSCATO</t>
        </is>
      </c>
      <c r="C4666" s="7">
        <f>VLOOKUP(A4666,SizeData!A$2:B$3839,2,FALSE)</f>
        <v/>
      </c>
      <c r="D4666" s="6" t="n">
        <v>1</v>
      </c>
      <c r="E4666" s="6" t="inlineStr">
        <is>
          <t>R1148206</t>
        </is>
      </c>
      <c r="F4666" s="2" t="n">
        <v>44359</v>
      </c>
      <c r="G4666" s="1" t="n"/>
    </row>
    <row r="4667">
      <c r="A4667" s="6" t="n">
        <v>629305</v>
      </c>
      <c r="B4667" s="6" t="inlineStr">
        <is>
          <t>SUTTER HOME MOSCATO</t>
        </is>
      </c>
      <c r="C4667" s="7">
        <f>VLOOKUP(A4667,SizeData!A$2:B$3839,2,FALSE)</f>
        <v/>
      </c>
      <c r="D4667" s="6" t="n">
        <v>1</v>
      </c>
      <c r="E4667" s="6" t="inlineStr">
        <is>
          <t>R1165810</t>
        </is>
      </c>
      <c r="F4667" s="2" t="n">
        <v>44361</v>
      </c>
      <c r="G4667" s="1" t="n"/>
    </row>
    <row r="4668">
      <c r="A4668" s="6" t="n">
        <v>629305</v>
      </c>
      <c r="B4668" s="6" t="inlineStr">
        <is>
          <t>SUTTER HOME MOSCATO</t>
        </is>
      </c>
      <c r="C4668" s="7">
        <f>VLOOKUP(A4668,SizeData!A$2:B$3839,2,FALSE)</f>
        <v/>
      </c>
      <c r="D4668" s="6" t="n">
        <v>3</v>
      </c>
      <c r="E4668" s="6" t="inlineStr">
        <is>
          <t>R1167152</t>
        </is>
      </c>
      <c r="F4668" s="2" t="n">
        <v>44376</v>
      </c>
      <c r="G4668" s="1" t="n"/>
    </row>
    <row r="4669">
      <c r="A4669" s="6" t="n">
        <v>629305</v>
      </c>
      <c r="B4669" s="6" t="inlineStr">
        <is>
          <t>SUTTER HOME MOSCATO</t>
        </is>
      </c>
      <c r="C4669" s="7">
        <f>VLOOKUP(A4669,SizeData!A$2:B$3839,2,FALSE)</f>
        <v/>
      </c>
      <c r="D4669" s="6" t="n">
        <v>3</v>
      </c>
      <c r="E4669" s="6" t="inlineStr">
        <is>
          <t>R1206438</t>
        </is>
      </c>
      <c r="F4669" s="2" t="n">
        <v>44417</v>
      </c>
      <c r="G4669" s="1" t="n"/>
    </row>
    <row r="4670">
      <c r="A4670" s="6" t="n">
        <v>629305</v>
      </c>
      <c r="B4670" s="6" t="inlineStr">
        <is>
          <t>SUTTER HOME MOSCATO</t>
        </is>
      </c>
      <c r="C4670" s="7">
        <f>VLOOKUP(A4670,SizeData!A$2:B$3839,2,FALSE)</f>
        <v/>
      </c>
      <c r="D4670" s="6" t="n">
        <v>2</v>
      </c>
      <c r="E4670" s="6" t="inlineStr">
        <is>
          <t>R1301289</t>
        </is>
      </c>
      <c r="F4670" s="2" t="n">
        <v>44499</v>
      </c>
      <c r="G4670" s="1" t="n"/>
    </row>
    <row r="4671">
      <c r="A4671" s="6" t="n">
        <v>630764</v>
      </c>
      <c r="B4671" s="6" t="inlineStr">
        <is>
          <t>SUTTER HOME MOSCATO</t>
        </is>
      </c>
      <c r="C4671" s="7">
        <f>VLOOKUP(A4671,SizeData!A$2:B$3839,2,FALSE)</f>
        <v/>
      </c>
      <c r="D4671" s="6" t="n">
        <v>1</v>
      </c>
      <c r="E4671" s="6" t="inlineStr">
        <is>
          <t>R1028756</t>
        </is>
      </c>
      <c r="F4671" s="2" t="n">
        <v>44239</v>
      </c>
      <c r="G4671" s="1" t="n"/>
    </row>
    <row r="4672">
      <c r="A4672" s="6" t="n">
        <v>630764</v>
      </c>
      <c r="B4672" s="6" t="inlineStr">
        <is>
          <t>SUTTER HOME MOSCATO</t>
        </is>
      </c>
      <c r="C4672" s="7">
        <f>VLOOKUP(A4672,SizeData!A$2:B$3839,2,FALSE)</f>
        <v/>
      </c>
      <c r="D4672" s="6" t="n">
        <v>2</v>
      </c>
      <c r="E4672" s="6" t="inlineStr">
        <is>
          <t>R1054435</t>
        </is>
      </c>
      <c r="F4672" s="2" t="n">
        <v>44272</v>
      </c>
      <c r="G4672" s="1" t="n"/>
    </row>
    <row r="4673">
      <c r="A4673" s="6" t="n">
        <v>630764</v>
      </c>
      <c r="B4673" s="6" t="inlineStr">
        <is>
          <t>SUTTER HOME MOSCATO</t>
        </is>
      </c>
      <c r="C4673" s="7">
        <f>VLOOKUP(A4673,SizeData!A$2:B$3839,2,FALSE)</f>
        <v/>
      </c>
      <c r="D4673" s="6" t="n">
        <v>2</v>
      </c>
      <c r="E4673" s="6" t="inlineStr">
        <is>
          <t>R1242289</t>
        </is>
      </c>
      <c r="F4673" s="2" t="n">
        <v>44455</v>
      </c>
      <c r="G4673" s="1" t="n"/>
    </row>
    <row r="4674">
      <c r="A4674" s="6" t="n">
        <v>630814</v>
      </c>
      <c r="B4674" s="6" t="inlineStr">
        <is>
          <t>SUTTER HOME CHARDONNAY</t>
        </is>
      </c>
      <c r="C4674" s="7">
        <f>VLOOKUP(A4674,SizeData!A$2:B$3839,2,FALSE)</f>
        <v/>
      </c>
      <c r="D4674" s="6" t="n">
        <v>3</v>
      </c>
      <c r="E4674" s="6" t="inlineStr">
        <is>
          <t>R1028756</t>
        </is>
      </c>
      <c r="F4674" s="2" t="n">
        <v>44239</v>
      </c>
      <c r="G4674" s="1" t="n"/>
    </row>
    <row r="4675">
      <c r="A4675" s="6" t="n">
        <v>630814</v>
      </c>
      <c r="B4675" s="6" t="inlineStr">
        <is>
          <t>SUTTER HOME CHARDONNAY</t>
        </is>
      </c>
      <c r="C4675" s="7">
        <f>VLOOKUP(A4675,SizeData!A$2:B$3839,2,FALSE)</f>
        <v/>
      </c>
      <c r="D4675" s="6" t="n">
        <v>1</v>
      </c>
      <c r="E4675" s="6" t="inlineStr">
        <is>
          <t>R1148371</t>
        </is>
      </c>
      <c r="F4675" s="2" t="n">
        <v>44365</v>
      </c>
      <c r="G4675" s="1" t="n"/>
    </row>
    <row r="4676">
      <c r="A4676" s="6" t="n">
        <v>630814</v>
      </c>
      <c r="B4676" s="6" t="inlineStr">
        <is>
          <t>SUTTER HOME CHARDONNAY</t>
        </is>
      </c>
      <c r="C4676" s="7">
        <f>VLOOKUP(A4676,SizeData!A$2:B$3839,2,FALSE)</f>
        <v/>
      </c>
      <c r="D4676" s="6" t="n">
        <v>1</v>
      </c>
      <c r="E4676" s="6" t="inlineStr">
        <is>
          <t>R1200565</t>
        </is>
      </c>
      <c r="F4676" s="2" t="n">
        <v>44411</v>
      </c>
      <c r="G4676" s="1" t="n"/>
    </row>
    <row r="4677">
      <c r="A4677" s="6" t="n">
        <v>630814</v>
      </c>
      <c r="B4677" s="6" t="inlineStr">
        <is>
          <t>SUTTER HOME CHARDONNAY</t>
        </is>
      </c>
      <c r="C4677" s="7">
        <f>VLOOKUP(A4677,SizeData!A$2:B$3839,2,FALSE)</f>
        <v/>
      </c>
      <c r="D4677" s="6" t="n">
        <v>4</v>
      </c>
      <c r="E4677" s="6" t="inlineStr">
        <is>
          <t>R1261664</t>
        </is>
      </c>
      <c r="F4677" s="2" t="n">
        <v>44467</v>
      </c>
      <c r="G4677" s="1" t="n"/>
    </row>
    <row r="4678">
      <c r="A4678" s="6" t="n">
        <v>630815</v>
      </c>
      <c r="B4678" s="6" t="inlineStr">
        <is>
          <t>SUTTER HOME CHARDONNAY</t>
        </is>
      </c>
      <c r="C4678" s="7">
        <f>VLOOKUP(A4678,SizeData!A$2:B$3839,2,FALSE)</f>
        <v/>
      </c>
      <c r="D4678" s="6" t="n">
        <v>1</v>
      </c>
      <c r="E4678" s="6" t="inlineStr">
        <is>
          <t>R1142808</t>
        </is>
      </c>
      <c r="F4678" s="2" t="n">
        <v>44352</v>
      </c>
      <c r="G4678" s="1" t="n"/>
    </row>
    <row r="4679">
      <c r="A4679" s="6" t="n">
        <v>630815</v>
      </c>
      <c r="B4679" s="6" t="inlineStr">
        <is>
          <t>SUTTER HOME CHARDONNAY</t>
        </is>
      </c>
      <c r="C4679" s="7">
        <f>VLOOKUP(A4679,SizeData!A$2:B$3839,2,FALSE)</f>
        <v/>
      </c>
      <c r="D4679" s="6" t="n">
        <v>1</v>
      </c>
      <c r="E4679" s="6" t="inlineStr">
        <is>
          <t>R1262670</t>
        </is>
      </c>
      <c r="F4679" s="2" t="n">
        <v>44470</v>
      </c>
      <c r="G4679" s="1" t="n"/>
    </row>
    <row r="4680">
      <c r="A4680" s="6" t="n">
        <v>630815</v>
      </c>
      <c r="B4680" s="6" t="inlineStr">
        <is>
          <t>SUTTER HOME CHARDONNAY</t>
        </is>
      </c>
      <c r="C4680" s="7">
        <f>VLOOKUP(A4680,SizeData!A$2:B$3839,2,FALSE)</f>
        <v/>
      </c>
      <c r="D4680" s="6" t="n">
        <v>1</v>
      </c>
      <c r="E4680" s="6" t="inlineStr">
        <is>
          <t>R1264756</t>
        </is>
      </c>
      <c r="F4680" s="2" t="n">
        <v>44472</v>
      </c>
      <c r="G4680" s="1" t="n"/>
    </row>
    <row r="4681">
      <c r="A4681" s="6" t="n">
        <v>630817</v>
      </c>
      <c r="B4681" s="6" t="inlineStr">
        <is>
          <t>SWEET BITCH CHARDONNAY</t>
        </is>
      </c>
      <c r="C4681" s="7">
        <f>VLOOKUP(A4681,SizeData!A$2:B$3839,2,FALSE)</f>
        <v/>
      </c>
      <c r="D4681" s="6" t="n">
        <v>1</v>
      </c>
      <c r="E4681" s="6" t="inlineStr">
        <is>
          <t>R1003015</t>
        </is>
      </c>
      <c r="F4681" s="2" t="n">
        <v>44216</v>
      </c>
      <c r="G4681" s="1" t="n"/>
    </row>
    <row r="4682">
      <c r="A4682" s="6" t="n">
        <v>630817</v>
      </c>
      <c r="B4682" s="6" t="inlineStr">
        <is>
          <t>SWEET BITCH CHARDONNAY</t>
        </is>
      </c>
      <c r="C4682" s="7">
        <f>VLOOKUP(A4682,SizeData!A$2:B$3839,2,FALSE)</f>
        <v/>
      </c>
      <c r="D4682" s="6" t="n">
        <v>1</v>
      </c>
      <c r="E4682" s="6" t="inlineStr">
        <is>
          <t>R1074089</t>
        </is>
      </c>
      <c r="F4682" s="2" t="n">
        <v>44288</v>
      </c>
      <c r="G4682" s="1" t="n"/>
    </row>
    <row r="4683">
      <c r="A4683" s="6" t="n">
        <v>632811</v>
      </c>
      <c r="B4683" s="6" t="inlineStr">
        <is>
          <t>LINE 39 SAUVIGNON BLANC</t>
        </is>
      </c>
      <c r="C4683" s="7">
        <f>VLOOKUP(A4683,SizeData!A$2:B$3839,2,FALSE)</f>
        <v/>
      </c>
      <c r="D4683" s="6" t="n">
        <v>1</v>
      </c>
      <c r="E4683" s="6" t="inlineStr">
        <is>
          <t>R1130062</t>
        </is>
      </c>
      <c r="F4683" s="2" t="n">
        <v>44328</v>
      </c>
      <c r="G4683" s="1" t="n"/>
    </row>
    <row r="4684">
      <c r="A4684" s="6" t="n">
        <v>632811</v>
      </c>
      <c r="B4684" s="6" t="inlineStr">
        <is>
          <t>LINE 39 SAUVIGNON BLANC</t>
        </is>
      </c>
      <c r="C4684" s="7">
        <f>VLOOKUP(A4684,SizeData!A$2:B$3839,2,FALSE)</f>
        <v/>
      </c>
      <c r="D4684" s="6" t="n">
        <v>1</v>
      </c>
      <c r="E4684" s="6" t="inlineStr">
        <is>
          <t>R1314326</t>
        </is>
      </c>
      <c r="F4684" s="2" t="n">
        <v>44512</v>
      </c>
      <c r="G4684" s="1" t="n"/>
    </row>
    <row r="4685">
      <c r="A4685" s="6" t="n">
        <v>632811</v>
      </c>
      <c r="B4685" s="6" t="inlineStr">
        <is>
          <t>LINE 39 SAUVIGNON BLANC</t>
        </is>
      </c>
      <c r="C4685" s="7">
        <f>VLOOKUP(A4685,SizeData!A$2:B$3839,2,FALSE)</f>
        <v/>
      </c>
      <c r="D4685" s="6" t="n">
        <v>1</v>
      </c>
      <c r="E4685" s="6" t="inlineStr">
        <is>
          <t>R1337036A</t>
        </is>
      </c>
      <c r="F4685" s="2" t="n">
        <v>44541</v>
      </c>
      <c r="G4685" s="1" t="n"/>
    </row>
    <row r="4686">
      <c r="A4686" s="6" t="n">
        <v>632831</v>
      </c>
      <c r="B4686" s="6" t="inlineStr">
        <is>
          <t>THREE WISHES PINOT GRIGIO/COLOMBARD</t>
        </is>
      </c>
      <c r="C4686" s="7">
        <f>VLOOKUP(A4686,SizeData!A$2:B$3839,2,FALSE)</f>
        <v/>
      </c>
      <c r="D4686" s="6" t="n">
        <v>1</v>
      </c>
      <c r="E4686" s="6" t="inlineStr">
        <is>
          <t>R1115090</t>
        </is>
      </c>
      <c r="F4686" s="2" t="n">
        <v>44315</v>
      </c>
      <c r="G4686" s="1" t="n"/>
    </row>
    <row r="4687">
      <c r="A4687" s="6" t="n">
        <v>632831</v>
      </c>
      <c r="B4687" s="6" t="inlineStr">
        <is>
          <t>THREE WISHES PINOT GRIGIO/COLOMBARD</t>
        </is>
      </c>
      <c r="C4687" s="7">
        <f>VLOOKUP(A4687,SizeData!A$2:B$3839,2,FALSE)</f>
        <v/>
      </c>
      <c r="D4687" s="6" t="n">
        <v>1</v>
      </c>
      <c r="E4687" s="6" t="inlineStr">
        <is>
          <t>R1114354</t>
        </is>
      </c>
      <c r="F4687" s="2" t="n">
        <v>44334</v>
      </c>
      <c r="G4687" s="1" t="n"/>
    </row>
    <row r="4688">
      <c r="A4688" s="6" t="n">
        <v>632831</v>
      </c>
      <c r="B4688" s="6" t="inlineStr">
        <is>
          <t>THREE WISHES PINOT GRIGIO/COLOMBARD</t>
        </is>
      </c>
      <c r="C4688" s="7">
        <f>VLOOKUP(A4688,SizeData!A$2:B$3839,2,FALSE)</f>
        <v/>
      </c>
      <c r="D4688" s="6" t="n">
        <v>1</v>
      </c>
      <c r="E4688" s="6" t="inlineStr">
        <is>
          <t>R1330081</t>
        </is>
      </c>
      <c r="F4688" s="2" t="n">
        <v>44518</v>
      </c>
      <c r="G4688" s="1" t="n"/>
    </row>
    <row r="4689">
      <c r="A4689" s="6" t="n">
        <v>642110</v>
      </c>
      <c r="B4689" s="6" t="inlineStr">
        <is>
          <t>BAREFOOT CELLARS PINK MOSCATO</t>
        </is>
      </c>
      <c r="C4689" s="7">
        <f>VLOOKUP(A4689,SizeData!A$2:B$3839,2,FALSE)</f>
        <v/>
      </c>
      <c r="D4689" s="6" t="n">
        <v>1</v>
      </c>
      <c r="E4689" s="6" t="inlineStr">
        <is>
          <t>R1046046</t>
        </is>
      </c>
      <c r="F4689" s="2" t="n">
        <v>44256</v>
      </c>
      <c r="G4689" s="1" t="n"/>
    </row>
    <row r="4690">
      <c r="A4690" s="6" t="n">
        <v>642110</v>
      </c>
      <c r="B4690" s="6" t="inlineStr">
        <is>
          <t>BAREFOOT CELLARS PINK MOSCATO</t>
        </is>
      </c>
      <c r="C4690" s="7">
        <f>VLOOKUP(A4690,SizeData!A$2:B$3839,2,FALSE)</f>
        <v/>
      </c>
      <c r="D4690" s="6" t="n">
        <v>4</v>
      </c>
      <c r="E4690" s="6" t="inlineStr">
        <is>
          <t>R1049718</t>
        </is>
      </c>
      <c r="F4690" s="2" t="n">
        <v>44258</v>
      </c>
      <c r="G4690" s="1" t="n"/>
    </row>
    <row r="4691">
      <c r="A4691" s="6" t="n">
        <v>642110</v>
      </c>
      <c r="B4691" s="6" t="inlineStr">
        <is>
          <t>BAREFOOT CELLARS PINK MOSCATO</t>
        </is>
      </c>
      <c r="C4691" s="7">
        <f>VLOOKUP(A4691,SizeData!A$2:B$3839,2,FALSE)</f>
        <v/>
      </c>
      <c r="D4691" s="6" t="n">
        <v>1</v>
      </c>
      <c r="E4691" s="6" t="inlineStr">
        <is>
          <t>R1081307</t>
        </is>
      </c>
      <c r="F4691" s="2" t="n">
        <v>44284</v>
      </c>
      <c r="G4691" s="1" t="n"/>
    </row>
    <row r="4692">
      <c r="A4692" s="6" t="n">
        <v>642112</v>
      </c>
      <c r="B4692" s="6" t="inlineStr">
        <is>
          <t>BAREFOOT CELLARS PINK MOSCATO</t>
        </is>
      </c>
      <c r="C4692" s="7">
        <f>VLOOKUP(A4692,SizeData!A$2:B$3839,2,FALSE)</f>
        <v/>
      </c>
      <c r="D4692" s="6" t="n">
        <v>1</v>
      </c>
      <c r="E4692" s="6" t="inlineStr">
        <is>
          <t>R1032609</t>
        </is>
      </c>
      <c r="F4692" s="2" t="n">
        <v>44246</v>
      </c>
      <c r="G4692" s="1" t="n"/>
    </row>
    <row r="4693">
      <c r="A4693" s="6" t="n">
        <v>642112</v>
      </c>
      <c r="B4693" s="6" t="inlineStr">
        <is>
          <t>BAREFOOT CELLARS PINK MOSCATO</t>
        </is>
      </c>
      <c r="C4693" s="7">
        <f>VLOOKUP(A4693,SizeData!A$2:B$3839,2,FALSE)</f>
        <v/>
      </c>
      <c r="D4693" s="6" t="n">
        <v>1</v>
      </c>
      <c r="E4693" s="6" t="inlineStr">
        <is>
          <t>R1094763</t>
        </is>
      </c>
      <c r="F4693" s="2" t="n">
        <v>44312</v>
      </c>
      <c r="G4693" s="1" t="n"/>
    </row>
    <row r="4694">
      <c r="A4694" s="6" t="n">
        <v>642112</v>
      </c>
      <c r="B4694" s="6" t="inlineStr">
        <is>
          <t>BAREFOOT CELLARS PINK MOSCATO</t>
        </is>
      </c>
      <c r="C4694" s="7">
        <f>VLOOKUP(A4694,SizeData!A$2:B$3839,2,FALSE)</f>
        <v/>
      </c>
      <c r="D4694" s="6" t="n">
        <v>1</v>
      </c>
      <c r="E4694" s="6" t="inlineStr">
        <is>
          <t xml:space="preserve"> R1206104</t>
        </is>
      </c>
      <c r="F4694" s="2" t="n">
        <v>44413</v>
      </c>
      <c r="G4694" s="1" t="n"/>
    </row>
    <row r="4695">
      <c r="A4695" s="6" t="n">
        <v>642112</v>
      </c>
      <c r="B4695" s="6" t="inlineStr">
        <is>
          <t>BAREFOOT CELLARS PINK MOSCATO</t>
        </is>
      </c>
      <c r="C4695" s="7">
        <f>VLOOKUP(A4695,SizeData!A$2:B$3839,2,FALSE)</f>
        <v/>
      </c>
      <c r="D4695" s="6" t="n">
        <v>1</v>
      </c>
      <c r="E4695" s="6" t="inlineStr">
        <is>
          <t>R1272603</t>
        </is>
      </c>
      <c r="F4695" s="2" t="n">
        <v>44473</v>
      </c>
      <c r="G4695" s="1" t="n"/>
    </row>
    <row r="4696">
      <c r="A4696" s="6" t="n">
        <v>642112</v>
      </c>
      <c r="B4696" s="6" t="inlineStr">
        <is>
          <t>BAREFOOT CELLARS PINK MOSCATO</t>
        </is>
      </c>
      <c r="C4696" s="7">
        <f>VLOOKUP(A4696,SizeData!A$2:B$3839,2,FALSE)</f>
        <v/>
      </c>
      <c r="D4696" s="6" t="n">
        <v>3</v>
      </c>
      <c r="E4696" s="6" t="inlineStr">
        <is>
          <t>R1338667</t>
        </is>
      </c>
      <c r="F4696" s="2" t="n">
        <v>44530</v>
      </c>
      <c r="G4696" s="1" t="n"/>
    </row>
    <row r="4697">
      <c r="A4697" s="6" t="n">
        <v>642550</v>
      </c>
      <c r="B4697" s="6" t="inlineStr">
        <is>
          <t>BERINGER MAIN &amp; VINE PINK MOSCATO</t>
        </is>
      </c>
      <c r="C4697" s="7">
        <f>VLOOKUP(A4697,SizeData!A$2:B$3839,2,FALSE)</f>
        <v/>
      </c>
      <c r="D4697" s="6" t="n">
        <v>1</v>
      </c>
      <c r="E4697" s="6" t="inlineStr">
        <is>
          <t>R991241</t>
        </is>
      </c>
      <c r="F4697" s="2" t="n">
        <v>44197</v>
      </c>
      <c r="G4697" s="1" t="n"/>
    </row>
    <row r="4698">
      <c r="A4698" s="6" t="n">
        <v>642550</v>
      </c>
      <c r="B4698" s="6" t="inlineStr">
        <is>
          <t>BERINGER MAIN &amp; VINE PINK MOSCATO</t>
        </is>
      </c>
      <c r="C4698" s="7">
        <f>VLOOKUP(A4698,SizeData!A$2:B$3839,2,FALSE)</f>
        <v/>
      </c>
      <c r="D4698" s="6" t="n">
        <v>1</v>
      </c>
      <c r="E4698" s="6" t="inlineStr">
        <is>
          <t>R1047061</t>
        </is>
      </c>
      <c r="F4698" s="2" t="n">
        <v>44259</v>
      </c>
      <c r="G4698" s="1" t="n"/>
    </row>
    <row r="4699">
      <c r="A4699" s="6" t="n">
        <v>642550</v>
      </c>
      <c r="B4699" s="6" t="inlineStr">
        <is>
          <t>BERINGER MAIN &amp; VINE PINK MOSCATO</t>
        </is>
      </c>
      <c r="C4699" s="7">
        <f>VLOOKUP(A4699,SizeData!A$2:B$3839,2,FALSE)</f>
        <v/>
      </c>
      <c r="D4699" s="6" t="n">
        <v>1</v>
      </c>
      <c r="E4699" s="6" t="inlineStr">
        <is>
          <t>R1039467</t>
        </is>
      </c>
      <c r="F4699" s="2" t="n">
        <v>44266</v>
      </c>
      <c r="G4699" s="1" t="n"/>
    </row>
    <row r="4700">
      <c r="A4700" s="6" t="n">
        <v>643024</v>
      </c>
      <c r="B4700" s="6" t="inlineStr">
        <is>
          <t>BERINGER MAIN &amp; VINE PINK MOSCATO</t>
        </is>
      </c>
      <c r="C4700" s="7">
        <f>VLOOKUP(A4700,SizeData!A$2:B$3839,2,FALSE)</f>
        <v/>
      </c>
      <c r="D4700" s="6" t="n">
        <v>5</v>
      </c>
      <c r="E4700" s="6" t="inlineStr">
        <is>
          <t>R1013524</t>
        </is>
      </c>
      <c r="F4700" s="2" t="n">
        <v>44229</v>
      </c>
      <c r="G4700" s="1" t="n"/>
    </row>
    <row r="4701">
      <c r="A4701" s="6" t="n">
        <v>643024</v>
      </c>
      <c r="B4701" s="6" t="inlineStr">
        <is>
          <t>BERINGER MAIN &amp; VINE PINK MOSCATO</t>
        </is>
      </c>
      <c r="C4701" s="7">
        <f>VLOOKUP(A4701,SizeData!A$2:B$3839,2,FALSE)</f>
        <v/>
      </c>
      <c r="D4701" s="6" t="n">
        <v>1</v>
      </c>
      <c r="E4701" s="6" t="inlineStr">
        <is>
          <t>R1032609</t>
        </is>
      </c>
      <c r="F4701" s="2" t="n">
        <v>44246</v>
      </c>
      <c r="G4701" s="1" t="n"/>
    </row>
    <row r="4702">
      <c r="A4702" s="6" t="n">
        <v>643024</v>
      </c>
      <c r="B4702" s="6" t="inlineStr">
        <is>
          <t>BERINGER MAIN &amp; VINE PINK MOSCATO</t>
        </is>
      </c>
      <c r="C4702" s="7">
        <f>VLOOKUP(A4702,SizeData!A$2:B$3839,2,FALSE)</f>
        <v/>
      </c>
      <c r="D4702" s="6" t="n">
        <v>4</v>
      </c>
      <c r="E4702" s="6" t="inlineStr">
        <is>
          <t>R1321455</t>
        </is>
      </c>
      <c r="F4702" s="2" t="n">
        <v>44513</v>
      </c>
      <c r="G4702" s="1" t="n"/>
    </row>
    <row r="4703">
      <c r="A4703" s="6" t="n">
        <v>643035</v>
      </c>
      <c r="B4703" s="6" t="inlineStr">
        <is>
          <t>BERINGER CALIF WHITE MERLOT</t>
        </is>
      </c>
      <c r="C4703" s="7">
        <f>VLOOKUP(A4703,SizeData!A$2:B$3839,2,FALSE)</f>
        <v/>
      </c>
      <c r="D4703" s="6" t="n">
        <v>2</v>
      </c>
      <c r="E4703" s="6" t="inlineStr">
        <is>
          <t xml:space="preserve"> R1175360</t>
        </is>
      </c>
      <c r="F4703" s="2" t="n">
        <v>44383</v>
      </c>
      <c r="G4703" s="1" t="n"/>
    </row>
    <row r="4704">
      <c r="A4704" s="6" t="n">
        <v>643035</v>
      </c>
      <c r="B4704" s="6" t="inlineStr">
        <is>
          <t>BERINGER CALIF WHITE MERLOT</t>
        </is>
      </c>
      <c r="C4704" s="7">
        <f>VLOOKUP(A4704,SizeData!A$2:B$3839,2,FALSE)</f>
        <v/>
      </c>
      <c r="D4704" s="6" t="n">
        <v>4</v>
      </c>
      <c r="E4704" s="6" t="inlineStr">
        <is>
          <t>R1265798</t>
        </is>
      </c>
      <c r="F4704" s="2" t="n">
        <v>44468</v>
      </c>
      <c r="G4704" s="1" t="n"/>
    </row>
    <row r="4705">
      <c r="A4705" s="6" t="n">
        <v>643035</v>
      </c>
      <c r="B4705" s="6" t="inlineStr">
        <is>
          <t>BERINGER CALIF WHITE MERLOT</t>
        </is>
      </c>
      <c r="C4705" s="7">
        <f>VLOOKUP(A4705,SizeData!A$2:B$3839,2,FALSE)</f>
        <v/>
      </c>
      <c r="D4705" s="6" t="n">
        <v>3</v>
      </c>
      <c r="E4705" s="6" t="inlineStr">
        <is>
          <t>R1323053</t>
        </is>
      </c>
      <c r="F4705" s="2" t="n">
        <v>44515</v>
      </c>
      <c r="G4705" s="1" t="n"/>
    </row>
    <row r="4706">
      <c r="A4706" s="6" t="n">
        <v>643035</v>
      </c>
      <c r="B4706" s="6" t="inlineStr">
        <is>
          <t>BERINGER CALIF WHITE MERLOT</t>
        </is>
      </c>
      <c r="C4706" s="7">
        <f>VLOOKUP(A4706,SizeData!A$2:B$3839,2,FALSE)</f>
        <v/>
      </c>
      <c r="D4706" s="6" t="n">
        <v>3</v>
      </c>
      <c r="E4706" s="6" t="inlineStr">
        <is>
          <t>R1323053A</t>
        </is>
      </c>
      <c r="F4706" s="2" t="n">
        <v>44532</v>
      </c>
      <c r="G4706" s="1" t="n"/>
    </row>
    <row r="4707">
      <c r="A4707" s="6" t="n">
        <v>643041</v>
      </c>
      <c r="B4707" s="6" t="inlineStr">
        <is>
          <t>BERINGER CALIF WHITE ZINFANDEL</t>
        </is>
      </c>
      <c r="C4707" s="7">
        <f>VLOOKUP(A4707,SizeData!A$2:B$3839,2,FALSE)</f>
        <v/>
      </c>
      <c r="D4707" s="6" t="n">
        <v>4</v>
      </c>
      <c r="E4707" s="6" t="inlineStr">
        <is>
          <t>R1013524</t>
        </is>
      </c>
      <c r="F4707" s="2" t="n">
        <v>44229</v>
      </c>
      <c r="G4707" s="1" t="n"/>
    </row>
    <row r="4708">
      <c r="A4708" s="6" t="n">
        <v>643041</v>
      </c>
      <c r="B4708" s="6" t="inlineStr">
        <is>
          <t>BERINGER CALIF WHITE ZINFANDEL</t>
        </is>
      </c>
      <c r="C4708" s="7">
        <f>VLOOKUP(A4708,SizeData!A$2:B$3839,2,FALSE)</f>
        <v/>
      </c>
      <c r="D4708" s="6" t="n">
        <v>3</v>
      </c>
      <c r="E4708" s="6" t="inlineStr">
        <is>
          <t>R1012072</t>
        </is>
      </c>
      <c r="F4708" s="2" t="n">
        <v>44229</v>
      </c>
      <c r="G4708" s="1" t="n"/>
    </row>
    <row r="4709">
      <c r="A4709" s="6" t="n">
        <v>643041</v>
      </c>
      <c r="B4709" s="6" t="inlineStr">
        <is>
          <t>BERINGER CALIF WHITE ZINFANDEL</t>
        </is>
      </c>
      <c r="C4709" s="7">
        <f>VLOOKUP(A4709,SizeData!A$2:B$3839,2,FALSE)</f>
        <v/>
      </c>
      <c r="D4709" s="6" t="n">
        <v>10</v>
      </c>
      <c r="E4709" s="6" t="inlineStr">
        <is>
          <t>R1185075</t>
        </is>
      </c>
      <c r="F4709" s="2" t="n">
        <v>44396</v>
      </c>
      <c r="G4709" s="1" t="n"/>
    </row>
    <row r="4710">
      <c r="A4710" s="6" t="n">
        <v>643041</v>
      </c>
      <c r="B4710" s="6" t="inlineStr">
        <is>
          <t>BERINGER CALIF WHITE ZINFANDEL</t>
        </is>
      </c>
      <c r="C4710" s="7">
        <f>VLOOKUP(A4710,SizeData!A$2:B$3839,2,FALSE)</f>
        <v/>
      </c>
      <c r="D4710" s="6" t="n">
        <v>6</v>
      </c>
      <c r="E4710" s="6" t="inlineStr">
        <is>
          <t>R1270613</t>
        </is>
      </c>
      <c r="F4710" s="2" t="n">
        <v>44461</v>
      </c>
      <c r="G4710" s="1" t="n"/>
    </row>
    <row r="4711">
      <c r="A4711" s="6" t="n">
        <v>643041</v>
      </c>
      <c r="B4711" s="6" t="inlineStr">
        <is>
          <t>BERINGER CALIF WHITE ZINFANDEL</t>
        </is>
      </c>
      <c r="C4711" s="7">
        <f>VLOOKUP(A4711,SizeData!A$2:B$3839,2,FALSE)</f>
        <v/>
      </c>
      <c r="D4711" s="6" t="n">
        <v>5</v>
      </c>
      <c r="E4711" s="6" t="inlineStr">
        <is>
          <t>R1253713</t>
        </is>
      </c>
      <c r="F4711" s="2" t="n">
        <v>44461</v>
      </c>
      <c r="G4711" s="1" t="n"/>
    </row>
    <row r="4712">
      <c r="A4712" s="6" t="n">
        <v>643050</v>
      </c>
      <c r="B4712" s="6" t="inlineStr">
        <is>
          <t>BERINGER CALIF WHITE ZINFANDEL</t>
        </is>
      </c>
      <c r="C4712" s="7">
        <f>VLOOKUP(A4712,SizeData!A$2:B$3839,2,FALSE)</f>
        <v/>
      </c>
      <c r="D4712" s="6" t="n">
        <v>1</v>
      </c>
      <c r="E4712" s="6" t="inlineStr">
        <is>
          <t>R1043269</t>
        </is>
      </c>
      <c r="F4712" s="2" t="n">
        <v>44263</v>
      </c>
      <c r="G4712" s="1" t="n"/>
    </row>
    <row r="4713">
      <c r="A4713" s="6" t="n">
        <v>643820</v>
      </c>
      <c r="B4713" s="6" t="inlineStr">
        <is>
          <t>BULLY HILL SWEET WALTER ROSE</t>
        </is>
      </c>
      <c r="C4713" s="7">
        <f>VLOOKUP(A4713,SizeData!A$2:B$3839,2,FALSE)</f>
        <v/>
      </c>
      <c r="D4713" s="6" t="n">
        <v>1</v>
      </c>
      <c r="E4713" s="6" t="inlineStr">
        <is>
          <t>R1075802</t>
        </is>
      </c>
      <c r="F4713" s="2" t="n">
        <v>44270</v>
      </c>
      <c r="G4713" s="1" t="n"/>
    </row>
    <row r="4714">
      <c r="A4714" s="6" t="n">
        <v>643820</v>
      </c>
      <c r="B4714" s="6" t="inlineStr">
        <is>
          <t>BULLY HILL SWEET WALTER ROSE</t>
        </is>
      </c>
      <c r="C4714" s="7">
        <f>VLOOKUP(A4714,SizeData!A$2:B$3839,2,FALSE)</f>
        <v/>
      </c>
      <c r="D4714" s="6" t="n">
        <v>2</v>
      </c>
      <c r="E4714" s="6" t="inlineStr">
        <is>
          <t>R1089577</t>
        </is>
      </c>
      <c r="F4714" s="2" t="n">
        <v>44307</v>
      </c>
      <c r="G4714" s="1" t="n"/>
    </row>
    <row r="4715">
      <c r="A4715" s="6" t="n">
        <v>643820</v>
      </c>
      <c r="B4715" s="6" t="inlineStr">
        <is>
          <t>BULLY HILL SWEET WALTER ROSE</t>
        </is>
      </c>
      <c r="C4715" s="7">
        <f>VLOOKUP(A4715,SizeData!A$2:B$3839,2,FALSE)</f>
        <v/>
      </c>
      <c r="D4715" s="6" t="n">
        <v>3</v>
      </c>
      <c r="E4715" s="6" t="inlineStr">
        <is>
          <t>R1120446</t>
        </is>
      </c>
      <c r="F4715" s="2" t="n">
        <v>44321</v>
      </c>
      <c r="G4715" s="1" t="n"/>
    </row>
    <row r="4716">
      <c r="A4716" s="6" t="n">
        <v>643820</v>
      </c>
      <c r="B4716" s="6" t="inlineStr">
        <is>
          <t>BULLY HILL SWEET WALTER ROSE</t>
        </is>
      </c>
      <c r="C4716" s="7">
        <f>VLOOKUP(A4716,SizeData!A$2:B$3839,2,FALSE)</f>
        <v/>
      </c>
      <c r="D4716" s="6" t="n">
        <v>1</v>
      </c>
      <c r="E4716" s="6" t="inlineStr">
        <is>
          <t>R1130062</t>
        </is>
      </c>
      <c r="F4716" s="2" t="n">
        <v>44328</v>
      </c>
      <c r="G4716" s="1" t="n"/>
    </row>
    <row r="4717">
      <c r="A4717" s="6" t="n">
        <v>643820</v>
      </c>
      <c r="B4717" s="6" t="inlineStr">
        <is>
          <t>BULLY HILL SWEET WALTER ROSE</t>
        </is>
      </c>
      <c r="C4717" s="7">
        <f>VLOOKUP(A4717,SizeData!A$2:B$3839,2,FALSE)</f>
        <v/>
      </c>
      <c r="D4717" s="6" t="n">
        <v>2</v>
      </c>
      <c r="E4717" s="6" t="inlineStr">
        <is>
          <t>R1301983</t>
        </is>
      </c>
      <c r="F4717" s="2" t="n">
        <v>44501</v>
      </c>
      <c r="G4717" s="1" t="n"/>
    </row>
    <row r="4718">
      <c r="A4718" s="6" t="n">
        <v>643820</v>
      </c>
      <c r="B4718" s="6" t="inlineStr">
        <is>
          <t>BULLY HILL SWEET WALTER ROSE</t>
        </is>
      </c>
      <c r="C4718" s="7">
        <f>VLOOKUP(A4718,SizeData!A$2:B$3839,2,FALSE)</f>
        <v/>
      </c>
      <c r="D4718" s="6" t="n">
        <v>1</v>
      </c>
      <c r="E4718" s="6" t="inlineStr">
        <is>
          <t>R1346277</t>
        </is>
      </c>
      <c r="F4718" s="2" t="n">
        <v>44530</v>
      </c>
      <c r="G4718" s="1" t="n"/>
    </row>
    <row r="4719">
      <c r="A4719" s="6" t="n">
        <v>647232</v>
      </c>
      <c r="B4719" s="6" t="inlineStr">
        <is>
          <t>CARLO ROSSI WHITE ZINFANDEL</t>
        </is>
      </c>
      <c r="C4719" s="7">
        <f>VLOOKUP(A4719,SizeData!A$2:B$3839,2,FALSE)</f>
        <v/>
      </c>
      <c r="D4719" s="6" t="n">
        <v>1</v>
      </c>
      <c r="E4719" s="6" t="inlineStr">
        <is>
          <t>R992805</t>
        </is>
      </c>
      <c r="F4719" s="2" t="n">
        <v>44201</v>
      </c>
      <c r="G4719" s="1" t="n"/>
    </row>
    <row r="4720">
      <c r="A4720" s="6" t="n">
        <v>654625</v>
      </c>
      <c r="B4720" s="6" t="inlineStr">
        <is>
          <t>FRANZIA HOUSE WINE FAV SUNSET BLUSH</t>
        </is>
      </c>
      <c r="C4720" s="7">
        <f>VLOOKUP(A4720,SizeData!A$2:B$3839,2,FALSE)</f>
        <v/>
      </c>
      <c r="D4720" s="6" t="n">
        <v>2</v>
      </c>
      <c r="E4720" s="6" t="inlineStr">
        <is>
          <t>R1008985</t>
        </is>
      </c>
      <c r="F4720" s="2" t="n">
        <v>44224</v>
      </c>
      <c r="G4720" s="1" t="n"/>
    </row>
    <row r="4721">
      <c r="A4721" s="6" t="n">
        <v>654625</v>
      </c>
      <c r="B4721" s="6" t="inlineStr">
        <is>
          <t>FRANZIA HOUSE WINE FAV SUNSET BLUSH</t>
        </is>
      </c>
      <c r="C4721" s="7">
        <f>VLOOKUP(A4721,SizeData!A$2:B$3839,2,FALSE)</f>
        <v/>
      </c>
      <c r="D4721" s="6" t="n">
        <v>1</v>
      </c>
      <c r="E4721" s="6" t="inlineStr">
        <is>
          <t>R1026567</t>
        </is>
      </c>
      <c r="F4721" s="2" t="n">
        <v>44245</v>
      </c>
      <c r="G4721" s="1" t="n"/>
    </row>
    <row r="4722">
      <c r="A4722" s="6" t="n">
        <v>654625</v>
      </c>
      <c r="B4722" s="6" t="inlineStr">
        <is>
          <t>FRANZIA HOUSE WINE FAV SUNSET BLUSH</t>
        </is>
      </c>
      <c r="C4722" s="7">
        <f>VLOOKUP(A4722,SizeData!A$2:B$3839,2,FALSE)</f>
        <v/>
      </c>
      <c r="D4722" s="6" t="n">
        <v>1</v>
      </c>
      <c r="E4722" s="6" t="inlineStr">
        <is>
          <t>R1047061</t>
        </is>
      </c>
      <c r="F4722" s="2" t="n">
        <v>44259</v>
      </c>
      <c r="G4722" s="1" t="n"/>
    </row>
    <row r="4723">
      <c r="A4723" s="6" t="n">
        <v>654625</v>
      </c>
      <c r="B4723" s="6" t="inlineStr">
        <is>
          <t>FRANZIA HOUSE WINE FAV SUNSET BLUSH</t>
        </is>
      </c>
      <c r="C4723" s="7">
        <f>VLOOKUP(A4723,SizeData!A$2:B$3839,2,FALSE)</f>
        <v/>
      </c>
      <c r="D4723" s="6" t="n">
        <v>1</v>
      </c>
      <c r="E4723" s="6" t="inlineStr">
        <is>
          <t>R1072840</t>
        </is>
      </c>
      <c r="F4723" s="2" t="n">
        <v>44286</v>
      </c>
      <c r="G4723" s="1" t="n"/>
    </row>
    <row r="4724">
      <c r="A4724" s="6" t="n">
        <v>654625</v>
      </c>
      <c r="B4724" s="6" t="inlineStr">
        <is>
          <t>FRANZIA HOUSE WINE FAV SUNSET BLUSH</t>
        </is>
      </c>
      <c r="C4724" s="7">
        <f>VLOOKUP(A4724,SizeData!A$2:B$3839,2,FALSE)</f>
        <v/>
      </c>
      <c r="D4724" s="6" t="n">
        <v>1</v>
      </c>
      <c r="E4724" s="6" t="inlineStr">
        <is>
          <t>R1106414</t>
        </is>
      </c>
      <c r="F4724" s="2" t="n">
        <v>44307</v>
      </c>
      <c r="G4724" s="1" t="n"/>
    </row>
    <row r="4725">
      <c r="A4725" s="6" t="n">
        <v>654625</v>
      </c>
      <c r="B4725" s="6" t="inlineStr">
        <is>
          <t>FRANZIA HOUSE WINE FAV SUNSET BLUSH</t>
        </is>
      </c>
      <c r="C4725" s="7">
        <f>VLOOKUP(A4725,SizeData!A$2:B$3839,2,FALSE)</f>
        <v/>
      </c>
      <c r="D4725" s="6" t="n">
        <v>1</v>
      </c>
      <c r="E4725" s="6" t="inlineStr">
        <is>
          <t>R1148371</t>
        </is>
      </c>
      <c r="F4725" s="2" t="n">
        <v>44365</v>
      </c>
      <c r="G4725" s="1" t="n"/>
    </row>
    <row r="4726">
      <c r="A4726" s="6" t="n">
        <v>654625</v>
      </c>
      <c r="B4726" s="6" t="inlineStr">
        <is>
          <t>FRANZIA HOUSE WINE FAV SUNSET BLUSH</t>
        </is>
      </c>
      <c r="C4726" s="7">
        <f>VLOOKUP(A4726,SizeData!A$2:B$3839,2,FALSE)</f>
        <v/>
      </c>
      <c r="D4726" s="6" t="n">
        <v>1</v>
      </c>
      <c r="E4726" s="6" t="inlineStr">
        <is>
          <t>R1196336</t>
        </is>
      </c>
      <c r="F4726" s="2" t="n">
        <v>44405</v>
      </c>
      <c r="G4726" s="1" t="n"/>
    </row>
    <row r="4727">
      <c r="A4727" s="6" t="n">
        <v>654625</v>
      </c>
      <c r="B4727" s="6" t="inlineStr">
        <is>
          <t>FRANZIA HOUSE WINE FAV SUNSET BLUSH</t>
        </is>
      </c>
      <c r="C4727" s="7">
        <f>VLOOKUP(A4727,SizeData!A$2:B$3839,2,FALSE)</f>
        <v/>
      </c>
      <c r="D4727" s="6" t="n">
        <v>1</v>
      </c>
      <c r="E4727" s="6" t="inlineStr">
        <is>
          <t>R1239565</t>
        </is>
      </c>
      <c r="F4727" s="2" t="n">
        <v>44457</v>
      </c>
      <c r="G4727" s="1" t="n"/>
    </row>
    <row r="4728">
      <c r="A4728" s="6" t="n">
        <v>654625</v>
      </c>
      <c r="B4728" s="6" t="inlineStr">
        <is>
          <t>FRANZIA HOUSE WINE FAV SUNSET BLUSH</t>
        </is>
      </c>
      <c r="C4728" s="7">
        <f>VLOOKUP(A4728,SizeData!A$2:B$3839,2,FALSE)</f>
        <v/>
      </c>
      <c r="D4728" s="6" t="n">
        <v>1</v>
      </c>
      <c r="E4728" s="6" t="inlineStr">
        <is>
          <t>R1267576</t>
        </is>
      </c>
      <c r="F4728" s="2" t="n">
        <v>44476</v>
      </c>
      <c r="G4728" s="1" t="n"/>
    </row>
    <row r="4729">
      <c r="A4729" s="6" t="n">
        <v>654625</v>
      </c>
      <c r="B4729" s="6" t="inlineStr">
        <is>
          <t>FRANZIA HOUSE WINE FAV SUNSET BLUSH</t>
        </is>
      </c>
      <c r="C4729" s="7">
        <f>VLOOKUP(A4729,SizeData!A$2:B$3839,2,FALSE)</f>
        <v/>
      </c>
      <c r="D4729" s="6" t="n">
        <v>1</v>
      </c>
      <c r="E4729" s="6" t="inlineStr">
        <is>
          <t>R1274548</t>
        </is>
      </c>
      <c r="F4729" s="2" t="n">
        <v>44485</v>
      </c>
      <c r="G4729" s="1" t="n"/>
    </row>
    <row r="4730">
      <c r="A4730" s="6" t="n">
        <v>654625</v>
      </c>
      <c r="B4730" s="6" t="inlineStr">
        <is>
          <t>FRANZIA HOUSE WINE FAV SUNSET BLUSH</t>
        </is>
      </c>
      <c r="C4730" s="7">
        <f>VLOOKUP(A4730,SizeData!A$2:B$3839,2,FALSE)</f>
        <v/>
      </c>
      <c r="D4730" s="6" t="n">
        <v>1</v>
      </c>
      <c r="E4730" s="6" t="inlineStr">
        <is>
          <t>R1304788</t>
        </is>
      </c>
      <c r="F4730" s="2" t="n">
        <v>44506</v>
      </c>
      <c r="G4730" s="1" t="n"/>
    </row>
    <row r="4731">
      <c r="A4731" s="6" t="n">
        <v>654625</v>
      </c>
      <c r="B4731" s="6" t="inlineStr">
        <is>
          <t>FRANZIA HOUSE WINE FAV SUNSET BLUSH</t>
        </is>
      </c>
      <c r="C4731" s="7">
        <f>VLOOKUP(A4731,SizeData!A$2:B$3839,2,FALSE)</f>
        <v/>
      </c>
      <c r="D4731" s="6" t="n">
        <v>2</v>
      </c>
      <c r="E4731" s="6" t="inlineStr">
        <is>
          <t>R1356782</t>
        </is>
      </c>
      <c r="F4731" s="2" t="n">
        <v>44534</v>
      </c>
      <c r="G4731" s="1" t="n"/>
    </row>
    <row r="4732">
      <c r="A4732" s="6" t="n">
        <v>655448</v>
      </c>
      <c r="B4732" s="6" t="inlineStr">
        <is>
          <t>FRANZIA VINTNER SELECT WH ZINFANDEL</t>
        </is>
      </c>
      <c r="C4732" s="7">
        <f>VLOOKUP(A4732,SizeData!A$2:B$3839,2,FALSE)</f>
        <v/>
      </c>
      <c r="D4732" s="6" t="n">
        <v>1</v>
      </c>
      <c r="E4732" s="6" t="inlineStr">
        <is>
          <t>R1072840</t>
        </is>
      </c>
      <c r="F4732" s="2" t="n">
        <v>44286</v>
      </c>
      <c r="G4732" s="1" t="n"/>
    </row>
    <row r="4733">
      <c r="A4733" s="6" t="n">
        <v>655448</v>
      </c>
      <c r="B4733" s="6" t="inlineStr">
        <is>
          <t>FRANZIA VINTNER SELECT WH ZINFANDEL</t>
        </is>
      </c>
      <c r="C4733" s="7">
        <f>VLOOKUP(A4733,SizeData!A$2:B$3839,2,FALSE)</f>
        <v/>
      </c>
      <c r="D4733" s="6" t="n">
        <v>1</v>
      </c>
      <c r="E4733" s="6" t="inlineStr">
        <is>
          <t>R1085364</t>
        </is>
      </c>
      <c r="F4733" s="2" t="n">
        <v>44289</v>
      </c>
      <c r="G4733" s="1" t="n"/>
    </row>
    <row r="4734">
      <c r="A4734" s="6" t="n">
        <v>655448</v>
      </c>
      <c r="B4734" s="6" t="inlineStr">
        <is>
          <t>FRANZIA VINTNER SELECT WH ZINFANDEL</t>
        </is>
      </c>
      <c r="C4734" s="7">
        <f>VLOOKUP(A4734,SizeData!A$2:B$3839,2,FALSE)</f>
        <v/>
      </c>
      <c r="D4734" s="6" t="n">
        <v>1</v>
      </c>
      <c r="E4734" s="6" t="inlineStr">
        <is>
          <t>R1119203</t>
        </is>
      </c>
      <c r="F4734" s="2" t="n">
        <v>44327</v>
      </c>
      <c r="G4734" s="1" t="n"/>
    </row>
    <row r="4735">
      <c r="A4735" s="6" t="n">
        <v>655448</v>
      </c>
      <c r="B4735" s="6" t="inlineStr">
        <is>
          <t>FRANZIA VINTNER SELECT WH ZINFANDEL</t>
        </is>
      </c>
      <c r="C4735" s="7">
        <f>VLOOKUP(A4735,SizeData!A$2:B$3839,2,FALSE)</f>
        <v/>
      </c>
      <c r="D4735" s="6" t="n">
        <v>1</v>
      </c>
      <c r="E4735" s="6" t="inlineStr">
        <is>
          <t>R1134134</t>
        </is>
      </c>
      <c r="F4735" s="2" t="n">
        <v>44354</v>
      </c>
      <c r="G4735" s="1" t="n"/>
    </row>
    <row r="4736">
      <c r="A4736" s="6" t="n">
        <v>655448</v>
      </c>
      <c r="B4736" s="6" t="inlineStr">
        <is>
          <t>FRANZIA VINTNER SELECT WH ZINFANDEL</t>
        </is>
      </c>
      <c r="C4736" s="7">
        <f>VLOOKUP(A4736,SizeData!A$2:B$3839,2,FALSE)</f>
        <v/>
      </c>
      <c r="D4736" s="6" t="n">
        <v>1</v>
      </c>
      <c r="E4736" s="6" t="inlineStr">
        <is>
          <t>R1242289</t>
        </is>
      </c>
      <c r="F4736" s="2" t="n">
        <v>44455</v>
      </c>
      <c r="G4736" s="1" t="n"/>
    </row>
    <row r="4737">
      <c r="A4737" s="6" t="n">
        <v>664502</v>
      </c>
      <c r="B4737" s="6" t="inlineStr">
        <is>
          <t>LIBERTY CREEK PINK MOSCATO</t>
        </is>
      </c>
      <c r="C4737" s="7">
        <f>VLOOKUP(A4737,SizeData!A$2:B$3839,2,FALSE)</f>
        <v/>
      </c>
      <c r="D4737" s="6" t="n">
        <v>1</v>
      </c>
      <c r="E4737" s="6" t="inlineStr">
        <is>
          <t>R1083538</t>
        </is>
      </c>
      <c r="F4737" s="2" t="n">
        <v>44292</v>
      </c>
      <c r="G4737" s="1" t="n"/>
    </row>
    <row r="4738">
      <c r="A4738" s="6" t="n">
        <v>664502</v>
      </c>
      <c r="B4738" s="6" t="inlineStr">
        <is>
          <t>LIBERTY CREEK PINK MOSCATO</t>
        </is>
      </c>
      <c r="C4738" s="7">
        <f>VLOOKUP(A4738,SizeData!A$2:B$3839,2,FALSE)</f>
        <v/>
      </c>
      <c r="D4738" s="6" t="n">
        <v>1</v>
      </c>
      <c r="E4738" s="6" t="inlineStr">
        <is>
          <t>R1230991</t>
        </is>
      </c>
      <c r="F4738" s="2" t="n">
        <v>44441</v>
      </c>
      <c r="G4738" s="1" t="n"/>
    </row>
    <row r="4739">
      <c r="A4739" s="6" t="n">
        <v>671421</v>
      </c>
      <c r="B4739" s="6" t="inlineStr">
        <is>
          <t>19 CRIMES CALI ROSE</t>
        </is>
      </c>
      <c r="C4739" s="7">
        <f>VLOOKUP(A4739,SizeData!A$2:B$3839,2,FALSE)</f>
        <v/>
      </c>
      <c r="D4739" s="6" t="n">
        <v>2</v>
      </c>
      <c r="E4739" s="6" t="inlineStr">
        <is>
          <t>R1348404</t>
        </is>
      </c>
      <c r="F4739" s="2" t="n">
        <v>44532</v>
      </c>
      <c r="G4739" s="1" t="n"/>
    </row>
    <row r="4740">
      <c r="A4740" s="6" t="n">
        <v>683324</v>
      </c>
      <c r="B4740" s="6" t="inlineStr">
        <is>
          <t>SUTTER HOME PINK MOSCATO CALIFORNIA</t>
        </is>
      </c>
      <c r="C4740" s="7">
        <f>VLOOKUP(A4740,SizeData!A$2:B$3839,2,FALSE)</f>
        <v/>
      </c>
      <c r="D4740" s="6" t="n">
        <v>3</v>
      </c>
      <c r="E4740" s="6" t="inlineStr">
        <is>
          <t>R1028756</t>
        </is>
      </c>
      <c r="F4740" s="2" t="n">
        <v>44239</v>
      </c>
      <c r="G4740" s="1" t="n"/>
    </row>
    <row r="4741">
      <c r="A4741" s="6" t="n">
        <v>683324</v>
      </c>
      <c r="B4741" s="6" t="inlineStr">
        <is>
          <t>SUTTER HOME PINK MOSCATO CALIFORNIA</t>
        </is>
      </c>
      <c r="C4741" s="7">
        <f>VLOOKUP(A4741,SizeData!A$2:B$3839,2,FALSE)</f>
        <v/>
      </c>
      <c r="D4741" s="6" t="n">
        <v>1</v>
      </c>
      <c r="E4741" s="6" t="inlineStr">
        <is>
          <t>R1028665</t>
        </is>
      </c>
      <c r="F4741" s="2" t="n">
        <v>44247</v>
      </c>
      <c r="G4741" s="1" t="n"/>
    </row>
    <row r="4742">
      <c r="A4742" s="6" t="n">
        <v>683324</v>
      </c>
      <c r="B4742" s="6" t="inlineStr">
        <is>
          <t>SUTTER HOME PINK MOSCATO CALIFORNIA</t>
        </is>
      </c>
      <c r="C4742" s="7">
        <f>VLOOKUP(A4742,SizeData!A$2:B$3839,2,FALSE)</f>
        <v/>
      </c>
      <c r="D4742" s="6" t="n">
        <v>1</v>
      </c>
      <c r="E4742" s="6" t="inlineStr">
        <is>
          <t>R1206028</t>
        </is>
      </c>
      <c r="F4742" s="2" t="n">
        <v>44417</v>
      </c>
      <c r="G4742" s="1" t="n"/>
    </row>
    <row r="4743">
      <c r="A4743" s="6" t="n">
        <v>683324</v>
      </c>
      <c r="B4743" s="6" t="inlineStr">
        <is>
          <t>SUTTER HOME PINK MOSCATO CALIFORNIA</t>
        </is>
      </c>
      <c r="C4743" s="7">
        <f>VLOOKUP(A4743,SizeData!A$2:B$3839,2,FALSE)</f>
        <v/>
      </c>
      <c r="D4743" s="6" t="n">
        <v>2</v>
      </c>
      <c r="E4743" s="6" t="inlineStr">
        <is>
          <t>R1228454</t>
        </is>
      </c>
      <c r="F4743" s="2" t="n">
        <v>44445</v>
      </c>
      <c r="G4743" s="1" t="n"/>
    </row>
    <row r="4744">
      <c r="A4744" s="6" t="n">
        <v>683325</v>
      </c>
      <c r="B4744" s="6" t="inlineStr">
        <is>
          <t>SUTTER HOME PINK MOSCATO CALIFORNIA</t>
        </is>
      </c>
      <c r="C4744" s="7">
        <f>VLOOKUP(A4744,SizeData!A$2:B$3839,2,FALSE)</f>
        <v/>
      </c>
      <c r="D4744" s="6" t="n">
        <v>2</v>
      </c>
      <c r="E4744" s="6" t="inlineStr">
        <is>
          <t>R1048948</t>
        </is>
      </c>
      <c r="F4744" s="2" t="n">
        <v>44265</v>
      </c>
      <c r="G4744" s="1" t="n"/>
    </row>
    <row r="4745">
      <c r="A4745" s="6" t="n">
        <v>683325</v>
      </c>
      <c r="B4745" s="6" t="inlineStr">
        <is>
          <t>SUTTER HOME PINK MOSCATO CALIFORNIA</t>
        </is>
      </c>
      <c r="C4745" s="7">
        <f>VLOOKUP(A4745,SizeData!A$2:B$3839,2,FALSE)</f>
        <v/>
      </c>
      <c r="D4745" s="6" t="n">
        <v>1</v>
      </c>
      <c r="E4745" s="6" t="inlineStr">
        <is>
          <t>R1053796</t>
        </is>
      </c>
      <c r="F4745" s="2" t="n">
        <v>44279</v>
      </c>
      <c r="G4745" s="1" t="n"/>
    </row>
    <row r="4746">
      <c r="A4746" s="6" t="n">
        <v>683325</v>
      </c>
      <c r="B4746" s="6" t="inlineStr">
        <is>
          <t>SUTTER HOME PINK MOSCATO CALIFORNIA</t>
        </is>
      </c>
      <c r="C4746" s="7">
        <f>VLOOKUP(A4746,SizeData!A$2:B$3839,2,FALSE)</f>
        <v/>
      </c>
      <c r="D4746" s="6" t="n">
        <v>1</v>
      </c>
      <c r="E4746" s="6" t="inlineStr">
        <is>
          <t>R1131905</t>
        </is>
      </c>
      <c r="F4746" s="2" t="n">
        <v>44340</v>
      </c>
      <c r="G4746" s="1" t="n"/>
    </row>
    <row r="4747">
      <c r="A4747" s="6" t="n">
        <v>683325</v>
      </c>
      <c r="B4747" s="6" t="inlineStr">
        <is>
          <t>SUTTER HOME PINK MOSCATO CALIFORNIA</t>
        </is>
      </c>
      <c r="C4747" s="7">
        <f>VLOOKUP(A4747,SizeData!A$2:B$3839,2,FALSE)</f>
        <v/>
      </c>
      <c r="D4747" s="6" t="n">
        <v>1</v>
      </c>
      <c r="E4747" s="6" t="inlineStr">
        <is>
          <t>R1189620</t>
        </is>
      </c>
      <c r="F4747" s="2" t="n">
        <v>44408</v>
      </c>
      <c r="G4747" s="1" t="n"/>
    </row>
    <row r="4748">
      <c r="A4748" s="6" t="n">
        <v>683325</v>
      </c>
      <c r="B4748" s="6" t="inlineStr">
        <is>
          <t>SUTTER HOME PINK MOSCATO CALIFORNIA</t>
        </is>
      </c>
      <c r="C4748" s="7">
        <f>VLOOKUP(A4748,SizeData!A$2:B$3839,2,FALSE)</f>
        <v/>
      </c>
      <c r="D4748" s="6" t="n">
        <v>1</v>
      </c>
      <c r="E4748" s="6" t="inlineStr">
        <is>
          <t>R1242196</t>
        </is>
      </c>
      <c r="F4748" s="2" t="n">
        <v>44456</v>
      </c>
      <c r="G4748" s="1" t="n"/>
    </row>
    <row r="4749">
      <c r="A4749" s="6" t="n">
        <v>683325</v>
      </c>
      <c r="B4749" s="6" t="inlineStr">
        <is>
          <t>SUTTER HOME PINK MOSCATO CALIFORNIA</t>
        </is>
      </c>
      <c r="C4749" s="7">
        <f>VLOOKUP(A4749,SizeData!A$2:B$3839,2,FALSE)</f>
        <v/>
      </c>
      <c r="D4749" s="6" t="n">
        <v>2</v>
      </c>
      <c r="E4749" s="6" t="inlineStr">
        <is>
          <t>R1323602</t>
        </is>
      </c>
      <c r="F4749" s="2" t="n">
        <v>44511</v>
      </c>
      <c r="G4749" s="1" t="n"/>
    </row>
    <row r="4750">
      <c r="A4750" s="6" t="n">
        <v>683326</v>
      </c>
      <c r="B4750" s="6" t="inlineStr">
        <is>
          <t>SUTTER HOME PINK MOSCATO CALIFORNIA</t>
        </is>
      </c>
      <c r="C4750" s="7">
        <f>VLOOKUP(A4750,SizeData!A$2:B$3839,2,FALSE)</f>
        <v/>
      </c>
      <c r="D4750" s="6" t="n">
        <v>2</v>
      </c>
      <c r="E4750" s="6" t="inlineStr">
        <is>
          <t>R1030345</t>
        </is>
      </c>
      <c r="F4750" s="2" t="n">
        <v>44229</v>
      </c>
      <c r="G4750" s="1" t="n"/>
    </row>
    <row r="4751">
      <c r="A4751" s="6" t="n">
        <v>683326</v>
      </c>
      <c r="B4751" s="6" t="inlineStr">
        <is>
          <t>SUTTER HOME PINK MOSCATO CALIFORNIA</t>
        </is>
      </c>
      <c r="C4751" s="7">
        <f>VLOOKUP(A4751,SizeData!A$2:B$3839,2,FALSE)</f>
        <v/>
      </c>
      <c r="D4751" s="6" t="n">
        <v>4</v>
      </c>
      <c r="E4751" s="6" t="inlineStr">
        <is>
          <t>R1142110</t>
        </is>
      </c>
      <c r="F4751" s="2" t="n">
        <v>44350</v>
      </c>
      <c r="G4751" s="1" t="n"/>
    </row>
    <row r="4752">
      <c r="A4752" s="6" t="n">
        <v>683326</v>
      </c>
      <c r="B4752" s="6" t="inlineStr">
        <is>
          <t>SUTTER HOME PINK MOSCATO CALIFORNIA</t>
        </is>
      </c>
      <c r="C4752" s="7">
        <f>VLOOKUP(A4752,SizeData!A$2:B$3839,2,FALSE)</f>
        <v/>
      </c>
      <c r="D4752" s="6" t="n">
        <v>7</v>
      </c>
      <c r="E4752" s="6" t="inlineStr">
        <is>
          <t>R1152585</t>
        </is>
      </c>
      <c r="F4752" s="2" t="n">
        <v>44372</v>
      </c>
      <c r="G4752" s="1" t="n"/>
    </row>
    <row r="4753">
      <c r="A4753" s="6" t="n">
        <v>683326</v>
      </c>
      <c r="B4753" s="6" t="inlineStr">
        <is>
          <t>SUTTER HOME PINK MOSCATO CALIFORNIA</t>
        </is>
      </c>
      <c r="C4753" s="7">
        <f>VLOOKUP(A4753,SizeData!A$2:B$3839,2,FALSE)</f>
        <v/>
      </c>
      <c r="D4753" s="6" t="n">
        <v>0</v>
      </c>
      <c r="E4753" s="6" t="inlineStr">
        <is>
          <t xml:space="preserve"> R1263571</t>
        </is>
      </c>
      <c r="F4753" s="2" t="n">
        <v>44470</v>
      </c>
      <c r="G4753" s="1" t="n"/>
    </row>
    <row r="4754">
      <c r="A4754" s="6" t="n">
        <v>683326</v>
      </c>
      <c r="B4754" s="6" t="inlineStr">
        <is>
          <t>SUTTER HOME PINK MOSCATO CALIFORNIA</t>
        </is>
      </c>
      <c r="C4754" s="7">
        <f>VLOOKUP(A4754,SizeData!A$2:B$3839,2,FALSE)</f>
        <v/>
      </c>
      <c r="D4754" s="6" t="n">
        <v>4</v>
      </c>
      <c r="E4754" s="6" t="inlineStr">
        <is>
          <t>R1301542</t>
        </is>
      </c>
      <c r="F4754" s="2" t="n">
        <v>44494</v>
      </c>
      <c r="G4754" s="1" t="n"/>
    </row>
    <row r="4755">
      <c r="A4755" s="6" t="n">
        <v>683326</v>
      </c>
      <c r="B4755" s="6" t="inlineStr">
        <is>
          <t>SUTTER HOME PINK MOSCATO CALIFORNIA</t>
        </is>
      </c>
      <c r="C4755" s="7">
        <f>VLOOKUP(A4755,SizeData!A$2:B$3839,2,FALSE)</f>
        <v/>
      </c>
      <c r="D4755" s="6" t="n">
        <v>10</v>
      </c>
      <c r="E4755" s="6" t="inlineStr">
        <is>
          <t>R1302616</t>
        </is>
      </c>
      <c r="F4755" s="2" t="n">
        <v>44496</v>
      </c>
      <c r="G4755" s="1" t="n"/>
    </row>
    <row r="4756">
      <c r="A4756" s="6" t="n">
        <v>683326</v>
      </c>
      <c r="B4756" s="6" t="inlineStr">
        <is>
          <t>SUTTER HOME PINK MOSCATO CALIFORNIA</t>
        </is>
      </c>
      <c r="C4756" s="7">
        <f>VLOOKUP(A4756,SizeData!A$2:B$3839,2,FALSE)</f>
        <v/>
      </c>
      <c r="D4756" s="6" t="n">
        <v>1</v>
      </c>
      <c r="E4756" s="6" t="inlineStr">
        <is>
          <t>R1293909</t>
        </is>
      </c>
      <c r="F4756" s="2" t="n">
        <v>44497</v>
      </c>
      <c r="G4756" s="1" t="n"/>
    </row>
    <row r="4757">
      <c r="A4757" s="6" t="n">
        <v>683345</v>
      </c>
      <c r="B4757" s="6" t="inlineStr">
        <is>
          <t>SUTTER HOME WHITE MERLOT</t>
        </is>
      </c>
      <c r="C4757" s="7">
        <f>VLOOKUP(A4757,SizeData!A$2:B$3839,2,FALSE)</f>
        <v/>
      </c>
      <c r="D4757" s="6" t="n">
        <v>1</v>
      </c>
      <c r="E4757" s="6" t="inlineStr">
        <is>
          <t>R1137831</t>
        </is>
      </c>
      <c r="F4757" s="2" t="n">
        <v>44348</v>
      </c>
      <c r="G4757" s="1" t="n"/>
    </row>
    <row r="4758">
      <c r="A4758" s="6" t="n">
        <v>683345</v>
      </c>
      <c r="B4758" s="6" t="inlineStr">
        <is>
          <t>SUTTER HOME WHITE MERLOT</t>
        </is>
      </c>
      <c r="C4758" s="7">
        <f>VLOOKUP(A4758,SizeData!A$2:B$3839,2,FALSE)</f>
        <v/>
      </c>
      <c r="D4758" s="6" t="n">
        <v>3</v>
      </c>
      <c r="E4758" s="6" t="inlineStr">
        <is>
          <t>R1142110</t>
        </is>
      </c>
      <c r="F4758" s="2" t="n">
        <v>44350</v>
      </c>
      <c r="G4758" s="1" t="n"/>
    </row>
    <row r="4759">
      <c r="A4759" s="6" t="n">
        <v>683345</v>
      </c>
      <c r="B4759" s="6" t="inlineStr">
        <is>
          <t>SUTTER HOME WHITE MERLOT</t>
        </is>
      </c>
      <c r="C4759" s="7">
        <f>VLOOKUP(A4759,SizeData!A$2:B$3839,2,FALSE)</f>
        <v/>
      </c>
      <c r="D4759" s="6" t="n">
        <v>1</v>
      </c>
      <c r="E4759" s="6" t="inlineStr">
        <is>
          <t>R1152585</t>
        </is>
      </c>
      <c r="F4759" s="2" t="n">
        <v>44372</v>
      </c>
      <c r="G4759" s="1" t="n"/>
    </row>
    <row r="4760">
      <c r="A4760" s="6" t="n">
        <v>683345</v>
      </c>
      <c r="B4760" s="6" t="inlineStr">
        <is>
          <t>SUTTER HOME WHITE MERLOT</t>
        </is>
      </c>
      <c r="C4760" s="7">
        <f>VLOOKUP(A4760,SizeData!A$2:B$3839,2,FALSE)</f>
        <v/>
      </c>
      <c r="D4760" s="6" t="n">
        <v>3</v>
      </c>
      <c r="E4760" s="6" t="inlineStr">
        <is>
          <t>R1352452</t>
        </is>
      </c>
      <c r="F4760" s="2" t="n">
        <v>44536</v>
      </c>
      <c r="G4760" s="1" t="n"/>
    </row>
    <row r="4761">
      <c r="A4761" s="6" t="n">
        <v>683362</v>
      </c>
      <c r="B4761" s="6" t="inlineStr">
        <is>
          <t>SUTTER HOME WHITE ZINFANDEL</t>
        </is>
      </c>
      <c r="C4761" s="7">
        <f>VLOOKUP(A4761,SizeData!A$2:B$3839,2,FALSE)</f>
        <v/>
      </c>
      <c r="D4761" s="6" t="n">
        <v>1</v>
      </c>
      <c r="E4761" s="6" t="inlineStr">
        <is>
          <t>R1137831</t>
        </is>
      </c>
      <c r="F4761" s="2" t="n">
        <v>44348</v>
      </c>
      <c r="G4761" s="1" t="n"/>
    </row>
    <row r="4762">
      <c r="A4762" s="6" t="n">
        <v>683362</v>
      </c>
      <c r="B4762" s="6" t="inlineStr">
        <is>
          <t>SUTTER HOME WHITE ZINFANDEL</t>
        </is>
      </c>
      <c r="C4762" s="7">
        <f>VLOOKUP(A4762,SizeData!A$2:B$3839,2,FALSE)</f>
        <v/>
      </c>
      <c r="D4762" s="6" t="n">
        <v>4</v>
      </c>
      <c r="E4762" s="6" t="inlineStr">
        <is>
          <t>R1142110</t>
        </is>
      </c>
      <c r="F4762" s="2" t="n">
        <v>44350</v>
      </c>
      <c r="G4762" s="1" t="n"/>
    </row>
    <row r="4763">
      <c r="A4763" s="6" t="n">
        <v>683362</v>
      </c>
      <c r="B4763" s="6" t="inlineStr">
        <is>
          <t>SUTTER HOME WHITE ZINFANDEL</t>
        </is>
      </c>
      <c r="C4763" s="7">
        <f>VLOOKUP(A4763,SizeData!A$2:B$3839,2,FALSE)</f>
        <v/>
      </c>
      <c r="D4763" s="6" t="n">
        <v>15</v>
      </c>
      <c r="E4763" s="6" t="inlineStr">
        <is>
          <t xml:space="preserve"> R1166441</t>
        </is>
      </c>
      <c r="F4763" s="2" t="n">
        <v>44372</v>
      </c>
      <c r="G4763" s="1" t="n"/>
    </row>
    <row r="4764">
      <c r="A4764" s="6" t="n">
        <v>683362</v>
      </c>
      <c r="B4764" s="6" t="inlineStr">
        <is>
          <t>SUTTER HOME WHITE ZINFANDEL</t>
        </is>
      </c>
      <c r="C4764" s="7">
        <f>VLOOKUP(A4764,SizeData!A$2:B$3839,2,FALSE)</f>
        <v/>
      </c>
      <c r="D4764" s="6" t="n">
        <v>3</v>
      </c>
      <c r="E4764" s="6" t="inlineStr">
        <is>
          <t>R1152585</t>
        </is>
      </c>
      <c r="F4764" s="2" t="n">
        <v>44372</v>
      </c>
      <c r="G4764" s="1" t="n"/>
    </row>
    <row r="4765">
      <c r="A4765" s="6" t="n">
        <v>683362</v>
      </c>
      <c r="B4765" s="6" t="inlineStr">
        <is>
          <t>SUTTER HOME WHITE ZINFANDEL</t>
        </is>
      </c>
      <c r="C4765" s="7">
        <f>VLOOKUP(A4765,SizeData!A$2:B$3839,2,FALSE)</f>
        <v/>
      </c>
      <c r="D4765" s="6" t="n">
        <v>5</v>
      </c>
      <c r="E4765" s="6" t="inlineStr">
        <is>
          <t>R1363171</t>
        </is>
      </c>
      <c r="F4765" s="2" t="n">
        <v>44541</v>
      </c>
      <c r="G4765" s="1" t="n"/>
    </row>
    <row r="4766">
      <c r="A4766" s="6" t="n">
        <v>701003</v>
      </c>
      <c r="B4766" s="6" t="inlineStr">
        <is>
          <t>ARMAND DE BRIGNAC ACE OF SPADE</t>
        </is>
      </c>
      <c r="C4766" s="7">
        <f>VLOOKUP(A4766,SizeData!A$2:B$3839,2,FALSE)</f>
        <v/>
      </c>
      <c r="D4766" s="6" t="n">
        <v>7</v>
      </c>
      <c r="E4766" s="6" t="inlineStr">
        <is>
          <t>R1064963</t>
        </is>
      </c>
      <c r="F4766" s="2" t="n">
        <v>44284</v>
      </c>
      <c r="G4766" s="1" t="n"/>
    </row>
    <row r="4767">
      <c r="A4767" s="6" t="n">
        <v>701003</v>
      </c>
      <c r="B4767" s="6" t="inlineStr">
        <is>
          <t>ARMAND DE BRIGNAC ACE OF SPADE</t>
        </is>
      </c>
      <c r="C4767" s="7">
        <f>VLOOKUP(A4767,SizeData!A$2:B$3839,2,FALSE)</f>
        <v/>
      </c>
      <c r="D4767" s="6" t="n">
        <v>2</v>
      </c>
      <c r="E4767" s="6" t="inlineStr">
        <is>
          <t xml:space="preserve"> R1131152</t>
        </is>
      </c>
      <c r="F4767" s="2" t="n">
        <v>44340</v>
      </c>
      <c r="G4767" s="1" t="n"/>
    </row>
    <row r="4768">
      <c r="A4768" s="6" t="n">
        <v>701003</v>
      </c>
      <c r="B4768" s="6" t="inlineStr">
        <is>
          <t>ARMAND DE BRIGNAC ACE OF SPADE</t>
        </is>
      </c>
      <c r="C4768" s="7">
        <f>VLOOKUP(A4768,SizeData!A$2:B$3839,2,FALSE)</f>
        <v/>
      </c>
      <c r="D4768" s="6" t="n">
        <v>10</v>
      </c>
      <c r="E4768" s="6" t="inlineStr">
        <is>
          <t xml:space="preserve"> R1170981</t>
        </is>
      </c>
      <c r="F4768" s="2" t="n">
        <v>44391</v>
      </c>
      <c r="G4768" s="1" t="n"/>
    </row>
    <row r="4769">
      <c r="A4769" s="6" t="n">
        <v>704035</v>
      </c>
      <c r="B4769" s="6" t="inlineStr">
        <is>
          <t>VEUVE CLICQUOT ROSE</t>
        </is>
      </c>
      <c r="C4769" s="7">
        <f>VLOOKUP(A4769,SizeData!A$2:B$3839,2,FALSE)</f>
        <v/>
      </c>
      <c r="D4769" s="6" t="n">
        <v>2</v>
      </c>
      <c r="E4769" s="6" t="inlineStr">
        <is>
          <t>R1041727</t>
        </is>
      </c>
      <c r="F4769" s="2" t="n">
        <v>44254</v>
      </c>
      <c r="G4769" s="1" t="n"/>
    </row>
    <row r="4770">
      <c r="A4770" s="6" t="n">
        <v>704035</v>
      </c>
      <c r="B4770" s="6" t="inlineStr">
        <is>
          <t>VEUVE CLICQUOT ROSE</t>
        </is>
      </c>
      <c r="C4770" s="7">
        <f>VLOOKUP(A4770,SizeData!A$2:B$3839,2,FALSE)</f>
        <v/>
      </c>
      <c r="D4770" s="6" t="n">
        <v>1</v>
      </c>
      <c r="E4770" s="6" t="inlineStr">
        <is>
          <t>R1137831</t>
        </is>
      </c>
      <c r="F4770" s="2" t="n">
        <v>44348</v>
      </c>
      <c r="G4770" s="1" t="n"/>
    </row>
    <row r="4771">
      <c r="A4771" s="6" t="n">
        <v>704035</v>
      </c>
      <c r="B4771" s="6" t="inlineStr">
        <is>
          <t>VEUVE CLICQUOT ROSE</t>
        </is>
      </c>
      <c r="C4771" s="7">
        <f>VLOOKUP(A4771,SizeData!A$2:B$3839,2,FALSE)</f>
        <v/>
      </c>
      <c r="D4771" s="6" t="n">
        <v>2</v>
      </c>
      <c r="E4771" s="6" t="inlineStr">
        <is>
          <t>R1276358</t>
        </is>
      </c>
      <c r="F4771" s="2" t="n">
        <v>44480</v>
      </c>
      <c r="G4771" s="1" t="n"/>
    </row>
    <row r="4772">
      <c r="A4772" s="6" t="n">
        <v>704050</v>
      </c>
      <c r="B4772" s="6" t="inlineStr">
        <is>
          <t>VEUVE CLICQUOT BRUT YELLOW LABEL</t>
        </is>
      </c>
      <c r="C4772" s="7">
        <f>VLOOKUP(A4772,SizeData!A$2:B$3839,2,FALSE)</f>
        <v/>
      </c>
      <c r="D4772" s="6" t="n">
        <v>1</v>
      </c>
      <c r="E4772" s="6" t="inlineStr">
        <is>
          <t>R1099557</t>
        </is>
      </c>
      <c r="F4772" s="2" t="n">
        <v>44317</v>
      </c>
      <c r="G4772" s="1" t="n"/>
    </row>
    <row r="4773">
      <c r="A4773" s="6" t="n">
        <v>704050</v>
      </c>
      <c r="B4773" s="6" t="inlineStr">
        <is>
          <t>VEUVE CLICQUOT BRUT YELLOW LABEL</t>
        </is>
      </c>
      <c r="C4773" s="7">
        <f>VLOOKUP(A4773,SizeData!A$2:B$3839,2,FALSE)</f>
        <v/>
      </c>
      <c r="D4773" s="6" t="n">
        <v>1</v>
      </c>
      <c r="E4773" s="6" t="inlineStr">
        <is>
          <t>R1122623</t>
        </is>
      </c>
      <c r="F4773" s="2" t="n">
        <v>44331</v>
      </c>
      <c r="G4773" s="1" t="n"/>
    </row>
    <row r="4774">
      <c r="A4774" s="6" t="n">
        <v>704050</v>
      </c>
      <c r="B4774" s="6" t="inlineStr">
        <is>
          <t>VEUVE CLICQUOT BRUT YELLOW LABEL</t>
        </is>
      </c>
      <c r="C4774" s="7">
        <f>VLOOKUP(A4774,SizeData!A$2:B$3839,2,FALSE)</f>
        <v/>
      </c>
      <c r="D4774" s="6" t="n">
        <v>1</v>
      </c>
      <c r="E4774" s="6" t="inlineStr">
        <is>
          <t>R1135580</t>
        </is>
      </c>
      <c r="F4774" s="2" t="n">
        <v>44340</v>
      </c>
      <c r="G4774" s="1" t="n"/>
    </row>
    <row r="4775">
      <c r="A4775" s="6" t="n">
        <v>704050</v>
      </c>
      <c r="B4775" s="6" t="inlineStr">
        <is>
          <t>VEUVE CLICQUOT BRUT YELLOW LABEL</t>
        </is>
      </c>
      <c r="C4775" s="7">
        <f>VLOOKUP(A4775,SizeData!A$2:B$3839,2,FALSE)</f>
        <v/>
      </c>
      <c r="D4775" s="6" t="n">
        <v>1</v>
      </c>
      <c r="E4775" s="6" t="inlineStr">
        <is>
          <t>R1132212</t>
        </is>
      </c>
      <c r="F4775" s="2" t="n">
        <v>44342</v>
      </c>
      <c r="G4775" s="1" t="n"/>
    </row>
    <row r="4776">
      <c r="A4776" s="6" t="n">
        <v>704050</v>
      </c>
      <c r="B4776" s="6" t="inlineStr">
        <is>
          <t>VEUVE CLICQUOT BRUT YELLOW LABEL</t>
        </is>
      </c>
      <c r="C4776" s="7">
        <f>VLOOKUP(A4776,SizeData!A$2:B$3839,2,FALSE)</f>
        <v/>
      </c>
      <c r="D4776" s="6" t="n">
        <v>1</v>
      </c>
      <c r="E4776" s="6" t="inlineStr">
        <is>
          <t>R1129649</t>
        </is>
      </c>
      <c r="F4776" s="2" t="n">
        <v>44343</v>
      </c>
      <c r="G4776" s="1" t="n"/>
    </row>
    <row r="4777">
      <c r="A4777" s="6" t="n">
        <v>704050</v>
      </c>
      <c r="B4777" s="6" t="inlineStr">
        <is>
          <t>VEUVE CLICQUOT BRUT YELLOW LABEL</t>
        </is>
      </c>
      <c r="C4777" s="7">
        <f>VLOOKUP(A4777,SizeData!A$2:B$3839,2,FALSE)</f>
        <v/>
      </c>
      <c r="D4777" s="6" t="n">
        <v>2</v>
      </c>
      <c r="E4777" s="6" t="inlineStr">
        <is>
          <t>R1276358</t>
        </is>
      </c>
      <c r="F4777" s="2" t="n">
        <v>44480</v>
      </c>
      <c r="G4777" s="1" t="n"/>
    </row>
    <row r="4778">
      <c r="A4778" s="6" t="n">
        <v>704050</v>
      </c>
      <c r="B4778" s="6" t="inlineStr">
        <is>
          <t>VEUVE CLICQUOT BRUT YELLOW LABEL</t>
        </is>
      </c>
      <c r="C4778" s="7">
        <f>VLOOKUP(A4778,SizeData!A$2:B$3839,2,FALSE)</f>
        <v/>
      </c>
      <c r="D4778" s="6" t="n">
        <v>2</v>
      </c>
      <c r="E4778" s="6" t="inlineStr">
        <is>
          <t>R1301404</t>
        </is>
      </c>
      <c r="F4778" s="2" t="n">
        <v>44489</v>
      </c>
      <c r="G4778" s="1" t="n"/>
    </row>
    <row r="4779">
      <c r="A4779" s="6" t="n">
        <v>710806</v>
      </c>
      <c r="B4779" s="6" t="inlineStr">
        <is>
          <t>MOET &amp; CHANDON IMPERIAL</t>
        </is>
      </c>
      <c r="C4779" s="7">
        <f>VLOOKUP(A4779,SizeData!A$2:B$3839,2,FALSE)</f>
        <v/>
      </c>
      <c r="D4779" s="6" t="n">
        <v>2</v>
      </c>
      <c r="E4779" s="6" t="inlineStr">
        <is>
          <t>R1085722</t>
        </is>
      </c>
      <c r="F4779" s="2" t="n">
        <v>44287</v>
      </c>
      <c r="G4779" s="1" t="n"/>
    </row>
    <row r="4780">
      <c r="A4780" s="6" t="n">
        <v>710806</v>
      </c>
      <c r="B4780" s="6" t="inlineStr">
        <is>
          <t>MOET &amp; CHANDON IMPERIAL</t>
        </is>
      </c>
      <c r="C4780" s="7">
        <f>VLOOKUP(A4780,SizeData!A$2:B$3839,2,FALSE)</f>
        <v/>
      </c>
      <c r="D4780" s="6" t="n">
        <v>5</v>
      </c>
      <c r="E4780" s="6" t="inlineStr">
        <is>
          <t>R1105619</t>
        </is>
      </c>
      <c r="F4780" s="2" t="n">
        <v>44307</v>
      </c>
      <c r="G4780" s="1" t="n"/>
    </row>
    <row r="4781">
      <c r="A4781" s="6" t="n">
        <v>710909</v>
      </c>
      <c r="B4781" s="6" t="inlineStr">
        <is>
          <t>MOET &amp; CHANDON NECTAR IMPERIAL</t>
        </is>
      </c>
      <c r="C4781" s="7">
        <f>VLOOKUP(A4781,SizeData!A$2:B$3839,2,FALSE)</f>
        <v/>
      </c>
      <c r="D4781" s="6" t="n">
        <v>1</v>
      </c>
      <c r="E4781" s="6" t="inlineStr">
        <is>
          <t>R1047061</t>
        </is>
      </c>
      <c r="F4781" s="2" t="n">
        <v>44259</v>
      </c>
      <c r="G4781" s="1" t="n"/>
    </row>
    <row r="4782">
      <c r="A4782" s="6" t="n">
        <v>710909</v>
      </c>
      <c r="B4782" s="6" t="inlineStr">
        <is>
          <t>MOET &amp; CHANDON NECTAR IMPERIAL</t>
        </is>
      </c>
      <c r="C4782" s="7">
        <f>VLOOKUP(A4782,SizeData!A$2:B$3839,2,FALSE)</f>
        <v/>
      </c>
      <c r="D4782" s="6" t="n">
        <v>0</v>
      </c>
      <c r="E4782" s="6" t="inlineStr">
        <is>
          <t>R1263473</t>
        </is>
      </c>
      <c r="F4782" s="2" t="n">
        <v>44475</v>
      </c>
      <c r="G4782" s="1" t="n"/>
    </row>
    <row r="4783">
      <c r="A4783" s="6" t="n">
        <v>710921</v>
      </c>
      <c r="B4783" s="6" t="inlineStr">
        <is>
          <t>MOET CHANDON NECTAR IMPERIAL ROSE</t>
        </is>
      </c>
      <c r="C4783" s="7">
        <f>VLOOKUP(A4783,SizeData!A$2:B$3839,2,FALSE)</f>
        <v/>
      </c>
      <c r="D4783" s="6" t="n">
        <v>5</v>
      </c>
      <c r="E4783" s="6" t="inlineStr">
        <is>
          <t>R1008146</t>
        </is>
      </c>
      <c r="F4783" s="2" t="n">
        <v>44222</v>
      </c>
      <c r="G4783" s="1" t="n"/>
    </row>
    <row r="4784">
      <c r="A4784" s="6" t="n">
        <v>710921</v>
      </c>
      <c r="B4784" s="6" t="inlineStr">
        <is>
          <t>MOET CHANDON NECTAR IMPERIAL ROSE</t>
        </is>
      </c>
      <c r="C4784" s="7">
        <f>VLOOKUP(A4784,SizeData!A$2:B$3839,2,FALSE)</f>
        <v/>
      </c>
      <c r="D4784" s="6" t="n">
        <v>5</v>
      </c>
      <c r="E4784" s="6" t="inlineStr">
        <is>
          <t>R1025870</t>
        </is>
      </c>
      <c r="F4784" s="2" t="n">
        <v>44229</v>
      </c>
      <c r="G4784" s="1" t="n"/>
    </row>
    <row r="4785">
      <c r="A4785" s="6" t="n">
        <v>710921</v>
      </c>
      <c r="B4785" s="6" t="inlineStr">
        <is>
          <t>MOET CHANDON NECTAR IMPERIAL ROSE</t>
        </is>
      </c>
      <c r="C4785" s="7">
        <f>VLOOKUP(A4785,SizeData!A$2:B$3839,2,FALSE)</f>
        <v/>
      </c>
      <c r="D4785" s="6" t="n">
        <v>5</v>
      </c>
      <c r="E4785" s="6" t="inlineStr">
        <is>
          <t>R1025870</t>
        </is>
      </c>
      <c r="F4785" s="2" t="n">
        <v>44229</v>
      </c>
      <c r="G4785" s="1" t="n"/>
    </row>
    <row r="4786">
      <c r="A4786" s="6" t="n">
        <v>710921</v>
      </c>
      <c r="B4786" s="6" t="inlineStr">
        <is>
          <t>MOET CHANDON NECTAR IMPERIAL ROSE</t>
        </is>
      </c>
      <c r="C4786" s="7">
        <f>VLOOKUP(A4786,SizeData!A$2:B$3839,2,FALSE)</f>
        <v/>
      </c>
      <c r="D4786" s="6" t="n">
        <v>5</v>
      </c>
      <c r="E4786" s="6" t="inlineStr">
        <is>
          <t>R1105619</t>
        </is>
      </c>
      <c r="F4786" s="2" t="n">
        <v>44307</v>
      </c>
      <c r="G4786" s="1" t="n"/>
    </row>
    <row r="4787">
      <c r="A4787" s="6" t="n">
        <v>710921</v>
      </c>
      <c r="B4787" s="6" t="inlineStr">
        <is>
          <t>MOET CHANDON NECTAR IMPERIAL ROSE</t>
        </is>
      </c>
      <c r="C4787" s="7">
        <f>VLOOKUP(A4787,SizeData!A$2:B$3839,2,FALSE)</f>
        <v/>
      </c>
      <c r="D4787" s="6" t="n">
        <v>2</v>
      </c>
      <c r="E4787" s="6" t="inlineStr">
        <is>
          <t>R1103304</t>
        </is>
      </c>
      <c r="F4787" s="2" t="n">
        <v>44309</v>
      </c>
      <c r="G4787" s="1" t="n"/>
    </row>
    <row r="4788">
      <c r="A4788" s="6" t="n">
        <v>710921</v>
      </c>
      <c r="B4788" s="6" t="inlineStr">
        <is>
          <t>MOET CHANDON NECTAR IMPERIAL ROSE</t>
        </is>
      </c>
      <c r="C4788" s="7">
        <f>VLOOKUP(A4788,SizeData!A$2:B$3839,2,FALSE)</f>
        <v/>
      </c>
      <c r="D4788" s="6" t="n">
        <v>5</v>
      </c>
      <c r="E4788" s="6" t="inlineStr">
        <is>
          <t>R1099589</t>
        </is>
      </c>
      <c r="F4788" s="2" t="n">
        <v>44321</v>
      </c>
      <c r="G4788" s="1" t="n"/>
    </row>
    <row r="4789">
      <c r="A4789" s="6" t="n">
        <v>710921</v>
      </c>
      <c r="B4789" s="6" t="inlineStr">
        <is>
          <t>MOET CHANDON NECTAR IMPERIAL ROSE</t>
        </is>
      </c>
      <c r="C4789" s="7">
        <f>VLOOKUP(A4789,SizeData!A$2:B$3839,2,FALSE)</f>
        <v/>
      </c>
      <c r="D4789" s="6" t="n">
        <v>4</v>
      </c>
      <c r="E4789" s="6" t="inlineStr">
        <is>
          <t>R1274491</t>
        </is>
      </c>
      <c r="F4789" s="2" t="n">
        <v>44489</v>
      </c>
      <c r="G4789" s="1" t="n"/>
    </row>
    <row r="4790">
      <c r="A4790" s="6" t="n">
        <v>710924</v>
      </c>
      <c r="B4790" s="6" t="inlineStr">
        <is>
          <t>MOET CHANDON NECTAR ROSE</t>
        </is>
      </c>
      <c r="C4790" s="7">
        <f>VLOOKUP(A4790,SizeData!A$2:B$3839,2,FALSE)</f>
        <v/>
      </c>
      <c r="D4790" s="6" t="n">
        <v>1</v>
      </c>
      <c r="E4790" s="6" t="inlineStr">
        <is>
          <t>R997722</t>
        </is>
      </c>
      <c r="F4790" s="2" t="n">
        <v>44205</v>
      </c>
      <c r="G4790" s="1" t="n"/>
    </row>
    <row r="4791">
      <c r="A4791" s="6" t="n">
        <v>710924</v>
      </c>
      <c r="B4791" s="6" t="inlineStr">
        <is>
          <t>MOET CHANDON NECTAR ROSE</t>
        </is>
      </c>
      <c r="C4791" s="7">
        <f>VLOOKUP(A4791,SizeData!A$2:B$3839,2,FALSE)</f>
        <v/>
      </c>
      <c r="D4791" s="6" t="n">
        <v>4</v>
      </c>
      <c r="E4791" s="6" t="inlineStr">
        <is>
          <t xml:space="preserve"> R1200122</t>
        </is>
      </c>
      <c r="F4791" s="2" t="n">
        <v>44397</v>
      </c>
      <c r="G4791" s="1" t="n"/>
    </row>
    <row r="4792">
      <c r="A4792" s="6" t="n">
        <v>710925</v>
      </c>
      <c r="B4792" s="6" t="inlineStr">
        <is>
          <t>MOET CHANDON NECTAR ROSE</t>
        </is>
      </c>
      <c r="C4792" s="7">
        <f>VLOOKUP(A4792,SizeData!A$2:B$3839,2,FALSE)</f>
        <v/>
      </c>
      <c r="D4792" s="6" t="n">
        <v>9</v>
      </c>
      <c r="E4792" s="6" t="inlineStr">
        <is>
          <t>R1038176</t>
        </is>
      </c>
      <c r="F4792" s="2" t="n">
        <v>44259</v>
      </c>
      <c r="G4792" s="1" t="n"/>
    </row>
    <row r="4793">
      <c r="A4793" s="6" t="n">
        <v>710925</v>
      </c>
      <c r="B4793" s="6" t="inlineStr">
        <is>
          <t>MOET CHANDON NECTAR ROSE</t>
        </is>
      </c>
      <c r="C4793" s="7">
        <f>VLOOKUP(A4793,SizeData!A$2:B$3839,2,FALSE)</f>
        <v/>
      </c>
      <c r="D4793" s="6" t="n">
        <v>4</v>
      </c>
      <c r="E4793" s="6" t="inlineStr">
        <is>
          <t xml:space="preserve"> R1200122</t>
        </is>
      </c>
      <c r="F4793" s="2" t="n">
        <v>44397</v>
      </c>
      <c r="G4793" s="1" t="n"/>
    </row>
    <row r="4794">
      <c r="A4794" s="6" t="n">
        <v>710925</v>
      </c>
      <c r="B4794" s="6" t="inlineStr">
        <is>
          <t>MOET CHANDON NECTAR ROSE</t>
        </is>
      </c>
      <c r="C4794" s="7">
        <f>VLOOKUP(A4794,SizeData!A$2:B$3839,2,FALSE)</f>
        <v/>
      </c>
      <c r="D4794" s="6" t="n">
        <v>4</v>
      </c>
      <c r="E4794" s="6" t="inlineStr">
        <is>
          <t>R1274491</t>
        </is>
      </c>
      <c r="F4794" s="2" t="n">
        <v>44489</v>
      </c>
      <c r="G4794" s="1" t="n"/>
    </row>
    <row r="4795">
      <c r="A4795" s="6" t="n">
        <v>727277</v>
      </c>
      <c r="B4795" s="6" t="inlineStr">
        <is>
          <t>FREIXENET ITALIAN ROSE</t>
        </is>
      </c>
      <c r="C4795" s="7">
        <f>VLOOKUP(A4795,SizeData!A$2:B$3839,2,FALSE)</f>
        <v/>
      </c>
      <c r="D4795" s="6" t="n">
        <v>2</v>
      </c>
      <c r="E4795" s="6" t="inlineStr">
        <is>
          <t>R1018402</t>
        </is>
      </c>
      <c r="F4795" s="2" t="n">
        <v>44229</v>
      </c>
      <c r="G4795" s="1" t="n"/>
    </row>
    <row r="4796">
      <c r="A4796" s="6" t="n">
        <v>727277</v>
      </c>
      <c r="B4796" s="6" t="inlineStr">
        <is>
          <t>FREIXENET ITALIAN ROSE</t>
        </is>
      </c>
      <c r="C4796" s="7">
        <f>VLOOKUP(A4796,SizeData!A$2:B$3839,2,FALSE)</f>
        <v/>
      </c>
      <c r="D4796" s="6" t="n">
        <v>1</v>
      </c>
      <c r="E4796" s="6" t="inlineStr">
        <is>
          <t>R1235270</t>
        </is>
      </c>
      <c r="F4796" s="2" t="n">
        <v>44440</v>
      </c>
      <c r="G4796" s="1" t="n"/>
    </row>
    <row r="4797">
      <c r="A4797" s="6" t="n">
        <v>728795</v>
      </c>
      <c r="B4797" s="6" t="inlineStr">
        <is>
          <t>LA MARCA PROSECCO SPARKLING WINE</t>
        </is>
      </c>
      <c r="C4797" s="7">
        <f>VLOOKUP(A4797,SizeData!A$2:B$3839,2,FALSE)</f>
        <v/>
      </c>
      <c r="D4797" s="6" t="n">
        <v>4</v>
      </c>
      <c r="E4797" s="6" t="inlineStr">
        <is>
          <t>R1019806</t>
        </is>
      </c>
      <c r="F4797" s="2" t="n">
        <v>44229</v>
      </c>
      <c r="G4797" s="1" t="n"/>
    </row>
    <row r="4798">
      <c r="A4798" s="6" t="n">
        <v>728795</v>
      </c>
      <c r="B4798" s="6" t="inlineStr">
        <is>
          <t>LA MARCA PROSECCO SPARKLING WINE</t>
        </is>
      </c>
      <c r="C4798" s="7">
        <f>VLOOKUP(A4798,SizeData!A$2:B$3839,2,FALSE)</f>
        <v/>
      </c>
      <c r="D4798" s="6" t="n">
        <v>4</v>
      </c>
      <c r="E4798" s="6" t="inlineStr">
        <is>
          <t>R1022831</t>
        </is>
      </c>
      <c r="F4798" s="2" t="n">
        <v>44229</v>
      </c>
      <c r="G4798" s="1" t="n"/>
    </row>
    <row r="4799">
      <c r="A4799" s="6" t="n">
        <v>728795</v>
      </c>
      <c r="B4799" s="6" t="inlineStr">
        <is>
          <t>LA MARCA PROSECCO SPARKLING WINE</t>
        </is>
      </c>
      <c r="C4799" s="7">
        <f>VLOOKUP(A4799,SizeData!A$2:B$3839,2,FALSE)</f>
        <v/>
      </c>
      <c r="D4799" s="6" t="n">
        <v>2</v>
      </c>
      <c r="E4799" s="6" t="inlineStr">
        <is>
          <t>R1020751</t>
        </is>
      </c>
      <c r="F4799" s="2" t="n">
        <v>44229</v>
      </c>
      <c r="G4799" s="1" t="n"/>
    </row>
    <row r="4800">
      <c r="A4800" s="6" t="n">
        <v>728795</v>
      </c>
      <c r="B4800" s="6" t="inlineStr">
        <is>
          <t>LA MARCA PROSECCO SPARKLING WINE</t>
        </is>
      </c>
      <c r="C4800" s="7">
        <f>VLOOKUP(A4800,SizeData!A$2:B$3839,2,FALSE)</f>
        <v/>
      </c>
      <c r="D4800" s="6" t="n">
        <v>1</v>
      </c>
      <c r="E4800" s="6" t="inlineStr">
        <is>
          <t>R1039467</t>
        </is>
      </c>
      <c r="F4800" s="2" t="n">
        <v>44266</v>
      </c>
      <c r="G4800" s="1" t="n"/>
    </row>
    <row r="4801">
      <c r="A4801" s="6" t="n">
        <v>728795</v>
      </c>
      <c r="B4801" s="6" t="inlineStr">
        <is>
          <t>LA MARCA PROSECCO SPARKLING WINE</t>
        </is>
      </c>
      <c r="C4801" s="7">
        <f>VLOOKUP(A4801,SizeData!A$2:B$3839,2,FALSE)</f>
        <v/>
      </c>
      <c r="D4801" s="6" t="n">
        <v>4</v>
      </c>
      <c r="E4801" s="6" t="inlineStr">
        <is>
          <t>R1083538</t>
        </is>
      </c>
      <c r="F4801" s="2" t="n">
        <v>44292</v>
      </c>
      <c r="G4801" s="1" t="n"/>
    </row>
    <row r="4802">
      <c r="A4802" s="6" t="n">
        <v>728795</v>
      </c>
      <c r="B4802" s="6" t="inlineStr">
        <is>
          <t>LA MARCA PROSECCO SPARKLING WINE</t>
        </is>
      </c>
      <c r="C4802" s="7">
        <f>VLOOKUP(A4802,SizeData!A$2:B$3839,2,FALSE)</f>
        <v/>
      </c>
      <c r="D4802" s="6" t="n">
        <v>4</v>
      </c>
      <c r="E4802" s="6" t="inlineStr">
        <is>
          <t xml:space="preserve"> R1101656</t>
        </is>
      </c>
      <c r="F4802" s="2" t="n">
        <v>44313</v>
      </c>
      <c r="G4802" s="1" t="n"/>
    </row>
    <row r="4803">
      <c r="A4803" s="6" t="n">
        <v>728795</v>
      </c>
      <c r="B4803" s="6" t="inlineStr">
        <is>
          <t>LA MARCA PROSECCO SPARKLING WINE</t>
        </is>
      </c>
      <c r="C4803" s="7">
        <f>VLOOKUP(A4803,SizeData!A$2:B$3839,2,FALSE)</f>
        <v/>
      </c>
      <c r="D4803" s="6" t="n">
        <v>3</v>
      </c>
      <c r="E4803" s="6" t="inlineStr">
        <is>
          <t xml:space="preserve"> R1135574</t>
        </is>
      </c>
      <c r="F4803" s="2" t="n">
        <v>44338</v>
      </c>
      <c r="G4803" s="1" t="n"/>
    </row>
    <row r="4804">
      <c r="A4804" s="6" t="n">
        <v>728795</v>
      </c>
      <c r="B4804" s="6" t="inlineStr">
        <is>
          <t>LA MARCA PROSECCO SPARKLING WINE</t>
        </is>
      </c>
      <c r="C4804" s="7">
        <f>VLOOKUP(A4804,SizeData!A$2:B$3839,2,FALSE)</f>
        <v/>
      </c>
      <c r="D4804" s="6" t="n">
        <v>1</v>
      </c>
      <c r="E4804" s="6" t="inlineStr">
        <is>
          <t>R1135580</t>
        </is>
      </c>
      <c r="F4804" s="2" t="n">
        <v>44340</v>
      </c>
      <c r="G4804" s="1" t="n"/>
    </row>
    <row r="4805">
      <c r="A4805" s="6" t="n">
        <v>728795</v>
      </c>
      <c r="B4805" s="6" t="inlineStr">
        <is>
          <t>LA MARCA PROSECCO SPARKLING WINE</t>
        </is>
      </c>
      <c r="C4805" s="7">
        <f>VLOOKUP(A4805,SizeData!A$2:B$3839,2,FALSE)</f>
        <v/>
      </c>
      <c r="D4805" s="6" t="n">
        <v>3</v>
      </c>
      <c r="E4805" s="6" t="inlineStr">
        <is>
          <t>R1137831</t>
        </is>
      </c>
      <c r="F4805" s="2" t="n">
        <v>44348</v>
      </c>
      <c r="G4805" s="1" t="n"/>
    </row>
    <row r="4806">
      <c r="A4806" s="6" t="n">
        <v>728795</v>
      </c>
      <c r="B4806" s="6" t="inlineStr">
        <is>
          <t>LA MARCA PROSECCO SPARKLING WINE</t>
        </is>
      </c>
      <c r="C4806" s="7">
        <f>VLOOKUP(A4806,SizeData!A$2:B$3839,2,FALSE)</f>
        <v/>
      </c>
      <c r="D4806" s="6" t="n">
        <v>2</v>
      </c>
      <c r="E4806" s="6" t="inlineStr">
        <is>
          <t>R1139712</t>
        </is>
      </c>
      <c r="F4806" s="2" t="n">
        <v>44352</v>
      </c>
      <c r="G4806" s="1" t="n"/>
    </row>
    <row r="4807">
      <c r="A4807" s="6" t="n">
        <v>728795</v>
      </c>
      <c r="B4807" s="6" t="inlineStr">
        <is>
          <t>LA MARCA PROSECCO SPARKLING WINE</t>
        </is>
      </c>
      <c r="C4807" s="7">
        <f>VLOOKUP(A4807,SizeData!A$2:B$3839,2,FALSE)</f>
        <v/>
      </c>
      <c r="D4807" s="6" t="n">
        <v>6</v>
      </c>
      <c r="E4807" s="6" t="inlineStr">
        <is>
          <t>R1134134</t>
        </is>
      </c>
      <c r="F4807" s="2" t="n">
        <v>44354</v>
      </c>
      <c r="G4807" s="1" t="n"/>
    </row>
    <row r="4808">
      <c r="A4808" s="6" t="n">
        <v>728795</v>
      </c>
      <c r="B4808" s="6" t="inlineStr">
        <is>
          <t>LA MARCA PROSECCO SPARKLING WINE</t>
        </is>
      </c>
      <c r="C4808" s="7">
        <f>VLOOKUP(A4808,SizeData!A$2:B$3839,2,FALSE)</f>
        <v/>
      </c>
      <c r="D4808" s="6" t="n">
        <v>3</v>
      </c>
      <c r="E4808" s="6" t="inlineStr">
        <is>
          <t>R1152322</t>
        </is>
      </c>
      <c r="F4808" s="2" t="n">
        <v>44364</v>
      </c>
      <c r="G4808" s="1" t="n"/>
    </row>
    <row r="4809">
      <c r="A4809" s="6" t="n">
        <v>728795</v>
      </c>
      <c r="B4809" s="6" t="inlineStr">
        <is>
          <t>LA MARCA PROSECCO SPARKLING WINE</t>
        </is>
      </c>
      <c r="C4809" s="7">
        <f>VLOOKUP(A4809,SizeData!A$2:B$3839,2,FALSE)</f>
        <v/>
      </c>
      <c r="D4809" s="6" t="n">
        <v>8</v>
      </c>
      <c r="E4809" s="6" t="inlineStr">
        <is>
          <t>R1166672</t>
        </is>
      </c>
      <c r="F4809" s="2" t="n">
        <v>44375</v>
      </c>
      <c r="G4809" s="1" t="n"/>
    </row>
    <row r="4810">
      <c r="A4810" s="6" t="n">
        <v>728795</v>
      </c>
      <c r="B4810" s="6" t="inlineStr">
        <is>
          <t>LA MARCA PROSECCO SPARKLING WINE</t>
        </is>
      </c>
      <c r="C4810" s="7">
        <f>VLOOKUP(A4810,SizeData!A$2:B$3839,2,FALSE)</f>
        <v/>
      </c>
      <c r="D4810" s="6" t="n">
        <v>10</v>
      </c>
      <c r="E4810" s="6" t="inlineStr">
        <is>
          <t>R1192581</t>
        </is>
      </c>
      <c r="F4810" s="2" t="n">
        <v>44414</v>
      </c>
      <c r="G4810" s="1" t="n"/>
    </row>
    <row r="4811">
      <c r="A4811" s="6" t="n">
        <v>728795</v>
      </c>
      <c r="B4811" s="6" t="inlineStr">
        <is>
          <t>LA MARCA PROSECCO SPARKLING WINE</t>
        </is>
      </c>
      <c r="C4811" s="7">
        <f>VLOOKUP(A4811,SizeData!A$2:B$3839,2,FALSE)</f>
        <v/>
      </c>
      <c r="D4811" s="6" t="n">
        <v>6</v>
      </c>
      <c r="E4811" s="6" t="inlineStr">
        <is>
          <t>R1217867</t>
        </is>
      </c>
      <c r="F4811" s="2" t="n">
        <v>44435</v>
      </c>
      <c r="G4811" s="1" t="n"/>
    </row>
    <row r="4812">
      <c r="A4812" s="6" t="n">
        <v>728795</v>
      </c>
      <c r="B4812" s="6" t="inlineStr">
        <is>
          <t>LA MARCA PROSECCO SPARKLING WINE</t>
        </is>
      </c>
      <c r="C4812" s="7">
        <f>VLOOKUP(A4812,SizeData!A$2:B$3839,2,FALSE)</f>
        <v/>
      </c>
      <c r="D4812" s="6" t="n">
        <v>10</v>
      </c>
      <c r="E4812" s="6" t="inlineStr">
        <is>
          <t>R1270791</t>
        </is>
      </c>
      <c r="F4812" s="2" t="n">
        <v>44471</v>
      </c>
      <c r="G4812" s="1" t="n"/>
    </row>
    <row r="4813">
      <c r="A4813" s="6" t="n">
        <v>728795</v>
      </c>
      <c r="B4813" s="6" t="inlineStr">
        <is>
          <t>LA MARCA PROSECCO SPARKLING WINE</t>
        </is>
      </c>
      <c r="C4813" s="7">
        <f>VLOOKUP(A4813,SizeData!A$2:B$3839,2,FALSE)</f>
        <v/>
      </c>
      <c r="D4813" s="6" t="n">
        <v>5</v>
      </c>
      <c r="E4813" s="6" t="inlineStr">
        <is>
          <t>R1264756</t>
        </is>
      </c>
      <c r="F4813" s="2" t="n">
        <v>44472</v>
      </c>
      <c r="G4813" s="1" t="n"/>
    </row>
    <row r="4814">
      <c r="A4814" s="6" t="n">
        <v>728795</v>
      </c>
      <c r="B4814" s="6" t="inlineStr">
        <is>
          <t>LA MARCA PROSECCO SPARKLING WINE</t>
        </is>
      </c>
      <c r="C4814" s="7">
        <f>VLOOKUP(A4814,SizeData!A$2:B$3839,2,FALSE)</f>
        <v/>
      </c>
      <c r="D4814" s="6" t="n">
        <v>8</v>
      </c>
      <c r="E4814" s="6" t="inlineStr">
        <is>
          <t>R1281530</t>
        </is>
      </c>
      <c r="F4814" s="2" t="n">
        <v>44481</v>
      </c>
      <c r="G4814" s="1" t="n"/>
    </row>
    <row r="4815">
      <c r="A4815" s="6" t="n">
        <v>728795</v>
      </c>
      <c r="B4815" s="6" t="inlineStr">
        <is>
          <t>LA MARCA PROSECCO SPARKLING WINE</t>
        </is>
      </c>
      <c r="C4815" s="7">
        <f>VLOOKUP(A4815,SizeData!A$2:B$3839,2,FALSE)</f>
        <v/>
      </c>
      <c r="D4815" s="6" t="n">
        <v>5</v>
      </c>
      <c r="E4815" s="6" t="inlineStr">
        <is>
          <t>R1279942</t>
        </is>
      </c>
      <c r="F4815" s="2" t="n">
        <v>44487</v>
      </c>
      <c r="G4815" s="1" t="n"/>
    </row>
    <row r="4816">
      <c r="A4816" s="6" t="n">
        <v>728795</v>
      </c>
      <c r="B4816" s="6" t="inlineStr">
        <is>
          <t>LA MARCA PROSECCO SPARKLING WINE</t>
        </is>
      </c>
      <c r="C4816" s="7">
        <f>VLOOKUP(A4816,SizeData!A$2:B$3839,2,FALSE)</f>
        <v/>
      </c>
      <c r="D4816" s="6" t="n">
        <v>17</v>
      </c>
      <c r="E4816" s="6" t="inlineStr">
        <is>
          <t>R1347588</t>
        </is>
      </c>
      <c r="F4816" s="2" t="n">
        <v>44536</v>
      </c>
      <c r="G4816" s="1" t="n"/>
    </row>
    <row r="4817">
      <c r="A4817" s="6" t="n">
        <v>729021</v>
      </c>
      <c r="B4817" s="6" t="inlineStr">
        <is>
          <t>LUC BELAIRE ROSE</t>
        </is>
      </c>
      <c r="C4817" s="7">
        <f>VLOOKUP(A4817,SizeData!A$2:B$3839,2,FALSE)</f>
        <v/>
      </c>
      <c r="D4817" s="6" t="n">
        <v>3</v>
      </c>
      <c r="E4817" s="6" t="inlineStr">
        <is>
          <t>R1023351</t>
        </is>
      </c>
      <c r="F4817" s="2" t="n">
        <v>44229</v>
      </c>
      <c r="G4817" s="1" t="n"/>
    </row>
    <row r="4818">
      <c r="A4818" s="6" t="n">
        <v>729021</v>
      </c>
      <c r="B4818" s="6" t="inlineStr">
        <is>
          <t>LUC BELAIRE ROSE</t>
        </is>
      </c>
      <c r="C4818" s="7">
        <f>VLOOKUP(A4818,SizeData!A$2:B$3839,2,FALSE)</f>
        <v/>
      </c>
      <c r="D4818" s="6" t="n">
        <v>1</v>
      </c>
      <c r="E4818" s="6" t="inlineStr">
        <is>
          <t>R1040332</t>
        </is>
      </c>
      <c r="F4818" s="2" t="n">
        <v>44246</v>
      </c>
      <c r="G4818" s="1" t="n"/>
    </row>
    <row r="4819">
      <c r="A4819" s="6" t="n">
        <v>729021</v>
      </c>
      <c r="B4819" s="6" t="inlineStr">
        <is>
          <t>LUC BELAIRE ROSE</t>
        </is>
      </c>
      <c r="C4819" s="7">
        <f>VLOOKUP(A4819,SizeData!A$2:B$3839,2,FALSE)</f>
        <v/>
      </c>
      <c r="D4819" s="6" t="n">
        <v>2</v>
      </c>
      <c r="E4819" s="6" t="inlineStr">
        <is>
          <t>R1132471</t>
        </is>
      </c>
      <c r="F4819" s="2" t="n">
        <v>44349</v>
      </c>
      <c r="G4819" s="1" t="n"/>
    </row>
    <row r="4820">
      <c r="A4820" s="6" t="n">
        <v>729021</v>
      </c>
      <c r="B4820" s="6" t="inlineStr">
        <is>
          <t>LUC BELAIRE ROSE</t>
        </is>
      </c>
      <c r="C4820" s="7">
        <f>VLOOKUP(A4820,SizeData!A$2:B$3839,2,FALSE)</f>
        <v/>
      </c>
      <c r="D4820" s="6" t="n">
        <v>5</v>
      </c>
      <c r="E4820" s="6" t="inlineStr">
        <is>
          <t>R1187462</t>
        </is>
      </c>
      <c r="F4820" s="2" t="n">
        <v>44410</v>
      </c>
      <c r="G4820" s="1" t="n"/>
    </row>
    <row r="4821">
      <c r="A4821" s="6" t="n">
        <v>729021</v>
      </c>
      <c r="B4821" s="6" t="inlineStr">
        <is>
          <t>LUC BELAIRE ROSE</t>
        </is>
      </c>
      <c r="C4821" s="7">
        <f>VLOOKUP(A4821,SizeData!A$2:B$3839,2,FALSE)</f>
        <v/>
      </c>
      <c r="D4821" s="6" t="n">
        <v>5</v>
      </c>
      <c r="E4821" s="6" t="inlineStr">
        <is>
          <t xml:space="preserve"> R1205722</t>
        </is>
      </c>
      <c r="F4821" s="2" t="n">
        <v>44412</v>
      </c>
      <c r="G4821" s="1" t="n"/>
    </row>
    <row r="4822">
      <c r="A4822" s="6" t="n">
        <v>729021</v>
      </c>
      <c r="B4822" s="6" t="inlineStr">
        <is>
          <t>LUC BELAIRE ROSE</t>
        </is>
      </c>
      <c r="C4822" s="7">
        <f>VLOOKUP(A4822,SizeData!A$2:B$3839,2,FALSE)</f>
        <v/>
      </c>
      <c r="D4822" s="6" t="n">
        <v>0</v>
      </c>
      <c r="E4822" s="6" t="inlineStr">
        <is>
          <t>R1269954</t>
        </is>
      </c>
      <c r="F4822" s="2" t="n">
        <v>44475</v>
      </c>
      <c r="G4822" s="1" t="n"/>
    </row>
    <row r="4823">
      <c r="A4823" s="6" t="n">
        <v>729021</v>
      </c>
      <c r="B4823" s="6" t="inlineStr">
        <is>
          <t>LUC BELAIRE ROSE</t>
        </is>
      </c>
      <c r="C4823" s="7">
        <f>VLOOKUP(A4823,SizeData!A$2:B$3839,2,FALSE)</f>
        <v/>
      </c>
      <c r="D4823" s="6" t="n">
        <v>5</v>
      </c>
      <c r="E4823" s="6" t="inlineStr">
        <is>
          <t>R1297007</t>
        </is>
      </c>
      <c r="F4823" s="2" t="n">
        <v>44490</v>
      </c>
      <c r="G4823" s="1" t="n"/>
    </row>
    <row r="4824">
      <c r="A4824" s="6" t="n">
        <v>729030</v>
      </c>
      <c r="B4824" s="6" t="inlineStr">
        <is>
          <t>LUC BELAIRE ROSE</t>
        </is>
      </c>
      <c r="C4824" s="7">
        <f>VLOOKUP(A4824,SizeData!A$2:B$3839,2,FALSE)</f>
        <v/>
      </c>
      <c r="D4824" s="6" t="n">
        <v>10</v>
      </c>
      <c r="E4824" s="6" t="inlineStr">
        <is>
          <t>R1040332</t>
        </is>
      </c>
      <c r="F4824" s="2" t="n">
        <v>44246</v>
      </c>
      <c r="G4824" s="1" t="n"/>
    </row>
    <row r="4825">
      <c r="A4825" s="6" t="n">
        <v>729030</v>
      </c>
      <c r="B4825" s="6" t="inlineStr">
        <is>
          <t>LUC BELAIRE ROSE</t>
        </is>
      </c>
      <c r="C4825" s="7">
        <f>VLOOKUP(A4825,SizeData!A$2:B$3839,2,FALSE)</f>
        <v/>
      </c>
      <c r="D4825" s="6" t="n">
        <v>9</v>
      </c>
      <c r="E4825" s="6" t="inlineStr">
        <is>
          <t>R1055219</t>
        </is>
      </c>
      <c r="F4825" s="2" t="n">
        <v>44250</v>
      </c>
      <c r="G4825" s="1" t="n"/>
    </row>
    <row r="4826">
      <c r="A4826" s="6" t="n">
        <v>729030</v>
      </c>
      <c r="B4826" s="6" t="inlineStr">
        <is>
          <t>LUC BELAIRE ROSE</t>
        </is>
      </c>
      <c r="C4826" s="7">
        <f>VLOOKUP(A4826,SizeData!A$2:B$3839,2,FALSE)</f>
        <v/>
      </c>
      <c r="D4826" s="6" t="n">
        <v>9</v>
      </c>
      <c r="E4826" s="6" t="inlineStr">
        <is>
          <t>R1188262</t>
        </is>
      </c>
      <c r="F4826" s="2" t="n">
        <v>44409</v>
      </c>
      <c r="G4826" s="1" t="n"/>
    </row>
    <row r="4827">
      <c r="A4827" s="6" t="n">
        <v>729030</v>
      </c>
      <c r="B4827" s="6" t="inlineStr">
        <is>
          <t>LUC BELAIRE ROSE</t>
        </is>
      </c>
      <c r="C4827" s="7">
        <f>VLOOKUP(A4827,SizeData!A$2:B$3839,2,FALSE)</f>
        <v/>
      </c>
      <c r="D4827" s="6" t="n">
        <v>14</v>
      </c>
      <c r="E4827" s="6" t="inlineStr">
        <is>
          <t>R1194195</t>
        </is>
      </c>
      <c r="F4827" s="2" t="n">
        <v>44418</v>
      </c>
      <c r="G4827" s="1" t="n"/>
    </row>
    <row r="4828">
      <c r="A4828" s="6" t="n">
        <v>729072</v>
      </c>
      <c r="B4828" s="6" t="inlineStr">
        <is>
          <t>LUC BELAIRE LUXE</t>
        </is>
      </c>
      <c r="C4828" s="7">
        <f>VLOOKUP(A4828,SizeData!A$2:B$3839,2,FALSE)</f>
        <v/>
      </c>
      <c r="D4828" s="6" t="n">
        <v>10</v>
      </c>
      <c r="E4828" s="6" t="inlineStr">
        <is>
          <t>R1030345</t>
        </is>
      </c>
      <c r="F4828" s="2" t="n">
        <v>44235</v>
      </c>
      <c r="G4828" s="1" t="n"/>
    </row>
    <row r="4829">
      <c r="A4829" s="6" t="n">
        <v>729072</v>
      </c>
      <c r="B4829" s="6" t="inlineStr">
        <is>
          <t>LUC BELAIRE LUXE</t>
        </is>
      </c>
      <c r="C4829" s="7">
        <f>VLOOKUP(A4829,SizeData!A$2:B$3839,2,FALSE)</f>
        <v/>
      </c>
      <c r="D4829" s="6" t="n">
        <v>5</v>
      </c>
      <c r="E4829" s="6" t="inlineStr">
        <is>
          <t>R1023965</t>
        </is>
      </c>
      <c r="F4829" s="2" t="n">
        <v>44246</v>
      </c>
      <c r="G4829" s="1" t="n"/>
    </row>
    <row r="4830">
      <c r="A4830" s="6" t="n">
        <v>729072</v>
      </c>
      <c r="B4830" s="6" t="inlineStr">
        <is>
          <t>LUC BELAIRE LUXE</t>
        </is>
      </c>
      <c r="C4830" s="7">
        <f>VLOOKUP(A4830,SizeData!A$2:B$3839,2,FALSE)</f>
        <v/>
      </c>
      <c r="D4830" s="6" t="n">
        <v>5</v>
      </c>
      <c r="E4830" s="6" t="inlineStr">
        <is>
          <t>R1040332</t>
        </is>
      </c>
      <c r="F4830" s="2" t="n">
        <v>44246</v>
      </c>
      <c r="G4830" s="1" t="n"/>
    </row>
    <row r="4831">
      <c r="A4831" s="6" t="n">
        <v>729072</v>
      </c>
      <c r="B4831" s="6" t="inlineStr">
        <is>
          <t>LUC BELAIRE LUXE</t>
        </is>
      </c>
      <c r="C4831" s="7">
        <f>VLOOKUP(A4831,SizeData!A$2:B$3839,2,FALSE)</f>
        <v/>
      </c>
      <c r="D4831" s="6" t="n">
        <v>10</v>
      </c>
      <c r="E4831" s="6" t="inlineStr">
        <is>
          <t>R1029842</t>
        </is>
      </c>
      <c r="F4831" s="2" t="n">
        <v>44249</v>
      </c>
      <c r="G4831" s="1" t="n"/>
    </row>
    <row r="4832">
      <c r="A4832" s="6" t="n">
        <v>729072</v>
      </c>
      <c r="B4832" s="6" t="inlineStr">
        <is>
          <t>LUC BELAIRE LUXE</t>
        </is>
      </c>
      <c r="C4832" s="7">
        <f>VLOOKUP(A4832,SizeData!A$2:B$3839,2,FALSE)</f>
        <v/>
      </c>
      <c r="D4832" s="6" t="n">
        <v>10</v>
      </c>
      <c r="E4832" s="6" t="inlineStr">
        <is>
          <t xml:space="preserve"> R1125172</t>
        </is>
      </c>
      <c r="F4832" s="2" t="n">
        <v>44322</v>
      </c>
      <c r="G4832" s="1" t="n"/>
    </row>
    <row r="4833">
      <c r="A4833" s="6" t="n">
        <v>729072</v>
      </c>
      <c r="B4833" s="6" t="inlineStr">
        <is>
          <t>LUC BELAIRE LUXE</t>
        </is>
      </c>
      <c r="C4833" s="7">
        <f>VLOOKUP(A4833,SizeData!A$2:B$3839,2,FALSE)</f>
        <v/>
      </c>
      <c r="D4833" s="6" t="n">
        <v>5</v>
      </c>
      <c r="E4833" s="6" t="inlineStr">
        <is>
          <t>R1119856</t>
        </is>
      </c>
      <c r="F4833" s="2" t="n">
        <v>44333</v>
      </c>
      <c r="G4833" s="1" t="n"/>
    </row>
    <row r="4834">
      <c r="A4834" s="6" t="n">
        <v>729072</v>
      </c>
      <c r="B4834" s="6" t="inlineStr">
        <is>
          <t>LUC BELAIRE LUXE</t>
        </is>
      </c>
      <c r="C4834" s="7">
        <f>VLOOKUP(A4834,SizeData!A$2:B$3839,2,FALSE)</f>
        <v/>
      </c>
      <c r="D4834" s="6" t="n">
        <v>8</v>
      </c>
      <c r="E4834" s="6" t="inlineStr">
        <is>
          <t>R1126982</t>
        </is>
      </c>
      <c r="F4834" s="2" t="n">
        <v>44338</v>
      </c>
      <c r="G4834" s="1" t="n"/>
    </row>
    <row r="4835">
      <c r="A4835" s="6" t="n">
        <v>729072</v>
      </c>
      <c r="B4835" s="6" t="inlineStr">
        <is>
          <t>LUC BELAIRE LUXE</t>
        </is>
      </c>
      <c r="C4835" s="7">
        <f>VLOOKUP(A4835,SizeData!A$2:B$3839,2,FALSE)</f>
        <v/>
      </c>
      <c r="D4835" s="6" t="n">
        <v>20</v>
      </c>
      <c r="E4835" s="6" t="inlineStr">
        <is>
          <t>R1187462</t>
        </is>
      </c>
      <c r="F4835" s="2" t="n">
        <v>44410</v>
      </c>
      <c r="G4835" s="1" t="n"/>
    </row>
    <row r="4836">
      <c r="A4836" s="6" t="n">
        <v>729072</v>
      </c>
      <c r="B4836" s="6" t="inlineStr">
        <is>
          <t>LUC BELAIRE LUXE</t>
        </is>
      </c>
      <c r="C4836" s="7">
        <f>VLOOKUP(A4836,SizeData!A$2:B$3839,2,FALSE)</f>
        <v/>
      </c>
      <c r="D4836" s="6" t="n">
        <v>17</v>
      </c>
      <c r="E4836" s="6" t="inlineStr">
        <is>
          <t>R1293939</t>
        </is>
      </c>
      <c r="F4836" s="2" t="n">
        <v>44501</v>
      </c>
      <c r="G4836" s="1" t="n"/>
    </row>
    <row r="4837">
      <c r="A4837" s="6" t="n">
        <v>729080</v>
      </c>
      <c r="B4837" s="6" t="inlineStr">
        <is>
          <t>LUC BELAIRE BRUT GOLD</t>
        </is>
      </c>
      <c r="C4837" s="7">
        <f>VLOOKUP(A4837,SizeData!A$2:B$3839,2,FALSE)</f>
        <v/>
      </c>
      <c r="D4837" s="6" t="n">
        <v>6</v>
      </c>
      <c r="E4837" s="6" t="inlineStr">
        <is>
          <t>R1022831</t>
        </is>
      </c>
      <c r="F4837" s="2" t="n">
        <v>44229</v>
      </c>
      <c r="G4837" s="1" t="n"/>
    </row>
    <row r="4838">
      <c r="A4838" s="6" t="n">
        <v>729080</v>
      </c>
      <c r="B4838" s="6" t="inlineStr">
        <is>
          <t>LUC BELAIRE BRUT GOLD</t>
        </is>
      </c>
      <c r="C4838" s="7">
        <f>VLOOKUP(A4838,SizeData!A$2:B$3839,2,FALSE)</f>
        <v/>
      </c>
      <c r="D4838" s="6" t="n">
        <v>1</v>
      </c>
      <c r="E4838" s="6" t="inlineStr">
        <is>
          <t>R1126982</t>
        </is>
      </c>
      <c r="F4838" s="2" t="n">
        <v>44338</v>
      </c>
      <c r="G4838" s="1" t="n"/>
    </row>
    <row r="4839">
      <c r="A4839" s="6" t="n">
        <v>729080</v>
      </c>
      <c r="B4839" s="6" t="inlineStr">
        <is>
          <t>LUC BELAIRE BRUT GOLD</t>
        </is>
      </c>
      <c r="C4839" s="7">
        <f>VLOOKUP(A4839,SizeData!A$2:B$3839,2,FALSE)</f>
        <v/>
      </c>
      <c r="D4839" s="6" t="n">
        <v>6</v>
      </c>
      <c r="E4839" s="6" t="inlineStr">
        <is>
          <t>R1188262</t>
        </is>
      </c>
      <c r="F4839" s="2" t="n">
        <v>44409</v>
      </c>
      <c r="G4839" s="1" t="n"/>
    </row>
    <row r="4840">
      <c r="A4840" s="6" t="n">
        <v>729080</v>
      </c>
      <c r="B4840" s="6" t="inlineStr">
        <is>
          <t>LUC BELAIRE BRUT GOLD</t>
        </is>
      </c>
      <c r="C4840" s="7">
        <f>VLOOKUP(A4840,SizeData!A$2:B$3839,2,FALSE)</f>
        <v/>
      </c>
      <c r="D4840" s="6" t="n">
        <v>6</v>
      </c>
      <c r="E4840" s="6" t="inlineStr">
        <is>
          <t>R1321523</t>
        </is>
      </c>
      <c r="F4840" s="2" t="n">
        <v>44508</v>
      </c>
      <c r="G4840" s="1" t="n"/>
    </row>
    <row r="4841">
      <c r="A4841" s="6" t="n">
        <v>729081</v>
      </c>
      <c r="B4841" s="6" t="inlineStr">
        <is>
          <t>LUC BELAIRE LUXE ROSE SPARKLING</t>
        </is>
      </c>
      <c r="C4841" s="7">
        <f>VLOOKUP(A4841,SizeData!A$2:B$3839,2,FALSE)</f>
        <v/>
      </c>
      <c r="D4841" s="6" t="n">
        <v>2</v>
      </c>
      <c r="E4841" s="6" t="inlineStr">
        <is>
          <t>R1269954</t>
        </is>
      </c>
      <c r="F4841" s="2" t="n">
        <v>44475</v>
      </c>
      <c r="G4841" s="1" t="n"/>
    </row>
    <row r="4842">
      <c r="A4842" s="6" t="n">
        <v>729082</v>
      </c>
      <c r="B4842" s="6" t="inlineStr">
        <is>
          <t>LUC BELAIRE LUXE ROSE</t>
        </is>
      </c>
      <c r="C4842" s="7">
        <f>VLOOKUP(A4842,SizeData!A$2:B$3839,2,FALSE)</f>
        <v/>
      </c>
      <c r="D4842" s="6" t="n">
        <v>10</v>
      </c>
      <c r="E4842" s="6" t="inlineStr">
        <is>
          <t>R1023351</t>
        </is>
      </c>
      <c r="F4842" s="2" t="n">
        <v>44229</v>
      </c>
      <c r="G4842" s="1" t="n"/>
    </row>
    <row r="4843">
      <c r="A4843" s="6" t="n">
        <v>729082</v>
      </c>
      <c r="B4843" s="6" t="inlineStr">
        <is>
          <t>LUC BELAIRE LUXE ROSE</t>
        </is>
      </c>
      <c r="C4843" s="7">
        <f>VLOOKUP(A4843,SizeData!A$2:B$3839,2,FALSE)</f>
        <v/>
      </c>
      <c r="D4843" s="6" t="n">
        <v>1</v>
      </c>
      <c r="E4843" s="6" t="inlineStr">
        <is>
          <t>R1023351</t>
        </is>
      </c>
      <c r="F4843" s="2" t="n">
        <v>44229</v>
      </c>
      <c r="G4843" s="1" t="n"/>
    </row>
    <row r="4844">
      <c r="A4844" s="6" t="n">
        <v>729082</v>
      </c>
      <c r="B4844" s="6" t="inlineStr">
        <is>
          <t>LUC BELAIRE LUXE ROSE</t>
        </is>
      </c>
      <c r="C4844" s="7">
        <f>VLOOKUP(A4844,SizeData!A$2:B$3839,2,FALSE)</f>
        <v/>
      </c>
      <c r="D4844" s="6" t="n">
        <v>2</v>
      </c>
      <c r="E4844" s="6" t="inlineStr">
        <is>
          <t>R1029842</t>
        </is>
      </c>
      <c r="F4844" s="2" t="n">
        <v>44249</v>
      </c>
      <c r="G4844" s="1" t="n"/>
    </row>
    <row r="4845">
      <c r="A4845" s="6" t="n">
        <v>729082</v>
      </c>
      <c r="B4845" s="6" t="inlineStr">
        <is>
          <t>LUC BELAIRE LUXE ROSE</t>
        </is>
      </c>
      <c r="C4845" s="7">
        <f>VLOOKUP(A4845,SizeData!A$2:B$3839,2,FALSE)</f>
        <v/>
      </c>
      <c r="D4845" s="6" t="n">
        <v>3</v>
      </c>
      <c r="E4845" s="6" t="inlineStr">
        <is>
          <t>R1126982</t>
        </is>
      </c>
      <c r="F4845" s="2" t="n">
        <v>44338</v>
      </c>
      <c r="G4845" s="1" t="n"/>
    </row>
    <row r="4846">
      <c r="A4846" s="6" t="n">
        <v>729082</v>
      </c>
      <c r="B4846" s="6" t="inlineStr">
        <is>
          <t>LUC BELAIRE LUXE ROSE</t>
        </is>
      </c>
      <c r="C4846" s="7">
        <f>VLOOKUP(A4846,SizeData!A$2:B$3839,2,FALSE)</f>
        <v/>
      </c>
      <c r="D4846" s="6" t="n">
        <v>3</v>
      </c>
      <c r="E4846" s="6" t="inlineStr">
        <is>
          <t>R1139038</t>
        </is>
      </c>
      <c r="F4846" s="2" t="n">
        <v>44352</v>
      </c>
      <c r="G4846" s="1" t="n"/>
    </row>
    <row r="4847">
      <c r="A4847" s="6" t="n">
        <v>729082</v>
      </c>
      <c r="B4847" s="6" t="inlineStr">
        <is>
          <t>LUC BELAIRE LUXE ROSE</t>
        </is>
      </c>
      <c r="C4847" s="7">
        <f>VLOOKUP(A4847,SizeData!A$2:B$3839,2,FALSE)</f>
        <v/>
      </c>
      <c r="D4847" s="6" t="n">
        <v>4</v>
      </c>
      <c r="E4847" s="6" t="inlineStr">
        <is>
          <t>R1163907</t>
        </is>
      </c>
      <c r="F4847" s="2" t="n">
        <v>44373</v>
      </c>
      <c r="G4847" s="1" t="n"/>
    </row>
    <row r="4848">
      <c r="A4848" s="6" t="n">
        <v>729082</v>
      </c>
      <c r="B4848" s="6" t="inlineStr">
        <is>
          <t>LUC BELAIRE LUXE ROSE</t>
        </is>
      </c>
      <c r="C4848" s="7">
        <f>VLOOKUP(A4848,SizeData!A$2:B$3839,2,FALSE)</f>
        <v/>
      </c>
      <c r="D4848" s="6" t="n">
        <v>1</v>
      </c>
      <c r="E4848" s="6" t="inlineStr">
        <is>
          <t>R1171618</t>
        </is>
      </c>
      <c r="F4848" s="2" t="n">
        <v>44380</v>
      </c>
      <c r="G4848" s="1" t="n"/>
    </row>
    <row r="4849">
      <c r="A4849" s="6" t="n">
        <v>729082</v>
      </c>
      <c r="B4849" s="6" t="inlineStr">
        <is>
          <t>LUC BELAIRE LUXE ROSE</t>
        </is>
      </c>
      <c r="C4849" s="7">
        <f>VLOOKUP(A4849,SizeData!A$2:B$3839,2,FALSE)</f>
        <v/>
      </c>
      <c r="D4849" s="6" t="n">
        <v>20</v>
      </c>
      <c r="E4849" s="6" t="inlineStr">
        <is>
          <t>R1187462</t>
        </is>
      </c>
      <c r="F4849" s="2" t="n">
        <v>44410</v>
      </c>
      <c r="G4849" s="1" t="n"/>
    </row>
    <row r="4850">
      <c r="A4850" s="6" t="n">
        <v>729082</v>
      </c>
      <c r="B4850" s="6" t="inlineStr">
        <is>
          <t>LUC BELAIRE LUXE ROSE</t>
        </is>
      </c>
      <c r="C4850" s="7">
        <f>VLOOKUP(A4850,SizeData!A$2:B$3839,2,FALSE)</f>
        <v/>
      </c>
      <c r="D4850" s="6" t="n">
        <v>0</v>
      </c>
      <c r="E4850" s="6" t="inlineStr">
        <is>
          <t>R1283220</t>
        </is>
      </c>
      <c r="F4850" s="2" t="n">
        <v>44483</v>
      </c>
      <c r="G4850" s="1" t="n"/>
    </row>
    <row r="4851">
      <c r="A4851" s="6" t="n">
        <v>729082</v>
      </c>
      <c r="B4851" s="6" t="inlineStr">
        <is>
          <t>LUC BELAIRE LUXE ROSE</t>
        </is>
      </c>
      <c r="C4851" s="7">
        <f>VLOOKUP(A4851,SizeData!A$2:B$3839,2,FALSE)</f>
        <v/>
      </c>
      <c r="D4851" s="6" t="n">
        <v>25</v>
      </c>
      <c r="E4851" s="6" t="inlineStr">
        <is>
          <t>R1321523</t>
        </is>
      </c>
      <c r="F4851" s="2" t="n">
        <v>44508</v>
      </c>
      <c r="G4851" s="1" t="n"/>
    </row>
    <row r="4852">
      <c r="A4852" s="6" t="n">
        <v>729155</v>
      </c>
      <c r="B4852" s="6" t="inlineStr">
        <is>
          <t>MARTINI &amp; ROSSI ASTI SPUMANTE</t>
        </is>
      </c>
      <c r="C4852" s="7">
        <f>VLOOKUP(A4852,SizeData!A$2:B$3839,2,FALSE)</f>
        <v/>
      </c>
      <c r="D4852" s="6" t="n">
        <v>1</v>
      </c>
      <c r="E4852" s="6" t="inlineStr">
        <is>
          <t>R1099557</t>
        </is>
      </c>
      <c r="F4852" s="2" t="n">
        <v>44317</v>
      </c>
      <c r="G4852" s="1" t="n"/>
    </row>
    <row r="4853">
      <c r="A4853" s="6" t="n">
        <v>729155</v>
      </c>
      <c r="B4853" s="6" t="inlineStr">
        <is>
          <t>MARTINI &amp; ROSSI ASTI SPUMANTE</t>
        </is>
      </c>
      <c r="C4853" s="7">
        <f>VLOOKUP(A4853,SizeData!A$2:B$3839,2,FALSE)</f>
        <v/>
      </c>
      <c r="D4853" s="6" t="n">
        <v>1</v>
      </c>
      <c r="E4853" s="6" t="inlineStr">
        <is>
          <t xml:space="preserve"> R1114563</t>
        </is>
      </c>
      <c r="F4853" s="2" t="n">
        <v>44334</v>
      </c>
      <c r="G4853" s="1" t="n"/>
    </row>
    <row r="4854">
      <c r="A4854" s="6" t="n">
        <v>729155</v>
      </c>
      <c r="B4854" s="6" t="inlineStr">
        <is>
          <t>MARTINI &amp; ROSSI ASTI SPUMANTE</t>
        </is>
      </c>
      <c r="C4854" s="7">
        <f>VLOOKUP(A4854,SizeData!A$2:B$3839,2,FALSE)</f>
        <v/>
      </c>
      <c r="D4854" s="6" t="n">
        <v>2</v>
      </c>
      <c r="E4854" s="6" t="inlineStr">
        <is>
          <t>R1128764</t>
        </is>
      </c>
      <c r="F4854" s="2" t="n">
        <v>44336</v>
      </c>
      <c r="G4854" s="1" t="n"/>
    </row>
    <row r="4855">
      <c r="A4855" s="6" t="n">
        <v>729155</v>
      </c>
      <c r="B4855" s="6" t="inlineStr">
        <is>
          <t>MARTINI &amp; ROSSI ASTI SPUMANTE</t>
        </is>
      </c>
      <c r="C4855" s="7">
        <f>VLOOKUP(A4855,SizeData!A$2:B$3839,2,FALSE)</f>
        <v/>
      </c>
      <c r="D4855" s="6" t="n">
        <v>2</v>
      </c>
      <c r="E4855" s="6" t="inlineStr">
        <is>
          <t>R1206028</t>
        </is>
      </c>
      <c r="F4855" s="2" t="n">
        <v>44417</v>
      </c>
      <c r="G4855" s="1" t="n"/>
    </row>
    <row r="4856">
      <c r="A4856" s="6" t="n">
        <v>729155</v>
      </c>
      <c r="B4856" s="6" t="inlineStr">
        <is>
          <t>MARTINI &amp; ROSSI ASTI SPUMANTE</t>
        </is>
      </c>
      <c r="C4856" s="7">
        <f>VLOOKUP(A4856,SizeData!A$2:B$3839,2,FALSE)</f>
        <v/>
      </c>
      <c r="D4856" s="6" t="n">
        <v>2</v>
      </c>
      <c r="E4856" s="6" t="inlineStr">
        <is>
          <t>R1328617</t>
        </is>
      </c>
      <c r="F4856" s="2" t="n">
        <v>44517</v>
      </c>
      <c r="G4856" s="1" t="n"/>
    </row>
    <row r="4857">
      <c r="A4857" s="6" t="n">
        <v>729155</v>
      </c>
      <c r="B4857" s="6" t="inlineStr">
        <is>
          <t>MARTINI &amp; ROSSI ASTI SPUMANTE</t>
        </is>
      </c>
      <c r="C4857" s="7">
        <f>VLOOKUP(A4857,SizeData!A$2:B$3839,2,FALSE)</f>
        <v/>
      </c>
      <c r="D4857" s="6" t="n">
        <v>2</v>
      </c>
      <c r="E4857" s="6" t="inlineStr">
        <is>
          <t>R1360134</t>
        </is>
      </c>
      <c r="F4857" s="2" t="n">
        <v>44532</v>
      </c>
      <c r="G4857" s="1" t="n"/>
    </row>
    <row r="4858">
      <c r="A4858" s="6" t="n">
        <v>729160</v>
      </c>
      <c r="B4858" s="6" t="inlineStr">
        <is>
          <t>MARTINI &amp; ROSSI ASTI SPUMANTE</t>
        </is>
      </c>
      <c r="C4858" s="7">
        <f>VLOOKUP(A4858,SizeData!A$2:B$3839,2,FALSE)</f>
        <v/>
      </c>
      <c r="D4858" s="6" t="n">
        <v>8</v>
      </c>
      <c r="E4858" s="6" t="inlineStr">
        <is>
          <t>R1122902</t>
        </is>
      </c>
      <c r="F4858" s="2" t="n">
        <v>44329</v>
      </c>
      <c r="G4858" s="1" t="n"/>
    </row>
    <row r="4859">
      <c r="A4859" s="6" t="n">
        <v>729215</v>
      </c>
      <c r="B4859" s="6" t="inlineStr">
        <is>
          <t>MARTINI &amp; ROSSI ROSE SPARKLING</t>
        </is>
      </c>
      <c r="C4859" s="7">
        <f>VLOOKUP(A4859,SizeData!A$2:B$3839,2,FALSE)</f>
        <v/>
      </c>
      <c r="D4859" s="6" t="n">
        <v>1</v>
      </c>
      <c r="E4859" s="6" t="inlineStr">
        <is>
          <t>R1073603</t>
        </is>
      </c>
      <c r="F4859" s="2" t="n">
        <v>44280</v>
      </c>
      <c r="G4859" s="1" t="n"/>
    </row>
    <row r="4860">
      <c r="A4860" s="6" t="n">
        <v>729215</v>
      </c>
      <c r="B4860" s="6" t="inlineStr">
        <is>
          <t>MARTINI &amp; ROSSI ROSE SPARKLING</t>
        </is>
      </c>
      <c r="C4860" s="7">
        <f>VLOOKUP(A4860,SizeData!A$2:B$3839,2,FALSE)</f>
        <v/>
      </c>
      <c r="D4860" s="6" t="n">
        <v>1</v>
      </c>
      <c r="E4860" s="6" t="inlineStr">
        <is>
          <t>R1117739</t>
        </is>
      </c>
      <c r="F4860" s="2" t="n">
        <v>44328</v>
      </c>
      <c r="G4860" s="1" t="n"/>
    </row>
    <row r="4861">
      <c r="A4861" s="6" t="n">
        <v>729215</v>
      </c>
      <c r="B4861" s="6" t="inlineStr">
        <is>
          <t>MARTINI &amp; ROSSI ROSE SPARKLING</t>
        </is>
      </c>
      <c r="C4861" s="7">
        <f>VLOOKUP(A4861,SizeData!A$2:B$3839,2,FALSE)</f>
        <v/>
      </c>
      <c r="D4861" s="6" t="n">
        <v>2</v>
      </c>
      <c r="E4861" s="6" t="inlineStr">
        <is>
          <t>R1206028</t>
        </is>
      </c>
      <c r="F4861" s="2" t="n">
        <v>44417</v>
      </c>
      <c r="G4861" s="1" t="n"/>
    </row>
    <row r="4862">
      <c r="A4862" s="6" t="n">
        <v>730200</v>
      </c>
      <c r="B4862" s="6" t="inlineStr">
        <is>
          <t>MONTSARRA CAVA BRUT</t>
        </is>
      </c>
      <c r="C4862" s="7">
        <f>VLOOKUP(A4862,SizeData!A$2:B$3839,2,FALSE)</f>
        <v/>
      </c>
      <c r="D4862" s="6" t="n">
        <v>1</v>
      </c>
      <c r="E4862" s="6" t="inlineStr">
        <is>
          <t>R1270963</t>
        </is>
      </c>
      <c r="F4862" s="2" t="n">
        <v>44470</v>
      </c>
      <c r="G4862" s="1" t="n"/>
    </row>
    <row r="4863">
      <c r="A4863" s="6" t="n">
        <v>734272</v>
      </c>
      <c r="B4863" s="6" t="inlineStr">
        <is>
          <t>STELLA ROSA BLACK LUX</t>
        </is>
      </c>
      <c r="C4863" s="7">
        <f>VLOOKUP(A4863,SizeData!A$2:B$3839,2,FALSE)</f>
        <v/>
      </c>
      <c r="D4863" s="6" t="n">
        <v>2</v>
      </c>
      <c r="E4863" s="6" t="inlineStr">
        <is>
          <t xml:space="preserve"> R1223918</t>
        </is>
      </c>
      <c r="F4863" s="2" t="n">
        <v>44434</v>
      </c>
      <c r="G4863" s="1" t="n"/>
    </row>
    <row r="4864">
      <c r="A4864" s="6" t="n">
        <v>734350</v>
      </c>
      <c r="B4864" s="6" t="inlineStr">
        <is>
          <t>SWEET BITCH MOSCATO PINK BUBBLY</t>
        </is>
      </c>
      <c r="C4864" s="7">
        <f>VLOOKUP(A4864,SizeData!A$2:B$3839,2,FALSE)</f>
        <v/>
      </c>
      <c r="D4864" s="6" t="n">
        <v>5</v>
      </c>
      <c r="E4864" s="6" t="inlineStr">
        <is>
          <t>R1001511</t>
        </is>
      </c>
      <c r="F4864" s="2" t="n">
        <v>44208</v>
      </c>
      <c r="G4864" s="1" t="n"/>
    </row>
    <row r="4865">
      <c r="A4865" s="6" t="n">
        <v>734350</v>
      </c>
      <c r="B4865" s="6" t="inlineStr">
        <is>
          <t>SWEET BITCH MOSCATO PINK BUBBLY</t>
        </is>
      </c>
      <c r="C4865" s="7">
        <f>VLOOKUP(A4865,SizeData!A$2:B$3839,2,FALSE)</f>
        <v/>
      </c>
      <c r="D4865" s="6" t="n">
        <v>5</v>
      </c>
      <c r="E4865" s="6" t="inlineStr">
        <is>
          <t>R997848</t>
        </is>
      </c>
      <c r="F4865" s="2" t="n">
        <v>44212</v>
      </c>
      <c r="G4865" s="1" t="n"/>
    </row>
    <row r="4866">
      <c r="A4866" s="6" t="n">
        <v>735551</v>
      </c>
      <c r="B4866" s="6" t="inlineStr">
        <is>
          <t>BANFI ROSA REGALE BRACHETTO D'ACQUI</t>
        </is>
      </c>
      <c r="C4866" s="7">
        <f>VLOOKUP(A4866,SizeData!A$2:B$3839,2,FALSE)</f>
        <v/>
      </c>
      <c r="D4866" s="6" t="n">
        <v>1</v>
      </c>
      <c r="E4866" s="6" t="inlineStr">
        <is>
          <t>R1029260</t>
        </is>
      </c>
      <c r="F4866" s="2" t="n">
        <v>44240</v>
      </c>
      <c r="G4866" s="1" t="n"/>
    </row>
    <row r="4867">
      <c r="A4867" s="6" t="n">
        <v>735551</v>
      </c>
      <c r="B4867" s="6" t="inlineStr">
        <is>
          <t>BANFI ROSA REGALE BRACHETTO D'ACQUI</t>
        </is>
      </c>
      <c r="C4867" s="7">
        <f>VLOOKUP(A4867,SizeData!A$2:B$3839,2,FALSE)</f>
        <v/>
      </c>
      <c r="D4867" s="6" t="n">
        <v>1</v>
      </c>
      <c r="E4867" s="6" t="inlineStr">
        <is>
          <t>R1116842</t>
        </is>
      </c>
      <c r="F4867" s="2" t="n">
        <v>44324</v>
      </c>
      <c r="G4867" s="1" t="n"/>
    </row>
    <row r="4868">
      <c r="A4868" s="6" t="n">
        <v>735551</v>
      </c>
      <c r="B4868" s="6" t="inlineStr">
        <is>
          <t>BANFI ROSA REGALE BRACHETTO D'ACQUI</t>
        </is>
      </c>
      <c r="C4868" s="7">
        <f>VLOOKUP(A4868,SizeData!A$2:B$3839,2,FALSE)</f>
        <v/>
      </c>
      <c r="D4868" s="6" t="n">
        <v>1</v>
      </c>
      <c r="E4868" s="6" t="inlineStr">
        <is>
          <t>R1284504</t>
        </is>
      </c>
      <c r="F4868" s="2" t="n">
        <v>44485</v>
      </c>
      <c r="G4868" s="1" t="n"/>
    </row>
    <row r="4869">
      <c r="A4869" s="6" t="n">
        <v>741200</v>
      </c>
      <c r="B4869" s="6" t="inlineStr">
        <is>
          <t>ANDRE EXTRA DRY CHAMPAGNE</t>
        </is>
      </c>
      <c r="C4869" s="7">
        <f>VLOOKUP(A4869,SizeData!A$2:B$3839,2,FALSE)</f>
        <v/>
      </c>
      <c r="D4869" s="6" t="n">
        <v>5</v>
      </c>
      <c r="E4869" s="6" t="inlineStr">
        <is>
          <t>R1101961</t>
        </is>
      </c>
      <c r="F4869" s="2" t="n">
        <v>44320</v>
      </c>
      <c r="G4869" s="1" t="n"/>
    </row>
    <row r="4870">
      <c r="A4870" s="6" t="n">
        <v>741200</v>
      </c>
      <c r="B4870" s="6" t="inlineStr">
        <is>
          <t>ANDRE EXTRA DRY CHAMPAGNE</t>
        </is>
      </c>
      <c r="C4870" s="7">
        <f>VLOOKUP(A4870,SizeData!A$2:B$3839,2,FALSE)</f>
        <v/>
      </c>
      <c r="D4870" s="6" t="n">
        <v>6</v>
      </c>
      <c r="E4870" s="6" t="inlineStr">
        <is>
          <t>R1115877</t>
        </is>
      </c>
      <c r="F4870" s="2" t="n">
        <v>44329</v>
      </c>
      <c r="G4870" s="1" t="n"/>
    </row>
    <row r="4871">
      <c r="A4871" s="6" t="n">
        <v>741200</v>
      </c>
      <c r="B4871" s="6" t="inlineStr">
        <is>
          <t>ANDRE EXTRA DRY CHAMPAGNE</t>
        </is>
      </c>
      <c r="C4871" s="7">
        <f>VLOOKUP(A4871,SizeData!A$2:B$3839,2,FALSE)</f>
        <v/>
      </c>
      <c r="D4871" s="6" t="n">
        <v>3</v>
      </c>
      <c r="E4871" s="6" t="inlineStr">
        <is>
          <t>R1136661</t>
        </is>
      </c>
      <c r="F4871" s="2" t="n">
        <v>44343</v>
      </c>
      <c r="G4871" s="1" t="n"/>
    </row>
    <row r="4872">
      <c r="A4872" s="6" t="n">
        <v>741200</v>
      </c>
      <c r="B4872" s="6" t="inlineStr">
        <is>
          <t>ANDRE EXTRA DRY CHAMPAGNE</t>
        </is>
      </c>
      <c r="C4872" s="7">
        <f>VLOOKUP(A4872,SizeData!A$2:B$3839,2,FALSE)</f>
        <v/>
      </c>
      <c r="D4872" s="6" t="n">
        <v>3</v>
      </c>
      <c r="E4872" s="6" t="inlineStr">
        <is>
          <t>R1170994</t>
        </is>
      </c>
      <c r="F4872" s="2" t="n">
        <v>44394</v>
      </c>
      <c r="G4872" s="1" t="n"/>
    </row>
    <row r="4873">
      <c r="A4873" s="6" t="n">
        <v>741200</v>
      </c>
      <c r="B4873" s="6" t="inlineStr">
        <is>
          <t>ANDRE EXTRA DRY CHAMPAGNE</t>
        </is>
      </c>
      <c r="C4873" s="7">
        <f>VLOOKUP(A4873,SizeData!A$2:B$3839,2,FALSE)</f>
        <v/>
      </c>
      <c r="D4873" s="6" t="n">
        <v>3</v>
      </c>
      <c r="E4873" s="6" t="inlineStr">
        <is>
          <t>R1235270</t>
        </is>
      </c>
      <c r="F4873" s="2" t="n">
        <v>44440</v>
      </c>
      <c r="G4873" s="1" t="n"/>
    </row>
    <row r="4874">
      <c r="A4874" s="6" t="n">
        <v>741200</v>
      </c>
      <c r="B4874" s="6" t="inlineStr">
        <is>
          <t>ANDRE EXTRA DRY CHAMPAGNE</t>
        </is>
      </c>
      <c r="C4874" s="7">
        <f>VLOOKUP(A4874,SizeData!A$2:B$3839,2,FALSE)</f>
        <v/>
      </c>
      <c r="D4874" s="6" t="n">
        <v>4</v>
      </c>
      <c r="E4874" s="6" t="inlineStr">
        <is>
          <t>R1246630</t>
        </is>
      </c>
      <c r="F4874" s="2" t="n">
        <v>44450</v>
      </c>
      <c r="G4874" s="1" t="n"/>
    </row>
    <row r="4875">
      <c r="A4875" s="6" t="n">
        <v>741200</v>
      </c>
      <c r="B4875" s="6" t="inlineStr">
        <is>
          <t>ANDRE EXTRA DRY CHAMPAGNE</t>
        </is>
      </c>
      <c r="C4875" s="7">
        <f>VLOOKUP(A4875,SizeData!A$2:B$3839,2,FALSE)</f>
        <v/>
      </c>
      <c r="D4875" s="6" t="n">
        <v>2</v>
      </c>
      <c r="E4875" s="6" t="inlineStr">
        <is>
          <t>R1260244</t>
        </is>
      </c>
      <c r="F4875" s="2" t="n">
        <v>44457</v>
      </c>
      <c r="G4875" s="1" t="n"/>
    </row>
    <row r="4876">
      <c r="A4876" s="6" t="n">
        <v>741200</v>
      </c>
      <c r="B4876" s="6" t="inlineStr">
        <is>
          <t>ANDRE EXTRA DRY CHAMPAGNE</t>
        </is>
      </c>
      <c r="C4876" s="7">
        <f>VLOOKUP(A4876,SizeData!A$2:B$3839,2,FALSE)</f>
        <v/>
      </c>
      <c r="D4876" s="6" t="n">
        <v>5</v>
      </c>
      <c r="E4876" s="6" t="inlineStr">
        <is>
          <t>R1256874</t>
        </is>
      </c>
      <c r="F4876" s="2" t="n">
        <v>44469</v>
      </c>
      <c r="G4876" s="1" t="n"/>
    </row>
    <row r="4877">
      <c r="A4877" s="6" t="n">
        <v>741200</v>
      </c>
      <c r="B4877" s="6" t="inlineStr">
        <is>
          <t>ANDRE EXTRA DRY CHAMPAGNE</t>
        </is>
      </c>
      <c r="C4877" s="7">
        <f>VLOOKUP(A4877,SizeData!A$2:B$3839,2,FALSE)</f>
        <v/>
      </c>
      <c r="D4877" s="6" t="n">
        <v>5</v>
      </c>
      <c r="E4877" s="6" t="inlineStr">
        <is>
          <t>R1266258</t>
        </is>
      </c>
      <c r="F4877" s="2" t="n">
        <v>44469</v>
      </c>
      <c r="G4877" s="1" t="n"/>
    </row>
    <row r="4878">
      <c r="A4878" s="6" t="n">
        <v>741200</v>
      </c>
      <c r="B4878" s="6" t="inlineStr">
        <is>
          <t>ANDRE EXTRA DRY CHAMPAGNE</t>
        </is>
      </c>
      <c r="C4878" s="7">
        <f>VLOOKUP(A4878,SizeData!A$2:B$3839,2,FALSE)</f>
        <v/>
      </c>
      <c r="D4878" s="6" t="n">
        <v>10</v>
      </c>
      <c r="E4878" s="6" t="inlineStr">
        <is>
          <t>R1308474</t>
        </is>
      </c>
      <c r="F4878" s="2" t="n">
        <v>44505</v>
      </c>
      <c r="G4878" s="1" t="n"/>
    </row>
    <row r="4879">
      <c r="A4879" s="6" t="n">
        <v>741200</v>
      </c>
      <c r="B4879" s="6" t="inlineStr">
        <is>
          <t>ANDRE EXTRA DRY CHAMPAGNE</t>
        </is>
      </c>
      <c r="C4879" s="7">
        <f>VLOOKUP(A4879,SizeData!A$2:B$3839,2,FALSE)</f>
        <v/>
      </c>
      <c r="D4879" s="6" t="n">
        <v>10</v>
      </c>
      <c r="E4879" s="6" t="inlineStr">
        <is>
          <t>R1352268</t>
        </is>
      </c>
      <c r="F4879" s="2" t="n">
        <v>44536</v>
      </c>
      <c r="G4879" s="1" t="n"/>
    </row>
    <row r="4880">
      <c r="A4880" s="6" t="n">
        <v>741400</v>
      </c>
      <c r="B4880" s="6" t="inlineStr">
        <is>
          <t>ANDRE CHAMPAGNE BRUT</t>
        </is>
      </c>
      <c r="C4880" s="7">
        <f>VLOOKUP(A4880,SizeData!A$2:B$3839,2,FALSE)</f>
        <v/>
      </c>
      <c r="D4880" s="6" t="n">
        <v>1</v>
      </c>
      <c r="E4880" s="6" t="inlineStr">
        <is>
          <t>R1146432</t>
        </is>
      </c>
      <c r="F4880" s="2" t="n">
        <v>44356</v>
      </c>
      <c r="G4880" s="1" t="n"/>
    </row>
    <row r="4881">
      <c r="A4881" s="6" t="n">
        <v>741400</v>
      </c>
      <c r="B4881" s="6" t="inlineStr">
        <is>
          <t>ANDRE CHAMPAGNE BRUT</t>
        </is>
      </c>
      <c r="C4881" s="7">
        <f>VLOOKUP(A4881,SizeData!A$2:B$3839,2,FALSE)</f>
        <v/>
      </c>
      <c r="D4881" s="6" t="n">
        <v>2</v>
      </c>
      <c r="E4881" s="6" t="inlineStr">
        <is>
          <t xml:space="preserve"> R1175360</t>
        </is>
      </c>
      <c r="F4881" s="2" t="n">
        <v>44383</v>
      </c>
      <c r="G4881" s="1" t="n"/>
    </row>
    <row r="4882">
      <c r="A4882" s="6" t="n">
        <v>741400</v>
      </c>
      <c r="B4882" s="6" t="inlineStr">
        <is>
          <t>ANDRE CHAMPAGNE BRUT</t>
        </is>
      </c>
      <c r="C4882" s="7">
        <f>VLOOKUP(A4882,SizeData!A$2:B$3839,2,FALSE)</f>
        <v/>
      </c>
      <c r="D4882" s="6" t="n">
        <v>1</v>
      </c>
      <c r="E4882" s="6" t="inlineStr">
        <is>
          <t>R1170994</t>
        </is>
      </c>
      <c r="F4882" s="2" t="n">
        <v>44394</v>
      </c>
      <c r="G4882" s="1" t="n"/>
    </row>
    <row r="4883">
      <c r="A4883" s="6" t="n">
        <v>741400</v>
      </c>
      <c r="B4883" s="6" t="inlineStr">
        <is>
          <t>ANDRE CHAMPAGNE BRUT</t>
        </is>
      </c>
      <c r="C4883" s="7">
        <f>VLOOKUP(A4883,SizeData!A$2:B$3839,2,FALSE)</f>
        <v/>
      </c>
      <c r="D4883" s="6" t="n">
        <v>2</v>
      </c>
      <c r="E4883" s="6" t="inlineStr">
        <is>
          <t>R1189620</t>
        </is>
      </c>
      <c r="F4883" s="2" t="n">
        <v>44408</v>
      </c>
      <c r="G4883" s="1" t="n"/>
    </row>
    <row r="4884">
      <c r="A4884" s="6" t="n">
        <v>741400</v>
      </c>
      <c r="B4884" s="6" t="inlineStr">
        <is>
          <t>ANDRE CHAMPAGNE BRUT</t>
        </is>
      </c>
      <c r="C4884" s="7">
        <f>VLOOKUP(A4884,SizeData!A$2:B$3839,2,FALSE)</f>
        <v/>
      </c>
      <c r="D4884" s="6" t="n">
        <v>2</v>
      </c>
      <c r="E4884" s="6" t="inlineStr">
        <is>
          <t>R1259107</t>
        </is>
      </c>
      <c r="F4884" s="2" t="n">
        <v>44466</v>
      </c>
      <c r="G4884" s="1" t="n"/>
    </row>
    <row r="4885">
      <c r="A4885" s="6" t="n">
        <v>741400</v>
      </c>
      <c r="B4885" s="6" t="inlineStr">
        <is>
          <t>ANDRE CHAMPAGNE BRUT</t>
        </is>
      </c>
      <c r="C4885" s="7">
        <f>VLOOKUP(A4885,SizeData!A$2:B$3839,2,FALSE)</f>
        <v/>
      </c>
      <c r="D4885" s="6" t="n">
        <v>3</v>
      </c>
      <c r="E4885" s="6" t="inlineStr">
        <is>
          <t>R1266258</t>
        </is>
      </c>
      <c r="F4885" s="2" t="n">
        <v>44469</v>
      </c>
      <c r="G4885" s="1" t="n"/>
    </row>
    <row r="4886">
      <c r="A4886" s="6" t="n">
        <v>741400</v>
      </c>
      <c r="B4886" s="6" t="inlineStr">
        <is>
          <t>ANDRE CHAMPAGNE BRUT</t>
        </is>
      </c>
      <c r="C4886" s="7">
        <f>VLOOKUP(A4886,SizeData!A$2:B$3839,2,FALSE)</f>
        <v/>
      </c>
      <c r="D4886" s="6" t="n">
        <v>5</v>
      </c>
      <c r="E4886" s="6" t="inlineStr">
        <is>
          <t>R1328617</t>
        </is>
      </c>
      <c r="F4886" s="2" t="n">
        <v>44517</v>
      </c>
      <c r="G4886" s="1" t="n"/>
    </row>
    <row r="4887">
      <c r="A4887" s="6" t="n">
        <v>741400</v>
      </c>
      <c r="B4887" s="6" t="inlineStr">
        <is>
          <t>ANDRE CHAMPAGNE BRUT</t>
        </is>
      </c>
      <c r="C4887" s="7">
        <f>VLOOKUP(A4887,SizeData!A$2:B$3839,2,FALSE)</f>
        <v/>
      </c>
      <c r="D4887" s="6" t="n">
        <v>3</v>
      </c>
      <c r="E4887" s="6" t="inlineStr">
        <is>
          <t>R1363171</t>
        </is>
      </c>
      <c r="F4887" s="2" t="n">
        <v>44541</v>
      </c>
      <c r="G4887" s="1" t="n"/>
    </row>
    <row r="4888">
      <c r="A4888" s="6" t="n">
        <v>744200</v>
      </c>
      <c r="B4888" s="6" t="inlineStr">
        <is>
          <t>COOK'S BRUT CHAMPAGNE</t>
        </is>
      </c>
      <c r="C4888" s="7">
        <f>VLOOKUP(A4888,SizeData!A$2:B$3839,2,FALSE)</f>
        <v/>
      </c>
      <c r="D4888" s="6" t="n">
        <v>2</v>
      </c>
      <c r="E4888" s="6" t="inlineStr">
        <is>
          <t>R1013727</t>
        </is>
      </c>
      <c r="F4888" s="2" t="n">
        <v>44229</v>
      </c>
      <c r="G4888" s="1" t="n"/>
    </row>
    <row r="4889">
      <c r="A4889" s="6" t="n">
        <v>744200</v>
      </c>
      <c r="B4889" s="6" t="inlineStr">
        <is>
          <t>COOK'S BRUT CHAMPAGNE</t>
        </is>
      </c>
      <c r="C4889" s="7">
        <f>VLOOKUP(A4889,SizeData!A$2:B$3839,2,FALSE)</f>
        <v/>
      </c>
      <c r="D4889" s="6" t="n">
        <v>1</v>
      </c>
      <c r="E4889" s="6" t="inlineStr">
        <is>
          <t>R1035997</t>
        </is>
      </c>
      <c r="F4889" s="2" t="n">
        <v>44252</v>
      </c>
      <c r="G4889" s="1" t="n"/>
    </row>
    <row r="4890">
      <c r="A4890" s="6" t="n">
        <v>744200</v>
      </c>
      <c r="B4890" s="6" t="inlineStr">
        <is>
          <t>COOK'S BRUT CHAMPAGNE</t>
        </is>
      </c>
      <c r="C4890" s="7">
        <f>VLOOKUP(A4890,SizeData!A$2:B$3839,2,FALSE)</f>
        <v/>
      </c>
      <c r="D4890" s="6" t="n">
        <v>2</v>
      </c>
      <c r="E4890" s="6" t="inlineStr">
        <is>
          <t>R1092837</t>
        </is>
      </c>
      <c r="F4890" s="2" t="n">
        <v>44299</v>
      </c>
      <c r="G4890" s="1" t="n"/>
    </row>
    <row r="4891">
      <c r="A4891" s="6" t="n">
        <v>744200</v>
      </c>
      <c r="B4891" s="6" t="inlineStr">
        <is>
          <t>COOK'S BRUT CHAMPAGNE</t>
        </is>
      </c>
      <c r="C4891" s="7">
        <f>VLOOKUP(A4891,SizeData!A$2:B$3839,2,FALSE)</f>
        <v/>
      </c>
      <c r="D4891" s="6" t="n">
        <v>2</v>
      </c>
      <c r="E4891" s="6" t="inlineStr">
        <is>
          <t>R1129649</t>
        </is>
      </c>
      <c r="F4891" s="2" t="n">
        <v>44343</v>
      </c>
      <c r="G4891" s="1" t="n"/>
    </row>
    <row r="4892">
      <c r="A4892" s="6" t="n">
        <v>744200</v>
      </c>
      <c r="B4892" s="6" t="inlineStr">
        <is>
          <t>COOK'S BRUT CHAMPAGNE</t>
        </is>
      </c>
      <c r="C4892" s="7">
        <f>VLOOKUP(A4892,SizeData!A$2:B$3839,2,FALSE)</f>
        <v/>
      </c>
      <c r="D4892" s="6" t="n">
        <v>1</v>
      </c>
      <c r="E4892" s="6" t="inlineStr">
        <is>
          <t>R1147055</t>
        </is>
      </c>
      <c r="F4892" s="2" t="n">
        <v>44361</v>
      </c>
      <c r="G4892" s="1" t="n"/>
    </row>
    <row r="4893">
      <c r="A4893" s="6" t="n">
        <v>744200</v>
      </c>
      <c r="B4893" s="6" t="inlineStr">
        <is>
          <t>COOK'S BRUT CHAMPAGNE</t>
        </is>
      </c>
      <c r="C4893" s="7">
        <f>VLOOKUP(A4893,SizeData!A$2:B$3839,2,FALSE)</f>
        <v/>
      </c>
      <c r="D4893" s="6" t="n">
        <v>1</v>
      </c>
      <c r="E4893" s="6" t="inlineStr">
        <is>
          <t>R1174033</t>
        </is>
      </c>
      <c r="F4893" s="2" t="n">
        <v>44394</v>
      </c>
      <c r="G4893" s="1" t="n"/>
    </row>
    <row r="4894">
      <c r="A4894" s="6" t="n">
        <v>744200</v>
      </c>
      <c r="B4894" s="6" t="inlineStr">
        <is>
          <t>COOK'S BRUT CHAMPAGNE</t>
        </is>
      </c>
      <c r="C4894" s="7">
        <f>VLOOKUP(A4894,SizeData!A$2:B$3839,2,FALSE)</f>
        <v/>
      </c>
      <c r="D4894" s="6" t="n">
        <v>1</v>
      </c>
      <c r="E4894" s="6" t="inlineStr">
        <is>
          <t>R1224208</t>
        </is>
      </c>
      <c r="F4894" s="2" t="n">
        <v>44436</v>
      </c>
      <c r="G4894" s="1" t="n"/>
    </row>
    <row r="4895">
      <c r="A4895" s="6" t="n">
        <v>744200</v>
      </c>
      <c r="B4895" s="6" t="inlineStr">
        <is>
          <t>COOK'S BRUT CHAMPAGNE</t>
        </is>
      </c>
      <c r="C4895" s="7">
        <f>VLOOKUP(A4895,SizeData!A$2:B$3839,2,FALSE)</f>
        <v/>
      </c>
      <c r="D4895" s="6" t="n">
        <v>2</v>
      </c>
      <c r="E4895" s="6" t="inlineStr">
        <is>
          <t>R1338705</t>
        </is>
      </c>
      <c r="F4895" s="2" t="n">
        <v>44522</v>
      </c>
      <c r="G4895" s="1" t="n"/>
    </row>
    <row r="4896">
      <c r="A4896" s="6" t="n">
        <v>744205</v>
      </c>
      <c r="B4896" s="6" t="inlineStr">
        <is>
          <t>COOK'S BRUT CHAMPAGNE</t>
        </is>
      </c>
      <c r="C4896" s="7">
        <f>VLOOKUP(A4896,SizeData!A$2:B$3839,2,FALSE)</f>
        <v/>
      </c>
      <c r="D4896" s="6" t="n">
        <v>2</v>
      </c>
      <c r="E4896" s="6" t="inlineStr">
        <is>
          <t>R997848</t>
        </is>
      </c>
      <c r="F4896" s="2" t="n">
        <v>44212</v>
      </c>
      <c r="G4896" s="1" t="n"/>
    </row>
    <row r="4897">
      <c r="A4897" s="6" t="n">
        <v>744205</v>
      </c>
      <c r="B4897" s="6" t="inlineStr">
        <is>
          <t>COOK'S BRUT CHAMPAGNE</t>
        </is>
      </c>
      <c r="C4897" s="7">
        <f>VLOOKUP(A4897,SizeData!A$2:B$3839,2,FALSE)</f>
        <v/>
      </c>
      <c r="D4897" s="6" t="n">
        <v>1</v>
      </c>
      <c r="E4897" s="6" t="inlineStr">
        <is>
          <t>R1029260</t>
        </is>
      </c>
      <c r="F4897" s="2" t="n">
        <v>44240</v>
      </c>
      <c r="G4897" s="1" t="n"/>
    </row>
    <row r="4898">
      <c r="A4898" s="6" t="n">
        <v>744205</v>
      </c>
      <c r="B4898" s="6" t="inlineStr">
        <is>
          <t>COOK'S BRUT CHAMPAGNE</t>
        </is>
      </c>
      <c r="C4898" s="7">
        <f>VLOOKUP(A4898,SizeData!A$2:B$3839,2,FALSE)</f>
        <v/>
      </c>
      <c r="D4898" s="6" t="n">
        <v>2</v>
      </c>
      <c r="E4898" s="6" t="inlineStr">
        <is>
          <t>R1092837</t>
        </is>
      </c>
      <c r="F4898" s="2" t="n">
        <v>44299</v>
      </c>
      <c r="G4898" s="1" t="n"/>
    </row>
    <row r="4899">
      <c r="A4899" s="6" t="n">
        <v>744205</v>
      </c>
      <c r="B4899" s="6" t="inlineStr">
        <is>
          <t>COOK'S BRUT CHAMPAGNE</t>
        </is>
      </c>
      <c r="C4899" s="7">
        <f>VLOOKUP(A4899,SizeData!A$2:B$3839,2,FALSE)</f>
        <v/>
      </c>
      <c r="D4899" s="6" t="n">
        <v>1</v>
      </c>
      <c r="E4899" s="6" t="inlineStr">
        <is>
          <t xml:space="preserve"> R1135574</t>
        </is>
      </c>
      <c r="F4899" s="2" t="n">
        <v>44338</v>
      </c>
      <c r="G4899" s="1" t="n"/>
    </row>
    <row r="4900">
      <c r="A4900" s="6" t="n">
        <v>744205</v>
      </c>
      <c r="B4900" s="6" t="inlineStr">
        <is>
          <t>COOK'S BRUT CHAMPAGNE</t>
        </is>
      </c>
      <c r="C4900" s="7">
        <f>VLOOKUP(A4900,SizeData!A$2:B$3839,2,FALSE)</f>
        <v/>
      </c>
      <c r="D4900" s="6" t="n">
        <v>1</v>
      </c>
      <c r="E4900" s="6" t="inlineStr">
        <is>
          <t>R1254400</t>
        </is>
      </c>
      <c r="F4900" s="2" t="n">
        <v>44468</v>
      </c>
      <c r="G4900" s="1" t="n"/>
    </row>
    <row r="4901">
      <c r="A4901" s="6" t="n">
        <v>744205</v>
      </c>
      <c r="B4901" s="6" t="inlineStr">
        <is>
          <t>COOK'S BRUT CHAMPAGNE</t>
        </is>
      </c>
      <c r="C4901" s="7">
        <f>VLOOKUP(A4901,SizeData!A$2:B$3839,2,FALSE)</f>
        <v/>
      </c>
      <c r="D4901" s="6" t="n">
        <v>8</v>
      </c>
      <c r="E4901" s="6" t="inlineStr">
        <is>
          <t>R1274548</t>
        </is>
      </c>
      <c r="F4901" s="2" t="n">
        <v>44485</v>
      </c>
      <c r="G4901" s="1" t="n"/>
    </row>
    <row r="4902">
      <c r="A4902" s="6" t="n">
        <v>744205</v>
      </c>
      <c r="B4902" s="6" t="inlineStr">
        <is>
          <t>COOK'S BRUT CHAMPAGNE</t>
        </is>
      </c>
      <c r="C4902" s="7">
        <f>VLOOKUP(A4902,SizeData!A$2:B$3839,2,FALSE)</f>
        <v/>
      </c>
      <c r="D4902" s="6" t="n">
        <v>2</v>
      </c>
      <c r="E4902" s="6" t="inlineStr">
        <is>
          <t>R1290365</t>
        </is>
      </c>
      <c r="F4902" s="2" t="n">
        <v>44487</v>
      </c>
      <c r="G4902" s="1" t="n"/>
    </row>
    <row r="4903">
      <c r="A4903" s="6" t="n">
        <v>744400</v>
      </c>
      <c r="B4903" s="6" t="inlineStr">
        <is>
          <t>COOK'S EXTRA DRY CHAMPAGNE</t>
        </is>
      </c>
      <c r="C4903" s="7">
        <f>VLOOKUP(A4903,SizeData!A$2:B$3839,2,FALSE)</f>
        <v/>
      </c>
      <c r="D4903" s="6" t="n">
        <v>1</v>
      </c>
      <c r="E4903" s="6" t="inlineStr">
        <is>
          <t xml:space="preserve"> R1175279</t>
        </is>
      </c>
      <c r="F4903" s="2" t="n">
        <v>44382</v>
      </c>
      <c r="G4903" s="1" t="n"/>
    </row>
    <row r="4904">
      <c r="A4904" s="6" t="n">
        <v>744400</v>
      </c>
      <c r="B4904" s="6" t="inlineStr">
        <is>
          <t>COOK'S EXTRA DRY CHAMPAGNE</t>
        </is>
      </c>
      <c r="C4904" s="7">
        <f>VLOOKUP(A4904,SizeData!A$2:B$3839,2,FALSE)</f>
        <v/>
      </c>
      <c r="D4904" s="6" t="n">
        <v>2</v>
      </c>
      <c r="E4904" s="6" t="inlineStr">
        <is>
          <t>R1241985</t>
        </is>
      </c>
      <c r="F4904" s="2" t="n">
        <v>44450</v>
      </c>
      <c r="G4904" s="1" t="n"/>
    </row>
    <row r="4905">
      <c r="A4905" s="6" t="n">
        <v>744400</v>
      </c>
      <c r="B4905" s="6" t="inlineStr">
        <is>
          <t>COOK'S EXTRA DRY CHAMPAGNE</t>
        </is>
      </c>
      <c r="C4905" s="7">
        <f>VLOOKUP(A4905,SizeData!A$2:B$3839,2,FALSE)</f>
        <v/>
      </c>
      <c r="D4905" s="6" t="n">
        <v>8</v>
      </c>
      <c r="E4905" s="6" t="inlineStr">
        <is>
          <t>R1274548</t>
        </is>
      </c>
      <c r="F4905" s="2" t="n">
        <v>44485</v>
      </c>
      <c r="G4905" s="1" t="n"/>
    </row>
    <row r="4906">
      <c r="A4906" s="6" t="n">
        <v>744405</v>
      </c>
      <c r="B4906" s="6" t="inlineStr">
        <is>
          <t>COOK'S EXTRA DRY CHAMPAGNE</t>
        </is>
      </c>
      <c r="C4906" s="7">
        <f>VLOOKUP(A4906,SizeData!A$2:B$3839,2,FALSE)</f>
        <v/>
      </c>
      <c r="D4906" s="6" t="n">
        <v>3</v>
      </c>
      <c r="E4906" s="6" t="inlineStr">
        <is>
          <t>R1290365</t>
        </is>
      </c>
      <c r="F4906" s="2" t="n">
        <v>44487</v>
      </c>
      <c r="G4906" s="1" t="n"/>
    </row>
    <row r="4907">
      <c r="A4907" s="6" t="n">
        <v>751405</v>
      </c>
      <c r="B4907" s="6" t="inlineStr">
        <is>
          <t>KORBEL BRUT CHAMPAGNE</t>
        </is>
      </c>
      <c r="C4907" s="7">
        <f>VLOOKUP(A4907,SizeData!A$2:B$3839,2,FALSE)</f>
        <v/>
      </c>
      <c r="D4907" s="6" t="n">
        <v>1</v>
      </c>
      <c r="E4907" s="6" t="inlineStr">
        <is>
          <t>R1019806</t>
        </is>
      </c>
      <c r="F4907" s="2" t="n">
        <v>44229</v>
      </c>
      <c r="G4907" s="1" t="n"/>
    </row>
    <row r="4908">
      <c r="A4908" s="6" t="n">
        <v>751405</v>
      </c>
      <c r="B4908" s="6" t="inlineStr">
        <is>
          <t>KORBEL BRUT CHAMPAGNE</t>
        </is>
      </c>
      <c r="C4908" s="7">
        <f>VLOOKUP(A4908,SizeData!A$2:B$3839,2,FALSE)</f>
        <v/>
      </c>
      <c r="D4908" s="6" t="n">
        <v>1</v>
      </c>
      <c r="E4908" s="6" t="inlineStr">
        <is>
          <t>R1101640</t>
        </is>
      </c>
      <c r="F4908" s="2" t="n">
        <v>44310</v>
      </c>
      <c r="G4908" s="1" t="n"/>
    </row>
    <row r="4909">
      <c r="A4909" s="6" t="n">
        <v>751405</v>
      </c>
      <c r="B4909" s="6" t="inlineStr">
        <is>
          <t>KORBEL BRUT CHAMPAGNE</t>
        </is>
      </c>
      <c r="C4909" s="7">
        <f>VLOOKUP(A4909,SizeData!A$2:B$3839,2,FALSE)</f>
        <v/>
      </c>
      <c r="D4909" s="6" t="n">
        <v>1</v>
      </c>
      <c r="E4909" s="6" t="inlineStr">
        <is>
          <t>R1108792</t>
        </is>
      </c>
      <c r="F4909" s="2" t="n">
        <v>44322</v>
      </c>
      <c r="G4909" s="1" t="n"/>
    </row>
    <row r="4910">
      <c r="A4910" s="6" t="n">
        <v>751405</v>
      </c>
      <c r="B4910" s="6" t="inlineStr">
        <is>
          <t>KORBEL BRUT CHAMPAGNE</t>
        </is>
      </c>
      <c r="C4910" s="7">
        <f>VLOOKUP(A4910,SizeData!A$2:B$3839,2,FALSE)</f>
        <v/>
      </c>
      <c r="D4910" s="6" t="n">
        <v>1</v>
      </c>
      <c r="E4910" s="6" t="inlineStr">
        <is>
          <t xml:space="preserve"> R1133829</t>
        </is>
      </c>
      <c r="F4910" s="2" t="n">
        <v>44350</v>
      </c>
      <c r="G4910" s="1" t="n"/>
    </row>
    <row r="4911">
      <c r="A4911" s="6" t="n">
        <v>751405</v>
      </c>
      <c r="B4911" s="6" t="inlineStr">
        <is>
          <t>KORBEL BRUT CHAMPAGNE</t>
        </is>
      </c>
      <c r="C4911" s="7">
        <f>VLOOKUP(A4911,SizeData!A$2:B$3839,2,FALSE)</f>
        <v/>
      </c>
      <c r="D4911" s="6" t="n">
        <v>1</v>
      </c>
      <c r="E4911" s="6" t="inlineStr">
        <is>
          <t>R1156117</t>
        </is>
      </c>
      <c r="F4911" s="2" t="n">
        <v>44362</v>
      </c>
      <c r="G4911" s="1" t="n"/>
    </row>
    <row r="4912">
      <c r="A4912" s="6" t="n">
        <v>751405</v>
      </c>
      <c r="B4912" s="6" t="inlineStr">
        <is>
          <t>KORBEL BRUT CHAMPAGNE</t>
        </is>
      </c>
      <c r="C4912" s="7">
        <f>VLOOKUP(A4912,SizeData!A$2:B$3839,2,FALSE)</f>
        <v/>
      </c>
      <c r="D4912" s="6" t="n">
        <v>3</v>
      </c>
      <c r="E4912" s="6" t="inlineStr">
        <is>
          <t>R1275378</t>
        </is>
      </c>
      <c r="F4912" s="2" t="n">
        <v>44478</v>
      </c>
      <c r="G4912" s="1" t="n"/>
    </row>
    <row r="4913">
      <c r="A4913" s="6" t="n">
        <v>751405</v>
      </c>
      <c r="B4913" s="6" t="inlineStr">
        <is>
          <t>KORBEL BRUT CHAMPAGNE</t>
        </is>
      </c>
      <c r="C4913" s="7">
        <f>VLOOKUP(A4913,SizeData!A$2:B$3839,2,FALSE)</f>
        <v/>
      </c>
      <c r="D4913" s="6" t="n">
        <v>4</v>
      </c>
      <c r="E4913" s="6" t="inlineStr">
        <is>
          <t>R1359198</t>
        </is>
      </c>
      <c r="F4913" s="2" t="n">
        <v>44538</v>
      </c>
      <c r="G4913" s="1" t="n"/>
    </row>
    <row r="4914">
      <c r="A4914" s="6" t="n">
        <v>751419</v>
      </c>
      <c r="B4914" s="6" t="inlineStr">
        <is>
          <t>KORBEL BRUT CHAMPAGNE</t>
        </is>
      </c>
      <c r="C4914" s="7">
        <f>VLOOKUP(A4914,SizeData!A$2:B$3839,2,FALSE)</f>
        <v/>
      </c>
      <c r="D4914" s="6" t="n">
        <v>3</v>
      </c>
      <c r="E4914" s="6" t="inlineStr">
        <is>
          <t>R1281530</t>
        </is>
      </c>
      <c r="F4914" s="2" t="n">
        <v>44481</v>
      </c>
      <c r="G4914" s="1" t="n"/>
    </row>
    <row r="4915">
      <c r="A4915" s="6" t="n">
        <v>751800</v>
      </c>
      <c r="B4915" s="6" t="inlineStr">
        <is>
          <t>KORBEL BRUT ROSE CHAMPAGNE</t>
        </is>
      </c>
      <c r="C4915" s="7">
        <f>VLOOKUP(A4915,SizeData!A$2:B$3839,2,FALSE)</f>
        <v/>
      </c>
      <c r="D4915" s="6" t="n">
        <v>1</v>
      </c>
      <c r="E4915" s="6" t="inlineStr">
        <is>
          <t>R1019806</t>
        </is>
      </c>
      <c r="F4915" s="2" t="n">
        <v>44229</v>
      </c>
      <c r="G4915" s="1" t="n"/>
    </row>
    <row r="4916">
      <c r="A4916" s="6" t="n">
        <v>751800</v>
      </c>
      <c r="B4916" s="6" t="inlineStr">
        <is>
          <t>KORBEL BRUT ROSE CHAMPAGNE</t>
        </is>
      </c>
      <c r="C4916" s="7">
        <f>VLOOKUP(A4916,SizeData!A$2:B$3839,2,FALSE)</f>
        <v/>
      </c>
      <c r="D4916" s="6" t="n">
        <v>1</v>
      </c>
      <c r="E4916" s="6" t="inlineStr">
        <is>
          <t>R1262670</t>
        </is>
      </c>
      <c r="F4916" s="2" t="n">
        <v>44470</v>
      </c>
      <c r="G4916" s="1" t="n"/>
    </row>
    <row r="4917">
      <c r="A4917" s="6" t="n">
        <v>751800</v>
      </c>
      <c r="B4917" s="6" t="inlineStr">
        <is>
          <t>KORBEL BRUT ROSE CHAMPAGNE</t>
        </is>
      </c>
      <c r="C4917" s="7">
        <f>VLOOKUP(A4917,SizeData!A$2:B$3839,2,FALSE)</f>
        <v/>
      </c>
      <c r="D4917" s="6" t="n">
        <v>0</v>
      </c>
      <c r="E4917" s="6" t="inlineStr">
        <is>
          <t>R1275378</t>
        </is>
      </c>
      <c r="F4917" s="2" t="n">
        <v>44478</v>
      </c>
      <c r="G4917" s="1" t="n"/>
    </row>
    <row r="4918">
      <c r="A4918" s="6" t="n">
        <v>751800</v>
      </c>
      <c r="B4918" s="6" t="inlineStr">
        <is>
          <t>KORBEL BRUT ROSE CHAMPAGNE</t>
        </is>
      </c>
      <c r="C4918" s="7">
        <f>VLOOKUP(A4918,SizeData!A$2:B$3839,2,FALSE)</f>
        <v/>
      </c>
      <c r="D4918" s="6" t="n">
        <v>1</v>
      </c>
      <c r="E4918" s="6" t="inlineStr">
        <is>
          <t>R1301804</t>
        </is>
      </c>
      <c r="F4918" s="2" t="n">
        <v>44492</v>
      </c>
      <c r="G4918" s="1" t="n"/>
    </row>
    <row r="4919">
      <c r="A4919" s="6" t="n">
        <v>751950</v>
      </c>
      <c r="B4919" s="6" t="inlineStr">
        <is>
          <t>KORBEL SWEET ROSE CHAMPAGNE</t>
        </is>
      </c>
      <c r="C4919" s="7">
        <f>VLOOKUP(A4919,SizeData!A$2:B$3839,2,FALSE)</f>
        <v/>
      </c>
      <c r="D4919" s="6" t="n">
        <v>1</v>
      </c>
      <c r="E4919" s="6" t="inlineStr">
        <is>
          <t>R1142808</t>
        </is>
      </c>
      <c r="F4919" s="2" t="n">
        <v>44352</v>
      </c>
      <c r="G4919" s="1" t="n"/>
    </row>
    <row r="4920">
      <c r="A4920" s="6" t="n">
        <v>751950</v>
      </c>
      <c r="B4920" s="6" t="inlineStr">
        <is>
          <t>KORBEL SWEET ROSE CHAMPAGNE</t>
        </is>
      </c>
      <c r="C4920" s="7">
        <f>VLOOKUP(A4920,SizeData!A$2:B$3839,2,FALSE)</f>
        <v/>
      </c>
      <c r="D4920" s="6" t="n">
        <v>1</v>
      </c>
      <c r="E4920" s="6" t="inlineStr">
        <is>
          <t>R1262670</t>
        </is>
      </c>
      <c r="F4920" s="2" t="n">
        <v>44470</v>
      </c>
      <c r="G4920" s="1" t="n"/>
    </row>
    <row r="4921">
      <c r="A4921" s="6" t="n">
        <v>751950</v>
      </c>
      <c r="B4921" s="6" t="inlineStr">
        <is>
          <t>KORBEL SWEET ROSE CHAMPAGNE</t>
        </is>
      </c>
      <c r="C4921" s="7">
        <f>VLOOKUP(A4921,SizeData!A$2:B$3839,2,FALSE)</f>
        <v/>
      </c>
      <c r="D4921" s="6" t="n">
        <v>1</v>
      </c>
      <c r="E4921" s="6" t="inlineStr">
        <is>
          <t>R1281530</t>
        </is>
      </c>
      <c r="F4921" s="2" t="n">
        <v>44481</v>
      </c>
      <c r="G4921" s="1" t="n"/>
    </row>
    <row r="4922">
      <c r="A4922" s="6" t="n">
        <v>752010</v>
      </c>
      <c r="B4922" s="6" t="inlineStr">
        <is>
          <t>KORBEL EXTRA DRY</t>
        </is>
      </c>
      <c r="C4922" s="7">
        <f>VLOOKUP(A4922,SizeData!A$2:B$3839,2,FALSE)</f>
        <v/>
      </c>
      <c r="D4922" s="6" t="n">
        <v>1</v>
      </c>
      <c r="E4922" s="6" t="inlineStr">
        <is>
          <t>R1148371</t>
        </is>
      </c>
      <c r="F4922" s="2" t="n">
        <v>44365</v>
      </c>
      <c r="G4922" s="1" t="n"/>
    </row>
    <row r="4923">
      <c r="A4923" s="6" t="n">
        <v>752010</v>
      </c>
      <c r="B4923" s="6" t="inlineStr">
        <is>
          <t>KORBEL EXTRA DRY</t>
        </is>
      </c>
      <c r="C4923" s="7">
        <f>VLOOKUP(A4923,SizeData!A$2:B$3839,2,FALSE)</f>
        <v/>
      </c>
      <c r="D4923" s="6" t="n">
        <v>1</v>
      </c>
      <c r="E4923" s="6" t="inlineStr">
        <is>
          <t>R1264756</t>
        </is>
      </c>
      <c r="F4923" s="2" t="n">
        <v>44472</v>
      </c>
      <c r="G4923" s="1" t="n"/>
    </row>
    <row r="4924">
      <c r="A4924" s="6" t="n">
        <v>752010</v>
      </c>
      <c r="B4924" s="6" t="inlineStr">
        <is>
          <t>KORBEL EXTRA DRY</t>
        </is>
      </c>
      <c r="C4924" s="7">
        <f>VLOOKUP(A4924,SizeData!A$2:B$3839,2,FALSE)</f>
        <v/>
      </c>
      <c r="D4924" s="6" t="n">
        <v>0</v>
      </c>
      <c r="E4924" s="6" t="inlineStr">
        <is>
          <t>R1275378</t>
        </is>
      </c>
      <c r="F4924" s="2" t="n">
        <v>44478</v>
      </c>
      <c r="G4924" s="1" t="n"/>
    </row>
    <row r="4925">
      <c r="A4925" s="6" t="n">
        <v>752010</v>
      </c>
      <c r="B4925" s="6" t="inlineStr">
        <is>
          <t>KORBEL EXTRA DRY</t>
        </is>
      </c>
      <c r="C4925" s="7">
        <f>VLOOKUP(A4925,SizeData!A$2:B$3839,2,FALSE)</f>
        <v/>
      </c>
      <c r="D4925" s="6" t="n">
        <v>3</v>
      </c>
      <c r="E4925" s="6" t="inlineStr">
        <is>
          <t>R1301804</t>
        </is>
      </c>
      <c r="F4925" s="2" t="n">
        <v>44492</v>
      </c>
      <c r="G4925" s="1" t="n"/>
    </row>
    <row r="4926">
      <c r="A4926" s="6" t="n">
        <v>758000</v>
      </c>
      <c r="B4926" s="6" t="inlineStr">
        <is>
          <t>J. ROGET CHAMPAGNE EXTRA DRY</t>
        </is>
      </c>
      <c r="C4926" s="7">
        <f>VLOOKUP(A4926,SizeData!A$2:B$3839,2,FALSE)</f>
        <v/>
      </c>
      <c r="D4926" s="6" t="n">
        <v>1</v>
      </c>
      <c r="E4926" s="6" t="inlineStr">
        <is>
          <t>R1275278</t>
        </is>
      </c>
      <c r="F4926" s="2" t="n">
        <v>44478</v>
      </c>
      <c r="G4926" s="1" t="n"/>
    </row>
    <row r="4927">
      <c r="A4927" s="6" t="n">
        <v>758005</v>
      </c>
      <c r="B4927" s="6" t="inlineStr">
        <is>
          <t>J. ROGET CHAMPAGNE EXTRA DRY</t>
        </is>
      </c>
      <c r="C4927" s="7">
        <f>VLOOKUP(A4927,SizeData!A$2:B$3839,2,FALSE)</f>
        <v/>
      </c>
      <c r="D4927" s="6" t="n">
        <v>1</v>
      </c>
      <c r="E4927" s="6" t="inlineStr">
        <is>
          <t>R992402</t>
        </is>
      </c>
      <c r="F4927" s="2" t="n">
        <v>44198</v>
      </c>
      <c r="G4927" s="1" t="n"/>
    </row>
    <row r="4928">
      <c r="A4928" s="6" t="n">
        <v>758005</v>
      </c>
      <c r="B4928" s="6" t="inlineStr">
        <is>
          <t>J. ROGET CHAMPAGNE EXTRA DRY</t>
        </is>
      </c>
      <c r="C4928" s="7">
        <f>VLOOKUP(A4928,SizeData!A$2:B$3839,2,FALSE)</f>
        <v/>
      </c>
      <c r="D4928" s="6" t="n">
        <v>1</v>
      </c>
      <c r="E4928" s="6" t="inlineStr">
        <is>
          <t>R1007720</t>
        </is>
      </c>
      <c r="F4928" s="2" t="n">
        <v>44216</v>
      </c>
      <c r="G4928" s="1" t="n"/>
    </row>
    <row r="4929">
      <c r="A4929" s="6" t="n">
        <v>762300</v>
      </c>
      <c r="B4929" s="6" t="inlineStr">
        <is>
          <t>TOTT'S BRUT CHAMPAGNE</t>
        </is>
      </c>
      <c r="C4929" s="7">
        <f>VLOOKUP(A4929,SizeData!A$2:B$3839,2,FALSE)</f>
        <v/>
      </c>
      <c r="D4929" s="6" t="n">
        <v>1</v>
      </c>
      <c r="E4929" s="6" t="inlineStr">
        <is>
          <t>R1171594</t>
        </is>
      </c>
      <c r="F4929" s="2" t="n">
        <v>44392</v>
      </c>
      <c r="G4929" s="1" t="n"/>
    </row>
    <row r="4930">
      <c r="A4930" s="6" t="n">
        <v>762300</v>
      </c>
      <c r="B4930" s="6" t="inlineStr">
        <is>
          <t>TOTT'S BRUT CHAMPAGNE</t>
        </is>
      </c>
      <c r="C4930" s="7">
        <f>VLOOKUP(A4930,SizeData!A$2:B$3839,2,FALSE)</f>
        <v/>
      </c>
      <c r="D4930" s="6" t="n">
        <v>1</v>
      </c>
      <c r="E4930" s="6" t="inlineStr">
        <is>
          <t xml:space="preserve"> R1211770</t>
        </is>
      </c>
      <c r="F4930" s="2" t="n">
        <v>44427</v>
      </c>
      <c r="G4930" s="1" t="n"/>
    </row>
    <row r="4931">
      <c r="A4931" s="6" t="n">
        <v>768600</v>
      </c>
      <c r="B4931" s="6" t="inlineStr">
        <is>
          <t>ANDRE CHAMPAGNE SPUMANTE</t>
        </is>
      </c>
      <c r="C4931" s="7">
        <f>VLOOKUP(A4931,SizeData!A$2:B$3839,2,FALSE)</f>
        <v/>
      </c>
      <c r="D4931" s="6" t="n">
        <v>2</v>
      </c>
      <c r="E4931" s="6" t="inlineStr">
        <is>
          <t>R1101961</t>
        </is>
      </c>
      <c r="F4931" s="2" t="n">
        <v>44320</v>
      </c>
      <c r="G4931" s="1" t="n"/>
    </row>
    <row r="4932">
      <c r="A4932" s="6" t="n">
        <v>768600</v>
      </c>
      <c r="B4932" s="6" t="inlineStr">
        <is>
          <t>ANDRE CHAMPAGNE SPUMANTE</t>
        </is>
      </c>
      <c r="C4932" s="7">
        <f>VLOOKUP(A4932,SizeData!A$2:B$3839,2,FALSE)</f>
        <v/>
      </c>
      <c r="D4932" s="6" t="n">
        <v>3</v>
      </c>
      <c r="E4932" s="6" t="inlineStr">
        <is>
          <t>R1163865</t>
        </is>
      </c>
      <c r="F4932" s="2" t="n">
        <v>44384</v>
      </c>
      <c r="G4932" s="6" t="n"/>
    </row>
    <row r="4933">
      <c r="A4933" s="6" t="n">
        <v>768600</v>
      </c>
      <c r="B4933" s="6" t="inlineStr">
        <is>
          <t>ANDRE CHAMPAGNE SPUMANTE</t>
        </is>
      </c>
      <c r="C4933" s="7">
        <f>VLOOKUP(A4933,SizeData!A$2:B$3839,2,FALSE)</f>
        <v/>
      </c>
      <c r="D4933" s="6" t="n">
        <v>1</v>
      </c>
      <c r="E4933" s="6" t="inlineStr">
        <is>
          <t>R1265540</t>
        </is>
      </c>
      <c r="F4933" s="2" t="n">
        <v>44459</v>
      </c>
      <c r="G4933" s="1" t="n"/>
    </row>
    <row r="4934">
      <c r="A4934" s="6" t="n">
        <v>768600</v>
      </c>
      <c r="B4934" s="6" t="inlineStr">
        <is>
          <t>ANDRE CHAMPAGNE SPUMANTE</t>
        </is>
      </c>
      <c r="C4934" s="7">
        <f>VLOOKUP(A4934,SizeData!A$2:B$3839,2,FALSE)</f>
        <v/>
      </c>
      <c r="D4934" s="6" t="n">
        <v>3</v>
      </c>
      <c r="E4934" s="6" t="inlineStr">
        <is>
          <t>R1308140</t>
        </is>
      </c>
      <c r="F4934" s="2" t="n">
        <v>44503</v>
      </c>
      <c r="G4934" s="1" t="n"/>
    </row>
    <row r="4935">
      <c r="A4935" s="6" t="n">
        <v>768650</v>
      </c>
      <c r="B4935" s="6" t="inlineStr">
        <is>
          <t>ANDRE CHAMPAGNE COLD DUCK</t>
        </is>
      </c>
      <c r="C4935" s="7">
        <f>VLOOKUP(A4935,SizeData!A$2:B$3839,2,FALSE)</f>
        <v/>
      </c>
      <c r="D4935" s="6" t="n">
        <v>1</v>
      </c>
      <c r="E4935" s="6" t="inlineStr">
        <is>
          <t>R1121370</t>
        </is>
      </c>
      <c r="F4935" s="2" t="n">
        <v>44331</v>
      </c>
      <c r="G4935" s="1" t="n"/>
    </row>
    <row r="4936">
      <c r="A4936" s="6" t="n">
        <v>768676</v>
      </c>
      <c r="B4936" s="6" t="inlineStr">
        <is>
          <t>ANDRE CHAMPAGNE MOSCATO</t>
        </is>
      </c>
      <c r="C4936" s="7">
        <f>VLOOKUP(A4936,SizeData!A$2:B$3839,2,FALSE)</f>
        <v/>
      </c>
      <c r="D4936" s="6" t="n">
        <v>1</v>
      </c>
      <c r="E4936" s="6" t="inlineStr">
        <is>
          <t>R1046038</t>
        </is>
      </c>
      <c r="F4936" s="2" t="n">
        <v>44256</v>
      </c>
      <c r="G4936" s="1" t="n"/>
    </row>
    <row r="4937">
      <c r="A4937" s="6" t="n">
        <v>768676</v>
      </c>
      <c r="B4937" s="6" t="inlineStr">
        <is>
          <t>ANDRE CHAMPAGNE MOSCATO</t>
        </is>
      </c>
      <c r="C4937" s="7">
        <f>VLOOKUP(A4937,SizeData!A$2:B$3839,2,FALSE)</f>
        <v/>
      </c>
      <c r="D4937" s="6" t="n">
        <v>5</v>
      </c>
      <c r="E4937" s="6" t="inlineStr">
        <is>
          <t>R1047061</t>
        </is>
      </c>
      <c r="F4937" s="2" t="n">
        <v>44259</v>
      </c>
      <c r="G4937" s="1" t="n"/>
    </row>
    <row r="4938">
      <c r="A4938" s="6" t="n">
        <v>768676</v>
      </c>
      <c r="B4938" s="6" t="inlineStr">
        <is>
          <t>ANDRE CHAMPAGNE MOSCATO</t>
        </is>
      </c>
      <c r="C4938" s="7">
        <f>VLOOKUP(A4938,SizeData!A$2:B$3839,2,FALSE)</f>
        <v/>
      </c>
      <c r="D4938" s="6" t="n">
        <v>2</v>
      </c>
      <c r="E4938" s="6" t="inlineStr">
        <is>
          <t>R1170994</t>
        </is>
      </c>
      <c r="F4938" s="2" t="n">
        <v>44394</v>
      </c>
      <c r="G4938" s="1" t="n"/>
    </row>
    <row r="4939">
      <c r="A4939" s="6" t="n">
        <v>768676</v>
      </c>
      <c r="B4939" s="6" t="inlineStr">
        <is>
          <t>ANDRE CHAMPAGNE MOSCATO</t>
        </is>
      </c>
      <c r="C4939" s="7">
        <f>VLOOKUP(A4939,SizeData!A$2:B$3839,2,FALSE)</f>
        <v/>
      </c>
      <c r="D4939" s="6" t="n">
        <v>2</v>
      </c>
      <c r="E4939" s="6" t="inlineStr">
        <is>
          <t>R1263507</t>
        </is>
      </c>
      <c r="F4939" s="2" t="n">
        <v>44467</v>
      </c>
      <c r="G4939" s="1" t="n"/>
    </row>
    <row r="4940">
      <c r="A4940" s="6" t="n">
        <v>768676</v>
      </c>
      <c r="B4940" s="6" t="inlineStr">
        <is>
          <t>ANDRE CHAMPAGNE MOSCATO</t>
        </is>
      </c>
      <c r="C4940" s="7">
        <f>VLOOKUP(A4940,SizeData!A$2:B$3839,2,FALSE)</f>
        <v/>
      </c>
      <c r="D4940" s="6" t="n">
        <v>0</v>
      </c>
      <c r="E4940" s="6" t="inlineStr">
        <is>
          <t>R1326235</t>
        </is>
      </c>
      <c r="F4940" s="2" t="n">
        <v>44509</v>
      </c>
      <c r="G4940" s="1" t="n"/>
    </row>
    <row r="4941">
      <c r="A4941" s="6" t="n">
        <v>768678</v>
      </c>
      <c r="B4941" s="6" t="inlineStr">
        <is>
          <t>ANDRE CHAMPAGNE PINK MOSCATO</t>
        </is>
      </c>
      <c r="C4941" s="7">
        <f>VLOOKUP(A4941,SizeData!A$2:B$3839,2,FALSE)</f>
        <v/>
      </c>
      <c r="D4941" s="6" t="n">
        <v>1</v>
      </c>
      <c r="E4941" s="6" t="inlineStr">
        <is>
          <t>R1101961</t>
        </is>
      </c>
      <c r="F4941" s="2" t="n">
        <v>44320</v>
      </c>
      <c r="G4941" s="1" t="n"/>
    </row>
    <row r="4942">
      <c r="A4942" s="6" t="n">
        <v>768678</v>
      </c>
      <c r="B4942" s="6" t="inlineStr">
        <is>
          <t>ANDRE CHAMPAGNE PINK MOSCATO</t>
        </is>
      </c>
      <c r="C4942" s="7">
        <f>VLOOKUP(A4942,SizeData!A$2:B$3839,2,FALSE)</f>
        <v/>
      </c>
      <c r="D4942" s="6" t="n">
        <v>2</v>
      </c>
      <c r="E4942" s="6" t="inlineStr">
        <is>
          <t>R1111874</t>
        </is>
      </c>
      <c r="F4942" s="2" t="n">
        <v>44326</v>
      </c>
      <c r="G4942" s="1" t="n"/>
    </row>
    <row r="4943">
      <c r="A4943" s="6" t="n">
        <v>768678</v>
      </c>
      <c r="B4943" s="6" t="inlineStr">
        <is>
          <t>ANDRE CHAMPAGNE PINK MOSCATO</t>
        </is>
      </c>
      <c r="C4943" s="7">
        <f>VLOOKUP(A4943,SizeData!A$2:B$3839,2,FALSE)</f>
        <v/>
      </c>
      <c r="D4943" s="6" t="n">
        <v>1</v>
      </c>
      <c r="E4943" s="6" t="inlineStr">
        <is>
          <t>R1131905</t>
        </is>
      </c>
      <c r="F4943" s="2" t="n">
        <v>44340</v>
      </c>
      <c r="G4943" s="1" t="n"/>
    </row>
    <row r="4944">
      <c r="A4944" s="6" t="n">
        <v>768678</v>
      </c>
      <c r="B4944" s="6" t="inlineStr">
        <is>
          <t>ANDRE CHAMPAGNE PINK MOSCATO</t>
        </is>
      </c>
      <c r="C4944" s="7">
        <f>VLOOKUP(A4944,SizeData!A$2:B$3839,2,FALSE)</f>
        <v/>
      </c>
      <c r="D4944" s="6" t="n">
        <v>1</v>
      </c>
      <c r="E4944" s="6" t="inlineStr">
        <is>
          <t xml:space="preserve"> R1175279</t>
        </is>
      </c>
      <c r="F4944" s="2" t="n">
        <v>44382</v>
      </c>
      <c r="G4944" s="1" t="n"/>
    </row>
    <row r="4945">
      <c r="A4945" s="6" t="n">
        <v>768678</v>
      </c>
      <c r="B4945" s="6" t="inlineStr">
        <is>
          <t>ANDRE CHAMPAGNE PINK MOSCATO</t>
        </is>
      </c>
      <c r="C4945" s="7">
        <f>VLOOKUP(A4945,SizeData!A$2:B$3839,2,FALSE)</f>
        <v/>
      </c>
      <c r="D4945" s="6" t="n">
        <v>4</v>
      </c>
      <c r="E4945" s="6" t="inlineStr">
        <is>
          <t>R1260244</t>
        </is>
      </c>
      <c r="F4945" s="2" t="n">
        <v>44457</v>
      </c>
      <c r="G4945" s="1" t="n"/>
    </row>
    <row r="4946">
      <c r="A4946" s="6" t="n">
        <v>768678</v>
      </c>
      <c r="B4946" s="6" t="inlineStr">
        <is>
          <t>ANDRE CHAMPAGNE PINK MOSCATO</t>
        </is>
      </c>
      <c r="C4946" s="7">
        <f>VLOOKUP(A4946,SizeData!A$2:B$3839,2,FALSE)</f>
        <v/>
      </c>
      <c r="D4946" s="6" t="n">
        <v>2</v>
      </c>
      <c r="E4946" s="6" t="inlineStr">
        <is>
          <t>R1307558</t>
        </is>
      </c>
      <c r="F4946" s="2" t="n">
        <v>44502</v>
      </c>
      <c r="G4946" s="1" t="n"/>
    </row>
    <row r="4947">
      <c r="A4947" s="6" t="n">
        <v>768681</v>
      </c>
      <c r="B4947" s="6" t="inlineStr">
        <is>
          <t>ANDRE CHAMPAGNE PEACH MOSCATO</t>
        </is>
      </c>
      <c r="C4947" s="7">
        <f>VLOOKUP(A4947,SizeData!A$2:B$3839,2,FALSE)</f>
        <v/>
      </c>
      <c r="D4947" s="6" t="n">
        <v>2</v>
      </c>
      <c r="E4947" s="6" t="inlineStr">
        <is>
          <t>R1170994</t>
        </is>
      </c>
      <c r="F4947" s="2" t="n">
        <v>44394</v>
      </c>
      <c r="G4947" s="1" t="n"/>
    </row>
    <row r="4948">
      <c r="A4948" s="6" t="n">
        <v>768681</v>
      </c>
      <c r="B4948" s="6" t="inlineStr">
        <is>
          <t>ANDRE CHAMPAGNE PEACH MOSCATO</t>
        </is>
      </c>
      <c r="C4948" s="7">
        <f>VLOOKUP(A4948,SizeData!A$2:B$3839,2,FALSE)</f>
        <v/>
      </c>
      <c r="D4948" s="6" t="n">
        <v>1</v>
      </c>
      <c r="E4948" s="6" t="inlineStr">
        <is>
          <t>R1187907</t>
        </is>
      </c>
      <c r="F4948" s="2" t="n">
        <v>44401</v>
      </c>
      <c r="G4948" s="1" t="n"/>
    </row>
    <row r="4949">
      <c r="A4949" s="6" t="n">
        <v>768681</v>
      </c>
      <c r="B4949" s="6" t="inlineStr">
        <is>
          <t>ANDRE CHAMPAGNE PEACH MOSCATO</t>
        </is>
      </c>
      <c r="C4949" s="7">
        <f>VLOOKUP(A4949,SizeData!A$2:B$3839,2,FALSE)</f>
        <v/>
      </c>
      <c r="D4949" s="6" t="n">
        <v>1</v>
      </c>
      <c r="E4949" s="6" t="inlineStr">
        <is>
          <t>R1265540</t>
        </is>
      </c>
      <c r="F4949" s="2" t="n">
        <v>44459</v>
      </c>
      <c r="G4949" s="1" t="n"/>
    </row>
    <row r="4950">
      <c r="A4950" s="6" t="n">
        <v>768681</v>
      </c>
      <c r="B4950" s="6" t="inlineStr">
        <is>
          <t>ANDRE CHAMPAGNE PEACH MOSCATO</t>
        </is>
      </c>
      <c r="C4950" s="7">
        <f>VLOOKUP(A4950,SizeData!A$2:B$3839,2,FALSE)</f>
        <v/>
      </c>
      <c r="D4950" s="6" t="n">
        <v>4</v>
      </c>
      <c r="E4950" s="6" t="inlineStr">
        <is>
          <t>R1259107</t>
        </is>
      </c>
      <c r="F4950" s="2" t="n">
        <v>44466</v>
      </c>
      <c r="G4950" s="1" t="n"/>
    </row>
    <row r="4951">
      <c r="A4951" s="6" t="n">
        <v>768681</v>
      </c>
      <c r="B4951" s="6" t="inlineStr">
        <is>
          <t>ANDRE CHAMPAGNE PEACH MOSCATO</t>
        </is>
      </c>
      <c r="C4951" s="7">
        <f>VLOOKUP(A4951,SizeData!A$2:B$3839,2,FALSE)</f>
        <v/>
      </c>
      <c r="D4951" s="6" t="n">
        <v>10</v>
      </c>
      <c r="E4951" s="6" t="inlineStr">
        <is>
          <t>R1299583</t>
        </is>
      </c>
      <c r="F4951" s="2" t="n">
        <v>44502</v>
      </c>
      <c r="G4951" s="1" t="n"/>
    </row>
    <row r="4952">
      <c r="A4952" s="6" t="n">
        <v>768692</v>
      </c>
      <c r="B4952" s="6" t="inlineStr">
        <is>
          <t>ANDRE CHAMPAGNE STRAWBERRY MOSCATO</t>
        </is>
      </c>
      <c r="C4952" s="7">
        <f>VLOOKUP(A4952,SizeData!A$2:B$3839,2,FALSE)</f>
        <v/>
      </c>
      <c r="D4952" s="6" t="n">
        <v>1</v>
      </c>
      <c r="E4952" s="6" t="inlineStr">
        <is>
          <t>R1121370</t>
        </is>
      </c>
      <c r="F4952" s="2" t="n">
        <v>44331</v>
      </c>
      <c r="G4952" s="1" t="n"/>
    </row>
    <row r="4953">
      <c r="A4953" s="6" t="n">
        <v>768692</v>
      </c>
      <c r="B4953" s="6" t="inlineStr">
        <is>
          <t>ANDRE CHAMPAGNE STRAWBERRY MOSCATO</t>
        </is>
      </c>
      <c r="C4953" s="7">
        <f>VLOOKUP(A4953,SizeData!A$2:B$3839,2,FALSE)</f>
        <v/>
      </c>
      <c r="D4953" s="6" t="n">
        <v>1</v>
      </c>
      <c r="E4953" s="6" t="inlineStr">
        <is>
          <t>R1170994</t>
        </is>
      </c>
      <c r="F4953" s="2" t="n">
        <v>44394</v>
      </c>
      <c r="G4953" s="1" t="n"/>
    </row>
    <row r="4954">
      <c r="A4954" s="6" t="n">
        <v>768692</v>
      </c>
      <c r="B4954" s="6" t="inlineStr">
        <is>
          <t>ANDRE CHAMPAGNE STRAWBERRY MOSCATO</t>
        </is>
      </c>
      <c r="C4954" s="7">
        <f>VLOOKUP(A4954,SizeData!A$2:B$3839,2,FALSE)</f>
        <v/>
      </c>
      <c r="D4954" s="6" t="n">
        <v>2</v>
      </c>
      <c r="E4954" s="6" t="inlineStr">
        <is>
          <t>R1265540</t>
        </is>
      </c>
      <c r="F4954" s="2" t="n">
        <v>44459</v>
      </c>
      <c r="G4954" s="1" t="n"/>
    </row>
    <row r="4955">
      <c r="A4955" s="6" t="n">
        <v>768950</v>
      </c>
      <c r="B4955" s="6" t="inlineStr">
        <is>
          <t>BALLATORE SPUMANTE</t>
        </is>
      </c>
      <c r="C4955" s="7">
        <f>VLOOKUP(A4955,SizeData!A$2:B$3839,2,FALSE)</f>
        <v/>
      </c>
      <c r="D4955" s="6" t="n">
        <v>2</v>
      </c>
      <c r="E4955" s="6" t="inlineStr">
        <is>
          <t>R992402</t>
        </is>
      </c>
      <c r="F4955" s="2" t="n">
        <v>44198</v>
      </c>
      <c r="G4955" s="1" t="n"/>
    </row>
    <row r="4956">
      <c r="A4956" s="6" t="n">
        <v>768950</v>
      </c>
      <c r="B4956" s="6" t="inlineStr">
        <is>
          <t>BALLATORE SPUMANTE</t>
        </is>
      </c>
      <c r="C4956" s="7">
        <f>VLOOKUP(A4956,SizeData!A$2:B$3839,2,FALSE)</f>
        <v/>
      </c>
      <c r="D4956" s="6" t="n">
        <v>1</v>
      </c>
      <c r="E4956" s="6" t="inlineStr">
        <is>
          <t>R1079257</t>
        </is>
      </c>
      <c r="F4956" s="2" t="n">
        <v>44298</v>
      </c>
      <c r="G4956" s="1" t="n"/>
    </row>
    <row r="4957">
      <c r="A4957" s="6" t="n">
        <v>768950</v>
      </c>
      <c r="B4957" s="6" t="inlineStr">
        <is>
          <t>BALLATORE SPUMANTE</t>
        </is>
      </c>
      <c r="C4957" s="7">
        <f>VLOOKUP(A4957,SizeData!A$2:B$3839,2,FALSE)</f>
        <v/>
      </c>
      <c r="D4957" s="6" t="n">
        <v>1</v>
      </c>
      <c r="E4957" s="6" t="inlineStr">
        <is>
          <t>R1110509</t>
        </is>
      </c>
      <c r="F4957" s="2" t="n">
        <v>44306</v>
      </c>
      <c r="G4957" s="1" t="n"/>
    </row>
    <row r="4958">
      <c r="A4958" s="6" t="n">
        <v>768950</v>
      </c>
      <c r="B4958" s="6" t="inlineStr">
        <is>
          <t>BALLATORE SPUMANTE</t>
        </is>
      </c>
      <c r="C4958" s="7">
        <f>VLOOKUP(A4958,SizeData!A$2:B$3839,2,FALSE)</f>
        <v/>
      </c>
      <c r="D4958" s="6" t="n">
        <v>1</v>
      </c>
      <c r="E4958" s="6" t="inlineStr">
        <is>
          <t>R1114354</t>
        </is>
      </c>
      <c r="F4958" s="2" t="n">
        <v>44334</v>
      </c>
      <c r="G4958" s="1" t="n"/>
    </row>
    <row r="4959">
      <c r="A4959" s="6" t="n">
        <v>768950</v>
      </c>
      <c r="B4959" s="6" t="inlineStr">
        <is>
          <t>BALLATORE SPUMANTE</t>
        </is>
      </c>
      <c r="C4959" s="7">
        <f>VLOOKUP(A4959,SizeData!A$2:B$3839,2,FALSE)</f>
        <v/>
      </c>
      <c r="D4959" s="6" t="n">
        <v>1</v>
      </c>
      <c r="E4959" s="6" t="inlineStr">
        <is>
          <t>R1281530</t>
        </is>
      </c>
      <c r="F4959" s="2" t="n">
        <v>44481</v>
      </c>
      <c r="G4959" s="1" t="n"/>
    </row>
    <row r="4960">
      <c r="A4960" s="6" t="n">
        <v>768950</v>
      </c>
      <c r="B4960" s="6" t="inlineStr">
        <is>
          <t>BALLATORE SPUMANTE</t>
        </is>
      </c>
      <c r="C4960" s="7">
        <f>VLOOKUP(A4960,SizeData!A$2:B$3839,2,FALSE)</f>
        <v/>
      </c>
      <c r="D4960" s="6" t="n">
        <v>1</v>
      </c>
      <c r="E4960" s="6" t="inlineStr">
        <is>
          <t>R1334786</t>
        </is>
      </c>
      <c r="F4960" s="2" t="n">
        <v>44529</v>
      </c>
      <c r="G4960" s="1" t="n"/>
    </row>
    <row r="4961">
      <c r="A4961" s="6" t="n">
        <v>768955</v>
      </c>
      <c r="B4961" s="6" t="inlineStr">
        <is>
          <t>BALLATORE MOSCATO ROSE SPARKLING</t>
        </is>
      </c>
      <c r="C4961" s="7">
        <f>VLOOKUP(A4961,SizeData!A$2:B$3839,2,FALSE)</f>
        <v/>
      </c>
      <c r="D4961" s="6" t="n">
        <v>1</v>
      </c>
      <c r="E4961" s="6" t="inlineStr">
        <is>
          <t>R994060</t>
        </is>
      </c>
      <c r="F4961" s="2" t="n">
        <v>44209</v>
      </c>
      <c r="G4961" s="1" t="n"/>
    </row>
    <row r="4962">
      <c r="A4962" s="6" t="n">
        <v>768955</v>
      </c>
      <c r="B4962" s="6" t="inlineStr">
        <is>
          <t>BALLATORE MOSCATO ROSE SPARKLING</t>
        </is>
      </c>
      <c r="C4962" s="7">
        <f>VLOOKUP(A4962,SizeData!A$2:B$3839,2,FALSE)</f>
        <v/>
      </c>
      <c r="D4962" s="6" t="n">
        <v>1</v>
      </c>
      <c r="E4962" s="6" t="inlineStr">
        <is>
          <t>R1091962</t>
        </is>
      </c>
      <c r="F4962" s="2" t="n">
        <v>44295</v>
      </c>
      <c r="G4962" s="1" t="n"/>
    </row>
    <row r="4963">
      <c r="A4963" s="6" t="n">
        <v>768955</v>
      </c>
      <c r="B4963" s="6" t="inlineStr">
        <is>
          <t>BALLATORE MOSCATO ROSE SPARKLING</t>
        </is>
      </c>
      <c r="C4963" s="7">
        <f>VLOOKUP(A4963,SizeData!A$2:B$3839,2,FALSE)</f>
        <v/>
      </c>
      <c r="D4963" s="6" t="n">
        <v>1</v>
      </c>
      <c r="E4963" s="6" t="inlineStr">
        <is>
          <t>R1101640</t>
        </is>
      </c>
      <c r="F4963" s="2" t="n">
        <v>44310</v>
      </c>
      <c r="G4963" s="1" t="n"/>
    </row>
    <row r="4964">
      <c r="A4964" s="6" t="n">
        <v>768955</v>
      </c>
      <c r="B4964" s="6" t="inlineStr">
        <is>
          <t>BALLATORE MOSCATO ROSE SPARKLING</t>
        </is>
      </c>
      <c r="C4964" s="7">
        <f>VLOOKUP(A4964,SizeData!A$2:B$3839,2,FALSE)</f>
        <v/>
      </c>
      <c r="D4964" s="6" t="n">
        <v>1</v>
      </c>
      <c r="E4964" s="6" t="inlineStr">
        <is>
          <t xml:space="preserve"> R1125172</t>
        </is>
      </c>
      <c r="F4964" s="2" t="n">
        <v>44322</v>
      </c>
      <c r="G4964" s="1" t="n"/>
    </row>
    <row r="4965">
      <c r="A4965" s="6" t="n">
        <v>768955</v>
      </c>
      <c r="B4965" s="6" t="inlineStr">
        <is>
          <t>BALLATORE MOSCATO ROSE SPARKLING</t>
        </is>
      </c>
      <c r="C4965" s="7">
        <f>VLOOKUP(A4965,SizeData!A$2:B$3839,2,FALSE)</f>
        <v/>
      </c>
      <c r="D4965" s="6" t="n">
        <v>2</v>
      </c>
      <c r="E4965" s="6" t="inlineStr">
        <is>
          <t>R1130062</t>
        </is>
      </c>
      <c r="F4965" s="2" t="n">
        <v>44328</v>
      </c>
      <c r="G4965" s="1" t="n"/>
    </row>
    <row r="4966">
      <c r="A4966" s="6" t="n">
        <v>768955</v>
      </c>
      <c r="B4966" s="6" t="inlineStr">
        <is>
          <t>BALLATORE MOSCATO ROSE SPARKLING</t>
        </is>
      </c>
      <c r="C4966" s="7">
        <f>VLOOKUP(A4966,SizeData!A$2:B$3839,2,FALSE)</f>
        <v/>
      </c>
      <c r="D4966" s="6" t="n">
        <v>1</v>
      </c>
      <c r="E4966" s="6" t="inlineStr">
        <is>
          <t>R1128764</t>
        </is>
      </c>
      <c r="F4966" s="2" t="n">
        <v>44336</v>
      </c>
      <c r="G4966" s="1" t="n"/>
    </row>
    <row r="4967">
      <c r="A4967" s="6" t="n">
        <v>768955</v>
      </c>
      <c r="B4967" s="6" t="inlineStr">
        <is>
          <t>BALLATORE MOSCATO ROSE SPARKLING</t>
        </is>
      </c>
      <c r="C4967" s="7">
        <f>VLOOKUP(A4967,SizeData!A$2:B$3839,2,FALSE)</f>
        <v/>
      </c>
      <c r="D4967" s="6" t="n">
        <v>1</v>
      </c>
      <c r="E4967" s="6" t="inlineStr">
        <is>
          <t>R1131905</t>
        </is>
      </c>
      <c r="F4967" s="2" t="n">
        <v>44340</v>
      </c>
      <c r="G4967" s="1" t="n"/>
    </row>
    <row r="4968">
      <c r="A4968" s="6" t="n">
        <v>768955</v>
      </c>
      <c r="B4968" s="6" t="inlineStr">
        <is>
          <t>BALLATORE MOSCATO ROSE SPARKLING</t>
        </is>
      </c>
      <c r="C4968" s="7">
        <f>VLOOKUP(A4968,SizeData!A$2:B$3839,2,FALSE)</f>
        <v/>
      </c>
      <c r="D4968" s="6" t="n">
        <v>2</v>
      </c>
      <c r="E4968" s="6" t="inlineStr">
        <is>
          <t>R1127639</t>
        </is>
      </c>
      <c r="F4968" s="2" t="n">
        <v>44341</v>
      </c>
      <c r="G4968" s="1" t="n"/>
    </row>
    <row r="4969">
      <c r="A4969" s="6" t="n">
        <v>768955</v>
      </c>
      <c r="B4969" s="6" t="inlineStr">
        <is>
          <t>BALLATORE MOSCATO ROSE SPARKLING</t>
        </is>
      </c>
      <c r="C4969" s="7">
        <f>VLOOKUP(A4969,SizeData!A$2:B$3839,2,FALSE)</f>
        <v/>
      </c>
      <c r="D4969" s="6" t="n">
        <v>1</v>
      </c>
      <c r="E4969" s="6" t="inlineStr">
        <is>
          <t>R1171594</t>
        </is>
      </c>
      <c r="F4969" s="2" t="n">
        <v>44392</v>
      </c>
      <c r="G4969" s="1" t="n"/>
    </row>
    <row r="4970">
      <c r="A4970" s="6" t="n">
        <v>768955</v>
      </c>
      <c r="B4970" s="6" t="inlineStr">
        <is>
          <t>BALLATORE MOSCATO ROSE SPARKLING</t>
        </is>
      </c>
      <c r="C4970" s="7">
        <f>VLOOKUP(A4970,SizeData!A$2:B$3839,2,FALSE)</f>
        <v/>
      </c>
      <c r="D4970" s="6" t="n">
        <v>1</v>
      </c>
      <c r="E4970" s="6" t="inlineStr">
        <is>
          <t>R1196336</t>
        </is>
      </c>
      <c r="F4970" s="2" t="n">
        <v>44405</v>
      </c>
      <c r="G4970" s="1" t="n"/>
    </row>
    <row r="4971">
      <c r="A4971" s="6" t="n">
        <v>768955</v>
      </c>
      <c r="B4971" s="6" t="inlineStr">
        <is>
          <t>BALLATORE MOSCATO ROSE SPARKLING</t>
        </is>
      </c>
      <c r="C4971" s="7">
        <f>VLOOKUP(A4971,SizeData!A$2:B$3839,2,FALSE)</f>
        <v/>
      </c>
      <c r="D4971" s="6" t="n">
        <v>2</v>
      </c>
      <c r="E4971" s="6" t="inlineStr">
        <is>
          <t>R1254400</t>
        </is>
      </c>
      <c r="F4971" s="2" t="n">
        <v>44468</v>
      </c>
      <c r="G4971" s="1" t="n"/>
    </row>
    <row r="4972">
      <c r="A4972" s="6" t="n">
        <v>768955</v>
      </c>
      <c r="B4972" s="6" t="inlineStr">
        <is>
          <t>BALLATORE MOSCATO ROSE SPARKLING</t>
        </is>
      </c>
      <c r="C4972" s="7">
        <f>VLOOKUP(A4972,SizeData!A$2:B$3839,2,FALSE)</f>
        <v/>
      </c>
      <c r="D4972" s="6" t="n">
        <v>2</v>
      </c>
      <c r="E4972" s="6" t="inlineStr">
        <is>
          <t>R1296060</t>
        </is>
      </c>
      <c r="F4972" s="2" t="n">
        <v>44491</v>
      </c>
      <c r="G4972" s="1" t="n"/>
    </row>
    <row r="4973">
      <c r="A4973" s="6" t="n">
        <v>768955</v>
      </c>
      <c r="B4973" s="6" t="inlineStr">
        <is>
          <t>BALLATORE MOSCATO ROSE SPARKLING</t>
        </is>
      </c>
      <c r="C4973" s="7">
        <f>VLOOKUP(A4973,SizeData!A$2:B$3839,2,FALSE)</f>
        <v/>
      </c>
      <c r="D4973" s="6" t="n">
        <v>2</v>
      </c>
      <c r="E4973" s="6" t="inlineStr">
        <is>
          <t>R1334786</t>
        </is>
      </c>
      <c r="F4973" s="2" t="n">
        <v>44529</v>
      </c>
      <c r="G4973" s="1" t="n"/>
    </row>
    <row r="4974">
      <c r="A4974" s="6" t="n">
        <v>769001</v>
      </c>
      <c r="B4974" s="6" t="inlineStr">
        <is>
          <t>BAREFOOT BUBBLY MOSCATO SPUMANTE</t>
        </is>
      </c>
      <c r="C4974" s="7">
        <f>VLOOKUP(A4974,SizeData!A$2:B$3839,2,FALSE)</f>
        <v/>
      </c>
      <c r="D4974" s="6" t="n">
        <v>1</v>
      </c>
      <c r="E4974" s="6" t="inlineStr">
        <is>
          <t>R1003923</t>
        </is>
      </c>
      <c r="F4974" s="2" t="n">
        <v>44219</v>
      </c>
      <c r="G4974" s="1" t="n"/>
    </row>
    <row r="4975">
      <c r="A4975" s="6" t="n">
        <v>769001</v>
      </c>
      <c r="B4975" s="6" t="inlineStr">
        <is>
          <t>BAREFOOT BUBBLY MOSCATO SPUMANTE</t>
        </is>
      </c>
      <c r="C4975" s="7">
        <f>VLOOKUP(A4975,SizeData!A$2:B$3839,2,FALSE)</f>
        <v/>
      </c>
      <c r="D4975" s="6" t="n">
        <v>1</v>
      </c>
      <c r="E4975" s="6" t="inlineStr">
        <is>
          <t>R1189020</t>
        </is>
      </c>
      <c r="F4975" s="2" t="n">
        <v>44406</v>
      </c>
      <c r="G4975" s="1" t="n"/>
    </row>
    <row r="4976">
      <c r="A4976" s="6" t="n">
        <v>769001</v>
      </c>
      <c r="B4976" s="6" t="inlineStr">
        <is>
          <t>BAREFOOT BUBBLY MOSCATO SPUMANTE</t>
        </is>
      </c>
      <c r="C4976" s="7">
        <f>VLOOKUP(A4976,SizeData!A$2:B$3839,2,FALSE)</f>
        <v/>
      </c>
      <c r="D4976" s="6" t="n">
        <v>1</v>
      </c>
      <c r="E4976" s="6" t="inlineStr">
        <is>
          <t>R1200565</t>
        </is>
      </c>
      <c r="F4976" s="2" t="n">
        <v>44411</v>
      </c>
      <c r="G4976" s="1" t="n"/>
    </row>
    <row r="4977">
      <c r="A4977" s="6" t="n">
        <v>769001</v>
      </c>
      <c r="B4977" s="6" t="inlineStr">
        <is>
          <t>BAREFOOT BUBBLY MOSCATO SPUMANTE</t>
        </is>
      </c>
      <c r="C4977" s="7">
        <f>VLOOKUP(A4977,SizeData!A$2:B$3839,2,FALSE)</f>
        <v/>
      </c>
      <c r="D4977" s="6" t="n">
        <v>1</v>
      </c>
      <c r="E4977" s="6" t="inlineStr">
        <is>
          <t xml:space="preserve"> R1206104</t>
        </is>
      </c>
      <c r="F4977" s="2" t="n">
        <v>44413</v>
      </c>
      <c r="G4977" s="1" t="n"/>
    </row>
    <row r="4978">
      <c r="A4978" s="6" t="n">
        <v>769001</v>
      </c>
      <c r="B4978" s="6" t="inlineStr">
        <is>
          <t>BAREFOOT BUBBLY MOSCATO SPUMANTE</t>
        </is>
      </c>
      <c r="C4978" s="7">
        <f>VLOOKUP(A4978,SizeData!A$2:B$3839,2,FALSE)</f>
        <v/>
      </c>
      <c r="D4978" s="6" t="n">
        <v>2</v>
      </c>
      <c r="E4978" s="6" t="inlineStr">
        <is>
          <t>R1284745</t>
        </is>
      </c>
      <c r="F4978" s="2" t="n">
        <v>44490</v>
      </c>
      <c r="G4978" s="1" t="n"/>
    </row>
    <row r="4979">
      <c r="A4979" s="6" t="n">
        <v>769005</v>
      </c>
      <c r="B4979" s="6" t="inlineStr">
        <is>
          <t>BAREFOOT BUBBLY MOSCATO SPUMANTE</t>
        </is>
      </c>
      <c r="C4979" s="7">
        <f>VLOOKUP(A4979,SizeData!A$2:B$3839,2,FALSE)</f>
        <v/>
      </c>
      <c r="D4979" s="6" t="n">
        <v>1</v>
      </c>
      <c r="E4979" s="6" t="inlineStr">
        <is>
          <t>R1011478</t>
        </is>
      </c>
      <c r="F4979" s="2" t="n">
        <v>44226</v>
      </c>
      <c r="G4979" s="1" t="n"/>
    </row>
    <row r="4980">
      <c r="A4980" s="6" t="n">
        <v>769005</v>
      </c>
      <c r="B4980" s="6" t="inlineStr">
        <is>
          <t>BAREFOOT BUBBLY MOSCATO SPUMANTE</t>
        </is>
      </c>
      <c r="C4980" s="7">
        <f>VLOOKUP(A4980,SizeData!A$2:B$3839,2,FALSE)</f>
        <v/>
      </c>
      <c r="D4980" s="6" t="n">
        <v>1</v>
      </c>
      <c r="E4980" s="6" t="inlineStr">
        <is>
          <t>R1032609</t>
        </is>
      </c>
      <c r="F4980" s="2" t="n">
        <v>44246</v>
      </c>
      <c r="G4980" s="1" t="n"/>
    </row>
    <row r="4981">
      <c r="A4981" s="6" t="n">
        <v>769005</v>
      </c>
      <c r="B4981" s="6" t="inlineStr">
        <is>
          <t>BAREFOOT BUBBLY MOSCATO SPUMANTE</t>
        </is>
      </c>
      <c r="C4981" s="7">
        <f>VLOOKUP(A4981,SizeData!A$2:B$3839,2,FALSE)</f>
        <v/>
      </c>
      <c r="D4981" s="6" t="n">
        <v>1</v>
      </c>
      <c r="E4981" s="6" t="inlineStr">
        <is>
          <t>R1137831</t>
        </is>
      </c>
      <c r="F4981" s="2" t="n">
        <v>44348</v>
      </c>
      <c r="G4981" s="1" t="n"/>
    </row>
    <row r="4982">
      <c r="A4982" s="6" t="n">
        <v>769005</v>
      </c>
      <c r="B4982" s="6" t="inlineStr">
        <is>
          <t>BAREFOOT BUBBLY MOSCATO SPUMANTE</t>
        </is>
      </c>
      <c r="C4982" s="7">
        <f>VLOOKUP(A4982,SizeData!A$2:B$3839,2,FALSE)</f>
        <v/>
      </c>
      <c r="D4982" s="6" t="n">
        <v>1</v>
      </c>
      <c r="E4982" s="6" t="inlineStr">
        <is>
          <t>R1156117</t>
        </is>
      </c>
      <c r="F4982" s="2" t="n">
        <v>44362</v>
      </c>
      <c r="G4982" s="1" t="n"/>
    </row>
    <row r="4983">
      <c r="A4983" s="6" t="n">
        <v>769005</v>
      </c>
      <c r="B4983" s="6" t="inlineStr">
        <is>
          <t>BAREFOOT BUBBLY MOSCATO SPUMANTE</t>
        </is>
      </c>
      <c r="C4983" s="7">
        <f>VLOOKUP(A4983,SizeData!A$2:B$3839,2,FALSE)</f>
        <v/>
      </c>
      <c r="D4983" s="6" t="n">
        <v>1</v>
      </c>
      <c r="E4983" s="6" t="inlineStr">
        <is>
          <t xml:space="preserve"> R1206104</t>
        </is>
      </c>
      <c r="F4983" s="2" t="n">
        <v>44413</v>
      </c>
      <c r="G4983" s="1" t="n"/>
    </row>
    <row r="4984">
      <c r="A4984" s="6" t="n">
        <v>769005</v>
      </c>
      <c r="B4984" s="6" t="inlineStr">
        <is>
          <t>BAREFOOT BUBBLY MOSCATO SPUMANTE</t>
        </is>
      </c>
      <c r="C4984" s="7">
        <f>VLOOKUP(A4984,SizeData!A$2:B$3839,2,FALSE)</f>
        <v/>
      </c>
      <c r="D4984" s="6" t="n">
        <v>2</v>
      </c>
      <c r="E4984" s="6" t="inlineStr">
        <is>
          <t>R1291275</t>
        </is>
      </c>
      <c r="F4984" s="2" t="n">
        <v>44498</v>
      </c>
      <c r="G4984" s="1" t="n"/>
    </row>
    <row r="4985">
      <c r="A4985" s="6" t="n">
        <v>769005</v>
      </c>
      <c r="B4985" s="6" t="inlineStr">
        <is>
          <t>BAREFOOT BUBBLY MOSCATO SPUMANTE</t>
        </is>
      </c>
      <c r="C4985" s="7">
        <f>VLOOKUP(A4985,SizeData!A$2:B$3839,2,FALSE)</f>
        <v/>
      </c>
      <c r="D4985" s="6" t="n">
        <v>1</v>
      </c>
      <c r="E4985" s="6" t="inlineStr">
        <is>
          <t>R1365354</t>
        </is>
      </c>
      <c r="F4985" s="2" t="n">
        <v>44532</v>
      </c>
      <c r="G4985" s="1" t="n"/>
    </row>
    <row r="4986">
      <c r="A4986" s="6" t="n">
        <v>769006</v>
      </c>
      <c r="B4986" s="6" t="inlineStr">
        <is>
          <t>BAREFOOT BUBBLY PEACH</t>
        </is>
      </c>
      <c r="C4986" s="7">
        <f>VLOOKUP(A4986,SizeData!A$2:B$3839,2,FALSE)</f>
        <v/>
      </c>
      <c r="D4986" s="6" t="n">
        <v>1</v>
      </c>
      <c r="E4986" s="6" t="inlineStr">
        <is>
          <t>R1032609</t>
        </is>
      </c>
      <c r="F4986" s="2" t="n">
        <v>44246</v>
      </c>
      <c r="G4986" s="1" t="n"/>
    </row>
    <row r="4987">
      <c r="A4987" s="6" t="n">
        <v>769006</v>
      </c>
      <c r="B4987" s="6" t="inlineStr">
        <is>
          <t>BAREFOOT BUBBLY PEACH</t>
        </is>
      </c>
      <c r="C4987" s="7">
        <f>VLOOKUP(A4987,SizeData!A$2:B$3839,2,FALSE)</f>
        <v/>
      </c>
      <c r="D4987" s="6" t="n">
        <v>0</v>
      </c>
      <c r="E4987" s="6" t="inlineStr">
        <is>
          <t>R1273155</t>
        </is>
      </c>
      <c r="F4987" s="2" t="n">
        <v>44480</v>
      </c>
      <c r="G4987" s="1" t="n"/>
    </row>
    <row r="4988">
      <c r="A4988" s="6" t="n">
        <v>769007</v>
      </c>
      <c r="B4988" s="6" t="inlineStr">
        <is>
          <t>BAREFOOT BUBBLY PINK MOSCATO</t>
        </is>
      </c>
      <c r="C4988" s="7">
        <f>VLOOKUP(A4988,SizeData!A$2:B$3839,2,FALSE)</f>
        <v/>
      </c>
      <c r="D4988" s="6" t="n">
        <v>1</v>
      </c>
      <c r="E4988" s="6" t="inlineStr">
        <is>
          <t>R993624</t>
        </is>
      </c>
      <c r="F4988" s="2" t="n">
        <v>44206</v>
      </c>
      <c r="G4988" s="1" t="n"/>
    </row>
    <row r="4989">
      <c r="A4989" s="6" t="n">
        <v>769007</v>
      </c>
      <c r="B4989" s="6" t="inlineStr">
        <is>
          <t>BAREFOOT BUBBLY PINK MOSCATO</t>
        </is>
      </c>
      <c r="C4989" s="7">
        <f>VLOOKUP(A4989,SizeData!A$2:B$3839,2,FALSE)</f>
        <v/>
      </c>
      <c r="D4989" s="6" t="n">
        <v>1</v>
      </c>
      <c r="E4989" s="6" t="inlineStr">
        <is>
          <t>R1000047</t>
        </is>
      </c>
      <c r="F4989" s="2" t="n">
        <v>44207</v>
      </c>
      <c r="G4989" s="1" t="n"/>
    </row>
    <row r="4990">
      <c r="A4990" s="6" t="n">
        <v>769007</v>
      </c>
      <c r="B4990" s="6" t="inlineStr">
        <is>
          <t>BAREFOOT BUBBLY PINK MOSCATO</t>
        </is>
      </c>
      <c r="C4990" s="7">
        <f>VLOOKUP(A4990,SizeData!A$2:B$3839,2,FALSE)</f>
        <v/>
      </c>
      <c r="D4990" s="6" t="n">
        <v>1</v>
      </c>
      <c r="E4990" s="6" t="inlineStr">
        <is>
          <t>R1003923</t>
        </is>
      </c>
      <c r="F4990" s="2" t="n">
        <v>44219</v>
      </c>
      <c r="G4990" s="1" t="n"/>
    </row>
    <row r="4991">
      <c r="A4991" s="6" t="n">
        <v>769007</v>
      </c>
      <c r="B4991" s="6" t="inlineStr">
        <is>
          <t>BAREFOOT BUBBLY PINK MOSCATO</t>
        </is>
      </c>
      <c r="C4991" s="7">
        <f>VLOOKUP(A4991,SizeData!A$2:B$3839,2,FALSE)</f>
        <v/>
      </c>
      <c r="D4991" s="6" t="n">
        <v>1</v>
      </c>
      <c r="E4991" s="6" t="inlineStr">
        <is>
          <t>R1008939</t>
        </is>
      </c>
      <c r="F4991" s="2" t="n">
        <v>44220</v>
      </c>
      <c r="G4991" s="1" t="n"/>
    </row>
    <row r="4992">
      <c r="A4992" s="6" t="n">
        <v>769007</v>
      </c>
      <c r="B4992" s="6" t="inlineStr">
        <is>
          <t>BAREFOOT BUBBLY PINK MOSCATO</t>
        </is>
      </c>
      <c r="C4992" s="7">
        <f>VLOOKUP(A4992,SizeData!A$2:B$3839,2,FALSE)</f>
        <v/>
      </c>
      <c r="D4992" s="6" t="n">
        <v>1</v>
      </c>
      <c r="E4992" s="6" t="inlineStr">
        <is>
          <t>R1008340</t>
        </is>
      </c>
      <c r="F4992" s="2" t="n">
        <v>44222</v>
      </c>
      <c r="G4992" s="1" t="n"/>
    </row>
    <row r="4993">
      <c r="A4993" s="6" t="n">
        <v>769007</v>
      </c>
      <c r="B4993" s="6" t="inlineStr">
        <is>
          <t>BAREFOOT BUBBLY PINK MOSCATO</t>
        </is>
      </c>
      <c r="C4993" s="7">
        <f>VLOOKUP(A4993,SizeData!A$2:B$3839,2,FALSE)</f>
        <v/>
      </c>
      <c r="D4993" s="6" t="n">
        <v>4</v>
      </c>
      <c r="E4993" s="6" t="inlineStr">
        <is>
          <t>R1308354</t>
        </is>
      </c>
      <c r="F4993" s="2" t="n">
        <v>44504</v>
      </c>
      <c r="G4993" s="1" t="n"/>
    </row>
    <row r="4994">
      <c r="A4994" s="6" t="n">
        <v>769008</v>
      </c>
      <c r="B4994" s="6" t="inlineStr">
        <is>
          <t>BAREFOOT BUBBLY PINK MOSCATO</t>
        </is>
      </c>
      <c r="C4994" s="7">
        <f>VLOOKUP(A4994,SizeData!A$2:B$3839,2,FALSE)</f>
        <v/>
      </c>
      <c r="D4994" s="6" t="n">
        <v>1</v>
      </c>
      <c r="E4994" s="6" t="inlineStr">
        <is>
          <t>R1011478</t>
        </is>
      </c>
      <c r="F4994" s="2" t="n">
        <v>44226</v>
      </c>
      <c r="G4994" s="1" t="n"/>
    </row>
    <row r="4995">
      <c r="A4995" s="6" t="n">
        <v>769008</v>
      </c>
      <c r="B4995" s="6" t="inlineStr">
        <is>
          <t>BAREFOOT BUBBLY PINK MOSCATO</t>
        </is>
      </c>
      <c r="C4995" s="7">
        <f>VLOOKUP(A4995,SizeData!A$2:B$3839,2,FALSE)</f>
        <v/>
      </c>
      <c r="D4995" s="6" t="n">
        <v>2</v>
      </c>
      <c r="E4995" s="6" t="inlineStr">
        <is>
          <t>R1032609</t>
        </is>
      </c>
      <c r="F4995" s="2" t="n">
        <v>44246</v>
      </c>
      <c r="G4995" s="1" t="n"/>
    </row>
    <row r="4996">
      <c r="A4996" s="6" t="n">
        <v>769008</v>
      </c>
      <c r="B4996" s="6" t="inlineStr">
        <is>
          <t>BAREFOOT BUBBLY PINK MOSCATO</t>
        </is>
      </c>
      <c r="C4996" s="7">
        <f>VLOOKUP(A4996,SizeData!A$2:B$3839,2,FALSE)</f>
        <v/>
      </c>
      <c r="D4996" s="6" t="n">
        <v>2</v>
      </c>
      <c r="E4996" s="6" t="inlineStr">
        <is>
          <t>R1110509</t>
        </is>
      </c>
      <c r="F4996" s="2" t="n">
        <v>44306</v>
      </c>
      <c r="G4996" s="1" t="n"/>
    </row>
    <row r="4997">
      <c r="A4997" s="6" t="n">
        <v>769008</v>
      </c>
      <c r="B4997" s="6" t="inlineStr">
        <is>
          <t>BAREFOOT BUBBLY PINK MOSCATO</t>
        </is>
      </c>
      <c r="C4997" s="7">
        <f>VLOOKUP(A4997,SizeData!A$2:B$3839,2,FALSE)</f>
        <v/>
      </c>
      <c r="D4997" s="6" t="n">
        <v>1</v>
      </c>
      <c r="E4997" s="6" t="inlineStr">
        <is>
          <t>R1099905</t>
        </is>
      </c>
      <c r="F4997" s="2" t="n">
        <v>44310</v>
      </c>
      <c r="G4997" s="1" t="n"/>
    </row>
    <row r="4998">
      <c r="A4998" s="6" t="n">
        <v>769008</v>
      </c>
      <c r="B4998" s="6" t="inlineStr">
        <is>
          <t>BAREFOOT BUBBLY PINK MOSCATO</t>
        </is>
      </c>
      <c r="C4998" s="7">
        <f>VLOOKUP(A4998,SizeData!A$2:B$3839,2,FALSE)</f>
        <v/>
      </c>
      <c r="D4998" s="6" t="n">
        <v>1</v>
      </c>
      <c r="E4998" s="6" t="inlineStr">
        <is>
          <t xml:space="preserve"> R1206104</t>
        </is>
      </c>
      <c r="F4998" s="2" t="n">
        <v>44413</v>
      </c>
      <c r="G4998" s="1" t="n"/>
    </row>
    <row r="4999">
      <c r="A4999" s="6" t="n">
        <v>769008</v>
      </c>
      <c r="B4999" s="6" t="inlineStr">
        <is>
          <t>BAREFOOT BUBBLY PINK MOSCATO</t>
        </is>
      </c>
      <c r="C4999" s="7">
        <f>VLOOKUP(A4999,SizeData!A$2:B$3839,2,FALSE)</f>
        <v/>
      </c>
      <c r="D4999" s="6" t="n">
        <v>1</v>
      </c>
      <c r="E4999" s="6" t="inlineStr">
        <is>
          <t>R1203719</t>
        </is>
      </c>
      <c r="F4999" s="2" t="n">
        <v>44419</v>
      </c>
      <c r="G4999" s="1" t="n"/>
    </row>
    <row r="5000">
      <c r="A5000" s="6" t="n">
        <v>769008</v>
      </c>
      <c r="B5000" s="6" t="inlineStr">
        <is>
          <t>BAREFOOT BUBBLY PINK MOSCATO</t>
        </is>
      </c>
      <c r="C5000" s="7">
        <f>VLOOKUP(A5000,SizeData!A$2:B$3839,2,FALSE)</f>
        <v/>
      </c>
      <c r="D5000" s="6" t="n">
        <v>1</v>
      </c>
      <c r="E5000" s="6" t="inlineStr">
        <is>
          <t>R1264756</t>
        </is>
      </c>
      <c r="F5000" s="2" t="n">
        <v>44472</v>
      </c>
      <c r="G5000" s="1" t="n"/>
    </row>
    <row r="5001">
      <c r="A5001" s="6" t="n">
        <v>769925</v>
      </c>
      <c r="B5001" s="6" t="inlineStr">
        <is>
          <t>COOK'S SPUMANTE</t>
        </is>
      </c>
      <c r="C5001" s="7">
        <f>VLOOKUP(A5001,SizeData!A$2:B$3839,2,FALSE)</f>
        <v/>
      </c>
      <c r="D5001" s="6" t="n">
        <v>1</v>
      </c>
      <c r="E5001" s="6" t="inlineStr">
        <is>
          <t>R1008340</t>
        </is>
      </c>
      <c r="F5001" s="2" t="n">
        <v>44222</v>
      </c>
      <c r="G5001" s="1" t="n"/>
    </row>
    <row r="5002">
      <c r="A5002" s="6" t="n">
        <v>769925</v>
      </c>
      <c r="B5002" s="6" t="inlineStr">
        <is>
          <t>COOK'S SPUMANTE</t>
        </is>
      </c>
      <c r="C5002" s="7">
        <f>VLOOKUP(A5002,SizeData!A$2:B$3839,2,FALSE)</f>
        <v/>
      </c>
      <c r="D5002" s="6" t="n">
        <v>1</v>
      </c>
      <c r="E5002" s="6" t="inlineStr">
        <is>
          <t>R1132471</t>
        </is>
      </c>
      <c r="F5002" s="2" t="n">
        <v>44349</v>
      </c>
      <c r="G5002" s="1" t="n"/>
    </row>
    <row r="5003">
      <c r="A5003" s="6" t="n">
        <v>769925</v>
      </c>
      <c r="B5003" s="6" t="inlineStr">
        <is>
          <t>COOK'S SPUMANTE</t>
        </is>
      </c>
      <c r="C5003" s="7">
        <f>VLOOKUP(A5003,SizeData!A$2:B$3839,2,FALSE)</f>
        <v/>
      </c>
      <c r="D5003" s="6" t="n">
        <v>1</v>
      </c>
      <c r="E5003" s="6" t="inlineStr">
        <is>
          <t>R1172122</t>
        </is>
      </c>
      <c r="F5003" s="2" t="n">
        <v>44390</v>
      </c>
      <c r="G5003" s="1" t="n"/>
    </row>
    <row r="5004">
      <c r="A5004" s="6" t="n">
        <v>769925</v>
      </c>
      <c r="B5004" s="6" t="inlineStr">
        <is>
          <t>COOK'S SPUMANTE</t>
        </is>
      </c>
      <c r="C5004" s="7">
        <f>VLOOKUP(A5004,SizeData!A$2:B$3839,2,FALSE)</f>
        <v/>
      </c>
      <c r="D5004" s="6" t="n">
        <v>1</v>
      </c>
      <c r="E5004" s="6" t="inlineStr">
        <is>
          <t>R1240644</t>
        </is>
      </c>
      <c r="F5004" s="2" t="n">
        <v>44440</v>
      </c>
      <c r="G5004" s="1" t="n"/>
    </row>
    <row r="5005">
      <c r="A5005" s="6" t="n">
        <v>774850</v>
      </c>
      <c r="B5005" s="6" t="inlineStr">
        <is>
          <t>J. ROGET SPUMANTE</t>
        </is>
      </c>
      <c r="C5005" s="7">
        <f>VLOOKUP(A5005,SizeData!A$2:B$3839,2,FALSE)</f>
        <v/>
      </c>
      <c r="D5005" s="6" t="n">
        <v>1</v>
      </c>
      <c r="E5005" s="6" t="inlineStr">
        <is>
          <t>R1196336</t>
        </is>
      </c>
      <c r="F5005" s="2" t="n">
        <v>44405</v>
      </c>
      <c r="G5005" s="1" t="n"/>
    </row>
    <row r="5006">
      <c r="A5006" s="6" t="n">
        <v>774850</v>
      </c>
      <c r="B5006" s="6" t="inlineStr">
        <is>
          <t>J. ROGET SPUMANTE</t>
        </is>
      </c>
      <c r="C5006" s="7">
        <f>VLOOKUP(A5006,SizeData!A$2:B$3839,2,FALSE)</f>
        <v/>
      </c>
      <c r="D5006" s="6" t="n">
        <v>1</v>
      </c>
      <c r="E5006" s="6" t="inlineStr">
        <is>
          <t>R1269954</t>
        </is>
      </c>
      <c r="F5006" s="2" t="n">
        <v>44475</v>
      </c>
      <c r="G5006" s="1" t="n"/>
    </row>
    <row r="5007">
      <c r="A5007" s="6" t="n">
        <v>774855</v>
      </c>
      <c r="B5007" s="6" t="inlineStr">
        <is>
          <t>J. ROGET SPUMANTE</t>
        </is>
      </c>
      <c r="C5007" s="7">
        <f>VLOOKUP(A5007,SizeData!A$2:B$3839,2,FALSE)</f>
        <v/>
      </c>
      <c r="D5007" s="6" t="n">
        <v>1</v>
      </c>
      <c r="E5007" s="6" t="inlineStr">
        <is>
          <t>R992402</t>
        </is>
      </c>
      <c r="F5007" s="2" t="n">
        <v>44198</v>
      </c>
      <c r="G5007" s="1" t="n"/>
    </row>
    <row r="5008">
      <c r="A5008" s="6" t="n">
        <v>774855</v>
      </c>
      <c r="B5008" s="6" t="inlineStr">
        <is>
          <t>J. ROGET SPUMANTE</t>
        </is>
      </c>
      <c r="C5008" s="7">
        <f>VLOOKUP(A5008,SizeData!A$2:B$3839,2,FALSE)</f>
        <v/>
      </c>
      <c r="D5008" s="6" t="n">
        <v>1</v>
      </c>
      <c r="E5008" s="6" t="inlineStr">
        <is>
          <t>R994060</t>
        </is>
      </c>
      <c r="F5008" s="2" t="n">
        <v>44209</v>
      </c>
      <c r="G5008" s="1" t="n"/>
    </row>
    <row r="5009">
      <c r="A5009" s="6" t="n">
        <v>774855</v>
      </c>
      <c r="B5009" s="6" t="inlineStr">
        <is>
          <t>J. ROGET SPUMANTE</t>
        </is>
      </c>
      <c r="C5009" s="7">
        <f>VLOOKUP(A5009,SizeData!A$2:B$3839,2,FALSE)</f>
        <v/>
      </c>
      <c r="D5009" s="6" t="n">
        <v>2</v>
      </c>
      <c r="E5009" s="6" t="inlineStr">
        <is>
          <t>R1129649</t>
        </is>
      </c>
      <c r="F5009" s="2" t="n">
        <v>44343</v>
      </c>
      <c r="G5009" s="1" t="n"/>
    </row>
    <row r="5010">
      <c r="A5010" s="6" t="n">
        <v>774855</v>
      </c>
      <c r="B5010" s="6" t="inlineStr">
        <is>
          <t>J. ROGET SPUMANTE</t>
        </is>
      </c>
      <c r="C5010" s="7">
        <f>VLOOKUP(A5010,SizeData!A$2:B$3839,2,FALSE)</f>
        <v/>
      </c>
      <c r="D5010" s="6" t="n">
        <v>0</v>
      </c>
      <c r="E5010" s="6" t="inlineStr">
        <is>
          <t>R1275278</t>
        </is>
      </c>
      <c r="F5010" s="2" t="n">
        <v>44478</v>
      </c>
      <c r="G5010" s="1" t="n"/>
    </row>
    <row r="5011">
      <c r="A5011" s="6" t="n">
        <v>774855</v>
      </c>
      <c r="B5011" s="6" t="inlineStr">
        <is>
          <t>J. ROGET SPUMANTE</t>
        </is>
      </c>
      <c r="C5011" s="7">
        <f>VLOOKUP(A5011,SizeData!A$2:B$3839,2,FALSE)</f>
        <v/>
      </c>
      <c r="D5011" s="6" t="n">
        <v>5</v>
      </c>
      <c r="E5011" s="6" t="inlineStr">
        <is>
          <t>R1290365</t>
        </is>
      </c>
      <c r="F5011" s="2" t="n">
        <v>44487</v>
      </c>
      <c r="G5011" s="1" t="n"/>
    </row>
    <row r="5012">
      <c r="A5012" s="6" t="n">
        <v>774855</v>
      </c>
      <c r="B5012" s="6" t="inlineStr">
        <is>
          <t>J. ROGET SPUMANTE</t>
        </is>
      </c>
      <c r="C5012" s="7">
        <f>VLOOKUP(A5012,SizeData!A$2:B$3839,2,FALSE)</f>
        <v/>
      </c>
      <c r="D5012" s="6" t="n">
        <v>3</v>
      </c>
      <c r="E5012" s="6" t="inlineStr">
        <is>
          <t>R1301804</t>
        </is>
      </c>
      <c r="F5012" s="2" t="n">
        <v>44492</v>
      </c>
      <c r="G5012" s="1" t="n"/>
    </row>
    <row r="5013">
      <c r="A5013" s="6" t="n">
        <v>790900</v>
      </c>
      <c r="B5013" s="6" t="inlineStr">
        <is>
          <t>TAKARA PLUM</t>
        </is>
      </c>
      <c r="C5013" s="7">
        <f>VLOOKUP(A5013,SizeData!A$2:B$3839,2,FALSE)</f>
        <v/>
      </c>
      <c r="D5013" s="6" t="n">
        <v>1</v>
      </c>
      <c r="E5013" s="6" t="inlineStr">
        <is>
          <t>R993178</t>
        </is>
      </c>
      <c r="F5013" s="2" t="n">
        <v>44218</v>
      </c>
      <c r="G5013" s="1" t="n"/>
    </row>
    <row r="5014">
      <c r="A5014" s="6" t="n">
        <v>790900</v>
      </c>
      <c r="B5014" s="6" t="inlineStr">
        <is>
          <t>TAKARA PLUM</t>
        </is>
      </c>
      <c r="C5014" s="7">
        <f>VLOOKUP(A5014,SizeData!A$2:B$3839,2,FALSE)</f>
        <v/>
      </c>
      <c r="D5014" s="6" t="n">
        <v>1</v>
      </c>
      <c r="E5014" s="6" t="inlineStr">
        <is>
          <t>R1241985</t>
        </is>
      </c>
      <c r="F5014" s="2" t="n">
        <v>44450</v>
      </c>
      <c r="G5014" s="1" t="n"/>
    </row>
    <row r="5015">
      <c r="A5015" s="6" t="n">
        <v>802875</v>
      </c>
      <c r="B5015" s="6" t="inlineStr">
        <is>
          <t>MANISCHEWITZ BLACKBERRY</t>
        </is>
      </c>
      <c r="C5015" s="7">
        <f>VLOOKUP(A5015,SizeData!A$2:B$3839,2,FALSE)</f>
        <v/>
      </c>
      <c r="D5015" s="6" t="n">
        <v>1</v>
      </c>
      <c r="E5015" s="6" t="inlineStr">
        <is>
          <t>R1025870</t>
        </is>
      </c>
      <c r="F5015" s="2" t="n">
        <v>44229</v>
      </c>
      <c r="G5015" s="1" t="n"/>
    </row>
    <row r="5016">
      <c r="A5016" s="6" t="n">
        <v>803470</v>
      </c>
      <c r="B5016" s="6" t="inlineStr">
        <is>
          <t>MOGEN DAVID BLACKBERRY</t>
        </is>
      </c>
      <c r="C5016" s="7">
        <f>VLOOKUP(A5016,SizeData!A$2:B$3839,2,FALSE)</f>
        <v/>
      </c>
      <c r="D5016" s="6" t="n">
        <v>1</v>
      </c>
      <c r="E5016" s="6" t="inlineStr">
        <is>
          <t>R991186</t>
        </is>
      </c>
      <c r="F5016" s="2" t="n">
        <v>44203</v>
      </c>
      <c r="G5016" s="1" t="n"/>
    </row>
    <row r="5017">
      <c r="A5017" s="6" t="n">
        <v>803470</v>
      </c>
      <c r="B5017" s="6" t="inlineStr">
        <is>
          <t>MOGEN DAVID BLACKBERRY</t>
        </is>
      </c>
      <c r="C5017" s="7">
        <f>VLOOKUP(A5017,SizeData!A$2:B$3839,2,FALSE)</f>
        <v/>
      </c>
      <c r="D5017" s="6" t="n">
        <v>2</v>
      </c>
      <c r="E5017" s="6" t="inlineStr">
        <is>
          <t>R994060</t>
        </is>
      </c>
      <c r="F5017" s="2" t="n">
        <v>44209</v>
      </c>
      <c r="G5017" s="1" t="n"/>
    </row>
    <row r="5018">
      <c r="A5018" s="6" t="n">
        <v>803470</v>
      </c>
      <c r="B5018" s="6" t="inlineStr">
        <is>
          <t>MOGEN DAVID BLACKBERRY</t>
        </is>
      </c>
      <c r="C5018" s="7">
        <f>VLOOKUP(A5018,SizeData!A$2:B$3839,2,FALSE)</f>
        <v/>
      </c>
      <c r="D5018" s="6" t="n">
        <v>2</v>
      </c>
      <c r="E5018" s="6" t="inlineStr">
        <is>
          <t>R1066328</t>
        </is>
      </c>
      <c r="F5018" s="2" t="n">
        <v>44267</v>
      </c>
      <c r="G5018" s="1" t="n"/>
    </row>
    <row r="5019">
      <c r="A5019" s="6" t="n">
        <v>803470</v>
      </c>
      <c r="B5019" s="6" t="inlineStr">
        <is>
          <t>MOGEN DAVID BLACKBERRY</t>
        </is>
      </c>
      <c r="C5019" s="7">
        <f>VLOOKUP(A5019,SizeData!A$2:B$3839,2,FALSE)</f>
        <v/>
      </c>
      <c r="D5019" s="6" t="n">
        <v>1</v>
      </c>
      <c r="E5019" s="6" t="inlineStr">
        <is>
          <t>R1043793</t>
        </is>
      </c>
      <c r="F5019" s="2" t="n">
        <v>44270</v>
      </c>
      <c r="G5019" s="1" t="n"/>
    </row>
    <row r="5020">
      <c r="A5020" s="6" t="n">
        <v>803470</v>
      </c>
      <c r="B5020" s="6" t="inlineStr">
        <is>
          <t>MOGEN DAVID BLACKBERRY</t>
        </is>
      </c>
      <c r="C5020" s="7">
        <f>VLOOKUP(A5020,SizeData!A$2:B$3839,2,FALSE)</f>
        <v/>
      </c>
      <c r="D5020" s="6" t="n">
        <v>1</v>
      </c>
      <c r="E5020" s="6" t="inlineStr">
        <is>
          <t>R1109607</t>
        </is>
      </c>
      <c r="F5020" s="2" t="n">
        <v>44317</v>
      </c>
      <c r="G5020" s="1" t="n"/>
    </row>
    <row r="5021">
      <c r="A5021" s="6" t="n">
        <v>803470</v>
      </c>
      <c r="B5021" s="6" t="inlineStr">
        <is>
          <t>MOGEN DAVID BLACKBERRY</t>
        </is>
      </c>
      <c r="C5021" s="7">
        <f>VLOOKUP(A5021,SizeData!A$2:B$3839,2,FALSE)</f>
        <v/>
      </c>
      <c r="D5021" s="6" t="n">
        <v>1</v>
      </c>
      <c r="E5021" s="6" t="inlineStr">
        <is>
          <t>R1099589</t>
        </is>
      </c>
      <c r="F5021" s="2" t="n">
        <v>44321</v>
      </c>
      <c r="G5021" s="1" t="n"/>
    </row>
    <row r="5022">
      <c r="A5022" s="6" t="n">
        <v>803470</v>
      </c>
      <c r="B5022" s="6" t="inlineStr">
        <is>
          <t>MOGEN DAVID BLACKBERRY</t>
        </is>
      </c>
      <c r="C5022" s="7">
        <f>VLOOKUP(A5022,SizeData!A$2:B$3839,2,FALSE)</f>
        <v/>
      </c>
      <c r="D5022" s="6" t="n">
        <v>1</v>
      </c>
      <c r="E5022" s="6" t="inlineStr">
        <is>
          <t>R1109381</t>
        </is>
      </c>
      <c r="F5022" s="2" t="n">
        <v>44331</v>
      </c>
      <c r="G5022" s="1" t="n"/>
    </row>
    <row r="5023">
      <c r="A5023" s="6" t="n">
        <v>803470</v>
      </c>
      <c r="B5023" s="6" t="inlineStr">
        <is>
          <t>MOGEN DAVID BLACKBERRY</t>
        </is>
      </c>
      <c r="C5023" s="7">
        <f>VLOOKUP(A5023,SizeData!A$2:B$3839,2,FALSE)</f>
        <v/>
      </c>
      <c r="D5023" s="6" t="n">
        <v>1</v>
      </c>
      <c r="E5023" s="6" t="inlineStr">
        <is>
          <t>R1150887</t>
        </is>
      </c>
      <c r="F5023" s="2" t="n">
        <v>44366</v>
      </c>
      <c r="G5023" s="1" t="n"/>
    </row>
    <row r="5024">
      <c r="A5024" s="6" t="n">
        <v>803470</v>
      </c>
      <c r="B5024" s="6" t="inlineStr">
        <is>
          <t>MOGEN DAVID BLACKBERRY</t>
        </is>
      </c>
      <c r="C5024" s="7">
        <f>VLOOKUP(A5024,SizeData!A$2:B$3839,2,FALSE)</f>
        <v/>
      </c>
      <c r="D5024" s="6" t="n">
        <v>2</v>
      </c>
      <c r="E5024" s="6" t="inlineStr">
        <is>
          <t>R1172122</t>
        </is>
      </c>
      <c r="F5024" s="2" t="n">
        <v>44390</v>
      </c>
      <c r="G5024" s="1" t="n"/>
    </row>
    <row r="5025">
      <c r="A5025" s="6" t="n">
        <v>803470</v>
      </c>
      <c r="B5025" s="6" t="inlineStr">
        <is>
          <t>MOGEN DAVID BLACKBERRY</t>
        </is>
      </c>
      <c r="C5025" s="7">
        <f>VLOOKUP(A5025,SizeData!A$2:B$3839,2,FALSE)</f>
        <v/>
      </c>
      <c r="D5025" s="6" t="n">
        <v>1</v>
      </c>
      <c r="E5025" s="6" t="inlineStr">
        <is>
          <t>R1192127</t>
        </is>
      </c>
      <c r="F5025" s="2" t="n">
        <v>44403</v>
      </c>
      <c r="G5025" s="1" t="n"/>
    </row>
    <row r="5026">
      <c r="A5026" s="6" t="n">
        <v>803470</v>
      </c>
      <c r="B5026" s="6" t="inlineStr">
        <is>
          <t>MOGEN DAVID BLACKBERRY</t>
        </is>
      </c>
      <c r="C5026" s="7">
        <f>VLOOKUP(A5026,SizeData!A$2:B$3839,2,FALSE)</f>
        <v/>
      </c>
      <c r="D5026" s="6" t="n">
        <v>1</v>
      </c>
      <c r="E5026" s="6" t="inlineStr">
        <is>
          <t xml:space="preserve"> R1188252</t>
        </is>
      </c>
      <c r="F5026" s="2" t="n">
        <v>44406</v>
      </c>
      <c r="G5026" s="1" t="n"/>
    </row>
    <row r="5027">
      <c r="A5027" s="6" t="n">
        <v>803470</v>
      </c>
      <c r="B5027" s="6" t="inlineStr">
        <is>
          <t>MOGEN DAVID BLACKBERRY</t>
        </is>
      </c>
      <c r="C5027" s="7">
        <f>VLOOKUP(A5027,SizeData!A$2:B$3839,2,FALSE)</f>
        <v/>
      </c>
      <c r="D5027" s="6" t="n">
        <v>1</v>
      </c>
      <c r="E5027" s="6" t="inlineStr">
        <is>
          <t>R1230991</t>
        </is>
      </c>
      <c r="F5027" s="2" t="n">
        <v>44441</v>
      </c>
      <c r="G5027" s="1" t="n"/>
    </row>
    <row r="5028">
      <c r="A5028" s="6" t="n">
        <v>803470</v>
      </c>
      <c r="B5028" s="6" t="inlineStr">
        <is>
          <t>MOGEN DAVID BLACKBERRY</t>
        </is>
      </c>
      <c r="C5028" s="7">
        <f>VLOOKUP(A5028,SizeData!A$2:B$3839,2,FALSE)</f>
        <v/>
      </c>
      <c r="D5028" s="6" t="n">
        <v>1</v>
      </c>
      <c r="E5028" s="6" t="inlineStr">
        <is>
          <t>R1306125</t>
        </is>
      </c>
      <c r="F5028" s="2" t="n">
        <v>44495</v>
      </c>
      <c r="G5028" s="1" t="n"/>
    </row>
    <row r="5029">
      <c r="A5029" s="6" t="n">
        <v>803470</v>
      </c>
      <c r="B5029" s="6" t="inlineStr">
        <is>
          <t>MOGEN DAVID BLACKBERRY</t>
        </is>
      </c>
      <c r="C5029" s="7">
        <f>VLOOKUP(A5029,SizeData!A$2:B$3839,2,FALSE)</f>
        <v/>
      </c>
      <c r="D5029" s="6" t="n">
        <v>2</v>
      </c>
      <c r="E5029" s="6" t="inlineStr">
        <is>
          <t>R1329660</t>
        </is>
      </c>
      <c r="F5029" s="2" t="n">
        <v>44525</v>
      </c>
      <c r="G5029" s="1" t="n"/>
    </row>
    <row r="5030">
      <c r="A5030" s="6" t="n">
        <v>803475</v>
      </c>
      <c r="B5030" s="6" t="inlineStr">
        <is>
          <t>MOGEN DAVID BLACKBERRY</t>
        </is>
      </c>
      <c r="C5030" s="7">
        <f>VLOOKUP(A5030,SizeData!A$2:B$3839,2,FALSE)</f>
        <v/>
      </c>
      <c r="D5030" s="6" t="n">
        <v>2</v>
      </c>
      <c r="E5030" s="6" t="inlineStr">
        <is>
          <t>R998453</t>
        </is>
      </c>
      <c r="F5030" s="2" t="n">
        <v>44212</v>
      </c>
      <c r="G5030" s="1" t="n"/>
    </row>
    <row r="5031">
      <c r="A5031" s="6" t="n">
        <v>803475</v>
      </c>
      <c r="B5031" s="6" t="inlineStr">
        <is>
          <t>MOGEN DAVID BLACKBERRY</t>
        </is>
      </c>
      <c r="C5031" s="7">
        <f>VLOOKUP(A5031,SizeData!A$2:B$3839,2,FALSE)</f>
        <v/>
      </c>
      <c r="D5031" s="6" t="n">
        <v>1</v>
      </c>
      <c r="E5031" s="6" t="inlineStr">
        <is>
          <t>R997848</t>
        </is>
      </c>
      <c r="F5031" s="2" t="n">
        <v>44212</v>
      </c>
      <c r="G5031" s="1" t="n"/>
    </row>
    <row r="5032">
      <c r="A5032" s="6" t="n">
        <v>803475</v>
      </c>
      <c r="B5032" s="6" t="inlineStr">
        <is>
          <t>MOGEN DAVID BLACKBERRY</t>
        </is>
      </c>
      <c r="C5032" s="7">
        <f>VLOOKUP(A5032,SizeData!A$2:B$3839,2,FALSE)</f>
        <v/>
      </c>
      <c r="D5032" s="6" t="n">
        <v>7</v>
      </c>
      <c r="E5032" s="6" t="inlineStr">
        <is>
          <t>R1003015</t>
        </is>
      </c>
      <c r="F5032" s="2" t="n">
        <v>44216</v>
      </c>
      <c r="G5032" s="1" t="n"/>
    </row>
    <row r="5033">
      <c r="A5033" s="6" t="n">
        <v>803475</v>
      </c>
      <c r="B5033" s="6" t="inlineStr">
        <is>
          <t>MOGEN DAVID BLACKBERRY</t>
        </is>
      </c>
      <c r="C5033" s="7">
        <f>VLOOKUP(A5033,SizeData!A$2:B$3839,2,FALSE)</f>
        <v/>
      </c>
      <c r="D5033" s="6" t="n">
        <v>2</v>
      </c>
      <c r="E5033" s="6" t="inlineStr">
        <is>
          <t>R1025870</t>
        </is>
      </c>
      <c r="F5033" s="2" t="n">
        <v>44229</v>
      </c>
      <c r="G5033" s="1" t="n"/>
    </row>
    <row r="5034">
      <c r="A5034" s="6" t="n">
        <v>803475</v>
      </c>
      <c r="B5034" s="6" t="inlineStr">
        <is>
          <t>MOGEN DAVID BLACKBERRY</t>
        </is>
      </c>
      <c r="C5034" s="7">
        <f>VLOOKUP(A5034,SizeData!A$2:B$3839,2,FALSE)</f>
        <v/>
      </c>
      <c r="D5034" s="6" t="n">
        <v>3</v>
      </c>
      <c r="E5034" s="6" t="inlineStr">
        <is>
          <t>R1026567</t>
        </is>
      </c>
      <c r="F5034" s="2" t="n">
        <v>44245</v>
      </c>
      <c r="G5034" s="1" t="n"/>
    </row>
    <row r="5035">
      <c r="A5035" s="6" t="n">
        <v>803475</v>
      </c>
      <c r="B5035" s="6" t="inlineStr">
        <is>
          <t>MOGEN DAVID BLACKBERRY</t>
        </is>
      </c>
      <c r="C5035" s="7">
        <f>VLOOKUP(A5035,SizeData!A$2:B$3839,2,FALSE)</f>
        <v/>
      </c>
      <c r="D5035" s="6" t="n">
        <v>3</v>
      </c>
      <c r="E5035" s="6" t="inlineStr">
        <is>
          <t>R1083538</t>
        </is>
      </c>
      <c r="F5035" s="2" t="n">
        <v>44292</v>
      </c>
      <c r="G5035" s="1" t="n"/>
    </row>
    <row r="5036">
      <c r="A5036" s="6" t="n">
        <v>803475</v>
      </c>
      <c r="B5036" s="6" t="inlineStr">
        <is>
          <t>MOGEN DAVID BLACKBERRY</t>
        </is>
      </c>
      <c r="C5036" s="7">
        <f>VLOOKUP(A5036,SizeData!A$2:B$3839,2,FALSE)</f>
        <v/>
      </c>
      <c r="D5036" s="6" t="n">
        <v>3</v>
      </c>
      <c r="E5036" s="6" t="inlineStr">
        <is>
          <t>R1099905</t>
        </is>
      </c>
      <c r="F5036" s="2" t="n">
        <v>44310</v>
      </c>
      <c r="G5036" s="1" t="n"/>
    </row>
    <row r="5037">
      <c r="A5037" s="6" t="n">
        <v>803475</v>
      </c>
      <c r="B5037" s="6" t="inlineStr">
        <is>
          <t>MOGEN DAVID BLACKBERRY</t>
        </is>
      </c>
      <c r="C5037" s="7">
        <f>VLOOKUP(A5037,SizeData!A$2:B$3839,2,FALSE)</f>
        <v/>
      </c>
      <c r="D5037" s="6" t="n">
        <v>2</v>
      </c>
      <c r="E5037" s="6" t="inlineStr">
        <is>
          <t>R1111874</t>
        </is>
      </c>
      <c r="F5037" s="2" t="n">
        <v>44326</v>
      </c>
      <c r="G5037" s="1" t="n"/>
    </row>
    <row r="5038">
      <c r="A5038" s="6" t="n">
        <v>803475</v>
      </c>
      <c r="B5038" s="6" t="inlineStr">
        <is>
          <t>MOGEN DAVID BLACKBERRY</t>
        </is>
      </c>
      <c r="C5038" s="7">
        <f>VLOOKUP(A5038,SizeData!A$2:B$3839,2,FALSE)</f>
        <v/>
      </c>
      <c r="D5038" s="6" t="n">
        <v>1</v>
      </c>
      <c r="E5038" s="6" t="inlineStr">
        <is>
          <t>R1109381</t>
        </is>
      </c>
      <c r="F5038" s="2" t="n">
        <v>44331</v>
      </c>
      <c r="G5038" s="1" t="n"/>
    </row>
    <row r="5039">
      <c r="A5039" s="6" t="n">
        <v>803475</v>
      </c>
      <c r="B5039" s="6" t="inlineStr">
        <is>
          <t>MOGEN DAVID BLACKBERRY</t>
        </is>
      </c>
      <c r="C5039" s="7">
        <f>VLOOKUP(A5039,SizeData!A$2:B$3839,2,FALSE)</f>
        <v/>
      </c>
      <c r="D5039" s="6" t="n">
        <v>2</v>
      </c>
      <c r="E5039" s="6" t="inlineStr">
        <is>
          <t>R1132522</t>
        </is>
      </c>
      <c r="F5039" s="2" t="n">
        <v>44341</v>
      </c>
      <c r="G5039" s="1" t="n"/>
    </row>
    <row r="5040">
      <c r="A5040" s="6" t="n">
        <v>803475</v>
      </c>
      <c r="B5040" s="6" t="inlineStr">
        <is>
          <t>MOGEN DAVID BLACKBERRY</t>
        </is>
      </c>
      <c r="C5040" s="7">
        <f>VLOOKUP(A5040,SizeData!A$2:B$3839,2,FALSE)</f>
        <v/>
      </c>
      <c r="D5040" s="6" t="n">
        <v>1</v>
      </c>
      <c r="E5040" s="6" t="inlineStr">
        <is>
          <t>R1165810</t>
        </is>
      </c>
      <c r="F5040" s="2" t="n">
        <v>44361</v>
      </c>
      <c r="G5040" s="1" t="n"/>
    </row>
    <row r="5041">
      <c r="A5041" s="6" t="n">
        <v>803475</v>
      </c>
      <c r="B5041" s="6" t="inlineStr">
        <is>
          <t>MOGEN DAVID BLACKBERRY</t>
        </is>
      </c>
      <c r="C5041" s="7">
        <f>VLOOKUP(A5041,SizeData!A$2:B$3839,2,FALSE)</f>
        <v/>
      </c>
      <c r="D5041" s="6" t="n">
        <v>2</v>
      </c>
      <c r="E5041" s="6" t="inlineStr">
        <is>
          <t>R1156528</t>
        </is>
      </c>
      <c r="F5041" s="2" t="n">
        <v>44362</v>
      </c>
      <c r="G5041" s="1" t="n"/>
    </row>
    <row r="5042">
      <c r="A5042" s="6" t="n">
        <v>803475</v>
      </c>
      <c r="B5042" s="6" t="inlineStr">
        <is>
          <t>MOGEN DAVID BLACKBERRY</t>
        </is>
      </c>
      <c r="C5042" s="7">
        <f>VLOOKUP(A5042,SizeData!A$2:B$3839,2,FALSE)</f>
        <v/>
      </c>
      <c r="D5042" s="6" t="n">
        <v>2</v>
      </c>
      <c r="E5042" s="6" t="inlineStr">
        <is>
          <t>R1185856</t>
        </is>
      </c>
      <c r="F5042" s="2" t="n">
        <v>44400</v>
      </c>
      <c r="G5042" s="1" t="n"/>
    </row>
    <row r="5043">
      <c r="A5043" s="6" t="n">
        <v>803475</v>
      </c>
      <c r="B5043" s="6" t="inlineStr">
        <is>
          <t>MOGEN DAVID BLACKBERRY</t>
        </is>
      </c>
      <c r="C5043" s="7">
        <f>VLOOKUP(A5043,SizeData!A$2:B$3839,2,FALSE)</f>
        <v/>
      </c>
      <c r="D5043" s="6" t="n">
        <v>1</v>
      </c>
      <c r="E5043" s="6" t="inlineStr">
        <is>
          <t>R1180298</t>
        </is>
      </c>
      <c r="F5043" s="2" t="n">
        <v>44400</v>
      </c>
      <c r="G5043" s="1" t="n"/>
    </row>
    <row r="5044">
      <c r="A5044" s="6" t="n">
        <v>803475</v>
      </c>
      <c r="B5044" s="6" t="inlineStr">
        <is>
          <t>MOGEN DAVID BLACKBERRY</t>
        </is>
      </c>
      <c r="C5044" s="7">
        <f>VLOOKUP(A5044,SizeData!A$2:B$3839,2,FALSE)</f>
        <v/>
      </c>
      <c r="D5044" s="6" t="n">
        <v>2</v>
      </c>
      <c r="E5044" s="6" t="inlineStr">
        <is>
          <t>R1192602</t>
        </is>
      </c>
      <c r="F5044" s="2" t="n">
        <v>44401</v>
      </c>
      <c r="G5044" s="1" t="n"/>
    </row>
    <row r="5045">
      <c r="A5045" s="6" t="n">
        <v>803475</v>
      </c>
      <c r="B5045" s="6" t="inlineStr">
        <is>
          <t>MOGEN DAVID BLACKBERRY</t>
        </is>
      </c>
      <c r="C5045" s="7">
        <f>VLOOKUP(A5045,SizeData!A$2:B$3839,2,FALSE)</f>
        <v/>
      </c>
      <c r="D5045" s="6" t="n">
        <v>2</v>
      </c>
      <c r="E5045" s="6" t="inlineStr">
        <is>
          <t>R1246630</t>
        </is>
      </c>
      <c r="F5045" s="2" t="n">
        <v>44450</v>
      </c>
      <c r="G5045" s="1" t="n"/>
    </row>
    <row r="5046">
      <c r="A5046" s="6" t="n">
        <v>803475</v>
      </c>
      <c r="B5046" s="6" t="inlineStr">
        <is>
          <t>MOGEN DAVID BLACKBERRY</t>
        </is>
      </c>
      <c r="C5046" s="7">
        <f>VLOOKUP(A5046,SizeData!A$2:B$3839,2,FALSE)</f>
        <v/>
      </c>
      <c r="D5046" s="6" t="n">
        <v>1</v>
      </c>
      <c r="E5046" s="6" t="inlineStr">
        <is>
          <t>R1239565</t>
        </is>
      </c>
      <c r="F5046" s="2" t="n">
        <v>44457</v>
      </c>
      <c r="G5046" s="1" t="n"/>
    </row>
    <row r="5047">
      <c r="A5047" s="6" t="n">
        <v>803475</v>
      </c>
      <c r="B5047" s="6" t="inlineStr">
        <is>
          <t>MOGEN DAVID BLACKBERRY</t>
        </is>
      </c>
      <c r="C5047" s="7">
        <f>VLOOKUP(A5047,SizeData!A$2:B$3839,2,FALSE)</f>
        <v/>
      </c>
      <c r="D5047" s="6" t="n">
        <v>0</v>
      </c>
      <c r="E5047" s="6" t="inlineStr">
        <is>
          <t>R1270963</t>
        </is>
      </c>
      <c r="F5047" s="2" t="n">
        <v>44470</v>
      </c>
      <c r="G5047" s="1" t="n"/>
    </row>
    <row r="5048">
      <c r="A5048" s="6" t="n">
        <v>803475</v>
      </c>
      <c r="B5048" s="6" t="inlineStr">
        <is>
          <t>MOGEN DAVID BLACKBERRY</t>
        </is>
      </c>
      <c r="C5048" s="7">
        <f>VLOOKUP(A5048,SizeData!A$2:B$3839,2,FALSE)</f>
        <v/>
      </c>
      <c r="D5048" s="6" t="n">
        <v>1</v>
      </c>
      <c r="E5048" s="6" t="inlineStr">
        <is>
          <t>R1277647</t>
        </is>
      </c>
      <c r="F5048" s="2" t="n">
        <v>44484</v>
      </c>
      <c r="G5048" s="1" t="n"/>
    </row>
    <row r="5049">
      <c r="A5049" s="6" t="n">
        <v>803475</v>
      </c>
      <c r="B5049" s="6" t="inlineStr">
        <is>
          <t>MOGEN DAVID BLACKBERRY</t>
        </is>
      </c>
      <c r="C5049" s="7">
        <f>VLOOKUP(A5049,SizeData!A$2:B$3839,2,FALSE)</f>
        <v/>
      </c>
      <c r="D5049" s="6" t="n">
        <v>1</v>
      </c>
      <c r="E5049" s="6" t="inlineStr">
        <is>
          <t>R1279942</t>
        </is>
      </c>
      <c r="F5049" s="2" t="n">
        <v>44487</v>
      </c>
      <c r="G5049" s="1" t="n"/>
    </row>
    <row r="5050">
      <c r="A5050" s="6" t="n">
        <v>803475</v>
      </c>
      <c r="B5050" s="6" t="inlineStr">
        <is>
          <t>MOGEN DAVID BLACKBERRY</t>
        </is>
      </c>
      <c r="C5050" s="7">
        <f>VLOOKUP(A5050,SizeData!A$2:B$3839,2,FALSE)</f>
        <v/>
      </c>
      <c r="D5050" s="6" t="n">
        <v>1</v>
      </c>
      <c r="E5050" s="6" t="inlineStr">
        <is>
          <t>R1279880</t>
        </is>
      </c>
      <c r="F5050" s="2" t="n">
        <v>44490</v>
      </c>
      <c r="G5050" s="1" t="n"/>
    </row>
    <row r="5051">
      <c r="A5051" s="6" t="n">
        <v>803475</v>
      </c>
      <c r="B5051" s="6" t="inlineStr">
        <is>
          <t>MOGEN DAVID BLACKBERRY</t>
        </is>
      </c>
      <c r="C5051" s="7">
        <f>VLOOKUP(A5051,SizeData!A$2:B$3839,2,FALSE)</f>
        <v/>
      </c>
      <c r="D5051" s="6" t="n">
        <v>5</v>
      </c>
      <c r="E5051" s="6" t="inlineStr">
        <is>
          <t>R1299736</t>
        </is>
      </c>
      <c r="F5051" s="2" t="n">
        <v>44499</v>
      </c>
      <c r="G5051" s="1" t="n"/>
    </row>
    <row r="5052">
      <c r="A5052" s="6" t="n">
        <v>803475</v>
      </c>
      <c r="B5052" s="6" t="inlineStr">
        <is>
          <t>MOGEN DAVID BLACKBERRY</t>
        </is>
      </c>
      <c r="C5052" s="7">
        <f>VLOOKUP(A5052,SizeData!A$2:B$3839,2,FALSE)</f>
        <v/>
      </c>
      <c r="D5052" s="6" t="n">
        <v>2</v>
      </c>
      <c r="E5052" s="6" t="inlineStr">
        <is>
          <t>R1335695</t>
        </is>
      </c>
      <c r="F5052" s="2" t="n">
        <v>44525</v>
      </c>
      <c r="G5052" s="1" t="n"/>
    </row>
    <row r="5053">
      <c r="A5053" s="6" t="n">
        <v>803485</v>
      </c>
      <c r="B5053" s="6" t="inlineStr">
        <is>
          <t>MOGEN DAVID BLACKBERRY</t>
        </is>
      </c>
      <c r="C5053" s="7">
        <f>VLOOKUP(A5053,SizeData!A$2:B$3839,2,FALSE)</f>
        <v/>
      </c>
      <c r="D5053" s="6" t="n">
        <v>1</v>
      </c>
      <c r="E5053" s="6" t="inlineStr">
        <is>
          <t>R993624</t>
        </is>
      </c>
      <c r="F5053" s="2" t="n">
        <v>44206</v>
      </c>
      <c r="G5053" s="1" t="n"/>
    </row>
    <row r="5054">
      <c r="A5054" s="6" t="n">
        <v>803485</v>
      </c>
      <c r="B5054" s="6" t="inlineStr">
        <is>
          <t>MOGEN DAVID BLACKBERRY</t>
        </is>
      </c>
      <c r="C5054" s="7">
        <f>VLOOKUP(A5054,SizeData!A$2:B$3839,2,FALSE)</f>
        <v/>
      </c>
      <c r="D5054" s="6" t="n">
        <v>1</v>
      </c>
      <c r="E5054" s="6" t="inlineStr">
        <is>
          <t>R994060</t>
        </is>
      </c>
      <c r="F5054" s="2" t="n">
        <v>44209</v>
      </c>
      <c r="G5054" s="1" t="n"/>
    </row>
    <row r="5055">
      <c r="A5055" s="6" t="n">
        <v>803485</v>
      </c>
      <c r="B5055" s="6" t="inlineStr">
        <is>
          <t>MOGEN DAVID BLACKBERRY</t>
        </is>
      </c>
      <c r="C5055" s="7">
        <f>VLOOKUP(A5055,SizeData!A$2:B$3839,2,FALSE)</f>
        <v/>
      </c>
      <c r="D5055" s="6" t="n">
        <v>1</v>
      </c>
      <c r="E5055" s="6" t="inlineStr">
        <is>
          <t>R1003015</t>
        </is>
      </c>
      <c r="F5055" s="2" t="n">
        <v>44216</v>
      </c>
      <c r="G5055" s="1" t="n"/>
    </row>
    <row r="5056">
      <c r="A5056" s="6" t="n">
        <v>803485</v>
      </c>
      <c r="B5056" s="6" t="inlineStr">
        <is>
          <t>MOGEN DAVID BLACKBERRY</t>
        </is>
      </c>
      <c r="C5056" s="7">
        <f>VLOOKUP(A5056,SizeData!A$2:B$3839,2,FALSE)</f>
        <v/>
      </c>
      <c r="D5056" s="6" t="n">
        <v>1</v>
      </c>
      <c r="E5056" s="6" t="inlineStr">
        <is>
          <t>R1028756</t>
        </is>
      </c>
      <c r="F5056" s="2" t="n">
        <v>44239</v>
      </c>
      <c r="G5056" s="1" t="n"/>
    </row>
    <row r="5057">
      <c r="A5057" s="6" t="n">
        <v>803485</v>
      </c>
      <c r="B5057" s="6" t="inlineStr">
        <is>
          <t>MOGEN DAVID BLACKBERRY</t>
        </is>
      </c>
      <c r="C5057" s="7">
        <f>VLOOKUP(A5057,SizeData!A$2:B$3839,2,FALSE)</f>
        <v/>
      </c>
      <c r="D5057" s="6" t="n">
        <v>1</v>
      </c>
      <c r="E5057" s="6" t="inlineStr">
        <is>
          <t>R1026567</t>
        </is>
      </c>
      <c r="F5057" s="2" t="n">
        <v>44245</v>
      </c>
      <c r="G5057" s="1" t="n"/>
    </row>
    <row r="5058">
      <c r="A5058" s="6" t="n">
        <v>803485</v>
      </c>
      <c r="B5058" s="6" t="inlineStr">
        <is>
          <t>MOGEN DAVID BLACKBERRY</t>
        </is>
      </c>
      <c r="C5058" s="7">
        <f>VLOOKUP(A5058,SizeData!A$2:B$3839,2,FALSE)</f>
        <v/>
      </c>
      <c r="D5058" s="6" t="n">
        <v>1</v>
      </c>
      <c r="E5058" s="6" t="inlineStr">
        <is>
          <t>R1048765</t>
        </is>
      </c>
      <c r="F5058" s="2" t="n">
        <v>44265</v>
      </c>
      <c r="G5058" s="1" t="n"/>
    </row>
    <row r="5059">
      <c r="A5059" s="6" t="n">
        <v>803485</v>
      </c>
      <c r="B5059" s="6" t="inlineStr">
        <is>
          <t>MOGEN DAVID BLACKBERRY</t>
        </is>
      </c>
      <c r="C5059" s="7">
        <f>VLOOKUP(A5059,SizeData!A$2:B$3839,2,FALSE)</f>
        <v/>
      </c>
      <c r="D5059" s="6" t="n">
        <v>1</v>
      </c>
      <c r="E5059" s="6" t="inlineStr">
        <is>
          <t>R1066328</t>
        </is>
      </c>
      <c r="F5059" s="2" t="n">
        <v>44267</v>
      </c>
      <c r="G5059" s="1" t="n"/>
    </row>
    <row r="5060">
      <c r="A5060" s="6" t="n">
        <v>803485</v>
      </c>
      <c r="B5060" s="6" t="inlineStr">
        <is>
          <t>MOGEN DAVID BLACKBERRY</t>
        </is>
      </c>
      <c r="C5060" s="7">
        <f>VLOOKUP(A5060,SizeData!A$2:B$3839,2,FALSE)</f>
        <v/>
      </c>
      <c r="D5060" s="6" t="n">
        <v>1</v>
      </c>
      <c r="E5060" s="6" t="inlineStr">
        <is>
          <t>R1089290</t>
        </is>
      </c>
      <c r="F5060" s="2" t="n">
        <v>44309</v>
      </c>
      <c r="G5060" s="1" t="n"/>
    </row>
    <row r="5061">
      <c r="A5061" s="6" t="n">
        <v>803485</v>
      </c>
      <c r="B5061" s="6" t="inlineStr">
        <is>
          <t>MOGEN DAVID BLACKBERRY</t>
        </is>
      </c>
      <c r="C5061" s="7">
        <f>VLOOKUP(A5061,SizeData!A$2:B$3839,2,FALSE)</f>
        <v/>
      </c>
      <c r="D5061" s="6" t="n">
        <v>1</v>
      </c>
      <c r="E5061" s="6" t="inlineStr">
        <is>
          <t>R1111874</t>
        </is>
      </c>
      <c r="F5061" s="2" t="n">
        <v>44326</v>
      </c>
      <c r="G5061" s="1" t="n"/>
    </row>
    <row r="5062">
      <c r="A5062" s="6" t="n">
        <v>803485</v>
      </c>
      <c r="B5062" s="6" t="inlineStr">
        <is>
          <t>MOGEN DAVID BLACKBERRY</t>
        </is>
      </c>
      <c r="C5062" s="7">
        <f>VLOOKUP(A5062,SizeData!A$2:B$3839,2,FALSE)</f>
        <v/>
      </c>
      <c r="D5062" s="6" t="n">
        <v>1</v>
      </c>
      <c r="E5062" s="6" t="inlineStr">
        <is>
          <t>R1109381</t>
        </is>
      </c>
      <c r="F5062" s="2" t="n">
        <v>44331</v>
      </c>
      <c r="G5062" s="1" t="n"/>
    </row>
    <row r="5063">
      <c r="A5063" s="6" t="n">
        <v>803485</v>
      </c>
      <c r="B5063" s="6" t="inlineStr">
        <is>
          <t>MOGEN DAVID BLACKBERRY</t>
        </is>
      </c>
      <c r="C5063" s="7">
        <f>VLOOKUP(A5063,SizeData!A$2:B$3839,2,FALSE)</f>
        <v/>
      </c>
      <c r="D5063" s="6" t="n">
        <v>1</v>
      </c>
      <c r="E5063" s="6" t="inlineStr">
        <is>
          <t>R1156528</t>
        </is>
      </c>
      <c r="F5063" s="2" t="n">
        <v>44362</v>
      </c>
      <c r="G5063" s="1" t="n"/>
    </row>
    <row r="5064">
      <c r="A5064" s="6" t="n">
        <v>803485</v>
      </c>
      <c r="B5064" s="6" t="inlineStr">
        <is>
          <t>MOGEN DAVID BLACKBERRY</t>
        </is>
      </c>
      <c r="C5064" s="7">
        <f>VLOOKUP(A5064,SizeData!A$2:B$3839,2,FALSE)</f>
        <v/>
      </c>
      <c r="D5064" s="6" t="n">
        <v>2</v>
      </c>
      <c r="E5064" s="6" t="inlineStr">
        <is>
          <t>R1171618</t>
        </is>
      </c>
      <c r="F5064" s="2" t="n">
        <v>44380</v>
      </c>
      <c r="G5064" s="1" t="n"/>
    </row>
    <row r="5065">
      <c r="A5065" s="6" t="n">
        <v>803485</v>
      </c>
      <c r="B5065" s="6" t="inlineStr">
        <is>
          <t>MOGEN DAVID BLACKBERRY</t>
        </is>
      </c>
      <c r="C5065" s="7">
        <f>VLOOKUP(A5065,SizeData!A$2:B$3839,2,FALSE)</f>
        <v/>
      </c>
      <c r="D5065" s="6" t="n">
        <v>1</v>
      </c>
      <c r="E5065" s="6" t="inlineStr">
        <is>
          <t>R1174033</t>
        </is>
      </c>
      <c r="F5065" s="2" t="n">
        <v>44394</v>
      </c>
      <c r="G5065" s="1" t="n"/>
    </row>
    <row r="5066">
      <c r="A5066" s="6" t="n">
        <v>803485</v>
      </c>
      <c r="B5066" s="6" t="inlineStr">
        <is>
          <t>MOGEN DAVID BLACKBERRY</t>
        </is>
      </c>
      <c r="C5066" s="7">
        <f>VLOOKUP(A5066,SizeData!A$2:B$3839,2,FALSE)</f>
        <v/>
      </c>
      <c r="D5066" s="6" t="n">
        <v>1</v>
      </c>
      <c r="E5066" s="6" t="inlineStr">
        <is>
          <t xml:space="preserve"> R1188252</t>
        </is>
      </c>
      <c r="F5066" s="2" t="n">
        <v>44406</v>
      </c>
      <c r="G5066" s="1" t="n"/>
    </row>
    <row r="5067">
      <c r="A5067" s="6" t="n">
        <v>803485</v>
      </c>
      <c r="B5067" s="6" t="inlineStr">
        <is>
          <t>MOGEN DAVID BLACKBERRY</t>
        </is>
      </c>
      <c r="C5067" s="7">
        <f>VLOOKUP(A5067,SizeData!A$2:B$3839,2,FALSE)</f>
        <v/>
      </c>
      <c r="D5067" s="6" t="n">
        <v>1</v>
      </c>
      <c r="E5067" s="6" t="inlineStr">
        <is>
          <t>R1218514</t>
        </is>
      </c>
      <c r="F5067" s="2" t="n">
        <v>44432</v>
      </c>
      <c r="G5067" s="1" t="n"/>
    </row>
    <row r="5068">
      <c r="A5068" s="6" t="n">
        <v>803485</v>
      </c>
      <c r="B5068" s="6" t="inlineStr">
        <is>
          <t>MOGEN DAVID BLACKBERRY</t>
        </is>
      </c>
      <c r="C5068" s="7">
        <f>VLOOKUP(A5068,SizeData!A$2:B$3839,2,FALSE)</f>
        <v/>
      </c>
      <c r="D5068" s="6" t="n">
        <v>1</v>
      </c>
      <c r="E5068" s="6" t="inlineStr">
        <is>
          <t>R1240644</t>
        </is>
      </c>
      <c r="F5068" s="2" t="n">
        <v>44440</v>
      </c>
      <c r="G5068" s="1" t="n"/>
    </row>
    <row r="5069">
      <c r="A5069" s="6" t="n">
        <v>803485</v>
      </c>
      <c r="B5069" s="6" t="inlineStr">
        <is>
          <t>MOGEN DAVID BLACKBERRY</t>
        </is>
      </c>
      <c r="C5069" s="7">
        <f>VLOOKUP(A5069,SizeData!A$2:B$3839,2,FALSE)</f>
        <v/>
      </c>
      <c r="D5069" s="6" t="n">
        <v>2</v>
      </c>
      <c r="E5069" s="6" t="inlineStr">
        <is>
          <t>R1231184</t>
        </is>
      </c>
      <c r="F5069" s="2" t="n">
        <v>44443</v>
      </c>
      <c r="G5069" s="1" t="n"/>
    </row>
    <row r="5070">
      <c r="A5070" s="6" t="n">
        <v>803485</v>
      </c>
      <c r="B5070" s="6" t="inlineStr">
        <is>
          <t>MOGEN DAVID BLACKBERRY</t>
        </is>
      </c>
      <c r="C5070" s="7">
        <f>VLOOKUP(A5070,SizeData!A$2:B$3839,2,FALSE)</f>
        <v/>
      </c>
      <c r="D5070" s="6" t="n">
        <v>1</v>
      </c>
      <c r="E5070" s="6" t="inlineStr">
        <is>
          <t>R1279880</t>
        </is>
      </c>
      <c r="F5070" s="2" t="n">
        <v>44490</v>
      </c>
      <c r="G5070" s="1" t="n"/>
    </row>
    <row r="5071">
      <c r="A5071" s="6" t="n">
        <v>803485</v>
      </c>
      <c r="B5071" s="6" t="inlineStr">
        <is>
          <t>MOGEN DAVID BLACKBERRY</t>
        </is>
      </c>
      <c r="C5071" s="7">
        <f>VLOOKUP(A5071,SizeData!A$2:B$3839,2,FALSE)</f>
        <v/>
      </c>
      <c r="D5071" s="6" t="n">
        <v>1</v>
      </c>
      <c r="E5071" s="6" t="inlineStr">
        <is>
          <t>R1304788</t>
        </is>
      </c>
      <c r="F5071" s="2" t="n">
        <v>44506</v>
      </c>
      <c r="G5071" s="1" t="n"/>
    </row>
    <row r="5072">
      <c r="A5072" s="6" t="n">
        <v>803493</v>
      </c>
      <c r="B5072" s="6" t="inlineStr">
        <is>
          <t>MOGEN DAVID POMEGRANATE</t>
        </is>
      </c>
      <c r="C5072" s="7">
        <f>VLOOKUP(A5072,SizeData!A$2:B$3839,2,FALSE)</f>
        <v/>
      </c>
      <c r="D5072" s="6" t="n">
        <v>3</v>
      </c>
      <c r="E5072" s="6" t="inlineStr">
        <is>
          <t>R986958</t>
        </is>
      </c>
      <c r="F5072" s="2" t="n">
        <v>44200</v>
      </c>
      <c r="G5072" s="1" t="n"/>
    </row>
    <row r="5073">
      <c r="A5073" s="6" t="n">
        <v>803493</v>
      </c>
      <c r="B5073" s="6" t="inlineStr">
        <is>
          <t>MOGEN DAVID POMEGRANATE</t>
        </is>
      </c>
      <c r="C5073" s="7">
        <f>VLOOKUP(A5073,SizeData!A$2:B$3839,2,FALSE)</f>
        <v/>
      </c>
      <c r="D5073" s="6" t="n">
        <v>2</v>
      </c>
      <c r="E5073" s="6" t="inlineStr">
        <is>
          <t>R1000047</t>
        </is>
      </c>
      <c r="F5073" s="2" t="n">
        <v>44207</v>
      </c>
      <c r="G5073" s="1" t="n"/>
    </row>
    <row r="5074">
      <c r="A5074" s="6" t="n">
        <v>803493</v>
      </c>
      <c r="B5074" s="6" t="inlineStr">
        <is>
          <t>MOGEN DAVID POMEGRANATE</t>
        </is>
      </c>
      <c r="C5074" s="7">
        <f>VLOOKUP(A5074,SizeData!A$2:B$3839,2,FALSE)</f>
        <v/>
      </c>
      <c r="D5074" s="6" t="n">
        <v>1</v>
      </c>
      <c r="E5074" s="6" t="inlineStr">
        <is>
          <t>R1007118</t>
        </is>
      </c>
      <c r="F5074" s="2" t="n">
        <v>44211</v>
      </c>
      <c r="G5074" s="1" t="n"/>
    </row>
    <row r="5075">
      <c r="A5075" s="6" t="n">
        <v>803493</v>
      </c>
      <c r="B5075" s="6" t="inlineStr">
        <is>
          <t>MOGEN DAVID POMEGRANATE</t>
        </is>
      </c>
      <c r="C5075" s="7">
        <f>VLOOKUP(A5075,SizeData!A$2:B$3839,2,FALSE)</f>
        <v/>
      </c>
      <c r="D5075" s="6" t="n">
        <v>1</v>
      </c>
      <c r="E5075" s="6" t="inlineStr">
        <is>
          <t>R997848</t>
        </is>
      </c>
      <c r="F5075" s="2" t="n">
        <v>44212</v>
      </c>
      <c r="G5075" s="1" t="n"/>
    </row>
    <row r="5076">
      <c r="A5076" s="6" t="n">
        <v>803493</v>
      </c>
      <c r="B5076" s="6" t="inlineStr">
        <is>
          <t>MOGEN DAVID POMEGRANATE</t>
        </is>
      </c>
      <c r="C5076" s="7">
        <f>VLOOKUP(A5076,SizeData!A$2:B$3839,2,FALSE)</f>
        <v/>
      </c>
      <c r="D5076" s="6" t="n">
        <v>1</v>
      </c>
      <c r="E5076" s="6" t="inlineStr">
        <is>
          <t>R998453</t>
        </is>
      </c>
      <c r="F5076" s="2" t="n">
        <v>44212</v>
      </c>
      <c r="G5076" s="1" t="n"/>
    </row>
    <row r="5077">
      <c r="A5077" s="6" t="n">
        <v>803493</v>
      </c>
      <c r="B5077" s="6" t="inlineStr">
        <is>
          <t>MOGEN DAVID POMEGRANATE</t>
        </is>
      </c>
      <c r="C5077" s="7">
        <f>VLOOKUP(A5077,SizeData!A$2:B$3839,2,FALSE)</f>
        <v/>
      </c>
      <c r="D5077" s="6" t="n">
        <v>2</v>
      </c>
      <c r="E5077" s="6" t="inlineStr">
        <is>
          <t>R996697</t>
        </is>
      </c>
      <c r="F5077" s="2" t="n">
        <v>44221</v>
      </c>
      <c r="G5077" s="1" t="n"/>
    </row>
    <row r="5078">
      <c r="A5078" s="6" t="n">
        <v>803493</v>
      </c>
      <c r="B5078" s="6" t="inlineStr">
        <is>
          <t>MOGEN DAVID POMEGRANATE</t>
        </is>
      </c>
      <c r="C5078" s="7">
        <f>VLOOKUP(A5078,SizeData!A$2:B$3839,2,FALSE)</f>
        <v/>
      </c>
      <c r="D5078" s="6" t="n">
        <v>1</v>
      </c>
      <c r="E5078" s="6" t="inlineStr">
        <is>
          <t>R1025870</t>
        </is>
      </c>
      <c r="F5078" s="2" t="n">
        <v>44229</v>
      </c>
      <c r="G5078" s="1" t="n"/>
    </row>
    <row r="5079">
      <c r="A5079" s="6" t="n">
        <v>803493</v>
      </c>
      <c r="B5079" s="6" t="inlineStr">
        <is>
          <t>MOGEN DAVID POMEGRANATE</t>
        </is>
      </c>
      <c r="C5079" s="7">
        <f>VLOOKUP(A5079,SizeData!A$2:B$3839,2,FALSE)</f>
        <v/>
      </c>
      <c r="D5079" s="6" t="n">
        <v>2</v>
      </c>
      <c r="E5079" s="6" t="inlineStr">
        <is>
          <t>R1033219</t>
        </is>
      </c>
      <c r="F5079" s="2" t="n">
        <v>44249</v>
      </c>
      <c r="G5079" s="1" t="n"/>
    </row>
    <row r="5080">
      <c r="A5080" s="6" t="n">
        <v>803493</v>
      </c>
      <c r="B5080" s="6" t="inlineStr">
        <is>
          <t>MOGEN DAVID POMEGRANATE</t>
        </is>
      </c>
      <c r="C5080" s="7">
        <f>VLOOKUP(A5080,SizeData!A$2:B$3839,2,FALSE)</f>
        <v/>
      </c>
      <c r="D5080" s="6" t="n">
        <v>1</v>
      </c>
      <c r="E5080" s="6" t="inlineStr">
        <is>
          <t>R1066328</t>
        </is>
      </c>
      <c r="F5080" s="2" t="n">
        <v>44267</v>
      </c>
      <c r="G5080" s="1" t="n"/>
    </row>
    <row r="5081">
      <c r="A5081" s="6" t="n">
        <v>803493</v>
      </c>
      <c r="B5081" s="6" t="inlineStr">
        <is>
          <t>MOGEN DAVID POMEGRANATE</t>
        </is>
      </c>
      <c r="C5081" s="7">
        <f>VLOOKUP(A5081,SizeData!A$2:B$3839,2,FALSE)</f>
        <v/>
      </c>
      <c r="D5081" s="6" t="n">
        <v>1</v>
      </c>
      <c r="E5081" s="6" t="inlineStr">
        <is>
          <t>R1114354</t>
        </is>
      </c>
      <c r="F5081" s="2" t="n">
        <v>44334</v>
      </c>
      <c r="G5081" s="1" t="n"/>
    </row>
    <row r="5082">
      <c r="A5082" s="6" t="n">
        <v>803493</v>
      </c>
      <c r="B5082" s="6" t="inlineStr">
        <is>
          <t>MOGEN DAVID POMEGRANATE</t>
        </is>
      </c>
      <c r="C5082" s="7">
        <f>VLOOKUP(A5082,SizeData!A$2:B$3839,2,FALSE)</f>
        <v/>
      </c>
      <c r="D5082" s="6" t="n">
        <v>2</v>
      </c>
      <c r="E5082" s="6" t="inlineStr">
        <is>
          <t>R1147055</t>
        </is>
      </c>
      <c r="F5082" s="2" t="n">
        <v>44361</v>
      </c>
      <c r="G5082" s="1" t="n"/>
    </row>
    <row r="5083">
      <c r="A5083" s="6" t="n">
        <v>803493</v>
      </c>
      <c r="B5083" s="6" t="inlineStr">
        <is>
          <t>MOGEN DAVID POMEGRANATE</t>
        </is>
      </c>
      <c r="C5083" s="7">
        <f>VLOOKUP(A5083,SizeData!A$2:B$3839,2,FALSE)</f>
        <v/>
      </c>
      <c r="D5083" s="6" t="n">
        <v>3</v>
      </c>
      <c r="E5083" s="6" t="inlineStr">
        <is>
          <t>R1161479</t>
        </is>
      </c>
      <c r="F5083" s="2" t="n">
        <v>44373</v>
      </c>
      <c r="G5083" s="1" t="n"/>
    </row>
    <row r="5084">
      <c r="A5084" s="6" t="n">
        <v>803493</v>
      </c>
      <c r="B5084" s="6" t="inlineStr">
        <is>
          <t>MOGEN DAVID POMEGRANATE</t>
        </is>
      </c>
      <c r="C5084" s="7">
        <f>VLOOKUP(A5084,SizeData!A$2:B$3839,2,FALSE)</f>
        <v/>
      </c>
      <c r="D5084" s="6" t="n">
        <v>2</v>
      </c>
      <c r="E5084" s="6" t="inlineStr">
        <is>
          <t>R1171117</t>
        </is>
      </c>
      <c r="F5084" s="2" t="n">
        <v>44382</v>
      </c>
      <c r="G5084" s="1" t="n"/>
    </row>
    <row r="5085">
      <c r="A5085" s="6" t="n">
        <v>803493</v>
      </c>
      <c r="B5085" s="6" t="inlineStr">
        <is>
          <t>MOGEN DAVID POMEGRANATE</t>
        </is>
      </c>
      <c r="C5085" s="7">
        <f>VLOOKUP(A5085,SizeData!A$2:B$3839,2,FALSE)</f>
        <v/>
      </c>
      <c r="D5085" s="6" t="n">
        <v>1</v>
      </c>
      <c r="E5085" s="6" t="inlineStr">
        <is>
          <t>R1181307</t>
        </is>
      </c>
      <c r="F5085" s="2" t="n">
        <v>44387</v>
      </c>
      <c r="G5085" s="1" t="n"/>
    </row>
    <row r="5086">
      <c r="A5086" s="6" t="n">
        <v>803493</v>
      </c>
      <c r="B5086" s="6" t="inlineStr">
        <is>
          <t>MOGEN DAVID POMEGRANATE</t>
        </is>
      </c>
      <c r="C5086" s="7">
        <f>VLOOKUP(A5086,SizeData!A$2:B$3839,2,FALSE)</f>
        <v/>
      </c>
      <c r="D5086" s="6" t="n">
        <v>2</v>
      </c>
      <c r="E5086" s="6" t="inlineStr">
        <is>
          <t>R1189020</t>
        </is>
      </c>
      <c r="F5086" s="2" t="n">
        <v>44406</v>
      </c>
      <c r="G5086" s="1" t="n"/>
    </row>
    <row r="5087">
      <c r="A5087" s="6" t="n">
        <v>803493</v>
      </c>
      <c r="B5087" s="6" t="inlineStr">
        <is>
          <t>MOGEN DAVID POMEGRANATE</t>
        </is>
      </c>
      <c r="C5087" s="7">
        <f>VLOOKUP(A5087,SizeData!A$2:B$3839,2,FALSE)</f>
        <v/>
      </c>
      <c r="D5087" s="6" t="n">
        <v>1</v>
      </c>
      <c r="E5087" s="6" t="inlineStr">
        <is>
          <t>R1203013</t>
        </is>
      </c>
      <c r="F5087" s="2" t="n">
        <v>44413</v>
      </c>
      <c r="G5087" s="1" t="n"/>
    </row>
    <row r="5088">
      <c r="A5088" s="6" t="n">
        <v>803493</v>
      </c>
      <c r="B5088" s="6" t="inlineStr">
        <is>
          <t>MOGEN DAVID POMEGRANATE</t>
        </is>
      </c>
      <c r="C5088" s="7">
        <f>VLOOKUP(A5088,SizeData!A$2:B$3839,2,FALSE)</f>
        <v/>
      </c>
      <c r="D5088" s="6" t="n">
        <v>1</v>
      </c>
      <c r="E5088" s="6" t="inlineStr">
        <is>
          <t>R1203719</t>
        </is>
      </c>
      <c r="F5088" s="2" t="n">
        <v>44419</v>
      </c>
      <c r="G5088" s="1" t="n"/>
    </row>
    <row r="5089">
      <c r="A5089" s="6" t="n">
        <v>803493</v>
      </c>
      <c r="B5089" s="6" t="inlineStr">
        <is>
          <t>MOGEN DAVID POMEGRANATE</t>
        </is>
      </c>
      <c r="C5089" s="7">
        <f>VLOOKUP(A5089,SizeData!A$2:B$3839,2,FALSE)</f>
        <v/>
      </c>
      <c r="D5089" s="6" t="n">
        <v>2</v>
      </c>
      <c r="E5089" s="6" t="inlineStr">
        <is>
          <t>R1214748</t>
        </is>
      </c>
      <c r="F5089" s="2" t="n">
        <v>44433</v>
      </c>
      <c r="G5089" s="1" t="n"/>
    </row>
    <row r="5090">
      <c r="A5090" s="6" t="n">
        <v>803493</v>
      </c>
      <c r="B5090" s="6" t="inlineStr">
        <is>
          <t>MOGEN DAVID POMEGRANATE</t>
        </is>
      </c>
      <c r="C5090" s="7">
        <f>VLOOKUP(A5090,SizeData!A$2:B$3839,2,FALSE)</f>
        <v/>
      </c>
      <c r="D5090" s="6" t="n">
        <v>2</v>
      </c>
      <c r="E5090" s="6" t="inlineStr">
        <is>
          <t>R1217867</t>
        </is>
      </c>
      <c r="F5090" s="2" t="n">
        <v>44435</v>
      </c>
      <c r="G5090" s="1" t="n"/>
    </row>
    <row r="5091">
      <c r="A5091" s="6" t="n">
        <v>803493</v>
      </c>
      <c r="B5091" s="6" t="inlineStr">
        <is>
          <t>MOGEN DAVID POMEGRANATE</t>
        </is>
      </c>
      <c r="C5091" s="7">
        <f>VLOOKUP(A5091,SizeData!A$2:B$3839,2,FALSE)</f>
        <v/>
      </c>
      <c r="D5091" s="6" t="n">
        <v>1</v>
      </c>
      <c r="E5091" s="6" t="inlineStr">
        <is>
          <t>R1284504</t>
        </is>
      </c>
      <c r="F5091" s="2" t="n">
        <v>44485</v>
      </c>
      <c r="G5091" s="1" t="n"/>
    </row>
    <row r="5092">
      <c r="A5092" s="6" t="n">
        <v>803493</v>
      </c>
      <c r="B5092" s="6" t="inlineStr">
        <is>
          <t>MOGEN DAVID POMEGRANATE</t>
        </is>
      </c>
      <c r="C5092" s="7">
        <f>VLOOKUP(A5092,SizeData!A$2:B$3839,2,FALSE)</f>
        <v/>
      </c>
      <c r="D5092" s="6" t="n">
        <v>3</v>
      </c>
      <c r="E5092" s="6" t="inlineStr">
        <is>
          <t>R1299928</t>
        </is>
      </c>
      <c r="F5092" s="2" t="n">
        <v>44497</v>
      </c>
      <c r="G5092" s="1" t="n"/>
    </row>
    <row r="5093">
      <c r="A5093" s="6" t="n">
        <v>809132</v>
      </c>
      <c r="B5093" s="6" t="inlineStr">
        <is>
          <t>BAREFOOT CELLARS PEACH FRUIT-SCATO</t>
        </is>
      </c>
      <c r="C5093" s="7">
        <f>VLOOKUP(A5093,SizeData!A$2:B$3839,2,FALSE)</f>
        <v/>
      </c>
      <c r="D5093" s="6" t="n">
        <v>2</v>
      </c>
      <c r="E5093" s="6" t="inlineStr">
        <is>
          <t>R1170994</t>
        </is>
      </c>
      <c r="F5093" s="2" t="n">
        <v>44394</v>
      </c>
      <c r="G5093" s="1" t="n"/>
    </row>
    <row r="5094">
      <c r="A5094" s="6" t="n">
        <v>809134</v>
      </c>
      <c r="B5094" s="6" t="inlineStr">
        <is>
          <t>BAREFOOT CELLARS STRAWBERRY FRUIT-SCATO</t>
        </is>
      </c>
      <c r="C5094" s="7">
        <f>VLOOKUP(A5094,SizeData!A$2:B$3839,2,FALSE)</f>
        <v/>
      </c>
      <c r="D5094" s="6" t="n">
        <v>2</v>
      </c>
      <c r="E5094" s="6" t="inlineStr">
        <is>
          <t>R1049718</t>
        </is>
      </c>
      <c r="F5094" s="2" t="n">
        <v>44258</v>
      </c>
      <c r="G5094" s="1" t="n"/>
    </row>
    <row r="5095">
      <c r="A5095" s="6" t="n">
        <v>809134</v>
      </c>
      <c r="B5095" s="6" t="inlineStr">
        <is>
          <t>BAREFOOT CELLARS STRAWBERRY FRUIT-SCATO</t>
        </is>
      </c>
      <c r="C5095" s="7">
        <f>VLOOKUP(A5095,SizeData!A$2:B$3839,2,FALSE)</f>
        <v/>
      </c>
      <c r="D5095" s="6" t="n">
        <v>1</v>
      </c>
      <c r="E5095" s="6" t="inlineStr">
        <is>
          <t>R1047061</t>
        </is>
      </c>
      <c r="F5095" s="2" t="n">
        <v>44259</v>
      </c>
      <c r="G5095" s="1" t="n"/>
    </row>
    <row r="5096">
      <c r="A5096" s="6" t="n">
        <v>809134</v>
      </c>
      <c r="B5096" s="6" t="inlineStr">
        <is>
          <t>BAREFOOT CELLARS STRAWBERRY FRUIT-SCATO</t>
        </is>
      </c>
      <c r="C5096" s="7">
        <f>VLOOKUP(A5096,SizeData!A$2:B$3839,2,FALSE)</f>
        <v/>
      </c>
      <c r="D5096" s="6" t="n">
        <v>1</v>
      </c>
      <c r="E5096" s="6" t="inlineStr">
        <is>
          <t>R1081307</t>
        </is>
      </c>
      <c r="F5096" s="2" t="n">
        <v>44284</v>
      </c>
      <c r="G5096" s="1" t="n"/>
    </row>
    <row r="5097">
      <c r="A5097" s="6" t="n">
        <v>809138</v>
      </c>
      <c r="B5097" s="6" t="inlineStr">
        <is>
          <t>BAREFOOT CELLARS PEACH FRUIT SCATO</t>
        </is>
      </c>
      <c r="C5097" s="7">
        <f>VLOOKUP(A5097,SizeData!A$2:B$3839,2,FALSE)</f>
        <v/>
      </c>
      <c r="D5097" s="6" t="n">
        <v>1</v>
      </c>
      <c r="E5097" s="6" t="inlineStr">
        <is>
          <t>R1032609</t>
        </is>
      </c>
      <c r="F5097" s="2" t="n">
        <v>44246</v>
      </c>
      <c r="G5097" s="1" t="n"/>
    </row>
    <row r="5098">
      <c r="A5098" s="6" t="n">
        <v>809138</v>
      </c>
      <c r="B5098" s="6" t="inlineStr">
        <is>
          <t>BAREFOOT CELLARS PEACH FRUIT SCATO</t>
        </is>
      </c>
      <c r="C5098" s="7">
        <f>VLOOKUP(A5098,SizeData!A$2:B$3839,2,FALSE)</f>
        <v/>
      </c>
      <c r="D5098" s="6" t="n">
        <v>3</v>
      </c>
      <c r="E5098" s="6" t="inlineStr">
        <is>
          <t>R1097628</t>
        </is>
      </c>
      <c r="F5098" s="2" t="n">
        <v>44305</v>
      </c>
      <c r="G5098" s="1" t="n"/>
    </row>
    <row r="5099">
      <c r="A5099" s="6" t="n">
        <v>809138</v>
      </c>
      <c r="B5099" s="6" t="inlineStr">
        <is>
          <t>BAREFOOT CELLARS PEACH FRUIT SCATO</t>
        </is>
      </c>
      <c r="C5099" s="7">
        <f>VLOOKUP(A5099,SizeData!A$2:B$3839,2,FALSE)</f>
        <v/>
      </c>
      <c r="D5099" s="6" t="n">
        <v>3</v>
      </c>
      <c r="E5099" s="6" t="inlineStr">
        <is>
          <t>R1134794</t>
        </is>
      </c>
      <c r="F5099" s="2" t="n">
        <v>44365</v>
      </c>
      <c r="G5099" s="1" t="n"/>
    </row>
    <row r="5100">
      <c r="A5100" s="6" t="n">
        <v>809138</v>
      </c>
      <c r="B5100" s="6" t="inlineStr">
        <is>
          <t>BAREFOOT CELLARS PEACH FRUIT SCATO</t>
        </is>
      </c>
      <c r="C5100" s="7">
        <f>VLOOKUP(A5100,SizeData!A$2:B$3839,2,FALSE)</f>
        <v/>
      </c>
      <c r="D5100" s="6" t="n">
        <v>2</v>
      </c>
      <c r="E5100" s="6" t="inlineStr">
        <is>
          <t xml:space="preserve"> R1264833</t>
        </is>
      </c>
      <c r="F5100" s="2" t="n">
        <v>44471</v>
      </c>
      <c r="G5100" s="1" t="n"/>
    </row>
    <row r="5101">
      <c r="A5101" s="6" t="n">
        <v>809138</v>
      </c>
      <c r="B5101" s="6" t="inlineStr">
        <is>
          <t>BAREFOOT CELLARS PEACH FRUIT SCATO</t>
        </is>
      </c>
      <c r="C5101" s="7">
        <f>VLOOKUP(A5101,SizeData!A$2:B$3839,2,FALSE)</f>
        <v/>
      </c>
      <c r="D5101" s="6" t="n">
        <v>1</v>
      </c>
      <c r="E5101" s="6" t="inlineStr">
        <is>
          <t>R1301289</t>
        </is>
      </c>
      <c r="F5101" s="2" t="n">
        <v>44499</v>
      </c>
      <c r="G5101" s="1" t="n"/>
    </row>
    <row r="5102">
      <c r="A5102" s="6" t="n">
        <v>809140</v>
      </c>
      <c r="B5102" s="6" t="inlineStr">
        <is>
          <t>BAREFOOT CELLARS STRAWBERRY FRUIT SCATO</t>
        </is>
      </c>
      <c r="C5102" s="7">
        <f>VLOOKUP(A5102,SizeData!A$2:B$3839,2,FALSE)</f>
        <v/>
      </c>
      <c r="D5102" s="6" t="n">
        <v>1</v>
      </c>
      <c r="E5102" s="6" t="inlineStr">
        <is>
          <t>R1032609</t>
        </is>
      </c>
      <c r="F5102" s="2" t="n">
        <v>44246</v>
      </c>
      <c r="G5102" s="1" t="n"/>
    </row>
    <row r="5103">
      <c r="A5103" s="6" t="n">
        <v>812770</v>
      </c>
      <c r="B5103" s="6" t="inlineStr">
        <is>
          <t>MD 20/20 BANANA RED</t>
        </is>
      </c>
      <c r="C5103" s="7">
        <f>VLOOKUP(A5103,SizeData!A$2:B$3839,2,FALSE)</f>
        <v/>
      </c>
      <c r="D5103" s="6" t="n">
        <v>1</v>
      </c>
      <c r="E5103" s="6" t="inlineStr">
        <is>
          <t>R1015412</t>
        </is>
      </c>
      <c r="F5103" s="2" t="n">
        <v>44215</v>
      </c>
      <c r="G5103" s="1" t="n"/>
    </row>
    <row r="5104">
      <c r="A5104" s="6" t="n">
        <v>812770</v>
      </c>
      <c r="B5104" s="6" t="inlineStr">
        <is>
          <t>MD 20/20 BANANA RED</t>
        </is>
      </c>
      <c r="C5104" s="7">
        <f>VLOOKUP(A5104,SizeData!A$2:B$3839,2,FALSE)</f>
        <v/>
      </c>
      <c r="D5104" s="6" t="n">
        <v>1</v>
      </c>
      <c r="E5104" s="6" t="inlineStr">
        <is>
          <t>R1030486</t>
        </is>
      </c>
      <c r="F5104" s="2" t="n">
        <v>44247</v>
      </c>
      <c r="G5104" s="1" t="n"/>
    </row>
    <row r="5105">
      <c r="A5105" s="6" t="n">
        <v>812770</v>
      </c>
      <c r="B5105" s="6" t="inlineStr">
        <is>
          <t>MD 20/20 BANANA RED</t>
        </is>
      </c>
      <c r="C5105" s="7">
        <f>VLOOKUP(A5105,SizeData!A$2:B$3839,2,FALSE)</f>
        <v/>
      </c>
      <c r="D5105" s="6" t="n">
        <v>1</v>
      </c>
      <c r="E5105" s="6" t="inlineStr">
        <is>
          <t>R1142808</t>
        </is>
      </c>
      <c r="F5105" s="2" t="n">
        <v>44352</v>
      </c>
      <c r="G5105" s="1" t="n"/>
    </row>
    <row r="5106">
      <c r="A5106" s="6" t="n">
        <v>812770</v>
      </c>
      <c r="B5106" s="6" t="inlineStr">
        <is>
          <t>MD 20/20 BANANA RED</t>
        </is>
      </c>
      <c r="C5106" s="7">
        <f>VLOOKUP(A5106,SizeData!A$2:B$3839,2,FALSE)</f>
        <v/>
      </c>
      <c r="D5106" s="6" t="n">
        <v>1</v>
      </c>
      <c r="E5106" s="6" t="inlineStr">
        <is>
          <t>R1192602</t>
        </is>
      </c>
      <c r="F5106" s="2" t="n">
        <v>44401</v>
      </c>
      <c r="G5106" s="1" t="n"/>
    </row>
    <row r="5107">
      <c r="A5107" s="6" t="n">
        <v>812770</v>
      </c>
      <c r="B5107" s="6" t="inlineStr">
        <is>
          <t>MD 20/20 BANANA RED</t>
        </is>
      </c>
      <c r="C5107" s="7">
        <f>VLOOKUP(A5107,SizeData!A$2:B$3839,2,FALSE)</f>
        <v/>
      </c>
      <c r="D5107" s="6" t="n">
        <v>1</v>
      </c>
      <c r="E5107" s="6" t="inlineStr">
        <is>
          <t>R1306125</t>
        </is>
      </c>
      <c r="F5107" s="2" t="n">
        <v>44495</v>
      </c>
      <c r="G5107" s="1" t="n"/>
    </row>
    <row r="5108">
      <c r="A5108" s="6" t="n">
        <v>812770</v>
      </c>
      <c r="B5108" s="6" t="inlineStr">
        <is>
          <t>MD 20/20 BANANA RED</t>
        </is>
      </c>
      <c r="C5108" s="7">
        <f>VLOOKUP(A5108,SizeData!A$2:B$3839,2,FALSE)</f>
        <v/>
      </c>
      <c r="D5108" s="6" t="n">
        <v>1</v>
      </c>
      <c r="E5108" s="6" t="inlineStr">
        <is>
          <t>R1337036</t>
        </is>
      </c>
      <c r="F5108" s="2" t="n">
        <v>44523</v>
      </c>
      <c r="G5108" s="1" t="n"/>
    </row>
    <row r="5109">
      <c r="A5109" s="6" t="n">
        <v>812772</v>
      </c>
      <c r="B5109" s="6" t="inlineStr">
        <is>
          <t>MD 20/20 BANANA RED</t>
        </is>
      </c>
      <c r="C5109" s="7">
        <f>VLOOKUP(A5109,SizeData!A$2:B$3839,2,FALSE)</f>
        <v/>
      </c>
      <c r="D5109" s="6" t="n">
        <v>1</v>
      </c>
      <c r="E5109" s="6" t="inlineStr">
        <is>
          <t>R992805</t>
        </is>
      </c>
      <c r="F5109" s="2" t="n">
        <v>44201</v>
      </c>
      <c r="G5109" s="1" t="n"/>
    </row>
    <row r="5110">
      <c r="A5110" s="6" t="n">
        <v>812772</v>
      </c>
      <c r="B5110" s="6" t="inlineStr">
        <is>
          <t>MD 20/20 BANANA RED</t>
        </is>
      </c>
      <c r="C5110" s="7">
        <f>VLOOKUP(A5110,SizeData!A$2:B$3839,2,FALSE)</f>
        <v/>
      </c>
      <c r="D5110" s="6" t="n">
        <v>1</v>
      </c>
      <c r="E5110" s="6" t="inlineStr">
        <is>
          <t>R1003015</t>
        </is>
      </c>
      <c r="F5110" s="2" t="n">
        <v>44216</v>
      </c>
      <c r="G5110" s="1" t="n"/>
    </row>
    <row r="5111">
      <c r="A5111" s="6" t="n">
        <v>812772</v>
      </c>
      <c r="B5111" s="6" t="inlineStr">
        <is>
          <t>MD 20/20 BANANA RED</t>
        </is>
      </c>
      <c r="C5111" s="7">
        <f>VLOOKUP(A5111,SizeData!A$2:B$3839,2,FALSE)</f>
        <v/>
      </c>
      <c r="D5111" s="6" t="n">
        <v>1</v>
      </c>
      <c r="E5111" s="6" t="inlineStr">
        <is>
          <t>R1132471</t>
        </is>
      </c>
      <c r="F5111" s="2" t="n">
        <v>44349</v>
      </c>
      <c r="G5111" s="1" t="n"/>
    </row>
    <row r="5112">
      <c r="A5112" s="6" t="n">
        <v>812776</v>
      </c>
      <c r="B5112" s="6" t="inlineStr">
        <is>
          <t>MD 20/20 PEACH &amp; CREAM</t>
        </is>
      </c>
      <c r="C5112" s="7">
        <f>VLOOKUP(A5112,SizeData!A$2:B$3839,2,FALSE)</f>
        <v/>
      </c>
      <c r="D5112" s="6" t="n">
        <v>1</v>
      </c>
      <c r="E5112" s="6" t="inlineStr">
        <is>
          <t>R1000047</t>
        </is>
      </c>
      <c r="F5112" s="2" t="n">
        <v>44207</v>
      </c>
      <c r="G5112" s="1" t="n"/>
    </row>
    <row r="5113">
      <c r="A5113" s="6" t="n">
        <v>812776</v>
      </c>
      <c r="B5113" s="6" t="inlineStr">
        <is>
          <t>MD 20/20 PEACH &amp; CREAM</t>
        </is>
      </c>
      <c r="C5113" s="7">
        <f>VLOOKUP(A5113,SizeData!A$2:B$3839,2,FALSE)</f>
        <v/>
      </c>
      <c r="D5113" s="6" t="n">
        <v>1</v>
      </c>
      <c r="E5113" s="6" t="inlineStr">
        <is>
          <t>R1003015</t>
        </is>
      </c>
      <c r="F5113" s="2" t="n">
        <v>44216</v>
      </c>
      <c r="G5113" s="1" t="n"/>
    </row>
    <row r="5114">
      <c r="A5114" s="6" t="n">
        <v>812776</v>
      </c>
      <c r="B5114" s="6" t="inlineStr">
        <is>
          <t>MD 20/20 PEACH &amp; CREAM</t>
        </is>
      </c>
      <c r="C5114" s="7">
        <f>VLOOKUP(A5114,SizeData!A$2:B$3839,2,FALSE)</f>
        <v/>
      </c>
      <c r="D5114" s="6" t="n">
        <v>1</v>
      </c>
      <c r="E5114" s="6" t="inlineStr">
        <is>
          <t>R1028756</t>
        </is>
      </c>
      <c r="F5114" s="2" t="n">
        <v>44239</v>
      </c>
      <c r="G5114" s="1" t="n"/>
    </row>
    <row r="5115">
      <c r="A5115" s="6" t="n">
        <v>812776</v>
      </c>
      <c r="B5115" s="6" t="inlineStr">
        <is>
          <t>MD 20/20 PEACH &amp; CREAM</t>
        </is>
      </c>
      <c r="C5115" s="7">
        <f>VLOOKUP(A5115,SizeData!A$2:B$3839,2,FALSE)</f>
        <v/>
      </c>
      <c r="D5115" s="6" t="n">
        <v>1</v>
      </c>
      <c r="E5115" s="6" t="inlineStr">
        <is>
          <t>R1030486</t>
        </is>
      </c>
      <c r="F5115" s="2" t="n">
        <v>44247</v>
      </c>
      <c r="G5115" s="1" t="n"/>
    </row>
    <row r="5116">
      <c r="A5116" s="6" t="n">
        <v>812776</v>
      </c>
      <c r="B5116" s="6" t="inlineStr">
        <is>
          <t>MD 20/20 PEACH &amp; CREAM</t>
        </is>
      </c>
      <c r="C5116" s="7">
        <f>VLOOKUP(A5116,SizeData!A$2:B$3839,2,FALSE)</f>
        <v/>
      </c>
      <c r="D5116" s="6" t="n">
        <v>1</v>
      </c>
      <c r="E5116" s="6" t="inlineStr">
        <is>
          <t>R1096915</t>
        </is>
      </c>
      <c r="F5116" s="2" t="n">
        <v>44303</v>
      </c>
      <c r="G5116" s="1" t="n"/>
    </row>
    <row r="5117">
      <c r="A5117" s="6" t="n">
        <v>812776</v>
      </c>
      <c r="B5117" s="6" t="inlineStr">
        <is>
          <t>MD 20/20 PEACH &amp; CREAM</t>
        </is>
      </c>
      <c r="C5117" s="7">
        <f>VLOOKUP(A5117,SizeData!A$2:B$3839,2,FALSE)</f>
        <v/>
      </c>
      <c r="D5117" s="6" t="n">
        <v>1</v>
      </c>
      <c r="E5117" s="6" t="inlineStr">
        <is>
          <t>R1131905</t>
        </is>
      </c>
      <c r="F5117" s="2" t="n">
        <v>44340</v>
      </c>
      <c r="G5117" s="1" t="n"/>
    </row>
    <row r="5118">
      <c r="A5118" s="6" t="n">
        <v>812776</v>
      </c>
      <c r="B5118" s="6" t="inlineStr">
        <is>
          <t>MD 20/20 PEACH &amp; CREAM</t>
        </is>
      </c>
      <c r="C5118" s="7">
        <f>VLOOKUP(A5118,SizeData!A$2:B$3839,2,FALSE)</f>
        <v/>
      </c>
      <c r="D5118" s="6" t="n">
        <v>1</v>
      </c>
      <c r="E5118" s="6" t="inlineStr">
        <is>
          <t>R1166742</t>
        </is>
      </c>
      <c r="F5118" s="2" t="n">
        <v>44372</v>
      </c>
      <c r="G5118" s="1" t="n"/>
    </row>
    <row r="5119">
      <c r="A5119" s="6" t="n">
        <v>812776</v>
      </c>
      <c r="B5119" s="6" t="inlineStr">
        <is>
          <t>MD 20/20 PEACH &amp; CREAM</t>
        </is>
      </c>
      <c r="C5119" s="7">
        <f>VLOOKUP(A5119,SizeData!A$2:B$3839,2,FALSE)</f>
        <v/>
      </c>
      <c r="D5119" s="6" t="n">
        <v>1</v>
      </c>
      <c r="E5119" s="6" t="inlineStr">
        <is>
          <t>R1225343</t>
        </is>
      </c>
      <c r="F5119" s="2" t="n">
        <v>44427</v>
      </c>
      <c r="G5119" s="1" t="n"/>
    </row>
    <row r="5120">
      <c r="A5120" s="6" t="n">
        <v>812776</v>
      </c>
      <c r="B5120" s="6" t="inlineStr">
        <is>
          <t>MD 20/20 PEACH &amp; CREAM</t>
        </is>
      </c>
      <c r="C5120" s="7">
        <f>VLOOKUP(A5120,SizeData!A$2:B$3839,2,FALSE)</f>
        <v/>
      </c>
      <c r="D5120" s="6" t="n">
        <v>1</v>
      </c>
      <c r="E5120" s="6" t="inlineStr">
        <is>
          <t>R1231184</t>
        </is>
      </c>
      <c r="F5120" s="2" t="n">
        <v>44443</v>
      </c>
      <c r="G5120" s="1" t="n"/>
    </row>
    <row r="5121">
      <c r="A5121" s="6" t="n">
        <v>812776</v>
      </c>
      <c r="B5121" s="6" t="inlineStr">
        <is>
          <t>MD 20/20 PEACH &amp; CREAM</t>
        </is>
      </c>
      <c r="C5121" s="7">
        <f>VLOOKUP(A5121,SizeData!A$2:B$3839,2,FALSE)</f>
        <v/>
      </c>
      <c r="D5121" s="6" t="n">
        <v>2</v>
      </c>
      <c r="E5121" s="6" t="inlineStr">
        <is>
          <t>R1287055</t>
        </is>
      </c>
      <c r="F5121" s="2" t="n">
        <v>44482</v>
      </c>
      <c r="G5121" s="1" t="n"/>
    </row>
    <row r="5122">
      <c r="A5122" s="6" t="n">
        <v>812776</v>
      </c>
      <c r="B5122" s="6" t="inlineStr">
        <is>
          <t>MD 20/20 PEACH &amp; CREAM</t>
        </is>
      </c>
      <c r="C5122" s="7">
        <f>VLOOKUP(A5122,SizeData!A$2:B$3839,2,FALSE)</f>
        <v/>
      </c>
      <c r="D5122" s="6" t="n">
        <v>1</v>
      </c>
      <c r="E5122" s="6" t="inlineStr">
        <is>
          <t>R1340613</t>
        </is>
      </c>
      <c r="F5122" s="2" t="n">
        <v>44520</v>
      </c>
      <c r="G5122" s="1" t="n"/>
    </row>
    <row r="5123">
      <c r="A5123" s="6" t="n">
        <v>812776</v>
      </c>
      <c r="B5123" s="6" t="inlineStr">
        <is>
          <t>MD 20/20 PEACH &amp; CREAM</t>
        </is>
      </c>
      <c r="C5123" s="7">
        <f>VLOOKUP(A5123,SizeData!A$2:B$3839,2,FALSE)</f>
        <v/>
      </c>
      <c r="D5123" s="6" t="n">
        <v>0</v>
      </c>
      <c r="E5123" s="6" t="inlineStr">
        <is>
          <t>R1340613</t>
        </is>
      </c>
      <c r="F5123" s="2" t="n">
        <v>44520</v>
      </c>
      <c r="G5123" s="1" t="n"/>
    </row>
    <row r="5124">
      <c r="A5124" s="6" t="n">
        <v>812776</v>
      </c>
      <c r="B5124" s="6" t="inlineStr">
        <is>
          <t>MD 20/20 PEACH &amp; CREAM</t>
        </is>
      </c>
      <c r="C5124" s="7">
        <f>VLOOKUP(A5124,SizeData!A$2:B$3839,2,FALSE)</f>
        <v/>
      </c>
      <c r="D5124" s="6" t="n">
        <v>1</v>
      </c>
      <c r="E5124" s="6" t="inlineStr">
        <is>
          <t>R1348543A</t>
        </is>
      </c>
      <c r="F5124" s="2" t="n">
        <v>44552</v>
      </c>
      <c r="G5124" s="1" t="n"/>
    </row>
    <row r="5125">
      <c r="A5125" s="6" t="n">
        <v>812790</v>
      </c>
      <c r="B5125" s="6" t="inlineStr">
        <is>
          <t>MD 20/20 ORANGE JUBILEE</t>
        </is>
      </c>
      <c r="C5125" s="7">
        <f>VLOOKUP(A5125,SizeData!A$2:B$3839,2,FALSE)</f>
        <v/>
      </c>
      <c r="D5125" s="6" t="n">
        <v>1</v>
      </c>
      <c r="E5125" s="6" t="inlineStr">
        <is>
          <t>R1161479</t>
        </is>
      </c>
      <c r="F5125" s="2" t="n">
        <v>44373</v>
      </c>
      <c r="G5125" s="1" t="n"/>
    </row>
    <row r="5126">
      <c r="A5126" s="6" t="n">
        <v>812790</v>
      </c>
      <c r="B5126" s="6" t="inlineStr">
        <is>
          <t>MD 20/20 ORANGE JUBILEE</t>
        </is>
      </c>
      <c r="C5126" s="7">
        <f>VLOOKUP(A5126,SizeData!A$2:B$3839,2,FALSE)</f>
        <v/>
      </c>
      <c r="D5126" s="6" t="n">
        <v>1</v>
      </c>
      <c r="E5126" s="6" t="inlineStr">
        <is>
          <t>R1187907</t>
        </is>
      </c>
      <c r="F5126" s="2" t="n">
        <v>44401</v>
      </c>
      <c r="G5126" s="1" t="n"/>
    </row>
    <row r="5127">
      <c r="A5127" s="6" t="n">
        <v>812790</v>
      </c>
      <c r="B5127" s="6" t="inlineStr">
        <is>
          <t>MD 20/20 ORANGE JUBILEE</t>
        </is>
      </c>
      <c r="C5127" s="7">
        <f>VLOOKUP(A5127,SizeData!A$2:B$3839,2,FALSE)</f>
        <v/>
      </c>
      <c r="D5127" s="6" t="n">
        <v>1</v>
      </c>
      <c r="E5127" s="6" t="inlineStr">
        <is>
          <t>R1259107</t>
        </is>
      </c>
      <c r="F5127" s="2" t="n">
        <v>44466</v>
      </c>
      <c r="G5127" s="1" t="n"/>
    </row>
    <row r="5128">
      <c r="A5128" s="6" t="n">
        <v>812790</v>
      </c>
      <c r="B5128" s="6" t="inlineStr">
        <is>
          <t>MD 20/20 ORANGE JUBILEE</t>
        </is>
      </c>
      <c r="C5128" s="7">
        <f>VLOOKUP(A5128,SizeData!A$2:B$3839,2,FALSE)</f>
        <v/>
      </c>
      <c r="D5128" s="6" t="n">
        <v>1</v>
      </c>
      <c r="E5128" s="6" t="inlineStr">
        <is>
          <t>R1276303</t>
        </is>
      </c>
      <c r="F5128" s="2" t="n">
        <v>44474</v>
      </c>
      <c r="G5128" s="1" t="n"/>
    </row>
    <row r="5129">
      <c r="A5129" s="6" t="n">
        <v>812791</v>
      </c>
      <c r="B5129" s="6" t="inlineStr">
        <is>
          <t>MD 20/20 ORANGE JUBILEE</t>
        </is>
      </c>
      <c r="C5129" s="7">
        <f>VLOOKUP(A5129,SizeData!A$2:B$3839,2,FALSE)</f>
        <v/>
      </c>
      <c r="D5129" s="6" t="n">
        <v>1</v>
      </c>
      <c r="E5129" s="6" t="inlineStr">
        <is>
          <t>R1015412</t>
        </is>
      </c>
      <c r="F5129" s="2" t="n">
        <v>44215</v>
      </c>
      <c r="G5129" s="1" t="n"/>
    </row>
    <row r="5130">
      <c r="A5130" s="6" t="n">
        <v>812791</v>
      </c>
      <c r="B5130" s="6" t="inlineStr">
        <is>
          <t>MD 20/20 ORANGE JUBILEE</t>
        </is>
      </c>
      <c r="C5130" s="7">
        <f>VLOOKUP(A5130,SizeData!A$2:B$3839,2,FALSE)</f>
        <v/>
      </c>
      <c r="D5130" s="6" t="n">
        <v>1</v>
      </c>
      <c r="E5130" s="6" t="inlineStr">
        <is>
          <t>R1030486</t>
        </is>
      </c>
      <c r="F5130" s="2" t="n">
        <v>44247</v>
      </c>
      <c r="G5130" s="1" t="n"/>
    </row>
    <row r="5131">
      <c r="A5131" s="6" t="n">
        <v>812791</v>
      </c>
      <c r="B5131" s="6" t="inlineStr">
        <is>
          <t>MD 20/20 ORANGE JUBILEE</t>
        </is>
      </c>
      <c r="C5131" s="7">
        <f>VLOOKUP(A5131,SizeData!A$2:B$3839,2,FALSE)</f>
        <v/>
      </c>
      <c r="D5131" s="6" t="n">
        <v>1</v>
      </c>
      <c r="E5131" s="6" t="inlineStr">
        <is>
          <t>R1066257</t>
        </is>
      </c>
      <c r="F5131" s="2" t="n">
        <v>44270</v>
      </c>
      <c r="G5131" s="1" t="n"/>
    </row>
    <row r="5132">
      <c r="A5132" s="6" t="n">
        <v>812791</v>
      </c>
      <c r="B5132" s="6" t="inlineStr">
        <is>
          <t>MD 20/20 ORANGE JUBILEE</t>
        </is>
      </c>
      <c r="C5132" s="7">
        <f>VLOOKUP(A5132,SizeData!A$2:B$3839,2,FALSE)</f>
        <v/>
      </c>
      <c r="D5132" s="6" t="n">
        <v>1</v>
      </c>
      <c r="E5132" s="6" t="inlineStr">
        <is>
          <t>R1089290</t>
        </is>
      </c>
      <c r="F5132" s="2" t="n">
        <v>44309</v>
      </c>
      <c r="G5132" s="1" t="n"/>
    </row>
    <row r="5133">
      <c r="A5133" s="6" t="n">
        <v>812791</v>
      </c>
      <c r="B5133" s="6" t="inlineStr">
        <is>
          <t>MD 20/20 ORANGE JUBILEE</t>
        </is>
      </c>
      <c r="C5133" s="7">
        <f>VLOOKUP(A5133,SizeData!A$2:B$3839,2,FALSE)</f>
        <v/>
      </c>
      <c r="D5133" s="6" t="n">
        <v>1</v>
      </c>
      <c r="E5133" s="6" t="inlineStr">
        <is>
          <t xml:space="preserve"> R1125172</t>
        </is>
      </c>
      <c r="F5133" s="2" t="n">
        <v>44322</v>
      </c>
      <c r="G5133" s="1" t="n"/>
    </row>
    <row r="5134">
      <c r="A5134" s="6" t="n">
        <v>812791</v>
      </c>
      <c r="B5134" s="6" t="inlineStr">
        <is>
          <t>MD 20/20 ORANGE JUBILEE</t>
        </is>
      </c>
      <c r="C5134" s="7">
        <f>VLOOKUP(A5134,SizeData!A$2:B$3839,2,FALSE)</f>
        <v/>
      </c>
      <c r="D5134" s="6" t="n">
        <v>1</v>
      </c>
      <c r="E5134" s="6" t="inlineStr">
        <is>
          <t>R1151004</t>
        </is>
      </c>
      <c r="F5134" s="2" t="n">
        <v>44358</v>
      </c>
      <c r="G5134" s="1" t="n"/>
    </row>
    <row r="5135">
      <c r="A5135" s="6" t="n">
        <v>812791</v>
      </c>
      <c r="B5135" s="6" t="inlineStr">
        <is>
          <t>MD 20/20 ORANGE JUBILEE</t>
        </is>
      </c>
      <c r="C5135" s="7">
        <f>VLOOKUP(A5135,SizeData!A$2:B$3839,2,FALSE)</f>
        <v/>
      </c>
      <c r="D5135" s="6" t="n">
        <v>2</v>
      </c>
      <c r="E5135" s="6" t="inlineStr">
        <is>
          <t>R1152918</t>
        </is>
      </c>
      <c r="F5135" s="2" t="n">
        <v>44368</v>
      </c>
      <c r="G5135" s="1" t="n"/>
    </row>
    <row r="5136">
      <c r="A5136" s="6" t="n">
        <v>812791</v>
      </c>
      <c r="B5136" s="6" t="inlineStr">
        <is>
          <t>MD 20/20 ORANGE JUBILEE</t>
        </is>
      </c>
      <c r="C5136" s="7">
        <f>VLOOKUP(A5136,SizeData!A$2:B$3839,2,FALSE)</f>
        <v/>
      </c>
      <c r="D5136" s="6" t="n">
        <v>1</v>
      </c>
      <c r="E5136" s="6" t="inlineStr">
        <is>
          <t>R1185778</t>
        </is>
      </c>
      <c r="F5136" s="2" t="n">
        <v>44399</v>
      </c>
      <c r="G5136" s="1" t="n"/>
    </row>
    <row r="5137">
      <c r="A5137" s="6" t="n">
        <v>812791</v>
      </c>
      <c r="B5137" s="6" t="inlineStr">
        <is>
          <t>MD 20/20 ORANGE JUBILEE</t>
        </is>
      </c>
      <c r="C5137" s="7">
        <f>VLOOKUP(A5137,SizeData!A$2:B$3839,2,FALSE)</f>
        <v/>
      </c>
      <c r="D5137" s="6" t="n">
        <v>1</v>
      </c>
      <c r="E5137" s="6" t="inlineStr">
        <is>
          <t>R1200565</t>
        </is>
      </c>
      <c r="F5137" s="2" t="n">
        <v>44411</v>
      </c>
      <c r="G5137" s="1" t="n"/>
    </row>
    <row r="5138">
      <c r="A5138" s="6" t="n">
        <v>812791</v>
      </c>
      <c r="B5138" s="6" t="inlineStr">
        <is>
          <t>MD 20/20 ORANGE JUBILEE</t>
        </is>
      </c>
      <c r="C5138" s="7">
        <f>VLOOKUP(A5138,SizeData!A$2:B$3839,2,FALSE)</f>
        <v/>
      </c>
      <c r="D5138" s="6" t="n">
        <v>1</v>
      </c>
      <c r="E5138" s="6" t="inlineStr">
        <is>
          <t>R1206028</t>
        </is>
      </c>
      <c r="F5138" s="2" t="n">
        <v>44417</v>
      </c>
      <c r="G5138" s="1" t="n"/>
    </row>
    <row r="5139">
      <c r="A5139" s="6" t="n">
        <v>812791</v>
      </c>
      <c r="B5139" s="6" t="inlineStr">
        <is>
          <t>MD 20/20 ORANGE JUBILEE</t>
        </is>
      </c>
      <c r="C5139" s="7">
        <f>VLOOKUP(A5139,SizeData!A$2:B$3839,2,FALSE)</f>
        <v/>
      </c>
      <c r="D5139" s="6" t="n">
        <v>1</v>
      </c>
      <c r="E5139" s="6" t="inlineStr">
        <is>
          <t>R1216789</t>
        </is>
      </c>
      <c r="F5139" s="2" t="n">
        <v>44432</v>
      </c>
      <c r="G5139" s="1" t="inlineStr">
        <is>
          <t> </t>
        </is>
      </c>
    </row>
    <row r="5140">
      <c r="A5140" s="6" t="n">
        <v>812791</v>
      </c>
      <c r="B5140" s="6" t="inlineStr">
        <is>
          <t>MD 20/20 ORANGE JUBILEE</t>
        </is>
      </c>
      <c r="C5140" s="7">
        <f>VLOOKUP(A5140,SizeData!A$2:B$3839,2,FALSE)</f>
        <v/>
      </c>
      <c r="D5140" s="6" t="n">
        <v>1</v>
      </c>
      <c r="E5140" s="6" t="inlineStr">
        <is>
          <t>R1242289</t>
        </is>
      </c>
      <c r="F5140" s="2" t="n">
        <v>44455</v>
      </c>
      <c r="G5140" s="1" t="n"/>
    </row>
    <row r="5141">
      <c r="A5141" s="6" t="n">
        <v>812791</v>
      </c>
      <c r="B5141" s="6" t="inlineStr">
        <is>
          <t>MD 20/20 ORANGE JUBILEE</t>
        </is>
      </c>
      <c r="C5141" s="7">
        <f>VLOOKUP(A5141,SizeData!A$2:B$3839,2,FALSE)</f>
        <v/>
      </c>
      <c r="D5141" s="6" t="n">
        <v>1</v>
      </c>
      <c r="E5141" s="6" t="inlineStr">
        <is>
          <t>R1259107</t>
        </is>
      </c>
      <c r="F5141" s="2" t="n">
        <v>44466</v>
      </c>
      <c r="G5141" s="1" t="n"/>
    </row>
    <row r="5142">
      <c r="A5142" s="6" t="n">
        <v>812791</v>
      </c>
      <c r="B5142" s="6" t="inlineStr">
        <is>
          <t>MD 20/20 ORANGE JUBILEE</t>
        </is>
      </c>
      <c r="C5142" s="7">
        <f>VLOOKUP(A5142,SizeData!A$2:B$3839,2,FALSE)</f>
        <v/>
      </c>
      <c r="D5142" s="6" t="n">
        <v>1</v>
      </c>
      <c r="E5142" s="6" t="inlineStr">
        <is>
          <t>R1267530</t>
        </is>
      </c>
      <c r="F5142" s="2" t="n">
        <v>44470</v>
      </c>
      <c r="G5142" s="1" t="n"/>
    </row>
    <row r="5143">
      <c r="A5143" s="6" t="n">
        <v>812791</v>
      </c>
      <c r="B5143" s="6" t="inlineStr">
        <is>
          <t>MD 20/20 ORANGE JUBILEE</t>
        </is>
      </c>
      <c r="C5143" s="7">
        <f>VLOOKUP(A5143,SizeData!A$2:B$3839,2,FALSE)</f>
        <v/>
      </c>
      <c r="D5143" s="6" t="n">
        <v>2</v>
      </c>
      <c r="E5143" s="6" t="inlineStr">
        <is>
          <t>R1274548</t>
        </is>
      </c>
      <c r="F5143" s="2" t="n">
        <v>44485</v>
      </c>
      <c r="G5143" s="1" t="n"/>
    </row>
    <row r="5144">
      <c r="A5144" s="6" t="n">
        <v>812791</v>
      </c>
      <c r="B5144" s="6" t="inlineStr">
        <is>
          <t>MD 20/20 ORANGE JUBILEE</t>
        </is>
      </c>
      <c r="C5144" s="7">
        <f>VLOOKUP(A5144,SizeData!A$2:B$3839,2,FALSE)</f>
        <v/>
      </c>
      <c r="D5144" s="6" t="n">
        <v>3</v>
      </c>
      <c r="E5144" s="6" t="inlineStr">
        <is>
          <t>R1318654</t>
        </is>
      </c>
      <c r="F5144" s="2" t="n">
        <v>44513</v>
      </c>
      <c r="G5144" s="1" t="n"/>
    </row>
    <row r="5145">
      <c r="A5145" s="6" t="n">
        <v>812791</v>
      </c>
      <c r="B5145" s="6" t="inlineStr">
        <is>
          <t>MD 20/20 ORANGE JUBILEE</t>
        </is>
      </c>
      <c r="C5145" s="7">
        <f>VLOOKUP(A5145,SizeData!A$2:B$3839,2,FALSE)</f>
        <v/>
      </c>
      <c r="D5145" s="6" t="n">
        <v>2</v>
      </c>
      <c r="E5145" s="6" t="inlineStr">
        <is>
          <t>R1337036</t>
        </is>
      </c>
      <c r="F5145" s="2" t="n">
        <v>44523</v>
      </c>
      <c r="G5145" s="1" t="n"/>
    </row>
    <row r="5146">
      <c r="A5146" s="6" t="n">
        <v>812791</v>
      </c>
      <c r="B5146" s="6" t="inlineStr">
        <is>
          <t>MD 20/20 ORANGE JUBILEE</t>
        </is>
      </c>
      <c r="C5146" s="7">
        <f>VLOOKUP(A5146,SizeData!A$2:B$3839,2,FALSE)</f>
        <v/>
      </c>
      <c r="D5146" s="6" t="n">
        <v>2</v>
      </c>
      <c r="E5146" s="6" t="inlineStr">
        <is>
          <t>R1348543</t>
        </is>
      </c>
      <c r="F5146" s="2" t="n">
        <v>44534</v>
      </c>
      <c r="G5146" s="1" t="n"/>
    </row>
    <row r="5147">
      <c r="A5147" s="6" t="n">
        <v>812794</v>
      </c>
      <c r="B5147" s="6" t="inlineStr">
        <is>
          <t>MD 20/20 RED GRAPE</t>
        </is>
      </c>
      <c r="C5147" s="7">
        <f>VLOOKUP(A5147,SizeData!A$2:B$3839,2,FALSE)</f>
        <v/>
      </c>
      <c r="D5147" s="6" t="n">
        <v>1</v>
      </c>
      <c r="E5147" s="6" t="inlineStr">
        <is>
          <t>R1000047</t>
        </is>
      </c>
      <c r="F5147" s="2" t="n">
        <v>44207</v>
      </c>
      <c r="G5147" s="1" t="n"/>
    </row>
    <row r="5148">
      <c r="A5148" s="6" t="n">
        <v>812794</v>
      </c>
      <c r="B5148" s="6" t="inlineStr">
        <is>
          <t>MD 20/20 RED GRAPE</t>
        </is>
      </c>
      <c r="C5148" s="7">
        <f>VLOOKUP(A5148,SizeData!A$2:B$3839,2,FALSE)</f>
        <v/>
      </c>
      <c r="D5148" s="6" t="n">
        <v>1</v>
      </c>
      <c r="E5148" s="6" t="inlineStr">
        <is>
          <t>R1003015</t>
        </is>
      </c>
      <c r="F5148" s="2" t="n">
        <v>44216</v>
      </c>
      <c r="G5148" s="1" t="n"/>
    </row>
    <row r="5149">
      <c r="A5149" s="6" t="n">
        <v>812794</v>
      </c>
      <c r="B5149" s="6" t="inlineStr">
        <is>
          <t>MD 20/20 RED GRAPE</t>
        </is>
      </c>
      <c r="C5149" s="7">
        <f>VLOOKUP(A5149,SizeData!A$2:B$3839,2,FALSE)</f>
        <v/>
      </c>
      <c r="D5149" s="6" t="n">
        <v>1</v>
      </c>
      <c r="E5149" s="6" t="inlineStr">
        <is>
          <t>R1028756</t>
        </is>
      </c>
      <c r="F5149" s="2" t="n">
        <v>44239</v>
      </c>
      <c r="G5149" s="1" t="n"/>
    </row>
    <row r="5150">
      <c r="A5150" s="6" t="n">
        <v>812794</v>
      </c>
      <c r="B5150" s="6" t="inlineStr">
        <is>
          <t>MD 20/20 RED GRAPE</t>
        </is>
      </c>
      <c r="C5150" s="7">
        <f>VLOOKUP(A5150,SizeData!A$2:B$3839,2,FALSE)</f>
        <v/>
      </c>
      <c r="D5150" s="6" t="n">
        <v>1</v>
      </c>
      <c r="E5150" s="6" t="inlineStr">
        <is>
          <t>R1030486</t>
        </is>
      </c>
      <c r="F5150" s="2" t="n">
        <v>44247</v>
      </c>
      <c r="G5150" s="1" t="n"/>
    </row>
    <row r="5151">
      <c r="A5151" s="6" t="n">
        <v>812794</v>
      </c>
      <c r="B5151" s="6" t="inlineStr">
        <is>
          <t>MD 20/20 RED GRAPE</t>
        </is>
      </c>
      <c r="C5151" s="7">
        <f>VLOOKUP(A5151,SizeData!A$2:B$3839,2,FALSE)</f>
        <v/>
      </c>
      <c r="D5151" s="6" t="n">
        <v>1</v>
      </c>
      <c r="E5151" s="6" t="inlineStr">
        <is>
          <t>R1070393</t>
        </is>
      </c>
      <c r="F5151" s="2" t="n">
        <v>44280</v>
      </c>
      <c r="G5151" s="1" t="n"/>
    </row>
    <row r="5152">
      <c r="A5152" s="6" t="n">
        <v>812794</v>
      </c>
      <c r="B5152" s="6" t="inlineStr">
        <is>
          <t>MD 20/20 RED GRAPE</t>
        </is>
      </c>
      <c r="C5152" s="7">
        <f>VLOOKUP(A5152,SizeData!A$2:B$3839,2,FALSE)</f>
        <v/>
      </c>
      <c r="D5152" s="6" t="n">
        <v>1</v>
      </c>
      <c r="E5152" s="6" t="inlineStr">
        <is>
          <t>R1072360</t>
        </is>
      </c>
      <c r="F5152" s="2" t="n">
        <v>44281</v>
      </c>
      <c r="G5152" s="1" t="n"/>
    </row>
    <row r="5153">
      <c r="A5153" s="6" t="n">
        <v>812794</v>
      </c>
      <c r="B5153" s="6" t="inlineStr">
        <is>
          <t>MD 20/20 RED GRAPE</t>
        </is>
      </c>
      <c r="C5153" s="7">
        <f>VLOOKUP(A5153,SizeData!A$2:B$3839,2,FALSE)</f>
        <v/>
      </c>
      <c r="D5153" s="6" t="n">
        <v>1</v>
      </c>
      <c r="E5153" s="6" t="inlineStr">
        <is>
          <t>R1111205</t>
        </is>
      </c>
      <c r="F5153" s="2" t="n">
        <v>44313</v>
      </c>
      <c r="G5153" s="1" t="n"/>
    </row>
    <row r="5154">
      <c r="A5154" s="6" t="n">
        <v>812794</v>
      </c>
      <c r="B5154" s="6" t="inlineStr">
        <is>
          <t>MD 20/20 RED GRAPE</t>
        </is>
      </c>
      <c r="C5154" s="7">
        <f>VLOOKUP(A5154,SizeData!A$2:B$3839,2,FALSE)</f>
        <v/>
      </c>
      <c r="D5154" s="6" t="n">
        <v>1</v>
      </c>
      <c r="E5154" s="6" t="inlineStr">
        <is>
          <t>R1176234</t>
        </is>
      </c>
      <c r="F5154" s="2" t="n">
        <v>44386</v>
      </c>
      <c r="G5154" s="1" t="n"/>
    </row>
    <row r="5155">
      <c r="A5155" s="6" t="n">
        <v>812794</v>
      </c>
      <c r="B5155" s="6" t="inlineStr">
        <is>
          <t>MD 20/20 RED GRAPE</t>
        </is>
      </c>
      <c r="C5155" s="7">
        <f>VLOOKUP(A5155,SizeData!A$2:B$3839,2,FALSE)</f>
        <v/>
      </c>
      <c r="D5155" s="6" t="n">
        <v>1</v>
      </c>
      <c r="E5155" s="6" t="inlineStr">
        <is>
          <t xml:space="preserve"> R1178876</t>
        </is>
      </c>
      <c r="F5155" s="2" t="n">
        <v>44397</v>
      </c>
      <c r="G5155" s="1" t="n"/>
    </row>
    <row r="5156">
      <c r="A5156" s="6" t="n">
        <v>812794</v>
      </c>
      <c r="B5156" s="6" t="inlineStr">
        <is>
          <t>MD 20/20 RED GRAPE</t>
        </is>
      </c>
      <c r="C5156" s="7">
        <f>VLOOKUP(A5156,SizeData!A$2:B$3839,2,FALSE)</f>
        <v/>
      </c>
      <c r="D5156" s="6" t="n">
        <v>1</v>
      </c>
      <c r="E5156" s="6" t="inlineStr">
        <is>
          <t>R1192602</t>
        </is>
      </c>
      <c r="F5156" s="2" t="n">
        <v>44401</v>
      </c>
      <c r="G5156" s="1" t="n"/>
    </row>
    <row r="5157">
      <c r="A5157" s="6" t="n">
        <v>812794</v>
      </c>
      <c r="B5157" s="6" t="inlineStr">
        <is>
          <t>MD 20/20 RED GRAPE</t>
        </is>
      </c>
      <c r="C5157" s="7">
        <f>VLOOKUP(A5157,SizeData!A$2:B$3839,2,FALSE)</f>
        <v/>
      </c>
      <c r="D5157" s="6" t="n">
        <v>1</v>
      </c>
      <c r="E5157" s="6" t="inlineStr">
        <is>
          <t>R1276303</t>
        </is>
      </c>
      <c r="F5157" s="2" t="n">
        <v>44474</v>
      </c>
      <c r="G5157" s="1" t="n"/>
    </row>
    <row r="5158">
      <c r="A5158" s="6" t="n">
        <v>812794</v>
      </c>
      <c r="B5158" s="6" t="inlineStr">
        <is>
          <t>MD 20/20 RED GRAPE</t>
        </is>
      </c>
      <c r="C5158" s="7">
        <f>VLOOKUP(A5158,SizeData!A$2:B$3839,2,FALSE)</f>
        <v/>
      </c>
      <c r="D5158" s="6" t="n">
        <v>1</v>
      </c>
      <c r="E5158" s="6" t="inlineStr">
        <is>
          <t>R1307558</t>
        </is>
      </c>
      <c r="F5158" s="2" t="n">
        <v>44502</v>
      </c>
      <c r="G5158" s="1" t="n"/>
    </row>
    <row r="5159">
      <c r="A5159" s="6" t="n">
        <v>812794</v>
      </c>
      <c r="B5159" s="6" t="inlineStr">
        <is>
          <t>MD 20/20 RED GRAPE</t>
        </is>
      </c>
      <c r="C5159" s="7">
        <f>VLOOKUP(A5159,SizeData!A$2:B$3839,2,FALSE)</f>
        <v/>
      </c>
      <c r="D5159" s="6" t="n">
        <v>1</v>
      </c>
      <c r="E5159" s="6" t="inlineStr">
        <is>
          <t>R1340613</t>
        </is>
      </c>
      <c r="F5159" s="2" t="n">
        <v>44520</v>
      </c>
      <c r="G5159" s="1" t="n"/>
    </row>
    <row r="5160">
      <c r="A5160" s="6" t="n">
        <v>812795</v>
      </c>
      <c r="B5160" s="6" t="inlineStr">
        <is>
          <t>MD 20/20 RED GRAPE</t>
        </is>
      </c>
      <c r="C5160" s="7">
        <f>VLOOKUP(A5160,SizeData!A$2:B$3839,2,FALSE)</f>
        <v/>
      </c>
      <c r="D5160" s="6" t="n">
        <v>2</v>
      </c>
      <c r="E5160" s="6" t="inlineStr">
        <is>
          <t>R990933</t>
        </is>
      </c>
      <c r="F5160" s="2" t="n">
        <v>44197</v>
      </c>
      <c r="G5160" s="1" t="n"/>
    </row>
    <row r="5161">
      <c r="A5161" s="6" t="n">
        <v>812795</v>
      </c>
      <c r="B5161" s="6" t="inlineStr">
        <is>
          <t>MD 20/20 RED GRAPE</t>
        </is>
      </c>
      <c r="C5161" s="7">
        <f>VLOOKUP(A5161,SizeData!A$2:B$3839,2,FALSE)</f>
        <v/>
      </c>
      <c r="D5161" s="6" t="n">
        <v>2</v>
      </c>
      <c r="E5161" s="6" t="inlineStr">
        <is>
          <t>R1015412</t>
        </is>
      </c>
      <c r="F5161" s="2" t="n">
        <v>44215</v>
      </c>
      <c r="G5161" s="1" t="n"/>
    </row>
    <row r="5162">
      <c r="A5162" s="6" t="n">
        <v>812795</v>
      </c>
      <c r="B5162" s="6" t="inlineStr">
        <is>
          <t>MD 20/20 RED GRAPE</t>
        </is>
      </c>
      <c r="C5162" s="7">
        <f>VLOOKUP(A5162,SizeData!A$2:B$3839,2,FALSE)</f>
        <v/>
      </c>
      <c r="D5162" s="6" t="n">
        <v>3</v>
      </c>
      <c r="E5162" s="6" t="inlineStr">
        <is>
          <t>R1007720</t>
        </is>
      </c>
      <c r="F5162" s="2" t="n">
        <v>44216</v>
      </c>
      <c r="G5162" s="1" t="n"/>
    </row>
    <row r="5163">
      <c r="A5163" s="6" t="n">
        <v>812795</v>
      </c>
      <c r="B5163" s="6" t="inlineStr">
        <is>
          <t>MD 20/20 RED GRAPE</t>
        </is>
      </c>
      <c r="C5163" s="7">
        <f>VLOOKUP(A5163,SizeData!A$2:B$3839,2,FALSE)</f>
        <v/>
      </c>
      <c r="D5163" s="6" t="n">
        <v>5</v>
      </c>
      <c r="E5163" s="6" t="inlineStr">
        <is>
          <t>R1028756</t>
        </is>
      </c>
      <c r="F5163" s="2" t="n">
        <v>44239</v>
      </c>
      <c r="G5163" s="1" t="n"/>
    </row>
    <row r="5164">
      <c r="A5164" s="6" t="n">
        <v>812795</v>
      </c>
      <c r="B5164" s="6" t="inlineStr">
        <is>
          <t>MD 20/20 RED GRAPE</t>
        </is>
      </c>
      <c r="C5164" s="7">
        <f>VLOOKUP(A5164,SizeData!A$2:B$3839,2,FALSE)</f>
        <v/>
      </c>
      <c r="D5164" s="6" t="n">
        <v>2</v>
      </c>
      <c r="E5164" s="6" t="inlineStr">
        <is>
          <t>R1035997</t>
        </is>
      </c>
      <c r="F5164" s="2" t="n">
        <v>44252</v>
      </c>
      <c r="G5164" s="1" t="n"/>
    </row>
    <row r="5165">
      <c r="A5165" s="6" t="n">
        <v>812795</v>
      </c>
      <c r="B5165" s="6" t="inlineStr">
        <is>
          <t>MD 20/20 RED GRAPE</t>
        </is>
      </c>
      <c r="C5165" s="7">
        <f>VLOOKUP(A5165,SizeData!A$2:B$3839,2,FALSE)</f>
        <v/>
      </c>
      <c r="D5165" s="6" t="n">
        <v>3</v>
      </c>
      <c r="E5165" s="6" t="inlineStr">
        <is>
          <t>R1083528</t>
        </is>
      </c>
      <c r="F5165" s="2" t="n">
        <v>44291</v>
      </c>
      <c r="G5165" s="1" t="n"/>
    </row>
    <row r="5166">
      <c r="A5166" s="6" t="n">
        <v>812795</v>
      </c>
      <c r="B5166" s="6" t="inlineStr">
        <is>
          <t>MD 20/20 RED GRAPE</t>
        </is>
      </c>
      <c r="C5166" s="7">
        <f>VLOOKUP(A5166,SizeData!A$2:B$3839,2,FALSE)</f>
        <v/>
      </c>
      <c r="D5166" s="6" t="n">
        <v>1</v>
      </c>
      <c r="E5166" s="6" t="inlineStr">
        <is>
          <t>R1084236</t>
        </is>
      </c>
      <c r="F5166" s="2" t="n">
        <v>44296</v>
      </c>
      <c r="G5166" s="1" t="n"/>
    </row>
    <row r="5167">
      <c r="A5167" s="6" t="n">
        <v>812795</v>
      </c>
      <c r="B5167" s="6" t="inlineStr">
        <is>
          <t>MD 20/20 RED GRAPE</t>
        </is>
      </c>
      <c r="C5167" s="7">
        <f>VLOOKUP(A5167,SizeData!A$2:B$3839,2,FALSE)</f>
        <v/>
      </c>
      <c r="D5167" s="6" t="n">
        <v>1</v>
      </c>
      <c r="E5167" s="6" t="inlineStr">
        <is>
          <t>R1096915</t>
        </is>
      </c>
      <c r="F5167" s="2" t="n">
        <v>44303</v>
      </c>
      <c r="G5167" s="1" t="n"/>
    </row>
    <row r="5168">
      <c r="A5168" s="6" t="n">
        <v>812795</v>
      </c>
      <c r="B5168" s="6" t="inlineStr">
        <is>
          <t>MD 20/20 RED GRAPE</t>
        </is>
      </c>
      <c r="C5168" s="7">
        <f>VLOOKUP(A5168,SizeData!A$2:B$3839,2,FALSE)</f>
        <v/>
      </c>
      <c r="D5168" s="6" t="n">
        <v>2</v>
      </c>
      <c r="E5168" s="6" t="inlineStr">
        <is>
          <t>R1099905</t>
        </is>
      </c>
      <c r="F5168" s="2" t="n">
        <v>44310</v>
      </c>
      <c r="G5168" s="1" t="n"/>
    </row>
    <row r="5169">
      <c r="A5169" s="6" t="n">
        <v>812795</v>
      </c>
      <c r="B5169" s="6" t="inlineStr">
        <is>
          <t>MD 20/20 RED GRAPE</t>
        </is>
      </c>
      <c r="C5169" s="7">
        <f>VLOOKUP(A5169,SizeData!A$2:B$3839,2,FALSE)</f>
        <v/>
      </c>
      <c r="D5169" s="6" t="n">
        <v>2</v>
      </c>
      <c r="E5169" s="6" t="inlineStr">
        <is>
          <t>R1115090</t>
        </is>
      </c>
      <c r="F5169" s="2" t="n">
        <v>44315</v>
      </c>
      <c r="G5169" s="1" t="n"/>
    </row>
    <row r="5170">
      <c r="A5170" s="6" t="n">
        <v>812795</v>
      </c>
      <c r="B5170" s="6" t="inlineStr">
        <is>
          <t>MD 20/20 RED GRAPE</t>
        </is>
      </c>
      <c r="C5170" s="7">
        <f>VLOOKUP(A5170,SizeData!A$2:B$3839,2,FALSE)</f>
        <v/>
      </c>
      <c r="D5170" s="6" t="n">
        <v>2</v>
      </c>
      <c r="E5170" s="6" t="inlineStr">
        <is>
          <t xml:space="preserve"> R1125172</t>
        </is>
      </c>
      <c r="F5170" s="2" t="n">
        <v>44322</v>
      </c>
      <c r="G5170" s="1" t="n"/>
    </row>
    <row r="5171">
      <c r="A5171" s="6" t="n">
        <v>812795</v>
      </c>
      <c r="B5171" s="6" t="inlineStr">
        <is>
          <t>MD 20/20 RED GRAPE</t>
        </is>
      </c>
      <c r="C5171" s="7">
        <f>VLOOKUP(A5171,SizeData!A$2:B$3839,2,FALSE)</f>
        <v/>
      </c>
      <c r="D5171" s="6" t="n">
        <v>2</v>
      </c>
      <c r="E5171" s="6" t="inlineStr">
        <is>
          <t>R1128764</t>
        </is>
      </c>
      <c r="F5171" s="2" t="n">
        <v>44336</v>
      </c>
      <c r="G5171" s="1" t="n"/>
    </row>
    <row r="5172">
      <c r="A5172" s="6" t="n">
        <v>812795</v>
      </c>
      <c r="B5172" s="6" t="inlineStr">
        <is>
          <t>MD 20/20 RED GRAPE</t>
        </is>
      </c>
      <c r="C5172" s="7">
        <f>VLOOKUP(A5172,SizeData!A$2:B$3839,2,FALSE)</f>
        <v/>
      </c>
      <c r="D5172" s="6" t="n">
        <v>2</v>
      </c>
      <c r="E5172" s="6" t="inlineStr">
        <is>
          <t>R1124382</t>
        </is>
      </c>
      <c r="F5172" s="2" t="n">
        <v>44347</v>
      </c>
      <c r="G5172" s="1" t="n"/>
    </row>
    <row r="5173">
      <c r="A5173" s="6" t="n">
        <v>812796</v>
      </c>
      <c r="B5173" s="6" t="inlineStr">
        <is>
          <t>MD 20/20 RED GRAPE</t>
        </is>
      </c>
      <c r="C5173" s="7">
        <f>VLOOKUP(A5173,SizeData!A$2:B$3839,2,FALSE)</f>
        <v/>
      </c>
      <c r="D5173" s="6" t="n">
        <v>1</v>
      </c>
      <c r="E5173" s="6" t="inlineStr">
        <is>
          <t>R1015412</t>
        </is>
      </c>
      <c r="F5173" s="2" t="n">
        <v>44215</v>
      </c>
      <c r="G5173" s="1" t="n"/>
    </row>
    <row r="5174">
      <c r="A5174" s="6" t="n">
        <v>812796</v>
      </c>
      <c r="B5174" s="6" t="inlineStr">
        <is>
          <t>MD 20/20 RED GRAPE</t>
        </is>
      </c>
      <c r="C5174" s="7">
        <f>VLOOKUP(A5174,SizeData!A$2:B$3839,2,FALSE)</f>
        <v/>
      </c>
      <c r="D5174" s="6" t="n">
        <v>1</v>
      </c>
      <c r="E5174" s="6" t="inlineStr">
        <is>
          <t>R1030486</t>
        </is>
      </c>
      <c r="F5174" s="2" t="n">
        <v>44247</v>
      </c>
      <c r="G5174" s="1" t="n"/>
    </row>
    <row r="5175">
      <c r="A5175" s="6" t="n">
        <v>812796</v>
      </c>
      <c r="B5175" s="6" t="inlineStr">
        <is>
          <t>MD 20/20 RED GRAPE</t>
        </is>
      </c>
      <c r="C5175" s="7">
        <f>VLOOKUP(A5175,SizeData!A$2:B$3839,2,FALSE)</f>
        <v/>
      </c>
      <c r="D5175" s="6" t="n">
        <v>1</v>
      </c>
      <c r="E5175" s="6" t="inlineStr">
        <is>
          <t>R1066257</t>
        </is>
      </c>
      <c r="F5175" s="2" t="n">
        <v>44270</v>
      </c>
      <c r="G5175" s="1" t="n"/>
    </row>
    <row r="5176">
      <c r="A5176" s="6" t="n">
        <v>812796</v>
      </c>
      <c r="B5176" s="6" t="inlineStr">
        <is>
          <t>MD 20/20 RED GRAPE</t>
        </is>
      </c>
      <c r="C5176" s="7">
        <f>VLOOKUP(A5176,SizeData!A$2:B$3839,2,FALSE)</f>
        <v/>
      </c>
      <c r="D5176" s="6" t="n">
        <v>1</v>
      </c>
      <c r="E5176" s="6" t="inlineStr">
        <is>
          <t>R1111802</t>
        </is>
      </c>
      <c r="F5176" s="2" t="n">
        <v>44314</v>
      </c>
      <c r="G5176" s="1" t="n"/>
    </row>
    <row r="5177">
      <c r="A5177" s="6" t="n">
        <v>812796</v>
      </c>
      <c r="B5177" s="6" t="inlineStr">
        <is>
          <t>MD 20/20 RED GRAPE</t>
        </is>
      </c>
      <c r="C5177" s="7">
        <f>VLOOKUP(A5177,SizeData!A$2:B$3839,2,FALSE)</f>
        <v/>
      </c>
      <c r="D5177" s="6" t="n">
        <v>1</v>
      </c>
      <c r="E5177" s="6" t="inlineStr">
        <is>
          <t>R1108792</t>
        </is>
      </c>
      <c r="F5177" s="2" t="n">
        <v>44322</v>
      </c>
      <c r="G5177" s="1" t="n"/>
    </row>
    <row r="5178">
      <c r="A5178" s="6" t="n">
        <v>812796</v>
      </c>
      <c r="B5178" s="6" t="inlineStr">
        <is>
          <t>MD 20/20 RED GRAPE</t>
        </is>
      </c>
      <c r="C5178" s="7">
        <f>VLOOKUP(A5178,SizeData!A$2:B$3839,2,FALSE)</f>
        <v/>
      </c>
      <c r="D5178" s="6" t="n">
        <v>1</v>
      </c>
      <c r="E5178" s="6" t="inlineStr">
        <is>
          <t>R1172969</t>
        </is>
      </c>
      <c r="F5178" s="2" t="n">
        <v>44396</v>
      </c>
      <c r="G5178" s="1" t="n"/>
    </row>
    <row r="5179">
      <c r="A5179" s="6" t="n">
        <v>812796</v>
      </c>
      <c r="B5179" s="6" t="inlineStr">
        <is>
          <t>MD 20/20 RED GRAPE</t>
        </is>
      </c>
      <c r="C5179" s="7">
        <f>VLOOKUP(A5179,SizeData!A$2:B$3839,2,FALSE)</f>
        <v/>
      </c>
      <c r="D5179" s="6" t="n">
        <v>1</v>
      </c>
      <c r="E5179" s="6" t="inlineStr">
        <is>
          <t xml:space="preserve"> R1178876</t>
        </is>
      </c>
      <c r="F5179" s="2" t="n">
        <v>44397</v>
      </c>
      <c r="G5179" s="1" t="n"/>
    </row>
    <row r="5180">
      <c r="A5180" s="6" t="n">
        <v>812796</v>
      </c>
      <c r="B5180" s="6" t="inlineStr">
        <is>
          <t>MD 20/20 RED GRAPE</t>
        </is>
      </c>
      <c r="C5180" s="7">
        <f>VLOOKUP(A5180,SizeData!A$2:B$3839,2,FALSE)</f>
        <v/>
      </c>
      <c r="D5180" s="6" t="n">
        <v>1</v>
      </c>
      <c r="E5180" s="6" t="inlineStr">
        <is>
          <t>R1242289</t>
        </is>
      </c>
      <c r="F5180" s="2" t="n">
        <v>44455</v>
      </c>
      <c r="G5180" s="1" t="n"/>
    </row>
    <row r="5181">
      <c r="A5181" s="6" t="n">
        <v>812796</v>
      </c>
      <c r="B5181" s="6" t="inlineStr">
        <is>
          <t>MD 20/20 RED GRAPE</t>
        </is>
      </c>
      <c r="C5181" s="7">
        <f>VLOOKUP(A5181,SizeData!A$2:B$3839,2,FALSE)</f>
        <v/>
      </c>
      <c r="D5181" s="6" t="n">
        <v>1</v>
      </c>
      <c r="E5181" s="6" t="inlineStr">
        <is>
          <t xml:space="preserve"> R1264833</t>
        </is>
      </c>
      <c r="F5181" s="2" t="n">
        <v>44471</v>
      </c>
      <c r="G5181" s="1" t="n"/>
    </row>
    <row r="5182">
      <c r="A5182" s="6" t="n">
        <v>812796</v>
      </c>
      <c r="B5182" s="6" t="inlineStr">
        <is>
          <t>MD 20/20 RED GRAPE</t>
        </is>
      </c>
      <c r="C5182" s="7">
        <f>VLOOKUP(A5182,SizeData!A$2:B$3839,2,FALSE)</f>
        <v/>
      </c>
      <c r="D5182" s="6" t="n">
        <v>2</v>
      </c>
      <c r="E5182" s="6" t="inlineStr">
        <is>
          <t>R1306125</t>
        </is>
      </c>
      <c r="F5182" s="2" t="n">
        <v>44495</v>
      </c>
      <c r="G5182" s="1" t="n"/>
    </row>
    <row r="5183">
      <c r="A5183" s="6" t="n">
        <v>812796</v>
      </c>
      <c r="B5183" s="6" t="inlineStr">
        <is>
          <t>MD 20/20 RED GRAPE</t>
        </is>
      </c>
      <c r="C5183" s="7">
        <f>VLOOKUP(A5183,SizeData!A$2:B$3839,2,FALSE)</f>
        <v/>
      </c>
      <c r="D5183" s="6" t="n">
        <v>1</v>
      </c>
      <c r="E5183" s="6" t="inlineStr">
        <is>
          <t>R1318654</t>
        </is>
      </c>
      <c r="F5183" s="2" t="n">
        <v>44513</v>
      </c>
      <c r="G5183" s="1" t="n"/>
    </row>
    <row r="5184">
      <c r="A5184" s="6" t="n">
        <v>812796</v>
      </c>
      <c r="B5184" s="6" t="inlineStr">
        <is>
          <t>MD 20/20 RED GRAPE</t>
        </is>
      </c>
      <c r="C5184" s="7">
        <f>VLOOKUP(A5184,SizeData!A$2:B$3839,2,FALSE)</f>
        <v/>
      </c>
      <c r="D5184" s="6" t="n">
        <v>1</v>
      </c>
      <c r="E5184" s="6" t="inlineStr">
        <is>
          <t>R1340613</t>
        </is>
      </c>
      <c r="F5184" s="2" t="n">
        <v>44520</v>
      </c>
      <c r="G5184" s="1" t="n"/>
    </row>
    <row r="5185">
      <c r="A5185" s="6" t="n">
        <v>812799</v>
      </c>
      <c r="B5185" s="6" t="inlineStr">
        <is>
          <t>MD 20/20 ORANGE JUBILEE</t>
        </is>
      </c>
      <c r="C5185" s="7">
        <f>VLOOKUP(A5185,SizeData!A$2:B$3839,2,FALSE)</f>
        <v/>
      </c>
      <c r="D5185" s="6" t="n">
        <v>1</v>
      </c>
      <c r="E5185" s="6" t="inlineStr">
        <is>
          <t>R1000047</t>
        </is>
      </c>
      <c r="F5185" s="2" t="n">
        <v>44207</v>
      </c>
      <c r="G5185" s="1" t="n"/>
    </row>
    <row r="5186">
      <c r="A5186" s="6" t="n">
        <v>812799</v>
      </c>
      <c r="B5186" s="6" t="inlineStr">
        <is>
          <t>MD 20/20 ORANGE JUBILEE</t>
        </is>
      </c>
      <c r="C5186" s="7">
        <f>VLOOKUP(A5186,SizeData!A$2:B$3839,2,FALSE)</f>
        <v/>
      </c>
      <c r="D5186" s="6" t="n">
        <v>2</v>
      </c>
      <c r="E5186" s="6" t="inlineStr">
        <is>
          <t>R1003015</t>
        </is>
      </c>
      <c r="F5186" s="2" t="n">
        <v>44216</v>
      </c>
      <c r="G5186" s="1" t="n"/>
    </row>
    <row r="5187">
      <c r="A5187" s="6" t="n">
        <v>812799</v>
      </c>
      <c r="B5187" s="6" t="inlineStr">
        <is>
          <t>MD 20/20 ORANGE JUBILEE</t>
        </is>
      </c>
      <c r="C5187" s="7">
        <f>VLOOKUP(A5187,SizeData!A$2:B$3839,2,FALSE)</f>
        <v/>
      </c>
      <c r="D5187" s="6" t="n">
        <v>1</v>
      </c>
      <c r="E5187" s="6" t="inlineStr">
        <is>
          <t>R1028756</t>
        </is>
      </c>
      <c r="F5187" s="2" t="n">
        <v>44239</v>
      </c>
      <c r="G5187" s="1" t="n"/>
    </row>
    <row r="5188">
      <c r="A5188" s="6" t="n">
        <v>812799</v>
      </c>
      <c r="B5188" s="6" t="inlineStr">
        <is>
          <t>MD 20/20 ORANGE JUBILEE</t>
        </is>
      </c>
      <c r="C5188" s="7">
        <f>VLOOKUP(A5188,SizeData!A$2:B$3839,2,FALSE)</f>
        <v/>
      </c>
      <c r="D5188" s="6" t="n">
        <v>1</v>
      </c>
      <c r="E5188" s="6" t="inlineStr">
        <is>
          <t>R1030486</t>
        </is>
      </c>
      <c r="F5188" s="2" t="n">
        <v>44247</v>
      </c>
      <c r="G5188" s="1" t="n"/>
    </row>
    <row r="5189">
      <c r="A5189" s="6" t="n">
        <v>812799</v>
      </c>
      <c r="B5189" s="6" t="inlineStr">
        <is>
          <t>MD 20/20 ORANGE JUBILEE</t>
        </is>
      </c>
      <c r="C5189" s="7">
        <f>VLOOKUP(A5189,SizeData!A$2:B$3839,2,FALSE)</f>
        <v/>
      </c>
      <c r="D5189" s="6" t="n">
        <v>1</v>
      </c>
      <c r="E5189" s="6" t="inlineStr">
        <is>
          <t>R1066328</t>
        </is>
      </c>
      <c r="F5189" s="2" t="n">
        <v>44267</v>
      </c>
      <c r="G5189" s="1" t="n"/>
    </row>
    <row r="5190">
      <c r="A5190" s="6" t="n">
        <v>812799</v>
      </c>
      <c r="B5190" s="6" t="inlineStr">
        <is>
          <t>MD 20/20 ORANGE JUBILEE</t>
        </is>
      </c>
      <c r="C5190" s="7">
        <f>VLOOKUP(A5190,SizeData!A$2:B$3839,2,FALSE)</f>
        <v/>
      </c>
      <c r="D5190" s="6" t="n">
        <v>1</v>
      </c>
      <c r="E5190" s="6" t="inlineStr">
        <is>
          <t>R1070393</t>
        </is>
      </c>
      <c r="F5190" s="2" t="n">
        <v>44280</v>
      </c>
      <c r="G5190" s="1" t="n"/>
    </row>
    <row r="5191">
      <c r="A5191" s="6" t="n">
        <v>812799</v>
      </c>
      <c r="B5191" s="6" t="inlineStr">
        <is>
          <t>MD 20/20 ORANGE JUBILEE</t>
        </is>
      </c>
      <c r="C5191" s="7">
        <f>VLOOKUP(A5191,SizeData!A$2:B$3839,2,FALSE)</f>
        <v/>
      </c>
      <c r="D5191" s="6" t="n">
        <v>1</v>
      </c>
      <c r="E5191" s="6" t="inlineStr">
        <is>
          <t>R1096915</t>
        </is>
      </c>
      <c r="F5191" s="2" t="n">
        <v>44303</v>
      </c>
      <c r="G5191" s="1" t="n"/>
    </row>
    <row r="5192">
      <c r="A5192" s="6" t="n">
        <v>812799</v>
      </c>
      <c r="B5192" s="6" t="inlineStr">
        <is>
          <t>MD 20/20 ORANGE JUBILEE</t>
        </is>
      </c>
      <c r="C5192" s="7">
        <f>VLOOKUP(A5192,SizeData!A$2:B$3839,2,FALSE)</f>
        <v/>
      </c>
      <c r="D5192" s="6" t="n">
        <v>1</v>
      </c>
      <c r="E5192" s="6" t="inlineStr">
        <is>
          <t>R1103097</t>
        </is>
      </c>
      <c r="F5192" s="2" t="n">
        <v>44320</v>
      </c>
      <c r="G5192" s="1" t="n"/>
    </row>
    <row r="5193">
      <c r="A5193" s="6" t="n">
        <v>812799</v>
      </c>
      <c r="B5193" s="6" t="inlineStr">
        <is>
          <t>MD 20/20 ORANGE JUBILEE</t>
        </is>
      </c>
      <c r="C5193" s="7">
        <f>VLOOKUP(A5193,SizeData!A$2:B$3839,2,FALSE)</f>
        <v/>
      </c>
      <c r="D5193" s="6" t="n">
        <v>1</v>
      </c>
      <c r="E5193" s="6" t="inlineStr">
        <is>
          <t>R1131905</t>
        </is>
      </c>
      <c r="F5193" s="2" t="n">
        <v>44340</v>
      </c>
      <c r="G5193" s="1" t="n"/>
    </row>
    <row r="5194">
      <c r="A5194" s="6" t="n">
        <v>812799</v>
      </c>
      <c r="B5194" s="6" t="inlineStr">
        <is>
          <t>MD 20/20 ORANGE JUBILEE</t>
        </is>
      </c>
      <c r="C5194" s="7">
        <f>VLOOKUP(A5194,SizeData!A$2:B$3839,2,FALSE)</f>
        <v/>
      </c>
      <c r="D5194" s="6" t="n">
        <v>1</v>
      </c>
      <c r="E5194" s="6" t="inlineStr">
        <is>
          <t>R1132471</t>
        </is>
      </c>
      <c r="F5194" s="2" t="n">
        <v>44349</v>
      </c>
      <c r="G5194" s="1" t="n"/>
    </row>
    <row r="5195">
      <c r="A5195" s="6" t="n">
        <v>812799</v>
      </c>
      <c r="B5195" s="6" t="inlineStr">
        <is>
          <t>MD 20/20 ORANGE JUBILEE</t>
        </is>
      </c>
      <c r="C5195" s="7">
        <f>VLOOKUP(A5195,SizeData!A$2:B$3839,2,FALSE)</f>
        <v/>
      </c>
      <c r="D5195" s="6" t="n">
        <v>1</v>
      </c>
      <c r="E5195" s="6" t="inlineStr">
        <is>
          <t>R1165810</t>
        </is>
      </c>
      <c r="F5195" s="2" t="n">
        <v>44361</v>
      </c>
      <c r="G5195" s="1" t="n"/>
    </row>
    <row r="5196">
      <c r="A5196" s="6" t="n">
        <v>812799</v>
      </c>
      <c r="B5196" s="6" t="inlineStr">
        <is>
          <t>MD 20/20 ORANGE JUBILEE</t>
        </is>
      </c>
      <c r="C5196" s="7">
        <f>VLOOKUP(A5196,SizeData!A$2:B$3839,2,FALSE)</f>
        <v/>
      </c>
      <c r="D5196" s="6" t="n">
        <v>2</v>
      </c>
      <c r="E5196" s="6" t="inlineStr">
        <is>
          <t>R1134794</t>
        </is>
      </c>
      <c r="F5196" s="2" t="n">
        <v>44365</v>
      </c>
      <c r="G5196" s="1" t="n"/>
    </row>
    <row r="5197">
      <c r="A5197" s="6" t="n">
        <v>812799</v>
      </c>
      <c r="B5197" s="6" t="inlineStr">
        <is>
          <t>MD 20/20 ORANGE JUBILEE</t>
        </is>
      </c>
      <c r="C5197" s="7">
        <f>VLOOKUP(A5197,SizeData!A$2:B$3839,2,FALSE)</f>
        <v/>
      </c>
      <c r="D5197" s="6" t="n">
        <v>1</v>
      </c>
      <c r="E5197" s="6" t="inlineStr">
        <is>
          <t>R1161479</t>
        </is>
      </c>
      <c r="F5197" s="2" t="n">
        <v>44373</v>
      </c>
      <c r="G5197" s="1" t="n"/>
    </row>
    <row r="5198">
      <c r="A5198" s="6" t="n">
        <v>812799</v>
      </c>
      <c r="B5198" s="6" t="inlineStr">
        <is>
          <t>MD 20/20 ORANGE JUBILEE</t>
        </is>
      </c>
      <c r="C5198" s="7">
        <f>VLOOKUP(A5198,SizeData!A$2:B$3839,2,FALSE)</f>
        <v/>
      </c>
      <c r="D5198" s="6" t="n">
        <v>1</v>
      </c>
      <c r="E5198" s="6" t="inlineStr">
        <is>
          <t>R1176234</t>
        </is>
      </c>
      <c r="F5198" s="2" t="n">
        <v>44386</v>
      </c>
      <c r="G5198" s="1" t="n"/>
    </row>
    <row r="5199">
      <c r="A5199" s="6" t="n">
        <v>812799</v>
      </c>
      <c r="B5199" s="6" t="inlineStr">
        <is>
          <t>MD 20/20 ORANGE JUBILEE</t>
        </is>
      </c>
      <c r="C5199" s="7">
        <f>VLOOKUP(A5199,SizeData!A$2:B$3839,2,FALSE)</f>
        <v/>
      </c>
      <c r="D5199" s="6" t="n">
        <v>1</v>
      </c>
      <c r="E5199" s="6" t="inlineStr">
        <is>
          <t>R1185778</t>
        </is>
      </c>
      <c r="F5199" s="2" t="n">
        <v>44399</v>
      </c>
      <c r="G5199" s="1" t="n"/>
    </row>
    <row r="5200">
      <c r="A5200" s="6" t="n">
        <v>812799</v>
      </c>
      <c r="B5200" s="6" t="inlineStr">
        <is>
          <t>MD 20/20 ORANGE JUBILEE</t>
        </is>
      </c>
      <c r="C5200" s="7">
        <f>VLOOKUP(A5200,SizeData!A$2:B$3839,2,FALSE)</f>
        <v/>
      </c>
      <c r="D5200" s="6" t="n">
        <v>1</v>
      </c>
      <c r="E5200" s="6" t="inlineStr">
        <is>
          <t>R1204006</t>
        </is>
      </c>
      <c r="F5200" s="2" t="n">
        <v>44415</v>
      </c>
      <c r="G5200" s="1" t="n"/>
    </row>
    <row r="5201">
      <c r="A5201" s="6" t="n">
        <v>812799</v>
      </c>
      <c r="B5201" s="6" t="inlineStr">
        <is>
          <t>MD 20/20 ORANGE JUBILEE</t>
        </is>
      </c>
      <c r="C5201" s="7">
        <f>VLOOKUP(A5201,SizeData!A$2:B$3839,2,FALSE)</f>
        <v/>
      </c>
      <c r="D5201" s="6" t="n">
        <v>1</v>
      </c>
      <c r="E5201" s="6" t="inlineStr">
        <is>
          <t>R1206028</t>
        </is>
      </c>
      <c r="F5201" s="2" t="n">
        <v>44417</v>
      </c>
      <c r="G5201" s="1" t="n"/>
    </row>
    <row r="5202">
      <c r="A5202" s="6" t="n">
        <v>812799</v>
      </c>
      <c r="B5202" s="6" t="inlineStr">
        <is>
          <t>MD 20/20 ORANGE JUBILEE</t>
        </is>
      </c>
      <c r="C5202" s="7">
        <f>VLOOKUP(A5202,SizeData!A$2:B$3839,2,FALSE)</f>
        <v/>
      </c>
      <c r="D5202" s="6" t="n">
        <v>1</v>
      </c>
      <c r="E5202" s="6" t="inlineStr">
        <is>
          <t>R1203719</t>
        </is>
      </c>
      <c r="F5202" s="2" t="n">
        <v>44419</v>
      </c>
      <c r="G5202" s="1" t="n"/>
    </row>
    <row r="5203">
      <c r="A5203" s="6" t="n">
        <v>812799</v>
      </c>
      <c r="B5203" s="6" t="inlineStr">
        <is>
          <t>MD 20/20 ORANGE JUBILEE</t>
        </is>
      </c>
      <c r="C5203" s="7">
        <f>VLOOKUP(A5203,SizeData!A$2:B$3839,2,FALSE)</f>
        <v/>
      </c>
      <c r="D5203" s="6" t="n">
        <v>1</v>
      </c>
      <c r="E5203" s="6" t="inlineStr">
        <is>
          <t>R1216789</t>
        </is>
      </c>
      <c r="F5203" s="2" t="n">
        <v>44432</v>
      </c>
      <c r="G5203" s="1" t="n"/>
    </row>
    <row r="5204">
      <c r="A5204" s="6" t="n">
        <v>812799</v>
      </c>
      <c r="B5204" s="6" t="inlineStr">
        <is>
          <t>MD 20/20 ORANGE JUBILEE</t>
        </is>
      </c>
      <c r="C5204" s="7">
        <f>VLOOKUP(A5204,SizeData!A$2:B$3839,2,FALSE)</f>
        <v/>
      </c>
      <c r="D5204" s="6" t="n">
        <v>1</v>
      </c>
      <c r="E5204" s="6" t="inlineStr">
        <is>
          <t>R1231184</t>
        </is>
      </c>
      <c r="F5204" s="2" t="n">
        <v>44443</v>
      </c>
      <c r="G5204" s="1" t="n"/>
    </row>
    <row r="5205">
      <c r="A5205" s="6" t="n">
        <v>812799</v>
      </c>
      <c r="B5205" s="6" t="inlineStr">
        <is>
          <t>MD 20/20 ORANGE JUBILEE</t>
        </is>
      </c>
      <c r="C5205" s="7">
        <f>VLOOKUP(A5205,SizeData!A$2:B$3839,2,FALSE)</f>
        <v/>
      </c>
      <c r="D5205" s="6" t="n">
        <v>2</v>
      </c>
      <c r="E5205" s="6" t="inlineStr">
        <is>
          <t>R1276303</t>
        </is>
      </c>
      <c r="F5205" s="2" t="n">
        <v>44474</v>
      </c>
      <c r="G5205" s="1" t="n"/>
    </row>
    <row r="5206">
      <c r="A5206" s="6" t="n">
        <v>812799</v>
      </c>
      <c r="B5206" s="6" t="inlineStr">
        <is>
          <t>MD 20/20 ORANGE JUBILEE</t>
        </is>
      </c>
      <c r="C5206" s="7">
        <f>VLOOKUP(A5206,SizeData!A$2:B$3839,2,FALSE)</f>
        <v/>
      </c>
      <c r="D5206" s="6" t="n">
        <v>1</v>
      </c>
      <c r="E5206" s="6" t="inlineStr">
        <is>
          <t>R1301404</t>
        </is>
      </c>
      <c r="F5206" s="2" t="n">
        <v>44489</v>
      </c>
      <c r="G5206" s="1" t="n"/>
    </row>
    <row r="5207">
      <c r="A5207" s="6" t="n">
        <v>812799</v>
      </c>
      <c r="B5207" s="6" t="inlineStr">
        <is>
          <t>MD 20/20 ORANGE JUBILEE</t>
        </is>
      </c>
      <c r="C5207" s="7">
        <f>VLOOKUP(A5207,SizeData!A$2:B$3839,2,FALSE)</f>
        <v/>
      </c>
      <c r="D5207" s="6" t="n">
        <v>1</v>
      </c>
      <c r="E5207" s="6" t="inlineStr">
        <is>
          <t>R1306125</t>
        </is>
      </c>
      <c r="F5207" s="2" t="n">
        <v>44495</v>
      </c>
      <c r="G5207" s="1" t="n"/>
    </row>
    <row r="5208">
      <c r="A5208" s="6" t="n">
        <v>812799</v>
      </c>
      <c r="B5208" s="6" t="inlineStr">
        <is>
          <t>MD 20/20 ORANGE JUBILEE</t>
        </is>
      </c>
      <c r="C5208" s="7">
        <f>VLOOKUP(A5208,SizeData!A$2:B$3839,2,FALSE)</f>
        <v/>
      </c>
      <c r="D5208" s="6" t="n">
        <v>1</v>
      </c>
      <c r="E5208" s="6" t="inlineStr">
        <is>
          <t>R1314326</t>
        </is>
      </c>
      <c r="F5208" s="2" t="n">
        <v>44512</v>
      </c>
      <c r="G5208" s="1" t="n"/>
    </row>
    <row r="5209">
      <c r="A5209" s="6" t="n">
        <v>812799</v>
      </c>
      <c r="B5209" s="6" t="inlineStr">
        <is>
          <t>MD 20/20 ORANGE JUBILEE</t>
        </is>
      </c>
      <c r="C5209" s="7">
        <f>VLOOKUP(A5209,SizeData!A$2:B$3839,2,FALSE)</f>
        <v/>
      </c>
      <c r="D5209" s="6" t="n">
        <v>4</v>
      </c>
      <c r="E5209" s="6" t="inlineStr">
        <is>
          <t>R1329660</t>
        </is>
      </c>
      <c r="F5209" s="2" t="n">
        <v>44525</v>
      </c>
      <c r="G5209" s="1" t="n"/>
    </row>
    <row r="5210">
      <c r="A5210" s="6" t="n">
        <v>812810</v>
      </c>
      <c r="B5210" s="6" t="inlineStr">
        <is>
          <t>MD 20/20 BLUE RASPBERRY</t>
        </is>
      </c>
      <c r="C5210" s="7">
        <f>VLOOKUP(A5210,SizeData!A$2:B$3839,2,FALSE)</f>
        <v/>
      </c>
      <c r="D5210" s="6" t="n">
        <v>1</v>
      </c>
      <c r="E5210" s="6" t="inlineStr">
        <is>
          <t>R1000047</t>
        </is>
      </c>
      <c r="F5210" s="2" t="n">
        <v>44207</v>
      </c>
      <c r="G5210" s="1" t="n"/>
    </row>
    <row r="5211">
      <c r="A5211" s="6" t="n">
        <v>812810</v>
      </c>
      <c r="B5211" s="6" t="inlineStr">
        <is>
          <t>MD 20/20 BLUE RASPBERRY</t>
        </is>
      </c>
      <c r="C5211" s="7">
        <f>VLOOKUP(A5211,SizeData!A$2:B$3839,2,FALSE)</f>
        <v/>
      </c>
      <c r="D5211" s="6" t="n">
        <v>2</v>
      </c>
      <c r="E5211" s="6" t="inlineStr">
        <is>
          <t>R1003015</t>
        </is>
      </c>
      <c r="F5211" s="2" t="n">
        <v>44216</v>
      </c>
      <c r="G5211" s="1" t="n"/>
    </row>
    <row r="5212">
      <c r="A5212" s="6" t="n">
        <v>812810</v>
      </c>
      <c r="B5212" s="6" t="inlineStr">
        <is>
          <t>MD 20/20 BLUE RASPBERRY</t>
        </is>
      </c>
      <c r="C5212" s="7">
        <f>VLOOKUP(A5212,SizeData!A$2:B$3839,2,FALSE)</f>
        <v/>
      </c>
      <c r="D5212" s="6" t="n">
        <v>2</v>
      </c>
      <c r="E5212" s="6" t="inlineStr">
        <is>
          <t>R1033413</t>
        </is>
      </c>
      <c r="F5212" s="2" t="n">
        <v>44250</v>
      </c>
      <c r="G5212" s="1" t="n"/>
    </row>
    <row r="5213">
      <c r="A5213" s="6" t="n">
        <v>812810</v>
      </c>
      <c r="B5213" s="6" t="inlineStr">
        <is>
          <t>MD 20/20 BLUE RASPBERRY</t>
        </is>
      </c>
      <c r="C5213" s="7">
        <f>VLOOKUP(A5213,SizeData!A$2:B$3839,2,FALSE)</f>
        <v/>
      </c>
      <c r="D5213" s="6" t="n">
        <v>1</v>
      </c>
      <c r="E5213" s="6" t="inlineStr">
        <is>
          <t>R1070281</t>
        </is>
      </c>
      <c r="F5213" s="2" t="n">
        <v>44275</v>
      </c>
      <c r="G5213" s="1" t="n"/>
    </row>
    <row r="5214">
      <c r="A5214" s="6" t="n">
        <v>812810</v>
      </c>
      <c r="B5214" s="6" t="inlineStr">
        <is>
          <t>MD 20/20 BLUE RASPBERRY</t>
        </is>
      </c>
      <c r="C5214" s="7">
        <f>VLOOKUP(A5214,SizeData!A$2:B$3839,2,FALSE)</f>
        <v/>
      </c>
      <c r="D5214" s="6" t="n">
        <v>1</v>
      </c>
      <c r="E5214" s="6" t="inlineStr">
        <is>
          <t>R1070393</t>
        </is>
      </c>
      <c r="F5214" s="2" t="n">
        <v>44280</v>
      </c>
      <c r="G5214" s="1" t="n"/>
    </row>
    <row r="5215">
      <c r="A5215" s="6" t="n">
        <v>812810</v>
      </c>
      <c r="B5215" s="6" t="inlineStr">
        <is>
          <t>MD 20/20 BLUE RASPBERRY</t>
        </is>
      </c>
      <c r="C5215" s="7">
        <f>VLOOKUP(A5215,SizeData!A$2:B$3839,2,FALSE)</f>
        <v/>
      </c>
      <c r="D5215" s="6" t="n">
        <v>1</v>
      </c>
      <c r="E5215" s="6" t="inlineStr">
        <is>
          <t>R1096915</t>
        </is>
      </c>
      <c r="F5215" s="2" t="n">
        <v>44303</v>
      </c>
      <c r="G5215" s="1" t="n"/>
    </row>
    <row r="5216">
      <c r="A5216" s="6" t="n">
        <v>812810</v>
      </c>
      <c r="B5216" s="6" t="inlineStr">
        <is>
          <t>MD 20/20 BLUE RASPBERRY</t>
        </is>
      </c>
      <c r="C5216" s="7">
        <f>VLOOKUP(A5216,SizeData!A$2:B$3839,2,FALSE)</f>
        <v/>
      </c>
      <c r="D5216" s="6" t="n">
        <v>1</v>
      </c>
      <c r="E5216" s="6" t="inlineStr">
        <is>
          <t>R1116842</t>
        </is>
      </c>
      <c r="F5216" s="2" t="n">
        <v>44324</v>
      </c>
      <c r="G5216" s="1" t="n"/>
    </row>
    <row r="5217">
      <c r="A5217" s="6" t="n">
        <v>812810</v>
      </c>
      <c r="B5217" s="6" t="inlineStr">
        <is>
          <t>MD 20/20 BLUE RASPBERRY</t>
        </is>
      </c>
      <c r="C5217" s="7">
        <f>VLOOKUP(A5217,SizeData!A$2:B$3839,2,FALSE)</f>
        <v/>
      </c>
      <c r="D5217" s="6" t="n">
        <v>1</v>
      </c>
      <c r="E5217" s="6" t="inlineStr">
        <is>
          <t>R1131905</t>
        </is>
      </c>
      <c r="F5217" s="2" t="n">
        <v>44340</v>
      </c>
      <c r="G5217" s="1" t="n"/>
    </row>
    <row r="5218">
      <c r="A5218" s="6" t="n">
        <v>812810</v>
      </c>
      <c r="B5218" s="6" t="inlineStr">
        <is>
          <t>MD 20/20 BLUE RASPBERRY</t>
        </is>
      </c>
      <c r="C5218" s="7">
        <f>VLOOKUP(A5218,SizeData!A$2:B$3839,2,FALSE)</f>
        <v/>
      </c>
      <c r="D5218" s="6" t="n">
        <v>1</v>
      </c>
      <c r="E5218" s="6" t="inlineStr">
        <is>
          <t>R1132471</t>
        </is>
      </c>
      <c r="F5218" s="2" t="n">
        <v>44349</v>
      </c>
      <c r="G5218" s="1" t="n"/>
    </row>
    <row r="5219">
      <c r="A5219" s="6" t="n">
        <v>812810</v>
      </c>
      <c r="B5219" s="6" t="inlineStr">
        <is>
          <t>MD 20/20 BLUE RASPBERRY</t>
        </is>
      </c>
      <c r="C5219" s="7">
        <f>VLOOKUP(A5219,SizeData!A$2:B$3839,2,FALSE)</f>
        <v/>
      </c>
      <c r="D5219" s="6" t="n">
        <v>1</v>
      </c>
      <c r="E5219" s="6" t="inlineStr">
        <is>
          <t>R1176234</t>
        </is>
      </c>
      <c r="F5219" s="2" t="n">
        <v>44386</v>
      </c>
      <c r="G5219" s="1" t="n"/>
    </row>
    <row r="5220">
      <c r="A5220" s="6" t="n">
        <v>812810</v>
      </c>
      <c r="B5220" s="6" t="inlineStr">
        <is>
          <t>MD 20/20 BLUE RASPBERRY</t>
        </is>
      </c>
      <c r="C5220" s="7">
        <f>VLOOKUP(A5220,SizeData!A$2:B$3839,2,FALSE)</f>
        <v/>
      </c>
      <c r="D5220" s="6" t="n">
        <v>1</v>
      </c>
      <c r="E5220" s="6" t="inlineStr">
        <is>
          <t>R1242289</t>
        </is>
      </c>
      <c r="F5220" s="2" t="n">
        <v>44455</v>
      </c>
      <c r="G5220" s="1" t="n"/>
    </row>
    <row r="5221">
      <c r="A5221" s="6" t="n">
        <v>812810</v>
      </c>
      <c r="B5221" s="6" t="inlineStr">
        <is>
          <t>MD 20/20 BLUE RASPBERRY</t>
        </is>
      </c>
      <c r="C5221" s="7">
        <f>VLOOKUP(A5221,SizeData!A$2:B$3839,2,FALSE)</f>
        <v/>
      </c>
      <c r="D5221" s="6" t="n">
        <v>1</v>
      </c>
      <c r="E5221" s="6" t="inlineStr">
        <is>
          <t>R1276303</t>
        </is>
      </c>
      <c r="F5221" s="2" t="n">
        <v>44474</v>
      </c>
      <c r="G5221" s="1" t="n"/>
    </row>
    <row r="5222">
      <c r="A5222" s="6" t="n">
        <v>812810</v>
      </c>
      <c r="B5222" s="6" t="inlineStr">
        <is>
          <t>MD 20/20 BLUE RASPBERRY</t>
        </is>
      </c>
      <c r="C5222" s="7">
        <f>VLOOKUP(A5222,SizeData!A$2:B$3839,2,FALSE)</f>
        <v/>
      </c>
      <c r="D5222" s="6" t="n">
        <v>0</v>
      </c>
      <c r="E5222" s="6" t="inlineStr">
        <is>
          <t>R1302616</t>
        </is>
      </c>
      <c r="F5222" s="2" t="n">
        <v>44496</v>
      </c>
      <c r="G5222" s="1" t="n"/>
    </row>
    <row r="5223">
      <c r="A5223" s="6" t="n">
        <v>812812</v>
      </c>
      <c r="B5223" s="6" t="inlineStr">
        <is>
          <t>MD 20/20 BLUE RASPBERRY</t>
        </is>
      </c>
      <c r="C5223" s="7">
        <f>VLOOKUP(A5223,SizeData!A$2:B$3839,2,FALSE)</f>
        <v/>
      </c>
      <c r="D5223" s="6" t="n">
        <v>1</v>
      </c>
      <c r="E5223" s="6" t="inlineStr">
        <is>
          <t>R1015412</t>
        </is>
      </c>
      <c r="F5223" s="2" t="n">
        <v>44215</v>
      </c>
      <c r="G5223" s="1" t="n"/>
    </row>
    <row r="5224">
      <c r="A5224" s="6" t="n">
        <v>812812</v>
      </c>
      <c r="B5224" s="6" t="inlineStr">
        <is>
          <t>MD 20/20 BLUE RASPBERRY</t>
        </is>
      </c>
      <c r="C5224" s="7">
        <f>VLOOKUP(A5224,SizeData!A$2:B$3839,2,FALSE)</f>
        <v/>
      </c>
      <c r="D5224" s="6" t="n">
        <v>1</v>
      </c>
      <c r="E5224" s="6" t="inlineStr">
        <is>
          <t>R1030486</t>
        </is>
      </c>
      <c r="F5224" s="2" t="n">
        <v>44247</v>
      </c>
      <c r="G5224" s="1" t="n"/>
    </row>
    <row r="5225">
      <c r="A5225" s="6" t="n">
        <v>812812</v>
      </c>
      <c r="B5225" s="6" t="inlineStr">
        <is>
          <t>MD 20/20 BLUE RASPBERRY</t>
        </is>
      </c>
      <c r="C5225" s="7">
        <f>VLOOKUP(A5225,SizeData!A$2:B$3839,2,FALSE)</f>
        <v/>
      </c>
      <c r="D5225" s="6" t="n">
        <v>1</v>
      </c>
      <c r="E5225" s="6" t="inlineStr">
        <is>
          <t>R1066257</t>
        </is>
      </c>
      <c r="F5225" s="2" t="n">
        <v>44270</v>
      </c>
      <c r="G5225" s="1" t="n"/>
    </row>
    <row r="5226">
      <c r="A5226" s="6" t="n">
        <v>812812</v>
      </c>
      <c r="B5226" s="6" t="inlineStr">
        <is>
          <t>MD 20/20 BLUE RASPBERRY</t>
        </is>
      </c>
      <c r="C5226" s="7">
        <f>VLOOKUP(A5226,SizeData!A$2:B$3839,2,FALSE)</f>
        <v/>
      </c>
      <c r="D5226" s="6" t="n">
        <v>1</v>
      </c>
      <c r="E5226" s="6" t="inlineStr">
        <is>
          <t>R1111874</t>
        </is>
      </c>
      <c r="F5226" s="2" t="n">
        <v>44326</v>
      </c>
      <c r="G5226" s="1" t="n"/>
    </row>
    <row r="5227">
      <c r="A5227" s="6" t="n">
        <v>812812</v>
      </c>
      <c r="B5227" s="6" t="inlineStr">
        <is>
          <t>MD 20/20 BLUE RASPBERRY</t>
        </is>
      </c>
      <c r="C5227" s="7">
        <f>VLOOKUP(A5227,SizeData!A$2:B$3839,2,FALSE)</f>
        <v/>
      </c>
      <c r="D5227" s="6" t="n">
        <v>1</v>
      </c>
      <c r="E5227" s="6" t="inlineStr">
        <is>
          <t>R1155060</t>
        </is>
      </c>
      <c r="F5227" s="2" t="n">
        <v>44357</v>
      </c>
      <c r="G5227" s="1" t="n"/>
    </row>
    <row r="5228">
      <c r="A5228" s="6" t="n">
        <v>812812</v>
      </c>
      <c r="B5228" s="6" t="inlineStr">
        <is>
          <t>MD 20/20 BLUE RASPBERRY</t>
        </is>
      </c>
      <c r="C5228" s="7">
        <f>VLOOKUP(A5228,SizeData!A$2:B$3839,2,FALSE)</f>
        <v/>
      </c>
      <c r="D5228" s="6" t="n">
        <v>1</v>
      </c>
      <c r="E5228" s="6" t="inlineStr">
        <is>
          <t>R1175838</t>
        </is>
      </c>
      <c r="F5228" s="2" t="n">
        <v>44389</v>
      </c>
      <c r="G5228" s="1" t="n"/>
    </row>
    <row r="5229">
      <c r="A5229" s="6" t="n">
        <v>812812</v>
      </c>
      <c r="B5229" s="6" t="inlineStr">
        <is>
          <t>MD 20/20 BLUE RASPBERRY</t>
        </is>
      </c>
      <c r="C5229" s="7">
        <f>VLOOKUP(A5229,SizeData!A$2:B$3839,2,FALSE)</f>
        <v/>
      </c>
      <c r="D5229" s="6" t="n">
        <v>1</v>
      </c>
      <c r="E5229" s="6" t="inlineStr">
        <is>
          <t>R1192602</t>
        </is>
      </c>
      <c r="F5229" s="2" t="n">
        <v>44401</v>
      </c>
      <c r="G5229" s="1" t="n"/>
    </row>
    <row r="5230">
      <c r="A5230" s="6" t="n">
        <v>812812</v>
      </c>
      <c r="B5230" s="6" t="inlineStr">
        <is>
          <t>MD 20/20 BLUE RASPBERRY</t>
        </is>
      </c>
      <c r="C5230" s="7">
        <f>VLOOKUP(A5230,SizeData!A$2:B$3839,2,FALSE)</f>
        <v/>
      </c>
      <c r="D5230" s="6" t="n">
        <v>1</v>
      </c>
      <c r="E5230" s="6" t="inlineStr">
        <is>
          <t xml:space="preserve"> R1223918</t>
        </is>
      </c>
      <c r="F5230" s="2" t="n">
        <v>44434</v>
      </c>
      <c r="G5230" s="1" t="n"/>
    </row>
    <row r="5231">
      <c r="A5231" s="6" t="n">
        <v>812812</v>
      </c>
      <c r="B5231" s="6" t="inlineStr">
        <is>
          <t>MD 20/20 BLUE RASPBERRY</t>
        </is>
      </c>
      <c r="C5231" s="7">
        <f>VLOOKUP(A5231,SizeData!A$2:B$3839,2,FALSE)</f>
        <v/>
      </c>
      <c r="D5231" s="6" t="n">
        <v>1</v>
      </c>
      <c r="E5231" s="6" t="inlineStr">
        <is>
          <t>R1267530</t>
        </is>
      </c>
      <c r="F5231" s="2" t="n">
        <v>44470</v>
      </c>
      <c r="G5231" s="1" t="n"/>
    </row>
    <row r="5232">
      <c r="A5232" s="6" t="n">
        <v>812812</v>
      </c>
      <c r="B5232" s="6" t="inlineStr">
        <is>
          <t>MD 20/20 BLUE RASPBERRY</t>
        </is>
      </c>
      <c r="C5232" s="7">
        <f>VLOOKUP(A5232,SizeData!A$2:B$3839,2,FALSE)</f>
        <v/>
      </c>
      <c r="D5232" s="6" t="n">
        <v>1</v>
      </c>
      <c r="E5232" s="6" t="inlineStr">
        <is>
          <t>R1274548</t>
        </is>
      </c>
      <c r="F5232" s="2" t="n">
        <v>44485</v>
      </c>
      <c r="G5232" s="1" t="n"/>
    </row>
    <row r="5233">
      <c r="A5233" s="6" t="n">
        <v>812812</v>
      </c>
      <c r="B5233" s="6" t="inlineStr">
        <is>
          <t>MD 20/20 BLUE RASPBERRY</t>
        </is>
      </c>
      <c r="C5233" s="7">
        <f>VLOOKUP(A5233,SizeData!A$2:B$3839,2,FALSE)</f>
        <v/>
      </c>
      <c r="D5233" s="6" t="n">
        <v>1</v>
      </c>
      <c r="E5233" s="6" t="inlineStr">
        <is>
          <t>R1340613</t>
        </is>
      </c>
      <c r="F5233" s="2" t="n">
        <v>44520</v>
      </c>
      <c r="G5233" s="1" t="n"/>
    </row>
    <row r="5234">
      <c r="A5234" s="6" t="n">
        <v>812812</v>
      </c>
      <c r="B5234" s="6" t="inlineStr">
        <is>
          <t>MD 20/20 BLUE RASPBERRY</t>
        </is>
      </c>
      <c r="C5234" s="7">
        <f>VLOOKUP(A5234,SizeData!A$2:B$3839,2,FALSE)</f>
        <v/>
      </c>
      <c r="D5234" s="6" t="n">
        <v>0</v>
      </c>
      <c r="E5234" s="6" t="inlineStr">
        <is>
          <t>R1340613</t>
        </is>
      </c>
      <c r="F5234" s="2" t="n">
        <v>44520</v>
      </c>
      <c r="G5234" s="1" t="n"/>
    </row>
    <row r="5235">
      <c r="A5235" s="6" t="n">
        <v>812812</v>
      </c>
      <c r="B5235" s="6" t="inlineStr">
        <is>
          <t>MD 20/20 BLUE RASPBERRY</t>
        </is>
      </c>
      <c r="C5235" s="7">
        <f>VLOOKUP(A5235,SizeData!A$2:B$3839,2,FALSE)</f>
        <v/>
      </c>
      <c r="D5235" s="6" t="n">
        <v>1</v>
      </c>
      <c r="E5235" s="6" t="inlineStr">
        <is>
          <t>R1337036</t>
        </is>
      </c>
      <c r="F5235" s="2" t="n">
        <v>44523</v>
      </c>
      <c r="G5235" s="1" t="n"/>
    </row>
    <row r="5236">
      <c r="A5236" s="6" t="n">
        <v>812826</v>
      </c>
      <c r="B5236" s="6" t="inlineStr">
        <is>
          <t>MD 20/20 GOLD PINEAPPLE</t>
        </is>
      </c>
      <c r="C5236" s="7">
        <f>VLOOKUP(A5236,SizeData!A$2:B$3839,2,FALSE)</f>
        <v/>
      </c>
      <c r="D5236" s="6" t="n">
        <v>3</v>
      </c>
      <c r="E5236" s="6" t="inlineStr">
        <is>
          <t>R1083528</t>
        </is>
      </c>
      <c r="F5236" s="2" t="n">
        <v>44291</v>
      </c>
      <c r="G5236" s="1" t="n"/>
    </row>
    <row r="5237">
      <c r="A5237" s="6" t="n">
        <v>812826</v>
      </c>
      <c r="B5237" s="6" t="inlineStr">
        <is>
          <t>MD 20/20 GOLD PINEAPPLE</t>
        </is>
      </c>
      <c r="C5237" s="7">
        <f>VLOOKUP(A5237,SizeData!A$2:B$3839,2,FALSE)</f>
        <v/>
      </c>
      <c r="D5237" s="6" t="n">
        <v>2</v>
      </c>
      <c r="E5237" s="6" t="inlineStr">
        <is>
          <t>R1182440</t>
        </is>
      </c>
      <c r="F5237" s="2" t="n">
        <v>44398</v>
      </c>
      <c r="G5237" s="1" t="n"/>
    </row>
    <row r="5238">
      <c r="A5238" s="6" t="n">
        <v>812826</v>
      </c>
      <c r="B5238" s="6" t="inlineStr">
        <is>
          <t>MD 20/20 GOLD PINEAPPLE</t>
        </is>
      </c>
      <c r="C5238" s="7">
        <f>VLOOKUP(A5238,SizeData!A$2:B$3839,2,FALSE)</f>
        <v/>
      </c>
      <c r="D5238" s="6" t="n">
        <v>0</v>
      </c>
      <c r="E5238" s="6" t="inlineStr">
        <is>
          <t>R1230991</t>
        </is>
      </c>
      <c r="F5238" s="2" t="n">
        <v>44441</v>
      </c>
      <c r="G5238" s="1" t="n"/>
    </row>
    <row r="5239">
      <c r="A5239" s="6" t="n">
        <v>812826</v>
      </c>
      <c r="B5239" s="6" t="inlineStr">
        <is>
          <t>MD 20/20 GOLD PINEAPPLE</t>
        </is>
      </c>
      <c r="C5239" s="7">
        <f>VLOOKUP(A5239,SizeData!A$2:B$3839,2,FALSE)</f>
        <v/>
      </c>
      <c r="D5239" s="6" t="n">
        <v>3</v>
      </c>
      <c r="E5239" s="6" t="inlineStr">
        <is>
          <t>R1265540</t>
        </is>
      </c>
      <c r="F5239" s="2" t="n">
        <v>44459</v>
      </c>
      <c r="G5239" s="1" t="n"/>
    </row>
    <row r="5240">
      <c r="A5240" s="6" t="n">
        <v>812826</v>
      </c>
      <c r="B5240" s="6" t="inlineStr">
        <is>
          <t>MD 20/20 GOLD PINEAPPLE</t>
        </is>
      </c>
      <c r="C5240" s="7">
        <f>VLOOKUP(A5240,SizeData!A$2:B$3839,2,FALSE)</f>
        <v/>
      </c>
      <c r="D5240" s="6" t="n">
        <v>2</v>
      </c>
      <c r="E5240" s="6" t="inlineStr">
        <is>
          <t>R1326778</t>
        </is>
      </c>
      <c r="F5240" s="2" t="n">
        <v>44517</v>
      </c>
      <c r="G5240" s="1" t="n"/>
    </row>
    <row r="5241">
      <c r="A5241" s="6" t="n">
        <v>814577</v>
      </c>
      <c r="B5241" s="6" t="inlineStr">
        <is>
          <t>PETER VELLA SWEET RED</t>
        </is>
      </c>
      <c r="C5241" s="7">
        <f>VLOOKUP(A5241,SizeData!A$2:B$3839,2,FALSE)</f>
        <v/>
      </c>
      <c r="D5241" s="6" t="n">
        <v>2</v>
      </c>
      <c r="E5241" s="6" t="inlineStr">
        <is>
          <t>R1027896</t>
        </is>
      </c>
      <c r="F5241" s="2" t="n">
        <v>44247</v>
      </c>
      <c r="G5241" s="1" t="n"/>
    </row>
    <row r="5242">
      <c r="A5242" s="6" t="n">
        <v>814577</v>
      </c>
      <c r="B5242" s="6" t="inlineStr">
        <is>
          <t>PETER VELLA SWEET RED</t>
        </is>
      </c>
      <c r="C5242" s="7">
        <f>VLOOKUP(A5242,SizeData!A$2:B$3839,2,FALSE)</f>
        <v/>
      </c>
      <c r="D5242" s="6" t="n">
        <v>3</v>
      </c>
      <c r="E5242" s="6" t="inlineStr">
        <is>
          <t>R1029842</t>
        </is>
      </c>
      <c r="F5242" s="2" t="n">
        <v>44249</v>
      </c>
      <c r="G5242" s="1" t="n"/>
    </row>
    <row r="5243">
      <c r="A5243" s="6" t="n">
        <v>814577</v>
      </c>
      <c r="B5243" s="6" t="inlineStr">
        <is>
          <t>PETER VELLA SWEET RED</t>
        </is>
      </c>
      <c r="C5243" s="7">
        <f>VLOOKUP(A5243,SizeData!A$2:B$3839,2,FALSE)</f>
        <v/>
      </c>
      <c r="D5243" s="6" t="n">
        <v>2</v>
      </c>
      <c r="E5243" s="6" t="inlineStr">
        <is>
          <t>R1070281</t>
        </is>
      </c>
      <c r="F5243" s="2" t="n">
        <v>44275</v>
      </c>
      <c r="G5243" s="1" t="n"/>
    </row>
    <row r="5244">
      <c r="A5244" s="6" t="n">
        <v>814577</v>
      </c>
      <c r="B5244" s="6" t="inlineStr">
        <is>
          <t>PETER VELLA SWEET RED</t>
        </is>
      </c>
      <c r="C5244" s="7">
        <f>VLOOKUP(A5244,SizeData!A$2:B$3839,2,FALSE)</f>
        <v/>
      </c>
      <c r="D5244" s="6" t="n">
        <v>1</v>
      </c>
      <c r="E5244" s="6" t="inlineStr">
        <is>
          <t>R1072360</t>
        </is>
      </c>
      <c r="F5244" s="2" t="n">
        <v>44281</v>
      </c>
      <c r="G5244" s="1" t="n"/>
    </row>
    <row r="5245">
      <c r="A5245" s="6" t="n">
        <v>814577</v>
      </c>
      <c r="B5245" s="6" t="inlineStr">
        <is>
          <t>PETER VELLA SWEET RED</t>
        </is>
      </c>
      <c r="C5245" s="7">
        <f>VLOOKUP(A5245,SizeData!A$2:B$3839,2,FALSE)</f>
        <v/>
      </c>
      <c r="D5245" s="6" t="n">
        <v>2</v>
      </c>
      <c r="E5245" s="6" t="inlineStr">
        <is>
          <t>R1084018</t>
        </is>
      </c>
      <c r="F5245" s="2" t="n">
        <v>44292</v>
      </c>
      <c r="G5245" s="1" t="n"/>
    </row>
    <row r="5246">
      <c r="A5246" s="6" t="n">
        <v>814577</v>
      </c>
      <c r="B5246" s="6" t="inlineStr">
        <is>
          <t>PETER VELLA SWEET RED</t>
        </is>
      </c>
      <c r="C5246" s="7">
        <f>VLOOKUP(A5246,SizeData!A$2:B$3839,2,FALSE)</f>
        <v/>
      </c>
      <c r="D5246" s="6" t="n">
        <v>1</v>
      </c>
      <c r="E5246" s="6" t="inlineStr">
        <is>
          <t>R1191193</t>
        </is>
      </c>
      <c r="F5246" s="2" t="n">
        <v>44411</v>
      </c>
      <c r="G5246" s="1" t="n"/>
    </row>
    <row r="5247">
      <c r="A5247" s="6" t="n">
        <v>814577</v>
      </c>
      <c r="B5247" s="6" t="inlineStr">
        <is>
          <t>PETER VELLA SWEET RED</t>
        </is>
      </c>
      <c r="C5247" s="7">
        <f>VLOOKUP(A5247,SizeData!A$2:B$3839,2,FALSE)</f>
        <v/>
      </c>
      <c r="D5247" s="6" t="n">
        <v>1</v>
      </c>
      <c r="E5247" s="6" t="inlineStr">
        <is>
          <t>R1222253</t>
        </is>
      </c>
      <c r="F5247" s="2" t="n">
        <v>44435</v>
      </c>
      <c r="G5247" s="1" t="n"/>
    </row>
    <row r="5248">
      <c r="A5248" s="6" t="n">
        <v>814577</v>
      </c>
      <c r="B5248" s="6" t="inlineStr">
        <is>
          <t>PETER VELLA SWEET RED</t>
        </is>
      </c>
      <c r="C5248" s="7">
        <f>VLOOKUP(A5248,SizeData!A$2:B$3839,2,FALSE)</f>
        <v/>
      </c>
      <c r="D5248" s="6" t="n">
        <v>2</v>
      </c>
      <c r="E5248" s="6" t="inlineStr">
        <is>
          <t>R1270613</t>
        </is>
      </c>
      <c r="F5248" s="2" t="n">
        <v>44461</v>
      </c>
      <c r="G5248" s="1" t="n"/>
    </row>
    <row r="5249">
      <c r="A5249" s="6" t="n">
        <v>814577</v>
      </c>
      <c r="B5249" s="6" t="inlineStr">
        <is>
          <t>PETER VELLA SWEET RED</t>
        </is>
      </c>
      <c r="C5249" s="7">
        <f>VLOOKUP(A5249,SizeData!A$2:B$3839,2,FALSE)</f>
        <v/>
      </c>
      <c r="D5249" s="6" t="n">
        <v>0</v>
      </c>
      <c r="E5249" s="6" t="inlineStr">
        <is>
          <t>R1254400</t>
        </is>
      </c>
      <c r="F5249" s="2" t="n">
        <v>44468</v>
      </c>
      <c r="G5249" s="1" t="n"/>
    </row>
    <row r="5250">
      <c r="A5250" s="6" t="n">
        <v>814577</v>
      </c>
      <c r="B5250" s="6" t="inlineStr">
        <is>
          <t>PETER VELLA SWEET RED</t>
        </is>
      </c>
      <c r="C5250" s="7">
        <f>VLOOKUP(A5250,SizeData!A$2:B$3839,2,FALSE)</f>
        <v/>
      </c>
      <c r="D5250" s="6" t="n">
        <v>2</v>
      </c>
      <c r="E5250" s="6" t="inlineStr">
        <is>
          <t>R1287055</t>
        </is>
      </c>
      <c r="F5250" s="2" t="n">
        <v>44482</v>
      </c>
      <c r="G5250" s="1" t="n"/>
    </row>
    <row r="5251">
      <c r="A5251" s="6" t="n">
        <v>814577</v>
      </c>
      <c r="B5251" s="6" t="inlineStr">
        <is>
          <t>PETER VELLA SWEET RED</t>
        </is>
      </c>
      <c r="C5251" s="7">
        <f>VLOOKUP(A5251,SizeData!A$2:B$3839,2,FALSE)</f>
        <v/>
      </c>
      <c r="D5251" s="6" t="n">
        <v>1</v>
      </c>
      <c r="E5251" s="6" t="inlineStr">
        <is>
          <t>R1301404</t>
        </is>
      </c>
      <c r="F5251" s="2" t="n">
        <v>44489</v>
      </c>
      <c r="G5251" s="1" t="n"/>
    </row>
    <row r="5252">
      <c r="A5252" s="6" t="n">
        <v>814577</v>
      </c>
      <c r="B5252" s="6" t="inlineStr">
        <is>
          <t>PETER VELLA SWEET RED</t>
        </is>
      </c>
      <c r="C5252" s="7">
        <f>VLOOKUP(A5252,SizeData!A$2:B$3839,2,FALSE)</f>
        <v/>
      </c>
      <c r="D5252" s="6" t="n">
        <v>1</v>
      </c>
      <c r="E5252" s="6" t="inlineStr">
        <is>
          <t>R1340613</t>
        </is>
      </c>
      <c r="F5252" s="2" t="n">
        <v>44520</v>
      </c>
      <c r="G5252" s="1" t="n"/>
    </row>
    <row r="5253">
      <c r="A5253" s="6" t="n">
        <v>814577</v>
      </c>
      <c r="B5253" s="6" t="inlineStr">
        <is>
          <t>PETER VELLA SWEET RED</t>
        </is>
      </c>
      <c r="C5253" s="7">
        <f>VLOOKUP(A5253,SizeData!A$2:B$3839,2,FALSE)</f>
        <v/>
      </c>
      <c r="D5253" s="6" t="n">
        <v>2</v>
      </c>
      <c r="E5253" s="6" t="inlineStr">
        <is>
          <t>R1334786</t>
        </is>
      </c>
      <c r="F5253" s="2" t="n">
        <v>44529</v>
      </c>
      <c r="G5253" s="1" t="n"/>
    </row>
    <row r="5254">
      <c r="A5254" s="6" t="n">
        <v>814577</v>
      </c>
      <c r="B5254" s="6" t="inlineStr">
        <is>
          <t>PETER VELLA SWEET RED</t>
        </is>
      </c>
      <c r="C5254" s="7">
        <f>VLOOKUP(A5254,SizeData!A$2:B$3839,2,FALSE)</f>
        <v/>
      </c>
      <c r="D5254" s="6" t="n">
        <v>2</v>
      </c>
      <c r="E5254" s="6" t="inlineStr">
        <is>
          <t>R1342961</t>
        </is>
      </c>
      <c r="F5254" s="2" t="n">
        <v>44537</v>
      </c>
      <c r="G5254" s="1" t="n"/>
    </row>
    <row r="5255">
      <c r="A5255" s="6" t="n">
        <v>816230</v>
      </c>
      <c r="B5255" s="6" t="inlineStr">
        <is>
          <t>SWEET WALTER BLACKBERRY</t>
        </is>
      </c>
      <c r="C5255" s="7">
        <f>VLOOKUP(A5255,SizeData!A$2:B$3839,2,FALSE)</f>
        <v/>
      </c>
      <c r="D5255" s="6" t="n">
        <v>3</v>
      </c>
      <c r="E5255" s="6" t="inlineStr">
        <is>
          <t>R1075802</t>
        </is>
      </c>
      <c r="F5255" s="2" t="n">
        <v>44270</v>
      </c>
      <c r="G5255" s="1" t="n"/>
    </row>
    <row r="5256">
      <c r="A5256" s="6" t="n">
        <v>816232</v>
      </c>
      <c r="B5256" s="6" t="inlineStr">
        <is>
          <t>SWEET WALTER CHERRY</t>
        </is>
      </c>
      <c r="C5256" s="7">
        <f>VLOOKUP(A5256,SizeData!A$2:B$3839,2,FALSE)</f>
        <v/>
      </c>
      <c r="D5256" s="6" t="n">
        <v>1</v>
      </c>
      <c r="E5256" s="6" t="inlineStr">
        <is>
          <t>R997005</t>
        </is>
      </c>
      <c r="F5256" s="2" t="n">
        <v>44202</v>
      </c>
      <c r="G5256" s="1" t="n"/>
    </row>
    <row r="5257">
      <c r="A5257" s="6" t="n">
        <v>816234</v>
      </c>
      <c r="B5257" s="6" t="inlineStr">
        <is>
          <t>SWEET WALTER PINEAPPLE</t>
        </is>
      </c>
      <c r="C5257" s="7">
        <f>VLOOKUP(A5257,SizeData!A$2:B$3839,2,FALSE)</f>
        <v/>
      </c>
      <c r="D5257" s="6" t="n">
        <v>5</v>
      </c>
      <c r="E5257" s="6" t="inlineStr">
        <is>
          <t>R1075802</t>
        </is>
      </c>
      <c r="F5257" s="2" t="n">
        <v>44270</v>
      </c>
      <c r="G5257" s="1" t="n"/>
    </row>
    <row r="5258">
      <c r="A5258" s="6" t="n">
        <v>816234</v>
      </c>
      <c r="B5258" s="6" t="inlineStr">
        <is>
          <t>SWEET WALTER PINEAPPLE</t>
        </is>
      </c>
      <c r="C5258" s="7">
        <f>VLOOKUP(A5258,SizeData!A$2:B$3839,2,FALSE)</f>
        <v/>
      </c>
      <c r="D5258" s="6" t="n">
        <v>3</v>
      </c>
      <c r="E5258" s="6" t="inlineStr">
        <is>
          <t>R1255556</t>
        </is>
      </c>
      <c r="F5258" s="2" t="n">
        <v>44456</v>
      </c>
      <c r="G5258" s="1" t="n"/>
    </row>
    <row r="5259">
      <c r="A5259" s="6" t="n">
        <v>816234</v>
      </c>
      <c r="B5259" s="6" t="inlineStr">
        <is>
          <t>SWEET WALTER PINEAPPLE</t>
        </is>
      </c>
      <c r="C5259" s="7">
        <f>VLOOKUP(A5259,SizeData!A$2:B$3839,2,FALSE)</f>
        <v/>
      </c>
      <c r="D5259" s="6" t="n">
        <v>1</v>
      </c>
      <c r="E5259" s="6" t="inlineStr">
        <is>
          <t>R1356782</t>
        </is>
      </c>
      <c r="F5259" s="2" t="n">
        <v>44534</v>
      </c>
      <c r="G5259" s="1" t="n"/>
    </row>
    <row r="5260">
      <c r="A5260" s="6" t="n">
        <v>882300</v>
      </c>
      <c r="B5260" s="6" t="inlineStr">
        <is>
          <t>CARLO ROSSI SPANADA SANGRIA</t>
        </is>
      </c>
      <c r="C5260" s="7">
        <f>VLOOKUP(A5260,SizeData!A$2:B$3839,2,FALSE)</f>
        <v/>
      </c>
      <c r="D5260" s="6" t="n">
        <v>2</v>
      </c>
      <c r="E5260" s="6" t="inlineStr">
        <is>
          <t>R993624</t>
        </is>
      </c>
      <c r="F5260" s="2" t="n">
        <v>44206</v>
      </c>
      <c r="G5260" s="1" t="n"/>
    </row>
    <row r="5261">
      <c r="A5261" s="6" t="n">
        <v>882300</v>
      </c>
      <c r="B5261" s="6" t="inlineStr">
        <is>
          <t>CARLO ROSSI SPANADA SANGRIA</t>
        </is>
      </c>
      <c r="C5261" s="7">
        <f>VLOOKUP(A5261,SizeData!A$2:B$3839,2,FALSE)</f>
        <v/>
      </c>
      <c r="D5261" s="6" t="n">
        <v>2</v>
      </c>
      <c r="E5261" s="6" t="inlineStr">
        <is>
          <t>R1000047</t>
        </is>
      </c>
      <c r="F5261" s="2" t="n">
        <v>44207</v>
      </c>
      <c r="G5261" s="1" t="n"/>
    </row>
    <row r="5262">
      <c r="A5262" s="6" t="n">
        <v>882300</v>
      </c>
      <c r="B5262" s="6" t="inlineStr">
        <is>
          <t>CARLO ROSSI SPANADA SANGRIA</t>
        </is>
      </c>
      <c r="C5262" s="7">
        <f>VLOOKUP(A5262,SizeData!A$2:B$3839,2,FALSE)</f>
        <v/>
      </c>
      <c r="D5262" s="6" t="n">
        <v>2</v>
      </c>
      <c r="E5262" s="6" t="inlineStr">
        <is>
          <t>R1001511</t>
        </is>
      </c>
      <c r="F5262" s="2" t="n">
        <v>44208</v>
      </c>
      <c r="G5262" s="1" t="n"/>
    </row>
    <row r="5263">
      <c r="A5263" s="6" t="n">
        <v>882300</v>
      </c>
      <c r="B5263" s="6" t="inlineStr">
        <is>
          <t>CARLO ROSSI SPANADA SANGRIA</t>
        </is>
      </c>
      <c r="C5263" s="7">
        <f>VLOOKUP(A5263,SizeData!A$2:B$3839,2,FALSE)</f>
        <v/>
      </c>
      <c r="D5263" s="6" t="n">
        <v>3</v>
      </c>
      <c r="E5263" s="6" t="inlineStr">
        <is>
          <t>R994060</t>
        </is>
      </c>
      <c r="F5263" s="2" t="n">
        <v>44209</v>
      </c>
      <c r="G5263" s="1" t="n"/>
    </row>
    <row r="5264">
      <c r="A5264" s="6" t="n">
        <v>882300</v>
      </c>
      <c r="B5264" s="6" t="inlineStr">
        <is>
          <t>CARLO ROSSI SPANADA SANGRIA</t>
        </is>
      </c>
      <c r="C5264" s="7">
        <f>VLOOKUP(A5264,SizeData!A$2:B$3839,2,FALSE)</f>
        <v/>
      </c>
      <c r="D5264" s="6" t="n">
        <v>4</v>
      </c>
      <c r="E5264" s="6" t="inlineStr">
        <is>
          <t>R1013727</t>
        </is>
      </c>
      <c r="F5264" s="2" t="n">
        <v>44229</v>
      </c>
      <c r="G5264" s="1" t="n"/>
    </row>
    <row r="5265">
      <c r="A5265" s="6" t="n">
        <v>882300</v>
      </c>
      <c r="B5265" s="6" t="inlineStr">
        <is>
          <t>CARLO ROSSI SPANADA SANGRIA</t>
        </is>
      </c>
      <c r="C5265" s="7">
        <f>VLOOKUP(A5265,SizeData!A$2:B$3839,2,FALSE)</f>
        <v/>
      </c>
      <c r="D5265" s="6" t="n">
        <v>3</v>
      </c>
      <c r="E5265" s="6" t="inlineStr">
        <is>
          <t>R1031268</t>
        </is>
      </c>
      <c r="F5265" s="2" t="n">
        <v>44249</v>
      </c>
      <c r="G5265" s="1" t="n"/>
    </row>
    <row r="5266">
      <c r="A5266" s="6" t="n">
        <v>882300</v>
      </c>
      <c r="B5266" s="6" t="inlineStr">
        <is>
          <t>CARLO ROSSI SPANADA SANGRIA</t>
        </is>
      </c>
      <c r="C5266" s="7">
        <f>VLOOKUP(A5266,SizeData!A$2:B$3839,2,FALSE)</f>
        <v/>
      </c>
      <c r="D5266" s="6" t="n">
        <v>3</v>
      </c>
      <c r="E5266" s="6" t="inlineStr">
        <is>
          <t>R1043793</t>
        </is>
      </c>
      <c r="F5266" s="2" t="n">
        <v>44270</v>
      </c>
      <c r="G5266" s="1" t="n"/>
    </row>
    <row r="5267">
      <c r="A5267" s="6" t="n">
        <v>882300</v>
      </c>
      <c r="B5267" s="6" t="inlineStr">
        <is>
          <t>CARLO ROSSI SPANADA SANGRIA</t>
        </is>
      </c>
      <c r="C5267" s="7">
        <f>VLOOKUP(A5267,SizeData!A$2:B$3839,2,FALSE)</f>
        <v/>
      </c>
      <c r="D5267" s="6" t="n">
        <v>5</v>
      </c>
      <c r="E5267" s="6" t="inlineStr">
        <is>
          <t>R1094602</t>
        </is>
      </c>
      <c r="F5267" s="2" t="n">
        <v>44301</v>
      </c>
      <c r="G5267" s="1" t="n"/>
    </row>
    <row r="5268">
      <c r="A5268" s="6" t="n">
        <v>882300</v>
      </c>
      <c r="B5268" s="6" t="inlineStr">
        <is>
          <t>CARLO ROSSI SPANADA SANGRIA</t>
        </is>
      </c>
      <c r="C5268" s="7">
        <f>VLOOKUP(A5268,SizeData!A$2:B$3839,2,FALSE)</f>
        <v/>
      </c>
      <c r="D5268" s="6" t="n">
        <v>4</v>
      </c>
      <c r="E5268" s="6" t="inlineStr">
        <is>
          <t>R1091684</t>
        </is>
      </c>
      <c r="F5268" s="2" t="n">
        <v>44305</v>
      </c>
      <c r="G5268" s="1" t="n"/>
    </row>
    <row r="5269">
      <c r="A5269" s="6" t="n">
        <v>882300</v>
      </c>
      <c r="B5269" s="6" t="inlineStr">
        <is>
          <t>CARLO ROSSI SPANADA SANGRIA</t>
        </is>
      </c>
      <c r="C5269" s="7">
        <f>VLOOKUP(A5269,SizeData!A$2:B$3839,2,FALSE)</f>
        <v/>
      </c>
      <c r="D5269" s="6" t="n">
        <v>2</v>
      </c>
      <c r="E5269" s="6" t="inlineStr">
        <is>
          <t>R1108792</t>
        </is>
      </c>
      <c r="F5269" s="2" t="n">
        <v>44322</v>
      </c>
      <c r="G5269" s="1" t="n"/>
    </row>
    <row r="5270">
      <c r="A5270" s="6" t="n">
        <v>882300</v>
      </c>
      <c r="B5270" s="6" t="inlineStr">
        <is>
          <t>CARLO ROSSI SPANADA SANGRIA</t>
        </is>
      </c>
      <c r="C5270" s="7">
        <f>VLOOKUP(A5270,SizeData!A$2:B$3839,2,FALSE)</f>
        <v/>
      </c>
      <c r="D5270" s="6" t="n">
        <v>5</v>
      </c>
      <c r="E5270" s="6" t="inlineStr">
        <is>
          <t xml:space="preserve"> R1114563</t>
        </is>
      </c>
      <c r="F5270" s="2" t="n">
        <v>44334</v>
      </c>
      <c r="G5270" s="1" t="n"/>
    </row>
    <row r="5271">
      <c r="A5271" s="6" t="n">
        <v>882300</v>
      </c>
      <c r="B5271" s="6" t="inlineStr">
        <is>
          <t>CARLO ROSSI SPANADA SANGRIA</t>
        </is>
      </c>
      <c r="C5271" s="7">
        <f>VLOOKUP(A5271,SizeData!A$2:B$3839,2,FALSE)</f>
        <v/>
      </c>
      <c r="D5271" s="6" t="n">
        <v>1</v>
      </c>
      <c r="E5271" s="6" t="inlineStr">
        <is>
          <t>R1122639</t>
        </is>
      </c>
      <c r="F5271" s="2" t="n">
        <v>44334</v>
      </c>
      <c r="G5271" s="1" t="n"/>
    </row>
    <row r="5272">
      <c r="A5272" s="6" t="n">
        <v>882300</v>
      </c>
      <c r="B5272" s="6" t="inlineStr">
        <is>
          <t>CARLO ROSSI SPANADA SANGRIA</t>
        </is>
      </c>
      <c r="C5272" s="7">
        <f>VLOOKUP(A5272,SizeData!A$2:B$3839,2,FALSE)</f>
        <v/>
      </c>
      <c r="D5272" s="6" t="n">
        <v>2</v>
      </c>
      <c r="E5272" s="6" t="inlineStr">
        <is>
          <t>R1135580</t>
        </is>
      </c>
      <c r="F5272" s="2" t="n">
        <v>44340</v>
      </c>
      <c r="G5272" s="1" t="n"/>
    </row>
    <row r="5273">
      <c r="A5273" s="6" t="n">
        <v>882300</v>
      </c>
      <c r="B5273" s="6" t="inlineStr">
        <is>
          <t>CARLO ROSSI SPANADA SANGRIA</t>
        </is>
      </c>
      <c r="C5273" s="7">
        <f>VLOOKUP(A5273,SizeData!A$2:B$3839,2,FALSE)</f>
        <v/>
      </c>
      <c r="D5273" s="6" t="n">
        <v>2</v>
      </c>
      <c r="E5273" s="6" t="inlineStr">
        <is>
          <t>R1139712</t>
        </is>
      </c>
      <c r="F5273" s="2" t="n">
        <v>44352</v>
      </c>
      <c r="G5273" s="1" t="n"/>
    </row>
    <row r="5274">
      <c r="A5274" s="6" t="n">
        <v>882300</v>
      </c>
      <c r="B5274" s="6" t="inlineStr">
        <is>
          <t>CARLO ROSSI SPANADA SANGRIA</t>
        </is>
      </c>
      <c r="C5274" s="7">
        <f>VLOOKUP(A5274,SizeData!A$2:B$3839,2,FALSE)</f>
        <v/>
      </c>
      <c r="D5274" s="6" t="n">
        <v>3</v>
      </c>
      <c r="E5274" s="6" t="inlineStr">
        <is>
          <t>R1147055</t>
        </is>
      </c>
      <c r="F5274" s="2" t="n">
        <v>44361</v>
      </c>
      <c r="G5274" s="1" t="n"/>
    </row>
    <row r="5275">
      <c r="A5275" s="6" t="n">
        <v>882300</v>
      </c>
      <c r="B5275" s="6" t="inlineStr">
        <is>
          <t>CARLO ROSSI SPANADA SANGRIA</t>
        </is>
      </c>
      <c r="C5275" s="7">
        <f>VLOOKUP(A5275,SizeData!A$2:B$3839,2,FALSE)</f>
        <v/>
      </c>
      <c r="D5275" s="6" t="n">
        <v>3</v>
      </c>
      <c r="E5275" s="6" t="inlineStr">
        <is>
          <t xml:space="preserve"> R1171903</t>
        </is>
      </c>
      <c r="F5275" s="2" t="n">
        <v>44380</v>
      </c>
      <c r="G5275" s="1" t="n"/>
    </row>
    <row r="5276">
      <c r="A5276" s="6" t="n">
        <v>882300</v>
      </c>
      <c r="B5276" s="6" t="inlineStr">
        <is>
          <t>CARLO ROSSI SPANADA SANGRIA</t>
        </is>
      </c>
      <c r="C5276" s="7">
        <f>VLOOKUP(A5276,SizeData!A$2:B$3839,2,FALSE)</f>
        <v/>
      </c>
      <c r="D5276" s="6" t="n">
        <v>3</v>
      </c>
      <c r="E5276" s="6" t="inlineStr">
        <is>
          <t>R1173672</t>
        </is>
      </c>
      <c r="F5276" s="2" t="n">
        <v>44394</v>
      </c>
      <c r="G5276" s="1" t="n"/>
    </row>
    <row r="5277">
      <c r="A5277" s="6" t="n">
        <v>882300</v>
      </c>
      <c r="B5277" s="6" t="inlineStr">
        <is>
          <t>CARLO ROSSI SPANADA SANGRIA</t>
        </is>
      </c>
      <c r="C5277" s="7">
        <f>VLOOKUP(A5277,SizeData!A$2:B$3839,2,FALSE)</f>
        <v/>
      </c>
      <c r="D5277" s="6" t="n">
        <v>2</v>
      </c>
      <c r="E5277" s="6" t="inlineStr">
        <is>
          <t>R1192602</t>
        </is>
      </c>
      <c r="F5277" s="2" t="n">
        <v>44401</v>
      </c>
      <c r="G5277" s="1" t="n"/>
    </row>
    <row r="5278">
      <c r="A5278" s="6" t="n">
        <v>882300</v>
      </c>
      <c r="B5278" s="6" t="inlineStr">
        <is>
          <t>CARLO ROSSI SPANADA SANGRIA</t>
        </is>
      </c>
      <c r="C5278" s="7">
        <f>VLOOKUP(A5278,SizeData!A$2:B$3839,2,FALSE)</f>
        <v/>
      </c>
      <c r="D5278" s="6" t="n">
        <v>1</v>
      </c>
      <c r="E5278" s="6" t="inlineStr">
        <is>
          <t>R1192127</t>
        </is>
      </c>
      <c r="F5278" s="2" t="n">
        <v>44403</v>
      </c>
      <c r="G5278" s="1" t="n"/>
    </row>
    <row r="5279">
      <c r="A5279" s="6" t="n">
        <v>882300</v>
      </c>
      <c r="B5279" s="6" t="inlineStr">
        <is>
          <t>CARLO ROSSI SPANADA SANGRIA</t>
        </is>
      </c>
      <c r="C5279" s="7">
        <f>VLOOKUP(A5279,SizeData!A$2:B$3839,2,FALSE)</f>
        <v/>
      </c>
      <c r="D5279" s="6" t="n">
        <v>3</v>
      </c>
      <c r="E5279" s="6" t="inlineStr">
        <is>
          <t>R1197185</t>
        </is>
      </c>
      <c r="F5279" s="2" t="n">
        <v>44412</v>
      </c>
      <c r="G5279" s="1" t="n"/>
    </row>
    <row r="5280">
      <c r="A5280" s="6" t="n">
        <v>882300</v>
      </c>
      <c r="B5280" s="6" t="inlineStr">
        <is>
          <t>CARLO ROSSI SPANADA SANGRIA</t>
        </is>
      </c>
      <c r="C5280" s="7">
        <f>VLOOKUP(A5280,SizeData!A$2:B$3839,2,FALSE)</f>
        <v/>
      </c>
      <c r="D5280" s="6" t="n">
        <v>3</v>
      </c>
      <c r="E5280" s="6" t="inlineStr">
        <is>
          <t>R1218485</t>
        </is>
      </c>
      <c r="F5280" s="2" t="n">
        <v>44436</v>
      </c>
      <c r="G5280" s="1" t="n"/>
    </row>
    <row r="5281">
      <c r="A5281" s="6" t="n">
        <v>882300</v>
      </c>
      <c r="B5281" s="6" t="inlineStr">
        <is>
          <t>CARLO ROSSI SPANADA SANGRIA</t>
        </is>
      </c>
      <c r="C5281" s="7">
        <f>VLOOKUP(A5281,SizeData!A$2:B$3839,2,FALSE)</f>
        <v/>
      </c>
      <c r="D5281" s="6" t="n">
        <v>2</v>
      </c>
      <c r="E5281" s="6" t="inlineStr">
        <is>
          <t>R1236179</t>
        </is>
      </c>
      <c r="F5281" s="2" t="n">
        <v>44443</v>
      </c>
      <c r="G5281" s="1" t="n"/>
    </row>
    <row r="5282">
      <c r="A5282" s="6" t="n">
        <v>882300</v>
      </c>
      <c r="B5282" s="6" t="inlineStr">
        <is>
          <t>CARLO ROSSI SPANADA SANGRIA</t>
        </is>
      </c>
      <c r="C5282" s="7">
        <f>VLOOKUP(A5282,SizeData!A$2:B$3839,2,FALSE)</f>
        <v/>
      </c>
      <c r="D5282" s="6" t="n">
        <v>1</v>
      </c>
      <c r="E5282" s="6" t="inlineStr">
        <is>
          <t>R1231673</t>
        </is>
      </c>
      <c r="F5282" s="2" t="n">
        <v>44443</v>
      </c>
      <c r="G5282" s="1" t="n"/>
    </row>
    <row r="5283">
      <c r="A5283" s="6" t="n">
        <v>882300</v>
      </c>
      <c r="B5283" s="6" t="inlineStr">
        <is>
          <t>CARLO ROSSI SPANADA SANGRIA</t>
        </is>
      </c>
      <c r="C5283" s="7">
        <f>VLOOKUP(A5283,SizeData!A$2:B$3839,2,FALSE)</f>
        <v/>
      </c>
      <c r="D5283" s="6" t="n">
        <v>3</v>
      </c>
      <c r="E5283" s="6" t="inlineStr">
        <is>
          <t>R1260244</t>
        </is>
      </c>
      <c r="F5283" s="2" t="n">
        <v>44457</v>
      </c>
      <c r="G5283" s="1" t="n"/>
    </row>
    <row r="5284">
      <c r="A5284" s="6" t="n">
        <v>882300</v>
      </c>
      <c r="B5284" s="6" t="inlineStr">
        <is>
          <t>CARLO ROSSI SPANADA SANGRIA</t>
        </is>
      </c>
      <c r="C5284" s="7">
        <f>VLOOKUP(A5284,SizeData!A$2:B$3839,2,FALSE)</f>
        <v/>
      </c>
      <c r="D5284" s="6" t="n">
        <v>3</v>
      </c>
      <c r="E5284" s="6" t="inlineStr">
        <is>
          <t>R1253713</t>
        </is>
      </c>
      <c r="F5284" s="2" t="n">
        <v>44461</v>
      </c>
      <c r="G5284" s="1" t="n"/>
    </row>
    <row r="5285">
      <c r="A5285" s="6" t="n">
        <v>882304</v>
      </c>
      <c r="B5285" s="6" t="inlineStr">
        <is>
          <t>CARLO ROSSI SANGRIA</t>
        </is>
      </c>
      <c r="C5285" s="7">
        <f>VLOOKUP(A5285,SizeData!A$2:B$3839,2,FALSE)</f>
        <v/>
      </c>
      <c r="D5285" s="6" t="n">
        <v>6</v>
      </c>
      <c r="E5285" s="6" t="inlineStr">
        <is>
          <t>R1000047</t>
        </is>
      </c>
      <c r="F5285" s="2" t="n">
        <v>44207</v>
      </c>
      <c r="G5285" s="1" t="n"/>
    </row>
    <row r="5286">
      <c r="A5286" s="6" t="n">
        <v>882304</v>
      </c>
      <c r="B5286" s="6" t="inlineStr">
        <is>
          <t>CARLO ROSSI SANGRIA</t>
        </is>
      </c>
      <c r="C5286" s="7">
        <f>VLOOKUP(A5286,SizeData!A$2:B$3839,2,FALSE)</f>
        <v/>
      </c>
      <c r="D5286" s="6" t="n">
        <v>2</v>
      </c>
      <c r="E5286" s="6" t="inlineStr">
        <is>
          <t>R1010197</t>
        </is>
      </c>
      <c r="F5286" s="2" t="n">
        <v>44214</v>
      </c>
      <c r="G5286" s="1" t="n"/>
    </row>
    <row r="5287">
      <c r="A5287" s="6" t="n">
        <v>882304</v>
      </c>
      <c r="B5287" s="6" t="inlineStr">
        <is>
          <t>CARLO ROSSI SANGRIA</t>
        </is>
      </c>
      <c r="C5287" s="7">
        <f>VLOOKUP(A5287,SizeData!A$2:B$3839,2,FALSE)</f>
        <v/>
      </c>
      <c r="D5287" s="6" t="n">
        <v>10</v>
      </c>
      <c r="E5287" s="6" t="inlineStr">
        <is>
          <t>R1013727</t>
        </is>
      </c>
      <c r="F5287" s="2" t="n">
        <v>44229</v>
      </c>
      <c r="G5287" s="1" t="n"/>
    </row>
    <row r="5288">
      <c r="A5288" s="6" t="n">
        <v>882304</v>
      </c>
      <c r="B5288" s="6" t="inlineStr">
        <is>
          <t>CARLO ROSSI SANGRIA</t>
        </is>
      </c>
      <c r="C5288" s="7">
        <f>VLOOKUP(A5288,SizeData!A$2:B$3839,2,FALSE)</f>
        <v/>
      </c>
      <c r="D5288" s="6" t="n">
        <v>5</v>
      </c>
      <c r="E5288" s="6" t="inlineStr">
        <is>
          <t>R1031268</t>
        </is>
      </c>
      <c r="F5288" s="2" t="n">
        <v>44249</v>
      </c>
      <c r="G5288" s="1" t="n"/>
    </row>
    <row r="5289">
      <c r="A5289" s="6" t="n">
        <v>882304</v>
      </c>
      <c r="B5289" s="6" t="inlineStr">
        <is>
          <t>CARLO ROSSI SANGRIA</t>
        </is>
      </c>
      <c r="C5289" s="7">
        <f>VLOOKUP(A5289,SizeData!A$2:B$3839,2,FALSE)</f>
        <v/>
      </c>
      <c r="D5289" s="6" t="n">
        <v>10</v>
      </c>
      <c r="E5289" s="6" t="n"/>
      <c r="F5289" s="2" t="n">
        <v>44274</v>
      </c>
      <c r="G5289" s="1" t="n"/>
    </row>
    <row r="5290">
      <c r="A5290" s="6" t="n">
        <v>882304</v>
      </c>
      <c r="B5290" s="6" t="inlineStr">
        <is>
          <t>CARLO ROSSI SANGRIA</t>
        </is>
      </c>
      <c r="C5290" s="7">
        <f>VLOOKUP(A5290,SizeData!A$2:B$3839,2,FALSE)</f>
        <v/>
      </c>
      <c r="D5290" s="6" t="n">
        <v>10</v>
      </c>
      <c r="E5290" s="6" t="inlineStr">
        <is>
          <t>R1084018</t>
        </is>
      </c>
      <c r="F5290" s="2" t="n">
        <v>44292</v>
      </c>
      <c r="G5290" s="1" t="n"/>
    </row>
    <row r="5291">
      <c r="A5291" s="6" t="n">
        <v>882304</v>
      </c>
      <c r="B5291" s="6" t="inlineStr">
        <is>
          <t>CARLO ROSSI SANGRIA</t>
        </is>
      </c>
      <c r="C5291" s="7">
        <f>VLOOKUP(A5291,SizeData!A$2:B$3839,2,FALSE)</f>
        <v/>
      </c>
      <c r="D5291" s="6" t="n">
        <v>4</v>
      </c>
      <c r="E5291" s="6" t="inlineStr">
        <is>
          <t>R1121370</t>
        </is>
      </c>
      <c r="F5291" s="2" t="n">
        <v>44331</v>
      </c>
      <c r="G5291" s="1" t="n"/>
    </row>
    <row r="5292">
      <c r="A5292" s="6" t="n">
        <v>882304</v>
      </c>
      <c r="B5292" s="6" t="inlineStr">
        <is>
          <t>CARLO ROSSI SANGRIA</t>
        </is>
      </c>
      <c r="C5292" s="7">
        <f>VLOOKUP(A5292,SizeData!A$2:B$3839,2,FALSE)</f>
        <v/>
      </c>
      <c r="D5292" s="6" t="n">
        <v>4</v>
      </c>
      <c r="E5292" s="6" t="inlineStr">
        <is>
          <t>R1114283</t>
        </is>
      </c>
      <c r="F5292" s="2" t="n">
        <v>44340</v>
      </c>
      <c r="G5292" s="1" t="n"/>
    </row>
    <row r="5293">
      <c r="A5293" s="6" t="n">
        <v>882304</v>
      </c>
      <c r="B5293" s="6" t="inlineStr">
        <is>
          <t>CARLO ROSSI SANGRIA</t>
        </is>
      </c>
      <c r="C5293" s="7">
        <f>VLOOKUP(A5293,SizeData!A$2:B$3839,2,FALSE)</f>
        <v/>
      </c>
      <c r="D5293" s="6" t="n">
        <v>3</v>
      </c>
      <c r="E5293" s="6" t="inlineStr">
        <is>
          <t>R1147055</t>
        </is>
      </c>
      <c r="F5293" s="2" t="n">
        <v>44361</v>
      </c>
      <c r="G5293" s="1" t="n"/>
    </row>
    <row r="5294">
      <c r="A5294" s="6" t="n">
        <v>882304</v>
      </c>
      <c r="B5294" s="6" t="inlineStr">
        <is>
          <t>CARLO ROSSI SANGRIA</t>
        </is>
      </c>
      <c r="C5294" s="7">
        <f>VLOOKUP(A5294,SizeData!A$2:B$3839,2,FALSE)</f>
        <v/>
      </c>
      <c r="D5294" s="6" t="n">
        <v>6</v>
      </c>
      <c r="E5294" s="6" t="inlineStr">
        <is>
          <t xml:space="preserve"> R1150889</t>
        </is>
      </c>
      <c r="F5294" s="2" t="n">
        <v>44368</v>
      </c>
      <c r="G5294" s="1" t="n"/>
    </row>
    <row r="5295">
      <c r="A5295" s="6" t="n">
        <v>882304</v>
      </c>
      <c r="B5295" s="6" t="inlineStr">
        <is>
          <t>CARLO ROSSI SANGRIA</t>
        </is>
      </c>
      <c r="C5295" s="7">
        <f>VLOOKUP(A5295,SizeData!A$2:B$3839,2,FALSE)</f>
        <v/>
      </c>
      <c r="D5295" s="6" t="n">
        <v>1</v>
      </c>
      <c r="E5295" s="6" t="inlineStr">
        <is>
          <t>R1166742</t>
        </is>
      </c>
      <c r="F5295" s="2" t="n">
        <v>44372</v>
      </c>
      <c r="G5295" s="1" t="n"/>
    </row>
    <row r="5296">
      <c r="A5296" s="6" t="n">
        <v>882304</v>
      </c>
      <c r="B5296" s="6" t="inlineStr">
        <is>
          <t>CARLO ROSSI SANGRIA</t>
        </is>
      </c>
      <c r="C5296" s="7">
        <f>VLOOKUP(A5296,SizeData!A$2:B$3839,2,FALSE)</f>
        <v/>
      </c>
      <c r="D5296" s="6" t="n">
        <v>2</v>
      </c>
      <c r="E5296" s="6" t="inlineStr">
        <is>
          <t>R1173672</t>
        </is>
      </c>
      <c r="F5296" s="2" t="n">
        <v>44394</v>
      </c>
      <c r="G5296" s="1" t="n"/>
    </row>
    <row r="5297">
      <c r="A5297" s="6" t="n">
        <v>882304</v>
      </c>
      <c r="B5297" s="6" t="inlineStr">
        <is>
          <t>CARLO ROSSI SANGRIA</t>
        </is>
      </c>
      <c r="C5297" s="7">
        <f>VLOOKUP(A5297,SizeData!A$2:B$3839,2,FALSE)</f>
        <v/>
      </c>
      <c r="D5297" s="6" t="n">
        <v>2</v>
      </c>
      <c r="E5297" s="6" t="inlineStr">
        <is>
          <t>R1187907</t>
        </is>
      </c>
      <c r="F5297" s="2" t="n">
        <v>44401</v>
      </c>
      <c r="G5297" s="1" t="n"/>
    </row>
    <row r="5298">
      <c r="A5298" s="6" t="n">
        <v>882304</v>
      </c>
      <c r="B5298" s="6" t="inlineStr">
        <is>
          <t>CARLO ROSSI SANGRIA</t>
        </is>
      </c>
      <c r="C5298" s="7">
        <f>VLOOKUP(A5298,SizeData!A$2:B$3839,2,FALSE)</f>
        <v/>
      </c>
      <c r="D5298" s="6" t="n">
        <v>2</v>
      </c>
      <c r="E5298" s="6" t="inlineStr">
        <is>
          <t>R1204006</t>
        </is>
      </c>
      <c r="F5298" s="2" t="n">
        <v>44415</v>
      </c>
      <c r="G5298" s="1" t="n"/>
    </row>
    <row r="5299">
      <c r="A5299" s="6" t="n">
        <v>882304</v>
      </c>
      <c r="B5299" s="6" t="inlineStr">
        <is>
          <t>CARLO ROSSI SANGRIA</t>
        </is>
      </c>
      <c r="C5299" s="7">
        <f>VLOOKUP(A5299,SizeData!A$2:B$3839,2,FALSE)</f>
        <v/>
      </c>
      <c r="D5299" s="6" t="n">
        <v>3</v>
      </c>
      <c r="E5299" s="6" t="inlineStr">
        <is>
          <t>R1224208</t>
        </is>
      </c>
      <c r="F5299" s="2" t="n">
        <v>44436</v>
      </c>
      <c r="G5299" s="1" t="n"/>
    </row>
    <row r="5300">
      <c r="A5300" s="6" t="n">
        <v>882304</v>
      </c>
      <c r="B5300" s="6" t="inlineStr">
        <is>
          <t>CARLO ROSSI SANGRIA</t>
        </is>
      </c>
      <c r="C5300" s="7">
        <f>VLOOKUP(A5300,SizeData!A$2:B$3839,2,FALSE)</f>
        <v/>
      </c>
      <c r="D5300" s="6" t="n">
        <v>7</v>
      </c>
      <c r="E5300" s="6" t="inlineStr">
        <is>
          <t>R1261250</t>
        </is>
      </c>
      <c r="F5300" s="2" t="n">
        <v>44466</v>
      </c>
      <c r="G5300" s="1" t="n"/>
    </row>
    <row r="5301">
      <c r="A5301" s="6" t="n">
        <v>882304</v>
      </c>
      <c r="B5301" s="6" t="inlineStr">
        <is>
          <t>CARLO ROSSI SANGRIA</t>
        </is>
      </c>
      <c r="C5301" s="7">
        <f>VLOOKUP(A5301,SizeData!A$2:B$3839,2,FALSE)</f>
        <v/>
      </c>
      <c r="D5301" s="6" t="n">
        <v>3</v>
      </c>
      <c r="E5301" s="6" t="inlineStr">
        <is>
          <t>R1286225</t>
        </is>
      </c>
      <c r="F5301" s="2" t="n">
        <v>44478</v>
      </c>
      <c r="G5301" s="1" t="n"/>
    </row>
    <row r="5302">
      <c r="A5302" s="6" t="n">
        <v>882304</v>
      </c>
      <c r="B5302" s="6" t="inlineStr">
        <is>
          <t>CARLO ROSSI SANGRIA</t>
        </is>
      </c>
      <c r="C5302" s="7">
        <f>VLOOKUP(A5302,SizeData!A$2:B$3839,2,FALSE)</f>
        <v/>
      </c>
      <c r="D5302" s="6" t="n">
        <v>9</v>
      </c>
      <c r="E5302" s="6" t="inlineStr">
        <is>
          <t>R1278268</t>
        </is>
      </c>
      <c r="F5302" s="2" t="n">
        <v>44482</v>
      </c>
      <c r="G5302" s="1" t="n"/>
    </row>
    <row r="5303">
      <c r="A5303" s="6" t="n">
        <v>882304</v>
      </c>
      <c r="B5303" s="6" t="inlineStr">
        <is>
          <t>CARLO ROSSI SANGRIA</t>
        </is>
      </c>
      <c r="C5303" s="7">
        <f>VLOOKUP(A5303,SizeData!A$2:B$3839,2,FALSE)</f>
        <v/>
      </c>
      <c r="D5303" s="6" t="n">
        <v>7</v>
      </c>
      <c r="E5303" s="6" t="inlineStr">
        <is>
          <t>R1301953</t>
        </is>
      </c>
      <c r="F5303" s="2" t="n">
        <v>44496</v>
      </c>
      <c r="G5303" s="1" t="n"/>
    </row>
    <row r="5304">
      <c r="A5304" s="6" t="n">
        <v>882304</v>
      </c>
      <c r="B5304" s="6" t="inlineStr">
        <is>
          <t>CARLO ROSSI SANGRIA</t>
        </is>
      </c>
      <c r="C5304" s="7">
        <f>VLOOKUP(A5304,SizeData!A$2:B$3839,2,FALSE)</f>
        <v/>
      </c>
      <c r="D5304" s="6" t="n">
        <v>4</v>
      </c>
      <c r="E5304" s="6" t="inlineStr">
        <is>
          <t>R1302916</t>
        </is>
      </c>
      <c r="F5304" s="2" t="n">
        <v>44496</v>
      </c>
      <c r="G5304" s="1" t="n"/>
    </row>
    <row r="5305">
      <c r="A5305" s="6" t="n">
        <v>882304</v>
      </c>
      <c r="B5305" s="6" t="inlineStr">
        <is>
          <t>CARLO ROSSI SANGRIA</t>
        </is>
      </c>
      <c r="C5305" s="7">
        <f>VLOOKUP(A5305,SizeData!A$2:B$3839,2,FALSE)</f>
        <v/>
      </c>
      <c r="D5305" s="6" t="n">
        <v>7</v>
      </c>
      <c r="E5305" s="6" t="inlineStr">
        <is>
          <t>R1347114</t>
        </is>
      </c>
      <c r="F5305" s="2" t="n">
        <v>44531</v>
      </c>
      <c r="G5305" s="1" t="n"/>
    </row>
    <row r="5306">
      <c r="A5306" s="6" t="n">
        <v>882304</v>
      </c>
      <c r="B5306" s="6" t="inlineStr">
        <is>
          <t>CARLO ROSSI SANGRIA</t>
        </is>
      </c>
      <c r="C5306" s="7">
        <f>VLOOKUP(A5306,SizeData!A$2:B$3839,2,FALSE)</f>
        <v/>
      </c>
      <c r="D5306" s="6" t="n">
        <v>10</v>
      </c>
      <c r="E5306" s="6" t="inlineStr">
        <is>
          <t>R1360280</t>
        </is>
      </c>
      <c r="F5306" s="2" t="n">
        <v>44537</v>
      </c>
      <c r="G5306" s="1" t="n"/>
    </row>
    <row r="5307">
      <c r="A5307" s="6" t="n">
        <v>882306</v>
      </c>
      <c r="B5307" s="6" t="inlineStr">
        <is>
          <t>CARLO ROSSI SPANADA SANGRIA</t>
        </is>
      </c>
      <c r="C5307" s="7">
        <f>VLOOKUP(A5307,SizeData!A$2:B$3839,2,FALSE)</f>
        <v/>
      </c>
      <c r="D5307" s="6" t="n">
        <v>3</v>
      </c>
      <c r="E5307" s="6" t="inlineStr">
        <is>
          <t>R1000047</t>
        </is>
      </c>
      <c r="F5307" s="2" t="n">
        <v>44207</v>
      </c>
      <c r="G5307" s="1" t="n"/>
    </row>
    <row r="5308">
      <c r="A5308" s="6" t="n">
        <v>882306</v>
      </c>
      <c r="B5308" s="6" t="inlineStr">
        <is>
          <t>CARLO ROSSI SPANADA SANGRIA</t>
        </is>
      </c>
      <c r="C5308" s="7">
        <f>VLOOKUP(A5308,SizeData!A$2:B$3839,2,FALSE)</f>
        <v/>
      </c>
      <c r="D5308" s="6" t="n">
        <v>3</v>
      </c>
      <c r="E5308" s="6" t="inlineStr">
        <is>
          <t>R1001511</t>
        </is>
      </c>
      <c r="F5308" s="2" t="n">
        <v>44208</v>
      </c>
      <c r="G5308" s="1" t="n"/>
    </row>
    <row r="5309">
      <c r="A5309" s="6" t="n">
        <v>882306</v>
      </c>
      <c r="B5309" s="6" t="inlineStr">
        <is>
          <t>CARLO ROSSI SPANADA SANGRIA</t>
        </is>
      </c>
      <c r="C5309" s="7">
        <f>VLOOKUP(A5309,SizeData!A$2:B$3839,2,FALSE)</f>
        <v/>
      </c>
      <c r="D5309" s="6" t="n">
        <v>2</v>
      </c>
      <c r="E5309" s="6" t="inlineStr">
        <is>
          <t>R1005889</t>
        </is>
      </c>
      <c r="F5309" s="2" t="n">
        <v>44217</v>
      </c>
      <c r="G5309" s="1" t="n"/>
    </row>
    <row r="5310">
      <c r="A5310" s="6" t="n">
        <v>882306</v>
      </c>
      <c r="B5310" s="6" t="inlineStr">
        <is>
          <t>CARLO ROSSI SPANADA SANGRIA</t>
        </is>
      </c>
      <c r="C5310" s="7">
        <f>VLOOKUP(A5310,SizeData!A$2:B$3839,2,FALSE)</f>
        <v/>
      </c>
      <c r="D5310" s="6" t="n">
        <v>4</v>
      </c>
      <c r="E5310" s="6" t="inlineStr">
        <is>
          <t>R1013727</t>
        </is>
      </c>
      <c r="F5310" s="2" t="n">
        <v>44229</v>
      </c>
      <c r="G5310" s="1" t="n"/>
    </row>
    <row r="5311">
      <c r="A5311" s="6" t="n">
        <v>882306</v>
      </c>
      <c r="B5311" s="6" t="inlineStr">
        <is>
          <t>CARLO ROSSI SPANADA SANGRIA</t>
        </is>
      </c>
      <c r="C5311" s="7">
        <f>VLOOKUP(A5311,SizeData!A$2:B$3839,2,FALSE)</f>
        <v/>
      </c>
      <c r="D5311" s="6" t="n">
        <v>3</v>
      </c>
      <c r="E5311" s="6" t="inlineStr">
        <is>
          <t>R1031268</t>
        </is>
      </c>
      <c r="F5311" s="2" t="n">
        <v>44249</v>
      </c>
      <c r="G5311" s="1" t="n"/>
    </row>
    <row r="5312">
      <c r="A5312" s="6" t="n">
        <v>882306</v>
      </c>
      <c r="B5312" s="6" t="inlineStr">
        <is>
          <t>CARLO ROSSI SPANADA SANGRIA</t>
        </is>
      </c>
      <c r="C5312" s="7">
        <f>VLOOKUP(A5312,SizeData!A$2:B$3839,2,FALSE)</f>
        <v/>
      </c>
      <c r="D5312" s="6" t="n">
        <v>4</v>
      </c>
      <c r="E5312" s="6" t="inlineStr">
        <is>
          <t>R1056777</t>
        </is>
      </c>
      <c r="F5312" s="2" t="n">
        <v>44271</v>
      </c>
      <c r="G5312" s="1" t="n"/>
    </row>
    <row r="5313">
      <c r="A5313" s="6" t="n">
        <v>882306</v>
      </c>
      <c r="B5313" s="6" t="inlineStr">
        <is>
          <t>CARLO ROSSI SPANADA SANGRIA</t>
        </is>
      </c>
      <c r="C5313" s="7">
        <f>VLOOKUP(A5313,SizeData!A$2:B$3839,2,FALSE)</f>
        <v/>
      </c>
      <c r="D5313" s="6" t="n">
        <v>1</v>
      </c>
      <c r="E5313" s="6" t="inlineStr">
        <is>
          <t>R1077298</t>
        </is>
      </c>
      <c r="F5313" s="2" t="n">
        <v>44290</v>
      </c>
      <c r="G5313" s="1" t="n"/>
    </row>
    <row r="5314">
      <c r="A5314" s="6" t="n">
        <v>882306</v>
      </c>
      <c r="B5314" s="6" t="inlineStr">
        <is>
          <t>CARLO ROSSI SPANADA SANGRIA</t>
        </is>
      </c>
      <c r="C5314" s="7">
        <f>VLOOKUP(A5314,SizeData!A$2:B$3839,2,FALSE)</f>
        <v/>
      </c>
      <c r="D5314" s="6" t="n">
        <v>5</v>
      </c>
      <c r="E5314" s="6" t="inlineStr">
        <is>
          <t>R1091684</t>
        </is>
      </c>
      <c r="F5314" s="2" t="n">
        <v>44305</v>
      </c>
      <c r="G5314" s="1" t="n"/>
    </row>
    <row r="5315">
      <c r="A5315" s="6" t="n">
        <v>882306</v>
      </c>
      <c r="B5315" s="6" t="inlineStr">
        <is>
          <t>CARLO ROSSI SPANADA SANGRIA</t>
        </is>
      </c>
      <c r="C5315" s="7">
        <f>VLOOKUP(A5315,SizeData!A$2:B$3839,2,FALSE)</f>
        <v/>
      </c>
      <c r="D5315" s="6" t="n">
        <v>2</v>
      </c>
      <c r="E5315" s="6" t="inlineStr">
        <is>
          <t>R1115090</t>
        </is>
      </c>
      <c r="F5315" s="2" t="n">
        <v>44315</v>
      </c>
      <c r="G5315" s="1" t="n"/>
    </row>
    <row r="5316">
      <c r="A5316" s="6" t="n">
        <v>882306</v>
      </c>
      <c r="B5316" s="6" t="inlineStr">
        <is>
          <t>CARLO ROSSI SPANADA SANGRIA</t>
        </is>
      </c>
      <c r="C5316" s="7">
        <f>VLOOKUP(A5316,SizeData!A$2:B$3839,2,FALSE)</f>
        <v/>
      </c>
      <c r="D5316" s="6" t="n">
        <v>3</v>
      </c>
      <c r="E5316" s="6" t="inlineStr">
        <is>
          <t>R1121370</t>
        </is>
      </c>
      <c r="F5316" s="2" t="n">
        <v>44331</v>
      </c>
      <c r="G5316" s="1" t="n"/>
    </row>
    <row r="5317">
      <c r="A5317" s="6" t="n">
        <v>882306</v>
      </c>
      <c r="B5317" s="6" t="inlineStr">
        <is>
          <t>CARLO ROSSI SPANADA SANGRIA</t>
        </is>
      </c>
      <c r="C5317" s="7">
        <f>VLOOKUP(A5317,SizeData!A$2:B$3839,2,FALSE)</f>
        <v/>
      </c>
      <c r="D5317" s="6" t="n">
        <v>5</v>
      </c>
      <c r="E5317" s="6" t="inlineStr">
        <is>
          <t>R1122639</t>
        </is>
      </c>
      <c r="F5317" s="2" t="n">
        <v>44334</v>
      </c>
      <c r="G5317" s="1" t="n"/>
    </row>
    <row r="5318">
      <c r="A5318" s="6" t="n">
        <v>882306</v>
      </c>
      <c r="B5318" s="6" t="inlineStr">
        <is>
          <t>CARLO ROSSI SPANADA SANGRIA</t>
        </is>
      </c>
      <c r="C5318" s="7">
        <f>VLOOKUP(A5318,SizeData!A$2:B$3839,2,FALSE)</f>
        <v/>
      </c>
      <c r="D5318" s="6" t="n">
        <v>1</v>
      </c>
      <c r="E5318" s="6" t="inlineStr">
        <is>
          <t>R1137596</t>
        </is>
      </c>
      <c r="F5318" s="2" t="n">
        <v>44359</v>
      </c>
      <c r="G5318" s="1" t="n"/>
    </row>
    <row r="5319">
      <c r="A5319" s="6" t="n">
        <v>882306</v>
      </c>
      <c r="B5319" s="6" t="inlineStr">
        <is>
          <t>CARLO ROSSI SPANADA SANGRIA</t>
        </is>
      </c>
      <c r="C5319" s="7">
        <f>VLOOKUP(A5319,SizeData!A$2:B$3839,2,FALSE)</f>
        <v/>
      </c>
      <c r="D5319" s="6" t="n">
        <v>2</v>
      </c>
      <c r="E5319" s="6" t="inlineStr">
        <is>
          <t>R1147055</t>
        </is>
      </c>
      <c r="F5319" s="2" t="n">
        <v>44361</v>
      </c>
      <c r="G5319" s="1" t="n"/>
    </row>
    <row r="5320">
      <c r="A5320" s="6" t="n">
        <v>882306</v>
      </c>
      <c r="B5320" s="6" t="inlineStr">
        <is>
          <t>CARLO ROSSI SPANADA SANGRIA</t>
        </is>
      </c>
      <c r="C5320" s="7">
        <f>VLOOKUP(A5320,SizeData!A$2:B$3839,2,FALSE)</f>
        <v/>
      </c>
      <c r="D5320" s="6" t="n">
        <v>2</v>
      </c>
      <c r="E5320" s="6" t="inlineStr">
        <is>
          <t>R1173672</t>
        </is>
      </c>
      <c r="F5320" s="2" t="n">
        <v>44394</v>
      </c>
      <c r="G5320" s="1" t="n"/>
    </row>
    <row r="5321">
      <c r="A5321" s="6" t="n">
        <v>882306</v>
      </c>
      <c r="B5321" s="6" t="inlineStr">
        <is>
          <t>CARLO ROSSI SPANADA SANGRIA</t>
        </is>
      </c>
      <c r="C5321" s="7">
        <f>VLOOKUP(A5321,SizeData!A$2:B$3839,2,FALSE)</f>
        <v/>
      </c>
      <c r="D5321" s="6" t="n">
        <v>3</v>
      </c>
      <c r="E5321" s="6" t="inlineStr">
        <is>
          <t>R1181946</t>
        </is>
      </c>
      <c r="F5321" s="2" t="n">
        <v>44398</v>
      </c>
      <c r="G5321" s="1" t="n"/>
    </row>
    <row r="5322">
      <c r="A5322" s="6" t="n">
        <v>882306</v>
      </c>
      <c r="B5322" s="6" t="inlineStr">
        <is>
          <t>CARLO ROSSI SPANADA SANGRIA</t>
        </is>
      </c>
      <c r="C5322" s="7">
        <f>VLOOKUP(A5322,SizeData!A$2:B$3839,2,FALSE)</f>
        <v/>
      </c>
      <c r="D5322" s="6" t="n">
        <v>1</v>
      </c>
      <c r="E5322" s="6" t="inlineStr">
        <is>
          <t>R1192127</t>
        </is>
      </c>
      <c r="F5322" s="2" t="n">
        <v>44403</v>
      </c>
      <c r="G5322" s="1" t="n"/>
    </row>
    <row r="5323">
      <c r="A5323" s="6" t="n">
        <v>882306</v>
      </c>
      <c r="B5323" s="6" t="inlineStr">
        <is>
          <t>CARLO ROSSI SPANADA SANGRIA</t>
        </is>
      </c>
      <c r="C5323" s="7">
        <f>VLOOKUP(A5323,SizeData!A$2:B$3839,2,FALSE)</f>
        <v/>
      </c>
      <c r="D5323" s="6" t="n">
        <v>3</v>
      </c>
      <c r="E5323" s="6" t="inlineStr">
        <is>
          <t xml:space="preserve"> R1211770</t>
        </is>
      </c>
      <c r="F5323" s="2" t="n">
        <v>44427</v>
      </c>
      <c r="G5323" s="1" t="n"/>
    </row>
    <row r="5324">
      <c r="A5324" s="6" t="n">
        <v>882306</v>
      </c>
      <c r="B5324" s="6" t="inlineStr">
        <is>
          <t>CARLO ROSSI SPANADA SANGRIA</t>
        </is>
      </c>
      <c r="C5324" s="7">
        <f>VLOOKUP(A5324,SizeData!A$2:B$3839,2,FALSE)</f>
        <v/>
      </c>
      <c r="D5324" s="6" t="n">
        <v>1</v>
      </c>
      <c r="E5324" s="6" t="inlineStr">
        <is>
          <t>R1224208</t>
        </is>
      </c>
      <c r="F5324" s="2" t="n">
        <v>44436</v>
      </c>
      <c r="G5324" s="1" t="n"/>
    </row>
    <row r="5325">
      <c r="A5325" s="6" t="n">
        <v>882306</v>
      </c>
      <c r="B5325" s="6" t="inlineStr">
        <is>
          <t>CARLO ROSSI SPANADA SANGRIA</t>
        </is>
      </c>
      <c r="C5325" s="7">
        <f>VLOOKUP(A5325,SizeData!A$2:B$3839,2,FALSE)</f>
        <v/>
      </c>
      <c r="D5325" s="6" t="n">
        <v>2</v>
      </c>
      <c r="E5325" s="6" t="inlineStr">
        <is>
          <t>R1236179</t>
        </is>
      </c>
      <c r="F5325" s="2" t="n">
        <v>44443</v>
      </c>
      <c r="G5325" s="1" t="n"/>
    </row>
    <row r="5326">
      <c r="A5326" s="6" t="n">
        <v>882306</v>
      </c>
      <c r="B5326" s="6" t="inlineStr">
        <is>
          <t>CARLO ROSSI SPANADA SANGRIA</t>
        </is>
      </c>
      <c r="C5326" s="7">
        <f>VLOOKUP(A5326,SizeData!A$2:B$3839,2,FALSE)</f>
        <v/>
      </c>
      <c r="D5326" s="6" t="n">
        <v>1</v>
      </c>
      <c r="E5326" s="6" t="inlineStr">
        <is>
          <t>R1260244</t>
        </is>
      </c>
      <c r="F5326" s="2" t="n">
        <v>44457</v>
      </c>
      <c r="G5326" s="1" t="n"/>
    </row>
    <row r="5327">
      <c r="A5327" s="6" t="n">
        <v>882306</v>
      </c>
      <c r="B5327" s="6" t="inlineStr">
        <is>
          <t>CARLO ROSSI SPANADA SANGRIA</t>
        </is>
      </c>
      <c r="C5327" s="7">
        <f>VLOOKUP(A5327,SizeData!A$2:B$3839,2,FALSE)</f>
        <v/>
      </c>
      <c r="D5327" s="6" t="n">
        <v>1</v>
      </c>
      <c r="E5327" s="6" t="inlineStr">
        <is>
          <t xml:space="preserve"> R1265479</t>
        </is>
      </c>
      <c r="F5327" s="2" t="n">
        <v>44462</v>
      </c>
      <c r="G5327" s="1" t="n"/>
    </row>
    <row r="5328">
      <c r="A5328" s="6" t="n">
        <v>882306</v>
      </c>
      <c r="B5328" s="6" t="inlineStr">
        <is>
          <t>CARLO ROSSI SPANADA SANGRIA</t>
        </is>
      </c>
      <c r="C5328" s="7">
        <f>VLOOKUP(A5328,SizeData!A$2:B$3839,2,FALSE)</f>
        <v/>
      </c>
      <c r="D5328" s="6" t="n">
        <v>2</v>
      </c>
      <c r="E5328" s="6" t="inlineStr">
        <is>
          <t>R1267530</t>
        </is>
      </c>
      <c r="F5328" s="2" t="n">
        <v>44470</v>
      </c>
      <c r="G5328" s="1" t="n"/>
    </row>
    <row r="5329">
      <c r="A5329" s="6" t="n">
        <v>882306</v>
      </c>
      <c r="B5329" s="6" t="inlineStr">
        <is>
          <t>CARLO ROSSI SPANADA SANGRIA</t>
        </is>
      </c>
      <c r="C5329" s="7">
        <f>VLOOKUP(A5329,SizeData!A$2:B$3839,2,FALSE)</f>
        <v/>
      </c>
      <c r="D5329" s="6" t="n">
        <v>0</v>
      </c>
      <c r="E5329" s="6" t="inlineStr">
        <is>
          <t>R1275231</t>
        </is>
      </c>
      <c r="F5329" s="2" t="n">
        <v>44473</v>
      </c>
      <c r="G5329" s="1" t="n"/>
    </row>
    <row r="5330">
      <c r="A5330" s="6" t="n">
        <v>882306</v>
      </c>
      <c r="B5330" s="6" t="inlineStr">
        <is>
          <t>CARLO ROSSI SPANADA SANGRIA</t>
        </is>
      </c>
      <c r="C5330" s="7">
        <f>VLOOKUP(A5330,SizeData!A$2:B$3839,2,FALSE)</f>
        <v/>
      </c>
      <c r="D5330" s="6" t="n">
        <v>2</v>
      </c>
      <c r="E5330" s="6" t="inlineStr">
        <is>
          <t>R1274548</t>
        </is>
      </c>
      <c r="F5330" s="2" t="n">
        <v>44485</v>
      </c>
      <c r="G5330" s="1" t="n"/>
    </row>
    <row r="5331">
      <c r="A5331" s="6" t="n">
        <v>882306</v>
      </c>
      <c r="B5331" s="6" t="inlineStr">
        <is>
          <t>CARLO ROSSI SPANADA SANGRIA</t>
        </is>
      </c>
      <c r="C5331" s="7">
        <f>VLOOKUP(A5331,SizeData!A$2:B$3839,2,FALSE)</f>
        <v/>
      </c>
      <c r="D5331" s="6" t="n">
        <v>2</v>
      </c>
      <c r="E5331" s="6" t="inlineStr">
        <is>
          <t>R1284159</t>
        </is>
      </c>
      <c r="F5331" s="2" t="n">
        <v>44488</v>
      </c>
      <c r="G5331" s="1" t="n"/>
    </row>
    <row r="5332">
      <c r="A5332" s="6" t="n">
        <v>882306</v>
      </c>
      <c r="B5332" s="6" t="inlineStr">
        <is>
          <t>CARLO ROSSI SPANADA SANGRIA</t>
        </is>
      </c>
      <c r="C5332" s="7">
        <f>VLOOKUP(A5332,SizeData!A$2:B$3839,2,FALSE)</f>
        <v/>
      </c>
      <c r="D5332" s="6" t="n">
        <v>3</v>
      </c>
      <c r="E5332" s="6" t="inlineStr">
        <is>
          <t>R1284745</t>
        </is>
      </c>
      <c r="F5332" s="2" t="n">
        <v>44490</v>
      </c>
      <c r="G5332" s="1" t="n"/>
    </row>
    <row r="5333">
      <c r="A5333" s="6" t="n">
        <v>882306</v>
      </c>
      <c r="B5333" s="6" t="inlineStr">
        <is>
          <t>CARLO ROSSI SPANADA SANGRIA</t>
        </is>
      </c>
      <c r="C5333" s="7">
        <f>VLOOKUP(A5333,SizeData!A$2:B$3839,2,FALSE)</f>
        <v/>
      </c>
      <c r="D5333" s="6" t="n">
        <v>5</v>
      </c>
      <c r="E5333" s="6" t="inlineStr">
        <is>
          <t>R1314488</t>
        </is>
      </c>
      <c r="F5333" s="2" t="n">
        <v>44516</v>
      </c>
      <c r="G5333" s="1" t="n"/>
    </row>
    <row r="5334">
      <c r="A5334" s="6" t="n">
        <v>882306</v>
      </c>
      <c r="B5334" s="6" t="inlineStr">
        <is>
          <t>CARLO ROSSI SPANADA SANGRIA</t>
        </is>
      </c>
      <c r="C5334" s="7">
        <f>VLOOKUP(A5334,SizeData!A$2:B$3839,2,FALSE)</f>
        <v/>
      </c>
      <c r="D5334" s="6" t="n">
        <v>9</v>
      </c>
      <c r="E5334" s="6" t="inlineStr">
        <is>
          <t>R1346031</t>
        </is>
      </c>
      <c r="F5334" s="2" t="n">
        <v>44529</v>
      </c>
      <c r="G5334" s="1" t="n"/>
    </row>
    <row r="5335">
      <c r="A5335" s="6" t="n">
        <v>882307</v>
      </c>
      <c r="B5335" s="6" t="inlineStr">
        <is>
          <t>CARLO ROSSI MOSCATO SANGRIA</t>
        </is>
      </c>
      <c r="C5335" s="7">
        <f>VLOOKUP(A5335,SizeData!A$2:B$3839,2,FALSE)</f>
        <v/>
      </c>
      <c r="D5335" s="6" t="n">
        <v>8</v>
      </c>
      <c r="E5335" s="6" t="inlineStr">
        <is>
          <t>R992805</t>
        </is>
      </c>
      <c r="F5335" s="2" t="n">
        <v>44201</v>
      </c>
      <c r="G5335" s="1" t="n"/>
    </row>
    <row r="5336">
      <c r="A5336" s="6" t="n">
        <v>882307</v>
      </c>
      <c r="B5336" s="6" t="inlineStr">
        <is>
          <t>CARLO ROSSI MOSCATO SANGRIA</t>
        </is>
      </c>
      <c r="C5336" s="7">
        <f>VLOOKUP(A5336,SizeData!A$2:B$3839,2,FALSE)</f>
        <v/>
      </c>
      <c r="D5336" s="6" t="n">
        <v>10</v>
      </c>
      <c r="E5336" s="6" t="inlineStr">
        <is>
          <t>R996697</t>
        </is>
      </c>
      <c r="F5336" s="2" t="n">
        <v>44221</v>
      </c>
      <c r="G5336" s="1" t="n"/>
    </row>
    <row r="5337">
      <c r="A5337" s="6" t="n">
        <v>882307</v>
      </c>
      <c r="B5337" s="6" t="inlineStr">
        <is>
          <t>CARLO ROSSI MOSCATO SANGRIA</t>
        </is>
      </c>
      <c r="C5337" s="7">
        <f>VLOOKUP(A5337,SizeData!A$2:B$3839,2,FALSE)</f>
        <v/>
      </c>
      <c r="D5337" s="6" t="n">
        <v>5</v>
      </c>
      <c r="E5337" s="6" t="inlineStr">
        <is>
          <t>R1049718</t>
        </is>
      </c>
      <c r="F5337" s="2" t="n">
        <v>44258</v>
      </c>
      <c r="G5337" s="1" t="n"/>
    </row>
    <row r="5338">
      <c r="A5338" s="6" t="n">
        <v>882307</v>
      </c>
      <c r="B5338" s="6" t="inlineStr">
        <is>
          <t>CARLO ROSSI MOSCATO SANGRIA</t>
        </is>
      </c>
      <c r="C5338" s="7">
        <f>VLOOKUP(A5338,SizeData!A$2:B$3839,2,FALSE)</f>
        <v/>
      </c>
      <c r="D5338" s="6" t="n">
        <v>2</v>
      </c>
      <c r="E5338" s="6" t="inlineStr">
        <is>
          <t>R1054120</t>
        </is>
      </c>
      <c r="F5338" s="2" t="n">
        <v>44268</v>
      </c>
      <c r="G5338" s="1" t="n"/>
    </row>
    <row r="5339">
      <c r="A5339" s="6" t="n">
        <v>882307</v>
      </c>
      <c r="B5339" s="6" t="inlineStr">
        <is>
          <t>CARLO ROSSI MOSCATO SANGRIA</t>
        </is>
      </c>
      <c r="C5339" s="7">
        <f>VLOOKUP(A5339,SizeData!A$2:B$3839,2,FALSE)</f>
        <v/>
      </c>
      <c r="D5339" s="6" t="n">
        <v>1</v>
      </c>
      <c r="E5339" s="6" t="inlineStr">
        <is>
          <t>R1085574</t>
        </is>
      </c>
      <c r="F5339" s="2" t="n">
        <v>44288</v>
      </c>
      <c r="G5339" s="1" t="n"/>
    </row>
    <row r="5340">
      <c r="A5340" s="6" t="n">
        <v>882307</v>
      </c>
      <c r="B5340" s="6" t="inlineStr">
        <is>
          <t>CARLO ROSSI MOSCATO SANGRIA</t>
        </is>
      </c>
      <c r="C5340" s="7">
        <f>VLOOKUP(A5340,SizeData!A$2:B$3839,2,FALSE)</f>
        <v/>
      </c>
      <c r="D5340" s="6" t="n">
        <v>5</v>
      </c>
      <c r="E5340" s="6" t="inlineStr">
        <is>
          <t>R1083819</t>
        </is>
      </c>
      <c r="F5340" s="2" t="n">
        <v>44292</v>
      </c>
      <c r="G5340" s="1" t="n"/>
    </row>
    <row r="5341">
      <c r="A5341" s="6" t="n">
        <v>882307</v>
      </c>
      <c r="B5341" s="6" t="inlineStr">
        <is>
          <t>CARLO ROSSI MOSCATO SANGRIA</t>
        </is>
      </c>
      <c r="C5341" s="7">
        <f>VLOOKUP(A5341,SizeData!A$2:B$3839,2,FALSE)</f>
        <v/>
      </c>
      <c r="D5341" s="6" t="n">
        <v>2</v>
      </c>
      <c r="E5341" s="6" t="inlineStr">
        <is>
          <t>R1112663</t>
        </is>
      </c>
      <c r="F5341" s="2" t="n">
        <v>44324</v>
      </c>
      <c r="G5341" s="1" t="n"/>
    </row>
    <row r="5342">
      <c r="A5342" s="6" t="n">
        <v>882307</v>
      </c>
      <c r="B5342" s="6" t="inlineStr">
        <is>
          <t>CARLO ROSSI MOSCATO SANGRIA</t>
        </is>
      </c>
      <c r="C5342" s="7">
        <f>VLOOKUP(A5342,SizeData!A$2:B$3839,2,FALSE)</f>
        <v/>
      </c>
      <c r="D5342" s="6" t="n">
        <v>1</v>
      </c>
      <c r="E5342" s="6" t="inlineStr">
        <is>
          <t>R1114354</t>
        </is>
      </c>
      <c r="F5342" s="2" t="n">
        <v>44334</v>
      </c>
      <c r="G5342" s="1" t="n"/>
    </row>
    <row r="5343">
      <c r="A5343" s="6" t="n">
        <v>882307</v>
      </c>
      <c r="B5343" s="6" t="inlineStr">
        <is>
          <t>CARLO ROSSI MOSCATO SANGRIA</t>
        </is>
      </c>
      <c r="C5343" s="7">
        <f>VLOOKUP(A5343,SizeData!A$2:B$3839,2,FALSE)</f>
        <v/>
      </c>
      <c r="D5343" s="6" t="n">
        <v>1</v>
      </c>
      <c r="E5343" s="6" t="inlineStr">
        <is>
          <t>R1135580</t>
        </is>
      </c>
      <c r="F5343" s="2" t="n">
        <v>44340</v>
      </c>
      <c r="G5343" s="1" t="n"/>
    </row>
    <row r="5344">
      <c r="A5344" s="6" t="n">
        <v>882307</v>
      </c>
      <c r="B5344" s="6" t="inlineStr">
        <is>
          <t>CARLO ROSSI MOSCATO SANGRIA</t>
        </is>
      </c>
      <c r="C5344" s="7">
        <f>VLOOKUP(A5344,SizeData!A$2:B$3839,2,FALSE)</f>
        <v/>
      </c>
      <c r="D5344" s="6" t="n">
        <v>2</v>
      </c>
      <c r="E5344" s="6" t="inlineStr">
        <is>
          <t xml:space="preserve"> R1138813</t>
        </is>
      </c>
      <c r="F5344" s="2" t="n">
        <v>44348</v>
      </c>
      <c r="G5344" s="1" t="n"/>
    </row>
    <row r="5345">
      <c r="A5345" s="6" t="n">
        <v>882307</v>
      </c>
      <c r="B5345" s="6" t="inlineStr">
        <is>
          <t>CARLO ROSSI MOSCATO SANGRIA</t>
        </is>
      </c>
      <c r="C5345" s="7">
        <f>VLOOKUP(A5345,SizeData!A$2:B$3839,2,FALSE)</f>
        <v/>
      </c>
      <c r="D5345" s="6" t="n">
        <v>2</v>
      </c>
      <c r="E5345" s="6" t="inlineStr">
        <is>
          <t>R1137596</t>
        </is>
      </c>
      <c r="F5345" s="2" t="n">
        <v>44359</v>
      </c>
      <c r="G5345" s="1" t="n"/>
    </row>
    <row r="5346">
      <c r="A5346" s="6" t="n">
        <v>882307</v>
      </c>
      <c r="B5346" s="6" t="inlineStr">
        <is>
          <t>CARLO ROSSI MOSCATO SANGRIA</t>
        </is>
      </c>
      <c r="C5346" s="7">
        <f>VLOOKUP(A5346,SizeData!A$2:B$3839,2,FALSE)</f>
        <v/>
      </c>
      <c r="D5346" s="6" t="n">
        <v>3</v>
      </c>
      <c r="E5346" s="6" t="inlineStr">
        <is>
          <t>R1166742</t>
        </is>
      </c>
      <c r="F5346" s="2" t="n">
        <v>44372</v>
      </c>
      <c r="G5346" s="1" t="n"/>
    </row>
    <row r="5347">
      <c r="A5347" s="6" t="n">
        <v>882307</v>
      </c>
      <c r="B5347" s="6" t="inlineStr">
        <is>
          <t>CARLO ROSSI MOSCATO SANGRIA</t>
        </is>
      </c>
      <c r="C5347" s="7">
        <f>VLOOKUP(A5347,SizeData!A$2:B$3839,2,FALSE)</f>
        <v/>
      </c>
      <c r="D5347" s="6" t="n">
        <v>5</v>
      </c>
      <c r="E5347" s="6" t="inlineStr">
        <is>
          <t>R1175838</t>
        </is>
      </c>
      <c r="F5347" s="2" t="n">
        <v>44389</v>
      </c>
      <c r="G5347" s="1" t="n"/>
    </row>
    <row r="5348">
      <c r="A5348" s="6" t="n">
        <v>882307</v>
      </c>
      <c r="B5348" s="6" t="inlineStr">
        <is>
          <t>CARLO ROSSI MOSCATO SANGRIA</t>
        </is>
      </c>
      <c r="C5348" s="7">
        <f>VLOOKUP(A5348,SizeData!A$2:B$3839,2,FALSE)</f>
        <v/>
      </c>
      <c r="D5348" s="6" t="n">
        <v>2</v>
      </c>
      <c r="E5348" s="6" t="inlineStr">
        <is>
          <t>R1187907</t>
        </is>
      </c>
      <c r="F5348" s="2" t="n">
        <v>44401</v>
      </c>
      <c r="G5348" s="1" t="n"/>
    </row>
    <row r="5349">
      <c r="A5349" s="6" t="n">
        <v>882307</v>
      </c>
      <c r="B5349" s="6" t="inlineStr">
        <is>
          <t>CARLO ROSSI MOSCATO SANGRIA</t>
        </is>
      </c>
      <c r="C5349" s="7">
        <f>VLOOKUP(A5349,SizeData!A$2:B$3839,2,FALSE)</f>
        <v/>
      </c>
      <c r="D5349" s="6" t="n">
        <v>1</v>
      </c>
      <c r="E5349" s="6" t="inlineStr">
        <is>
          <t>R1192063</t>
        </is>
      </c>
      <c r="F5349" s="2" t="n">
        <v>44408</v>
      </c>
      <c r="G5349" s="1" t="n"/>
    </row>
    <row r="5350">
      <c r="A5350" s="6" t="n">
        <v>882307</v>
      </c>
      <c r="B5350" s="6" t="inlineStr">
        <is>
          <t>CARLO ROSSI MOSCATO SANGRIA</t>
        </is>
      </c>
      <c r="C5350" s="7">
        <f>VLOOKUP(A5350,SizeData!A$2:B$3839,2,FALSE)</f>
        <v/>
      </c>
      <c r="D5350" s="6" t="n">
        <v>2</v>
      </c>
      <c r="E5350" s="6" t="inlineStr">
        <is>
          <t>R1204006</t>
        </is>
      </c>
      <c r="F5350" s="2" t="n">
        <v>44415</v>
      </c>
      <c r="G5350" s="1" t="n"/>
    </row>
    <row r="5351">
      <c r="A5351" s="6" t="n">
        <v>882307</v>
      </c>
      <c r="B5351" s="6" t="inlineStr">
        <is>
          <t>CARLO ROSSI MOSCATO SANGRIA</t>
        </is>
      </c>
      <c r="C5351" s="7">
        <f>VLOOKUP(A5351,SizeData!A$2:B$3839,2,FALSE)</f>
        <v/>
      </c>
      <c r="D5351" s="6" t="n">
        <v>1</v>
      </c>
      <c r="E5351" s="6" t="inlineStr">
        <is>
          <t>R1233531</t>
        </is>
      </c>
      <c r="F5351" s="2" t="n">
        <v>44450</v>
      </c>
      <c r="G5351" s="1" t="n"/>
    </row>
    <row r="5352">
      <c r="A5352" s="6" t="n">
        <v>882307</v>
      </c>
      <c r="B5352" s="6" t="inlineStr">
        <is>
          <t>CARLO ROSSI MOSCATO SANGRIA</t>
        </is>
      </c>
      <c r="C5352" s="7">
        <f>VLOOKUP(A5352,SizeData!A$2:B$3839,2,FALSE)</f>
        <v/>
      </c>
      <c r="D5352" s="6" t="n">
        <v>2</v>
      </c>
      <c r="E5352" s="6" t="inlineStr">
        <is>
          <t>R1260244</t>
        </is>
      </c>
      <c r="F5352" s="2" t="n">
        <v>44457</v>
      </c>
      <c r="G5352" s="1" t="n"/>
    </row>
    <row r="5353">
      <c r="A5353" s="6" t="n">
        <v>882307</v>
      </c>
      <c r="B5353" s="6" t="inlineStr">
        <is>
          <t>CARLO ROSSI MOSCATO SANGRIA</t>
        </is>
      </c>
      <c r="C5353" s="7">
        <f>VLOOKUP(A5353,SizeData!A$2:B$3839,2,FALSE)</f>
        <v/>
      </c>
      <c r="D5353" s="6" t="n">
        <v>4</v>
      </c>
      <c r="E5353" s="6" t="inlineStr">
        <is>
          <t>R1248175</t>
        </is>
      </c>
      <c r="F5353" s="2" t="n">
        <v>44463</v>
      </c>
      <c r="G5353" s="1" t="n"/>
    </row>
    <row r="5354">
      <c r="A5354" s="6" t="n">
        <v>882307</v>
      </c>
      <c r="B5354" s="6" t="inlineStr">
        <is>
          <t>CARLO ROSSI MOSCATO SANGRIA</t>
        </is>
      </c>
      <c r="C5354" s="7">
        <f>VLOOKUP(A5354,SizeData!A$2:B$3839,2,FALSE)</f>
        <v/>
      </c>
      <c r="D5354" s="6" t="n">
        <v>6</v>
      </c>
      <c r="E5354" s="6" t="inlineStr">
        <is>
          <t>R1295503</t>
        </is>
      </c>
      <c r="F5354" s="2" t="n">
        <v>44476</v>
      </c>
      <c r="G5354" s="1" t="n"/>
    </row>
    <row r="5355">
      <c r="A5355" s="6" t="n">
        <v>882307</v>
      </c>
      <c r="B5355" s="6" t="inlineStr">
        <is>
          <t>CARLO ROSSI MOSCATO SANGRIA</t>
        </is>
      </c>
      <c r="C5355" s="7">
        <f>VLOOKUP(A5355,SizeData!A$2:B$3839,2,FALSE)</f>
        <v/>
      </c>
      <c r="D5355" s="6" t="n">
        <v>6</v>
      </c>
      <c r="E5355" s="6" t="inlineStr">
        <is>
          <t>R1284745</t>
        </is>
      </c>
      <c r="F5355" s="2" t="n">
        <v>44490</v>
      </c>
      <c r="G5355" s="1" t="n"/>
    </row>
    <row r="5356">
      <c r="A5356" s="6" t="n">
        <v>882307</v>
      </c>
      <c r="B5356" s="6" t="inlineStr">
        <is>
          <t>CARLO ROSSI MOSCATO SANGRIA</t>
        </is>
      </c>
      <c r="C5356" s="7">
        <f>VLOOKUP(A5356,SizeData!A$2:B$3839,2,FALSE)</f>
        <v/>
      </c>
      <c r="D5356" s="6" t="n">
        <v>5</v>
      </c>
      <c r="E5356" s="6" t="inlineStr">
        <is>
          <t>R1291275</t>
        </is>
      </c>
      <c r="F5356" s="2" t="n">
        <v>44498</v>
      </c>
      <c r="G5356" s="1" t="n"/>
    </row>
    <row r="5357">
      <c r="A5357" s="6" t="n">
        <v>882307</v>
      </c>
      <c r="B5357" s="6" t="inlineStr">
        <is>
          <t>CARLO ROSSI MOSCATO SANGRIA</t>
        </is>
      </c>
      <c r="C5357" s="7">
        <f>VLOOKUP(A5357,SizeData!A$2:B$3839,2,FALSE)</f>
        <v/>
      </c>
      <c r="D5357" s="6" t="n">
        <v>4</v>
      </c>
      <c r="E5357" s="6" t="inlineStr">
        <is>
          <t>R1334280</t>
        </is>
      </c>
      <c r="F5357" s="2" t="n">
        <v>44531</v>
      </c>
      <c r="G5357" s="1" t="n"/>
    </row>
    <row r="5358">
      <c r="A5358" s="6" t="n">
        <v>882307</v>
      </c>
      <c r="B5358" s="6" t="inlineStr">
        <is>
          <t>CARLO ROSSI MOSCATO SANGRIA</t>
        </is>
      </c>
      <c r="C5358" s="7">
        <f>VLOOKUP(A5358,SizeData!A$2:B$3839,2,FALSE)</f>
        <v/>
      </c>
      <c r="D5358" s="6" t="n">
        <v>3</v>
      </c>
      <c r="E5358" s="6" t="inlineStr">
        <is>
          <t>R1339973</t>
        </is>
      </c>
      <c r="F5358" s="2" t="n">
        <v>44531</v>
      </c>
      <c r="G5358" s="1" t="n"/>
    </row>
    <row r="5359">
      <c r="A5359" s="6" t="n">
        <v>882307</v>
      </c>
      <c r="B5359" s="6" t="inlineStr">
        <is>
          <t>CARLO ROSSI MOSCATO SANGRIA</t>
        </is>
      </c>
      <c r="C5359" s="7">
        <f>VLOOKUP(A5359,SizeData!A$2:B$3839,2,FALSE)</f>
        <v/>
      </c>
      <c r="D5359" s="6" t="n">
        <v>2</v>
      </c>
      <c r="E5359" s="6" t="inlineStr">
        <is>
          <t>R1341856</t>
        </is>
      </c>
      <c r="F5359" s="2" t="n">
        <v>44531</v>
      </c>
      <c r="G5359" s="1" t="n"/>
    </row>
    <row r="5360">
      <c r="A5360" s="6" t="n">
        <v>882307</v>
      </c>
      <c r="B5360" s="6" t="inlineStr">
        <is>
          <t>CARLO ROSSI MOSCATO SANGRIA</t>
        </is>
      </c>
      <c r="C5360" s="7">
        <f>VLOOKUP(A5360,SizeData!A$2:B$3839,2,FALSE)</f>
        <v/>
      </c>
      <c r="D5360" s="6" t="n">
        <v>10</v>
      </c>
      <c r="E5360" s="6" t="inlineStr">
        <is>
          <t>R1366604</t>
        </is>
      </c>
      <c r="F5360" s="2" t="n">
        <v>44538</v>
      </c>
      <c r="G5360" s="1" t="n"/>
    </row>
    <row r="5361">
      <c r="A5361" s="6" t="n">
        <v>882308</v>
      </c>
      <c r="B5361" s="6" t="inlineStr">
        <is>
          <t>CARLO ROSSI SWEET SANGRIA</t>
        </is>
      </c>
      <c r="C5361" s="7">
        <f>VLOOKUP(A5361,SizeData!A$2:B$3839,2,FALSE)</f>
        <v/>
      </c>
      <c r="D5361" s="6" t="n">
        <v>3</v>
      </c>
      <c r="E5361" s="6" t="inlineStr">
        <is>
          <t>R1000047</t>
        </is>
      </c>
      <c r="F5361" s="2" t="n">
        <v>44207</v>
      </c>
      <c r="G5361" s="1" t="n"/>
    </row>
    <row r="5362">
      <c r="A5362" s="6" t="n">
        <v>882308</v>
      </c>
      <c r="B5362" s="6" t="inlineStr">
        <is>
          <t>CARLO ROSSI SWEET SANGRIA</t>
        </is>
      </c>
      <c r="C5362" s="7">
        <f>VLOOKUP(A5362,SizeData!A$2:B$3839,2,FALSE)</f>
        <v/>
      </c>
      <c r="D5362" s="6" t="n">
        <v>4</v>
      </c>
      <c r="E5362" s="6" t="inlineStr">
        <is>
          <t>R994060</t>
        </is>
      </c>
      <c r="F5362" s="2" t="n">
        <v>44209</v>
      </c>
      <c r="G5362" s="1" t="n"/>
    </row>
    <row r="5363">
      <c r="A5363" s="6" t="n">
        <v>882308</v>
      </c>
      <c r="B5363" s="6" t="inlineStr">
        <is>
          <t>CARLO ROSSI SWEET SANGRIA</t>
        </is>
      </c>
      <c r="C5363" s="7">
        <f>VLOOKUP(A5363,SizeData!A$2:B$3839,2,FALSE)</f>
        <v/>
      </c>
      <c r="D5363" s="6" t="n">
        <v>1</v>
      </c>
      <c r="E5363" s="6" t="inlineStr">
        <is>
          <t>R1071489</t>
        </is>
      </c>
      <c r="F5363" s="2" t="n">
        <v>44281</v>
      </c>
      <c r="G5363" s="1" t="n"/>
    </row>
    <row r="5364">
      <c r="A5364" s="6" t="n">
        <v>882308</v>
      </c>
      <c r="B5364" s="6" t="inlineStr">
        <is>
          <t>CARLO ROSSI SWEET SANGRIA</t>
        </is>
      </c>
      <c r="C5364" s="7">
        <f>VLOOKUP(A5364,SizeData!A$2:B$3839,2,FALSE)</f>
        <v/>
      </c>
      <c r="D5364" s="6" t="n">
        <v>1</v>
      </c>
      <c r="E5364" s="6" t="inlineStr">
        <is>
          <t>R1084456</t>
        </is>
      </c>
      <c r="F5364" s="2" t="n">
        <v>44301</v>
      </c>
      <c r="G5364" s="1" t="n"/>
    </row>
    <row r="5365">
      <c r="A5365" s="6" t="n">
        <v>882308</v>
      </c>
      <c r="B5365" s="6" t="inlineStr">
        <is>
          <t>CARLO ROSSI SWEET SANGRIA</t>
        </is>
      </c>
      <c r="C5365" s="7">
        <f>VLOOKUP(A5365,SizeData!A$2:B$3839,2,FALSE)</f>
        <v/>
      </c>
      <c r="D5365" s="6" t="n">
        <v>2</v>
      </c>
      <c r="E5365" s="6" t="inlineStr">
        <is>
          <t>R1091684</t>
        </is>
      </c>
      <c r="F5365" s="2" t="n">
        <v>44305</v>
      </c>
      <c r="G5365" s="1" t="n"/>
    </row>
    <row r="5366">
      <c r="A5366" s="6" t="n">
        <v>882308</v>
      </c>
      <c r="B5366" s="6" t="inlineStr">
        <is>
          <t>CARLO ROSSI SWEET SANGRIA</t>
        </is>
      </c>
      <c r="C5366" s="7">
        <f>VLOOKUP(A5366,SizeData!A$2:B$3839,2,FALSE)</f>
        <v/>
      </c>
      <c r="D5366" s="6" t="n">
        <v>1</v>
      </c>
      <c r="E5366" s="6" t="inlineStr">
        <is>
          <t>R1112663</t>
        </is>
      </c>
      <c r="F5366" s="2" t="n">
        <v>44324</v>
      </c>
      <c r="G5366" s="1" t="n"/>
    </row>
    <row r="5367">
      <c r="A5367" s="6" t="n">
        <v>882308</v>
      </c>
      <c r="B5367" s="6" t="inlineStr">
        <is>
          <t>CARLO ROSSI SWEET SANGRIA</t>
        </is>
      </c>
      <c r="C5367" s="7">
        <f>VLOOKUP(A5367,SizeData!A$2:B$3839,2,FALSE)</f>
        <v/>
      </c>
      <c r="D5367" s="6" t="n">
        <v>2</v>
      </c>
      <c r="E5367" s="6" t="inlineStr">
        <is>
          <t>R1111272</t>
        </is>
      </c>
      <c r="F5367" s="2" t="n">
        <v>44327</v>
      </c>
      <c r="G5367" s="1" t="n"/>
    </row>
    <row r="5368">
      <c r="A5368" s="6" t="n">
        <v>882308</v>
      </c>
      <c r="B5368" s="6" t="inlineStr">
        <is>
          <t>CARLO ROSSI SWEET SANGRIA</t>
        </is>
      </c>
      <c r="C5368" s="7">
        <f>VLOOKUP(A5368,SizeData!A$2:B$3839,2,FALSE)</f>
        <v/>
      </c>
      <c r="D5368" s="6" t="n">
        <v>1</v>
      </c>
      <c r="E5368" s="6" t="inlineStr">
        <is>
          <t>R1137596</t>
        </is>
      </c>
      <c r="F5368" s="2" t="n">
        <v>44359</v>
      </c>
      <c r="G5368" s="1" t="n"/>
    </row>
    <row r="5369">
      <c r="A5369" s="6" t="n">
        <v>882308</v>
      </c>
      <c r="B5369" s="6" t="inlineStr">
        <is>
          <t>CARLO ROSSI SWEET SANGRIA</t>
        </is>
      </c>
      <c r="C5369" s="7">
        <f>VLOOKUP(A5369,SizeData!A$2:B$3839,2,FALSE)</f>
        <v/>
      </c>
      <c r="D5369" s="6" t="n">
        <v>2</v>
      </c>
      <c r="E5369" s="26" t="inlineStr">
        <is>
          <t>R1158572</t>
        </is>
      </c>
      <c r="F5369" s="2" t="n">
        <v>44379</v>
      </c>
      <c r="G5369" s="1" t="n"/>
    </row>
    <row r="5370">
      <c r="A5370" s="6" t="n">
        <v>882308</v>
      </c>
      <c r="B5370" s="6" t="inlineStr">
        <is>
          <t>CARLO ROSSI SWEET SANGRIA</t>
        </is>
      </c>
      <c r="C5370" s="7">
        <f>VLOOKUP(A5370,SizeData!A$2:B$3839,2,FALSE)</f>
        <v/>
      </c>
      <c r="D5370" s="6" t="n">
        <v>1</v>
      </c>
      <c r="E5370" s="6" t="inlineStr">
        <is>
          <t>R1173672</t>
        </is>
      </c>
      <c r="F5370" s="2" t="n">
        <v>44394</v>
      </c>
      <c r="G5370" s="1" t="n"/>
    </row>
    <row r="5371">
      <c r="A5371" s="6" t="n">
        <v>882308</v>
      </c>
      <c r="B5371" s="6" t="inlineStr">
        <is>
          <t>CARLO ROSSI SWEET SANGRIA</t>
        </is>
      </c>
      <c r="C5371" s="7">
        <f>VLOOKUP(A5371,SizeData!A$2:B$3839,2,FALSE)</f>
        <v/>
      </c>
      <c r="D5371" s="6" t="n">
        <v>1</v>
      </c>
      <c r="E5371" s="6" t="inlineStr">
        <is>
          <t>R1192127</t>
        </is>
      </c>
      <c r="F5371" s="2" t="n">
        <v>44403</v>
      </c>
      <c r="G5371" s="1" t="n"/>
    </row>
    <row r="5372">
      <c r="A5372" s="6" t="n">
        <v>882308</v>
      </c>
      <c r="B5372" s="6" t="inlineStr">
        <is>
          <t>CARLO ROSSI SWEET SANGRIA</t>
        </is>
      </c>
      <c r="C5372" s="7">
        <f>VLOOKUP(A5372,SizeData!A$2:B$3839,2,FALSE)</f>
        <v/>
      </c>
      <c r="D5372" s="6" t="n">
        <v>1</v>
      </c>
      <c r="E5372" s="6" t="inlineStr">
        <is>
          <t>R1224208</t>
        </is>
      </c>
      <c r="F5372" s="2" t="n">
        <v>44436</v>
      </c>
      <c r="G5372" s="1" t="n"/>
    </row>
    <row r="5373">
      <c r="A5373" s="6" t="n">
        <v>882308</v>
      </c>
      <c r="B5373" s="6" t="inlineStr">
        <is>
          <t>CARLO ROSSI SWEET SANGRIA</t>
        </is>
      </c>
      <c r="C5373" s="7">
        <f>VLOOKUP(A5373,SizeData!A$2:B$3839,2,FALSE)</f>
        <v/>
      </c>
      <c r="D5373" s="6" t="n">
        <v>2</v>
      </c>
      <c r="E5373" s="6" t="inlineStr">
        <is>
          <t>R1286225</t>
        </is>
      </c>
      <c r="F5373" s="2" t="n">
        <v>44478</v>
      </c>
      <c r="G5373" s="1" t="n"/>
    </row>
    <row r="5374">
      <c r="A5374" s="6" t="n">
        <v>882308</v>
      </c>
      <c r="B5374" s="6" t="inlineStr">
        <is>
          <t>CARLO ROSSI SWEET SANGRIA</t>
        </is>
      </c>
      <c r="C5374" s="7">
        <f>VLOOKUP(A5374,SizeData!A$2:B$3839,2,FALSE)</f>
        <v/>
      </c>
      <c r="D5374" s="6" t="n">
        <v>2</v>
      </c>
      <c r="E5374" s="6" t="inlineStr">
        <is>
          <t>R1274548</t>
        </is>
      </c>
      <c r="F5374" s="2" t="n">
        <v>44485</v>
      </c>
      <c r="G5374" s="1" t="n"/>
    </row>
    <row r="5375">
      <c r="A5375" s="6" t="n">
        <v>882308</v>
      </c>
      <c r="B5375" s="6" t="inlineStr">
        <is>
          <t>CARLO ROSSI SWEET SANGRIA</t>
        </is>
      </c>
      <c r="C5375" s="7">
        <f>VLOOKUP(A5375,SizeData!A$2:B$3839,2,FALSE)</f>
        <v/>
      </c>
      <c r="D5375" s="6" t="n">
        <v>3</v>
      </c>
      <c r="E5375" s="6" t="inlineStr">
        <is>
          <t>R1318952</t>
        </is>
      </c>
      <c r="F5375" s="2" t="n">
        <v>44516</v>
      </c>
      <c r="G5375" s="1" t="n"/>
    </row>
    <row r="5376">
      <c r="A5376" s="6" t="n">
        <v>882310</v>
      </c>
      <c r="B5376" s="6" t="inlineStr">
        <is>
          <t>CARLO ROSSI MOSCATO SANGRIA</t>
        </is>
      </c>
      <c r="C5376" s="7">
        <f>VLOOKUP(A5376,SizeData!A$2:B$3839,2,FALSE)</f>
        <v/>
      </c>
      <c r="D5376" s="6" t="n">
        <v>4</v>
      </c>
      <c r="E5376" s="6" t="inlineStr">
        <is>
          <t>R984274</t>
        </is>
      </c>
      <c r="F5376" s="2" t="n">
        <v>44204</v>
      </c>
      <c r="G5376" s="1" t="n"/>
    </row>
    <row r="5377">
      <c r="A5377" s="6" t="n">
        <v>882310</v>
      </c>
      <c r="B5377" s="6" t="inlineStr">
        <is>
          <t>CARLO ROSSI SWEET SANGRIA</t>
        </is>
      </c>
      <c r="C5377" s="7">
        <f>VLOOKUP(A5377,SizeData!A$2:B$3839,2,FALSE)</f>
        <v/>
      </c>
      <c r="D5377" s="6" t="n">
        <v>4</v>
      </c>
      <c r="E5377" s="6" t="inlineStr">
        <is>
          <t>R1007161</t>
        </is>
      </c>
      <c r="F5377" s="2" t="n">
        <v>44217</v>
      </c>
      <c r="G5377" s="1" t="n"/>
    </row>
    <row r="5378">
      <c r="A5378" s="6" t="n">
        <v>882310</v>
      </c>
      <c r="B5378" s="6" t="inlineStr">
        <is>
          <t>CARLO ROSSI SWEET SANGRIA</t>
        </is>
      </c>
      <c r="C5378" s="7">
        <f>VLOOKUP(A5378,SizeData!A$2:B$3839,2,FALSE)</f>
        <v/>
      </c>
      <c r="D5378" s="6" t="n">
        <v>2</v>
      </c>
      <c r="E5378" s="6" t="inlineStr">
        <is>
          <t>R1072360</t>
        </is>
      </c>
      <c r="F5378" s="2" t="n">
        <v>44281</v>
      </c>
      <c r="G5378" s="1" t="n"/>
    </row>
    <row r="5379">
      <c r="A5379" s="6" t="n">
        <v>882310</v>
      </c>
      <c r="B5379" s="6" t="inlineStr">
        <is>
          <t>CARLO ROSSI SWEET SANGRIA</t>
        </is>
      </c>
      <c r="C5379" s="7">
        <f>VLOOKUP(A5379,SizeData!A$2:B$3839,2,FALSE)</f>
        <v/>
      </c>
      <c r="D5379" s="6" t="n">
        <v>2</v>
      </c>
      <c r="E5379" s="6" t="inlineStr">
        <is>
          <t>R1084236</t>
        </is>
      </c>
      <c r="F5379" s="2" t="n">
        <v>44296</v>
      </c>
      <c r="G5379" s="1" t="n"/>
    </row>
    <row r="5380">
      <c r="A5380" s="6" t="n">
        <v>882310</v>
      </c>
      <c r="B5380" s="6" t="inlineStr">
        <is>
          <t>CARLO ROSSI SWEET SANGRIA</t>
        </is>
      </c>
      <c r="C5380" s="7">
        <f>VLOOKUP(A5380,SizeData!A$2:B$3839,2,FALSE)</f>
        <v/>
      </c>
      <c r="D5380" s="6" t="n">
        <v>1</v>
      </c>
      <c r="E5380" s="6" t="inlineStr">
        <is>
          <t>R1109607</t>
        </is>
      </c>
      <c r="F5380" s="2" t="n">
        <v>44317</v>
      </c>
      <c r="G5380" s="1" t="n"/>
    </row>
    <row r="5381">
      <c r="A5381" s="6" t="n">
        <v>882310</v>
      </c>
      <c r="B5381" s="6" t="inlineStr">
        <is>
          <t>CARLO ROSSI SWEET SANGRIA</t>
        </is>
      </c>
      <c r="C5381" s="7">
        <f>VLOOKUP(A5381,SizeData!A$2:B$3839,2,FALSE)</f>
        <v/>
      </c>
      <c r="D5381" s="6" t="n">
        <v>2</v>
      </c>
      <c r="E5381" s="6" t="inlineStr">
        <is>
          <t>R1122639</t>
        </is>
      </c>
      <c r="F5381" s="2" t="n">
        <v>44334</v>
      </c>
      <c r="G5381" s="1" t="n"/>
    </row>
    <row r="5382">
      <c r="A5382" s="6" t="n">
        <v>882310</v>
      </c>
      <c r="B5382" s="6" t="inlineStr">
        <is>
          <t>CARLO ROSSI SWEET SANGRIA</t>
        </is>
      </c>
      <c r="C5382" s="7">
        <f>VLOOKUP(A5382,SizeData!A$2:B$3839,2,FALSE)</f>
        <v/>
      </c>
      <c r="D5382" s="6" t="n">
        <v>1</v>
      </c>
      <c r="E5382" s="6" t="inlineStr">
        <is>
          <t>R1137596</t>
        </is>
      </c>
      <c r="F5382" s="2" t="n">
        <v>44359</v>
      </c>
      <c r="G5382" s="1" t="n"/>
    </row>
    <row r="5383">
      <c r="A5383" s="6" t="n">
        <v>882310</v>
      </c>
      <c r="B5383" s="6" t="inlineStr">
        <is>
          <t>CARLO ROSSI SWEET SANGRIA</t>
        </is>
      </c>
      <c r="C5383" s="7">
        <f>VLOOKUP(A5383,SizeData!A$2:B$3839,2,FALSE)</f>
        <v/>
      </c>
      <c r="D5383" s="6" t="n">
        <v>1</v>
      </c>
      <c r="E5383" s="6" t="inlineStr">
        <is>
          <t>R1152918</t>
        </is>
      </c>
      <c r="F5383" s="2" t="n">
        <v>44368</v>
      </c>
      <c r="G5383" s="1" t="n"/>
    </row>
    <row r="5384">
      <c r="A5384" s="6" t="n">
        <v>882310</v>
      </c>
      <c r="B5384" s="6" t="inlineStr">
        <is>
          <t>CARLO ROSSI SWEET SANGRIA</t>
        </is>
      </c>
      <c r="C5384" s="7">
        <f>VLOOKUP(A5384,SizeData!A$2:B$3839,2,FALSE)</f>
        <v/>
      </c>
      <c r="D5384" s="6" t="n">
        <v>1</v>
      </c>
      <c r="E5384" s="6" t="inlineStr">
        <is>
          <t>R1167188</t>
        </is>
      </c>
      <c r="F5384" s="2" t="n">
        <v>44379</v>
      </c>
      <c r="G5384" s="1" t="n"/>
    </row>
    <row r="5385">
      <c r="A5385" s="6" t="n">
        <v>882310</v>
      </c>
      <c r="B5385" s="6" t="inlineStr">
        <is>
          <t>CARLO ROSSI SWEET SANGRIA</t>
        </is>
      </c>
      <c r="C5385" s="7">
        <f>VLOOKUP(A5385,SizeData!A$2:B$3839,2,FALSE)</f>
        <v/>
      </c>
      <c r="D5385" s="6" t="n">
        <v>1</v>
      </c>
      <c r="E5385" s="6" t="inlineStr">
        <is>
          <t>R1176234</t>
        </is>
      </c>
      <c r="F5385" s="2" t="n">
        <v>44386</v>
      </c>
      <c r="G5385" s="1" t="n"/>
    </row>
    <row r="5386">
      <c r="A5386" s="6" t="n">
        <v>882310</v>
      </c>
      <c r="B5386" s="6" t="inlineStr">
        <is>
          <t>CARLO ROSSI SWEET SANGRIA</t>
        </is>
      </c>
      <c r="C5386" s="7">
        <f>VLOOKUP(A5386,SizeData!A$2:B$3839,2,FALSE)</f>
        <v/>
      </c>
      <c r="D5386" s="6" t="n">
        <v>1</v>
      </c>
      <c r="E5386" s="6" t="inlineStr">
        <is>
          <t xml:space="preserve"> R1193283</t>
        </is>
      </c>
      <c r="F5386" s="2" t="n">
        <v>44418</v>
      </c>
      <c r="G5386" s="1" t="n"/>
    </row>
    <row r="5387">
      <c r="A5387" s="6" t="n">
        <v>882310</v>
      </c>
      <c r="B5387" s="6" t="inlineStr">
        <is>
          <t>CARLO ROSSI SWEET SANGRIA</t>
        </is>
      </c>
      <c r="C5387" s="7">
        <f>VLOOKUP(A5387,SizeData!A$2:B$3839,2,FALSE)</f>
        <v/>
      </c>
      <c r="D5387" s="6" t="n">
        <v>1</v>
      </c>
      <c r="E5387" s="6" t="inlineStr">
        <is>
          <t>R1231673</t>
        </is>
      </c>
      <c r="F5387" s="2" t="n">
        <v>44443</v>
      </c>
      <c r="G5387" s="1" t="n"/>
    </row>
    <row r="5388">
      <c r="A5388" s="6" t="n">
        <v>882310</v>
      </c>
      <c r="B5388" s="6" t="inlineStr">
        <is>
          <t>CARLO ROSSI SWEET SANGRIA</t>
        </is>
      </c>
      <c r="C5388" s="7">
        <f>VLOOKUP(A5388,SizeData!A$2:B$3839,2,FALSE)</f>
        <v/>
      </c>
      <c r="D5388" s="6" t="n">
        <v>1</v>
      </c>
      <c r="E5388" s="6" t="inlineStr">
        <is>
          <t>R1242289</t>
        </is>
      </c>
      <c r="F5388" s="2" t="n">
        <v>44455</v>
      </c>
      <c r="G5388" s="1" t="n"/>
    </row>
    <row r="5389">
      <c r="A5389" s="6" t="n">
        <v>882310</v>
      </c>
      <c r="B5389" s="6" t="inlineStr">
        <is>
          <t>CARLO ROSSI SWEET SANGRIA</t>
        </is>
      </c>
      <c r="C5389" s="7">
        <f>VLOOKUP(A5389,SizeData!A$2:B$3839,2,FALSE)</f>
        <v/>
      </c>
      <c r="D5389" s="6" t="n">
        <v>2</v>
      </c>
      <c r="E5389" s="6" t="inlineStr">
        <is>
          <t>R1265400</t>
        </is>
      </c>
      <c r="F5389" s="2" t="n">
        <v>44467</v>
      </c>
      <c r="G5389" s="1" t="n"/>
    </row>
    <row r="5390">
      <c r="A5390" s="6" t="n">
        <v>882310</v>
      </c>
      <c r="B5390" s="6" t="inlineStr">
        <is>
          <t>CARLO ROSSI SWEET SANGRIA</t>
        </is>
      </c>
      <c r="C5390" s="7">
        <f>VLOOKUP(A5390,SizeData!A$2:B$3839,2,FALSE)</f>
        <v/>
      </c>
      <c r="D5390" s="6" t="n">
        <v>0</v>
      </c>
      <c r="E5390" s="6" t="inlineStr">
        <is>
          <t>R1275278</t>
        </is>
      </c>
      <c r="F5390" s="2" t="n">
        <v>44478</v>
      </c>
      <c r="G5390" s="1" t="n"/>
    </row>
    <row r="5391">
      <c r="A5391" s="6" t="n">
        <v>882310</v>
      </c>
      <c r="B5391" s="6" t="inlineStr">
        <is>
          <t>CARLO ROSSI SWEET SANGRIA</t>
        </is>
      </c>
      <c r="C5391" s="7">
        <f>VLOOKUP(A5391,SizeData!A$2:B$3839,2,FALSE)</f>
        <v/>
      </c>
      <c r="D5391" s="6" t="n">
        <v>0</v>
      </c>
      <c r="E5391" s="6" t="inlineStr">
        <is>
          <t>R1301804</t>
        </is>
      </c>
      <c r="F5391" s="2" t="n">
        <v>44492</v>
      </c>
      <c r="G5391" s="1" t="n"/>
    </row>
    <row r="5392">
      <c r="A5392" s="6" t="n">
        <v>882311</v>
      </c>
      <c r="B5392" s="6" t="inlineStr">
        <is>
          <t>CARLO ROSSI PINK MOSCATO SANGRIA</t>
        </is>
      </c>
      <c r="C5392" s="7">
        <f>VLOOKUP(A5392,SizeData!A$2:B$3839,2,FALSE)</f>
        <v/>
      </c>
      <c r="D5392" s="6" t="n">
        <v>6</v>
      </c>
      <c r="E5392" s="6" t="inlineStr">
        <is>
          <t>R991186</t>
        </is>
      </c>
      <c r="F5392" s="2" t="n">
        <v>44203</v>
      </c>
      <c r="G5392" s="1" t="n"/>
    </row>
    <row r="5393">
      <c r="A5393" s="6" t="n">
        <v>882311</v>
      </c>
      <c r="B5393" s="6" t="inlineStr">
        <is>
          <t>CARLO ROSSI PINK MOSCATO SANGRIA</t>
        </is>
      </c>
      <c r="C5393" s="7">
        <f>VLOOKUP(A5393,SizeData!A$2:B$3839,2,FALSE)</f>
        <v/>
      </c>
      <c r="D5393" s="6" t="n">
        <v>6</v>
      </c>
      <c r="E5393" s="6" t="inlineStr">
        <is>
          <t>R1010197</t>
        </is>
      </c>
      <c r="F5393" s="2" t="n">
        <v>44214</v>
      </c>
      <c r="G5393" s="1" t="n"/>
    </row>
    <row r="5394">
      <c r="A5394" s="6" t="n">
        <v>882311</v>
      </c>
      <c r="B5394" s="6" t="inlineStr">
        <is>
          <t>CARLO ROSSI PINK MOSCATO SANGRIA</t>
        </is>
      </c>
      <c r="C5394" s="7">
        <f>VLOOKUP(A5394,SizeData!A$2:B$3839,2,FALSE)</f>
        <v/>
      </c>
      <c r="D5394" s="6" t="n">
        <v>5</v>
      </c>
      <c r="E5394" s="6" t="inlineStr">
        <is>
          <t>R1038155</t>
        </is>
      </c>
      <c r="F5394" s="2" t="n">
        <v>44257</v>
      </c>
      <c r="G5394" s="1" t="n"/>
    </row>
    <row r="5395">
      <c r="A5395" s="6" t="n">
        <v>882311</v>
      </c>
      <c r="B5395" s="6" t="inlineStr">
        <is>
          <t>CARLO ROSSI PINK MOSCATO SANGRIA</t>
        </is>
      </c>
      <c r="C5395" s="7">
        <f>VLOOKUP(A5395,SizeData!A$2:B$3839,2,FALSE)</f>
        <v/>
      </c>
      <c r="D5395" s="6" t="n">
        <v>2</v>
      </c>
      <c r="E5395" s="6" t="inlineStr">
        <is>
          <t>R1071489</t>
        </is>
      </c>
      <c r="F5395" s="2" t="n">
        <v>44281</v>
      </c>
      <c r="G5395" s="1" t="n"/>
    </row>
    <row r="5396">
      <c r="A5396" s="6" t="n">
        <v>882311</v>
      </c>
      <c r="B5396" s="6" t="inlineStr">
        <is>
          <t>CARLO ROSSI PINK MOSCATO SANGRIA</t>
        </is>
      </c>
      <c r="C5396" s="7">
        <f>VLOOKUP(A5396,SizeData!A$2:B$3839,2,FALSE)</f>
        <v/>
      </c>
      <c r="D5396" s="6" t="n">
        <v>5</v>
      </c>
      <c r="E5396" s="6" t="inlineStr">
        <is>
          <t>R1085574</t>
        </is>
      </c>
      <c r="F5396" s="2" t="n">
        <v>44288</v>
      </c>
      <c r="G5396" s="1" t="n"/>
    </row>
    <row r="5397">
      <c r="A5397" s="6" t="n">
        <v>882312</v>
      </c>
      <c r="B5397" s="6" t="inlineStr">
        <is>
          <t>CARLO ROSSI SWEET RED</t>
        </is>
      </c>
      <c r="C5397" s="7">
        <f>VLOOKUP(A5397,SizeData!A$2:B$3839,2,FALSE)</f>
        <v/>
      </c>
      <c r="D5397" s="6" t="n">
        <v>10</v>
      </c>
      <c r="E5397" s="6" t="inlineStr">
        <is>
          <t>R1014224</t>
        </is>
      </c>
      <c r="F5397" s="2" t="n">
        <v>44229</v>
      </c>
      <c r="G5397" s="1" t="n"/>
    </row>
    <row r="5398">
      <c r="A5398" s="6" t="n">
        <v>882312</v>
      </c>
      <c r="B5398" s="6" t="inlineStr">
        <is>
          <t>CARLO ROSSI SWEET RED</t>
        </is>
      </c>
      <c r="C5398" s="7">
        <f>VLOOKUP(A5398,SizeData!A$2:B$3839,2,FALSE)</f>
        <v/>
      </c>
      <c r="D5398" s="6" t="n">
        <v>6</v>
      </c>
      <c r="E5398" s="6" t="inlineStr">
        <is>
          <t>R1013727</t>
        </is>
      </c>
      <c r="F5398" s="2" t="n">
        <v>44229</v>
      </c>
      <c r="G5398" s="1" t="n"/>
    </row>
    <row r="5399">
      <c r="A5399" s="6" t="n">
        <v>882312</v>
      </c>
      <c r="B5399" s="6" t="inlineStr">
        <is>
          <t>CARLO ROSSI SWEET RED</t>
        </is>
      </c>
      <c r="C5399" s="7">
        <f>VLOOKUP(A5399,SizeData!A$2:B$3839,2,FALSE)</f>
        <v/>
      </c>
      <c r="D5399" s="6" t="n">
        <v>10</v>
      </c>
      <c r="E5399" s="6" t="inlineStr">
        <is>
          <t>R1046046</t>
        </is>
      </c>
      <c r="F5399" s="2" t="n">
        <v>44256</v>
      </c>
      <c r="G5399" s="1" t="n"/>
    </row>
    <row r="5400">
      <c r="A5400" s="6" t="n">
        <v>882312</v>
      </c>
      <c r="B5400" s="6" t="inlineStr">
        <is>
          <t>CARLO ROSSI SWEET RED</t>
        </is>
      </c>
      <c r="C5400" s="7">
        <f>VLOOKUP(A5400,SizeData!A$2:B$3839,2,FALSE)</f>
        <v/>
      </c>
      <c r="D5400" s="6" t="n">
        <v>10</v>
      </c>
      <c r="E5400" s="6" t="inlineStr">
        <is>
          <t>R1050583</t>
        </is>
      </c>
      <c r="F5400" s="2" t="n">
        <v>44263</v>
      </c>
      <c r="G5400" s="1" t="n"/>
    </row>
    <row r="5401">
      <c r="A5401" s="6" t="n">
        <v>882312</v>
      </c>
      <c r="B5401" s="6" t="inlineStr">
        <is>
          <t>CARLO ROSSI SWEET RED</t>
        </is>
      </c>
      <c r="C5401" s="7">
        <f>VLOOKUP(A5401,SizeData!A$2:B$3839,2,FALSE)</f>
        <v/>
      </c>
      <c r="D5401" s="6" t="n">
        <v>10</v>
      </c>
      <c r="E5401" s="6" t="inlineStr">
        <is>
          <t xml:space="preserve"> R1085374</t>
        </is>
      </c>
      <c r="F5401" s="2" t="n">
        <v>44291</v>
      </c>
      <c r="G5401" s="1" t="n"/>
    </row>
    <row r="5402">
      <c r="A5402" s="6" t="n">
        <v>882312</v>
      </c>
      <c r="B5402" s="6" t="inlineStr">
        <is>
          <t>CARLO ROSSI SWEET RED</t>
        </is>
      </c>
      <c r="C5402" s="7">
        <f>VLOOKUP(A5402,SizeData!A$2:B$3839,2,FALSE)</f>
        <v/>
      </c>
      <c r="D5402" s="6" t="n">
        <v>7</v>
      </c>
      <c r="E5402" s="6" t="inlineStr">
        <is>
          <t>R1103633</t>
        </is>
      </c>
      <c r="F5402" s="2" t="n">
        <v>44320</v>
      </c>
      <c r="G5402" s="1" t="n"/>
    </row>
    <row r="5403">
      <c r="A5403" s="6" t="n">
        <v>882312</v>
      </c>
      <c r="B5403" s="6" t="inlineStr">
        <is>
          <t>CARLO ROSSI SWEET RED</t>
        </is>
      </c>
      <c r="C5403" s="7">
        <f>VLOOKUP(A5403,SizeData!A$2:B$3839,2,FALSE)</f>
        <v/>
      </c>
      <c r="D5403" s="6" t="n">
        <v>1</v>
      </c>
      <c r="E5403" s="6" t="inlineStr">
        <is>
          <t>R1130178</t>
        </is>
      </c>
      <c r="F5403" s="2" t="n">
        <v>44334</v>
      </c>
      <c r="G5403" s="1" t="n"/>
    </row>
    <row r="5404">
      <c r="A5404" s="6" t="n">
        <v>882312</v>
      </c>
      <c r="B5404" s="6" t="inlineStr">
        <is>
          <t>CARLO ROSSI SWEET RED</t>
        </is>
      </c>
      <c r="C5404" s="7">
        <f>VLOOKUP(A5404,SizeData!A$2:B$3839,2,FALSE)</f>
        <v/>
      </c>
      <c r="D5404" s="6" t="n">
        <v>10</v>
      </c>
      <c r="E5404" s="6" t="inlineStr">
        <is>
          <t>R1141636</t>
        </is>
      </c>
      <c r="F5404" s="2" t="n">
        <v>44350</v>
      </c>
      <c r="G5404" s="1" t="n"/>
    </row>
    <row r="5405">
      <c r="A5405" s="6" t="n">
        <v>882312</v>
      </c>
      <c r="B5405" s="6" t="inlineStr">
        <is>
          <t>CARLO ROSSI SWEET RED</t>
        </is>
      </c>
      <c r="C5405" s="7">
        <f>VLOOKUP(A5405,SizeData!A$2:B$3839,2,FALSE)</f>
        <v/>
      </c>
      <c r="D5405" s="6" t="n">
        <v>8</v>
      </c>
      <c r="E5405" s="6" t="inlineStr">
        <is>
          <t>R1148845</t>
        </is>
      </c>
      <c r="F5405" s="2" t="n">
        <v>44369</v>
      </c>
      <c r="G5405" s="1" t="n"/>
    </row>
    <row r="5406">
      <c r="A5406" s="6" t="n">
        <v>882312</v>
      </c>
      <c r="B5406" s="6" t="inlineStr">
        <is>
          <t>CARLO ROSSI SWEET RED</t>
        </is>
      </c>
      <c r="C5406" s="7">
        <f>VLOOKUP(A5406,SizeData!A$2:B$3839,2,FALSE)</f>
        <v/>
      </c>
      <c r="D5406" s="6" t="n">
        <v>5</v>
      </c>
      <c r="E5406" s="6" t="inlineStr">
        <is>
          <t>R1169967</t>
        </is>
      </c>
      <c r="F5406" s="2" t="n">
        <v>44385</v>
      </c>
      <c r="G5406" s="1" t="n"/>
    </row>
    <row r="5407">
      <c r="A5407" s="6" t="n">
        <v>882312</v>
      </c>
      <c r="B5407" s="6" t="inlineStr">
        <is>
          <t>CARLO ROSSI SWEET RED</t>
        </is>
      </c>
      <c r="C5407" s="7">
        <f>VLOOKUP(A5407,SizeData!A$2:B$3839,2,FALSE)</f>
        <v/>
      </c>
      <c r="D5407" s="6" t="n">
        <v>3</v>
      </c>
      <c r="E5407" s="6" t="inlineStr">
        <is>
          <t>R1173672</t>
        </is>
      </c>
      <c r="F5407" s="2" t="n">
        <v>44394</v>
      </c>
      <c r="G5407" s="1" t="n"/>
    </row>
    <row r="5408">
      <c r="A5408" s="6" t="n">
        <v>882312</v>
      </c>
      <c r="B5408" s="6" t="inlineStr">
        <is>
          <t>CARLO ROSSI SWEET RED</t>
        </is>
      </c>
      <c r="C5408" s="7">
        <f>VLOOKUP(A5408,SizeData!A$2:B$3839,2,FALSE)</f>
        <v/>
      </c>
      <c r="D5408" s="6" t="n">
        <v>2</v>
      </c>
      <c r="E5408" s="6" t="inlineStr">
        <is>
          <t>R1204006</t>
        </is>
      </c>
      <c r="F5408" s="2" t="n">
        <v>44415</v>
      </c>
      <c r="G5408" s="1" t="n"/>
    </row>
    <row r="5409">
      <c r="A5409" s="6" t="n">
        <v>882312</v>
      </c>
      <c r="B5409" s="6" t="inlineStr">
        <is>
          <t>CARLO ROSSI SWEET RED</t>
        </is>
      </c>
      <c r="C5409" s="7">
        <f>VLOOKUP(A5409,SizeData!A$2:B$3839,2,FALSE)</f>
        <v/>
      </c>
      <c r="D5409" s="6" t="n">
        <v>2</v>
      </c>
      <c r="E5409" s="6" t="inlineStr">
        <is>
          <t>R1224208</t>
        </is>
      </c>
      <c r="F5409" s="2" t="n">
        <v>44436</v>
      </c>
      <c r="G5409" s="1" t="n"/>
    </row>
    <row r="5410">
      <c r="A5410" s="6" t="n">
        <v>882312</v>
      </c>
      <c r="B5410" s="6" t="inlineStr">
        <is>
          <t>CARLO ROSSI SWEET RED</t>
        </is>
      </c>
      <c r="C5410" s="7">
        <f>VLOOKUP(A5410,SizeData!A$2:B$3839,2,FALSE)</f>
        <v/>
      </c>
      <c r="D5410" s="6" t="n">
        <v>5</v>
      </c>
      <c r="E5410" s="6" t="inlineStr">
        <is>
          <t>R1231673</t>
        </is>
      </c>
      <c r="F5410" s="2" t="n">
        <v>44443</v>
      </c>
      <c r="G5410" s="1" t="n"/>
    </row>
    <row r="5411">
      <c r="A5411" s="6" t="n">
        <v>882312</v>
      </c>
      <c r="B5411" s="6" t="inlineStr">
        <is>
          <t>CARLO ROSSI SWEET RED</t>
        </is>
      </c>
      <c r="C5411" s="7">
        <f>VLOOKUP(A5411,SizeData!A$2:B$3839,2,FALSE)</f>
        <v/>
      </c>
      <c r="D5411" s="6" t="n">
        <v>2</v>
      </c>
      <c r="E5411" s="6" t="inlineStr">
        <is>
          <t>R1233531</t>
        </is>
      </c>
      <c r="F5411" s="2" t="n">
        <v>44450</v>
      </c>
      <c r="G5411" s="1" t="n"/>
    </row>
    <row r="5412">
      <c r="A5412" s="6" t="n">
        <v>882312</v>
      </c>
      <c r="B5412" s="6" t="inlineStr">
        <is>
          <t>CARLO ROSSI SWEET RED</t>
        </is>
      </c>
      <c r="C5412" s="7">
        <f>VLOOKUP(A5412,SizeData!A$2:B$3839,2,FALSE)</f>
        <v/>
      </c>
      <c r="D5412" s="6" t="n">
        <v>2</v>
      </c>
      <c r="E5412" s="6" t="inlineStr">
        <is>
          <t>R1265400</t>
        </is>
      </c>
      <c r="F5412" s="2" t="n">
        <v>44467</v>
      </c>
      <c r="G5412" s="1" t="n"/>
    </row>
    <row r="5413">
      <c r="A5413" s="6" t="n">
        <v>882312</v>
      </c>
      <c r="B5413" s="6" t="inlineStr">
        <is>
          <t>CARLO ROSSI SWEET RED</t>
        </is>
      </c>
      <c r="C5413" s="7">
        <f>VLOOKUP(A5413,SizeData!A$2:B$3839,2,FALSE)</f>
        <v/>
      </c>
      <c r="D5413" s="6" t="n">
        <v>8</v>
      </c>
      <c r="E5413" s="6" t="inlineStr">
        <is>
          <t>R1275278</t>
        </is>
      </c>
      <c r="F5413" s="2" t="n">
        <v>44478</v>
      </c>
      <c r="G5413" s="1" t="n"/>
    </row>
    <row r="5414">
      <c r="A5414" s="6" t="n">
        <v>882312</v>
      </c>
      <c r="B5414" s="6" t="inlineStr">
        <is>
          <t>CARLO ROSSI SWEET RED</t>
        </is>
      </c>
      <c r="C5414" s="7">
        <f>VLOOKUP(A5414,SizeData!A$2:B$3839,2,FALSE)</f>
        <v/>
      </c>
      <c r="D5414" s="6" t="n">
        <v>3</v>
      </c>
      <c r="E5414" s="6" t="inlineStr">
        <is>
          <t>R1274548</t>
        </is>
      </c>
      <c r="F5414" s="2" t="n">
        <v>44485</v>
      </c>
      <c r="G5414" s="1" t="n"/>
    </row>
    <row r="5415">
      <c r="A5415" s="6" t="n">
        <v>882312</v>
      </c>
      <c r="B5415" s="6" t="inlineStr">
        <is>
          <t>CARLO ROSSI SWEET RED</t>
        </is>
      </c>
      <c r="C5415" s="7">
        <f>VLOOKUP(A5415,SizeData!A$2:B$3839,2,FALSE)</f>
        <v/>
      </c>
      <c r="D5415" s="6" t="n">
        <v>9</v>
      </c>
      <c r="E5415" s="6" t="inlineStr">
        <is>
          <t>R1295879</t>
        </is>
      </c>
      <c r="F5415" s="2" t="n">
        <v>44494</v>
      </c>
      <c r="G5415" s="1" t="n"/>
    </row>
    <row r="5416">
      <c r="A5416" s="6" t="n">
        <v>882312</v>
      </c>
      <c r="B5416" s="6" t="inlineStr">
        <is>
          <t>CARLO ROSSI SWEET RED</t>
        </is>
      </c>
      <c r="C5416" s="7">
        <f>VLOOKUP(A5416,SizeData!A$2:B$3839,2,FALSE)</f>
        <v/>
      </c>
      <c r="D5416" s="6" t="n">
        <v>5</v>
      </c>
      <c r="E5416" s="6" t="inlineStr">
        <is>
          <t>R1294025</t>
        </is>
      </c>
      <c r="F5416" s="2" t="n">
        <v>44497</v>
      </c>
      <c r="G5416" s="1" t="n"/>
    </row>
    <row r="5417">
      <c r="A5417" s="6" t="n">
        <v>882312</v>
      </c>
      <c r="B5417" s="6" t="inlineStr">
        <is>
          <t>CARLO ROSSI SWEET RED</t>
        </is>
      </c>
      <c r="C5417" s="7">
        <f>VLOOKUP(A5417,SizeData!A$2:B$3839,2,FALSE)</f>
        <v/>
      </c>
      <c r="D5417" s="6" t="n">
        <v>1</v>
      </c>
      <c r="E5417" s="6" t="inlineStr">
        <is>
          <t>R1338667</t>
        </is>
      </c>
      <c r="F5417" s="2" t="n">
        <v>44530</v>
      </c>
      <c r="G5417" s="1" t="n"/>
    </row>
    <row r="5418">
      <c r="A5418" s="6" t="n">
        <v>882312</v>
      </c>
      <c r="B5418" s="6" t="inlineStr">
        <is>
          <t>CARLO ROSSI SWEET RED</t>
        </is>
      </c>
      <c r="C5418" s="7">
        <f>VLOOKUP(A5418,SizeData!A$2:B$3839,2,FALSE)</f>
        <v/>
      </c>
      <c r="D5418" s="6" t="n">
        <v>3</v>
      </c>
      <c r="E5418" s="6" t="inlineStr">
        <is>
          <t>R1334282</t>
        </is>
      </c>
      <c r="F5418" s="2" t="n">
        <v>44531</v>
      </c>
      <c r="G5418" s="1" t="n"/>
    </row>
    <row r="5419">
      <c r="A5419" s="6" t="n">
        <v>882312</v>
      </c>
      <c r="B5419" s="6" t="inlineStr">
        <is>
          <t>CARLO ROSSI SWEET RED</t>
        </is>
      </c>
      <c r="C5419" s="7">
        <f>VLOOKUP(A5419,SizeData!A$2:B$3839,2,FALSE)</f>
        <v/>
      </c>
      <c r="D5419" s="6" t="n">
        <v>10</v>
      </c>
      <c r="E5419" s="6" t="inlineStr">
        <is>
          <t>R1360280</t>
        </is>
      </c>
      <c r="F5419" s="2" t="n">
        <v>44537</v>
      </c>
      <c r="G5419" s="1" t="n"/>
    </row>
    <row r="5420">
      <c r="A5420" s="6" t="n">
        <v>882319</v>
      </c>
      <c r="B5420" s="6" t="inlineStr">
        <is>
          <t>CARLO ROSSI PINK MOSCATO SANGRIA</t>
        </is>
      </c>
      <c r="C5420" s="7">
        <f>VLOOKUP(A5420,SizeData!A$2:B$3839,2,FALSE)</f>
        <v/>
      </c>
      <c r="D5420" s="6" t="n">
        <v>1</v>
      </c>
      <c r="E5420" s="6" t="inlineStr">
        <is>
          <t>R997526</t>
        </is>
      </c>
      <c r="F5420" s="2" t="n">
        <v>44204</v>
      </c>
      <c r="G5420" s="1" t="n"/>
    </row>
    <row r="5421">
      <c r="A5421" s="6" t="n">
        <v>882319</v>
      </c>
      <c r="B5421" s="6" t="inlineStr">
        <is>
          <t>CARLO ROSSI PINK MOSCATO SANGRIA</t>
        </is>
      </c>
      <c r="C5421" s="7">
        <f>VLOOKUP(A5421,SizeData!A$2:B$3839,2,FALSE)</f>
        <v/>
      </c>
      <c r="D5421" s="6" t="n">
        <v>1</v>
      </c>
      <c r="E5421" s="6" t="inlineStr">
        <is>
          <t>R993624</t>
        </is>
      </c>
      <c r="F5421" s="2" t="n">
        <v>44206</v>
      </c>
      <c r="G5421" s="1" t="n"/>
    </row>
    <row r="5422">
      <c r="A5422" s="6" t="n">
        <v>882319</v>
      </c>
      <c r="B5422" s="6" t="inlineStr">
        <is>
          <t>CARLO ROSSI PINK MOSCATO SANGRIA</t>
        </is>
      </c>
      <c r="C5422" s="7">
        <f>VLOOKUP(A5422,SizeData!A$2:B$3839,2,FALSE)</f>
        <v/>
      </c>
      <c r="D5422" s="6" t="n">
        <v>1</v>
      </c>
      <c r="E5422" s="6" t="inlineStr">
        <is>
          <t>R1031268</t>
        </is>
      </c>
      <c r="F5422" s="2" t="n">
        <v>44249</v>
      </c>
      <c r="G5422" s="1" t="n"/>
    </row>
    <row r="5423">
      <c r="A5423" s="6" t="n">
        <v>882319</v>
      </c>
      <c r="B5423" s="6" t="inlineStr">
        <is>
          <t>CARLO ROSSI PINK MOSCATO SANGRIA</t>
        </is>
      </c>
      <c r="C5423" s="7">
        <f>VLOOKUP(A5423,SizeData!A$2:B$3839,2,FALSE)</f>
        <v/>
      </c>
      <c r="D5423" s="6" t="n">
        <v>3</v>
      </c>
      <c r="E5423" s="6" t="inlineStr">
        <is>
          <t>R1055142</t>
        </is>
      </c>
      <c r="F5423" s="2" t="n">
        <v>44257</v>
      </c>
      <c r="G5423" s="1" t="n"/>
    </row>
    <row r="5424">
      <c r="A5424" s="6" t="n">
        <v>882319</v>
      </c>
      <c r="B5424" s="6" t="inlineStr">
        <is>
          <t>CARLO ROSSI PINK MOSCATO SANGRIA</t>
        </is>
      </c>
      <c r="C5424" s="7">
        <f>VLOOKUP(A5424,SizeData!A$2:B$3839,2,FALSE)</f>
        <v/>
      </c>
      <c r="D5424" s="6" t="n">
        <v>1</v>
      </c>
      <c r="E5424" s="6" t="inlineStr">
        <is>
          <t>R1071489</t>
        </is>
      </c>
      <c r="F5424" s="2" t="n">
        <v>44281</v>
      </c>
      <c r="G5424" s="1" t="n"/>
    </row>
    <row r="5425">
      <c r="A5425" s="6" t="n">
        <v>882319</v>
      </c>
      <c r="B5425" s="6" t="inlineStr">
        <is>
          <t>CARLO ROSSI PINK MOSCATO SANGRIA</t>
        </is>
      </c>
      <c r="C5425" s="7">
        <f>VLOOKUP(A5425,SizeData!A$2:B$3839,2,FALSE)</f>
        <v/>
      </c>
      <c r="D5425" s="6" t="n">
        <v>1</v>
      </c>
      <c r="E5425" s="6" t="inlineStr">
        <is>
          <t>R1091684</t>
        </is>
      </c>
      <c r="F5425" s="2" t="n">
        <v>44305</v>
      </c>
      <c r="G5425" s="1" t="n"/>
    </row>
    <row r="5426">
      <c r="A5426" s="6" t="n">
        <v>882319</v>
      </c>
      <c r="B5426" s="6" t="inlineStr">
        <is>
          <t>CARLO ROSSI PINK MOSCATO SANGRIA</t>
        </is>
      </c>
      <c r="C5426" s="7">
        <f>VLOOKUP(A5426,SizeData!A$2:B$3839,2,FALSE)</f>
        <v/>
      </c>
      <c r="D5426" s="6" t="n">
        <v>1</v>
      </c>
      <c r="E5426" s="6" t="inlineStr">
        <is>
          <t>R1109607</t>
        </is>
      </c>
      <c r="F5426" s="2" t="n">
        <v>44317</v>
      </c>
      <c r="G5426" s="1" t="n"/>
    </row>
    <row r="5427">
      <c r="A5427" s="6" t="n">
        <v>882319</v>
      </c>
      <c r="B5427" s="6" t="inlineStr">
        <is>
          <t>CARLO ROSSI PINK MOSCATO SANGRIA</t>
        </is>
      </c>
      <c r="C5427" s="7">
        <f>VLOOKUP(A5427,SizeData!A$2:B$3839,2,FALSE)</f>
        <v/>
      </c>
      <c r="D5427" s="6" t="n">
        <v>0</v>
      </c>
      <c r="E5427" s="6" t="inlineStr">
        <is>
          <t>R1286225</t>
        </is>
      </c>
      <c r="F5427" s="2" t="n">
        <v>44478</v>
      </c>
      <c r="G5427" s="1" t="n"/>
    </row>
    <row r="5428">
      <c r="A5428" s="6" t="n">
        <v>882319</v>
      </c>
      <c r="B5428" s="6" t="inlineStr">
        <is>
          <t>CARLO ROSSI PINK MOSCATO SANGRIA</t>
        </is>
      </c>
      <c r="C5428" s="7">
        <f>VLOOKUP(A5428,SizeData!A$2:B$3839,2,FALSE)</f>
        <v/>
      </c>
      <c r="D5428" s="6" t="n">
        <v>2</v>
      </c>
      <c r="E5428" s="6" t="inlineStr">
        <is>
          <t>R1306125</t>
        </is>
      </c>
      <c r="F5428" s="2" t="n">
        <v>44495</v>
      </c>
      <c r="G5428" s="1" t="n"/>
    </row>
    <row r="5429">
      <c r="A5429" s="6" t="n">
        <v>882319</v>
      </c>
      <c r="B5429" s="6" t="inlineStr">
        <is>
          <t>CARLO ROSSI PINK MOSCATO SANGRIA</t>
        </is>
      </c>
      <c r="C5429" s="7">
        <f>VLOOKUP(A5429,SizeData!A$2:B$3839,2,FALSE)</f>
        <v/>
      </c>
      <c r="D5429" s="6" t="n">
        <v>2</v>
      </c>
      <c r="E5429" s="6" t="inlineStr">
        <is>
          <t>R1318952</t>
        </is>
      </c>
      <c r="F5429" s="2" t="n">
        <v>44516</v>
      </c>
      <c r="G5429" s="1" t="n"/>
    </row>
    <row r="5430">
      <c r="A5430" s="6" t="n">
        <v>882321</v>
      </c>
      <c r="B5430" s="6" t="inlineStr">
        <is>
          <t>CARLO ROSSI PINK MOSCATO SANGRIA</t>
        </is>
      </c>
      <c r="C5430" s="7">
        <f>VLOOKUP(A5430,SizeData!A$2:B$3839,2,FALSE)</f>
        <v/>
      </c>
      <c r="D5430" s="6" t="n">
        <v>3</v>
      </c>
      <c r="E5430" s="6" t="inlineStr">
        <is>
          <t>R1055142</t>
        </is>
      </c>
      <c r="F5430" s="2" t="n">
        <v>44257</v>
      </c>
      <c r="G5430" s="1" t="n"/>
    </row>
    <row r="5431">
      <c r="A5431" s="6" t="n">
        <v>882321</v>
      </c>
      <c r="B5431" s="6" t="inlineStr">
        <is>
          <t>CARLO ROSSI PINK MOSCATO SANGRIA</t>
        </is>
      </c>
      <c r="C5431" s="7">
        <f>VLOOKUP(A5431,SizeData!A$2:B$3839,2,FALSE)</f>
        <v/>
      </c>
      <c r="D5431" s="6" t="n">
        <v>2</v>
      </c>
      <c r="E5431" s="6" t="inlineStr">
        <is>
          <t>R1047061</t>
        </is>
      </c>
      <c r="F5431" s="2" t="n">
        <v>44259</v>
      </c>
      <c r="G5431" s="1" t="n"/>
    </row>
    <row r="5432">
      <c r="A5432" s="6" t="n">
        <v>882321</v>
      </c>
      <c r="B5432" s="6" t="inlineStr">
        <is>
          <t>CARLO ROSSI PINK MOSCATO SANGRIA</t>
        </is>
      </c>
      <c r="C5432" s="7">
        <f>VLOOKUP(A5432,SizeData!A$2:B$3839,2,FALSE)</f>
        <v/>
      </c>
      <c r="D5432" s="6" t="n">
        <v>1</v>
      </c>
      <c r="E5432" s="6" t="inlineStr">
        <is>
          <t>R1079679</t>
        </is>
      </c>
      <c r="F5432" s="2" t="n">
        <v>44300</v>
      </c>
      <c r="G5432" s="1" t="n"/>
    </row>
    <row r="5433">
      <c r="A5433" s="6" t="n">
        <v>882321</v>
      </c>
      <c r="B5433" s="6" t="inlineStr">
        <is>
          <t>CARLO ROSSI PINK MOSCATO SANGRIA</t>
        </is>
      </c>
      <c r="C5433" s="7">
        <f>VLOOKUP(A5433,SizeData!A$2:B$3839,2,FALSE)</f>
        <v/>
      </c>
      <c r="D5433" s="6" t="n">
        <v>1</v>
      </c>
      <c r="E5433" s="6" t="inlineStr">
        <is>
          <t>R1119380</t>
        </is>
      </c>
      <c r="F5433" s="2" t="n">
        <v>44338</v>
      </c>
      <c r="G5433" s="1" t="n"/>
    </row>
    <row r="5434">
      <c r="A5434" s="6" t="n">
        <v>882321</v>
      </c>
      <c r="B5434" s="6" t="inlineStr">
        <is>
          <t>CARLO ROSSI PINK MOSCATO SANGRIA</t>
        </is>
      </c>
      <c r="C5434" s="7">
        <f>VLOOKUP(A5434,SizeData!A$2:B$3839,2,FALSE)</f>
        <v/>
      </c>
      <c r="D5434" s="6" t="n">
        <v>1</v>
      </c>
      <c r="E5434" s="6" t="inlineStr">
        <is>
          <t>R1129655</t>
        </is>
      </c>
      <c r="F5434" s="2" t="n">
        <v>44347</v>
      </c>
      <c r="G5434" s="1" t="n"/>
    </row>
    <row r="5435">
      <c r="A5435" s="6" t="n">
        <v>882321</v>
      </c>
      <c r="B5435" s="6" t="inlineStr">
        <is>
          <t>CARLO ROSSI PINK MOSCATO SANGRIA</t>
        </is>
      </c>
      <c r="C5435" s="7">
        <f>VLOOKUP(A5435,SizeData!A$2:B$3839,2,FALSE)</f>
        <v/>
      </c>
      <c r="D5435" s="6" t="n">
        <v>1</v>
      </c>
      <c r="E5435" s="6" t="inlineStr">
        <is>
          <t>R1161479</t>
        </is>
      </c>
      <c r="F5435" s="2" t="n">
        <v>44373</v>
      </c>
      <c r="G5435" s="1" t="n"/>
    </row>
    <row r="5436">
      <c r="A5436" s="6" t="n">
        <v>882321</v>
      </c>
      <c r="B5436" s="6" t="inlineStr">
        <is>
          <t>CARLO ROSSI PINK MOSCATO SANGRIA</t>
        </is>
      </c>
      <c r="C5436" s="7">
        <f>VLOOKUP(A5436,SizeData!A$2:B$3839,2,FALSE)</f>
        <v/>
      </c>
      <c r="D5436" s="6" t="n">
        <v>1</v>
      </c>
      <c r="E5436" s="6" t="inlineStr">
        <is>
          <t>R1218514</t>
        </is>
      </c>
      <c r="F5436" s="2" t="n">
        <v>44432</v>
      </c>
      <c r="G5436" s="1" t="n"/>
    </row>
    <row r="5437">
      <c r="A5437" s="6" t="n">
        <v>882321</v>
      </c>
      <c r="B5437" s="6" t="inlineStr">
        <is>
          <t>CARLO ROSSI PINK MOSCATO SANGRIA</t>
        </is>
      </c>
      <c r="C5437" s="7">
        <f>VLOOKUP(A5437,SizeData!A$2:B$3839,2,FALSE)</f>
        <v/>
      </c>
      <c r="D5437" s="6" t="n">
        <v>1</v>
      </c>
      <c r="E5437" s="6" t="inlineStr">
        <is>
          <t>R1267530</t>
        </is>
      </c>
      <c r="F5437" s="2" t="n">
        <v>44470</v>
      </c>
      <c r="G5437" s="1" t="n"/>
    </row>
    <row r="5438">
      <c r="A5438" s="6" t="n">
        <v>882321</v>
      </c>
      <c r="B5438" s="6" t="inlineStr">
        <is>
          <t>CARLO ROSSI PINK MOSCATO SANGRIA</t>
        </is>
      </c>
      <c r="C5438" s="7">
        <f>VLOOKUP(A5438,SizeData!A$2:B$3839,2,FALSE)</f>
        <v/>
      </c>
      <c r="D5438" s="6" t="n">
        <v>0</v>
      </c>
      <c r="E5438" s="6" t="inlineStr">
        <is>
          <t>R1277647</t>
        </is>
      </c>
      <c r="F5438" s="2" t="n">
        <v>44484</v>
      </c>
      <c r="G5438" s="1" t="n"/>
    </row>
    <row r="5439">
      <c r="A5439" s="6" t="n">
        <v>882321</v>
      </c>
      <c r="B5439" s="6" t="inlineStr">
        <is>
          <t>CARLO ROSSI PINK MOSCATO SANGRIA</t>
        </is>
      </c>
      <c r="C5439" s="7">
        <f>VLOOKUP(A5439,SizeData!A$2:B$3839,2,FALSE)</f>
        <v/>
      </c>
      <c r="D5439" s="6" t="n">
        <v>0</v>
      </c>
      <c r="E5439" s="6" t="inlineStr">
        <is>
          <t>R1306125</t>
        </is>
      </c>
      <c r="F5439" s="2" t="n">
        <v>44495</v>
      </c>
      <c r="G5439" s="1" t="n"/>
    </row>
    <row r="5440">
      <c r="A5440" s="6" t="n">
        <v>882322</v>
      </c>
      <c r="B5440" s="6" t="inlineStr">
        <is>
          <t>CARLO ROSSI PINEAPPLE SANGRIA</t>
        </is>
      </c>
      <c r="C5440" s="7">
        <f>VLOOKUP(A5440,SizeData!A$2:B$3839,2,FALSE)</f>
        <v/>
      </c>
      <c r="D5440" s="6" t="n">
        <v>2</v>
      </c>
      <c r="E5440" s="6" t="inlineStr">
        <is>
          <t>R992402</t>
        </is>
      </c>
      <c r="F5440" s="2" t="n">
        <v>44198</v>
      </c>
      <c r="G5440" s="1" t="n"/>
    </row>
    <row r="5441">
      <c r="A5441" s="6" t="n">
        <v>882322</v>
      </c>
      <c r="B5441" s="6" t="inlineStr">
        <is>
          <t>CARLO ROSSI PINEAPPLE SANGRIA</t>
        </is>
      </c>
      <c r="C5441" s="7">
        <f>VLOOKUP(A5441,SizeData!A$2:B$3839,2,FALSE)</f>
        <v/>
      </c>
      <c r="D5441" s="6" t="n">
        <v>1</v>
      </c>
      <c r="E5441" s="6" t="inlineStr">
        <is>
          <t>R997526</t>
        </is>
      </c>
      <c r="F5441" s="2" t="n">
        <v>44204</v>
      </c>
      <c r="G5441" s="1" t="n"/>
    </row>
    <row r="5442">
      <c r="A5442" s="6" t="n">
        <v>882322</v>
      </c>
      <c r="B5442" s="6" t="inlineStr">
        <is>
          <t>CARLO ROSSI PINEAPPLE SANGRIA</t>
        </is>
      </c>
      <c r="C5442" s="7">
        <f>VLOOKUP(A5442,SizeData!A$2:B$3839,2,FALSE)</f>
        <v/>
      </c>
      <c r="D5442" s="6" t="n">
        <v>1</v>
      </c>
      <c r="E5442" s="6" t="inlineStr">
        <is>
          <t>R993624</t>
        </is>
      </c>
      <c r="F5442" s="2" t="n">
        <v>44206</v>
      </c>
      <c r="G5442" s="1" t="n"/>
    </row>
    <row r="5443">
      <c r="A5443" s="6" t="n">
        <v>882322</v>
      </c>
      <c r="B5443" s="6" t="inlineStr">
        <is>
          <t>CARLO ROSSI PINEAPPLE SANGRIA</t>
        </is>
      </c>
      <c r="C5443" s="7">
        <f>VLOOKUP(A5443,SizeData!A$2:B$3839,2,FALSE)</f>
        <v/>
      </c>
      <c r="D5443" s="6" t="n">
        <v>10</v>
      </c>
      <c r="E5443" s="6" t="inlineStr">
        <is>
          <t>R1013727</t>
        </is>
      </c>
      <c r="F5443" s="2" t="n">
        <v>44229</v>
      </c>
      <c r="G5443" s="1" t="n"/>
    </row>
    <row r="5444">
      <c r="A5444" s="6" t="n">
        <v>882322</v>
      </c>
      <c r="B5444" s="6" t="inlineStr">
        <is>
          <t>CARLO ROSSI PINEAPPLE SANGRIA</t>
        </is>
      </c>
      <c r="C5444" s="7">
        <f>VLOOKUP(A5444,SizeData!A$2:B$3839,2,FALSE)</f>
        <v/>
      </c>
      <c r="D5444" s="6" t="n">
        <v>3</v>
      </c>
      <c r="E5444" s="6" t="inlineStr">
        <is>
          <t>R1047061</t>
        </is>
      </c>
      <c r="F5444" s="2" t="n">
        <v>44259</v>
      </c>
      <c r="G5444" s="1" t="n"/>
    </row>
    <row r="5445">
      <c r="A5445" s="6" t="n">
        <v>882322</v>
      </c>
      <c r="B5445" s="6" t="inlineStr">
        <is>
          <t>CARLO ROSSI PINEAPPLE SANGRIA</t>
        </is>
      </c>
      <c r="C5445" s="7">
        <f>VLOOKUP(A5445,SizeData!A$2:B$3839,2,FALSE)</f>
        <v/>
      </c>
      <c r="D5445" s="6" t="n">
        <v>5</v>
      </c>
      <c r="E5445" s="6" t="inlineStr">
        <is>
          <t>R1071489</t>
        </is>
      </c>
      <c r="F5445" s="2" t="n">
        <v>44281</v>
      </c>
      <c r="G5445" s="1" t="n"/>
    </row>
    <row r="5446">
      <c r="A5446" s="6" t="n">
        <v>882322</v>
      </c>
      <c r="B5446" s="6" t="inlineStr">
        <is>
          <t>CARLO ROSSI PINEAPPLE SANGRIA</t>
        </is>
      </c>
      <c r="C5446" s="7">
        <f>VLOOKUP(A5446,SizeData!A$2:B$3839,2,FALSE)</f>
        <v/>
      </c>
      <c r="D5446" s="6" t="n">
        <v>4</v>
      </c>
      <c r="E5446" s="6" t="inlineStr">
        <is>
          <t>R1106414</t>
        </is>
      </c>
      <c r="F5446" s="2" t="n">
        <v>44307</v>
      </c>
      <c r="G5446" s="1" t="n"/>
    </row>
    <row r="5447">
      <c r="A5447" s="6" t="n">
        <v>882322</v>
      </c>
      <c r="B5447" s="6" t="inlineStr">
        <is>
          <t>CARLO ROSSI PINEAPPLE SANGRIA</t>
        </is>
      </c>
      <c r="C5447" s="7">
        <f>VLOOKUP(A5447,SizeData!A$2:B$3839,2,FALSE)</f>
        <v/>
      </c>
      <c r="D5447" s="6" t="n">
        <v>2</v>
      </c>
      <c r="E5447" s="6" t="inlineStr">
        <is>
          <t>R1116842</t>
        </is>
      </c>
      <c r="F5447" s="2" t="n">
        <v>44324</v>
      </c>
      <c r="G5447" s="1" t="n"/>
    </row>
    <row r="5448">
      <c r="A5448" s="6" t="n">
        <v>882322</v>
      </c>
      <c r="B5448" s="6" t="inlineStr">
        <is>
          <t>CARLO ROSSI PINEAPPLE SANGRIA</t>
        </is>
      </c>
      <c r="C5448" s="7">
        <f>VLOOKUP(A5448,SizeData!A$2:B$3839,2,FALSE)</f>
        <v/>
      </c>
      <c r="D5448" s="6" t="n">
        <v>1</v>
      </c>
      <c r="E5448" s="6" t="inlineStr">
        <is>
          <t>R1122021</t>
        </is>
      </c>
      <c r="F5448" s="2" t="n">
        <v>44328</v>
      </c>
      <c r="G5448" s="1" t="n"/>
    </row>
    <row r="5449">
      <c r="A5449" s="6" t="n">
        <v>882322</v>
      </c>
      <c r="B5449" s="6" t="inlineStr">
        <is>
          <t>CARLO ROSSI PINEAPPLE SANGRIA</t>
        </is>
      </c>
      <c r="C5449" s="7">
        <f>VLOOKUP(A5449,SizeData!A$2:B$3839,2,FALSE)</f>
        <v/>
      </c>
      <c r="D5449" s="6" t="n">
        <v>3</v>
      </c>
      <c r="E5449" s="6" t="inlineStr">
        <is>
          <t>R1122623</t>
        </is>
      </c>
      <c r="F5449" s="2" t="n">
        <v>44331</v>
      </c>
      <c r="G5449" s="1" t="n"/>
    </row>
    <row r="5450">
      <c r="A5450" s="6" t="n">
        <v>882322</v>
      </c>
      <c r="B5450" s="6" t="inlineStr">
        <is>
          <t>CARLO ROSSI PINEAPPLE SANGRIA</t>
        </is>
      </c>
      <c r="C5450" s="7">
        <f>VLOOKUP(A5450,SizeData!A$2:B$3839,2,FALSE)</f>
        <v/>
      </c>
      <c r="D5450" s="6" t="n">
        <v>1</v>
      </c>
      <c r="E5450" s="6" t="inlineStr">
        <is>
          <t>R1135580</t>
        </is>
      </c>
      <c r="F5450" s="2" t="n">
        <v>44340</v>
      </c>
      <c r="G5450" s="1" t="n"/>
    </row>
    <row r="5451">
      <c r="A5451" s="6" t="n">
        <v>882322</v>
      </c>
      <c r="B5451" s="6" t="inlineStr">
        <is>
          <t>CARLO ROSSI PINEAPPLE SANGRIA</t>
        </is>
      </c>
      <c r="C5451" s="7">
        <f>VLOOKUP(A5451,SizeData!A$2:B$3839,2,FALSE)</f>
        <v/>
      </c>
      <c r="D5451" s="6" t="n">
        <v>2</v>
      </c>
      <c r="E5451" s="6" t="inlineStr">
        <is>
          <t>R1148371</t>
        </is>
      </c>
      <c r="F5451" s="2" t="n">
        <v>44365</v>
      </c>
      <c r="G5451" s="1" t="n"/>
    </row>
    <row r="5452">
      <c r="A5452" s="6" t="n">
        <v>882322</v>
      </c>
      <c r="B5452" s="6" t="inlineStr">
        <is>
          <t>CARLO ROSSI PINEAPPLE SANGRIA</t>
        </is>
      </c>
      <c r="C5452" s="7">
        <f>VLOOKUP(A5452,SizeData!A$2:B$3839,2,FALSE)</f>
        <v/>
      </c>
      <c r="D5452" s="6" t="n">
        <v>2</v>
      </c>
      <c r="E5452" s="6" t="inlineStr">
        <is>
          <t xml:space="preserve"> R1150889</t>
        </is>
      </c>
      <c r="F5452" s="2" t="n">
        <v>44368</v>
      </c>
      <c r="G5452" s="1" t="n"/>
    </row>
    <row r="5453">
      <c r="A5453" s="6" t="n">
        <v>882322</v>
      </c>
      <c r="B5453" s="6" t="inlineStr">
        <is>
          <t>CARLO ROSSI PINEAPPLE SANGRIA</t>
        </is>
      </c>
      <c r="C5453" s="7">
        <f>VLOOKUP(A5453,SizeData!A$2:B$3839,2,FALSE)</f>
        <v/>
      </c>
      <c r="D5453" s="6" t="n">
        <v>1</v>
      </c>
      <c r="E5453" s="6" t="inlineStr">
        <is>
          <t>R1192063</t>
        </is>
      </c>
      <c r="F5453" s="2" t="n">
        <v>44408</v>
      </c>
      <c r="G5453" s="1" t="n"/>
    </row>
    <row r="5454">
      <c r="A5454" s="6" t="n">
        <v>882322</v>
      </c>
      <c r="B5454" s="6" t="inlineStr">
        <is>
          <t>CARLO ROSSI PINEAPPLE SANGRIA</t>
        </is>
      </c>
      <c r="C5454" s="7">
        <f>VLOOKUP(A5454,SizeData!A$2:B$3839,2,FALSE)</f>
        <v/>
      </c>
      <c r="D5454" s="6" t="n">
        <v>3</v>
      </c>
      <c r="E5454" s="6" t="inlineStr">
        <is>
          <t>R1197185</t>
        </is>
      </c>
      <c r="F5454" s="2" t="n">
        <v>44412</v>
      </c>
      <c r="G5454" s="1" t="n"/>
    </row>
    <row r="5455">
      <c r="A5455" s="6" t="n">
        <v>882322</v>
      </c>
      <c r="B5455" s="6" t="inlineStr">
        <is>
          <t>CARLO ROSSI PINEAPPLE SANGRIA</t>
        </is>
      </c>
      <c r="C5455" s="7">
        <f>VLOOKUP(A5455,SizeData!A$2:B$3839,2,FALSE)</f>
        <v/>
      </c>
      <c r="D5455" s="6" t="n">
        <v>2</v>
      </c>
      <c r="E5455" s="6" t="inlineStr">
        <is>
          <t>R1203013</t>
        </is>
      </c>
      <c r="F5455" s="2" t="n">
        <v>44413</v>
      </c>
      <c r="G5455" s="1" t="n"/>
    </row>
    <row r="5456">
      <c r="A5456" s="6" t="n">
        <v>882322</v>
      </c>
      <c r="B5456" s="6" t="inlineStr">
        <is>
          <t>CARLO ROSSI PINEAPPLE SANGRIA</t>
        </is>
      </c>
      <c r="C5456" s="7">
        <f>VLOOKUP(A5456,SizeData!A$2:B$3839,2,FALSE)</f>
        <v/>
      </c>
      <c r="D5456" s="6" t="n">
        <v>3</v>
      </c>
      <c r="E5456" s="6" t="inlineStr">
        <is>
          <t xml:space="preserve"> R1264833</t>
        </is>
      </c>
      <c r="F5456" s="2" t="n">
        <v>44471</v>
      </c>
      <c r="G5456" s="1" t="n"/>
    </row>
    <row r="5457">
      <c r="A5457" s="6" t="n">
        <v>882322</v>
      </c>
      <c r="B5457" s="6" t="inlineStr">
        <is>
          <t>CARLO ROSSI PINEAPPLE SANGRIA</t>
        </is>
      </c>
      <c r="C5457" s="7">
        <f>VLOOKUP(A5457,SizeData!A$2:B$3839,2,FALSE)</f>
        <v/>
      </c>
      <c r="D5457" s="6" t="n">
        <v>2</v>
      </c>
      <c r="E5457" s="6" t="inlineStr">
        <is>
          <t>R1286225</t>
        </is>
      </c>
      <c r="F5457" s="2" t="n">
        <v>44478</v>
      </c>
      <c r="G5457" s="1" t="n"/>
    </row>
    <row r="5458">
      <c r="A5458" s="6" t="n">
        <v>882322</v>
      </c>
      <c r="B5458" s="6" t="inlineStr">
        <is>
          <t>CARLO ROSSI PINEAPPLE SANGRIA</t>
        </is>
      </c>
      <c r="C5458" s="7">
        <f>VLOOKUP(A5458,SizeData!A$2:B$3839,2,FALSE)</f>
        <v/>
      </c>
      <c r="D5458" s="6" t="n">
        <v>1</v>
      </c>
      <c r="E5458" s="6" t="inlineStr">
        <is>
          <t>R1278415</t>
        </is>
      </c>
      <c r="F5458" s="2" t="n">
        <v>44481</v>
      </c>
      <c r="G5458" s="1" t="n"/>
    </row>
    <row r="5459">
      <c r="A5459" s="6" t="n">
        <v>882322</v>
      </c>
      <c r="B5459" s="6" t="inlineStr">
        <is>
          <t>CARLO ROSSI PINEAPPLE SANGRIA</t>
        </is>
      </c>
      <c r="C5459" s="7">
        <f>VLOOKUP(A5459,SizeData!A$2:B$3839,2,FALSE)</f>
        <v/>
      </c>
      <c r="D5459" s="6" t="n">
        <v>3</v>
      </c>
      <c r="E5459" s="6" t="inlineStr">
        <is>
          <t>R1308140</t>
        </is>
      </c>
      <c r="F5459" s="2" t="n">
        <v>44503</v>
      </c>
      <c r="G5459" s="1" t="n"/>
    </row>
    <row r="5460">
      <c r="A5460" s="6" t="n">
        <v>882322</v>
      </c>
      <c r="B5460" s="6" t="inlineStr">
        <is>
          <t>CARLO ROSSI PINEAPPLE SANGRIA</t>
        </is>
      </c>
      <c r="C5460" s="7">
        <f>VLOOKUP(A5460,SizeData!A$2:B$3839,2,FALSE)</f>
        <v/>
      </c>
      <c r="D5460" s="6" t="n">
        <v>4</v>
      </c>
      <c r="E5460" s="6" t="inlineStr">
        <is>
          <t>R1333539</t>
        </is>
      </c>
      <c r="F5460" s="2" t="n">
        <v>44527</v>
      </c>
      <c r="G5460" s="1" t="n"/>
    </row>
    <row r="5461">
      <c r="A5461" s="6" t="n">
        <v>882325</v>
      </c>
      <c r="B5461" s="6" t="inlineStr">
        <is>
          <t>CARLO ROSSI WATERMELON SANGRIA</t>
        </is>
      </c>
      <c r="C5461" s="7">
        <f>VLOOKUP(A5461,SizeData!A$2:B$3839,2,FALSE)</f>
        <v/>
      </c>
      <c r="D5461" s="6" t="n">
        <v>3</v>
      </c>
      <c r="E5461" s="6" t="inlineStr">
        <is>
          <t>R1103097</t>
        </is>
      </c>
      <c r="F5461" s="2" t="n">
        <v>44320</v>
      </c>
      <c r="G5461" s="1" t="n"/>
    </row>
    <row r="5462">
      <c r="A5462" s="6" t="n">
        <v>882325</v>
      </c>
      <c r="B5462" s="6" t="inlineStr">
        <is>
          <t>CARLO ROSSI WATERMELON SANGRIA</t>
        </is>
      </c>
      <c r="C5462" s="7">
        <f>VLOOKUP(A5462,SizeData!A$2:B$3839,2,FALSE)</f>
        <v/>
      </c>
      <c r="D5462" s="6" t="n">
        <v>2</v>
      </c>
      <c r="E5462" s="6" t="inlineStr">
        <is>
          <t>R1112663</t>
        </is>
      </c>
      <c r="F5462" s="2" t="n">
        <v>44324</v>
      </c>
      <c r="G5462" s="1" t="n"/>
    </row>
    <row r="5463">
      <c r="A5463" s="6" t="n">
        <v>882325</v>
      </c>
      <c r="B5463" s="6" t="inlineStr">
        <is>
          <t>CARLO ROSSI WATERMELON SANGRIA</t>
        </is>
      </c>
      <c r="C5463" s="7">
        <f>VLOOKUP(A5463,SizeData!A$2:B$3839,2,FALSE)</f>
        <v/>
      </c>
      <c r="D5463" s="6" t="n">
        <v>1</v>
      </c>
      <c r="E5463" s="6" t="inlineStr">
        <is>
          <t>R1122021</t>
        </is>
      </c>
      <c r="F5463" s="2" t="n">
        <v>44328</v>
      </c>
      <c r="G5463" s="1" t="n"/>
    </row>
    <row r="5464">
      <c r="A5464" s="6" t="n">
        <v>882325</v>
      </c>
      <c r="B5464" s="6" t="inlineStr">
        <is>
          <t>CARLO ROSSI WATERMELON SANGRIA</t>
        </is>
      </c>
      <c r="C5464" s="7">
        <f>VLOOKUP(A5464,SizeData!A$2:B$3839,2,FALSE)</f>
        <v/>
      </c>
      <c r="D5464" s="6" t="n">
        <v>1</v>
      </c>
      <c r="E5464" s="6" t="inlineStr">
        <is>
          <t>R1121370</t>
        </is>
      </c>
      <c r="F5464" s="2" t="n">
        <v>44331</v>
      </c>
      <c r="G5464" s="1" t="n"/>
    </row>
    <row r="5465">
      <c r="A5465" s="6" t="n">
        <v>882325</v>
      </c>
      <c r="B5465" s="6" t="inlineStr">
        <is>
          <t>CARLO ROSSI WATERMELON SANGRIA</t>
        </is>
      </c>
      <c r="C5465" s="7">
        <f>VLOOKUP(A5465,SizeData!A$2:B$3839,2,FALSE)</f>
        <v/>
      </c>
      <c r="D5465" s="6" t="n">
        <v>1</v>
      </c>
      <c r="E5465" s="6" t="inlineStr">
        <is>
          <t>R1114354</t>
        </is>
      </c>
      <c r="F5465" s="2" t="n">
        <v>44334</v>
      </c>
      <c r="G5465" s="1" t="n"/>
    </row>
    <row r="5466">
      <c r="A5466" s="6" t="n">
        <v>882325</v>
      </c>
      <c r="B5466" s="6" t="inlineStr">
        <is>
          <t>CARLO ROSSI WATERMELON SANGRIA</t>
        </is>
      </c>
      <c r="C5466" s="7">
        <f>VLOOKUP(A5466,SizeData!A$2:B$3839,2,FALSE)</f>
        <v/>
      </c>
      <c r="D5466" s="6" t="n">
        <v>8</v>
      </c>
      <c r="E5466" s="6" t="inlineStr">
        <is>
          <t xml:space="preserve"> R1131152</t>
        </is>
      </c>
      <c r="F5466" s="2" t="n">
        <v>44340</v>
      </c>
      <c r="G5466" s="1" t="n"/>
    </row>
    <row r="5467">
      <c r="A5467" s="6" t="n">
        <v>882325</v>
      </c>
      <c r="B5467" s="6" t="inlineStr">
        <is>
          <t>CARLO ROSSI WATERMELON SANGRIA</t>
        </is>
      </c>
      <c r="C5467" s="7">
        <f>VLOOKUP(A5467,SizeData!A$2:B$3839,2,FALSE)</f>
        <v/>
      </c>
      <c r="D5467" s="6" t="n">
        <v>3</v>
      </c>
      <c r="E5467" s="6" t="inlineStr">
        <is>
          <t xml:space="preserve"> R1138813</t>
        </is>
      </c>
      <c r="F5467" s="2" t="n">
        <v>44348</v>
      </c>
      <c r="G5467" s="1" t="n"/>
    </row>
    <row r="5468">
      <c r="A5468" s="6" t="n">
        <v>882325</v>
      </c>
      <c r="B5468" s="6" t="inlineStr">
        <is>
          <t>CARLO ROSSI WATERMELON SANGRIA</t>
        </is>
      </c>
      <c r="C5468" s="7">
        <f>VLOOKUP(A5468,SizeData!A$2:B$3839,2,FALSE)</f>
        <v/>
      </c>
      <c r="D5468" s="6" t="n">
        <v>1</v>
      </c>
      <c r="E5468" s="6" t="inlineStr">
        <is>
          <t>R1171117</t>
        </is>
      </c>
      <c r="F5468" s="2" t="n">
        <v>44382</v>
      </c>
      <c r="G5468" s="1" t="n"/>
    </row>
    <row r="5469">
      <c r="A5469" s="6" t="n">
        <v>882325</v>
      </c>
      <c r="B5469" s="6" t="inlineStr">
        <is>
          <t>CARLO ROSSI WATERMELON SANGRIA</t>
        </is>
      </c>
      <c r="C5469" s="7">
        <f>VLOOKUP(A5469,SizeData!A$2:B$3839,2,FALSE)</f>
        <v/>
      </c>
      <c r="D5469" s="6" t="n">
        <v>4</v>
      </c>
      <c r="E5469" s="6" t="inlineStr">
        <is>
          <t>R1187907</t>
        </is>
      </c>
      <c r="F5469" s="2" t="n">
        <v>44401</v>
      </c>
      <c r="G5469" s="1" t="n"/>
    </row>
    <row r="5470">
      <c r="A5470" s="6" t="n">
        <v>882325</v>
      </c>
      <c r="B5470" s="6" t="inlineStr">
        <is>
          <t>CARLO ROSSI WATERMELON SANGRIA</t>
        </is>
      </c>
      <c r="C5470" s="7">
        <f>VLOOKUP(A5470,SizeData!A$2:B$3839,2,FALSE)</f>
        <v/>
      </c>
      <c r="D5470" s="6" t="n">
        <v>2</v>
      </c>
      <c r="E5470" s="6" t="inlineStr">
        <is>
          <t>R1224208</t>
        </is>
      </c>
      <c r="F5470" s="2" t="n">
        <v>44436</v>
      </c>
      <c r="G5470" s="1" t="n"/>
    </row>
    <row r="5471">
      <c r="A5471" s="6" t="n">
        <v>882325</v>
      </c>
      <c r="B5471" s="6" t="inlineStr">
        <is>
          <t>CARLO ROSSI WATERMELON SANGRIA</t>
        </is>
      </c>
      <c r="C5471" s="7">
        <f>VLOOKUP(A5471,SizeData!A$2:B$3839,2,FALSE)</f>
        <v/>
      </c>
      <c r="D5471" s="6" t="n">
        <v>1</v>
      </c>
      <c r="E5471" s="6" t="inlineStr">
        <is>
          <t>R1231673</t>
        </is>
      </c>
      <c r="F5471" s="2" t="n">
        <v>44443</v>
      </c>
      <c r="G5471" s="1" t="n"/>
    </row>
    <row r="5472">
      <c r="A5472" s="6" t="n">
        <v>882325</v>
      </c>
      <c r="B5472" s="6" t="inlineStr">
        <is>
          <t>CARLO ROSSI WATERMELON SANGRIA</t>
        </is>
      </c>
      <c r="C5472" s="7">
        <f>VLOOKUP(A5472,SizeData!A$2:B$3839,2,FALSE)</f>
        <v/>
      </c>
      <c r="D5472" s="6" t="n">
        <v>2</v>
      </c>
      <c r="E5472" s="6" t="inlineStr">
        <is>
          <t>R1233531</t>
        </is>
      </c>
      <c r="F5472" s="2" t="n">
        <v>44450</v>
      </c>
      <c r="G5472" s="1" t="n"/>
    </row>
    <row r="5473">
      <c r="A5473" s="6" t="n">
        <v>882325</v>
      </c>
      <c r="B5473" s="6" t="inlineStr">
        <is>
          <t>CARLO ROSSI WATERMELON SANGRIA</t>
        </is>
      </c>
      <c r="C5473" s="7">
        <f>VLOOKUP(A5473,SizeData!A$2:B$3839,2,FALSE)</f>
        <v/>
      </c>
      <c r="D5473" s="6" t="n">
        <v>1</v>
      </c>
      <c r="E5473" s="6" t="inlineStr">
        <is>
          <t>R1260244</t>
        </is>
      </c>
      <c r="F5473" s="2" t="n">
        <v>44457</v>
      </c>
      <c r="G5473" s="1" t="n"/>
    </row>
    <row r="5474">
      <c r="A5474" s="6" t="n">
        <v>882325</v>
      </c>
      <c r="B5474" s="6" t="inlineStr">
        <is>
          <t>CARLO ROSSI WATERMELON SANGRIA</t>
        </is>
      </c>
      <c r="C5474" s="7">
        <f>VLOOKUP(A5474,SizeData!A$2:B$3839,2,FALSE)</f>
        <v/>
      </c>
      <c r="D5474" s="6" t="n">
        <v>2</v>
      </c>
      <c r="E5474" s="6" t="inlineStr">
        <is>
          <t xml:space="preserve"> R1264833</t>
        </is>
      </c>
      <c r="F5474" s="2" t="n">
        <v>44471</v>
      </c>
      <c r="G5474" s="1" t="n"/>
    </row>
    <row r="5475">
      <c r="A5475" s="6" t="n">
        <v>882325</v>
      </c>
      <c r="B5475" s="6" t="inlineStr">
        <is>
          <t>CARLO ROSSI WATERMELON SANGRIA</t>
        </is>
      </c>
      <c r="C5475" s="7">
        <f>VLOOKUP(A5475,SizeData!A$2:B$3839,2,FALSE)</f>
        <v/>
      </c>
      <c r="D5475" s="6" t="n">
        <v>2</v>
      </c>
      <c r="E5475" s="6" t="inlineStr">
        <is>
          <t>R1264756</t>
        </is>
      </c>
      <c r="F5475" s="2" t="n">
        <v>44472</v>
      </c>
      <c r="G5475" s="1" t="n"/>
    </row>
    <row r="5476">
      <c r="A5476" s="6" t="n">
        <v>882325</v>
      </c>
      <c r="B5476" s="6" t="inlineStr">
        <is>
          <t>CARLO ROSSI WATERMELON SANGRIA</t>
        </is>
      </c>
      <c r="C5476" s="7">
        <f>VLOOKUP(A5476,SizeData!A$2:B$3839,2,FALSE)</f>
        <v/>
      </c>
      <c r="D5476" s="6" t="n">
        <v>4</v>
      </c>
      <c r="E5476" s="6" t="inlineStr">
        <is>
          <t>R1308140</t>
        </is>
      </c>
      <c r="F5476" s="2" t="n">
        <v>44503</v>
      </c>
      <c r="G5476" s="1" t="n"/>
    </row>
    <row r="5477">
      <c r="A5477" s="6" t="n">
        <v>882325</v>
      </c>
      <c r="B5477" s="6" t="inlineStr">
        <is>
          <t>CARLO ROSSI WATERMELON SANGRIA</t>
        </is>
      </c>
      <c r="C5477" s="7">
        <f>VLOOKUP(A5477,SizeData!A$2:B$3839,2,FALSE)</f>
        <v/>
      </c>
      <c r="D5477" s="6" t="n">
        <v>3</v>
      </c>
      <c r="E5477" s="6" t="inlineStr">
        <is>
          <t>R1329660</t>
        </is>
      </c>
      <c r="F5477" s="2" t="n">
        <v>44525</v>
      </c>
      <c r="G5477" s="1" t="n"/>
    </row>
    <row r="5478">
      <c r="A5478" s="6" t="n">
        <v>882325</v>
      </c>
      <c r="B5478" s="6" t="inlineStr">
        <is>
          <t>CARLO ROSSI WATERMELON SANGRIA</t>
        </is>
      </c>
      <c r="C5478" s="7">
        <f>VLOOKUP(A5478,SizeData!A$2:B$3839,2,FALSE)</f>
        <v/>
      </c>
      <c r="D5478" s="6" t="n">
        <v>1</v>
      </c>
      <c r="E5478" s="6" t="inlineStr">
        <is>
          <t>R1360134</t>
        </is>
      </c>
      <c r="F5478" s="2" t="n">
        <v>44532</v>
      </c>
      <c r="G5478" s="1" t="n"/>
    </row>
    <row r="5479">
      <c r="A5479" s="6" t="n">
        <v>882327</v>
      </c>
      <c r="B5479" s="6" t="inlineStr">
        <is>
          <t>CARLO ROSSI BLUEBERRY SANGRIA</t>
        </is>
      </c>
      <c r="C5479" s="7">
        <f>VLOOKUP(A5479,SizeData!A$2:B$3839,2,FALSE)</f>
        <v/>
      </c>
      <c r="D5479" s="6" t="n">
        <v>10</v>
      </c>
      <c r="E5479" s="6" t="inlineStr">
        <is>
          <t xml:space="preserve"> R1085374</t>
        </is>
      </c>
      <c r="F5479" s="2" t="n">
        <v>44291</v>
      </c>
      <c r="G5479" s="1" t="n"/>
    </row>
    <row r="5480">
      <c r="A5480" s="6" t="n">
        <v>882327</v>
      </c>
      <c r="B5480" s="6" t="inlineStr">
        <is>
          <t>CARLO ROSSI BLUEBERRY SANGRIA</t>
        </is>
      </c>
      <c r="C5480" s="7">
        <f>VLOOKUP(A5480,SizeData!A$2:B$3839,2,FALSE)</f>
        <v/>
      </c>
      <c r="D5480" s="6" t="n">
        <v>4</v>
      </c>
      <c r="E5480" s="6" t="inlineStr">
        <is>
          <t xml:space="preserve"> R1133829</t>
        </is>
      </c>
      <c r="F5480" s="2" t="n">
        <v>44350</v>
      </c>
      <c r="G5480" s="1" t="n"/>
    </row>
    <row r="5481">
      <c r="A5481" s="6" t="n">
        <v>882327</v>
      </c>
      <c r="B5481" s="6" t="inlineStr">
        <is>
          <t>CARLO ROSSI BLUEBERRY SANGRIA</t>
        </is>
      </c>
      <c r="C5481" s="7">
        <f>VLOOKUP(A5481,SizeData!A$2:B$3839,2,FALSE)</f>
        <v/>
      </c>
      <c r="D5481" s="6" t="n">
        <v>2</v>
      </c>
      <c r="E5481" s="6" t="inlineStr">
        <is>
          <t>R1147055</t>
        </is>
      </c>
      <c r="F5481" s="2" t="n">
        <v>44361</v>
      </c>
      <c r="G5481" s="1" t="n"/>
    </row>
    <row r="5482">
      <c r="A5482" s="6" t="n">
        <v>882327</v>
      </c>
      <c r="B5482" s="6" t="inlineStr">
        <is>
          <t>CARLO ROSSI BLUEBERRY SANGRIA</t>
        </is>
      </c>
      <c r="C5482" s="7">
        <f>VLOOKUP(A5482,SizeData!A$2:B$3839,2,FALSE)</f>
        <v/>
      </c>
      <c r="D5482" s="6" t="n">
        <v>1</v>
      </c>
      <c r="E5482" s="6" t="inlineStr">
        <is>
          <t>R1158236</t>
        </is>
      </c>
      <c r="F5482" s="2" t="n">
        <v>44368</v>
      </c>
      <c r="G5482" s="1" t="n"/>
    </row>
    <row r="5483">
      <c r="A5483" s="6" t="n">
        <v>882327</v>
      </c>
      <c r="B5483" s="6" t="inlineStr">
        <is>
          <t>CARLO ROSSI BLUEBERRY SANGRIA</t>
        </is>
      </c>
      <c r="C5483" s="7">
        <f>VLOOKUP(A5483,SizeData!A$2:B$3839,2,FALSE)</f>
        <v/>
      </c>
      <c r="D5483" s="6" t="n">
        <v>3</v>
      </c>
      <c r="E5483" s="6" t="inlineStr">
        <is>
          <t>R1171340</t>
        </is>
      </c>
      <c r="F5483" s="2" t="n">
        <v>44383</v>
      </c>
      <c r="G5483" s="1" t="n"/>
    </row>
    <row r="5484">
      <c r="A5484" s="6" t="n">
        <v>882327</v>
      </c>
      <c r="B5484" s="6" t="inlineStr">
        <is>
          <t>CARLO ROSSI BLUEBERRY SANGRIA</t>
        </is>
      </c>
      <c r="C5484" s="7">
        <f>VLOOKUP(A5484,SizeData!A$2:B$3839,2,FALSE)</f>
        <v/>
      </c>
      <c r="D5484" s="6" t="n">
        <v>1</v>
      </c>
      <c r="E5484" s="6" t="inlineStr">
        <is>
          <t>R1173672</t>
        </is>
      </c>
      <c r="F5484" s="2" t="n">
        <v>44394</v>
      </c>
      <c r="G5484" s="1" t="n"/>
    </row>
    <row r="5485">
      <c r="A5485" s="6" t="n">
        <v>882327</v>
      </c>
      <c r="B5485" s="6" t="inlineStr">
        <is>
          <t>CARLO ROSSI BLUEBERRY SANGRIA</t>
        </is>
      </c>
      <c r="C5485" s="7">
        <f>VLOOKUP(A5485,SizeData!A$2:B$3839,2,FALSE)</f>
        <v/>
      </c>
      <c r="D5485" s="6" t="n">
        <v>5</v>
      </c>
      <c r="E5485" s="6" t="inlineStr">
        <is>
          <t>R1200565</t>
        </is>
      </c>
      <c r="F5485" s="2" t="n">
        <v>44411</v>
      </c>
      <c r="G5485" s="1" t="n"/>
    </row>
    <row r="5486">
      <c r="A5486" s="6" t="n">
        <v>882327</v>
      </c>
      <c r="B5486" s="6" t="inlineStr">
        <is>
          <t>CARLO ROSSI BLUEBERRY SANGRIA</t>
        </is>
      </c>
      <c r="C5486" s="7">
        <f>VLOOKUP(A5486,SizeData!A$2:B$3839,2,FALSE)</f>
        <v/>
      </c>
      <c r="D5486" s="6" t="n">
        <v>1</v>
      </c>
      <c r="E5486" s="6" t="inlineStr">
        <is>
          <t>R1231673</t>
        </is>
      </c>
      <c r="F5486" s="2" t="n">
        <v>44443</v>
      </c>
      <c r="G5486" s="1" t="n"/>
    </row>
    <row r="5487">
      <c r="A5487" s="6" t="n">
        <v>882327</v>
      </c>
      <c r="B5487" s="6" t="inlineStr">
        <is>
          <t>CARLO ROSSI BLUEBERRY SANGRIA</t>
        </is>
      </c>
      <c r="C5487" s="7">
        <f>VLOOKUP(A5487,SizeData!A$2:B$3839,2,FALSE)</f>
        <v/>
      </c>
      <c r="D5487" s="6" t="n">
        <v>1</v>
      </c>
      <c r="E5487" s="6" t="inlineStr">
        <is>
          <t>R1233531</t>
        </is>
      </c>
      <c r="F5487" s="2" t="n">
        <v>44450</v>
      </c>
      <c r="G5487" s="1" t="n"/>
    </row>
    <row r="5488">
      <c r="A5488" s="6" t="n">
        <v>882327</v>
      </c>
      <c r="B5488" s="6" t="inlineStr">
        <is>
          <t>CARLO ROSSI BLUEBERRY SANGRIA</t>
        </is>
      </c>
      <c r="C5488" s="7">
        <f>VLOOKUP(A5488,SizeData!A$2:B$3839,2,FALSE)</f>
        <v/>
      </c>
      <c r="D5488" s="6" t="n">
        <v>3</v>
      </c>
      <c r="E5488" s="6" t="inlineStr">
        <is>
          <t>R1248961</t>
        </is>
      </c>
      <c r="F5488" s="2" t="n">
        <v>44461</v>
      </c>
      <c r="G5488" s="1" t="n"/>
    </row>
    <row r="5489">
      <c r="A5489" s="6" t="n">
        <v>882327</v>
      </c>
      <c r="B5489" s="6" t="inlineStr">
        <is>
          <t>CARLO ROSSI BLUEBERRY SANGRIA</t>
        </is>
      </c>
      <c r="C5489" s="7">
        <f>VLOOKUP(A5489,SizeData!A$2:B$3839,2,FALSE)</f>
        <v/>
      </c>
      <c r="D5489" s="6" t="n">
        <v>5</v>
      </c>
      <c r="E5489" s="6" t="inlineStr">
        <is>
          <t>R1297210</t>
        </is>
      </c>
      <c r="F5489" s="2" t="n">
        <v>44490</v>
      </c>
      <c r="G5489" s="1" t="n"/>
    </row>
    <row r="5490">
      <c r="A5490" s="6" t="n">
        <v>882327</v>
      </c>
      <c r="B5490" s="6" t="inlineStr">
        <is>
          <t>CARLO ROSSI BLUEBERRY SANGRIA</t>
        </is>
      </c>
      <c r="C5490" s="7">
        <f>VLOOKUP(A5490,SizeData!A$2:B$3839,2,FALSE)</f>
        <v/>
      </c>
      <c r="D5490" s="6" t="n">
        <v>2</v>
      </c>
      <c r="E5490" s="6" t="inlineStr">
        <is>
          <t>R1360134</t>
        </is>
      </c>
      <c r="F5490" s="2" t="n">
        <v>44532</v>
      </c>
      <c r="G5490" s="1" t="n"/>
    </row>
    <row r="5491">
      <c r="A5491" s="6" t="n">
        <v>882328</v>
      </c>
      <c r="B5491" s="6" t="inlineStr">
        <is>
          <t>CARLO ROSSI PEACH SANGRIA</t>
        </is>
      </c>
      <c r="C5491" s="7">
        <f>VLOOKUP(A5491,SizeData!A$2:B$3839,2,FALSE)</f>
        <v/>
      </c>
      <c r="D5491" s="6" t="n">
        <v>10</v>
      </c>
      <c r="E5491" s="6" t="inlineStr">
        <is>
          <t>R1033413</t>
        </is>
      </c>
      <c r="F5491" s="2" t="n">
        <v>44250</v>
      </c>
      <c r="G5491" s="1" t="n"/>
    </row>
    <row r="5492">
      <c r="A5492" s="6" t="n">
        <v>882328</v>
      </c>
      <c r="B5492" s="6" t="inlineStr">
        <is>
          <t>CARLO ROSSI PEACH SANGRIA</t>
        </is>
      </c>
      <c r="C5492" s="7">
        <f>VLOOKUP(A5492,SizeData!A$2:B$3839,2,FALSE)</f>
        <v/>
      </c>
      <c r="D5492" s="6" t="n">
        <v>4</v>
      </c>
      <c r="E5492" s="6" t="inlineStr">
        <is>
          <t>R1120204</t>
        </is>
      </c>
      <c r="F5492" s="2" t="n">
        <v>44300</v>
      </c>
      <c r="G5492" s="1" t="n"/>
    </row>
    <row r="5493">
      <c r="A5493" s="6" t="n">
        <v>882328</v>
      </c>
      <c r="B5493" s="6" t="inlineStr">
        <is>
          <t>CARLO ROSSI PEACH SANGRIA</t>
        </is>
      </c>
      <c r="C5493" s="7">
        <f>VLOOKUP(A5493,SizeData!A$2:B$3839,2,FALSE)</f>
        <v/>
      </c>
      <c r="D5493" s="6" t="n">
        <v>4</v>
      </c>
      <c r="E5493" s="6" t="inlineStr">
        <is>
          <t>R1106414</t>
        </is>
      </c>
      <c r="F5493" s="2" t="n">
        <v>44307</v>
      </c>
      <c r="G5493" s="1" t="n"/>
    </row>
    <row r="5494">
      <c r="A5494" s="6" t="n">
        <v>882328</v>
      </c>
      <c r="B5494" s="6" t="inlineStr">
        <is>
          <t>CARLO ROSSI PEACH SANGRIA</t>
        </is>
      </c>
      <c r="C5494" s="7">
        <f>VLOOKUP(A5494,SizeData!A$2:B$3839,2,FALSE)</f>
        <v/>
      </c>
      <c r="D5494" s="6" t="n">
        <v>2</v>
      </c>
      <c r="E5494" s="6" t="inlineStr">
        <is>
          <t>R1101640</t>
        </is>
      </c>
      <c r="F5494" s="2" t="n">
        <v>44310</v>
      </c>
      <c r="G5494" s="1" t="n"/>
    </row>
    <row r="5495">
      <c r="A5495" s="6" t="n">
        <v>882328</v>
      </c>
      <c r="B5495" s="6" t="inlineStr">
        <is>
          <t>CARLO ROSSI PEACH SANGRIA</t>
        </is>
      </c>
      <c r="C5495" s="7">
        <f>VLOOKUP(A5495,SizeData!A$2:B$3839,2,FALSE)</f>
        <v/>
      </c>
      <c r="D5495" s="6" t="n">
        <v>2</v>
      </c>
      <c r="E5495" s="6" t="inlineStr">
        <is>
          <t>R1102384</t>
        </is>
      </c>
      <c r="F5495" s="2" t="n">
        <v>44314</v>
      </c>
      <c r="G5495" s="1" t="n"/>
    </row>
    <row r="5496">
      <c r="A5496" s="6" t="n">
        <v>882328</v>
      </c>
      <c r="B5496" s="6" t="inlineStr">
        <is>
          <t>CARLO ROSSI PEACH SANGRIA</t>
        </is>
      </c>
      <c r="C5496" s="7">
        <f>VLOOKUP(A5496,SizeData!A$2:B$3839,2,FALSE)</f>
        <v/>
      </c>
      <c r="D5496" s="6" t="n">
        <v>2</v>
      </c>
      <c r="E5496" s="6" t="inlineStr">
        <is>
          <t>R1103097</t>
        </is>
      </c>
      <c r="F5496" s="2" t="n">
        <v>44320</v>
      </c>
      <c r="G5496" s="1" t="n"/>
    </row>
    <row r="5497">
      <c r="A5497" s="6" t="n">
        <v>882328</v>
      </c>
      <c r="B5497" s="6" t="inlineStr">
        <is>
          <t>CARLO ROSSI PEACH SANGRIA</t>
        </is>
      </c>
      <c r="C5497" s="7">
        <f>VLOOKUP(A5497,SizeData!A$2:B$3839,2,FALSE)</f>
        <v/>
      </c>
      <c r="D5497" s="6" t="n">
        <v>4</v>
      </c>
      <c r="E5497" s="6" t="inlineStr">
        <is>
          <t>R1099589</t>
        </is>
      </c>
      <c r="F5497" s="2" t="n">
        <v>44321</v>
      </c>
      <c r="G5497" s="1" t="n"/>
    </row>
    <row r="5498">
      <c r="A5498" s="6" t="n">
        <v>882328</v>
      </c>
      <c r="B5498" s="6" t="inlineStr">
        <is>
          <t>CARLO ROSSI PEACH SANGRIA</t>
        </is>
      </c>
      <c r="C5498" s="7">
        <f>VLOOKUP(A5498,SizeData!A$2:B$3839,2,FALSE)</f>
        <v/>
      </c>
      <c r="D5498" s="6" t="n">
        <v>1</v>
      </c>
      <c r="E5498" s="6" t="inlineStr">
        <is>
          <t>R1116842</t>
        </is>
      </c>
      <c r="F5498" s="2" t="n">
        <v>44324</v>
      </c>
      <c r="G5498" s="1" t="n"/>
    </row>
    <row r="5499">
      <c r="A5499" s="6" t="n">
        <v>882328</v>
      </c>
      <c r="B5499" s="6" t="inlineStr">
        <is>
          <t>CARLO ROSSI PEACH SANGRIA</t>
        </is>
      </c>
      <c r="C5499" s="7">
        <f>VLOOKUP(A5499,SizeData!A$2:B$3839,2,FALSE)</f>
        <v/>
      </c>
      <c r="D5499" s="6" t="n">
        <v>9</v>
      </c>
      <c r="E5499" s="6" t="inlineStr">
        <is>
          <t>R1122623</t>
        </is>
      </c>
      <c r="F5499" s="2" t="n">
        <v>44331</v>
      </c>
      <c r="G5499" s="1" t="n"/>
    </row>
    <row r="5500">
      <c r="A5500" s="6" t="n">
        <v>882328</v>
      </c>
      <c r="B5500" s="6" t="inlineStr">
        <is>
          <t>CARLO ROSSI PEACH SANGRIA</t>
        </is>
      </c>
      <c r="C5500" s="7">
        <f>VLOOKUP(A5500,SizeData!A$2:B$3839,2,FALSE)</f>
        <v/>
      </c>
      <c r="D5500" s="6" t="n">
        <v>4</v>
      </c>
      <c r="E5500" s="6" t="inlineStr">
        <is>
          <t>R1134134</t>
        </is>
      </c>
      <c r="F5500" s="2" t="n">
        <v>44354</v>
      </c>
      <c r="G5500" s="1" t="n"/>
    </row>
    <row r="5501">
      <c r="A5501" s="6" t="n">
        <v>882328</v>
      </c>
      <c r="B5501" s="6" t="inlineStr">
        <is>
          <t>CARLO ROSSI PEACH SANGRIA</t>
        </is>
      </c>
      <c r="C5501" s="7">
        <f>VLOOKUP(A5501,SizeData!A$2:B$3839,2,FALSE)</f>
        <v/>
      </c>
      <c r="D5501" s="6" t="n">
        <v>4</v>
      </c>
      <c r="E5501" s="6" t="inlineStr">
        <is>
          <t>R1155060</t>
        </is>
      </c>
      <c r="F5501" s="2" t="n">
        <v>44357</v>
      </c>
      <c r="G5501" s="1" t="n"/>
    </row>
    <row r="5502">
      <c r="A5502" s="6" t="n">
        <v>882328</v>
      </c>
      <c r="B5502" s="6" t="inlineStr">
        <is>
          <t>CARLO ROSSI PEACH SANGRIA</t>
        </is>
      </c>
      <c r="C5502" s="7">
        <f>VLOOKUP(A5502,SizeData!A$2:B$3839,2,FALSE)</f>
        <v/>
      </c>
      <c r="D5502" s="6" t="n">
        <v>1</v>
      </c>
      <c r="E5502" s="6" t="inlineStr">
        <is>
          <t>R1143298</t>
        </is>
      </c>
      <c r="F5502" s="2" t="n">
        <v>44364</v>
      </c>
      <c r="G5502" s="1" t="n"/>
    </row>
    <row r="5503">
      <c r="A5503" s="6" t="n">
        <v>882328</v>
      </c>
      <c r="B5503" s="6" t="inlineStr">
        <is>
          <t>CARLO ROSSI PEACH SANGRIA</t>
        </is>
      </c>
      <c r="C5503" s="7">
        <f>VLOOKUP(A5503,SizeData!A$2:B$3839,2,FALSE)</f>
        <v/>
      </c>
      <c r="D5503" s="6" t="n">
        <v>7</v>
      </c>
      <c r="E5503" s="6" t="inlineStr">
        <is>
          <t>R1171618</t>
        </is>
      </c>
      <c r="F5503" s="2" t="n">
        <v>44380</v>
      </c>
      <c r="G5503" s="1" t="n"/>
    </row>
    <row r="5504">
      <c r="A5504" s="6" t="n">
        <v>882328</v>
      </c>
      <c r="B5504" s="6" t="inlineStr">
        <is>
          <t>CARLO ROSSI PEACH SANGRIA</t>
        </is>
      </c>
      <c r="C5504" s="7">
        <f>VLOOKUP(A5504,SizeData!A$2:B$3839,2,FALSE)</f>
        <v/>
      </c>
      <c r="D5504" s="6" t="n">
        <v>1</v>
      </c>
      <c r="E5504" s="6" t="inlineStr">
        <is>
          <t>R1173672</t>
        </is>
      </c>
      <c r="F5504" s="2" t="n">
        <v>44394</v>
      </c>
      <c r="G5504" s="1" t="n"/>
    </row>
    <row r="5505">
      <c r="A5505" s="6" t="n">
        <v>882328</v>
      </c>
      <c r="B5505" s="6" t="inlineStr">
        <is>
          <t>CARLO ROSSI PEACH SANGRIA</t>
        </is>
      </c>
      <c r="C5505" s="7">
        <f>VLOOKUP(A5505,SizeData!A$2:B$3839,2,FALSE)</f>
        <v/>
      </c>
      <c r="D5505" s="6" t="n">
        <v>1</v>
      </c>
      <c r="E5505" s="6" t="inlineStr">
        <is>
          <t xml:space="preserve"> R1182859</t>
        </is>
      </c>
      <c r="F5505" s="2" t="n">
        <v>44404</v>
      </c>
      <c r="G5505" s="1" t="n"/>
    </row>
    <row r="5506">
      <c r="A5506" s="6" t="n">
        <v>882328</v>
      </c>
      <c r="B5506" s="6" t="inlineStr">
        <is>
          <t>CARLO ROSSI PEACH SANGRIA</t>
        </is>
      </c>
      <c r="C5506" s="7">
        <f>VLOOKUP(A5506,SizeData!A$2:B$3839,2,FALSE)</f>
        <v/>
      </c>
      <c r="D5506" s="6" t="n">
        <v>4</v>
      </c>
      <c r="E5506" s="6" t="inlineStr">
        <is>
          <t>R1192063</t>
        </is>
      </c>
      <c r="F5506" s="2" t="n">
        <v>44408</v>
      </c>
      <c r="G5506" s="1" t="n"/>
    </row>
    <row r="5507">
      <c r="A5507" s="6" t="n">
        <v>882328</v>
      </c>
      <c r="B5507" s="6" t="inlineStr">
        <is>
          <t>CARLO ROSSI PEACH SANGRIA</t>
        </is>
      </c>
      <c r="C5507" s="7">
        <f>VLOOKUP(A5507,SizeData!A$2:B$3839,2,FALSE)</f>
        <v/>
      </c>
      <c r="D5507" s="6" t="n">
        <v>2</v>
      </c>
      <c r="E5507" s="6" t="inlineStr">
        <is>
          <t>R1218514</t>
        </is>
      </c>
      <c r="F5507" s="2" t="n">
        <v>44432</v>
      </c>
      <c r="G5507" s="1" t="n"/>
    </row>
    <row r="5508">
      <c r="A5508" s="6" t="n">
        <v>882328</v>
      </c>
      <c r="B5508" s="6" t="inlineStr">
        <is>
          <t>CARLO ROSSI PEACH SANGRIA</t>
        </is>
      </c>
      <c r="C5508" s="7">
        <f>VLOOKUP(A5508,SizeData!A$2:B$3839,2,FALSE)</f>
        <v/>
      </c>
      <c r="D5508" s="6" t="n">
        <v>3</v>
      </c>
      <c r="E5508" s="6" t="inlineStr">
        <is>
          <t>R1224208</t>
        </is>
      </c>
      <c r="F5508" s="2" t="n">
        <v>44436</v>
      </c>
      <c r="G5508" s="1" t="n"/>
    </row>
    <row r="5509">
      <c r="A5509" s="6" t="n">
        <v>882328</v>
      </c>
      <c r="B5509" s="6" t="inlineStr">
        <is>
          <t>CARLO ROSSI PEACH SANGRIA</t>
        </is>
      </c>
      <c r="C5509" s="7">
        <f>VLOOKUP(A5509,SizeData!A$2:B$3839,2,FALSE)</f>
        <v/>
      </c>
      <c r="D5509" s="6" t="n">
        <v>3</v>
      </c>
      <c r="E5509" s="6" t="inlineStr">
        <is>
          <t>R1260244</t>
        </is>
      </c>
      <c r="F5509" s="2" t="n">
        <v>44457</v>
      </c>
      <c r="G5509" s="1" t="n"/>
    </row>
    <row r="5510">
      <c r="A5510" s="6" t="n">
        <v>882328</v>
      </c>
      <c r="B5510" s="6" t="inlineStr">
        <is>
          <t>CARLO ROSSI PEACH SANGRIA</t>
        </is>
      </c>
      <c r="C5510" s="7">
        <f>VLOOKUP(A5510,SizeData!A$2:B$3839,2,FALSE)</f>
        <v/>
      </c>
      <c r="D5510" s="6" t="n">
        <v>0</v>
      </c>
      <c r="E5510" s="6" t="inlineStr">
        <is>
          <t>R1265400</t>
        </is>
      </c>
      <c r="F5510" s="2" t="n">
        <v>44467</v>
      </c>
      <c r="G5510" s="1" t="n"/>
    </row>
    <row r="5511">
      <c r="A5511" s="6" t="n">
        <v>882328</v>
      </c>
      <c r="B5511" s="6" t="inlineStr">
        <is>
          <t>CARLO ROSSI PEACH SANGRIA</t>
        </is>
      </c>
      <c r="C5511" s="7">
        <f>VLOOKUP(A5511,SizeData!A$2:B$3839,2,FALSE)</f>
        <v/>
      </c>
      <c r="D5511" s="6" t="n">
        <v>5</v>
      </c>
      <c r="E5511" s="6" t="inlineStr">
        <is>
          <t>R1286225</t>
        </is>
      </c>
      <c r="F5511" s="2" t="n">
        <v>44478</v>
      </c>
      <c r="G5511" s="1" t="n"/>
    </row>
    <row r="5512">
      <c r="A5512" s="6" t="n">
        <v>882328</v>
      </c>
      <c r="B5512" s="6" t="inlineStr">
        <is>
          <t>CARLO ROSSI PEACH SANGRIA</t>
        </is>
      </c>
      <c r="C5512" s="7">
        <f>VLOOKUP(A5512,SizeData!A$2:B$3839,2,FALSE)</f>
        <v/>
      </c>
      <c r="D5512" s="6" t="n">
        <v>5</v>
      </c>
      <c r="E5512" s="6" t="inlineStr">
        <is>
          <t>R1278415</t>
        </is>
      </c>
      <c r="F5512" s="2" t="n">
        <v>44481</v>
      </c>
      <c r="G5512" s="1" t="n"/>
    </row>
    <row r="5513">
      <c r="A5513" s="6" t="n">
        <v>882328</v>
      </c>
      <c r="B5513" s="6" t="inlineStr">
        <is>
          <t>CARLO ROSSI PEACH SANGRIA</t>
        </is>
      </c>
      <c r="C5513" s="7">
        <f>VLOOKUP(A5513,SizeData!A$2:B$3839,2,FALSE)</f>
        <v/>
      </c>
      <c r="D5513" s="6" t="n">
        <v>0</v>
      </c>
      <c r="E5513" s="6" t="inlineStr">
        <is>
          <t>R1287055</t>
        </is>
      </c>
      <c r="F5513" s="2" t="n">
        <v>44482</v>
      </c>
      <c r="G5513" s="1" t="n"/>
    </row>
    <row r="5514">
      <c r="A5514" s="6" t="n">
        <v>882328</v>
      </c>
      <c r="B5514" s="6" t="inlineStr">
        <is>
          <t>CARLO ROSSI PEACH SANGRIA</t>
        </is>
      </c>
      <c r="C5514" s="7">
        <f>VLOOKUP(A5514,SizeData!A$2:B$3839,2,FALSE)</f>
        <v/>
      </c>
      <c r="D5514" s="6" t="n">
        <v>3</v>
      </c>
      <c r="E5514" s="6" t="inlineStr">
        <is>
          <t>R1297210</t>
        </is>
      </c>
      <c r="F5514" s="2" t="n">
        <v>44490</v>
      </c>
      <c r="G5514" s="1" t="n"/>
    </row>
    <row r="5515">
      <c r="A5515" s="6" t="n">
        <v>882328</v>
      </c>
      <c r="B5515" s="6" t="inlineStr">
        <is>
          <t>CARLO ROSSI PEACH SANGRIA</t>
        </is>
      </c>
      <c r="C5515" s="7">
        <f>VLOOKUP(A5515,SizeData!A$2:B$3839,2,FALSE)</f>
        <v/>
      </c>
      <c r="D5515" s="6" t="n">
        <v>5</v>
      </c>
      <c r="E5515" s="6" t="inlineStr">
        <is>
          <t>R1283487</t>
        </is>
      </c>
      <c r="F5515" s="2" t="n">
        <v>44494</v>
      </c>
      <c r="G5515" s="1" t="n"/>
    </row>
    <row r="5516">
      <c r="A5516" s="6" t="n">
        <v>882328</v>
      </c>
      <c r="B5516" s="6" t="inlineStr">
        <is>
          <t>CARLO ROSSI PEACH SANGRIA</t>
        </is>
      </c>
      <c r="C5516" s="7">
        <f>VLOOKUP(A5516,SizeData!A$2:B$3839,2,FALSE)</f>
        <v/>
      </c>
      <c r="D5516" s="6" t="n">
        <v>1</v>
      </c>
      <c r="E5516" s="6" t="inlineStr">
        <is>
          <t>R1341714</t>
        </is>
      </c>
      <c r="F5516" s="2" t="n">
        <v>44524</v>
      </c>
      <c r="G5516" s="1" t="n"/>
    </row>
    <row r="5517">
      <c r="A5517" s="6" t="n">
        <v>882328</v>
      </c>
      <c r="B5517" s="6" t="inlineStr">
        <is>
          <t>CARLO ROSSI PEACH SANGRIA</t>
        </is>
      </c>
      <c r="C5517" s="7">
        <f>VLOOKUP(A5517,SizeData!A$2:B$3839,2,FALSE)</f>
        <v/>
      </c>
      <c r="D5517" s="6" t="n">
        <v>10</v>
      </c>
      <c r="E5517" s="6" t="inlineStr">
        <is>
          <t>R1361349</t>
        </is>
      </c>
      <c r="F5517" s="2" t="n">
        <v>44539</v>
      </c>
      <c r="G5517" s="1" t="n"/>
    </row>
    <row r="5518">
      <c r="A5518" s="6" t="n">
        <v>882380</v>
      </c>
      <c r="B5518" s="6" t="inlineStr">
        <is>
          <t>CAPRICCIO BUBBLY SANGRIA</t>
        </is>
      </c>
      <c r="C5518" s="7">
        <f>VLOOKUP(A5518,SizeData!A$2:B$3839,2,FALSE)</f>
        <v/>
      </c>
      <c r="D5518" s="6" t="n">
        <v>1</v>
      </c>
      <c r="E5518" s="6" t="inlineStr">
        <is>
          <t>R1105665</t>
        </is>
      </c>
      <c r="F5518" s="2" t="n">
        <v>44316</v>
      </c>
      <c r="G5518" s="1" t="n"/>
    </row>
    <row r="5519">
      <c r="A5519" s="6" t="n">
        <v>882380</v>
      </c>
      <c r="B5519" s="6" t="inlineStr">
        <is>
          <t>CAPRICCIO BUBBLY SANGRIA</t>
        </is>
      </c>
      <c r="C5519" s="7">
        <f>VLOOKUP(A5519,SizeData!A$2:B$3839,2,FALSE)</f>
        <v/>
      </c>
      <c r="D5519" s="6" t="n">
        <v>1</v>
      </c>
      <c r="E5519" s="6" t="inlineStr">
        <is>
          <t>R1148206</t>
        </is>
      </c>
      <c r="F5519" s="2" t="n">
        <v>44359</v>
      </c>
      <c r="G5519" s="1" t="n"/>
    </row>
    <row r="5520">
      <c r="A5520" s="6" t="n">
        <v>882380</v>
      </c>
      <c r="B5520" s="6" t="inlineStr">
        <is>
          <t>CAPRICCIO BUBBLY SANGRIA</t>
        </is>
      </c>
      <c r="C5520" s="7">
        <f>VLOOKUP(A5520,SizeData!A$2:B$3839,2,FALSE)</f>
        <v/>
      </c>
      <c r="D5520" s="6" t="n">
        <v>1</v>
      </c>
      <c r="E5520" s="6" t="inlineStr">
        <is>
          <t>R1167152</t>
        </is>
      </c>
      <c r="F5520" s="2" t="n">
        <v>44376</v>
      </c>
      <c r="G5520" s="1" t="n"/>
    </row>
    <row r="5521">
      <c r="A5521" s="6" t="n">
        <v>882380</v>
      </c>
      <c r="B5521" s="6" t="inlineStr">
        <is>
          <t>CAPRICCIO BUBBLY SANGRIA</t>
        </is>
      </c>
      <c r="C5521" s="7">
        <f>VLOOKUP(A5521,SizeData!A$2:B$3839,2,FALSE)</f>
        <v/>
      </c>
      <c r="D5521" s="6" t="n">
        <v>1</v>
      </c>
      <c r="E5521" s="6" t="inlineStr">
        <is>
          <t>R1171594</t>
        </is>
      </c>
      <c r="F5521" s="2" t="n">
        <v>44392</v>
      </c>
      <c r="G5521" s="1" t="n"/>
    </row>
    <row r="5522">
      <c r="A5522" s="6" t="n">
        <v>882380</v>
      </c>
      <c r="B5522" s="6" t="inlineStr">
        <is>
          <t>CAPRICCIO BUBBLY SANGRIA</t>
        </is>
      </c>
      <c r="C5522" s="7">
        <f>VLOOKUP(A5522,SizeData!A$2:B$3839,2,FALSE)</f>
        <v/>
      </c>
      <c r="D5522" s="6" t="n">
        <v>1</v>
      </c>
      <c r="E5522" s="6" t="inlineStr">
        <is>
          <t>R1209774</t>
        </is>
      </c>
      <c r="F5522" s="2" t="n">
        <v>44433</v>
      </c>
      <c r="G5522" s="1" t="n"/>
    </row>
    <row r="5523">
      <c r="A5523" s="6" t="n">
        <v>882380</v>
      </c>
      <c r="B5523" s="6" t="inlineStr">
        <is>
          <t>CAPRICCIO BUBBLY SANGRIA</t>
        </is>
      </c>
      <c r="C5523" s="7">
        <f>VLOOKUP(A5523,SizeData!A$2:B$3839,2,FALSE)</f>
        <v/>
      </c>
      <c r="D5523" s="6" t="n">
        <v>2</v>
      </c>
      <c r="E5523" s="6" t="inlineStr">
        <is>
          <t>R1219842</t>
        </is>
      </c>
      <c r="F5523" s="2" t="n">
        <v>44434</v>
      </c>
      <c r="G5523" s="1" t="n"/>
    </row>
    <row r="5524">
      <c r="A5524" s="6" t="n">
        <v>882380</v>
      </c>
      <c r="B5524" s="6" t="inlineStr">
        <is>
          <t>CAPRICCIO BUBBLY SANGRIA</t>
        </is>
      </c>
      <c r="C5524" s="7">
        <f>VLOOKUP(A5524,SizeData!A$2:B$3839,2,FALSE)</f>
        <v/>
      </c>
      <c r="D5524" s="6" t="n">
        <v>2</v>
      </c>
      <c r="E5524" s="6" t="inlineStr">
        <is>
          <t>R1242196</t>
        </is>
      </c>
      <c r="F5524" s="2" t="n">
        <v>44456</v>
      </c>
      <c r="G5524" s="1" t="n"/>
    </row>
    <row r="5525">
      <c r="A5525" s="6" t="n">
        <v>882380</v>
      </c>
      <c r="B5525" s="6" t="inlineStr">
        <is>
          <t>CAPRICCIO BUBBLY SANGRIA</t>
        </is>
      </c>
      <c r="C5525" s="7">
        <f>VLOOKUP(A5525,SizeData!A$2:B$3839,2,FALSE)</f>
        <v/>
      </c>
      <c r="D5525" s="6" t="n">
        <v>1</v>
      </c>
      <c r="E5525" s="6" t="inlineStr">
        <is>
          <t>R1328617A</t>
        </is>
      </c>
      <c r="F5525" s="2" t="n">
        <v>44503</v>
      </c>
      <c r="G5525" s="1" t="n"/>
    </row>
    <row r="5526">
      <c r="A5526" s="6" t="n">
        <v>882380</v>
      </c>
      <c r="B5526" s="6" t="inlineStr">
        <is>
          <t>CAPRICCIO BUBBLY SANGRIA</t>
        </is>
      </c>
      <c r="C5526" s="7">
        <f>VLOOKUP(A5526,SizeData!A$2:B$3839,2,FALSE)</f>
        <v/>
      </c>
      <c r="D5526" s="6" t="n">
        <v>1</v>
      </c>
      <c r="E5526" s="6" t="inlineStr">
        <is>
          <t>R1329660</t>
        </is>
      </c>
      <c r="F5526" s="2" t="n">
        <v>44525</v>
      </c>
      <c r="G5526" s="1" t="n"/>
    </row>
    <row r="5527">
      <c r="A5527" s="6" t="n">
        <v>882381</v>
      </c>
      <c r="B5527" s="6" t="inlineStr">
        <is>
          <t>CAPRICCIO BUBBLY SANGRIA</t>
        </is>
      </c>
      <c r="C5527" s="7">
        <f>VLOOKUP(A5527,SizeData!A$2:B$3839,2,FALSE)</f>
        <v/>
      </c>
      <c r="D5527" s="6" t="n">
        <v>1</v>
      </c>
      <c r="E5527" s="6" t="inlineStr">
        <is>
          <t>R986958</t>
        </is>
      </c>
      <c r="F5527" s="2" t="n">
        <v>44200</v>
      </c>
      <c r="G5527" s="1" t="n"/>
    </row>
    <row r="5528">
      <c r="A5528" s="6" t="n">
        <v>882381</v>
      </c>
      <c r="B5528" s="6" t="inlineStr">
        <is>
          <t>CAPRICCIO BUBBLY SANGRIA</t>
        </is>
      </c>
      <c r="C5528" s="7">
        <f>VLOOKUP(A5528,SizeData!A$2:B$3839,2,FALSE)</f>
        <v/>
      </c>
      <c r="D5528" s="6" t="n">
        <v>1</v>
      </c>
      <c r="E5528" s="6" t="inlineStr">
        <is>
          <t>R994060</t>
        </is>
      </c>
      <c r="F5528" s="2" t="n">
        <v>44209</v>
      </c>
      <c r="G5528" s="1" t="n"/>
    </row>
    <row r="5529">
      <c r="A5529" s="6" t="n">
        <v>882381</v>
      </c>
      <c r="B5529" s="6" t="inlineStr">
        <is>
          <t>CAPRICCIO BUBBLY SANGRIA</t>
        </is>
      </c>
      <c r="C5529" s="7">
        <f>VLOOKUP(A5529,SizeData!A$2:B$3839,2,FALSE)</f>
        <v/>
      </c>
      <c r="D5529" s="6" t="n">
        <v>2</v>
      </c>
      <c r="E5529" s="6" t="inlineStr">
        <is>
          <t>R1033132</t>
        </is>
      </c>
      <c r="F5529" s="2" t="n">
        <v>44249</v>
      </c>
      <c r="G5529" s="1" t="n"/>
    </row>
    <row r="5530">
      <c r="A5530" s="6" t="n">
        <v>882381</v>
      </c>
      <c r="B5530" s="6" t="inlineStr">
        <is>
          <t>CAPRICCIO BUBBLY SANGRIA</t>
        </is>
      </c>
      <c r="C5530" s="7">
        <f>VLOOKUP(A5530,SizeData!A$2:B$3839,2,FALSE)</f>
        <v/>
      </c>
      <c r="D5530" s="6" t="n">
        <v>1</v>
      </c>
      <c r="E5530" s="6" t="inlineStr">
        <is>
          <t>R1053588</t>
        </is>
      </c>
      <c r="F5530" s="2" t="n">
        <v>44278</v>
      </c>
      <c r="G5530" s="1" t="n"/>
    </row>
    <row r="5531">
      <c r="A5531" s="6" t="n">
        <v>882381</v>
      </c>
      <c r="B5531" s="6" t="inlineStr">
        <is>
          <t>CAPRICCIO BUBBLY SANGRIA</t>
        </is>
      </c>
      <c r="C5531" s="7">
        <f>VLOOKUP(A5531,SizeData!A$2:B$3839,2,FALSE)</f>
        <v/>
      </c>
      <c r="D5531" s="6" t="n">
        <v>1</v>
      </c>
      <c r="E5531" s="6" t="inlineStr">
        <is>
          <t>R1083538</t>
        </is>
      </c>
      <c r="F5531" s="2" t="n">
        <v>44292</v>
      </c>
      <c r="G5531" s="1" t="n"/>
    </row>
    <row r="5532">
      <c r="A5532" s="6" t="n">
        <v>882381</v>
      </c>
      <c r="B5532" s="6" t="inlineStr">
        <is>
          <t>CAPRICCIO BUBBLY SANGRIA</t>
        </is>
      </c>
      <c r="C5532" s="7">
        <f>VLOOKUP(A5532,SizeData!A$2:B$3839,2,FALSE)</f>
        <v/>
      </c>
      <c r="D5532" s="6" t="n">
        <v>1</v>
      </c>
      <c r="E5532" s="6" t="inlineStr">
        <is>
          <t>R1096915</t>
        </is>
      </c>
      <c r="F5532" s="2" t="n">
        <v>44303</v>
      </c>
      <c r="G5532" s="1" t="n"/>
    </row>
    <row r="5533">
      <c r="A5533" s="6" t="n">
        <v>882381</v>
      </c>
      <c r="B5533" s="6" t="inlineStr">
        <is>
          <t>CAPRICCIO BUBBLY SANGRIA</t>
        </is>
      </c>
      <c r="C5533" s="7">
        <f>VLOOKUP(A5533,SizeData!A$2:B$3839,2,FALSE)</f>
        <v/>
      </c>
      <c r="D5533" s="6" t="n">
        <v>1</v>
      </c>
      <c r="E5533" s="6" t="inlineStr">
        <is>
          <t>R1134134</t>
        </is>
      </c>
      <c r="F5533" s="2" t="n">
        <v>44354</v>
      </c>
      <c r="G5533" s="1" t="n"/>
    </row>
    <row r="5534">
      <c r="A5534" s="6" t="n">
        <v>882381</v>
      </c>
      <c r="B5534" s="6" t="inlineStr">
        <is>
          <t>CAPRICCIO BUBBLY SANGRIA</t>
        </is>
      </c>
      <c r="C5534" s="7">
        <f>VLOOKUP(A5534,SizeData!A$2:B$3839,2,FALSE)</f>
        <v/>
      </c>
      <c r="D5534" s="6" t="n">
        <v>1</v>
      </c>
      <c r="E5534" s="6" t="inlineStr">
        <is>
          <t>R1155060</t>
        </is>
      </c>
      <c r="F5534" s="2" t="n">
        <v>44357</v>
      </c>
      <c r="G5534" s="1" t="n"/>
    </row>
    <row r="5535">
      <c r="A5535" s="6" t="n">
        <v>882381</v>
      </c>
      <c r="B5535" s="6" t="inlineStr">
        <is>
          <t>CAPRICCIO BUBBLY SANGRIA</t>
        </is>
      </c>
      <c r="C5535" s="7">
        <f>VLOOKUP(A5535,SizeData!A$2:B$3839,2,FALSE)</f>
        <v/>
      </c>
      <c r="D5535" s="6" t="n">
        <v>2</v>
      </c>
      <c r="E5535" s="6" t="inlineStr">
        <is>
          <t>R1224208</t>
        </is>
      </c>
      <c r="F5535" s="2" t="n">
        <v>44436</v>
      </c>
      <c r="G5535" s="1" t="n"/>
    </row>
    <row r="5536">
      <c r="A5536" s="6" t="n">
        <v>882398</v>
      </c>
      <c r="B5536" s="6" t="inlineStr">
        <is>
          <t>CAPRICCIO PASSION FRUIT SANGRIA</t>
        </is>
      </c>
      <c r="C5536" s="7">
        <f>VLOOKUP(A5536,SizeData!A$2:B$3839,2,FALSE)</f>
        <v/>
      </c>
      <c r="D5536" s="6" t="n">
        <v>1</v>
      </c>
      <c r="E5536" s="6" t="inlineStr">
        <is>
          <t>R986958</t>
        </is>
      </c>
      <c r="F5536" s="2" t="n">
        <v>44200</v>
      </c>
      <c r="G5536" s="1" t="n"/>
    </row>
    <row r="5537">
      <c r="A5537" s="6" t="n">
        <v>882398</v>
      </c>
      <c r="B5537" s="6" t="inlineStr">
        <is>
          <t>CAPRICCIO PASSION FRUIT SANGRIA</t>
        </is>
      </c>
      <c r="C5537" s="7">
        <f>VLOOKUP(A5537,SizeData!A$2:B$3839,2,FALSE)</f>
        <v/>
      </c>
      <c r="D5537" s="6" t="n">
        <v>1</v>
      </c>
      <c r="E5537" s="6" t="inlineStr">
        <is>
          <t>R994060</t>
        </is>
      </c>
      <c r="F5537" s="2" t="n">
        <v>44209</v>
      </c>
      <c r="G5537" s="1" t="n"/>
    </row>
    <row r="5538">
      <c r="A5538" s="6" t="n">
        <v>882398</v>
      </c>
      <c r="B5538" s="6" t="inlineStr">
        <is>
          <t>CAPRICCIO PASSION FRUIT SANGRIA</t>
        </is>
      </c>
      <c r="C5538" s="7">
        <f>VLOOKUP(A5538,SizeData!A$2:B$3839,2,FALSE)</f>
        <v/>
      </c>
      <c r="D5538" s="6" t="n">
        <v>2</v>
      </c>
      <c r="E5538" s="6" t="inlineStr">
        <is>
          <t>R1033132</t>
        </is>
      </c>
      <c r="F5538" s="2" t="n">
        <v>44249</v>
      </c>
      <c r="G5538" s="1" t="n"/>
    </row>
    <row r="5539">
      <c r="A5539" s="6" t="n">
        <v>882398</v>
      </c>
      <c r="B5539" s="6" t="inlineStr">
        <is>
          <t>CAPRICCIO PASSION FRUIT SANGRIA</t>
        </is>
      </c>
      <c r="C5539" s="7">
        <f>VLOOKUP(A5539,SizeData!A$2:B$3839,2,FALSE)</f>
        <v/>
      </c>
      <c r="D5539" s="6" t="n">
        <v>1</v>
      </c>
      <c r="E5539" s="6" t="inlineStr">
        <is>
          <t>R1083538</t>
        </is>
      </c>
      <c r="F5539" s="2" t="n">
        <v>44292</v>
      </c>
      <c r="G5539" s="1" t="n"/>
    </row>
    <row r="5540">
      <c r="A5540" s="6" t="n">
        <v>882398</v>
      </c>
      <c r="B5540" s="6" t="inlineStr">
        <is>
          <t>CAPRICCIO PASSION FRUIT SANGRIA</t>
        </is>
      </c>
      <c r="C5540" s="7">
        <f>VLOOKUP(A5540,SizeData!A$2:B$3839,2,FALSE)</f>
        <v/>
      </c>
      <c r="D5540" s="6" t="n">
        <v>1</v>
      </c>
      <c r="E5540" s="6" t="inlineStr">
        <is>
          <t>R1096915</t>
        </is>
      </c>
      <c r="F5540" s="2" t="n">
        <v>44303</v>
      </c>
      <c r="G5540" s="1" t="n"/>
    </row>
    <row r="5541">
      <c r="A5541" s="6" t="n">
        <v>882398</v>
      </c>
      <c r="B5541" s="6" t="inlineStr">
        <is>
          <t>CAPRICCIO PASSION FRUIT SANGRIA</t>
        </is>
      </c>
      <c r="C5541" s="7">
        <f>VLOOKUP(A5541,SizeData!A$2:B$3839,2,FALSE)</f>
        <v/>
      </c>
      <c r="D5541" s="6" t="n">
        <v>1</v>
      </c>
      <c r="E5541" s="6" t="inlineStr">
        <is>
          <t>R1122623</t>
        </is>
      </c>
      <c r="F5541" s="2" t="n">
        <v>44331</v>
      </c>
      <c r="G5541" s="1" t="n"/>
    </row>
    <row r="5542">
      <c r="A5542" s="6" t="n">
        <v>882398</v>
      </c>
      <c r="B5542" s="6" t="inlineStr">
        <is>
          <t>CAPRICCIO PASSION FRUIT SANGRIA</t>
        </is>
      </c>
      <c r="C5542" s="7">
        <f>VLOOKUP(A5542,SizeData!A$2:B$3839,2,FALSE)</f>
        <v/>
      </c>
      <c r="D5542" s="6" t="n">
        <v>1</v>
      </c>
      <c r="E5542" s="6" t="inlineStr">
        <is>
          <t>R1171618</t>
        </is>
      </c>
      <c r="F5542" s="2" t="n">
        <v>44380</v>
      </c>
      <c r="G5542" s="1" t="n"/>
    </row>
    <row r="5543">
      <c r="A5543" s="6" t="n">
        <v>886300</v>
      </c>
      <c r="B5543" s="6" t="inlineStr">
        <is>
          <t>FRANZIA FRUITY RED SANGRIA</t>
        </is>
      </c>
      <c r="C5543" s="7">
        <f>VLOOKUP(A5543,SizeData!A$2:B$3839,2,FALSE)</f>
        <v/>
      </c>
      <c r="D5543" s="6" t="n">
        <v>1</v>
      </c>
      <c r="E5543" s="6" t="inlineStr">
        <is>
          <t>R1072840</t>
        </is>
      </c>
      <c r="F5543" s="2" t="n">
        <v>44286</v>
      </c>
      <c r="G5543" s="1" t="n"/>
    </row>
    <row r="5544">
      <c r="A5544" s="6" t="n">
        <v>886300</v>
      </c>
      <c r="B5544" s="6" t="inlineStr">
        <is>
          <t>FRANZIA FRUITY RED SANGRIA</t>
        </is>
      </c>
      <c r="C5544" s="7">
        <f>VLOOKUP(A5544,SizeData!A$2:B$3839,2,FALSE)</f>
        <v/>
      </c>
      <c r="D5544" s="6" t="n">
        <v>1</v>
      </c>
      <c r="E5544" s="6" t="inlineStr">
        <is>
          <t>R1085364</t>
        </is>
      </c>
      <c r="F5544" s="2" t="n">
        <v>44289</v>
      </c>
      <c r="G5544" s="1" t="n"/>
    </row>
    <row r="5545">
      <c r="A5545" s="6" t="n">
        <v>886300</v>
      </c>
      <c r="B5545" s="6" t="inlineStr">
        <is>
          <t>FRANZIA FRUITY RED SANGRIA</t>
        </is>
      </c>
      <c r="C5545" s="7">
        <f>VLOOKUP(A5545,SizeData!A$2:B$3839,2,FALSE)</f>
        <v/>
      </c>
      <c r="D5545" s="6" t="n">
        <v>1</v>
      </c>
      <c r="E5545" s="6" t="inlineStr">
        <is>
          <t>R1106414</t>
        </is>
      </c>
      <c r="F5545" s="2" t="n">
        <v>44307</v>
      </c>
      <c r="G5545" s="1" t="n"/>
    </row>
    <row r="5546">
      <c r="A5546" s="6" t="n">
        <v>886300</v>
      </c>
      <c r="B5546" s="6" t="inlineStr">
        <is>
          <t>FRANZIA FRUITY RED SANGRIA</t>
        </is>
      </c>
      <c r="C5546" s="7">
        <f>VLOOKUP(A5546,SizeData!A$2:B$3839,2,FALSE)</f>
        <v/>
      </c>
      <c r="D5546" s="6" t="n">
        <v>1</v>
      </c>
      <c r="E5546" s="6" t="inlineStr">
        <is>
          <t>R1109607</t>
        </is>
      </c>
      <c r="F5546" s="2" t="n">
        <v>44317</v>
      </c>
      <c r="G5546" s="1" t="n"/>
    </row>
    <row r="5547">
      <c r="A5547" s="6" t="n">
        <v>886300</v>
      </c>
      <c r="B5547" s="6" t="inlineStr">
        <is>
          <t>FRANZIA FRUITY RED SANGRIA</t>
        </is>
      </c>
      <c r="C5547" s="7">
        <f>VLOOKUP(A5547,SizeData!A$2:B$3839,2,FALSE)</f>
        <v/>
      </c>
      <c r="D5547" s="6" t="n">
        <v>1</v>
      </c>
      <c r="E5547" s="6" t="inlineStr">
        <is>
          <t xml:space="preserve"> R1138813</t>
        </is>
      </c>
      <c r="F5547" s="2" t="n">
        <v>44348</v>
      </c>
      <c r="G5547" s="1" t="n"/>
    </row>
    <row r="5548">
      <c r="A5548" s="6" t="n">
        <v>886300</v>
      </c>
      <c r="B5548" s="6" t="inlineStr">
        <is>
          <t>FRANZIA FRUITY RED SANGRIA</t>
        </is>
      </c>
      <c r="C5548" s="7">
        <f>VLOOKUP(A5548,SizeData!A$2:B$3839,2,FALSE)</f>
        <v/>
      </c>
      <c r="D5548" s="6" t="n">
        <v>1</v>
      </c>
      <c r="E5548" s="6" t="inlineStr">
        <is>
          <t>R1180298</t>
        </is>
      </c>
      <c r="F5548" s="2" t="n">
        <v>44400</v>
      </c>
      <c r="G5548" s="1" t="n"/>
    </row>
    <row r="5549">
      <c r="A5549" s="6" t="n">
        <v>886300</v>
      </c>
      <c r="B5549" s="6" t="inlineStr">
        <is>
          <t>FRANZIA FRUITY RED SANGRIA</t>
        </is>
      </c>
      <c r="C5549" s="7">
        <f>VLOOKUP(A5549,SizeData!A$2:B$3839,2,FALSE)</f>
        <v/>
      </c>
      <c r="D5549" s="6" t="n">
        <v>0</v>
      </c>
      <c r="E5549" s="6" t="inlineStr">
        <is>
          <t>R1230991</t>
        </is>
      </c>
      <c r="F5549" s="2" t="n">
        <v>44441</v>
      </c>
      <c r="G5549" s="1" t="n">
        <v>1</v>
      </c>
    </row>
    <row r="5550">
      <c r="A5550" s="6" t="n">
        <v>886300</v>
      </c>
      <c r="B5550" s="6" t="inlineStr">
        <is>
          <t>FRANZIA FRUITY RED SANGRIA</t>
        </is>
      </c>
      <c r="C5550" s="7">
        <f>VLOOKUP(A5550,SizeData!A$2:B$3839,2,FALSE)</f>
        <v/>
      </c>
      <c r="D5550" s="6" t="n">
        <v>1</v>
      </c>
      <c r="E5550" s="6" t="inlineStr">
        <is>
          <t>R1242289</t>
        </is>
      </c>
      <c r="F5550" s="2" t="n">
        <v>44455</v>
      </c>
      <c r="G5550" s="1" t="n"/>
    </row>
    <row r="5551">
      <c r="A5551" s="6" t="n">
        <v>886300</v>
      </c>
      <c r="B5551" s="6" t="inlineStr">
        <is>
          <t>FRANZIA FRUITY RED SANGRIA</t>
        </is>
      </c>
      <c r="C5551" s="7">
        <f>VLOOKUP(A5551,SizeData!A$2:B$3839,2,FALSE)</f>
        <v/>
      </c>
      <c r="D5551" s="6" t="n">
        <v>1</v>
      </c>
      <c r="E5551" s="6" t="inlineStr">
        <is>
          <t>R1340613</t>
        </is>
      </c>
      <c r="F5551" s="2" t="n">
        <v>44520</v>
      </c>
      <c r="G5551" s="1" t="n"/>
    </row>
    <row r="5552">
      <c r="A5552" s="6" t="n">
        <v>886300</v>
      </c>
      <c r="B5552" s="6" t="inlineStr">
        <is>
          <t>FRANZIA FRUITY RED SANGRIA</t>
        </is>
      </c>
      <c r="C5552" s="7">
        <f>VLOOKUP(A5552,SizeData!A$2:B$3839,2,FALSE)</f>
        <v/>
      </c>
      <c r="D5552" s="6" t="n">
        <v>1</v>
      </c>
      <c r="E5552" s="6" t="inlineStr">
        <is>
          <t>R1365354</t>
        </is>
      </c>
      <c r="F5552" s="2" t="n">
        <v>44532</v>
      </c>
      <c r="G5552" s="1" t="n"/>
    </row>
    <row r="5553">
      <c r="A5553" s="6" t="n">
        <v>891000</v>
      </c>
      <c r="B5553" s="6" t="inlineStr">
        <is>
          <t>PETER VELLA SANGRIA</t>
        </is>
      </c>
      <c r="C5553" s="7">
        <f>VLOOKUP(A5553,SizeData!A$2:B$3839,2,FALSE)</f>
        <v/>
      </c>
      <c r="D5553" s="6" t="n">
        <v>2</v>
      </c>
      <c r="E5553" s="6" t="inlineStr">
        <is>
          <t>R1027896</t>
        </is>
      </c>
      <c r="F5553" s="2" t="n">
        <v>44247</v>
      </c>
      <c r="G5553" s="1" t="n"/>
    </row>
    <row r="5554">
      <c r="A5554" s="6" t="n">
        <v>891000</v>
      </c>
      <c r="B5554" s="6" t="inlineStr">
        <is>
          <t>PETER VELLA SANGRIA</t>
        </is>
      </c>
      <c r="C5554" s="7">
        <f>VLOOKUP(A5554,SizeData!A$2:B$3839,2,FALSE)</f>
        <v/>
      </c>
      <c r="D5554" s="6" t="n">
        <v>2</v>
      </c>
      <c r="E5554" s="6" t="inlineStr">
        <is>
          <t>R1029842</t>
        </is>
      </c>
      <c r="F5554" s="2" t="n">
        <v>44249</v>
      </c>
      <c r="G5554" s="1" t="n"/>
    </row>
    <row r="5555">
      <c r="A5555" s="6" t="n">
        <v>891000</v>
      </c>
      <c r="B5555" s="6" t="inlineStr">
        <is>
          <t>PETER VELLA SANGRIA</t>
        </is>
      </c>
      <c r="C5555" s="7">
        <f>VLOOKUP(A5555,SizeData!A$2:B$3839,2,FALSE)</f>
        <v/>
      </c>
      <c r="D5555" s="6" t="n">
        <v>1</v>
      </c>
      <c r="E5555" s="6" t="inlineStr">
        <is>
          <t>R1072360</t>
        </is>
      </c>
      <c r="F5555" s="2" t="n">
        <v>44281</v>
      </c>
      <c r="G5555" s="1" t="n"/>
    </row>
    <row r="5556">
      <c r="A5556" s="6" t="n">
        <v>891000</v>
      </c>
      <c r="B5556" s="6" t="inlineStr">
        <is>
          <t>PETER VELLA SANGRIA</t>
        </is>
      </c>
      <c r="C5556" s="7">
        <f>VLOOKUP(A5556,SizeData!A$2:B$3839,2,FALSE)</f>
        <v/>
      </c>
      <c r="D5556" s="6" t="n">
        <v>1</v>
      </c>
      <c r="E5556" s="6" t="inlineStr">
        <is>
          <t>R1084018</t>
        </is>
      </c>
      <c r="F5556" s="2" t="n">
        <v>44292</v>
      </c>
      <c r="G5556" s="1" t="n"/>
    </row>
    <row r="5557">
      <c r="A5557" s="6" t="n">
        <v>891000</v>
      </c>
      <c r="B5557" s="6" t="inlineStr">
        <is>
          <t>PETER VELLA SANGRIA</t>
        </is>
      </c>
      <c r="C5557" s="7">
        <f>VLOOKUP(A5557,SizeData!A$2:B$3839,2,FALSE)</f>
        <v/>
      </c>
      <c r="D5557" s="6" t="n">
        <v>1</v>
      </c>
      <c r="E5557" s="6" t="inlineStr">
        <is>
          <t>R1151004</t>
        </is>
      </c>
      <c r="F5557" s="2" t="n">
        <v>44358</v>
      </c>
      <c r="G5557" s="1" t="n"/>
    </row>
    <row r="5558">
      <c r="A5558" s="6" t="n">
        <v>891000</v>
      </c>
      <c r="B5558" s="6" t="inlineStr">
        <is>
          <t>PETER VELLA SANGRIA</t>
        </is>
      </c>
      <c r="C5558" s="7">
        <f>VLOOKUP(A5558,SizeData!A$2:B$3839,2,FALSE)</f>
        <v/>
      </c>
      <c r="D5558" s="6" t="n">
        <v>1</v>
      </c>
      <c r="E5558" s="6" t="inlineStr">
        <is>
          <t>R1167188</t>
        </is>
      </c>
      <c r="F5558" s="2" t="n">
        <v>44379</v>
      </c>
      <c r="G5558" s="1" t="n"/>
    </row>
    <row r="5559">
      <c r="A5559" s="6" t="n">
        <v>891000</v>
      </c>
      <c r="B5559" s="6" t="inlineStr">
        <is>
          <t>PETER VELLA SANGRIA</t>
        </is>
      </c>
      <c r="C5559" s="7">
        <f>VLOOKUP(A5559,SizeData!A$2:B$3839,2,FALSE)</f>
        <v/>
      </c>
      <c r="D5559" s="6" t="n">
        <v>1</v>
      </c>
      <c r="E5559" s="6" t="inlineStr">
        <is>
          <t>R1181946</t>
        </is>
      </c>
      <c r="F5559" s="2" t="n">
        <v>44398</v>
      </c>
      <c r="G5559" s="1" t="n"/>
    </row>
    <row r="5560">
      <c r="A5560" s="6" t="n">
        <v>891000</v>
      </c>
      <c r="B5560" s="6" t="inlineStr">
        <is>
          <t>PETER VELLA SANGRIA</t>
        </is>
      </c>
      <c r="C5560" s="7">
        <f>VLOOKUP(A5560,SizeData!A$2:B$3839,2,FALSE)</f>
        <v/>
      </c>
      <c r="D5560" s="6" t="n">
        <v>1</v>
      </c>
      <c r="E5560" s="6" t="inlineStr">
        <is>
          <t>R1222253</t>
        </is>
      </c>
      <c r="F5560" s="2" t="n">
        <v>44435</v>
      </c>
      <c r="G5560" s="1" t="n"/>
    </row>
    <row r="5561">
      <c r="A5561" s="6" t="n">
        <v>891000</v>
      </c>
      <c r="B5561" s="6" t="inlineStr">
        <is>
          <t>PETER VELLA SANGRIA</t>
        </is>
      </c>
      <c r="C5561" s="7">
        <f>VLOOKUP(A5561,SizeData!A$2:B$3839,2,FALSE)</f>
        <v/>
      </c>
      <c r="D5561" s="6" t="n">
        <v>2</v>
      </c>
      <c r="E5561" s="6" t="inlineStr">
        <is>
          <t>R1270613</t>
        </is>
      </c>
      <c r="F5561" s="2" t="n">
        <v>44461</v>
      </c>
      <c r="G5561" s="1" t="n"/>
    </row>
    <row r="5562">
      <c r="A5562" s="6" t="n">
        <v>891000</v>
      </c>
      <c r="B5562" s="6" t="inlineStr">
        <is>
          <t>PETER VELLA SANGRIA</t>
        </is>
      </c>
      <c r="C5562" s="7">
        <f>VLOOKUP(A5562,SizeData!A$2:B$3839,2,FALSE)</f>
        <v/>
      </c>
      <c r="D5562" s="6" t="n">
        <v>2</v>
      </c>
      <c r="E5562" s="6" t="inlineStr">
        <is>
          <t>R1353189</t>
        </is>
      </c>
      <c r="F5562" s="2" t="n">
        <v>44539</v>
      </c>
      <c r="G5562" s="1" t="n"/>
    </row>
    <row r="5563">
      <c r="A5563" s="6" t="n">
        <v>891002</v>
      </c>
      <c r="B5563" s="6" t="inlineStr">
        <is>
          <t>PETER VELLA MOSCATO SANGRIA</t>
        </is>
      </c>
      <c r="C5563" s="7">
        <f>VLOOKUP(A5563,SizeData!A$2:B$3839,2,FALSE)</f>
        <v/>
      </c>
      <c r="D5563" s="6" t="n">
        <v>1</v>
      </c>
      <c r="E5563" s="6" t="inlineStr">
        <is>
          <t>R1015058</t>
        </is>
      </c>
      <c r="F5563" s="2" t="n">
        <v>44217</v>
      </c>
      <c r="G5563" s="1" t="n"/>
    </row>
    <row r="5564">
      <c r="A5564" s="6" t="n">
        <v>891002</v>
      </c>
      <c r="B5564" s="6" t="inlineStr">
        <is>
          <t>PETER VELLA MOSCATO SANGRIA</t>
        </is>
      </c>
      <c r="C5564" s="7">
        <f>VLOOKUP(A5564,SizeData!A$2:B$3839,2,FALSE)</f>
        <v/>
      </c>
      <c r="D5564" s="6" t="n">
        <v>2</v>
      </c>
      <c r="E5564" s="6" t="inlineStr">
        <is>
          <t>R1015646</t>
        </is>
      </c>
      <c r="F5564" s="2" t="n">
        <v>44223</v>
      </c>
      <c r="G5564" s="1" t="n"/>
    </row>
    <row r="5565">
      <c r="A5565" s="6" t="n">
        <v>891002</v>
      </c>
      <c r="B5565" s="6" t="inlineStr">
        <is>
          <t>PETER VELLA MOSCATO SANGRIA</t>
        </is>
      </c>
      <c r="C5565" s="7">
        <f>VLOOKUP(A5565,SizeData!A$2:B$3839,2,FALSE)</f>
        <v/>
      </c>
      <c r="D5565" s="6" t="n">
        <v>1</v>
      </c>
      <c r="E5565" s="6" t="inlineStr">
        <is>
          <t>R1029842</t>
        </is>
      </c>
      <c r="F5565" s="2" t="n">
        <v>44249</v>
      </c>
      <c r="G5565" s="1" t="n"/>
    </row>
    <row r="5566">
      <c r="A5566" s="6" t="n">
        <v>891002</v>
      </c>
      <c r="B5566" s="6" t="inlineStr">
        <is>
          <t>PETER VELLA MOSCATO SANGRIA</t>
        </is>
      </c>
      <c r="C5566" s="7">
        <f>VLOOKUP(A5566,SizeData!A$2:B$3839,2,FALSE)</f>
        <v/>
      </c>
      <c r="D5566" s="6" t="n">
        <v>1</v>
      </c>
      <c r="E5566" s="6" t="inlineStr">
        <is>
          <t>R1222253</t>
        </is>
      </c>
      <c r="F5566" s="2" t="n">
        <v>44435</v>
      </c>
      <c r="G5566" s="1" t="n"/>
    </row>
    <row r="5567">
      <c r="A5567" s="6" t="n">
        <v>891002</v>
      </c>
      <c r="B5567" s="6" t="inlineStr">
        <is>
          <t>PETER VELLA MOSCATO SANGRIA</t>
        </is>
      </c>
      <c r="C5567" s="7">
        <f>VLOOKUP(A5567,SizeData!A$2:B$3839,2,FALSE)</f>
        <v/>
      </c>
      <c r="D5567" s="6" t="n">
        <v>1</v>
      </c>
      <c r="E5567" s="6" t="inlineStr">
        <is>
          <t>R1236179</t>
        </is>
      </c>
      <c r="F5567" s="2" t="n">
        <v>44443</v>
      </c>
      <c r="G5567" s="1" t="n"/>
    </row>
    <row r="5568">
      <c r="A5568" s="6" t="n">
        <v>891002</v>
      </c>
      <c r="B5568" s="6" t="inlineStr">
        <is>
          <t>PETER VELLA MOSCATO SANGRIA</t>
        </is>
      </c>
      <c r="C5568" s="7">
        <f>VLOOKUP(A5568,SizeData!A$2:B$3839,2,FALSE)</f>
        <v/>
      </c>
      <c r="D5568" s="6" t="n">
        <v>1</v>
      </c>
      <c r="E5568" s="6" t="inlineStr">
        <is>
          <t>R1279942</t>
        </is>
      </c>
      <c r="F5568" s="2" t="n">
        <v>44487</v>
      </c>
      <c r="G5568" s="1" t="n"/>
    </row>
    <row r="5569">
      <c r="A5569" s="6" t="n">
        <v>891002</v>
      </c>
      <c r="B5569" s="6" t="inlineStr">
        <is>
          <t>PETER VELLA MOSCATO SANGRIA</t>
        </is>
      </c>
      <c r="C5569" s="7">
        <f>VLOOKUP(A5569,SizeData!A$2:B$3839,2,FALSE)</f>
        <v/>
      </c>
      <c r="D5569" s="6" t="n">
        <v>1</v>
      </c>
      <c r="E5569" s="6" t="inlineStr">
        <is>
          <t>R1301404</t>
        </is>
      </c>
      <c r="F5569" s="2" t="n">
        <v>44489</v>
      </c>
      <c r="G5569" s="1" t="n"/>
    </row>
    <row r="5570">
      <c r="A5570" s="6" t="n">
        <v>891002</v>
      </c>
      <c r="B5570" s="6" t="inlineStr">
        <is>
          <t>PETER VELLA MOSCATO SANGRIA</t>
        </is>
      </c>
      <c r="C5570" s="7">
        <f>VLOOKUP(A5570,SizeData!A$2:B$3839,2,FALSE)</f>
        <v/>
      </c>
      <c r="D5570" s="6" t="n">
        <v>1</v>
      </c>
      <c r="E5570" s="6" t="inlineStr">
        <is>
          <t>R1340613</t>
        </is>
      </c>
      <c r="F5570" s="2" t="n">
        <v>44520</v>
      </c>
      <c r="G5570" s="1" t="n"/>
    </row>
    <row r="5571">
      <c r="A5571" s="6" t="n">
        <v>891004</v>
      </c>
      <c r="B5571" s="6" t="inlineStr">
        <is>
          <t>PETER VELLA PINK MOSCATO SANGRIA</t>
        </is>
      </c>
      <c r="C5571" s="7">
        <f>VLOOKUP(A5571,SizeData!A$2:B$3839,2,FALSE)</f>
        <v/>
      </c>
      <c r="D5571" s="6" t="n">
        <v>1</v>
      </c>
      <c r="E5571" s="6" t="inlineStr">
        <is>
          <t>R1027826</t>
        </is>
      </c>
      <c r="F5571" s="2" t="n">
        <v>44229</v>
      </c>
      <c r="G5571" s="1" t="n"/>
    </row>
    <row r="5572">
      <c r="A5572" s="6" t="n">
        <v>891004</v>
      </c>
      <c r="B5572" s="6" t="inlineStr">
        <is>
          <t>PETER VELLA PINK MOSCATO SANGRIA</t>
        </is>
      </c>
      <c r="C5572" s="7">
        <f>VLOOKUP(A5572,SizeData!A$2:B$3839,2,FALSE)</f>
        <v/>
      </c>
      <c r="D5572" s="6" t="n">
        <v>2</v>
      </c>
      <c r="E5572" s="6" t="inlineStr">
        <is>
          <t>R1027896</t>
        </is>
      </c>
      <c r="F5572" s="2" t="n">
        <v>44247</v>
      </c>
      <c r="G5572" s="1" t="n"/>
    </row>
    <row r="5573">
      <c r="A5573" s="6" t="n">
        <v>891004</v>
      </c>
      <c r="B5573" s="6" t="inlineStr">
        <is>
          <t>PETER VELLA PINK MOSCATO SANGRIA</t>
        </is>
      </c>
      <c r="C5573" s="7">
        <f>VLOOKUP(A5573,SizeData!A$2:B$3839,2,FALSE)</f>
        <v/>
      </c>
      <c r="D5573" s="6" t="n">
        <v>2</v>
      </c>
      <c r="E5573" s="6" t="inlineStr">
        <is>
          <t>R1070281</t>
        </is>
      </c>
      <c r="F5573" s="2" t="n">
        <v>44275</v>
      </c>
      <c r="G5573" s="1" t="n"/>
    </row>
    <row r="5574">
      <c r="A5574" s="6" t="n">
        <v>891004</v>
      </c>
      <c r="B5574" s="6" t="inlineStr">
        <is>
          <t>PETER VELLA PINK MOSCATO SANGRIA</t>
        </is>
      </c>
      <c r="C5574" s="7">
        <f>VLOOKUP(A5574,SizeData!A$2:B$3839,2,FALSE)</f>
        <v/>
      </c>
      <c r="D5574" s="6" t="n">
        <v>1</v>
      </c>
      <c r="E5574" s="6" t="inlineStr">
        <is>
          <t>R1072360</t>
        </is>
      </c>
      <c r="F5574" s="2" t="n">
        <v>44281</v>
      </c>
      <c r="G5574" s="1" t="n"/>
    </row>
    <row r="5575">
      <c r="A5575" s="6" t="n">
        <v>891004</v>
      </c>
      <c r="B5575" s="6" t="inlineStr">
        <is>
          <t>PETER VELLA PINK MOSCATO SANGRIA</t>
        </is>
      </c>
      <c r="C5575" s="7">
        <f>VLOOKUP(A5575,SizeData!A$2:B$3839,2,FALSE)</f>
        <v/>
      </c>
      <c r="D5575" s="6" t="n">
        <v>1</v>
      </c>
      <c r="E5575" s="6" t="inlineStr">
        <is>
          <t>R1132522</t>
        </is>
      </c>
      <c r="F5575" s="2" t="n">
        <v>44341</v>
      </c>
      <c r="G5575" s="1" t="n"/>
    </row>
    <row r="5576">
      <c r="A5576" s="6" t="n">
        <v>891004</v>
      </c>
      <c r="B5576" s="6" t="inlineStr">
        <is>
          <t>PETER VELLA PINK MOSCATO SANGRIA</t>
        </is>
      </c>
      <c r="C5576" s="7">
        <f>VLOOKUP(A5576,SizeData!A$2:B$3839,2,FALSE)</f>
        <v/>
      </c>
      <c r="D5576" s="6" t="n">
        <v>1</v>
      </c>
      <c r="E5576" s="6" t="inlineStr">
        <is>
          <t>R1151004</t>
        </is>
      </c>
      <c r="F5576" s="2" t="n">
        <v>44358</v>
      </c>
      <c r="G5576" s="1" t="n"/>
    </row>
    <row r="5577">
      <c r="A5577" s="6" t="n">
        <v>891004</v>
      </c>
      <c r="B5577" s="6" t="inlineStr">
        <is>
          <t>PETER VELLA PINK MOSCATO SANGRIA</t>
        </is>
      </c>
      <c r="C5577" s="7">
        <f>VLOOKUP(A5577,SizeData!A$2:B$3839,2,FALSE)</f>
        <v/>
      </c>
      <c r="D5577" s="6" t="n">
        <v>1</v>
      </c>
      <c r="E5577" s="6" t="inlineStr">
        <is>
          <t>R1163907</t>
        </is>
      </c>
      <c r="F5577" s="2" t="n">
        <v>44373</v>
      </c>
      <c r="G5577" s="1" t="n"/>
    </row>
    <row r="5578">
      <c r="A5578" s="6" t="n">
        <v>891004</v>
      </c>
      <c r="B5578" s="6" t="inlineStr">
        <is>
          <t>PETER VELLA PINK MOSCATO SANGRIA</t>
        </is>
      </c>
      <c r="C5578" s="7">
        <f>VLOOKUP(A5578,SizeData!A$2:B$3839,2,FALSE)</f>
        <v/>
      </c>
      <c r="D5578" s="6" t="n">
        <v>1</v>
      </c>
      <c r="E5578" s="6" t="inlineStr">
        <is>
          <t>R1167188</t>
        </is>
      </c>
      <c r="F5578" s="2" t="n">
        <v>44379</v>
      </c>
      <c r="G5578" s="1" t="n"/>
    </row>
    <row r="5579">
      <c r="A5579" s="6" t="n">
        <v>891004</v>
      </c>
      <c r="B5579" s="6" t="inlineStr">
        <is>
          <t>PETER VELLA PINK MOSCATO SANGRIA</t>
        </is>
      </c>
      <c r="C5579" s="7">
        <f>VLOOKUP(A5579,SizeData!A$2:B$3839,2,FALSE)</f>
        <v/>
      </c>
      <c r="D5579" s="6" t="n">
        <v>1</v>
      </c>
      <c r="E5579" s="6" t="inlineStr">
        <is>
          <t>R1174033</t>
        </is>
      </c>
      <c r="F5579" s="2" t="n">
        <v>44394</v>
      </c>
      <c r="G5579" s="1" t="n"/>
    </row>
    <row r="5580">
      <c r="A5580" s="6" t="n">
        <v>891004</v>
      </c>
      <c r="B5580" s="6" t="inlineStr">
        <is>
          <t>PETER VELLA PINK MOSCATO SANGRIA</t>
        </is>
      </c>
      <c r="C5580" s="7">
        <f>VLOOKUP(A5580,SizeData!A$2:B$3839,2,FALSE)</f>
        <v/>
      </c>
      <c r="D5580" s="6" t="n">
        <v>1</v>
      </c>
      <c r="E5580" s="6" t="inlineStr">
        <is>
          <t xml:space="preserve"> R1188252</t>
        </is>
      </c>
      <c r="F5580" s="2" t="n">
        <v>44406</v>
      </c>
      <c r="G5580" s="1" t="n"/>
    </row>
    <row r="5581">
      <c r="A5581" s="6" t="n">
        <v>891004</v>
      </c>
      <c r="B5581" s="6" t="inlineStr">
        <is>
          <t>PETER VELLA PINK MOSCATO SANGRIA</t>
        </is>
      </c>
      <c r="C5581" s="7">
        <f>VLOOKUP(A5581,SizeData!A$2:B$3839,2,FALSE)</f>
        <v/>
      </c>
      <c r="D5581" s="6" t="n">
        <v>2</v>
      </c>
      <c r="E5581" s="6" t="inlineStr">
        <is>
          <t>R1254400</t>
        </is>
      </c>
      <c r="F5581" s="2" t="n">
        <v>44468</v>
      </c>
      <c r="G5581" s="1" t="n"/>
    </row>
    <row r="5582">
      <c r="A5582" s="6" t="n">
        <v>891004</v>
      </c>
      <c r="B5582" s="6" t="inlineStr">
        <is>
          <t>PETER VELLA PINK MOSCATO SANGRIA</t>
        </is>
      </c>
      <c r="C5582" s="7">
        <f>VLOOKUP(A5582,SizeData!A$2:B$3839,2,FALSE)</f>
        <v/>
      </c>
      <c r="D5582" s="6" t="n">
        <v>1</v>
      </c>
      <c r="E5582" s="6" t="inlineStr">
        <is>
          <t>R1301404</t>
        </is>
      </c>
      <c r="F5582" s="2" t="n">
        <v>44489</v>
      </c>
      <c r="G5582" s="1" t="n"/>
    </row>
    <row r="5583">
      <c r="A5583" s="6" t="n">
        <v>891004</v>
      </c>
      <c r="B5583" s="6" t="inlineStr">
        <is>
          <t>PETER VELLA PINK MOSCATO SANGRIA</t>
        </is>
      </c>
      <c r="C5583" s="7">
        <f>VLOOKUP(A5583,SizeData!A$2:B$3839,2,FALSE)</f>
        <v/>
      </c>
      <c r="D5583" s="6" t="n">
        <v>0</v>
      </c>
      <c r="E5583" s="6" t="inlineStr">
        <is>
          <t>R1308140</t>
        </is>
      </c>
      <c r="F5583" s="2" t="n">
        <v>44503</v>
      </c>
      <c r="G5583" s="1" t="n"/>
    </row>
    <row r="5584">
      <c r="A5584" s="6" t="n">
        <v>891004</v>
      </c>
      <c r="B5584" s="6" t="inlineStr">
        <is>
          <t>PETER VELLA PINK MOSCATO SANGRIA</t>
        </is>
      </c>
      <c r="C5584" s="7">
        <f>VLOOKUP(A5584,SizeData!A$2:B$3839,2,FALSE)</f>
        <v/>
      </c>
      <c r="D5584" s="6" t="n">
        <v>2</v>
      </c>
      <c r="E5584" s="6" t="inlineStr">
        <is>
          <t>R1365354</t>
        </is>
      </c>
      <c r="F5584" s="2" t="n">
        <v>44532</v>
      </c>
      <c r="G5584" s="1" t="n"/>
    </row>
    <row r="5585">
      <c r="A5585" s="6" t="n">
        <v>892850</v>
      </c>
      <c r="B5585" s="6" t="inlineStr">
        <is>
          <t>RANCHO LA GLORIA MARGARITA WINE COCKTAIL 12-750ML</t>
        </is>
      </c>
      <c r="C5585" s="7">
        <f>VLOOKUP(A5585,SizeData!A$2:B$3839,2,FALSE)</f>
        <v/>
      </c>
      <c r="D5585" s="6" t="n">
        <v>8</v>
      </c>
      <c r="E5585" s="6" t="inlineStr">
        <is>
          <t xml:space="preserve"> R1091983</t>
        </is>
      </c>
      <c r="F5585" s="2" t="n">
        <v>44300</v>
      </c>
      <c r="G5585" s="1" t="n"/>
    </row>
    <row r="5586">
      <c r="A5586" s="6" t="n">
        <v>892850</v>
      </c>
      <c r="B5586" s="6" t="inlineStr">
        <is>
          <t>RANCHO LA GLORIA MARGARITA WINE COCKTAIL 12-750ML</t>
        </is>
      </c>
      <c r="C5586" s="7">
        <f>VLOOKUP(A5586,SizeData!A$2:B$3839,2,FALSE)</f>
        <v/>
      </c>
      <c r="D5586" s="6" t="n">
        <v>5</v>
      </c>
      <c r="E5586" s="6" t="inlineStr">
        <is>
          <t xml:space="preserve"> R1133829</t>
        </is>
      </c>
      <c r="F5586" s="2" t="n">
        <v>44350</v>
      </c>
      <c r="G5586" s="1" t="n"/>
    </row>
    <row r="5587">
      <c r="A5587" s="6" t="n">
        <v>892850</v>
      </c>
      <c r="B5587" s="6" t="inlineStr">
        <is>
          <t>RANCHO LA GLORIA MARGARITA WINE COCKTAIL 12-750ML</t>
        </is>
      </c>
      <c r="C5587" s="7">
        <f>VLOOKUP(A5587,SizeData!A$2:B$3839,2,FALSE)</f>
        <v/>
      </c>
      <c r="D5587" s="6" t="n">
        <v>3</v>
      </c>
      <c r="E5587" s="6" t="inlineStr">
        <is>
          <t>R1146432</t>
        </is>
      </c>
      <c r="F5587" s="2" t="n">
        <v>44356</v>
      </c>
      <c r="G5587" s="1" t="n"/>
    </row>
    <row r="5588">
      <c r="A5588" s="6" t="n">
        <v>892850</v>
      </c>
      <c r="B5588" s="6" t="inlineStr">
        <is>
          <t>RANCHO LA GLORIA MARGARITA WINE COCKTAIL 12-750ML</t>
        </is>
      </c>
      <c r="C5588" s="7">
        <f>VLOOKUP(A5588,SizeData!A$2:B$3839,2,FALSE)</f>
        <v/>
      </c>
      <c r="D5588" s="6" t="n">
        <v>2</v>
      </c>
      <c r="E5588" s="6" t="inlineStr">
        <is>
          <t>R1183360</t>
        </is>
      </c>
      <c r="F5588" s="2" t="n">
        <v>44405</v>
      </c>
      <c r="G5588" s="1" t="n"/>
    </row>
    <row r="5589">
      <c r="A5589" s="6" t="n">
        <v>892850</v>
      </c>
      <c r="B5589" s="6" t="inlineStr">
        <is>
          <t>RANCHO LA GLORIA MARGARITA WINE COCKTAIL 12-750ML</t>
        </is>
      </c>
      <c r="C5589" s="7">
        <f>VLOOKUP(A5589,SizeData!A$2:B$3839,2,FALSE)</f>
        <v/>
      </c>
      <c r="D5589" s="6" t="n">
        <v>0</v>
      </c>
      <c r="E5589" s="6" t="inlineStr">
        <is>
          <t>R1270963</t>
        </is>
      </c>
      <c r="F5589" s="2" t="n">
        <v>44470</v>
      </c>
      <c r="G5589" s="1" t="n"/>
    </row>
    <row r="5590">
      <c r="A5590" s="6" t="n">
        <v>892850</v>
      </c>
      <c r="B5590" s="6" t="inlineStr">
        <is>
          <t>RANCHO LA GLORIA MARGARITA WINE COCKTAIL 12-750ML</t>
        </is>
      </c>
      <c r="C5590" s="7">
        <f>VLOOKUP(A5590,SizeData!A$2:B$3839,2,FALSE)</f>
        <v/>
      </c>
      <c r="D5590" s="6" t="n">
        <v>2</v>
      </c>
      <c r="E5590" s="6" t="inlineStr">
        <is>
          <t>R1277647</t>
        </is>
      </c>
      <c r="F5590" s="2" t="n">
        <v>44484</v>
      </c>
      <c r="G5590" s="1" t="n"/>
    </row>
    <row r="5591">
      <c r="A5591" s="6" t="n">
        <v>892850</v>
      </c>
      <c r="B5591" s="6" t="inlineStr">
        <is>
          <t>RANCHO LA GLORIA MARGARITA WINE COCKTAIL 12-750ML</t>
        </is>
      </c>
      <c r="C5591" s="7">
        <f>VLOOKUP(A5591,SizeData!A$2:B$3839,2,FALSE)</f>
        <v/>
      </c>
      <c r="D5591" s="6" t="n">
        <v>4</v>
      </c>
      <c r="E5591" s="6" t="inlineStr">
        <is>
          <t>R1329660</t>
        </is>
      </c>
      <c r="F5591" s="2" t="n">
        <v>44525</v>
      </c>
      <c r="G5591" s="1" t="n"/>
    </row>
    <row r="5592">
      <c r="A5592" s="6" t="n">
        <v>892852</v>
      </c>
      <c r="B5592" s="6" t="inlineStr">
        <is>
          <t>RANCHO LA GLORIA STRAWBERRY MARG</t>
        </is>
      </c>
      <c r="C5592" s="7">
        <f>VLOOKUP(A5592,SizeData!A$2:B$3839,2,FALSE)</f>
        <v/>
      </c>
      <c r="D5592" s="6" t="n">
        <v>10</v>
      </c>
      <c r="E5592" s="6" t="inlineStr">
        <is>
          <t>R993436</t>
        </is>
      </c>
      <c r="F5592" s="2" t="n">
        <v>44208</v>
      </c>
      <c r="G5592" s="1" t="n"/>
    </row>
    <row r="5593">
      <c r="A5593" s="15" t="n">
        <v>892852</v>
      </c>
      <c r="B5593" s="15" t="inlineStr">
        <is>
          <t>RANCHO LA GLORIA STRAWBERRY MARG</t>
        </is>
      </c>
      <c r="C5593" s="7">
        <f>VLOOKUP(A5593,SizeData!A$2:B$3839,2,FALSE)</f>
        <v/>
      </c>
      <c r="D5593" s="15" t="n">
        <v>10</v>
      </c>
      <c r="E5593" s="15" t="inlineStr">
        <is>
          <t>R1033413</t>
        </is>
      </c>
      <c r="F5593" s="16" t="n">
        <v>44250</v>
      </c>
      <c r="G5593" s="1" t="n"/>
    </row>
    <row r="5594">
      <c r="A5594" s="6" t="n">
        <v>892852</v>
      </c>
      <c r="B5594" s="6" t="inlineStr">
        <is>
          <t>RANCHO LA GLORIA STRAWBERRY MARG</t>
        </is>
      </c>
      <c r="C5594" s="7">
        <f>VLOOKUP(A5594,SizeData!A$2:B$3839,2,FALSE)</f>
        <v/>
      </c>
      <c r="D5594" s="6" t="n">
        <v>5</v>
      </c>
      <c r="E5594" s="6" t="inlineStr">
        <is>
          <t>R1049719</t>
        </is>
      </c>
      <c r="F5594" s="2" t="n">
        <v>44258</v>
      </c>
      <c r="G5594" s="1" t="n"/>
    </row>
    <row r="5595">
      <c r="A5595" s="6" t="n">
        <v>892852</v>
      </c>
      <c r="B5595" s="6" t="inlineStr">
        <is>
          <t>RANCHO LA GLORIA STRAWBERRY MARG</t>
        </is>
      </c>
      <c r="C5595" s="7">
        <f>VLOOKUP(A5595,SizeData!A$2:B$3839,2,FALSE)</f>
        <v/>
      </c>
      <c r="D5595" s="6" t="n">
        <v>5</v>
      </c>
      <c r="E5595" s="6" t="inlineStr">
        <is>
          <t>R1049719</t>
        </is>
      </c>
      <c r="F5595" s="2" t="n">
        <v>44264</v>
      </c>
      <c r="G5595" s="1" t="n"/>
    </row>
    <row r="5596">
      <c r="A5596" s="6" t="n">
        <v>892852</v>
      </c>
      <c r="B5596" s="6" t="inlineStr">
        <is>
          <t>RANCHO LA GLORIA STRAWBERRY MARG</t>
        </is>
      </c>
      <c r="C5596" s="7">
        <f>VLOOKUP(A5596,SizeData!A$2:B$3839,2,FALSE)</f>
        <v/>
      </c>
      <c r="D5596" s="6" t="n">
        <v>5</v>
      </c>
      <c r="E5596" s="6" t="inlineStr">
        <is>
          <t xml:space="preserve"> R1082190</t>
        </is>
      </c>
      <c r="F5596" s="2" t="n">
        <v>44299</v>
      </c>
      <c r="G5596" s="1" t="n"/>
    </row>
    <row r="5597">
      <c r="A5597" s="6" t="n">
        <v>892852</v>
      </c>
      <c r="B5597" s="6" t="inlineStr">
        <is>
          <t>RANCHO LA GLORIA STRAWBERRY MARG</t>
        </is>
      </c>
      <c r="C5597" s="7">
        <f>VLOOKUP(A5597,SizeData!A$2:B$3839,2,FALSE)</f>
        <v/>
      </c>
      <c r="D5597" s="6" t="n">
        <v>5</v>
      </c>
      <c r="E5597" s="6" t="inlineStr">
        <is>
          <t>R1136661</t>
        </is>
      </c>
      <c r="F5597" s="2" t="n">
        <v>44343</v>
      </c>
      <c r="G5597" s="1" t="n"/>
    </row>
    <row r="5598">
      <c r="A5598" s="6" t="n">
        <v>892852</v>
      </c>
      <c r="B5598" s="6" t="inlineStr">
        <is>
          <t>RANCHO LA GLORIA STRAWBERRY MARG</t>
        </is>
      </c>
      <c r="C5598" s="7">
        <f>VLOOKUP(A5598,SizeData!A$2:B$3839,2,FALSE)</f>
        <v/>
      </c>
      <c r="D5598" s="6" t="n">
        <v>1</v>
      </c>
      <c r="E5598" s="6" t="inlineStr">
        <is>
          <t>R1259107</t>
        </is>
      </c>
      <c r="F5598" s="2" t="n">
        <v>44466</v>
      </c>
      <c r="G5598" s="1" t="n"/>
    </row>
    <row r="5599">
      <c r="A5599" s="6" t="n">
        <v>892852</v>
      </c>
      <c r="B5599" s="6" t="inlineStr">
        <is>
          <t>RANCHO LA GLORIA STRAWBERRY MARG</t>
        </is>
      </c>
      <c r="C5599" s="7">
        <f>VLOOKUP(A5599,SizeData!A$2:B$3839,2,FALSE)</f>
        <v/>
      </c>
      <c r="D5599" s="6" t="n">
        <v>0</v>
      </c>
      <c r="E5599" s="6" t="inlineStr">
        <is>
          <t>R1270963</t>
        </is>
      </c>
      <c r="F5599" s="2" t="n">
        <v>44470</v>
      </c>
      <c r="G5599" s="1" t="n"/>
    </row>
    <row r="5600">
      <c r="A5600" s="6" t="n">
        <v>892852</v>
      </c>
      <c r="B5600" s="6" t="inlineStr">
        <is>
          <t>RANCHO LA GLORIA STRAWBERRY MARG</t>
        </is>
      </c>
      <c r="C5600" s="7">
        <f>VLOOKUP(A5600,SizeData!A$2:B$3839,2,FALSE)</f>
        <v/>
      </c>
      <c r="D5600" s="6" t="n">
        <v>5</v>
      </c>
      <c r="E5600" s="6" t="inlineStr">
        <is>
          <t>R1277647</t>
        </is>
      </c>
      <c r="F5600" s="2" t="n">
        <v>44484</v>
      </c>
      <c r="G5600" s="1" t="n"/>
    </row>
    <row r="5601">
      <c r="A5601" s="6" t="n">
        <v>892852</v>
      </c>
      <c r="B5601" s="6" t="inlineStr">
        <is>
          <t>RANCHO LA GLORIA STRAWBERRY MARG</t>
        </is>
      </c>
      <c r="C5601" s="7">
        <f>VLOOKUP(A5601,SizeData!A$2:B$3839,2,FALSE)</f>
        <v/>
      </c>
      <c r="D5601" s="6" t="n">
        <v>1</v>
      </c>
      <c r="E5601" s="6" t="inlineStr">
        <is>
          <t>R1279880</t>
        </is>
      </c>
      <c r="F5601" s="2" t="n">
        <v>44490</v>
      </c>
      <c r="G5601" s="1" t="n"/>
    </row>
    <row r="5602">
      <c r="A5602" s="6" t="n">
        <v>892852</v>
      </c>
      <c r="B5602" s="6" t="inlineStr">
        <is>
          <t>RANCHO LA GLORIA STRAWBERRY MARG</t>
        </is>
      </c>
      <c r="C5602" s="7">
        <f>VLOOKUP(A5602,SizeData!A$2:B$3839,2,FALSE)</f>
        <v/>
      </c>
      <c r="D5602" s="6" t="n">
        <v>10</v>
      </c>
      <c r="E5602" s="6" t="inlineStr">
        <is>
          <t>R1291275</t>
        </is>
      </c>
      <c r="F5602" s="2" t="n">
        <v>44498</v>
      </c>
      <c r="G5602" s="1" t="n"/>
    </row>
    <row r="5603">
      <c r="A5603" s="6" t="n">
        <v>955242</v>
      </c>
      <c r="B5603" s="6" t="inlineStr">
        <is>
          <t>OLD SOUTH SWEET MAGNOLIA MUSCADINE</t>
        </is>
      </c>
      <c r="C5603" s="7">
        <f>VLOOKUP(A5603,SizeData!A$2:B$3839,2,FALSE)</f>
        <v/>
      </c>
      <c r="D5603" s="6" t="n">
        <v>1</v>
      </c>
      <c r="E5603" s="6" t="inlineStr">
        <is>
          <t>R1109607</t>
        </is>
      </c>
      <c r="F5603" s="2" t="n">
        <v>44317</v>
      </c>
      <c r="G5603" s="1" t="n"/>
    </row>
    <row r="5604">
      <c r="A5604" s="6" t="n">
        <v>955252</v>
      </c>
      <c r="B5604" s="6" t="inlineStr">
        <is>
          <t>OLD SOUTH SWEET NOBLE MUSCADINE</t>
        </is>
      </c>
      <c r="C5604" s="7">
        <f>VLOOKUP(A5604,SizeData!A$2:B$3839,2,FALSE)</f>
        <v/>
      </c>
      <c r="D5604" s="6" t="n">
        <v>1</v>
      </c>
      <c r="E5604" s="6" t="inlineStr">
        <is>
          <t>R997848</t>
        </is>
      </c>
      <c r="F5604" s="2" t="n">
        <v>44212</v>
      </c>
      <c r="G5604" s="1" t="n"/>
    </row>
    <row r="5605">
      <c r="A5605" s="6" t="n">
        <v>955252</v>
      </c>
      <c r="B5605" s="6" t="inlineStr">
        <is>
          <t>OLD SOUTH SWEET NOBLE MUSCADINE</t>
        </is>
      </c>
      <c r="C5605" s="7">
        <f>VLOOKUP(A5605,SizeData!A$2:B$3839,2,FALSE)</f>
        <v/>
      </c>
      <c r="D5605" s="6" t="n">
        <v>1</v>
      </c>
      <c r="E5605" s="6" t="inlineStr">
        <is>
          <t>R1109574</t>
        </is>
      </c>
      <c r="F5605" s="2" t="n">
        <v>44331</v>
      </c>
      <c r="G5605" s="1" t="n"/>
    </row>
    <row r="5606">
      <c r="A5606" s="6" t="n">
        <v>955252</v>
      </c>
      <c r="B5606" s="6" t="inlineStr">
        <is>
          <t>OLD SOUTH SWEET NOBLE MUSCADINE</t>
        </is>
      </c>
      <c r="C5606" s="7">
        <f>VLOOKUP(A5606,SizeData!A$2:B$3839,2,FALSE)</f>
        <v/>
      </c>
      <c r="D5606" s="6" t="n">
        <v>1</v>
      </c>
      <c r="E5606" s="6" t="inlineStr">
        <is>
          <t>R1185856</t>
        </is>
      </c>
      <c r="F5606" s="2" t="n">
        <v>44400</v>
      </c>
      <c r="G5606" s="1" t="n"/>
    </row>
    <row r="5607">
      <c r="A5607" s="6" t="n">
        <v>955252</v>
      </c>
      <c r="B5607" s="6" t="inlineStr">
        <is>
          <t>OLD SOUTH SWEET NOBLE MUSCADINE</t>
        </is>
      </c>
      <c r="C5607" s="7">
        <f>VLOOKUP(A5607,SizeData!A$2:B$3839,2,FALSE)</f>
        <v/>
      </c>
      <c r="D5607" s="6" t="n">
        <v>1</v>
      </c>
      <c r="E5607" s="6" t="inlineStr">
        <is>
          <t>R1193604</t>
        </is>
      </c>
      <c r="F5607" s="2" t="n">
        <v>44407</v>
      </c>
      <c r="G5607" s="1" t="n"/>
    </row>
    <row r="5608">
      <c r="A5608" s="6" t="n">
        <v>955252</v>
      </c>
      <c r="B5608" s="6" t="inlineStr">
        <is>
          <t>OLD SOUTH SWEET NOBLE MUSCADINE</t>
        </is>
      </c>
      <c r="C5608" s="7">
        <f>VLOOKUP(A5608,SizeData!A$2:B$3839,2,FALSE)</f>
        <v/>
      </c>
      <c r="D5608" s="6" t="n">
        <v>1</v>
      </c>
      <c r="E5608" s="6" t="inlineStr">
        <is>
          <t>R1214748</t>
        </is>
      </c>
      <c r="F5608" s="2" t="n">
        <v>44433</v>
      </c>
      <c r="G5608" s="1" t="n"/>
    </row>
    <row r="5609">
      <c r="A5609" s="6" t="n">
        <v>955252</v>
      </c>
      <c r="B5609" s="6" t="inlineStr">
        <is>
          <t>OLD SOUTH SWEET NOBLE MUSCADINE</t>
        </is>
      </c>
      <c r="C5609" s="7">
        <f>VLOOKUP(A5609,SizeData!A$2:B$3839,2,FALSE)</f>
        <v/>
      </c>
      <c r="D5609" s="6" t="n">
        <v>2</v>
      </c>
      <c r="E5609" s="6" t="inlineStr">
        <is>
          <t>R1301404</t>
        </is>
      </c>
      <c r="F5609" s="2" t="n">
        <v>44489</v>
      </c>
      <c r="G5609" s="1" t="n"/>
    </row>
    <row r="5610">
      <c r="A5610" s="6" t="n">
        <v>955252</v>
      </c>
      <c r="B5610" s="6" t="inlineStr">
        <is>
          <t>OLD SOUTH SWEET NOBLE MUSCADINE</t>
        </is>
      </c>
      <c r="C5610" s="7">
        <f>VLOOKUP(A5610,SizeData!A$2:B$3839,2,FALSE)</f>
        <v/>
      </c>
      <c r="D5610" s="6" t="n">
        <v>1</v>
      </c>
      <c r="E5610" s="6" t="inlineStr">
        <is>
          <t>R1348543</t>
        </is>
      </c>
      <c r="F5610" s="2" t="n">
        <v>44534</v>
      </c>
      <c r="G5610" s="1" t="n"/>
    </row>
    <row r="5611">
      <c r="A5611" s="6" t="n">
        <v>955252</v>
      </c>
      <c r="B5611" s="6" t="inlineStr">
        <is>
          <t>OLD SOUTH SWEET NOBLE MUSCADINE</t>
        </is>
      </c>
      <c r="C5611" s="7">
        <f>VLOOKUP(A5611,SizeData!A$2:B$3839,2,FALSE)</f>
        <v/>
      </c>
      <c r="D5611" s="6" t="n">
        <v>1</v>
      </c>
      <c r="E5611" s="6" t="inlineStr">
        <is>
          <t>R1348543A</t>
        </is>
      </c>
      <c r="F5611" s="2" t="n">
        <v>44552</v>
      </c>
      <c r="G5611" s="1" t="n"/>
    </row>
    <row r="5612">
      <c r="A5612" s="6" t="inlineStr">
        <is>
          <t>48106</t>
        </is>
      </c>
      <c r="B5612" s="6" t="inlineStr">
        <is>
          <t>HENNESSY V S COGNAC</t>
        </is>
      </c>
      <c r="C5612" s="7">
        <f>VLOOKUP(A5612,SizeData!A$2:B$3839,2,FALSE)</f>
        <v/>
      </c>
      <c r="D5612" s="6" t="n">
        <v>10</v>
      </c>
      <c r="E5612" s="6" t="inlineStr">
        <is>
          <t>R1061768</t>
        </is>
      </c>
      <c r="F5612" s="2" t="n">
        <v>44275</v>
      </c>
      <c r="G5612" s="1" t="n"/>
    </row>
    <row r="5613">
      <c r="A5613" s="6" t="n"/>
      <c r="B5613" s="6" t="inlineStr">
        <is>
          <t>1800 SILVER TEQUILA</t>
        </is>
      </c>
      <c r="C5613" s="7">
        <f>VLOOKUP(A5613,SizeData!A$2:B$3839,2,FALSE)</f>
        <v/>
      </c>
      <c r="D5613" s="6" t="n">
        <v>2</v>
      </c>
      <c r="E5613" s="6" t="inlineStr">
        <is>
          <t>R1221301</t>
        </is>
      </c>
      <c r="F5613" s="2" t="n">
        <v>44426</v>
      </c>
      <c r="G5613" s="1" t="n"/>
    </row>
    <row r="5614">
      <c r="A5614" s="6" t="n"/>
      <c r="B5614" s="6" t="inlineStr">
        <is>
          <t>Avion Silver</t>
        </is>
      </c>
      <c r="C5614" s="7">
        <f>VLOOKUP(A5614,SizeData!A$2:B$3839,2,FALSE)</f>
        <v/>
      </c>
      <c r="D5614" s="6" t="n">
        <v>2</v>
      </c>
      <c r="E5614" s="6" t="n"/>
      <c r="F5614" s="2" t="n"/>
      <c r="G5614" s="1" t="n"/>
    </row>
    <row r="5615">
      <c r="A5615" s="6" t="n"/>
      <c r="B5615" s="6" t="inlineStr">
        <is>
          <t>CROWN ROYAL SPECIAL RESERVE</t>
        </is>
      </c>
      <c r="C5615" s="7">
        <f>VLOOKUP(A5615,SizeData!A$2:B$3839,2,FALSE)</f>
        <v/>
      </c>
      <c r="D5615" s="6" t="n">
        <v>1</v>
      </c>
      <c r="E5615" s="6" t="inlineStr">
        <is>
          <t>R1143128</t>
        </is>
      </c>
      <c r="F5615" s="2" t="n">
        <v>44355</v>
      </c>
      <c r="G5615" s="1" t="n"/>
    </row>
    <row r="5616">
      <c r="A5616" s="6" t="n"/>
      <c r="B5616" s="6" t="inlineStr">
        <is>
          <t>MIDORI MELON</t>
        </is>
      </c>
      <c r="C5616" s="7">
        <f>VLOOKUP(A5616,SizeData!A$2:B$3839,2,FALSE)</f>
        <v/>
      </c>
      <c r="D5616" s="6" t="n">
        <v>1</v>
      </c>
      <c r="E5616" s="6" t="inlineStr">
        <is>
          <t>R1054435</t>
        </is>
      </c>
      <c r="F5616" s="2" t="n">
        <v>44272</v>
      </c>
      <c r="G5616" s="1" t="n"/>
    </row>
  </sheetData>
  <autoFilter ref="A3:G5616">
    <sortState ref="A4074:G4075">
      <sortCondition ref="B3:B5616"/>
    </sortState>
  </autoFilter>
  <mergeCells count="2">
    <mergeCell ref="D1:E1"/>
    <mergeCell ref="F1:G1"/>
  </mergeCells>
  <hyperlinks>
    <hyperlink ref="B2555" display="javascript:;" r:id="rId1"/>
    <hyperlink ref="B3080" r:id="rId2"/>
  </hyperlink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03"/>
  <sheetViews>
    <sheetView workbookViewId="0">
      <pane ySplit="2" topLeftCell="A381" activePane="bottomLeft" state="frozen"/>
      <selection pane="bottomLeft" activeCell="A1" sqref="A1:XFD2"/>
    </sheetView>
  </sheetViews>
  <sheetFormatPr baseColWidth="10" defaultColWidth="9.1640625" defaultRowHeight="15"/>
  <cols>
    <col width="11.5" bestFit="1" customWidth="1" min="1" max="1"/>
    <col width="51.83203125" bestFit="1" customWidth="1" min="2" max="2"/>
    <col width="9.33203125" bestFit="1" customWidth="1" min="3" max="3"/>
    <col width="20.1640625" bestFit="1" customWidth="1" min="4" max="4"/>
    <col width="10.5" bestFit="1" customWidth="1" min="5" max="5"/>
    <col width="8.33203125" customWidth="1" min="6" max="6"/>
    <col width="16" bestFit="1" customWidth="1" min="7" max="7"/>
    <col width="15.83203125" customWidth="1" min="9" max="9"/>
  </cols>
  <sheetData>
    <row r="1" ht="24" customHeight="1">
      <c r="B1" s="63">
        <f>TODAY()</f>
        <v/>
      </c>
      <c r="C1" s="14" t="inlineStr">
        <is>
          <t>Total</t>
        </is>
      </c>
      <c r="D1" s="29">
        <f>SUM(D3:D1049)</f>
        <v/>
      </c>
    </row>
    <row r="2">
      <c r="A2" s="1" t="inlineStr">
        <is>
          <t>Item #</t>
        </is>
      </c>
      <c r="B2" s="1" t="inlineStr">
        <is>
          <t>Name</t>
        </is>
      </c>
      <c r="C2" s="1" t="inlineStr">
        <is>
          <t>Size</t>
        </is>
      </c>
      <c r="D2" s="1" t="inlineStr">
        <is>
          <t>Reserved Quantity</t>
        </is>
      </c>
      <c r="E2" s="1" t="inlineStr">
        <is>
          <t>Order</t>
        </is>
      </c>
      <c r="F2" s="1" t="inlineStr">
        <is>
          <t>Date</t>
        </is>
      </c>
      <c r="G2" s="71" t="inlineStr">
        <is>
          <t>Notes</t>
        </is>
      </c>
    </row>
    <row r="3">
      <c r="A3" s="6" t="n">
        <v>21236</v>
      </c>
      <c r="B3" s="6" t="inlineStr">
        <is>
          <t>1792 SMALL BATCH BOURBON</t>
        </is>
      </c>
      <c r="C3" s="7">
        <f>VLOOKUP(A3,SizeData!A$2:B$3839,2,FALSE)</f>
        <v/>
      </c>
      <c r="D3" s="6" t="n">
        <v>1</v>
      </c>
      <c r="E3" s="6" t="inlineStr">
        <is>
          <t>R1893307</t>
        </is>
      </c>
      <c r="F3" s="67" t="n">
        <v>44898</v>
      </c>
      <c r="G3" s="68" t="n"/>
    </row>
    <row r="4">
      <c r="A4" s="6" t="n">
        <v>64933</v>
      </c>
      <c r="B4" s="6" t="inlineStr">
        <is>
          <t>1800 COCONUT FLAVORED TEQUILA</t>
        </is>
      </c>
      <c r="C4" s="7">
        <f>VLOOKUP(A4,SizeData!A$2:B$3839,2,FALSE)</f>
        <v/>
      </c>
      <c r="D4" s="6" t="n">
        <v>2</v>
      </c>
      <c r="E4" s="6" t="inlineStr">
        <is>
          <t>R1892170</t>
        </is>
      </c>
      <c r="F4" s="67" t="n">
        <v>44902</v>
      </c>
      <c r="G4" s="68" t="n"/>
    </row>
    <row r="5">
      <c r="A5" s="6" t="n">
        <v>87513</v>
      </c>
      <c r="B5" s="6" t="inlineStr">
        <is>
          <t>1800 SILVER TEQUILA</t>
        </is>
      </c>
      <c r="C5" s="7">
        <f>VLOOKUP(A5,SizeData!A$2:B$3839,2,FALSE)</f>
        <v/>
      </c>
      <c r="D5" s="6" t="n">
        <v>10</v>
      </c>
      <c r="E5" s="6" t="inlineStr">
        <is>
          <t>R1868085</t>
        </is>
      </c>
      <c r="F5" s="67" t="n">
        <v>44890</v>
      </c>
      <c r="G5" s="68" t="n"/>
    </row>
    <row r="6">
      <c r="A6" s="6" t="n">
        <v>671421</v>
      </c>
      <c r="B6" s="6" t="inlineStr">
        <is>
          <t>19 CRIMES CALI ROSE</t>
        </is>
      </c>
      <c r="C6" s="7">
        <f>VLOOKUP(A6,SizeData!A$2:B$3839,2,FALSE)</f>
        <v/>
      </c>
      <c r="D6" s="6" t="n">
        <v>1</v>
      </c>
      <c r="E6" s="6" t="inlineStr">
        <is>
          <t>R1900430</t>
        </is>
      </c>
      <c r="F6" s="67" t="n">
        <v>44896</v>
      </c>
      <c r="G6" s="68" t="n"/>
    </row>
    <row r="7">
      <c r="A7" s="6" t="n">
        <v>490692</v>
      </c>
      <c r="B7" s="6" t="inlineStr">
        <is>
          <t>19 CRIMES MODERN CALI RED</t>
        </is>
      </c>
      <c r="C7" s="7">
        <f>VLOOKUP(A7,SizeData!A$2:B$3839,2,FALSE)</f>
        <v/>
      </c>
      <c r="D7" s="6" t="n">
        <v>1</v>
      </c>
      <c r="E7" s="6" t="inlineStr">
        <is>
          <t>R1900430</t>
        </is>
      </c>
      <c r="F7" s="67" t="n">
        <v>44896</v>
      </c>
      <c r="G7" s="68" t="n"/>
    </row>
    <row r="8">
      <c r="A8" s="6" t="n">
        <v>490692</v>
      </c>
      <c r="B8" s="6" t="inlineStr">
        <is>
          <t>19 CRIMES MODERN CALI RED</t>
        </is>
      </c>
      <c r="C8" s="7">
        <f>VLOOKUP(A8,SizeData!A$2:B$3839,2,FALSE)</f>
        <v/>
      </c>
      <c r="D8" s="6" t="n">
        <v>2</v>
      </c>
      <c r="E8" s="6" t="inlineStr">
        <is>
          <t>R1890841</t>
        </is>
      </c>
      <c r="F8" s="67" t="n">
        <v>44898</v>
      </c>
      <c r="G8" s="68" t="n"/>
    </row>
    <row r="9">
      <c r="A9" s="6" t="n">
        <v>419952</v>
      </c>
      <c r="B9" s="6" t="inlineStr">
        <is>
          <t>19 CRIMES RED WINE</t>
        </is>
      </c>
      <c r="C9" s="7">
        <f>VLOOKUP(A9,SizeData!A$2:B$3839,2,FALSE)</f>
        <v/>
      </c>
      <c r="D9" s="6" t="n">
        <v>1</v>
      </c>
      <c r="E9" s="6" t="inlineStr">
        <is>
          <t>R1900430</t>
        </is>
      </c>
      <c r="F9" s="67" t="n">
        <v>44896</v>
      </c>
      <c r="G9" s="68" t="n"/>
    </row>
    <row r="10">
      <c r="A10" s="6" t="n">
        <v>419961</v>
      </c>
      <c r="B10" s="6" t="inlineStr">
        <is>
          <t>19 CRIMES THE UPRISING RED WINE</t>
        </is>
      </c>
      <c r="C10" s="7">
        <f>VLOOKUP(A10,SizeData!A$2:B$3839,2,FALSE)</f>
        <v/>
      </c>
      <c r="D10" s="6" t="n">
        <v>1</v>
      </c>
      <c r="E10" s="6" t="inlineStr">
        <is>
          <t>R1900430</t>
        </is>
      </c>
      <c r="F10" s="67" t="n">
        <v>44896</v>
      </c>
      <c r="G10" s="68" t="n"/>
    </row>
    <row r="11">
      <c r="A11" s="6" t="n">
        <v>419961</v>
      </c>
      <c r="B11" s="6" t="inlineStr">
        <is>
          <t>19 CRIMES THE UPRISING RED WINE</t>
        </is>
      </c>
      <c r="C11" s="7">
        <f>VLOOKUP(A11,SizeData!A$2:B$3839,2,FALSE)</f>
        <v/>
      </c>
      <c r="D11" s="6" t="n">
        <v>2</v>
      </c>
      <c r="E11" s="6" t="inlineStr">
        <is>
          <t>R1890841</t>
        </is>
      </c>
      <c r="F11" s="67" t="n">
        <v>44898</v>
      </c>
      <c r="G11" s="68" t="n"/>
    </row>
    <row r="12">
      <c r="A12" s="6" t="n">
        <v>84142</v>
      </c>
      <c r="B12" s="6" t="inlineStr">
        <is>
          <t>99 BRAND PEACHES</t>
        </is>
      </c>
      <c r="C12" s="7">
        <f>VLOOKUP(A12,SizeData!A$2:B$3839,2,FALSE)</f>
        <v/>
      </c>
      <c r="D12" s="6" t="n">
        <v>1</v>
      </c>
      <c r="E12" s="6" t="inlineStr">
        <is>
          <t>R1877599</t>
        </is>
      </c>
      <c r="F12" s="67" t="n">
        <v>44896</v>
      </c>
      <c r="G12" s="68" t="n"/>
    </row>
    <row r="13">
      <c r="A13" s="6" t="n">
        <v>34003</v>
      </c>
      <c r="B13" s="6" t="inlineStr">
        <is>
          <t>ABSOLUT 80 VODKA</t>
        </is>
      </c>
      <c r="C13" s="7">
        <f>VLOOKUP(A13,SizeData!A$2:B$3839,2,FALSE)</f>
        <v/>
      </c>
      <c r="D13" s="6" t="n">
        <v>1</v>
      </c>
      <c r="E13" s="6" t="inlineStr">
        <is>
          <t>R1880771</t>
        </is>
      </c>
      <c r="F13" s="67" t="n">
        <v>44895</v>
      </c>
      <c r="G13" s="68" t="n"/>
    </row>
    <row r="14">
      <c r="A14" s="6" t="n">
        <v>34007</v>
      </c>
      <c r="B14" s="6" t="inlineStr">
        <is>
          <t>ABSOLUT 80 VODKA</t>
        </is>
      </c>
      <c r="C14" s="7">
        <f>VLOOKUP(A14,SizeData!A$2:B$3839,2,FALSE)</f>
        <v/>
      </c>
      <c r="D14" s="6" t="n">
        <v>2</v>
      </c>
      <c r="E14" s="6" t="inlineStr">
        <is>
          <t>R1883576</t>
        </is>
      </c>
      <c r="F14" s="67" t="n">
        <v>44895</v>
      </c>
      <c r="G14" s="68" t="n"/>
    </row>
    <row r="15">
      <c r="A15" s="6" t="n">
        <v>34006</v>
      </c>
      <c r="B15" s="6" t="inlineStr">
        <is>
          <t>ABSOLUT 80 VODKA</t>
        </is>
      </c>
      <c r="C15" s="7">
        <f>VLOOKUP(A15,SizeData!A$2:B$3839,2,FALSE)</f>
        <v/>
      </c>
      <c r="D15" s="6" t="n">
        <v>2</v>
      </c>
      <c r="E15" s="6" t="inlineStr">
        <is>
          <t>R1900430</t>
        </is>
      </c>
      <c r="F15" s="67" t="n">
        <v>44896</v>
      </c>
      <c r="G15" s="68" t="n"/>
    </row>
    <row r="16">
      <c r="A16" s="6" t="n">
        <v>34006</v>
      </c>
      <c r="B16" s="6" t="inlineStr">
        <is>
          <t>ABSOLUT 80 VODKA</t>
        </is>
      </c>
      <c r="C16" s="7">
        <f>VLOOKUP(A16,SizeData!A$2:B$3839,2,FALSE)</f>
        <v/>
      </c>
      <c r="D16" s="6" t="n">
        <v>8</v>
      </c>
      <c r="E16" s="6" t="inlineStr">
        <is>
          <t>R1890841</t>
        </is>
      </c>
      <c r="F16" s="67" t="n">
        <v>44898</v>
      </c>
      <c r="G16" s="68" t="n"/>
    </row>
    <row r="17">
      <c r="A17" s="6" t="n">
        <v>34008</v>
      </c>
      <c r="B17" s="6" t="inlineStr">
        <is>
          <t>ABSOLUT 80 VODKA</t>
        </is>
      </c>
      <c r="C17" s="7">
        <f>VLOOKUP(A17,SizeData!A$2:B$3839,2,FALSE)</f>
        <v/>
      </c>
      <c r="D17" s="6" t="n">
        <v>10</v>
      </c>
      <c r="E17" s="6" t="inlineStr">
        <is>
          <t>R1901130</t>
        </is>
      </c>
      <c r="F17" s="67" t="n">
        <v>44902</v>
      </c>
      <c r="G17" s="68" t="n"/>
    </row>
    <row r="18">
      <c r="A18" s="6" t="n">
        <v>43028</v>
      </c>
      <c r="B18" s="6" t="inlineStr">
        <is>
          <t>ADMIRAL NELSON'S SPICED RUM</t>
        </is>
      </c>
      <c r="C18" s="7">
        <f>VLOOKUP(A18,SizeData!A$2:B$3839,2,FALSE)</f>
        <v/>
      </c>
      <c r="D18" s="6" t="n">
        <v>2</v>
      </c>
      <c r="E18" s="6" t="inlineStr">
        <is>
          <t>R1883576</t>
        </is>
      </c>
      <c r="F18" s="67" t="n">
        <v>44895</v>
      </c>
      <c r="G18" s="68" t="n"/>
    </row>
    <row r="19">
      <c r="A19" s="6" t="n">
        <v>64083</v>
      </c>
      <c r="B19" s="6" t="inlineStr">
        <is>
          <t>ALIZE DE FRANCE (GOLD)</t>
        </is>
      </c>
      <c r="C19" s="7">
        <f>VLOOKUP(A19,SizeData!A$2:B$3839,2,FALSE)</f>
        <v/>
      </c>
      <c r="D19" s="6" t="n">
        <v>1</v>
      </c>
      <c r="E19" s="6" t="inlineStr">
        <is>
          <t>R1891942</t>
        </is>
      </c>
      <c r="F19" s="67" t="n">
        <v>44898</v>
      </c>
      <c r="G19" s="68" t="n"/>
    </row>
    <row r="20">
      <c r="A20" s="6" t="n">
        <v>64085</v>
      </c>
      <c r="B20" s="6" t="inlineStr">
        <is>
          <t>ALIZE RED PASSION</t>
        </is>
      </c>
      <c r="C20" s="7">
        <f>VLOOKUP(A20,SizeData!A$2:B$3839,2,FALSE)</f>
        <v/>
      </c>
      <c r="D20" s="6" t="n">
        <v>2</v>
      </c>
      <c r="E20" s="6" t="inlineStr">
        <is>
          <t>R1891942</t>
        </is>
      </c>
      <c r="F20" s="67" t="n">
        <v>44898</v>
      </c>
      <c r="G20" s="68" t="n"/>
    </row>
    <row r="21">
      <c r="A21" s="6" t="n">
        <v>768600</v>
      </c>
      <c r="B21" s="6" t="inlineStr">
        <is>
          <t>ANDRE CHAMPAGNE SPUMANTE</t>
        </is>
      </c>
      <c r="C21" s="7">
        <f>VLOOKUP(A21,SizeData!A$2:B$3839,2,FALSE)</f>
        <v/>
      </c>
      <c r="D21" s="6" t="n">
        <v>2</v>
      </c>
      <c r="E21" s="6" t="inlineStr">
        <is>
          <t>R1883604</t>
        </is>
      </c>
      <c r="F21" s="67" t="n">
        <v>44890</v>
      </c>
      <c r="G21" s="68" t="n"/>
    </row>
    <row r="22">
      <c r="A22" s="6" t="n">
        <v>47548</v>
      </c>
      <c r="B22" s="6" t="inlineStr">
        <is>
          <t>ANSAC V S COGNAC</t>
        </is>
      </c>
      <c r="C22" s="7">
        <f>VLOOKUP(A22,SizeData!A$2:B$3839,2,FALSE)</f>
        <v/>
      </c>
      <c r="D22" s="6" t="n">
        <v>1</v>
      </c>
      <c r="E22" s="6" t="inlineStr">
        <is>
          <t>R1858393</t>
        </is>
      </c>
      <c r="F22" s="67" t="n">
        <v>44889</v>
      </c>
      <c r="G22" s="68" t="n"/>
    </row>
    <row r="23">
      <c r="A23" s="6" t="n">
        <v>35088</v>
      </c>
      <c r="B23" s="6" t="inlineStr">
        <is>
          <t>ARISTOCRAT SUPREME VODKA</t>
        </is>
      </c>
      <c r="C23" s="7">
        <f>VLOOKUP(A23,SizeData!A$2:B$3839,2,FALSE)</f>
        <v/>
      </c>
      <c r="D23" s="6" t="n">
        <v>1</v>
      </c>
      <c r="E23" s="6" t="inlineStr">
        <is>
          <t>R1883604</t>
        </is>
      </c>
      <c r="F23" s="67" t="n">
        <v>44890</v>
      </c>
      <c r="G23" s="68" t="n"/>
    </row>
    <row r="24">
      <c r="A24" s="6" t="n">
        <v>35088</v>
      </c>
      <c r="B24" s="6" t="inlineStr">
        <is>
          <t>ARISTOCRAT SUPREME VODKA</t>
        </is>
      </c>
      <c r="C24" s="7">
        <f>VLOOKUP(A24,SizeData!A$2:B$3839,2,FALSE)</f>
        <v/>
      </c>
      <c r="D24" s="6" t="n">
        <v>2</v>
      </c>
      <c r="E24" s="6" t="inlineStr">
        <is>
          <t>R1891249</t>
        </is>
      </c>
      <c r="F24" s="67" t="n">
        <v>44898</v>
      </c>
      <c r="G24" s="68" t="n"/>
    </row>
    <row r="25">
      <c r="A25" s="6" t="n">
        <v>35084</v>
      </c>
      <c r="B25" s="6" t="inlineStr">
        <is>
          <t>ARISTOCRAT SUPREME VODKA</t>
        </is>
      </c>
      <c r="C25" s="7">
        <f>VLOOKUP(A25,SizeData!A$2:B$3839,2,FALSE)</f>
        <v/>
      </c>
      <c r="D25" s="6" t="n">
        <v>1</v>
      </c>
      <c r="E25" s="6" t="inlineStr">
        <is>
          <t>R1891249</t>
        </is>
      </c>
      <c r="F25" s="67" t="n">
        <v>44898</v>
      </c>
      <c r="G25" s="68" t="n"/>
    </row>
    <row r="26">
      <c r="A26" s="6" t="n">
        <v>35083</v>
      </c>
      <c r="B26" s="6" t="inlineStr">
        <is>
          <t>ARISTOCRAT SUPREME VODKA</t>
        </is>
      </c>
      <c r="C26" s="7">
        <f>VLOOKUP(A26,SizeData!A$2:B$3839,2,FALSE)</f>
        <v/>
      </c>
      <c r="D26" s="6" t="n">
        <v>1</v>
      </c>
      <c r="E26" s="6" t="inlineStr">
        <is>
          <t>R1891249</t>
        </is>
      </c>
      <c r="F26" s="67" t="n">
        <v>44898</v>
      </c>
      <c r="G26" s="68" t="n"/>
    </row>
    <row r="27">
      <c r="A27" s="6" t="n">
        <v>43040</v>
      </c>
      <c r="B27" s="6" t="inlineStr">
        <is>
          <t>BACARDI GOLD DARK RUM (PET)</t>
        </is>
      </c>
      <c r="C27" s="7">
        <f>VLOOKUP(A27,SizeData!A$2:B$3839,2,FALSE)</f>
        <v/>
      </c>
      <c r="D27" s="6" t="n">
        <v>3</v>
      </c>
      <c r="E27" s="6" t="inlineStr">
        <is>
          <t>R1900430</t>
        </is>
      </c>
      <c r="F27" s="67" t="n">
        <v>44896</v>
      </c>
      <c r="G27" s="68" t="n"/>
    </row>
    <row r="28">
      <c r="A28" s="6" t="n">
        <v>735551</v>
      </c>
      <c r="B28" s="6" t="inlineStr">
        <is>
          <t>BANFI ROSA REGALE BRACHETTO D'ACQUI</t>
        </is>
      </c>
      <c r="C28" s="7">
        <f>VLOOKUP(A28,SizeData!A$2:B$3839,2,FALSE)</f>
        <v/>
      </c>
      <c r="D28" s="6" t="n">
        <v>1</v>
      </c>
      <c r="E28" s="6" t="inlineStr">
        <is>
          <t>R1900430</t>
        </is>
      </c>
      <c r="F28" s="67" t="n">
        <v>44896</v>
      </c>
      <c r="G28" s="68" t="n"/>
    </row>
    <row r="29">
      <c r="A29" s="6" t="n">
        <v>442562</v>
      </c>
      <c r="B29" s="6" t="inlineStr">
        <is>
          <t>BAREFOOT CELLARS RED MOSCATO CALIFORNIA</t>
        </is>
      </c>
      <c r="C29" s="7">
        <f>VLOOKUP(A29,SizeData!A$2:B$3839,2,FALSE)</f>
        <v/>
      </c>
      <c r="D29" s="6" t="n">
        <v>3</v>
      </c>
      <c r="E29" s="6" t="inlineStr">
        <is>
          <t>R1884003</t>
        </is>
      </c>
      <c r="F29" s="67" t="n">
        <v>44891</v>
      </c>
      <c r="G29" s="68" t="n"/>
    </row>
    <row r="30">
      <c r="A30" s="6" t="n">
        <v>642105</v>
      </c>
      <c r="B30" s="6" t="inlineStr">
        <is>
          <t>BAREFOOT CELLARS WH ZINFANDEL CALIFORNIA</t>
        </is>
      </c>
      <c r="C30" s="7">
        <f>VLOOKUP(A30,SizeData!A$2:B$3839,2,FALSE)</f>
        <v/>
      </c>
      <c r="D30" s="6" t="n">
        <v>1</v>
      </c>
      <c r="E30" s="6" t="inlineStr">
        <is>
          <t>R1900430</t>
        </is>
      </c>
      <c r="F30" s="67" t="n">
        <v>44896</v>
      </c>
      <c r="G30" s="68" t="n"/>
    </row>
    <row r="31">
      <c r="A31" s="6" t="n">
        <v>544109</v>
      </c>
      <c r="B31" s="6" t="inlineStr">
        <is>
          <t>BAREFOOT MOSCATO CALLIFORNIA</t>
        </is>
      </c>
      <c r="C31" s="7">
        <f>VLOOKUP(A31,SizeData!A$2:B$3839,2,FALSE)</f>
        <v/>
      </c>
      <c r="D31" s="6" t="n">
        <v>3</v>
      </c>
      <c r="E31" s="6" t="inlineStr">
        <is>
          <t>R1883576</t>
        </is>
      </c>
      <c r="F31" s="67" t="n">
        <v>44895</v>
      </c>
      <c r="G31" s="68" t="n"/>
    </row>
    <row r="32">
      <c r="A32" s="6" t="n">
        <v>22788</v>
      </c>
      <c r="B32" s="6" t="inlineStr">
        <is>
          <t>BEAM'S 8 STAR BLENDED WHISKEY</t>
        </is>
      </c>
      <c r="C32" s="7">
        <f>VLOOKUP(A32,SizeData!A$2:B$3839,2,FALSE)</f>
        <v/>
      </c>
      <c r="D32" s="6" t="n">
        <v>1</v>
      </c>
      <c r="E32" s="6" t="inlineStr">
        <is>
          <t>R1884564</t>
        </is>
      </c>
      <c r="F32" s="67" t="n">
        <v>44900</v>
      </c>
      <c r="G32" s="68" t="n"/>
    </row>
    <row r="33">
      <c r="A33" s="6" t="n">
        <v>36697</v>
      </c>
      <c r="B33" s="6" t="inlineStr">
        <is>
          <t>BELVEDERE UNFILTERED SOMGORY FOREST SINGLE ESTATE</t>
        </is>
      </c>
      <c r="C33" s="7">
        <f>VLOOKUP(A33,SizeData!A$2:B$3839,2,FALSE)</f>
        <v/>
      </c>
      <c r="D33" s="6" t="n">
        <v>3</v>
      </c>
      <c r="E33" s="6" t="inlineStr">
        <is>
          <t>R1880771</t>
        </is>
      </c>
      <c r="F33" s="67" t="n">
        <v>44895</v>
      </c>
      <c r="G33" s="68" t="n"/>
    </row>
    <row r="34">
      <c r="A34" s="6" t="n">
        <v>34163</v>
      </c>
      <c r="B34" s="6" t="inlineStr">
        <is>
          <t>BELVEDERE VODKA</t>
        </is>
      </c>
      <c r="C34" s="7">
        <f>VLOOKUP(A34,SizeData!A$2:B$3839,2,FALSE)</f>
        <v/>
      </c>
      <c r="D34" s="6" t="n">
        <v>8</v>
      </c>
      <c r="E34" s="6" t="inlineStr">
        <is>
          <t>R1891143</t>
        </is>
      </c>
      <c r="F34" s="67" t="n">
        <v>44896</v>
      </c>
      <c r="G34" s="68" t="n"/>
    </row>
    <row r="35">
      <c r="A35" s="6" t="n">
        <v>11788</v>
      </c>
      <c r="B35" s="6" t="inlineStr">
        <is>
          <t>BLACK VELVET</t>
        </is>
      </c>
      <c r="C35" s="7">
        <f>VLOOKUP(A35,SizeData!A$2:B$3839,2,FALSE)</f>
        <v/>
      </c>
      <c r="D35" s="6" t="n">
        <v>1</v>
      </c>
      <c r="E35" s="6" t="inlineStr">
        <is>
          <t>R1889915</t>
        </is>
      </c>
      <c r="F35" s="67" t="n">
        <v>44900</v>
      </c>
      <c r="G35" s="68" t="n"/>
    </row>
    <row r="36">
      <c r="A36" s="6" t="n">
        <v>47647</v>
      </c>
      <c r="B36" s="6" t="inlineStr">
        <is>
          <t>BRANSON VSOP ROYAL COGNAC</t>
        </is>
      </c>
      <c r="C36" s="7">
        <f>VLOOKUP(A36,SizeData!A$2:B$3839,2,FALSE)</f>
        <v/>
      </c>
      <c r="D36" s="6" t="n">
        <v>1</v>
      </c>
      <c r="E36" s="6" t="inlineStr">
        <is>
          <t>R1858393</t>
        </is>
      </c>
      <c r="F36" s="67" t="n">
        <v>44889</v>
      </c>
      <c r="G36" s="68" t="n"/>
    </row>
    <row r="37">
      <c r="A37" s="6" t="n">
        <v>352440</v>
      </c>
      <c r="B37" s="6" t="inlineStr">
        <is>
          <t>BRICCO RIELLA MOSCATO D'ASTI</t>
        </is>
      </c>
      <c r="C37" s="7">
        <f>VLOOKUP(A37,SizeData!A$2:B$3839,2,FALSE)</f>
        <v/>
      </c>
      <c r="D37" s="6" t="n">
        <v>1</v>
      </c>
      <c r="E37" s="6" t="inlineStr">
        <is>
          <t>R1879903</t>
        </is>
      </c>
      <c r="F37" s="67" t="n">
        <v>44892</v>
      </c>
      <c r="G37" s="68" t="n"/>
    </row>
    <row r="38">
      <c r="A38" s="6" t="n">
        <v>352440</v>
      </c>
      <c r="B38" s="6" t="inlineStr">
        <is>
          <t>BRICCO RIELLA MOSCATO D'ASTI</t>
        </is>
      </c>
      <c r="C38" s="7">
        <f>VLOOKUP(A38,SizeData!A$2:B$3839,2,FALSE)</f>
        <v/>
      </c>
      <c r="D38" s="6" t="n">
        <v>2</v>
      </c>
      <c r="E38" s="6" t="inlineStr">
        <is>
          <t>R1890841</t>
        </is>
      </c>
      <c r="F38" s="67" t="n">
        <v>44898</v>
      </c>
      <c r="G38" s="68" t="n"/>
    </row>
    <row r="39">
      <c r="A39" s="6" t="n">
        <v>446150</v>
      </c>
      <c r="B39" s="6" t="inlineStr">
        <is>
          <t>BULLY HILL SWEET WALTER RED</t>
        </is>
      </c>
      <c r="C39" s="7">
        <f>VLOOKUP(A39,SizeData!A$2:B$3839,2,FALSE)</f>
        <v/>
      </c>
      <c r="D39" s="6" t="n">
        <v>2</v>
      </c>
      <c r="E39" s="6" t="inlineStr">
        <is>
          <t>R1883576</t>
        </is>
      </c>
      <c r="F39" s="67" t="n">
        <v>44895</v>
      </c>
      <c r="G39" s="68" t="n"/>
    </row>
    <row r="40">
      <c r="A40" s="6" t="n">
        <v>64388</v>
      </c>
      <c r="B40" s="6" t="inlineStr">
        <is>
          <t>BUMBU RUM</t>
        </is>
      </c>
      <c r="C40" s="7">
        <f>VLOOKUP(A40,SizeData!A$2:B$3839,2,FALSE)</f>
        <v/>
      </c>
      <c r="D40" s="6" t="n">
        <v>2</v>
      </c>
      <c r="E40" s="6" t="inlineStr">
        <is>
          <t>R1882735</t>
        </is>
      </c>
      <c r="F40" s="67" t="n">
        <v>44894</v>
      </c>
      <c r="G40" s="68" t="n"/>
    </row>
    <row r="41">
      <c r="A41" s="6" t="n">
        <v>64388</v>
      </c>
      <c r="B41" s="6" t="inlineStr">
        <is>
          <t>BUMBU RUM</t>
        </is>
      </c>
      <c r="C41" s="7">
        <f>VLOOKUP(A41,SizeData!A$2:B$3839,2,FALSE)</f>
        <v/>
      </c>
      <c r="D41" s="6" t="n">
        <v>1</v>
      </c>
      <c r="E41" s="6" t="inlineStr">
        <is>
          <t>R1891653</t>
        </is>
      </c>
      <c r="F41" s="67" t="n">
        <v>44900</v>
      </c>
      <c r="G41" s="68" t="n"/>
    </row>
    <row r="42">
      <c r="A42" s="6" t="n">
        <v>41310</v>
      </c>
      <c r="B42" s="6" t="inlineStr">
        <is>
          <t>BURNETT'S COCONUT FLAVORED VODKA</t>
        </is>
      </c>
      <c r="C42" s="7">
        <f>VLOOKUP(A42,SizeData!A$2:B$3839,2,FALSE)</f>
        <v/>
      </c>
      <c r="D42" s="6" t="n">
        <v>1</v>
      </c>
      <c r="E42" s="6" t="inlineStr">
        <is>
          <t>R1900430</t>
        </is>
      </c>
      <c r="F42" s="67" t="n">
        <v>44896</v>
      </c>
      <c r="G42" s="68" t="n"/>
    </row>
    <row r="43">
      <c r="A43" s="6" t="n">
        <v>41413</v>
      </c>
      <c r="B43" s="6" t="inlineStr">
        <is>
          <t>BURNETT'S PINEAPPLE FLAVORED VODKA</t>
        </is>
      </c>
      <c r="C43" s="7">
        <f>VLOOKUP(A43,SizeData!A$2:B$3839,2,FALSE)</f>
        <v/>
      </c>
      <c r="D43" s="6" t="n">
        <v>1</v>
      </c>
      <c r="E43" s="6" t="inlineStr">
        <is>
          <t>R1900430</t>
        </is>
      </c>
      <c r="F43" s="67" t="n">
        <v>44896</v>
      </c>
      <c r="G43" s="68" t="n"/>
    </row>
    <row r="44">
      <c r="A44" s="6" t="n">
        <v>35418</v>
      </c>
      <c r="B44" s="6" t="inlineStr">
        <is>
          <t>BURNETT'S VODKA 80 PROOF</t>
        </is>
      </c>
      <c r="C44" s="7">
        <f>VLOOKUP(A44,SizeData!A$2:B$3839,2,FALSE)</f>
        <v/>
      </c>
      <c r="D44" s="6" t="n">
        <v>5</v>
      </c>
      <c r="E44" s="6" t="inlineStr">
        <is>
          <t>R1881344</t>
        </is>
      </c>
      <c r="F44" s="67" t="n">
        <v>44893</v>
      </c>
      <c r="G44" s="68" t="n"/>
    </row>
    <row r="45">
      <c r="A45" s="6" t="n">
        <v>35418</v>
      </c>
      <c r="B45" s="6" t="inlineStr">
        <is>
          <t>BURNETT'S VODKA 80 PROOF</t>
        </is>
      </c>
      <c r="C45" s="7">
        <f>VLOOKUP(A45,SizeData!A$2:B$3839,2,FALSE)</f>
        <v/>
      </c>
      <c r="D45" s="6" t="n">
        <v>5</v>
      </c>
      <c r="E45" s="6" t="inlineStr">
        <is>
          <t>R1891609</t>
        </is>
      </c>
      <c r="F45" s="67" t="n">
        <v>44895</v>
      </c>
      <c r="G45" s="68" t="n"/>
    </row>
    <row r="46">
      <c r="A46" s="6" t="n">
        <v>35417</v>
      </c>
      <c r="B46" s="6" t="inlineStr">
        <is>
          <t>BURNETT'S VODKA 80 PROOF</t>
        </is>
      </c>
      <c r="C46" s="7">
        <f>VLOOKUP(A46,SizeData!A$2:B$3839,2,FALSE)</f>
        <v/>
      </c>
      <c r="D46" s="6" t="n">
        <v>5</v>
      </c>
      <c r="E46" s="6" t="inlineStr">
        <is>
          <t>R1900430</t>
        </is>
      </c>
      <c r="F46" s="67" t="n">
        <v>44896</v>
      </c>
      <c r="G46" s="68" t="n"/>
    </row>
    <row r="47">
      <c r="A47" s="6" t="n">
        <v>35413</v>
      </c>
      <c r="B47" s="6" t="inlineStr">
        <is>
          <t>BURNETT'S VODKA 80 PROOF</t>
        </is>
      </c>
      <c r="C47" s="7">
        <f>VLOOKUP(A47,SizeData!A$2:B$3839,2,FALSE)</f>
        <v/>
      </c>
      <c r="D47" s="6" t="n">
        <v>2</v>
      </c>
      <c r="E47" s="6" t="inlineStr">
        <is>
          <t>R1900430</t>
        </is>
      </c>
      <c r="F47" s="67" t="n">
        <v>44896</v>
      </c>
      <c r="G47" s="68" t="n"/>
    </row>
    <row r="48">
      <c r="A48" s="6" t="n">
        <v>35416</v>
      </c>
      <c r="B48" s="6" t="inlineStr">
        <is>
          <t>BURNETT'S VODKA 80 PROOF</t>
        </is>
      </c>
      <c r="C48" s="7">
        <f>VLOOKUP(A48,SizeData!A$2:B$3839,2,FALSE)</f>
        <v/>
      </c>
      <c r="D48" s="6" t="n">
        <v>10</v>
      </c>
      <c r="E48" s="6" t="inlineStr">
        <is>
          <t>R1889205</t>
        </is>
      </c>
      <c r="F48" s="67" t="n">
        <v>44897</v>
      </c>
      <c r="G48" s="68" t="n"/>
    </row>
    <row r="49">
      <c r="A49" s="6" t="n">
        <v>35414</v>
      </c>
      <c r="B49" s="6" t="inlineStr">
        <is>
          <t>BURNETT'S VODKA 80 PROOF</t>
        </is>
      </c>
      <c r="C49" s="7">
        <f>VLOOKUP(A49,SizeData!A$2:B$3839,2,FALSE)</f>
        <v/>
      </c>
      <c r="D49" s="6" t="n">
        <v>10</v>
      </c>
      <c r="E49" s="6" t="inlineStr">
        <is>
          <t>R1889205</t>
        </is>
      </c>
      <c r="F49" s="67" t="n">
        <v>44897</v>
      </c>
      <c r="G49" s="68" t="n"/>
    </row>
    <row r="50">
      <c r="A50" s="6" t="n">
        <v>35417</v>
      </c>
      <c r="B50" s="6" t="inlineStr">
        <is>
          <t>BURNETT'S VODKA 80 PROOF</t>
        </is>
      </c>
      <c r="C50" s="7">
        <f>VLOOKUP(A50,SizeData!A$2:B$3839,2,FALSE)</f>
        <v/>
      </c>
      <c r="D50" s="6" t="n">
        <v>10</v>
      </c>
      <c r="E50" s="6" t="inlineStr">
        <is>
          <t>R1890841</t>
        </is>
      </c>
      <c r="F50" s="67" t="n">
        <v>44898</v>
      </c>
      <c r="G50" s="68" t="n"/>
    </row>
    <row r="51">
      <c r="A51" s="6" t="n">
        <v>57113</v>
      </c>
      <c r="B51" s="6" t="inlineStr">
        <is>
          <t>BUZZBALLZ PEACHBALLZ</t>
        </is>
      </c>
      <c r="C51" s="7">
        <f>VLOOKUP(A51,SizeData!A$2:B$3839,2,FALSE)</f>
        <v/>
      </c>
      <c r="D51" s="6" t="n">
        <v>1</v>
      </c>
      <c r="E51" s="6" t="inlineStr">
        <is>
          <t>R1884564</t>
        </is>
      </c>
      <c r="F51" s="67" t="n">
        <v>44900</v>
      </c>
      <c r="G51" s="68" t="n"/>
    </row>
    <row r="52">
      <c r="A52" s="6" t="n">
        <v>57098</v>
      </c>
      <c r="B52" s="6" t="inlineStr">
        <is>
          <t>BUZZBALLZ TEQUILA RITA</t>
        </is>
      </c>
      <c r="C52" s="7">
        <f>VLOOKUP(A52,SizeData!A$2:B$3839,2,FALSE)</f>
        <v/>
      </c>
      <c r="D52" s="6" t="n">
        <v>2</v>
      </c>
      <c r="E52" s="6" t="inlineStr">
        <is>
          <t>R1884564</t>
        </is>
      </c>
      <c r="F52" s="67" t="n">
        <v>44900</v>
      </c>
      <c r="G52" s="68" t="n"/>
    </row>
    <row r="53">
      <c r="A53" s="6" t="n">
        <v>44333</v>
      </c>
      <c r="B53" s="6" t="inlineStr">
        <is>
          <t>CALYPSO COCONUT FLAVORED RUM</t>
        </is>
      </c>
      <c r="C53" s="7">
        <f>VLOOKUP(A53,SizeData!A$2:B$3839,2,FALSE)</f>
        <v/>
      </c>
      <c r="D53" s="6" t="n">
        <v>1</v>
      </c>
      <c r="E53" s="6" t="inlineStr">
        <is>
          <t>R1864437</t>
        </is>
      </c>
      <c r="F53" s="67" t="n">
        <v>44887</v>
      </c>
      <c r="G53" s="68" t="n"/>
    </row>
    <row r="54">
      <c r="A54" s="6" t="n">
        <v>44331</v>
      </c>
      <c r="B54" s="6" t="inlineStr">
        <is>
          <t>CALYPSO COCONUT RUM</t>
        </is>
      </c>
      <c r="C54" s="7">
        <f>VLOOKUP(A54,SizeData!A$2:B$3839,2,FALSE)</f>
        <v/>
      </c>
      <c r="D54" s="6" t="n">
        <v>1</v>
      </c>
      <c r="E54" s="6" t="inlineStr">
        <is>
          <t>R1900430</t>
        </is>
      </c>
      <c r="F54" s="67" t="n">
        <v>44896</v>
      </c>
      <c r="G54" s="68" t="n"/>
    </row>
    <row r="55">
      <c r="A55" s="6" t="n">
        <v>44348</v>
      </c>
      <c r="B55" s="6" t="inlineStr">
        <is>
          <t>CALYPSO SILVER RUM PET</t>
        </is>
      </c>
      <c r="C55" s="7">
        <f>VLOOKUP(A55,SizeData!A$2:B$3839,2,FALSE)</f>
        <v/>
      </c>
      <c r="D55" s="6" t="n">
        <v>3</v>
      </c>
      <c r="E55" s="6" t="inlineStr">
        <is>
          <t>R1883604</t>
        </is>
      </c>
      <c r="F55" s="67" t="n">
        <v>44890</v>
      </c>
      <c r="G55" s="68" t="n"/>
    </row>
    <row r="56">
      <c r="A56" s="6" t="n">
        <v>44342</v>
      </c>
      <c r="B56" s="6" t="inlineStr">
        <is>
          <t>CALYPSO SPICED RUM</t>
        </is>
      </c>
      <c r="C56" s="7">
        <f>VLOOKUP(A56,SizeData!A$2:B$3839,2,FALSE)</f>
        <v/>
      </c>
      <c r="D56" s="6" t="n">
        <v>1</v>
      </c>
      <c r="E56" s="6" t="inlineStr">
        <is>
          <t>R1864437</t>
        </is>
      </c>
      <c r="F56" s="67" t="n">
        <v>44887</v>
      </c>
      <c r="G56" s="68" t="n"/>
    </row>
    <row r="57">
      <c r="A57" s="6" t="n">
        <v>12888</v>
      </c>
      <c r="B57" s="6" t="inlineStr">
        <is>
          <t>CANADIAN RICH &amp; RARE</t>
        </is>
      </c>
      <c r="C57" s="7">
        <f>VLOOKUP(A57,SizeData!A$2:B$3839,2,FALSE)</f>
        <v/>
      </c>
      <c r="D57" s="6" t="n">
        <v>3</v>
      </c>
      <c r="E57" s="6" t="inlineStr">
        <is>
          <t>R1889915</t>
        </is>
      </c>
      <c r="F57" s="67" t="n">
        <v>44900</v>
      </c>
      <c r="G57" s="68" t="n"/>
    </row>
    <row r="58">
      <c r="A58" s="6" t="n">
        <v>12858</v>
      </c>
      <c r="B58" s="6" t="inlineStr">
        <is>
          <t>CANADIAN RICH &amp; RARE RESERVE</t>
        </is>
      </c>
      <c r="C58" s="7">
        <f>VLOOKUP(A58,SizeData!A$2:B$3839,2,FALSE)</f>
        <v/>
      </c>
      <c r="D58" s="6" t="n">
        <v>5</v>
      </c>
      <c r="E58" s="6" t="inlineStr">
        <is>
          <t>R1900430</t>
        </is>
      </c>
      <c r="F58" s="67" t="n">
        <v>44896</v>
      </c>
      <c r="G58" s="68" t="n"/>
    </row>
    <row r="59">
      <c r="A59" s="6" t="n">
        <v>12858</v>
      </c>
      <c r="B59" s="6" t="inlineStr">
        <is>
          <t>CANADIAN RICH &amp; RARE RESERVE</t>
        </is>
      </c>
      <c r="C59" s="7">
        <f>VLOOKUP(A59,SizeData!A$2:B$3839,2,FALSE)</f>
        <v/>
      </c>
      <c r="D59" s="6" t="n">
        <v>5</v>
      </c>
      <c r="E59" s="6" t="inlineStr">
        <is>
          <t>R1892170</t>
        </is>
      </c>
      <c r="F59" s="67" t="n">
        <v>44902</v>
      </c>
      <c r="G59" s="68" t="n"/>
    </row>
    <row r="60">
      <c r="A60" s="6" t="n">
        <v>12855</v>
      </c>
      <c r="B60" s="6" t="inlineStr">
        <is>
          <t>CANADIAN RICH AND RARE RESERVE</t>
        </is>
      </c>
      <c r="C60" s="7">
        <f>VLOOKUP(A60,SizeData!A$2:B$3839,2,FALSE)</f>
        <v/>
      </c>
      <c r="D60" s="6" t="n">
        <v>10</v>
      </c>
      <c r="E60" s="6" t="inlineStr">
        <is>
          <t>R1905130</t>
        </is>
      </c>
      <c r="F60" s="67" t="n">
        <v>44901</v>
      </c>
      <c r="G60" s="68" t="n"/>
    </row>
    <row r="61">
      <c r="A61" s="6" t="n">
        <v>882381</v>
      </c>
      <c r="B61" s="6" t="inlineStr">
        <is>
          <t>CAPRICCIO BUBBLY SANGRIA</t>
        </is>
      </c>
      <c r="C61" s="7">
        <f>VLOOKUP(A61,SizeData!A$2:B$3839,2,FALSE)</f>
        <v/>
      </c>
      <c r="D61" s="6" t="n">
        <v>3</v>
      </c>
      <c r="E61" s="6" t="inlineStr">
        <is>
          <t>R1889205</t>
        </is>
      </c>
      <c r="F61" s="67" t="n">
        <v>44897</v>
      </c>
      <c r="G61" s="68" t="n"/>
    </row>
    <row r="62">
      <c r="A62" s="6" t="n">
        <v>882380</v>
      </c>
      <c r="B62" s="6" t="inlineStr">
        <is>
          <t>CAPRICCIO BUBBLY SANGRIA</t>
        </is>
      </c>
      <c r="C62" s="7">
        <f>VLOOKUP(A62,SizeData!A$2:B$3839,2,FALSE)</f>
        <v/>
      </c>
      <c r="D62" s="6" t="n">
        <v>1</v>
      </c>
      <c r="E62" s="6" t="inlineStr">
        <is>
          <t>R1889205</t>
        </is>
      </c>
      <c r="F62" s="67" t="n">
        <v>44897</v>
      </c>
      <c r="G62" s="68" t="n"/>
    </row>
    <row r="63">
      <c r="A63" s="6" t="n">
        <v>64601</v>
      </c>
      <c r="B63" s="6" t="inlineStr">
        <is>
          <t>CARAVELLA LIMONCELLO LEMON LIQUEUR</t>
        </is>
      </c>
      <c r="C63" s="7">
        <f>VLOOKUP(A63,SizeData!A$2:B$3839,2,FALSE)</f>
        <v/>
      </c>
      <c r="D63" s="6" t="n">
        <v>2</v>
      </c>
      <c r="E63" s="6" t="inlineStr">
        <is>
          <t>R1858393</t>
        </is>
      </c>
      <c r="F63" s="67" t="n">
        <v>44889</v>
      </c>
      <c r="G63" s="68" t="n"/>
    </row>
    <row r="64">
      <c r="A64" s="6" t="n">
        <v>882327</v>
      </c>
      <c r="B64" s="6" t="inlineStr">
        <is>
          <t>CARLO ROSSI BLUEBERRY SANGRIA</t>
        </is>
      </c>
      <c r="C64" s="7">
        <f>VLOOKUP(A64,SizeData!A$2:B$3839,2,FALSE)</f>
        <v/>
      </c>
      <c r="D64" s="6" t="n">
        <v>2</v>
      </c>
      <c r="E64" s="6" t="inlineStr">
        <is>
          <t>R1889915</t>
        </is>
      </c>
      <c r="F64" s="67" t="n">
        <v>44900</v>
      </c>
      <c r="G64" s="68" t="n"/>
    </row>
    <row r="65">
      <c r="A65" s="6" t="n">
        <v>552052</v>
      </c>
      <c r="B65" s="6" t="inlineStr">
        <is>
          <t>CARLO ROSSI CHARDONNAY</t>
        </is>
      </c>
      <c r="C65" s="7">
        <f>VLOOKUP(A65,SizeData!A$2:B$3839,2,FALSE)</f>
        <v/>
      </c>
      <c r="D65" s="6" t="n">
        <v>2</v>
      </c>
      <c r="E65" s="6" t="inlineStr">
        <is>
          <t>R1884003</t>
        </is>
      </c>
      <c r="F65" s="67" t="n">
        <v>44891</v>
      </c>
      <c r="G65" s="68" t="n"/>
    </row>
    <row r="66">
      <c r="A66" s="6" t="n">
        <v>552052</v>
      </c>
      <c r="B66" s="6" t="inlineStr">
        <is>
          <t>CARLO ROSSI CHARDONNAY</t>
        </is>
      </c>
      <c r="C66" s="7">
        <f>VLOOKUP(A66,SizeData!A$2:B$3839,2,FALSE)</f>
        <v/>
      </c>
      <c r="D66" s="6" t="n">
        <v>1</v>
      </c>
      <c r="E66" s="6" t="inlineStr">
        <is>
          <t>R1882735</t>
        </is>
      </c>
      <c r="F66" s="67" t="n">
        <v>44894</v>
      </c>
      <c r="G66" s="68" t="n"/>
    </row>
    <row r="67">
      <c r="A67" s="6" t="n">
        <v>882307</v>
      </c>
      <c r="B67" s="6" t="inlineStr">
        <is>
          <t>CARLO ROSSI MOSCATO SANGRIA</t>
        </is>
      </c>
      <c r="C67" s="7">
        <f>VLOOKUP(A67,SizeData!A$2:B$3839,2,FALSE)</f>
        <v/>
      </c>
      <c r="D67" s="6" t="n">
        <v>3</v>
      </c>
      <c r="E67" s="6" t="inlineStr">
        <is>
          <t>R1882735</t>
        </is>
      </c>
      <c r="F67" s="67" t="n">
        <v>44894</v>
      </c>
      <c r="G67" s="68" t="n"/>
    </row>
    <row r="68">
      <c r="A68" s="6" t="n">
        <v>882307</v>
      </c>
      <c r="B68" s="6" t="inlineStr">
        <is>
          <t>CARLO ROSSI MOSCATO SANGRIA</t>
        </is>
      </c>
      <c r="C68" s="7">
        <f>VLOOKUP(A68,SizeData!A$2:B$3839,2,FALSE)</f>
        <v/>
      </c>
      <c r="D68" s="6" t="n">
        <v>2</v>
      </c>
      <c r="E68" s="6" t="inlineStr">
        <is>
          <t>R1889915</t>
        </is>
      </c>
      <c r="F68" s="67" t="n">
        <v>44900</v>
      </c>
      <c r="G68" s="68" t="n"/>
    </row>
    <row r="69">
      <c r="A69" s="6" t="n">
        <v>882328</v>
      </c>
      <c r="B69" s="6" t="inlineStr">
        <is>
          <t>CARLO ROSSI PEACH SANGRIA</t>
        </is>
      </c>
      <c r="C69" s="7">
        <f>VLOOKUP(A69,SizeData!A$2:B$3839,2,FALSE)</f>
        <v/>
      </c>
      <c r="D69" s="6" t="n">
        <v>1</v>
      </c>
      <c r="E69" s="6" t="inlineStr">
        <is>
          <t>R1882735</t>
        </is>
      </c>
      <c r="F69" s="67" t="n">
        <v>44894</v>
      </c>
      <c r="G69" s="68" t="n"/>
    </row>
    <row r="70">
      <c r="A70" s="6" t="n">
        <v>882328</v>
      </c>
      <c r="B70" s="6" t="inlineStr">
        <is>
          <t>CARLO ROSSI PEACH SANGRIA</t>
        </is>
      </c>
      <c r="C70" s="7">
        <f>VLOOKUP(A70,SizeData!A$2:B$3839,2,FALSE)</f>
        <v/>
      </c>
      <c r="D70" s="6" t="n">
        <v>3</v>
      </c>
      <c r="E70" s="6" t="inlineStr">
        <is>
          <t>R1889915</t>
        </is>
      </c>
      <c r="F70" s="67" t="n">
        <v>44900</v>
      </c>
      <c r="G70" s="68" t="n"/>
    </row>
    <row r="71">
      <c r="A71" s="6" t="n">
        <v>882322</v>
      </c>
      <c r="B71" s="6" t="inlineStr">
        <is>
          <t>CARLO ROSSI PINEAPPLE SANGRIA</t>
        </is>
      </c>
      <c r="C71" s="7">
        <f>VLOOKUP(A71,SizeData!A$2:B$3839,2,FALSE)</f>
        <v/>
      </c>
      <c r="D71" s="6" t="n">
        <v>3</v>
      </c>
      <c r="E71" s="6" t="inlineStr">
        <is>
          <t>R1889915</t>
        </is>
      </c>
      <c r="F71" s="67" t="n">
        <v>44900</v>
      </c>
      <c r="G71" s="68" t="n"/>
    </row>
    <row r="72">
      <c r="A72" s="6" t="n">
        <v>882319</v>
      </c>
      <c r="B72" s="6" t="inlineStr">
        <is>
          <t>CARLO ROSSI PINK MOSCATO SANGRIA</t>
        </is>
      </c>
      <c r="C72" s="7">
        <f>VLOOKUP(A72,SizeData!A$2:B$3839,2,FALSE)</f>
        <v/>
      </c>
      <c r="D72" s="6" t="n">
        <v>1</v>
      </c>
      <c r="E72" s="6" t="inlineStr">
        <is>
          <t>R1889915</t>
        </is>
      </c>
      <c r="F72" s="67" t="n">
        <v>44900</v>
      </c>
      <c r="G72" s="68" t="n"/>
    </row>
    <row r="73">
      <c r="A73" s="6" t="n">
        <v>882304</v>
      </c>
      <c r="B73" s="6" t="inlineStr">
        <is>
          <t>CARLO ROSSI SANGRIA</t>
        </is>
      </c>
      <c r="C73" s="7">
        <f>VLOOKUP(A73,SizeData!A$2:B$3839,2,FALSE)</f>
        <v/>
      </c>
      <c r="D73" s="6" t="n">
        <v>3</v>
      </c>
      <c r="E73" s="6" t="inlineStr">
        <is>
          <t>R1864437</t>
        </is>
      </c>
      <c r="F73" s="67" t="n">
        <v>44887</v>
      </c>
      <c r="G73" s="68" t="n"/>
    </row>
    <row r="74">
      <c r="A74" s="6" t="n">
        <v>882304</v>
      </c>
      <c r="B74" s="6" t="inlineStr">
        <is>
          <t>CARLO ROSSI SANGRIA</t>
        </is>
      </c>
      <c r="C74" s="7">
        <f>VLOOKUP(A74,SizeData!A$2:B$3839,2,FALSE)</f>
        <v/>
      </c>
      <c r="D74" s="6" t="n">
        <v>3</v>
      </c>
      <c r="E74" s="6" t="inlineStr">
        <is>
          <t>R1889915</t>
        </is>
      </c>
      <c r="F74" s="67" t="n">
        <v>44900</v>
      </c>
      <c r="G74" s="68" t="n"/>
    </row>
    <row r="75">
      <c r="A75" s="6" t="n">
        <v>882300</v>
      </c>
      <c r="B75" s="6" t="inlineStr">
        <is>
          <t>CARLO ROSSI SPANADA SANGRIA</t>
        </is>
      </c>
      <c r="C75" s="7">
        <f>VLOOKUP(A75,SizeData!A$2:B$3839,2,FALSE)</f>
        <v/>
      </c>
      <c r="D75" s="6" t="n">
        <v>3</v>
      </c>
      <c r="E75" s="6" t="inlineStr">
        <is>
          <t>R1858393</t>
        </is>
      </c>
      <c r="F75" s="67" t="n">
        <v>44889</v>
      </c>
      <c r="G75" s="68" t="n"/>
    </row>
    <row r="76">
      <c r="A76" s="6" t="n">
        <v>882306</v>
      </c>
      <c r="B76" s="6" t="inlineStr">
        <is>
          <t>CARLO ROSSI SPANADA SANGRIA</t>
        </is>
      </c>
      <c r="C76" s="7">
        <f>VLOOKUP(A76,SizeData!A$2:B$3839,2,FALSE)</f>
        <v/>
      </c>
      <c r="D76" s="6" t="n">
        <v>2</v>
      </c>
      <c r="E76" s="6" t="inlineStr">
        <is>
          <t>R1883604</t>
        </is>
      </c>
      <c r="F76" s="67" t="n">
        <v>44890</v>
      </c>
      <c r="G76" s="68" t="n"/>
    </row>
    <row r="77">
      <c r="A77" s="6" t="n">
        <v>882306</v>
      </c>
      <c r="B77" s="6" t="inlineStr">
        <is>
          <t>CARLO ROSSI SPANADA SANGRIA</t>
        </is>
      </c>
      <c r="C77" s="7">
        <f>VLOOKUP(A77,SizeData!A$2:B$3839,2,FALSE)</f>
        <v/>
      </c>
      <c r="D77" s="6" t="n">
        <v>4</v>
      </c>
      <c r="E77" s="6" t="inlineStr">
        <is>
          <t>R1882735</t>
        </is>
      </c>
      <c r="F77" s="67" t="n">
        <v>44894</v>
      </c>
      <c r="G77" s="68" t="n"/>
    </row>
    <row r="78">
      <c r="A78" s="6" t="n">
        <v>882300</v>
      </c>
      <c r="B78" s="6" t="inlineStr">
        <is>
          <t>CARLO ROSSI SPANADA SANGRIA</t>
        </is>
      </c>
      <c r="C78" s="7">
        <f>VLOOKUP(A78,SizeData!A$2:B$3839,2,FALSE)</f>
        <v/>
      </c>
      <c r="D78" s="6" t="n">
        <v>5</v>
      </c>
      <c r="E78" s="6" t="inlineStr">
        <is>
          <t>R1889915</t>
        </is>
      </c>
      <c r="F78" s="67" t="n">
        <v>44900</v>
      </c>
      <c r="G78" s="68" t="n"/>
    </row>
    <row r="79">
      <c r="A79" s="6" t="n">
        <v>415318</v>
      </c>
      <c r="B79" s="6" t="inlineStr">
        <is>
          <t>CARLO ROSSI SWEET RED</t>
        </is>
      </c>
      <c r="C79" s="7">
        <f>VLOOKUP(A79,SizeData!A$2:B$3839,2,FALSE)</f>
        <v/>
      </c>
      <c r="D79" s="6" t="n">
        <v>4</v>
      </c>
      <c r="E79" s="6" t="inlineStr">
        <is>
          <t>R1883604</t>
        </is>
      </c>
      <c r="F79" s="67" t="n">
        <v>44890</v>
      </c>
      <c r="G79" s="68" t="n"/>
    </row>
    <row r="80">
      <c r="A80" s="6" t="n">
        <v>882312</v>
      </c>
      <c r="B80" s="6" t="inlineStr">
        <is>
          <t>CARLO ROSSI SWEET RED</t>
        </is>
      </c>
      <c r="C80" s="7">
        <f>VLOOKUP(A80,SizeData!A$2:B$3839,2,FALSE)</f>
        <v/>
      </c>
      <c r="D80" s="6" t="n">
        <v>2</v>
      </c>
      <c r="E80" s="6" t="inlineStr">
        <is>
          <t>R1882735</t>
        </is>
      </c>
      <c r="F80" s="67" t="n">
        <v>44894</v>
      </c>
      <c r="G80" s="68" t="n"/>
    </row>
    <row r="81">
      <c r="A81" s="6" t="n">
        <v>882312</v>
      </c>
      <c r="B81" s="6" t="inlineStr">
        <is>
          <t>CARLO ROSSI SWEET RED</t>
        </is>
      </c>
      <c r="C81" s="7">
        <f>VLOOKUP(A81,SizeData!A$2:B$3839,2,FALSE)</f>
        <v/>
      </c>
      <c r="D81" s="6" t="n">
        <v>4</v>
      </c>
      <c r="E81" s="6" t="inlineStr">
        <is>
          <t>R1889915</t>
        </is>
      </c>
      <c r="F81" s="67" t="n">
        <v>44900</v>
      </c>
      <c r="G81" s="68" t="n"/>
    </row>
    <row r="82">
      <c r="A82" s="6" t="n">
        <v>415315</v>
      </c>
      <c r="B82" s="6" t="inlineStr">
        <is>
          <t>CARLO ROSSI SWEET RED</t>
        </is>
      </c>
      <c r="C82" s="7">
        <f>VLOOKUP(A82,SizeData!A$2:B$3839,2,FALSE)</f>
        <v/>
      </c>
      <c r="D82" s="6" t="n">
        <v>2</v>
      </c>
      <c r="E82" s="6" t="inlineStr">
        <is>
          <t>R1889915</t>
        </is>
      </c>
      <c r="F82" s="67" t="n">
        <v>44900</v>
      </c>
      <c r="G82" s="68" t="n"/>
    </row>
    <row r="83">
      <c r="A83" s="6" t="n">
        <v>882308</v>
      </c>
      <c r="B83" s="6" t="inlineStr">
        <is>
          <t>CARLO ROSSI SWEET SANGRIA</t>
        </is>
      </c>
      <c r="C83" s="7">
        <f>VLOOKUP(A83,SizeData!A$2:B$3839,2,FALSE)</f>
        <v/>
      </c>
      <c r="D83" s="6" t="n">
        <v>2</v>
      </c>
      <c r="E83" s="6" t="inlineStr">
        <is>
          <t>R1882735</t>
        </is>
      </c>
      <c r="F83" s="67" t="n">
        <v>44894</v>
      </c>
      <c r="G83" s="68" t="n"/>
    </row>
    <row r="84">
      <c r="A84" s="6" t="n">
        <v>882310</v>
      </c>
      <c r="B84" s="6" t="inlineStr">
        <is>
          <t>CARLO ROSSI SWEET SANGRIA</t>
        </is>
      </c>
      <c r="C84" s="7">
        <f>VLOOKUP(A84,SizeData!A$2:B$3839,2,FALSE)</f>
        <v/>
      </c>
      <c r="D84" s="6" t="n">
        <v>2</v>
      </c>
      <c r="E84" s="6" t="inlineStr">
        <is>
          <t>R1882735</t>
        </is>
      </c>
      <c r="F84" s="67" t="n">
        <v>44894</v>
      </c>
      <c r="G84" s="68" t="n"/>
    </row>
    <row r="85">
      <c r="A85" s="6" t="n">
        <v>882310</v>
      </c>
      <c r="B85" s="6" t="inlineStr">
        <is>
          <t>CARLO ROSSI SWEET SANGRIA</t>
        </is>
      </c>
      <c r="C85" s="7">
        <f>VLOOKUP(A85,SizeData!A$2:B$3839,2,FALSE)</f>
        <v/>
      </c>
      <c r="D85" s="6" t="n">
        <v>1</v>
      </c>
      <c r="E85" s="6" t="inlineStr">
        <is>
          <t>R1891249</t>
        </is>
      </c>
      <c r="F85" s="67" t="n">
        <v>44898</v>
      </c>
      <c r="G85" s="68" t="n"/>
    </row>
    <row r="86">
      <c r="A86" s="6" t="n">
        <v>882308</v>
      </c>
      <c r="B86" s="6" t="inlineStr">
        <is>
          <t>CARLO ROSSI SWEET SANGRIA</t>
        </is>
      </c>
      <c r="C86" s="7">
        <f>VLOOKUP(A86,SizeData!A$2:B$3839,2,FALSE)</f>
        <v/>
      </c>
      <c r="D86" s="6" t="n">
        <v>1</v>
      </c>
      <c r="E86" s="6" t="inlineStr">
        <is>
          <t>R1889915</t>
        </is>
      </c>
      <c r="F86" s="67" t="n">
        <v>44900</v>
      </c>
      <c r="G86" s="68" t="n"/>
    </row>
    <row r="87">
      <c r="A87" s="6" t="n">
        <v>451754</v>
      </c>
      <c r="B87" s="6" t="inlineStr">
        <is>
          <t>CARNIVOR CABERNET SAUVIGNON BOURBON BARREL AGED</t>
        </is>
      </c>
      <c r="C87" s="7">
        <f>VLOOKUP(A87,SizeData!A$2:B$3839,2,FALSE)</f>
        <v/>
      </c>
      <c r="D87" s="6" t="n">
        <v>1</v>
      </c>
      <c r="E87" s="6" t="inlineStr">
        <is>
          <t>R1900430</t>
        </is>
      </c>
      <c r="F87" s="67" t="n">
        <v>44896</v>
      </c>
      <c r="G87" s="68" t="n"/>
    </row>
    <row r="88">
      <c r="A88" s="6" t="n">
        <v>87282</v>
      </c>
      <c r="B88" s="6" t="inlineStr">
        <is>
          <t>CASAMIGOS BLANCO TEQUILA 100% AGAVE</t>
        </is>
      </c>
      <c r="C88" s="7">
        <f>VLOOKUP(A88,SizeData!A$2:B$3839,2,FALSE)</f>
        <v/>
      </c>
      <c r="D88" s="6" t="n">
        <v>5</v>
      </c>
      <c r="E88" s="6" t="inlineStr">
        <is>
          <t>R1896002</t>
        </is>
      </c>
      <c r="F88" s="67" t="n">
        <v>44894</v>
      </c>
      <c r="G88" s="68" t="n"/>
    </row>
    <row r="89">
      <c r="A89" s="6" t="n">
        <v>87280</v>
      </c>
      <c r="B89" s="6" t="inlineStr">
        <is>
          <t>CASAMIGOS BLANCO TEQUILA 100% AGAVE</t>
        </is>
      </c>
      <c r="C89" s="7">
        <f>VLOOKUP(A89,SizeData!A$2:B$3839,2,FALSE)</f>
        <v/>
      </c>
      <c r="D89" s="6" t="n">
        <v>5</v>
      </c>
      <c r="E89" s="6" t="inlineStr">
        <is>
          <t>R1900430</t>
        </is>
      </c>
      <c r="F89" s="67" t="n">
        <v>44896</v>
      </c>
      <c r="G89" s="68" t="n"/>
    </row>
    <row r="90">
      <c r="A90" s="6" t="n">
        <v>87280</v>
      </c>
      <c r="B90" s="6" t="inlineStr">
        <is>
          <t>CASAMIGOS BLANCO TEQUILA 100% AGAVE</t>
        </is>
      </c>
      <c r="C90" s="7">
        <f>VLOOKUP(A90,SizeData!A$2:B$3839,2,FALSE)</f>
        <v/>
      </c>
      <c r="D90" s="6" t="n">
        <v>10</v>
      </c>
      <c r="E90" s="6" t="inlineStr">
        <is>
          <t>R1890841</t>
        </is>
      </c>
      <c r="F90" s="67" t="n">
        <v>44898</v>
      </c>
      <c r="G90" s="68" t="n"/>
    </row>
    <row r="91">
      <c r="A91" s="6" t="n">
        <v>88830</v>
      </c>
      <c r="B91" s="6" t="inlineStr">
        <is>
          <t>CASAMIGOS REPOSADO TEQUILA 100% AGAVE</t>
        </is>
      </c>
      <c r="C91" s="7">
        <f>VLOOKUP(A91,SizeData!A$2:B$3839,2,FALSE)</f>
        <v/>
      </c>
      <c r="D91" s="6" t="n">
        <v>5</v>
      </c>
      <c r="E91" s="6" t="inlineStr">
        <is>
          <t>R1896002</t>
        </is>
      </c>
      <c r="F91" s="67" t="n">
        <v>44894</v>
      </c>
      <c r="G91" s="68" t="n"/>
    </row>
    <row r="92">
      <c r="A92" s="6" t="n">
        <v>89177</v>
      </c>
      <c r="B92" s="6" t="inlineStr">
        <is>
          <t>CASAMIGOS REPOSADO TEQUILA 100% AGAVE</t>
        </is>
      </c>
      <c r="C92" s="7">
        <f>VLOOKUP(A92,SizeData!A$2:B$3839,2,FALSE)</f>
        <v/>
      </c>
      <c r="D92" s="6" t="n">
        <v>15</v>
      </c>
      <c r="E92" s="6" t="inlineStr">
        <is>
          <t>R1900430</t>
        </is>
      </c>
      <c r="F92" s="67" t="n">
        <v>44896</v>
      </c>
      <c r="G92" s="68" t="n"/>
    </row>
    <row r="93">
      <c r="A93" s="6" t="n">
        <v>35592</v>
      </c>
      <c r="B93" s="6" t="inlineStr">
        <is>
          <t>CATHEAD VODKA</t>
        </is>
      </c>
      <c r="C93" s="7">
        <f>VLOOKUP(A93,SizeData!A$2:B$3839,2,FALSE)</f>
        <v/>
      </c>
      <c r="D93" s="6" t="n">
        <v>1</v>
      </c>
      <c r="E93" s="6" t="inlineStr">
        <is>
          <t>R1900430</t>
        </is>
      </c>
      <c r="F93" s="67" t="n">
        <v>44896</v>
      </c>
      <c r="G93" s="68" t="n"/>
    </row>
    <row r="94">
      <c r="A94" s="6" t="n">
        <v>355805</v>
      </c>
      <c r="B94" s="6" t="inlineStr">
        <is>
          <t>CAVIT PINOT GRIGIO</t>
        </is>
      </c>
      <c r="C94" s="7">
        <f>VLOOKUP(A94,SizeData!A$2:B$3839,2,FALSE)</f>
        <v/>
      </c>
      <c r="D94" s="6" t="n">
        <v>1</v>
      </c>
      <c r="E94" s="6" t="inlineStr">
        <is>
          <t>R1883869</t>
        </is>
      </c>
      <c r="F94" s="67" t="n">
        <v>44896</v>
      </c>
      <c r="G94" s="68" t="n"/>
    </row>
    <row r="95">
      <c r="A95" s="6" t="n">
        <v>89099</v>
      </c>
      <c r="B95" s="6" t="inlineStr">
        <is>
          <t>CAZADORES ANEJO GOLD TEQUILA</t>
        </is>
      </c>
      <c r="C95" s="7">
        <f>VLOOKUP(A95,SizeData!A$2:B$3839,2,FALSE)</f>
        <v/>
      </c>
      <c r="D95" s="6" t="n">
        <v>1</v>
      </c>
      <c r="E95" s="6" t="inlineStr">
        <is>
          <t>R1900430</t>
        </is>
      </c>
      <c r="F95" s="67" t="n">
        <v>44896</v>
      </c>
      <c r="G95" s="68" t="n"/>
    </row>
    <row r="96">
      <c r="A96" s="6" t="n">
        <v>89121</v>
      </c>
      <c r="B96" s="6" t="inlineStr">
        <is>
          <t>CAZADORES REPOSADO GOLD TEQUILA</t>
        </is>
      </c>
      <c r="C96" s="7">
        <f>VLOOKUP(A96,SizeData!A$2:B$3839,2,FALSE)</f>
        <v/>
      </c>
      <c r="D96" s="6" t="n">
        <v>1</v>
      </c>
      <c r="E96" s="6" t="inlineStr">
        <is>
          <t>R1900430</t>
        </is>
      </c>
      <c r="F96" s="67" t="n">
        <v>44896</v>
      </c>
      <c r="G96" s="68" t="n"/>
    </row>
    <row r="97">
      <c r="A97" s="6" t="n">
        <v>92270</v>
      </c>
      <c r="B97" s="6" t="inlineStr">
        <is>
          <t>CHOCOVINE (DUTCH CHOCOLATE &amp; RED WINE)</t>
        </is>
      </c>
      <c r="C97" s="7">
        <f>VLOOKUP(A97,SizeData!A$2:B$3839,2,FALSE)</f>
        <v/>
      </c>
      <c r="D97" s="6" t="n">
        <v>1</v>
      </c>
      <c r="E97" s="6" t="inlineStr">
        <is>
          <t>R1883869</t>
        </is>
      </c>
      <c r="F97" s="67" t="n">
        <v>44896</v>
      </c>
      <c r="G97" s="68" t="n"/>
    </row>
    <row r="98">
      <c r="A98" s="6" t="n">
        <v>64510</v>
      </c>
      <c r="B98" s="6" t="inlineStr">
        <is>
          <t>CIROC APPLE FLAVORED VODKA SPECIALTY</t>
        </is>
      </c>
      <c r="C98" s="7">
        <f>VLOOKUP(A98,SizeData!A$2:B$3839,2,FALSE)</f>
        <v/>
      </c>
      <c r="D98" s="6" t="n">
        <v>1</v>
      </c>
      <c r="E98" s="6" t="inlineStr">
        <is>
          <t>R1880771</t>
        </is>
      </c>
      <c r="F98" s="67" t="n">
        <v>44895</v>
      </c>
      <c r="G98" s="68" t="n"/>
    </row>
    <row r="99">
      <c r="A99" s="6" t="n">
        <v>64511</v>
      </c>
      <c r="B99" s="6" t="inlineStr">
        <is>
          <t>CIROC APPLE FLAVORED VODKA SPECIALTY</t>
        </is>
      </c>
      <c r="C99" s="7">
        <f>VLOOKUP(A99,SizeData!A$2:B$3839,2,FALSE)</f>
        <v/>
      </c>
      <c r="D99" s="6" t="n">
        <v>2</v>
      </c>
      <c r="E99" s="6" t="inlineStr">
        <is>
          <t>R1896442</t>
        </is>
      </c>
      <c r="F99" s="67" t="n">
        <v>44897</v>
      </c>
      <c r="G99" s="68" t="n"/>
    </row>
    <row r="100">
      <c r="A100" s="6" t="n">
        <v>64348</v>
      </c>
      <c r="B100" s="6" t="inlineStr">
        <is>
          <t>CIROC PASSION</t>
        </is>
      </c>
      <c r="C100" s="7">
        <f>VLOOKUP(A100,SizeData!A$2:B$3839,2,FALSE)</f>
        <v/>
      </c>
      <c r="D100" s="6" t="n">
        <v>1</v>
      </c>
      <c r="E100" s="6" t="inlineStr">
        <is>
          <t>R1891942</t>
        </is>
      </c>
      <c r="F100" s="67" t="n">
        <v>44898</v>
      </c>
      <c r="G100" s="68" t="n"/>
    </row>
    <row r="101">
      <c r="A101" s="6" t="n">
        <v>64722</v>
      </c>
      <c r="B101" s="6" t="inlineStr">
        <is>
          <t>CIROC PEACH FLAVORED VODKA SPECIALTY</t>
        </is>
      </c>
      <c r="C101" s="7">
        <f>VLOOKUP(A101,SizeData!A$2:B$3839,2,FALSE)</f>
        <v/>
      </c>
      <c r="D101" s="6" t="n">
        <v>1</v>
      </c>
      <c r="E101" s="6" t="inlineStr">
        <is>
          <t>R1880771</t>
        </is>
      </c>
      <c r="F101" s="67" t="n">
        <v>44895</v>
      </c>
      <c r="G101" s="68" t="n"/>
    </row>
    <row r="102">
      <c r="A102" s="6" t="n">
        <v>64573</v>
      </c>
      <c r="B102" s="6" t="inlineStr">
        <is>
          <t>CIROC PINEAPPLE FLAVORED VODKA SPECIALTY</t>
        </is>
      </c>
      <c r="C102" s="7">
        <f>VLOOKUP(A102,SizeData!A$2:B$3839,2,FALSE)</f>
        <v/>
      </c>
      <c r="D102" s="6" t="n">
        <v>1</v>
      </c>
      <c r="E102" s="6" t="inlineStr">
        <is>
          <t>R1884668</t>
        </is>
      </c>
      <c r="F102" s="67" t="n">
        <v>44898</v>
      </c>
      <c r="G102" s="68" t="n"/>
    </row>
    <row r="103">
      <c r="A103" s="6" t="n">
        <v>64339</v>
      </c>
      <c r="B103" s="6" t="inlineStr">
        <is>
          <t>CIROC POMEGRANATE FLAVORED VODKA SPECIALTY</t>
        </is>
      </c>
      <c r="C103" s="7">
        <f>VLOOKUP(A103,SizeData!A$2:B$3839,2,FALSE)</f>
        <v/>
      </c>
      <c r="D103" s="6" t="n">
        <v>3</v>
      </c>
      <c r="E103" s="6" t="inlineStr">
        <is>
          <t>R1886884</t>
        </is>
      </c>
      <c r="F103" s="67" t="n">
        <v>44900</v>
      </c>
      <c r="G103" s="68" t="n"/>
    </row>
    <row r="104">
      <c r="A104" s="6" t="n">
        <v>64767</v>
      </c>
      <c r="B104" s="6" t="inlineStr">
        <is>
          <t>CIROC RED BERRY FLAVORED VODKA SPECIALTY</t>
        </is>
      </c>
      <c r="C104" s="7">
        <f>VLOOKUP(A104,SizeData!A$2:B$3839,2,FALSE)</f>
        <v/>
      </c>
      <c r="D104" s="6" t="n">
        <v>1</v>
      </c>
      <c r="E104" s="6" t="inlineStr">
        <is>
          <t>R1883604</t>
        </is>
      </c>
      <c r="F104" s="67" t="n">
        <v>44890</v>
      </c>
      <c r="G104" s="68" t="n"/>
    </row>
    <row r="105">
      <c r="A105" s="6" t="n">
        <v>36871</v>
      </c>
      <c r="B105" s="6" t="inlineStr">
        <is>
          <t>CIROC SNAP FROST VODKA</t>
        </is>
      </c>
      <c r="C105" s="7">
        <f>VLOOKUP(A105,SizeData!A$2:B$3839,2,FALSE)</f>
        <v/>
      </c>
      <c r="D105" s="6" t="n">
        <v>2</v>
      </c>
      <c r="E105" s="6" t="inlineStr">
        <is>
          <t>R1900430</t>
        </is>
      </c>
      <c r="F105" s="67" t="n">
        <v>44896</v>
      </c>
      <c r="G105" s="68" t="n"/>
    </row>
    <row r="106">
      <c r="A106" s="6" t="n">
        <v>51109</v>
      </c>
      <c r="B106" s="6" t="inlineStr">
        <is>
          <t>CIROC VS FRENCH BRANDY</t>
        </is>
      </c>
      <c r="C106" s="7">
        <f>VLOOKUP(A106,SizeData!A$2:B$3839,2,FALSE)</f>
        <v/>
      </c>
      <c r="D106" s="6" t="n">
        <v>2</v>
      </c>
      <c r="E106" s="6" t="inlineStr">
        <is>
          <t>R1858393</t>
        </is>
      </c>
      <c r="F106" s="67" t="n">
        <v>44889</v>
      </c>
      <c r="G106" s="68" t="n"/>
    </row>
    <row r="107">
      <c r="A107" s="6" t="n">
        <v>51107</v>
      </c>
      <c r="B107" s="6" t="inlineStr">
        <is>
          <t>CIROC VS FRENCH BRANDY</t>
        </is>
      </c>
      <c r="C107" s="7">
        <f>VLOOKUP(A107,SizeData!A$2:B$3839,2,FALSE)</f>
        <v/>
      </c>
      <c r="D107" s="6" t="n">
        <v>1</v>
      </c>
      <c r="E107" s="6" t="inlineStr">
        <is>
          <t>R1858393</t>
        </is>
      </c>
      <c r="F107" s="67" t="n">
        <v>44889</v>
      </c>
      <c r="G107" s="68" t="n"/>
    </row>
    <row r="108">
      <c r="A108" s="6" t="n">
        <v>51109</v>
      </c>
      <c r="B108" s="6" t="inlineStr">
        <is>
          <t>CIROC VS FRENCH BRANDY</t>
        </is>
      </c>
      <c r="C108" s="7">
        <f>VLOOKUP(A108,SizeData!A$2:B$3839,2,FALSE)</f>
        <v/>
      </c>
      <c r="D108" s="6" t="n">
        <v>1</v>
      </c>
      <c r="E108" s="6" t="inlineStr">
        <is>
          <t>R1884003</t>
        </is>
      </c>
      <c r="F108" s="67" t="n">
        <v>44891</v>
      </c>
      <c r="G108" s="68" t="n"/>
    </row>
    <row r="109">
      <c r="A109" s="6" t="n">
        <v>51109</v>
      </c>
      <c r="B109" s="6" t="inlineStr">
        <is>
          <t>CIROC VS FRENCH BRANDY</t>
        </is>
      </c>
      <c r="C109" s="7">
        <f>VLOOKUP(A109,SizeData!A$2:B$3839,2,FALSE)</f>
        <v/>
      </c>
      <c r="D109" s="6" t="n">
        <v>2</v>
      </c>
      <c r="E109" s="6" t="inlineStr">
        <is>
          <t>R1891249</t>
        </is>
      </c>
      <c r="F109" s="67" t="n">
        <v>44898</v>
      </c>
      <c r="G109" s="68" t="n"/>
    </row>
    <row r="110">
      <c r="A110" s="6" t="n">
        <v>6998</v>
      </c>
      <c r="B110" s="6" t="inlineStr">
        <is>
          <t>CLAN MCGREGOR</t>
        </is>
      </c>
      <c r="C110" s="7">
        <f>VLOOKUP(A110,SizeData!A$2:B$3839,2,FALSE)</f>
        <v/>
      </c>
      <c r="D110" s="6" t="n">
        <v>1</v>
      </c>
      <c r="E110" s="6" t="inlineStr">
        <is>
          <t>R1896442</t>
        </is>
      </c>
      <c r="F110" s="67" t="n">
        <v>44897</v>
      </c>
      <c r="G110" s="68" t="n"/>
    </row>
    <row r="111">
      <c r="A111" s="6" t="n">
        <v>6998</v>
      </c>
      <c r="B111" s="6" t="inlineStr">
        <is>
          <t>CLAN MCGREGOR</t>
        </is>
      </c>
      <c r="C111" s="7">
        <f>VLOOKUP(A111,SizeData!A$2:B$3839,2,FALSE)</f>
        <v/>
      </c>
      <c r="D111" s="6" t="n">
        <v>1</v>
      </c>
      <c r="E111" s="6" t="inlineStr">
        <is>
          <t>R1891249</t>
        </is>
      </c>
      <c r="F111" s="67" t="n">
        <v>44898</v>
      </c>
      <c r="G111" s="68" t="n"/>
    </row>
    <row r="112">
      <c r="A112" s="6" t="n">
        <v>17517</v>
      </c>
      <c r="B112" s="6" t="inlineStr">
        <is>
          <t>COOPERS' CRAFT KENTUCKY STRAIGHT BOURBON</t>
        </is>
      </c>
      <c r="C112" s="7">
        <f>VLOOKUP(A112,SizeData!A$2:B$3839,2,FALSE)</f>
        <v/>
      </c>
      <c r="D112" s="6" t="n">
        <v>1</v>
      </c>
      <c r="E112" s="6" t="inlineStr">
        <is>
          <t>R1889915</t>
        </is>
      </c>
      <c r="F112" s="67" t="n">
        <v>44900</v>
      </c>
      <c r="G112" s="68" t="n"/>
    </row>
    <row r="113">
      <c r="A113" s="6" t="n">
        <v>469432</v>
      </c>
      <c r="B113" s="6" t="inlineStr">
        <is>
          <t>COPPERIDGE CABERNET SAUVIGNON</t>
        </is>
      </c>
      <c r="C113" s="7">
        <f>VLOOKUP(A113,SizeData!A$2:B$3839,2,FALSE)</f>
        <v/>
      </c>
      <c r="D113" s="6" t="n">
        <v>2</v>
      </c>
      <c r="E113" s="6" t="inlineStr">
        <is>
          <t>R1889205</t>
        </is>
      </c>
      <c r="F113" s="67" t="n">
        <v>44897</v>
      </c>
      <c r="G113" s="68" t="n"/>
    </row>
    <row r="114">
      <c r="A114" s="6" t="n">
        <v>469432</v>
      </c>
      <c r="B114" s="6" t="inlineStr">
        <is>
          <t>COPPERIDGE CABERNET SAUVIGNON</t>
        </is>
      </c>
      <c r="C114" s="7">
        <f>VLOOKUP(A114,SizeData!A$2:B$3839,2,FALSE)</f>
        <v/>
      </c>
      <c r="D114" s="6" t="n">
        <v>2</v>
      </c>
      <c r="E114" s="6" t="inlineStr">
        <is>
          <t>R1896442</t>
        </is>
      </c>
      <c r="F114" s="67" t="n">
        <v>44897</v>
      </c>
      <c r="G114" s="68" t="n"/>
    </row>
    <row r="115">
      <c r="A115" s="6" t="n">
        <v>568832</v>
      </c>
      <c r="B115" s="6" t="inlineStr">
        <is>
          <t>COPPERIDGE CHARDONNAY</t>
        </is>
      </c>
      <c r="C115" s="7">
        <f>VLOOKUP(A115,SizeData!A$2:B$3839,2,FALSE)</f>
        <v/>
      </c>
      <c r="D115" s="6" t="n">
        <v>3</v>
      </c>
      <c r="E115" s="6" t="inlineStr">
        <is>
          <t>R1889205</t>
        </is>
      </c>
      <c r="F115" s="67" t="n">
        <v>44897</v>
      </c>
      <c r="G115" s="68" t="n"/>
    </row>
    <row r="116">
      <c r="A116" s="6" t="n">
        <v>568832</v>
      </c>
      <c r="B116" s="6" t="inlineStr">
        <is>
          <t>COPPERIDGE CHARDONNAY</t>
        </is>
      </c>
      <c r="C116" s="7">
        <f>VLOOKUP(A116,SizeData!A$2:B$3839,2,FALSE)</f>
        <v/>
      </c>
      <c r="D116" s="6" t="n">
        <v>3</v>
      </c>
      <c r="E116" s="6" t="inlineStr">
        <is>
          <t>R1896442</t>
        </is>
      </c>
      <c r="F116" s="67" t="n">
        <v>44897</v>
      </c>
      <c r="G116" s="68" t="n"/>
    </row>
    <row r="117">
      <c r="A117" s="6" t="n">
        <v>89242</v>
      </c>
      <c r="B117" s="6" t="inlineStr">
        <is>
          <t>CORRALEJO REPOSADO GOLD TEQUILA</t>
        </is>
      </c>
      <c r="C117" s="7">
        <f>VLOOKUP(A117,SizeData!A$2:B$3839,2,FALSE)</f>
        <v/>
      </c>
      <c r="D117" s="6" t="n">
        <v>1</v>
      </c>
      <c r="E117" s="6" t="inlineStr">
        <is>
          <t>R1900430</t>
        </is>
      </c>
      <c r="F117" s="67" t="n">
        <v>44896</v>
      </c>
      <c r="G117" s="68" t="n"/>
    </row>
    <row r="118">
      <c r="A118" s="6" t="n">
        <v>47776</v>
      </c>
      <c r="B118" s="6" t="inlineStr">
        <is>
          <t>COURVOISIER VSOP COGNAC</t>
        </is>
      </c>
      <c r="C118" s="7">
        <f>VLOOKUP(A118,SizeData!A$2:B$3839,2,FALSE)</f>
        <v/>
      </c>
      <c r="D118" s="6" t="n">
        <v>1</v>
      </c>
      <c r="E118" s="6" t="inlineStr">
        <is>
          <t>R1889915</t>
        </is>
      </c>
      <c r="F118" s="67" t="n">
        <v>44900</v>
      </c>
      <c r="G118" s="68" t="n"/>
    </row>
    <row r="119">
      <c r="A119" s="6" t="n">
        <v>11294</v>
      </c>
      <c r="B119" s="6" t="inlineStr">
        <is>
          <t>CROWN ROYAL</t>
        </is>
      </c>
      <c r="C119" s="7">
        <f>VLOOKUP(A119,SizeData!A$2:B$3839,2,FALSE)</f>
        <v/>
      </c>
      <c r="D119" s="6" t="n">
        <v>3</v>
      </c>
      <c r="E119" s="6" t="inlineStr">
        <is>
          <t>R1884003</t>
        </is>
      </c>
      <c r="F119" s="67" t="n">
        <v>44891</v>
      </c>
      <c r="G119" s="68" t="n"/>
    </row>
    <row r="120">
      <c r="A120" s="6" t="n">
        <v>11296</v>
      </c>
      <c r="B120" s="6" t="inlineStr">
        <is>
          <t>CROWN ROYAL</t>
        </is>
      </c>
      <c r="C120" s="7">
        <f>VLOOKUP(A120,SizeData!A$2:B$3839,2,FALSE)</f>
        <v/>
      </c>
      <c r="D120" s="6" t="n">
        <v>20</v>
      </c>
      <c r="E120" s="6" t="inlineStr">
        <is>
          <t>R1874592</t>
        </is>
      </c>
      <c r="F120" s="67" t="n">
        <v>44896</v>
      </c>
      <c r="G120" s="68" t="n"/>
    </row>
    <row r="121">
      <c r="A121" s="6" t="n">
        <v>11294</v>
      </c>
      <c r="B121" s="6" t="inlineStr">
        <is>
          <t>CROWN ROYAL</t>
        </is>
      </c>
      <c r="C121" s="7">
        <f>VLOOKUP(A121,SizeData!A$2:B$3839,2,FALSE)</f>
        <v/>
      </c>
      <c r="D121" s="6" t="n">
        <v>6</v>
      </c>
      <c r="E121" s="6" t="inlineStr">
        <is>
          <t>R1884668</t>
        </is>
      </c>
      <c r="F121" s="67" t="n">
        <v>44898</v>
      </c>
      <c r="G121" s="68" t="n"/>
    </row>
    <row r="122" customFormat="1" s="35">
      <c r="A122" s="6" t="n">
        <v>11297</v>
      </c>
      <c r="B122" s="6" t="inlineStr">
        <is>
          <t>CROWN ROYAL</t>
        </is>
      </c>
      <c r="C122" s="7">
        <f>VLOOKUP(A122,SizeData!A$2:B$3839,2,FALSE)</f>
        <v/>
      </c>
      <c r="D122" s="6" t="n">
        <v>2</v>
      </c>
      <c r="E122" s="6" t="inlineStr">
        <is>
          <t>R1892170</t>
        </is>
      </c>
      <c r="F122" s="67" t="n">
        <v>44902</v>
      </c>
      <c r="G122" s="68" t="n"/>
    </row>
    <row r="123">
      <c r="A123" s="6" t="n">
        <v>10836</v>
      </c>
      <c r="B123" s="6" t="inlineStr">
        <is>
          <t>CROWN ROYAL BLACK</t>
        </is>
      </c>
      <c r="C123" s="7">
        <f>VLOOKUP(A123,SizeData!A$2:B$3839,2,FALSE)</f>
        <v/>
      </c>
      <c r="D123" s="6" t="n">
        <v>3</v>
      </c>
      <c r="E123" s="6" t="inlineStr">
        <is>
          <t>R1882727</t>
        </is>
      </c>
      <c r="F123" s="67" t="n">
        <v>44894</v>
      </c>
      <c r="G123" s="68" t="n"/>
    </row>
    <row r="124">
      <c r="A124" s="6" t="n">
        <v>10836</v>
      </c>
      <c r="B124" s="6" t="inlineStr">
        <is>
          <t>CROWN ROYAL BLACK</t>
        </is>
      </c>
      <c r="C124" s="7">
        <f>VLOOKUP(A124,SizeData!A$2:B$3839,2,FALSE)</f>
        <v/>
      </c>
      <c r="D124" s="6" t="n">
        <v>3</v>
      </c>
      <c r="E124" s="6" t="inlineStr">
        <is>
          <t>R1877599</t>
        </is>
      </c>
      <c r="F124" s="67" t="n">
        <v>44896</v>
      </c>
      <c r="G124" s="68" t="n"/>
    </row>
    <row r="125">
      <c r="A125" s="6" t="n">
        <v>1400</v>
      </c>
      <c r="B125" s="6" t="inlineStr">
        <is>
          <t>CROWN ROYAL DELUXE WITH 2 GLASSES</t>
        </is>
      </c>
      <c r="C125" s="7">
        <f>VLOOKUP(A125,SizeData!A$2:B$3839,2,FALSE)</f>
        <v/>
      </c>
      <c r="D125" s="6" t="n">
        <v>5</v>
      </c>
      <c r="E125" s="6" t="inlineStr">
        <is>
          <t>R1900430</t>
        </is>
      </c>
      <c r="F125" s="67" t="n">
        <v>44896</v>
      </c>
      <c r="G125" s="68" t="n"/>
    </row>
    <row r="126">
      <c r="A126" s="31" t="n">
        <v>1400</v>
      </c>
      <c r="B126" s="31" t="inlineStr">
        <is>
          <t>CROWN ROYAL DELUXE WITH 2 GLASSES</t>
        </is>
      </c>
      <c r="C126" s="32">
        <f>VLOOKUP(A126,SizeData!A$2:B$3839,2,FALSE)</f>
        <v/>
      </c>
      <c r="D126" s="31" t="n">
        <v>20</v>
      </c>
      <c r="E126" s="31" t="inlineStr">
        <is>
          <t>R1889504</t>
        </is>
      </c>
      <c r="F126" s="82" t="n">
        <v>44898</v>
      </c>
      <c r="G126" s="83" t="n"/>
    </row>
    <row r="127">
      <c r="A127" s="6" t="n">
        <v>10802</v>
      </c>
      <c r="B127" s="6" t="inlineStr">
        <is>
          <t>CROWN ROYAL PEACH FLAVORED WHISKEY</t>
        </is>
      </c>
      <c r="C127" s="7">
        <f>VLOOKUP(A127,SizeData!A$2:B$3839,2,FALSE)</f>
        <v/>
      </c>
      <c r="D127" s="6" t="n">
        <v>1</v>
      </c>
      <c r="E127" s="6" t="inlineStr">
        <is>
          <t>R1884003</t>
        </is>
      </c>
      <c r="F127" s="67" t="n">
        <v>44891</v>
      </c>
      <c r="G127" s="68" t="n"/>
    </row>
    <row r="128">
      <c r="A128" s="6" t="n">
        <v>10808</v>
      </c>
      <c r="B128" s="6" t="inlineStr">
        <is>
          <t>CROWN ROYAL REGAL APPLE FLAVORED WHISKEY</t>
        </is>
      </c>
      <c r="C128" s="7">
        <f>VLOOKUP(A128,SizeData!A$2:B$3839,2,FALSE)</f>
        <v/>
      </c>
      <c r="D128" s="6" t="n">
        <v>2</v>
      </c>
      <c r="E128" s="6" t="inlineStr">
        <is>
          <t>R1883604</t>
        </is>
      </c>
      <c r="F128" s="67" t="n">
        <v>44890</v>
      </c>
      <c r="G128" s="68" t="n"/>
    </row>
    <row r="129">
      <c r="A129" s="6" t="n">
        <v>10805</v>
      </c>
      <c r="B129" s="6" t="inlineStr">
        <is>
          <t>CROWN ROYAL REGAL APPLE FLAVORED WHISKEY</t>
        </is>
      </c>
      <c r="C129" s="7">
        <f>VLOOKUP(A129,SizeData!A$2:B$3839,2,FALSE)</f>
        <v/>
      </c>
      <c r="D129" s="6" t="n">
        <v>2</v>
      </c>
      <c r="E129" s="6" t="inlineStr">
        <is>
          <t>R1883604</t>
        </is>
      </c>
      <c r="F129" s="67" t="n">
        <v>44890</v>
      </c>
      <c r="G129" s="68" t="n"/>
    </row>
    <row r="130">
      <c r="A130" s="6" t="n">
        <v>10807</v>
      </c>
      <c r="B130" s="6" t="inlineStr">
        <is>
          <t>CROWN ROYAL REGAL APPLE FLAVORED WHISKEY</t>
        </is>
      </c>
      <c r="C130" s="7">
        <f>VLOOKUP(A130,SizeData!A$2:B$3839,2,FALSE)</f>
        <v/>
      </c>
      <c r="D130" s="6" t="n">
        <v>10</v>
      </c>
      <c r="E130" s="6" t="inlineStr">
        <is>
          <t>R1889205</t>
        </is>
      </c>
      <c r="F130" s="67" t="n">
        <v>44897</v>
      </c>
      <c r="G130" s="68" t="n"/>
    </row>
    <row r="131">
      <c r="A131" s="6" t="n">
        <v>10805</v>
      </c>
      <c r="B131" s="6" t="inlineStr">
        <is>
          <t>CROWN ROYAL REGAL APPLE FLAVORED WHISKEY</t>
        </is>
      </c>
      <c r="C131" s="7">
        <f>VLOOKUP(A131,SizeData!A$2:B$3839,2,FALSE)</f>
        <v/>
      </c>
      <c r="D131" s="6" t="n">
        <v>4</v>
      </c>
      <c r="E131" s="6" t="inlineStr">
        <is>
          <t>R1884668</t>
        </is>
      </c>
      <c r="F131" s="67" t="n">
        <v>44898</v>
      </c>
      <c r="G131" s="68" t="n"/>
    </row>
    <row r="132">
      <c r="A132" s="6" t="n">
        <v>11364</v>
      </c>
      <c r="B132" s="6" t="inlineStr">
        <is>
          <t>CROWN ROYAL SPECIAL RESERVE</t>
        </is>
      </c>
      <c r="C132" s="7">
        <f>VLOOKUP(A132,SizeData!A$2:B$3839,2,FALSE)</f>
        <v/>
      </c>
      <c r="D132" s="6" t="n">
        <v>3</v>
      </c>
      <c r="E132" s="6" t="inlineStr">
        <is>
          <t>R1891942</t>
        </is>
      </c>
      <c r="F132" s="67" t="n">
        <v>44898</v>
      </c>
      <c r="G132" s="68" t="n"/>
    </row>
    <row r="133">
      <c r="A133" s="6" t="n">
        <v>11366</v>
      </c>
      <c r="B133" s="6" t="inlineStr">
        <is>
          <t>CROWN ROYAL SPECIAL RESERVE</t>
        </is>
      </c>
      <c r="C133" s="7">
        <f>VLOOKUP(A133,SizeData!A$2:B$3839,2,FALSE)</f>
        <v/>
      </c>
      <c r="D133" s="6" t="n">
        <v>3</v>
      </c>
      <c r="E133" s="6" t="inlineStr">
        <is>
          <t>R1891942</t>
        </is>
      </c>
      <c r="F133" s="67" t="n">
        <v>44898</v>
      </c>
      <c r="G133" s="68" t="n"/>
    </row>
    <row r="134">
      <c r="A134" s="6" t="n">
        <v>10790</v>
      </c>
      <c r="B134" s="6" t="inlineStr">
        <is>
          <t>CROWN ROYAL VANILLA FLAVORED WHISKEY</t>
        </is>
      </c>
      <c r="C134" s="7">
        <f>VLOOKUP(A134,SizeData!A$2:B$3839,2,FALSE)</f>
        <v/>
      </c>
      <c r="D134" s="6" t="n">
        <v>1</v>
      </c>
      <c r="E134" s="6" t="inlineStr">
        <is>
          <t>R1883604</t>
        </is>
      </c>
      <c r="F134" s="67" t="n">
        <v>44890</v>
      </c>
      <c r="G134" s="68" t="n"/>
    </row>
    <row r="135">
      <c r="A135" s="6" t="n">
        <v>10791</v>
      </c>
      <c r="B135" s="6" t="inlineStr">
        <is>
          <t>CROWN ROYAL VANILLA FLAVORED WHISKEY</t>
        </is>
      </c>
      <c r="C135" s="7">
        <f>VLOOKUP(A135,SizeData!A$2:B$3839,2,FALSE)</f>
        <v/>
      </c>
      <c r="D135" s="6" t="n">
        <v>1</v>
      </c>
      <c r="E135" s="6" t="inlineStr">
        <is>
          <t>R1900430</t>
        </is>
      </c>
      <c r="F135" s="67" t="n">
        <v>44896</v>
      </c>
      <c r="G135" s="68" t="n"/>
    </row>
    <row r="136">
      <c r="A136" s="6" t="n">
        <v>10791</v>
      </c>
      <c r="B136" s="6" t="inlineStr">
        <is>
          <t>CROWN ROYAL VANILLA FLAVORED WHISKEY</t>
        </is>
      </c>
      <c r="C136" s="7">
        <f>VLOOKUP(A136,SizeData!A$2:B$3839,2,FALSE)</f>
        <v/>
      </c>
      <c r="D136" s="6" t="n">
        <v>3</v>
      </c>
      <c r="E136" s="6" t="inlineStr">
        <is>
          <t>R1889205</t>
        </is>
      </c>
      <c r="F136" s="67" t="n">
        <v>44897</v>
      </c>
      <c r="G136" s="68" t="n"/>
    </row>
    <row r="137">
      <c r="A137" s="6" t="n">
        <v>35648</v>
      </c>
      <c r="B137" s="6" t="inlineStr">
        <is>
          <t>CROWN RUSSE VODKA</t>
        </is>
      </c>
      <c r="C137" s="7">
        <f>VLOOKUP(A137,SizeData!A$2:B$3839,2,FALSE)</f>
        <v/>
      </c>
      <c r="D137" s="6" t="n">
        <v>3</v>
      </c>
      <c r="E137" s="6" t="inlineStr">
        <is>
          <t>R1883604</t>
        </is>
      </c>
      <c r="F137" s="67" t="n">
        <v>44890</v>
      </c>
      <c r="G137" s="68" t="n"/>
    </row>
    <row r="138">
      <c r="A138" s="6" t="n">
        <v>35648</v>
      </c>
      <c r="B138" s="6" t="inlineStr">
        <is>
          <t>CROWN RUSSE VODKA</t>
        </is>
      </c>
      <c r="C138" s="7">
        <f>VLOOKUP(A138,SizeData!A$2:B$3839,2,FALSE)</f>
        <v/>
      </c>
      <c r="D138" s="6" t="n">
        <v>3</v>
      </c>
      <c r="E138" s="6" t="inlineStr">
        <is>
          <t>R1884003</t>
        </is>
      </c>
      <c r="F138" s="67" t="n">
        <v>44891</v>
      </c>
      <c r="G138" s="68" t="n"/>
    </row>
    <row r="139">
      <c r="A139" s="6" t="n">
        <v>35648</v>
      </c>
      <c r="B139" s="6" t="inlineStr">
        <is>
          <t>CROWN RUSSE VODKA</t>
        </is>
      </c>
      <c r="C139" s="7">
        <f>VLOOKUP(A139,SizeData!A$2:B$3839,2,FALSE)</f>
        <v/>
      </c>
      <c r="D139" s="6" t="n">
        <v>2</v>
      </c>
      <c r="E139" s="6" t="inlineStr">
        <is>
          <t>R1889915</t>
        </is>
      </c>
      <c r="F139" s="67" t="n">
        <v>44900</v>
      </c>
      <c r="G139" s="68" t="n"/>
    </row>
    <row r="140">
      <c r="A140" s="6" t="n">
        <v>44436</v>
      </c>
      <c r="B140" s="6" t="inlineStr">
        <is>
          <t>CRUZAN BANANA FLAVORED V.I. RUM</t>
        </is>
      </c>
      <c r="C140" s="7">
        <f>VLOOKUP(A140,SizeData!A$2:B$3839,2,FALSE)</f>
        <v/>
      </c>
      <c r="D140" s="6" t="n">
        <v>1</v>
      </c>
      <c r="E140" s="6" t="inlineStr">
        <is>
          <t>R1889915</t>
        </is>
      </c>
      <c r="F140" s="67" t="n">
        <v>44900</v>
      </c>
      <c r="G140" s="68" t="n"/>
    </row>
    <row r="141">
      <c r="A141" s="6" t="n">
        <v>44476</v>
      </c>
      <c r="B141" s="6" t="inlineStr">
        <is>
          <t>CRUZAN COCONUT FLAVORED V.I. RUM</t>
        </is>
      </c>
      <c r="C141" s="7">
        <f>VLOOKUP(A141,SizeData!A$2:B$3839,2,FALSE)</f>
        <v/>
      </c>
      <c r="D141" s="6" t="n">
        <v>1</v>
      </c>
      <c r="E141" s="6" t="inlineStr">
        <is>
          <t>R1889915</t>
        </is>
      </c>
      <c r="F141" s="67" t="n">
        <v>44900</v>
      </c>
      <c r="G141" s="68" t="n"/>
    </row>
    <row r="142">
      <c r="A142" s="6" t="n">
        <v>44499</v>
      </c>
      <c r="B142" s="6" t="inlineStr">
        <is>
          <t>CRUZAN MANGO FLAVORED RUM</t>
        </is>
      </c>
      <c r="C142" s="7">
        <f>VLOOKUP(A142,SizeData!A$2:B$3839,2,FALSE)</f>
        <v/>
      </c>
      <c r="D142" s="6" t="n">
        <v>1</v>
      </c>
      <c r="E142" s="6" t="inlineStr">
        <is>
          <t>R1878226</t>
        </is>
      </c>
      <c r="F142" s="67" t="n">
        <v>44887</v>
      </c>
      <c r="G142" s="68" t="n"/>
    </row>
    <row r="143">
      <c r="A143" s="6" t="n">
        <v>44557</v>
      </c>
      <c r="B143" s="6" t="inlineStr">
        <is>
          <t>CRUZAN STRAWBERRY GINGER RUM</t>
        </is>
      </c>
      <c r="C143" s="7">
        <f>VLOOKUP(A143,SizeData!A$2:B$3839,2,FALSE)</f>
        <v/>
      </c>
      <c r="D143" s="6" t="n">
        <v>2</v>
      </c>
      <c r="E143" s="6" t="inlineStr">
        <is>
          <t>R1864437</t>
        </is>
      </c>
      <c r="F143" s="67" t="n">
        <v>44887</v>
      </c>
      <c r="G143" s="68" t="n"/>
    </row>
    <row r="144">
      <c r="A144" s="6" t="n">
        <v>58263</v>
      </c>
      <c r="B144" s="6" t="inlineStr">
        <is>
          <t>CUTWATER MANGO MARGARITA</t>
        </is>
      </c>
      <c r="C144" s="7">
        <f>VLOOKUP(A144,SizeData!A$2:B$3839,2,FALSE)</f>
        <v/>
      </c>
      <c r="D144" s="6" t="n">
        <v>1</v>
      </c>
      <c r="E144" s="6" t="inlineStr">
        <is>
          <t>R1883604</t>
        </is>
      </c>
      <c r="F144" s="67" t="n">
        <v>44890</v>
      </c>
      <c r="G144" s="68" t="n"/>
    </row>
    <row r="145">
      <c r="A145" s="6" t="n">
        <v>58263</v>
      </c>
      <c r="B145" s="6" t="inlineStr">
        <is>
          <t>CUTWATER MANGO MARGARITA</t>
        </is>
      </c>
      <c r="C145" s="7">
        <f>VLOOKUP(A145,SizeData!A$2:B$3839,2,FALSE)</f>
        <v/>
      </c>
      <c r="D145" s="6" t="n">
        <v>1</v>
      </c>
      <c r="E145" s="6" t="inlineStr">
        <is>
          <t>R1882727</t>
        </is>
      </c>
      <c r="F145" s="67" t="n">
        <v>44894</v>
      </c>
      <c r="G145" s="68" t="n"/>
    </row>
    <row r="146">
      <c r="A146" s="6" t="n">
        <v>80684</v>
      </c>
      <c r="B146" s="6" t="inlineStr">
        <is>
          <t>DEKUYPER BLUSTERY PEPPERMINT SCHNAPPS</t>
        </is>
      </c>
      <c r="C146" s="7">
        <f>VLOOKUP(A146,SizeData!A$2:B$3839,2,FALSE)</f>
        <v/>
      </c>
      <c r="D146" s="6" t="n">
        <v>1</v>
      </c>
      <c r="E146" s="6" t="inlineStr">
        <is>
          <t>R1884564</t>
        </is>
      </c>
      <c r="F146" s="67" t="n">
        <v>44900</v>
      </c>
      <c r="G146" s="68" t="n"/>
    </row>
    <row r="147">
      <c r="A147" s="6" t="n">
        <v>86110</v>
      </c>
      <c r="B147" s="6" t="inlineStr">
        <is>
          <t>DEKUYPER TRIPLE SEC</t>
        </is>
      </c>
      <c r="C147" s="7">
        <f>VLOOKUP(A147,SizeData!A$2:B$3839,2,FALSE)</f>
        <v/>
      </c>
      <c r="D147" s="6" t="n">
        <v>1</v>
      </c>
      <c r="E147" s="6" t="inlineStr">
        <is>
          <t>R1892170</t>
        </is>
      </c>
      <c r="F147" s="67" t="n">
        <v>44902</v>
      </c>
      <c r="G147" s="68" t="n"/>
    </row>
    <row r="148">
      <c r="A148" s="6" t="n">
        <v>87563</v>
      </c>
      <c r="B148" s="6" t="inlineStr">
        <is>
          <t>DELEON BLANCO TEQUILA</t>
        </is>
      </c>
      <c r="C148" s="7">
        <f>VLOOKUP(A148,SizeData!A$2:B$3839,2,FALSE)</f>
        <v/>
      </c>
      <c r="D148" s="6" t="n">
        <v>4</v>
      </c>
      <c r="E148" s="6" t="inlineStr">
        <is>
          <t>R1896002</t>
        </is>
      </c>
      <c r="F148" s="67" t="n">
        <v>44894</v>
      </c>
      <c r="G148" s="68" t="n"/>
    </row>
    <row r="149">
      <c r="A149" s="6" t="n">
        <v>43641</v>
      </c>
      <c r="B149" s="6" t="inlineStr">
        <is>
          <t>DIPLOMATICO RESERVA EXCLUSIVA RUM</t>
        </is>
      </c>
      <c r="C149" s="7">
        <f>VLOOKUP(A149,SizeData!A$2:B$3839,2,FALSE)</f>
        <v/>
      </c>
      <c r="D149" s="6" t="n">
        <v>1</v>
      </c>
      <c r="E149" s="6" t="inlineStr">
        <is>
          <t>R1864437</t>
        </is>
      </c>
      <c r="F149" s="67" t="n">
        <v>44887</v>
      </c>
      <c r="G149" s="68" t="n"/>
    </row>
    <row r="150">
      <c r="A150" s="6" t="n">
        <v>89200</v>
      </c>
      <c r="B150" s="6" t="inlineStr">
        <is>
          <t>DON JULIO ANEJO 70TH ANNIVERSARY</t>
        </is>
      </c>
      <c r="C150" s="7">
        <f>VLOOKUP(A150,SizeData!A$2:B$3839,2,FALSE)</f>
        <v/>
      </c>
      <c r="D150" s="6" t="n">
        <v>2</v>
      </c>
      <c r="E150" s="6" t="inlineStr">
        <is>
          <t>R1883604</t>
        </is>
      </c>
      <c r="F150" s="67" t="n">
        <v>44890</v>
      </c>
      <c r="G150" s="68" t="n"/>
    </row>
    <row r="151">
      <c r="A151" s="6" t="n">
        <v>89175</v>
      </c>
      <c r="B151" s="6" t="inlineStr">
        <is>
          <t>DON JULIO ANEJO TEQUILA GOLD</t>
        </is>
      </c>
      <c r="C151" s="7">
        <f>VLOOKUP(A151,SizeData!A$2:B$3839,2,FALSE)</f>
        <v/>
      </c>
      <c r="D151" s="6" t="n">
        <v>1</v>
      </c>
      <c r="E151" s="6" t="inlineStr">
        <is>
          <t>R1864437</t>
        </is>
      </c>
      <c r="F151" s="67" t="n">
        <v>44887</v>
      </c>
      <c r="G151" s="68" t="n"/>
    </row>
    <row r="152">
      <c r="A152" s="6" t="n">
        <v>89175</v>
      </c>
      <c r="B152" s="6" t="inlineStr">
        <is>
          <t>DON JULIO ANEJO TEQUILA GOLD</t>
        </is>
      </c>
      <c r="C152" s="7">
        <f>VLOOKUP(A152,SizeData!A$2:B$3839,2,FALSE)</f>
        <v/>
      </c>
      <c r="D152" s="6" t="n">
        <v>1</v>
      </c>
      <c r="E152" s="6" t="inlineStr">
        <is>
          <t>R1883604</t>
        </is>
      </c>
      <c r="F152" s="67" t="n">
        <v>44890</v>
      </c>
      <c r="G152" s="68" t="n"/>
    </row>
    <row r="153">
      <c r="A153" s="6" t="n">
        <v>87485</v>
      </c>
      <c r="B153" s="6" t="inlineStr">
        <is>
          <t>DON JULIO SILVER TEQUILA WHITE</t>
        </is>
      </c>
      <c r="C153" s="7">
        <f>VLOOKUP(A153,SizeData!A$2:B$3839,2,FALSE)</f>
        <v/>
      </c>
      <c r="D153" s="6" t="n">
        <v>2</v>
      </c>
      <c r="E153" s="6" t="inlineStr">
        <is>
          <t>R1883604</t>
        </is>
      </c>
      <c r="F153" s="67" t="n">
        <v>44890</v>
      </c>
      <c r="G153" s="68" t="n"/>
    </row>
    <row r="154">
      <c r="A154" s="6" t="n">
        <v>87484</v>
      </c>
      <c r="B154" s="6" t="inlineStr">
        <is>
          <t>DON JULIO SILVER TEQUILA WHITE</t>
        </is>
      </c>
      <c r="C154" s="7">
        <f>VLOOKUP(A154,SizeData!A$2:B$3839,2,FALSE)</f>
        <v/>
      </c>
      <c r="D154" s="6" t="n">
        <v>1</v>
      </c>
      <c r="E154" s="6" t="inlineStr">
        <is>
          <t>R1883604</t>
        </is>
      </c>
      <c r="F154" s="67" t="n">
        <v>44890</v>
      </c>
      <c r="G154" s="68" t="n"/>
    </row>
    <row r="155">
      <c r="A155" s="6" t="n">
        <v>884910</v>
      </c>
      <c r="B155" s="6" t="inlineStr">
        <is>
          <t>DUPLIN COTTON CANDY</t>
        </is>
      </c>
      <c r="C155" s="7">
        <f>VLOOKUP(A155,SizeData!A$2:B$3839,2,FALSE)</f>
        <v/>
      </c>
      <c r="D155" s="6" t="n">
        <v>2</v>
      </c>
      <c r="E155" s="6" t="inlineStr">
        <is>
          <t>R1883576</t>
        </is>
      </c>
      <c r="F155" s="67" t="n">
        <v>44895</v>
      </c>
      <c r="G155" s="68" t="n"/>
    </row>
    <row r="156">
      <c r="A156" s="6" t="n">
        <v>47861</v>
      </c>
      <c r="B156" s="6" t="inlineStr">
        <is>
          <t>DUSSE VSOP COGNAC FLASK BOTTLE</t>
        </is>
      </c>
      <c r="C156" s="7">
        <f>VLOOKUP(A156,SizeData!A$2:B$3839,2,FALSE)</f>
        <v/>
      </c>
      <c r="D156" s="6" t="n">
        <v>2</v>
      </c>
      <c r="E156" s="6" t="inlineStr">
        <is>
          <t>R1883604</t>
        </is>
      </c>
      <c r="F156" s="67" t="n">
        <v>44890</v>
      </c>
      <c r="G156" s="68" t="n"/>
    </row>
    <row r="157">
      <c r="A157" s="6" t="n">
        <v>73754</v>
      </c>
      <c r="B157" s="6" t="inlineStr">
        <is>
          <t>E &amp; J APPLE BRANDY</t>
        </is>
      </c>
      <c r="C157" s="7">
        <f>VLOOKUP(A157,SizeData!A$2:B$3839,2,FALSE)</f>
        <v/>
      </c>
      <c r="D157" s="6" t="n">
        <v>1</v>
      </c>
      <c r="E157" s="6" t="inlineStr">
        <is>
          <t>R1883604</t>
        </is>
      </c>
      <c r="F157" s="67" t="n">
        <v>44890</v>
      </c>
      <c r="G157" s="68" t="n"/>
    </row>
    <row r="158">
      <c r="A158" s="6" t="n">
        <v>73755</v>
      </c>
      <c r="B158" s="6" t="inlineStr">
        <is>
          <t>E &amp; J APPLE BRANDY</t>
        </is>
      </c>
      <c r="C158" s="7">
        <f>VLOOKUP(A158,SizeData!A$2:B$3839,2,FALSE)</f>
        <v/>
      </c>
      <c r="D158" s="6" t="n">
        <v>2</v>
      </c>
      <c r="E158" s="6" t="inlineStr">
        <is>
          <t>R1880771</t>
        </is>
      </c>
      <c r="F158" s="67" t="n">
        <v>44895</v>
      </c>
      <c r="G158" s="68" t="n"/>
    </row>
    <row r="159">
      <c r="A159" s="6" t="n">
        <v>73757</v>
      </c>
      <c r="B159" s="6" t="inlineStr">
        <is>
          <t>E &amp; J APPLE BRANDY</t>
        </is>
      </c>
      <c r="C159" s="7">
        <f>VLOOKUP(A159,SizeData!A$2:B$3839,2,FALSE)</f>
        <v/>
      </c>
      <c r="D159" s="6" t="n">
        <v>1</v>
      </c>
      <c r="E159" s="6" t="inlineStr">
        <is>
          <t>R1896442</t>
        </is>
      </c>
      <c r="F159" s="67" t="n">
        <v>44897</v>
      </c>
      <c r="G159" s="68" t="n"/>
    </row>
    <row r="160">
      <c r="A160" s="6" t="n">
        <v>73762</v>
      </c>
      <c r="B160" s="6" t="inlineStr">
        <is>
          <t>E &amp; J PEACH (BRANDY W/PEACH LIQUEUR)</t>
        </is>
      </c>
      <c r="C160" s="7">
        <f>VLOOKUP(A160,SizeData!A$2:B$3839,2,FALSE)</f>
        <v/>
      </c>
      <c r="D160" s="6" t="n">
        <v>1</v>
      </c>
      <c r="E160" s="6" t="inlineStr">
        <is>
          <t>R1880771</t>
        </is>
      </c>
      <c r="F160" s="67" t="n">
        <v>44895</v>
      </c>
      <c r="G160" s="68" t="n"/>
    </row>
    <row r="161">
      <c r="A161" s="6" t="n">
        <v>52580</v>
      </c>
      <c r="B161" s="6" t="inlineStr">
        <is>
          <t>E &amp; J SUPERIOR RESERVE VSOP BRANDY</t>
        </is>
      </c>
      <c r="C161" s="7">
        <f>VLOOKUP(A161,SizeData!A$2:B$3839,2,FALSE)</f>
        <v/>
      </c>
      <c r="D161" s="6" t="n">
        <v>1</v>
      </c>
      <c r="E161" s="6" t="inlineStr">
        <is>
          <t>R1884003</t>
        </is>
      </c>
      <c r="F161" s="67" t="n">
        <v>44891</v>
      </c>
      <c r="G161" s="68" t="n"/>
    </row>
    <row r="162">
      <c r="A162" s="6" t="n">
        <v>52581</v>
      </c>
      <c r="B162" s="6" t="inlineStr">
        <is>
          <t>E &amp; J SUPERIOR RESERVE VSOP BRANDY</t>
        </is>
      </c>
      <c r="C162" s="7">
        <f>VLOOKUP(A162,SizeData!A$2:B$3839,2,FALSE)</f>
        <v/>
      </c>
      <c r="D162" s="6" t="n">
        <v>1</v>
      </c>
      <c r="E162" s="6" t="inlineStr">
        <is>
          <t>R1890841</t>
        </is>
      </c>
      <c r="F162" s="67" t="n">
        <v>44898</v>
      </c>
      <c r="G162" s="68" t="n"/>
    </row>
    <row r="163">
      <c r="A163" s="6" t="n">
        <v>73780</v>
      </c>
      <c r="B163" s="6" t="inlineStr">
        <is>
          <t>E &amp; J VANILLA (BRANDY W/VANILLA LIQUEUR)</t>
        </is>
      </c>
      <c r="C163" s="7">
        <f>VLOOKUP(A163,SizeData!A$2:B$3839,2,FALSE)</f>
        <v/>
      </c>
      <c r="D163" s="6" t="n">
        <v>2</v>
      </c>
      <c r="E163" s="6" t="inlineStr">
        <is>
          <t>R1883576</t>
        </is>
      </c>
      <c r="F163" s="67" t="n">
        <v>44895</v>
      </c>
      <c r="G163" s="68" t="n"/>
    </row>
    <row r="164">
      <c r="A164" s="6" t="n">
        <v>52598</v>
      </c>
      <c r="B164" s="6" t="inlineStr">
        <is>
          <t>E &amp; J VS BRANDY</t>
        </is>
      </c>
      <c r="C164" s="7">
        <f>VLOOKUP(A164,SizeData!A$2:B$3839,2,FALSE)</f>
        <v/>
      </c>
      <c r="D164" s="6" t="n">
        <v>1</v>
      </c>
      <c r="E164" s="6" t="inlineStr">
        <is>
          <t>R1884003</t>
        </is>
      </c>
      <c r="F164" s="67" t="n">
        <v>44891</v>
      </c>
      <c r="G164" s="68" t="n"/>
    </row>
    <row r="165">
      <c r="A165" s="6" t="n">
        <v>52593</v>
      </c>
      <c r="B165" s="6" t="inlineStr">
        <is>
          <t>E &amp; J VS BRANDY</t>
        </is>
      </c>
      <c r="C165" s="7">
        <f>VLOOKUP(A165,SizeData!A$2:B$3839,2,FALSE)</f>
        <v/>
      </c>
      <c r="D165" s="6" t="n">
        <v>1</v>
      </c>
      <c r="E165" s="6" t="inlineStr">
        <is>
          <t>R1884003</t>
        </is>
      </c>
      <c r="F165" s="67" t="n">
        <v>44891</v>
      </c>
      <c r="G165" s="68" t="n"/>
    </row>
    <row r="166">
      <c r="A166" s="6" t="n">
        <v>52598</v>
      </c>
      <c r="B166" s="6" t="inlineStr">
        <is>
          <t>E &amp; J VS BRANDY</t>
        </is>
      </c>
      <c r="C166" s="7">
        <f>VLOOKUP(A166,SizeData!A$2:B$3839,2,FALSE)</f>
        <v/>
      </c>
      <c r="D166" s="6" t="n">
        <v>2</v>
      </c>
      <c r="E166" s="6" t="inlineStr">
        <is>
          <t>R1896442</t>
        </is>
      </c>
      <c r="F166" s="67" t="n">
        <v>44897</v>
      </c>
      <c r="G166" s="68" t="n"/>
    </row>
    <row r="167">
      <c r="A167" s="6" t="n">
        <v>52593</v>
      </c>
      <c r="B167" s="6" t="inlineStr">
        <is>
          <t>E &amp; J VS BRANDY</t>
        </is>
      </c>
      <c r="C167" s="7">
        <f>VLOOKUP(A167,SizeData!A$2:B$3839,2,FALSE)</f>
        <v/>
      </c>
      <c r="D167" s="6" t="n">
        <v>2</v>
      </c>
      <c r="E167" s="6" t="inlineStr">
        <is>
          <t>R1890841</t>
        </is>
      </c>
      <c r="F167" s="67" t="n">
        <v>44898</v>
      </c>
      <c r="G167" s="68" t="n"/>
    </row>
    <row r="168">
      <c r="A168" s="6" t="n">
        <v>52594</v>
      </c>
      <c r="B168" s="6" t="inlineStr">
        <is>
          <t>E &amp; J VS BRANDY</t>
        </is>
      </c>
      <c r="C168" s="7">
        <f>VLOOKUP(A168,SizeData!A$2:B$3839,2,FALSE)</f>
        <v/>
      </c>
      <c r="D168" s="6" t="n">
        <v>1</v>
      </c>
      <c r="E168" s="6" t="inlineStr">
        <is>
          <t>R1890841</t>
        </is>
      </c>
      <c r="F168" s="67" t="n">
        <v>44898</v>
      </c>
      <c r="G168" s="68" t="n"/>
    </row>
    <row r="169">
      <c r="A169" s="6" t="n">
        <v>52563</v>
      </c>
      <c r="B169" s="6" t="inlineStr">
        <is>
          <t>E &amp; J XO BRANDY</t>
        </is>
      </c>
      <c r="C169" s="7">
        <f>VLOOKUP(A169,SizeData!A$2:B$3839,2,FALSE)</f>
        <v/>
      </c>
      <c r="D169" s="6" t="n">
        <v>1</v>
      </c>
      <c r="E169" s="6" t="inlineStr">
        <is>
          <t>R1884003</t>
        </is>
      </c>
      <c r="F169" s="67" t="n">
        <v>44891</v>
      </c>
      <c r="G169" s="68" t="n"/>
    </row>
    <row r="170">
      <c r="A170" s="6" t="n">
        <v>52559</v>
      </c>
      <c r="B170" s="6" t="inlineStr">
        <is>
          <t>E &amp; J XO BRANDY</t>
        </is>
      </c>
      <c r="C170" s="7">
        <f>VLOOKUP(A170,SizeData!A$2:B$3839,2,FALSE)</f>
        <v/>
      </c>
      <c r="D170" s="6" t="n">
        <v>2</v>
      </c>
      <c r="E170" s="6" t="inlineStr">
        <is>
          <t>R1896442</t>
        </is>
      </c>
      <c r="F170" s="67" t="n">
        <v>44897</v>
      </c>
      <c r="G170" s="68" t="n"/>
    </row>
    <row r="171">
      <c r="A171" s="6" t="n">
        <v>89182</v>
      </c>
      <c r="B171" s="6" t="inlineStr">
        <is>
          <t>EL MAYOR REPOSADO TEQIULA</t>
        </is>
      </c>
      <c r="C171" s="7">
        <f>VLOOKUP(A171,SizeData!A$2:B$3839,2,FALSE)</f>
        <v/>
      </c>
      <c r="D171" s="6" t="n">
        <v>2</v>
      </c>
      <c r="E171" s="6" t="inlineStr">
        <is>
          <t>R1884003</t>
        </is>
      </c>
      <c r="F171" s="67" t="n">
        <v>44891</v>
      </c>
      <c r="G171" s="68" t="n"/>
    </row>
    <row r="172">
      <c r="A172" s="6" t="n">
        <v>89182</v>
      </c>
      <c r="B172" s="6" t="inlineStr">
        <is>
          <t>EL MAYOR REPOSADO TEQIULA</t>
        </is>
      </c>
      <c r="C172" s="7">
        <f>VLOOKUP(A172,SizeData!A$2:B$3839,2,FALSE)</f>
        <v/>
      </c>
      <c r="D172" s="6" t="n">
        <v>3</v>
      </c>
      <c r="E172" s="6" t="inlineStr">
        <is>
          <t>R1882735</t>
        </is>
      </c>
      <c r="F172" s="67" t="n">
        <v>44894</v>
      </c>
      <c r="G172" s="68" t="n"/>
    </row>
    <row r="173">
      <c r="A173" s="6" t="n">
        <v>16098</v>
      </c>
      <c r="B173" s="6" t="inlineStr">
        <is>
          <t>EVAN WILLIAMS WHITE LABEL</t>
        </is>
      </c>
      <c r="C173" s="7">
        <f>VLOOKUP(A173,SizeData!A$2:B$3839,2,FALSE)</f>
        <v/>
      </c>
      <c r="D173" s="6" t="n">
        <v>1</v>
      </c>
      <c r="E173" s="6" t="inlineStr">
        <is>
          <t>R1900430</t>
        </is>
      </c>
      <c r="F173" s="67" t="n">
        <v>44896</v>
      </c>
      <c r="G173" s="68" t="n"/>
    </row>
    <row r="174">
      <c r="A174" s="6" t="n">
        <v>16098</v>
      </c>
      <c r="B174" s="6" t="inlineStr">
        <is>
          <t>EVAN WILLIAMS WHITE LABEL</t>
        </is>
      </c>
      <c r="C174" s="7">
        <f>VLOOKUP(A174,SizeData!A$2:B$3839,2,FALSE)</f>
        <v/>
      </c>
      <c r="D174" s="6" t="n">
        <v>4</v>
      </c>
      <c r="E174" s="6" t="inlineStr">
        <is>
          <t>R1890841</t>
        </is>
      </c>
      <c r="F174" s="67" t="n">
        <v>44898</v>
      </c>
      <c r="G174" s="68" t="n"/>
    </row>
    <row r="175">
      <c r="A175" s="6" t="n">
        <v>89533</v>
      </c>
      <c r="B175" s="6" t="inlineStr">
        <is>
          <t>FAMILIA CAMARENA REPOSADO TEQUILA</t>
        </is>
      </c>
      <c r="C175" s="7">
        <f>VLOOKUP(A175,SizeData!A$2:B$3839,2,FALSE)</f>
        <v/>
      </c>
      <c r="D175" s="6" t="n">
        <v>1</v>
      </c>
      <c r="E175" s="6" t="inlineStr">
        <is>
          <t>R1900430</t>
        </is>
      </c>
      <c r="F175" s="67" t="n">
        <v>44896</v>
      </c>
      <c r="G175" s="68" t="n"/>
    </row>
    <row r="176">
      <c r="A176" s="6" t="n">
        <v>87643</v>
      </c>
      <c r="B176" s="6" t="inlineStr">
        <is>
          <t>FAMILIA CAMARENA SILVER TEQUILA</t>
        </is>
      </c>
      <c r="C176" s="7">
        <f>VLOOKUP(A176,SizeData!A$2:B$3839,2,FALSE)</f>
        <v/>
      </c>
      <c r="D176" s="6" t="n">
        <v>1</v>
      </c>
      <c r="E176" s="6" t="inlineStr">
        <is>
          <t>R1900430</t>
        </is>
      </c>
      <c r="F176" s="67" t="n">
        <v>44896</v>
      </c>
      <c r="G176" s="68" t="n"/>
    </row>
    <row r="177">
      <c r="A177" s="6" t="n">
        <v>87643</v>
      </c>
      <c r="B177" s="6" t="inlineStr">
        <is>
          <t>FAMILIA CAMARENA SILVER TEQUILA</t>
        </is>
      </c>
      <c r="C177" s="7">
        <f>VLOOKUP(A177,SizeData!A$2:B$3839,2,FALSE)</f>
        <v/>
      </c>
      <c r="D177" s="6" t="n">
        <v>1</v>
      </c>
      <c r="E177" s="6" t="inlineStr">
        <is>
          <t>R1890841</t>
        </is>
      </c>
      <c r="F177" s="67" t="n">
        <v>44898</v>
      </c>
      <c r="G177" s="68" t="n"/>
    </row>
    <row r="178">
      <c r="A178" s="6" t="n">
        <v>65013</v>
      </c>
      <c r="B178" s="6" t="inlineStr">
        <is>
          <t>FIREBALL CINNAMON WHISKEY (PET)</t>
        </is>
      </c>
      <c r="C178" s="7">
        <f>VLOOKUP(A178,SizeData!A$2:B$3839,2,FALSE)</f>
        <v/>
      </c>
      <c r="D178" s="6" t="n">
        <v>10</v>
      </c>
      <c r="E178" s="6" t="inlineStr">
        <is>
          <t>R1877599</t>
        </is>
      </c>
      <c r="F178" s="67" t="n">
        <v>44896</v>
      </c>
      <c r="G178" s="68" t="n"/>
    </row>
    <row r="179">
      <c r="A179" s="6" t="n">
        <v>64904</v>
      </c>
      <c r="B179" s="6" t="inlineStr">
        <is>
          <t>FIREBALL CINNAMON WHISKY PET</t>
        </is>
      </c>
      <c r="C179" s="7">
        <f>VLOOKUP(A179,SizeData!A$2:B$3839,2,FALSE)</f>
        <v/>
      </c>
      <c r="D179" s="6" t="n">
        <v>2</v>
      </c>
      <c r="E179" s="6" t="inlineStr">
        <is>
          <t>R1889915</t>
        </is>
      </c>
      <c r="F179" s="67" t="n">
        <v>44900</v>
      </c>
      <c r="G179" s="68" t="n"/>
    </row>
    <row r="180">
      <c r="A180" s="6" t="n">
        <v>466271</v>
      </c>
      <c r="B180" s="6" t="inlineStr">
        <is>
          <t>FLIP FLOP CABERNET SAUVIGNON</t>
        </is>
      </c>
      <c r="C180" s="7">
        <f>VLOOKUP(A180,SizeData!A$2:B$3839,2,FALSE)</f>
        <v/>
      </c>
      <c r="D180" s="6" t="n">
        <v>1</v>
      </c>
      <c r="E180" s="6" t="inlineStr">
        <is>
          <t>R1889205</t>
        </is>
      </c>
      <c r="F180" s="67" t="n">
        <v>44897</v>
      </c>
      <c r="G180" s="68" t="n"/>
    </row>
    <row r="181">
      <c r="A181" s="6" t="n">
        <v>466271</v>
      </c>
      <c r="B181" s="6" t="inlineStr">
        <is>
          <t>FLIP FLOP CABERNET SAUVIGNON</t>
        </is>
      </c>
      <c r="C181" s="7">
        <f>VLOOKUP(A181,SizeData!A$2:B$3839,2,FALSE)</f>
        <v/>
      </c>
      <c r="D181" s="6" t="n">
        <v>1</v>
      </c>
      <c r="E181" s="6" t="inlineStr">
        <is>
          <t>R1896442</t>
        </is>
      </c>
      <c r="F181" s="67" t="n">
        <v>44897</v>
      </c>
      <c r="G181" s="68" t="n"/>
    </row>
    <row r="182">
      <c r="A182" s="6" t="n">
        <v>565371</v>
      </c>
      <c r="B182" s="6" t="inlineStr">
        <is>
          <t>FLIP FLOP CHARDONNAY</t>
        </is>
      </c>
      <c r="C182" s="7">
        <f>VLOOKUP(A182,SizeData!A$2:B$3839,2,FALSE)</f>
        <v/>
      </c>
      <c r="D182" s="6" t="n">
        <v>2</v>
      </c>
      <c r="E182" s="6" t="inlineStr">
        <is>
          <t>R1896442</t>
        </is>
      </c>
      <c r="F182" s="67" t="n">
        <v>44897</v>
      </c>
      <c r="G182" s="68" t="n"/>
    </row>
    <row r="183">
      <c r="A183" s="6" t="n">
        <v>565377</v>
      </c>
      <c r="B183" s="6" t="inlineStr">
        <is>
          <t>FLIP FLOP MOSCATO</t>
        </is>
      </c>
      <c r="C183" s="7">
        <f>VLOOKUP(A183,SizeData!A$2:B$3839,2,FALSE)</f>
        <v/>
      </c>
      <c r="D183" s="6" t="n">
        <v>2</v>
      </c>
      <c r="E183" s="6" t="inlineStr">
        <is>
          <t>R1896442</t>
        </is>
      </c>
      <c r="F183" s="67" t="n">
        <v>44897</v>
      </c>
      <c r="G183" s="68" t="n"/>
    </row>
    <row r="184">
      <c r="A184" s="6" t="n">
        <v>18352</v>
      </c>
      <c r="B184" s="6" t="inlineStr">
        <is>
          <t>FOUR ROSES KENTUCKY STRAIGHT BOURBON</t>
        </is>
      </c>
      <c r="C184" s="7">
        <f>VLOOKUP(A184,SizeData!A$2:B$3839,2,FALSE)</f>
        <v/>
      </c>
      <c r="D184" s="6" t="n">
        <v>2</v>
      </c>
      <c r="E184" s="6" t="inlineStr">
        <is>
          <t>R1882727</t>
        </is>
      </c>
      <c r="F184" s="67" t="n">
        <v>44894</v>
      </c>
      <c r="G184" s="68" t="n"/>
    </row>
    <row r="185">
      <c r="A185" s="6" t="n">
        <v>18351</v>
      </c>
      <c r="B185" s="6" t="inlineStr">
        <is>
          <t>FOUR ROSES KENTUCKY STRAIGHT BOURBON</t>
        </is>
      </c>
      <c r="C185" s="7">
        <f>VLOOKUP(A185,SizeData!A$2:B$3839,2,FALSE)</f>
        <v/>
      </c>
      <c r="D185" s="6" t="n">
        <v>2</v>
      </c>
      <c r="E185" s="6" t="inlineStr">
        <is>
          <t>R1882727</t>
        </is>
      </c>
      <c r="F185" s="67" t="n">
        <v>44894</v>
      </c>
      <c r="G185" s="68" t="n"/>
    </row>
    <row r="186">
      <c r="A186" s="6" t="n">
        <v>18348</v>
      </c>
      <c r="B186" s="6" t="inlineStr">
        <is>
          <t>FOUR ROSES SMALL BATCH KENTUCKY BOURBON</t>
        </is>
      </c>
      <c r="C186" s="7">
        <f>VLOOKUP(A186,SizeData!A$2:B$3839,2,FALSE)</f>
        <v/>
      </c>
      <c r="D186" s="6" t="n">
        <v>2</v>
      </c>
      <c r="E186" s="6" t="inlineStr">
        <is>
          <t>R1882727</t>
        </is>
      </c>
      <c r="F186" s="67" t="n">
        <v>44894</v>
      </c>
      <c r="G186" s="68" t="n"/>
    </row>
    <row r="187">
      <c r="A187" s="6" t="n">
        <v>467655</v>
      </c>
      <c r="B187" s="6" t="inlineStr">
        <is>
          <t>FRANZIA VINTNER SELECT MERLOT</t>
        </is>
      </c>
      <c r="C187" s="7">
        <f>VLOOKUP(A187,SizeData!A$2:B$3839,2,FALSE)</f>
        <v/>
      </c>
      <c r="D187" s="6" t="n">
        <v>3</v>
      </c>
      <c r="E187" s="6" t="inlineStr">
        <is>
          <t>R1882727</t>
        </is>
      </c>
      <c r="F187" s="67" t="n">
        <v>44894</v>
      </c>
      <c r="G187" s="68" t="n"/>
    </row>
    <row r="188">
      <c r="A188" s="6" t="n">
        <v>467655</v>
      </c>
      <c r="B188" s="6" t="inlineStr">
        <is>
          <t>FRANZIA VINTNER SELECT MERLOT</t>
        </is>
      </c>
      <c r="C188" s="7">
        <f>VLOOKUP(A188,SizeData!A$2:B$3839,2,FALSE)</f>
        <v/>
      </c>
      <c r="D188" s="6" t="n">
        <v>1</v>
      </c>
      <c r="E188" s="6" t="inlineStr">
        <is>
          <t>R1892170</t>
        </is>
      </c>
      <c r="F188" s="67" t="n">
        <v>44902</v>
      </c>
      <c r="G188" s="68" t="n"/>
    </row>
    <row r="189">
      <c r="A189" s="6" t="n">
        <v>48016</v>
      </c>
      <c r="B189" s="6" t="inlineStr">
        <is>
          <t>GAUTIER COGNAC V S</t>
        </is>
      </c>
      <c r="C189" s="7">
        <f>VLOOKUP(A189,SizeData!A$2:B$3839,2,FALSE)</f>
        <v/>
      </c>
      <c r="D189" s="6" t="n">
        <v>1</v>
      </c>
      <c r="E189" s="6" t="inlineStr">
        <is>
          <t>R1879903</t>
        </is>
      </c>
      <c r="F189" s="67" t="n">
        <v>44892</v>
      </c>
      <c r="G189" s="68" t="n"/>
    </row>
    <row r="190">
      <c r="A190" s="6" t="n">
        <v>5103</v>
      </c>
      <c r="B190" s="6" t="inlineStr">
        <is>
          <t>GLENMORANGIE LASANTA SCOTCH</t>
        </is>
      </c>
      <c r="C190" s="7">
        <f>VLOOKUP(A190,SizeData!A$2:B$3839,2,FALSE)</f>
        <v/>
      </c>
      <c r="D190" s="6" t="n">
        <v>2</v>
      </c>
      <c r="E190" s="6" t="inlineStr">
        <is>
          <t>R1883576</t>
        </is>
      </c>
      <c r="F190" s="67" t="n">
        <v>44895</v>
      </c>
      <c r="G190" s="68" t="n"/>
    </row>
    <row r="191">
      <c r="A191" s="6" t="n">
        <v>5105</v>
      </c>
      <c r="B191" s="6" t="inlineStr">
        <is>
          <t>GLENMORANGIE QUINTA RUBAN SCOTCH</t>
        </is>
      </c>
      <c r="C191" s="7">
        <f>VLOOKUP(A191,SizeData!A$2:B$3839,2,FALSE)</f>
        <v/>
      </c>
      <c r="D191" s="6" t="n">
        <v>1</v>
      </c>
      <c r="E191" s="6" t="inlineStr">
        <is>
          <t>R1883576</t>
        </is>
      </c>
      <c r="F191" s="67" t="n">
        <v>44895</v>
      </c>
      <c r="G191" s="68" t="n"/>
    </row>
    <row r="192">
      <c r="A192" s="6" t="n">
        <v>5133</v>
      </c>
      <c r="B192" s="6" t="inlineStr">
        <is>
          <t>GLENMORANGIE SINGLE MALT 10 YEAR</t>
        </is>
      </c>
      <c r="C192" s="7">
        <f>VLOOKUP(A192,SizeData!A$2:B$3839,2,FALSE)</f>
        <v/>
      </c>
      <c r="D192" s="6" t="n">
        <v>1</v>
      </c>
      <c r="E192" s="6" t="inlineStr">
        <is>
          <t>R1877599</t>
        </is>
      </c>
      <c r="F192" s="67" t="n">
        <v>44896</v>
      </c>
      <c r="G192" s="68" t="n"/>
    </row>
    <row r="193">
      <c r="A193" s="6" t="n">
        <v>87725</v>
      </c>
      <c r="B193" s="6" t="inlineStr">
        <is>
          <t>GRAN CORAMINO CRISTALINO REPOSADO TEQUILA</t>
        </is>
      </c>
      <c r="C193" s="7">
        <f>VLOOKUP(A193,SizeData!A$2:B$3839,2,FALSE)</f>
        <v/>
      </c>
      <c r="D193" s="6" t="n">
        <v>6</v>
      </c>
      <c r="E193" s="6" t="inlineStr">
        <is>
          <t>R1877599</t>
        </is>
      </c>
      <c r="F193" s="67" t="n">
        <v>44896</v>
      </c>
      <c r="G193" s="68" t="n"/>
    </row>
    <row r="194">
      <c r="A194" s="6" t="n">
        <v>65125</v>
      </c>
      <c r="B194" s="6" t="inlineStr">
        <is>
          <t>GRAND MARNIER</t>
        </is>
      </c>
      <c r="C194" s="7">
        <f>VLOOKUP(A194,SizeData!A$2:B$3839,2,FALSE)</f>
        <v/>
      </c>
      <c r="D194" s="6" t="n">
        <v>1</v>
      </c>
      <c r="E194" s="6" t="inlineStr">
        <is>
          <t>R1877599</t>
        </is>
      </c>
      <c r="F194" s="67" t="n">
        <v>44896</v>
      </c>
      <c r="G194" s="68" t="n"/>
    </row>
    <row r="195">
      <c r="A195" s="6" t="n">
        <v>34422</v>
      </c>
      <c r="B195" s="6" t="inlineStr">
        <is>
          <t>GREY GOOSE IMPORTED VODKA</t>
        </is>
      </c>
      <c r="C195" s="7">
        <f>VLOOKUP(A195,SizeData!A$2:B$3839,2,FALSE)</f>
        <v/>
      </c>
      <c r="D195" s="6" t="n">
        <v>2</v>
      </c>
      <c r="E195" s="6" t="inlineStr">
        <is>
          <t>R1883604</t>
        </is>
      </c>
      <c r="F195" s="67" t="n">
        <v>44890</v>
      </c>
      <c r="G195" s="68" t="n"/>
    </row>
    <row r="196">
      <c r="A196" s="6" t="n">
        <v>34433</v>
      </c>
      <c r="B196" s="6" t="inlineStr">
        <is>
          <t>GREY GOOSE IMPORTED VODKA</t>
        </is>
      </c>
      <c r="C196" s="7">
        <f>VLOOKUP(A196,SizeData!A$2:B$3839,2,FALSE)</f>
        <v/>
      </c>
      <c r="D196" s="6" t="n">
        <v>6</v>
      </c>
      <c r="E196" s="6" t="inlineStr">
        <is>
          <t>R1889205</t>
        </is>
      </c>
      <c r="F196" s="67" t="n">
        <v>44897</v>
      </c>
      <c r="G196" s="68" t="n"/>
    </row>
    <row r="197">
      <c r="A197" s="6" t="n">
        <v>34423</v>
      </c>
      <c r="B197" s="6" t="inlineStr">
        <is>
          <t>GREY GOOSE IMPORTED VODKA</t>
        </is>
      </c>
      <c r="C197" s="7">
        <f>VLOOKUP(A197,SizeData!A$2:B$3839,2,FALSE)</f>
        <v/>
      </c>
      <c r="D197" s="6" t="n">
        <v>2</v>
      </c>
      <c r="E197" s="6" t="inlineStr">
        <is>
          <t>R1889915</t>
        </is>
      </c>
      <c r="F197" s="67" t="n">
        <v>44900</v>
      </c>
      <c r="G197" s="68" t="n"/>
    </row>
    <row r="198">
      <c r="A198" s="6" t="n">
        <v>48106</v>
      </c>
      <c r="B198" s="6" t="inlineStr">
        <is>
          <t>HENNESSY V S COGNAC</t>
        </is>
      </c>
      <c r="C198" s="7">
        <f>VLOOKUP(A198,SizeData!A$2:B$3839,2,FALSE)</f>
        <v/>
      </c>
      <c r="D198" s="6" t="n">
        <v>10</v>
      </c>
      <c r="E198" s="6" t="inlineStr">
        <is>
          <t>R1879903</t>
        </is>
      </c>
      <c r="F198" s="67" t="n">
        <v>44892</v>
      </c>
      <c r="G198" s="68" t="n"/>
    </row>
    <row r="199">
      <c r="A199" s="6" t="n">
        <v>48107</v>
      </c>
      <c r="B199" s="6" t="inlineStr">
        <is>
          <t>HENNESSY V S COGNAC</t>
        </is>
      </c>
      <c r="C199" s="7">
        <f>VLOOKUP(A199,SizeData!A$2:B$3839,2,FALSE)</f>
        <v/>
      </c>
      <c r="D199" s="6" t="n">
        <v>4</v>
      </c>
      <c r="E199" s="6" t="inlineStr">
        <is>
          <t>R1879903</t>
        </is>
      </c>
      <c r="F199" s="67" t="n">
        <v>44892</v>
      </c>
      <c r="G199" s="68" t="n"/>
    </row>
    <row r="200">
      <c r="A200" s="6" t="n">
        <v>48108</v>
      </c>
      <c r="B200" s="6" t="inlineStr">
        <is>
          <t>HENNESSY V S COGNAC</t>
        </is>
      </c>
      <c r="C200" s="7">
        <f>VLOOKUP(A200,SizeData!A$2:B$3839,2,FALSE)</f>
        <v/>
      </c>
      <c r="D200" s="6" t="n">
        <v>4</v>
      </c>
      <c r="E200" s="6" t="inlineStr">
        <is>
          <t>R1879903</t>
        </is>
      </c>
      <c r="F200" s="67" t="n">
        <v>44892</v>
      </c>
      <c r="G200" s="68" t="n"/>
    </row>
    <row r="201">
      <c r="A201" s="6" t="n">
        <v>48102</v>
      </c>
      <c r="B201" s="6" t="inlineStr">
        <is>
          <t>HENNESSY V S COGNAC</t>
        </is>
      </c>
      <c r="C201" s="7">
        <f>VLOOKUP(A201,SizeData!A$2:B$3839,2,FALSE)</f>
        <v/>
      </c>
      <c r="D201" s="6" t="n">
        <v>3</v>
      </c>
      <c r="E201" s="6" t="inlineStr">
        <is>
          <t>R1880771</t>
        </is>
      </c>
      <c r="F201" s="67" t="n">
        <v>44895</v>
      </c>
      <c r="G201" s="68" t="n"/>
    </row>
    <row r="202">
      <c r="A202" s="6" t="n">
        <v>48107</v>
      </c>
      <c r="B202" s="6" t="inlineStr">
        <is>
          <t>HENNESSY V S COGNAC</t>
        </is>
      </c>
      <c r="C202" s="7">
        <f>VLOOKUP(A202,SizeData!A$2:B$3839,2,FALSE)</f>
        <v/>
      </c>
      <c r="D202" s="6" t="n">
        <v>10</v>
      </c>
      <c r="E202" s="6" t="inlineStr">
        <is>
          <t>R1900511</t>
        </is>
      </c>
      <c r="F202" s="67" t="n">
        <v>44897</v>
      </c>
      <c r="G202" s="68" t="n"/>
    </row>
    <row r="203">
      <c r="A203" s="6" t="n">
        <v>48106</v>
      </c>
      <c r="B203" s="6" t="inlineStr">
        <is>
          <t>HENNESSY V S COGNAC</t>
        </is>
      </c>
      <c r="C203" s="7">
        <f>VLOOKUP(A203,SizeData!A$2:B$3839,2,FALSE)</f>
        <v/>
      </c>
      <c r="D203" s="6" t="n">
        <v>10</v>
      </c>
      <c r="E203" s="6" t="inlineStr">
        <is>
          <t>R1884689</t>
        </is>
      </c>
      <c r="F203" s="67" t="n">
        <v>44901</v>
      </c>
      <c r="G203" s="68" t="n"/>
    </row>
    <row r="204">
      <c r="A204" s="6" t="n">
        <v>48105</v>
      </c>
      <c r="B204" s="6" t="inlineStr">
        <is>
          <t>HENNESSY V S COGNAC</t>
        </is>
      </c>
      <c r="C204" s="7">
        <f>VLOOKUP(A204,SizeData!A$2:B$3839,2,FALSE)</f>
        <v/>
      </c>
      <c r="D204" s="6" t="n">
        <v>10</v>
      </c>
      <c r="E204" s="6" t="inlineStr">
        <is>
          <t>R1896739</t>
        </is>
      </c>
      <c r="F204" s="67" t="n">
        <v>44901</v>
      </c>
      <c r="G204" s="68" t="n"/>
    </row>
    <row r="205">
      <c r="A205" s="6" t="n">
        <v>48106</v>
      </c>
      <c r="B205" s="6" t="inlineStr">
        <is>
          <t>HENNESSY V S COGNAC</t>
        </is>
      </c>
      <c r="C205" s="7">
        <f>VLOOKUP(A205,SizeData!A$2:B$3839,2,FALSE)</f>
        <v/>
      </c>
      <c r="D205" s="6" t="n">
        <v>10</v>
      </c>
      <c r="E205" s="6" t="inlineStr">
        <is>
          <t>R1889617</t>
        </is>
      </c>
      <c r="F205" s="67" t="n">
        <v>44902</v>
      </c>
      <c r="G205" s="68" t="n"/>
    </row>
    <row r="206">
      <c r="A206" s="6" t="n">
        <v>48164</v>
      </c>
      <c r="B206" s="6" t="inlineStr">
        <is>
          <t>HENNESSY VSOP PRIVILEGE COGNAC</t>
        </is>
      </c>
      <c r="C206" s="7">
        <f>VLOOKUP(A206,SizeData!A$2:B$3839,2,FALSE)</f>
        <v/>
      </c>
      <c r="D206" s="6" t="n">
        <v>5</v>
      </c>
      <c r="E206" s="6" t="inlineStr">
        <is>
          <t>R1873845</t>
        </is>
      </c>
      <c r="F206" s="67" t="n">
        <v>44888</v>
      </c>
      <c r="G206" s="68" t="n"/>
    </row>
    <row r="207">
      <c r="A207" s="31" t="n">
        <v>48164</v>
      </c>
      <c r="B207" s="31" t="inlineStr">
        <is>
          <t>HENNESSY VSOP PRIVILEGE COGNAC</t>
        </is>
      </c>
      <c r="C207" s="32">
        <f>VLOOKUP(A207,SizeData!A$2:B$3839,2,FALSE)</f>
        <v/>
      </c>
      <c r="D207" s="31" t="n">
        <v>5</v>
      </c>
      <c r="E207" s="31" t="inlineStr">
        <is>
          <t>R1883661</t>
        </is>
      </c>
      <c r="F207" s="82" t="n">
        <v>44893</v>
      </c>
      <c r="G207" s="83" t="n"/>
    </row>
    <row r="208">
      <c r="A208" s="6" t="n">
        <v>48120</v>
      </c>
      <c r="B208" s="6" t="inlineStr">
        <is>
          <t>HENNESSY XO</t>
        </is>
      </c>
      <c r="C208" s="7">
        <f>VLOOKUP(A208,SizeData!A$2:B$3839,2,FALSE)</f>
        <v/>
      </c>
      <c r="D208" s="6" t="n">
        <v>4</v>
      </c>
      <c r="E208" s="6" t="inlineStr">
        <is>
          <t>R1891143</t>
        </is>
      </c>
      <c r="F208" s="67" t="n">
        <v>44896</v>
      </c>
      <c r="G208" s="68" t="n"/>
    </row>
    <row r="209">
      <c r="A209" s="6" t="n">
        <v>88549</v>
      </c>
      <c r="B209" s="6" t="inlineStr">
        <is>
          <t>HORNITOS PLATA SILVER TEQUILA</t>
        </is>
      </c>
      <c r="C209" s="7">
        <f>VLOOKUP(A209,SizeData!A$2:B$3839,2,FALSE)</f>
        <v/>
      </c>
      <c r="D209" s="6" t="n">
        <v>5</v>
      </c>
      <c r="E209" s="6" t="inlineStr">
        <is>
          <t>R1878226</t>
        </is>
      </c>
      <c r="F209" s="67" t="n">
        <v>44887</v>
      </c>
      <c r="G209" s="68" t="n"/>
    </row>
    <row r="210">
      <c r="A210" s="6" t="n">
        <v>89834</v>
      </c>
      <c r="B210" s="6" t="inlineStr">
        <is>
          <t>HORNITOS REPOSADO GOLD TEQUILA</t>
        </is>
      </c>
      <c r="C210" s="7">
        <f>VLOOKUP(A210,SizeData!A$2:B$3839,2,FALSE)</f>
        <v/>
      </c>
      <c r="D210" s="6" t="n">
        <v>10</v>
      </c>
      <c r="E210" s="6" t="inlineStr">
        <is>
          <t>R1878226</t>
        </is>
      </c>
      <c r="F210" s="67" t="n">
        <v>44887</v>
      </c>
      <c r="G210" s="68" t="n"/>
    </row>
    <row r="211">
      <c r="A211" s="6" t="n">
        <v>65188</v>
      </c>
      <c r="B211" s="6" t="inlineStr">
        <is>
          <t>HPNOTIQ VODKA &amp; COGNAC LIQUEUR</t>
        </is>
      </c>
      <c r="C211" s="7">
        <f>VLOOKUP(A211,SizeData!A$2:B$3839,2,FALSE)</f>
        <v/>
      </c>
      <c r="D211" s="6" t="n">
        <v>8</v>
      </c>
      <c r="E211" s="6" t="inlineStr">
        <is>
          <t>R1883869</t>
        </is>
      </c>
      <c r="F211" s="67" t="n">
        <v>44896</v>
      </c>
      <c r="G211" s="68" t="n"/>
    </row>
    <row r="212">
      <c r="A212" s="6" t="n">
        <v>65188</v>
      </c>
      <c r="B212" s="6" t="inlineStr">
        <is>
          <t>HPNOTIQ VODKA &amp; COGNAC LIQUEUR</t>
        </is>
      </c>
      <c r="C212" s="7">
        <f>VLOOKUP(A212,SizeData!A$2:B$3839,2,FALSE)</f>
        <v/>
      </c>
      <c r="D212" s="6" t="n">
        <v>2</v>
      </c>
      <c r="E212" s="6" t="inlineStr">
        <is>
          <t>R1900430</t>
        </is>
      </c>
      <c r="F212" s="67" t="n">
        <v>44896</v>
      </c>
      <c r="G212" s="68" t="n"/>
    </row>
    <row r="213">
      <c r="A213" s="6" t="n">
        <v>477852</v>
      </c>
      <c r="B213" s="6" t="inlineStr">
        <is>
          <t>J VINEYARDS PINOT NOIR MNTRY/SNMA/S BRBR</t>
        </is>
      </c>
      <c r="C213" s="7">
        <f>VLOOKUP(A213,SizeData!A$2:B$3839,2,FALSE)</f>
        <v/>
      </c>
      <c r="D213" s="6" t="n">
        <v>1</v>
      </c>
      <c r="E213" s="6" t="inlineStr">
        <is>
          <t>R1883576</t>
        </is>
      </c>
      <c r="F213" s="67" t="n">
        <v>44895</v>
      </c>
      <c r="G213" s="68" t="n"/>
    </row>
    <row r="214">
      <c r="A214" s="6" t="n">
        <v>26820</v>
      </c>
      <c r="B214" s="6" t="inlineStr">
        <is>
          <t>JACK DANIELS BLACK LABEL (PET)</t>
        </is>
      </c>
      <c r="C214" s="7">
        <f>VLOOKUP(A214,SizeData!A$2:B$3839,2,FALSE)</f>
        <v/>
      </c>
      <c r="D214" s="6" t="n">
        <v>7</v>
      </c>
      <c r="E214" s="6" t="inlineStr">
        <is>
          <t>R1897180</t>
        </is>
      </c>
      <c r="F214" s="67" t="n">
        <v>44902</v>
      </c>
      <c r="G214" s="68" t="n"/>
    </row>
    <row r="215">
      <c r="A215" s="6" t="n">
        <v>420431</v>
      </c>
      <c r="B215" s="6" t="inlineStr">
        <is>
          <t>JACOB'S CREEK CABERNET SAUVIGNON</t>
        </is>
      </c>
      <c r="C215" s="7">
        <f>VLOOKUP(A215,SizeData!A$2:B$3839,2,FALSE)</f>
        <v/>
      </c>
      <c r="D215" s="6" t="n">
        <v>2</v>
      </c>
      <c r="E215" s="6" t="inlineStr">
        <is>
          <t>R1901120</t>
        </is>
      </c>
      <c r="F215" s="67" t="n">
        <v>44902</v>
      </c>
      <c r="G215" s="68" t="n"/>
    </row>
    <row r="216">
      <c r="A216" s="6" t="n">
        <v>420436</v>
      </c>
      <c r="B216" s="6" t="inlineStr">
        <is>
          <t>JACOB'S CREEK CHARDONNAY</t>
        </is>
      </c>
      <c r="C216" s="7">
        <f>VLOOKUP(A216,SizeData!A$2:B$3839,2,FALSE)</f>
        <v/>
      </c>
      <c r="D216" s="6" t="n">
        <v>8</v>
      </c>
      <c r="E216" s="6" t="inlineStr">
        <is>
          <t>R1901120</t>
        </is>
      </c>
      <c r="F216" s="67" t="n">
        <v>44902</v>
      </c>
      <c r="G216" s="68" t="n"/>
    </row>
    <row r="217">
      <c r="A217" s="6" t="n">
        <v>420407</v>
      </c>
      <c r="B217" s="6" t="inlineStr">
        <is>
          <t>JACOB'S CREEK MOSCATO</t>
        </is>
      </c>
      <c r="C217" s="7">
        <f>VLOOKUP(A217,SizeData!A$2:B$3839,2,FALSE)</f>
        <v/>
      </c>
      <c r="D217" s="6" t="n">
        <v>1</v>
      </c>
      <c r="E217" s="6" t="inlineStr">
        <is>
          <t>R1900430</t>
        </is>
      </c>
      <c r="F217" s="67" t="n">
        <v>44896</v>
      </c>
      <c r="G217" s="68" t="n"/>
    </row>
    <row r="218">
      <c r="A218" s="6" t="n">
        <v>65254</v>
      </c>
      <c r="B218" s="6" t="inlineStr">
        <is>
          <t>JAGERMEISTER</t>
        </is>
      </c>
      <c r="C218" s="7">
        <f>VLOOKUP(A218,SizeData!A$2:B$3839,2,FALSE)</f>
        <v/>
      </c>
      <c r="D218" s="6" t="n">
        <v>1</v>
      </c>
      <c r="E218" s="6" t="inlineStr">
        <is>
          <t>R1882093</t>
        </is>
      </c>
      <c r="F218" s="67" t="n">
        <v>44894</v>
      </c>
      <c r="G218" s="68" t="n"/>
    </row>
    <row r="219">
      <c r="A219" s="6" t="n">
        <v>65258</v>
      </c>
      <c r="B219" s="6" t="inlineStr">
        <is>
          <t>JAGERMEISTER</t>
        </is>
      </c>
      <c r="C219" s="7">
        <f>VLOOKUP(A219,SizeData!A$2:B$3839,2,FALSE)</f>
        <v/>
      </c>
      <c r="D219" s="6" t="n">
        <v>1</v>
      </c>
      <c r="E219" s="6" t="inlineStr">
        <is>
          <t>R1889915</t>
        </is>
      </c>
      <c r="F219" s="67" t="n">
        <v>44900</v>
      </c>
      <c r="G219" s="68" t="n"/>
    </row>
    <row r="220">
      <c r="A220" s="6" t="n">
        <v>413340</v>
      </c>
      <c r="B220" s="6" t="inlineStr">
        <is>
          <t>JAM JAR SWEET SHIRAZ WESTERN CAPE</t>
        </is>
      </c>
      <c r="C220" s="7">
        <f>VLOOKUP(A220,SizeData!A$2:B$3839,2,FALSE)</f>
        <v/>
      </c>
      <c r="D220" s="6" t="n">
        <v>2</v>
      </c>
      <c r="E220" s="6" t="inlineStr">
        <is>
          <t>R1884003</t>
        </is>
      </c>
      <c r="F220" s="67" t="n">
        <v>44891</v>
      </c>
      <c r="G220" s="68" t="n"/>
    </row>
    <row r="221">
      <c r="A221" s="6" t="n">
        <v>15628</v>
      </c>
      <c r="B221" s="6" t="inlineStr">
        <is>
          <t>JAMESON IRISH</t>
        </is>
      </c>
      <c r="C221" s="7">
        <f>VLOOKUP(A221,SizeData!A$2:B$3839,2,FALSE)</f>
        <v/>
      </c>
      <c r="D221" s="6" t="n">
        <v>5</v>
      </c>
      <c r="E221" s="6" t="inlineStr">
        <is>
          <t>R1901130</t>
        </is>
      </c>
      <c r="F221" s="67" t="n">
        <v>44902</v>
      </c>
      <c r="G221" s="68" t="n"/>
    </row>
    <row r="222">
      <c r="A222" s="6" t="n">
        <v>5339</v>
      </c>
      <c r="B222" s="6" t="inlineStr">
        <is>
          <t>JOHNNIE WALKER BLACK LABEL</t>
        </is>
      </c>
      <c r="C222" s="7">
        <f>VLOOKUP(A222,SizeData!A$2:B$3839,2,FALSE)</f>
        <v/>
      </c>
      <c r="D222" s="6" t="n">
        <v>1</v>
      </c>
      <c r="E222" s="6" t="inlineStr">
        <is>
          <t>R1884003</t>
        </is>
      </c>
      <c r="F222" s="67" t="n">
        <v>44891</v>
      </c>
      <c r="G222" s="68" t="n"/>
    </row>
    <row r="223">
      <c r="A223" s="6" t="n">
        <v>5329</v>
      </c>
      <c r="B223" s="6" t="inlineStr">
        <is>
          <t>JOHNNIE WALKER BLUE LABEL</t>
        </is>
      </c>
      <c r="C223" s="7">
        <f>VLOOKUP(A223,SizeData!A$2:B$3839,2,FALSE)</f>
        <v/>
      </c>
      <c r="D223" s="6" t="n">
        <v>1</v>
      </c>
      <c r="E223" s="6" t="inlineStr">
        <is>
          <t>R1900430</t>
        </is>
      </c>
      <c r="F223" s="67" t="n">
        <v>44896</v>
      </c>
      <c r="G223" s="68" t="n"/>
    </row>
    <row r="224">
      <c r="A224" s="6" t="n">
        <v>87408</v>
      </c>
      <c r="B224" s="6" t="inlineStr">
        <is>
          <t>JOSE CUERVO ESPECIAL SILVER</t>
        </is>
      </c>
      <c r="C224" s="7">
        <f>VLOOKUP(A224,SizeData!A$2:B$3839,2,FALSE)</f>
        <v/>
      </c>
      <c r="D224" s="6" t="n">
        <v>3</v>
      </c>
      <c r="E224" s="6" t="inlineStr">
        <is>
          <t>R1889205</t>
        </is>
      </c>
      <c r="F224" s="67" t="n">
        <v>44897</v>
      </c>
      <c r="G224" s="68" t="n"/>
    </row>
    <row r="225">
      <c r="A225" s="6" t="n">
        <v>87402</v>
      </c>
      <c r="B225" s="6" t="inlineStr">
        <is>
          <t>JOSE CUERVO ESPECIAL SILVER</t>
        </is>
      </c>
      <c r="C225" s="7">
        <f>VLOOKUP(A225,SizeData!A$2:B$3839,2,FALSE)</f>
        <v/>
      </c>
      <c r="D225" s="6" t="n">
        <v>1</v>
      </c>
      <c r="E225" s="6" t="inlineStr">
        <is>
          <t>R1892170</t>
        </is>
      </c>
      <c r="F225" s="67" t="n">
        <v>44902</v>
      </c>
      <c r="G225" s="68" t="n"/>
    </row>
    <row r="226">
      <c r="A226" s="6" t="n">
        <v>89194</v>
      </c>
      <c r="B226" s="6" t="inlineStr">
        <is>
          <t>JOSE CUERVO ESPECIAL TEQUILA</t>
        </is>
      </c>
      <c r="C226" s="7">
        <f>VLOOKUP(A226,SizeData!A$2:B$3839,2,FALSE)</f>
        <v/>
      </c>
      <c r="D226" s="6" t="n">
        <v>6</v>
      </c>
      <c r="E226" s="6" t="inlineStr">
        <is>
          <t>R1883576</t>
        </is>
      </c>
      <c r="F226" s="67" t="n">
        <v>44895</v>
      </c>
      <c r="G226" s="68" t="n"/>
    </row>
    <row r="227">
      <c r="A227" s="6" t="n">
        <v>89196</v>
      </c>
      <c r="B227" s="6" t="inlineStr">
        <is>
          <t>JOSE CUERVO ESPECIAL TEQUILA GOLD</t>
        </is>
      </c>
      <c r="C227" s="7">
        <f>VLOOKUP(A227,SizeData!A$2:B$3839,2,FALSE)</f>
        <v/>
      </c>
      <c r="D227" s="6" t="n">
        <v>4</v>
      </c>
      <c r="E227" s="6" t="inlineStr">
        <is>
          <t>R1889205</t>
        </is>
      </c>
      <c r="F227" s="67" t="n">
        <v>44897</v>
      </c>
      <c r="G227" s="68" t="n"/>
    </row>
    <row r="228">
      <c r="A228" s="6" t="n">
        <v>88424</v>
      </c>
      <c r="B228" s="6" t="inlineStr">
        <is>
          <t>JOSE CUERVO TRADICIONAL ANEJO</t>
        </is>
      </c>
      <c r="C228" s="7">
        <f>VLOOKUP(A228,SizeData!A$2:B$3839,2,FALSE)</f>
        <v/>
      </c>
      <c r="D228" s="6" t="n">
        <v>2</v>
      </c>
      <c r="E228" s="6" t="inlineStr">
        <is>
          <t>R1890841</t>
        </is>
      </c>
      <c r="F228" s="67" t="n">
        <v>44898</v>
      </c>
      <c r="G228" s="68" t="n"/>
    </row>
    <row r="229">
      <c r="A229" s="6" t="n">
        <v>87832</v>
      </c>
      <c r="B229" s="6" t="inlineStr">
        <is>
          <t>JOSE CUERVO TRADICIONAL CRISTALINO TEQUILA</t>
        </is>
      </c>
      <c r="C229" s="7">
        <f>VLOOKUP(A229,SizeData!A$2:B$3839,2,FALSE)</f>
        <v/>
      </c>
      <c r="D229" s="6" t="n">
        <v>2</v>
      </c>
      <c r="E229" s="6" t="inlineStr">
        <is>
          <t>R1883604</t>
        </is>
      </c>
      <c r="F229" s="67" t="n">
        <v>44890</v>
      </c>
      <c r="G229" s="68" t="n"/>
    </row>
    <row r="230">
      <c r="A230" s="6" t="n">
        <v>89214</v>
      </c>
      <c r="B230" s="6" t="inlineStr">
        <is>
          <t>JOSE CUERVO TRADICIONAL REPOSADO</t>
        </is>
      </c>
      <c r="C230" s="7">
        <f>VLOOKUP(A230,SizeData!A$2:B$3839,2,FALSE)</f>
        <v/>
      </c>
      <c r="D230" s="6" t="n">
        <v>5</v>
      </c>
      <c r="E230" s="6" t="inlineStr">
        <is>
          <t>R1891609</t>
        </is>
      </c>
      <c r="F230" s="67" t="n">
        <v>44895</v>
      </c>
      <c r="G230" s="68" t="n"/>
    </row>
    <row r="231">
      <c r="A231" s="6" t="n">
        <v>87418</v>
      </c>
      <c r="B231" s="6" t="inlineStr">
        <is>
          <t>JOSE CUERVO TRADICIONAL SILVER</t>
        </is>
      </c>
      <c r="C231" s="7">
        <f>VLOOKUP(A231,SizeData!A$2:B$3839,2,FALSE)</f>
        <v/>
      </c>
      <c r="D231" s="6" t="n">
        <v>2</v>
      </c>
      <c r="E231" s="6" t="inlineStr">
        <is>
          <t>R1890841</t>
        </is>
      </c>
      <c r="F231" s="67" t="n">
        <v>44898</v>
      </c>
      <c r="G231" s="68" t="n"/>
    </row>
    <row r="232">
      <c r="A232" s="6" t="n">
        <v>67526</v>
      </c>
      <c r="B232" s="6" t="inlineStr">
        <is>
          <t>KAHLUA COFFEE</t>
        </is>
      </c>
      <c r="C232" s="7">
        <f>VLOOKUP(A232,SizeData!A$2:B$3839,2,FALSE)</f>
        <v/>
      </c>
      <c r="D232" s="6" t="n">
        <v>1</v>
      </c>
      <c r="E232" s="6" t="inlineStr">
        <is>
          <t>R1886884</t>
        </is>
      </c>
      <c r="F232" s="67" t="n">
        <v>44900</v>
      </c>
      <c r="G232" s="68" t="n"/>
    </row>
    <row r="233">
      <c r="A233" s="6" t="n">
        <v>581330</v>
      </c>
      <c r="B233" s="6" t="inlineStr">
        <is>
          <t>KENDALL-JACKSON VINTNERS RSV CHARDONNAY</t>
        </is>
      </c>
      <c r="C233" s="7">
        <f>VLOOKUP(A233,SizeData!A$2:B$3839,2,FALSE)</f>
        <v/>
      </c>
      <c r="D233" s="6" t="n">
        <v>2</v>
      </c>
      <c r="E233" s="6" t="inlineStr">
        <is>
          <t>R1881344</t>
        </is>
      </c>
      <c r="F233" s="67" t="n">
        <v>44893</v>
      </c>
      <c r="G233" s="68" t="n"/>
    </row>
    <row r="234">
      <c r="A234" s="6" t="n">
        <v>581495</v>
      </c>
      <c r="B234" s="6" t="inlineStr">
        <is>
          <t>KENDALL-JACKSON VINTNERS RSV RIESLING</t>
        </is>
      </c>
      <c r="C234" s="7">
        <f>VLOOKUP(A234,SizeData!A$2:B$3839,2,FALSE)</f>
        <v/>
      </c>
      <c r="D234" s="6" t="n">
        <v>2</v>
      </c>
      <c r="E234" s="6" t="inlineStr">
        <is>
          <t>R1883604</t>
        </is>
      </c>
      <c r="F234" s="67" t="n">
        <v>44890</v>
      </c>
      <c r="G234" s="68" t="n"/>
    </row>
    <row r="235">
      <c r="A235" s="6" t="n">
        <v>34454</v>
      </c>
      <c r="B235" s="6" t="inlineStr">
        <is>
          <t>KETEL ONE DUTCH VODKA</t>
        </is>
      </c>
      <c r="C235" s="7">
        <f>VLOOKUP(A235,SizeData!A$2:B$3839,2,FALSE)</f>
        <v/>
      </c>
      <c r="D235" s="6" t="n">
        <v>2</v>
      </c>
      <c r="E235" s="6" t="inlineStr">
        <is>
          <t>R1891942</t>
        </is>
      </c>
      <c r="F235" s="67" t="n">
        <v>44898</v>
      </c>
      <c r="G235" s="68" t="n"/>
    </row>
    <row r="236">
      <c r="A236" s="6" t="n">
        <v>751419</v>
      </c>
      <c r="B236" s="6" t="inlineStr">
        <is>
          <t>KORBEL BRUT CHAMPAGNE</t>
        </is>
      </c>
      <c r="C236" s="7">
        <f>VLOOKUP(A236,SizeData!A$2:B$3839,2,FALSE)</f>
        <v/>
      </c>
      <c r="D236" s="6" t="n">
        <v>3</v>
      </c>
      <c r="E236" s="6" t="inlineStr">
        <is>
          <t>R1891249</t>
        </is>
      </c>
      <c r="F236" s="67" t="n">
        <v>44898</v>
      </c>
      <c r="G236" s="68" t="n"/>
    </row>
    <row r="237">
      <c r="A237" s="6" t="n">
        <v>751405</v>
      </c>
      <c r="B237" s="6" t="inlineStr">
        <is>
          <t>KORBEL BRUT CHAMPAGNE</t>
        </is>
      </c>
      <c r="C237" s="7">
        <f>VLOOKUP(A237,SizeData!A$2:B$3839,2,FALSE)</f>
        <v/>
      </c>
      <c r="D237" s="6" t="n">
        <v>2</v>
      </c>
      <c r="E237" s="6" t="inlineStr">
        <is>
          <t>R1897180</t>
        </is>
      </c>
      <c r="F237" s="67" t="n">
        <v>44902</v>
      </c>
      <c r="G237" s="68" t="n"/>
    </row>
    <row r="238">
      <c r="A238" s="6" t="n">
        <v>751940</v>
      </c>
      <c r="B238" s="6" t="inlineStr">
        <is>
          <t>KORBEL SWEET CUVEE CHAMPAGNE</t>
        </is>
      </c>
      <c r="C238" s="7">
        <f>VLOOKUP(A238,SizeData!A$2:B$3839,2,FALSE)</f>
        <v/>
      </c>
      <c r="D238" s="6" t="n">
        <v>1</v>
      </c>
      <c r="E238" s="6" t="inlineStr">
        <is>
          <t>R1900430</t>
        </is>
      </c>
      <c r="F238" s="67" t="n">
        <v>44896</v>
      </c>
      <c r="G238" s="68" t="n"/>
    </row>
    <row r="239">
      <c r="A239" s="6" t="n">
        <v>751950</v>
      </c>
      <c r="B239" s="6" t="inlineStr">
        <is>
          <t>KORBEL SWEET ROSE CHAMPAGNE</t>
        </is>
      </c>
      <c r="C239" s="7">
        <f>VLOOKUP(A239,SizeData!A$2:B$3839,2,FALSE)</f>
        <v/>
      </c>
      <c r="D239" s="6" t="n">
        <v>1</v>
      </c>
      <c r="E239" s="6" t="inlineStr">
        <is>
          <t>R1897180</t>
        </is>
      </c>
      <c r="F239" s="67" t="n">
        <v>44902</v>
      </c>
      <c r="G239" s="68" t="n"/>
    </row>
    <row r="240">
      <c r="A240" s="6" t="n">
        <v>480305</v>
      </c>
      <c r="B240" s="6" t="inlineStr">
        <is>
          <t>LIBERTY CREEK CALIFORNIA CABERNET SAUVIGNON</t>
        </is>
      </c>
      <c r="C240" s="7">
        <f>VLOOKUP(A240,SizeData!A$2:B$3839,2,FALSE)</f>
        <v/>
      </c>
      <c r="D240" s="6" t="n">
        <v>1</v>
      </c>
      <c r="E240" s="6" t="inlineStr">
        <is>
          <t>R1889915</t>
        </is>
      </c>
      <c r="F240" s="67" t="n">
        <v>44900</v>
      </c>
      <c r="G240" s="68" t="n"/>
    </row>
    <row r="241">
      <c r="A241" s="6" t="n">
        <v>480320</v>
      </c>
      <c r="B241" s="6" t="inlineStr">
        <is>
          <t>LIBERTY CREEK CALIFORNIA SWEET RED</t>
        </is>
      </c>
      <c r="C241" s="7">
        <f>VLOOKUP(A241,SizeData!A$2:B$3839,2,FALSE)</f>
        <v/>
      </c>
      <c r="D241" s="6" t="n">
        <v>1</v>
      </c>
      <c r="E241" s="6" t="inlineStr">
        <is>
          <t>R1889915</t>
        </is>
      </c>
      <c r="F241" s="67" t="n">
        <v>44900</v>
      </c>
      <c r="G241" s="68" t="n"/>
    </row>
    <row r="242">
      <c r="A242" s="6" t="n">
        <v>480742</v>
      </c>
      <c r="B242" s="6" t="inlineStr">
        <is>
          <t>LINE 39 PINOT NOIR CENTRAL COAST</t>
        </is>
      </c>
      <c r="C242" s="7">
        <f>VLOOKUP(A242,SizeData!A$2:B$3839,2,FALSE)</f>
        <v/>
      </c>
      <c r="D242" s="6" t="n">
        <v>1</v>
      </c>
      <c r="E242" s="6" t="inlineStr">
        <is>
          <t>R1884564</t>
        </is>
      </c>
      <c r="F242" s="67" t="n">
        <v>44900</v>
      </c>
      <c r="G242" s="68" t="n"/>
    </row>
    <row r="243">
      <c r="A243" s="6" t="n">
        <v>88818</v>
      </c>
      <c r="B243" s="6" t="inlineStr">
        <is>
          <t>MAESTRO DOBEL ANEJO</t>
        </is>
      </c>
      <c r="C243" s="7">
        <f>VLOOKUP(A243,SizeData!A$2:B$3839,2,FALSE)</f>
        <v/>
      </c>
      <c r="D243" s="6" t="n">
        <v>1</v>
      </c>
      <c r="E243" s="6" t="inlineStr">
        <is>
          <t>R1883869</t>
        </is>
      </c>
      <c r="F243" s="67" t="n">
        <v>44896</v>
      </c>
      <c r="G243" s="68" t="n"/>
    </row>
    <row r="244">
      <c r="A244" s="6" t="n">
        <v>42703</v>
      </c>
      <c r="B244" s="6" t="inlineStr">
        <is>
          <t>MALIBU PINEAPPLE RUM</t>
        </is>
      </c>
      <c r="C244" s="7">
        <f>VLOOKUP(A244,SizeData!A$2:B$3839,2,FALSE)</f>
        <v/>
      </c>
      <c r="D244" s="6" t="n">
        <v>1</v>
      </c>
      <c r="E244" s="6" t="inlineStr">
        <is>
          <t>R1884564</t>
        </is>
      </c>
      <c r="F244" s="67" t="n">
        <v>44900</v>
      </c>
      <c r="G244" s="68" t="n"/>
    </row>
    <row r="245">
      <c r="A245" s="6" t="n">
        <v>43902</v>
      </c>
      <c r="B245" s="6" t="inlineStr">
        <is>
          <t>MALIBU STRAWBERRY</t>
        </is>
      </c>
      <c r="C245" s="7">
        <f>VLOOKUP(A245,SizeData!A$2:B$3839,2,FALSE)</f>
        <v/>
      </c>
      <c r="D245" s="6" t="n">
        <v>1</v>
      </c>
      <c r="E245" s="6" t="inlineStr">
        <is>
          <t>R1884564</t>
        </is>
      </c>
      <c r="F245" s="67" t="n">
        <v>44900</v>
      </c>
      <c r="G245" s="68" t="n"/>
    </row>
    <row r="246">
      <c r="A246" s="6" t="n">
        <v>802875</v>
      </c>
      <c r="B246" s="6" t="inlineStr">
        <is>
          <t>MANISCHEWITZ BLACKBERRY</t>
        </is>
      </c>
      <c r="C246" s="7">
        <f>VLOOKUP(A246,SizeData!A$2:B$3839,2,FALSE)</f>
        <v/>
      </c>
      <c r="D246" s="6" t="n">
        <v>2</v>
      </c>
      <c r="E246" s="6" t="inlineStr">
        <is>
          <t>R1883576</t>
        </is>
      </c>
      <c r="F246" s="67" t="n">
        <v>44895</v>
      </c>
      <c r="G246" s="68" t="n"/>
    </row>
    <row r="247">
      <c r="A247" s="6" t="n">
        <v>483120</v>
      </c>
      <c r="B247" s="6" t="inlineStr">
        <is>
          <t>MANISCHEWITZ CONCORD</t>
        </is>
      </c>
      <c r="C247" s="7">
        <f>VLOOKUP(A247,SizeData!A$2:B$3839,2,FALSE)</f>
        <v/>
      </c>
      <c r="D247" s="6" t="n">
        <v>1</v>
      </c>
      <c r="E247" s="6" t="inlineStr">
        <is>
          <t>R1883576</t>
        </is>
      </c>
      <c r="F247" s="67" t="n">
        <v>44895</v>
      </c>
      <c r="G247" s="68" t="n"/>
    </row>
    <row r="248">
      <c r="A248" s="6" t="n">
        <v>482705</v>
      </c>
      <c r="B248" s="6" t="inlineStr">
        <is>
          <t>MANISCHEWITZ CREAM RED CONCORD</t>
        </is>
      </c>
      <c r="C248" s="7">
        <f>VLOOKUP(A248,SizeData!A$2:B$3839,2,FALSE)</f>
        <v/>
      </c>
      <c r="D248" s="6" t="n">
        <v>2</v>
      </c>
      <c r="E248" s="6" t="inlineStr">
        <is>
          <t>R1883604</t>
        </is>
      </c>
      <c r="F248" s="67" t="n">
        <v>44890</v>
      </c>
      <c r="G248" s="68" t="n"/>
    </row>
    <row r="249">
      <c r="A249" s="6" t="n">
        <v>48696</v>
      </c>
      <c r="B249" s="6" t="inlineStr">
        <is>
          <t>MARTELL V S COGNAC</t>
        </is>
      </c>
      <c r="C249" s="7">
        <f>VLOOKUP(A249,SizeData!A$2:B$3839,2,FALSE)</f>
        <v/>
      </c>
      <c r="D249" s="6" t="n">
        <v>1</v>
      </c>
      <c r="E249" s="6" t="inlineStr">
        <is>
          <t>R1900430</t>
        </is>
      </c>
      <c r="F249" s="67" t="n">
        <v>44896</v>
      </c>
      <c r="G249" s="68" t="n"/>
    </row>
    <row r="250">
      <c r="A250" s="6" t="n">
        <v>729155</v>
      </c>
      <c r="B250" s="6" t="inlineStr">
        <is>
          <t>MARTINI &amp; ROSSI ASTI SPUMANTE</t>
        </is>
      </c>
      <c r="C250" s="7">
        <f>VLOOKUP(A250,SizeData!A$2:B$3839,2,FALSE)</f>
        <v/>
      </c>
      <c r="D250" s="6" t="n">
        <v>1</v>
      </c>
      <c r="E250" s="6" t="inlineStr">
        <is>
          <t>R1889915</t>
        </is>
      </c>
      <c r="F250" s="67" t="n">
        <v>44900</v>
      </c>
      <c r="G250" s="68" t="n"/>
    </row>
    <row r="251">
      <c r="A251" s="6" t="n">
        <v>729215</v>
      </c>
      <c r="B251" s="6" t="inlineStr">
        <is>
          <t>MARTINI &amp; ROSSI ROSE SPARKLING</t>
        </is>
      </c>
      <c r="C251" s="7">
        <f>VLOOKUP(A251,SizeData!A$2:B$3839,2,FALSE)</f>
        <v/>
      </c>
      <c r="D251" s="6" t="n">
        <v>1</v>
      </c>
      <c r="E251" s="6" t="inlineStr">
        <is>
          <t>R1890841</t>
        </is>
      </c>
      <c r="F251" s="67" t="n">
        <v>44898</v>
      </c>
      <c r="G251" s="68" t="n"/>
    </row>
    <row r="252">
      <c r="A252" s="6" t="n">
        <v>812810</v>
      </c>
      <c r="B252" s="6" t="inlineStr">
        <is>
          <t>MD 20/20 BLUE RASPBERRY</t>
        </is>
      </c>
      <c r="C252" s="7">
        <f>VLOOKUP(A252,SizeData!A$2:B$3839,2,FALSE)</f>
        <v/>
      </c>
      <c r="D252" s="6" t="n">
        <v>2</v>
      </c>
      <c r="E252" s="6" t="inlineStr">
        <is>
          <t>R1864437</t>
        </is>
      </c>
      <c r="F252" s="67" t="n">
        <v>44887</v>
      </c>
      <c r="G252" s="68" t="n"/>
    </row>
    <row r="253">
      <c r="A253" s="6" t="n">
        <v>812812</v>
      </c>
      <c r="B253" s="6" t="inlineStr">
        <is>
          <t>MD 20/20 BLUE RASPBERRY</t>
        </is>
      </c>
      <c r="C253" s="7">
        <f>VLOOKUP(A253,SizeData!A$2:B$3839,2,FALSE)</f>
        <v/>
      </c>
      <c r="D253" s="6" t="n">
        <v>1</v>
      </c>
      <c r="E253" s="6" t="inlineStr">
        <is>
          <t>R1858393</t>
        </is>
      </c>
      <c r="F253" s="67" t="n">
        <v>44889</v>
      </c>
      <c r="G253" s="68" t="n"/>
    </row>
    <row r="254">
      <c r="A254" s="6" t="n">
        <v>812812</v>
      </c>
      <c r="B254" s="6" t="inlineStr">
        <is>
          <t>MD 20/20 BLUE RASPBERRY</t>
        </is>
      </c>
      <c r="C254" s="7">
        <f>VLOOKUP(A254,SizeData!A$2:B$3839,2,FALSE)</f>
        <v/>
      </c>
      <c r="D254" s="6" t="n">
        <v>2</v>
      </c>
      <c r="E254" s="6" t="inlineStr">
        <is>
          <t>R1891143</t>
        </is>
      </c>
      <c r="F254" s="67" t="n">
        <v>44896</v>
      </c>
      <c r="G254" s="68" t="n"/>
    </row>
    <row r="255">
      <c r="A255" s="6" t="n">
        <v>812810</v>
      </c>
      <c r="B255" s="6" t="inlineStr">
        <is>
          <t>MD 20/20 BLUE RASPBERRY</t>
        </is>
      </c>
      <c r="C255" s="7">
        <f>VLOOKUP(A255,SizeData!A$2:B$3839,2,FALSE)</f>
        <v/>
      </c>
      <c r="D255" s="6" t="n">
        <v>1</v>
      </c>
      <c r="E255" s="6" t="inlineStr">
        <is>
          <t>R1889915</t>
        </is>
      </c>
      <c r="F255" s="67" t="n">
        <v>44900</v>
      </c>
      <c r="G255" s="68" t="n"/>
    </row>
    <row r="256">
      <c r="A256" s="6" t="n">
        <v>812826</v>
      </c>
      <c r="B256" s="6" t="inlineStr">
        <is>
          <t>MD 20/20 GOLD PINEAPPLE</t>
        </is>
      </c>
      <c r="C256" s="7">
        <f>VLOOKUP(A256,SizeData!A$2:B$3839,2,FALSE)</f>
        <v/>
      </c>
      <c r="D256" s="6" t="n">
        <v>2</v>
      </c>
      <c r="E256" s="6" t="inlineStr">
        <is>
          <t>R1864437</t>
        </is>
      </c>
      <c r="F256" s="67" t="n">
        <v>44887</v>
      </c>
      <c r="G256" s="68" t="n"/>
    </row>
    <row r="257">
      <c r="A257" s="6" t="n">
        <v>812799</v>
      </c>
      <c r="B257" s="6" t="inlineStr">
        <is>
          <t>MD 20/20 ORANGE JUBILEE</t>
        </is>
      </c>
      <c r="C257" s="7">
        <f>VLOOKUP(A257,SizeData!A$2:B$3839,2,FALSE)</f>
        <v/>
      </c>
      <c r="D257" s="6" t="n">
        <v>3</v>
      </c>
      <c r="E257" s="6" t="inlineStr">
        <is>
          <t>R1864437</t>
        </is>
      </c>
      <c r="F257" s="67" t="n">
        <v>44887</v>
      </c>
      <c r="G257" s="68" t="n"/>
    </row>
    <row r="258">
      <c r="A258" s="6" t="n">
        <v>812791</v>
      </c>
      <c r="B258" s="6" t="inlineStr">
        <is>
          <t>MD 20/20 ORANGE JUBILEE</t>
        </is>
      </c>
      <c r="C258" s="7">
        <f>VLOOKUP(A258,SizeData!A$2:B$3839,2,FALSE)</f>
        <v/>
      </c>
      <c r="D258" s="6" t="n">
        <v>6</v>
      </c>
      <c r="E258" s="6" t="inlineStr">
        <is>
          <t>R1891143</t>
        </is>
      </c>
      <c r="F258" s="67" t="n">
        <v>44896</v>
      </c>
      <c r="G258" s="68" t="n"/>
    </row>
    <row r="259">
      <c r="A259" s="6" t="n">
        <v>812776</v>
      </c>
      <c r="B259" s="6" t="inlineStr">
        <is>
          <t>MD 20/20 PEACH &amp; CREAM</t>
        </is>
      </c>
      <c r="C259" s="7">
        <f>VLOOKUP(A259,SizeData!A$2:B$3839,2,FALSE)</f>
        <v/>
      </c>
      <c r="D259" s="6" t="n">
        <v>2</v>
      </c>
      <c r="E259" s="6" t="inlineStr">
        <is>
          <t>R1889915</t>
        </is>
      </c>
      <c r="F259" s="67" t="n">
        <v>44900</v>
      </c>
      <c r="G259" s="68" t="n"/>
    </row>
    <row r="260">
      <c r="A260" s="6" t="n">
        <v>812796</v>
      </c>
      <c r="B260" s="6" t="inlineStr">
        <is>
          <t>MD 20/20 RED GRAPE</t>
        </is>
      </c>
      <c r="C260" s="7">
        <f>VLOOKUP(A260,SizeData!A$2:B$3839,2,FALSE)</f>
        <v/>
      </c>
      <c r="D260" s="6" t="n">
        <v>2</v>
      </c>
      <c r="E260" s="6" t="inlineStr">
        <is>
          <t>R1858393</t>
        </is>
      </c>
      <c r="F260" s="67" t="n">
        <v>44889</v>
      </c>
      <c r="G260" s="68" t="n"/>
    </row>
    <row r="261">
      <c r="A261" s="6" t="n">
        <v>812794</v>
      </c>
      <c r="B261" s="6" t="inlineStr">
        <is>
          <t>MD 20/20 RED GRAPE</t>
        </is>
      </c>
      <c r="C261" s="7">
        <f>VLOOKUP(A261,SizeData!A$2:B$3839,2,FALSE)</f>
        <v/>
      </c>
      <c r="D261" s="6" t="n">
        <v>3</v>
      </c>
      <c r="E261" s="6" t="inlineStr">
        <is>
          <t>R1889915</t>
        </is>
      </c>
      <c r="F261" s="67" t="n">
        <v>44900</v>
      </c>
      <c r="G261" s="68" t="n"/>
    </row>
    <row r="262">
      <c r="A262" s="6" t="n">
        <v>812795</v>
      </c>
      <c r="B262" s="6" t="inlineStr">
        <is>
          <t>MD 20/20 RED GRAPE</t>
        </is>
      </c>
      <c r="C262" s="7">
        <f>VLOOKUP(A262,SizeData!A$2:B$3839,2,FALSE)</f>
        <v/>
      </c>
      <c r="D262" s="6" t="n">
        <v>1</v>
      </c>
      <c r="E262" s="6" t="inlineStr">
        <is>
          <t>R1889915</t>
        </is>
      </c>
      <c r="F262" s="67" t="n">
        <v>44900</v>
      </c>
      <c r="G262" s="68" t="n"/>
    </row>
    <row r="263">
      <c r="A263" s="6" t="n">
        <v>443950</v>
      </c>
      <c r="B263" s="6" t="inlineStr">
        <is>
          <t>MEIOMI PINOT NOIR MNTRY/SNTA BARB/SONOMA</t>
        </is>
      </c>
      <c r="C263" s="7">
        <f>VLOOKUP(A263,SizeData!A$2:B$3839,2,FALSE)</f>
        <v/>
      </c>
      <c r="D263" s="6" t="n">
        <v>1</v>
      </c>
      <c r="E263" s="6" t="inlineStr">
        <is>
          <t>R1883604</t>
        </is>
      </c>
      <c r="F263" s="67" t="n">
        <v>44890</v>
      </c>
      <c r="G263" s="68" t="n"/>
    </row>
    <row r="264">
      <c r="A264" s="6" t="n">
        <v>27236</v>
      </c>
      <c r="B264" s="6" t="inlineStr">
        <is>
          <t>MELLOW CORN</t>
        </is>
      </c>
      <c r="C264" s="7">
        <f>VLOOKUP(A264,SizeData!A$2:B$3839,2,FALSE)</f>
        <v/>
      </c>
      <c r="D264" s="6" t="n">
        <v>1</v>
      </c>
      <c r="E264" s="6" t="inlineStr">
        <is>
          <t>R1882735</t>
        </is>
      </c>
      <c r="F264" s="67" t="n">
        <v>44894</v>
      </c>
      <c r="G264" s="68" t="n"/>
    </row>
    <row r="265">
      <c r="A265" s="6" t="n">
        <v>485433</v>
      </c>
      <c r="B265" s="6" t="inlineStr">
        <is>
          <t>MENAGE A TROIS HOT PINK SWEET ROSE COLLC</t>
        </is>
      </c>
      <c r="C265" s="7">
        <f>VLOOKUP(A265,SizeData!A$2:B$3839,2,FALSE)</f>
        <v/>
      </c>
      <c r="D265" s="6" t="n">
        <v>1</v>
      </c>
      <c r="E265" s="6" t="inlineStr">
        <is>
          <t>R1900430</t>
        </is>
      </c>
      <c r="F265" s="67" t="n">
        <v>44896</v>
      </c>
      <c r="G265" s="68" t="n"/>
    </row>
    <row r="266">
      <c r="A266" s="6" t="n">
        <v>485449</v>
      </c>
      <c r="B266" s="6" t="inlineStr">
        <is>
          <t>MENAGE SWEET COLLECTION DOLCE RED</t>
        </is>
      </c>
      <c r="C266" s="7">
        <f>VLOOKUP(A266,SizeData!A$2:B$3839,2,FALSE)</f>
        <v/>
      </c>
      <c r="D266" s="6" t="n">
        <v>4</v>
      </c>
      <c r="E266" s="6" t="inlineStr">
        <is>
          <t>R1892170</t>
        </is>
      </c>
      <c r="F266" s="67" t="n">
        <v>44902</v>
      </c>
      <c r="G266" s="68" t="n"/>
    </row>
    <row r="267">
      <c r="A267" s="6" t="n">
        <v>48764</v>
      </c>
      <c r="B267" s="6" t="inlineStr">
        <is>
          <t>MEUKOW VS COGNAC (ROUND BOTTLE)</t>
        </is>
      </c>
      <c r="C267" s="7">
        <f>VLOOKUP(A267,SizeData!A$2:B$3839,2,FALSE)</f>
        <v/>
      </c>
      <c r="D267" s="6" t="n">
        <v>1</v>
      </c>
      <c r="E267" s="6" t="inlineStr">
        <is>
          <t>R1884564</t>
        </is>
      </c>
      <c r="F267" s="67" t="n">
        <v>44900</v>
      </c>
      <c r="G267" s="68" t="n"/>
    </row>
    <row r="268">
      <c r="A268" s="6" t="n">
        <v>489388</v>
      </c>
      <c r="B268" s="6" t="inlineStr">
        <is>
          <t>MIRASSOU PINOT NOIR</t>
        </is>
      </c>
      <c r="C268" s="7">
        <f>VLOOKUP(A268,SizeData!A$2:B$3839,2,FALSE)</f>
        <v/>
      </c>
      <c r="D268" s="6" t="n">
        <v>1</v>
      </c>
      <c r="E268" s="6" t="inlineStr">
        <is>
          <t>R1900430</t>
        </is>
      </c>
      <c r="F268" s="67" t="n">
        <v>44896</v>
      </c>
      <c r="G268" s="68" t="n"/>
    </row>
    <row r="269">
      <c r="A269" s="6" t="n">
        <v>710921</v>
      </c>
      <c r="B269" s="6" t="inlineStr">
        <is>
          <t>MOET CHANDON NECTAR IMPERIAL ROSE</t>
        </is>
      </c>
      <c r="C269" s="7">
        <f>VLOOKUP(A269,SizeData!A$2:B$3839,2,FALSE)</f>
        <v/>
      </c>
      <c r="D269" s="6" t="n">
        <v>3</v>
      </c>
      <c r="E269" s="6" t="inlineStr">
        <is>
          <t>R1883604</t>
        </is>
      </c>
      <c r="F269" s="67" t="n">
        <v>44890</v>
      </c>
      <c r="G269" s="68" t="n"/>
    </row>
    <row r="270">
      <c r="A270" s="6" t="n">
        <v>710921</v>
      </c>
      <c r="B270" s="6" t="inlineStr">
        <is>
          <t>MOET CHANDON NECTAR IMPERIAL ROSE</t>
        </is>
      </c>
      <c r="C270" s="7">
        <f>VLOOKUP(A270,SizeData!A$2:B$3839,2,FALSE)</f>
        <v/>
      </c>
      <c r="D270" s="6" t="n">
        <v>10</v>
      </c>
      <c r="E270" s="6" t="inlineStr">
        <is>
          <t>R1891653</t>
        </is>
      </c>
      <c r="F270" s="67" t="n">
        <v>44900</v>
      </c>
      <c r="G270" s="68" t="n"/>
    </row>
    <row r="271">
      <c r="A271" s="6" t="n">
        <v>803485</v>
      </c>
      <c r="B271" s="6" t="inlineStr">
        <is>
          <t>MOGEN DAVID BLACKBERRY</t>
        </is>
      </c>
      <c r="C271" s="7">
        <f>VLOOKUP(A271,SizeData!A$2:B$3839,2,FALSE)</f>
        <v/>
      </c>
      <c r="D271" s="6" t="n">
        <v>3</v>
      </c>
      <c r="E271" s="6" t="inlineStr">
        <is>
          <t>R1891249</t>
        </is>
      </c>
      <c r="F271" s="67" t="n">
        <v>44898</v>
      </c>
      <c r="G271" s="68" t="n"/>
    </row>
    <row r="272">
      <c r="A272" s="6" t="n">
        <v>803470</v>
      </c>
      <c r="B272" s="6" t="inlineStr">
        <is>
          <t>MOGEN DAVID BLACKBERRY</t>
        </is>
      </c>
      <c r="C272" s="7">
        <f>VLOOKUP(A272,SizeData!A$2:B$3839,2,FALSE)</f>
        <v/>
      </c>
      <c r="D272" s="6" t="n">
        <v>2</v>
      </c>
      <c r="E272" s="6" t="inlineStr">
        <is>
          <t>R1891249</t>
        </is>
      </c>
      <c r="F272" s="67" t="n">
        <v>44898</v>
      </c>
      <c r="G272" s="68" t="n"/>
    </row>
    <row r="273">
      <c r="A273" s="6" t="n">
        <v>487010</v>
      </c>
      <c r="B273" s="6" t="inlineStr">
        <is>
          <t>MOGEN DAVID CONCORD</t>
        </is>
      </c>
      <c r="C273" s="7">
        <f>VLOOKUP(A273,SizeData!A$2:B$3839,2,FALSE)</f>
        <v/>
      </c>
      <c r="D273" s="6" t="n">
        <v>2</v>
      </c>
      <c r="E273" s="6" t="inlineStr">
        <is>
          <t>R1883604</t>
        </is>
      </c>
      <c r="F273" s="67" t="n">
        <v>44890</v>
      </c>
      <c r="G273" s="68" t="n"/>
    </row>
    <row r="274">
      <c r="A274" s="6" t="n">
        <v>487020</v>
      </c>
      <c r="B274" s="6" t="inlineStr">
        <is>
          <t>MOGEN DAVID CONCORD</t>
        </is>
      </c>
      <c r="C274" s="7">
        <f>VLOOKUP(A274,SizeData!A$2:B$3839,2,FALSE)</f>
        <v/>
      </c>
      <c r="D274" s="6" t="n">
        <v>1</v>
      </c>
      <c r="E274" s="6" t="inlineStr">
        <is>
          <t>R1891249</t>
        </is>
      </c>
      <c r="F274" s="67" t="n">
        <v>44898</v>
      </c>
      <c r="G274" s="68" t="n"/>
    </row>
    <row r="275">
      <c r="A275" s="6" t="n">
        <v>62116</v>
      </c>
      <c r="B275" s="6" t="inlineStr">
        <is>
          <t>MONTEBELLO LONG ISLAND ICED TEA</t>
        </is>
      </c>
      <c r="C275" s="7">
        <f>VLOOKUP(A275,SizeData!A$2:B$3839,2,FALSE)</f>
        <v/>
      </c>
      <c r="D275" s="6" t="n">
        <v>2</v>
      </c>
      <c r="E275" s="6" t="inlineStr">
        <is>
          <t>R1889205</t>
        </is>
      </c>
      <c r="F275" s="67" t="n">
        <v>44897</v>
      </c>
      <c r="G275" s="68" t="n"/>
    </row>
    <row r="276">
      <c r="A276" s="6" t="n">
        <v>45068</v>
      </c>
      <c r="B276" s="6" t="inlineStr">
        <is>
          <t>MONTEGO BAY GOLD RUM</t>
        </is>
      </c>
      <c r="C276" s="7">
        <f>VLOOKUP(A276,SizeData!A$2:B$3839,2,FALSE)</f>
        <v/>
      </c>
      <c r="D276" s="6" t="n">
        <v>1</v>
      </c>
      <c r="E276" s="6" t="inlineStr">
        <is>
          <t>R1884003</t>
        </is>
      </c>
      <c r="F276" s="67" t="n">
        <v>44891</v>
      </c>
      <c r="G276" s="68" t="n"/>
    </row>
    <row r="277">
      <c r="A277" s="6" t="n">
        <v>45068</v>
      </c>
      <c r="B277" s="6" t="inlineStr">
        <is>
          <t>MONTEGO BAY GOLD RUM</t>
        </is>
      </c>
      <c r="C277" s="7">
        <f>VLOOKUP(A277,SizeData!A$2:B$3839,2,FALSE)</f>
        <v/>
      </c>
      <c r="D277" s="6" t="n">
        <v>2</v>
      </c>
      <c r="E277" s="6" t="inlineStr">
        <is>
          <t>R1882735</t>
        </is>
      </c>
      <c r="F277" s="67" t="n">
        <v>44894</v>
      </c>
      <c r="G277" s="68" t="n"/>
    </row>
    <row r="278">
      <c r="A278" s="6" t="n">
        <v>40071</v>
      </c>
      <c r="B278" s="6" t="inlineStr">
        <is>
          <t>NEW AMSTERDAM MANGO FLAVORED VODKA</t>
        </is>
      </c>
      <c r="C278" s="7">
        <f>VLOOKUP(A278,SizeData!A$2:B$3839,2,FALSE)</f>
        <v/>
      </c>
      <c r="D278" s="6" t="n">
        <v>1</v>
      </c>
      <c r="E278" s="6" t="inlineStr">
        <is>
          <t>R1884003</t>
        </is>
      </c>
      <c r="F278" s="67" t="n">
        <v>44891</v>
      </c>
      <c r="G278" s="68" t="n"/>
    </row>
    <row r="279">
      <c r="A279" s="6" t="n">
        <v>40590</v>
      </c>
      <c r="B279" s="6" t="inlineStr">
        <is>
          <t>NEW AMSTERDAM PEACH FLAVORED VODKA</t>
        </is>
      </c>
      <c r="C279" s="7">
        <f>VLOOKUP(A279,SizeData!A$2:B$3839,2,FALSE)</f>
        <v/>
      </c>
      <c r="D279" s="6" t="n">
        <v>1</v>
      </c>
      <c r="E279" s="6" t="inlineStr">
        <is>
          <t>R1864437</t>
        </is>
      </c>
      <c r="F279" s="67" t="n">
        <v>44887</v>
      </c>
      <c r="G279" s="68" t="n"/>
    </row>
    <row r="280">
      <c r="A280" s="6" t="n">
        <v>40592</v>
      </c>
      <c r="B280" s="6" t="inlineStr">
        <is>
          <t>NEW AMSTERDAM PEACH FLAVORED VODKA</t>
        </is>
      </c>
      <c r="C280" s="7">
        <f>VLOOKUP(A280,SizeData!A$2:B$3839,2,FALSE)</f>
        <v/>
      </c>
      <c r="D280" s="6" t="n">
        <v>1</v>
      </c>
      <c r="E280" s="6" t="inlineStr">
        <is>
          <t>R1884003</t>
        </is>
      </c>
      <c r="F280" s="67" t="n">
        <v>44891</v>
      </c>
      <c r="G280" s="68" t="n"/>
    </row>
    <row r="281">
      <c r="A281" s="6" t="n">
        <v>40313</v>
      </c>
      <c r="B281" s="6" t="inlineStr">
        <is>
          <t>NEW AMSTERDAM PEACH FLAVORED VODKA</t>
        </is>
      </c>
      <c r="C281" s="7">
        <f>VLOOKUP(A281,SizeData!A$2:B$3839,2,FALSE)</f>
        <v/>
      </c>
      <c r="D281" s="6" t="n">
        <v>1</v>
      </c>
      <c r="E281" s="6" t="inlineStr">
        <is>
          <t>R1900430</t>
        </is>
      </c>
      <c r="F281" s="67" t="n">
        <v>44896</v>
      </c>
      <c r="G281" s="68" t="n"/>
    </row>
    <row r="282">
      <c r="A282" s="6" t="n">
        <v>40313</v>
      </c>
      <c r="B282" s="6" t="inlineStr">
        <is>
          <t>NEW AMSTERDAM PEACH FLAVORED VODKA</t>
        </is>
      </c>
      <c r="C282" s="7">
        <f>VLOOKUP(A282,SizeData!A$2:B$3839,2,FALSE)</f>
        <v/>
      </c>
      <c r="D282" s="6" t="n">
        <v>4</v>
      </c>
      <c r="E282" s="6" t="inlineStr">
        <is>
          <t>R1884564</t>
        </is>
      </c>
      <c r="F282" s="67" t="n">
        <v>44900</v>
      </c>
      <c r="G282" s="68" t="n"/>
    </row>
    <row r="283">
      <c r="A283" s="6" t="n">
        <v>40189</v>
      </c>
      <c r="B283" s="6" t="inlineStr">
        <is>
          <t>NEW AMSTERDAM PINEAPPLE FLAVORED VODKA</t>
        </is>
      </c>
      <c r="C283" s="7">
        <f>VLOOKUP(A283,SizeData!A$2:B$3839,2,FALSE)</f>
        <v/>
      </c>
      <c r="D283" s="6" t="n">
        <v>1</v>
      </c>
      <c r="E283" s="6" t="inlineStr">
        <is>
          <t>R1864437</t>
        </is>
      </c>
      <c r="F283" s="67" t="n">
        <v>44887</v>
      </c>
      <c r="G283" s="68" t="n"/>
    </row>
    <row r="284">
      <c r="A284" s="6" t="n">
        <v>40191</v>
      </c>
      <c r="B284" s="6" t="inlineStr">
        <is>
          <t>NEW AMSTERDAM PINEAPPLE FLAVORED VODKA</t>
        </is>
      </c>
      <c r="C284" s="7">
        <f>VLOOKUP(A284,SizeData!A$2:B$3839,2,FALSE)</f>
        <v/>
      </c>
      <c r="D284" s="6" t="n">
        <v>1</v>
      </c>
      <c r="E284" s="6" t="inlineStr">
        <is>
          <t>R1884003</t>
        </is>
      </c>
      <c r="F284" s="67" t="n">
        <v>44891</v>
      </c>
      <c r="G284" s="68" t="n"/>
    </row>
    <row r="285">
      <c r="A285" s="6" t="n">
        <v>40191</v>
      </c>
      <c r="B285" s="6" t="inlineStr">
        <is>
          <t>NEW AMSTERDAM PINEAPPLE FLAVORED VODKA</t>
        </is>
      </c>
      <c r="C285" s="7">
        <f>VLOOKUP(A285,SizeData!A$2:B$3839,2,FALSE)</f>
        <v/>
      </c>
      <c r="D285" s="6" t="n">
        <v>2</v>
      </c>
      <c r="E285" s="6" t="inlineStr">
        <is>
          <t>R1882735</t>
        </is>
      </c>
      <c r="F285" s="67" t="n">
        <v>44894</v>
      </c>
      <c r="G285" s="68" t="n"/>
    </row>
    <row r="286">
      <c r="A286" s="6" t="n">
        <v>40195</v>
      </c>
      <c r="B286" s="6" t="inlineStr">
        <is>
          <t>NEW AMSTERDAM PINEAPPLE FLAVORED VODKA</t>
        </is>
      </c>
      <c r="C286" s="7">
        <f>VLOOKUP(A286,SizeData!A$2:B$3839,2,FALSE)</f>
        <v/>
      </c>
      <c r="D286" s="6" t="n">
        <v>1</v>
      </c>
      <c r="E286" s="6" t="inlineStr">
        <is>
          <t>R1900430</t>
        </is>
      </c>
      <c r="F286" s="67" t="n">
        <v>44896</v>
      </c>
      <c r="G286" s="68" t="n"/>
    </row>
    <row r="287">
      <c r="A287" s="6" t="n">
        <v>40195</v>
      </c>
      <c r="B287" s="6" t="inlineStr">
        <is>
          <t>NEW AMSTERDAM PINEAPPLE FLAVORED VODKA</t>
        </is>
      </c>
      <c r="C287" s="7">
        <f>VLOOKUP(A287,SizeData!A$2:B$3839,2,FALSE)</f>
        <v/>
      </c>
      <c r="D287" s="6" t="n">
        <v>3</v>
      </c>
      <c r="E287" s="6" t="inlineStr">
        <is>
          <t>R1884564</t>
        </is>
      </c>
      <c r="F287" s="67" t="n">
        <v>44900</v>
      </c>
      <c r="G287" s="68" t="n"/>
    </row>
    <row r="288">
      <c r="A288" s="6" t="n">
        <v>40597</v>
      </c>
      <c r="B288" s="6" t="inlineStr">
        <is>
          <t>NEW AMSTERDAM RED BERRY FLAVORED VODKA</t>
        </is>
      </c>
      <c r="C288" s="7">
        <f>VLOOKUP(A288,SizeData!A$2:B$3839,2,FALSE)</f>
        <v/>
      </c>
      <c r="D288" s="6" t="n">
        <v>1</v>
      </c>
      <c r="E288" s="6" t="inlineStr">
        <is>
          <t>R1884003</t>
        </is>
      </c>
      <c r="F288" s="67" t="n">
        <v>44891</v>
      </c>
      <c r="G288" s="68" t="n"/>
    </row>
    <row r="289">
      <c r="A289" s="6" t="n">
        <v>40598</v>
      </c>
      <c r="B289" s="6" t="inlineStr">
        <is>
          <t>NEW AMSTERDAM RED BERRY FLAVORED VODKA</t>
        </is>
      </c>
      <c r="C289" s="7">
        <f>VLOOKUP(A289,SizeData!A$2:B$3839,2,FALSE)</f>
        <v/>
      </c>
      <c r="D289" s="6" t="n">
        <v>1</v>
      </c>
      <c r="E289" s="6" t="inlineStr">
        <is>
          <t>R1900430</t>
        </is>
      </c>
      <c r="F289" s="67" t="n">
        <v>44896</v>
      </c>
      <c r="G289" s="68" t="n"/>
    </row>
    <row r="290">
      <c r="A290" s="6" t="n">
        <v>36967</v>
      </c>
      <c r="B290" s="6" t="inlineStr">
        <is>
          <t>NEW AMSTERDAM VODKA</t>
        </is>
      </c>
      <c r="C290" s="7">
        <f>VLOOKUP(A290,SizeData!A$2:B$3839,2,FALSE)</f>
        <v/>
      </c>
      <c r="D290" s="6" t="n">
        <v>1</v>
      </c>
      <c r="E290" s="6" t="inlineStr">
        <is>
          <t>R1882735</t>
        </is>
      </c>
      <c r="F290" s="67" t="n">
        <v>44894</v>
      </c>
      <c r="G290" s="68" t="n"/>
    </row>
    <row r="291">
      <c r="A291" s="6" t="n">
        <v>36971</v>
      </c>
      <c r="B291" s="6" t="inlineStr">
        <is>
          <t>NEW AMSTERDAM VODKA</t>
        </is>
      </c>
      <c r="C291" s="7">
        <f>VLOOKUP(A291,SizeData!A$2:B$3839,2,FALSE)</f>
        <v/>
      </c>
      <c r="D291" s="6" t="n">
        <v>6</v>
      </c>
      <c r="E291" s="6" t="inlineStr">
        <is>
          <t>R1889205</t>
        </is>
      </c>
      <c r="F291" s="67" t="n">
        <v>44897</v>
      </c>
      <c r="G291" s="68" t="n"/>
    </row>
    <row r="292">
      <c r="A292" s="6" t="n">
        <v>36968</v>
      </c>
      <c r="B292" s="6" t="inlineStr">
        <is>
          <t>NEW AMSTERDAM VODKA FLASK</t>
        </is>
      </c>
      <c r="C292" s="7">
        <f>VLOOKUP(A292,SizeData!A$2:B$3839,2,FALSE)</f>
        <v/>
      </c>
      <c r="D292" s="6" t="n">
        <v>3</v>
      </c>
      <c r="E292" s="6" t="inlineStr">
        <is>
          <t>R1900430</t>
        </is>
      </c>
      <c r="F292" s="67" t="n">
        <v>44896</v>
      </c>
      <c r="G292" s="68" t="n"/>
    </row>
    <row r="293">
      <c r="A293" s="6" t="n">
        <v>39382</v>
      </c>
      <c r="B293" s="6" t="inlineStr">
        <is>
          <t>NEW AMSTERDAM VODKA PINK WHITNEY PINK LEMONADE</t>
        </is>
      </c>
      <c r="C293" s="7">
        <f>VLOOKUP(A293,SizeData!A$2:B$3839,2,FALSE)</f>
        <v/>
      </c>
      <c r="D293" s="6" t="n">
        <v>1</v>
      </c>
      <c r="E293" s="6" t="inlineStr">
        <is>
          <t>R1900430</t>
        </is>
      </c>
      <c r="F293" s="67" t="n">
        <v>44896</v>
      </c>
      <c r="G293" s="68" t="n"/>
    </row>
    <row r="294">
      <c r="A294" s="6" t="n">
        <v>86970</v>
      </c>
      <c r="B294" s="6" t="inlineStr">
        <is>
          <t>OLE SMOKY TENN MOONSHINE BLUE FLAME</t>
        </is>
      </c>
      <c r="C294" s="7">
        <f>VLOOKUP(A294,SizeData!A$2:B$3839,2,FALSE)</f>
        <v/>
      </c>
      <c r="D294" s="6" t="n">
        <v>1</v>
      </c>
      <c r="E294" s="6" t="inlineStr">
        <is>
          <t>R1864437</t>
        </is>
      </c>
      <c r="F294" s="67" t="n">
        <v>44887</v>
      </c>
      <c r="G294" s="68" t="n"/>
    </row>
    <row r="295">
      <c r="A295" s="6" t="n">
        <v>76413</v>
      </c>
      <c r="B295" s="6" t="inlineStr">
        <is>
          <t>OLE SMOKY TENN MOONSHINE BUTTER PECAN</t>
        </is>
      </c>
      <c r="C295" s="7">
        <f>VLOOKUP(A295,SizeData!A$2:B$3839,2,FALSE)</f>
        <v/>
      </c>
      <c r="D295" s="6" t="n">
        <v>4</v>
      </c>
      <c r="E295" s="6" t="inlineStr">
        <is>
          <t>R1880771</t>
        </is>
      </c>
      <c r="F295" s="67" t="n">
        <v>44895</v>
      </c>
      <c r="G295" s="68" t="n"/>
    </row>
    <row r="296">
      <c r="A296" s="6" t="n">
        <v>76412</v>
      </c>
      <c r="B296" s="6" t="inlineStr">
        <is>
          <t>OLE SMOKY TENN MOONSHINE BUTTER PECAN</t>
        </is>
      </c>
      <c r="C296" s="7">
        <f>VLOOKUP(A296,SizeData!A$2:B$3839,2,FALSE)</f>
        <v/>
      </c>
      <c r="D296" s="6" t="n">
        <v>2</v>
      </c>
      <c r="E296" s="6" t="inlineStr">
        <is>
          <t>R1880771</t>
        </is>
      </c>
      <c r="F296" s="67" t="n">
        <v>44895</v>
      </c>
      <c r="G296" s="68" t="n"/>
    </row>
    <row r="297">
      <c r="A297" s="6" t="n">
        <v>86828</v>
      </c>
      <c r="B297" s="6" t="inlineStr">
        <is>
          <t>OLE SMOKY TENN MOONSHINE HUNCH PUNCH LGHT 80P</t>
        </is>
      </c>
      <c r="C297" s="7">
        <f>VLOOKUP(A297,SizeData!A$2:B$3839,2,FALSE)</f>
        <v/>
      </c>
      <c r="D297" s="6" t="n">
        <v>1</v>
      </c>
      <c r="E297" s="6" t="inlineStr">
        <is>
          <t>R1880771</t>
        </is>
      </c>
      <c r="F297" s="67" t="n">
        <v>44895</v>
      </c>
      <c r="G297" s="68" t="n"/>
    </row>
    <row r="298">
      <c r="A298" s="31" t="n">
        <v>88189</v>
      </c>
      <c r="B298" s="31" t="inlineStr">
        <is>
          <t>OLMECA ALTOS PLATA</t>
        </is>
      </c>
      <c r="C298" s="32">
        <f>VLOOKUP(A298,SizeData!A$2:B$3839,2,FALSE)</f>
        <v/>
      </c>
      <c r="D298" s="31" t="n">
        <v>2</v>
      </c>
      <c r="E298" s="31" t="inlineStr">
        <is>
          <t>R1883661</t>
        </is>
      </c>
      <c r="F298" s="82" t="n">
        <v>44893</v>
      </c>
      <c r="G298" s="83" t="n"/>
    </row>
    <row r="299">
      <c r="A299" s="31" t="n">
        <v>88255</v>
      </c>
      <c r="B299" s="31" t="inlineStr">
        <is>
          <t>OLMECA ALTOS REPOSADO</t>
        </is>
      </c>
      <c r="C299" s="32">
        <f>VLOOKUP(A299,SizeData!A$2:B$3839,2,FALSE)</f>
        <v/>
      </c>
      <c r="D299" s="31" t="n">
        <v>2</v>
      </c>
      <c r="E299" s="31" t="inlineStr">
        <is>
          <t>R1883661</t>
        </is>
      </c>
      <c r="F299" s="82" t="n">
        <v>44893</v>
      </c>
      <c r="G299" s="83" t="n"/>
    </row>
    <row r="300">
      <c r="A300" s="6" t="n">
        <v>89610</v>
      </c>
      <c r="B300" s="6" t="inlineStr">
        <is>
          <t>OLMECA ALTOS REPOSADO</t>
        </is>
      </c>
      <c r="C300" s="7">
        <f>VLOOKUP(A300,SizeData!A$2:B$3839,2,FALSE)</f>
        <v/>
      </c>
      <c r="D300" s="6" t="n">
        <v>1</v>
      </c>
      <c r="E300" s="6" t="inlineStr">
        <is>
          <t>R1891249</t>
        </is>
      </c>
      <c r="F300" s="67" t="n">
        <v>44898</v>
      </c>
      <c r="G300" s="68" t="n"/>
    </row>
    <row r="301">
      <c r="A301" s="6" t="n">
        <v>89610</v>
      </c>
      <c r="B301" s="6" t="inlineStr">
        <is>
          <t>OLMECA ALTOS REPOSADO</t>
        </is>
      </c>
      <c r="C301" s="7">
        <f>VLOOKUP(A301,SizeData!A$2:B$3839,2,FALSE)</f>
        <v/>
      </c>
      <c r="D301" s="6" t="n">
        <v>1</v>
      </c>
      <c r="E301" s="6" t="inlineStr">
        <is>
          <t>R1889915</t>
        </is>
      </c>
      <c r="F301" s="67" t="n">
        <v>44900</v>
      </c>
      <c r="G301" s="68" t="n"/>
    </row>
    <row r="302">
      <c r="A302" s="6" t="n">
        <v>63311</v>
      </c>
      <c r="B302" s="6" t="inlineStr">
        <is>
          <t>ON THE ROCKS COCKTAILS CRUZAN MAI TAI</t>
        </is>
      </c>
      <c r="C302" s="7">
        <f>VLOOKUP(A302,SizeData!A$2:B$3839,2,FALSE)</f>
        <v/>
      </c>
      <c r="D302" s="6" t="n">
        <v>9</v>
      </c>
      <c r="E302" s="6" t="inlineStr">
        <is>
          <t>R1882093</t>
        </is>
      </c>
      <c r="F302" s="67" t="n">
        <v>44894</v>
      </c>
      <c r="G302" s="68" t="n"/>
    </row>
    <row r="303">
      <c r="A303" s="6" t="n">
        <v>89644</v>
      </c>
      <c r="B303" s="6" t="inlineStr">
        <is>
          <t>PATRON ANEJO TEQUILA</t>
        </is>
      </c>
      <c r="C303" s="7">
        <f>VLOOKUP(A303,SizeData!A$2:B$3839,2,FALSE)</f>
        <v/>
      </c>
      <c r="D303" s="6" t="n">
        <v>2</v>
      </c>
      <c r="E303" s="6" t="inlineStr">
        <is>
          <t>R1896442</t>
        </is>
      </c>
      <c r="F303" s="67" t="n">
        <v>44897</v>
      </c>
      <c r="G303" s="68" t="n"/>
    </row>
    <row r="304">
      <c r="A304" s="6" t="n">
        <v>88296</v>
      </c>
      <c r="B304" s="6" t="inlineStr">
        <is>
          <t>PATRON SILVER TEQUILA</t>
        </is>
      </c>
      <c r="C304" s="7">
        <f>VLOOKUP(A304,SizeData!A$2:B$3839,2,FALSE)</f>
        <v/>
      </c>
      <c r="D304" s="6" t="n">
        <v>10</v>
      </c>
      <c r="E304" s="6" t="inlineStr">
        <is>
          <t>R1910907</t>
        </is>
      </c>
      <c r="F304" s="67" t="n">
        <v>44902</v>
      </c>
      <c r="G304" s="68" t="n"/>
    </row>
    <row r="305">
      <c r="A305" s="6" t="n">
        <v>56793</v>
      </c>
      <c r="B305" s="6" t="inlineStr">
        <is>
          <t>PAUL MASSON APPLE GRAND AMBER BRANDY</t>
        </is>
      </c>
      <c r="C305" s="7">
        <f>VLOOKUP(A305,SizeData!A$2:B$3839,2,FALSE)</f>
        <v/>
      </c>
      <c r="D305" s="6" t="n">
        <v>2</v>
      </c>
      <c r="E305" s="6" t="inlineStr">
        <is>
          <t>R1892170</t>
        </is>
      </c>
      <c r="F305" s="67" t="n">
        <v>44902</v>
      </c>
      <c r="G305" s="68" t="n"/>
    </row>
    <row r="306">
      <c r="A306" s="6" t="n">
        <v>53217</v>
      </c>
      <c r="B306" s="6" t="inlineStr">
        <is>
          <t>PAUL MASSON GRANDE AMBER BRANDY</t>
        </is>
      </c>
      <c r="C306" s="7">
        <f>VLOOKUP(A306,SizeData!A$2:B$3839,2,FALSE)</f>
        <v/>
      </c>
      <c r="D306" s="6" t="n">
        <v>1</v>
      </c>
      <c r="E306" s="6" t="inlineStr">
        <is>
          <t>R1891143</t>
        </is>
      </c>
      <c r="F306" s="67" t="n">
        <v>44896</v>
      </c>
      <c r="G306" s="68" t="n"/>
    </row>
    <row r="307">
      <c r="A307" s="6" t="n">
        <v>53216</v>
      </c>
      <c r="B307" s="6" t="inlineStr">
        <is>
          <t>PAUL MASSON GRANDE AMBER BRANDY</t>
        </is>
      </c>
      <c r="C307" s="7">
        <f>VLOOKUP(A307,SizeData!A$2:B$3839,2,FALSE)</f>
        <v/>
      </c>
      <c r="D307" s="6" t="n">
        <v>20</v>
      </c>
      <c r="E307" s="6" t="inlineStr">
        <is>
          <t>R1893307</t>
        </is>
      </c>
      <c r="F307" s="67" t="n">
        <v>44898</v>
      </c>
      <c r="G307" s="68" t="n"/>
    </row>
    <row r="308">
      <c r="A308" s="6" t="n">
        <v>53203</v>
      </c>
      <c r="B308" s="6" t="inlineStr">
        <is>
          <t>PAUL MASSON GRANDE AMBER VSOP BRANDY</t>
        </is>
      </c>
      <c r="C308" s="7">
        <f>VLOOKUP(A308,SizeData!A$2:B$3839,2,FALSE)</f>
        <v/>
      </c>
      <c r="D308" s="6" t="n">
        <v>1</v>
      </c>
      <c r="E308" s="6" t="inlineStr">
        <is>
          <t>R1884003</t>
        </is>
      </c>
      <c r="F308" s="67" t="n">
        <v>44891</v>
      </c>
      <c r="G308" s="68" t="n"/>
    </row>
    <row r="309">
      <c r="A309" s="6" t="n">
        <v>53206</v>
      </c>
      <c r="B309" s="6" t="inlineStr">
        <is>
          <t>PAUL MASSON GRANDE AMBER VSOP BRANDY</t>
        </is>
      </c>
      <c r="C309" s="7">
        <f>VLOOKUP(A309,SizeData!A$2:B$3839,2,FALSE)</f>
        <v/>
      </c>
      <c r="D309" s="6" t="n">
        <v>2</v>
      </c>
      <c r="E309" s="6" t="inlineStr">
        <is>
          <t>R1900430</t>
        </is>
      </c>
      <c r="F309" s="67" t="n">
        <v>44896</v>
      </c>
      <c r="G309" s="68" t="n"/>
    </row>
    <row r="310">
      <c r="A310" s="6" t="n">
        <v>53206</v>
      </c>
      <c r="B310" s="6" t="inlineStr">
        <is>
          <t>PAUL MASSON GRANDE AMBER VSOP BRANDY</t>
        </is>
      </c>
      <c r="C310" s="7">
        <f>VLOOKUP(A310,SizeData!A$2:B$3839,2,FALSE)</f>
        <v/>
      </c>
      <c r="D310" s="6" t="n">
        <v>6</v>
      </c>
      <c r="E310" s="6" t="inlineStr">
        <is>
          <t>R1890841</t>
        </is>
      </c>
      <c r="F310" s="67" t="n">
        <v>44898</v>
      </c>
      <c r="G310" s="68" t="n"/>
    </row>
    <row r="311">
      <c r="A311" s="6" t="n">
        <v>56196</v>
      </c>
      <c r="B311" s="6" t="inlineStr">
        <is>
          <t>PAUL MASSON PEACH GRAND AMBER BRANDY</t>
        </is>
      </c>
      <c r="C311" s="7">
        <f>VLOOKUP(A311,SizeData!A$2:B$3839,2,FALSE)</f>
        <v/>
      </c>
      <c r="D311" s="6" t="n">
        <v>4</v>
      </c>
      <c r="E311" s="6" t="inlineStr">
        <is>
          <t>R1883869</t>
        </is>
      </c>
      <c r="F311" s="67" t="n">
        <v>44896</v>
      </c>
      <c r="G311" s="68" t="n"/>
    </row>
    <row r="312">
      <c r="A312" s="6" t="n">
        <v>56798</v>
      </c>
      <c r="B312" s="6" t="inlineStr">
        <is>
          <t>PAUL MASSON PINEAPPLE GRAND AMBER BRANDY</t>
        </is>
      </c>
      <c r="C312" s="7">
        <f>VLOOKUP(A312,SizeData!A$2:B$3839,2,FALSE)</f>
        <v/>
      </c>
      <c r="D312" s="6" t="n">
        <v>1</v>
      </c>
      <c r="E312" s="6" t="inlineStr">
        <is>
          <t>R1900430</t>
        </is>
      </c>
      <c r="F312" s="67" t="n">
        <v>44896</v>
      </c>
      <c r="G312" s="68" t="n"/>
    </row>
    <row r="313">
      <c r="A313" s="6" t="n">
        <v>56798</v>
      </c>
      <c r="B313" s="6" t="inlineStr">
        <is>
          <t>PAUL MASSON PINEAPPLE GRAND AMBER BRANDY</t>
        </is>
      </c>
      <c r="C313" s="7">
        <f>VLOOKUP(A313,SizeData!A$2:B$3839,2,FALSE)</f>
        <v/>
      </c>
      <c r="D313" s="6" t="n">
        <v>2</v>
      </c>
      <c r="E313" s="6" t="inlineStr">
        <is>
          <t>R1890841</t>
        </is>
      </c>
      <c r="F313" s="67" t="n">
        <v>44898</v>
      </c>
      <c r="G313" s="68" t="n"/>
    </row>
    <row r="314">
      <c r="A314" s="6" t="n">
        <v>891002</v>
      </c>
      <c r="B314" s="6" t="inlineStr">
        <is>
          <t>PETER VELLA MOSCATO SANGRIA</t>
        </is>
      </c>
      <c r="C314" s="7">
        <f>VLOOKUP(A314,SizeData!A$2:B$3839,2,FALSE)</f>
        <v/>
      </c>
      <c r="D314" s="6" t="n">
        <v>1</v>
      </c>
      <c r="E314" s="6" t="inlineStr">
        <is>
          <t>R1884003</t>
        </is>
      </c>
      <c r="F314" s="67" t="n">
        <v>44891</v>
      </c>
      <c r="G314" s="68" t="n"/>
    </row>
    <row r="315">
      <c r="A315" s="6" t="n">
        <v>891004</v>
      </c>
      <c r="B315" s="6" t="inlineStr">
        <is>
          <t>PETER VELLA PINK MOSCATO SANGRIA</t>
        </is>
      </c>
      <c r="C315" s="7">
        <f>VLOOKUP(A315,SizeData!A$2:B$3839,2,FALSE)</f>
        <v/>
      </c>
      <c r="D315" s="6" t="n">
        <v>1</v>
      </c>
      <c r="E315" s="6" t="inlineStr">
        <is>
          <t>R1881344</t>
        </is>
      </c>
      <c r="F315" s="67" t="n">
        <v>44893</v>
      </c>
      <c r="G315" s="68" t="n"/>
    </row>
    <row r="316">
      <c r="A316" s="6" t="n">
        <v>891000</v>
      </c>
      <c r="B316" s="6" t="inlineStr">
        <is>
          <t>PETER VELLA SANGRIA</t>
        </is>
      </c>
      <c r="C316" s="7">
        <f>VLOOKUP(A316,SizeData!A$2:B$3839,2,FALSE)</f>
        <v/>
      </c>
      <c r="D316" s="6" t="n">
        <v>1</v>
      </c>
      <c r="E316" s="6" t="inlineStr">
        <is>
          <t>R1884003</t>
        </is>
      </c>
      <c r="F316" s="67" t="n">
        <v>44891</v>
      </c>
      <c r="G316" s="68" t="n"/>
    </row>
    <row r="317">
      <c r="A317" s="6" t="n">
        <v>35529</v>
      </c>
      <c r="B317" s="6" t="inlineStr">
        <is>
          <t>PINNACLE 100 PROOF VODKA</t>
        </is>
      </c>
      <c r="C317" s="7">
        <f>VLOOKUP(A317,SizeData!A$2:B$3839,2,FALSE)</f>
        <v/>
      </c>
      <c r="D317" s="6" t="n">
        <v>2</v>
      </c>
      <c r="E317" s="6" t="inlineStr">
        <is>
          <t>R1883576</t>
        </is>
      </c>
      <c r="F317" s="67" t="n">
        <v>44895</v>
      </c>
      <c r="G317" s="68" t="n"/>
    </row>
    <row r="318">
      <c r="A318" s="6" t="n">
        <v>35953</v>
      </c>
      <c r="B318" s="6" t="inlineStr">
        <is>
          <t>PINNACLE PINEAPPLE FLAVORED VODKA</t>
        </is>
      </c>
      <c r="C318" s="7">
        <f>VLOOKUP(A318,SizeData!A$2:B$3839,2,FALSE)</f>
        <v/>
      </c>
      <c r="D318" s="6" t="n">
        <v>2</v>
      </c>
      <c r="E318" s="6" t="inlineStr">
        <is>
          <t>R1891942</t>
        </is>
      </c>
      <c r="F318" s="67" t="n">
        <v>44898</v>
      </c>
      <c r="G318" s="68" t="n"/>
    </row>
    <row r="319">
      <c r="A319" s="6" t="n">
        <v>34579</v>
      </c>
      <c r="B319" s="6" t="inlineStr">
        <is>
          <t>PINNACLE VODKA</t>
        </is>
      </c>
      <c r="C319" s="7">
        <f>VLOOKUP(A319,SizeData!A$2:B$3839,2,FALSE)</f>
        <v/>
      </c>
      <c r="D319" s="6" t="n">
        <v>1</v>
      </c>
      <c r="E319" s="6" t="inlineStr">
        <is>
          <t>R1883576</t>
        </is>
      </c>
      <c r="F319" s="67" t="n">
        <v>44895</v>
      </c>
      <c r="G319" s="68" t="n"/>
    </row>
    <row r="320">
      <c r="A320" s="6" t="n">
        <v>24177</v>
      </c>
      <c r="B320" s="6" t="inlineStr">
        <is>
          <t>QUALITY HOUSE BLENDED WHISKEY</t>
        </is>
      </c>
      <c r="C320" s="7">
        <f>VLOOKUP(A320,SizeData!A$2:B$3839,2,FALSE)</f>
        <v/>
      </c>
      <c r="D320" s="6" t="n">
        <v>1</v>
      </c>
      <c r="E320" s="6" t="inlineStr">
        <is>
          <t>R1883604</t>
        </is>
      </c>
      <c r="F320" s="67" t="n">
        <v>44890</v>
      </c>
      <c r="G320" s="68" t="n"/>
    </row>
    <row r="321">
      <c r="A321" s="6" t="n">
        <v>24176</v>
      </c>
      <c r="B321" s="6" t="inlineStr">
        <is>
          <t>QUALITY HOUSE BLENDED WHISKEY</t>
        </is>
      </c>
      <c r="C321" s="7">
        <f>VLOOKUP(A321,SizeData!A$2:B$3839,2,FALSE)</f>
        <v/>
      </c>
      <c r="D321" s="6" t="n">
        <v>1</v>
      </c>
      <c r="E321" s="6" t="inlineStr">
        <is>
          <t>R1891249</t>
        </is>
      </c>
      <c r="F321" s="67" t="n">
        <v>44898</v>
      </c>
      <c r="G321" s="68" t="n"/>
    </row>
    <row r="322">
      <c r="A322" s="6" t="n">
        <v>24176</v>
      </c>
      <c r="B322" s="6" t="inlineStr">
        <is>
          <t>QUALITY HOUSE BLENDED WHISKEY</t>
        </is>
      </c>
      <c r="C322" s="7">
        <f>VLOOKUP(A322,SizeData!A$2:B$3839,2,FALSE)</f>
        <v/>
      </c>
      <c r="D322" s="6" t="n">
        <v>2</v>
      </c>
      <c r="E322" s="6" t="inlineStr">
        <is>
          <t>R1889915</t>
        </is>
      </c>
      <c r="F322" s="67" t="n">
        <v>44900</v>
      </c>
      <c r="G322" s="68" t="n"/>
    </row>
    <row r="323">
      <c r="A323" s="6" t="n">
        <v>24174</v>
      </c>
      <c r="B323" s="6" t="inlineStr">
        <is>
          <t>QUALITY HOUSE BLENDED WHISKEY</t>
        </is>
      </c>
      <c r="C323" s="7">
        <f>VLOOKUP(A323,SizeData!A$2:B$3839,2,FALSE)</f>
        <v/>
      </c>
      <c r="D323" s="6" t="n">
        <v>1</v>
      </c>
      <c r="E323" s="6" t="inlineStr">
        <is>
          <t>R1889915</t>
        </is>
      </c>
      <c r="F323" s="67" t="n">
        <v>44900</v>
      </c>
      <c r="G323" s="68" t="n"/>
    </row>
    <row r="324">
      <c r="A324" s="6" t="n">
        <v>37588</v>
      </c>
      <c r="B324" s="6" t="inlineStr">
        <is>
          <t>RAIN VODKA</t>
        </is>
      </c>
      <c r="C324" s="7">
        <f>VLOOKUP(A324,SizeData!A$2:B$3839,2,FALSE)</f>
        <v/>
      </c>
      <c r="D324" s="6" t="n">
        <v>5</v>
      </c>
      <c r="E324" s="6" t="inlineStr">
        <is>
          <t>R1873845</t>
        </is>
      </c>
      <c r="F324" s="67" t="n">
        <v>44888</v>
      </c>
      <c r="G324" s="68" t="n"/>
    </row>
    <row r="325">
      <c r="A325" s="6" t="n">
        <v>37586</v>
      </c>
      <c r="B325" s="6" t="inlineStr">
        <is>
          <t>RAIN VODKA</t>
        </is>
      </c>
      <c r="C325" s="7">
        <f>VLOOKUP(A325,SizeData!A$2:B$3839,2,FALSE)</f>
        <v/>
      </c>
      <c r="D325" s="6" t="n">
        <v>1</v>
      </c>
      <c r="E325" s="6" t="inlineStr">
        <is>
          <t>R1900430</t>
        </is>
      </c>
      <c r="F325" s="67" t="n">
        <v>44896</v>
      </c>
      <c r="G325" s="68" t="n"/>
    </row>
    <row r="326">
      <c r="A326" s="6" t="n">
        <v>892843</v>
      </c>
      <c r="B326" s="6" t="inlineStr">
        <is>
          <t>RANCHO LA GLORIA BLUEBERRY MARGARITA</t>
        </is>
      </c>
      <c r="C326" s="7">
        <f>VLOOKUP(A326,SizeData!A$2:B$3839,2,FALSE)</f>
        <v/>
      </c>
      <c r="D326" s="6" t="n">
        <v>2</v>
      </c>
      <c r="E326" s="6" t="inlineStr">
        <is>
          <t>R1864437</t>
        </is>
      </c>
      <c r="F326" s="67" t="n">
        <v>44887</v>
      </c>
      <c r="G326" s="68" t="n"/>
    </row>
    <row r="327">
      <c r="A327" s="6" t="n">
        <v>892843</v>
      </c>
      <c r="B327" s="6" t="inlineStr">
        <is>
          <t>RANCHO LA GLORIA BLUEBERRY MARGARITA</t>
        </is>
      </c>
      <c r="C327" s="7">
        <f>VLOOKUP(A327,SizeData!A$2:B$3839,2,FALSE)</f>
        <v/>
      </c>
      <c r="D327" s="6" t="n">
        <v>2</v>
      </c>
      <c r="E327" s="6" t="inlineStr">
        <is>
          <t>R1883604</t>
        </is>
      </c>
      <c r="F327" s="67" t="n">
        <v>44890</v>
      </c>
      <c r="G327" s="68" t="n"/>
    </row>
    <row r="328">
      <c r="A328" s="6" t="n">
        <v>892858</v>
      </c>
      <c r="B328" s="6" t="inlineStr">
        <is>
          <t>RANCHO LA GLORIA MANGO MARG WINE COCKTAIL</t>
        </is>
      </c>
      <c r="C328" s="7">
        <f>VLOOKUP(A328,SizeData!A$2:B$3839,2,FALSE)</f>
        <v/>
      </c>
      <c r="D328" s="6" t="n">
        <v>1</v>
      </c>
      <c r="E328" s="6" t="inlineStr">
        <is>
          <t>R1882735</t>
        </is>
      </c>
      <c r="F328" s="67" t="n">
        <v>44894</v>
      </c>
      <c r="G328" s="68" t="n"/>
    </row>
    <row r="329">
      <c r="A329" s="6" t="n">
        <v>892852</v>
      </c>
      <c r="B329" s="6" t="inlineStr">
        <is>
          <t>RANCHO LA GLORIA STRAWBERRY MARG</t>
        </is>
      </c>
      <c r="C329" s="7">
        <f>VLOOKUP(A329,SizeData!A$2:B$3839,2,FALSE)</f>
        <v/>
      </c>
      <c r="D329" s="6" t="n">
        <v>2</v>
      </c>
      <c r="E329" s="6" t="inlineStr">
        <is>
          <t>R1864437</t>
        </is>
      </c>
      <c r="F329" s="67" t="n">
        <v>44887</v>
      </c>
      <c r="G329" s="68" t="n"/>
    </row>
    <row r="330">
      <c r="A330" s="6" t="n">
        <v>21215</v>
      </c>
      <c r="B330" s="6" t="inlineStr">
        <is>
          <t>REBEL 100</t>
        </is>
      </c>
      <c r="C330" s="7">
        <f>VLOOKUP(A330,SizeData!A$2:B$3839,2,FALSE)</f>
        <v/>
      </c>
      <c r="D330" s="6" t="n">
        <v>1</v>
      </c>
      <c r="E330" s="6" t="inlineStr">
        <is>
          <t>R1900430</t>
        </is>
      </c>
      <c r="F330" s="67" t="n">
        <v>44896</v>
      </c>
      <c r="G330" s="68" t="n"/>
    </row>
    <row r="331">
      <c r="A331" s="6" t="n">
        <v>21215</v>
      </c>
      <c r="B331" s="6" t="inlineStr">
        <is>
          <t>REBEL 100</t>
        </is>
      </c>
      <c r="C331" s="7">
        <f>VLOOKUP(A331,SizeData!A$2:B$3839,2,FALSE)</f>
        <v/>
      </c>
      <c r="D331" s="6" t="n">
        <v>1</v>
      </c>
      <c r="E331" s="6" t="inlineStr">
        <is>
          <t>R1890841</t>
        </is>
      </c>
      <c r="F331" s="67" t="n">
        <v>44898</v>
      </c>
      <c r="G331" s="68" t="n"/>
    </row>
    <row r="332">
      <c r="A332" s="6" t="n">
        <v>49086</v>
      </c>
      <c r="B332" s="6" t="inlineStr">
        <is>
          <t>REMY MARTIN 1738 ACCORD ROYAL COGNAC</t>
        </is>
      </c>
      <c r="C332" s="7">
        <f>VLOOKUP(A332,SizeData!A$2:B$3839,2,FALSE)</f>
        <v/>
      </c>
      <c r="D332" s="6" t="n">
        <v>35</v>
      </c>
      <c r="E332" s="6" t="inlineStr">
        <is>
          <t>R1876848</t>
        </is>
      </c>
      <c r="F332" s="67" t="n">
        <v>44887</v>
      </c>
      <c r="G332" s="68" t="n"/>
    </row>
    <row r="333">
      <c r="A333" s="6" t="n">
        <v>49084</v>
      </c>
      <c r="B333" s="6" t="inlineStr">
        <is>
          <t>REMY MARTIN 1738 ACCORD ROYAL COGNAC</t>
        </is>
      </c>
      <c r="C333" s="7">
        <f>VLOOKUP(A333,SizeData!A$2:B$3839,2,FALSE)</f>
        <v/>
      </c>
      <c r="D333" s="6" t="n">
        <v>2</v>
      </c>
      <c r="E333" s="6" t="inlineStr">
        <is>
          <t>R1900430</t>
        </is>
      </c>
      <c r="F333" s="67" t="n">
        <v>44896</v>
      </c>
      <c r="G333" s="68" t="n"/>
    </row>
    <row r="334">
      <c r="A334" s="6" t="n">
        <v>49084</v>
      </c>
      <c r="B334" s="6" t="inlineStr">
        <is>
          <t>REMY MARTIN 1738 ACCORD ROYAL COGNAC</t>
        </is>
      </c>
      <c r="C334" s="7">
        <f>VLOOKUP(A334,SizeData!A$2:B$3839,2,FALSE)</f>
        <v/>
      </c>
      <c r="D334" s="6" t="n">
        <v>3</v>
      </c>
      <c r="E334" s="6" t="inlineStr">
        <is>
          <t>R1886884</t>
        </is>
      </c>
      <c r="F334" s="67" t="n">
        <v>44900</v>
      </c>
      <c r="G334" s="68" t="n"/>
    </row>
    <row r="335">
      <c r="A335" s="6" t="n">
        <v>49185</v>
      </c>
      <c r="B335" s="6" t="inlineStr">
        <is>
          <t>REMY MARTIN VSOP COGNAC (FLASK)</t>
        </is>
      </c>
      <c r="C335" s="7">
        <f>VLOOKUP(A335,SizeData!A$2:B$3839,2,FALSE)</f>
        <v/>
      </c>
      <c r="D335" s="6" t="n">
        <v>8</v>
      </c>
      <c r="E335" s="6" t="inlineStr">
        <is>
          <t>R1889205</t>
        </is>
      </c>
      <c r="F335" s="67" t="n">
        <v>44897</v>
      </c>
      <c r="G335" s="68" t="n"/>
    </row>
    <row r="336">
      <c r="A336" s="6" t="n">
        <v>49154</v>
      </c>
      <c r="B336" s="6" t="inlineStr">
        <is>
          <t>REMY MARTIN XO EXCELLENCE</t>
        </is>
      </c>
      <c r="C336" s="7">
        <f>VLOOKUP(A336,SizeData!A$2:B$3839,2,FALSE)</f>
        <v/>
      </c>
      <c r="D336" s="6" t="n">
        <v>1</v>
      </c>
      <c r="E336" s="6" t="inlineStr">
        <is>
          <t>R1876848</t>
        </is>
      </c>
      <c r="F336" s="67" t="n">
        <v>44887</v>
      </c>
      <c r="G336" s="68" t="n"/>
    </row>
    <row r="337">
      <c r="A337" s="6" t="n">
        <v>12872</v>
      </c>
      <c r="B337" s="6" t="inlineStr">
        <is>
          <t>RICH &amp; RARE PEACH</t>
        </is>
      </c>
      <c r="C337" s="7">
        <f>VLOOKUP(A337,SizeData!A$2:B$3839,2,FALSE)</f>
        <v/>
      </c>
      <c r="D337" s="6" t="n">
        <v>2</v>
      </c>
      <c r="E337" s="6" t="inlineStr">
        <is>
          <t>R1883869</t>
        </is>
      </c>
      <c r="F337" s="67" t="n">
        <v>44896</v>
      </c>
      <c r="G337" s="68" t="n"/>
    </row>
    <row r="338">
      <c r="A338" s="6" t="n">
        <v>97727</v>
      </c>
      <c r="B338" s="6" t="inlineStr">
        <is>
          <t>RICHARDS WILD ROSE RED</t>
        </is>
      </c>
      <c r="C338" s="7">
        <f>VLOOKUP(A338,SizeData!A$2:B$3839,2,FALSE)</f>
        <v/>
      </c>
      <c r="D338" s="6" t="n">
        <v>1</v>
      </c>
      <c r="E338" s="6" t="inlineStr">
        <is>
          <t>R1884003</t>
        </is>
      </c>
      <c r="F338" s="67" t="n">
        <v>44891</v>
      </c>
      <c r="G338" s="68" t="n"/>
    </row>
    <row r="339">
      <c r="A339" s="6" t="n">
        <v>97723</v>
      </c>
      <c r="B339" s="6" t="inlineStr">
        <is>
          <t>RICHARDS WILD ROSE RED</t>
        </is>
      </c>
      <c r="C339" s="7">
        <f>VLOOKUP(A339,SizeData!A$2:B$3839,2,FALSE)</f>
        <v/>
      </c>
      <c r="D339" s="6" t="n">
        <v>1</v>
      </c>
      <c r="E339" s="6" t="inlineStr">
        <is>
          <t>R1884003</t>
        </is>
      </c>
      <c r="F339" s="67" t="n">
        <v>44891</v>
      </c>
      <c r="G339" s="68" t="n"/>
    </row>
    <row r="340">
      <c r="A340" s="6" t="n">
        <v>97726</v>
      </c>
      <c r="B340" s="6" t="inlineStr">
        <is>
          <t>RICHARDS WILD ROSE RED</t>
        </is>
      </c>
      <c r="C340" s="7">
        <f>VLOOKUP(A340,SizeData!A$2:B$3839,2,FALSE)</f>
        <v/>
      </c>
      <c r="D340" s="6" t="n">
        <v>1</v>
      </c>
      <c r="E340" s="6" t="inlineStr">
        <is>
          <t>R1884003</t>
        </is>
      </c>
      <c r="F340" s="67" t="n">
        <v>44891</v>
      </c>
      <c r="G340" s="68" t="n"/>
    </row>
    <row r="341">
      <c r="A341" s="6" t="n">
        <v>97722</v>
      </c>
      <c r="B341" s="6" t="inlineStr">
        <is>
          <t>RICHARDS WILD ROSE RED</t>
        </is>
      </c>
      <c r="C341" s="7">
        <f>VLOOKUP(A341,SizeData!A$2:B$3839,2,FALSE)</f>
        <v/>
      </c>
      <c r="D341" s="6" t="n">
        <v>1</v>
      </c>
      <c r="E341" s="6" t="inlineStr">
        <is>
          <t>R1884564</t>
        </is>
      </c>
      <c r="F341" s="67" t="n">
        <v>44900</v>
      </c>
      <c r="G341" s="68" t="n"/>
    </row>
    <row r="342">
      <c r="A342" s="6" t="n">
        <v>379260</v>
      </c>
      <c r="B342" s="6" t="inlineStr">
        <is>
          <t>ROSATO GOLD ROSSO DULCE SWEET RED</t>
        </is>
      </c>
      <c r="C342" s="7">
        <f>VLOOKUP(A342,SizeData!A$2:B$3839,2,FALSE)</f>
        <v/>
      </c>
      <c r="D342" s="6" t="n">
        <v>3</v>
      </c>
      <c r="E342" s="6" t="inlineStr">
        <is>
          <t>R1881344</t>
        </is>
      </c>
      <c r="F342" s="67" t="n">
        <v>44893</v>
      </c>
      <c r="G342" s="68" t="n"/>
    </row>
    <row r="343">
      <c r="A343" s="6" t="n">
        <v>80458</v>
      </c>
      <c r="B343" s="6" t="inlineStr">
        <is>
          <t>RYAN'S ORIGINAL CREME</t>
        </is>
      </c>
      <c r="C343" s="7">
        <f>VLOOKUP(A343,SizeData!A$2:B$3839,2,FALSE)</f>
        <v/>
      </c>
      <c r="D343" s="6" t="n">
        <v>1</v>
      </c>
      <c r="E343" s="6" t="inlineStr">
        <is>
          <t>R1883604</t>
        </is>
      </c>
      <c r="F343" s="67" t="n">
        <v>44890</v>
      </c>
      <c r="G343" s="68" t="n"/>
    </row>
    <row r="344">
      <c r="A344" s="6" t="n">
        <v>80458</v>
      </c>
      <c r="B344" s="6" t="inlineStr">
        <is>
          <t>RYAN'S ORIGINAL CREME</t>
        </is>
      </c>
      <c r="C344" s="7">
        <f>VLOOKUP(A344,SizeData!A$2:B$3839,2,FALSE)</f>
        <v/>
      </c>
      <c r="D344" s="6" t="n">
        <v>1</v>
      </c>
      <c r="E344" s="6" t="inlineStr">
        <is>
          <t>R1900430</t>
        </is>
      </c>
      <c r="F344" s="67" t="n">
        <v>44896</v>
      </c>
      <c r="G344" s="68" t="n"/>
    </row>
    <row r="345">
      <c r="A345" s="6" t="n">
        <v>49374</v>
      </c>
      <c r="B345" s="6" t="inlineStr">
        <is>
          <t>SALIGNAC V S</t>
        </is>
      </c>
      <c r="C345" s="7">
        <f>VLOOKUP(A345,SizeData!A$2:B$3839,2,FALSE)</f>
        <v/>
      </c>
      <c r="D345" s="6" t="n">
        <v>2</v>
      </c>
      <c r="E345" s="6" t="inlineStr">
        <is>
          <t>R1900430</t>
        </is>
      </c>
      <c r="F345" s="67" t="n">
        <v>44896</v>
      </c>
      <c r="G345" s="68" t="n"/>
    </row>
    <row r="346">
      <c r="A346" s="6" t="n">
        <v>49373</v>
      </c>
      <c r="B346" s="6" t="inlineStr">
        <is>
          <t>SALIGNAC V S</t>
        </is>
      </c>
      <c r="C346" s="7">
        <f>VLOOKUP(A346,SizeData!A$2:B$3839,2,FALSE)</f>
        <v/>
      </c>
      <c r="D346" s="6" t="n">
        <v>2</v>
      </c>
      <c r="E346" s="6" t="inlineStr">
        <is>
          <t>R1886884</t>
        </is>
      </c>
      <c r="F346" s="67" t="n">
        <v>44900</v>
      </c>
      <c r="G346" s="68" t="n"/>
    </row>
    <row r="347">
      <c r="A347" s="6" t="n">
        <v>503850</v>
      </c>
      <c r="B347" s="6" t="inlineStr">
        <is>
          <t>SALT OF THE EARTH MOSCATO RUBINO</t>
        </is>
      </c>
      <c r="C347" s="7">
        <f>VLOOKUP(A347,SizeData!A$2:B$3839,2,FALSE)</f>
        <v/>
      </c>
      <c r="D347" s="6" t="n">
        <v>10</v>
      </c>
      <c r="E347" s="6" t="inlineStr">
        <is>
          <t>R1896508</t>
        </is>
      </c>
      <c r="F347" s="67" t="n">
        <v>44895</v>
      </c>
      <c r="G347" s="68" t="n"/>
    </row>
    <row r="348">
      <c r="A348" s="6" t="n">
        <v>504640</v>
      </c>
      <c r="B348" s="6" t="inlineStr">
        <is>
          <t>SAN ANTONIO CARDINALE</t>
        </is>
      </c>
      <c r="C348" s="7">
        <f>VLOOKUP(A348,SizeData!A$2:B$3839,2,FALSE)</f>
        <v/>
      </c>
      <c r="D348" s="6" t="n">
        <v>1</v>
      </c>
      <c r="E348" s="6" t="inlineStr">
        <is>
          <t>R1889915</t>
        </is>
      </c>
      <c r="F348" s="67" t="n">
        <v>44900</v>
      </c>
      <c r="G348" s="68" t="n"/>
    </row>
    <row r="349">
      <c r="A349" s="6" t="n">
        <v>382000</v>
      </c>
      <c r="B349" s="6" t="inlineStr">
        <is>
          <t>SANTA MARGHERITA PINOT GRIGIO</t>
        </is>
      </c>
      <c r="C349" s="7">
        <f>VLOOKUP(A349,SizeData!A$2:B$3839,2,FALSE)</f>
        <v/>
      </c>
      <c r="D349" s="6" t="n">
        <v>1</v>
      </c>
      <c r="E349" s="6" t="inlineStr">
        <is>
          <t>R1896442</t>
        </is>
      </c>
      <c r="F349" s="67" t="n">
        <v>44897</v>
      </c>
      <c r="G349" s="68" t="n"/>
    </row>
    <row r="350">
      <c r="A350" s="6" t="n">
        <v>89846</v>
      </c>
      <c r="B350" s="6" t="inlineStr">
        <is>
          <t>SAUZA TRES GENERACIONES ANEJO GOLD TEQUILA</t>
        </is>
      </c>
      <c r="C350" s="7">
        <f>VLOOKUP(A350,SizeData!A$2:B$3839,2,FALSE)</f>
        <v/>
      </c>
      <c r="D350" s="6" t="n">
        <v>1</v>
      </c>
      <c r="E350" s="6" t="inlineStr">
        <is>
          <t>R1883576</t>
        </is>
      </c>
      <c r="F350" s="67" t="n">
        <v>44895</v>
      </c>
      <c r="G350" s="68" t="n"/>
    </row>
    <row r="351">
      <c r="A351" s="6" t="n">
        <v>10006</v>
      </c>
      <c r="B351" s="6" t="inlineStr">
        <is>
          <t>SCORESBY RARE</t>
        </is>
      </c>
      <c r="C351" s="7">
        <f>VLOOKUP(A351,SizeData!A$2:B$3839,2,FALSE)</f>
        <v/>
      </c>
      <c r="D351" s="6" t="n">
        <v>1</v>
      </c>
      <c r="E351" s="6" t="inlineStr">
        <is>
          <t>R1900430</t>
        </is>
      </c>
      <c r="F351" s="67" t="n">
        <v>44896</v>
      </c>
      <c r="G351" s="68" t="n"/>
    </row>
    <row r="352">
      <c r="A352" s="6" t="n">
        <v>12308</v>
      </c>
      <c r="B352" s="6" t="inlineStr">
        <is>
          <t>SEAGRAM'S CANADIAN HUNTER</t>
        </is>
      </c>
      <c r="C352" s="7">
        <f>VLOOKUP(A352,SizeData!A$2:B$3839,2,FALSE)</f>
        <v/>
      </c>
      <c r="D352" s="6" t="n">
        <v>1</v>
      </c>
      <c r="E352" s="6" t="inlineStr">
        <is>
          <t>R1882727</t>
        </is>
      </c>
      <c r="F352" s="67" t="n">
        <v>44894</v>
      </c>
      <c r="G352" s="68" t="n"/>
    </row>
    <row r="353">
      <c r="A353" s="6" t="n">
        <v>32216</v>
      </c>
      <c r="B353" s="6" t="inlineStr">
        <is>
          <t>SEAGRAM'S DISTILLER'S RESERVE 94 GIN</t>
        </is>
      </c>
      <c r="C353" s="7">
        <f>VLOOKUP(A353,SizeData!A$2:B$3839,2,FALSE)</f>
        <v/>
      </c>
      <c r="D353" s="6" t="n">
        <v>1</v>
      </c>
      <c r="E353" s="6" t="inlineStr">
        <is>
          <t>R1884564</t>
        </is>
      </c>
      <c r="F353" s="67" t="n">
        <v>44900</v>
      </c>
      <c r="G353" s="68" t="n"/>
    </row>
    <row r="354">
      <c r="A354" s="6" t="n">
        <v>37886</v>
      </c>
      <c r="B354" s="6" t="inlineStr">
        <is>
          <t>SEAGRAM'S EXTRA SMOOTH VODKA</t>
        </is>
      </c>
      <c r="C354" s="7">
        <f>VLOOKUP(A354,SizeData!A$2:B$3839,2,FALSE)</f>
        <v/>
      </c>
      <c r="D354" s="6" t="n">
        <v>2</v>
      </c>
      <c r="E354" s="6" t="inlineStr">
        <is>
          <t>R1883576</t>
        </is>
      </c>
      <c r="F354" s="67" t="n">
        <v>44895</v>
      </c>
      <c r="G354" s="68" t="n"/>
    </row>
    <row r="355">
      <c r="A355" s="6" t="n">
        <v>37889</v>
      </c>
      <c r="B355" s="6" t="inlineStr">
        <is>
          <t>SEAGRAM'S EXTRA SMOOTH VODKA</t>
        </is>
      </c>
      <c r="C355" s="7">
        <f>VLOOKUP(A355,SizeData!A$2:B$3839,2,FALSE)</f>
        <v/>
      </c>
      <c r="D355" s="6" t="n">
        <v>1</v>
      </c>
      <c r="E355" s="6" t="inlineStr">
        <is>
          <t>R1883576</t>
        </is>
      </c>
      <c r="F355" s="67" t="n">
        <v>44895</v>
      </c>
      <c r="G355" s="68" t="n"/>
    </row>
    <row r="356">
      <c r="A356" s="6" t="n">
        <v>33286</v>
      </c>
      <c r="B356" s="6" t="inlineStr">
        <is>
          <t>SEAGRAM'S PEACH TWISTED GIN</t>
        </is>
      </c>
      <c r="C356" s="7">
        <f>VLOOKUP(A356,SizeData!A$2:B$3839,2,FALSE)</f>
        <v/>
      </c>
      <c r="D356" s="6" t="n">
        <v>1</v>
      </c>
      <c r="E356" s="6" t="inlineStr">
        <is>
          <t>R1886884</t>
        </is>
      </c>
      <c r="F356" s="67" t="n">
        <v>44900</v>
      </c>
      <c r="G356" s="68" t="n"/>
    </row>
    <row r="357">
      <c r="A357" s="6" t="n">
        <v>38008</v>
      </c>
      <c r="B357" s="6" t="inlineStr">
        <is>
          <t>SMIRNOFF 80 PROOF VODKA (PET)</t>
        </is>
      </c>
      <c r="C357" s="7">
        <f>VLOOKUP(A357,SizeData!A$2:B$3839,2,FALSE)</f>
        <v/>
      </c>
      <c r="D357" s="6" t="n">
        <v>5</v>
      </c>
      <c r="E357" s="6" t="inlineStr">
        <is>
          <t>R1864437</t>
        </is>
      </c>
      <c r="F357" s="67" t="n">
        <v>44887</v>
      </c>
      <c r="G357" s="68" t="n"/>
    </row>
    <row r="358">
      <c r="A358" s="6" t="n">
        <v>77674</v>
      </c>
      <c r="B358" s="6" t="inlineStr">
        <is>
          <t>SMIRNOFF GREEN APPLE FLAVORED VODKA (DSS)</t>
        </is>
      </c>
      <c r="C358" s="7">
        <f>VLOOKUP(A358,SizeData!A$2:B$3839,2,FALSE)</f>
        <v/>
      </c>
      <c r="D358" s="6" t="n">
        <v>1</v>
      </c>
      <c r="E358" s="6" t="inlineStr">
        <is>
          <t>R1900430</t>
        </is>
      </c>
      <c r="F358" s="67" t="n">
        <v>44896</v>
      </c>
      <c r="G358" s="68" t="n"/>
    </row>
    <row r="359">
      <c r="A359" s="6" t="n">
        <v>35213</v>
      </c>
      <c r="B359" s="6" t="inlineStr">
        <is>
          <t>SOBIESKI POLISH VODKA</t>
        </is>
      </c>
      <c r="C359" s="7">
        <f>VLOOKUP(A359,SizeData!A$2:B$3839,2,FALSE)</f>
        <v/>
      </c>
      <c r="D359" s="6" t="n">
        <v>1</v>
      </c>
      <c r="E359" s="6" t="inlineStr">
        <is>
          <t>R1900430</t>
        </is>
      </c>
      <c r="F359" s="67" t="n">
        <v>44896</v>
      </c>
      <c r="G359" s="68" t="n"/>
    </row>
    <row r="360">
      <c r="A360" s="6" t="n">
        <v>381956</v>
      </c>
      <c r="B360" s="6" t="inlineStr">
        <is>
          <t>SONOROSO ROSSO DOLCE</t>
        </is>
      </c>
      <c r="C360" s="7">
        <f>VLOOKUP(A360,SizeData!A$2:B$3839,2,FALSE)</f>
        <v/>
      </c>
      <c r="D360" s="6" t="n">
        <v>1</v>
      </c>
      <c r="E360" s="6" t="inlineStr">
        <is>
          <t>R1900430</t>
        </is>
      </c>
      <c r="F360" s="67" t="n">
        <v>44896</v>
      </c>
      <c r="G360" s="68" t="n"/>
    </row>
    <row r="361">
      <c r="A361" s="6" t="n">
        <v>734278</v>
      </c>
      <c r="B361" s="6" t="inlineStr">
        <is>
          <t>STELLA ROSA ROSSO LUX</t>
        </is>
      </c>
      <c r="C361" s="7">
        <f>VLOOKUP(A361,SizeData!A$2:B$3839,2,FALSE)</f>
        <v/>
      </c>
      <c r="D361" s="6" t="n">
        <v>1</v>
      </c>
      <c r="E361" s="6" t="inlineStr">
        <is>
          <t>R1900430</t>
        </is>
      </c>
      <c r="F361" s="67" t="n">
        <v>44896</v>
      </c>
      <c r="G361" s="68" t="n"/>
    </row>
    <row r="362">
      <c r="A362" s="6" t="n">
        <v>77420</v>
      </c>
      <c r="B362" s="6" t="inlineStr">
        <is>
          <t>STINKY GRINGO MARGARITA RTD</t>
        </is>
      </c>
      <c r="C362" s="7">
        <f>VLOOKUP(A362,SizeData!A$2:B$3839,2,FALSE)</f>
        <v/>
      </c>
      <c r="D362" s="6" t="n">
        <v>1</v>
      </c>
      <c r="E362" s="6" t="inlineStr">
        <is>
          <t>R1883604</t>
        </is>
      </c>
      <c r="F362" s="67" t="n">
        <v>44890</v>
      </c>
      <c r="G362" s="68" t="n"/>
    </row>
    <row r="363">
      <c r="A363" s="6" t="n">
        <v>77420</v>
      </c>
      <c r="B363" s="6" t="inlineStr">
        <is>
          <t>STINKY GRINGO MARGARITA RTD</t>
        </is>
      </c>
      <c r="C363" s="7">
        <f>VLOOKUP(A363,SizeData!A$2:B$3839,2,FALSE)</f>
        <v/>
      </c>
      <c r="D363" s="6" t="n">
        <v>1</v>
      </c>
      <c r="E363" s="6" t="inlineStr">
        <is>
          <t>R1889915</t>
        </is>
      </c>
      <c r="F363" s="67" t="n">
        <v>44900</v>
      </c>
      <c r="G363" s="68" t="n"/>
    </row>
    <row r="364">
      <c r="A364" s="6" t="n">
        <v>37063</v>
      </c>
      <c r="B364" s="6" t="inlineStr">
        <is>
          <t>STOLI ELIT ULTRA PREMIUM VODKA</t>
        </is>
      </c>
      <c r="C364" s="7">
        <f>VLOOKUP(A364,SizeData!A$2:B$3839,2,FALSE)</f>
        <v/>
      </c>
      <c r="D364" s="6" t="n">
        <v>3</v>
      </c>
      <c r="E364" s="6" t="inlineStr">
        <is>
          <t>R1900430</t>
        </is>
      </c>
      <c r="F364" s="67" t="n">
        <v>44896</v>
      </c>
      <c r="G364" s="68" t="n"/>
    </row>
    <row r="365">
      <c r="A365" s="6" t="n">
        <v>37063</v>
      </c>
      <c r="B365" s="6" t="inlineStr">
        <is>
          <t>STOLI ELIT ULTRA PREMIUM VODKA</t>
        </is>
      </c>
      <c r="C365" s="7">
        <f>VLOOKUP(A365,SizeData!A$2:B$3839,2,FALSE)</f>
        <v/>
      </c>
      <c r="D365" s="6" t="n">
        <v>3</v>
      </c>
      <c r="E365" s="6" t="inlineStr">
        <is>
          <t>R1884668</t>
        </is>
      </c>
      <c r="F365" s="67" t="n">
        <v>44898</v>
      </c>
      <c r="G365" s="68" t="n"/>
    </row>
    <row r="366">
      <c r="A366" s="6" t="n">
        <v>78107</v>
      </c>
      <c r="B366" s="6" t="inlineStr">
        <is>
          <t>SUGARLANDS APP BANANA PUDDING SIPPIN' CREAM</t>
        </is>
      </c>
      <c r="C366" s="7">
        <f>VLOOKUP(A366,SizeData!A$2:B$3839,2,FALSE)</f>
        <v/>
      </c>
      <c r="D366" s="6" t="n">
        <v>3</v>
      </c>
      <c r="E366" s="6" t="inlineStr">
        <is>
          <t>R1864437</t>
        </is>
      </c>
      <c r="F366" s="67" t="n">
        <v>44887</v>
      </c>
      <c r="G366" s="68" t="n"/>
    </row>
    <row r="367">
      <c r="A367" s="6" t="n">
        <v>80520</v>
      </c>
      <c r="B367" s="6" t="inlineStr">
        <is>
          <t>SUGARLANDS SHINE DK CHOCOLATE COFFEE SIPPIN CREAM</t>
        </is>
      </c>
      <c r="C367" s="7">
        <f>VLOOKUP(A367,SizeData!A$2:B$3839,2,FALSE)</f>
        <v/>
      </c>
      <c r="D367" s="6" t="n">
        <v>1</v>
      </c>
      <c r="E367" s="6" t="inlineStr">
        <is>
          <t>R1889915</t>
        </is>
      </c>
      <c r="F367" s="67" t="n">
        <v>44900</v>
      </c>
      <c r="G367" s="68" t="n"/>
    </row>
    <row r="368">
      <c r="A368" s="6" t="n">
        <v>630815</v>
      </c>
      <c r="B368" s="6" t="inlineStr">
        <is>
          <t>SUTTER HOME CHARDONNAY</t>
        </is>
      </c>
      <c r="C368" s="7">
        <f>VLOOKUP(A368,SizeData!A$2:B$3839,2,FALSE)</f>
        <v/>
      </c>
      <c r="D368" s="6" t="n">
        <v>3</v>
      </c>
      <c r="E368" s="6" t="inlineStr">
        <is>
          <t>R1883869</t>
        </is>
      </c>
      <c r="F368" s="67" t="n">
        <v>44896</v>
      </c>
      <c r="G368" s="68" t="n"/>
    </row>
    <row r="369">
      <c r="A369" s="6" t="n">
        <v>513505</v>
      </c>
      <c r="B369" s="6" t="inlineStr">
        <is>
          <t>SUTTER HOME MERLOT</t>
        </is>
      </c>
      <c r="C369" s="7">
        <f>VLOOKUP(A369,SizeData!A$2:B$3839,2,FALSE)</f>
        <v/>
      </c>
      <c r="D369" s="6" t="n">
        <v>2</v>
      </c>
      <c r="E369" s="6" t="inlineStr">
        <is>
          <t>R1900430</t>
        </is>
      </c>
      <c r="F369" s="67" t="n">
        <v>44896</v>
      </c>
      <c r="G369" s="68" t="n"/>
    </row>
    <row r="370">
      <c r="A370" s="6" t="n">
        <v>425542</v>
      </c>
      <c r="B370" s="6" t="inlineStr">
        <is>
          <t>SUTTER HOME MOSCATO</t>
        </is>
      </c>
      <c r="C370" s="7">
        <f>VLOOKUP(A370,SizeData!A$2:B$3839,2,FALSE)</f>
        <v/>
      </c>
      <c r="D370" s="6" t="n">
        <v>2</v>
      </c>
      <c r="E370" s="6" t="inlineStr">
        <is>
          <t>R1900430</t>
        </is>
      </c>
      <c r="F370" s="67" t="n">
        <v>44896</v>
      </c>
      <c r="G370" s="68" t="n"/>
    </row>
    <row r="371">
      <c r="A371" s="6" t="n">
        <v>683325</v>
      </c>
      <c r="B371" s="6" t="inlineStr">
        <is>
          <t>SUTTER HOME PINK MOSCATO CALIFORNIA</t>
        </is>
      </c>
      <c r="C371" s="7">
        <f>VLOOKUP(A371,SizeData!A$2:B$3839,2,FALSE)</f>
        <v/>
      </c>
      <c r="D371" s="6" t="n">
        <v>3</v>
      </c>
      <c r="E371" s="6" t="inlineStr">
        <is>
          <t>R1882093</t>
        </is>
      </c>
      <c r="F371" s="67" t="n">
        <v>44894</v>
      </c>
      <c r="G371" s="68" t="n"/>
    </row>
    <row r="372">
      <c r="A372" s="6" t="n">
        <v>683326</v>
      </c>
      <c r="B372" s="6" t="inlineStr">
        <is>
          <t>SUTTER HOME PINK MOSCATO CALIFORNIA</t>
        </is>
      </c>
      <c r="C372" s="7">
        <f>VLOOKUP(A372,SizeData!A$2:B$3839,2,FALSE)</f>
        <v/>
      </c>
      <c r="D372" s="6" t="n">
        <v>2</v>
      </c>
      <c r="E372" s="6" t="inlineStr">
        <is>
          <t>R1900430</t>
        </is>
      </c>
      <c r="F372" s="67" t="n">
        <v>44896</v>
      </c>
      <c r="G372" s="68" t="n"/>
    </row>
    <row r="373">
      <c r="A373" s="6" t="n">
        <v>683326</v>
      </c>
      <c r="B373" s="6" t="inlineStr">
        <is>
          <t>SUTTER HOME PINK MOSCATO CALIFORNIA</t>
        </is>
      </c>
      <c r="C373" s="7">
        <f>VLOOKUP(A373,SizeData!A$2:B$3839,2,FALSE)</f>
        <v/>
      </c>
      <c r="D373" s="6" t="n">
        <v>4</v>
      </c>
      <c r="E373" s="6" t="inlineStr">
        <is>
          <t>R1892170</t>
        </is>
      </c>
      <c r="F373" s="67" t="n">
        <v>44902</v>
      </c>
      <c r="G373" s="68" t="n"/>
    </row>
    <row r="374">
      <c r="A374" s="6" t="n">
        <v>513365</v>
      </c>
      <c r="B374" s="6" t="inlineStr">
        <is>
          <t>SUTTER HOME SWEET RED</t>
        </is>
      </c>
      <c r="C374" s="7">
        <f>VLOOKUP(A374,SizeData!A$2:B$3839,2,FALSE)</f>
        <v/>
      </c>
      <c r="D374" s="6" t="n">
        <v>3</v>
      </c>
      <c r="E374" s="6" t="inlineStr">
        <is>
          <t>R1864437</t>
        </is>
      </c>
      <c r="F374" s="67" t="n">
        <v>44887</v>
      </c>
      <c r="G374" s="68" t="n"/>
    </row>
    <row r="375">
      <c r="A375" s="6" t="n">
        <v>513365</v>
      </c>
      <c r="B375" s="6" t="inlineStr">
        <is>
          <t>SUTTER HOME SWEET RED</t>
        </is>
      </c>
      <c r="C375" s="7">
        <f>VLOOKUP(A375,SizeData!A$2:B$3839,2,FALSE)</f>
        <v/>
      </c>
      <c r="D375" s="6" t="n">
        <v>8</v>
      </c>
      <c r="E375" s="6" t="inlineStr">
        <is>
          <t>R1905638</t>
        </is>
      </c>
      <c r="F375" s="67" t="n">
        <v>44902</v>
      </c>
      <c r="G375" s="68" t="n"/>
    </row>
    <row r="376">
      <c r="A376" s="6" t="n">
        <v>683345</v>
      </c>
      <c r="B376" s="6" t="inlineStr">
        <is>
          <t>SUTTER HOME WHITE MERLOT</t>
        </is>
      </c>
      <c r="C376" s="7">
        <f>VLOOKUP(A376,SizeData!A$2:B$3839,2,FALSE)</f>
        <v/>
      </c>
      <c r="D376" s="6" t="n">
        <v>2</v>
      </c>
      <c r="E376" s="6" t="inlineStr">
        <is>
          <t>R1900430</t>
        </is>
      </c>
      <c r="F376" s="67" t="n">
        <v>44896</v>
      </c>
      <c r="G376" s="68" t="n"/>
    </row>
    <row r="377">
      <c r="A377" s="6" t="n">
        <v>683345</v>
      </c>
      <c r="B377" s="6" t="inlineStr">
        <is>
          <t>SUTTER HOME WHITE MERLOT</t>
        </is>
      </c>
      <c r="C377" s="7">
        <f>VLOOKUP(A377,SizeData!A$2:B$3839,2,FALSE)</f>
        <v/>
      </c>
      <c r="D377" s="6" t="n">
        <v>2</v>
      </c>
      <c r="E377" s="6" t="inlineStr">
        <is>
          <t>R1905638</t>
        </is>
      </c>
      <c r="F377" s="67" t="n">
        <v>44902</v>
      </c>
      <c r="G377" s="68" t="n"/>
    </row>
    <row r="378">
      <c r="A378" s="6" t="n">
        <v>683364</v>
      </c>
      <c r="B378" s="6" t="inlineStr">
        <is>
          <t>SUTTER HOME WHITE ZINFANDEL PET</t>
        </is>
      </c>
      <c r="C378" s="7">
        <f>VLOOKUP(A378,SizeData!A$2:B$3839,2,FALSE)</f>
        <v/>
      </c>
      <c r="D378" s="6" t="n">
        <v>1</v>
      </c>
      <c r="E378" s="6" t="inlineStr">
        <is>
          <t>R1884003</t>
        </is>
      </c>
      <c r="F378" s="67" t="n">
        <v>44891</v>
      </c>
      <c r="G378" s="68" t="n"/>
    </row>
    <row r="379">
      <c r="A379" s="6" t="n">
        <v>40494</v>
      </c>
      <c r="B379" s="6" t="inlineStr">
        <is>
          <t>TAAKA PEACH VODKA LTO</t>
        </is>
      </c>
      <c r="C379" s="7">
        <f>VLOOKUP(A379,SizeData!A$2:B$3839,2,FALSE)</f>
        <v/>
      </c>
      <c r="D379" s="6" t="n">
        <v>2</v>
      </c>
      <c r="E379" s="6" t="inlineStr">
        <is>
          <t>R1883604</t>
        </is>
      </c>
      <c r="F379" s="67" t="n">
        <v>44890</v>
      </c>
      <c r="G379" s="68" t="n"/>
    </row>
    <row r="380">
      <c r="A380" s="6" t="n">
        <v>40042</v>
      </c>
      <c r="B380" s="6" t="inlineStr">
        <is>
          <t>TAAKA PINEAPPLE FLAVORED VODKA LTO</t>
        </is>
      </c>
      <c r="C380" s="7">
        <f>VLOOKUP(A380,SizeData!A$2:B$3839,2,FALSE)</f>
        <v/>
      </c>
      <c r="D380" s="6" t="n">
        <v>1</v>
      </c>
      <c r="E380" s="6" t="inlineStr">
        <is>
          <t>R1883604</t>
        </is>
      </c>
      <c r="F380" s="67" t="n">
        <v>44890</v>
      </c>
      <c r="G380" s="68" t="n"/>
    </row>
    <row r="381">
      <c r="A381" s="6" t="n">
        <v>42112</v>
      </c>
      <c r="B381" s="6" t="inlineStr">
        <is>
          <t>TAAKA PINK LEMONADE VODKA LTO</t>
        </is>
      </c>
      <c r="C381" s="7">
        <f>VLOOKUP(A381,SizeData!A$2:B$3839,2,FALSE)</f>
        <v/>
      </c>
      <c r="D381" s="6" t="n">
        <v>1</v>
      </c>
      <c r="E381" s="6" t="inlineStr">
        <is>
          <t>R1883604</t>
        </is>
      </c>
      <c r="F381" s="67" t="n">
        <v>44890</v>
      </c>
      <c r="G381" s="68" t="n"/>
    </row>
    <row r="382">
      <c r="A382" s="6" t="n">
        <v>38063</v>
      </c>
      <c r="B382" s="6" t="inlineStr">
        <is>
          <t>TAAKA VODKA 80</t>
        </is>
      </c>
      <c r="C382" s="7">
        <f>VLOOKUP(A382,SizeData!A$2:B$3839,2,FALSE)</f>
        <v/>
      </c>
      <c r="D382" s="6" t="n">
        <v>15</v>
      </c>
      <c r="E382" s="6" t="inlineStr">
        <is>
          <t>R1895561</t>
        </is>
      </c>
      <c r="F382" s="67" t="n">
        <v>44896</v>
      </c>
      <c r="G382" s="68" t="n"/>
    </row>
    <row r="383">
      <c r="A383" s="6" t="n">
        <v>38063</v>
      </c>
      <c r="B383" s="6" t="inlineStr">
        <is>
          <t>TAAKA VODKA 80</t>
        </is>
      </c>
      <c r="C383" s="7">
        <f>VLOOKUP(A383,SizeData!A$2:B$3839,2,FALSE)</f>
        <v/>
      </c>
      <c r="D383" s="6" t="n">
        <v>10</v>
      </c>
      <c r="E383" s="6" t="inlineStr">
        <is>
          <t>R1900430</t>
        </is>
      </c>
      <c r="F383" s="67" t="n">
        <v>44896</v>
      </c>
      <c r="G383" s="68" t="n"/>
    </row>
    <row r="384">
      <c r="A384" s="6" t="n">
        <v>38067</v>
      </c>
      <c r="B384" s="6" t="inlineStr">
        <is>
          <t>TAAKA VODKA 80</t>
        </is>
      </c>
      <c r="C384" s="7">
        <f>VLOOKUP(A384,SizeData!A$2:B$3839,2,FALSE)</f>
        <v/>
      </c>
      <c r="D384" s="6" t="n">
        <v>2</v>
      </c>
      <c r="E384" s="6" t="inlineStr">
        <is>
          <t>R1900430</t>
        </is>
      </c>
      <c r="F384" s="67" t="n">
        <v>44896</v>
      </c>
      <c r="G384" s="68" t="n"/>
    </row>
    <row r="385">
      <c r="A385" s="6" t="n">
        <v>38067</v>
      </c>
      <c r="B385" s="6" t="inlineStr">
        <is>
          <t>TAAKA VODKA 80</t>
        </is>
      </c>
      <c r="C385" s="7">
        <f>VLOOKUP(A385,SizeData!A$2:B$3839,2,FALSE)</f>
        <v/>
      </c>
      <c r="D385" s="6" t="n">
        <v>12</v>
      </c>
      <c r="E385" s="6" t="inlineStr">
        <is>
          <t>R1890841</t>
        </is>
      </c>
      <c r="F385" s="67" t="n">
        <v>44898</v>
      </c>
      <c r="G385" s="68" t="n"/>
    </row>
    <row r="386">
      <c r="A386" s="6" t="n">
        <v>38076</v>
      </c>
      <c r="B386" s="6" t="inlineStr">
        <is>
          <t>TAAKA VODKA 80 (PET)</t>
        </is>
      </c>
      <c r="C386" s="7">
        <f>VLOOKUP(A386,SizeData!A$2:B$3839,2,FALSE)</f>
        <v/>
      </c>
      <c r="D386" s="6" t="n">
        <v>20</v>
      </c>
      <c r="E386" s="6" t="inlineStr">
        <is>
          <t>R1886608</t>
        </is>
      </c>
      <c r="F386" s="67" t="n">
        <v>44891</v>
      </c>
      <c r="G386" s="68" t="n"/>
    </row>
    <row r="387">
      <c r="A387" s="31" t="n">
        <v>38076</v>
      </c>
      <c r="B387" s="31" t="inlineStr">
        <is>
          <t>TAAKA VODKA 80 (PET)</t>
        </is>
      </c>
      <c r="C387" s="32">
        <f>VLOOKUP(A387,SizeData!A$2:B$3839,2,FALSE)</f>
        <v/>
      </c>
      <c r="D387" s="31" t="n">
        <v>1</v>
      </c>
      <c r="E387" s="31" t="inlineStr">
        <is>
          <t>R1883661</t>
        </is>
      </c>
      <c r="F387" s="82" t="n">
        <v>44893</v>
      </c>
      <c r="G387" s="83" t="n"/>
    </row>
    <row r="388">
      <c r="A388" s="6" t="n">
        <v>38068</v>
      </c>
      <c r="B388" s="6" t="inlineStr">
        <is>
          <t>TAAKA VODKA 80 (PET)</t>
        </is>
      </c>
      <c r="C388" s="7">
        <f>VLOOKUP(A388,SizeData!A$2:B$3839,2,FALSE)</f>
        <v/>
      </c>
      <c r="D388" s="6" t="n">
        <v>6</v>
      </c>
      <c r="E388" s="6" t="inlineStr">
        <is>
          <t>R1891609</t>
        </is>
      </c>
      <c r="F388" s="67" t="n">
        <v>44895</v>
      </c>
      <c r="G388" s="68" t="n"/>
    </row>
    <row r="389">
      <c r="A389" s="6" t="n">
        <v>28868</v>
      </c>
      <c r="B389" s="6" t="inlineStr">
        <is>
          <t>TANQUERAY GIN</t>
        </is>
      </c>
      <c r="C389" s="7">
        <f>VLOOKUP(A389,SizeData!A$2:B$3839,2,FALSE)</f>
        <v/>
      </c>
      <c r="D389" s="6" t="n">
        <v>2</v>
      </c>
      <c r="E389" s="6" t="inlineStr">
        <is>
          <t>R1883604</t>
        </is>
      </c>
      <c r="F389" s="67" t="n">
        <v>44890</v>
      </c>
      <c r="G389" s="68" t="n"/>
    </row>
    <row r="390">
      <c r="A390" s="6" t="n">
        <v>28866</v>
      </c>
      <c r="B390" s="6" t="inlineStr">
        <is>
          <t>TANQUERAY GIN</t>
        </is>
      </c>
      <c r="C390" s="7">
        <f>VLOOKUP(A390,SizeData!A$2:B$3839,2,FALSE)</f>
        <v/>
      </c>
      <c r="D390" s="6" t="n">
        <v>5</v>
      </c>
      <c r="E390" s="6" t="inlineStr">
        <is>
          <t>R1877599</t>
        </is>
      </c>
      <c r="F390" s="67" t="n">
        <v>44896</v>
      </c>
      <c r="G390" s="68" t="n"/>
    </row>
    <row r="391">
      <c r="A391" s="6" t="n">
        <v>28890</v>
      </c>
      <c r="B391" s="6" t="inlineStr">
        <is>
          <t>TANQUERAY RANGPUR DISTILLED GIN</t>
        </is>
      </c>
      <c r="C391" s="7">
        <f>VLOOKUP(A391,SizeData!A$2:B$3839,2,FALSE)</f>
        <v/>
      </c>
      <c r="D391" s="6" t="n">
        <v>1</v>
      </c>
      <c r="E391" s="6" t="inlineStr">
        <is>
          <t>R1890841</t>
        </is>
      </c>
      <c r="F391" s="67" t="n">
        <v>44898</v>
      </c>
      <c r="G391" s="68" t="n"/>
    </row>
    <row r="392">
      <c r="A392" s="6" t="n">
        <v>93567</v>
      </c>
      <c r="B392" s="6" t="inlineStr">
        <is>
          <t>TAYLOR DESSERTS PORT</t>
        </is>
      </c>
      <c r="C392" s="7">
        <f>VLOOKUP(A392,SizeData!A$2:B$3839,2,FALSE)</f>
        <v/>
      </c>
      <c r="D392" s="6" t="n">
        <v>4</v>
      </c>
      <c r="E392" s="6" t="inlineStr">
        <is>
          <t>R1882735</t>
        </is>
      </c>
      <c r="F392" s="67" t="n">
        <v>44894</v>
      </c>
      <c r="G392" s="68" t="n"/>
    </row>
    <row r="393">
      <c r="A393" s="6" t="n">
        <v>93567</v>
      </c>
      <c r="B393" s="6" t="inlineStr">
        <is>
          <t>TAYLOR DESSERTS PORT</t>
        </is>
      </c>
      <c r="C393" s="7">
        <f>VLOOKUP(A393,SizeData!A$2:B$3839,2,FALSE)</f>
        <v/>
      </c>
      <c r="D393" s="6" t="n">
        <v>6</v>
      </c>
      <c r="E393" s="6" t="inlineStr">
        <is>
          <t>R1884564</t>
        </is>
      </c>
      <c r="F393" s="67" t="n">
        <v>44900</v>
      </c>
      <c r="G393" s="68" t="n"/>
    </row>
    <row r="394">
      <c r="A394" s="6" t="n">
        <v>38176</v>
      </c>
      <c r="B394" s="6" t="inlineStr">
        <is>
          <t>TITO'S HANDMADE VODKA</t>
        </is>
      </c>
      <c r="C394" s="7">
        <f>VLOOKUP(A394,SizeData!A$2:B$3839,2,FALSE)</f>
        <v/>
      </c>
      <c r="D394" s="6" t="n">
        <v>20</v>
      </c>
      <c r="E394" s="6" t="inlineStr">
        <is>
          <t>R1896744</t>
        </is>
      </c>
      <c r="F394" s="67" t="n">
        <v>44902</v>
      </c>
      <c r="G394" s="68" t="n"/>
    </row>
    <row r="395">
      <c r="A395" s="6" t="n">
        <v>15982</v>
      </c>
      <c r="B395" s="6" t="inlineStr">
        <is>
          <t>TOKI SUNTORY JAPANESE WHISKY</t>
        </is>
      </c>
      <c r="C395" s="7">
        <f>VLOOKUP(A395,SizeData!A$2:B$3839,2,FALSE)</f>
        <v/>
      </c>
      <c r="D395" s="6" t="n">
        <v>1</v>
      </c>
      <c r="E395" s="6" t="inlineStr">
        <is>
          <t>R1892170</t>
        </is>
      </c>
      <c r="F395" s="67" t="n">
        <v>44902</v>
      </c>
      <c r="G395" s="68" t="n"/>
    </row>
    <row r="396">
      <c r="A396" s="6" t="n">
        <v>88738</v>
      </c>
      <c r="B396" s="6" t="inlineStr">
        <is>
          <t>TORADA WHITE TEQUILA</t>
        </is>
      </c>
      <c r="C396" s="7">
        <f>VLOOKUP(A396,SizeData!A$2:B$3839,2,FALSE)</f>
        <v/>
      </c>
      <c r="D396" s="6" t="n">
        <v>1</v>
      </c>
      <c r="E396" s="6" t="inlineStr">
        <is>
          <t>R1884564</t>
        </is>
      </c>
      <c r="F396" s="67" t="n">
        <v>44900</v>
      </c>
      <c r="G396" s="68" t="n"/>
    </row>
    <row r="397">
      <c r="A397" s="6" t="n">
        <v>67037</v>
      </c>
      <c r="B397" s="6" t="inlineStr">
        <is>
          <t>TWISTED SHOTZ BUTTERY NIPPLE:VODKA BASED</t>
        </is>
      </c>
      <c r="C397" s="7">
        <f>VLOOKUP(A397,SizeData!A$2:B$3839,2,FALSE)</f>
        <v/>
      </c>
      <c r="D397" s="6" t="n">
        <v>2</v>
      </c>
      <c r="E397" s="6" t="inlineStr">
        <is>
          <t>R1858393</t>
        </is>
      </c>
      <c r="F397" s="67" t="n">
        <v>44889</v>
      </c>
      <c r="G397" s="68" t="n"/>
    </row>
    <row r="398">
      <c r="A398" s="6" t="n">
        <v>67043</v>
      </c>
      <c r="B398" s="6" t="inlineStr">
        <is>
          <t>TWISTED SHOTZ PORN STAR</t>
        </is>
      </c>
      <c r="C398" s="7">
        <f>VLOOKUP(A398,SizeData!A$2:B$3839,2,FALSE)</f>
        <v/>
      </c>
      <c r="D398" s="6" t="n">
        <v>2</v>
      </c>
      <c r="E398" s="6" t="inlineStr">
        <is>
          <t>R1858393</t>
        </is>
      </c>
      <c r="F398" s="67" t="n">
        <v>44889</v>
      </c>
      <c r="G398" s="68" t="n"/>
    </row>
    <row r="399">
      <c r="A399" s="6" t="n">
        <v>22156</v>
      </c>
      <c r="B399" s="6" t="inlineStr">
        <is>
          <t>WILD TURKEY 101 STRAIGHT BOURBON</t>
        </is>
      </c>
      <c r="C399" s="7">
        <f>VLOOKUP(A399,SizeData!A$2:B$3839,2,FALSE)</f>
        <v/>
      </c>
      <c r="D399" s="6" t="n">
        <v>2</v>
      </c>
      <c r="E399" s="6" t="inlineStr">
        <is>
          <t>R1889915</t>
        </is>
      </c>
      <c r="F399" s="67" t="n">
        <v>44900</v>
      </c>
      <c r="G399" s="68" t="n"/>
    </row>
    <row r="400">
      <c r="A400" s="6" t="n">
        <v>429945</v>
      </c>
      <c r="B400" s="6" t="inlineStr">
        <is>
          <t>YELLOW TAIL CABERNET SAUVIGNON</t>
        </is>
      </c>
      <c r="C400" s="7">
        <f>VLOOKUP(A400,SizeData!A$2:B$3839,2,FALSE)</f>
        <v/>
      </c>
      <c r="D400" s="6" t="n">
        <v>3</v>
      </c>
      <c r="E400" s="6" t="inlineStr">
        <is>
          <t>R1880771</t>
        </is>
      </c>
      <c r="F400" s="67" t="n">
        <v>44895</v>
      </c>
      <c r="G400" s="68" t="n"/>
    </row>
    <row r="401">
      <c r="A401" s="6" t="n">
        <v>429999</v>
      </c>
      <c r="B401" s="6" t="inlineStr">
        <is>
          <t>YELLOW TAIL JAMMY RED ROO</t>
        </is>
      </c>
      <c r="C401" s="7">
        <f>VLOOKUP(A401,SizeData!A$2:B$3839,2,FALSE)</f>
        <v/>
      </c>
      <c r="D401" s="6" t="n">
        <v>3</v>
      </c>
      <c r="E401" s="6" t="inlineStr">
        <is>
          <t>R1864437</t>
        </is>
      </c>
      <c r="F401" s="67" t="n">
        <v>44887</v>
      </c>
      <c r="G401" s="68" t="n"/>
    </row>
    <row r="402">
      <c r="A402" s="6" t="n">
        <v>429983</v>
      </c>
      <c r="B402" s="6" t="inlineStr">
        <is>
          <t>YELLOW TAIL PINOT NOIR/SHIRAZ</t>
        </is>
      </c>
      <c r="C402" s="7">
        <f>VLOOKUP(A402,SizeData!A$2:B$3839,2,FALSE)</f>
        <v/>
      </c>
      <c r="D402" s="6" t="n">
        <v>1</v>
      </c>
      <c r="E402" s="6" t="inlineStr">
        <is>
          <t>R1880771</t>
        </is>
      </c>
      <c r="F402" s="67" t="n">
        <v>44895</v>
      </c>
      <c r="G402" s="68" t="n"/>
    </row>
    <row r="403">
      <c r="A403" s="6" t="n">
        <v>429982</v>
      </c>
      <c r="B403" s="6" t="inlineStr">
        <is>
          <t>YELLOW TAIL RIESLING</t>
        </is>
      </c>
      <c r="C403" s="7">
        <f>VLOOKUP(A403,SizeData!A$2:B$3839,2,FALSE)</f>
        <v/>
      </c>
      <c r="D403" s="6" t="n">
        <v>2</v>
      </c>
      <c r="E403" s="6" t="inlineStr">
        <is>
          <t>R1880771</t>
        </is>
      </c>
      <c r="F403" s="67" t="n">
        <v>44895</v>
      </c>
      <c r="G403" s="68" t="n"/>
    </row>
  </sheetData>
  <autoFilter ref="A2:G403">
    <sortState ref="A3:G403">
      <sortCondition ref="B2:B403"/>
    </sortState>
  </autoFilter>
  <pageMargins left="0.2" right="0.2" top="0.75" bottom="0" header="0.3" footer="0.3"/>
  <pageSetup orientation="portrait" scale="75" fitToHeight="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5"/>
  <sheetViews>
    <sheetView topLeftCell="A199" workbookViewId="0">
      <selection activeCell="B214" sqref="B214"/>
    </sheetView>
  </sheetViews>
  <sheetFormatPr baseColWidth="10" defaultColWidth="8.83203125" defaultRowHeight="15"/>
  <cols>
    <col width="35" bestFit="1" customWidth="1" min="2" max="2"/>
    <col width="46.5" bestFit="1" customWidth="1" min="4" max="4"/>
  </cols>
  <sheetData>
    <row r="1">
      <c r="A1" s="76" t="inlineStr">
        <is>
          <t>Retail Order Id</t>
        </is>
      </c>
      <c r="B1" s="76" t="inlineStr">
        <is>
          <t>Created</t>
        </is>
      </c>
      <c r="C1" s="76" t="inlineStr">
        <is>
          <t>Item Code</t>
        </is>
      </c>
      <c r="D1" s="76" t="inlineStr">
        <is>
          <t>Name</t>
        </is>
      </c>
      <c r="E1" s="76" t="inlineStr">
        <is>
          <t>Units</t>
        </is>
      </c>
      <c r="F1" s="77" t="inlineStr">
        <is>
          <t>Retailer Case Cost</t>
        </is>
      </c>
      <c r="G1" s="76" t="inlineStr">
        <is>
          <t>Quantity</t>
        </is>
      </c>
      <c r="H1" s="76" t="inlineStr">
        <is>
          <t>Requested</t>
        </is>
      </c>
      <c r="I1" s="76" t="inlineStr">
        <is>
          <t>Reserved</t>
        </is>
      </c>
      <c r="J1" s="76" t="inlineStr">
        <is>
          <t>Filled</t>
        </is>
      </c>
      <c r="K1" s="76" t="inlineStr">
        <is>
          <t>Order Status</t>
        </is>
      </c>
      <c r="L1" s="76" t="inlineStr">
        <is>
          <t>Broker Name</t>
        </is>
      </c>
    </row>
    <row r="2">
      <c r="A2" s="25" t="inlineStr">
        <is>
          <t>R1479383</t>
        </is>
      </c>
      <c r="B2" s="78" t="n">
        <v>44617</v>
      </c>
      <c r="C2" s="25" t="inlineStr">
        <is>
          <t>87508</t>
        </is>
      </c>
      <c r="D2" s="25" t="inlineStr">
        <is>
          <t>1800 SILVER TEQUILA</t>
        </is>
      </c>
      <c r="E2" s="27" t="n">
        <v>60</v>
      </c>
      <c r="F2" s="28" t="n">
        <v>124.9</v>
      </c>
      <c r="G2" s="27" t="n">
        <v>2</v>
      </c>
      <c r="H2" s="27" t="n">
        <v>2</v>
      </c>
      <c r="I2" s="27" t="n">
        <v>2</v>
      </c>
      <c r="J2" s="27" t="n">
        <v>2</v>
      </c>
      <c r="K2" s="25" t="inlineStr">
        <is>
          <t>Shipped</t>
        </is>
      </c>
      <c r="L2" s="25" t="inlineStr">
        <is>
          <t>RNDC-MAGNOLIA</t>
        </is>
      </c>
    </row>
    <row r="3">
      <c r="A3" s="25" t="inlineStr">
        <is>
          <t>R1701939A</t>
        </is>
      </c>
      <c r="B3" s="78" t="n">
        <v>44776</v>
      </c>
      <c r="C3" s="25" t="inlineStr">
        <is>
          <t>33757</t>
        </is>
      </c>
      <c r="D3" s="25" t="inlineStr">
        <is>
          <t>ABSOLUT ELYX</t>
        </is>
      </c>
      <c r="E3" s="27" t="n">
        <v>6</v>
      </c>
      <c r="F3" s="28" t="n">
        <v>126.82</v>
      </c>
      <c r="G3" s="27" t="n">
        <v>1</v>
      </c>
      <c r="H3" s="27" t="n">
        <v>1</v>
      </c>
      <c r="I3" s="27" t="n">
        <v>1</v>
      </c>
      <c r="J3" s="27" t="n">
        <v>1</v>
      </c>
      <c r="K3" s="25" t="inlineStr">
        <is>
          <t>Shipped</t>
        </is>
      </c>
      <c r="L3" s="25" t="inlineStr">
        <is>
          <t>SOUTHERN GLAZER'S WINE AND SPIRITS OF MISSISSIPPI LLC</t>
        </is>
      </c>
    </row>
    <row r="4">
      <c r="A4" s="25" t="inlineStr">
        <is>
          <t>R1701939A</t>
        </is>
      </c>
      <c r="B4" s="78" t="n">
        <v>44776</v>
      </c>
      <c r="C4" s="25" t="inlineStr">
        <is>
          <t>36768</t>
        </is>
      </c>
      <c r="D4" s="25" t="inlineStr">
        <is>
          <t>ABSOLUT GRAPEFRUIT FLAVORED VODKA</t>
        </is>
      </c>
      <c r="E4" s="27" t="n">
        <v>24</v>
      </c>
      <c r="F4" s="28" t="n">
        <v>122.07</v>
      </c>
      <c r="G4" s="27" t="n">
        <v>1</v>
      </c>
      <c r="H4" s="27" t="n">
        <v>1</v>
      </c>
      <c r="I4" s="27" t="n">
        <v>1</v>
      </c>
      <c r="J4" s="27" t="n">
        <v>1</v>
      </c>
      <c r="K4" s="25" t="inlineStr">
        <is>
          <t>Shipped</t>
        </is>
      </c>
      <c r="L4" s="25" t="inlineStr">
        <is>
          <t>SOUTHERN GLAZER'S WINE AND SPIRITS OF MISSISSIPPI LLC</t>
        </is>
      </c>
    </row>
    <row r="5">
      <c r="A5" s="25" t="inlineStr">
        <is>
          <t>R1718636</t>
        </is>
      </c>
      <c r="B5" s="78" t="n">
        <v>44777</v>
      </c>
      <c r="C5" s="25" t="inlineStr">
        <is>
          <t>36685</t>
        </is>
      </c>
      <c r="D5" s="25" t="inlineStr">
        <is>
          <t>ABSOLUT LIME FLAVORED VODKA</t>
        </is>
      </c>
      <c r="E5" s="27" t="n">
        <v>24</v>
      </c>
      <c r="F5" s="28" t="n">
        <v>122.07</v>
      </c>
      <c r="G5" s="27" t="n">
        <v>1</v>
      </c>
      <c r="H5" s="27" t="n">
        <v>1</v>
      </c>
      <c r="I5" s="27" t="n">
        <v>1</v>
      </c>
      <c r="J5" s="27" t="n">
        <v>1</v>
      </c>
      <c r="K5" s="25" t="inlineStr">
        <is>
          <t>Shipped</t>
        </is>
      </c>
      <c r="L5" s="25" t="inlineStr">
        <is>
          <t>SOUTHERN GLAZER'S WINE AND SPIRITS OF MISSISSIPPI LLC</t>
        </is>
      </c>
    </row>
    <row r="6">
      <c r="A6" s="25" t="inlineStr">
        <is>
          <t>R1323780A</t>
        </is>
      </c>
      <c r="B6" s="78" t="n">
        <v>44600</v>
      </c>
      <c r="C6" s="25" t="inlineStr">
        <is>
          <t>87033</t>
        </is>
      </c>
      <c r="D6" s="25" t="inlineStr">
        <is>
          <t>ADICTIVO ANEJO TEQUILA</t>
        </is>
      </c>
      <c r="E6" s="27" t="n">
        <v>6</v>
      </c>
      <c r="F6" s="28" t="n">
        <v>299.96</v>
      </c>
      <c r="G6" s="27" t="n">
        <v>1</v>
      </c>
      <c r="H6" s="27" t="n">
        <v>1</v>
      </c>
      <c r="I6" s="27" t="n">
        <v>1</v>
      </c>
      <c r="J6" s="27" t="n">
        <v>1</v>
      </c>
      <c r="K6" s="25" t="inlineStr">
        <is>
          <t>Shipped</t>
        </is>
      </c>
      <c r="L6" s="25" t="inlineStr">
        <is>
          <t>RNDC-VINTAGE</t>
        </is>
      </c>
    </row>
    <row r="7">
      <c r="A7" s="25" t="inlineStr">
        <is>
          <t>R1607323</t>
        </is>
      </c>
      <c r="B7" s="78" t="n">
        <v>44690</v>
      </c>
      <c r="C7" s="25" t="inlineStr">
        <is>
          <t>87031</t>
        </is>
      </c>
      <c r="D7" s="25" t="inlineStr">
        <is>
          <t>ADICTIVO EXTRA ANEJO CRISTALINO TEQUILA</t>
        </is>
      </c>
      <c r="E7" s="27" t="n">
        <v>6</v>
      </c>
      <c r="F7" s="28" t="n">
        <v>485.57</v>
      </c>
      <c r="G7" s="27" t="n">
        <v>1</v>
      </c>
      <c r="H7" s="27" t="n">
        <v>1</v>
      </c>
      <c r="I7" s="27" t="n">
        <v>1</v>
      </c>
      <c r="J7" s="27" t="n">
        <v>1</v>
      </c>
      <c r="K7" s="25" t="inlineStr">
        <is>
          <t>Shipped</t>
        </is>
      </c>
      <c r="L7" s="25" t="inlineStr">
        <is>
          <t>RNDC-VINTAGE</t>
        </is>
      </c>
    </row>
    <row r="8">
      <c r="A8" s="25" t="inlineStr">
        <is>
          <t>R1594555</t>
        </is>
      </c>
      <c r="B8" s="78" t="n">
        <v>44694</v>
      </c>
      <c r="C8" s="25" t="inlineStr">
        <is>
          <t>42082</t>
        </is>
      </c>
      <c r="D8" s="25" t="inlineStr">
        <is>
          <t>ANGOSTURA 5 YEAR GOLD RUM TRINADAD</t>
        </is>
      </c>
      <c r="E8" s="27" t="n">
        <v>6</v>
      </c>
      <c r="F8" s="28" t="n">
        <v>111.67</v>
      </c>
      <c r="G8" s="27" t="n">
        <v>1</v>
      </c>
      <c r="H8" s="27" t="n">
        <v>1</v>
      </c>
      <c r="I8" s="27" t="n">
        <v>1</v>
      </c>
      <c r="J8" s="27" t="n">
        <v>1</v>
      </c>
      <c r="K8" s="25" t="inlineStr">
        <is>
          <t>Shipped</t>
        </is>
      </c>
      <c r="L8" s="25" t="inlineStr">
        <is>
          <t>SOUTHERN GLAZER'S WINE AND SPIRITS OF MISSISSIPPI LLC</t>
        </is>
      </c>
    </row>
    <row r="9">
      <c r="A9" s="25" t="inlineStr">
        <is>
          <t>R1739999</t>
        </is>
      </c>
      <c r="B9" s="78" t="n">
        <v>44799</v>
      </c>
      <c r="C9" s="25" t="inlineStr">
        <is>
          <t>88827</t>
        </is>
      </c>
      <c r="D9" s="25" t="inlineStr">
        <is>
          <t>AVION RESERVA 44 EXTRA ANEJO TEQUILA</t>
        </is>
      </c>
      <c r="E9" s="27" t="n">
        <v>4</v>
      </c>
      <c r="F9" s="28" t="n">
        <v>371.44</v>
      </c>
      <c r="G9" s="27" t="n">
        <v>1</v>
      </c>
      <c r="H9" s="27" t="n">
        <v>1</v>
      </c>
      <c r="I9" s="27" t="n">
        <v>1</v>
      </c>
      <c r="J9" s="27" t="n">
        <v>1</v>
      </c>
      <c r="K9" s="25" t="inlineStr">
        <is>
          <t>Shipped</t>
        </is>
      </c>
      <c r="L9" s="25" t="inlineStr">
        <is>
          <t>SOUTHERN GLAZER'S WINE AND SPIRITS OF MISSISSIPPI LLC</t>
        </is>
      </c>
    </row>
    <row r="10">
      <c r="A10" s="25" t="inlineStr">
        <is>
          <t>R1595992</t>
        </is>
      </c>
      <c r="B10" s="78" t="n">
        <v>44685</v>
      </c>
      <c r="C10" s="25" t="inlineStr">
        <is>
          <t>87156</t>
        </is>
      </c>
      <c r="D10" s="25" t="inlineStr">
        <is>
          <t>AVION RESERVA CRISTALINO</t>
        </is>
      </c>
      <c r="E10" s="27" t="n">
        <v>4</v>
      </c>
      <c r="F10" s="28" t="n">
        <v>462.5</v>
      </c>
      <c r="G10" s="27" t="n">
        <v>1</v>
      </c>
      <c r="H10" s="27" t="n">
        <v>1</v>
      </c>
      <c r="I10" s="27" t="n">
        <v>1</v>
      </c>
      <c r="J10" s="27" t="n">
        <v>1</v>
      </c>
      <c r="K10" s="25" t="inlineStr">
        <is>
          <t>Shipped</t>
        </is>
      </c>
      <c r="L10" s="25" t="inlineStr">
        <is>
          <t>SOUTHERN GLAZER'S WINE AND SPIRITS OF MISSISSIPPI LLC</t>
        </is>
      </c>
    </row>
    <row r="11">
      <c r="A11" s="25" t="inlineStr">
        <is>
          <t>R1593524</t>
        </is>
      </c>
      <c r="B11" s="78" t="n">
        <v>44683</v>
      </c>
      <c r="C11" s="25" t="inlineStr">
        <is>
          <t>16659</t>
        </is>
      </c>
      <c r="D11" s="25" t="inlineStr">
        <is>
          <t>BASIL HAYDEN SUBTLE SMOKE</t>
        </is>
      </c>
      <c r="E11" s="27" t="n">
        <v>6</v>
      </c>
      <c r="F11" s="28" t="n">
        <v>230.72</v>
      </c>
      <c r="G11" s="27" t="n">
        <v>1</v>
      </c>
      <c r="H11" s="27" t="n">
        <v>1</v>
      </c>
      <c r="I11" s="27" t="n">
        <v>1</v>
      </c>
      <c r="J11" s="27" t="n">
        <v>1</v>
      </c>
      <c r="K11" s="25" t="inlineStr">
        <is>
          <t>Shipped</t>
        </is>
      </c>
      <c r="L11" s="25" t="inlineStr">
        <is>
          <t>SOUTHERN GLAZER'S WINE AND SPIRITS OF MISSISSIPPI LLC</t>
        </is>
      </c>
    </row>
    <row r="12">
      <c r="A12" s="25" t="inlineStr">
        <is>
          <t>R1411880</t>
        </is>
      </c>
      <c r="B12" s="78" t="n">
        <v>44575</v>
      </c>
      <c r="C12" s="25" t="inlineStr">
        <is>
          <t>16850</t>
        </is>
      </c>
      <c r="D12" s="25" t="inlineStr">
        <is>
          <t>BLANTON SINGLE BARREL BOURBON</t>
        </is>
      </c>
      <c r="E12" s="27" t="n">
        <v>6</v>
      </c>
      <c r="F12" s="28" t="n">
        <v>277.88</v>
      </c>
      <c r="G12" s="27" t="n">
        <v>2</v>
      </c>
      <c r="H12" s="27" t="n">
        <v>2</v>
      </c>
      <c r="I12" s="27" t="n">
        <v>2</v>
      </c>
      <c r="J12" s="27" t="n">
        <v>2</v>
      </c>
      <c r="K12" s="25" t="inlineStr">
        <is>
          <t>Shipped</t>
        </is>
      </c>
      <c r="L12" s="25" t="inlineStr">
        <is>
          <t>RNDC-MAGNOLIA</t>
        </is>
      </c>
    </row>
    <row r="13">
      <c r="A13" s="25" t="inlineStr">
        <is>
          <t>R1458823A</t>
        </is>
      </c>
      <c r="B13" s="78" t="n">
        <v>44615</v>
      </c>
      <c r="C13" s="25" t="inlineStr">
        <is>
          <t>16850</t>
        </is>
      </c>
      <c r="D13" s="25" t="inlineStr">
        <is>
          <t>BLANTON SINGLE BARREL BOURBON</t>
        </is>
      </c>
      <c r="E13" s="27" t="n">
        <v>6</v>
      </c>
      <c r="F13" s="28" t="n">
        <v>277.88</v>
      </c>
      <c r="G13" s="27" t="n">
        <v>1</v>
      </c>
      <c r="H13" s="27" t="n">
        <v>1</v>
      </c>
      <c r="I13" s="27" t="n">
        <v>1</v>
      </c>
      <c r="J13" s="27" t="n">
        <v>1</v>
      </c>
      <c r="K13" s="25" t="inlineStr">
        <is>
          <t>Shipped</t>
        </is>
      </c>
      <c r="L13" s="25" t="inlineStr">
        <is>
          <t>RNDC-MAGNOLIA</t>
        </is>
      </c>
    </row>
    <row r="14">
      <c r="A14" s="25" t="inlineStr">
        <is>
          <t>R1531549</t>
        </is>
      </c>
      <c r="B14" s="78" t="n">
        <v>44643</v>
      </c>
      <c r="C14" s="25" t="inlineStr">
        <is>
          <t>16850</t>
        </is>
      </c>
      <c r="D14" s="25" t="inlineStr">
        <is>
          <t>BLANTON SINGLE BARREL BOURBON</t>
        </is>
      </c>
      <c r="E14" s="27" t="n">
        <v>6</v>
      </c>
      <c r="F14" s="28" t="n">
        <v>277.88</v>
      </c>
      <c r="G14" s="27" t="n">
        <v>1</v>
      </c>
      <c r="H14" s="27" t="n">
        <v>1</v>
      </c>
      <c r="I14" s="27" t="n">
        <v>1</v>
      </c>
      <c r="J14" s="27" t="n">
        <v>1</v>
      </c>
      <c r="K14" s="25" t="inlineStr">
        <is>
          <t>Shipped</t>
        </is>
      </c>
      <c r="L14" s="25" t="inlineStr">
        <is>
          <t>RNDC-MAGNOLIA</t>
        </is>
      </c>
    </row>
    <row r="15">
      <c r="A15" s="25" t="inlineStr">
        <is>
          <t>R1563122</t>
        </is>
      </c>
      <c r="B15" s="78" t="n">
        <v>44662</v>
      </c>
      <c r="C15" s="25" t="inlineStr">
        <is>
          <t>16850</t>
        </is>
      </c>
      <c r="D15" s="25" t="inlineStr">
        <is>
          <t>BLANTON SINGLE BARREL BOURBON</t>
        </is>
      </c>
      <c r="E15" s="27" t="n">
        <v>6</v>
      </c>
      <c r="F15" s="28" t="n">
        <v>277.88</v>
      </c>
      <c r="G15" s="27" t="n">
        <v>1</v>
      </c>
      <c r="H15" s="27" t="n">
        <v>1</v>
      </c>
      <c r="I15" s="27" t="n">
        <v>1</v>
      </c>
      <c r="J15" s="27" t="n">
        <v>1</v>
      </c>
      <c r="K15" s="25" t="inlineStr">
        <is>
          <t>Shipped</t>
        </is>
      </c>
      <c r="L15" s="25" t="inlineStr">
        <is>
          <t>RNDC-MAGNOLIA</t>
        </is>
      </c>
    </row>
    <row r="16">
      <c r="A16" s="25" t="inlineStr">
        <is>
          <t>R1630506A</t>
        </is>
      </c>
      <c r="B16" s="78" t="n">
        <v>44706</v>
      </c>
      <c r="C16" s="25" t="inlineStr">
        <is>
          <t>16850</t>
        </is>
      </c>
      <c r="D16" s="25" t="inlineStr">
        <is>
          <t>BLANTON SINGLE BARREL BOURBON</t>
        </is>
      </c>
      <c r="E16" s="27" t="n">
        <v>6</v>
      </c>
      <c r="F16" s="28" t="n">
        <v>277.88</v>
      </c>
      <c r="G16" s="27" t="n">
        <v>1</v>
      </c>
      <c r="H16" s="27" t="n">
        <v>1</v>
      </c>
      <c r="I16" s="27" t="n">
        <v>1</v>
      </c>
      <c r="J16" s="27" t="n">
        <v>1</v>
      </c>
      <c r="K16" s="25" t="inlineStr">
        <is>
          <t>Shipped</t>
        </is>
      </c>
      <c r="L16" s="25" t="inlineStr">
        <is>
          <t>RNDC-MAGNOLIA</t>
        </is>
      </c>
    </row>
    <row r="17">
      <c r="A17" s="25" t="inlineStr">
        <is>
          <t>R1658879</t>
        </is>
      </c>
      <c r="B17" s="78" t="n">
        <v>44739</v>
      </c>
      <c r="C17" s="25" t="inlineStr">
        <is>
          <t>16850</t>
        </is>
      </c>
      <c r="D17" s="25" t="inlineStr">
        <is>
          <t>BLANTON SINGLE BARREL BOURBON</t>
        </is>
      </c>
      <c r="E17" s="27" t="n">
        <v>6</v>
      </c>
      <c r="F17" s="28" t="n">
        <v>277.88</v>
      </c>
      <c r="G17" s="27" t="n">
        <v>1</v>
      </c>
      <c r="H17" s="27" t="n">
        <v>1</v>
      </c>
      <c r="I17" s="27" t="n">
        <v>1</v>
      </c>
      <c r="J17" s="27" t="n">
        <v>1</v>
      </c>
      <c r="K17" s="25" t="inlineStr">
        <is>
          <t>Shipped</t>
        </is>
      </c>
      <c r="L17" s="25" t="inlineStr">
        <is>
          <t>RNDC-MAGNOLIA</t>
        </is>
      </c>
    </row>
    <row r="18">
      <c r="A18" s="25" t="inlineStr">
        <is>
          <t>R1697109</t>
        </is>
      </c>
      <c r="B18" s="78" t="n">
        <v>44757</v>
      </c>
      <c r="C18" s="25" t="inlineStr">
        <is>
          <t>16850</t>
        </is>
      </c>
      <c r="D18" s="25" t="inlineStr">
        <is>
          <t>BLANTON SINGLE BARREL BOURBON</t>
        </is>
      </c>
      <c r="E18" s="27" t="n">
        <v>6</v>
      </c>
      <c r="F18" s="28" t="n">
        <v>279.13</v>
      </c>
      <c r="G18" s="27" t="n">
        <v>1</v>
      </c>
      <c r="H18" s="27" t="n">
        <v>1</v>
      </c>
      <c r="I18" s="27" t="n">
        <v>1</v>
      </c>
      <c r="J18" s="27" t="n">
        <v>1</v>
      </c>
      <c r="K18" s="25" t="inlineStr">
        <is>
          <t>Shipped</t>
        </is>
      </c>
      <c r="L18" s="25" t="inlineStr">
        <is>
          <t>RNDC-MAGNOLIA</t>
        </is>
      </c>
    </row>
    <row r="19">
      <c r="A19" s="25" t="inlineStr">
        <is>
          <t>R1738080</t>
        </is>
      </c>
      <c r="B19" s="78" t="n">
        <v>44796</v>
      </c>
      <c r="C19" s="25" t="inlineStr">
        <is>
          <t>16850</t>
        </is>
      </c>
      <c r="D19" s="25" t="inlineStr">
        <is>
          <t>BLANTON SINGLE BARREL BOURBON</t>
        </is>
      </c>
      <c r="E19" s="27" t="n">
        <v>6</v>
      </c>
      <c r="F19" s="28" t="n">
        <v>279.13</v>
      </c>
      <c r="G19" s="27" t="n">
        <v>1</v>
      </c>
      <c r="H19" s="27" t="n">
        <v>1</v>
      </c>
      <c r="I19" s="27" t="n">
        <v>1</v>
      </c>
      <c r="J19" s="27" t="n">
        <v>1</v>
      </c>
      <c r="K19" s="25" t="inlineStr">
        <is>
          <t>Shipped</t>
        </is>
      </c>
      <c r="L19" s="25" t="inlineStr">
        <is>
          <t>RNDC-MAGNOLIA</t>
        </is>
      </c>
    </row>
    <row r="20">
      <c r="A20" s="25" t="inlineStr">
        <is>
          <t>R1787498</t>
        </is>
      </c>
      <c r="B20" s="78" t="n">
        <v>44830</v>
      </c>
      <c r="C20" s="25" t="inlineStr">
        <is>
          <t>16850</t>
        </is>
      </c>
      <c r="D20" s="25" t="inlineStr">
        <is>
          <t>BLANTON SINGLE BARREL BOURBON</t>
        </is>
      </c>
      <c r="E20" s="27" t="n">
        <v>6</v>
      </c>
      <c r="F20" s="28" t="n">
        <v>279.13</v>
      </c>
      <c r="G20" s="27" t="n">
        <v>1</v>
      </c>
      <c r="H20" s="27" t="n">
        <v>1</v>
      </c>
      <c r="I20" s="27" t="n">
        <v>1</v>
      </c>
      <c r="J20" s="27" t="n">
        <v>1</v>
      </c>
      <c r="K20" s="25" t="inlineStr">
        <is>
          <t>Shipped</t>
        </is>
      </c>
      <c r="L20" s="25" t="inlineStr">
        <is>
          <t>RNDC-MAGNOLIA</t>
        </is>
      </c>
    </row>
    <row r="21">
      <c r="A21" s="25" t="inlineStr">
        <is>
          <t>R1702411</t>
        </is>
      </c>
      <c r="B21" s="78" t="n">
        <v>44767</v>
      </c>
      <c r="C21" s="25" t="inlineStr">
        <is>
          <t>85988</t>
        </is>
      </c>
      <c r="D21" s="25" t="inlineStr">
        <is>
          <t>BLOOD OATH PACT NO. 8</t>
        </is>
      </c>
      <c r="E21" s="27" t="n">
        <v>3</v>
      </c>
      <c r="F21" s="28" t="n">
        <v>301.22</v>
      </c>
      <c r="G21" s="27" t="n">
        <v>1</v>
      </c>
      <c r="H21" s="27" t="n">
        <v>1</v>
      </c>
      <c r="I21" s="27" t="n">
        <v>1</v>
      </c>
      <c r="J21" s="27" t="n">
        <v>1</v>
      </c>
      <c r="K21" s="25" t="inlineStr">
        <is>
          <t>Shipped</t>
        </is>
      </c>
      <c r="L21" s="25" t="inlineStr">
        <is>
          <t>SOUTHERN GLAZER'S WINE AND SPIRITS OF MISSISSIPPI LLC</t>
        </is>
      </c>
    </row>
    <row r="22">
      <c r="A22" s="25" t="inlineStr">
        <is>
          <t>R1666831</t>
        </is>
      </c>
      <c r="B22" s="78" t="n">
        <v>44735</v>
      </c>
      <c r="C22" s="25" t="inlineStr">
        <is>
          <t>16906</t>
        </is>
      </c>
      <c r="D22" s="25" t="inlineStr">
        <is>
          <t>BOOKER'S BOURBON</t>
        </is>
      </c>
      <c r="E22" s="27" t="n">
        <v>6</v>
      </c>
      <c r="F22" s="28" t="n">
        <v>416.35</v>
      </c>
      <c r="G22" s="27" t="n">
        <v>1</v>
      </c>
      <c r="H22" s="27" t="n">
        <v>1</v>
      </c>
      <c r="I22" s="27" t="n">
        <v>1</v>
      </c>
      <c r="J22" s="27" t="n">
        <v>1</v>
      </c>
      <c r="K22" s="25" t="inlineStr">
        <is>
          <t>Shipped</t>
        </is>
      </c>
      <c r="L22" s="25" t="inlineStr">
        <is>
          <t>SOUTHERN GLAZER'S WINE AND SPIRITS OF MISSISSIPPI LLC</t>
        </is>
      </c>
    </row>
    <row r="23">
      <c r="A23" s="25" t="inlineStr">
        <is>
          <t>R1627803</t>
        </is>
      </c>
      <c r="B23" s="78" t="n">
        <v>44704</v>
      </c>
      <c r="C23" s="25" t="inlineStr">
        <is>
          <t>903515</t>
        </is>
      </c>
      <c r="D23" s="25" t="inlineStr">
        <is>
          <t>BREAD &amp; BUTTER MERLOT</t>
        </is>
      </c>
      <c r="E23" s="27" t="n">
        <v>12</v>
      </c>
      <c r="F23" s="28" t="n">
        <v>129.23</v>
      </c>
      <c r="G23" s="27" t="n">
        <v>1</v>
      </c>
      <c r="H23" s="27" t="n">
        <v>1</v>
      </c>
      <c r="I23" s="27" t="n">
        <v>1</v>
      </c>
      <c r="J23" s="27" t="n">
        <v>1</v>
      </c>
      <c r="K23" s="25" t="inlineStr">
        <is>
          <t>Shipped</t>
        </is>
      </c>
      <c r="L23" s="25" t="inlineStr">
        <is>
          <t>RNDC-VINTAGE</t>
        </is>
      </c>
    </row>
    <row r="24">
      <c r="A24" s="25" t="inlineStr">
        <is>
          <t>R1411880</t>
        </is>
      </c>
      <c r="B24" s="78" t="n">
        <v>44575</v>
      </c>
      <c r="C24" s="25" t="inlineStr">
        <is>
          <t>18006</t>
        </is>
      </c>
      <c r="D24" s="25" t="inlineStr">
        <is>
          <t>BUFFALO TRACE BOURBON</t>
        </is>
      </c>
      <c r="E24" s="27" t="n">
        <v>12</v>
      </c>
      <c r="F24" s="28" t="n">
        <v>231.67</v>
      </c>
      <c r="G24" s="27" t="n">
        <v>2</v>
      </c>
      <c r="H24" s="27" t="n">
        <v>2</v>
      </c>
      <c r="I24" s="27" t="n">
        <v>2</v>
      </c>
      <c r="J24" s="27" t="n">
        <v>2</v>
      </c>
      <c r="K24" s="25" t="inlineStr">
        <is>
          <t>Shipped</t>
        </is>
      </c>
      <c r="L24" s="25" t="inlineStr">
        <is>
          <t>RNDC-MAGNOLIA</t>
        </is>
      </c>
    </row>
    <row r="25">
      <c r="A25" s="25" t="inlineStr">
        <is>
          <t>R1458823</t>
        </is>
      </c>
      <c r="B25" s="78" t="n">
        <v>44603</v>
      </c>
      <c r="C25" s="25" t="inlineStr">
        <is>
          <t>18006</t>
        </is>
      </c>
      <c r="D25" s="25" t="inlineStr">
        <is>
          <t>BUFFALO TRACE BOURBON</t>
        </is>
      </c>
      <c r="E25" s="27" t="n">
        <v>12</v>
      </c>
      <c r="F25" s="28" t="n">
        <v>231.67</v>
      </c>
      <c r="G25" s="27" t="n">
        <v>1</v>
      </c>
      <c r="H25" s="27" t="n">
        <v>1</v>
      </c>
      <c r="I25" s="27" t="n">
        <v>1</v>
      </c>
      <c r="J25" s="27" t="n">
        <v>1</v>
      </c>
      <c r="K25" s="25" t="inlineStr">
        <is>
          <t>Shipped</t>
        </is>
      </c>
      <c r="L25" s="25" t="inlineStr">
        <is>
          <t>RNDC-MAGNOLIA</t>
        </is>
      </c>
    </row>
    <row r="26">
      <c r="A26" s="25" t="inlineStr">
        <is>
          <t>R1531549A</t>
        </is>
      </c>
      <c r="B26" s="78" t="n">
        <v>44645</v>
      </c>
      <c r="C26" s="25" t="inlineStr">
        <is>
          <t>18006</t>
        </is>
      </c>
      <c r="D26" s="25" t="inlineStr">
        <is>
          <t>BUFFALO TRACE BOURBON</t>
        </is>
      </c>
      <c r="E26" s="27" t="n">
        <v>12</v>
      </c>
      <c r="F26" s="28" t="n">
        <v>231.67</v>
      </c>
      <c r="G26" s="27" t="n">
        <v>1</v>
      </c>
      <c r="H26" s="27" t="n">
        <v>1</v>
      </c>
      <c r="I26" s="27" t="n">
        <v>1</v>
      </c>
      <c r="J26" s="27" t="n">
        <v>1</v>
      </c>
      <c r="K26" s="25" t="inlineStr">
        <is>
          <t>Shipped</t>
        </is>
      </c>
      <c r="L26" s="25" t="inlineStr">
        <is>
          <t>RNDC-MAGNOLIA</t>
        </is>
      </c>
    </row>
    <row r="27">
      <c r="A27" s="25" t="inlineStr">
        <is>
          <t>R1563122</t>
        </is>
      </c>
      <c r="B27" s="78" t="n">
        <v>44662</v>
      </c>
      <c r="C27" s="25" t="inlineStr">
        <is>
          <t>18006</t>
        </is>
      </c>
      <c r="D27" s="25" t="inlineStr">
        <is>
          <t>BUFFALO TRACE BOURBON</t>
        </is>
      </c>
      <c r="E27" s="27" t="n">
        <v>12</v>
      </c>
      <c r="F27" s="28" t="n">
        <v>239.91</v>
      </c>
      <c r="G27" s="27" t="n">
        <v>1</v>
      </c>
      <c r="H27" s="27" t="n">
        <v>1</v>
      </c>
      <c r="I27" s="27" t="n">
        <v>1</v>
      </c>
      <c r="J27" s="27" t="n">
        <v>1</v>
      </c>
      <c r="K27" s="25" t="inlineStr">
        <is>
          <t>Shipped</t>
        </is>
      </c>
      <c r="L27" s="25" t="inlineStr">
        <is>
          <t>RNDC-MAGNOLIA</t>
        </is>
      </c>
    </row>
    <row r="28">
      <c r="A28" s="25" t="inlineStr">
        <is>
          <t>R1630506A</t>
        </is>
      </c>
      <c r="B28" s="78" t="n">
        <v>44706</v>
      </c>
      <c r="C28" s="25" t="inlineStr">
        <is>
          <t>18006</t>
        </is>
      </c>
      <c r="D28" s="25" t="inlineStr">
        <is>
          <t>BUFFALO TRACE BOURBON</t>
        </is>
      </c>
      <c r="E28" s="27" t="n">
        <v>12</v>
      </c>
      <c r="F28" s="28" t="n">
        <v>239.91</v>
      </c>
      <c r="G28" s="27" t="n">
        <v>1</v>
      </c>
      <c r="H28" s="27" t="n">
        <v>1</v>
      </c>
      <c r="I28" s="27" t="n">
        <v>1</v>
      </c>
      <c r="J28" s="27" t="n">
        <v>1</v>
      </c>
      <c r="K28" s="25" t="inlineStr">
        <is>
          <t>Shipped</t>
        </is>
      </c>
      <c r="L28" s="25" t="inlineStr">
        <is>
          <t>RNDC-MAGNOLIA</t>
        </is>
      </c>
    </row>
    <row r="29">
      <c r="A29" s="25" t="inlineStr">
        <is>
          <t>R1658879</t>
        </is>
      </c>
      <c r="B29" s="78" t="n">
        <v>44739</v>
      </c>
      <c r="C29" s="25" t="inlineStr">
        <is>
          <t>18006</t>
        </is>
      </c>
      <c r="D29" s="25" t="inlineStr">
        <is>
          <t>BUFFALO TRACE BOURBON</t>
        </is>
      </c>
      <c r="E29" s="27" t="n">
        <v>12</v>
      </c>
      <c r="F29" s="28" t="n">
        <v>239.91</v>
      </c>
      <c r="G29" s="27" t="n">
        <v>1</v>
      </c>
      <c r="H29" s="27" t="n">
        <v>1</v>
      </c>
      <c r="I29" s="27" t="n">
        <v>1</v>
      </c>
      <c r="J29" s="27" t="n">
        <v>1</v>
      </c>
      <c r="K29" s="25" t="inlineStr">
        <is>
          <t>Shipped</t>
        </is>
      </c>
      <c r="L29" s="25" t="inlineStr">
        <is>
          <t>RNDC-MAGNOLIA</t>
        </is>
      </c>
    </row>
    <row r="30">
      <c r="A30" s="25" t="inlineStr">
        <is>
          <t>R1697109</t>
        </is>
      </c>
      <c r="B30" s="78" t="n">
        <v>44757</v>
      </c>
      <c r="C30" s="25" t="inlineStr">
        <is>
          <t>18006</t>
        </is>
      </c>
      <c r="D30" s="25" t="inlineStr">
        <is>
          <t>BUFFALO TRACE BOURBON</t>
        </is>
      </c>
      <c r="E30" s="27" t="n">
        <v>12</v>
      </c>
      <c r="F30" s="28" t="n">
        <v>241.16</v>
      </c>
      <c r="G30" s="27" t="n">
        <v>1</v>
      </c>
      <c r="H30" s="27" t="n">
        <v>1</v>
      </c>
      <c r="I30" s="27" t="n">
        <v>1</v>
      </c>
      <c r="J30" s="27" t="n">
        <v>1</v>
      </c>
      <c r="K30" s="25" t="inlineStr">
        <is>
          <t>Shipped</t>
        </is>
      </c>
      <c r="L30" s="25" t="inlineStr">
        <is>
          <t>RNDC-MAGNOLIA</t>
        </is>
      </c>
    </row>
    <row r="31">
      <c r="A31" s="25" t="inlineStr">
        <is>
          <t>R1724436A</t>
        </is>
      </c>
      <c r="B31" s="78" t="n">
        <v>44791</v>
      </c>
      <c r="C31" s="25" t="inlineStr">
        <is>
          <t>18006</t>
        </is>
      </c>
      <c r="D31" s="25" t="inlineStr">
        <is>
          <t>BUFFALO TRACE BOURBON</t>
        </is>
      </c>
      <c r="E31" s="27" t="n">
        <v>12</v>
      </c>
      <c r="F31" s="28" t="n">
        <v>241.16</v>
      </c>
      <c r="G31" s="27" t="n">
        <v>2</v>
      </c>
      <c r="H31" s="27" t="n">
        <v>2</v>
      </c>
      <c r="I31" s="27" t="n">
        <v>2</v>
      </c>
      <c r="J31" s="27" t="n">
        <v>2</v>
      </c>
      <c r="K31" s="25" t="inlineStr">
        <is>
          <t>Shipped</t>
        </is>
      </c>
      <c r="L31" s="25" t="inlineStr">
        <is>
          <t>RNDC-MAGNOLIA</t>
        </is>
      </c>
    </row>
    <row r="32">
      <c r="A32" s="25" t="inlineStr">
        <is>
          <t>R1787498</t>
        </is>
      </c>
      <c r="B32" s="78" t="n">
        <v>44830</v>
      </c>
      <c r="C32" s="25" t="inlineStr">
        <is>
          <t>18006</t>
        </is>
      </c>
      <c r="D32" s="25" t="inlineStr">
        <is>
          <t>BUFFALO TRACE BOURBON</t>
        </is>
      </c>
      <c r="E32" s="27" t="n">
        <v>12</v>
      </c>
      <c r="F32" s="28" t="n">
        <v>241.16</v>
      </c>
      <c r="G32" s="27" t="n">
        <v>1</v>
      </c>
      <c r="H32" s="27" t="n">
        <v>1</v>
      </c>
      <c r="I32" s="27" t="n">
        <v>1</v>
      </c>
      <c r="J32" s="27" t="n">
        <v>1</v>
      </c>
      <c r="K32" s="25" t="inlineStr">
        <is>
          <t>Shipped</t>
        </is>
      </c>
      <c r="L32" s="25" t="inlineStr">
        <is>
          <t>RNDC-MAGNOLIA</t>
        </is>
      </c>
    </row>
    <row r="33">
      <c r="A33" s="25" t="inlineStr">
        <is>
          <t>R1447317</t>
        </is>
      </c>
      <c r="B33" s="78" t="n">
        <v>44593</v>
      </c>
      <c r="C33" s="25" t="inlineStr">
        <is>
          <t>89016</t>
        </is>
      </c>
      <c r="D33" s="25" t="inlineStr">
        <is>
          <t>CASA NOBLE ANEJO AGED 2 YEAR TEQUILA</t>
        </is>
      </c>
      <c r="E33" s="27" t="n">
        <v>6</v>
      </c>
      <c r="F33" s="28" t="n">
        <v>250.19</v>
      </c>
      <c r="G33" s="27" t="n">
        <v>1</v>
      </c>
      <c r="H33" s="27" t="n">
        <v>1</v>
      </c>
      <c r="I33" s="27" t="n">
        <v>1</v>
      </c>
      <c r="J33" s="27" t="n">
        <v>1</v>
      </c>
      <c r="K33" s="25" t="inlineStr">
        <is>
          <t>Shipped</t>
        </is>
      </c>
      <c r="L33" s="25" t="inlineStr">
        <is>
          <t>SOUTHERN GLAZER'S WINE AND SPIRITS OF MISSISSIPPI LLC</t>
        </is>
      </c>
    </row>
    <row r="34">
      <c r="A34" s="25" t="inlineStr">
        <is>
          <t>R1522540</t>
        </is>
      </c>
      <c r="B34" s="78" t="n">
        <v>44641</v>
      </c>
      <c r="C34" s="25" t="inlineStr">
        <is>
          <t>13010</t>
        </is>
      </c>
      <c r="D34" s="25" t="inlineStr">
        <is>
          <t>CHICKEN COCK COTTON CLUB RYE WHISKEY</t>
        </is>
      </c>
      <c r="E34" s="27" t="n">
        <v>6</v>
      </c>
      <c r="F34" s="28" t="n">
        <v>2400.94</v>
      </c>
      <c r="G34" s="27" t="n">
        <v>1</v>
      </c>
      <c r="H34" s="27" t="n">
        <v>1</v>
      </c>
      <c r="I34" s="27" t="n">
        <v>1</v>
      </c>
      <c r="J34" s="27" t="n">
        <v>1</v>
      </c>
      <c r="K34" s="25" t="inlineStr">
        <is>
          <t>Shipped</t>
        </is>
      </c>
      <c r="L34" s="25" t="inlineStr">
        <is>
          <t>UNITED JOHNSON BROTHERS OF MS</t>
        </is>
      </c>
    </row>
    <row r="35">
      <c r="A35" s="25" t="inlineStr">
        <is>
          <t>R1794532</t>
        </is>
      </c>
      <c r="B35" s="78" t="n">
        <v>44837</v>
      </c>
      <c r="C35" s="25" t="inlineStr">
        <is>
          <t>87360</t>
        </is>
      </c>
      <c r="D35" s="25" t="inlineStr">
        <is>
          <t>CLASE AZUL PLATA TEQ</t>
        </is>
      </c>
      <c r="E35" s="27" t="n">
        <v>6</v>
      </c>
      <c r="F35" s="28" t="n">
        <v>557.02</v>
      </c>
      <c r="G35" s="27" t="n">
        <v>3</v>
      </c>
      <c r="H35" s="27" t="n">
        <v>3</v>
      </c>
      <c r="I35" s="27" t="n">
        <v>3</v>
      </c>
      <c r="J35" s="27" t="n">
        <v>3</v>
      </c>
      <c r="K35" s="25" t="inlineStr">
        <is>
          <t>Shipped</t>
        </is>
      </c>
      <c r="L35" s="25" t="inlineStr">
        <is>
          <t>SOUTHERN GLAZER'S WINE AND SPIRITS OF MISSISSIPPI LLC</t>
        </is>
      </c>
    </row>
    <row r="36">
      <c r="A36" s="25" t="inlineStr">
        <is>
          <t>R1794533</t>
        </is>
      </c>
      <c r="B36" s="78" t="n">
        <v>44837</v>
      </c>
      <c r="C36" s="25" t="inlineStr">
        <is>
          <t>87360</t>
        </is>
      </c>
      <c r="D36" s="25" t="inlineStr">
        <is>
          <t>CLASE AZUL PLATA TEQ</t>
        </is>
      </c>
      <c r="E36" s="27" t="n">
        <v>6</v>
      </c>
      <c r="F36" s="28" t="n">
        <v>557.02</v>
      </c>
      <c r="G36" s="27" t="n">
        <v>2</v>
      </c>
      <c r="H36" s="27" t="n">
        <v>2</v>
      </c>
      <c r="I36" s="27" t="n">
        <v>2</v>
      </c>
      <c r="J36" s="27" t="n">
        <v>2</v>
      </c>
      <c r="K36" s="25" t="inlineStr">
        <is>
          <t>Shipped</t>
        </is>
      </c>
      <c r="L36" s="25" t="inlineStr">
        <is>
          <t>SOUTHERN GLAZER'S WINE AND SPIRITS OF MISSISSIPPI LLC</t>
        </is>
      </c>
    </row>
    <row r="37">
      <c r="A37" s="25" t="inlineStr">
        <is>
          <t>R1404686</t>
        </is>
      </c>
      <c r="B37" s="78" t="n">
        <v>44572</v>
      </c>
      <c r="C37" s="25" t="inlineStr">
        <is>
          <t>47767</t>
        </is>
      </c>
      <c r="D37" s="25" t="inlineStr">
        <is>
          <t>CONJURE COGNAC</t>
        </is>
      </c>
      <c r="E37" s="27" t="n">
        <v>12</v>
      </c>
      <c r="F37" s="28" t="n">
        <v>202.77</v>
      </c>
      <c r="G37" s="27" t="n">
        <v>1</v>
      </c>
      <c r="H37" s="27" t="n">
        <v>1</v>
      </c>
      <c r="I37" s="27" t="n">
        <v>1</v>
      </c>
      <c r="J37" s="27" t="n">
        <v>1</v>
      </c>
      <c r="K37" s="25" t="inlineStr">
        <is>
          <t>Shipped</t>
        </is>
      </c>
      <c r="L37" s="25" t="inlineStr">
        <is>
          <t>SOUTHERN GLAZER'S WINE AND SPIRITS OF MISSISSIPPI LLC</t>
        </is>
      </c>
    </row>
    <row r="38">
      <c r="A38" s="25" t="inlineStr">
        <is>
          <t>R1425406</t>
        </is>
      </c>
      <c r="B38" s="78" t="n">
        <v>44566</v>
      </c>
      <c r="C38" s="25" t="inlineStr">
        <is>
          <t>47767</t>
        </is>
      </c>
      <c r="D38" s="25" t="inlineStr">
        <is>
          <t>CONJURE COGNAC</t>
        </is>
      </c>
      <c r="E38" s="27" t="n">
        <v>12</v>
      </c>
      <c r="F38" s="28" t="n">
        <v>202.77</v>
      </c>
      <c r="G38" s="27" t="n">
        <v>1</v>
      </c>
      <c r="H38" s="27" t="n">
        <v>1</v>
      </c>
      <c r="I38" s="27" t="n">
        <v>1</v>
      </c>
      <c r="J38" s="27" t="n">
        <v>1</v>
      </c>
      <c r="K38" s="25" t="inlineStr">
        <is>
          <t>Shipped</t>
        </is>
      </c>
      <c r="L38" s="25" t="inlineStr">
        <is>
          <t>SOUTHERN GLAZER'S WINE AND SPIRITS OF MISSISSIPPI LLC</t>
        </is>
      </c>
    </row>
    <row r="39">
      <c r="A39" s="25" t="inlineStr">
        <is>
          <t>R1793565</t>
        </is>
      </c>
      <c r="B39" s="78" t="n">
        <v>44840</v>
      </c>
      <c r="C39" s="25" t="inlineStr">
        <is>
          <t>906762</t>
        </is>
      </c>
      <c r="D39" s="25" t="inlineStr">
        <is>
          <t>COURVOISIER VS</t>
        </is>
      </c>
      <c r="E39" s="27" t="n">
        <v>24</v>
      </c>
      <c r="F39" s="28" t="n">
        <v>225.07</v>
      </c>
      <c r="G39" s="27" t="n">
        <v>25</v>
      </c>
      <c r="H39" s="27" t="n">
        <v>25</v>
      </c>
      <c r="I39" s="27" t="n">
        <v>25</v>
      </c>
      <c r="J39" s="27" t="n">
        <v>25</v>
      </c>
      <c r="K39" s="25" t="inlineStr">
        <is>
          <t>Shipped</t>
        </is>
      </c>
      <c r="L39" s="25" t="inlineStr">
        <is>
          <t>SOUTHERN GLAZER'S WINE AND SPIRITS OF MISSISSIPPI LLC</t>
        </is>
      </c>
    </row>
    <row r="40">
      <c r="A40" s="25" t="inlineStr">
        <is>
          <t>R1809212A</t>
        </is>
      </c>
      <c r="B40" s="78" t="n">
        <v>44856</v>
      </c>
      <c r="C40" s="25" t="inlineStr">
        <is>
          <t>906762</t>
        </is>
      </c>
      <c r="D40" s="25" t="inlineStr">
        <is>
          <t>COURVOISIER VS</t>
        </is>
      </c>
      <c r="E40" s="27" t="n">
        <v>24</v>
      </c>
      <c r="F40" s="28" t="n">
        <v>225.07</v>
      </c>
      <c r="G40" s="27" t="n">
        <v>1</v>
      </c>
      <c r="H40" s="27" t="n">
        <v>1</v>
      </c>
      <c r="I40" s="27" t="n">
        <v>1</v>
      </c>
      <c r="J40" s="27" t="n">
        <v>1</v>
      </c>
      <c r="K40" s="25" t="inlineStr">
        <is>
          <t>Shipped</t>
        </is>
      </c>
      <c r="L40" s="25" t="inlineStr">
        <is>
          <t>SOUTHERN GLAZER'S WINE AND SPIRITS OF MISSISSIPPI LLC</t>
        </is>
      </c>
    </row>
    <row r="41">
      <c r="A41" s="25" t="inlineStr">
        <is>
          <t>R1593258A</t>
        </is>
      </c>
      <c r="B41" s="78" t="n">
        <v>44692</v>
      </c>
      <c r="C41" s="25" t="inlineStr">
        <is>
          <t>47806</t>
        </is>
      </c>
      <c r="D41" s="25" t="inlineStr">
        <is>
          <t>COURVOISIER XO</t>
        </is>
      </c>
      <c r="E41" s="27" t="n">
        <v>6</v>
      </c>
      <c r="F41" s="28" t="n">
        <v>854.8200000000001</v>
      </c>
      <c r="G41" s="27" t="n">
        <v>1</v>
      </c>
      <c r="H41" s="27" t="n">
        <v>1</v>
      </c>
      <c r="I41" s="27" t="n">
        <v>1</v>
      </c>
      <c r="J41" s="27" t="n">
        <v>1</v>
      </c>
      <c r="K41" s="25" t="inlineStr">
        <is>
          <t>Shipped</t>
        </is>
      </c>
      <c r="L41" s="25" t="inlineStr">
        <is>
          <t>SOUTHERN GLAZER'S WINE AND SPIRITS OF MISSISSIPPI LLC</t>
        </is>
      </c>
    </row>
    <row r="42">
      <c r="A42" s="25" t="inlineStr">
        <is>
          <t>R1593258A</t>
        </is>
      </c>
      <c r="B42" s="78" t="n">
        <v>44692</v>
      </c>
      <c r="C42" s="25" t="inlineStr">
        <is>
          <t>47810</t>
        </is>
      </c>
      <c r="D42" s="25" t="inlineStr">
        <is>
          <t>COURVOISIER XO COGNAC</t>
        </is>
      </c>
      <c r="E42" s="27" t="n">
        <v>3</v>
      </c>
      <c r="F42" s="28" t="n">
        <v>427.92</v>
      </c>
      <c r="G42" s="27" t="n">
        <v>1</v>
      </c>
      <c r="H42" s="27" t="n">
        <v>1</v>
      </c>
      <c r="I42" s="27" t="n">
        <v>1</v>
      </c>
      <c r="J42" s="27" t="n">
        <v>1</v>
      </c>
      <c r="K42" s="25" t="inlineStr">
        <is>
          <t>Shipped</t>
        </is>
      </c>
      <c r="L42" s="25" t="inlineStr">
        <is>
          <t>SOUTHERN GLAZER'S WINE AND SPIRITS OF MISSISSIPPI LLC</t>
        </is>
      </c>
    </row>
    <row r="43">
      <c r="A43" s="25" t="inlineStr">
        <is>
          <t>R1449244</t>
        </is>
      </c>
      <c r="B43" s="78" t="n">
        <v>44599</v>
      </c>
      <c r="C43" s="25" t="inlineStr">
        <is>
          <t>88427</t>
        </is>
      </c>
      <c r="D43" s="25" t="inlineStr">
        <is>
          <t>DELEON REPOSADO TEQUILA</t>
        </is>
      </c>
      <c r="E43" s="27" t="n">
        <v>12</v>
      </c>
      <c r="F43" s="28" t="n">
        <v>416.28</v>
      </c>
      <c r="G43" s="27" t="n">
        <v>1</v>
      </c>
      <c r="H43" s="27" t="n">
        <v>1</v>
      </c>
      <c r="I43" s="27" t="n">
        <v>1</v>
      </c>
      <c r="J43" s="27" t="n">
        <v>1</v>
      </c>
      <c r="K43" s="25" t="inlineStr">
        <is>
          <t>Shipped</t>
        </is>
      </c>
      <c r="L43" s="25" t="inlineStr">
        <is>
          <t>SOUTHERN GLAZER'S WINE AND SPIRITS OF MISSISSIPPI LLC</t>
        </is>
      </c>
    </row>
    <row r="44">
      <c r="A44" s="25" t="inlineStr">
        <is>
          <t>R1723482A</t>
        </is>
      </c>
      <c r="B44" s="78" t="n">
        <v>44795</v>
      </c>
      <c r="C44" s="25" t="inlineStr">
        <is>
          <t>89164</t>
        </is>
      </c>
      <c r="D44" s="25" t="inlineStr">
        <is>
          <t>DON JULIO 1942 GOLD TEQUILA</t>
        </is>
      </c>
      <c r="E44" s="27" t="n">
        <v>6</v>
      </c>
      <c r="F44" s="28" t="n">
        <v>786.79</v>
      </c>
      <c r="G44" s="27" t="n">
        <v>3</v>
      </c>
      <c r="H44" s="27" t="n">
        <v>3</v>
      </c>
      <c r="I44" s="27" t="n">
        <v>3</v>
      </c>
      <c r="J44" s="27" t="n">
        <v>3</v>
      </c>
      <c r="K44" s="25" t="inlineStr">
        <is>
          <t>Shipped</t>
        </is>
      </c>
      <c r="L44" s="25" t="inlineStr">
        <is>
          <t>SOUTHERN GLAZER'S WINE AND SPIRITS OF MISSISSIPPI LLC</t>
        </is>
      </c>
    </row>
    <row r="45">
      <c r="A45" s="25" t="inlineStr">
        <is>
          <t>R1743647</t>
        </is>
      </c>
      <c r="B45" s="78" t="n">
        <v>44798</v>
      </c>
      <c r="C45" s="25" t="inlineStr">
        <is>
          <t>89164</t>
        </is>
      </c>
      <c r="D45" s="25" t="inlineStr">
        <is>
          <t>DON JULIO 1942 GOLD TEQUILA</t>
        </is>
      </c>
      <c r="E45" s="27" t="n">
        <v>6</v>
      </c>
      <c r="F45" s="28" t="n">
        <v>786.79</v>
      </c>
      <c r="G45" s="27" t="n">
        <v>1</v>
      </c>
      <c r="H45" s="27" t="n">
        <v>1</v>
      </c>
      <c r="I45" s="27" t="n">
        <v>1</v>
      </c>
      <c r="J45" s="27" t="n">
        <v>1</v>
      </c>
      <c r="K45" s="25" t="inlineStr">
        <is>
          <t>Shipped</t>
        </is>
      </c>
      <c r="L45" s="25" t="inlineStr">
        <is>
          <t>SOUTHERN GLAZER'S WINE AND SPIRITS OF MISSISSIPPI LLC</t>
        </is>
      </c>
    </row>
    <row r="46">
      <c r="A46" s="25" t="inlineStr">
        <is>
          <t>R1452289</t>
        </is>
      </c>
      <c r="B46" s="78" t="n">
        <v>44606</v>
      </c>
      <c r="C46" s="25" t="inlineStr">
        <is>
          <t>89174</t>
        </is>
      </c>
      <c r="D46" s="25" t="inlineStr">
        <is>
          <t>DON JULIO ANEJO TEQUILA GOLD</t>
        </is>
      </c>
      <c r="E46" s="27" t="n">
        <v>12</v>
      </c>
      <c r="F46" s="28" t="n">
        <v>279.02</v>
      </c>
      <c r="G46" s="27" t="n">
        <v>1</v>
      </c>
      <c r="H46" s="27" t="n">
        <v>1</v>
      </c>
      <c r="I46" s="27" t="n">
        <v>1</v>
      </c>
      <c r="J46" s="27" t="n">
        <v>1</v>
      </c>
      <c r="K46" s="25" t="inlineStr">
        <is>
          <t>Shipped</t>
        </is>
      </c>
      <c r="L46" s="25" t="inlineStr">
        <is>
          <t>SOUTHERN GLAZER'S WINE AND SPIRITS OF MISSISSIPPI LLC</t>
        </is>
      </c>
    </row>
    <row r="47">
      <c r="A47" s="25" t="inlineStr">
        <is>
          <t>R1526107</t>
        </is>
      </c>
      <c r="B47" s="78" t="n">
        <v>44635</v>
      </c>
      <c r="C47" s="25" t="inlineStr">
        <is>
          <t>89172</t>
        </is>
      </c>
      <c r="D47" s="25" t="inlineStr">
        <is>
          <t>DON JULIO ANEJO TEQUILA GOLD</t>
        </is>
      </c>
      <c r="E47" s="27" t="n">
        <v>60</v>
      </c>
      <c r="F47" s="28" t="n">
        <v>231.4</v>
      </c>
      <c r="G47" s="27" t="n">
        <v>1</v>
      </c>
      <c r="H47" s="27" t="n">
        <v>1</v>
      </c>
      <c r="I47" s="27" t="n">
        <v>1</v>
      </c>
      <c r="J47" s="27" t="n">
        <v>1</v>
      </c>
      <c r="K47" s="25" t="inlineStr">
        <is>
          <t>Shipped</t>
        </is>
      </c>
      <c r="L47" s="25" t="inlineStr">
        <is>
          <t>SOUTHERN GLAZER'S WINE AND SPIRITS OF MISSISSIPPI LLC</t>
        </is>
      </c>
    </row>
    <row r="48">
      <c r="A48" s="25" t="inlineStr">
        <is>
          <t>R1574142</t>
        </is>
      </c>
      <c r="B48" s="78" t="n">
        <v>44672</v>
      </c>
      <c r="C48" s="25" t="inlineStr">
        <is>
          <t>89174</t>
        </is>
      </c>
      <c r="D48" s="25" t="inlineStr">
        <is>
          <t>DON JULIO ANEJO TEQUILA GOLD</t>
        </is>
      </c>
      <c r="E48" s="27" t="n">
        <v>12</v>
      </c>
      <c r="F48" s="28" t="n">
        <v>279.02</v>
      </c>
      <c r="G48" s="27" t="n">
        <v>1</v>
      </c>
      <c r="H48" s="27" t="n">
        <v>1</v>
      </c>
      <c r="I48" s="27" t="n">
        <v>1</v>
      </c>
      <c r="J48" s="27" t="n">
        <v>1</v>
      </c>
      <c r="K48" s="25" t="inlineStr">
        <is>
          <t>Shipped</t>
        </is>
      </c>
      <c r="L48" s="25" t="inlineStr">
        <is>
          <t>SOUTHERN GLAZER'S WINE AND SPIRITS OF MISSISSIPPI LLC</t>
        </is>
      </c>
    </row>
    <row r="49">
      <c r="A49" s="25" t="inlineStr">
        <is>
          <t>R1678983</t>
        </is>
      </c>
      <c r="B49" s="78" t="n">
        <v>44761</v>
      </c>
      <c r="C49" s="25" t="inlineStr">
        <is>
          <t>89174</t>
        </is>
      </c>
      <c r="D49" s="25" t="inlineStr">
        <is>
          <t>DON JULIO ANEJO TEQUILA GOLD</t>
        </is>
      </c>
      <c r="E49" s="27" t="n">
        <v>12</v>
      </c>
      <c r="F49" s="28" t="n">
        <v>280.27</v>
      </c>
      <c r="G49" s="27" t="n">
        <v>3</v>
      </c>
      <c r="H49" s="27" t="n">
        <v>3</v>
      </c>
      <c r="I49" s="27" t="n">
        <v>3</v>
      </c>
      <c r="J49" s="27" t="n">
        <v>3</v>
      </c>
      <c r="K49" s="25" t="inlineStr">
        <is>
          <t>Shipped</t>
        </is>
      </c>
      <c r="L49" s="25" t="inlineStr">
        <is>
          <t>SOUTHERN GLAZER'S WINE AND SPIRITS OF MISSISSIPPI LLC</t>
        </is>
      </c>
    </row>
    <row r="50">
      <c r="A50" s="25" t="inlineStr">
        <is>
          <t>R1681197</t>
        </is>
      </c>
      <c r="B50" s="78" t="n">
        <v>44761</v>
      </c>
      <c r="C50" s="25" t="inlineStr">
        <is>
          <t>88163</t>
        </is>
      </c>
      <c r="D50" s="25" t="inlineStr">
        <is>
          <t>DON JULIO PRIMAVERA REPOSADO TEQUILA</t>
        </is>
      </c>
      <c r="E50" s="27" t="n">
        <v>6</v>
      </c>
      <c r="F50" s="28" t="n">
        <v>694.51</v>
      </c>
      <c r="G50" s="27" t="n">
        <v>1</v>
      </c>
      <c r="H50" s="27" t="n">
        <v>1</v>
      </c>
      <c r="I50" s="27" t="n">
        <v>1</v>
      </c>
      <c r="J50" s="27" t="n">
        <v>1</v>
      </c>
      <c r="K50" s="25" t="inlineStr">
        <is>
          <t>Shipped</t>
        </is>
      </c>
      <c r="L50" s="25" t="inlineStr">
        <is>
          <t>SOUTHERN GLAZER'S WINE AND SPIRITS OF MISSISSIPPI LLC</t>
        </is>
      </c>
    </row>
    <row r="51">
      <c r="A51" s="25" t="inlineStr">
        <is>
          <t>R1505280</t>
        </is>
      </c>
      <c r="B51" s="78" t="n">
        <v>44628</v>
      </c>
      <c r="C51" s="25" t="inlineStr">
        <is>
          <t>949610</t>
        </is>
      </c>
      <c r="D51" s="25" t="inlineStr">
        <is>
          <t>DUPLIN COTTON CANDY</t>
        </is>
      </c>
      <c r="E51" s="27" t="n">
        <v>12</v>
      </c>
      <c r="F51" s="28" t="n">
        <v>95.2</v>
      </c>
      <c r="G51" s="27" t="n">
        <v>2</v>
      </c>
      <c r="H51" s="27" t="n">
        <v>2</v>
      </c>
      <c r="I51" s="27" t="n">
        <v>2</v>
      </c>
      <c r="J51" s="27" t="n">
        <v>2</v>
      </c>
      <c r="K51" s="25" t="inlineStr">
        <is>
          <t>Shipped</t>
        </is>
      </c>
      <c r="L51" s="25" t="inlineStr">
        <is>
          <t>RNDC-VINTAGE</t>
        </is>
      </c>
    </row>
    <row r="52">
      <c r="A52" s="25" t="inlineStr">
        <is>
          <t>R1770108</t>
        </is>
      </c>
      <c r="B52" s="78" t="n">
        <v>44805</v>
      </c>
      <c r="C52" s="25" t="inlineStr">
        <is>
          <t>939020</t>
        </is>
      </c>
      <c r="D52" s="25" t="inlineStr">
        <is>
          <t>DUPLIN COTTON CANDY WINE PEACH</t>
        </is>
      </c>
      <c r="E52" s="27" t="n">
        <v>12</v>
      </c>
      <c r="F52" s="28" t="n">
        <v>96.45</v>
      </c>
      <c r="G52" s="27" t="n">
        <v>2</v>
      </c>
      <c r="H52" s="27" t="n">
        <v>2</v>
      </c>
      <c r="I52" s="27" t="n">
        <v>2</v>
      </c>
      <c r="J52" s="27" t="n">
        <v>2</v>
      </c>
      <c r="K52" s="25" t="inlineStr">
        <is>
          <t>Shipped</t>
        </is>
      </c>
      <c r="L52" s="25" t="inlineStr">
        <is>
          <t>RNDC-VINTAGE</t>
        </is>
      </c>
    </row>
    <row r="53">
      <c r="A53" s="25" t="inlineStr">
        <is>
          <t>R1478281</t>
        </is>
      </c>
      <c r="B53" s="78" t="n">
        <v>44620</v>
      </c>
      <c r="C53" s="25" t="inlineStr">
        <is>
          <t>73751</t>
        </is>
      </c>
      <c r="D53" s="25" t="inlineStr">
        <is>
          <t>E &amp; J APPLE BRANDY</t>
        </is>
      </c>
      <c r="E53" s="27" t="n">
        <v>120</v>
      </c>
      <c r="F53" s="28" t="n">
        <v>85.86</v>
      </c>
      <c r="G53" s="27" t="n">
        <v>1</v>
      </c>
      <c r="H53" s="27" t="n">
        <v>1</v>
      </c>
      <c r="I53" s="27" t="n">
        <v>1</v>
      </c>
      <c r="J53" s="27" t="n">
        <v>1</v>
      </c>
      <c r="K53" s="25" t="inlineStr">
        <is>
          <t>Shipped</t>
        </is>
      </c>
      <c r="L53" s="25" t="inlineStr">
        <is>
          <t>E. &amp; J. GALLO WINERY</t>
        </is>
      </c>
    </row>
    <row r="54">
      <c r="A54" s="25" t="inlineStr">
        <is>
          <t>R1478281A</t>
        </is>
      </c>
      <c r="B54" s="78" t="n">
        <v>44635</v>
      </c>
      <c r="C54" s="25" t="inlineStr">
        <is>
          <t>73751</t>
        </is>
      </c>
      <c r="D54" s="25" t="inlineStr">
        <is>
          <t>E &amp; J APPLE BRANDY</t>
        </is>
      </c>
      <c r="E54" s="27" t="n">
        <v>120</v>
      </c>
      <c r="F54" s="28" t="n">
        <v>85.86</v>
      </c>
      <c r="G54" s="27" t="n">
        <v>1</v>
      </c>
      <c r="H54" s="27" t="n">
        <v>1</v>
      </c>
      <c r="I54" s="27" t="n">
        <v>1</v>
      </c>
      <c r="J54" s="27" t="n">
        <v>1</v>
      </c>
      <c r="K54" s="25" t="inlineStr">
        <is>
          <t>Shipped</t>
        </is>
      </c>
      <c r="L54" s="25" t="inlineStr">
        <is>
          <t>E. &amp; J. GALLO WINERY</t>
        </is>
      </c>
    </row>
    <row r="55">
      <c r="A55" s="25" t="inlineStr">
        <is>
          <t>R1696039</t>
        </is>
      </c>
      <c r="B55" s="78" t="n">
        <v>44761</v>
      </c>
      <c r="C55" s="25" t="inlineStr">
        <is>
          <t>73751</t>
        </is>
      </c>
      <c r="D55" s="25" t="inlineStr">
        <is>
          <t>E &amp; J APPLE BRANDY</t>
        </is>
      </c>
      <c r="E55" s="27" t="n">
        <v>120</v>
      </c>
      <c r="F55" s="28" t="n">
        <v>87.11</v>
      </c>
      <c r="G55" s="27" t="n">
        <v>1</v>
      </c>
      <c r="H55" s="27" t="n">
        <v>1</v>
      </c>
      <c r="I55" s="27" t="n">
        <v>1</v>
      </c>
      <c r="J55" s="27" t="n">
        <v>1</v>
      </c>
      <c r="K55" s="25" t="inlineStr">
        <is>
          <t>Shipped</t>
        </is>
      </c>
      <c r="L55" s="25" t="inlineStr">
        <is>
          <t>E. &amp; J. GALLO WINERY</t>
        </is>
      </c>
    </row>
    <row r="56">
      <c r="A56" s="25" t="inlineStr">
        <is>
          <t>R1696039A</t>
        </is>
      </c>
      <c r="B56" s="78" t="n">
        <v>44768</v>
      </c>
      <c r="C56" s="25" t="inlineStr">
        <is>
          <t>73751</t>
        </is>
      </c>
      <c r="D56" s="25" t="inlineStr">
        <is>
          <t>E &amp; J APPLE BRANDY</t>
        </is>
      </c>
      <c r="E56" s="27" t="n">
        <v>120</v>
      </c>
      <c r="F56" s="28" t="n">
        <v>87.11</v>
      </c>
      <c r="G56" s="27" t="n">
        <v>1</v>
      </c>
      <c r="H56" s="27" t="n">
        <v>1</v>
      </c>
      <c r="I56" s="27" t="n">
        <v>1</v>
      </c>
      <c r="J56" s="27" t="n">
        <v>1</v>
      </c>
      <c r="K56" s="25" t="inlineStr">
        <is>
          <t>Shipped</t>
        </is>
      </c>
      <c r="L56" s="25" t="inlineStr">
        <is>
          <t>E. &amp; J. GALLO WINERY</t>
        </is>
      </c>
    </row>
    <row r="57">
      <c r="A57" s="25" t="inlineStr">
        <is>
          <t>R1748520</t>
        </is>
      </c>
      <c r="B57" s="78" t="n">
        <v>44804</v>
      </c>
      <c r="C57" s="25" t="inlineStr">
        <is>
          <t>73751</t>
        </is>
      </c>
      <c r="D57" s="25" t="inlineStr">
        <is>
          <t>E &amp; J APPLE BRANDY</t>
        </is>
      </c>
      <c r="E57" s="27" t="n">
        <v>120</v>
      </c>
      <c r="F57" s="28" t="n">
        <v>87.11</v>
      </c>
      <c r="G57" s="27" t="n">
        <v>1</v>
      </c>
      <c r="H57" s="27" t="n">
        <v>1</v>
      </c>
      <c r="I57" s="27" t="n">
        <v>1</v>
      </c>
      <c r="J57" s="27" t="n">
        <v>1</v>
      </c>
      <c r="K57" s="25" t="inlineStr">
        <is>
          <t>Shipped</t>
        </is>
      </c>
      <c r="L57" s="25" t="inlineStr">
        <is>
          <t>E. &amp; J. GALLO WINERY</t>
        </is>
      </c>
    </row>
    <row r="58">
      <c r="A58" s="25" t="inlineStr">
        <is>
          <t>R1508571</t>
        </is>
      </c>
      <c r="B58" s="78" t="n">
        <v>44636</v>
      </c>
      <c r="C58" s="25" t="inlineStr">
        <is>
          <t>52579</t>
        </is>
      </c>
      <c r="D58" s="25" t="inlineStr">
        <is>
          <t>E &amp; J SUPERIOR RESERVE VSOP BRANDY</t>
        </is>
      </c>
      <c r="E58" s="27" t="n">
        <v>120</v>
      </c>
      <c r="F58" s="28" t="n">
        <v>81.89</v>
      </c>
      <c r="G58" s="27" t="n">
        <v>3</v>
      </c>
      <c r="H58" s="27" t="n">
        <v>3</v>
      </c>
      <c r="I58" s="27" t="n">
        <v>3</v>
      </c>
      <c r="J58" s="27" t="n">
        <v>3</v>
      </c>
      <c r="K58" s="25" t="inlineStr">
        <is>
          <t>Shipped</t>
        </is>
      </c>
      <c r="L58" s="25" t="inlineStr">
        <is>
          <t>E. &amp; J. GALLO WINERY</t>
        </is>
      </c>
    </row>
    <row r="59">
      <c r="A59" s="25" t="inlineStr">
        <is>
          <t>R1478281A</t>
        </is>
      </c>
      <c r="B59" s="78" t="n">
        <v>44635</v>
      </c>
      <c r="C59" s="25" t="inlineStr">
        <is>
          <t>52579</t>
        </is>
      </c>
      <c r="D59" s="25" t="inlineStr">
        <is>
          <t>E &amp; J SUPERIOR RESERVE VSOP BRANDY</t>
        </is>
      </c>
      <c r="E59" s="27" t="n">
        <v>120</v>
      </c>
      <c r="F59" s="28" t="n">
        <v>81.89</v>
      </c>
      <c r="G59" s="27" t="n">
        <v>1</v>
      </c>
      <c r="H59" s="27" t="n">
        <v>1</v>
      </c>
      <c r="I59" s="27" t="n">
        <v>1</v>
      </c>
      <c r="J59" s="27" t="n">
        <v>1</v>
      </c>
      <c r="K59" s="25" t="inlineStr">
        <is>
          <t>Shipped</t>
        </is>
      </c>
      <c r="L59" s="25" t="inlineStr">
        <is>
          <t>E. &amp; J. GALLO WINERY</t>
        </is>
      </c>
    </row>
    <row r="60">
      <c r="A60" s="25" t="inlineStr">
        <is>
          <t>R1557149</t>
        </is>
      </c>
      <c r="B60" s="78" t="n">
        <v>44657</v>
      </c>
      <c r="C60" s="25" t="inlineStr">
        <is>
          <t>52579</t>
        </is>
      </c>
      <c r="D60" s="25" t="inlineStr">
        <is>
          <t>E &amp; J SUPERIOR RESERVE VSOP BRANDY</t>
        </is>
      </c>
      <c r="E60" s="27" t="n">
        <v>120</v>
      </c>
      <c r="F60" s="28" t="n">
        <v>81.89</v>
      </c>
      <c r="G60" s="27" t="n">
        <v>1</v>
      </c>
      <c r="H60" s="27" t="n">
        <v>1</v>
      </c>
      <c r="I60" s="27" t="n">
        <v>1</v>
      </c>
      <c r="J60" s="27" t="n">
        <v>1</v>
      </c>
      <c r="K60" s="25" t="inlineStr">
        <is>
          <t>Shipped</t>
        </is>
      </c>
      <c r="L60" s="25" t="inlineStr">
        <is>
          <t>E. &amp; J. GALLO WINERY</t>
        </is>
      </c>
    </row>
    <row r="61">
      <c r="A61" s="25" t="inlineStr">
        <is>
          <t>R1738926A</t>
        </is>
      </c>
      <c r="B61" s="78" t="n">
        <v>44798</v>
      </c>
      <c r="C61" s="25" t="inlineStr">
        <is>
          <t>52579</t>
        </is>
      </c>
      <c r="D61" s="25" t="inlineStr">
        <is>
          <t>E &amp; J SUPERIOR RESERVE VSOP BRANDY</t>
        </is>
      </c>
      <c r="E61" s="27" t="n">
        <v>120</v>
      </c>
      <c r="F61" s="28" t="n">
        <v>83.14</v>
      </c>
      <c r="G61" s="27" t="n">
        <v>1</v>
      </c>
      <c r="H61" s="27" t="n">
        <v>1</v>
      </c>
      <c r="I61" s="27" t="n">
        <v>1</v>
      </c>
      <c r="J61" s="27" t="n">
        <v>1</v>
      </c>
      <c r="K61" s="25" t="inlineStr">
        <is>
          <t>Shipped</t>
        </is>
      </c>
      <c r="L61" s="25" t="inlineStr">
        <is>
          <t>E. &amp; J. GALLO WINERY</t>
        </is>
      </c>
    </row>
    <row r="62">
      <c r="A62" s="25" t="inlineStr">
        <is>
          <t>R1411880A</t>
        </is>
      </c>
      <c r="B62" s="78" t="n">
        <v>44603</v>
      </c>
      <c r="C62" s="25" t="inlineStr">
        <is>
          <t>17766</t>
        </is>
      </c>
      <c r="D62" s="25" t="inlineStr">
        <is>
          <t>EAGLE RARE SINGLE BARREL 10YR BOURBON</t>
        </is>
      </c>
      <c r="E62" s="27" t="n">
        <v>6</v>
      </c>
      <c r="F62" s="28" t="n">
        <v>153.27</v>
      </c>
      <c r="G62" s="27" t="n">
        <v>2</v>
      </c>
      <c r="H62" s="27" t="n">
        <v>2</v>
      </c>
      <c r="I62" s="27" t="n">
        <v>2</v>
      </c>
      <c r="J62" s="27" t="n">
        <v>2</v>
      </c>
      <c r="K62" s="25" t="inlineStr">
        <is>
          <t>Shipped</t>
        </is>
      </c>
      <c r="L62" s="25" t="inlineStr">
        <is>
          <t>RNDC-MAGNOLIA</t>
        </is>
      </c>
    </row>
    <row r="63">
      <c r="A63" s="25" t="inlineStr">
        <is>
          <t>R1458823B</t>
        </is>
      </c>
      <c r="B63" s="78" t="n">
        <v>44638</v>
      </c>
      <c r="C63" s="25" t="inlineStr">
        <is>
          <t>17766</t>
        </is>
      </c>
      <c r="D63" s="25" t="inlineStr">
        <is>
          <t>EAGLE RARE SINGLE BARREL 10YR BOURBON</t>
        </is>
      </c>
      <c r="E63" s="27" t="n">
        <v>6</v>
      </c>
      <c r="F63" s="28" t="n">
        <v>153.27</v>
      </c>
      <c r="G63" s="27" t="n">
        <v>1</v>
      </c>
      <c r="H63" s="27" t="n">
        <v>1</v>
      </c>
      <c r="I63" s="27" t="n">
        <v>1</v>
      </c>
      <c r="J63" s="27" t="n">
        <v>1</v>
      </c>
      <c r="K63" s="25" t="inlineStr">
        <is>
          <t>Shipped</t>
        </is>
      </c>
      <c r="L63" s="25" t="inlineStr">
        <is>
          <t>RNDC-MAGNOLIA</t>
        </is>
      </c>
    </row>
    <row r="64">
      <c r="A64" s="25" t="inlineStr">
        <is>
          <t>R1501290A</t>
        </is>
      </c>
      <c r="B64" s="78" t="n">
        <v>44642</v>
      </c>
      <c r="C64" s="25" t="inlineStr">
        <is>
          <t>17766</t>
        </is>
      </c>
      <c r="D64" s="25" t="inlineStr">
        <is>
          <t>EAGLE RARE SINGLE BARREL 10YR BOURBON</t>
        </is>
      </c>
      <c r="E64" s="27" t="n">
        <v>6</v>
      </c>
      <c r="F64" s="28" t="n">
        <v>153.27</v>
      </c>
      <c r="G64" s="27" t="n">
        <v>1</v>
      </c>
      <c r="H64" s="27" t="n">
        <v>1</v>
      </c>
      <c r="I64" s="27" t="n">
        <v>1</v>
      </c>
      <c r="J64" s="27" t="n">
        <v>1</v>
      </c>
      <c r="K64" s="25" t="inlineStr">
        <is>
          <t>Shipped</t>
        </is>
      </c>
      <c r="L64" s="25" t="inlineStr">
        <is>
          <t>RNDC-MAGNOLIA</t>
        </is>
      </c>
    </row>
    <row r="65">
      <c r="A65" s="25" t="inlineStr">
        <is>
          <t>R1563122</t>
        </is>
      </c>
      <c r="B65" s="78" t="n">
        <v>44662</v>
      </c>
      <c r="C65" s="25" t="inlineStr">
        <is>
          <t>17766</t>
        </is>
      </c>
      <c r="D65" s="25" t="inlineStr">
        <is>
          <t>EAGLE RARE SINGLE BARREL 10YR BOURBON</t>
        </is>
      </c>
      <c r="E65" s="27" t="n">
        <v>6</v>
      </c>
      <c r="F65" s="28" t="n">
        <v>154.58</v>
      </c>
      <c r="G65" s="27" t="n">
        <v>1</v>
      </c>
      <c r="H65" s="27" t="n">
        <v>1</v>
      </c>
      <c r="I65" s="27" t="n">
        <v>1</v>
      </c>
      <c r="J65" s="27" t="n">
        <v>1</v>
      </c>
      <c r="K65" s="25" t="inlineStr">
        <is>
          <t>Shipped</t>
        </is>
      </c>
      <c r="L65" s="25" t="inlineStr">
        <is>
          <t>RNDC-MAGNOLIA</t>
        </is>
      </c>
    </row>
    <row r="66">
      <c r="A66" s="25" t="inlineStr">
        <is>
          <t>R1621874</t>
        </is>
      </c>
      <c r="B66" s="78" t="n">
        <v>44707</v>
      </c>
      <c r="C66" s="25" t="inlineStr">
        <is>
          <t>17766</t>
        </is>
      </c>
      <c r="D66" s="25" t="inlineStr">
        <is>
          <t>EAGLE RARE SINGLE BARREL 10YR BOURBON</t>
        </is>
      </c>
      <c r="E66" s="27" t="n">
        <v>6</v>
      </c>
      <c r="F66" s="28" t="n">
        <v>154.58</v>
      </c>
      <c r="G66" s="27" t="n">
        <v>1</v>
      </c>
      <c r="H66" s="27" t="n">
        <v>1</v>
      </c>
      <c r="I66" s="27" t="n">
        <v>1</v>
      </c>
      <c r="J66" s="27" t="n">
        <v>1</v>
      </c>
      <c r="K66" s="25" t="inlineStr">
        <is>
          <t>Shipped</t>
        </is>
      </c>
      <c r="L66" s="25" t="inlineStr">
        <is>
          <t>RNDC-MAGNOLIA</t>
        </is>
      </c>
    </row>
    <row r="67">
      <c r="A67" s="25" t="inlineStr">
        <is>
          <t>R1697109A</t>
        </is>
      </c>
      <c r="B67" s="78" t="n">
        <v>44764</v>
      </c>
      <c r="C67" s="25" t="inlineStr">
        <is>
          <t>17766</t>
        </is>
      </c>
      <c r="D67" s="25" t="inlineStr">
        <is>
          <t>EAGLE RARE SINGLE BARREL 10YR BOURBON</t>
        </is>
      </c>
      <c r="E67" s="27" t="n">
        <v>6</v>
      </c>
      <c r="F67" s="28" t="n">
        <v>155.83</v>
      </c>
      <c r="G67" s="27" t="n">
        <v>1</v>
      </c>
      <c r="H67" s="27" t="n">
        <v>1</v>
      </c>
      <c r="I67" s="27" t="n">
        <v>1</v>
      </c>
      <c r="J67" s="27" t="n">
        <v>1</v>
      </c>
      <c r="K67" s="25" t="inlineStr">
        <is>
          <t>Shipped</t>
        </is>
      </c>
      <c r="L67" s="25" t="inlineStr">
        <is>
          <t>RNDC-MAGNOLIA</t>
        </is>
      </c>
    </row>
    <row r="68">
      <c r="A68" s="25" t="inlineStr">
        <is>
          <t>R1658879A</t>
        </is>
      </c>
      <c r="B68" s="78" t="n">
        <v>44763</v>
      </c>
      <c r="C68" s="25" t="inlineStr">
        <is>
          <t>17766</t>
        </is>
      </c>
      <c r="D68" s="25" t="inlineStr">
        <is>
          <t>EAGLE RARE SINGLE BARREL 10YR BOURBON</t>
        </is>
      </c>
      <c r="E68" s="27" t="n">
        <v>6</v>
      </c>
      <c r="F68" s="28" t="n">
        <v>154.58</v>
      </c>
      <c r="G68" s="27" t="n">
        <v>1</v>
      </c>
      <c r="H68" s="27" t="n">
        <v>1</v>
      </c>
      <c r="I68" s="27" t="n">
        <v>1</v>
      </c>
      <c r="J68" s="27" t="n">
        <v>1</v>
      </c>
      <c r="K68" s="25" t="inlineStr">
        <is>
          <t>Shipped</t>
        </is>
      </c>
      <c r="L68" s="25" t="inlineStr">
        <is>
          <t>RNDC-MAGNOLIA</t>
        </is>
      </c>
    </row>
    <row r="69">
      <c r="A69" s="25" t="inlineStr">
        <is>
          <t>R1738080</t>
        </is>
      </c>
      <c r="B69" s="78" t="n">
        <v>44796</v>
      </c>
      <c r="C69" s="25" t="inlineStr">
        <is>
          <t>17766</t>
        </is>
      </c>
      <c r="D69" s="25" t="inlineStr">
        <is>
          <t>EAGLE RARE SINGLE BARREL 10YR BOURBON</t>
        </is>
      </c>
      <c r="E69" s="27" t="n">
        <v>6</v>
      </c>
      <c r="F69" s="28" t="n">
        <v>155.83</v>
      </c>
      <c r="G69" s="27" t="n">
        <v>1</v>
      </c>
      <c r="H69" s="27" t="n">
        <v>1</v>
      </c>
      <c r="I69" s="27" t="n">
        <v>1</v>
      </c>
      <c r="J69" s="27" t="n">
        <v>1</v>
      </c>
      <c r="K69" s="25" t="inlineStr">
        <is>
          <t>Shipped</t>
        </is>
      </c>
      <c r="L69" s="25" t="inlineStr">
        <is>
          <t>RNDC-MAGNOLIA</t>
        </is>
      </c>
    </row>
    <row r="70">
      <c r="A70" s="25" t="inlineStr">
        <is>
          <t>R1787498</t>
        </is>
      </c>
      <c r="B70" s="78" t="n">
        <v>44830</v>
      </c>
      <c r="C70" s="25" t="inlineStr">
        <is>
          <t>17766</t>
        </is>
      </c>
      <c r="D70" s="25" t="inlineStr">
        <is>
          <t>EAGLE RARE SINGLE BARREL 10YR BOURBON</t>
        </is>
      </c>
      <c r="E70" s="27" t="n">
        <v>6</v>
      </c>
      <c r="F70" s="28" t="n">
        <v>155.83</v>
      </c>
      <c r="G70" s="27" t="n">
        <v>1</v>
      </c>
      <c r="H70" s="27" t="n">
        <v>1</v>
      </c>
      <c r="I70" s="27" t="n">
        <v>1</v>
      </c>
      <c r="J70" s="27" t="n">
        <v>1</v>
      </c>
      <c r="K70" s="25" t="inlineStr">
        <is>
          <t>Shipped</t>
        </is>
      </c>
      <c r="L70" s="25" t="inlineStr">
        <is>
          <t>RNDC-MAGNOLIA</t>
        </is>
      </c>
    </row>
    <row r="71">
      <c r="A71" s="25" t="inlineStr">
        <is>
          <t>R1426199</t>
        </is>
      </c>
      <c r="B71" s="78" t="n">
        <v>44581</v>
      </c>
      <c r="C71" s="25" t="inlineStr">
        <is>
          <t>88502</t>
        </is>
      </c>
      <c r="D71" s="25" t="inlineStr">
        <is>
          <t>EL TESORO EXTRA ANEJO GOLD TEQUILA</t>
        </is>
      </c>
      <c r="E71" s="27" t="n">
        <v>6</v>
      </c>
      <c r="F71" s="28" t="n">
        <v>693.3</v>
      </c>
      <c r="G71" s="27" t="n">
        <v>1</v>
      </c>
      <c r="H71" s="27" t="n">
        <v>1</v>
      </c>
      <c r="I71" s="27" t="n">
        <v>1</v>
      </c>
      <c r="J71" s="27" t="n">
        <v>1</v>
      </c>
      <c r="K71" s="25" t="inlineStr">
        <is>
          <t>Shipped</t>
        </is>
      </c>
      <c r="L71" s="25" t="inlineStr">
        <is>
          <t>SOUTHERN GLAZER'S WINE AND SPIRITS OF MISSISSIPPI LLC</t>
        </is>
      </c>
    </row>
    <row r="72">
      <c r="A72" s="25" t="inlineStr">
        <is>
          <t>R1427227</t>
        </is>
      </c>
      <c r="B72" s="78" t="n">
        <v>44581</v>
      </c>
      <c r="C72" s="25" t="inlineStr">
        <is>
          <t>89290</t>
        </is>
      </c>
      <c r="D72" s="25" t="inlineStr">
        <is>
          <t>EL TESORO PARADISO ANEJO GOLD TEQUILA</t>
        </is>
      </c>
      <c r="E72" s="27" t="n">
        <v>6</v>
      </c>
      <c r="F72" s="28" t="n">
        <v>808.6799999999999</v>
      </c>
      <c r="G72" s="27" t="n">
        <v>1</v>
      </c>
      <c r="H72" s="27" t="n">
        <v>1</v>
      </c>
      <c r="I72" s="27" t="n">
        <v>1</v>
      </c>
      <c r="J72" s="27" t="n">
        <v>1</v>
      </c>
      <c r="K72" s="25" t="inlineStr">
        <is>
          <t>Shipped</t>
        </is>
      </c>
      <c r="L72" s="25" t="inlineStr">
        <is>
          <t>SOUTHERN GLAZER'S WINE AND SPIRITS OF MISSISSIPPI LLC</t>
        </is>
      </c>
    </row>
    <row r="73">
      <c r="A73" s="25" t="inlineStr">
        <is>
          <t>R1661414</t>
        </is>
      </c>
      <c r="B73" s="78" t="n">
        <v>44733</v>
      </c>
      <c r="C73" s="25" t="inlineStr">
        <is>
          <t>17917</t>
        </is>
      </c>
      <c r="D73" s="25" t="inlineStr">
        <is>
          <t>ELIJAH CRAIG BARREL PRF SMALL BATCH 12YR</t>
        </is>
      </c>
      <c r="E73" s="27" t="n">
        <v>6</v>
      </c>
      <c r="F73" s="28" t="n">
        <v>323.05</v>
      </c>
      <c r="G73" s="27" t="n">
        <v>1</v>
      </c>
      <c r="H73" s="27" t="n">
        <v>1</v>
      </c>
      <c r="I73" s="27" t="n">
        <v>1</v>
      </c>
      <c r="J73" s="27" t="n">
        <v>1</v>
      </c>
      <c r="K73" s="25" t="inlineStr">
        <is>
          <t>Shipped</t>
        </is>
      </c>
      <c r="L73" s="25" t="inlineStr">
        <is>
          <t>SOUTHERN GLAZER'S WINE AND SPIRITS OF MISSISSIPPI LLC</t>
        </is>
      </c>
    </row>
    <row r="74">
      <c r="A74" s="25" t="inlineStr">
        <is>
          <t>R1661414</t>
        </is>
      </c>
      <c r="B74" s="78" t="n">
        <v>44733</v>
      </c>
      <c r="C74" s="25" t="inlineStr">
        <is>
          <t>17913</t>
        </is>
      </c>
      <c r="D74" s="25" t="inlineStr">
        <is>
          <t>ELIJAH CRAIG TOASTED BARREL STRAIGHT BOURBON</t>
        </is>
      </c>
      <c r="E74" s="27" t="n">
        <v>6</v>
      </c>
      <c r="F74" s="28" t="n">
        <v>253.82</v>
      </c>
      <c r="G74" s="27" t="n">
        <v>1</v>
      </c>
      <c r="H74" s="27" t="n">
        <v>1</v>
      </c>
      <c r="I74" s="27" t="n">
        <v>1</v>
      </c>
      <c r="J74" s="27" t="n">
        <v>1</v>
      </c>
      <c r="K74" s="25" t="inlineStr">
        <is>
          <t>Shipped</t>
        </is>
      </c>
      <c r="L74" s="25" t="inlineStr">
        <is>
          <t>SOUTHERN GLAZER'S WINE AND SPIRITS OF MISSISSIPPI LLC</t>
        </is>
      </c>
    </row>
    <row r="75">
      <c r="A75" s="25" t="inlineStr">
        <is>
          <t>R1424412</t>
        </is>
      </c>
      <c r="B75" s="78" t="n">
        <v>44581</v>
      </c>
      <c r="C75" s="25" t="inlineStr">
        <is>
          <t>18201</t>
        </is>
      </c>
      <c r="D75" s="25" t="inlineStr">
        <is>
          <t>EZRA BROOKS 99 PROOF BOURBON</t>
        </is>
      </c>
      <c r="E75" s="27" t="n">
        <v>6</v>
      </c>
      <c r="F75" s="28" t="n">
        <v>125.58</v>
      </c>
      <c r="G75" s="27" t="n">
        <v>2</v>
      </c>
      <c r="H75" s="27" t="n">
        <v>2</v>
      </c>
      <c r="I75" s="27" t="n">
        <v>2</v>
      </c>
      <c r="J75" s="27" t="n">
        <v>2</v>
      </c>
      <c r="K75" s="25" t="inlineStr">
        <is>
          <t>Shipped</t>
        </is>
      </c>
      <c r="L75" s="25" t="inlineStr">
        <is>
          <t>SOUTHERN GLAZER'S WINE AND SPIRITS OF MISSISSIPPI LLC</t>
        </is>
      </c>
    </row>
    <row r="76">
      <c r="A76" s="25" t="inlineStr">
        <is>
          <t>R1506019</t>
        </is>
      </c>
      <c r="B76" s="78" t="n">
        <v>44624</v>
      </c>
      <c r="C76" s="25" t="inlineStr">
        <is>
          <t>30076</t>
        </is>
      </c>
      <c r="D76" s="25" t="inlineStr">
        <is>
          <t>FARMER'S BOTANICAL ORGANIC GIN</t>
        </is>
      </c>
      <c r="E76" s="27" t="n">
        <v>6</v>
      </c>
      <c r="F76" s="28" t="n">
        <v>127.55</v>
      </c>
      <c r="G76" s="27" t="n">
        <v>1</v>
      </c>
      <c r="H76" s="27" t="n">
        <v>1</v>
      </c>
      <c r="I76" s="27" t="n">
        <v>1</v>
      </c>
      <c r="J76" s="27" t="n">
        <v>1</v>
      </c>
      <c r="K76" s="25" t="inlineStr">
        <is>
          <t>Shipped</t>
        </is>
      </c>
      <c r="L76" s="25" t="inlineStr">
        <is>
          <t>SOUTHERN GLAZER'S WINE AND SPIRITS OF MISSISSIPPI LLC</t>
        </is>
      </c>
    </row>
    <row r="77">
      <c r="A77" s="25" t="inlineStr">
        <is>
          <t>R1331071A</t>
        </is>
      </c>
      <c r="B77" s="78" t="n">
        <v>44568</v>
      </c>
      <c r="C77" s="25" t="inlineStr">
        <is>
          <t>727511</t>
        </is>
      </c>
      <c r="D77" s="25" t="inlineStr">
        <is>
          <t>GANCIA MOSCATO ROSE DOCG</t>
        </is>
      </c>
      <c r="E77" s="27" t="n">
        <v>24</v>
      </c>
      <c r="F77" s="28" t="n">
        <v>52.09</v>
      </c>
      <c r="G77" s="27" t="n">
        <v>4</v>
      </c>
      <c r="H77" s="27" t="n">
        <v>4</v>
      </c>
      <c r="I77" s="27" t="n">
        <v>4</v>
      </c>
      <c r="J77" s="27" t="n">
        <v>4</v>
      </c>
      <c r="K77" s="25" t="inlineStr">
        <is>
          <t>Shipped</t>
        </is>
      </c>
      <c r="L77" s="25" t="inlineStr">
        <is>
          <t>RNDC-VINTAGE</t>
        </is>
      </c>
    </row>
    <row r="78">
      <c r="A78" s="25" t="inlineStr">
        <is>
          <t>R1509506</t>
        </is>
      </c>
      <c r="B78" s="78" t="n">
        <v>44635</v>
      </c>
      <c r="C78" s="25" t="inlineStr">
        <is>
          <t>89315</t>
        </is>
      </c>
      <c r="D78" s="25" t="inlineStr">
        <is>
          <t>GRAN CENTENARIO LEYENDA TEQUILA</t>
        </is>
      </c>
      <c r="E78" s="27" t="n">
        <v>3</v>
      </c>
      <c r="F78" s="28" t="n">
        <v>339.32</v>
      </c>
      <c r="G78" s="27" t="n">
        <v>2</v>
      </c>
      <c r="H78" s="27" t="n">
        <v>2</v>
      </c>
      <c r="I78" s="27" t="n">
        <v>2</v>
      </c>
      <c r="J78" s="27" t="n">
        <v>2</v>
      </c>
      <c r="K78" s="25" t="inlineStr">
        <is>
          <t>Shipped</t>
        </is>
      </c>
      <c r="L78" s="25" t="inlineStr">
        <is>
          <t>RNDC-MAGNOLIA</t>
        </is>
      </c>
    </row>
    <row r="79">
      <c r="A79" s="25" t="inlineStr">
        <is>
          <t>R1545993</t>
        </is>
      </c>
      <c r="B79" s="78" t="n">
        <v>44655</v>
      </c>
      <c r="C79" s="25" t="inlineStr">
        <is>
          <t>89315</t>
        </is>
      </c>
      <c r="D79" s="25" t="inlineStr">
        <is>
          <t>GRAN CENTENARIO LEYENDA TEQUILA</t>
        </is>
      </c>
      <c r="E79" s="27" t="n">
        <v>3</v>
      </c>
      <c r="F79" s="28" t="n">
        <v>339.32</v>
      </c>
      <c r="G79" s="27" t="n">
        <v>1</v>
      </c>
      <c r="H79" s="27" t="n">
        <v>1</v>
      </c>
      <c r="I79" s="27" t="n">
        <v>1</v>
      </c>
      <c r="J79" s="27" t="n">
        <v>1</v>
      </c>
      <c r="K79" s="25" t="inlineStr">
        <is>
          <t>Shipped</t>
        </is>
      </c>
      <c r="L79" s="25" t="inlineStr">
        <is>
          <t>RNDC-MAGNOLIA</t>
        </is>
      </c>
    </row>
    <row r="80">
      <c r="A80" s="25" t="inlineStr">
        <is>
          <t>R1639065</t>
        </is>
      </c>
      <c r="B80" s="78" t="n">
        <v>44722</v>
      </c>
      <c r="C80" s="25" t="inlineStr">
        <is>
          <t>89315</t>
        </is>
      </c>
      <c r="D80" s="25" t="inlineStr">
        <is>
          <t>GRAN CENTENARIO LEYENDA TEQUILA</t>
        </is>
      </c>
      <c r="E80" s="27" t="n">
        <v>3</v>
      </c>
      <c r="F80" s="28" t="n">
        <v>339.32</v>
      </c>
      <c r="G80" s="27" t="n">
        <v>1</v>
      </c>
      <c r="H80" s="27" t="n">
        <v>1</v>
      </c>
      <c r="I80" s="27" t="n">
        <v>1</v>
      </c>
      <c r="J80" s="27" t="n">
        <v>1</v>
      </c>
      <c r="K80" s="25" t="inlineStr">
        <is>
          <t>Shipped</t>
        </is>
      </c>
      <c r="L80" s="25" t="inlineStr">
        <is>
          <t>RNDC-MAGNOLIA</t>
        </is>
      </c>
    </row>
    <row r="81">
      <c r="A81" s="25" t="inlineStr">
        <is>
          <t>R1493517</t>
        </is>
      </c>
      <c r="B81" s="78" t="n">
        <v>44627</v>
      </c>
      <c r="C81" s="25" t="inlineStr">
        <is>
          <t>89640</t>
        </is>
      </c>
      <c r="D81" s="25" t="inlineStr">
        <is>
          <t>GRAN PATRON PIEDRA EXTRA ANEJO TEQUILA</t>
        </is>
      </c>
      <c r="E81" s="27" t="n">
        <v>4</v>
      </c>
      <c r="F81" s="28" t="n">
        <v>1219.23</v>
      </c>
      <c r="G81" s="27" t="n">
        <v>1</v>
      </c>
      <c r="H81" s="27" t="n">
        <v>1</v>
      </c>
      <c r="I81" s="27" t="n">
        <v>1</v>
      </c>
      <c r="J81" s="27" t="n">
        <v>1</v>
      </c>
      <c r="K81" s="25" t="inlineStr">
        <is>
          <t>Shipped</t>
        </is>
      </c>
      <c r="L81" s="25" t="inlineStr">
        <is>
          <t>SOUTHERN GLAZER'S WINE AND SPIRITS OF MISSISSIPPI LLC</t>
        </is>
      </c>
    </row>
    <row r="82">
      <c r="A82" s="25" t="inlineStr">
        <is>
          <t>R1397260</t>
        </is>
      </c>
      <c r="B82" s="78" t="n">
        <v>44567</v>
      </c>
      <c r="C82" s="25" t="inlineStr">
        <is>
          <t>411841</t>
        </is>
      </c>
      <c r="D82" s="25" t="inlineStr">
        <is>
          <t>GRAND MOSCATO WHITE (MOLDOVA)</t>
        </is>
      </c>
      <c r="E82" s="27" t="n">
        <v>12</v>
      </c>
      <c r="F82" s="28" t="n">
        <v>75.68000000000001</v>
      </c>
      <c r="G82" s="27" t="n">
        <v>2</v>
      </c>
      <c r="H82" s="27" t="n">
        <v>2</v>
      </c>
      <c r="I82" s="27" t="n">
        <v>2</v>
      </c>
      <c r="J82" s="27" t="n">
        <v>2</v>
      </c>
      <c r="K82" s="25" t="inlineStr">
        <is>
          <t>Shipped</t>
        </is>
      </c>
      <c r="L82" s="25" t="inlineStr">
        <is>
          <t>RNDC-VINTAGE</t>
        </is>
      </c>
    </row>
    <row r="83">
      <c r="A83" s="25" t="inlineStr">
        <is>
          <t>R1409839</t>
        </is>
      </c>
      <c r="B83" s="78" t="n">
        <v>44573</v>
      </c>
      <c r="C83" s="25" t="inlineStr">
        <is>
          <t>411841</t>
        </is>
      </c>
      <c r="D83" s="25" t="inlineStr">
        <is>
          <t>GRAND MOSCATO WHITE (MOLDOVA)</t>
        </is>
      </c>
      <c r="E83" s="27" t="n">
        <v>12</v>
      </c>
      <c r="F83" s="28" t="n">
        <v>75.68000000000001</v>
      </c>
      <c r="G83" s="27" t="n">
        <v>1</v>
      </c>
      <c r="H83" s="27" t="n">
        <v>1</v>
      </c>
      <c r="I83" s="27" t="n">
        <v>1</v>
      </c>
      <c r="J83" s="27" t="n">
        <v>1</v>
      </c>
      <c r="K83" s="25" t="inlineStr">
        <is>
          <t>Shipped</t>
        </is>
      </c>
      <c r="L83" s="25" t="inlineStr">
        <is>
          <t>RNDC-VINTAGE</t>
        </is>
      </c>
    </row>
    <row r="84">
      <c r="A84" s="25" t="inlineStr">
        <is>
          <t>R1465626A</t>
        </is>
      </c>
      <c r="B84" s="78" t="n">
        <v>44601</v>
      </c>
      <c r="C84" s="25" t="inlineStr">
        <is>
          <t>411841</t>
        </is>
      </c>
      <c r="D84" s="25" t="inlineStr">
        <is>
          <t>GRAND MOSCATO WHITE (MOLDOVA)</t>
        </is>
      </c>
      <c r="E84" s="27" t="n">
        <v>12</v>
      </c>
      <c r="F84" s="28" t="n">
        <v>75.68000000000001</v>
      </c>
      <c r="G84" s="27" t="n">
        <v>2</v>
      </c>
      <c r="H84" s="27" t="n">
        <v>2</v>
      </c>
      <c r="I84" s="27" t="n">
        <v>2</v>
      </c>
      <c r="J84" s="27" t="n">
        <v>2</v>
      </c>
      <c r="K84" s="25" t="inlineStr">
        <is>
          <t>Shipped</t>
        </is>
      </c>
      <c r="L84" s="25" t="inlineStr">
        <is>
          <t>RNDC-VINTAGE</t>
        </is>
      </c>
    </row>
    <row r="85">
      <c r="A85" s="25" t="inlineStr">
        <is>
          <t>R1465626</t>
        </is>
      </c>
      <c r="B85" s="78" t="n">
        <v>44600</v>
      </c>
      <c r="C85" s="25" t="inlineStr">
        <is>
          <t>411841</t>
        </is>
      </c>
      <c r="D85" s="25" t="inlineStr">
        <is>
          <t>GRAND MOSCATO WHITE (MOLDOVA)</t>
        </is>
      </c>
      <c r="E85" s="27" t="n">
        <v>12</v>
      </c>
      <c r="F85" s="28" t="n">
        <v>75.68000000000001</v>
      </c>
      <c r="G85" s="27" t="n">
        <v>1</v>
      </c>
      <c r="H85" s="27" t="n">
        <v>1</v>
      </c>
      <c r="I85" s="27" t="n">
        <v>1</v>
      </c>
      <c r="J85" s="27" t="n">
        <v>1</v>
      </c>
      <c r="K85" s="25" t="inlineStr">
        <is>
          <t>Shipped</t>
        </is>
      </c>
      <c r="L85" s="25" t="inlineStr">
        <is>
          <t>RNDC-VINTAGE</t>
        </is>
      </c>
    </row>
    <row r="86">
      <c r="A86" s="25" t="inlineStr">
        <is>
          <t>R1514572</t>
        </is>
      </c>
      <c r="B86" s="78" t="n">
        <v>44643</v>
      </c>
      <c r="C86" s="25" t="inlineStr">
        <is>
          <t>411841</t>
        </is>
      </c>
      <c r="D86" s="25" t="inlineStr">
        <is>
          <t>GRAND MOSCATO WHITE (MOLDOVA)</t>
        </is>
      </c>
      <c r="E86" s="27" t="n">
        <v>12</v>
      </c>
      <c r="F86" s="28" t="n">
        <v>75.68000000000001</v>
      </c>
      <c r="G86" s="27" t="n">
        <v>1</v>
      </c>
      <c r="H86" s="27" t="n">
        <v>1</v>
      </c>
      <c r="I86" s="27" t="n">
        <v>1</v>
      </c>
      <c r="J86" s="27" t="n">
        <v>1</v>
      </c>
      <c r="K86" s="25" t="inlineStr">
        <is>
          <t>Shipped</t>
        </is>
      </c>
      <c r="L86" s="25" t="inlineStr">
        <is>
          <t>RNDC-VINTAGE</t>
        </is>
      </c>
    </row>
    <row r="87">
      <c r="A87" s="25" t="inlineStr">
        <is>
          <t>R1551241</t>
        </is>
      </c>
      <c r="B87" s="78" t="n">
        <v>44652</v>
      </c>
      <c r="C87" s="25" t="inlineStr">
        <is>
          <t>411841</t>
        </is>
      </c>
      <c r="D87" s="25" t="inlineStr">
        <is>
          <t>GRAND MOSCATO WHITE (MOLDOVA)</t>
        </is>
      </c>
      <c r="E87" s="27" t="n">
        <v>12</v>
      </c>
      <c r="F87" s="28" t="n">
        <v>75.68000000000001</v>
      </c>
      <c r="G87" s="27" t="n">
        <v>2</v>
      </c>
      <c r="H87" s="27" t="n">
        <v>2</v>
      </c>
      <c r="I87" s="27" t="n">
        <v>2</v>
      </c>
      <c r="J87" s="27" t="n">
        <v>2</v>
      </c>
      <c r="K87" s="25" t="inlineStr">
        <is>
          <t>Shipped</t>
        </is>
      </c>
      <c r="L87" s="25" t="inlineStr">
        <is>
          <t>RNDC-VINTAGE</t>
        </is>
      </c>
    </row>
    <row r="88">
      <c r="A88" s="25" t="inlineStr">
        <is>
          <t>R1638033</t>
        </is>
      </c>
      <c r="B88" s="78" t="n">
        <v>44719</v>
      </c>
      <c r="C88" s="25" t="inlineStr">
        <is>
          <t>411841</t>
        </is>
      </c>
      <c r="D88" s="25" t="inlineStr">
        <is>
          <t>GRAND MOSCATO WHITE (MOLDOVA)</t>
        </is>
      </c>
      <c r="E88" s="27" t="n">
        <v>12</v>
      </c>
      <c r="F88" s="28" t="n">
        <v>75.68000000000001</v>
      </c>
      <c r="G88" s="27" t="n">
        <v>1</v>
      </c>
      <c r="H88" s="27" t="n">
        <v>1</v>
      </c>
      <c r="I88" s="27" t="n">
        <v>1</v>
      </c>
      <c r="J88" s="27" t="n">
        <v>1</v>
      </c>
      <c r="K88" s="25" t="inlineStr">
        <is>
          <t>Shipped</t>
        </is>
      </c>
      <c r="L88" s="25" t="inlineStr">
        <is>
          <t>RNDC-VINTAGE</t>
        </is>
      </c>
    </row>
    <row r="89">
      <c r="A89" s="25" t="inlineStr">
        <is>
          <t>R1558164</t>
        </is>
      </c>
      <c r="B89" s="78" t="n">
        <v>44662</v>
      </c>
      <c r="C89" s="25" t="inlineStr">
        <is>
          <t>48079</t>
        </is>
      </c>
      <c r="D89" s="25" t="inlineStr">
        <is>
          <t>HARDY NOCES D'ARGENT 25 YR COGNAC</t>
        </is>
      </c>
      <c r="E89" s="27" t="n">
        <v>6</v>
      </c>
      <c r="F89" s="28" t="n">
        <v>791.83</v>
      </c>
      <c r="G89" s="27" t="n">
        <v>1</v>
      </c>
      <c r="H89" s="27" t="n">
        <v>1</v>
      </c>
      <c r="I89" s="27" t="n">
        <v>1</v>
      </c>
      <c r="J89" s="27" t="n">
        <v>1</v>
      </c>
      <c r="K89" s="25" t="inlineStr">
        <is>
          <t>Shipped</t>
        </is>
      </c>
      <c r="L89" s="25" t="inlineStr">
        <is>
          <t>RNDC-MAGNOLIA</t>
        </is>
      </c>
    </row>
    <row r="90">
      <c r="A90" s="25" t="inlineStr">
        <is>
          <t>R1416520</t>
        </is>
      </c>
      <c r="B90" s="78" t="n">
        <v>44572</v>
      </c>
      <c r="C90" s="25" t="inlineStr">
        <is>
          <t>74649</t>
        </is>
      </c>
      <c r="D90" s="25" t="inlineStr">
        <is>
          <t>HARTLEY VSOP BRANDY PET</t>
        </is>
      </c>
      <c r="E90" s="27" t="n">
        <v>120</v>
      </c>
      <c r="F90" s="28" t="n">
        <v>40.2</v>
      </c>
      <c r="G90" s="27" t="n">
        <v>2</v>
      </c>
      <c r="H90" s="27" t="n">
        <v>2</v>
      </c>
      <c r="I90" s="27" t="n">
        <v>2</v>
      </c>
      <c r="J90" s="27" t="n">
        <v>2</v>
      </c>
      <c r="K90" s="25" t="inlineStr">
        <is>
          <t>Shipped</t>
        </is>
      </c>
      <c r="L90" s="25" t="inlineStr">
        <is>
          <t>SOUTHERN GLAZER'S WINE AND SPIRITS OF MISSISSIPPI LLC</t>
        </is>
      </c>
    </row>
    <row r="91">
      <c r="A91" s="25" t="inlineStr">
        <is>
          <t>R1349613A</t>
        </is>
      </c>
      <c r="B91" s="78" t="n">
        <v>44594</v>
      </c>
      <c r="C91" s="25" t="inlineStr">
        <is>
          <t>74649</t>
        </is>
      </c>
      <c r="D91" s="25" t="inlineStr">
        <is>
          <t>HARTLEY VSOP BRANDY PET</t>
        </is>
      </c>
      <c r="E91" s="27" t="n">
        <v>120</v>
      </c>
      <c r="F91" s="28" t="n">
        <v>39.2</v>
      </c>
      <c r="G91" s="27" t="n">
        <v>7</v>
      </c>
      <c r="H91" s="27" t="n">
        <v>7</v>
      </c>
      <c r="I91" s="27" t="n">
        <v>7</v>
      </c>
      <c r="J91" s="27" t="n">
        <v>7</v>
      </c>
      <c r="K91" s="25" t="inlineStr">
        <is>
          <t>Shipped</t>
        </is>
      </c>
      <c r="L91" s="25" t="inlineStr">
        <is>
          <t>SOUTHERN GLAZER'S WINE AND SPIRITS OF MISSISSIPPI LLC</t>
        </is>
      </c>
    </row>
    <row r="92">
      <c r="A92" s="25" t="inlineStr">
        <is>
          <t>R1441421</t>
        </is>
      </c>
      <c r="B92" s="78" t="n">
        <v>44589</v>
      </c>
      <c r="C92" s="25" t="inlineStr">
        <is>
          <t>74649</t>
        </is>
      </c>
      <c r="D92" s="25" t="inlineStr">
        <is>
          <t>HARTLEY VSOP BRANDY PET</t>
        </is>
      </c>
      <c r="E92" s="27" t="n">
        <v>120</v>
      </c>
      <c r="F92" s="28" t="n">
        <v>40.2</v>
      </c>
      <c r="G92" s="27" t="n">
        <v>5</v>
      </c>
      <c r="H92" s="27" t="n">
        <v>5</v>
      </c>
      <c r="I92" s="27" t="n">
        <v>5</v>
      </c>
      <c r="J92" s="27" t="n">
        <v>5</v>
      </c>
      <c r="K92" s="25" t="inlineStr">
        <is>
          <t>Shipped</t>
        </is>
      </c>
      <c r="L92" s="25" t="inlineStr">
        <is>
          <t>SOUTHERN GLAZER'S WINE AND SPIRITS OF MISSISSIPPI LLC</t>
        </is>
      </c>
    </row>
    <row r="93">
      <c r="A93" s="25" t="inlineStr">
        <is>
          <t>R1416520A</t>
        </is>
      </c>
      <c r="B93" s="78" t="n">
        <v>44595</v>
      </c>
      <c r="C93" s="25" t="inlineStr">
        <is>
          <t>74649</t>
        </is>
      </c>
      <c r="D93" s="25" t="inlineStr">
        <is>
          <t>HARTLEY VSOP BRANDY PET</t>
        </is>
      </c>
      <c r="E93" s="27" t="n">
        <v>120</v>
      </c>
      <c r="F93" s="28" t="n">
        <v>40.2</v>
      </c>
      <c r="G93" s="27" t="n">
        <v>3</v>
      </c>
      <c r="H93" s="27" t="n">
        <v>3</v>
      </c>
      <c r="I93" s="27" t="n">
        <v>3</v>
      </c>
      <c r="J93" s="27" t="n">
        <v>3</v>
      </c>
      <c r="K93" s="25" t="inlineStr">
        <is>
          <t>Shipped</t>
        </is>
      </c>
      <c r="L93" s="25" t="inlineStr">
        <is>
          <t>SOUTHERN GLAZER'S WINE AND SPIRITS OF MISSISSIPPI LLC</t>
        </is>
      </c>
    </row>
    <row r="94">
      <c r="A94" s="25" t="inlineStr">
        <is>
          <t>R1479055</t>
        </is>
      </c>
      <c r="B94" s="78" t="n">
        <v>44616</v>
      </c>
      <c r="C94" s="25" t="inlineStr">
        <is>
          <t>74649</t>
        </is>
      </c>
      <c r="D94" s="25" t="inlineStr">
        <is>
          <t>HARTLEY VSOP BRANDY PET</t>
        </is>
      </c>
      <c r="E94" s="27" t="n">
        <v>120</v>
      </c>
      <c r="F94" s="28" t="n">
        <v>40.2</v>
      </c>
      <c r="G94" s="27" t="n">
        <v>1</v>
      </c>
      <c r="H94" s="27" t="n">
        <v>1</v>
      </c>
      <c r="I94" s="27" t="n">
        <v>1</v>
      </c>
      <c r="J94" s="27" t="n">
        <v>1</v>
      </c>
      <c r="K94" s="25" t="inlineStr">
        <is>
          <t>Shipped</t>
        </is>
      </c>
      <c r="L94" s="25" t="inlineStr">
        <is>
          <t>SOUTHERN GLAZER'S WINE AND SPIRITS OF MISSISSIPPI LLC</t>
        </is>
      </c>
    </row>
    <row r="95">
      <c r="A95" s="25" t="inlineStr">
        <is>
          <t>R1441421A</t>
        </is>
      </c>
      <c r="B95" s="78" t="n">
        <v>44616</v>
      </c>
      <c r="C95" s="25" t="inlineStr">
        <is>
          <t>74649</t>
        </is>
      </c>
      <c r="D95" s="25" t="inlineStr">
        <is>
          <t>HARTLEY VSOP BRANDY PET</t>
        </is>
      </c>
      <c r="E95" s="27" t="n">
        <v>120</v>
      </c>
      <c r="F95" s="28" t="n">
        <v>40.2</v>
      </c>
      <c r="G95" s="27" t="n">
        <v>5</v>
      </c>
      <c r="H95" s="27" t="n">
        <v>5</v>
      </c>
      <c r="I95" s="27" t="n">
        <v>5</v>
      </c>
      <c r="J95" s="27" t="n">
        <v>4</v>
      </c>
      <c r="K95" s="25" t="inlineStr">
        <is>
          <t>Shipped</t>
        </is>
      </c>
      <c r="L95" s="25" t="inlineStr">
        <is>
          <t>SOUTHERN GLAZER'S WINE AND SPIRITS OF MISSISSIPPI LLC</t>
        </is>
      </c>
    </row>
    <row r="96">
      <c r="A96" s="25" t="inlineStr">
        <is>
          <t>R1531003</t>
        </is>
      </c>
      <c r="B96" s="78" t="n">
        <v>44638</v>
      </c>
      <c r="C96" s="25" t="inlineStr">
        <is>
          <t>74649</t>
        </is>
      </c>
      <c r="D96" s="25" t="inlineStr">
        <is>
          <t>HARTLEY VSOP BRANDY PET</t>
        </is>
      </c>
      <c r="E96" s="27" t="n">
        <v>120</v>
      </c>
      <c r="F96" s="28" t="n">
        <v>40.2</v>
      </c>
      <c r="G96" s="27" t="n">
        <v>10</v>
      </c>
      <c r="H96" s="27" t="n">
        <v>10</v>
      </c>
      <c r="I96" s="27" t="n">
        <v>10</v>
      </c>
      <c r="J96" s="27" t="n">
        <v>10</v>
      </c>
      <c r="K96" s="25" t="inlineStr">
        <is>
          <t>Shipped</t>
        </is>
      </c>
      <c r="L96" s="25" t="inlineStr">
        <is>
          <t>SOUTHERN GLAZER'S WINE AND SPIRITS OF MISSISSIPPI LLC</t>
        </is>
      </c>
    </row>
    <row r="97">
      <c r="A97" s="25" t="inlineStr">
        <is>
          <t>R1479055A</t>
        </is>
      </c>
      <c r="B97" s="78" t="n">
        <v>44658</v>
      </c>
      <c r="C97" s="25" t="inlineStr">
        <is>
          <t>74649</t>
        </is>
      </c>
      <c r="D97" s="25" t="inlineStr">
        <is>
          <t>HARTLEY VSOP BRANDY PET</t>
        </is>
      </c>
      <c r="E97" s="27" t="n">
        <v>120</v>
      </c>
      <c r="F97" s="28" t="n">
        <v>40.2</v>
      </c>
      <c r="G97" s="27" t="n">
        <v>4</v>
      </c>
      <c r="H97" s="27" t="n">
        <v>4</v>
      </c>
      <c r="I97" s="27" t="n">
        <v>4</v>
      </c>
      <c r="J97" s="27" t="n">
        <v>4</v>
      </c>
      <c r="K97" s="25" t="inlineStr">
        <is>
          <t>Shipped</t>
        </is>
      </c>
      <c r="L97" s="25" t="inlineStr">
        <is>
          <t>SOUTHERN GLAZER'S WINE AND SPIRITS OF MISSISSIPPI LLC</t>
        </is>
      </c>
    </row>
    <row r="98">
      <c r="A98" s="25" t="inlineStr">
        <is>
          <t>R1551240</t>
        </is>
      </c>
      <c r="B98" s="78" t="n">
        <v>44652</v>
      </c>
      <c r="C98" s="25" t="inlineStr">
        <is>
          <t>74649</t>
        </is>
      </c>
      <c r="D98" s="25" t="inlineStr">
        <is>
          <t>HARTLEY VSOP BRANDY PET</t>
        </is>
      </c>
      <c r="E98" s="27" t="n">
        <v>120</v>
      </c>
      <c r="F98" s="28" t="n">
        <v>40.2</v>
      </c>
      <c r="G98" s="27" t="n">
        <v>5</v>
      </c>
      <c r="H98" s="27" t="n">
        <v>5</v>
      </c>
      <c r="I98" s="27" t="n">
        <v>5</v>
      </c>
      <c r="J98" s="27" t="n">
        <v>5</v>
      </c>
      <c r="K98" s="25" t="inlineStr">
        <is>
          <t>Shipped</t>
        </is>
      </c>
      <c r="L98" s="25" t="inlineStr">
        <is>
          <t>SOUTHERN GLAZER'S WINE AND SPIRITS OF MISSISSIPPI LLC</t>
        </is>
      </c>
    </row>
    <row r="99">
      <c r="A99" s="25" t="inlineStr">
        <is>
          <t>R1552189</t>
        </is>
      </c>
      <c r="B99" s="78" t="n">
        <v>44658</v>
      </c>
      <c r="C99" s="25" t="inlineStr">
        <is>
          <t>74649</t>
        </is>
      </c>
      <c r="D99" s="25" t="inlineStr">
        <is>
          <t>HARTLEY VSOP BRANDY PET</t>
        </is>
      </c>
      <c r="E99" s="27" t="n">
        <v>120</v>
      </c>
      <c r="F99" s="28" t="n">
        <v>40.2</v>
      </c>
      <c r="G99" s="27" t="n">
        <v>1</v>
      </c>
      <c r="H99" s="27" t="n">
        <v>1</v>
      </c>
      <c r="I99" s="27" t="n">
        <v>1</v>
      </c>
      <c r="J99" s="27" t="n">
        <v>1</v>
      </c>
      <c r="K99" s="25" t="inlineStr">
        <is>
          <t>Shipped</t>
        </is>
      </c>
      <c r="L99" s="25" t="inlineStr">
        <is>
          <t>SOUTHERN GLAZER'S WINE AND SPIRITS OF MISSISSIPPI LLC</t>
        </is>
      </c>
    </row>
    <row r="100">
      <c r="A100" s="25" t="inlineStr">
        <is>
          <t>R1551240A</t>
        </is>
      </c>
      <c r="B100" s="78" t="n">
        <v>44714</v>
      </c>
      <c r="C100" s="25" t="inlineStr">
        <is>
          <t>74649</t>
        </is>
      </c>
      <c r="D100" s="25" t="inlineStr">
        <is>
          <t>HARTLEY VSOP BRANDY PET</t>
        </is>
      </c>
      <c r="E100" s="27" t="n">
        <v>120</v>
      </c>
      <c r="F100" s="28" t="n">
        <v>40.2</v>
      </c>
      <c r="G100" s="27" t="n">
        <v>15</v>
      </c>
      <c r="H100" s="27" t="n">
        <v>15</v>
      </c>
      <c r="I100" s="27" t="n">
        <v>15</v>
      </c>
      <c r="J100" s="27" t="n">
        <v>15</v>
      </c>
      <c r="K100" s="25" t="inlineStr">
        <is>
          <t>Shipped</t>
        </is>
      </c>
      <c r="L100" s="25" t="inlineStr">
        <is>
          <t>SOUTHERN GLAZER'S WINE AND SPIRITS OF MISSISSIPPI LLC</t>
        </is>
      </c>
    </row>
    <row r="101">
      <c r="A101" s="25" t="inlineStr">
        <is>
          <t>R1697678</t>
        </is>
      </c>
      <c r="B101" s="78" t="n">
        <v>44764</v>
      </c>
      <c r="C101" s="25" t="inlineStr">
        <is>
          <t>74649</t>
        </is>
      </c>
      <c r="D101" s="25" t="inlineStr">
        <is>
          <t>HARTLEY VSOP BRANDY PET</t>
        </is>
      </c>
      <c r="E101" s="27" t="n">
        <v>120</v>
      </c>
      <c r="F101" s="28" t="n">
        <v>41.45</v>
      </c>
      <c r="G101" s="27" t="n">
        <v>2</v>
      </c>
      <c r="H101" s="27" t="n">
        <v>2</v>
      </c>
      <c r="I101" s="27" t="n">
        <v>2</v>
      </c>
      <c r="J101" s="27" t="n">
        <v>2</v>
      </c>
      <c r="K101" s="25" t="inlineStr">
        <is>
          <t>Shipped</t>
        </is>
      </c>
      <c r="L101" s="25" t="inlineStr">
        <is>
          <t>SOUTHERN GLAZER'S WINE AND SPIRITS OF MISSISSIPPI LLC</t>
        </is>
      </c>
    </row>
    <row r="102">
      <c r="A102" s="25" t="inlineStr">
        <is>
          <t>R1780935</t>
        </is>
      </c>
      <c r="B102" s="78" t="n">
        <v>44819</v>
      </c>
      <c r="C102" s="25" t="inlineStr">
        <is>
          <t>74649</t>
        </is>
      </c>
      <c r="D102" s="25" t="inlineStr">
        <is>
          <t>HARTLEY VSOP BRANDY PET</t>
        </is>
      </c>
      <c r="E102" s="27" t="n">
        <v>120</v>
      </c>
      <c r="F102" s="28" t="n">
        <v>41.45</v>
      </c>
      <c r="G102" s="27" t="n">
        <v>6</v>
      </c>
      <c r="H102" s="27" t="n">
        <v>6</v>
      </c>
      <c r="I102" s="27" t="n">
        <v>6</v>
      </c>
      <c r="J102" s="27" t="n">
        <v>6</v>
      </c>
      <c r="K102" s="25" t="inlineStr">
        <is>
          <t>Shipped</t>
        </is>
      </c>
      <c r="L102" s="25" t="inlineStr">
        <is>
          <t>SOUTHERN GLAZER'S WINE AND SPIRITS OF MISSISSIPPI LLC</t>
        </is>
      </c>
    </row>
    <row r="103">
      <c r="A103" s="25" t="inlineStr">
        <is>
          <t>R1411171</t>
        </is>
      </c>
      <c r="B103" s="78" t="n">
        <v>44572</v>
      </c>
      <c r="C103" s="25" t="inlineStr">
        <is>
          <t>43519</t>
        </is>
      </c>
      <c r="D103" s="25" t="inlineStr">
        <is>
          <t>HAVANA CLUB ANEJO CLASICO DARK RUM</t>
        </is>
      </c>
      <c r="E103" s="27" t="n">
        <v>12</v>
      </c>
      <c r="F103" s="28" t="n">
        <v>212.09</v>
      </c>
      <c r="G103" s="27" t="n">
        <v>1</v>
      </c>
      <c r="H103" s="27" t="n">
        <v>1</v>
      </c>
      <c r="I103" s="27" t="n">
        <v>1</v>
      </c>
      <c r="J103" s="27" t="n">
        <v>1</v>
      </c>
      <c r="K103" s="25" t="inlineStr">
        <is>
          <t>Shipped</t>
        </is>
      </c>
      <c r="L103" s="25" t="inlineStr">
        <is>
          <t>SOUTHERN GLAZER'S WINE AND SPIRITS OF MISSISSIPPI LLC</t>
        </is>
      </c>
    </row>
    <row r="104">
      <c r="A104" s="25" t="inlineStr">
        <is>
          <t>R1500378</t>
        </is>
      </c>
      <c r="B104" s="78" t="n">
        <v>44624</v>
      </c>
      <c r="C104" s="25" t="inlineStr">
        <is>
          <t>89321</t>
        </is>
      </c>
      <c r="D104" s="25" t="inlineStr">
        <is>
          <t>HERRADURA ANEJO TEQUILA</t>
        </is>
      </c>
      <c r="E104" s="27" t="n">
        <v>60</v>
      </c>
      <c r="F104" s="28" t="n">
        <v>154.86</v>
      </c>
      <c r="G104" s="27" t="n">
        <v>1</v>
      </c>
      <c r="H104" s="27" t="n">
        <v>1</v>
      </c>
      <c r="I104" s="27" t="n">
        <v>1</v>
      </c>
      <c r="J104" s="27" t="n">
        <v>1</v>
      </c>
      <c r="K104" s="25" t="inlineStr">
        <is>
          <t>Shipped</t>
        </is>
      </c>
      <c r="L104" s="25" t="inlineStr">
        <is>
          <t>UNITED JOHNSON BROTHERS OF MS</t>
        </is>
      </c>
    </row>
    <row r="105">
      <c r="A105" s="25" t="inlineStr">
        <is>
          <t>R1452659</t>
        </is>
      </c>
      <c r="B105" s="78" t="n">
        <v>44601</v>
      </c>
      <c r="C105" s="25" t="inlineStr">
        <is>
          <t>89330</t>
        </is>
      </c>
      <c r="D105" s="25" t="inlineStr">
        <is>
          <t>HERRADURA SELECCION SUPREMA GOLD TEQUILA</t>
        </is>
      </c>
      <c r="E105" s="27" t="n">
        <v>3</v>
      </c>
      <c r="F105" s="28" t="n">
        <v>692.8200000000001</v>
      </c>
      <c r="G105" s="27" t="n">
        <v>1</v>
      </c>
      <c r="H105" s="27" t="n">
        <v>1</v>
      </c>
      <c r="I105" s="27" t="n">
        <v>1</v>
      </c>
      <c r="J105" s="27" t="n">
        <v>1</v>
      </c>
      <c r="K105" s="25" t="inlineStr">
        <is>
          <t>Shipped</t>
        </is>
      </c>
      <c r="L105" s="25" t="inlineStr">
        <is>
          <t>UNITED JOHNSON BROTHERS OF MS</t>
        </is>
      </c>
    </row>
    <row r="106">
      <c r="A106" s="25" t="inlineStr">
        <is>
          <t>R1554035</t>
        </is>
      </c>
      <c r="B106" s="78" t="n">
        <v>44659</v>
      </c>
      <c r="C106" s="25" t="inlineStr">
        <is>
          <t>89330</t>
        </is>
      </c>
      <c r="D106" s="25" t="inlineStr">
        <is>
          <t>HERRADURA SELECCION SUPREMA GOLD TEQUILA</t>
        </is>
      </c>
      <c r="E106" s="27" t="n">
        <v>3</v>
      </c>
      <c r="F106" s="28" t="n">
        <v>692.8200000000001</v>
      </c>
      <c r="G106" s="27" t="n">
        <v>1</v>
      </c>
      <c r="H106" s="27" t="n">
        <v>1</v>
      </c>
      <c r="I106" s="27" t="n">
        <v>1</v>
      </c>
      <c r="J106" s="27" t="n">
        <v>1</v>
      </c>
      <c r="K106" s="25" t="inlineStr">
        <is>
          <t>Shipped</t>
        </is>
      </c>
      <c r="L106" s="25" t="inlineStr">
        <is>
          <t>UNITED JOHNSON BROTHERS OF MS</t>
        </is>
      </c>
    </row>
    <row r="107">
      <c r="A107" s="25" t="inlineStr">
        <is>
          <t>R1500378</t>
        </is>
      </c>
      <c r="B107" s="78" t="n">
        <v>44624</v>
      </c>
      <c r="C107" s="25" t="inlineStr">
        <is>
          <t>87841</t>
        </is>
      </c>
      <c r="D107" s="25" t="inlineStr">
        <is>
          <t>HERRADURA SILVER TEQUILA</t>
        </is>
      </c>
      <c r="E107" s="27" t="n">
        <v>60</v>
      </c>
      <c r="F107" s="28" t="n">
        <v>141.99</v>
      </c>
      <c r="G107" s="27" t="n">
        <v>1</v>
      </c>
      <c r="H107" s="27" t="n">
        <v>1</v>
      </c>
      <c r="I107" s="27" t="n">
        <v>1</v>
      </c>
      <c r="J107" s="27" t="n">
        <v>1</v>
      </c>
      <c r="K107" s="25" t="inlineStr">
        <is>
          <t>Shipped</t>
        </is>
      </c>
      <c r="L107" s="25" t="inlineStr">
        <is>
          <t>UNITED JOHNSON BROTHERS OF MS</t>
        </is>
      </c>
    </row>
    <row r="108">
      <c r="A108" s="25" t="inlineStr">
        <is>
          <t>R1606168</t>
        </is>
      </c>
      <c r="B108" s="78" t="n">
        <v>44687</v>
      </c>
      <c r="C108" s="25" t="inlineStr">
        <is>
          <t>88728</t>
        </is>
      </c>
      <c r="D108" s="25" t="inlineStr">
        <is>
          <t>HERRADURA ULTRA ANEJO TEQUILA</t>
        </is>
      </c>
      <c r="E108" s="27" t="n">
        <v>12</v>
      </c>
      <c r="F108" s="28" t="n">
        <v>249.49</v>
      </c>
      <c r="G108" s="27" t="n">
        <v>3</v>
      </c>
      <c r="H108" s="27" t="n">
        <v>3</v>
      </c>
      <c r="I108" s="27" t="n">
        <v>3</v>
      </c>
      <c r="J108" s="27" t="n">
        <v>3</v>
      </c>
      <c r="K108" s="25" t="inlineStr">
        <is>
          <t>Shipped</t>
        </is>
      </c>
      <c r="L108" s="25" t="inlineStr">
        <is>
          <t>UNITED JOHNSON BROTHERS OF MS</t>
        </is>
      </c>
    </row>
    <row r="109">
      <c r="A109" s="25" t="inlineStr">
        <is>
          <t>R1431589</t>
        </is>
      </c>
      <c r="B109" s="78" t="n">
        <v>44589</v>
      </c>
      <c r="C109" s="25" t="inlineStr">
        <is>
          <t>948729</t>
        </is>
      </c>
      <c r="D109" s="25" t="inlineStr">
        <is>
          <t>HORNITOS REPOSADO GOLD</t>
        </is>
      </c>
      <c r="E109" s="27" t="n">
        <v>12</v>
      </c>
      <c r="F109" s="28" t="n">
        <v>95.25</v>
      </c>
      <c r="G109" s="27" t="n">
        <v>2</v>
      </c>
      <c r="H109" s="27" t="n">
        <v>2</v>
      </c>
      <c r="I109" s="27" t="n">
        <v>2</v>
      </c>
      <c r="J109" s="27" t="n">
        <v>2</v>
      </c>
      <c r="K109" s="25" t="inlineStr">
        <is>
          <t>Shipped</t>
        </is>
      </c>
      <c r="L109" s="25" t="inlineStr">
        <is>
          <t>SOUTHERN GLAZER'S WINE AND SPIRITS OF MISSISSIPPI LLC</t>
        </is>
      </c>
    </row>
    <row r="110">
      <c r="A110" s="25" t="inlineStr">
        <is>
          <t>R1504198</t>
        </is>
      </c>
      <c r="B110" s="78" t="n">
        <v>44636</v>
      </c>
      <c r="C110" s="25" t="inlineStr">
        <is>
          <t>948729</t>
        </is>
      </c>
      <c r="D110" s="25" t="inlineStr">
        <is>
          <t>HORNITOS REPOSADO GOLD</t>
        </is>
      </c>
      <c r="E110" s="27" t="n">
        <v>12</v>
      </c>
      <c r="F110" s="28" t="n">
        <v>95.25</v>
      </c>
      <c r="G110" s="27" t="n">
        <v>2</v>
      </c>
      <c r="H110" s="27" t="n">
        <v>2</v>
      </c>
      <c r="I110" s="27" t="n">
        <v>2</v>
      </c>
      <c r="J110" s="27" t="n">
        <v>2</v>
      </c>
      <c r="K110" s="25" t="inlineStr">
        <is>
          <t>Shipped</t>
        </is>
      </c>
      <c r="L110" s="25" t="inlineStr">
        <is>
          <t>SOUTHERN GLAZER'S WINE AND SPIRITS OF MISSISSIPPI LLC</t>
        </is>
      </c>
    </row>
    <row r="111">
      <c r="A111" s="25" t="inlineStr">
        <is>
          <t>R1666750</t>
        </is>
      </c>
      <c r="B111" s="78" t="n">
        <v>44735</v>
      </c>
      <c r="C111" s="25" t="inlineStr">
        <is>
          <t>948729</t>
        </is>
      </c>
      <c r="D111" s="25" t="inlineStr">
        <is>
          <t>HORNITOS REPOSADO GOLD</t>
        </is>
      </c>
      <c r="E111" s="27" t="n">
        <v>12</v>
      </c>
      <c r="F111" s="28" t="n">
        <v>95.25</v>
      </c>
      <c r="G111" s="27" t="n">
        <v>1</v>
      </c>
      <c r="H111" s="27" t="n">
        <v>1</v>
      </c>
      <c r="I111" s="27" t="n">
        <v>1</v>
      </c>
      <c r="J111" s="27" t="n">
        <v>1</v>
      </c>
      <c r="K111" s="25" t="inlineStr">
        <is>
          <t>Shipped</t>
        </is>
      </c>
      <c r="L111" s="25" t="inlineStr">
        <is>
          <t>SOUTHERN GLAZER'S WINE AND SPIRITS OF MISSISSIPPI LLC</t>
        </is>
      </c>
    </row>
    <row r="112">
      <c r="A112" s="25" t="inlineStr">
        <is>
          <t>R1439053</t>
        </is>
      </c>
      <c r="B112" s="78" t="n">
        <v>44594</v>
      </c>
      <c r="C112" s="25" t="inlineStr">
        <is>
          <t>65495</t>
        </is>
      </c>
      <c r="D112" s="25" t="inlineStr">
        <is>
          <t>JAMESON ORANGE</t>
        </is>
      </c>
      <c r="E112" s="27" t="n">
        <v>120</v>
      </c>
      <c r="F112" s="28" t="n">
        <v>102.87</v>
      </c>
      <c r="G112" s="27" t="n">
        <v>1</v>
      </c>
      <c r="H112" s="27" t="n">
        <v>1</v>
      </c>
      <c r="I112" s="27" t="n">
        <v>1</v>
      </c>
      <c r="J112" s="27" t="n">
        <v>1</v>
      </c>
      <c r="K112" s="25" t="inlineStr">
        <is>
          <t>Shipped</t>
        </is>
      </c>
      <c r="L112" s="25" t="inlineStr">
        <is>
          <t>SOUTHERN GLAZER'S WINE AND SPIRITS OF MISSISSIPPI LLC</t>
        </is>
      </c>
    </row>
    <row r="113">
      <c r="A113" s="25" t="inlineStr">
        <is>
          <t>R1439053A</t>
        </is>
      </c>
      <c r="B113" s="78" t="n">
        <v>44600</v>
      </c>
      <c r="C113" s="25" t="inlineStr">
        <is>
          <t>65487</t>
        </is>
      </c>
      <c r="D113" s="25" t="inlineStr">
        <is>
          <t>JAMESON ORANGE 750 ML</t>
        </is>
      </c>
      <c r="E113" s="27" t="n">
        <v>6</v>
      </c>
      <c r="F113" s="28" t="n">
        <v>130.18</v>
      </c>
      <c r="G113" s="27" t="n">
        <v>1</v>
      </c>
      <c r="H113" s="27" t="n">
        <v>1</v>
      </c>
      <c r="I113" s="27" t="n">
        <v>1</v>
      </c>
      <c r="J113" s="27" t="n">
        <v>1</v>
      </c>
      <c r="K113" s="25" t="inlineStr">
        <is>
          <t>Shipped</t>
        </is>
      </c>
      <c r="L113" s="25" t="inlineStr">
        <is>
          <t>SOUTHERN GLAZER'S WINE AND SPIRITS OF MISSISSIPPI LLC</t>
        </is>
      </c>
    </row>
    <row r="114">
      <c r="A114" s="25" t="inlineStr">
        <is>
          <t>R1609150</t>
        </is>
      </c>
      <c r="B114" s="78" t="n">
        <v>44699</v>
      </c>
      <c r="C114" s="25" t="inlineStr">
        <is>
          <t>5242</t>
        </is>
      </c>
      <c r="D114" s="25" t="inlineStr">
        <is>
          <t>JOHNNIE WALKER 18 YEAR BLENDED SCOTCH</t>
        </is>
      </c>
      <c r="E114" s="27" t="n">
        <v>6</v>
      </c>
      <c r="F114" s="28" t="n">
        <v>416.3</v>
      </c>
      <c r="G114" s="27" t="n">
        <v>1</v>
      </c>
      <c r="H114" s="27" t="n">
        <v>1</v>
      </c>
      <c r="I114" s="27" t="n">
        <v>1</v>
      </c>
      <c r="J114" s="27" t="n">
        <v>1</v>
      </c>
      <c r="K114" s="25" t="inlineStr">
        <is>
          <t>Shipped</t>
        </is>
      </c>
      <c r="L114" s="25" t="inlineStr">
        <is>
          <t>SOUTHERN GLAZER'S WINE AND SPIRITS OF MISSISSIPPI LLC</t>
        </is>
      </c>
    </row>
    <row r="115">
      <c r="A115" s="25" t="inlineStr">
        <is>
          <t>R1689603</t>
        </is>
      </c>
      <c r="B115" s="78" t="n">
        <v>44760</v>
      </c>
      <c r="C115" s="25" t="inlineStr">
        <is>
          <t>5242</t>
        </is>
      </c>
      <c r="D115" s="25" t="inlineStr">
        <is>
          <t>JOHNNIE WALKER 18 YEAR BLENDED SCOTCH</t>
        </is>
      </c>
      <c r="E115" s="27" t="n">
        <v>6</v>
      </c>
      <c r="F115" s="28" t="n">
        <v>417.55</v>
      </c>
      <c r="G115" s="27" t="n">
        <v>1</v>
      </c>
      <c r="H115" s="27" t="n">
        <v>1</v>
      </c>
      <c r="I115" s="27" t="n">
        <v>1</v>
      </c>
      <c r="J115" s="27" t="n">
        <v>1</v>
      </c>
      <c r="K115" s="25" t="inlineStr">
        <is>
          <t>Shipped</t>
        </is>
      </c>
      <c r="L115" s="25" t="inlineStr">
        <is>
          <t>SOUTHERN GLAZER'S WINE AND SPIRITS OF MISSISSIPPI LLC</t>
        </is>
      </c>
    </row>
    <row r="116">
      <c r="A116" s="25" t="inlineStr">
        <is>
          <t>R1442857</t>
        </is>
      </c>
      <c r="B116" s="78" t="n">
        <v>44596</v>
      </c>
      <c r="C116" s="25" t="inlineStr">
        <is>
          <t>6038</t>
        </is>
      </c>
      <c r="D116" s="25" t="inlineStr">
        <is>
          <t>JOHNNIE WALKER BLUE LABEL YEAR OF THE TIGER</t>
        </is>
      </c>
      <c r="E116" s="27" t="n">
        <v>4</v>
      </c>
      <c r="F116" s="28" t="n">
        <v>749.4</v>
      </c>
      <c r="G116" s="27" t="n">
        <v>1</v>
      </c>
      <c r="H116" s="27" t="n">
        <v>1</v>
      </c>
      <c r="I116" s="27" t="n">
        <v>1</v>
      </c>
      <c r="J116" s="27" t="n">
        <v>1</v>
      </c>
      <c r="K116" s="25" t="inlineStr">
        <is>
          <t>Shipped</t>
        </is>
      </c>
      <c r="L116" s="25" t="inlineStr">
        <is>
          <t>SOUTHERN GLAZER'S WINE AND SPIRITS OF MISSISSIPPI LLC</t>
        </is>
      </c>
    </row>
    <row r="117">
      <c r="A117" s="25" t="inlineStr">
        <is>
          <t>R1661986</t>
        </is>
      </c>
      <c r="B117" s="78" t="n">
        <v>44748</v>
      </c>
      <c r="C117" s="25" t="inlineStr">
        <is>
          <t>5350</t>
        </is>
      </c>
      <c r="D117" s="25" t="inlineStr">
        <is>
          <t>JOHNNIE WALKER PURE MALT GREEN</t>
        </is>
      </c>
      <c r="E117" s="27" t="n">
        <v>6</v>
      </c>
      <c r="F117" s="28" t="n">
        <v>302.18</v>
      </c>
      <c r="G117" s="27" t="n">
        <v>1</v>
      </c>
      <c r="H117" s="27" t="n">
        <v>1</v>
      </c>
      <c r="I117" s="27" t="n">
        <v>1</v>
      </c>
      <c r="J117" s="27" t="n">
        <v>1</v>
      </c>
      <c r="K117" s="25" t="inlineStr">
        <is>
          <t>Shipped</t>
        </is>
      </c>
      <c r="L117" s="25" t="inlineStr">
        <is>
          <t>SOUTHERN GLAZER'S WINE AND SPIRITS OF MISSISSIPPI LLC</t>
        </is>
      </c>
    </row>
    <row r="118">
      <c r="A118" s="25" t="inlineStr">
        <is>
          <t>R1614328</t>
        </is>
      </c>
      <c r="B118" s="78" t="n">
        <v>44700</v>
      </c>
      <c r="C118" s="25" t="inlineStr">
        <is>
          <t>5341</t>
        </is>
      </c>
      <c r="D118" s="25" t="inlineStr">
        <is>
          <t>JOHNNIE WALKER RED LABEL</t>
        </is>
      </c>
      <c r="E118" s="27" t="n">
        <v>120</v>
      </c>
      <c r="F118" s="28" t="n">
        <v>177.37</v>
      </c>
      <c r="G118" s="27" t="n">
        <v>1</v>
      </c>
      <c r="H118" s="27" t="n">
        <v>1</v>
      </c>
      <c r="I118" s="27" t="n">
        <v>1</v>
      </c>
      <c r="J118" s="27" t="n">
        <v>1</v>
      </c>
      <c r="K118" s="25" t="inlineStr">
        <is>
          <t>Shipped</t>
        </is>
      </c>
      <c r="L118" s="25" t="inlineStr">
        <is>
          <t>SOUTHERN GLAZER'S WINE AND SPIRITS OF MISSISSIPPI LLC</t>
        </is>
      </c>
    </row>
    <row r="119">
      <c r="A119" s="25" t="inlineStr">
        <is>
          <t>R1455671</t>
        </is>
      </c>
      <c r="B119" s="78" t="n">
        <v>44595</v>
      </c>
      <c r="C119" s="25" t="inlineStr">
        <is>
          <t>26378</t>
        </is>
      </c>
      <c r="D119" s="25" t="inlineStr">
        <is>
          <t>JOURNEYMAN DISTILLERY FEATHERBONE BOURBON</t>
        </is>
      </c>
      <c r="E119" s="27" t="n">
        <v>6</v>
      </c>
      <c r="F119" s="28" t="n">
        <v>231.72</v>
      </c>
      <c r="G119" s="27" t="n">
        <v>1</v>
      </c>
      <c r="H119" s="27" t="n">
        <v>1</v>
      </c>
      <c r="I119" s="27" t="n">
        <v>1</v>
      </c>
      <c r="J119" s="27" t="n">
        <v>1</v>
      </c>
      <c r="K119" s="25" t="inlineStr">
        <is>
          <t>Shipped</t>
        </is>
      </c>
      <c r="L119" s="25" t="inlineStr">
        <is>
          <t>SOUTHERN GLAZER'S WINE AND SPIRITS OF MISSISSIPPI LLC</t>
        </is>
      </c>
    </row>
    <row r="120">
      <c r="A120" s="25" t="inlineStr">
        <is>
          <t>R1546889A</t>
        </is>
      </c>
      <c r="B120" s="78" t="n">
        <v>44678</v>
      </c>
      <c r="C120" s="25" t="inlineStr">
        <is>
          <t>19239</t>
        </is>
      </c>
      <c r="D120" s="25" t="inlineStr">
        <is>
          <t>KNOB CREEK 12 YEAR SMALL BATCH</t>
        </is>
      </c>
      <c r="E120" s="27" t="n">
        <v>6</v>
      </c>
      <c r="F120" s="28" t="n">
        <v>324.06</v>
      </c>
      <c r="G120" s="27" t="n">
        <v>2</v>
      </c>
      <c r="H120" s="27" t="n">
        <v>2</v>
      </c>
      <c r="I120" s="27" t="n">
        <v>2</v>
      </c>
      <c r="J120" s="27" t="n">
        <v>2</v>
      </c>
      <c r="K120" s="25" t="inlineStr">
        <is>
          <t>Shipped</t>
        </is>
      </c>
      <c r="L120" s="25" t="inlineStr">
        <is>
          <t>SOUTHERN GLAZER'S WINE AND SPIRITS OF MISSISSIPPI LLC</t>
        </is>
      </c>
    </row>
    <row r="121">
      <c r="A121" s="25" t="inlineStr">
        <is>
          <t>R1546889</t>
        </is>
      </c>
      <c r="B121" s="78" t="n">
        <v>44658</v>
      </c>
      <c r="C121" s="25" t="inlineStr">
        <is>
          <t>19243</t>
        </is>
      </c>
      <c r="D121" s="25" t="inlineStr">
        <is>
          <t>KNOB CREEK 15 YEAR SMALL BATCH</t>
        </is>
      </c>
      <c r="E121" s="27" t="n">
        <v>6</v>
      </c>
      <c r="F121" s="28" t="n">
        <v>554.8200000000001</v>
      </c>
      <c r="G121" s="27" t="n">
        <v>1</v>
      </c>
      <c r="H121" s="27" t="n">
        <v>1</v>
      </c>
      <c r="I121" s="27" t="n">
        <v>1</v>
      </c>
      <c r="J121" s="27" t="n">
        <v>1</v>
      </c>
      <c r="K121" s="25" t="inlineStr">
        <is>
          <t>Shipped</t>
        </is>
      </c>
      <c r="L121" s="25" t="inlineStr">
        <is>
          <t>SOUTHERN GLAZER'S WINE AND SPIRITS OF MISSISSIPPI LLC</t>
        </is>
      </c>
    </row>
    <row r="122">
      <c r="A122" s="25" t="inlineStr">
        <is>
          <t>R1661414A</t>
        </is>
      </c>
      <c r="B122" s="78" t="n">
        <v>44769</v>
      </c>
      <c r="C122" s="25" t="inlineStr">
        <is>
          <t>18860</t>
        </is>
      </c>
      <c r="D122" s="25" t="inlineStr">
        <is>
          <t>LARCENY KSBW BARREL PROOF</t>
        </is>
      </c>
      <c r="E122" s="27" t="n">
        <v>3</v>
      </c>
      <c r="F122" s="28" t="n">
        <v>138.44</v>
      </c>
      <c r="G122" s="27" t="n">
        <v>1</v>
      </c>
      <c r="H122" s="27" t="n">
        <v>1</v>
      </c>
      <c r="I122" s="27" t="n">
        <v>1</v>
      </c>
      <c r="J122" s="27" t="n">
        <v>1</v>
      </c>
      <c r="K122" s="25" t="inlineStr">
        <is>
          <t>Shipped</t>
        </is>
      </c>
      <c r="L122" s="25" t="inlineStr">
        <is>
          <t>SOUTHERN GLAZER'S WINE AND SPIRITS OF MISSISSIPPI LLC</t>
        </is>
      </c>
    </row>
    <row r="123">
      <c r="A123" s="25" t="inlineStr">
        <is>
          <t>R1427467A</t>
        </is>
      </c>
      <c r="B123" s="78" t="n">
        <v>44586</v>
      </c>
      <c r="C123" s="25" t="inlineStr">
        <is>
          <t>86582</t>
        </is>
      </c>
      <c r="D123" s="25" t="inlineStr">
        <is>
          <t>LEGENT TWO TRUE LEGENDS</t>
        </is>
      </c>
      <c r="E123" s="27" t="n">
        <v>6</v>
      </c>
      <c r="F123" s="28" t="n">
        <v>185.59</v>
      </c>
      <c r="G123" s="27" t="n">
        <v>4</v>
      </c>
      <c r="H123" s="27" t="n">
        <v>4</v>
      </c>
      <c r="I123" s="27" t="n">
        <v>4</v>
      </c>
      <c r="J123" s="27" t="n">
        <v>4</v>
      </c>
      <c r="K123" s="25" t="inlineStr">
        <is>
          <t>Shipped</t>
        </is>
      </c>
      <c r="L123" s="25" t="inlineStr">
        <is>
          <t>SOUTHERN GLAZER'S WINE AND SPIRITS OF MISSISSIPPI LLC</t>
        </is>
      </c>
    </row>
    <row r="124">
      <c r="A124" s="25" t="inlineStr">
        <is>
          <t>R1650044</t>
        </is>
      </c>
      <c r="B124" s="78" t="n">
        <v>44719</v>
      </c>
      <c r="C124" s="25" t="inlineStr">
        <is>
          <t>908148</t>
        </is>
      </c>
      <c r="D124" s="25" t="inlineStr">
        <is>
          <t>LOUIS ROEDERER CRISTAL BRUT</t>
        </is>
      </c>
      <c r="E124" s="27" t="n">
        <v>6</v>
      </c>
      <c r="F124" s="28" t="n">
        <v>1417.34</v>
      </c>
      <c r="G124" s="27" t="n">
        <v>1</v>
      </c>
      <c r="H124" s="27" t="n">
        <v>1</v>
      </c>
      <c r="I124" s="27" t="n">
        <v>1</v>
      </c>
      <c r="J124" s="27" t="n">
        <v>1</v>
      </c>
      <c r="K124" s="25" t="inlineStr">
        <is>
          <t>Shipped</t>
        </is>
      </c>
      <c r="L124" s="25" t="inlineStr">
        <is>
          <t>SOUTHERN GLAZER'S WINE AND SPIRITS OF MISSISSIPPI LLC</t>
        </is>
      </c>
    </row>
    <row r="125">
      <c r="A125" s="25" t="inlineStr">
        <is>
          <t>R1606874</t>
        </is>
      </c>
      <c r="B125" s="78" t="n">
        <v>44697</v>
      </c>
      <c r="C125" s="25" t="inlineStr">
        <is>
          <t>42720</t>
        </is>
      </c>
      <c r="D125" s="25" t="inlineStr">
        <is>
          <t>MALIBU RUM</t>
        </is>
      </c>
      <c r="E125" s="27" t="n">
        <v>48</v>
      </c>
      <c r="F125" s="28" t="n">
        <v>74.47</v>
      </c>
      <c r="G125" s="27" t="n">
        <v>1</v>
      </c>
      <c r="H125" s="27" t="n">
        <v>1</v>
      </c>
      <c r="I125" s="27" t="n">
        <v>1</v>
      </c>
      <c r="J125" s="27" t="n">
        <v>1</v>
      </c>
      <c r="K125" s="25" t="inlineStr">
        <is>
          <t>Shipped</t>
        </is>
      </c>
      <c r="L125" s="25" t="inlineStr">
        <is>
          <t>SOUTHERN GLAZER'S WINE AND SPIRITS OF MISSISSIPPI LLC</t>
        </is>
      </c>
    </row>
    <row r="126">
      <c r="A126" s="25" t="inlineStr">
        <is>
          <t>R1409829</t>
        </is>
      </c>
      <c r="B126" s="78" t="n">
        <v>44572</v>
      </c>
      <c r="C126" s="25" t="inlineStr">
        <is>
          <t>88031</t>
        </is>
      </c>
      <c r="D126" s="25" t="inlineStr">
        <is>
          <t>MARGARITAVILLE SILVER TEQUILA</t>
        </is>
      </c>
      <c r="E126" s="27" t="n">
        <v>120</v>
      </c>
      <c r="F126" s="28" t="n">
        <v>80.2</v>
      </c>
      <c r="G126" s="27" t="n">
        <v>3</v>
      </c>
      <c r="H126" s="27" t="n">
        <v>3</v>
      </c>
      <c r="I126" s="27" t="n">
        <v>3</v>
      </c>
      <c r="J126" s="27" t="n">
        <v>3</v>
      </c>
      <c r="K126" s="25" t="inlineStr">
        <is>
          <t>Shipped</t>
        </is>
      </c>
      <c r="L126" s="25" t="inlineStr">
        <is>
          <t>SOUTHERN GLAZER'S WINE AND SPIRITS OF MISSISSIPPI LLC</t>
        </is>
      </c>
    </row>
    <row r="127">
      <c r="A127" s="25" t="inlineStr">
        <is>
          <t>R1469459</t>
        </is>
      </c>
      <c r="B127" s="78" t="n">
        <v>44614</v>
      </c>
      <c r="C127" s="25" t="inlineStr">
        <is>
          <t>88031</t>
        </is>
      </c>
      <c r="D127" s="25" t="inlineStr">
        <is>
          <t>MARGARITAVILLE SILVER TEQUILA</t>
        </is>
      </c>
      <c r="E127" s="27" t="n">
        <v>120</v>
      </c>
      <c r="F127" s="28" t="n">
        <v>80.2</v>
      </c>
      <c r="G127" s="27" t="n">
        <v>4</v>
      </c>
      <c r="H127" s="27" t="n">
        <v>4</v>
      </c>
      <c r="I127" s="27" t="n">
        <v>4</v>
      </c>
      <c r="J127" s="27" t="n">
        <v>3</v>
      </c>
      <c r="K127" s="25" t="inlineStr">
        <is>
          <t>Shipped</t>
        </is>
      </c>
      <c r="L127" s="25" t="inlineStr">
        <is>
          <t>SOUTHERN GLAZER'S WINE AND SPIRITS OF MISSISSIPPI LLC</t>
        </is>
      </c>
    </row>
    <row r="128">
      <c r="A128" s="25" t="inlineStr">
        <is>
          <t>R1469459A</t>
        </is>
      </c>
      <c r="B128" s="78" t="n">
        <v>44649</v>
      </c>
      <c r="C128" s="25" t="inlineStr">
        <is>
          <t>88031</t>
        </is>
      </c>
      <c r="D128" s="25" t="inlineStr">
        <is>
          <t>MARGARITAVILLE SILVER TEQUILA</t>
        </is>
      </c>
      <c r="E128" s="27" t="n">
        <v>120</v>
      </c>
      <c r="F128" s="28" t="n">
        <v>80.2</v>
      </c>
      <c r="G128" s="27" t="n">
        <v>1</v>
      </c>
      <c r="H128" s="27" t="n">
        <v>1</v>
      </c>
      <c r="I128" s="27" t="n">
        <v>1</v>
      </c>
      <c r="J128" s="27" t="n">
        <v>1</v>
      </c>
      <c r="K128" s="25" t="inlineStr">
        <is>
          <t>Shipped</t>
        </is>
      </c>
      <c r="L128" s="25" t="inlineStr">
        <is>
          <t>SOUTHERN GLAZER'S WINE AND SPIRITS OF MISSISSIPPI LLC</t>
        </is>
      </c>
    </row>
    <row r="129">
      <c r="A129" s="25" t="inlineStr">
        <is>
          <t>R1542243</t>
        </is>
      </c>
      <c r="B129" s="78" t="n">
        <v>44650</v>
      </c>
      <c r="C129" s="25" t="inlineStr">
        <is>
          <t>88031</t>
        </is>
      </c>
      <c r="D129" s="25" t="inlineStr">
        <is>
          <t>MARGARITAVILLE SILVER TEQUILA</t>
        </is>
      </c>
      <c r="E129" s="27" t="n">
        <v>120</v>
      </c>
      <c r="F129" s="28" t="n">
        <v>80.2</v>
      </c>
      <c r="G129" s="27" t="n">
        <v>1</v>
      </c>
      <c r="H129" s="27" t="n">
        <v>1</v>
      </c>
      <c r="I129" s="27" t="n">
        <v>1</v>
      </c>
      <c r="J129" s="27" t="n">
        <v>1</v>
      </c>
      <c r="K129" s="25" t="inlineStr">
        <is>
          <t>Shipped</t>
        </is>
      </c>
      <c r="L129" s="25" t="inlineStr">
        <is>
          <t>SOUTHERN GLAZER'S WINE AND SPIRITS OF MISSISSIPPI LLC</t>
        </is>
      </c>
    </row>
    <row r="130">
      <c r="A130" s="25" t="inlineStr">
        <is>
          <t>R1638043</t>
        </is>
      </c>
      <c r="B130" s="78" t="n">
        <v>44719</v>
      </c>
      <c r="C130" s="25" t="inlineStr">
        <is>
          <t>88031</t>
        </is>
      </c>
      <c r="D130" s="25" t="inlineStr">
        <is>
          <t>MARGARITAVILLE SILVER TEQUILA</t>
        </is>
      </c>
      <c r="E130" s="27" t="n">
        <v>120</v>
      </c>
      <c r="F130" s="28" t="n">
        <v>80.2</v>
      </c>
      <c r="G130" s="27" t="n">
        <v>3</v>
      </c>
      <c r="H130" s="27" t="n">
        <v>3</v>
      </c>
      <c r="I130" s="27" t="n">
        <v>3</v>
      </c>
      <c r="J130" s="27" t="n">
        <v>3</v>
      </c>
      <c r="K130" s="25" t="inlineStr">
        <is>
          <t>Shipped</t>
        </is>
      </c>
      <c r="L130" s="25" t="inlineStr">
        <is>
          <t>SOUTHERN GLAZER'S WINE AND SPIRITS OF MISSISSIPPI LLC</t>
        </is>
      </c>
    </row>
    <row r="131">
      <c r="A131" s="25" t="inlineStr">
        <is>
          <t>R1712946</t>
        </is>
      </c>
      <c r="B131" s="78" t="n">
        <v>44774</v>
      </c>
      <c r="C131" s="25" t="inlineStr">
        <is>
          <t>88031</t>
        </is>
      </c>
      <c r="D131" s="25" t="inlineStr">
        <is>
          <t>MARGARITAVILLE SILVER TEQUILA</t>
        </is>
      </c>
      <c r="E131" s="27" t="n">
        <v>120</v>
      </c>
      <c r="F131" s="28" t="n">
        <v>81.45</v>
      </c>
      <c r="G131" s="27" t="n">
        <v>5</v>
      </c>
      <c r="H131" s="27" t="n">
        <v>5</v>
      </c>
      <c r="I131" s="27" t="n">
        <v>5</v>
      </c>
      <c r="J131" s="27" t="n">
        <v>5</v>
      </c>
      <c r="K131" s="25" t="inlineStr">
        <is>
          <t>Shipped</t>
        </is>
      </c>
      <c r="L131" s="25" t="inlineStr">
        <is>
          <t>SOUTHERN GLAZER'S WINE AND SPIRITS OF MISSISSIPPI LLC</t>
        </is>
      </c>
    </row>
    <row r="132">
      <c r="A132" s="25" t="inlineStr">
        <is>
          <t>R1431274</t>
        </is>
      </c>
      <c r="B132" s="78" t="n">
        <v>44589</v>
      </c>
      <c r="C132" s="25" t="inlineStr">
        <is>
          <t>48698</t>
        </is>
      </c>
      <c r="D132" s="25" t="inlineStr">
        <is>
          <t>MARTELL VSSD</t>
        </is>
      </c>
      <c r="E132" s="27" t="n">
        <v>6</v>
      </c>
      <c r="F132" s="28" t="n">
        <v>254.8</v>
      </c>
      <c r="G132" s="27" t="n">
        <v>5</v>
      </c>
      <c r="H132" s="27" t="n">
        <v>5</v>
      </c>
      <c r="I132" s="27" t="n">
        <v>5</v>
      </c>
      <c r="J132" s="27" t="n">
        <v>5</v>
      </c>
      <c r="K132" s="25" t="inlineStr">
        <is>
          <t>Shipped</t>
        </is>
      </c>
      <c r="L132" s="25" t="inlineStr">
        <is>
          <t>SOUTHERN GLAZER'S WINE AND SPIRITS OF MISSISSIPPI LLC</t>
        </is>
      </c>
    </row>
    <row r="133">
      <c r="A133" s="25" t="inlineStr">
        <is>
          <t>R1718456</t>
        </is>
      </c>
      <c r="B133" s="78" t="n">
        <v>44785</v>
      </c>
      <c r="C133" s="25" t="inlineStr">
        <is>
          <t>48698</t>
        </is>
      </c>
      <c r="D133" s="25" t="inlineStr">
        <is>
          <t>MARTELL VSSD</t>
        </is>
      </c>
      <c r="E133" s="27" t="n">
        <v>6</v>
      </c>
      <c r="F133" s="28" t="n">
        <v>256.05</v>
      </c>
      <c r="G133" s="27" t="n">
        <v>6</v>
      </c>
      <c r="H133" s="27" t="n">
        <v>6</v>
      </c>
      <c r="I133" s="27" t="n">
        <v>6</v>
      </c>
      <c r="J133" s="27" t="n">
        <v>6</v>
      </c>
      <c r="K133" s="25" t="inlineStr">
        <is>
          <t>Shipped</t>
        </is>
      </c>
      <c r="L133" s="25" t="inlineStr">
        <is>
          <t>SOUTHERN GLAZER'S WINE AND SPIRITS OF MISSISSIPPI LLC</t>
        </is>
      </c>
    </row>
    <row r="134">
      <c r="A134" s="25" t="inlineStr">
        <is>
          <t>R1765281</t>
        </is>
      </c>
      <c r="B134" s="78" t="n">
        <v>44806</v>
      </c>
      <c r="C134" s="25" t="inlineStr">
        <is>
          <t>48698</t>
        </is>
      </c>
      <c r="D134" s="25" t="inlineStr">
        <is>
          <t>MARTELL VSSD</t>
        </is>
      </c>
      <c r="E134" s="27" t="n">
        <v>6</v>
      </c>
      <c r="F134" s="28" t="n">
        <v>256.05</v>
      </c>
      <c r="G134" s="27" t="n">
        <v>4</v>
      </c>
      <c r="H134" s="27" t="n">
        <v>4</v>
      </c>
      <c r="I134" s="27" t="n">
        <v>4</v>
      </c>
      <c r="J134" s="27" t="n">
        <v>4</v>
      </c>
      <c r="K134" s="25" t="inlineStr">
        <is>
          <t>Shipped</t>
        </is>
      </c>
      <c r="L134" s="25" t="inlineStr">
        <is>
          <t>SOUTHERN GLAZER'S WINE AND SPIRITS OF MISSISSIPPI LLC</t>
        </is>
      </c>
    </row>
    <row r="135">
      <c r="A135" s="25" t="inlineStr">
        <is>
          <t>R1766579</t>
        </is>
      </c>
      <c r="B135" s="78" t="n">
        <v>44816</v>
      </c>
      <c r="C135" s="25" t="inlineStr">
        <is>
          <t>48698</t>
        </is>
      </c>
      <c r="D135" s="25" t="inlineStr">
        <is>
          <t>MARTELL VSSD</t>
        </is>
      </c>
      <c r="E135" s="27" t="n">
        <v>6</v>
      </c>
      <c r="F135" s="28" t="n">
        <v>256.05</v>
      </c>
      <c r="G135" s="27" t="n">
        <v>10</v>
      </c>
      <c r="H135" s="27" t="n">
        <v>10</v>
      </c>
      <c r="I135" s="27" t="n">
        <v>10</v>
      </c>
      <c r="J135" s="27" t="n">
        <v>10</v>
      </c>
      <c r="K135" s="25" t="inlineStr">
        <is>
          <t>Shipped</t>
        </is>
      </c>
      <c r="L135" s="25" t="inlineStr">
        <is>
          <t>SOUTHERN GLAZER'S WINE AND SPIRITS OF MISSISSIPPI LLC</t>
        </is>
      </c>
    </row>
    <row r="136">
      <c r="A136" s="25" t="inlineStr">
        <is>
          <t>R1681209</t>
        </is>
      </c>
      <c r="B136" s="78" t="n">
        <v>44747</v>
      </c>
      <c r="C136" s="25" t="inlineStr">
        <is>
          <t>28699</t>
        </is>
      </c>
      <c r="D136" s="25" t="inlineStr">
        <is>
          <t>MONKEY 47 GIN</t>
        </is>
      </c>
      <c r="E136" s="27" t="n">
        <v>6</v>
      </c>
      <c r="F136" s="28" t="n">
        <v>173.64</v>
      </c>
      <c r="G136" s="27" t="n">
        <v>1</v>
      </c>
      <c r="H136" s="27" t="n">
        <v>1</v>
      </c>
      <c r="I136" s="27" t="n">
        <v>1</v>
      </c>
      <c r="J136" s="27" t="n">
        <v>1</v>
      </c>
      <c r="K136" s="25" t="inlineStr">
        <is>
          <t>Shipped</t>
        </is>
      </c>
      <c r="L136" s="25" t="inlineStr">
        <is>
          <t>SOUTHERN GLAZER'S WINE AND SPIRITS OF MISSISSIPPI LLC</t>
        </is>
      </c>
    </row>
    <row r="137">
      <c r="A137" s="25" t="inlineStr">
        <is>
          <t>R1750328</t>
        </is>
      </c>
      <c r="B137" s="78" t="n">
        <v>44798</v>
      </c>
      <c r="C137" s="25" t="inlineStr">
        <is>
          <t>28693</t>
        </is>
      </c>
      <c r="D137" s="25" t="inlineStr">
        <is>
          <t>MONKEY 47 GIN (IMPORTED)</t>
        </is>
      </c>
      <c r="E137" s="27" t="n">
        <v>3</v>
      </c>
      <c r="F137" s="28" t="n">
        <v>133.76</v>
      </c>
      <c r="G137" s="27" t="n">
        <v>2</v>
      </c>
      <c r="H137" s="27" t="n">
        <v>2</v>
      </c>
      <c r="I137" s="27" t="n">
        <v>2</v>
      </c>
      <c r="J137" s="27" t="n">
        <v>2</v>
      </c>
      <c r="K137" s="25" t="inlineStr">
        <is>
          <t>Shipped</t>
        </is>
      </c>
      <c r="L137" s="25" t="inlineStr">
        <is>
          <t>SOUTHERN GLAZER'S WINE AND SPIRITS OF MISSISSIPPI LLC</t>
        </is>
      </c>
    </row>
    <row r="138">
      <c r="A138" s="25" t="inlineStr">
        <is>
          <t>R1478281A</t>
        </is>
      </c>
      <c r="B138" s="78" t="n">
        <v>44635</v>
      </c>
      <c r="C138" s="25" t="inlineStr">
        <is>
          <t>31471</t>
        </is>
      </c>
      <c r="D138" s="25" t="inlineStr">
        <is>
          <t>NEW AMSTERDAM GIN</t>
        </is>
      </c>
      <c r="E138" s="27" t="n">
        <v>120</v>
      </c>
      <c r="F138" s="28" t="n">
        <v>74.7</v>
      </c>
      <c r="G138" s="27" t="n">
        <v>2</v>
      </c>
      <c r="H138" s="27" t="n">
        <v>2</v>
      </c>
      <c r="I138" s="27" t="n">
        <v>2</v>
      </c>
      <c r="J138" s="27" t="n">
        <v>2</v>
      </c>
      <c r="K138" s="25" t="inlineStr">
        <is>
          <t>Shipped</t>
        </is>
      </c>
      <c r="L138" s="25" t="inlineStr">
        <is>
          <t>E. &amp; J. GALLO WINERY</t>
        </is>
      </c>
    </row>
    <row r="139">
      <c r="A139" s="25" t="inlineStr">
        <is>
          <t>R1696039B</t>
        </is>
      </c>
      <c r="B139" s="78" t="n">
        <v>44775</v>
      </c>
      <c r="C139" s="25" t="inlineStr">
        <is>
          <t>31471</t>
        </is>
      </c>
      <c r="D139" s="25" t="inlineStr">
        <is>
          <t>NEW AMSTERDAM GIN</t>
        </is>
      </c>
      <c r="E139" s="27" t="n">
        <v>120</v>
      </c>
      <c r="F139" s="28" t="n">
        <v>75.95</v>
      </c>
      <c r="G139" s="27" t="n">
        <v>2</v>
      </c>
      <c r="H139" s="27" t="n">
        <v>2</v>
      </c>
      <c r="I139" s="27" t="n">
        <v>2</v>
      </c>
      <c r="J139" s="27" t="n">
        <v>2</v>
      </c>
      <c r="K139" s="25" t="inlineStr">
        <is>
          <t>Shipped</t>
        </is>
      </c>
      <c r="L139" s="25" t="inlineStr">
        <is>
          <t>E. &amp; J. GALLO WINERY</t>
        </is>
      </c>
    </row>
    <row r="140">
      <c r="A140" s="25" t="inlineStr">
        <is>
          <t>R1487516</t>
        </is>
      </c>
      <c r="B140" s="78" t="n">
        <v>44620</v>
      </c>
      <c r="C140" s="25" t="inlineStr">
        <is>
          <t>39282</t>
        </is>
      </c>
      <c r="D140" s="25" t="inlineStr">
        <is>
          <t>NEW AMSTERDAM PASSION FRUIT VODKA</t>
        </is>
      </c>
      <c r="E140" s="27" t="n">
        <v>24</v>
      </c>
      <c r="F140" s="28" t="n">
        <v>93.56</v>
      </c>
      <c r="G140" s="27" t="n">
        <v>5</v>
      </c>
      <c r="H140" s="27" t="n">
        <v>5</v>
      </c>
      <c r="I140" s="27" t="n">
        <v>5</v>
      </c>
      <c r="J140" s="27" t="n">
        <v>5</v>
      </c>
      <c r="K140" s="25" t="inlineStr">
        <is>
          <t>Shipped</t>
        </is>
      </c>
      <c r="L140" s="25" t="inlineStr">
        <is>
          <t>E. &amp; J. GALLO WINERY</t>
        </is>
      </c>
    </row>
    <row r="141">
      <c r="A141" s="25" t="inlineStr">
        <is>
          <t>R1487516A</t>
        </is>
      </c>
      <c r="B141" s="78" t="n">
        <v>44629</v>
      </c>
      <c r="C141" s="25" t="inlineStr">
        <is>
          <t>39280</t>
        </is>
      </c>
      <c r="D141" s="25" t="inlineStr">
        <is>
          <t>NEW AMSTERDAM PASSION FRUIT VODKA</t>
        </is>
      </c>
      <c r="E141" s="27" t="n">
        <v>120</v>
      </c>
      <c r="F141" s="28" t="n">
        <v>80.70999999999999</v>
      </c>
      <c r="G141" s="27" t="n">
        <v>3</v>
      </c>
      <c r="H141" s="27" t="n">
        <v>3</v>
      </c>
      <c r="I141" s="27" t="n">
        <v>3</v>
      </c>
      <c r="J141" s="27" t="n">
        <v>3</v>
      </c>
      <c r="K141" s="25" t="inlineStr">
        <is>
          <t>Shipped</t>
        </is>
      </c>
      <c r="L141" s="25" t="inlineStr">
        <is>
          <t>E. &amp; J. GALLO WINERY</t>
        </is>
      </c>
    </row>
    <row r="142">
      <c r="A142" s="25" t="inlineStr">
        <is>
          <t>R1511921</t>
        </is>
      </c>
      <c r="B142" s="78" t="n">
        <v>44630</v>
      </c>
      <c r="C142" s="25" t="inlineStr">
        <is>
          <t>39283</t>
        </is>
      </c>
      <c r="D142" s="25" t="inlineStr">
        <is>
          <t>NEW AMSTERDAM PASSION FRUIT VODKA</t>
        </is>
      </c>
      <c r="E142" s="27" t="n">
        <v>12</v>
      </c>
      <c r="F142" s="28" t="n">
        <v>111.69</v>
      </c>
      <c r="G142" s="27" t="n">
        <v>2</v>
      </c>
      <c r="H142" s="27" t="n">
        <v>2</v>
      </c>
      <c r="I142" s="27" t="n">
        <v>2</v>
      </c>
      <c r="J142" s="27" t="n">
        <v>2</v>
      </c>
      <c r="K142" s="25" t="inlineStr">
        <is>
          <t>Shipped</t>
        </is>
      </c>
      <c r="L142" s="25" t="inlineStr">
        <is>
          <t>E. &amp; J. GALLO WINERY</t>
        </is>
      </c>
    </row>
    <row r="143">
      <c r="A143" s="25" t="inlineStr">
        <is>
          <t>R1421312</t>
        </is>
      </c>
      <c r="B143" s="78" t="n">
        <v>44573</v>
      </c>
      <c r="C143" s="25" t="inlineStr">
        <is>
          <t>28301</t>
        </is>
      </c>
      <c r="D143" s="25" t="inlineStr">
        <is>
          <t>OLD ELK STRAIGHT WHEAT WHISKEY</t>
        </is>
      </c>
      <c r="E143" s="27" t="n">
        <v>6</v>
      </c>
      <c r="F143" s="28" t="n">
        <v>303.5</v>
      </c>
      <c r="G143" s="27" t="n">
        <v>1</v>
      </c>
      <c r="H143" s="27" t="n">
        <v>1</v>
      </c>
      <c r="I143" s="27" t="n">
        <v>1</v>
      </c>
      <c r="J143" s="27" t="n">
        <v>1</v>
      </c>
      <c r="K143" s="25" t="inlineStr">
        <is>
          <t>Shipped</t>
        </is>
      </c>
      <c r="L143" s="25" t="inlineStr">
        <is>
          <t>SOUTHERN GLAZER'S WINE AND SPIRITS OF MISSISSIPPI LLC</t>
        </is>
      </c>
    </row>
    <row r="144">
      <c r="A144" s="25" t="inlineStr">
        <is>
          <t>R1421312A</t>
        </is>
      </c>
      <c r="B144" s="78" t="n">
        <v>44589</v>
      </c>
      <c r="C144" s="25" t="inlineStr">
        <is>
          <t>28301</t>
        </is>
      </c>
      <c r="D144" s="25" t="inlineStr">
        <is>
          <t>OLD ELK STRAIGHT WHEAT WHISKEY</t>
        </is>
      </c>
      <c r="E144" s="27" t="n">
        <v>6</v>
      </c>
      <c r="F144" s="28" t="n">
        <v>303.5</v>
      </c>
      <c r="G144" s="27" t="n">
        <v>1</v>
      </c>
      <c r="H144" s="27" t="n">
        <v>1</v>
      </c>
      <c r="I144" s="27" t="n">
        <v>1</v>
      </c>
      <c r="J144" s="27" t="n">
        <v>1</v>
      </c>
      <c r="K144" s="25" t="inlineStr">
        <is>
          <t>Shipped</t>
        </is>
      </c>
      <c r="L144" s="25" t="inlineStr">
        <is>
          <t>SOUTHERN GLAZER'S WINE AND SPIRITS OF MISSISSIPPI LLC</t>
        </is>
      </c>
    </row>
    <row r="145">
      <c r="A145" s="25" t="inlineStr">
        <is>
          <t>R1469530</t>
        </is>
      </c>
      <c r="B145" s="78" t="n">
        <v>44614</v>
      </c>
      <c r="C145" s="25" t="inlineStr">
        <is>
          <t>28301</t>
        </is>
      </c>
      <c r="D145" s="25" t="inlineStr">
        <is>
          <t>OLD ELK STRAIGHT WHEAT WHISKEY</t>
        </is>
      </c>
      <c r="E145" s="27" t="n">
        <v>6</v>
      </c>
      <c r="F145" s="28" t="n">
        <v>303.5</v>
      </c>
      <c r="G145" s="27" t="n">
        <v>1</v>
      </c>
      <c r="H145" s="27" t="n">
        <v>1</v>
      </c>
      <c r="I145" s="27" t="n">
        <v>1</v>
      </c>
      <c r="J145" s="27" t="n">
        <v>1</v>
      </c>
      <c r="K145" s="25" t="inlineStr">
        <is>
          <t>Shipped</t>
        </is>
      </c>
      <c r="L145" s="25" t="inlineStr">
        <is>
          <t>SOUTHERN GLAZER'S WINE AND SPIRITS OF MISSISSIPPI LLC</t>
        </is>
      </c>
    </row>
    <row r="146">
      <c r="A146" s="25" t="inlineStr">
        <is>
          <t>R1724046</t>
        </is>
      </c>
      <c r="B146" s="78" t="n">
        <v>44784</v>
      </c>
      <c r="C146" s="25" t="inlineStr">
        <is>
          <t>903755</t>
        </is>
      </c>
      <c r="D146" s="25" t="inlineStr">
        <is>
          <t>OLD FORESTER SINGLE BARREL BARREL PROOF - JASCO</t>
        </is>
      </c>
      <c r="E146" s="27" t="n">
        <v>6</v>
      </c>
      <c r="F146" s="28" t="n">
        <v>383.24</v>
      </c>
      <c r="G146" s="27" t="n">
        <v>13</v>
      </c>
      <c r="H146" s="27" t="n">
        <v>13</v>
      </c>
      <c r="I146" s="27" t="n">
        <v>13</v>
      </c>
      <c r="J146" s="27" t="n">
        <v>13</v>
      </c>
      <c r="K146" s="25" t="inlineStr">
        <is>
          <t>Shipped</t>
        </is>
      </c>
      <c r="L146" s="25" t="inlineStr">
        <is>
          <t>UNITED JOHNSON BROTHERS OF MS</t>
        </is>
      </c>
    </row>
    <row r="147">
      <c r="A147" s="25" t="inlineStr">
        <is>
          <t>R1790237</t>
        </is>
      </c>
      <c r="B147" s="78" t="n">
        <v>44823</v>
      </c>
      <c r="C147" s="25" t="inlineStr">
        <is>
          <t>20492</t>
        </is>
      </c>
      <c r="D147" s="25" t="inlineStr">
        <is>
          <t>OLD SOUL SINGLE BARREL BOURBON HIGH RYE</t>
        </is>
      </c>
      <c r="E147" s="27" t="n">
        <v>6</v>
      </c>
      <c r="F147" s="28" t="n">
        <v>323.87</v>
      </c>
      <c r="G147" s="27" t="n">
        <v>1</v>
      </c>
      <c r="H147" s="27" t="n">
        <v>1</v>
      </c>
      <c r="I147" s="27" t="n">
        <v>1</v>
      </c>
      <c r="J147" s="27" t="n">
        <v>1</v>
      </c>
      <c r="K147" s="25" t="inlineStr">
        <is>
          <t>Shipped</t>
        </is>
      </c>
      <c r="L147" s="25" t="inlineStr">
        <is>
          <t>SOUTHERN GLAZER'S WINE AND SPIRITS OF MISSISSIPPI LLC</t>
        </is>
      </c>
    </row>
    <row r="148">
      <c r="A148" s="25" t="inlineStr">
        <is>
          <t>R1389937</t>
        </is>
      </c>
      <c r="B148" s="78" t="n">
        <v>44567</v>
      </c>
      <c r="C148" s="25" t="inlineStr">
        <is>
          <t>76412</t>
        </is>
      </c>
      <c r="D148" s="25" t="inlineStr">
        <is>
          <t>OLE SMOKY TENN MOONSHINE BUTTER PECAN</t>
        </is>
      </c>
      <c r="E148" s="27" t="n">
        <v>48</v>
      </c>
      <c r="F148" s="28" t="n">
        <v>97.08</v>
      </c>
      <c r="G148" s="27" t="n">
        <v>2</v>
      </c>
      <c r="H148" s="27" t="n">
        <v>2</v>
      </c>
      <c r="I148" s="27" t="n">
        <v>2</v>
      </c>
      <c r="J148" s="27" t="n">
        <v>2</v>
      </c>
      <c r="K148" s="25" t="inlineStr">
        <is>
          <t>Shipped</t>
        </is>
      </c>
      <c r="L148" s="25" t="inlineStr">
        <is>
          <t>SOUTHERN GLAZER'S WINE AND SPIRITS OF MISSISSIPPI LLC</t>
        </is>
      </c>
    </row>
    <row r="149">
      <c r="A149" s="25" t="inlineStr">
        <is>
          <t>R1415808</t>
        </is>
      </c>
      <c r="B149" s="78" t="n">
        <v>44568</v>
      </c>
      <c r="C149" s="25" t="inlineStr">
        <is>
          <t>76412</t>
        </is>
      </c>
      <c r="D149" s="25" t="inlineStr">
        <is>
          <t>OLE SMOKY TENN MOONSHINE BUTTER PECAN</t>
        </is>
      </c>
      <c r="E149" s="27" t="n">
        <v>48</v>
      </c>
      <c r="F149" s="28" t="n">
        <v>97.08</v>
      </c>
      <c r="G149" s="27" t="n">
        <v>1</v>
      </c>
      <c r="H149" s="27" t="n">
        <v>1</v>
      </c>
      <c r="I149" s="27" t="n">
        <v>1</v>
      </c>
      <c r="J149" s="27" t="n">
        <v>1</v>
      </c>
      <c r="K149" s="25" t="inlineStr">
        <is>
          <t>Shipped</t>
        </is>
      </c>
      <c r="L149" s="25" t="inlineStr">
        <is>
          <t>SOUTHERN GLAZER'S WINE AND SPIRITS OF MISSISSIPPI LLC</t>
        </is>
      </c>
    </row>
    <row r="150">
      <c r="A150" s="25" t="inlineStr">
        <is>
          <t>R1459765</t>
        </is>
      </c>
      <c r="B150" s="78" t="n">
        <v>44616</v>
      </c>
      <c r="C150" s="25" t="inlineStr">
        <is>
          <t>86782</t>
        </is>
      </c>
      <c r="D150" s="25" t="inlineStr">
        <is>
          <t>OLE SMOKY TENN MOONSHINE STRAWBERRY 65P</t>
        </is>
      </c>
      <c r="E150" s="27" t="n">
        <v>6</v>
      </c>
      <c r="F150" s="28" t="n">
        <v>109.72</v>
      </c>
      <c r="G150" s="27" t="n">
        <v>1</v>
      </c>
      <c r="H150" s="27" t="n">
        <v>1</v>
      </c>
      <c r="I150" s="27" t="n">
        <v>1</v>
      </c>
      <c r="J150" s="27" t="n">
        <v>1</v>
      </c>
      <c r="K150" s="25" t="inlineStr">
        <is>
          <t>Shipped</t>
        </is>
      </c>
      <c r="L150" s="25" t="inlineStr">
        <is>
          <t>SOUTHERN GLAZER'S WINE AND SPIRITS OF MISSISSIPPI LLC</t>
        </is>
      </c>
    </row>
    <row r="151">
      <c r="A151" s="25" t="inlineStr">
        <is>
          <t>R1469468A</t>
        </is>
      </c>
      <c r="B151" s="78" t="n">
        <v>44616</v>
      </c>
      <c r="C151" s="25" t="inlineStr">
        <is>
          <t>86782</t>
        </is>
      </c>
      <c r="D151" s="25" t="inlineStr">
        <is>
          <t>OLE SMOKY TENN MOONSHINE STRAWBERRY 65P</t>
        </is>
      </c>
      <c r="E151" s="27" t="n">
        <v>6</v>
      </c>
      <c r="F151" s="28" t="n">
        <v>109.72</v>
      </c>
      <c r="G151" s="27" t="n">
        <v>1</v>
      </c>
      <c r="H151" s="27" t="n">
        <v>1</v>
      </c>
      <c r="I151" s="27" t="n">
        <v>1</v>
      </c>
      <c r="J151" s="27" t="n">
        <v>1</v>
      </c>
      <c r="K151" s="25" t="inlineStr">
        <is>
          <t>Shipped</t>
        </is>
      </c>
      <c r="L151" s="25" t="inlineStr">
        <is>
          <t>SOUTHERN GLAZER'S WINE AND SPIRITS OF MISSISSIPPI LLC</t>
        </is>
      </c>
    </row>
    <row r="152">
      <c r="A152" s="25" t="inlineStr">
        <is>
          <t>R1427467B</t>
        </is>
      </c>
      <c r="B152" s="78" t="n">
        <v>44600</v>
      </c>
      <c r="C152" s="25" t="inlineStr">
        <is>
          <t>63505</t>
        </is>
      </c>
      <c r="D152" s="25" t="inlineStr">
        <is>
          <t>ON THE ROCKS BASIL HAYDEN DARK RYE MANHATTAN</t>
        </is>
      </c>
      <c r="E152" s="27" t="n">
        <v>12</v>
      </c>
      <c r="F152" s="28" t="n">
        <v>120.92</v>
      </c>
      <c r="G152" s="27" t="n">
        <v>3</v>
      </c>
      <c r="H152" s="27" t="n">
        <v>3</v>
      </c>
      <c r="I152" s="27" t="n">
        <v>3</v>
      </c>
      <c r="J152" s="27" t="n">
        <v>3</v>
      </c>
      <c r="K152" s="25" t="inlineStr">
        <is>
          <t>Shipped</t>
        </is>
      </c>
      <c r="L152" s="25" t="inlineStr">
        <is>
          <t>SOUTHERN GLAZER'S WINE AND SPIRITS OF MISSISSIPPI LLC</t>
        </is>
      </c>
    </row>
    <row r="153">
      <c r="A153" s="25" t="inlineStr">
        <is>
          <t>R1395032A</t>
        </is>
      </c>
      <c r="B153" s="78" t="n">
        <v>44565</v>
      </c>
      <c r="C153" s="25" t="inlineStr">
        <is>
          <t>63311</t>
        </is>
      </c>
      <c r="D153" s="25" t="inlineStr">
        <is>
          <t>ON THE ROCKS COCKTAILS CRUZAN MAI TAI</t>
        </is>
      </c>
      <c r="E153" s="27" t="n">
        <v>12</v>
      </c>
      <c r="F153" s="28" t="n">
        <v>120.92</v>
      </c>
      <c r="G153" s="27" t="n">
        <v>2</v>
      </c>
      <c r="H153" s="27" t="n">
        <v>2</v>
      </c>
      <c r="I153" s="27" t="n">
        <v>2</v>
      </c>
      <c r="J153" s="27" t="n">
        <v>2</v>
      </c>
      <c r="K153" s="25" t="inlineStr">
        <is>
          <t>Shipped</t>
        </is>
      </c>
      <c r="L153" s="25" t="inlineStr">
        <is>
          <t>SOUTHERN GLAZER'S WINE AND SPIRITS OF MISSISSIPPI LLC</t>
        </is>
      </c>
    </row>
    <row r="154">
      <c r="A154" s="25" t="inlineStr">
        <is>
          <t>R1427467C</t>
        </is>
      </c>
      <c r="B154" s="78" t="n">
        <v>44635</v>
      </c>
      <c r="C154" s="25" t="inlineStr">
        <is>
          <t>63311</t>
        </is>
      </c>
      <c r="D154" s="25" t="inlineStr">
        <is>
          <t>ON THE ROCKS COCKTAILS CRUZAN MAI TAI</t>
        </is>
      </c>
      <c r="E154" s="27" t="n">
        <v>12</v>
      </c>
      <c r="F154" s="28" t="n">
        <v>120.92</v>
      </c>
      <c r="G154" s="27" t="n">
        <v>1</v>
      </c>
      <c r="H154" s="27" t="n">
        <v>1</v>
      </c>
      <c r="I154" s="27" t="n">
        <v>1</v>
      </c>
      <c r="J154" s="27" t="n">
        <v>1</v>
      </c>
      <c r="K154" s="25" t="inlineStr">
        <is>
          <t>Shipped</t>
        </is>
      </c>
      <c r="L154" s="25" t="inlineStr">
        <is>
          <t>SOUTHERN GLAZER'S WINE AND SPIRITS OF MISSISSIPPI LLC</t>
        </is>
      </c>
    </row>
    <row r="155">
      <c r="A155" s="25" t="inlineStr">
        <is>
          <t>R1542551</t>
        </is>
      </c>
      <c r="B155" s="78" t="n">
        <v>44651</v>
      </c>
      <c r="C155" s="25" t="inlineStr">
        <is>
          <t>63311</t>
        </is>
      </c>
      <c r="D155" s="25" t="inlineStr">
        <is>
          <t>ON THE ROCKS COCKTAILS CRUZAN MAI TAI</t>
        </is>
      </c>
      <c r="E155" s="27" t="n">
        <v>12</v>
      </c>
      <c r="F155" s="28" t="n">
        <v>120.92</v>
      </c>
      <c r="G155" s="27" t="n">
        <v>2</v>
      </c>
      <c r="H155" s="27" t="n">
        <v>2</v>
      </c>
      <c r="I155" s="27" t="n">
        <v>2</v>
      </c>
      <c r="J155" s="27" t="n">
        <v>2</v>
      </c>
      <c r="K155" s="25" t="inlineStr">
        <is>
          <t>Shipped</t>
        </is>
      </c>
      <c r="L155" s="25" t="inlineStr">
        <is>
          <t>SOUTHERN GLAZER'S WINE AND SPIRITS OF MISSISSIPPI LLC</t>
        </is>
      </c>
    </row>
    <row r="156">
      <c r="A156" s="25" t="inlineStr">
        <is>
          <t>R1562832</t>
        </is>
      </c>
      <c r="B156" s="78" t="n">
        <v>44662</v>
      </c>
      <c r="C156" s="25" t="inlineStr">
        <is>
          <t>63131</t>
        </is>
      </c>
      <c r="D156" s="25" t="inlineStr">
        <is>
          <t>ON THE ROCKS CRUZAN DAIQUIRI</t>
        </is>
      </c>
      <c r="E156" s="27" t="n">
        <v>12</v>
      </c>
      <c r="F156" s="28" t="n">
        <v>119.91</v>
      </c>
      <c r="G156" s="27" t="n">
        <v>2</v>
      </c>
      <c r="H156" s="27" t="n">
        <v>2</v>
      </c>
      <c r="I156" s="27" t="n">
        <v>2</v>
      </c>
      <c r="J156" s="27" t="n">
        <v>2</v>
      </c>
      <c r="K156" s="25" t="inlineStr">
        <is>
          <t>Shipped</t>
        </is>
      </c>
      <c r="L156" s="25" t="inlineStr">
        <is>
          <t>SOUTHERN GLAZER'S WINE AND SPIRITS OF MISSISSIPPI LLC</t>
        </is>
      </c>
    </row>
    <row r="157">
      <c r="A157" s="25" t="inlineStr">
        <is>
          <t>R1395032A</t>
        </is>
      </c>
      <c r="B157" s="78" t="n">
        <v>44565</v>
      </c>
      <c r="C157" s="25" t="inlineStr">
        <is>
          <t>63319</t>
        </is>
      </c>
      <c r="D157" s="25" t="inlineStr">
        <is>
          <t>ON THE ROCKS EFFEN COSMOPOLITAN</t>
        </is>
      </c>
      <c r="E157" s="27" t="n">
        <v>12</v>
      </c>
      <c r="F157" s="28" t="n">
        <v>120.92</v>
      </c>
      <c r="G157" s="27" t="n">
        <v>3</v>
      </c>
      <c r="H157" s="27" t="n">
        <v>3</v>
      </c>
      <c r="I157" s="27" t="n">
        <v>3</v>
      </c>
      <c r="J157" s="27" t="n">
        <v>3</v>
      </c>
      <c r="K157" s="25" t="inlineStr">
        <is>
          <t>Shipped</t>
        </is>
      </c>
      <c r="L157" s="25" t="inlineStr">
        <is>
          <t>SOUTHERN GLAZER'S WINE AND SPIRITS OF MISSISSIPPI LLC</t>
        </is>
      </c>
    </row>
    <row r="158">
      <c r="A158" s="25" t="inlineStr">
        <is>
          <t>R1427467</t>
        </is>
      </c>
      <c r="B158" s="78" t="n">
        <v>44581</v>
      </c>
      <c r="C158" s="25" t="inlineStr">
        <is>
          <t>63319</t>
        </is>
      </c>
      <c r="D158" s="25" t="inlineStr">
        <is>
          <t>ON THE ROCKS EFFEN COSMOPOLITAN</t>
        </is>
      </c>
      <c r="E158" s="27" t="n">
        <v>12</v>
      </c>
      <c r="F158" s="28" t="n">
        <v>120.92</v>
      </c>
      <c r="G158" s="27" t="n">
        <v>2</v>
      </c>
      <c r="H158" s="27" t="n">
        <v>2</v>
      </c>
      <c r="I158" s="27" t="n">
        <v>2</v>
      </c>
      <c r="J158" s="27" t="n">
        <v>2</v>
      </c>
      <c r="K158" s="25" t="inlineStr">
        <is>
          <t>Shipped</t>
        </is>
      </c>
      <c r="L158" s="25" t="inlineStr">
        <is>
          <t>SOUTHERN GLAZER'S WINE AND SPIRITS OF MISSISSIPPI LLC</t>
        </is>
      </c>
    </row>
    <row r="159">
      <c r="A159" s="25" t="inlineStr">
        <is>
          <t>R1395032A</t>
        </is>
      </c>
      <c r="B159" s="78" t="n">
        <v>44565</v>
      </c>
      <c r="C159" s="25" t="inlineStr">
        <is>
          <t>63347</t>
        </is>
      </c>
      <c r="D159" s="25" t="inlineStr">
        <is>
          <t>ON THE ROCKS KNOB CREEK OLD FASHIONED</t>
        </is>
      </c>
      <c r="E159" s="27" t="n">
        <v>12</v>
      </c>
      <c r="F159" s="28" t="n">
        <v>120.92</v>
      </c>
      <c r="G159" s="27" t="n">
        <v>1</v>
      </c>
      <c r="H159" s="27" t="n">
        <v>1</v>
      </c>
      <c r="I159" s="27" t="n">
        <v>1</v>
      </c>
      <c r="J159" s="27" t="n">
        <v>1</v>
      </c>
      <c r="K159" s="25" t="inlineStr">
        <is>
          <t>Shipped</t>
        </is>
      </c>
      <c r="L159" s="25" t="inlineStr">
        <is>
          <t>SOUTHERN GLAZER'S WINE AND SPIRITS OF MISSISSIPPI LLC</t>
        </is>
      </c>
    </row>
    <row r="160">
      <c r="A160" s="25" t="inlineStr">
        <is>
          <t>R1427467</t>
        </is>
      </c>
      <c r="B160" s="78" t="n">
        <v>44581</v>
      </c>
      <c r="C160" s="25" t="inlineStr">
        <is>
          <t>63347</t>
        </is>
      </c>
      <c r="D160" s="25" t="inlineStr">
        <is>
          <t>ON THE ROCKS KNOB CREEK OLD FASHIONED</t>
        </is>
      </c>
      <c r="E160" s="27" t="n">
        <v>12</v>
      </c>
      <c r="F160" s="28" t="n">
        <v>120.92</v>
      </c>
      <c r="G160" s="27" t="n">
        <v>2</v>
      </c>
      <c r="H160" s="27" t="n">
        <v>2</v>
      </c>
      <c r="I160" s="27" t="n">
        <v>2</v>
      </c>
      <c r="J160" s="27" t="n">
        <v>2</v>
      </c>
      <c r="K160" s="25" t="inlineStr">
        <is>
          <t>Shipped</t>
        </is>
      </c>
      <c r="L160" s="25" t="inlineStr">
        <is>
          <t>SOUTHERN GLAZER'S WINE AND SPIRITS OF MISSISSIPPI LLC</t>
        </is>
      </c>
    </row>
    <row r="161">
      <c r="A161" s="25" t="inlineStr">
        <is>
          <t>R1395032B</t>
        </is>
      </c>
      <c r="B161" s="78" t="n">
        <v>44572</v>
      </c>
      <c r="C161" s="25" t="inlineStr">
        <is>
          <t>63344</t>
        </is>
      </c>
      <c r="D161" s="25" t="inlineStr">
        <is>
          <t>ON THE ROCKS LARIOS AVIATION</t>
        </is>
      </c>
      <c r="E161" s="27" t="n">
        <v>12</v>
      </c>
      <c r="F161" s="28" t="n">
        <v>120.92</v>
      </c>
      <c r="G161" s="27" t="n">
        <v>1</v>
      </c>
      <c r="H161" s="27" t="n">
        <v>1</v>
      </c>
      <c r="I161" s="27" t="n">
        <v>1</v>
      </c>
      <c r="J161" s="27" t="n">
        <v>1</v>
      </c>
      <c r="K161" s="25" t="inlineStr">
        <is>
          <t>Shipped</t>
        </is>
      </c>
      <c r="L161" s="25" t="inlineStr">
        <is>
          <t>SOUTHERN GLAZER'S WINE AND SPIRITS OF MISSISSIPPI LLC</t>
        </is>
      </c>
    </row>
    <row r="162">
      <c r="A162" s="25" t="inlineStr">
        <is>
          <t>R1399261</t>
        </is>
      </c>
      <c r="B162" s="78" t="n">
        <v>44572</v>
      </c>
      <c r="C162" s="25" t="inlineStr">
        <is>
          <t>63345</t>
        </is>
      </c>
      <c r="D162" s="25" t="inlineStr">
        <is>
          <t>ON THE ROCKS TRES GEN JALAPENO PINEAPPLE MARGARITA</t>
        </is>
      </c>
      <c r="E162" s="27" t="n">
        <v>12</v>
      </c>
      <c r="F162" s="28" t="n">
        <v>120.92</v>
      </c>
      <c r="G162" s="27" t="n">
        <v>1</v>
      </c>
      <c r="H162" s="27" t="n">
        <v>1</v>
      </c>
      <c r="I162" s="27" t="n">
        <v>1</v>
      </c>
      <c r="J162" s="27" t="n">
        <v>1</v>
      </c>
      <c r="K162" s="25" t="inlineStr">
        <is>
          <t>Shipped</t>
        </is>
      </c>
      <c r="L162" s="25" t="inlineStr">
        <is>
          <t>SOUTHERN GLAZER'S WINE AND SPIRITS OF MISSISSIPPI LLC</t>
        </is>
      </c>
    </row>
    <row r="163">
      <c r="A163" s="25" t="inlineStr">
        <is>
          <t>R1427467D</t>
        </is>
      </c>
      <c r="B163" s="78" t="n">
        <v>44680</v>
      </c>
      <c r="C163" s="25" t="inlineStr">
        <is>
          <t>63345</t>
        </is>
      </c>
      <c r="D163" s="25" t="inlineStr">
        <is>
          <t>ON THE ROCKS TRES GEN JALAPENO PINEAPPLE MARGARITA</t>
        </is>
      </c>
      <c r="E163" s="27" t="n">
        <v>12</v>
      </c>
      <c r="F163" s="28" t="n">
        <v>120.92</v>
      </c>
      <c r="G163" s="27" t="n">
        <v>2</v>
      </c>
      <c r="H163" s="27" t="n">
        <v>2</v>
      </c>
      <c r="I163" s="27" t="n">
        <v>2</v>
      </c>
      <c r="J163" s="27" t="n">
        <v>2</v>
      </c>
      <c r="K163" s="25" t="inlineStr">
        <is>
          <t>Shipped</t>
        </is>
      </c>
      <c r="L163" s="25" t="inlineStr">
        <is>
          <t>SOUTHERN GLAZER'S WINE AND SPIRITS OF MISSISSIPPI LLC</t>
        </is>
      </c>
    </row>
    <row r="164">
      <c r="A164" s="25" t="inlineStr">
        <is>
          <t>R1564515</t>
        </is>
      </c>
      <c r="B164" s="78" t="n">
        <v>44666</v>
      </c>
      <c r="C164" s="25" t="inlineStr">
        <is>
          <t>43254</t>
        </is>
      </c>
      <c r="D164" s="25" t="inlineStr">
        <is>
          <t>PARROT BAY COCONUT 90PRF</t>
        </is>
      </c>
      <c r="E164" s="27" t="n">
        <v>120</v>
      </c>
      <c r="F164" s="28" t="n">
        <v>80.2</v>
      </c>
      <c r="G164" s="27" t="n">
        <v>1</v>
      </c>
      <c r="H164" s="27" t="n">
        <v>1</v>
      </c>
      <c r="I164" s="27" t="n">
        <v>1</v>
      </c>
      <c r="J164" s="27" t="n">
        <v>1</v>
      </c>
      <c r="K164" s="25" t="inlineStr">
        <is>
          <t>Shipped</t>
        </is>
      </c>
      <c r="L164" s="25" t="inlineStr">
        <is>
          <t>SOUTHERN GLAZER'S WINE AND SPIRITS OF MISSISSIPPI LLC</t>
        </is>
      </c>
    </row>
    <row r="165">
      <c r="A165" s="25" t="inlineStr">
        <is>
          <t>R1553839A</t>
        </is>
      </c>
      <c r="B165" s="78" t="n">
        <v>44665</v>
      </c>
      <c r="C165" s="25" t="inlineStr">
        <is>
          <t>43281</t>
        </is>
      </c>
      <c r="D165" s="25" t="inlineStr">
        <is>
          <t>PARROT BAY PINEAPPLE</t>
        </is>
      </c>
      <c r="E165" s="27" t="n">
        <v>120</v>
      </c>
      <c r="F165" s="28" t="n">
        <v>64.2</v>
      </c>
      <c r="G165" s="27" t="n">
        <v>1</v>
      </c>
      <c r="H165" s="27" t="n">
        <v>1</v>
      </c>
      <c r="I165" s="27" t="n">
        <v>1</v>
      </c>
      <c r="J165" s="27" t="n">
        <v>1</v>
      </c>
      <c r="K165" s="25" t="inlineStr">
        <is>
          <t>Shipped</t>
        </is>
      </c>
      <c r="L165" s="25" t="inlineStr">
        <is>
          <t>SOUTHERN GLAZER'S WINE AND SPIRITS OF MISSISSIPPI LLC</t>
        </is>
      </c>
    </row>
    <row r="166">
      <c r="A166" s="25" t="inlineStr">
        <is>
          <t>R1553839A</t>
        </is>
      </c>
      <c r="B166" s="78" t="n">
        <v>44665</v>
      </c>
      <c r="C166" s="25" t="inlineStr">
        <is>
          <t>43250</t>
        </is>
      </c>
      <c r="D166" s="25" t="inlineStr">
        <is>
          <t>PARROT BAY STRAWBERRY</t>
        </is>
      </c>
      <c r="E166" s="27" t="n">
        <v>120</v>
      </c>
      <c r="F166" s="28" t="n">
        <v>64.2</v>
      </c>
      <c r="G166" s="27" t="n">
        <v>1</v>
      </c>
      <c r="H166" s="27" t="n">
        <v>1</v>
      </c>
      <c r="I166" s="27" t="n">
        <v>1</v>
      </c>
      <c r="J166" s="27" t="n">
        <v>1</v>
      </c>
      <c r="K166" s="25" t="inlineStr">
        <is>
          <t>Shipped</t>
        </is>
      </c>
      <c r="L166" s="25" t="inlineStr">
        <is>
          <t>SOUTHERN GLAZER'S WINE AND SPIRITS OF MISSISSIPPI LLC</t>
        </is>
      </c>
    </row>
    <row r="167">
      <c r="A167" s="25" t="inlineStr">
        <is>
          <t>R1717611</t>
        </is>
      </c>
      <c r="B167" s="78" t="n">
        <v>44774</v>
      </c>
      <c r="C167" s="25" t="inlineStr">
        <is>
          <t>43250</t>
        </is>
      </c>
      <c r="D167" s="25" t="inlineStr">
        <is>
          <t>PARROT BAY STRAWBERRY</t>
        </is>
      </c>
      <c r="E167" s="27" t="n">
        <v>120</v>
      </c>
      <c r="F167" s="28" t="n">
        <v>65.45</v>
      </c>
      <c r="G167" s="27" t="n">
        <v>1</v>
      </c>
      <c r="H167" s="27" t="n">
        <v>1</v>
      </c>
      <c r="I167" s="27" t="n">
        <v>1</v>
      </c>
      <c r="J167" s="27" t="n">
        <v>1</v>
      </c>
      <c r="K167" s="25" t="inlineStr">
        <is>
          <t>Shipped</t>
        </is>
      </c>
      <c r="L167" s="25" t="inlineStr">
        <is>
          <t>SOUTHERN GLAZER'S WINE AND SPIRITS OF MISSISSIPPI LLC</t>
        </is>
      </c>
    </row>
    <row r="168">
      <c r="A168" s="25" t="inlineStr">
        <is>
          <t>R1742512</t>
        </is>
      </c>
      <c r="B168" s="78" t="n">
        <v>44795</v>
      </c>
      <c r="C168" s="25" t="inlineStr">
        <is>
          <t>43250</t>
        </is>
      </c>
      <c r="D168" s="25" t="inlineStr">
        <is>
          <t>PARROT BAY STRAWBERRY</t>
        </is>
      </c>
      <c r="E168" s="27" t="n">
        <v>120</v>
      </c>
      <c r="F168" s="28" t="n">
        <v>65.45</v>
      </c>
      <c r="G168" s="27" t="n">
        <v>1</v>
      </c>
      <c r="H168" s="27" t="n">
        <v>1</v>
      </c>
      <c r="I168" s="27" t="n">
        <v>1</v>
      </c>
      <c r="J168" s="27" t="n">
        <v>1</v>
      </c>
      <c r="K168" s="25" t="inlineStr">
        <is>
          <t>Shipped</t>
        </is>
      </c>
      <c r="L168" s="25" t="inlineStr">
        <is>
          <t>SOUTHERN GLAZER'S WINE AND SPIRITS OF MISSISSIPPI LLC</t>
        </is>
      </c>
    </row>
    <row r="169">
      <c r="A169" s="25" t="inlineStr">
        <is>
          <t>R1506629</t>
        </is>
      </c>
      <c r="B169" s="78" t="n">
        <v>44631</v>
      </c>
      <c r="C169" s="25" t="inlineStr">
        <is>
          <t>53221</t>
        </is>
      </c>
      <c r="D169" s="25" t="inlineStr">
        <is>
          <t>PAUL MASSON VS GRANDE AMBER BRANDY 12 - 10 PACKS</t>
        </is>
      </c>
      <c r="E169" s="27" t="n">
        <v>120</v>
      </c>
      <c r="F169" s="28" t="n">
        <v>80.2</v>
      </c>
      <c r="G169" s="27" t="n">
        <v>10</v>
      </c>
      <c r="H169" s="27" t="n">
        <v>10</v>
      </c>
      <c r="I169" s="27" t="n">
        <v>10</v>
      </c>
      <c r="J169" s="27" t="n">
        <v>9</v>
      </c>
      <c r="K169" s="25" t="inlineStr">
        <is>
          <t>Shipped</t>
        </is>
      </c>
      <c r="L169" s="25" t="inlineStr">
        <is>
          <t>RNDC-MAGNOLIA</t>
        </is>
      </c>
    </row>
    <row r="170">
      <c r="A170" s="25" t="inlineStr">
        <is>
          <t>R1640144</t>
        </is>
      </c>
      <c r="B170" s="78" t="n">
        <v>44704</v>
      </c>
      <c r="C170" s="25" t="inlineStr">
        <is>
          <t>37583</t>
        </is>
      </c>
      <c r="D170" s="25" t="inlineStr">
        <is>
          <t>RAIN VODKA</t>
        </is>
      </c>
      <c r="E170" s="27" t="n">
        <v>12</v>
      </c>
      <c r="F170" s="28" t="n">
        <v>43.78</v>
      </c>
      <c r="G170" s="27" t="n">
        <v>2</v>
      </c>
      <c r="H170" s="27" t="n">
        <v>2</v>
      </c>
      <c r="I170" s="27" t="n">
        <v>2</v>
      </c>
      <c r="J170" s="27" t="n">
        <v>2</v>
      </c>
      <c r="K170" s="25" t="inlineStr">
        <is>
          <t>Shipped</t>
        </is>
      </c>
      <c r="L170" s="25" t="inlineStr">
        <is>
          <t>RNDC-MAGNOLIA</t>
        </is>
      </c>
    </row>
    <row r="171">
      <c r="A171" s="25" t="inlineStr">
        <is>
          <t>R1749035</t>
        </is>
      </c>
      <c r="B171" s="78" t="n">
        <v>44805</v>
      </c>
      <c r="C171" s="25" t="inlineStr">
        <is>
          <t>37583</t>
        </is>
      </c>
      <c r="D171" s="25" t="inlineStr">
        <is>
          <t>RAIN VODKA</t>
        </is>
      </c>
      <c r="E171" s="27" t="n">
        <v>12</v>
      </c>
      <c r="F171" s="28" t="n">
        <v>45.03</v>
      </c>
      <c r="G171" s="27" t="n">
        <v>1</v>
      </c>
      <c r="H171" s="27" t="n">
        <v>1</v>
      </c>
      <c r="I171" s="27" t="n">
        <v>1</v>
      </c>
      <c r="J171" s="27" t="n">
        <v>1</v>
      </c>
      <c r="K171" s="25" t="inlineStr">
        <is>
          <t>Shipped</t>
        </is>
      </c>
      <c r="L171" s="25" t="inlineStr">
        <is>
          <t>RNDC-MAGNOLIA</t>
        </is>
      </c>
    </row>
    <row r="172">
      <c r="A172" s="25" t="inlineStr">
        <is>
          <t>R1664338</t>
        </is>
      </c>
      <c r="B172" s="78" t="n">
        <v>44742</v>
      </c>
      <c r="C172" s="25" t="inlineStr">
        <is>
          <t>904317</t>
        </is>
      </c>
      <c r="D172" s="25" t="inlineStr">
        <is>
          <t>RANCHO LA GLORIA GREEN APPLE MARGARITA</t>
        </is>
      </c>
      <c r="E172" s="27" t="n">
        <v>12</v>
      </c>
      <c r="F172" s="28" t="n">
        <v>97</v>
      </c>
      <c r="G172" s="27" t="n">
        <v>3</v>
      </c>
      <c r="H172" s="27" t="n">
        <v>3</v>
      </c>
      <c r="I172" s="27" t="n">
        <v>3</v>
      </c>
      <c r="J172" s="27" t="n">
        <v>3</v>
      </c>
      <c r="K172" s="25" t="inlineStr">
        <is>
          <t>Shipped</t>
        </is>
      </c>
      <c r="L172" s="25" t="inlineStr">
        <is>
          <t>INTERNATIONAL WINES INC</t>
        </is>
      </c>
    </row>
    <row r="173">
      <c r="A173" s="25" t="inlineStr">
        <is>
          <t>R1676087</t>
        </is>
      </c>
      <c r="B173" s="78" t="n">
        <v>44747</v>
      </c>
      <c r="C173" s="25" t="inlineStr">
        <is>
          <t>904317</t>
        </is>
      </c>
      <c r="D173" s="25" t="inlineStr">
        <is>
          <t>RANCHO LA GLORIA GREEN APPLE MARGARITA</t>
        </is>
      </c>
      <c r="E173" s="27" t="n">
        <v>12</v>
      </c>
      <c r="F173" s="28" t="n">
        <v>98.25</v>
      </c>
      <c r="G173" s="27" t="n">
        <v>5</v>
      </c>
      <c r="H173" s="27" t="n">
        <v>5</v>
      </c>
      <c r="I173" s="27" t="n">
        <v>5</v>
      </c>
      <c r="J173" s="27" t="n">
        <v>5</v>
      </c>
      <c r="K173" s="25" t="inlineStr">
        <is>
          <t>Shipped</t>
        </is>
      </c>
      <c r="L173" s="25" t="inlineStr">
        <is>
          <t>INTERNATIONAL WINES INC</t>
        </is>
      </c>
    </row>
    <row r="174">
      <c r="A174" s="25" t="inlineStr">
        <is>
          <t>R1760389C</t>
        </is>
      </c>
      <c r="B174" s="78" t="n">
        <v>44848</v>
      </c>
      <c r="C174" s="25" t="inlineStr">
        <is>
          <t>904318</t>
        </is>
      </c>
      <c r="D174" s="25" t="inlineStr">
        <is>
          <t>RANCHO LA GLORIA GREEN APPLE MARGARITA</t>
        </is>
      </c>
      <c r="E174" s="27" t="n">
        <v>12</v>
      </c>
      <c r="F174" s="28" t="n">
        <v>98.25</v>
      </c>
      <c r="G174" s="27" t="n">
        <v>3</v>
      </c>
      <c r="H174" s="27" t="n">
        <v>3</v>
      </c>
      <c r="I174" s="27" t="n">
        <v>3</v>
      </c>
      <c r="J174" s="27" t="n">
        <v>3</v>
      </c>
      <c r="K174" s="25" t="inlineStr">
        <is>
          <t>Shipped</t>
        </is>
      </c>
      <c r="L174" s="25" t="inlineStr">
        <is>
          <t>INTERNATIONAL WINES INC</t>
        </is>
      </c>
    </row>
    <row r="175">
      <c r="A175" s="25" t="inlineStr">
        <is>
          <t>R1760389B</t>
        </is>
      </c>
      <c r="B175" s="78" t="n">
        <v>44847</v>
      </c>
      <c r="C175" s="25" t="inlineStr">
        <is>
          <t>904319</t>
        </is>
      </c>
      <c r="D175" s="25" t="inlineStr">
        <is>
          <t>RANCHO LA GLORIA GREEN APPLE MARGARITA</t>
        </is>
      </c>
      <c r="E175" s="27" t="n">
        <v>12</v>
      </c>
      <c r="F175" s="28" t="n">
        <v>98.25</v>
      </c>
      <c r="G175" s="27" t="n">
        <v>1</v>
      </c>
      <c r="H175" s="27" t="n">
        <v>1</v>
      </c>
      <c r="I175" s="27" t="n">
        <v>1</v>
      </c>
      <c r="J175" s="27" t="n">
        <v>1</v>
      </c>
      <c r="K175" s="25" t="inlineStr">
        <is>
          <t>Shipped</t>
        </is>
      </c>
      <c r="L175" s="25" t="inlineStr">
        <is>
          <t>INTERNATIONAL WINES INC</t>
        </is>
      </c>
    </row>
    <row r="176">
      <c r="A176" s="25" t="inlineStr">
        <is>
          <t>R1597777</t>
        </is>
      </c>
      <c r="B176" s="78" t="n">
        <v>44692</v>
      </c>
      <c r="C176" s="25" t="inlineStr">
        <is>
          <t>904320</t>
        </is>
      </c>
      <c r="D176" s="25" t="inlineStr">
        <is>
          <t>RANCHO LA GLORIA PINK LEMONADE MARGARITA</t>
        </is>
      </c>
      <c r="E176" s="27" t="n">
        <v>12</v>
      </c>
      <c r="F176" s="28" t="n">
        <v>97</v>
      </c>
      <c r="G176" s="27" t="n">
        <v>4</v>
      </c>
      <c r="H176" s="27" t="n">
        <v>4</v>
      </c>
      <c r="I176" s="27" t="n">
        <v>4</v>
      </c>
      <c r="J176" s="27" t="n">
        <v>4</v>
      </c>
      <c r="K176" s="25" t="inlineStr">
        <is>
          <t>Shipped</t>
        </is>
      </c>
      <c r="L176" s="25" t="inlineStr">
        <is>
          <t>INTERNATIONAL WINES INC</t>
        </is>
      </c>
    </row>
    <row r="177">
      <c r="A177" s="25" t="inlineStr">
        <is>
          <t>R1477308</t>
        </is>
      </c>
      <c r="B177" s="78" t="n">
        <v>44610</v>
      </c>
      <c r="C177" s="25" t="inlineStr">
        <is>
          <t>904321</t>
        </is>
      </c>
      <c r="D177" s="25" t="inlineStr">
        <is>
          <t>RICH &amp; RARE PEACH PET</t>
        </is>
      </c>
      <c r="E177" s="27" t="n">
        <v>120</v>
      </c>
      <c r="F177" s="28" t="n">
        <v>64.2</v>
      </c>
      <c r="G177" s="27" t="n">
        <v>1</v>
      </c>
      <c r="H177" s="27" t="n">
        <v>1</v>
      </c>
      <c r="I177" s="27" t="n">
        <v>1</v>
      </c>
      <c r="J177" s="27" t="n">
        <v>1</v>
      </c>
      <c r="K177" s="25" t="inlineStr">
        <is>
          <t>Shipped</t>
        </is>
      </c>
      <c r="L177" s="25" t="inlineStr">
        <is>
          <t>RNDC-MAGNOLIA</t>
        </is>
      </c>
    </row>
    <row r="178">
      <c r="A178" s="25" t="inlineStr">
        <is>
          <t>R1560065</t>
        </is>
      </c>
      <c r="B178" s="78" t="n">
        <v>44655</v>
      </c>
      <c r="C178" s="25" t="inlineStr">
        <is>
          <t>904322</t>
        </is>
      </c>
      <c r="D178" s="25" t="inlineStr">
        <is>
          <t>RICH &amp; RARE PEACH PET</t>
        </is>
      </c>
      <c r="E178" s="27" t="n">
        <v>120</v>
      </c>
      <c r="F178" s="28" t="n">
        <v>64.2</v>
      </c>
      <c r="G178" s="27" t="n">
        <v>4</v>
      </c>
      <c r="H178" s="27" t="n">
        <v>4</v>
      </c>
      <c r="I178" s="27" t="n">
        <v>4</v>
      </c>
      <c r="J178" s="27" t="n">
        <v>4</v>
      </c>
      <c r="K178" s="25" t="inlineStr">
        <is>
          <t>Shipped</t>
        </is>
      </c>
      <c r="L178" s="25" t="inlineStr">
        <is>
          <t>RNDC-MAGNOLIA</t>
        </is>
      </c>
    </row>
    <row r="179">
      <c r="A179" s="25" t="inlineStr">
        <is>
          <t>R1471850</t>
        </is>
      </c>
      <c r="B179" s="78" t="n">
        <v>44609</v>
      </c>
      <c r="C179" s="25" t="inlineStr">
        <is>
          <t>904323</t>
        </is>
      </c>
      <c r="D179" s="25" t="inlineStr">
        <is>
          <t>ROCA PATRON SILVER TEQUILA</t>
        </is>
      </c>
      <c r="E179" s="27" t="n">
        <v>6</v>
      </c>
      <c r="F179" s="28" t="n">
        <v>321.83</v>
      </c>
      <c r="G179" s="27" t="n">
        <v>1</v>
      </c>
      <c r="H179" s="27" t="n">
        <v>1</v>
      </c>
      <c r="I179" s="27" t="n">
        <v>1</v>
      </c>
      <c r="J179" s="27" t="n">
        <v>1</v>
      </c>
      <c r="K179" s="25" t="inlineStr">
        <is>
          <t>Shipped</t>
        </is>
      </c>
      <c r="L179" s="25" t="inlineStr">
        <is>
          <t>SOUTHERN GLAZER'S WINE AND SPIRITS OF MISSISSIPPI LLC</t>
        </is>
      </c>
    </row>
    <row r="180">
      <c r="A180" s="25" t="inlineStr">
        <is>
          <t>R1536980</t>
        </is>
      </c>
      <c r="B180" s="78" t="n">
        <v>44649</v>
      </c>
      <c r="C180" s="25" t="inlineStr">
        <is>
          <t>904324</t>
        </is>
      </c>
      <c r="D180" s="25" t="inlineStr">
        <is>
          <t>ROCA PATRON SILVER TEQUILA</t>
        </is>
      </c>
      <c r="E180" s="27" t="n">
        <v>6</v>
      </c>
      <c r="F180" s="28" t="n">
        <v>321.83</v>
      </c>
      <c r="G180" s="27" t="n">
        <v>1</v>
      </c>
      <c r="H180" s="27" t="n">
        <v>1</v>
      </c>
      <c r="I180" s="27" t="n">
        <v>1</v>
      </c>
      <c r="J180" s="27" t="n">
        <v>1</v>
      </c>
      <c r="K180" s="25" t="inlineStr">
        <is>
          <t>Shipped</t>
        </is>
      </c>
      <c r="L180" s="25" t="inlineStr">
        <is>
          <t>SOUTHERN GLAZER'S WINE AND SPIRITS OF MISSISSIPPI LLC</t>
        </is>
      </c>
    </row>
    <row r="181">
      <c r="A181" s="25" t="inlineStr">
        <is>
          <t>R1590685</t>
        </is>
      </c>
      <c r="B181" s="78" t="n">
        <v>44679</v>
      </c>
      <c r="C181" s="25" t="inlineStr">
        <is>
          <t>904325</t>
        </is>
      </c>
      <c r="D181" s="25" t="inlineStr">
        <is>
          <t>ROCA PATRON SILVER TEQUILA</t>
        </is>
      </c>
      <c r="E181" s="27" t="n">
        <v>6</v>
      </c>
      <c r="F181" s="28" t="n">
        <v>321.83</v>
      </c>
      <c r="G181" s="27" t="n">
        <v>1</v>
      </c>
      <c r="H181" s="27" t="n">
        <v>1</v>
      </c>
      <c r="I181" s="27" t="n">
        <v>1</v>
      </c>
      <c r="J181" s="27" t="n">
        <v>1</v>
      </c>
      <c r="K181" s="25" t="inlineStr">
        <is>
          <t>Shipped</t>
        </is>
      </c>
      <c r="L181" s="25" t="inlineStr">
        <is>
          <t>SOUTHERN GLAZER'S WINE AND SPIRITS OF MISSISSIPPI LLC</t>
        </is>
      </c>
    </row>
    <row r="182">
      <c r="A182" s="25" t="inlineStr">
        <is>
          <t>R1613713</t>
        </is>
      </c>
      <c r="B182" s="78" t="n">
        <v>44697</v>
      </c>
      <c r="C182" s="25" t="inlineStr">
        <is>
          <t>904326</t>
        </is>
      </c>
      <c r="D182" s="25" t="inlineStr">
        <is>
          <t>ROCA PATRON SILVER TEQUILA</t>
        </is>
      </c>
      <c r="E182" s="27" t="n">
        <v>6</v>
      </c>
      <c r="F182" s="28" t="n">
        <v>321.83</v>
      </c>
      <c r="G182" s="27" t="n">
        <v>1</v>
      </c>
      <c r="H182" s="27" t="n">
        <v>1</v>
      </c>
      <c r="I182" s="27" t="n">
        <v>1</v>
      </c>
      <c r="J182" s="27" t="n">
        <v>1</v>
      </c>
      <c r="K182" s="25" t="inlineStr">
        <is>
          <t>Shipped</t>
        </is>
      </c>
      <c r="L182" s="25" t="inlineStr">
        <is>
          <t>SOUTHERN GLAZER'S WINE AND SPIRITS OF MISSISSIPPI LLC</t>
        </is>
      </c>
    </row>
    <row r="183">
      <c r="A183" s="25" t="inlineStr">
        <is>
          <t>R1678945</t>
        </is>
      </c>
      <c r="B183" s="78" t="n">
        <v>44756</v>
      </c>
      <c r="C183" s="25" t="inlineStr">
        <is>
          <t>904327</t>
        </is>
      </c>
      <c r="D183" s="25" t="inlineStr">
        <is>
          <t>ROCA PATRON SILVER TEQUILA</t>
        </is>
      </c>
      <c r="E183" s="27" t="n">
        <v>6</v>
      </c>
      <c r="F183" s="28" t="n">
        <v>323.08</v>
      </c>
      <c r="G183" s="27" t="n">
        <v>1</v>
      </c>
      <c r="H183" s="27" t="n">
        <v>1</v>
      </c>
      <c r="I183" s="27" t="n">
        <v>1</v>
      </c>
      <c r="J183" s="27" t="n">
        <v>1</v>
      </c>
      <c r="K183" s="25" t="inlineStr">
        <is>
          <t>Shipped</t>
        </is>
      </c>
      <c r="L183" s="25" t="inlineStr">
        <is>
          <t>SOUTHERN GLAZER'S WINE AND SPIRITS OF MISSISSIPPI LLC</t>
        </is>
      </c>
    </row>
    <row r="184">
      <c r="A184" s="25" t="inlineStr">
        <is>
          <t>R1745949</t>
        </is>
      </c>
      <c r="B184" s="78" t="n">
        <v>44795</v>
      </c>
      <c r="C184" s="25" t="inlineStr">
        <is>
          <t>904328</t>
        </is>
      </c>
      <c r="D184" s="25" t="inlineStr">
        <is>
          <t>RUSSELL'S RESERVE SINGLE BARREL RYE</t>
        </is>
      </c>
      <c r="E184" s="27" t="n">
        <v>6</v>
      </c>
      <c r="F184" s="28" t="n">
        <v>324.19</v>
      </c>
      <c r="G184" s="27" t="n">
        <v>1</v>
      </c>
      <c r="H184" s="27" t="n">
        <v>1</v>
      </c>
      <c r="I184" s="27" t="n">
        <v>1</v>
      </c>
      <c r="J184" s="27" t="n">
        <v>1</v>
      </c>
      <c r="K184" s="25" t="inlineStr">
        <is>
          <t>Shipped</t>
        </is>
      </c>
      <c r="L184" s="25" t="inlineStr">
        <is>
          <t>SOUTHERN GLAZER'S WINE AND SPIRITS OF MISSISSIPPI LLC</t>
        </is>
      </c>
    </row>
    <row r="185">
      <c r="A185" s="25" t="inlineStr">
        <is>
          <t>R1412167</t>
        </is>
      </c>
      <c r="B185" s="78" t="n">
        <v>44572</v>
      </c>
      <c r="C185" s="25" t="inlineStr">
        <is>
          <t>904329</t>
        </is>
      </c>
      <c r="D185" s="25" t="inlineStr">
        <is>
          <t>RYAN'S ORIGINAL CREME</t>
        </is>
      </c>
      <c r="E185" s="27" t="n">
        <v>120</v>
      </c>
      <c r="F185" s="28" t="n">
        <v>64.2</v>
      </c>
      <c r="G185" s="27" t="n">
        <v>1</v>
      </c>
      <c r="H185" s="27" t="n">
        <v>1</v>
      </c>
      <c r="I185" s="27" t="n">
        <v>1</v>
      </c>
      <c r="J185" s="27" t="n">
        <v>1</v>
      </c>
      <c r="K185" s="25" t="inlineStr">
        <is>
          <t>Shipped</t>
        </is>
      </c>
      <c r="L185" s="25" t="inlineStr">
        <is>
          <t>SOUTHERN GLAZER'S WINE AND SPIRITS OF MISSISSIPPI LLC</t>
        </is>
      </c>
    </row>
    <row r="186">
      <c r="A186" s="25" t="inlineStr">
        <is>
          <t>R1741797</t>
        </is>
      </c>
      <c r="B186" s="78" t="n">
        <v>44802</v>
      </c>
      <c r="C186" s="25" t="inlineStr">
        <is>
          <t>904330</t>
        </is>
      </c>
      <c r="D186" s="25" t="inlineStr">
        <is>
          <t>SEAGRAM'S 83</t>
        </is>
      </c>
      <c r="E186" s="27" t="n">
        <v>12</v>
      </c>
      <c r="F186" s="28" t="n">
        <v>110.67</v>
      </c>
      <c r="G186" s="27" t="n">
        <v>1</v>
      </c>
      <c r="H186" s="27" t="n">
        <v>1</v>
      </c>
      <c r="I186" s="27" t="n">
        <v>1</v>
      </c>
      <c r="J186" s="27" t="n">
        <v>1</v>
      </c>
      <c r="K186" s="25" t="inlineStr">
        <is>
          <t>Shipped</t>
        </is>
      </c>
      <c r="L186" s="25" t="inlineStr">
        <is>
          <t>RNDC-MAGNOLIA</t>
        </is>
      </c>
    </row>
    <row r="187">
      <c r="A187" s="25" t="inlineStr">
        <is>
          <t>R1787612</t>
        </is>
      </c>
      <c r="B187" s="78" t="n">
        <v>44827</v>
      </c>
      <c r="C187" s="25" t="inlineStr">
        <is>
          <t>904331</t>
        </is>
      </c>
      <c r="D187" s="25" t="inlineStr">
        <is>
          <t>SEAGRAM'S 83</t>
        </is>
      </c>
      <c r="E187" s="27" t="n">
        <v>24</v>
      </c>
      <c r="F187" s="28" t="n">
        <v>85.54000000000001</v>
      </c>
      <c r="G187" s="27" t="n">
        <v>1</v>
      </c>
      <c r="H187" s="27" t="n">
        <v>1</v>
      </c>
      <c r="I187" s="27" t="n">
        <v>1</v>
      </c>
      <c r="J187" s="27" t="n">
        <v>1</v>
      </c>
      <c r="K187" s="25" t="inlineStr">
        <is>
          <t>Shipped</t>
        </is>
      </c>
      <c r="L187" s="25" t="inlineStr">
        <is>
          <t>RNDC-MAGNOLIA</t>
        </is>
      </c>
    </row>
    <row r="188">
      <c r="A188" s="25" t="inlineStr">
        <is>
          <t>R1741797C</t>
        </is>
      </c>
      <c r="B188" s="78" t="n">
        <v>44840</v>
      </c>
      <c r="C188" s="25" t="inlineStr">
        <is>
          <t>904332</t>
        </is>
      </c>
      <c r="D188" s="25" t="inlineStr">
        <is>
          <t>SEAGRAM'S 83</t>
        </is>
      </c>
      <c r="E188" s="27" t="n">
        <v>6</v>
      </c>
      <c r="F188" s="28" t="n">
        <v>110.71</v>
      </c>
      <c r="G188" s="27" t="n">
        <v>1</v>
      </c>
      <c r="H188" s="27" t="n">
        <v>1</v>
      </c>
      <c r="I188" s="27" t="n">
        <v>1</v>
      </c>
      <c r="J188" s="27" t="n">
        <v>1</v>
      </c>
      <c r="K188" s="25" t="inlineStr">
        <is>
          <t>Shipped</t>
        </is>
      </c>
      <c r="L188" s="25" t="inlineStr">
        <is>
          <t>RNDC-MAGNOLIA</t>
        </is>
      </c>
    </row>
    <row r="189">
      <c r="A189" s="25" t="inlineStr">
        <is>
          <t>R1570314</t>
        </is>
      </c>
      <c r="B189" s="78" t="n">
        <v>44659</v>
      </c>
      <c r="C189" s="25" t="inlineStr">
        <is>
          <t>904333</t>
        </is>
      </c>
      <c r="D189" s="25" t="inlineStr">
        <is>
          <t>SEAN MINOR FOUR BEARS CHARDONNAY</t>
        </is>
      </c>
      <c r="E189" s="27" t="n">
        <v>12</v>
      </c>
      <c r="F189" s="28" t="n">
        <v>118</v>
      </c>
      <c r="G189" s="27" t="n">
        <v>1</v>
      </c>
      <c r="H189" s="27" t="n">
        <v>1</v>
      </c>
      <c r="I189" s="27" t="n">
        <v>1</v>
      </c>
      <c r="J189" s="27" t="n">
        <v>1</v>
      </c>
      <c r="K189" s="25" t="inlineStr">
        <is>
          <t>Shipped</t>
        </is>
      </c>
      <c r="L189" s="25" t="inlineStr">
        <is>
          <t>INTERNATIONAL WINES INC</t>
        </is>
      </c>
    </row>
    <row r="190">
      <c r="A190" s="25" t="inlineStr">
        <is>
          <t>R1743059</t>
        </is>
      </c>
      <c r="B190" s="78" t="n">
        <v>44797</v>
      </c>
      <c r="C190" s="25" t="inlineStr">
        <is>
          <t>904334</t>
        </is>
      </c>
      <c r="D190" s="25" t="inlineStr">
        <is>
          <t>TAPATIO TEQUILA ANEJO</t>
        </is>
      </c>
      <c r="E190" s="27" t="n">
        <v>6</v>
      </c>
      <c r="F190" s="28" t="n">
        <v>290.72</v>
      </c>
      <c r="G190" s="27" t="n">
        <v>1</v>
      </c>
      <c r="H190" s="27" t="n">
        <v>1</v>
      </c>
      <c r="I190" s="27" t="n">
        <v>1</v>
      </c>
      <c r="J190" s="27" t="n">
        <v>1</v>
      </c>
      <c r="K190" s="25" t="inlineStr">
        <is>
          <t>Shipped</t>
        </is>
      </c>
      <c r="L190" s="25" t="inlineStr">
        <is>
          <t>MADVINES &amp; SPIRITS A BEAUMAD &amp; MAGNOLIA BARREL HOUSE COMPANY</t>
        </is>
      </c>
    </row>
    <row r="191">
      <c r="A191" s="25" t="inlineStr">
        <is>
          <t>R1464143</t>
        </is>
      </c>
      <c r="B191" s="78" t="n">
        <v>44607</v>
      </c>
      <c r="C191" s="25" t="inlineStr">
        <is>
          <t>904335</t>
        </is>
      </c>
      <c r="D191" s="25" t="inlineStr">
        <is>
          <t>TAYLOR DESSERTS PORT</t>
        </is>
      </c>
      <c r="E191" s="27" t="n">
        <v>4</v>
      </c>
      <c r="F191" s="28" t="n">
        <v>54.26</v>
      </c>
      <c r="G191" s="27" t="n">
        <v>10</v>
      </c>
      <c r="H191" s="27" t="n">
        <v>10</v>
      </c>
      <c r="I191" s="27" t="n">
        <v>10</v>
      </c>
      <c r="J191" s="27" t="n">
        <v>5</v>
      </c>
      <c r="K191" s="25" t="inlineStr">
        <is>
          <t>Shipped</t>
        </is>
      </c>
      <c r="L191" s="25" t="inlineStr">
        <is>
          <t>E. &amp; J. GALLO WINERY</t>
        </is>
      </c>
    </row>
    <row r="192">
      <c r="A192" s="25" t="inlineStr">
        <is>
          <t>R1485312</t>
        </is>
      </c>
      <c r="B192" s="78" t="n">
        <v>44608</v>
      </c>
      <c r="C192" s="25" t="inlineStr">
        <is>
          <t>904336</t>
        </is>
      </c>
      <c r="D192" s="25" t="inlineStr">
        <is>
          <t>TAYLOR DESSERTS PORT</t>
        </is>
      </c>
      <c r="E192" s="27" t="n">
        <v>4</v>
      </c>
      <c r="F192" s="28" t="n">
        <v>54.26</v>
      </c>
      <c r="G192" s="27" t="n">
        <v>20</v>
      </c>
      <c r="H192" s="27" t="n">
        <v>20</v>
      </c>
      <c r="I192" s="27" t="n">
        <v>20</v>
      </c>
      <c r="J192" s="27" t="n">
        <v>20</v>
      </c>
      <c r="K192" s="25" t="inlineStr">
        <is>
          <t>Shipped</t>
        </is>
      </c>
      <c r="L192" s="25" t="inlineStr">
        <is>
          <t>E. &amp; J. GALLO WINERY</t>
        </is>
      </c>
    </row>
    <row r="193">
      <c r="A193" s="25" t="inlineStr">
        <is>
          <t>R1495471</t>
        </is>
      </c>
      <c r="B193" s="78" t="n">
        <v>44623</v>
      </c>
      <c r="C193" s="25" t="inlineStr">
        <is>
          <t>904337</t>
        </is>
      </c>
      <c r="D193" s="25" t="inlineStr">
        <is>
          <t>TAYLOR DESSERTS PORT</t>
        </is>
      </c>
      <c r="E193" s="27" t="n">
        <v>4</v>
      </c>
      <c r="F193" s="28" t="n">
        <v>54.26</v>
      </c>
      <c r="G193" s="27" t="n">
        <v>5</v>
      </c>
      <c r="H193" s="27" t="n">
        <v>5</v>
      </c>
      <c r="I193" s="27" t="n">
        <v>5</v>
      </c>
      <c r="J193" s="27" t="n">
        <v>5</v>
      </c>
      <c r="K193" s="25" t="inlineStr">
        <is>
          <t>Shipped</t>
        </is>
      </c>
      <c r="L193" s="25" t="inlineStr">
        <is>
          <t>E. &amp; J. GALLO WINERY</t>
        </is>
      </c>
    </row>
    <row r="194">
      <c r="A194" s="25" t="inlineStr">
        <is>
          <t>R1730737</t>
        </is>
      </c>
      <c r="B194" s="78" t="n">
        <v>44781</v>
      </c>
      <c r="C194" s="25" t="inlineStr">
        <is>
          <t>904338</t>
        </is>
      </c>
      <c r="D194" s="25" t="inlineStr">
        <is>
          <t>THE GLENALLACHIE 12 YEAR</t>
        </is>
      </c>
      <c r="E194" s="27" t="n">
        <v>6</v>
      </c>
      <c r="F194" s="28" t="n">
        <v>331.32</v>
      </c>
      <c r="G194" s="27" t="n">
        <v>1</v>
      </c>
      <c r="H194" s="27" t="n">
        <v>1</v>
      </c>
      <c r="I194" s="27" t="n">
        <v>1</v>
      </c>
      <c r="J194" s="27" t="n">
        <v>1</v>
      </c>
      <c r="K194" s="25" t="inlineStr">
        <is>
          <t>Shipped</t>
        </is>
      </c>
      <c r="L194" s="25" t="inlineStr">
        <is>
          <t>STEVE TONORE &amp; ASSOCIATES LLC</t>
        </is>
      </c>
    </row>
    <row r="195">
      <c r="A195" s="25" t="inlineStr">
        <is>
          <t>R1443024</t>
        </is>
      </c>
      <c r="B195" s="78" t="n">
        <v>44594</v>
      </c>
      <c r="C195" s="25" t="inlineStr">
        <is>
          <t>904339</t>
        </is>
      </c>
      <c r="D195" s="25" t="inlineStr">
        <is>
          <t>TOWN BRANCH SINGLE BARREL BOURBON (JASCO)</t>
        </is>
      </c>
      <c r="E195" s="27" t="n">
        <v>6</v>
      </c>
      <c r="F195" s="28" t="n">
        <v>240.96</v>
      </c>
      <c r="G195" s="27" t="n">
        <v>13</v>
      </c>
      <c r="H195" s="27" t="n">
        <v>14</v>
      </c>
      <c r="I195" s="27" t="n">
        <v>13</v>
      </c>
      <c r="J195" s="27" t="n">
        <v>13</v>
      </c>
      <c r="K195" s="25" t="inlineStr">
        <is>
          <t>Shipped</t>
        </is>
      </c>
      <c r="L195" s="25" t="inlineStr">
        <is>
          <t>UNITED JOHNSON BROTHERS OF MS</t>
        </is>
      </c>
    </row>
    <row r="196">
      <c r="A196" s="25" t="inlineStr">
        <is>
          <t>R1443725</t>
        </is>
      </c>
      <c r="B196" s="78" t="n">
        <v>44594</v>
      </c>
      <c r="C196" s="25" t="inlineStr">
        <is>
          <t>904340</t>
        </is>
      </c>
      <c r="D196" s="25" t="inlineStr">
        <is>
          <t>TOWN BRANCH SINGLE BARREL RYE (JASCO)</t>
        </is>
      </c>
      <c r="E196" s="27" t="n">
        <v>6</v>
      </c>
      <c r="F196" s="28" t="n">
        <v>288.96</v>
      </c>
      <c r="G196" s="27" t="n">
        <v>9</v>
      </c>
      <c r="H196" s="27" t="n">
        <v>8</v>
      </c>
      <c r="I196" s="27" t="n">
        <v>9</v>
      </c>
      <c r="J196" s="27" t="n">
        <v>9</v>
      </c>
      <c r="K196" s="25" t="inlineStr">
        <is>
          <t>Shipped</t>
        </is>
      </c>
      <c r="L196" s="25" t="inlineStr">
        <is>
          <t>UNITED JOHNSON BROTHERS OF MS</t>
        </is>
      </c>
    </row>
    <row r="197">
      <c r="A197" s="25" t="inlineStr">
        <is>
          <t>R1490349</t>
        </is>
      </c>
      <c r="B197" s="78" t="n">
        <v>44620</v>
      </c>
      <c r="C197" s="25" t="inlineStr">
        <is>
          <t>904341</t>
        </is>
      </c>
      <c r="D197" s="25" t="inlineStr">
        <is>
          <t>TRES GENERACIONES ANEJO WITH GLASSES VAP</t>
        </is>
      </c>
      <c r="E197" s="27" t="n">
        <v>3</v>
      </c>
      <c r="F197" s="28" t="n">
        <v>103.84</v>
      </c>
      <c r="G197" s="27" t="n">
        <v>1</v>
      </c>
      <c r="H197" s="27" t="n">
        <v>1</v>
      </c>
      <c r="I197" s="27" t="n">
        <v>1</v>
      </c>
      <c r="J197" s="27" t="n">
        <v>1</v>
      </c>
      <c r="K197" s="25" t="inlineStr">
        <is>
          <t>Shipped</t>
        </is>
      </c>
      <c r="L197" s="25" t="inlineStr">
        <is>
          <t>SOUTHERN GLAZER'S WINE AND SPIRITS OF MISSISSIPPI LLC</t>
        </is>
      </c>
    </row>
    <row r="198">
      <c r="A198" s="25" t="inlineStr">
        <is>
          <t>R1540022</t>
        </is>
      </c>
      <c r="B198" s="78" t="n">
        <v>44629</v>
      </c>
      <c r="C198" s="25" t="inlineStr">
        <is>
          <t>904342</t>
        </is>
      </c>
      <c r="D198" s="25" t="inlineStr">
        <is>
          <t>TRES GENERACIONES ANEJO WITH GLASSES VAP</t>
        </is>
      </c>
      <c r="E198" s="27" t="n">
        <v>3</v>
      </c>
      <c r="F198" s="28" t="n">
        <v>103.84</v>
      </c>
      <c r="G198" s="27" t="n">
        <v>1</v>
      </c>
      <c r="H198" s="27" t="n">
        <v>1</v>
      </c>
      <c r="I198" s="27" t="n">
        <v>1</v>
      </c>
      <c r="J198" s="27" t="n">
        <v>1</v>
      </c>
      <c r="K198" s="25" t="inlineStr">
        <is>
          <t>Shipped</t>
        </is>
      </c>
      <c r="L198" s="25" t="inlineStr">
        <is>
          <t>SOUTHERN GLAZER'S WINE AND SPIRITS OF MISSISSIPPI LLC</t>
        </is>
      </c>
    </row>
    <row r="199">
      <c r="A199" s="25" t="inlineStr">
        <is>
          <t>R1589034</t>
        </is>
      </c>
      <c r="B199" s="78" t="n">
        <v>44683</v>
      </c>
      <c r="C199" s="25" t="inlineStr">
        <is>
          <t>904343</t>
        </is>
      </c>
      <c r="D199" s="25" t="inlineStr">
        <is>
          <t>TRULY PINEAPPLE MANGO</t>
        </is>
      </c>
      <c r="E199" s="27" t="n">
        <v>120</v>
      </c>
      <c r="F199" s="28" t="n">
        <v>85.70999999999999</v>
      </c>
      <c r="G199" s="27" t="n">
        <v>1</v>
      </c>
      <c r="H199" s="27" t="n">
        <v>1</v>
      </c>
      <c r="I199" s="27" t="n">
        <v>1</v>
      </c>
      <c r="J199" s="27" t="n">
        <v>1</v>
      </c>
      <c r="K199" s="25" t="inlineStr">
        <is>
          <t>Shipped</t>
        </is>
      </c>
      <c r="L199" s="25" t="inlineStr">
        <is>
          <t>SOUTHERN GLAZER'S WINE AND SPIRITS OF MISSISSIPPI LLC</t>
        </is>
      </c>
    </row>
    <row r="200">
      <c r="A200" s="25" t="inlineStr">
        <is>
          <t>R1589034A</t>
        </is>
      </c>
      <c r="B200" s="78" t="n">
        <v>44726</v>
      </c>
      <c r="C200" s="25" t="inlineStr">
        <is>
          <t>904344</t>
        </is>
      </c>
      <c r="D200" s="25" t="inlineStr">
        <is>
          <t>TRULY PINEAPPLE MANGO</t>
        </is>
      </c>
      <c r="E200" s="27" t="n">
        <v>12</v>
      </c>
      <c r="F200" s="28" t="n">
        <v>156.66</v>
      </c>
      <c r="G200" s="27" t="n">
        <v>2</v>
      </c>
      <c r="H200" s="27" t="n">
        <v>2</v>
      </c>
      <c r="I200" s="27" t="n">
        <v>2</v>
      </c>
      <c r="J200" s="27" t="n">
        <v>2</v>
      </c>
      <c r="K200" s="25" t="inlineStr">
        <is>
          <t>Shipped</t>
        </is>
      </c>
      <c r="L200" s="25" t="inlineStr">
        <is>
          <t>SOUTHERN GLAZER'S WINE AND SPIRITS OF MISSISSIPPI LLC</t>
        </is>
      </c>
    </row>
    <row r="201">
      <c r="A201" s="25" t="inlineStr">
        <is>
          <t>R1689790</t>
        </is>
      </c>
      <c r="B201" s="78" t="n">
        <v>44764</v>
      </c>
      <c r="C201" s="25" t="inlineStr">
        <is>
          <t>904345</t>
        </is>
      </c>
      <c r="D201" s="25" t="inlineStr">
        <is>
          <t>WELLER SPECIAL RESERVE</t>
        </is>
      </c>
      <c r="E201" s="27" t="n">
        <v>12</v>
      </c>
      <c r="F201" s="28" t="n">
        <v>232.92</v>
      </c>
      <c r="G201" s="27" t="n">
        <v>1</v>
      </c>
      <c r="H201" s="27" t="n">
        <v>1</v>
      </c>
      <c r="I201" s="27" t="n">
        <v>1</v>
      </c>
      <c r="J201" s="27" t="n">
        <v>1</v>
      </c>
      <c r="K201" s="25" t="inlineStr">
        <is>
          <t>Shipped</t>
        </is>
      </c>
      <c r="L201" s="25" t="inlineStr">
        <is>
          <t>RNDC-MAGNOLIA</t>
        </is>
      </c>
    </row>
    <row r="202">
      <c r="A202" s="25" t="inlineStr">
        <is>
          <t>R1702727</t>
        </is>
      </c>
      <c r="B202" s="78" t="n">
        <v>44767</v>
      </c>
      <c r="C202" s="25" t="inlineStr">
        <is>
          <t>904346</t>
        </is>
      </c>
      <c r="D202" s="25" t="inlineStr">
        <is>
          <t>WOODFORD RSV DBL OAKED PERSONAL SELECTION - JASCO</t>
        </is>
      </c>
      <c r="E202" s="27" t="n">
        <v>6</v>
      </c>
      <c r="F202" s="28" t="n">
        <v>308.41</v>
      </c>
      <c r="G202" s="27" t="n">
        <v>20</v>
      </c>
      <c r="H202" s="27" t="n">
        <v>20</v>
      </c>
      <c r="I202" s="27" t="n">
        <v>20</v>
      </c>
      <c r="J202" s="27" t="n">
        <v>20</v>
      </c>
      <c r="K202" s="25" t="inlineStr">
        <is>
          <t>Shipped</t>
        </is>
      </c>
      <c r="L202" s="25" t="inlineStr">
        <is>
          <t>UNITED JOHNSON BROTHERS OF MS</t>
        </is>
      </c>
    </row>
    <row r="203">
      <c r="A203" s="79" t="n"/>
      <c r="B203" s="80" t="n"/>
      <c r="C203" s="25" t="inlineStr">
        <is>
          <t>904347</t>
        </is>
      </c>
      <c r="D203" s="79" t="n"/>
      <c r="E203" s="80" t="n">
        <v>6853</v>
      </c>
      <c r="F203" s="81" t="n">
        <v>45654.82999999999</v>
      </c>
      <c r="G203" s="80" t="n">
        <v>471</v>
      </c>
      <c r="H203" s="80" t="n">
        <v>471</v>
      </c>
      <c r="I203" s="80" t="n">
        <v>471</v>
      </c>
      <c r="J203" s="80" t="n">
        <v>463</v>
      </c>
      <c r="K203" s="79" t="n"/>
      <c r="L203" s="79" t="n"/>
    </row>
    <row r="204">
      <c r="C204" s="25" t="inlineStr">
        <is>
          <t>904348</t>
        </is>
      </c>
    </row>
    <row r="205">
      <c r="C205" s="25" t="inlineStr">
        <is>
          <t>904349</t>
        </is>
      </c>
    </row>
    <row r="206">
      <c r="C206" s="25" t="inlineStr">
        <is>
          <t>904350</t>
        </is>
      </c>
    </row>
    <row r="207">
      <c r="A207" s="25" t="inlineStr">
        <is>
          <t>88738</t>
        </is>
      </c>
      <c r="B207" s="25" t="inlineStr">
        <is>
          <t>TORADA WHITE TEQUILA</t>
        </is>
      </c>
      <c r="C207" s="25" t="inlineStr">
        <is>
          <t>904351</t>
        </is>
      </c>
      <c r="D207" s="27" t="n">
        <v>4</v>
      </c>
      <c r="E207" s="88" t="inlineStr">
        <is>
          <t>R1903748</t>
        </is>
      </c>
    </row>
    <row r="208">
      <c r="A208" s="25" t="inlineStr">
        <is>
          <t>89219</t>
        </is>
      </c>
      <c r="B208" s="25" t="inlineStr">
        <is>
          <t>JOSE CUERVO TRADICIONAL REPOSADO</t>
        </is>
      </c>
      <c r="C208" s="25" t="inlineStr">
        <is>
          <t>904352</t>
        </is>
      </c>
      <c r="D208" s="27" t="n">
        <v>5</v>
      </c>
      <c r="E208" s="88" t="inlineStr">
        <is>
          <t>R1903748</t>
        </is>
      </c>
    </row>
    <row r="209">
      <c r="A209" s="25" t="inlineStr">
        <is>
          <t>89196</t>
        </is>
      </c>
      <c r="B209" s="25" t="inlineStr">
        <is>
          <t>JOSE CUERVO ESPECIAL TEQUILA GOLD</t>
        </is>
      </c>
      <c r="C209" s="25" t="inlineStr">
        <is>
          <t>904353</t>
        </is>
      </c>
      <c r="D209" s="27" t="n">
        <v>5</v>
      </c>
      <c r="E209" s="88" t="inlineStr">
        <is>
          <t>R1903748</t>
        </is>
      </c>
    </row>
    <row r="210">
      <c r="A210" s="25" t="inlineStr">
        <is>
          <t>87402</t>
        </is>
      </c>
      <c r="B210" s="25" t="inlineStr">
        <is>
          <t>JOSE CUERVO ESPECIAL SILVER</t>
        </is>
      </c>
      <c r="C210" s="25" t="inlineStr">
        <is>
          <t>904354</t>
        </is>
      </c>
      <c r="D210" s="27" t="n">
        <v>1</v>
      </c>
      <c r="E210" s="88" t="inlineStr">
        <is>
          <t>R1903748</t>
        </is>
      </c>
    </row>
    <row r="211">
      <c r="A211" s="25" t="inlineStr">
        <is>
          <t>84222</t>
        </is>
      </c>
      <c r="B211" s="25" t="inlineStr">
        <is>
          <t>99 BRAND BLUE RASPBERRIES</t>
        </is>
      </c>
      <c r="C211" s="25" t="inlineStr">
        <is>
          <t>904355</t>
        </is>
      </c>
      <c r="D211" s="27" t="n">
        <v>1</v>
      </c>
      <c r="E211" s="88" t="inlineStr">
        <is>
          <t>R1903748</t>
        </is>
      </c>
    </row>
    <row r="212">
      <c r="A212" s="25" t="inlineStr">
        <is>
          <t>84142</t>
        </is>
      </c>
      <c r="B212" s="25" t="inlineStr">
        <is>
          <t>99 BRAND PEACHES</t>
        </is>
      </c>
      <c r="C212" s="25" t="inlineStr">
        <is>
          <t>904356</t>
        </is>
      </c>
      <c r="D212" s="27" t="n">
        <v>1</v>
      </c>
      <c r="E212" s="88" t="inlineStr">
        <is>
          <t>R1903748</t>
        </is>
      </c>
    </row>
    <row r="213">
      <c r="A213" s="25" t="inlineStr">
        <is>
          <t>84172</t>
        </is>
      </c>
      <c r="B213" s="25" t="inlineStr">
        <is>
          <t>99 BRAND BANANAS SCHNAPPS</t>
        </is>
      </c>
      <c r="C213" s="25" t="inlineStr">
        <is>
          <t>904357</t>
        </is>
      </c>
      <c r="D213" s="27" t="n">
        <v>1</v>
      </c>
      <c r="E213" s="88" t="inlineStr">
        <is>
          <t>R1903748</t>
        </is>
      </c>
    </row>
    <row r="214">
      <c r="A214" s="25" t="inlineStr">
        <is>
          <t>49185</t>
        </is>
      </c>
      <c r="B214" s="25" t="inlineStr">
        <is>
          <t>REMY MARTIN VSOP COGNAC (FLASK)</t>
        </is>
      </c>
      <c r="C214" s="25" t="inlineStr">
        <is>
          <t>904358</t>
        </is>
      </c>
      <c r="D214" s="27" t="n">
        <v>5</v>
      </c>
      <c r="E214" s="88" t="inlineStr">
        <is>
          <t>R1899553</t>
        </is>
      </c>
    </row>
    <row r="215">
      <c r="A215" s="25" t="inlineStr">
        <is>
          <t>49084</t>
        </is>
      </c>
      <c r="B215" s="25" t="inlineStr">
        <is>
          <t>REMY MARTIN 1738 ACCORD ROYAL COGNAC</t>
        </is>
      </c>
      <c r="C215" s="25" t="inlineStr">
        <is>
          <t>904359</t>
        </is>
      </c>
      <c r="D215" s="27" t="n">
        <v>5</v>
      </c>
      <c r="E215" s="88" t="inlineStr">
        <is>
          <t>R1899553</t>
        </is>
      </c>
    </row>
  </sheetData>
  <autoFilter ref="A1:L215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91"/>
  <sheetViews>
    <sheetView topLeftCell="A275" workbookViewId="0">
      <selection activeCell="A2" sqref="A2:B1291"/>
    </sheetView>
  </sheetViews>
  <sheetFormatPr baseColWidth="10" defaultColWidth="8.83203125" defaultRowHeight="15"/>
  <cols>
    <col width="20.83203125" customWidth="1" min="1" max="1"/>
    <col width="10.6640625" customWidth="1" min="2" max="2"/>
    <col width="42.83203125" customWidth="1" min="3" max="3"/>
    <col width="8.5" customWidth="1" min="4" max="4"/>
    <col width="14.33203125" customWidth="1" min="5" max="6"/>
    <col width="8.5" customWidth="1" min="7" max="7"/>
    <col width="14.33203125" customWidth="1" min="8" max="8"/>
    <col width="10.6640625" customWidth="1" min="9" max="9"/>
    <col width="14.33203125" customWidth="1" min="10" max="11"/>
    <col width="21.5" customWidth="1" min="12" max="12"/>
    <col width="28.5" customWidth="1" min="13" max="15"/>
    <col width="7.1640625" customWidth="1" min="16" max="18"/>
  </cols>
  <sheetData>
    <row r="1">
      <c r="B1" s="76" t="inlineStr">
        <is>
          <t>Item Code</t>
        </is>
      </c>
      <c r="C1" s="76" t="inlineStr">
        <is>
          <t>Name</t>
        </is>
      </c>
      <c r="D1" s="76" t="inlineStr">
        <is>
          <t>Size</t>
        </is>
      </c>
      <c r="E1" s="76" t="inlineStr">
        <is>
          <t>Available</t>
        </is>
      </c>
      <c r="F1" s="76" t="inlineStr">
        <is>
          <t>Reserved</t>
        </is>
      </c>
      <c r="G1" s="76" t="inlineStr">
        <is>
          <t>Units</t>
        </is>
      </c>
      <c r="H1" s="77" t="inlineStr">
        <is>
          <t>Case Cost</t>
        </is>
      </c>
      <c r="I1" s="77" t="inlineStr">
        <is>
          <t>Discount</t>
        </is>
      </c>
      <c r="J1" s="76" t="inlineStr">
        <is>
          <t>Split Bottle</t>
        </is>
      </c>
      <c r="K1" s="77" t="inlineStr">
        <is>
          <t>Bottle Cost</t>
        </is>
      </c>
      <c r="L1" s="76" t="inlineStr">
        <is>
          <t>Category</t>
        </is>
      </c>
      <c r="M1" s="76" t="inlineStr">
        <is>
          <t>Supplier Name</t>
        </is>
      </c>
      <c r="N1" s="76" t="inlineStr">
        <is>
          <t>Broker</t>
        </is>
      </c>
      <c r="O1" s="76" t="inlineStr">
        <is>
          <t>Availability Type</t>
        </is>
      </c>
      <c r="P1" s="76" t="inlineStr">
        <is>
          <t>SSCC Code</t>
        </is>
      </c>
      <c r="Q1" s="76" t="inlineStr">
        <is>
          <t>UPC Code</t>
        </is>
      </c>
      <c r="R1" s="76" t="inlineStr">
        <is>
          <t>Listing Date</t>
        </is>
      </c>
    </row>
    <row r="2">
      <c r="A2" t="inlineStr">
        <is>
          <t>item code =</t>
        </is>
      </c>
      <c r="B2" s="25" t="inlineStr">
        <is>
          <t>59854</t>
        </is>
      </c>
      <c r="C2" s="25" t="inlineStr">
        <is>
          <t>HORNITOS STRAWBERRY TAMARIND MARGARITA</t>
        </is>
      </c>
      <c r="D2" s="25" t="inlineStr">
        <is>
          <t>1.75L</t>
        </is>
      </c>
      <c r="E2" s="27" t="n">
        <v>18</v>
      </c>
      <c r="F2" s="27" t="n">
        <v>1</v>
      </c>
      <c r="G2" s="27" t="n">
        <v>6</v>
      </c>
      <c r="H2" s="28" t="n">
        <v>96.87</v>
      </c>
      <c r="I2" s="28" t="n">
        <v>0</v>
      </c>
      <c r="J2" s="94" t="inlineStr">
        <is>
          <t>False</t>
        </is>
      </c>
      <c r="K2" s="28" t="n">
        <v>0</v>
      </c>
      <c r="L2" s="25" t="inlineStr">
        <is>
          <t>COCKTAILS</t>
        </is>
      </c>
      <c r="M2" s="25" t="inlineStr">
        <is>
          <t>JIM BEAM BRANDS CO</t>
        </is>
      </c>
      <c r="N2" s="25" t="inlineStr">
        <is>
          <t>040010-SOUTHERN GLAZERS WINE AND SPIRITS OF MISSISSIPPI LLC</t>
        </is>
      </c>
      <c r="O2" s="25" t="n"/>
      <c r="P2" s="25" t="inlineStr">
        <is>
          <t>10080686847028</t>
        </is>
      </c>
      <c r="Q2" s="25" t="inlineStr">
        <is>
          <t>080686847021</t>
        </is>
      </c>
      <c r="R2" s="78" t="n">
        <v>44593</v>
      </c>
    </row>
    <row r="3">
      <c r="A3" t="inlineStr">
        <is>
          <t>or item code =</t>
        </is>
      </c>
      <c r="B3" s="25" t="inlineStr">
        <is>
          <t>302850</t>
        </is>
      </c>
      <c r="C3" s="25" t="inlineStr">
        <is>
          <t>"DR" LOOSEN RIESLING "DR. L"</t>
        </is>
      </c>
      <c r="D3" s="25" t="inlineStr">
        <is>
          <t>750ml</t>
        </is>
      </c>
      <c r="E3" s="27" t="n">
        <v>104</v>
      </c>
      <c r="F3" s="27" t="n">
        <v>56</v>
      </c>
      <c r="G3" s="27" t="n">
        <v>12</v>
      </c>
      <c r="H3" s="28" t="n">
        <v>135.25</v>
      </c>
      <c r="I3" s="28" t="n">
        <v>0</v>
      </c>
      <c r="J3" s="94" t="inlineStr">
        <is>
          <t>False</t>
        </is>
      </c>
      <c r="K3" s="28" t="n">
        <v>0</v>
      </c>
      <c r="L3" s="25" t="inlineStr">
        <is>
          <t>RIESLING (WHITE/JOHANN)</t>
        </is>
      </c>
      <c r="M3" s="25" t="inlineStr">
        <is>
          <t>INTERNATIONAL WINES INC</t>
        </is>
      </c>
      <c r="N3" s="25" t="inlineStr">
        <is>
          <t>040017-INTERNATIONAL WINES</t>
        </is>
      </c>
      <c r="O3" s="25" t="n"/>
      <c r="P3" s="25" t="inlineStr">
        <is>
          <t>00018310300001</t>
        </is>
      </c>
      <c r="Q3" s="25" t="inlineStr">
        <is>
          <t>0183103000013</t>
        </is>
      </c>
      <c r="R3" s="78" t="n">
        <v>43525</v>
      </c>
    </row>
    <row r="4">
      <c r="A4" t="inlineStr">
        <is>
          <t>or item code =</t>
        </is>
      </c>
      <c r="B4" s="25" t="inlineStr">
        <is>
          <t>21236</t>
        </is>
      </c>
      <c r="C4" s="25" t="inlineStr">
        <is>
          <t>1792 SMALL BATCH BOURBON</t>
        </is>
      </c>
      <c r="D4" s="25" t="inlineStr">
        <is>
          <t>750ml</t>
        </is>
      </c>
      <c r="E4" s="27" t="n">
        <v>0</v>
      </c>
      <c r="F4" s="27" t="n">
        <v>4</v>
      </c>
      <c r="G4" s="27" t="n">
        <v>6</v>
      </c>
      <c r="H4" s="28" t="n">
        <v>143.04</v>
      </c>
      <c r="I4" s="28" t="n">
        <v>0</v>
      </c>
      <c r="J4" s="94" t="inlineStr">
        <is>
          <t>False</t>
        </is>
      </c>
      <c r="K4" s="28" t="n">
        <v>0</v>
      </c>
      <c r="L4" s="25" t="inlineStr">
        <is>
          <t>WHISKEY - STR BOURBON</t>
        </is>
      </c>
      <c r="M4" s="25" t="inlineStr">
        <is>
          <t>SAZERAC COMPANY</t>
        </is>
      </c>
      <c r="N4" s="25" t="inlineStr">
        <is>
          <t>040010-SOUTHERN GLAZERS WINE AND SPIRITS OF MISSISSIPPI LLC</t>
        </is>
      </c>
      <c r="O4" s="25" t="n"/>
      <c r="P4" s="25" t="inlineStr">
        <is>
          <t>00881001000281</t>
        </is>
      </c>
      <c r="Q4" s="25" t="inlineStr">
        <is>
          <t>0080660001203</t>
        </is>
      </c>
      <c r="R4" s="78" t="n">
        <v>42370</v>
      </c>
    </row>
    <row r="5">
      <c r="A5" t="inlineStr">
        <is>
          <t>or item code =</t>
        </is>
      </c>
      <c r="B5" s="25" t="inlineStr">
        <is>
          <t>89230</t>
        </is>
      </c>
      <c r="C5" s="25" t="inlineStr">
        <is>
          <t>1800 ANEJO TEQUILA</t>
        </is>
      </c>
      <c r="D5" s="25" t="inlineStr">
        <is>
          <t>750ml</t>
        </is>
      </c>
      <c r="E5" s="27" t="n">
        <v>32</v>
      </c>
      <c r="F5" s="27" t="n">
        <v>37</v>
      </c>
      <c r="G5" s="27" t="n">
        <v>6</v>
      </c>
      <c r="H5" s="28" t="n">
        <v>184.93</v>
      </c>
      <c r="I5" s="28" t="n">
        <v>0</v>
      </c>
      <c r="J5" s="94" t="inlineStr">
        <is>
          <t>False</t>
        </is>
      </c>
      <c r="K5" s="28" t="n">
        <v>0</v>
      </c>
      <c r="L5" s="25" t="inlineStr">
        <is>
          <t>TEQUILA</t>
        </is>
      </c>
      <c r="M5" s="25" t="inlineStr">
        <is>
          <t>PROXIMO SPIRITS INC</t>
        </is>
      </c>
      <c r="N5" s="25" t="inlineStr">
        <is>
          <t>040002-RNDC-MAGNOLIA</t>
        </is>
      </c>
      <c r="O5" s="25" t="n"/>
      <c r="P5" s="25" t="inlineStr">
        <is>
          <t>10811538010037</t>
        </is>
      </c>
      <c r="Q5" s="25" t="inlineStr">
        <is>
          <t>811538010030</t>
        </is>
      </c>
      <c r="R5" s="78" t="n">
        <v>44228</v>
      </c>
    </row>
    <row r="6">
      <c r="A6" t="inlineStr">
        <is>
          <t>or item code =</t>
        </is>
      </c>
      <c r="B6" s="25" t="inlineStr">
        <is>
          <t>59192</t>
        </is>
      </c>
      <c r="C6" s="25" t="inlineStr">
        <is>
          <t>1800 BLACK CHERRY ULTIMATE MARGARITA PET</t>
        </is>
      </c>
      <c r="D6" s="25" t="inlineStr">
        <is>
          <t>1.75L</t>
        </is>
      </c>
      <c r="E6" s="27" t="n">
        <v>0</v>
      </c>
      <c r="F6" s="27" t="n">
        <v>78</v>
      </c>
      <c r="G6" s="27" t="n">
        <v>6</v>
      </c>
      <c r="H6" s="28" t="n">
        <v>106.1</v>
      </c>
      <c r="I6" s="28" t="n">
        <v>0</v>
      </c>
      <c r="J6" s="94" t="inlineStr">
        <is>
          <t>False</t>
        </is>
      </c>
      <c r="K6" s="28" t="n">
        <v>0</v>
      </c>
      <c r="L6" s="25" t="inlineStr">
        <is>
          <t>TEQUILA</t>
        </is>
      </c>
      <c r="M6" s="25" t="inlineStr">
        <is>
          <t>PROXIMO SPIRITS INC</t>
        </is>
      </c>
      <c r="N6" s="25" t="inlineStr">
        <is>
          <t>040002-RNDC-MAGNOLIA</t>
        </is>
      </c>
      <c r="O6" s="25" t="n"/>
      <c r="P6" s="25" t="inlineStr">
        <is>
          <t>10818844021412</t>
        </is>
      </c>
      <c r="Q6" s="25" t="inlineStr">
        <is>
          <t>818844021415</t>
        </is>
      </c>
      <c r="R6" s="78" t="n">
        <v>44287</v>
      </c>
    </row>
    <row r="7">
      <c r="A7" t="inlineStr">
        <is>
          <t>or item code =</t>
        </is>
      </c>
      <c r="B7" s="25" t="inlineStr">
        <is>
          <t>64932</t>
        </is>
      </c>
      <c r="C7" s="25" t="inlineStr">
        <is>
          <t>1800 COCONUT FLAVORED TEQUILA</t>
        </is>
      </c>
      <c r="D7" s="25" t="inlineStr">
        <is>
          <t>375ml</t>
        </is>
      </c>
      <c r="E7" s="27" t="n">
        <v>57</v>
      </c>
      <c r="F7" s="27" t="n">
        <v>80</v>
      </c>
      <c r="G7" s="27" t="n">
        <v>12</v>
      </c>
      <c r="H7" s="28" t="n">
        <v>126.7</v>
      </c>
      <c r="I7" s="28" t="n">
        <v>0</v>
      </c>
      <c r="J7" s="94" t="inlineStr">
        <is>
          <t>False</t>
        </is>
      </c>
      <c r="K7" s="28" t="n">
        <v>0</v>
      </c>
      <c r="L7" s="25" t="inlineStr">
        <is>
          <t>TEQUILA</t>
        </is>
      </c>
      <c r="M7" s="25" t="inlineStr">
        <is>
          <t>PROXIMO SPIRITS INC</t>
        </is>
      </c>
      <c r="N7" s="25" t="inlineStr">
        <is>
          <t>040002-RNDC-MAGNOLIA</t>
        </is>
      </c>
      <c r="O7" s="25" t="n"/>
      <c r="P7" s="25" t="inlineStr">
        <is>
          <t>20811538018115</t>
        </is>
      </c>
      <c r="Q7" s="25" t="inlineStr">
        <is>
          <t>0811538010368</t>
        </is>
      </c>
      <c r="R7" s="78" t="n">
        <v>42370</v>
      </c>
    </row>
    <row r="8">
      <c r="A8" t="inlineStr">
        <is>
          <t>or item code =</t>
        </is>
      </c>
      <c r="B8" s="25" t="inlineStr">
        <is>
          <t>64933</t>
        </is>
      </c>
      <c r="C8" s="25" t="inlineStr">
        <is>
          <t>1800 COCONUT FLAVORED TEQUILA</t>
        </is>
      </c>
      <c r="D8" s="25" t="inlineStr">
        <is>
          <t>750ml</t>
        </is>
      </c>
      <c r="E8" s="27" t="n">
        <v>15</v>
      </c>
      <c r="F8" s="27" t="n">
        <v>21</v>
      </c>
      <c r="G8" s="27" t="n">
        <v>12</v>
      </c>
      <c r="H8" s="28" t="n">
        <v>273.7</v>
      </c>
      <c r="I8" s="28" t="n">
        <v>0</v>
      </c>
      <c r="J8" s="94" t="inlineStr">
        <is>
          <t>False</t>
        </is>
      </c>
      <c r="K8" s="28" t="n">
        <v>0</v>
      </c>
      <c r="L8" s="25" t="inlineStr">
        <is>
          <t>TEQUILA</t>
        </is>
      </c>
      <c r="M8" s="25" t="inlineStr">
        <is>
          <t>PROXIMO SPIRITS INC</t>
        </is>
      </c>
      <c r="N8" s="25" t="inlineStr">
        <is>
          <t>040002-RNDC-MAGNOLIA</t>
        </is>
      </c>
      <c r="O8" s="25" t="n"/>
      <c r="P8" s="25" t="inlineStr">
        <is>
          <t>20811538010379</t>
        </is>
      </c>
      <c r="Q8" s="25" t="inlineStr">
        <is>
          <t>0811538010375</t>
        </is>
      </c>
      <c r="R8" s="78" t="n">
        <v>42370</v>
      </c>
    </row>
    <row r="9">
      <c r="A9" t="inlineStr">
        <is>
          <t>or item code =</t>
        </is>
      </c>
      <c r="B9" s="25" t="inlineStr">
        <is>
          <t>89206</t>
        </is>
      </c>
      <c r="C9" s="25" t="inlineStr">
        <is>
          <t>1800 REPOSADO TEQUILA</t>
        </is>
      </c>
      <c r="D9" s="25" t="inlineStr">
        <is>
          <t>750ml</t>
        </is>
      </c>
      <c r="E9" s="27" t="n">
        <v>0</v>
      </c>
      <c r="F9" s="27" t="n">
        <v>0</v>
      </c>
      <c r="G9" s="27" t="n">
        <v>12</v>
      </c>
      <c r="H9" s="28" t="n">
        <v>282.82</v>
      </c>
      <c r="I9" s="28" t="n">
        <v>0</v>
      </c>
      <c r="J9" s="94" t="inlineStr">
        <is>
          <t>False</t>
        </is>
      </c>
      <c r="K9" s="28" t="n">
        <v>0</v>
      </c>
      <c r="L9" s="25" t="inlineStr">
        <is>
          <t>TEQUILA</t>
        </is>
      </c>
      <c r="M9" s="25" t="inlineStr">
        <is>
          <t>PROXIMO SPIRITS INC</t>
        </is>
      </c>
      <c r="N9" s="25" t="inlineStr">
        <is>
          <t>040002-RNDC-MAGNOLIA</t>
        </is>
      </c>
      <c r="O9" s="25" t="n"/>
      <c r="P9" s="25" t="inlineStr">
        <is>
          <t>10818844022051</t>
        </is>
      </c>
      <c r="Q9" s="25" t="inlineStr">
        <is>
          <t>0811538010238</t>
        </is>
      </c>
      <c r="R9" s="78" t="n">
        <v>42370</v>
      </c>
    </row>
    <row r="10">
      <c r="A10" t="inlineStr">
        <is>
          <t>or item code =</t>
        </is>
      </c>
      <c r="B10" s="25" t="inlineStr">
        <is>
          <t>89204</t>
        </is>
      </c>
      <c r="C10" s="25" t="inlineStr">
        <is>
          <t>1800 REPOSADO TEQUILA</t>
        </is>
      </c>
      <c r="D10" s="25" t="inlineStr">
        <is>
          <t>375ml</t>
        </is>
      </c>
      <c r="E10" s="27" t="n">
        <v>0</v>
      </c>
      <c r="F10" s="27" t="n">
        <v>4</v>
      </c>
      <c r="G10" s="27" t="n">
        <v>12</v>
      </c>
      <c r="H10" s="28" t="n">
        <v>130.92</v>
      </c>
      <c r="I10" s="28" t="n">
        <v>0</v>
      </c>
      <c r="J10" s="94" t="inlineStr">
        <is>
          <t>False</t>
        </is>
      </c>
      <c r="K10" s="28" t="n">
        <v>0</v>
      </c>
      <c r="L10" s="25" t="inlineStr">
        <is>
          <t>TEQUILA</t>
        </is>
      </c>
      <c r="M10" s="25" t="inlineStr">
        <is>
          <t>PROXIMO SPIRITS INC</t>
        </is>
      </c>
      <c r="N10" s="25" t="inlineStr">
        <is>
          <t>040002-RNDC-MAGNOLIA</t>
        </is>
      </c>
      <c r="O10" s="25" t="n"/>
      <c r="P10" s="25" t="inlineStr">
        <is>
          <t>20811538019969</t>
        </is>
      </c>
      <c r="Q10" s="25" t="inlineStr">
        <is>
          <t>0811538010221</t>
        </is>
      </c>
      <c r="R10" s="78" t="n">
        <v>42370</v>
      </c>
    </row>
    <row r="11">
      <c r="A11" t="inlineStr">
        <is>
          <t>or item code =</t>
        </is>
      </c>
      <c r="B11" s="25" t="inlineStr">
        <is>
          <t>89208</t>
        </is>
      </c>
      <c r="C11" s="25" t="inlineStr">
        <is>
          <t>1800 REPOSADO TEQUILA</t>
        </is>
      </c>
      <c r="D11" s="25" t="inlineStr">
        <is>
          <t>1.75L</t>
        </is>
      </c>
      <c r="E11" s="27" t="n">
        <v>1</v>
      </c>
      <c r="F11" s="27" t="n">
        <v>19</v>
      </c>
      <c r="G11" s="27" t="n">
        <v>6</v>
      </c>
      <c r="H11" s="28" t="n">
        <v>244.57</v>
      </c>
      <c r="I11" s="28" t="n">
        <v>0</v>
      </c>
      <c r="J11" s="94" t="inlineStr">
        <is>
          <t>False</t>
        </is>
      </c>
      <c r="K11" s="28" t="n">
        <v>0</v>
      </c>
      <c r="L11" s="25" t="inlineStr">
        <is>
          <t>TEQUILA</t>
        </is>
      </c>
      <c r="M11" s="25" t="inlineStr">
        <is>
          <t>PROXIMO SPIRITS INC</t>
        </is>
      </c>
      <c r="N11" s="25" t="inlineStr">
        <is>
          <t>040002-RNDC-MAGNOLIA</t>
        </is>
      </c>
      <c r="O11" s="25" t="n"/>
      <c r="P11" s="25" t="inlineStr">
        <is>
          <t>10811538019993</t>
        </is>
      </c>
      <c r="Q11" s="25" t="inlineStr">
        <is>
          <t>0811538010252</t>
        </is>
      </c>
      <c r="R11" s="78" t="n">
        <v>42370</v>
      </c>
    </row>
    <row r="12">
      <c r="A12" t="inlineStr">
        <is>
          <t>or item code =</t>
        </is>
      </c>
      <c r="B12" s="25" t="inlineStr">
        <is>
          <t>87564</t>
        </is>
      </c>
      <c r="C12" s="25" t="inlineStr">
        <is>
          <t>1800 SILVER</t>
        </is>
      </c>
      <c r="D12" s="25" t="inlineStr">
        <is>
          <t>100ml</t>
        </is>
      </c>
      <c r="E12" s="27" t="n">
        <v>0</v>
      </c>
      <c r="F12" s="27" t="n">
        <v>0</v>
      </c>
      <c r="G12" s="27" t="n">
        <v>48</v>
      </c>
      <c r="H12" s="28" t="n">
        <v>185.67</v>
      </c>
      <c r="I12" s="28" t="n">
        <v>0</v>
      </c>
      <c r="J12" s="94" t="inlineStr">
        <is>
          <t>False</t>
        </is>
      </c>
      <c r="K12" s="28" t="n">
        <v>0</v>
      </c>
      <c r="L12" s="25" t="inlineStr">
        <is>
          <t>TEQUILA</t>
        </is>
      </c>
      <c r="M12" s="25" t="inlineStr">
        <is>
          <t>PROXIMO SPIRITS INC</t>
        </is>
      </c>
      <c r="N12" s="25" t="inlineStr">
        <is>
          <t>040002-RNDC-MAGNOLIA</t>
        </is>
      </c>
      <c r="O12" s="25" t="n"/>
      <c r="P12" s="25" t="inlineStr">
        <is>
          <t>30811538018242</t>
        </is>
      </c>
      <c r="Q12" s="25" t="inlineStr">
        <is>
          <t>811538018241</t>
        </is>
      </c>
      <c r="R12" s="78" t="n">
        <v>44228</v>
      </c>
    </row>
    <row r="13">
      <c r="A13" t="inlineStr">
        <is>
          <t>or item code =</t>
        </is>
      </c>
      <c r="B13" s="25" t="inlineStr">
        <is>
          <t>87513</t>
        </is>
      </c>
      <c r="C13" s="25" t="inlineStr">
        <is>
          <t>1800 SILVER TEQUILA</t>
        </is>
      </c>
      <c r="D13" s="25" t="inlineStr">
        <is>
          <t>1.75L</t>
        </is>
      </c>
      <c r="E13" s="27" t="n">
        <v>170</v>
      </c>
      <c r="F13" s="27" t="n">
        <v>86</v>
      </c>
      <c r="G13" s="27" t="n">
        <v>6</v>
      </c>
      <c r="H13" s="28" t="n">
        <v>235.34</v>
      </c>
      <c r="I13" s="28" t="n">
        <v>0</v>
      </c>
      <c r="J13" s="94" t="inlineStr">
        <is>
          <t>False</t>
        </is>
      </c>
      <c r="K13" s="28" t="n">
        <v>0</v>
      </c>
      <c r="L13" s="25" t="inlineStr">
        <is>
          <t>TEQUILA</t>
        </is>
      </c>
      <c r="M13" s="25" t="inlineStr">
        <is>
          <t>PROXIMO SPIRITS INC</t>
        </is>
      </c>
      <c r="N13" s="25" t="inlineStr">
        <is>
          <t>040002-RNDC-MAGNOLIA</t>
        </is>
      </c>
      <c r="O13" s="25" t="n"/>
      <c r="P13" s="25" t="inlineStr">
        <is>
          <t>10811538016855</t>
        </is>
      </c>
      <c r="Q13" s="25" t="inlineStr">
        <is>
          <t>811538010153</t>
        </is>
      </c>
      <c r="R13" s="78" t="n">
        <v>42370</v>
      </c>
    </row>
    <row r="14">
      <c r="A14" t="inlineStr">
        <is>
          <t>or item code =</t>
        </is>
      </c>
      <c r="B14" s="25" t="inlineStr">
        <is>
          <t>87509</t>
        </is>
      </c>
      <c r="C14" s="25" t="inlineStr">
        <is>
          <t>1800 SILVER TEQUILA</t>
        </is>
      </c>
      <c r="D14" s="25" t="inlineStr">
        <is>
          <t>375ml</t>
        </is>
      </c>
      <c r="E14" s="27" t="n">
        <v>0</v>
      </c>
      <c r="F14" s="27" t="n">
        <v>155</v>
      </c>
      <c r="G14" s="27" t="n">
        <v>12</v>
      </c>
      <c r="H14" s="28" t="n">
        <v>126.7</v>
      </c>
      <c r="I14" s="28" t="n">
        <v>0</v>
      </c>
      <c r="J14" s="94" t="inlineStr">
        <is>
          <t>False</t>
        </is>
      </c>
      <c r="K14" s="28" t="n">
        <v>0</v>
      </c>
      <c r="L14" s="25" t="inlineStr">
        <is>
          <t>TEQUILA</t>
        </is>
      </c>
      <c r="M14" s="25" t="inlineStr">
        <is>
          <t>PROXIMO SPIRITS INC</t>
        </is>
      </c>
      <c r="N14" s="25" t="inlineStr">
        <is>
          <t>040002-RNDC-MAGNOLIA</t>
        </is>
      </c>
      <c r="O14" s="25" t="n"/>
      <c r="P14" s="25" t="inlineStr">
        <is>
          <t>20811538016821</t>
        </is>
      </c>
      <c r="Q14" s="25" t="inlineStr">
        <is>
          <t>0811538010122</t>
        </is>
      </c>
      <c r="R14" s="78" t="n">
        <v>42370</v>
      </c>
    </row>
    <row r="15">
      <c r="A15" t="inlineStr">
        <is>
          <t>or item code =</t>
        </is>
      </c>
      <c r="B15" s="25" t="inlineStr">
        <is>
          <t>87507</t>
        </is>
      </c>
      <c r="C15" s="25" t="inlineStr">
        <is>
          <t>1800 SILVER TEQUILA</t>
        </is>
      </c>
      <c r="D15" s="25" t="inlineStr">
        <is>
          <t>200ml</t>
        </is>
      </c>
      <c r="E15" s="27" t="n">
        <v>0</v>
      </c>
      <c r="F15" s="27" t="n">
        <v>6</v>
      </c>
      <c r="G15" s="27" t="n">
        <v>24</v>
      </c>
      <c r="H15" s="28" t="n">
        <v>197</v>
      </c>
      <c r="I15" s="28" t="n">
        <v>0</v>
      </c>
      <c r="J15" s="94" t="inlineStr">
        <is>
          <t>False</t>
        </is>
      </c>
      <c r="K15" s="28" t="n">
        <v>0</v>
      </c>
      <c r="L15" s="25" t="inlineStr">
        <is>
          <t>TEQUILA</t>
        </is>
      </c>
      <c r="M15" s="25" t="inlineStr">
        <is>
          <t>PROXIMO SPIRITS INC</t>
        </is>
      </c>
      <c r="N15" s="25" t="inlineStr">
        <is>
          <t>040002-RNDC-MAGNOLIA</t>
        </is>
      </c>
      <c r="O15" s="25" t="n"/>
      <c r="P15" s="25" t="inlineStr">
        <is>
          <t>30811538010192</t>
        </is>
      </c>
      <c r="Q15" s="25" t="inlineStr">
        <is>
          <t>0811538010191</t>
        </is>
      </c>
      <c r="R15" s="78" t="n">
        <v>42370</v>
      </c>
    </row>
    <row r="16">
      <c r="A16" t="inlineStr">
        <is>
          <t>or item code =</t>
        </is>
      </c>
      <c r="B16" s="25" t="inlineStr">
        <is>
          <t>87510</t>
        </is>
      </c>
      <c r="C16" s="25" t="inlineStr">
        <is>
          <t>1800 SILVER TEQUILA</t>
        </is>
      </c>
      <c r="D16" s="25" t="inlineStr">
        <is>
          <t>750ml</t>
        </is>
      </c>
      <c r="E16" s="27" t="n">
        <v>0</v>
      </c>
      <c r="F16" s="27" t="n">
        <v>198</v>
      </c>
      <c r="G16" s="27" t="n">
        <v>12</v>
      </c>
      <c r="H16" s="28" t="n">
        <v>273.7</v>
      </c>
      <c r="I16" s="28" t="n">
        <v>0</v>
      </c>
      <c r="J16" s="94" t="inlineStr">
        <is>
          <t>False</t>
        </is>
      </c>
      <c r="K16" s="28" t="n">
        <v>0</v>
      </c>
      <c r="L16" s="25" t="inlineStr">
        <is>
          <t>TEQUILA</t>
        </is>
      </c>
      <c r="M16" s="25" t="inlineStr">
        <is>
          <t>PROXIMO SPIRITS INC</t>
        </is>
      </c>
      <c r="N16" s="25" t="inlineStr">
        <is>
          <t>040002-RNDC-MAGNOLIA</t>
        </is>
      </c>
      <c r="O16" s="25" t="n"/>
      <c r="P16" s="25" t="inlineStr">
        <is>
          <t>20818844021938</t>
        </is>
      </c>
      <c r="Q16" s="25" t="inlineStr">
        <is>
          <t>0811538010139</t>
        </is>
      </c>
      <c r="R16" s="78" t="n">
        <v>42370</v>
      </c>
    </row>
    <row r="17">
      <c r="A17" t="inlineStr">
        <is>
          <t>or item code =</t>
        </is>
      </c>
      <c r="B17" s="25" t="inlineStr">
        <is>
          <t>59180</t>
        </is>
      </c>
      <c r="C17" s="25" t="inlineStr">
        <is>
          <t>1800 SPICY ULTIMATE MARGARITA</t>
        </is>
      </c>
      <c r="D17" s="25" t="inlineStr">
        <is>
          <t>1.75L</t>
        </is>
      </c>
      <c r="E17" s="27" t="n">
        <v>39</v>
      </c>
      <c r="F17" s="27" t="n">
        <v>16</v>
      </c>
      <c r="G17" s="27" t="n">
        <v>6</v>
      </c>
      <c r="H17" s="28" t="n">
        <v>106.1</v>
      </c>
      <c r="I17" s="28" t="n">
        <v>0</v>
      </c>
      <c r="J17" s="94" t="inlineStr">
        <is>
          <t>False</t>
        </is>
      </c>
      <c r="K17" s="28" t="n">
        <v>0</v>
      </c>
      <c r="L17" s="25" t="inlineStr">
        <is>
          <t>COCKTAILS</t>
        </is>
      </c>
      <c r="M17" s="25" t="inlineStr">
        <is>
          <t>PROXIMO SPIRITS INC</t>
        </is>
      </c>
      <c r="N17" s="25" t="inlineStr">
        <is>
          <t>040002-RNDC-MAGNOLIA</t>
        </is>
      </c>
      <c r="O17" s="25" t="n"/>
      <c r="P17" s="25" t="n"/>
      <c r="Q17" s="25" t="inlineStr">
        <is>
          <t>811538014557</t>
        </is>
      </c>
      <c r="R17" s="78" t="n">
        <v>43739</v>
      </c>
    </row>
    <row r="18">
      <c r="A18" t="inlineStr">
        <is>
          <t>or item code =</t>
        </is>
      </c>
      <c r="B18" s="25" t="inlineStr">
        <is>
          <t>59185</t>
        </is>
      </c>
      <c r="C18" s="25" t="inlineStr">
        <is>
          <t>1800 ULTIMATE BLOOD ORANGE MARGARITA PET</t>
        </is>
      </c>
      <c r="D18" s="25" t="inlineStr">
        <is>
          <t>1.75L</t>
        </is>
      </c>
      <c r="E18" s="27" t="n">
        <v>0</v>
      </c>
      <c r="F18" s="27" t="n">
        <v>15</v>
      </c>
      <c r="G18" s="27" t="n">
        <v>6</v>
      </c>
      <c r="H18" s="28" t="n">
        <v>106.1</v>
      </c>
      <c r="I18" s="28" t="n">
        <v>0</v>
      </c>
      <c r="J18" s="94" t="inlineStr">
        <is>
          <t>False</t>
        </is>
      </c>
      <c r="K18" s="28" t="n">
        <v>0</v>
      </c>
      <c r="L18" s="25" t="inlineStr">
        <is>
          <t>COCKTAILS</t>
        </is>
      </c>
      <c r="M18" s="25" t="inlineStr">
        <is>
          <t>PROXIMO SPIRITS INC</t>
        </is>
      </c>
      <c r="N18" s="25" t="inlineStr">
        <is>
          <t>040002-RNDC-MAGNOLIA</t>
        </is>
      </c>
      <c r="O18" s="25" t="n"/>
      <c r="P18" s="25" t="inlineStr">
        <is>
          <t>10811538018958</t>
        </is>
      </c>
      <c r="Q18" s="25" t="inlineStr">
        <is>
          <t>811538018951</t>
        </is>
      </c>
      <c r="R18" s="78" t="n">
        <v>43983</v>
      </c>
    </row>
    <row r="19">
      <c r="A19" t="inlineStr">
        <is>
          <t>or item code =</t>
        </is>
      </c>
      <c r="B19" s="25" t="inlineStr">
        <is>
          <t>59182</t>
        </is>
      </c>
      <c r="C19" s="25" t="inlineStr">
        <is>
          <t>1800 ULTIMATE MANGO MARGARITA RTD PET</t>
        </is>
      </c>
      <c r="D19" s="25" t="inlineStr">
        <is>
          <t>1.75L</t>
        </is>
      </c>
      <c r="E19" s="27" t="n">
        <v>0</v>
      </c>
      <c r="F19" s="27" t="n">
        <v>7</v>
      </c>
      <c r="G19" s="27" t="n">
        <v>6</v>
      </c>
      <c r="H19" s="28" t="n">
        <v>106.1</v>
      </c>
      <c r="I19" s="28" t="n">
        <v>0</v>
      </c>
      <c r="J19" s="94" t="inlineStr">
        <is>
          <t>False</t>
        </is>
      </c>
      <c r="K19" s="28" t="n">
        <v>0</v>
      </c>
      <c r="L19" s="25" t="inlineStr">
        <is>
          <t>COCKTAILS</t>
        </is>
      </c>
      <c r="M19" s="25" t="inlineStr">
        <is>
          <t>PROXIMO SPIRITS INC</t>
        </is>
      </c>
      <c r="N19" s="25" t="inlineStr">
        <is>
          <t>040002-RNDC-MAGNOLIA</t>
        </is>
      </c>
      <c r="O19" s="25" t="n"/>
      <c r="P19" s="25" t="inlineStr">
        <is>
          <t>10811538018927</t>
        </is>
      </c>
      <c r="Q19" s="25" t="inlineStr">
        <is>
          <t>0811538018920</t>
        </is>
      </c>
      <c r="R19" s="78" t="n">
        <v>43532</v>
      </c>
    </row>
    <row r="20">
      <c r="A20" t="inlineStr">
        <is>
          <t>or item code =</t>
        </is>
      </c>
      <c r="B20" s="25" t="inlineStr">
        <is>
          <t>59154</t>
        </is>
      </c>
      <c r="C20" s="25" t="inlineStr">
        <is>
          <t>1800 ULTIMATE MARGARITA RTD</t>
        </is>
      </c>
      <c r="D20" s="25" t="inlineStr">
        <is>
          <t>1.75L</t>
        </is>
      </c>
      <c r="E20" s="27" t="n">
        <v>192</v>
      </c>
      <c r="F20" s="27" t="n">
        <v>198</v>
      </c>
      <c r="G20" s="27" t="n">
        <v>6</v>
      </c>
      <c r="H20" s="28" t="n">
        <v>106.1</v>
      </c>
      <c r="I20" s="28" t="n">
        <v>0</v>
      </c>
      <c r="J20" s="94" t="inlineStr">
        <is>
          <t>False</t>
        </is>
      </c>
      <c r="K20" s="28" t="n">
        <v>0</v>
      </c>
      <c r="L20" s="25" t="inlineStr">
        <is>
          <t>COCKTAILS</t>
        </is>
      </c>
      <c r="M20" s="25" t="inlineStr">
        <is>
          <t>PROXIMO SPIRITS INC</t>
        </is>
      </c>
      <c r="N20" s="25" t="inlineStr">
        <is>
          <t>040002-RNDC-MAGNOLIA</t>
        </is>
      </c>
      <c r="O20" s="25" t="n"/>
      <c r="P20" s="25" t="inlineStr">
        <is>
          <t>10811538019153</t>
        </is>
      </c>
      <c r="Q20" s="25" t="inlineStr">
        <is>
          <t>0811538019156</t>
        </is>
      </c>
      <c r="R20" s="78" t="n">
        <v>42370</v>
      </c>
    </row>
    <row r="21">
      <c r="A21" t="inlineStr">
        <is>
          <t>or item code =</t>
        </is>
      </c>
      <c r="B21" s="25" t="inlineStr">
        <is>
          <t>59161</t>
        </is>
      </c>
      <c r="C21" s="25" t="inlineStr">
        <is>
          <t>1800 ULTIMATE PEACH MARGARITA PET</t>
        </is>
      </c>
      <c r="D21" s="25" t="inlineStr">
        <is>
          <t>1.75L</t>
        </is>
      </c>
      <c r="E21" s="27" t="n">
        <v>23</v>
      </c>
      <c r="F21" s="27" t="n">
        <v>213</v>
      </c>
      <c r="G21" s="27" t="n">
        <v>6</v>
      </c>
      <c r="H21" s="28" t="n">
        <v>106.1</v>
      </c>
      <c r="I21" s="28" t="n">
        <v>0</v>
      </c>
      <c r="J21" s="94" t="inlineStr">
        <is>
          <t>False</t>
        </is>
      </c>
      <c r="K21" s="28" t="n">
        <v>0</v>
      </c>
      <c r="L21" s="25" t="inlineStr">
        <is>
          <t>COCKTAILS</t>
        </is>
      </c>
      <c r="M21" s="25" t="inlineStr">
        <is>
          <t>PROXIMO SPIRITS INC</t>
        </is>
      </c>
      <c r="N21" s="25" t="inlineStr">
        <is>
          <t>040002-RNDC-MAGNOLIA</t>
        </is>
      </c>
      <c r="O21" s="25" t="n"/>
      <c r="P21" s="25" t="n"/>
      <c r="Q21" s="25" t="inlineStr">
        <is>
          <t>818844023150</t>
        </is>
      </c>
      <c r="R21" s="78" t="n">
        <v>42370</v>
      </c>
    </row>
    <row r="22">
      <c r="A22" t="inlineStr">
        <is>
          <t>or item code =</t>
        </is>
      </c>
      <c r="B22" s="25" t="inlineStr">
        <is>
          <t>59162</t>
        </is>
      </c>
      <c r="C22" s="25" t="inlineStr">
        <is>
          <t>1800 ULTIMATE PINEAPPLE MAR.</t>
        </is>
      </c>
      <c r="D22" s="25" t="inlineStr">
        <is>
          <t>1.75L</t>
        </is>
      </c>
      <c r="E22" s="27" t="n">
        <v>0</v>
      </c>
      <c r="F22" s="27" t="n">
        <v>249</v>
      </c>
      <c r="G22" s="27" t="n">
        <v>6</v>
      </c>
      <c r="H22" s="28" t="n">
        <v>106.1</v>
      </c>
      <c r="I22" s="28" t="n">
        <v>0</v>
      </c>
      <c r="J22" s="94" t="inlineStr">
        <is>
          <t>False</t>
        </is>
      </c>
      <c r="K22" s="28" t="n">
        <v>0</v>
      </c>
      <c r="L22" s="25" t="inlineStr">
        <is>
          <t>COCKTAILS</t>
        </is>
      </c>
      <c r="M22" s="25" t="inlineStr">
        <is>
          <t>PROXIMO SPIRITS INC</t>
        </is>
      </c>
      <c r="N22" s="25" t="inlineStr">
        <is>
          <t>040002-RNDC-MAGNOLIA</t>
        </is>
      </c>
      <c r="O22" s="25" t="n"/>
      <c r="P22" s="25" t="inlineStr">
        <is>
          <t>10811538010396</t>
        </is>
      </c>
      <c r="Q22" s="25" t="inlineStr">
        <is>
          <t>818844023167</t>
        </is>
      </c>
      <c r="R22" s="78" t="n">
        <v>42370</v>
      </c>
    </row>
    <row r="23">
      <c r="A23" t="inlineStr">
        <is>
          <t>or item code =</t>
        </is>
      </c>
      <c r="B23" s="25" t="inlineStr">
        <is>
          <t>59159</t>
        </is>
      </c>
      <c r="C23" s="25" t="inlineStr">
        <is>
          <t>1800 ULTIMATE RASPBERRY PET</t>
        </is>
      </c>
      <c r="D23" s="25" t="inlineStr">
        <is>
          <t>1.75L</t>
        </is>
      </c>
      <c r="E23" s="27" t="n">
        <v>0</v>
      </c>
      <c r="F23" s="27" t="n">
        <v>59</v>
      </c>
      <c r="G23" s="27" t="n">
        <v>6</v>
      </c>
      <c r="H23" s="28" t="n">
        <v>106.1</v>
      </c>
      <c r="I23" s="28" t="n">
        <v>0</v>
      </c>
      <c r="J23" s="94" t="inlineStr">
        <is>
          <t>False</t>
        </is>
      </c>
      <c r="K23" s="28" t="n">
        <v>0</v>
      </c>
      <c r="L23" s="25" t="inlineStr">
        <is>
          <t>COCKTAILS</t>
        </is>
      </c>
      <c r="M23" s="25" t="inlineStr">
        <is>
          <t>PROXIMO SPIRITS INC</t>
        </is>
      </c>
      <c r="N23" s="25" t="inlineStr">
        <is>
          <t>040002-RNDC-MAGNOLIA</t>
        </is>
      </c>
      <c r="O23" s="25" t="n"/>
      <c r="P23" s="25" t="inlineStr">
        <is>
          <t>10811538013816</t>
        </is>
      </c>
      <c r="Q23" s="25" t="inlineStr">
        <is>
          <t>0811538013819</t>
        </is>
      </c>
      <c r="R23" s="78" t="n">
        <v>42538</v>
      </c>
    </row>
    <row r="24">
      <c r="A24" t="inlineStr">
        <is>
          <t>or item code =</t>
        </is>
      </c>
      <c r="B24" s="25" t="inlineStr">
        <is>
          <t>59201</t>
        </is>
      </c>
      <c r="C24" s="25" t="inlineStr">
        <is>
          <t>1800 ULTIMATE STRAWBERRY MARGARITA RTD</t>
        </is>
      </c>
      <c r="D24" s="25" t="inlineStr">
        <is>
          <t>1.75L</t>
        </is>
      </c>
      <c r="E24" s="27" t="n">
        <v>0</v>
      </c>
      <c r="F24" s="27" t="n">
        <v>96</v>
      </c>
      <c r="G24" s="27" t="n">
        <v>6</v>
      </c>
      <c r="H24" s="28" t="n">
        <v>106.1</v>
      </c>
      <c r="I24" s="28" t="n">
        <v>0</v>
      </c>
      <c r="J24" s="94" t="inlineStr">
        <is>
          <t>False</t>
        </is>
      </c>
      <c r="K24" s="28" t="n">
        <v>0</v>
      </c>
      <c r="L24" s="25" t="inlineStr">
        <is>
          <t>COCKTAILS</t>
        </is>
      </c>
      <c r="M24" s="25" t="inlineStr">
        <is>
          <t>PROXIMO SPIRITS INC</t>
        </is>
      </c>
      <c r="N24" s="25" t="inlineStr">
        <is>
          <t>040002-RNDC-MAGNOLIA</t>
        </is>
      </c>
      <c r="O24" s="25" t="n"/>
      <c r="P24" s="25" t="inlineStr">
        <is>
          <t>10818844022778</t>
        </is>
      </c>
      <c r="Q24" s="25" t="inlineStr">
        <is>
          <t>818844022771</t>
        </is>
      </c>
      <c r="R24" s="78" t="n">
        <v>44593</v>
      </c>
    </row>
    <row r="25">
      <c r="A25" t="inlineStr">
        <is>
          <t>or item code =</t>
        </is>
      </c>
      <c r="B25" s="25" t="inlineStr">
        <is>
          <t>59163</t>
        </is>
      </c>
      <c r="C25" s="25" t="inlineStr">
        <is>
          <t>1800 WATERMELON RTD TEQUILA</t>
        </is>
      </c>
      <c r="D25" s="25" t="inlineStr">
        <is>
          <t>1.75L</t>
        </is>
      </c>
      <c r="E25" s="27" t="n">
        <v>0</v>
      </c>
      <c r="F25" s="27" t="n">
        <v>9</v>
      </c>
      <c r="G25" s="27" t="n">
        <v>6</v>
      </c>
      <c r="H25" s="28" t="n">
        <v>106.1</v>
      </c>
      <c r="I25" s="28" t="n">
        <v>0</v>
      </c>
      <c r="J25" s="94" t="inlineStr">
        <is>
          <t>False</t>
        </is>
      </c>
      <c r="K25" s="28" t="n">
        <v>0</v>
      </c>
      <c r="L25" s="25" t="inlineStr">
        <is>
          <t>COCKTAILS</t>
        </is>
      </c>
      <c r="M25" s="25" t="inlineStr">
        <is>
          <t>PROXIMO SPIRITS INC</t>
        </is>
      </c>
      <c r="N25" s="25" t="inlineStr">
        <is>
          <t>040002-RNDC-MAGNOLIA</t>
        </is>
      </c>
      <c r="O25" s="25" t="n"/>
      <c r="P25" s="25" t="n"/>
      <c r="Q25" s="25" t="inlineStr">
        <is>
          <t>0811538016445</t>
        </is>
      </c>
      <c r="R25" s="78" t="n">
        <v>43207</v>
      </c>
    </row>
    <row r="26">
      <c r="A26" t="inlineStr">
        <is>
          <t>or item code =</t>
        </is>
      </c>
      <c r="B26" s="25" t="inlineStr">
        <is>
          <t>419951</t>
        </is>
      </c>
      <c r="C26" s="25" t="inlineStr">
        <is>
          <t>19 CRIMES CABERNET SAUVINGON</t>
        </is>
      </c>
      <c r="D26" s="25" t="inlineStr">
        <is>
          <t>750ml</t>
        </is>
      </c>
      <c r="E26" s="27" t="n">
        <v>0</v>
      </c>
      <c r="F26" s="27" t="n">
        <v>23</v>
      </c>
      <c r="G26" s="27" t="n">
        <v>12</v>
      </c>
      <c r="H26" s="28" t="n">
        <v>96.44</v>
      </c>
      <c r="I26" s="28" t="n">
        <v>0</v>
      </c>
      <c r="J26" s="94" t="inlineStr">
        <is>
          <t>False</t>
        </is>
      </c>
      <c r="K26" s="28" t="n">
        <v>0</v>
      </c>
      <c r="L26" s="25" t="inlineStr">
        <is>
          <t>CABERNET SAUVIGNON</t>
        </is>
      </c>
      <c r="M26" s="25" t="inlineStr">
        <is>
          <t>TREASURY WINE ESTATES AMERICAS CO</t>
        </is>
      </c>
      <c r="N26" s="25" t="inlineStr">
        <is>
          <t>040003-RNDC-VINTAGE</t>
        </is>
      </c>
      <c r="O26" s="25" t="n"/>
      <c r="P26" s="25" t="inlineStr">
        <is>
          <t>10012354001357</t>
        </is>
      </c>
      <c r="Q26" s="25" t="inlineStr">
        <is>
          <t>0012354001350</t>
        </is>
      </c>
      <c r="R26" s="78" t="n">
        <v>42370</v>
      </c>
    </row>
    <row r="27">
      <c r="A27" t="inlineStr">
        <is>
          <t>or item code =</t>
        </is>
      </c>
      <c r="B27" s="25" t="inlineStr">
        <is>
          <t>671421</t>
        </is>
      </c>
      <c r="C27" s="25" t="inlineStr">
        <is>
          <t>19 CRIMES CALI ROSE</t>
        </is>
      </c>
      <c r="D27" s="25" t="inlineStr">
        <is>
          <t>750ml</t>
        </is>
      </c>
      <c r="E27" s="27" t="n">
        <v>44</v>
      </c>
      <c r="F27" s="27" t="n">
        <v>35</v>
      </c>
      <c r="G27" s="27" t="n">
        <v>12</v>
      </c>
      <c r="H27" s="28" t="n">
        <v>125.8</v>
      </c>
      <c r="I27" s="28" t="n">
        <v>0</v>
      </c>
      <c r="J27" s="94" t="inlineStr">
        <is>
          <t>False</t>
        </is>
      </c>
      <c r="K27" s="28" t="n">
        <v>0</v>
      </c>
      <c r="L27" s="25" t="inlineStr">
        <is>
          <t>RED WINE</t>
        </is>
      </c>
      <c r="M27" s="25" t="inlineStr">
        <is>
          <t>TREASURY WINE ESTATES AMERICAS CO</t>
        </is>
      </c>
      <c r="N27" s="25" t="inlineStr">
        <is>
          <t>040003-RNDC-VINTAGE</t>
        </is>
      </c>
      <c r="O27" s="25" t="n"/>
      <c r="P27" s="25" t="n"/>
      <c r="Q27" s="25" t="inlineStr">
        <is>
          <t>012354005006</t>
        </is>
      </c>
      <c r="R27" s="78" t="n">
        <v>44348</v>
      </c>
    </row>
    <row r="28">
      <c r="A28" t="inlineStr">
        <is>
          <t>or item code =</t>
        </is>
      </c>
      <c r="B28" s="25" t="inlineStr">
        <is>
          <t>419959</t>
        </is>
      </c>
      <c r="C28" s="25" t="inlineStr">
        <is>
          <t>19 CRIMES HARD CHARD CHARDONNAY</t>
        </is>
      </c>
      <c r="D28" s="25" t="inlineStr">
        <is>
          <t>750ml</t>
        </is>
      </c>
      <c r="E28" s="27" t="n">
        <v>0</v>
      </c>
      <c r="F28" s="27" t="n">
        <v>19</v>
      </c>
      <c r="G28" s="27" t="n">
        <v>12</v>
      </c>
      <c r="H28" s="28" t="n">
        <v>96.45</v>
      </c>
      <c r="I28" s="28" t="n">
        <v>0</v>
      </c>
      <c r="J28" s="94" t="inlineStr">
        <is>
          <t>False</t>
        </is>
      </c>
      <c r="K28" s="28" t="n">
        <v>0</v>
      </c>
      <c r="L28" s="25" t="inlineStr">
        <is>
          <t>WHITE WINE</t>
        </is>
      </c>
      <c r="M28" s="25" t="inlineStr">
        <is>
          <t>TREASURY WINE ESTATES AMERICAS CO</t>
        </is>
      </c>
      <c r="N28" s="25" t="inlineStr">
        <is>
          <t>040003-RNDC-VINTAGE</t>
        </is>
      </c>
      <c r="O28" s="25" t="n"/>
      <c r="P28" s="25" t="inlineStr">
        <is>
          <t>10012354001944</t>
        </is>
      </c>
      <c r="Q28" s="25" t="inlineStr">
        <is>
          <t>0012354001947</t>
        </is>
      </c>
      <c r="R28" s="78" t="n">
        <v>43139</v>
      </c>
    </row>
    <row r="29">
      <c r="A29" t="inlineStr">
        <is>
          <t>or item code =</t>
        </is>
      </c>
      <c r="B29" s="25" t="inlineStr">
        <is>
          <t>490692</t>
        </is>
      </c>
      <c r="C29" s="25" t="inlineStr">
        <is>
          <t>19 CRIMES MODERN CALI RED</t>
        </is>
      </c>
      <c r="D29" s="25" t="inlineStr">
        <is>
          <t>750ml</t>
        </is>
      </c>
      <c r="E29" s="27" t="n">
        <v>0</v>
      </c>
      <c r="F29" s="27" t="n">
        <v>8</v>
      </c>
      <c r="G29" s="27" t="n">
        <v>12</v>
      </c>
      <c r="H29" s="28" t="n">
        <v>125.8</v>
      </c>
      <c r="I29" s="28" t="n">
        <v>0</v>
      </c>
      <c r="J29" s="94" t="inlineStr">
        <is>
          <t>False</t>
        </is>
      </c>
      <c r="K29" s="28" t="n">
        <v>0</v>
      </c>
      <c r="L29" s="25" t="inlineStr">
        <is>
          <t>RED WINE</t>
        </is>
      </c>
      <c r="M29" s="25" t="inlineStr">
        <is>
          <t>TREASURY WINE ESTATES AMERICAS CO</t>
        </is>
      </c>
      <c r="N29" s="25" t="inlineStr">
        <is>
          <t>040003-RNDC-VINTAGE</t>
        </is>
      </c>
      <c r="O29" s="25" t="n"/>
      <c r="P29" s="25" t="inlineStr">
        <is>
          <t>00012354004771</t>
        </is>
      </c>
      <c r="Q29" s="25" t="inlineStr">
        <is>
          <t>012354004290</t>
        </is>
      </c>
      <c r="R29" s="78" t="n">
        <v>44136</v>
      </c>
    </row>
    <row r="30">
      <c r="A30" t="inlineStr">
        <is>
          <t>or item code =</t>
        </is>
      </c>
      <c r="B30" s="25" t="inlineStr">
        <is>
          <t>419952</t>
        </is>
      </c>
      <c r="C30" s="25" t="inlineStr">
        <is>
          <t>19 CRIMES RED WINE</t>
        </is>
      </c>
      <c r="D30" s="25" t="inlineStr">
        <is>
          <t>750ml</t>
        </is>
      </c>
      <c r="E30" s="27" t="n">
        <v>0</v>
      </c>
      <c r="F30" s="27" t="n">
        <v>4</v>
      </c>
      <c r="G30" s="27" t="n">
        <v>12</v>
      </c>
      <c r="H30" s="28" t="n">
        <v>96.45</v>
      </c>
      <c r="I30" s="28" t="n">
        <v>0</v>
      </c>
      <c r="J30" s="94" t="inlineStr">
        <is>
          <t>False</t>
        </is>
      </c>
      <c r="K30" s="28" t="n">
        <v>0</v>
      </c>
      <c r="L30" s="25" t="inlineStr">
        <is>
          <t>RED WINE</t>
        </is>
      </c>
      <c r="M30" s="25" t="inlineStr">
        <is>
          <t>TREASURY WINE ESTATES AMERICAS CO</t>
        </is>
      </c>
      <c r="N30" s="25" t="inlineStr">
        <is>
          <t>040003-RNDC-VINTAGE</t>
        </is>
      </c>
      <c r="O30" s="25" t="n"/>
      <c r="P30" s="25" t="inlineStr">
        <is>
          <t>10012354000992</t>
        </is>
      </c>
      <c r="Q30" s="25" t="inlineStr">
        <is>
          <t>0012354000995</t>
        </is>
      </c>
      <c r="R30" s="78" t="n">
        <v>42370</v>
      </c>
    </row>
    <row r="31">
      <c r="A31" t="inlineStr">
        <is>
          <t>or item code =</t>
        </is>
      </c>
      <c r="B31" s="25" t="inlineStr">
        <is>
          <t>419955</t>
        </is>
      </c>
      <c r="C31" s="25" t="inlineStr">
        <is>
          <t>19 CRIMES THE BANISHED RED WINE</t>
        </is>
      </c>
      <c r="D31" s="25" t="inlineStr">
        <is>
          <t>750ml</t>
        </is>
      </c>
      <c r="E31" s="27" t="n">
        <v>0</v>
      </c>
      <c r="F31" s="27" t="n">
        <v>51</v>
      </c>
      <c r="G31" s="27" t="n">
        <v>12</v>
      </c>
      <c r="H31" s="28" t="n">
        <v>96.45</v>
      </c>
      <c r="I31" s="28" t="n">
        <v>0</v>
      </c>
      <c r="J31" s="94" t="inlineStr">
        <is>
          <t>False</t>
        </is>
      </c>
      <c r="K31" s="28" t="n">
        <v>0</v>
      </c>
      <c r="L31" s="25" t="inlineStr">
        <is>
          <t>RED WINE</t>
        </is>
      </c>
      <c r="M31" s="25" t="inlineStr">
        <is>
          <t>TREASURY WINE ESTATES AMERICAS CO</t>
        </is>
      </c>
      <c r="N31" s="25" t="inlineStr">
        <is>
          <t>040003-RNDC-VINTAGE</t>
        </is>
      </c>
      <c r="O31" s="25" t="n"/>
      <c r="P31" s="25" t="inlineStr">
        <is>
          <t>10012354001685</t>
        </is>
      </c>
      <c r="Q31" s="25" t="inlineStr">
        <is>
          <t>0012354001688</t>
        </is>
      </c>
      <c r="R31" s="78" t="n">
        <v>42808</v>
      </c>
    </row>
    <row r="32">
      <c r="A32" t="inlineStr">
        <is>
          <t>or item code =</t>
        </is>
      </c>
      <c r="B32" s="25" t="inlineStr">
        <is>
          <t>419973</t>
        </is>
      </c>
      <c r="C32" s="25" t="inlineStr">
        <is>
          <t>19 CRIMES THE PUNISHMENT PINOT NOIR</t>
        </is>
      </c>
      <c r="D32" s="25" t="inlineStr">
        <is>
          <t>750ml</t>
        </is>
      </c>
      <c r="E32" s="27" t="n">
        <v>0</v>
      </c>
      <c r="F32" s="27" t="n">
        <v>23</v>
      </c>
      <c r="G32" s="27" t="n">
        <v>12</v>
      </c>
      <c r="H32" s="28" t="n">
        <v>96.45</v>
      </c>
      <c r="I32" s="28" t="n">
        <v>0</v>
      </c>
      <c r="J32" s="94" t="inlineStr">
        <is>
          <t>False</t>
        </is>
      </c>
      <c r="K32" s="28" t="n">
        <v>0</v>
      </c>
      <c r="L32" s="25" t="inlineStr">
        <is>
          <t>RED WINE</t>
        </is>
      </c>
      <c r="M32" s="25" t="inlineStr">
        <is>
          <t>TREASURY WINE ESTATES AMERICAS CO</t>
        </is>
      </c>
      <c r="N32" s="25" t="inlineStr">
        <is>
          <t>040003-RNDC-VINTAGE</t>
        </is>
      </c>
      <c r="O32" s="25" t="n"/>
      <c r="P32" s="25" t="inlineStr">
        <is>
          <t>10089819721440</t>
        </is>
      </c>
      <c r="Q32" s="25" t="inlineStr">
        <is>
          <t>089819721443</t>
        </is>
      </c>
      <c r="R32" s="78" t="n">
        <v>43360</v>
      </c>
    </row>
    <row r="33">
      <c r="A33" t="inlineStr">
        <is>
          <t>or item code =</t>
        </is>
      </c>
      <c r="B33" s="25" t="inlineStr">
        <is>
          <t>419961</t>
        </is>
      </c>
      <c r="C33" s="25" t="inlineStr">
        <is>
          <t>19 CRIMES THE UPRISING RED WINE</t>
        </is>
      </c>
      <c r="D33" s="25" t="inlineStr">
        <is>
          <t>750ml</t>
        </is>
      </c>
      <c r="E33" s="27" t="n">
        <v>25</v>
      </c>
      <c r="F33" s="27" t="n">
        <v>73</v>
      </c>
      <c r="G33" s="27" t="n">
        <v>12</v>
      </c>
      <c r="H33" s="28" t="n">
        <v>96.45</v>
      </c>
      <c r="I33" s="28" t="n">
        <v>0</v>
      </c>
      <c r="J33" s="94" t="inlineStr">
        <is>
          <t>False</t>
        </is>
      </c>
      <c r="K33" s="28" t="n">
        <v>0</v>
      </c>
      <c r="L33" s="25" t="inlineStr">
        <is>
          <t>RED WINE</t>
        </is>
      </c>
      <c r="M33" s="25" t="inlineStr">
        <is>
          <t>TREASURY WINE ESTATES AMERICAS CO</t>
        </is>
      </c>
      <c r="N33" s="25" t="inlineStr">
        <is>
          <t>040003-RNDC-VINTAGE</t>
        </is>
      </c>
      <c r="O33" s="25" t="n"/>
      <c r="P33" s="25" t="n"/>
      <c r="Q33" s="25" t="inlineStr">
        <is>
          <t>0012354001930</t>
        </is>
      </c>
      <c r="R33" s="78" t="n">
        <v>43139</v>
      </c>
    </row>
    <row r="34">
      <c r="A34" t="inlineStr">
        <is>
          <t>or item code =</t>
        </is>
      </c>
      <c r="B34" s="25" t="inlineStr">
        <is>
          <t>41943</t>
        </is>
      </c>
      <c r="C34" s="25" t="inlineStr">
        <is>
          <t>360 GEORGIA PEACH FLAVORED VODKA</t>
        </is>
      </c>
      <c r="D34" s="25" t="inlineStr">
        <is>
          <t>750ml</t>
        </is>
      </c>
      <c r="E34" s="27" t="n">
        <v>1</v>
      </c>
      <c r="F34" s="27" t="n">
        <v>36</v>
      </c>
      <c r="G34" s="27" t="n">
        <v>12</v>
      </c>
      <c r="H34" s="28" t="n">
        <v>125.92</v>
      </c>
      <c r="I34" s="28" t="n">
        <v>0</v>
      </c>
      <c r="J34" s="94" t="inlineStr">
        <is>
          <t>False</t>
        </is>
      </c>
      <c r="K34" s="28" t="n">
        <v>0</v>
      </c>
      <c r="L34" s="25" t="inlineStr">
        <is>
          <t>VODKA</t>
        </is>
      </c>
      <c r="M34" s="25" t="inlineStr">
        <is>
          <t>MCCORMICK DISTILLING COMPANY</t>
        </is>
      </c>
      <c r="N34" s="25" t="inlineStr">
        <is>
          <t>040002-RNDC-MAGNOLIA</t>
        </is>
      </c>
      <c r="O34" s="25" t="n"/>
      <c r="P34" s="25" t="inlineStr">
        <is>
          <t>10085592142458</t>
        </is>
      </c>
      <c r="Q34" s="25" t="inlineStr">
        <is>
          <t>0085592142451</t>
        </is>
      </c>
      <c r="R34" s="78" t="n">
        <v>42370</v>
      </c>
    </row>
    <row r="35">
      <c r="A35" t="inlineStr">
        <is>
          <t>or item code =</t>
        </is>
      </c>
      <c r="B35" s="25" t="inlineStr">
        <is>
          <t>84170</t>
        </is>
      </c>
      <c r="C35" s="25" t="inlineStr">
        <is>
          <t>99 BRAND BANANAS</t>
        </is>
      </c>
      <c r="D35" s="25" t="inlineStr">
        <is>
          <t>750ml</t>
        </is>
      </c>
      <c r="E35" s="27" t="n">
        <v>8</v>
      </c>
      <c r="F35" s="27" t="n">
        <v>26</v>
      </c>
      <c r="G35" s="27" t="n">
        <v>12</v>
      </c>
      <c r="H35" s="28" t="n">
        <v>150.37</v>
      </c>
      <c r="I35" s="28" t="n">
        <v>0</v>
      </c>
      <c r="J35" s="94" t="inlineStr">
        <is>
          <t>False</t>
        </is>
      </c>
      <c r="K35" s="28" t="n">
        <v>0</v>
      </c>
      <c r="L35" s="25" t="inlineStr">
        <is>
          <t>LIQUEURS AND CORDIALS</t>
        </is>
      </c>
      <c r="M35" s="25" t="inlineStr">
        <is>
          <t>SAZERAC COMPANY</t>
        </is>
      </c>
      <c r="N35" s="25" t="inlineStr">
        <is>
          <t>040002-RNDC-MAGNOLIA</t>
        </is>
      </c>
      <c r="O35" s="25" t="n"/>
      <c r="P35" s="25" t="inlineStr">
        <is>
          <t>10089000990761</t>
        </is>
      </c>
      <c r="Q35" s="25" t="inlineStr">
        <is>
          <t>0080660620053</t>
        </is>
      </c>
      <c r="R35" s="78" t="n">
        <v>42370</v>
      </c>
    </row>
    <row r="36">
      <c r="A36" t="inlineStr">
        <is>
          <t>or item code =</t>
        </is>
      </c>
      <c r="B36" s="25" t="inlineStr">
        <is>
          <t>84172</t>
        </is>
      </c>
      <c r="C36" s="25" t="inlineStr">
        <is>
          <t>99 BRAND BANANAS SCHNAPPS</t>
        </is>
      </c>
      <c r="D36" s="25" t="inlineStr">
        <is>
          <t>50ml</t>
        </is>
      </c>
      <c r="E36" s="27" t="n">
        <v>37</v>
      </c>
      <c r="F36" s="27" t="n">
        <v>81</v>
      </c>
      <c r="G36" s="27" t="n">
        <v>120</v>
      </c>
      <c r="H36" s="28" t="n">
        <v>80</v>
      </c>
      <c r="I36" s="28" t="n">
        <v>0</v>
      </c>
      <c r="J36" s="94" t="inlineStr">
        <is>
          <t>False</t>
        </is>
      </c>
      <c r="K36" s="28" t="n">
        <v>0</v>
      </c>
      <c r="L36" s="25" t="inlineStr">
        <is>
          <t>LIQUEURS AND CORDIALS</t>
        </is>
      </c>
      <c r="M36" s="25" t="inlineStr">
        <is>
          <t>SAZERAC COMPANY</t>
        </is>
      </c>
      <c r="N36" s="25" t="inlineStr">
        <is>
          <t>040002-RNDC-MAGNOLIA</t>
        </is>
      </c>
      <c r="O36" s="25" t="n"/>
      <c r="P36" s="25" t="inlineStr">
        <is>
          <t>00080660620091</t>
        </is>
      </c>
      <c r="Q36" s="25" t="inlineStr">
        <is>
          <t>0080660620992</t>
        </is>
      </c>
      <c r="R36" s="78" t="n">
        <v>42474</v>
      </c>
    </row>
    <row r="37">
      <c r="A37" t="inlineStr">
        <is>
          <t>or item code =</t>
        </is>
      </c>
      <c r="B37" s="25" t="inlineStr">
        <is>
          <t>84222</t>
        </is>
      </c>
      <c r="C37" s="25" t="inlineStr">
        <is>
          <t>99 BRAND BLUE RASPBERRIES</t>
        </is>
      </c>
      <c r="D37" s="25" t="inlineStr">
        <is>
          <t>50ml</t>
        </is>
      </c>
      <c r="E37" s="27" t="n">
        <v>157</v>
      </c>
      <c r="F37" s="27" t="n">
        <v>60</v>
      </c>
      <c r="G37" s="27" t="n">
        <v>120</v>
      </c>
      <c r="H37" s="28" t="n">
        <v>80</v>
      </c>
      <c r="I37" s="28" t="n">
        <v>0</v>
      </c>
      <c r="J37" s="94" t="inlineStr">
        <is>
          <t>False</t>
        </is>
      </c>
      <c r="K37" s="28" t="n">
        <v>0</v>
      </c>
      <c r="L37" s="25" t="inlineStr">
        <is>
          <t>LIQUEURS AND CORDIALS</t>
        </is>
      </c>
      <c r="M37" s="25" t="inlineStr">
        <is>
          <t>SAZERAC COMPANY</t>
        </is>
      </c>
      <c r="N37" s="25" t="inlineStr">
        <is>
          <t>040002-RNDC-MAGNOLIA</t>
        </is>
      </c>
      <c r="O37" s="25" t="n"/>
      <c r="P37" s="25" t="inlineStr">
        <is>
          <t>10088004039667</t>
        </is>
      </c>
      <c r="Q37" s="25" t="inlineStr">
        <is>
          <t>0088004039660</t>
        </is>
      </c>
      <c r="R37" s="78" t="n">
        <v>44228</v>
      </c>
    </row>
    <row r="38">
      <c r="A38" t="inlineStr">
        <is>
          <t>or item code =</t>
        </is>
      </c>
      <c r="B38" s="25" t="inlineStr">
        <is>
          <t>84191</t>
        </is>
      </c>
      <c r="C38" s="25" t="inlineStr">
        <is>
          <t>99 BRAND BUTTERSCOTCH SCHNAPPS</t>
        </is>
      </c>
      <c r="D38" s="25" t="inlineStr">
        <is>
          <t>50ml</t>
        </is>
      </c>
      <c r="E38" s="27" t="n">
        <v>75</v>
      </c>
      <c r="F38" s="27" t="n">
        <v>44</v>
      </c>
      <c r="G38" s="27" t="n">
        <v>120</v>
      </c>
      <c r="H38" s="28" t="n">
        <v>80</v>
      </c>
      <c r="I38" s="28" t="n">
        <v>0</v>
      </c>
      <c r="J38" s="94" t="inlineStr">
        <is>
          <t>False</t>
        </is>
      </c>
      <c r="K38" s="28" t="n">
        <v>0</v>
      </c>
      <c r="L38" s="25" t="inlineStr">
        <is>
          <t>LIQUEURS AND CORDIALS</t>
        </is>
      </c>
      <c r="M38" s="25" t="inlineStr">
        <is>
          <t>SAZERAC COMPANY</t>
        </is>
      </c>
      <c r="N38" s="25" t="inlineStr">
        <is>
          <t>040002-RNDC-MAGNOLIA</t>
        </is>
      </c>
      <c r="O38" s="25" t="n"/>
      <c r="P38" s="25" t="inlineStr">
        <is>
          <t>10080660010110</t>
        </is>
      </c>
      <c r="Q38" s="25" t="inlineStr">
        <is>
          <t>0080660010113</t>
        </is>
      </c>
      <c r="R38" s="78" t="n">
        <v>44044</v>
      </c>
    </row>
    <row r="39">
      <c r="A39" t="inlineStr">
        <is>
          <t>or item code =</t>
        </is>
      </c>
      <c r="B39" s="25" t="inlineStr">
        <is>
          <t>84142</t>
        </is>
      </c>
      <c r="C39" s="25" t="inlineStr">
        <is>
          <t>99 BRAND PEACHES</t>
        </is>
      </c>
      <c r="D39" s="25" t="inlineStr">
        <is>
          <t>50ml</t>
        </is>
      </c>
      <c r="E39" s="27" t="n">
        <v>72</v>
      </c>
      <c r="F39" s="27" t="n">
        <v>55</v>
      </c>
      <c r="G39" s="27" t="n">
        <v>120</v>
      </c>
      <c r="H39" s="28" t="n">
        <v>80</v>
      </c>
      <c r="I39" s="28" t="n">
        <v>0</v>
      </c>
      <c r="J39" s="94" t="inlineStr">
        <is>
          <t>False</t>
        </is>
      </c>
      <c r="K39" s="28" t="n">
        <v>0</v>
      </c>
      <c r="L39" s="25" t="inlineStr">
        <is>
          <t>LIQUEURS AND CORDIALS</t>
        </is>
      </c>
      <c r="M39" s="25" t="inlineStr">
        <is>
          <t>SAZERAC COMPANY</t>
        </is>
      </c>
      <c r="N39" s="25" t="inlineStr">
        <is>
          <t>040002-RNDC-MAGNOLIA</t>
        </is>
      </c>
      <c r="O39" s="25" t="n"/>
      <c r="P39" s="25" t="inlineStr">
        <is>
          <t>10089000990617</t>
        </is>
      </c>
      <c r="Q39" s="25" t="inlineStr">
        <is>
          <t>089000990610</t>
        </is>
      </c>
      <c r="R39" s="78" t="n">
        <v>42370</v>
      </c>
    </row>
    <row r="40">
      <c r="A40" t="inlineStr">
        <is>
          <t>or item code =</t>
        </is>
      </c>
      <c r="B40" s="25" t="inlineStr">
        <is>
          <t>87054</t>
        </is>
      </c>
      <c r="C40" s="25" t="inlineStr">
        <is>
          <t>99 BRAND PEANUT BUTTER WHISKEY</t>
        </is>
      </c>
      <c r="D40" s="25" t="inlineStr">
        <is>
          <t>50ml</t>
        </is>
      </c>
      <c r="E40" s="27" t="n">
        <v>34</v>
      </c>
      <c r="F40" s="27" t="n">
        <v>22</v>
      </c>
      <c r="G40" s="27" t="n">
        <v>120</v>
      </c>
      <c r="H40" s="28" t="n">
        <v>80</v>
      </c>
      <c r="I40" s="28" t="n">
        <v>0</v>
      </c>
      <c r="J40" s="94" t="inlineStr">
        <is>
          <t>False</t>
        </is>
      </c>
      <c r="K40" s="28" t="n">
        <v>0</v>
      </c>
      <c r="L40" s="25" t="inlineStr">
        <is>
          <t>WHISKEY - BLENDED</t>
        </is>
      </c>
      <c r="M40" s="25" t="inlineStr">
        <is>
          <t>SAZERAC COMPANY</t>
        </is>
      </c>
      <c r="N40" s="25" t="inlineStr">
        <is>
          <t>040002-RNDC-MAGNOLIA</t>
        </is>
      </c>
      <c r="O40" s="25" t="n"/>
      <c r="P40" s="25" t="inlineStr">
        <is>
          <t>10088004038554</t>
        </is>
      </c>
      <c r="Q40" s="25" t="inlineStr">
        <is>
          <t>00088004038557</t>
        </is>
      </c>
      <c r="R40" s="78" t="n">
        <v>44044</v>
      </c>
    </row>
    <row r="41">
      <c r="A41" t="inlineStr">
        <is>
          <t>or item code =</t>
        </is>
      </c>
      <c r="B41" s="25" t="inlineStr">
        <is>
          <t>84226</t>
        </is>
      </c>
      <c r="C41" s="25" t="inlineStr">
        <is>
          <t>99 BRAND STRAWBERRIES</t>
        </is>
      </c>
      <c r="D41" s="25" t="inlineStr">
        <is>
          <t>50ml</t>
        </is>
      </c>
      <c r="E41" s="27" t="n">
        <v>191</v>
      </c>
      <c r="F41" s="27" t="n">
        <v>61</v>
      </c>
      <c r="G41" s="27" t="n">
        <v>120</v>
      </c>
      <c r="H41" s="28" t="n">
        <v>80</v>
      </c>
      <c r="I41" s="28" t="n">
        <v>0</v>
      </c>
      <c r="J41" s="94" t="inlineStr">
        <is>
          <t>False</t>
        </is>
      </c>
      <c r="K41" s="28" t="n">
        <v>0</v>
      </c>
      <c r="L41" s="25" t="inlineStr">
        <is>
          <t>LIQUEURS AND CORDIALS</t>
        </is>
      </c>
      <c r="M41" s="25" t="inlineStr">
        <is>
          <t>SAZERAC COMPANY</t>
        </is>
      </c>
      <c r="N41" s="25" t="inlineStr">
        <is>
          <t>040002-RNDC-MAGNOLIA</t>
        </is>
      </c>
      <c r="O41" s="25" t="n"/>
      <c r="P41" s="25" t="inlineStr">
        <is>
          <t>10088004039650</t>
        </is>
      </c>
      <c r="Q41" s="25" t="inlineStr">
        <is>
          <t>0088004039653</t>
        </is>
      </c>
      <c r="R41" s="78" t="n">
        <v>44166</v>
      </c>
    </row>
    <row r="42">
      <c r="A42" t="inlineStr">
        <is>
          <t>or item code =</t>
        </is>
      </c>
      <c r="B42" s="25" t="inlineStr">
        <is>
          <t>4000</t>
        </is>
      </c>
      <c r="C42" s="25" t="inlineStr">
        <is>
          <t>ABERFELDY 12 YR SINGLE MALT SCOTCH WHISKEY</t>
        </is>
      </c>
      <c r="D42" s="25" t="inlineStr">
        <is>
          <t>750ml</t>
        </is>
      </c>
      <c r="E42" s="27" t="n">
        <v>0</v>
      </c>
      <c r="F42" s="27" t="n">
        <v>9</v>
      </c>
      <c r="G42" s="27" t="n">
        <v>6</v>
      </c>
      <c r="H42" s="28" t="n">
        <v>212.25</v>
      </c>
      <c r="I42" s="28" t="n">
        <v>0</v>
      </c>
      <c r="J42" s="94" t="inlineStr">
        <is>
          <t>False</t>
        </is>
      </c>
      <c r="K42" s="28" t="n">
        <v>0</v>
      </c>
      <c r="L42" s="25" t="inlineStr">
        <is>
          <t>WHISKY - SCOTCH</t>
        </is>
      </c>
      <c r="M42" s="25" t="inlineStr">
        <is>
          <t>BACARDI USA INC</t>
        </is>
      </c>
      <c r="N42" s="25" t="inlineStr">
        <is>
          <t>040010-SOUTHERN GLAZERS WINE AND SPIRITS OF MISSISSIPPI LLC</t>
        </is>
      </c>
      <c r="O42" s="25" t="n"/>
      <c r="P42" s="25" t="n"/>
      <c r="Q42" s="25" t="inlineStr">
        <is>
          <t>0080480220006</t>
        </is>
      </c>
      <c r="R42" s="78" t="n">
        <v>42370</v>
      </c>
    </row>
    <row r="43">
      <c r="A43" t="inlineStr">
        <is>
          <t>or item code =</t>
        </is>
      </c>
      <c r="B43" s="25" t="inlineStr">
        <is>
          <t>34008</t>
        </is>
      </c>
      <c r="C43" s="25" t="inlineStr">
        <is>
          <t>ABSOLUT 80 VODKA</t>
        </is>
      </c>
      <c r="D43" s="25" t="inlineStr">
        <is>
          <t>1.75L</t>
        </is>
      </c>
      <c r="E43" s="27" t="n">
        <v>548</v>
      </c>
      <c r="F43" s="27" t="n">
        <v>206</v>
      </c>
      <c r="G43" s="27" t="n">
        <v>6</v>
      </c>
      <c r="H43" s="28" t="n">
        <v>194.03</v>
      </c>
      <c r="I43" s="28" t="n">
        <v>0</v>
      </c>
      <c r="J43" s="94" t="inlineStr">
        <is>
          <t>False</t>
        </is>
      </c>
      <c r="K43" s="28" t="n">
        <v>0</v>
      </c>
      <c r="L43" s="25" t="inlineStr">
        <is>
          <t>VODKA</t>
        </is>
      </c>
      <c r="M43" s="25" t="inlineStr">
        <is>
          <t>PERNOD RICARD USA LLC</t>
        </is>
      </c>
      <c r="N43" s="25" t="inlineStr">
        <is>
          <t>040010-SOUTHERN GLAZERS WINE AND SPIRITS OF MISSISSIPPI LLC</t>
        </is>
      </c>
      <c r="O43" s="25" t="n"/>
      <c r="P43" s="25" t="inlineStr">
        <is>
          <t>10835229000602</t>
        </is>
      </c>
      <c r="Q43" s="25" t="inlineStr">
        <is>
          <t>0835229000605</t>
        </is>
      </c>
      <c r="R43" s="78" t="n">
        <v>42370</v>
      </c>
    </row>
    <row r="44">
      <c r="A44" t="inlineStr">
        <is>
          <t>or item code =</t>
        </is>
      </c>
      <c r="B44" s="25" t="inlineStr">
        <is>
          <t>34004</t>
        </is>
      </c>
      <c r="C44" s="25" t="inlineStr">
        <is>
          <t>ABSOLUT 80 VODKA</t>
        </is>
      </c>
      <c r="D44" s="25" t="inlineStr">
        <is>
          <t>375ml</t>
        </is>
      </c>
      <c r="E44" s="27" t="n">
        <v>0</v>
      </c>
      <c r="F44" s="27" t="n">
        <v>108</v>
      </c>
      <c r="G44" s="27" t="n">
        <v>24</v>
      </c>
      <c r="H44" s="28" t="n">
        <v>170.03</v>
      </c>
      <c r="I44" s="28" t="n">
        <v>17.14</v>
      </c>
      <c r="J44" s="94" t="inlineStr">
        <is>
          <t>False</t>
        </is>
      </c>
      <c r="K44" s="28" t="n">
        <v>0</v>
      </c>
      <c r="L44" s="25" t="inlineStr">
        <is>
          <t>VODKA</t>
        </is>
      </c>
      <c r="M44" s="25" t="inlineStr">
        <is>
          <t>PERNOD RICARD USA LLC</t>
        </is>
      </c>
      <c r="N44" s="25" t="inlineStr">
        <is>
          <t>040010-SOUTHERN GLAZERS WINE AND SPIRITS OF MISSISSIPPI LLC</t>
        </is>
      </c>
      <c r="O44" s="25" t="n"/>
      <c r="P44" s="25" t="inlineStr">
        <is>
          <t>30835229000200</t>
        </is>
      </c>
      <c r="Q44" s="25" t="inlineStr">
        <is>
          <t>0835229000209</t>
        </is>
      </c>
      <c r="R44" s="78" t="n">
        <v>42370</v>
      </c>
    </row>
    <row r="45">
      <c r="A45" t="inlineStr">
        <is>
          <t>or item code =</t>
        </is>
      </c>
      <c r="B45" s="25" t="inlineStr">
        <is>
          <t>34001</t>
        </is>
      </c>
      <c r="C45" s="25" t="inlineStr">
        <is>
          <t>ABSOLUT 80 VODKA</t>
        </is>
      </c>
      <c r="D45" s="25" t="inlineStr">
        <is>
          <t>50ml</t>
        </is>
      </c>
      <c r="E45" s="27" t="n">
        <v>0</v>
      </c>
      <c r="F45" s="27" t="n">
        <v>52</v>
      </c>
      <c r="G45" s="27" t="n">
        <v>120</v>
      </c>
      <c r="H45" s="28" t="n">
        <v>165.23</v>
      </c>
      <c r="I45" s="28" t="n">
        <v>0</v>
      </c>
      <c r="J45" s="94" t="inlineStr">
        <is>
          <t>False</t>
        </is>
      </c>
      <c r="K45" s="28" t="n">
        <v>0</v>
      </c>
      <c r="L45" s="25" t="inlineStr">
        <is>
          <t>VODKA</t>
        </is>
      </c>
      <c r="M45" s="25" t="inlineStr">
        <is>
          <t>PERNOD RICARD USA LLC</t>
        </is>
      </c>
      <c r="N45" s="25" t="inlineStr">
        <is>
          <t>040010-SOUTHERN GLAZERS WINE AND SPIRITS OF MISSISSIPPI LLC</t>
        </is>
      </c>
      <c r="O45" s="25" t="n"/>
      <c r="P45" s="25" t="inlineStr">
        <is>
          <t>40835229000009</t>
        </is>
      </c>
      <c r="Q45" s="25" t="inlineStr">
        <is>
          <t>7312040017058</t>
        </is>
      </c>
      <c r="R45" s="78" t="n">
        <v>42370</v>
      </c>
    </row>
    <row r="46">
      <c r="A46" t="inlineStr">
        <is>
          <t>or item code =</t>
        </is>
      </c>
      <c r="B46" s="25" t="inlineStr">
        <is>
          <t>34006</t>
        </is>
      </c>
      <c r="C46" s="25" t="inlineStr">
        <is>
          <t>ABSOLUT 80 VODKA</t>
        </is>
      </c>
      <c r="D46" s="25" t="inlineStr">
        <is>
          <t>750ml</t>
        </is>
      </c>
      <c r="E46" s="27" t="n">
        <v>456</v>
      </c>
      <c r="F46" s="27" t="n">
        <v>155</v>
      </c>
      <c r="G46" s="27" t="n">
        <v>12</v>
      </c>
      <c r="H46" s="28" t="n">
        <v>203.21</v>
      </c>
      <c r="I46" s="28" t="n">
        <v>0</v>
      </c>
      <c r="J46" s="94" t="inlineStr">
        <is>
          <t>False</t>
        </is>
      </c>
      <c r="K46" s="28" t="n">
        <v>0</v>
      </c>
      <c r="L46" s="25" t="inlineStr">
        <is>
          <t>VODKA</t>
        </is>
      </c>
      <c r="M46" s="25" t="inlineStr">
        <is>
          <t>PERNOD RICARD USA LLC</t>
        </is>
      </c>
      <c r="N46" s="25" t="inlineStr">
        <is>
          <t>040010-SOUTHERN GLAZERS WINE AND SPIRITS OF MISSISSIPPI LLC</t>
        </is>
      </c>
      <c r="O46" s="25" t="n"/>
      <c r="P46" s="25" t="inlineStr">
        <is>
          <t>20835229000302</t>
        </is>
      </c>
      <c r="Q46" s="25" t="inlineStr">
        <is>
          <t>0835229000308</t>
        </is>
      </c>
      <c r="R46" s="78" t="n">
        <v>42370</v>
      </c>
    </row>
    <row r="47">
      <c r="A47" t="inlineStr">
        <is>
          <t>or item code =</t>
        </is>
      </c>
      <c r="B47" s="25" t="inlineStr">
        <is>
          <t>34007</t>
        </is>
      </c>
      <c r="C47" s="25" t="inlineStr">
        <is>
          <t>ABSOLUT 80 VODKA</t>
        </is>
      </c>
      <c r="D47" s="25" t="inlineStr">
        <is>
          <t>1L</t>
        </is>
      </c>
      <c r="E47" s="27" t="n">
        <v>168</v>
      </c>
      <c r="F47" s="27" t="n">
        <v>147</v>
      </c>
      <c r="G47" s="27" t="n">
        <v>12</v>
      </c>
      <c r="H47" s="28" t="n">
        <v>231.92</v>
      </c>
      <c r="I47" s="28" t="n">
        <v>0</v>
      </c>
      <c r="J47" s="94" t="inlineStr">
        <is>
          <t>False</t>
        </is>
      </c>
      <c r="K47" s="28" t="n">
        <v>0</v>
      </c>
      <c r="L47" s="25" t="inlineStr">
        <is>
          <t>VODKA</t>
        </is>
      </c>
      <c r="M47" s="25" t="inlineStr">
        <is>
          <t>PERNOD RICARD USA LLC</t>
        </is>
      </c>
      <c r="N47" s="25" t="inlineStr">
        <is>
          <t>040010-SOUTHERN GLAZERS WINE AND SPIRITS OF MISSISSIPPI LLC</t>
        </is>
      </c>
      <c r="O47" s="25" t="n"/>
      <c r="P47" s="25" t="inlineStr">
        <is>
          <t>20835229000401</t>
        </is>
      </c>
      <c r="Q47" s="25" t="inlineStr">
        <is>
          <t>0835229000407</t>
        </is>
      </c>
      <c r="R47" s="78" t="n">
        <v>42370</v>
      </c>
    </row>
    <row r="48">
      <c r="A48" t="inlineStr">
        <is>
          <t>or item code =</t>
        </is>
      </c>
      <c r="B48" s="25" t="inlineStr">
        <is>
          <t>34003</t>
        </is>
      </c>
      <c r="C48" s="25" t="inlineStr">
        <is>
          <t>ABSOLUT 80 VODKA</t>
        </is>
      </c>
      <c r="D48" s="25" t="inlineStr">
        <is>
          <t>200ml</t>
        </is>
      </c>
      <c r="E48" s="27" t="n">
        <v>1</v>
      </c>
      <c r="F48" s="27" t="n">
        <v>42</v>
      </c>
      <c r="G48" s="27" t="n">
        <v>24</v>
      </c>
      <c r="H48" s="28" t="n">
        <v>104.08</v>
      </c>
      <c r="I48" s="28" t="n">
        <v>0</v>
      </c>
      <c r="J48" s="94" t="inlineStr">
        <is>
          <t>False</t>
        </is>
      </c>
      <c r="K48" s="28" t="n">
        <v>0</v>
      </c>
      <c r="L48" s="25" t="inlineStr">
        <is>
          <t>VODKA</t>
        </is>
      </c>
      <c r="M48" s="25" t="inlineStr">
        <is>
          <t>PERNOD RICARD USA LLC</t>
        </is>
      </c>
      <c r="N48" s="25" t="inlineStr">
        <is>
          <t>040010-SOUTHERN GLAZERS WINE AND SPIRITS OF MISSISSIPPI LLC</t>
        </is>
      </c>
      <c r="O48" s="25" t="n"/>
      <c r="P48" s="25" t="inlineStr">
        <is>
          <t>80835229000106</t>
        </is>
      </c>
      <c r="Q48" s="25" t="inlineStr">
        <is>
          <t>0835229000100</t>
        </is>
      </c>
      <c r="R48" s="78" t="n">
        <v>42370</v>
      </c>
    </row>
    <row r="49">
      <c r="A49" t="inlineStr">
        <is>
          <t>or item code =</t>
        </is>
      </c>
      <c r="B49" s="25" t="inlineStr">
        <is>
          <t>87033</t>
        </is>
      </c>
      <c r="C49" s="25" t="inlineStr">
        <is>
          <t>ADICTIVO ANEJO TEQUILA</t>
        </is>
      </c>
      <c r="D49" s="25" t="inlineStr">
        <is>
          <t>750ml</t>
        </is>
      </c>
      <c r="E49" s="27" t="n">
        <v>8</v>
      </c>
      <c r="F49" s="27" t="n">
        <v>6</v>
      </c>
      <c r="G49" s="27" t="n">
        <v>6</v>
      </c>
      <c r="H49" s="28" t="n">
        <v>299.21</v>
      </c>
      <c r="I49" s="28" t="n">
        <v>0</v>
      </c>
      <c r="J49" s="94" t="inlineStr">
        <is>
          <t>False</t>
        </is>
      </c>
      <c r="K49" s="28" t="n">
        <v>0</v>
      </c>
      <c r="L49" s="25" t="inlineStr">
        <is>
          <t>TEQUILA</t>
        </is>
      </c>
      <c r="M49" s="25" t="inlineStr">
        <is>
          <t>THE MARSALLE COMPANY</t>
        </is>
      </c>
      <c r="N49" s="25" t="inlineStr">
        <is>
          <t>040003-RNDC-VINTAGE</t>
        </is>
      </c>
      <c r="O49" s="25" t="n"/>
      <c r="P49" s="25" t="inlineStr">
        <is>
          <t>75004622143026</t>
        </is>
      </c>
      <c r="Q49" s="25" t="inlineStr">
        <is>
          <t>7500462214302</t>
        </is>
      </c>
      <c r="R49" s="78" t="n">
        <v>44652</v>
      </c>
    </row>
    <row r="50">
      <c r="A50" t="inlineStr">
        <is>
          <t>or item code =</t>
        </is>
      </c>
      <c r="B50" s="25" t="inlineStr">
        <is>
          <t>87029</t>
        </is>
      </c>
      <c r="C50" s="25" t="inlineStr">
        <is>
          <t>ADICTIVO EXTRA ANEJO TEQUILA</t>
        </is>
      </c>
      <c r="D50" s="25" t="inlineStr">
        <is>
          <t>750ml</t>
        </is>
      </c>
      <c r="E50" s="27" t="n">
        <v>50</v>
      </c>
      <c r="F50" s="27" t="n">
        <v>2</v>
      </c>
      <c r="G50" s="27" t="n">
        <v>6</v>
      </c>
      <c r="H50" s="28" t="n">
        <v>462.75</v>
      </c>
      <c r="I50" s="28" t="n">
        <v>0</v>
      </c>
      <c r="J50" s="94" t="inlineStr">
        <is>
          <t>False</t>
        </is>
      </c>
      <c r="K50" s="28" t="n">
        <v>0</v>
      </c>
      <c r="L50" s="25" t="inlineStr">
        <is>
          <t>TEQUILA</t>
        </is>
      </c>
      <c r="M50" s="25" t="inlineStr">
        <is>
          <t>THE MARSALLE COMPANY</t>
        </is>
      </c>
      <c r="N50" s="25" t="inlineStr">
        <is>
          <t>040003-RNDC-VINTAGE</t>
        </is>
      </c>
      <c r="O50" s="25" t="n"/>
      <c r="P50" s="25" t="inlineStr">
        <is>
          <t>75004622143330</t>
        </is>
      </c>
      <c r="Q50" s="25" t="inlineStr">
        <is>
          <t>7500462214333</t>
        </is>
      </c>
      <c r="R50" s="78" t="n">
        <v>44652</v>
      </c>
    </row>
    <row r="51">
      <c r="A51" t="inlineStr">
        <is>
          <t>or item code =</t>
        </is>
      </c>
      <c r="B51" s="25" t="inlineStr">
        <is>
          <t>87025</t>
        </is>
      </c>
      <c r="C51" s="25" t="inlineStr">
        <is>
          <t>ADICTIVO PLATA TEQUILA</t>
        </is>
      </c>
      <c r="D51" s="25" t="inlineStr">
        <is>
          <t>750ml</t>
        </is>
      </c>
      <c r="E51" s="27" t="n">
        <v>30</v>
      </c>
      <c r="F51" s="27" t="n">
        <v>13</v>
      </c>
      <c r="G51" s="27" t="n">
        <v>6</v>
      </c>
      <c r="H51" s="28" t="n">
        <v>230.32</v>
      </c>
      <c r="I51" s="28" t="n">
        <v>0</v>
      </c>
      <c r="J51" s="94" t="inlineStr">
        <is>
          <t>False</t>
        </is>
      </c>
      <c r="K51" s="28" t="n">
        <v>0</v>
      </c>
      <c r="L51" s="25" t="inlineStr">
        <is>
          <t>TEQUILA</t>
        </is>
      </c>
      <c r="M51" s="25" t="inlineStr">
        <is>
          <t>THE MARSALLE COMPANY</t>
        </is>
      </c>
      <c r="N51" s="25" t="inlineStr">
        <is>
          <t>040003-RNDC-VINTAGE</t>
        </is>
      </c>
      <c r="O51" s="25" t="n"/>
      <c r="P51" s="25" t="inlineStr">
        <is>
          <t>75004622143194</t>
        </is>
      </c>
      <c r="Q51" s="25" t="inlineStr">
        <is>
          <t>7500462214319</t>
        </is>
      </c>
      <c r="R51" s="78" t="n">
        <v>44652</v>
      </c>
    </row>
    <row r="52">
      <c r="A52" t="inlineStr">
        <is>
          <t>or item code =</t>
        </is>
      </c>
      <c r="B52" s="25" t="inlineStr">
        <is>
          <t>87027</t>
        </is>
      </c>
      <c r="C52" s="25" t="inlineStr">
        <is>
          <t>ADICTIVO REPOSADO TEQUILA</t>
        </is>
      </c>
      <c r="D52" s="25" t="inlineStr">
        <is>
          <t>750ml</t>
        </is>
      </c>
      <c r="E52" s="27" t="n">
        <v>0</v>
      </c>
      <c r="F52" s="27" t="n">
        <v>3</v>
      </c>
      <c r="G52" s="27" t="n">
        <v>6</v>
      </c>
      <c r="H52" s="28" t="n">
        <v>253.29</v>
      </c>
      <c r="I52" s="28" t="n">
        <v>0</v>
      </c>
      <c r="J52" s="94" t="inlineStr">
        <is>
          <t>False</t>
        </is>
      </c>
      <c r="K52" s="28" t="n">
        <v>0</v>
      </c>
      <c r="L52" s="25" t="inlineStr">
        <is>
          <t>TEQUILA</t>
        </is>
      </c>
      <c r="M52" s="25" t="inlineStr">
        <is>
          <t>THE MARSALLE COMPANY</t>
        </is>
      </c>
      <c r="N52" s="25" t="inlineStr">
        <is>
          <t>040003-RNDC-VINTAGE</t>
        </is>
      </c>
      <c r="O52" s="25" t="n"/>
      <c r="P52" s="25" t="inlineStr">
        <is>
          <t>75004622143263</t>
        </is>
      </c>
      <c r="Q52" s="25" t="inlineStr">
        <is>
          <t>7500462214326</t>
        </is>
      </c>
      <c r="R52" s="78" t="n">
        <v>44652</v>
      </c>
    </row>
    <row r="53">
      <c r="A53" t="inlineStr">
        <is>
          <t>or item code =</t>
        </is>
      </c>
      <c r="B53" s="25" t="inlineStr">
        <is>
          <t>43078</t>
        </is>
      </c>
      <c r="C53" s="25" t="inlineStr">
        <is>
          <t>ADMIRAL NELSON'S COCONUT FLAVORED RUM 42PF</t>
        </is>
      </c>
      <c r="D53" s="25" t="inlineStr">
        <is>
          <t>1.75L</t>
        </is>
      </c>
      <c r="E53" s="27" t="n">
        <v>48</v>
      </c>
      <c r="F53" s="27" t="n">
        <v>13</v>
      </c>
      <c r="G53" s="27" t="n">
        <v>6</v>
      </c>
      <c r="H53" s="28" t="n">
        <v>83.04000000000001</v>
      </c>
      <c r="I53" s="28" t="n">
        <v>0</v>
      </c>
      <c r="J53" s="94" t="inlineStr">
        <is>
          <t>False</t>
        </is>
      </c>
      <c r="K53" s="28" t="n">
        <v>0</v>
      </c>
      <c r="L53" s="25" t="inlineStr">
        <is>
          <t>RUM</t>
        </is>
      </c>
      <c r="M53" s="25" t="inlineStr">
        <is>
          <t>HEAVEN HILL BRANDS</t>
        </is>
      </c>
      <c r="N53" s="25" t="inlineStr">
        <is>
          <t>040010-SOUTHERN GLAZERS WINE AND SPIRITS OF MISSISSIPPI LLC</t>
        </is>
      </c>
      <c r="O53" s="25" t="n"/>
      <c r="P53" s="25" t="inlineStr">
        <is>
          <t>10096749086440</t>
        </is>
      </c>
      <c r="Q53" s="25" t="inlineStr">
        <is>
          <t>096749086443</t>
        </is>
      </c>
      <c r="R53" s="78" t="n">
        <v>43131</v>
      </c>
    </row>
    <row r="54">
      <c r="A54" t="inlineStr">
        <is>
          <t>or item code =</t>
        </is>
      </c>
      <c r="B54" s="25" t="inlineStr">
        <is>
          <t>43028</t>
        </is>
      </c>
      <c r="C54" s="25" t="inlineStr">
        <is>
          <t>ADMIRAL NELSON'S SPICED RUM</t>
        </is>
      </c>
      <c r="D54" s="25" t="inlineStr">
        <is>
          <t>1.75L</t>
        </is>
      </c>
      <c r="E54" s="27" t="n">
        <v>110</v>
      </c>
      <c r="F54" s="27" t="n">
        <v>49</v>
      </c>
      <c r="G54" s="27" t="n">
        <v>6</v>
      </c>
      <c r="H54" s="28" t="n">
        <v>83.04000000000001</v>
      </c>
      <c r="I54" s="28" t="n">
        <v>0</v>
      </c>
      <c r="J54" s="94" t="inlineStr">
        <is>
          <t>False</t>
        </is>
      </c>
      <c r="K54" s="28" t="n">
        <v>0</v>
      </c>
      <c r="L54" s="25" t="inlineStr">
        <is>
          <t>RUM</t>
        </is>
      </c>
      <c r="M54" s="25" t="inlineStr">
        <is>
          <t>HEAVEN HILL BRANDS</t>
        </is>
      </c>
      <c r="N54" s="25" t="inlineStr">
        <is>
          <t>040010-SOUTHERN GLAZERS WINE AND SPIRITS OF MISSISSIPPI LLC</t>
        </is>
      </c>
      <c r="O54" s="25" t="n"/>
      <c r="P54" s="25" t="inlineStr">
        <is>
          <t>10096749086266</t>
        </is>
      </c>
      <c r="Q54" s="25" t="inlineStr">
        <is>
          <t>0096749086269</t>
        </is>
      </c>
      <c r="R54" s="78" t="n">
        <v>42279</v>
      </c>
    </row>
    <row r="55">
      <c r="A55" t="inlineStr">
        <is>
          <t>or item code =</t>
        </is>
      </c>
      <c r="B55" s="25" t="inlineStr">
        <is>
          <t>64083</t>
        </is>
      </c>
      <c r="C55" s="25" t="inlineStr">
        <is>
          <t>ALIZE DE FRANCE (GOLD)</t>
        </is>
      </c>
      <c r="D55" s="25" t="inlineStr">
        <is>
          <t>750ml</t>
        </is>
      </c>
      <c r="E55" s="27" t="n">
        <v>54</v>
      </c>
      <c r="F55" s="27" t="n">
        <v>22</v>
      </c>
      <c r="G55" s="27" t="n">
        <v>6</v>
      </c>
      <c r="H55" s="28" t="n">
        <v>77.65000000000001</v>
      </c>
      <c r="I55" s="28" t="n">
        <v>0</v>
      </c>
      <c r="J55" s="94" t="inlineStr">
        <is>
          <t>False</t>
        </is>
      </c>
      <c r="K55" s="28" t="n">
        <v>0</v>
      </c>
      <c r="L55" s="25" t="inlineStr">
        <is>
          <t>LIQUEURS AND CORDIALS</t>
        </is>
      </c>
      <c r="M55" s="25" t="inlineStr">
        <is>
          <t>KOBRAND CORP</t>
        </is>
      </c>
      <c r="N55" s="25" t="inlineStr">
        <is>
          <t>040003-RNDC-VINTAGE</t>
        </is>
      </c>
      <c r="O55" s="25" t="n"/>
      <c r="P55" s="25" t="inlineStr">
        <is>
          <t>00084692483167</t>
        </is>
      </c>
      <c r="Q55" s="25" t="inlineStr">
        <is>
          <t>0084692200948</t>
        </is>
      </c>
      <c r="R55" s="78" t="n">
        <v>42370</v>
      </c>
    </row>
    <row r="56">
      <c r="A56" t="inlineStr">
        <is>
          <t>or item code =</t>
        </is>
      </c>
      <c r="B56" s="25" t="inlineStr">
        <is>
          <t>64028</t>
        </is>
      </c>
      <c r="C56" s="25" t="inlineStr">
        <is>
          <t>ALIZE PINEAPPLE LIQUEUR</t>
        </is>
      </c>
      <c r="D56" s="25" t="inlineStr">
        <is>
          <t>750ml</t>
        </is>
      </c>
      <c r="E56" s="27" t="n">
        <v>4</v>
      </c>
      <c r="F56" s="27" t="n">
        <v>12</v>
      </c>
      <c r="G56" s="27" t="n">
        <v>6</v>
      </c>
      <c r="H56" s="28" t="n">
        <v>77.65000000000001</v>
      </c>
      <c r="I56" s="28" t="n">
        <v>0</v>
      </c>
      <c r="J56" s="94" t="inlineStr">
        <is>
          <t>False</t>
        </is>
      </c>
      <c r="K56" s="28" t="n">
        <v>0</v>
      </c>
      <c r="L56" s="25" t="inlineStr">
        <is>
          <t>LIQUEURS AND CORDIALS</t>
        </is>
      </c>
      <c r="M56" s="25" t="inlineStr">
        <is>
          <t>KOBRAND CORP</t>
        </is>
      </c>
      <c r="N56" s="25" t="inlineStr">
        <is>
          <t>040003-RNDC-VINTAGE</t>
        </is>
      </c>
      <c r="O56" s="25" t="n"/>
      <c r="P56" s="25" t="inlineStr">
        <is>
          <t>00084692634118</t>
        </is>
      </c>
      <c r="Q56" s="25" t="inlineStr">
        <is>
          <t>084692633685</t>
        </is>
      </c>
      <c r="R56" s="78" t="n">
        <v>44105</v>
      </c>
    </row>
    <row r="57">
      <c r="A57" t="inlineStr">
        <is>
          <t>or item code =</t>
        </is>
      </c>
      <c r="B57" s="25" t="inlineStr">
        <is>
          <t>64085</t>
        </is>
      </c>
      <c r="C57" s="25" t="inlineStr">
        <is>
          <t>ALIZE RED PASSION</t>
        </is>
      </c>
      <c r="D57" s="25" t="inlineStr">
        <is>
          <t>750ml</t>
        </is>
      </c>
      <c r="E57" s="27" t="n">
        <v>88</v>
      </c>
      <c r="F57" s="27" t="n">
        <v>51</v>
      </c>
      <c r="G57" s="27" t="n">
        <v>6</v>
      </c>
      <c r="H57" s="28" t="n">
        <v>77.65000000000001</v>
      </c>
      <c r="I57" s="28" t="n">
        <v>0</v>
      </c>
      <c r="J57" s="94" t="inlineStr">
        <is>
          <t>False</t>
        </is>
      </c>
      <c r="K57" s="28" t="n">
        <v>0</v>
      </c>
      <c r="L57" s="25" t="inlineStr">
        <is>
          <t>LIQUEURS AND CORDIALS</t>
        </is>
      </c>
      <c r="M57" s="25" t="inlineStr">
        <is>
          <t>KOBRAND CORP</t>
        </is>
      </c>
      <c r="N57" s="25" t="inlineStr">
        <is>
          <t>040003-RNDC-VINTAGE</t>
        </is>
      </c>
      <c r="O57" s="25" t="n"/>
      <c r="P57" s="25" t="inlineStr">
        <is>
          <t>00084692483204</t>
        </is>
      </c>
      <c r="Q57" s="25" t="inlineStr">
        <is>
          <t>0084692201143</t>
        </is>
      </c>
      <c r="R57" s="78" t="n">
        <v>42370</v>
      </c>
    </row>
    <row r="58">
      <c r="A58" t="inlineStr">
        <is>
          <t>or item code =</t>
        </is>
      </c>
      <c r="B58" s="25" t="inlineStr">
        <is>
          <t>73986</t>
        </is>
      </c>
      <c r="C58" s="25" t="inlineStr">
        <is>
          <t>AMARETTO DI AMORE</t>
        </is>
      </c>
      <c r="D58" s="25" t="inlineStr">
        <is>
          <t>750ml</t>
        </is>
      </c>
      <c r="E58" s="27" t="n">
        <v>166</v>
      </c>
      <c r="F58" s="27" t="n">
        <v>85</v>
      </c>
      <c r="G58" s="27" t="n">
        <v>12</v>
      </c>
      <c r="H58" s="28" t="n">
        <v>124.52</v>
      </c>
      <c r="I58" s="28" t="n">
        <v>0</v>
      </c>
      <c r="J58" s="94" t="inlineStr">
        <is>
          <t>False</t>
        </is>
      </c>
      <c r="K58" s="28" t="n">
        <v>0</v>
      </c>
      <c r="L58" s="25" t="inlineStr">
        <is>
          <t>LIQUEURS AND CORDIALS</t>
        </is>
      </c>
      <c r="M58" s="25" t="inlineStr">
        <is>
          <t>SAZERAC COMPANY</t>
        </is>
      </c>
      <c r="N58" s="25" t="inlineStr">
        <is>
          <t>040002-RNDC-MAGNOLIA</t>
        </is>
      </c>
      <c r="O58" s="25" t="n"/>
      <c r="P58" s="25" t="inlineStr">
        <is>
          <t>10082928272964</t>
        </is>
      </c>
      <c r="Q58" s="25" t="inlineStr">
        <is>
          <t>0082928399824</t>
        </is>
      </c>
      <c r="R58" s="78" t="n">
        <v>42370</v>
      </c>
    </row>
    <row r="59">
      <c r="A59" t="inlineStr">
        <is>
          <t>or item code =</t>
        </is>
      </c>
      <c r="B59" s="25" t="inlineStr">
        <is>
          <t>71827</t>
        </is>
      </c>
      <c r="C59" s="25" t="inlineStr">
        <is>
          <t>AMARITO AMARETTO</t>
        </is>
      </c>
      <c r="D59" s="25" t="inlineStr">
        <is>
          <t>1L</t>
        </is>
      </c>
      <c r="E59" s="27" t="n">
        <v>29</v>
      </c>
      <c r="F59" s="27" t="n">
        <v>51</v>
      </c>
      <c r="G59" s="27" t="n">
        <v>12</v>
      </c>
      <c r="H59" s="28" t="n">
        <v>83.02</v>
      </c>
      <c r="I59" s="28" t="n">
        <v>0</v>
      </c>
      <c r="J59" s="94" t="inlineStr">
        <is>
          <t>False</t>
        </is>
      </c>
      <c r="K59" s="28" t="n">
        <v>0</v>
      </c>
      <c r="L59" s="25" t="inlineStr">
        <is>
          <t>LIQUEURS AND CORDIALS</t>
        </is>
      </c>
      <c r="M59" s="25" t="inlineStr">
        <is>
          <t>HEAVEN HILL BRANDS</t>
        </is>
      </c>
      <c r="N59" s="25" t="inlineStr">
        <is>
          <t>040010-SOUTHERN GLAZERS WINE AND SPIRITS OF MISSISSIPPI LLC</t>
        </is>
      </c>
      <c r="O59" s="25" t="n"/>
      <c r="P59" s="25" t="inlineStr">
        <is>
          <t>10096749180056</t>
        </is>
      </c>
      <c r="Q59" s="25" t="inlineStr">
        <is>
          <t>0096749180059</t>
        </is>
      </c>
      <c r="R59" s="78" t="n">
        <v>42370</v>
      </c>
    </row>
    <row r="60">
      <c r="A60" t="inlineStr">
        <is>
          <t>or item code =</t>
        </is>
      </c>
      <c r="B60" s="25" t="inlineStr">
        <is>
          <t>741400</t>
        </is>
      </c>
      <c r="C60" s="25" t="inlineStr">
        <is>
          <t>ANDRE CHAMPAGNE BRUT</t>
        </is>
      </c>
      <c r="D60" s="25" t="inlineStr">
        <is>
          <t>750ml</t>
        </is>
      </c>
      <c r="E60" s="27" t="n">
        <v>348</v>
      </c>
      <c r="F60" s="27" t="n">
        <v>431</v>
      </c>
      <c r="G60" s="27" t="n">
        <v>12</v>
      </c>
      <c r="H60" s="28" t="n">
        <v>72.77</v>
      </c>
      <c r="I60" s="28" t="n">
        <v>0</v>
      </c>
      <c r="J60" s="94" t="inlineStr">
        <is>
          <t>False</t>
        </is>
      </c>
      <c r="K60" s="28" t="n">
        <v>0</v>
      </c>
      <c r="L60" s="25" t="inlineStr">
        <is>
          <t>SPRKLNG, CHMPGNE, ETC.</t>
        </is>
      </c>
      <c r="M60" s="25" t="inlineStr">
        <is>
          <t>E &amp; J GALLO WINERY</t>
        </is>
      </c>
      <c r="N60" s="25" t="inlineStr">
        <is>
          <t>040012-GALLO WINES OF MISSISSIPPI</t>
        </is>
      </c>
      <c r="O60" s="25" t="n"/>
      <c r="P60" s="25" t="inlineStr">
        <is>
          <t>30085000007434</t>
        </is>
      </c>
      <c r="Q60" s="25" t="inlineStr">
        <is>
          <t>0085000007433</t>
        </is>
      </c>
      <c r="R60" s="78" t="n">
        <v>42370</v>
      </c>
    </row>
    <row r="61">
      <c r="A61" t="inlineStr">
        <is>
          <t>or item code =</t>
        </is>
      </c>
      <c r="B61" s="25" t="inlineStr">
        <is>
          <t>768650</t>
        </is>
      </c>
      <c r="C61" s="25" t="inlineStr">
        <is>
          <t>ANDRE CHAMPAGNE COLD DUCK</t>
        </is>
      </c>
      <c r="D61" s="25" t="inlineStr">
        <is>
          <t>750ml</t>
        </is>
      </c>
      <c r="E61" s="27" t="n">
        <v>87</v>
      </c>
      <c r="F61" s="27" t="n">
        <v>55</v>
      </c>
      <c r="G61" s="27" t="n">
        <v>12</v>
      </c>
      <c r="H61" s="28" t="n">
        <v>72.77</v>
      </c>
      <c r="I61" s="28" t="n">
        <v>0</v>
      </c>
      <c r="J61" s="94" t="inlineStr">
        <is>
          <t>False</t>
        </is>
      </c>
      <c r="K61" s="28" t="n">
        <v>0</v>
      </c>
      <c r="L61" s="25" t="inlineStr">
        <is>
          <t>SPRKLNG, CHMPGNE, ETC.</t>
        </is>
      </c>
      <c r="M61" s="25" t="inlineStr">
        <is>
          <t>E &amp; J GALLO WINERY</t>
        </is>
      </c>
      <c r="N61" s="25" t="inlineStr">
        <is>
          <t>040012-GALLO WINES OF MISSISSIPPI</t>
        </is>
      </c>
      <c r="O61" s="25" t="n"/>
      <c r="P61" s="25" t="inlineStr">
        <is>
          <t>30085000007472</t>
        </is>
      </c>
      <c r="Q61" s="25" t="inlineStr">
        <is>
          <t>0085000007471</t>
        </is>
      </c>
      <c r="R61" s="78" t="n">
        <v>42370</v>
      </c>
    </row>
    <row r="62">
      <c r="A62" t="inlineStr">
        <is>
          <t>or item code =</t>
        </is>
      </c>
      <c r="B62" s="25" t="inlineStr">
        <is>
          <t>768676</t>
        </is>
      </c>
      <c r="C62" s="25" t="inlineStr">
        <is>
          <t>ANDRE CHAMPAGNE MOSCATO</t>
        </is>
      </c>
      <c r="D62" s="25" t="inlineStr">
        <is>
          <t>750ml</t>
        </is>
      </c>
      <c r="E62" s="27" t="n">
        <v>36</v>
      </c>
      <c r="F62" s="27" t="n">
        <v>113</v>
      </c>
      <c r="G62" s="27" t="n">
        <v>12</v>
      </c>
      <c r="H62" s="28" t="n">
        <v>72.77</v>
      </c>
      <c r="I62" s="28" t="n">
        <v>0</v>
      </c>
      <c r="J62" s="94" t="inlineStr">
        <is>
          <t>False</t>
        </is>
      </c>
      <c r="K62" s="28" t="n">
        <v>0</v>
      </c>
      <c r="L62" s="25" t="inlineStr">
        <is>
          <t>SPRKLNG, CHMPGNE, ETC.</t>
        </is>
      </c>
      <c r="M62" s="25" t="inlineStr">
        <is>
          <t>E &amp; J GALLO WINERY</t>
        </is>
      </c>
      <c r="N62" s="25" t="inlineStr">
        <is>
          <t>040012-GALLO WINES OF MISSISSIPPI</t>
        </is>
      </c>
      <c r="O62" s="25" t="n"/>
      <c r="P62" s="25" t="inlineStr">
        <is>
          <t>30085000022260</t>
        </is>
      </c>
      <c r="Q62" s="25" t="inlineStr">
        <is>
          <t>0085000022269</t>
        </is>
      </c>
      <c r="R62" s="78" t="n">
        <v>42370</v>
      </c>
    </row>
    <row r="63">
      <c r="A63" t="inlineStr">
        <is>
          <t>or item code =</t>
        </is>
      </c>
      <c r="B63" s="25" t="inlineStr">
        <is>
          <t>768681</t>
        </is>
      </c>
      <c r="C63" s="25" t="inlineStr">
        <is>
          <t>ANDRE CHAMPAGNE PEACH MOSCATO</t>
        </is>
      </c>
      <c r="D63" s="25" t="inlineStr">
        <is>
          <t>750ml</t>
        </is>
      </c>
      <c r="E63" s="27" t="n">
        <v>115</v>
      </c>
      <c r="F63" s="27" t="n">
        <v>155</v>
      </c>
      <c r="G63" s="27" t="n">
        <v>12</v>
      </c>
      <c r="H63" s="28" t="n">
        <v>72.77</v>
      </c>
      <c r="I63" s="28" t="n">
        <v>0</v>
      </c>
      <c r="J63" s="94" t="inlineStr">
        <is>
          <t>False</t>
        </is>
      </c>
      <c r="K63" s="28" t="n">
        <v>0</v>
      </c>
      <c r="L63" s="25" t="inlineStr">
        <is>
          <t>SPRKLNG, CHMPGNE, ETC.</t>
        </is>
      </c>
      <c r="M63" s="25" t="inlineStr">
        <is>
          <t>E &amp; J GALLO WINERY</t>
        </is>
      </c>
      <c r="N63" s="25" t="inlineStr">
        <is>
          <t>040012-GALLO WINES OF MISSISSIPPI</t>
        </is>
      </c>
      <c r="O63" s="25" t="n"/>
      <c r="P63" s="25" t="inlineStr">
        <is>
          <t>40085000012688</t>
        </is>
      </c>
      <c r="Q63" s="25" t="inlineStr">
        <is>
          <t>0085000012680</t>
        </is>
      </c>
      <c r="R63" s="78" t="n">
        <v>42370</v>
      </c>
    </row>
    <row r="64">
      <c r="A64" t="inlineStr">
        <is>
          <t>or item code =</t>
        </is>
      </c>
      <c r="B64" s="25" t="inlineStr">
        <is>
          <t>768678</t>
        </is>
      </c>
      <c r="C64" s="25" t="inlineStr">
        <is>
          <t>ANDRE CHAMPAGNE PINK MOSCATO</t>
        </is>
      </c>
      <c r="D64" s="25" t="inlineStr">
        <is>
          <t>750ml</t>
        </is>
      </c>
      <c r="E64" s="27" t="n">
        <v>25</v>
      </c>
      <c r="F64" s="27" t="n">
        <v>86</v>
      </c>
      <c r="G64" s="27" t="n">
        <v>12</v>
      </c>
      <c r="H64" s="28" t="n">
        <v>72.77</v>
      </c>
      <c r="I64" s="28" t="n">
        <v>0</v>
      </c>
      <c r="J64" s="94" t="inlineStr">
        <is>
          <t>False</t>
        </is>
      </c>
      <c r="K64" s="28" t="n">
        <v>0</v>
      </c>
      <c r="L64" s="25" t="inlineStr">
        <is>
          <t>SPRKLNG, CHMPGNE, ETC.</t>
        </is>
      </c>
      <c r="M64" s="25" t="inlineStr">
        <is>
          <t>E &amp; J GALLO WINERY</t>
        </is>
      </c>
      <c r="N64" s="25" t="inlineStr">
        <is>
          <t>040012-GALLO WINES OF MISSISSIPPI</t>
        </is>
      </c>
      <c r="O64" s="25" t="n"/>
      <c r="P64" s="25" t="inlineStr">
        <is>
          <t>30085000022277</t>
        </is>
      </c>
      <c r="Q64" s="25" t="inlineStr">
        <is>
          <t>0085000022276</t>
        </is>
      </c>
      <c r="R64" s="78" t="n">
        <v>42370</v>
      </c>
    </row>
    <row r="65">
      <c r="A65" t="inlineStr">
        <is>
          <t>or item code =</t>
        </is>
      </c>
      <c r="B65" s="25" t="inlineStr">
        <is>
          <t>768600</t>
        </is>
      </c>
      <c r="C65" s="25" t="inlineStr">
        <is>
          <t>ANDRE CHAMPAGNE SPUMANTE</t>
        </is>
      </c>
      <c r="D65" s="25" t="inlineStr">
        <is>
          <t>750ml</t>
        </is>
      </c>
      <c r="E65" s="27" t="n">
        <v>117</v>
      </c>
      <c r="F65" s="27" t="n">
        <v>189</v>
      </c>
      <c r="G65" s="27" t="n">
        <v>12</v>
      </c>
      <c r="H65" s="28" t="n">
        <v>72.77</v>
      </c>
      <c r="I65" s="28" t="n">
        <v>0</v>
      </c>
      <c r="J65" s="94" t="inlineStr">
        <is>
          <t>False</t>
        </is>
      </c>
      <c r="K65" s="28" t="n">
        <v>0</v>
      </c>
      <c r="L65" s="25" t="inlineStr">
        <is>
          <t>SPRKLNG, CHMPGNE, ETC.</t>
        </is>
      </c>
      <c r="M65" s="25" t="inlineStr">
        <is>
          <t>E &amp; J GALLO WINERY</t>
        </is>
      </c>
      <c r="N65" s="25" t="inlineStr">
        <is>
          <t>040012-GALLO WINES OF MISSISSIPPI</t>
        </is>
      </c>
      <c r="O65" s="25" t="n"/>
      <c r="P65" s="25" t="inlineStr">
        <is>
          <t>30085000008288</t>
        </is>
      </c>
      <c r="Q65" s="25" t="inlineStr">
        <is>
          <t>0085000008287</t>
        </is>
      </c>
      <c r="R65" s="78" t="n">
        <v>42370</v>
      </c>
    </row>
    <row r="66">
      <c r="A66" t="inlineStr">
        <is>
          <t>or item code =</t>
        </is>
      </c>
      <c r="B66" s="25" t="inlineStr">
        <is>
          <t>768692</t>
        </is>
      </c>
      <c r="C66" s="25" t="inlineStr">
        <is>
          <t>ANDRE CHAMPAGNE STRAWBERRY MOSCATO</t>
        </is>
      </c>
      <c r="D66" s="25" t="inlineStr">
        <is>
          <t>750ml</t>
        </is>
      </c>
      <c r="E66" s="27" t="n">
        <v>96</v>
      </c>
      <c r="F66" s="27" t="n">
        <v>144</v>
      </c>
      <c r="G66" s="27" t="n">
        <v>12</v>
      </c>
      <c r="H66" s="28" t="n">
        <v>72.77</v>
      </c>
      <c r="I66" s="28" t="n">
        <v>0</v>
      </c>
      <c r="J66" s="94" t="inlineStr">
        <is>
          <t>False</t>
        </is>
      </c>
      <c r="K66" s="28" t="n">
        <v>0</v>
      </c>
      <c r="L66" s="25" t="inlineStr">
        <is>
          <t>SPRKLNG, CHMPGNE, ETC.</t>
        </is>
      </c>
      <c r="M66" s="25" t="inlineStr">
        <is>
          <t>E &amp; J GALLO WINERY</t>
        </is>
      </c>
      <c r="N66" s="25" t="inlineStr">
        <is>
          <t>040012-GALLO WINES OF MISSISSIPPI</t>
        </is>
      </c>
      <c r="O66" s="25" t="n"/>
      <c r="P66" s="25" t="inlineStr">
        <is>
          <t>40085000012350</t>
        </is>
      </c>
      <c r="Q66" s="25" t="inlineStr">
        <is>
          <t>0085000012352</t>
        </is>
      </c>
      <c r="R66" s="78" t="n">
        <v>42370</v>
      </c>
    </row>
    <row r="67">
      <c r="A67" t="inlineStr">
        <is>
          <t>or item code =</t>
        </is>
      </c>
      <c r="B67" s="25" t="inlineStr">
        <is>
          <t>741200</t>
        </is>
      </c>
      <c r="C67" s="25" t="inlineStr">
        <is>
          <t>ANDRE EXTRA DRY CHAMPAGNE</t>
        </is>
      </c>
      <c r="D67" s="25" t="inlineStr">
        <is>
          <t>750ml</t>
        </is>
      </c>
      <c r="E67" s="27" t="n">
        <v>347</v>
      </c>
      <c r="F67" s="27" t="n">
        <v>384</v>
      </c>
      <c r="G67" s="27" t="n">
        <v>12</v>
      </c>
      <c r="H67" s="28" t="n">
        <v>72.77</v>
      </c>
      <c r="I67" s="28" t="n">
        <v>0</v>
      </c>
      <c r="J67" s="94" t="inlineStr">
        <is>
          <t>False</t>
        </is>
      </c>
      <c r="K67" s="28" t="n">
        <v>0</v>
      </c>
      <c r="L67" s="25" t="inlineStr">
        <is>
          <t>SPRKLNG, CHMPGNE, ETC.</t>
        </is>
      </c>
      <c r="M67" s="25" t="inlineStr">
        <is>
          <t>E &amp; J GALLO WINERY</t>
        </is>
      </c>
      <c r="N67" s="25" t="inlineStr">
        <is>
          <t>040012-GALLO WINES OF MISSISSIPPI</t>
        </is>
      </c>
      <c r="O67" s="25" t="n"/>
      <c r="P67" s="25" t="inlineStr">
        <is>
          <t>30085000007489</t>
        </is>
      </c>
      <c r="Q67" s="25" t="inlineStr">
        <is>
          <t>0085000007488</t>
        </is>
      </c>
      <c r="R67" s="78" t="n">
        <v>42370</v>
      </c>
    </row>
    <row r="68">
      <c r="A68" t="inlineStr">
        <is>
          <t>or item code =</t>
        </is>
      </c>
      <c r="B68" s="25" t="inlineStr">
        <is>
          <t>741402</t>
        </is>
      </c>
      <c r="C68" s="25" t="inlineStr">
        <is>
          <t>ANDRE PEACH BELLINI</t>
        </is>
      </c>
      <c r="D68" s="25" t="inlineStr">
        <is>
          <t>750ml</t>
        </is>
      </c>
      <c r="E68" s="27" t="n">
        <v>80</v>
      </c>
      <c r="F68" s="27" t="n">
        <v>213</v>
      </c>
      <c r="G68" s="27" t="n">
        <v>12</v>
      </c>
      <c r="H68" s="28" t="n">
        <v>72.77</v>
      </c>
      <c r="I68" s="28" t="n">
        <v>0</v>
      </c>
      <c r="J68" s="94" t="inlineStr">
        <is>
          <t>False</t>
        </is>
      </c>
      <c r="K68" s="28" t="n">
        <v>0</v>
      </c>
      <c r="L68" s="25" t="inlineStr">
        <is>
          <t>SPRKLNG, CHMPGNE, ETC.</t>
        </is>
      </c>
      <c r="M68" s="25" t="inlineStr">
        <is>
          <t>E &amp; J GALLO WINERY</t>
        </is>
      </c>
      <c r="N68" s="25" t="inlineStr">
        <is>
          <t>040012-GALLO WINES OF MISSISSIPPI</t>
        </is>
      </c>
      <c r="O68" s="25" t="n"/>
      <c r="P68" s="25" t="inlineStr">
        <is>
          <t>30085000034324</t>
        </is>
      </c>
      <c r="Q68" s="25" t="inlineStr">
        <is>
          <t>085000034323</t>
        </is>
      </c>
      <c r="R68" s="78" t="n">
        <v>44621</v>
      </c>
    </row>
    <row r="69">
      <c r="A69" t="inlineStr">
        <is>
          <t>or item code =</t>
        </is>
      </c>
      <c r="B69" s="25" t="inlineStr">
        <is>
          <t>741403</t>
        </is>
      </c>
      <c r="C69" s="25" t="inlineStr">
        <is>
          <t>ANDRE PINEAPPLE MIMOSA</t>
        </is>
      </c>
      <c r="D69" s="25" t="inlineStr">
        <is>
          <t>750ml</t>
        </is>
      </c>
      <c r="E69" s="27" t="n">
        <v>0</v>
      </c>
      <c r="F69" s="27" t="n">
        <v>113</v>
      </c>
      <c r="G69" s="27" t="n">
        <v>12</v>
      </c>
      <c r="H69" s="28" t="n">
        <v>72.77</v>
      </c>
      <c r="I69" s="28" t="n">
        <v>0</v>
      </c>
      <c r="J69" s="94" t="inlineStr">
        <is>
          <t>False</t>
        </is>
      </c>
      <c r="K69" s="28" t="n">
        <v>0</v>
      </c>
      <c r="L69" s="25" t="inlineStr">
        <is>
          <t>SPRKLNG, CHMPGNE, ETC.</t>
        </is>
      </c>
      <c r="M69" s="25" t="inlineStr">
        <is>
          <t>E &amp; J GALLO WINERY</t>
        </is>
      </c>
      <c r="N69" s="25" t="inlineStr">
        <is>
          <t>040012-GALLO WINES OF MISSISSIPPI</t>
        </is>
      </c>
      <c r="O69" s="25" t="n"/>
      <c r="P69" s="25" t="inlineStr">
        <is>
          <t>30085000034331</t>
        </is>
      </c>
      <c r="Q69" s="25" t="inlineStr">
        <is>
          <t>085000034330</t>
        </is>
      </c>
      <c r="R69" s="78" t="n">
        <v>44621</v>
      </c>
    </row>
    <row r="70">
      <c r="A70" t="inlineStr">
        <is>
          <t>or item code =</t>
        </is>
      </c>
      <c r="B70" s="25" t="inlineStr">
        <is>
          <t>16562</t>
        </is>
      </c>
      <c r="C70" s="25" t="inlineStr">
        <is>
          <t>ANGELS ENVY WHISKEY</t>
        </is>
      </c>
      <c r="D70" s="25" t="inlineStr">
        <is>
          <t>750ml</t>
        </is>
      </c>
      <c r="E70" s="27" t="n">
        <v>1</v>
      </c>
      <c r="F70" s="27" t="n">
        <v>64</v>
      </c>
      <c r="G70" s="27" t="n">
        <v>6</v>
      </c>
      <c r="H70" s="28" t="n">
        <v>230.72</v>
      </c>
      <c r="I70" s="28" t="n">
        <v>0</v>
      </c>
      <c r="J70" s="94" t="inlineStr">
        <is>
          <t>False</t>
        </is>
      </c>
      <c r="K70" s="28" t="n">
        <v>0</v>
      </c>
      <c r="L70" s="25" t="inlineStr">
        <is>
          <t>WHISKEY - STR BOURBON</t>
        </is>
      </c>
      <c r="M70" s="25" t="inlineStr">
        <is>
          <t>BACARDI USA INC</t>
        </is>
      </c>
      <c r="N70" s="25" t="inlineStr">
        <is>
          <t>040010-SOUTHERN GLAZERS WINE AND SPIRITS OF MISSISSIPPI LLC</t>
        </is>
      </c>
      <c r="O70" s="25" t="n"/>
      <c r="P70" s="25" t="inlineStr">
        <is>
          <t>10850047703003</t>
        </is>
      </c>
      <c r="Q70" s="25" t="inlineStr">
        <is>
          <t>0850047003003</t>
        </is>
      </c>
      <c r="R70" s="78" t="n">
        <v>44105</v>
      </c>
    </row>
    <row r="71">
      <c r="A71" t="inlineStr">
        <is>
          <t>or item code =</t>
        </is>
      </c>
      <c r="B71" s="25" t="inlineStr">
        <is>
          <t>47541</t>
        </is>
      </c>
      <c r="C71" s="25" t="inlineStr">
        <is>
          <t>ANSAC BLACK KNIGHT SELECTION COGNAC</t>
        </is>
      </c>
      <c r="D71" s="25" t="inlineStr">
        <is>
          <t>750ml</t>
        </is>
      </c>
      <c r="E71" s="27" t="n">
        <v>136</v>
      </c>
      <c r="F71" s="27" t="n">
        <v>1</v>
      </c>
      <c r="G71" s="27" t="n">
        <v>6</v>
      </c>
      <c r="H71" s="28" t="n">
        <v>161.51</v>
      </c>
      <c r="I71" s="28" t="n">
        <v>0</v>
      </c>
      <c r="J71" s="94" t="inlineStr">
        <is>
          <t>False</t>
        </is>
      </c>
      <c r="K71" s="28" t="n">
        <v>0</v>
      </c>
      <c r="L71" s="25" t="inlineStr">
        <is>
          <t>COGNAC, ARMAGNAC</t>
        </is>
      </c>
      <c r="M71" s="25" t="inlineStr">
        <is>
          <t>HEAVEN HILL BRANDS</t>
        </is>
      </c>
      <c r="N71" s="25" t="inlineStr">
        <is>
          <t>040010-SOUTHERN GLAZERS WINE AND SPIRITS OF MISSISSIPPI LLC</t>
        </is>
      </c>
      <c r="O71" s="25" t="n"/>
      <c r="P71" s="25" t="inlineStr">
        <is>
          <t>20096749002768</t>
        </is>
      </c>
      <c r="Q71" s="25" t="inlineStr">
        <is>
          <t>096749002764</t>
        </is>
      </c>
      <c r="R71" s="78" t="n">
        <v>44652</v>
      </c>
    </row>
    <row r="72">
      <c r="A72" t="inlineStr">
        <is>
          <t>or item code =</t>
        </is>
      </c>
      <c r="B72" s="25" t="inlineStr">
        <is>
          <t>47548</t>
        </is>
      </c>
      <c r="C72" s="25" t="inlineStr">
        <is>
          <t>ANSAC V S COGNAC</t>
        </is>
      </c>
      <c r="D72" s="25" t="inlineStr">
        <is>
          <t>1.75L</t>
        </is>
      </c>
      <c r="E72" s="27" t="n">
        <v>57</v>
      </c>
      <c r="F72" s="27" t="n">
        <v>16</v>
      </c>
      <c r="G72" s="27" t="n">
        <v>6</v>
      </c>
      <c r="H72" s="28" t="n">
        <v>253.81</v>
      </c>
      <c r="I72" s="28" t="n">
        <v>0</v>
      </c>
      <c r="J72" s="94" t="inlineStr">
        <is>
          <t>False</t>
        </is>
      </c>
      <c r="K72" s="28" t="n">
        <v>0</v>
      </c>
      <c r="L72" s="25" t="inlineStr">
        <is>
          <t>COGNAC, ARMAGNAC</t>
        </is>
      </c>
      <c r="M72" s="25" t="inlineStr">
        <is>
          <t>HEAVEN HILL BRANDS</t>
        </is>
      </c>
      <c r="N72" s="25" t="inlineStr">
        <is>
          <t>040010-SOUTHERN GLAZERS WINE AND SPIRITS OF MISSISSIPPI LLC</t>
        </is>
      </c>
      <c r="O72" s="25" t="n"/>
      <c r="P72" s="25" t="inlineStr">
        <is>
          <t>10096749499103</t>
        </is>
      </c>
      <c r="Q72" s="25" t="inlineStr">
        <is>
          <t>0096749499106</t>
        </is>
      </c>
      <c r="R72" s="78" t="n">
        <v>42370</v>
      </c>
    </row>
    <row r="73">
      <c r="A73" t="inlineStr">
        <is>
          <t>or item code =</t>
        </is>
      </c>
      <c r="B73" s="25" t="inlineStr">
        <is>
          <t>47547</t>
        </is>
      </c>
      <c r="C73" s="25" t="inlineStr">
        <is>
          <t>ANSAC V S COGNAC</t>
        </is>
      </c>
      <c r="D73" s="25" t="inlineStr">
        <is>
          <t>1L</t>
        </is>
      </c>
      <c r="E73" s="27" t="n">
        <v>94</v>
      </c>
      <c r="F73" s="27" t="n">
        <v>10</v>
      </c>
      <c r="G73" s="27" t="n">
        <v>12</v>
      </c>
      <c r="H73" s="28" t="n">
        <v>295.32</v>
      </c>
      <c r="I73" s="28" t="n">
        <v>0</v>
      </c>
      <c r="J73" s="94" t="inlineStr">
        <is>
          <t>False</t>
        </is>
      </c>
      <c r="K73" s="28" t="n">
        <v>0</v>
      </c>
      <c r="L73" s="25" t="inlineStr">
        <is>
          <t>COGNAC, ARMAGNAC</t>
        </is>
      </c>
      <c r="M73" s="25" t="inlineStr">
        <is>
          <t>HEAVEN HILL BRANDS</t>
        </is>
      </c>
      <c r="N73" s="25" t="inlineStr">
        <is>
          <t>040010-SOUTHERN GLAZERS WINE AND SPIRITS OF MISSISSIPPI LLC</t>
        </is>
      </c>
      <c r="O73" s="25" t="n"/>
      <c r="P73" s="25" t="inlineStr">
        <is>
          <t>10096749499202</t>
        </is>
      </c>
      <c r="Q73" s="25" t="inlineStr">
        <is>
          <t>0096749499205</t>
        </is>
      </c>
      <c r="R73" s="78" t="n">
        <v>42370</v>
      </c>
    </row>
    <row r="74">
      <c r="A74" t="inlineStr">
        <is>
          <t>or item code =</t>
        </is>
      </c>
      <c r="B74" s="25" t="inlineStr">
        <is>
          <t>47544</t>
        </is>
      </c>
      <c r="C74" s="25" t="inlineStr">
        <is>
          <t>ANSAC V S COGNAC</t>
        </is>
      </c>
      <c r="D74" s="25" t="inlineStr">
        <is>
          <t>375ml</t>
        </is>
      </c>
      <c r="E74" s="27" t="n">
        <v>118</v>
      </c>
      <c r="F74" s="27" t="n">
        <v>51</v>
      </c>
      <c r="G74" s="27" t="n">
        <v>12</v>
      </c>
      <c r="H74" s="28" t="n">
        <v>129.18</v>
      </c>
      <c r="I74" s="28" t="n">
        <v>0</v>
      </c>
      <c r="J74" s="94" t="inlineStr">
        <is>
          <t>False</t>
        </is>
      </c>
      <c r="K74" s="28" t="n">
        <v>0</v>
      </c>
      <c r="L74" s="25" t="inlineStr">
        <is>
          <t>COGNAC, ARMAGNAC</t>
        </is>
      </c>
      <c r="M74" s="25" t="inlineStr">
        <is>
          <t>HEAVEN HILL BRANDS</t>
        </is>
      </c>
      <c r="N74" s="25" t="inlineStr">
        <is>
          <t>040010-SOUTHERN GLAZERS WINE AND SPIRITS OF MISSISSIPPI LLC</t>
        </is>
      </c>
      <c r="O74" s="25" t="n"/>
      <c r="P74" s="25" t="inlineStr">
        <is>
          <t>20096749499605</t>
        </is>
      </c>
      <c r="Q74" s="25" t="inlineStr">
        <is>
          <t>0096749499601</t>
        </is>
      </c>
      <c r="R74" s="78" t="n">
        <v>42370</v>
      </c>
    </row>
    <row r="75">
      <c r="A75" t="inlineStr">
        <is>
          <t>or item code =</t>
        </is>
      </c>
      <c r="B75" s="25" t="inlineStr">
        <is>
          <t>47543</t>
        </is>
      </c>
      <c r="C75" s="25" t="inlineStr">
        <is>
          <t>ANSAC V S COGNAC</t>
        </is>
      </c>
      <c r="D75" s="25" t="inlineStr">
        <is>
          <t>200ml</t>
        </is>
      </c>
      <c r="E75" s="27" t="n">
        <v>164</v>
      </c>
      <c r="F75" s="27" t="n">
        <v>24</v>
      </c>
      <c r="G75" s="27" t="n">
        <v>24</v>
      </c>
      <c r="H75" s="28" t="n">
        <v>147.6</v>
      </c>
      <c r="I75" s="28" t="n">
        <v>0</v>
      </c>
      <c r="J75" s="94" t="inlineStr">
        <is>
          <t>False</t>
        </is>
      </c>
      <c r="K75" s="28" t="n">
        <v>0</v>
      </c>
      <c r="L75" s="25" t="inlineStr">
        <is>
          <t>COGNAC, ARMAGNAC</t>
        </is>
      </c>
      <c r="M75" s="25" t="inlineStr">
        <is>
          <t>HEAVEN HILL BRANDS</t>
        </is>
      </c>
      <c r="N75" s="25" t="inlineStr">
        <is>
          <t>040010-SOUTHERN GLAZERS WINE AND SPIRITS OF MISSISSIPPI LLC</t>
        </is>
      </c>
      <c r="O75" s="25" t="n"/>
      <c r="P75" s="25" t="inlineStr">
        <is>
          <t>20096749499506</t>
        </is>
      </c>
      <c r="Q75" s="25" t="inlineStr">
        <is>
          <t>0096749499502</t>
        </is>
      </c>
      <c r="R75" s="78" t="n">
        <v>42370</v>
      </c>
    </row>
    <row r="76">
      <c r="A76" t="inlineStr">
        <is>
          <t>or item code =</t>
        </is>
      </c>
      <c r="B76" s="25" t="inlineStr">
        <is>
          <t>47546</t>
        </is>
      </c>
      <c r="C76" s="25" t="inlineStr">
        <is>
          <t>ANSAC V S COGNAC</t>
        </is>
      </c>
      <c r="D76" s="25" t="inlineStr">
        <is>
          <t>750ml</t>
        </is>
      </c>
      <c r="E76" s="27" t="n">
        <v>87</v>
      </c>
      <c r="F76" s="27" t="n">
        <v>49</v>
      </c>
      <c r="G76" s="27" t="n">
        <v>12</v>
      </c>
      <c r="H76" s="28" t="n">
        <v>267.64</v>
      </c>
      <c r="I76" s="28" t="n">
        <v>0</v>
      </c>
      <c r="J76" s="94" t="inlineStr">
        <is>
          <t>False</t>
        </is>
      </c>
      <c r="K76" s="28" t="n">
        <v>0</v>
      </c>
      <c r="L76" s="25" t="inlineStr">
        <is>
          <t>COGNAC, ARMAGNAC</t>
        </is>
      </c>
      <c r="M76" s="25" t="inlineStr">
        <is>
          <t>HEAVEN HILL BRANDS</t>
        </is>
      </c>
      <c r="N76" s="25" t="inlineStr">
        <is>
          <t>040010-SOUTHERN GLAZERS WINE AND SPIRITS OF MISSISSIPPI LLC</t>
        </is>
      </c>
      <c r="O76" s="25" t="n"/>
      <c r="P76" s="25" t="inlineStr">
        <is>
          <t>0096749499304</t>
        </is>
      </c>
      <c r="Q76" s="25" t="inlineStr">
        <is>
          <t>0096749499304</t>
        </is>
      </c>
      <c r="R76" s="78" t="n">
        <v>42370</v>
      </c>
    </row>
    <row r="77">
      <c r="A77" t="inlineStr">
        <is>
          <t>or item code =</t>
        </is>
      </c>
      <c r="B77" s="25" t="inlineStr">
        <is>
          <t>64147</t>
        </is>
      </c>
      <c r="C77" s="25" t="inlineStr">
        <is>
          <t>APEROL LIQUEUR</t>
        </is>
      </c>
      <c r="D77" s="25" t="inlineStr">
        <is>
          <t>750ml</t>
        </is>
      </c>
      <c r="E77" s="27" t="n">
        <v>69</v>
      </c>
      <c r="F77" s="27" t="n">
        <v>36</v>
      </c>
      <c r="G77" s="27" t="n">
        <v>6</v>
      </c>
      <c r="H77" s="28" t="n">
        <v>125.48</v>
      </c>
      <c r="I77" s="28" t="n">
        <v>0</v>
      </c>
      <c r="J77" s="94" t="inlineStr">
        <is>
          <t>False</t>
        </is>
      </c>
      <c r="K77" s="28" t="n">
        <v>0</v>
      </c>
      <c r="L77" s="25" t="inlineStr">
        <is>
          <t>LIQUEURS AND CORDIALS</t>
        </is>
      </c>
      <c r="M77" s="25" t="inlineStr">
        <is>
          <t>CAMPARI ENTERPRISES, INC.</t>
        </is>
      </c>
      <c r="N77" s="25" t="inlineStr">
        <is>
          <t>040010-SOUTHERN GLAZERS WINE AND SPIRITS OF MISSISSIPPI LLC</t>
        </is>
      </c>
      <c r="O77" s="25" t="n"/>
      <c r="P77" s="25" t="inlineStr">
        <is>
          <t>10721059001318</t>
        </is>
      </c>
      <c r="Q77" s="25" t="inlineStr">
        <is>
          <t>0721059001311</t>
        </is>
      </c>
      <c r="R77" s="78" t="n">
        <v>42370</v>
      </c>
    </row>
    <row r="78">
      <c r="A78" t="inlineStr">
        <is>
          <t>or item code =</t>
        </is>
      </c>
      <c r="B78" s="25" t="inlineStr">
        <is>
          <t>441986</t>
        </is>
      </c>
      <c r="C78" s="25" t="inlineStr">
        <is>
          <t>APOTHIC CABERNET SAUVIGNON CALIFORNIA</t>
        </is>
      </c>
      <c r="D78" s="25" t="inlineStr">
        <is>
          <t>750ml</t>
        </is>
      </c>
      <c r="E78" s="27" t="n">
        <v>74</v>
      </c>
      <c r="F78" s="27" t="n">
        <v>61</v>
      </c>
      <c r="G78" s="27" t="n">
        <v>12</v>
      </c>
      <c r="H78" s="28" t="n">
        <v>124.2</v>
      </c>
      <c r="I78" s="28" t="n">
        <v>0</v>
      </c>
      <c r="J78" s="94" t="inlineStr">
        <is>
          <t>False</t>
        </is>
      </c>
      <c r="K78" s="28" t="n">
        <v>0</v>
      </c>
      <c r="L78" s="25" t="inlineStr">
        <is>
          <t>CABERNET SAUVIGNON</t>
        </is>
      </c>
      <c r="M78" s="25" t="inlineStr">
        <is>
          <t>E &amp; J GALLO WINERY</t>
        </is>
      </c>
      <c r="N78" s="25" t="inlineStr">
        <is>
          <t>040012-GALLO WINES OF MISSISSIPPI</t>
        </is>
      </c>
      <c r="O78" s="25" t="n"/>
      <c r="P78" s="25" t="inlineStr">
        <is>
          <t>30085000030968</t>
        </is>
      </c>
      <c r="Q78" s="25" t="inlineStr">
        <is>
          <t>085000030967</t>
        </is>
      </c>
      <c r="R78" s="78" t="n">
        <v>44044</v>
      </c>
    </row>
    <row r="79">
      <c r="A79" t="inlineStr">
        <is>
          <t>or item code =</t>
        </is>
      </c>
      <c r="B79" s="25" t="inlineStr">
        <is>
          <t>441977</t>
        </is>
      </c>
      <c r="C79" s="25" t="inlineStr">
        <is>
          <t>APOTHIC CRUSH</t>
        </is>
      </c>
      <c r="D79" s="25" t="inlineStr">
        <is>
          <t>750ml</t>
        </is>
      </c>
      <c r="E79" s="27" t="n">
        <v>108</v>
      </c>
      <c r="F79" s="27" t="n">
        <v>68</v>
      </c>
      <c r="G79" s="27" t="n">
        <v>12</v>
      </c>
      <c r="H79" s="28" t="n">
        <v>124.2</v>
      </c>
      <c r="I79" s="28" t="n">
        <v>0</v>
      </c>
      <c r="J79" s="94" t="inlineStr">
        <is>
          <t>False</t>
        </is>
      </c>
      <c r="K79" s="28" t="n">
        <v>0</v>
      </c>
      <c r="L79" s="25" t="inlineStr">
        <is>
          <t>RED WINE</t>
        </is>
      </c>
      <c r="M79" s="25" t="inlineStr">
        <is>
          <t>E &amp; J GALLO WINERY</t>
        </is>
      </c>
      <c r="N79" s="25" t="inlineStr">
        <is>
          <t>040012-GALLO WINES OF MISSISSIPPI</t>
        </is>
      </c>
      <c r="O79" s="25" t="n"/>
      <c r="P79" s="25" t="inlineStr">
        <is>
          <t>30085000023489</t>
        </is>
      </c>
      <c r="Q79" s="25" t="inlineStr">
        <is>
          <t>0085000023488</t>
        </is>
      </c>
      <c r="R79" s="78" t="n">
        <v>42516</v>
      </c>
    </row>
    <row r="80">
      <c r="A80" t="inlineStr">
        <is>
          <t>or item code =</t>
        </is>
      </c>
      <c r="B80" s="25" t="inlineStr">
        <is>
          <t>96008</t>
        </is>
      </c>
      <c r="C80" s="25" t="inlineStr">
        <is>
          <t>APOTHIC DARK LIMITED RELEASE CALIFORNIA</t>
        </is>
      </c>
      <c r="D80" s="25" t="inlineStr">
        <is>
          <t>750ml</t>
        </is>
      </c>
      <c r="E80" s="27" t="n">
        <v>36</v>
      </c>
      <c r="F80" s="27" t="n">
        <v>36</v>
      </c>
      <c r="G80" s="27" t="n">
        <v>12</v>
      </c>
      <c r="H80" s="28" t="n">
        <v>124.2</v>
      </c>
      <c r="I80" s="28" t="n">
        <v>0</v>
      </c>
      <c r="J80" s="94" t="inlineStr">
        <is>
          <t>False</t>
        </is>
      </c>
      <c r="K80" s="28" t="n">
        <v>0</v>
      </c>
      <c r="L80" s="25" t="inlineStr">
        <is>
          <t>RED WINE</t>
        </is>
      </c>
      <c r="M80" s="25" t="inlineStr">
        <is>
          <t>E &amp; J GALLO WINERY</t>
        </is>
      </c>
      <c r="N80" s="25" t="inlineStr">
        <is>
          <t>040012-GALLO WINES OF MISSISSIPPI</t>
        </is>
      </c>
      <c r="O80" s="25" t="n"/>
      <c r="P80" s="25" t="inlineStr">
        <is>
          <t>30085000022864</t>
        </is>
      </c>
      <c r="Q80" s="25" t="inlineStr">
        <is>
          <t>0085000022863</t>
        </is>
      </c>
      <c r="R80" s="78" t="n">
        <v>42370</v>
      </c>
    </row>
    <row r="81">
      <c r="A81" t="inlineStr">
        <is>
          <t>or item code =</t>
        </is>
      </c>
      <c r="B81" s="25" t="inlineStr">
        <is>
          <t>441978</t>
        </is>
      </c>
      <c r="C81" s="25" t="inlineStr">
        <is>
          <t>APOTHIC INFERNO RED BLEND CALIFORNIA</t>
        </is>
      </c>
      <c r="D81" s="25" t="inlineStr">
        <is>
          <t>750ml</t>
        </is>
      </c>
      <c r="E81" s="27" t="n">
        <v>64</v>
      </c>
      <c r="F81" s="27" t="n">
        <v>76</v>
      </c>
      <c r="G81" s="27" t="n">
        <v>12</v>
      </c>
      <c r="H81" s="28" t="n">
        <v>141.35</v>
      </c>
      <c r="I81" s="28" t="n">
        <v>0</v>
      </c>
      <c r="J81" s="94" t="inlineStr">
        <is>
          <t>False</t>
        </is>
      </c>
      <c r="K81" s="28" t="n">
        <v>0</v>
      </c>
      <c r="L81" s="25" t="inlineStr">
        <is>
          <t>RED WINE</t>
        </is>
      </c>
      <c r="M81" s="25" t="inlineStr">
        <is>
          <t>E &amp; J GALLO WINERY</t>
        </is>
      </c>
      <c r="N81" s="25" t="inlineStr">
        <is>
          <t>040012-GALLO WINES OF MISSISSIPPI</t>
        </is>
      </c>
      <c r="O81" s="25" t="n"/>
      <c r="P81" s="25" t="inlineStr">
        <is>
          <t>30085000024905</t>
        </is>
      </c>
      <c r="Q81" s="25" t="inlineStr">
        <is>
          <t>085000024904</t>
        </is>
      </c>
      <c r="R81" s="78" t="n">
        <v>43488</v>
      </c>
    </row>
    <row r="82">
      <c r="A82" t="inlineStr">
        <is>
          <t>or item code =</t>
        </is>
      </c>
      <c r="B82" s="25" t="inlineStr">
        <is>
          <t>441988</t>
        </is>
      </c>
      <c r="C82" s="25" t="inlineStr">
        <is>
          <t>APOTHIC MERLOT CALIFORNIA</t>
        </is>
      </c>
      <c r="D82" s="25" t="inlineStr">
        <is>
          <t>750ml</t>
        </is>
      </c>
      <c r="E82" s="27" t="n">
        <v>48</v>
      </c>
      <c r="F82" s="27" t="n">
        <v>27</v>
      </c>
      <c r="G82" s="27" t="n">
        <v>12</v>
      </c>
      <c r="H82" s="28" t="n">
        <v>124.2</v>
      </c>
      <c r="I82" s="28" t="n">
        <v>0</v>
      </c>
      <c r="J82" s="94" t="inlineStr">
        <is>
          <t>False</t>
        </is>
      </c>
      <c r="K82" s="28" t="n">
        <v>0</v>
      </c>
      <c r="L82" s="25" t="inlineStr">
        <is>
          <t>RED WINE</t>
        </is>
      </c>
      <c r="M82" s="25" t="inlineStr">
        <is>
          <t>E &amp; J GALLO WINERY</t>
        </is>
      </c>
      <c r="N82" s="25" t="inlineStr">
        <is>
          <t>040012-GALLO WINES OF MISSISSIPPI</t>
        </is>
      </c>
      <c r="O82" s="25" t="n"/>
      <c r="P82" s="25" t="n"/>
      <c r="Q82" s="25" t="inlineStr">
        <is>
          <t>085000032145</t>
        </is>
      </c>
      <c r="R82" s="78" t="n">
        <v>44287</v>
      </c>
    </row>
    <row r="83">
      <c r="A83" t="inlineStr">
        <is>
          <t>or item code =</t>
        </is>
      </c>
      <c r="B83" s="25" t="inlineStr">
        <is>
          <t>441976</t>
        </is>
      </c>
      <c r="C83" s="25" t="inlineStr">
        <is>
          <t>APOTHIC WINEMAKER'S BLND:SHR/ZIN/MER CAL</t>
        </is>
      </c>
      <c r="D83" s="25" t="inlineStr">
        <is>
          <t>750ml</t>
        </is>
      </c>
      <c r="E83" s="27" t="n">
        <v>253</v>
      </c>
      <c r="F83" s="27" t="n">
        <v>223</v>
      </c>
      <c r="G83" s="27" t="n">
        <v>12</v>
      </c>
      <c r="H83" s="28" t="n">
        <v>124.2</v>
      </c>
      <c r="I83" s="28" t="n">
        <v>0</v>
      </c>
      <c r="J83" s="94" t="inlineStr">
        <is>
          <t>False</t>
        </is>
      </c>
      <c r="K83" s="28" t="n">
        <v>0</v>
      </c>
      <c r="L83" s="25" t="inlineStr">
        <is>
          <t>RED WINE</t>
        </is>
      </c>
      <c r="M83" s="25" t="inlineStr">
        <is>
          <t>E &amp; J GALLO WINERY</t>
        </is>
      </c>
      <c r="N83" s="25" t="inlineStr">
        <is>
          <t>040012-GALLO WINES OF MISSISSIPPI</t>
        </is>
      </c>
      <c r="O83" s="25" t="n"/>
      <c r="P83" s="25" t="inlineStr">
        <is>
          <t>03008500001774</t>
        </is>
      </c>
      <c r="Q83" s="25" t="inlineStr">
        <is>
          <t>0085000017746</t>
        </is>
      </c>
      <c r="R83" s="78" t="n">
        <v>42370</v>
      </c>
    </row>
    <row r="84">
      <c r="A84" t="inlineStr">
        <is>
          <t>or item code =</t>
        </is>
      </c>
      <c r="B84" s="25" t="inlineStr">
        <is>
          <t>43801</t>
        </is>
      </c>
      <c r="C84" s="25" t="inlineStr">
        <is>
          <t>APPLETON ESTATE RESERVE 8YR SINGLE ESTATE RUM</t>
        </is>
      </c>
      <c r="D84" s="25" t="inlineStr">
        <is>
          <t>750ml</t>
        </is>
      </c>
      <c r="E84" s="27" t="n">
        <v>0</v>
      </c>
      <c r="F84" s="27" t="n">
        <v>2</v>
      </c>
      <c r="G84" s="27" t="n">
        <v>6</v>
      </c>
      <c r="H84" s="28" t="n">
        <v>148.87</v>
      </c>
      <c r="I84" s="28" t="n">
        <v>0</v>
      </c>
      <c r="J84" s="94" t="inlineStr">
        <is>
          <t>False</t>
        </is>
      </c>
      <c r="K84" s="28" t="n">
        <v>0</v>
      </c>
      <c r="L84" s="25" t="inlineStr">
        <is>
          <t>RUM</t>
        </is>
      </c>
      <c r="M84" s="25" t="inlineStr">
        <is>
          <t>CAMPARI ENTERPRISES, INC.</t>
        </is>
      </c>
      <c r="N84" s="25" t="inlineStr">
        <is>
          <t>040010-SOUTHERN GLAZERS WINE AND SPIRITS OF MISSISSIPPI LLC</t>
        </is>
      </c>
      <c r="O84" s="25" t="n"/>
      <c r="P84" s="25" t="inlineStr">
        <is>
          <t>20636191207405</t>
        </is>
      </c>
      <c r="Q84" s="25" t="inlineStr">
        <is>
          <t>636191207401</t>
        </is>
      </c>
      <c r="R84" s="78" t="n">
        <v>44228</v>
      </c>
    </row>
    <row r="85">
      <c r="A85" t="inlineStr">
        <is>
          <t>or item code =</t>
        </is>
      </c>
      <c r="B85" s="25" t="inlineStr">
        <is>
          <t>43797</t>
        </is>
      </c>
      <c r="C85" s="25" t="inlineStr">
        <is>
          <t>APPLETON ESTATE SIGNATURE SINGLE ESTATE RUM</t>
        </is>
      </c>
      <c r="D85" s="25" t="inlineStr">
        <is>
          <t>750ml</t>
        </is>
      </c>
      <c r="E85" s="27" t="n">
        <v>0</v>
      </c>
      <c r="F85" s="27" t="n">
        <v>5</v>
      </c>
      <c r="G85" s="27" t="n">
        <v>12</v>
      </c>
      <c r="H85" s="28" t="n">
        <v>203.93</v>
      </c>
      <c r="I85" s="28" t="n">
        <v>0</v>
      </c>
      <c r="J85" s="94" t="inlineStr">
        <is>
          <t>False</t>
        </is>
      </c>
      <c r="K85" s="28" t="n">
        <v>0</v>
      </c>
      <c r="L85" s="25" t="inlineStr">
        <is>
          <t>RUM</t>
        </is>
      </c>
      <c r="M85" s="25" t="inlineStr">
        <is>
          <t>CAMPARI ENTERPRISES, INC.</t>
        </is>
      </c>
      <c r="N85" s="25" t="inlineStr">
        <is>
          <t>040010-SOUTHERN GLAZERS WINE AND SPIRITS OF MISSISSIPPI LLC</t>
        </is>
      </c>
      <c r="O85" s="25" t="n"/>
      <c r="P85" s="25" t="n"/>
      <c r="Q85" s="25" t="inlineStr">
        <is>
          <t>721059001502</t>
        </is>
      </c>
      <c r="R85" s="78" t="n">
        <v>44293</v>
      </c>
    </row>
    <row r="86">
      <c r="A86" t="inlineStr">
        <is>
          <t>or item code =</t>
        </is>
      </c>
      <c r="B86" s="25" t="inlineStr">
        <is>
          <t>43803</t>
        </is>
      </c>
      <c r="C86" s="25" t="inlineStr">
        <is>
          <t>APPLETON RARE CASKS 12YR SINGLE ESTATE RUM</t>
        </is>
      </c>
      <c r="D86" s="25" t="inlineStr">
        <is>
          <t>750ml</t>
        </is>
      </c>
      <c r="E86" s="27" t="n">
        <v>21</v>
      </c>
      <c r="F86" s="27" t="n">
        <v>14</v>
      </c>
      <c r="G86" s="27" t="n">
        <v>6</v>
      </c>
      <c r="H86" s="28" t="n">
        <v>204.66</v>
      </c>
      <c r="I86" s="28" t="n">
        <v>0</v>
      </c>
      <c r="J86" s="94" t="inlineStr">
        <is>
          <t>False</t>
        </is>
      </c>
      <c r="K86" s="28" t="n">
        <v>0</v>
      </c>
      <c r="L86" s="25" t="inlineStr">
        <is>
          <t>RUM</t>
        </is>
      </c>
      <c r="M86" s="25" t="inlineStr">
        <is>
          <t>CAMPARI ENTERPRISES, INC.</t>
        </is>
      </c>
      <c r="N86" s="25" t="inlineStr">
        <is>
          <t>040010-SOUTHERN GLAZERS WINE AND SPIRITS OF MISSISSIPPI LLC</t>
        </is>
      </c>
      <c r="O86" s="25" t="n"/>
      <c r="P86" s="25" t="inlineStr">
        <is>
          <t>30721059001530</t>
        </is>
      </c>
      <c r="Q86" s="25" t="inlineStr">
        <is>
          <t>721059001557</t>
        </is>
      </c>
      <c r="R86" s="78" t="n">
        <v>44228</v>
      </c>
    </row>
    <row r="87">
      <c r="A87" t="inlineStr">
        <is>
          <t>or item code =</t>
        </is>
      </c>
      <c r="B87" s="25" t="inlineStr">
        <is>
          <t>29098</t>
        </is>
      </c>
      <c r="C87" s="25" t="inlineStr">
        <is>
          <t>ARISTOCRAT GIN</t>
        </is>
      </c>
      <c r="D87" s="25" t="inlineStr">
        <is>
          <t>1.75L</t>
        </is>
      </c>
      <c r="E87" s="27" t="n">
        <v>67</v>
      </c>
      <c r="F87" s="27" t="n">
        <v>51</v>
      </c>
      <c r="G87" s="27" t="n">
        <v>6</v>
      </c>
      <c r="H87" s="28" t="n">
        <v>69.19</v>
      </c>
      <c r="I87" s="28" t="n">
        <v>0</v>
      </c>
      <c r="J87" s="94" t="inlineStr">
        <is>
          <t>False</t>
        </is>
      </c>
      <c r="K87" s="28" t="n">
        <v>0</v>
      </c>
      <c r="L87" s="25" t="inlineStr">
        <is>
          <t>GIN</t>
        </is>
      </c>
      <c r="M87" s="25" t="inlineStr">
        <is>
          <t>HEAVEN HILL BRANDS</t>
        </is>
      </c>
      <c r="N87" s="25" t="inlineStr">
        <is>
          <t>040010-SOUTHERN GLAZERS WINE AND SPIRITS OF MISSISSIPPI LLC</t>
        </is>
      </c>
      <c r="O87" s="25" t="n"/>
      <c r="P87" s="25" t="inlineStr">
        <is>
          <t>10096749084101</t>
        </is>
      </c>
      <c r="Q87" s="25" t="inlineStr">
        <is>
          <t>0096749084104</t>
        </is>
      </c>
      <c r="R87" s="78" t="n">
        <v>42370</v>
      </c>
    </row>
    <row r="88">
      <c r="A88" t="inlineStr">
        <is>
          <t>or item code =</t>
        </is>
      </c>
      <c r="B88" s="25" t="inlineStr">
        <is>
          <t>82211</t>
        </is>
      </c>
      <c r="C88" s="25" t="inlineStr">
        <is>
          <t>ARISTOCRAT PEACH SCHNAPPS</t>
        </is>
      </c>
      <c r="D88" s="25" t="inlineStr">
        <is>
          <t>1L</t>
        </is>
      </c>
      <c r="E88" s="27" t="n">
        <v>70</v>
      </c>
      <c r="F88" s="27" t="n">
        <v>34</v>
      </c>
      <c r="G88" s="27" t="n">
        <v>12</v>
      </c>
      <c r="H88" s="28" t="n">
        <v>59.93</v>
      </c>
      <c r="I88" s="28" t="n">
        <v>0</v>
      </c>
      <c r="J88" s="94" t="inlineStr">
        <is>
          <t>False</t>
        </is>
      </c>
      <c r="K88" s="28" t="n">
        <v>0</v>
      </c>
      <c r="L88" s="25" t="inlineStr">
        <is>
          <t>LIQUEURS AND CORDIALS</t>
        </is>
      </c>
      <c r="M88" s="25" t="inlineStr">
        <is>
          <t>HEAVEN HILL BRANDS</t>
        </is>
      </c>
      <c r="N88" s="25" t="inlineStr">
        <is>
          <t>040010-SOUTHERN GLAZERS WINE AND SPIRITS OF MISSISSIPPI LLC</t>
        </is>
      </c>
      <c r="O88" s="25" t="n"/>
      <c r="P88" s="25" t="inlineStr">
        <is>
          <t>10096749088215</t>
        </is>
      </c>
      <c r="Q88" s="25" t="inlineStr">
        <is>
          <t>0096749088218</t>
        </is>
      </c>
      <c r="R88" s="78" t="n">
        <v>42370</v>
      </c>
    </row>
    <row r="89">
      <c r="A89" t="inlineStr">
        <is>
          <t>or item code =</t>
        </is>
      </c>
      <c r="B89" s="25" t="inlineStr">
        <is>
          <t>82212</t>
        </is>
      </c>
      <c r="C89" s="25" t="inlineStr">
        <is>
          <t>ARISTOCRAT PEACH SCHNAPPS</t>
        </is>
      </c>
      <c r="D89" s="25" t="inlineStr">
        <is>
          <t>1.75L</t>
        </is>
      </c>
      <c r="E89" s="27" t="n">
        <v>57</v>
      </c>
      <c r="F89" s="27" t="n">
        <v>17</v>
      </c>
      <c r="G89" s="27" t="n">
        <v>6</v>
      </c>
      <c r="H89" s="28" t="n">
        <v>55.48</v>
      </c>
      <c r="I89" s="28" t="n">
        <v>0</v>
      </c>
      <c r="J89" s="94" t="inlineStr">
        <is>
          <t>False</t>
        </is>
      </c>
      <c r="K89" s="28" t="n">
        <v>0</v>
      </c>
      <c r="L89" s="25" t="inlineStr">
        <is>
          <t>LIQUEURS AND CORDIALS</t>
        </is>
      </c>
      <c r="M89" s="25" t="inlineStr">
        <is>
          <t>HEAVEN HILL BRANDS</t>
        </is>
      </c>
      <c r="N89" s="25" t="inlineStr">
        <is>
          <t>040010-SOUTHERN GLAZERS WINE AND SPIRITS OF MISSISSIPPI LLC</t>
        </is>
      </c>
      <c r="O89" s="25" t="n"/>
      <c r="P89" s="25" t="inlineStr">
        <is>
          <t>10096749088116</t>
        </is>
      </c>
      <c r="Q89" s="25" t="inlineStr">
        <is>
          <t>0096749088119</t>
        </is>
      </c>
      <c r="R89" s="78" t="n">
        <v>42370</v>
      </c>
    </row>
    <row r="90">
      <c r="A90" t="inlineStr">
        <is>
          <t>or item code =</t>
        </is>
      </c>
      <c r="B90" s="25" t="inlineStr">
        <is>
          <t>35088</t>
        </is>
      </c>
      <c r="C90" s="25" t="inlineStr">
        <is>
          <t>ARISTOCRAT SUPREME VODKA</t>
        </is>
      </c>
      <c r="D90" s="25" t="inlineStr">
        <is>
          <t>1.75L</t>
        </is>
      </c>
      <c r="E90" s="27" t="n">
        <v>1090</v>
      </c>
      <c r="F90" s="27" t="n">
        <v>613</v>
      </c>
      <c r="G90" s="27" t="n">
        <v>6</v>
      </c>
      <c r="H90" s="28" t="n">
        <v>59.97</v>
      </c>
      <c r="I90" s="28" t="n">
        <v>0</v>
      </c>
      <c r="J90" s="94" t="inlineStr">
        <is>
          <t>False</t>
        </is>
      </c>
      <c r="K90" s="28" t="n">
        <v>0</v>
      </c>
      <c r="L90" s="25" t="inlineStr">
        <is>
          <t>VODKA</t>
        </is>
      </c>
      <c r="M90" s="25" t="inlineStr">
        <is>
          <t>HEAVEN HILL BRANDS</t>
        </is>
      </c>
      <c r="N90" s="25" t="inlineStr">
        <is>
          <t>040010-SOUTHERN GLAZERS WINE AND SPIRITS OF MISSISSIPPI LLC</t>
        </is>
      </c>
      <c r="O90" s="25" t="n"/>
      <c r="P90" s="25" t="inlineStr">
        <is>
          <t>10096749113108</t>
        </is>
      </c>
      <c r="Q90" s="25" t="inlineStr">
        <is>
          <t>0096749113101</t>
        </is>
      </c>
      <c r="R90" s="78" t="n">
        <v>42370</v>
      </c>
    </row>
    <row r="91">
      <c r="A91" t="inlineStr">
        <is>
          <t>or item code =</t>
        </is>
      </c>
      <c r="B91" s="25" t="inlineStr">
        <is>
          <t>35086</t>
        </is>
      </c>
      <c r="C91" s="25" t="inlineStr">
        <is>
          <t>ARISTOCRAT SUPREME VODKA</t>
        </is>
      </c>
      <c r="D91" s="25" t="inlineStr">
        <is>
          <t>750ml</t>
        </is>
      </c>
      <c r="E91" s="27" t="n">
        <v>132</v>
      </c>
      <c r="F91" s="27" t="n">
        <v>92</v>
      </c>
      <c r="G91" s="27" t="n">
        <v>12</v>
      </c>
      <c r="H91" s="28" t="n">
        <v>64.56</v>
      </c>
      <c r="I91" s="28" t="n">
        <v>0</v>
      </c>
      <c r="J91" s="94" t="inlineStr">
        <is>
          <t>False</t>
        </is>
      </c>
      <c r="K91" s="28" t="n">
        <v>0</v>
      </c>
      <c r="L91" s="25" t="inlineStr">
        <is>
          <t>VODKA</t>
        </is>
      </c>
      <c r="M91" s="25" t="inlineStr">
        <is>
          <t>HEAVEN HILL BRANDS</t>
        </is>
      </c>
      <c r="N91" s="25" t="inlineStr">
        <is>
          <t>040010-SOUTHERN GLAZERS WINE AND SPIRITS OF MISSISSIPPI LLC</t>
        </is>
      </c>
      <c r="O91" s="25" t="n"/>
      <c r="P91" s="25" t="inlineStr">
        <is>
          <t>10096749113306</t>
        </is>
      </c>
      <c r="Q91" s="25" t="inlineStr">
        <is>
          <t>0096749113309</t>
        </is>
      </c>
      <c r="R91" s="78" t="n">
        <v>42279</v>
      </c>
    </row>
    <row r="92">
      <c r="A92" t="inlineStr">
        <is>
          <t>or item code =</t>
        </is>
      </c>
      <c r="B92" s="25" t="inlineStr">
        <is>
          <t>35084</t>
        </is>
      </c>
      <c r="C92" s="25" t="inlineStr">
        <is>
          <t>ARISTOCRAT SUPREME VODKA</t>
        </is>
      </c>
      <c r="D92" s="25" t="inlineStr">
        <is>
          <t>375ml</t>
        </is>
      </c>
      <c r="E92" s="27" t="n">
        <v>371</v>
      </c>
      <c r="F92" s="27" t="n">
        <v>95</v>
      </c>
      <c r="G92" s="27" t="n">
        <v>24</v>
      </c>
      <c r="H92" s="28" t="n">
        <v>64.52</v>
      </c>
      <c r="I92" s="28" t="n">
        <v>0</v>
      </c>
      <c r="J92" s="94" t="inlineStr">
        <is>
          <t>False</t>
        </is>
      </c>
      <c r="K92" s="28" t="n">
        <v>0</v>
      </c>
      <c r="L92" s="25" t="inlineStr">
        <is>
          <t>VODKA</t>
        </is>
      </c>
      <c r="M92" s="25" t="inlineStr">
        <is>
          <t>HEAVEN HILL BRANDS</t>
        </is>
      </c>
      <c r="N92" s="25" t="inlineStr">
        <is>
          <t>040010-SOUTHERN GLAZERS WINE AND SPIRITS OF MISSISSIPPI LLC</t>
        </is>
      </c>
      <c r="O92" s="25" t="n"/>
      <c r="P92" s="25" t="inlineStr">
        <is>
          <t>10096749113603</t>
        </is>
      </c>
      <c r="Q92" s="25" t="inlineStr">
        <is>
          <t>0096749113606</t>
        </is>
      </c>
      <c r="R92" s="78" t="n">
        <v>42370</v>
      </c>
    </row>
    <row r="93">
      <c r="A93" t="inlineStr">
        <is>
          <t>or item code =</t>
        </is>
      </c>
      <c r="B93" s="25" t="inlineStr">
        <is>
          <t>35083</t>
        </is>
      </c>
      <c r="C93" s="25" t="inlineStr">
        <is>
          <t>ARISTOCRAT SUPREME VODKA</t>
        </is>
      </c>
      <c r="D93" s="25" t="inlineStr">
        <is>
          <t>200ml</t>
        </is>
      </c>
      <c r="E93" s="27" t="n">
        <v>185</v>
      </c>
      <c r="F93" s="27" t="n">
        <v>49</v>
      </c>
      <c r="G93" s="27" t="n">
        <v>48</v>
      </c>
      <c r="H93" s="28" t="n">
        <v>74.02</v>
      </c>
      <c r="I93" s="28" t="n">
        <v>0</v>
      </c>
      <c r="J93" s="94" t="inlineStr">
        <is>
          <t>False</t>
        </is>
      </c>
      <c r="K93" s="28" t="n">
        <v>0</v>
      </c>
      <c r="L93" s="25" t="inlineStr">
        <is>
          <t>VODKA</t>
        </is>
      </c>
      <c r="M93" s="25" t="inlineStr">
        <is>
          <t>HEAVEN HILL BRANDS</t>
        </is>
      </c>
      <c r="N93" s="25" t="inlineStr">
        <is>
          <t>040010-SOUTHERN GLAZERS WINE AND SPIRITS OF MISSISSIPPI LLC</t>
        </is>
      </c>
      <c r="O93" s="25" t="n"/>
      <c r="P93" s="25" t="inlineStr">
        <is>
          <t>10096749113504</t>
        </is>
      </c>
      <c r="Q93" s="25" t="inlineStr">
        <is>
          <t>0096749113507</t>
        </is>
      </c>
      <c r="R93" s="78" t="n">
        <v>42370</v>
      </c>
    </row>
    <row r="94">
      <c r="A94" t="inlineStr">
        <is>
          <t>or item code =</t>
        </is>
      </c>
      <c r="B94" s="25" t="inlineStr">
        <is>
          <t>35085</t>
        </is>
      </c>
      <c r="C94" s="25" t="inlineStr">
        <is>
          <t>ARISTOCRAT SUPREME VODKA (PET)</t>
        </is>
      </c>
      <c r="D94" s="25" t="inlineStr">
        <is>
          <t>750ml</t>
        </is>
      </c>
      <c r="E94" s="27" t="n">
        <v>243</v>
      </c>
      <c r="F94" s="27" t="n">
        <v>57</v>
      </c>
      <c r="G94" s="27" t="n">
        <v>12</v>
      </c>
      <c r="H94" s="28" t="n">
        <v>64.56</v>
      </c>
      <c r="I94" s="28" t="n">
        <v>0</v>
      </c>
      <c r="J94" s="94" t="inlineStr">
        <is>
          <t>False</t>
        </is>
      </c>
      <c r="K94" s="28" t="n">
        <v>0</v>
      </c>
      <c r="L94" s="25" t="inlineStr">
        <is>
          <t>VODKA</t>
        </is>
      </c>
      <c r="M94" s="25" t="inlineStr">
        <is>
          <t>HEAVEN HILL BRANDS</t>
        </is>
      </c>
      <c r="N94" s="25" t="inlineStr">
        <is>
          <t>040010-SOUTHERN GLAZERS WINE AND SPIRITS OF MISSISSIPPI LLC</t>
        </is>
      </c>
      <c r="O94" s="25" t="n"/>
      <c r="P94" s="25" t="inlineStr">
        <is>
          <t>10096749113702</t>
        </is>
      </c>
      <c r="Q94" s="25" t="inlineStr">
        <is>
          <t>0096749113705</t>
        </is>
      </c>
      <c r="R94" s="78" t="n">
        <v>42370</v>
      </c>
    </row>
    <row r="95">
      <c r="A95" t="inlineStr">
        <is>
          <t>or item code =</t>
        </is>
      </c>
      <c r="B95" s="25" t="inlineStr">
        <is>
          <t>720850</t>
        </is>
      </c>
      <c r="C95" s="25" t="inlineStr">
        <is>
          <t>ASTORIA SPARKLING MOSCATO</t>
        </is>
      </c>
      <c r="D95" s="25" t="inlineStr">
        <is>
          <t>750ml</t>
        </is>
      </c>
      <c r="E95" s="27" t="n">
        <v>62</v>
      </c>
      <c r="F95" s="27" t="n">
        <v>27</v>
      </c>
      <c r="G95" s="27" t="n">
        <v>12</v>
      </c>
      <c r="H95" s="28" t="n">
        <v>132.29</v>
      </c>
      <c r="I95" s="28" t="n">
        <v>0</v>
      </c>
      <c r="J95" s="94" t="inlineStr">
        <is>
          <t>False</t>
        </is>
      </c>
      <c r="K95" s="28" t="n">
        <v>0</v>
      </c>
      <c r="L95" s="25" t="inlineStr">
        <is>
          <t>SPRKLNG, CHMPGNE, ETC.</t>
        </is>
      </c>
      <c r="M95" s="25" t="inlineStr">
        <is>
          <t>PRESTIGE BEVERAGE GROUP</t>
        </is>
      </c>
      <c r="N95" s="25" t="inlineStr">
        <is>
          <t>045041-UNITED JOHNSON BROTHERS OF MS</t>
        </is>
      </c>
      <c r="O95" s="25" t="n"/>
      <c r="P95" s="25" t="inlineStr">
        <is>
          <t>10084279980284</t>
        </is>
      </c>
      <c r="Q95" s="25" t="inlineStr">
        <is>
          <t>084279980287</t>
        </is>
      </c>
      <c r="R95" s="78" t="n">
        <v>44287</v>
      </c>
    </row>
    <row r="96">
      <c r="A96" t="inlineStr">
        <is>
          <t>or item code =</t>
        </is>
      </c>
      <c r="B96" s="25" t="inlineStr">
        <is>
          <t>87152</t>
        </is>
      </c>
      <c r="C96" s="25" t="inlineStr">
        <is>
          <t>AVION SILVER TEQUILA</t>
        </is>
      </c>
      <c r="D96" s="25" t="inlineStr">
        <is>
          <t>375ml</t>
        </is>
      </c>
      <c r="E96" s="27" t="n">
        <v>278</v>
      </c>
      <c r="F96" s="27" t="n">
        <v>53</v>
      </c>
      <c r="G96" s="27" t="n">
        <v>12</v>
      </c>
      <c r="H96" s="28" t="n">
        <v>173.58</v>
      </c>
      <c r="I96" s="28" t="n">
        <v>0</v>
      </c>
      <c r="J96" s="94" t="inlineStr">
        <is>
          <t>False</t>
        </is>
      </c>
      <c r="K96" s="28" t="n">
        <v>0</v>
      </c>
      <c r="L96" s="25" t="inlineStr">
        <is>
          <t>TEQUILA</t>
        </is>
      </c>
      <c r="M96" s="25" t="inlineStr">
        <is>
          <t>PERNOD RICARD USA LLC</t>
        </is>
      </c>
      <c r="N96" s="25" t="inlineStr">
        <is>
          <t>040010-SOUTHERN GLAZERS WINE AND SPIRITS OF MISSISSIPPI LLC</t>
        </is>
      </c>
      <c r="O96" s="25" t="n"/>
      <c r="P96" s="25" t="inlineStr">
        <is>
          <t>10736040019968</t>
        </is>
      </c>
      <c r="Q96" s="25" t="inlineStr">
        <is>
          <t>0736040521884</t>
        </is>
      </c>
      <c r="R96" s="78" t="n">
        <v>42758</v>
      </c>
    </row>
    <row r="97">
      <c r="A97" t="inlineStr">
        <is>
          <t>or item code =</t>
        </is>
      </c>
      <c r="B97" s="25" t="inlineStr">
        <is>
          <t>100397</t>
        </is>
      </c>
      <c r="C97" s="25" t="inlineStr">
        <is>
          <t>AVION SILVER TEQUILA W/TIN</t>
        </is>
      </c>
      <c r="D97" s="25" t="inlineStr">
        <is>
          <t>750ml</t>
        </is>
      </c>
      <c r="E97" s="27" t="n">
        <v>1</v>
      </c>
      <c r="F97" s="27" t="n">
        <v>14</v>
      </c>
      <c r="G97" s="27" t="n">
        <v>6</v>
      </c>
      <c r="H97" s="28" t="n">
        <v>212.49</v>
      </c>
      <c r="I97" s="28" t="n">
        <v>0</v>
      </c>
      <c r="J97" s="94" t="inlineStr">
        <is>
          <t>False</t>
        </is>
      </c>
      <c r="K97" s="28" t="n">
        <v>0</v>
      </c>
      <c r="L97" s="25" t="inlineStr">
        <is>
          <t>TEQUILA</t>
        </is>
      </c>
      <c r="M97" s="25" t="inlineStr">
        <is>
          <t>PERNOD RICARD USA LLC</t>
        </is>
      </c>
      <c r="N97" s="25" t="inlineStr">
        <is>
          <t>040010-SOUTHERN GLAZERS WINE AND SPIRITS OF MISSISSIPPI LLC</t>
        </is>
      </c>
      <c r="O97" s="25" t="n"/>
      <c r="P97" s="25" t="inlineStr">
        <is>
          <t>10080432112875</t>
        </is>
      </c>
      <c r="Q97" s="25" t="inlineStr">
        <is>
          <t>736040519348</t>
        </is>
      </c>
      <c r="R97" s="78" t="n">
        <v>44256</v>
      </c>
    </row>
    <row r="98">
      <c r="A98" t="inlineStr">
        <is>
          <t>or item code =</t>
        </is>
      </c>
      <c r="B98" s="25" t="inlineStr">
        <is>
          <t>43051</t>
        </is>
      </c>
      <c r="C98" s="25" t="inlineStr">
        <is>
          <t>BACARDI DRAGON BERRY FLAVORED RUM</t>
        </is>
      </c>
      <c r="D98" s="25" t="inlineStr">
        <is>
          <t>750ml</t>
        </is>
      </c>
      <c r="E98" s="27" t="n">
        <v>0</v>
      </c>
      <c r="F98" s="27" t="n">
        <v>34</v>
      </c>
      <c r="G98" s="27" t="n">
        <v>12</v>
      </c>
      <c r="H98" s="28" t="n">
        <v>127.85</v>
      </c>
      <c r="I98" s="28" t="n">
        <v>0</v>
      </c>
      <c r="J98" s="94" t="inlineStr">
        <is>
          <t>False</t>
        </is>
      </c>
      <c r="K98" s="28" t="n">
        <v>0</v>
      </c>
      <c r="L98" s="25" t="inlineStr">
        <is>
          <t>RUM</t>
        </is>
      </c>
      <c r="M98" s="25" t="inlineStr">
        <is>
          <t>BACARDI USA INC</t>
        </is>
      </c>
      <c r="N98" s="25" t="inlineStr">
        <is>
          <t>040010-SOUTHERN GLAZERS WINE AND SPIRITS OF MISSISSIPPI LLC</t>
        </is>
      </c>
      <c r="O98" s="25" t="n"/>
      <c r="P98" s="25" t="inlineStr">
        <is>
          <t>10080480000278</t>
        </is>
      </c>
      <c r="Q98" s="25" t="inlineStr">
        <is>
          <t>0080480000271</t>
        </is>
      </c>
      <c r="R98" s="78" t="n">
        <v>42370</v>
      </c>
    </row>
    <row r="99">
      <c r="A99" t="inlineStr">
        <is>
          <t>or item code =</t>
        </is>
      </c>
      <c r="B99" s="25" t="inlineStr">
        <is>
          <t>43038</t>
        </is>
      </c>
      <c r="C99" s="25" t="inlineStr">
        <is>
          <t>BACARDI GOLD DARK RUM</t>
        </is>
      </c>
      <c r="D99" s="25" t="inlineStr">
        <is>
          <t>1.75L</t>
        </is>
      </c>
      <c r="E99" s="27" t="n">
        <v>221</v>
      </c>
      <c r="F99" s="27" t="n">
        <v>25</v>
      </c>
      <c r="G99" s="27" t="n">
        <v>6</v>
      </c>
      <c r="H99" s="28" t="n">
        <v>114.05</v>
      </c>
      <c r="I99" s="28" t="n">
        <v>0</v>
      </c>
      <c r="J99" s="94" t="inlineStr">
        <is>
          <t>False</t>
        </is>
      </c>
      <c r="K99" s="28" t="n">
        <v>0</v>
      </c>
      <c r="L99" s="25" t="inlineStr">
        <is>
          <t>RUM</t>
        </is>
      </c>
      <c r="M99" s="25" t="inlineStr">
        <is>
          <t>BACARDI USA INC</t>
        </is>
      </c>
      <c r="N99" s="25" t="inlineStr">
        <is>
          <t>040010-SOUTHERN GLAZERS WINE AND SPIRITS OF MISSISSIPPI LLC</t>
        </is>
      </c>
      <c r="O99" s="25" t="n"/>
      <c r="P99" s="25" t="inlineStr">
        <is>
          <t>10080480025202</t>
        </is>
      </c>
      <c r="Q99" s="25" t="inlineStr">
        <is>
          <t>0080480025205</t>
        </is>
      </c>
      <c r="R99" s="78" t="n">
        <v>42370</v>
      </c>
    </row>
    <row r="100">
      <c r="A100" t="inlineStr">
        <is>
          <t>or item code =</t>
        </is>
      </c>
      <c r="B100" s="25" t="inlineStr">
        <is>
          <t>43034</t>
        </is>
      </c>
      <c r="C100" s="25" t="inlineStr">
        <is>
          <t>BACARDI GOLD DARK RUM</t>
        </is>
      </c>
      <c r="D100" s="25" t="inlineStr">
        <is>
          <t>375ml</t>
        </is>
      </c>
      <c r="E100" s="27" t="n">
        <v>0</v>
      </c>
      <c r="F100" s="27" t="n">
        <v>142</v>
      </c>
      <c r="G100" s="27" t="n">
        <v>24</v>
      </c>
      <c r="H100" s="28" t="n">
        <v>100.06</v>
      </c>
      <c r="I100" s="28" t="n">
        <v>0</v>
      </c>
      <c r="J100" s="94" t="inlineStr">
        <is>
          <t>False</t>
        </is>
      </c>
      <c r="K100" s="28" t="n">
        <v>0</v>
      </c>
      <c r="L100" s="25" t="inlineStr">
        <is>
          <t>RUM</t>
        </is>
      </c>
      <c r="M100" s="25" t="inlineStr">
        <is>
          <t>BACARDI USA INC</t>
        </is>
      </c>
      <c r="N100" s="25" t="inlineStr">
        <is>
          <t>040010-SOUTHERN GLAZERS WINE AND SPIRITS OF MISSISSIPPI LLC</t>
        </is>
      </c>
      <c r="O100" s="25" t="n"/>
      <c r="P100" s="25" t="inlineStr">
        <is>
          <t>10080480025608</t>
        </is>
      </c>
      <c r="Q100" s="25" t="inlineStr">
        <is>
          <t>0080480025601</t>
        </is>
      </c>
      <c r="R100" s="78" t="n">
        <v>42370</v>
      </c>
    </row>
    <row r="101">
      <c r="A101" t="inlineStr">
        <is>
          <t>or item code =</t>
        </is>
      </c>
      <c r="B101" s="25" t="inlineStr">
        <is>
          <t>43036</t>
        </is>
      </c>
      <c r="C101" s="25" t="inlineStr">
        <is>
          <t>BACARDI GOLD DARK RUM</t>
        </is>
      </c>
      <c r="D101" s="25" t="inlineStr">
        <is>
          <t>750ml</t>
        </is>
      </c>
      <c r="E101" s="27" t="n">
        <v>5</v>
      </c>
      <c r="F101" s="27" t="n">
        <v>77</v>
      </c>
      <c r="G101" s="27" t="n">
        <v>12</v>
      </c>
      <c r="H101" s="28" t="n">
        <v>127.85</v>
      </c>
      <c r="I101" s="28" t="n">
        <v>0</v>
      </c>
      <c r="J101" s="94" t="inlineStr">
        <is>
          <t>False</t>
        </is>
      </c>
      <c r="K101" s="28" t="n">
        <v>0</v>
      </c>
      <c r="L101" s="25" t="inlineStr">
        <is>
          <t>RUM</t>
        </is>
      </c>
      <c r="M101" s="25" t="inlineStr">
        <is>
          <t>BACARDI USA INC</t>
        </is>
      </c>
      <c r="N101" s="25" t="inlineStr">
        <is>
          <t>040010-SOUTHERN GLAZERS WINE AND SPIRITS OF MISSISSIPPI LLC</t>
        </is>
      </c>
      <c r="O101" s="25" t="n"/>
      <c r="P101" s="25" t="inlineStr">
        <is>
          <t>10080480025400</t>
        </is>
      </c>
      <c r="Q101" s="25" t="inlineStr">
        <is>
          <t>0080480025403</t>
        </is>
      </c>
      <c r="R101" s="78" t="n">
        <v>42370</v>
      </c>
    </row>
    <row r="102">
      <c r="A102" t="inlineStr">
        <is>
          <t>or item code =</t>
        </is>
      </c>
      <c r="B102" s="25" t="inlineStr">
        <is>
          <t>43040</t>
        </is>
      </c>
      <c r="C102" s="25" t="inlineStr">
        <is>
          <t>BACARDI GOLD DARK RUM (PET)</t>
        </is>
      </c>
      <c r="D102" s="25" t="inlineStr">
        <is>
          <t>1.75L</t>
        </is>
      </c>
      <c r="E102" s="27" t="n">
        <v>209</v>
      </c>
      <c r="F102" s="27" t="n">
        <v>32</v>
      </c>
      <c r="G102" s="27" t="n">
        <v>6</v>
      </c>
      <c r="H102" s="28" t="n">
        <v>114.05</v>
      </c>
      <c r="I102" s="28" t="n">
        <v>0</v>
      </c>
      <c r="J102" s="94" t="inlineStr">
        <is>
          <t>False</t>
        </is>
      </c>
      <c r="K102" s="28" t="n">
        <v>0</v>
      </c>
      <c r="L102" s="25" t="inlineStr">
        <is>
          <t>RUM</t>
        </is>
      </c>
      <c r="M102" s="25" t="inlineStr">
        <is>
          <t>BACARDI USA INC</t>
        </is>
      </c>
      <c r="N102" s="25" t="inlineStr">
        <is>
          <t>040010-SOUTHERN GLAZERS WINE AND SPIRITS OF MISSISSIPPI LLC</t>
        </is>
      </c>
      <c r="O102" s="25" t="n"/>
      <c r="P102" s="25" t="inlineStr">
        <is>
          <t>10080480025325</t>
        </is>
      </c>
      <c r="Q102" s="25" t="inlineStr">
        <is>
          <t>080480025328</t>
        </is>
      </c>
      <c r="R102" s="78" t="n">
        <v>42370</v>
      </c>
    </row>
    <row r="103">
      <c r="A103" t="inlineStr">
        <is>
          <t>or item code =</t>
        </is>
      </c>
      <c r="B103" s="25" t="inlineStr">
        <is>
          <t>43121</t>
        </is>
      </c>
      <c r="C103" s="25" t="inlineStr">
        <is>
          <t>BACARDI LIGHT RUM</t>
        </is>
      </c>
      <c r="D103" s="25" t="inlineStr">
        <is>
          <t>50ml</t>
        </is>
      </c>
      <c r="E103" s="27" t="n">
        <v>0</v>
      </c>
      <c r="F103" s="27" t="n">
        <v>0</v>
      </c>
      <c r="G103" s="27" t="n">
        <v>120</v>
      </c>
      <c r="H103" s="28" t="n">
        <v>117.83</v>
      </c>
      <c r="I103" s="28" t="n">
        <v>0</v>
      </c>
      <c r="J103" s="94" t="inlineStr">
        <is>
          <t>False</t>
        </is>
      </c>
      <c r="K103" s="28" t="n">
        <v>0</v>
      </c>
      <c r="L103" s="25" t="inlineStr">
        <is>
          <t>RUM</t>
        </is>
      </c>
      <c r="M103" s="25" t="inlineStr">
        <is>
          <t>BACARDI USA INC</t>
        </is>
      </c>
      <c r="N103" s="25" t="inlineStr">
        <is>
          <t>040010-SOUTHERN GLAZERS WINE AND SPIRITS OF MISSISSIPPI LLC</t>
        </is>
      </c>
      <c r="O103" s="25" t="n"/>
      <c r="P103" s="25" t="inlineStr">
        <is>
          <t>10080480016217</t>
        </is>
      </c>
      <c r="Q103" s="25" t="inlineStr">
        <is>
          <t>0080480016210</t>
        </is>
      </c>
      <c r="R103" s="78" t="n">
        <v>42370</v>
      </c>
    </row>
    <row r="104">
      <c r="A104" t="inlineStr">
        <is>
          <t>or item code =</t>
        </is>
      </c>
      <c r="B104" s="25" t="inlineStr">
        <is>
          <t>43124</t>
        </is>
      </c>
      <c r="C104" s="25" t="inlineStr">
        <is>
          <t>BACARDI LIGHT RUM</t>
        </is>
      </c>
      <c r="D104" s="25" t="inlineStr">
        <is>
          <t>375ml</t>
        </is>
      </c>
      <c r="E104" s="27" t="n">
        <v>0</v>
      </c>
      <c r="F104" s="27" t="n">
        <v>137</v>
      </c>
      <c r="G104" s="27" t="n">
        <v>24</v>
      </c>
      <c r="H104" s="28" t="n">
        <v>100.06</v>
      </c>
      <c r="I104" s="28" t="n">
        <v>0</v>
      </c>
      <c r="J104" s="94" t="inlineStr">
        <is>
          <t>False</t>
        </is>
      </c>
      <c r="K104" s="28" t="n">
        <v>0</v>
      </c>
      <c r="L104" s="25" t="inlineStr">
        <is>
          <t>RUM</t>
        </is>
      </c>
      <c r="M104" s="25" t="inlineStr">
        <is>
          <t>BACARDI USA INC</t>
        </is>
      </c>
      <c r="N104" s="25" t="inlineStr">
        <is>
          <t>040010-SOUTHERN GLAZERS WINE AND SPIRITS OF MISSISSIPPI LLC</t>
        </is>
      </c>
      <c r="O104" s="25" t="n"/>
      <c r="P104" s="25" t="inlineStr">
        <is>
          <t>10080480015609</t>
        </is>
      </c>
      <c r="Q104" s="25" t="inlineStr">
        <is>
          <t>0080480015602</t>
        </is>
      </c>
      <c r="R104" s="78" t="n">
        <v>42370</v>
      </c>
    </row>
    <row r="105">
      <c r="A105" t="inlineStr">
        <is>
          <t>or item code =</t>
        </is>
      </c>
      <c r="B105" s="25" t="inlineStr">
        <is>
          <t>43128</t>
        </is>
      </c>
      <c r="C105" s="25" t="inlineStr">
        <is>
          <t>BACARDI LIGHT RUM</t>
        </is>
      </c>
      <c r="D105" s="25" t="inlineStr">
        <is>
          <t>1.75L</t>
        </is>
      </c>
      <c r="E105" s="27" t="n">
        <v>329</v>
      </c>
      <c r="F105" s="27" t="n">
        <v>139</v>
      </c>
      <c r="G105" s="27" t="n">
        <v>6</v>
      </c>
      <c r="H105" s="28" t="n">
        <v>114.05</v>
      </c>
      <c r="I105" s="28" t="n">
        <v>0</v>
      </c>
      <c r="J105" s="94" t="inlineStr">
        <is>
          <t>False</t>
        </is>
      </c>
      <c r="K105" s="28" t="n">
        <v>0</v>
      </c>
      <c r="L105" s="25" t="inlineStr">
        <is>
          <t>RUM</t>
        </is>
      </c>
      <c r="M105" s="25" t="inlineStr">
        <is>
          <t>BACARDI USA INC</t>
        </is>
      </c>
      <c r="N105" s="25" t="inlineStr">
        <is>
          <t>040010-SOUTHERN GLAZERS WINE AND SPIRITS OF MISSISSIPPI LLC</t>
        </is>
      </c>
      <c r="O105" s="25" t="n"/>
      <c r="P105" s="25" t="inlineStr">
        <is>
          <t>10080480015203</t>
        </is>
      </c>
      <c r="Q105" s="25" t="inlineStr">
        <is>
          <t>0080480015206</t>
        </is>
      </c>
      <c r="R105" s="78" t="n">
        <v>42370</v>
      </c>
    </row>
    <row r="106">
      <c r="A106" t="inlineStr">
        <is>
          <t>or item code =</t>
        </is>
      </c>
      <c r="B106" s="25" t="inlineStr">
        <is>
          <t>43126</t>
        </is>
      </c>
      <c r="C106" s="25" t="inlineStr">
        <is>
          <t>BACARDI LIGHT RUM</t>
        </is>
      </c>
      <c r="D106" s="25" t="inlineStr">
        <is>
          <t>750ml</t>
        </is>
      </c>
      <c r="E106" s="27" t="n">
        <v>102</v>
      </c>
      <c r="F106" s="27" t="n">
        <v>203</v>
      </c>
      <c r="G106" s="27" t="n">
        <v>12</v>
      </c>
      <c r="H106" s="28" t="n">
        <v>127.85</v>
      </c>
      <c r="I106" s="28" t="n">
        <v>0</v>
      </c>
      <c r="J106" s="94" t="inlineStr">
        <is>
          <t>False</t>
        </is>
      </c>
      <c r="K106" s="28" t="n">
        <v>0</v>
      </c>
      <c r="L106" s="25" t="inlineStr">
        <is>
          <t>RUM</t>
        </is>
      </c>
      <c r="M106" s="25" t="inlineStr">
        <is>
          <t>BACARDI USA INC</t>
        </is>
      </c>
      <c r="N106" s="25" t="inlineStr">
        <is>
          <t>040010-SOUTHERN GLAZERS WINE AND SPIRITS OF MISSISSIPPI LLC</t>
        </is>
      </c>
      <c r="O106" s="25" t="n"/>
      <c r="P106" s="25" t="inlineStr">
        <is>
          <t>10080480015401</t>
        </is>
      </c>
      <c r="Q106" s="25" t="inlineStr">
        <is>
          <t>0080480015404</t>
        </is>
      </c>
      <c r="R106" s="78" t="n">
        <v>42370</v>
      </c>
    </row>
    <row r="107">
      <c r="A107" t="inlineStr">
        <is>
          <t>or item code =</t>
        </is>
      </c>
      <c r="B107" s="25" t="inlineStr">
        <is>
          <t>43120</t>
        </is>
      </c>
      <c r="C107" s="25" t="inlineStr">
        <is>
          <t>BACARDI LIGHT RUM (PET)</t>
        </is>
      </c>
      <c r="D107" s="25" t="inlineStr">
        <is>
          <t>1.75L</t>
        </is>
      </c>
      <c r="E107" s="27" t="n">
        <v>557</v>
      </c>
      <c r="F107" s="27" t="n">
        <v>146</v>
      </c>
      <c r="G107" s="27" t="n">
        <v>6</v>
      </c>
      <c r="H107" s="28" t="n">
        <v>114.05</v>
      </c>
      <c r="I107" s="28" t="n">
        <v>0</v>
      </c>
      <c r="J107" s="94" t="inlineStr">
        <is>
          <t>False</t>
        </is>
      </c>
      <c r="K107" s="28" t="n">
        <v>0</v>
      </c>
      <c r="L107" s="25" t="inlineStr">
        <is>
          <t>RUM</t>
        </is>
      </c>
      <c r="M107" s="25" t="inlineStr">
        <is>
          <t>BACARDI USA INC</t>
        </is>
      </c>
      <c r="N107" s="25" t="inlineStr">
        <is>
          <t>040010-SOUTHERN GLAZERS WINE AND SPIRITS OF MISSISSIPPI LLC</t>
        </is>
      </c>
      <c r="O107" s="25" t="n"/>
      <c r="P107" s="25" t="inlineStr">
        <is>
          <t>10080480015326</t>
        </is>
      </c>
      <c r="Q107" s="25" t="inlineStr">
        <is>
          <t>0080480015329</t>
        </is>
      </c>
      <c r="R107" s="78" t="n">
        <v>42370</v>
      </c>
    </row>
    <row r="108">
      <c r="A108" t="inlineStr">
        <is>
          <t>or item code =</t>
        </is>
      </c>
      <c r="B108" s="25" t="inlineStr">
        <is>
          <t>43747</t>
        </is>
      </c>
      <c r="C108" s="25" t="inlineStr">
        <is>
          <t>BACARDI LIME FLAVORED RUM</t>
        </is>
      </c>
      <c r="D108" s="25" t="inlineStr">
        <is>
          <t>750ml</t>
        </is>
      </c>
      <c r="E108" s="27" t="n">
        <v>14</v>
      </c>
      <c r="F108" s="27" t="n">
        <v>14</v>
      </c>
      <c r="G108" s="27" t="n">
        <v>12</v>
      </c>
      <c r="H108" s="28" t="n">
        <v>127.85</v>
      </c>
      <c r="I108" s="28" t="n">
        <v>0</v>
      </c>
      <c r="J108" s="94" t="inlineStr">
        <is>
          <t>False</t>
        </is>
      </c>
      <c r="K108" s="28" t="n">
        <v>0</v>
      </c>
      <c r="L108" s="25" t="inlineStr">
        <is>
          <t>RUM</t>
        </is>
      </c>
      <c r="M108" s="25" t="inlineStr">
        <is>
          <t>BACARDI USA INC</t>
        </is>
      </c>
      <c r="N108" s="25" t="inlineStr">
        <is>
          <t>040010-SOUTHERN GLAZERS WINE AND SPIRITS OF MISSISSIPPI LLC</t>
        </is>
      </c>
      <c r="O108" s="25" t="n"/>
      <c r="P108" s="25" t="inlineStr">
        <is>
          <t>10080480984271</t>
        </is>
      </c>
      <c r="Q108" s="25" t="inlineStr">
        <is>
          <t>0080480984274</t>
        </is>
      </c>
      <c r="R108" s="78" t="n">
        <v>43593</v>
      </c>
    </row>
    <row r="109">
      <c r="A109" t="inlineStr">
        <is>
          <t>or item code =</t>
        </is>
      </c>
      <c r="B109" s="25" t="inlineStr">
        <is>
          <t>43136</t>
        </is>
      </c>
      <c r="C109" s="25" t="inlineStr">
        <is>
          <t>BACARDI LIMON RUM SPECIALTY</t>
        </is>
      </c>
      <c r="D109" s="25" t="inlineStr">
        <is>
          <t>750ml</t>
        </is>
      </c>
      <c r="E109" s="27" t="n">
        <v>1</v>
      </c>
      <c r="F109" s="27" t="n">
        <v>16</v>
      </c>
      <c r="G109" s="27" t="n">
        <v>12</v>
      </c>
      <c r="H109" s="28" t="n">
        <v>127.85</v>
      </c>
      <c r="I109" s="28" t="n">
        <v>0</v>
      </c>
      <c r="J109" s="94" t="inlineStr">
        <is>
          <t>False</t>
        </is>
      </c>
      <c r="K109" s="28" t="n">
        <v>0</v>
      </c>
      <c r="L109" s="25" t="inlineStr">
        <is>
          <t>RUM</t>
        </is>
      </c>
      <c r="M109" s="25" t="inlineStr">
        <is>
          <t>BACARDI USA INC</t>
        </is>
      </c>
      <c r="N109" s="25" t="inlineStr">
        <is>
          <t>040010-SOUTHERN GLAZERS WINE AND SPIRITS OF MISSISSIPPI LLC</t>
        </is>
      </c>
      <c r="O109" s="25" t="n"/>
      <c r="P109" s="25" t="inlineStr">
        <is>
          <t>10080480355408</t>
        </is>
      </c>
      <c r="Q109" s="25" t="inlineStr">
        <is>
          <t>0080480355401</t>
        </is>
      </c>
      <c r="R109" s="78" t="n">
        <v>42370</v>
      </c>
    </row>
    <row r="110">
      <c r="A110" t="inlineStr">
        <is>
          <t>or item code =</t>
        </is>
      </c>
      <c r="B110" s="25" t="inlineStr">
        <is>
          <t>43095</t>
        </is>
      </c>
      <c r="C110" s="25" t="inlineStr">
        <is>
          <t>BACARDI MANGO FUSION FLAVORED RUM</t>
        </is>
      </c>
      <c r="D110" s="25" t="inlineStr">
        <is>
          <t>750ml</t>
        </is>
      </c>
      <c r="E110" s="27" t="n">
        <v>1</v>
      </c>
      <c r="F110" s="27" t="n">
        <v>4</v>
      </c>
      <c r="G110" s="27" t="n">
        <v>12</v>
      </c>
      <c r="H110" s="28" t="n">
        <v>127.85</v>
      </c>
      <c r="I110" s="28" t="n">
        <v>0</v>
      </c>
      <c r="J110" s="94" t="inlineStr">
        <is>
          <t>False</t>
        </is>
      </c>
      <c r="K110" s="28" t="n">
        <v>0</v>
      </c>
      <c r="L110" s="25" t="inlineStr">
        <is>
          <t>RUM</t>
        </is>
      </c>
      <c r="M110" s="25" t="inlineStr">
        <is>
          <t>BACARDI USA INC</t>
        </is>
      </c>
      <c r="N110" s="25" t="inlineStr">
        <is>
          <t>040010-SOUTHERN GLAZERS WINE AND SPIRITS OF MISSISSIPPI LLC</t>
        </is>
      </c>
      <c r="O110" s="25" t="n"/>
      <c r="P110" s="25" t="inlineStr">
        <is>
          <t>10080480004832</t>
        </is>
      </c>
      <c r="Q110" s="25" t="inlineStr">
        <is>
          <t>0080480004835</t>
        </is>
      </c>
      <c r="R110" s="78" t="n">
        <v>42370</v>
      </c>
    </row>
    <row r="111">
      <c r="A111" t="inlineStr">
        <is>
          <t>or item code =</t>
        </is>
      </c>
      <c r="B111" s="25" t="inlineStr">
        <is>
          <t>43145</t>
        </is>
      </c>
      <c r="C111" s="25" t="inlineStr">
        <is>
          <t>BACARDI PINEAPPLE FUSION FLAVORED RUM</t>
        </is>
      </c>
      <c r="D111" s="25" t="inlineStr">
        <is>
          <t>750ml</t>
        </is>
      </c>
      <c r="E111" s="27" t="n">
        <v>0</v>
      </c>
      <c r="F111" s="27" t="n">
        <v>34</v>
      </c>
      <c r="G111" s="27" t="n">
        <v>12</v>
      </c>
      <c r="H111" s="28" t="n">
        <v>127.85</v>
      </c>
      <c r="I111" s="28" t="n">
        <v>0</v>
      </c>
      <c r="J111" s="94" t="inlineStr">
        <is>
          <t>False</t>
        </is>
      </c>
      <c r="K111" s="28" t="n">
        <v>0</v>
      </c>
      <c r="L111" s="25" t="inlineStr">
        <is>
          <t>RUM</t>
        </is>
      </c>
      <c r="M111" s="25" t="inlineStr">
        <is>
          <t>BACARDI USA INC</t>
        </is>
      </c>
      <c r="N111" s="25" t="inlineStr">
        <is>
          <t>040010-SOUTHERN GLAZERS WINE AND SPIRITS OF MISSISSIPPI LLC</t>
        </is>
      </c>
      <c r="O111" s="25" t="n"/>
      <c r="P111" s="25" t="inlineStr">
        <is>
          <t>10080480003835</t>
        </is>
      </c>
      <c r="Q111" s="25" t="inlineStr">
        <is>
          <t>0080480003838</t>
        </is>
      </c>
      <c r="R111" s="78" t="n">
        <v>42370</v>
      </c>
    </row>
    <row r="112">
      <c r="A112" t="inlineStr">
        <is>
          <t>or item code =</t>
        </is>
      </c>
      <c r="B112" s="25" t="inlineStr">
        <is>
          <t>68036</t>
        </is>
      </c>
      <c r="C112" s="25" t="inlineStr">
        <is>
          <t>BAILEYS ORIGINAL IRISH CREAM LIQUEUR</t>
        </is>
      </c>
      <c r="D112" s="25" t="inlineStr">
        <is>
          <t>750ml</t>
        </is>
      </c>
      <c r="E112" s="27" t="n">
        <v>1</v>
      </c>
      <c r="F112" s="27" t="n">
        <v>61</v>
      </c>
      <c r="G112" s="27" t="n">
        <v>12</v>
      </c>
      <c r="H112" s="28" t="n">
        <v>280.36</v>
      </c>
      <c r="I112" s="28" t="n">
        <v>0</v>
      </c>
      <c r="J112" s="94" t="inlineStr">
        <is>
          <t>False</t>
        </is>
      </c>
      <c r="K112" s="28" t="n">
        <v>0</v>
      </c>
      <c r="L112" s="25" t="inlineStr">
        <is>
          <t>LIQUEURS AND CORDIALS</t>
        </is>
      </c>
      <c r="M112" s="25" t="inlineStr">
        <is>
          <t>DIAGEO AMERICAS INC</t>
        </is>
      </c>
      <c r="N112" s="25" t="inlineStr">
        <is>
          <t>040010-SOUTHERN GLAZERS WINE AND SPIRITS OF MISSISSIPPI LLC</t>
        </is>
      </c>
      <c r="O112" s="25" t="n"/>
      <c r="P112" s="25" t="inlineStr">
        <is>
          <t>00086767704054</t>
        </is>
      </c>
      <c r="Q112" s="25" t="inlineStr">
        <is>
          <t>0086767210067</t>
        </is>
      </c>
      <c r="R112" s="78" t="n">
        <v>42279</v>
      </c>
    </row>
    <row r="113">
      <c r="A113" t="inlineStr">
        <is>
          <t>or item code =</t>
        </is>
      </c>
      <c r="B113" s="25" t="inlineStr">
        <is>
          <t>68034</t>
        </is>
      </c>
      <c r="C113" s="25" t="inlineStr">
        <is>
          <t>BAILEYS ORIGINAL IRISH CREAM LIQUEUR</t>
        </is>
      </c>
      <c r="D113" s="25" t="inlineStr">
        <is>
          <t>375ml</t>
        </is>
      </c>
      <c r="E113" s="27" t="n">
        <v>0</v>
      </c>
      <c r="F113" s="27" t="n">
        <v>91</v>
      </c>
      <c r="G113" s="27" t="n">
        <v>12</v>
      </c>
      <c r="H113" s="28" t="n">
        <v>168.59</v>
      </c>
      <c r="I113" s="28" t="n">
        <v>0</v>
      </c>
      <c r="J113" s="94" t="inlineStr">
        <is>
          <t>False</t>
        </is>
      </c>
      <c r="K113" s="28" t="n">
        <v>0</v>
      </c>
      <c r="L113" s="25" t="inlineStr">
        <is>
          <t>LIQUEURS AND CORDIALS</t>
        </is>
      </c>
      <c r="M113" s="25" t="inlineStr">
        <is>
          <t>DIAGEO AMERICAS INC</t>
        </is>
      </c>
      <c r="N113" s="25" t="inlineStr">
        <is>
          <t>040010-SOUTHERN GLAZERS WINE AND SPIRITS OF MISSISSIPPI LLC</t>
        </is>
      </c>
      <c r="O113" s="25" t="n"/>
      <c r="P113" s="25" t="inlineStr">
        <is>
          <t>00086767704047</t>
        </is>
      </c>
      <c r="Q113" s="25" t="inlineStr">
        <is>
          <t>0086767210098</t>
        </is>
      </c>
      <c r="R113" s="78" t="n">
        <v>42370</v>
      </c>
    </row>
    <row r="114">
      <c r="A114" t="inlineStr">
        <is>
          <t>or item code =</t>
        </is>
      </c>
      <c r="B114" s="25" t="inlineStr">
        <is>
          <t>68022</t>
        </is>
      </c>
      <c r="C114" s="25" t="inlineStr">
        <is>
          <t>BAILEYS SALTED CARAMEL IRISH CREAM</t>
        </is>
      </c>
      <c r="D114" s="25" t="inlineStr">
        <is>
          <t>750ml</t>
        </is>
      </c>
      <c r="E114" s="27" t="n">
        <v>84</v>
      </c>
      <c r="F114" s="27" t="n">
        <v>31</v>
      </c>
      <c r="G114" s="27" t="n">
        <v>12</v>
      </c>
      <c r="H114" s="28" t="n">
        <v>280.36</v>
      </c>
      <c r="I114" s="28" t="n">
        <v>0</v>
      </c>
      <c r="J114" s="94" t="inlineStr">
        <is>
          <t>False</t>
        </is>
      </c>
      <c r="K114" s="28" t="n">
        <v>0</v>
      </c>
      <c r="L114" s="25" t="inlineStr">
        <is>
          <t>LIQUEURS AND CORDIALS</t>
        </is>
      </c>
      <c r="M114" s="25" t="inlineStr">
        <is>
          <t>DIAGEO AMERICAS INC</t>
        </is>
      </c>
      <c r="N114" s="25" t="inlineStr">
        <is>
          <t>040010-SOUTHERN GLAZERS WINE AND SPIRITS OF MISSISSIPPI LLC</t>
        </is>
      </c>
      <c r="O114" s="25" t="n"/>
      <c r="P114" s="25" t="inlineStr">
        <is>
          <t>00086767704498</t>
        </is>
      </c>
      <c r="Q114" s="25" t="inlineStr">
        <is>
          <t>0086767701763</t>
        </is>
      </c>
      <c r="R114" s="78" t="n">
        <v>42370</v>
      </c>
    </row>
    <row r="115">
      <c r="A115" t="inlineStr">
        <is>
          <t>or item code =</t>
        </is>
      </c>
      <c r="B115" s="25" t="inlineStr">
        <is>
          <t>768955</t>
        </is>
      </c>
      <c r="C115" s="25" t="inlineStr">
        <is>
          <t>BALLATORE MOSCATO ROSE SPARKLING</t>
        </is>
      </c>
      <c r="D115" s="25" t="inlineStr">
        <is>
          <t>750ml</t>
        </is>
      </c>
      <c r="E115" s="27" t="n">
        <v>34</v>
      </c>
      <c r="F115" s="27" t="n">
        <v>34</v>
      </c>
      <c r="G115" s="27" t="n">
        <v>12</v>
      </c>
      <c r="H115" s="28" t="n">
        <v>81.34999999999999</v>
      </c>
      <c r="I115" s="28" t="n">
        <v>0</v>
      </c>
      <c r="J115" s="94" t="inlineStr">
        <is>
          <t>False</t>
        </is>
      </c>
      <c r="K115" s="28" t="n">
        <v>0</v>
      </c>
      <c r="L115" s="25" t="inlineStr">
        <is>
          <t>SPRKLNG, CHMPGNE, ETC.</t>
        </is>
      </c>
      <c r="M115" s="25" t="inlineStr">
        <is>
          <t>E &amp; J GALLO WINERY</t>
        </is>
      </c>
      <c r="N115" s="25" t="inlineStr">
        <is>
          <t>040012-GALLO WINES OF MISSISSIPPI</t>
        </is>
      </c>
      <c r="O115" s="25" t="n"/>
      <c r="P115" s="25" t="inlineStr">
        <is>
          <t>40085000011377</t>
        </is>
      </c>
      <c r="Q115" s="25" t="inlineStr">
        <is>
          <t>0085000011379</t>
        </is>
      </c>
      <c r="R115" s="78" t="n">
        <v>42370</v>
      </c>
    </row>
    <row r="116">
      <c r="A116" t="inlineStr">
        <is>
          <t>or item code =</t>
        </is>
      </c>
      <c r="B116" s="25" t="inlineStr">
        <is>
          <t>768950</t>
        </is>
      </c>
      <c r="C116" s="25" t="inlineStr">
        <is>
          <t>BALLATORE SPUMANTE</t>
        </is>
      </c>
      <c r="D116" s="25" t="inlineStr">
        <is>
          <t>750ml</t>
        </is>
      </c>
      <c r="E116" s="27" t="n">
        <v>41</v>
      </c>
      <c r="F116" s="27" t="n">
        <v>89</v>
      </c>
      <c r="G116" s="27" t="n">
        <v>12</v>
      </c>
      <c r="H116" s="28" t="n">
        <v>81.34999999999999</v>
      </c>
      <c r="I116" s="28" t="n">
        <v>0</v>
      </c>
      <c r="J116" s="94" t="inlineStr">
        <is>
          <t>False</t>
        </is>
      </c>
      <c r="K116" s="28" t="n">
        <v>0</v>
      </c>
      <c r="L116" s="25" t="inlineStr">
        <is>
          <t>SPRKLNG, CHMPGNE, ETC.</t>
        </is>
      </c>
      <c r="M116" s="25" t="inlineStr">
        <is>
          <t>E &amp; J GALLO WINERY</t>
        </is>
      </c>
      <c r="N116" s="25" t="inlineStr">
        <is>
          <t>040012-GALLO WINES OF MISSISSIPPI</t>
        </is>
      </c>
      <c r="O116" s="25" t="n"/>
      <c r="P116" s="25" t="inlineStr">
        <is>
          <t>03008500000757</t>
        </is>
      </c>
      <c r="Q116" s="25" t="inlineStr">
        <is>
          <t>0085000007570</t>
        </is>
      </c>
      <c r="R116" s="78" t="n">
        <v>42370</v>
      </c>
    </row>
    <row r="117">
      <c r="A117" t="inlineStr">
        <is>
          <t>or item code =</t>
        </is>
      </c>
      <c r="B117" s="25" t="inlineStr">
        <is>
          <t>735551</t>
        </is>
      </c>
      <c r="C117" s="25" t="inlineStr">
        <is>
          <t>BANFI ROSA REGALE BRACHETTO D'ACQUI</t>
        </is>
      </c>
      <c r="D117" s="25" t="inlineStr">
        <is>
          <t>750ml</t>
        </is>
      </c>
      <c r="E117" s="27" t="n">
        <v>40</v>
      </c>
      <c r="F117" s="27" t="n">
        <v>38</v>
      </c>
      <c r="G117" s="27" t="n">
        <v>6</v>
      </c>
      <c r="H117" s="28" t="n">
        <v>93.22</v>
      </c>
      <c r="I117" s="28" t="n">
        <v>0</v>
      </c>
      <c r="J117" s="94" t="inlineStr">
        <is>
          <t>False</t>
        </is>
      </c>
      <c r="K117" s="28" t="n">
        <v>0</v>
      </c>
      <c r="L117" s="25" t="inlineStr">
        <is>
          <t>SPRKLNG, CHMPGNE, ETC.</t>
        </is>
      </c>
      <c r="M117" s="25" t="inlineStr">
        <is>
          <t>BANFI PRODUCTS COMPANY</t>
        </is>
      </c>
      <c r="N117" s="25" t="inlineStr">
        <is>
          <t>040003-RNDC-VINTAGE</t>
        </is>
      </c>
      <c r="O117" s="25" t="n"/>
      <c r="P117" s="25" t="inlineStr">
        <is>
          <t>10080516166449</t>
        </is>
      </c>
      <c r="Q117" s="25" t="inlineStr">
        <is>
          <t>0080516166445</t>
        </is>
      </c>
      <c r="R117" s="78" t="n">
        <v>42370</v>
      </c>
    </row>
    <row r="118">
      <c r="A118" t="inlineStr">
        <is>
          <t>or item code =</t>
        </is>
      </c>
      <c r="B118" s="25" t="inlineStr">
        <is>
          <t>16652</t>
        </is>
      </c>
      <c r="C118" s="25" t="inlineStr">
        <is>
          <t>BARDSTOWN BOURBON FUSION SERIES</t>
        </is>
      </c>
      <c r="D118" s="25" t="inlineStr">
        <is>
          <t>750ml</t>
        </is>
      </c>
      <c r="E118" s="27" t="n">
        <v>50</v>
      </c>
      <c r="F118" s="27" t="n">
        <v>9</v>
      </c>
      <c r="G118" s="27" t="n">
        <v>6</v>
      </c>
      <c r="H118" s="28" t="n">
        <v>302.21</v>
      </c>
      <c r="I118" s="28" t="n">
        <v>0</v>
      </c>
      <c r="J118" s="94" t="inlineStr">
        <is>
          <t>False</t>
        </is>
      </c>
      <c r="K118" s="28" t="n">
        <v>0</v>
      </c>
      <c r="L118" s="25" t="inlineStr">
        <is>
          <t>WHISKEY - STR BOURBON</t>
        </is>
      </c>
      <c r="M118" s="25" t="inlineStr">
        <is>
          <t>THE BARDSTOWN COMPANY, LLC.</t>
        </is>
      </c>
      <c r="N118" s="25" t="inlineStr">
        <is>
          <t>040002-RNDC-MAGNOLIA</t>
        </is>
      </c>
      <c r="O118" s="25" t="n"/>
      <c r="P118" s="25" t="inlineStr">
        <is>
          <t>00857552008042</t>
        </is>
      </c>
      <c r="Q118" s="25" t="inlineStr">
        <is>
          <t>857552008028</t>
        </is>
      </c>
      <c r="R118" s="78" t="n">
        <v>44593</v>
      </c>
    </row>
    <row r="119">
      <c r="A119" t="inlineStr">
        <is>
          <t>or item code =</t>
        </is>
      </c>
      <c r="B119" s="25" t="inlineStr">
        <is>
          <t>769005</t>
        </is>
      </c>
      <c r="C119" s="25" t="inlineStr">
        <is>
          <t>BAREFOOT BUBBLY MOSCATO SPUMANTE</t>
        </is>
      </c>
      <c r="D119" s="25" t="inlineStr">
        <is>
          <t>750ml</t>
        </is>
      </c>
      <c r="E119" s="27" t="n">
        <v>3</v>
      </c>
      <c r="F119" s="27" t="n">
        <v>47</v>
      </c>
      <c r="G119" s="27" t="n">
        <v>12</v>
      </c>
      <c r="H119" s="28" t="n">
        <v>111.33</v>
      </c>
      <c r="I119" s="28" t="n">
        <v>0</v>
      </c>
      <c r="J119" s="94" t="inlineStr">
        <is>
          <t>False</t>
        </is>
      </c>
      <c r="K119" s="28" t="n">
        <v>0</v>
      </c>
      <c r="L119" s="25" t="inlineStr">
        <is>
          <t>MOSCATO WHITE</t>
        </is>
      </c>
      <c r="M119" s="25" t="inlineStr">
        <is>
          <t>E &amp; J GALLO WINERY</t>
        </is>
      </c>
      <c r="N119" s="25" t="inlineStr">
        <is>
          <t>040012-GALLO WINES OF MISSISSIPPI</t>
        </is>
      </c>
      <c r="O119" s="25" t="n"/>
      <c r="P119" s="25" t="inlineStr">
        <is>
          <t>03008500001759</t>
        </is>
      </c>
      <c r="Q119" s="25" t="inlineStr">
        <is>
          <t>0085000017593</t>
        </is>
      </c>
      <c r="R119" s="78" t="n">
        <v>42370</v>
      </c>
    </row>
    <row r="120">
      <c r="A120" t="inlineStr">
        <is>
          <t>or item code =</t>
        </is>
      </c>
      <c r="B120" s="25" t="inlineStr">
        <is>
          <t>769006</t>
        </is>
      </c>
      <c r="C120" s="25" t="inlineStr">
        <is>
          <t>BAREFOOT BUBBLY PEACH</t>
        </is>
      </c>
      <c r="D120" s="25" t="inlineStr">
        <is>
          <t>750ml</t>
        </is>
      </c>
      <c r="E120" s="27" t="n">
        <v>0</v>
      </c>
      <c r="F120" s="27" t="n">
        <v>32</v>
      </c>
      <c r="G120" s="27" t="n">
        <v>12</v>
      </c>
      <c r="H120" s="28" t="n">
        <v>111.33</v>
      </c>
      <c r="I120" s="28" t="n">
        <v>0</v>
      </c>
      <c r="J120" s="94" t="inlineStr">
        <is>
          <t>False</t>
        </is>
      </c>
      <c r="K120" s="28" t="n">
        <v>0</v>
      </c>
      <c r="L120" s="25" t="inlineStr">
        <is>
          <t>SPRKLNG, CHMPGNE, ETC.</t>
        </is>
      </c>
      <c r="M120" s="25" t="inlineStr">
        <is>
          <t>E &amp; J GALLO WINERY</t>
        </is>
      </c>
      <c r="N120" s="25" t="inlineStr">
        <is>
          <t>040012-GALLO WINES OF MISSISSIPPI</t>
        </is>
      </c>
      <c r="O120" s="25" t="n"/>
      <c r="P120" s="25" t="inlineStr">
        <is>
          <t>30085000022734</t>
        </is>
      </c>
      <c r="Q120" s="25" t="inlineStr">
        <is>
          <t>0085000022733</t>
        </is>
      </c>
      <c r="R120" s="78" t="n">
        <v>42370</v>
      </c>
    </row>
    <row r="121">
      <c r="A121" t="inlineStr">
        <is>
          <t>or item code =</t>
        </is>
      </c>
      <c r="B121" s="25" t="inlineStr">
        <is>
          <t>769008</t>
        </is>
      </c>
      <c r="C121" s="25" t="inlineStr">
        <is>
          <t>BAREFOOT BUBBLY PINK MOSCATO</t>
        </is>
      </c>
      <c r="D121" s="25" t="inlineStr">
        <is>
          <t>750ml</t>
        </is>
      </c>
      <c r="E121" s="27" t="n">
        <v>25</v>
      </c>
      <c r="F121" s="27" t="n">
        <v>52</v>
      </c>
      <c r="G121" s="27" t="n">
        <v>12</v>
      </c>
      <c r="H121" s="28" t="n">
        <v>111.33</v>
      </c>
      <c r="I121" s="28" t="n">
        <v>0</v>
      </c>
      <c r="J121" s="94" t="inlineStr">
        <is>
          <t>False</t>
        </is>
      </c>
      <c r="K121" s="28" t="n">
        <v>0</v>
      </c>
      <c r="L121" s="25" t="inlineStr">
        <is>
          <t>SPRKLNG, CHMPGNE, ETC.</t>
        </is>
      </c>
      <c r="M121" s="25" t="inlineStr">
        <is>
          <t>E &amp; J GALLO WINERY</t>
        </is>
      </c>
      <c r="N121" s="25" t="inlineStr">
        <is>
          <t>040012-GALLO WINES OF MISSISSIPPI</t>
        </is>
      </c>
      <c r="O121" s="25" t="n"/>
      <c r="P121" s="25" t="inlineStr">
        <is>
          <t>03008500001965</t>
        </is>
      </c>
      <c r="Q121" s="25" t="inlineStr">
        <is>
          <t>0085000019658</t>
        </is>
      </c>
      <c r="R121" s="78" t="n">
        <v>42370</v>
      </c>
    </row>
    <row r="122">
      <c r="A122" t="inlineStr">
        <is>
          <t>or item code =</t>
        </is>
      </c>
      <c r="B122" s="25" t="inlineStr">
        <is>
          <t>769007</t>
        </is>
      </c>
      <c r="C122" s="25" t="inlineStr">
        <is>
          <t>BAREFOOT BUBBLY PINK MOSCATO</t>
        </is>
      </c>
      <c r="D122" s="25" t="inlineStr">
        <is>
          <t>187ml</t>
        </is>
      </c>
      <c r="E122" s="27" t="n">
        <v>83</v>
      </c>
      <c r="F122" s="27" t="n">
        <v>42</v>
      </c>
      <c r="G122" s="27" t="n">
        <v>24</v>
      </c>
      <c r="H122" s="28" t="n">
        <v>59.95</v>
      </c>
      <c r="I122" s="28" t="n">
        <v>0</v>
      </c>
      <c r="J122" s="94" t="inlineStr">
        <is>
          <t>False</t>
        </is>
      </c>
      <c r="K122" s="28" t="n">
        <v>0</v>
      </c>
      <c r="L122" s="25" t="inlineStr">
        <is>
          <t>SPRKLNG, CHMPGNE, ETC.</t>
        </is>
      </c>
      <c r="M122" s="25" t="inlineStr">
        <is>
          <t>E &amp; J GALLO WINERY</t>
        </is>
      </c>
      <c r="N122" s="25" t="inlineStr">
        <is>
          <t>040012-GALLO WINES OF MISSISSIPPI</t>
        </is>
      </c>
      <c r="O122" s="25" t="n"/>
      <c r="P122" s="25" t="inlineStr">
        <is>
          <t>40085000022106</t>
        </is>
      </c>
      <c r="Q122" s="25" t="inlineStr">
        <is>
          <t>0085000022108</t>
        </is>
      </c>
      <c r="R122" s="78" t="n">
        <v>42370</v>
      </c>
    </row>
    <row r="123">
      <c r="A123" t="inlineStr">
        <is>
          <t>or item code =</t>
        </is>
      </c>
      <c r="B123" s="25" t="inlineStr">
        <is>
          <t>402536</t>
        </is>
      </c>
      <c r="C123" s="25" t="inlineStr">
        <is>
          <t>BAREFOOT CABERNET SAUVIGNON ARGENTINA</t>
        </is>
      </c>
      <c r="D123" s="25" t="inlineStr">
        <is>
          <t>750ml</t>
        </is>
      </c>
      <c r="E123" s="27" t="n">
        <v>73</v>
      </c>
      <c r="F123" s="27" t="n">
        <v>43</v>
      </c>
      <c r="G123" s="27" t="n">
        <v>12</v>
      </c>
      <c r="H123" s="28" t="n">
        <v>68.48999999999999</v>
      </c>
      <c r="I123" s="28" t="n">
        <v>8.56</v>
      </c>
      <c r="J123" s="94" t="inlineStr">
        <is>
          <t>False</t>
        </is>
      </c>
      <c r="K123" s="28" t="n">
        <v>0</v>
      </c>
      <c r="L123" s="25" t="inlineStr">
        <is>
          <t>CABERNET SAUVIGNON</t>
        </is>
      </c>
      <c r="M123" s="25" t="inlineStr">
        <is>
          <t>E &amp; J GALLO WINERY</t>
        </is>
      </c>
      <c r="N123" s="25" t="inlineStr">
        <is>
          <t>040012-GALLO WINES OF MISSISSIPPI</t>
        </is>
      </c>
      <c r="O123" s="25" t="n"/>
      <c r="P123" s="25" t="inlineStr">
        <is>
          <t>10018341751014</t>
        </is>
      </c>
      <c r="Q123" s="25" t="inlineStr">
        <is>
          <t>018341751017</t>
        </is>
      </c>
      <c r="R123" s="78" t="n">
        <v>42370</v>
      </c>
    </row>
    <row r="124">
      <c r="A124" t="inlineStr">
        <is>
          <t>or item code =</t>
        </is>
      </c>
      <c r="B124" s="25" t="inlineStr">
        <is>
          <t>402537</t>
        </is>
      </c>
      <c r="C124" s="25" t="inlineStr">
        <is>
          <t>BAREFOOT CABERNET SAUVIGNON ARGENTINA</t>
        </is>
      </c>
      <c r="D124" s="25" t="inlineStr">
        <is>
          <t>1.5L</t>
        </is>
      </c>
      <c r="E124" s="27" t="n">
        <v>112</v>
      </c>
      <c r="F124" s="27" t="n">
        <v>138</v>
      </c>
      <c r="G124" s="27" t="n">
        <v>6</v>
      </c>
      <c r="H124" s="28" t="n">
        <v>70.67</v>
      </c>
      <c r="I124" s="28" t="n">
        <v>0</v>
      </c>
      <c r="J124" s="94" t="inlineStr">
        <is>
          <t>False</t>
        </is>
      </c>
      <c r="K124" s="28" t="n">
        <v>0</v>
      </c>
      <c r="L124" s="25" t="inlineStr">
        <is>
          <t>CABERNET SAUVIGNON</t>
        </is>
      </c>
      <c r="M124" s="25" t="inlineStr">
        <is>
          <t>E &amp; J GALLO WINERY</t>
        </is>
      </c>
      <c r="N124" s="25" t="inlineStr">
        <is>
          <t>040012-GALLO WINES OF MISSISSIPPI</t>
        </is>
      </c>
      <c r="O124" s="25" t="n"/>
      <c r="P124" s="25" t="inlineStr">
        <is>
          <t>10018341151012</t>
        </is>
      </c>
      <c r="Q124" s="25" t="inlineStr">
        <is>
          <t>0018341151015</t>
        </is>
      </c>
      <c r="R124" s="78" t="n">
        <v>42370</v>
      </c>
    </row>
    <row r="125">
      <c r="A125" t="inlineStr">
        <is>
          <t>or item code =</t>
        </is>
      </c>
      <c r="B125" s="25" t="inlineStr">
        <is>
          <t>544077</t>
        </is>
      </c>
      <c r="C125" s="25" t="inlineStr">
        <is>
          <t>BAREFOOT CELLARS CALIFORNIA CHARDONNAY</t>
        </is>
      </c>
      <c r="D125" s="25" t="inlineStr">
        <is>
          <t>1.5L</t>
        </is>
      </c>
      <c r="E125" s="27" t="n">
        <v>118</v>
      </c>
      <c r="F125" s="27" t="n">
        <v>236</v>
      </c>
      <c r="G125" s="27" t="n">
        <v>6</v>
      </c>
      <c r="H125" s="28" t="n">
        <v>70.67</v>
      </c>
      <c r="I125" s="28" t="n">
        <v>0</v>
      </c>
      <c r="J125" s="94" t="inlineStr">
        <is>
          <t>False</t>
        </is>
      </c>
      <c r="K125" s="28" t="n">
        <v>0</v>
      </c>
      <c r="L125" s="25" t="inlineStr">
        <is>
          <t>CHARDONNAY</t>
        </is>
      </c>
      <c r="M125" s="25" t="inlineStr">
        <is>
          <t>E &amp; J GALLO WINERY</t>
        </is>
      </c>
      <c r="N125" s="25" t="inlineStr">
        <is>
          <t>040012-GALLO WINES OF MISSISSIPPI</t>
        </is>
      </c>
      <c r="O125" s="25" t="n"/>
      <c r="P125" s="25" t="inlineStr">
        <is>
          <t>10018341151050</t>
        </is>
      </c>
      <c r="Q125" s="25" t="inlineStr">
        <is>
          <t>0018341151053</t>
        </is>
      </c>
      <c r="R125" s="78" t="n">
        <v>42370</v>
      </c>
    </row>
    <row r="126">
      <c r="A126" t="inlineStr">
        <is>
          <t>or item code =</t>
        </is>
      </c>
      <c r="B126" s="25" t="inlineStr">
        <is>
          <t>809138</t>
        </is>
      </c>
      <c r="C126" s="25" t="inlineStr">
        <is>
          <t>BAREFOOT CELLARS PEACH FRUIT SCATO</t>
        </is>
      </c>
      <c r="D126" s="25" t="inlineStr">
        <is>
          <t>1.5L</t>
        </is>
      </c>
      <c r="E126" s="27" t="n">
        <v>63</v>
      </c>
      <c r="F126" s="27" t="n">
        <v>40</v>
      </c>
      <c r="G126" s="27" t="n">
        <v>6</v>
      </c>
      <c r="H126" s="28" t="n">
        <v>70.67</v>
      </c>
      <c r="I126" s="28" t="n">
        <v>0</v>
      </c>
      <c r="J126" s="94" t="inlineStr">
        <is>
          <t>False</t>
        </is>
      </c>
      <c r="K126" s="28" t="n">
        <v>0</v>
      </c>
      <c r="L126" s="25" t="inlineStr">
        <is>
          <t>WHITE WINE</t>
        </is>
      </c>
      <c r="M126" s="25" t="inlineStr">
        <is>
          <t>E &amp; J GALLO WINERY</t>
        </is>
      </c>
      <c r="N126" s="25" t="inlineStr">
        <is>
          <t>040012-GALLO WINES OF MISSISSIPPI</t>
        </is>
      </c>
      <c r="O126" s="25" t="n"/>
      <c r="P126" s="25" t="inlineStr">
        <is>
          <t>20085000029897</t>
        </is>
      </c>
      <c r="Q126" s="25" t="inlineStr">
        <is>
          <t>085000029893</t>
        </is>
      </c>
      <c r="R126" s="78" t="n">
        <v>43846</v>
      </c>
    </row>
    <row r="127">
      <c r="A127" t="inlineStr">
        <is>
          <t>or item code =</t>
        </is>
      </c>
      <c r="B127" s="25" t="inlineStr">
        <is>
          <t>809132</t>
        </is>
      </c>
      <c r="C127" s="25" t="inlineStr">
        <is>
          <t>BAREFOOT CELLARS PEACH FRUIT-SCATO</t>
        </is>
      </c>
      <c r="D127" s="25" t="inlineStr">
        <is>
          <t>750ml</t>
        </is>
      </c>
      <c r="E127" s="27" t="n">
        <v>100</v>
      </c>
      <c r="F127" s="27" t="n">
        <v>50</v>
      </c>
      <c r="G127" s="27" t="n">
        <v>12</v>
      </c>
      <c r="H127" s="28" t="n">
        <v>68.48999999999999</v>
      </c>
      <c r="I127" s="28" t="n">
        <v>8.56</v>
      </c>
      <c r="J127" s="94" t="inlineStr">
        <is>
          <t>False</t>
        </is>
      </c>
      <c r="K127" s="28" t="n">
        <v>0</v>
      </c>
      <c r="L127" s="25" t="inlineStr">
        <is>
          <t>WHITE WINE</t>
        </is>
      </c>
      <c r="M127" s="25" t="inlineStr">
        <is>
          <t>E &amp; J GALLO WINERY</t>
        </is>
      </c>
      <c r="N127" s="25" t="inlineStr">
        <is>
          <t>040012-GALLO WINES OF MISSISSIPPI</t>
        </is>
      </c>
      <c r="O127" s="25" t="n"/>
      <c r="P127" s="25" t="inlineStr">
        <is>
          <t>30085000029009</t>
        </is>
      </c>
      <c r="Q127" s="25" t="inlineStr">
        <is>
          <t>085000029008</t>
        </is>
      </c>
      <c r="R127" s="78" t="n">
        <v>43658</v>
      </c>
    </row>
    <row r="128">
      <c r="A128" t="inlineStr">
        <is>
          <t>or item code =</t>
        </is>
      </c>
      <c r="B128" s="25" t="inlineStr">
        <is>
          <t>442563</t>
        </is>
      </c>
      <c r="C128" s="25" t="inlineStr">
        <is>
          <t>BAREFOOT CELLARS RED MOSCATO CALIFORNIA</t>
        </is>
      </c>
      <c r="D128" s="25" t="inlineStr">
        <is>
          <t>1.5L</t>
        </is>
      </c>
      <c r="E128" s="27" t="n">
        <v>158</v>
      </c>
      <c r="F128" s="27" t="n">
        <v>156</v>
      </c>
      <c r="G128" s="27" t="n">
        <v>6</v>
      </c>
      <c r="H128" s="28" t="n">
        <v>70.67</v>
      </c>
      <c r="I128" s="28" t="n">
        <v>0</v>
      </c>
      <c r="J128" s="94" t="inlineStr">
        <is>
          <t>False</t>
        </is>
      </c>
      <c r="K128" s="28" t="n">
        <v>0</v>
      </c>
      <c r="L128" s="25" t="inlineStr">
        <is>
          <t>MOSCATO WHITE</t>
        </is>
      </c>
      <c r="M128" s="25" t="inlineStr">
        <is>
          <t>E &amp; J GALLO WINERY</t>
        </is>
      </c>
      <c r="N128" s="25" t="inlineStr">
        <is>
          <t>040012-GALLO WINES OF MISSISSIPPI</t>
        </is>
      </c>
      <c r="O128" s="25" t="n"/>
      <c r="P128" s="25" t="inlineStr">
        <is>
          <t>20085000020283</t>
        </is>
      </c>
      <c r="Q128" s="25" t="inlineStr">
        <is>
          <t>0085000020289</t>
        </is>
      </c>
      <c r="R128" s="78" t="n">
        <v>42370</v>
      </c>
    </row>
    <row r="129">
      <c r="A129" t="inlineStr">
        <is>
          <t>or item code =</t>
        </is>
      </c>
      <c r="B129" s="25" t="inlineStr">
        <is>
          <t>442562</t>
        </is>
      </c>
      <c r="C129" s="25" t="inlineStr">
        <is>
          <t>BAREFOOT CELLARS RED MOSCATO CALIFORNIA</t>
        </is>
      </c>
      <c r="D129" s="25" t="inlineStr">
        <is>
          <t>750ml</t>
        </is>
      </c>
      <c r="E129" s="27" t="n">
        <v>172</v>
      </c>
      <c r="F129" s="27" t="n">
        <v>149</v>
      </c>
      <c r="G129" s="27" t="n">
        <v>12</v>
      </c>
      <c r="H129" s="28" t="n">
        <v>68.48999999999999</v>
      </c>
      <c r="I129" s="28" t="n">
        <v>8.56</v>
      </c>
      <c r="J129" s="94" t="inlineStr">
        <is>
          <t>False</t>
        </is>
      </c>
      <c r="K129" s="28" t="n">
        <v>0</v>
      </c>
      <c r="L129" s="25" t="inlineStr">
        <is>
          <t>MOSCATO RED</t>
        </is>
      </c>
      <c r="M129" s="25" t="inlineStr">
        <is>
          <t>E &amp; J GALLO WINERY</t>
        </is>
      </c>
      <c r="N129" s="25" t="inlineStr">
        <is>
          <t>040012-GALLO WINES OF MISSISSIPPI</t>
        </is>
      </c>
      <c r="O129" s="25" t="n"/>
      <c r="P129" s="25" t="inlineStr">
        <is>
          <t>30085000019895</t>
        </is>
      </c>
      <c r="Q129" s="25" t="inlineStr">
        <is>
          <t>0085000019894</t>
        </is>
      </c>
      <c r="R129" s="78" t="n">
        <v>42370</v>
      </c>
    </row>
    <row r="130">
      <c r="A130" t="inlineStr">
        <is>
          <t>or item code =</t>
        </is>
      </c>
      <c r="B130" s="25" t="inlineStr">
        <is>
          <t>809140</t>
        </is>
      </c>
      <c r="C130" s="25" t="inlineStr">
        <is>
          <t>BAREFOOT CELLARS STRAWBERRY FRUIT SCATO</t>
        </is>
      </c>
      <c r="D130" s="25" t="inlineStr">
        <is>
          <t>1.5L</t>
        </is>
      </c>
      <c r="E130" s="27" t="n">
        <v>43</v>
      </c>
      <c r="F130" s="27" t="n">
        <v>43</v>
      </c>
      <c r="G130" s="27" t="n">
        <v>6</v>
      </c>
      <c r="H130" s="28" t="n">
        <v>70.67</v>
      </c>
      <c r="I130" s="28" t="n">
        <v>0</v>
      </c>
      <c r="J130" s="94" t="inlineStr">
        <is>
          <t>False</t>
        </is>
      </c>
      <c r="K130" s="28" t="n">
        <v>0</v>
      </c>
      <c r="L130" s="25" t="inlineStr">
        <is>
          <t>WHITE WINE</t>
        </is>
      </c>
      <c r="M130" s="25" t="inlineStr">
        <is>
          <t>E &amp; J GALLO WINERY</t>
        </is>
      </c>
      <c r="N130" s="25" t="inlineStr">
        <is>
          <t>040012-GALLO WINES OF MISSISSIPPI</t>
        </is>
      </c>
      <c r="O130" s="25" t="n"/>
      <c r="P130" s="25" t="inlineStr">
        <is>
          <t>20085000029903</t>
        </is>
      </c>
      <c r="Q130" s="25" t="inlineStr">
        <is>
          <t>085000029909</t>
        </is>
      </c>
      <c r="R130" s="78" t="n">
        <v>43846</v>
      </c>
    </row>
    <row r="131">
      <c r="A131" t="inlineStr">
        <is>
          <t>or item code =</t>
        </is>
      </c>
      <c r="B131" s="25" t="inlineStr">
        <is>
          <t>809134</t>
        </is>
      </c>
      <c r="C131" s="25" t="inlineStr">
        <is>
          <t>BAREFOOT CELLARS STRAWBERRY FRUIT-SCATO</t>
        </is>
      </c>
      <c r="D131" s="25" t="inlineStr">
        <is>
          <t>750ml</t>
        </is>
      </c>
      <c r="E131" s="27" t="n">
        <v>41</v>
      </c>
      <c r="F131" s="27" t="n">
        <v>38</v>
      </c>
      <c r="G131" s="27" t="n">
        <v>12</v>
      </c>
      <c r="H131" s="28" t="n">
        <v>68.48999999999999</v>
      </c>
      <c r="I131" s="28" t="n">
        <v>8.56</v>
      </c>
      <c r="J131" s="94" t="inlineStr">
        <is>
          <t>False</t>
        </is>
      </c>
      <c r="K131" s="28" t="n">
        <v>0</v>
      </c>
      <c r="L131" s="25" t="inlineStr">
        <is>
          <t>WHITE WINE</t>
        </is>
      </c>
      <c r="M131" s="25" t="inlineStr">
        <is>
          <t>E &amp; J GALLO WINERY</t>
        </is>
      </c>
      <c r="N131" s="25" t="inlineStr">
        <is>
          <t>040012-GALLO WINES OF MISSISSIPPI</t>
        </is>
      </c>
      <c r="O131" s="25" t="n"/>
      <c r="P131" s="25" t="inlineStr">
        <is>
          <t>30085000029016</t>
        </is>
      </c>
      <c r="Q131" s="25" t="inlineStr">
        <is>
          <t>085000029015</t>
        </is>
      </c>
      <c r="R131" s="78" t="n">
        <v>43658</v>
      </c>
    </row>
    <row r="132">
      <c r="A132" t="inlineStr">
        <is>
          <t>or item code =</t>
        </is>
      </c>
      <c r="B132" s="25" t="inlineStr">
        <is>
          <t>642105</t>
        </is>
      </c>
      <c r="C132" s="25" t="inlineStr">
        <is>
          <t>BAREFOOT CELLARS WH ZINFANDEL CALIFORNIA</t>
        </is>
      </c>
      <c r="D132" s="25" t="inlineStr">
        <is>
          <t>1.5L</t>
        </is>
      </c>
      <c r="E132" s="27" t="n">
        <v>79</v>
      </c>
      <c r="F132" s="27" t="n">
        <v>130</v>
      </c>
      <c r="G132" s="27" t="n">
        <v>6</v>
      </c>
      <c r="H132" s="28" t="n">
        <v>70.67</v>
      </c>
      <c r="I132" s="28" t="n">
        <v>0</v>
      </c>
      <c r="J132" s="94" t="inlineStr">
        <is>
          <t>False</t>
        </is>
      </c>
      <c r="K132" s="28" t="n">
        <v>0</v>
      </c>
      <c r="L132" s="25" t="inlineStr">
        <is>
          <t>WHITE ZINFANDEL</t>
        </is>
      </c>
      <c r="M132" s="25" t="inlineStr">
        <is>
          <t>E &amp; J GALLO WINERY</t>
        </is>
      </c>
      <c r="N132" s="25" t="inlineStr">
        <is>
          <t>040012-GALLO WINES OF MISSISSIPPI</t>
        </is>
      </c>
      <c r="O132" s="25" t="n"/>
      <c r="P132" s="25" t="inlineStr">
        <is>
          <t>10018341151067</t>
        </is>
      </c>
      <c r="Q132" s="25" t="inlineStr">
        <is>
          <t>0018341151060</t>
        </is>
      </c>
      <c r="R132" s="78" t="n">
        <v>42370</v>
      </c>
    </row>
    <row r="133">
      <c r="A133" t="inlineStr">
        <is>
          <t>or item code =</t>
        </is>
      </c>
      <c r="B133" s="25" t="inlineStr">
        <is>
          <t>442577</t>
        </is>
      </c>
      <c r="C133" s="25" t="inlineStr">
        <is>
          <t>BAREFOOT MERLOT CALIFORNIA</t>
        </is>
      </c>
      <c r="D133" s="25" t="inlineStr">
        <is>
          <t>1.5L</t>
        </is>
      </c>
      <c r="E133" s="27" t="n">
        <v>104</v>
      </c>
      <c r="F133" s="27" t="n">
        <v>103</v>
      </c>
      <c r="G133" s="27" t="n">
        <v>6</v>
      </c>
      <c r="H133" s="28" t="n">
        <v>70.67</v>
      </c>
      <c r="I133" s="28" t="n">
        <v>0</v>
      </c>
      <c r="J133" s="94" t="inlineStr">
        <is>
          <t>False</t>
        </is>
      </c>
      <c r="K133" s="28" t="n">
        <v>0</v>
      </c>
      <c r="L133" s="25" t="inlineStr">
        <is>
          <t>MERLOT</t>
        </is>
      </c>
      <c r="M133" s="25" t="inlineStr">
        <is>
          <t>E &amp; J GALLO WINERY</t>
        </is>
      </c>
      <c r="N133" s="25" t="inlineStr">
        <is>
          <t>040012-GALLO WINES OF MISSISSIPPI</t>
        </is>
      </c>
      <c r="O133" s="25" t="n"/>
      <c r="P133" s="25" t="inlineStr">
        <is>
          <t>10018341151104</t>
        </is>
      </c>
      <c r="Q133" s="25" t="inlineStr">
        <is>
          <t>0018341151107</t>
        </is>
      </c>
      <c r="R133" s="78" t="n">
        <v>42370</v>
      </c>
    </row>
    <row r="134">
      <c r="A134" t="inlineStr">
        <is>
          <t>or item code =</t>
        </is>
      </c>
      <c r="B134" s="25" t="inlineStr">
        <is>
          <t>544110</t>
        </is>
      </c>
      <c r="C134" s="25" t="inlineStr">
        <is>
          <t>BAREFOOT MOSCATO CALIFORNIA</t>
        </is>
      </c>
      <c r="D134" s="25" t="inlineStr">
        <is>
          <t>1.5L</t>
        </is>
      </c>
      <c r="E134" s="27" t="n">
        <v>201</v>
      </c>
      <c r="F134" s="27" t="n">
        <v>392</v>
      </c>
      <c r="G134" s="27" t="n">
        <v>6</v>
      </c>
      <c r="H134" s="28" t="n">
        <v>70.67</v>
      </c>
      <c r="I134" s="28" t="n">
        <v>0</v>
      </c>
      <c r="J134" s="94" t="inlineStr">
        <is>
          <t>False</t>
        </is>
      </c>
      <c r="K134" s="28" t="n">
        <v>0</v>
      </c>
      <c r="L134" s="25" t="inlineStr">
        <is>
          <t>MOSCATO WHITE</t>
        </is>
      </c>
      <c r="M134" s="25" t="inlineStr">
        <is>
          <t>E &amp; J GALLO WINERY</t>
        </is>
      </c>
      <c r="N134" s="25" t="inlineStr">
        <is>
          <t>040012-GALLO WINES OF MISSISSIPPI</t>
        </is>
      </c>
      <c r="O134" s="25" t="n"/>
      <c r="P134" s="25" t="inlineStr">
        <is>
          <t>20085000016675</t>
        </is>
      </c>
      <c r="Q134" s="25" t="inlineStr">
        <is>
          <t>085000016671</t>
        </is>
      </c>
      <c r="R134" s="78" t="n">
        <v>42370</v>
      </c>
    </row>
    <row r="135">
      <c r="A135" t="inlineStr">
        <is>
          <t>or item code =</t>
        </is>
      </c>
      <c r="B135" s="25" t="inlineStr">
        <is>
          <t>544107</t>
        </is>
      </c>
      <c r="C135" s="25" t="inlineStr">
        <is>
          <t>BAREFOOT MOSCATO CALIFORNIA (PET)</t>
        </is>
      </c>
      <c r="D135" s="25" t="inlineStr">
        <is>
          <t>187ml</t>
        </is>
      </c>
      <c r="E135" s="27" t="n">
        <v>100</v>
      </c>
      <c r="F135" s="27" t="n">
        <v>133</v>
      </c>
      <c r="G135" s="27" t="n">
        <v>24</v>
      </c>
      <c r="H135" s="28" t="n">
        <v>38.53</v>
      </c>
      <c r="I135" s="28" t="n">
        <v>0</v>
      </c>
      <c r="J135" s="94" t="inlineStr">
        <is>
          <t>False</t>
        </is>
      </c>
      <c r="K135" s="28" t="n">
        <v>0</v>
      </c>
      <c r="L135" s="25" t="inlineStr">
        <is>
          <t>MOSCATO WHITE</t>
        </is>
      </c>
      <c r="M135" s="25" t="inlineStr">
        <is>
          <t>E &amp; J GALLO WINERY</t>
        </is>
      </c>
      <c r="N135" s="25" t="inlineStr">
        <is>
          <t>040012-GALLO WINES OF MISSISSIPPI</t>
        </is>
      </c>
      <c r="O135" s="25" t="n"/>
      <c r="P135" s="25" t="inlineStr">
        <is>
          <t>10085000005597</t>
        </is>
      </c>
      <c r="Q135" s="25" t="inlineStr">
        <is>
          <t>0850000055900</t>
        </is>
      </c>
      <c r="R135" s="78" t="n">
        <v>42874</v>
      </c>
    </row>
    <row r="136">
      <c r="A136" t="inlineStr">
        <is>
          <t>or item code =</t>
        </is>
      </c>
      <c r="B136" s="25" t="inlineStr">
        <is>
          <t>544109</t>
        </is>
      </c>
      <c r="C136" s="25" t="inlineStr">
        <is>
          <t>BAREFOOT MOSCATO CALLIFORNIA</t>
        </is>
      </c>
      <c r="D136" s="25" t="inlineStr">
        <is>
          <t>750ml</t>
        </is>
      </c>
      <c r="E136" s="27" t="n">
        <v>273</v>
      </c>
      <c r="F136" s="27" t="n">
        <v>273</v>
      </c>
      <c r="G136" s="27" t="n">
        <v>12</v>
      </c>
      <c r="H136" s="28" t="n">
        <v>68.48999999999999</v>
      </c>
      <c r="I136" s="28" t="n">
        <v>8.56</v>
      </c>
      <c r="J136" s="94" t="inlineStr">
        <is>
          <t>False</t>
        </is>
      </c>
      <c r="K136" s="28" t="n">
        <v>0</v>
      </c>
      <c r="L136" s="25" t="inlineStr">
        <is>
          <t>MOSCATO WHITE</t>
        </is>
      </c>
      <c r="M136" s="25" t="inlineStr">
        <is>
          <t>E &amp; J GALLO WINERY</t>
        </is>
      </c>
      <c r="N136" s="25" t="inlineStr">
        <is>
          <t>040012-GALLO WINES OF MISSISSIPPI</t>
        </is>
      </c>
      <c r="O136" s="25" t="n"/>
      <c r="P136" s="25" t="inlineStr">
        <is>
          <t>30085000016689</t>
        </is>
      </c>
      <c r="Q136" s="25" t="inlineStr">
        <is>
          <t>0085000016688</t>
        </is>
      </c>
      <c r="R136" s="78" t="n">
        <v>42370</v>
      </c>
    </row>
    <row r="137">
      <c r="A137" t="inlineStr">
        <is>
          <t>or item code =</t>
        </is>
      </c>
      <c r="B137" s="25" t="inlineStr">
        <is>
          <t>642110</t>
        </is>
      </c>
      <c r="C137" s="25" t="inlineStr">
        <is>
          <t>BAREFOOT PINK MOSCATO CALIFORNIA</t>
        </is>
      </c>
      <c r="D137" s="25" t="inlineStr">
        <is>
          <t>750ml</t>
        </is>
      </c>
      <c r="E137" s="27" t="n">
        <v>103</v>
      </c>
      <c r="F137" s="27" t="n">
        <v>165</v>
      </c>
      <c r="G137" s="27" t="n">
        <v>12</v>
      </c>
      <c r="H137" s="28" t="n">
        <v>68.48999999999999</v>
      </c>
      <c r="I137" s="28" t="n">
        <v>8.56</v>
      </c>
      <c r="J137" s="94" t="inlineStr">
        <is>
          <t>False</t>
        </is>
      </c>
      <c r="K137" s="28" t="n">
        <v>0</v>
      </c>
      <c r="L137" s="25" t="inlineStr">
        <is>
          <t>MOSCATO WHITE</t>
        </is>
      </c>
      <c r="M137" s="25" t="inlineStr">
        <is>
          <t>E &amp; J GALLO WINERY</t>
        </is>
      </c>
      <c r="N137" s="25" t="inlineStr">
        <is>
          <t>040012-GALLO WINES OF MISSISSIPPI</t>
        </is>
      </c>
      <c r="O137" s="25" t="n"/>
      <c r="P137" s="25" t="inlineStr">
        <is>
          <t>30085000020457</t>
        </is>
      </c>
      <c r="Q137" s="25" t="inlineStr">
        <is>
          <t>085000020456</t>
        </is>
      </c>
      <c r="R137" s="78" t="n">
        <v>42370</v>
      </c>
    </row>
    <row r="138">
      <c r="A138" t="inlineStr">
        <is>
          <t>or item code =</t>
        </is>
      </c>
      <c r="B138" s="25" t="inlineStr">
        <is>
          <t>642112</t>
        </is>
      </c>
      <c r="C138" s="25" t="inlineStr">
        <is>
          <t>BAREFOOT PINK MOSCATO CALIFORNIA</t>
        </is>
      </c>
      <c r="D138" s="25" t="inlineStr">
        <is>
          <t>1.5L</t>
        </is>
      </c>
      <c r="E138" s="27" t="n">
        <v>164</v>
      </c>
      <c r="F138" s="27" t="n">
        <v>204</v>
      </c>
      <c r="G138" s="27" t="n">
        <v>6</v>
      </c>
      <c r="H138" s="28" t="n">
        <v>70.67</v>
      </c>
      <c r="I138" s="28" t="n">
        <v>0</v>
      </c>
      <c r="J138" s="94" t="inlineStr">
        <is>
          <t>False</t>
        </is>
      </c>
      <c r="K138" s="28" t="n">
        <v>0</v>
      </c>
      <c r="L138" s="25" t="inlineStr">
        <is>
          <t>MOSCATO WHITE</t>
        </is>
      </c>
      <c r="M138" s="25" t="inlineStr">
        <is>
          <t>E &amp; J GALLO WINERY</t>
        </is>
      </c>
      <c r="N138" s="25" t="inlineStr">
        <is>
          <t>040012-GALLO WINES OF MISSISSIPPI</t>
        </is>
      </c>
      <c r="O138" s="25" t="n"/>
      <c r="P138" s="25" t="inlineStr">
        <is>
          <t>20085000020603</t>
        </is>
      </c>
      <c r="Q138" s="25" t="inlineStr">
        <is>
          <t>085000020609</t>
        </is>
      </c>
      <c r="R138" s="78" t="n">
        <v>42370</v>
      </c>
    </row>
    <row r="139">
      <c r="A139" t="inlineStr">
        <is>
          <t>or item code =</t>
        </is>
      </c>
      <c r="B139" s="25" t="inlineStr">
        <is>
          <t>443255</t>
        </is>
      </c>
      <c r="C139" s="25" t="inlineStr">
        <is>
          <t>BAREFOOT PINOT NOIR CALIFORNIA</t>
        </is>
      </c>
      <c r="D139" s="25" t="inlineStr">
        <is>
          <t>1.5L</t>
        </is>
      </c>
      <c r="E139" s="27" t="n">
        <v>52</v>
      </c>
      <c r="F139" s="27" t="n">
        <v>88</v>
      </c>
      <c r="G139" s="27" t="n">
        <v>6</v>
      </c>
      <c r="H139" s="28" t="n">
        <v>70.67</v>
      </c>
      <c r="I139" s="28" t="n">
        <v>0</v>
      </c>
      <c r="J139" s="94" t="inlineStr">
        <is>
          <t>False</t>
        </is>
      </c>
      <c r="K139" s="28" t="n">
        <v>0</v>
      </c>
      <c r="L139" s="25" t="inlineStr">
        <is>
          <t>PINOT NOIR</t>
        </is>
      </c>
      <c r="M139" s="25" t="inlineStr">
        <is>
          <t>E &amp; J GALLO WINERY</t>
        </is>
      </c>
      <c r="N139" s="25" t="inlineStr">
        <is>
          <t>040012-GALLO WINES OF MISSISSIPPI</t>
        </is>
      </c>
      <c r="O139" s="25" t="n"/>
      <c r="P139" s="25" t="inlineStr">
        <is>
          <t>20085000017368</t>
        </is>
      </c>
      <c r="Q139" s="25" t="inlineStr">
        <is>
          <t>0085000017364</t>
        </is>
      </c>
      <c r="R139" s="78" t="n">
        <v>42370</v>
      </c>
    </row>
    <row r="140">
      <c r="A140" t="inlineStr">
        <is>
          <t>or item code =</t>
        </is>
      </c>
      <c r="B140" s="25" t="inlineStr">
        <is>
          <t>442569</t>
        </is>
      </c>
      <c r="C140" s="25" t="inlineStr">
        <is>
          <t>BAREFOOT RED MOSCATO CALIFORNIA (PET)</t>
        </is>
      </c>
      <c r="D140" s="25" t="inlineStr">
        <is>
          <t>187ml</t>
        </is>
      </c>
      <c r="E140" s="27" t="n">
        <v>125</v>
      </c>
      <c r="F140" s="27" t="n">
        <v>49</v>
      </c>
      <c r="G140" s="27" t="n">
        <v>24</v>
      </c>
      <c r="H140" s="28" t="n">
        <v>38.53</v>
      </c>
      <c r="I140" s="28" t="n">
        <v>0</v>
      </c>
      <c r="J140" s="94" t="inlineStr">
        <is>
          <t>False</t>
        </is>
      </c>
      <c r="K140" s="28" t="n">
        <v>0</v>
      </c>
      <c r="L140" s="25" t="inlineStr">
        <is>
          <t>MOSCATO RED</t>
        </is>
      </c>
      <c r="M140" s="25" t="inlineStr">
        <is>
          <t>E &amp; J GALLO WINERY</t>
        </is>
      </c>
      <c r="N140" s="25" t="inlineStr">
        <is>
          <t>040012-GALLO WINES OF MISSISSIPPI</t>
        </is>
      </c>
      <c r="O140" s="25" t="n"/>
      <c r="P140" s="25" t="inlineStr">
        <is>
          <t>10085000001858</t>
        </is>
      </c>
      <c r="Q140" s="25" t="inlineStr">
        <is>
          <t>0085000001851</t>
        </is>
      </c>
      <c r="R140" s="78" t="n">
        <v>42370</v>
      </c>
    </row>
    <row r="141">
      <c r="A141" t="inlineStr">
        <is>
          <t>or item code =</t>
        </is>
      </c>
      <c r="B141" s="25" t="inlineStr">
        <is>
          <t>544117</t>
        </is>
      </c>
      <c r="C141" s="25" t="inlineStr">
        <is>
          <t>BAREFOOT RIESLING CALIFORNIA</t>
        </is>
      </c>
      <c r="D141" s="25" t="inlineStr">
        <is>
          <t>1.5L</t>
        </is>
      </c>
      <c r="E141" s="27" t="n">
        <v>93</v>
      </c>
      <c r="F141" s="27" t="n">
        <v>150</v>
      </c>
      <c r="G141" s="27" t="n">
        <v>6</v>
      </c>
      <c r="H141" s="28" t="n">
        <v>70.67</v>
      </c>
      <c r="I141" s="28" t="n">
        <v>0</v>
      </c>
      <c r="J141" s="94" t="inlineStr">
        <is>
          <t>False</t>
        </is>
      </c>
      <c r="K141" s="28" t="n">
        <v>0</v>
      </c>
      <c r="L141" s="25" t="inlineStr">
        <is>
          <t>RIESLING (WHITE/JOHANN)</t>
        </is>
      </c>
      <c r="M141" s="25" t="inlineStr">
        <is>
          <t>E &amp; J GALLO WINERY</t>
        </is>
      </c>
      <c r="N141" s="25" t="inlineStr">
        <is>
          <t>040012-GALLO WINES OF MISSISSIPPI</t>
        </is>
      </c>
      <c r="O141" s="25" t="n"/>
      <c r="P141" s="25" t="inlineStr">
        <is>
          <t>10031259032860</t>
        </is>
      </c>
      <c r="Q141" s="25" t="inlineStr">
        <is>
          <t>085000018132</t>
        </is>
      </c>
      <c r="R141" s="78" t="n">
        <v>42370</v>
      </c>
    </row>
    <row r="142">
      <c r="A142" t="inlineStr">
        <is>
          <t>or item code =</t>
        </is>
      </c>
      <c r="B142" s="25" t="inlineStr">
        <is>
          <t>544115</t>
        </is>
      </c>
      <c r="C142" s="25" t="inlineStr">
        <is>
          <t>BAREFOOT RIESLING CALIFORNIA</t>
        </is>
      </c>
      <c r="D142" s="25" t="inlineStr">
        <is>
          <t>750ml</t>
        </is>
      </c>
      <c r="E142" s="27" t="n">
        <v>45</v>
      </c>
      <c r="F142" s="27" t="n">
        <v>62</v>
      </c>
      <c r="G142" s="27" t="n">
        <v>12</v>
      </c>
      <c r="H142" s="28" t="n">
        <v>68.48999999999999</v>
      </c>
      <c r="I142" s="28" t="n">
        <v>8.56</v>
      </c>
      <c r="J142" s="94" t="inlineStr">
        <is>
          <t>False</t>
        </is>
      </c>
      <c r="K142" s="28" t="n">
        <v>0</v>
      </c>
      <c r="L142" s="25" t="inlineStr">
        <is>
          <t>RIESLING (WHITE/JOHANN)</t>
        </is>
      </c>
      <c r="M142" s="25" t="inlineStr">
        <is>
          <t>E &amp; J GALLO WINERY</t>
        </is>
      </c>
      <c r="N142" s="25" t="inlineStr">
        <is>
          <t>040012-GALLO WINES OF MISSISSIPPI</t>
        </is>
      </c>
      <c r="O142" s="25" t="n"/>
      <c r="P142" s="25" t="inlineStr">
        <is>
          <t>30085000015811</t>
        </is>
      </c>
      <c r="Q142" s="25" t="inlineStr">
        <is>
          <t>0085000015810</t>
        </is>
      </c>
      <c r="R142" s="78" t="n">
        <v>42370</v>
      </c>
    </row>
    <row r="143">
      <c r="A143" t="inlineStr">
        <is>
          <t>or item code =</t>
        </is>
      </c>
      <c r="B143" s="25" t="inlineStr">
        <is>
          <t>57049</t>
        </is>
      </c>
      <c r="C143" s="25" t="inlineStr">
        <is>
          <t>BARTON LONG ISLAND ICE TEA</t>
        </is>
      </c>
      <c r="D143" s="25" t="inlineStr">
        <is>
          <t>1.75L</t>
        </is>
      </c>
      <c r="E143" s="27" t="n">
        <v>75</v>
      </c>
      <c r="F143" s="27" t="n">
        <v>55</v>
      </c>
      <c r="G143" s="27" t="n">
        <v>6</v>
      </c>
      <c r="H143" s="28" t="n">
        <v>75.23</v>
      </c>
      <c r="I143" s="28" t="n">
        <v>0</v>
      </c>
      <c r="J143" s="94" t="inlineStr">
        <is>
          <t>False</t>
        </is>
      </c>
      <c r="K143" s="28" t="n">
        <v>0</v>
      </c>
      <c r="L143" s="25" t="inlineStr">
        <is>
          <t>COCKTAILS</t>
        </is>
      </c>
      <c r="M143" s="25" t="inlineStr">
        <is>
          <t>SAZERAC COMPANY</t>
        </is>
      </c>
      <c r="N143" s="25" t="inlineStr">
        <is>
          <t>040010-SOUTHERN GLAZERS WINE AND SPIRITS OF MISSISSIPPI LLC</t>
        </is>
      </c>
      <c r="O143" s="25" t="n"/>
      <c r="P143" s="25" t="inlineStr">
        <is>
          <t>10082928496612</t>
        </is>
      </c>
      <c r="Q143" s="25" t="inlineStr">
        <is>
          <t>0082928496615</t>
        </is>
      </c>
      <c r="R143" s="78" t="n">
        <v>42370</v>
      </c>
    </row>
    <row r="144">
      <c r="A144" t="inlineStr">
        <is>
          <t>or item code =</t>
        </is>
      </c>
      <c r="B144" s="25" t="inlineStr">
        <is>
          <t>57051</t>
        </is>
      </c>
      <c r="C144" s="25" t="inlineStr">
        <is>
          <t>BARTON LONG ISLAND ICED TEA</t>
        </is>
      </c>
      <c r="D144" s="25" t="inlineStr">
        <is>
          <t>1L</t>
        </is>
      </c>
      <c r="E144" s="27" t="n">
        <v>37</v>
      </c>
      <c r="F144" s="27" t="n">
        <v>74</v>
      </c>
      <c r="G144" s="27" t="n">
        <v>12</v>
      </c>
      <c r="H144" s="28" t="n">
        <v>84.22</v>
      </c>
      <c r="I144" s="28" t="n">
        <v>0</v>
      </c>
      <c r="J144" s="94" t="inlineStr">
        <is>
          <t>False</t>
        </is>
      </c>
      <c r="K144" s="28" t="n">
        <v>0</v>
      </c>
      <c r="L144" s="25" t="inlineStr">
        <is>
          <t>COCKTAILS</t>
        </is>
      </c>
      <c r="M144" s="25" t="inlineStr">
        <is>
          <t>SAZERAC COMPANY</t>
        </is>
      </c>
      <c r="N144" s="25" t="inlineStr">
        <is>
          <t>040010-SOUTHERN GLAZERS WINE AND SPIRITS OF MISSISSIPPI LLC</t>
        </is>
      </c>
      <c r="O144" s="25" t="n"/>
      <c r="P144" s="25" t="inlineStr">
        <is>
          <t>10080660640034</t>
        </is>
      </c>
      <c r="Q144" s="25" t="inlineStr">
        <is>
          <t>0080660640037</t>
        </is>
      </c>
      <c r="R144" s="78" t="n">
        <v>42370</v>
      </c>
    </row>
    <row r="145">
      <c r="A145" t="inlineStr">
        <is>
          <t>or item code =</t>
        </is>
      </c>
      <c r="B145" s="25" t="inlineStr">
        <is>
          <t>82358</t>
        </is>
      </c>
      <c r="C145" s="25" t="inlineStr">
        <is>
          <t>BARTON PEACH SCHNAPPS</t>
        </is>
      </c>
      <c r="D145" s="25" t="inlineStr">
        <is>
          <t>1.75L</t>
        </is>
      </c>
      <c r="E145" s="27" t="n">
        <v>108</v>
      </c>
      <c r="F145" s="27" t="n">
        <v>23</v>
      </c>
      <c r="G145" s="27" t="n">
        <v>6</v>
      </c>
      <c r="H145" s="28" t="n">
        <v>55.33</v>
      </c>
      <c r="I145" s="28" t="n">
        <v>0</v>
      </c>
      <c r="J145" s="94" t="inlineStr">
        <is>
          <t>False</t>
        </is>
      </c>
      <c r="K145" s="28" t="n">
        <v>0</v>
      </c>
      <c r="L145" s="25" t="inlineStr">
        <is>
          <t>LIQUEURS AND CORDIALS</t>
        </is>
      </c>
      <c r="M145" s="25" t="inlineStr">
        <is>
          <t>SAZERAC COMPANY</t>
        </is>
      </c>
      <c r="N145" s="25" t="inlineStr">
        <is>
          <t>040010-SOUTHERN GLAZERS WINE AND SPIRITS OF MISSISSIPPI LLC</t>
        </is>
      </c>
      <c r="O145" s="25" t="n"/>
      <c r="P145" s="25" t="inlineStr">
        <is>
          <t>10080660610112</t>
        </is>
      </c>
      <c r="Q145" s="25" t="inlineStr">
        <is>
          <t>0080660610115</t>
        </is>
      </c>
      <c r="R145" s="78" t="n">
        <v>42370</v>
      </c>
    </row>
    <row r="146">
      <c r="A146" t="inlineStr">
        <is>
          <t>or item code =</t>
        </is>
      </c>
      <c r="B146" s="25" t="inlineStr">
        <is>
          <t>44217</t>
        </is>
      </c>
      <c r="C146" s="25" t="inlineStr">
        <is>
          <t>BARTON'S LIGHT RUM</t>
        </is>
      </c>
      <c r="D146" s="25" t="inlineStr">
        <is>
          <t>1L</t>
        </is>
      </c>
      <c r="E146" s="27" t="n">
        <v>59</v>
      </c>
      <c r="F146" s="27" t="n">
        <v>43</v>
      </c>
      <c r="G146" s="27" t="n">
        <v>12</v>
      </c>
      <c r="H146" s="28" t="n">
        <v>80.15000000000001</v>
      </c>
      <c r="I146" s="28" t="n">
        <v>0</v>
      </c>
      <c r="J146" s="94" t="inlineStr">
        <is>
          <t>False</t>
        </is>
      </c>
      <c r="K146" s="28" t="n">
        <v>0</v>
      </c>
      <c r="L146" s="25" t="inlineStr">
        <is>
          <t>RUM</t>
        </is>
      </c>
      <c r="M146" s="25" t="inlineStr">
        <is>
          <t>SAZERAC COMPANY</t>
        </is>
      </c>
      <c r="N146" s="25" t="inlineStr">
        <is>
          <t>040010-SOUTHERN GLAZERS WINE AND SPIRITS OF MISSISSIPPI LLC</t>
        </is>
      </c>
      <c r="O146" s="25" t="n"/>
      <c r="P146" s="25" t="inlineStr">
        <is>
          <t>10080660559534</t>
        </is>
      </c>
      <c r="Q146" s="25" t="inlineStr">
        <is>
          <t>0080660559537</t>
        </is>
      </c>
      <c r="R146" s="78" t="n">
        <v>42370</v>
      </c>
    </row>
    <row r="147">
      <c r="A147" t="inlineStr">
        <is>
          <t>or item code =</t>
        </is>
      </c>
      <c r="B147" s="25" t="inlineStr">
        <is>
          <t>16682</t>
        </is>
      </c>
      <c r="C147" s="25" t="inlineStr">
        <is>
          <t>BASIL HAYDEN'S STRAIGHT BOURBON</t>
        </is>
      </c>
      <c r="D147" s="25" t="inlineStr">
        <is>
          <t>1.75L</t>
        </is>
      </c>
      <c r="E147" s="27" t="n">
        <v>258</v>
      </c>
      <c r="F147" s="27" t="n">
        <v>55</v>
      </c>
      <c r="G147" s="27" t="n">
        <v>6</v>
      </c>
      <c r="H147" s="28" t="n">
        <v>369.16</v>
      </c>
      <c r="I147" s="28" t="n">
        <v>23.09</v>
      </c>
      <c r="J147" s="94" t="inlineStr">
        <is>
          <t>False</t>
        </is>
      </c>
      <c r="K147" s="28" t="n">
        <v>0</v>
      </c>
      <c r="L147" s="25" t="inlineStr">
        <is>
          <t>WHISKEY - STR BOURBON</t>
        </is>
      </c>
      <c r="M147" s="25" t="inlineStr">
        <is>
          <t>JIM BEAM BRANDS CO</t>
        </is>
      </c>
      <c r="N147" s="25" t="inlineStr">
        <is>
          <t>040010-SOUTHERN GLAZERS WINE AND SPIRITS OF MISSISSIPPI LLC</t>
        </is>
      </c>
      <c r="O147" s="25" t="n"/>
      <c r="P147" s="25" t="inlineStr">
        <is>
          <t>10080686012396</t>
        </is>
      </c>
      <c r="Q147" s="25" t="inlineStr">
        <is>
          <t>080686012320</t>
        </is>
      </c>
      <c r="R147" s="78" t="n">
        <v>44228</v>
      </c>
    </row>
    <row r="148">
      <c r="A148" t="inlineStr">
        <is>
          <t>or item code =</t>
        </is>
      </c>
      <c r="B148" s="25" t="inlineStr">
        <is>
          <t>27189</t>
        </is>
      </c>
      <c r="C148" s="25" t="inlineStr">
        <is>
          <t>BASIL HAYDEN'S DARK RYE WHISKEY</t>
        </is>
      </c>
      <c r="D148" s="25" t="inlineStr">
        <is>
          <t>750ml</t>
        </is>
      </c>
      <c r="E148" s="27" t="n">
        <v>59</v>
      </c>
      <c r="F148" s="27" t="n">
        <v>50</v>
      </c>
      <c r="G148" s="27" t="n">
        <v>6</v>
      </c>
      <c r="H148" s="28" t="n">
        <v>193.8</v>
      </c>
      <c r="I148" s="28" t="n">
        <v>9.23</v>
      </c>
      <c r="J148" s="94" t="inlineStr">
        <is>
          <t>False</t>
        </is>
      </c>
      <c r="K148" s="28" t="n">
        <v>0</v>
      </c>
      <c r="L148" s="25" t="inlineStr">
        <is>
          <t>WHISKEY - RYE</t>
        </is>
      </c>
      <c r="M148" s="25" t="inlineStr">
        <is>
          <t>JIM BEAM BRANDS CO</t>
        </is>
      </c>
      <c r="N148" s="25" t="inlineStr">
        <is>
          <t>040010-SOUTHERN GLAZERS WINE AND SPIRITS OF MISSISSIPPI LLC</t>
        </is>
      </c>
      <c r="O148" s="25" t="n"/>
      <c r="P148" s="25" t="inlineStr">
        <is>
          <t>10080686012372</t>
        </is>
      </c>
      <c r="Q148" s="25" t="inlineStr">
        <is>
          <t>0080686012146</t>
        </is>
      </c>
      <c r="R148" s="78" t="n">
        <v>43844</v>
      </c>
    </row>
    <row r="149">
      <c r="A149" t="inlineStr">
        <is>
          <t>or item code =</t>
        </is>
      </c>
      <c r="B149" s="25" t="inlineStr">
        <is>
          <t>16673</t>
        </is>
      </c>
      <c r="C149" s="25" t="inlineStr">
        <is>
          <t>BASIL HAYDEN'S STRAIGHT BOURBON</t>
        </is>
      </c>
      <c r="D149" s="25" t="inlineStr">
        <is>
          <t>375ml</t>
        </is>
      </c>
      <c r="E149" s="27" t="n">
        <v>160</v>
      </c>
      <c r="F149" s="27" t="n">
        <v>27</v>
      </c>
      <c r="G149" s="27" t="n">
        <v>12</v>
      </c>
      <c r="H149" s="28" t="n">
        <v>205.63</v>
      </c>
      <c r="I149" s="28" t="n">
        <v>0</v>
      </c>
      <c r="J149" s="94" t="inlineStr">
        <is>
          <t>False</t>
        </is>
      </c>
      <c r="K149" s="28" t="n">
        <v>0</v>
      </c>
      <c r="L149" s="25" t="inlineStr">
        <is>
          <t>WHISKEY - STR BOURBON</t>
        </is>
      </c>
      <c r="M149" s="25" t="inlineStr">
        <is>
          <t>JIM BEAM BRANDS CO</t>
        </is>
      </c>
      <c r="N149" s="25" t="inlineStr">
        <is>
          <t>040010-SOUTHERN GLAZERS WINE AND SPIRITS OF MISSISSIPPI LLC</t>
        </is>
      </c>
      <c r="O149" s="25" t="n"/>
      <c r="P149" s="25" t="inlineStr">
        <is>
          <t>10080686012426</t>
        </is>
      </c>
      <c r="Q149" s="25" t="inlineStr">
        <is>
          <t>080686012122</t>
        </is>
      </c>
      <c r="R149" s="78" t="n">
        <v>43116</v>
      </c>
    </row>
    <row r="150">
      <c r="A150" t="inlineStr">
        <is>
          <t>or item code =</t>
        </is>
      </c>
      <c r="B150" s="25" t="inlineStr">
        <is>
          <t>16676</t>
        </is>
      </c>
      <c r="C150" s="25" t="inlineStr">
        <is>
          <t>BASIL HAYDEN'S STRAIGHT BOURBON</t>
        </is>
      </c>
      <c r="D150" s="25" t="inlineStr">
        <is>
          <t>750ml</t>
        </is>
      </c>
      <c r="E150" s="27" t="n">
        <v>159</v>
      </c>
      <c r="F150" s="27" t="n">
        <v>103</v>
      </c>
      <c r="G150" s="27" t="n">
        <v>12</v>
      </c>
      <c r="H150" s="28" t="n">
        <v>396.83</v>
      </c>
      <c r="I150" s="28" t="n">
        <v>0</v>
      </c>
      <c r="J150" s="94" t="inlineStr">
        <is>
          <t>False</t>
        </is>
      </c>
      <c r="K150" s="28" t="n">
        <v>0</v>
      </c>
      <c r="L150" s="25" t="inlineStr">
        <is>
          <t>WHISKEY - STR BOURBON</t>
        </is>
      </c>
      <c r="M150" s="25" t="inlineStr">
        <is>
          <t>JIM BEAM BRANDS CO</t>
        </is>
      </c>
      <c r="N150" s="25" t="inlineStr">
        <is>
          <t>040010-SOUTHERN GLAZERS WINE AND SPIRITS OF MISSISSIPPI LLC</t>
        </is>
      </c>
      <c r="O150" s="25" t="n"/>
      <c r="P150" s="25" t="inlineStr">
        <is>
          <t>10080686012433</t>
        </is>
      </c>
      <c r="Q150" s="25" t="inlineStr">
        <is>
          <t>0080686012405</t>
        </is>
      </c>
      <c r="R150" s="78" t="n">
        <v>44470</v>
      </c>
    </row>
    <row r="151">
      <c r="A151" t="inlineStr">
        <is>
          <t>or item code =</t>
        </is>
      </c>
      <c r="B151" s="25" t="inlineStr">
        <is>
          <t>16685</t>
        </is>
      </c>
      <c r="C151" s="25" t="inlineStr">
        <is>
          <t>BASIL HAYDEN'S TOAST KENTUCKY SBW</t>
        </is>
      </c>
      <c r="D151" s="25" t="inlineStr">
        <is>
          <t>750ml</t>
        </is>
      </c>
      <c r="E151" s="27" t="n">
        <v>0</v>
      </c>
      <c r="F151" s="27" t="n">
        <v>1</v>
      </c>
      <c r="G151" s="27" t="n">
        <v>6</v>
      </c>
      <c r="H151" s="28" t="n">
        <v>255.07</v>
      </c>
      <c r="I151" s="28" t="n">
        <v>0</v>
      </c>
      <c r="J151" s="94" t="inlineStr">
        <is>
          <t>False</t>
        </is>
      </c>
      <c r="K151" s="28" t="n">
        <v>0</v>
      </c>
      <c r="L151" s="25" t="inlineStr">
        <is>
          <t>WHISKEY - STR BOURBON</t>
        </is>
      </c>
      <c r="M151" s="25" t="inlineStr">
        <is>
          <t>JIM BEAM BRANDS CO</t>
        </is>
      </c>
      <c r="N151" s="25" t="inlineStr">
        <is>
          <t>040010-SOUTHERN GLAZERS WINE AND SPIRITS OF MISSISSIPPI LLC</t>
        </is>
      </c>
      <c r="O151" s="25" t="n"/>
      <c r="P151" s="25" t="inlineStr">
        <is>
          <t>10080686012341</t>
        </is>
      </c>
      <c r="Q151" s="25" t="inlineStr">
        <is>
          <t>080686012344</t>
        </is>
      </c>
      <c r="R151" s="78" t="n">
        <v>44931</v>
      </c>
    </row>
    <row r="152">
      <c r="A152" t="inlineStr">
        <is>
          <t>or item code =</t>
        </is>
      </c>
      <c r="B152" s="25" t="inlineStr">
        <is>
          <t>22783</t>
        </is>
      </c>
      <c r="C152" s="25" t="inlineStr">
        <is>
          <t>BEAM'S 8 STAR BLENDED WHISKEY</t>
        </is>
      </c>
      <c r="D152" s="25" t="inlineStr">
        <is>
          <t>200ml</t>
        </is>
      </c>
      <c r="E152" s="27" t="n">
        <v>0</v>
      </c>
      <c r="F152" s="27" t="n">
        <v>2</v>
      </c>
      <c r="G152" s="27" t="n">
        <v>48</v>
      </c>
      <c r="H152" s="28" t="n">
        <v>78.5</v>
      </c>
      <c r="I152" s="28" t="n">
        <v>0</v>
      </c>
      <c r="J152" s="94" t="inlineStr">
        <is>
          <t>False</t>
        </is>
      </c>
      <c r="K152" s="28" t="n">
        <v>0</v>
      </c>
      <c r="L152" s="25" t="inlineStr">
        <is>
          <t>WHISKEY - BLENDED</t>
        </is>
      </c>
      <c r="M152" s="25" t="inlineStr">
        <is>
          <t>JIM BEAM BRANDS CO</t>
        </is>
      </c>
      <c r="N152" s="25" t="inlineStr">
        <is>
          <t>040010-SOUTHERN GLAZERS WINE AND SPIRITS OF MISSISSIPPI LLC</t>
        </is>
      </c>
      <c r="O152" s="25" t="n"/>
      <c r="P152" s="25" t="inlineStr">
        <is>
          <t>10080686022012</t>
        </is>
      </c>
      <c r="Q152" s="25" t="inlineStr">
        <is>
          <t>0080686022701</t>
        </is>
      </c>
      <c r="R152" s="78" t="n">
        <v>42370</v>
      </c>
    </row>
    <row r="153">
      <c r="A153" t="inlineStr">
        <is>
          <t>or item code =</t>
        </is>
      </c>
      <c r="B153" s="25" t="inlineStr">
        <is>
          <t>22786</t>
        </is>
      </c>
      <c r="C153" s="25" t="inlineStr">
        <is>
          <t>BEAM'S 8 STAR BLENDED WHISKEY</t>
        </is>
      </c>
      <c r="D153" s="25" t="inlineStr">
        <is>
          <t>750ml</t>
        </is>
      </c>
      <c r="E153" s="27" t="n">
        <v>78</v>
      </c>
      <c r="F153" s="27" t="n">
        <v>52</v>
      </c>
      <c r="G153" s="27" t="n">
        <v>12</v>
      </c>
      <c r="H153" s="28" t="n">
        <v>82.97</v>
      </c>
      <c r="I153" s="28" t="n">
        <v>0</v>
      </c>
      <c r="J153" s="94" t="inlineStr">
        <is>
          <t>False</t>
        </is>
      </c>
      <c r="K153" s="28" t="n">
        <v>0</v>
      </c>
      <c r="L153" s="25" t="inlineStr">
        <is>
          <t>WHISKEY - BLENDED</t>
        </is>
      </c>
      <c r="M153" s="25" t="inlineStr">
        <is>
          <t>JIM BEAM BRANDS CO</t>
        </is>
      </c>
      <c r="N153" s="25" t="inlineStr">
        <is>
          <t>040010-SOUTHERN GLAZERS WINE AND SPIRITS OF MISSISSIPPI LLC</t>
        </is>
      </c>
      <c r="O153" s="25" t="n"/>
      <c r="P153" s="25" t="inlineStr">
        <is>
          <t>10080686022401</t>
        </is>
      </c>
      <c r="Q153" s="25" t="inlineStr">
        <is>
          <t>0080686022404</t>
        </is>
      </c>
      <c r="R153" s="78" t="n">
        <v>42370</v>
      </c>
    </row>
    <row r="154">
      <c r="A154" t="inlineStr">
        <is>
          <t>or item code =</t>
        </is>
      </c>
      <c r="B154" s="25" t="inlineStr">
        <is>
          <t>22788</t>
        </is>
      </c>
      <c r="C154" s="25" t="inlineStr">
        <is>
          <t>BEAM'S 8 STAR BLENDED WHISKEY</t>
        </is>
      </c>
      <c r="D154" s="25" t="inlineStr">
        <is>
          <t>1.75L</t>
        </is>
      </c>
      <c r="E154" s="27" t="n">
        <v>0</v>
      </c>
      <c r="F154" s="27" t="n">
        <v>2</v>
      </c>
      <c r="G154" s="27" t="n">
        <v>6</v>
      </c>
      <c r="H154" s="28" t="n">
        <v>73.78</v>
      </c>
      <c r="I154" s="28" t="n">
        <v>0</v>
      </c>
      <c r="J154" s="94" t="inlineStr">
        <is>
          <t>False</t>
        </is>
      </c>
      <c r="K154" s="28" t="n">
        <v>0</v>
      </c>
      <c r="L154" s="25" t="inlineStr">
        <is>
          <t>WHISKEY - BLENDED</t>
        </is>
      </c>
      <c r="M154" s="25" t="inlineStr">
        <is>
          <t>JIM BEAM BRANDS CO</t>
        </is>
      </c>
      <c r="N154" s="25" t="inlineStr">
        <is>
          <t>040010-SOUTHERN GLAZERS WINE AND SPIRITS OF MISSISSIPPI LLC</t>
        </is>
      </c>
      <c r="O154" s="25" t="n"/>
      <c r="P154" s="25" t="inlineStr">
        <is>
          <t>10080686022104</t>
        </is>
      </c>
      <c r="Q154" s="25" t="inlineStr">
        <is>
          <t>0080686022107</t>
        </is>
      </c>
      <c r="R154" s="78" t="n">
        <v>42370</v>
      </c>
    </row>
    <row r="155">
      <c r="A155" t="inlineStr">
        <is>
          <t>or item code =</t>
        </is>
      </c>
      <c r="B155" s="25" t="inlineStr">
        <is>
          <t>22784</t>
        </is>
      </c>
      <c r="C155" s="25" t="inlineStr">
        <is>
          <t>BEAM'S 8 STAR BLENDED WHISKEY</t>
        </is>
      </c>
      <c r="D155" s="25" t="inlineStr">
        <is>
          <t>375ml</t>
        </is>
      </c>
      <c r="E155" s="27" t="n">
        <v>5</v>
      </c>
      <c r="F155" s="27" t="n">
        <v>156</v>
      </c>
      <c r="G155" s="27" t="n">
        <v>24</v>
      </c>
      <c r="H155" s="28" t="n">
        <v>85.53</v>
      </c>
      <c r="I155" s="28" t="n">
        <v>0</v>
      </c>
      <c r="J155" s="94" t="inlineStr">
        <is>
          <t>False</t>
        </is>
      </c>
      <c r="K155" s="28" t="n">
        <v>0</v>
      </c>
      <c r="L155" s="25" t="inlineStr">
        <is>
          <t>WHISKEY - BLENDED</t>
        </is>
      </c>
      <c r="M155" s="25" t="inlineStr">
        <is>
          <t>JIM BEAM BRANDS CO</t>
        </is>
      </c>
      <c r="N155" s="25" t="inlineStr">
        <is>
          <t>040010-SOUTHERN GLAZERS WINE AND SPIRITS OF MISSISSIPPI LLC</t>
        </is>
      </c>
      <c r="O155" s="25" t="n"/>
      <c r="P155" s="25" t="inlineStr">
        <is>
          <t>10080686022036</t>
        </is>
      </c>
      <c r="Q155" s="25" t="inlineStr">
        <is>
          <t>0080686022602</t>
        </is>
      </c>
      <c r="R155" s="78" t="n">
        <v>42370</v>
      </c>
    </row>
    <row r="156">
      <c r="A156" t="inlineStr">
        <is>
          <t>or item code =</t>
        </is>
      </c>
      <c r="B156" s="25" t="inlineStr">
        <is>
          <t>28086</t>
        </is>
      </c>
      <c r="C156" s="25" t="inlineStr">
        <is>
          <t>BEEFEATER GIN</t>
        </is>
      </c>
      <c r="D156" s="25" t="inlineStr">
        <is>
          <t>750ml</t>
        </is>
      </c>
      <c r="E156" s="27" t="n">
        <v>0</v>
      </c>
      <c r="F156" s="27" t="n">
        <v>8</v>
      </c>
      <c r="G156" s="27" t="n">
        <v>12</v>
      </c>
      <c r="H156" s="28" t="n">
        <v>193.88</v>
      </c>
      <c r="I156" s="28" t="n">
        <v>0</v>
      </c>
      <c r="J156" s="94" t="inlineStr">
        <is>
          <t>False</t>
        </is>
      </c>
      <c r="K156" s="28" t="n">
        <v>0</v>
      </c>
      <c r="L156" s="25" t="inlineStr">
        <is>
          <t>GIN</t>
        </is>
      </c>
      <c r="M156" s="25" t="inlineStr">
        <is>
          <t>PERNOD RICARD USA LLC</t>
        </is>
      </c>
      <c r="N156" s="25" t="inlineStr">
        <is>
          <t>040010-SOUTHERN GLAZERS WINE AND SPIRITS OF MISSISSIPPI LLC</t>
        </is>
      </c>
      <c r="O156" s="25" t="n"/>
      <c r="P156" s="25" t="inlineStr">
        <is>
          <t>10089540333493</t>
        </is>
      </c>
      <c r="Q156" s="25" t="inlineStr">
        <is>
          <t>0089540333496</t>
        </is>
      </c>
      <c r="R156" s="78" t="n">
        <v>42370</v>
      </c>
    </row>
    <row r="157">
      <c r="A157" t="inlineStr">
        <is>
          <t>or item code =</t>
        </is>
      </c>
      <c r="B157" s="25" t="inlineStr">
        <is>
          <t>443945</t>
        </is>
      </c>
      <c r="C157" s="25" t="inlineStr">
        <is>
          <t>BELLE GLOS CLARK &amp; TELEPHONE VINEYARD PINOT NOIR</t>
        </is>
      </c>
      <c r="D157" s="25" t="inlineStr">
        <is>
          <t>750ml</t>
        </is>
      </c>
      <c r="E157" s="27" t="n">
        <v>30</v>
      </c>
      <c r="F157" s="27" t="n">
        <v>11</v>
      </c>
      <c r="G157" s="27" t="n">
        <v>12</v>
      </c>
      <c r="H157" s="28" t="n">
        <v>428.48</v>
      </c>
      <c r="I157" s="28" t="n">
        <v>0</v>
      </c>
      <c r="J157" s="94" t="inlineStr">
        <is>
          <t>False</t>
        </is>
      </c>
      <c r="K157" s="28" t="n">
        <v>0</v>
      </c>
      <c r="L157" s="25" t="inlineStr">
        <is>
          <t>PINOT NOIR</t>
        </is>
      </c>
      <c r="M157" s="25" t="inlineStr">
        <is>
          <t>COPPER CANE</t>
        </is>
      </c>
      <c r="N157" s="25" t="inlineStr">
        <is>
          <t>040003-RNDC-VINTAGE</t>
        </is>
      </c>
      <c r="O157" s="25" t="n"/>
      <c r="P157" s="25" t="inlineStr">
        <is>
          <t>20855622000112</t>
        </is>
      </c>
      <c r="Q157" s="25" t="inlineStr">
        <is>
          <t>0855622000118</t>
        </is>
      </c>
      <c r="R157" s="78" t="n">
        <v>42370</v>
      </c>
    </row>
    <row r="158">
      <c r="A158" t="inlineStr">
        <is>
          <t>or item code =</t>
        </is>
      </c>
      <c r="B158" s="25" t="inlineStr">
        <is>
          <t>16796</t>
        </is>
      </c>
      <c r="C158" s="25" t="inlineStr">
        <is>
          <t>BELLE MEADE SOUR MASH STRAIGHT BOURBON</t>
        </is>
      </c>
      <c r="D158" s="25" t="inlineStr">
        <is>
          <t>750ml</t>
        </is>
      </c>
      <c r="E158" s="27" t="n">
        <v>2</v>
      </c>
      <c r="F158" s="27" t="n">
        <v>8</v>
      </c>
      <c r="G158" s="27" t="n">
        <v>6</v>
      </c>
      <c r="H158" s="28" t="n">
        <v>221.49</v>
      </c>
      <c r="I158" s="28" t="n">
        <v>0</v>
      </c>
      <c r="J158" s="94" t="inlineStr">
        <is>
          <t>False</t>
        </is>
      </c>
      <c r="K158" s="28" t="n">
        <v>0</v>
      </c>
      <c r="L158" s="25" t="inlineStr">
        <is>
          <t>WHISKEY - STR BOURBON</t>
        </is>
      </c>
      <c r="M158" s="25" t="inlineStr">
        <is>
          <t>CONSTELLATION BRANDS INC</t>
        </is>
      </c>
      <c r="N158" s="25" t="inlineStr">
        <is>
          <t>040010-SOUTHERN GLAZERS WINE AND SPIRITS OF MISSISSIPPI LLC</t>
        </is>
      </c>
      <c r="O158" s="25" t="n"/>
      <c r="P158" s="25" t="inlineStr">
        <is>
          <t>20609224885857</t>
        </is>
      </c>
      <c r="Q158" s="25" t="inlineStr">
        <is>
          <t>0609224885853</t>
        </is>
      </c>
      <c r="R158" s="78" t="n">
        <v>42774</v>
      </c>
    </row>
    <row r="159">
      <c r="A159" t="inlineStr">
        <is>
          <t>or item code =</t>
        </is>
      </c>
      <c r="B159" s="25" t="inlineStr">
        <is>
          <t>36697</t>
        </is>
      </c>
      <c r="C159" s="25" t="inlineStr">
        <is>
          <t>BELVEDERE UNFILTERED SOMGORY FOREST SINGLE ESTATE</t>
        </is>
      </c>
      <c r="D159" s="25" t="inlineStr">
        <is>
          <t>750ml</t>
        </is>
      </c>
      <c r="E159" s="27" t="n">
        <v>0</v>
      </c>
      <c r="F159" s="27" t="n">
        <v>0</v>
      </c>
      <c r="G159" s="27" t="n">
        <v>6</v>
      </c>
      <c r="H159" s="28" t="n">
        <v>124.4</v>
      </c>
      <c r="I159" s="28" t="n">
        <v>0</v>
      </c>
      <c r="J159" s="94" t="inlineStr">
        <is>
          <t>False</t>
        </is>
      </c>
      <c r="K159" s="28" t="n">
        <v>0</v>
      </c>
      <c r="L159" s="25" t="inlineStr">
        <is>
          <t>VODKA</t>
        </is>
      </c>
      <c r="M159" s="25" t="inlineStr">
        <is>
          <t>MOET HENNESSY USA</t>
        </is>
      </c>
      <c r="N159" s="25" t="inlineStr">
        <is>
          <t>040010-SOUTHERN GLAZERS WINE AND SPIRITS OF MISSISSIPPI LLC</t>
        </is>
      </c>
      <c r="O159" s="25" t="n"/>
      <c r="P159" s="25" t="inlineStr">
        <is>
          <t>10081753835252</t>
        </is>
      </c>
      <c r="Q159" s="25" t="inlineStr">
        <is>
          <t>081753829568</t>
        </is>
      </c>
      <c r="R159" s="78" t="n">
        <v>43984</v>
      </c>
    </row>
    <row r="160">
      <c r="A160" t="inlineStr">
        <is>
          <t>or item code =</t>
        </is>
      </c>
      <c r="B160" s="25" t="inlineStr">
        <is>
          <t>34158</t>
        </is>
      </c>
      <c r="C160" s="25" t="inlineStr">
        <is>
          <t>BELVEDERE VODKA</t>
        </is>
      </c>
      <c r="D160" s="25" t="inlineStr">
        <is>
          <t>1.75L</t>
        </is>
      </c>
      <c r="E160" s="27" t="n">
        <v>0</v>
      </c>
      <c r="F160" s="27" t="n">
        <v>6</v>
      </c>
      <c r="G160" s="27" t="n">
        <v>6</v>
      </c>
      <c r="H160" s="28" t="n">
        <v>266.62</v>
      </c>
      <c r="I160" s="28" t="n">
        <v>0</v>
      </c>
      <c r="J160" s="94" t="inlineStr">
        <is>
          <t>False</t>
        </is>
      </c>
      <c r="K160" s="28" t="n">
        <v>0</v>
      </c>
      <c r="L160" s="25" t="inlineStr">
        <is>
          <t>VODKA</t>
        </is>
      </c>
      <c r="M160" s="25" t="inlineStr">
        <is>
          <t>MOET HENNESSY USA</t>
        </is>
      </c>
      <c r="N160" s="25" t="inlineStr">
        <is>
          <t>040010-SOUTHERN GLAZERS WINE AND SPIRITS OF MISSISSIPPI LLC</t>
        </is>
      </c>
      <c r="O160" s="25" t="n"/>
      <c r="P160" s="25" t="inlineStr">
        <is>
          <t>10081753822276</t>
        </is>
      </c>
      <c r="Q160" s="25" t="inlineStr">
        <is>
          <t>0087116069732</t>
        </is>
      </c>
      <c r="R160" s="78" t="n">
        <v>42370</v>
      </c>
    </row>
    <row r="161">
      <c r="A161" t="inlineStr">
        <is>
          <t>or item code =</t>
        </is>
      </c>
      <c r="B161" s="25" t="inlineStr">
        <is>
          <t>34163</t>
        </is>
      </c>
      <c r="C161" s="25" t="inlineStr">
        <is>
          <t>BELVEDERE VODKA</t>
        </is>
      </c>
      <c r="D161" s="25" t="inlineStr">
        <is>
          <t>200ml</t>
        </is>
      </c>
      <c r="E161" s="27" t="n">
        <v>97</v>
      </c>
      <c r="F161" s="27" t="n">
        <v>13</v>
      </c>
      <c r="G161" s="27" t="n">
        <v>12</v>
      </c>
      <c r="H161" s="28" t="n">
        <v>88.8</v>
      </c>
      <c r="I161" s="28" t="n">
        <v>0</v>
      </c>
      <c r="J161" s="94" t="inlineStr">
        <is>
          <t>False</t>
        </is>
      </c>
      <c r="K161" s="28" t="n">
        <v>0</v>
      </c>
      <c r="L161" s="25" t="inlineStr">
        <is>
          <t>VODKA</t>
        </is>
      </c>
      <c r="M161" s="25" t="inlineStr">
        <is>
          <t>MOET HENNESSY USA</t>
        </is>
      </c>
      <c r="N161" s="25" t="inlineStr">
        <is>
          <t>040010-SOUTHERN GLAZERS WINE AND SPIRITS OF MISSISSIPPI LLC</t>
        </is>
      </c>
      <c r="O161" s="25" t="n"/>
      <c r="P161" s="25" t="inlineStr">
        <is>
          <t>10080686961045</t>
        </is>
      </c>
      <c r="Q161" s="25" t="inlineStr">
        <is>
          <t>0087116069794</t>
        </is>
      </c>
      <c r="R161" s="78" t="n">
        <v>42278</v>
      </c>
    </row>
    <row r="162">
      <c r="A162" t="inlineStr">
        <is>
          <t>or item code =</t>
        </is>
      </c>
      <c r="B162" s="25" t="inlineStr">
        <is>
          <t>34162</t>
        </is>
      </c>
      <c r="C162" s="25" t="inlineStr">
        <is>
          <t>BELVEDERE VODKA</t>
        </is>
      </c>
      <c r="D162" s="25" t="inlineStr">
        <is>
          <t>1L</t>
        </is>
      </c>
      <c r="E162" s="27" t="n">
        <v>162</v>
      </c>
      <c r="F162" s="27" t="n">
        <v>79</v>
      </c>
      <c r="G162" s="27" t="n">
        <v>6</v>
      </c>
      <c r="H162" s="28" t="n">
        <v>143.2</v>
      </c>
      <c r="I162" s="28" t="n">
        <v>30.08</v>
      </c>
      <c r="J162" s="94" t="inlineStr">
        <is>
          <t>False</t>
        </is>
      </c>
      <c r="K162" s="28" t="n">
        <v>0</v>
      </c>
      <c r="L162" s="25" t="inlineStr">
        <is>
          <t>VODKA</t>
        </is>
      </c>
      <c r="M162" s="25" t="inlineStr">
        <is>
          <t>MOET HENNESSY USA</t>
        </is>
      </c>
      <c r="N162" s="25" t="inlineStr">
        <is>
          <t>040010-SOUTHERN GLAZERS WINE AND SPIRITS OF MISSISSIPPI LLC</t>
        </is>
      </c>
      <c r="O162" s="25" t="n"/>
      <c r="P162" s="25" t="inlineStr">
        <is>
          <t>30087116069818</t>
        </is>
      </c>
      <c r="Q162" s="25" t="inlineStr">
        <is>
          <t>0087116069817</t>
        </is>
      </c>
      <c r="R162" s="78" t="n">
        <v>42278</v>
      </c>
    </row>
    <row r="163">
      <c r="A163" t="inlineStr">
        <is>
          <t>or item code =</t>
        </is>
      </c>
      <c r="B163" s="25" t="inlineStr">
        <is>
          <t>34155</t>
        </is>
      </c>
      <c r="C163" s="25" t="inlineStr">
        <is>
          <t>BELVEDERE VODKA</t>
        </is>
      </c>
      <c r="D163" s="25" t="inlineStr">
        <is>
          <t>750ml</t>
        </is>
      </c>
      <c r="E163" s="27" t="n">
        <v>1331</v>
      </c>
      <c r="F163" s="27" t="n">
        <v>65</v>
      </c>
      <c r="G163" s="27" t="n">
        <v>6</v>
      </c>
      <c r="H163" s="28" t="n">
        <v>137.73</v>
      </c>
      <c r="I163" s="28" t="n">
        <v>0</v>
      </c>
      <c r="J163" s="94" t="inlineStr">
        <is>
          <t>False</t>
        </is>
      </c>
      <c r="K163" s="28" t="n">
        <v>0</v>
      </c>
      <c r="L163" s="25" t="inlineStr">
        <is>
          <t>VODKA</t>
        </is>
      </c>
      <c r="M163" s="25" t="inlineStr">
        <is>
          <t>MOET HENNESSY USA</t>
        </is>
      </c>
      <c r="N163" s="25" t="inlineStr">
        <is>
          <t>040010-SOUTHERN GLAZERS WINE AND SPIRITS OF MISSISSIPPI LLC</t>
        </is>
      </c>
      <c r="O163" s="25" t="n"/>
      <c r="P163" s="25" t="inlineStr">
        <is>
          <t>30087116069689</t>
        </is>
      </c>
      <c r="Q163" s="25" t="inlineStr">
        <is>
          <t>0087116069688</t>
        </is>
      </c>
      <c r="R163" s="78" t="n">
        <v>42278</v>
      </c>
    </row>
    <row r="164">
      <c r="A164" t="inlineStr">
        <is>
          <t>or item code =</t>
        </is>
      </c>
      <c r="B164" s="25" t="inlineStr">
        <is>
          <t>34154</t>
        </is>
      </c>
      <c r="C164" s="25" t="inlineStr">
        <is>
          <t>BELVEDERE VODKA</t>
        </is>
      </c>
      <c r="D164" s="25" t="inlineStr">
        <is>
          <t>375ml</t>
        </is>
      </c>
      <c r="E164" s="27" t="n">
        <v>94</v>
      </c>
      <c r="F164" s="27" t="n">
        <v>127</v>
      </c>
      <c r="G164" s="27" t="n">
        <v>12</v>
      </c>
      <c r="H164" s="28" t="n">
        <v>118.06</v>
      </c>
      <c r="I164" s="28" t="n">
        <v>24.07</v>
      </c>
      <c r="J164" s="94" t="inlineStr">
        <is>
          <t>False</t>
        </is>
      </c>
      <c r="K164" s="28" t="n">
        <v>0</v>
      </c>
      <c r="L164" s="25" t="inlineStr">
        <is>
          <t>VODKA</t>
        </is>
      </c>
      <c r="M164" s="25" t="inlineStr">
        <is>
          <t>MOET HENNESSY USA</t>
        </is>
      </c>
      <c r="N164" s="25" t="inlineStr">
        <is>
          <t>040010-SOUTHERN GLAZERS WINE AND SPIRITS OF MISSISSIPPI LLC</t>
        </is>
      </c>
      <c r="O164" s="25" t="n"/>
      <c r="P164" s="25" t="n"/>
      <c r="Q164" s="25" t="inlineStr">
        <is>
          <t>087116069657</t>
        </is>
      </c>
      <c r="R164" s="78" t="n">
        <v>42370</v>
      </c>
    </row>
    <row r="165">
      <c r="A165" t="inlineStr">
        <is>
          <t>or item code =</t>
        </is>
      </c>
      <c r="B165" s="25" t="inlineStr">
        <is>
          <t>21480</t>
        </is>
      </c>
      <c r="C165" s="25" t="inlineStr">
        <is>
          <t>BENCHMARK STRAIGHT BOURBON</t>
        </is>
      </c>
      <c r="D165" s="25" t="inlineStr">
        <is>
          <t>750ml</t>
        </is>
      </c>
      <c r="E165" s="27" t="n">
        <v>0</v>
      </c>
      <c r="F165" s="27" t="n">
        <v>16</v>
      </c>
      <c r="G165" s="27" t="n">
        <v>12</v>
      </c>
      <c r="H165" s="28" t="n">
        <v>119.91</v>
      </c>
      <c r="I165" s="28" t="n">
        <v>0</v>
      </c>
      <c r="J165" s="94" t="inlineStr">
        <is>
          <t>False</t>
        </is>
      </c>
      <c r="K165" s="28" t="n">
        <v>0</v>
      </c>
      <c r="L165" s="25" t="inlineStr">
        <is>
          <t>WHISKEY - STR BOURBON</t>
        </is>
      </c>
      <c r="M165" s="25" t="inlineStr">
        <is>
          <t>SAZERAC COMPANY</t>
        </is>
      </c>
      <c r="N165" s="25" t="inlineStr">
        <is>
          <t>040002-RNDC-MAGNOLIA</t>
        </is>
      </c>
      <c r="O165" s="25" t="n"/>
      <c r="P165" s="25" t="inlineStr">
        <is>
          <t>10088004004108</t>
        </is>
      </c>
      <c r="Q165" s="25" t="inlineStr">
        <is>
          <t>0088004020842</t>
        </is>
      </c>
      <c r="R165" s="78" t="n">
        <v>42370</v>
      </c>
    </row>
    <row r="166">
      <c r="A166" t="inlineStr">
        <is>
          <t>or item code =</t>
        </is>
      </c>
      <c r="B166" s="25" t="inlineStr">
        <is>
          <t>21482</t>
        </is>
      </c>
      <c r="C166" s="25" t="inlineStr">
        <is>
          <t>BENCHMARK STRAIGHT BOURBON (PET)</t>
        </is>
      </c>
      <c r="D166" s="25" t="inlineStr">
        <is>
          <t>1.75L</t>
        </is>
      </c>
      <c r="E166" s="27" t="n">
        <v>0</v>
      </c>
      <c r="F166" s="27" t="n">
        <v>14</v>
      </c>
      <c r="G166" s="27" t="n">
        <v>6</v>
      </c>
      <c r="H166" s="28" t="n">
        <v>115.33</v>
      </c>
      <c r="I166" s="28" t="n">
        <v>0</v>
      </c>
      <c r="J166" s="94" t="inlineStr">
        <is>
          <t>False</t>
        </is>
      </c>
      <c r="K166" s="28" t="n">
        <v>0</v>
      </c>
      <c r="L166" s="25" t="inlineStr">
        <is>
          <t>WHISKEY - STR BOURBON</t>
        </is>
      </c>
      <c r="M166" s="25" t="inlineStr">
        <is>
          <t>SAZERAC COMPANY</t>
        </is>
      </c>
      <c r="N166" s="25" t="inlineStr">
        <is>
          <t>040002-RNDC-MAGNOLIA</t>
        </is>
      </c>
      <c r="O166" s="25" t="n"/>
      <c r="P166" s="25" t="inlineStr">
        <is>
          <t>10088004020825</t>
        </is>
      </c>
      <c r="Q166" s="25" t="inlineStr">
        <is>
          <t>0088004020828</t>
        </is>
      </c>
      <c r="R166" s="78" t="n">
        <v>42370</v>
      </c>
    </row>
    <row r="167">
      <c r="A167" t="inlineStr">
        <is>
          <t>or item code =</t>
        </is>
      </c>
      <c r="B167" s="25" t="inlineStr">
        <is>
          <t>548562</t>
        </is>
      </c>
      <c r="C167" s="25" t="inlineStr">
        <is>
          <t>BERINGER CALIF CHARDONNAY</t>
        </is>
      </c>
      <c r="D167" s="25" t="inlineStr">
        <is>
          <t>1.5L</t>
        </is>
      </c>
      <c r="E167" s="27" t="n">
        <v>1</v>
      </c>
      <c r="F167" s="27" t="n">
        <v>4</v>
      </c>
      <c r="G167" s="27" t="n">
        <v>6</v>
      </c>
      <c r="H167" s="28" t="n">
        <v>60.26</v>
      </c>
      <c r="I167" s="28" t="n">
        <v>0</v>
      </c>
      <c r="J167" s="94" t="inlineStr">
        <is>
          <t>False</t>
        </is>
      </c>
      <c r="K167" s="28" t="n">
        <v>0</v>
      </c>
      <c r="L167" s="25" t="inlineStr">
        <is>
          <t>CHARDONNAY</t>
        </is>
      </c>
      <c r="M167" s="25" t="inlineStr">
        <is>
          <t>THE WINE GROUP LTD</t>
        </is>
      </c>
      <c r="N167" s="25" t="inlineStr">
        <is>
          <t>040003-RNDC-VINTAGE</t>
        </is>
      </c>
      <c r="O167" s="25" t="n"/>
      <c r="P167" s="25" t="inlineStr">
        <is>
          <t>30089819543138</t>
        </is>
      </c>
      <c r="Q167" s="25" t="inlineStr">
        <is>
          <t>089819543137</t>
        </is>
      </c>
      <c r="R167" s="78" t="n">
        <v>42278</v>
      </c>
    </row>
    <row r="168">
      <c r="A168" t="inlineStr">
        <is>
          <t>or item code =</t>
        </is>
      </c>
      <c r="B168" s="25" t="inlineStr">
        <is>
          <t>548561</t>
        </is>
      </c>
      <c r="C168" s="25" t="inlineStr">
        <is>
          <t>BERINGER CALIF CHARDONNAY (BONUS)</t>
        </is>
      </c>
      <c r="D168" s="25" t="inlineStr">
        <is>
          <t>750ml</t>
        </is>
      </c>
      <c r="E168" s="27" t="n">
        <v>0</v>
      </c>
      <c r="F168" s="27" t="n">
        <v>16</v>
      </c>
      <c r="G168" s="27" t="n">
        <v>15</v>
      </c>
      <c r="H168" s="28" t="n">
        <v>79.64</v>
      </c>
      <c r="I168" s="28" t="n">
        <v>0</v>
      </c>
      <c r="J168" s="94" t="inlineStr">
        <is>
          <t>False</t>
        </is>
      </c>
      <c r="K168" s="28" t="n">
        <v>0</v>
      </c>
      <c r="L168" s="25" t="inlineStr">
        <is>
          <t>CHARDONNAY</t>
        </is>
      </c>
      <c r="M168" s="25" t="inlineStr">
        <is>
          <t>THE WINE GROUP LTD</t>
        </is>
      </c>
      <c r="N168" s="25" t="inlineStr">
        <is>
          <t>040003-RNDC-VINTAGE</t>
        </is>
      </c>
      <c r="O168" s="25" t="n"/>
      <c r="P168" s="25" t="inlineStr">
        <is>
          <t>00089819002313</t>
        </is>
      </c>
      <c r="Q168" s="25" t="inlineStr">
        <is>
          <t>0089819001712</t>
        </is>
      </c>
      <c r="R168" s="78" t="n">
        <v>42125</v>
      </c>
    </row>
    <row r="169">
      <c r="A169" t="inlineStr">
        <is>
          <t>or item code =</t>
        </is>
      </c>
      <c r="B169" s="25" t="inlineStr">
        <is>
          <t>444232</t>
        </is>
      </c>
      <c r="C169" s="25" t="inlineStr">
        <is>
          <t>BERINGER CALIF MERLOT</t>
        </is>
      </c>
      <c r="D169" s="25" t="inlineStr">
        <is>
          <t>1.5L</t>
        </is>
      </c>
      <c r="E169" s="27" t="n">
        <v>40</v>
      </c>
      <c r="F169" s="27" t="n">
        <v>44</v>
      </c>
      <c r="G169" s="27" t="n">
        <v>6</v>
      </c>
      <c r="H169" s="28" t="n">
        <v>60.26</v>
      </c>
      <c r="I169" s="28" t="n">
        <v>0</v>
      </c>
      <c r="J169" s="94" t="inlineStr">
        <is>
          <t>False</t>
        </is>
      </c>
      <c r="K169" s="28" t="n">
        <v>0</v>
      </c>
      <c r="L169" s="25" t="inlineStr">
        <is>
          <t>MERLOT</t>
        </is>
      </c>
      <c r="M169" s="25" t="inlineStr">
        <is>
          <t>THE WINE GROUP LTD</t>
        </is>
      </c>
      <c r="N169" s="25" t="inlineStr">
        <is>
          <t>040003-RNDC-VINTAGE</t>
        </is>
      </c>
      <c r="O169" s="25" t="n"/>
      <c r="P169" s="25" t="inlineStr">
        <is>
          <t>30089819543176</t>
        </is>
      </c>
      <c r="Q169" s="25" t="inlineStr">
        <is>
          <t>0089819543175</t>
        </is>
      </c>
      <c r="R169" s="78" t="n">
        <v>42370</v>
      </c>
    </row>
    <row r="170">
      <c r="A170" t="inlineStr">
        <is>
          <t>or item code =</t>
        </is>
      </c>
      <c r="B170" s="25" t="inlineStr">
        <is>
          <t>643040</t>
        </is>
      </c>
      <c r="C170" s="25" t="inlineStr">
        <is>
          <t>BERINGER CALIF WH ZINFANDEL (BONUS)</t>
        </is>
      </c>
      <c r="D170" s="25" t="inlineStr">
        <is>
          <t>750ml</t>
        </is>
      </c>
      <c r="E170" s="27" t="n">
        <v>0</v>
      </c>
      <c r="F170" s="27" t="n">
        <v>0</v>
      </c>
      <c r="G170" s="27" t="n">
        <v>15</v>
      </c>
      <c r="H170" s="28" t="n">
        <v>79.64</v>
      </c>
      <c r="I170" s="28" t="n">
        <v>0</v>
      </c>
      <c r="J170" s="94" t="inlineStr">
        <is>
          <t>False</t>
        </is>
      </c>
      <c r="K170" s="28" t="n">
        <v>0</v>
      </c>
      <c r="L170" s="25" t="inlineStr">
        <is>
          <t>WHITE ZINFANDEL</t>
        </is>
      </c>
      <c r="M170" s="25" t="inlineStr">
        <is>
          <t>THE WINE GROUP LTD</t>
        </is>
      </c>
      <c r="N170" s="25" t="inlineStr">
        <is>
          <t>040003-RNDC-VINTAGE</t>
        </is>
      </c>
      <c r="O170" s="25" t="n"/>
      <c r="P170" s="25" t="inlineStr">
        <is>
          <t>20089819006520</t>
        </is>
      </c>
      <c r="Q170" s="25" t="inlineStr">
        <is>
          <t>089819006526</t>
        </is>
      </c>
      <c r="R170" s="78" t="n">
        <v>42370</v>
      </c>
    </row>
    <row r="171">
      <c r="A171" t="inlineStr">
        <is>
          <t>or item code =</t>
        </is>
      </c>
      <c r="B171" s="25" t="inlineStr">
        <is>
          <t>643035</t>
        </is>
      </c>
      <c r="C171" s="25" t="inlineStr">
        <is>
          <t>BERINGER CALIF WHITE MERLOT</t>
        </is>
      </c>
      <c r="D171" s="25" t="inlineStr">
        <is>
          <t>1.5L</t>
        </is>
      </c>
      <c r="E171" s="27" t="n">
        <v>128</v>
      </c>
      <c r="F171" s="27" t="n">
        <v>73</v>
      </c>
      <c r="G171" s="27" t="n">
        <v>6</v>
      </c>
      <c r="H171" s="28" t="n">
        <v>60.26</v>
      </c>
      <c r="I171" s="28" t="n">
        <v>0</v>
      </c>
      <c r="J171" s="94" t="inlineStr">
        <is>
          <t>False</t>
        </is>
      </c>
      <c r="K171" s="28" t="n">
        <v>0</v>
      </c>
      <c r="L171" s="25" t="inlineStr">
        <is>
          <t>ROSE / BLUSH WINE</t>
        </is>
      </c>
      <c r="M171" s="25" t="inlineStr">
        <is>
          <t>THE WINE GROUP LTD</t>
        </is>
      </c>
      <c r="N171" s="25" t="inlineStr">
        <is>
          <t>040003-RNDC-VINTAGE</t>
        </is>
      </c>
      <c r="O171" s="25" t="n"/>
      <c r="P171" s="25" t="n"/>
      <c r="Q171" s="25" t="inlineStr">
        <is>
          <t>0089819090303</t>
        </is>
      </c>
      <c r="R171" s="78" t="n">
        <v>42278</v>
      </c>
    </row>
    <row r="172">
      <c r="A172" t="inlineStr">
        <is>
          <t>or item code =</t>
        </is>
      </c>
      <c r="B172" s="25" t="inlineStr">
        <is>
          <t>643031</t>
        </is>
      </c>
      <c r="C172" s="25" t="inlineStr">
        <is>
          <t>BERINGER CALIF WHITE MERLOT (BONUS)</t>
        </is>
      </c>
      <c r="D172" s="25" t="inlineStr">
        <is>
          <t>750ml</t>
        </is>
      </c>
      <c r="E172" s="27" t="n">
        <v>29</v>
      </c>
      <c r="F172" s="27" t="n">
        <v>26</v>
      </c>
      <c r="G172" s="27" t="n">
        <v>15</v>
      </c>
      <c r="H172" s="28" t="n">
        <v>79.64</v>
      </c>
      <c r="I172" s="28" t="n">
        <v>0</v>
      </c>
      <c r="J172" s="94" t="inlineStr">
        <is>
          <t>False</t>
        </is>
      </c>
      <c r="K172" s="28" t="n">
        <v>0</v>
      </c>
      <c r="L172" s="25" t="inlineStr">
        <is>
          <t>ROSE / BLUSH WINE</t>
        </is>
      </c>
      <c r="M172" s="25" t="inlineStr">
        <is>
          <t>THE WINE GROUP LTD</t>
        </is>
      </c>
      <c r="N172" s="25" t="inlineStr">
        <is>
          <t>040003-RNDC-VINTAGE</t>
        </is>
      </c>
      <c r="O172" s="25" t="n"/>
      <c r="P172" s="25" t="inlineStr">
        <is>
          <t>20089819101713</t>
        </is>
      </c>
      <c r="Q172" s="25" t="inlineStr">
        <is>
          <t>0089819090297</t>
        </is>
      </c>
      <c r="R172" s="78" t="n">
        <v>42370</v>
      </c>
    </row>
    <row r="173">
      <c r="A173" t="inlineStr">
        <is>
          <t>or item code =</t>
        </is>
      </c>
      <c r="B173" s="25" t="inlineStr">
        <is>
          <t>643041</t>
        </is>
      </c>
      <c r="C173" s="25" t="inlineStr">
        <is>
          <t>BERINGER CALIF WHITE ZINFANDEL</t>
        </is>
      </c>
      <c r="D173" s="25" t="inlineStr">
        <is>
          <t>1.5L</t>
        </is>
      </c>
      <c r="E173" s="27" t="n">
        <v>18</v>
      </c>
      <c r="F173" s="27" t="n">
        <v>148</v>
      </c>
      <c r="G173" s="27" t="n">
        <v>6</v>
      </c>
      <c r="H173" s="28" t="n">
        <v>60.26</v>
      </c>
      <c r="I173" s="28" t="n">
        <v>0</v>
      </c>
      <c r="J173" s="94" t="inlineStr">
        <is>
          <t>False</t>
        </is>
      </c>
      <c r="K173" s="28" t="n">
        <v>0</v>
      </c>
      <c r="L173" s="25" t="inlineStr">
        <is>
          <t>WHITE ZINFANDEL</t>
        </is>
      </c>
      <c r="M173" s="25" t="inlineStr">
        <is>
          <t>THE WINE GROUP LTD</t>
        </is>
      </c>
      <c r="N173" s="25" t="inlineStr">
        <is>
          <t>040003-RNDC-VINTAGE</t>
        </is>
      </c>
      <c r="O173" s="25" t="inlineStr">
        <is>
          <t>Unavailable due to inventory issues</t>
        </is>
      </c>
      <c r="P173" s="25" t="inlineStr">
        <is>
          <t>00008981903842</t>
        </is>
      </c>
      <c r="Q173" s="25" t="inlineStr">
        <is>
          <t>0089819038428</t>
        </is>
      </c>
      <c r="R173" s="78" t="n">
        <v>42370</v>
      </c>
    </row>
    <row r="174">
      <c r="A174" t="inlineStr">
        <is>
          <t>or item code =</t>
        </is>
      </c>
      <c r="B174" s="25" t="inlineStr">
        <is>
          <t>643050</t>
        </is>
      </c>
      <c r="C174" s="25" t="inlineStr">
        <is>
          <t>BERINGER CALIF WHITE ZINFANDEL</t>
        </is>
      </c>
      <c r="D174" s="25" t="inlineStr">
        <is>
          <t>750ml</t>
        </is>
      </c>
      <c r="E174" s="27" t="n">
        <v>0</v>
      </c>
      <c r="F174" s="27" t="n">
        <v>15</v>
      </c>
      <c r="G174" s="27" t="n">
        <v>12</v>
      </c>
      <c r="H174" s="28" t="n">
        <v>63.15</v>
      </c>
      <c r="I174" s="28" t="n">
        <v>0</v>
      </c>
      <c r="J174" s="94" t="inlineStr">
        <is>
          <t>False</t>
        </is>
      </c>
      <c r="K174" s="28" t="n">
        <v>0</v>
      </c>
      <c r="L174" s="25" t="inlineStr">
        <is>
          <t>WHITE ZINFANDEL</t>
        </is>
      </c>
      <c r="M174" s="25" t="inlineStr">
        <is>
          <t>THE WINE GROUP LTD</t>
        </is>
      </c>
      <c r="N174" s="25" t="inlineStr">
        <is>
          <t>040003-RNDC-VINTAGE</t>
        </is>
      </c>
      <c r="O174" s="25" t="n"/>
      <c r="P174" s="25" t="inlineStr">
        <is>
          <t>10089819006523</t>
        </is>
      </c>
      <c r="Q174" s="25" t="inlineStr">
        <is>
          <t>0089819006526</t>
        </is>
      </c>
      <c r="R174" s="78" t="n">
        <v>42370</v>
      </c>
    </row>
    <row r="175">
      <c r="A175" t="inlineStr">
        <is>
          <t>or item code =</t>
        </is>
      </c>
      <c r="B175" s="25" t="inlineStr">
        <is>
          <t>445818</t>
        </is>
      </c>
      <c r="C175" s="25" t="inlineStr">
        <is>
          <t>BERINGER MAIN &amp; VINE CAB SAUV</t>
        </is>
      </c>
      <c r="D175" s="25" t="inlineStr">
        <is>
          <t>1.5L</t>
        </is>
      </c>
      <c r="E175" s="27" t="n">
        <v>0</v>
      </c>
      <c r="F175" s="27" t="n">
        <v>2</v>
      </c>
      <c r="G175" s="27" t="n">
        <v>6</v>
      </c>
      <c r="H175" s="28" t="n">
        <v>60.26</v>
      </c>
      <c r="I175" s="28" t="n">
        <v>0</v>
      </c>
      <c r="J175" s="94" t="inlineStr">
        <is>
          <t>False</t>
        </is>
      </c>
      <c r="K175" s="28" t="n">
        <v>0</v>
      </c>
      <c r="L175" s="25" t="inlineStr">
        <is>
          <t>CABERNET SAUVIGNON</t>
        </is>
      </c>
      <c r="M175" s="25" t="inlineStr">
        <is>
          <t>THE WINE GROUP LTD</t>
        </is>
      </c>
      <c r="N175" s="25" t="inlineStr">
        <is>
          <t>040003-RNDC-VINTAGE</t>
        </is>
      </c>
      <c r="O175" s="25" t="n"/>
      <c r="P175" s="25" t="inlineStr">
        <is>
          <t>89819543120000</t>
        </is>
      </c>
      <c r="Q175" s="25" t="inlineStr">
        <is>
          <t>089819543014</t>
        </is>
      </c>
      <c r="R175" s="78" t="n">
        <v>44621</v>
      </c>
    </row>
    <row r="176">
      <c r="A176" t="inlineStr">
        <is>
          <t>or item code =</t>
        </is>
      </c>
      <c r="B176" s="25" t="inlineStr">
        <is>
          <t>546630</t>
        </is>
      </c>
      <c r="C176" s="25" t="inlineStr">
        <is>
          <t>BERINGER MAIN &amp; VINE MOSCATO</t>
        </is>
      </c>
      <c r="D176" s="25" t="inlineStr">
        <is>
          <t>1.5L</t>
        </is>
      </c>
      <c r="E176" s="27" t="n">
        <v>0</v>
      </c>
      <c r="F176" s="27" t="n">
        <v>0</v>
      </c>
      <c r="G176" s="27" t="n">
        <v>6</v>
      </c>
      <c r="H176" s="28" t="n">
        <v>60.26</v>
      </c>
      <c r="I176" s="28" t="n">
        <v>0</v>
      </c>
      <c r="J176" s="94" t="inlineStr">
        <is>
          <t>False</t>
        </is>
      </c>
      <c r="K176" s="28" t="n">
        <v>0</v>
      </c>
      <c r="L176" s="25" t="inlineStr">
        <is>
          <t>WHITE WINE</t>
        </is>
      </c>
      <c r="M176" s="25" t="inlineStr">
        <is>
          <t>THE WINE GROUP LTD</t>
        </is>
      </c>
      <c r="N176" s="25" t="inlineStr">
        <is>
          <t>040003-RNDC-VINTAGE</t>
        </is>
      </c>
      <c r="O176" s="25" t="n"/>
      <c r="P176" s="25" t="n"/>
      <c r="Q176" s="25" t="inlineStr">
        <is>
          <t>089819067244</t>
        </is>
      </c>
      <c r="R176" s="78" t="n">
        <v>43500</v>
      </c>
    </row>
    <row r="177">
      <c r="A177" t="inlineStr">
        <is>
          <t>or item code =</t>
        </is>
      </c>
      <c r="B177" s="25" t="inlineStr">
        <is>
          <t>643024</t>
        </is>
      </c>
      <c r="C177" s="25" t="inlineStr">
        <is>
          <t>BERINGER MAIN &amp; VINE PINK MOSCATO</t>
        </is>
      </c>
      <c r="D177" s="25" t="inlineStr">
        <is>
          <t>1.5L</t>
        </is>
      </c>
      <c r="E177" s="27" t="n">
        <v>0</v>
      </c>
      <c r="F177" s="27" t="n">
        <v>22</v>
      </c>
      <c r="G177" s="27" t="n">
        <v>6</v>
      </c>
      <c r="H177" s="28" t="n">
        <v>60.26</v>
      </c>
      <c r="I177" s="28" t="n">
        <v>0</v>
      </c>
      <c r="J177" s="94" t="inlineStr">
        <is>
          <t>False</t>
        </is>
      </c>
      <c r="K177" s="28" t="n">
        <v>0</v>
      </c>
      <c r="L177" s="25" t="inlineStr">
        <is>
          <t>MOSCATO WHITE</t>
        </is>
      </c>
      <c r="M177" s="25" t="inlineStr">
        <is>
          <t>THE WINE GROUP LTD</t>
        </is>
      </c>
      <c r="N177" s="25" t="inlineStr">
        <is>
          <t>040003-RNDC-VINTAGE</t>
        </is>
      </c>
      <c r="O177" s="25" t="n"/>
      <c r="P177" s="25" t="inlineStr">
        <is>
          <t>00000000643024</t>
        </is>
      </c>
      <c r="Q177" s="25" t="inlineStr">
        <is>
          <t>089819542550</t>
        </is>
      </c>
      <c r="R177" s="78" t="n">
        <v>43325</v>
      </c>
    </row>
    <row r="178">
      <c r="A178" t="inlineStr">
        <is>
          <t>or item code =</t>
        </is>
      </c>
      <c r="B178" s="25" t="inlineStr">
        <is>
          <t>445836</t>
        </is>
      </c>
      <c r="C178" s="25" t="inlineStr">
        <is>
          <t>BERINGER MAIN &amp; VINE RED MOSCATO</t>
        </is>
      </c>
      <c r="D178" s="25" t="inlineStr">
        <is>
          <t>750ml</t>
        </is>
      </c>
      <c r="E178" s="27" t="n">
        <v>2</v>
      </c>
      <c r="F178" s="27" t="n">
        <v>24</v>
      </c>
      <c r="G178" s="27" t="n">
        <v>15</v>
      </c>
      <c r="H178" s="28" t="n">
        <v>79.64</v>
      </c>
      <c r="I178" s="28" t="n">
        <v>0</v>
      </c>
      <c r="J178" s="94" t="inlineStr">
        <is>
          <t>False</t>
        </is>
      </c>
      <c r="K178" s="28" t="n">
        <v>0</v>
      </c>
      <c r="L178" s="25" t="inlineStr">
        <is>
          <t>MOSCATO RED</t>
        </is>
      </c>
      <c r="M178" s="25" t="inlineStr">
        <is>
          <t>THE WINE GROUP LTD</t>
        </is>
      </c>
      <c r="N178" s="25" t="inlineStr">
        <is>
          <t>040003-RNDC-VINTAGE</t>
        </is>
      </c>
      <c r="O178" s="25" t="n"/>
      <c r="P178" s="25" t="inlineStr">
        <is>
          <t>00000000445836</t>
        </is>
      </c>
      <c r="Q178" s="25" t="inlineStr">
        <is>
          <t>089819541874</t>
        </is>
      </c>
      <c r="R178" s="78" t="n">
        <v>44593</v>
      </c>
    </row>
    <row r="179">
      <c r="A179" t="inlineStr">
        <is>
          <t>or item code =</t>
        </is>
      </c>
      <c r="B179" s="25" t="inlineStr">
        <is>
          <t>445837</t>
        </is>
      </c>
      <c r="C179" s="25" t="inlineStr">
        <is>
          <t>BERINGER MAIN &amp; VINE RED MOSCATO</t>
        </is>
      </c>
      <c r="D179" s="25" t="inlineStr">
        <is>
          <t>1.5L</t>
        </is>
      </c>
      <c r="E179" s="27" t="n">
        <v>0</v>
      </c>
      <c r="F179" s="27" t="n">
        <v>3</v>
      </c>
      <c r="G179" s="27" t="n">
        <v>6</v>
      </c>
      <c r="H179" s="28" t="n">
        <v>60.26</v>
      </c>
      <c r="I179" s="28" t="n">
        <v>0</v>
      </c>
      <c r="J179" s="94" t="inlineStr">
        <is>
          <t>False</t>
        </is>
      </c>
      <c r="K179" s="28" t="n">
        <v>0</v>
      </c>
      <c r="L179" s="25" t="inlineStr">
        <is>
          <t>MOSCATO RED</t>
        </is>
      </c>
      <c r="M179" s="25" t="inlineStr">
        <is>
          <t>THE WINE GROUP LTD</t>
        </is>
      </c>
      <c r="N179" s="25" t="inlineStr">
        <is>
          <t>040003-RNDC-VINTAGE</t>
        </is>
      </c>
      <c r="O179" s="25" t="n"/>
      <c r="P179" s="25" t="inlineStr">
        <is>
          <t>00000000445837</t>
        </is>
      </c>
      <c r="Q179" s="25" t="inlineStr">
        <is>
          <t>089819541881</t>
        </is>
      </c>
      <c r="R179" s="78" t="n">
        <v>43325</v>
      </c>
    </row>
    <row r="180">
      <c r="A180" t="inlineStr">
        <is>
          <t>or item code =</t>
        </is>
      </c>
      <c r="B180" s="25" t="inlineStr">
        <is>
          <t>546437</t>
        </is>
      </c>
      <c r="C180" s="25" t="inlineStr">
        <is>
          <t>BERINGER PINOT GRIGIO AMERICAN</t>
        </is>
      </c>
      <c r="D180" s="25" t="inlineStr">
        <is>
          <t>1.5L</t>
        </is>
      </c>
      <c r="E180" s="27" t="n">
        <v>12</v>
      </c>
      <c r="F180" s="27" t="n">
        <v>27</v>
      </c>
      <c r="G180" s="27" t="n">
        <v>6</v>
      </c>
      <c r="H180" s="28" t="n">
        <v>60.26</v>
      </c>
      <c r="I180" s="28" t="n">
        <v>0</v>
      </c>
      <c r="J180" s="94" t="inlineStr">
        <is>
          <t>False</t>
        </is>
      </c>
      <c r="K180" s="28" t="n">
        <v>0</v>
      </c>
      <c r="L180" s="25" t="inlineStr">
        <is>
          <t>PINOT GRIS/PINOT GRIGIO</t>
        </is>
      </c>
      <c r="M180" s="25" t="inlineStr">
        <is>
          <t>THE WINE GROUP LTD</t>
        </is>
      </c>
      <c r="N180" s="25" t="inlineStr">
        <is>
          <t>040003-RNDC-VINTAGE</t>
        </is>
      </c>
      <c r="O180" s="25" t="n"/>
      <c r="P180" s="25" t="inlineStr">
        <is>
          <t>89819760107000</t>
        </is>
      </c>
      <c r="Q180" s="25" t="inlineStr">
        <is>
          <t>0089819760107</t>
        </is>
      </c>
      <c r="R180" s="78" t="n">
        <v>42370</v>
      </c>
    </row>
    <row r="181">
      <c r="A181" t="inlineStr">
        <is>
          <t>or item code =</t>
        </is>
      </c>
      <c r="B181" s="25" t="inlineStr">
        <is>
          <t>445883</t>
        </is>
      </c>
      <c r="C181" s="25" t="inlineStr">
        <is>
          <t>BERINGER WHITE ZINFANDEL MOSCATO</t>
        </is>
      </c>
      <c r="D181" s="25" t="inlineStr">
        <is>
          <t>1.5L</t>
        </is>
      </c>
      <c r="E181" s="27" t="n">
        <v>0</v>
      </c>
      <c r="F181" s="27" t="n">
        <v>1</v>
      </c>
      <c r="G181" s="27" t="n">
        <v>6</v>
      </c>
      <c r="H181" s="28" t="n">
        <v>60.26</v>
      </c>
      <c r="I181" s="28" t="n">
        <v>0</v>
      </c>
      <c r="J181" s="94" t="inlineStr">
        <is>
          <t>False</t>
        </is>
      </c>
      <c r="K181" s="28" t="n">
        <v>0</v>
      </c>
      <c r="L181" s="25" t="inlineStr">
        <is>
          <t>ROSE / BLUSH WINE</t>
        </is>
      </c>
      <c r="M181" s="25" t="inlineStr">
        <is>
          <t>THE WINE GROUP LTD</t>
        </is>
      </c>
      <c r="N181" s="25" t="inlineStr">
        <is>
          <t>040003-RNDC-VINTAGE</t>
        </is>
      </c>
      <c r="O181" s="25" t="n"/>
      <c r="P181" s="25" t="inlineStr">
        <is>
          <t>30089819543534</t>
        </is>
      </c>
      <c r="Q181" s="25" t="inlineStr">
        <is>
          <t>0089819543533</t>
        </is>
      </c>
      <c r="R181" s="78" t="n">
        <v>42370</v>
      </c>
    </row>
    <row r="182">
      <c r="A182" t="inlineStr">
        <is>
          <t>or item code =</t>
        </is>
      </c>
      <c r="B182" s="25" t="inlineStr">
        <is>
          <t>445882</t>
        </is>
      </c>
      <c r="C182" s="25" t="inlineStr">
        <is>
          <t>BERINGER WHITE ZINFANDEL MOSCATO</t>
        </is>
      </c>
      <c r="D182" s="25" t="inlineStr">
        <is>
          <t>750ml</t>
        </is>
      </c>
      <c r="E182" s="27" t="n">
        <v>24</v>
      </c>
      <c r="F182" s="27" t="n">
        <v>28</v>
      </c>
      <c r="G182" s="27" t="n">
        <v>15</v>
      </c>
      <c r="H182" s="28" t="n">
        <v>77.13</v>
      </c>
      <c r="I182" s="28" t="n">
        <v>0</v>
      </c>
      <c r="J182" s="94" t="inlineStr">
        <is>
          <t>False</t>
        </is>
      </c>
      <c r="K182" s="28" t="n">
        <v>0</v>
      </c>
      <c r="L182" s="25" t="inlineStr">
        <is>
          <t>ROSE / BLUSH WINE</t>
        </is>
      </c>
      <c r="M182" s="25" t="inlineStr">
        <is>
          <t>THE WINE GROUP LTD</t>
        </is>
      </c>
      <c r="N182" s="25" t="inlineStr">
        <is>
          <t>040003-RNDC-VINTAGE</t>
        </is>
      </c>
      <c r="O182" s="25" t="n"/>
      <c r="P182" s="25" t="inlineStr">
        <is>
          <t>00089819543649</t>
        </is>
      </c>
      <c r="Q182" s="25" t="inlineStr">
        <is>
          <t>0089819543526</t>
        </is>
      </c>
      <c r="R182" s="78" t="n">
        <v>42370</v>
      </c>
    </row>
    <row r="183">
      <c r="A183" t="inlineStr">
        <is>
          <t>or item code =</t>
        </is>
      </c>
      <c r="B183" s="25" t="inlineStr">
        <is>
          <t>16814</t>
        </is>
      </c>
      <c r="C183" s="25" t="inlineStr">
        <is>
          <t>BIB &amp; TUCKER SMALL BATCH BOURBON WHISKEY</t>
        </is>
      </c>
      <c r="D183" s="25" t="inlineStr">
        <is>
          <t>750ml</t>
        </is>
      </c>
      <c r="E183" s="27" t="n">
        <v>0</v>
      </c>
      <c r="F183" s="27" t="n">
        <v>13</v>
      </c>
      <c r="G183" s="27" t="n">
        <v>6</v>
      </c>
      <c r="H183" s="28" t="n">
        <v>237.49</v>
      </c>
      <c r="I183" s="28" t="n">
        <v>0</v>
      </c>
      <c r="J183" s="94" t="inlineStr">
        <is>
          <t>False</t>
        </is>
      </c>
      <c r="K183" s="28" t="n">
        <v>0</v>
      </c>
      <c r="L183" s="25" t="inlineStr">
        <is>
          <t>WHISKEY - STR BOURBON</t>
        </is>
      </c>
      <c r="M183" s="25" t="inlineStr">
        <is>
          <t>DEUTSCH FAMILY WINE &amp; SPIRITS</t>
        </is>
      </c>
      <c r="N183" s="25" t="inlineStr">
        <is>
          <t>040010-SOUTHERN GLAZERS WINE AND SPIRITS OF MISSISSIPPI LLC</t>
        </is>
      </c>
      <c r="O183" s="25" t="n"/>
      <c r="P183" s="25" t="inlineStr">
        <is>
          <t>10031259003549</t>
        </is>
      </c>
      <c r="Q183" s="25" t="inlineStr">
        <is>
          <t>0856442005000</t>
        </is>
      </c>
      <c r="R183" s="78" t="n">
        <v>42370</v>
      </c>
    </row>
    <row r="184">
      <c r="A184" t="inlineStr">
        <is>
          <t>or item code =</t>
        </is>
      </c>
      <c r="B184" s="25" t="inlineStr">
        <is>
          <t>27433</t>
        </is>
      </c>
      <c r="C184" s="25" t="inlineStr">
        <is>
          <t>BIRD DOG PEACH FLAVORED WHISKEY</t>
        </is>
      </c>
      <c r="D184" s="25" t="inlineStr">
        <is>
          <t>750ml</t>
        </is>
      </c>
      <c r="E184" s="27" t="n">
        <v>217</v>
      </c>
      <c r="F184" s="27" t="n">
        <v>81</v>
      </c>
      <c r="G184" s="27" t="n">
        <v>6</v>
      </c>
      <c r="H184" s="28" t="n">
        <v>82.91</v>
      </c>
      <c r="I184" s="28" t="n">
        <v>5.99</v>
      </c>
      <c r="J184" s="94" t="inlineStr">
        <is>
          <t>False</t>
        </is>
      </c>
      <c r="K184" s="28" t="n">
        <v>0</v>
      </c>
      <c r="L184" s="25" t="inlineStr">
        <is>
          <t>WHISKEY OTHER</t>
        </is>
      </c>
      <c r="M184" s="25" t="inlineStr">
        <is>
          <t>WESTERN SPIRITS BEVERAGE CO</t>
        </is>
      </c>
      <c r="N184" s="25" t="inlineStr">
        <is>
          <t>040002-RNDC-MAGNOLIA</t>
        </is>
      </c>
      <c r="O184" s="25" t="n"/>
      <c r="P184" s="25" t="inlineStr">
        <is>
          <t>20812459010653</t>
        </is>
      </c>
      <c r="Q184" s="25" t="inlineStr">
        <is>
          <t>0812459010659</t>
        </is>
      </c>
      <c r="R184" s="78" t="n">
        <v>42370</v>
      </c>
    </row>
    <row r="185">
      <c r="A185" t="inlineStr">
        <is>
          <t>or item code =</t>
        </is>
      </c>
      <c r="B185" s="25" t="inlineStr">
        <is>
          <t>11788</t>
        </is>
      </c>
      <c r="C185" s="25" t="inlineStr">
        <is>
          <t>BLACK VELVET</t>
        </is>
      </c>
      <c r="D185" s="25" t="inlineStr">
        <is>
          <t>1.75L</t>
        </is>
      </c>
      <c r="E185" s="27" t="n">
        <v>142</v>
      </c>
      <c r="F185" s="27" t="n">
        <v>60</v>
      </c>
      <c r="G185" s="27" t="n">
        <v>6</v>
      </c>
      <c r="H185" s="28" t="n">
        <v>87.66</v>
      </c>
      <c r="I185" s="28" t="n">
        <v>0</v>
      </c>
      <c r="J185" s="94" t="inlineStr">
        <is>
          <t>False</t>
        </is>
      </c>
      <c r="K185" s="28" t="n">
        <v>0</v>
      </c>
      <c r="L185" s="25" t="inlineStr">
        <is>
          <t>WHISKY - CANANDIAN</t>
        </is>
      </c>
      <c r="M185" s="25" t="inlineStr">
        <is>
          <t>HEAVEN HILL BRANDS</t>
        </is>
      </c>
      <c r="N185" s="25" t="inlineStr">
        <is>
          <t>040010-SOUTHERN GLAZERS WINE AND SPIRITS OF MISSISSIPPI LLC</t>
        </is>
      </c>
      <c r="O185" s="25" t="n"/>
      <c r="P185" s="25" t="inlineStr">
        <is>
          <t>10096749003041</t>
        </is>
      </c>
      <c r="Q185" s="25" t="inlineStr">
        <is>
          <t>096749003044</t>
        </is>
      </c>
      <c r="R185" s="78" t="n">
        <v>43770</v>
      </c>
    </row>
    <row r="186">
      <c r="A186" t="inlineStr">
        <is>
          <t>or item code =</t>
        </is>
      </c>
      <c r="B186" s="25" t="inlineStr">
        <is>
          <t>11588</t>
        </is>
      </c>
      <c r="C186" s="25" t="inlineStr">
        <is>
          <t>BLACK VELVET RESERVE PREMIUM SIPPING</t>
        </is>
      </c>
      <c r="D186" s="25" t="inlineStr">
        <is>
          <t>1.75L</t>
        </is>
      </c>
      <c r="E186" s="27" t="n">
        <v>50</v>
      </c>
      <c r="F186" s="27" t="n">
        <v>6</v>
      </c>
      <c r="G186" s="27" t="n">
        <v>6</v>
      </c>
      <c r="H186" s="28" t="n">
        <v>115.35</v>
      </c>
      <c r="I186" s="28" t="n">
        <v>0</v>
      </c>
      <c r="J186" s="94" t="inlineStr">
        <is>
          <t>False</t>
        </is>
      </c>
      <c r="K186" s="28" t="n">
        <v>0</v>
      </c>
      <c r="L186" s="25" t="inlineStr">
        <is>
          <t>WHISKY - CANANDIAN</t>
        </is>
      </c>
      <c r="M186" s="25" t="inlineStr">
        <is>
          <t>HEAVEN HILL BRANDS</t>
        </is>
      </c>
      <c r="N186" s="25" t="inlineStr">
        <is>
          <t>040010-SOUTHERN GLAZERS WINE AND SPIRITS OF MISSISSIPPI LLC</t>
        </is>
      </c>
      <c r="O186" s="25" t="n"/>
      <c r="P186" s="25" t="inlineStr">
        <is>
          <t>10096749003256</t>
        </is>
      </c>
      <c r="Q186" s="25" t="inlineStr">
        <is>
          <t>096749003259</t>
        </is>
      </c>
      <c r="R186" s="78" t="n">
        <v>44228</v>
      </c>
    </row>
    <row r="187">
      <c r="A187" t="inlineStr">
        <is>
          <t>or item code =</t>
        </is>
      </c>
      <c r="B187" s="25" t="inlineStr">
        <is>
          <t>445040</t>
        </is>
      </c>
      <c r="C187" s="25" t="inlineStr">
        <is>
          <t>BOGLE MERLOT</t>
        </is>
      </c>
      <c r="D187" s="25" t="inlineStr">
        <is>
          <t>750ml</t>
        </is>
      </c>
      <c r="E187" s="27" t="n">
        <v>14</v>
      </c>
      <c r="F187" s="27" t="n">
        <v>53</v>
      </c>
      <c r="G187" s="27" t="n">
        <v>12</v>
      </c>
      <c r="H187" s="28" t="n">
        <v>112.89</v>
      </c>
      <c r="I187" s="28" t="n">
        <v>0</v>
      </c>
      <c r="J187" s="94" t="inlineStr">
        <is>
          <t>False</t>
        </is>
      </c>
      <c r="K187" s="28" t="n">
        <v>0</v>
      </c>
      <c r="L187" s="25" t="inlineStr">
        <is>
          <t>MERLOT</t>
        </is>
      </c>
      <c r="M187" s="25" t="inlineStr">
        <is>
          <t>BOGLE VINEYARDS</t>
        </is>
      </c>
      <c r="N187" s="25" t="inlineStr">
        <is>
          <t>040010-SOUTHERN GLAZERS WINE AND SPIRITS OF MISSISSIPPI LLC</t>
        </is>
      </c>
      <c r="O187" s="25" t="n"/>
      <c r="P187" s="25" t="inlineStr">
        <is>
          <t>10080887493789</t>
        </is>
      </c>
      <c r="Q187" s="25" t="inlineStr">
        <is>
          <t>0080887493782</t>
        </is>
      </c>
      <c r="R187" s="78" t="n">
        <v>42279</v>
      </c>
    </row>
    <row r="188">
      <c r="A188" t="inlineStr">
        <is>
          <t>or item code =</t>
        </is>
      </c>
      <c r="B188" s="25" t="inlineStr">
        <is>
          <t>28210</t>
        </is>
      </c>
      <c r="C188" s="25" t="inlineStr">
        <is>
          <t>BOMBAY SAPPHIRE EAST GIN</t>
        </is>
      </c>
      <c r="D188" s="25" t="inlineStr">
        <is>
          <t>750ml</t>
        </is>
      </c>
      <c r="E188" s="27" t="n">
        <v>0</v>
      </c>
      <c r="F188" s="27" t="n">
        <v>12</v>
      </c>
      <c r="G188" s="27" t="n">
        <v>12</v>
      </c>
      <c r="H188" s="28" t="n">
        <v>222.98</v>
      </c>
      <c r="I188" s="28" t="n">
        <v>0</v>
      </c>
      <c r="J188" s="94" t="inlineStr">
        <is>
          <t>False</t>
        </is>
      </c>
      <c r="K188" s="28" t="n">
        <v>0</v>
      </c>
      <c r="L188" s="25" t="inlineStr">
        <is>
          <t>GIN</t>
        </is>
      </c>
      <c r="M188" s="25" t="inlineStr">
        <is>
          <t>BACARDI USA INC</t>
        </is>
      </c>
      <c r="N188" s="25" t="inlineStr">
        <is>
          <t>040010-SOUTHERN GLAZERS WINE AND SPIRITS OF MISSISSIPPI LLC</t>
        </is>
      </c>
      <c r="O188" s="25" t="n"/>
      <c r="P188" s="25" t="inlineStr">
        <is>
          <t>10080480002111</t>
        </is>
      </c>
      <c r="Q188" s="25" t="inlineStr">
        <is>
          <t>0080480002114</t>
        </is>
      </c>
      <c r="R188" s="78" t="n">
        <v>42370</v>
      </c>
    </row>
    <row r="189">
      <c r="A189" t="inlineStr">
        <is>
          <t>or item code =</t>
        </is>
      </c>
      <c r="B189" s="25" t="inlineStr">
        <is>
          <t>28236</t>
        </is>
      </c>
      <c r="C189" s="25" t="inlineStr">
        <is>
          <t>BOMBAY SAPPHIRE GIN</t>
        </is>
      </c>
      <c r="D189" s="25" t="inlineStr">
        <is>
          <t>750ml</t>
        </is>
      </c>
      <c r="E189" s="27" t="n">
        <v>0</v>
      </c>
      <c r="F189" s="27" t="n">
        <v>20</v>
      </c>
      <c r="G189" s="27" t="n">
        <v>12</v>
      </c>
      <c r="H189" s="28" t="n">
        <v>230.67</v>
      </c>
      <c r="I189" s="28" t="n">
        <v>0</v>
      </c>
      <c r="J189" s="94" t="inlineStr">
        <is>
          <t>False</t>
        </is>
      </c>
      <c r="K189" s="28" t="n">
        <v>0</v>
      </c>
      <c r="L189" s="25" t="inlineStr">
        <is>
          <t>GIN</t>
        </is>
      </c>
      <c r="M189" s="25" t="inlineStr">
        <is>
          <t>BACARDI USA INC</t>
        </is>
      </c>
      <c r="N189" s="25" t="inlineStr">
        <is>
          <t>040010-SOUTHERN GLAZERS WINE AND SPIRITS OF MISSISSIPPI LLC</t>
        </is>
      </c>
      <c r="O189" s="25" t="n"/>
      <c r="P189" s="25" t="inlineStr">
        <is>
          <t>10080480301023</t>
        </is>
      </c>
      <c r="Q189" s="25" t="inlineStr">
        <is>
          <t>0080480301026</t>
        </is>
      </c>
      <c r="R189" s="78" t="n">
        <v>43370</v>
      </c>
    </row>
    <row r="190">
      <c r="A190" t="inlineStr">
        <is>
          <t>or item code =</t>
        </is>
      </c>
      <c r="B190" s="25" t="inlineStr">
        <is>
          <t>28224</t>
        </is>
      </c>
      <c r="C190" s="25" t="inlineStr">
        <is>
          <t>BOMBAY SAPPHIRE GIN (FLASK)</t>
        </is>
      </c>
      <c r="D190" s="25" t="inlineStr">
        <is>
          <t>375ml</t>
        </is>
      </c>
      <c r="E190" s="27" t="n">
        <v>45</v>
      </c>
      <c r="F190" s="27" t="n">
        <v>37</v>
      </c>
      <c r="G190" s="27" t="n">
        <v>12</v>
      </c>
      <c r="H190" s="28" t="n">
        <v>115.28</v>
      </c>
      <c r="I190" s="28" t="n">
        <v>0</v>
      </c>
      <c r="J190" s="94" t="inlineStr">
        <is>
          <t>False</t>
        </is>
      </c>
      <c r="K190" s="28" t="n">
        <v>0</v>
      </c>
      <c r="L190" s="25" t="inlineStr">
        <is>
          <t>GIN</t>
        </is>
      </c>
      <c r="M190" s="25" t="inlineStr">
        <is>
          <t>BACARDI USA INC</t>
        </is>
      </c>
      <c r="N190" s="25" t="inlineStr">
        <is>
          <t>040010-SOUTHERN GLAZERS WINE AND SPIRITS OF MISSISSIPPI LLC</t>
        </is>
      </c>
      <c r="O190" s="25" t="n"/>
      <c r="P190" s="25" t="inlineStr">
        <is>
          <t>00080480046088</t>
        </is>
      </c>
      <c r="Q190" s="25" t="inlineStr">
        <is>
          <t>0080480301132</t>
        </is>
      </c>
      <c r="R190" s="78" t="n">
        <v>42370</v>
      </c>
    </row>
    <row r="191">
      <c r="A191" t="inlineStr">
        <is>
          <t>or item code =</t>
        </is>
      </c>
      <c r="B191" s="25" t="inlineStr">
        <is>
          <t>445897</t>
        </is>
      </c>
      <c r="C191" s="25" t="inlineStr">
        <is>
          <t>BONANZA LOT 1 CABERNET SAUVIGNON</t>
        </is>
      </c>
      <c r="D191" s="25" t="inlineStr">
        <is>
          <t>750ml</t>
        </is>
      </c>
      <c r="E191" s="27" t="n">
        <v>0</v>
      </c>
      <c r="F191" s="27" t="n">
        <v>156</v>
      </c>
      <c r="G191" s="27" t="n">
        <v>12</v>
      </c>
      <c r="H191" s="28" t="n">
        <v>190.66</v>
      </c>
      <c r="I191" s="28" t="n">
        <v>0</v>
      </c>
      <c r="J191" s="94" t="inlineStr">
        <is>
          <t>False</t>
        </is>
      </c>
      <c r="K191" s="28" t="n">
        <v>0</v>
      </c>
      <c r="L191" s="25" t="inlineStr">
        <is>
          <t>CABERNET SAUVIGNON</t>
        </is>
      </c>
      <c r="M191" s="25" t="inlineStr">
        <is>
          <t>WAGNER FAMILY OF WINE</t>
        </is>
      </c>
      <c r="N191" s="25" t="inlineStr">
        <is>
          <t>040003-RNDC-VINTAGE</t>
        </is>
      </c>
      <c r="O191" s="25" t="n"/>
      <c r="P191" s="25" t="inlineStr">
        <is>
          <t>20017224710206</t>
        </is>
      </c>
      <c r="Q191" s="25" t="inlineStr">
        <is>
          <t>017224710202</t>
        </is>
      </c>
      <c r="R191" s="78" t="n">
        <v>43531</v>
      </c>
    </row>
    <row r="192">
      <c r="A192" t="inlineStr">
        <is>
          <t>or item code =</t>
        </is>
      </c>
      <c r="B192" s="25" t="inlineStr">
        <is>
          <t>47647</t>
        </is>
      </c>
      <c r="C192" s="25" t="inlineStr">
        <is>
          <t>BRANSON VSOP ROYAL COGNAC</t>
        </is>
      </c>
      <c r="D192" s="25" t="inlineStr">
        <is>
          <t>750ml</t>
        </is>
      </c>
      <c r="E192" s="27" t="n">
        <v>151</v>
      </c>
      <c r="F192" s="27" t="n">
        <v>3</v>
      </c>
      <c r="G192" s="27" t="n">
        <v>6</v>
      </c>
      <c r="H192" s="28" t="n">
        <v>290.19</v>
      </c>
      <c r="I192" s="28" t="n">
        <v>0</v>
      </c>
      <c r="J192" s="94" t="inlineStr">
        <is>
          <t>False</t>
        </is>
      </c>
      <c r="K192" s="28" t="n">
        <v>0</v>
      </c>
      <c r="L192" s="25" t="inlineStr">
        <is>
          <t>COGNAC, ARMAGNAC</t>
        </is>
      </c>
      <c r="M192" s="25" t="inlineStr">
        <is>
          <t>SHAW-ROSS INTERNATIONAL IMPORT</t>
        </is>
      </c>
      <c r="N192" s="25" t="inlineStr">
        <is>
          <t>040010-SOUTHERN GLAZERS WINE AND SPIRITS OF MISSISSIPPI LLC</t>
        </is>
      </c>
      <c r="O192" s="25" t="n"/>
      <c r="P192" s="25" t="inlineStr">
        <is>
          <t>10088320300267</t>
        </is>
      </c>
      <c r="Q192" s="25" t="inlineStr">
        <is>
          <t>088320300260</t>
        </is>
      </c>
      <c r="R192" s="78" t="n">
        <v>44409</v>
      </c>
    </row>
    <row r="193">
      <c r="A193" t="inlineStr">
        <is>
          <t>or item code =</t>
        </is>
      </c>
      <c r="B193" s="25" t="inlineStr">
        <is>
          <t>352440</t>
        </is>
      </c>
      <c r="C193" s="25" t="inlineStr">
        <is>
          <t>BRICCO RIELLA MOSCATO D'ASTI</t>
        </is>
      </c>
      <c r="D193" s="25" t="inlineStr">
        <is>
          <t>750ml</t>
        </is>
      </c>
      <c r="E193" s="27" t="n">
        <v>90</v>
      </c>
      <c r="F193" s="27" t="n">
        <v>30</v>
      </c>
      <c r="G193" s="27" t="n">
        <v>12</v>
      </c>
      <c r="H193" s="28" t="n">
        <v>131.82</v>
      </c>
      <c r="I193" s="28" t="n">
        <v>0</v>
      </c>
      <c r="J193" s="94" t="inlineStr">
        <is>
          <t>False</t>
        </is>
      </c>
      <c r="K193" s="28" t="n">
        <v>0</v>
      </c>
      <c r="L193" s="25" t="inlineStr">
        <is>
          <t>DESSERT WINES - OTHER</t>
        </is>
      </c>
      <c r="M193" s="25" t="inlineStr">
        <is>
          <t>HENDRY PREMIUM IMPORTS INC</t>
        </is>
      </c>
      <c r="N193" s="25" t="inlineStr">
        <is>
          <t>040005-STEVE TONORE &amp; ASSOCIATES</t>
        </is>
      </c>
      <c r="O193" s="25" t="n"/>
      <c r="P193" s="25" t="n"/>
      <c r="Q193" s="25" t="inlineStr">
        <is>
          <t>0855380003017</t>
        </is>
      </c>
      <c r="R193" s="78" t="n">
        <v>43600</v>
      </c>
    </row>
    <row r="194">
      <c r="A194" t="inlineStr">
        <is>
          <t>or item code =</t>
        </is>
      </c>
      <c r="B194" s="25" t="inlineStr">
        <is>
          <t>37061</t>
        </is>
      </c>
      <c r="C194" s="25" t="inlineStr">
        <is>
          <t>BROKEN SHED VODKA (NEW ZEALAND)</t>
        </is>
      </c>
      <c r="D194" s="25" t="inlineStr">
        <is>
          <t>750ml</t>
        </is>
      </c>
      <c r="E194" s="27" t="n">
        <v>146</v>
      </c>
      <c r="F194" s="27" t="n">
        <v>32</v>
      </c>
      <c r="G194" s="27" t="n">
        <v>6</v>
      </c>
      <c r="H194" s="28" t="n">
        <v>111.07</v>
      </c>
      <c r="I194" s="28" t="n">
        <v>0</v>
      </c>
      <c r="J194" s="94" t="inlineStr">
        <is>
          <t>False</t>
        </is>
      </c>
      <c r="K194" s="28" t="n">
        <v>0</v>
      </c>
      <c r="L194" s="25" t="inlineStr">
        <is>
          <t>VODKA</t>
        </is>
      </c>
      <c r="M194" s="25" t="inlineStr">
        <is>
          <t>MHW LTD</t>
        </is>
      </c>
      <c r="N194" s="25" t="inlineStr">
        <is>
          <t>040002-RNDC-MAGNOLIA</t>
        </is>
      </c>
      <c r="O194" s="25" t="n"/>
      <c r="P194" s="25" t="inlineStr">
        <is>
          <t>00859071002044</t>
        </is>
      </c>
      <c r="Q194" s="25" t="inlineStr">
        <is>
          <t>859071002006</t>
        </is>
      </c>
      <c r="R194" s="78" t="n">
        <v>43800</v>
      </c>
    </row>
    <row r="195">
      <c r="A195" t="inlineStr">
        <is>
          <t>or item code =</t>
        </is>
      </c>
      <c r="B195" s="25" t="inlineStr">
        <is>
          <t>4626</t>
        </is>
      </c>
      <c r="C195" s="25" t="inlineStr">
        <is>
          <t>BUCHANAN DELUXE 12YR SCOTCH</t>
        </is>
      </c>
      <c r="D195" s="25" t="inlineStr">
        <is>
          <t>750ml</t>
        </is>
      </c>
      <c r="E195" s="27" t="n">
        <v>0</v>
      </c>
      <c r="F195" s="27" t="n">
        <v>49</v>
      </c>
      <c r="G195" s="27" t="n">
        <v>12</v>
      </c>
      <c r="H195" s="28" t="n">
        <v>351.39</v>
      </c>
      <c r="I195" s="28" t="n">
        <v>0</v>
      </c>
      <c r="J195" s="94" t="inlineStr">
        <is>
          <t>False</t>
        </is>
      </c>
      <c r="K195" s="28" t="n">
        <v>0</v>
      </c>
      <c r="L195" s="25" t="inlineStr">
        <is>
          <t>WHISKY - SCOTCH</t>
        </is>
      </c>
      <c r="M195" s="25" t="inlineStr">
        <is>
          <t>DIAGEO AMERICAS INC</t>
        </is>
      </c>
      <c r="N195" s="25" t="inlineStr">
        <is>
          <t>040010-SOUTHERN GLAZERS WINE AND SPIRITS OF MISSISSIPPI LLC</t>
        </is>
      </c>
      <c r="O195" s="25" t="n"/>
      <c r="P195" s="25" t="inlineStr">
        <is>
          <t>00088076114876</t>
        </is>
      </c>
      <c r="Q195" s="25" t="inlineStr">
        <is>
          <t>0088110955328</t>
        </is>
      </c>
      <c r="R195" s="78" t="n">
        <v>42370</v>
      </c>
    </row>
    <row r="196">
      <c r="A196" t="inlineStr">
        <is>
          <t>or item code =</t>
        </is>
      </c>
      <c r="B196" s="25" t="inlineStr">
        <is>
          <t>4616</t>
        </is>
      </c>
      <c r="C196" s="25" t="inlineStr">
        <is>
          <t>BUCHANANS 18YR OLD SPECIAL RESERVE</t>
        </is>
      </c>
      <c r="D196" s="25" t="inlineStr">
        <is>
          <t>750ml</t>
        </is>
      </c>
      <c r="E196" s="27" t="n">
        <v>0</v>
      </c>
      <c r="F196" s="27" t="n">
        <v>6</v>
      </c>
      <c r="G196" s="27" t="n">
        <v>6</v>
      </c>
      <c r="H196" s="28" t="n">
        <v>372.69</v>
      </c>
      <c r="I196" s="28" t="n">
        <v>0</v>
      </c>
      <c r="J196" s="94" t="inlineStr">
        <is>
          <t>False</t>
        </is>
      </c>
      <c r="K196" s="28" t="n">
        <v>0</v>
      </c>
      <c r="L196" s="25" t="inlineStr">
        <is>
          <t>WHISKY - SCOTCH</t>
        </is>
      </c>
      <c r="M196" s="25" t="inlineStr">
        <is>
          <t>DIAGEO AMERICAS INC</t>
        </is>
      </c>
      <c r="N196" s="25" t="inlineStr">
        <is>
          <t>040010-SOUTHERN GLAZERS WINE AND SPIRITS OF MISSISSIPPI LLC</t>
        </is>
      </c>
      <c r="O196" s="25" t="n"/>
      <c r="P196" s="25" t="inlineStr">
        <is>
          <t>00088076152267</t>
        </is>
      </c>
      <c r="Q196" s="25" t="inlineStr">
        <is>
          <t>0088110955342</t>
        </is>
      </c>
      <c r="R196" s="78" t="n">
        <v>42278</v>
      </c>
    </row>
    <row r="197">
      <c r="A197" t="inlineStr">
        <is>
          <t>or item code =</t>
        </is>
      </c>
      <c r="B197" s="25" t="inlineStr">
        <is>
          <t>27025</t>
        </is>
      </c>
      <c r="C197" s="25" t="inlineStr">
        <is>
          <t>BULLEIT 95 RYE STRAIGHT RYE WHISKEY</t>
        </is>
      </c>
      <c r="D197" s="25" t="inlineStr">
        <is>
          <t>750ml</t>
        </is>
      </c>
      <c r="E197" s="27" t="n">
        <v>5</v>
      </c>
      <c r="F197" s="27" t="n">
        <v>71</v>
      </c>
      <c r="G197" s="27" t="n">
        <v>12</v>
      </c>
      <c r="H197" s="28" t="n">
        <v>271.11</v>
      </c>
      <c r="I197" s="28" t="n">
        <v>0</v>
      </c>
      <c r="J197" s="94" t="inlineStr">
        <is>
          <t>False</t>
        </is>
      </c>
      <c r="K197" s="28" t="n">
        <v>0</v>
      </c>
      <c r="L197" s="25" t="inlineStr">
        <is>
          <t>WHISKEY - RYE</t>
        </is>
      </c>
      <c r="M197" s="25" t="inlineStr">
        <is>
          <t>DIAGEO AMERICAS INC</t>
        </is>
      </c>
      <c r="N197" s="25" t="inlineStr">
        <is>
          <t>040010-SOUTHERN GLAZERS WINE AND SPIRITS OF MISSISSIPPI LLC</t>
        </is>
      </c>
      <c r="O197" s="25" t="n"/>
      <c r="P197" s="25" t="inlineStr">
        <is>
          <t>00082000778042</t>
        </is>
      </c>
      <c r="Q197" s="25" t="inlineStr">
        <is>
          <t>0082000752967</t>
        </is>
      </c>
      <c r="R197" s="78" t="n">
        <v>42370</v>
      </c>
    </row>
    <row r="198">
      <c r="A198" t="inlineStr">
        <is>
          <t>or item code =</t>
        </is>
      </c>
      <c r="B198" s="25" t="inlineStr">
        <is>
          <t>17086</t>
        </is>
      </c>
      <c r="C198" s="25" t="inlineStr">
        <is>
          <t>BULLEIT STRAIGHT BOURBON 90 PROOF</t>
        </is>
      </c>
      <c r="D198" s="25" t="inlineStr">
        <is>
          <t>750ml</t>
        </is>
      </c>
      <c r="E198" s="27" t="n">
        <v>0</v>
      </c>
      <c r="F198" s="27" t="n">
        <v>88</v>
      </c>
      <c r="G198" s="27" t="n">
        <v>12</v>
      </c>
      <c r="H198" s="28" t="n">
        <v>271.11</v>
      </c>
      <c r="I198" s="28" t="n">
        <v>0</v>
      </c>
      <c r="J198" s="94" t="inlineStr">
        <is>
          <t>False</t>
        </is>
      </c>
      <c r="K198" s="28" t="n">
        <v>0</v>
      </c>
      <c r="L198" s="25" t="inlineStr">
        <is>
          <t>WHISKEY - STR BOURBON</t>
        </is>
      </c>
      <c r="M198" s="25" t="inlineStr">
        <is>
          <t>DIAGEO AMERICAS INC</t>
        </is>
      </c>
      <c r="N198" s="25" t="inlineStr">
        <is>
          <t>040010-SOUTHERN GLAZERS WINE AND SPIRITS OF MISSISSIPPI LLC</t>
        </is>
      </c>
      <c r="O198" s="25" t="n"/>
      <c r="P198" s="25" t="inlineStr">
        <is>
          <t>00082000763635</t>
        </is>
      </c>
      <c r="Q198" s="25" t="inlineStr">
        <is>
          <t>087000005525</t>
        </is>
      </c>
      <c r="R198" s="78" t="n">
        <v>42370</v>
      </c>
    </row>
    <row r="199">
      <c r="A199" t="inlineStr">
        <is>
          <t>or item code =</t>
        </is>
      </c>
      <c r="B199" s="25" t="inlineStr">
        <is>
          <t>446150</t>
        </is>
      </c>
      <c r="C199" s="25" t="inlineStr">
        <is>
          <t>BULLY HILL SWEET WALTER RED</t>
        </is>
      </c>
      <c r="D199" s="25" t="inlineStr">
        <is>
          <t>750ml</t>
        </is>
      </c>
      <c r="E199" s="27" t="n">
        <v>0</v>
      </c>
      <c r="F199" s="27" t="n">
        <v>10</v>
      </c>
      <c r="G199" s="27" t="n">
        <v>12</v>
      </c>
      <c r="H199" s="28" t="n">
        <v>90.95999999999999</v>
      </c>
      <c r="I199" s="28" t="n">
        <v>0</v>
      </c>
      <c r="J199" s="94" t="inlineStr">
        <is>
          <t>False</t>
        </is>
      </c>
      <c r="K199" s="28" t="n">
        <v>0</v>
      </c>
      <c r="L199" s="25" t="inlineStr">
        <is>
          <t>RED WINE</t>
        </is>
      </c>
      <c r="M199" s="25" t="inlineStr">
        <is>
          <t>BULLY HILL VINEYARDS</t>
        </is>
      </c>
      <c r="N199" s="25" t="inlineStr">
        <is>
          <t>040010-SOUTHERN GLAZERS WINE AND SPIRITS OF MISSISSIPPI LLC</t>
        </is>
      </c>
      <c r="O199" s="25" t="n"/>
      <c r="P199" s="25" t="inlineStr">
        <is>
          <t>10084850300499</t>
        </is>
      </c>
      <c r="Q199" s="25" t="inlineStr">
        <is>
          <t>0084850300497</t>
        </is>
      </c>
      <c r="R199" s="78" t="n">
        <v>42370</v>
      </c>
    </row>
    <row r="200">
      <c r="A200" t="inlineStr">
        <is>
          <t>or item code =</t>
        </is>
      </c>
      <c r="B200" s="25" t="inlineStr">
        <is>
          <t>446151</t>
        </is>
      </c>
      <c r="C200" s="25" t="inlineStr">
        <is>
          <t>BULLY HILL SWEET WALTER RED</t>
        </is>
      </c>
      <c r="D200" s="25" t="inlineStr">
        <is>
          <t>1.5L</t>
        </is>
      </c>
      <c r="E200" s="27" t="n">
        <v>0</v>
      </c>
      <c r="F200" s="27" t="n">
        <v>22</v>
      </c>
      <c r="G200" s="27" t="n">
        <v>6</v>
      </c>
      <c r="H200" s="28" t="n">
        <v>86.62</v>
      </c>
      <c r="I200" s="28" t="n">
        <v>0</v>
      </c>
      <c r="J200" s="94" t="inlineStr">
        <is>
          <t>False</t>
        </is>
      </c>
      <c r="K200" s="28" t="n">
        <v>0</v>
      </c>
      <c r="L200" s="25" t="inlineStr">
        <is>
          <t>RED WINE</t>
        </is>
      </c>
      <c r="M200" s="25" t="inlineStr">
        <is>
          <t>BULLY HILL VINEYARDS</t>
        </is>
      </c>
      <c r="N200" s="25" t="inlineStr">
        <is>
          <t>040010-SOUTHERN GLAZERS WINE AND SPIRITS OF MISSISSIPPI LLC</t>
        </is>
      </c>
      <c r="O200" s="25" t="n"/>
      <c r="P200" s="25" t="inlineStr">
        <is>
          <t>10084850321451</t>
        </is>
      </c>
      <c r="Q200" s="25" t="inlineStr">
        <is>
          <t>084850321454</t>
        </is>
      </c>
      <c r="R200" s="78" t="n">
        <v>43741</v>
      </c>
    </row>
    <row r="201">
      <c r="A201" t="inlineStr">
        <is>
          <t>or item code =</t>
        </is>
      </c>
      <c r="B201" s="25" t="inlineStr">
        <is>
          <t>643820</t>
        </is>
      </c>
      <c r="C201" s="25" t="inlineStr">
        <is>
          <t>BULLY HILL SWEET WALTER ROSE</t>
        </is>
      </c>
      <c r="D201" s="25" t="inlineStr">
        <is>
          <t>750ml</t>
        </is>
      </c>
      <c r="E201" s="27" t="n">
        <v>78</v>
      </c>
      <c r="F201" s="27" t="n">
        <v>74</v>
      </c>
      <c r="G201" s="27" t="n">
        <v>12</v>
      </c>
      <c r="H201" s="28" t="n">
        <v>90.95999999999999</v>
      </c>
      <c r="I201" s="28" t="n">
        <v>0</v>
      </c>
      <c r="J201" s="94" t="inlineStr">
        <is>
          <t>False</t>
        </is>
      </c>
      <c r="K201" s="28" t="n">
        <v>0</v>
      </c>
      <c r="L201" s="25" t="inlineStr">
        <is>
          <t>ROSE / BLUSH WINE</t>
        </is>
      </c>
      <c r="M201" s="25" t="inlineStr">
        <is>
          <t>BULLY HILL VINEYARDS</t>
        </is>
      </c>
      <c r="N201" s="25" t="inlineStr">
        <is>
          <t>040010-SOUTHERN GLAZERS WINE AND SPIRITS OF MISSISSIPPI LLC</t>
        </is>
      </c>
      <c r="O201" s="25" t="n"/>
      <c r="P201" s="25" t="inlineStr">
        <is>
          <t>10084850201814</t>
        </is>
      </c>
      <c r="Q201" s="25" t="inlineStr">
        <is>
          <t>0084850201817</t>
        </is>
      </c>
      <c r="R201" s="78" t="n">
        <v>42370</v>
      </c>
    </row>
    <row r="202">
      <c r="A202" t="inlineStr">
        <is>
          <t>or item code =</t>
        </is>
      </c>
      <c r="B202" s="25" t="inlineStr">
        <is>
          <t>548992</t>
        </is>
      </c>
      <c r="C202" s="25" t="inlineStr">
        <is>
          <t>BULLY HILL SWEET WALTER WHITE</t>
        </is>
      </c>
      <c r="D202" s="25" t="inlineStr">
        <is>
          <t>750ml</t>
        </is>
      </c>
      <c r="E202" s="27" t="n">
        <v>0</v>
      </c>
      <c r="F202" s="27" t="n">
        <v>18</v>
      </c>
      <c r="G202" s="27" t="n">
        <v>12</v>
      </c>
      <c r="H202" s="28" t="n">
        <v>90.95999999999999</v>
      </c>
      <c r="I202" s="28" t="n">
        <v>0</v>
      </c>
      <c r="J202" s="94" t="inlineStr">
        <is>
          <t>False</t>
        </is>
      </c>
      <c r="K202" s="28" t="n">
        <v>0</v>
      </c>
      <c r="L202" s="25" t="inlineStr">
        <is>
          <t>WHITE WINE</t>
        </is>
      </c>
      <c r="M202" s="25" t="inlineStr">
        <is>
          <t>BULLY HILL VINEYARDS</t>
        </is>
      </c>
      <c r="N202" s="25" t="inlineStr">
        <is>
          <t>040010-SOUTHERN GLAZERS WINE AND SPIRITS OF MISSISSIPPI LLC</t>
        </is>
      </c>
      <c r="O202" s="25" t="n"/>
      <c r="P202" s="25" t="inlineStr">
        <is>
          <t>10084850100223</t>
        </is>
      </c>
      <c r="Q202" s="25" t="inlineStr">
        <is>
          <t>0084850100226</t>
        </is>
      </c>
      <c r="R202" s="78" t="n">
        <v>42370</v>
      </c>
    </row>
    <row r="203">
      <c r="A203" t="inlineStr">
        <is>
          <t>or item code =</t>
        </is>
      </c>
      <c r="B203" s="25" t="inlineStr">
        <is>
          <t>64529</t>
        </is>
      </c>
      <c r="C203" s="25" t="inlineStr">
        <is>
          <t>BUMBU RUM</t>
        </is>
      </c>
      <c r="D203" s="25" t="inlineStr">
        <is>
          <t>750ml</t>
        </is>
      </c>
      <c r="E203" s="27" t="n">
        <v>182</v>
      </c>
      <c r="F203" s="27" t="n">
        <v>103</v>
      </c>
      <c r="G203" s="27" t="n">
        <v>6</v>
      </c>
      <c r="H203" s="28" t="n">
        <v>163.33</v>
      </c>
      <c r="I203" s="28" t="n">
        <v>12.01</v>
      </c>
      <c r="J203" s="94" t="inlineStr">
        <is>
          <t>False</t>
        </is>
      </c>
      <c r="K203" s="28" t="n">
        <v>0</v>
      </c>
      <c r="L203" s="25" t="inlineStr">
        <is>
          <t>RUM</t>
        </is>
      </c>
      <c r="M203" s="25" t="inlineStr">
        <is>
          <t>SOVEREIGN BRAND LLC</t>
        </is>
      </c>
      <c r="N203" s="25" t="inlineStr">
        <is>
          <t>040010-SOUTHERN GLAZERS WINE AND SPIRITS OF MISSISSIPPI LLC</t>
        </is>
      </c>
      <c r="O203" s="25" t="n"/>
      <c r="P203" s="25" t="inlineStr">
        <is>
          <t>30813497006100</t>
        </is>
      </c>
      <c r="Q203" s="25" t="inlineStr">
        <is>
          <t>0813497006109</t>
        </is>
      </c>
      <c r="R203" s="78" t="n">
        <v>43082</v>
      </c>
    </row>
    <row r="204">
      <c r="A204" t="inlineStr">
        <is>
          <t>or item code =</t>
        </is>
      </c>
      <c r="B204" s="25" t="inlineStr">
        <is>
          <t>64388</t>
        </is>
      </c>
      <c r="C204" s="25" t="inlineStr">
        <is>
          <t>BUMBU RUM</t>
        </is>
      </c>
      <c r="D204" s="25" t="inlineStr">
        <is>
          <t>375ml</t>
        </is>
      </c>
      <c r="E204" s="27" t="n">
        <v>80</v>
      </c>
      <c r="F204" s="27" t="n">
        <v>40</v>
      </c>
      <c r="G204" s="27" t="n">
        <v>12</v>
      </c>
      <c r="H204" s="28" t="n">
        <v>193.76</v>
      </c>
      <c r="I204" s="28" t="n">
        <v>0</v>
      </c>
      <c r="J204" s="94" t="inlineStr">
        <is>
          <t>False</t>
        </is>
      </c>
      <c r="K204" s="28" t="n">
        <v>0</v>
      </c>
      <c r="L204" s="25" t="inlineStr">
        <is>
          <t>RUM</t>
        </is>
      </c>
      <c r="M204" s="25" t="inlineStr">
        <is>
          <t>SOVEREIGN BRAND LLC</t>
        </is>
      </c>
      <c r="N204" s="25" t="inlineStr">
        <is>
          <t>040010-SOUTHERN GLAZERS WINE AND SPIRITS OF MISSISSIPPI LLC</t>
        </is>
      </c>
      <c r="O204" s="25" t="n"/>
      <c r="P204" s="25" t="inlineStr">
        <is>
          <t>30813497006131</t>
        </is>
      </c>
      <c r="Q204" s="25" t="inlineStr">
        <is>
          <t>813497006130</t>
        </is>
      </c>
      <c r="R204" s="78" t="n">
        <v>44287</v>
      </c>
    </row>
    <row r="205">
      <c r="A205" t="inlineStr">
        <is>
          <t>or item code =</t>
        </is>
      </c>
      <c r="B205" s="25" t="inlineStr">
        <is>
          <t>43735</t>
        </is>
      </c>
      <c r="C205" s="25" t="inlineStr">
        <is>
          <t>BUMBU XO</t>
        </is>
      </c>
      <c r="D205" s="25" t="inlineStr">
        <is>
          <t>750ml</t>
        </is>
      </c>
      <c r="E205" s="27" t="n">
        <v>117</v>
      </c>
      <c r="F205" s="27" t="n">
        <v>26</v>
      </c>
      <c r="G205" s="27" t="n">
        <v>6</v>
      </c>
      <c r="H205" s="28" t="n">
        <v>186.42</v>
      </c>
      <c r="I205" s="28" t="n">
        <v>11.99</v>
      </c>
      <c r="J205" s="94" t="inlineStr">
        <is>
          <t>False</t>
        </is>
      </c>
      <c r="K205" s="28" t="n">
        <v>0</v>
      </c>
      <c r="L205" s="25" t="inlineStr">
        <is>
          <t>RUM</t>
        </is>
      </c>
      <c r="M205" s="25" t="inlineStr">
        <is>
          <t>SOVEREIGN BRAND LLC</t>
        </is>
      </c>
      <c r="N205" s="25" t="inlineStr">
        <is>
          <t>040010-SOUTHERN GLAZERS WINE AND SPIRITS OF MISSISSIPPI LLC</t>
        </is>
      </c>
      <c r="O205" s="25" t="n"/>
      <c r="P205" s="25" t="inlineStr">
        <is>
          <t>30813497006148</t>
        </is>
      </c>
      <c r="Q205" s="25" t="inlineStr">
        <is>
          <t>813497006147</t>
        </is>
      </c>
      <c r="R205" s="78" t="n">
        <v>43550</v>
      </c>
    </row>
    <row r="206">
      <c r="A206" t="inlineStr">
        <is>
          <t>or item code =</t>
        </is>
      </c>
      <c r="B206" s="25" t="inlineStr">
        <is>
          <t>35410</t>
        </is>
      </c>
      <c r="C206" s="25" t="inlineStr">
        <is>
          <t>BURNETT'S 80 PROOF VODKA (PET)</t>
        </is>
      </c>
      <c r="D206" s="25" t="inlineStr">
        <is>
          <t>750ml</t>
        </is>
      </c>
      <c r="E206" s="27" t="n">
        <v>695</v>
      </c>
      <c r="F206" s="27" t="n">
        <v>466</v>
      </c>
      <c r="G206" s="27" t="n">
        <v>12</v>
      </c>
      <c r="H206" s="28" t="n">
        <v>64.55</v>
      </c>
      <c r="I206" s="28" t="n">
        <v>9.24</v>
      </c>
      <c r="J206" s="94" t="inlineStr">
        <is>
          <t>False</t>
        </is>
      </c>
      <c r="K206" s="28" t="n">
        <v>0</v>
      </c>
      <c r="L206" s="25" t="inlineStr">
        <is>
          <t>VODKA</t>
        </is>
      </c>
      <c r="M206" s="25" t="inlineStr">
        <is>
          <t>HEAVEN HILL BRANDS</t>
        </is>
      </c>
      <c r="N206" s="25" t="inlineStr">
        <is>
          <t>040010-SOUTHERN GLAZERS WINE AND SPIRITS OF MISSISSIPPI LLC</t>
        </is>
      </c>
      <c r="O206" s="25" t="n"/>
      <c r="P206" s="25" t="inlineStr">
        <is>
          <t>10096749200709</t>
        </is>
      </c>
      <c r="Q206" s="25" t="inlineStr">
        <is>
          <t>0096749200702</t>
        </is>
      </c>
      <c r="R206" s="78" t="n">
        <v>42370</v>
      </c>
    </row>
    <row r="207">
      <c r="A207" t="inlineStr">
        <is>
          <t>or item code =</t>
        </is>
      </c>
      <c r="B207" s="25" t="inlineStr">
        <is>
          <t>41271</t>
        </is>
      </c>
      <c r="C207" s="25" t="inlineStr">
        <is>
          <t>BURNETT'S BLUEBERRY FLAVORED VODKA</t>
        </is>
      </c>
      <c r="D207" s="25" t="inlineStr">
        <is>
          <t>750ml</t>
        </is>
      </c>
      <c r="E207" s="27" t="n">
        <v>21</v>
      </c>
      <c r="F207" s="27" t="n">
        <v>38</v>
      </c>
      <c r="G207" s="27" t="n">
        <v>12</v>
      </c>
      <c r="H207" s="28" t="n">
        <v>64.55</v>
      </c>
      <c r="I207" s="28" t="n">
        <v>9.24</v>
      </c>
      <c r="J207" s="94" t="inlineStr">
        <is>
          <t>False</t>
        </is>
      </c>
      <c r="K207" s="28" t="n">
        <v>0</v>
      </c>
      <c r="L207" s="25" t="inlineStr">
        <is>
          <t>VODKA</t>
        </is>
      </c>
      <c r="M207" s="25" t="inlineStr">
        <is>
          <t>HEAVEN HILL BRANDS</t>
        </is>
      </c>
      <c r="N207" s="25" t="inlineStr">
        <is>
          <t>040010-SOUTHERN GLAZERS WINE AND SPIRITS OF MISSISSIPPI LLC</t>
        </is>
      </c>
      <c r="O207" s="25" t="n"/>
      <c r="P207" s="25" t="inlineStr">
        <is>
          <t>10096749203007</t>
        </is>
      </c>
      <c r="Q207" s="25" t="inlineStr">
        <is>
          <t>0096749203000</t>
        </is>
      </c>
      <c r="R207" s="78" t="n">
        <v>42370</v>
      </c>
    </row>
    <row r="208">
      <c r="A208" t="inlineStr">
        <is>
          <t>or item code =</t>
        </is>
      </c>
      <c r="B208" s="25" t="inlineStr">
        <is>
          <t>41310</t>
        </is>
      </c>
      <c r="C208" s="25" t="inlineStr">
        <is>
          <t>BURNETT'S COCONUT FLAVORED VODKA</t>
        </is>
      </c>
      <c r="D208" s="25" t="inlineStr">
        <is>
          <t>750ml</t>
        </is>
      </c>
      <c r="E208" s="27" t="n">
        <v>38</v>
      </c>
      <c r="F208" s="27" t="n">
        <v>31</v>
      </c>
      <c r="G208" s="27" t="n">
        <v>12</v>
      </c>
      <c r="H208" s="28" t="n">
        <v>64.55</v>
      </c>
      <c r="I208" s="28" t="n">
        <v>9.24</v>
      </c>
      <c r="J208" s="94" t="inlineStr">
        <is>
          <t>False</t>
        </is>
      </c>
      <c r="K208" s="28" t="n">
        <v>0</v>
      </c>
      <c r="L208" s="25" t="inlineStr">
        <is>
          <t>VODKA</t>
        </is>
      </c>
      <c r="M208" s="25" t="inlineStr">
        <is>
          <t>HEAVEN HILL BRANDS</t>
        </is>
      </c>
      <c r="N208" s="25" t="inlineStr">
        <is>
          <t>040010-SOUTHERN GLAZERS WINE AND SPIRITS OF MISSISSIPPI LLC</t>
        </is>
      </c>
      <c r="O208" s="25" t="n"/>
      <c r="P208" s="25" t="inlineStr">
        <is>
          <t>10096749200471</t>
        </is>
      </c>
      <c r="Q208" s="25" t="inlineStr">
        <is>
          <t>0096749200474</t>
        </is>
      </c>
      <c r="R208" s="78" t="n">
        <v>42279</v>
      </c>
    </row>
    <row r="209">
      <c r="A209" t="inlineStr">
        <is>
          <t>or item code =</t>
        </is>
      </c>
      <c r="B209" s="25" t="inlineStr">
        <is>
          <t>41294</t>
        </is>
      </c>
      <c r="C209" s="25" t="inlineStr">
        <is>
          <t>BURNETT'S PEACH FLAVORED VODKA</t>
        </is>
      </c>
      <c r="D209" s="25" t="inlineStr">
        <is>
          <t>750ml</t>
        </is>
      </c>
      <c r="E209" s="27" t="n">
        <v>67</v>
      </c>
      <c r="F209" s="27" t="n">
        <v>48</v>
      </c>
      <c r="G209" s="27" t="n">
        <v>12</v>
      </c>
      <c r="H209" s="28" t="n">
        <v>64.55</v>
      </c>
      <c r="I209" s="28" t="n">
        <v>9.24</v>
      </c>
      <c r="J209" s="94" t="inlineStr">
        <is>
          <t>False</t>
        </is>
      </c>
      <c r="K209" s="28" t="n">
        <v>0</v>
      </c>
      <c r="L209" s="25" t="inlineStr">
        <is>
          <t>VODKA</t>
        </is>
      </c>
      <c r="M209" s="25" t="inlineStr">
        <is>
          <t>HEAVEN HILL BRANDS</t>
        </is>
      </c>
      <c r="N209" s="25" t="inlineStr">
        <is>
          <t>040010-SOUTHERN GLAZERS WINE AND SPIRITS OF MISSISSIPPI LLC</t>
        </is>
      </c>
      <c r="O209" s="25" t="n"/>
      <c r="P209" s="25" t="inlineStr">
        <is>
          <t>10096749200884</t>
        </is>
      </c>
      <c r="Q209" s="25" t="inlineStr">
        <is>
          <t>096749200887</t>
        </is>
      </c>
      <c r="R209" s="78" t="n">
        <v>42370</v>
      </c>
    </row>
    <row r="210">
      <c r="A210" t="inlineStr">
        <is>
          <t>or item code =</t>
        </is>
      </c>
      <c r="B210" s="25" t="inlineStr">
        <is>
          <t>41413</t>
        </is>
      </c>
      <c r="C210" s="25" t="inlineStr">
        <is>
          <t>BURNETT'S PINEAPPLE FLAVORED VODKA</t>
        </is>
      </c>
      <c r="D210" s="25" t="inlineStr">
        <is>
          <t>750ml</t>
        </is>
      </c>
      <c r="E210" s="27" t="n">
        <v>71</v>
      </c>
      <c r="F210" s="27" t="n">
        <v>44</v>
      </c>
      <c r="G210" s="27" t="n">
        <v>12</v>
      </c>
      <c r="H210" s="28" t="n">
        <v>64.55</v>
      </c>
      <c r="I210" s="28" t="n">
        <v>9.24</v>
      </c>
      <c r="J210" s="94" t="inlineStr">
        <is>
          <t>False</t>
        </is>
      </c>
      <c r="K210" s="28" t="n">
        <v>0</v>
      </c>
      <c r="L210" s="25" t="inlineStr">
        <is>
          <t>VODKA</t>
        </is>
      </c>
      <c r="M210" s="25" t="inlineStr">
        <is>
          <t>HEAVEN HILL BRANDS</t>
        </is>
      </c>
      <c r="N210" s="25" t="inlineStr">
        <is>
          <t>040010-SOUTHERN GLAZERS WINE AND SPIRITS OF MISSISSIPPI LLC</t>
        </is>
      </c>
      <c r="O210" s="25" t="n"/>
      <c r="P210" s="25" t="inlineStr">
        <is>
          <t>10096749002099</t>
        </is>
      </c>
      <c r="Q210" s="25" t="inlineStr">
        <is>
          <t>0096749002092</t>
        </is>
      </c>
      <c r="R210" s="78" t="n">
        <v>42370</v>
      </c>
    </row>
    <row r="211">
      <c r="A211" t="inlineStr">
        <is>
          <t>or item code =</t>
        </is>
      </c>
      <c r="B211" s="25" t="inlineStr">
        <is>
          <t>41060</t>
        </is>
      </c>
      <c r="C211" s="25" t="inlineStr">
        <is>
          <t>BURNETT'S PINK LEMONADE FLAVORED VODKA</t>
        </is>
      </c>
      <c r="D211" s="25" t="inlineStr">
        <is>
          <t>750ml</t>
        </is>
      </c>
      <c r="E211" s="27" t="n">
        <v>71</v>
      </c>
      <c r="F211" s="27" t="n">
        <v>35</v>
      </c>
      <c r="G211" s="27" t="n">
        <v>12</v>
      </c>
      <c r="H211" s="28" t="n">
        <v>64.55</v>
      </c>
      <c r="I211" s="28" t="n">
        <v>9.24</v>
      </c>
      <c r="J211" s="94" t="inlineStr">
        <is>
          <t>False</t>
        </is>
      </c>
      <c r="K211" s="28" t="n">
        <v>0</v>
      </c>
      <c r="L211" s="25" t="inlineStr">
        <is>
          <t>VODKA</t>
        </is>
      </c>
      <c r="M211" s="25" t="inlineStr">
        <is>
          <t>HEAVEN HILL BRANDS</t>
        </is>
      </c>
      <c r="N211" s="25" t="inlineStr">
        <is>
          <t>040010-SOUTHERN GLAZERS WINE AND SPIRITS OF MISSISSIPPI LLC</t>
        </is>
      </c>
      <c r="O211" s="25" t="n"/>
      <c r="P211" s="25" t="inlineStr">
        <is>
          <t>10096749201119</t>
        </is>
      </c>
      <c r="Q211" s="25" t="inlineStr">
        <is>
          <t>0096749201112</t>
        </is>
      </c>
      <c r="R211" s="78" t="n">
        <v>42279</v>
      </c>
    </row>
    <row r="212">
      <c r="A212" t="inlineStr">
        <is>
          <t>or item code =</t>
        </is>
      </c>
      <c r="B212" s="25" t="inlineStr">
        <is>
          <t>41306</t>
        </is>
      </c>
      <c r="C212" s="25" t="inlineStr">
        <is>
          <t>BURNETT'S SOUR APPLE FLAVORED VODKA</t>
        </is>
      </c>
      <c r="D212" s="25" t="inlineStr">
        <is>
          <t>750ml</t>
        </is>
      </c>
      <c r="E212" s="27" t="n">
        <v>0</v>
      </c>
      <c r="F212" s="27" t="n">
        <v>21</v>
      </c>
      <c r="G212" s="27" t="n">
        <v>12</v>
      </c>
      <c r="H212" s="28" t="n">
        <v>64.55</v>
      </c>
      <c r="I212" s="28" t="n">
        <v>9.24</v>
      </c>
      <c r="J212" s="94" t="inlineStr">
        <is>
          <t>False</t>
        </is>
      </c>
      <c r="K212" s="28" t="n">
        <v>0</v>
      </c>
      <c r="L212" s="25" t="inlineStr">
        <is>
          <t>VODKA</t>
        </is>
      </c>
      <c r="M212" s="25" t="inlineStr">
        <is>
          <t>HEAVEN HILL BRANDS</t>
        </is>
      </c>
      <c r="N212" s="25" t="inlineStr">
        <is>
          <t>040010-SOUTHERN GLAZERS WINE AND SPIRITS OF MISSISSIPPI LLC</t>
        </is>
      </c>
      <c r="O212" s="25" t="n"/>
      <c r="P212" s="25" t="inlineStr">
        <is>
          <t>10096749200457</t>
        </is>
      </c>
      <c r="Q212" s="25" t="inlineStr">
        <is>
          <t>0096749200450</t>
        </is>
      </c>
      <c r="R212" s="78" t="n">
        <v>42279</v>
      </c>
    </row>
    <row r="213">
      <c r="A213" t="inlineStr">
        <is>
          <t>or item code =</t>
        </is>
      </c>
      <c r="B213" s="25" t="inlineStr">
        <is>
          <t>41226</t>
        </is>
      </c>
      <c r="C213" s="25" t="inlineStr">
        <is>
          <t>BURNETT'S STRAWBERRY FLAVORED VODKA</t>
        </is>
      </c>
      <c r="D213" s="25" t="inlineStr">
        <is>
          <t>750ml</t>
        </is>
      </c>
      <c r="E213" s="27" t="n">
        <v>79</v>
      </c>
      <c r="F213" s="27" t="n">
        <v>43</v>
      </c>
      <c r="G213" s="27" t="n">
        <v>12</v>
      </c>
      <c r="H213" s="28" t="n">
        <v>64.55</v>
      </c>
      <c r="I213" s="28" t="n">
        <v>9.24</v>
      </c>
      <c r="J213" s="94" t="inlineStr">
        <is>
          <t>False</t>
        </is>
      </c>
      <c r="K213" s="28" t="n">
        <v>0</v>
      </c>
      <c r="L213" s="25" t="inlineStr">
        <is>
          <t>VODKA</t>
        </is>
      </c>
      <c r="M213" s="25" t="inlineStr">
        <is>
          <t>HEAVEN HILL BRANDS</t>
        </is>
      </c>
      <c r="N213" s="25" t="inlineStr">
        <is>
          <t>040010-SOUTHERN GLAZERS WINE AND SPIRITS OF MISSISSIPPI LLC</t>
        </is>
      </c>
      <c r="O213" s="25" t="n"/>
      <c r="P213" s="25" t="inlineStr">
        <is>
          <t>10096749203052</t>
        </is>
      </c>
      <c r="Q213" s="25" t="inlineStr">
        <is>
          <t>0096749203055</t>
        </is>
      </c>
      <c r="R213" s="78" t="n">
        <v>42370</v>
      </c>
    </row>
    <row r="214">
      <c r="A214" t="inlineStr">
        <is>
          <t>or item code =</t>
        </is>
      </c>
      <c r="B214" s="25" t="inlineStr">
        <is>
          <t>39176</t>
        </is>
      </c>
      <c r="C214" s="25" t="inlineStr">
        <is>
          <t>BURNETT'S VODKA 100 PROOF</t>
        </is>
      </c>
      <c r="D214" s="25" t="inlineStr">
        <is>
          <t>750ml</t>
        </is>
      </c>
      <c r="E214" s="27" t="n">
        <v>80</v>
      </c>
      <c r="F214" s="27" t="n">
        <v>16</v>
      </c>
      <c r="G214" s="27" t="n">
        <v>12</v>
      </c>
      <c r="H214" s="28" t="n">
        <v>92.25</v>
      </c>
      <c r="I214" s="28" t="n">
        <v>0</v>
      </c>
      <c r="J214" s="94" t="inlineStr">
        <is>
          <t>False</t>
        </is>
      </c>
      <c r="K214" s="28" t="n">
        <v>0</v>
      </c>
      <c r="L214" s="25" t="inlineStr">
        <is>
          <t>VODKA</t>
        </is>
      </c>
      <c r="M214" s="25" t="inlineStr">
        <is>
          <t>HEAVEN HILL BRANDS</t>
        </is>
      </c>
      <c r="N214" s="25" t="inlineStr">
        <is>
          <t>040010-SOUTHERN GLAZERS WINE AND SPIRITS OF MISSISSIPPI LLC</t>
        </is>
      </c>
      <c r="O214" s="25" t="n"/>
      <c r="P214" s="25" t="inlineStr">
        <is>
          <t>10096749002112</t>
        </is>
      </c>
      <c r="Q214" s="25" t="inlineStr">
        <is>
          <t>0096749002115</t>
        </is>
      </c>
      <c r="R214" s="78" t="n">
        <v>42279</v>
      </c>
    </row>
    <row r="215">
      <c r="A215" t="inlineStr">
        <is>
          <t>or item code =</t>
        </is>
      </c>
      <c r="B215" s="25" t="inlineStr">
        <is>
          <t>35418</t>
        </is>
      </c>
      <c r="C215" s="25" t="inlineStr">
        <is>
          <t>BURNETT'S VODKA 80 PROOF</t>
        </is>
      </c>
      <c r="D215" s="25" t="inlineStr">
        <is>
          <t>1.75L</t>
        </is>
      </c>
      <c r="E215" s="27" t="n">
        <v>1940</v>
      </c>
      <c r="F215" s="27" t="n">
        <v>575</v>
      </c>
      <c r="G215" s="27" t="n">
        <v>6</v>
      </c>
      <c r="H215" s="28" t="n">
        <v>78.43000000000001</v>
      </c>
      <c r="I215" s="28" t="n">
        <v>0</v>
      </c>
      <c r="J215" s="94" t="inlineStr">
        <is>
          <t>False</t>
        </is>
      </c>
      <c r="K215" s="28" t="n">
        <v>0</v>
      </c>
      <c r="L215" s="25" t="inlineStr">
        <is>
          <t>VODKA</t>
        </is>
      </c>
      <c r="M215" s="25" t="inlineStr">
        <is>
          <t>HEAVEN HILL BRANDS</t>
        </is>
      </c>
      <c r="N215" s="25" t="inlineStr">
        <is>
          <t>040010-SOUTHERN GLAZERS WINE AND SPIRITS OF MISSISSIPPI LLC</t>
        </is>
      </c>
      <c r="O215" s="25" t="n"/>
      <c r="P215" s="25" t="inlineStr">
        <is>
          <t>10096749001269</t>
        </is>
      </c>
      <c r="Q215" s="25" t="inlineStr">
        <is>
          <t>0096749200313</t>
        </is>
      </c>
      <c r="R215" s="78" t="n">
        <v>42279</v>
      </c>
    </row>
    <row r="216">
      <c r="A216" t="inlineStr">
        <is>
          <t>or item code =</t>
        </is>
      </c>
      <c r="B216" s="25" t="inlineStr">
        <is>
          <t>35414</t>
        </is>
      </c>
      <c r="C216" s="25" t="inlineStr">
        <is>
          <t>BURNETT'S VODKA 80 PROOF</t>
        </is>
      </c>
      <c r="D216" s="25" t="inlineStr">
        <is>
          <t>375ml</t>
        </is>
      </c>
      <c r="E216" s="27" t="n">
        <v>1718</v>
      </c>
      <c r="F216" s="27" t="n">
        <v>847</v>
      </c>
      <c r="G216" s="27" t="n">
        <v>24</v>
      </c>
      <c r="H216" s="28" t="n">
        <v>73.76000000000001</v>
      </c>
      <c r="I216" s="28" t="n">
        <v>0</v>
      </c>
      <c r="J216" s="94" t="inlineStr">
        <is>
          <t>False</t>
        </is>
      </c>
      <c r="K216" s="28" t="n">
        <v>0</v>
      </c>
      <c r="L216" s="25" t="inlineStr">
        <is>
          <t>VODKA</t>
        </is>
      </c>
      <c r="M216" s="25" t="inlineStr">
        <is>
          <t>HEAVEN HILL BRANDS</t>
        </is>
      </c>
      <c r="N216" s="25" t="inlineStr">
        <is>
          <t>040010-SOUTHERN GLAZERS WINE AND SPIRITS OF MISSISSIPPI LLC</t>
        </is>
      </c>
      <c r="O216" s="25" t="n"/>
      <c r="P216" s="25" t="inlineStr">
        <is>
          <t>10096749006950</t>
        </is>
      </c>
      <c r="Q216" s="25" t="inlineStr">
        <is>
          <t>0096749006953</t>
        </is>
      </c>
      <c r="R216" s="78" t="n">
        <v>42279</v>
      </c>
    </row>
    <row r="217">
      <c r="A217" t="inlineStr">
        <is>
          <t>or item code =</t>
        </is>
      </c>
      <c r="B217" s="25" t="inlineStr">
        <is>
          <t>35413</t>
        </is>
      </c>
      <c r="C217" s="25" t="inlineStr">
        <is>
          <t>BURNETT'S VODKA 80 PROOF</t>
        </is>
      </c>
      <c r="D217" s="25" t="inlineStr">
        <is>
          <t>200ml</t>
        </is>
      </c>
      <c r="E217" s="27" t="n">
        <v>1031</v>
      </c>
      <c r="F217" s="27" t="n">
        <v>634</v>
      </c>
      <c r="G217" s="27" t="n">
        <v>48</v>
      </c>
      <c r="H217" s="28" t="n">
        <v>84.23999999999999</v>
      </c>
      <c r="I217" s="28" t="n">
        <v>0</v>
      </c>
      <c r="J217" s="94" t="inlineStr">
        <is>
          <t>False</t>
        </is>
      </c>
      <c r="K217" s="28" t="n">
        <v>0</v>
      </c>
      <c r="L217" s="25" t="inlineStr">
        <is>
          <t>VODKA</t>
        </is>
      </c>
      <c r="M217" s="25" t="inlineStr">
        <is>
          <t>HEAVEN HILL BRANDS</t>
        </is>
      </c>
      <c r="N217" s="25" t="inlineStr">
        <is>
          <t>040010-SOUTHERN GLAZERS WINE AND SPIRITS OF MISSISSIPPI LLC</t>
        </is>
      </c>
      <c r="O217" s="25" t="n"/>
      <c r="P217" s="25" t="inlineStr">
        <is>
          <t>10096749002051</t>
        </is>
      </c>
      <c r="Q217" s="25" t="inlineStr">
        <is>
          <t>0096749002054</t>
        </is>
      </c>
      <c r="R217" s="78" t="n">
        <v>42370</v>
      </c>
    </row>
    <row r="218">
      <c r="A218" t="inlineStr">
        <is>
          <t>or item code =</t>
        </is>
      </c>
      <c r="B218" s="25" t="inlineStr">
        <is>
          <t>35416</t>
        </is>
      </c>
      <c r="C218" s="25" t="inlineStr">
        <is>
          <t>BURNETT'S VODKA 80 PROOF</t>
        </is>
      </c>
      <c r="D218" s="25" t="inlineStr">
        <is>
          <t>750ml</t>
        </is>
      </c>
      <c r="E218" s="27" t="n">
        <v>279</v>
      </c>
      <c r="F218" s="27" t="n">
        <v>458</v>
      </c>
      <c r="G218" s="27" t="n">
        <v>12</v>
      </c>
      <c r="H218" s="28" t="n">
        <v>64.55</v>
      </c>
      <c r="I218" s="28" t="n">
        <v>9.24</v>
      </c>
      <c r="J218" s="94" t="inlineStr">
        <is>
          <t>False</t>
        </is>
      </c>
      <c r="K218" s="28" t="n">
        <v>0</v>
      </c>
      <c r="L218" s="25" t="inlineStr">
        <is>
          <t>VODKA</t>
        </is>
      </c>
      <c r="M218" s="25" t="inlineStr">
        <is>
          <t>HEAVEN HILL BRANDS</t>
        </is>
      </c>
      <c r="N218" s="25" t="inlineStr">
        <is>
          <t>040010-SOUTHERN GLAZERS WINE AND SPIRITS OF MISSISSIPPI LLC</t>
        </is>
      </c>
      <c r="O218" s="25" t="n"/>
      <c r="P218" s="25" t="inlineStr">
        <is>
          <t>10096749002044</t>
        </is>
      </c>
      <c r="Q218" s="25" t="inlineStr">
        <is>
          <t>096749002047</t>
        </is>
      </c>
      <c r="R218" s="78" t="n">
        <v>42370</v>
      </c>
    </row>
    <row r="219">
      <c r="A219" t="inlineStr">
        <is>
          <t>or item code =</t>
        </is>
      </c>
      <c r="B219" s="25" t="inlineStr">
        <is>
          <t>35417</t>
        </is>
      </c>
      <c r="C219" s="25" t="inlineStr">
        <is>
          <t>BURNETT'S VODKA 80 PROOF</t>
        </is>
      </c>
      <c r="D219" s="25" t="inlineStr">
        <is>
          <t>1L</t>
        </is>
      </c>
      <c r="E219" s="27" t="n">
        <v>1027</v>
      </c>
      <c r="F219" s="27" t="n">
        <v>389</v>
      </c>
      <c r="G219" s="27" t="n">
        <v>12</v>
      </c>
      <c r="H219" s="28" t="n">
        <v>92.23999999999999</v>
      </c>
      <c r="I219" s="28" t="n">
        <v>0</v>
      </c>
      <c r="J219" s="94" t="inlineStr">
        <is>
          <t>False</t>
        </is>
      </c>
      <c r="K219" s="28" t="n">
        <v>0</v>
      </c>
      <c r="L219" s="25" t="inlineStr">
        <is>
          <t>VODKA</t>
        </is>
      </c>
      <c r="M219" s="25" t="inlineStr">
        <is>
          <t>HEAVEN HILL BRANDS</t>
        </is>
      </c>
      <c r="N219" s="25" t="inlineStr">
        <is>
          <t>040010-SOUTHERN GLAZERS WINE AND SPIRITS OF MISSISSIPPI LLC</t>
        </is>
      </c>
      <c r="O219" s="25" t="n"/>
      <c r="P219" s="25" t="inlineStr">
        <is>
          <t>10096749002020</t>
        </is>
      </c>
      <c r="Q219" s="25" t="inlineStr">
        <is>
          <t>0096749002023</t>
        </is>
      </c>
      <c r="R219" s="78" t="n">
        <v>42370</v>
      </c>
    </row>
    <row r="220">
      <c r="A220" t="inlineStr">
        <is>
          <t>or item code =</t>
        </is>
      </c>
      <c r="B220" s="25" t="inlineStr">
        <is>
          <t>42031</t>
        </is>
      </c>
      <c r="C220" s="25" t="inlineStr">
        <is>
          <t>BURNETT'S WHIPPED CREAM FLAVORED VODKA</t>
        </is>
      </c>
      <c r="D220" s="25" t="inlineStr">
        <is>
          <t>750ml</t>
        </is>
      </c>
      <c r="E220" s="27" t="n">
        <v>140</v>
      </c>
      <c r="F220" s="27" t="n">
        <v>132</v>
      </c>
      <c r="G220" s="27" t="n">
        <v>12</v>
      </c>
      <c r="H220" s="28" t="n">
        <v>64.55</v>
      </c>
      <c r="I220" s="28" t="n">
        <v>9.24</v>
      </c>
      <c r="J220" s="94" t="inlineStr">
        <is>
          <t>False</t>
        </is>
      </c>
      <c r="K220" s="28" t="n">
        <v>0</v>
      </c>
      <c r="L220" s="25" t="inlineStr">
        <is>
          <t>VODKA</t>
        </is>
      </c>
      <c r="M220" s="25" t="inlineStr">
        <is>
          <t>HEAVEN HILL BRANDS</t>
        </is>
      </c>
      <c r="N220" s="25" t="inlineStr">
        <is>
          <t>040010-SOUTHERN GLAZERS WINE AND SPIRITS OF MISSISSIPPI LLC</t>
        </is>
      </c>
      <c r="O220" s="25" t="n"/>
      <c r="P220" s="25" t="inlineStr">
        <is>
          <t>10096749203113</t>
        </is>
      </c>
      <c r="Q220" s="25" t="inlineStr">
        <is>
          <t>0096749203116</t>
        </is>
      </c>
      <c r="R220" s="78" t="n">
        <v>42370</v>
      </c>
    </row>
    <row r="221">
      <c r="A221" t="inlineStr">
        <is>
          <t>or item code =</t>
        </is>
      </c>
      <c r="B221" s="25" t="inlineStr">
        <is>
          <t>57037</t>
        </is>
      </c>
      <c r="C221" s="25" t="inlineStr">
        <is>
          <t>BUZZBALLZ CHOC TEASE</t>
        </is>
      </c>
      <c r="D221" s="25" t="inlineStr">
        <is>
          <t>200ml</t>
        </is>
      </c>
      <c r="E221" s="27" t="n">
        <v>191</v>
      </c>
      <c r="F221" s="27" t="n">
        <v>59</v>
      </c>
      <c r="G221" s="27" t="n">
        <v>24</v>
      </c>
      <c r="H221" s="28" t="n">
        <v>66.52</v>
      </c>
      <c r="I221" s="28" t="n">
        <v>0</v>
      </c>
      <c r="J221" s="94" t="inlineStr">
        <is>
          <t>False</t>
        </is>
      </c>
      <c r="K221" s="28" t="n">
        <v>0</v>
      </c>
      <c r="L221" s="25" t="inlineStr">
        <is>
          <t>COCKTAILS</t>
        </is>
      </c>
      <c r="M221" s="25" t="inlineStr">
        <is>
          <t>BUZZBALLZ LLC DBA SOUTHERN CHAMPION</t>
        </is>
      </c>
      <c r="N221" s="25" t="inlineStr">
        <is>
          <t>040010-SOUTHERN GLAZERS WINE AND SPIRITS OF MISSISSIPPI LLC</t>
        </is>
      </c>
      <c r="O221" s="25" t="n"/>
      <c r="P221" s="25" t="inlineStr">
        <is>
          <t>10857641002750</t>
        </is>
      </c>
      <c r="Q221" s="25" t="inlineStr">
        <is>
          <t>0857641002753</t>
        </is>
      </c>
      <c r="R221" s="78" t="n">
        <v>42279</v>
      </c>
    </row>
    <row r="222">
      <c r="A222" t="inlineStr">
        <is>
          <t>or item code =</t>
        </is>
      </c>
      <c r="B222" s="25" t="inlineStr">
        <is>
          <t>57083</t>
        </is>
      </c>
      <c r="C222" s="25" t="inlineStr">
        <is>
          <t>BUZZBALLZ LOTTA COLADA</t>
        </is>
      </c>
      <c r="D222" s="25" t="inlineStr">
        <is>
          <t>200ml</t>
        </is>
      </c>
      <c r="E222" s="27" t="n">
        <v>0</v>
      </c>
      <c r="F222" s="27" t="n">
        <v>0</v>
      </c>
      <c r="G222" s="27" t="n">
        <v>24</v>
      </c>
      <c r="H222" s="28" t="n">
        <v>66.52</v>
      </c>
      <c r="I222" s="28" t="n">
        <v>0</v>
      </c>
      <c r="J222" s="94" t="inlineStr">
        <is>
          <t>False</t>
        </is>
      </c>
      <c r="K222" s="28" t="n">
        <v>0</v>
      </c>
      <c r="L222" s="25" t="inlineStr">
        <is>
          <t>COCKTAILS</t>
        </is>
      </c>
      <c r="M222" s="25" t="inlineStr">
        <is>
          <t>BUZZBALLZ LLC DBA SOUTHERN CHAMPION</t>
        </is>
      </c>
      <c r="N222" s="25" t="inlineStr">
        <is>
          <t>040010-SOUTHERN GLAZERS WINE AND SPIRITS OF MISSISSIPPI LLC</t>
        </is>
      </c>
      <c r="O222" s="25" t="n"/>
      <c r="P222" s="25" t="inlineStr">
        <is>
          <t>10856741002255</t>
        </is>
      </c>
      <c r="Q222" s="25" t="inlineStr">
        <is>
          <t>0857641002258</t>
        </is>
      </c>
      <c r="R222" s="78" t="n">
        <v>42370</v>
      </c>
    </row>
    <row r="223">
      <c r="A223" t="inlineStr">
        <is>
          <t>or item code =</t>
        </is>
      </c>
      <c r="B223" s="25" t="inlineStr">
        <is>
          <t>57113</t>
        </is>
      </c>
      <c r="C223" s="25" t="inlineStr">
        <is>
          <t>BUZZBALLZ PEACHBALLZ</t>
        </is>
      </c>
      <c r="D223" s="25" t="inlineStr">
        <is>
          <t>200ml</t>
        </is>
      </c>
      <c r="E223" s="27" t="n">
        <v>290</v>
      </c>
      <c r="F223" s="27" t="n">
        <v>46</v>
      </c>
      <c r="G223" s="27" t="n">
        <v>24</v>
      </c>
      <c r="H223" s="28" t="n">
        <v>66.52</v>
      </c>
      <c r="I223" s="28" t="n">
        <v>0</v>
      </c>
      <c r="J223" s="94" t="inlineStr">
        <is>
          <t>False</t>
        </is>
      </c>
      <c r="K223" s="28" t="n">
        <v>0</v>
      </c>
      <c r="L223" s="25" t="inlineStr">
        <is>
          <t>COCKTAILS</t>
        </is>
      </c>
      <c r="M223" s="25" t="inlineStr">
        <is>
          <t>BUZZBALLZ LLC DBA SOUTHERN CHAMPION</t>
        </is>
      </c>
      <c r="N223" s="25" t="inlineStr">
        <is>
          <t>040010-SOUTHERN GLAZERS WINE AND SPIRITS OF MISSISSIPPI LLC</t>
        </is>
      </c>
      <c r="O223" s="25" t="n"/>
      <c r="P223" s="25" t="inlineStr">
        <is>
          <t>10857641002958</t>
        </is>
      </c>
      <c r="Q223" s="25" t="inlineStr">
        <is>
          <t>0857641002951</t>
        </is>
      </c>
      <c r="R223" s="78" t="n">
        <v>42370</v>
      </c>
    </row>
    <row r="224">
      <c r="A224" t="inlineStr">
        <is>
          <t>or item code =</t>
        </is>
      </c>
      <c r="B224" s="25" t="inlineStr">
        <is>
          <t>57095</t>
        </is>
      </c>
      <c r="C224" s="25" t="inlineStr">
        <is>
          <t>BUZZBALLZ STRAWBERRY RUM JOB</t>
        </is>
      </c>
      <c r="D224" s="25" t="inlineStr">
        <is>
          <t>200ml</t>
        </is>
      </c>
      <c r="E224" s="27" t="n">
        <v>284</v>
      </c>
      <c r="F224" s="27" t="n">
        <v>0</v>
      </c>
      <c r="G224" s="27" t="n">
        <v>24</v>
      </c>
      <c r="H224" s="28" t="n">
        <v>66.52</v>
      </c>
      <c r="I224" s="28" t="n">
        <v>0</v>
      </c>
      <c r="J224" s="94" t="inlineStr">
        <is>
          <t>False</t>
        </is>
      </c>
      <c r="K224" s="28" t="n">
        <v>0</v>
      </c>
      <c r="L224" s="25" t="inlineStr">
        <is>
          <t>COCKTAILS</t>
        </is>
      </c>
      <c r="M224" s="25" t="inlineStr">
        <is>
          <t>BUZZBALLZ LLC DBA SOUTHERN CHAMPION</t>
        </is>
      </c>
      <c r="N224" s="25" t="inlineStr">
        <is>
          <t>040010-SOUTHERN GLAZERS WINE AND SPIRITS OF MISSISSIPPI LLC</t>
        </is>
      </c>
      <c r="O224" s="25" t="inlineStr">
        <is>
          <t>Temporarily Unavailable for Sale</t>
        </is>
      </c>
      <c r="P224" s="25" t="inlineStr">
        <is>
          <t>10857641002606</t>
        </is>
      </c>
      <c r="Q224" s="25" t="inlineStr">
        <is>
          <t>0857641002609</t>
        </is>
      </c>
      <c r="R224" s="78" t="n">
        <v>42370</v>
      </c>
    </row>
    <row r="225">
      <c r="A225" t="inlineStr">
        <is>
          <t>or item code =</t>
        </is>
      </c>
      <c r="B225" s="25" t="inlineStr">
        <is>
          <t>57098</t>
        </is>
      </c>
      <c r="C225" s="25" t="inlineStr">
        <is>
          <t>BUZZBALLZ TEQUILA RITA</t>
        </is>
      </c>
      <c r="D225" s="25" t="inlineStr">
        <is>
          <t>200ml</t>
        </is>
      </c>
      <c r="E225" s="27" t="n">
        <v>106</v>
      </c>
      <c r="F225" s="27" t="n">
        <v>66</v>
      </c>
      <c r="G225" s="27" t="n">
        <v>24</v>
      </c>
      <c r="H225" s="28" t="n">
        <v>66.52</v>
      </c>
      <c r="I225" s="28" t="n">
        <v>0</v>
      </c>
      <c r="J225" s="94" t="inlineStr">
        <is>
          <t>False</t>
        </is>
      </c>
      <c r="K225" s="28" t="n">
        <v>0</v>
      </c>
      <c r="L225" s="25" t="inlineStr">
        <is>
          <t>COCKTAILS</t>
        </is>
      </c>
      <c r="M225" s="25" t="inlineStr">
        <is>
          <t>BUZZBALLZ LLC DBA SOUTHERN CHAMPION</t>
        </is>
      </c>
      <c r="N225" s="25" t="inlineStr">
        <is>
          <t>040010-SOUTHERN GLAZERS WINE AND SPIRITS OF MISSISSIPPI LLC</t>
        </is>
      </c>
      <c r="O225" s="25" t="n"/>
      <c r="P225" s="25" t="inlineStr">
        <is>
          <t>10857641002040</t>
        </is>
      </c>
      <c r="Q225" s="25" t="inlineStr">
        <is>
          <t>0857641002043</t>
        </is>
      </c>
      <c r="R225" s="78" t="n">
        <v>42370</v>
      </c>
    </row>
    <row r="226">
      <c r="A226" t="inlineStr">
        <is>
          <t>or item code =</t>
        </is>
      </c>
      <c r="B226" s="25" t="inlineStr">
        <is>
          <t>87250</t>
        </is>
      </c>
      <c r="C226" s="25" t="inlineStr">
        <is>
          <t>CABO WABO BLANCO WHITE TEQUILA</t>
        </is>
      </c>
      <c r="D226" s="25" t="inlineStr">
        <is>
          <t>750ml</t>
        </is>
      </c>
      <c r="E226" s="27" t="n">
        <v>120</v>
      </c>
      <c r="F226" s="27" t="n">
        <v>70</v>
      </c>
      <c r="G226" s="27" t="n">
        <v>6</v>
      </c>
      <c r="H226" s="28" t="n">
        <v>167.05</v>
      </c>
      <c r="I226" s="28" t="n">
        <v>0</v>
      </c>
      <c r="J226" s="94" t="inlineStr">
        <is>
          <t>False</t>
        </is>
      </c>
      <c r="K226" s="28" t="n">
        <v>0</v>
      </c>
      <c r="L226" s="25" t="inlineStr">
        <is>
          <t>TEQUILA</t>
        </is>
      </c>
      <c r="M226" s="25" t="inlineStr">
        <is>
          <t>CAMPARI ENTERPRISES, INC.</t>
        </is>
      </c>
      <c r="N226" s="25" t="inlineStr">
        <is>
          <t>040010-SOUTHERN GLAZERS WINE AND SPIRITS OF MISSISSIPPI LLC</t>
        </is>
      </c>
      <c r="O226" s="25" t="n"/>
      <c r="P226" s="25" t="inlineStr">
        <is>
          <t>20720815910731</t>
        </is>
      </c>
      <c r="Q226" s="25" t="inlineStr">
        <is>
          <t>720815910737</t>
        </is>
      </c>
      <c r="R226" s="78" t="n">
        <v>42370</v>
      </c>
    </row>
    <row r="227">
      <c r="A227" t="inlineStr">
        <is>
          <t>or item code =</t>
        </is>
      </c>
      <c r="B227" s="25" t="inlineStr">
        <is>
          <t>89139</t>
        </is>
      </c>
      <c r="C227" s="25" t="inlineStr">
        <is>
          <t>CABO WABO REPOSADO GOLD TEQUILA</t>
        </is>
      </c>
      <c r="D227" s="25" t="inlineStr">
        <is>
          <t>750ml</t>
        </is>
      </c>
      <c r="E227" s="27" t="n">
        <v>177</v>
      </c>
      <c r="F227" s="27" t="n">
        <v>29</v>
      </c>
      <c r="G227" s="27" t="n">
        <v>6</v>
      </c>
      <c r="H227" s="28" t="n">
        <v>185.54</v>
      </c>
      <c r="I227" s="28" t="n">
        <v>0</v>
      </c>
      <c r="J227" s="94" t="inlineStr">
        <is>
          <t>False</t>
        </is>
      </c>
      <c r="K227" s="28" t="n">
        <v>0</v>
      </c>
      <c r="L227" s="25" t="inlineStr">
        <is>
          <t>TEQUILA</t>
        </is>
      </c>
      <c r="M227" s="25" t="inlineStr">
        <is>
          <t>CAMPARI ENTERPRISES, INC.</t>
        </is>
      </c>
      <c r="N227" s="25" t="inlineStr">
        <is>
          <t>040010-SOUTHERN GLAZERS WINE AND SPIRITS OF MISSISSIPPI LLC</t>
        </is>
      </c>
      <c r="O227" s="25" t="n"/>
      <c r="P227" s="25" t="inlineStr">
        <is>
          <t>20720815910137</t>
        </is>
      </c>
      <c r="Q227" s="25" t="inlineStr">
        <is>
          <t>0720815910133</t>
        </is>
      </c>
      <c r="R227" s="78" t="n">
        <v>42370</v>
      </c>
    </row>
    <row r="228">
      <c r="A228" t="inlineStr">
        <is>
          <t>or item code =</t>
        </is>
      </c>
      <c r="B228" s="25" t="inlineStr">
        <is>
          <t>17190</t>
        </is>
      </c>
      <c r="C228" s="25" t="inlineStr">
        <is>
          <t>CALUMET FARM 8 YEAR OLD BOURBON</t>
        </is>
      </c>
      <c r="D228" s="25" t="inlineStr">
        <is>
          <t>750ml</t>
        </is>
      </c>
      <c r="E228" s="27" t="n">
        <v>69</v>
      </c>
      <c r="F228" s="27" t="n">
        <v>15</v>
      </c>
      <c r="G228" s="27" t="n">
        <v>6</v>
      </c>
      <c r="H228" s="28" t="n">
        <v>220.99</v>
      </c>
      <c r="I228" s="28" t="n">
        <v>12</v>
      </c>
      <c r="J228" s="94" t="inlineStr">
        <is>
          <t>False</t>
        </is>
      </c>
      <c r="K228" s="28" t="n">
        <v>0</v>
      </c>
      <c r="L228" s="25" t="inlineStr">
        <is>
          <t>WHISKEY - STR BOURBON</t>
        </is>
      </c>
      <c r="M228" s="25" t="inlineStr">
        <is>
          <t>WESTERN SPIRITS BEVERAGE CO</t>
        </is>
      </c>
      <c r="N228" s="25" t="inlineStr">
        <is>
          <t>040002-RNDC-MAGNOLIA</t>
        </is>
      </c>
      <c r="O228" s="25" t="n"/>
      <c r="P228" s="25" t="n"/>
      <c r="Q228" s="25" t="inlineStr">
        <is>
          <t>812459014558</t>
        </is>
      </c>
      <c r="R228" s="78" t="n">
        <v>44348</v>
      </c>
    </row>
    <row r="229">
      <c r="A229" t="inlineStr">
        <is>
          <t>or item code =</t>
        </is>
      </c>
      <c r="B229" s="25" t="inlineStr">
        <is>
          <t>44333</t>
        </is>
      </c>
      <c r="C229" s="25" t="inlineStr">
        <is>
          <t>CALYPSO COCONUT FLAVORED RUM</t>
        </is>
      </c>
      <c r="D229" s="25" t="inlineStr">
        <is>
          <t>1.75L</t>
        </is>
      </c>
      <c r="E229" s="27" t="n">
        <v>196</v>
      </c>
      <c r="F229" s="27" t="n">
        <v>59</v>
      </c>
      <c r="G229" s="27" t="n">
        <v>6</v>
      </c>
      <c r="H229" s="28" t="n">
        <v>75.03</v>
      </c>
      <c r="I229" s="28" t="n">
        <v>0</v>
      </c>
      <c r="J229" s="94" t="inlineStr">
        <is>
          <t>False</t>
        </is>
      </c>
      <c r="K229" s="28" t="n">
        <v>0</v>
      </c>
      <c r="L229" s="25" t="inlineStr">
        <is>
          <t>RUM</t>
        </is>
      </c>
      <c r="M229" s="25" t="inlineStr">
        <is>
          <t>SAZERAC COMPANY</t>
        </is>
      </c>
      <c r="N229" s="25" t="inlineStr">
        <is>
          <t>040002-RNDC-MAGNOLIA</t>
        </is>
      </c>
      <c r="O229" s="25" t="n"/>
      <c r="P229" s="25" t="inlineStr">
        <is>
          <t>10085676564015</t>
        </is>
      </c>
      <c r="Q229" s="25" t="inlineStr">
        <is>
          <t>0085676564018</t>
        </is>
      </c>
      <c r="R229" s="78" t="n">
        <v>42370</v>
      </c>
    </row>
    <row r="230">
      <c r="A230" t="inlineStr">
        <is>
          <t>or item code =</t>
        </is>
      </c>
      <c r="B230" s="25" t="inlineStr">
        <is>
          <t>44331</t>
        </is>
      </c>
      <c r="C230" s="25" t="inlineStr">
        <is>
          <t>CALYPSO COCONUT RUM</t>
        </is>
      </c>
      <c r="D230" s="25" t="inlineStr">
        <is>
          <t>750ml</t>
        </is>
      </c>
      <c r="E230" s="27" t="n">
        <v>180</v>
      </c>
      <c r="F230" s="27" t="n">
        <v>81</v>
      </c>
      <c r="G230" s="27" t="n">
        <v>12</v>
      </c>
      <c r="H230" s="28" t="n">
        <v>71.53</v>
      </c>
      <c r="I230" s="28" t="n">
        <v>0</v>
      </c>
      <c r="J230" s="94" t="inlineStr">
        <is>
          <t>False</t>
        </is>
      </c>
      <c r="K230" s="28" t="n">
        <v>0</v>
      </c>
      <c r="L230" s="25" t="inlineStr">
        <is>
          <t>RUM</t>
        </is>
      </c>
      <c r="M230" s="25" t="inlineStr">
        <is>
          <t>SAZERAC COMPANY</t>
        </is>
      </c>
      <c r="N230" s="25" t="inlineStr">
        <is>
          <t>040002-RNDC-MAGNOLIA</t>
        </is>
      </c>
      <c r="O230" s="25" t="n"/>
      <c r="P230" s="25" t="inlineStr">
        <is>
          <t>10085676564039</t>
        </is>
      </c>
      <c r="Q230" s="25" t="inlineStr">
        <is>
          <t>0085676564032</t>
        </is>
      </c>
      <c r="R230" s="78" t="n">
        <v>42370</v>
      </c>
    </row>
    <row r="231">
      <c r="A231" t="inlineStr">
        <is>
          <t>or item code =</t>
        </is>
      </c>
      <c r="B231" s="25" t="inlineStr">
        <is>
          <t>44348</t>
        </is>
      </c>
      <c r="C231" s="25" t="inlineStr">
        <is>
          <t>CALYPSO SILVER RUM PET</t>
        </is>
      </c>
      <c r="D231" s="25" t="inlineStr">
        <is>
          <t>1.75L</t>
        </is>
      </c>
      <c r="E231" s="27" t="n">
        <v>171</v>
      </c>
      <c r="F231" s="27" t="n">
        <v>77</v>
      </c>
      <c r="G231" s="27" t="n">
        <v>6</v>
      </c>
      <c r="H231" s="28" t="n">
        <v>57.63</v>
      </c>
      <c r="I231" s="28" t="n">
        <v>0</v>
      </c>
      <c r="J231" s="94" t="inlineStr">
        <is>
          <t>False</t>
        </is>
      </c>
      <c r="K231" s="28" t="n">
        <v>0</v>
      </c>
      <c r="L231" s="25" t="inlineStr">
        <is>
          <t>RUM</t>
        </is>
      </c>
      <c r="M231" s="25" t="inlineStr">
        <is>
          <t>SAZERAC COMPANY</t>
        </is>
      </c>
      <c r="N231" s="25" t="inlineStr">
        <is>
          <t>040002-RNDC-MAGNOLIA</t>
        </is>
      </c>
      <c r="O231" s="25" t="n"/>
      <c r="P231" s="25" t="inlineStr">
        <is>
          <t>10085676565012</t>
        </is>
      </c>
      <c r="Q231" s="25" t="inlineStr">
        <is>
          <t>085676565015</t>
        </is>
      </c>
      <c r="R231" s="78" t="n">
        <v>43293</v>
      </c>
    </row>
    <row r="232">
      <c r="A232" t="inlineStr">
        <is>
          <t>or item code =</t>
        </is>
      </c>
      <c r="B232" s="25" t="inlineStr">
        <is>
          <t>44342</t>
        </is>
      </c>
      <c r="C232" s="25" t="inlineStr">
        <is>
          <t>CALYPSO SPICED RUM</t>
        </is>
      </c>
      <c r="D232" s="25" t="inlineStr">
        <is>
          <t>750ml</t>
        </is>
      </c>
      <c r="E232" s="27" t="n">
        <v>67</v>
      </c>
      <c r="F232" s="27" t="n">
        <v>48</v>
      </c>
      <c r="G232" s="27" t="n">
        <v>12</v>
      </c>
      <c r="H232" s="28" t="n">
        <v>71.53</v>
      </c>
      <c r="I232" s="28" t="n">
        <v>0</v>
      </c>
      <c r="J232" s="94" t="inlineStr">
        <is>
          <t>False</t>
        </is>
      </c>
      <c r="K232" s="28" t="n">
        <v>0</v>
      </c>
      <c r="L232" s="25" t="inlineStr">
        <is>
          <t>RUM</t>
        </is>
      </c>
      <c r="M232" s="25" t="inlineStr">
        <is>
          <t>SAZERAC COMPANY</t>
        </is>
      </c>
      <c r="N232" s="25" t="inlineStr">
        <is>
          <t>040002-RNDC-MAGNOLIA</t>
        </is>
      </c>
      <c r="O232" s="25" t="n"/>
      <c r="P232" s="25" t="inlineStr">
        <is>
          <t>10085676563803</t>
        </is>
      </c>
      <c r="Q232" s="25" t="inlineStr">
        <is>
          <t>0085676563806</t>
        </is>
      </c>
      <c r="R232" s="78" t="n">
        <v>42370</v>
      </c>
    </row>
    <row r="233">
      <c r="A233" t="inlineStr">
        <is>
          <t>or item code =</t>
        </is>
      </c>
      <c r="B233" s="25" t="inlineStr">
        <is>
          <t>44340</t>
        </is>
      </c>
      <c r="C233" s="25" t="inlineStr">
        <is>
          <t>CALYPSO SPICED RUM</t>
        </is>
      </c>
      <c r="D233" s="25" t="inlineStr">
        <is>
          <t>1.75L</t>
        </is>
      </c>
      <c r="E233" s="27" t="n">
        <v>134</v>
      </c>
      <c r="F233" s="27" t="n">
        <v>65</v>
      </c>
      <c r="G233" s="27" t="n">
        <v>6</v>
      </c>
      <c r="H233" s="28" t="n">
        <v>55.78</v>
      </c>
      <c r="I233" s="28" t="n">
        <v>18</v>
      </c>
      <c r="J233" s="94" t="inlineStr">
        <is>
          <t>False</t>
        </is>
      </c>
      <c r="K233" s="28" t="n">
        <v>0</v>
      </c>
      <c r="L233" s="25" t="inlineStr">
        <is>
          <t>RUM</t>
        </is>
      </c>
      <c r="M233" s="25" t="inlineStr">
        <is>
          <t>SAZERAC COMPANY</t>
        </is>
      </c>
      <c r="N233" s="25" t="inlineStr">
        <is>
          <t>040002-RNDC-MAGNOLIA</t>
        </is>
      </c>
      <c r="O233" s="25" t="n"/>
      <c r="P233" s="25" t="inlineStr">
        <is>
          <t>10085676563865</t>
        </is>
      </c>
      <c r="Q233" s="25" t="inlineStr">
        <is>
          <t>0085676563868</t>
        </is>
      </c>
      <c r="R233" s="78" t="n">
        <v>42370</v>
      </c>
    </row>
    <row r="234">
      <c r="A234" t="inlineStr">
        <is>
          <t>or item code =</t>
        </is>
      </c>
      <c r="B234" s="25" t="inlineStr">
        <is>
          <t>10626</t>
        </is>
      </c>
      <c r="C234" s="25" t="inlineStr">
        <is>
          <t>CANADIAN CLUB ORIGINAL 1858</t>
        </is>
      </c>
      <c r="D234" s="25" t="inlineStr">
        <is>
          <t>750ml</t>
        </is>
      </c>
      <c r="E234" s="27" t="n">
        <v>126</v>
      </c>
      <c r="F234" s="27" t="n">
        <v>47</v>
      </c>
      <c r="G234" s="27" t="n">
        <v>12</v>
      </c>
      <c r="H234" s="28" t="n">
        <v>119.89</v>
      </c>
      <c r="I234" s="28" t="n">
        <v>0</v>
      </c>
      <c r="J234" s="94" t="inlineStr">
        <is>
          <t>False</t>
        </is>
      </c>
      <c r="K234" s="28" t="n">
        <v>0</v>
      </c>
      <c r="L234" s="25" t="inlineStr">
        <is>
          <t>WHISKY - CANANDIAN</t>
        </is>
      </c>
      <c r="M234" s="25" t="inlineStr">
        <is>
          <t>JIM BEAM BRANDS CO</t>
        </is>
      </c>
      <c r="N234" s="25" t="inlineStr">
        <is>
          <t>040010-SOUTHERN GLAZERS WINE AND SPIRITS OF MISSISSIPPI LLC</t>
        </is>
      </c>
      <c r="O234" s="25" t="n"/>
      <c r="P234" s="25" t="inlineStr">
        <is>
          <t>10080686821059</t>
        </is>
      </c>
      <c r="Q234" s="25" t="inlineStr">
        <is>
          <t>0080686821052</t>
        </is>
      </c>
      <c r="R234" s="78" t="n">
        <v>42370</v>
      </c>
    </row>
    <row r="235">
      <c r="A235" t="inlineStr">
        <is>
          <t>or item code =</t>
        </is>
      </c>
      <c r="B235" s="25" t="inlineStr">
        <is>
          <t>10628</t>
        </is>
      </c>
      <c r="C235" s="25" t="inlineStr">
        <is>
          <t>CANADIAN CLUB ORIGINAL 1858</t>
        </is>
      </c>
      <c r="D235" s="25" t="inlineStr">
        <is>
          <t>1.75L</t>
        </is>
      </c>
      <c r="E235" s="27" t="n">
        <v>92</v>
      </c>
      <c r="F235" s="27" t="n">
        <v>129</v>
      </c>
      <c r="G235" s="27" t="n">
        <v>6</v>
      </c>
      <c r="H235" s="28" t="n">
        <v>110.71</v>
      </c>
      <c r="I235" s="28" t="n">
        <v>0</v>
      </c>
      <c r="J235" s="94" t="inlineStr">
        <is>
          <t>False</t>
        </is>
      </c>
      <c r="K235" s="28" t="n">
        <v>0</v>
      </c>
      <c r="L235" s="25" t="inlineStr">
        <is>
          <t>WHISKY - CANANDIAN</t>
        </is>
      </c>
      <c r="M235" s="25" t="inlineStr">
        <is>
          <t>JIM BEAM BRANDS CO</t>
        </is>
      </c>
      <c r="N235" s="25" t="inlineStr">
        <is>
          <t>040010-SOUTHERN GLAZERS WINE AND SPIRITS OF MISSISSIPPI LLC</t>
        </is>
      </c>
      <c r="O235" s="25" t="n"/>
      <c r="P235" s="25" t="inlineStr">
        <is>
          <t>10080686821127</t>
        </is>
      </c>
      <c r="Q235" s="25" t="inlineStr">
        <is>
          <t>0080686821120</t>
        </is>
      </c>
      <c r="R235" s="78" t="n">
        <v>44501</v>
      </c>
    </row>
    <row r="236">
      <c r="A236" t="inlineStr">
        <is>
          <t>or item code =</t>
        </is>
      </c>
      <c r="B236" s="25" t="inlineStr">
        <is>
          <t>10624</t>
        </is>
      </c>
      <c r="C236" s="25" t="inlineStr">
        <is>
          <t>CANADIAN CLUB ORIGINAL 1858</t>
        </is>
      </c>
      <c r="D236" s="25" t="inlineStr">
        <is>
          <t>375ml</t>
        </is>
      </c>
      <c r="E236" s="27" t="n">
        <v>248</v>
      </c>
      <c r="F236" s="27" t="n">
        <v>39</v>
      </c>
      <c r="G236" s="27" t="n">
        <v>24</v>
      </c>
      <c r="H236" s="28" t="n">
        <v>124.96</v>
      </c>
      <c r="I236" s="28" t="n">
        <v>0</v>
      </c>
      <c r="J236" s="94" t="inlineStr">
        <is>
          <t>False</t>
        </is>
      </c>
      <c r="K236" s="28" t="n">
        <v>0</v>
      </c>
      <c r="L236" s="25" t="inlineStr">
        <is>
          <t>WHISKY - CANANDIAN</t>
        </is>
      </c>
      <c r="M236" s="25" t="inlineStr">
        <is>
          <t>JIM BEAM BRANDS CO</t>
        </is>
      </c>
      <c r="N236" s="25" t="inlineStr">
        <is>
          <t>040010-SOUTHERN GLAZERS WINE AND SPIRITS OF MISSISSIPPI LLC</t>
        </is>
      </c>
      <c r="O236" s="25" t="n"/>
      <c r="P236" s="25" t="inlineStr">
        <is>
          <t>10080686821233</t>
        </is>
      </c>
      <c r="Q236" s="25" t="inlineStr">
        <is>
          <t>0080686821601</t>
        </is>
      </c>
      <c r="R236" s="78" t="n">
        <v>42370</v>
      </c>
    </row>
    <row r="237">
      <c r="A237" t="inlineStr">
        <is>
          <t>or item code =</t>
        </is>
      </c>
      <c r="B237" s="25" t="inlineStr">
        <is>
          <t>10623</t>
        </is>
      </c>
      <c r="C237" s="25" t="inlineStr">
        <is>
          <t>CANADIAN CLUB ORIGINAL 1858 (PET)</t>
        </is>
      </c>
      <c r="D237" s="25" t="inlineStr">
        <is>
          <t>200ml</t>
        </is>
      </c>
      <c r="E237" s="27" t="n">
        <v>78</v>
      </c>
      <c r="F237" s="27" t="n">
        <v>9</v>
      </c>
      <c r="G237" s="27" t="n">
        <v>48</v>
      </c>
      <c r="H237" s="28" t="n">
        <v>147.08</v>
      </c>
      <c r="I237" s="28" t="n">
        <v>0</v>
      </c>
      <c r="J237" s="94" t="inlineStr">
        <is>
          <t>False</t>
        </is>
      </c>
      <c r="K237" s="28" t="n">
        <v>0</v>
      </c>
      <c r="L237" s="25" t="inlineStr">
        <is>
          <t>WHISKY - CANANDIAN</t>
        </is>
      </c>
      <c r="M237" s="25" t="inlineStr">
        <is>
          <t>JIM BEAM BRANDS CO</t>
        </is>
      </c>
      <c r="N237" s="25" t="inlineStr">
        <is>
          <t>040010-SOUTHERN GLAZERS WINE AND SPIRITS OF MISSISSIPPI LLC</t>
        </is>
      </c>
      <c r="O237" s="25" t="n"/>
      <c r="P237" s="25" t="inlineStr">
        <is>
          <t>00008068682170</t>
        </is>
      </c>
      <c r="Q237" s="25" t="inlineStr">
        <is>
          <t>0080686821700</t>
        </is>
      </c>
      <c r="R237" s="78" t="n">
        <v>42370</v>
      </c>
    </row>
    <row r="238">
      <c r="A238" t="inlineStr">
        <is>
          <t>or item code =</t>
        </is>
      </c>
      <c r="B238" s="25" t="inlineStr">
        <is>
          <t>12463</t>
        </is>
      </c>
      <c r="C238" s="25" t="inlineStr">
        <is>
          <t>CANADIAN MIST</t>
        </is>
      </c>
      <c r="D238" s="25" t="inlineStr">
        <is>
          <t>200ml</t>
        </is>
      </c>
      <c r="E238" s="27" t="n">
        <v>127</v>
      </c>
      <c r="F238" s="27" t="n">
        <v>33</v>
      </c>
      <c r="G238" s="27" t="n">
        <v>48</v>
      </c>
      <c r="H238" s="28" t="n">
        <v>136.76</v>
      </c>
      <c r="I238" s="28" t="n">
        <v>0</v>
      </c>
      <c r="J238" s="94" t="inlineStr">
        <is>
          <t>False</t>
        </is>
      </c>
      <c r="K238" s="28" t="n">
        <v>0</v>
      </c>
      <c r="L238" s="25" t="inlineStr">
        <is>
          <t>WHISKY - CANANDIAN</t>
        </is>
      </c>
      <c r="M238" s="25" t="inlineStr">
        <is>
          <t>SAZERAC COMPANY</t>
        </is>
      </c>
      <c r="N238" s="25" t="inlineStr">
        <is>
          <t>045041-UNITED JOHNSON BROTHERS OF MS</t>
        </is>
      </c>
      <c r="O238" s="25" t="n"/>
      <c r="P238" s="25" t="inlineStr">
        <is>
          <t>10081128100824</t>
        </is>
      </c>
      <c r="Q238" s="25" t="inlineStr">
        <is>
          <t>0081128023300</t>
        </is>
      </c>
      <c r="R238" s="78" t="n">
        <v>42370</v>
      </c>
    </row>
    <row r="239">
      <c r="A239" t="inlineStr">
        <is>
          <t>or item code =</t>
        </is>
      </c>
      <c r="B239" s="25" t="inlineStr">
        <is>
          <t>12476</t>
        </is>
      </c>
      <c r="C239" s="25" t="inlineStr">
        <is>
          <t>CANADIAN MIST (PET)</t>
        </is>
      </c>
      <c r="D239" s="25" t="inlineStr">
        <is>
          <t>750ml</t>
        </is>
      </c>
      <c r="E239" s="27" t="n">
        <v>53</v>
      </c>
      <c r="F239" s="27" t="n">
        <v>73</v>
      </c>
      <c r="G239" s="27" t="n">
        <v>12</v>
      </c>
      <c r="H239" s="28" t="n">
        <v>101.45</v>
      </c>
      <c r="I239" s="28" t="n">
        <v>0</v>
      </c>
      <c r="J239" s="94" t="inlineStr">
        <is>
          <t>False</t>
        </is>
      </c>
      <c r="K239" s="28" t="n">
        <v>0</v>
      </c>
      <c r="L239" s="25" t="inlineStr">
        <is>
          <t>WHISKY - CANANDIAN</t>
        </is>
      </c>
      <c r="M239" s="25" t="inlineStr">
        <is>
          <t>SAZERAC COMPANY</t>
        </is>
      </c>
      <c r="N239" s="25" t="inlineStr">
        <is>
          <t>045041-UNITED JOHNSON BROTHERS OF MS</t>
        </is>
      </c>
      <c r="O239" s="25" t="n"/>
      <c r="P239" s="25" t="n"/>
      <c r="Q239" s="25" t="inlineStr">
        <is>
          <t>088004048259</t>
        </is>
      </c>
      <c r="R239" s="78" t="n">
        <v>42370</v>
      </c>
    </row>
    <row r="240">
      <c r="A240" t="inlineStr">
        <is>
          <t>or item code =</t>
        </is>
      </c>
      <c r="B240" s="25" t="inlineStr">
        <is>
          <t>12464</t>
        </is>
      </c>
      <c r="C240" s="25" t="inlineStr">
        <is>
          <t>CANADIAN MIST (PET)</t>
        </is>
      </c>
      <c r="D240" s="25" t="inlineStr">
        <is>
          <t>375ml</t>
        </is>
      </c>
      <c r="E240" s="27" t="n">
        <v>125</v>
      </c>
      <c r="F240" s="27" t="n">
        <v>128</v>
      </c>
      <c r="G240" s="27" t="n">
        <v>24</v>
      </c>
      <c r="H240" s="28" t="n">
        <v>94.11</v>
      </c>
      <c r="I240" s="28" t="n">
        <v>0</v>
      </c>
      <c r="J240" s="94" t="inlineStr">
        <is>
          <t>False</t>
        </is>
      </c>
      <c r="K240" s="28" t="n">
        <v>0</v>
      </c>
      <c r="L240" s="25" t="inlineStr">
        <is>
          <t>WHISKY - CANANDIAN</t>
        </is>
      </c>
      <c r="M240" s="25" t="inlineStr">
        <is>
          <t>SAZERAC COMPANY</t>
        </is>
      </c>
      <c r="N240" s="25" t="inlineStr">
        <is>
          <t>045041-UNITED JOHNSON BROTHERS OF MS</t>
        </is>
      </c>
      <c r="O240" s="25" t="n"/>
      <c r="P240" s="25" t="n"/>
      <c r="Q240" s="25" t="inlineStr">
        <is>
          <t>088004048235</t>
        </is>
      </c>
      <c r="R240" s="78" t="n">
        <v>42370</v>
      </c>
    </row>
    <row r="241">
      <c r="A241" t="inlineStr">
        <is>
          <t>or item code =</t>
        </is>
      </c>
      <c r="B241" s="25" t="inlineStr">
        <is>
          <t>12478</t>
        </is>
      </c>
      <c r="C241" s="25" t="inlineStr">
        <is>
          <t>CANADIAN MIST EASY-POUR (PET)</t>
        </is>
      </c>
      <c r="D241" s="25" t="inlineStr">
        <is>
          <t>1.75L</t>
        </is>
      </c>
      <c r="E241" s="27" t="n">
        <v>413</v>
      </c>
      <c r="F241" s="27" t="n">
        <v>200</v>
      </c>
      <c r="G241" s="27" t="n">
        <v>6</v>
      </c>
      <c r="H241" s="28" t="n">
        <v>106.09</v>
      </c>
      <c r="I241" s="28" t="n">
        <v>0</v>
      </c>
      <c r="J241" s="94" t="inlineStr">
        <is>
          <t>False</t>
        </is>
      </c>
      <c r="K241" s="28" t="n">
        <v>0</v>
      </c>
      <c r="L241" s="25" t="inlineStr">
        <is>
          <t>WHISKY - CANANDIAN</t>
        </is>
      </c>
      <c r="M241" s="25" t="inlineStr">
        <is>
          <t>SAZERAC COMPANY</t>
        </is>
      </c>
      <c r="N241" s="25" t="inlineStr">
        <is>
          <t>045041-UNITED JOHNSON BROTHERS OF MS</t>
        </is>
      </c>
      <c r="O241" s="25" t="n"/>
      <c r="P241" s="25" t="n"/>
      <c r="Q241" s="25" t="inlineStr">
        <is>
          <t>088004048273</t>
        </is>
      </c>
      <c r="R241" s="78" t="n">
        <v>42474</v>
      </c>
    </row>
    <row r="242">
      <c r="A242" t="inlineStr">
        <is>
          <t>or item code =</t>
        </is>
      </c>
      <c r="B242" s="25" t="inlineStr">
        <is>
          <t>12886</t>
        </is>
      </c>
      <c r="C242" s="25" t="inlineStr">
        <is>
          <t>CANADIAN RICH &amp; RARE</t>
        </is>
      </c>
      <c r="D242" s="25" t="inlineStr">
        <is>
          <t>750ml</t>
        </is>
      </c>
      <c r="E242" s="27" t="n">
        <v>95</v>
      </c>
      <c r="F242" s="27" t="n">
        <v>51</v>
      </c>
      <c r="G242" s="27" t="n">
        <v>12</v>
      </c>
      <c r="H242" s="28" t="n">
        <v>76.98</v>
      </c>
      <c r="I242" s="28" t="n">
        <v>6</v>
      </c>
      <c r="J242" s="94" t="inlineStr">
        <is>
          <t>False</t>
        </is>
      </c>
      <c r="K242" s="28" t="n">
        <v>0</v>
      </c>
      <c r="L242" s="25" t="inlineStr">
        <is>
          <t>WHISKY - CANANDIAN</t>
        </is>
      </c>
      <c r="M242" s="25" t="inlineStr">
        <is>
          <t>SAZERAC COMPANY</t>
        </is>
      </c>
      <c r="N242" s="25" t="inlineStr">
        <is>
          <t>040002-RNDC-MAGNOLIA</t>
        </is>
      </c>
      <c r="O242" s="25" t="n"/>
      <c r="P242" s="25" t="inlineStr">
        <is>
          <t>10088004000353</t>
        </is>
      </c>
      <c r="Q242" s="25" t="inlineStr">
        <is>
          <t>0088004000356</t>
        </is>
      </c>
      <c r="R242" s="78" t="n">
        <v>42370</v>
      </c>
    </row>
    <row r="243">
      <c r="A243" t="inlineStr">
        <is>
          <t>or item code =</t>
        </is>
      </c>
      <c r="B243" s="25" t="inlineStr">
        <is>
          <t>12888</t>
        </is>
      </c>
      <c r="C243" s="25" t="inlineStr">
        <is>
          <t>CANADIAN RICH &amp; RARE</t>
        </is>
      </c>
      <c r="D243" s="25" t="inlineStr">
        <is>
          <t>1.75L</t>
        </is>
      </c>
      <c r="E243" s="27" t="n">
        <v>325</v>
      </c>
      <c r="F243" s="27" t="n">
        <v>155</v>
      </c>
      <c r="G243" s="27" t="n">
        <v>6</v>
      </c>
      <c r="H243" s="28" t="n">
        <v>92.25</v>
      </c>
      <c r="I243" s="28" t="n">
        <v>0</v>
      </c>
      <c r="J243" s="94" t="inlineStr">
        <is>
          <t>False</t>
        </is>
      </c>
      <c r="K243" s="28" t="n">
        <v>0</v>
      </c>
      <c r="L243" s="25" t="inlineStr">
        <is>
          <t>WHISKY - CANANDIAN</t>
        </is>
      </c>
      <c r="M243" s="25" t="inlineStr">
        <is>
          <t>SAZERAC COMPANY</t>
        </is>
      </c>
      <c r="N243" s="25" t="inlineStr">
        <is>
          <t>040002-RNDC-MAGNOLIA</t>
        </is>
      </c>
      <c r="O243" s="25" t="n"/>
      <c r="P243" s="25" t="inlineStr">
        <is>
          <t>10088004000339</t>
        </is>
      </c>
      <c r="Q243" s="25" t="inlineStr">
        <is>
          <t>0088004000332</t>
        </is>
      </c>
      <c r="R243" s="78" t="n">
        <v>42370</v>
      </c>
    </row>
    <row r="244">
      <c r="A244" t="inlineStr">
        <is>
          <t>or item code =</t>
        </is>
      </c>
      <c r="B244" s="25" t="inlineStr">
        <is>
          <t>12880</t>
        </is>
      </c>
      <c r="C244" s="25" t="inlineStr">
        <is>
          <t>CANADIAN RICH &amp; RARE (PET)</t>
        </is>
      </c>
      <c r="D244" s="25" t="inlineStr">
        <is>
          <t>375ml</t>
        </is>
      </c>
      <c r="E244" s="27" t="n">
        <v>0</v>
      </c>
      <c r="F244" s="27" t="n">
        <v>91</v>
      </c>
      <c r="G244" s="27" t="n">
        <v>24</v>
      </c>
      <c r="H244" s="28" t="n">
        <v>59.14</v>
      </c>
      <c r="I244" s="28" t="n">
        <v>24</v>
      </c>
      <c r="J244" s="94" t="inlineStr">
        <is>
          <t>False</t>
        </is>
      </c>
      <c r="K244" s="28" t="n">
        <v>0</v>
      </c>
      <c r="L244" s="25" t="inlineStr">
        <is>
          <t>WHISKY - CANANDIAN</t>
        </is>
      </c>
      <c r="M244" s="25" t="inlineStr">
        <is>
          <t>SAZERAC COMPANY</t>
        </is>
      </c>
      <c r="N244" s="25" t="inlineStr">
        <is>
          <t>040002-RNDC-MAGNOLIA</t>
        </is>
      </c>
      <c r="O244" s="25" t="n"/>
      <c r="P244" s="25" t="inlineStr">
        <is>
          <t>10088004008687</t>
        </is>
      </c>
      <c r="Q244" s="25" t="inlineStr">
        <is>
          <t>0088004000363</t>
        </is>
      </c>
      <c r="R244" s="78" t="n">
        <v>42370</v>
      </c>
    </row>
    <row r="245">
      <c r="A245" t="inlineStr">
        <is>
          <t>or item code =</t>
        </is>
      </c>
      <c r="B245" s="25" t="inlineStr">
        <is>
          <t>12885</t>
        </is>
      </c>
      <c r="C245" s="25" t="inlineStr">
        <is>
          <t>CANADIAN RICH &amp; RARE PET</t>
        </is>
      </c>
      <c r="D245" s="25" t="inlineStr">
        <is>
          <t>750ml</t>
        </is>
      </c>
      <c r="E245" s="27" t="n">
        <v>144</v>
      </c>
      <c r="F245" s="27" t="n">
        <v>93</v>
      </c>
      <c r="G245" s="27" t="n">
        <v>12</v>
      </c>
      <c r="H245" s="28" t="n">
        <v>76.98</v>
      </c>
      <c r="I245" s="28" t="n">
        <v>6</v>
      </c>
      <c r="J245" s="94" t="inlineStr">
        <is>
          <t>False</t>
        </is>
      </c>
      <c r="K245" s="28" t="n">
        <v>0</v>
      </c>
      <c r="L245" s="25" t="inlineStr">
        <is>
          <t>WHISKY - CANANDIAN</t>
        </is>
      </c>
      <c r="M245" s="25" t="inlineStr">
        <is>
          <t>SAZERAC COMPANY</t>
        </is>
      </c>
      <c r="N245" s="25" t="inlineStr">
        <is>
          <t>040002-RNDC-MAGNOLIA</t>
        </is>
      </c>
      <c r="O245" s="25" t="n"/>
      <c r="P245" s="25" t="inlineStr">
        <is>
          <t>10088004000391</t>
        </is>
      </c>
      <c r="Q245" s="25" t="inlineStr">
        <is>
          <t>0088004000394</t>
        </is>
      </c>
      <c r="R245" s="78" t="n">
        <v>42370</v>
      </c>
    </row>
    <row r="246">
      <c r="A246" t="inlineStr">
        <is>
          <t>or item code =</t>
        </is>
      </c>
      <c r="B246" s="25" t="inlineStr">
        <is>
          <t>12858</t>
        </is>
      </c>
      <c r="C246" s="25" t="inlineStr">
        <is>
          <t>CANADIAN RICH &amp; RARE RESERVE</t>
        </is>
      </c>
      <c r="D246" s="25" t="inlineStr">
        <is>
          <t>1.75L</t>
        </is>
      </c>
      <c r="E246" s="27" t="n">
        <v>417</v>
      </c>
      <c r="F246" s="27" t="n">
        <v>147</v>
      </c>
      <c r="G246" s="27" t="n">
        <v>6</v>
      </c>
      <c r="H246" s="28" t="n">
        <v>108.41</v>
      </c>
      <c r="I246" s="28" t="n">
        <v>0</v>
      </c>
      <c r="J246" s="94" t="inlineStr">
        <is>
          <t>False</t>
        </is>
      </c>
      <c r="K246" s="28" t="n">
        <v>0</v>
      </c>
      <c r="L246" s="25" t="inlineStr">
        <is>
          <t>WHISKY - CANANDIAN</t>
        </is>
      </c>
      <c r="M246" s="25" t="inlineStr">
        <is>
          <t>SAZERAC COMPANY</t>
        </is>
      </c>
      <c r="N246" s="25" t="inlineStr">
        <is>
          <t>040002-RNDC-MAGNOLIA</t>
        </is>
      </c>
      <c r="O246" s="25" t="n"/>
      <c r="P246" s="25" t="inlineStr">
        <is>
          <t>10088004009004</t>
        </is>
      </c>
      <c r="Q246" s="25" t="inlineStr">
        <is>
          <t>0088004009007</t>
        </is>
      </c>
      <c r="R246" s="78" t="n">
        <v>42370</v>
      </c>
    </row>
    <row r="247">
      <c r="A247" t="inlineStr">
        <is>
          <t>or item code =</t>
        </is>
      </c>
      <c r="B247" s="25" t="inlineStr">
        <is>
          <t>12855</t>
        </is>
      </c>
      <c r="C247" s="25" t="inlineStr">
        <is>
          <t>CANADIAN RICH AND RARE RESERVE</t>
        </is>
      </c>
      <c r="D247" s="25" t="inlineStr">
        <is>
          <t>375ml</t>
        </is>
      </c>
      <c r="E247" s="27" t="n">
        <v>36</v>
      </c>
      <c r="F247" s="27" t="n">
        <v>136</v>
      </c>
      <c r="G247" s="27" t="n">
        <v>12</v>
      </c>
      <c r="H247" s="28" t="n">
        <v>47.06</v>
      </c>
      <c r="I247" s="28" t="n">
        <v>0</v>
      </c>
      <c r="J247" s="94" t="inlineStr">
        <is>
          <t>False</t>
        </is>
      </c>
      <c r="K247" s="28" t="n">
        <v>0</v>
      </c>
      <c r="L247" s="25" t="inlineStr">
        <is>
          <t>WHISKY - CANANDIAN</t>
        </is>
      </c>
      <c r="M247" s="25" t="inlineStr">
        <is>
          <t>SAZERAC COMPANY</t>
        </is>
      </c>
      <c r="N247" s="25" t="inlineStr">
        <is>
          <t>040002-RNDC-MAGNOLIA</t>
        </is>
      </c>
      <c r="O247" s="25" t="n"/>
      <c r="P247" s="25" t="inlineStr">
        <is>
          <t>20088004008929</t>
        </is>
      </c>
      <c r="Q247" s="25" t="inlineStr">
        <is>
          <t>0088004008925</t>
        </is>
      </c>
      <c r="R247" s="78" t="n">
        <v>43286</v>
      </c>
    </row>
    <row r="248">
      <c r="A248" t="inlineStr">
        <is>
          <t>or item code =</t>
        </is>
      </c>
      <c r="B248" s="25" t="inlineStr">
        <is>
          <t>354249</t>
        </is>
      </c>
      <c r="C248" s="25" t="inlineStr">
        <is>
          <t>CANDONI MOSCATO D'ITALIA WHITE</t>
        </is>
      </c>
      <c r="D248" s="25" t="inlineStr">
        <is>
          <t>750ml</t>
        </is>
      </c>
      <c r="E248" s="27" t="n">
        <v>0</v>
      </c>
      <c r="F248" s="27" t="n">
        <v>31</v>
      </c>
      <c r="G248" s="27" t="n">
        <v>6</v>
      </c>
      <c r="H248" s="28" t="n">
        <v>77.06999999999999</v>
      </c>
      <c r="I248" s="28" t="n">
        <v>0</v>
      </c>
      <c r="J248" s="94" t="inlineStr">
        <is>
          <t>False</t>
        </is>
      </c>
      <c r="K248" s="28" t="n">
        <v>0</v>
      </c>
      <c r="L248" s="25" t="inlineStr">
        <is>
          <t>WHITE WINE</t>
        </is>
      </c>
      <c r="M248" s="25" t="inlineStr">
        <is>
          <t>AREL GROUP WINE &amp; SPIRITS, INC</t>
        </is>
      </c>
      <c r="N248" s="25" t="inlineStr">
        <is>
          <t>040003-RNDC-VINTAGE</t>
        </is>
      </c>
      <c r="O248" s="25" t="n"/>
      <c r="P248" s="25" t="inlineStr">
        <is>
          <t>10813645026949</t>
        </is>
      </c>
      <c r="Q248" s="25" t="inlineStr">
        <is>
          <t>813645002694</t>
        </is>
      </c>
      <c r="R248" s="78" t="n">
        <v>42370</v>
      </c>
    </row>
    <row r="249">
      <c r="A249" t="inlineStr">
        <is>
          <t>or item code =</t>
        </is>
      </c>
      <c r="B249" s="25" t="inlineStr">
        <is>
          <t>882381</t>
        </is>
      </c>
      <c r="C249" s="25" t="inlineStr">
        <is>
          <t>CAPRICCIO BUBBLY SANGRIA</t>
        </is>
      </c>
      <c r="D249" s="25" t="inlineStr">
        <is>
          <t>750ml</t>
        </is>
      </c>
      <c r="E249" s="27" t="n">
        <v>10</v>
      </c>
      <c r="F249" s="27" t="n">
        <v>61</v>
      </c>
      <c r="G249" s="27" t="n">
        <v>6</v>
      </c>
      <c r="H249" s="28" t="n">
        <v>36.36</v>
      </c>
      <c r="I249" s="28" t="n">
        <v>0</v>
      </c>
      <c r="J249" s="94" t="inlineStr">
        <is>
          <t>False</t>
        </is>
      </c>
      <c r="K249" s="28" t="n">
        <v>0</v>
      </c>
      <c r="L249" s="25" t="inlineStr">
        <is>
          <t>SANGRIA</t>
        </is>
      </c>
      <c r="M249" s="25" t="inlineStr">
        <is>
          <t>CARIBBEAN DISTILLERS LLC</t>
        </is>
      </c>
      <c r="N249" s="25" t="inlineStr">
        <is>
          <t>040003-RNDC-VINTAGE</t>
        </is>
      </c>
      <c r="O249" s="25" t="n"/>
      <c r="P249" s="25" t="inlineStr">
        <is>
          <t>00000000882381</t>
        </is>
      </c>
      <c r="Q249" s="25" t="inlineStr">
        <is>
          <t>0089016017264</t>
        </is>
      </c>
      <c r="R249" s="78" t="n">
        <v>43234</v>
      </c>
    </row>
    <row r="250">
      <c r="A250" t="inlineStr">
        <is>
          <t>or item code =</t>
        </is>
      </c>
      <c r="B250" s="25" t="inlineStr">
        <is>
          <t>882380</t>
        </is>
      </c>
      <c r="C250" s="25" t="inlineStr">
        <is>
          <t>CAPRICCIO BUBBLY SANGRIA</t>
        </is>
      </c>
      <c r="D250" s="25" t="inlineStr">
        <is>
          <t>375ml</t>
        </is>
      </c>
      <c r="E250" s="27" t="n">
        <v>17</v>
      </c>
      <c r="F250" s="27" t="n">
        <v>30</v>
      </c>
      <c r="G250" s="27" t="n">
        <v>24</v>
      </c>
      <c r="H250" s="28" t="n">
        <v>53.47</v>
      </c>
      <c r="I250" s="28" t="n">
        <v>0</v>
      </c>
      <c r="J250" s="94" t="inlineStr">
        <is>
          <t>False</t>
        </is>
      </c>
      <c r="K250" s="28" t="n">
        <v>0</v>
      </c>
      <c r="L250" s="25" t="inlineStr">
        <is>
          <t>SANGRIA</t>
        </is>
      </c>
      <c r="M250" s="25" t="inlineStr">
        <is>
          <t>CARIBBEAN DISTILLERS LLC</t>
        </is>
      </c>
      <c r="N250" s="25" t="inlineStr">
        <is>
          <t>040003-RNDC-VINTAGE</t>
        </is>
      </c>
      <c r="O250" s="25" t="n"/>
      <c r="P250" s="25" t="inlineStr">
        <is>
          <t>10089016016752</t>
        </is>
      </c>
      <c r="Q250" s="25" t="inlineStr">
        <is>
          <t>0089016016755</t>
        </is>
      </c>
      <c r="R250" s="78" t="n">
        <v>42370</v>
      </c>
    </row>
    <row r="251">
      <c r="A251" t="inlineStr">
        <is>
          <t>or item code =</t>
        </is>
      </c>
      <c r="B251" s="25" t="inlineStr">
        <is>
          <t>882398</t>
        </is>
      </c>
      <c r="C251" s="25" t="inlineStr">
        <is>
          <t>CAPRICCIO PASSION FRUIT SANGRIA</t>
        </is>
      </c>
      <c r="D251" s="25" t="inlineStr">
        <is>
          <t>750ml</t>
        </is>
      </c>
      <c r="E251" s="27" t="n">
        <v>33</v>
      </c>
      <c r="F251" s="27" t="n">
        <v>22</v>
      </c>
      <c r="G251" s="27" t="n">
        <v>6</v>
      </c>
      <c r="H251" s="28" t="n">
        <v>36.36</v>
      </c>
      <c r="I251" s="28" t="n">
        <v>0</v>
      </c>
      <c r="J251" s="94" t="inlineStr">
        <is>
          <t>False</t>
        </is>
      </c>
      <c r="K251" s="28" t="n">
        <v>0</v>
      </c>
      <c r="L251" s="25" t="inlineStr">
        <is>
          <t>SANGRIA</t>
        </is>
      </c>
      <c r="M251" s="25" t="inlineStr">
        <is>
          <t>CARIBBEAN DISTILLERS LLC</t>
        </is>
      </c>
      <c r="N251" s="25" t="inlineStr">
        <is>
          <t>040003-RNDC-VINTAGE</t>
        </is>
      </c>
      <c r="O251" s="25" t="n"/>
      <c r="P251" s="25" t="inlineStr">
        <is>
          <t>10089016019708</t>
        </is>
      </c>
      <c r="Q251" s="25" t="inlineStr">
        <is>
          <t>089016019701</t>
        </is>
      </c>
      <c r="R251" s="78" t="n">
        <v>42370</v>
      </c>
    </row>
    <row r="252">
      <c r="A252" t="inlineStr">
        <is>
          <t>or item code =</t>
        </is>
      </c>
      <c r="B252" s="25" t="inlineStr">
        <is>
          <t>58800</t>
        </is>
      </c>
      <c r="C252" s="25" t="inlineStr">
        <is>
          <t>CAPTAIN MORGAN LONG ISLAND ICED TEA RTD</t>
        </is>
      </c>
      <c r="D252" s="25" t="inlineStr">
        <is>
          <t>750ml</t>
        </is>
      </c>
      <c r="E252" s="27" t="n">
        <v>92</v>
      </c>
      <c r="F252" s="27" t="n">
        <v>17</v>
      </c>
      <c r="G252" s="27" t="n">
        <v>12</v>
      </c>
      <c r="H252" s="28" t="n">
        <v>138.51</v>
      </c>
      <c r="I252" s="28" t="n">
        <v>0</v>
      </c>
      <c r="J252" s="94" t="inlineStr">
        <is>
          <t>False</t>
        </is>
      </c>
      <c r="K252" s="28" t="n">
        <v>0</v>
      </c>
      <c r="L252" s="25" t="inlineStr">
        <is>
          <t>COCKTAILS</t>
        </is>
      </c>
      <c r="M252" s="25" t="inlineStr">
        <is>
          <t>DIAGEO AMERICAS INC</t>
        </is>
      </c>
      <c r="N252" s="25" t="inlineStr">
        <is>
          <t>040010-SOUTHERN GLAZERS WINE AND SPIRITS OF MISSISSIPPI LLC</t>
        </is>
      </c>
      <c r="O252" s="25" t="n"/>
      <c r="P252" s="25" t="inlineStr">
        <is>
          <t>00082000750635</t>
        </is>
      </c>
      <c r="Q252" s="25" t="inlineStr">
        <is>
          <t>0082000743491</t>
        </is>
      </c>
      <c r="R252" s="78" t="n">
        <v>42370</v>
      </c>
    </row>
    <row r="253">
      <c r="A253" t="inlineStr">
        <is>
          <t>or item code =</t>
        </is>
      </c>
      <c r="B253" s="25" t="inlineStr">
        <is>
          <t>43338</t>
        </is>
      </c>
      <c r="C253" s="25" t="inlineStr">
        <is>
          <t>CAPTAIN MORGAN ORIGINAL SPICED RUM</t>
        </is>
      </c>
      <c r="D253" s="25" t="inlineStr">
        <is>
          <t>1.75L</t>
        </is>
      </c>
      <c r="E253" s="27" t="n">
        <v>0</v>
      </c>
      <c r="F253" s="27" t="n">
        <v>140</v>
      </c>
      <c r="G253" s="27" t="n">
        <v>6</v>
      </c>
      <c r="H253" s="28" t="n">
        <v>149.9</v>
      </c>
      <c r="I253" s="28" t="n">
        <v>0</v>
      </c>
      <c r="J253" s="94" t="inlineStr">
        <is>
          <t>False</t>
        </is>
      </c>
      <c r="K253" s="28" t="n">
        <v>0</v>
      </c>
      <c r="L253" s="25" t="inlineStr">
        <is>
          <t>RUM</t>
        </is>
      </c>
      <c r="M253" s="25" t="inlineStr">
        <is>
          <t>DIAGEO AMERICAS INC</t>
        </is>
      </c>
      <c r="N253" s="25" t="inlineStr">
        <is>
          <t>040010-SOUTHERN GLAZERS WINE AND SPIRITS OF MISSISSIPPI LLC</t>
        </is>
      </c>
      <c r="O253" s="25" t="n"/>
      <c r="P253" s="25" t="inlineStr">
        <is>
          <t>00082000747185</t>
        </is>
      </c>
      <c r="Q253" s="25" t="inlineStr">
        <is>
          <t>087000201156</t>
        </is>
      </c>
      <c r="R253" s="78" t="n">
        <v>42370</v>
      </c>
    </row>
    <row r="254">
      <c r="A254" t="inlineStr">
        <is>
          <t>or item code =</t>
        </is>
      </c>
      <c r="B254" s="25" t="inlineStr">
        <is>
          <t>43334</t>
        </is>
      </c>
      <c r="C254" s="25" t="inlineStr">
        <is>
          <t>CAPTAIN MORGAN ORIGINAL SPICED RUM</t>
        </is>
      </c>
      <c r="D254" s="25" t="inlineStr">
        <is>
          <t>375ml</t>
        </is>
      </c>
      <c r="E254" s="27" t="n">
        <v>0</v>
      </c>
      <c r="F254" s="27" t="n">
        <v>78</v>
      </c>
      <c r="G254" s="27" t="n">
        <v>24</v>
      </c>
      <c r="H254" s="28" t="n">
        <v>186.84</v>
      </c>
      <c r="I254" s="28" t="n">
        <v>0</v>
      </c>
      <c r="J254" s="94" t="inlineStr">
        <is>
          <t>False</t>
        </is>
      </c>
      <c r="K254" s="28" t="n">
        <v>0</v>
      </c>
      <c r="L254" s="25" t="inlineStr">
        <is>
          <t>RUM</t>
        </is>
      </c>
      <c r="M254" s="25" t="inlineStr">
        <is>
          <t>DIAGEO AMERICAS INC</t>
        </is>
      </c>
      <c r="N254" s="25" t="inlineStr">
        <is>
          <t>040010-SOUTHERN GLAZERS WINE AND SPIRITS OF MISSISSIPPI LLC</t>
        </is>
      </c>
      <c r="O254" s="25" t="n"/>
      <c r="P254" s="25" t="inlineStr">
        <is>
          <t>00082000747147</t>
        </is>
      </c>
      <c r="Q254" s="25" t="inlineStr">
        <is>
          <t>08727707</t>
        </is>
      </c>
      <c r="R254" s="78" t="n">
        <v>42370</v>
      </c>
    </row>
    <row r="255">
      <c r="A255" t="inlineStr">
        <is>
          <t>or item code =</t>
        </is>
      </c>
      <c r="B255" s="25" t="inlineStr">
        <is>
          <t>43336</t>
        </is>
      </c>
      <c r="C255" s="25" t="inlineStr">
        <is>
          <t>CAPTAIN MORGAN ORIGINAL SPICED RUM</t>
        </is>
      </c>
      <c r="D255" s="25" t="inlineStr">
        <is>
          <t>750ml</t>
        </is>
      </c>
      <c r="E255" s="27" t="n">
        <v>18</v>
      </c>
      <c r="F255" s="27" t="n">
        <v>218</v>
      </c>
      <c r="G255" s="27" t="n">
        <v>12</v>
      </c>
      <c r="H255" s="28" t="n">
        <v>168.59</v>
      </c>
      <c r="I255" s="28" t="n">
        <v>0</v>
      </c>
      <c r="J255" s="94" t="inlineStr">
        <is>
          <t>False</t>
        </is>
      </c>
      <c r="K255" s="28" t="n">
        <v>0</v>
      </c>
      <c r="L255" s="25" t="inlineStr">
        <is>
          <t>RUM</t>
        </is>
      </c>
      <c r="M255" s="25" t="inlineStr">
        <is>
          <t>DIAGEO AMERICAS INC</t>
        </is>
      </c>
      <c r="N255" s="25" t="inlineStr">
        <is>
          <t>040010-SOUTHERN GLAZERS WINE AND SPIRITS OF MISSISSIPPI LLC</t>
        </is>
      </c>
      <c r="O255" s="25" t="n"/>
      <c r="P255" s="25" t="inlineStr">
        <is>
          <t>0087000002715</t>
        </is>
      </c>
      <c r="Q255" s="25" t="inlineStr">
        <is>
          <t>087000002715</t>
        </is>
      </c>
      <c r="R255" s="78" t="n">
        <v>42370</v>
      </c>
    </row>
    <row r="256">
      <c r="A256" t="inlineStr">
        <is>
          <t>or item code =</t>
        </is>
      </c>
      <c r="B256" s="25" t="inlineStr">
        <is>
          <t>43296</t>
        </is>
      </c>
      <c r="C256" s="25" t="inlineStr">
        <is>
          <t>CAPTAIN MORGAN SILVER SPICED RUM</t>
        </is>
      </c>
      <c r="D256" s="25" t="inlineStr">
        <is>
          <t>750ml</t>
        </is>
      </c>
      <c r="E256" s="27" t="n">
        <v>8</v>
      </c>
      <c r="F256" s="27" t="n">
        <v>6</v>
      </c>
      <c r="G256" s="27" t="n">
        <v>12</v>
      </c>
      <c r="H256" s="28" t="n">
        <v>168.59</v>
      </c>
      <c r="I256" s="28" t="n">
        <v>0</v>
      </c>
      <c r="J256" s="94" t="inlineStr">
        <is>
          <t>False</t>
        </is>
      </c>
      <c r="K256" s="28" t="n">
        <v>0</v>
      </c>
      <c r="L256" s="25" t="inlineStr">
        <is>
          <t>RUM</t>
        </is>
      </c>
      <c r="M256" s="25" t="inlineStr">
        <is>
          <t>DIAGEO AMERICAS INC</t>
        </is>
      </c>
      <c r="N256" s="25" t="inlineStr">
        <is>
          <t>040010-SOUTHERN GLAZERS WINE AND SPIRITS OF MISSISSIPPI LLC</t>
        </is>
      </c>
      <c r="O256" s="25" t="n"/>
      <c r="P256" s="25" t="inlineStr">
        <is>
          <t>00082000760467</t>
        </is>
      </c>
      <c r="Q256" s="25" t="inlineStr">
        <is>
          <t>087000003323</t>
        </is>
      </c>
      <c r="R256" s="78" t="n">
        <v>42370</v>
      </c>
    </row>
    <row r="257">
      <c r="A257" t="inlineStr">
        <is>
          <t>or item code =</t>
        </is>
      </c>
      <c r="B257" s="25" t="inlineStr">
        <is>
          <t>43328</t>
        </is>
      </c>
      <c r="C257" s="25" t="inlineStr">
        <is>
          <t>CAPTAIN MORGAN WHITE RUM</t>
        </is>
      </c>
      <c r="D257" s="25" t="inlineStr">
        <is>
          <t>750ml</t>
        </is>
      </c>
      <c r="E257" s="27" t="n">
        <v>0</v>
      </c>
      <c r="F257" s="27" t="n">
        <v>47</v>
      </c>
      <c r="G257" s="27" t="n">
        <v>12</v>
      </c>
      <c r="H257" s="28" t="n">
        <v>113.15</v>
      </c>
      <c r="I257" s="28" t="n">
        <v>0</v>
      </c>
      <c r="J257" s="94" t="inlineStr">
        <is>
          <t>False</t>
        </is>
      </c>
      <c r="K257" s="28" t="n">
        <v>0</v>
      </c>
      <c r="L257" s="25" t="inlineStr">
        <is>
          <t>RUM</t>
        </is>
      </c>
      <c r="M257" s="25" t="inlineStr">
        <is>
          <t>DIAGEO AMERICAS INC</t>
        </is>
      </c>
      <c r="N257" s="25" t="inlineStr">
        <is>
          <t>040010-SOUTHERN GLAZERS WINE AND SPIRITS OF MISSISSIPPI LLC</t>
        </is>
      </c>
      <c r="O257" s="25" t="n"/>
      <c r="P257" s="25" t="inlineStr">
        <is>
          <t>10082000766824</t>
        </is>
      </c>
      <c r="Q257" s="25" t="inlineStr">
        <is>
          <t>0082000766827</t>
        </is>
      </c>
      <c r="R257" s="78" t="n">
        <v>42370</v>
      </c>
    </row>
    <row r="258">
      <c r="A258" t="inlineStr">
        <is>
          <t>or item code =</t>
        </is>
      </c>
      <c r="B258" s="25" t="inlineStr">
        <is>
          <t>64601</t>
        </is>
      </c>
      <c r="C258" s="25" t="inlineStr">
        <is>
          <t>CARAVELLA LIMONCELLO LEMON LIQUEUR</t>
        </is>
      </c>
      <c r="D258" s="25" t="inlineStr">
        <is>
          <t>750ml</t>
        </is>
      </c>
      <c r="E258" s="27" t="n">
        <v>87</v>
      </c>
      <c r="F258" s="27" t="n">
        <v>52</v>
      </c>
      <c r="G258" s="27" t="n">
        <v>6</v>
      </c>
      <c r="H258" s="28" t="n">
        <v>98.72</v>
      </c>
      <c r="I258" s="28" t="n">
        <v>0</v>
      </c>
      <c r="J258" s="94" t="inlineStr">
        <is>
          <t>False</t>
        </is>
      </c>
      <c r="K258" s="28" t="n">
        <v>0</v>
      </c>
      <c r="L258" s="25" t="inlineStr">
        <is>
          <t>LIQUEURS AND CORDIALS</t>
        </is>
      </c>
      <c r="M258" s="25" t="inlineStr">
        <is>
          <t>SAZERAC COMPANY</t>
        </is>
      </c>
      <c r="N258" s="25" t="inlineStr">
        <is>
          <t>040002-RNDC-MAGNOLIA</t>
        </is>
      </c>
      <c r="O258" s="25" t="n"/>
      <c r="P258" s="25" t="n"/>
      <c r="Q258" s="25" t="inlineStr">
        <is>
          <t>0080660776057</t>
        </is>
      </c>
      <c r="R258" s="78" t="n">
        <v>42370</v>
      </c>
    </row>
    <row r="259">
      <c r="A259" t="inlineStr">
        <is>
          <t>or item code =</t>
        </is>
      </c>
      <c r="B259" s="25" t="inlineStr">
        <is>
          <t>882327</t>
        </is>
      </c>
      <c r="C259" s="25" t="inlineStr">
        <is>
          <t>CARLO ROSSI BLUEBERRY SANGRIA</t>
        </is>
      </c>
      <c r="D259" s="25" t="inlineStr">
        <is>
          <t>750ml</t>
        </is>
      </c>
      <c r="E259" s="27" t="n">
        <v>65</v>
      </c>
      <c r="F259" s="27" t="n">
        <v>112</v>
      </c>
      <c r="G259" s="27" t="n">
        <v>12</v>
      </c>
      <c r="H259" s="28" t="n">
        <v>47.06</v>
      </c>
      <c r="I259" s="28" t="n">
        <v>0</v>
      </c>
      <c r="J259" s="94" t="inlineStr">
        <is>
          <t>False</t>
        </is>
      </c>
      <c r="K259" s="28" t="n">
        <v>0</v>
      </c>
      <c r="L259" s="25" t="inlineStr">
        <is>
          <t>WHITE WINE</t>
        </is>
      </c>
      <c r="M259" s="25" t="inlineStr">
        <is>
          <t>E &amp; J GALLO WINERY</t>
        </is>
      </c>
      <c r="N259" s="25" t="inlineStr">
        <is>
          <t>040012-GALLO WINES OF MISSISSIPPI</t>
        </is>
      </c>
      <c r="O259" s="25" t="n"/>
      <c r="P259" s="25" t="inlineStr">
        <is>
          <t>30085000032344</t>
        </is>
      </c>
      <c r="Q259" s="25" t="inlineStr">
        <is>
          <t>085000032343</t>
        </is>
      </c>
      <c r="R259" s="78" t="n">
        <v>44228</v>
      </c>
    </row>
    <row r="260">
      <c r="A260" t="inlineStr">
        <is>
          <t>or item code =</t>
        </is>
      </c>
      <c r="B260" s="25" t="inlineStr">
        <is>
          <t>451246</t>
        </is>
      </c>
      <c r="C260" s="25" t="inlineStr">
        <is>
          <t>CARLO ROSSI CABERNET SAUVIGNON CALIFORNIA</t>
        </is>
      </c>
      <c r="D260" s="25" t="inlineStr">
        <is>
          <t>4L</t>
        </is>
      </c>
      <c r="E260" s="27" t="n">
        <v>25</v>
      </c>
      <c r="F260" s="27" t="n">
        <v>47</v>
      </c>
      <c r="G260" s="27" t="n">
        <v>4</v>
      </c>
      <c r="H260" s="28" t="n">
        <v>59.98</v>
      </c>
      <c r="I260" s="28" t="n">
        <v>0</v>
      </c>
      <c r="J260" s="94" t="inlineStr">
        <is>
          <t>False</t>
        </is>
      </c>
      <c r="K260" s="28" t="n">
        <v>0</v>
      </c>
      <c r="L260" s="25" t="inlineStr">
        <is>
          <t>CABERNET SAUVIGNON</t>
        </is>
      </c>
      <c r="M260" s="25" t="inlineStr">
        <is>
          <t>E &amp; J GALLO WINERY</t>
        </is>
      </c>
      <c r="N260" s="25" t="inlineStr">
        <is>
          <t>040012-GALLO WINES OF MISSISSIPPI</t>
        </is>
      </c>
      <c r="O260" s="25" t="n"/>
      <c r="P260" s="25" t="inlineStr">
        <is>
          <t>10085000014469</t>
        </is>
      </c>
      <c r="Q260" s="25" t="inlineStr">
        <is>
          <t>0085000014462</t>
        </is>
      </c>
      <c r="R260" s="78" t="n">
        <v>42370</v>
      </c>
    </row>
    <row r="261">
      <c r="A261" t="inlineStr">
        <is>
          <t>or item code =</t>
        </is>
      </c>
      <c r="B261" s="25" t="inlineStr">
        <is>
          <t>552052</t>
        </is>
      </c>
      <c r="C261" s="25" t="inlineStr">
        <is>
          <t>CARLO ROSSI CHARDONNAY</t>
        </is>
      </c>
      <c r="D261" s="25" t="inlineStr">
        <is>
          <t>4L</t>
        </is>
      </c>
      <c r="E261" s="27" t="n">
        <v>72</v>
      </c>
      <c r="F261" s="27" t="n">
        <v>49</v>
      </c>
      <c r="G261" s="27" t="n">
        <v>4</v>
      </c>
      <c r="H261" s="28" t="n">
        <v>59.98</v>
      </c>
      <c r="I261" s="28" t="n">
        <v>0</v>
      </c>
      <c r="J261" s="94" t="inlineStr">
        <is>
          <t>False</t>
        </is>
      </c>
      <c r="K261" s="28" t="n">
        <v>0</v>
      </c>
      <c r="L261" s="25" t="inlineStr">
        <is>
          <t>CHARDONNAY</t>
        </is>
      </c>
      <c r="M261" s="25" t="inlineStr">
        <is>
          <t>E &amp; J GALLO WINERY</t>
        </is>
      </c>
      <c r="N261" s="25" t="inlineStr">
        <is>
          <t>040012-GALLO WINES OF MISSISSIPPI</t>
        </is>
      </c>
      <c r="O261" s="25" t="n"/>
      <c r="P261" s="25" t="inlineStr">
        <is>
          <t>10085000014452</t>
        </is>
      </c>
      <c r="Q261" s="25" t="inlineStr">
        <is>
          <t>0085000014455</t>
        </is>
      </c>
      <c r="R261" s="78" t="n">
        <v>42370</v>
      </c>
    </row>
    <row r="262">
      <c r="A262" t="inlineStr">
        <is>
          <t>or item code =</t>
        </is>
      </c>
      <c r="B262" s="25" t="inlineStr">
        <is>
          <t>451249</t>
        </is>
      </c>
      <c r="C262" s="25" t="inlineStr">
        <is>
          <t>CARLO ROSSI MERLOT CALIFORNIA</t>
        </is>
      </c>
      <c r="D262" s="25" t="inlineStr">
        <is>
          <t>4L</t>
        </is>
      </c>
      <c r="E262" s="27" t="n">
        <v>42</v>
      </c>
      <c r="F262" s="27" t="n">
        <v>62</v>
      </c>
      <c r="G262" s="27" t="n">
        <v>4</v>
      </c>
      <c r="H262" s="28" t="n">
        <v>59.98</v>
      </c>
      <c r="I262" s="28" t="n">
        <v>0</v>
      </c>
      <c r="J262" s="94" t="inlineStr">
        <is>
          <t>False</t>
        </is>
      </c>
      <c r="K262" s="28" t="n">
        <v>0</v>
      </c>
      <c r="L262" s="25" t="inlineStr">
        <is>
          <t>MERLOT</t>
        </is>
      </c>
      <c r="M262" s="25" t="inlineStr">
        <is>
          <t>E &amp; J GALLO WINERY</t>
        </is>
      </c>
      <c r="N262" s="25" t="inlineStr">
        <is>
          <t>040012-GALLO WINES OF MISSISSIPPI</t>
        </is>
      </c>
      <c r="O262" s="25" t="n"/>
      <c r="P262" s="25" t="inlineStr">
        <is>
          <t>10085000014476</t>
        </is>
      </c>
      <c r="Q262" s="25" t="inlineStr">
        <is>
          <t>0085000014479</t>
        </is>
      </c>
      <c r="R262" s="78" t="n">
        <v>42370</v>
      </c>
    </row>
    <row r="263">
      <c r="A263" t="inlineStr">
        <is>
          <t>or item code =</t>
        </is>
      </c>
      <c r="B263" s="25" t="inlineStr">
        <is>
          <t>882307</t>
        </is>
      </c>
      <c r="C263" s="25" t="inlineStr">
        <is>
          <t>CARLO ROSSI MOSCATO SANGRIA</t>
        </is>
      </c>
      <c r="D263" s="25" t="inlineStr">
        <is>
          <t>750ml</t>
        </is>
      </c>
      <c r="E263" s="27" t="n">
        <v>54</v>
      </c>
      <c r="F263" s="27" t="n">
        <v>186</v>
      </c>
      <c r="G263" s="27" t="n">
        <v>12</v>
      </c>
      <c r="H263" s="28" t="n">
        <v>47.06</v>
      </c>
      <c r="I263" s="28" t="n">
        <v>0</v>
      </c>
      <c r="J263" s="94" t="inlineStr">
        <is>
          <t>False</t>
        </is>
      </c>
      <c r="K263" s="28" t="n">
        <v>0</v>
      </c>
      <c r="L263" s="25" t="inlineStr">
        <is>
          <t>MOSCATO WHITE</t>
        </is>
      </c>
      <c r="M263" s="25" t="inlineStr">
        <is>
          <t>E &amp; J GALLO WINERY</t>
        </is>
      </c>
      <c r="N263" s="25" t="inlineStr">
        <is>
          <t>040012-GALLO WINES OF MISSISSIPPI</t>
        </is>
      </c>
      <c r="O263" s="25" t="n"/>
      <c r="P263" s="25" t="inlineStr">
        <is>
          <t>30085000025025</t>
        </is>
      </c>
      <c r="Q263" s="25" t="inlineStr">
        <is>
          <t>0085000025024</t>
        </is>
      </c>
      <c r="R263" s="78" t="n">
        <v>42711</v>
      </c>
    </row>
    <row r="264">
      <c r="A264" t="inlineStr">
        <is>
          <t>or item code =</t>
        </is>
      </c>
      <c r="B264" s="25" t="inlineStr">
        <is>
          <t>882328</t>
        </is>
      </c>
      <c r="C264" s="25" t="inlineStr">
        <is>
          <t>CARLO ROSSI PEACH SANGRIA</t>
        </is>
      </c>
      <c r="D264" s="25" t="inlineStr">
        <is>
          <t>750ml</t>
        </is>
      </c>
      <c r="E264" s="27" t="n">
        <v>54</v>
      </c>
      <c r="F264" s="27" t="n">
        <v>106</v>
      </c>
      <c r="G264" s="27" t="n">
        <v>12</v>
      </c>
      <c r="H264" s="28" t="n">
        <v>47.06</v>
      </c>
      <c r="I264" s="28" t="n">
        <v>0</v>
      </c>
      <c r="J264" s="94" t="inlineStr">
        <is>
          <t>False</t>
        </is>
      </c>
      <c r="K264" s="28" t="n">
        <v>0</v>
      </c>
      <c r="L264" s="25" t="inlineStr">
        <is>
          <t>WHITE WINE</t>
        </is>
      </c>
      <c r="M264" s="25" t="inlineStr">
        <is>
          <t>E &amp; J GALLO WINERY</t>
        </is>
      </c>
      <c r="N264" s="25" t="inlineStr">
        <is>
          <t>040012-GALLO WINES OF MISSISSIPPI</t>
        </is>
      </c>
      <c r="O264" s="25" t="n"/>
      <c r="P264" s="25" t="inlineStr">
        <is>
          <t>30085000032351</t>
        </is>
      </c>
      <c r="Q264" s="25" t="inlineStr">
        <is>
          <t>085000032350</t>
        </is>
      </c>
      <c r="R264" s="78" t="n">
        <v>44228</v>
      </c>
    </row>
    <row r="265">
      <c r="A265" t="inlineStr">
        <is>
          <t>or item code =</t>
        </is>
      </c>
      <c r="B265" s="25" t="inlineStr">
        <is>
          <t>882322</t>
        </is>
      </c>
      <c r="C265" s="25" t="inlineStr">
        <is>
          <t>CARLO ROSSI PINEAPPLE SANGRIA</t>
        </is>
      </c>
      <c r="D265" s="25" t="inlineStr">
        <is>
          <t>750ml</t>
        </is>
      </c>
      <c r="E265" s="27" t="n">
        <v>125</v>
      </c>
      <c r="F265" s="27" t="n">
        <v>120</v>
      </c>
      <c r="G265" s="27" t="n">
        <v>12</v>
      </c>
      <c r="H265" s="28" t="n">
        <v>47.06</v>
      </c>
      <c r="I265" s="28" t="n">
        <v>0</v>
      </c>
      <c r="J265" s="94" t="inlineStr">
        <is>
          <t>False</t>
        </is>
      </c>
      <c r="K265" s="28" t="n">
        <v>0</v>
      </c>
      <c r="L265" s="25" t="inlineStr">
        <is>
          <t>WHITE WINE</t>
        </is>
      </c>
      <c r="M265" s="25" t="inlineStr">
        <is>
          <t>E &amp; J GALLO WINERY</t>
        </is>
      </c>
      <c r="N265" s="25" t="inlineStr">
        <is>
          <t>040012-GALLO WINES OF MISSISSIPPI</t>
        </is>
      </c>
      <c r="O265" s="25" t="n"/>
      <c r="P265" s="25" t="inlineStr">
        <is>
          <t>30085000029757</t>
        </is>
      </c>
      <c r="Q265" s="25" t="inlineStr">
        <is>
          <t>085000029756</t>
        </is>
      </c>
      <c r="R265" s="78" t="n">
        <v>43733</v>
      </c>
    </row>
    <row r="266">
      <c r="A266" t="inlineStr">
        <is>
          <t>or item code =</t>
        </is>
      </c>
      <c r="B266" s="25" t="inlineStr">
        <is>
          <t>882321</t>
        </is>
      </c>
      <c r="C266" s="25" t="inlineStr">
        <is>
          <t>CARLO ROSSI PINK MOSCATO SANGRIA</t>
        </is>
      </c>
      <c r="D266" s="25" t="inlineStr">
        <is>
          <t>4L</t>
        </is>
      </c>
      <c r="E266" s="27" t="n">
        <v>50</v>
      </c>
      <c r="F266" s="27" t="n">
        <v>65</v>
      </c>
      <c r="G266" s="27" t="n">
        <v>4</v>
      </c>
      <c r="H266" s="28" t="n">
        <v>54.26</v>
      </c>
      <c r="I266" s="28" t="n">
        <v>0</v>
      </c>
      <c r="J266" s="94" t="inlineStr">
        <is>
          <t>False</t>
        </is>
      </c>
      <c r="K266" s="28" t="n">
        <v>0</v>
      </c>
      <c r="L266" s="25" t="inlineStr">
        <is>
          <t>SANGRIA</t>
        </is>
      </c>
      <c r="M266" s="25" t="inlineStr">
        <is>
          <t>E &amp; J GALLO WINERY</t>
        </is>
      </c>
      <c r="N266" s="25" t="inlineStr">
        <is>
          <t>040012-GALLO WINES OF MISSISSIPPI</t>
        </is>
      </c>
      <c r="O266" s="25" t="n"/>
      <c r="P266" s="25" t="inlineStr">
        <is>
          <t>10085000028718</t>
        </is>
      </c>
      <c r="Q266" s="25" t="inlineStr">
        <is>
          <t>085000028711</t>
        </is>
      </c>
      <c r="R266" s="78" t="n">
        <v>42370</v>
      </c>
    </row>
    <row r="267">
      <c r="A267" t="inlineStr">
        <is>
          <t>or item code =</t>
        </is>
      </c>
      <c r="B267" s="25" t="inlineStr">
        <is>
          <t>882319</t>
        </is>
      </c>
      <c r="C267" s="25" t="inlineStr">
        <is>
          <t>CARLO ROSSI PINK MOSCATO SANGRIA</t>
        </is>
      </c>
      <c r="D267" s="25" t="inlineStr">
        <is>
          <t>1.5L</t>
        </is>
      </c>
      <c r="E267" s="27" t="n">
        <v>55</v>
      </c>
      <c r="F267" s="27" t="n">
        <v>59</v>
      </c>
      <c r="G267" s="27" t="n">
        <v>6</v>
      </c>
      <c r="H267" s="28" t="n">
        <v>42.81</v>
      </c>
      <c r="I267" s="28" t="n">
        <v>0</v>
      </c>
      <c r="J267" s="94" t="inlineStr">
        <is>
          <t>False</t>
        </is>
      </c>
      <c r="K267" s="28" t="n">
        <v>0</v>
      </c>
      <c r="L267" s="25" t="inlineStr">
        <is>
          <t>SANGRIA</t>
        </is>
      </c>
      <c r="M267" s="25" t="inlineStr">
        <is>
          <t>E &amp; J GALLO WINERY</t>
        </is>
      </c>
      <c r="N267" s="25" t="inlineStr">
        <is>
          <t>040012-GALLO WINES OF MISSISSIPPI</t>
        </is>
      </c>
      <c r="O267" s="25" t="n"/>
      <c r="P267" s="25" t="n"/>
      <c r="Q267" s="25" t="inlineStr">
        <is>
          <t>0085000026281</t>
        </is>
      </c>
      <c r="R267" s="78" t="n">
        <v>42370</v>
      </c>
    </row>
    <row r="268">
      <c r="A268" t="inlineStr">
        <is>
          <t>or item code =</t>
        </is>
      </c>
      <c r="B268" s="25" t="inlineStr">
        <is>
          <t>882311</t>
        </is>
      </c>
      <c r="C268" s="25" t="inlineStr">
        <is>
          <t>CARLO ROSSI PINK MOSCATO SANGRIA</t>
        </is>
      </c>
      <c r="D268" s="25" t="inlineStr">
        <is>
          <t>750ml</t>
        </is>
      </c>
      <c r="E268" s="27" t="n">
        <v>68</v>
      </c>
      <c r="F268" s="27" t="n">
        <v>104</v>
      </c>
      <c r="G268" s="27" t="n">
        <v>12</v>
      </c>
      <c r="H268" s="28" t="n">
        <v>47.06</v>
      </c>
      <c r="I268" s="28" t="n">
        <v>0</v>
      </c>
      <c r="J268" s="94" t="inlineStr">
        <is>
          <t>False</t>
        </is>
      </c>
      <c r="K268" s="28" t="n">
        <v>0</v>
      </c>
      <c r="L268" s="25" t="inlineStr">
        <is>
          <t>SANGRIA</t>
        </is>
      </c>
      <c r="M268" s="25" t="inlineStr">
        <is>
          <t>E &amp; J GALLO WINERY</t>
        </is>
      </c>
      <c r="N268" s="25" t="inlineStr">
        <is>
          <t>040012-GALLO WINES OF MISSISSIPPI</t>
        </is>
      </c>
      <c r="O268" s="25" t="n"/>
      <c r="P268" s="25" t="inlineStr">
        <is>
          <t>10085000025038</t>
        </is>
      </c>
      <c r="Q268" s="25" t="inlineStr">
        <is>
          <t>0085000025031</t>
        </is>
      </c>
      <c r="R268" s="78" t="n">
        <v>43097</v>
      </c>
    </row>
    <row r="269">
      <c r="A269" t="inlineStr">
        <is>
          <t>or item code =</t>
        </is>
      </c>
      <c r="B269" s="25" t="inlineStr">
        <is>
          <t>647232</t>
        </is>
      </c>
      <c r="C269" s="25" t="inlineStr">
        <is>
          <t>CARLO ROSSI RESERVE WHITE ZINFANDEL</t>
        </is>
      </c>
      <c r="D269" s="25" t="inlineStr">
        <is>
          <t>4L</t>
        </is>
      </c>
      <c r="E269" s="27" t="n">
        <v>8</v>
      </c>
      <c r="F269" s="27" t="n">
        <v>30</v>
      </c>
      <c r="G269" s="27" t="n">
        <v>4</v>
      </c>
      <c r="H269" s="28" t="n">
        <v>59.98</v>
      </c>
      <c r="I269" s="28" t="n">
        <v>0</v>
      </c>
      <c r="J269" s="94" t="inlineStr">
        <is>
          <t>False</t>
        </is>
      </c>
      <c r="K269" s="28" t="n">
        <v>0</v>
      </c>
      <c r="L269" s="25" t="inlineStr">
        <is>
          <t>WHITE ZINFANDEL</t>
        </is>
      </c>
      <c r="M269" s="25" t="inlineStr">
        <is>
          <t>E &amp; J GALLO WINERY</t>
        </is>
      </c>
      <c r="N269" s="25" t="inlineStr">
        <is>
          <t>040012-GALLO WINES OF MISSISSIPPI</t>
        </is>
      </c>
      <c r="O269" s="25" t="n"/>
      <c r="P269" s="25" t="inlineStr">
        <is>
          <t>10085000014483</t>
        </is>
      </c>
      <c r="Q269" s="25" t="inlineStr">
        <is>
          <t>0085000014486</t>
        </is>
      </c>
      <c r="R269" s="78" t="n">
        <v>42370</v>
      </c>
    </row>
    <row r="270">
      <c r="A270" t="inlineStr">
        <is>
          <t>or item code =</t>
        </is>
      </c>
      <c r="B270" s="25" t="inlineStr">
        <is>
          <t>882304</t>
        </is>
      </c>
      <c r="C270" s="25" t="inlineStr">
        <is>
          <t>CARLO ROSSI SANGRIA</t>
        </is>
      </c>
      <c r="D270" s="25" t="inlineStr">
        <is>
          <t>750ml</t>
        </is>
      </c>
      <c r="E270" s="27" t="n">
        <v>128</v>
      </c>
      <c r="F270" s="27" t="n">
        <v>243</v>
      </c>
      <c r="G270" s="27" t="n">
        <v>12</v>
      </c>
      <c r="H270" s="28" t="n">
        <v>47.06</v>
      </c>
      <c r="I270" s="28" t="n">
        <v>0</v>
      </c>
      <c r="J270" s="94" t="inlineStr">
        <is>
          <t>False</t>
        </is>
      </c>
      <c r="K270" s="28" t="n">
        <v>0</v>
      </c>
      <c r="L270" s="25" t="inlineStr">
        <is>
          <t>SANGRIA</t>
        </is>
      </c>
      <c r="M270" s="25" t="inlineStr">
        <is>
          <t>E &amp; J GALLO WINERY</t>
        </is>
      </c>
      <c r="N270" s="25" t="inlineStr">
        <is>
          <t>040012-GALLO WINES OF MISSISSIPPI</t>
        </is>
      </c>
      <c r="O270" s="25" t="n"/>
      <c r="P270" s="25" t="n"/>
      <c r="Q270" s="25" t="inlineStr">
        <is>
          <t>085000025017</t>
        </is>
      </c>
      <c r="R270" s="78" t="n">
        <v>42711</v>
      </c>
    </row>
    <row r="271">
      <c r="A271" t="inlineStr">
        <is>
          <t>or item code =</t>
        </is>
      </c>
      <c r="B271" s="25" t="inlineStr">
        <is>
          <t>882300</t>
        </is>
      </c>
      <c r="C271" s="25" t="inlineStr">
        <is>
          <t>CARLO ROSSI SPANADA SANGRIA</t>
        </is>
      </c>
      <c r="D271" s="25" t="inlineStr">
        <is>
          <t>4L</t>
        </is>
      </c>
      <c r="E271" s="27" t="n">
        <v>149</v>
      </c>
      <c r="F271" s="27" t="n">
        <v>299</v>
      </c>
      <c r="G271" s="27" t="n">
        <v>4</v>
      </c>
      <c r="H271" s="28" t="n">
        <v>54.26</v>
      </c>
      <c r="I271" s="28" t="n">
        <v>0</v>
      </c>
      <c r="J271" s="94" t="inlineStr">
        <is>
          <t>False</t>
        </is>
      </c>
      <c r="K271" s="28" t="n">
        <v>0</v>
      </c>
      <c r="L271" s="25" t="inlineStr">
        <is>
          <t>SANGRIA</t>
        </is>
      </c>
      <c r="M271" s="25" t="inlineStr">
        <is>
          <t>E &amp; J GALLO WINERY</t>
        </is>
      </c>
      <c r="N271" s="25" t="inlineStr">
        <is>
          <t>040012-GALLO WINES OF MISSISSIPPI</t>
        </is>
      </c>
      <c r="O271" s="25" t="n"/>
      <c r="P271" s="25" t="inlineStr">
        <is>
          <t>10085000007164</t>
        </is>
      </c>
      <c r="Q271" s="25" t="inlineStr">
        <is>
          <t>08571607</t>
        </is>
      </c>
      <c r="R271" s="78" t="n">
        <v>42370</v>
      </c>
    </row>
    <row r="272">
      <c r="A272" t="inlineStr">
        <is>
          <t>or item code =</t>
        </is>
      </c>
      <c r="B272" s="25" t="inlineStr">
        <is>
          <t>882306</t>
        </is>
      </c>
      <c r="C272" s="25" t="inlineStr">
        <is>
          <t>CARLO ROSSI SPANADA SANGRIA</t>
        </is>
      </c>
      <c r="D272" s="25" t="inlineStr">
        <is>
          <t>1.5L</t>
        </is>
      </c>
      <c r="E272" s="27" t="n">
        <v>63</v>
      </c>
      <c r="F272" s="27" t="n">
        <v>272</v>
      </c>
      <c r="G272" s="27" t="n">
        <v>6</v>
      </c>
      <c r="H272" s="28" t="n">
        <v>42.81</v>
      </c>
      <c r="I272" s="28" t="n">
        <v>0</v>
      </c>
      <c r="J272" s="94" t="inlineStr">
        <is>
          <t>False</t>
        </is>
      </c>
      <c r="K272" s="28" t="n">
        <v>0</v>
      </c>
      <c r="L272" s="25" t="inlineStr">
        <is>
          <t>SANGRIA</t>
        </is>
      </c>
      <c r="M272" s="25" t="inlineStr">
        <is>
          <t>E &amp; J GALLO WINERY</t>
        </is>
      </c>
      <c r="N272" s="25" t="inlineStr">
        <is>
          <t>040012-GALLO WINES OF MISSISSIPPI</t>
        </is>
      </c>
      <c r="O272" s="25" t="n"/>
      <c r="P272" s="25" t="inlineStr">
        <is>
          <t>20085000007130</t>
        </is>
      </c>
      <c r="Q272" s="25" t="inlineStr">
        <is>
          <t>085000007136</t>
        </is>
      </c>
      <c r="R272" s="78" t="n">
        <v>42370</v>
      </c>
    </row>
    <row r="273">
      <c r="A273" t="inlineStr">
        <is>
          <t>or item code =</t>
        </is>
      </c>
      <c r="B273" s="25" t="inlineStr">
        <is>
          <t>882323</t>
        </is>
      </c>
      <c r="C273" s="25" t="inlineStr">
        <is>
          <t>CARLO ROSSI SWEET PINK SANGRIA</t>
        </is>
      </c>
      <c r="D273" s="25" t="inlineStr">
        <is>
          <t>187ml</t>
        </is>
      </c>
      <c r="E273" s="27" t="n">
        <v>5</v>
      </c>
      <c r="F273" s="27" t="n">
        <v>13</v>
      </c>
      <c r="G273" s="27" t="n">
        <v>24</v>
      </c>
      <c r="H273" s="28" t="n">
        <v>30.68</v>
      </c>
      <c r="I273" s="28" t="n">
        <v>0</v>
      </c>
      <c r="J273" s="94" t="inlineStr">
        <is>
          <t>False</t>
        </is>
      </c>
      <c r="K273" s="28" t="n">
        <v>0</v>
      </c>
      <c r="L273" s="25" t="inlineStr">
        <is>
          <t>SANGRIA</t>
        </is>
      </c>
      <c r="M273" s="25" t="inlineStr">
        <is>
          <t>E &amp; J GALLO WINERY</t>
        </is>
      </c>
      <c r="N273" s="25" t="inlineStr">
        <is>
          <t>040012-GALLO WINES OF MISSISSIPPI</t>
        </is>
      </c>
      <c r="O273" s="25" t="n"/>
      <c r="P273" s="25" t="inlineStr">
        <is>
          <t>40085000033089</t>
        </is>
      </c>
      <c r="Q273" s="25" t="inlineStr">
        <is>
          <t>085000033081</t>
        </is>
      </c>
      <c r="R273" s="78" t="n">
        <v>44652</v>
      </c>
    </row>
    <row r="274">
      <c r="A274" t="inlineStr">
        <is>
          <t>or item code =</t>
        </is>
      </c>
      <c r="B274" s="25" t="inlineStr">
        <is>
          <t>415315</t>
        </is>
      </c>
      <c r="C274" s="25" t="inlineStr">
        <is>
          <t>CARLO ROSSI SWEET RED</t>
        </is>
      </c>
      <c r="D274" s="25" t="inlineStr">
        <is>
          <t>1.5L</t>
        </is>
      </c>
      <c r="E274" s="27" t="n">
        <v>122</v>
      </c>
      <c r="F274" s="27" t="n">
        <v>293</v>
      </c>
      <c r="G274" s="27" t="n">
        <v>6</v>
      </c>
      <c r="H274" s="28" t="n">
        <v>42.81</v>
      </c>
      <c r="I274" s="28" t="n">
        <v>0</v>
      </c>
      <c r="J274" s="94" t="inlineStr">
        <is>
          <t>False</t>
        </is>
      </c>
      <c r="K274" s="28" t="n">
        <v>0</v>
      </c>
      <c r="L274" s="25" t="inlineStr">
        <is>
          <t>RED WINE</t>
        </is>
      </c>
      <c r="M274" s="25" t="inlineStr">
        <is>
          <t>E &amp; J GALLO WINERY</t>
        </is>
      </c>
      <c r="N274" s="25" t="inlineStr">
        <is>
          <t>040012-GALLO WINES OF MISSISSIPPI</t>
        </is>
      </c>
      <c r="O274" s="25" t="n"/>
      <c r="P274" s="25" t="inlineStr">
        <is>
          <t>20085000005686</t>
        </is>
      </c>
      <c r="Q274" s="25" t="inlineStr">
        <is>
          <t>085000005682</t>
        </is>
      </c>
      <c r="R274" s="78" t="n">
        <v>42278</v>
      </c>
    </row>
    <row r="275">
      <c r="A275" t="inlineStr">
        <is>
          <t>or item code =</t>
        </is>
      </c>
      <c r="B275" s="25" t="inlineStr">
        <is>
          <t>882312</t>
        </is>
      </c>
      <c r="C275" s="25" t="inlineStr">
        <is>
          <t>CARLO ROSSI SWEET RED</t>
        </is>
      </c>
      <c r="D275" s="25" t="inlineStr">
        <is>
          <t>750ml</t>
        </is>
      </c>
      <c r="E275" s="27" t="n">
        <v>99</v>
      </c>
      <c r="F275" s="27" t="n">
        <v>367</v>
      </c>
      <c r="G275" s="27" t="n">
        <v>12</v>
      </c>
      <c r="H275" s="28" t="n">
        <v>47.06</v>
      </c>
      <c r="I275" s="28" t="n">
        <v>0</v>
      </c>
      <c r="J275" s="94" t="inlineStr">
        <is>
          <t>False</t>
        </is>
      </c>
      <c r="K275" s="28" t="n">
        <v>0</v>
      </c>
      <c r="L275" s="25" t="inlineStr">
        <is>
          <t>RED WINE</t>
        </is>
      </c>
      <c r="M275" s="25" t="inlineStr">
        <is>
          <t>E &amp; J GALLO WINERY</t>
        </is>
      </c>
      <c r="N275" s="25" t="inlineStr">
        <is>
          <t>040012-GALLO WINES OF MISSISSIPPI</t>
        </is>
      </c>
      <c r="O275" s="25" t="n"/>
      <c r="P275" s="25" t="inlineStr">
        <is>
          <t>30085000025049</t>
        </is>
      </c>
      <c r="Q275" s="25" t="inlineStr">
        <is>
          <t>0085000025048</t>
        </is>
      </c>
      <c r="R275" s="78" t="n">
        <v>42711</v>
      </c>
    </row>
    <row r="276">
      <c r="A276" t="inlineStr">
        <is>
          <t>or item code =</t>
        </is>
      </c>
      <c r="B276" s="25" t="inlineStr">
        <is>
          <t>415318</t>
        </is>
      </c>
      <c r="C276" s="25" t="inlineStr">
        <is>
          <t>CARLO ROSSI SWEET RED</t>
        </is>
      </c>
      <c r="D276" s="25" t="inlineStr">
        <is>
          <t>4L</t>
        </is>
      </c>
      <c r="E276" s="27" t="n">
        <v>123</v>
      </c>
      <c r="F276" s="27" t="n">
        <v>312</v>
      </c>
      <c r="G276" s="27" t="n">
        <v>4</v>
      </c>
      <c r="H276" s="28" t="n">
        <v>54.26</v>
      </c>
      <c r="I276" s="28" t="n">
        <v>0</v>
      </c>
      <c r="J276" s="94" t="inlineStr">
        <is>
          <t>False</t>
        </is>
      </c>
      <c r="K276" s="28" t="n">
        <v>0</v>
      </c>
      <c r="L276" s="25" t="inlineStr">
        <is>
          <t>RED WINE</t>
        </is>
      </c>
      <c r="M276" s="25" t="inlineStr">
        <is>
          <t>E &amp; J GALLO WINERY</t>
        </is>
      </c>
      <c r="N276" s="25" t="inlineStr">
        <is>
          <t>040012-GALLO WINES OF MISSISSIPPI</t>
        </is>
      </c>
      <c r="O276" s="25" t="n"/>
      <c r="P276" s="25" t="n"/>
      <c r="Q276" s="25" t="inlineStr">
        <is>
          <t>085000005729</t>
        </is>
      </c>
      <c r="R276" s="78" t="n">
        <v>42370</v>
      </c>
    </row>
    <row r="277">
      <c r="A277" t="inlineStr">
        <is>
          <t>or item code =</t>
        </is>
      </c>
      <c r="B277" s="25" t="inlineStr">
        <is>
          <t>646105</t>
        </is>
      </c>
      <c r="C277" s="25" t="inlineStr">
        <is>
          <t>CARLO ROSSI SWEET ROSE</t>
        </is>
      </c>
      <c r="D277" s="25" t="inlineStr">
        <is>
          <t>4L</t>
        </is>
      </c>
      <c r="E277" s="27" t="n">
        <v>18</v>
      </c>
      <c r="F277" s="27" t="n">
        <v>16</v>
      </c>
      <c r="G277" s="27" t="n">
        <v>4</v>
      </c>
      <c r="H277" s="28" t="n">
        <v>54.26</v>
      </c>
      <c r="I277" s="28" t="n">
        <v>0</v>
      </c>
      <c r="J277" s="94" t="inlineStr">
        <is>
          <t>False</t>
        </is>
      </c>
      <c r="K277" s="28" t="n">
        <v>0</v>
      </c>
      <c r="L277" s="25" t="inlineStr">
        <is>
          <t>ROSE / BLUSH WINE</t>
        </is>
      </c>
      <c r="M277" s="25" t="inlineStr">
        <is>
          <t>E &amp; J GALLO WINERY</t>
        </is>
      </c>
      <c r="N277" s="25" t="inlineStr">
        <is>
          <t>040012-GALLO WINES OF MISSISSIPPI</t>
        </is>
      </c>
      <c r="O277" s="25" t="n"/>
      <c r="P277" s="25" t="n"/>
      <c r="Q277" s="25" t="inlineStr">
        <is>
          <t>085000002162</t>
        </is>
      </c>
      <c r="R277" s="78" t="n">
        <v>42370</v>
      </c>
    </row>
    <row r="278">
      <c r="A278" t="inlineStr">
        <is>
          <t>or item code =</t>
        </is>
      </c>
      <c r="B278" s="25" t="inlineStr">
        <is>
          <t>882308</t>
        </is>
      </c>
      <c r="C278" s="25" t="inlineStr">
        <is>
          <t>CARLO ROSSI SWEET SANGRIA</t>
        </is>
      </c>
      <c r="D278" s="25" t="inlineStr">
        <is>
          <t>1.5L</t>
        </is>
      </c>
      <c r="E278" s="27" t="n">
        <v>56</v>
      </c>
      <c r="F278" s="27" t="n">
        <v>103</v>
      </c>
      <c r="G278" s="27" t="n">
        <v>6</v>
      </c>
      <c r="H278" s="28" t="n">
        <v>42.81</v>
      </c>
      <c r="I278" s="28" t="n">
        <v>0</v>
      </c>
      <c r="J278" s="94" t="inlineStr">
        <is>
          <t>False</t>
        </is>
      </c>
      <c r="K278" s="28" t="n">
        <v>0</v>
      </c>
      <c r="L278" s="25" t="inlineStr">
        <is>
          <t>SANGRIA</t>
        </is>
      </c>
      <c r="M278" s="25" t="inlineStr">
        <is>
          <t>E &amp; J GALLO WINERY</t>
        </is>
      </c>
      <c r="N278" s="25" t="inlineStr">
        <is>
          <t>040012-GALLO WINES OF MISSISSIPPI</t>
        </is>
      </c>
      <c r="O278" s="25" t="n"/>
      <c r="P278" s="25" t="inlineStr">
        <is>
          <t>20085000021020</t>
        </is>
      </c>
      <c r="Q278" s="25" t="inlineStr">
        <is>
          <t>0085000021026</t>
        </is>
      </c>
      <c r="R278" s="78" t="n">
        <v>42370</v>
      </c>
    </row>
    <row r="279">
      <c r="A279" t="inlineStr">
        <is>
          <t>or item code =</t>
        </is>
      </c>
      <c r="B279" s="25" t="inlineStr">
        <is>
          <t>882310</t>
        </is>
      </c>
      <c r="C279" s="25" t="inlineStr">
        <is>
          <t>CARLO ROSSI SWEET SANGRIA</t>
        </is>
      </c>
      <c r="D279" s="25" t="inlineStr">
        <is>
          <t>4L</t>
        </is>
      </c>
      <c r="E279" s="27" t="n">
        <v>33</v>
      </c>
      <c r="F279" s="27" t="n">
        <v>117</v>
      </c>
      <c r="G279" s="27" t="n">
        <v>4</v>
      </c>
      <c r="H279" s="28" t="n">
        <v>54.26</v>
      </c>
      <c r="I279" s="28" t="n">
        <v>0</v>
      </c>
      <c r="J279" s="94" t="inlineStr">
        <is>
          <t>False</t>
        </is>
      </c>
      <c r="K279" s="28" t="n">
        <v>0</v>
      </c>
      <c r="L279" s="25" t="inlineStr">
        <is>
          <t>SANGRIA</t>
        </is>
      </c>
      <c r="M279" s="25" t="inlineStr">
        <is>
          <t>E &amp; J GALLO WINERY</t>
        </is>
      </c>
      <c r="N279" s="25" t="inlineStr">
        <is>
          <t>040012-GALLO WINES OF MISSISSIPPI</t>
        </is>
      </c>
      <c r="O279" s="25" t="n"/>
      <c r="P279" s="25" t="inlineStr">
        <is>
          <t>10085000021047</t>
        </is>
      </c>
      <c r="Q279" s="25" t="inlineStr">
        <is>
          <t>0085000021040</t>
        </is>
      </c>
      <c r="R279" s="78" t="n">
        <v>42370</v>
      </c>
    </row>
    <row r="280">
      <c r="A280" t="inlineStr">
        <is>
          <t>or item code =</t>
        </is>
      </c>
      <c r="B280" s="25" t="inlineStr">
        <is>
          <t>882325</t>
        </is>
      </c>
      <c r="C280" s="25" t="inlineStr">
        <is>
          <t>CARLO ROSSI WATERMELON SANGRIA</t>
        </is>
      </c>
      <c r="D280" s="25" t="inlineStr">
        <is>
          <t>750ml</t>
        </is>
      </c>
      <c r="E280" s="27" t="n">
        <v>45</v>
      </c>
      <c r="F280" s="27" t="n">
        <v>116</v>
      </c>
      <c r="G280" s="27" t="n">
        <v>12</v>
      </c>
      <c r="H280" s="28" t="n">
        <v>47.06</v>
      </c>
      <c r="I280" s="28" t="n">
        <v>0</v>
      </c>
      <c r="J280" s="94" t="inlineStr">
        <is>
          <t>False</t>
        </is>
      </c>
      <c r="K280" s="28" t="n">
        <v>0</v>
      </c>
      <c r="L280" s="25" t="inlineStr">
        <is>
          <t>WHITE WINE</t>
        </is>
      </c>
      <c r="M280" s="25" t="inlineStr">
        <is>
          <t>E &amp; J GALLO WINERY</t>
        </is>
      </c>
      <c r="N280" s="25" t="inlineStr">
        <is>
          <t>040012-GALLO WINES OF MISSISSIPPI</t>
        </is>
      </c>
      <c r="O280" s="25" t="n"/>
      <c r="P280" s="25" t="inlineStr">
        <is>
          <t>30085000029733</t>
        </is>
      </c>
      <c r="Q280" s="25" t="inlineStr">
        <is>
          <t>085000029732</t>
        </is>
      </c>
      <c r="R280" s="78" t="n">
        <v>43733</v>
      </c>
    </row>
    <row r="281">
      <c r="A281" t="inlineStr">
        <is>
          <t>or item code =</t>
        </is>
      </c>
      <c r="B281" s="25" t="inlineStr">
        <is>
          <t>451754</t>
        </is>
      </c>
      <c r="C281" s="25" t="inlineStr">
        <is>
          <t>CARNIVOR CABERNET SAUVIGNON BOURBON BARREL AGED</t>
        </is>
      </c>
      <c r="D281" s="25" t="inlineStr">
        <is>
          <t>750ml</t>
        </is>
      </c>
      <c r="E281" s="27" t="n">
        <v>24</v>
      </c>
      <c r="F281" s="27" t="n">
        <v>22</v>
      </c>
      <c r="G281" s="27" t="n">
        <v>12</v>
      </c>
      <c r="H281" s="28" t="n">
        <v>137.05</v>
      </c>
      <c r="I281" s="28" t="n">
        <v>0</v>
      </c>
      <c r="J281" s="94" t="inlineStr">
        <is>
          <t>False</t>
        </is>
      </c>
      <c r="K281" s="28" t="n">
        <v>0</v>
      </c>
      <c r="L281" s="25" t="inlineStr">
        <is>
          <t>RED WINE</t>
        </is>
      </c>
      <c r="M281" s="25" t="inlineStr">
        <is>
          <t>E &amp; J GALLO WINERY</t>
        </is>
      </c>
      <c r="N281" s="25" t="inlineStr">
        <is>
          <t>040012-GALLO WINES OF MISSISSIPPI</t>
        </is>
      </c>
      <c r="O281" s="25" t="n"/>
      <c r="P281" s="25" t="n"/>
      <c r="Q281" s="25" t="inlineStr">
        <is>
          <t>085000031803</t>
        </is>
      </c>
      <c r="R281" s="78" t="n">
        <v>44166</v>
      </c>
    </row>
    <row r="282">
      <c r="A282" t="inlineStr">
        <is>
          <t>or item code =</t>
        </is>
      </c>
      <c r="B282" s="25" t="inlineStr">
        <is>
          <t>68126</t>
        </is>
      </c>
      <c r="C282" s="25" t="inlineStr">
        <is>
          <t>CAROLANS IRISH CREAM LIQUEUR</t>
        </is>
      </c>
      <c r="D282" s="25" t="inlineStr">
        <is>
          <t>750ml</t>
        </is>
      </c>
      <c r="E282" s="27" t="n">
        <v>104</v>
      </c>
      <c r="F282" s="27" t="n">
        <v>83</v>
      </c>
      <c r="G282" s="27" t="n">
        <v>12</v>
      </c>
      <c r="H282" s="28" t="n">
        <v>156.87</v>
      </c>
      <c r="I282" s="28" t="n">
        <v>0</v>
      </c>
      <c r="J282" s="94" t="inlineStr">
        <is>
          <t>False</t>
        </is>
      </c>
      <c r="K282" s="28" t="n">
        <v>0</v>
      </c>
      <c r="L282" s="25" t="inlineStr">
        <is>
          <t>LIQUEURS AND CORDIALS</t>
        </is>
      </c>
      <c r="M282" s="25" t="inlineStr">
        <is>
          <t>HEAVEN HILL BRANDS</t>
        </is>
      </c>
      <c r="N282" s="25" t="inlineStr">
        <is>
          <t>040010-SOUTHERN GLAZERS WINE AND SPIRITS OF MISSISSIPPI LLC</t>
        </is>
      </c>
      <c r="O282" s="25" t="n"/>
      <c r="P282" s="25" t="n"/>
      <c r="Q282" s="25" t="inlineStr">
        <is>
          <t>810845030045</t>
        </is>
      </c>
      <c r="R282" s="78" t="n">
        <v>42370</v>
      </c>
    </row>
    <row r="283">
      <c r="A283" t="inlineStr">
        <is>
          <t>or item code =</t>
        </is>
      </c>
      <c r="B283" s="25" t="inlineStr">
        <is>
          <t>87278</t>
        </is>
      </c>
      <c r="C283" s="25" t="inlineStr">
        <is>
          <t>CASA DRAGONES BLANCO PURO AGAVE AZUL</t>
        </is>
      </c>
      <c r="D283" s="25" t="inlineStr">
        <is>
          <t>750ml</t>
        </is>
      </c>
      <c r="E283" s="27" t="n">
        <v>39</v>
      </c>
      <c r="F283" s="27" t="n">
        <v>13</v>
      </c>
      <c r="G283" s="27" t="n">
        <v>3</v>
      </c>
      <c r="H283" s="28" t="n">
        <v>178.32</v>
      </c>
      <c r="I283" s="28" t="n">
        <v>0</v>
      </c>
      <c r="J283" s="94" t="inlineStr">
        <is>
          <t>False</t>
        </is>
      </c>
      <c r="K283" s="28" t="n">
        <v>0</v>
      </c>
      <c r="L283" s="25" t="inlineStr">
        <is>
          <t>TEQUILA</t>
        </is>
      </c>
      <c r="M283" s="25" t="inlineStr">
        <is>
          <t>MHW LTD</t>
        </is>
      </c>
      <c r="N283" s="25" t="inlineStr">
        <is>
          <t>040010-SOUTHERN GLAZERS WINE AND SPIRITS OF MISSISSIPPI LLC</t>
        </is>
      </c>
      <c r="O283" s="25" t="n"/>
      <c r="P283" s="25" t="inlineStr">
        <is>
          <t>10736040532733</t>
        </is>
      </c>
      <c r="Q283" s="25" t="inlineStr">
        <is>
          <t>736040532736</t>
        </is>
      </c>
      <c r="R283" s="78" t="n">
        <v>44102</v>
      </c>
    </row>
    <row r="284">
      <c r="A284" t="inlineStr">
        <is>
          <t>or item code =</t>
        </is>
      </c>
      <c r="B284" s="25" t="inlineStr">
        <is>
          <t>88833</t>
        </is>
      </c>
      <c r="C284" s="25" t="inlineStr">
        <is>
          <t>CASAMIGOS ANEJO TEQUILA 100% AGAVE</t>
        </is>
      </c>
      <c r="D284" s="25" t="inlineStr">
        <is>
          <t>750ml</t>
        </is>
      </c>
      <c r="E284" s="27" t="n">
        <v>702</v>
      </c>
      <c r="F284" s="27" t="n">
        <v>61</v>
      </c>
      <c r="G284" s="27" t="n">
        <v>6</v>
      </c>
      <c r="H284" s="28" t="n">
        <v>274.8</v>
      </c>
      <c r="I284" s="28" t="n">
        <v>0</v>
      </c>
      <c r="J284" s="94" t="inlineStr">
        <is>
          <t>False</t>
        </is>
      </c>
      <c r="K284" s="28" t="n">
        <v>0</v>
      </c>
      <c r="L284" s="25" t="inlineStr">
        <is>
          <t>TEQUILA</t>
        </is>
      </c>
      <c r="M284" s="25" t="inlineStr">
        <is>
          <t>DIAGEO AMERICAS INC</t>
        </is>
      </c>
      <c r="N284" s="25" t="inlineStr">
        <is>
          <t>040010-SOUTHERN GLAZERS WINE AND SPIRITS OF MISSISSIPPI LLC</t>
        </is>
      </c>
      <c r="O284" s="25" t="n"/>
      <c r="P284" s="25" t="inlineStr">
        <is>
          <t>10856724006012</t>
        </is>
      </c>
      <c r="Q284" s="25" t="inlineStr">
        <is>
          <t>856724006015</t>
        </is>
      </c>
      <c r="R284" s="78" t="n">
        <v>43271</v>
      </c>
    </row>
    <row r="285">
      <c r="A285" t="inlineStr">
        <is>
          <t>or item code =</t>
        </is>
      </c>
      <c r="B285" s="25" t="inlineStr">
        <is>
          <t>87282</t>
        </is>
      </c>
      <c r="C285" s="25" t="inlineStr">
        <is>
          <t>CASAMIGOS BLANCO TEQUILA 100% AGAVE</t>
        </is>
      </c>
      <c r="D285" s="25" t="inlineStr">
        <is>
          <t>375ml</t>
        </is>
      </c>
      <c r="E285" s="27" t="n">
        <v>0</v>
      </c>
      <c r="F285" s="27" t="n">
        <v>181</v>
      </c>
      <c r="G285" s="27" t="n">
        <v>12</v>
      </c>
      <c r="H285" s="28" t="n">
        <v>260.87</v>
      </c>
      <c r="I285" s="28" t="n">
        <v>0</v>
      </c>
      <c r="J285" s="94" t="inlineStr">
        <is>
          <t>False</t>
        </is>
      </c>
      <c r="K285" s="28" t="n">
        <v>0</v>
      </c>
      <c r="L285" s="25" t="inlineStr">
        <is>
          <t>TEQUILA</t>
        </is>
      </c>
      <c r="M285" s="25" t="inlineStr">
        <is>
          <t>DIAGEO AMERICAS INC</t>
        </is>
      </c>
      <c r="N285" s="25" t="inlineStr">
        <is>
          <t>040010-SOUTHERN GLAZERS WINE AND SPIRITS OF MISSISSIPPI LLC</t>
        </is>
      </c>
      <c r="O285" s="25" t="n"/>
      <c r="P285" s="25" t="inlineStr">
        <is>
          <t>10856724006128</t>
        </is>
      </c>
      <c r="Q285" s="25" t="inlineStr">
        <is>
          <t>856724006121</t>
        </is>
      </c>
      <c r="R285" s="78" t="n">
        <v>44682</v>
      </c>
    </row>
    <row r="286">
      <c r="A286" t="inlineStr">
        <is>
          <t>or item code =</t>
        </is>
      </c>
      <c r="B286" s="25" t="inlineStr">
        <is>
          <t>87283</t>
        </is>
      </c>
      <c r="C286" s="25" t="inlineStr">
        <is>
          <t>CASAMIGOS BLANCO TEQUILA 100% AGAVE</t>
        </is>
      </c>
      <c r="D286" s="25" t="inlineStr">
        <is>
          <t>1L</t>
        </is>
      </c>
      <c r="E286" s="27" t="n">
        <v>76</v>
      </c>
      <c r="F286" s="27" t="n">
        <v>29</v>
      </c>
      <c r="G286" s="27" t="n">
        <v>6</v>
      </c>
      <c r="H286" s="28" t="n">
        <v>274.8</v>
      </c>
      <c r="I286" s="28" t="n">
        <v>0</v>
      </c>
      <c r="J286" s="94" t="inlineStr">
        <is>
          <t>False</t>
        </is>
      </c>
      <c r="K286" s="28" t="n">
        <v>0</v>
      </c>
      <c r="L286" s="25" t="inlineStr">
        <is>
          <t>TEQUILA</t>
        </is>
      </c>
      <c r="M286" s="25" t="inlineStr">
        <is>
          <t>DIAGEO AMERICAS INC</t>
        </is>
      </c>
      <c r="N286" s="25" t="inlineStr">
        <is>
          <t>040010-SOUTHERN GLAZERS WINE AND SPIRITS OF MISSISSIPPI LLC</t>
        </is>
      </c>
      <c r="O286" s="25" t="n"/>
      <c r="P286" s="25" t="inlineStr">
        <is>
          <t>10856724006104</t>
        </is>
      </c>
      <c r="Q286" s="25" t="inlineStr">
        <is>
          <t>856724006107</t>
        </is>
      </c>
      <c r="R286" s="78" t="n">
        <v>44682</v>
      </c>
    </row>
    <row r="287">
      <c r="A287" t="inlineStr">
        <is>
          <t>or item code =</t>
        </is>
      </c>
      <c r="B287" s="25" t="inlineStr">
        <is>
          <t>87280</t>
        </is>
      </c>
      <c r="C287" s="25" t="inlineStr">
        <is>
          <t>CASAMIGOS BLANCO TEQUILA 100% AGAVE</t>
        </is>
      </c>
      <c r="D287" s="25" t="inlineStr">
        <is>
          <t>750ml</t>
        </is>
      </c>
      <c r="E287" s="27" t="n">
        <v>51</v>
      </c>
      <c r="F287" s="27" t="n">
        <v>257</v>
      </c>
      <c r="G287" s="27" t="n">
        <v>6</v>
      </c>
      <c r="H287" s="28" t="n">
        <v>237.84</v>
      </c>
      <c r="I287" s="28" t="n">
        <v>0</v>
      </c>
      <c r="J287" s="94" t="inlineStr">
        <is>
          <t>False</t>
        </is>
      </c>
      <c r="K287" s="28" t="n">
        <v>0</v>
      </c>
      <c r="L287" s="25" t="inlineStr">
        <is>
          <t>TEQUILA</t>
        </is>
      </c>
      <c r="M287" s="25" t="inlineStr">
        <is>
          <t>DIAGEO AMERICAS INC</t>
        </is>
      </c>
      <c r="N287" s="25" t="inlineStr">
        <is>
          <t>040010-SOUTHERN GLAZERS WINE AND SPIRITS OF MISSISSIPPI LLC</t>
        </is>
      </c>
      <c r="O287" s="25" t="n"/>
      <c r="P287" s="25" t="inlineStr">
        <is>
          <t>40856724006112</t>
        </is>
      </c>
      <c r="Q287" s="25" t="inlineStr">
        <is>
          <t>0856724006114</t>
        </is>
      </c>
      <c r="R287" s="78" t="n">
        <v>42373</v>
      </c>
    </row>
    <row r="288">
      <c r="A288" t="inlineStr">
        <is>
          <t>or item code =</t>
        </is>
      </c>
      <c r="B288" s="25" t="inlineStr">
        <is>
          <t>87288</t>
        </is>
      </c>
      <c r="C288" s="25" t="inlineStr">
        <is>
          <t>CASAMIGOS MEZCAL JOVEN</t>
        </is>
      </c>
      <c r="D288" s="25" t="inlineStr">
        <is>
          <t>750ml</t>
        </is>
      </c>
      <c r="E288" s="27" t="n">
        <v>248</v>
      </c>
      <c r="F288" s="27" t="n">
        <v>22</v>
      </c>
      <c r="G288" s="27" t="n">
        <v>6</v>
      </c>
      <c r="H288" s="28" t="n">
        <v>284.04</v>
      </c>
      <c r="I288" s="28" t="n">
        <v>0</v>
      </c>
      <c r="J288" s="94" t="inlineStr">
        <is>
          <t>False</t>
        </is>
      </c>
      <c r="K288" s="28" t="n">
        <v>0</v>
      </c>
      <c r="L288" s="25" t="inlineStr">
        <is>
          <t>TEQUILA</t>
        </is>
      </c>
      <c r="M288" s="25" t="inlineStr">
        <is>
          <t>DIAGEO AMERICAS INC</t>
        </is>
      </c>
      <c r="N288" s="25" t="inlineStr">
        <is>
          <t>040010-SOUTHERN GLAZERS WINE AND SPIRITS OF MISSISSIPPI LLC</t>
        </is>
      </c>
      <c r="O288" s="25" t="n"/>
      <c r="P288" s="25" t="inlineStr">
        <is>
          <t>10856724006326</t>
        </is>
      </c>
      <c r="Q288" s="25" t="inlineStr">
        <is>
          <t>856724006329</t>
        </is>
      </c>
      <c r="R288" s="78" t="n">
        <v>43488</v>
      </c>
    </row>
    <row r="289">
      <c r="A289" t="inlineStr">
        <is>
          <t>or item code =</t>
        </is>
      </c>
      <c r="B289" s="25" t="inlineStr">
        <is>
          <t>89177</t>
        </is>
      </c>
      <c r="C289" s="25" t="inlineStr">
        <is>
          <t>CASAMIGOS REPOSADO TEQUILA 100% AGAVE</t>
        </is>
      </c>
      <c r="D289" s="25" t="inlineStr">
        <is>
          <t>750ml</t>
        </is>
      </c>
      <c r="E289" s="27" t="n">
        <v>22</v>
      </c>
      <c r="F289" s="27" t="n">
        <v>205</v>
      </c>
      <c r="G289" s="27" t="n">
        <v>6</v>
      </c>
      <c r="H289" s="28" t="n">
        <v>251.69</v>
      </c>
      <c r="I289" s="28" t="n">
        <v>0</v>
      </c>
      <c r="J289" s="94" t="inlineStr">
        <is>
          <t>False</t>
        </is>
      </c>
      <c r="K289" s="28" t="n">
        <v>0</v>
      </c>
      <c r="L289" s="25" t="inlineStr">
        <is>
          <t>TEQUILA</t>
        </is>
      </c>
      <c r="M289" s="25" t="inlineStr">
        <is>
          <t>DIAGEO AMERICAS INC</t>
        </is>
      </c>
      <c r="N289" s="25" t="inlineStr">
        <is>
          <t>040010-SOUTHERN GLAZERS WINE AND SPIRITS OF MISSISSIPPI LLC</t>
        </is>
      </c>
      <c r="O289" s="25" t="n"/>
      <c r="P289" s="25" t="inlineStr">
        <is>
          <t>20856724006217</t>
        </is>
      </c>
      <c r="Q289" s="25" t="inlineStr">
        <is>
          <t>0856724006213</t>
        </is>
      </c>
      <c r="R289" s="78" t="n">
        <v>42370</v>
      </c>
    </row>
    <row r="290">
      <c r="A290" t="inlineStr">
        <is>
          <t>or item code =</t>
        </is>
      </c>
      <c r="B290" s="25" t="inlineStr">
        <is>
          <t>88830</t>
        </is>
      </c>
      <c r="C290" s="25" t="inlineStr">
        <is>
          <t>CASAMIGOS REPOSADO TEQUILA 100% AGAVE</t>
        </is>
      </c>
      <c r="D290" s="25" t="inlineStr">
        <is>
          <t>375ml</t>
        </is>
      </c>
      <c r="E290" s="27" t="n">
        <v>2</v>
      </c>
      <c r="F290" s="27" t="n">
        <v>98</v>
      </c>
      <c r="G290" s="27" t="n">
        <v>12</v>
      </c>
      <c r="H290" s="28" t="n">
        <v>270.12</v>
      </c>
      <c r="I290" s="28" t="n">
        <v>0</v>
      </c>
      <c r="J290" s="94" t="inlineStr">
        <is>
          <t>False</t>
        </is>
      </c>
      <c r="K290" s="28" t="n">
        <v>0</v>
      </c>
      <c r="L290" s="25" t="inlineStr">
        <is>
          <t>TEQUILA</t>
        </is>
      </c>
      <c r="M290" s="25" t="inlineStr">
        <is>
          <t>DIAGEO AMERICAS INC</t>
        </is>
      </c>
      <c r="N290" s="25" t="inlineStr">
        <is>
          <t>040010-SOUTHERN GLAZERS WINE AND SPIRITS OF MISSISSIPPI LLC</t>
        </is>
      </c>
      <c r="O290" s="25" t="n"/>
      <c r="P290" s="25" t="inlineStr">
        <is>
          <t>10856724006227</t>
        </is>
      </c>
      <c r="Q290" s="25" t="inlineStr">
        <is>
          <t>856724006220</t>
        </is>
      </c>
      <c r="R290" s="78" t="n">
        <v>44682</v>
      </c>
    </row>
    <row r="291">
      <c r="A291" t="inlineStr">
        <is>
          <t>or item code =</t>
        </is>
      </c>
      <c r="B291" s="25" t="inlineStr">
        <is>
          <t>359029</t>
        </is>
      </c>
      <c r="C291" s="25" t="inlineStr">
        <is>
          <t>CASTELLO DEL POGGIO MOSCATO PAVIA</t>
        </is>
      </c>
      <c r="D291" s="25" t="inlineStr">
        <is>
          <t>750ml</t>
        </is>
      </c>
      <c r="E291" s="27" t="n">
        <v>135</v>
      </c>
      <c r="F291" s="27" t="n">
        <v>373</v>
      </c>
      <c r="G291" s="27" t="n">
        <v>12</v>
      </c>
      <c r="H291" s="28" t="n">
        <v>141.15</v>
      </c>
      <c r="I291" s="28" t="n">
        <v>0</v>
      </c>
      <c r="J291" s="94" t="inlineStr">
        <is>
          <t>False</t>
        </is>
      </c>
      <c r="K291" s="28" t="n">
        <v>0</v>
      </c>
      <c r="L291" s="25" t="inlineStr">
        <is>
          <t>MOSCATO WHITE</t>
        </is>
      </c>
      <c r="M291" s="25" t="inlineStr">
        <is>
          <t>ZONIN USA, INC</t>
        </is>
      </c>
      <c r="N291" s="25" t="inlineStr">
        <is>
          <t>040010-SOUTHERN GLAZERS WINE AND SPIRITS OF MISSISSIPPI LLC</t>
        </is>
      </c>
      <c r="O291" s="25" t="n"/>
      <c r="P291" s="25" t="inlineStr">
        <is>
          <t>10876153002263</t>
        </is>
      </c>
      <c r="Q291" s="25" t="inlineStr">
        <is>
          <t>0876153002266</t>
        </is>
      </c>
      <c r="R291" s="78" t="n">
        <v>42370</v>
      </c>
    </row>
    <row r="292">
      <c r="A292" t="inlineStr">
        <is>
          <t>or item code =</t>
        </is>
      </c>
      <c r="B292" s="25" t="inlineStr">
        <is>
          <t>41570</t>
        </is>
      </c>
      <c r="C292" s="25" t="inlineStr">
        <is>
          <t>CATHEAD HONEYSUCKLE FLAVORED VODKA</t>
        </is>
      </c>
      <c r="D292" s="25" t="inlineStr">
        <is>
          <t>750ml</t>
        </is>
      </c>
      <c r="E292" s="27" t="n">
        <v>134</v>
      </c>
      <c r="F292" s="27" t="n">
        <v>88</v>
      </c>
      <c r="G292" s="27" t="n">
        <v>12</v>
      </c>
      <c r="H292" s="28" t="n">
        <v>200.21</v>
      </c>
      <c r="I292" s="28" t="n">
        <v>11.99</v>
      </c>
      <c r="J292" s="94" t="inlineStr">
        <is>
          <t>False</t>
        </is>
      </c>
      <c r="K292" s="28" t="n">
        <v>0</v>
      </c>
      <c r="L292" s="25" t="inlineStr">
        <is>
          <t>VODKA</t>
        </is>
      </c>
      <c r="M292" s="25" t="inlineStr">
        <is>
          <t>CAT HEAD DISTILLERY LLC</t>
        </is>
      </c>
      <c r="N292" s="25" t="inlineStr">
        <is>
          <t>040010-SOUTHERN GLAZERS WINE AND SPIRITS OF MISSISSIPPI LLC</t>
        </is>
      </c>
      <c r="O292" s="25" t="n"/>
      <c r="P292" s="25" t="inlineStr">
        <is>
          <t>10851484003073</t>
        </is>
      </c>
      <c r="Q292" s="25" t="inlineStr">
        <is>
          <t>0851484003076</t>
        </is>
      </c>
      <c r="R292" s="78" t="n">
        <v>42370</v>
      </c>
    </row>
    <row r="293">
      <c r="A293" t="inlineStr">
        <is>
          <t>or item code =</t>
        </is>
      </c>
      <c r="B293" s="25" t="inlineStr">
        <is>
          <t>35592</t>
        </is>
      </c>
      <c r="C293" s="25" t="inlineStr">
        <is>
          <t>CATHEAD VODKA</t>
        </is>
      </c>
      <c r="D293" s="25" t="inlineStr">
        <is>
          <t>750ml</t>
        </is>
      </c>
      <c r="E293" s="27" t="n">
        <v>134</v>
      </c>
      <c r="F293" s="27" t="n">
        <v>98</v>
      </c>
      <c r="G293" s="27" t="n">
        <v>12</v>
      </c>
      <c r="H293" s="28" t="n">
        <v>200.21</v>
      </c>
      <c r="I293" s="28" t="n">
        <v>11.99</v>
      </c>
      <c r="J293" s="94" t="inlineStr">
        <is>
          <t>False</t>
        </is>
      </c>
      <c r="K293" s="28" t="n">
        <v>0</v>
      </c>
      <c r="L293" s="25" t="inlineStr">
        <is>
          <t>VODKA</t>
        </is>
      </c>
      <c r="M293" s="25" t="inlineStr">
        <is>
          <t>CAT HEAD DISTILLERY LLC</t>
        </is>
      </c>
      <c r="N293" s="25" t="inlineStr">
        <is>
          <t>040010-SOUTHERN GLAZERS WINE AND SPIRITS OF MISSISSIPPI LLC</t>
        </is>
      </c>
      <c r="O293" s="25" t="n"/>
      <c r="P293" s="25" t="inlineStr">
        <is>
          <t>10851484003028</t>
        </is>
      </c>
      <c r="Q293" s="25" t="inlineStr">
        <is>
          <t>0851484003021</t>
        </is>
      </c>
      <c r="R293" s="78" t="n">
        <v>42370</v>
      </c>
    </row>
    <row r="294">
      <c r="A294" t="inlineStr">
        <is>
          <t>or item code =</t>
        </is>
      </c>
      <c r="B294" s="25" t="inlineStr">
        <is>
          <t>355618</t>
        </is>
      </c>
      <c r="C294" s="25" t="inlineStr">
        <is>
          <t>CAVIT COLLECTION MOSCATO PROVENCIA D PVA</t>
        </is>
      </c>
      <c r="D294" s="25" t="inlineStr">
        <is>
          <t>1.5L</t>
        </is>
      </c>
      <c r="E294" s="27" t="n">
        <v>33</v>
      </c>
      <c r="F294" s="27" t="n">
        <v>39</v>
      </c>
      <c r="G294" s="27" t="n">
        <v>6</v>
      </c>
      <c r="H294" s="28" t="n">
        <v>79.36</v>
      </c>
      <c r="I294" s="28" t="n">
        <v>0</v>
      </c>
      <c r="J294" s="94" t="inlineStr">
        <is>
          <t>False</t>
        </is>
      </c>
      <c r="K294" s="28" t="n">
        <v>0</v>
      </c>
      <c r="L294" s="25" t="inlineStr">
        <is>
          <t>WHITE WINE</t>
        </is>
      </c>
      <c r="M294" s="25" t="inlineStr">
        <is>
          <t>PALM BAY IMPORTS INC.</t>
        </is>
      </c>
      <c r="N294" s="25" t="inlineStr">
        <is>
          <t>040010-SOUTHERN GLAZERS WINE AND SPIRITS OF MISSISSIPPI LLC</t>
        </is>
      </c>
      <c r="O294" s="25" t="n"/>
      <c r="P294" s="25" t="inlineStr">
        <is>
          <t>20086785212429</t>
        </is>
      </c>
      <c r="Q294" s="25" t="inlineStr">
        <is>
          <t>0086785212425</t>
        </is>
      </c>
      <c r="R294" s="78" t="n">
        <v>42370</v>
      </c>
    </row>
    <row r="295">
      <c r="A295" t="inlineStr">
        <is>
          <t>or item code =</t>
        </is>
      </c>
      <c r="B295" s="25" t="inlineStr">
        <is>
          <t>355616</t>
        </is>
      </c>
      <c r="C295" s="25" t="inlineStr">
        <is>
          <t>CAVIT COLLECTION MOSCATO PROVENCIA D PVA</t>
        </is>
      </c>
      <c r="D295" s="25" t="inlineStr">
        <is>
          <t>750ml</t>
        </is>
      </c>
      <c r="E295" s="27" t="n">
        <v>37</v>
      </c>
      <c r="F295" s="27" t="n">
        <v>22</v>
      </c>
      <c r="G295" s="27" t="n">
        <v>12</v>
      </c>
      <c r="H295" s="28" t="n">
        <v>98.79000000000001</v>
      </c>
      <c r="I295" s="28" t="n">
        <v>0</v>
      </c>
      <c r="J295" s="94" t="inlineStr">
        <is>
          <t>False</t>
        </is>
      </c>
      <c r="K295" s="28" t="n">
        <v>0</v>
      </c>
      <c r="L295" s="25" t="inlineStr">
        <is>
          <t>MOSCATO WHITE</t>
        </is>
      </c>
      <c r="M295" s="25" t="inlineStr">
        <is>
          <t>PALM BAY IMPORTS INC.</t>
        </is>
      </c>
      <c r="N295" s="25" t="inlineStr">
        <is>
          <t>040010-SOUTHERN GLAZERS WINE AND SPIRITS OF MISSISSIPPI LLC</t>
        </is>
      </c>
      <c r="O295" s="25" t="n"/>
      <c r="P295" s="25" t="inlineStr">
        <is>
          <t>10086785212361</t>
        </is>
      </c>
      <c r="Q295" s="25" t="inlineStr">
        <is>
          <t>0086785212364</t>
        </is>
      </c>
      <c r="R295" s="78" t="n">
        <v>42370</v>
      </c>
    </row>
    <row r="296">
      <c r="A296" t="inlineStr">
        <is>
          <t>or item code =</t>
        </is>
      </c>
      <c r="B296" s="25" t="inlineStr">
        <is>
          <t>355755</t>
        </is>
      </c>
      <c r="C296" s="25" t="inlineStr">
        <is>
          <t>CAVIT COLLECTION PINOT NOIR DELLE VENZIE</t>
        </is>
      </c>
      <c r="D296" s="25" t="inlineStr">
        <is>
          <t>1.5L</t>
        </is>
      </c>
      <c r="E296" s="27" t="n">
        <v>154</v>
      </c>
      <c r="F296" s="27" t="n">
        <v>93</v>
      </c>
      <c r="G296" s="27" t="n">
        <v>6</v>
      </c>
      <c r="H296" s="28" t="n">
        <v>79.36</v>
      </c>
      <c r="I296" s="28" t="n">
        <v>0</v>
      </c>
      <c r="J296" s="94" t="inlineStr">
        <is>
          <t>False</t>
        </is>
      </c>
      <c r="K296" s="28" t="n">
        <v>0</v>
      </c>
      <c r="L296" s="25" t="inlineStr">
        <is>
          <t>PINOT NOIR</t>
        </is>
      </c>
      <c r="M296" s="25" t="inlineStr">
        <is>
          <t>PALM BAY IMPORTS INC.</t>
        </is>
      </c>
      <c r="N296" s="25" t="inlineStr">
        <is>
          <t>040010-SOUTHERN GLAZERS WINE AND SPIRITS OF MISSISSIPPI LLC</t>
        </is>
      </c>
      <c r="O296" s="25" t="n"/>
      <c r="P296" s="25" t="inlineStr">
        <is>
          <t>20086785211507</t>
        </is>
      </c>
      <c r="Q296" s="25" t="inlineStr">
        <is>
          <t>0086785211503</t>
        </is>
      </c>
      <c r="R296" s="78" t="n">
        <v>42370</v>
      </c>
    </row>
    <row r="297">
      <c r="A297" t="inlineStr">
        <is>
          <t>or item code =</t>
        </is>
      </c>
      <c r="B297" s="25" t="inlineStr">
        <is>
          <t>355857</t>
        </is>
      </c>
      <c r="C297" s="25" t="inlineStr">
        <is>
          <t>CAVIT COLLECTION RIESLING TRENTINO</t>
        </is>
      </c>
      <c r="D297" s="25" t="inlineStr">
        <is>
          <t>1.5L</t>
        </is>
      </c>
      <c r="E297" s="27" t="n">
        <v>43</v>
      </c>
      <c r="F297" s="27" t="n">
        <v>16</v>
      </c>
      <c r="G297" s="27" t="n">
        <v>6</v>
      </c>
      <c r="H297" s="28" t="n">
        <v>79.36</v>
      </c>
      <c r="I297" s="28" t="n">
        <v>0</v>
      </c>
      <c r="J297" s="94" t="inlineStr">
        <is>
          <t>False</t>
        </is>
      </c>
      <c r="K297" s="28" t="n">
        <v>0</v>
      </c>
      <c r="L297" s="25" t="inlineStr">
        <is>
          <t>RIESLING (WHITE/JOHANN)</t>
        </is>
      </c>
      <c r="M297" s="25" t="inlineStr">
        <is>
          <t>PALM BAY IMPORTS INC.</t>
        </is>
      </c>
      <c r="N297" s="25" t="inlineStr">
        <is>
          <t>040010-SOUTHERN GLAZERS WINE AND SPIRITS OF MISSISSIPPI LLC</t>
        </is>
      </c>
      <c r="O297" s="25" t="n"/>
      <c r="P297" s="25" t="inlineStr">
        <is>
          <t>20086785212085</t>
        </is>
      </c>
      <c r="Q297" s="25" t="inlineStr">
        <is>
          <t>0086785212081</t>
        </is>
      </c>
      <c r="R297" s="78" t="n">
        <v>42370</v>
      </c>
    </row>
    <row r="298">
      <c r="A298" t="inlineStr">
        <is>
          <t>or item code =</t>
        </is>
      </c>
      <c r="B298" s="25" t="inlineStr">
        <is>
          <t>355800</t>
        </is>
      </c>
      <c r="C298" s="25" t="inlineStr">
        <is>
          <t>CAVIT PINOT GRIGIO</t>
        </is>
      </c>
      <c r="D298" s="25" t="inlineStr">
        <is>
          <t>750ml</t>
        </is>
      </c>
      <c r="E298" s="27" t="n">
        <v>429</v>
      </c>
      <c r="F298" s="27" t="n">
        <v>61</v>
      </c>
      <c r="G298" s="27" t="n">
        <v>12</v>
      </c>
      <c r="H298" s="28" t="n">
        <v>108.99</v>
      </c>
      <c r="I298" s="28" t="n">
        <v>0</v>
      </c>
      <c r="J298" s="94" t="inlineStr">
        <is>
          <t>False</t>
        </is>
      </c>
      <c r="K298" s="28" t="n">
        <v>0</v>
      </c>
      <c r="L298" s="25" t="inlineStr">
        <is>
          <t>PINOT GRIS/PINOT GRIGIO</t>
        </is>
      </c>
      <c r="M298" s="25" t="inlineStr">
        <is>
          <t>PALM BAY IMPORTS INC.</t>
        </is>
      </c>
      <c r="N298" s="25" t="inlineStr">
        <is>
          <t>040010-SOUTHERN GLAZERS WINE AND SPIRITS OF MISSISSIPPI LLC</t>
        </is>
      </c>
      <c r="O298" s="25" t="n"/>
      <c r="P298" s="25" t="inlineStr">
        <is>
          <t>10086785000081</t>
        </is>
      </c>
      <c r="Q298" s="25" t="inlineStr">
        <is>
          <t>0086785000084</t>
        </is>
      </c>
      <c r="R298" s="78" t="n">
        <v>42370</v>
      </c>
    </row>
    <row r="299">
      <c r="A299" t="inlineStr">
        <is>
          <t>or item code =</t>
        </is>
      </c>
      <c r="B299" s="25" t="inlineStr">
        <is>
          <t>355805</t>
        </is>
      </c>
      <c r="C299" s="25" t="inlineStr">
        <is>
          <t>CAVIT PINOT GRIGIO</t>
        </is>
      </c>
      <c r="D299" s="25" t="inlineStr">
        <is>
          <t>1.5L</t>
        </is>
      </c>
      <c r="E299" s="27" t="n">
        <v>375</v>
      </c>
      <c r="F299" s="27" t="n">
        <v>229</v>
      </c>
      <c r="G299" s="27" t="n">
        <v>6</v>
      </c>
      <c r="H299" s="28" t="n">
        <v>79.36</v>
      </c>
      <c r="I299" s="28" t="n">
        <v>0</v>
      </c>
      <c r="J299" s="94" t="inlineStr">
        <is>
          <t>False</t>
        </is>
      </c>
      <c r="K299" s="28" t="n">
        <v>0</v>
      </c>
      <c r="L299" s="25" t="inlineStr">
        <is>
          <t>PINOT GRIS/PINOT GRIGIO</t>
        </is>
      </c>
      <c r="M299" s="25" t="inlineStr">
        <is>
          <t>PALM BAY IMPORTS INC.</t>
        </is>
      </c>
      <c r="N299" s="25" t="inlineStr">
        <is>
          <t>040010-SOUTHERN GLAZERS WINE AND SPIRITS OF MISSISSIPPI LLC</t>
        </is>
      </c>
      <c r="O299" s="25" t="n"/>
      <c r="P299" s="25" t="inlineStr">
        <is>
          <t>20086785000033</t>
        </is>
      </c>
      <c r="Q299" s="25" t="inlineStr">
        <is>
          <t>0086785000039</t>
        </is>
      </c>
      <c r="R299" s="78" t="n">
        <v>42370</v>
      </c>
    </row>
    <row r="300">
      <c r="A300" t="inlineStr">
        <is>
          <t>or item code =</t>
        </is>
      </c>
      <c r="B300" s="25" t="inlineStr">
        <is>
          <t>89121</t>
        </is>
      </c>
      <c r="C300" s="25" t="inlineStr">
        <is>
          <t>CAZADORES REPOSADO GOLD TEQUILA</t>
        </is>
      </c>
      <c r="D300" s="25" t="inlineStr">
        <is>
          <t>750ml</t>
        </is>
      </c>
      <c r="E300" s="27" t="n">
        <v>2</v>
      </c>
      <c r="F300" s="27" t="n">
        <v>3</v>
      </c>
      <c r="G300" s="27" t="n">
        <v>12</v>
      </c>
      <c r="H300" s="28" t="n">
        <v>251.37</v>
      </c>
      <c r="I300" s="28" t="n">
        <v>0</v>
      </c>
      <c r="J300" s="94" t="inlineStr">
        <is>
          <t>False</t>
        </is>
      </c>
      <c r="K300" s="28" t="n">
        <v>0</v>
      </c>
      <c r="L300" s="25" t="inlineStr">
        <is>
          <t>TEQUILA</t>
        </is>
      </c>
      <c r="M300" s="25" t="inlineStr">
        <is>
          <t>BACARDI USA INC</t>
        </is>
      </c>
      <c r="N300" s="25" t="inlineStr">
        <is>
          <t>040010-SOUTHERN GLAZERS WINE AND SPIRITS OF MISSISSIPPI LLC</t>
        </is>
      </c>
      <c r="O300" s="25" t="n"/>
      <c r="P300" s="25" t="inlineStr">
        <is>
          <t>20798135000029</t>
        </is>
      </c>
      <c r="Q300" s="25" t="inlineStr">
        <is>
          <t>0080480170028</t>
        </is>
      </c>
      <c r="R300" s="78" t="n">
        <v>42370</v>
      </c>
    </row>
    <row r="301">
      <c r="A301" t="inlineStr">
        <is>
          <t>or item code =</t>
        </is>
      </c>
      <c r="B301" s="25" t="inlineStr">
        <is>
          <t>356530</t>
        </is>
      </c>
      <c r="C301" s="25" t="inlineStr">
        <is>
          <t>CELLA LAMBRUSCO</t>
        </is>
      </c>
      <c r="D301" s="25" t="inlineStr">
        <is>
          <t>1.5L</t>
        </is>
      </c>
      <c r="E301" s="27" t="n">
        <v>0</v>
      </c>
      <c r="F301" s="27" t="n">
        <v>1</v>
      </c>
      <c r="G301" s="27" t="n">
        <v>6</v>
      </c>
      <c r="H301" s="28" t="n">
        <v>49.52</v>
      </c>
      <c r="I301" s="28" t="n">
        <v>0</v>
      </c>
      <c r="J301" s="94" t="inlineStr">
        <is>
          <t>False</t>
        </is>
      </c>
      <c r="K301" s="28" t="n">
        <v>0</v>
      </c>
      <c r="L301" s="25" t="inlineStr">
        <is>
          <t>RED WINE</t>
        </is>
      </c>
      <c r="M301" s="25" t="inlineStr">
        <is>
          <t>FREDERICK WILDMAND &amp; SONS</t>
        </is>
      </c>
      <c r="N301" s="25" t="inlineStr">
        <is>
          <t>040003-RNDC-VINTAGE</t>
        </is>
      </c>
      <c r="O301" s="25" t="n"/>
      <c r="P301" s="25" t="inlineStr">
        <is>
          <t>10080516120024</t>
        </is>
      </c>
      <c r="Q301" s="25" t="inlineStr">
        <is>
          <t>089744766021</t>
        </is>
      </c>
      <c r="R301" s="78" t="n">
        <v>43626</v>
      </c>
    </row>
    <row r="302">
      <c r="A302" t="inlineStr">
        <is>
          <t>or item code =</t>
        </is>
      </c>
      <c r="B302" s="25" t="inlineStr">
        <is>
          <t>64676</t>
        </is>
      </c>
      <c r="C302" s="25" t="inlineStr">
        <is>
          <t>CHAMBORD LIQUEUR ROYALE</t>
        </is>
      </c>
      <c r="D302" s="25" t="inlineStr">
        <is>
          <t>750ml</t>
        </is>
      </c>
      <c r="E302" s="27" t="n">
        <v>27</v>
      </c>
      <c r="F302" s="27" t="n">
        <v>20</v>
      </c>
      <c r="G302" s="27" t="n">
        <v>12</v>
      </c>
      <c r="H302" s="28" t="n">
        <v>309.36</v>
      </c>
      <c r="I302" s="28" t="n">
        <v>0</v>
      </c>
      <c r="J302" s="94" t="inlineStr">
        <is>
          <t>False</t>
        </is>
      </c>
      <c r="K302" s="28" t="n">
        <v>0</v>
      </c>
      <c r="L302" s="25" t="inlineStr">
        <is>
          <t>LIQUEURS AND CORDIALS</t>
        </is>
      </c>
      <c r="M302" s="25" t="inlineStr">
        <is>
          <t>BROWN FORMAN CORP</t>
        </is>
      </c>
      <c r="N302" s="25" t="inlineStr">
        <is>
          <t>045041-UNITED JOHNSON BROTHERS OF MS</t>
        </is>
      </c>
      <c r="O302" s="25" t="n"/>
      <c r="P302" s="25" t="inlineStr">
        <is>
          <t>10083300134535</t>
        </is>
      </c>
      <c r="Q302" s="25" t="inlineStr">
        <is>
          <t>0083300034531</t>
        </is>
      </c>
      <c r="R302" s="78" t="n">
        <v>42370</v>
      </c>
    </row>
    <row r="303">
      <c r="A303" t="inlineStr">
        <is>
          <t>or item code =</t>
        </is>
      </c>
      <c r="B303" s="25" t="inlineStr">
        <is>
          <t>551250</t>
        </is>
      </c>
      <c r="C303" s="25" t="inlineStr">
        <is>
          <t>CHARLES SMITH WINE KUNG FU GIRL RIESLING</t>
        </is>
      </c>
      <c r="D303" s="25" t="inlineStr">
        <is>
          <t>750ml</t>
        </is>
      </c>
      <c r="E303" s="27" t="n">
        <v>0</v>
      </c>
      <c r="F303" s="27" t="n">
        <v>0</v>
      </c>
      <c r="G303" s="27" t="n">
        <v>12</v>
      </c>
      <c r="H303" s="28" t="n">
        <v>119.91</v>
      </c>
      <c r="I303" s="28" t="n">
        <v>0</v>
      </c>
      <c r="J303" s="94" t="inlineStr">
        <is>
          <t>False</t>
        </is>
      </c>
      <c r="K303" s="28" t="n">
        <v>0</v>
      </c>
      <c r="L303" s="25" t="inlineStr">
        <is>
          <t>RIESLING (WHITE/JOHANN)</t>
        </is>
      </c>
      <c r="M303" s="25" t="inlineStr">
        <is>
          <t>THE WINE GROUP LTD</t>
        </is>
      </c>
      <c r="N303" s="25" t="inlineStr">
        <is>
          <t>040010-SOUTHERN GLAZERS WINE AND SPIRITS OF MISSISSIPPI LLC</t>
        </is>
      </c>
      <c r="O303" s="25" t="n"/>
      <c r="P303" s="25" t="inlineStr">
        <is>
          <t>10086003253008</t>
        </is>
      </c>
      <c r="Q303" s="25" t="inlineStr">
        <is>
          <t>0086003253001</t>
        </is>
      </c>
      <c r="R303" s="78" t="n">
        <v>42279</v>
      </c>
    </row>
    <row r="304">
      <c r="A304" t="inlineStr">
        <is>
          <t>or item code =</t>
        </is>
      </c>
      <c r="B304" s="25" t="inlineStr">
        <is>
          <t>57125</t>
        </is>
      </c>
      <c r="C304" s="25" t="inlineStr">
        <is>
          <t>CHI-CHI'S GOLD MARGARITA</t>
        </is>
      </c>
      <c r="D304" s="25" t="inlineStr">
        <is>
          <t>1.75L</t>
        </is>
      </c>
      <c r="E304" s="27" t="n">
        <v>1</v>
      </c>
      <c r="F304" s="27" t="n">
        <v>57</v>
      </c>
      <c r="G304" s="27" t="n">
        <v>6</v>
      </c>
      <c r="H304" s="28" t="n">
        <v>50.24</v>
      </c>
      <c r="I304" s="28" t="n">
        <v>9.699999999999999</v>
      </c>
      <c r="J304" s="94" t="inlineStr">
        <is>
          <t>False</t>
        </is>
      </c>
      <c r="K304" s="28" t="n">
        <v>0</v>
      </c>
      <c r="L304" s="25" t="inlineStr">
        <is>
          <t>COCKTAILS</t>
        </is>
      </c>
      <c r="M304" s="25" t="inlineStr">
        <is>
          <t>SAZERAC COMPANY</t>
        </is>
      </c>
      <c r="N304" s="25" t="inlineStr">
        <is>
          <t>040002-RNDC-MAGNOLIA</t>
        </is>
      </c>
      <c r="O304" s="25" t="n"/>
      <c r="P304" s="25" t="inlineStr">
        <is>
          <t>10089000546913</t>
        </is>
      </c>
      <c r="Q304" s="25" t="inlineStr">
        <is>
          <t>0089000546916</t>
        </is>
      </c>
      <c r="R304" s="78" t="n">
        <v>42370</v>
      </c>
    </row>
    <row r="305">
      <c r="A305" t="inlineStr">
        <is>
          <t>or item code =</t>
        </is>
      </c>
      <c r="B305" s="25" t="inlineStr">
        <is>
          <t>57120</t>
        </is>
      </c>
      <c r="C305" s="25" t="inlineStr">
        <is>
          <t>CHI-CHI'S LONG ISLAND ICED TEA</t>
        </is>
      </c>
      <c r="D305" s="25" t="inlineStr">
        <is>
          <t>1.75L</t>
        </is>
      </c>
      <c r="E305" s="27" t="n">
        <v>0</v>
      </c>
      <c r="F305" s="27" t="n">
        <v>73</v>
      </c>
      <c r="G305" s="27" t="n">
        <v>6</v>
      </c>
      <c r="H305" s="28" t="n">
        <v>50.24</v>
      </c>
      <c r="I305" s="28" t="n">
        <v>9.699999999999999</v>
      </c>
      <c r="J305" s="94" t="inlineStr">
        <is>
          <t>False</t>
        </is>
      </c>
      <c r="K305" s="28" t="n">
        <v>0</v>
      </c>
      <c r="L305" s="25" t="inlineStr">
        <is>
          <t>COCKTAILS</t>
        </is>
      </c>
      <c r="M305" s="25" t="inlineStr">
        <is>
          <t>SAZERAC COMPANY</t>
        </is>
      </c>
      <c r="N305" s="25" t="inlineStr">
        <is>
          <t>040002-RNDC-MAGNOLIA</t>
        </is>
      </c>
      <c r="O305" s="25" t="n"/>
      <c r="P305" s="25" t="inlineStr">
        <is>
          <t>10089000548818</t>
        </is>
      </c>
      <c r="Q305" s="25" t="inlineStr">
        <is>
          <t>0089000548811</t>
        </is>
      </c>
      <c r="R305" s="78" t="n">
        <v>42370</v>
      </c>
    </row>
    <row r="306">
      <c r="A306" t="inlineStr">
        <is>
          <t>or item code =</t>
        </is>
      </c>
      <c r="B306" s="25" t="inlineStr">
        <is>
          <t>57148</t>
        </is>
      </c>
      <c r="C306" s="25" t="inlineStr">
        <is>
          <t>CHI-CHI'S MARGARITA</t>
        </is>
      </c>
      <c r="D306" s="25" t="inlineStr">
        <is>
          <t>1.75L</t>
        </is>
      </c>
      <c r="E306" s="27" t="n">
        <v>1</v>
      </c>
      <c r="F306" s="27" t="n">
        <v>108</v>
      </c>
      <c r="G306" s="27" t="n">
        <v>6</v>
      </c>
      <c r="H306" s="28" t="n">
        <v>43.13</v>
      </c>
      <c r="I306" s="28" t="n">
        <v>9.710000000000001</v>
      </c>
      <c r="J306" s="94" t="inlineStr">
        <is>
          <t>False</t>
        </is>
      </c>
      <c r="K306" s="28" t="n">
        <v>0</v>
      </c>
      <c r="L306" s="25" t="inlineStr">
        <is>
          <t>COCKTAILS</t>
        </is>
      </c>
      <c r="M306" s="25" t="inlineStr">
        <is>
          <t>SAZERAC COMPANY</t>
        </is>
      </c>
      <c r="N306" s="25" t="inlineStr">
        <is>
          <t>040002-RNDC-MAGNOLIA</t>
        </is>
      </c>
      <c r="O306" s="25" t="n"/>
      <c r="P306" s="25" t="inlineStr">
        <is>
          <t>10089000018750</t>
        </is>
      </c>
      <c r="Q306" s="25" t="inlineStr">
        <is>
          <t>0089000018758</t>
        </is>
      </c>
      <c r="R306" s="78" t="n">
        <v>42370</v>
      </c>
    </row>
    <row r="307">
      <c r="A307" t="inlineStr">
        <is>
          <t>or item code =</t>
        </is>
      </c>
      <c r="B307" s="25" t="inlineStr">
        <is>
          <t>57129</t>
        </is>
      </c>
      <c r="C307" s="25" t="inlineStr">
        <is>
          <t>CHI-CHI'S MEXICAN MUDSLIDE</t>
        </is>
      </c>
      <c r="D307" s="25" t="inlineStr">
        <is>
          <t>1.75L</t>
        </is>
      </c>
      <c r="E307" s="27" t="n">
        <v>39</v>
      </c>
      <c r="F307" s="27" t="n">
        <v>71</v>
      </c>
      <c r="G307" s="27" t="n">
        <v>6</v>
      </c>
      <c r="H307" s="28" t="n">
        <v>50.24</v>
      </c>
      <c r="I307" s="28" t="n">
        <v>9.699999999999999</v>
      </c>
      <c r="J307" s="94" t="inlineStr">
        <is>
          <t>False</t>
        </is>
      </c>
      <c r="K307" s="28" t="n">
        <v>0</v>
      </c>
      <c r="L307" s="25" t="inlineStr">
        <is>
          <t>COCKTAILS</t>
        </is>
      </c>
      <c r="M307" s="25" t="inlineStr">
        <is>
          <t>SAZERAC COMPANY</t>
        </is>
      </c>
      <c r="N307" s="25" t="inlineStr">
        <is>
          <t>040002-RNDC-MAGNOLIA</t>
        </is>
      </c>
      <c r="O307" s="25" t="n"/>
      <c r="P307" s="25" t="inlineStr">
        <is>
          <t>10089000547811</t>
        </is>
      </c>
      <c r="Q307" s="25" t="inlineStr">
        <is>
          <t>0089000547814</t>
        </is>
      </c>
      <c r="R307" s="78" t="n">
        <v>42370</v>
      </c>
    </row>
    <row r="308">
      <c r="A308" t="inlineStr">
        <is>
          <t>or item code =</t>
        </is>
      </c>
      <c r="B308" s="25" t="inlineStr">
        <is>
          <t>57157</t>
        </is>
      </c>
      <c r="C308" s="25" t="inlineStr">
        <is>
          <t>CHI-CHI'S PINA COLADA</t>
        </is>
      </c>
      <c r="D308" s="25" t="inlineStr">
        <is>
          <t>1.75L</t>
        </is>
      </c>
      <c r="E308" s="27" t="n">
        <v>108</v>
      </c>
      <c r="F308" s="27" t="n">
        <v>76</v>
      </c>
      <c r="G308" s="27" t="n">
        <v>6</v>
      </c>
      <c r="H308" s="28" t="n">
        <v>50.24</v>
      </c>
      <c r="I308" s="28" t="n">
        <v>9.699999999999999</v>
      </c>
      <c r="J308" s="94" t="inlineStr">
        <is>
          <t>False</t>
        </is>
      </c>
      <c r="K308" s="28" t="n">
        <v>0</v>
      </c>
      <c r="L308" s="25" t="inlineStr">
        <is>
          <t>COCKTAILS</t>
        </is>
      </c>
      <c r="M308" s="25" t="inlineStr">
        <is>
          <t>SAZERAC COMPANY</t>
        </is>
      </c>
      <c r="N308" s="25" t="inlineStr">
        <is>
          <t>040002-RNDC-MAGNOLIA</t>
        </is>
      </c>
      <c r="O308" s="25" t="n"/>
      <c r="P308" s="25" t="inlineStr">
        <is>
          <t>10089000500304</t>
        </is>
      </c>
      <c r="Q308" s="25" t="inlineStr">
        <is>
          <t>0089000500307</t>
        </is>
      </c>
      <c r="R308" s="78" t="n">
        <v>42370</v>
      </c>
    </row>
    <row r="309">
      <c r="A309" t="inlineStr">
        <is>
          <t>or item code =</t>
        </is>
      </c>
      <c r="B309" s="25" t="inlineStr">
        <is>
          <t>57181</t>
        </is>
      </c>
      <c r="C309" s="25" t="inlineStr">
        <is>
          <t>CHI-CHI'S PINEAPPLE MARGARITA</t>
        </is>
      </c>
      <c r="D309" s="25" t="inlineStr">
        <is>
          <t>1.75L</t>
        </is>
      </c>
      <c r="E309" s="27" t="n">
        <v>45</v>
      </c>
      <c r="F309" s="27" t="n">
        <v>64</v>
      </c>
      <c r="G309" s="27" t="n">
        <v>6</v>
      </c>
      <c r="H309" s="28" t="n">
        <v>50.24</v>
      </c>
      <c r="I309" s="28" t="n">
        <v>9.699999999999999</v>
      </c>
      <c r="J309" s="94" t="inlineStr">
        <is>
          <t>False</t>
        </is>
      </c>
      <c r="K309" s="28" t="n">
        <v>0</v>
      </c>
      <c r="L309" s="25" t="inlineStr">
        <is>
          <t>COCKTAILS</t>
        </is>
      </c>
      <c r="M309" s="25" t="inlineStr">
        <is>
          <t>SAZERAC COMPANY</t>
        </is>
      </c>
      <c r="N309" s="25" t="inlineStr">
        <is>
          <t>040002-RNDC-MAGNOLIA</t>
        </is>
      </c>
      <c r="O309" s="25" t="n"/>
      <c r="P309" s="25" t="inlineStr">
        <is>
          <t>10080660010738</t>
        </is>
      </c>
      <c r="Q309" s="25" t="inlineStr">
        <is>
          <t>0080660010731</t>
        </is>
      </c>
      <c r="R309" s="78" t="n">
        <v>42370</v>
      </c>
    </row>
    <row r="310">
      <c r="A310" t="inlineStr">
        <is>
          <t>or item code =</t>
        </is>
      </c>
      <c r="B310" s="25" t="inlineStr">
        <is>
          <t>57179</t>
        </is>
      </c>
      <c r="C310" s="25" t="inlineStr">
        <is>
          <t>CHI-CHI'S RUBY RED MARGARITA</t>
        </is>
      </c>
      <c r="D310" s="25" t="inlineStr">
        <is>
          <t>1.75L</t>
        </is>
      </c>
      <c r="E310" s="27" t="n">
        <v>77</v>
      </c>
      <c r="F310" s="27" t="n">
        <v>36</v>
      </c>
      <c r="G310" s="27" t="n">
        <v>6</v>
      </c>
      <c r="H310" s="28" t="n">
        <v>50.24</v>
      </c>
      <c r="I310" s="28" t="n">
        <v>9.699999999999999</v>
      </c>
      <c r="J310" s="94" t="inlineStr">
        <is>
          <t>False</t>
        </is>
      </c>
      <c r="K310" s="28" t="n">
        <v>0</v>
      </c>
      <c r="L310" s="25" t="inlineStr">
        <is>
          <t>COCKTAILS</t>
        </is>
      </c>
      <c r="M310" s="25" t="inlineStr">
        <is>
          <t>SAZERAC COMPANY</t>
        </is>
      </c>
      <c r="N310" s="25" t="inlineStr">
        <is>
          <t>040002-RNDC-MAGNOLIA</t>
        </is>
      </c>
      <c r="O310" s="25" t="n"/>
      <c r="P310" s="25" t="inlineStr">
        <is>
          <t>10080660010226</t>
        </is>
      </c>
      <c r="Q310" s="25" t="inlineStr">
        <is>
          <t>0080660010229</t>
        </is>
      </c>
      <c r="R310" s="78" t="n">
        <v>42538</v>
      </c>
    </row>
    <row r="311">
      <c r="A311" t="inlineStr">
        <is>
          <t>or item code =</t>
        </is>
      </c>
      <c r="B311" s="25" t="inlineStr">
        <is>
          <t>57144</t>
        </is>
      </c>
      <c r="C311" s="25" t="inlineStr">
        <is>
          <t>CHI-CHI'S WHITE RUSSIAN</t>
        </is>
      </c>
      <c r="D311" s="25" t="inlineStr">
        <is>
          <t>1.75L</t>
        </is>
      </c>
      <c r="E311" s="27" t="n">
        <v>0</v>
      </c>
      <c r="F311" s="27" t="n">
        <v>31</v>
      </c>
      <c r="G311" s="27" t="n">
        <v>6</v>
      </c>
      <c r="H311" s="28" t="n">
        <v>50.24</v>
      </c>
      <c r="I311" s="28" t="n">
        <v>9.699999999999999</v>
      </c>
      <c r="J311" s="94" t="inlineStr">
        <is>
          <t>False</t>
        </is>
      </c>
      <c r="K311" s="28" t="n">
        <v>0</v>
      </c>
      <c r="L311" s="25" t="inlineStr">
        <is>
          <t>COCKTAILS</t>
        </is>
      </c>
      <c r="M311" s="25" t="inlineStr">
        <is>
          <t>SAZERAC COMPANY</t>
        </is>
      </c>
      <c r="N311" s="25" t="inlineStr">
        <is>
          <t>040002-RNDC-MAGNOLIA</t>
        </is>
      </c>
      <c r="O311" s="25" t="n"/>
      <c r="P311" s="25" t="inlineStr">
        <is>
          <t>10089000549815</t>
        </is>
      </c>
      <c r="Q311" s="25" t="inlineStr">
        <is>
          <t>0089000549818</t>
        </is>
      </c>
      <c r="R311" s="78" t="n">
        <v>42370</v>
      </c>
    </row>
    <row r="312">
      <c r="A312" t="inlineStr">
        <is>
          <t>or item code =</t>
        </is>
      </c>
      <c r="B312" s="25" t="inlineStr">
        <is>
          <t>73136</t>
        </is>
      </c>
      <c r="C312" s="25" t="inlineStr">
        <is>
          <t>CHILA COFFEE</t>
        </is>
      </c>
      <c r="D312" s="25" t="inlineStr">
        <is>
          <t>750ml</t>
        </is>
      </c>
      <c r="E312" s="27" t="n">
        <v>31</v>
      </c>
      <c r="F312" s="27" t="n">
        <v>9</v>
      </c>
      <c r="G312" s="27" t="n">
        <v>12</v>
      </c>
      <c r="H312" s="28" t="n">
        <v>87.59999999999999</v>
      </c>
      <c r="I312" s="28" t="n">
        <v>0</v>
      </c>
      <c r="J312" s="94" t="inlineStr">
        <is>
          <t>False</t>
        </is>
      </c>
      <c r="K312" s="28" t="n">
        <v>0</v>
      </c>
      <c r="L312" s="25" t="inlineStr">
        <is>
          <t>LIQUEURS AND CORDIALS</t>
        </is>
      </c>
      <c r="M312" s="25" t="inlineStr">
        <is>
          <t>SAZERAC COMPANY</t>
        </is>
      </c>
      <c r="N312" s="25" t="inlineStr">
        <is>
          <t>040002-RNDC-MAGNOLIA</t>
        </is>
      </c>
      <c r="O312" s="25" t="n"/>
      <c r="P312" s="25" t="inlineStr">
        <is>
          <t>10088004016859</t>
        </is>
      </c>
      <c r="Q312" s="25" t="inlineStr">
        <is>
          <t>0088004016852</t>
        </is>
      </c>
      <c r="R312" s="78" t="n">
        <v>42370</v>
      </c>
    </row>
    <row r="313">
      <c r="A313" t="inlineStr">
        <is>
          <t>or item code =</t>
        </is>
      </c>
      <c r="B313" s="25" t="inlineStr">
        <is>
          <t>4716</t>
        </is>
      </c>
      <c r="C313" s="25" t="inlineStr">
        <is>
          <t>CHIVAS REGAL</t>
        </is>
      </c>
      <c r="D313" s="25" t="inlineStr">
        <is>
          <t>750ml</t>
        </is>
      </c>
      <c r="E313" s="27" t="n">
        <v>9</v>
      </c>
      <c r="F313" s="27" t="n">
        <v>27</v>
      </c>
      <c r="G313" s="27" t="n">
        <v>12</v>
      </c>
      <c r="H313" s="28" t="n">
        <v>341.68</v>
      </c>
      <c r="I313" s="28" t="n">
        <v>0</v>
      </c>
      <c r="J313" s="94" t="inlineStr">
        <is>
          <t>False</t>
        </is>
      </c>
      <c r="K313" s="28" t="n">
        <v>0</v>
      </c>
      <c r="L313" s="25" t="inlineStr">
        <is>
          <t>WHISKY - SCOTCH</t>
        </is>
      </c>
      <c r="M313" s="25" t="inlineStr">
        <is>
          <t>PERNOD RICARD USA LLC</t>
        </is>
      </c>
      <c r="N313" s="25" t="inlineStr">
        <is>
          <t>040010-SOUTHERN GLAZERS WINE AND SPIRITS OF MISSISSIPPI LLC</t>
        </is>
      </c>
      <c r="O313" s="25" t="n"/>
      <c r="P313" s="25" t="inlineStr">
        <is>
          <t>10080432400392</t>
        </is>
      </c>
      <c r="Q313" s="25" t="inlineStr">
        <is>
          <t>0080432400395</t>
        </is>
      </c>
      <c r="R313" s="78" t="n">
        <v>42370</v>
      </c>
    </row>
    <row r="314">
      <c r="A314" t="inlineStr">
        <is>
          <t>or item code =</t>
        </is>
      </c>
      <c r="B314" s="25" t="inlineStr">
        <is>
          <t>4718</t>
        </is>
      </c>
      <c r="C314" s="25" t="inlineStr">
        <is>
          <t>CHIVAS REGAL</t>
        </is>
      </c>
      <c r="D314" s="25" t="inlineStr">
        <is>
          <t>1.75L</t>
        </is>
      </c>
      <c r="E314" s="27" t="n">
        <v>2</v>
      </c>
      <c r="F314" s="27" t="n">
        <v>39</v>
      </c>
      <c r="G314" s="27" t="n">
        <v>6</v>
      </c>
      <c r="H314" s="28" t="n">
        <v>364.78</v>
      </c>
      <c r="I314" s="28" t="n">
        <v>0</v>
      </c>
      <c r="J314" s="94" t="inlineStr">
        <is>
          <t>False</t>
        </is>
      </c>
      <c r="K314" s="28" t="n">
        <v>0</v>
      </c>
      <c r="L314" s="25" t="inlineStr">
        <is>
          <t>WHISKY - SCOTCH</t>
        </is>
      </c>
      <c r="M314" s="25" t="inlineStr">
        <is>
          <t>PERNOD RICARD USA LLC</t>
        </is>
      </c>
      <c r="N314" s="25" t="inlineStr">
        <is>
          <t>040010-SOUTHERN GLAZERS WINE AND SPIRITS OF MISSISSIPPI LLC</t>
        </is>
      </c>
      <c r="O314" s="25" t="n"/>
      <c r="P314" s="25" t="inlineStr">
        <is>
          <t>10080432400460</t>
        </is>
      </c>
      <c r="Q314" s="25" t="inlineStr">
        <is>
          <t>0080432400463</t>
        </is>
      </c>
      <c r="R314" s="78" t="n">
        <v>42370</v>
      </c>
    </row>
    <row r="315">
      <c r="A315" t="inlineStr">
        <is>
          <t>or item code =</t>
        </is>
      </c>
      <c r="B315" s="25" t="inlineStr">
        <is>
          <t>4725</t>
        </is>
      </c>
      <c r="C315" s="25" t="inlineStr">
        <is>
          <t>CHIVAS REGAL (ROUND)</t>
        </is>
      </c>
      <c r="D315" s="25" t="inlineStr">
        <is>
          <t>375ml</t>
        </is>
      </c>
      <c r="E315" s="27" t="n">
        <v>11</v>
      </c>
      <c r="F315" s="27" t="n">
        <v>22</v>
      </c>
      <c r="G315" s="27" t="n">
        <v>12</v>
      </c>
      <c r="H315" s="28" t="n">
        <v>159.99</v>
      </c>
      <c r="I315" s="28" t="n">
        <v>17.16</v>
      </c>
      <c r="J315" s="94" t="inlineStr">
        <is>
          <t>False</t>
        </is>
      </c>
      <c r="K315" s="28" t="n">
        <v>0</v>
      </c>
      <c r="L315" s="25" t="inlineStr">
        <is>
          <t>WHISKY - SCOTCH</t>
        </is>
      </c>
      <c r="M315" s="25" t="inlineStr">
        <is>
          <t>PERNOD RICARD USA LLC</t>
        </is>
      </c>
      <c r="N315" s="25" t="inlineStr">
        <is>
          <t>040010-SOUTHERN GLAZERS WINE AND SPIRITS OF MISSISSIPPI LLC</t>
        </is>
      </c>
      <c r="O315" s="25" t="n"/>
      <c r="P315" s="25" t="inlineStr">
        <is>
          <t>10080432400385</t>
        </is>
      </c>
      <c r="Q315" s="25" t="inlineStr">
        <is>
          <t>0080432400388</t>
        </is>
      </c>
      <c r="R315" s="78" t="n">
        <v>42370</v>
      </c>
    </row>
    <row r="316">
      <c r="A316" t="inlineStr">
        <is>
          <t>or item code =</t>
        </is>
      </c>
      <c r="B316" s="25" t="inlineStr">
        <is>
          <t>92270</t>
        </is>
      </c>
      <c r="C316" s="25" t="inlineStr">
        <is>
          <t>CHOCOVINE (DUTCH CHOCOLATE &amp; RED WINE)</t>
        </is>
      </c>
      <c r="D316" s="25" t="inlineStr">
        <is>
          <t>750ml</t>
        </is>
      </c>
      <c r="E316" s="27" t="n">
        <v>26</v>
      </c>
      <c r="F316" s="27" t="n">
        <v>45</v>
      </c>
      <c r="G316" s="27" t="n">
        <v>12</v>
      </c>
      <c r="H316" s="28" t="n">
        <v>94.2</v>
      </c>
      <c r="I316" s="28" t="n">
        <v>0</v>
      </c>
      <c r="J316" s="94" t="inlineStr">
        <is>
          <t>False</t>
        </is>
      </c>
      <c r="K316" s="28" t="n">
        <v>0</v>
      </c>
      <c r="L316" s="25" t="inlineStr">
        <is>
          <t>DESSERT WINES - OTHER</t>
        </is>
      </c>
      <c r="M316" s="25" t="inlineStr">
        <is>
          <t>PARK STREET IMPORTS</t>
        </is>
      </c>
      <c r="N316" s="25" t="inlineStr">
        <is>
          <t>040003-RNDC-VINTAGE</t>
        </is>
      </c>
      <c r="O316" s="25" t="n"/>
      <c r="P316" s="25" t="inlineStr">
        <is>
          <t>08710625481116</t>
        </is>
      </c>
      <c r="Q316" s="25" t="inlineStr">
        <is>
          <t>0859775001237</t>
        </is>
      </c>
      <c r="R316" s="78" t="n">
        <v>42370</v>
      </c>
    </row>
    <row r="317">
      <c r="A317" t="inlineStr">
        <is>
          <t>or item code =</t>
        </is>
      </c>
      <c r="B317" s="25" t="inlineStr">
        <is>
          <t>52316</t>
        </is>
      </c>
      <c r="C317" s="25" t="inlineStr">
        <is>
          <t>CHRISTIAN BROTHERS BRANDY VS</t>
        </is>
      </c>
      <c r="D317" s="25" t="inlineStr">
        <is>
          <t>750ml</t>
        </is>
      </c>
      <c r="E317" s="27" t="n">
        <v>157</v>
      </c>
      <c r="F317" s="27" t="n">
        <v>46</v>
      </c>
      <c r="G317" s="27" t="n">
        <v>12</v>
      </c>
      <c r="H317" s="28" t="n">
        <v>101.49</v>
      </c>
      <c r="I317" s="28" t="n">
        <v>0</v>
      </c>
      <c r="J317" s="94" t="inlineStr">
        <is>
          <t>False</t>
        </is>
      </c>
      <c r="K317" s="28" t="n">
        <v>0</v>
      </c>
      <c r="L317" s="25" t="inlineStr">
        <is>
          <t>BRANDY</t>
        </is>
      </c>
      <c r="M317" s="25" t="inlineStr">
        <is>
          <t>HEAVEN HILL BRANDS</t>
        </is>
      </c>
      <c r="N317" s="25" t="inlineStr">
        <is>
          <t>040010-SOUTHERN GLAZERS WINE AND SPIRITS OF MISSISSIPPI LLC</t>
        </is>
      </c>
      <c r="O317" s="25" t="n"/>
      <c r="P317" s="25" t="inlineStr">
        <is>
          <t>10086036815594</t>
        </is>
      </c>
      <c r="Q317" s="25" t="inlineStr">
        <is>
          <t>0086036815597</t>
        </is>
      </c>
      <c r="R317" s="78" t="n">
        <v>42278</v>
      </c>
    </row>
    <row r="318">
      <c r="A318" t="inlineStr">
        <is>
          <t>or item code =</t>
        </is>
      </c>
      <c r="B318" s="25" t="inlineStr">
        <is>
          <t>52315</t>
        </is>
      </c>
      <c r="C318" s="25" t="inlineStr">
        <is>
          <t>CHRISTIAN BROTHERS BRANDY VS</t>
        </is>
      </c>
      <c r="D318" s="25" t="inlineStr">
        <is>
          <t>375ml</t>
        </is>
      </c>
      <c r="E318" s="27" t="n">
        <v>16</v>
      </c>
      <c r="F318" s="27" t="n">
        <v>139</v>
      </c>
      <c r="G318" s="27" t="n">
        <v>12</v>
      </c>
      <c r="H318" s="28" t="n">
        <v>50.67</v>
      </c>
      <c r="I318" s="28" t="n">
        <v>4.66</v>
      </c>
      <c r="J318" s="94" t="inlineStr">
        <is>
          <t>False</t>
        </is>
      </c>
      <c r="K318" s="28" t="n">
        <v>0</v>
      </c>
      <c r="L318" s="25" t="inlineStr">
        <is>
          <t>BRANDY</t>
        </is>
      </c>
      <c r="M318" s="25" t="inlineStr">
        <is>
          <t>HEAVEN HILL BRANDS</t>
        </is>
      </c>
      <c r="N318" s="25" t="inlineStr">
        <is>
          <t>040010-SOUTHERN GLAZERS WINE AND SPIRITS OF MISSISSIPPI LLC</t>
        </is>
      </c>
      <c r="O318" s="25" t="n"/>
      <c r="P318" s="25" t="inlineStr">
        <is>
          <t>20086036815676</t>
        </is>
      </c>
      <c r="Q318" s="25" t="inlineStr">
        <is>
          <t>0086036815672</t>
        </is>
      </c>
      <c r="R318" s="78" t="n">
        <v>42279</v>
      </c>
    </row>
    <row r="319">
      <c r="A319" t="inlineStr">
        <is>
          <t>or item code =</t>
        </is>
      </c>
      <c r="B319" s="25" t="inlineStr">
        <is>
          <t>52312</t>
        </is>
      </c>
      <c r="C319" s="25" t="inlineStr">
        <is>
          <t>CHRISTIAN BROTHERS BRANDY VS</t>
        </is>
      </c>
      <c r="D319" s="25" t="inlineStr">
        <is>
          <t>200ml</t>
        </is>
      </c>
      <c r="E319" s="27" t="n">
        <v>4</v>
      </c>
      <c r="F319" s="27" t="n">
        <v>24</v>
      </c>
      <c r="G319" s="27" t="n">
        <v>24</v>
      </c>
      <c r="H319" s="28" t="n">
        <v>64.52</v>
      </c>
      <c r="I319" s="28" t="n">
        <v>0</v>
      </c>
      <c r="J319" s="94" t="inlineStr">
        <is>
          <t>False</t>
        </is>
      </c>
      <c r="K319" s="28" t="n">
        <v>0</v>
      </c>
      <c r="L319" s="25" t="inlineStr">
        <is>
          <t>BRANDY</t>
        </is>
      </c>
      <c r="M319" s="25" t="inlineStr">
        <is>
          <t>HEAVEN HILL BRANDS</t>
        </is>
      </c>
      <c r="N319" s="25" t="inlineStr">
        <is>
          <t>040010-SOUTHERN GLAZERS WINE AND SPIRITS OF MISSISSIPPI LLC</t>
        </is>
      </c>
      <c r="O319" s="25" t="n"/>
      <c r="P319" s="25" t="inlineStr">
        <is>
          <t>20086036815706</t>
        </is>
      </c>
      <c r="Q319" s="25" t="inlineStr">
        <is>
          <t>0086036815702</t>
        </is>
      </c>
      <c r="R319" s="78" t="n">
        <v>42279</v>
      </c>
    </row>
    <row r="320">
      <c r="A320" t="inlineStr">
        <is>
          <t>or item code =</t>
        </is>
      </c>
      <c r="B320" s="25" t="inlineStr">
        <is>
          <t>64512</t>
        </is>
      </c>
      <c r="C320" s="25" t="inlineStr">
        <is>
          <t>CIROC APPLE FLAVORED VODKA SPECIALTY</t>
        </is>
      </c>
      <c r="D320" s="25" t="inlineStr">
        <is>
          <t>750ml</t>
        </is>
      </c>
      <c r="E320" s="27" t="n">
        <v>4</v>
      </c>
      <c r="F320" s="27" t="n">
        <v>64</v>
      </c>
      <c r="G320" s="27" t="n">
        <v>12</v>
      </c>
      <c r="H320" s="28" t="n">
        <v>300.98</v>
      </c>
      <c r="I320" s="28" t="n">
        <v>0</v>
      </c>
      <c r="J320" s="94" t="inlineStr">
        <is>
          <t>False</t>
        </is>
      </c>
      <c r="K320" s="28" t="n">
        <v>0</v>
      </c>
      <c r="L320" s="25" t="inlineStr">
        <is>
          <t>VODKA</t>
        </is>
      </c>
      <c r="M320" s="25" t="inlineStr">
        <is>
          <t>DIAGEO AMERICAS INC</t>
        </is>
      </c>
      <c r="N320" s="25" t="inlineStr">
        <is>
          <t>040010-SOUTHERN GLAZERS WINE AND SPIRITS OF MISSISSIPPI LLC</t>
        </is>
      </c>
      <c r="O320" s="25" t="n"/>
      <c r="P320" s="25" t="inlineStr">
        <is>
          <t>10088076180458</t>
        </is>
      </c>
      <c r="Q320" s="25" t="inlineStr">
        <is>
          <t>0088076180451</t>
        </is>
      </c>
      <c r="R320" s="78" t="n">
        <v>42370</v>
      </c>
    </row>
    <row r="321">
      <c r="A321" t="inlineStr">
        <is>
          <t>or item code =</t>
        </is>
      </c>
      <c r="B321" s="25" t="inlineStr">
        <is>
          <t>64511</t>
        </is>
      </c>
      <c r="C321" s="25" t="inlineStr">
        <is>
          <t>CIROC APPLE FLAVORED VODKA SPECIALTY</t>
        </is>
      </c>
      <c r="D321" s="25" t="inlineStr">
        <is>
          <t>375ml</t>
        </is>
      </c>
      <c r="E321" s="27" t="n">
        <v>44</v>
      </c>
      <c r="F321" s="27" t="n">
        <v>71</v>
      </c>
      <c r="G321" s="27" t="n">
        <v>12</v>
      </c>
      <c r="H321" s="28" t="n">
        <v>159.04</v>
      </c>
      <c r="I321" s="28" t="n">
        <v>0</v>
      </c>
      <c r="J321" s="94" t="inlineStr">
        <is>
          <t>False</t>
        </is>
      </c>
      <c r="K321" s="28" t="n">
        <v>0</v>
      </c>
      <c r="L321" s="25" t="inlineStr">
        <is>
          <t>VODKA</t>
        </is>
      </c>
      <c r="M321" s="25" t="inlineStr">
        <is>
          <t>DIAGEO AMERICAS INC</t>
        </is>
      </c>
      <c r="N321" s="25" t="inlineStr">
        <is>
          <t>040010-SOUTHERN GLAZERS WINE AND SPIRITS OF MISSISSIPPI LLC</t>
        </is>
      </c>
      <c r="O321" s="25" t="n"/>
      <c r="P321" s="25" t="inlineStr">
        <is>
          <t>10088076180441</t>
        </is>
      </c>
      <c r="Q321" s="25" t="inlineStr">
        <is>
          <t>0088076180444</t>
        </is>
      </c>
      <c r="R321" s="78" t="n">
        <v>42370</v>
      </c>
    </row>
    <row r="322">
      <c r="A322" t="inlineStr">
        <is>
          <t>or item code =</t>
        </is>
      </c>
      <c r="B322" s="25" t="inlineStr">
        <is>
          <t>64509</t>
        </is>
      </c>
      <c r="C322" s="25" t="inlineStr">
        <is>
          <t>CIROC APPLE FLAVORED VODKA SPECIALTY</t>
        </is>
      </c>
      <c r="D322" s="25" t="inlineStr">
        <is>
          <t>50ml</t>
        </is>
      </c>
      <c r="E322" s="27" t="n">
        <v>27</v>
      </c>
      <c r="F322" s="27" t="n">
        <v>9</v>
      </c>
      <c r="G322" s="27" t="n">
        <v>60</v>
      </c>
      <c r="H322" s="28" t="n">
        <v>144.19</v>
      </c>
      <c r="I322" s="28" t="n">
        <v>0</v>
      </c>
      <c r="J322" s="94" t="inlineStr">
        <is>
          <t>False</t>
        </is>
      </c>
      <c r="K322" s="28" t="n">
        <v>0</v>
      </c>
      <c r="L322" s="25" t="inlineStr">
        <is>
          <t>VODKA</t>
        </is>
      </c>
      <c r="M322" s="25" t="inlineStr">
        <is>
          <t>DIAGEO AMERICAS INC</t>
        </is>
      </c>
      <c r="N322" s="25" t="inlineStr">
        <is>
          <t>040010-SOUTHERN GLAZERS WINE AND SPIRITS OF MISSISSIPPI LLC</t>
        </is>
      </c>
      <c r="O322" s="25" t="n"/>
      <c r="P322" s="25" t="inlineStr">
        <is>
          <t>10088076180427</t>
        </is>
      </c>
      <c r="Q322" s="25" t="inlineStr">
        <is>
          <t>082000005247</t>
        </is>
      </c>
      <c r="R322" s="78" t="n">
        <v>42370</v>
      </c>
    </row>
    <row r="323">
      <c r="A323" t="inlineStr">
        <is>
          <t>or item code =</t>
        </is>
      </c>
      <c r="B323" s="25" t="inlineStr">
        <is>
          <t>64514</t>
        </is>
      </c>
      <c r="C323" s="25" t="inlineStr">
        <is>
          <t>CIROC APPLE FLAVORED VODKA SPECIALTY</t>
        </is>
      </c>
      <c r="D323" s="25" t="inlineStr">
        <is>
          <t>1.75L</t>
        </is>
      </c>
      <c r="E323" s="27" t="n">
        <v>6</v>
      </c>
      <c r="F323" s="27" t="n">
        <v>8</v>
      </c>
      <c r="G323" s="27" t="n">
        <v>6</v>
      </c>
      <c r="H323" s="28" t="n">
        <v>310.29</v>
      </c>
      <c r="I323" s="28" t="n">
        <v>0</v>
      </c>
      <c r="J323" s="94" t="inlineStr">
        <is>
          <t>False</t>
        </is>
      </c>
      <c r="K323" s="28" t="n">
        <v>0</v>
      </c>
      <c r="L323" s="25" t="inlineStr">
        <is>
          <t>VODKA</t>
        </is>
      </c>
      <c r="M323" s="25" t="inlineStr">
        <is>
          <t>DIAGEO AMERICAS INC</t>
        </is>
      </c>
      <c r="N323" s="25" t="inlineStr">
        <is>
          <t>040010-SOUTHERN GLAZERS WINE AND SPIRITS OF MISSISSIPPI LLC</t>
        </is>
      </c>
      <c r="O323" s="25" t="n"/>
      <c r="P323" s="25" t="inlineStr">
        <is>
          <t>10088076180472</t>
        </is>
      </c>
      <c r="Q323" s="25" t="inlineStr">
        <is>
          <t>0088076180475</t>
        </is>
      </c>
      <c r="R323" s="78" t="n">
        <v>42901</v>
      </c>
    </row>
    <row r="324">
      <c r="A324" t="inlineStr">
        <is>
          <t>or item code =</t>
        </is>
      </c>
      <c r="B324" s="25" t="inlineStr">
        <is>
          <t>64510</t>
        </is>
      </c>
      <c r="C324" s="25" t="inlineStr">
        <is>
          <t>CIROC APPLE FLAVORED VODKA SPECIALTY</t>
        </is>
      </c>
      <c r="D324" s="25" t="inlineStr">
        <is>
          <t>200ml</t>
        </is>
      </c>
      <c r="E324" s="27" t="n">
        <v>21</v>
      </c>
      <c r="F324" s="27" t="n">
        <v>14</v>
      </c>
      <c r="G324" s="27" t="n">
        <v>24</v>
      </c>
      <c r="H324" s="28" t="n">
        <v>175.81</v>
      </c>
      <c r="I324" s="28" t="n">
        <v>0</v>
      </c>
      <c r="J324" s="94" t="inlineStr">
        <is>
          <t>False</t>
        </is>
      </c>
      <c r="K324" s="28" t="n">
        <v>0</v>
      </c>
      <c r="L324" s="25" t="inlineStr">
        <is>
          <t>VODKA</t>
        </is>
      </c>
      <c r="M324" s="25" t="inlineStr">
        <is>
          <t>DIAGEO AMERICAS INC</t>
        </is>
      </c>
      <c r="N324" s="25" t="inlineStr">
        <is>
          <t>040010-SOUTHERN GLAZERS WINE AND SPIRITS OF MISSISSIPPI LLC</t>
        </is>
      </c>
      <c r="O324" s="25" t="n"/>
      <c r="P324" s="25" t="inlineStr">
        <is>
          <t>88076180430000</t>
        </is>
      </c>
      <c r="Q324" s="25" t="inlineStr">
        <is>
          <t>0088076180437</t>
        </is>
      </c>
      <c r="R324" s="78" t="n">
        <v>42279</v>
      </c>
    </row>
    <row r="325">
      <c r="A325" t="inlineStr">
        <is>
          <t>or item code =</t>
        </is>
      </c>
      <c r="B325" s="25" t="inlineStr">
        <is>
          <t>64750</t>
        </is>
      </c>
      <c r="C325" s="25" t="inlineStr">
        <is>
          <t>CIROC COCONUT FLAVORED VODKA SPECIALTY</t>
        </is>
      </c>
      <c r="D325" s="25" t="inlineStr">
        <is>
          <t>750ml</t>
        </is>
      </c>
      <c r="E325" s="27" t="n">
        <v>22</v>
      </c>
      <c r="F325" s="27" t="n">
        <v>14</v>
      </c>
      <c r="G325" s="27" t="n">
        <v>12</v>
      </c>
      <c r="H325" s="28" t="n">
        <v>300.98</v>
      </c>
      <c r="I325" s="28" t="n">
        <v>0</v>
      </c>
      <c r="J325" s="94" t="inlineStr">
        <is>
          <t>False</t>
        </is>
      </c>
      <c r="K325" s="28" t="n">
        <v>0</v>
      </c>
      <c r="L325" s="25" t="inlineStr">
        <is>
          <t>VODKA</t>
        </is>
      </c>
      <c r="M325" s="25" t="inlineStr">
        <is>
          <t>DIAGEO AMERICAS INC</t>
        </is>
      </c>
      <c r="N325" s="25" t="inlineStr">
        <is>
          <t>040010-SOUTHERN GLAZERS WINE AND SPIRITS OF MISSISSIPPI LLC</t>
        </is>
      </c>
      <c r="O325" s="25" t="n"/>
      <c r="P325" s="25" t="inlineStr">
        <is>
          <t>00088076178083</t>
        </is>
      </c>
      <c r="Q325" s="25" t="inlineStr">
        <is>
          <t>088076174955</t>
        </is>
      </c>
      <c r="R325" s="78" t="n">
        <v>42370</v>
      </c>
    </row>
    <row r="326">
      <c r="A326" t="inlineStr">
        <is>
          <t>or item code =</t>
        </is>
      </c>
      <c r="B326" s="25" t="inlineStr">
        <is>
          <t>64741</t>
        </is>
      </c>
      <c r="C326" s="25" t="inlineStr">
        <is>
          <t>CIROC COCONUT FLAVORED VODKA SPECIALTY</t>
        </is>
      </c>
      <c r="D326" s="25" t="inlineStr">
        <is>
          <t>375ml</t>
        </is>
      </c>
      <c r="E326" s="27" t="n">
        <v>0</v>
      </c>
      <c r="F326" s="27" t="n">
        <v>10</v>
      </c>
      <c r="G326" s="27" t="n">
        <v>12</v>
      </c>
      <c r="H326" s="28" t="n">
        <v>159.04</v>
      </c>
      <c r="I326" s="28" t="n">
        <v>0</v>
      </c>
      <c r="J326" s="94" t="inlineStr">
        <is>
          <t>False</t>
        </is>
      </c>
      <c r="K326" s="28" t="n">
        <v>0</v>
      </c>
      <c r="L326" s="25" t="inlineStr">
        <is>
          <t>VODKA</t>
        </is>
      </c>
      <c r="M326" s="25" t="inlineStr">
        <is>
          <t>DIAGEO AMERICAS INC</t>
        </is>
      </c>
      <c r="N326" s="25" t="inlineStr">
        <is>
          <t>040010-SOUTHERN GLAZERS WINE AND SPIRITS OF MISSISSIPPI LLC</t>
        </is>
      </c>
      <c r="O326" s="25" t="n"/>
      <c r="P326" s="25" t="inlineStr">
        <is>
          <t>10088076174945</t>
        </is>
      </c>
      <c r="Q326" s="25" t="inlineStr">
        <is>
          <t>088076174948</t>
        </is>
      </c>
      <c r="R326" s="78" t="n">
        <v>42370</v>
      </c>
    </row>
    <row r="327">
      <c r="A327" t="inlineStr">
        <is>
          <t>or item code =</t>
        </is>
      </c>
      <c r="B327" s="25" t="inlineStr">
        <is>
          <t>64912</t>
        </is>
      </c>
      <c r="C327" s="25" t="inlineStr">
        <is>
          <t>CIROC MANGO FLAVORED VODKA SPECIALTY</t>
        </is>
      </c>
      <c r="D327" s="25" t="inlineStr">
        <is>
          <t>200ml</t>
        </is>
      </c>
      <c r="E327" s="27" t="n">
        <v>18</v>
      </c>
      <c r="F327" s="27" t="n">
        <v>14</v>
      </c>
      <c r="G327" s="27" t="n">
        <v>24</v>
      </c>
      <c r="H327" s="28" t="n">
        <v>175.81</v>
      </c>
      <c r="I327" s="28" t="n">
        <v>0</v>
      </c>
      <c r="J327" s="94" t="inlineStr">
        <is>
          <t>False</t>
        </is>
      </c>
      <c r="K327" s="28" t="n">
        <v>0</v>
      </c>
      <c r="L327" s="25" t="inlineStr">
        <is>
          <t>VODKA</t>
        </is>
      </c>
      <c r="M327" s="25" t="inlineStr">
        <is>
          <t>DIAGEO AMERICAS INC</t>
        </is>
      </c>
      <c r="N327" s="25" t="inlineStr">
        <is>
          <t>040010-SOUTHERN GLAZERS WINE AND SPIRITS OF MISSISSIPPI LLC</t>
        </is>
      </c>
      <c r="O327" s="25" t="n"/>
      <c r="P327" s="25" t="inlineStr">
        <is>
          <t>10088076170878</t>
        </is>
      </c>
      <c r="Q327" s="25" t="inlineStr">
        <is>
          <t>0088076180871</t>
        </is>
      </c>
      <c r="R327" s="78" t="n">
        <v>42370</v>
      </c>
    </row>
    <row r="328">
      <c r="A328" t="inlineStr">
        <is>
          <t>or item code =</t>
        </is>
      </c>
      <c r="B328" s="25" t="inlineStr">
        <is>
          <t>64914</t>
        </is>
      </c>
      <c r="C328" s="25" t="inlineStr">
        <is>
          <t>CIROC MANGO FLAVORED VODKA SPECIALTY</t>
        </is>
      </c>
      <c r="D328" s="25" t="inlineStr">
        <is>
          <t>750ml</t>
        </is>
      </c>
      <c r="E328" s="27" t="n">
        <v>4</v>
      </c>
      <c r="F328" s="27" t="n">
        <v>18</v>
      </c>
      <c r="G328" s="27" t="n">
        <v>12</v>
      </c>
      <c r="H328" s="28" t="n">
        <v>300.98</v>
      </c>
      <c r="I328" s="28" t="n">
        <v>0</v>
      </c>
      <c r="J328" s="94" t="inlineStr">
        <is>
          <t>False</t>
        </is>
      </c>
      <c r="K328" s="28" t="n">
        <v>0</v>
      </c>
      <c r="L328" s="25" t="inlineStr">
        <is>
          <t>VODKA</t>
        </is>
      </c>
      <c r="M328" s="25" t="inlineStr">
        <is>
          <t>DIAGEO AMERICAS INC</t>
        </is>
      </c>
      <c r="N328" s="25" t="inlineStr">
        <is>
          <t>040010-SOUTHERN GLAZERS WINE AND SPIRITS OF MISSISSIPPI LLC</t>
        </is>
      </c>
      <c r="O328" s="25" t="n"/>
      <c r="P328" s="25" t="inlineStr">
        <is>
          <t>10088076180694</t>
        </is>
      </c>
      <c r="Q328" s="25" t="inlineStr">
        <is>
          <t>0088076180697</t>
        </is>
      </c>
      <c r="R328" s="78" t="n">
        <v>42639</v>
      </c>
    </row>
    <row r="329">
      <c r="A329" t="inlineStr">
        <is>
          <t>or item code =</t>
        </is>
      </c>
      <c r="B329" s="25" t="inlineStr">
        <is>
          <t>64913</t>
        </is>
      </c>
      <c r="C329" s="25" t="inlineStr">
        <is>
          <t>CIROC MANGO FLAVORED VODKA SPECIALTY</t>
        </is>
      </c>
      <c r="D329" s="25" t="inlineStr">
        <is>
          <t>375ml</t>
        </is>
      </c>
      <c r="E329" s="27" t="n">
        <v>39</v>
      </c>
      <c r="F329" s="27" t="n">
        <v>23</v>
      </c>
      <c r="G329" s="27" t="n">
        <v>12</v>
      </c>
      <c r="H329" s="28" t="n">
        <v>159.04</v>
      </c>
      <c r="I329" s="28" t="n">
        <v>0</v>
      </c>
      <c r="J329" s="94" t="inlineStr">
        <is>
          <t>False</t>
        </is>
      </c>
      <c r="K329" s="28" t="n">
        <v>0</v>
      </c>
      <c r="L329" s="25" t="inlineStr">
        <is>
          <t>VODKA</t>
        </is>
      </c>
      <c r="M329" s="25" t="inlineStr">
        <is>
          <t>DIAGEO AMERICAS INC</t>
        </is>
      </c>
      <c r="N329" s="25" t="inlineStr">
        <is>
          <t>040010-SOUTHERN GLAZERS WINE AND SPIRITS OF MISSISSIPPI LLC</t>
        </is>
      </c>
      <c r="O329" s="25" t="n"/>
      <c r="P329" s="25" t="inlineStr">
        <is>
          <t>10088076180687</t>
        </is>
      </c>
      <c r="Q329" s="25" t="inlineStr">
        <is>
          <t>0088076180680</t>
        </is>
      </c>
      <c r="R329" s="78" t="n">
        <v>42639</v>
      </c>
    </row>
    <row r="330">
      <c r="A330" t="inlineStr">
        <is>
          <t>or item code =</t>
        </is>
      </c>
      <c r="B330" s="25" t="inlineStr">
        <is>
          <t>64348</t>
        </is>
      </c>
      <c r="C330" s="25" t="inlineStr">
        <is>
          <t>CIROC PASSION</t>
        </is>
      </c>
      <c r="D330" s="25" t="inlineStr">
        <is>
          <t>750ml</t>
        </is>
      </c>
      <c r="E330" s="27" t="n">
        <v>227</v>
      </c>
      <c r="F330" s="27" t="n">
        <v>91</v>
      </c>
      <c r="G330" s="27" t="n">
        <v>12</v>
      </c>
      <c r="H330" s="28" t="n">
        <v>300.98</v>
      </c>
      <c r="I330" s="28" t="n">
        <v>0</v>
      </c>
      <c r="J330" s="94" t="inlineStr">
        <is>
          <t>False</t>
        </is>
      </c>
      <c r="K330" s="28" t="n">
        <v>0</v>
      </c>
      <c r="L330" s="25" t="inlineStr">
        <is>
          <t>VODKA</t>
        </is>
      </c>
      <c r="M330" s="25" t="inlineStr">
        <is>
          <t>DIAGEO AMERICAS INC</t>
        </is>
      </c>
      <c r="N330" s="25" t="inlineStr">
        <is>
          <t>040010-SOUTHERN GLAZERS WINE AND SPIRITS OF MISSISSIPPI LLC</t>
        </is>
      </c>
      <c r="O330" s="25" t="n"/>
      <c r="P330" s="25" t="inlineStr">
        <is>
          <t>10088076187396</t>
        </is>
      </c>
      <c r="Q330" s="25" t="inlineStr">
        <is>
          <t>088076187399</t>
        </is>
      </c>
      <c r="R330" s="78" t="n">
        <v>44743</v>
      </c>
    </row>
    <row r="331">
      <c r="A331" t="inlineStr">
        <is>
          <t>or item code =</t>
        </is>
      </c>
      <c r="B331" s="25" t="inlineStr">
        <is>
          <t>64722</t>
        </is>
      </c>
      <c r="C331" s="25" t="inlineStr">
        <is>
          <t>CIROC PEACH FLAVORED VODKA SPECIALTY</t>
        </is>
      </c>
      <c r="D331" s="25" t="inlineStr">
        <is>
          <t>200ml</t>
        </is>
      </c>
      <c r="E331" s="27" t="n">
        <v>80</v>
      </c>
      <c r="F331" s="27" t="n">
        <v>24</v>
      </c>
      <c r="G331" s="27" t="n">
        <v>24</v>
      </c>
      <c r="H331" s="28" t="n">
        <v>175.81</v>
      </c>
      <c r="I331" s="28" t="n">
        <v>0</v>
      </c>
      <c r="J331" s="94" t="inlineStr">
        <is>
          <t>False</t>
        </is>
      </c>
      <c r="K331" s="28" t="n">
        <v>0</v>
      </c>
      <c r="L331" s="25" t="inlineStr">
        <is>
          <t>VODKA</t>
        </is>
      </c>
      <c r="M331" s="25" t="inlineStr">
        <is>
          <t>DIAGEO AMERICAS INC</t>
        </is>
      </c>
      <c r="N331" s="25" t="inlineStr">
        <is>
          <t>040010-SOUTHERN GLAZERS WINE AND SPIRITS OF MISSISSIPPI LLC</t>
        </is>
      </c>
      <c r="O331" s="25" t="n"/>
      <c r="P331" s="25" t="inlineStr">
        <is>
          <t>10088076178400</t>
        </is>
      </c>
      <c r="Q331" s="25" t="inlineStr">
        <is>
          <t>0088076178403</t>
        </is>
      </c>
      <c r="R331" s="78" t="n">
        <v>42370</v>
      </c>
    </row>
    <row r="332">
      <c r="A332" t="inlineStr">
        <is>
          <t>or item code =</t>
        </is>
      </c>
      <c r="B332" s="25" t="inlineStr">
        <is>
          <t>64716</t>
        </is>
      </c>
      <c r="C332" s="25" t="inlineStr">
        <is>
          <t>CIROC PEACH FLAVORED VODKA SPECIALTY</t>
        </is>
      </c>
      <c r="D332" s="25" t="inlineStr">
        <is>
          <t>750ml</t>
        </is>
      </c>
      <c r="E332" s="27" t="n">
        <v>45</v>
      </c>
      <c r="F332" s="27" t="n">
        <v>22</v>
      </c>
      <c r="G332" s="27" t="n">
        <v>12</v>
      </c>
      <c r="H332" s="28" t="n">
        <v>300.98</v>
      </c>
      <c r="I332" s="28" t="n">
        <v>0</v>
      </c>
      <c r="J332" s="94" t="inlineStr">
        <is>
          <t>False</t>
        </is>
      </c>
      <c r="K332" s="28" t="n">
        <v>0</v>
      </c>
      <c r="L332" s="25" t="inlineStr">
        <is>
          <t>VODKA</t>
        </is>
      </c>
      <c r="M332" s="25" t="inlineStr">
        <is>
          <t>DIAGEO AMERICAS INC</t>
        </is>
      </c>
      <c r="N332" s="25" t="inlineStr">
        <is>
          <t>040010-SOUTHERN GLAZERS WINE AND SPIRITS OF MISSISSIPPI LLC</t>
        </is>
      </c>
      <c r="O332" s="25" t="n"/>
      <c r="P332" s="25" t="inlineStr">
        <is>
          <t>00088076178106</t>
        </is>
      </c>
      <c r="Q332" s="25" t="inlineStr">
        <is>
          <t>0088076177406</t>
        </is>
      </c>
      <c r="R332" s="78" t="n">
        <v>42370</v>
      </c>
    </row>
    <row r="333">
      <c r="A333" t="inlineStr">
        <is>
          <t>or item code =</t>
        </is>
      </c>
      <c r="B333" s="25" t="inlineStr">
        <is>
          <t>64714</t>
        </is>
      </c>
      <c r="C333" s="25" t="inlineStr">
        <is>
          <t>CIROC PEACH FLAVORED VODKA SPECIALTY</t>
        </is>
      </c>
      <c r="D333" s="25" t="inlineStr">
        <is>
          <t>1.75L</t>
        </is>
      </c>
      <c r="E333" s="27" t="n">
        <v>19</v>
      </c>
      <c r="F333" s="27" t="n">
        <v>5</v>
      </c>
      <c r="G333" s="27" t="n">
        <v>6</v>
      </c>
      <c r="H333" s="28" t="n">
        <v>310.29</v>
      </c>
      <c r="I333" s="28" t="n">
        <v>0</v>
      </c>
      <c r="J333" s="94" t="inlineStr">
        <is>
          <t>False</t>
        </is>
      </c>
      <c r="K333" s="28" t="n">
        <v>0</v>
      </c>
      <c r="L333" s="25" t="inlineStr">
        <is>
          <t>VODKA</t>
        </is>
      </c>
      <c r="M333" s="25" t="inlineStr">
        <is>
          <t>DIAGEO AMERICAS INC</t>
        </is>
      </c>
      <c r="N333" s="25" t="inlineStr">
        <is>
          <t>040010-SOUTHERN GLAZERS WINE AND SPIRITS OF MISSISSIPPI LLC</t>
        </is>
      </c>
      <c r="O333" s="25" t="n"/>
      <c r="P333" s="25" t="inlineStr">
        <is>
          <t>10088076177427</t>
        </is>
      </c>
      <c r="Q333" s="25" t="inlineStr">
        <is>
          <t>0088076177420</t>
        </is>
      </c>
      <c r="R333" s="78" t="n">
        <v>42370</v>
      </c>
    </row>
    <row r="334">
      <c r="A334" t="inlineStr">
        <is>
          <t>or item code =</t>
        </is>
      </c>
      <c r="B334" s="25" t="inlineStr">
        <is>
          <t>64710</t>
        </is>
      </c>
      <c r="C334" s="25" t="inlineStr">
        <is>
          <t>CIROC PEACH FLAVORED VODKA SPECIALTY</t>
        </is>
      </c>
      <c r="D334" s="25" t="inlineStr">
        <is>
          <t>50ml</t>
        </is>
      </c>
      <c r="E334" s="27" t="n">
        <v>14</v>
      </c>
      <c r="F334" s="27" t="n">
        <v>10</v>
      </c>
      <c r="G334" s="27" t="n">
        <v>60</v>
      </c>
      <c r="H334" s="28" t="n">
        <v>144.19</v>
      </c>
      <c r="I334" s="28" t="n">
        <v>0</v>
      </c>
      <c r="J334" s="94" t="inlineStr">
        <is>
          <t>False</t>
        </is>
      </c>
      <c r="K334" s="28" t="n">
        <v>0</v>
      </c>
      <c r="L334" s="25" t="inlineStr">
        <is>
          <t>VODKA</t>
        </is>
      </c>
      <c r="M334" s="25" t="inlineStr">
        <is>
          <t>DIAGEO AMERICAS INC</t>
        </is>
      </c>
      <c r="N334" s="25" t="inlineStr">
        <is>
          <t>040010-SOUTHERN GLAZERS WINE AND SPIRITS OF MISSISSIPPI LLC</t>
        </is>
      </c>
      <c r="O334" s="25" t="n"/>
      <c r="P334" s="25" t="inlineStr">
        <is>
          <t>10088076177380</t>
        </is>
      </c>
      <c r="Q334" s="25" t="inlineStr">
        <is>
          <t>08230803</t>
        </is>
      </c>
      <c r="R334" s="78" t="n">
        <v>42370</v>
      </c>
    </row>
    <row r="335">
      <c r="A335" t="inlineStr">
        <is>
          <t>or item code =</t>
        </is>
      </c>
      <c r="B335" s="25" t="inlineStr">
        <is>
          <t>64711</t>
        </is>
      </c>
      <c r="C335" s="25" t="inlineStr">
        <is>
          <t>CIROC PEACH FLAVORED VODKA SPECIALTY</t>
        </is>
      </c>
      <c r="D335" s="25" t="inlineStr">
        <is>
          <t>375ml</t>
        </is>
      </c>
      <c r="E335" s="27" t="n">
        <v>51</v>
      </c>
      <c r="F335" s="27" t="n">
        <v>59</v>
      </c>
      <c r="G335" s="27" t="n">
        <v>12</v>
      </c>
      <c r="H335" s="28" t="n">
        <v>159.04</v>
      </c>
      <c r="I335" s="28" t="n">
        <v>0</v>
      </c>
      <c r="J335" s="94" t="inlineStr">
        <is>
          <t>False</t>
        </is>
      </c>
      <c r="K335" s="28" t="n">
        <v>0</v>
      </c>
      <c r="L335" s="25" t="inlineStr">
        <is>
          <t>VODKA</t>
        </is>
      </c>
      <c r="M335" s="25" t="inlineStr">
        <is>
          <t>DIAGEO AMERICAS INC</t>
        </is>
      </c>
      <c r="N335" s="25" t="inlineStr">
        <is>
          <t>040010-SOUTHERN GLAZERS WINE AND SPIRITS OF MISSISSIPPI LLC</t>
        </is>
      </c>
      <c r="O335" s="25" t="n"/>
      <c r="P335" s="25" t="inlineStr">
        <is>
          <t>10088076177397</t>
        </is>
      </c>
      <c r="Q335" s="25" t="inlineStr">
        <is>
          <t>0088076177390</t>
        </is>
      </c>
      <c r="R335" s="78" t="n">
        <v>42370</v>
      </c>
    </row>
    <row r="336">
      <c r="A336" t="inlineStr">
        <is>
          <t>or item code =</t>
        </is>
      </c>
      <c r="B336" s="25" t="inlineStr">
        <is>
          <t>64575</t>
        </is>
      </c>
      <c r="C336" s="25" t="inlineStr">
        <is>
          <t>CIROC PINEAPPLE FLAVORED VODKA SPECIALTY</t>
        </is>
      </c>
      <c r="D336" s="25" t="inlineStr">
        <is>
          <t>1.75L</t>
        </is>
      </c>
      <c r="E336" s="27" t="n">
        <v>7</v>
      </c>
      <c r="F336" s="27" t="n">
        <v>3</v>
      </c>
      <c r="G336" s="27" t="n">
        <v>6</v>
      </c>
      <c r="H336" s="28" t="n">
        <v>310.29</v>
      </c>
      <c r="I336" s="28" t="n">
        <v>0</v>
      </c>
      <c r="J336" s="94" t="inlineStr">
        <is>
          <t>False</t>
        </is>
      </c>
      <c r="K336" s="28" t="n">
        <v>0</v>
      </c>
      <c r="L336" s="25" t="inlineStr">
        <is>
          <t>VODKA</t>
        </is>
      </c>
      <c r="M336" s="25" t="inlineStr">
        <is>
          <t>DIAGEO AMERICAS INC</t>
        </is>
      </c>
      <c r="N336" s="25" t="inlineStr">
        <is>
          <t>040010-SOUTHERN GLAZERS WINE AND SPIRITS OF MISSISSIPPI LLC</t>
        </is>
      </c>
      <c r="O336" s="25" t="n"/>
      <c r="P336" s="25" t="inlineStr">
        <is>
          <t>10088076179100</t>
        </is>
      </c>
      <c r="Q336" s="25" t="inlineStr">
        <is>
          <t>0088076179103</t>
        </is>
      </c>
      <c r="R336" s="78" t="n">
        <v>42901</v>
      </c>
    </row>
    <row r="337">
      <c r="A337" t="inlineStr">
        <is>
          <t>or item code =</t>
        </is>
      </c>
      <c r="B337" s="25" t="inlineStr">
        <is>
          <t>64571</t>
        </is>
      </c>
      <c r="C337" s="25" t="inlineStr">
        <is>
          <t>CIROC PINEAPPLE FLAVORED VODKA SPECIALTY</t>
        </is>
      </c>
      <c r="D337" s="25" t="inlineStr">
        <is>
          <t>200ml</t>
        </is>
      </c>
      <c r="E337" s="27" t="n">
        <v>33</v>
      </c>
      <c r="F337" s="27" t="n">
        <v>28</v>
      </c>
      <c r="G337" s="27" t="n">
        <v>24</v>
      </c>
      <c r="H337" s="28" t="n">
        <v>175.81</v>
      </c>
      <c r="I337" s="28" t="n">
        <v>0</v>
      </c>
      <c r="J337" s="94" t="inlineStr">
        <is>
          <t>False</t>
        </is>
      </c>
      <c r="K337" s="28" t="n">
        <v>0</v>
      </c>
      <c r="L337" s="25" t="inlineStr">
        <is>
          <t>VODKA</t>
        </is>
      </c>
      <c r="M337" s="25" t="inlineStr">
        <is>
          <t>DIAGEO AMERICAS INC</t>
        </is>
      </c>
      <c r="N337" s="25" t="inlineStr">
        <is>
          <t>040010-SOUTHERN GLAZERS WINE AND SPIRITS OF MISSISSIPPI LLC</t>
        </is>
      </c>
      <c r="O337" s="25" t="n"/>
      <c r="P337" s="25" t="inlineStr">
        <is>
          <t>10088076179063</t>
        </is>
      </c>
      <c r="Q337" s="25" t="inlineStr">
        <is>
          <t>0088076179066</t>
        </is>
      </c>
      <c r="R337" s="78" t="n">
        <v>42370</v>
      </c>
    </row>
    <row r="338">
      <c r="A338" t="inlineStr">
        <is>
          <t>or item code =</t>
        </is>
      </c>
      <c r="B338" s="25" t="inlineStr">
        <is>
          <t>64573</t>
        </is>
      </c>
      <c r="C338" s="25" t="inlineStr">
        <is>
          <t>CIROC PINEAPPLE FLAVORED VODKA SPECIALTY</t>
        </is>
      </c>
      <c r="D338" s="25" t="inlineStr">
        <is>
          <t>750ml</t>
        </is>
      </c>
      <c r="E338" s="27" t="n">
        <v>20</v>
      </c>
      <c r="F338" s="27" t="n">
        <v>17</v>
      </c>
      <c r="G338" s="27" t="n">
        <v>12</v>
      </c>
      <c r="H338" s="28" t="n">
        <v>300.98</v>
      </c>
      <c r="I338" s="28" t="n">
        <v>0</v>
      </c>
      <c r="J338" s="94" t="inlineStr">
        <is>
          <t>False</t>
        </is>
      </c>
      <c r="K338" s="28" t="n">
        <v>0</v>
      </c>
      <c r="L338" s="25" t="inlineStr">
        <is>
          <t>VODKA</t>
        </is>
      </c>
      <c r="M338" s="25" t="inlineStr">
        <is>
          <t>DIAGEO AMERICAS INC</t>
        </is>
      </c>
      <c r="N338" s="25" t="inlineStr">
        <is>
          <t>040010-SOUTHERN GLAZERS WINE AND SPIRITS OF MISSISSIPPI LLC</t>
        </is>
      </c>
      <c r="O338" s="25" t="n"/>
      <c r="P338" s="25" t="inlineStr">
        <is>
          <t>10088076179087</t>
        </is>
      </c>
      <c r="Q338" s="25" t="inlineStr">
        <is>
          <t>0088076179080</t>
        </is>
      </c>
      <c r="R338" s="78" t="n">
        <v>42370</v>
      </c>
    </row>
    <row r="339">
      <c r="A339" t="inlineStr">
        <is>
          <t>or item code =</t>
        </is>
      </c>
      <c r="B339" s="25" t="inlineStr">
        <is>
          <t>64572</t>
        </is>
      </c>
      <c r="C339" s="25" t="inlineStr">
        <is>
          <t>CIROC PINEAPPLE FLAVORED VODKA SPECIALTY</t>
        </is>
      </c>
      <c r="D339" s="25" t="inlineStr">
        <is>
          <t>375ml</t>
        </is>
      </c>
      <c r="E339" s="27" t="n">
        <v>42</v>
      </c>
      <c r="F339" s="27" t="n">
        <v>66</v>
      </c>
      <c r="G339" s="27" t="n">
        <v>12</v>
      </c>
      <c r="H339" s="28" t="n">
        <v>159.04</v>
      </c>
      <c r="I339" s="28" t="n">
        <v>0</v>
      </c>
      <c r="J339" s="94" t="inlineStr">
        <is>
          <t>False</t>
        </is>
      </c>
      <c r="K339" s="28" t="n">
        <v>0</v>
      </c>
      <c r="L339" s="25" t="inlineStr">
        <is>
          <t>VODKA</t>
        </is>
      </c>
      <c r="M339" s="25" t="inlineStr">
        <is>
          <t>DIAGEO AMERICAS INC</t>
        </is>
      </c>
      <c r="N339" s="25" t="inlineStr">
        <is>
          <t>040010-SOUTHERN GLAZERS WINE AND SPIRITS OF MISSISSIPPI LLC</t>
        </is>
      </c>
      <c r="O339" s="25" t="n"/>
      <c r="P339" s="25" t="inlineStr">
        <is>
          <t>10088076179070</t>
        </is>
      </c>
      <c r="Q339" s="25" t="inlineStr">
        <is>
          <t>0088076179073</t>
        </is>
      </c>
      <c r="R339" s="78" t="n">
        <v>42370</v>
      </c>
    </row>
    <row r="340">
      <c r="A340" t="inlineStr">
        <is>
          <t>or item code =</t>
        </is>
      </c>
      <c r="B340" s="25" t="inlineStr">
        <is>
          <t>64339</t>
        </is>
      </c>
      <c r="C340" s="25" t="inlineStr">
        <is>
          <t>CIROC POMEGRANATE FLAVORED VODKA SPECIALTY</t>
        </is>
      </c>
      <c r="D340" s="25" t="inlineStr">
        <is>
          <t>750ml</t>
        </is>
      </c>
      <c r="E340" s="27" t="n">
        <v>51</v>
      </c>
      <c r="F340" s="27" t="n">
        <v>87</v>
      </c>
      <c r="G340" s="27" t="n">
        <v>12</v>
      </c>
      <c r="H340" s="28" t="n">
        <v>300.98</v>
      </c>
      <c r="I340" s="28" t="n">
        <v>0</v>
      </c>
      <c r="J340" s="94" t="inlineStr">
        <is>
          <t>False</t>
        </is>
      </c>
      <c r="K340" s="28" t="n">
        <v>0</v>
      </c>
      <c r="L340" s="25" t="inlineStr">
        <is>
          <t>VODKA</t>
        </is>
      </c>
      <c r="M340" s="25" t="inlineStr">
        <is>
          <t>DIAGEO AMERICAS INC</t>
        </is>
      </c>
      <c r="N340" s="25" t="inlineStr">
        <is>
          <t>040010-SOUTHERN GLAZERS WINE AND SPIRITS OF MISSISSIPPI LLC</t>
        </is>
      </c>
      <c r="O340" s="25" t="n"/>
      <c r="P340" s="25" t="n"/>
      <c r="Q340" s="25" t="inlineStr">
        <is>
          <t>088076186040</t>
        </is>
      </c>
      <c r="R340" s="78" t="n">
        <v>44378</v>
      </c>
    </row>
    <row r="341">
      <c r="A341" t="inlineStr">
        <is>
          <t>or item code =</t>
        </is>
      </c>
      <c r="B341" s="25" t="inlineStr">
        <is>
          <t>64755</t>
        </is>
      </c>
      <c r="C341" s="25" t="inlineStr">
        <is>
          <t>CIROC RED BERRY FLAVORED VODKA SPECIALTY</t>
        </is>
      </c>
      <c r="D341" s="25" t="inlineStr">
        <is>
          <t>750ml</t>
        </is>
      </c>
      <c r="E341" s="27" t="n">
        <v>154</v>
      </c>
      <c r="F341" s="27" t="n">
        <v>39</v>
      </c>
      <c r="G341" s="27" t="n">
        <v>12</v>
      </c>
      <c r="H341" s="28" t="n">
        <v>300.98</v>
      </c>
      <c r="I341" s="28" t="n">
        <v>0</v>
      </c>
      <c r="J341" s="94" t="inlineStr">
        <is>
          <t>False</t>
        </is>
      </c>
      <c r="K341" s="28" t="n">
        <v>0</v>
      </c>
      <c r="L341" s="25" t="inlineStr">
        <is>
          <t>VODKA</t>
        </is>
      </c>
      <c r="M341" s="25" t="inlineStr">
        <is>
          <t>DIAGEO AMERICAS INC</t>
        </is>
      </c>
      <c r="N341" s="25" t="inlineStr">
        <is>
          <t>040010-SOUTHERN GLAZERS WINE AND SPIRITS OF MISSISSIPPI LLC</t>
        </is>
      </c>
      <c r="O341" s="25" t="n"/>
      <c r="P341" s="25" t="inlineStr">
        <is>
          <t>00088076178120</t>
        </is>
      </c>
      <c r="Q341" s="25" t="inlineStr">
        <is>
          <t>0088076175051</t>
        </is>
      </c>
      <c r="R341" s="78" t="n">
        <v>42370</v>
      </c>
    </row>
    <row r="342">
      <c r="A342" t="inlineStr">
        <is>
          <t>or item code =</t>
        </is>
      </c>
      <c r="B342" s="25" t="inlineStr">
        <is>
          <t>64762</t>
        </is>
      </c>
      <c r="C342" s="25" t="inlineStr">
        <is>
          <t>CIROC RED BERRY FLAVORED VODKA SPECIALTY</t>
        </is>
      </c>
      <c r="D342" s="25" t="inlineStr">
        <is>
          <t>375ml</t>
        </is>
      </c>
      <c r="E342" s="27" t="n">
        <v>64</v>
      </c>
      <c r="F342" s="27" t="n">
        <v>37</v>
      </c>
      <c r="G342" s="27" t="n">
        <v>12</v>
      </c>
      <c r="H342" s="28" t="n">
        <v>159.04</v>
      </c>
      <c r="I342" s="28" t="n">
        <v>0</v>
      </c>
      <c r="J342" s="94" t="inlineStr">
        <is>
          <t>False</t>
        </is>
      </c>
      <c r="K342" s="28" t="n">
        <v>0</v>
      </c>
      <c r="L342" s="25" t="inlineStr">
        <is>
          <t>VODKA</t>
        </is>
      </c>
      <c r="M342" s="25" t="inlineStr">
        <is>
          <t>DIAGEO AMERICAS INC</t>
        </is>
      </c>
      <c r="N342" s="25" t="inlineStr">
        <is>
          <t>040010-SOUTHERN GLAZERS WINE AND SPIRITS OF MISSISSIPPI LLC</t>
        </is>
      </c>
      <c r="O342" s="25" t="n"/>
      <c r="P342" s="25" t="inlineStr">
        <is>
          <t>00000000064762</t>
        </is>
      </c>
      <c r="Q342" s="25" t="inlineStr">
        <is>
          <t>088076175044</t>
        </is>
      </c>
      <c r="R342" s="78" t="n">
        <v>42370</v>
      </c>
    </row>
    <row r="343">
      <c r="A343" t="inlineStr">
        <is>
          <t>or item code =</t>
        </is>
      </c>
      <c r="B343" s="25" t="inlineStr">
        <is>
          <t>64761</t>
        </is>
      </c>
      <c r="C343" s="25" t="inlineStr">
        <is>
          <t>CIROC RED BERRY FLAVORED VODKA SPECIALTY</t>
        </is>
      </c>
      <c r="D343" s="25" t="inlineStr">
        <is>
          <t>50ml</t>
        </is>
      </c>
      <c r="E343" s="27" t="n">
        <v>47</v>
      </c>
      <c r="F343" s="27" t="n">
        <v>12</v>
      </c>
      <c r="G343" s="27" t="n">
        <v>60</v>
      </c>
      <c r="H343" s="28" t="n">
        <v>144.19</v>
      </c>
      <c r="I343" s="28" t="n">
        <v>0</v>
      </c>
      <c r="J343" s="94" t="inlineStr">
        <is>
          <t>False</t>
        </is>
      </c>
      <c r="K343" s="28" t="n">
        <v>0</v>
      </c>
      <c r="L343" s="25" t="inlineStr">
        <is>
          <t>VODKA</t>
        </is>
      </c>
      <c r="M343" s="25" t="inlineStr">
        <is>
          <t>DIAGEO AMERICAS INC</t>
        </is>
      </c>
      <c r="N343" s="25" t="inlineStr">
        <is>
          <t>040010-SOUTHERN GLAZERS WINE AND SPIRITS OF MISSISSIPPI LLC</t>
        </is>
      </c>
      <c r="O343" s="25" t="n"/>
      <c r="P343" s="25" t="inlineStr">
        <is>
          <t>00088076175037</t>
        </is>
      </c>
      <c r="Q343" s="25" t="inlineStr">
        <is>
          <t>08225801</t>
        </is>
      </c>
      <c r="R343" s="78" t="n">
        <v>42370</v>
      </c>
    </row>
    <row r="344">
      <c r="A344" t="inlineStr">
        <is>
          <t>or item code =</t>
        </is>
      </c>
      <c r="B344" s="25" t="inlineStr">
        <is>
          <t>64759</t>
        </is>
      </c>
      <c r="C344" s="25" t="inlineStr">
        <is>
          <t>CIROC RED BERRY FLAVORED VODKA SPECIALTY</t>
        </is>
      </c>
      <c r="D344" s="25" t="inlineStr">
        <is>
          <t>200ml</t>
        </is>
      </c>
      <c r="E344" s="27" t="n">
        <v>28</v>
      </c>
      <c r="F344" s="27" t="n">
        <v>22</v>
      </c>
      <c r="G344" s="27" t="n">
        <v>24</v>
      </c>
      <c r="H344" s="28" t="n">
        <v>175.81</v>
      </c>
      <c r="I344" s="28" t="n">
        <v>0</v>
      </c>
      <c r="J344" s="94" t="inlineStr">
        <is>
          <t>False</t>
        </is>
      </c>
      <c r="K344" s="28" t="n">
        <v>0</v>
      </c>
      <c r="L344" s="25" t="inlineStr">
        <is>
          <t>VODKA</t>
        </is>
      </c>
      <c r="M344" s="25" t="inlineStr">
        <is>
          <t>DIAGEO AMERICAS INC</t>
        </is>
      </c>
      <c r="N344" s="25" t="inlineStr">
        <is>
          <t>040010-SOUTHERN GLAZERS WINE AND SPIRITS OF MISSISSIPPI LLC</t>
        </is>
      </c>
      <c r="O344" s="25" t="n"/>
      <c r="P344" s="25" t="inlineStr">
        <is>
          <t>10088076177809</t>
        </is>
      </c>
      <c r="Q344" s="25" t="inlineStr">
        <is>
          <t>0088076177802</t>
        </is>
      </c>
      <c r="R344" s="78" t="n">
        <v>42370</v>
      </c>
    </row>
    <row r="345">
      <c r="A345" t="inlineStr">
        <is>
          <t>or item code =</t>
        </is>
      </c>
      <c r="B345" s="25" t="inlineStr">
        <is>
          <t>64767</t>
        </is>
      </c>
      <c r="C345" s="25" t="inlineStr">
        <is>
          <t>CIROC RED BERRY FLAVORED VODKA SPECIALTY</t>
        </is>
      </c>
      <c r="D345" s="25" t="inlineStr">
        <is>
          <t>1.75L</t>
        </is>
      </c>
      <c r="E345" s="27" t="n">
        <v>4</v>
      </c>
      <c r="F345" s="27" t="n">
        <v>8</v>
      </c>
      <c r="G345" s="27" t="n">
        <v>6</v>
      </c>
      <c r="H345" s="28" t="n">
        <v>310.29</v>
      </c>
      <c r="I345" s="28" t="n">
        <v>0</v>
      </c>
      <c r="J345" s="94" t="inlineStr">
        <is>
          <t>False</t>
        </is>
      </c>
      <c r="K345" s="28" t="n">
        <v>0</v>
      </c>
      <c r="L345" s="25" t="inlineStr">
        <is>
          <t>VODKA</t>
        </is>
      </c>
      <c r="M345" s="25" t="inlineStr">
        <is>
          <t>DIAGEO AMERICAS INC</t>
        </is>
      </c>
      <c r="N345" s="25" t="inlineStr">
        <is>
          <t>040010-SOUTHERN GLAZERS WINE AND SPIRITS OF MISSISSIPPI LLC</t>
        </is>
      </c>
      <c r="O345" s="25" t="n"/>
      <c r="P345" s="25" t="inlineStr">
        <is>
          <t>10088076175072</t>
        </is>
      </c>
      <c r="Q345" s="25" t="inlineStr">
        <is>
          <t>0088076175075</t>
        </is>
      </c>
      <c r="R345" s="78" t="n">
        <v>42370</v>
      </c>
    </row>
    <row r="346">
      <c r="A346" t="inlineStr">
        <is>
          <t>or item code =</t>
        </is>
      </c>
      <c r="B346" s="25" t="inlineStr">
        <is>
          <t>36871</t>
        </is>
      </c>
      <c r="C346" s="25" t="inlineStr">
        <is>
          <t>CIROC SNAP FROST VODKA</t>
        </is>
      </c>
      <c r="D346" s="25" t="inlineStr">
        <is>
          <t>750ml</t>
        </is>
      </c>
      <c r="E346" s="27" t="n">
        <v>1</v>
      </c>
      <c r="F346" s="27" t="n">
        <v>36</v>
      </c>
      <c r="G346" s="27" t="n">
        <v>12</v>
      </c>
      <c r="H346" s="28" t="n">
        <v>300.98</v>
      </c>
      <c r="I346" s="28" t="n">
        <v>0</v>
      </c>
      <c r="J346" s="94" t="inlineStr">
        <is>
          <t>False</t>
        </is>
      </c>
      <c r="K346" s="28" t="n">
        <v>0</v>
      </c>
      <c r="L346" s="25" t="inlineStr">
        <is>
          <t>VODKA</t>
        </is>
      </c>
      <c r="M346" s="25" t="inlineStr">
        <is>
          <t>DIAGEO AMERICAS INC</t>
        </is>
      </c>
      <c r="N346" s="25" t="inlineStr">
        <is>
          <t>040010-SOUTHERN GLAZERS WINE AND SPIRITS OF MISSISSIPPI LLC</t>
        </is>
      </c>
      <c r="O346" s="25" t="n"/>
      <c r="P346" s="25" t="inlineStr">
        <is>
          <t>00088076178069</t>
        </is>
      </c>
      <c r="Q346" s="25" t="inlineStr">
        <is>
          <t>0088076161863</t>
        </is>
      </c>
      <c r="R346" s="78" t="n">
        <v>42370</v>
      </c>
    </row>
    <row r="347">
      <c r="A347" t="inlineStr">
        <is>
          <t>or item code =</t>
        </is>
      </c>
      <c r="B347" s="25" t="inlineStr">
        <is>
          <t>34194</t>
        </is>
      </c>
      <c r="C347" s="25" t="inlineStr">
        <is>
          <t>CIROC SNAP FROST VODKA</t>
        </is>
      </c>
      <c r="D347" s="25" t="inlineStr">
        <is>
          <t>50ml</t>
        </is>
      </c>
      <c r="E347" s="27" t="n">
        <v>1</v>
      </c>
      <c r="F347" s="27" t="n">
        <v>8</v>
      </c>
      <c r="G347" s="27" t="n">
        <v>60</v>
      </c>
      <c r="H347" s="28" t="n">
        <v>144.19</v>
      </c>
      <c r="I347" s="28" t="n">
        <v>0</v>
      </c>
      <c r="J347" s="94" t="inlineStr">
        <is>
          <t>False</t>
        </is>
      </c>
      <c r="K347" s="28" t="n">
        <v>0</v>
      </c>
      <c r="L347" s="25" t="inlineStr">
        <is>
          <t>VODKA</t>
        </is>
      </c>
      <c r="M347" s="25" t="inlineStr">
        <is>
          <t>DIAGEO AMERICAS INC</t>
        </is>
      </c>
      <c r="N347" s="25" t="inlineStr">
        <is>
          <t>040010-SOUTHERN GLAZERS WINE AND SPIRITS OF MISSISSIPPI LLC</t>
        </is>
      </c>
      <c r="O347" s="25" t="n"/>
      <c r="P347" s="25" t="inlineStr">
        <is>
          <t>00088076168398</t>
        </is>
      </c>
      <c r="Q347" s="25" t="inlineStr">
        <is>
          <t>08215309</t>
        </is>
      </c>
      <c r="R347" s="78" t="n">
        <v>42370</v>
      </c>
    </row>
    <row r="348">
      <c r="A348" t="inlineStr">
        <is>
          <t>or item code =</t>
        </is>
      </c>
      <c r="B348" s="25" t="inlineStr">
        <is>
          <t>34201</t>
        </is>
      </c>
      <c r="C348" s="25" t="inlineStr">
        <is>
          <t>CIROC SNAP FROST VODKA</t>
        </is>
      </c>
      <c r="D348" s="25" t="inlineStr">
        <is>
          <t>1.75L</t>
        </is>
      </c>
      <c r="E348" s="27" t="n">
        <v>46</v>
      </c>
      <c r="F348" s="27" t="n">
        <v>22</v>
      </c>
      <c r="G348" s="27" t="n">
        <v>6</v>
      </c>
      <c r="H348" s="28" t="n">
        <v>310.29</v>
      </c>
      <c r="I348" s="28" t="n">
        <v>0</v>
      </c>
      <c r="J348" s="94" t="inlineStr">
        <is>
          <t>False</t>
        </is>
      </c>
      <c r="K348" s="28" t="n">
        <v>0</v>
      </c>
      <c r="L348" s="25" t="inlineStr">
        <is>
          <t>VODKA</t>
        </is>
      </c>
      <c r="M348" s="25" t="inlineStr">
        <is>
          <t>DIAGEO AMERICAS INC</t>
        </is>
      </c>
      <c r="N348" s="25" t="inlineStr">
        <is>
          <t>040010-SOUTHERN GLAZERS WINE AND SPIRITS OF MISSISSIPPI LLC</t>
        </is>
      </c>
      <c r="O348" s="25" t="n"/>
      <c r="P348" s="25" t="inlineStr">
        <is>
          <t>10088076162645</t>
        </is>
      </c>
      <c r="Q348" s="25" t="inlineStr">
        <is>
          <t>0088076162648</t>
        </is>
      </c>
      <c r="R348" s="78" t="n">
        <v>42370</v>
      </c>
    </row>
    <row r="349">
      <c r="A349" t="inlineStr">
        <is>
          <t>or item code =</t>
        </is>
      </c>
      <c r="B349" s="25" t="inlineStr">
        <is>
          <t>34164</t>
        </is>
      </c>
      <c r="C349" s="25" t="inlineStr">
        <is>
          <t>CIROC SNAP FROST VODKA</t>
        </is>
      </c>
      <c r="D349" s="25" t="inlineStr">
        <is>
          <t>200ml</t>
        </is>
      </c>
      <c r="E349" s="27" t="n">
        <v>23</v>
      </c>
      <c r="F349" s="27" t="n">
        <v>45</v>
      </c>
      <c r="G349" s="27" t="n">
        <v>24</v>
      </c>
      <c r="H349" s="28" t="n">
        <v>175.81</v>
      </c>
      <c r="I349" s="28" t="n">
        <v>0</v>
      </c>
      <c r="J349" s="94" t="inlineStr">
        <is>
          <t>False</t>
        </is>
      </c>
      <c r="K349" s="28" t="n">
        <v>0</v>
      </c>
      <c r="L349" s="25" t="inlineStr">
        <is>
          <t>VODKA</t>
        </is>
      </c>
      <c r="M349" s="25" t="inlineStr">
        <is>
          <t>DIAGEO AMERICAS INC</t>
        </is>
      </c>
      <c r="N349" s="25" t="inlineStr">
        <is>
          <t>040010-SOUTHERN GLAZERS WINE AND SPIRITS OF MISSISSIPPI LLC</t>
        </is>
      </c>
      <c r="O349" s="25" t="n"/>
      <c r="P349" s="25" t="inlineStr">
        <is>
          <t>10088076173771</t>
        </is>
      </c>
      <c r="Q349" s="25" t="inlineStr">
        <is>
          <t>0088076173774</t>
        </is>
      </c>
      <c r="R349" s="78" t="n">
        <v>42370</v>
      </c>
    </row>
    <row r="350">
      <c r="A350" t="inlineStr">
        <is>
          <t>or item code =</t>
        </is>
      </c>
      <c r="B350" s="25" t="inlineStr">
        <is>
          <t>34197</t>
        </is>
      </c>
      <c r="C350" s="25" t="inlineStr">
        <is>
          <t>CIROC SNAP FROST VODKA</t>
        </is>
      </c>
      <c r="D350" s="25" t="inlineStr">
        <is>
          <t>375ml</t>
        </is>
      </c>
      <c r="E350" s="27" t="n">
        <v>85</v>
      </c>
      <c r="F350" s="27" t="n">
        <v>57</v>
      </c>
      <c r="G350" s="27" t="n">
        <v>12</v>
      </c>
      <c r="H350" s="28" t="n">
        <v>159.04</v>
      </c>
      <c r="I350" s="28" t="n">
        <v>0</v>
      </c>
      <c r="J350" s="94" t="inlineStr">
        <is>
          <t>False</t>
        </is>
      </c>
      <c r="K350" s="28" t="n">
        <v>0</v>
      </c>
      <c r="L350" s="25" t="inlineStr">
        <is>
          <t>VODKA</t>
        </is>
      </c>
      <c r="M350" s="25" t="inlineStr">
        <is>
          <t>DIAGEO AMERICAS INC</t>
        </is>
      </c>
      <c r="N350" s="25" t="inlineStr">
        <is>
          <t>040010-SOUTHERN GLAZERS WINE AND SPIRITS OF MISSISSIPPI LLC</t>
        </is>
      </c>
      <c r="O350" s="25" t="n"/>
      <c r="P350" s="25" t="inlineStr">
        <is>
          <t>10088076162652</t>
        </is>
      </c>
      <c r="Q350" s="25" t="inlineStr">
        <is>
          <t>0088076162655</t>
        </is>
      </c>
      <c r="R350" s="78" t="n">
        <v>42370</v>
      </c>
    </row>
    <row r="351">
      <c r="A351" t="inlineStr">
        <is>
          <t>or item code =</t>
        </is>
      </c>
      <c r="B351" s="25" t="inlineStr">
        <is>
          <t>64389</t>
        </is>
      </c>
      <c r="C351" s="25" t="inlineStr">
        <is>
          <t>CIROC SUMMER CITRUS FLAVORED VOKDA SPECIALTY</t>
        </is>
      </c>
      <c r="D351" s="25" t="inlineStr">
        <is>
          <t>750ml</t>
        </is>
      </c>
      <c r="E351" s="27" t="n">
        <v>37</v>
      </c>
      <c r="F351" s="27" t="n">
        <v>33</v>
      </c>
      <c r="G351" s="27" t="n">
        <v>12</v>
      </c>
      <c r="H351" s="28" t="n">
        <v>300.98</v>
      </c>
      <c r="I351" s="28" t="n">
        <v>0</v>
      </c>
      <c r="J351" s="94" t="inlineStr">
        <is>
          <t>False</t>
        </is>
      </c>
      <c r="K351" s="28" t="n">
        <v>0</v>
      </c>
      <c r="L351" s="25" t="inlineStr">
        <is>
          <t>VODKA</t>
        </is>
      </c>
      <c r="M351" s="25" t="inlineStr">
        <is>
          <t>DIAGEO AMERICAS INC</t>
        </is>
      </c>
      <c r="N351" s="25" t="inlineStr">
        <is>
          <t>040010-SOUTHERN GLAZERS WINE AND SPIRITS OF MISSISSIPPI LLC</t>
        </is>
      </c>
      <c r="O351" s="25" t="n"/>
      <c r="P351" s="25" t="inlineStr">
        <is>
          <t>10088076185392</t>
        </is>
      </c>
      <c r="Q351" s="25" t="inlineStr">
        <is>
          <t>088076185395</t>
        </is>
      </c>
      <c r="R351" s="78" t="n">
        <v>44317</v>
      </c>
    </row>
    <row r="352">
      <c r="A352" t="inlineStr">
        <is>
          <t>or item code =</t>
        </is>
      </c>
      <c r="B352" s="25" t="inlineStr">
        <is>
          <t>64328</t>
        </is>
      </c>
      <c r="C352" s="25" t="inlineStr">
        <is>
          <t>CIROC SUMMER WATERMELON FLAVORED VODKA DSS</t>
        </is>
      </c>
      <c r="D352" s="25" t="inlineStr">
        <is>
          <t>375ml</t>
        </is>
      </c>
      <c r="E352" s="27" t="n">
        <v>9</v>
      </c>
      <c r="F352" s="27" t="n">
        <v>37</v>
      </c>
      <c r="G352" s="27" t="n">
        <v>12</v>
      </c>
      <c r="H352" s="28" t="n">
        <v>159.04</v>
      </c>
      <c r="I352" s="28" t="n">
        <v>0</v>
      </c>
      <c r="J352" s="94" t="inlineStr">
        <is>
          <t>False</t>
        </is>
      </c>
      <c r="K352" s="28" t="n">
        <v>0</v>
      </c>
      <c r="L352" s="25" t="inlineStr">
        <is>
          <t>VODKA</t>
        </is>
      </c>
      <c r="M352" s="25" t="inlineStr">
        <is>
          <t>DIAGEO AMERICAS INC</t>
        </is>
      </c>
      <c r="N352" s="25" t="inlineStr">
        <is>
          <t>040010-SOUTHERN GLAZERS WINE AND SPIRITS OF MISSISSIPPI LLC</t>
        </is>
      </c>
      <c r="O352" s="25" t="n"/>
      <c r="P352" s="25" t="inlineStr">
        <is>
          <t>10088076185460</t>
        </is>
      </c>
      <c r="Q352" s="25" t="inlineStr">
        <is>
          <t>088076185463</t>
        </is>
      </c>
      <c r="R352" s="78" t="n">
        <v>44317</v>
      </c>
    </row>
    <row r="353">
      <c r="A353" t="inlineStr">
        <is>
          <t>or item code =</t>
        </is>
      </c>
      <c r="B353" s="25" t="inlineStr">
        <is>
          <t>64418</t>
        </is>
      </c>
      <c r="C353" s="25" t="inlineStr">
        <is>
          <t>CIROC SUMMER WATERMELON FLAVORED VODKA DSS</t>
        </is>
      </c>
      <c r="D353" s="25" t="inlineStr">
        <is>
          <t>750ml</t>
        </is>
      </c>
      <c r="E353" s="27" t="n">
        <v>132</v>
      </c>
      <c r="F353" s="27" t="n">
        <v>40</v>
      </c>
      <c r="G353" s="27" t="n">
        <v>12</v>
      </c>
      <c r="H353" s="28" t="n">
        <v>300.98</v>
      </c>
      <c r="I353" s="28" t="n">
        <v>0</v>
      </c>
      <c r="J353" s="94" t="inlineStr">
        <is>
          <t>False</t>
        </is>
      </c>
      <c r="K353" s="28" t="n">
        <v>0</v>
      </c>
      <c r="L353" s="25" t="inlineStr">
        <is>
          <t>VODKA</t>
        </is>
      </c>
      <c r="M353" s="25" t="inlineStr">
        <is>
          <t>DIAGEO AMERICAS INC</t>
        </is>
      </c>
      <c r="N353" s="25" t="inlineStr">
        <is>
          <t>040010-SOUTHERN GLAZERS WINE AND SPIRITS OF MISSISSIPPI LLC</t>
        </is>
      </c>
      <c r="O353" s="25" t="n"/>
      <c r="P353" s="25" t="inlineStr">
        <is>
          <t>10088076183725</t>
        </is>
      </c>
      <c r="Q353" s="25" t="inlineStr">
        <is>
          <t>088076183728</t>
        </is>
      </c>
      <c r="R353" s="78" t="n">
        <v>43857</v>
      </c>
    </row>
    <row r="354">
      <c r="A354" t="inlineStr">
        <is>
          <t>or item code =</t>
        </is>
      </c>
      <c r="B354" s="25" t="inlineStr">
        <is>
          <t>51109</t>
        </is>
      </c>
      <c r="C354" s="25" t="inlineStr">
        <is>
          <t>CIROC VS FRENCH BRANDY</t>
        </is>
      </c>
      <c r="D354" s="25" t="inlineStr">
        <is>
          <t>1L</t>
        </is>
      </c>
      <c r="E354" s="27" t="n">
        <v>84</v>
      </c>
      <c r="F354" s="27" t="n">
        <v>60</v>
      </c>
      <c r="G354" s="27" t="n">
        <v>12</v>
      </c>
      <c r="H354" s="28" t="n">
        <v>343.92</v>
      </c>
      <c r="I354" s="28" t="n">
        <v>0</v>
      </c>
      <c r="J354" s="94" t="inlineStr">
        <is>
          <t>False</t>
        </is>
      </c>
      <c r="K354" s="28" t="n">
        <v>0</v>
      </c>
      <c r="L354" s="25" t="inlineStr">
        <is>
          <t>VODKA</t>
        </is>
      </c>
      <c r="M354" s="25" t="inlineStr">
        <is>
          <t>DIAGEO AMERICAS INC</t>
        </is>
      </c>
      <c r="N354" s="25" t="inlineStr">
        <is>
          <t>040010-SOUTHERN GLAZERS WINE AND SPIRITS OF MISSISSIPPI LLC</t>
        </is>
      </c>
      <c r="O354" s="25" t="n"/>
      <c r="P354" s="25" t="inlineStr">
        <is>
          <t>10082000005763</t>
        </is>
      </c>
      <c r="Q354" s="25" t="inlineStr">
        <is>
          <t>08257606</t>
        </is>
      </c>
      <c r="R354" s="78" t="n">
        <v>42370</v>
      </c>
    </row>
    <row r="355">
      <c r="A355" t="inlineStr">
        <is>
          <t>or item code =</t>
        </is>
      </c>
      <c r="B355" s="25" t="inlineStr">
        <is>
          <t>51107</t>
        </is>
      </c>
      <c r="C355" s="25" t="inlineStr">
        <is>
          <t>CIROC VS FRENCH BRANDY</t>
        </is>
      </c>
      <c r="D355" s="25" t="inlineStr">
        <is>
          <t>375ml</t>
        </is>
      </c>
      <c r="E355" s="27" t="n">
        <v>53</v>
      </c>
      <c r="F355" s="27" t="n">
        <v>93</v>
      </c>
      <c r="G355" s="27" t="n">
        <v>12</v>
      </c>
      <c r="H355" s="28" t="n">
        <v>187.07</v>
      </c>
      <c r="I355" s="28" t="n">
        <v>0</v>
      </c>
      <c r="J355" s="94" t="inlineStr">
        <is>
          <t>False</t>
        </is>
      </c>
      <c r="K355" s="28" t="n">
        <v>0</v>
      </c>
      <c r="L355" s="25" t="inlineStr">
        <is>
          <t>BRANDY</t>
        </is>
      </c>
      <c r="M355" s="25" t="inlineStr">
        <is>
          <t>DIAGEO AMERICAS INC</t>
        </is>
      </c>
      <c r="N355" s="25" t="inlineStr">
        <is>
          <t>040010-SOUTHERN GLAZERS WINE AND SPIRITS OF MISSISSIPPI LLC</t>
        </is>
      </c>
      <c r="O355" s="25" t="n"/>
      <c r="P355" s="25" t="inlineStr">
        <is>
          <t>10082000005749</t>
        </is>
      </c>
      <c r="Q355" s="25" t="inlineStr">
        <is>
          <t>08257402</t>
        </is>
      </c>
      <c r="R355" s="78" t="n">
        <v>44062</v>
      </c>
    </row>
    <row r="356">
      <c r="A356" t="inlineStr">
        <is>
          <t>or item code =</t>
        </is>
      </c>
      <c r="B356" s="25" t="inlineStr">
        <is>
          <t>6998</t>
        </is>
      </c>
      <c r="C356" s="25" t="inlineStr">
        <is>
          <t>CLAN MCGREGOR</t>
        </is>
      </c>
      <c r="D356" s="25" t="inlineStr">
        <is>
          <t>1.75L</t>
        </is>
      </c>
      <c r="E356" s="27" t="n">
        <v>44</v>
      </c>
      <c r="F356" s="27" t="n">
        <v>78</v>
      </c>
      <c r="G356" s="27" t="n">
        <v>6</v>
      </c>
      <c r="H356" s="28" t="n">
        <v>120.78</v>
      </c>
      <c r="I356" s="28" t="n">
        <v>0</v>
      </c>
      <c r="J356" s="94" t="inlineStr">
        <is>
          <t>False</t>
        </is>
      </c>
      <c r="K356" s="28" t="n">
        <v>0</v>
      </c>
      <c r="L356" s="25" t="inlineStr">
        <is>
          <t>WHISKY - SCOTCH</t>
        </is>
      </c>
      <c r="M356" s="25" t="inlineStr">
        <is>
          <t>WILLIAM GRANT &amp; SONS</t>
        </is>
      </c>
      <c r="N356" s="25" t="inlineStr">
        <is>
          <t>040002-RNDC-MAGNOLIA</t>
        </is>
      </c>
      <c r="O356" s="25" t="n"/>
      <c r="P356" s="25" t="inlineStr">
        <is>
          <t>10083664120267</t>
        </is>
      </c>
      <c r="Q356" s="25" t="inlineStr">
        <is>
          <t>0083664120260</t>
        </is>
      </c>
      <c r="R356" s="78" t="n">
        <v>42370</v>
      </c>
    </row>
    <row r="357">
      <c r="A357" t="inlineStr">
        <is>
          <t>or item code =</t>
        </is>
      </c>
      <c r="B357" s="25" t="inlineStr">
        <is>
          <t>549885</t>
        </is>
      </c>
      <c r="C357" s="25" t="inlineStr">
        <is>
          <t>CLOS DU BOIS CHARDONNAY NC BARREL FERM</t>
        </is>
      </c>
      <c r="D357" s="25" t="inlineStr">
        <is>
          <t>750ml</t>
        </is>
      </c>
      <c r="E357" s="27" t="n">
        <v>36</v>
      </c>
      <c r="F357" s="27" t="n">
        <v>75</v>
      </c>
      <c r="G357" s="27" t="n">
        <v>12</v>
      </c>
      <c r="H357" s="28" t="n">
        <v>115.63</v>
      </c>
      <c r="I357" s="28" t="n">
        <v>0</v>
      </c>
      <c r="J357" s="94" t="inlineStr">
        <is>
          <t>False</t>
        </is>
      </c>
      <c r="K357" s="28" t="n">
        <v>0</v>
      </c>
      <c r="L357" s="25" t="inlineStr">
        <is>
          <t>CHARDONNAY</t>
        </is>
      </c>
      <c r="M357" s="25" t="inlineStr">
        <is>
          <t>E &amp; J GALLO WINERY</t>
        </is>
      </c>
      <c r="N357" s="25" t="inlineStr">
        <is>
          <t>040012-GALLO WINES OF MISSISSIPPI</t>
        </is>
      </c>
      <c r="O357" s="25" t="n"/>
      <c r="P357" s="25" t="inlineStr">
        <is>
          <t>10087356510121</t>
        </is>
      </c>
      <c r="Q357" s="25" t="inlineStr">
        <is>
          <t>0087356510124</t>
        </is>
      </c>
      <c r="R357" s="78" t="n">
        <v>42370</v>
      </c>
    </row>
    <row r="358">
      <c r="A358" t="inlineStr">
        <is>
          <t>or item code =</t>
        </is>
      </c>
      <c r="B358" s="25" t="inlineStr">
        <is>
          <t>87370</t>
        </is>
      </c>
      <c r="C358" s="25" t="inlineStr">
        <is>
          <t>CODIGO 1530 ROSA BLANCO TEQUILA</t>
        </is>
      </c>
      <c r="D358" s="25" t="inlineStr">
        <is>
          <t>750ml</t>
        </is>
      </c>
      <c r="E358" s="27" t="n">
        <v>29</v>
      </c>
      <c r="F358" s="27" t="n">
        <v>5</v>
      </c>
      <c r="G358" s="27" t="n">
        <v>6</v>
      </c>
      <c r="H358" s="28" t="n">
        <v>277.97</v>
      </c>
      <c r="I358" s="28" t="n">
        <v>0</v>
      </c>
      <c r="J358" s="94" t="inlineStr">
        <is>
          <t>False</t>
        </is>
      </c>
      <c r="K358" s="28" t="n">
        <v>0</v>
      </c>
      <c r="L358" s="25" t="inlineStr">
        <is>
          <t>TEQUILA</t>
        </is>
      </c>
      <c r="M358" s="25" t="inlineStr">
        <is>
          <t>PARK STREET IMPORTS</t>
        </is>
      </c>
      <c r="N358" s="25" t="inlineStr">
        <is>
          <t>040010-SOUTHERN GLAZERS WINE AND SPIRITS OF MISSISSIPPI LLC</t>
        </is>
      </c>
      <c r="O358" s="25" t="n"/>
      <c r="P358" s="25" t="n"/>
      <c r="Q358" s="25" t="inlineStr">
        <is>
          <t>0859061006113</t>
        </is>
      </c>
      <c r="R358" s="78" t="n">
        <v>43488</v>
      </c>
    </row>
    <row r="359">
      <c r="A359" t="inlineStr">
        <is>
          <t>or item code =</t>
        </is>
      </c>
      <c r="B359" s="25" t="inlineStr">
        <is>
          <t>64776</t>
        </is>
      </c>
      <c r="C359" s="25" t="inlineStr">
        <is>
          <t>COINTREAU</t>
        </is>
      </c>
      <c r="D359" s="25" t="inlineStr">
        <is>
          <t>750ml</t>
        </is>
      </c>
      <c r="E359" s="27" t="n">
        <v>0</v>
      </c>
      <c r="F359" s="27" t="n">
        <v>28</v>
      </c>
      <c r="G359" s="27" t="n">
        <v>12</v>
      </c>
      <c r="H359" s="28" t="n">
        <v>369.15</v>
      </c>
      <c r="I359" s="28" t="n">
        <v>0</v>
      </c>
      <c r="J359" s="94" t="inlineStr">
        <is>
          <t>False</t>
        </is>
      </c>
      <c r="K359" s="28" t="n">
        <v>0</v>
      </c>
      <c r="L359" s="25" t="inlineStr">
        <is>
          <t>LIQUEURS AND CORDIALS</t>
        </is>
      </c>
      <c r="M359" s="25" t="inlineStr">
        <is>
          <t>REMY COINTREAU USA INC</t>
        </is>
      </c>
      <c r="N359" s="25" t="inlineStr">
        <is>
          <t>040002-RNDC-MAGNOLIA</t>
        </is>
      </c>
      <c r="O359" s="25" t="n"/>
      <c r="P359" s="25" t="inlineStr">
        <is>
          <t>10087236565104</t>
        </is>
      </c>
      <c r="Q359" s="25" t="inlineStr">
        <is>
          <t>0087236565107</t>
        </is>
      </c>
      <c r="R359" s="78" t="n">
        <v>42370</v>
      </c>
    </row>
    <row r="360">
      <c r="A360" t="inlineStr">
        <is>
          <t>or item code =</t>
        </is>
      </c>
      <c r="B360" s="25" t="inlineStr">
        <is>
          <t>407180</t>
        </is>
      </c>
      <c r="C360" s="25" t="inlineStr">
        <is>
          <t>CONCHA Y TORO FRONTERA MALBEC MENDOZA</t>
        </is>
      </c>
      <c r="D360" s="25" t="inlineStr">
        <is>
          <t>1.5L</t>
        </is>
      </c>
      <c r="E360" s="27" t="n">
        <v>0</v>
      </c>
      <c r="F360" s="27" t="n">
        <v>18</v>
      </c>
      <c r="G360" s="27" t="n">
        <v>6</v>
      </c>
      <c r="H360" s="28" t="n">
        <v>51.17</v>
      </c>
      <c r="I360" s="28" t="n">
        <v>0</v>
      </c>
      <c r="J360" s="94" t="inlineStr">
        <is>
          <t>False</t>
        </is>
      </c>
      <c r="K360" s="28" t="n">
        <v>0</v>
      </c>
      <c r="L360" s="25" t="inlineStr">
        <is>
          <t>MALBEC</t>
        </is>
      </c>
      <c r="M360" s="25" t="inlineStr">
        <is>
          <t>FETZER VINEYARDS</t>
        </is>
      </c>
      <c r="N360" s="25" t="inlineStr">
        <is>
          <t>040003-RNDC-VINTAGE</t>
        </is>
      </c>
      <c r="O360" s="25" t="n"/>
      <c r="P360" s="25" t="inlineStr">
        <is>
          <t>10082734467028</t>
        </is>
      </c>
      <c r="Q360" s="25" t="inlineStr">
        <is>
          <t>0082734467021</t>
        </is>
      </c>
      <c r="R360" s="78" t="n">
        <v>42370</v>
      </c>
    </row>
    <row r="361">
      <c r="A361" t="inlineStr">
        <is>
          <t>or item code =</t>
        </is>
      </c>
      <c r="B361" s="25" t="inlineStr">
        <is>
          <t>47766</t>
        </is>
      </c>
      <c r="C361" s="25" t="inlineStr">
        <is>
          <t>CONJURE COGNAC</t>
        </is>
      </c>
      <c r="D361" s="25" t="inlineStr">
        <is>
          <t>750ml</t>
        </is>
      </c>
      <c r="E361" s="27" t="n">
        <v>108</v>
      </c>
      <c r="F361" s="27" t="n">
        <v>18</v>
      </c>
      <c r="G361" s="27" t="n">
        <v>6</v>
      </c>
      <c r="H361" s="28" t="n">
        <v>167.3</v>
      </c>
      <c r="I361" s="28" t="n">
        <v>0</v>
      </c>
      <c r="J361" s="94" t="inlineStr">
        <is>
          <t>False</t>
        </is>
      </c>
      <c r="K361" s="28" t="n">
        <v>0</v>
      </c>
      <c r="L361" s="25" t="inlineStr">
        <is>
          <t>COGNAC, ARMAGNAC</t>
        </is>
      </c>
      <c r="M361" s="25" t="inlineStr">
        <is>
          <t>MHW LTD</t>
        </is>
      </c>
      <c r="N361" s="25" t="inlineStr">
        <is>
          <t>040010-SOUTHERN GLAZERS WINE AND SPIRITS OF MISSISSIPPI LLC</t>
        </is>
      </c>
      <c r="O361" s="25" t="n"/>
      <c r="P361" s="25" t="inlineStr">
        <is>
          <t>10089708450703</t>
        </is>
      </c>
      <c r="Q361" s="25" t="inlineStr">
        <is>
          <t>0081380701015</t>
        </is>
      </c>
      <c r="R361" s="78" t="n">
        <v>44593</v>
      </c>
    </row>
    <row r="362">
      <c r="A362" t="inlineStr">
        <is>
          <t>or item code =</t>
        </is>
      </c>
      <c r="B362" s="25" t="inlineStr">
        <is>
          <t>458530</t>
        </is>
      </c>
      <c r="C362" s="25" t="inlineStr">
        <is>
          <t>CONUNDRUM RED BLEND</t>
        </is>
      </c>
      <c r="D362" s="25" t="inlineStr">
        <is>
          <t>750ml</t>
        </is>
      </c>
      <c r="E362" s="27" t="n">
        <v>60</v>
      </c>
      <c r="F362" s="27" t="n">
        <v>63</v>
      </c>
      <c r="G362" s="27" t="n">
        <v>12</v>
      </c>
      <c r="H362" s="28" t="n">
        <v>182.18</v>
      </c>
      <c r="I362" s="28" t="n">
        <v>0</v>
      </c>
      <c r="J362" s="94" t="inlineStr">
        <is>
          <t>False</t>
        </is>
      </c>
      <c r="K362" s="28" t="n">
        <v>0</v>
      </c>
      <c r="L362" s="25" t="inlineStr">
        <is>
          <t>RED WINE</t>
        </is>
      </c>
      <c r="M362" s="25" t="inlineStr">
        <is>
          <t>WAGNER FAMILY OF WINE</t>
        </is>
      </c>
      <c r="N362" s="25" t="inlineStr">
        <is>
          <t>040003-RNDC-VINTAGE</t>
        </is>
      </c>
      <c r="O362" s="25" t="n"/>
      <c r="P362" s="25" t="inlineStr">
        <is>
          <t>20017224760102</t>
        </is>
      </c>
      <c r="Q362" s="25" t="inlineStr">
        <is>
          <t>017224760122</t>
        </is>
      </c>
      <c r="R362" s="78" t="n">
        <v>42370</v>
      </c>
    </row>
    <row r="363">
      <c r="A363" t="inlineStr">
        <is>
          <t>or item code =</t>
        </is>
      </c>
      <c r="B363" s="25" t="inlineStr">
        <is>
          <t>744200</t>
        </is>
      </c>
      <c r="C363" s="25" t="inlineStr">
        <is>
          <t>COOK'S BRUT CHAMPAGNE</t>
        </is>
      </c>
      <c r="D363" s="25" t="inlineStr">
        <is>
          <t>1.5L</t>
        </is>
      </c>
      <c r="E363" s="27" t="n">
        <v>272</v>
      </c>
      <c r="F363" s="27" t="n">
        <v>79</v>
      </c>
      <c r="G363" s="27" t="n">
        <v>6</v>
      </c>
      <c r="H363" s="28" t="n">
        <v>59.95</v>
      </c>
      <c r="I363" s="28" t="n">
        <v>0</v>
      </c>
      <c r="J363" s="94" t="inlineStr">
        <is>
          <t>False</t>
        </is>
      </c>
      <c r="K363" s="28" t="n">
        <v>0</v>
      </c>
      <c r="L363" s="25" t="inlineStr">
        <is>
          <t>SPRKLNG, CHMPGNE, ETC.</t>
        </is>
      </c>
      <c r="M363" s="25" t="inlineStr">
        <is>
          <t>CONSTELLATION BRANDS INC</t>
        </is>
      </c>
      <c r="N363" s="25" t="inlineStr">
        <is>
          <t>040010-SOUTHERN GLAZERS WINE AND SPIRITS OF MISSISSIPPI LLC</t>
        </is>
      </c>
      <c r="O363" s="25" t="n"/>
      <c r="P363" s="25" t="inlineStr">
        <is>
          <t>00008380404315</t>
        </is>
      </c>
      <c r="Q363" s="25" t="inlineStr">
        <is>
          <t>0083804043152</t>
        </is>
      </c>
      <c r="R363" s="78" t="n">
        <v>42370</v>
      </c>
    </row>
    <row r="364">
      <c r="A364" t="inlineStr">
        <is>
          <t>or item code =</t>
        </is>
      </c>
      <c r="B364" s="25" t="inlineStr">
        <is>
          <t>744205</t>
        </is>
      </c>
      <c r="C364" s="25" t="inlineStr">
        <is>
          <t>COOK'S BRUT CHAMPAGNE</t>
        </is>
      </c>
      <c r="D364" s="25" t="inlineStr">
        <is>
          <t>750ml</t>
        </is>
      </c>
      <c r="E364" s="27" t="n">
        <v>0</v>
      </c>
      <c r="F364" s="27" t="n">
        <v>70</v>
      </c>
      <c r="G364" s="27" t="n">
        <v>12</v>
      </c>
      <c r="H364" s="28" t="n">
        <v>85.63</v>
      </c>
      <c r="I364" s="28" t="n">
        <v>0</v>
      </c>
      <c r="J364" s="94" t="inlineStr">
        <is>
          <t>False</t>
        </is>
      </c>
      <c r="K364" s="28" t="n">
        <v>0</v>
      </c>
      <c r="L364" s="25" t="inlineStr">
        <is>
          <t>SPRKLNG, CHMPGNE, ETC.</t>
        </is>
      </c>
      <c r="M364" s="25" t="inlineStr">
        <is>
          <t>CONSTELLATION BRANDS INC</t>
        </is>
      </c>
      <c r="N364" s="25" t="inlineStr">
        <is>
          <t>040010-SOUTHERN GLAZERS WINE AND SPIRITS OF MISSISSIPPI LLC</t>
        </is>
      </c>
      <c r="O364" s="25" t="n"/>
      <c r="P364" s="25" t="inlineStr">
        <is>
          <t>30083804047212</t>
        </is>
      </c>
      <c r="Q364" s="25" t="inlineStr">
        <is>
          <t>0083804047211</t>
        </is>
      </c>
      <c r="R364" s="78" t="n">
        <v>42370</v>
      </c>
    </row>
    <row r="365">
      <c r="A365" t="inlineStr">
        <is>
          <t>or item code =</t>
        </is>
      </c>
      <c r="B365" s="25" t="inlineStr">
        <is>
          <t>744405</t>
        </is>
      </c>
      <c r="C365" s="25" t="inlineStr">
        <is>
          <t>COOK'S EXTRA DRY CHAMPAGNE</t>
        </is>
      </c>
      <c r="D365" s="25" t="inlineStr">
        <is>
          <t>187ml</t>
        </is>
      </c>
      <c r="E365" s="27" t="n">
        <v>0</v>
      </c>
      <c r="F365" s="27" t="n">
        <v>114</v>
      </c>
      <c r="G365" s="27" t="n">
        <v>24</v>
      </c>
      <c r="H365" s="28" t="n">
        <v>51.38</v>
      </c>
      <c r="I365" s="28" t="n">
        <v>0</v>
      </c>
      <c r="J365" s="94" t="inlineStr">
        <is>
          <t>False</t>
        </is>
      </c>
      <c r="K365" s="28" t="n">
        <v>0</v>
      </c>
      <c r="L365" s="25" t="inlineStr">
        <is>
          <t>SPRKLNG, CHMPGNE, ETC.</t>
        </is>
      </c>
      <c r="M365" s="25" t="inlineStr">
        <is>
          <t>CONSTELLATION BRANDS INC</t>
        </is>
      </c>
      <c r="N365" s="25" t="inlineStr">
        <is>
          <t>040010-SOUTHERN GLAZERS WINE AND SPIRITS OF MISSISSIPPI LLC</t>
        </is>
      </c>
      <c r="O365" s="25" t="n"/>
      <c r="P365" s="25" t="inlineStr">
        <is>
          <t>30083804074690</t>
        </is>
      </c>
      <c r="Q365" s="25" t="inlineStr">
        <is>
          <t>0083804074507</t>
        </is>
      </c>
      <c r="R365" s="78" t="n">
        <v>42370</v>
      </c>
    </row>
    <row r="366">
      <c r="A366" t="inlineStr">
        <is>
          <t>or item code =</t>
        </is>
      </c>
      <c r="B366" s="25" t="inlineStr">
        <is>
          <t>744400</t>
        </is>
      </c>
      <c r="C366" s="25" t="inlineStr">
        <is>
          <t>COOK'S EXTRA DRY CHAMPAGNE</t>
        </is>
      </c>
      <c r="D366" s="25" t="inlineStr">
        <is>
          <t>750ml</t>
        </is>
      </c>
      <c r="E366" s="27" t="n">
        <v>57</v>
      </c>
      <c r="F366" s="27" t="n">
        <v>132</v>
      </c>
      <c r="G366" s="27" t="n">
        <v>12</v>
      </c>
      <c r="H366" s="28" t="n">
        <v>85.63</v>
      </c>
      <c r="I366" s="28" t="n">
        <v>0</v>
      </c>
      <c r="J366" s="94" t="inlineStr">
        <is>
          <t>False</t>
        </is>
      </c>
      <c r="K366" s="28" t="n">
        <v>0</v>
      </c>
      <c r="L366" s="25" t="inlineStr">
        <is>
          <t>SPRKLNG, CHMPGNE, ETC.</t>
        </is>
      </c>
      <c r="M366" s="25" t="inlineStr">
        <is>
          <t>CONSTELLATION BRANDS INC</t>
        </is>
      </c>
      <c r="N366" s="25" t="inlineStr">
        <is>
          <t>040010-SOUTHERN GLAZERS WINE AND SPIRITS OF MISSISSIPPI LLC</t>
        </is>
      </c>
      <c r="O366" s="25" t="n"/>
      <c r="P366" s="25" t="inlineStr">
        <is>
          <t>30083804047236</t>
        </is>
      </c>
      <c r="Q366" s="25" t="inlineStr">
        <is>
          <t>0083804047235</t>
        </is>
      </c>
      <c r="R366" s="78" t="n">
        <v>42370</v>
      </c>
    </row>
    <row r="367">
      <c r="A367" t="inlineStr">
        <is>
          <t>or item code =</t>
        </is>
      </c>
      <c r="B367" s="25" t="inlineStr">
        <is>
          <t>769925</t>
        </is>
      </c>
      <c r="C367" s="25" t="inlineStr">
        <is>
          <t>COOK'S SPUMANTE</t>
        </is>
      </c>
      <c r="D367" s="25" t="inlineStr">
        <is>
          <t>750ml</t>
        </is>
      </c>
      <c r="E367" s="27" t="n">
        <v>63</v>
      </c>
      <c r="F367" s="27" t="n">
        <v>71</v>
      </c>
      <c r="G367" s="27" t="n">
        <v>12</v>
      </c>
      <c r="H367" s="28" t="n">
        <v>85.63</v>
      </c>
      <c r="I367" s="28" t="n">
        <v>0</v>
      </c>
      <c r="J367" s="94" t="inlineStr">
        <is>
          <t>False</t>
        </is>
      </c>
      <c r="K367" s="28" t="n">
        <v>0</v>
      </c>
      <c r="L367" s="25" t="inlineStr">
        <is>
          <t>SPRKLNG, CHMPGNE, ETC.</t>
        </is>
      </c>
      <c r="M367" s="25" t="inlineStr">
        <is>
          <t>CONSTELLATION BRANDS INC</t>
        </is>
      </c>
      <c r="N367" s="25" t="inlineStr">
        <is>
          <t>040010-SOUTHERN GLAZERS WINE AND SPIRITS OF MISSISSIPPI LLC</t>
        </is>
      </c>
      <c r="O367" s="25" t="n"/>
      <c r="P367" s="25" t="inlineStr">
        <is>
          <t>30083804047199</t>
        </is>
      </c>
      <c r="Q367" s="25" t="inlineStr">
        <is>
          <t>0083804047198</t>
        </is>
      </c>
      <c r="R367" s="78" t="n">
        <v>42370</v>
      </c>
    </row>
    <row r="368">
      <c r="A368" t="inlineStr">
        <is>
          <t>or item code =</t>
        </is>
      </c>
      <c r="B368" s="25" t="inlineStr">
        <is>
          <t>17517</t>
        </is>
      </c>
      <c r="C368" s="25" t="inlineStr">
        <is>
          <t>COOPERS' CRAFT KENTUCKY STRAIGHT BOURBON</t>
        </is>
      </c>
      <c r="D368" s="25" t="inlineStr">
        <is>
          <t>750ml</t>
        </is>
      </c>
      <c r="E368" s="27" t="n">
        <v>0</v>
      </c>
      <c r="F368" s="27" t="n">
        <v>16</v>
      </c>
      <c r="G368" s="27" t="n">
        <v>6</v>
      </c>
      <c r="H368" s="28" t="n">
        <v>111.61</v>
      </c>
      <c r="I368" s="28" t="n">
        <v>0</v>
      </c>
      <c r="J368" s="94" t="inlineStr">
        <is>
          <t>False</t>
        </is>
      </c>
      <c r="K368" s="28" t="n">
        <v>0</v>
      </c>
      <c r="L368" s="25" t="inlineStr">
        <is>
          <t>WHISKEY - STR BOURBON</t>
        </is>
      </c>
      <c r="M368" s="25" t="inlineStr">
        <is>
          <t>BROWN FORMAN CORP</t>
        </is>
      </c>
      <c r="N368" s="25" t="inlineStr">
        <is>
          <t>045041-UNITED JOHNSON BROTHERS OF MS</t>
        </is>
      </c>
      <c r="O368" s="25" t="n"/>
      <c r="P368" s="25" t="inlineStr">
        <is>
          <t>10081128102323</t>
        </is>
      </c>
      <c r="Q368" s="25" t="inlineStr">
        <is>
          <t>081128001131</t>
        </is>
      </c>
      <c r="R368" s="78" t="n">
        <v>43525</v>
      </c>
    </row>
    <row r="369">
      <c r="A369" t="inlineStr">
        <is>
          <t>or item code =</t>
        </is>
      </c>
      <c r="B369" s="25" t="inlineStr">
        <is>
          <t>469432</t>
        </is>
      </c>
      <c r="C369" s="25" t="inlineStr">
        <is>
          <t>COPPERIDGE CABERNET SAUVIGNON</t>
        </is>
      </c>
      <c r="D369" s="25" t="inlineStr">
        <is>
          <t>1.5L</t>
        </is>
      </c>
      <c r="E369" s="27" t="n">
        <v>84</v>
      </c>
      <c r="F369" s="27" t="n">
        <v>112</v>
      </c>
      <c r="G369" s="27" t="n">
        <v>6</v>
      </c>
      <c r="H369" s="28" t="n">
        <v>40.5</v>
      </c>
      <c r="I369" s="28" t="n">
        <v>0</v>
      </c>
      <c r="J369" s="94" t="inlineStr">
        <is>
          <t>False</t>
        </is>
      </c>
      <c r="K369" s="28" t="n">
        <v>0</v>
      </c>
      <c r="L369" s="25" t="inlineStr">
        <is>
          <t>CABERNET SAUVIGNON</t>
        </is>
      </c>
      <c r="M369" s="25" t="inlineStr">
        <is>
          <t>E &amp; J GALLO WINERY</t>
        </is>
      </c>
      <c r="N369" s="25" t="inlineStr">
        <is>
          <t>040012-GALLO WINES OF MISSISSIPPI</t>
        </is>
      </c>
      <c r="O369" s="25" t="n"/>
      <c r="P369" s="25" t="inlineStr">
        <is>
          <t>20085000004849</t>
        </is>
      </c>
      <c r="Q369" s="25" t="inlineStr">
        <is>
          <t>08548405</t>
        </is>
      </c>
      <c r="R369" s="78" t="n">
        <v>42370</v>
      </c>
    </row>
    <row r="370">
      <c r="A370" t="inlineStr">
        <is>
          <t>or item code =</t>
        </is>
      </c>
      <c r="B370" s="25" t="inlineStr">
        <is>
          <t>568832</t>
        </is>
      </c>
      <c r="C370" s="25" t="inlineStr">
        <is>
          <t>COPPERIDGE CHARDONNAY</t>
        </is>
      </c>
      <c r="D370" s="25" t="inlineStr">
        <is>
          <t>1.5L</t>
        </is>
      </c>
      <c r="E370" s="27" t="n">
        <v>125</v>
      </c>
      <c r="F370" s="27" t="n">
        <v>107</v>
      </c>
      <c r="G370" s="27" t="n">
        <v>6</v>
      </c>
      <c r="H370" s="28" t="n">
        <v>40.5</v>
      </c>
      <c r="I370" s="28" t="n">
        <v>0</v>
      </c>
      <c r="J370" s="94" t="inlineStr">
        <is>
          <t>False</t>
        </is>
      </c>
      <c r="K370" s="28" t="n">
        <v>0</v>
      </c>
      <c r="L370" s="25" t="inlineStr">
        <is>
          <t>CHARDONNAY</t>
        </is>
      </c>
      <c r="M370" s="25" t="inlineStr">
        <is>
          <t>E &amp; J GALLO WINERY</t>
        </is>
      </c>
      <c r="N370" s="25" t="inlineStr">
        <is>
          <t>040012-GALLO WINES OF MISSISSIPPI</t>
        </is>
      </c>
      <c r="O370" s="25" t="n"/>
      <c r="P370" s="25" t="inlineStr">
        <is>
          <t>20085000004788</t>
        </is>
      </c>
      <c r="Q370" s="25" t="inlineStr">
        <is>
          <t>08547804</t>
        </is>
      </c>
      <c r="R370" s="78" t="n">
        <v>42370</v>
      </c>
    </row>
    <row r="371">
      <c r="A371" t="inlineStr">
        <is>
          <t>or item code =</t>
        </is>
      </c>
      <c r="B371" s="25" t="inlineStr">
        <is>
          <t>656402</t>
        </is>
      </c>
      <c r="C371" s="25" t="inlineStr">
        <is>
          <t>COPPERIDGE WHITE ZINFANDEL</t>
        </is>
      </c>
      <c r="D371" s="25" t="inlineStr">
        <is>
          <t>1.5L</t>
        </is>
      </c>
      <c r="E371" s="27" t="n">
        <v>115</v>
      </c>
      <c r="F371" s="27" t="n">
        <v>71</v>
      </c>
      <c r="G371" s="27" t="n">
        <v>6</v>
      </c>
      <c r="H371" s="28" t="n">
        <v>40.5</v>
      </c>
      <c r="I371" s="28" t="n">
        <v>0</v>
      </c>
      <c r="J371" s="94" t="inlineStr">
        <is>
          <t>False</t>
        </is>
      </c>
      <c r="K371" s="28" t="n">
        <v>0</v>
      </c>
      <c r="L371" s="25" t="inlineStr">
        <is>
          <t>WHITE ZINFANDEL</t>
        </is>
      </c>
      <c r="M371" s="25" t="inlineStr">
        <is>
          <t>E &amp; J GALLO WINERY</t>
        </is>
      </c>
      <c r="N371" s="25" t="inlineStr">
        <is>
          <t>040012-GALLO WINES OF MISSISSIPPI</t>
        </is>
      </c>
      <c r="O371" s="25" t="n"/>
      <c r="P371" s="25" t="inlineStr">
        <is>
          <t>20085000006546</t>
        </is>
      </c>
      <c r="Q371" s="25" t="inlineStr">
        <is>
          <t>08565402</t>
        </is>
      </c>
      <c r="R371" s="78" t="n">
        <v>42370</v>
      </c>
    </row>
    <row r="372">
      <c r="A372" t="inlineStr">
        <is>
          <t>or item code =</t>
        </is>
      </c>
      <c r="B372" s="25" t="inlineStr">
        <is>
          <t>89242</t>
        </is>
      </c>
      <c r="C372" s="25" t="inlineStr">
        <is>
          <t>CORRALEJO REPOSADO GOLD TEQUILA</t>
        </is>
      </c>
      <c r="D372" s="25" t="inlineStr">
        <is>
          <t>750ml</t>
        </is>
      </c>
      <c r="E372" s="27" t="n">
        <v>3</v>
      </c>
      <c r="F372" s="27" t="n">
        <v>42</v>
      </c>
      <c r="G372" s="27" t="n">
        <v>6</v>
      </c>
      <c r="H372" s="28" t="n">
        <v>148.9</v>
      </c>
      <c r="I372" s="28" t="n">
        <v>0</v>
      </c>
      <c r="J372" s="94" t="inlineStr">
        <is>
          <t>False</t>
        </is>
      </c>
      <c r="K372" s="28" t="n">
        <v>0</v>
      </c>
      <c r="L372" s="25" t="inlineStr">
        <is>
          <t>TEQUILA</t>
        </is>
      </c>
      <c r="M372" s="25" t="inlineStr">
        <is>
          <t>INFINIUM SPIRITS INC</t>
        </is>
      </c>
      <c r="N372" s="25" t="inlineStr">
        <is>
          <t>040002-RNDC-MAGNOLIA</t>
        </is>
      </c>
      <c r="O372" s="25" t="n"/>
      <c r="P372" s="25" t="inlineStr">
        <is>
          <t>20720815930135</t>
        </is>
      </c>
      <c r="Q372" s="25" t="inlineStr">
        <is>
          <t>0720815930131</t>
        </is>
      </c>
      <c r="R372" s="78" t="n">
        <v>42370</v>
      </c>
    </row>
    <row r="373">
      <c r="A373" t="inlineStr">
        <is>
          <t>or item code =</t>
        </is>
      </c>
      <c r="B373" s="25" t="inlineStr">
        <is>
          <t>47790</t>
        </is>
      </c>
      <c r="C373" s="25" t="inlineStr">
        <is>
          <t>COURVOISIER V S COGNAC</t>
        </is>
      </c>
      <c r="D373" s="25" t="inlineStr">
        <is>
          <t>200ml</t>
        </is>
      </c>
      <c r="E373" s="27" t="n">
        <v>0</v>
      </c>
      <c r="F373" s="27" t="n">
        <v>193</v>
      </c>
      <c r="G373" s="27" t="n">
        <v>24</v>
      </c>
      <c r="H373" s="28" t="n">
        <v>189.75</v>
      </c>
      <c r="I373" s="28" t="n">
        <v>15.78</v>
      </c>
      <c r="J373" s="94" t="inlineStr">
        <is>
          <t>False</t>
        </is>
      </c>
      <c r="K373" s="28" t="n">
        <v>0</v>
      </c>
      <c r="L373" s="25" t="inlineStr">
        <is>
          <t>COGNAC, ARMAGNAC</t>
        </is>
      </c>
      <c r="M373" s="25" t="inlineStr">
        <is>
          <t>JIM BEAM BRANDS CO</t>
        </is>
      </c>
      <c r="N373" s="25" t="inlineStr">
        <is>
          <t>040010-SOUTHERN GLAZERS WINE AND SPIRITS OF MISSISSIPPI LLC</t>
        </is>
      </c>
      <c r="O373" s="25" t="n"/>
      <c r="P373" s="25" t="inlineStr">
        <is>
          <t>10080686961106</t>
        </is>
      </c>
      <c r="Q373" s="25" t="inlineStr">
        <is>
          <t>080686961109</t>
        </is>
      </c>
      <c r="R373" s="78" t="n">
        <v>44501</v>
      </c>
    </row>
    <row r="374">
      <c r="A374" t="inlineStr">
        <is>
          <t>or item code =</t>
        </is>
      </c>
      <c r="B374" s="25" t="inlineStr">
        <is>
          <t>47787</t>
        </is>
      </c>
      <c r="C374" s="25" t="inlineStr">
        <is>
          <t>COURVOISIER V S COGNAC</t>
        </is>
      </c>
      <c r="D374" s="25" t="inlineStr">
        <is>
          <t>1L</t>
        </is>
      </c>
      <c r="E374" s="27" t="n">
        <v>140</v>
      </c>
      <c r="F374" s="27" t="n">
        <v>11</v>
      </c>
      <c r="G374" s="27" t="n">
        <v>12</v>
      </c>
      <c r="H374" s="28" t="n">
        <v>424.51</v>
      </c>
      <c r="I374" s="28" t="n">
        <v>0</v>
      </c>
      <c r="J374" s="94" t="inlineStr">
        <is>
          <t>False</t>
        </is>
      </c>
      <c r="K374" s="28" t="n">
        <v>0</v>
      </c>
      <c r="L374" s="25" t="inlineStr">
        <is>
          <t>COGNAC, ARMAGNAC</t>
        </is>
      </c>
      <c r="M374" s="25" t="inlineStr">
        <is>
          <t>JIM BEAM BRANDS CO</t>
        </is>
      </c>
      <c r="N374" s="25" t="inlineStr">
        <is>
          <t>040010-SOUTHERN GLAZERS WINE AND SPIRITS OF MISSISSIPPI LLC</t>
        </is>
      </c>
      <c r="O374" s="25" t="n"/>
      <c r="P374" s="25" t="inlineStr">
        <is>
          <t>10080686961038</t>
        </is>
      </c>
      <c r="Q374" s="25" t="inlineStr">
        <is>
          <t>0080686961031</t>
        </is>
      </c>
      <c r="R374" s="78" t="n">
        <v>44501</v>
      </c>
    </row>
    <row r="375">
      <c r="A375" t="inlineStr">
        <is>
          <t>or item code =</t>
        </is>
      </c>
      <c r="B375" s="25" t="inlineStr">
        <is>
          <t>47785</t>
        </is>
      </c>
      <c r="C375" s="25" t="inlineStr">
        <is>
          <t>COURVOISIER V S COGNAC</t>
        </is>
      </c>
      <c r="D375" s="25" t="inlineStr">
        <is>
          <t>375ml</t>
        </is>
      </c>
      <c r="E375" s="27" t="n">
        <v>233</v>
      </c>
      <c r="F375" s="27" t="n">
        <v>220</v>
      </c>
      <c r="G375" s="27" t="n">
        <v>12</v>
      </c>
      <c r="H375" s="28" t="n">
        <v>154.2</v>
      </c>
      <c r="I375" s="28" t="n">
        <v>0</v>
      </c>
      <c r="J375" s="94" t="inlineStr">
        <is>
          <t>False</t>
        </is>
      </c>
      <c r="K375" s="28" t="n">
        <v>0</v>
      </c>
      <c r="L375" s="25" t="inlineStr">
        <is>
          <t>COGNAC, ARMAGNAC</t>
        </is>
      </c>
      <c r="M375" s="25" t="inlineStr">
        <is>
          <t>JIM BEAM BRANDS CO</t>
        </is>
      </c>
      <c r="N375" s="25" t="inlineStr">
        <is>
          <t>040010-SOUTHERN GLAZERS WINE AND SPIRITS OF MISSISSIPPI LLC</t>
        </is>
      </c>
      <c r="O375" s="25" t="n"/>
      <c r="P375" s="25" t="inlineStr">
        <is>
          <t>10080686961083</t>
        </is>
      </c>
      <c r="Q375" s="25" t="inlineStr">
        <is>
          <t>0080686961086</t>
        </is>
      </c>
      <c r="R375" s="78" t="n">
        <v>44501</v>
      </c>
    </row>
    <row r="376">
      <c r="A376" t="inlineStr">
        <is>
          <t>or item code =</t>
        </is>
      </c>
      <c r="B376" s="25" t="inlineStr">
        <is>
          <t>47786</t>
        </is>
      </c>
      <c r="C376" s="25" t="inlineStr">
        <is>
          <t>COURVOISIER V S COGNAC</t>
        </is>
      </c>
      <c r="D376" s="25" t="inlineStr">
        <is>
          <t>750ml</t>
        </is>
      </c>
      <c r="E376" s="27" t="n">
        <v>301</v>
      </c>
      <c r="F376" s="27" t="n">
        <v>125</v>
      </c>
      <c r="G376" s="27" t="n">
        <v>12</v>
      </c>
      <c r="H376" s="28" t="n">
        <v>332.21</v>
      </c>
      <c r="I376" s="28" t="n">
        <v>0</v>
      </c>
      <c r="J376" s="94" t="inlineStr">
        <is>
          <t>False</t>
        </is>
      </c>
      <c r="K376" s="28" t="n">
        <v>0</v>
      </c>
      <c r="L376" s="25" t="inlineStr">
        <is>
          <t>COGNAC, ARMAGNAC</t>
        </is>
      </c>
      <c r="M376" s="25" t="inlineStr">
        <is>
          <t>JIM BEAM BRANDS CO</t>
        </is>
      </c>
      <c r="N376" s="25" t="inlineStr">
        <is>
          <t>040010-SOUTHERN GLAZERS WINE AND SPIRITS OF MISSISSIPPI LLC</t>
        </is>
      </c>
      <c r="O376" s="25" t="n"/>
      <c r="P376" s="25" t="inlineStr">
        <is>
          <t>00000000047786</t>
        </is>
      </c>
      <c r="Q376" s="25" t="inlineStr">
        <is>
          <t>0080686961048</t>
        </is>
      </c>
      <c r="R376" s="78" t="n">
        <v>44501</v>
      </c>
    </row>
    <row r="377">
      <c r="A377" t="inlineStr">
        <is>
          <t>or item code =</t>
        </is>
      </c>
      <c r="B377" s="25" t="inlineStr">
        <is>
          <t>47788</t>
        </is>
      </c>
      <c r="C377" s="25" t="inlineStr">
        <is>
          <t>COURVOISIER V S COGNAC</t>
        </is>
      </c>
      <c r="D377" s="25" t="inlineStr">
        <is>
          <t>1.75L</t>
        </is>
      </c>
      <c r="E377" s="27" t="n">
        <v>112</v>
      </c>
      <c r="F377" s="27" t="n">
        <v>20</v>
      </c>
      <c r="G377" s="27" t="n">
        <v>6</v>
      </c>
      <c r="H377" s="28" t="n">
        <v>355.33</v>
      </c>
      <c r="I377" s="28" t="n">
        <v>0</v>
      </c>
      <c r="J377" s="94" t="inlineStr">
        <is>
          <t>False</t>
        </is>
      </c>
      <c r="K377" s="28" t="n">
        <v>0</v>
      </c>
      <c r="L377" s="25" t="inlineStr">
        <is>
          <t>BRANDY</t>
        </is>
      </c>
      <c r="M377" s="25" t="inlineStr">
        <is>
          <t>JIM BEAM BRANDS CO</t>
        </is>
      </c>
      <c r="N377" s="25" t="inlineStr">
        <is>
          <t>040010-SOUTHERN GLAZERS WINE AND SPIRITS OF MISSISSIPPI LLC</t>
        </is>
      </c>
      <c r="O377" s="25" t="n"/>
      <c r="P377" s="25" t="inlineStr">
        <is>
          <t>10080686961021</t>
        </is>
      </c>
      <c r="Q377" s="25" t="inlineStr">
        <is>
          <t>080686961024</t>
        </is>
      </c>
      <c r="R377" s="78" t="n">
        <v>44501</v>
      </c>
    </row>
    <row r="378">
      <c r="A378" t="inlineStr">
        <is>
          <t>or item code =</t>
        </is>
      </c>
      <c r="B378" s="25" t="inlineStr">
        <is>
          <t>47782</t>
        </is>
      </c>
      <c r="C378" s="25" t="inlineStr">
        <is>
          <t>COURVOISIER VS COGNAC</t>
        </is>
      </c>
      <c r="D378" s="25" t="inlineStr">
        <is>
          <t>100ml</t>
        </is>
      </c>
      <c r="E378" s="27" t="n">
        <v>0</v>
      </c>
      <c r="F378" s="27" t="n">
        <v>157</v>
      </c>
      <c r="G378" s="27" t="n">
        <v>24</v>
      </c>
      <c r="H378" s="28" t="n">
        <v>85.53</v>
      </c>
      <c r="I378" s="28" t="n">
        <v>0</v>
      </c>
      <c r="J378" s="94" t="inlineStr">
        <is>
          <t>False</t>
        </is>
      </c>
      <c r="K378" s="28" t="n">
        <v>0</v>
      </c>
      <c r="L378" s="25" t="inlineStr">
        <is>
          <t>BRANDY</t>
        </is>
      </c>
      <c r="M378" s="25" t="inlineStr">
        <is>
          <t>JIM BEAM BRANDS CO</t>
        </is>
      </c>
      <c r="N378" s="25" t="inlineStr">
        <is>
          <t>040010-SOUTHERN GLAZERS WINE AND SPIRITS OF MISSISSIPPI LLC</t>
        </is>
      </c>
      <c r="O378" s="25" t="n"/>
      <c r="P378" s="25" t="inlineStr">
        <is>
          <t>10080686961113</t>
        </is>
      </c>
      <c r="Q378" s="25" t="inlineStr">
        <is>
          <t>0080686961116</t>
        </is>
      </c>
      <c r="R378" s="78" t="n">
        <v>42279</v>
      </c>
    </row>
    <row r="379">
      <c r="A379" t="inlineStr">
        <is>
          <t>or item code =</t>
        </is>
      </c>
      <c r="B379" s="25" t="inlineStr">
        <is>
          <t>47776</t>
        </is>
      </c>
      <c r="C379" s="25" t="inlineStr">
        <is>
          <t>COURVOISIER VSOP COGNAC</t>
        </is>
      </c>
      <c r="D379" s="25" t="inlineStr">
        <is>
          <t>750ml</t>
        </is>
      </c>
      <c r="E379" s="27" t="n">
        <v>139</v>
      </c>
      <c r="F379" s="27" t="n">
        <v>7</v>
      </c>
      <c r="G379" s="27" t="n">
        <v>12</v>
      </c>
      <c r="H379" s="28" t="n">
        <v>433.74</v>
      </c>
      <c r="I379" s="28" t="n">
        <v>0</v>
      </c>
      <c r="J379" s="94" t="inlineStr">
        <is>
          <t>False</t>
        </is>
      </c>
      <c r="K379" s="28" t="n">
        <v>0</v>
      </c>
      <c r="L379" s="25" t="inlineStr">
        <is>
          <t>COGNAC, ARMAGNAC</t>
        </is>
      </c>
      <c r="M379" s="25" t="inlineStr">
        <is>
          <t>JIM BEAM BRANDS CO</t>
        </is>
      </c>
      <c r="N379" s="25" t="inlineStr">
        <is>
          <t>040010-SOUTHERN GLAZERS WINE AND SPIRITS OF MISSISSIPPI LLC</t>
        </is>
      </c>
      <c r="O379" s="25" t="n"/>
      <c r="P379" s="25" t="inlineStr">
        <is>
          <t>10080686962059</t>
        </is>
      </c>
      <c r="Q379" s="25" t="inlineStr">
        <is>
          <t>080686962045</t>
        </is>
      </c>
      <c r="R379" s="78" t="n">
        <v>44501</v>
      </c>
    </row>
    <row r="380">
      <c r="A380" t="inlineStr">
        <is>
          <t>or item code =</t>
        </is>
      </c>
      <c r="B380" s="25" t="inlineStr">
        <is>
          <t>47775</t>
        </is>
      </c>
      <c r="C380" s="25" t="inlineStr">
        <is>
          <t>COURVOISIER VSOP COGNAC</t>
        </is>
      </c>
      <c r="D380" s="25" t="inlineStr">
        <is>
          <t>375ml</t>
        </is>
      </c>
      <c r="E380" s="27" t="n">
        <v>0</v>
      </c>
      <c r="F380" s="27" t="n">
        <v>0</v>
      </c>
      <c r="G380" s="27" t="n">
        <v>12</v>
      </c>
      <c r="H380" s="28" t="n">
        <v>222.76</v>
      </c>
      <c r="I380" s="28" t="n">
        <v>0</v>
      </c>
      <c r="J380" s="94" t="inlineStr">
        <is>
          <t>False</t>
        </is>
      </c>
      <c r="K380" s="28" t="n">
        <v>0</v>
      </c>
      <c r="L380" s="25" t="inlineStr">
        <is>
          <t>COGNAC, ARMAGNAC</t>
        </is>
      </c>
      <c r="M380" s="25" t="inlineStr">
        <is>
          <t>JIM BEAM BRANDS CO</t>
        </is>
      </c>
      <c r="N380" s="25" t="inlineStr">
        <is>
          <t>040010-SOUTHERN GLAZERS WINE AND SPIRITS OF MISSISSIPPI LLC</t>
        </is>
      </c>
      <c r="O380" s="25" t="n"/>
      <c r="P380" s="25" t="inlineStr">
        <is>
          <t>10080686962080</t>
        </is>
      </c>
      <c r="Q380" s="25" t="inlineStr">
        <is>
          <t>080686962083</t>
        </is>
      </c>
      <c r="R380" s="78" t="n">
        <v>43116</v>
      </c>
    </row>
    <row r="381">
      <c r="A381" t="inlineStr">
        <is>
          <t>or item code =</t>
        </is>
      </c>
      <c r="B381" s="25" t="inlineStr">
        <is>
          <t>11294</t>
        </is>
      </c>
      <c r="C381" s="25" t="inlineStr">
        <is>
          <t>CROWN ROYAL</t>
        </is>
      </c>
      <c r="D381" s="25" t="inlineStr">
        <is>
          <t>375ml</t>
        </is>
      </c>
      <c r="E381" s="27" t="n">
        <v>38</v>
      </c>
      <c r="F381" s="27" t="n">
        <v>653</v>
      </c>
      <c r="G381" s="27" t="n">
        <v>24</v>
      </c>
      <c r="H381" s="28" t="n">
        <v>261.75</v>
      </c>
      <c r="I381" s="28" t="n">
        <v>0</v>
      </c>
      <c r="J381" s="94" t="inlineStr">
        <is>
          <t>False</t>
        </is>
      </c>
      <c r="K381" s="28" t="n">
        <v>0</v>
      </c>
      <c r="L381" s="25" t="inlineStr">
        <is>
          <t>WHISKY - CANANDIAN</t>
        </is>
      </c>
      <c r="M381" s="25" t="inlineStr">
        <is>
          <t>DIAGEO AMERICAS INC</t>
        </is>
      </c>
      <c r="N381" s="25" t="inlineStr">
        <is>
          <t>040010-SOUTHERN GLAZERS WINE AND SPIRITS OF MISSISSIPPI LLC</t>
        </is>
      </c>
      <c r="O381" s="25" t="n"/>
      <c r="P381" s="25" t="inlineStr">
        <is>
          <t>10087000007601</t>
        </is>
      </c>
      <c r="Q381" s="25" t="inlineStr">
        <is>
          <t>087000007604</t>
        </is>
      </c>
      <c r="R381" s="78" t="n">
        <v>42370</v>
      </c>
    </row>
    <row r="382">
      <c r="A382" t="inlineStr">
        <is>
          <t>or item code =</t>
        </is>
      </c>
      <c r="B382" s="25" t="inlineStr">
        <is>
          <t>11297</t>
        </is>
      </c>
      <c r="C382" s="25" t="inlineStr">
        <is>
          <t>CROWN ROYAL</t>
        </is>
      </c>
      <c r="D382" s="25" t="inlineStr">
        <is>
          <t>1L</t>
        </is>
      </c>
      <c r="E382" s="27" t="n">
        <v>0</v>
      </c>
      <c r="F382" s="27" t="n">
        <v>230</v>
      </c>
      <c r="G382" s="27" t="n">
        <v>12</v>
      </c>
      <c r="H382" s="28" t="n">
        <v>335.68</v>
      </c>
      <c r="I382" s="28" t="n">
        <v>0</v>
      </c>
      <c r="J382" s="94" t="inlineStr">
        <is>
          <t>False</t>
        </is>
      </c>
      <c r="K382" s="28" t="n">
        <v>0</v>
      </c>
      <c r="L382" s="25" t="inlineStr">
        <is>
          <t>WHISKY - CANANDIAN</t>
        </is>
      </c>
      <c r="M382" s="25" t="inlineStr">
        <is>
          <t>DIAGEO AMERICAS INC</t>
        </is>
      </c>
      <c r="N382" s="25" t="inlineStr">
        <is>
          <t>040010-SOUTHERN GLAZERS WINE AND SPIRITS OF MISSISSIPPI LLC</t>
        </is>
      </c>
      <c r="O382" s="25" t="n"/>
      <c r="P382" s="25" t="inlineStr">
        <is>
          <t>10087000007243</t>
        </is>
      </c>
      <c r="Q382" s="25" t="inlineStr">
        <is>
          <t>087000007246</t>
        </is>
      </c>
      <c r="R382" s="78" t="n">
        <v>42370</v>
      </c>
    </row>
    <row r="383">
      <c r="A383" t="inlineStr">
        <is>
          <t>or item code =</t>
        </is>
      </c>
      <c r="B383" s="25" t="inlineStr">
        <is>
          <t>11296</t>
        </is>
      </c>
      <c r="C383" s="25" t="inlineStr">
        <is>
          <t>CROWN ROYAL</t>
        </is>
      </c>
      <c r="D383" s="25" t="inlineStr">
        <is>
          <t>750ml</t>
        </is>
      </c>
      <c r="E383" s="27" t="n">
        <v>176</v>
      </c>
      <c r="F383" s="27" t="n">
        <v>787</v>
      </c>
      <c r="G383" s="27" t="n">
        <v>12</v>
      </c>
      <c r="H383" s="28" t="n">
        <v>288.59</v>
      </c>
      <c r="I383" s="28" t="n">
        <v>0</v>
      </c>
      <c r="J383" s="94" t="inlineStr">
        <is>
          <t>False</t>
        </is>
      </c>
      <c r="K383" s="28" t="n">
        <v>0</v>
      </c>
      <c r="L383" s="25" t="inlineStr">
        <is>
          <t>WHISKY - CANANDIAN</t>
        </is>
      </c>
      <c r="M383" s="25" t="inlineStr">
        <is>
          <t>DIAGEO AMERICAS INC</t>
        </is>
      </c>
      <c r="N383" s="25" t="inlineStr">
        <is>
          <t>040010-SOUTHERN GLAZERS WINE AND SPIRITS OF MISSISSIPPI LLC</t>
        </is>
      </c>
      <c r="O383" s="25" t="n"/>
      <c r="P383" s="25" t="inlineStr">
        <is>
          <t>10087000007250</t>
        </is>
      </c>
      <c r="Q383" s="25" t="inlineStr">
        <is>
          <t>087000007253</t>
        </is>
      </c>
      <c r="R383" s="78" t="n">
        <v>42370</v>
      </c>
    </row>
    <row r="384">
      <c r="A384" t="inlineStr">
        <is>
          <t>or item code =</t>
        </is>
      </c>
      <c r="B384" s="25" t="inlineStr">
        <is>
          <t>11290</t>
        </is>
      </c>
      <c r="C384" s="25" t="inlineStr">
        <is>
          <t>CROWN ROYAL</t>
        </is>
      </c>
      <c r="D384" s="25" t="inlineStr">
        <is>
          <t>50ml</t>
        </is>
      </c>
      <c r="E384" s="27" t="n">
        <v>1</v>
      </c>
      <c r="F384" s="27" t="n">
        <v>145</v>
      </c>
      <c r="G384" s="27" t="n">
        <v>60</v>
      </c>
      <c r="H384" s="28" t="n">
        <v>117.7</v>
      </c>
      <c r="I384" s="28" t="n">
        <v>0</v>
      </c>
      <c r="J384" s="94" t="inlineStr">
        <is>
          <t>False</t>
        </is>
      </c>
      <c r="K384" s="28" t="n">
        <v>0</v>
      </c>
      <c r="L384" s="25" t="inlineStr">
        <is>
          <t>WHISKY - CANANDIAN</t>
        </is>
      </c>
      <c r="M384" s="25" t="inlineStr">
        <is>
          <t>DIAGEO AMERICAS INC</t>
        </is>
      </c>
      <c r="N384" s="25" t="inlineStr">
        <is>
          <t>040010-SOUTHERN GLAZERS WINE AND SPIRITS OF MISSISSIPPI LLC</t>
        </is>
      </c>
      <c r="O384" s="25" t="n"/>
      <c r="P384" s="25" t="inlineStr">
        <is>
          <t>00087000507760</t>
        </is>
      </c>
      <c r="Q384" s="25" t="inlineStr">
        <is>
          <t>0087000701045</t>
        </is>
      </c>
      <c r="R384" s="78" t="n">
        <v>42370</v>
      </c>
    </row>
    <row r="385">
      <c r="A385" t="inlineStr">
        <is>
          <t>or item code =</t>
        </is>
      </c>
      <c r="B385" s="25" t="inlineStr">
        <is>
          <t>11299</t>
        </is>
      </c>
      <c r="C385" s="25" t="inlineStr">
        <is>
          <t>CROWN ROYAL</t>
        </is>
      </c>
      <c r="D385" s="25" t="inlineStr">
        <is>
          <t>200ml</t>
        </is>
      </c>
      <c r="E385" s="27" t="n">
        <v>421</v>
      </c>
      <c r="F385" s="27" t="n">
        <v>262</v>
      </c>
      <c r="G385" s="27" t="n">
        <v>44</v>
      </c>
      <c r="H385" s="28" t="n">
        <v>273.09</v>
      </c>
      <c r="I385" s="28" t="n">
        <v>0</v>
      </c>
      <c r="J385" s="94" t="inlineStr">
        <is>
          <t>False</t>
        </is>
      </c>
      <c r="K385" s="28" t="n">
        <v>0</v>
      </c>
      <c r="L385" s="25" t="inlineStr">
        <is>
          <t>WHISKY - CANANDIAN</t>
        </is>
      </c>
      <c r="M385" s="25" t="inlineStr">
        <is>
          <t>DIAGEO AMERICAS INC</t>
        </is>
      </c>
      <c r="N385" s="25" t="inlineStr">
        <is>
          <t>040010-SOUTHERN GLAZERS WINE AND SPIRITS OF MISSISSIPPI LLC</t>
        </is>
      </c>
      <c r="O385" s="25" t="n"/>
      <c r="P385" s="25" t="inlineStr">
        <is>
          <t>00082000765356</t>
        </is>
      </c>
      <c r="Q385" s="25" t="inlineStr">
        <is>
          <t>0087000007277</t>
        </is>
      </c>
      <c r="R385" s="78" t="n">
        <v>42370</v>
      </c>
    </row>
    <row r="386">
      <c r="A386" t="inlineStr">
        <is>
          <t>or item code =</t>
        </is>
      </c>
      <c r="B386" s="25" t="inlineStr">
        <is>
          <t>11298</t>
        </is>
      </c>
      <c r="C386" s="25" t="inlineStr">
        <is>
          <t>CROWN ROYAL</t>
        </is>
      </c>
      <c r="D386" s="25" t="inlineStr">
        <is>
          <t>1.75L</t>
        </is>
      </c>
      <c r="E386" s="27" t="n">
        <v>611</v>
      </c>
      <c r="F386" s="27" t="n">
        <v>432</v>
      </c>
      <c r="G386" s="27" t="n">
        <v>6</v>
      </c>
      <c r="H386" s="28" t="n">
        <v>279.4</v>
      </c>
      <c r="I386" s="28" t="n">
        <v>0</v>
      </c>
      <c r="J386" s="94" t="inlineStr">
        <is>
          <t>False</t>
        </is>
      </c>
      <c r="K386" s="28" t="n">
        <v>0</v>
      </c>
      <c r="L386" s="25" t="inlineStr">
        <is>
          <t>WHISKY - CANANDIAN</t>
        </is>
      </c>
      <c r="M386" s="25" t="inlineStr">
        <is>
          <t>DIAGEO AMERICAS INC</t>
        </is>
      </c>
      <c r="N386" s="25" t="inlineStr">
        <is>
          <t>040010-SOUTHERN GLAZERS WINE AND SPIRITS OF MISSISSIPPI LLC</t>
        </is>
      </c>
      <c r="O386" s="25" t="n"/>
      <c r="P386" s="25" t="inlineStr">
        <is>
          <t>00082000778417</t>
        </is>
      </c>
      <c r="Q386" s="25" t="inlineStr">
        <is>
          <t>0087000700604</t>
        </is>
      </c>
      <c r="R386" s="78" t="n">
        <v>42370</v>
      </c>
    </row>
    <row r="387">
      <c r="A387" t="inlineStr">
        <is>
          <t>or item code =</t>
        </is>
      </c>
      <c r="B387" s="25" t="inlineStr">
        <is>
          <t>10834</t>
        </is>
      </c>
      <c r="C387" s="25" t="inlineStr">
        <is>
          <t>CROWN ROYAL BLACK</t>
        </is>
      </c>
      <c r="D387" s="25" t="inlineStr">
        <is>
          <t>375ml</t>
        </is>
      </c>
      <c r="E387" s="27" t="n">
        <v>0</v>
      </c>
      <c r="F387" s="27" t="n">
        <v>116</v>
      </c>
      <c r="G387" s="27" t="n">
        <v>24</v>
      </c>
      <c r="H387" s="28" t="n">
        <v>279.23</v>
      </c>
      <c r="I387" s="28" t="n">
        <v>0</v>
      </c>
      <c r="J387" s="94" t="inlineStr">
        <is>
          <t>False</t>
        </is>
      </c>
      <c r="K387" s="28" t="n">
        <v>0</v>
      </c>
      <c r="L387" s="25" t="inlineStr">
        <is>
          <t>WHISKY - CANANDIAN</t>
        </is>
      </c>
      <c r="M387" s="25" t="inlineStr">
        <is>
          <t>DIAGEO AMERICAS INC</t>
        </is>
      </c>
      <c r="N387" s="25" t="inlineStr">
        <is>
          <t>040010-SOUTHERN GLAZERS WINE AND SPIRITS OF MISSISSIPPI LLC</t>
        </is>
      </c>
      <c r="O387" s="25" t="n"/>
      <c r="P387" s="25" t="inlineStr">
        <is>
          <t>10082000750427</t>
        </is>
      </c>
      <c r="Q387" s="25" t="inlineStr">
        <is>
          <t>0082000750420</t>
        </is>
      </c>
      <c r="R387" s="78" t="n">
        <v>42370</v>
      </c>
    </row>
    <row r="388">
      <c r="A388" t="inlineStr">
        <is>
          <t>or item code =</t>
        </is>
      </c>
      <c r="B388" s="25" t="inlineStr">
        <is>
          <t>10836</t>
        </is>
      </c>
      <c r="C388" s="25" t="inlineStr">
        <is>
          <t>CROWN ROYAL BLACK</t>
        </is>
      </c>
      <c r="D388" s="25" t="inlineStr">
        <is>
          <t>750ml</t>
        </is>
      </c>
      <c r="E388" s="27" t="n">
        <v>99</v>
      </c>
      <c r="F388" s="27" t="n">
        <v>150</v>
      </c>
      <c r="G388" s="27" t="n">
        <v>12</v>
      </c>
      <c r="H388" s="28" t="n">
        <v>297.84</v>
      </c>
      <c r="I388" s="28" t="n">
        <v>0</v>
      </c>
      <c r="J388" s="94" t="inlineStr">
        <is>
          <t>False</t>
        </is>
      </c>
      <c r="K388" s="28" t="n">
        <v>0</v>
      </c>
      <c r="L388" s="25" t="inlineStr">
        <is>
          <t>WHISKY - CANANDIAN</t>
        </is>
      </c>
      <c r="M388" s="25" t="inlineStr">
        <is>
          <t>DIAGEO AMERICAS INC</t>
        </is>
      </c>
      <c r="N388" s="25" t="inlineStr">
        <is>
          <t>040010-SOUTHERN GLAZERS WINE AND SPIRITS OF MISSISSIPPI LLC</t>
        </is>
      </c>
      <c r="O388" s="25" t="n"/>
      <c r="P388" s="25" t="inlineStr">
        <is>
          <t>10082000750434</t>
        </is>
      </c>
      <c r="Q388" s="25" t="inlineStr">
        <is>
          <t>0082000750437</t>
        </is>
      </c>
      <c r="R388" s="78" t="n">
        <v>42370</v>
      </c>
    </row>
    <row r="389">
      <c r="A389" t="inlineStr">
        <is>
          <t>or item code =</t>
        </is>
      </c>
      <c r="B389" s="25" t="inlineStr">
        <is>
          <t>10832</t>
        </is>
      </c>
      <c r="C389" s="25" t="inlineStr">
        <is>
          <t>CROWN ROYAL BLACK</t>
        </is>
      </c>
      <c r="D389" s="25" t="inlineStr">
        <is>
          <t>200ml</t>
        </is>
      </c>
      <c r="E389" s="27" t="n">
        <v>0</v>
      </c>
      <c r="F389" s="27" t="n">
        <v>0</v>
      </c>
      <c r="G389" s="27" t="n">
        <v>44</v>
      </c>
      <c r="H389" s="28" t="n">
        <v>306.96</v>
      </c>
      <c r="I389" s="28" t="n">
        <v>0</v>
      </c>
      <c r="J389" s="94" t="inlineStr">
        <is>
          <t>False</t>
        </is>
      </c>
      <c r="K389" s="28" t="n">
        <v>0</v>
      </c>
      <c r="L389" s="25" t="inlineStr">
        <is>
          <t>WHISKY - CANANDIAN</t>
        </is>
      </c>
      <c r="M389" s="25" t="inlineStr">
        <is>
          <t>DIAGEO AMERICAS INC</t>
        </is>
      </c>
      <c r="N389" s="25" t="inlineStr">
        <is>
          <t>040010-SOUTHERN GLAZERS WINE AND SPIRITS OF MISSISSIPPI LLC</t>
        </is>
      </c>
      <c r="O389" s="25" t="n"/>
      <c r="P389" s="25" t="inlineStr">
        <is>
          <t>00082000767732</t>
        </is>
      </c>
      <c r="Q389" s="25" t="inlineStr">
        <is>
          <t>0082000756224</t>
        </is>
      </c>
      <c r="R389" s="78" t="n">
        <v>42370</v>
      </c>
    </row>
    <row r="390">
      <c r="A390" t="inlineStr">
        <is>
          <t>or item code =</t>
        </is>
      </c>
      <c r="B390" s="25" t="inlineStr">
        <is>
          <t>10838</t>
        </is>
      </c>
      <c r="C390" s="25" t="inlineStr">
        <is>
          <t>CROWN ROYAL BLACK</t>
        </is>
      </c>
      <c r="D390" s="25" t="inlineStr">
        <is>
          <t>1.75L</t>
        </is>
      </c>
      <c r="E390" s="27" t="n">
        <v>72</v>
      </c>
      <c r="F390" s="27" t="n">
        <v>34</v>
      </c>
      <c r="G390" s="27" t="n">
        <v>6</v>
      </c>
      <c r="H390" s="28" t="n">
        <v>293.22</v>
      </c>
      <c r="I390" s="28" t="n">
        <v>0</v>
      </c>
      <c r="J390" s="94" t="inlineStr">
        <is>
          <t>False</t>
        </is>
      </c>
      <c r="K390" s="28" t="n">
        <v>0</v>
      </c>
      <c r="L390" s="25" t="inlineStr">
        <is>
          <t>WHISKY - CANANDIAN</t>
        </is>
      </c>
      <c r="M390" s="25" t="inlineStr">
        <is>
          <t>DIAGEO AMERICAS INC</t>
        </is>
      </c>
      <c r="N390" s="25" t="inlineStr">
        <is>
          <t>040010-SOUTHERN GLAZERS WINE AND SPIRITS OF MISSISSIPPI LLC</t>
        </is>
      </c>
      <c r="O390" s="25" t="n"/>
      <c r="P390" s="25" t="inlineStr">
        <is>
          <t>10082000750458</t>
        </is>
      </c>
      <c r="Q390" s="25" t="inlineStr">
        <is>
          <t>0082000750451</t>
        </is>
      </c>
      <c r="R390" s="78" t="n">
        <v>42370</v>
      </c>
    </row>
    <row r="391">
      <c r="A391" t="inlineStr">
        <is>
          <t>or item code =</t>
        </is>
      </c>
      <c r="B391" s="25" t="inlineStr">
        <is>
          <t>10802</t>
        </is>
      </c>
      <c r="C391" s="25" t="inlineStr">
        <is>
          <t>CROWN ROYAL PEACH FLAVORED WHISKEY</t>
        </is>
      </c>
      <c r="D391" s="25" t="inlineStr">
        <is>
          <t>750ml</t>
        </is>
      </c>
      <c r="E391" s="27" t="n">
        <v>487</v>
      </c>
      <c r="F391" s="27" t="n">
        <v>248</v>
      </c>
      <c r="G391" s="27" t="n">
        <v>12</v>
      </c>
      <c r="H391" s="28" t="n">
        <v>288.59</v>
      </c>
      <c r="I391" s="28" t="n">
        <v>0</v>
      </c>
      <c r="J391" s="94" t="inlineStr">
        <is>
          <t>False</t>
        </is>
      </c>
      <c r="K391" s="28" t="n">
        <v>0</v>
      </c>
      <c r="L391" s="25" t="inlineStr">
        <is>
          <t>WHISKY - CANANDIAN</t>
        </is>
      </c>
      <c r="M391" s="25" t="inlineStr">
        <is>
          <t>DIAGEO AMERICAS INC</t>
        </is>
      </c>
      <c r="N391" s="25" t="inlineStr">
        <is>
          <t>040010-SOUTHERN GLAZERS WINE AND SPIRITS OF MISSISSIPPI LLC</t>
        </is>
      </c>
      <c r="O391" s="25" t="n"/>
      <c r="P391" s="25" t="inlineStr">
        <is>
          <t>10082000782916</t>
        </is>
      </c>
      <c r="Q391" s="25" t="inlineStr">
        <is>
          <t>082000782919</t>
        </is>
      </c>
      <c r="R391" s="78" t="n">
        <v>44211</v>
      </c>
    </row>
    <row r="392">
      <c r="A392" t="inlineStr">
        <is>
          <t>or item code =</t>
        </is>
      </c>
      <c r="B392" s="25" t="inlineStr">
        <is>
          <t>10804</t>
        </is>
      </c>
      <c r="C392" s="25" t="inlineStr">
        <is>
          <t>CROWN ROYAL REGAL APPLE FLAVORED WHISKEY</t>
        </is>
      </c>
      <c r="D392" s="25" t="inlineStr">
        <is>
          <t>200ml</t>
        </is>
      </c>
      <c r="E392" s="27" t="n">
        <v>93</v>
      </c>
      <c r="F392" s="27" t="n">
        <v>164</v>
      </c>
      <c r="G392" s="27" t="n">
        <v>44</v>
      </c>
      <c r="H392" s="28" t="n">
        <v>273.09</v>
      </c>
      <c r="I392" s="28" t="n">
        <v>0</v>
      </c>
      <c r="J392" s="94" t="inlineStr">
        <is>
          <t>False</t>
        </is>
      </c>
      <c r="K392" s="28" t="n">
        <v>0</v>
      </c>
      <c r="L392" s="25" t="inlineStr">
        <is>
          <t>WHISKY - CANANDIAN</t>
        </is>
      </c>
      <c r="M392" s="25" t="inlineStr">
        <is>
          <t>DIAGEO AMERICAS INC</t>
        </is>
      </c>
      <c r="N392" s="25" t="inlineStr">
        <is>
          <t>040010-SOUTHERN GLAZERS WINE AND SPIRITS OF MISSISSIPPI LLC</t>
        </is>
      </c>
      <c r="O392" s="25" t="n"/>
      <c r="P392" s="25" t="inlineStr">
        <is>
          <t>10082000771545</t>
        </is>
      </c>
      <c r="Q392" s="25" t="inlineStr">
        <is>
          <t>0082000771548</t>
        </is>
      </c>
      <c r="R392" s="78" t="n">
        <v>42370</v>
      </c>
    </row>
    <row r="393">
      <c r="A393" t="inlineStr">
        <is>
          <t>or item code =</t>
        </is>
      </c>
      <c r="B393" s="25" t="inlineStr">
        <is>
          <t>10808</t>
        </is>
      </c>
      <c r="C393" s="25" t="inlineStr">
        <is>
          <t>CROWN ROYAL REGAL APPLE FLAVORED WHISKEY</t>
        </is>
      </c>
      <c r="D393" s="25" t="inlineStr">
        <is>
          <t>1L</t>
        </is>
      </c>
      <c r="E393" s="27" t="n">
        <v>86</v>
      </c>
      <c r="F393" s="27" t="n">
        <v>235</v>
      </c>
      <c r="G393" s="27" t="n">
        <v>12</v>
      </c>
      <c r="H393" s="28" t="n">
        <v>335.68</v>
      </c>
      <c r="I393" s="28" t="n">
        <v>0</v>
      </c>
      <c r="J393" s="94" t="inlineStr">
        <is>
          <t>False</t>
        </is>
      </c>
      <c r="K393" s="28" t="n">
        <v>0</v>
      </c>
      <c r="L393" s="25" t="inlineStr">
        <is>
          <t>WHISKY - CANANDIAN</t>
        </is>
      </c>
      <c r="M393" s="25" t="inlineStr">
        <is>
          <t>DIAGEO AMERICAS INC</t>
        </is>
      </c>
      <c r="N393" s="25" t="inlineStr">
        <is>
          <t>040010-SOUTHERN GLAZERS WINE AND SPIRITS OF MISSISSIPPI LLC</t>
        </is>
      </c>
      <c r="O393" s="25" t="n"/>
      <c r="P393" s="25" t="inlineStr">
        <is>
          <t>10082000771583</t>
        </is>
      </c>
      <c r="Q393" s="25" t="inlineStr">
        <is>
          <t>0082000771586</t>
        </is>
      </c>
      <c r="R393" s="78" t="n">
        <v>42370</v>
      </c>
    </row>
    <row r="394">
      <c r="A394" t="inlineStr">
        <is>
          <t>or item code =</t>
        </is>
      </c>
      <c r="B394" s="25" t="inlineStr">
        <is>
          <t>10809</t>
        </is>
      </c>
      <c r="C394" s="25" t="inlineStr">
        <is>
          <t>CROWN ROYAL REGAL APPLE FLAVORED WHISKEY</t>
        </is>
      </c>
      <c r="D394" s="25" t="inlineStr">
        <is>
          <t>1.75L</t>
        </is>
      </c>
      <c r="E394" s="27" t="n">
        <v>198</v>
      </c>
      <c r="F394" s="27" t="n">
        <v>108</v>
      </c>
      <c r="G394" s="27" t="n">
        <v>6</v>
      </c>
      <c r="H394" s="28" t="n">
        <v>279.4</v>
      </c>
      <c r="I394" s="28" t="n">
        <v>0</v>
      </c>
      <c r="J394" s="94" t="inlineStr">
        <is>
          <t>False</t>
        </is>
      </c>
      <c r="K394" s="28" t="n">
        <v>0</v>
      </c>
      <c r="L394" s="25" t="inlineStr">
        <is>
          <t>WHISKY - CANANDIAN</t>
        </is>
      </c>
      <c r="M394" s="25" t="inlineStr">
        <is>
          <t>DIAGEO AMERICAS INC</t>
        </is>
      </c>
      <c r="N394" s="25" t="inlineStr">
        <is>
          <t>040010-SOUTHERN GLAZERS WINE AND SPIRITS OF MISSISSIPPI LLC</t>
        </is>
      </c>
      <c r="O394" s="25" t="n"/>
      <c r="P394" s="25" t="inlineStr">
        <is>
          <t>00082000778462</t>
        </is>
      </c>
      <c r="Q394" s="25" t="inlineStr">
        <is>
          <t>0082000771593</t>
        </is>
      </c>
      <c r="R394" s="78" t="n">
        <v>42370</v>
      </c>
    </row>
    <row r="395">
      <c r="A395" t="inlineStr">
        <is>
          <t>or item code =</t>
        </is>
      </c>
      <c r="B395" s="25" t="inlineStr">
        <is>
          <t>10805</t>
        </is>
      </c>
      <c r="C395" s="25" t="inlineStr">
        <is>
          <t>CROWN ROYAL REGAL APPLE FLAVORED WHISKEY</t>
        </is>
      </c>
      <c r="D395" s="25" t="inlineStr">
        <is>
          <t>375ml</t>
        </is>
      </c>
      <c r="E395" s="27" t="n">
        <v>413</v>
      </c>
      <c r="F395" s="27" t="n">
        <v>433</v>
      </c>
      <c r="G395" s="27" t="n">
        <v>24</v>
      </c>
      <c r="H395" s="28" t="n">
        <v>261.75</v>
      </c>
      <c r="I395" s="28" t="n">
        <v>0</v>
      </c>
      <c r="J395" s="94" t="inlineStr">
        <is>
          <t>False</t>
        </is>
      </c>
      <c r="K395" s="28" t="n">
        <v>0</v>
      </c>
      <c r="L395" s="25" t="inlineStr">
        <is>
          <t>WHISKY - CANANDIAN</t>
        </is>
      </c>
      <c r="M395" s="25" t="inlineStr">
        <is>
          <t>DIAGEO AMERICAS INC</t>
        </is>
      </c>
      <c r="N395" s="25" t="inlineStr">
        <is>
          <t>040010-SOUTHERN GLAZERS WINE AND SPIRITS OF MISSISSIPPI LLC</t>
        </is>
      </c>
      <c r="O395" s="25" t="n"/>
      <c r="P395" s="25" t="inlineStr">
        <is>
          <t>00082000777274</t>
        </is>
      </c>
      <c r="Q395" s="25" t="inlineStr">
        <is>
          <t>0082000771555</t>
        </is>
      </c>
      <c r="R395" s="78" t="n">
        <v>42370</v>
      </c>
    </row>
    <row r="396">
      <c r="A396" t="inlineStr">
        <is>
          <t>or item code =</t>
        </is>
      </c>
      <c r="B396" s="25" t="inlineStr">
        <is>
          <t>10807</t>
        </is>
      </c>
      <c r="C396" s="25" t="inlineStr">
        <is>
          <t>CROWN ROYAL REGAL APPLE FLAVORED WHISKEY</t>
        </is>
      </c>
      <c r="D396" s="25" t="inlineStr">
        <is>
          <t>750ml</t>
        </is>
      </c>
      <c r="E396" s="27" t="n">
        <v>174</v>
      </c>
      <c r="F396" s="27" t="n">
        <v>261</v>
      </c>
      <c r="G396" s="27" t="n">
        <v>12</v>
      </c>
      <c r="H396" s="28" t="n">
        <v>288.59</v>
      </c>
      <c r="I396" s="28" t="n">
        <v>0</v>
      </c>
      <c r="J396" s="94" t="inlineStr">
        <is>
          <t>False</t>
        </is>
      </c>
      <c r="K396" s="28" t="n">
        <v>0</v>
      </c>
      <c r="L396" s="25" t="inlineStr">
        <is>
          <t>WHISKY - CANANDIAN</t>
        </is>
      </c>
      <c r="M396" s="25" t="inlineStr">
        <is>
          <t>DIAGEO AMERICAS INC</t>
        </is>
      </c>
      <c r="N396" s="25" t="inlineStr">
        <is>
          <t>040010-SOUTHERN GLAZERS WINE AND SPIRITS OF MISSISSIPPI LLC</t>
        </is>
      </c>
      <c r="O396" s="25" t="n"/>
      <c r="P396" s="25" t="inlineStr">
        <is>
          <t>10082000771569</t>
        </is>
      </c>
      <c r="Q396" s="25" t="inlineStr">
        <is>
          <t>0082000771562</t>
        </is>
      </c>
      <c r="R396" s="78" t="n">
        <v>42370</v>
      </c>
    </row>
    <row r="397">
      <c r="A397" t="inlineStr">
        <is>
          <t>or item code =</t>
        </is>
      </c>
      <c r="B397" s="25" t="inlineStr">
        <is>
          <t>10803</t>
        </is>
      </c>
      <c r="C397" s="25" t="inlineStr">
        <is>
          <t>CROWN ROYAL REGAL APPLE FLAVORED WHISKEY</t>
        </is>
      </c>
      <c r="D397" s="25" t="inlineStr">
        <is>
          <t>50ml</t>
        </is>
      </c>
      <c r="E397" s="27" t="n">
        <v>33</v>
      </c>
      <c r="F397" s="27" t="n">
        <v>97</v>
      </c>
      <c r="G397" s="27" t="n">
        <v>60</v>
      </c>
      <c r="H397" s="28" t="n">
        <v>117.7</v>
      </c>
      <c r="I397" s="28" t="n">
        <v>0</v>
      </c>
      <c r="J397" s="94" t="inlineStr">
        <is>
          <t>False</t>
        </is>
      </c>
      <c r="K397" s="28" t="n">
        <v>0</v>
      </c>
      <c r="L397" s="25" t="inlineStr">
        <is>
          <t>WHISKY - CANANDIAN</t>
        </is>
      </c>
      <c r="M397" s="25" t="inlineStr">
        <is>
          <t>DIAGEO AMERICAS INC</t>
        </is>
      </c>
      <c r="N397" s="25" t="inlineStr">
        <is>
          <t>040010-SOUTHERN GLAZERS WINE AND SPIRITS OF MISSISSIPPI LLC</t>
        </is>
      </c>
      <c r="O397" s="25" t="n"/>
      <c r="P397" s="25" t="inlineStr">
        <is>
          <t>10082000771524</t>
        </is>
      </c>
      <c r="Q397" s="25" t="inlineStr">
        <is>
          <t>082000771524</t>
        </is>
      </c>
      <c r="R397" s="78" t="n">
        <v>42370</v>
      </c>
    </row>
    <row r="398">
      <c r="A398" t="inlineStr">
        <is>
          <t>or item code =</t>
        </is>
      </c>
      <c r="B398" s="25" t="inlineStr">
        <is>
          <t>10784</t>
        </is>
      </c>
      <c r="C398" s="25" t="inlineStr">
        <is>
          <t>CROWN ROYAL SALTED CARAMEL FLAVORED WHISKEY</t>
        </is>
      </c>
      <c r="D398" s="25" t="inlineStr">
        <is>
          <t>750ml</t>
        </is>
      </c>
      <c r="E398" s="27" t="n">
        <v>3</v>
      </c>
      <c r="F398" s="27" t="n">
        <v>0</v>
      </c>
      <c r="G398" s="27" t="n">
        <v>12</v>
      </c>
      <c r="H398" s="28" t="n">
        <v>288.59</v>
      </c>
      <c r="I398" s="28" t="n">
        <v>0</v>
      </c>
      <c r="J398" s="94" t="inlineStr">
        <is>
          <t>False</t>
        </is>
      </c>
      <c r="K398" s="28" t="n">
        <v>0</v>
      </c>
      <c r="L398" s="25" t="inlineStr">
        <is>
          <t>LTO - Limited Time Offer</t>
        </is>
      </c>
      <c r="M398" s="25" t="inlineStr">
        <is>
          <t>DIAGEO AMERICAS INC</t>
        </is>
      </c>
      <c r="N398" s="25" t="inlineStr">
        <is>
          <t>040010-SOUTHERN GLAZERS WINE AND SPIRITS OF MISSISSIPPI LLC</t>
        </is>
      </c>
      <c r="O398" s="25" t="inlineStr">
        <is>
          <t>Temporarily Unavailable for Sale</t>
        </is>
      </c>
      <c r="P398" s="25" t="inlineStr">
        <is>
          <t>10082000783975</t>
        </is>
      </c>
      <c r="Q398" s="25" t="inlineStr">
        <is>
          <t>082000783978</t>
        </is>
      </c>
      <c r="R398" s="27" t="n"/>
    </row>
    <row r="399">
      <c r="A399" t="inlineStr">
        <is>
          <t>or item code =</t>
        </is>
      </c>
      <c r="B399" s="25" t="inlineStr">
        <is>
          <t>11364</t>
        </is>
      </c>
      <c r="C399" s="25" t="inlineStr">
        <is>
          <t>CROWN ROYAL SPECIAL RESERVE</t>
        </is>
      </c>
      <c r="D399" s="25" t="inlineStr">
        <is>
          <t>375ml</t>
        </is>
      </c>
      <c r="E399" s="27" t="n">
        <v>7</v>
      </c>
      <c r="F399" s="27" t="n">
        <v>16</v>
      </c>
      <c r="G399" s="27" t="n">
        <v>12</v>
      </c>
      <c r="H399" s="28" t="n">
        <v>233.16</v>
      </c>
      <c r="I399" s="28" t="n">
        <v>0</v>
      </c>
      <c r="J399" s="94" t="inlineStr">
        <is>
          <t>False</t>
        </is>
      </c>
      <c r="K399" s="28" t="n">
        <v>0</v>
      </c>
      <c r="L399" s="25" t="inlineStr">
        <is>
          <t>WHISKY - CANANDIAN</t>
        </is>
      </c>
      <c r="M399" s="25" t="inlineStr">
        <is>
          <t>DIAGEO AMERICAS INC</t>
        </is>
      </c>
      <c r="N399" s="25" t="inlineStr">
        <is>
          <t>040010-SOUTHERN GLAZERS WINE AND SPIRITS OF MISSISSIPPI LLC</t>
        </is>
      </c>
      <c r="O399" s="25" t="n"/>
      <c r="P399" s="25" t="inlineStr">
        <is>
          <t>00082000742319</t>
        </is>
      </c>
      <c r="Q399" s="25" t="inlineStr">
        <is>
          <t>0087000202238</t>
        </is>
      </c>
      <c r="R399" s="78" t="n">
        <v>42370</v>
      </c>
    </row>
    <row r="400">
      <c r="A400" t="inlineStr">
        <is>
          <t>or item code =</t>
        </is>
      </c>
      <c r="B400" s="25" t="inlineStr">
        <is>
          <t>11366</t>
        </is>
      </c>
      <c r="C400" s="25" t="inlineStr">
        <is>
          <t>CROWN ROYAL SPECIAL RESERVE</t>
        </is>
      </c>
      <c r="D400" s="25" t="inlineStr">
        <is>
          <t>750ml</t>
        </is>
      </c>
      <c r="E400" s="27" t="n">
        <v>0</v>
      </c>
      <c r="F400" s="27" t="n">
        <v>6</v>
      </c>
      <c r="G400" s="27" t="n">
        <v>12</v>
      </c>
      <c r="H400" s="28" t="n">
        <v>463.91</v>
      </c>
      <c r="I400" s="28" t="n">
        <v>0</v>
      </c>
      <c r="J400" s="94" t="inlineStr">
        <is>
          <t>False</t>
        </is>
      </c>
      <c r="K400" s="28" t="n">
        <v>0</v>
      </c>
      <c r="L400" s="25" t="inlineStr">
        <is>
          <t>WHISKY - CANANDIAN</t>
        </is>
      </c>
      <c r="M400" s="25" t="inlineStr">
        <is>
          <t>DIAGEO AMERICAS INC</t>
        </is>
      </c>
      <c r="N400" s="25" t="inlineStr">
        <is>
          <t>040010-SOUTHERN GLAZERS WINE AND SPIRITS OF MISSISSIPPI LLC</t>
        </is>
      </c>
      <c r="O400" s="25" t="n"/>
      <c r="P400" s="25" t="inlineStr">
        <is>
          <t>00082000763888</t>
        </is>
      </c>
      <c r="Q400" s="25" t="inlineStr">
        <is>
          <t>0087000201330</t>
        </is>
      </c>
      <c r="R400" s="78" t="n">
        <v>42279</v>
      </c>
    </row>
    <row r="401">
      <c r="A401" t="inlineStr">
        <is>
          <t>or item code =</t>
        </is>
      </c>
      <c r="B401" s="25" t="inlineStr">
        <is>
          <t>10790</t>
        </is>
      </c>
      <c r="C401" s="25" t="inlineStr">
        <is>
          <t>CROWN ROYAL VANILLA FLAVORED WHISKEY</t>
        </is>
      </c>
      <c r="D401" s="25" t="inlineStr">
        <is>
          <t>375ml</t>
        </is>
      </c>
      <c r="E401" s="27" t="n">
        <v>0</v>
      </c>
      <c r="F401" s="27" t="n">
        <v>105</v>
      </c>
      <c r="G401" s="27" t="n">
        <v>24</v>
      </c>
      <c r="H401" s="28" t="n">
        <v>261.75</v>
      </c>
      <c r="I401" s="28" t="n">
        <v>0</v>
      </c>
      <c r="J401" s="94" t="inlineStr">
        <is>
          <t>False</t>
        </is>
      </c>
      <c r="K401" s="28" t="n">
        <v>0</v>
      </c>
      <c r="L401" s="25" t="inlineStr">
        <is>
          <t>WHISKY - CANANDIAN</t>
        </is>
      </c>
      <c r="M401" s="25" t="inlineStr">
        <is>
          <t>DIAGEO AMERICAS INC</t>
        </is>
      </c>
      <c r="N401" s="25" t="inlineStr">
        <is>
          <t>040010-SOUTHERN GLAZERS WINE AND SPIRITS OF MISSISSIPPI LLC</t>
        </is>
      </c>
      <c r="O401" s="25" t="n"/>
      <c r="P401" s="25" t="inlineStr">
        <is>
          <t>10082000776588</t>
        </is>
      </c>
      <c r="Q401" s="25" t="inlineStr">
        <is>
          <t>082000776581</t>
        </is>
      </c>
      <c r="R401" s="78" t="n">
        <v>42585</v>
      </c>
    </row>
    <row r="402">
      <c r="A402" t="inlineStr">
        <is>
          <t>or item code =</t>
        </is>
      </c>
      <c r="B402" s="25" t="inlineStr">
        <is>
          <t>10791</t>
        </is>
      </c>
      <c r="C402" s="25" t="inlineStr">
        <is>
          <t>CROWN ROYAL VANILLA FLAVORED WHISKEY</t>
        </is>
      </c>
      <c r="D402" s="25" t="inlineStr">
        <is>
          <t>750ml</t>
        </is>
      </c>
      <c r="E402" s="27" t="n">
        <v>0</v>
      </c>
      <c r="F402" s="27" t="n">
        <v>23</v>
      </c>
      <c r="G402" s="27" t="n">
        <v>12</v>
      </c>
      <c r="H402" s="28" t="n">
        <v>288.59</v>
      </c>
      <c r="I402" s="28" t="n">
        <v>0</v>
      </c>
      <c r="J402" s="94" t="inlineStr">
        <is>
          <t>False</t>
        </is>
      </c>
      <c r="K402" s="28" t="n">
        <v>0</v>
      </c>
      <c r="L402" s="25" t="inlineStr">
        <is>
          <t>WHISKY - CANANDIAN</t>
        </is>
      </c>
      <c r="M402" s="25" t="inlineStr">
        <is>
          <t>DIAGEO AMERICAS INC</t>
        </is>
      </c>
      <c r="N402" s="25" t="inlineStr">
        <is>
          <t>040010-SOUTHERN GLAZERS WINE AND SPIRITS OF MISSISSIPPI LLC</t>
        </is>
      </c>
      <c r="O402" s="25" t="n"/>
      <c r="P402" s="25" t="inlineStr">
        <is>
          <t>10082000776595</t>
        </is>
      </c>
      <c r="Q402" s="25" t="inlineStr">
        <is>
          <t>0082000776598</t>
        </is>
      </c>
      <c r="R402" s="78" t="n">
        <v>42370</v>
      </c>
    </row>
    <row r="403">
      <c r="A403" t="inlineStr">
        <is>
          <t>or item code =</t>
        </is>
      </c>
      <c r="B403" s="25" t="inlineStr">
        <is>
          <t>10793</t>
        </is>
      </c>
      <c r="C403" s="25" t="inlineStr">
        <is>
          <t>CROWN ROYAL VANILLA FLAVORED WHISKEY</t>
        </is>
      </c>
      <c r="D403" s="25" t="inlineStr">
        <is>
          <t>1.75L</t>
        </is>
      </c>
      <c r="E403" s="27" t="n">
        <v>104</v>
      </c>
      <c r="F403" s="27" t="n">
        <v>43</v>
      </c>
      <c r="G403" s="27" t="n">
        <v>6</v>
      </c>
      <c r="H403" s="28" t="n">
        <v>279.4</v>
      </c>
      <c r="I403" s="28" t="n">
        <v>0</v>
      </c>
      <c r="J403" s="94" t="inlineStr">
        <is>
          <t>False</t>
        </is>
      </c>
      <c r="K403" s="28" t="n">
        <v>0</v>
      </c>
      <c r="L403" s="25" t="inlineStr">
        <is>
          <t>WHISKY - CANANDIAN</t>
        </is>
      </c>
      <c r="M403" s="25" t="inlineStr">
        <is>
          <t>DIAGEO AMERICAS INC</t>
        </is>
      </c>
      <c r="N403" s="25" t="inlineStr">
        <is>
          <t>040010-SOUTHERN GLAZERS WINE AND SPIRITS OF MISSISSIPPI LLC</t>
        </is>
      </c>
      <c r="O403" s="25" t="n"/>
      <c r="P403" s="25" t="inlineStr">
        <is>
          <t>10082000776618</t>
        </is>
      </c>
      <c r="Q403" s="25" t="inlineStr">
        <is>
          <t>0082000776611</t>
        </is>
      </c>
      <c r="R403" s="78" t="n">
        <v>42815</v>
      </c>
    </row>
    <row r="404">
      <c r="A404" t="inlineStr">
        <is>
          <t>or item code =</t>
        </is>
      </c>
      <c r="B404" s="25" t="inlineStr">
        <is>
          <t>10789</t>
        </is>
      </c>
      <c r="C404" s="25" t="inlineStr">
        <is>
          <t>CROWN ROYAL VANILLA FLAVORED WHISKEY</t>
        </is>
      </c>
      <c r="D404" s="25" t="inlineStr">
        <is>
          <t>200ml</t>
        </is>
      </c>
      <c r="E404" s="27" t="n">
        <v>131</v>
      </c>
      <c r="F404" s="27" t="n">
        <v>43</v>
      </c>
      <c r="G404" s="27" t="n">
        <v>44</v>
      </c>
      <c r="H404" s="28" t="n">
        <v>273.09</v>
      </c>
      <c r="I404" s="28" t="n">
        <v>0</v>
      </c>
      <c r="J404" s="94" t="inlineStr">
        <is>
          <t>False</t>
        </is>
      </c>
      <c r="K404" s="28" t="n">
        <v>0</v>
      </c>
      <c r="L404" s="25" t="inlineStr">
        <is>
          <t>WHISKY - CANANDIAN</t>
        </is>
      </c>
      <c r="M404" s="25" t="inlineStr">
        <is>
          <t>DIAGEO AMERICAS INC</t>
        </is>
      </c>
      <c r="N404" s="25" t="inlineStr">
        <is>
          <t>040010-SOUTHERN GLAZERS WINE AND SPIRITS OF MISSISSIPPI LLC</t>
        </is>
      </c>
      <c r="O404" s="25" t="n"/>
      <c r="P404" s="25" t="inlineStr">
        <is>
          <t>10082000776571</t>
        </is>
      </c>
      <c r="Q404" s="25" t="inlineStr">
        <is>
          <t>0082000776574</t>
        </is>
      </c>
      <c r="R404" s="78" t="n">
        <v>42585</v>
      </c>
    </row>
    <row r="405">
      <c r="A405" t="inlineStr">
        <is>
          <t>or item code =</t>
        </is>
      </c>
      <c r="B405" s="25" t="inlineStr">
        <is>
          <t>10826</t>
        </is>
      </c>
      <c r="C405" s="25" t="inlineStr">
        <is>
          <t>CROWN ROYAL XO BLENDED CANADIAN WHISKEY</t>
        </is>
      </c>
      <c r="D405" s="25" t="inlineStr">
        <is>
          <t>750ml</t>
        </is>
      </c>
      <c r="E405" s="27" t="n">
        <v>0</v>
      </c>
      <c r="F405" s="27" t="n">
        <v>7</v>
      </c>
      <c r="G405" s="27" t="n">
        <v>12</v>
      </c>
      <c r="H405" s="28" t="n">
        <v>484.58</v>
      </c>
      <c r="I405" s="28" t="n">
        <v>0</v>
      </c>
      <c r="J405" s="94" t="inlineStr">
        <is>
          <t>False</t>
        </is>
      </c>
      <c r="K405" s="28" t="n">
        <v>0</v>
      </c>
      <c r="L405" s="25" t="inlineStr">
        <is>
          <t>WHISKY - CANANDIAN</t>
        </is>
      </c>
      <c r="M405" s="25" t="inlineStr">
        <is>
          <t>DIAGEO AMERICAS INC</t>
        </is>
      </c>
      <c r="N405" s="25" t="inlineStr">
        <is>
          <t>040010-SOUTHERN GLAZERS WINE AND SPIRITS OF MISSISSIPPI LLC</t>
        </is>
      </c>
      <c r="O405" s="25" t="n"/>
      <c r="P405" s="25" t="inlineStr">
        <is>
          <t>10082000003820</t>
        </is>
      </c>
      <c r="Q405" s="25" t="inlineStr">
        <is>
          <t>08238203</t>
        </is>
      </c>
      <c r="R405" s="78" t="n">
        <v>42370</v>
      </c>
    </row>
    <row r="406">
      <c r="A406" t="inlineStr">
        <is>
          <t>or item code =</t>
        </is>
      </c>
      <c r="B406" s="25" t="inlineStr">
        <is>
          <t>29868</t>
        </is>
      </c>
      <c r="C406" s="25" t="inlineStr">
        <is>
          <t>CROWN RUSSE GIN</t>
        </is>
      </c>
      <c r="D406" s="25" t="inlineStr">
        <is>
          <t>1.75L</t>
        </is>
      </c>
      <c r="E406" s="27" t="n">
        <v>53</v>
      </c>
      <c r="F406" s="27" t="n">
        <v>47</v>
      </c>
      <c r="G406" s="27" t="n">
        <v>6</v>
      </c>
      <c r="H406" s="28" t="n">
        <v>65.75</v>
      </c>
      <c r="I406" s="28" t="n">
        <v>0</v>
      </c>
      <c r="J406" s="94" t="inlineStr">
        <is>
          <t>False</t>
        </is>
      </c>
      <c r="K406" s="28" t="n">
        <v>0</v>
      </c>
      <c r="L406" s="25" t="inlineStr">
        <is>
          <t>GIN</t>
        </is>
      </c>
      <c r="M406" s="25" t="inlineStr">
        <is>
          <t>SAZERAC COMPANY</t>
        </is>
      </c>
      <c r="N406" s="25" t="inlineStr">
        <is>
          <t>040002-RNDC-MAGNOLIA</t>
        </is>
      </c>
      <c r="O406" s="25" t="n"/>
      <c r="P406" s="25" t="inlineStr">
        <is>
          <t>10088004060821</t>
        </is>
      </c>
      <c r="Q406" s="25" t="inlineStr">
        <is>
          <t>0088004060824</t>
        </is>
      </c>
      <c r="R406" s="78" t="n">
        <v>42370</v>
      </c>
    </row>
    <row r="407">
      <c r="A407" t="inlineStr">
        <is>
          <t>or item code =</t>
        </is>
      </c>
      <c r="B407" s="25" t="inlineStr">
        <is>
          <t>35648</t>
        </is>
      </c>
      <c r="C407" s="25" t="inlineStr">
        <is>
          <t>CROWN RUSSE VODKA</t>
        </is>
      </c>
      <c r="D407" s="25" t="inlineStr">
        <is>
          <t>1.75L</t>
        </is>
      </c>
      <c r="E407" s="27" t="n">
        <v>540</v>
      </c>
      <c r="F407" s="27" t="n">
        <v>278</v>
      </c>
      <c r="G407" s="27" t="n">
        <v>6</v>
      </c>
      <c r="H407" s="28" t="n">
        <v>58.93</v>
      </c>
      <c r="I407" s="28" t="n">
        <v>0</v>
      </c>
      <c r="J407" s="94" t="inlineStr">
        <is>
          <t>False</t>
        </is>
      </c>
      <c r="K407" s="28" t="n">
        <v>0</v>
      </c>
      <c r="L407" s="25" t="inlineStr">
        <is>
          <t>VODKA</t>
        </is>
      </c>
      <c r="M407" s="25" t="inlineStr">
        <is>
          <t>SAZERAC COMPANY</t>
        </is>
      </c>
      <c r="N407" s="25" t="inlineStr">
        <is>
          <t>040002-RNDC-MAGNOLIA</t>
        </is>
      </c>
      <c r="O407" s="25" t="n"/>
      <c r="P407" s="25" t="inlineStr">
        <is>
          <t>10088004011625</t>
        </is>
      </c>
      <c r="Q407" s="25" t="inlineStr">
        <is>
          <t>088004011628</t>
        </is>
      </c>
      <c r="R407" s="78" t="n">
        <v>42370</v>
      </c>
    </row>
    <row r="408">
      <c r="A408" t="inlineStr">
        <is>
          <t>or item code =</t>
        </is>
      </c>
      <c r="B408" s="25" t="inlineStr">
        <is>
          <t>44436</t>
        </is>
      </c>
      <c r="C408" s="25" t="inlineStr">
        <is>
          <t>CRUZAN BANANA FLAVORED V.I. RUM</t>
        </is>
      </c>
      <c r="D408" s="25" t="inlineStr">
        <is>
          <t>750ml</t>
        </is>
      </c>
      <c r="E408" s="27" t="n">
        <v>24</v>
      </c>
      <c r="F408" s="27" t="n">
        <v>11</v>
      </c>
      <c r="G408" s="27" t="n">
        <v>12</v>
      </c>
      <c r="H408" s="28" t="n">
        <v>110.66</v>
      </c>
      <c r="I408" s="28" t="n">
        <v>0</v>
      </c>
      <c r="J408" s="94" t="inlineStr">
        <is>
          <t>False</t>
        </is>
      </c>
      <c r="K408" s="28" t="n">
        <v>0</v>
      </c>
      <c r="L408" s="25" t="inlineStr">
        <is>
          <t>RUM</t>
        </is>
      </c>
      <c r="M408" s="25" t="inlineStr">
        <is>
          <t>JIM BEAM BRANDS CO</t>
        </is>
      </c>
      <c r="N408" s="25" t="inlineStr">
        <is>
          <t>040010-SOUTHERN GLAZERS WINE AND SPIRITS OF MISSISSIPPI LLC</t>
        </is>
      </c>
      <c r="O408" s="25" t="n"/>
      <c r="P408" s="25" t="inlineStr">
        <is>
          <t>20080686967709</t>
        </is>
      </c>
      <c r="Q408" s="25" t="inlineStr">
        <is>
          <t>0080686967705</t>
        </is>
      </c>
      <c r="R408" s="78" t="n">
        <v>42370</v>
      </c>
    </row>
    <row r="409">
      <c r="A409" t="inlineStr">
        <is>
          <t>or item code =</t>
        </is>
      </c>
      <c r="B409" s="25" t="inlineStr">
        <is>
          <t>44476</t>
        </is>
      </c>
      <c r="C409" s="25" t="inlineStr">
        <is>
          <t>CRUZAN COCONUT FLAVORED V.I. RUM</t>
        </is>
      </c>
      <c r="D409" s="25" t="inlineStr">
        <is>
          <t>750ml</t>
        </is>
      </c>
      <c r="E409" s="27" t="n">
        <v>16</v>
      </c>
      <c r="F409" s="27" t="n">
        <v>102</v>
      </c>
      <c r="G409" s="27" t="n">
        <v>12</v>
      </c>
      <c r="H409" s="28" t="n">
        <v>110.66</v>
      </c>
      <c r="I409" s="28" t="n">
        <v>0</v>
      </c>
      <c r="J409" s="94" t="inlineStr">
        <is>
          <t>False</t>
        </is>
      </c>
      <c r="K409" s="28" t="n">
        <v>0</v>
      </c>
      <c r="L409" s="25" t="inlineStr">
        <is>
          <t>RUM</t>
        </is>
      </c>
      <c r="M409" s="25" t="inlineStr">
        <is>
          <t>JIM BEAM BRANDS CO</t>
        </is>
      </c>
      <c r="N409" s="25" t="inlineStr">
        <is>
          <t>040010-SOUTHERN GLAZERS WINE AND SPIRITS OF MISSISSIPPI LLC</t>
        </is>
      </c>
      <c r="O409" s="25" t="n"/>
      <c r="P409" s="25" t="inlineStr">
        <is>
          <t>20080686967716</t>
        </is>
      </c>
      <c r="Q409" s="25" t="inlineStr">
        <is>
          <t>0080686967712</t>
        </is>
      </c>
      <c r="R409" s="78" t="n">
        <v>42370</v>
      </c>
    </row>
    <row r="410">
      <c r="A410" t="inlineStr">
        <is>
          <t>or item code =</t>
        </is>
      </c>
      <c r="B410" s="25" t="inlineStr">
        <is>
          <t>44486</t>
        </is>
      </c>
      <c r="C410" s="25" t="inlineStr">
        <is>
          <t>CRUZAN DARK RUM</t>
        </is>
      </c>
      <c r="D410" s="25" t="inlineStr">
        <is>
          <t>750ml</t>
        </is>
      </c>
      <c r="E410" s="27" t="n">
        <v>37</v>
      </c>
      <c r="F410" s="27" t="n">
        <v>27</v>
      </c>
      <c r="G410" s="27" t="n">
        <v>12</v>
      </c>
      <c r="H410" s="28" t="n">
        <v>110.66</v>
      </c>
      <c r="I410" s="28" t="n">
        <v>0</v>
      </c>
      <c r="J410" s="94" t="inlineStr">
        <is>
          <t>False</t>
        </is>
      </c>
      <c r="K410" s="28" t="n">
        <v>0</v>
      </c>
      <c r="L410" s="25" t="inlineStr">
        <is>
          <t>RUM</t>
        </is>
      </c>
      <c r="M410" s="25" t="inlineStr">
        <is>
          <t>JIM BEAM BRANDS CO</t>
        </is>
      </c>
      <c r="N410" s="25" t="inlineStr">
        <is>
          <t>040010-SOUTHERN GLAZERS WINE AND SPIRITS OF MISSISSIPPI LLC</t>
        </is>
      </c>
      <c r="O410" s="25" t="n"/>
      <c r="P410" s="25" t="inlineStr">
        <is>
          <t>20080686967464</t>
        </is>
      </c>
      <c r="Q410" s="25" t="inlineStr">
        <is>
          <t>080686967460</t>
        </is>
      </c>
      <c r="R410" s="78" t="n">
        <v>42370</v>
      </c>
    </row>
    <row r="411">
      <c r="A411" t="inlineStr">
        <is>
          <t>or item code =</t>
        </is>
      </c>
      <c r="B411" s="25" t="inlineStr">
        <is>
          <t>44499</t>
        </is>
      </c>
      <c r="C411" s="25" t="inlineStr">
        <is>
          <t>CRUZAN MANGO FLAVORED RUM</t>
        </is>
      </c>
      <c r="D411" s="25" t="inlineStr">
        <is>
          <t>750ml</t>
        </is>
      </c>
      <c r="E411" s="27" t="n">
        <v>85</v>
      </c>
      <c r="F411" s="27" t="n">
        <v>10</v>
      </c>
      <c r="G411" s="27" t="n">
        <v>12</v>
      </c>
      <c r="H411" s="28" t="n">
        <v>110.66</v>
      </c>
      <c r="I411" s="28" t="n">
        <v>0</v>
      </c>
      <c r="J411" s="94" t="inlineStr">
        <is>
          <t>False</t>
        </is>
      </c>
      <c r="K411" s="28" t="n">
        <v>0</v>
      </c>
      <c r="L411" s="25" t="inlineStr">
        <is>
          <t>RUM</t>
        </is>
      </c>
      <c r="M411" s="25" t="inlineStr">
        <is>
          <t>JIM BEAM BRANDS CO</t>
        </is>
      </c>
      <c r="N411" s="25" t="inlineStr">
        <is>
          <t>040010-SOUTHERN GLAZERS WINE AND SPIRITS OF MISSISSIPPI LLC</t>
        </is>
      </c>
      <c r="O411" s="25" t="n"/>
      <c r="P411" s="25" t="inlineStr">
        <is>
          <t>20080686970242</t>
        </is>
      </c>
      <c r="Q411" s="25" t="inlineStr">
        <is>
          <t>0080686970248</t>
        </is>
      </c>
      <c r="R411" s="78" t="n">
        <v>42370</v>
      </c>
    </row>
    <row r="412">
      <c r="A412" t="inlineStr">
        <is>
          <t>or item code =</t>
        </is>
      </c>
      <c r="B412" s="25" t="inlineStr">
        <is>
          <t>44568</t>
        </is>
      </c>
      <c r="C412" s="25" t="inlineStr">
        <is>
          <t>CRUZAN PEACH FLAVORED RUM</t>
        </is>
      </c>
      <c r="D412" s="25" t="inlineStr">
        <is>
          <t>750ml</t>
        </is>
      </c>
      <c r="E412" s="27" t="n">
        <v>16</v>
      </c>
      <c r="F412" s="27" t="n">
        <v>11</v>
      </c>
      <c r="G412" s="27" t="n">
        <v>12</v>
      </c>
      <c r="H412" s="28" t="n">
        <v>110.66</v>
      </c>
      <c r="I412" s="28" t="n">
        <v>0</v>
      </c>
      <c r="J412" s="94" t="inlineStr">
        <is>
          <t>False</t>
        </is>
      </c>
      <c r="K412" s="28" t="n">
        <v>0</v>
      </c>
      <c r="L412" s="25" t="inlineStr">
        <is>
          <t>RUM</t>
        </is>
      </c>
      <c r="M412" s="25" t="inlineStr">
        <is>
          <t>JIM BEAM BRANDS CO</t>
        </is>
      </c>
      <c r="N412" s="25" t="inlineStr">
        <is>
          <t>040010-SOUTHERN GLAZERS WINE AND SPIRITS OF MISSISSIPPI LLC</t>
        </is>
      </c>
      <c r="O412" s="25" t="n"/>
      <c r="P412" s="25" t="inlineStr">
        <is>
          <t>20080686970594</t>
        </is>
      </c>
      <c r="Q412" s="25" t="inlineStr">
        <is>
          <t>080686970590</t>
        </is>
      </c>
      <c r="R412" s="78" t="n">
        <v>42370</v>
      </c>
    </row>
    <row r="413">
      <c r="A413" t="inlineStr">
        <is>
          <t>or item code =</t>
        </is>
      </c>
      <c r="B413" s="25" t="inlineStr">
        <is>
          <t>44506</t>
        </is>
      </c>
      <c r="C413" s="25" t="inlineStr">
        <is>
          <t>CRUZAN PINEAPPLE FLAVORED V.I. RUM</t>
        </is>
      </c>
      <c r="D413" s="25" t="inlineStr">
        <is>
          <t>750ml</t>
        </is>
      </c>
      <c r="E413" s="27" t="n">
        <v>77</v>
      </c>
      <c r="F413" s="27" t="n">
        <v>33</v>
      </c>
      <c r="G413" s="27" t="n">
        <v>12</v>
      </c>
      <c r="H413" s="28" t="n">
        <v>110.66</v>
      </c>
      <c r="I413" s="28" t="n">
        <v>0</v>
      </c>
      <c r="J413" s="94" t="inlineStr">
        <is>
          <t>False</t>
        </is>
      </c>
      <c r="K413" s="28" t="n">
        <v>0</v>
      </c>
      <c r="L413" s="25" t="inlineStr">
        <is>
          <t>RUM</t>
        </is>
      </c>
      <c r="M413" s="25" t="inlineStr">
        <is>
          <t>JIM BEAM BRANDS CO</t>
        </is>
      </c>
      <c r="N413" s="25" t="inlineStr">
        <is>
          <t>040010-SOUTHERN GLAZERS WINE AND SPIRITS OF MISSISSIPPI LLC</t>
        </is>
      </c>
      <c r="O413" s="25" t="n"/>
      <c r="P413" s="25" t="inlineStr">
        <is>
          <t>20080686967723</t>
        </is>
      </c>
      <c r="Q413" s="25" t="inlineStr">
        <is>
          <t>0080686967729</t>
        </is>
      </c>
      <c r="R413" s="78" t="n">
        <v>42370</v>
      </c>
    </row>
    <row r="414">
      <c r="A414" t="inlineStr">
        <is>
          <t>or item code =</t>
        </is>
      </c>
      <c r="B414" s="25" t="inlineStr">
        <is>
          <t>44557</t>
        </is>
      </c>
      <c r="C414" s="25" t="inlineStr">
        <is>
          <t>CRUZAN STRAWBERRY GINGER RUM</t>
        </is>
      </c>
      <c r="D414" s="25" t="inlineStr">
        <is>
          <t>750ml</t>
        </is>
      </c>
      <c r="E414" s="27" t="n">
        <v>52</v>
      </c>
      <c r="F414" s="27" t="n">
        <v>9</v>
      </c>
      <c r="G414" s="27" t="n">
        <v>12</v>
      </c>
      <c r="H414" s="28" t="n">
        <v>110.66</v>
      </c>
      <c r="I414" s="28" t="n">
        <v>0</v>
      </c>
      <c r="J414" s="94" t="inlineStr">
        <is>
          <t>False</t>
        </is>
      </c>
      <c r="K414" s="28" t="n">
        <v>0</v>
      </c>
      <c r="L414" s="25" t="inlineStr">
        <is>
          <t>RUM</t>
        </is>
      </c>
      <c r="M414" s="25" t="inlineStr">
        <is>
          <t>JIM BEAM BRANDS CO</t>
        </is>
      </c>
      <c r="N414" s="25" t="inlineStr">
        <is>
          <t>040010-SOUTHERN GLAZERS WINE AND SPIRITS OF MISSISSIPPI LLC</t>
        </is>
      </c>
      <c r="O414" s="25" t="n"/>
      <c r="P414" s="25" t="inlineStr">
        <is>
          <t>20080686973090</t>
        </is>
      </c>
      <c r="Q414" s="25" t="inlineStr">
        <is>
          <t>0080686973096</t>
        </is>
      </c>
      <c r="R414" s="78" t="n">
        <v>42370</v>
      </c>
    </row>
    <row r="415">
      <c r="A415" t="inlineStr">
        <is>
          <t>or item code =</t>
        </is>
      </c>
      <c r="B415" s="25" t="inlineStr">
        <is>
          <t>44516</t>
        </is>
      </c>
      <c r="C415" s="25" t="inlineStr">
        <is>
          <t>CRUZAN WHITE RUM</t>
        </is>
      </c>
      <c r="D415" s="25" t="inlineStr">
        <is>
          <t>750ml</t>
        </is>
      </c>
      <c r="E415" s="27" t="n">
        <v>338</v>
      </c>
      <c r="F415" s="27" t="n">
        <v>40</v>
      </c>
      <c r="G415" s="27" t="n">
        <v>12</v>
      </c>
      <c r="H415" s="28" t="n">
        <v>110.66</v>
      </c>
      <c r="I415" s="28" t="n">
        <v>0</v>
      </c>
      <c r="J415" s="94" t="inlineStr">
        <is>
          <t>False</t>
        </is>
      </c>
      <c r="K415" s="28" t="n">
        <v>0</v>
      </c>
      <c r="L415" s="25" t="inlineStr">
        <is>
          <t>RUM</t>
        </is>
      </c>
      <c r="M415" s="25" t="inlineStr">
        <is>
          <t>JIM BEAM BRANDS CO</t>
        </is>
      </c>
      <c r="N415" s="25" t="inlineStr">
        <is>
          <t>040010-SOUTHERN GLAZERS WINE AND SPIRITS OF MISSISSIPPI LLC</t>
        </is>
      </c>
      <c r="O415" s="25" t="n"/>
      <c r="P415" s="25" t="inlineStr">
        <is>
          <t>20080686967655</t>
        </is>
      </c>
      <c r="Q415" s="25" t="inlineStr">
        <is>
          <t>0080686967651</t>
        </is>
      </c>
      <c r="R415" s="78" t="n">
        <v>42370</v>
      </c>
    </row>
    <row r="416">
      <c r="A416" t="inlineStr">
        <is>
          <t>or item code =</t>
        </is>
      </c>
      <c r="B416" s="25" t="inlineStr">
        <is>
          <t>58835</t>
        </is>
      </c>
      <c r="C416" s="25" t="inlineStr">
        <is>
          <t>CUERVO AUTHETIC MARGARITAS</t>
        </is>
      </c>
      <c r="D416" s="25" t="inlineStr">
        <is>
          <t>200ml</t>
        </is>
      </c>
      <c r="E416" s="27" t="n">
        <v>65</v>
      </c>
      <c r="F416" s="27" t="n">
        <v>85</v>
      </c>
      <c r="G416" s="27" t="n">
        <v>24</v>
      </c>
      <c r="H416" s="28" t="n">
        <v>51.31</v>
      </c>
      <c r="I416" s="28" t="n">
        <v>0</v>
      </c>
      <c r="J416" s="94" t="inlineStr">
        <is>
          <t>False</t>
        </is>
      </c>
      <c r="K416" s="28" t="n">
        <v>0</v>
      </c>
      <c r="L416" s="25" t="inlineStr">
        <is>
          <t>COCKTAILS</t>
        </is>
      </c>
      <c r="M416" s="25" t="inlineStr">
        <is>
          <t>PROXIMO SPIRITS INC</t>
        </is>
      </c>
      <c r="N416" s="25" t="inlineStr">
        <is>
          <t>040002-RNDC-MAGNOLIA</t>
        </is>
      </c>
      <c r="O416" s="25" t="n"/>
      <c r="P416" s="25" t="inlineStr">
        <is>
          <t>00082000743347</t>
        </is>
      </c>
      <c r="Q416" s="25" t="inlineStr">
        <is>
          <t>0811538011136</t>
        </is>
      </c>
      <c r="R416" s="78" t="n">
        <v>42370</v>
      </c>
    </row>
    <row r="417">
      <c r="A417" t="inlineStr">
        <is>
          <t>or item code =</t>
        </is>
      </c>
      <c r="B417" s="25" t="inlineStr">
        <is>
          <t>58876</t>
        </is>
      </c>
      <c r="C417" s="25" t="inlineStr">
        <is>
          <t>CUERVO GOLD MARGARITA</t>
        </is>
      </c>
      <c r="D417" s="25" t="inlineStr">
        <is>
          <t>750ml</t>
        </is>
      </c>
      <c r="E417" s="27" t="n">
        <v>9</v>
      </c>
      <c r="F417" s="27" t="n">
        <v>30</v>
      </c>
      <c r="G417" s="27" t="n">
        <v>12</v>
      </c>
      <c r="H417" s="28" t="n">
        <v>125.48</v>
      </c>
      <c r="I417" s="28" t="n">
        <v>9.23</v>
      </c>
      <c r="J417" s="94" t="inlineStr">
        <is>
          <t>False</t>
        </is>
      </c>
      <c r="K417" s="28" t="n">
        <v>0</v>
      </c>
      <c r="L417" s="25" t="inlineStr">
        <is>
          <t>COCKTAILS</t>
        </is>
      </c>
      <c r="M417" s="25" t="inlineStr">
        <is>
          <t>PROXIMO SPIRITS INC</t>
        </is>
      </c>
      <c r="N417" s="25" t="inlineStr">
        <is>
          <t>040002-RNDC-MAGNOLIA</t>
        </is>
      </c>
      <c r="O417" s="25" t="n"/>
      <c r="P417" s="25" t="inlineStr">
        <is>
          <t>00082000758709</t>
        </is>
      </c>
      <c r="Q417" s="25" t="inlineStr">
        <is>
          <t>0811538010979</t>
        </is>
      </c>
      <c r="R417" s="78" t="n">
        <v>42370</v>
      </c>
    </row>
    <row r="418">
      <c r="A418" t="inlineStr">
        <is>
          <t>or item code =</t>
        </is>
      </c>
      <c r="B418" s="25" t="inlineStr">
        <is>
          <t>58875</t>
        </is>
      </c>
      <c r="C418" s="25" t="inlineStr">
        <is>
          <t>CUERVO GOLD MARGARITA</t>
        </is>
      </c>
      <c r="D418" s="25" t="inlineStr">
        <is>
          <t>1.75L</t>
        </is>
      </c>
      <c r="E418" s="27" t="n">
        <v>2</v>
      </c>
      <c r="F418" s="27" t="n">
        <v>115</v>
      </c>
      <c r="G418" s="27" t="n">
        <v>6</v>
      </c>
      <c r="H418" s="28" t="n">
        <v>110.72</v>
      </c>
      <c r="I418" s="28" t="n">
        <v>0</v>
      </c>
      <c r="J418" s="94" t="inlineStr">
        <is>
          <t>False</t>
        </is>
      </c>
      <c r="K418" s="28" t="n">
        <v>0</v>
      </c>
      <c r="L418" s="25" t="inlineStr">
        <is>
          <t>COCKTAILS</t>
        </is>
      </c>
      <c r="M418" s="25" t="inlineStr">
        <is>
          <t>PROXIMO SPIRITS INC</t>
        </is>
      </c>
      <c r="N418" s="25" t="inlineStr">
        <is>
          <t>040002-RNDC-MAGNOLIA</t>
        </is>
      </c>
      <c r="O418" s="25" t="n"/>
      <c r="P418" s="25" t="inlineStr">
        <is>
          <t>00008200073036</t>
        </is>
      </c>
      <c r="Q418" s="25" t="inlineStr">
        <is>
          <t>0811538010962</t>
        </is>
      </c>
      <c r="R418" s="78" t="n">
        <v>42370</v>
      </c>
    </row>
    <row r="419">
      <c r="A419" t="inlineStr">
        <is>
          <t>or item code =</t>
        </is>
      </c>
      <c r="B419" s="25" t="inlineStr">
        <is>
          <t>58838</t>
        </is>
      </c>
      <c r="C419" s="25" t="inlineStr">
        <is>
          <t>CUERVO LIME MARGARITA / 20PF</t>
        </is>
      </c>
      <c r="D419" s="25" t="inlineStr">
        <is>
          <t>1.75L</t>
        </is>
      </c>
      <c r="E419" s="27" t="n">
        <v>302</v>
      </c>
      <c r="F419" s="27" t="n">
        <v>163</v>
      </c>
      <c r="G419" s="27" t="n">
        <v>6</v>
      </c>
      <c r="H419" s="28" t="n">
        <v>96.88</v>
      </c>
      <c r="I419" s="28" t="n">
        <v>0</v>
      </c>
      <c r="J419" s="94" t="inlineStr">
        <is>
          <t>False</t>
        </is>
      </c>
      <c r="K419" s="28" t="n">
        <v>0</v>
      </c>
      <c r="L419" s="25" t="inlineStr">
        <is>
          <t>COCKTAILS</t>
        </is>
      </c>
      <c r="M419" s="25" t="inlineStr">
        <is>
          <t>PROXIMO SPIRITS INC</t>
        </is>
      </c>
      <c r="N419" s="25" t="inlineStr">
        <is>
          <t>040002-RNDC-MAGNOLIA</t>
        </is>
      </c>
      <c r="O419" s="25" t="n"/>
      <c r="P419" s="25" t="inlineStr">
        <is>
          <t>00082000743286</t>
        </is>
      </c>
      <c r="Q419" s="25" t="inlineStr">
        <is>
          <t>0811538010993</t>
        </is>
      </c>
      <c r="R419" s="78" t="n">
        <v>42370</v>
      </c>
    </row>
    <row r="420">
      <c r="A420" t="inlineStr">
        <is>
          <t>or item code =</t>
        </is>
      </c>
      <c r="B420" s="25" t="inlineStr">
        <is>
          <t>58836</t>
        </is>
      </c>
      <c r="C420" s="25" t="inlineStr">
        <is>
          <t>CUERVO LIME MARGARITA / 20PF</t>
        </is>
      </c>
      <c r="D420" s="25" t="inlineStr">
        <is>
          <t>750ml</t>
        </is>
      </c>
      <c r="E420" s="27" t="n">
        <v>35</v>
      </c>
      <c r="F420" s="27" t="n">
        <v>34</v>
      </c>
      <c r="G420" s="27" t="n">
        <v>12</v>
      </c>
      <c r="H420" s="28" t="n">
        <v>110.71</v>
      </c>
      <c r="I420" s="28" t="n">
        <v>0</v>
      </c>
      <c r="J420" s="94" t="inlineStr">
        <is>
          <t>False</t>
        </is>
      </c>
      <c r="K420" s="28" t="n">
        <v>0</v>
      </c>
      <c r="L420" s="25" t="inlineStr">
        <is>
          <t>COCKTAILS</t>
        </is>
      </c>
      <c r="M420" s="25" t="inlineStr">
        <is>
          <t>PROXIMO SPIRITS INC</t>
        </is>
      </c>
      <c r="N420" s="25" t="inlineStr">
        <is>
          <t>040002-RNDC-MAGNOLIA</t>
        </is>
      </c>
      <c r="O420" s="25" t="n"/>
      <c r="P420" s="25" t="inlineStr">
        <is>
          <t>00082000743309</t>
        </is>
      </c>
      <c r="Q420" s="25" t="inlineStr">
        <is>
          <t>0811538011075</t>
        </is>
      </c>
      <c r="R420" s="78" t="n">
        <v>42370</v>
      </c>
    </row>
    <row r="421">
      <c r="A421" t="inlineStr">
        <is>
          <t>or item code =</t>
        </is>
      </c>
      <c r="B421" s="25" t="inlineStr">
        <is>
          <t>58868</t>
        </is>
      </c>
      <c r="C421" s="25" t="inlineStr">
        <is>
          <t>CUERVO STRAWBERRY MARGARITA / 20PF</t>
        </is>
      </c>
      <c r="D421" s="25" t="inlineStr">
        <is>
          <t>1.75L</t>
        </is>
      </c>
      <c r="E421" s="27" t="n">
        <v>175</v>
      </c>
      <c r="F421" s="27" t="n">
        <v>77</v>
      </c>
      <c r="G421" s="27" t="n">
        <v>6</v>
      </c>
      <c r="H421" s="28" t="n">
        <v>96.88</v>
      </c>
      <c r="I421" s="28" t="n">
        <v>0</v>
      </c>
      <c r="J421" s="94" t="inlineStr">
        <is>
          <t>False</t>
        </is>
      </c>
      <c r="K421" s="28" t="n">
        <v>0</v>
      </c>
      <c r="L421" s="25" t="inlineStr">
        <is>
          <t>COCKTAILS</t>
        </is>
      </c>
      <c r="M421" s="25" t="inlineStr">
        <is>
          <t>PROXIMO SPIRITS INC</t>
        </is>
      </c>
      <c r="N421" s="25" t="inlineStr">
        <is>
          <t>040002-RNDC-MAGNOLIA</t>
        </is>
      </c>
      <c r="O421" s="25" t="n"/>
      <c r="P421" s="25" t="inlineStr">
        <is>
          <t>00082000743279</t>
        </is>
      </c>
      <c r="Q421" s="25" t="inlineStr">
        <is>
          <t>0811538011037</t>
        </is>
      </c>
      <c r="R421" s="78" t="n">
        <v>42370</v>
      </c>
    </row>
    <row r="422">
      <c r="A422" t="inlineStr">
        <is>
          <t>or item code =</t>
        </is>
      </c>
      <c r="B422" s="25" t="inlineStr">
        <is>
          <t>58866</t>
        </is>
      </c>
      <c r="C422" s="25" t="inlineStr">
        <is>
          <t>CUERVO STRAWBERRY MARGARITA / 20PF</t>
        </is>
      </c>
      <c r="D422" s="25" t="inlineStr">
        <is>
          <t>750ml</t>
        </is>
      </c>
      <c r="E422" s="27" t="n">
        <v>4</v>
      </c>
      <c r="F422" s="27" t="n">
        <v>32</v>
      </c>
      <c r="G422" s="27" t="n">
        <v>12</v>
      </c>
      <c r="H422" s="28" t="n">
        <v>110.71</v>
      </c>
      <c r="I422" s="28" t="n">
        <v>0</v>
      </c>
      <c r="J422" s="94" t="inlineStr">
        <is>
          <t>False</t>
        </is>
      </c>
      <c r="K422" s="28" t="n">
        <v>0</v>
      </c>
      <c r="L422" s="25" t="inlineStr">
        <is>
          <t>COCKTAILS</t>
        </is>
      </c>
      <c r="M422" s="25" t="inlineStr">
        <is>
          <t>PROXIMO SPIRITS INC</t>
        </is>
      </c>
      <c r="N422" s="25" t="inlineStr">
        <is>
          <t>040002-RNDC-MAGNOLIA</t>
        </is>
      </c>
      <c r="O422" s="25" t="n"/>
      <c r="P422" s="25" t="inlineStr">
        <is>
          <t>00082000743293</t>
        </is>
      </c>
      <c r="Q422" s="25" t="inlineStr">
        <is>
          <t>0811538011099</t>
        </is>
      </c>
      <c r="R422" s="78" t="n">
        <v>42370</v>
      </c>
    </row>
    <row r="423">
      <c r="A423" t="inlineStr">
        <is>
          <t>or item code =</t>
        </is>
      </c>
      <c r="B423" s="25" t="inlineStr">
        <is>
          <t>560350</t>
        </is>
      </c>
      <c r="C423" s="25" t="inlineStr">
        <is>
          <t>CUPCAKE CHARDONNAY CENTRAL COAST</t>
        </is>
      </c>
      <c r="D423" s="25" t="inlineStr">
        <is>
          <t>750ml</t>
        </is>
      </c>
      <c r="E423" s="27" t="n">
        <v>21</v>
      </c>
      <c r="F423" s="27" t="n">
        <v>85</v>
      </c>
      <c r="G423" s="27" t="n">
        <v>12</v>
      </c>
      <c r="H423" s="28" t="n">
        <v>96.45</v>
      </c>
      <c r="I423" s="28" t="n">
        <v>0</v>
      </c>
      <c r="J423" s="94" t="inlineStr">
        <is>
          <t>False</t>
        </is>
      </c>
      <c r="K423" s="28" t="n">
        <v>0</v>
      </c>
      <c r="L423" s="25" t="inlineStr">
        <is>
          <t>CHARDONNAY</t>
        </is>
      </c>
      <c r="M423" s="25" t="inlineStr">
        <is>
          <t>THE WINE GROUP LTD</t>
        </is>
      </c>
      <c r="N423" s="25" t="inlineStr">
        <is>
          <t>040003-RNDC-VINTAGE</t>
        </is>
      </c>
      <c r="O423" s="25" t="n"/>
      <c r="P423" s="25" t="inlineStr">
        <is>
          <t>00081308592077</t>
        </is>
      </c>
      <c r="Q423" s="25" t="inlineStr">
        <is>
          <t>0081308592077</t>
        </is>
      </c>
      <c r="R423" s="78" t="n">
        <v>42370</v>
      </c>
    </row>
    <row r="424">
      <c r="A424" t="inlineStr">
        <is>
          <t>or item code =</t>
        </is>
      </c>
      <c r="B424" s="25" t="inlineStr">
        <is>
          <t>359592</t>
        </is>
      </c>
      <c r="C424" s="25" t="inlineStr">
        <is>
          <t>CUPCAKE MOSCATO</t>
        </is>
      </c>
      <c r="D424" s="25" t="inlineStr">
        <is>
          <t>750ml</t>
        </is>
      </c>
      <c r="E424" s="27" t="n">
        <v>0</v>
      </c>
      <c r="F424" s="27" t="n">
        <v>22</v>
      </c>
      <c r="G424" s="27" t="n">
        <v>12</v>
      </c>
      <c r="H424" s="28" t="n">
        <v>96.45</v>
      </c>
      <c r="I424" s="28" t="n">
        <v>0</v>
      </c>
      <c r="J424" s="94" t="inlineStr">
        <is>
          <t>False</t>
        </is>
      </c>
      <c r="K424" s="28" t="n">
        <v>0</v>
      </c>
      <c r="L424" s="25" t="inlineStr">
        <is>
          <t>MOSCATO WHITE</t>
        </is>
      </c>
      <c r="M424" s="25" t="inlineStr">
        <is>
          <t>THE WINE GROUP LTD</t>
        </is>
      </c>
      <c r="N424" s="25" t="inlineStr">
        <is>
          <t>040003-RNDC-VINTAGE</t>
        </is>
      </c>
      <c r="O424" s="25" t="n"/>
      <c r="P424" s="25" t="inlineStr">
        <is>
          <t>10081308003006</t>
        </is>
      </c>
      <c r="Q424" s="25" t="inlineStr">
        <is>
          <t>0081308003009</t>
        </is>
      </c>
      <c r="R424" s="78" t="n">
        <v>42600</v>
      </c>
    </row>
    <row r="425">
      <c r="A425" t="inlineStr">
        <is>
          <t>or item code =</t>
        </is>
      </c>
      <c r="B425" s="25" t="inlineStr">
        <is>
          <t>58263</t>
        </is>
      </c>
      <c r="C425" s="25" t="inlineStr">
        <is>
          <t>CUTWATER MANGO MARGARITA</t>
        </is>
      </c>
      <c r="D425" s="25" t="inlineStr">
        <is>
          <t>355ml</t>
        </is>
      </c>
      <c r="E425" s="27" t="n">
        <v>21</v>
      </c>
      <c r="F425" s="27" t="n">
        <v>12</v>
      </c>
      <c r="G425" s="27" t="n">
        <v>24</v>
      </c>
      <c r="H425" s="28" t="n">
        <v>53.64</v>
      </c>
      <c r="I425" s="28" t="n">
        <v>0</v>
      </c>
      <c r="J425" s="94" t="inlineStr">
        <is>
          <t>False</t>
        </is>
      </c>
      <c r="K425" s="28" t="n">
        <v>0</v>
      </c>
      <c r="L425" s="25" t="inlineStr">
        <is>
          <t>COCKTAILS</t>
        </is>
      </c>
      <c r="M425" s="25" t="inlineStr">
        <is>
          <t>SAZERAC COMPANY</t>
        </is>
      </c>
      <c r="N425" s="25" t="inlineStr">
        <is>
          <t>040002-RNDC-MAGNOLIA</t>
        </is>
      </c>
      <c r="O425" s="25" t="n"/>
      <c r="P425" s="25" t="n"/>
      <c r="Q425" s="25" t="inlineStr">
        <is>
          <t>816751022105</t>
        </is>
      </c>
      <c r="R425" s="78" t="n">
        <v>44743</v>
      </c>
    </row>
    <row r="426">
      <c r="A426" t="inlineStr">
        <is>
          <t>or item code =</t>
        </is>
      </c>
      <c r="B426" s="25" t="inlineStr">
        <is>
          <t>58267</t>
        </is>
      </c>
      <c r="C426" s="25" t="inlineStr">
        <is>
          <t>CUTWATER PINA COLADA</t>
        </is>
      </c>
      <c r="D426" s="25" t="inlineStr">
        <is>
          <t>355ml</t>
        </is>
      </c>
      <c r="E426" s="27" t="n">
        <v>35</v>
      </c>
      <c r="F426" s="27" t="n">
        <v>4</v>
      </c>
      <c r="G426" s="27" t="n">
        <v>24</v>
      </c>
      <c r="H426" s="28" t="n">
        <v>53.64</v>
      </c>
      <c r="I426" s="28" t="n">
        <v>0</v>
      </c>
      <c r="J426" s="94" t="inlineStr">
        <is>
          <t>False</t>
        </is>
      </c>
      <c r="K426" s="28" t="n">
        <v>0</v>
      </c>
      <c r="L426" s="25" t="inlineStr">
        <is>
          <t>COCKTAILS</t>
        </is>
      </c>
      <c r="M426" s="25" t="inlineStr">
        <is>
          <t>SAZERAC COMPANY</t>
        </is>
      </c>
      <c r="N426" s="25" t="inlineStr">
        <is>
          <t>040002-RNDC-MAGNOLIA</t>
        </is>
      </c>
      <c r="O426" s="25" t="n"/>
      <c r="P426" s="25" t="n"/>
      <c r="Q426" s="25" t="inlineStr">
        <is>
          <t>816751022488</t>
        </is>
      </c>
      <c r="R426" s="78" t="n">
        <v>44743</v>
      </c>
    </row>
    <row r="427">
      <c r="A427" t="inlineStr">
        <is>
          <t>or item code =</t>
        </is>
      </c>
      <c r="B427" s="25" t="inlineStr">
        <is>
          <t>58269</t>
        </is>
      </c>
      <c r="C427" s="25" t="inlineStr">
        <is>
          <t>CUTWATER STRAWBERRY MARGARITA</t>
        </is>
      </c>
      <c r="D427" s="25" t="inlineStr">
        <is>
          <t>355ml</t>
        </is>
      </c>
      <c r="E427" s="27" t="n">
        <v>32</v>
      </c>
      <c r="F427" s="27" t="n">
        <v>8</v>
      </c>
      <c r="G427" s="27" t="n">
        <v>24</v>
      </c>
      <c r="H427" s="28" t="n">
        <v>53.64</v>
      </c>
      <c r="I427" s="28" t="n">
        <v>0</v>
      </c>
      <c r="J427" s="94" t="inlineStr">
        <is>
          <t>False</t>
        </is>
      </c>
      <c r="K427" s="28" t="n">
        <v>0</v>
      </c>
      <c r="L427" s="25" t="inlineStr">
        <is>
          <t>COCKTAILS</t>
        </is>
      </c>
      <c r="M427" s="25" t="inlineStr">
        <is>
          <t>SAZERAC COMPANY</t>
        </is>
      </c>
      <c r="N427" s="25" t="inlineStr">
        <is>
          <t>040002-RNDC-MAGNOLIA</t>
        </is>
      </c>
      <c r="O427" s="25" t="n"/>
      <c r="P427" s="25" t="n"/>
      <c r="Q427" s="25" t="inlineStr">
        <is>
          <t>816751022457</t>
        </is>
      </c>
      <c r="R427" s="78" t="n">
        <v>44743</v>
      </c>
    </row>
    <row r="428">
      <c r="A428" t="inlineStr">
        <is>
          <t>or item code =</t>
        </is>
      </c>
      <c r="B428" s="25" t="inlineStr">
        <is>
          <t>4846</t>
        </is>
      </c>
      <c r="C428" s="25" t="inlineStr">
        <is>
          <t>DALWHINNIE SINGLE MALT 15 YEAR</t>
        </is>
      </c>
      <c r="D428" s="25" t="inlineStr">
        <is>
          <t>750ml</t>
        </is>
      </c>
      <c r="E428" s="27" t="n">
        <v>40</v>
      </c>
      <c r="F428" s="27" t="n">
        <v>4</v>
      </c>
      <c r="G428" s="27" t="n">
        <v>12</v>
      </c>
      <c r="H428" s="28" t="n">
        <v>602.39</v>
      </c>
      <c r="I428" s="28" t="n">
        <v>0</v>
      </c>
      <c r="J428" s="94" t="inlineStr">
        <is>
          <t>False</t>
        </is>
      </c>
      <c r="K428" s="28" t="n">
        <v>0</v>
      </c>
      <c r="L428" s="25" t="inlineStr">
        <is>
          <t>WHISKY - SCOTCH</t>
        </is>
      </c>
      <c r="M428" s="25" t="inlineStr">
        <is>
          <t>DIAGEO AMERICAS INC</t>
        </is>
      </c>
      <c r="N428" s="25" t="inlineStr">
        <is>
          <t>040010-SOUTHERN GLAZERS WINE AND SPIRITS OF MISSISSIPPI LLC</t>
        </is>
      </c>
      <c r="O428" s="25" t="n"/>
      <c r="P428" s="25" t="inlineStr">
        <is>
          <t>00088076151895</t>
        </is>
      </c>
      <c r="Q428" s="25" t="inlineStr">
        <is>
          <t>088110100056</t>
        </is>
      </c>
      <c r="R428" s="78" t="n">
        <v>42370</v>
      </c>
    </row>
    <row r="429">
      <c r="A429" t="inlineStr">
        <is>
          <t>or item code =</t>
        </is>
      </c>
      <c r="B429" s="25" t="inlineStr">
        <is>
          <t>17566</t>
        </is>
      </c>
      <c r="C429" s="25" t="inlineStr">
        <is>
          <t>DAVID NICHOLSON 1843 BOURBON</t>
        </is>
      </c>
      <c r="D429" s="25" t="inlineStr">
        <is>
          <t>750ml</t>
        </is>
      </c>
      <c r="E429" s="27" t="n">
        <v>25</v>
      </c>
      <c r="F429" s="27" t="n">
        <v>8</v>
      </c>
      <c r="G429" s="27" t="n">
        <v>6</v>
      </c>
      <c r="H429" s="28" t="n">
        <v>147.65</v>
      </c>
      <c r="I429" s="28" t="n">
        <v>0</v>
      </c>
      <c r="J429" s="94" t="inlineStr">
        <is>
          <t>False</t>
        </is>
      </c>
      <c r="K429" s="28" t="n">
        <v>0</v>
      </c>
      <c r="L429" s="25" t="inlineStr">
        <is>
          <t>WHISKEY - STR BOURBON</t>
        </is>
      </c>
      <c r="M429" s="25" t="inlineStr">
        <is>
          <t>LUXCO, INC</t>
        </is>
      </c>
      <c r="N429" s="25" t="inlineStr">
        <is>
          <t>040010-SOUTHERN GLAZERS WINE AND SPIRITS OF MISSISSIPPI LLC</t>
        </is>
      </c>
      <c r="O429" s="25" t="n"/>
      <c r="P429" s="25" t="inlineStr">
        <is>
          <t>10088352113927</t>
        </is>
      </c>
      <c r="Q429" s="25" t="inlineStr">
        <is>
          <t>088352113920</t>
        </is>
      </c>
      <c r="R429" s="78" t="n">
        <v>43859</v>
      </c>
    </row>
    <row r="430">
      <c r="A430" t="inlineStr">
        <is>
          <t>or item code =</t>
        </is>
      </c>
      <c r="B430" s="25" t="inlineStr">
        <is>
          <t>47858</t>
        </is>
      </c>
      <c r="C430" s="25" t="inlineStr">
        <is>
          <t>DAVIDOFF SPECIAL V COGNAC</t>
        </is>
      </c>
      <c r="D430" s="25" t="inlineStr">
        <is>
          <t>750ml</t>
        </is>
      </c>
      <c r="E430" s="27" t="n">
        <v>94</v>
      </c>
      <c r="F430" s="27" t="n">
        <v>1</v>
      </c>
      <c r="G430" s="27" t="n">
        <v>12</v>
      </c>
      <c r="H430" s="28" t="n">
        <v>371.39</v>
      </c>
      <c r="I430" s="28" t="n">
        <v>0</v>
      </c>
      <c r="J430" s="94" t="inlineStr">
        <is>
          <t>False</t>
        </is>
      </c>
      <c r="K430" s="28" t="n">
        <v>0</v>
      </c>
      <c r="L430" s="25" t="inlineStr">
        <is>
          <t>COGNAC, ARMAGNAC</t>
        </is>
      </c>
      <c r="M430" s="25" t="inlineStr">
        <is>
          <t>PRESTIGE BEVERAGE GROUP</t>
        </is>
      </c>
      <c r="N430" s="25" t="inlineStr">
        <is>
          <t>045041-UNITED JOHNSON BROTHERS OF MS</t>
        </is>
      </c>
      <c r="O430" s="25" t="n"/>
      <c r="P430" s="25" t="inlineStr">
        <is>
          <t>37601107311017</t>
        </is>
      </c>
      <c r="Q430" s="25" t="inlineStr">
        <is>
          <t>3760107310712</t>
        </is>
      </c>
      <c r="R430" s="78" t="n">
        <v>44593</v>
      </c>
    </row>
    <row r="431">
      <c r="A431" t="inlineStr">
        <is>
          <t>or item code =</t>
        </is>
      </c>
      <c r="B431" s="25" t="inlineStr">
        <is>
          <t>47876</t>
        </is>
      </c>
      <c r="C431" s="25" t="inlineStr">
        <is>
          <t>DE LUZE VS COGNAC</t>
        </is>
      </c>
      <c r="D431" s="25" t="inlineStr">
        <is>
          <t>750ml</t>
        </is>
      </c>
      <c r="E431" s="27" t="n">
        <v>14</v>
      </c>
      <c r="F431" s="27" t="n">
        <v>6</v>
      </c>
      <c r="G431" s="27" t="n">
        <v>12</v>
      </c>
      <c r="H431" s="28" t="n">
        <v>287.32</v>
      </c>
      <c r="I431" s="28" t="n">
        <v>0</v>
      </c>
      <c r="J431" s="94" t="inlineStr">
        <is>
          <t>False</t>
        </is>
      </c>
      <c r="K431" s="28" t="n">
        <v>0</v>
      </c>
      <c r="L431" s="25" t="inlineStr">
        <is>
          <t>COGNAC, ARMAGNAC</t>
        </is>
      </c>
      <c r="M431" s="25" t="inlineStr">
        <is>
          <t>ROUST USA</t>
        </is>
      </c>
      <c r="N431" s="25" t="inlineStr">
        <is>
          <t>040002-RNDC-MAGNOLIA</t>
        </is>
      </c>
      <c r="O431" s="25" t="n"/>
      <c r="P431" s="25" t="inlineStr">
        <is>
          <t>20894098002145</t>
        </is>
      </c>
      <c r="Q431" s="25" t="inlineStr">
        <is>
          <t>0894098002202</t>
        </is>
      </c>
      <c r="R431" s="78" t="n">
        <v>43544</v>
      </c>
    </row>
    <row r="432">
      <c r="A432" t="inlineStr">
        <is>
          <t>or item code =</t>
        </is>
      </c>
      <c r="B432" s="25" t="inlineStr">
        <is>
          <t>47875</t>
        </is>
      </c>
      <c r="C432" s="25" t="inlineStr">
        <is>
          <t>DE LUZE VS COGNAC FLASK</t>
        </is>
      </c>
      <c r="D432" s="25" t="inlineStr">
        <is>
          <t>375ml</t>
        </is>
      </c>
      <c r="E432" s="27" t="n">
        <v>76</v>
      </c>
      <c r="F432" s="27" t="n">
        <v>4</v>
      </c>
      <c r="G432" s="27" t="n">
        <v>24</v>
      </c>
      <c r="H432" s="28" t="n">
        <v>296.44</v>
      </c>
      <c r="I432" s="28" t="n">
        <v>0</v>
      </c>
      <c r="J432" s="94" t="inlineStr">
        <is>
          <t>False</t>
        </is>
      </c>
      <c r="K432" s="28" t="n">
        <v>0</v>
      </c>
      <c r="L432" s="25" t="inlineStr">
        <is>
          <t>COGNAC, ARMAGNAC</t>
        </is>
      </c>
      <c r="M432" s="25" t="inlineStr">
        <is>
          <t>ROUST USA</t>
        </is>
      </c>
      <c r="N432" s="25" t="inlineStr">
        <is>
          <t>040002-RNDC-MAGNOLIA</t>
        </is>
      </c>
      <c r="O432" s="25" t="n"/>
      <c r="P432" s="25" t="inlineStr">
        <is>
          <t>40894098002330</t>
        </is>
      </c>
      <c r="Q432" s="25" t="inlineStr">
        <is>
          <t>894098002226</t>
        </is>
      </c>
      <c r="R432" s="78" t="n">
        <v>43544</v>
      </c>
    </row>
    <row r="433">
      <c r="A433" t="inlineStr">
        <is>
          <t>or item code =</t>
        </is>
      </c>
      <c r="B433" s="25" t="inlineStr">
        <is>
          <t>460938</t>
        </is>
      </c>
      <c r="C433" s="25" t="inlineStr">
        <is>
          <t>DECOY CABERNET SAUVIGNON NAPA VALLEY</t>
        </is>
      </c>
      <c r="D433" s="25" t="inlineStr">
        <is>
          <t>750ml</t>
        </is>
      </c>
      <c r="E433" s="27" t="n">
        <v>17</v>
      </c>
      <c r="F433" s="27" t="n">
        <v>102</v>
      </c>
      <c r="G433" s="27" t="n">
        <v>12</v>
      </c>
      <c r="H433" s="28" t="n">
        <v>208.26</v>
      </c>
      <c r="I433" s="28" t="n">
        <v>0</v>
      </c>
      <c r="J433" s="94" t="inlineStr">
        <is>
          <t>False</t>
        </is>
      </c>
      <c r="K433" s="28" t="n">
        <v>0</v>
      </c>
      <c r="L433" s="25" t="inlineStr">
        <is>
          <t>CABERNET SAUVIGNON</t>
        </is>
      </c>
      <c r="M433" s="25" t="inlineStr">
        <is>
          <t>DUCKHORN VINEYARDS</t>
        </is>
      </c>
      <c r="N433" s="25" t="inlineStr">
        <is>
          <t>040010-SOUTHERN GLAZERS WINE AND SPIRITS OF MISSISSIPPI LLC</t>
        </is>
      </c>
      <c r="O433" s="25" t="n"/>
      <c r="P433" s="25" t="inlineStr">
        <is>
          <t>20669576019263</t>
        </is>
      </c>
      <c r="Q433" s="25" t="inlineStr">
        <is>
          <t>669576019269</t>
        </is>
      </c>
      <c r="R433" s="78" t="n">
        <v>42370</v>
      </c>
    </row>
    <row r="434">
      <c r="A434" t="inlineStr">
        <is>
          <t>or item code =</t>
        </is>
      </c>
      <c r="B434" s="25" t="inlineStr">
        <is>
          <t>40053</t>
        </is>
      </c>
      <c r="C434" s="25" t="inlineStr">
        <is>
          <t>DEEP EDDY LEMON FLAVORED VODKA</t>
        </is>
      </c>
      <c r="D434" s="25" t="inlineStr">
        <is>
          <t>750ml</t>
        </is>
      </c>
      <c r="E434" s="27" t="n">
        <v>5</v>
      </c>
      <c r="F434" s="27" t="n">
        <v>136</v>
      </c>
      <c r="G434" s="27" t="n">
        <v>12</v>
      </c>
      <c r="H434" s="28" t="n">
        <v>156.87</v>
      </c>
      <c r="I434" s="28" t="n">
        <v>18.47</v>
      </c>
      <c r="J434" s="94" t="inlineStr">
        <is>
          <t>False</t>
        </is>
      </c>
      <c r="K434" s="28" t="n">
        <v>0</v>
      </c>
      <c r="L434" s="25" t="inlineStr">
        <is>
          <t>VODKA</t>
        </is>
      </c>
      <c r="M434" s="25" t="inlineStr">
        <is>
          <t>HEAVEN HILL BRANDS</t>
        </is>
      </c>
      <c r="N434" s="25" t="inlineStr">
        <is>
          <t>040010-SOUTHERN GLAZERS WINE AND SPIRITS OF MISSISSIPPI LLC</t>
        </is>
      </c>
      <c r="O434" s="25" t="n"/>
      <c r="P434" s="25" t="inlineStr">
        <is>
          <t>10856065002875</t>
        </is>
      </c>
      <c r="Q434" s="25" t="inlineStr">
        <is>
          <t>0856065002417</t>
        </is>
      </c>
      <c r="R434" s="78" t="n">
        <v>42370</v>
      </c>
    </row>
    <row r="435">
      <c r="A435" t="inlineStr">
        <is>
          <t>or item code =</t>
        </is>
      </c>
      <c r="B435" s="25" t="inlineStr">
        <is>
          <t>39922</t>
        </is>
      </c>
      <c r="C435" s="25" t="inlineStr">
        <is>
          <t>DEEP EDDY PEACH FLAVORED VODKA</t>
        </is>
      </c>
      <c r="D435" s="25" t="inlineStr">
        <is>
          <t>750ml</t>
        </is>
      </c>
      <c r="E435" s="27" t="n">
        <v>68</v>
      </c>
      <c r="F435" s="27" t="n">
        <v>28</v>
      </c>
      <c r="G435" s="27" t="n">
        <v>12</v>
      </c>
      <c r="H435" s="28" t="n">
        <v>156.87</v>
      </c>
      <c r="I435" s="28" t="n">
        <v>18.47</v>
      </c>
      <c r="J435" s="94" t="inlineStr">
        <is>
          <t>False</t>
        </is>
      </c>
      <c r="K435" s="28" t="n">
        <v>0</v>
      </c>
      <c r="L435" s="25" t="inlineStr">
        <is>
          <t>VODKA</t>
        </is>
      </c>
      <c r="M435" s="25" t="inlineStr">
        <is>
          <t>HEAVEN HILL BRANDS</t>
        </is>
      </c>
      <c r="N435" s="25" t="inlineStr">
        <is>
          <t>040010-SOUTHERN GLAZERS WINE AND SPIRITS OF MISSISSIPPI LLC</t>
        </is>
      </c>
      <c r="O435" s="25" t="n"/>
      <c r="P435" s="25" t="inlineStr">
        <is>
          <t>10856065002582</t>
        </is>
      </c>
      <c r="Q435" s="25" t="inlineStr">
        <is>
          <t>0856065002585</t>
        </is>
      </c>
      <c r="R435" s="78" t="n">
        <v>42370</v>
      </c>
    </row>
    <row r="436">
      <c r="A436" t="inlineStr">
        <is>
          <t>or item code =</t>
        </is>
      </c>
      <c r="B436" s="25" t="inlineStr">
        <is>
          <t>40327</t>
        </is>
      </c>
      <c r="C436" s="25" t="inlineStr">
        <is>
          <t>DEEP EDDY RUBY RED GRAPEFRUIT FLAVORED VODKA</t>
        </is>
      </c>
      <c r="D436" s="25" t="inlineStr">
        <is>
          <t>750ml</t>
        </is>
      </c>
      <c r="E436" s="27" t="n">
        <v>85</v>
      </c>
      <c r="F436" s="27" t="n">
        <v>27</v>
      </c>
      <c r="G436" s="27" t="n">
        <v>12</v>
      </c>
      <c r="H436" s="28" t="n">
        <v>156.87</v>
      </c>
      <c r="I436" s="28" t="n">
        <v>18.47</v>
      </c>
      <c r="J436" s="94" t="inlineStr">
        <is>
          <t>False</t>
        </is>
      </c>
      <c r="K436" s="28" t="n">
        <v>0</v>
      </c>
      <c r="L436" s="25" t="inlineStr">
        <is>
          <t>VODKA</t>
        </is>
      </c>
      <c r="M436" s="25" t="inlineStr">
        <is>
          <t>HEAVEN HILL BRANDS</t>
        </is>
      </c>
      <c r="N436" s="25" t="inlineStr">
        <is>
          <t>040010-SOUTHERN GLAZERS WINE AND SPIRITS OF MISSISSIPPI LLC</t>
        </is>
      </c>
      <c r="O436" s="25" t="n"/>
      <c r="P436" s="25" t="inlineStr">
        <is>
          <t>10856065002872</t>
        </is>
      </c>
      <c r="Q436" s="25" t="inlineStr">
        <is>
          <t>0856065002080</t>
        </is>
      </c>
      <c r="R436" s="78" t="n">
        <v>42370</v>
      </c>
    </row>
    <row r="437">
      <c r="A437" t="inlineStr">
        <is>
          <t>or item code =</t>
        </is>
      </c>
      <c r="B437" s="25" t="inlineStr">
        <is>
          <t>36122</t>
        </is>
      </c>
      <c r="C437" s="25" t="inlineStr">
        <is>
          <t>DEEP EDDY VODKA</t>
        </is>
      </c>
      <c r="D437" s="25" t="inlineStr">
        <is>
          <t>750ml</t>
        </is>
      </c>
      <c r="E437" s="27" t="n">
        <v>0</v>
      </c>
      <c r="F437" s="27" t="n">
        <v>43</v>
      </c>
      <c r="G437" s="27" t="n">
        <v>12</v>
      </c>
      <c r="H437" s="28" t="n">
        <v>156.87</v>
      </c>
      <c r="I437" s="28" t="n">
        <v>18.47</v>
      </c>
      <c r="J437" s="94" t="inlineStr">
        <is>
          <t>False</t>
        </is>
      </c>
      <c r="K437" s="28" t="n">
        <v>0</v>
      </c>
      <c r="L437" s="25" t="inlineStr">
        <is>
          <t>VODKA</t>
        </is>
      </c>
      <c r="M437" s="25" t="inlineStr">
        <is>
          <t>HEAVEN HILL BRANDS</t>
        </is>
      </c>
      <c r="N437" s="25" t="inlineStr">
        <is>
          <t>040010-SOUTHERN GLAZERS WINE AND SPIRITS OF MISSISSIPPI LLC</t>
        </is>
      </c>
      <c r="O437" s="25" t="n"/>
      <c r="P437" s="25" t="n"/>
      <c r="Q437" s="25" t="inlineStr">
        <is>
          <t>0856065002035</t>
        </is>
      </c>
      <c r="R437" s="78" t="n">
        <v>42370</v>
      </c>
    </row>
    <row r="438">
      <c r="A438" t="inlineStr">
        <is>
          <t>or item code =</t>
        </is>
      </c>
      <c r="B438" s="25" t="inlineStr">
        <is>
          <t>85526</t>
        </is>
      </c>
      <c r="C438" s="25" t="inlineStr">
        <is>
          <t>DEKUYPER BLUE CURACAO</t>
        </is>
      </c>
      <c r="D438" s="25" t="inlineStr">
        <is>
          <t>750ml</t>
        </is>
      </c>
      <c r="E438" s="27" t="n">
        <v>132</v>
      </c>
      <c r="F438" s="27" t="n">
        <v>66</v>
      </c>
      <c r="G438" s="27" t="n">
        <v>12</v>
      </c>
      <c r="H438" s="28" t="n">
        <v>110.66</v>
      </c>
      <c r="I438" s="28" t="n">
        <v>0</v>
      </c>
      <c r="J438" s="94" t="inlineStr">
        <is>
          <t>False</t>
        </is>
      </c>
      <c r="K438" s="28" t="n">
        <v>0</v>
      </c>
      <c r="L438" s="25" t="inlineStr">
        <is>
          <t>LIQUEURS AND CORDIALS</t>
        </is>
      </c>
      <c r="M438" s="25" t="inlineStr">
        <is>
          <t>JIM BEAM BRANDS CO</t>
        </is>
      </c>
      <c r="N438" s="25" t="inlineStr">
        <is>
          <t>040010-SOUTHERN GLAZERS WINE AND SPIRITS OF MISSISSIPPI LLC</t>
        </is>
      </c>
      <c r="O438" s="25" t="n"/>
      <c r="P438" s="25" t="inlineStr">
        <is>
          <t>10080686316029</t>
        </is>
      </c>
      <c r="Q438" s="25" t="inlineStr">
        <is>
          <t>0080686316022</t>
        </is>
      </c>
      <c r="R438" s="78" t="n">
        <v>42370</v>
      </c>
    </row>
    <row r="439">
      <c r="A439" t="inlineStr">
        <is>
          <t>or item code =</t>
        </is>
      </c>
      <c r="B439" s="25" t="inlineStr">
        <is>
          <t>80684</t>
        </is>
      </c>
      <c r="C439" s="25" t="inlineStr">
        <is>
          <t>DEKUYPER BLUSTERY PEPPERMINT SCHNAPPS</t>
        </is>
      </c>
      <c r="D439" s="25" t="inlineStr">
        <is>
          <t>375ml</t>
        </is>
      </c>
      <c r="E439" s="27" t="n">
        <v>334</v>
      </c>
      <c r="F439" s="27" t="n">
        <v>59</v>
      </c>
      <c r="G439" s="27" t="n">
        <v>24</v>
      </c>
      <c r="H439" s="28" t="n">
        <v>107.82</v>
      </c>
      <c r="I439" s="28" t="n">
        <v>0</v>
      </c>
      <c r="J439" s="94" t="inlineStr">
        <is>
          <t>False</t>
        </is>
      </c>
      <c r="K439" s="28" t="n">
        <v>0</v>
      </c>
      <c r="L439" s="25" t="inlineStr">
        <is>
          <t>LIQUEURS AND CORDIALS</t>
        </is>
      </c>
      <c r="M439" s="25" t="inlineStr">
        <is>
          <t>JIM BEAM BRANDS CO</t>
        </is>
      </c>
      <c r="N439" s="25" t="inlineStr">
        <is>
          <t>040010-SOUTHERN GLAZERS WINE AND SPIRITS OF MISSISSIPPI LLC</t>
        </is>
      </c>
      <c r="O439" s="25" t="n"/>
      <c r="P439" s="25" t="inlineStr">
        <is>
          <t>10080686353024</t>
        </is>
      </c>
      <c r="Q439" s="25" t="inlineStr">
        <is>
          <t>0080686353607</t>
        </is>
      </c>
      <c r="R439" s="78" t="n">
        <v>42370</v>
      </c>
    </row>
    <row r="440">
      <c r="A440" t="inlineStr">
        <is>
          <t>or item code =</t>
        </is>
      </c>
      <c r="B440" s="25" t="inlineStr">
        <is>
          <t>73526</t>
        </is>
      </c>
      <c r="C440" s="25" t="inlineStr">
        <is>
          <t>DEKUYPER MELON DEW LIQUEUR</t>
        </is>
      </c>
      <c r="D440" s="25" t="inlineStr">
        <is>
          <t>750ml</t>
        </is>
      </c>
      <c r="E440" s="27" t="n">
        <v>213</v>
      </c>
      <c r="F440" s="27" t="n">
        <v>61</v>
      </c>
      <c r="G440" s="27" t="n">
        <v>12</v>
      </c>
      <c r="H440" s="28" t="n">
        <v>110.66</v>
      </c>
      <c r="I440" s="28" t="n">
        <v>0</v>
      </c>
      <c r="J440" s="94" t="inlineStr">
        <is>
          <t>False</t>
        </is>
      </c>
      <c r="K440" s="28" t="n">
        <v>0</v>
      </c>
      <c r="L440" s="25" t="inlineStr">
        <is>
          <t>LIQUEURS AND CORDIALS</t>
        </is>
      </c>
      <c r="M440" s="25" t="inlineStr">
        <is>
          <t>JIM BEAM BRANDS CO</t>
        </is>
      </c>
      <c r="N440" s="25" t="inlineStr">
        <is>
          <t>040010-SOUTHERN GLAZERS WINE AND SPIRITS OF MISSISSIPPI LLC</t>
        </is>
      </c>
      <c r="O440" s="25" t="n"/>
      <c r="P440" s="25" t="inlineStr">
        <is>
          <t>10080686345401</t>
        </is>
      </c>
      <c r="Q440" s="25" t="inlineStr">
        <is>
          <t>0080686345404</t>
        </is>
      </c>
      <c r="R440" s="78" t="n">
        <v>42370</v>
      </c>
    </row>
    <row r="441">
      <c r="A441" t="inlineStr">
        <is>
          <t>or item code =</t>
        </is>
      </c>
      <c r="B441" s="25" t="inlineStr">
        <is>
          <t>82846</t>
        </is>
      </c>
      <c r="C441" s="25" t="inlineStr">
        <is>
          <t>DEKUYPER PEACHTREE SCHNAPPS</t>
        </is>
      </c>
      <c r="D441" s="25" t="inlineStr">
        <is>
          <t>750ml</t>
        </is>
      </c>
      <c r="E441" s="27" t="n">
        <v>93</v>
      </c>
      <c r="F441" s="27" t="n">
        <v>54</v>
      </c>
      <c r="G441" s="27" t="n">
        <v>12</v>
      </c>
      <c r="H441" s="28" t="n">
        <v>110.66</v>
      </c>
      <c r="I441" s="28" t="n">
        <v>0</v>
      </c>
      <c r="J441" s="94" t="inlineStr">
        <is>
          <t>False</t>
        </is>
      </c>
      <c r="K441" s="28" t="n">
        <v>0</v>
      </c>
      <c r="L441" s="25" t="inlineStr">
        <is>
          <t>LIQUEURS AND CORDIALS</t>
        </is>
      </c>
      <c r="M441" s="25" t="inlineStr">
        <is>
          <t>JIM BEAM BRANDS CO</t>
        </is>
      </c>
      <c r="N441" s="25" t="inlineStr">
        <is>
          <t>040010-SOUTHERN GLAZERS WINE AND SPIRITS OF MISSISSIPPI LLC</t>
        </is>
      </c>
      <c r="O441" s="25" t="n"/>
      <c r="P441" s="25" t="inlineStr">
        <is>
          <t>10080686365409</t>
        </is>
      </c>
      <c r="Q441" s="25" t="inlineStr">
        <is>
          <t>080686365402</t>
        </is>
      </c>
      <c r="R441" s="78" t="n">
        <v>42370</v>
      </c>
    </row>
    <row r="442">
      <c r="A442" t="inlineStr">
        <is>
          <t>or item code =</t>
        </is>
      </c>
      <c r="B442" s="25" t="inlineStr">
        <is>
          <t>73456</t>
        </is>
      </c>
      <c r="C442" s="25" t="inlineStr">
        <is>
          <t>DEKUYPER RAZZMATAZZ RASP/LMNADE LIQUEUR</t>
        </is>
      </c>
      <c r="D442" s="25" t="inlineStr">
        <is>
          <t>750ml</t>
        </is>
      </c>
      <c r="E442" s="27" t="n">
        <v>0</v>
      </c>
      <c r="F442" s="27" t="n">
        <v>46</v>
      </c>
      <c r="G442" s="27" t="n">
        <v>12</v>
      </c>
      <c r="H442" s="28" t="n">
        <v>110.66</v>
      </c>
      <c r="I442" s="28" t="n">
        <v>0</v>
      </c>
      <c r="J442" s="94" t="inlineStr">
        <is>
          <t>False</t>
        </is>
      </c>
      <c r="K442" s="28" t="n">
        <v>0</v>
      </c>
      <c r="L442" s="25" t="inlineStr">
        <is>
          <t>LIQUEURS AND CORDIALS</t>
        </is>
      </c>
      <c r="M442" s="25" t="inlineStr">
        <is>
          <t>JIM BEAM BRANDS CO</t>
        </is>
      </c>
      <c r="N442" s="25" t="inlineStr">
        <is>
          <t>040010-SOUTHERN GLAZERS WINE AND SPIRITS OF MISSISSIPPI LLC</t>
        </is>
      </c>
      <c r="O442" s="25" t="n"/>
      <c r="P442" s="25" t="inlineStr">
        <is>
          <t>10080686356407</t>
        </is>
      </c>
      <c r="Q442" s="25" t="inlineStr">
        <is>
          <t>0080686356400</t>
        </is>
      </c>
      <c r="R442" s="78" t="n">
        <v>42370</v>
      </c>
    </row>
    <row r="443">
      <c r="A443" t="inlineStr">
        <is>
          <t>or item code =</t>
        </is>
      </c>
      <c r="B443" s="25" t="inlineStr">
        <is>
          <t>82606</t>
        </is>
      </c>
      <c r="C443" s="25" t="inlineStr">
        <is>
          <t>DEKUYPER SOUR APPLE PUCKER SCHNAPPS</t>
        </is>
      </c>
      <c r="D443" s="25" t="inlineStr">
        <is>
          <t>750ml</t>
        </is>
      </c>
      <c r="E443" s="27" t="n">
        <v>101</v>
      </c>
      <c r="F443" s="27" t="n">
        <v>98</v>
      </c>
      <c r="G443" s="27" t="n">
        <v>12</v>
      </c>
      <c r="H443" s="28" t="n">
        <v>110.66</v>
      </c>
      <c r="I443" s="28" t="n">
        <v>0</v>
      </c>
      <c r="J443" s="94" t="inlineStr">
        <is>
          <t>False</t>
        </is>
      </c>
      <c r="K443" s="28" t="n">
        <v>0</v>
      </c>
      <c r="L443" s="25" t="inlineStr">
        <is>
          <t>LIQUEURS AND CORDIALS</t>
        </is>
      </c>
      <c r="M443" s="25" t="inlineStr">
        <is>
          <t>JIM BEAM BRANDS CO</t>
        </is>
      </c>
      <c r="N443" s="25" t="inlineStr">
        <is>
          <t>040010-SOUTHERN GLAZERS WINE AND SPIRITS OF MISSISSIPPI LLC</t>
        </is>
      </c>
      <c r="O443" s="25" t="n"/>
      <c r="P443" s="25" t="inlineStr">
        <is>
          <t>10080686395406</t>
        </is>
      </c>
      <c r="Q443" s="25" t="inlineStr">
        <is>
          <t>0080686395409</t>
        </is>
      </c>
      <c r="R443" s="78" t="n">
        <v>42370</v>
      </c>
    </row>
    <row r="444">
      <c r="A444" t="inlineStr">
        <is>
          <t>or item code =</t>
        </is>
      </c>
      <c r="B444" s="25" t="inlineStr">
        <is>
          <t>82820</t>
        </is>
      </c>
      <c r="C444" s="25" t="inlineStr">
        <is>
          <t>DEKUYPER STRAWBERRY PUCKER SCHNAPPS</t>
        </is>
      </c>
      <c r="D444" s="25" t="inlineStr">
        <is>
          <t>750ml</t>
        </is>
      </c>
      <c r="E444" s="27" t="n">
        <v>1</v>
      </c>
      <c r="F444" s="27" t="n">
        <v>46</v>
      </c>
      <c r="G444" s="27" t="n">
        <v>12</v>
      </c>
      <c r="H444" s="28" t="n">
        <v>110.66</v>
      </c>
      <c r="I444" s="28" t="n">
        <v>0</v>
      </c>
      <c r="J444" s="94" t="inlineStr">
        <is>
          <t>False</t>
        </is>
      </c>
      <c r="K444" s="28" t="n">
        <v>0</v>
      </c>
      <c r="L444" s="25" t="inlineStr">
        <is>
          <t>LIQUEURS AND CORDIALS</t>
        </is>
      </c>
      <c r="M444" s="25" t="inlineStr">
        <is>
          <t>JIM BEAM BRANDS CO</t>
        </is>
      </c>
      <c r="N444" s="25" t="inlineStr">
        <is>
          <t>040010-SOUTHERN GLAZERS WINE AND SPIRITS OF MISSISSIPPI LLC</t>
        </is>
      </c>
      <c r="O444" s="25" t="n"/>
      <c r="P444" s="25" t="inlineStr">
        <is>
          <t>10080686184406</t>
        </is>
      </c>
      <c r="Q444" s="25" t="inlineStr">
        <is>
          <t>0080686184409</t>
        </is>
      </c>
      <c r="R444" s="78" t="n">
        <v>42370</v>
      </c>
    </row>
    <row r="445">
      <c r="A445" t="inlineStr">
        <is>
          <t>or item code =</t>
        </is>
      </c>
      <c r="B445" s="25" t="inlineStr">
        <is>
          <t>86110</t>
        </is>
      </c>
      <c r="C445" s="25" t="inlineStr">
        <is>
          <t>DEKUYPER TRIPLE SEC</t>
        </is>
      </c>
      <c r="D445" s="25" t="inlineStr">
        <is>
          <t>750ml</t>
        </is>
      </c>
      <c r="E445" s="27" t="n">
        <v>136</v>
      </c>
      <c r="F445" s="27" t="n">
        <v>141</v>
      </c>
      <c r="G445" s="27" t="n">
        <v>12</v>
      </c>
      <c r="H445" s="28" t="n">
        <v>102.7</v>
      </c>
      <c r="I445" s="28" t="n">
        <v>0</v>
      </c>
      <c r="J445" s="94" t="inlineStr">
        <is>
          <t>False</t>
        </is>
      </c>
      <c r="K445" s="28" t="n">
        <v>0</v>
      </c>
      <c r="L445" s="25" t="inlineStr">
        <is>
          <t>LIQUEURS AND CORDIALS</t>
        </is>
      </c>
      <c r="M445" s="25" t="inlineStr">
        <is>
          <t>JIM BEAM BRANDS CO</t>
        </is>
      </c>
      <c r="N445" s="25" t="inlineStr">
        <is>
          <t>040010-SOUTHERN GLAZERS WINE AND SPIRITS OF MISSISSIPPI LLC</t>
        </is>
      </c>
      <c r="O445" s="25" t="n"/>
      <c r="P445" s="25" t="inlineStr">
        <is>
          <t>10080686381409</t>
        </is>
      </c>
      <c r="Q445" s="25" t="inlineStr">
        <is>
          <t>0080686381402</t>
        </is>
      </c>
      <c r="R445" s="78" t="n">
        <v>42370</v>
      </c>
    </row>
    <row r="446">
      <c r="A446" t="inlineStr">
        <is>
          <t>or item code =</t>
        </is>
      </c>
      <c r="B446" s="25" t="inlineStr">
        <is>
          <t>82866</t>
        </is>
      </c>
      <c r="C446" s="25" t="inlineStr">
        <is>
          <t>DEKUYPER WATERMELON PUCKER SCHNAPPS</t>
        </is>
      </c>
      <c r="D446" s="25" t="inlineStr">
        <is>
          <t>750ml</t>
        </is>
      </c>
      <c r="E446" s="27" t="n">
        <v>166</v>
      </c>
      <c r="F446" s="27" t="n">
        <v>57</v>
      </c>
      <c r="G446" s="27" t="n">
        <v>12</v>
      </c>
      <c r="H446" s="28" t="n">
        <v>110.66</v>
      </c>
      <c r="I446" s="28" t="n">
        <v>0</v>
      </c>
      <c r="J446" s="94" t="inlineStr">
        <is>
          <t>False</t>
        </is>
      </c>
      <c r="K446" s="28" t="n">
        <v>0</v>
      </c>
      <c r="L446" s="25" t="inlineStr">
        <is>
          <t>LIQUEURS AND CORDIALS</t>
        </is>
      </c>
      <c r="M446" s="25" t="inlineStr">
        <is>
          <t>JIM BEAM BRANDS CO</t>
        </is>
      </c>
      <c r="N446" s="25" t="inlineStr">
        <is>
          <t>040010-SOUTHERN GLAZERS WINE AND SPIRITS OF MISSISSIPPI LLC</t>
        </is>
      </c>
      <c r="O446" s="25" t="n"/>
      <c r="P446" s="25" t="inlineStr">
        <is>
          <t>10080686396403</t>
        </is>
      </c>
      <c r="Q446" s="25" t="inlineStr">
        <is>
          <t>0080686396406</t>
        </is>
      </c>
      <c r="R446" s="78" t="n">
        <v>42370</v>
      </c>
    </row>
    <row r="447">
      <c r="A447" t="inlineStr">
        <is>
          <t>or item code =</t>
        </is>
      </c>
      <c r="B447" s="25" t="inlineStr">
        <is>
          <t>89221</t>
        </is>
      </c>
      <c r="C447" s="25" t="inlineStr">
        <is>
          <t>DEL MAGUEY VIDA</t>
        </is>
      </c>
      <c r="D447" s="25" t="inlineStr">
        <is>
          <t>750ml</t>
        </is>
      </c>
      <c r="E447" s="27" t="n">
        <v>35</v>
      </c>
      <c r="F447" s="27" t="n">
        <v>3</v>
      </c>
      <c r="G447" s="27" t="n">
        <v>6</v>
      </c>
      <c r="H447" s="28" t="n">
        <v>184.82</v>
      </c>
      <c r="I447" s="28" t="n">
        <v>0</v>
      </c>
      <c r="J447" s="94" t="inlineStr">
        <is>
          <t>False</t>
        </is>
      </c>
      <c r="K447" s="28" t="n">
        <v>0</v>
      </c>
      <c r="L447" s="25" t="inlineStr">
        <is>
          <t>TEQUILA</t>
        </is>
      </c>
      <c r="M447" s="25" t="inlineStr">
        <is>
          <t>PERNOD RICARD USA LLC</t>
        </is>
      </c>
      <c r="N447" s="25" t="inlineStr">
        <is>
          <t>040010-SOUTHERN GLAZERS WINE AND SPIRITS OF MISSISSIPPI LLC</t>
        </is>
      </c>
      <c r="O447" s="25" t="n"/>
      <c r="P447" s="25" t="inlineStr">
        <is>
          <t>10618397200926</t>
        </is>
      </c>
      <c r="Q447" s="25" t="inlineStr">
        <is>
          <t>618397200929</t>
        </is>
      </c>
      <c r="R447" s="78" t="n">
        <v>44044</v>
      </c>
    </row>
    <row r="448">
      <c r="A448" t="inlineStr">
        <is>
          <t>or item code =</t>
        </is>
      </c>
      <c r="B448" s="25" t="inlineStr">
        <is>
          <t>87563</t>
        </is>
      </c>
      <c r="C448" s="25" t="inlineStr">
        <is>
          <t>DELEON BLANCO TEQUILA</t>
        </is>
      </c>
      <c r="D448" s="25" t="inlineStr">
        <is>
          <t>750ml</t>
        </is>
      </c>
      <c r="E448" s="27" t="n">
        <v>0</v>
      </c>
      <c r="F448" s="27" t="n">
        <v>78</v>
      </c>
      <c r="G448" s="27" t="n">
        <v>12</v>
      </c>
      <c r="H448" s="28" t="n">
        <v>373.11</v>
      </c>
      <c r="I448" s="28" t="n">
        <v>0</v>
      </c>
      <c r="J448" s="94" t="inlineStr">
        <is>
          <t>False</t>
        </is>
      </c>
      <c r="K448" s="28" t="n">
        <v>0</v>
      </c>
      <c r="L448" s="25" t="inlineStr">
        <is>
          <t>TEQUILA</t>
        </is>
      </c>
      <c r="M448" s="25" t="inlineStr">
        <is>
          <t>DIAGEO AMERICAS INC</t>
        </is>
      </c>
      <c r="N448" s="25" t="inlineStr">
        <is>
          <t>040010-SOUTHERN GLAZERS WINE AND SPIRITS OF MISSISSIPPI LLC</t>
        </is>
      </c>
      <c r="O448" s="25" t="n"/>
      <c r="P448" s="25" t="inlineStr">
        <is>
          <t>10082000791970</t>
        </is>
      </c>
      <c r="Q448" s="25" t="inlineStr">
        <is>
          <t>082000791973</t>
        </is>
      </c>
      <c r="R448" s="78" t="n">
        <v>44593</v>
      </c>
    </row>
    <row r="449">
      <c r="A449" t="inlineStr">
        <is>
          <t>or item code =</t>
        </is>
      </c>
      <c r="B449" s="25" t="inlineStr">
        <is>
          <t>4866</t>
        </is>
      </c>
      <c r="C449" s="25" t="inlineStr">
        <is>
          <t>DEWAR'S WHITE LABEL</t>
        </is>
      </c>
      <c r="D449" s="25" t="inlineStr">
        <is>
          <t>750ml</t>
        </is>
      </c>
      <c r="E449" s="27" t="n">
        <v>78</v>
      </c>
      <c r="F449" s="27" t="n">
        <v>64</v>
      </c>
      <c r="G449" s="27" t="n">
        <v>12</v>
      </c>
      <c r="H449" s="28" t="n">
        <v>232.54</v>
      </c>
      <c r="I449" s="28" t="n">
        <v>0</v>
      </c>
      <c r="J449" s="94" t="inlineStr">
        <is>
          <t>False</t>
        </is>
      </c>
      <c r="K449" s="28" t="n">
        <v>0</v>
      </c>
      <c r="L449" s="25" t="inlineStr">
        <is>
          <t>WHISKY - SCOTCH</t>
        </is>
      </c>
      <c r="M449" s="25" t="inlineStr">
        <is>
          <t>BACARDI USA INC</t>
        </is>
      </c>
      <c r="N449" s="25" t="inlineStr">
        <is>
          <t>040010-SOUTHERN GLAZERS WINE AND SPIRITS OF MISSISSIPPI LLC</t>
        </is>
      </c>
      <c r="O449" s="25" t="n"/>
      <c r="P449" s="25" t="inlineStr">
        <is>
          <t>00080480041137</t>
        </is>
      </c>
      <c r="Q449" s="25" t="inlineStr">
        <is>
          <t>0080480230029</t>
        </is>
      </c>
      <c r="R449" s="78" t="n">
        <v>42370</v>
      </c>
    </row>
    <row r="450">
      <c r="A450" t="inlineStr">
        <is>
          <t>or item code =</t>
        </is>
      </c>
      <c r="B450" s="25" t="inlineStr">
        <is>
          <t>4868</t>
        </is>
      </c>
      <c r="C450" s="25" t="inlineStr">
        <is>
          <t>DEWAR'S WHITE LABEL</t>
        </is>
      </c>
      <c r="D450" s="25" t="inlineStr">
        <is>
          <t>1.75L</t>
        </is>
      </c>
      <c r="E450" s="27" t="n">
        <v>1</v>
      </c>
      <c r="F450" s="27" t="n">
        <v>30</v>
      </c>
      <c r="G450" s="27" t="n">
        <v>6</v>
      </c>
      <c r="H450" s="28" t="n">
        <v>221.48</v>
      </c>
      <c r="I450" s="28" t="n">
        <v>0</v>
      </c>
      <c r="J450" s="94" t="inlineStr">
        <is>
          <t>False</t>
        </is>
      </c>
      <c r="K450" s="28" t="n">
        <v>0</v>
      </c>
      <c r="L450" s="25" t="inlineStr">
        <is>
          <t>WHISKY - SCOTCH</t>
        </is>
      </c>
      <c r="M450" s="25" t="inlineStr">
        <is>
          <t>BACARDI USA INC</t>
        </is>
      </c>
      <c r="N450" s="25" t="inlineStr">
        <is>
          <t>040010-SOUTHERN GLAZERS WINE AND SPIRITS OF MISSISSIPPI LLC</t>
        </is>
      </c>
      <c r="O450" s="25" t="n"/>
      <c r="P450" s="25" t="inlineStr">
        <is>
          <t>10080480230002</t>
        </is>
      </c>
      <c r="Q450" s="25" t="inlineStr">
        <is>
          <t>0080480230005</t>
        </is>
      </c>
      <c r="R450" s="78" t="n">
        <v>42370</v>
      </c>
    </row>
    <row r="451">
      <c r="A451" t="inlineStr">
        <is>
          <t>or item code =</t>
        </is>
      </c>
      <c r="B451" s="25" t="inlineStr">
        <is>
          <t>64135</t>
        </is>
      </c>
      <c r="C451" s="25" t="inlineStr">
        <is>
          <t>DI SARONNO AMARETTO</t>
        </is>
      </c>
      <c r="D451" s="25" t="inlineStr">
        <is>
          <t>375ml</t>
        </is>
      </c>
      <c r="E451" s="27" t="n">
        <v>32</v>
      </c>
      <c r="F451" s="27" t="n">
        <v>52</v>
      </c>
      <c r="G451" s="27" t="n">
        <v>12</v>
      </c>
      <c r="H451" s="28" t="n">
        <v>161.1</v>
      </c>
      <c r="I451" s="28" t="n">
        <v>0</v>
      </c>
      <c r="J451" s="94" t="inlineStr">
        <is>
          <t>False</t>
        </is>
      </c>
      <c r="K451" s="28" t="n">
        <v>0</v>
      </c>
      <c r="L451" s="25" t="inlineStr">
        <is>
          <t>LIQUEURS AND CORDIALS</t>
        </is>
      </c>
      <c r="M451" s="25" t="inlineStr">
        <is>
          <t>DISARONNO INTERNATIONAL</t>
        </is>
      </c>
      <c r="N451" s="25" t="inlineStr">
        <is>
          <t>040002-RNDC-MAGNOLIA</t>
        </is>
      </c>
      <c r="O451" s="25" t="n"/>
      <c r="P451" s="25" t="inlineStr">
        <is>
          <t>10050037014515</t>
        </is>
      </c>
      <c r="Q451" s="25" t="inlineStr">
        <is>
          <t>0050037014518</t>
        </is>
      </c>
      <c r="R451" s="78" t="n">
        <v>42370</v>
      </c>
    </row>
    <row r="452">
      <c r="A452" t="inlineStr">
        <is>
          <t>or item code =</t>
        </is>
      </c>
      <c r="B452" s="25" t="inlineStr">
        <is>
          <t>64136</t>
        </is>
      </c>
      <c r="C452" s="25" t="inlineStr">
        <is>
          <t>DI SARONNO AMARETTO</t>
        </is>
      </c>
      <c r="D452" s="25" t="inlineStr">
        <is>
          <t>750ml</t>
        </is>
      </c>
      <c r="E452" s="27" t="n">
        <v>137</v>
      </c>
      <c r="F452" s="27" t="n">
        <v>156</v>
      </c>
      <c r="G452" s="27" t="n">
        <v>12</v>
      </c>
      <c r="H452" s="28" t="n">
        <v>285.72</v>
      </c>
      <c r="I452" s="28" t="n">
        <v>0</v>
      </c>
      <c r="J452" s="94" t="inlineStr">
        <is>
          <t>False</t>
        </is>
      </c>
      <c r="K452" s="28" t="n">
        <v>0</v>
      </c>
      <c r="L452" s="25" t="inlineStr">
        <is>
          <t>LIQUEURS AND CORDIALS</t>
        </is>
      </c>
      <c r="M452" s="25" t="inlineStr">
        <is>
          <t>DISARONNO INTERNATIONAL</t>
        </is>
      </c>
      <c r="N452" s="25" t="inlineStr">
        <is>
          <t>040002-RNDC-MAGNOLIA</t>
        </is>
      </c>
      <c r="O452" s="25" t="n"/>
      <c r="P452" s="25" t="inlineStr">
        <is>
          <t>10050037014508</t>
        </is>
      </c>
      <c r="Q452" s="25" t="inlineStr">
        <is>
          <t>0050037014501</t>
        </is>
      </c>
      <c r="R452" s="78" t="n">
        <v>42370</v>
      </c>
    </row>
    <row r="453">
      <c r="A453" t="inlineStr">
        <is>
          <t>or item code =</t>
        </is>
      </c>
      <c r="B453" s="25" t="inlineStr">
        <is>
          <t>43641</t>
        </is>
      </c>
      <c r="C453" s="25" t="inlineStr">
        <is>
          <t>DIPLOMATICO RESERVA EXCLUSIVA RUM</t>
        </is>
      </c>
      <c r="D453" s="25" t="inlineStr">
        <is>
          <t>750ml</t>
        </is>
      </c>
      <c r="E453" s="27" t="n">
        <v>0</v>
      </c>
      <c r="F453" s="27" t="n">
        <v>2</v>
      </c>
      <c r="G453" s="27" t="n">
        <v>6</v>
      </c>
      <c r="H453" s="28" t="n">
        <v>189.19</v>
      </c>
      <c r="I453" s="28" t="n">
        <v>0</v>
      </c>
      <c r="J453" s="94" t="inlineStr">
        <is>
          <t>False</t>
        </is>
      </c>
      <c r="K453" s="28" t="n">
        <v>0</v>
      </c>
      <c r="L453" s="25" t="inlineStr">
        <is>
          <t>RUM</t>
        </is>
      </c>
      <c r="M453" s="25" t="inlineStr">
        <is>
          <t>E &amp; J GALLO WINERY</t>
        </is>
      </c>
      <c r="N453" s="25" t="inlineStr">
        <is>
          <t>040012-GALLO WINES OF MISSISSIPPI</t>
        </is>
      </c>
      <c r="O453" s="25" t="n"/>
      <c r="P453" s="25" t="n"/>
      <c r="Q453" s="25" t="inlineStr">
        <is>
          <t>759400362039</t>
        </is>
      </c>
      <c r="R453" s="78" t="n">
        <v>42370</v>
      </c>
    </row>
    <row r="454">
      <c r="A454" t="inlineStr">
        <is>
          <t>or item code =</t>
        </is>
      </c>
      <c r="B454" s="25" t="inlineStr">
        <is>
          <t>89200</t>
        </is>
      </c>
      <c r="C454" s="25" t="inlineStr">
        <is>
          <t>DON JULIO ANEJO 70TH ANNIVERSARY</t>
        </is>
      </c>
      <c r="D454" s="25" t="inlineStr">
        <is>
          <t>750ml</t>
        </is>
      </c>
      <c r="E454" s="27" t="n">
        <v>246</v>
      </c>
      <c r="F454" s="27" t="n">
        <v>69</v>
      </c>
      <c r="G454" s="27" t="n">
        <v>6</v>
      </c>
      <c r="H454" s="28" t="n">
        <v>326.54</v>
      </c>
      <c r="I454" s="28" t="n">
        <v>0</v>
      </c>
      <c r="J454" s="94" t="inlineStr">
        <is>
          <t>False</t>
        </is>
      </c>
      <c r="K454" s="28" t="n">
        <v>0</v>
      </c>
      <c r="L454" s="25" t="inlineStr">
        <is>
          <t>TEQUILA</t>
        </is>
      </c>
      <c r="M454" s="25" t="inlineStr">
        <is>
          <t>DIAGEO AMERICAS INC</t>
        </is>
      </c>
      <c r="N454" s="25" t="inlineStr">
        <is>
          <t>040010-SOUTHERN GLAZERS WINE AND SPIRITS OF MISSISSIPPI LLC</t>
        </is>
      </c>
      <c r="O454" s="25" t="n"/>
      <c r="P454" s="25" t="inlineStr">
        <is>
          <t>10674545001166</t>
        </is>
      </c>
      <c r="Q454" s="25" t="inlineStr">
        <is>
          <t>674545000827</t>
        </is>
      </c>
      <c r="R454" s="78" t="n">
        <v>43269</v>
      </c>
    </row>
    <row r="455">
      <c r="A455" t="inlineStr">
        <is>
          <t>or item code =</t>
        </is>
      </c>
      <c r="B455" s="25" t="inlineStr">
        <is>
          <t>89175</t>
        </is>
      </c>
      <c r="C455" s="25" t="inlineStr">
        <is>
          <t>DON JULIO ANEJO TEQUILA GOLD</t>
        </is>
      </c>
      <c r="D455" s="25" t="inlineStr">
        <is>
          <t>750ml</t>
        </is>
      </c>
      <c r="E455" s="27" t="n">
        <v>223</v>
      </c>
      <c r="F455" s="27" t="n">
        <v>102</v>
      </c>
      <c r="G455" s="27" t="n">
        <v>6</v>
      </c>
      <c r="H455" s="28" t="n">
        <v>297.84</v>
      </c>
      <c r="I455" s="28" t="n">
        <v>0</v>
      </c>
      <c r="J455" s="94" t="inlineStr">
        <is>
          <t>False</t>
        </is>
      </c>
      <c r="K455" s="28" t="n">
        <v>0</v>
      </c>
      <c r="L455" s="25" t="inlineStr">
        <is>
          <t>TEQUILA</t>
        </is>
      </c>
      <c r="M455" s="25" t="inlineStr">
        <is>
          <t>DIAGEO AMERICAS INC</t>
        </is>
      </c>
      <c r="N455" s="25" t="inlineStr">
        <is>
          <t>040010-SOUTHERN GLAZERS WINE AND SPIRITS OF MISSISSIPPI LLC</t>
        </is>
      </c>
      <c r="O455" s="25" t="n"/>
      <c r="P455" s="25" t="inlineStr">
        <is>
          <t>10674545001104</t>
        </is>
      </c>
      <c r="Q455" s="25" t="inlineStr">
        <is>
          <t>674545000063</t>
        </is>
      </c>
      <c r="R455" s="78" t="n">
        <v>42370</v>
      </c>
    </row>
    <row r="456">
      <c r="A456" t="inlineStr">
        <is>
          <t>or item code =</t>
        </is>
      </c>
      <c r="B456" s="25" t="inlineStr">
        <is>
          <t>89154</t>
        </is>
      </c>
      <c r="C456" s="25" t="inlineStr">
        <is>
          <t>DON JULIO REPOSADO TEQUILA GOLD</t>
        </is>
      </c>
      <c r="D456" s="25" t="inlineStr">
        <is>
          <t>750ml</t>
        </is>
      </c>
      <c r="E456" s="27" t="n">
        <v>185</v>
      </c>
      <c r="F456" s="27" t="n">
        <v>194</v>
      </c>
      <c r="G456" s="27" t="n">
        <v>6</v>
      </c>
      <c r="H456" s="28" t="n">
        <v>274.8</v>
      </c>
      <c r="I456" s="28" t="n">
        <v>0</v>
      </c>
      <c r="J456" s="94" t="inlineStr">
        <is>
          <t>False</t>
        </is>
      </c>
      <c r="K456" s="28" t="n">
        <v>0</v>
      </c>
      <c r="L456" s="25" t="inlineStr">
        <is>
          <t>TEQUILA</t>
        </is>
      </c>
      <c r="M456" s="25" t="inlineStr">
        <is>
          <t>DIAGEO AMERICAS INC</t>
        </is>
      </c>
      <c r="N456" s="25" t="inlineStr">
        <is>
          <t>040010-SOUTHERN GLAZERS WINE AND SPIRITS OF MISSISSIPPI LLC</t>
        </is>
      </c>
      <c r="O456" s="25" t="n"/>
      <c r="P456" s="25" t="inlineStr">
        <is>
          <t>10674545001067</t>
        </is>
      </c>
      <c r="Q456" s="25" t="inlineStr">
        <is>
          <t>0674545000414</t>
        </is>
      </c>
      <c r="R456" s="78" t="n">
        <v>42278</v>
      </c>
    </row>
    <row r="457">
      <c r="A457" t="inlineStr">
        <is>
          <t>or item code =</t>
        </is>
      </c>
      <c r="B457" s="25" t="inlineStr">
        <is>
          <t>87484</t>
        </is>
      </c>
      <c r="C457" s="25" t="inlineStr">
        <is>
          <t>DON JULIO SILVER TEQUILA WHITE</t>
        </is>
      </c>
      <c r="D457" s="25" t="inlineStr">
        <is>
          <t>375ml</t>
        </is>
      </c>
      <c r="E457" s="27" t="n">
        <v>204</v>
      </c>
      <c r="F457" s="27" t="n">
        <v>162</v>
      </c>
      <c r="G457" s="27" t="n">
        <v>12</v>
      </c>
      <c r="H457" s="28" t="n">
        <v>260.87</v>
      </c>
      <c r="I457" s="28" t="n">
        <v>0</v>
      </c>
      <c r="J457" s="94" t="inlineStr">
        <is>
          <t>False</t>
        </is>
      </c>
      <c r="K457" s="28" t="n">
        <v>0</v>
      </c>
      <c r="L457" s="25" t="inlineStr">
        <is>
          <t>TEQUILA</t>
        </is>
      </c>
      <c r="M457" s="25" t="inlineStr">
        <is>
          <t>DIAGEO AMERICAS INC</t>
        </is>
      </c>
      <c r="N457" s="25" t="inlineStr">
        <is>
          <t>040010-SOUTHERN GLAZERS WINE AND SPIRITS OF MISSISSIPPI LLC</t>
        </is>
      </c>
      <c r="O457" s="25" t="n"/>
      <c r="P457" s="25" t="inlineStr">
        <is>
          <t>10674545000718</t>
        </is>
      </c>
      <c r="Q457" s="25" t="inlineStr">
        <is>
          <t>674545000599</t>
        </is>
      </c>
      <c r="R457" s="78" t="n">
        <v>43922</v>
      </c>
    </row>
    <row r="458">
      <c r="A458" t="inlineStr">
        <is>
          <t>or item code =</t>
        </is>
      </c>
      <c r="B458" s="25" t="inlineStr">
        <is>
          <t>87485</t>
        </is>
      </c>
      <c r="C458" s="25" t="inlineStr">
        <is>
          <t>DON JULIO SILVER TEQUILA WHITE</t>
        </is>
      </c>
      <c r="D458" s="25" t="inlineStr">
        <is>
          <t>750ml</t>
        </is>
      </c>
      <c r="E458" s="27" t="n">
        <v>341</v>
      </c>
      <c r="F458" s="27" t="n">
        <v>302</v>
      </c>
      <c r="G458" s="27" t="n">
        <v>6</v>
      </c>
      <c r="H458" s="28" t="n">
        <v>251.69</v>
      </c>
      <c r="I458" s="28" t="n">
        <v>0</v>
      </c>
      <c r="J458" s="94" t="inlineStr">
        <is>
          <t>False</t>
        </is>
      </c>
      <c r="K458" s="28" t="n">
        <v>0</v>
      </c>
      <c r="L458" s="25" t="inlineStr">
        <is>
          <t>TEQUILA</t>
        </is>
      </c>
      <c r="M458" s="25" t="inlineStr">
        <is>
          <t>DIAGEO AMERICAS INC</t>
        </is>
      </c>
      <c r="N458" s="25" t="inlineStr">
        <is>
          <t>040010-SOUTHERN GLAZERS WINE AND SPIRITS OF MISSISSIPPI LLC</t>
        </is>
      </c>
      <c r="O458" s="25" t="n"/>
      <c r="P458" s="25" t="inlineStr">
        <is>
          <t>10674545001029</t>
        </is>
      </c>
      <c r="Q458" s="25" t="inlineStr">
        <is>
          <t>0674545000001</t>
        </is>
      </c>
      <c r="R458" s="78" t="n">
        <v>42278</v>
      </c>
    </row>
    <row r="459">
      <c r="A459" t="inlineStr">
        <is>
          <t>or item code =</t>
        </is>
      </c>
      <c r="B459" s="25" t="inlineStr">
        <is>
          <t>411120</t>
        </is>
      </c>
      <c r="C459" s="25" t="inlineStr">
        <is>
          <t>DON MIGUEL GASCON MALBEC MENDOZA</t>
        </is>
      </c>
      <c r="D459" s="25" t="inlineStr">
        <is>
          <t>750ml</t>
        </is>
      </c>
      <c r="E459" s="27" t="n">
        <v>39</v>
      </c>
      <c r="F459" s="27" t="n">
        <v>66</v>
      </c>
      <c r="G459" s="27" t="n">
        <v>12</v>
      </c>
      <c r="H459" s="28" t="n">
        <v>132.77</v>
      </c>
      <c r="I459" s="28" t="n">
        <v>0</v>
      </c>
      <c r="J459" s="94" t="inlineStr">
        <is>
          <t>False</t>
        </is>
      </c>
      <c r="K459" s="28" t="n">
        <v>0</v>
      </c>
      <c r="L459" s="25" t="inlineStr">
        <is>
          <t>MALBEC</t>
        </is>
      </c>
      <c r="M459" s="25" t="inlineStr">
        <is>
          <t>E &amp; J GALLO WINERY</t>
        </is>
      </c>
      <c r="N459" s="25" t="inlineStr">
        <is>
          <t>040012-GALLO WINES OF MISSISSIPPI</t>
        </is>
      </c>
      <c r="O459" s="25" t="n"/>
      <c r="P459" s="25" t="inlineStr">
        <is>
          <t>30085000016146</t>
        </is>
      </c>
      <c r="Q459" s="25" t="inlineStr">
        <is>
          <t>0085000016145</t>
        </is>
      </c>
      <c r="R459" s="78" t="n">
        <v>42278</v>
      </c>
    </row>
    <row r="460">
      <c r="A460" t="inlineStr">
        <is>
          <t>or item code =</t>
        </is>
      </c>
      <c r="B460" s="25" t="inlineStr">
        <is>
          <t>43691</t>
        </is>
      </c>
      <c r="C460" s="25" t="inlineStr">
        <is>
          <t>DON Q 151</t>
        </is>
      </c>
      <c r="D460" s="25" t="inlineStr">
        <is>
          <t>1L</t>
        </is>
      </c>
      <c r="E460" s="27" t="n">
        <v>24</v>
      </c>
      <c r="F460" s="27" t="n">
        <v>33</v>
      </c>
      <c r="G460" s="27" t="n">
        <v>12</v>
      </c>
      <c r="H460" s="28" t="n">
        <v>215.33</v>
      </c>
      <c r="I460" s="28" t="n">
        <v>0</v>
      </c>
      <c r="J460" s="94" t="inlineStr">
        <is>
          <t>False</t>
        </is>
      </c>
      <c r="K460" s="28" t="n">
        <v>0</v>
      </c>
      <c r="L460" s="25" t="inlineStr">
        <is>
          <t>RUM</t>
        </is>
      </c>
      <c r="M460" s="25" t="inlineStr">
        <is>
          <t>DESTILERIA SERRALLES INC</t>
        </is>
      </c>
      <c r="N460" s="25" t="inlineStr">
        <is>
          <t>040002-RNDC-MAGNOLIA</t>
        </is>
      </c>
      <c r="O460" s="25" t="n"/>
      <c r="P460" s="25" t="inlineStr">
        <is>
          <t>10082301101515</t>
        </is>
      </c>
      <c r="Q460" s="25" t="inlineStr">
        <is>
          <t>082301101518</t>
        </is>
      </c>
      <c r="R460" s="78" t="n">
        <v>43980</v>
      </c>
    </row>
    <row r="461">
      <c r="A461" t="inlineStr">
        <is>
          <t>or item code =</t>
        </is>
      </c>
      <c r="B461" s="25" t="inlineStr">
        <is>
          <t>462522</t>
        </is>
      </c>
      <c r="C461" s="25" t="inlineStr">
        <is>
          <t>DUPLIN CAROLINA RED</t>
        </is>
      </c>
      <c r="D461" s="25" t="inlineStr">
        <is>
          <t>750ml</t>
        </is>
      </c>
      <c r="E461" s="27" t="n">
        <v>6</v>
      </c>
      <c r="F461" s="27" t="n">
        <v>5</v>
      </c>
      <c r="G461" s="27" t="n">
        <v>12</v>
      </c>
      <c r="H461" s="28" t="n">
        <v>85.86</v>
      </c>
      <c r="I461" s="28" t="n">
        <v>0</v>
      </c>
      <c r="J461" s="94" t="inlineStr">
        <is>
          <t>False</t>
        </is>
      </c>
      <c r="K461" s="28" t="n">
        <v>0</v>
      </c>
      <c r="L461" s="25" t="inlineStr">
        <is>
          <t>RED WINE</t>
        </is>
      </c>
      <c r="M461" s="25" t="inlineStr">
        <is>
          <t>DUPLIN WINE CELLARS</t>
        </is>
      </c>
      <c r="N461" s="25" t="inlineStr">
        <is>
          <t>040003-RNDC-VINTAGE</t>
        </is>
      </c>
      <c r="O461" s="25" t="n"/>
      <c r="P461" s="25" t="inlineStr">
        <is>
          <t>00008250491234</t>
        </is>
      </c>
      <c r="Q461" s="25" t="inlineStr">
        <is>
          <t>082504912348</t>
        </is>
      </c>
      <c r="R461" s="78" t="n">
        <v>44166</v>
      </c>
    </row>
    <row r="462">
      <c r="A462" t="inlineStr">
        <is>
          <t>or item code =</t>
        </is>
      </c>
      <c r="B462" s="25" t="inlineStr">
        <is>
          <t>884910</t>
        </is>
      </c>
      <c r="C462" s="25" t="inlineStr">
        <is>
          <t>DUPLIN COTTON CANDY</t>
        </is>
      </c>
      <c r="D462" s="25" t="inlineStr">
        <is>
          <t>750ml</t>
        </is>
      </c>
      <c r="E462" s="27" t="n">
        <v>1</v>
      </c>
      <c r="F462" s="27" t="n">
        <v>14</v>
      </c>
      <c r="G462" s="27" t="n">
        <v>12</v>
      </c>
      <c r="H462" s="28" t="n">
        <v>96.45</v>
      </c>
      <c r="I462" s="28" t="n">
        <v>0</v>
      </c>
      <c r="J462" s="94" t="inlineStr">
        <is>
          <t>False</t>
        </is>
      </c>
      <c r="K462" s="28" t="n">
        <v>0</v>
      </c>
      <c r="L462" s="25" t="inlineStr">
        <is>
          <t>MUSCADINE</t>
        </is>
      </c>
      <c r="M462" s="25" t="inlineStr">
        <is>
          <t>DUPLIN WINE CELLARS</t>
        </is>
      </c>
      <c r="N462" s="25" t="inlineStr">
        <is>
          <t>040003-RNDC-VINTAGE</t>
        </is>
      </c>
      <c r="O462" s="25" t="n"/>
      <c r="P462" s="25" t="n"/>
      <c r="Q462" s="25" t="inlineStr">
        <is>
          <t>082504278684</t>
        </is>
      </c>
      <c r="R462" s="78" t="n">
        <v>44652</v>
      </c>
    </row>
    <row r="463">
      <c r="A463" t="inlineStr">
        <is>
          <t>or item code =</t>
        </is>
      </c>
      <c r="B463" s="25" t="inlineStr">
        <is>
          <t>47865</t>
        </is>
      </c>
      <c r="C463" s="25" t="inlineStr">
        <is>
          <t>DUSSE VSOP COGNAC</t>
        </is>
      </c>
      <c r="D463" s="25" t="inlineStr">
        <is>
          <t>750ml</t>
        </is>
      </c>
      <c r="E463" s="27" t="n">
        <v>828</v>
      </c>
      <c r="F463" s="27" t="n">
        <v>247</v>
      </c>
      <c r="G463" s="27" t="n">
        <v>6</v>
      </c>
      <c r="H463" s="28" t="n">
        <v>290.71</v>
      </c>
      <c r="I463" s="28" t="n">
        <v>0</v>
      </c>
      <c r="J463" s="94" t="inlineStr">
        <is>
          <t>False</t>
        </is>
      </c>
      <c r="K463" s="28" t="n">
        <v>0</v>
      </c>
      <c r="L463" s="25" t="inlineStr">
        <is>
          <t>COGNAC, ARMAGNAC</t>
        </is>
      </c>
      <c r="M463" s="25" t="inlineStr">
        <is>
          <t>BACARDI USA INC</t>
        </is>
      </c>
      <c r="N463" s="25" t="inlineStr">
        <is>
          <t>040010-SOUTHERN GLAZERS WINE AND SPIRITS OF MISSISSIPPI LLC</t>
        </is>
      </c>
      <c r="O463" s="25" t="n"/>
      <c r="P463" s="25" t="inlineStr">
        <is>
          <t>20080480002927</t>
        </is>
      </c>
      <c r="Q463" s="25" t="inlineStr">
        <is>
          <t>0080480002923</t>
        </is>
      </c>
      <c r="R463" s="78" t="n">
        <v>42370</v>
      </c>
    </row>
    <row r="464">
      <c r="A464" t="inlineStr">
        <is>
          <t>or item code =</t>
        </is>
      </c>
      <c r="B464" s="25" t="inlineStr">
        <is>
          <t>47863</t>
        </is>
      </c>
      <c r="C464" s="25" t="inlineStr">
        <is>
          <t>DUSSE VSOP COGNAC</t>
        </is>
      </c>
      <c r="D464" s="25" t="inlineStr">
        <is>
          <t>375ml</t>
        </is>
      </c>
      <c r="E464" s="27" t="n">
        <v>348</v>
      </c>
      <c r="F464" s="27" t="n">
        <v>251</v>
      </c>
      <c r="G464" s="27" t="n">
        <v>12</v>
      </c>
      <c r="H464" s="28" t="n">
        <v>276.82</v>
      </c>
      <c r="I464" s="28" t="n">
        <v>0</v>
      </c>
      <c r="J464" s="94" t="inlineStr">
        <is>
          <t>False</t>
        </is>
      </c>
      <c r="K464" s="28" t="n">
        <v>0</v>
      </c>
      <c r="L464" s="25" t="inlineStr">
        <is>
          <t>COGNAC, ARMAGNAC</t>
        </is>
      </c>
      <c r="M464" s="25" t="inlineStr">
        <is>
          <t>BACARDI USA INC</t>
        </is>
      </c>
      <c r="N464" s="25" t="inlineStr">
        <is>
          <t>040010-SOUTHERN GLAZERS WINE AND SPIRITS OF MISSISSIPPI LLC</t>
        </is>
      </c>
      <c r="O464" s="25" t="n"/>
      <c r="P464" s="25" t="inlineStr">
        <is>
          <t>10080480002951</t>
        </is>
      </c>
      <c r="Q464" s="25" t="inlineStr">
        <is>
          <t>0080480002930</t>
        </is>
      </c>
      <c r="R464" s="78" t="n">
        <v>42370</v>
      </c>
    </row>
    <row r="465">
      <c r="A465" t="inlineStr">
        <is>
          <t>or item code =</t>
        </is>
      </c>
      <c r="B465" s="25" t="inlineStr">
        <is>
          <t>47861</t>
        </is>
      </c>
      <c r="C465" s="25" t="inlineStr">
        <is>
          <t>DUSSE VSOP COGNAC FLASK BOTTLE</t>
        </is>
      </c>
      <c r="D465" s="25" t="inlineStr">
        <is>
          <t>200ml</t>
        </is>
      </c>
      <c r="E465" s="27" t="n">
        <v>54</v>
      </c>
      <c r="F465" s="27" t="n">
        <v>92</v>
      </c>
      <c r="G465" s="27" t="n">
        <v>24</v>
      </c>
      <c r="H465" s="28" t="n">
        <v>332.13</v>
      </c>
      <c r="I465" s="28" t="n">
        <v>0</v>
      </c>
      <c r="J465" s="94" t="inlineStr">
        <is>
          <t>False</t>
        </is>
      </c>
      <c r="K465" s="28" t="n">
        <v>0</v>
      </c>
      <c r="L465" s="25" t="inlineStr">
        <is>
          <t>COGNAC, ARMAGNAC</t>
        </is>
      </c>
      <c r="M465" s="25" t="inlineStr">
        <is>
          <t>BACARDI USA INC</t>
        </is>
      </c>
      <c r="N465" s="25" t="inlineStr">
        <is>
          <t>040010-SOUTHERN GLAZERS WINE AND SPIRITS OF MISSISSIPPI LLC</t>
        </is>
      </c>
      <c r="O465" s="25" t="n"/>
      <c r="P465" s="25" t="inlineStr">
        <is>
          <t>10080480983199</t>
        </is>
      </c>
      <c r="Q465" s="25" t="inlineStr">
        <is>
          <t>080480983192</t>
        </is>
      </c>
      <c r="R465" s="78" t="n">
        <v>43222</v>
      </c>
    </row>
    <row r="466">
      <c r="A466" t="inlineStr">
        <is>
          <t>or item code =</t>
        </is>
      </c>
      <c r="B466" s="25" t="inlineStr">
        <is>
          <t>47869</t>
        </is>
      </c>
      <c r="C466" s="25" t="inlineStr">
        <is>
          <t>DUSSE XO COGNAC</t>
        </is>
      </c>
      <c r="D466" s="25" t="inlineStr">
        <is>
          <t>750ml</t>
        </is>
      </c>
      <c r="E466" s="27" t="n">
        <v>32</v>
      </c>
      <c r="F466" s="27" t="n">
        <v>2</v>
      </c>
      <c r="G466" s="27" t="n">
        <v>6</v>
      </c>
      <c r="H466" s="28" t="n">
        <v>923.02</v>
      </c>
      <c r="I466" s="28" t="n">
        <v>0</v>
      </c>
      <c r="J466" s="94" t="inlineStr">
        <is>
          <t>False</t>
        </is>
      </c>
      <c r="K466" s="28" t="n">
        <v>0</v>
      </c>
      <c r="L466" s="25" t="inlineStr">
        <is>
          <t>COGNAC, ARMAGNAC</t>
        </is>
      </c>
      <c r="M466" s="25" t="inlineStr">
        <is>
          <t>BACARDI USA INC</t>
        </is>
      </c>
      <c r="N466" s="25" t="inlineStr">
        <is>
          <t>040010-SOUTHERN GLAZERS WINE AND SPIRITS OF MISSISSIPPI LLC</t>
        </is>
      </c>
      <c r="O466" s="25" t="n"/>
      <c r="P466" s="25" t="inlineStr">
        <is>
          <t>20080480002941</t>
        </is>
      </c>
      <c r="Q466" s="25" t="inlineStr">
        <is>
          <t>80480002947</t>
        </is>
      </c>
      <c r="R466" s="78" t="n">
        <v>43983</v>
      </c>
    </row>
    <row r="467">
      <c r="A467" t="inlineStr">
        <is>
          <t>or item code =</t>
        </is>
      </c>
      <c r="B467" s="25" t="inlineStr">
        <is>
          <t>73757</t>
        </is>
      </c>
      <c r="C467" s="25" t="inlineStr">
        <is>
          <t>E &amp; J APPLE BRANDY</t>
        </is>
      </c>
      <c r="D467" s="25" t="inlineStr">
        <is>
          <t>1.75L</t>
        </is>
      </c>
      <c r="E467" s="27" t="n">
        <v>25</v>
      </c>
      <c r="F467" s="27" t="n">
        <v>13</v>
      </c>
      <c r="G467" s="27" t="n">
        <v>6</v>
      </c>
      <c r="H467" s="28" t="n">
        <v>115.34</v>
      </c>
      <c r="I467" s="28" t="n">
        <v>0</v>
      </c>
      <c r="J467" s="94" t="inlineStr">
        <is>
          <t>False</t>
        </is>
      </c>
      <c r="K467" s="28" t="n">
        <v>0</v>
      </c>
      <c r="L467" s="25" t="inlineStr">
        <is>
          <t>BRANDY</t>
        </is>
      </c>
      <c r="M467" s="25" t="inlineStr">
        <is>
          <t>E &amp; J GALLO WINERY</t>
        </is>
      </c>
      <c r="N467" s="25" t="inlineStr">
        <is>
          <t>040012-GALLO WINES OF MISSISSIPPI</t>
        </is>
      </c>
      <c r="O467" s="25" t="n"/>
      <c r="P467" s="25" t="inlineStr">
        <is>
          <t>20085000024069</t>
        </is>
      </c>
      <c r="Q467" s="25" t="inlineStr">
        <is>
          <t>0085000024065</t>
        </is>
      </c>
      <c r="R467" s="78" t="n">
        <v>42759</v>
      </c>
    </row>
    <row r="468">
      <c r="A468" t="inlineStr">
        <is>
          <t>or item code =</t>
        </is>
      </c>
      <c r="B468" s="25" t="inlineStr">
        <is>
          <t>73755</t>
        </is>
      </c>
      <c r="C468" s="25" t="inlineStr">
        <is>
          <t>E &amp; J APPLE BRANDY</t>
        </is>
      </c>
      <c r="D468" s="25" t="inlineStr">
        <is>
          <t>750ml</t>
        </is>
      </c>
      <c r="E468" s="27" t="n">
        <v>44</v>
      </c>
      <c r="F468" s="27" t="n">
        <v>56</v>
      </c>
      <c r="G468" s="27" t="n">
        <v>12</v>
      </c>
      <c r="H468" s="28" t="n">
        <v>110.67</v>
      </c>
      <c r="I468" s="28" t="n">
        <v>0</v>
      </c>
      <c r="J468" s="94" t="inlineStr">
        <is>
          <t>False</t>
        </is>
      </c>
      <c r="K468" s="28" t="n">
        <v>0</v>
      </c>
      <c r="L468" s="25" t="inlineStr">
        <is>
          <t>BRANDY</t>
        </is>
      </c>
      <c r="M468" s="25" t="inlineStr">
        <is>
          <t>E &amp; J GALLO WINERY</t>
        </is>
      </c>
      <c r="N468" s="25" t="inlineStr">
        <is>
          <t>040012-GALLO WINES OF MISSISSIPPI</t>
        </is>
      </c>
      <c r="O468" s="25" t="n"/>
      <c r="P468" s="25" t="inlineStr">
        <is>
          <t>30085000024042</t>
        </is>
      </c>
      <c r="Q468" s="25" t="inlineStr">
        <is>
          <t>0085000024041</t>
        </is>
      </c>
      <c r="R468" s="78" t="n">
        <v>42370</v>
      </c>
    </row>
    <row r="469">
      <c r="A469" t="inlineStr">
        <is>
          <t>or item code =</t>
        </is>
      </c>
      <c r="B469" s="25" t="inlineStr">
        <is>
          <t>73753</t>
        </is>
      </c>
      <c r="C469" s="25" t="inlineStr">
        <is>
          <t>E &amp; J APPLE BRANDY</t>
        </is>
      </c>
      <c r="D469" s="25" t="inlineStr">
        <is>
          <t>200ml</t>
        </is>
      </c>
      <c r="E469" s="27" t="n">
        <v>0</v>
      </c>
      <c r="F469" s="27" t="n">
        <v>57</v>
      </c>
      <c r="G469" s="27" t="n">
        <v>24</v>
      </c>
      <c r="H469" s="28" t="n">
        <v>73.55</v>
      </c>
      <c r="I469" s="28" t="n">
        <v>0</v>
      </c>
      <c r="J469" s="94" t="inlineStr">
        <is>
          <t>False</t>
        </is>
      </c>
      <c r="K469" s="28" t="n">
        <v>0</v>
      </c>
      <c r="L469" s="25" t="inlineStr">
        <is>
          <t>BRANDY</t>
        </is>
      </c>
      <c r="M469" s="25" t="inlineStr">
        <is>
          <t>E &amp; J GALLO WINERY</t>
        </is>
      </c>
      <c r="N469" s="25" t="inlineStr">
        <is>
          <t>040012-GALLO WINES OF MISSISSIPPI</t>
        </is>
      </c>
      <c r="O469" s="25" t="n"/>
      <c r="P469" s="25" t="inlineStr">
        <is>
          <t>40085000024025</t>
        </is>
      </c>
      <c r="Q469" s="25" t="inlineStr">
        <is>
          <t>0085000024027</t>
        </is>
      </c>
      <c r="R469" s="78" t="n">
        <v>42627</v>
      </c>
    </row>
    <row r="470">
      <c r="A470" t="inlineStr">
        <is>
          <t>or item code =</t>
        </is>
      </c>
      <c r="B470" s="25" t="inlineStr">
        <is>
          <t>73754</t>
        </is>
      </c>
      <c r="C470" s="25" t="inlineStr">
        <is>
          <t>E &amp; J APPLE BRANDY</t>
        </is>
      </c>
      <c r="D470" s="25" t="inlineStr">
        <is>
          <t>375ml</t>
        </is>
      </c>
      <c r="E470" s="27" t="n">
        <v>50</v>
      </c>
      <c r="F470" s="27" t="n">
        <v>71</v>
      </c>
      <c r="G470" s="27" t="n">
        <v>24</v>
      </c>
      <c r="H470" s="28" t="n">
        <v>116.4</v>
      </c>
      <c r="I470" s="28" t="n">
        <v>0</v>
      </c>
      <c r="J470" s="94" t="inlineStr">
        <is>
          <t>False</t>
        </is>
      </c>
      <c r="K470" s="28" t="n">
        <v>0</v>
      </c>
      <c r="L470" s="25" t="inlineStr">
        <is>
          <t>BRANDY</t>
        </is>
      </c>
      <c r="M470" s="25" t="inlineStr">
        <is>
          <t>E &amp; J GALLO WINERY</t>
        </is>
      </c>
      <c r="N470" s="25" t="inlineStr">
        <is>
          <t>040012-GALLO WINES OF MISSISSIPPI</t>
        </is>
      </c>
      <c r="O470" s="25" t="n"/>
      <c r="P470" s="25" t="inlineStr">
        <is>
          <t>40085000024032</t>
        </is>
      </c>
      <c r="Q470" s="25" t="inlineStr">
        <is>
          <t>0085000024034</t>
        </is>
      </c>
      <c r="R470" s="78" t="n">
        <v>42370</v>
      </c>
    </row>
    <row r="471">
      <c r="A471" t="inlineStr">
        <is>
          <t>or item code =</t>
        </is>
      </c>
      <c r="B471" s="25" t="inlineStr">
        <is>
          <t>73762</t>
        </is>
      </c>
      <c r="C471" s="25" t="inlineStr">
        <is>
          <t>E &amp; J PEACH (BRANDY W/PEACH LIQUEUR)</t>
        </is>
      </c>
      <c r="D471" s="25" t="inlineStr">
        <is>
          <t>750ml</t>
        </is>
      </c>
      <c r="E471" s="27" t="n">
        <v>22</v>
      </c>
      <c r="F471" s="27" t="n">
        <v>38</v>
      </c>
      <c r="G471" s="27" t="n">
        <v>12</v>
      </c>
      <c r="H471" s="28" t="n">
        <v>110.67</v>
      </c>
      <c r="I471" s="28" t="n">
        <v>0</v>
      </c>
      <c r="J471" s="94" t="inlineStr">
        <is>
          <t>False</t>
        </is>
      </c>
      <c r="K471" s="28" t="n">
        <v>0</v>
      </c>
      <c r="L471" s="25" t="inlineStr">
        <is>
          <t>LIQUEURS AND CORDIALS</t>
        </is>
      </c>
      <c r="M471" s="25" t="inlineStr">
        <is>
          <t>E &amp; J GALLO WINERY</t>
        </is>
      </c>
      <c r="N471" s="25" t="inlineStr">
        <is>
          <t>040012-GALLO WINES OF MISSISSIPPI</t>
        </is>
      </c>
      <c r="O471" s="25" t="n"/>
      <c r="P471" s="25" t="inlineStr">
        <is>
          <t>30085000024110</t>
        </is>
      </c>
      <c r="Q471" s="25" t="inlineStr">
        <is>
          <t>0085000024119</t>
        </is>
      </c>
      <c r="R471" s="78" t="n">
        <v>42278</v>
      </c>
    </row>
    <row r="472">
      <c r="A472" t="inlineStr">
        <is>
          <t>or item code =</t>
        </is>
      </c>
      <c r="B472" s="25" t="inlineStr">
        <is>
          <t>52580</t>
        </is>
      </c>
      <c r="C472" s="25" t="inlineStr">
        <is>
          <t>E &amp; J SUPERIOR RESERVE VSOP BRANDY</t>
        </is>
      </c>
      <c r="D472" s="25" t="inlineStr">
        <is>
          <t>200ml</t>
        </is>
      </c>
      <c r="E472" s="27" t="n">
        <v>42</v>
      </c>
      <c r="F472" s="27" t="n">
        <v>137</v>
      </c>
      <c r="G472" s="27" t="n">
        <v>24</v>
      </c>
      <c r="H472" s="28" t="n">
        <v>80.41</v>
      </c>
      <c r="I472" s="28" t="n">
        <v>0</v>
      </c>
      <c r="J472" s="94" t="inlineStr">
        <is>
          <t>False</t>
        </is>
      </c>
      <c r="K472" s="28" t="n">
        <v>0</v>
      </c>
      <c r="L472" s="25" t="inlineStr">
        <is>
          <t>BRANDY</t>
        </is>
      </c>
      <c r="M472" s="25" t="inlineStr">
        <is>
          <t>E &amp; J GALLO WINERY</t>
        </is>
      </c>
      <c r="N472" s="25" t="inlineStr">
        <is>
          <t>040012-GALLO WINES OF MISSISSIPPI</t>
        </is>
      </c>
      <c r="O472" s="25" t="n"/>
      <c r="P472" s="25" t="inlineStr">
        <is>
          <t>40085000003792</t>
        </is>
      </c>
      <c r="Q472" s="25" t="inlineStr">
        <is>
          <t>0085000003794</t>
        </is>
      </c>
      <c r="R472" s="78" t="n">
        <v>42279</v>
      </c>
    </row>
    <row r="473">
      <c r="A473" t="inlineStr">
        <is>
          <t>or item code =</t>
        </is>
      </c>
      <c r="B473" s="25" t="inlineStr">
        <is>
          <t>52581</t>
        </is>
      </c>
      <c r="C473" s="25" t="inlineStr">
        <is>
          <t>E &amp; J SUPERIOR RESERVE VSOP BRANDY</t>
        </is>
      </c>
      <c r="D473" s="25" t="inlineStr">
        <is>
          <t>375ml</t>
        </is>
      </c>
      <c r="E473" s="27" t="n">
        <v>59</v>
      </c>
      <c r="F473" s="27" t="n">
        <v>215</v>
      </c>
      <c r="G473" s="27" t="n">
        <v>24</v>
      </c>
      <c r="H473" s="28" t="n">
        <v>124.97</v>
      </c>
      <c r="I473" s="28" t="n">
        <v>0</v>
      </c>
      <c r="J473" s="94" t="inlineStr">
        <is>
          <t>False</t>
        </is>
      </c>
      <c r="K473" s="28" t="n">
        <v>0</v>
      </c>
      <c r="L473" s="25" t="inlineStr">
        <is>
          <t>BRANDY</t>
        </is>
      </c>
      <c r="M473" s="25" t="inlineStr">
        <is>
          <t>E &amp; J GALLO WINERY</t>
        </is>
      </c>
      <c r="N473" s="25" t="inlineStr">
        <is>
          <t>040012-GALLO WINES OF MISSISSIPPI</t>
        </is>
      </c>
      <c r="O473" s="25" t="n"/>
      <c r="P473" s="25" t="inlineStr">
        <is>
          <t>40085000003839</t>
        </is>
      </c>
      <c r="Q473" s="25" t="inlineStr">
        <is>
          <t>0085000003831</t>
        </is>
      </c>
      <c r="R473" s="78" t="n">
        <v>42370</v>
      </c>
    </row>
    <row r="474">
      <c r="A474" t="inlineStr">
        <is>
          <t>or item code =</t>
        </is>
      </c>
      <c r="B474" s="25" t="inlineStr">
        <is>
          <t>52582</t>
        </is>
      </c>
      <c r="C474" s="25" t="inlineStr">
        <is>
          <t>E &amp; J SUPERIOR RESERVE VSOP BRANDY</t>
        </is>
      </c>
      <c r="D474" s="25" t="inlineStr">
        <is>
          <t>750ml</t>
        </is>
      </c>
      <c r="E474" s="27" t="n">
        <v>34</v>
      </c>
      <c r="F474" s="27" t="n">
        <v>118</v>
      </c>
      <c r="G474" s="27" t="n">
        <v>12</v>
      </c>
      <c r="H474" s="28" t="n">
        <v>119.91</v>
      </c>
      <c r="I474" s="28" t="n">
        <v>0</v>
      </c>
      <c r="J474" s="94" t="inlineStr">
        <is>
          <t>False</t>
        </is>
      </c>
      <c r="K474" s="28" t="n">
        <v>0</v>
      </c>
      <c r="L474" s="25" t="inlineStr">
        <is>
          <t>BRANDY</t>
        </is>
      </c>
      <c r="M474" s="25" t="inlineStr">
        <is>
          <t>E &amp; J GALLO WINERY</t>
        </is>
      </c>
      <c r="N474" s="25" t="inlineStr">
        <is>
          <t>040012-GALLO WINES OF MISSISSIPPI</t>
        </is>
      </c>
      <c r="O474" s="25" t="n"/>
      <c r="P474" s="25" t="inlineStr">
        <is>
          <t>30085000003818</t>
        </is>
      </c>
      <c r="Q474" s="25" t="inlineStr">
        <is>
          <t>085000003817</t>
        </is>
      </c>
      <c r="R474" s="78" t="n">
        <v>42279</v>
      </c>
    </row>
    <row r="475">
      <c r="A475" t="inlineStr">
        <is>
          <t>or item code =</t>
        </is>
      </c>
      <c r="B475" s="25" t="inlineStr">
        <is>
          <t>52584</t>
        </is>
      </c>
      <c r="C475" s="25" t="inlineStr">
        <is>
          <t>E &amp; J SUPERIOR RESERVE VSOP BRANDY</t>
        </is>
      </c>
      <c r="D475" s="25" t="inlineStr">
        <is>
          <t>1.75L</t>
        </is>
      </c>
      <c r="E475" s="27" t="n">
        <v>29</v>
      </c>
      <c r="F475" s="27" t="n">
        <v>63</v>
      </c>
      <c r="G475" s="27" t="n">
        <v>6</v>
      </c>
      <c r="H475" s="28" t="n">
        <v>119.96</v>
      </c>
      <c r="I475" s="28" t="n">
        <v>0</v>
      </c>
      <c r="J475" s="94" t="inlineStr">
        <is>
          <t>False</t>
        </is>
      </c>
      <c r="K475" s="28" t="n">
        <v>0</v>
      </c>
      <c r="L475" s="25" t="inlineStr">
        <is>
          <t>BRANDY</t>
        </is>
      </c>
      <c r="M475" s="25" t="inlineStr">
        <is>
          <t>E &amp; J GALLO WINERY</t>
        </is>
      </c>
      <c r="N475" s="25" t="inlineStr">
        <is>
          <t>040012-GALLO WINES OF MISSISSIPPI</t>
        </is>
      </c>
      <c r="O475" s="25" t="n"/>
      <c r="P475" s="25" t="inlineStr">
        <is>
          <t>20085000003934</t>
        </is>
      </c>
      <c r="Q475" s="25" t="inlineStr">
        <is>
          <t>0085000003930</t>
        </is>
      </c>
      <c r="R475" s="78" t="n">
        <v>42279</v>
      </c>
    </row>
    <row r="476">
      <c r="A476" t="inlineStr">
        <is>
          <t>or item code =</t>
        </is>
      </c>
      <c r="B476" s="25" t="inlineStr">
        <is>
          <t>73779</t>
        </is>
      </c>
      <c r="C476" s="25" t="inlineStr">
        <is>
          <t>E &amp; J VANILLA (BRANDY W/VANILLA LIQUEUR)</t>
        </is>
      </c>
      <c r="D476" s="25" t="inlineStr">
        <is>
          <t>375ml</t>
        </is>
      </c>
      <c r="E476" s="27" t="n">
        <v>26</v>
      </c>
      <c r="F476" s="27" t="n">
        <v>15</v>
      </c>
      <c r="G476" s="27" t="n">
        <v>24</v>
      </c>
      <c r="H476" s="28" t="n">
        <v>116.4</v>
      </c>
      <c r="I476" s="28" t="n">
        <v>0</v>
      </c>
      <c r="J476" s="94" t="inlineStr">
        <is>
          <t>False</t>
        </is>
      </c>
      <c r="K476" s="28" t="n">
        <v>0</v>
      </c>
      <c r="L476" s="25" t="inlineStr">
        <is>
          <t>BRANDY</t>
        </is>
      </c>
      <c r="M476" s="25" t="inlineStr">
        <is>
          <t>E &amp; J GALLO WINERY</t>
        </is>
      </c>
      <c r="N476" s="25" t="inlineStr">
        <is>
          <t>040012-GALLO WINES OF MISSISSIPPI</t>
        </is>
      </c>
      <c r="O476" s="25" t="n"/>
      <c r="P476" s="25" t="inlineStr">
        <is>
          <t>40085000025749</t>
        </is>
      </c>
      <c r="Q476" s="25" t="inlineStr">
        <is>
          <t>085000025741</t>
        </is>
      </c>
      <c r="R476" s="78" t="n">
        <v>42993</v>
      </c>
    </row>
    <row r="477">
      <c r="A477" t="inlineStr">
        <is>
          <t>or item code =</t>
        </is>
      </c>
      <c r="B477" s="25" t="inlineStr">
        <is>
          <t>73780</t>
        </is>
      </c>
      <c r="C477" s="25" t="inlineStr">
        <is>
          <t>E &amp; J VANILLA (BRANDY W/VANILLA LIQUEUR)</t>
        </is>
      </c>
      <c r="D477" s="25" t="inlineStr">
        <is>
          <t>750ml</t>
        </is>
      </c>
      <c r="E477" s="27" t="n">
        <v>27</v>
      </c>
      <c r="F477" s="27" t="n">
        <v>41</v>
      </c>
      <c r="G477" s="27" t="n">
        <v>12</v>
      </c>
      <c r="H477" s="28" t="n">
        <v>110.67</v>
      </c>
      <c r="I477" s="28" t="n">
        <v>0</v>
      </c>
      <c r="J477" s="94" t="inlineStr">
        <is>
          <t>False</t>
        </is>
      </c>
      <c r="K477" s="28" t="n">
        <v>0</v>
      </c>
      <c r="L477" s="25" t="inlineStr">
        <is>
          <t>BRANDY</t>
        </is>
      </c>
      <c r="M477" s="25" t="inlineStr">
        <is>
          <t>E &amp; J GALLO WINERY</t>
        </is>
      </c>
      <c r="N477" s="25" t="inlineStr">
        <is>
          <t>040012-GALLO WINES OF MISSISSIPPI</t>
        </is>
      </c>
      <c r="O477" s="25" t="n"/>
      <c r="P477" s="25" t="n"/>
      <c r="Q477" s="25" t="inlineStr">
        <is>
          <t>0085000025758</t>
        </is>
      </c>
      <c r="R477" s="78" t="n">
        <v>42993</v>
      </c>
    </row>
    <row r="478">
      <c r="A478" t="inlineStr">
        <is>
          <t>or item code =</t>
        </is>
      </c>
      <c r="B478" s="25" t="inlineStr">
        <is>
          <t>52598</t>
        </is>
      </c>
      <c r="C478" s="25" t="inlineStr">
        <is>
          <t>E &amp; J VS BRANDY</t>
        </is>
      </c>
      <c r="D478" s="25" t="inlineStr">
        <is>
          <t>1.75L</t>
        </is>
      </c>
      <c r="E478" s="27" t="n">
        <v>66</v>
      </c>
      <c r="F478" s="27" t="n">
        <v>135</v>
      </c>
      <c r="G478" s="27" t="n">
        <v>6</v>
      </c>
      <c r="H478" s="28" t="n">
        <v>115.34</v>
      </c>
      <c r="I478" s="28" t="n">
        <v>0</v>
      </c>
      <c r="J478" s="94" t="inlineStr">
        <is>
          <t>False</t>
        </is>
      </c>
      <c r="K478" s="28" t="n">
        <v>0</v>
      </c>
      <c r="L478" s="25" t="inlineStr">
        <is>
          <t>BRANDY</t>
        </is>
      </c>
      <c r="M478" s="25" t="inlineStr">
        <is>
          <t>E &amp; J GALLO WINERY</t>
        </is>
      </c>
      <c r="N478" s="25" t="inlineStr">
        <is>
          <t>040012-GALLO WINES OF MISSISSIPPI</t>
        </is>
      </c>
      <c r="O478" s="25" t="n"/>
      <c r="P478" s="25" t="inlineStr">
        <is>
          <t>20085000004153</t>
        </is>
      </c>
      <c r="Q478" s="25" t="inlineStr">
        <is>
          <t>085000004159</t>
        </is>
      </c>
      <c r="R478" s="78" t="n">
        <v>42370</v>
      </c>
    </row>
    <row r="479">
      <c r="A479" t="inlineStr">
        <is>
          <t>or item code =</t>
        </is>
      </c>
      <c r="B479" s="25" t="inlineStr">
        <is>
          <t>52596</t>
        </is>
      </c>
      <c r="C479" s="25" t="inlineStr">
        <is>
          <t>E &amp; J VS BRANDY</t>
        </is>
      </c>
      <c r="D479" s="25" t="inlineStr">
        <is>
          <t>750ml</t>
        </is>
      </c>
      <c r="E479" s="27" t="n">
        <v>125</v>
      </c>
      <c r="F479" s="27" t="n">
        <v>166</v>
      </c>
      <c r="G479" s="27" t="n">
        <v>12</v>
      </c>
      <c r="H479" s="28" t="n">
        <v>110.67</v>
      </c>
      <c r="I479" s="28" t="n">
        <v>0</v>
      </c>
      <c r="J479" s="94" t="inlineStr">
        <is>
          <t>False</t>
        </is>
      </c>
      <c r="K479" s="28" t="n">
        <v>0</v>
      </c>
      <c r="L479" s="25" t="inlineStr">
        <is>
          <t>BRANDY</t>
        </is>
      </c>
      <c r="M479" s="25" t="inlineStr">
        <is>
          <t>E &amp; J GALLO WINERY</t>
        </is>
      </c>
      <c r="N479" s="25" t="inlineStr">
        <is>
          <t>040012-GALLO WINES OF MISSISSIPPI</t>
        </is>
      </c>
      <c r="O479" s="25" t="n"/>
      <c r="P479" s="25" t="inlineStr">
        <is>
          <t>30085000004136</t>
        </is>
      </c>
      <c r="Q479" s="25" t="inlineStr">
        <is>
          <t>085000004135</t>
        </is>
      </c>
      <c r="R479" s="78" t="n">
        <v>42278</v>
      </c>
    </row>
    <row r="480">
      <c r="A480" t="inlineStr">
        <is>
          <t>or item code =</t>
        </is>
      </c>
      <c r="B480" s="25" t="inlineStr">
        <is>
          <t>52594</t>
        </is>
      </c>
      <c r="C480" s="25" t="inlineStr">
        <is>
          <t>E &amp; J VS BRANDY</t>
        </is>
      </c>
      <c r="D480" s="25" t="inlineStr">
        <is>
          <t>375ml</t>
        </is>
      </c>
      <c r="E480" s="27" t="n">
        <v>67</v>
      </c>
      <c r="F480" s="27" t="n">
        <v>283</v>
      </c>
      <c r="G480" s="27" t="n">
        <v>24</v>
      </c>
      <c r="H480" s="28" t="n">
        <v>116.4</v>
      </c>
      <c r="I480" s="28" t="n">
        <v>0</v>
      </c>
      <c r="J480" s="94" t="inlineStr">
        <is>
          <t>False</t>
        </is>
      </c>
      <c r="K480" s="28" t="n">
        <v>0</v>
      </c>
      <c r="L480" s="25" t="inlineStr">
        <is>
          <t>BRANDY</t>
        </is>
      </c>
      <c r="M480" s="25" t="inlineStr">
        <is>
          <t>E &amp; J GALLO WINERY</t>
        </is>
      </c>
      <c r="N480" s="25" t="inlineStr">
        <is>
          <t>040012-GALLO WINES OF MISSISSIPPI</t>
        </is>
      </c>
      <c r="O480" s="25" t="n"/>
      <c r="P480" s="25" t="inlineStr">
        <is>
          <t>40085000004263</t>
        </is>
      </c>
      <c r="Q480" s="25" t="inlineStr">
        <is>
          <t>085000004265</t>
        </is>
      </c>
      <c r="R480" s="78" t="n">
        <v>42279</v>
      </c>
    </row>
    <row r="481">
      <c r="A481" t="inlineStr">
        <is>
          <t>or item code =</t>
        </is>
      </c>
      <c r="B481" s="25" t="inlineStr">
        <is>
          <t>52593</t>
        </is>
      </c>
      <c r="C481" s="25" t="inlineStr">
        <is>
          <t>E &amp; J VS BRANDY</t>
        </is>
      </c>
      <c r="D481" s="25" t="inlineStr">
        <is>
          <t>200ml</t>
        </is>
      </c>
      <c r="E481" s="27" t="n">
        <v>56</v>
      </c>
      <c r="F481" s="27" t="n">
        <v>249</v>
      </c>
      <c r="G481" s="27" t="n">
        <v>24</v>
      </c>
      <c r="H481" s="28" t="n">
        <v>73.55</v>
      </c>
      <c r="I481" s="28" t="n">
        <v>0</v>
      </c>
      <c r="J481" s="94" t="inlineStr">
        <is>
          <t>False</t>
        </is>
      </c>
      <c r="K481" s="28" t="n">
        <v>0</v>
      </c>
      <c r="L481" s="25" t="inlineStr">
        <is>
          <t>BRANDY</t>
        </is>
      </c>
      <c r="M481" s="25" t="inlineStr">
        <is>
          <t>E &amp; J GALLO WINERY</t>
        </is>
      </c>
      <c r="N481" s="25" t="inlineStr">
        <is>
          <t>040012-GALLO WINES OF MISSISSIPPI</t>
        </is>
      </c>
      <c r="O481" s="25" t="n"/>
      <c r="P481" s="25" t="inlineStr">
        <is>
          <t>40085000004218</t>
        </is>
      </c>
      <c r="Q481" s="25" t="inlineStr">
        <is>
          <t>085000004210</t>
        </is>
      </c>
      <c r="R481" s="78" t="n">
        <v>42370</v>
      </c>
    </row>
    <row r="482">
      <c r="A482" t="inlineStr">
        <is>
          <t>or item code =</t>
        </is>
      </c>
      <c r="B482" s="25" t="inlineStr">
        <is>
          <t>52563</t>
        </is>
      </c>
      <c r="C482" s="25" t="inlineStr">
        <is>
          <t>E &amp; J XO BRANDY</t>
        </is>
      </c>
      <c r="D482" s="25" t="inlineStr">
        <is>
          <t>750ml</t>
        </is>
      </c>
      <c r="E482" s="27" t="n">
        <v>15</v>
      </c>
      <c r="F482" s="27" t="n">
        <v>50</v>
      </c>
      <c r="G482" s="27" t="n">
        <v>12</v>
      </c>
      <c r="H482" s="28" t="n">
        <v>129.14</v>
      </c>
      <c r="I482" s="28" t="n">
        <v>0</v>
      </c>
      <c r="J482" s="94" t="inlineStr">
        <is>
          <t>False</t>
        </is>
      </c>
      <c r="K482" s="28" t="n">
        <v>0</v>
      </c>
      <c r="L482" s="25" t="inlineStr">
        <is>
          <t>BRANDY</t>
        </is>
      </c>
      <c r="M482" s="25" t="inlineStr">
        <is>
          <t>E &amp; J GALLO WINERY</t>
        </is>
      </c>
      <c r="N482" s="25" t="inlineStr">
        <is>
          <t>040012-GALLO WINES OF MISSISSIPPI</t>
        </is>
      </c>
      <c r="O482" s="25" t="n"/>
      <c r="P482" s="25" t="inlineStr">
        <is>
          <t>30085000009155</t>
        </is>
      </c>
      <c r="Q482" s="25" t="inlineStr">
        <is>
          <t>0085000009154</t>
        </is>
      </c>
      <c r="R482" s="78" t="n">
        <v>42279</v>
      </c>
    </row>
    <row r="483">
      <c r="A483" t="inlineStr">
        <is>
          <t>or item code =</t>
        </is>
      </c>
      <c r="B483" s="25" t="inlineStr">
        <is>
          <t>52562</t>
        </is>
      </c>
      <c r="C483" s="25" t="inlineStr">
        <is>
          <t>E &amp; J XO BRANDY</t>
        </is>
      </c>
      <c r="D483" s="25" t="inlineStr">
        <is>
          <t>375ml</t>
        </is>
      </c>
      <c r="E483" s="27" t="n">
        <v>24</v>
      </c>
      <c r="F483" s="27" t="n">
        <v>45</v>
      </c>
      <c r="G483" s="27" t="n">
        <v>24</v>
      </c>
      <c r="H483" s="28" t="n">
        <v>133.54</v>
      </c>
      <c r="I483" s="28" t="n">
        <v>0</v>
      </c>
      <c r="J483" s="94" t="inlineStr">
        <is>
          <t>False</t>
        </is>
      </c>
      <c r="K483" s="28" t="n">
        <v>0</v>
      </c>
      <c r="L483" s="25" t="inlineStr">
        <is>
          <t>BRANDY</t>
        </is>
      </c>
      <c r="M483" s="25" t="inlineStr">
        <is>
          <t>E &amp; J GALLO WINERY</t>
        </is>
      </c>
      <c r="N483" s="25" t="inlineStr">
        <is>
          <t>040012-GALLO WINES OF MISSISSIPPI</t>
        </is>
      </c>
      <c r="O483" s="25" t="n"/>
      <c r="P483" s="25" t="inlineStr">
        <is>
          <t>20085000009202</t>
        </is>
      </c>
      <c r="Q483" s="25" t="inlineStr">
        <is>
          <t>0085000009208</t>
        </is>
      </c>
      <c r="R483" s="78" t="n">
        <v>42279</v>
      </c>
    </row>
    <row r="484">
      <c r="A484" t="inlineStr">
        <is>
          <t>or item code =</t>
        </is>
      </c>
      <c r="B484" s="25" t="inlineStr">
        <is>
          <t>52559</t>
        </is>
      </c>
      <c r="C484" s="25" t="inlineStr">
        <is>
          <t>E &amp; J XO BRANDY</t>
        </is>
      </c>
      <c r="D484" s="25" t="inlineStr">
        <is>
          <t>1.75L</t>
        </is>
      </c>
      <c r="E484" s="27" t="n">
        <v>6</v>
      </c>
      <c r="F484" s="27" t="n">
        <v>57</v>
      </c>
      <c r="G484" s="27" t="n">
        <v>6</v>
      </c>
      <c r="H484" s="28" t="n">
        <v>133.8</v>
      </c>
      <c r="I484" s="28" t="n">
        <v>0</v>
      </c>
      <c r="J484" s="94" t="inlineStr">
        <is>
          <t>False</t>
        </is>
      </c>
      <c r="K484" s="28" t="n">
        <v>0</v>
      </c>
      <c r="L484" s="25" t="inlineStr">
        <is>
          <t>BRANDY</t>
        </is>
      </c>
      <c r="M484" s="25" t="inlineStr">
        <is>
          <t>E &amp; J GALLO WINERY</t>
        </is>
      </c>
      <c r="N484" s="25" t="inlineStr">
        <is>
          <t>040012-GALLO WINES OF MISSISSIPPI</t>
        </is>
      </c>
      <c r="O484" s="25" t="n"/>
      <c r="P484" s="25" t="inlineStr">
        <is>
          <t>20085000018822</t>
        </is>
      </c>
      <c r="Q484" s="25" t="inlineStr">
        <is>
          <t>0085000018828</t>
        </is>
      </c>
      <c r="R484" s="78" t="n">
        <v>42370</v>
      </c>
    </row>
    <row r="485">
      <c r="A485" t="inlineStr">
        <is>
          <t>or item code =</t>
        </is>
      </c>
      <c r="B485" s="25" t="inlineStr">
        <is>
          <t>361732</t>
        </is>
      </c>
      <c r="C485" s="25" t="inlineStr">
        <is>
          <t>ECCO DOMANI PINOT GRIGIO BLACK LABEL SCREW CAP</t>
        </is>
      </c>
      <c r="D485" s="25" t="inlineStr">
        <is>
          <t>750ml</t>
        </is>
      </c>
      <c r="E485" s="27" t="n">
        <v>177</v>
      </c>
      <c r="F485" s="27" t="n">
        <v>468</v>
      </c>
      <c r="G485" s="27" t="n">
        <v>12</v>
      </c>
      <c r="H485" s="28" t="n">
        <v>102.78</v>
      </c>
      <c r="I485" s="28" t="n">
        <v>17.13</v>
      </c>
      <c r="J485" s="94" t="inlineStr">
        <is>
          <t>False</t>
        </is>
      </c>
      <c r="K485" s="28" t="n">
        <v>0</v>
      </c>
      <c r="L485" s="25" t="inlineStr">
        <is>
          <t>PINOT GRIS/PINOT GRIGIO</t>
        </is>
      </c>
      <c r="M485" s="25" t="inlineStr">
        <is>
          <t>E &amp; J GALLO WINERY</t>
        </is>
      </c>
      <c r="N485" s="25" t="inlineStr">
        <is>
          <t>040012-GALLO WINES OF MISSISSIPPI</t>
        </is>
      </c>
      <c r="O485" s="25" t="n"/>
      <c r="P485" s="25" t="inlineStr">
        <is>
          <t>60085000008432</t>
        </is>
      </c>
      <c r="Q485" s="25" t="inlineStr">
        <is>
          <t>0085000008430</t>
        </is>
      </c>
      <c r="R485" s="78" t="n">
        <v>42370</v>
      </c>
    </row>
    <row r="486">
      <c r="A486" t="inlineStr">
        <is>
          <t>or item code =</t>
        </is>
      </c>
      <c r="B486" s="25" t="inlineStr">
        <is>
          <t>34188</t>
        </is>
      </c>
      <c r="C486" s="25" t="inlineStr">
        <is>
          <t>EFFEN DUTCH VODKA</t>
        </is>
      </c>
      <c r="D486" s="25" t="inlineStr">
        <is>
          <t>750ml</t>
        </is>
      </c>
      <c r="E486" s="27" t="n">
        <v>116</v>
      </c>
      <c r="F486" s="27" t="n">
        <v>12</v>
      </c>
      <c r="G486" s="27" t="n">
        <v>6</v>
      </c>
      <c r="H486" s="28" t="n">
        <v>133.8</v>
      </c>
      <c r="I486" s="28" t="n">
        <v>0</v>
      </c>
      <c r="J486" s="94" t="inlineStr">
        <is>
          <t>False</t>
        </is>
      </c>
      <c r="K486" s="28" t="n">
        <v>0</v>
      </c>
      <c r="L486" s="25" t="inlineStr">
        <is>
          <t>VODKA</t>
        </is>
      </c>
      <c r="M486" s="25" t="inlineStr">
        <is>
          <t>JIM BEAM BRANDS CO</t>
        </is>
      </c>
      <c r="N486" s="25" t="inlineStr">
        <is>
          <t>040010-SOUTHERN GLAZERS WINE AND SPIRITS OF MISSISSIPPI LLC</t>
        </is>
      </c>
      <c r="O486" s="25" t="n"/>
      <c r="P486" s="25" t="inlineStr">
        <is>
          <t>10080686938054</t>
        </is>
      </c>
      <c r="Q486" s="25" t="inlineStr">
        <is>
          <t>080686938057</t>
        </is>
      </c>
      <c r="R486" s="78" t="n">
        <v>42370</v>
      </c>
    </row>
    <row r="487">
      <c r="A487" t="inlineStr">
        <is>
          <t>or item code =</t>
        </is>
      </c>
      <c r="B487" s="25" t="inlineStr">
        <is>
          <t>89178</t>
        </is>
      </c>
      <c r="C487" s="25" t="inlineStr">
        <is>
          <t>EL MAYOR ANEJO TEQUILA</t>
        </is>
      </c>
      <c r="D487" s="25" t="inlineStr">
        <is>
          <t>750ml</t>
        </is>
      </c>
      <c r="E487" s="27" t="n">
        <v>20</v>
      </c>
      <c r="F487" s="27" t="n">
        <v>37</v>
      </c>
      <c r="G487" s="27" t="n">
        <v>6</v>
      </c>
      <c r="H487" s="28" t="n">
        <v>175.34</v>
      </c>
      <c r="I487" s="28" t="n">
        <v>0</v>
      </c>
      <c r="J487" s="94" t="inlineStr">
        <is>
          <t>False</t>
        </is>
      </c>
      <c r="K487" s="28" t="n">
        <v>0</v>
      </c>
      <c r="L487" s="25" t="inlineStr">
        <is>
          <t>TEQUILA</t>
        </is>
      </c>
      <c r="M487" s="25" t="inlineStr">
        <is>
          <t>LUXCO, INC</t>
        </is>
      </c>
      <c r="N487" s="25" t="inlineStr">
        <is>
          <t>040010-SOUTHERN GLAZERS WINE AND SPIRITS OF MISSISSIPPI LLC</t>
        </is>
      </c>
      <c r="O487" s="25" t="n"/>
      <c r="P487" s="25" t="inlineStr">
        <is>
          <t>10088352124794</t>
        </is>
      </c>
      <c r="Q487" s="25" t="inlineStr">
        <is>
          <t>088352124797</t>
        </is>
      </c>
      <c r="R487" s="78" t="n">
        <v>43593</v>
      </c>
    </row>
    <row r="488">
      <c r="A488" t="inlineStr">
        <is>
          <t>or item code =</t>
        </is>
      </c>
      <c r="B488" s="25" t="inlineStr">
        <is>
          <t>87596</t>
        </is>
      </c>
      <c r="C488" s="25" t="inlineStr">
        <is>
          <t>EL MAYOR BLANCO TEQUILA</t>
        </is>
      </c>
      <c r="D488" s="25" t="inlineStr">
        <is>
          <t>750ml</t>
        </is>
      </c>
      <c r="E488" s="27" t="n">
        <v>114</v>
      </c>
      <c r="F488" s="27" t="n">
        <v>61</v>
      </c>
      <c r="G488" s="27" t="n">
        <v>6</v>
      </c>
      <c r="H488" s="28" t="n">
        <v>138.42</v>
      </c>
      <c r="I488" s="28" t="n">
        <v>0</v>
      </c>
      <c r="J488" s="94" t="inlineStr">
        <is>
          <t>False</t>
        </is>
      </c>
      <c r="K488" s="28" t="n">
        <v>0</v>
      </c>
      <c r="L488" s="25" t="inlineStr">
        <is>
          <t>TEQUILA</t>
        </is>
      </c>
      <c r="M488" s="25" t="inlineStr">
        <is>
          <t>LUXCO, INC</t>
        </is>
      </c>
      <c r="N488" s="25" t="inlineStr">
        <is>
          <t>040010-SOUTHERN GLAZERS WINE AND SPIRITS OF MISSISSIPPI LLC</t>
        </is>
      </c>
      <c r="O488" s="25" t="n"/>
      <c r="P488" s="25" t="inlineStr">
        <is>
          <t>10088352124817</t>
        </is>
      </c>
      <c r="Q488" s="25" t="inlineStr">
        <is>
          <t>0088352124810</t>
        </is>
      </c>
      <c r="R488" s="78" t="n">
        <v>42279</v>
      </c>
    </row>
    <row r="489">
      <c r="A489" t="inlineStr">
        <is>
          <t>or item code =</t>
        </is>
      </c>
      <c r="B489" s="25" t="inlineStr">
        <is>
          <t>88470</t>
        </is>
      </c>
      <c r="C489" s="25" t="inlineStr">
        <is>
          <t>EL MAYOR CRISTALINO ANEJO TEQUILA</t>
        </is>
      </c>
      <c r="D489" s="25" t="inlineStr">
        <is>
          <t>750ml</t>
        </is>
      </c>
      <c r="E489" s="27" t="n">
        <v>0</v>
      </c>
      <c r="F489" s="27" t="n">
        <v>6</v>
      </c>
      <c r="G489" s="27" t="n">
        <v>6</v>
      </c>
      <c r="H489" s="28" t="n">
        <v>198.41</v>
      </c>
      <c r="I489" s="28" t="n">
        <v>0</v>
      </c>
      <c r="J489" s="94" t="inlineStr">
        <is>
          <t>False</t>
        </is>
      </c>
      <c r="K489" s="28" t="n">
        <v>0</v>
      </c>
      <c r="L489" s="25" t="inlineStr">
        <is>
          <t>TEQUILA</t>
        </is>
      </c>
      <c r="M489" s="25" t="inlineStr">
        <is>
          <t>LUXCO, INC</t>
        </is>
      </c>
      <c r="N489" s="25" t="inlineStr">
        <is>
          <t>040010-SOUTHERN GLAZERS WINE AND SPIRITS OF MISSISSIPPI LLC</t>
        </is>
      </c>
      <c r="O489" s="25" t="n"/>
      <c r="P489" s="25" t="inlineStr">
        <is>
          <t>10088352139613</t>
        </is>
      </c>
      <c r="Q489" s="25" t="inlineStr">
        <is>
          <t>088352133966</t>
        </is>
      </c>
      <c r="R489" s="78" t="n">
        <v>44593</v>
      </c>
    </row>
    <row r="490">
      <c r="A490" t="inlineStr">
        <is>
          <t>or item code =</t>
        </is>
      </c>
      <c r="B490" s="25" t="inlineStr">
        <is>
          <t>89182</t>
        </is>
      </c>
      <c r="C490" s="25" t="inlineStr">
        <is>
          <t>EL MAYOR REPOSADO TEQIULA</t>
        </is>
      </c>
      <c r="D490" s="25" t="inlineStr">
        <is>
          <t>750ml</t>
        </is>
      </c>
      <c r="E490" s="27" t="n">
        <v>68</v>
      </c>
      <c r="F490" s="27" t="n">
        <v>50</v>
      </c>
      <c r="G490" s="27" t="n">
        <v>6</v>
      </c>
      <c r="H490" s="28" t="n">
        <v>138.42</v>
      </c>
      <c r="I490" s="28" t="n">
        <v>0</v>
      </c>
      <c r="J490" s="94" t="inlineStr">
        <is>
          <t>False</t>
        </is>
      </c>
      <c r="K490" s="28" t="n">
        <v>0</v>
      </c>
      <c r="L490" s="25" t="inlineStr">
        <is>
          <t>TEQUILA</t>
        </is>
      </c>
      <c r="M490" s="25" t="inlineStr">
        <is>
          <t>LUXCO, INC</t>
        </is>
      </c>
      <c r="N490" s="25" t="inlineStr">
        <is>
          <t>040010-SOUTHERN GLAZERS WINE AND SPIRITS OF MISSISSIPPI LLC</t>
        </is>
      </c>
      <c r="O490" s="25" t="n"/>
      <c r="P490" s="25" t="inlineStr">
        <is>
          <t>10088352124800</t>
        </is>
      </c>
      <c r="Q490" s="25" t="inlineStr">
        <is>
          <t>0088352124803</t>
        </is>
      </c>
      <c r="R490" s="78" t="n">
        <v>42370</v>
      </c>
    </row>
    <row r="491">
      <c r="A491" t="inlineStr">
        <is>
          <t>or item code =</t>
        </is>
      </c>
      <c r="B491" s="25" t="inlineStr">
        <is>
          <t>17916</t>
        </is>
      </c>
      <c r="C491" s="25" t="inlineStr">
        <is>
          <t>ELIJAH CRAIG SMALL BATCH</t>
        </is>
      </c>
      <c r="D491" s="25" t="inlineStr">
        <is>
          <t>750ml</t>
        </is>
      </c>
      <c r="E491" s="27" t="n">
        <v>185</v>
      </c>
      <c r="F491" s="27" t="n">
        <v>122</v>
      </c>
      <c r="G491" s="27" t="n">
        <v>12</v>
      </c>
      <c r="H491" s="28" t="n">
        <v>304.57</v>
      </c>
      <c r="I491" s="28" t="n">
        <v>0</v>
      </c>
      <c r="J491" s="94" t="inlineStr">
        <is>
          <t>False</t>
        </is>
      </c>
      <c r="K491" s="28" t="n">
        <v>0</v>
      </c>
      <c r="L491" s="25" t="inlineStr">
        <is>
          <t>WHISKEY - STR BOURBON</t>
        </is>
      </c>
      <c r="M491" s="25" t="inlineStr">
        <is>
          <t>HEAVEN HILL BRANDS</t>
        </is>
      </c>
      <c r="N491" s="25" t="inlineStr">
        <is>
          <t>040010-SOUTHERN GLAZERS WINE AND SPIRITS OF MISSISSIPPI LLC</t>
        </is>
      </c>
      <c r="O491" s="25" t="n"/>
      <c r="P491" s="25" t="inlineStr">
        <is>
          <t>10096749000064</t>
        </is>
      </c>
      <c r="Q491" s="25" t="inlineStr">
        <is>
          <t>096749000067</t>
        </is>
      </c>
      <c r="R491" s="78" t="n">
        <v>42370</v>
      </c>
    </row>
    <row r="492">
      <c r="A492" t="inlineStr">
        <is>
          <t>or item code =</t>
        </is>
      </c>
      <c r="B492" s="25" t="inlineStr">
        <is>
          <t>17915</t>
        </is>
      </c>
      <c r="C492" s="25" t="inlineStr">
        <is>
          <t>ELIJAH CRAIG SMALL BATCH</t>
        </is>
      </c>
      <c r="D492" s="25" t="inlineStr">
        <is>
          <t>375ml</t>
        </is>
      </c>
      <c r="E492" s="27" t="n">
        <v>56</v>
      </c>
      <c r="F492" s="27" t="n">
        <v>78</v>
      </c>
      <c r="G492" s="27" t="n">
        <v>12</v>
      </c>
      <c r="H492" s="28" t="n">
        <v>147.64</v>
      </c>
      <c r="I492" s="28" t="n">
        <v>18.46</v>
      </c>
      <c r="J492" s="94" t="inlineStr">
        <is>
          <t>False</t>
        </is>
      </c>
      <c r="K492" s="28" t="n">
        <v>0</v>
      </c>
      <c r="L492" s="25" t="inlineStr">
        <is>
          <t>WHISKEY - STR BOURBON</t>
        </is>
      </c>
      <c r="M492" s="25" t="inlineStr">
        <is>
          <t>HEAVEN HILL BRANDS</t>
        </is>
      </c>
      <c r="N492" s="25" t="inlineStr">
        <is>
          <t>040010-SOUTHERN GLAZERS WINE AND SPIRITS OF MISSISSIPPI LLC</t>
        </is>
      </c>
      <c r="O492" s="25" t="n"/>
      <c r="P492" s="25" t="inlineStr">
        <is>
          <t>20096749001877</t>
        </is>
      </c>
      <c r="Q492" s="25" t="inlineStr">
        <is>
          <t>096749001873</t>
        </is>
      </c>
      <c r="R492" s="78" t="n">
        <v>43237</v>
      </c>
    </row>
    <row r="493">
      <c r="A493" t="inlineStr">
        <is>
          <t>or item code =</t>
        </is>
      </c>
      <c r="B493" s="25" t="inlineStr">
        <is>
          <t>17919</t>
        </is>
      </c>
      <c r="C493" s="25" t="inlineStr">
        <is>
          <t>ELIJAH CRAIG SMALL BATCH</t>
        </is>
      </c>
      <c r="D493" s="25" t="inlineStr">
        <is>
          <t>1.75L</t>
        </is>
      </c>
      <c r="E493" s="27" t="n">
        <v>91</v>
      </c>
      <c r="F493" s="27" t="n">
        <v>59</v>
      </c>
      <c r="G493" s="27" t="n">
        <v>6</v>
      </c>
      <c r="H493" s="28" t="n">
        <v>290.73</v>
      </c>
      <c r="I493" s="28" t="n">
        <v>0</v>
      </c>
      <c r="J493" s="94" t="inlineStr">
        <is>
          <t>False</t>
        </is>
      </c>
      <c r="K493" s="28" t="n">
        <v>0</v>
      </c>
      <c r="L493" s="25" t="inlineStr">
        <is>
          <t>WHISKEY - STR BOURBON</t>
        </is>
      </c>
      <c r="M493" s="25" t="inlineStr">
        <is>
          <t>HEAVEN HILL BRANDS</t>
        </is>
      </c>
      <c r="N493" s="25" t="inlineStr">
        <is>
          <t>040010-SOUTHERN GLAZERS WINE AND SPIRITS OF MISSISSIPPI LLC</t>
        </is>
      </c>
      <c r="O493" s="25" t="n"/>
      <c r="P493" s="25" t="inlineStr">
        <is>
          <t>10096749000071</t>
        </is>
      </c>
      <c r="Q493" s="25" t="inlineStr">
        <is>
          <t>096749000074</t>
        </is>
      </c>
      <c r="R493" s="78" t="n">
        <v>42370</v>
      </c>
    </row>
    <row r="494">
      <c r="A494" t="inlineStr">
        <is>
          <t>or item code =</t>
        </is>
      </c>
      <c r="B494" s="25" t="inlineStr">
        <is>
          <t>562490</t>
        </is>
      </c>
      <c r="C494" s="25" t="inlineStr">
        <is>
          <t>ELOUAN CHARDONNAY OREGON</t>
        </is>
      </c>
      <c r="D494" s="25" t="inlineStr">
        <is>
          <t>750ml</t>
        </is>
      </c>
      <c r="E494" s="27" t="n">
        <v>67</v>
      </c>
      <c r="F494" s="27" t="n">
        <v>6</v>
      </c>
      <c r="G494" s="27" t="n">
        <v>12</v>
      </c>
      <c r="H494" s="28" t="n">
        <v>154.2</v>
      </c>
      <c r="I494" s="28" t="n">
        <v>0</v>
      </c>
      <c r="J494" s="94" t="inlineStr">
        <is>
          <t>False</t>
        </is>
      </c>
      <c r="K494" s="28" t="n">
        <v>0</v>
      </c>
      <c r="L494" s="25" t="inlineStr">
        <is>
          <t>CHARDONNAY</t>
        </is>
      </c>
      <c r="M494" s="25" t="inlineStr">
        <is>
          <t>COPPER CANE</t>
        </is>
      </c>
      <c r="N494" s="25" t="inlineStr">
        <is>
          <t>040003-RNDC-VINTAGE</t>
        </is>
      </c>
      <c r="O494" s="25" t="n"/>
      <c r="P494" s="25" t="inlineStr">
        <is>
          <t>20865776000050</t>
        </is>
      </c>
      <c r="Q494" s="25" t="inlineStr">
        <is>
          <t>865776000056</t>
        </is>
      </c>
      <c r="R494" s="78" t="n">
        <v>43591</v>
      </c>
    </row>
    <row r="495">
      <c r="A495" t="inlineStr">
        <is>
          <t>or item code =</t>
        </is>
      </c>
      <c r="B495" s="25" t="inlineStr">
        <is>
          <t>87619</t>
        </is>
      </c>
      <c r="C495" s="25" t="inlineStr">
        <is>
          <t>ESPOLON BLANCO WHITE TEQUILA</t>
        </is>
      </c>
      <c r="D495" s="25" t="inlineStr">
        <is>
          <t>750ml</t>
        </is>
      </c>
      <c r="E495" s="27" t="n">
        <v>55</v>
      </c>
      <c r="F495" s="27" t="n">
        <v>87</v>
      </c>
      <c r="G495" s="27" t="n">
        <v>12</v>
      </c>
      <c r="H495" s="28" t="n">
        <v>305.81</v>
      </c>
      <c r="I495" s="28" t="n">
        <v>0</v>
      </c>
      <c r="J495" s="94" t="inlineStr">
        <is>
          <t>False</t>
        </is>
      </c>
      <c r="K495" s="28" t="n">
        <v>0</v>
      </c>
      <c r="L495" s="25" t="inlineStr">
        <is>
          <t>TEQUILA</t>
        </is>
      </c>
      <c r="M495" s="25" t="inlineStr">
        <is>
          <t>CAMPARI ENTERPRISES, INC.</t>
        </is>
      </c>
      <c r="N495" s="25" t="inlineStr">
        <is>
          <t>040010-SOUTHERN GLAZERS WINE AND SPIRITS OF MISSISSIPPI LLC</t>
        </is>
      </c>
      <c r="O495" s="25" t="n"/>
      <c r="P495" s="25" t="n"/>
      <c r="Q495" s="25" t="inlineStr">
        <is>
          <t>0721059707503</t>
        </is>
      </c>
      <c r="R495" s="78" t="n">
        <v>43983</v>
      </c>
    </row>
    <row r="496">
      <c r="A496" t="inlineStr">
        <is>
          <t>or item code =</t>
        </is>
      </c>
      <c r="B496" s="25" t="inlineStr">
        <is>
          <t>89286</t>
        </is>
      </c>
      <c r="C496" s="25" t="inlineStr">
        <is>
          <t>ESPOLON REPOSADO GOLD TEQUILA</t>
        </is>
      </c>
      <c r="D496" s="25" t="inlineStr">
        <is>
          <t>750ml</t>
        </is>
      </c>
      <c r="E496" s="27" t="n">
        <v>47</v>
      </c>
      <c r="F496" s="27" t="n">
        <v>39</v>
      </c>
      <c r="G496" s="27" t="n">
        <v>12</v>
      </c>
      <c r="H496" s="28" t="n">
        <v>323.02</v>
      </c>
      <c r="I496" s="28" t="n">
        <v>0</v>
      </c>
      <c r="J496" s="94" t="inlineStr">
        <is>
          <t>False</t>
        </is>
      </c>
      <c r="K496" s="28" t="n">
        <v>0</v>
      </c>
      <c r="L496" s="25" t="inlineStr">
        <is>
          <t>TEQUILA</t>
        </is>
      </c>
      <c r="M496" s="25" t="inlineStr">
        <is>
          <t>CAMPARI ENTERPRISES, INC.</t>
        </is>
      </c>
      <c r="N496" s="25" t="inlineStr">
        <is>
          <t>040010-SOUTHERN GLAZERS WINE AND SPIRITS OF MISSISSIPPI LLC</t>
        </is>
      </c>
      <c r="O496" s="25" t="n"/>
      <c r="P496" s="25" t="inlineStr">
        <is>
          <t>10721059707517</t>
        </is>
      </c>
      <c r="Q496" s="25" t="inlineStr">
        <is>
          <t>0721059707510</t>
        </is>
      </c>
      <c r="R496" s="78" t="n">
        <v>43983</v>
      </c>
    </row>
    <row r="497">
      <c r="A497" t="inlineStr">
        <is>
          <t>or item code =</t>
        </is>
      </c>
      <c r="B497" s="25" t="inlineStr">
        <is>
          <t>18095</t>
        </is>
      </c>
      <c r="C497" s="25" t="inlineStr">
        <is>
          <t>EVAN WILLIAMS 1783 90 PROOF</t>
        </is>
      </c>
      <c r="D497" s="25" t="inlineStr">
        <is>
          <t>750ml</t>
        </is>
      </c>
      <c r="E497" s="27" t="n">
        <v>32</v>
      </c>
      <c r="F497" s="27" t="n">
        <v>54</v>
      </c>
      <c r="G497" s="27" t="n">
        <v>6</v>
      </c>
      <c r="H497" s="28" t="n">
        <v>101.51</v>
      </c>
      <c r="I497" s="28" t="n">
        <v>0</v>
      </c>
      <c r="J497" s="94" t="inlineStr">
        <is>
          <t>False</t>
        </is>
      </c>
      <c r="K497" s="28" t="n">
        <v>0</v>
      </c>
      <c r="L497" s="25" t="inlineStr">
        <is>
          <t>WHISKEY - STR BOURBON</t>
        </is>
      </c>
      <c r="M497" s="25" t="inlineStr">
        <is>
          <t>HEAVEN HILL BRANDS</t>
        </is>
      </c>
      <c r="N497" s="25" t="inlineStr">
        <is>
          <t>040010-SOUTHERN GLAZERS WINE AND SPIRITS OF MISSISSIPPI LLC</t>
        </is>
      </c>
      <c r="O497" s="25" t="n"/>
      <c r="P497" s="25" t="inlineStr">
        <is>
          <t>20096749002980</t>
        </is>
      </c>
      <c r="Q497" s="25" t="inlineStr">
        <is>
          <t>096749002986</t>
        </is>
      </c>
      <c r="R497" s="78" t="n">
        <v>44317</v>
      </c>
    </row>
    <row r="498">
      <c r="A498" t="inlineStr">
        <is>
          <t>or item code =</t>
        </is>
      </c>
      <c r="B498" s="25" t="inlineStr">
        <is>
          <t>17956</t>
        </is>
      </c>
      <c r="C498" s="25" t="inlineStr">
        <is>
          <t>EVAN WILLIAMS BLACK LABEL</t>
        </is>
      </c>
      <c r="D498" s="25" t="inlineStr">
        <is>
          <t>750ml</t>
        </is>
      </c>
      <c r="E498" s="27" t="n">
        <v>403</v>
      </c>
      <c r="F498" s="27" t="n">
        <v>134</v>
      </c>
      <c r="G498" s="27" t="n">
        <v>12</v>
      </c>
      <c r="H498" s="28" t="n">
        <v>147.64</v>
      </c>
      <c r="I498" s="28" t="n">
        <v>0</v>
      </c>
      <c r="J498" s="94" t="inlineStr">
        <is>
          <t>False</t>
        </is>
      </c>
      <c r="K498" s="28" t="n">
        <v>0</v>
      </c>
      <c r="L498" s="25" t="inlineStr">
        <is>
          <t>WHISKEY - STR BOURBON</t>
        </is>
      </c>
      <c r="M498" s="25" t="inlineStr">
        <is>
          <t>HEAVEN HILL BRANDS</t>
        </is>
      </c>
      <c r="N498" s="25" t="inlineStr">
        <is>
          <t>040010-SOUTHERN GLAZERS WINE AND SPIRITS OF MISSISSIPPI LLC</t>
        </is>
      </c>
      <c r="O498" s="25" t="n"/>
      <c r="P498" s="25" t="inlineStr">
        <is>
          <t>10096749021342</t>
        </is>
      </c>
      <c r="Q498" s="25" t="inlineStr">
        <is>
          <t>0096749021345</t>
        </is>
      </c>
      <c r="R498" s="78" t="n">
        <v>42278</v>
      </c>
    </row>
    <row r="499">
      <c r="A499" t="inlineStr">
        <is>
          <t>or item code =</t>
        </is>
      </c>
      <c r="B499" s="25" t="inlineStr">
        <is>
          <t>17954</t>
        </is>
      </c>
      <c r="C499" s="25" t="inlineStr">
        <is>
          <t>EVAN WILLIAMS BLACK LABEL</t>
        </is>
      </c>
      <c r="D499" s="25" t="inlineStr">
        <is>
          <t>375ml</t>
        </is>
      </c>
      <c r="E499" s="27" t="n">
        <v>165</v>
      </c>
      <c r="F499" s="27" t="n">
        <v>210</v>
      </c>
      <c r="G499" s="27" t="n">
        <v>24</v>
      </c>
      <c r="H499" s="28" t="n">
        <v>138.36</v>
      </c>
      <c r="I499" s="28" t="n">
        <v>18.46</v>
      </c>
      <c r="J499" s="94" t="inlineStr">
        <is>
          <t>False</t>
        </is>
      </c>
      <c r="K499" s="28" t="n">
        <v>0</v>
      </c>
      <c r="L499" s="25" t="inlineStr">
        <is>
          <t>WHISKEY - STR BOURBON</t>
        </is>
      </c>
      <c r="M499" s="25" t="inlineStr">
        <is>
          <t>HEAVEN HILL BRANDS</t>
        </is>
      </c>
      <c r="N499" s="25" t="inlineStr">
        <is>
          <t>040010-SOUTHERN GLAZERS WINE AND SPIRITS OF MISSISSIPPI LLC</t>
        </is>
      </c>
      <c r="O499" s="25" t="n"/>
      <c r="P499" s="25" t="inlineStr">
        <is>
          <t>10096749021649</t>
        </is>
      </c>
      <c r="Q499" s="25" t="inlineStr">
        <is>
          <t>0096749021642</t>
        </is>
      </c>
      <c r="R499" s="78" t="n">
        <v>42278</v>
      </c>
    </row>
    <row r="500">
      <c r="A500" t="inlineStr">
        <is>
          <t>or item code =</t>
        </is>
      </c>
      <c r="B500" s="25" t="inlineStr">
        <is>
          <t>17958</t>
        </is>
      </c>
      <c r="C500" s="25" t="inlineStr">
        <is>
          <t>EVAN WILLIAMS BLACK LABEL</t>
        </is>
      </c>
      <c r="D500" s="25" t="inlineStr">
        <is>
          <t>1.75L</t>
        </is>
      </c>
      <c r="E500" s="27" t="n">
        <v>730</v>
      </c>
      <c r="F500" s="27" t="n">
        <v>286</v>
      </c>
      <c r="G500" s="27" t="n">
        <v>6</v>
      </c>
      <c r="H500" s="28" t="n">
        <v>138.41</v>
      </c>
      <c r="I500" s="28" t="n">
        <v>0</v>
      </c>
      <c r="J500" s="94" t="inlineStr">
        <is>
          <t>False</t>
        </is>
      </c>
      <c r="K500" s="28" t="n">
        <v>0</v>
      </c>
      <c r="L500" s="25" t="inlineStr">
        <is>
          <t>WHISKEY - STR BOURBON</t>
        </is>
      </c>
      <c r="M500" s="25" t="inlineStr">
        <is>
          <t>HEAVEN HILL BRANDS</t>
        </is>
      </c>
      <c r="N500" s="25" t="inlineStr">
        <is>
          <t>040010-SOUTHERN GLAZERS WINE AND SPIRITS OF MISSISSIPPI LLC</t>
        </is>
      </c>
      <c r="O500" s="25" t="n"/>
      <c r="P500" s="25" t="inlineStr">
        <is>
          <t>10096749001009</t>
        </is>
      </c>
      <c r="Q500" s="25" t="inlineStr">
        <is>
          <t>0096749021147</t>
        </is>
      </c>
      <c r="R500" s="78" t="n">
        <v>42278</v>
      </c>
    </row>
    <row r="501">
      <c r="A501" t="inlineStr">
        <is>
          <t>or item code =</t>
        </is>
      </c>
      <c r="B501" s="25" t="inlineStr">
        <is>
          <t>17953</t>
        </is>
      </c>
      <c r="C501" s="25" t="inlineStr">
        <is>
          <t>EVAN WILLIAMS BLACK LABEL</t>
        </is>
      </c>
      <c r="D501" s="25" t="inlineStr">
        <is>
          <t>200ml</t>
        </is>
      </c>
      <c r="E501" s="27" t="n">
        <v>132</v>
      </c>
      <c r="F501" s="27" t="n">
        <v>35</v>
      </c>
      <c r="G501" s="27" t="n">
        <v>48</v>
      </c>
      <c r="H501" s="28" t="n">
        <v>165.79</v>
      </c>
      <c r="I501" s="28" t="n">
        <v>18.64</v>
      </c>
      <c r="J501" s="94" t="inlineStr">
        <is>
          <t>False</t>
        </is>
      </c>
      <c r="K501" s="28" t="n">
        <v>0</v>
      </c>
      <c r="L501" s="25" t="inlineStr">
        <is>
          <t>WHISKEY - STR BOURBON</t>
        </is>
      </c>
      <c r="M501" s="25" t="inlineStr">
        <is>
          <t>HEAVEN HILL BRANDS</t>
        </is>
      </c>
      <c r="N501" s="25" t="inlineStr">
        <is>
          <t>040010-SOUTHERN GLAZERS WINE AND SPIRITS OF MISSISSIPPI LLC</t>
        </is>
      </c>
      <c r="O501" s="25" t="n"/>
      <c r="P501" s="25" t="inlineStr">
        <is>
          <t>10096749021540</t>
        </is>
      </c>
      <c r="Q501" s="25" t="inlineStr">
        <is>
          <t>0096749021543</t>
        </is>
      </c>
      <c r="R501" s="78" t="n">
        <v>42278</v>
      </c>
    </row>
    <row r="502">
      <c r="A502" t="inlineStr">
        <is>
          <t>or item code =</t>
        </is>
      </c>
      <c r="B502" s="25" t="inlineStr">
        <is>
          <t>18116</t>
        </is>
      </c>
      <c r="C502" s="25" t="inlineStr">
        <is>
          <t>EVAN WILLIAMS BLACK LABEL (PET)</t>
        </is>
      </c>
      <c r="D502" s="25" t="inlineStr">
        <is>
          <t>750ml</t>
        </is>
      </c>
      <c r="E502" s="27" t="n">
        <v>102</v>
      </c>
      <c r="F502" s="27" t="n">
        <v>30</v>
      </c>
      <c r="G502" s="27" t="n">
        <v>12</v>
      </c>
      <c r="H502" s="28" t="n">
        <v>147.64</v>
      </c>
      <c r="I502" s="28" t="n">
        <v>0</v>
      </c>
      <c r="J502" s="94" t="inlineStr">
        <is>
          <t>False</t>
        </is>
      </c>
      <c r="K502" s="28" t="n">
        <v>0</v>
      </c>
      <c r="L502" s="25" t="inlineStr">
        <is>
          <t>WHISKEY - STR BOURBON</t>
        </is>
      </c>
      <c r="M502" s="25" t="inlineStr">
        <is>
          <t>HEAVEN HILL BRANDS</t>
        </is>
      </c>
      <c r="N502" s="25" t="inlineStr">
        <is>
          <t>040010-SOUTHERN GLAZERS WINE AND SPIRITS OF MISSISSIPPI LLC</t>
        </is>
      </c>
      <c r="O502" s="25" t="n"/>
      <c r="P502" s="25" t="inlineStr">
        <is>
          <t>10096749021779</t>
        </is>
      </c>
      <c r="Q502" s="25" t="inlineStr">
        <is>
          <t>0096749021772</t>
        </is>
      </c>
      <c r="R502" s="78" t="n">
        <v>42278</v>
      </c>
    </row>
    <row r="503">
      <c r="A503" t="inlineStr">
        <is>
          <t>or item code =</t>
        </is>
      </c>
      <c r="B503" s="25" t="inlineStr">
        <is>
          <t>73702</t>
        </is>
      </c>
      <c r="C503" s="25" t="inlineStr">
        <is>
          <t>EVAN WILLIAMS HONEY RESERVE</t>
        </is>
      </c>
      <c r="D503" s="25" t="inlineStr">
        <is>
          <t>750ml</t>
        </is>
      </c>
      <c r="E503" s="27" t="n">
        <v>95</v>
      </c>
      <c r="F503" s="27" t="n">
        <v>62</v>
      </c>
      <c r="G503" s="27" t="n">
        <v>12</v>
      </c>
      <c r="H503" s="28" t="n">
        <v>147.64</v>
      </c>
      <c r="I503" s="28" t="n">
        <v>0</v>
      </c>
      <c r="J503" s="94" t="inlineStr">
        <is>
          <t>False</t>
        </is>
      </c>
      <c r="K503" s="28" t="n">
        <v>0</v>
      </c>
      <c r="L503" s="25" t="inlineStr">
        <is>
          <t>WHISKEY OTHER</t>
        </is>
      </c>
      <c r="M503" s="25" t="inlineStr">
        <is>
          <t>HEAVEN HILL BRANDS</t>
        </is>
      </c>
      <c r="N503" s="25" t="inlineStr">
        <is>
          <t>040010-SOUTHERN GLAZERS WINE AND SPIRITS OF MISSISSIPPI LLC</t>
        </is>
      </c>
      <c r="O503" s="25" t="n"/>
      <c r="P503" s="25" t="inlineStr">
        <is>
          <t>10096749021809</t>
        </is>
      </c>
      <c r="Q503" s="25" t="inlineStr">
        <is>
          <t>0096749021802</t>
        </is>
      </c>
      <c r="R503" s="78" t="n">
        <v>42278</v>
      </c>
    </row>
    <row r="504">
      <c r="A504" t="inlineStr">
        <is>
          <t>or item code =</t>
        </is>
      </c>
      <c r="B504" s="25" t="inlineStr">
        <is>
          <t>16098</t>
        </is>
      </c>
      <c r="C504" s="25" t="inlineStr">
        <is>
          <t>EVAN WILLIAMS WHITE LABEL</t>
        </is>
      </c>
      <c r="D504" s="25" t="inlineStr">
        <is>
          <t>1.75L</t>
        </is>
      </c>
      <c r="E504" s="27" t="n">
        <v>152</v>
      </c>
      <c r="F504" s="27" t="n">
        <v>70</v>
      </c>
      <c r="G504" s="27" t="n">
        <v>6</v>
      </c>
      <c r="H504" s="28" t="n">
        <v>161.5</v>
      </c>
      <c r="I504" s="28" t="n">
        <v>0</v>
      </c>
      <c r="J504" s="94" t="inlineStr">
        <is>
          <t>False</t>
        </is>
      </c>
      <c r="K504" s="28" t="n">
        <v>0</v>
      </c>
      <c r="L504" s="25" t="inlineStr">
        <is>
          <t>WHISKEY - STR BOURBON</t>
        </is>
      </c>
      <c r="M504" s="25" t="inlineStr">
        <is>
          <t>HEAVEN HILL BRANDS</t>
        </is>
      </c>
      <c r="N504" s="25" t="inlineStr">
        <is>
          <t>040010-SOUTHERN GLAZERS WINE AND SPIRITS OF MISSISSIPPI LLC</t>
        </is>
      </c>
      <c r="O504" s="25" t="n"/>
      <c r="P504" s="25" t="inlineStr">
        <is>
          <t>10096749021175</t>
        </is>
      </c>
      <c r="Q504" s="25" t="inlineStr">
        <is>
          <t>0096749021178</t>
        </is>
      </c>
      <c r="R504" s="78" t="n">
        <v>42279</v>
      </c>
    </row>
    <row r="505">
      <c r="A505" t="inlineStr">
        <is>
          <t>or item code =</t>
        </is>
      </c>
      <c r="B505" s="25" t="inlineStr">
        <is>
          <t>16096</t>
        </is>
      </c>
      <c r="C505" s="25" t="inlineStr">
        <is>
          <t>EVAN WILLIAMS WHITE LABEL</t>
        </is>
      </c>
      <c r="D505" s="25" t="inlineStr">
        <is>
          <t>750ml</t>
        </is>
      </c>
      <c r="E505" s="27" t="n">
        <v>57</v>
      </c>
      <c r="F505" s="27" t="n">
        <v>38</v>
      </c>
      <c r="G505" s="27" t="n">
        <v>12</v>
      </c>
      <c r="H505" s="28" t="n">
        <v>184.56</v>
      </c>
      <c r="I505" s="28" t="n">
        <v>0</v>
      </c>
      <c r="J505" s="94" t="inlineStr">
        <is>
          <t>False</t>
        </is>
      </c>
      <c r="K505" s="28" t="n">
        <v>0</v>
      </c>
      <c r="L505" s="25" t="inlineStr">
        <is>
          <t>WHISKEY - BTLD IN BOND</t>
        </is>
      </c>
      <c r="M505" s="25" t="inlineStr">
        <is>
          <t>HEAVEN HILL BRANDS</t>
        </is>
      </c>
      <c r="N505" s="25" t="inlineStr">
        <is>
          <t>040010-SOUTHERN GLAZERS WINE AND SPIRITS OF MISSISSIPPI LLC</t>
        </is>
      </c>
      <c r="O505" s="25" t="n"/>
      <c r="P505" s="25" t="inlineStr">
        <is>
          <t>10096749021373</t>
        </is>
      </c>
      <c r="Q505" s="25" t="inlineStr">
        <is>
          <t>0096749021376</t>
        </is>
      </c>
      <c r="R505" s="78" t="n">
        <v>42278</v>
      </c>
    </row>
    <row r="506">
      <c r="A506" t="inlineStr">
        <is>
          <t>or item code =</t>
        </is>
      </c>
      <c r="B506" s="25" t="inlineStr">
        <is>
          <t>41836</t>
        </is>
      </c>
      <c r="C506" s="25" t="inlineStr">
        <is>
          <t>EVERCLEAR 190 ALCOHOL</t>
        </is>
      </c>
      <c r="D506" s="25" t="inlineStr">
        <is>
          <t>750ml</t>
        </is>
      </c>
      <c r="E506" s="27" t="n">
        <v>53</v>
      </c>
      <c r="F506" s="27" t="n">
        <v>89</v>
      </c>
      <c r="G506" s="27" t="n">
        <v>12</v>
      </c>
      <c r="H506" s="28" t="n">
        <v>166.07</v>
      </c>
      <c r="I506" s="28" t="n">
        <v>0</v>
      </c>
      <c r="J506" s="94" t="inlineStr">
        <is>
          <t>False</t>
        </is>
      </c>
      <c r="K506" s="28" t="n">
        <v>0</v>
      </c>
      <c r="L506" s="25" t="inlineStr">
        <is>
          <t>VODKA</t>
        </is>
      </c>
      <c r="M506" s="25" t="inlineStr">
        <is>
          <t>LUXCO, INC</t>
        </is>
      </c>
      <c r="N506" s="25" t="inlineStr">
        <is>
          <t>040010-SOUTHERN GLAZERS WINE AND SPIRITS OF MISSISSIPPI LLC</t>
        </is>
      </c>
      <c r="O506" s="25" t="n"/>
      <c r="P506" s="25" t="inlineStr">
        <is>
          <t>10088352100033</t>
        </is>
      </c>
      <c r="Q506" s="25" t="inlineStr">
        <is>
          <t>0088352100036</t>
        </is>
      </c>
      <c r="R506" s="78" t="n">
        <v>42279</v>
      </c>
    </row>
    <row r="507">
      <c r="A507" t="inlineStr">
        <is>
          <t>or item code =</t>
        </is>
      </c>
      <c r="B507" s="25" t="inlineStr">
        <is>
          <t>41838</t>
        </is>
      </c>
      <c r="C507" s="25" t="inlineStr">
        <is>
          <t>EVERCLEAR ALCOHOL 190 (PET)</t>
        </is>
      </c>
      <c r="D507" s="25" t="inlineStr">
        <is>
          <t>1.75L</t>
        </is>
      </c>
      <c r="E507" s="27" t="n">
        <v>159</v>
      </c>
      <c r="F507" s="27" t="n">
        <v>49</v>
      </c>
      <c r="G507" s="27" t="n">
        <v>6</v>
      </c>
      <c r="H507" s="28" t="n">
        <v>170.71</v>
      </c>
      <c r="I507" s="28" t="n">
        <v>0</v>
      </c>
      <c r="J507" s="94" t="inlineStr">
        <is>
          <t>False</t>
        </is>
      </c>
      <c r="K507" s="28" t="n">
        <v>0</v>
      </c>
      <c r="L507" s="25" t="inlineStr">
        <is>
          <t>VODKA</t>
        </is>
      </c>
      <c r="M507" s="25" t="inlineStr">
        <is>
          <t>LUXCO, INC</t>
        </is>
      </c>
      <c r="N507" s="25" t="inlineStr">
        <is>
          <t>040010-SOUTHERN GLAZERS WINE AND SPIRITS OF MISSISSIPPI LLC</t>
        </is>
      </c>
      <c r="O507" s="25" t="n"/>
      <c r="P507" s="25" t="inlineStr">
        <is>
          <t>10088352100019</t>
        </is>
      </c>
      <c r="Q507" s="25" t="inlineStr">
        <is>
          <t>0088352100012</t>
        </is>
      </c>
      <c r="R507" s="78" t="n">
        <v>42279</v>
      </c>
    </row>
    <row r="508">
      <c r="A508" t="inlineStr">
        <is>
          <t>or item code =</t>
        </is>
      </c>
      <c r="B508" s="25" t="inlineStr">
        <is>
          <t>41834</t>
        </is>
      </c>
      <c r="C508" s="25" t="inlineStr">
        <is>
          <t>EVERCLEAR ALCOHOL 190 (PET)</t>
        </is>
      </c>
      <c r="D508" s="25" t="inlineStr">
        <is>
          <t>375ml</t>
        </is>
      </c>
      <c r="E508" s="27" t="n">
        <v>20</v>
      </c>
      <c r="F508" s="27" t="n">
        <v>15</v>
      </c>
      <c r="G508" s="27" t="n">
        <v>24</v>
      </c>
      <c r="H508" s="28" t="n">
        <v>165.97</v>
      </c>
      <c r="I508" s="28" t="n">
        <v>0</v>
      </c>
      <c r="J508" s="94" t="inlineStr">
        <is>
          <t>False</t>
        </is>
      </c>
      <c r="K508" s="28" t="n">
        <v>0</v>
      </c>
      <c r="L508" s="25" t="inlineStr">
        <is>
          <t>VODKA</t>
        </is>
      </c>
      <c r="M508" s="25" t="inlineStr">
        <is>
          <t>LUXCO, INC</t>
        </is>
      </c>
      <c r="N508" s="25" t="inlineStr">
        <is>
          <t>040010-SOUTHERN GLAZERS WINE AND SPIRITS OF MISSISSIPPI LLC</t>
        </is>
      </c>
      <c r="O508" s="25" t="n"/>
      <c r="P508" s="25" t="inlineStr">
        <is>
          <t>10088352104864</t>
        </is>
      </c>
      <c r="Q508" s="25" t="inlineStr">
        <is>
          <t>088352104867</t>
        </is>
      </c>
      <c r="R508" s="78" t="n">
        <v>42279</v>
      </c>
    </row>
    <row r="509">
      <c r="A509" t="inlineStr">
        <is>
          <t>or item code =</t>
        </is>
      </c>
      <c r="B509" s="25" t="inlineStr">
        <is>
          <t>33707</t>
        </is>
      </c>
      <c r="C509" s="25" t="inlineStr">
        <is>
          <t>EXCLUSIV 1 VODKA</t>
        </is>
      </c>
      <c r="D509" s="25" t="inlineStr">
        <is>
          <t>375ml</t>
        </is>
      </c>
      <c r="E509" s="27" t="n">
        <v>0</v>
      </c>
      <c r="F509" s="27" t="n">
        <v>3</v>
      </c>
      <c r="G509" s="27" t="n">
        <v>12</v>
      </c>
      <c r="H509" s="28" t="n">
        <v>67.48</v>
      </c>
      <c r="I509" s="28" t="n">
        <v>0</v>
      </c>
      <c r="J509" s="94" t="inlineStr">
        <is>
          <t>False</t>
        </is>
      </c>
      <c r="K509" s="28" t="n">
        <v>0</v>
      </c>
      <c r="L509" s="25" t="inlineStr">
        <is>
          <t>VODKA</t>
        </is>
      </c>
      <c r="M509" s="25" t="inlineStr">
        <is>
          <t>SERGE IMPORT LLC</t>
        </is>
      </c>
      <c r="N509" s="25" t="inlineStr">
        <is>
          <t>040010-SOUTHERN GLAZERS WINE AND SPIRITS OF MISSISSIPPI LLC</t>
        </is>
      </c>
      <c r="O509" s="25" t="n"/>
      <c r="P509" s="25" t="inlineStr">
        <is>
          <t>00699733002131</t>
        </is>
      </c>
      <c r="Q509" s="25" t="inlineStr">
        <is>
          <t>0699733002032</t>
        </is>
      </c>
      <c r="R509" s="78" t="n">
        <v>42370</v>
      </c>
    </row>
    <row r="510">
      <c r="A510" t="inlineStr">
        <is>
          <t>or item code =</t>
        </is>
      </c>
      <c r="B510" s="25" t="inlineStr">
        <is>
          <t>33712</t>
        </is>
      </c>
      <c r="C510" s="25" t="inlineStr">
        <is>
          <t>EXCLUSIV 4 BERRY FLAVORED VODKA</t>
        </is>
      </c>
      <c r="D510" s="25" t="inlineStr">
        <is>
          <t>750ml</t>
        </is>
      </c>
      <c r="E510" s="27" t="n">
        <v>0</v>
      </c>
      <c r="F510" s="27" t="n">
        <v>0</v>
      </c>
      <c r="G510" s="27" t="n">
        <v>12</v>
      </c>
      <c r="H510" s="28" t="n">
        <v>100.44</v>
      </c>
      <c r="I510" s="28" t="n">
        <v>0</v>
      </c>
      <c r="J510" s="94" t="inlineStr">
        <is>
          <t>False</t>
        </is>
      </c>
      <c r="K510" s="28" t="n">
        <v>0</v>
      </c>
      <c r="L510" s="25" t="inlineStr">
        <is>
          <t>VODKA</t>
        </is>
      </c>
      <c r="M510" s="25" t="inlineStr">
        <is>
          <t>SERGE IMPORT LLC</t>
        </is>
      </c>
      <c r="N510" s="25" t="inlineStr">
        <is>
          <t>040010-SOUTHERN GLAZERS WINE AND SPIRITS OF MISSISSIPPI LLC</t>
        </is>
      </c>
      <c r="O510" s="25" t="n"/>
      <c r="P510" s="25" t="inlineStr">
        <is>
          <t>00699733000632</t>
        </is>
      </c>
      <c r="Q510" s="25" t="inlineStr">
        <is>
          <t>0699733000625</t>
        </is>
      </c>
      <c r="R510" s="78" t="n">
        <v>42370</v>
      </c>
    </row>
    <row r="511">
      <c r="A511" t="inlineStr">
        <is>
          <t>or item code =</t>
        </is>
      </c>
      <c r="B511" s="25" t="inlineStr">
        <is>
          <t>33711</t>
        </is>
      </c>
      <c r="C511" s="25" t="inlineStr">
        <is>
          <t>EXCLUSIV 4 BERRY FLAVORED VODKA</t>
        </is>
      </c>
      <c r="D511" s="25" t="inlineStr">
        <is>
          <t>375ml</t>
        </is>
      </c>
      <c r="E511" s="27" t="n">
        <v>0</v>
      </c>
      <c r="F511" s="27" t="n">
        <v>5</v>
      </c>
      <c r="G511" s="27" t="n">
        <v>12</v>
      </c>
      <c r="H511" s="28" t="n">
        <v>67.48</v>
      </c>
      <c r="I511" s="28" t="n">
        <v>0</v>
      </c>
      <c r="J511" s="94" t="inlineStr">
        <is>
          <t>False</t>
        </is>
      </c>
      <c r="K511" s="28" t="n">
        <v>0</v>
      </c>
      <c r="L511" s="25" t="inlineStr">
        <is>
          <t>VODKA</t>
        </is>
      </c>
      <c r="M511" s="25" t="inlineStr">
        <is>
          <t>SERGE IMPORT LLC</t>
        </is>
      </c>
      <c r="N511" s="25" t="inlineStr">
        <is>
          <t>040010-SOUTHERN GLAZERS WINE AND SPIRITS OF MISSISSIPPI LLC</t>
        </is>
      </c>
      <c r="O511" s="25" t="n"/>
      <c r="P511" s="25" t="inlineStr">
        <is>
          <t>00699733000656</t>
        </is>
      </c>
      <c r="Q511" s="25" t="inlineStr">
        <is>
          <t>0699733000649</t>
        </is>
      </c>
      <c r="R511" s="78" t="n">
        <v>42370</v>
      </c>
    </row>
    <row r="512">
      <c r="A512" t="inlineStr">
        <is>
          <t>or item code =</t>
        </is>
      </c>
      <c r="B512" s="25" t="inlineStr">
        <is>
          <t>33524</t>
        </is>
      </c>
      <c r="C512" s="25" t="inlineStr">
        <is>
          <t>EXCLUSIV PINEAPPLE VODKA</t>
        </is>
      </c>
      <c r="D512" s="25" t="inlineStr">
        <is>
          <t>750ml</t>
        </is>
      </c>
      <c r="E512" s="27" t="n">
        <v>0</v>
      </c>
      <c r="F512" s="27" t="n">
        <v>0</v>
      </c>
      <c r="G512" s="27" t="n">
        <v>12</v>
      </c>
      <c r="H512" s="28" t="n">
        <v>100.44</v>
      </c>
      <c r="I512" s="28" t="n">
        <v>0</v>
      </c>
      <c r="J512" s="94" t="inlineStr">
        <is>
          <t>False</t>
        </is>
      </c>
      <c r="K512" s="28" t="n">
        <v>0</v>
      </c>
      <c r="L512" s="25" t="inlineStr">
        <is>
          <t>VODKA</t>
        </is>
      </c>
      <c r="M512" s="25" t="inlineStr">
        <is>
          <t>SERGE IMPORT LLC</t>
        </is>
      </c>
      <c r="N512" s="25" t="inlineStr">
        <is>
          <t>040010-SOUTHERN GLAZERS WINE AND SPIRITS OF MISSISSIPPI LLC</t>
        </is>
      </c>
      <c r="O512" s="25" t="n"/>
      <c r="P512" s="25" t="inlineStr">
        <is>
          <t>00699733000854</t>
        </is>
      </c>
      <c r="Q512" s="25" t="inlineStr">
        <is>
          <t>0699733000847</t>
        </is>
      </c>
      <c r="R512" s="78" t="n">
        <v>42370</v>
      </c>
    </row>
    <row r="513">
      <c r="A513" t="inlineStr">
        <is>
          <t>or item code =</t>
        </is>
      </c>
      <c r="B513" s="25" t="inlineStr">
        <is>
          <t>33708</t>
        </is>
      </c>
      <c r="C513" s="25" t="inlineStr">
        <is>
          <t>EXCLUSIV VODKA</t>
        </is>
      </c>
      <c r="D513" s="25" t="inlineStr">
        <is>
          <t>750ml</t>
        </is>
      </c>
      <c r="E513" s="27" t="n">
        <v>0</v>
      </c>
      <c r="F513" s="27" t="n">
        <v>1</v>
      </c>
      <c r="G513" s="27" t="n">
        <v>12</v>
      </c>
      <c r="H513" s="28" t="n">
        <v>100.44</v>
      </c>
      <c r="I513" s="28" t="n">
        <v>0</v>
      </c>
      <c r="J513" s="94" t="inlineStr">
        <is>
          <t>False</t>
        </is>
      </c>
      <c r="K513" s="28" t="n">
        <v>0</v>
      </c>
      <c r="L513" s="25" t="inlineStr">
        <is>
          <t>VODKA</t>
        </is>
      </c>
      <c r="M513" s="25" t="inlineStr">
        <is>
          <t>SERGE IMPORT LLC</t>
        </is>
      </c>
      <c r="N513" s="25" t="inlineStr">
        <is>
          <t>040010-SOUTHERN GLAZERS WINE AND SPIRITS OF MISSISSIPPI LLC</t>
        </is>
      </c>
      <c r="O513" s="25" t="n"/>
      <c r="P513" s="25" t="inlineStr">
        <is>
          <t>00699733000199</t>
        </is>
      </c>
      <c r="Q513" s="25" t="inlineStr">
        <is>
          <t>0699733000090</t>
        </is>
      </c>
      <c r="R513" s="78" t="n">
        <v>42370</v>
      </c>
    </row>
    <row r="514">
      <c r="A514" t="inlineStr">
        <is>
          <t>or item code =</t>
        </is>
      </c>
      <c r="B514" s="25" t="inlineStr">
        <is>
          <t>33709</t>
        </is>
      </c>
      <c r="C514" s="25" t="inlineStr">
        <is>
          <t>EXCLUSIV VODKA</t>
        </is>
      </c>
      <c r="D514" s="25" t="inlineStr">
        <is>
          <t>1.75L</t>
        </is>
      </c>
      <c r="E514" s="27" t="n">
        <v>0</v>
      </c>
      <c r="F514" s="27" t="n">
        <v>2</v>
      </c>
      <c r="G514" s="27" t="n">
        <v>6</v>
      </c>
      <c r="H514" s="28" t="n">
        <v>105.1</v>
      </c>
      <c r="I514" s="28" t="n">
        <v>0</v>
      </c>
      <c r="J514" s="94" t="inlineStr">
        <is>
          <t>False</t>
        </is>
      </c>
      <c r="K514" s="28" t="n">
        <v>0</v>
      </c>
      <c r="L514" s="25" t="inlineStr">
        <is>
          <t>VODKA</t>
        </is>
      </c>
      <c r="M514" s="25" t="inlineStr">
        <is>
          <t>SERGE IMPORT LLC</t>
        </is>
      </c>
      <c r="N514" s="25" t="inlineStr">
        <is>
          <t>040010-SOUTHERN GLAZERS WINE AND SPIRITS OF MISSISSIPPI LLC</t>
        </is>
      </c>
      <c r="O514" s="25" t="n"/>
      <c r="P514" s="25" t="inlineStr">
        <is>
          <t>00699733000120</t>
        </is>
      </c>
      <c r="Q514" s="25" t="inlineStr">
        <is>
          <t>0699733000021</t>
        </is>
      </c>
      <c r="R514" s="78" t="n">
        <v>42370</v>
      </c>
    </row>
    <row r="515">
      <c r="A515" t="inlineStr">
        <is>
          <t>or item code =</t>
        </is>
      </c>
      <c r="B515" s="25" t="inlineStr">
        <is>
          <t>18196</t>
        </is>
      </c>
      <c r="C515" s="25" t="inlineStr">
        <is>
          <t>EZRA BROOKS 90 PROOF BOURBON</t>
        </is>
      </c>
      <c r="D515" s="25" t="inlineStr">
        <is>
          <t>750ml</t>
        </is>
      </c>
      <c r="E515" s="27" t="n">
        <v>1</v>
      </c>
      <c r="F515" s="27" t="n">
        <v>4</v>
      </c>
      <c r="G515" s="27" t="n">
        <v>12</v>
      </c>
      <c r="H515" s="28" t="n">
        <v>147.6</v>
      </c>
      <c r="I515" s="28" t="n">
        <v>0</v>
      </c>
      <c r="J515" s="94" t="inlineStr">
        <is>
          <t>False</t>
        </is>
      </c>
      <c r="K515" s="28" t="n">
        <v>0</v>
      </c>
      <c r="L515" s="25" t="inlineStr">
        <is>
          <t>WHISKEY - STR BOURBON</t>
        </is>
      </c>
      <c r="M515" s="25" t="inlineStr">
        <is>
          <t>LUXCO, INC</t>
        </is>
      </c>
      <c r="N515" s="25" t="inlineStr">
        <is>
          <t>040010-SOUTHERN GLAZERS WINE AND SPIRITS OF MISSISSIPPI LLC</t>
        </is>
      </c>
      <c r="O515" s="25" t="n"/>
      <c r="P515" s="25" t="inlineStr">
        <is>
          <t>00835211091200</t>
        </is>
      </c>
      <c r="Q515" s="25" t="inlineStr">
        <is>
          <t>0088352110929</t>
        </is>
      </c>
      <c r="R515" s="78" t="n">
        <v>42370</v>
      </c>
    </row>
    <row r="516">
      <c r="A516" t="inlineStr">
        <is>
          <t>or item code =</t>
        </is>
      </c>
      <c r="B516" s="25" t="inlineStr">
        <is>
          <t>18201</t>
        </is>
      </c>
      <c r="C516" s="25" t="inlineStr">
        <is>
          <t>EZRA BROOKS 99 PROOF BOURBON</t>
        </is>
      </c>
      <c r="D516" s="25" t="inlineStr">
        <is>
          <t>750ml</t>
        </is>
      </c>
      <c r="E516" s="27" t="n">
        <v>1</v>
      </c>
      <c r="F516" s="27" t="n">
        <v>21</v>
      </c>
      <c r="G516" s="27" t="n">
        <v>6</v>
      </c>
      <c r="H516" s="28" t="n">
        <v>124.56</v>
      </c>
      <c r="I516" s="28" t="n">
        <v>0</v>
      </c>
      <c r="J516" s="94" t="inlineStr">
        <is>
          <t>False</t>
        </is>
      </c>
      <c r="K516" s="28" t="n">
        <v>0</v>
      </c>
      <c r="L516" s="25" t="inlineStr">
        <is>
          <t>WHISKEY - STR BOURBON</t>
        </is>
      </c>
      <c r="M516" s="25" t="inlineStr">
        <is>
          <t>LUXCO, INC</t>
        </is>
      </c>
      <c r="N516" s="25" t="inlineStr">
        <is>
          <t>040010-SOUTHERN GLAZERS WINE AND SPIRITS OF MISSISSIPPI LLC</t>
        </is>
      </c>
      <c r="O516" s="25" t="n"/>
      <c r="P516" s="25" t="inlineStr">
        <is>
          <t>10088352135424</t>
        </is>
      </c>
      <c r="Q516" s="25" t="inlineStr">
        <is>
          <t>088352135427</t>
        </is>
      </c>
      <c r="R516" s="78" t="n">
        <v>44593</v>
      </c>
    </row>
    <row r="517">
      <c r="A517" t="inlineStr">
        <is>
          <t>or item code =</t>
        </is>
      </c>
      <c r="B517" s="25" t="inlineStr">
        <is>
          <t>93256</t>
        </is>
      </c>
      <c r="C517" s="25" t="inlineStr">
        <is>
          <t>FAIRBANKS PORT</t>
        </is>
      </c>
      <c r="D517" s="25" t="inlineStr">
        <is>
          <t>1.5L</t>
        </is>
      </c>
      <c r="E517" s="27" t="n">
        <v>67</v>
      </c>
      <c r="F517" s="27" t="n">
        <v>39</v>
      </c>
      <c r="G517" s="27" t="n">
        <v>6</v>
      </c>
      <c r="H517" s="28" t="n">
        <v>45.75</v>
      </c>
      <c r="I517" s="28" t="n">
        <v>0</v>
      </c>
      <c r="J517" s="94" t="inlineStr">
        <is>
          <t>False</t>
        </is>
      </c>
      <c r="K517" s="28" t="n">
        <v>0</v>
      </c>
      <c r="L517" s="25" t="inlineStr">
        <is>
          <t>DESSERT - PORT</t>
        </is>
      </c>
      <c r="M517" s="25" t="inlineStr">
        <is>
          <t>PRECEPT BRAND LLC</t>
        </is>
      </c>
      <c r="N517" s="25" t="inlineStr">
        <is>
          <t>040010-SOUTHERN GLAZERS WINE AND SPIRITS OF MISSISSIPPI LLC</t>
        </is>
      </c>
      <c r="O517" s="25" t="n"/>
      <c r="P517" s="25" t="inlineStr">
        <is>
          <t>20085000005341</t>
        </is>
      </c>
      <c r="Q517" s="25" t="inlineStr">
        <is>
          <t>08553407</t>
        </is>
      </c>
      <c r="R517" s="78" t="n">
        <v>44287</v>
      </c>
    </row>
    <row r="518">
      <c r="A518" t="inlineStr">
        <is>
          <t>or item code =</t>
        </is>
      </c>
      <c r="B518" s="25" t="inlineStr">
        <is>
          <t>88931</t>
        </is>
      </c>
      <c r="C518" s="25" t="inlineStr">
        <is>
          <t>FAMILIA CAMARENA ANEJO TEQUILA</t>
        </is>
      </c>
      <c r="D518" s="25" t="inlineStr">
        <is>
          <t>750ml</t>
        </is>
      </c>
      <c r="E518" s="27" t="n">
        <v>20</v>
      </c>
      <c r="F518" s="27" t="n">
        <v>6</v>
      </c>
      <c r="G518" s="27" t="n">
        <v>6</v>
      </c>
      <c r="H518" s="28" t="n">
        <v>143.04</v>
      </c>
      <c r="I518" s="28" t="n">
        <v>0</v>
      </c>
      <c r="J518" s="94" t="inlineStr">
        <is>
          <t>False</t>
        </is>
      </c>
      <c r="K518" s="28" t="n">
        <v>0</v>
      </c>
      <c r="L518" s="25" t="inlineStr">
        <is>
          <t>TEQUILA</t>
        </is>
      </c>
      <c r="M518" s="25" t="inlineStr">
        <is>
          <t>E &amp; J GALLO WINERY</t>
        </is>
      </c>
      <c r="N518" s="25" t="inlineStr">
        <is>
          <t>040012-GALLO WINES OF MISSISSIPPI</t>
        </is>
      </c>
      <c r="O518" s="25" t="n"/>
      <c r="P518" s="25" t="inlineStr">
        <is>
          <t>20085000026919</t>
        </is>
      </c>
      <c r="Q518" s="25" t="inlineStr">
        <is>
          <t>085000026915</t>
        </is>
      </c>
      <c r="R518" s="78" t="n">
        <v>44044</v>
      </c>
    </row>
    <row r="519">
      <c r="A519" t="inlineStr">
        <is>
          <t>or item code =</t>
        </is>
      </c>
      <c r="B519" s="25" t="inlineStr">
        <is>
          <t>89533</t>
        </is>
      </c>
      <c r="C519" s="25" t="inlineStr">
        <is>
          <t>FAMILIA CAMARENA REPOSADO TEQUILA</t>
        </is>
      </c>
      <c r="D519" s="25" t="inlineStr">
        <is>
          <t>750ml</t>
        </is>
      </c>
      <c r="E519" s="27" t="n">
        <v>34</v>
      </c>
      <c r="F519" s="27" t="n">
        <v>51</v>
      </c>
      <c r="G519" s="27" t="n">
        <v>12</v>
      </c>
      <c r="H519" s="28" t="n">
        <v>230.67</v>
      </c>
      <c r="I519" s="28" t="n">
        <v>18.47</v>
      </c>
      <c r="J519" s="94" t="inlineStr">
        <is>
          <t>False</t>
        </is>
      </c>
      <c r="K519" s="28" t="n">
        <v>0</v>
      </c>
      <c r="L519" s="25" t="inlineStr">
        <is>
          <t>TEQUILA</t>
        </is>
      </c>
      <c r="M519" s="25" t="inlineStr">
        <is>
          <t>E &amp; J GALLO WINERY</t>
        </is>
      </c>
      <c r="N519" s="25" t="inlineStr">
        <is>
          <t>040012-GALLO WINES OF MISSISSIPPI</t>
        </is>
      </c>
      <c r="O519" s="25" t="n"/>
      <c r="P519" s="25" t="inlineStr">
        <is>
          <t>30085000017327</t>
        </is>
      </c>
      <c r="Q519" s="25" t="inlineStr">
        <is>
          <t>0085000017326</t>
        </is>
      </c>
      <c r="R519" s="78" t="n">
        <v>42278</v>
      </c>
    </row>
    <row r="520">
      <c r="A520" t="inlineStr">
        <is>
          <t>or item code =</t>
        </is>
      </c>
      <c r="B520" s="25" t="inlineStr">
        <is>
          <t>87643</t>
        </is>
      </c>
      <c r="C520" s="25" t="inlineStr">
        <is>
          <t>FAMILIA CAMARENA SILVER TEQUILA</t>
        </is>
      </c>
      <c r="D520" s="25" t="inlineStr">
        <is>
          <t>750ml</t>
        </is>
      </c>
      <c r="E520" s="27" t="n">
        <v>50</v>
      </c>
      <c r="F520" s="27" t="n">
        <v>99</v>
      </c>
      <c r="G520" s="27" t="n">
        <v>12</v>
      </c>
      <c r="H520" s="28" t="n">
        <v>230.67</v>
      </c>
      <c r="I520" s="28" t="n">
        <v>18.47</v>
      </c>
      <c r="J520" s="94" t="inlineStr">
        <is>
          <t>False</t>
        </is>
      </c>
      <c r="K520" s="28" t="n">
        <v>0</v>
      </c>
      <c r="L520" s="25" t="inlineStr">
        <is>
          <t>TEQUILA</t>
        </is>
      </c>
      <c r="M520" s="25" t="inlineStr">
        <is>
          <t>E &amp; J GALLO WINERY</t>
        </is>
      </c>
      <c r="N520" s="25" t="inlineStr">
        <is>
          <t>040012-GALLO WINES OF MISSISSIPPI</t>
        </is>
      </c>
      <c r="O520" s="25" t="n"/>
      <c r="P520" s="25" t="inlineStr">
        <is>
          <t>30085000016825</t>
        </is>
      </c>
      <c r="Q520" s="25" t="inlineStr">
        <is>
          <t>0085000016824</t>
        </is>
      </c>
      <c r="R520" s="78" t="n">
        <v>42278</v>
      </c>
    </row>
    <row r="521">
      <c r="A521" t="inlineStr">
        <is>
          <t>or item code =</t>
        </is>
      </c>
      <c r="B521" s="25" t="inlineStr">
        <is>
          <t>34326</t>
        </is>
      </c>
      <c r="C521" s="25" t="inlineStr">
        <is>
          <t>FINLANDIA VODKA</t>
        </is>
      </c>
      <c r="D521" s="25" t="inlineStr">
        <is>
          <t>750ml</t>
        </is>
      </c>
      <c r="E521" s="27" t="n">
        <v>7</v>
      </c>
      <c r="F521" s="27" t="n">
        <v>15</v>
      </c>
      <c r="G521" s="27" t="n">
        <v>12</v>
      </c>
      <c r="H521" s="28" t="n">
        <v>146.16</v>
      </c>
      <c r="I521" s="28" t="n">
        <v>0</v>
      </c>
      <c r="J521" s="94" t="inlineStr">
        <is>
          <t>False</t>
        </is>
      </c>
      <c r="K521" s="28" t="n">
        <v>0</v>
      </c>
      <c r="L521" s="25" t="inlineStr">
        <is>
          <t>VODKA</t>
        </is>
      </c>
      <c r="M521" s="25" t="inlineStr">
        <is>
          <t>BROWN FORMAN CORP</t>
        </is>
      </c>
      <c r="N521" s="25" t="inlineStr">
        <is>
          <t>045041-UNITED JOHNSON BROTHERS OF MS</t>
        </is>
      </c>
      <c r="O521" s="25" t="n"/>
      <c r="P521" s="25" t="inlineStr">
        <is>
          <t>10081128074118</t>
        </is>
      </c>
      <c r="Q521" s="25" t="inlineStr">
        <is>
          <t>0081128074111</t>
        </is>
      </c>
      <c r="R521" s="78" t="n">
        <v>42370</v>
      </c>
    </row>
    <row r="522">
      <c r="A522" t="inlineStr">
        <is>
          <t>or item code =</t>
        </is>
      </c>
      <c r="B522" s="25" t="inlineStr">
        <is>
          <t>34328</t>
        </is>
      </c>
      <c r="C522" s="25" t="inlineStr">
        <is>
          <t>FINLANDIA VODKA</t>
        </is>
      </c>
      <c r="D522" s="25" t="inlineStr">
        <is>
          <t>1.75L</t>
        </is>
      </c>
      <c r="E522" s="27" t="n">
        <v>30</v>
      </c>
      <c r="F522" s="27" t="n">
        <v>16</v>
      </c>
      <c r="G522" s="27" t="n">
        <v>6</v>
      </c>
      <c r="H522" s="28" t="n">
        <v>140.39</v>
      </c>
      <c r="I522" s="28" t="n">
        <v>0</v>
      </c>
      <c r="J522" s="94" t="inlineStr">
        <is>
          <t>False</t>
        </is>
      </c>
      <c r="K522" s="28" t="n">
        <v>0</v>
      </c>
      <c r="L522" s="25" t="inlineStr">
        <is>
          <t>VODKA</t>
        </is>
      </c>
      <c r="M522" s="25" t="inlineStr">
        <is>
          <t>BROWN FORMAN CORP</t>
        </is>
      </c>
      <c r="N522" s="25" t="inlineStr">
        <is>
          <t>045041-UNITED JOHNSON BROTHERS OF MS</t>
        </is>
      </c>
      <c r="O522" s="25" t="n"/>
      <c r="P522" s="25" t="inlineStr">
        <is>
          <t>10081128074057</t>
        </is>
      </c>
      <c r="Q522" s="25" t="inlineStr">
        <is>
          <t>0081128074050</t>
        </is>
      </c>
      <c r="R522" s="78" t="n">
        <v>42370</v>
      </c>
    </row>
    <row r="523">
      <c r="A523" t="inlineStr">
        <is>
          <t>or item code =</t>
        </is>
      </c>
      <c r="B523" s="25" t="inlineStr">
        <is>
          <t>64866</t>
        </is>
      </c>
      <c r="C523" s="25" t="inlineStr">
        <is>
          <t>FIREBALL CINNAMON WHISKEY</t>
        </is>
      </c>
      <c r="D523" s="25" t="inlineStr">
        <is>
          <t>750ml</t>
        </is>
      </c>
      <c r="E523" s="27" t="n">
        <v>135</v>
      </c>
      <c r="F523" s="27" t="n">
        <v>111</v>
      </c>
      <c r="G523" s="27" t="n">
        <v>12</v>
      </c>
      <c r="H523" s="28" t="n">
        <v>133.84</v>
      </c>
      <c r="I523" s="28" t="n">
        <v>0</v>
      </c>
      <c r="J523" s="94" t="inlineStr">
        <is>
          <t>False</t>
        </is>
      </c>
      <c r="K523" s="28" t="n">
        <v>0</v>
      </c>
      <c r="L523" s="25" t="inlineStr">
        <is>
          <t>LIQUEURS AND CORDIALS</t>
        </is>
      </c>
      <c r="M523" s="25" t="inlineStr">
        <is>
          <t>SAZERAC COMPANY</t>
        </is>
      </c>
      <c r="N523" s="25" t="inlineStr">
        <is>
          <t>040010-SOUTHERN GLAZERS WINE AND SPIRITS OF MISSISSIPPI LLC</t>
        </is>
      </c>
      <c r="O523" s="25" t="n"/>
      <c r="P523" s="25" t="inlineStr">
        <is>
          <t>10088004003279</t>
        </is>
      </c>
      <c r="Q523" s="25" t="inlineStr">
        <is>
          <t>088004146689</t>
        </is>
      </c>
      <c r="R523" s="78" t="n">
        <v>42370</v>
      </c>
    </row>
    <row r="524">
      <c r="A524" t="inlineStr">
        <is>
          <t>or item code =</t>
        </is>
      </c>
      <c r="B524" s="25" t="inlineStr">
        <is>
          <t>64868</t>
        </is>
      </c>
      <c r="C524" s="25" t="inlineStr">
        <is>
          <t>FIREBALL CINNAMON WHISKEY</t>
        </is>
      </c>
      <c r="D524" s="25" t="inlineStr">
        <is>
          <t>1.75L</t>
        </is>
      </c>
      <c r="E524" s="27" t="n">
        <v>0</v>
      </c>
      <c r="F524" s="27" t="n">
        <v>160</v>
      </c>
      <c r="G524" s="27" t="n">
        <v>6</v>
      </c>
      <c r="H524" s="28" t="n">
        <v>129.18</v>
      </c>
      <c r="I524" s="28" t="n">
        <v>0</v>
      </c>
      <c r="J524" s="94" t="inlineStr">
        <is>
          <t>False</t>
        </is>
      </c>
      <c r="K524" s="28" t="n">
        <v>0</v>
      </c>
      <c r="L524" s="25" t="inlineStr">
        <is>
          <t>LIQUEURS AND CORDIALS</t>
        </is>
      </c>
      <c r="M524" s="25" t="inlineStr">
        <is>
          <t>SAZERAC COMPANY</t>
        </is>
      </c>
      <c r="N524" s="25" t="inlineStr">
        <is>
          <t>040010-SOUTHERN GLAZERS WINE AND SPIRITS OF MISSISSIPPI LLC</t>
        </is>
      </c>
      <c r="O524" s="25" t="n"/>
      <c r="P524" s="25" t="inlineStr">
        <is>
          <t>10088004009288</t>
        </is>
      </c>
      <c r="Q524" s="25" t="inlineStr">
        <is>
          <t>0088004009281</t>
        </is>
      </c>
      <c r="R524" s="78" t="n">
        <v>42370</v>
      </c>
    </row>
    <row r="525">
      <c r="A525" t="inlineStr">
        <is>
          <t>or item code =</t>
        </is>
      </c>
      <c r="B525" s="25" t="inlineStr">
        <is>
          <t>65013</t>
        </is>
      </c>
      <c r="C525" s="25" t="inlineStr">
        <is>
          <t>FIREBALL CINNAMON WHISKEY (PET)</t>
        </is>
      </c>
      <c r="D525" s="25" t="inlineStr">
        <is>
          <t>50ml</t>
        </is>
      </c>
      <c r="E525" s="27" t="n">
        <v>656</v>
      </c>
      <c r="F525" s="27" t="n">
        <v>347</v>
      </c>
      <c r="G525" s="27" t="n">
        <v>120</v>
      </c>
      <c r="H525" s="28" t="n">
        <v>80.8</v>
      </c>
      <c r="I525" s="28" t="n">
        <v>0</v>
      </c>
      <c r="J525" s="94" t="inlineStr">
        <is>
          <t>False</t>
        </is>
      </c>
      <c r="K525" s="28" t="n">
        <v>0</v>
      </c>
      <c r="L525" s="25" t="inlineStr">
        <is>
          <t>LIQUEURS AND CORDIALS</t>
        </is>
      </c>
      <c r="M525" s="25" t="inlineStr">
        <is>
          <t>SAZERAC COMPANY</t>
        </is>
      </c>
      <c r="N525" s="25" t="inlineStr">
        <is>
          <t>040010-SOUTHERN GLAZERS WINE AND SPIRITS OF MISSISSIPPI LLC</t>
        </is>
      </c>
      <c r="O525" s="25" t="n"/>
      <c r="P525" s="25" t="inlineStr">
        <is>
          <t>10088004027237</t>
        </is>
      </c>
      <c r="Q525" s="25" t="inlineStr">
        <is>
          <t>0088004020491</t>
        </is>
      </c>
      <c r="R525" s="78" t="n">
        <v>43278</v>
      </c>
    </row>
    <row r="526">
      <c r="A526" t="inlineStr">
        <is>
          <t>or item code =</t>
        </is>
      </c>
      <c r="B526" s="25" t="inlineStr">
        <is>
          <t>64864</t>
        </is>
      </c>
      <c r="C526" s="25" t="inlineStr">
        <is>
          <t>FIREBALL CINNAMON WHISKEY (PET)</t>
        </is>
      </c>
      <c r="D526" s="25" t="inlineStr">
        <is>
          <t>375ml</t>
        </is>
      </c>
      <c r="E526" s="27" t="n">
        <v>662</v>
      </c>
      <c r="F526" s="27" t="n">
        <v>600</v>
      </c>
      <c r="G526" s="27" t="n">
        <v>24</v>
      </c>
      <c r="H526" s="28" t="n">
        <v>125.82</v>
      </c>
      <c r="I526" s="28" t="n">
        <v>6.01</v>
      </c>
      <c r="J526" s="94" t="inlineStr">
        <is>
          <t>False</t>
        </is>
      </c>
      <c r="K526" s="28" t="n">
        <v>0</v>
      </c>
      <c r="L526" s="25" t="inlineStr">
        <is>
          <t>LIQUEURS AND CORDIALS</t>
        </is>
      </c>
      <c r="M526" s="25" t="inlineStr">
        <is>
          <t>SAZERAC COMPANY</t>
        </is>
      </c>
      <c r="N526" s="25" t="inlineStr">
        <is>
          <t>040010-SOUTHERN GLAZERS WINE AND SPIRITS OF MISSISSIPPI LLC</t>
        </is>
      </c>
      <c r="O526" s="25" t="n"/>
      <c r="P526" s="25" t="inlineStr">
        <is>
          <t>10088004008960</t>
        </is>
      </c>
      <c r="Q526" s="25" t="inlineStr">
        <is>
          <t>0088004144722</t>
        </is>
      </c>
      <c r="R526" s="78" t="n">
        <v>42370</v>
      </c>
    </row>
    <row r="527">
      <c r="A527" t="inlineStr">
        <is>
          <t>or item code =</t>
        </is>
      </c>
      <c r="B527" s="25" t="inlineStr">
        <is>
          <t>64865</t>
        </is>
      </c>
      <c r="C527" s="25" t="inlineStr">
        <is>
          <t>FIREBALL CINNAMON WHISKEY PET</t>
        </is>
      </c>
      <c r="D527" s="25" t="inlineStr">
        <is>
          <t>750ml</t>
        </is>
      </c>
      <c r="E527" s="27" t="n">
        <v>500</v>
      </c>
      <c r="F527" s="27" t="n">
        <v>437</v>
      </c>
      <c r="G527" s="27" t="n">
        <v>12</v>
      </c>
      <c r="H527" s="28" t="n">
        <v>121.85</v>
      </c>
      <c r="I527" s="28" t="n">
        <v>11.99</v>
      </c>
      <c r="J527" s="94" t="inlineStr">
        <is>
          <t>False</t>
        </is>
      </c>
      <c r="K527" s="28" t="n">
        <v>0</v>
      </c>
      <c r="L527" s="25" t="inlineStr">
        <is>
          <t>LIQUEURS AND CORDIALS</t>
        </is>
      </c>
      <c r="M527" s="25" t="inlineStr">
        <is>
          <t>SAZERAC COMPANY</t>
        </is>
      </c>
      <c r="N527" s="25" t="inlineStr">
        <is>
          <t>040010-SOUTHERN GLAZERS WINE AND SPIRITS OF MISSISSIPPI LLC</t>
        </is>
      </c>
      <c r="O527" s="25" t="n"/>
      <c r="P527" s="25" t="inlineStr">
        <is>
          <t>00000000064865</t>
        </is>
      </c>
      <c r="Q527" s="25" t="inlineStr">
        <is>
          <t>0088004144692</t>
        </is>
      </c>
      <c r="R527" s="78" t="n">
        <v>42370</v>
      </c>
    </row>
    <row r="528">
      <c r="A528" t="inlineStr">
        <is>
          <t>or item code =</t>
        </is>
      </c>
      <c r="B528" s="25" t="inlineStr">
        <is>
          <t>64863</t>
        </is>
      </c>
      <c r="C528" s="25" t="inlineStr">
        <is>
          <t>FIREBALL CINNAMON WHISKEY PET</t>
        </is>
      </c>
      <c r="D528" s="25" t="inlineStr">
        <is>
          <t>200ml</t>
        </is>
      </c>
      <c r="E528" s="27" t="n">
        <v>206</v>
      </c>
      <c r="F528" s="27" t="n">
        <v>228</v>
      </c>
      <c r="G528" s="27" t="n">
        <v>48</v>
      </c>
      <c r="H528" s="28" t="n">
        <v>136.81</v>
      </c>
      <c r="I528" s="28" t="n">
        <v>0</v>
      </c>
      <c r="J528" s="94" t="inlineStr">
        <is>
          <t>False</t>
        </is>
      </c>
      <c r="K528" s="28" t="n">
        <v>0</v>
      </c>
      <c r="L528" s="25" t="inlineStr">
        <is>
          <t>LIQUEURS AND CORDIALS</t>
        </is>
      </c>
      <c r="M528" s="25" t="inlineStr">
        <is>
          <t>SAZERAC COMPANY</t>
        </is>
      </c>
      <c r="N528" s="25" t="inlineStr">
        <is>
          <t>040010-SOUTHERN GLAZERS WINE AND SPIRITS OF MISSISSIPPI LLC</t>
        </is>
      </c>
      <c r="O528" s="25" t="n"/>
      <c r="P528" s="25" t="inlineStr">
        <is>
          <t>10088004020429</t>
        </is>
      </c>
      <c r="Q528" s="25" t="inlineStr">
        <is>
          <t>0088004144739</t>
        </is>
      </c>
      <c r="R528" s="78" t="n">
        <v>42370</v>
      </c>
    </row>
    <row r="529">
      <c r="A529" t="inlineStr">
        <is>
          <t>or item code =</t>
        </is>
      </c>
      <c r="B529" s="25" t="inlineStr">
        <is>
          <t>64904</t>
        </is>
      </c>
      <c r="C529" s="25" t="inlineStr">
        <is>
          <t>FIREBALL CINNAMON WHISKY PET</t>
        </is>
      </c>
      <c r="D529" s="25" t="inlineStr">
        <is>
          <t>1.75L</t>
        </is>
      </c>
      <c r="E529" s="27" t="n">
        <v>433</v>
      </c>
      <c r="F529" s="27" t="n">
        <v>254</v>
      </c>
      <c r="G529" s="27" t="n">
        <v>6</v>
      </c>
      <c r="H529" s="28" t="n">
        <v>129.18</v>
      </c>
      <c r="I529" s="28" t="n">
        <v>0</v>
      </c>
      <c r="J529" s="94" t="inlineStr">
        <is>
          <t>False</t>
        </is>
      </c>
      <c r="K529" s="28" t="n">
        <v>0</v>
      </c>
      <c r="L529" s="25" t="inlineStr">
        <is>
          <t>LIQUEURS AND CORDIALS</t>
        </is>
      </c>
      <c r="M529" s="25" t="inlineStr">
        <is>
          <t>SAZERAC COMPANY</t>
        </is>
      </c>
      <c r="N529" s="25" t="inlineStr">
        <is>
          <t>040010-SOUTHERN GLAZERS WINE AND SPIRITS OF MISSISSIPPI LLC</t>
        </is>
      </c>
      <c r="O529" s="25" t="n"/>
      <c r="P529" s="25" t="inlineStr">
        <is>
          <t>10088004026179</t>
        </is>
      </c>
      <c r="Q529" s="25" t="inlineStr">
        <is>
          <t>088004026172</t>
        </is>
      </c>
      <c r="R529" s="78" t="n">
        <v>43770</v>
      </c>
    </row>
    <row r="530">
      <c r="A530" t="inlineStr">
        <is>
          <t>or item code =</t>
        </is>
      </c>
      <c r="B530" s="25" t="inlineStr">
        <is>
          <t>466271</t>
        </is>
      </c>
      <c r="C530" s="25" t="inlineStr">
        <is>
          <t>FLIP FLOP CABERNET SAUVIGNON</t>
        </is>
      </c>
      <c r="D530" s="25" t="inlineStr">
        <is>
          <t>1.5L</t>
        </is>
      </c>
      <c r="E530" s="27" t="n">
        <v>64</v>
      </c>
      <c r="F530" s="27" t="n">
        <v>35</v>
      </c>
      <c r="G530" s="27" t="n">
        <v>6</v>
      </c>
      <c r="H530" s="28" t="n">
        <v>40.75</v>
      </c>
      <c r="I530" s="28" t="n">
        <v>0</v>
      </c>
      <c r="J530" s="94" t="inlineStr">
        <is>
          <t>False</t>
        </is>
      </c>
      <c r="K530" s="28" t="n">
        <v>0</v>
      </c>
      <c r="L530" s="25" t="inlineStr">
        <is>
          <t>CABERNET SAUVIGNON</t>
        </is>
      </c>
      <c r="M530" s="25" t="inlineStr">
        <is>
          <t>THE WINE GROUP LTD</t>
        </is>
      </c>
      <c r="N530" s="25" t="inlineStr">
        <is>
          <t>040003-RNDC-VINTAGE</t>
        </is>
      </c>
      <c r="O530" s="25" t="n"/>
      <c r="P530" s="25" t="inlineStr">
        <is>
          <t>10081308002221</t>
        </is>
      </c>
      <c r="Q530" s="25" t="inlineStr">
        <is>
          <t>081308002224</t>
        </is>
      </c>
      <c r="R530" s="78" t="n">
        <v>43664</v>
      </c>
    </row>
    <row r="531">
      <c r="A531" t="inlineStr">
        <is>
          <t>or item code =</t>
        </is>
      </c>
      <c r="B531" s="25" t="inlineStr">
        <is>
          <t>565371</t>
        </is>
      </c>
      <c r="C531" s="25" t="inlineStr">
        <is>
          <t>FLIP FLOP CHARDONNAY</t>
        </is>
      </c>
      <c r="D531" s="25" t="inlineStr">
        <is>
          <t>1.5L</t>
        </is>
      </c>
      <c r="E531" s="27" t="n">
        <v>209</v>
      </c>
      <c r="F531" s="27" t="n">
        <v>44</v>
      </c>
      <c r="G531" s="27" t="n">
        <v>6</v>
      </c>
      <c r="H531" s="28" t="n">
        <v>40.75</v>
      </c>
      <c r="I531" s="28" t="n">
        <v>0</v>
      </c>
      <c r="J531" s="94" t="inlineStr">
        <is>
          <t>False</t>
        </is>
      </c>
      <c r="K531" s="28" t="n">
        <v>0</v>
      </c>
      <c r="L531" s="25" t="inlineStr">
        <is>
          <t>CHARDONNAY</t>
        </is>
      </c>
      <c r="M531" s="25" t="inlineStr">
        <is>
          <t>THE WINE GROUP LTD</t>
        </is>
      </c>
      <c r="N531" s="25" t="inlineStr">
        <is>
          <t>040003-RNDC-VINTAGE</t>
        </is>
      </c>
      <c r="O531" s="25" t="n"/>
      <c r="P531" s="25" t="inlineStr">
        <is>
          <t>10081308002238</t>
        </is>
      </c>
      <c r="Q531" s="25" t="inlineStr">
        <is>
          <t>081308002231</t>
        </is>
      </c>
      <c r="R531" s="78" t="n">
        <v>43664</v>
      </c>
    </row>
    <row r="532">
      <c r="A532" t="inlineStr">
        <is>
          <t>or item code =</t>
        </is>
      </c>
      <c r="B532" s="25" t="inlineStr">
        <is>
          <t>565377</t>
        </is>
      </c>
      <c r="C532" s="25" t="inlineStr">
        <is>
          <t>FLIP FLOP MOSCATO</t>
        </is>
      </c>
      <c r="D532" s="25" t="inlineStr">
        <is>
          <t>1.5L</t>
        </is>
      </c>
      <c r="E532" s="27" t="n">
        <v>1</v>
      </c>
      <c r="F532" s="27" t="n">
        <v>7</v>
      </c>
      <c r="G532" s="27" t="n">
        <v>6</v>
      </c>
      <c r="H532" s="28" t="n">
        <v>40.75</v>
      </c>
      <c r="I532" s="28" t="n">
        <v>0</v>
      </c>
      <c r="J532" s="94" t="inlineStr">
        <is>
          <t>False</t>
        </is>
      </c>
      <c r="K532" s="28" t="n">
        <v>0</v>
      </c>
      <c r="L532" s="25" t="inlineStr">
        <is>
          <t>MOSCATO WHITE</t>
        </is>
      </c>
      <c r="M532" s="25" t="inlineStr">
        <is>
          <t>THE WINE GROUP LTD</t>
        </is>
      </c>
      <c r="N532" s="25" t="inlineStr">
        <is>
          <t>040003-RNDC-VINTAGE</t>
        </is>
      </c>
      <c r="O532" s="25" t="n"/>
      <c r="P532" s="25" t="inlineStr">
        <is>
          <t>10081308002245</t>
        </is>
      </c>
      <c r="Q532" s="25" t="inlineStr">
        <is>
          <t>081308002248</t>
        </is>
      </c>
      <c r="R532" s="78" t="n">
        <v>42370</v>
      </c>
    </row>
    <row r="533">
      <c r="A533" t="inlineStr">
        <is>
          <t>or item code =</t>
        </is>
      </c>
      <c r="B533" s="25" t="inlineStr">
        <is>
          <t>424389</t>
        </is>
      </c>
      <c r="C533" s="25" t="inlineStr">
        <is>
          <t>FLYBIRD BAJA LIME MARGARITA</t>
        </is>
      </c>
      <c r="D533" s="25" t="inlineStr">
        <is>
          <t>750ml</t>
        </is>
      </c>
      <c r="E533" s="27" t="n">
        <v>0</v>
      </c>
      <c r="F533" s="27" t="n">
        <v>3</v>
      </c>
      <c r="G533" s="27" t="n">
        <v>12</v>
      </c>
      <c r="H533" s="28" t="n">
        <v>144.51</v>
      </c>
      <c r="I533" s="28" t="n">
        <v>0</v>
      </c>
      <c r="J533" s="94" t="inlineStr">
        <is>
          <t>False</t>
        </is>
      </c>
      <c r="K533" s="28" t="n">
        <v>0</v>
      </c>
      <c r="L533" s="25" t="inlineStr">
        <is>
          <t>DESSERT WINES - OTHER</t>
        </is>
      </c>
      <c r="M533" s="25" t="inlineStr">
        <is>
          <t>MADVINES &amp; SPIRITS A BEAUMAD &amp; MAGNOLIA BARREL HOUSE COMPANY</t>
        </is>
      </c>
      <c r="N533" s="25" t="inlineStr">
        <is>
          <t>094032-MADVINES &amp; SPIRITS A BEAUMAD &amp; MAGNOLIA BARREL HOUSE COMPANY</t>
        </is>
      </c>
      <c r="O533" s="25" t="n"/>
      <c r="P533" s="25" t="inlineStr">
        <is>
          <t>10833302008002</t>
        </is>
      </c>
      <c r="Q533" s="25" t="inlineStr">
        <is>
          <t>833302008005</t>
        </is>
      </c>
      <c r="R533" s="78" t="n">
        <v>44105</v>
      </c>
    </row>
    <row r="534">
      <c r="A534" t="inlineStr">
        <is>
          <t>or item code =</t>
        </is>
      </c>
      <c r="B534" s="25" t="inlineStr">
        <is>
          <t>410936</t>
        </is>
      </c>
      <c r="C534" s="25" t="inlineStr">
        <is>
          <t>FLYBIRD STRAWBERRY MARGARITA RTD WINE</t>
        </is>
      </c>
      <c r="D534" s="25" t="inlineStr">
        <is>
          <t>750ml</t>
        </is>
      </c>
      <c r="E534" s="27" t="n">
        <v>0</v>
      </c>
      <c r="F534" s="27" t="n">
        <v>1</v>
      </c>
      <c r="G534" s="27" t="n">
        <v>12</v>
      </c>
      <c r="H534" s="28" t="n">
        <v>144.51</v>
      </c>
      <c r="I534" s="28" t="n">
        <v>0</v>
      </c>
      <c r="J534" s="94" t="inlineStr">
        <is>
          <t>False</t>
        </is>
      </c>
      <c r="K534" s="28" t="n">
        <v>0</v>
      </c>
      <c r="L534" s="25" t="inlineStr">
        <is>
          <t>DESSERT WINES - OTHER</t>
        </is>
      </c>
      <c r="M534" s="25" t="inlineStr">
        <is>
          <t>MADVINES &amp; SPIRITS A BEAUMAD &amp; MAGNOLIA BARREL HOUSE COMPANY</t>
        </is>
      </c>
      <c r="N534" s="25" t="inlineStr">
        <is>
          <t>094032-MADVINES &amp; SPIRITS A BEAUMAD &amp; MAGNOLIA BARREL HOUSE COMPANY</t>
        </is>
      </c>
      <c r="O534" s="25" t="n"/>
      <c r="P534" s="25" t="inlineStr">
        <is>
          <t>10833302008019</t>
        </is>
      </c>
      <c r="Q534" s="25" t="inlineStr">
        <is>
          <t>833302008012</t>
        </is>
      </c>
      <c r="R534" s="78" t="n">
        <v>44105</v>
      </c>
    </row>
    <row r="535">
      <c r="A535" t="inlineStr">
        <is>
          <t>or item code =</t>
        </is>
      </c>
      <c r="B535" s="25" t="inlineStr">
        <is>
          <t>90298</t>
        </is>
      </c>
      <c r="C535" s="25" t="inlineStr">
        <is>
          <t>FONSECA BIN #27 PORT</t>
        </is>
      </c>
      <c r="D535" s="25" t="inlineStr">
        <is>
          <t>750ml</t>
        </is>
      </c>
      <c r="E535" s="27" t="n">
        <v>28</v>
      </c>
      <c r="F535" s="27" t="n">
        <v>17</v>
      </c>
      <c r="G535" s="27" t="n">
        <v>12</v>
      </c>
      <c r="H535" s="28" t="n">
        <v>166.24</v>
      </c>
      <c r="I535" s="28" t="n">
        <v>18.11</v>
      </c>
      <c r="J535" s="94" t="inlineStr">
        <is>
          <t>False</t>
        </is>
      </c>
      <c r="K535" s="28" t="n">
        <v>0</v>
      </c>
      <c r="L535" s="25" t="inlineStr">
        <is>
          <t>DESSERT - PORT</t>
        </is>
      </c>
      <c r="M535" s="25" t="inlineStr">
        <is>
          <t>KOBRAND CORP</t>
        </is>
      </c>
      <c r="N535" s="25" t="inlineStr">
        <is>
          <t>040003-RNDC-VINTAGE</t>
        </is>
      </c>
      <c r="O535" s="25" t="n"/>
      <c r="P535" s="25" t="inlineStr">
        <is>
          <t>05013521000133</t>
        </is>
      </c>
      <c r="Q535" s="25" t="inlineStr">
        <is>
          <t>0084692303649</t>
        </is>
      </c>
      <c r="R535" s="78" t="n">
        <v>42370</v>
      </c>
    </row>
    <row r="536">
      <c r="A536" t="inlineStr">
        <is>
          <t>or item code =</t>
        </is>
      </c>
      <c r="B536" s="25" t="inlineStr">
        <is>
          <t>18351</t>
        </is>
      </c>
      <c r="C536" s="25" t="inlineStr">
        <is>
          <t>FOUR ROSES KENTUCKY STRAIGHT BOURBON</t>
        </is>
      </c>
      <c r="D536" s="25" t="inlineStr">
        <is>
          <t>1.75L</t>
        </is>
      </c>
      <c r="E536" s="27" t="n">
        <v>0</v>
      </c>
      <c r="F536" s="27" t="n">
        <v>262</v>
      </c>
      <c r="G536" s="27" t="n">
        <v>6</v>
      </c>
      <c r="H536" s="28" t="n">
        <v>191.41</v>
      </c>
      <c r="I536" s="28" t="n">
        <v>0</v>
      </c>
      <c r="J536" s="94" t="inlineStr">
        <is>
          <t>False</t>
        </is>
      </c>
      <c r="K536" s="28" t="n">
        <v>0</v>
      </c>
      <c r="L536" s="25" t="inlineStr">
        <is>
          <t>WHISKEY - STR BOURBON</t>
        </is>
      </c>
      <c r="M536" s="25" t="inlineStr">
        <is>
          <t>FOUR ROSES DISTILLER, LLC</t>
        </is>
      </c>
      <c r="N536" s="25" t="inlineStr">
        <is>
          <t>040002-RNDC-MAGNOLIA</t>
        </is>
      </c>
      <c r="O536" s="25" t="n"/>
      <c r="P536" s="25" t="inlineStr">
        <is>
          <t>00040063400423</t>
        </is>
      </c>
      <c r="Q536" s="25" t="inlineStr">
        <is>
          <t>0040063400430</t>
        </is>
      </c>
      <c r="R536" s="78" t="n">
        <v>42370</v>
      </c>
    </row>
    <row r="537">
      <c r="A537" t="inlineStr">
        <is>
          <t>or item code =</t>
        </is>
      </c>
      <c r="B537" s="25" t="inlineStr">
        <is>
          <t>18352</t>
        </is>
      </c>
      <c r="C537" s="25" t="inlineStr">
        <is>
          <t>FOUR ROSES KENTUCKY STRAIGHT BOURBON</t>
        </is>
      </c>
      <c r="D537" s="25" t="inlineStr">
        <is>
          <t>750ml</t>
        </is>
      </c>
      <c r="E537" s="27" t="n">
        <v>0</v>
      </c>
      <c r="F537" s="27" t="n">
        <v>351</v>
      </c>
      <c r="G537" s="27" t="n">
        <v>12</v>
      </c>
      <c r="H537" s="28" t="n">
        <v>214.38</v>
      </c>
      <c r="I537" s="28" t="n">
        <v>0</v>
      </c>
      <c r="J537" s="94" t="inlineStr">
        <is>
          <t>False</t>
        </is>
      </c>
      <c r="K537" s="28" t="n">
        <v>0</v>
      </c>
      <c r="L537" s="25" t="inlineStr">
        <is>
          <t>WHISKEY - STR BOURBON</t>
        </is>
      </c>
      <c r="M537" s="25" t="inlineStr">
        <is>
          <t>FOUR ROSES DISTILLER, LLC</t>
        </is>
      </c>
      <c r="N537" s="25" t="inlineStr">
        <is>
          <t>040002-RNDC-MAGNOLIA</t>
        </is>
      </c>
      <c r="O537" s="25" t="n"/>
      <c r="P537" s="25" t="inlineStr">
        <is>
          <t>00040063000081</t>
        </is>
      </c>
      <c r="Q537" s="25" t="inlineStr">
        <is>
          <t>0040063400409</t>
        </is>
      </c>
      <c r="R537" s="78" t="n">
        <v>42370</v>
      </c>
    </row>
    <row r="538">
      <c r="A538" t="inlineStr">
        <is>
          <t>or item code =</t>
        </is>
      </c>
      <c r="B538" s="25" t="inlineStr">
        <is>
          <t>18348</t>
        </is>
      </c>
      <c r="C538" s="25" t="inlineStr">
        <is>
          <t>FOUR ROSES SMALL BATCH KENTUCKY BOURBON</t>
        </is>
      </c>
      <c r="D538" s="25" t="inlineStr">
        <is>
          <t>750ml</t>
        </is>
      </c>
      <c r="E538" s="27" t="n">
        <v>0</v>
      </c>
      <c r="F538" s="27" t="n">
        <v>249</v>
      </c>
      <c r="G538" s="27" t="n">
        <v>6</v>
      </c>
      <c r="H538" s="28" t="n">
        <v>159.11</v>
      </c>
      <c r="I538" s="28" t="n">
        <v>0</v>
      </c>
      <c r="J538" s="94" t="inlineStr">
        <is>
          <t>False</t>
        </is>
      </c>
      <c r="K538" s="28" t="n">
        <v>0</v>
      </c>
      <c r="L538" s="25" t="inlineStr">
        <is>
          <t>WHISKEY - STR BOURBON</t>
        </is>
      </c>
      <c r="M538" s="25" t="inlineStr">
        <is>
          <t>FOUR ROSES DISTILLER, LLC</t>
        </is>
      </c>
      <c r="N538" s="25" t="inlineStr">
        <is>
          <t>040002-RNDC-MAGNOLIA</t>
        </is>
      </c>
      <c r="O538" s="25" t="n"/>
      <c r="P538" s="25" t="inlineStr">
        <is>
          <t>00040063400300</t>
        </is>
      </c>
      <c r="Q538" s="25" t="inlineStr">
        <is>
          <t>0040063400317</t>
        </is>
      </c>
      <c r="R538" s="78" t="n">
        <v>42370</v>
      </c>
    </row>
    <row r="539">
      <c r="A539" t="inlineStr">
        <is>
          <t>or item code =</t>
        </is>
      </c>
      <c r="B539" s="25" t="inlineStr">
        <is>
          <t>18376</t>
        </is>
      </c>
      <c r="C539" s="25" t="inlineStr">
        <is>
          <t>FOUR ROSES SMALL BATCH SELECT BOURBON</t>
        </is>
      </c>
      <c r="D539" s="25" t="inlineStr">
        <is>
          <t>750ml</t>
        </is>
      </c>
      <c r="E539" s="27" t="n">
        <v>0</v>
      </c>
      <c r="F539" s="27" t="n">
        <v>2</v>
      </c>
      <c r="G539" s="27" t="n">
        <v>6</v>
      </c>
      <c r="H539" s="28" t="n">
        <v>278.12</v>
      </c>
      <c r="I539" s="28" t="n">
        <v>0</v>
      </c>
      <c r="J539" s="94" t="inlineStr">
        <is>
          <t>False</t>
        </is>
      </c>
      <c r="K539" s="28" t="n">
        <v>0</v>
      </c>
      <c r="L539" s="25" t="inlineStr">
        <is>
          <t>WHISKEY - STR BOURBON</t>
        </is>
      </c>
      <c r="M539" s="25" t="inlineStr">
        <is>
          <t>FOUR ROSES DISTILLER, LLC</t>
        </is>
      </c>
      <c r="N539" s="25" t="inlineStr">
        <is>
          <t>040002-RNDC-MAGNOLIA</t>
        </is>
      </c>
      <c r="O539" s="25" t="n"/>
      <c r="P539" s="25" t="inlineStr">
        <is>
          <t>10040232288330</t>
        </is>
      </c>
      <c r="Q539" s="25" t="inlineStr">
        <is>
          <t>040232288333</t>
        </is>
      </c>
      <c r="R539" s="78" t="n">
        <v>44652</v>
      </c>
    </row>
    <row r="540">
      <c r="A540" t="inlineStr">
        <is>
          <t>or item code =</t>
        </is>
      </c>
      <c r="B540" s="25" t="inlineStr">
        <is>
          <t>886300</t>
        </is>
      </c>
      <c r="C540" s="25" t="inlineStr">
        <is>
          <t>FRANZIA FRUITY RED SANGRIA</t>
        </is>
      </c>
      <c r="D540" s="25" t="inlineStr">
        <is>
          <t>5L</t>
        </is>
      </c>
      <c r="E540" s="27" t="n">
        <v>0</v>
      </c>
      <c r="F540" s="27" t="n">
        <v>112</v>
      </c>
      <c r="G540" s="27" t="n">
        <v>4</v>
      </c>
      <c r="H540" s="28" t="n">
        <v>51.25</v>
      </c>
      <c r="I540" s="28" t="n">
        <v>0</v>
      </c>
      <c r="J540" s="94" t="inlineStr">
        <is>
          <t>False</t>
        </is>
      </c>
      <c r="K540" s="28" t="n">
        <v>0</v>
      </c>
      <c r="L540" s="25" t="inlineStr">
        <is>
          <t>SANGRIA</t>
        </is>
      </c>
      <c r="M540" s="25" t="inlineStr">
        <is>
          <t>THE WINE GROUP LTD</t>
        </is>
      </c>
      <c r="N540" s="25" t="inlineStr">
        <is>
          <t>040003-RNDC-VINTAGE</t>
        </is>
      </c>
      <c r="O540" s="25" t="n"/>
      <c r="P540" s="25" t="n"/>
      <c r="Q540" s="25" t="inlineStr">
        <is>
          <t>083120103295</t>
        </is>
      </c>
      <c r="R540" s="78" t="n">
        <v>42279</v>
      </c>
    </row>
    <row r="541">
      <c r="A541" t="inlineStr">
        <is>
          <t>or item code =</t>
        </is>
      </c>
      <c r="B541" s="25" t="inlineStr">
        <is>
          <t>467800</t>
        </is>
      </c>
      <c r="C541" s="25" t="inlineStr">
        <is>
          <t>FRANZIA HOUSE WINE FAV CHILLABLE RED</t>
        </is>
      </c>
      <c r="D541" s="25" t="inlineStr">
        <is>
          <t>5L</t>
        </is>
      </c>
      <c r="E541" s="27" t="n">
        <v>0</v>
      </c>
      <c r="F541" s="27" t="n">
        <v>484</v>
      </c>
      <c r="G541" s="27" t="n">
        <v>4</v>
      </c>
      <c r="H541" s="28" t="n">
        <v>51.25</v>
      </c>
      <c r="I541" s="28" t="n">
        <v>0</v>
      </c>
      <c r="J541" s="94" t="inlineStr">
        <is>
          <t>False</t>
        </is>
      </c>
      <c r="K541" s="28" t="n">
        <v>0</v>
      </c>
      <c r="L541" s="25" t="inlineStr">
        <is>
          <t>RED WINE</t>
        </is>
      </c>
      <c r="M541" s="25" t="inlineStr">
        <is>
          <t>THE WINE GROUP LTD</t>
        </is>
      </c>
      <c r="N541" s="25" t="inlineStr">
        <is>
          <t>040003-RNDC-VINTAGE</t>
        </is>
      </c>
      <c r="O541" s="25" t="n"/>
      <c r="P541" s="25" t="inlineStr">
        <is>
          <t>10083120100697</t>
        </is>
      </c>
      <c r="Q541" s="25" t="inlineStr">
        <is>
          <t>083120100690</t>
        </is>
      </c>
      <c r="R541" s="78" t="n">
        <v>42279</v>
      </c>
    </row>
    <row r="542">
      <c r="A542" t="inlineStr">
        <is>
          <t>or item code =</t>
        </is>
      </c>
      <c r="B542" s="25" t="inlineStr">
        <is>
          <t>654625</t>
        </is>
      </c>
      <c r="C542" s="25" t="inlineStr">
        <is>
          <t>FRANZIA HOUSE WINE FAV SUNSET BLUSH</t>
        </is>
      </c>
      <c r="D542" s="25" t="inlineStr">
        <is>
          <t>5L</t>
        </is>
      </c>
      <c r="E542" s="27" t="n">
        <v>0</v>
      </c>
      <c r="F542" s="27" t="n">
        <v>4</v>
      </c>
      <c r="G542" s="27" t="n">
        <v>4</v>
      </c>
      <c r="H542" s="28" t="n">
        <v>51.25</v>
      </c>
      <c r="I542" s="28" t="n">
        <v>0</v>
      </c>
      <c r="J542" s="94" t="inlineStr">
        <is>
          <t>False</t>
        </is>
      </c>
      <c r="K542" s="28" t="n">
        <v>0</v>
      </c>
      <c r="L542" s="25" t="inlineStr">
        <is>
          <t>ROSE / BLUSH WINE</t>
        </is>
      </c>
      <c r="M542" s="25" t="inlineStr">
        <is>
          <t>THE WINE GROUP LTD</t>
        </is>
      </c>
      <c r="N542" s="25" t="inlineStr">
        <is>
          <t>040003-RNDC-VINTAGE</t>
        </is>
      </c>
      <c r="O542" s="25" t="n"/>
      <c r="P542" s="25" t="inlineStr">
        <is>
          <t>10083120103698</t>
        </is>
      </c>
      <c r="Q542" s="25" t="inlineStr">
        <is>
          <t>083120103691</t>
        </is>
      </c>
      <c r="R542" s="78" t="n">
        <v>42279</v>
      </c>
    </row>
    <row r="543">
      <c r="A543" t="inlineStr">
        <is>
          <t>or item code =</t>
        </is>
      </c>
      <c r="B543" s="25" t="inlineStr">
        <is>
          <t>566575</t>
        </is>
      </c>
      <c r="C543" s="25" t="inlineStr">
        <is>
          <t>FRANZIA PINOT GRIGIO/COLOMBARD</t>
        </is>
      </c>
      <c r="D543" s="25" t="inlineStr">
        <is>
          <t>5L</t>
        </is>
      </c>
      <c r="E543" s="27" t="n">
        <v>0</v>
      </c>
      <c r="F543" s="27" t="n">
        <v>1</v>
      </c>
      <c r="G543" s="27" t="n">
        <v>4</v>
      </c>
      <c r="H543" s="28" t="n">
        <v>62.4</v>
      </c>
      <c r="I543" s="28" t="n">
        <v>0</v>
      </c>
      <c r="J543" s="94" t="inlineStr">
        <is>
          <t>False</t>
        </is>
      </c>
      <c r="K543" s="28" t="n">
        <v>0</v>
      </c>
      <c r="L543" s="25" t="inlineStr">
        <is>
          <t>PINOT GRIS/PINOT GRIGIO</t>
        </is>
      </c>
      <c r="M543" s="25" t="inlineStr">
        <is>
          <t>THE WINE GROUP LTD</t>
        </is>
      </c>
      <c r="N543" s="25" t="inlineStr">
        <is>
          <t>040003-RNDC-VINTAGE</t>
        </is>
      </c>
      <c r="O543" s="25" t="n"/>
      <c r="P543" s="25" t="inlineStr">
        <is>
          <t>10083120100390</t>
        </is>
      </c>
      <c r="Q543" s="25" t="inlineStr">
        <is>
          <t>083120100333</t>
        </is>
      </c>
      <c r="R543" s="78" t="n">
        <v>42600</v>
      </c>
    </row>
    <row r="544">
      <c r="A544" t="inlineStr">
        <is>
          <t>or item code =</t>
        </is>
      </c>
      <c r="B544" s="25" t="inlineStr">
        <is>
          <t>566375</t>
        </is>
      </c>
      <c r="C544" s="25" t="inlineStr">
        <is>
          <t>FRANZIA RHINEFLUR CRISP WHITE BOX</t>
        </is>
      </c>
      <c r="D544" s="25" t="inlineStr">
        <is>
          <t>5L</t>
        </is>
      </c>
      <c r="E544" s="27" t="n">
        <v>0</v>
      </c>
      <c r="F544" s="27" t="n">
        <v>0</v>
      </c>
      <c r="G544" s="27" t="n">
        <v>4</v>
      </c>
      <c r="H544" s="28" t="n">
        <v>51.25</v>
      </c>
      <c r="I544" s="28" t="n">
        <v>0</v>
      </c>
      <c r="J544" s="94" t="inlineStr">
        <is>
          <t>False</t>
        </is>
      </c>
      <c r="K544" s="28" t="n">
        <v>0</v>
      </c>
      <c r="L544" s="25" t="inlineStr">
        <is>
          <t>WHITE WINE</t>
        </is>
      </c>
      <c r="M544" s="25" t="inlineStr">
        <is>
          <t>THE WINE GROUP LTD</t>
        </is>
      </c>
      <c r="N544" s="25" t="inlineStr">
        <is>
          <t>040003-RNDC-VINTAGE</t>
        </is>
      </c>
      <c r="O544" s="25" t="n"/>
      <c r="P544" s="25" t="inlineStr">
        <is>
          <t>10083120102899</t>
        </is>
      </c>
      <c r="Q544" s="25" t="inlineStr">
        <is>
          <t>083120102892</t>
        </is>
      </c>
      <c r="R544" s="78" t="n">
        <v>42370</v>
      </c>
    </row>
    <row r="545">
      <c r="A545" t="inlineStr">
        <is>
          <t>or item code =</t>
        </is>
      </c>
      <c r="B545" s="25" t="inlineStr">
        <is>
          <t>566550</t>
        </is>
      </c>
      <c r="C545" s="25" t="inlineStr">
        <is>
          <t>FRANZIA VINTNER SELECT CHARDONNAY</t>
        </is>
      </c>
      <c r="D545" s="25" t="inlineStr">
        <is>
          <t>3L</t>
        </is>
      </c>
      <c r="E545" s="27" t="n">
        <v>0</v>
      </c>
      <c r="F545" s="27" t="n">
        <v>17</v>
      </c>
      <c r="G545" s="27" t="n">
        <v>6</v>
      </c>
      <c r="H545" s="28" t="n">
        <v>62.2</v>
      </c>
      <c r="I545" s="28" t="n">
        <v>0</v>
      </c>
      <c r="J545" s="94" t="inlineStr">
        <is>
          <t>False</t>
        </is>
      </c>
      <c r="K545" s="28" t="n">
        <v>0</v>
      </c>
      <c r="L545" s="25" t="inlineStr">
        <is>
          <t>CHARDONNAY</t>
        </is>
      </c>
      <c r="M545" s="25" t="inlineStr">
        <is>
          <t>THE WINE GROUP LTD</t>
        </is>
      </c>
      <c r="N545" s="25" t="inlineStr">
        <is>
          <t>040003-RNDC-VINTAGE</t>
        </is>
      </c>
      <c r="O545" s="25" t="n"/>
      <c r="P545" s="25" t="inlineStr">
        <is>
          <t>10083120192012</t>
        </is>
      </c>
      <c r="Q545" s="25" t="inlineStr">
        <is>
          <t>083120192015</t>
        </is>
      </c>
      <c r="R545" s="78" t="n">
        <v>42279</v>
      </c>
    </row>
    <row r="546">
      <c r="A546" t="inlineStr">
        <is>
          <t>or item code =</t>
        </is>
      </c>
      <c r="B546" s="25" t="inlineStr">
        <is>
          <t>566520</t>
        </is>
      </c>
      <c r="C546" s="25" t="inlineStr">
        <is>
          <t>FRANZIA VINTNER SELECT CHARDONNAY</t>
        </is>
      </c>
      <c r="D546" s="25" t="inlineStr">
        <is>
          <t>5L</t>
        </is>
      </c>
      <c r="E546" s="27" t="n">
        <v>0</v>
      </c>
      <c r="F546" s="27" t="n">
        <v>573</v>
      </c>
      <c r="G546" s="27" t="n">
        <v>4</v>
      </c>
      <c r="H546" s="28" t="n">
        <v>62.4</v>
      </c>
      <c r="I546" s="28" t="n">
        <v>0</v>
      </c>
      <c r="J546" s="94" t="inlineStr">
        <is>
          <t>False</t>
        </is>
      </c>
      <c r="K546" s="28" t="n">
        <v>0</v>
      </c>
      <c r="L546" s="25" t="inlineStr">
        <is>
          <t>CHARDONNAY</t>
        </is>
      </c>
      <c r="M546" s="25" t="inlineStr">
        <is>
          <t>THE WINE GROUP LTD</t>
        </is>
      </c>
      <c r="N546" s="25" t="inlineStr">
        <is>
          <t>040003-RNDC-VINTAGE</t>
        </is>
      </c>
      <c r="O546" s="25" t="n"/>
      <c r="P546" s="25" t="inlineStr">
        <is>
          <t>10083120102097</t>
        </is>
      </c>
      <c r="Q546" s="25" t="inlineStr">
        <is>
          <t>083120102090</t>
        </is>
      </c>
      <c r="R546" s="78" t="n">
        <v>42036</v>
      </c>
    </row>
    <row r="547">
      <c r="A547" t="inlineStr">
        <is>
          <t>or item code =</t>
        </is>
      </c>
      <c r="B547" s="25" t="inlineStr">
        <is>
          <t>467655</t>
        </is>
      </c>
      <c r="C547" s="25" t="inlineStr">
        <is>
          <t>FRANZIA VINTNER SELECT MERLOT</t>
        </is>
      </c>
      <c r="D547" s="25" t="inlineStr">
        <is>
          <t>5L</t>
        </is>
      </c>
      <c r="E547" s="27" t="n">
        <v>88</v>
      </c>
      <c r="F547" s="27" t="n">
        <v>238</v>
      </c>
      <c r="G547" s="27" t="n">
        <v>4</v>
      </c>
      <c r="H547" s="28" t="n">
        <v>62.4</v>
      </c>
      <c r="I547" s="28" t="n">
        <v>0</v>
      </c>
      <c r="J547" s="94" t="inlineStr">
        <is>
          <t>False</t>
        </is>
      </c>
      <c r="K547" s="28" t="n">
        <v>0</v>
      </c>
      <c r="L547" s="25" t="inlineStr">
        <is>
          <t>MERLOT</t>
        </is>
      </c>
      <c r="M547" s="25" t="inlineStr">
        <is>
          <t>THE WINE GROUP LTD</t>
        </is>
      </c>
      <c r="N547" s="25" t="inlineStr">
        <is>
          <t>040003-RNDC-VINTAGE</t>
        </is>
      </c>
      <c r="O547" s="25" t="n"/>
      <c r="P547" s="25" t="inlineStr">
        <is>
          <t>10083120100192</t>
        </is>
      </c>
      <c r="Q547" s="25" t="inlineStr">
        <is>
          <t>083120100195</t>
        </is>
      </c>
      <c r="R547" s="78" t="n">
        <v>42370</v>
      </c>
    </row>
    <row r="548">
      <c r="A548" t="inlineStr">
        <is>
          <t>or item code =</t>
        </is>
      </c>
      <c r="B548" s="25" t="inlineStr">
        <is>
          <t>655448</t>
        </is>
      </c>
      <c r="C548" s="25" t="inlineStr">
        <is>
          <t>FRANZIA VINTNER SELECT WH ZINFANDEL</t>
        </is>
      </c>
      <c r="D548" s="25" t="inlineStr">
        <is>
          <t>5L</t>
        </is>
      </c>
      <c r="E548" s="27" t="n">
        <v>495</v>
      </c>
      <c r="F548" s="27" t="n">
        <v>259</v>
      </c>
      <c r="G548" s="27" t="n">
        <v>4</v>
      </c>
      <c r="H548" s="28" t="n">
        <v>62.4</v>
      </c>
      <c r="I548" s="28" t="n">
        <v>0</v>
      </c>
      <c r="J548" s="94" t="inlineStr">
        <is>
          <t>False</t>
        </is>
      </c>
      <c r="K548" s="28" t="n">
        <v>0</v>
      </c>
      <c r="L548" s="25" t="inlineStr">
        <is>
          <t>WHITE ZINFANDEL</t>
        </is>
      </c>
      <c r="M548" s="25" t="inlineStr">
        <is>
          <t>THE WINE GROUP LTD</t>
        </is>
      </c>
      <c r="N548" s="25" t="inlineStr">
        <is>
          <t>040003-RNDC-VINTAGE</t>
        </is>
      </c>
      <c r="O548" s="25" t="n"/>
      <c r="P548" s="25" t="inlineStr">
        <is>
          <t>10083120103193</t>
        </is>
      </c>
      <c r="Q548" s="25" t="inlineStr">
        <is>
          <t>083120103196</t>
        </is>
      </c>
      <c r="R548" s="78" t="n">
        <v>42370</v>
      </c>
    </row>
    <row r="549">
      <c r="A549" t="inlineStr">
        <is>
          <t>or item code =</t>
        </is>
      </c>
      <c r="B549" s="25" t="inlineStr">
        <is>
          <t>364694</t>
        </is>
      </c>
      <c r="C549" s="25" t="inlineStr">
        <is>
          <t>FRATELLI PONTE MOSCATO D'ASTI FIORE DI LOTO</t>
        </is>
      </c>
      <c r="D549" s="25" t="inlineStr">
        <is>
          <t>750ml</t>
        </is>
      </c>
      <c r="E549" s="27" t="n">
        <v>54</v>
      </c>
      <c r="F549" s="27" t="n">
        <v>21</v>
      </c>
      <c r="G549" s="27" t="n">
        <v>12</v>
      </c>
      <c r="H549" s="28" t="n">
        <v>163.59</v>
      </c>
      <c r="I549" s="28" t="n">
        <v>0</v>
      </c>
      <c r="J549" s="94" t="inlineStr">
        <is>
          <t>False</t>
        </is>
      </c>
      <c r="K549" s="28" t="n">
        <v>0</v>
      </c>
      <c r="L549" s="25" t="inlineStr">
        <is>
          <t>MOSCATO WHITE</t>
        </is>
      </c>
      <c r="M549" s="25" t="inlineStr">
        <is>
          <t>VIVINO SELECTIONS, INC</t>
        </is>
      </c>
      <c r="N549" s="25" t="inlineStr">
        <is>
          <t>040005-STEVE TONORE &amp; ASSOCIATES</t>
        </is>
      </c>
      <c r="O549" s="25" t="n"/>
      <c r="P549" s="25" t="n"/>
      <c r="Q549" s="25" t="inlineStr">
        <is>
          <t>8032732750207</t>
        </is>
      </c>
      <c r="R549" s="78" t="n">
        <v>44409</v>
      </c>
    </row>
    <row r="550">
      <c r="A550" t="inlineStr">
        <is>
          <t>or item code =</t>
        </is>
      </c>
      <c r="B550" s="25" t="inlineStr">
        <is>
          <t>467810</t>
        </is>
      </c>
      <c r="C550" s="25" t="inlineStr">
        <is>
          <t>FREAKSHOW CABERNET SAUVIGNON</t>
        </is>
      </c>
      <c r="D550" s="25" t="inlineStr">
        <is>
          <t>750ml</t>
        </is>
      </c>
      <c r="E550" s="27" t="n">
        <v>0</v>
      </c>
      <c r="F550" s="27" t="n">
        <v>5</v>
      </c>
      <c r="G550" s="27" t="n">
        <v>12</v>
      </c>
      <c r="H550" s="28" t="n">
        <v>168.73</v>
      </c>
      <c r="I550" s="28" t="n">
        <v>0</v>
      </c>
      <c r="J550" s="94" t="inlineStr">
        <is>
          <t>False</t>
        </is>
      </c>
      <c r="K550" s="28" t="n">
        <v>0</v>
      </c>
      <c r="L550" s="25" t="inlineStr">
        <is>
          <t>CABERNET SAUVIGNON</t>
        </is>
      </c>
      <c r="M550" s="25" t="inlineStr">
        <is>
          <t>MADVINES &amp; SPIRITS A BEAUMAD &amp; MAGNOLIA BARREL HOUSE COMPANY</t>
        </is>
      </c>
      <c r="N550" s="25" t="inlineStr">
        <is>
          <t>094032-MADVINES &amp; SPIRITS A BEAUMAD &amp; MAGNOLIA BARREL HOUSE COMPANY</t>
        </is>
      </c>
      <c r="O550" s="25" t="n"/>
      <c r="P550" s="25" t="inlineStr">
        <is>
          <t>10652935100330</t>
        </is>
      </c>
      <c r="Q550" s="25" t="inlineStr">
        <is>
          <t>0652935100333</t>
        </is>
      </c>
      <c r="R550" s="78" t="n">
        <v>42370</v>
      </c>
    </row>
    <row r="551">
      <c r="A551" t="inlineStr">
        <is>
          <t>or item code =</t>
        </is>
      </c>
      <c r="B551" s="25" t="inlineStr">
        <is>
          <t>467812</t>
        </is>
      </c>
      <c r="C551" s="25" t="inlineStr">
        <is>
          <t>FREAKSHOW RED</t>
        </is>
      </c>
      <c r="D551" s="25" t="inlineStr">
        <is>
          <t>750ml</t>
        </is>
      </c>
      <c r="E551" s="27" t="n">
        <v>4</v>
      </c>
      <c r="F551" s="27" t="n">
        <v>33</v>
      </c>
      <c r="G551" s="27" t="n">
        <v>12</v>
      </c>
      <c r="H551" s="28" t="n">
        <v>168.73</v>
      </c>
      <c r="I551" s="28" t="n">
        <v>0</v>
      </c>
      <c r="J551" s="94" t="inlineStr">
        <is>
          <t>False</t>
        </is>
      </c>
      <c r="K551" s="28" t="n">
        <v>0</v>
      </c>
      <c r="L551" s="25" t="inlineStr">
        <is>
          <t>RED WINE</t>
        </is>
      </c>
      <c r="M551" s="25" t="inlineStr">
        <is>
          <t>MADVINES &amp; SPIRITS A BEAUMAD &amp; MAGNOLIA BARREL HOUSE COMPANY</t>
        </is>
      </c>
      <c r="N551" s="25" t="inlineStr">
        <is>
          <t>094032-MADVINES &amp; SPIRITS A BEAUMAD &amp; MAGNOLIA BARREL HOUSE COMPANY</t>
        </is>
      </c>
      <c r="O551" s="25" t="n"/>
      <c r="P551" s="25" t="inlineStr">
        <is>
          <t>10652935100439</t>
        </is>
      </c>
      <c r="Q551" s="25" t="inlineStr">
        <is>
          <t>0652935100432</t>
        </is>
      </c>
      <c r="R551" s="78" t="n">
        <v>42997</v>
      </c>
    </row>
    <row r="552">
      <c r="A552" t="inlineStr">
        <is>
          <t>or item code =</t>
        </is>
      </c>
      <c r="B552" s="25" t="inlineStr">
        <is>
          <t>727277</t>
        </is>
      </c>
      <c r="C552" s="25" t="inlineStr">
        <is>
          <t>FREIXENET PROSECCO ROSE</t>
        </is>
      </c>
      <c r="D552" s="25" t="inlineStr">
        <is>
          <t>750ml</t>
        </is>
      </c>
      <c r="E552" s="27" t="n">
        <v>31</v>
      </c>
      <c r="F552" s="27" t="n">
        <v>29</v>
      </c>
      <c r="G552" s="27" t="n">
        <v>12</v>
      </c>
      <c r="H552" s="28" t="n">
        <v>131.84</v>
      </c>
      <c r="I552" s="28" t="n">
        <v>23.99</v>
      </c>
      <c r="J552" s="94" t="inlineStr">
        <is>
          <t>False</t>
        </is>
      </c>
      <c r="K552" s="28" t="n">
        <v>0</v>
      </c>
      <c r="L552" s="25" t="inlineStr">
        <is>
          <t>SPRKLNG, CHMPGNE, ETC.</t>
        </is>
      </c>
      <c r="M552" s="25" t="inlineStr">
        <is>
          <t>FREIXENET MIONETTO USA</t>
        </is>
      </c>
      <c r="N552" s="25" t="inlineStr">
        <is>
          <t>040010-SOUTHERN GLAZERS WINE AND SPIRITS OF MISSISSIPPI LLC</t>
        </is>
      </c>
      <c r="O552" s="25" t="n"/>
      <c r="P552" s="25" t="inlineStr">
        <is>
          <t>10033293005749</t>
        </is>
      </c>
      <c r="Q552" s="25" t="inlineStr">
        <is>
          <t>033293005742</t>
        </is>
      </c>
      <c r="R552" s="78" t="n">
        <v>43665</v>
      </c>
    </row>
    <row r="553">
      <c r="A553" t="inlineStr">
        <is>
          <t>or item code =</t>
        </is>
      </c>
      <c r="B553" s="25" t="inlineStr">
        <is>
          <t>34368</t>
        </is>
      </c>
      <c r="C553" s="25" t="inlineStr">
        <is>
          <t>FRIS 80 SKANDIA VODKA DENMARK</t>
        </is>
      </c>
      <c r="D553" s="25" t="inlineStr">
        <is>
          <t>1.75L</t>
        </is>
      </c>
      <c r="E553" s="27" t="n">
        <v>489</v>
      </c>
      <c r="F553" s="27" t="n">
        <v>215</v>
      </c>
      <c r="G553" s="27" t="n">
        <v>6</v>
      </c>
      <c r="H553" s="28" t="n">
        <v>87.63</v>
      </c>
      <c r="I553" s="28" t="n">
        <v>0</v>
      </c>
      <c r="J553" s="94" t="inlineStr">
        <is>
          <t>False</t>
        </is>
      </c>
      <c r="K553" s="28" t="n">
        <v>0</v>
      </c>
      <c r="L553" s="25" t="inlineStr">
        <is>
          <t>VODKA</t>
        </is>
      </c>
      <c r="M553" s="25" t="inlineStr">
        <is>
          <t>SAZERAC COMPANY</t>
        </is>
      </c>
      <c r="N553" s="25" t="inlineStr">
        <is>
          <t>040010-SOUTHERN GLAZERS WINE AND SPIRITS OF MISSISSIPPI LLC</t>
        </is>
      </c>
      <c r="O553" s="25" t="n"/>
      <c r="P553" s="25" t="inlineStr">
        <is>
          <t>10088004026148</t>
        </is>
      </c>
      <c r="Q553" s="25" t="inlineStr">
        <is>
          <t>0088004026141</t>
        </is>
      </c>
      <c r="R553" s="78" t="n">
        <v>42677</v>
      </c>
    </row>
    <row r="554">
      <c r="A554" t="inlineStr">
        <is>
          <t>or item code =</t>
        </is>
      </c>
      <c r="B554" s="25" t="inlineStr">
        <is>
          <t>571060</t>
        </is>
      </c>
      <c r="C554" s="25" t="inlineStr">
        <is>
          <t>GALLO FAMILY VINEYARDS SAUVIGNON BLANC</t>
        </is>
      </c>
      <c r="D554" s="25" t="inlineStr">
        <is>
          <t>1.5L</t>
        </is>
      </c>
      <c r="E554" s="27" t="n">
        <v>47</v>
      </c>
      <c r="F554" s="27" t="n">
        <v>18</v>
      </c>
      <c r="G554" s="27" t="n">
        <v>6</v>
      </c>
      <c r="H554" s="28" t="n">
        <v>47.1</v>
      </c>
      <c r="I554" s="28" t="n">
        <v>0</v>
      </c>
      <c r="J554" s="94" t="inlineStr">
        <is>
          <t>False</t>
        </is>
      </c>
      <c r="K554" s="28" t="n">
        <v>0</v>
      </c>
      <c r="L554" s="25" t="inlineStr">
        <is>
          <t>SAUVIGNON BLNC/FUME BLNC</t>
        </is>
      </c>
      <c r="M554" s="25" t="inlineStr">
        <is>
          <t>E &amp; J GALLO WINERY</t>
        </is>
      </c>
      <c r="N554" s="25" t="inlineStr">
        <is>
          <t>040012-GALLO WINES OF MISSISSIPPI</t>
        </is>
      </c>
      <c r="O554" s="25" t="n"/>
      <c r="P554" s="25" t="inlineStr">
        <is>
          <t>20085000005877</t>
        </is>
      </c>
      <c r="Q554" s="25" t="inlineStr">
        <is>
          <t>0085000005873</t>
        </is>
      </c>
      <c r="R554" s="78" t="n">
        <v>42370</v>
      </c>
    </row>
    <row r="555">
      <c r="A555" t="inlineStr">
        <is>
          <t>or item code =</t>
        </is>
      </c>
      <c r="B555" s="25" t="inlineStr">
        <is>
          <t>48016</t>
        </is>
      </c>
      <c r="C555" s="25" t="inlineStr">
        <is>
          <t>GAUTIER COGNAC V S</t>
        </is>
      </c>
      <c r="D555" s="25" t="inlineStr">
        <is>
          <t>750ml</t>
        </is>
      </c>
      <c r="E555" s="27" t="n">
        <v>104</v>
      </c>
      <c r="F555" s="27" t="n">
        <v>4</v>
      </c>
      <c r="G555" s="27" t="n">
        <v>12</v>
      </c>
      <c r="H555" s="28" t="n">
        <v>266.58</v>
      </c>
      <c r="I555" s="28" t="n">
        <v>0</v>
      </c>
      <c r="J555" s="94" t="inlineStr">
        <is>
          <t>False</t>
        </is>
      </c>
      <c r="K555" s="28" t="n">
        <v>0</v>
      </c>
      <c r="L555" s="25" t="inlineStr">
        <is>
          <t>COGNAC, ARMAGNAC</t>
        </is>
      </c>
      <c r="M555" s="25" t="inlineStr">
        <is>
          <t>SAZERAC COMPANY</t>
        </is>
      </c>
      <c r="N555" s="25" t="inlineStr">
        <is>
          <t>040002-RNDC-MAGNOLIA</t>
        </is>
      </c>
      <c r="O555" s="25" t="n"/>
      <c r="P555" s="25" t="inlineStr">
        <is>
          <t>10685701251233</t>
        </is>
      </c>
      <c r="Q555" s="25" t="inlineStr">
        <is>
          <t>685701242678</t>
        </is>
      </c>
      <c r="R555" s="78" t="n">
        <v>44287</v>
      </c>
    </row>
    <row r="556">
      <c r="A556" t="inlineStr">
        <is>
          <t>or item code =</t>
        </is>
      </c>
      <c r="B556" s="25" t="inlineStr">
        <is>
          <t>97064</t>
        </is>
      </c>
      <c r="C556" s="25" t="inlineStr">
        <is>
          <t>GEKKEIKAN SAKE</t>
        </is>
      </c>
      <c r="D556" s="25" t="inlineStr">
        <is>
          <t>750ml</t>
        </is>
      </c>
      <c r="E556" s="27" t="n">
        <v>372</v>
      </c>
      <c r="F556" s="27" t="n">
        <v>53</v>
      </c>
      <c r="G556" s="27" t="n">
        <v>12</v>
      </c>
      <c r="H556" s="28" t="n">
        <v>56.65</v>
      </c>
      <c r="I556" s="28" t="n">
        <v>12</v>
      </c>
      <c r="J556" s="94" t="inlineStr">
        <is>
          <t>False</t>
        </is>
      </c>
      <c r="K556" s="28" t="n">
        <v>0</v>
      </c>
      <c r="L556" s="25" t="inlineStr">
        <is>
          <t>SAKE</t>
        </is>
      </c>
      <c r="M556" s="25" t="inlineStr">
        <is>
          <t>SHAW-ROSS INTERNATIONAL IMPORT</t>
        </is>
      </c>
      <c r="N556" s="25" t="inlineStr">
        <is>
          <t>040010-SOUTHERN GLAZERS WINE AND SPIRITS OF MISSISSIPPI LLC</t>
        </is>
      </c>
      <c r="O556" s="25" t="n"/>
      <c r="P556" s="25" t="inlineStr">
        <is>
          <t>10722817199126</t>
        </is>
      </c>
      <c r="Q556" s="25" t="inlineStr">
        <is>
          <t>0728817199129</t>
        </is>
      </c>
      <c r="R556" s="78" t="n">
        <v>42370</v>
      </c>
    </row>
    <row r="557">
      <c r="A557" t="inlineStr">
        <is>
          <t>or item code =</t>
        </is>
      </c>
      <c r="B557" s="25" t="inlineStr">
        <is>
          <t>26581</t>
        </is>
      </c>
      <c r="C557" s="25" t="inlineStr">
        <is>
          <t>GENTLEMAN JACK</t>
        </is>
      </c>
      <c r="D557" s="25" t="inlineStr">
        <is>
          <t>50ml</t>
        </is>
      </c>
      <c r="E557" s="27" t="n">
        <v>0</v>
      </c>
      <c r="F557" s="27" t="n">
        <v>0</v>
      </c>
      <c r="G557" s="27" t="n">
        <v>120</v>
      </c>
      <c r="H557" s="28" t="n">
        <v>185.43</v>
      </c>
      <c r="I557" s="28" t="n">
        <v>0</v>
      </c>
      <c r="J557" s="94" t="inlineStr">
        <is>
          <t>False</t>
        </is>
      </c>
      <c r="K557" s="28" t="n">
        <v>0</v>
      </c>
      <c r="L557" s="25" t="inlineStr">
        <is>
          <t>WHISKEY - TENNESSEE</t>
        </is>
      </c>
      <c r="M557" s="25" t="inlineStr">
        <is>
          <t>BROWN FORMAN CORP</t>
        </is>
      </c>
      <c r="N557" s="25" t="inlineStr">
        <is>
          <t>045041-UNITED JOHNSON BROTHERS OF MS</t>
        </is>
      </c>
      <c r="O557" s="25" t="n"/>
      <c r="P557" s="25" t="inlineStr">
        <is>
          <t>10082184101732</t>
        </is>
      </c>
      <c r="Q557" s="25" t="inlineStr">
        <is>
          <t>082184138700</t>
        </is>
      </c>
      <c r="R557" s="78" t="n">
        <v>42923</v>
      </c>
    </row>
    <row r="558">
      <c r="A558" t="inlineStr">
        <is>
          <t>or item code =</t>
        </is>
      </c>
      <c r="B558" s="25" t="inlineStr">
        <is>
          <t>26586</t>
        </is>
      </c>
      <c r="C558" s="25" t="inlineStr">
        <is>
          <t>GENTLEMAN JACK</t>
        </is>
      </c>
      <c r="D558" s="25" t="inlineStr">
        <is>
          <t>750ml</t>
        </is>
      </c>
      <c r="E558" s="27" t="n">
        <v>0</v>
      </c>
      <c r="F558" s="27" t="n">
        <v>173</v>
      </c>
      <c r="G558" s="27" t="n">
        <v>12</v>
      </c>
      <c r="H558" s="28" t="n">
        <v>280.56</v>
      </c>
      <c r="I558" s="28" t="n">
        <v>0</v>
      </c>
      <c r="J558" s="94" t="inlineStr">
        <is>
          <t>False</t>
        </is>
      </c>
      <c r="K558" s="28" t="n">
        <v>0</v>
      </c>
      <c r="L558" s="25" t="inlineStr">
        <is>
          <t>WHISKEY - TENNESSEE</t>
        </is>
      </c>
      <c r="M558" s="25" t="inlineStr">
        <is>
          <t>BROWN FORMAN CORP</t>
        </is>
      </c>
      <c r="N558" s="25" t="inlineStr">
        <is>
          <t>045041-UNITED JOHNSON BROTHERS OF MS</t>
        </is>
      </c>
      <c r="O558" s="25" t="n"/>
      <c r="P558" s="25" t="inlineStr">
        <is>
          <t>10082184038724</t>
        </is>
      </c>
      <c r="Q558" s="25" t="inlineStr">
        <is>
          <t>0082184038727</t>
        </is>
      </c>
      <c r="R558" s="78" t="n">
        <v>44501</v>
      </c>
    </row>
    <row r="559">
      <c r="A559" t="inlineStr">
        <is>
          <t>or item code =</t>
        </is>
      </c>
      <c r="B559" s="25" t="inlineStr">
        <is>
          <t>26582</t>
        </is>
      </c>
      <c r="C559" s="25" t="inlineStr">
        <is>
          <t>GENTLEMAN JACK</t>
        </is>
      </c>
      <c r="D559" s="25" t="inlineStr">
        <is>
          <t>1L</t>
        </is>
      </c>
      <c r="E559" s="27" t="n">
        <v>344</v>
      </c>
      <c r="F559" s="27" t="n">
        <v>107</v>
      </c>
      <c r="G559" s="27" t="n">
        <v>6</v>
      </c>
      <c r="H559" s="28" t="n">
        <v>170.19</v>
      </c>
      <c r="I559" s="28" t="n">
        <v>0</v>
      </c>
      <c r="J559" s="94" t="inlineStr">
        <is>
          <t>False</t>
        </is>
      </c>
      <c r="K559" s="28" t="n">
        <v>0</v>
      </c>
      <c r="L559" s="25" t="inlineStr">
        <is>
          <t>WHISKEY - TENNESSEE</t>
        </is>
      </c>
      <c r="M559" s="25" t="inlineStr">
        <is>
          <t>BROWN FORMAN CORP</t>
        </is>
      </c>
      <c r="N559" s="25" t="inlineStr">
        <is>
          <t>045041-UNITED JOHNSON BROTHERS OF MS</t>
        </is>
      </c>
      <c r="O559" s="25" t="n"/>
      <c r="P559" s="25" t="inlineStr">
        <is>
          <t>10082184100568</t>
        </is>
      </c>
      <c r="Q559" s="25" t="inlineStr">
        <is>
          <t>0082184038734</t>
        </is>
      </c>
      <c r="R559" s="78" t="n">
        <v>42370</v>
      </c>
    </row>
    <row r="560">
      <c r="A560" t="inlineStr">
        <is>
          <t>or item code =</t>
        </is>
      </c>
      <c r="B560" s="25" t="inlineStr">
        <is>
          <t>26583</t>
        </is>
      </c>
      <c r="C560" s="25" t="inlineStr">
        <is>
          <t>GENTLEMAN JACK</t>
        </is>
      </c>
      <c r="D560" s="25" t="inlineStr">
        <is>
          <t>200ml</t>
        </is>
      </c>
      <c r="E560" s="27" t="n">
        <v>0</v>
      </c>
      <c r="F560" s="27" t="n">
        <v>67</v>
      </c>
      <c r="G560" s="27" t="n">
        <v>24</v>
      </c>
      <c r="H560" s="28" t="n">
        <v>144.63</v>
      </c>
      <c r="I560" s="28" t="n">
        <v>0</v>
      </c>
      <c r="J560" s="94" t="inlineStr">
        <is>
          <t>False</t>
        </is>
      </c>
      <c r="K560" s="28" t="n">
        <v>0</v>
      </c>
      <c r="L560" s="25" t="inlineStr">
        <is>
          <t>WHISKEY - TENNESSEE</t>
        </is>
      </c>
      <c r="M560" s="25" t="inlineStr">
        <is>
          <t>BROWN FORMAN CORP</t>
        </is>
      </c>
      <c r="N560" s="25" t="inlineStr">
        <is>
          <t>045041-UNITED JOHNSON BROTHERS OF MS</t>
        </is>
      </c>
      <c r="O560" s="25" t="n"/>
      <c r="P560" s="25" t="inlineStr">
        <is>
          <t>10082184135010</t>
        </is>
      </c>
      <c r="Q560" s="25" t="inlineStr">
        <is>
          <t>0082184035016</t>
        </is>
      </c>
      <c r="R560" s="78" t="n">
        <v>44501</v>
      </c>
    </row>
    <row r="561">
      <c r="A561" t="inlineStr">
        <is>
          <t>or item code =</t>
        </is>
      </c>
      <c r="B561" s="25" t="inlineStr">
        <is>
          <t>26585</t>
        </is>
      </c>
      <c r="C561" s="25" t="inlineStr">
        <is>
          <t>GENTLEMAN JACK</t>
        </is>
      </c>
      <c r="D561" s="25" t="inlineStr">
        <is>
          <t>375ml</t>
        </is>
      </c>
      <c r="E561" s="27" t="n">
        <v>0</v>
      </c>
      <c r="F561" s="27" t="n">
        <v>11</v>
      </c>
      <c r="G561" s="27" t="n">
        <v>12</v>
      </c>
      <c r="H561" s="28" t="n">
        <v>130.74</v>
      </c>
      <c r="I561" s="28" t="n">
        <v>0</v>
      </c>
      <c r="J561" s="94" t="inlineStr">
        <is>
          <t>False</t>
        </is>
      </c>
      <c r="K561" s="28" t="n">
        <v>0</v>
      </c>
      <c r="L561" s="25" t="inlineStr">
        <is>
          <t>WHISKEY - TENNESSEE</t>
        </is>
      </c>
      <c r="M561" s="25" t="inlineStr">
        <is>
          <t>BROWN FORMAN CORP</t>
        </is>
      </c>
      <c r="N561" s="25" t="inlineStr">
        <is>
          <t>045041-UNITED JOHNSON BROTHERS OF MS</t>
        </is>
      </c>
      <c r="O561" s="25" t="n"/>
      <c r="P561" s="25" t="inlineStr">
        <is>
          <t>10082184038717</t>
        </is>
      </c>
      <c r="Q561" s="25" t="inlineStr">
        <is>
          <t>0082184038710</t>
        </is>
      </c>
      <c r="R561" s="78" t="n">
        <v>42370</v>
      </c>
    </row>
    <row r="562">
      <c r="A562" t="inlineStr">
        <is>
          <t>or item code =</t>
        </is>
      </c>
      <c r="B562" s="25" t="inlineStr">
        <is>
          <t>26589</t>
        </is>
      </c>
      <c r="C562" s="25" t="inlineStr">
        <is>
          <t>GENTLEMAN JACK</t>
        </is>
      </c>
      <c r="D562" s="25" t="inlineStr">
        <is>
          <t>1.75L</t>
        </is>
      </c>
      <c r="E562" s="27" t="n">
        <v>69</v>
      </c>
      <c r="F562" s="27" t="n">
        <v>178</v>
      </c>
      <c r="G562" s="27" t="n">
        <v>6</v>
      </c>
      <c r="H562" s="28" t="n">
        <v>268.61</v>
      </c>
      <c r="I562" s="28" t="n">
        <v>0</v>
      </c>
      <c r="J562" s="94" t="inlineStr">
        <is>
          <t>False</t>
        </is>
      </c>
      <c r="K562" s="28" t="n">
        <v>0</v>
      </c>
      <c r="L562" s="25" t="inlineStr">
        <is>
          <t>WHISKEY - TENNESSEE</t>
        </is>
      </c>
      <c r="M562" s="25" t="inlineStr">
        <is>
          <t>BROWN FORMAN CORP</t>
        </is>
      </c>
      <c r="N562" s="25" t="inlineStr">
        <is>
          <t>045041-UNITED JOHNSON BROTHERS OF MS</t>
        </is>
      </c>
      <c r="O562" s="25" t="n"/>
      <c r="P562" s="25" t="inlineStr">
        <is>
          <t>10082184038748</t>
        </is>
      </c>
      <c r="Q562" s="25" t="inlineStr">
        <is>
          <t>0082184038741</t>
        </is>
      </c>
      <c r="R562" s="78" t="n">
        <v>44501</v>
      </c>
    </row>
    <row r="563">
      <c r="A563" t="inlineStr">
        <is>
          <t>or item code =</t>
        </is>
      </c>
      <c r="B563" s="25" t="inlineStr">
        <is>
          <t>27326</t>
        </is>
      </c>
      <c r="C563" s="25" t="inlineStr">
        <is>
          <t>GEORGIA MOON FRUIT JAR</t>
        </is>
      </c>
      <c r="D563" s="25" t="inlineStr">
        <is>
          <t>750ml</t>
        </is>
      </c>
      <c r="E563" s="27" t="n">
        <v>23</v>
      </c>
      <c r="F563" s="27" t="n">
        <v>21</v>
      </c>
      <c r="G563" s="27" t="n">
        <v>12</v>
      </c>
      <c r="H563" s="28" t="n">
        <v>119.94</v>
      </c>
      <c r="I563" s="28" t="n">
        <v>0</v>
      </c>
      <c r="J563" s="94" t="inlineStr">
        <is>
          <t>False</t>
        </is>
      </c>
      <c r="K563" s="28" t="n">
        <v>0</v>
      </c>
      <c r="L563" s="25" t="inlineStr">
        <is>
          <t>WHISKEY - CORN</t>
        </is>
      </c>
      <c r="M563" s="25" t="inlineStr">
        <is>
          <t>HEAVEN HILL BRANDS</t>
        </is>
      </c>
      <c r="N563" s="25" t="inlineStr">
        <is>
          <t>040010-SOUTHERN GLAZERS WINE AND SPIRITS OF MISSISSIPPI LLC</t>
        </is>
      </c>
      <c r="O563" s="25" t="n"/>
      <c r="P563" s="25" t="inlineStr">
        <is>
          <t>10096749011558</t>
        </is>
      </c>
      <c r="Q563" s="25" t="inlineStr">
        <is>
          <t>00096749011551</t>
        </is>
      </c>
      <c r="R563" s="78" t="n">
        <v>42370</v>
      </c>
    </row>
    <row r="564">
      <c r="A564" t="inlineStr">
        <is>
          <t>or item code =</t>
        </is>
      </c>
      <c r="B564" s="25" t="inlineStr">
        <is>
          <t>27503</t>
        </is>
      </c>
      <c r="C564" s="25" t="inlineStr">
        <is>
          <t>GEORGIA MOON IT'S PEACH (CORN WHISKEY)</t>
        </is>
      </c>
      <c r="D564" s="25" t="inlineStr">
        <is>
          <t>750ml</t>
        </is>
      </c>
      <c r="E564" s="27" t="n">
        <v>2</v>
      </c>
      <c r="F564" s="27" t="n">
        <v>3</v>
      </c>
      <c r="G564" s="27" t="n">
        <v>12</v>
      </c>
      <c r="H564" s="28" t="n">
        <v>119.94</v>
      </c>
      <c r="I564" s="28" t="n">
        <v>0</v>
      </c>
      <c r="J564" s="94" t="inlineStr">
        <is>
          <t>False</t>
        </is>
      </c>
      <c r="K564" s="28" t="n">
        <v>0</v>
      </c>
      <c r="L564" s="25" t="inlineStr">
        <is>
          <t>WHISKEY - CORN</t>
        </is>
      </c>
      <c r="M564" s="25" t="inlineStr">
        <is>
          <t>HEAVEN HILL BRANDS</t>
        </is>
      </c>
      <c r="N564" s="25" t="inlineStr">
        <is>
          <t>040010-SOUTHERN GLAZERS WINE AND SPIRITS OF MISSISSIPPI LLC</t>
        </is>
      </c>
      <c r="O564" s="25" t="n"/>
      <c r="P564" s="25" t="inlineStr">
        <is>
          <t>10096479011466</t>
        </is>
      </c>
      <c r="Q564" s="25" t="inlineStr">
        <is>
          <t>096749011469</t>
        </is>
      </c>
      <c r="R564" s="78" t="n">
        <v>42370</v>
      </c>
    </row>
    <row r="565">
      <c r="A565" t="inlineStr">
        <is>
          <t>or item code =</t>
        </is>
      </c>
      <c r="B565" s="25" t="inlineStr">
        <is>
          <t>5006</t>
        </is>
      </c>
      <c r="C565" s="25" t="inlineStr">
        <is>
          <t>GLENFIDDICH 12 YEAR SCOTCH</t>
        </is>
      </c>
      <c r="D565" s="25" t="inlineStr">
        <is>
          <t>750ml</t>
        </is>
      </c>
      <c r="E565" s="27" t="n">
        <v>17</v>
      </c>
      <c r="F565" s="27" t="n">
        <v>21</v>
      </c>
      <c r="G565" s="27" t="n">
        <v>12</v>
      </c>
      <c r="H565" s="28" t="n">
        <v>553.75</v>
      </c>
      <c r="I565" s="28" t="n">
        <v>0</v>
      </c>
      <c r="J565" s="94" t="inlineStr">
        <is>
          <t>False</t>
        </is>
      </c>
      <c r="K565" s="28" t="n">
        <v>0</v>
      </c>
      <c r="L565" s="25" t="inlineStr">
        <is>
          <t>WHISKY - SCOTCH</t>
        </is>
      </c>
      <c r="M565" s="25" t="inlineStr">
        <is>
          <t>WILLIAM GRANT &amp; SONS</t>
        </is>
      </c>
      <c r="N565" s="25" t="inlineStr">
        <is>
          <t>040002-RNDC-MAGNOLIA</t>
        </is>
      </c>
      <c r="O565" s="25" t="n"/>
      <c r="P565" s="25" t="inlineStr">
        <is>
          <t>10083664107367</t>
        </is>
      </c>
      <c r="Q565" s="25" t="inlineStr">
        <is>
          <t>0083664107360</t>
        </is>
      </c>
      <c r="R565" s="78" t="n">
        <v>42370</v>
      </c>
    </row>
    <row r="566">
      <c r="A566" t="inlineStr">
        <is>
          <t>or item code =</t>
        </is>
      </c>
      <c r="B566" s="25" t="inlineStr">
        <is>
          <t>5008</t>
        </is>
      </c>
      <c r="C566" s="25" t="inlineStr">
        <is>
          <t>GLENFIDDICH 12 YEAR SCOTCH</t>
        </is>
      </c>
      <c r="D566" s="25" t="inlineStr">
        <is>
          <t>1.75L</t>
        </is>
      </c>
      <c r="E566" s="27" t="n">
        <v>37</v>
      </c>
      <c r="F566" s="27" t="n">
        <v>3</v>
      </c>
      <c r="G566" s="27" t="n">
        <v>6</v>
      </c>
      <c r="H566" s="28" t="n">
        <v>530.7</v>
      </c>
      <c r="I566" s="28" t="n">
        <v>0</v>
      </c>
      <c r="J566" s="94" t="inlineStr">
        <is>
          <t>False</t>
        </is>
      </c>
      <c r="K566" s="28" t="n">
        <v>0</v>
      </c>
      <c r="L566" s="25" t="inlineStr">
        <is>
          <t>WHISKY - SCOTCH</t>
        </is>
      </c>
      <c r="M566" s="25" t="inlineStr">
        <is>
          <t>WILLIAM GRANT &amp; SONS</t>
        </is>
      </c>
      <c r="N566" s="25" t="inlineStr">
        <is>
          <t>040002-RNDC-MAGNOLIA</t>
        </is>
      </c>
      <c r="O566" s="25" t="n"/>
      <c r="P566" s="25" t="inlineStr">
        <is>
          <t>10083664107305</t>
        </is>
      </c>
      <c r="Q566" s="25" t="inlineStr">
        <is>
          <t>0083664107308</t>
        </is>
      </c>
      <c r="R566" s="78" t="n">
        <v>42370</v>
      </c>
    </row>
    <row r="567">
      <c r="A567" t="inlineStr">
        <is>
          <t>or item code =</t>
        </is>
      </c>
      <c r="B567" s="25" t="inlineStr">
        <is>
          <t>5159</t>
        </is>
      </c>
      <c r="C567" s="25" t="inlineStr">
        <is>
          <t>GLENFIDDICH 14Y BARREL RS IN NEW OAK BRL</t>
        </is>
      </c>
      <c r="D567" s="25" t="inlineStr">
        <is>
          <t>750ml</t>
        </is>
      </c>
      <c r="E567" s="27" t="n">
        <v>1</v>
      </c>
      <c r="F567" s="27" t="n">
        <v>4</v>
      </c>
      <c r="G567" s="27" t="n">
        <v>6</v>
      </c>
      <c r="H567" s="28" t="n">
        <v>346.1</v>
      </c>
      <c r="I567" s="28" t="n">
        <v>0</v>
      </c>
      <c r="J567" s="94" t="inlineStr">
        <is>
          <t>False</t>
        </is>
      </c>
      <c r="K567" s="28" t="n">
        <v>0</v>
      </c>
      <c r="L567" s="25" t="inlineStr">
        <is>
          <t>WHISKY - SCOTCH</t>
        </is>
      </c>
      <c r="M567" s="25" t="inlineStr">
        <is>
          <t>WILLIAM GRANT &amp; SONS</t>
        </is>
      </c>
      <c r="N567" s="25" t="inlineStr">
        <is>
          <t>040002-RNDC-MAGNOLIA</t>
        </is>
      </c>
      <c r="O567" s="25" t="n"/>
      <c r="P567" s="25" t="inlineStr">
        <is>
          <t>10083664873460</t>
        </is>
      </c>
      <c r="Q567" s="25" t="inlineStr">
        <is>
          <t>0083664873463</t>
        </is>
      </c>
      <c r="R567" s="78" t="n">
        <v>42538</v>
      </c>
    </row>
    <row r="568">
      <c r="A568" t="inlineStr">
        <is>
          <t>or item code =</t>
        </is>
      </c>
      <c r="B568" s="25" t="inlineStr">
        <is>
          <t>5157</t>
        </is>
      </c>
      <c r="C568" s="25" t="inlineStr">
        <is>
          <t>GLENFIDDICH ANCIENT RESERVE 18 YR SINGLE MALT</t>
        </is>
      </c>
      <c r="D568" s="25" t="inlineStr">
        <is>
          <t>750ml</t>
        </is>
      </c>
      <c r="E568" s="27" t="n">
        <v>0</v>
      </c>
      <c r="F568" s="27" t="n">
        <v>0</v>
      </c>
      <c r="G568" s="27" t="n">
        <v>6</v>
      </c>
      <c r="H568" s="28" t="n">
        <v>692.26</v>
      </c>
      <c r="I568" s="28" t="n">
        <v>0</v>
      </c>
      <c r="J568" s="94" t="inlineStr">
        <is>
          <t>False</t>
        </is>
      </c>
      <c r="K568" s="28" t="n">
        <v>0</v>
      </c>
      <c r="L568" s="25" t="inlineStr">
        <is>
          <t>WHISKY - SCOTCH</t>
        </is>
      </c>
      <c r="M568" s="25" t="inlineStr">
        <is>
          <t>WILLIAM GRANT &amp; SONS</t>
        </is>
      </c>
      <c r="N568" s="25" t="inlineStr">
        <is>
          <t>040002-RNDC-MAGNOLIA</t>
        </is>
      </c>
      <c r="O568" s="25" t="n"/>
      <c r="P568" s="25" t="inlineStr">
        <is>
          <t>20083664990416</t>
        </is>
      </c>
      <c r="Q568" s="25" t="inlineStr">
        <is>
          <t>0083664990412</t>
        </is>
      </c>
      <c r="R568" s="78" t="n">
        <v>42370</v>
      </c>
    </row>
    <row r="569">
      <c r="A569" t="inlineStr">
        <is>
          <t>or item code =</t>
        </is>
      </c>
      <c r="B569" s="25" t="inlineStr">
        <is>
          <t>5014</t>
        </is>
      </c>
      <c r="C569" s="25" t="inlineStr">
        <is>
          <t>GLENFIDDICH SOLERA RESERVE SINGLE MALT</t>
        </is>
      </c>
      <c r="D569" s="25" t="inlineStr">
        <is>
          <t>750ml</t>
        </is>
      </c>
      <c r="E569" s="27" t="n">
        <v>13</v>
      </c>
      <c r="F569" s="27" t="n">
        <v>4</v>
      </c>
      <c r="G569" s="27" t="n">
        <v>12</v>
      </c>
      <c r="H569" s="28" t="n">
        <v>830.6900000000001</v>
      </c>
      <c r="I569" s="28" t="n">
        <v>0</v>
      </c>
      <c r="J569" s="94" t="inlineStr">
        <is>
          <t>False</t>
        </is>
      </c>
      <c r="K569" s="28" t="n">
        <v>0</v>
      </c>
      <c r="L569" s="25" t="inlineStr">
        <is>
          <t>WHISKY - SCOTCH</t>
        </is>
      </c>
      <c r="M569" s="25" t="inlineStr">
        <is>
          <t>WILLIAM GRANT &amp; SONS</t>
        </is>
      </c>
      <c r="N569" s="25" t="inlineStr">
        <is>
          <t>040002-RNDC-MAGNOLIA</t>
        </is>
      </c>
      <c r="O569" s="25" t="n"/>
      <c r="P569" s="25" t="inlineStr">
        <is>
          <t>10083664990402</t>
        </is>
      </c>
      <c r="Q569" s="25" t="inlineStr">
        <is>
          <t>083664990405</t>
        </is>
      </c>
      <c r="R569" s="78" t="n">
        <v>42370</v>
      </c>
    </row>
    <row r="570">
      <c r="A570" t="inlineStr">
        <is>
          <t>or item code =</t>
        </is>
      </c>
      <c r="B570" s="25" t="inlineStr">
        <is>
          <t>5038</t>
        </is>
      </c>
      <c r="C570" s="25" t="inlineStr">
        <is>
          <t>GLENLIVET</t>
        </is>
      </c>
      <c r="D570" s="25" t="inlineStr">
        <is>
          <t>1.75L</t>
        </is>
      </c>
      <c r="E570" s="27" t="n">
        <v>0</v>
      </c>
      <c r="F570" s="27" t="n">
        <v>5</v>
      </c>
      <c r="G570" s="27" t="n">
        <v>6</v>
      </c>
      <c r="H570" s="28" t="n">
        <v>489.4</v>
      </c>
      <c r="I570" s="28" t="n">
        <v>0</v>
      </c>
      <c r="J570" s="94" t="inlineStr">
        <is>
          <t>False</t>
        </is>
      </c>
      <c r="K570" s="28" t="n">
        <v>0</v>
      </c>
      <c r="L570" s="25" t="inlineStr">
        <is>
          <t>WHISKY - SCOTCH</t>
        </is>
      </c>
      <c r="M570" s="25" t="inlineStr">
        <is>
          <t>PERNOD RICARD USA LLC</t>
        </is>
      </c>
      <c r="N570" s="25" t="inlineStr">
        <is>
          <t>040010-SOUTHERN GLAZERS WINE AND SPIRITS OF MISSISSIPPI LLC</t>
        </is>
      </c>
      <c r="O570" s="25" t="n"/>
      <c r="P570" s="25" t="inlineStr">
        <is>
          <t>10080432400729</t>
        </is>
      </c>
      <c r="Q570" s="25" t="inlineStr">
        <is>
          <t>0080432400722</t>
        </is>
      </c>
      <c r="R570" s="78" t="n">
        <v>42279</v>
      </c>
    </row>
    <row r="571">
      <c r="A571" t="inlineStr">
        <is>
          <t>or item code =</t>
        </is>
      </c>
      <c r="B571" s="25" t="inlineStr">
        <is>
          <t>5036</t>
        </is>
      </c>
      <c r="C571" s="25" t="inlineStr">
        <is>
          <t>GLENLIVET 12 YR. SINGLE MALT</t>
        </is>
      </c>
      <c r="D571" s="25" t="inlineStr">
        <is>
          <t>750ml</t>
        </is>
      </c>
      <c r="E571" s="27" t="n">
        <v>41</v>
      </c>
      <c r="F571" s="27" t="n">
        <v>54</v>
      </c>
      <c r="G571" s="27" t="n">
        <v>12</v>
      </c>
      <c r="H571" s="28" t="n">
        <v>535.53</v>
      </c>
      <c r="I571" s="28" t="n">
        <v>0</v>
      </c>
      <c r="J571" s="94" t="inlineStr">
        <is>
          <t>False</t>
        </is>
      </c>
      <c r="K571" s="28" t="n">
        <v>0</v>
      </c>
      <c r="L571" s="25" t="inlineStr">
        <is>
          <t>WHISKY - SCOTCH</t>
        </is>
      </c>
      <c r="M571" s="25" t="inlineStr">
        <is>
          <t>PERNOD RICARD USA LLC</t>
        </is>
      </c>
      <c r="N571" s="25" t="inlineStr">
        <is>
          <t>040010-SOUTHERN GLAZERS WINE AND SPIRITS OF MISSISSIPPI LLC</t>
        </is>
      </c>
      <c r="O571" s="25" t="n"/>
      <c r="P571" s="25" t="inlineStr">
        <is>
          <t>10080432400637</t>
        </is>
      </c>
      <c r="Q571" s="25" t="inlineStr">
        <is>
          <t>0080432400630</t>
        </is>
      </c>
      <c r="R571" s="78" t="n">
        <v>42370</v>
      </c>
    </row>
    <row r="572">
      <c r="A572" t="inlineStr">
        <is>
          <t>or item code =</t>
        </is>
      </c>
      <c r="B572" s="25" t="inlineStr">
        <is>
          <t>5061</t>
        </is>
      </c>
      <c r="C572" s="25" t="inlineStr">
        <is>
          <t>GLENLIVET 15YR FRENCH OAK RSV</t>
        </is>
      </c>
      <c r="D572" s="25" t="inlineStr">
        <is>
          <t>750ml</t>
        </is>
      </c>
      <c r="E572" s="27" t="n">
        <v>0</v>
      </c>
      <c r="F572" s="27" t="n">
        <v>2</v>
      </c>
      <c r="G572" s="27" t="n">
        <v>6</v>
      </c>
      <c r="H572" s="28" t="n">
        <v>371.43</v>
      </c>
      <c r="I572" s="28" t="n">
        <v>0</v>
      </c>
      <c r="J572" s="94" t="inlineStr">
        <is>
          <t>False</t>
        </is>
      </c>
      <c r="K572" s="28" t="n">
        <v>0</v>
      </c>
      <c r="L572" s="25" t="inlineStr">
        <is>
          <t>WHISKY - SCOTCH</t>
        </is>
      </c>
      <c r="M572" s="25" t="inlineStr">
        <is>
          <t>PERNOD RICARD USA LLC</t>
        </is>
      </c>
      <c r="N572" s="25" t="inlineStr">
        <is>
          <t>040010-SOUTHERN GLAZERS WINE AND SPIRITS OF MISSISSIPPI LLC</t>
        </is>
      </c>
      <c r="O572" s="25" t="n"/>
      <c r="P572" s="25" t="inlineStr">
        <is>
          <t>10080432100780</t>
        </is>
      </c>
      <c r="Q572" s="25" t="inlineStr">
        <is>
          <t>0080432100783</t>
        </is>
      </c>
      <c r="R572" s="78" t="n">
        <v>42370</v>
      </c>
    </row>
    <row r="573">
      <c r="A573" t="inlineStr">
        <is>
          <t>or item code =</t>
        </is>
      </c>
      <c r="B573" s="25" t="inlineStr">
        <is>
          <t>5103</t>
        </is>
      </c>
      <c r="C573" s="25" t="inlineStr">
        <is>
          <t>GLENMORANGIE LASANTA SCOTCH</t>
        </is>
      </c>
      <c r="D573" s="25" t="inlineStr">
        <is>
          <t>750ml</t>
        </is>
      </c>
      <c r="E573" s="27" t="n">
        <v>130</v>
      </c>
      <c r="F573" s="27" t="n">
        <v>14</v>
      </c>
      <c r="G573" s="27" t="n">
        <v>6</v>
      </c>
      <c r="H573" s="28" t="n">
        <v>236.54</v>
      </c>
      <c r="I573" s="28" t="n">
        <v>30.08</v>
      </c>
      <c r="J573" s="94" t="inlineStr">
        <is>
          <t>False</t>
        </is>
      </c>
      <c r="K573" s="28" t="n">
        <v>0</v>
      </c>
      <c r="L573" s="25" t="inlineStr">
        <is>
          <t>WHISKY - SCOTCH</t>
        </is>
      </c>
      <c r="M573" s="25" t="inlineStr">
        <is>
          <t>MOET HENNESSY USA</t>
        </is>
      </c>
      <c r="N573" s="25" t="inlineStr">
        <is>
          <t>040010-SOUTHERN GLAZERS WINE AND SPIRITS OF MISSISSIPPI LLC</t>
        </is>
      </c>
      <c r="O573" s="25" t="n"/>
      <c r="P573" s="25" t="inlineStr">
        <is>
          <t>10081753816954</t>
        </is>
      </c>
      <c r="Q573" s="25" t="inlineStr">
        <is>
          <t>0081753810863</t>
        </is>
      </c>
      <c r="R573" s="78" t="n">
        <v>42370</v>
      </c>
    </row>
    <row r="574">
      <c r="A574" t="inlineStr">
        <is>
          <t>or item code =</t>
        </is>
      </c>
      <c r="B574" s="25" t="inlineStr">
        <is>
          <t>5105</t>
        </is>
      </c>
      <c r="C574" s="25" t="inlineStr">
        <is>
          <t>GLENMORANGIE QUINTA RUBAN SCOTCH</t>
        </is>
      </c>
      <c r="D574" s="25" t="inlineStr">
        <is>
          <t>750ml</t>
        </is>
      </c>
      <c r="E574" s="27" t="n">
        <v>81</v>
      </c>
      <c r="F574" s="27" t="n">
        <v>8</v>
      </c>
      <c r="G574" s="27" t="n">
        <v>6</v>
      </c>
      <c r="H574" s="28" t="n">
        <v>276.53</v>
      </c>
      <c r="I574" s="28" t="n">
        <v>30.09</v>
      </c>
      <c r="J574" s="94" t="inlineStr">
        <is>
          <t>False</t>
        </is>
      </c>
      <c r="K574" s="28" t="n">
        <v>0</v>
      </c>
      <c r="L574" s="25" t="inlineStr">
        <is>
          <t>WHISKY - SCOTCH</t>
        </is>
      </c>
      <c r="M574" s="25" t="inlineStr">
        <is>
          <t>MOET HENNESSY USA</t>
        </is>
      </c>
      <c r="N574" s="25" t="inlineStr">
        <is>
          <t>040010-SOUTHERN GLAZERS WINE AND SPIRITS OF MISSISSIPPI LLC</t>
        </is>
      </c>
      <c r="O574" s="25" t="n"/>
      <c r="P574" s="25" t="inlineStr">
        <is>
          <t>10081753816930</t>
        </is>
      </c>
      <c r="Q574" s="25" t="inlineStr">
        <is>
          <t>0081753810870</t>
        </is>
      </c>
      <c r="R574" s="78" t="n">
        <v>42370</v>
      </c>
    </row>
    <row r="575">
      <c r="A575" t="inlineStr">
        <is>
          <t>or item code =</t>
        </is>
      </c>
      <c r="B575" s="25" t="inlineStr">
        <is>
          <t>5133</t>
        </is>
      </c>
      <c r="C575" s="25" t="inlineStr">
        <is>
          <t>GLENMORANGIE SINGLE MALT 10 YEAR</t>
        </is>
      </c>
      <c r="D575" s="25" t="inlineStr">
        <is>
          <t>750ml</t>
        </is>
      </c>
      <c r="E575" s="27" t="n">
        <v>94</v>
      </c>
      <c r="F575" s="27" t="n">
        <v>29</v>
      </c>
      <c r="G575" s="27" t="n">
        <v>6</v>
      </c>
      <c r="H575" s="28" t="n">
        <v>208.84</v>
      </c>
      <c r="I575" s="28" t="n">
        <v>0</v>
      </c>
      <c r="J575" s="94" t="inlineStr">
        <is>
          <t>False</t>
        </is>
      </c>
      <c r="K575" s="28" t="n">
        <v>0</v>
      </c>
      <c r="L575" s="25" t="inlineStr">
        <is>
          <t>WHISKY - SCOTCH</t>
        </is>
      </c>
      <c r="M575" s="25" t="inlineStr">
        <is>
          <t>MOET HENNESSY USA</t>
        </is>
      </c>
      <c r="N575" s="25" t="inlineStr">
        <is>
          <t>040010-SOUTHERN GLAZERS WINE AND SPIRITS OF MISSISSIPPI LLC</t>
        </is>
      </c>
      <c r="O575" s="25" t="n"/>
      <c r="P575" s="25" t="inlineStr">
        <is>
          <t>10081753810815</t>
        </is>
      </c>
      <c r="Q575" s="25" t="inlineStr">
        <is>
          <t>0081753810818</t>
        </is>
      </c>
      <c r="R575" s="78" t="n">
        <v>42370</v>
      </c>
    </row>
    <row r="576">
      <c r="A576" t="inlineStr">
        <is>
          <t>or item code =</t>
        </is>
      </c>
      <c r="B576" s="25" t="inlineStr">
        <is>
          <t>74086</t>
        </is>
      </c>
      <c r="C576" s="25" t="inlineStr">
        <is>
          <t>GODIVA CHOCOLATE LIQUEUR</t>
        </is>
      </c>
      <c r="D576" s="25" t="inlineStr">
        <is>
          <t>750ml</t>
        </is>
      </c>
      <c r="E576" s="27" t="n">
        <v>0</v>
      </c>
      <c r="F576" s="27" t="n">
        <v>1</v>
      </c>
      <c r="G576" s="27" t="n">
        <v>12</v>
      </c>
      <c r="H576" s="28" t="n">
        <v>283.23</v>
      </c>
      <c r="I576" s="28" t="n">
        <v>0</v>
      </c>
      <c r="J576" s="94" t="inlineStr">
        <is>
          <t>False</t>
        </is>
      </c>
      <c r="K576" s="28" t="n">
        <v>0</v>
      </c>
      <c r="L576" s="25" t="inlineStr">
        <is>
          <t>LIQUEURS AND CORDIALS</t>
        </is>
      </c>
      <c r="M576" s="25" t="inlineStr">
        <is>
          <t>DIAGEO AMERICAS INC</t>
        </is>
      </c>
      <c r="N576" s="25" t="inlineStr">
        <is>
          <t>040010-SOUTHERN GLAZERS WINE AND SPIRITS OF MISSISSIPPI LLC</t>
        </is>
      </c>
      <c r="O576" s="25" t="n"/>
      <c r="P576" s="25" t="inlineStr">
        <is>
          <t>00082000735892</t>
        </is>
      </c>
      <c r="Q576" s="25" t="inlineStr">
        <is>
          <t>08731108</t>
        </is>
      </c>
      <c r="R576" s="78" t="n">
        <v>42370</v>
      </c>
    </row>
    <row r="577">
      <c r="A577" t="inlineStr">
        <is>
          <t>or item code =</t>
        </is>
      </c>
      <c r="B577" s="25" t="inlineStr">
        <is>
          <t>30316</t>
        </is>
      </c>
      <c r="C577" s="25" t="inlineStr">
        <is>
          <t>GORDON'S LONDON DRY GIN</t>
        </is>
      </c>
      <c r="D577" s="25" t="inlineStr">
        <is>
          <t>750ml</t>
        </is>
      </c>
      <c r="E577" s="27" t="n">
        <v>14</v>
      </c>
      <c r="F577" s="27" t="n">
        <v>18</v>
      </c>
      <c r="G577" s="27" t="n">
        <v>12</v>
      </c>
      <c r="H577" s="28" t="n">
        <v>99.75</v>
      </c>
      <c r="I577" s="28" t="n">
        <v>0</v>
      </c>
      <c r="J577" s="94" t="inlineStr">
        <is>
          <t>False</t>
        </is>
      </c>
      <c r="K577" s="28" t="n">
        <v>0</v>
      </c>
      <c r="L577" s="25" t="inlineStr">
        <is>
          <t>GIN</t>
        </is>
      </c>
      <c r="M577" s="25" t="inlineStr">
        <is>
          <t>DIAGEO AMERICAS INC</t>
        </is>
      </c>
      <c r="N577" s="25" t="inlineStr">
        <is>
          <t>040010-SOUTHERN GLAZERS WINE AND SPIRITS OF MISSISSIPPI LLC</t>
        </is>
      </c>
      <c r="O577" s="25" t="n"/>
      <c r="P577" s="25" t="inlineStr">
        <is>
          <t>00082000755326</t>
        </is>
      </c>
      <c r="Q577" s="25" t="inlineStr">
        <is>
          <t>08860236</t>
        </is>
      </c>
      <c r="R577" s="78" t="n">
        <v>42370</v>
      </c>
    </row>
    <row r="578">
      <c r="A578" t="inlineStr">
        <is>
          <t>or item code =</t>
        </is>
      </c>
      <c r="B578" s="25" t="inlineStr">
        <is>
          <t>90326</t>
        </is>
      </c>
      <c r="C578" s="25" t="inlineStr">
        <is>
          <t>GRAHAM'S 20 YEAR OLD TAWNY PORT</t>
        </is>
      </c>
      <c r="D578" s="25" t="inlineStr">
        <is>
          <t>750ml</t>
        </is>
      </c>
      <c r="E578" s="27" t="n">
        <v>22</v>
      </c>
      <c r="F578" s="27" t="n">
        <v>16</v>
      </c>
      <c r="G578" s="27" t="n">
        <v>6</v>
      </c>
      <c r="H578" s="28" t="n">
        <v>279.13</v>
      </c>
      <c r="I578" s="28" t="n">
        <v>0</v>
      </c>
      <c r="J578" s="94" t="inlineStr">
        <is>
          <t>False</t>
        </is>
      </c>
      <c r="K578" s="28" t="n">
        <v>0</v>
      </c>
      <c r="L578" s="25" t="inlineStr">
        <is>
          <t>DESSERT - PORT</t>
        </is>
      </c>
      <c r="M578" s="25" t="inlineStr">
        <is>
          <t>PREMIUM PORT WINES INC</t>
        </is>
      </c>
      <c r="N578" s="25" t="inlineStr">
        <is>
          <t>040010-SOUTHERN GLAZERS WINE AND SPIRITS OF MISSISSIPPI LLC</t>
        </is>
      </c>
      <c r="O578" s="25" t="n"/>
      <c r="P578" s="25" t="inlineStr">
        <is>
          <t>20094799010092</t>
        </is>
      </c>
      <c r="Q578" s="25" t="inlineStr">
        <is>
          <t>0094799010098</t>
        </is>
      </c>
      <c r="R578" s="78" t="n">
        <v>42370</v>
      </c>
    </row>
    <row r="579">
      <c r="A579" t="inlineStr">
        <is>
          <t>or item code =</t>
        </is>
      </c>
      <c r="B579" s="25" t="inlineStr">
        <is>
          <t>90330</t>
        </is>
      </c>
      <c r="C579" s="25" t="inlineStr">
        <is>
          <t>GRAHAM'S 6 GRAPE PORT</t>
        </is>
      </c>
      <c r="D579" s="25" t="inlineStr">
        <is>
          <t>750ml</t>
        </is>
      </c>
      <c r="E579" s="27" t="n">
        <v>51</v>
      </c>
      <c r="F579" s="27" t="n">
        <v>16</v>
      </c>
      <c r="G579" s="27" t="n">
        <v>12</v>
      </c>
      <c r="H579" s="28" t="n">
        <v>251.35</v>
      </c>
      <c r="I579" s="28" t="n">
        <v>0</v>
      </c>
      <c r="J579" s="94" t="inlineStr">
        <is>
          <t>False</t>
        </is>
      </c>
      <c r="K579" s="28" t="n">
        <v>0</v>
      </c>
      <c r="L579" s="25" t="inlineStr">
        <is>
          <t>DESSERT - PORT</t>
        </is>
      </c>
      <c r="M579" s="25" t="inlineStr">
        <is>
          <t>PREMIUM PORT WINES INC</t>
        </is>
      </c>
      <c r="N579" s="25" t="inlineStr">
        <is>
          <t>040010-SOUTHERN GLAZERS WINE AND SPIRITS OF MISSISSIPPI LLC</t>
        </is>
      </c>
      <c r="O579" s="25" t="n"/>
      <c r="P579" s="25" t="inlineStr">
        <is>
          <t>10094799010040</t>
        </is>
      </c>
      <c r="Q579" s="25" t="inlineStr">
        <is>
          <t>0094799010043</t>
        </is>
      </c>
      <c r="R579" s="78" t="n">
        <v>42370</v>
      </c>
    </row>
    <row r="580">
      <c r="A580" t="inlineStr">
        <is>
          <t>or item code =</t>
        </is>
      </c>
      <c r="B580" s="25" t="inlineStr">
        <is>
          <t>89292</t>
        </is>
      </c>
      <c r="C580" s="25" t="inlineStr">
        <is>
          <t>GRAN CENTENARIO ANJEO TEQUILA</t>
        </is>
      </c>
      <c r="D580" s="25" t="inlineStr">
        <is>
          <t>750ml</t>
        </is>
      </c>
      <c r="E580" s="27" t="n">
        <v>0</v>
      </c>
      <c r="F580" s="27" t="n">
        <v>11</v>
      </c>
      <c r="G580" s="27" t="n">
        <v>6</v>
      </c>
      <c r="H580" s="28" t="n">
        <v>175.36</v>
      </c>
      <c r="I580" s="28" t="n">
        <v>0</v>
      </c>
      <c r="J580" s="94" t="inlineStr">
        <is>
          <t>False</t>
        </is>
      </c>
      <c r="K580" s="28" t="n">
        <v>0</v>
      </c>
      <c r="L580" s="25" t="inlineStr">
        <is>
          <t>TEQUILA</t>
        </is>
      </c>
      <c r="M580" s="25" t="inlineStr">
        <is>
          <t>PROXIMO SPIRITS INC</t>
        </is>
      </c>
      <c r="N580" s="25" t="inlineStr">
        <is>
          <t>040002-RNDC-MAGNOLIA</t>
        </is>
      </c>
      <c r="O580" s="25" t="n"/>
      <c r="P580" s="25" t="inlineStr">
        <is>
          <t>10811538014035</t>
        </is>
      </c>
      <c r="Q580" s="25" t="inlineStr">
        <is>
          <t>811538014038</t>
        </is>
      </c>
      <c r="R580" s="78" t="n">
        <v>44348</v>
      </c>
    </row>
    <row r="581">
      <c r="A581" t="inlineStr">
        <is>
          <t>or item code =</t>
        </is>
      </c>
      <c r="B581" s="25" t="inlineStr">
        <is>
          <t>87506</t>
        </is>
      </c>
      <c r="C581" s="25" t="inlineStr">
        <is>
          <t>GRAN CENTENARIO PLATA TEQ</t>
        </is>
      </c>
      <c r="D581" s="25" t="inlineStr">
        <is>
          <t>750ml</t>
        </is>
      </c>
      <c r="E581" s="27" t="n">
        <v>9</v>
      </c>
      <c r="F581" s="27" t="n">
        <v>13</v>
      </c>
      <c r="G581" s="27" t="n">
        <v>12</v>
      </c>
      <c r="H581" s="28" t="n">
        <v>276.86</v>
      </c>
      <c r="I581" s="28" t="n">
        <v>0</v>
      </c>
      <c r="J581" s="94" t="inlineStr">
        <is>
          <t>False</t>
        </is>
      </c>
      <c r="K581" s="28" t="n">
        <v>0</v>
      </c>
      <c r="L581" s="25" t="inlineStr">
        <is>
          <t>TEQUILA</t>
        </is>
      </c>
      <c r="M581" s="25" t="inlineStr">
        <is>
          <t>PROXIMO SPIRITS INC</t>
        </is>
      </c>
      <c r="N581" s="25" t="inlineStr">
        <is>
          <t>040002-RNDC-MAGNOLIA</t>
        </is>
      </c>
      <c r="O581" s="25" t="n"/>
      <c r="P581" s="25" t="inlineStr">
        <is>
          <t>20811538014131</t>
        </is>
      </c>
      <c r="Q581" s="25" t="inlineStr">
        <is>
          <t>811538014137</t>
        </is>
      </c>
      <c r="R581" s="78" t="n">
        <v>44348</v>
      </c>
    </row>
    <row r="582">
      <c r="A582" t="inlineStr">
        <is>
          <t>or item code =</t>
        </is>
      </c>
      <c r="B582" s="25" t="inlineStr">
        <is>
          <t>89256</t>
        </is>
      </c>
      <c r="C582" s="25" t="inlineStr">
        <is>
          <t>GRAN CENTENARIO REPOSADO TEQUILA</t>
        </is>
      </c>
      <c r="D582" s="25" t="inlineStr">
        <is>
          <t>750ml</t>
        </is>
      </c>
      <c r="E582" s="27" t="n">
        <v>5</v>
      </c>
      <c r="F582" s="27" t="n">
        <v>16</v>
      </c>
      <c r="G582" s="27" t="n">
        <v>12</v>
      </c>
      <c r="H582" s="28" t="n">
        <v>304.56</v>
      </c>
      <c r="I582" s="28" t="n">
        <v>0</v>
      </c>
      <c r="J582" s="94" t="inlineStr">
        <is>
          <t>False</t>
        </is>
      </c>
      <c r="K582" s="28" t="n">
        <v>0</v>
      </c>
      <c r="L582" s="25" t="inlineStr">
        <is>
          <t>TEQUILA</t>
        </is>
      </c>
      <c r="M582" s="25" t="inlineStr">
        <is>
          <t>PROXIMO SPIRITS INC</t>
        </is>
      </c>
      <c r="N582" s="25" t="inlineStr">
        <is>
          <t>040002-RNDC-MAGNOLIA</t>
        </is>
      </c>
      <c r="O582" s="25" t="n"/>
      <c r="P582" s="25" t="inlineStr">
        <is>
          <t>20811538014230</t>
        </is>
      </c>
      <c r="Q582" s="25" t="inlineStr">
        <is>
          <t>811538014236</t>
        </is>
      </c>
      <c r="R582" s="78" t="n">
        <v>44348</v>
      </c>
    </row>
    <row r="583">
      <c r="A583" t="inlineStr">
        <is>
          <t>or item code =</t>
        </is>
      </c>
      <c r="B583" s="25" t="inlineStr">
        <is>
          <t>87725</t>
        </is>
      </c>
      <c r="C583" s="25" t="inlineStr">
        <is>
          <t>GRAN CORAMINO CRISTALINO REPOSADO TEQUILA</t>
        </is>
      </c>
      <c r="D583" s="25" t="inlineStr">
        <is>
          <t>750ml</t>
        </is>
      </c>
      <c r="E583" s="27" t="n">
        <v>7</v>
      </c>
      <c r="F583" s="27" t="n">
        <v>104</v>
      </c>
      <c r="G583" s="27" t="n">
        <v>6</v>
      </c>
      <c r="H583" s="28" t="n">
        <v>244.57</v>
      </c>
      <c r="I583" s="28" t="n">
        <v>0</v>
      </c>
      <c r="J583" s="94" t="inlineStr">
        <is>
          <t>False</t>
        </is>
      </c>
      <c r="K583" s="28" t="n">
        <v>0</v>
      </c>
      <c r="L583" s="25" t="inlineStr">
        <is>
          <t>TEQUILA</t>
        </is>
      </c>
      <c r="M583" s="25" t="inlineStr">
        <is>
          <t>PROXIMO SPIRITS INC</t>
        </is>
      </c>
      <c r="N583" s="25" t="inlineStr">
        <is>
          <t>040002-RNDC-MAGNOLIA</t>
        </is>
      </c>
      <c r="O583" s="25" t="n"/>
      <c r="P583" s="25" t="n"/>
      <c r="Q583" s="25" t="inlineStr">
        <is>
          <t>818844022849</t>
        </is>
      </c>
      <c r="R583" s="78" t="n">
        <v>44896</v>
      </c>
    </row>
    <row r="584">
      <c r="A584" t="inlineStr">
        <is>
          <t>or item code =</t>
        </is>
      </c>
      <c r="B584" s="25" t="inlineStr">
        <is>
          <t>88300</t>
        </is>
      </c>
      <c r="C584" s="25" t="inlineStr">
        <is>
          <t>GRAN PATRON PLATINUM SILVER TEQUILA</t>
        </is>
      </c>
      <c r="D584" s="25" t="inlineStr">
        <is>
          <t>750ml</t>
        </is>
      </c>
      <c r="E584" s="27" t="n">
        <v>0</v>
      </c>
      <c r="F584" s="27" t="n">
        <v>0</v>
      </c>
      <c r="G584" s="27" t="n">
        <v>3</v>
      </c>
      <c r="H584" s="28" t="n">
        <v>461.51</v>
      </c>
      <c r="I584" s="28" t="n">
        <v>0</v>
      </c>
      <c r="J584" s="94" t="inlineStr">
        <is>
          <t>False</t>
        </is>
      </c>
      <c r="K584" s="28" t="n">
        <v>0</v>
      </c>
      <c r="L584" s="25" t="inlineStr">
        <is>
          <t>TEQUILA</t>
        </is>
      </c>
      <c r="M584" s="25" t="inlineStr">
        <is>
          <t>BACARDI USA INC</t>
        </is>
      </c>
      <c r="N584" s="25" t="inlineStr">
        <is>
          <t>040010-SOUTHERN GLAZERS WINE AND SPIRITS OF MISSISSIPPI LLC</t>
        </is>
      </c>
      <c r="O584" s="25" t="n"/>
      <c r="P584" s="25" t="inlineStr">
        <is>
          <t>20721733000917</t>
        </is>
      </c>
      <c r="Q584" s="25" t="inlineStr">
        <is>
          <t>721733500918</t>
        </is>
      </c>
      <c r="R584" s="78" t="n">
        <v>42370</v>
      </c>
    </row>
    <row r="585">
      <c r="A585" t="inlineStr">
        <is>
          <t>or item code =</t>
        </is>
      </c>
      <c r="B585" s="25" t="inlineStr">
        <is>
          <t>65126</t>
        </is>
      </c>
      <c r="C585" s="25" t="inlineStr">
        <is>
          <t>GRAND MARNIER</t>
        </is>
      </c>
      <c r="D585" s="25" t="inlineStr">
        <is>
          <t>750ml</t>
        </is>
      </c>
      <c r="E585" s="27" t="n">
        <v>221</v>
      </c>
      <c r="F585" s="27" t="n">
        <v>106</v>
      </c>
      <c r="G585" s="27" t="n">
        <v>12</v>
      </c>
      <c r="H585" s="28" t="n">
        <v>388.68</v>
      </c>
      <c r="I585" s="28" t="n">
        <v>0</v>
      </c>
      <c r="J585" s="94" t="inlineStr">
        <is>
          <t>False</t>
        </is>
      </c>
      <c r="K585" s="28" t="n">
        <v>0</v>
      </c>
      <c r="L585" s="25" t="inlineStr">
        <is>
          <t>LIQUEURS AND CORDIALS</t>
        </is>
      </c>
      <c r="M585" s="25" t="inlineStr">
        <is>
          <t>CAMPARI ENTERPRISES, INC.</t>
        </is>
      </c>
      <c r="N585" s="25" t="inlineStr">
        <is>
          <t>040010-SOUTHERN GLAZERS WINE AND SPIRITS OF MISSISSIPPI LLC</t>
        </is>
      </c>
      <c r="O585" s="25" t="n"/>
      <c r="P585" s="25" t="inlineStr">
        <is>
          <t>10081753824836</t>
        </is>
      </c>
      <c r="Q585" s="25" t="inlineStr">
        <is>
          <t>0649188900476</t>
        </is>
      </c>
      <c r="R585" s="78" t="n">
        <v>42279</v>
      </c>
    </row>
    <row r="586">
      <c r="A586" t="inlineStr">
        <is>
          <t>or item code =</t>
        </is>
      </c>
      <c r="B586" s="25" t="inlineStr">
        <is>
          <t>65120</t>
        </is>
      </c>
      <c r="C586" s="25" t="inlineStr">
        <is>
          <t>GRAND MARNIER</t>
        </is>
      </c>
      <c r="D586" s="25" t="inlineStr">
        <is>
          <t>200ml</t>
        </is>
      </c>
      <c r="E586" s="27" t="n">
        <v>67</v>
      </c>
      <c r="F586" s="27" t="n">
        <v>8</v>
      </c>
      <c r="G586" s="27" t="n">
        <v>24</v>
      </c>
      <c r="H586" s="28" t="n">
        <v>203.59</v>
      </c>
      <c r="I586" s="28" t="n">
        <v>0</v>
      </c>
      <c r="J586" s="94" t="inlineStr">
        <is>
          <t>False</t>
        </is>
      </c>
      <c r="K586" s="28" t="n">
        <v>0</v>
      </c>
      <c r="L586" s="25" t="inlineStr">
        <is>
          <t>LIQUEURS AND CORDIALS</t>
        </is>
      </c>
      <c r="M586" s="25" t="inlineStr">
        <is>
          <t>CAMPARI ENTERPRISES, INC.</t>
        </is>
      </c>
      <c r="N586" s="25" t="inlineStr">
        <is>
          <t>040010-SOUTHERN GLAZERS WINE AND SPIRITS OF MISSISSIPPI LLC</t>
        </is>
      </c>
      <c r="O586" s="25" t="n"/>
      <c r="P586" s="25" t="inlineStr">
        <is>
          <t>63018300017603</t>
        </is>
      </c>
      <c r="Q586" s="25" t="inlineStr">
        <is>
          <t>649188900384</t>
        </is>
      </c>
      <c r="R586" s="78" t="n">
        <v>42370</v>
      </c>
    </row>
    <row r="587">
      <c r="A587" t="inlineStr">
        <is>
          <t>or item code =</t>
        </is>
      </c>
      <c r="B587" s="25" t="inlineStr">
        <is>
          <t>65125</t>
        </is>
      </c>
      <c r="C587" s="25" t="inlineStr">
        <is>
          <t>GRAND MARNIER</t>
        </is>
      </c>
      <c r="D587" s="25" t="inlineStr">
        <is>
          <t>375ml</t>
        </is>
      </c>
      <c r="E587" s="27" t="n">
        <v>210</v>
      </c>
      <c r="F587" s="27" t="n">
        <v>58</v>
      </c>
      <c r="G587" s="27" t="n">
        <v>12</v>
      </c>
      <c r="H587" s="28" t="n">
        <v>221.87</v>
      </c>
      <c r="I587" s="28" t="n">
        <v>0</v>
      </c>
      <c r="J587" s="94" t="inlineStr">
        <is>
          <t>False</t>
        </is>
      </c>
      <c r="K587" s="28" t="n">
        <v>0</v>
      </c>
      <c r="L587" s="25" t="inlineStr">
        <is>
          <t>LIQUEURS AND CORDIALS</t>
        </is>
      </c>
      <c r="M587" s="25" t="inlineStr">
        <is>
          <t>CAMPARI ENTERPRISES, INC.</t>
        </is>
      </c>
      <c r="N587" s="25" t="inlineStr">
        <is>
          <t>040010-SOUTHERN GLAZERS WINE AND SPIRITS OF MISSISSIPPI LLC</t>
        </is>
      </c>
      <c r="O587" s="25" t="n"/>
      <c r="P587" s="25" t="inlineStr">
        <is>
          <t>53018300017613</t>
        </is>
      </c>
      <c r="Q587" s="25" t="inlineStr">
        <is>
          <t>649188900469</t>
        </is>
      </c>
      <c r="R587" s="78" t="n">
        <v>42370</v>
      </c>
    </row>
    <row r="588">
      <c r="A588" t="inlineStr">
        <is>
          <t>or item code =</t>
        </is>
      </c>
      <c r="B588" s="25" t="inlineStr">
        <is>
          <t>66936</t>
        </is>
      </c>
      <c r="C588" s="25" t="inlineStr">
        <is>
          <t>GRANGALA TRIPLE ORANGE PROPRIETARY LIQ</t>
        </is>
      </c>
      <c r="D588" s="25" t="inlineStr">
        <is>
          <t>750ml</t>
        </is>
      </c>
      <c r="E588" s="27" t="n">
        <v>267</v>
      </c>
      <c r="F588" s="27" t="n">
        <v>91</v>
      </c>
      <c r="G588" s="27" t="n">
        <v>12</v>
      </c>
      <c r="H588" s="28" t="n">
        <v>178.06</v>
      </c>
      <c r="I588" s="28" t="n">
        <v>0</v>
      </c>
      <c r="J588" s="94" t="inlineStr">
        <is>
          <t>False</t>
        </is>
      </c>
      <c r="K588" s="28" t="n">
        <v>0</v>
      </c>
      <c r="L588" s="25" t="inlineStr">
        <is>
          <t>LIQUEURS AND CORDIALS</t>
        </is>
      </c>
      <c r="M588" s="25" t="inlineStr">
        <is>
          <t>SAZERAC COMPANY</t>
        </is>
      </c>
      <c r="N588" s="25" t="inlineStr">
        <is>
          <t>040010-SOUTHERN GLAZERS WINE AND SPIRITS OF MISSISSIPPI LLC</t>
        </is>
      </c>
      <c r="O588" s="25" t="n"/>
      <c r="P588" s="25" t="inlineStr">
        <is>
          <t>10082352010651</t>
        </is>
      </c>
      <c r="Q588" s="25" t="inlineStr">
        <is>
          <t>0086024018832</t>
        </is>
      </c>
      <c r="R588" s="78" t="n">
        <v>42370</v>
      </c>
    </row>
    <row r="589">
      <c r="A589" t="inlineStr">
        <is>
          <t>or item code =</t>
        </is>
      </c>
      <c r="B589" s="25" t="inlineStr">
        <is>
          <t>34422</t>
        </is>
      </c>
      <c r="C589" s="25" t="inlineStr">
        <is>
          <t>GREY GOOSE IMPORTED VODKA</t>
        </is>
      </c>
      <c r="D589" s="25" t="inlineStr">
        <is>
          <t>1L</t>
        </is>
      </c>
      <c r="E589" s="27" t="n">
        <v>0</v>
      </c>
      <c r="F589" s="27" t="n">
        <v>199</v>
      </c>
      <c r="G589" s="27" t="n">
        <v>6</v>
      </c>
      <c r="H589" s="28" t="n">
        <v>155.59</v>
      </c>
      <c r="I589" s="28" t="n">
        <v>0</v>
      </c>
      <c r="J589" s="94" t="inlineStr">
        <is>
          <t>False</t>
        </is>
      </c>
      <c r="K589" s="28" t="n">
        <v>0</v>
      </c>
      <c r="L589" s="25" t="inlineStr">
        <is>
          <t>VODKA</t>
        </is>
      </c>
      <c r="M589" s="25" t="inlineStr">
        <is>
          <t>BACARDI USA INC</t>
        </is>
      </c>
      <c r="N589" s="25" t="inlineStr">
        <is>
          <t>040010-SOUTHERN GLAZERS WINE AND SPIRITS OF MISSISSIPPI LLC</t>
        </is>
      </c>
      <c r="O589" s="25" t="n"/>
      <c r="P589" s="25" t="inlineStr">
        <is>
          <t>20080480280011</t>
        </is>
      </c>
      <c r="Q589" s="25" t="inlineStr">
        <is>
          <t>0080480280017</t>
        </is>
      </c>
      <c r="R589" s="78" t="n">
        <v>42370</v>
      </c>
    </row>
    <row r="590">
      <c r="A590" t="inlineStr">
        <is>
          <t>or item code =</t>
        </is>
      </c>
      <c r="B590" s="25" t="inlineStr">
        <is>
          <t>34423</t>
        </is>
      </c>
      <c r="C590" s="25" t="inlineStr">
        <is>
          <t>GREY GOOSE IMPORTED VODKA</t>
        </is>
      </c>
      <c r="D590" s="25" t="inlineStr">
        <is>
          <t>375ml</t>
        </is>
      </c>
      <c r="E590" s="27" t="n">
        <v>157</v>
      </c>
      <c r="F590" s="27" t="n">
        <v>217</v>
      </c>
      <c r="G590" s="27" t="n">
        <v>12</v>
      </c>
      <c r="H590" s="28" t="n">
        <v>137.1</v>
      </c>
      <c r="I590" s="28" t="n">
        <v>0</v>
      </c>
      <c r="J590" s="94" t="inlineStr">
        <is>
          <t>False</t>
        </is>
      </c>
      <c r="K590" s="28" t="n">
        <v>0</v>
      </c>
      <c r="L590" s="25" t="inlineStr">
        <is>
          <t>VODKA</t>
        </is>
      </c>
      <c r="M590" s="25" t="inlineStr">
        <is>
          <t>BACARDI USA INC</t>
        </is>
      </c>
      <c r="N590" s="25" t="inlineStr">
        <is>
          <t>040010-SOUTHERN GLAZERS WINE AND SPIRITS OF MISSISSIPPI LLC</t>
        </is>
      </c>
      <c r="O590" s="25" t="n"/>
      <c r="P590" s="25" t="inlineStr">
        <is>
          <t>20080480280035</t>
        </is>
      </c>
      <c r="Q590" s="25" t="inlineStr">
        <is>
          <t>0080480280031</t>
        </is>
      </c>
      <c r="R590" s="78" t="n">
        <v>42370</v>
      </c>
    </row>
    <row r="591">
      <c r="A591" t="inlineStr">
        <is>
          <t>or item code =</t>
        </is>
      </c>
      <c r="B591" s="25" t="inlineStr">
        <is>
          <t>34425</t>
        </is>
      </c>
      <c r="C591" s="25" t="inlineStr">
        <is>
          <t>GREY GOOSE IMPORTED VODKA</t>
        </is>
      </c>
      <c r="D591" s="25" t="inlineStr">
        <is>
          <t>1.75L</t>
        </is>
      </c>
      <c r="E591" s="27" t="n">
        <v>6</v>
      </c>
      <c r="F591" s="27" t="n">
        <v>156</v>
      </c>
      <c r="G591" s="27" t="n">
        <v>6</v>
      </c>
      <c r="H591" s="28" t="n">
        <v>229.43</v>
      </c>
      <c r="I591" s="28" t="n">
        <v>0</v>
      </c>
      <c r="J591" s="94" t="inlineStr">
        <is>
          <t>False</t>
        </is>
      </c>
      <c r="K591" s="28" t="n">
        <v>0</v>
      </c>
      <c r="L591" s="25" t="inlineStr">
        <is>
          <t>VODKA</t>
        </is>
      </c>
      <c r="M591" s="25" t="inlineStr">
        <is>
          <t>BACARDI USA INC</t>
        </is>
      </c>
      <c r="N591" s="25" t="inlineStr">
        <is>
          <t>040010-SOUTHERN GLAZERS WINE AND SPIRITS OF MISSISSIPPI LLC</t>
        </is>
      </c>
      <c r="O591" s="25" t="n"/>
      <c r="P591" s="25" t="inlineStr">
        <is>
          <t>10080480280007</t>
        </is>
      </c>
      <c r="Q591" s="25" t="inlineStr">
        <is>
          <t>080480280000</t>
        </is>
      </c>
      <c r="R591" s="78" t="n">
        <v>42370</v>
      </c>
    </row>
    <row r="592">
      <c r="A592" t="inlineStr">
        <is>
          <t>or item code =</t>
        </is>
      </c>
      <c r="B592" s="25" t="inlineStr">
        <is>
          <t>36964</t>
        </is>
      </c>
      <c r="C592" s="25" t="inlineStr">
        <is>
          <t>GREY GOOSE IMPORTED VODKA</t>
        </is>
      </c>
      <c r="D592" s="25" t="inlineStr">
        <is>
          <t>50ml</t>
        </is>
      </c>
      <c r="E592" s="27" t="n">
        <v>11</v>
      </c>
      <c r="F592" s="27" t="n">
        <v>53</v>
      </c>
      <c r="G592" s="27" t="n">
        <v>96</v>
      </c>
      <c r="H592" s="28" t="n">
        <v>224.26</v>
      </c>
      <c r="I592" s="28" t="n">
        <v>0</v>
      </c>
      <c r="J592" s="94" t="inlineStr">
        <is>
          <t>False</t>
        </is>
      </c>
      <c r="K592" s="28" t="n">
        <v>0</v>
      </c>
      <c r="L592" s="25" t="inlineStr">
        <is>
          <t>VODKA</t>
        </is>
      </c>
      <c r="M592" s="25" t="inlineStr">
        <is>
          <t>BACARDI USA INC</t>
        </is>
      </c>
      <c r="N592" s="25" t="inlineStr">
        <is>
          <t>040010-SOUTHERN GLAZERS WINE AND SPIRITS OF MISSISSIPPI LLC</t>
        </is>
      </c>
      <c r="O592" s="25" t="n"/>
      <c r="P592" s="25" t="inlineStr">
        <is>
          <t>20080480280059</t>
        </is>
      </c>
      <c r="Q592" s="25" t="inlineStr">
        <is>
          <t>80480280055</t>
        </is>
      </c>
      <c r="R592" s="78" t="n">
        <v>42370</v>
      </c>
    </row>
    <row r="593">
      <c r="A593" t="inlineStr">
        <is>
          <t>or item code =</t>
        </is>
      </c>
      <c r="B593" s="25" t="inlineStr">
        <is>
          <t>34433</t>
        </is>
      </c>
      <c r="C593" s="25" t="inlineStr">
        <is>
          <t>GREY GOOSE IMPORTED VODKA</t>
        </is>
      </c>
      <c r="D593" s="25" t="inlineStr">
        <is>
          <t>750ml</t>
        </is>
      </c>
      <c r="E593" s="27" t="n">
        <v>396</v>
      </c>
      <c r="F593" s="27" t="n">
        <v>279</v>
      </c>
      <c r="G593" s="27" t="n">
        <v>12</v>
      </c>
      <c r="H593" s="28" t="n">
        <v>257.09</v>
      </c>
      <c r="I593" s="28" t="n">
        <v>0</v>
      </c>
      <c r="J593" s="94" t="inlineStr">
        <is>
          <t>False</t>
        </is>
      </c>
      <c r="K593" s="28" t="n">
        <v>0</v>
      </c>
      <c r="L593" s="25" t="inlineStr">
        <is>
          <t>VODKA</t>
        </is>
      </c>
      <c r="M593" s="25" t="inlineStr">
        <is>
          <t>BACARDI USA INC</t>
        </is>
      </c>
      <c r="N593" s="25" t="inlineStr">
        <is>
          <t>040010-SOUTHERN GLAZERS WINE AND SPIRITS OF MISSISSIPPI LLC</t>
        </is>
      </c>
      <c r="O593" s="25" t="n"/>
      <c r="P593" s="25" t="inlineStr">
        <is>
          <t>10080480280021</t>
        </is>
      </c>
      <c r="Q593" s="25" t="inlineStr">
        <is>
          <t>080480280024</t>
        </is>
      </c>
      <c r="R593" s="78" t="n">
        <v>42370</v>
      </c>
    </row>
    <row r="594">
      <c r="A594" t="inlineStr">
        <is>
          <t>or item code =</t>
        </is>
      </c>
      <c r="B594" s="25" t="inlineStr">
        <is>
          <t>34359</t>
        </is>
      </c>
      <c r="C594" s="25" t="inlineStr">
        <is>
          <t>GREY GOOSE IMPORTED VODKA</t>
        </is>
      </c>
      <c r="D594" s="25" t="inlineStr">
        <is>
          <t>200ml</t>
        </is>
      </c>
      <c r="E594" s="27" t="n">
        <v>0</v>
      </c>
      <c r="F594" s="27" t="n">
        <v>10</v>
      </c>
      <c r="G594" s="27" t="n">
        <v>12</v>
      </c>
      <c r="H594" s="28" t="n">
        <v>81.7</v>
      </c>
      <c r="I594" s="28" t="n">
        <v>0</v>
      </c>
      <c r="J594" s="94" t="inlineStr">
        <is>
          <t>False</t>
        </is>
      </c>
      <c r="K594" s="28" t="n">
        <v>0</v>
      </c>
      <c r="L594" s="25" t="inlineStr">
        <is>
          <t>VODKA</t>
        </is>
      </c>
      <c r="M594" s="25" t="inlineStr">
        <is>
          <t>BACARDI USA INC</t>
        </is>
      </c>
      <c r="N594" s="25" t="inlineStr">
        <is>
          <t>040010-SOUTHERN GLAZERS WINE AND SPIRITS OF MISSISSIPPI LLC</t>
        </is>
      </c>
      <c r="O594" s="25" t="n"/>
      <c r="P594" s="25" t="inlineStr">
        <is>
          <t>20080480280042</t>
        </is>
      </c>
      <c r="Q594" s="25" t="inlineStr">
        <is>
          <t>0080480280048</t>
        </is>
      </c>
      <c r="R594" s="78" t="n">
        <v>42370</v>
      </c>
    </row>
    <row r="595">
      <c r="A595" t="inlineStr">
        <is>
          <t>or item code =</t>
        </is>
      </c>
      <c r="B595" s="25" t="inlineStr">
        <is>
          <t>304405</t>
        </is>
      </c>
      <c r="C595" s="25" t="inlineStr">
        <is>
          <t>GUNTRUM ROYAL BLUE BOTTLE RIESLING</t>
        </is>
      </c>
      <c r="D595" s="25" t="inlineStr">
        <is>
          <t>750ml</t>
        </is>
      </c>
      <c r="E595" s="27" t="n">
        <v>34</v>
      </c>
      <c r="F595" s="27" t="n">
        <v>64</v>
      </c>
      <c r="G595" s="27" t="n">
        <v>12</v>
      </c>
      <c r="H595" s="28" t="n">
        <v>111.36</v>
      </c>
      <c r="I595" s="28" t="n">
        <v>0</v>
      </c>
      <c r="J595" s="94" t="inlineStr">
        <is>
          <t>False</t>
        </is>
      </c>
      <c r="K595" s="28" t="n">
        <v>0</v>
      </c>
      <c r="L595" s="25" t="inlineStr">
        <is>
          <t>RIESLING (WHITE/JOHANN)</t>
        </is>
      </c>
      <c r="M595" s="25" t="inlineStr">
        <is>
          <t>BROADBENT SELECTIONS</t>
        </is>
      </c>
      <c r="N595" s="25" t="inlineStr">
        <is>
          <t>094032-MADVINES &amp; SPIRITS A BEAUMAD &amp; MAGNOLIA BARREL HOUSE COMPANY</t>
        </is>
      </c>
      <c r="O595" s="25" t="n"/>
      <c r="P595" s="25" t="inlineStr">
        <is>
          <t>00000000304405</t>
        </is>
      </c>
      <c r="Q595" s="25" t="inlineStr">
        <is>
          <t>0611482716015</t>
        </is>
      </c>
      <c r="R595" s="78" t="n">
        <v>42950</v>
      </c>
    </row>
    <row r="596">
      <c r="A596" t="inlineStr">
        <is>
          <t>or item code =</t>
        </is>
      </c>
      <c r="B596" s="25" t="inlineStr">
        <is>
          <t>36924</t>
        </is>
      </c>
      <c r="C596" s="25" t="inlineStr">
        <is>
          <t>HAKU JAPANESE CRAFT VODKA</t>
        </is>
      </c>
      <c r="D596" s="25" t="inlineStr">
        <is>
          <t>750ml</t>
        </is>
      </c>
      <c r="E596" s="27" t="n">
        <v>146</v>
      </c>
      <c r="F596" s="27" t="n">
        <v>14</v>
      </c>
      <c r="G596" s="27" t="n">
        <v>6</v>
      </c>
      <c r="H596" s="28" t="n">
        <v>129.18</v>
      </c>
      <c r="I596" s="28" t="n">
        <v>0</v>
      </c>
      <c r="J596" s="94" t="inlineStr">
        <is>
          <t>False</t>
        </is>
      </c>
      <c r="K596" s="28" t="n">
        <v>0</v>
      </c>
      <c r="L596" s="25" t="inlineStr">
        <is>
          <t>VODKA</t>
        </is>
      </c>
      <c r="M596" s="25" t="inlineStr">
        <is>
          <t>JIM BEAM BRANDS CO</t>
        </is>
      </c>
      <c r="N596" s="25" t="inlineStr">
        <is>
          <t>040010-SOUTHERN GLAZERS WINE AND SPIRITS OF MISSISSIPPI LLC</t>
        </is>
      </c>
      <c r="O596" s="25" t="n"/>
      <c r="P596" s="25" t="inlineStr">
        <is>
          <t>10080686958021</t>
        </is>
      </c>
      <c r="Q596" s="25" t="inlineStr">
        <is>
          <t>080686958024</t>
        </is>
      </c>
      <c r="R596" s="78" t="n">
        <v>43844</v>
      </c>
    </row>
    <row r="597">
      <c r="A597" t="inlineStr">
        <is>
          <t>or item code =</t>
        </is>
      </c>
      <c r="B597" s="25" t="inlineStr">
        <is>
          <t>36261</t>
        </is>
      </c>
      <c r="C597" s="25" t="inlineStr">
        <is>
          <t>HANGAR ONE VODKA</t>
        </is>
      </c>
      <c r="D597" s="25" t="inlineStr">
        <is>
          <t>750ml</t>
        </is>
      </c>
      <c r="E597" s="27" t="n">
        <v>5</v>
      </c>
      <c r="F597" s="27" t="n">
        <v>2</v>
      </c>
      <c r="G597" s="27" t="n">
        <v>12</v>
      </c>
      <c r="H597" s="28" t="n">
        <v>258.41</v>
      </c>
      <c r="I597" s="28" t="n">
        <v>0</v>
      </c>
      <c r="J597" s="94" t="inlineStr">
        <is>
          <t>False</t>
        </is>
      </c>
      <c r="K597" s="28" t="n">
        <v>0</v>
      </c>
      <c r="L597" s="25" t="inlineStr">
        <is>
          <t>VODKA</t>
        </is>
      </c>
      <c r="M597" s="25" t="inlineStr">
        <is>
          <t>PROXIMO SPIRITS INC</t>
        </is>
      </c>
      <c r="N597" s="25" t="inlineStr">
        <is>
          <t>040002-RNDC-MAGNOLIA</t>
        </is>
      </c>
      <c r="O597" s="25" t="n"/>
      <c r="P597" s="25" t="inlineStr">
        <is>
          <t>20811538010591</t>
        </is>
      </c>
      <c r="Q597" s="25" t="inlineStr">
        <is>
          <t>0811538010597</t>
        </is>
      </c>
      <c r="R597" s="78" t="n">
        <v>42370</v>
      </c>
    </row>
    <row r="598">
      <c r="A598" t="inlineStr">
        <is>
          <t>or item code =</t>
        </is>
      </c>
      <c r="B598" s="25" t="inlineStr">
        <is>
          <t>52656</t>
        </is>
      </c>
      <c r="C598" s="25" t="inlineStr">
        <is>
          <t>HARTLEY VSOP BRANDY</t>
        </is>
      </c>
      <c r="D598" s="25" t="inlineStr">
        <is>
          <t>750ml</t>
        </is>
      </c>
      <c r="E598" s="27" t="n">
        <v>3</v>
      </c>
      <c r="F598" s="27" t="n">
        <v>24</v>
      </c>
      <c r="G598" s="27" t="n">
        <v>12</v>
      </c>
      <c r="H598" s="28" t="n">
        <v>80.22</v>
      </c>
      <c r="I598" s="28" t="n">
        <v>12</v>
      </c>
      <c r="J598" s="94" t="inlineStr">
        <is>
          <t>False</t>
        </is>
      </c>
      <c r="K598" s="28" t="n">
        <v>0</v>
      </c>
      <c r="L598" s="25" t="inlineStr">
        <is>
          <t>BRANDY</t>
        </is>
      </c>
      <c r="M598" s="25" t="inlineStr">
        <is>
          <t>SAZERAC COMPANY</t>
        </is>
      </c>
      <c r="N598" s="25" t="inlineStr">
        <is>
          <t>040010-SOUTHERN GLAZERS WINE AND SPIRITS OF MISSISSIPPI LLC</t>
        </is>
      </c>
      <c r="O598" s="25" t="n"/>
      <c r="P598" s="25" t="inlineStr">
        <is>
          <t>10089000582577</t>
        </is>
      </c>
      <c r="Q598" s="25" t="inlineStr">
        <is>
          <t>0080660582573</t>
        </is>
      </c>
      <c r="R598" s="78" t="n">
        <v>42586</v>
      </c>
    </row>
    <row r="599">
      <c r="A599" t="inlineStr">
        <is>
          <t>or item code =</t>
        </is>
      </c>
      <c r="B599" s="25" t="inlineStr">
        <is>
          <t>28625</t>
        </is>
      </c>
      <c r="C599" s="25" t="inlineStr">
        <is>
          <t>HENDRICK'S SCOTTISH GIN</t>
        </is>
      </c>
      <c r="D599" s="25" t="inlineStr">
        <is>
          <t>750ml</t>
        </is>
      </c>
      <c r="E599" s="27" t="n">
        <v>304</v>
      </c>
      <c r="F599" s="27" t="n">
        <v>157</v>
      </c>
      <c r="G599" s="27" t="n">
        <v>6</v>
      </c>
      <c r="H599" s="28" t="n">
        <v>189.18</v>
      </c>
      <c r="I599" s="28" t="n">
        <v>0</v>
      </c>
      <c r="J599" s="94" t="inlineStr">
        <is>
          <t>False</t>
        </is>
      </c>
      <c r="K599" s="28" t="n">
        <v>0</v>
      </c>
      <c r="L599" s="25" t="inlineStr">
        <is>
          <t>GIN</t>
        </is>
      </c>
      <c r="M599" s="25" t="inlineStr">
        <is>
          <t>WILLIAM GRANT &amp; SONS</t>
        </is>
      </c>
      <c r="N599" s="25" t="inlineStr">
        <is>
          <t>040002-RNDC-MAGNOLIA</t>
        </is>
      </c>
      <c r="O599" s="25" t="n"/>
      <c r="P599" s="25" t="inlineStr">
        <is>
          <t>10083664990437</t>
        </is>
      </c>
      <c r="Q599" s="25" t="inlineStr">
        <is>
          <t>0083664990436</t>
        </is>
      </c>
      <c r="R599" s="78" t="n">
        <v>42279</v>
      </c>
    </row>
    <row r="600">
      <c r="A600" t="inlineStr">
        <is>
          <t>or item code =</t>
        </is>
      </c>
      <c r="B600" s="25" t="inlineStr">
        <is>
          <t>48099</t>
        </is>
      </c>
      <c r="C600" s="25" t="inlineStr">
        <is>
          <t>HENNESSY V S COGNAC</t>
        </is>
      </c>
      <c r="D600" s="25" t="inlineStr">
        <is>
          <t>200ml</t>
        </is>
      </c>
      <c r="E600" s="27" t="n">
        <v>1320</v>
      </c>
      <c r="F600" s="27" t="n">
        <v>436</v>
      </c>
      <c r="G600" s="27" t="n">
        <v>24</v>
      </c>
      <c r="H600" s="28" t="n">
        <v>266.5</v>
      </c>
      <c r="I600" s="28" t="n">
        <v>0</v>
      </c>
      <c r="J600" s="94" t="inlineStr">
        <is>
          <t>False</t>
        </is>
      </c>
      <c r="K600" s="28" t="n">
        <v>0</v>
      </c>
      <c r="L600" s="25" t="inlineStr">
        <is>
          <t>COGNAC, ARMAGNAC</t>
        </is>
      </c>
      <c r="M600" s="25" t="inlineStr">
        <is>
          <t>MOET HENNESSY USA</t>
        </is>
      </c>
      <c r="N600" s="25" t="inlineStr">
        <is>
          <t>040010-SOUTHERN GLAZERS WINE AND SPIRITS OF MISSISSIPPI LLC</t>
        </is>
      </c>
      <c r="O600" s="25" t="n"/>
      <c r="P600" s="25" t="n"/>
      <c r="Q600" s="25" t="inlineStr">
        <is>
          <t>0088110150525</t>
        </is>
      </c>
      <c r="R600" s="78" t="n">
        <v>42278</v>
      </c>
    </row>
    <row r="601">
      <c r="A601" t="inlineStr">
        <is>
          <t>or item code =</t>
        </is>
      </c>
      <c r="B601" s="25" t="inlineStr">
        <is>
          <t>48101</t>
        </is>
      </c>
      <c r="C601" s="25" t="inlineStr">
        <is>
          <t>HENNESSY V S COGNAC</t>
        </is>
      </c>
      <c r="D601" s="25" t="inlineStr">
        <is>
          <t>50ml</t>
        </is>
      </c>
      <c r="E601" s="27" t="n">
        <v>0</v>
      </c>
      <c r="F601" s="27" t="n">
        <v>4</v>
      </c>
      <c r="G601" s="27" t="n">
        <v>120</v>
      </c>
      <c r="H601" s="28" t="n">
        <v>443.55</v>
      </c>
      <c r="I601" s="28" t="n">
        <v>0</v>
      </c>
      <c r="J601" s="94" t="inlineStr">
        <is>
          <t>False</t>
        </is>
      </c>
      <c r="K601" s="28" t="n">
        <v>0</v>
      </c>
      <c r="L601" s="25" t="inlineStr">
        <is>
          <t>COGNAC, ARMAGNAC</t>
        </is>
      </c>
      <c r="M601" s="25" t="inlineStr">
        <is>
          <t>MOET HENNESSY USA</t>
        </is>
      </c>
      <c r="N601" s="25" t="inlineStr">
        <is>
          <t>040010-SOUTHERN GLAZERS WINE AND SPIRITS OF MISSISSIPPI LLC</t>
        </is>
      </c>
      <c r="O601" s="25" t="n"/>
      <c r="P601" s="25" t="inlineStr">
        <is>
          <t>00088076153332</t>
        </is>
      </c>
      <c r="Q601" s="25" t="inlineStr">
        <is>
          <t>0088110150501</t>
        </is>
      </c>
      <c r="R601" s="78" t="n">
        <v>42278</v>
      </c>
    </row>
    <row r="602">
      <c r="A602" t="inlineStr">
        <is>
          <t>or item code =</t>
        </is>
      </c>
      <c r="B602" s="25" t="inlineStr">
        <is>
          <t>48106</t>
        </is>
      </c>
      <c r="C602" s="25" t="inlineStr">
        <is>
          <t>HENNESSY V S COGNAC</t>
        </is>
      </c>
      <c r="D602" s="25" t="inlineStr">
        <is>
          <t>750ml</t>
        </is>
      </c>
      <c r="E602" s="27" t="n">
        <v>119</v>
      </c>
      <c r="F602" s="27" t="n">
        <v>609</v>
      </c>
      <c r="G602" s="27" t="n">
        <v>12</v>
      </c>
      <c r="H602" s="28" t="n">
        <v>399.91</v>
      </c>
      <c r="I602" s="28" t="n">
        <v>0</v>
      </c>
      <c r="J602" s="94" t="inlineStr">
        <is>
          <t>False</t>
        </is>
      </c>
      <c r="K602" s="28" t="n">
        <v>0</v>
      </c>
      <c r="L602" s="25" t="inlineStr">
        <is>
          <t>COGNAC, ARMAGNAC</t>
        </is>
      </c>
      <c r="M602" s="25" t="inlineStr">
        <is>
          <t>MOET HENNESSY USA</t>
        </is>
      </c>
      <c r="N602" s="25" t="inlineStr">
        <is>
          <t>040010-SOUTHERN GLAZERS WINE AND SPIRITS OF MISSISSIPPI LLC</t>
        </is>
      </c>
      <c r="O602" s="25" t="n"/>
      <c r="P602" s="25" t="inlineStr">
        <is>
          <t>88110150556000</t>
        </is>
      </c>
      <c r="Q602" s="25" t="inlineStr">
        <is>
          <t>0088110150556</t>
        </is>
      </c>
      <c r="R602" s="78" t="n">
        <v>42278</v>
      </c>
    </row>
    <row r="603">
      <c r="A603" t="inlineStr">
        <is>
          <t>or item code =</t>
        </is>
      </c>
      <c r="B603" s="25" t="inlineStr">
        <is>
          <t>48105</t>
        </is>
      </c>
      <c r="C603" s="25" t="inlineStr">
        <is>
          <t>HENNESSY V S COGNAC</t>
        </is>
      </c>
      <c r="D603" s="25" t="inlineStr">
        <is>
          <t>375ml</t>
        </is>
      </c>
      <c r="E603" s="27" t="n">
        <v>17</v>
      </c>
      <c r="F603" s="27" t="n">
        <v>564</v>
      </c>
      <c r="G603" s="27" t="n">
        <v>12</v>
      </c>
      <c r="H603" s="28" t="n">
        <v>213.24</v>
      </c>
      <c r="I603" s="28" t="n">
        <v>0</v>
      </c>
      <c r="J603" s="94" t="inlineStr">
        <is>
          <t>False</t>
        </is>
      </c>
      <c r="K603" s="28" t="n">
        <v>0</v>
      </c>
      <c r="L603" s="25" t="inlineStr">
        <is>
          <t>COGNAC, ARMAGNAC</t>
        </is>
      </c>
      <c r="M603" s="25" t="inlineStr">
        <is>
          <t>MOET HENNESSY USA</t>
        </is>
      </c>
      <c r="N603" s="25" t="inlineStr">
        <is>
          <t>040010-SOUTHERN GLAZERS WINE AND SPIRITS OF MISSISSIPPI LLC</t>
        </is>
      </c>
      <c r="O603" s="25" t="inlineStr">
        <is>
          <t>Unavailable due to inventory issues</t>
        </is>
      </c>
      <c r="P603" s="25" t="inlineStr">
        <is>
          <t>00088076153301</t>
        </is>
      </c>
      <c r="Q603" s="25" t="inlineStr">
        <is>
          <t>0088110150624</t>
        </is>
      </c>
      <c r="R603" s="78" t="n">
        <v>42278</v>
      </c>
    </row>
    <row r="604">
      <c r="A604" t="inlineStr">
        <is>
          <t>or item code =</t>
        </is>
      </c>
      <c r="B604" s="25" t="inlineStr">
        <is>
          <t>48108</t>
        </is>
      </c>
      <c r="C604" s="25" t="inlineStr">
        <is>
          <t>HENNESSY V S COGNAC</t>
        </is>
      </c>
      <c r="D604" s="25" t="inlineStr">
        <is>
          <t>1.75L</t>
        </is>
      </c>
      <c r="E604" s="27" t="n">
        <v>1685</v>
      </c>
      <c r="F604" s="27" t="n">
        <v>57</v>
      </c>
      <c r="G604" s="27" t="n">
        <v>6</v>
      </c>
      <c r="H604" s="28" t="n">
        <v>435.5</v>
      </c>
      <c r="I604" s="28" t="n">
        <v>0</v>
      </c>
      <c r="J604" s="94" t="inlineStr">
        <is>
          <t>False</t>
        </is>
      </c>
      <c r="K604" s="28" t="n">
        <v>0</v>
      </c>
      <c r="L604" s="25" t="inlineStr">
        <is>
          <t>COGNAC, ARMAGNAC</t>
        </is>
      </c>
      <c r="M604" s="25" t="inlineStr">
        <is>
          <t>MOET HENNESSY USA</t>
        </is>
      </c>
      <c r="N604" s="25" t="inlineStr">
        <is>
          <t>040010-SOUTHERN GLAZERS WINE AND SPIRITS OF MISSISSIPPI LLC</t>
        </is>
      </c>
      <c r="O604" s="25" t="n"/>
      <c r="P604" s="25" t="inlineStr">
        <is>
          <t>10081753824539</t>
        </is>
      </c>
      <c r="Q604" s="25" t="inlineStr">
        <is>
          <t>0088110150587</t>
        </is>
      </c>
      <c r="R604" s="78" t="n">
        <v>42278</v>
      </c>
    </row>
    <row r="605">
      <c r="A605" t="inlineStr">
        <is>
          <t>or item code =</t>
        </is>
      </c>
      <c r="B605" s="25" t="inlineStr">
        <is>
          <t>48107</t>
        </is>
      </c>
      <c r="C605" s="25" t="inlineStr">
        <is>
          <t>HENNESSY V S COGNAC</t>
        </is>
      </c>
      <c r="D605" s="25" t="inlineStr">
        <is>
          <t>1L</t>
        </is>
      </c>
      <c r="E605" s="27" t="n">
        <v>1734</v>
      </c>
      <c r="F605" s="27" t="n">
        <v>188</v>
      </c>
      <c r="G605" s="27" t="n">
        <v>12</v>
      </c>
      <c r="H605" s="28" t="n">
        <v>506.57</v>
      </c>
      <c r="I605" s="28" t="n">
        <v>0</v>
      </c>
      <c r="J605" s="94" t="inlineStr">
        <is>
          <t>False</t>
        </is>
      </c>
      <c r="K605" s="28" t="n">
        <v>0</v>
      </c>
      <c r="L605" s="25" t="inlineStr">
        <is>
          <t>COGNAC, ARMAGNAC</t>
        </is>
      </c>
      <c r="M605" s="25" t="inlineStr">
        <is>
          <t>MOET HENNESSY USA</t>
        </is>
      </c>
      <c r="N605" s="25" t="inlineStr">
        <is>
          <t>040010-SOUTHERN GLAZERS WINE AND SPIRITS OF MISSISSIPPI LLC</t>
        </is>
      </c>
      <c r="O605" s="25" t="n"/>
      <c r="P605" s="25" t="inlineStr">
        <is>
          <t>00088076153271</t>
        </is>
      </c>
      <c r="Q605" s="25" t="inlineStr">
        <is>
          <t>0088110150563</t>
        </is>
      </c>
      <c r="R605" s="78" t="n">
        <v>42278</v>
      </c>
    </row>
    <row r="606">
      <c r="A606" t="inlineStr">
        <is>
          <t>or item code =</t>
        </is>
      </c>
      <c r="B606" s="25" t="inlineStr">
        <is>
          <t>48102</t>
        </is>
      </c>
      <c r="C606" s="25" t="inlineStr">
        <is>
          <t>HENNESSY V S COGNAC</t>
        </is>
      </c>
      <c r="D606" s="25" t="inlineStr">
        <is>
          <t>100ml</t>
        </is>
      </c>
      <c r="E606" s="27" t="n">
        <v>832</v>
      </c>
      <c r="F606" s="27" t="n">
        <v>47</v>
      </c>
      <c r="G606" s="27" t="n">
        <v>96</v>
      </c>
      <c r="H606" s="28" t="n">
        <v>603.74</v>
      </c>
      <c r="I606" s="28" t="n">
        <v>0</v>
      </c>
      <c r="J606" s="94" t="inlineStr">
        <is>
          <t>False</t>
        </is>
      </c>
      <c r="K606" s="28" t="n">
        <v>0</v>
      </c>
      <c r="L606" s="25" t="inlineStr">
        <is>
          <t>COGNAC, ARMAGNAC</t>
        </is>
      </c>
      <c r="M606" s="25" t="inlineStr">
        <is>
          <t>MOET HENNESSY USA</t>
        </is>
      </c>
      <c r="N606" s="25" t="inlineStr">
        <is>
          <t>040010-SOUTHERN GLAZERS WINE AND SPIRITS OF MISSISSIPPI LLC</t>
        </is>
      </c>
      <c r="O606" s="25" t="n"/>
      <c r="P606" s="25" t="inlineStr">
        <is>
          <t>00088076153325</t>
        </is>
      </c>
      <c r="Q606" s="25" t="inlineStr">
        <is>
          <t>0088110150617</t>
        </is>
      </c>
      <c r="R606" s="78" t="n">
        <v>42278</v>
      </c>
    </row>
    <row r="607">
      <c r="A607" t="inlineStr">
        <is>
          <t>or item code =</t>
        </is>
      </c>
      <c r="B607" s="25" t="inlineStr">
        <is>
          <t>48142</t>
        </is>
      </c>
      <c r="C607" s="25" t="inlineStr">
        <is>
          <t>HENNESSY VSOP FLASK BOTTLE</t>
        </is>
      </c>
      <c r="D607" s="25" t="inlineStr">
        <is>
          <t>375ml</t>
        </is>
      </c>
      <c r="E607" s="27" t="n">
        <v>7</v>
      </c>
      <c r="F607" s="27" t="n">
        <v>24</v>
      </c>
      <c r="G607" s="27" t="n">
        <v>12</v>
      </c>
      <c r="H607" s="28" t="n">
        <v>311.02</v>
      </c>
      <c r="I607" s="28" t="n">
        <v>0</v>
      </c>
      <c r="J607" s="94" t="inlineStr">
        <is>
          <t>False</t>
        </is>
      </c>
      <c r="K607" s="28" t="n">
        <v>0</v>
      </c>
      <c r="L607" s="25" t="inlineStr">
        <is>
          <t>COGNAC, ARMAGNAC</t>
        </is>
      </c>
      <c r="M607" s="25" t="inlineStr">
        <is>
          <t>MOET HENNESSY USA</t>
        </is>
      </c>
      <c r="N607" s="25" t="inlineStr">
        <is>
          <t>040010-SOUTHERN GLAZERS WINE AND SPIRITS OF MISSISSIPPI LLC</t>
        </is>
      </c>
      <c r="O607" s="25" t="n"/>
      <c r="P607" s="25" t="inlineStr">
        <is>
          <t>08811015103000</t>
        </is>
      </c>
      <c r="Q607" s="25" t="inlineStr">
        <is>
          <t>0088110151034</t>
        </is>
      </c>
      <c r="R607" s="78" t="n">
        <v>42278</v>
      </c>
    </row>
    <row r="608">
      <c r="A608" t="inlineStr">
        <is>
          <t>or item code =</t>
        </is>
      </c>
      <c r="B608" s="25" t="inlineStr">
        <is>
          <t>48151</t>
        </is>
      </c>
      <c r="C608" s="25" t="inlineStr">
        <is>
          <t>HENNESSY VSOP PRIVILEGE COGNAC</t>
        </is>
      </c>
      <c r="D608" s="25" t="inlineStr">
        <is>
          <t>200ml</t>
        </is>
      </c>
      <c r="E608" s="27" t="n">
        <v>0</v>
      </c>
      <c r="F608" s="27" t="n">
        <v>0</v>
      </c>
      <c r="G608" s="27" t="n">
        <v>12</v>
      </c>
      <c r="H608" s="28" t="n">
        <v>132.94</v>
      </c>
      <c r="I608" s="28" t="n">
        <v>35.85</v>
      </c>
      <c r="J608" s="94" t="inlineStr">
        <is>
          <t>False</t>
        </is>
      </c>
      <c r="K608" s="28" t="n">
        <v>0</v>
      </c>
      <c r="L608" s="25" t="inlineStr">
        <is>
          <t>COGNAC, ARMAGNAC</t>
        </is>
      </c>
      <c r="M608" s="25" t="inlineStr">
        <is>
          <t>MOET HENNESSY USA</t>
        </is>
      </c>
      <c r="N608" s="25" t="inlineStr">
        <is>
          <t>040010-SOUTHERN GLAZERS WINE AND SPIRITS OF MISSISSIPPI LLC</t>
        </is>
      </c>
      <c r="O608" s="25" t="n"/>
      <c r="P608" s="25" t="inlineStr">
        <is>
          <t>00088110151102</t>
        </is>
      </c>
      <c r="Q608" s="25" t="inlineStr">
        <is>
          <t>0088110151102</t>
        </is>
      </c>
      <c r="R608" s="78" t="n">
        <v>42278</v>
      </c>
    </row>
    <row r="609">
      <c r="A609" t="inlineStr">
        <is>
          <t>or item code =</t>
        </is>
      </c>
      <c r="B609" s="25" t="inlineStr">
        <is>
          <t>48164</t>
        </is>
      </c>
      <c r="C609" s="25" t="inlineStr">
        <is>
          <t>HENNESSY VSOP PRIVILEGE COGNAC</t>
        </is>
      </c>
      <c r="D609" s="25" t="inlineStr">
        <is>
          <t>750ml</t>
        </is>
      </c>
      <c r="E609" s="27" t="n">
        <v>35</v>
      </c>
      <c r="F609" s="27" t="n">
        <v>32</v>
      </c>
      <c r="G609" s="27" t="n">
        <v>12</v>
      </c>
      <c r="H609" s="28" t="n">
        <v>577.6799999999999</v>
      </c>
      <c r="I609" s="28" t="n">
        <v>0</v>
      </c>
      <c r="J609" s="94" t="inlineStr">
        <is>
          <t>False</t>
        </is>
      </c>
      <c r="K609" s="28" t="n">
        <v>0</v>
      </c>
      <c r="L609" s="25" t="inlineStr">
        <is>
          <t>COGNAC, ARMAGNAC</t>
        </is>
      </c>
      <c r="M609" s="25" t="inlineStr">
        <is>
          <t>MOET HENNESSY USA</t>
        </is>
      </c>
      <c r="N609" s="25" t="inlineStr">
        <is>
          <t>040010-SOUTHERN GLAZERS WINE AND SPIRITS OF MISSISSIPPI LLC</t>
        </is>
      </c>
      <c r="O609" s="25" t="n"/>
      <c r="P609" s="25" t="inlineStr">
        <is>
          <t>10081753822498</t>
        </is>
      </c>
      <c r="Q609" s="25" t="inlineStr">
        <is>
          <t>088110151058</t>
        </is>
      </c>
      <c r="R609" s="78" t="n">
        <v>42370</v>
      </c>
    </row>
    <row r="610">
      <c r="A610" t="inlineStr">
        <is>
          <t>or item code =</t>
        </is>
      </c>
      <c r="B610" s="25" t="inlineStr">
        <is>
          <t>48120</t>
        </is>
      </c>
      <c r="C610" s="25" t="inlineStr">
        <is>
          <t>HENNESSY XO</t>
        </is>
      </c>
      <c r="D610" s="25" t="inlineStr">
        <is>
          <t>750ml</t>
        </is>
      </c>
      <c r="E610" s="27" t="n">
        <v>0</v>
      </c>
      <c r="F610" s="27" t="n">
        <v>11</v>
      </c>
      <c r="G610" s="27" t="n">
        <v>3</v>
      </c>
      <c r="H610" s="28" t="n">
        <v>468.9</v>
      </c>
      <c r="I610" s="28" t="n">
        <v>0</v>
      </c>
      <c r="J610" s="94" t="inlineStr">
        <is>
          <t>False</t>
        </is>
      </c>
      <c r="K610" s="28" t="n">
        <v>0</v>
      </c>
      <c r="L610" s="25" t="inlineStr">
        <is>
          <t>COGNAC, ARMAGNAC</t>
        </is>
      </c>
      <c r="M610" s="25" t="inlineStr">
        <is>
          <t>MOET HENNESSY USA</t>
        </is>
      </c>
      <c r="N610" s="25" t="inlineStr">
        <is>
          <t>040010-SOUTHERN GLAZERS WINE AND SPIRITS OF MISSISSIPPI LLC</t>
        </is>
      </c>
      <c r="O610" s="25" t="n"/>
      <c r="P610" s="25" t="n"/>
      <c r="Q610" s="25" t="inlineStr">
        <is>
          <t>0881101530520</t>
        </is>
      </c>
      <c r="R610" s="78" t="n">
        <v>43279</v>
      </c>
    </row>
    <row r="611">
      <c r="A611" t="inlineStr">
        <is>
          <t>or item code =</t>
        </is>
      </c>
      <c r="B611" s="25" t="inlineStr">
        <is>
          <t>89329</t>
        </is>
      </c>
      <c r="C611" s="25" t="inlineStr">
        <is>
          <t>HERRADURA ANEJO TEQUILA</t>
        </is>
      </c>
      <c r="D611" s="25" t="inlineStr">
        <is>
          <t>750ml</t>
        </is>
      </c>
      <c r="E611" s="27" t="n">
        <v>55</v>
      </c>
      <c r="F611" s="27" t="n">
        <v>11</v>
      </c>
      <c r="G611" s="27" t="n">
        <v>6</v>
      </c>
      <c r="H611" s="28" t="n">
        <v>246.01</v>
      </c>
      <c r="I611" s="28" t="n">
        <v>0</v>
      </c>
      <c r="J611" s="94" t="inlineStr">
        <is>
          <t>False</t>
        </is>
      </c>
      <c r="K611" s="28" t="n">
        <v>0</v>
      </c>
      <c r="L611" s="25" t="inlineStr">
        <is>
          <t>TEQUILA</t>
        </is>
      </c>
      <c r="M611" s="25" t="inlineStr">
        <is>
          <t>BROWN FORMAN CORP</t>
        </is>
      </c>
      <c r="N611" s="25" t="inlineStr">
        <is>
          <t>045041-UNITED JOHNSON BROTHERS OF MS</t>
        </is>
      </c>
      <c r="O611" s="25" t="n"/>
      <c r="P611" s="25" t="inlineStr">
        <is>
          <t>10744607106112</t>
        </is>
      </c>
      <c r="Q611" s="25" t="inlineStr">
        <is>
          <t>744607111331</t>
        </is>
      </c>
      <c r="R611" s="78" t="n">
        <v>44409</v>
      </c>
    </row>
    <row r="612">
      <c r="A612" t="inlineStr">
        <is>
          <t>or item code =</t>
        </is>
      </c>
      <c r="B612" s="25" t="inlineStr">
        <is>
          <t>89339</t>
        </is>
      </c>
      <c r="C612" s="25" t="inlineStr">
        <is>
          <t>HERRADURA REPOSADO TEQUILA</t>
        </is>
      </c>
      <c r="D612" s="25" t="inlineStr">
        <is>
          <t>750ml</t>
        </is>
      </c>
      <c r="E612" s="27" t="n">
        <v>4</v>
      </c>
      <c r="F612" s="27" t="n">
        <v>16</v>
      </c>
      <c r="G612" s="27" t="n">
        <v>6</v>
      </c>
      <c r="H612" s="28" t="n">
        <v>217.2</v>
      </c>
      <c r="I612" s="28" t="n">
        <v>0</v>
      </c>
      <c r="J612" s="94" t="inlineStr">
        <is>
          <t>False</t>
        </is>
      </c>
      <c r="K612" s="28" t="n">
        <v>0</v>
      </c>
      <c r="L612" s="25" t="inlineStr">
        <is>
          <t>TEQUILA</t>
        </is>
      </c>
      <c r="M612" s="25" t="inlineStr">
        <is>
          <t>BROWN FORMAN CORP</t>
        </is>
      </c>
      <c r="N612" s="25" t="inlineStr">
        <is>
          <t>045041-UNITED JOHNSON BROTHERS OF MS</t>
        </is>
      </c>
      <c r="O612" s="25" t="n"/>
      <c r="P612" s="25" t="inlineStr">
        <is>
          <t>10744607106167</t>
        </is>
      </c>
      <c r="Q612" s="25" t="inlineStr">
        <is>
          <t>0744607111324</t>
        </is>
      </c>
      <c r="R612" s="78" t="n">
        <v>42853</v>
      </c>
    </row>
    <row r="613">
      <c r="A613" t="inlineStr">
        <is>
          <t>or item code =</t>
        </is>
      </c>
      <c r="B613" s="25" t="inlineStr">
        <is>
          <t>87849</t>
        </is>
      </c>
      <c r="C613" s="25" t="inlineStr">
        <is>
          <t>HERRADURA SILVER TEQUILA</t>
        </is>
      </c>
      <c r="D613" s="25" t="inlineStr">
        <is>
          <t>750ml</t>
        </is>
      </c>
      <c r="E613" s="27" t="n">
        <v>23</v>
      </c>
      <c r="F613" s="27" t="n">
        <v>42</v>
      </c>
      <c r="G613" s="27" t="n">
        <v>6</v>
      </c>
      <c r="H613" s="28" t="n">
        <v>198</v>
      </c>
      <c r="I613" s="28" t="n">
        <v>0</v>
      </c>
      <c r="J613" s="94" t="inlineStr">
        <is>
          <t>False</t>
        </is>
      </c>
      <c r="K613" s="28" t="n">
        <v>0</v>
      </c>
      <c r="L613" s="25" t="inlineStr">
        <is>
          <t>TEQUILA</t>
        </is>
      </c>
      <c r="M613" s="25" t="inlineStr">
        <is>
          <t>BROWN FORMAN CORP</t>
        </is>
      </c>
      <c r="N613" s="25" t="inlineStr">
        <is>
          <t>045041-UNITED JOHNSON BROTHERS OF MS</t>
        </is>
      </c>
      <c r="O613" s="25" t="n"/>
      <c r="P613" s="25" t="inlineStr">
        <is>
          <t>10744607106181</t>
        </is>
      </c>
      <c r="Q613" s="25" t="inlineStr">
        <is>
          <t>0744607111317</t>
        </is>
      </c>
      <c r="R613" s="78" t="n">
        <v>42870</v>
      </c>
    </row>
    <row r="614">
      <c r="A614" t="inlineStr">
        <is>
          <t>or item code =</t>
        </is>
      </c>
      <c r="B614" s="25" t="inlineStr">
        <is>
          <t>100104</t>
        </is>
      </c>
      <c r="C614" s="25" t="inlineStr">
        <is>
          <t>HERRADURA ULTRA ANEJO GIFT CARTON G6</t>
        </is>
      </c>
      <c r="D614" s="25" t="inlineStr">
        <is>
          <t>750ml</t>
        </is>
      </c>
      <c r="E614" s="27" t="n">
        <v>32</v>
      </c>
      <c r="F614" s="27" t="n">
        <v>4</v>
      </c>
      <c r="G614" s="27" t="n">
        <v>6</v>
      </c>
      <c r="H614" s="28" t="n">
        <v>290.2</v>
      </c>
      <c r="I614" s="28" t="n">
        <v>0</v>
      </c>
      <c r="J614" s="94" t="inlineStr">
        <is>
          <t>False</t>
        </is>
      </c>
      <c r="K614" s="28" t="n">
        <v>0</v>
      </c>
      <c r="L614" s="25" t="inlineStr">
        <is>
          <t>TEQUILA</t>
        </is>
      </c>
      <c r="M614" s="25" t="inlineStr">
        <is>
          <t>BROWN FORMAN CORP</t>
        </is>
      </c>
      <c r="N614" s="25" t="inlineStr">
        <is>
          <t>045041-UNITED JOHNSON BROTHERS OF MS</t>
        </is>
      </c>
      <c r="O614" s="25" t="n"/>
      <c r="P614" s="25" t="inlineStr">
        <is>
          <t>10744607105689</t>
        </is>
      </c>
      <c r="Q614" s="25" t="inlineStr">
        <is>
          <t>744607003728</t>
        </is>
      </c>
      <c r="R614" s="78" t="n">
        <v>44044</v>
      </c>
    </row>
    <row r="615">
      <c r="A615" t="inlineStr">
        <is>
          <t>or item code =</t>
        </is>
      </c>
      <c r="B615" s="25" t="inlineStr">
        <is>
          <t>18604</t>
        </is>
      </c>
      <c r="C615" s="25" t="inlineStr">
        <is>
          <t>HIGH WEST AMERICAN PRAIRIE BLEND OF BOURBON</t>
        </is>
      </c>
      <c r="D615" s="25" t="inlineStr">
        <is>
          <t>750ml</t>
        </is>
      </c>
      <c r="E615" s="27" t="n">
        <v>11</v>
      </c>
      <c r="F615" s="27" t="n">
        <v>14</v>
      </c>
      <c r="G615" s="27" t="n">
        <v>6</v>
      </c>
      <c r="H615" s="28" t="n">
        <v>184.56</v>
      </c>
      <c r="I615" s="28" t="n">
        <v>0</v>
      </c>
      <c r="J615" s="94" t="inlineStr">
        <is>
          <t>False</t>
        </is>
      </c>
      <c r="K615" s="28" t="n">
        <v>0</v>
      </c>
      <c r="L615" s="25" t="inlineStr">
        <is>
          <t>WHISKEY - STR BOURBON</t>
        </is>
      </c>
      <c r="M615" s="25" t="inlineStr">
        <is>
          <t>CONSTELLATION BRANDS INC</t>
        </is>
      </c>
      <c r="N615" s="25" t="inlineStr">
        <is>
          <t>040010-SOUTHERN GLAZERS WINE AND SPIRITS OF MISSISSIPPI LLC</t>
        </is>
      </c>
      <c r="O615" s="25" t="n"/>
      <c r="P615" s="25" t="inlineStr">
        <is>
          <t>10854396005227</t>
        </is>
      </c>
      <c r="Q615" s="25" t="inlineStr">
        <is>
          <t>854396005220</t>
        </is>
      </c>
      <c r="R615" s="78" t="n">
        <v>42996</v>
      </c>
    </row>
    <row r="616">
      <c r="A616" t="inlineStr">
        <is>
          <t>or item code =</t>
        </is>
      </c>
      <c r="B616" s="25" t="inlineStr">
        <is>
          <t>27040</t>
        </is>
      </c>
      <c r="C616" s="25" t="inlineStr">
        <is>
          <t>HIGH WEST WHISKEY DOUBLE RYE</t>
        </is>
      </c>
      <c r="D616" s="25" t="inlineStr">
        <is>
          <t>750ml</t>
        </is>
      </c>
      <c r="E616" s="27" t="n">
        <v>46</v>
      </c>
      <c r="F616" s="27" t="n">
        <v>5</v>
      </c>
      <c r="G616" s="27" t="n">
        <v>6</v>
      </c>
      <c r="H616" s="28" t="n">
        <v>184.56</v>
      </c>
      <c r="I616" s="28" t="n">
        <v>0</v>
      </c>
      <c r="J616" s="94" t="inlineStr">
        <is>
          <t>False</t>
        </is>
      </c>
      <c r="K616" s="28" t="n">
        <v>0</v>
      </c>
      <c r="L616" s="25" t="inlineStr">
        <is>
          <t>WHISKEY - RYE</t>
        </is>
      </c>
      <c r="M616" s="25" t="inlineStr">
        <is>
          <t>CONSTELLATION BRANDS INC</t>
        </is>
      </c>
      <c r="N616" s="25" t="inlineStr">
        <is>
          <t>040010-SOUTHERN GLAZERS WINE AND SPIRITS OF MISSISSIPPI LLC</t>
        </is>
      </c>
      <c r="O616" s="25" t="n"/>
      <c r="P616" s="25" t="inlineStr">
        <is>
          <t>10854396005005</t>
        </is>
      </c>
      <c r="Q616" s="25" t="inlineStr">
        <is>
          <t>854396005008</t>
        </is>
      </c>
      <c r="R616" s="78" t="n">
        <v>43111</v>
      </c>
    </row>
    <row r="617">
      <c r="A617" t="inlineStr">
        <is>
          <t>or item code =</t>
        </is>
      </c>
      <c r="B617" s="25" t="inlineStr">
        <is>
          <t>8048</t>
        </is>
      </c>
      <c r="C617" s="25" t="inlineStr">
        <is>
          <t>HIGHLAND MIST</t>
        </is>
      </c>
      <c r="D617" s="25" t="inlineStr">
        <is>
          <t>1.75L</t>
        </is>
      </c>
      <c r="E617" s="27" t="n">
        <v>40</v>
      </c>
      <c r="F617" s="27" t="n">
        <v>8</v>
      </c>
      <c r="G617" s="27" t="n">
        <v>6</v>
      </c>
      <c r="H617" s="28" t="n">
        <v>106.09</v>
      </c>
      <c r="I617" s="28" t="n">
        <v>0</v>
      </c>
      <c r="J617" s="94" t="inlineStr">
        <is>
          <t>False</t>
        </is>
      </c>
      <c r="K617" s="28" t="n">
        <v>0</v>
      </c>
      <c r="L617" s="25" t="inlineStr">
        <is>
          <t>WHISKY - SCOTCH</t>
        </is>
      </c>
      <c r="M617" s="25" t="inlineStr">
        <is>
          <t>SAZERAC COMPANY</t>
        </is>
      </c>
      <c r="N617" s="25" t="inlineStr">
        <is>
          <t>040002-RNDC-MAGNOLIA</t>
        </is>
      </c>
      <c r="O617" s="25" t="n"/>
      <c r="P617" s="25" t="inlineStr">
        <is>
          <t>10080660353811</t>
        </is>
      </c>
      <c r="Q617" s="25" t="inlineStr">
        <is>
          <t>0080660353814</t>
        </is>
      </c>
      <c r="R617" s="78" t="n">
        <v>42370</v>
      </c>
    </row>
    <row r="618">
      <c r="A618" t="inlineStr">
        <is>
          <t>or item code =</t>
        </is>
      </c>
      <c r="B618" s="25" t="inlineStr">
        <is>
          <t>575250</t>
        </is>
      </c>
      <c r="C618" s="25" t="inlineStr">
        <is>
          <t>HOGUE LATE HARVEST WHITE RIESLING</t>
        </is>
      </c>
      <c r="D618" s="25" t="inlineStr">
        <is>
          <t>750ml</t>
        </is>
      </c>
      <c r="E618" s="27" t="n">
        <v>19</v>
      </c>
      <c r="F618" s="27" t="n">
        <v>17</v>
      </c>
      <c r="G618" s="27" t="n">
        <v>12</v>
      </c>
      <c r="H618" s="28" t="n">
        <v>98.48999999999999</v>
      </c>
      <c r="I618" s="28" t="n">
        <v>0</v>
      </c>
      <c r="J618" s="94" t="inlineStr">
        <is>
          <t>False</t>
        </is>
      </c>
      <c r="K618" s="28" t="n">
        <v>0</v>
      </c>
      <c r="L618" s="25" t="inlineStr">
        <is>
          <t>RIESLING (WHITE/JOHANN)</t>
        </is>
      </c>
      <c r="M618" s="25" t="inlineStr">
        <is>
          <t>E &amp; J GALLO WINERY</t>
        </is>
      </c>
      <c r="N618" s="25" t="inlineStr">
        <is>
          <t>040012-GALLO WINES OF MISSISSIPPI</t>
        </is>
      </c>
      <c r="O618" s="25" t="n"/>
      <c r="P618" s="25" t="inlineStr">
        <is>
          <t>10087754000156</t>
        </is>
      </c>
      <c r="Q618" s="25" t="inlineStr">
        <is>
          <t>0087754000159</t>
        </is>
      </c>
      <c r="R618" s="78" t="n">
        <v>42370</v>
      </c>
    </row>
    <row r="619">
      <c r="A619" t="inlineStr">
        <is>
          <t>or item code =</t>
        </is>
      </c>
      <c r="B619" s="25" t="inlineStr">
        <is>
          <t>59850</t>
        </is>
      </c>
      <c r="C619" s="25" t="inlineStr">
        <is>
          <t>HORNITOS LIME HIBISCUS MARGARITA</t>
        </is>
      </c>
      <c r="D619" s="25" t="inlineStr">
        <is>
          <t>1.75L</t>
        </is>
      </c>
      <c r="E619" s="27" t="n">
        <v>36</v>
      </c>
      <c r="F619" s="27" t="n">
        <v>1</v>
      </c>
      <c r="G619" s="27" t="n">
        <v>6</v>
      </c>
      <c r="H619" s="28" t="n">
        <v>96.87</v>
      </c>
      <c r="I619" s="28" t="n">
        <v>0</v>
      </c>
      <c r="J619" s="94" t="inlineStr">
        <is>
          <t>False</t>
        </is>
      </c>
      <c r="K619" s="28" t="n">
        <v>0</v>
      </c>
      <c r="L619" s="25" t="inlineStr">
        <is>
          <t>COCKTAILS</t>
        </is>
      </c>
      <c r="M619" s="25" t="inlineStr">
        <is>
          <t>JIM BEAM BRANDS CO</t>
        </is>
      </c>
      <c r="N619" s="25" t="inlineStr">
        <is>
          <t>040010-SOUTHERN GLAZERS WINE AND SPIRITS OF MISSISSIPPI LLC</t>
        </is>
      </c>
      <c r="O619" s="25" t="n"/>
      <c r="P619" s="25" t="inlineStr">
        <is>
          <t>10080686847035</t>
        </is>
      </c>
      <c r="Q619" s="25" t="inlineStr">
        <is>
          <t>080686847038</t>
        </is>
      </c>
      <c r="R619" s="78" t="n">
        <v>44593</v>
      </c>
    </row>
    <row r="620">
      <c r="A620" t="inlineStr">
        <is>
          <t>or item code =</t>
        </is>
      </c>
      <c r="B620" s="25" t="inlineStr">
        <is>
          <t>88540</t>
        </is>
      </c>
      <c r="C620" s="25" t="inlineStr">
        <is>
          <t>HORNITOS LIME SHOT WHITE TEQUILA</t>
        </is>
      </c>
      <c r="D620" s="25" t="inlineStr">
        <is>
          <t>750ml</t>
        </is>
      </c>
      <c r="E620" s="27" t="n">
        <v>32</v>
      </c>
      <c r="F620" s="27" t="n">
        <v>19</v>
      </c>
      <c r="G620" s="27" t="n">
        <v>12</v>
      </c>
      <c r="H620" s="28" t="n">
        <v>249.13</v>
      </c>
      <c r="I620" s="28" t="n">
        <v>0</v>
      </c>
      <c r="J620" s="94" t="inlineStr">
        <is>
          <t>False</t>
        </is>
      </c>
      <c r="K620" s="28" t="n">
        <v>0</v>
      </c>
      <c r="L620" s="25" t="inlineStr">
        <is>
          <t>TEQUILA</t>
        </is>
      </c>
      <c r="M620" s="25" t="inlineStr">
        <is>
          <t>JIM BEAM BRANDS CO</t>
        </is>
      </c>
      <c r="N620" s="25" t="inlineStr">
        <is>
          <t>040010-SOUTHERN GLAZERS WINE AND SPIRITS OF MISSISSIPPI LLC</t>
        </is>
      </c>
      <c r="O620" s="25" t="n"/>
      <c r="P620" s="25" t="inlineStr">
        <is>
          <t>10080686835483</t>
        </is>
      </c>
      <c r="Q620" s="25" t="inlineStr">
        <is>
          <t>080686835486</t>
        </is>
      </c>
      <c r="R620" s="78" t="n">
        <v>42370</v>
      </c>
    </row>
    <row r="621">
      <c r="A621" t="inlineStr">
        <is>
          <t>or item code =</t>
        </is>
      </c>
      <c r="B621" s="25" t="inlineStr">
        <is>
          <t>59852</t>
        </is>
      </c>
      <c r="C621" s="25" t="inlineStr">
        <is>
          <t>HORNITOS PINEAPPLE POBLANO MARGARITA</t>
        </is>
      </c>
      <c r="D621" s="25" t="inlineStr">
        <is>
          <t>1.75L</t>
        </is>
      </c>
      <c r="E621" s="27" t="n">
        <v>0</v>
      </c>
      <c r="F621" s="27" t="n">
        <v>0</v>
      </c>
      <c r="G621" s="27" t="n">
        <v>6</v>
      </c>
      <c r="H621" s="28" t="n">
        <v>96.87</v>
      </c>
      <c r="I621" s="28" t="n">
        <v>0</v>
      </c>
      <c r="J621" s="94" t="inlineStr">
        <is>
          <t>False</t>
        </is>
      </c>
      <c r="K621" s="28" t="n">
        <v>0</v>
      </c>
      <c r="L621" s="25" t="inlineStr">
        <is>
          <t>COCKTAILS</t>
        </is>
      </c>
      <c r="M621" s="25" t="inlineStr">
        <is>
          <t>JIM BEAM BRANDS CO</t>
        </is>
      </c>
      <c r="N621" s="25" t="inlineStr">
        <is>
          <t>040010-SOUTHERN GLAZERS WINE AND SPIRITS OF MISSISSIPPI LLC</t>
        </is>
      </c>
      <c r="O621" s="25" t="n"/>
      <c r="P621" s="25" t="inlineStr">
        <is>
          <t>10080686847011</t>
        </is>
      </c>
      <c r="Q621" s="25" t="inlineStr">
        <is>
          <t>080686847014</t>
        </is>
      </c>
      <c r="R621" s="78" t="n">
        <v>44593</v>
      </c>
    </row>
    <row r="622">
      <c r="A622" t="inlineStr">
        <is>
          <t>or item code =</t>
        </is>
      </c>
      <c r="B622" s="25" t="inlineStr">
        <is>
          <t>88548</t>
        </is>
      </c>
      <c r="C622" s="25" t="inlineStr">
        <is>
          <t>HORNITOS PLATA SILVER TEQUILA</t>
        </is>
      </c>
      <c r="D622" s="25" t="inlineStr">
        <is>
          <t>750ml</t>
        </is>
      </c>
      <c r="E622" s="27" t="n">
        <v>91</v>
      </c>
      <c r="F622" s="27" t="n">
        <v>87</v>
      </c>
      <c r="G622" s="27" t="n">
        <v>12</v>
      </c>
      <c r="H622" s="28" t="n">
        <v>230.67</v>
      </c>
      <c r="I622" s="28" t="n">
        <v>18.46</v>
      </c>
      <c r="J622" s="94" t="inlineStr">
        <is>
          <t>False</t>
        </is>
      </c>
      <c r="K622" s="28" t="n">
        <v>0</v>
      </c>
      <c r="L622" s="25" t="inlineStr">
        <is>
          <t>TEQUILA</t>
        </is>
      </c>
      <c r="M622" s="25" t="inlineStr">
        <is>
          <t>JIM BEAM BRANDS CO</t>
        </is>
      </c>
      <c r="N622" s="25" t="inlineStr">
        <is>
          <t>040010-SOUTHERN GLAZERS WINE AND SPIRITS OF MISSISSIPPI LLC</t>
        </is>
      </c>
      <c r="O622" s="25" t="n"/>
      <c r="P622" s="25" t="inlineStr">
        <is>
          <t>10080686835513</t>
        </is>
      </c>
      <c r="Q622" s="25" t="inlineStr">
        <is>
          <t>0080686835325</t>
        </is>
      </c>
      <c r="R622" s="78" t="n">
        <v>42370</v>
      </c>
    </row>
    <row r="623">
      <c r="A623" t="inlineStr">
        <is>
          <t>or item code =</t>
        </is>
      </c>
      <c r="B623" s="25" t="inlineStr">
        <is>
          <t>88549</t>
        </is>
      </c>
      <c r="C623" s="25" t="inlineStr">
        <is>
          <t>HORNITOS PLATA SILVER TEQUILA</t>
        </is>
      </c>
      <c r="D623" s="25" t="inlineStr">
        <is>
          <t>375ml</t>
        </is>
      </c>
      <c r="E623" s="27" t="n">
        <v>168</v>
      </c>
      <c r="F623" s="27" t="n">
        <v>44</v>
      </c>
      <c r="G623" s="27" t="n">
        <v>12</v>
      </c>
      <c r="H623" s="28" t="n">
        <v>102.76</v>
      </c>
      <c r="I623" s="28" t="n">
        <v>0</v>
      </c>
      <c r="J623" s="94" t="inlineStr">
        <is>
          <t>False</t>
        </is>
      </c>
      <c r="K623" s="28" t="n">
        <v>0</v>
      </c>
      <c r="L623" s="25" t="inlineStr">
        <is>
          <t>TEQUILA</t>
        </is>
      </c>
      <c r="M623" s="25" t="inlineStr">
        <is>
          <t>JIM BEAM BRANDS CO</t>
        </is>
      </c>
      <c r="N623" s="25" t="inlineStr">
        <is>
          <t>040010-SOUTHERN GLAZERS WINE AND SPIRITS OF MISSISSIPPI LLC</t>
        </is>
      </c>
      <c r="O623" s="25" t="n"/>
      <c r="P623" s="25" t="inlineStr">
        <is>
          <t>10080686845222</t>
        </is>
      </c>
      <c r="Q623" s="25" t="inlineStr">
        <is>
          <t>080686845228</t>
        </is>
      </c>
      <c r="R623" s="78" t="n">
        <v>42709</v>
      </c>
    </row>
    <row r="624">
      <c r="A624" t="inlineStr">
        <is>
          <t>or item code =</t>
        </is>
      </c>
      <c r="B624" s="25" t="inlineStr">
        <is>
          <t>89834</t>
        </is>
      </c>
      <c r="C624" s="25" t="inlineStr">
        <is>
          <t>HORNITOS REPOSADO GOLD TEQUILA</t>
        </is>
      </c>
      <c r="D624" s="25" t="inlineStr">
        <is>
          <t>375ml</t>
        </is>
      </c>
      <c r="E624" s="27" t="n">
        <v>58</v>
      </c>
      <c r="F624" s="27" t="n">
        <v>52</v>
      </c>
      <c r="G624" s="27" t="n">
        <v>12</v>
      </c>
      <c r="H624" s="28" t="n">
        <v>96.5</v>
      </c>
      <c r="I624" s="28" t="n">
        <v>0</v>
      </c>
      <c r="J624" s="94" t="inlineStr">
        <is>
          <t>False</t>
        </is>
      </c>
      <c r="K624" s="28" t="n">
        <v>0</v>
      </c>
      <c r="L624" s="25" t="inlineStr">
        <is>
          <t>TEQUILA</t>
        </is>
      </c>
      <c r="M624" s="25" t="inlineStr">
        <is>
          <t>JIM BEAM BRANDS CO</t>
        </is>
      </c>
      <c r="N624" s="25" t="inlineStr">
        <is>
          <t>040010-SOUTHERN GLAZERS WINE AND SPIRITS OF MISSISSIPPI LLC</t>
        </is>
      </c>
      <c r="O624" s="25" t="n"/>
      <c r="P624" s="25" t="inlineStr">
        <is>
          <t>10080686835032</t>
        </is>
      </c>
      <c r="Q624" s="25" t="n"/>
      <c r="R624" s="78" t="n">
        <v>42923</v>
      </c>
    </row>
    <row r="625">
      <c r="A625" t="inlineStr">
        <is>
          <t>or item code =</t>
        </is>
      </c>
      <c r="B625" s="25" t="inlineStr">
        <is>
          <t>89836</t>
        </is>
      </c>
      <c r="C625" s="25" t="inlineStr">
        <is>
          <t>HORNITOS REPOSADO GOLD TEQUILA</t>
        </is>
      </c>
      <c r="D625" s="25" t="inlineStr">
        <is>
          <t>750ml</t>
        </is>
      </c>
      <c r="E625" s="27" t="n">
        <v>167</v>
      </c>
      <c r="F625" s="27" t="n">
        <v>68</v>
      </c>
      <c r="G625" s="27" t="n">
        <v>12</v>
      </c>
      <c r="H625" s="28" t="n">
        <v>230.67</v>
      </c>
      <c r="I625" s="28" t="n">
        <v>18.46</v>
      </c>
      <c r="J625" s="94" t="inlineStr">
        <is>
          <t>False</t>
        </is>
      </c>
      <c r="K625" s="28" t="n">
        <v>0</v>
      </c>
      <c r="L625" s="25" t="inlineStr">
        <is>
          <t>TEQUILA</t>
        </is>
      </c>
      <c r="M625" s="25" t="inlineStr">
        <is>
          <t>JIM BEAM BRANDS CO</t>
        </is>
      </c>
      <c r="N625" s="25" t="inlineStr">
        <is>
          <t>040010-SOUTHERN GLAZERS WINE AND SPIRITS OF MISSISSIPPI LLC</t>
        </is>
      </c>
      <c r="O625" s="25" t="n"/>
      <c r="P625" s="25" t="inlineStr">
        <is>
          <t>10080686835025</t>
        </is>
      </c>
      <c r="Q625" s="25" t="inlineStr">
        <is>
          <t>0080686835028</t>
        </is>
      </c>
      <c r="R625" s="78" t="n">
        <v>42370</v>
      </c>
    </row>
    <row r="626">
      <c r="A626" t="inlineStr">
        <is>
          <t>or item code =</t>
        </is>
      </c>
      <c r="B626" s="25" t="inlineStr">
        <is>
          <t>65194</t>
        </is>
      </c>
      <c r="C626" s="25" t="inlineStr">
        <is>
          <t>HPNOTIQ VODKA &amp; COGNAC LIQUEUR</t>
        </is>
      </c>
      <c r="D626" s="25" t="inlineStr">
        <is>
          <t>375ml</t>
        </is>
      </c>
      <c r="E626" s="27" t="n">
        <v>354</v>
      </c>
      <c r="F626" s="27" t="n">
        <v>119</v>
      </c>
      <c r="G626" s="27" t="n">
        <v>12</v>
      </c>
      <c r="H626" s="28" t="n">
        <v>110.71</v>
      </c>
      <c r="I626" s="28" t="n">
        <v>0</v>
      </c>
      <c r="J626" s="94" t="inlineStr">
        <is>
          <t>False</t>
        </is>
      </c>
      <c r="K626" s="28" t="n">
        <v>0</v>
      </c>
      <c r="L626" s="25" t="inlineStr">
        <is>
          <t>LIQUEURS AND CORDIALS</t>
        </is>
      </c>
      <c r="M626" s="25" t="inlineStr">
        <is>
          <t>HEAVEN HILL BRANDS</t>
        </is>
      </c>
      <c r="N626" s="25" t="inlineStr">
        <is>
          <t>040010-SOUTHERN GLAZERS WINE AND SPIRITS OF MISSISSIPPI LLC</t>
        </is>
      </c>
      <c r="O626" s="25" t="n"/>
      <c r="P626" s="25" t="inlineStr">
        <is>
          <t>10736040012853</t>
        </is>
      </c>
      <c r="Q626" s="25" t="inlineStr">
        <is>
          <t>0736040012856</t>
        </is>
      </c>
      <c r="R626" s="78" t="n">
        <v>42370</v>
      </c>
    </row>
    <row r="627">
      <c r="A627" t="inlineStr">
        <is>
          <t>or item code =</t>
        </is>
      </c>
      <c r="B627" s="25" t="inlineStr">
        <is>
          <t>65188</t>
        </is>
      </c>
      <c r="C627" s="25" t="inlineStr">
        <is>
          <t>HPNOTIQ VODKA &amp; COGNAC LIQUEUR</t>
        </is>
      </c>
      <c r="D627" s="25" t="inlineStr">
        <is>
          <t>1.75L</t>
        </is>
      </c>
      <c r="E627" s="27" t="n">
        <v>85</v>
      </c>
      <c r="F627" s="27" t="n">
        <v>42</v>
      </c>
      <c r="G627" s="27" t="n">
        <v>3</v>
      </c>
      <c r="H627" s="28" t="n">
        <v>103.83</v>
      </c>
      <c r="I627" s="28" t="n">
        <v>0</v>
      </c>
      <c r="J627" s="94" t="inlineStr">
        <is>
          <t>False</t>
        </is>
      </c>
      <c r="K627" s="28" t="n">
        <v>0</v>
      </c>
      <c r="L627" s="25" t="inlineStr">
        <is>
          <t>LIQUEURS AND CORDIALS</t>
        </is>
      </c>
      <c r="M627" s="25" t="inlineStr">
        <is>
          <t>HEAVEN HILL BRANDS</t>
        </is>
      </c>
      <c r="N627" s="25" t="inlineStr">
        <is>
          <t>040010-SOUTHERN GLAZERS WINE AND SPIRITS OF MISSISSIPPI LLC</t>
        </is>
      </c>
      <c r="O627" s="25" t="n"/>
      <c r="P627" s="25" t="inlineStr">
        <is>
          <t>20736040012867</t>
        </is>
      </c>
      <c r="Q627" s="25" t="inlineStr">
        <is>
          <t>0736040012863</t>
        </is>
      </c>
      <c r="R627" s="78" t="n">
        <v>42370</v>
      </c>
    </row>
    <row r="628">
      <c r="A628" t="inlineStr">
        <is>
          <t>or item code =</t>
        </is>
      </c>
      <c r="B628" s="25" t="inlineStr">
        <is>
          <t>65193</t>
        </is>
      </c>
      <c r="C628" s="25" t="inlineStr">
        <is>
          <t>HPNOTIQ VODKA &amp; COGNAC LIQUEUR</t>
        </is>
      </c>
      <c r="D628" s="25" t="inlineStr">
        <is>
          <t>200ml</t>
        </is>
      </c>
      <c r="E628" s="27" t="n">
        <v>118</v>
      </c>
      <c r="F628" s="27" t="n">
        <v>42</v>
      </c>
      <c r="G628" s="27" t="n">
        <v>24</v>
      </c>
      <c r="H628" s="28" t="n">
        <v>129.13</v>
      </c>
      <c r="I628" s="28" t="n">
        <v>0</v>
      </c>
      <c r="J628" s="94" t="inlineStr">
        <is>
          <t>False</t>
        </is>
      </c>
      <c r="K628" s="28" t="n">
        <v>0</v>
      </c>
      <c r="L628" s="25" t="inlineStr">
        <is>
          <t>LIQUEURS AND CORDIALS</t>
        </is>
      </c>
      <c r="M628" s="25" t="inlineStr">
        <is>
          <t>HEAVEN HILL BRANDS</t>
        </is>
      </c>
      <c r="N628" s="25" t="inlineStr">
        <is>
          <t>040010-SOUTHERN GLAZERS WINE AND SPIRITS OF MISSISSIPPI LLC</t>
        </is>
      </c>
      <c r="O628" s="25" t="n"/>
      <c r="P628" s="25" t="inlineStr">
        <is>
          <t>20736040012843</t>
        </is>
      </c>
      <c r="Q628" s="25" t="inlineStr">
        <is>
          <t>0736040012849</t>
        </is>
      </c>
      <c r="R628" s="78" t="n">
        <v>42370</v>
      </c>
    </row>
    <row r="629">
      <c r="A629" t="inlineStr">
        <is>
          <t>or item code =</t>
        </is>
      </c>
      <c r="B629" s="25" t="inlineStr">
        <is>
          <t>65195</t>
        </is>
      </c>
      <c r="C629" s="25" t="inlineStr">
        <is>
          <t>HPNOTIQ VODKA &amp; COGNAC LIQUEUR</t>
        </is>
      </c>
      <c r="D629" s="25" t="inlineStr">
        <is>
          <t>750ml</t>
        </is>
      </c>
      <c r="E629" s="27" t="n">
        <v>407</v>
      </c>
      <c r="F629" s="27" t="n">
        <v>203</v>
      </c>
      <c r="G629" s="27" t="n">
        <v>6</v>
      </c>
      <c r="H629" s="28" t="n">
        <v>110.75</v>
      </c>
      <c r="I629" s="28" t="n">
        <v>0</v>
      </c>
      <c r="J629" s="94" t="inlineStr">
        <is>
          <t>False</t>
        </is>
      </c>
      <c r="K629" s="28" t="n">
        <v>0</v>
      </c>
      <c r="L629" s="25" t="inlineStr">
        <is>
          <t>LIQUEURS AND CORDIALS</t>
        </is>
      </c>
      <c r="M629" s="25" t="inlineStr">
        <is>
          <t>HEAVEN HILL BRANDS</t>
        </is>
      </c>
      <c r="N629" s="25" t="inlineStr">
        <is>
          <t>040010-SOUTHERN GLAZERS WINE AND SPIRITS OF MISSISSIPPI LLC</t>
        </is>
      </c>
      <c r="O629" s="25" t="n"/>
      <c r="P629" s="25" t="inlineStr">
        <is>
          <t>20736040011068</t>
        </is>
      </c>
      <c r="Q629" s="25" t="inlineStr">
        <is>
          <t>0736040011064</t>
        </is>
      </c>
      <c r="R629" s="78" t="n">
        <v>42370</v>
      </c>
    </row>
    <row r="630">
      <c r="A630" t="inlineStr">
        <is>
          <t>or item code =</t>
        </is>
      </c>
      <c r="B630" s="25" t="inlineStr">
        <is>
          <t>65191</t>
        </is>
      </c>
      <c r="C630" s="25" t="inlineStr">
        <is>
          <t>HPNOTIQ VODKA &amp; COGNAC LIQUEUR</t>
        </is>
      </c>
      <c r="D630" s="25" t="inlineStr">
        <is>
          <t>50ml</t>
        </is>
      </c>
      <c r="E630" s="27" t="n">
        <v>59</v>
      </c>
      <c r="F630" s="27" t="n">
        <v>14</v>
      </c>
      <c r="G630" s="27" t="n">
        <v>96</v>
      </c>
      <c r="H630" s="28" t="n">
        <v>221.46</v>
      </c>
      <c r="I630" s="28" t="n">
        <v>0</v>
      </c>
      <c r="J630" s="94" t="inlineStr">
        <is>
          <t>False</t>
        </is>
      </c>
      <c r="K630" s="28" t="n">
        <v>0</v>
      </c>
      <c r="L630" s="25" t="inlineStr">
        <is>
          <t>LIQUEURS AND CORDIALS</t>
        </is>
      </c>
      <c r="M630" s="25" t="inlineStr">
        <is>
          <t>HEAVEN HILL BRANDS</t>
        </is>
      </c>
      <c r="N630" s="25" t="inlineStr">
        <is>
          <t>040010-SOUTHERN GLAZERS WINE AND SPIRITS OF MISSISSIPPI LLC</t>
        </is>
      </c>
      <c r="O630" s="25" t="n"/>
      <c r="P630" s="25" t="inlineStr">
        <is>
          <t>10736040012877</t>
        </is>
      </c>
      <c r="Q630" s="25" t="inlineStr">
        <is>
          <t>0073604012870</t>
        </is>
      </c>
      <c r="R630" s="78" t="n">
        <v>42279</v>
      </c>
    </row>
    <row r="631">
      <c r="A631" t="inlineStr">
        <is>
          <t>or item code =</t>
        </is>
      </c>
      <c r="B631" s="25" t="inlineStr">
        <is>
          <t>5290</t>
        </is>
      </c>
      <c r="C631" s="25" t="inlineStr">
        <is>
          <t>J &amp; B RARE</t>
        </is>
      </c>
      <c r="D631" s="25" t="inlineStr">
        <is>
          <t>750ml</t>
        </is>
      </c>
      <c r="E631" s="27" t="n">
        <v>27</v>
      </c>
      <c r="F631" s="27" t="n">
        <v>11</v>
      </c>
      <c r="G631" s="27" t="n">
        <v>12</v>
      </c>
      <c r="H631" s="28" t="n">
        <v>207.51</v>
      </c>
      <c r="I631" s="28" t="n">
        <v>0</v>
      </c>
      <c r="J631" s="94" t="inlineStr">
        <is>
          <t>False</t>
        </is>
      </c>
      <c r="K631" s="28" t="n">
        <v>0</v>
      </c>
      <c r="L631" s="25" t="inlineStr">
        <is>
          <t>WHISKY - SCOTCH</t>
        </is>
      </c>
      <c r="M631" s="25" t="inlineStr">
        <is>
          <t>DIAGEO AMERICAS INC</t>
        </is>
      </c>
      <c r="N631" s="25" t="inlineStr">
        <is>
          <t>040010-SOUTHERN GLAZERS WINE AND SPIRITS OF MISSISSIPPI LLC</t>
        </is>
      </c>
      <c r="O631" s="25" t="n"/>
      <c r="P631" s="25" t="inlineStr">
        <is>
          <t>00088076172418</t>
        </is>
      </c>
      <c r="Q631" s="25" t="inlineStr">
        <is>
          <t>088110985042</t>
        </is>
      </c>
      <c r="R631" s="78" t="n">
        <v>42370</v>
      </c>
    </row>
    <row r="632">
      <c r="A632" t="inlineStr">
        <is>
          <t>or item code =</t>
        </is>
      </c>
      <c r="B632" s="25" t="inlineStr">
        <is>
          <t>477852</t>
        </is>
      </c>
      <c r="C632" s="25" t="inlineStr">
        <is>
          <t>J VINEYARDS PINOT NOIR MNTRY/SNMA/S BRBR</t>
        </is>
      </c>
      <c r="D632" s="25" t="inlineStr">
        <is>
          <t>750ml</t>
        </is>
      </c>
      <c r="E632" s="27" t="n">
        <v>49</v>
      </c>
      <c r="F632" s="27" t="n">
        <v>47</v>
      </c>
      <c r="G632" s="27" t="n">
        <v>12</v>
      </c>
      <c r="H632" s="28" t="n">
        <v>201.35</v>
      </c>
      <c r="I632" s="28" t="n">
        <v>17.13</v>
      </c>
      <c r="J632" s="94" t="inlineStr">
        <is>
          <t>False</t>
        </is>
      </c>
      <c r="K632" s="28" t="n">
        <v>0</v>
      </c>
      <c r="L632" s="25" t="inlineStr">
        <is>
          <t>PINOT NOIR</t>
        </is>
      </c>
      <c r="M632" s="25" t="inlineStr">
        <is>
          <t>E &amp; J GALLO WINERY</t>
        </is>
      </c>
      <c r="N632" s="25" t="inlineStr">
        <is>
          <t>040012-GALLO WINES OF MISSISSIPPI</t>
        </is>
      </c>
      <c r="O632" s="25" t="n"/>
      <c r="P632" s="25" t="inlineStr">
        <is>
          <t>00000000477852</t>
        </is>
      </c>
      <c r="Q632" s="25" t="inlineStr">
        <is>
          <t>0724624001006</t>
        </is>
      </c>
      <c r="R632" s="78" t="n">
        <v>43161</v>
      </c>
    </row>
    <row r="633">
      <c r="A633" t="inlineStr">
        <is>
          <t>or item code =</t>
        </is>
      </c>
      <c r="B633" s="25" t="inlineStr">
        <is>
          <t>758005</t>
        </is>
      </c>
      <c r="C633" s="25" t="inlineStr">
        <is>
          <t>J. ROGET CHAMPAGNE EXTRA DRY</t>
        </is>
      </c>
      <c r="D633" s="25" t="inlineStr">
        <is>
          <t>750ml</t>
        </is>
      </c>
      <c r="E633" s="27" t="n">
        <v>0</v>
      </c>
      <c r="F633" s="27" t="n">
        <v>0</v>
      </c>
      <c r="G633" s="27" t="n">
        <v>12</v>
      </c>
      <c r="H633" s="28" t="n">
        <v>68.48</v>
      </c>
      <c r="I633" s="28" t="n">
        <v>0</v>
      </c>
      <c r="J633" s="94" t="inlineStr">
        <is>
          <t>False</t>
        </is>
      </c>
      <c r="K633" s="28" t="n">
        <v>0</v>
      </c>
      <c r="L633" s="25" t="inlineStr">
        <is>
          <t>SPRKLNG, CHMPGNE, ETC.</t>
        </is>
      </c>
      <c r="M633" s="25" t="inlineStr">
        <is>
          <t>CONSTELLATION BRANDS INC</t>
        </is>
      </c>
      <c r="N633" s="25" t="inlineStr">
        <is>
          <t>040010-SOUTHERN GLAZERS WINE AND SPIRITS OF MISSISSIPPI LLC</t>
        </is>
      </c>
      <c r="O633" s="25" t="n"/>
      <c r="P633" s="25" t="inlineStr">
        <is>
          <t>20081392000094</t>
        </is>
      </c>
      <c r="Q633" s="25" t="inlineStr">
        <is>
          <t>08139290</t>
        </is>
      </c>
      <c r="R633" s="78" t="n">
        <v>42370</v>
      </c>
    </row>
    <row r="634">
      <c r="A634" t="inlineStr">
        <is>
          <t>or item code =</t>
        </is>
      </c>
      <c r="B634" s="25" t="inlineStr">
        <is>
          <t>758000</t>
        </is>
      </c>
      <c r="C634" s="25" t="inlineStr">
        <is>
          <t>J. ROGET CHAMPAGNE EXTRA DRY</t>
        </is>
      </c>
      <c r="D634" s="25" t="inlineStr">
        <is>
          <t>1.5L</t>
        </is>
      </c>
      <c r="E634" s="27" t="n">
        <v>27</v>
      </c>
      <c r="F634" s="27" t="n">
        <v>10</v>
      </c>
      <c r="G634" s="27" t="n">
        <v>6</v>
      </c>
      <c r="H634" s="28" t="n">
        <v>64.23</v>
      </c>
      <c r="I634" s="28" t="n">
        <v>0</v>
      </c>
      <c r="J634" s="94" t="inlineStr">
        <is>
          <t>False</t>
        </is>
      </c>
      <c r="K634" s="28" t="n">
        <v>0</v>
      </c>
      <c r="L634" s="25" t="inlineStr">
        <is>
          <t>SPRKLNG, CHMPGNE, ETC.</t>
        </is>
      </c>
      <c r="M634" s="25" t="inlineStr">
        <is>
          <t>CONSTELLATION BRANDS INC</t>
        </is>
      </c>
      <c r="N634" s="25" t="inlineStr">
        <is>
          <t>040010-SOUTHERN GLAZERS WINE AND SPIRITS OF MISSISSIPPI LLC</t>
        </is>
      </c>
      <c r="O634" s="25" t="n"/>
      <c r="P634" s="25" t="inlineStr">
        <is>
          <t>10082100009883</t>
        </is>
      </c>
      <c r="Q634" s="25" t="inlineStr">
        <is>
          <t>08298816</t>
        </is>
      </c>
      <c r="R634" s="78" t="n">
        <v>42370</v>
      </c>
    </row>
    <row r="635">
      <c r="A635" t="inlineStr">
        <is>
          <t>or item code =</t>
        </is>
      </c>
      <c r="B635" s="25" t="inlineStr">
        <is>
          <t>774850</t>
        </is>
      </c>
      <c r="C635" s="25" t="inlineStr">
        <is>
          <t>J. ROGET SPUMANTE</t>
        </is>
      </c>
      <c r="D635" s="25" t="inlineStr">
        <is>
          <t>1.5L</t>
        </is>
      </c>
      <c r="E635" s="27" t="n">
        <v>71</v>
      </c>
      <c r="F635" s="27" t="n">
        <v>34</v>
      </c>
      <c r="G635" s="27" t="n">
        <v>6</v>
      </c>
      <c r="H635" s="28" t="n">
        <v>64.23</v>
      </c>
      <c r="I635" s="28" t="n">
        <v>0</v>
      </c>
      <c r="J635" s="94" t="inlineStr">
        <is>
          <t>False</t>
        </is>
      </c>
      <c r="K635" s="28" t="n">
        <v>0</v>
      </c>
      <c r="L635" s="25" t="inlineStr">
        <is>
          <t>SPRKLNG, CHMPGNE, ETC.</t>
        </is>
      </c>
      <c r="M635" s="25" t="inlineStr">
        <is>
          <t>CONSTELLATION BRANDS INC</t>
        </is>
      </c>
      <c r="N635" s="25" t="inlineStr">
        <is>
          <t>040010-SOUTHERN GLAZERS WINE AND SPIRITS OF MISSISSIPPI LLC</t>
        </is>
      </c>
      <c r="O635" s="25" t="n"/>
      <c r="P635" s="25" t="inlineStr">
        <is>
          <t>10082100000316</t>
        </is>
      </c>
      <c r="Q635" s="25" t="inlineStr">
        <is>
          <t>08203119</t>
        </is>
      </c>
      <c r="R635" s="78" t="n">
        <v>42370</v>
      </c>
    </row>
    <row r="636">
      <c r="A636" t="inlineStr">
        <is>
          <t>or item code =</t>
        </is>
      </c>
      <c r="B636" s="25" t="inlineStr">
        <is>
          <t>774855</t>
        </is>
      </c>
      <c r="C636" s="25" t="inlineStr">
        <is>
          <t>J. ROGET SPUMANTE</t>
        </is>
      </c>
      <c r="D636" s="25" t="inlineStr">
        <is>
          <t>750ml</t>
        </is>
      </c>
      <c r="E636" s="27" t="n">
        <v>8</v>
      </c>
      <c r="F636" s="27" t="n">
        <v>79</v>
      </c>
      <c r="G636" s="27" t="n">
        <v>12</v>
      </c>
      <c r="H636" s="28" t="n">
        <v>68.48</v>
      </c>
      <c r="I636" s="28" t="n">
        <v>0</v>
      </c>
      <c r="J636" s="94" t="inlineStr">
        <is>
          <t>False</t>
        </is>
      </c>
      <c r="K636" s="28" t="n">
        <v>0</v>
      </c>
      <c r="L636" s="25" t="inlineStr">
        <is>
          <t>SPRKLNG, CHMPGNE, ETC.</t>
        </is>
      </c>
      <c r="M636" s="25" t="inlineStr">
        <is>
          <t>CONSTELLATION BRANDS INC</t>
        </is>
      </c>
      <c r="N636" s="25" t="inlineStr">
        <is>
          <t>040010-SOUTHERN GLAZERS WINE AND SPIRITS OF MISSISSIPPI LLC</t>
        </is>
      </c>
      <c r="O636" s="25" t="n"/>
      <c r="P636" s="25" t="inlineStr">
        <is>
          <t>20081392000056</t>
        </is>
      </c>
      <c r="Q636" s="25" t="inlineStr">
        <is>
          <t>08139252</t>
        </is>
      </c>
      <c r="R636" s="78" t="n">
        <v>42370</v>
      </c>
    </row>
    <row r="637">
      <c r="A637" t="inlineStr">
        <is>
          <t>or item code =</t>
        </is>
      </c>
      <c r="B637" s="25" t="inlineStr">
        <is>
          <t>26828</t>
        </is>
      </c>
      <c r="C637" s="25" t="inlineStr">
        <is>
          <t>JACK DANIELS BLACK LABEL</t>
        </is>
      </c>
      <c r="D637" s="25" t="inlineStr">
        <is>
          <t>1.75L</t>
        </is>
      </c>
      <c r="E637" s="27" t="n">
        <v>999</v>
      </c>
      <c r="F637" s="27" t="n">
        <v>382</v>
      </c>
      <c r="G637" s="27" t="n">
        <v>6</v>
      </c>
      <c r="H637" s="28" t="n">
        <v>232.61</v>
      </c>
      <c r="I637" s="28" t="n">
        <v>0</v>
      </c>
      <c r="J637" s="94" t="inlineStr">
        <is>
          <t>False</t>
        </is>
      </c>
      <c r="K637" s="28" t="n">
        <v>0</v>
      </c>
      <c r="L637" s="25" t="inlineStr">
        <is>
          <t>WHISKEY - TENNESSEE</t>
        </is>
      </c>
      <c r="M637" s="25" t="inlineStr">
        <is>
          <t>BROWN FORMAN CORP</t>
        </is>
      </c>
      <c r="N637" s="25" t="inlineStr">
        <is>
          <t>045041-UNITED JOHNSON BROTHERS OF MS</t>
        </is>
      </c>
      <c r="O637" s="25" t="n"/>
      <c r="P637" s="25" t="inlineStr">
        <is>
          <t>00082184081600</t>
        </is>
      </c>
      <c r="Q637" s="25" t="inlineStr">
        <is>
          <t>0082184090428</t>
        </is>
      </c>
      <c r="R637" s="78" t="n">
        <v>42309</v>
      </c>
    </row>
    <row r="638">
      <c r="A638" t="inlineStr">
        <is>
          <t>or item code =</t>
        </is>
      </c>
      <c r="B638" s="25" t="inlineStr">
        <is>
          <t>26827</t>
        </is>
      </c>
      <c r="C638" s="25" t="inlineStr">
        <is>
          <t>JACK DANIELS BLACK LABEL</t>
        </is>
      </c>
      <c r="D638" s="25" t="inlineStr">
        <is>
          <t>1L</t>
        </is>
      </c>
      <c r="E638" s="27" t="n">
        <v>878</v>
      </c>
      <c r="F638" s="27" t="n">
        <v>606</v>
      </c>
      <c r="G638" s="27" t="n">
        <v>12</v>
      </c>
      <c r="H638" s="28" t="n">
        <v>258.95</v>
      </c>
      <c r="I638" s="28" t="n">
        <v>12</v>
      </c>
      <c r="J638" s="94" t="inlineStr">
        <is>
          <t>False</t>
        </is>
      </c>
      <c r="K638" s="28" t="n">
        <v>0</v>
      </c>
      <c r="L638" s="25" t="inlineStr">
        <is>
          <t>WHISKEY - TENNESSEE</t>
        </is>
      </c>
      <c r="M638" s="25" t="inlineStr">
        <is>
          <t>BROWN FORMAN CORP</t>
        </is>
      </c>
      <c r="N638" s="25" t="inlineStr">
        <is>
          <t>045041-UNITED JOHNSON BROTHERS OF MS</t>
        </is>
      </c>
      <c r="O638" s="25" t="n"/>
      <c r="P638" s="25" t="inlineStr">
        <is>
          <t>00082184081655</t>
        </is>
      </c>
      <c r="Q638" s="25" t="inlineStr">
        <is>
          <t>0082184090442</t>
        </is>
      </c>
      <c r="R638" s="78" t="n">
        <v>42370</v>
      </c>
    </row>
    <row r="639">
      <c r="A639" t="inlineStr">
        <is>
          <t>or item code =</t>
        </is>
      </c>
      <c r="B639" s="25" t="inlineStr">
        <is>
          <t>26821</t>
        </is>
      </c>
      <c r="C639" s="25" t="inlineStr">
        <is>
          <t>JACK DANIELS BLACK LABEL</t>
        </is>
      </c>
      <c r="D639" s="25" t="inlineStr">
        <is>
          <t>50ml</t>
        </is>
      </c>
      <c r="E639" s="27" t="n">
        <v>0</v>
      </c>
      <c r="F639" s="27" t="n">
        <v>7</v>
      </c>
      <c r="G639" s="27" t="n">
        <v>120</v>
      </c>
      <c r="H639" s="28" t="n">
        <v>153.96</v>
      </c>
      <c r="I639" s="28" t="n">
        <v>0</v>
      </c>
      <c r="J639" s="94" t="inlineStr">
        <is>
          <t>False</t>
        </is>
      </c>
      <c r="K639" s="28" t="n">
        <v>0</v>
      </c>
      <c r="L639" s="25" t="inlineStr">
        <is>
          <t>WHISKEY - TENNESSEE</t>
        </is>
      </c>
      <c r="M639" s="25" t="inlineStr">
        <is>
          <t>BROWN FORMAN CORP</t>
        </is>
      </c>
      <c r="N639" s="25" t="inlineStr">
        <is>
          <t>045041-UNITED JOHNSON BROTHERS OF MS</t>
        </is>
      </c>
      <c r="O639" s="25" t="n"/>
      <c r="P639" s="25" t="inlineStr">
        <is>
          <t>00082184081822</t>
        </is>
      </c>
      <c r="Q639" s="25" t="inlineStr">
        <is>
          <t>082184000052</t>
        </is>
      </c>
      <c r="R639" s="27" t="n"/>
    </row>
    <row r="640">
      <c r="A640" t="inlineStr">
        <is>
          <t>or item code =</t>
        </is>
      </c>
      <c r="B640" s="25" t="inlineStr">
        <is>
          <t>26824</t>
        </is>
      </c>
      <c r="C640" s="25" t="inlineStr">
        <is>
          <t>JACK DANIELS BLACK LABEL</t>
        </is>
      </c>
      <c r="D640" s="25" t="inlineStr">
        <is>
          <t>375ml</t>
        </is>
      </c>
      <c r="E640" s="27" t="n">
        <v>0</v>
      </c>
      <c r="F640" s="27" t="n">
        <v>155</v>
      </c>
      <c r="G640" s="27" t="n">
        <v>24</v>
      </c>
      <c r="H640" s="28" t="n">
        <v>222.69</v>
      </c>
      <c r="I640" s="28" t="n">
        <v>0</v>
      </c>
      <c r="J640" s="94" t="inlineStr">
        <is>
          <t>False</t>
        </is>
      </c>
      <c r="K640" s="28" t="n">
        <v>0</v>
      </c>
      <c r="L640" s="25" t="inlineStr">
        <is>
          <t>WHISKEY - TENNESSEE</t>
        </is>
      </c>
      <c r="M640" s="25" t="inlineStr">
        <is>
          <t>BROWN FORMAN CORP</t>
        </is>
      </c>
      <c r="N640" s="25" t="inlineStr">
        <is>
          <t>045041-UNITED JOHNSON BROTHERS OF MS</t>
        </is>
      </c>
      <c r="O640" s="25" t="n"/>
      <c r="P640" s="25" t="inlineStr">
        <is>
          <t>00082184081778</t>
        </is>
      </c>
      <c r="Q640" s="25" t="inlineStr">
        <is>
          <t>082184090510</t>
        </is>
      </c>
      <c r="R640" s="78" t="n">
        <v>42370</v>
      </c>
    </row>
    <row r="641">
      <c r="A641" t="inlineStr">
        <is>
          <t>or item code =</t>
        </is>
      </c>
      <c r="B641" s="25" t="inlineStr">
        <is>
          <t>26826</t>
        </is>
      </c>
      <c r="C641" s="25" t="inlineStr">
        <is>
          <t>JACK DANIELS BLACK LABEL</t>
        </is>
      </c>
      <c r="D641" s="25" t="inlineStr">
        <is>
          <t>750ml</t>
        </is>
      </c>
      <c r="E641" s="27" t="n">
        <v>1945</v>
      </c>
      <c r="F641" s="27" t="n">
        <v>468</v>
      </c>
      <c r="G641" s="27" t="n">
        <v>12</v>
      </c>
      <c r="H641" s="28" t="n">
        <v>227.76</v>
      </c>
      <c r="I641" s="28" t="n">
        <v>0</v>
      </c>
      <c r="J641" s="94" t="inlineStr">
        <is>
          <t>False</t>
        </is>
      </c>
      <c r="K641" s="28" t="n">
        <v>0</v>
      </c>
      <c r="L641" s="25" t="inlineStr">
        <is>
          <t>WHISKEY - TENNESSEE</t>
        </is>
      </c>
      <c r="M641" s="25" t="inlineStr">
        <is>
          <t>BROWN FORMAN CORP</t>
        </is>
      </c>
      <c r="N641" s="25" t="inlineStr">
        <is>
          <t>045041-UNITED JOHNSON BROTHERS OF MS</t>
        </is>
      </c>
      <c r="O641" s="25" t="n"/>
      <c r="P641" s="25" t="inlineStr">
        <is>
          <t>00082184081693</t>
        </is>
      </c>
      <c r="Q641" s="25" t="inlineStr">
        <is>
          <t>0082184090466</t>
        </is>
      </c>
      <c r="R641" s="78" t="n">
        <v>44501</v>
      </c>
    </row>
    <row r="642">
      <c r="A642" t="inlineStr">
        <is>
          <t>or item code =</t>
        </is>
      </c>
      <c r="B642" s="25" t="inlineStr">
        <is>
          <t>26822</t>
        </is>
      </c>
      <c r="C642" s="25" t="inlineStr">
        <is>
          <t>JACK DANIELS BLACK LABEL</t>
        </is>
      </c>
      <c r="D642" s="25" t="inlineStr">
        <is>
          <t>100ml</t>
        </is>
      </c>
      <c r="E642" s="27" t="n">
        <v>0</v>
      </c>
      <c r="F642" s="27" t="n">
        <v>199</v>
      </c>
      <c r="G642" s="27" t="n">
        <v>48</v>
      </c>
      <c r="H642" s="28" t="n">
        <v>124.55</v>
      </c>
      <c r="I642" s="28" t="n">
        <v>0</v>
      </c>
      <c r="J642" s="94" t="inlineStr">
        <is>
          <t>False</t>
        </is>
      </c>
      <c r="K642" s="28" t="n">
        <v>0</v>
      </c>
      <c r="L642" s="25" t="inlineStr">
        <is>
          <t>WHISKEY - TENNESSEE</t>
        </is>
      </c>
      <c r="M642" s="25" t="inlineStr">
        <is>
          <t>BROWN FORMAN CORP</t>
        </is>
      </c>
      <c r="N642" s="25" t="inlineStr">
        <is>
          <t>045041-UNITED JOHNSON BROTHERS OF MS</t>
        </is>
      </c>
      <c r="O642" s="25" t="n"/>
      <c r="P642" s="25" t="inlineStr">
        <is>
          <t>10082184081836</t>
        </is>
      </c>
      <c r="Q642" s="25" t="inlineStr">
        <is>
          <t>0082184081839</t>
        </is>
      </c>
      <c r="R642" s="78" t="n">
        <v>42370</v>
      </c>
    </row>
    <row r="643">
      <c r="A643" t="inlineStr">
        <is>
          <t>or item code =</t>
        </is>
      </c>
      <c r="B643" s="25" t="inlineStr">
        <is>
          <t>26823</t>
        </is>
      </c>
      <c r="C643" s="25" t="inlineStr">
        <is>
          <t>JACK DANIELS BLACK LABEL</t>
        </is>
      </c>
      <c r="D643" s="25" t="inlineStr">
        <is>
          <t>200ml</t>
        </is>
      </c>
      <c r="E643" s="27" t="n">
        <v>71</v>
      </c>
      <c r="F643" s="27" t="n">
        <v>245</v>
      </c>
      <c r="G643" s="27" t="n">
        <v>48</v>
      </c>
      <c r="H643" s="28" t="n">
        <v>241.9</v>
      </c>
      <c r="I643" s="28" t="n">
        <v>0</v>
      </c>
      <c r="J643" s="94" t="inlineStr">
        <is>
          <t>False</t>
        </is>
      </c>
      <c r="K643" s="28" t="n">
        <v>0</v>
      </c>
      <c r="L643" s="25" t="inlineStr">
        <is>
          <t>WHISKEY - TENNESSEE</t>
        </is>
      </c>
      <c r="M643" s="25" t="inlineStr">
        <is>
          <t>BROWN FORMAN CORP</t>
        </is>
      </c>
      <c r="N643" s="25" t="inlineStr">
        <is>
          <t>045041-UNITED JOHNSON BROTHERS OF MS</t>
        </is>
      </c>
      <c r="O643" s="25" t="n"/>
      <c r="P643" s="25" t="inlineStr">
        <is>
          <t>10082184101275</t>
        </is>
      </c>
      <c r="Q643" s="25" t="inlineStr">
        <is>
          <t>0082184090527</t>
        </is>
      </c>
      <c r="R643" s="78" t="n">
        <v>44501</v>
      </c>
    </row>
    <row r="644">
      <c r="A644" t="inlineStr">
        <is>
          <t>or item code =</t>
        </is>
      </c>
      <c r="B644" s="25" t="inlineStr">
        <is>
          <t>26820</t>
        </is>
      </c>
      <c r="C644" s="25" t="inlineStr">
        <is>
          <t>JACK DANIELS BLACK LABEL (PET)</t>
        </is>
      </c>
      <c r="D644" s="25" t="inlineStr">
        <is>
          <t>375ml</t>
        </is>
      </c>
      <c r="E644" s="27" t="n">
        <v>0</v>
      </c>
      <c r="F644" s="27" t="n">
        <v>273</v>
      </c>
      <c r="G644" s="27" t="n">
        <v>24</v>
      </c>
      <c r="H644" s="28" t="n">
        <v>222.69</v>
      </c>
      <c r="I644" s="28" t="n">
        <v>0</v>
      </c>
      <c r="J644" s="94" t="inlineStr">
        <is>
          <t>False</t>
        </is>
      </c>
      <c r="K644" s="28" t="n">
        <v>0</v>
      </c>
      <c r="L644" s="25" t="inlineStr">
        <is>
          <t>WHISKEY - TENNESSEE</t>
        </is>
      </c>
      <c r="M644" s="25" t="inlineStr">
        <is>
          <t>BROWN FORMAN CORP</t>
        </is>
      </c>
      <c r="N644" s="25" t="inlineStr">
        <is>
          <t>045041-UNITED JOHNSON BROTHERS OF MS</t>
        </is>
      </c>
      <c r="O644" s="25" t="n"/>
      <c r="P644" s="25" t="inlineStr">
        <is>
          <t>10082184101282</t>
        </is>
      </c>
      <c r="Q644" s="25" t="inlineStr">
        <is>
          <t>0082184090503</t>
        </is>
      </c>
      <c r="R644" s="78" t="n">
        <v>42370</v>
      </c>
    </row>
    <row r="645">
      <c r="A645" t="inlineStr">
        <is>
          <t>or item code =</t>
        </is>
      </c>
      <c r="B645" s="25" t="inlineStr">
        <is>
          <t>16222</t>
        </is>
      </c>
      <c r="C645" s="25" t="inlineStr">
        <is>
          <t>JACK DANIEL'S BONDED</t>
        </is>
      </c>
      <c r="D645" s="25" t="inlineStr">
        <is>
          <t>700ml</t>
        </is>
      </c>
      <c r="E645" s="27" t="n">
        <v>188</v>
      </c>
      <c r="F645" s="27" t="n">
        <v>27</v>
      </c>
      <c r="G645" s="27" t="n">
        <v>6</v>
      </c>
      <c r="H645" s="28" t="n">
        <v>155.32</v>
      </c>
      <c r="I645" s="28" t="n">
        <v>0</v>
      </c>
      <c r="J645" s="94" t="inlineStr">
        <is>
          <t>False</t>
        </is>
      </c>
      <c r="K645" s="28" t="n">
        <v>0</v>
      </c>
      <c r="L645" s="25" t="inlineStr">
        <is>
          <t>WHISKEY - STRAIGHT</t>
        </is>
      </c>
      <c r="M645" s="25" t="inlineStr">
        <is>
          <t>BROWN FORMAN CORP</t>
        </is>
      </c>
      <c r="N645" s="25" t="inlineStr">
        <is>
          <t>045041-UNITED JOHNSON BROTHERS OF MS</t>
        </is>
      </c>
      <c r="O645" s="25" t="n"/>
      <c r="P645" s="25" t="inlineStr">
        <is>
          <t>10082194105935</t>
        </is>
      </c>
      <c r="Q645" s="25" t="inlineStr">
        <is>
          <t>082184005934</t>
        </is>
      </c>
      <c r="R645" s="78" t="n">
        <v>44655</v>
      </c>
    </row>
    <row r="646">
      <c r="A646" t="inlineStr">
        <is>
          <t>or item code =</t>
        </is>
      </c>
      <c r="B646" s="25" t="inlineStr">
        <is>
          <t>16620</t>
        </is>
      </c>
      <c r="C646" s="25" t="inlineStr">
        <is>
          <t>JACK DANIEL'S BONDED TRIPLE MASH</t>
        </is>
      </c>
      <c r="D646" s="25" t="inlineStr">
        <is>
          <t>700ml</t>
        </is>
      </c>
      <c r="E646" s="27" t="n">
        <v>6</v>
      </c>
      <c r="F646" s="27" t="n">
        <v>23</v>
      </c>
      <c r="G646" s="27" t="n">
        <v>6</v>
      </c>
      <c r="H646" s="28" t="n">
        <v>169.72</v>
      </c>
      <c r="I646" s="28" t="n">
        <v>0</v>
      </c>
      <c r="J646" s="94" t="inlineStr">
        <is>
          <t>False</t>
        </is>
      </c>
      <c r="K646" s="28" t="n">
        <v>0</v>
      </c>
      <c r="L646" s="25" t="inlineStr">
        <is>
          <t>WHISKEY - STRAIGHT</t>
        </is>
      </c>
      <c r="M646" s="25" t="inlineStr">
        <is>
          <t>BROWN FORMAN CORP</t>
        </is>
      </c>
      <c r="N646" s="25" t="inlineStr">
        <is>
          <t>045041-UNITED JOHNSON BROTHERS OF MS</t>
        </is>
      </c>
      <c r="O646" s="25" t="n"/>
      <c r="P646" s="25" t="inlineStr">
        <is>
          <t>10082194105942</t>
        </is>
      </c>
      <c r="Q646" s="25" t="inlineStr">
        <is>
          <t>082184005941</t>
        </is>
      </c>
      <c r="R646" s="78" t="n">
        <v>44652</v>
      </c>
    </row>
    <row r="647">
      <c r="A647" t="inlineStr">
        <is>
          <t>or item code =</t>
        </is>
      </c>
      <c r="B647" s="25" t="inlineStr">
        <is>
          <t>26906</t>
        </is>
      </c>
      <c r="C647" s="25" t="inlineStr">
        <is>
          <t>JACK DANIEL'S SINGLE BARREL</t>
        </is>
      </c>
      <c r="D647" s="25" t="inlineStr">
        <is>
          <t>750ml</t>
        </is>
      </c>
      <c r="E647" s="27" t="n">
        <v>33</v>
      </c>
      <c r="F647" s="27" t="n">
        <v>62</v>
      </c>
      <c r="G647" s="27" t="n">
        <v>6</v>
      </c>
      <c r="H647" s="28" t="n">
        <v>232.97</v>
      </c>
      <c r="I647" s="28" t="n">
        <v>0</v>
      </c>
      <c r="J647" s="94" t="inlineStr">
        <is>
          <t>False</t>
        </is>
      </c>
      <c r="K647" s="28" t="n">
        <v>0</v>
      </c>
      <c r="L647" s="25" t="inlineStr">
        <is>
          <t>WHISKEY - TENNESSEE</t>
        </is>
      </c>
      <c r="M647" s="25" t="inlineStr">
        <is>
          <t>BROWN FORMAN CORP</t>
        </is>
      </c>
      <c r="N647" s="25" t="inlineStr">
        <is>
          <t>045041-UNITED JOHNSON BROTHERS OF MS</t>
        </is>
      </c>
      <c r="O647" s="25" t="n"/>
      <c r="P647" s="25" t="inlineStr">
        <is>
          <t>10082184087005</t>
        </is>
      </c>
      <c r="Q647" s="25" t="inlineStr">
        <is>
          <t>0082184087008</t>
        </is>
      </c>
      <c r="R647" s="78" t="n">
        <v>42370</v>
      </c>
    </row>
    <row r="648">
      <c r="A648" t="inlineStr">
        <is>
          <t>or item code =</t>
        </is>
      </c>
      <c r="B648" s="25" t="inlineStr">
        <is>
          <t>26729</t>
        </is>
      </c>
      <c r="C648" s="25" t="inlineStr">
        <is>
          <t>JACK DANIEL'S SINGLE BARREL BARREL PROOF 100PF</t>
        </is>
      </c>
      <c r="D648" s="25" t="inlineStr">
        <is>
          <t>750ml</t>
        </is>
      </c>
      <c r="E648" s="27" t="n">
        <v>0</v>
      </c>
      <c r="F648" s="27" t="n">
        <v>6</v>
      </c>
      <c r="G648" s="27" t="n">
        <v>6</v>
      </c>
      <c r="H648" s="28" t="n">
        <v>314.2</v>
      </c>
      <c r="I648" s="28" t="n">
        <v>0</v>
      </c>
      <c r="J648" s="94" t="inlineStr">
        <is>
          <t>False</t>
        </is>
      </c>
      <c r="K648" s="28" t="n">
        <v>0</v>
      </c>
      <c r="L648" s="25" t="inlineStr">
        <is>
          <t>WHISKEY - TENNESSEE</t>
        </is>
      </c>
      <c r="M648" s="25" t="inlineStr">
        <is>
          <t>BROWN FORMAN CORP</t>
        </is>
      </c>
      <c r="N648" s="25" t="inlineStr">
        <is>
          <t>045041-UNITED JOHNSON BROTHERS OF MS</t>
        </is>
      </c>
      <c r="O648" s="25" t="n"/>
      <c r="P648" s="25" t="inlineStr">
        <is>
          <t>10082184104429</t>
        </is>
      </c>
      <c r="Q648" s="25" t="inlineStr">
        <is>
          <t>0821840021000</t>
        </is>
      </c>
      <c r="R648" s="78" t="n">
        <v>44166</v>
      </c>
    </row>
    <row r="649">
      <c r="A649" t="inlineStr">
        <is>
          <t>or item code =</t>
        </is>
      </c>
      <c r="B649" s="25" t="inlineStr">
        <is>
          <t>74801</t>
        </is>
      </c>
      <c r="C649" s="25" t="inlineStr">
        <is>
          <t>JACK DANIEL'S TENNESSEE APPLE LIQUEUR</t>
        </is>
      </c>
      <c r="D649" s="25" t="inlineStr">
        <is>
          <t>750ml</t>
        </is>
      </c>
      <c r="E649" s="27" t="n">
        <v>7</v>
      </c>
      <c r="F649" s="27" t="n">
        <v>52</v>
      </c>
      <c r="G649" s="27" t="n">
        <v>12</v>
      </c>
      <c r="H649" s="28" t="n">
        <v>227.76</v>
      </c>
      <c r="I649" s="28" t="n">
        <v>0</v>
      </c>
      <c r="J649" s="94" t="inlineStr">
        <is>
          <t>False</t>
        </is>
      </c>
      <c r="K649" s="28" t="n">
        <v>0</v>
      </c>
      <c r="L649" s="25" t="inlineStr">
        <is>
          <t>WHISKEY OTHER</t>
        </is>
      </c>
      <c r="M649" s="25" t="inlineStr">
        <is>
          <t>BROWN FORMAN CORP</t>
        </is>
      </c>
      <c r="N649" s="25" t="inlineStr">
        <is>
          <t>045041-UNITED JOHNSON BROTHERS OF MS</t>
        </is>
      </c>
      <c r="O649" s="25" t="n"/>
      <c r="P649" s="25" t="inlineStr">
        <is>
          <t>10082184104375</t>
        </is>
      </c>
      <c r="Q649" s="25" t="inlineStr">
        <is>
          <t>082184004371</t>
        </is>
      </c>
      <c r="R649" s="78" t="n">
        <v>44501</v>
      </c>
    </row>
    <row r="650">
      <c r="A650" t="inlineStr">
        <is>
          <t>or item code =</t>
        </is>
      </c>
      <c r="B650" s="25" t="inlineStr">
        <is>
          <t>74805</t>
        </is>
      </c>
      <c r="C650" s="25" t="inlineStr">
        <is>
          <t>JACK DANIELS TENNESSEE APPLE LIQUEUR (PET)</t>
        </is>
      </c>
      <c r="D650" s="25" t="inlineStr">
        <is>
          <t>375ml</t>
        </is>
      </c>
      <c r="E650" s="27" t="n">
        <v>22</v>
      </c>
      <c r="F650" s="27" t="n">
        <v>24</v>
      </c>
      <c r="G650" s="27" t="n">
        <v>24</v>
      </c>
      <c r="H650" s="28" t="n">
        <v>222.69</v>
      </c>
      <c r="I650" s="28" t="n">
        <v>0</v>
      </c>
      <c r="J650" s="94" t="inlineStr">
        <is>
          <t>False</t>
        </is>
      </c>
      <c r="K650" s="28" t="n">
        <v>0</v>
      </c>
      <c r="L650" s="25" t="inlineStr">
        <is>
          <t>WHISKEY OTHER</t>
        </is>
      </c>
      <c r="M650" s="25" t="inlineStr">
        <is>
          <t>BROWN FORMAN CORP</t>
        </is>
      </c>
      <c r="N650" s="25" t="inlineStr">
        <is>
          <t>045041-UNITED JOHNSON BROTHERS OF MS</t>
        </is>
      </c>
      <c r="O650" s="25" t="n"/>
      <c r="P650" s="25" t="inlineStr">
        <is>
          <t>10082184104382</t>
        </is>
      </c>
      <c r="Q650" s="25" t="inlineStr">
        <is>
          <t>082184004388</t>
        </is>
      </c>
      <c r="R650" s="78" t="n">
        <v>42370</v>
      </c>
    </row>
    <row r="651">
      <c r="A651" t="inlineStr">
        <is>
          <t>or item code =</t>
        </is>
      </c>
      <c r="B651" s="25" t="inlineStr">
        <is>
          <t>86692</t>
        </is>
      </c>
      <c r="C651" s="25" t="inlineStr">
        <is>
          <t>JACK DANIELS TENNESSEE FIRE LIQUEUR</t>
        </is>
      </c>
      <c r="D651" s="25" t="inlineStr">
        <is>
          <t>750ml</t>
        </is>
      </c>
      <c r="E651" s="27" t="n">
        <v>12</v>
      </c>
      <c r="F651" s="27" t="n">
        <v>29</v>
      </c>
      <c r="G651" s="27" t="n">
        <v>12</v>
      </c>
      <c r="H651" s="28" t="n">
        <v>227.76</v>
      </c>
      <c r="I651" s="28" t="n">
        <v>0</v>
      </c>
      <c r="J651" s="94" t="inlineStr">
        <is>
          <t>False</t>
        </is>
      </c>
      <c r="K651" s="28" t="n">
        <v>0</v>
      </c>
      <c r="L651" s="25" t="inlineStr">
        <is>
          <t>WHISKEY - TENNESSEE</t>
        </is>
      </c>
      <c r="M651" s="25" t="inlineStr">
        <is>
          <t>BROWN FORMAN CORP</t>
        </is>
      </c>
      <c r="N651" s="25" t="inlineStr">
        <is>
          <t>045041-UNITED JOHNSON BROTHERS OF MS</t>
        </is>
      </c>
      <c r="O651" s="25" t="n"/>
      <c r="P651" s="25" t="inlineStr">
        <is>
          <t>10082184101176</t>
        </is>
      </c>
      <c r="Q651" s="25" t="inlineStr">
        <is>
          <t>082184001172</t>
        </is>
      </c>
      <c r="R651" s="78" t="n">
        <v>42370</v>
      </c>
    </row>
    <row r="652">
      <c r="A652" t="inlineStr">
        <is>
          <t>or item code =</t>
        </is>
      </c>
      <c r="B652" s="25" t="inlineStr">
        <is>
          <t>86672</t>
        </is>
      </c>
      <c r="C652" s="25" t="inlineStr">
        <is>
          <t>JACK DANIELS TENNESSEE HONEY LIQUEUR</t>
        </is>
      </c>
      <c r="D652" s="25" t="inlineStr">
        <is>
          <t>1L</t>
        </is>
      </c>
      <c r="E652" s="27" t="n">
        <v>7</v>
      </c>
      <c r="F652" s="27" t="n">
        <v>49</v>
      </c>
      <c r="G652" s="27" t="n">
        <v>12</v>
      </c>
      <c r="H652" s="28" t="n">
        <v>270.95</v>
      </c>
      <c r="I652" s="28" t="n">
        <v>0</v>
      </c>
      <c r="J652" s="94" t="inlineStr">
        <is>
          <t>False</t>
        </is>
      </c>
      <c r="K652" s="28" t="n">
        <v>0</v>
      </c>
      <c r="L652" s="25" t="inlineStr">
        <is>
          <t>WHISKEY OTHER</t>
        </is>
      </c>
      <c r="M652" s="25" t="inlineStr">
        <is>
          <t>BROWN FORMAN CORP</t>
        </is>
      </c>
      <c r="N652" s="25" t="inlineStr">
        <is>
          <t>045041-UNITED JOHNSON BROTHERS OF MS</t>
        </is>
      </c>
      <c r="O652" s="25" t="n"/>
      <c r="P652" s="25" t="inlineStr">
        <is>
          <t>10082184100322</t>
        </is>
      </c>
      <c r="Q652" s="25" t="inlineStr">
        <is>
          <t>0082184000328</t>
        </is>
      </c>
      <c r="R652" s="78" t="n">
        <v>42370</v>
      </c>
    </row>
    <row r="653">
      <c r="A653" t="inlineStr">
        <is>
          <t>or item code =</t>
        </is>
      </c>
      <c r="B653" s="25" t="inlineStr">
        <is>
          <t>86670</t>
        </is>
      </c>
      <c r="C653" s="25" t="inlineStr">
        <is>
          <t>JACK DANIELS TENNESSEE HONEY LIQUEUR</t>
        </is>
      </c>
      <c r="D653" s="25" t="inlineStr">
        <is>
          <t>750ml</t>
        </is>
      </c>
      <c r="E653" s="27" t="n">
        <v>122</v>
      </c>
      <c r="F653" s="27" t="n">
        <v>160</v>
      </c>
      <c r="G653" s="27" t="n">
        <v>12</v>
      </c>
      <c r="H653" s="28" t="n">
        <v>227.76</v>
      </c>
      <c r="I653" s="28" t="n">
        <v>0</v>
      </c>
      <c r="J653" s="94" t="inlineStr">
        <is>
          <t>False</t>
        </is>
      </c>
      <c r="K653" s="28" t="n">
        <v>0</v>
      </c>
      <c r="L653" s="25" t="inlineStr">
        <is>
          <t>WHISKEY OTHER</t>
        </is>
      </c>
      <c r="M653" s="25" t="inlineStr">
        <is>
          <t>BROWN FORMAN CORP</t>
        </is>
      </c>
      <c r="N653" s="25" t="inlineStr">
        <is>
          <t>045041-UNITED JOHNSON BROTHERS OF MS</t>
        </is>
      </c>
      <c r="O653" s="25" t="n"/>
      <c r="P653" s="25" t="inlineStr">
        <is>
          <t>10082184100339</t>
        </is>
      </c>
      <c r="Q653" s="25" t="inlineStr">
        <is>
          <t>0082184000335</t>
        </is>
      </c>
      <c r="R653" s="78" t="n">
        <v>42370</v>
      </c>
    </row>
    <row r="654">
      <c r="A654" t="inlineStr">
        <is>
          <t>or item code =</t>
        </is>
      </c>
      <c r="B654" s="25" t="inlineStr">
        <is>
          <t>86673</t>
        </is>
      </c>
      <c r="C654" s="25" t="inlineStr">
        <is>
          <t>JACK DANIELS TENNESSEE HONEY LIQUEUR</t>
        </is>
      </c>
      <c r="D654" s="25" t="inlineStr">
        <is>
          <t>1.75L</t>
        </is>
      </c>
      <c r="E654" s="27" t="n">
        <v>3</v>
      </c>
      <c r="F654" s="27" t="n">
        <v>26</v>
      </c>
      <c r="G654" s="27" t="n">
        <v>6</v>
      </c>
      <c r="H654" s="28" t="n">
        <v>232.61</v>
      </c>
      <c r="I654" s="28" t="n">
        <v>0</v>
      </c>
      <c r="J654" s="94" t="inlineStr">
        <is>
          <t>False</t>
        </is>
      </c>
      <c r="K654" s="28" t="n">
        <v>0</v>
      </c>
      <c r="L654" s="25" t="inlineStr">
        <is>
          <t>WHISKEY OTHER</t>
        </is>
      </c>
      <c r="M654" s="25" t="inlineStr">
        <is>
          <t>BROWN FORMAN CORP</t>
        </is>
      </c>
      <c r="N654" s="25" t="inlineStr">
        <is>
          <t>045041-UNITED JOHNSON BROTHERS OF MS</t>
        </is>
      </c>
      <c r="O654" s="25" t="n"/>
      <c r="P654" s="25" t="inlineStr">
        <is>
          <t>10082184100612</t>
        </is>
      </c>
      <c r="Q654" s="25" t="inlineStr">
        <is>
          <t>0082184000618</t>
        </is>
      </c>
      <c r="R654" s="78" t="n">
        <v>44501</v>
      </c>
    </row>
    <row r="655">
      <c r="A655" t="inlineStr">
        <is>
          <t>or item code =</t>
        </is>
      </c>
      <c r="B655" s="25" t="inlineStr">
        <is>
          <t>86669</t>
        </is>
      </c>
      <c r="C655" s="25" t="inlineStr">
        <is>
          <t>JACK DANIELS TENNESSEE HONEY LIQUEUR</t>
        </is>
      </c>
      <c r="D655" s="25" t="inlineStr">
        <is>
          <t>375ml</t>
        </is>
      </c>
      <c r="E655" s="27" t="n">
        <v>0</v>
      </c>
      <c r="F655" s="27" t="n">
        <v>84</v>
      </c>
      <c r="G655" s="27" t="n">
        <v>24</v>
      </c>
      <c r="H655" s="28" t="n">
        <v>222.69</v>
      </c>
      <c r="I655" s="28" t="n">
        <v>0</v>
      </c>
      <c r="J655" s="94" t="inlineStr">
        <is>
          <t>False</t>
        </is>
      </c>
      <c r="K655" s="28" t="n">
        <v>0</v>
      </c>
      <c r="L655" s="25" t="inlineStr">
        <is>
          <t>WHISKEY OTHER</t>
        </is>
      </c>
      <c r="M655" s="25" t="inlineStr">
        <is>
          <t>BROWN FORMAN CORP</t>
        </is>
      </c>
      <c r="N655" s="25" t="inlineStr">
        <is>
          <t>045041-UNITED JOHNSON BROTHERS OF MS</t>
        </is>
      </c>
      <c r="O655" s="25" t="n"/>
      <c r="P655" s="25" t="inlineStr">
        <is>
          <t>10082184101299</t>
        </is>
      </c>
      <c r="Q655" s="25" t="inlineStr">
        <is>
          <t>0082184000342</t>
        </is>
      </c>
      <c r="R655" s="78" t="n">
        <v>42370</v>
      </c>
    </row>
    <row r="656">
      <c r="A656" t="inlineStr">
        <is>
          <t>or item code =</t>
        </is>
      </c>
      <c r="B656" s="25" t="inlineStr">
        <is>
          <t>420431</t>
        </is>
      </c>
      <c r="C656" s="25" t="inlineStr">
        <is>
          <t>JACOB'S CREEK CABERNET SAUVIGNON</t>
        </is>
      </c>
      <c r="D656" s="25" t="inlineStr">
        <is>
          <t>1.5L</t>
        </is>
      </c>
      <c r="E656" s="27" t="n">
        <v>1</v>
      </c>
      <c r="F656" s="27" t="n">
        <v>13</v>
      </c>
      <c r="G656" s="27" t="n">
        <v>6</v>
      </c>
      <c r="H656" s="28" t="n">
        <v>46.65</v>
      </c>
      <c r="I656" s="28" t="n">
        <v>0</v>
      </c>
      <c r="J656" s="94" t="inlineStr">
        <is>
          <t>False</t>
        </is>
      </c>
      <c r="K656" s="28" t="n">
        <v>0</v>
      </c>
      <c r="L656" s="25" t="inlineStr">
        <is>
          <t>RED WINE</t>
        </is>
      </c>
      <c r="M656" s="25" t="inlineStr">
        <is>
          <t>PERNOD RICARD USA LLC</t>
        </is>
      </c>
      <c r="N656" s="25" t="inlineStr">
        <is>
          <t>040010-SOUTHERN GLAZERS WINE AND SPIRITS OF MISSISSIPPI LLC</t>
        </is>
      </c>
      <c r="O656" s="25" t="n"/>
      <c r="P656" s="25" t="inlineStr">
        <is>
          <t>10080432103163</t>
        </is>
      </c>
      <c r="Q656" s="25" t="inlineStr">
        <is>
          <t>080432103166</t>
        </is>
      </c>
      <c r="R656" s="78" t="n">
        <v>43353</v>
      </c>
    </row>
    <row r="657">
      <c r="A657" t="inlineStr">
        <is>
          <t>or item code =</t>
        </is>
      </c>
      <c r="B657" s="25" t="inlineStr">
        <is>
          <t>420436</t>
        </is>
      </c>
      <c r="C657" s="25" t="inlineStr">
        <is>
          <t>JACOB'S CREEK CHARDONNAY</t>
        </is>
      </c>
      <c r="D657" s="25" t="inlineStr">
        <is>
          <t>1.5L</t>
        </is>
      </c>
      <c r="E657" s="27" t="n">
        <v>0</v>
      </c>
      <c r="F657" s="27" t="n">
        <v>43</v>
      </c>
      <c r="G657" s="27" t="n">
        <v>6</v>
      </c>
      <c r="H657" s="28" t="n">
        <v>46.65</v>
      </c>
      <c r="I657" s="28" t="n">
        <v>0</v>
      </c>
      <c r="J657" s="94" t="inlineStr">
        <is>
          <t>False</t>
        </is>
      </c>
      <c r="K657" s="28" t="n">
        <v>0</v>
      </c>
      <c r="L657" s="25" t="inlineStr">
        <is>
          <t>CHARDONNAY</t>
        </is>
      </c>
      <c r="M657" s="25" t="inlineStr">
        <is>
          <t>PERNOD RICARD USA LLC</t>
        </is>
      </c>
      <c r="N657" s="25" t="inlineStr">
        <is>
          <t>040010-SOUTHERN GLAZERS WINE AND SPIRITS OF MISSISSIPPI LLC</t>
        </is>
      </c>
      <c r="O657" s="25" t="n"/>
      <c r="P657" s="25" t="inlineStr">
        <is>
          <t>10080432340025</t>
        </is>
      </c>
      <c r="Q657" s="25" t="inlineStr">
        <is>
          <t>0080432340028</t>
        </is>
      </c>
      <c r="R657" s="78" t="n">
        <v>43353</v>
      </c>
    </row>
    <row r="658">
      <c r="A658" t="inlineStr">
        <is>
          <t>or item code =</t>
        </is>
      </c>
      <c r="B658" s="25" t="inlineStr">
        <is>
          <t>420435</t>
        </is>
      </c>
      <c r="C658" s="25" t="inlineStr">
        <is>
          <t>JACOB'S CREEK CHARDONNAY</t>
        </is>
      </c>
      <c r="D658" s="25" t="inlineStr">
        <is>
          <t>750ml</t>
        </is>
      </c>
      <c r="E658" s="27" t="n">
        <v>14</v>
      </c>
      <c r="F658" s="27" t="n">
        <v>51</v>
      </c>
      <c r="G658" s="27" t="n">
        <v>12</v>
      </c>
      <c r="H658" s="28" t="n">
        <v>52.38</v>
      </c>
      <c r="I658" s="28" t="n">
        <v>12</v>
      </c>
      <c r="J658" s="94" t="inlineStr">
        <is>
          <t>False</t>
        </is>
      </c>
      <c r="K658" s="28" t="n">
        <v>0</v>
      </c>
      <c r="L658" s="25" t="inlineStr">
        <is>
          <t>CHARDONNAY</t>
        </is>
      </c>
      <c r="M658" s="25" t="inlineStr">
        <is>
          <t>PERNOD RICARD USA LLC</t>
        </is>
      </c>
      <c r="N658" s="25" t="inlineStr">
        <is>
          <t>040010-SOUTHERN GLAZERS WINE AND SPIRITS OF MISSISSIPPI LLC</t>
        </is>
      </c>
      <c r="O658" s="25" t="n"/>
      <c r="P658" s="25" t="inlineStr">
        <is>
          <t>10080432310070</t>
        </is>
      </c>
      <c r="Q658" s="25" t="inlineStr">
        <is>
          <t>0080432340073</t>
        </is>
      </c>
      <c r="R658" s="78" t="n">
        <v>42370</v>
      </c>
    </row>
    <row r="659">
      <c r="A659" t="inlineStr">
        <is>
          <t>or item code =</t>
        </is>
      </c>
      <c r="B659" s="25" t="inlineStr">
        <is>
          <t>420437</t>
        </is>
      </c>
      <c r="C659" s="25" t="inlineStr">
        <is>
          <t>JACOB'S CREEK MERLOT</t>
        </is>
      </c>
      <c r="D659" s="25" t="inlineStr">
        <is>
          <t>750ml</t>
        </is>
      </c>
      <c r="E659" s="27" t="n">
        <v>5</v>
      </c>
      <c r="F659" s="27" t="n">
        <v>18</v>
      </c>
      <c r="G659" s="27" t="n">
        <v>12</v>
      </c>
      <c r="H659" s="28" t="n">
        <v>64.38</v>
      </c>
      <c r="I659" s="28" t="n">
        <v>0</v>
      </c>
      <c r="J659" s="94" t="inlineStr">
        <is>
          <t>False</t>
        </is>
      </c>
      <c r="K659" s="28" t="n">
        <v>0</v>
      </c>
      <c r="L659" s="25" t="inlineStr">
        <is>
          <t>MERLOT</t>
        </is>
      </c>
      <c r="M659" s="25" t="inlineStr">
        <is>
          <t>PERNOD RICARD USA LLC</t>
        </is>
      </c>
      <c r="N659" s="25" t="inlineStr">
        <is>
          <t>040010-SOUTHERN GLAZERS WINE AND SPIRITS OF MISSISSIPPI LLC</t>
        </is>
      </c>
      <c r="O659" s="25" t="n"/>
      <c r="P659" s="25" t="inlineStr">
        <is>
          <t>10080432343071</t>
        </is>
      </c>
      <c r="Q659" s="25" t="inlineStr">
        <is>
          <t>0080432343074</t>
        </is>
      </c>
      <c r="R659" s="78" t="n">
        <v>42370</v>
      </c>
    </row>
    <row r="660">
      <c r="A660" t="inlineStr">
        <is>
          <t>or item code =</t>
        </is>
      </c>
      <c r="B660" s="25" t="inlineStr">
        <is>
          <t>420407</t>
        </is>
      </c>
      <c r="C660" s="25" t="inlineStr">
        <is>
          <t>JACOB'S CREEK MOSCATO</t>
        </is>
      </c>
      <c r="D660" s="25" t="inlineStr">
        <is>
          <t>750ml</t>
        </is>
      </c>
      <c r="E660" s="27" t="n">
        <v>75</v>
      </c>
      <c r="F660" s="27" t="n">
        <v>59</v>
      </c>
      <c r="G660" s="27" t="n">
        <v>12</v>
      </c>
      <c r="H660" s="28" t="n">
        <v>52.38</v>
      </c>
      <c r="I660" s="28" t="n">
        <v>12</v>
      </c>
      <c r="J660" s="94" t="inlineStr">
        <is>
          <t>False</t>
        </is>
      </c>
      <c r="K660" s="28" t="n">
        <v>0</v>
      </c>
      <c r="L660" s="25" t="inlineStr">
        <is>
          <t>MOSCATO WHITE</t>
        </is>
      </c>
      <c r="M660" s="25" t="inlineStr">
        <is>
          <t>PERNOD RICARD USA LLC</t>
        </is>
      </c>
      <c r="N660" s="25" t="inlineStr">
        <is>
          <t>040010-SOUTHERN GLAZERS WINE AND SPIRITS OF MISSISSIPPI LLC</t>
        </is>
      </c>
      <c r="O660" s="25" t="n"/>
      <c r="P660" s="25" t="inlineStr">
        <is>
          <t>10852832000461</t>
        </is>
      </c>
      <c r="Q660" s="25" t="inlineStr">
        <is>
          <t>0852832000464</t>
        </is>
      </c>
      <c r="R660" s="78" t="n">
        <v>42370</v>
      </c>
    </row>
    <row r="661">
      <c r="A661" t="inlineStr">
        <is>
          <t>or item code =</t>
        </is>
      </c>
      <c r="B661" s="25" t="inlineStr">
        <is>
          <t>65256</t>
        </is>
      </c>
      <c r="C661" s="25" t="inlineStr">
        <is>
          <t>JAGERMEISTER</t>
        </is>
      </c>
      <c r="D661" s="25" t="inlineStr">
        <is>
          <t>750ml</t>
        </is>
      </c>
      <c r="E661" s="27" t="n">
        <v>256</v>
      </c>
      <c r="F661" s="27" t="n">
        <v>96</v>
      </c>
      <c r="G661" s="27" t="n">
        <v>12</v>
      </c>
      <c r="H661" s="28" t="n">
        <v>233</v>
      </c>
      <c r="I661" s="28" t="n">
        <v>0</v>
      </c>
      <c r="J661" s="94" t="inlineStr">
        <is>
          <t>False</t>
        </is>
      </c>
      <c r="K661" s="28" t="n">
        <v>0</v>
      </c>
      <c r="L661" s="25" t="inlineStr">
        <is>
          <t>LIQUEURS AND CORDIALS</t>
        </is>
      </c>
      <c r="M661" s="25" t="inlineStr">
        <is>
          <t>MAST-JAEGERMEISTER US, INC.</t>
        </is>
      </c>
      <c r="N661" s="25" t="inlineStr">
        <is>
          <t>040010-SOUTHERN GLAZERS WINE AND SPIRITS OF MISSISSIPPI LLC</t>
        </is>
      </c>
      <c r="O661" s="25" t="n"/>
      <c r="P661" s="25" t="inlineStr">
        <is>
          <t>10083089524008</t>
        </is>
      </c>
      <c r="Q661" s="25" t="inlineStr">
        <is>
          <t>0083089524001</t>
        </is>
      </c>
      <c r="R661" s="78" t="n">
        <v>42370</v>
      </c>
    </row>
    <row r="662">
      <c r="A662" t="inlineStr">
        <is>
          <t>or item code =</t>
        </is>
      </c>
      <c r="B662" s="25" t="inlineStr">
        <is>
          <t>65254</t>
        </is>
      </c>
      <c r="C662" s="25" t="inlineStr">
        <is>
          <t>JAGERMEISTER</t>
        </is>
      </c>
      <c r="D662" s="25" t="inlineStr">
        <is>
          <t>375ml</t>
        </is>
      </c>
      <c r="E662" s="27" t="n">
        <v>91</v>
      </c>
      <c r="F662" s="27" t="n">
        <v>74</v>
      </c>
      <c r="G662" s="27" t="n">
        <v>24</v>
      </c>
      <c r="H662" s="28" t="n">
        <v>242.12</v>
      </c>
      <c r="I662" s="28" t="n">
        <v>0</v>
      </c>
      <c r="J662" s="94" t="inlineStr">
        <is>
          <t>False</t>
        </is>
      </c>
      <c r="K662" s="28" t="n">
        <v>0</v>
      </c>
      <c r="L662" s="25" t="inlineStr">
        <is>
          <t>LIQUEURS AND CORDIALS</t>
        </is>
      </c>
      <c r="M662" s="25" t="inlineStr">
        <is>
          <t>MAST-JAEGERMEISTER US, INC.</t>
        </is>
      </c>
      <c r="N662" s="25" t="inlineStr">
        <is>
          <t>040010-SOUTHERN GLAZERS WINE AND SPIRITS OF MISSISSIPPI LLC</t>
        </is>
      </c>
      <c r="O662" s="25" t="n"/>
      <c r="P662" s="25" t="inlineStr">
        <is>
          <t>10083089660355</t>
        </is>
      </c>
      <c r="Q662" s="25" t="inlineStr">
        <is>
          <t>0083089660358</t>
        </is>
      </c>
      <c r="R662" s="78" t="n">
        <v>42370</v>
      </c>
    </row>
    <row r="663">
      <c r="A663" t="inlineStr">
        <is>
          <t>or item code =</t>
        </is>
      </c>
      <c r="B663" s="25" t="inlineStr">
        <is>
          <t>65258</t>
        </is>
      </c>
      <c r="C663" s="25" t="inlineStr">
        <is>
          <t>JAGERMEISTER</t>
        </is>
      </c>
      <c r="D663" s="25" t="inlineStr">
        <is>
          <t>1.75L</t>
        </is>
      </c>
      <c r="E663" s="27" t="n">
        <v>107</v>
      </c>
      <c r="F663" s="27" t="n">
        <v>29</v>
      </c>
      <c r="G663" s="27" t="n">
        <v>6</v>
      </c>
      <c r="H663" s="28" t="n">
        <v>215.83</v>
      </c>
      <c r="I663" s="28" t="n">
        <v>0</v>
      </c>
      <c r="J663" s="94" t="inlineStr">
        <is>
          <t>False</t>
        </is>
      </c>
      <c r="K663" s="28" t="n">
        <v>0</v>
      </c>
      <c r="L663" s="25" t="inlineStr">
        <is>
          <t>LIQUEURS AND CORDIALS</t>
        </is>
      </c>
      <c r="M663" s="25" t="inlineStr">
        <is>
          <t>MAST-JAEGERMEISTER US, INC.</t>
        </is>
      </c>
      <c r="N663" s="25" t="inlineStr">
        <is>
          <t>040010-SOUTHERN GLAZERS WINE AND SPIRITS OF MISSISSIPPI LLC</t>
        </is>
      </c>
      <c r="O663" s="25" t="n"/>
      <c r="P663" s="25" t="inlineStr">
        <is>
          <t>10083089660171</t>
        </is>
      </c>
      <c r="Q663" s="25" t="inlineStr">
        <is>
          <t>0083089660174</t>
        </is>
      </c>
      <c r="R663" s="78" t="n">
        <v>42370</v>
      </c>
    </row>
    <row r="664">
      <c r="A664" t="inlineStr">
        <is>
          <t>or item code =</t>
        </is>
      </c>
      <c r="B664" s="25" t="inlineStr">
        <is>
          <t>65253</t>
        </is>
      </c>
      <c r="C664" s="25" t="inlineStr">
        <is>
          <t>JAGERMEISTER</t>
        </is>
      </c>
      <c r="D664" s="25" t="inlineStr">
        <is>
          <t>200ml</t>
        </is>
      </c>
      <c r="E664" s="27" t="n">
        <v>43</v>
      </c>
      <c r="F664" s="27" t="n">
        <v>42</v>
      </c>
      <c r="G664" s="27" t="n">
        <v>48</v>
      </c>
      <c r="H664" s="28" t="n">
        <v>276.14</v>
      </c>
      <c r="I664" s="28" t="n">
        <v>0</v>
      </c>
      <c r="J664" s="94" t="inlineStr">
        <is>
          <t>False</t>
        </is>
      </c>
      <c r="K664" s="28" t="n">
        <v>0</v>
      </c>
      <c r="L664" s="25" t="inlineStr">
        <is>
          <t>LIQUEURS AND CORDIALS</t>
        </is>
      </c>
      <c r="M664" s="25" t="inlineStr">
        <is>
          <t>MAST-JAEGERMEISTER US, INC.</t>
        </is>
      </c>
      <c r="N664" s="25" t="inlineStr">
        <is>
          <t>040010-SOUTHERN GLAZERS WINE AND SPIRITS OF MISSISSIPPI LLC</t>
        </is>
      </c>
      <c r="O664" s="25" t="n"/>
      <c r="P664" s="25" t="inlineStr">
        <is>
          <t>10083089660447</t>
        </is>
      </c>
      <c r="Q664" s="25" t="inlineStr">
        <is>
          <t>0083089660402</t>
        </is>
      </c>
      <c r="R664" s="78" t="n">
        <v>42370</v>
      </c>
    </row>
    <row r="665">
      <c r="A665" t="inlineStr">
        <is>
          <t>or item code =</t>
        </is>
      </c>
      <c r="B665" s="25" t="inlineStr">
        <is>
          <t>65368</t>
        </is>
      </c>
      <c r="C665" s="25" t="inlineStr">
        <is>
          <t>JAGERMEISTER COLD BREW COFFEE HERBAL LIQUEUR</t>
        </is>
      </c>
      <c r="D665" s="25" t="inlineStr">
        <is>
          <t>750ml</t>
        </is>
      </c>
      <c r="E665" s="27" t="n">
        <v>63</v>
      </c>
      <c r="F665" s="27" t="n">
        <v>6</v>
      </c>
      <c r="G665" s="27" t="n">
        <v>6</v>
      </c>
      <c r="H665" s="28" t="n">
        <v>117.13</v>
      </c>
      <c r="I665" s="28" t="n">
        <v>0</v>
      </c>
      <c r="J665" s="94" t="inlineStr">
        <is>
          <t>False</t>
        </is>
      </c>
      <c r="K665" s="28" t="n">
        <v>0</v>
      </c>
      <c r="L665" s="25" t="inlineStr">
        <is>
          <t>LIQUEURS AND CORDIALS</t>
        </is>
      </c>
      <c r="M665" s="25" t="inlineStr">
        <is>
          <t>MAST-JAEGERMEISTER US, INC.</t>
        </is>
      </c>
      <c r="N665" s="25" t="inlineStr">
        <is>
          <t>040010-SOUTHERN GLAZERS WINE AND SPIRITS OF MISSISSIPPI LLC</t>
        </is>
      </c>
      <c r="O665" s="25" t="n"/>
      <c r="P665" s="25" t="inlineStr">
        <is>
          <t>10083089000137</t>
        </is>
      </c>
      <c r="Q665" s="25" t="inlineStr">
        <is>
          <t>083089000130</t>
        </is>
      </c>
      <c r="R665" s="78" t="n">
        <v>44501</v>
      </c>
    </row>
    <row r="666">
      <c r="A666" t="inlineStr">
        <is>
          <t>or item code =</t>
        </is>
      </c>
      <c r="B666" s="25" t="inlineStr">
        <is>
          <t>413340</t>
        </is>
      </c>
      <c r="C666" s="25" t="inlineStr">
        <is>
          <t>JAM JAR SWEET SHIRAZ WESTERN CAPE</t>
        </is>
      </c>
      <c r="D666" s="25" t="inlineStr">
        <is>
          <t>750ml</t>
        </is>
      </c>
      <c r="E666" s="27" t="n">
        <v>176</v>
      </c>
      <c r="F666" s="27" t="n">
        <v>72</v>
      </c>
      <c r="G666" s="27" t="n">
        <v>12</v>
      </c>
      <c r="H666" s="28" t="n">
        <v>117.25</v>
      </c>
      <c r="I666" s="28" t="n">
        <v>0</v>
      </c>
      <c r="J666" s="94" t="inlineStr">
        <is>
          <t>False</t>
        </is>
      </c>
      <c r="K666" s="28" t="n">
        <v>0</v>
      </c>
      <c r="L666" s="25" t="inlineStr">
        <is>
          <t>SHIRAZ/SYRAH</t>
        </is>
      </c>
      <c r="M666" s="25" t="inlineStr">
        <is>
          <t>INTERNATIONAL WINES INC</t>
        </is>
      </c>
      <c r="N666" s="25" t="inlineStr">
        <is>
          <t>040017-INTERNATIONAL WINES</t>
        </is>
      </c>
      <c r="O666" s="25" t="n"/>
      <c r="P666" s="25" t="n"/>
      <c r="Q666" s="25" t="inlineStr">
        <is>
          <t>0755738000975</t>
        </is>
      </c>
      <c r="R666" s="78" t="n">
        <v>42370</v>
      </c>
    </row>
    <row r="667">
      <c r="A667" t="inlineStr">
        <is>
          <t>or item code =</t>
        </is>
      </c>
      <c r="B667" s="25" t="inlineStr">
        <is>
          <t>15779</t>
        </is>
      </c>
      <c r="C667" s="25" t="inlineStr">
        <is>
          <t>JAMESON BLACK BARREL IRISH WHISKEY</t>
        </is>
      </c>
      <c r="D667" s="25" t="inlineStr">
        <is>
          <t>375ml</t>
        </is>
      </c>
      <c r="E667" s="27" t="n">
        <v>8</v>
      </c>
      <c r="F667" s="27" t="n">
        <v>28</v>
      </c>
      <c r="G667" s="27" t="n">
        <v>12</v>
      </c>
      <c r="H667" s="28" t="n">
        <v>145.78</v>
      </c>
      <c r="I667" s="28" t="n">
        <v>0</v>
      </c>
      <c r="J667" s="94" t="inlineStr">
        <is>
          <t>False</t>
        </is>
      </c>
      <c r="K667" s="28" t="n">
        <v>0</v>
      </c>
      <c r="L667" s="25" t="inlineStr">
        <is>
          <t>WHISKEY - IRISH</t>
        </is>
      </c>
      <c r="M667" s="25" t="inlineStr">
        <is>
          <t>PERNOD RICARD USA LLC</t>
        </is>
      </c>
      <c r="N667" s="25" t="inlineStr">
        <is>
          <t>040010-SOUTHERN GLAZERS WINE AND SPIRITS OF MISSISSIPPI LLC</t>
        </is>
      </c>
      <c r="O667" s="25" t="n"/>
      <c r="P667" s="25" t="inlineStr">
        <is>
          <t>10080432115111</t>
        </is>
      </c>
      <c r="Q667" s="25" t="inlineStr">
        <is>
          <t>080432115114</t>
        </is>
      </c>
      <c r="R667" s="78" t="n">
        <v>44593</v>
      </c>
    </row>
    <row r="668">
      <c r="A668" t="inlineStr">
        <is>
          <t>or item code =</t>
        </is>
      </c>
      <c r="B668" s="25" t="inlineStr">
        <is>
          <t>15621</t>
        </is>
      </c>
      <c r="C668" s="25" t="inlineStr">
        <is>
          <t>JAMESON IRISH</t>
        </is>
      </c>
      <c r="D668" s="25" t="inlineStr">
        <is>
          <t>50ml</t>
        </is>
      </c>
      <c r="E668" s="27" t="n">
        <v>65</v>
      </c>
      <c r="F668" s="27" t="n">
        <v>23</v>
      </c>
      <c r="G668" s="27" t="n">
        <v>120</v>
      </c>
      <c r="H668" s="28" t="n">
        <v>209.01</v>
      </c>
      <c r="I668" s="28" t="n">
        <v>0</v>
      </c>
      <c r="J668" s="94" t="inlineStr">
        <is>
          <t>False</t>
        </is>
      </c>
      <c r="K668" s="28" t="n">
        <v>0</v>
      </c>
      <c r="L668" s="25" t="inlineStr">
        <is>
          <t>WHISKEY - IRISH</t>
        </is>
      </c>
      <c r="M668" s="25" t="inlineStr">
        <is>
          <t>PERNOD RICARD USA LLC</t>
        </is>
      </c>
      <c r="N668" s="25" t="inlineStr">
        <is>
          <t>040010-SOUTHERN GLAZERS WINE AND SPIRITS OF MISSISSIPPI LLC</t>
        </is>
      </c>
      <c r="O668" s="25" t="n"/>
      <c r="P668" s="25" t="inlineStr">
        <is>
          <t>10080432500108</t>
        </is>
      </c>
      <c r="Q668" s="25" t="inlineStr">
        <is>
          <t>0080432500101</t>
        </is>
      </c>
      <c r="R668" s="78" t="n">
        <v>42370</v>
      </c>
    </row>
    <row r="669">
      <c r="A669" t="inlineStr">
        <is>
          <t>or item code =</t>
        </is>
      </c>
      <c r="B669" s="25" t="inlineStr">
        <is>
          <t>15626</t>
        </is>
      </c>
      <c r="C669" s="25" t="inlineStr">
        <is>
          <t>JAMESON IRISH</t>
        </is>
      </c>
      <c r="D669" s="25" t="inlineStr">
        <is>
          <t>750ml</t>
        </is>
      </c>
      <c r="E669" s="27" t="n">
        <v>0</v>
      </c>
      <c r="F669" s="27" t="n">
        <v>120</v>
      </c>
      <c r="G669" s="27" t="n">
        <v>12</v>
      </c>
      <c r="H669" s="28" t="n">
        <v>286.3</v>
      </c>
      <c r="I669" s="28" t="n">
        <v>0</v>
      </c>
      <c r="J669" s="94" t="inlineStr">
        <is>
          <t>False</t>
        </is>
      </c>
      <c r="K669" s="28" t="n">
        <v>0</v>
      </c>
      <c r="L669" s="25" t="inlineStr">
        <is>
          <t>WHISKEY - IRISH</t>
        </is>
      </c>
      <c r="M669" s="25" t="inlineStr">
        <is>
          <t>PERNOD RICARD USA LLC</t>
        </is>
      </c>
      <c r="N669" s="25" t="inlineStr">
        <is>
          <t>040010-SOUTHERN GLAZERS WINE AND SPIRITS OF MISSISSIPPI LLC</t>
        </is>
      </c>
      <c r="O669" s="25" t="n"/>
      <c r="P669" s="25" t="inlineStr">
        <is>
          <t>10080432500177</t>
        </is>
      </c>
      <c r="Q669" s="25" t="inlineStr">
        <is>
          <t>0080432500170</t>
        </is>
      </c>
      <c r="R669" s="78" t="n">
        <v>42370</v>
      </c>
    </row>
    <row r="670">
      <c r="A670" t="inlineStr">
        <is>
          <t>or item code =</t>
        </is>
      </c>
      <c r="B670" s="25" t="inlineStr">
        <is>
          <t>15628</t>
        </is>
      </c>
      <c r="C670" s="25" t="inlineStr">
        <is>
          <t>JAMESON IRISH</t>
        </is>
      </c>
      <c r="D670" s="25" t="inlineStr">
        <is>
          <t>1.75L</t>
        </is>
      </c>
      <c r="E670" s="27" t="n">
        <v>0</v>
      </c>
      <c r="F670" s="27" t="n">
        <v>72</v>
      </c>
      <c r="G670" s="27" t="n">
        <v>6</v>
      </c>
      <c r="H670" s="28" t="n">
        <v>295.55</v>
      </c>
      <c r="I670" s="28" t="n">
        <v>0</v>
      </c>
      <c r="J670" s="94" t="inlineStr">
        <is>
          <t>False</t>
        </is>
      </c>
      <c r="K670" s="28" t="n">
        <v>0</v>
      </c>
      <c r="L670" s="25" t="inlineStr">
        <is>
          <t>WHISKEY - IRISH</t>
        </is>
      </c>
      <c r="M670" s="25" t="inlineStr">
        <is>
          <t>PERNOD RICARD USA LLC</t>
        </is>
      </c>
      <c r="N670" s="25" t="inlineStr">
        <is>
          <t>040010-SOUTHERN GLAZERS WINE AND SPIRITS OF MISSISSIPPI LLC</t>
        </is>
      </c>
      <c r="O670" s="25" t="n"/>
      <c r="P670" s="25" t="inlineStr">
        <is>
          <t>10080432500182</t>
        </is>
      </c>
      <c r="Q670" s="25" t="inlineStr">
        <is>
          <t>0080432500187</t>
        </is>
      </c>
      <c r="R670" s="78" t="n">
        <v>42370</v>
      </c>
    </row>
    <row r="671">
      <c r="A671" t="inlineStr">
        <is>
          <t>or item code =</t>
        </is>
      </c>
      <c r="B671" s="25" t="inlineStr">
        <is>
          <t>15644</t>
        </is>
      </c>
      <c r="C671" s="25" t="inlineStr">
        <is>
          <t>JAMESON IRISH</t>
        </is>
      </c>
      <c r="D671" s="25" t="inlineStr">
        <is>
          <t>375ml</t>
        </is>
      </c>
      <c r="E671" s="27" t="n">
        <v>0</v>
      </c>
      <c r="F671" s="27" t="n">
        <v>45</v>
      </c>
      <c r="G671" s="27" t="n">
        <v>24</v>
      </c>
      <c r="H671" s="28" t="n">
        <v>271.56</v>
      </c>
      <c r="I671" s="28" t="n">
        <v>36.92</v>
      </c>
      <c r="J671" s="94" t="inlineStr">
        <is>
          <t>False</t>
        </is>
      </c>
      <c r="K671" s="28" t="n">
        <v>0</v>
      </c>
      <c r="L671" s="25" t="inlineStr">
        <is>
          <t>WHISKEY - IRISH</t>
        </is>
      </c>
      <c r="M671" s="25" t="inlineStr">
        <is>
          <t>PERNOD RICARD USA LLC</t>
        </is>
      </c>
      <c r="N671" s="25" t="inlineStr">
        <is>
          <t>040010-SOUTHERN GLAZERS WINE AND SPIRITS OF MISSISSIPPI LLC</t>
        </is>
      </c>
      <c r="O671" s="25" t="n"/>
      <c r="P671" s="25" t="inlineStr">
        <is>
          <t>10080432500146</t>
        </is>
      </c>
      <c r="Q671" s="25" t="inlineStr">
        <is>
          <t>0080432500149</t>
        </is>
      </c>
      <c r="R671" s="78" t="n">
        <v>42370</v>
      </c>
    </row>
    <row r="672">
      <c r="A672" t="inlineStr">
        <is>
          <t>or item code =</t>
        </is>
      </c>
      <c r="B672" s="25" t="inlineStr">
        <is>
          <t>19068</t>
        </is>
      </c>
      <c r="C672" s="25" t="inlineStr">
        <is>
          <t>JIM BEAM</t>
        </is>
      </c>
      <c r="D672" s="25" t="inlineStr">
        <is>
          <t>1.75L</t>
        </is>
      </c>
      <c r="E672" s="27" t="n">
        <v>683</v>
      </c>
      <c r="F672" s="27" t="n">
        <v>268</v>
      </c>
      <c r="G672" s="27" t="n">
        <v>6</v>
      </c>
      <c r="H672" s="28" t="n">
        <v>161.48</v>
      </c>
      <c r="I672" s="28" t="n">
        <v>0</v>
      </c>
      <c r="J672" s="94" t="inlineStr">
        <is>
          <t>False</t>
        </is>
      </c>
      <c r="K672" s="28" t="n">
        <v>0</v>
      </c>
      <c r="L672" s="25" t="inlineStr">
        <is>
          <t>WHISKEY - STR BOURBON</t>
        </is>
      </c>
      <c r="M672" s="25" t="inlineStr">
        <is>
          <t>JIM BEAM BRANDS CO</t>
        </is>
      </c>
      <c r="N672" s="25" t="inlineStr">
        <is>
          <t>040010-SOUTHERN GLAZERS WINE AND SPIRITS OF MISSISSIPPI LLC</t>
        </is>
      </c>
      <c r="O672" s="25" t="n"/>
      <c r="P672" s="25" t="inlineStr">
        <is>
          <t>10080686001109</t>
        </is>
      </c>
      <c r="Q672" s="25" t="inlineStr">
        <is>
          <t>0080686001102</t>
        </is>
      </c>
      <c r="R672" s="78" t="n">
        <v>44501</v>
      </c>
    </row>
    <row r="673">
      <c r="A673" t="inlineStr">
        <is>
          <t>or item code =</t>
        </is>
      </c>
      <c r="B673" s="25" t="inlineStr">
        <is>
          <t>19061</t>
        </is>
      </c>
      <c r="C673" s="25" t="inlineStr">
        <is>
          <t>JIM BEAM BOURBON WHISKEY</t>
        </is>
      </c>
      <c r="D673" s="25" t="inlineStr">
        <is>
          <t>50ml</t>
        </is>
      </c>
      <c r="E673" s="27" t="n">
        <v>0</v>
      </c>
      <c r="F673" s="27" t="n">
        <v>1</v>
      </c>
      <c r="G673" s="27" t="n">
        <v>120</v>
      </c>
      <c r="H673" s="28" t="n">
        <v>84.84999999999999</v>
      </c>
      <c r="I673" s="28" t="n">
        <v>0</v>
      </c>
      <c r="J673" s="94" t="inlineStr">
        <is>
          <t>False</t>
        </is>
      </c>
      <c r="K673" s="28" t="n">
        <v>0</v>
      </c>
      <c r="L673" s="25" t="inlineStr">
        <is>
          <t>WHISKEY - STR BOURBON</t>
        </is>
      </c>
      <c r="M673" s="25" t="inlineStr">
        <is>
          <t>JIM BEAM BRANDS CO</t>
        </is>
      </c>
      <c r="N673" s="25" t="inlineStr">
        <is>
          <t>040010-SOUTHERN GLAZERS WINE AND SPIRITS OF MISSISSIPPI LLC</t>
        </is>
      </c>
      <c r="O673" s="25" t="n"/>
      <c r="P673" s="25" t="inlineStr">
        <is>
          <t>20080686001908</t>
        </is>
      </c>
      <c r="Q673" s="25" t="inlineStr">
        <is>
          <t>080686001904</t>
        </is>
      </c>
      <c r="R673" s="78" t="n">
        <v>42370</v>
      </c>
    </row>
    <row r="674">
      <c r="A674" t="inlineStr">
        <is>
          <t>or item code =</t>
        </is>
      </c>
      <c r="B674" s="25" t="inlineStr">
        <is>
          <t>19112</t>
        </is>
      </c>
      <c r="C674" s="25" t="inlineStr">
        <is>
          <t>JIM BEAM DEVIL'S CUT KENTUCKY STRAIGHT BOURBON</t>
        </is>
      </c>
      <c r="D674" s="25" t="inlineStr">
        <is>
          <t>750ml</t>
        </is>
      </c>
      <c r="E674" s="27" t="n">
        <v>128</v>
      </c>
      <c r="F674" s="27" t="n">
        <v>29</v>
      </c>
      <c r="G674" s="27" t="n">
        <v>12</v>
      </c>
      <c r="H674" s="28" t="n">
        <v>230.67</v>
      </c>
      <c r="I674" s="28" t="n">
        <v>0</v>
      </c>
      <c r="J674" s="94" t="inlineStr">
        <is>
          <t>False</t>
        </is>
      </c>
      <c r="K674" s="28" t="n">
        <v>0</v>
      </c>
      <c r="L674" s="25" t="inlineStr">
        <is>
          <t>WHISKEY - STR BOURBON</t>
        </is>
      </c>
      <c r="M674" s="25" t="inlineStr">
        <is>
          <t>JIM BEAM BRANDS CO</t>
        </is>
      </c>
      <c r="N674" s="25" t="inlineStr">
        <is>
          <t>040010-SOUTHERN GLAZERS WINE AND SPIRITS OF MISSISSIPPI LLC</t>
        </is>
      </c>
      <c r="O674" s="25" t="n"/>
      <c r="P674" s="25" t="inlineStr">
        <is>
          <t>10080686005015</t>
        </is>
      </c>
      <c r="Q674" s="25" t="inlineStr">
        <is>
          <t>0080686005018</t>
        </is>
      </c>
      <c r="R674" s="78" t="n">
        <v>42370</v>
      </c>
    </row>
    <row r="675">
      <c r="A675" t="inlineStr">
        <is>
          <t>or item code =</t>
        </is>
      </c>
      <c r="B675" s="25" t="inlineStr">
        <is>
          <t>27410</t>
        </is>
      </c>
      <c r="C675" s="25" t="inlineStr">
        <is>
          <t>JIM BEAM HONEY WHISKEY</t>
        </is>
      </c>
      <c r="D675" s="25" t="inlineStr">
        <is>
          <t>750ml</t>
        </is>
      </c>
      <c r="E675" s="27" t="n">
        <v>0</v>
      </c>
      <c r="F675" s="27" t="n">
        <v>25</v>
      </c>
      <c r="G675" s="27" t="n">
        <v>12</v>
      </c>
      <c r="H675" s="28" t="n">
        <v>156.82</v>
      </c>
      <c r="I675" s="28" t="n">
        <v>18.46</v>
      </c>
      <c r="J675" s="94" t="inlineStr">
        <is>
          <t>False</t>
        </is>
      </c>
      <c r="K675" s="28" t="n">
        <v>0</v>
      </c>
      <c r="L675" s="25" t="inlineStr">
        <is>
          <t>WHISKEY - BLENDED</t>
        </is>
      </c>
      <c r="M675" s="25" t="inlineStr">
        <is>
          <t>JIM BEAM BRANDS CO</t>
        </is>
      </c>
      <c r="N675" s="25" t="inlineStr">
        <is>
          <t>040010-SOUTHERN GLAZERS WINE AND SPIRITS OF MISSISSIPPI LLC</t>
        </is>
      </c>
      <c r="O675" s="25" t="n"/>
      <c r="P675" s="25" t="inlineStr">
        <is>
          <t>10080686021497</t>
        </is>
      </c>
      <c r="Q675" s="25" t="inlineStr">
        <is>
          <t>0080686006060</t>
        </is>
      </c>
      <c r="R675" s="78" t="n">
        <v>44501</v>
      </c>
    </row>
    <row r="676">
      <c r="A676" t="inlineStr">
        <is>
          <t>or item code =</t>
        </is>
      </c>
      <c r="B676" s="25" t="inlineStr">
        <is>
          <t>28279</t>
        </is>
      </c>
      <c r="C676" s="25" t="inlineStr">
        <is>
          <t>JIM BEAM PEACH FLAVORED WHISKEY</t>
        </is>
      </c>
      <c r="D676" s="25" t="inlineStr">
        <is>
          <t>750ml</t>
        </is>
      </c>
      <c r="E676" s="27" t="n">
        <v>312</v>
      </c>
      <c r="F676" s="27" t="n">
        <v>62</v>
      </c>
      <c r="G676" s="27" t="n">
        <v>12</v>
      </c>
      <c r="H676" s="28" t="n">
        <v>156.82</v>
      </c>
      <c r="I676" s="28" t="n">
        <v>18.46</v>
      </c>
      <c r="J676" s="94" t="inlineStr">
        <is>
          <t>False</t>
        </is>
      </c>
      <c r="K676" s="28" t="n">
        <v>0</v>
      </c>
      <c r="L676" s="25" t="inlineStr">
        <is>
          <t>WHISKEY OTHER</t>
        </is>
      </c>
      <c r="M676" s="25" t="inlineStr">
        <is>
          <t>JIM BEAM BRANDS CO</t>
        </is>
      </c>
      <c r="N676" s="25" t="inlineStr">
        <is>
          <t>040010-SOUTHERN GLAZERS WINE AND SPIRITS OF MISSISSIPPI LLC</t>
        </is>
      </c>
      <c r="O676" s="25" t="n"/>
      <c r="P676" s="25" t="inlineStr">
        <is>
          <t>10080686021145</t>
        </is>
      </c>
      <c r="Q676" s="25" t="inlineStr">
        <is>
          <t>080686021148</t>
        </is>
      </c>
      <c r="R676" s="78" t="n">
        <v>44501</v>
      </c>
    </row>
    <row r="677">
      <c r="A677" t="inlineStr">
        <is>
          <t>or item code =</t>
        </is>
      </c>
      <c r="B677" s="25" t="inlineStr">
        <is>
          <t>28281</t>
        </is>
      </c>
      <c r="C677" s="25" t="inlineStr">
        <is>
          <t>JIM BEAM PEACH FLAVORED WHISKEY</t>
        </is>
      </c>
      <c r="D677" s="25" t="inlineStr">
        <is>
          <t>1.75L</t>
        </is>
      </c>
      <c r="E677" s="27" t="n">
        <v>44</v>
      </c>
      <c r="F677" s="27" t="n">
        <v>22</v>
      </c>
      <c r="G677" s="27" t="n">
        <v>6</v>
      </c>
      <c r="H677" s="28" t="n">
        <v>161.48</v>
      </c>
      <c r="I677" s="28" t="n">
        <v>0</v>
      </c>
      <c r="J677" s="94" t="inlineStr">
        <is>
          <t>False</t>
        </is>
      </c>
      <c r="K677" s="28" t="n">
        <v>0</v>
      </c>
      <c r="L677" s="25" t="inlineStr">
        <is>
          <t>WHISKEY OTHER</t>
        </is>
      </c>
      <c r="M677" s="25" t="inlineStr">
        <is>
          <t>JIM BEAM BRANDS CO</t>
        </is>
      </c>
      <c r="N677" s="25" t="inlineStr">
        <is>
          <t>040010-SOUTHERN GLAZERS WINE AND SPIRITS OF MISSISSIPPI LLC</t>
        </is>
      </c>
      <c r="O677" s="25" t="n"/>
      <c r="P677" s="25" t="inlineStr">
        <is>
          <t>10080686021183</t>
        </is>
      </c>
      <c r="Q677" s="25" t="inlineStr">
        <is>
          <t>080686021186</t>
        </is>
      </c>
      <c r="R677" s="78" t="n">
        <v>44562</v>
      </c>
    </row>
    <row r="678">
      <c r="A678" t="inlineStr">
        <is>
          <t>or item code =</t>
        </is>
      </c>
      <c r="B678" s="25" t="inlineStr">
        <is>
          <t>19066</t>
        </is>
      </c>
      <c r="C678" s="25" t="inlineStr">
        <is>
          <t>JIM BEAM STRAIGHT BOURBON WHISKEY</t>
        </is>
      </c>
      <c r="D678" s="25" t="inlineStr">
        <is>
          <t>750ml</t>
        </is>
      </c>
      <c r="E678" s="27" t="n">
        <v>288</v>
      </c>
      <c r="F678" s="27" t="n">
        <v>288</v>
      </c>
      <c r="G678" s="27" t="n">
        <v>12</v>
      </c>
      <c r="H678" s="28" t="n">
        <v>156.82</v>
      </c>
      <c r="I678" s="28" t="n">
        <v>18.46</v>
      </c>
      <c r="J678" s="94" t="inlineStr">
        <is>
          <t>False</t>
        </is>
      </c>
      <c r="K678" s="28" t="n">
        <v>0</v>
      </c>
      <c r="L678" s="25" t="inlineStr">
        <is>
          <t>WHISKEY - STR BOURBON</t>
        </is>
      </c>
      <c r="M678" s="25" t="inlineStr">
        <is>
          <t>JIM BEAM BRANDS CO</t>
        </is>
      </c>
      <c r="N678" s="25" t="inlineStr">
        <is>
          <t>040010-SOUTHERN GLAZERS WINE AND SPIRITS OF MISSISSIPPI LLC</t>
        </is>
      </c>
      <c r="O678" s="25" t="n"/>
      <c r="P678" s="25" t="inlineStr">
        <is>
          <t>10080686001406</t>
        </is>
      </c>
      <c r="Q678" s="25" t="inlineStr">
        <is>
          <t>0080686001409</t>
        </is>
      </c>
      <c r="R678" s="78" t="n">
        <v>42370</v>
      </c>
    </row>
    <row r="679">
      <c r="A679" t="inlineStr">
        <is>
          <t>or item code =</t>
        </is>
      </c>
      <c r="B679" s="25" t="inlineStr">
        <is>
          <t>19063</t>
        </is>
      </c>
      <c r="C679" s="25" t="inlineStr">
        <is>
          <t>JIM BEAM WHITE</t>
        </is>
      </c>
      <c r="D679" s="25" t="inlineStr">
        <is>
          <t>200ml</t>
        </is>
      </c>
      <c r="E679" s="27" t="n">
        <v>10</v>
      </c>
      <c r="F679" s="27" t="n">
        <v>94</v>
      </c>
      <c r="G679" s="27" t="n">
        <v>48</v>
      </c>
      <c r="H679" s="28" t="n">
        <v>205.36</v>
      </c>
      <c r="I679" s="28" t="n">
        <v>0</v>
      </c>
      <c r="J679" s="94" t="inlineStr">
        <is>
          <t>False</t>
        </is>
      </c>
      <c r="K679" s="28" t="n">
        <v>0</v>
      </c>
      <c r="L679" s="25" t="inlineStr">
        <is>
          <t>WHISKEY - STR BOURBON</t>
        </is>
      </c>
      <c r="M679" s="25" t="inlineStr">
        <is>
          <t>JIM BEAM BRANDS CO</t>
        </is>
      </c>
      <c r="N679" s="25" t="inlineStr">
        <is>
          <t>040010-SOUTHERN GLAZERS WINE AND SPIRITS OF MISSISSIPPI LLC</t>
        </is>
      </c>
      <c r="O679" s="25" t="n"/>
      <c r="P679" s="25" t="inlineStr">
        <is>
          <t>10080686001291</t>
        </is>
      </c>
      <c r="Q679" s="25" t="inlineStr">
        <is>
          <t>0080686001706</t>
        </is>
      </c>
      <c r="R679" s="78" t="n">
        <v>44501</v>
      </c>
    </row>
    <row r="680">
      <c r="A680" t="inlineStr">
        <is>
          <t>or item code =</t>
        </is>
      </c>
      <c r="B680" s="25" t="inlineStr">
        <is>
          <t>19064</t>
        </is>
      </c>
      <c r="C680" s="25" t="inlineStr">
        <is>
          <t>JIM BEAM WHITE</t>
        </is>
      </c>
      <c r="D680" s="25" t="inlineStr">
        <is>
          <t>375ml</t>
        </is>
      </c>
      <c r="E680" s="27" t="n">
        <v>285</v>
      </c>
      <c r="F680" s="27" t="n">
        <v>185</v>
      </c>
      <c r="G680" s="27" t="n">
        <v>24</v>
      </c>
      <c r="H680" s="28" t="n">
        <v>188.39</v>
      </c>
      <c r="I680" s="28" t="n">
        <v>0</v>
      </c>
      <c r="J680" s="94" t="inlineStr">
        <is>
          <t>False</t>
        </is>
      </c>
      <c r="K680" s="28" t="n">
        <v>0</v>
      </c>
      <c r="L680" s="25" t="inlineStr">
        <is>
          <t>WHISKEY - STR BOURBON</t>
        </is>
      </c>
      <c r="M680" s="25" t="inlineStr">
        <is>
          <t>JIM BEAM BRANDS CO</t>
        </is>
      </c>
      <c r="N680" s="25" t="inlineStr">
        <is>
          <t>040010-SOUTHERN GLAZERS WINE AND SPIRITS OF MISSISSIPPI LLC</t>
        </is>
      </c>
      <c r="O680" s="25" t="n"/>
      <c r="P680" s="25" t="inlineStr">
        <is>
          <t>10080686001277</t>
        </is>
      </c>
      <c r="Q680" s="25" t="inlineStr">
        <is>
          <t>0080686001607</t>
        </is>
      </c>
      <c r="R680" s="78" t="n">
        <v>44501</v>
      </c>
    </row>
    <row r="681">
      <c r="A681" t="inlineStr">
        <is>
          <t>or item code =</t>
        </is>
      </c>
      <c r="B681" s="25" t="inlineStr">
        <is>
          <t>19070</t>
        </is>
      </c>
      <c r="C681" s="25" t="inlineStr">
        <is>
          <t>JIM BEAM WHITE (PET)</t>
        </is>
      </c>
      <c r="D681" s="25" t="inlineStr">
        <is>
          <t>1.75L</t>
        </is>
      </c>
      <c r="E681" s="27" t="n">
        <v>0</v>
      </c>
      <c r="F681" s="27" t="n">
        <v>234</v>
      </c>
      <c r="G681" s="27" t="n">
        <v>6</v>
      </c>
      <c r="H681" s="28" t="n">
        <v>147.63</v>
      </c>
      <c r="I681" s="28" t="n">
        <v>13.85</v>
      </c>
      <c r="J681" s="94" t="inlineStr">
        <is>
          <t>False</t>
        </is>
      </c>
      <c r="K681" s="28" t="n">
        <v>0</v>
      </c>
      <c r="L681" s="25" t="inlineStr">
        <is>
          <t>WHISKEY - STR BOURBON</t>
        </is>
      </c>
      <c r="M681" s="25" t="inlineStr">
        <is>
          <t>JIM BEAM BRANDS CO</t>
        </is>
      </c>
      <c r="N681" s="25" t="inlineStr">
        <is>
          <t>040010-SOUTHERN GLAZERS WINE AND SPIRITS OF MISSISSIPPI LLC</t>
        </is>
      </c>
      <c r="O681" s="25" t="n"/>
      <c r="P681" s="25" t="inlineStr">
        <is>
          <t>10080686001116</t>
        </is>
      </c>
      <c r="Q681" s="25" t="inlineStr">
        <is>
          <t>0080686001119</t>
        </is>
      </c>
      <c r="R681" s="78" t="n">
        <v>44501</v>
      </c>
    </row>
    <row r="682">
      <c r="A682" t="inlineStr">
        <is>
          <t>or item code =</t>
        </is>
      </c>
      <c r="B682" s="25" t="inlineStr">
        <is>
          <t>5339</t>
        </is>
      </c>
      <c r="C682" s="25" t="inlineStr">
        <is>
          <t>JOHNNIE WALKER BLACK LABEL</t>
        </is>
      </c>
      <c r="D682" s="25" t="inlineStr">
        <is>
          <t>1.75L</t>
        </is>
      </c>
      <c r="E682" s="27" t="n">
        <v>46</v>
      </c>
      <c r="F682" s="27" t="n">
        <v>11</v>
      </c>
      <c r="G682" s="27" t="n">
        <v>6</v>
      </c>
      <c r="H682" s="28" t="n">
        <v>371.69</v>
      </c>
      <c r="I682" s="28" t="n">
        <v>0</v>
      </c>
      <c r="J682" s="94" t="inlineStr">
        <is>
          <t>False</t>
        </is>
      </c>
      <c r="K682" s="28" t="n">
        <v>0</v>
      </c>
      <c r="L682" s="25" t="inlineStr">
        <is>
          <t>WHISKY - SCOTCH</t>
        </is>
      </c>
      <c r="M682" s="25" t="inlineStr">
        <is>
          <t>DIAGEO AMERICAS INC</t>
        </is>
      </c>
      <c r="N682" s="25" t="inlineStr">
        <is>
          <t>040010-SOUTHERN GLAZERS WINE AND SPIRITS OF MISSISSIPPI LLC</t>
        </is>
      </c>
      <c r="O682" s="25" t="n"/>
      <c r="P682" s="25" t="inlineStr">
        <is>
          <t>10088076163178</t>
        </is>
      </c>
      <c r="Q682" s="25" t="inlineStr">
        <is>
          <t>0088076163171</t>
        </is>
      </c>
      <c r="R682" s="78" t="n">
        <v>42370</v>
      </c>
    </row>
    <row r="683">
      <c r="A683" t="inlineStr">
        <is>
          <t>or item code =</t>
        </is>
      </c>
      <c r="B683" s="25" t="inlineStr">
        <is>
          <t>5329</t>
        </is>
      </c>
      <c r="C683" s="25" t="inlineStr">
        <is>
          <t>JOHNNIE WALKER BLUE LABEL</t>
        </is>
      </c>
      <c r="D683" s="25" t="inlineStr">
        <is>
          <t>750ml</t>
        </is>
      </c>
      <c r="E683" s="27" t="n">
        <v>22</v>
      </c>
      <c r="F683" s="27" t="n">
        <v>7</v>
      </c>
      <c r="G683" s="27" t="n">
        <v>6</v>
      </c>
      <c r="H683" s="28" t="n">
        <v>1156.32</v>
      </c>
      <c r="I683" s="28" t="n">
        <v>0</v>
      </c>
      <c r="J683" s="94" t="inlineStr">
        <is>
          <t>False</t>
        </is>
      </c>
      <c r="K683" s="28" t="n">
        <v>0</v>
      </c>
      <c r="L683" s="25" t="inlineStr">
        <is>
          <t>WHISKY - SCOTCH</t>
        </is>
      </c>
      <c r="M683" s="25" t="inlineStr">
        <is>
          <t>DIAGEO AMERICAS INC</t>
        </is>
      </c>
      <c r="N683" s="25" t="inlineStr">
        <is>
          <t>040010-SOUTHERN GLAZERS WINE AND SPIRITS OF MISSISSIPPI LLC</t>
        </is>
      </c>
      <c r="O683" s="25" t="n"/>
      <c r="P683" s="25" t="inlineStr">
        <is>
          <t>00088076177659</t>
        </is>
      </c>
      <c r="Q683" s="25" t="inlineStr">
        <is>
          <t>0088110070052</t>
        </is>
      </c>
      <c r="R683" s="78" t="n">
        <v>42370</v>
      </c>
    </row>
    <row r="684">
      <c r="A684" t="inlineStr">
        <is>
          <t>or item code =</t>
        </is>
      </c>
      <c r="B684" s="25" t="inlineStr">
        <is>
          <t>5318</t>
        </is>
      </c>
      <c r="C684" s="25" t="inlineStr">
        <is>
          <t>JOHNNIE WALKER DOUBLE BLACK BLENDED WHSK</t>
        </is>
      </c>
      <c r="D684" s="25" t="inlineStr">
        <is>
          <t>750ml</t>
        </is>
      </c>
      <c r="E684" s="27" t="n">
        <v>0</v>
      </c>
      <c r="F684" s="27" t="n">
        <v>7</v>
      </c>
      <c r="G684" s="27" t="n">
        <v>6</v>
      </c>
      <c r="H684" s="28" t="n">
        <v>224.04</v>
      </c>
      <c r="I684" s="28" t="n">
        <v>0</v>
      </c>
      <c r="J684" s="94" t="inlineStr">
        <is>
          <t>False</t>
        </is>
      </c>
      <c r="K684" s="28" t="n">
        <v>0</v>
      </c>
      <c r="L684" s="25" t="inlineStr">
        <is>
          <t>WHISKY - SCOTCH</t>
        </is>
      </c>
      <c r="M684" s="25" t="inlineStr">
        <is>
          <t>DIAGEO AMERICAS INC</t>
        </is>
      </c>
      <c r="N684" s="25" t="inlineStr">
        <is>
          <t>040010-SOUTHERN GLAZERS WINE AND SPIRITS OF MISSISSIPPI LLC</t>
        </is>
      </c>
      <c r="O684" s="25" t="n"/>
      <c r="P684" s="25" t="inlineStr">
        <is>
          <t>10088076177700</t>
        </is>
      </c>
      <c r="Q684" s="25" t="inlineStr">
        <is>
          <t>0088076177703</t>
        </is>
      </c>
      <c r="R684" s="78" t="n">
        <v>42370</v>
      </c>
    </row>
    <row r="685">
      <c r="A685" t="inlineStr">
        <is>
          <t>or item code =</t>
        </is>
      </c>
      <c r="B685" s="25" t="inlineStr">
        <is>
          <t>5346</t>
        </is>
      </c>
      <c r="C685" s="25" t="inlineStr">
        <is>
          <t>JOHNNIE WALKER RED LABEL</t>
        </is>
      </c>
      <c r="D685" s="25" t="inlineStr">
        <is>
          <t>750ml</t>
        </is>
      </c>
      <c r="E685" s="27" t="n">
        <v>76</v>
      </c>
      <c r="F685" s="27" t="n">
        <v>52</v>
      </c>
      <c r="G685" s="27" t="n">
        <v>12</v>
      </c>
      <c r="H685" s="28" t="n">
        <v>234.99</v>
      </c>
      <c r="I685" s="28" t="n">
        <v>0</v>
      </c>
      <c r="J685" s="94" t="inlineStr">
        <is>
          <t>False</t>
        </is>
      </c>
      <c r="K685" s="28" t="n">
        <v>0</v>
      </c>
      <c r="L685" s="25" t="inlineStr">
        <is>
          <t>WHISKY - SCOTCH</t>
        </is>
      </c>
      <c r="M685" s="25" t="inlineStr">
        <is>
          <t>DIAGEO AMERICAS INC</t>
        </is>
      </c>
      <c r="N685" s="25" t="inlineStr">
        <is>
          <t>040010-SOUTHERN GLAZERS WINE AND SPIRITS OF MISSISSIPPI LLC</t>
        </is>
      </c>
      <c r="O685" s="25" t="n"/>
      <c r="P685" s="25" t="inlineStr">
        <is>
          <t>00088076178892</t>
        </is>
      </c>
      <c r="Q685" s="25" t="inlineStr">
        <is>
          <t>0088110021306</t>
        </is>
      </c>
      <c r="R685" s="78" t="n">
        <v>42370</v>
      </c>
    </row>
    <row r="686">
      <c r="A686" t="inlineStr">
        <is>
          <t>or item code =</t>
        </is>
      </c>
      <c r="B686" s="25" t="inlineStr">
        <is>
          <t>58858</t>
        </is>
      </c>
      <c r="C686" s="25" t="inlineStr">
        <is>
          <t>JOSE CUERVO (JC) STRAWBERRY LIME (PET)</t>
        </is>
      </c>
      <c r="D686" s="25" t="inlineStr">
        <is>
          <t>200ml</t>
        </is>
      </c>
      <c r="E686" s="27" t="n">
        <v>0</v>
      </c>
      <c r="F686" s="27" t="n">
        <v>2</v>
      </c>
      <c r="G686" s="27" t="n">
        <v>24</v>
      </c>
      <c r="H686" s="28" t="n">
        <v>51.31</v>
      </c>
      <c r="I686" s="28" t="n">
        <v>0</v>
      </c>
      <c r="J686" s="94" t="inlineStr">
        <is>
          <t>False</t>
        </is>
      </c>
      <c r="K686" s="28" t="n">
        <v>0</v>
      </c>
      <c r="L686" s="25" t="inlineStr">
        <is>
          <t>COCKTAILS</t>
        </is>
      </c>
      <c r="M686" s="25" t="inlineStr">
        <is>
          <t>PROXIMO SPIRITS INC</t>
        </is>
      </c>
      <c r="N686" s="25" t="inlineStr">
        <is>
          <t>040002-RNDC-MAGNOLIA</t>
        </is>
      </c>
      <c r="O686" s="25" t="n"/>
      <c r="P686" s="25" t="inlineStr">
        <is>
          <t>00000000058858</t>
        </is>
      </c>
      <c r="Q686" s="25" t="inlineStr">
        <is>
          <t>811538012768</t>
        </is>
      </c>
      <c r="R686" s="78" t="n">
        <v>43922</v>
      </c>
    </row>
    <row r="687">
      <c r="A687" t="inlineStr">
        <is>
          <t>or item code =</t>
        </is>
      </c>
      <c r="B687" s="25" t="inlineStr">
        <is>
          <t>58874</t>
        </is>
      </c>
      <c r="C687" s="25" t="inlineStr">
        <is>
          <t>JOSE CUERVO AUTHENTIC PINK LEMONADE</t>
        </is>
      </c>
      <c r="D687" s="25" t="inlineStr">
        <is>
          <t>1.75L</t>
        </is>
      </c>
      <c r="E687" s="27" t="n">
        <v>20</v>
      </c>
      <c r="F687" s="27" t="n">
        <v>61</v>
      </c>
      <c r="G687" s="27" t="n">
        <v>6</v>
      </c>
      <c r="H687" s="28" t="n">
        <v>96.88</v>
      </c>
      <c r="I687" s="28" t="n">
        <v>0</v>
      </c>
      <c r="J687" s="94" t="inlineStr">
        <is>
          <t>False</t>
        </is>
      </c>
      <c r="K687" s="28" t="n">
        <v>0</v>
      </c>
      <c r="L687" s="25" t="inlineStr">
        <is>
          <t>COCKTAILS</t>
        </is>
      </c>
      <c r="M687" s="25" t="inlineStr">
        <is>
          <t>PROXIMO SPIRITS INC</t>
        </is>
      </c>
      <c r="N687" s="25" t="inlineStr">
        <is>
          <t>040002-RNDC-MAGNOLIA</t>
        </is>
      </c>
      <c r="O687" s="25" t="n"/>
      <c r="P687" s="25" t="inlineStr">
        <is>
          <t>10811538013762</t>
        </is>
      </c>
      <c r="Q687" s="25" t="inlineStr">
        <is>
          <t>0811538013765</t>
        </is>
      </c>
      <c r="R687" s="78" t="n">
        <v>42538</v>
      </c>
    </row>
    <row r="688">
      <c r="A688" t="inlineStr">
        <is>
          <t>or item code =</t>
        </is>
      </c>
      <c r="B688" s="25" t="inlineStr">
        <is>
          <t>100686</t>
        </is>
      </c>
      <c r="C688" s="25" t="inlineStr">
        <is>
          <t>JOSE CUERVO AUTHENTIC PINK LEMONADE (4PK)</t>
        </is>
      </c>
      <c r="D688" s="25" t="inlineStr">
        <is>
          <t>200ml</t>
        </is>
      </c>
      <c r="E688" s="27" t="n">
        <v>0</v>
      </c>
      <c r="F688" s="27" t="n">
        <v>85</v>
      </c>
      <c r="G688" s="27" t="n">
        <v>24</v>
      </c>
      <c r="H688" s="28" t="n">
        <v>51.31</v>
      </c>
      <c r="I688" s="28" t="n">
        <v>0</v>
      </c>
      <c r="J688" s="94" t="inlineStr">
        <is>
          <t>False</t>
        </is>
      </c>
      <c r="K688" s="28" t="n">
        <v>0</v>
      </c>
      <c r="L688" s="25" t="inlineStr">
        <is>
          <t>COCKTAILS</t>
        </is>
      </c>
      <c r="M688" s="25" t="inlineStr">
        <is>
          <t>PROXIMO SPIRITS INC</t>
        </is>
      </c>
      <c r="N688" s="25" t="inlineStr">
        <is>
          <t>040002-RNDC-MAGNOLIA</t>
        </is>
      </c>
      <c r="O688" s="25" t="n"/>
      <c r="P688" s="25" t="inlineStr">
        <is>
          <t>30811538019614</t>
        </is>
      </c>
      <c r="Q688" s="25" t="inlineStr">
        <is>
          <t>811538019613</t>
        </is>
      </c>
      <c r="R688" s="78" t="n">
        <v>43800</v>
      </c>
    </row>
    <row r="689">
      <c r="A689" t="inlineStr">
        <is>
          <t>or item code =</t>
        </is>
      </c>
      <c r="B689" s="25" t="inlineStr">
        <is>
          <t>58914</t>
        </is>
      </c>
      <c r="C689" s="25" t="inlineStr">
        <is>
          <t>JOSE CUERVO AUTHENTIC SPARKLING LIME CANS</t>
        </is>
      </c>
      <c r="D689" s="25" t="inlineStr">
        <is>
          <t>355ml</t>
        </is>
      </c>
      <c r="E689" s="27" t="n">
        <v>56</v>
      </c>
      <c r="F689" s="27" t="n">
        <v>15</v>
      </c>
      <c r="G689" s="27" t="n">
        <v>24</v>
      </c>
      <c r="H689" s="28" t="n">
        <v>59.97</v>
      </c>
      <c r="I689" s="28" t="n">
        <v>0</v>
      </c>
      <c r="J689" s="94" t="inlineStr">
        <is>
          <t>False</t>
        </is>
      </c>
      <c r="K689" s="28" t="n">
        <v>0</v>
      </c>
      <c r="L689" s="25" t="inlineStr">
        <is>
          <t>COCKTAILS</t>
        </is>
      </c>
      <c r="M689" s="25" t="inlineStr">
        <is>
          <t>PROXIMO SPIRITS INC</t>
        </is>
      </c>
      <c r="N689" s="25" t="inlineStr">
        <is>
          <t>040002-RNDC-MAGNOLIA</t>
        </is>
      </c>
      <c r="O689" s="25" t="n"/>
      <c r="P689" s="25" t="inlineStr">
        <is>
          <t>30818844020082</t>
        </is>
      </c>
      <c r="Q689" s="25" t="inlineStr">
        <is>
          <t>818844020128</t>
        </is>
      </c>
      <c r="R689" s="78" t="n">
        <v>42370</v>
      </c>
    </row>
    <row r="690">
      <c r="A690" t="inlineStr">
        <is>
          <t>or item code =</t>
        </is>
      </c>
      <c r="B690" s="25" t="inlineStr">
        <is>
          <t>58918</t>
        </is>
      </c>
      <c r="C690" s="25" t="inlineStr">
        <is>
          <t>JOSE CUERVO AUTHENTIC STRAWBERRY CANS</t>
        </is>
      </c>
      <c r="D690" s="25" t="inlineStr">
        <is>
          <t>355ml</t>
        </is>
      </c>
      <c r="E690" s="27" t="n">
        <v>20</v>
      </c>
      <c r="F690" s="27" t="n">
        <v>15</v>
      </c>
      <c r="G690" s="27" t="n">
        <v>24</v>
      </c>
      <c r="H690" s="28" t="n">
        <v>59.97</v>
      </c>
      <c r="I690" s="28" t="n">
        <v>0</v>
      </c>
      <c r="J690" s="94" t="inlineStr">
        <is>
          <t>False</t>
        </is>
      </c>
      <c r="K690" s="28" t="n">
        <v>0</v>
      </c>
      <c r="L690" s="25" t="inlineStr">
        <is>
          <t>COCKTAILS</t>
        </is>
      </c>
      <c r="M690" s="25" t="inlineStr">
        <is>
          <t>PROXIMO SPIRITS INC</t>
        </is>
      </c>
      <c r="N690" s="25" t="inlineStr">
        <is>
          <t>040002-RNDC-MAGNOLIA</t>
        </is>
      </c>
      <c r="O690" s="25" t="n"/>
      <c r="P690" s="25" t="inlineStr">
        <is>
          <t>30818844020099</t>
        </is>
      </c>
      <c r="Q690" s="25" t="inlineStr">
        <is>
          <t>818844020135</t>
        </is>
      </c>
      <c r="R690" s="78" t="n">
        <v>42370</v>
      </c>
    </row>
    <row r="691">
      <c r="A691" t="inlineStr">
        <is>
          <t>or item code =</t>
        </is>
      </c>
      <c r="B691" s="25" t="inlineStr">
        <is>
          <t>87402</t>
        </is>
      </c>
      <c r="C691" s="25" t="inlineStr">
        <is>
          <t>JOSE CUERVO ESPECIAL SILVER</t>
        </is>
      </c>
      <c r="D691" s="25" t="inlineStr">
        <is>
          <t>200ml</t>
        </is>
      </c>
      <c r="E691" s="27" t="n">
        <v>48</v>
      </c>
      <c r="F691" s="27" t="n">
        <v>85</v>
      </c>
      <c r="G691" s="27" t="n">
        <v>48</v>
      </c>
      <c r="H691" s="28" t="n">
        <v>256.89</v>
      </c>
      <c r="I691" s="28" t="n">
        <v>0</v>
      </c>
      <c r="J691" s="94" t="inlineStr">
        <is>
          <t>False</t>
        </is>
      </c>
      <c r="K691" s="28" t="n">
        <v>0</v>
      </c>
      <c r="L691" s="25" t="inlineStr">
        <is>
          <t>TEQUILA</t>
        </is>
      </c>
      <c r="M691" s="25" t="inlineStr">
        <is>
          <t>PROXIMO SPIRITS INC</t>
        </is>
      </c>
      <c r="N691" s="25" t="inlineStr">
        <is>
          <t>040002-RNDC-MAGNOLIA</t>
        </is>
      </c>
      <c r="O691" s="25" t="n"/>
      <c r="P691" s="25" t="inlineStr">
        <is>
          <t>40811538010939</t>
        </is>
      </c>
      <c r="Q691" s="25" t="inlineStr">
        <is>
          <t>0811538010931</t>
        </is>
      </c>
      <c r="R691" s="78" t="n">
        <v>42370</v>
      </c>
    </row>
    <row r="692">
      <c r="A692" t="inlineStr">
        <is>
          <t>or item code =</t>
        </is>
      </c>
      <c r="B692" s="25" t="inlineStr">
        <is>
          <t>87401</t>
        </is>
      </c>
      <c r="C692" s="25" t="inlineStr">
        <is>
          <t>JOSE CUERVO ESPECIAL SILVER</t>
        </is>
      </c>
      <c r="D692" s="25" t="inlineStr">
        <is>
          <t>50ml</t>
        </is>
      </c>
      <c r="E692" s="27" t="n">
        <v>46</v>
      </c>
      <c r="F692" s="27" t="n">
        <v>42</v>
      </c>
      <c r="G692" s="27" t="n">
        <v>120</v>
      </c>
      <c r="H692" s="28" t="n">
        <v>140.23</v>
      </c>
      <c r="I692" s="28" t="n">
        <v>0</v>
      </c>
      <c r="J692" s="94" t="inlineStr">
        <is>
          <t>False</t>
        </is>
      </c>
      <c r="K692" s="28" t="n">
        <v>0</v>
      </c>
      <c r="L692" s="25" t="inlineStr">
        <is>
          <t>TEQUILA</t>
        </is>
      </c>
      <c r="M692" s="25" t="inlineStr">
        <is>
          <t>PROXIMO SPIRITS INC</t>
        </is>
      </c>
      <c r="N692" s="25" t="inlineStr">
        <is>
          <t>040002-RNDC-MAGNOLIA</t>
        </is>
      </c>
      <c r="O692" s="25" t="n"/>
      <c r="P692" s="25" t="inlineStr">
        <is>
          <t>44811538011505</t>
        </is>
      </c>
      <c r="Q692" s="25" t="inlineStr">
        <is>
          <t>811538011501</t>
        </is>
      </c>
      <c r="R692" s="78" t="n">
        <v>44593</v>
      </c>
    </row>
    <row r="693">
      <c r="A693" t="inlineStr">
        <is>
          <t>or item code =</t>
        </is>
      </c>
      <c r="B693" s="25" t="inlineStr">
        <is>
          <t>87403</t>
        </is>
      </c>
      <c r="C693" s="25" t="inlineStr">
        <is>
          <t>JOSE CUERVO ESPECIAL SILVER</t>
        </is>
      </c>
      <c r="D693" s="25" t="inlineStr">
        <is>
          <t>375ml</t>
        </is>
      </c>
      <c r="E693" s="27" t="n">
        <v>0</v>
      </c>
      <c r="F693" s="27" t="n">
        <v>157</v>
      </c>
      <c r="G693" s="27" t="n">
        <v>24</v>
      </c>
      <c r="H693" s="28" t="n">
        <v>222.75</v>
      </c>
      <c r="I693" s="28" t="n">
        <v>0</v>
      </c>
      <c r="J693" s="94" t="inlineStr">
        <is>
          <t>False</t>
        </is>
      </c>
      <c r="K693" s="28" t="n">
        <v>0</v>
      </c>
      <c r="L693" s="25" t="inlineStr">
        <is>
          <t>TEQUILA</t>
        </is>
      </c>
      <c r="M693" s="25" t="inlineStr">
        <is>
          <t>PROXIMO SPIRITS INC</t>
        </is>
      </c>
      <c r="N693" s="25" t="inlineStr">
        <is>
          <t>040002-RNDC-MAGNOLIA</t>
        </is>
      </c>
      <c r="O693" s="25" t="n"/>
      <c r="P693" s="25" t="inlineStr">
        <is>
          <t>30811538010871</t>
        </is>
      </c>
      <c r="Q693" s="25" t="inlineStr">
        <is>
          <t>0811538010870</t>
        </is>
      </c>
      <c r="R693" s="78" t="n">
        <v>42370</v>
      </c>
    </row>
    <row r="694">
      <c r="A694" t="inlineStr">
        <is>
          <t>or item code =</t>
        </is>
      </c>
      <c r="B694" s="25" t="inlineStr">
        <is>
          <t>87410</t>
        </is>
      </c>
      <c r="C694" s="25" t="inlineStr">
        <is>
          <t>JOSE CUERVO ESPECIAL SILVER</t>
        </is>
      </c>
      <c r="D694" s="25" t="inlineStr">
        <is>
          <t>1.75L</t>
        </is>
      </c>
      <c r="E694" s="27" t="n">
        <v>138</v>
      </c>
      <c r="F694" s="27" t="n">
        <v>65</v>
      </c>
      <c r="G694" s="27" t="n">
        <v>6</v>
      </c>
      <c r="H694" s="28" t="n">
        <v>203.03</v>
      </c>
      <c r="I694" s="28" t="n">
        <v>0</v>
      </c>
      <c r="J694" s="94" t="inlineStr">
        <is>
          <t>False</t>
        </is>
      </c>
      <c r="K694" s="28" t="n">
        <v>0</v>
      </c>
      <c r="L694" s="25" t="inlineStr">
        <is>
          <t>TEQUILA</t>
        </is>
      </c>
      <c r="M694" s="25" t="inlineStr">
        <is>
          <t>PROXIMO SPIRITS INC</t>
        </is>
      </c>
      <c r="N694" s="25" t="inlineStr">
        <is>
          <t>040002-RNDC-MAGNOLIA</t>
        </is>
      </c>
      <c r="O694" s="25" t="n"/>
      <c r="P694" s="25" t="inlineStr">
        <is>
          <t>10811538010778</t>
        </is>
      </c>
      <c r="Q694" s="25" t="inlineStr">
        <is>
          <t>0811538010771</t>
        </is>
      </c>
      <c r="R694" s="78" t="n">
        <v>42370</v>
      </c>
    </row>
    <row r="695">
      <c r="A695" t="inlineStr">
        <is>
          <t>or item code =</t>
        </is>
      </c>
      <c r="B695" s="25" t="inlineStr">
        <is>
          <t>87408</t>
        </is>
      </c>
      <c r="C695" s="25" t="inlineStr">
        <is>
          <t>JOSE CUERVO ESPECIAL SILVER</t>
        </is>
      </c>
      <c r="D695" s="25" t="inlineStr">
        <is>
          <t>750ml</t>
        </is>
      </c>
      <c r="E695" s="27" t="n">
        <v>0</v>
      </c>
      <c r="F695" s="27" t="n">
        <v>143</v>
      </c>
      <c r="G695" s="27" t="n">
        <v>12</v>
      </c>
      <c r="H695" s="28" t="n">
        <v>221.49</v>
      </c>
      <c r="I695" s="28" t="n">
        <v>0</v>
      </c>
      <c r="J695" s="94" t="inlineStr">
        <is>
          <t>False</t>
        </is>
      </c>
      <c r="K695" s="28" t="n">
        <v>0</v>
      </c>
      <c r="L695" s="25" t="inlineStr">
        <is>
          <t>TEQUILA</t>
        </is>
      </c>
      <c r="M695" s="25" t="inlineStr">
        <is>
          <t>PROXIMO SPIRITS INC</t>
        </is>
      </c>
      <c r="N695" s="25" t="inlineStr">
        <is>
          <t>040002-RNDC-MAGNOLIA</t>
        </is>
      </c>
      <c r="O695" s="25" t="n"/>
      <c r="P695" s="25" t="inlineStr">
        <is>
          <t>20811538010854</t>
        </is>
      </c>
      <c r="Q695" s="25" t="inlineStr">
        <is>
          <t>0811538010856</t>
        </is>
      </c>
      <c r="R695" s="78" t="n">
        <v>42370</v>
      </c>
    </row>
    <row r="696">
      <c r="A696" t="inlineStr">
        <is>
          <t>or item code =</t>
        </is>
      </c>
      <c r="B696" s="25" t="inlineStr">
        <is>
          <t>89194</t>
        </is>
      </c>
      <c r="C696" s="25" t="inlineStr">
        <is>
          <t>JOSE CUERVO ESPECIAL TEQUILA</t>
        </is>
      </c>
      <c r="D696" s="25" t="inlineStr">
        <is>
          <t>375ml</t>
        </is>
      </c>
      <c r="E696" s="27" t="n">
        <v>0</v>
      </c>
      <c r="F696" s="27" t="n">
        <v>218</v>
      </c>
      <c r="G696" s="27" t="n">
        <v>24</v>
      </c>
      <c r="H696" s="28" t="n">
        <v>222.75</v>
      </c>
      <c r="I696" s="28" t="n">
        <v>0</v>
      </c>
      <c r="J696" s="94" t="inlineStr">
        <is>
          <t>False</t>
        </is>
      </c>
      <c r="K696" s="28" t="n">
        <v>0</v>
      </c>
      <c r="L696" s="25" t="inlineStr">
        <is>
          <t>TEQUILA</t>
        </is>
      </c>
      <c r="M696" s="25" t="inlineStr">
        <is>
          <t>PROXIMO SPIRITS INC</t>
        </is>
      </c>
      <c r="N696" s="25" t="inlineStr">
        <is>
          <t>040002-RNDC-MAGNOLIA</t>
        </is>
      </c>
      <c r="O696" s="25" t="n"/>
      <c r="P696" s="25" t="inlineStr">
        <is>
          <t>30811538010888</t>
        </is>
      </c>
      <c r="Q696" s="25" t="inlineStr">
        <is>
          <t>0811538010887</t>
        </is>
      </c>
      <c r="R696" s="78" t="n">
        <v>42370</v>
      </c>
    </row>
    <row r="697">
      <c r="A697" t="inlineStr">
        <is>
          <t>or item code =</t>
        </is>
      </c>
      <c r="B697" s="25" t="inlineStr">
        <is>
          <t>89193</t>
        </is>
      </c>
      <c r="C697" s="25" t="inlineStr">
        <is>
          <t>JOSE CUERVO ESPECIAL TEQUILA</t>
        </is>
      </c>
      <c r="D697" s="25" t="inlineStr">
        <is>
          <t>200ml</t>
        </is>
      </c>
      <c r="E697" s="27" t="n">
        <v>0</v>
      </c>
      <c r="F697" s="27" t="n">
        <v>74</v>
      </c>
      <c r="G697" s="27" t="n">
        <v>48</v>
      </c>
      <c r="H697" s="28" t="n">
        <v>256.89</v>
      </c>
      <c r="I697" s="28" t="n">
        <v>0</v>
      </c>
      <c r="J697" s="94" t="inlineStr">
        <is>
          <t>False</t>
        </is>
      </c>
      <c r="K697" s="28" t="n">
        <v>0</v>
      </c>
      <c r="L697" s="25" t="inlineStr">
        <is>
          <t>TEQUILA</t>
        </is>
      </c>
      <c r="M697" s="25" t="inlineStr">
        <is>
          <t>PROXIMO SPIRITS INC</t>
        </is>
      </c>
      <c r="N697" s="25" t="inlineStr">
        <is>
          <t>040002-RNDC-MAGNOLIA</t>
        </is>
      </c>
      <c r="O697" s="25" t="n"/>
      <c r="P697" s="25" t="inlineStr">
        <is>
          <t>40811538010922</t>
        </is>
      </c>
      <c r="Q697" s="25" t="inlineStr">
        <is>
          <t>0811538010924</t>
        </is>
      </c>
      <c r="R697" s="78" t="n">
        <v>42370</v>
      </c>
    </row>
    <row r="698">
      <c r="A698" t="inlineStr">
        <is>
          <t>or item code =</t>
        </is>
      </c>
      <c r="B698" s="25" t="inlineStr">
        <is>
          <t>89191</t>
        </is>
      </c>
      <c r="C698" s="25" t="inlineStr">
        <is>
          <t>JOSE CUERVO ESPECIAL TEQUILA</t>
        </is>
      </c>
      <c r="D698" s="25" t="inlineStr">
        <is>
          <t>50ml</t>
        </is>
      </c>
      <c r="E698" s="27" t="n">
        <v>0</v>
      </c>
      <c r="F698" s="27" t="n">
        <v>0</v>
      </c>
      <c r="G698" s="27" t="n">
        <v>120</v>
      </c>
      <c r="H698" s="28" t="n">
        <v>181.61</v>
      </c>
      <c r="I698" s="28" t="n">
        <v>0</v>
      </c>
      <c r="J698" s="94" t="inlineStr">
        <is>
          <t>False</t>
        </is>
      </c>
      <c r="K698" s="28" t="n">
        <v>0</v>
      </c>
      <c r="L698" s="25" t="inlineStr">
        <is>
          <t>TEQUILA</t>
        </is>
      </c>
      <c r="M698" s="25" t="inlineStr">
        <is>
          <t>PROXIMO SPIRITS INC</t>
        </is>
      </c>
      <c r="N698" s="25" t="inlineStr">
        <is>
          <t>040002-RNDC-MAGNOLIA</t>
        </is>
      </c>
      <c r="O698" s="25" t="n"/>
      <c r="P698" s="25" t="inlineStr">
        <is>
          <t>44811538011512</t>
        </is>
      </c>
      <c r="Q698" s="25" t="inlineStr">
        <is>
          <t>0811538010948</t>
        </is>
      </c>
      <c r="R698" s="78" t="n">
        <v>42370</v>
      </c>
    </row>
    <row r="699">
      <c r="A699" t="inlineStr">
        <is>
          <t>or item code =</t>
        </is>
      </c>
      <c r="B699" s="25" t="inlineStr">
        <is>
          <t>89196</t>
        </is>
      </c>
      <c r="C699" s="25" t="inlineStr">
        <is>
          <t>JOSE CUERVO ESPECIAL TEQUILA GOLD</t>
        </is>
      </c>
      <c r="D699" s="25" t="inlineStr">
        <is>
          <t>750ml</t>
        </is>
      </c>
      <c r="E699" s="27" t="n">
        <v>467</v>
      </c>
      <c r="F699" s="27" t="n">
        <v>296</v>
      </c>
      <c r="G699" s="27" t="n">
        <v>12</v>
      </c>
      <c r="H699" s="28" t="n">
        <v>221.49</v>
      </c>
      <c r="I699" s="28" t="n">
        <v>0</v>
      </c>
      <c r="J699" s="94" t="inlineStr">
        <is>
          <t>False</t>
        </is>
      </c>
      <c r="K699" s="28" t="n">
        <v>0</v>
      </c>
      <c r="L699" s="25" t="inlineStr">
        <is>
          <t>TEQUILA</t>
        </is>
      </c>
      <c r="M699" s="25" t="inlineStr">
        <is>
          <t>PROXIMO SPIRITS INC</t>
        </is>
      </c>
      <c r="N699" s="25" t="inlineStr">
        <is>
          <t>040002-RNDC-MAGNOLIA</t>
        </is>
      </c>
      <c r="O699" s="25" t="n"/>
      <c r="P699" s="25" t="inlineStr">
        <is>
          <t>20811538010836</t>
        </is>
      </c>
      <c r="Q699" s="25" t="inlineStr">
        <is>
          <t>811538010832</t>
        </is>
      </c>
      <c r="R699" s="78" t="n">
        <v>42370</v>
      </c>
    </row>
    <row r="700">
      <c r="A700" t="inlineStr">
        <is>
          <t>or item code =</t>
        </is>
      </c>
      <c r="B700" s="25" t="inlineStr">
        <is>
          <t>89198</t>
        </is>
      </c>
      <c r="C700" s="25" t="inlineStr">
        <is>
          <t>JOSE CUERVO ESPECIAL TEQUILA GOLD</t>
        </is>
      </c>
      <c r="D700" s="25" t="inlineStr">
        <is>
          <t>1.75L</t>
        </is>
      </c>
      <c r="E700" s="27" t="n">
        <v>287</v>
      </c>
      <c r="F700" s="27" t="n">
        <v>154</v>
      </c>
      <c r="G700" s="27" t="n">
        <v>6</v>
      </c>
      <c r="H700" s="28" t="n">
        <v>203.03</v>
      </c>
      <c r="I700" s="28" t="n">
        <v>0</v>
      </c>
      <c r="J700" s="94" t="inlineStr">
        <is>
          <t>False</t>
        </is>
      </c>
      <c r="K700" s="28" t="n">
        <v>0</v>
      </c>
      <c r="L700" s="25" t="inlineStr">
        <is>
          <t>TEQUILA</t>
        </is>
      </c>
      <c r="M700" s="25" t="inlineStr">
        <is>
          <t>PROXIMO SPIRITS INC</t>
        </is>
      </c>
      <c r="N700" s="25" t="inlineStr">
        <is>
          <t>040002-RNDC-MAGNOLIA</t>
        </is>
      </c>
      <c r="O700" s="25" t="n"/>
      <c r="P700" s="25" t="inlineStr">
        <is>
          <t>10811538010761</t>
        </is>
      </c>
      <c r="Q700" s="25" t="inlineStr">
        <is>
          <t>0811538010764</t>
        </is>
      </c>
      <c r="R700" s="78" t="n">
        <v>42370</v>
      </c>
    </row>
    <row r="701">
      <c r="A701" t="inlineStr">
        <is>
          <t>or item code =</t>
        </is>
      </c>
      <c r="B701" s="25" t="inlineStr">
        <is>
          <t>58877</t>
        </is>
      </c>
      <c r="C701" s="25" t="inlineStr">
        <is>
          <t>JOSE CUERVO GOLDEN STAW MARG</t>
        </is>
      </c>
      <c r="D701" s="25" t="inlineStr">
        <is>
          <t>1.75L</t>
        </is>
      </c>
      <c r="E701" s="27" t="n">
        <v>23</v>
      </c>
      <c r="F701" s="27" t="n">
        <v>32</v>
      </c>
      <c r="G701" s="27" t="n">
        <v>6</v>
      </c>
      <c r="H701" s="28" t="n">
        <v>110.72</v>
      </c>
      <c r="I701" s="28" t="n">
        <v>0</v>
      </c>
      <c r="J701" s="94" t="inlineStr">
        <is>
          <t>False</t>
        </is>
      </c>
      <c r="K701" s="28" t="n">
        <v>0</v>
      </c>
      <c r="L701" s="25" t="inlineStr">
        <is>
          <t>COCKTAILS</t>
        </is>
      </c>
      <c r="M701" s="25" t="inlineStr">
        <is>
          <t>PROXIMO SPIRITS INC</t>
        </is>
      </c>
      <c r="N701" s="25" t="inlineStr">
        <is>
          <t>040002-RNDC-MAGNOLIA</t>
        </is>
      </c>
      <c r="O701" s="25" t="n"/>
      <c r="P701" s="25" t="inlineStr">
        <is>
          <t>10811538013311</t>
        </is>
      </c>
      <c r="Q701" s="25" t="inlineStr">
        <is>
          <t>0811538013314</t>
        </is>
      </c>
      <c r="R701" s="78" t="n">
        <v>42370</v>
      </c>
    </row>
    <row r="702">
      <c r="A702" t="inlineStr">
        <is>
          <t>or item code =</t>
        </is>
      </c>
      <c r="B702" s="25" t="inlineStr">
        <is>
          <t>88424</t>
        </is>
      </c>
      <c r="C702" s="25" t="inlineStr">
        <is>
          <t>JOSE CUERVO TRADICIONAL ANEJO</t>
        </is>
      </c>
      <c r="D702" s="25" t="inlineStr">
        <is>
          <t>750ml</t>
        </is>
      </c>
      <c r="E702" s="27" t="n">
        <v>11</v>
      </c>
      <c r="F702" s="27" t="n">
        <v>10</v>
      </c>
      <c r="G702" s="27" t="n">
        <v>6</v>
      </c>
      <c r="H702" s="28" t="n">
        <v>171.39</v>
      </c>
      <c r="I702" s="28" t="n">
        <v>0</v>
      </c>
      <c r="J702" s="94" t="inlineStr">
        <is>
          <t>False</t>
        </is>
      </c>
      <c r="K702" s="28" t="n">
        <v>0</v>
      </c>
      <c r="L702" s="25" t="inlineStr">
        <is>
          <t>TEQUILA</t>
        </is>
      </c>
      <c r="M702" s="25" t="inlineStr">
        <is>
          <t>PROXIMO SPIRITS INC</t>
        </is>
      </c>
      <c r="N702" s="25" t="inlineStr">
        <is>
          <t>040002-RNDC-MAGNOLIA</t>
        </is>
      </c>
      <c r="O702" s="25" t="n"/>
      <c r="P702" s="25" t="inlineStr">
        <is>
          <t>10818844010699</t>
        </is>
      </c>
      <c r="Q702" s="25" t="inlineStr">
        <is>
          <t>811538018913</t>
        </is>
      </c>
      <c r="R702" s="78" t="n">
        <v>44348</v>
      </c>
    </row>
    <row r="703">
      <c r="A703" t="inlineStr">
        <is>
          <t>or item code =</t>
        </is>
      </c>
      <c r="B703" s="25" t="inlineStr">
        <is>
          <t>89219</t>
        </is>
      </c>
      <c r="C703" s="25" t="inlineStr">
        <is>
          <t>JOSE CUERVO TRADICIONAL REPOSADO</t>
        </is>
      </c>
      <c r="D703" s="25" t="inlineStr">
        <is>
          <t>1.75L</t>
        </is>
      </c>
      <c r="E703" s="27" t="n">
        <v>16</v>
      </c>
      <c r="F703" s="27" t="n">
        <v>26</v>
      </c>
      <c r="G703" s="27" t="n">
        <v>6</v>
      </c>
      <c r="H703" s="28" t="n">
        <v>216.88</v>
      </c>
      <c r="I703" s="28" t="n">
        <v>0</v>
      </c>
      <c r="J703" s="94" t="inlineStr">
        <is>
          <t>False</t>
        </is>
      </c>
      <c r="K703" s="28" t="n">
        <v>0</v>
      </c>
      <c r="L703" s="25" t="inlineStr">
        <is>
          <t>TEQUILA</t>
        </is>
      </c>
      <c r="M703" s="25" t="inlineStr">
        <is>
          <t>PROXIMO SPIRITS INC</t>
        </is>
      </c>
      <c r="N703" s="25" t="inlineStr">
        <is>
          <t>040002-RNDC-MAGNOLIA</t>
        </is>
      </c>
      <c r="O703" s="25" t="n"/>
      <c r="P703" s="25" t="inlineStr">
        <is>
          <t>10811538011393</t>
        </is>
      </c>
      <c r="Q703" s="25" t="inlineStr">
        <is>
          <t>811538011396</t>
        </is>
      </c>
      <c r="R703" s="78" t="n">
        <v>44228</v>
      </c>
    </row>
    <row r="704">
      <c r="A704" t="inlineStr">
        <is>
          <t>or item code =</t>
        </is>
      </c>
      <c r="B704" s="25" t="inlineStr">
        <is>
          <t>89214</t>
        </is>
      </c>
      <c r="C704" s="25" t="inlineStr">
        <is>
          <t>JOSE CUERVO TRADICIONAL REPOSADO</t>
        </is>
      </c>
      <c r="D704" s="25" t="inlineStr">
        <is>
          <t>375ml</t>
        </is>
      </c>
      <c r="E704" s="27" t="n">
        <v>18</v>
      </c>
      <c r="F704" s="27" t="n">
        <v>96</v>
      </c>
      <c r="G704" s="27" t="n">
        <v>12</v>
      </c>
      <c r="H704" s="28" t="n">
        <v>118.25</v>
      </c>
      <c r="I704" s="28" t="n">
        <v>0</v>
      </c>
      <c r="J704" s="94" t="inlineStr">
        <is>
          <t>False</t>
        </is>
      </c>
      <c r="K704" s="28" t="n">
        <v>0</v>
      </c>
      <c r="L704" s="25" t="inlineStr">
        <is>
          <t>TEQUILA</t>
        </is>
      </c>
      <c r="M704" s="25" t="inlineStr">
        <is>
          <t>PROXIMO SPIRITS INC</t>
        </is>
      </c>
      <c r="N704" s="25" t="inlineStr">
        <is>
          <t>040002-RNDC-MAGNOLIA</t>
        </is>
      </c>
      <c r="O704" s="25" t="n"/>
      <c r="P704" s="25" t="inlineStr">
        <is>
          <t>20811538011369</t>
        </is>
      </c>
      <c r="Q704" s="25" t="inlineStr">
        <is>
          <t>811538011365</t>
        </is>
      </c>
      <c r="R704" s="78" t="n">
        <v>43591</v>
      </c>
    </row>
    <row r="705">
      <c r="A705" t="inlineStr">
        <is>
          <t>or item code =</t>
        </is>
      </c>
      <c r="B705" s="25" t="inlineStr">
        <is>
          <t>88961</t>
        </is>
      </c>
      <c r="C705" s="25" t="inlineStr">
        <is>
          <t>JOSE CUERVO TRADICIONAL REPOSADO</t>
        </is>
      </c>
      <c r="D705" s="25" t="inlineStr">
        <is>
          <t>50ml</t>
        </is>
      </c>
      <c r="E705" s="27" t="n">
        <v>0</v>
      </c>
      <c r="F705" s="27" t="n">
        <v>3</v>
      </c>
      <c r="G705" s="27" t="n">
        <v>60</v>
      </c>
      <c r="H705" s="28" t="n">
        <v>103.21</v>
      </c>
      <c r="I705" s="28" t="n">
        <v>0</v>
      </c>
      <c r="J705" s="94" t="inlineStr">
        <is>
          <t>False</t>
        </is>
      </c>
      <c r="K705" s="28" t="n">
        <v>0</v>
      </c>
      <c r="L705" s="25" t="inlineStr">
        <is>
          <t>TEQUILA</t>
        </is>
      </c>
      <c r="M705" s="25" t="inlineStr">
        <is>
          <t>PROXIMO SPIRITS INC</t>
        </is>
      </c>
      <c r="N705" s="25" t="inlineStr">
        <is>
          <t>040002-RNDC-MAGNOLIA</t>
        </is>
      </c>
      <c r="O705" s="25" t="n"/>
      <c r="P705" s="25" t="inlineStr">
        <is>
          <t>40811538011356</t>
        </is>
      </c>
      <c r="Q705" s="25" t="inlineStr">
        <is>
          <t>0811538011358</t>
        </is>
      </c>
      <c r="R705" s="78" t="n">
        <v>44409</v>
      </c>
    </row>
    <row r="706">
      <c r="A706" t="inlineStr">
        <is>
          <t>or item code =</t>
        </is>
      </c>
      <c r="B706" s="25" t="inlineStr">
        <is>
          <t>89215</t>
        </is>
      </c>
      <c r="C706" s="25" t="inlineStr">
        <is>
          <t>JOSE CUERVO TRADICIONAL REPOSADO TEQ</t>
        </is>
      </c>
      <c r="D706" s="25" t="inlineStr">
        <is>
          <t>750ml</t>
        </is>
      </c>
      <c r="E706" s="27" t="n">
        <v>25</v>
      </c>
      <c r="F706" s="27" t="n">
        <v>54</v>
      </c>
      <c r="G706" s="27" t="n">
        <v>12</v>
      </c>
      <c r="H706" s="28" t="n">
        <v>261.59</v>
      </c>
      <c r="I706" s="28" t="n">
        <v>0</v>
      </c>
      <c r="J706" s="94" t="inlineStr">
        <is>
          <t>False</t>
        </is>
      </c>
      <c r="K706" s="28" t="n">
        <v>0</v>
      </c>
      <c r="L706" s="25" t="inlineStr">
        <is>
          <t>TEQUILA</t>
        </is>
      </c>
      <c r="M706" s="25" t="inlineStr">
        <is>
          <t>PROXIMO SPIRITS INC</t>
        </is>
      </c>
      <c r="N706" s="25" t="inlineStr">
        <is>
          <t>040002-RNDC-MAGNOLIA</t>
        </is>
      </c>
      <c r="O706" s="25" t="n"/>
      <c r="P706" s="25" t="inlineStr">
        <is>
          <t>20811538011376</t>
        </is>
      </c>
      <c r="Q706" s="25" t="inlineStr">
        <is>
          <t>0811538011372</t>
        </is>
      </c>
      <c r="R706" s="78" t="n">
        <v>42370</v>
      </c>
    </row>
    <row r="707">
      <c r="A707" t="inlineStr">
        <is>
          <t>or item code =</t>
        </is>
      </c>
      <c r="B707" s="25" t="inlineStr">
        <is>
          <t>87418</t>
        </is>
      </c>
      <c r="C707" s="25" t="inlineStr">
        <is>
          <t>JOSE CUERVO TRADICIONAL SILVER</t>
        </is>
      </c>
      <c r="D707" s="25" t="inlineStr">
        <is>
          <t>1.75L</t>
        </is>
      </c>
      <c r="E707" s="27" t="n">
        <v>0</v>
      </c>
      <c r="F707" s="27" t="n">
        <v>4</v>
      </c>
      <c r="G707" s="27" t="n">
        <v>6</v>
      </c>
      <c r="H707" s="28" t="n">
        <v>207.65</v>
      </c>
      <c r="I707" s="28" t="n">
        <v>0</v>
      </c>
      <c r="J707" s="94" t="inlineStr">
        <is>
          <t>False</t>
        </is>
      </c>
      <c r="K707" s="28" t="n">
        <v>0</v>
      </c>
      <c r="L707" s="25" t="inlineStr">
        <is>
          <t>TEQUILA</t>
        </is>
      </c>
      <c r="M707" s="25" t="inlineStr">
        <is>
          <t>PROXIMO SPIRITS INC</t>
        </is>
      </c>
      <c r="N707" s="25" t="inlineStr">
        <is>
          <t>040002-RNDC-MAGNOLIA</t>
        </is>
      </c>
      <c r="O707" s="25" t="n"/>
      <c r="P707" s="25" t="inlineStr">
        <is>
          <t>10811538011447</t>
        </is>
      </c>
      <c r="Q707" s="25" t="inlineStr">
        <is>
          <t>811538011440</t>
        </is>
      </c>
      <c r="R707" s="78" t="n">
        <v>44228</v>
      </c>
    </row>
    <row r="708">
      <c r="A708" t="inlineStr">
        <is>
          <t>or item code =</t>
        </is>
      </c>
      <c r="B708" s="25" t="inlineStr">
        <is>
          <t>87411</t>
        </is>
      </c>
      <c r="C708" s="25" t="inlineStr">
        <is>
          <t>JOSE CUERVO TRADICIONAL SILVER</t>
        </is>
      </c>
      <c r="D708" s="25" t="inlineStr">
        <is>
          <t>50ml</t>
        </is>
      </c>
      <c r="E708" s="27" t="n">
        <v>59</v>
      </c>
      <c r="F708" s="27" t="n">
        <v>22</v>
      </c>
      <c r="G708" s="27" t="n">
        <v>60</v>
      </c>
      <c r="H708" s="28" t="n">
        <v>90.81</v>
      </c>
      <c r="I708" s="28" t="n">
        <v>0</v>
      </c>
      <c r="J708" s="94" t="inlineStr">
        <is>
          <t>False</t>
        </is>
      </c>
      <c r="K708" s="28" t="n">
        <v>0</v>
      </c>
      <c r="L708" s="25" t="inlineStr">
        <is>
          <t>TEQUILA</t>
        </is>
      </c>
      <c r="M708" s="25" t="inlineStr">
        <is>
          <t>PROXIMO SPIRITS INC</t>
        </is>
      </c>
      <c r="N708" s="25" t="inlineStr">
        <is>
          <t>040002-RNDC-MAGNOLIA</t>
        </is>
      </c>
      <c r="O708" s="25" t="n"/>
      <c r="P708" s="25" t="inlineStr">
        <is>
          <t>40811538011400</t>
        </is>
      </c>
      <c r="Q708" s="25" t="inlineStr">
        <is>
          <t>811538011402</t>
        </is>
      </c>
      <c r="R708" s="78" t="n">
        <v>44348</v>
      </c>
    </row>
    <row r="709">
      <c r="A709" t="inlineStr">
        <is>
          <t>or item code =</t>
        </is>
      </c>
      <c r="B709" s="25" t="inlineStr">
        <is>
          <t>87414</t>
        </is>
      </c>
      <c r="C709" s="25" t="inlineStr">
        <is>
          <t>JOSE CUERVO TRADICIONAL SILVER</t>
        </is>
      </c>
      <c r="D709" s="25" t="inlineStr">
        <is>
          <t>375ml</t>
        </is>
      </c>
      <c r="E709" s="27" t="n">
        <v>0</v>
      </c>
      <c r="F709" s="27" t="n">
        <v>18</v>
      </c>
      <c r="G709" s="27" t="n">
        <v>12</v>
      </c>
      <c r="H709" s="28" t="n">
        <v>109.81</v>
      </c>
      <c r="I709" s="28" t="n">
        <v>0</v>
      </c>
      <c r="J709" s="94" t="inlineStr">
        <is>
          <t>False</t>
        </is>
      </c>
      <c r="K709" s="28" t="n">
        <v>0</v>
      </c>
      <c r="L709" s="25" t="inlineStr">
        <is>
          <t>TEQUILA</t>
        </is>
      </c>
      <c r="M709" s="25" t="inlineStr">
        <is>
          <t>PROXIMO SPIRITS INC</t>
        </is>
      </c>
      <c r="N709" s="25" t="inlineStr">
        <is>
          <t>040002-RNDC-MAGNOLIA</t>
        </is>
      </c>
      <c r="O709" s="25" t="n"/>
      <c r="P709" s="25" t="inlineStr">
        <is>
          <t>20811538019709</t>
        </is>
      </c>
      <c r="Q709" s="25" t="inlineStr">
        <is>
          <t>811538011419</t>
        </is>
      </c>
      <c r="R709" s="78" t="n">
        <v>43591</v>
      </c>
    </row>
    <row r="710">
      <c r="A710" t="inlineStr">
        <is>
          <t>or item code =</t>
        </is>
      </c>
      <c r="B710" s="25" t="inlineStr">
        <is>
          <t>87416</t>
        </is>
      </c>
      <c r="C710" s="25" t="inlineStr">
        <is>
          <t>JOSE CUERVO TRADICIONAL SILVER TEQ</t>
        </is>
      </c>
      <c r="D710" s="25" t="inlineStr">
        <is>
          <t>750ml</t>
        </is>
      </c>
      <c r="E710" s="27" t="n">
        <v>0</v>
      </c>
      <c r="F710" s="27" t="n">
        <v>42</v>
      </c>
      <c r="G710" s="27" t="n">
        <v>12</v>
      </c>
      <c r="H710" s="28" t="n">
        <v>252.57</v>
      </c>
      <c r="I710" s="28" t="n">
        <v>0</v>
      </c>
      <c r="J710" s="94" t="inlineStr">
        <is>
          <t>False</t>
        </is>
      </c>
      <c r="K710" s="28" t="n">
        <v>0</v>
      </c>
      <c r="L710" s="25" t="inlineStr">
        <is>
          <t>TEQUILA</t>
        </is>
      </c>
      <c r="M710" s="25" t="inlineStr">
        <is>
          <t>PROXIMO SPIRITS INC</t>
        </is>
      </c>
      <c r="N710" s="25" t="inlineStr">
        <is>
          <t>040002-RNDC-MAGNOLIA</t>
        </is>
      </c>
      <c r="O710" s="25" t="n"/>
      <c r="P710" s="25" t="inlineStr">
        <is>
          <t>20811538013127</t>
        </is>
      </c>
      <c r="Q710" s="25" t="inlineStr">
        <is>
          <t>811538011426</t>
        </is>
      </c>
      <c r="R710" s="78" t="n">
        <v>42370</v>
      </c>
    </row>
    <row r="711">
      <c r="A711" t="inlineStr">
        <is>
          <t>or item code =</t>
        </is>
      </c>
      <c r="B711" s="25" t="inlineStr">
        <is>
          <t>478122</t>
        </is>
      </c>
      <c r="C711" s="25" t="inlineStr">
        <is>
          <t>JOSEPH CARR JOSH CELLARS MERLOT SONOMA</t>
        </is>
      </c>
      <c r="D711" s="25" t="inlineStr">
        <is>
          <t>750ml</t>
        </is>
      </c>
      <c r="E711" s="27" t="n">
        <v>0</v>
      </c>
      <c r="F711" s="27" t="n">
        <v>112</v>
      </c>
      <c r="G711" s="27" t="n">
        <v>12</v>
      </c>
      <c r="H711" s="28" t="n">
        <v>122</v>
      </c>
      <c r="I711" s="28" t="n">
        <v>0</v>
      </c>
      <c r="J711" s="94" t="inlineStr">
        <is>
          <t>False</t>
        </is>
      </c>
      <c r="K711" s="28" t="n">
        <v>0</v>
      </c>
      <c r="L711" s="25" t="inlineStr">
        <is>
          <t>MERLOT</t>
        </is>
      </c>
      <c r="M711" s="25" t="inlineStr">
        <is>
          <t>DEUTSCH FAMILY WINE &amp; SPIRITS</t>
        </is>
      </c>
      <c r="N711" s="25" t="inlineStr">
        <is>
          <t>040010-SOUTHERN GLAZERS WINE AND SPIRITS OF MISSISSIPPI LLC</t>
        </is>
      </c>
      <c r="O711" s="25" t="n"/>
      <c r="P711" s="25" t="inlineStr">
        <is>
          <t>20968852022254</t>
        </is>
      </c>
      <c r="Q711" s="25" t="inlineStr">
        <is>
          <t>0857744011157</t>
        </is>
      </c>
      <c r="R711" s="78" t="n">
        <v>42370</v>
      </c>
    </row>
    <row r="712">
      <c r="A712" t="inlineStr">
        <is>
          <t>or item code =</t>
        </is>
      </c>
      <c r="B712" s="25" t="inlineStr">
        <is>
          <t>478120</t>
        </is>
      </c>
      <c r="C712" s="25" t="inlineStr">
        <is>
          <t>JOSH CELLARS CABERNET SAUV CALIFORNIA</t>
        </is>
      </c>
      <c r="D712" s="25" t="inlineStr">
        <is>
          <t>750ml</t>
        </is>
      </c>
      <c r="E712" s="27" t="n">
        <v>0</v>
      </c>
      <c r="F712" s="27" t="n">
        <v>311</v>
      </c>
      <c r="G712" s="27" t="n">
        <v>12</v>
      </c>
      <c r="H712" s="28" t="n">
        <v>122</v>
      </c>
      <c r="I712" s="28" t="n">
        <v>0</v>
      </c>
      <c r="J712" s="94" t="inlineStr">
        <is>
          <t>False</t>
        </is>
      </c>
      <c r="K712" s="28" t="n">
        <v>0</v>
      </c>
      <c r="L712" s="25" t="inlineStr">
        <is>
          <t>CABERNET SAUVIGNON</t>
        </is>
      </c>
      <c r="M712" s="25" t="inlineStr">
        <is>
          <t>DEUTSCH FAMILY WINE &amp; SPIRITS</t>
        </is>
      </c>
      <c r="N712" s="25" t="inlineStr">
        <is>
          <t>040010-SOUTHERN GLAZERS WINE AND SPIRITS OF MISSISSIPPI LLC</t>
        </is>
      </c>
      <c r="O712" s="25" t="n"/>
      <c r="P712" s="25" t="inlineStr">
        <is>
          <t>20857744001312</t>
        </is>
      </c>
      <c r="Q712" s="25" t="inlineStr">
        <is>
          <t>0857744001318</t>
        </is>
      </c>
      <c r="R712" s="78" t="n">
        <v>42370</v>
      </c>
    </row>
    <row r="713">
      <c r="A713" t="inlineStr">
        <is>
          <t>or item code =</t>
        </is>
      </c>
      <c r="B713" s="25" t="inlineStr">
        <is>
          <t>579770</t>
        </is>
      </c>
      <c r="C713" s="25" t="inlineStr">
        <is>
          <t>JOSH CELLARS CHARDONNAY NORTH COAST</t>
        </is>
      </c>
      <c r="D713" s="25" t="inlineStr">
        <is>
          <t>750ml</t>
        </is>
      </c>
      <c r="E713" s="27" t="n">
        <v>158</v>
      </c>
      <c r="F713" s="27" t="n">
        <v>205</v>
      </c>
      <c r="G713" s="27" t="n">
        <v>12</v>
      </c>
      <c r="H713" s="28" t="n">
        <v>117.88</v>
      </c>
      <c r="I713" s="28" t="n">
        <v>0</v>
      </c>
      <c r="J713" s="94" t="inlineStr">
        <is>
          <t>False</t>
        </is>
      </c>
      <c r="K713" s="28" t="n">
        <v>0</v>
      </c>
      <c r="L713" s="25" t="inlineStr">
        <is>
          <t>CHARDONNAY</t>
        </is>
      </c>
      <c r="M713" s="25" t="inlineStr">
        <is>
          <t>DEUTSCH FAMILY WINE &amp; SPIRITS</t>
        </is>
      </c>
      <c r="N713" s="25" t="inlineStr">
        <is>
          <t>040010-SOUTHERN GLAZERS WINE AND SPIRITS OF MISSISSIPPI LLC</t>
        </is>
      </c>
      <c r="O713" s="25" t="n"/>
      <c r="P713" s="25" t="inlineStr">
        <is>
          <t>20857744001329</t>
        </is>
      </c>
      <c r="Q713" s="25" t="inlineStr">
        <is>
          <t>0857744001325</t>
        </is>
      </c>
      <c r="R713" s="78" t="n">
        <v>42370</v>
      </c>
    </row>
    <row r="714">
      <c r="A714" t="inlineStr">
        <is>
          <t>or item code =</t>
        </is>
      </c>
      <c r="B714" s="25" t="inlineStr">
        <is>
          <t>478116</t>
        </is>
      </c>
      <c r="C714" s="25" t="inlineStr">
        <is>
          <t>JOSH CELLARS LEGACY RED BLEND</t>
        </is>
      </c>
      <c r="D714" s="25" t="inlineStr">
        <is>
          <t>750ml</t>
        </is>
      </c>
      <c r="E714" s="27" t="n">
        <v>0</v>
      </c>
      <c r="F714" s="27" t="n">
        <v>136</v>
      </c>
      <c r="G714" s="27" t="n">
        <v>12</v>
      </c>
      <c r="H714" s="28" t="n">
        <v>122</v>
      </c>
      <c r="I714" s="28" t="n">
        <v>0</v>
      </c>
      <c r="J714" s="94" t="inlineStr">
        <is>
          <t>False</t>
        </is>
      </c>
      <c r="K714" s="28" t="n">
        <v>0</v>
      </c>
      <c r="L714" s="25" t="inlineStr">
        <is>
          <t>RED WINE</t>
        </is>
      </c>
      <c r="M714" s="25" t="inlineStr">
        <is>
          <t>DEUTSCH FAMILY WINE &amp; SPIRITS</t>
        </is>
      </c>
      <c r="N714" s="25" t="inlineStr">
        <is>
          <t>040010-SOUTHERN GLAZERS WINE AND SPIRITS OF MISSISSIPPI LLC</t>
        </is>
      </c>
      <c r="O714" s="25" t="n"/>
      <c r="P714" s="25" t="inlineStr">
        <is>
          <t>10031259048021</t>
        </is>
      </c>
      <c r="Q714" s="25" t="inlineStr">
        <is>
          <t>0031259048024</t>
        </is>
      </c>
      <c r="R714" s="78" t="n">
        <v>42370</v>
      </c>
    </row>
    <row r="715">
      <c r="A715" t="inlineStr">
        <is>
          <t>or item code =</t>
        </is>
      </c>
      <c r="B715" s="25" t="inlineStr">
        <is>
          <t>478118</t>
        </is>
      </c>
      <c r="C715" s="25" t="inlineStr">
        <is>
          <t>JOSH CELLARS PINOT NOIR CALIFORNIA</t>
        </is>
      </c>
      <c r="D715" s="25" t="inlineStr">
        <is>
          <t>750ml</t>
        </is>
      </c>
      <c r="E715" s="27" t="n">
        <v>0</v>
      </c>
      <c r="F715" s="27" t="n">
        <v>130</v>
      </c>
      <c r="G715" s="27" t="n">
        <v>12</v>
      </c>
      <c r="H715" s="28" t="n">
        <v>161.54</v>
      </c>
      <c r="I715" s="28" t="n">
        <v>0</v>
      </c>
      <c r="J715" s="94" t="inlineStr">
        <is>
          <t>False</t>
        </is>
      </c>
      <c r="K715" s="28" t="n">
        <v>0</v>
      </c>
      <c r="L715" s="25" t="inlineStr">
        <is>
          <t>PINOT NOIR</t>
        </is>
      </c>
      <c r="M715" s="25" t="inlineStr">
        <is>
          <t>DEUTSCH FAMILY WINE &amp; SPIRITS</t>
        </is>
      </c>
      <c r="N715" s="25" t="inlineStr">
        <is>
          <t>040010-SOUTHERN GLAZERS WINE AND SPIRITS OF MISSISSIPPI LLC</t>
        </is>
      </c>
      <c r="O715" s="25" t="n"/>
      <c r="P715" s="25" t="inlineStr">
        <is>
          <t>10031259046959</t>
        </is>
      </c>
      <c r="Q715" s="25" t="inlineStr">
        <is>
          <t>031259046952</t>
        </is>
      </c>
      <c r="R715" s="78" t="n">
        <v>42370</v>
      </c>
    </row>
    <row r="716">
      <c r="A716" t="inlineStr">
        <is>
          <t>or item code =</t>
        </is>
      </c>
      <c r="B716" s="25" t="inlineStr">
        <is>
          <t>728630</t>
        </is>
      </c>
      <c r="C716" s="25" t="inlineStr">
        <is>
          <t>JOSH CELLARS PROSECCO</t>
        </is>
      </c>
      <c r="D716" s="25" t="inlineStr">
        <is>
          <t>750ml</t>
        </is>
      </c>
      <c r="E716" s="27" t="n">
        <v>0</v>
      </c>
      <c r="F716" s="27" t="n">
        <v>6</v>
      </c>
      <c r="G716" s="27" t="n">
        <v>12</v>
      </c>
      <c r="H716" s="28" t="n">
        <v>123.55</v>
      </c>
      <c r="I716" s="28" t="n">
        <v>0</v>
      </c>
      <c r="J716" s="94" t="inlineStr">
        <is>
          <t>False</t>
        </is>
      </c>
      <c r="K716" s="28" t="n">
        <v>0</v>
      </c>
      <c r="L716" s="25" t="inlineStr">
        <is>
          <t>SPRKLNG, CHMPGNE, ETC.</t>
        </is>
      </c>
      <c r="M716" s="25" t="inlineStr">
        <is>
          <t>DEUTSCH FAMILY WINE &amp; SPIRITS</t>
        </is>
      </c>
      <c r="N716" s="25" t="inlineStr">
        <is>
          <t>040010-SOUTHERN GLAZERS WINE AND SPIRITS OF MISSISSIPPI LLC</t>
        </is>
      </c>
      <c r="O716" s="25" t="n"/>
      <c r="P716" s="25" t="inlineStr">
        <is>
          <t>10031259003723</t>
        </is>
      </c>
      <c r="Q716" s="25" t="inlineStr">
        <is>
          <t>031259003726</t>
        </is>
      </c>
      <c r="R716" s="78" t="n">
        <v>43800</v>
      </c>
    </row>
    <row r="717">
      <c r="A717" t="inlineStr">
        <is>
          <t>or item code =</t>
        </is>
      </c>
      <c r="B717" s="25" t="inlineStr">
        <is>
          <t>75088</t>
        </is>
      </c>
      <c r="C717" s="25" t="inlineStr">
        <is>
          <t>JUAREZ GOLD DSS TEQUILA BASED CORDIAL</t>
        </is>
      </c>
      <c r="D717" s="25" t="inlineStr">
        <is>
          <t>1.75L</t>
        </is>
      </c>
      <c r="E717" s="27" t="n">
        <v>173</v>
      </c>
      <c r="F717" s="27" t="n">
        <v>45</v>
      </c>
      <c r="G717" s="27" t="n">
        <v>6</v>
      </c>
      <c r="H717" s="28" t="n">
        <v>85.31999999999999</v>
      </c>
      <c r="I717" s="28" t="n">
        <v>0</v>
      </c>
      <c r="J717" s="94" t="inlineStr">
        <is>
          <t>False</t>
        </is>
      </c>
      <c r="K717" s="28" t="n">
        <v>0</v>
      </c>
      <c r="L717" s="25" t="inlineStr">
        <is>
          <t>TEQUILA</t>
        </is>
      </c>
      <c r="M717" s="25" t="inlineStr">
        <is>
          <t>LUXCO, INC</t>
        </is>
      </c>
      <c r="N717" s="25" t="inlineStr">
        <is>
          <t>040010-SOUTHERN GLAZERS WINE AND SPIRITS OF MISSISSIPPI LLC</t>
        </is>
      </c>
      <c r="O717" s="25" t="n"/>
      <c r="P717" s="25" t="inlineStr">
        <is>
          <t>01008835211952</t>
        </is>
      </c>
      <c r="Q717" s="25" t="inlineStr">
        <is>
          <t>0088352119526</t>
        </is>
      </c>
      <c r="R717" s="78" t="n">
        <v>42370</v>
      </c>
    </row>
    <row r="718">
      <c r="A718" t="inlineStr">
        <is>
          <t>or item code =</t>
        </is>
      </c>
      <c r="B718" s="25" t="inlineStr">
        <is>
          <t>86251</t>
        </is>
      </c>
      <c r="C718" s="25" t="inlineStr">
        <is>
          <t>JUAREZ TRIPLE SEC</t>
        </is>
      </c>
      <c r="D718" s="25" t="inlineStr">
        <is>
          <t>1L</t>
        </is>
      </c>
      <c r="E718" s="27" t="n">
        <v>313</v>
      </c>
      <c r="F718" s="27" t="n">
        <v>79</v>
      </c>
      <c r="G718" s="27" t="n">
        <v>12</v>
      </c>
      <c r="H718" s="28" t="n">
        <v>48.82</v>
      </c>
      <c r="I718" s="28" t="n">
        <v>0</v>
      </c>
      <c r="J718" s="94" t="inlineStr">
        <is>
          <t>False</t>
        </is>
      </c>
      <c r="K718" s="28" t="n">
        <v>0</v>
      </c>
      <c r="L718" s="25" t="inlineStr">
        <is>
          <t>LIQUEURS AND CORDIALS</t>
        </is>
      </c>
      <c r="M718" s="25" t="inlineStr">
        <is>
          <t>LUXCO, INC</t>
        </is>
      </c>
      <c r="N718" s="25" t="inlineStr">
        <is>
          <t>040010-SOUTHERN GLAZERS WINE AND SPIRITS OF MISSISSIPPI LLC</t>
        </is>
      </c>
      <c r="O718" s="25" t="n"/>
      <c r="P718" s="25" t="inlineStr">
        <is>
          <t>01008835210998</t>
        </is>
      </c>
      <c r="Q718" s="25" t="inlineStr">
        <is>
          <t>0088352109985</t>
        </is>
      </c>
      <c r="R718" s="78" t="n">
        <v>42370</v>
      </c>
    </row>
    <row r="719">
      <c r="A719" t="inlineStr">
        <is>
          <t>or item code =</t>
        </is>
      </c>
      <c r="B719" s="25" t="inlineStr">
        <is>
          <t>86249</t>
        </is>
      </c>
      <c r="C719" s="25" t="inlineStr">
        <is>
          <t>JUAREZ TRIPLE SEC</t>
        </is>
      </c>
      <c r="D719" s="25" t="inlineStr">
        <is>
          <t>1.75L</t>
        </is>
      </c>
      <c r="E719" s="27" t="n">
        <v>99</v>
      </c>
      <c r="F719" s="27" t="n">
        <v>38</v>
      </c>
      <c r="G719" s="27" t="n">
        <v>6</v>
      </c>
      <c r="H719" s="28" t="n">
        <v>42.87</v>
      </c>
      <c r="I719" s="28" t="n">
        <v>0</v>
      </c>
      <c r="J719" s="94" t="inlineStr">
        <is>
          <t>False</t>
        </is>
      </c>
      <c r="K719" s="28" t="n">
        <v>0</v>
      </c>
      <c r="L719" s="25" t="inlineStr">
        <is>
          <t>LIQUEURS AND CORDIALS</t>
        </is>
      </c>
      <c r="M719" s="25" t="inlineStr">
        <is>
          <t>LUXCO, INC</t>
        </is>
      </c>
      <c r="N719" s="25" t="inlineStr">
        <is>
          <t>040010-SOUTHERN GLAZERS WINE AND SPIRITS OF MISSISSIPPI LLC</t>
        </is>
      </c>
      <c r="O719" s="25" t="n"/>
      <c r="P719" s="25" t="inlineStr">
        <is>
          <t>10088352110087</t>
        </is>
      </c>
      <c r="Q719" s="25" t="inlineStr">
        <is>
          <t>0088352110080</t>
        </is>
      </c>
      <c r="R719" s="78" t="n">
        <v>42278</v>
      </c>
    </row>
    <row r="720">
      <c r="A720" t="inlineStr">
        <is>
          <t>or item code =</t>
        </is>
      </c>
      <c r="B720" s="25" t="inlineStr">
        <is>
          <t>67526</t>
        </is>
      </c>
      <c r="C720" s="25" t="inlineStr">
        <is>
          <t>KAHLUA COFFEE</t>
        </is>
      </c>
      <c r="D720" s="25" t="inlineStr">
        <is>
          <t>750ml</t>
        </is>
      </c>
      <c r="E720" s="27" t="n">
        <v>1</v>
      </c>
      <c r="F720" s="27" t="n">
        <v>88</v>
      </c>
      <c r="G720" s="27" t="n">
        <v>12</v>
      </c>
      <c r="H720" s="28" t="n">
        <v>249.39</v>
      </c>
      <c r="I720" s="28" t="n">
        <v>0</v>
      </c>
      <c r="J720" s="94" t="inlineStr">
        <is>
          <t>False</t>
        </is>
      </c>
      <c r="K720" s="28" t="n">
        <v>0</v>
      </c>
      <c r="L720" s="25" t="inlineStr">
        <is>
          <t>LIQUEURS AND CORDIALS</t>
        </is>
      </c>
      <c r="M720" s="25" t="inlineStr">
        <is>
          <t>PERNOD RICARD USA LLC</t>
        </is>
      </c>
      <c r="N720" s="25" t="inlineStr">
        <is>
          <t>040010-SOUTHERN GLAZERS WINE AND SPIRITS OF MISSISSIPPI LLC</t>
        </is>
      </c>
      <c r="O720" s="25" t="n"/>
      <c r="P720" s="25" t="inlineStr">
        <is>
          <t>00089540453651</t>
        </is>
      </c>
      <c r="Q720" s="25" t="inlineStr">
        <is>
          <t>089540122717</t>
        </is>
      </c>
      <c r="R720" s="78" t="n">
        <v>42370</v>
      </c>
    </row>
    <row r="721">
      <c r="A721" t="inlineStr">
        <is>
          <t>or item code =</t>
        </is>
      </c>
      <c r="B721" s="25" t="inlineStr">
        <is>
          <t>67536</t>
        </is>
      </c>
      <c r="C721" s="25" t="inlineStr">
        <is>
          <t>KAHLUA ESPECIAL</t>
        </is>
      </c>
      <c r="D721" s="25" t="inlineStr">
        <is>
          <t>750ml</t>
        </is>
      </c>
      <c r="E721" s="27" t="n">
        <v>4</v>
      </c>
      <c r="F721" s="27" t="n">
        <v>4</v>
      </c>
      <c r="G721" s="27" t="n">
        <v>12</v>
      </c>
      <c r="H721" s="28" t="n">
        <v>214.47</v>
      </c>
      <c r="I721" s="28" t="n">
        <v>0</v>
      </c>
      <c r="J721" s="94" t="inlineStr">
        <is>
          <t>False</t>
        </is>
      </c>
      <c r="K721" s="28" t="n">
        <v>0</v>
      </c>
      <c r="L721" s="25" t="inlineStr">
        <is>
          <t>LIQUEURS AND CORDIALS</t>
        </is>
      </c>
      <c r="M721" s="25" t="inlineStr">
        <is>
          <t>PERNOD RICARD USA LLC</t>
        </is>
      </c>
      <c r="N721" s="25" t="inlineStr">
        <is>
          <t>040010-SOUTHERN GLAZERS WINE AND SPIRITS OF MISSISSIPPI LLC</t>
        </is>
      </c>
      <c r="O721" s="25" t="n"/>
      <c r="P721" s="25" t="inlineStr">
        <is>
          <t>10089540447060</t>
        </is>
      </c>
      <c r="Q721" s="25" t="inlineStr">
        <is>
          <t>0089540447063</t>
        </is>
      </c>
      <c r="R721" s="78" t="n">
        <v>42278</v>
      </c>
    </row>
    <row r="722">
      <c r="A722" t="inlineStr">
        <is>
          <t>or item code =</t>
        </is>
      </c>
      <c r="B722" s="25" t="inlineStr">
        <is>
          <t>62089</t>
        </is>
      </c>
      <c r="C722" s="25" t="inlineStr">
        <is>
          <t>KAHLUA RTD WHITE RUSSIAN</t>
        </is>
      </c>
      <c r="D722" s="25" t="inlineStr">
        <is>
          <t>1.75L</t>
        </is>
      </c>
      <c r="E722" s="27" t="n">
        <v>52</v>
      </c>
      <c r="F722" s="27" t="n">
        <v>54</v>
      </c>
      <c r="G722" s="27" t="n">
        <v>6</v>
      </c>
      <c r="H722" s="28" t="n">
        <v>94.51000000000001</v>
      </c>
      <c r="I722" s="28" t="n">
        <v>0</v>
      </c>
      <c r="J722" s="94" t="inlineStr">
        <is>
          <t>False</t>
        </is>
      </c>
      <c r="K722" s="28" t="n">
        <v>0</v>
      </c>
      <c r="L722" s="25" t="inlineStr">
        <is>
          <t>COCKTAILS</t>
        </is>
      </c>
      <c r="M722" s="25" t="inlineStr">
        <is>
          <t>PERNOD RICARD USA LLC</t>
        </is>
      </c>
      <c r="N722" s="25" t="inlineStr">
        <is>
          <t>040010-SOUTHERN GLAZERS WINE AND SPIRITS OF MISSISSIPPI LLC</t>
        </is>
      </c>
      <c r="O722" s="25" t="n"/>
      <c r="P722" s="25" t="inlineStr">
        <is>
          <t>00089540463360</t>
        </is>
      </c>
      <c r="Q722" s="25" t="inlineStr">
        <is>
          <t>0089540423241</t>
        </is>
      </c>
      <c r="R722" s="78" t="n">
        <v>42370</v>
      </c>
    </row>
    <row r="723">
      <c r="A723" t="inlineStr">
        <is>
          <t>or item code =</t>
        </is>
      </c>
      <c r="B723" s="25" t="inlineStr">
        <is>
          <t>67556</t>
        </is>
      </c>
      <c r="C723" s="25" t="inlineStr">
        <is>
          <t>KAMORA COFFEE LIQUEUR</t>
        </is>
      </c>
      <c r="D723" s="25" t="inlineStr">
        <is>
          <t>750ml</t>
        </is>
      </c>
      <c r="E723" s="27" t="n">
        <v>370</v>
      </c>
      <c r="F723" s="27" t="n">
        <v>50</v>
      </c>
      <c r="G723" s="27" t="n">
        <v>12</v>
      </c>
      <c r="H723" s="28" t="n">
        <v>66.73999999999999</v>
      </c>
      <c r="I723" s="28" t="n">
        <v>0</v>
      </c>
      <c r="J723" s="94" t="inlineStr">
        <is>
          <t>False</t>
        </is>
      </c>
      <c r="K723" s="28" t="n">
        <v>0</v>
      </c>
      <c r="L723" s="25" t="inlineStr">
        <is>
          <t>LIQUEURS AND CORDIALS</t>
        </is>
      </c>
      <c r="M723" s="25" t="inlineStr">
        <is>
          <t>UNITED STATES DISTILLED PRODUCTS DBA PHILLIPS PRODUCTS COMPANY</t>
        </is>
      </c>
      <c r="N723" s="25" t="inlineStr">
        <is>
          <t>040010-SOUTHERN GLAZERS WINE AND SPIRITS OF MISSISSIPPI LLC</t>
        </is>
      </c>
      <c r="O723" s="25" t="n"/>
      <c r="P723" s="25" t="inlineStr">
        <is>
          <t>10080686250408</t>
        </is>
      </c>
      <c r="Q723" s="25" t="inlineStr">
        <is>
          <t>080686250401</t>
        </is>
      </c>
      <c r="R723" s="78" t="n">
        <v>42370</v>
      </c>
    </row>
    <row r="724">
      <c r="A724" t="inlineStr">
        <is>
          <t>or item code =</t>
        </is>
      </c>
      <c r="B724" s="25" t="inlineStr">
        <is>
          <t>67550</t>
        </is>
      </c>
      <c r="C724" s="25" t="inlineStr">
        <is>
          <t>KAMORA COFFEE LIQUEUR (PET)</t>
        </is>
      </c>
      <c r="D724" s="25" t="inlineStr">
        <is>
          <t>1.75L</t>
        </is>
      </c>
      <c r="E724" s="27" t="n">
        <v>261</v>
      </c>
      <c r="F724" s="27" t="n">
        <v>65</v>
      </c>
      <c r="G724" s="27" t="n">
        <v>6</v>
      </c>
      <c r="H724" s="28" t="n">
        <v>57.58</v>
      </c>
      <c r="I724" s="28" t="n">
        <v>0</v>
      </c>
      <c r="J724" s="94" t="inlineStr">
        <is>
          <t>False</t>
        </is>
      </c>
      <c r="K724" s="28" t="n">
        <v>0</v>
      </c>
      <c r="L724" s="25" t="inlineStr">
        <is>
          <t>LIQUEURS AND CORDIALS</t>
        </is>
      </c>
      <c r="M724" s="25" t="inlineStr">
        <is>
          <t>UNITED STATES DISTILLED PRODUCTS DBA PHILLIPS PRODUCTS COMPANY</t>
        </is>
      </c>
      <c r="N724" s="25" t="inlineStr">
        <is>
          <t>040010-SOUTHERN GLAZERS WINE AND SPIRITS OF MISSISSIPPI LLC</t>
        </is>
      </c>
      <c r="O724" s="25" t="n"/>
      <c r="P724" s="25" t="inlineStr">
        <is>
          <t>10080686250125</t>
        </is>
      </c>
      <c r="Q724" s="25" t="inlineStr">
        <is>
          <t>0080686250128</t>
        </is>
      </c>
      <c r="R724" s="78" t="n">
        <v>42279</v>
      </c>
    </row>
    <row r="725">
      <c r="A725" t="inlineStr">
        <is>
          <t>or item code =</t>
        </is>
      </c>
      <c r="B725" s="25" t="inlineStr">
        <is>
          <t>479345</t>
        </is>
      </c>
      <c r="C725" s="25" t="inlineStr">
        <is>
          <t>KENDALL JACKSON VINTNER'S RESERVE MERLOT</t>
        </is>
      </c>
      <c r="D725" s="25" t="inlineStr">
        <is>
          <t>750ml</t>
        </is>
      </c>
      <c r="E725" s="27" t="n">
        <v>30</v>
      </c>
      <c r="F725" s="27" t="n">
        <v>32</v>
      </c>
      <c r="G725" s="27" t="n">
        <v>12</v>
      </c>
      <c r="H725" s="28" t="n">
        <v>206.03</v>
      </c>
      <c r="I725" s="28" t="n">
        <v>0</v>
      </c>
      <c r="J725" s="94" t="inlineStr">
        <is>
          <t>False</t>
        </is>
      </c>
      <c r="K725" s="28" t="n">
        <v>0</v>
      </c>
      <c r="L725" s="25" t="inlineStr">
        <is>
          <t>MERLOT</t>
        </is>
      </c>
      <c r="M725" s="25" t="inlineStr">
        <is>
          <t>JACKSON FAMILY FINE WINES</t>
        </is>
      </c>
      <c r="N725" s="25" t="inlineStr">
        <is>
          <t>040003-RNDC-VINTAGE</t>
        </is>
      </c>
      <c r="O725" s="25" t="n"/>
      <c r="P725" s="25" t="inlineStr">
        <is>
          <t>0081584131526</t>
        </is>
      </c>
      <c r="Q725" s="25" t="inlineStr">
        <is>
          <t>081584131526</t>
        </is>
      </c>
      <c r="R725" s="78" t="n">
        <v>42370</v>
      </c>
    </row>
    <row r="726">
      <c r="A726" t="inlineStr">
        <is>
          <t>or item code =</t>
        </is>
      </c>
      <c r="B726" s="25" t="inlineStr">
        <is>
          <t>580125</t>
        </is>
      </c>
      <c r="C726" s="25" t="inlineStr">
        <is>
          <t>KENDALL-JACKSON GRAND RESERVE CHARDONNAY</t>
        </is>
      </c>
      <c r="D726" s="25" t="inlineStr">
        <is>
          <t>750ml</t>
        </is>
      </c>
      <c r="E726" s="27" t="n">
        <v>0</v>
      </c>
      <c r="F726" s="27" t="n">
        <v>56</v>
      </c>
      <c r="G726" s="27" t="n">
        <v>12</v>
      </c>
      <c r="H726" s="28" t="n">
        <v>179.25</v>
      </c>
      <c r="I726" s="28" t="n">
        <v>0</v>
      </c>
      <c r="J726" s="94" t="inlineStr">
        <is>
          <t>False</t>
        </is>
      </c>
      <c r="K726" s="28" t="n">
        <v>0</v>
      </c>
      <c r="L726" s="25" t="inlineStr">
        <is>
          <t>CHARDONNAY</t>
        </is>
      </c>
      <c r="M726" s="25" t="inlineStr">
        <is>
          <t>JACKSON FAMILY FINE WINES</t>
        </is>
      </c>
      <c r="N726" s="25" t="inlineStr">
        <is>
          <t>040003-RNDC-VINTAGE</t>
        </is>
      </c>
      <c r="O726" s="25" t="n"/>
      <c r="P726" s="25" t="inlineStr">
        <is>
          <t>10081584013089</t>
        </is>
      </c>
      <c r="Q726" s="25" t="inlineStr">
        <is>
          <t>0081584013082</t>
        </is>
      </c>
      <c r="R726" s="78" t="n">
        <v>42370</v>
      </c>
    </row>
    <row r="727">
      <c r="A727" t="inlineStr">
        <is>
          <t>or item code =</t>
        </is>
      </c>
      <c r="B727" s="25" t="inlineStr">
        <is>
          <t>479330</t>
        </is>
      </c>
      <c r="C727" s="25" t="inlineStr">
        <is>
          <t>KENDALL-JACKSON PROPRIETOR GRAND RSV CAB SAUVIGNON</t>
        </is>
      </c>
      <c r="D727" s="25" t="inlineStr">
        <is>
          <t>750ml</t>
        </is>
      </c>
      <c r="E727" s="27" t="n">
        <v>36</v>
      </c>
      <c r="F727" s="27" t="n">
        <v>13</v>
      </c>
      <c r="G727" s="27" t="n">
        <v>12</v>
      </c>
      <c r="H727" s="28" t="n">
        <v>282.53</v>
      </c>
      <c r="I727" s="28" t="n">
        <v>0</v>
      </c>
      <c r="J727" s="94" t="inlineStr">
        <is>
          <t>False</t>
        </is>
      </c>
      <c r="K727" s="28" t="n">
        <v>0</v>
      </c>
      <c r="L727" s="25" t="inlineStr">
        <is>
          <t>CABERNET SAUVIGNON</t>
        </is>
      </c>
      <c r="M727" s="25" t="inlineStr">
        <is>
          <t>JACKSON FAMILY FINE WINES</t>
        </is>
      </c>
      <c r="N727" s="25" t="inlineStr">
        <is>
          <t>040003-RNDC-VINTAGE</t>
        </is>
      </c>
      <c r="O727" s="25" t="n"/>
      <c r="P727" s="25" t="inlineStr">
        <is>
          <t>10081584013218</t>
        </is>
      </c>
      <c r="Q727" s="25" t="inlineStr">
        <is>
          <t>0081584013211</t>
        </is>
      </c>
      <c r="R727" s="78" t="n">
        <v>42370</v>
      </c>
    </row>
    <row r="728">
      <c r="A728" t="inlineStr">
        <is>
          <t>or item code =</t>
        </is>
      </c>
      <c r="B728" s="25" t="inlineStr">
        <is>
          <t>479300</t>
        </is>
      </c>
      <c r="C728" s="25" t="inlineStr">
        <is>
          <t>KENDALL-JACKSON VINTNERS RSV CABERNET SAUVIGNON</t>
        </is>
      </c>
      <c r="D728" s="25" t="inlineStr">
        <is>
          <t>750ml</t>
        </is>
      </c>
      <c r="E728" s="27" t="n">
        <v>0</v>
      </c>
      <c r="F728" s="27" t="n">
        <v>56</v>
      </c>
      <c r="G728" s="27" t="n">
        <v>12</v>
      </c>
      <c r="H728" s="28" t="n">
        <v>206.03</v>
      </c>
      <c r="I728" s="28" t="n">
        <v>0</v>
      </c>
      <c r="J728" s="94" t="inlineStr">
        <is>
          <t>False</t>
        </is>
      </c>
      <c r="K728" s="28" t="n">
        <v>0</v>
      </c>
      <c r="L728" s="25" t="inlineStr">
        <is>
          <t>CABERNET SAUVIGNON</t>
        </is>
      </c>
      <c r="M728" s="25" t="inlineStr">
        <is>
          <t>JACKSON FAMILY FINE WINES</t>
        </is>
      </c>
      <c r="N728" s="25" t="inlineStr">
        <is>
          <t>040003-RNDC-VINTAGE</t>
        </is>
      </c>
      <c r="O728" s="25" t="n"/>
      <c r="P728" s="25" t="inlineStr">
        <is>
          <t>10081584013171</t>
        </is>
      </c>
      <c r="Q728" s="25" t="inlineStr">
        <is>
          <t>0081584013174</t>
        </is>
      </c>
      <c r="R728" s="78" t="n">
        <v>42370</v>
      </c>
    </row>
    <row r="729">
      <c r="A729" t="inlineStr">
        <is>
          <t>or item code =</t>
        </is>
      </c>
      <c r="B729" s="25" t="inlineStr">
        <is>
          <t>581330</t>
        </is>
      </c>
      <c r="C729" s="25" t="inlineStr">
        <is>
          <t>KENDALL-JACKSON VINTNERS RSV CHARDONNAY</t>
        </is>
      </c>
      <c r="D729" s="25" t="inlineStr">
        <is>
          <t>750ml</t>
        </is>
      </c>
      <c r="E729" s="27" t="n">
        <v>1600</v>
      </c>
      <c r="F729" s="27" t="n">
        <v>438</v>
      </c>
      <c r="G729" s="27" t="n">
        <v>12</v>
      </c>
      <c r="H729" s="28" t="n">
        <v>147.38</v>
      </c>
      <c r="I729" s="28" t="n">
        <v>0</v>
      </c>
      <c r="J729" s="94" t="inlineStr">
        <is>
          <t>False</t>
        </is>
      </c>
      <c r="K729" s="28" t="n">
        <v>0</v>
      </c>
      <c r="L729" s="25" t="inlineStr">
        <is>
          <t>CHARDONNAY</t>
        </is>
      </c>
      <c r="M729" s="25" t="inlineStr">
        <is>
          <t>JACKSON FAMILY FINE WINES</t>
        </is>
      </c>
      <c r="N729" s="25" t="inlineStr">
        <is>
          <t>040003-RNDC-VINTAGE</t>
        </is>
      </c>
      <c r="O729" s="25" t="n"/>
      <c r="P729" s="25" t="inlineStr">
        <is>
          <t>10081584013102</t>
        </is>
      </c>
      <c r="Q729" s="25" t="inlineStr">
        <is>
          <t>0081584013105</t>
        </is>
      </c>
      <c r="R729" s="78" t="n">
        <v>44501</v>
      </c>
    </row>
    <row r="730">
      <c r="A730" t="inlineStr">
        <is>
          <t>or item code =</t>
        </is>
      </c>
      <c r="B730" s="25" t="inlineStr">
        <is>
          <t>478430</t>
        </is>
      </c>
      <c r="C730" s="25" t="inlineStr">
        <is>
          <t>KENDALL-JACKSON VINTNERS RSV PINOT NOIR</t>
        </is>
      </c>
      <c r="D730" s="25" t="inlineStr">
        <is>
          <t>750ml</t>
        </is>
      </c>
      <c r="E730" s="27" t="n">
        <v>0</v>
      </c>
      <c r="F730" s="27" t="n">
        <v>14</v>
      </c>
      <c r="G730" s="27" t="n">
        <v>12</v>
      </c>
      <c r="H730" s="28" t="n">
        <v>167.78</v>
      </c>
      <c r="I730" s="28" t="n">
        <v>0</v>
      </c>
      <c r="J730" s="94" t="inlineStr">
        <is>
          <t>False</t>
        </is>
      </c>
      <c r="K730" s="28" t="n">
        <v>0</v>
      </c>
      <c r="L730" s="25" t="inlineStr">
        <is>
          <t>PINOT NOIR</t>
        </is>
      </c>
      <c r="M730" s="25" t="inlineStr">
        <is>
          <t>JACKSON FAMILY FINE WINES</t>
        </is>
      </c>
      <c r="N730" s="25" t="inlineStr">
        <is>
          <t>040003-RNDC-VINTAGE</t>
        </is>
      </c>
      <c r="O730" s="25" t="n"/>
      <c r="P730" s="25" t="inlineStr">
        <is>
          <t>10081584131516</t>
        </is>
      </c>
      <c r="Q730" s="25" t="inlineStr">
        <is>
          <t>0081584131519</t>
        </is>
      </c>
      <c r="R730" s="78" t="n">
        <v>42370</v>
      </c>
    </row>
    <row r="731">
      <c r="A731" t="inlineStr">
        <is>
          <t>or item code =</t>
        </is>
      </c>
      <c r="B731" s="25" t="inlineStr">
        <is>
          <t>581495</t>
        </is>
      </c>
      <c r="C731" s="25" t="inlineStr">
        <is>
          <t>KENDALL-JACKSON VINTNERS RSV RIESLING</t>
        </is>
      </c>
      <c r="D731" s="25" t="inlineStr">
        <is>
          <t>750ml</t>
        </is>
      </c>
      <c r="E731" s="27" t="n">
        <v>7</v>
      </c>
      <c r="F731" s="27" t="n">
        <v>13</v>
      </c>
      <c r="G731" s="27" t="n">
        <v>12</v>
      </c>
      <c r="H731" s="28" t="n">
        <v>128.25</v>
      </c>
      <c r="I731" s="28" t="n">
        <v>0</v>
      </c>
      <c r="J731" s="94" t="inlineStr">
        <is>
          <t>False</t>
        </is>
      </c>
      <c r="K731" s="28" t="n">
        <v>0</v>
      </c>
      <c r="L731" s="25" t="inlineStr">
        <is>
          <t>RIESLING (WHITE/JOHANN)</t>
        </is>
      </c>
      <c r="M731" s="25" t="inlineStr">
        <is>
          <t>JACKSON FAMILY FINE WINES</t>
        </is>
      </c>
      <c r="N731" s="25" t="inlineStr">
        <is>
          <t>040003-RNDC-VINTAGE</t>
        </is>
      </c>
      <c r="O731" s="25" t="n"/>
      <c r="P731" s="25" t="inlineStr">
        <is>
          <t>10081584130007</t>
        </is>
      </c>
      <c r="Q731" s="25" t="inlineStr">
        <is>
          <t>0081584130000</t>
        </is>
      </c>
      <c r="R731" s="78" t="n">
        <v>42370</v>
      </c>
    </row>
    <row r="732">
      <c r="A732" t="inlineStr">
        <is>
          <t>or item code =</t>
        </is>
      </c>
      <c r="B732" s="25" t="inlineStr">
        <is>
          <t>581565</t>
        </is>
      </c>
      <c r="C732" s="25" t="inlineStr">
        <is>
          <t>KENDALL-JACKSON VINTNERS RSV SAUVIGNON BLANC</t>
        </is>
      </c>
      <c r="D732" s="25" t="inlineStr">
        <is>
          <t>750ml</t>
        </is>
      </c>
      <c r="E732" s="27" t="n">
        <v>35</v>
      </c>
      <c r="F732" s="27" t="n">
        <v>51</v>
      </c>
      <c r="G732" s="27" t="n">
        <v>12</v>
      </c>
      <c r="H732" s="28" t="n">
        <v>128.25</v>
      </c>
      <c r="I732" s="28" t="n">
        <v>0</v>
      </c>
      <c r="J732" s="94" t="inlineStr">
        <is>
          <t>False</t>
        </is>
      </c>
      <c r="K732" s="28" t="n">
        <v>0</v>
      </c>
      <c r="L732" s="25" t="inlineStr">
        <is>
          <t>SAUVIGNON BLNC/FUME BLNC</t>
        </is>
      </c>
      <c r="M732" s="25" t="inlineStr">
        <is>
          <t>JACKSON FAMILY FINE WINES</t>
        </is>
      </c>
      <c r="N732" s="25" t="inlineStr">
        <is>
          <t>040003-RNDC-VINTAGE</t>
        </is>
      </c>
      <c r="O732" s="25" t="n"/>
      <c r="P732" s="25" t="inlineStr">
        <is>
          <t>10081584130403</t>
        </is>
      </c>
      <c r="Q732" s="25" t="inlineStr">
        <is>
          <t>0081584130406</t>
        </is>
      </c>
      <c r="R732" s="78" t="n">
        <v>42370</v>
      </c>
    </row>
    <row r="733">
      <c r="A733" t="inlineStr">
        <is>
          <t>or item code =</t>
        </is>
      </c>
      <c r="B733" s="25" t="inlineStr">
        <is>
          <t>75165</t>
        </is>
      </c>
      <c r="C733" s="25" t="inlineStr">
        <is>
          <t>KETEL ONE BOTANICAL CUCUMBER &amp; MINT</t>
        </is>
      </c>
      <c r="D733" s="25" t="inlineStr">
        <is>
          <t>750ml</t>
        </is>
      </c>
      <c r="E733" s="27" t="n">
        <v>11</v>
      </c>
      <c r="F733" s="27" t="n">
        <v>15</v>
      </c>
      <c r="G733" s="27" t="n">
        <v>12</v>
      </c>
      <c r="H733" s="28" t="n">
        <v>214.7</v>
      </c>
      <c r="I733" s="28" t="n">
        <v>0</v>
      </c>
      <c r="J733" s="94" t="inlineStr">
        <is>
          <t>False</t>
        </is>
      </c>
      <c r="K733" s="28" t="n">
        <v>0</v>
      </c>
      <c r="L733" s="25" t="inlineStr">
        <is>
          <t>VODKA</t>
        </is>
      </c>
      <c r="M733" s="25" t="inlineStr">
        <is>
          <t>DIAGEO AMERICAS INC</t>
        </is>
      </c>
      <c r="N733" s="25" t="inlineStr">
        <is>
          <t>040010-SOUTHERN GLAZERS WINE AND SPIRITS OF MISSISSIPPI LLC</t>
        </is>
      </c>
      <c r="O733" s="25" t="n"/>
      <c r="P733" s="25" t="inlineStr">
        <is>
          <t>10085156875006</t>
        </is>
      </c>
      <c r="Q733" s="25" t="inlineStr">
        <is>
          <t>085156875009</t>
        </is>
      </c>
      <c r="R733" s="78" t="n">
        <v>43186</v>
      </c>
    </row>
    <row r="734">
      <c r="A734" t="inlineStr">
        <is>
          <t>or item code =</t>
        </is>
      </c>
      <c r="B734" s="25" t="inlineStr">
        <is>
          <t>75181</t>
        </is>
      </c>
      <c r="C734" s="25" t="inlineStr">
        <is>
          <t>KETEL ONE BOTANICAL GRAPEFRUIT &amp; ROSE</t>
        </is>
      </c>
      <c r="D734" s="25" t="inlineStr">
        <is>
          <t>750ml</t>
        </is>
      </c>
      <c r="E734" s="27" t="n">
        <v>27</v>
      </c>
      <c r="F734" s="27" t="n">
        <v>16</v>
      </c>
      <c r="G734" s="27" t="n">
        <v>12</v>
      </c>
      <c r="H734" s="28" t="n">
        <v>214.7</v>
      </c>
      <c r="I734" s="28" t="n">
        <v>0</v>
      </c>
      <c r="J734" s="94" t="inlineStr">
        <is>
          <t>False</t>
        </is>
      </c>
      <c r="K734" s="28" t="n">
        <v>0</v>
      </c>
      <c r="L734" s="25" t="inlineStr">
        <is>
          <t>VODKA</t>
        </is>
      </c>
      <c r="M734" s="25" t="inlineStr">
        <is>
          <t>DIAGEO AMERICAS INC</t>
        </is>
      </c>
      <c r="N734" s="25" t="inlineStr">
        <is>
          <t>040010-SOUTHERN GLAZERS WINE AND SPIRITS OF MISSISSIPPI LLC</t>
        </is>
      </c>
      <c r="O734" s="25" t="n"/>
      <c r="P734" s="25" t="inlineStr">
        <is>
          <t>10085156775009</t>
        </is>
      </c>
      <c r="Q734" s="25" t="inlineStr">
        <is>
          <t>085156775002</t>
        </is>
      </c>
      <c r="R734" s="78" t="n">
        <v>43186</v>
      </c>
    </row>
    <row r="735">
      <c r="A735" t="inlineStr">
        <is>
          <t>or item code =</t>
        </is>
      </c>
      <c r="B735" s="25" t="inlineStr">
        <is>
          <t>34454</t>
        </is>
      </c>
      <c r="C735" s="25" t="inlineStr">
        <is>
          <t>KETEL ONE DUTCH VODKA</t>
        </is>
      </c>
      <c r="D735" s="25" t="inlineStr">
        <is>
          <t>375ml</t>
        </is>
      </c>
      <c r="E735" s="27" t="n">
        <v>15</v>
      </c>
      <c r="F735" s="27" t="n">
        <v>108</v>
      </c>
      <c r="G735" s="27" t="n">
        <v>12</v>
      </c>
      <c r="H735" s="28" t="n">
        <v>114.16</v>
      </c>
      <c r="I735" s="28" t="n">
        <v>0</v>
      </c>
      <c r="J735" s="94" t="inlineStr">
        <is>
          <t>False</t>
        </is>
      </c>
      <c r="K735" s="28" t="n">
        <v>0</v>
      </c>
      <c r="L735" s="25" t="inlineStr">
        <is>
          <t>VODKA</t>
        </is>
      </c>
      <c r="M735" s="25" t="inlineStr">
        <is>
          <t>DIAGEO AMERICAS INC</t>
        </is>
      </c>
      <c r="N735" s="25" t="inlineStr">
        <is>
          <t>040010-SOUTHERN GLAZERS WINE AND SPIRITS OF MISSISSIPPI LLC</t>
        </is>
      </c>
      <c r="O735" s="25" t="n"/>
      <c r="P735" s="25" t="inlineStr">
        <is>
          <t>10085156615169</t>
        </is>
      </c>
      <c r="Q735" s="25" t="inlineStr">
        <is>
          <t>085156122158</t>
        </is>
      </c>
      <c r="R735" s="78" t="n">
        <v>42370</v>
      </c>
    </row>
    <row r="736">
      <c r="A736" t="inlineStr">
        <is>
          <t>or item code =</t>
        </is>
      </c>
      <c r="B736" s="25" t="inlineStr">
        <is>
          <t>34457</t>
        </is>
      </c>
      <c r="C736" s="25" t="inlineStr">
        <is>
          <t>KETEL ONE DUTCH VODKA</t>
        </is>
      </c>
      <c r="D736" s="25" t="inlineStr">
        <is>
          <t>1L</t>
        </is>
      </c>
      <c r="E736" s="27" t="n">
        <v>71</v>
      </c>
      <c r="F736" s="27" t="n">
        <v>79</v>
      </c>
      <c r="G736" s="27" t="n">
        <v>12</v>
      </c>
      <c r="H736" s="28" t="n">
        <v>280.36</v>
      </c>
      <c r="I736" s="28" t="n">
        <v>0</v>
      </c>
      <c r="J736" s="94" t="inlineStr">
        <is>
          <t>False</t>
        </is>
      </c>
      <c r="K736" s="28" t="n">
        <v>0</v>
      </c>
      <c r="L736" s="25" t="inlineStr">
        <is>
          <t>VODKA</t>
        </is>
      </c>
      <c r="M736" s="25" t="inlineStr">
        <is>
          <t>DIAGEO AMERICAS INC</t>
        </is>
      </c>
      <c r="N736" s="25" t="inlineStr">
        <is>
          <t>040010-SOUTHERN GLAZERS WINE AND SPIRITS OF MISSISSIPPI LLC</t>
        </is>
      </c>
      <c r="O736" s="25" t="n"/>
      <c r="P736" s="25" t="inlineStr">
        <is>
          <t>10085156610414</t>
        </is>
      </c>
      <c r="Q736" s="25" t="inlineStr">
        <is>
          <t>0085156610419</t>
        </is>
      </c>
      <c r="R736" s="78" t="n">
        <v>42370</v>
      </c>
    </row>
    <row r="737">
      <c r="A737" t="inlineStr">
        <is>
          <t>or item code =</t>
        </is>
      </c>
      <c r="B737" s="25" t="inlineStr">
        <is>
          <t>34458</t>
        </is>
      </c>
      <c r="C737" s="25" t="inlineStr">
        <is>
          <t>KETEL ONE DUTCH VODKA</t>
        </is>
      </c>
      <c r="D737" s="25" t="inlineStr">
        <is>
          <t>1.75L</t>
        </is>
      </c>
      <c r="E737" s="27" t="n">
        <v>6</v>
      </c>
      <c r="F737" s="27" t="n">
        <v>120</v>
      </c>
      <c r="G737" s="27" t="n">
        <v>6</v>
      </c>
      <c r="H737" s="28" t="n">
        <v>196.32</v>
      </c>
      <c r="I737" s="28" t="n">
        <v>0</v>
      </c>
      <c r="J737" s="94" t="inlineStr">
        <is>
          <t>False</t>
        </is>
      </c>
      <c r="K737" s="28" t="n">
        <v>0</v>
      </c>
      <c r="L737" s="25" t="inlineStr">
        <is>
          <t>VODKA</t>
        </is>
      </c>
      <c r="M737" s="25" t="inlineStr">
        <is>
          <t>DIAGEO AMERICAS INC</t>
        </is>
      </c>
      <c r="N737" s="25" t="inlineStr">
        <is>
          <t>040010-SOUTHERN GLAZERS WINE AND SPIRITS OF MISSISSIPPI LLC</t>
        </is>
      </c>
      <c r="O737" s="25" t="n"/>
      <c r="P737" s="25" t="inlineStr">
        <is>
          <t>10085156803684</t>
        </is>
      </c>
      <c r="Q737" s="25" t="inlineStr">
        <is>
          <t>0085156803682</t>
        </is>
      </c>
      <c r="R737" s="78" t="n">
        <v>42370</v>
      </c>
    </row>
    <row r="738">
      <c r="A738" t="inlineStr">
        <is>
          <t>or item code =</t>
        </is>
      </c>
      <c r="B738" s="25" t="inlineStr">
        <is>
          <t>34456</t>
        </is>
      </c>
      <c r="C738" s="25" t="inlineStr">
        <is>
          <t>KETEL ONE DUTCH VODKA</t>
        </is>
      </c>
      <c r="D738" s="25" t="inlineStr">
        <is>
          <t>750ml</t>
        </is>
      </c>
      <c r="E738" s="27" t="n">
        <v>49</v>
      </c>
      <c r="F738" s="27" t="n">
        <v>90</v>
      </c>
      <c r="G738" s="27" t="n">
        <v>12</v>
      </c>
      <c r="H738" s="28" t="n">
        <v>214.7</v>
      </c>
      <c r="I738" s="28" t="n">
        <v>0</v>
      </c>
      <c r="J738" s="94" t="inlineStr">
        <is>
          <t>False</t>
        </is>
      </c>
      <c r="K738" s="28" t="n">
        <v>0</v>
      </c>
      <c r="L738" s="25" t="inlineStr">
        <is>
          <t>VODKA</t>
        </is>
      </c>
      <c r="M738" s="25" t="inlineStr">
        <is>
          <t>DIAGEO AMERICAS INC</t>
        </is>
      </c>
      <c r="N738" s="25" t="inlineStr">
        <is>
          <t>040010-SOUTHERN GLAZERS WINE AND SPIRITS OF MISSISSIPPI LLC</t>
        </is>
      </c>
      <c r="O738" s="25" t="n"/>
      <c r="P738" s="25" t="inlineStr">
        <is>
          <t>10085156515414</t>
        </is>
      </c>
      <c r="Q738" s="25" t="inlineStr">
        <is>
          <t>0085156515417</t>
        </is>
      </c>
      <c r="R738" s="78" t="n">
        <v>42370</v>
      </c>
    </row>
    <row r="739">
      <c r="A739" t="inlineStr">
        <is>
          <t>or item code =</t>
        </is>
      </c>
      <c r="B739" s="25" t="inlineStr">
        <is>
          <t>75183</t>
        </is>
      </c>
      <c r="C739" s="25" t="inlineStr">
        <is>
          <t>KETEL ONE PEACH &amp; ORANGE BLOSSOM</t>
        </is>
      </c>
      <c r="D739" s="25" t="inlineStr">
        <is>
          <t>750ml</t>
        </is>
      </c>
      <c r="E739" s="27" t="n">
        <v>33</v>
      </c>
      <c r="F739" s="27" t="n">
        <v>27</v>
      </c>
      <c r="G739" s="27" t="n">
        <v>12</v>
      </c>
      <c r="H739" s="28" t="n">
        <v>214.7</v>
      </c>
      <c r="I739" s="28" t="n">
        <v>0</v>
      </c>
      <c r="J739" s="94" t="inlineStr">
        <is>
          <t>False</t>
        </is>
      </c>
      <c r="K739" s="28" t="n">
        <v>0</v>
      </c>
      <c r="L739" s="25" t="inlineStr">
        <is>
          <t>VODKA</t>
        </is>
      </c>
      <c r="M739" s="25" t="inlineStr">
        <is>
          <t>DIAGEO AMERICAS INC</t>
        </is>
      </c>
      <c r="N739" s="25" t="inlineStr">
        <is>
          <t>040010-SOUTHERN GLAZERS WINE AND SPIRITS OF MISSISSIPPI LLC</t>
        </is>
      </c>
      <c r="O739" s="25" t="n"/>
      <c r="P739" s="25" t="inlineStr">
        <is>
          <t>10085156675002</t>
        </is>
      </c>
      <c r="Q739" s="25" t="inlineStr">
        <is>
          <t>085156675005</t>
        </is>
      </c>
      <c r="R739" s="78" t="n">
        <v>43186</v>
      </c>
    </row>
    <row r="740">
      <c r="A740" t="inlineStr">
        <is>
          <t>or item code =</t>
        </is>
      </c>
      <c r="B740" s="25" t="inlineStr">
        <is>
          <t>75210</t>
        </is>
      </c>
      <c r="C740" s="25" t="inlineStr">
        <is>
          <t>KINKY PINK LIQUEUR</t>
        </is>
      </c>
      <c r="D740" s="25" t="inlineStr">
        <is>
          <t>750ml</t>
        </is>
      </c>
      <c r="E740" s="27" t="n">
        <v>0</v>
      </c>
      <c r="F740" s="27" t="n">
        <v>22</v>
      </c>
      <c r="G740" s="27" t="n">
        <v>6</v>
      </c>
      <c r="H740" s="28" t="n">
        <v>94.51000000000001</v>
      </c>
      <c r="I740" s="28" t="n">
        <v>0</v>
      </c>
      <c r="J740" s="94" t="inlineStr">
        <is>
          <t>False</t>
        </is>
      </c>
      <c r="K740" s="28" t="n">
        <v>0</v>
      </c>
      <c r="L740" s="25" t="inlineStr">
        <is>
          <t>LIQUEURS AND CORDIALS</t>
        </is>
      </c>
      <c r="M740" s="25" t="inlineStr">
        <is>
          <t>PRESTIGE BEVERAGE GROUP</t>
        </is>
      </c>
      <c r="N740" s="25" t="inlineStr">
        <is>
          <t>045041-UNITED JOHNSON BROTHERS OF MS</t>
        </is>
      </c>
      <c r="O740" s="25" t="n"/>
      <c r="P740" s="25" t="inlineStr">
        <is>
          <t>30084279983432</t>
        </is>
      </c>
      <c r="Q740" s="25" t="inlineStr">
        <is>
          <t>084279983431</t>
        </is>
      </c>
      <c r="R740" s="78" t="n">
        <v>43357</v>
      </c>
    </row>
    <row r="741">
      <c r="A741" t="inlineStr">
        <is>
          <t>or item code =</t>
        </is>
      </c>
      <c r="B741" s="25" t="inlineStr">
        <is>
          <t>75230</t>
        </is>
      </c>
      <c r="C741" s="25" t="inlineStr">
        <is>
          <t>KINKY RED LIQUEUR</t>
        </is>
      </c>
      <c r="D741" s="25" t="inlineStr">
        <is>
          <t>750ml</t>
        </is>
      </c>
      <c r="E741" s="27" t="n">
        <v>31</v>
      </c>
      <c r="F741" s="27" t="n">
        <v>16</v>
      </c>
      <c r="G741" s="27" t="n">
        <v>6</v>
      </c>
      <c r="H741" s="28" t="n">
        <v>94.51000000000001</v>
      </c>
      <c r="I741" s="28" t="n">
        <v>0</v>
      </c>
      <c r="J741" s="94" t="inlineStr">
        <is>
          <t>False</t>
        </is>
      </c>
      <c r="K741" s="28" t="n">
        <v>0</v>
      </c>
      <c r="L741" s="25" t="inlineStr">
        <is>
          <t>LIQUEURS AND CORDIALS</t>
        </is>
      </c>
      <c r="M741" s="25" t="inlineStr">
        <is>
          <t>PRESTIGE BEVERAGE GROUP</t>
        </is>
      </c>
      <c r="N741" s="25" t="inlineStr">
        <is>
          <t>045041-UNITED JOHNSON BROTHERS OF MS</t>
        </is>
      </c>
      <c r="O741" s="25" t="n"/>
      <c r="P741" s="25" t="n"/>
      <c r="Q741" s="25" t="inlineStr">
        <is>
          <t>0084279998350</t>
        </is>
      </c>
      <c r="R741" s="78" t="n">
        <v>43312</v>
      </c>
    </row>
    <row r="742">
      <c r="A742" t="inlineStr">
        <is>
          <t>or item code =</t>
        </is>
      </c>
      <c r="B742" s="25" t="inlineStr">
        <is>
          <t>19226</t>
        </is>
      </c>
      <c r="C742" s="25" t="inlineStr">
        <is>
          <t>KNOB CREEK STRAIGHT BOURBON WHISKEY</t>
        </is>
      </c>
      <c r="D742" s="25" t="inlineStr">
        <is>
          <t>750ml</t>
        </is>
      </c>
      <c r="E742" s="27" t="n">
        <v>447</v>
      </c>
      <c r="F742" s="27" t="n">
        <v>121</v>
      </c>
      <c r="G742" s="27" t="n">
        <v>6</v>
      </c>
      <c r="H742" s="28" t="n">
        <v>179.94</v>
      </c>
      <c r="I742" s="28" t="n">
        <v>0</v>
      </c>
      <c r="J742" s="94" t="inlineStr">
        <is>
          <t>False</t>
        </is>
      </c>
      <c r="K742" s="28" t="n">
        <v>0</v>
      </c>
      <c r="L742" s="25" t="inlineStr">
        <is>
          <t>WHISKEY - STR BOURBON</t>
        </is>
      </c>
      <c r="M742" s="25" t="inlineStr">
        <is>
          <t>JIM BEAM BRANDS CO</t>
        </is>
      </c>
      <c r="N742" s="25" t="inlineStr">
        <is>
          <t>040010-SOUTHERN GLAZERS WINE AND SPIRITS OF MISSISSIPPI LLC</t>
        </is>
      </c>
      <c r="O742" s="25" t="n"/>
      <c r="P742" s="25" t="n"/>
      <c r="Q742" s="25" t="n"/>
      <c r="R742" s="78" t="n">
        <v>44501</v>
      </c>
    </row>
    <row r="743">
      <c r="A743" t="inlineStr">
        <is>
          <t>or item code =</t>
        </is>
      </c>
      <c r="B743" s="25" t="inlineStr">
        <is>
          <t>19224</t>
        </is>
      </c>
      <c r="C743" s="25" t="inlineStr">
        <is>
          <t>KNOB CREEK STRAIGHT BOURBON WHISKEY</t>
        </is>
      </c>
      <c r="D743" s="25" t="inlineStr">
        <is>
          <t>375ml</t>
        </is>
      </c>
      <c r="E743" s="27" t="n">
        <v>0</v>
      </c>
      <c r="F743" s="27" t="n">
        <v>34</v>
      </c>
      <c r="G743" s="27" t="n">
        <v>12</v>
      </c>
      <c r="H743" s="28" t="n">
        <v>179.91</v>
      </c>
      <c r="I743" s="28" t="n">
        <v>0</v>
      </c>
      <c r="J743" s="94" t="inlineStr">
        <is>
          <t>False</t>
        </is>
      </c>
      <c r="K743" s="28" t="n">
        <v>0</v>
      </c>
      <c r="L743" s="25" t="inlineStr">
        <is>
          <t>WHISKEY - STR BOURBON</t>
        </is>
      </c>
      <c r="M743" s="25" t="inlineStr">
        <is>
          <t>JIM BEAM BRANDS CO</t>
        </is>
      </c>
      <c r="N743" s="25" t="inlineStr">
        <is>
          <t>040010-SOUTHERN GLAZERS WINE AND SPIRITS OF MISSISSIPPI LLC</t>
        </is>
      </c>
      <c r="O743" s="25" t="n"/>
      <c r="P743" s="25" t="inlineStr">
        <is>
          <t>10080686016929</t>
        </is>
      </c>
      <c r="Q743" s="25" t="inlineStr">
        <is>
          <t>0080686016601</t>
        </is>
      </c>
      <c r="R743" s="78" t="n">
        <v>44501</v>
      </c>
    </row>
    <row r="744">
      <c r="A744" t="inlineStr">
        <is>
          <t>or item code =</t>
        </is>
      </c>
      <c r="B744" s="25" t="inlineStr">
        <is>
          <t>52806</t>
        </is>
      </c>
      <c r="C744" s="25" t="inlineStr">
        <is>
          <t>KORBEL BRANDY</t>
        </is>
      </c>
      <c r="D744" s="25" t="inlineStr">
        <is>
          <t>750ml</t>
        </is>
      </c>
      <c r="E744" s="27" t="n">
        <v>44</v>
      </c>
      <c r="F744" s="27" t="n">
        <v>5</v>
      </c>
      <c r="G744" s="27" t="n">
        <v>12</v>
      </c>
      <c r="H744" s="28" t="n">
        <v>106.7</v>
      </c>
      <c r="I744" s="28" t="n">
        <v>0</v>
      </c>
      <c r="J744" s="94" t="inlineStr">
        <is>
          <t>False</t>
        </is>
      </c>
      <c r="K744" s="28" t="n">
        <v>0</v>
      </c>
      <c r="L744" s="25" t="inlineStr">
        <is>
          <t>BRANDY</t>
        </is>
      </c>
      <c r="M744" s="25" t="inlineStr">
        <is>
          <t>BROWN FORMAN CORP</t>
        </is>
      </c>
      <c r="N744" s="25" t="inlineStr">
        <is>
          <t>045041-UNITED JOHNSON BROTHERS OF MS</t>
        </is>
      </c>
      <c r="O744" s="25" t="n"/>
      <c r="P744" s="25" t="inlineStr">
        <is>
          <t>00084704091441</t>
        </is>
      </c>
      <c r="Q744" s="25" t="inlineStr">
        <is>
          <t>084704000078</t>
        </is>
      </c>
      <c r="R744" s="78" t="n">
        <v>42370</v>
      </c>
    </row>
    <row r="745">
      <c r="A745" t="inlineStr">
        <is>
          <t>or item code =</t>
        </is>
      </c>
      <c r="B745" s="25" t="inlineStr">
        <is>
          <t>751419</t>
        </is>
      </c>
      <c r="C745" s="25" t="inlineStr">
        <is>
          <t>KORBEL BRUT CHAMPAGNE</t>
        </is>
      </c>
      <c r="D745" s="25" t="inlineStr">
        <is>
          <t>187ml</t>
        </is>
      </c>
      <c r="E745" s="27" t="n">
        <v>60</v>
      </c>
      <c r="F745" s="27" t="n">
        <v>84</v>
      </c>
      <c r="G745" s="27" t="n">
        <v>24</v>
      </c>
      <c r="H745" s="28" t="n">
        <v>70.64</v>
      </c>
      <c r="I745" s="28" t="n">
        <v>0</v>
      </c>
      <c r="J745" s="94" t="inlineStr">
        <is>
          <t>False</t>
        </is>
      </c>
      <c r="K745" s="28" t="n">
        <v>0</v>
      </c>
      <c r="L745" s="25" t="inlineStr">
        <is>
          <t>SPRKLNG, CHMPGNE, ETC.</t>
        </is>
      </c>
      <c r="M745" s="25" t="inlineStr">
        <is>
          <t>BROWN FORMAN CORP</t>
        </is>
      </c>
      <c r="N745" s="25" t="inlineStr">
        <is>
          <t>045041-UNITED JOHNSON BROTHERS OF MS</t>
        </is>
      </c>
      <c r="O745" s="25" t="n"/>
      <c r="P745" s="25" t="inlineStr">
        <is>
          <t>00084704078831</t>
        </is>
      </c>
      <c r="Q745" s="25" t="inlineStr">
        <is>
          <t>0084704091229</t>
        </is>
      </c>
      <c r="R745" s="78" t="n">
        <v>42370</v>
      </c>
    </row>
    <row r="746">
      <c r="A746" t="inlineStr">
        <is>
          <t>or item code =</t>
        </is>
      </c>
      <c r="B746" s="25" t="inlineStr">
        <is>
          <t>751405</t>
        </is>
      </c>
      <c r="C746" s="25" t="inlineStr">
        <is>
          <t>KORBEL BRUT CHAMPAGNE</t>
        </is>
      </c>
      <c r="D746" s="25" t="inlineStr">
        <is>
          <t>750ml</t>
        </is>
      </c>
      <c r="E746" s="27" t="n">
        <v>139</v>
      </c>
      <c r="F746" s="27" t="n">
        <v>101</v>
      </c>
      <c r="G746" s="27" t="n">
        <v>12</v>
      </c>
      <c r="H746" s="28" t="n">
        <v>139.35</v>
      </c>
      <c r="I746" s="28" t="n">
        <v>0</v>
      </c>
      <c r="J746" s="94" t="inlineStr">
        <is>
          <t>False</t>
        </is>
      </c>
      <c r="K746" s="28" t="n">
        <v>0</v>
      </c>
      <c r="L746" s="25" t="inlineStr">
        <is>
          <t>SPRKLNG, CHMPGNE, ETC.</t>
        </is>
      </c>
      <c r="M746" s="25" t="inlineStr">
        <is>
          <t>BROWN FORMAN CORP</t>
        </is>
      </c>
      <c r="N746" s="25" t="inlineStr">
        <is>
          <t>045041-UNITED JOHNSON BROTHERS OF MS</t>
        </is>
      </c>
      <c r="O746" s="25" t="n"/>
      <c r="P746" s="25" t="n"/>
      <c r="Q746" s="25" t="inlineStr">
        <is>
          <t>084704091328</t>
        </is>
      </c>
      <c r="R746" s="78" t="n">
        <v>42370</v>
      </c>
    </row>
    <row r="747">
      <c r="A747" t="inlineStr">
        <is>
          <t>or item code =</t>
        </is>
      </c>
      <c r="B747" s="25" t="inlineStr">
        <is>
          <t>751800</t>
        </is>
      </c>
      <c r="C747" s="25" t="inlineStr">
        <is>
          <t>KORBEL BRUT ROSE CHAMPAGNE</t>
        </is>
      </c>
      <c r="D747" s="25" t="inlineStr">
        <is>
          <t>750ml</t>
        </is>
      </c>
      <c r="E747" s="27" t="n">
        <v>26</v>
      </c>
      <c r="F747" s="27" t="n">
        <v>29</v>
      </c>
      <c r="G747" s="27" t="n">
        <v>12</v>
      </c>
      <c r="H747" s="28" t="n">
        <v>139.35</v>
      </c>
      <c r="I747" s="28" t="n">
        <v>0</v>
      </c>
      <c r="J747" s="94" t="inlineStr">
        <is>
          <t>False</t>
        </is>
      </c>
      <c r="K747" s="28" t="n">
        <v>0</v>
      </c>
      <c r="L747" s="25" t="inlineStr">
        <is>
          <t>SPRKLNG, CHMPGNE, ETC.</t>
        </is>
      </c>
      <c r="M747" s="25" t="inlineStr">
        <is>
          <t>BROWN FORMAN CORP</t>
        </is>
      </c>
      <c r="N747" s="25" t="inlineStr">
        <is>
          <t>045041-UNITED JOHNSON BROTHERS OF MS</t>
        </is>
      </c>
      <c r="O747" s="25" t="n"/>
      <c r="P747" s="25" t="n"/>
      <c r="Q747" s="25" t="inlineStr">
        <is>
          <t>084704091878</t>
        </is>
      </c>
      <c r="R747" s="78" t="n">
        <v>43647</v>
      </c>
    </row>
    <row r="748">
      <c r="A748" t="inlineStr">
        <is>
          <t>or item code =</t>
        </is>
      </c>
      <c r="B748" s="25" t="inlineStr">
        <is>
          <t>752010</t>
        </is>
      </c>
      <c r="C748" s="25" t="inlineStr">
        <is>
          <t>KORBEL EXTRA DRY</t>
        </is>
      </c>
      <c r="D748" s="25" t="inlineStr">
        <is>
          <t>750ml</t>
        </is>
      </c>
      <c r="E748" s="27" t="n">
        <v>137</v>
      </c>
      <c r="F748" s="27" t="n">
        <v>78</v>
      </c>
      <c r="G748" s="27" t="n">
        <v>12</v>
      </c>
      <c r="H748" s="28" t="n">
        <v>139.35</v>
      </c>
      <c r="I748" s="28" t="n">
        <v>0</v>
      </c>
      <c r="J748" s="94" t="inlineStr">
        <is>
          <t>False</t>
        </is>
      </c>
      <c r="K748" s="28" t="n">
        <v>0</v>
      </c>
      <c r="L748" s="25" t="inlineStr">
        <is>
          <t>SPRKLNG, CHMPGNE, ETC.</t>
        </is>
      </c>
      <c r="M748" s="25" t="inlineStr">
        <is>
          <t>BROWN FORMAN CORP</t>
        </is>
      </c>
      <c r="N748" s="25" t="inlineStr">
        <is>
          <t>045041-UNITED JOHNSON BROTHERS OF MS</t>
        </is>
      </c>
      <c r="O748" s="25" t="n"/>
      <c r="P748" s="25" t="inlineStr">
        <is>
          <t>00084704091120</t>
        </is>
      </c>
      <c r="Q748" s="25" t="inlineStr">
        <is>
          <t>084704091472</t>
        </is>
      </c>
      <c r="R748" s="78" t="n">
        <v>42370</v>
      </c>
    </row>
    <row r="749">
      <c r="A749" t="inlineStr">
        <is>
          <t>or item code =</t>
        </is>
      </c>
      <c r="B749" s="25" t="inlineStr">
        <is>
          <t>751940</t>
        </is>
      </c>
      <c r="C749" s="25" t="inlineStr">
        <is>
          <t>KORBEL SWEET CUVEE CHAMPAGNE</t>
        </is>
      </c>
      <c r="D749" s="25" t="inlineStr">
        <is>
          <t>750ml</t>
        </is>
      </c>
      <c r="E749" s="27" t="n">
        <v>1</v>
      </c>
      <c r="F749" s="27" t="n">
        <v>7</v>
      </c>
      <c r="G749" s="27" t="n">
        <v>12</v>
      </c>
      <c r="H749" s="28" t="n">
        <v>139.35</v>
      </c>
      <c r="I749" s="28" t="n">
        <v>0</v>
      </c>
      <c r="J749" s="94" t="inlineStr">
        <is>
          <t>False</t>
        </is>
      </c>
      <c r="K749" s="28" t="n">
        <v>0</v>
      </c>
      <c r="L749" s="25" t="inlineStr">
        <is>
          <t>SPRKLNG, CHMPGNE, ETC.</t>
        </is>
      </c>
      <c r="M749" s="25" t="inlineStr">
        <is>
          <t>BROWN FORMAN CORP</t>
        </is>
      </c>
      <c r="N749" s="25" t="inlineStr">
        <is>
          <t>045041-UNITED JOHNSON BROTHERS OF MS</t>
        </is>
      </c>
      <c r="O749" s="25" t="n"/>
      <c r="P749" s="25" t="inlineStr">
        <is>
          <t>10084704100010</t>
        </is>
      </c>
      <c r="Q749" s="25" t="inlineStr">
        <is>
          <t>084704098044</t>
        </is>
      </c>
      <c r="R749" s="78" t="n">
        <v>42370</v>
      </c>
    </row>
    <row r="750">
      <c r="A750" t="inlineStr">
        <is>
          <t>or item code =</t>
        </is>
      </c>
      <c r="B750" s="25" t="inlineStr">
        <is>
          <t>751950</t>
        </is>
      </c>
      <c r="C750" s="25" t="inlineStr">
        <is>
          <t>KORBEL SWEET ROSE CHAMPAGNE</t>
        </is>
      </c>
      <c r="D750" s="25" t="inlineStr">
        <is>
          <t>750ml</t>
        </is>
      </c>
      <c r="E750" s="27" t="n">
        <v>18</v>
      </c>
      <c r="F750" s="27" t="n">
        <v>21</v>
      </c>
      <c r="G750" s="27" t="n">
        <v>12</v>
      </c>
      <c r="H750" s="28" t="n">
        <v>139.35</v>
      </c>
      <c r="I750" s="28" t="n">
        <v>0</v>
      </c>
      <c r="J750" s="94" t="inlineStr">
        <is>
          <t>False</t>
        </is>
      </c>
      <c r="K750" s="28" t="n">
        <v>0</v>
      </c>
      <c r="L750" s="25" t="inlineStr">
        <is>
          <t>SPRKLNG, CHMPGNE, ETC.</t>
        </is>
      </c>
      <c r="M750" s="25" t="inlineStr">
        <is>
          <t>BROWN FORMAN CORP</t>
        </is>
      </c>
      <c r="N750" s="25" t="inlineStr">
        <is>
          <t>045041-UNITED JOHNSON BROTHERS OF MS</t>
        </is>
      </c>
      <c r="O750" s="25" t="n"/>
      <c r="P750" s="25" t="inlineStr">
        <is>
          <t>00084704064988</t>
        </is>
      </c>
      <c r="Q750" s="25" t="inlineStr">
        <is>
          <t>084704097979</t>
        </is>
      </c>
      <c r="R750" s="78" t="n">
        <v>42370</v>
      </c>
    </row>
    <row r="751">
      <c r="A751" t="inlineStr">
        <is>
          <t>or item code =</t>
        </is>
      </c>
      <c r="B751" s="25" t="inlineStr">
        <is>
          <t>46504</t>
        </is>
      </c>
      <c r="C751" s="25" t="inlineStr">
        <is>
          <t>KRAKEN BLACK SPICED RUM 94 PROOF</t>
        </is>
      </c>
      <c r="D751" s="25" t="inlineStr">
        <is>
          <t>750ml</t>
        </is>
      </c>
      <c r="E751" s="27" t="n">
        <v>2</v>
      </c>
      <c r="F751" s="27" t="n">
        <v>42</v>
      </c>
      <c r="G751" s="27" t="n">
        <v>12</v>
      </c>
      <c r="H751" s="28" t="n">
        <v>203.03</v>
      </c>
      <c r="I751" s="28" t="n">
        <v>0</v>
      </c>
      <c r="J751" s="94" t="inlineStr">
        <is>
          <t>False</t>
        </is>
      </c>
      <c r="K751" s="28" t="n">
        <v>0</v>
      </c>
      <c r="L751" s="25" t="inlineStr">
        <is>
          <t>RUM</t>
        </is>
      </c>
      <c r="M751" s="25" t="inlineStr">
        <is>
          <t>PROXIMO SPIRITS INC</t>
        </is>
      </c>
      <c r="N751" s="25" t="inlineStr">
        <is>
          <t>040002-RNDC-MAGNOLIA</t>
        </is>
      </c>
      <c r="O751" s="25" t="n"/>
      <c r="P751" s="25" t="inlineStr">
        <is>
          <t>20811538013028</t>
        </is>
      </c>
      <c r="Q751" s="25" t="inlineStr">
        <is>
          <t>0811538013024</t>
        </is>
      </c>
      <c r="R751" s="78" t="n">
        <v>42370</v>
      </c>
    </row>
    <row r="752">
      <c r="A752" t="inlineStr">
        <is>
          <t>or item code =</t>
        </is>
      </c>
      <c r="B752" s="25" t="inlineStr">
        <is>
          <t>46503</t>
        </is>
      </c>
      <c r="C752" s="25" t="inlineStr">
        <is>
          <t>KRAKEN BLACK SPICED RUM 94 PROOF</t>
        </is>
      </c>
      <c r="D752" s="25" t="inlineStr">
        <is>
          <t>375ml</t>
        </is>
      </c>
      <c r="E752" s="27" t="n">
        <v>51</v>
      </c>
      <c r="F752" s="27" t="n">
        <v>27</v>
      </c>
      <c r="G752" s="27" t="n">
        <v>12</v>
      </c>
      <c r="H752" s="28" t="n">
        <v>94.23</v>
      </c>
      <c r="I752" s="28" t="n">
        <v>0</v>
      </c>
      <c r="J752" s="94" t="inlineStr">
        <is>
          <t>False</t>
        </is>
      </c>
      <c r="K752" s="28" t="n">
        <v>0</v>
      </c>
      <c r="L752" s="25" t="inlineStr">
        <is>
          <t>RUM</t>
        </is>
      </c>
      <c r="M752" s="25" t="inlineStr">
        <is>
          <t>PROXIMO SPIRITS INC</t>
        </is>
      </c>
      <c r="N752" s="25" t="inlineStr">
        <is>
          <t>040002-RNDC-MAGNOLIA</t>
        </is>
      </c>
      <c r="O752" s="25" t="n"/>
      <c r="P752" s="25" t="inlineStr">
        <is>
          <t>20811538013080</t>
        </is>
      </c>
      <c r="Q752" s="25" t="inlineStr">
        <is>
          <t>0811538013086</t>
        </is>
      </c>
      <c r="R752" s="78" t="n">
        <v>42370</v>
      </c>
    </row>
    <row r="753">
      <c r="A753" t="inlineStr">
        <is>
          <t>or item code =</t>
        </is>
      </c>
      <c r="B753" s="25" t="inlineStr">
        <is>
          <t>582138</t>
        </is>
      </c>
      <c r="C753" s="25" t="inlineStr">
        <is>
          <t>KUNDE CHARDONNAY SONOMA CO</t>
        </is>
      </c>
      <c r="D753" s="25" t="inlineStr">
        <is>
          <t>750ml</t>
        </is>
      </c>
      <c r="E753" s="27" t="n">
        <v>22</v>
      </c>
      <c r="F753" s="27" t="n">
        <v>9</v>
      </c>
      <c r="G753" s="27" t="n">
        <v>12</v>
      </c>
      <c r="H753" s="28" t="n">
        <v>161.77</v>
      </c>
      <c r="I753" s="28" t="n">
        <v>0</v>
      </c>
      <c r="J753" s="94" t="inlineStr">
        <is>
          <t>False</t>
        </is>
      </c>
      <c r="K753" s="28" t="n">
        <v>0</v>
      </c>
      <c r="L753" s="25" t="inlineStr">
        <is>
          <t>CHARDONNAY</t>
        </is>
      </c>
      <c r="M753" s="25" t="inlineStr">
        <is>
          <t>VINTAGE WINE ESTATES, INC.</t>
        </is>
      </c>
      <c r="N753" s="25" t="inlineStr">
        <is>
          <t>040003-RNDC-VINTAGE</t>
        </is>
      </c>
      <c r="O753" s="25" t="n"/>
      <c r="P753" s="25" t="inlineStr">
        <is>
          <t>10839146004576</t>
        </is>
      </c>
      <c r="Q753" s="25" t="inlineStr">
        <is>
          <t>839146004579</t>
        </is>
      </c>
      <c r="R753" s="78" t="n">
        <v>43732</v>
      </c>
    </row>
    <row r="754">
      <c r="A754" t="inlineStr">
        <is>
          <t>or item code =</t>
        </is>
      </c>
      <c r="B754" s="25" t="inlineStr">
        <is>
          <t>582307</t>
        </is>
      </c>
      <c r="C754" s="25" t="inlineStr">
        <is>
          <t>LA CREMA CHARDONNAY SONOMA COAST</t>
        </is>
      </c>
      <c r="D754" s="25" t="inlineStr">
        <is>
          <t>750ml</t>
        </is>
      </c>
      <c r="E754" s="27" t="n">
        <v>0</v>
      </c>
      <c r="F754" s="27" t="n">
        <v>61</v>
      </c>
      <c r="G754" s="27" t="n">
        <v>12</v>
      </c>
      <c r="H754" s="28" t="n">
        <v>195.83</v>
      </c>
      <c r="I754" s="28" t="n">
        <v>0</v>
      </c>
      <c r="J754" s="94" t="inlineStr">
        <is>
          <t>False</t>
        </is>
      </c>
      <c r="K754" s="28" t="n">
        <v>0</v>
      </c>
      <c r="L754" s="25" t="inlineStr">
        <is>
          <t>CHARDONNAY</t>
        </is>
      </c>
      <c r="M754" s="25" t="inlineStr">
        <is>
          <t>JACKSON FAMILY FINE WINES</t>
        </is>
      </c>
      <c r="N754" s="25" t="inlineStr">
        <is>
          <t>040003-RNDC-VINTAGE</t>
        </is>
      </c>
      <c r="O754" s="25" t="n"/>
      <c r="P754" s="25" t="inlineStr">
        <is>
          <t>10049331002229</t>
        </is>
      </c>
      <c r="Q754" s="25" t="inlineStr">
        <is>
          <t>049331002222</t>
        </is>
      </c>
      <c r="R754" s="78" t="n">
        <v>42370</v>
      </c>
    </row>
    <row r="755">
      <c r="A755" t="inlineStr">
        <is>
          <t>or item code =</t>
        </is>
      </c>
      <c r="B755" s="25" t="inlineStr">
        <is>
          <t>479670</t>
        </is>
      </c>
      <c r="C755" s="25" t="inlineStr">
        <is>
          <t>LA CREMA PINOT NOIR MONTEREY</t>
        </is>
      </c>
      <c r="D755" s="25" t="inlineStr">
        <is>
          <t>750ml</t>
        </is>
      </c>
      <c r="E755" s="27" t="n">
        <v>0</v>
      </c>
      <c r="F755" s="27" t="n">
        <v>5</v>
      </c>
      <c r="G755" s="27" t="n">
        <v>12</v>
      </c>
      <c r="H755" s="28" t="n">
        <v>190.73</v>
      </c>
      <c r="I755" s="28" t="n">
        <v>0</v>
      </c>
      <c r="J755" s="94" t="inlineStr">
        <is>
          <t>False</t>
        </is>
      </c>
      <c r="K755" s="28" t="n">
        <v>0</v>
      </c>
      <c r="L755" s="25" t="inlineStr">
        <is>
          <t>PINOT NOIR</t>
        </is>
      </c>
      <c r="M755" s="25" t="inlineStr">
        <is>
          <t>JACKSON FAMILY FINE WINES</t>
        </is>
      </c>
      <c r="N755" s="25" t="inlineStr">
        <is>
          <t>040003-RNDC-VINTAGE</t>
        </is>
      </c>
      <c r="O755" s="25" t="n"/>
      <c r="P755" s="25" t="inlineStr">
        <is>
          <t>10049331010965</t>
        </is>
      </c>
      <c r="Q755" s="25" t="inlineStr">
        <is>
          <t>0049331010968</t>
        </is>
      </c>
      <c r="R755" s="78" t="n">
        <v>42796</v>
      </c>
    </row>
    <row r="756">
      <c r="A756" t="inlineStr">
        <is>
          <t>or item code =</t>
        </is>
      </c>
      <c r="B756" s="25" t="inlineStr">
        <is>
          <t>479690</t>
        </is>
      </c>
      <c r="C756" s="25" t="inlineStr">
        <is>
          <t>LA CREMA PINOT NOIR SONOMA COAST</t>
        </is>
      </c>
      <c r="D756" s="25" t="inlineStr">
        <is>
          <t>750ml</t>
        </is>
      </c>
      <c r="E756" s="27" t="n">
        <v>0</v>
      </c>
      <c r="F756" s="27" t="n">
        <v>88</v>
      </c>
      <c r="G756" s="27" t="n">
        <v>12</v>
      </c>
      <c r="H756" s="28" t="n">
        <v>228.98</v>
      </c>
      <c r="I756" s="28" t="n">
        <v>0</v>
      </c>
      <c r="J756" s="94" t="inlineStr">
        <is>
          <t>False</t>
        </is>
      </c>
      <c r="K756" s="28" t="n">
        <v>0</v>
      </c>
      <c r="L756" s="25" t="inlineStr">
        <is>
          <t>PINOT NOIR</t>
        </is>
      </c>
      <c r="M756" s="25" t="inlineStr">
        <is>
          <t>JACKSON FAMILY FINE WINES</t>
        </is>
      </c>
      <c r="N756" s="25" t="inlineStr">
        <is>
          <t>040003-RNDC-VINTAGE</t>
        </is>
      </c>
      <c r="O756" s="25" t="n"/>
      <c r="P756" s="25" t="inlineStr">
        <is>
          <t>10049331002304</t>
        </is>
      </c>
      <c r="Q756" s="25" t="inlineStr">
        <is>
          <t>0049331002307</t>
        </is>
      </c>
      <c r="R756" s="78" t="n">
        <v>42370</v>
      </c>
    </row>
    <row r="757">
      <c r="A757" t="inlineStr">
        <is>
          <t>or item code =</t>
        </is>
      </c>
      <c r="B757" s="25" t="inlineStr">
        <is>
          <t>728799</t>
        </is>
      </c>
      <c r="C757" s="25" t="inlineStr">
        <is>
          <t>LA MARCA PROSECCO ROSE</t>
        </is>
      </c>
      <c r="D757" s="25" t="inlineStr">
        <is>
          <t>750ml</t>
        </is>
      </c>
      <c r="E757" s="27" t="n">
        <v>38</v>
      </c>
      <c r="F757" s="27" t="n">
        <v>85</v>
      </c>
      <c r="G757" s="27" t="n">
        <v>12</v>
      </c>
      <c r="H757" s="28" t="n">
        <v>158.48</v>
      </c>
      <c r="I757" s="28" t="n">
        <v>0</v>
      </c>
      <c r="J757" s="94" t="inlineStr">
        <is>
          <t>False</t>
        </is>
      </c>
      <c r="K757" s="28" t="n">
        <v>0</v>
      </c>
      <c r="L757" s="25" t="inlineStr">
        <is>
          <t>ROSE / BLUSH WINE</t>
        </is>
      </c>
      <c r="M757" s="25" t="inlineStr">
        <is>
          <t>E &amp; J GALLO WINERY</t>
        </is>
      </c>
      <c r="N757" s="25" t="inlineStr">
        <is>
          <t>040012-GALLO WINES OF MISSISSIPPI</t>
        </is>
      </c>
      <c r="O757" s="25" t="n"/>
      <c r="P757" s="25" t="inlineStr">
        <is>
          <t>30085000032443</t>
        </is>
      </c>
      <c r="Q757" s="25" t="inlineStr">
        <is>
          <t>085000032442</t>
        </is>
      </c>
      <c r="R757" s="78" t="n">
        <v>42370</v>
      </c>
    </row>
    <row r="758">
      <c r="A758" t="inlineStr">
        <is>
          <t>or item code =</t>
        </is>
      </c>
      <c r="B758" s="25" t="inlineStr">
        <is>
          <t>728795</t>
        </is>
      </c>
      <c r="C758" s="25" t="inlineStr">
        <is>
          <t>LA MARCA PROSECCO SPARKLING WINE</t>
        </is>
      </c>
      <c r="D758" s="25" t="inlineStr">
        <is>
          <t>750ml</t>
        </is>
      </c>
      <c r="E758" s="27" t="n">
        <v>268</v>
      </c>
      <c r="F758" s="27" t="n">
        <v>515</v>
      </c>
      <c r="G758" s="27" t="n">
        <v>12</v>
      </c>
      <c r="H758" s="28" t="n">
        <v>158.48</v>
      </c>
      <c r="I758" s="28" t="n">
        <v>0</v>
      </c>
      <c r="J758" s="94" t="inlineStr">
        <is>
          <t>False</t>
        </is>
      </c>
      <c r="K758" s="28" t="n">
        <v>0</v>
      </c>
      <c r="L758" s="25" t="inlineStr">
        <is>
          <t>SPRKLNG, CHMPGNE, ETC.</t>
        </is>
      </c>
      <c r="M758" s="25" t="inlineStr">
        <is>
          <t>E &amp; J GALLO WINERY</t>
        </is>
      </c>
      <c r="N758" s="25" t="inlineStr">
        <is>
          <t>040012-GALLO WINES OF MISSISSIPPI</t>
        </is>
      </c>
      <c r="O758" s="25" t="n"/>
      <c r="P758" s="25" t="inlineStr">
        <is>
          <t>30085000017730</t>
        </is>
      </c>
      <c r="Q758" s="25" t="inlineStr">
        <is>
          <t>0085000017739</t>
        </is>
      </c>
      <c r="R758" s="78" t="n">
        <v>42370</v>
      </c>
    </row>
    <row r="759">
      <c r="A759" t="inlineStr">
        <is>
          <t>or item code =</t>
        </is>
      </c>
      <c r="B759" s="25" t="inlineStr">
        <is>
          <t>480305</t>
        </is>
      </c>
      <c r="C759" s="25" t="inlineStr">
        <is>
          <t>LIBERTY CREEK CALIFORNIA CABERNET SAUVIGNON</t>
        </is>
      </c>
      <c r="D759" s="25" t="inlineStr">
        <is>
          <t>1.5L</t>
        </is>
      </c>
      <c r="E759" s="27" t="n">
        <v>44</v>
      </c>
      <c r="F759" s="27" t="n">
        <v>307</v>
      </c>
      <c r="G759" s="27" t="n">
        <v>6</v>
      </c>
      <c r="H759" s="28" t="n">
        <v>42.81</v>
      </c>
      <c r="I759" s="28" t="n">
        <v>0</v>
      </c>
      <c r="J759" s="94" t="inlineStr">
        <is>
          <t>False</t>
        </is>
      </c>
      <c r="K759" s="28" t="n">
        <v>0</v>
      </c>
      <c r="L759" s="25" t="inlineStr">
        <is>
          <t>CABERNET SAUVIGNON</t>
        </is>
      </c>
      <c r="M759" s="25" t="inlineStr">
        <is>
          <t>E &amp; J GALLO WINERY</t>
        </is>
      </c>
      <c r="N759" s="25" t="inlineStr">
        <is>
          <t>040012-GALLO WINES OF MISSISSIPPI</t>
        </is>
      </c>
      <c r="O759" s="25" t="n"/>
      <c r="P759" s="25" t="inlineStr">
        <is>
          <t>20085000011298</t>
        </is>
      </c>
      <c r="Q759" s="25" t="inlineStr">
        <is>
          <t>085000011294</t>
        </is>
      </c>
      <c r="R759" s="78" t="n">
        <v>42279</v>
      </c>
    </row>
    <row r="760">
      <c r="A760" t="inlineStr">
        <is>
          <t>or item code =</t>
        </is>
      </c>
      <c r="B760" s="25" t="inlineStr">
        <is>
          <t>583805</t>
        </is>
      </c>
      <c r="C760" s="25" t="inlineStr">
        <is>
          <t>LIBERTY CREEK CALIFORNIA CHARDONNAY</t>
        </is>
      </c>
      <c r="D760" s="25" t="inlineStr">
        <is>
          <t>1.5L</t>
        </is>
      </c>
      <c r="E760" s="27" t="n">
        <v>210</v>
      </c>
      <c r="F760" s="27" t="n">
        <v>391</v>
      </c>
      <c r="G760" s="27" t="n">
        <v>6</v>
      </c>
      <c r="H760" s="28" t="n">
        <v>42.81</v>
      </c>
      <c r="I760" s="28" t="n">
        <v>0</v>
      </c>
      <c r="J760" s="94" t="inlineStr">
        <is>
          <t>False</t>
        </is>
      </c>
      <c r="K760" s="28" t="n">
        <v>0</v>
      </c>
      <c r="L760" s="25" t="inlineStr">
        <is>
          <t>CHARDONNAY</t>
        </is>
      </c>
      <c r="M760" s="25" t="inlineStr">
        <is>
          <t>E &amp; J GALLO WINERY</t>
        </is>
      </c>
      <c r="N760" s="25" t="inlineStr">
        <is>
          <t>040012-GALLO WINES OF MISSISSIPPI</t>
        </is>
      </c>
      <c r="O760" s="25" t="n"/>
      <c r="P760" s="25" t="inlineStr">
        <is>
          <t>20085000011304</t>
        </is>
      </c>
      <c r="Q760" s="25" t="inlineStr">
        <is>
          <t>0085000011300</t>
        </is>
      </c>
      <c r="R760" s="78" t="n">
        <v>42279</v>
      </c>
    </row>
    <row r="761">
      <c r="A761" t="inlineStr">
        <is>
          <t>or item code =</t>
        </is>
      </c>
      <c r="B761" s="25" t="inlineStr">
        <is>
          <t>480315</t>
        </is>
      </c>
      <c r="C761" s="25" t="inlineStr">
        <is>
          <t>LIBERTY CREEK CALIFORNIA MERLOT</t>
        </is>
      </c>
      <c r="D761" s="25" t="inlineStr">
        <is>
          <t>1.5L</t>
        </is>
      </c>
      <c r="E761" s="27" t="n">
        <v>0</v>
      </c>
      <c r="F761" s="27" t="n">
        <v>298</v>
      </c>
      <c r="G761" s="27" t="n">
        <v>6</v>
      </c>
      <c r="H761" s="28" t="n">
        <v>42.81</v>
      </c>
      <c r="I761" s="28" t="n">
        <v>0</v>
      </c>
      <c r="J761" s="94" t="inlineStr">
        <is>
          <t>False</t>
        </is>
      </c>
      <c r="K761" s="28" t="n">
        <v>0</v>
      </c>
      <c r="L761" s="25" t="inlineStr">
        <is>
          <t>MERLOT</t>
        </is>
      </c>
      <c r="M761" s="25" t="inlineStr">
        <is>
          <t>E &amp; J GALLO WINERY</t>
        </is>
      </c>
      <c r="N761" s="25" t="inlineStr">
        <is>
          <t>040012-GALLO WINES OF MISSISSIPPI</t>
        </is>
      </c>
      <c r="O761" s="25" t="n"/>
      <c r="P761" s="25" t="inlineStr">
        <is>
          <t>20085000011281</t>
        </is>
      </c>
      <c r="Q761" s="25" t="inlineStr">
        <is>
          <t>085000011287</t>
        </is>
      </c>
      <c r="R761" s="78" t="n">
        <v>42279</v>
      </c>
    </row>
    <row r="762">
      <c r="A762" t="inlineStr">
        <is>
          <t>or item code =</t>
        </is>
      </c>
      <c r="B762" s="25" t="inlineStr">
        <is>
          <t>583802</t>
        </is>
      </c>
      <c r="C762" s="25" t="inlineStr">
        <is>
          <t>LIBERTY CREEK CALIFORNIA MOSCATO</t>
        </is>
      </c>
      <c r="D762" s="25" t="inlineStr">
        <is>
          <t>1.5L</t>
        </is>
      </c>
      <c r="E762" s="27" t="n">
        <v>114</v>
      </c>
      <c r="F762" s="27" t="n">
        <v>218</v>
      </c>
      <c r="G762" s="27" t="n">
        <v>6</v>
      </c>
      <c r="H762" s="28" t="n">
        <v>42.81</v>
      </c>
      <c r="I762" s="28" t="n">
        <v>0</v>
      </c>
      <c r="J762" s="94" t="inlineStr">
        <is>
          <t>False</t>
        </is>
      </c>
      <c r="K762" s="28" t="n">
        <v>0</v>
      </c>
      <c r="L762" s="25" t="inlineStr">
        <is>
          <t>MOSCATO WHITE</t>
        </is>
      </c>
      <c r="M762" s="25" t="inlineStr">
        <is>
          <t>E &amp; J GALLO WINERY</t>
        </is>
      </c>
      <c r="N762" s="25" t="inlineStr">
        <is>
          <t>040012-GALLO WINES OF MISSISSIPPI</t>
        </is>
      </c>
      <c r="O762" s="25" t="n"/>
      <c r="P762" s="25" t="inlineStr">
        <is>
          <t>20085000018037</t>
        </is>
      </c>
      <c r="Q762" s="25" t="inlineStr">
        <is>
          <t>085000018033</t>
        </is>
      </c>
      <c r="R762" s="78" t="n">
        <v>42279</v>
      </c>
    </row>
    <row r="763">
      <c r="A763" t="inlineStr">
        <is>
          <t>or item code =</t>
        </is>
      </c>
      <c r="B763" s="25" t="inlineStr">
        <is>
          <t>664502</t>
        </is>
      </c>
      <c r="C763" s="25" t="inlineStr">
        <is>
          <t>LIBERTY CREEK CALIFORNIA PINK MOSCATO</t>
        </is>
      </c>
      <c r="D763" s="25" t="inlineStr">
        <is>
          <t>1.5L</t>
        </is>
      </c>
      <c r="E763" s="27" t="n">
        <v>16</v>
      </c>
      <c r="F763" s="27" t="n">
        <v>99</v>
      </c>
      <c r="G763" s="27" t="n">
        <v>6</v>
      </c>
      <c r="H763" s="28" t="n">
        <v>42.81</v>
      </c>
      <c r="I763" s="28" t="n">
        <v>0</v>
      </c>
      <c r="J763" s="94" t="inlineStr">
        <is>
          <t>False</t>
        </is>
      </c>
      <c r="K763" s="28" t="n">
        <v>0</v>
      </c>
      <c r="L763" s="25" t="inlineStr">
        <is>
          <t>ROSE / BLUSH WINE</t>
        </is>
      </c>
      <c r="M763" s="25" t="inlineStr">
        <is>
          <t>E &amp; J GALLO WINERY</t>
        </is>
      </c>
      <c r="N763" s="25" t="inlineStr">
        <is>
          <t>040012-GALLO WINES OF MISSISSIPPI</t>
        </is>
      </c>
      <c r="O763" s="25" t="n"/>
      <c r="P763" s="25" t="inlineStr">
        <is>
          <t>20085000021501</t>
        </is>
      </c>
      <c r="Q763" s="25" t="inlineStr">
        <is>
          <t>0085000021507</t>
        </is>
      </c>
      <c r="R763" s="78" t="n">
        <v>42370</v>
      </c>
    </row>
    <row r="764">
      <c r="A764" t="inlineStr">
        <is>
          <t>or item code =</t>
        </is>
      </c>
      <c r="B764" s="25" t="inlineStr">
        <is>
          <t>583815</t>
        </is>
      </c>
      <c r="C764" s="25" t="inlineStr">
        <is>
          <t>LIBERTY CREEK CALIFORNIA PINOT GRIGIO</t>
        </is>
      </c>
      <c r="D764" s="25" t="inlineStr">
        <is>
          <t>1.5L</t>
        </is>
      </c>
      <c r="E764" s="27" t="n">
        <v>164</v>
      </c>
      <c r="F764" s="27" t="n">
        <v>294</v>
      </c>
      <c r="G764" s="27" t="n">
        <v>6</v>
      </c>
      <c r="H764" s="28" t="n">
        <v>42.81</v>
      </c>
      <c r="I764" s="28" t="n">
        <v>0</v>
      </c>
      <c r="J764" s="94" t="inlineStr">
        <is>
          <t>False</t>
        </is>
      </c>
      <c r="K764" s="28" t="n">
        <v>0</v>
      </c>
      <c r="L764" s="25" t="inlineStr">
        <is>
          <t>PINOT GRIS/PINOT GRIGIO</t>
        </is>
      </c>
      <c r="M764" s="25" t="inlineStr">
        <is>
          <t>E &amp; J GALLO WINERY</t>
        </is>
      </c>
      <c r="N764" s="25" t="inlineStr">
        <is>
          <t>040012-GALLO WINES OF MISSISSIPPI</t>
        </is>
      </c>
      <c r="O764" s="25" t="n"/>
      <c r="P764" s="25" t="inlineStr">
        <is>
          <t>20085000018396</t>
        </is>
      </c>
      <c r="Q764" s="25" t="inlineStr">
        <is>
          <t>0085000018392</t>
        </is>
      </c>
      <c r="R764" s="78" t="n">
        <v>42279</v>
      </c>
    </row>
    <row r="765">
      <c r="A765" t="inlineStr">
        <is>
          <t>or item code =</t>
        </is>
      </c>
      <c r="B765" s="25" t="inlineStr">
        <is>
          <t>480318</t>
        </is>
      </c>
      <c r="C765" s="25" t="inlineStr">
        <is>
          <t>LIBERTY CREEK CALIFORNIA PINOT NOIR</t>
        </is>
      </c>
      <c r="D765" s="25" t="inlineStr">
        <is>
          <t>1.5L</t>
        </is>
      </c>
      <c r="E765" s="27" t="n">
        <v>94</v>
      </c>
      <c r="F765" s="27" t="n">
        <v>246</v>
      </c>
      <c r="G765" s="27" t="n">
        <v>6</v>
      </c>
      <c r="H765" s="28" t="n">
        <v>42.81</v>
      </c>
      <c r="I765" s="28" t="n">
        <v>0</v>
      </c>
      <c r="J765" s="94" t="inlineStr">
        <is>
          <t>False</t>
        </is>
      </c>
      <c r="K765" s="28" t="n">
        <v>0</v>
      </c>
      <c r="L765" s="25" t="inlineStr">
        <is>
          <t>PINOT NOIR</t>
        </is>
      </c>
      <c r="M765" s="25" t="inlineStr">
        <is>
          <t>E &amp; J GALLO WINERY</t>
        </is>
      </c>
      <c r="N765" s="25" t="inlineStr">
        <is>
          <t>040012-GALLO WINES OF MISSISSIPPI</t>
        </is>
      </c>
      <c r="O765" s="25" t="n"/>
      <c r="P765" s="25" t="inlineStr">
        <is>
          <t>20085000018389</t>
        </is>
      </c>
      <c r="Q765" s="25" t="inlineStr">
        <is>
          <t>0085000018385</t>
        </is>
      </c>
      <c r="R765" s="78" t="n">
        <v>42279</v>
      </c>
    </row>
    <row r="766">
      <c r="A766" t="inlineStr">
        <is>
          <t>or item code =</t>
        </is>
      </c>
      <c r="B766" s="25" t="inlineStr">
        <is>
          <t>480320</t>
        </is>
      </c>
      <c r="C766" s="25" t="inlineStr">
        <is>
          <t>LIBERTY CREEK CALIFORNIA SWEET RED</t>
        </is>
      </c>
      <c r="D766" s="25" t="inlineStr">
        <is>
          <t>1.5L</t>
        </is>
      </c>
      <c r="E766" s="27" t="n">
        <v>103</v>
      </c>
      <c r="F766" s="27" t="n">
        <v>204</v>
      </c>
      <c r="G766" s="27" t="n">
        <v>6</v>
      </c>
      <c r="H766" s="28" t="n">
        <v>42.81</v>
      </c>
      <c r="I766" s="28" t="n">
        <v>0</v>
      </c>
      <c r="J766" s="94" t="inlineStr">
        <is>
          <t>False</t>
        </is>
      </c>
      <c r="K766" s="28" t="n">
        <v>0</v>
      </c>
      <c r="L766" s="25" t="inlineStr">
        <is>
          <t>RED WINE</t>
        </is>
      </c>
      <c r="M766" s="25" t="inlineStr">
        <is>
          <t>E &amp; J GALLO WINERY</t>
        </is>
      </c>
      <c r="N766" s="25" t="inlineStr">
        <is>
          <t>040012-GALLO WINES OF MISSISSIPPI</t>
        </is>
      </c>
      <c r="O766" s="25" t="n"/>
      <c r="P766" s="25" t="inlineStr">
        <is>
          <t>20085000018020</t>
        </is>
      </c>
      <c r="Q766" s="25" t="inlineStr">
        <is>
          <t>0085000018026</t>
        </is>
      </c>
      <c r="R766" s="78" t="n">
        <v>42370</v>
      </c>
    </row>
    <row r="767">
      <c r="A767" t="inlineStr">
        <is>
          <t>or item code =</t>
        </is>
      </c>
      <c r="B767" s="25" t="inlineStr">
        <is>
          <t>515856</t>
        </is>
      </c>
      <c r="C767" s="25" t="inlineStr">
        <is>
          <t>LINE 39 CABERNET SAUVIGNON LAKE COUNTY</t>
        </is>
      </c>
      <c r="D767" s="25" t="inlineStr">
        <is>
          <t>750ml</t>
        </is>
      </c>
      <c r="E767" s="27" t="n">
        <v>16</v>
      </c>
      <c r="F767" s="27" t="n">
        <v>126</v>
      </c>
      <c r="G767" s="27" t="n">
        <v>12</v>
      </c>
      <c r="H767" s="28" t="n">
        <v>91.08</v>
      </c>
      <c r="I767" s="28" t="n">
        <v>0</v>
      </c>
      <c r="J767" s="94" t="inlineStr">
        <is>
          <t>False</t>
        </is>
      </c>
      <c r="K767" s="28" t="n">
        <v>0</v>
      </c>
      <c r="L767" s="25" t="inlineStr">
        <is>
          <t>CABERNET SAUVIGNON</t>
        </is>
      </c>
      <c r="M767" s="25" t="inlineStr">
        <is>
          <t>O'NEILL BEVERAGES CO LLC</t>
        </is>
      </c>
      <c r="N767" s="25" t="inlineStr">
        <is>
          <t>040010-SOUTHERN GLAZERS WINE AND SPIRITS OF MISSISSIPPI LLC</t>
        </is>
      </c>
      <c r="O767" s="25" t="n"/>
      <c r="P767" s="25" t="inlineStr">
        <is>
          <t>10898756001054</t>
        </is>
      </c>
      <c r="Q767" s="25" t="inlineStr">
        <is>
          <t>0898756001057</t>
        </is>
      </c>
      <c r="R767" s="78" t="n">
        <v>42370</v>
      </c>
    </row>
    <row r="768">
      <c r="A768" t="inlineStr">
        <is>
          <t>or item code =</t>
        </is>
      </c>
      <c r="B768" s="25" t="inlineStr">
        <is>
          <t>584030</t>
        </is>
      </c>
      <c r="C768" s="25" t="inlineStr">
        <is>
          <t>LINE 39 CHARDONNAY NORTH COAST</t>
        </is>
      </c>
      <c r="D768" s="25" t="inlineStr">
        <is>
          <t>750ml</t>
        </is>
      </c>
      <c r="E768" s="27" t="n">
        <v>0</v>
      </c>
      <c r="F768" s="27" t="n">
        <v>0</v>
      </c>
      <c r="G768" s="27" t="n">
        <v>12</v>
      </c>
      <c r="H768" s="28" t="n">
        <v>91.08</v>
      </c>
      <c r="I768" s="28" t="n">
        <v>0</v>
      </c>
      <c r="J768" s="94" t="inlineStr">
        <is>
          <t>False</t>
        </is>
      </c>
      <c r="K768" s="28" t="n">
        <v>0</v>
      </c>
      <c r="L768" s="25" t="inlineStr">
        <is>
          <t>CHARDONNAY</t>
        </is>
      </c>
      <c r="M768" s="25" t="inlineStr">
        <is>
          <t>O'NEILL BEVERAGES CO LLC</t>
        </is>
      </c>
      <c r="N768" s="25" t="inlineStr">
        <is>
          <t>040010-SOUTHERN GLAZERS WINE AND SPIRITS OF MISSISSIPPI LLC</t>
        </is>
      </c>
      <c r="O768" s="25" t="n"/>
      <c r="P768" s="25" t="inlineStr">
        <is>
          <t>10898756001153</t>
        </is>
      </c>
      <c r="Q768" s="25" t="inlineStr">
        <is>
          <t>0898756001156</t>
        </is>
      </c>
      <c r="R768" s="78" t="n">
        <v>42279</v>
      </c>
    </row>
    <row r="769">
      <c r="A769" t="inlineStr">
        <is>
          <t>or item code =</t>
        </is>
      </c>
      <c r="B769" s="25" t="inlineStr">
        <is>
          <t>515857</t>
        </is>
      </c>
      <c r="C769" s="25" t="inlineStr">
        <is>
          <t>LINE 39 MERLOT NORTH COAST</t>
        </is>
      </c>
      <c r="D769" s="25" t="inlineStr">
        <is>
          <t>750ml</t>
        </is>
      </c>
      <c r="E769" s="27" t="n">
        <v>86</v>
      </c>
      <c r="F769" s="27" t="n">
        <v>36</v>
      </c>
      <c r="G769" s="27" t="n">
        <v>12</v>
      </c>
      <c r="H769" s="28" t="n">
        <v>91.08</v>
      </c>
      <c r="I769" s="28" t="n">
        <v>0</v>
      </c>
      <c r="J769" s="94" t="inlineStr">
        <is>
          <t>False</t>
        </is>
      </c>
      <c r="K769" s="28" t="n">
        <v>0</v>
      </c>
      <c r="L769" s="25" t="inlineStr">
        <is>
          <t>MERLOT</t>
        </is>
      </c>
      <c r="M769" s="25" t="inlineStr">
        <is>
          <t>O'NEILL BEVERAGES CO LLC</t>
        </is>
      </c>
      <c r="N769" s="25" t="inlineStr">
        <is>
          <t>040010-SOUTHERN GLAZERS WINE AND SPIRITS OF MISSISSIPPI LLC</t>
        </is>
      </c>
      <c r="O769" s="25" t="n"/>
      <c r="P769" s="25" t="inlineStr">
        <is>
          <t>10898756001238</t>
        </is>
      </c>
      <c r="Q769" s="25" t="inlineStr">
        <is>
          <t>0898756001231</t>
        </is>
      </c>
      <c r="R769" s="78" t="n">
        <v>42370</v>
      </c>
    </row>
    <row r="770">
      <c r="A770" t="inlineStr">
        <is>
          <t>or item code =</t>
        </is>
      </c>
      <c r="B770" s="25" t="inlineStr">
        <is>
          <t>584032</t>
        </is>
      </c>
      <c r="C770" s="25" t="inlineStr">
        <is>
          <t>LINE 39 PINOT GRIGIO CALIFORNIA</t>
        </is>
      </c>
      <c r="D770" s="25" t="inlineStr">
        <is>
          <t>750ml</t>
        </is>
      </c>
      <c r="E770" s="27" t="n">
        <v>0</v>
      </c>
      <c r="F770" s="27" t="n">
        <v>0</v>
      </c>
      <c r="G770" s="27" t="n">
        <v>12</v>
      </c>
      <c r="H770" s="28" t="n">
        <v>91.08</v>
      </c>
      <c r="I770" s="28" t="n">
        <v>0</v>
      </c>
      <c r="J770" s="94" t="inlineStr">
        <is>
          <t>False</t>
        </is>
      </c>
      <c r="K770" s="28" t="n">
        <v>0</v>
      </c>
      <c r="L770" s="25" t="inlineStr">
        <is>
          <t>PINOT GRIS/PINOT GRIGIO</t>
        </is>
      </c>
      <c r="M770" s="25" t="inlineStr">
        <is>
          <t>O'NEILL BEVERAGES CO LLC</t>
        </is>
      </c>
      <c r="N770" s="25" t="inlineStr">
        <is>
          <t>040010-SOUTHERN GLAZERS WINE AND SPIRITS OF MISSISSIPPI LLC</t>
        </is>
      </c>
      <c r="O770" s="25" t="n"/>
      <c r="P770" s="25" t="inlineStr">
        <is>
          <t>10898756001566</t>
        </is>
      </c>
      <c r="Q770" s="25" t="inlineStr">
        <is>
          <t>898756001569</t>
        </is>
      </c>
      <c r="R770" s="78" t="n">
        <v>42370</v>
      </c>
    </row>
    <row r="771">
      <c r="A771" t="inlineStr">
        <is>
          <t>or item code =</t>
        </is>
      </c>
      <c r="B771" s="25" t="inlineStr">
        <is>
          <t>480742</t>
        </is>
      </c>
      <c r="C771" s="25" t="inlineStr">
        <is>
          <t>LINE 39 PINOT NOIR CENTRAL COAST</t>
        </is>
      </c>
      <c r="D771" s="25" t="inlineStr">
        <is>
          <t>750ml</t>
        </is>
      </c>
      <c r="E771" s="27" t="n">
        <v>0</v>
      </c>
      <c r="F771" s="27" t="n">
        <v>1</v>
      </c>
      <c r="G771" s="27" t="n">
        <v>12</v>
      </c>
      <c r="H771" s="28" t="n">
        <v>91.08</v>
      </c>
      <c r="I771" s="28" t="n">
        <v>0</v>
      </c>
      <c r="J771" s="94" t="inlineStr">
        <is>
          <t>False</t>
        </is>
      </c>
      <c r="K771" s="28" t="n">
        <v>0</v>
      </c>
      <c r="L771" s="25" t="inlineStr">
        <is>
          <t>PINOT NOIR</t>
        </is>
      </c>
      <c r="M771" s="25" t="inlineStr">
        <is>
          <t>O'NEILL BEVERAGES CO LLC</t>
        </is>
      </c>
      <c r="N771" s="25" t="inlineStr">
        <is>
          <t>040010-SOUTHERN GLAZERS WINE AND SPIRITS OF MISSISSIPPI LLC</t>
        </is>
      </c>
      <c r="O771" s="25" t="n"/>
      <c r="P771" s="25" t="inlineStr">
        <is>
          <t>10898756001474</t>
        </is>
      </c>
      <c r="Q771" s="25" t="inlineStr">
        <is>
          <t>0898756001477</t>
        </is>
      </c>
      <c r="R771" s="78" t="n">
        <v>42279</v>
      </c>
    </row>
    <row r="772">
      <c r="A772" t="inlineStr">
        <is>
          <t>or item code =</t>
        </is>
      </c>
      <c r="B772" s="25" t="inlineStr">
        <is>
          <t>632811</t>
        </is>
      </c>
      <c r="C772" s="25" t="inlineStr">
        <is>
          <t>LINE 39 SAUVIGNON BLANC LAKE COUNTY</t>
        </is>
      </c>
      <c r="D772" s="25" t="inlineStr">
        <is>
          <t>750ml</t>
        </is>
      </c>
      <c r="E772" s="27" t="n">
        <v>0</v>
      </c>
      <c r="F772" s="27" t="n">
        <v>5</v>
      </c>
      <c r="G772" s="27" t="n">
        <v>12</v>
      </c>
      <c r="H772" s="28" t="n">
        <v>91.08</v>
      </c>
      <c r="I772" s="28" t="n">
        <v>0</v>
      </c>
      <c r="J772" s="94" t="inlineStr">
        <is>
          <t>False</t>
        </is>
      </c>
      <c r="K772" s="28" t="n">
        <v>0</v>
      </c>
      <c r="L772" s="25" t="inlineStr">
        <is>
          <t>SAUVIGNON BLNC/FUME BLNC</t>
        </is>
      </c>
      <c r="M772" s="25" t="inlineStr">
        <is>
          <t>O'NEILL BEVERAGES CO LLC</t>
        </is>
      </c>
      <c r="N772" s="25" t="inlineStr">
        <is>
          <t>040010-SOUTHERN GLAZERS WINE AND SPIRITS OF MISSISSIPPI LLC</t>
        </is>
      </c>
      <c r="O772" s="25" t="n"/>
      <c r="P772" s="25" t="inlineStr">
        <is>
          <t>10898756001047</t>
        </is>
      </c>
      <c r="Q772" s="25" t="inlineStr">
        <is>
          <t>0898756001040</t>
        </is>
      </c>
      <c r="R772" s="78" t="n">
        <v>42279</v>
      </c>
    </row>
    <row r="773">
      <c r="A773" t="inlineStr">
        <is>
          <t>or item code =</t>
        </is>
      </c>
      <c r="B773" s="25" t="inlineStr">
        <is>
          <t>484705</t>
        </is>
      </c>
      <c r="C773" s="25" t="inlineStr">
        <is>
          <t>LOUIS M MARTINI SONOMA COUNTY CABERNET SAUVIGNON</t>
        </is>
      </c>
      <c r="D773" s="25" t="inlineStr">
        <is>
          <t>750ml</t>
        </is>
      </c>
      <c r="E773" s="27" t="n">
        <v>52</v>
      </c>
      <c r="F773" s="27" t="n">
        <v>161</v>
      </c>
      <c r="G773" s="27" t="n">
        <v>12</v>
      </c>
      <c r="H773" s="28" t="n">
        <v>184.19</v>
      </c>
      <c r="I773" s="28" t="n">
        <v>0</v>
      </c>
      <c r="J773" s="94" t="inlineStr">
        <is>
          <t>False</t>
        </is>
      </c>
      <c r="K773" s="28" t="n">
        <v>0</v>
      </c>
      <c r="L773" s="25" t="inlineStr">
        <is>
          <t>CABERNET SAUVIGNON</t>
        </is>
      </c>
      <c r="M773" s="25" t="inlineStr">
        <is>
          <t>E &amp; J GALLO WINERY</t>
        </is>
      </c>
      <c r="N773" s="25" t="inlineStr">
        <is>
          <t>040012-GALLO WINES OF MISSISSIPPI</t>
        </is>
      </c>
      <c r="O773" s="25" t="n"/>
      <c r="P773" s="25" t="inlineStr">
        <is>
          <t>30085000011639</t>
        </is>
      </c>
      <c r="Q773" s="25" t="inlineStr">
        <is>
          <t>0085000011638</t>
        </is>
      </c>
      <c r="R773" s="78" t="n">
        <v>42279</v>
      </c>
    </row>
    <row r="774">
      <c r="A774" t="inlineStr">
        <is>
          <t>or item code =</t>
        </is>
      </c>
      <c r="B774" s="25" t="inlineStr">
        <is>
          <t>729090</t>
        </is>
      </c>
      <c r="C774" s="25" t="inlineStr">
        <is>
          <t>LUC BELAIRE BLEU EDITION LIMITED</t>
        </is>
      </c>
      <c r="D774" s="25" t="inlineStr">
        <is>
          <t>750ml</t>
        </is>
      </c>
      <c r="E774" s="27" t="n">
        <v>180</v>
      </c>
      <c r="F774" s="27" t="n">
        <v>31</v>
      </c>
      <c r="G774" s="27" t="n">
        <v>6</v>
      </c>
      <c r="H774" s="28" t="n">
        <v>156.87</v>
      </c>
      <c r="I774" s="28" t="n">
        <v>0</v>
      </c>
      <c r="J774" s="94" t="inlineStr">
        <is>
          <t>False</t>
        </is>
      </c>
      <c r="K774" s="28" t="n">
        <v>0</v>
      </c>
      <c r="L774" s="25" t="inlineStr">
        <is>
          <t>SPRKLNG, CHMPGNE, ETC.</t>
        </is>
      </c>
      <c r="M774" s="25" t="inlineStr">
        <is>
          <t>SOVEREIGN BRAND LLC</t>
        </is>
      </c>
      <c r="N774" s="25" t="inlineStr">
        <is>
          <t>040010-SOUTHERN GLAZERS WINE AND SPIRITS OF MISSISSIPPI LLC</t>
        </is>
      </c>
      <c r="O774" s="25" t="n"/>
      <c r="P774" s="25" t="n"/>
      <c r="Q774" s="25" t="inlineStr">
        <is>
          <t>813497007809</t>
        </is>
      </c>
      <c r="R774" s="78" t="n">
        <v>44682</v>
      </c>
    </row>
    <row r="775">
      <c r="A775" t="inlineStr">
        <is>
          <t>or item code =</t>
        </is>
      </c>
      <c r="B775" s="25" t="inlineStr">
        <is>
          <t>729080</t>
        </is>
      </c>
      <c r="C775" s="25" t="inlineStr">
        <is>
          <t>LUC BELAIRE BRUT GOLD</t>
        </is>
      </c>
      <c r="D775" s="25" t="inlineStr">
        <is>
          <t>750ml</t>
        </is>
      </c>
      <c r="E775" s="27" t="n">
        <v>267</v>
      </c>
      <c r="F775" s="27" t="n">
        <v>20</v>
      </c>
      <c r="G775" s="27" t="n">
        <v>6</v>
      </c>
      <c r="H775" s="28" t="n">
        <v>156.87</v>
      </c>
      <c r="I775" s="28" t="n">
        <v>0</v>
      </c>
      <c r="J775" s="94" t="inlineStr">
        <is>
          <t>False</t>
        </is>
      </c>
      <c r="K775" s="28" t="n">
        <v>0</v>
      </c>
      <c r="L775" s="25" t="inlineStr">
        <is>
          <t>SPRKLNG, CHMPGNE, ETC.</t>
        </is>
      </c>
      <c r="M775" s="25" t="inlineStr">
        <is>
          <t>SOVEREIGN BRAND LLC</t>
        </is>
      </c>
      <c r="N775" s="25" t="inlineStr">
        <is>
          <t>040010-SOUTHERN GLAZERS WINE AND SPIRITS OF MISSISSIPPI LLC</t>
        </is>
      </c>
      <c r="O775" s="25" t="n"/>
      <c r="P775" s="25" t="inlineStr">
        <is>
          <t>50813497007033</t>
        </is>
      </c>
      <c r="Q775" s="25" t="inlineStr">
        <is>
          <t>0813497007038</t>
        </is>
      </c>
      <c r="R775" s="78" t="n">
        <v>43082</v>
      </c>
    </row>
    <row r="776">
      <c r="A776" t="inlineStr">
        <is>
          <t>or item code =</t>
        </is>
      </c>
      <c r="B776" s="25" t="inlineStr">
        <is>
          <t>729072</t>
        </is>
      </c>
      <c r="C776" s="25" t="inlineStr">
        <is>
          <t>LUC BELAIRE LUXE</t>
        </is>
      </c>
      <c r="D776" s="25" t="inlineStr">
        <is>
          <t>750ml</t>
        </is>
      </c>
      <c r="E776" s="27" t="n">
        <v>323</v>
      </c>
      <c r="F776" s="27" t="n">
        <v>42</v>
      </c>
      <c r="G776" s="27" t="n">
        <v>6</v>
      </c>
      <c r="H776" s="28" t="n">
        <v>156.87</v>
      </c>
      <c r="I776" s="28" t="n">
        <v>0</v>
      </c>
      <c r="J776" s="94" t="inlineStr">
        <is>
          <t>False</t>
        </is>
      </c>
      <c r="K776" s="28" t="n">
        <v>0</v>
      </c>
      <c r="L776" s="25" t="inlineStr">
        <is>
          <t>SPRKLNG, CHMPGNE, ETC.</t>
        </is>
      </c>
      <c r="M776" s="25" t="inlineStr">
        <is>
          <t>SOVEREIGN BRAND LLC</t>
        </is>
      </c>
      <c r="N776" s="25" t="inlineStr">
        <is>
          <t>040010-SOUTHERN GLAZERS WINE AND SPIRITS OF MISSISSIPPI LLC</t>
        </is>
      </c>
      <c r="O776" s="25" t="n"/>
      <c r="P776" s="25" t="inlineStr">
        <is>
          <t>50813497501500</t>
        </is>
      </c>
      <c r="Q776" s="25" t="inlineStr">
        <is>
          <t>0813497005010</t>
        </is>
      </c>
      <c r="R776" s="78" t="n">
        <v>42993</v>
      </c>
    </row>
    <row r="777">
      <c r="A777" t="inlineStr">
        <is>
          <t>or item code =</t>
        </is>
      </c>
      <c r="B777" s="25" t="inlineStr">
        <is>
          <t>729082</t>
        </is>
      </c>
      <c r="C777" s="25" t="inlineStr">
        <is>
          <t>LUC BELAIRE LUXE ROSE</t>
        </is>
      </c>
      <c r="D777" s="25" t="inlineStr">
        <is>
          <t>750ml</t>
        </is>
      </c>
      <c r="E777" s="27" t="n">
        <v>285</v>
      </c>
      <c r="F777" s="27" t="n">
        <v>44</v>
      </c>
      <c r="G777" s="27" t="n">
        <v>6</v>
      </c>
      <c r="H777" s="28" t="n">
        <v>156.87</v>
      </c>
      <c r="I777" s="28" t="n">
        <v>0</v>
      </c>
      <c r="J777" s="94" t="inlineStr">
        <is>
          <t>False</t>
        </is>
      </c>
      <c r="K777" s="28" t="n">
        <v>0</v>
      </c>
      <c r="L777" s="25" t="inlineStr">
        <is>
          <t>SPRKLNG, CHMPGNE, ETC.</t>
        </is>
      </c>
      <c r="M777" s="25" t="inlineStr">
        <is>
          <t>SOVEREIGN BRAND LLC</t>
        </is>
      </c>
      <c r="N777" s="25" t="inlineStr">
        <is>
          <t>040010-SOUTHERN GLAZERS WINE AND SPIRITS OF MISSISSIPPI LLC</t>
        </is>
      </c>
      <c r="O777" s="25" t="n"/>
      <c r="P777" s="25" t="inlineStr">
        <is>
          <t>50813497004315</t>
        </is>
      </c>
      <c r="Q777" s="25" t="inlineStr">
        <is>
          <t>813497004310</t>
        </is>
      </c>
      <c r="R777" s="78" t="n">
        <v>43494</v>
      </c>
    </row>
    <row r="778">
      <c r="A778" t="inlineStr">
        <is>
          <t>or item code =</t>
        </is>
      </c>
      <c r="B778" s="25" t="inlineStr">
        <is>
          <t>729081</t>
        </is>
      </c>
      <c r="C778" s="25" t="inlineStr">
        <is>
          <t>LUC BELAIRE LUXE ROSE SPARKLING</t>
        </is>
      </c>
      <c r="D778" s="25" t="inlineStr">
        <is>
          <t>187ml</t>
        </is>
      </c>
      <c r="E778" s="27" t="n">
        <v>9</v>
      </c>
      <c r="F778" s="27" t="n">
        <v>13</v>
      </c>
      <c r="G778" s="27" t="n">
        <v>12</v>
      </c>
      <c r="H778" s="28" t="n">
        <v>100.85</v>
      </c>
      <c r="I778" s="28" t="n">
        <v>0</v>
      </c>
      <c r="J778" s="94" t="inlineStr">
        <is>
          <t>False</t>
        </is>
      </c>
      <c r="K778" s="28" t="n">
        <v>0</v>
      </c>
      <c r="L778" s="25" t="inlineStr">
        <is>
          <t>SPRKLNG, CHMPGNE, ETC.</t>
        </is>
      </c>
      <c r="M778" s="25" t="inlineStr">
        <is>
          <t>SOVEREIGN BRAND LLC</t>
        </is>
      </c>
      <c r="N778" s="25" t="inlineStr">
        <is>
          <t>040010-SOUTHERN GLAZERS WINE AND SPIRITS OF MISSISSIPPI LLC</t>
        </is>
      </c>
      <c r="O778" s="25" t="n"/>
      <c r="P778" s="25" t="inlineStr">
        <is>
          <t>50813497004292</t>
        </is>
      </c>
      <c r="Q778" s="25" t="inlineStr">
        <is>
          <t>813497004297</t>
        </is>
      </c>
      <c r="R778" s="78" t="n">
        <v>44348</v>
      </c>
    </row>
    <row r="779">
      <c r="A779" t="inlineStr">
        <is>
          <t>or item code =</t>
        </is>
      </c>
      <c r="B779" s="25" t="inlineStr">
        <is>
          <t>729077</t>
        </is>
      </c>
      <c r="C779" s="25" t="inlineStr">
        <is>
          <t>LUC BELAIRE RARE LUXE 187ML</t>
        </is>
      </c>
      <c r="D779" s="25" t="inlineStr">
        <is>
          <t>187ml</t>
        </is>
      </c>
      <c r="E779" s="27" t="n">
        <v>36</v>
      </c>
      <c r="F779" s="27" t="n">
        <v>16</v>
      </c>
      <c r="G779" s="27" t="n">
        <v>12</v>
      </c>
      <c r="H779" s="28" t="n">
        <v>100.85</v>
      </c>
      <c r="I779" s="28" t="n">
        <v>0</v>
      </c>
      <c r="J779" s="94" t="inlineStr">
        <is>
          <t>False</t>
        </is>
      </c>
      <c r="K779" s="28" t="n">
        <v>0</v>
      </c>
      <c r="L779" s="25" t="inlineStr">
        <is>
          <t>SPRKLNG, CHMPGNE, ETC.</t>
        </is>
      </c>
      <c r="M779" s="25" t="inlineStr">
        <is>
          <t>SOVEREIGN BRAND LLC</t>
        </is>
      </c>
      <c r="N779" s="25" t="inlineStr">
        <is>
          <t>040010-SOUTHERN GLAZERS WINE AND SPIRITS OF MISSISSIPPI LLC</t>
        </is>
      </c>
      <c r="O779" s="25" t="n"/>
      <c r="P779" s="25" t="inlineStr">
        <is>
          <t>50813497007156</t>
        </is>
      </c>
      <c r="Q779" s="25" t="inlineStr">
        <is>
          <t>813497007151</t>
        </is>
      </c>
      <c r="R779" s="78" t="n">
        <v>44652</v>
      </c>
    </row>
    <row r="780">
      <c r="A780" t="inlineStr">
        <is>
          <t>or item code =</t>
        </is>
      </c>
      <c r="B780" s="25" t="inlineStr">
        <is>
          <t>729021</t>
        </is>
      </c>
      <c r="C780" s="25" t="inlineStr">
        <is>
          <t>LUC BELAIRE ROSE</t>
        </is>
      </c>
      <c r="D780" s="25" t="inlineStr">
        <is>
          <t>187ml</t>
        </is>
      </c>
      <c r="E780" s="27" t="n">
        <v>40</v>
      </c>
      <c r="F780" s="27" t="n">
        <v>4</v>
      </c>
      <c r="G780" s="27" t="n">
        <v>12</v>
      </c>
      <c r="H780" s="28" t="n">
        <v>100.85</v>
      </c>
      <c r="I780" s="28" t="n">
        <v>0</v>
      </c>
      <c r="J780" s="94" t="inlineStr">
        <is>
          <t>False</t>
        </is>
      </c>
      <c r="K780" s="28" t="n">
        <v>0</v>
      </c>
      <c r="L780" s="25" t="inlineStr">
        <is>
          <t>SPRKLNG, CHMPGNE, ETC.</t>
        </is>
      </c>
      <c r="M780" s="25" t="inlineStr">
        <is>
          <t>SOVEREIGN BRAND LLC</t>
        </is>
      </c>
      <c r="N780" s="25" t="inlineStr">
        <is>
          <t>040010-SOUTHERN GLAZERS WINE AND SPIRITS OF MISSISSIPPI LLC</t>
        </is>
      </c>
      <c r="O780" s="25" t="n"/>
      <c r="P780" s="25" t="inlineStr">
        <is>
          <t>50813497007149</t>
        </is>
      </c>
      <c r="Q780" s="25" t="inlineStr">
        <is>
          <t>813497007144</t>
        </is>
      </c>
      <c r="R780" s="78" t="n">
        <v>43496</v>
      </c>
    </row>
    <row r="781">
      <c r="A781" t="inlineStr">
        <is>
          <t>or item code =</t>
        </is>
      </c>
      <c r="B781" s="25" t="inlineStr">
        <is>
          <t>729030</t>
        </is>
      </c>
      <c r="C781" s="25" t="inlineStr">
        <is>
          <t>LUC BELAIRE ROSE</t>
        </is>
      </c>
      <c r="D781" s="25" t="inlineStr">
        <is>
          <t>750ml</t>
        </is>
      </c>
      <c r="E781" s="27" t="n">
        <v>496</v>
      </c>
      <c r="F781" s="27" t="n">
        <v>42</v>
      </c>
      <c r="G781" s="27" t="n">
        <v>6</v>
      </c>
      <c r="H781" s="28" t="n">
        <v>156.1</v>
      </c>
      <c r="I781" s="28" t="n">
        <v>0</v>
      </c>
      <c r="J781" s="94" t="inlineStr">
        <is>
          <t>False</t>
        </is>
      </c>
      <c r="K781" s="28" t="n">
        <v>0</v>
      </c>
      <c r="L781" s="25" t="inlineStr">
        <is>
          <t>SPRKLNG, CHMPGNE, ETC.</t>
        </is>
      </c>
      <c r="M781" s="25" t="inlineStr">
        <is>
          <t>SOVEREIGN BRAND LLC</t>
        </is>
      </c>
      <c r="N781" s="25" t="inlineStr">
        <is>
          <t>040010-SOUTHERN GLAZERS WINE AND SPIRITS OF MISSISSIPPI LLC</t>
        </is>
      </c>
      <c r="O781" s="25" t="n"/>
      <c r="P781" s="25" t="inlineStr">
        <is>
          <t>50813497005909</t>
        </is>
      </c>
      <c r="Q781" s="25" t="inlineStr">
        <is>
          <t>0813497005904</t>
        </is>
      </c>
      <c r="R781" s="78" t="n">
        <v>42370</v>
      </c>
    </row>
    <row r="782">
      <c r="A782" t="inlineStr">
        <is>
          <t>or item code =</t>
        </is>
      </c>
      <c r="B782" s="25" t="inlineStr">
        <is>
          <t>88018</t>
        </is>
      </c>
      <c r="C782" s="25" t="inlineStr">
        <is>
          <t>LUNAZUL BLANCO TEQUILA</t>
        </is>
      </c>
      <c r="D782" s="25" t="inlineStr">
        <is>
          <t>750ml</t>
        </is>
      </c>
      <c r="E782" s="27" t="n">
        <v>263</v>
      </c>
      <c r="F782" s="27" t="n">
        <v>133</v>
      </c>
      <c r="G782" s="27" t="n">
        <v>12</v>
      </c>
      <c r="H782" s="28" t="n">
        <v>221.49</v>
      </c>
      <c r="I782" s="28" t="n">
        <v>0</v>
      </c>
      <c r="J782" s="94" t="inlineStr">
        <is>
          <t>False</t>
        </is>
      </c>
      <c r="K782" s="28" t="n">
        <v>0</v>
      </c>
      <c r="L782" s="25" t="inlineStr">
        <is>
          <t>TEQUILA</t>
        </is>
      </c>
      <c r="M782" s="25" t="inlineStr">
        <is>
          <t>HEAVEN HILL BRANDS</t>
        </is>
      </c>
      <c r="N782" s="25" t="inlineStr">
        <is>
          <t>040010-SOUTHERN GLAZERS WINE AND SPIRITS OF MISSISSIPPI LLC</t>
        </is>
      </c>
      <c r="O782" s="25" t="n"/>
      <c r="P782" s="25" t="inlineStr">
        <is>
          <t>10096749908032</t>
        </is>
      </c>
      <c r="Q782" s="25" t="inlineStr">
        <is>
          <t>0096749908035</t>
        </is>
      </c>
      <c r="R782" s="78" t="n">
        <v>42370</v>
      </c>
    </row>
    <row r="783">
      <c r="A783" t="inlineStr">
        <is>
          <t>or item code =</t>
        </is>
      </c>
      <c r="B783" s="25" t="inlineStr">
        <is>
          <t>89468</t>
        </is>
      </c>
      <c r="C783" s="25" t="inlineStr">
        <is>
          <t>LUNAZUL REPOSADO TEQUILA</t>
        </is>
      </c>
      <c r="D783" s="25" t="inlineStr">
        <is>
          <t>750ml</t>
        </is>
      </c>
      <c r="E783" s="27" t="n">
        <v>131</v>
      </c>
      <c r="F783" s="27" t="n">
        <v>84</v>
      </c>
      <c r="G783" s="27" t="n">
        <v>12</v>
      </c>
      <c r="H783" s="28" t="n">
        <v>221.49</v>
      </c>
      <c r="I783" s="28" t="n">
        <v>0</v>
      </c>
      <c r="J783" s="94" t="inlineStr">
        <is>
          <t>False</t>
        </is>
      </c>
      <c r="K783" s="28" t="n">
        <v>0</v>
      </c>
      <c r="L783" s="25" t="inlineStr">
        <is>
          <t>TEQUILA</t>
        </is>
      </c>
      <c r="M783" s="25" t="inlineStr">
        <is>
          <t>HEAVEN HILL BRANDS</t>
        </is>
      </c>
      <c r="N783" s="25" t="inlineStr">
        <is>
          <t>040010-SOUTHERN GLAZERS WINE AND SPIRITS OF MISSISSIPPI LLC</t>
        </is>
      </c>
      <c r="O783" s="25" t="n"/>
      <c r="P783" s="25" t="inlineStr">
        <is>
          <t>10096749908049</t>
        </is>
      </c>
      <c r="Q783" s="25" t="inlineStr">
        <is>
          <t>0096749908042</t>
        </is>
      </c>
      <c r="R783" s="78" t="n">
        <v>42370</v>
      </c>
    </row>
    <row r="784">
      <c r="A784" t="inlineStr">
        <is>
          <t>or item code =</t>
        </is>
      </c>
      <c r="B784" s="25" t="inlineStr">
        <is>
          <t>89470</t>
        </is>
      </c>
      <c r="C784" s="25" t="inlineStr">
        <is>
          <t>LUNAZUL REPOSADO TEQUILA</t>
        </is>
      </c>
      <c r="D784" s="25" t="inlineStr">
        <is>
          <t>1.75L</t>
        </is>
      </c>
      <c r="E784" s="27" t="n">
        <v>51</v>
      </c>
      <c r="F784" s="27" t="n">
        <v>25</v>
      </c>
      <c r="G784" s="27" t="n">
        <v>6</v>
      </c>
      <c r="H784" s="28" t="n">
        <v>179.95</v>
      </c>
      <c r="I784" s="28" t="n">
        <v>0</v>
      </c>
      <c r="J784" s="94" t="inlineStr">
        <is>
          <t>False</t>
        </is>
      </c>
      <c r="K784" s="28" t="n">
        <v>0</v>
      </c>
      <c r="L784" s="25" t="inlineStr">
        <is>
          <t>TEQUILA</t>
        </is>
      </c>
      <c r="M784" s="25" t="inlineStr">
        <is>
          <t>HEAVEN HILL BRANDS</t>
        </is>
      </c>
      <c r="N784" s="25" t="inlineStr">
        <is>
          <t>040010-SOUTHERN GLAZERS WINE AND SPIRITS OF MISSISSIPPI LLC</t>
        </is>
      </c>
      <c r="O784" s="25" t="n"/>
      <c r="P784" s="25" t="n"/>
      <c r="Q784" s="25" t="inlineStr">
        <is>
          <t>0096749908554</t>
        </is>
      </c>
      <c r="R784" s="78" t="n">
        <v>43857</v>
      </c>
    </row>
    <row r="785">
      <c r="A785" t="inlineStr">
        <is>
          <t>or item code =</t>
        </is>
      </c>
      <c r="B785" s="25" t="inlineStr">
        <is>
          <t>88979</t>
        </is>
      </c>
      <c r="C785" s="25" t="inlineStr">
        <is>
          <t>MAESTRO DOBEL 50 CRISTANLINO</t>
        </is>
      </c>
      <c r="D785" s="25" t="inlineStr">
        <is>
          <t>750ml</t>
        </is>
      </c>
      <c r="E785" s="27" t="n">
        <v>31</v>
      </c>
      <c r="F785" s="27" t="n">
        <v>2</v>
      </c>
      <c r="G785" s="27" t="n">
        <v>3</v>
      </c>
      <c r="H785" s="28" t="n">
        <v>337.95</v>
      </c>
      <c r="I785" s="28" t="n">
        <v>0</v>
      </c>
      <c r="J785" s="94" t="inlineStr">
        <is>
          <t>False</t>
        </is>
      </c>
      <c r="K785" s="28" t="n">
        <v>0</v>
      </c>
      <c r="L785" s="25" t="inlineStr">
        <is>
          <t>TEQUILA</t>
        </is>
      </c>
      <c r="M785" s="25" t="inlineStr">
        <is>
          <t>PROXIMO SPIRITS INC</t>
        </is>
      </c>
      <c r="N785" s="25" t="inlineStr">
        <is>
          <t>040002-RNDC-MAGNOLIA</t>
        </is>
      </c>
      <c r="O785" s="25" t="n"/>
      <c r="P785" s="25" t="inlineStr">
        <is>
          <t>50811538017591</t>
        </is>
      </c>
      <c r="Q785" s="25" t="inlineStr">
        <is>
          <t>811538017596</t>
        </is>
      </c>
      <c r="R785" s="78" t="n">
        <v>44409</v>
      </c>
    </row>
    <row r="786">
      <c r="A786" t="inlineStr">
        <is>
          <t>or item code =</t>
        </is>
      </c>
      <c r="B786" s="25" t="inlineStr">
        <is>
          <t>88818</t>
        </is>
      </c>
      <c r="C786" s="25" t="inlineStr">
        <is>
          <t>MAESTRO DOBEL ANEJO</t>
        </is>
      </c>
      <c r="D786" s="25" t="inlineStr">
        <is>
          <t>750ml</t>
        </is>
      </c>
      <c r="E786" s="27" t="n">
        <v>13</v>
      </c>
      <c r="F786" s="27" t="n">
        <v>5</v>
      </c>
      <c r="G786" s="27" t="n">
        <v>6</v>
      </c>
      <c r="H786" s="28" t="n">
        <v>290.73</v>
      </c>
      <c r="I786" s="28" t="n">
        <v>0</v>
      </c>
      <c r="J786" s="94" t="inlineStr">
        <is>
          <t>False</t>
        </is>
      </c>
      <c r="K786" s="28" t="n">
        <v>0</v>
      </c>
      <c r="L786" s="25" t="inlineStr">
        <is>
          <t>TEQUILA</t>
        </is>
      </c>
      <c r="M786" s="25" t="inlineStr">
        <is>
          <t>PROXIMO SPIRITS INC</t>
        </is>
      </c>
      <c r="N786" s="25" t="inlineStr">
        <is>
          <t>040002-RNDC-MAGNOLIA</t>
        </is>
      </c>
      <c r="O786" s="25" t="n"/>
      <c r="P786" s="25" t="inlineStr">
        <is>
          <t>10811538012291</t>
        </is>
      </c>
      <c r="Q786" s="25" t="inlineStr">
        <is>
          <t>811538012294</t>
        </is>
      </c>
      <c r="R786" s="78" t="n">
        <v>44593</v>
      </c>
    </row>
    <row r="787">
      <c r="A787" t="inlineStr">
        <is>
          <t>or item code =</t>
        </is>
      </c>
      <c r="B787" s="25" t="inlineStr">
        <is>
          <t>89488</t>
        </is>
      </c>
      <c r="C787" s="25" t="inlineStr">
        <is>
          <t>MAESTRO DOBEL DIAMOND REPOSADO</t>
        </is>
      </c>
      <c r="D787" s="25" t="inlineStr">
        <is>
          <t>750ml</t>
        </is>
      </c>
      <c r="E787" s="27" t="n">
        <v>11</v>
      </c>
      <c r="F787" s="27" t="n">
        <v>24</v>
      </c>
      <c r="G787" s="27" t="n">
        <v>6</v>
      </c>
      <c r="H787" s="28" t="n">
        <v>244.57</v>
      </c>
      <c r="I787" s="28" t="n">
        <v>0</v>
      </c>
      <c r="J787" s="94" t="inlineStr">
        <is>
          <t>False</t>
        </is>
      </c>
      <c r="K787" s="28" t="n">
        <v>0</v>
      </c>
      <c r="L787" s="25" t="inlineStr">
        <is>
          <t>TEQUILA</t>
        </is>
      </c>
      <c r="M787" s="25" t="inlineStr">
        <is>
          <t>PROXIMO SPIRITS INC</t>
        </is>
      </c>
      <c r="N787" s="25" t="inlineStr">
        <is>
          <t>040002-RNDC-MAGNOLIA</t>
        </is>
      </c>
      <c r="O787" s="25" t="n"/>
      <c r="P787" s="25" t="inlineStr">
        <is>
          <t>10811538012031</t>
        </is>
      </c>
      <c r="Q787" s="25" t="inlineStr">
        <is>
          <t>0811538012034</t>
        </is>
      </c>
      <c r="R787" s="78" t="n">
        <v>42370</v>
      </c>
    </row>
    <row r="788">
      <c r="A788" t="inlineStr">
        <is>
          <t>or item code =</t>
        </is>
      </c>
      <c r="B788" s="25" t="inlineStr">
        <is>
          <t>19476</t>
        </is>
      </c>
      <c r="C788" s="25" t="inlineStr">
        <is>
          <t>MAKER'S MARK</t>
        </is>
      </c>
      <c r="D788" s="25" t="inlineStr">
        <is>
          <t>750ml</t>
        </is>
      </c>
      <c r="E788" s="27" t="n">
        <v>182</v>
      </c>
      <c r="F788" s="27" t="n">
        <v>180</v>
      </c>
      <c r="G788" s="27" t="n">
        <v>12</v>
      </c>
      <c r="H788" s="28" t="n">
        <v>276.82</v>
      </c>
      <c r="I788" s="28" t="n">
        <v>0</v>
      </c>
      <c r="J788" s="94" t="inlineStr">
        <is>
          <t>False</t>
        </is>
      </c>
      <c r="K788" s="28" t="n">
        <v>0</v>
      </c>
      <c r="L788" s="25" t="inlineStr">
        <is>
          <t>WHISKEY - STR BOURBON</t>
        </is>
      </c>
      <c r="M788" s="25" t="inlineStr">
        <is>
          <t>JIM BEAM BRANDS CO</t>
        </is>
      </c>
      <c r="N788" s="25" t="inlineStr">
        <is>
          <t>040010-SOUTHERN GLAZERS WINE AND SPIRITS OF MISSISSIPPI LLC</t>
        </is>
      </c>
      <c r="O788" s="25" t="n"/>
      <c r="P788" s="25" t="inlineStr">
        <is>
          <t>10085246139438</t>
        </is>
      </c>
      <c r="Q788" s="25" t="inlineStr">
        <is>
          <t>0085246139431</t>
        </is>
      </c>
      <c r="R788" s="78" t="n">
        <v>44501</v>
      </c>
    </row>
    <row r="789">
      <c r="A789" t="inlineStr">
        <is>
          <t>or item code =</t>
        </is>
      </c>
      <c r="B789" s="25" t="inlineStr">
        <is>
          <t>19478</t>
        </is>
      </c>
      <c r="C789" s="25" t="inlineStr">
        <is>
          <t>MAKER'S MARK</t>
        </is>
      </c>
      <c r="D789" s="25" t="inlineStr">
        <is>
          <t>1.75L</t>
        </is>
      </c>
      <c r="E789" s="27" t="n">
        <v>181</v>
      </c>
      <c r="F789" s="27" t="n">
        <v>206</v>
      </c>
      <c r="G789" s="27" t="n">
        <v>6</v>
      </c>
      <c r="H789" s="28" t="n">
        <v>272.25</v>
      </c>
      <c r="I789" s="28" t="n">
        <v>0</v>
      </c>
      <c r="J789" s="94" t="inlineStr">
        <is>
          <t>False</t>
        </is>
      </c>
      <c r="K789" s="28" t="n">
        <v>0</v>
      </c>
      <c r="L789" s="25" t="inlineStr">
        <is>
          <t>WHISKEY - STR BOURBON</t>
        </is>
      </c>
      <c r="M789" s="25" t="inlineStr">
        <is>
          <t>JIM BEAM BRANDS CO</t>
        </is>
      </c>
      <c r="N789" s="25" t="inlineStr">
        <is>
          <t>040010-SOUTHERN GLAZERS WINE AND SPIRITS OF MISSISSIPPI LLC</t>
        </is>
      </c>
      <c r="O789" s="25" t="n"/>
      <c r="P789" s="25" t="inlineStr">
        <is>
          <t>10085246139414</t>
        </is>
      </c>
      <c r="Q789" s="25" t="inlineStr">
        <is>
          <t>085246139417</t>
        </is>
      </c>
      <c r="R789" s="78" t="n">
        <v>44501</v>
      </c>
    </row>
    <row r="790">
      <c r="A790" t="inlineStr">
        <is>
          <t>or item code =</t>
        </is>
      </c>
      <c r="B790" s="25" t="inlineStr">
        <is>
          <t>19477</t>
        </is>
      </c>
      <c r="C790" s="25" t="inlineStr">
        <is>
          <t>MAKER'S MARK</t>
        </is>
      </c>
      <c r="D790" s="25" t="inlineStr">
        <is>
          <t>1L</t>
        </is>
      </c>
      <c r="E790" s="27" t="n">
        <v>161</v>
      </c>
      <c r="F790" s="27" t="n">
        <v>135</v>
      </c>
      <c r="G790" s="27" t="n">
        <v>12</v>
      </c>
      <c r="H790" s="28" t="n">
        <v>341.45</v>
      </c>
      <c r="I790" s="28" t="n">
        <v>0</v>
      </c>
      <c r="J790" s="94" t="inlineStr">
        <is>
          <t>False</t>
        </is>
      </c>
      <c r="K790" s="28" t="n">
        <v>0</v>
      </c>
      <c r="L790" s="25" t="inlineStr">
        <is>
          <t>WHISKEY - STR BOURBON</t>
        </is>
      </c>
      <c r="M790" s="25" t="inlineStr">
        <is>
          <t>JIM BEAM BRANDS CO</t>
        </is>
      </c>
      <c r="N790" s="25" t="inlineStr">
        <is>
          <t>040010-SOUTHERN GLAZERS WINE AND SPIRITS OF MISSISSIPPI LLC</t>
        </is>
      </c>
      <c r="O790" s="25" t="n"/>
      <c r="P790" s="25" t="inlineStr">
        <is>
          <t>10085246139421</t>
        </is>
      </c>
      <c r="Q790" s="25" t="inlineStr">
        <is>
          <t>0085246139424</t>
        </is>
      </c>
      <c r="R790" s="78" t="n">
        <v>44501</v>
      </c>
    </row>
    <row r="791">
      <c r="A791" t="inlineStr">
        <is>
          <t>or item code =</t>
        </is>
      </c>
      <c r="B791" s="25" t="inlineStr">
        <is>
          <t>19485</t>
        </is>
      </c>
      <c r="C791" s="25" t="inlineStr">
        <is>
          <t>MAKER'S MARK 46</t>
        </is>
      </c>
      <c r="D791" s="25" t="inlineStr">
        <is>
          <t>375ml</t>
        </is>
      </c>
      <c r="E791" s="27" t="n">
        <v>49</v>
      </c>
      <c r="F791" s="27" t="n">
        <v>18</v>
      </c>
      <c r="G791" s="27" t="n">
        <v>12</v>
      </c>
      <c r="H791" s="28" t="n">
        <v>197.06</v>
      </c>
      <c r="I791" s="28" t="n">
        <v>0</v>
      </c>
      <c r="J791" s="94" t="inlineStr">
        <is>
          <t>False</t>
        </is>
      </c>
      <c r="K791" s="28" t="n">
        <v>0</v>
      </c>
      <c r="L791" s="25" t="inlineStr">
        <is>
          <t>WHISKEY - STR BOURBON</t>
        </is>
      </c>
      <c r="M791" s="25" t="inlineStr">
        <is>
          <t>JIM BEAM BRANDS CO</t>
        </is>
      </c>
      <c r="N791" s="25" t="inlineStr">
        <is>
          <t>040010-SOUTHERN GLAZERS WINE AND SPIRITS OF MISSISSIPPI LLC</t>
        </is>
      </c>
      <c r="O791" s="25" t="n"/>
      <c r="P791" s="25" t="inlineStr">
        <is>
          <t>10085246500320</t>
        </is>
      </c>
      <c r="Q791" s="25" t="inlineStr">
        <is>
          <t>0085246500323</t>
        </is>
      </c>
      <c r="R791" s="78" t="n">
        <v>42278</v>
      </c>
    </row>
    <row r="792">
      <c r="A792" t="inlineStr">
        <is>
          <t>or item code =</t>
        </is>
      </c>
      <c r="B792" s="25" t="inlineStr">
        <is>
          <t>19486</t>
        </is>
      </c>
      <c r="C792" s="25" t="inlineStr">
        <is>
          <t>MAKER'S MARK 46</t>
        </is>
      </c>
      <c r="D792" s="25" t="inlineStr">
        <is>
          <t>750ml</t>
        </is>
      </c>
      <c r="E792" s="27" t="n">
        <v>191</v>
      </c>
      <c r="F792" s="27" t="n">
        <v>157</v>
      </c>
      <c r="G792" s="27" t="n">
        <v>6</v>
      </c>
      <c r="H792" s="28" t="n">
        <v>170.72</v>
      </c>
      <c r="I792" s="28" t="n">
        <v>13.84</v>
      </c>
      <c r="J792" s="94" t="inlineStr">
        <is>
          <t>False</t>
        </is>
      </c>
      <c r="K792" s="28" t="n">
        <v>0</v>
      </c>
      <c r="L792" s="25" t="inlineStr">
        <is>
          <t>WHISKEY - STR BOURBON</t>
        </is>
      </c>
      <c r="M792" s="25" t="inlineStr">
        <is>
          <t>JIM BEAM BRANDS CO</t>
        </is>
      </c>
      <c r="N792" s="25" t="inlineStr">
        <is>
          <t>040010-SOUTHERN GLAZERS WINE AND SPIRITS OF MISSISSIPPI LLC</t>
        </is>
      </c>
      <c r="O792" s="25" t="n"/>
      <c r="P792" s="25" t="inlineStr">
        <is>
          <t>10085246500108</t>
        </is>
      </c>
      <c r="Q792" s="25" t="inlineStr">
        <is>
          <t>0085246500101</t>
        </is>
      </c>
      <c r="R792" s="78" t="n">
        <v>42370</v>
      </c>
    </row>
    <row r="793">
      <c r="A793" t="inlineStr">
        <is>
          <t>or item code =</t>
        </is>
      </c>
      <c r="B793" s="25" t="inlineStr">
        <is>
          <t>19481</t>
        </is>
      </c>
      <c r="C793" s="25" t="inlineStr">
        <is>
          <t>MAKER'S MARK CASK STRENGTH</t>
        </is>
      </c>
      <c r="D793" s="25" t="inlineStr">
        <is>
          <t>750ml</t>
        </is>
      </c>
      <c r="E793" s="27" t="n">
        <v>95</v>
      </c>
      <c r="F793" s="27" t="n">
        <v>20</v>
      </c>
      <c r="G793" s="27" t="n">
        <v>6</v>
      </c>
      <c r="H793" s="28" t="n">
        <v>208.93</v>
      </c>
      <c r="I793" s="28" t="n">
        <v>0</v>
      </c>
      <c r="J793" s="94" t="inlineStr">
        <is>
          <t>False</t>
        </is>
      </c>
      <c r="K793" s="28" t="n">
        <v>0</v>
      </c>
      <c r="L793" s="25" t="inlineStr">
        <is>
          <t>WHISKEY - STR BOURBON</t>
        </is>
      </c>
      <c r="M793" s="25" t="inlineStr">
        <is>
          <t>JIM BEAM BRANDS CO</t>
        </is>
      </c>
      <c r="N793" s="25" t="inlineStr">
        <is>
          <t>040010-SOUTHERN GLAZERS WINE AND SPIRITS OF MISSISSIPPI LLC</t>
        </is>
      </c>
      <c r="O793" s="25" t="n"/>
      <c r="P793" s="25" t="inlineStr">
        <is>
          <t>10085246501228</t>
        </is>
      </c>
      <c r="Q793" s="25" t="inlineStr">
        <is>
          <t>085246500354</t>
        </is>
      </c>
      <c r="R793" s="78" t="n">
        <v>44931</v>
      </c>
    </row>
    <row r="794">
      <c r="A794" t="inlineStr">
        <is>
          <t>or item code =</t>
        </is>
      </c>
      <c r="B794" s="25" t="inlineStr">
        <is>
          <t>19475</t>
        </is>
      </c>
      <c r="C794" s="25" t="inlineStr">
        <is>
          <t>MAKER'S MARK REPLICA</t>
        </is>
      </c>
      <c r="D794" s="25" t="inlineStr">
        <is>
          <t>375ml</t>
        </is>
      </c>
      <c r="E794" s="27" t="n">
        <v>189</v>
      </c>
      <c r="F794" s="27" t="n">
        <v>194</v>
      </c>
      <c r="G794" s="27" t="n">
        <v>12</v>
      </c>
      <c r="H794" s="28" t="n">
        <v>132.76</v>
      </c>
      <c r="I794" s="28" t="n">
        <v>17.15</v>
      </c>
      <c r="J794" s="94" t="inlineStr">
        <is>
          <t>False</t>
        </is>
      </c>
      <c r="K794" s="28" t="n">
        <v>0</v>
      </c>
      <c r="L794" s="25" t="inlineStr">
        <is>
          <t>WHISKEY - STR BOURBON</t>
        </is>
      </c>
      <c r="M794" s="25" t="inlineStr">
        <is>
          <t>JIM BEAM BRANDS CO</t>
        </is>
      </c>
      <c r="N794" s="25" t="inlineStr">
        <is>
          <t>040010-SOUTHERN GLAZERS WINE AND SPIRITS OF MISSISSIPPI LLC</t>
        </is>
      </c>
      <c r="O794" s="25" t="n"/>
      <c r="P794" s="25" t="inlineStr">
        <is>
          <t>10085246185008</t>
        </is>
      </c>
      <c r="Q794" s="25" t="inlineStr">
        <is>
          <t>0085246185001</t>
        </is>
      </c>
      <c r="R794" s="78" t="n">
        <v>42278</v>
      </c>
    </row>
    <row r="795">
      <c r="A795" t="inlineStr">
        <is>
          <t>or item code =</t>
        </is>
      </c>
      <c r="B795" s="25" t="inlineStr">
        <is>
          <t>42687</t>
        </is>
      </c>
      <c r="C795" s="25" t="inlineStr">
        <is>
          <t>MALIBU BLACK COCONUT RUM</t>
        </is>
      </c>
      <c r="D795" s="25" t="inlineStr">
        <is>
          <t>750ml</t>
        </is>
      </c>
      <c r="E795" s="27" t="n">
        <v>0</v>
      </c>
      <c r="F795" s="27" t="n">
        <v>24</v>
      </c>
      <c r="G795" s="27" t="n">
        <v>12</v>
      </c>
      <c r="H795" s="28" t="n">
        <v>166.19</v>
      </c>
      <c r="I795" s="28" t="n">
        <v>0</v>
      </c>
      <c r="J795" s="94" t="inlineStr">
        <is>
          <t>False</t>
        </is>
      </c>
      <c r="K795" s="28" t="n">
        <v>0</v>
      </c>
      <c r="L795" s="25" t="inlineStr">
        <is>
          <t>RUM</t>
        </is>
      </c>
      <c r="M795" s="25" t="inlineStr">
        <is>
          <t>PERNOD RICARD USA LLC</t>
        </is>
      </c>
      <c r="N795" s="25" t="inlineStr">
        <is>
          <t>040010-SOUTHERN GLAZERS WINE AND SPIRITS OF MISSISSIPPI LLC</t>
        </is>
      </c>
      <c r="O795" s="25" t="n"/>
      <c r="P795" s="25" t="inlineStr">
        <is>
          <t>10089540520107</t>
        </is>
      </c>
      <c r="Q795" s="25" t="inlineStr">
        <is>
          <t>0089540520100</t>
        </is>
      </c>
      <c r="R795" s="78" t="n">
        <v>42278</v>
      </c>
    </row>
    <row r="796">
      <c r="A796" t="inlineStr">
        <is>
          <t>or item code =</t>
        </is>
      </c>
      <c r="B796" s="25" t="inlineStr">
        <is>
          <t>42699</t>
        </is>
      </c>
      <c r="C796" s="25" t="inlineStr">
        <is>
          <t>MALIBU MANGO RUM</t>
        </is>
      </c>
      <c r="D796" s="25" t="inlineStr">
        <is>
          <t>750ml</t>
        </is>
      </c>
      <c r="E796" s="27" t="n">
        <v>86</v>
      </c>
      <c r="F796" s="27" t="n">
        <v>22</v>
      </c>
      <c r="G796" s="27" t="n">
        <v>12</v>
      </c>
      <c r="H796" s="28" t="n">
        <v>166.19</v>
      </c>
      <c r="I796" s="28" t="n">
        <v>0</v>
      </c>
      <c r="J796" s="94" t="inlineStr">
        <is>
          <t>False</t>
        </is>
      </c>
      <c r="K796" s="28" t="n">
        <v>0</v>
      </c>
      <c r="L796" s="25" t="inlineStr">
        <is>
          <t>RUM</t>
        </is>
      </c>
      <c r="M796" s="25" t="inlineStr">
        <is>
          <t>PERNOD RICARD USA LLC</t>
        </is>
      </c>
      <c r="N796" s="25" t="inlineStr">
        <is>
          <t>040010-SOUTHERN GLAZERS WINE AND SPIRITS OF MISSISSIPPI LLC</t>
        </is>
      </c>
      <c r="O796" s="25" t="n"/>
      <c r="P796" s="25" t="inlineStr">
        <is>
          <t>10089540463084</t>
        </is>
      </c>
      <c r="Q796" s="25" t="inlineStr">
        <is>
          <t>0089540463087</t>
        </is>
      </c>
      <c r="R796" s="78" t="n">
        <v>42278</v>
      </c>
    </row>
    <row r="797">
      <c r="A797" t="inlineStr">
        <is>
          <t>or item code =</t>
        </is>
      </c>
      <c r="B797" s="25" t="inlineStr">
        <is>
          <t>42703</t>
        </is>
      </c>
      <c r="C797" s="25" t="inlineStr">
        <is>
          <t>MALIBU PINEAPPLE RUM</t>
        </is>
      </c>
      <c r="D797" s="25" t="inlineStr">
        <is>
          <t>750ml</t>
        </is>
      </c>
      <c r="E797" s="27" t="n">
        <v>69</v>
      </c>
      <c r="F797" s="27" t="n">
        <v>85</v>
      </c>
      <c r="G797" s="27" t="n">
        <v>12</v>
      </c>
      <c r="H797" s="28" t="n">
        <v>166.19</v>
      </c>
      <c r="I797" s="28" t="n">
        <v>0</v>
      </c>
      <c r="J797" s="94" t="inlineStr">
        <is>
          <t>False</t>
        </is>
      </c>
      <c r="K797" s="28" t="n">
        <v>0</v>
      </c>
      <c r="L797" s="25" t="inlineStr">
        <is>
          <t>RUM</t>
        </is>
      </c>
      <c r="M797" s="25" t="inlineStr">
        <is>
          <t>PERNOD RICARD USA LLC</t>
        </is>
      </c>
      <c r="N797" s="25" t="inlineStr">
        <is>
          <t>040010-SOUTHERN GLAZERS WINE AND SPIRITS OF MISSISSIPPI LLC</t>
        </is>
      </c>
      <c r="O797" s="25" t="n"/>
      <c r="P797" s="25" t="inlineStr">
        <is>
          <t>10089540463138</t>
        </is>
      </c>
      <c r="Q797" s="25" t="inlineStr">
        <is>
          <t>0089540463131</t>
        </is>
      </c>
      <c r="R797" s="78" t="n">
        <v>42278</v>
      </c>
    </row>
    <row r="798">
      <c r="A798" t="inlineStr">
        <is>
          <t>or item code =</t>
        </is>
      </c>
      <c r="B798" s="25" t="inlineStr">
        <is>
          <t>42716</t>
        </is>
      </c>
      <c r="C798" s="25" t="inlineStr">
        <is>
          <t>MALIBU RUM</t>
        </is>
      </c>
      <c r="D798" s="25" t="inlineStr">
        <is>
          <t>750ml</t>
        </is>
      </c>
      <c r="E798" s="27" t="n">
        <v>924</v>
      </c>
      <c r="F798" s="27" t="n">
        <v>62</v>
      </c>
      <c r="G798" s="27" t="n">
        <v>12</v>
      </c>
      <c r="H798" s="28" t="n">
        <v>166.19</v>
      </c>
      <c r="I798" s="28" t="n">
        <v>0</v>
      </c>
      <c r="J798" s="94" t="inlineStr">
        <is>
          <t>False</t>
        </is>
      </c>
      <c r="K798" s="28" t="n">
        <v>0</v>
      </c>
      <c r="L798" s="25" t="inlineStr">
        <is>
          <t>RUM</t>
        </is>
      </c>
      <c r="M798" s="25" t="inlineStr">
        <is>
          <t>PERNOD RICARD USA LLC</t>
        </is>
      </c>
      <c r="N798" s="25" t="inlineStr">
        <is>
          <t>040010-SOUTHERN GLAZERS WINE AND SPIRITS OF MISSISSIPPI LLC</t>
        </is>
      </c>
      <c r="O798" s="25" t="n"/>
      <c r="P798" s="25" t="inlineStr">
        <is>
          <t>10089540448999</t>
        </is>
      </c>
      <c r="Q798" s="25" t="inlineStr">
        <is>
          <t>0089540448992</t>
        </is>
      </c>
      <c r="R798" s="78" t="n">
        <v>42278</v>
      </c>
    </row>
    <row r="799">
      <c r="A799" t="inlineStr">
        <is>
          <t>or item code =</t>
        </is>
      </c>
      <c r="B799" s="25" t="inlineStr">
        <is>
          <t>42718</t>
        </is>
      </c>
      <c r="C799" s="25" t="inlineStr">
        <is>
          <t>MALIBU RUM</t>
        </is>
      </c>
      <c r="D799" s="25" t="inlineStr">
        <is>
          <t>1.75L</t>
        </is>
      </c>
      <c r="E799" s="27" t="n">
        <v>622</v>
      </c>
      <c r="F799" s="27" t="n">
        <v>150</v>
      </c>
      <c r="G799" s="27" t="n">
        <v>6</v>
      </c>
      <c r="H799" s="28" t="n">
        <v>157.08</v>
      </c>
      <c r="I799" s="28" t="n">
        <v>0</v>
      </c>
      <c r="J799" s="94" t="inlineStr">
        <is>
          <t>False</t>
        </is>
      </c>
      <c r="K799" s="28" t="n">
        <v>0</v>
      </c>
      <c r="L799" s="25" t="inlineStr">
        <is>
          <t>RUM</t>
        </is>
      </c>
      <c r="M799" s="25" t="inlineStr">
        <is>
          <t>PERNOD RICARD USA LLC</t>
        </is>
      </c>
      <c r="N799" s="25" t="inlineStr">
        <is>
          <t>040010-SOUTHERN GLAZERS WINE AND SPIRITS OF MISSISSIPPI LLC</t>
        </is>
      </c>
      <c r="O799" s="25" t="n"/>
      <c r="P799" s="25" t="inlineStr">
        <is>
          <t>10089540449323</t>
        </is>
      </c>
      <c r="Q799" s="25" t="inlineStr">
        <is>
          <t>0089540449326</t>
        </is>
      </c>
      <c r="R799" s="78" t="n">
        <v>42370</v>
      </c>
    </row>
    <row r="800">
      <c r="A800" t="inlineStr">
        <is>
          <t>or item code =</t>
        </is>
      </c>
      <c r="B800" s="25" t="inlineStr">
        <is>
          <t>42712</t>
        </is>
      </c>
      <c r="C800" s="25" t="inlineStr">
        <is>
          <t>MALIBU RUM</t>
        </is>
      </c>
      <c r="D800" s="25" t="inlineStr">
        <is>
          <t>50ml</t>
        </is>
      </c>
      <c r="E800" s="27" t="n">
        <v>0</v>
      </c>
      <c r="F800" s="27" t="n">
        <v>96</v>
      </c>
      <c r="G800" s="27" t="n">
        <v>120</v>
      </c>
      <c r="H800" s="28" t="n">
        <v>121.37</v>
      </c>
      <c r="I800" s="28" t="n">
        <v>0</v>
      </c>
      <c r="J800" s="94" t="inlineStr">
        <is>
          <t>False</t>
        </is>
      </c>
      <c r="K800" s="28" t="n">
        <v>0</v>
      </c>
      <c r="L800" s="25" t="inlineStr">
        <is>
          <t>RUM</t>
        </is>
      </c>
      <c r="M800" s="25" t="inlineStr">
        <is>
          <t>PERNOD RICARD USA LLC</t>
        </is>
      </c>
      <c r="N800" s="25" t="inlineStr">
        <is>
          <t>040010-SOUTHERN GLAZERS WINE AND SPIRITS OF MISSISSIPPI LLC</t>
        </is>
      </c>
      <c r="O800" s="25" t="n"/>
      <c r="P800" s="25" t="inlineStr">
        <is>
          <t>10089540498680</t>
        </is>
      </c>
      <c r="Q800" s="25" t="inlineStr">
        <is>
          <t>089540498683</t>
        </is>
      </c>
      <c r="R800" s="78" t="n">
        <v>42370</v>
      </c>
    </row>
    <row r="801">
      <c r="A801" t="inlineStr">
        <is>
          <t>or item code =</t>
        </is>
      </c>
      <c r="B801" s="25" t="inlineStr">
        <is>
          <t>42714</t>
        </is>
      </c>
      <c r="C801" s="25" t="inlineStr">
        <is>
          <t>MALIBU RUM</t>
        </is>
      </c>
      <c r="D801" s="25" t="inlineStr">
        <is>
          <t>375ml</t>
        </is>
      </c>
      <c r="E801" s="27" t="n">
        <v>319</v>
      </c>
      <c r="F801" s="27" t="n">
        <v>32</v>
      </c>
      <c r="G801" s="27" t="n">
        <v>24</v>
      </c>
      <c r="H801" s="28" t="n">
        <v>171.39</v>
      </c>
      <c r="I801" s="28" t="n">
        <v>0</v>
      </c>
      <c r="J801" s="94" t="inlineStr">
        <is>
          <t>False</t>
        </is>
      </c>
      <c r="K801" s="28" t="n">
        <v>0</v>
      </c>
      <c r="L801" s="25" t="inlineStr">
        <is>
          <t>RUM</t>
        </is>
      </c>
      <c r="M801" s="25" t="inlineStr">
        <is>
          <t>PERNOD RICARD USA LLC</t>
        </is>
      </c>
      <c r="N801" s="25" t="inlineStr">
        <is>
          <t>040010-SOUTHERN GLAZERS WINE AND SPIRITS OF MISSISSIPPI LLC</t>
        </is>
      </c>
      <c r="O801" s="25" t="n"/>
      <c r="P801" s="25" t="inlineStr">
        <is>
          <t>10089540449033</t>
        </is>
      </c>
      <c r="Q801" s="25" t="inlineStr">
        <is>
          <t>0089540449036</t>
        </is>
      </c>
      <c r="R801" s="78" t="n">
        <v>42370</v>
      </c>
    </row>
    <row r="802">
      <c r="A802" t="inlineStr">
        <is>
          <t>or item code =</t>
        </is>
      </c>
      <c r="B802" s="25" t="inlineStr">
        <is>
          <t>43902</t>
        </is>
      </c>
      <c r="C802" s="25" t="inlineStr">
        <is>
          <t>MALIBU STRAWBERRY</t>
        </is>
      </c>
      <c r="D802" s="25" t="inlineStr">
        <is>
          <t>750ml</t>
        </is>
      </c>
      <c r="E802" s="27" t="n">
        <v>0</v>
      </c>
      <c r="F802" s="27" t="n">
        <v>20</v>
      </c>
      <c r="G802" s="27" t="n">
        <v>12</v>
      </c>
      <c r="H802" s="28" t="n">
        <v>166.19</v>
      </c>
      <c r="I802" s="28" t="n">
        <v>0</v>
      </c>
      <c r="J802" s="94" t="inlineStr">
        <is>
          <t>False</t>
        </is>
      </c>
      <c r="K802" s="28" t="n">
        <v>0</v>
      </c>
      <c r="L802" s="25" t="inlineStr">
        <is>
          <t>RUM</t>
        </is>
      </c>
      <c r="M802" s="25" t="inlineStr">
        <is>
          <t>PERNOD RICARD USA LLC</t>
        </is>
      </c>
      <c r="N802" s="25" t="inlineStr">
        <is>
          <t>040010-SOUTHERN GLAZERS WINE AND SPIRITS OF MISSISSIPPI LLC</t>
        </is>
      </c>
      <c r="O802" s="25" t="n"/>
      <c r="P802" s="25" t="inlineStr">
        <is>
          <t>10089540540204</t>
        </is>
      </c>
      <c r="Q802" s="25" t="inlineStr">
        <is>
          <t>089540540108</t>
        </is>
      </c>
      <c r="R802" s="78" t="n">
        <v>44136</v>
      </c>
    </row>
    <row r="803">
      <c r="A803" t="inlineStr">
        <is>
          <t>or item code =</t>
        </is>
      </c>
      <c r="B803" s="25" t="inlineStr">
        <is>
          <t>43860</t>
        </is>
      </c>
      <c r="C803" s="25" t="inlineStr">
        <is>
          <t>MALIBU WATERMELON</t>
        </is>
      </c>
      <c r="D803" s="25" t="inlineStr">
        <is>
          <t>750ml</t>
        </is>
      </c>
      <c r="E803" s="27" t="n">
        <v>31</v>
      </c>
      <c r="F803" s="27" t="n">
        <v>20</v>
      </c>
      <c r="G803" s="27" t="n">
        <v>12</v>
      </c>
      <c r="H803" s="28" t="n">
        <v>166.19</v>
      </c>
      <c r="I803" s="28" t="n">
        <v>0</v>
      </c>
      <c r="J803" s="94" t="inlineStr">
        <is>
          <t>False</t>
        </is>
      </c>
      <c r="K803" s="28" t="n">
        <v>0</v>
      </c>
      <c r="L803" s="25" t="inlineStr">
        <is>
          <t>RUM</t>
        </is>
      </c>
      <c r="M803" s="25" t="inlineStr">
        <is>
          <t>PERNOD RICARD USA LLC</t>
        </is>
      </c>
      <c r="N803" s="25" t="inlineStr">
        <is>
          <t>040010-SOUTHERN GLAZERS WINE AND SPIRITS OF MISSISSIPPI LLC</t>
        </is>
      </c>
      <c r="O803" s="25" t="n"/>
      <c r="P803" s="25" t="inlineStr">
        <is>
          <t>10089540535552</t>
        </is>
      </c>
      <c r="Q803" s="25" t="inlineStr">
        <is>
          <t>0895405355555</t>
        </is>
      </c>
      <c r="R803" s="78" t="n">
        <v>44593</v>
      </c>
    </row>
    <row r="804">
      <c r="A804" t="inlineStr">
        <is>
          <t>or item code =</t>
        </is>
      </c>
      <c r="B804" s="25" t="inlineStr">
        <is>
          <t>802875</t>
        </is>
      </c>
      <c r="C804" s="25" t="inlineStr">
        <is>
          <t>MANISCHEWITZ BLACKBERRY</t>
        </is>
      </c>
      <c r="D804" s="25" t="inlineStr">
        <is>
          <t>1.5L</t>
        </is>
      </c>
      <c r="E804" s="27" t="n">
        <v>63</v>
      </c>
      <c r="F804" s="27" t="n">
        <v>19</v>
      </c>
      <c r="G804" s="27" t="n">
        <v>6</v>
      </c>
      <c r="H804" s="28" t="n">
        <v>49.24</v>
      </c>
      <c r="I804" s="28" t="n">
        <v>0</v>
      </c>
      <c r="J804" s="94" t="inlineStr">
        <is>
          <t>False</t>
        </is>
      </c>
      <c r="K804" s="28" t="n">
        <v>0</v>
      </c>
      <c r="L804" s="25" t="inlineStr">
        <is>
          <t>OTHER FRUIT WINES</t>
        </is>
      </c>
      <c r="M804" s="25" t="inlineStr">
        <is>
          <t>E &amp; J GALLO WINERY</t>
        </is>
      </c>
      <c r="N804" s="25" t="inlineStr">
        <is>
          <t>040012-GALLO WINES OF MISSISSIPPI</t>
        </is>
      </c>
      <c r="O804" s="25" t="n"/>
      <c r="P804" s="25" t="inlineStr">
        <is>
          <t>50085976034223</t>
        </is>
      </c>
      <c r="Q804" s="25" t="inlineStr">
        <is>
          <t>0085976034228</t>
        </is>
      </c>
      <c r="R804" s="78" t="n">
        <v>42278</v>
      </c>
    </row>
    <row r="805">
      <c r="A805" t="inlineStr">
        <is>
          <t>or item code =</t>
        </is>
      </c>
      <c r="B805" s="25" t="inlineStr">
        <is>
          <t>483120</t>
        </is>
      </c>
      <c r="C805" s="25" t="inlineStr">
        <is>
          <t>MANISCHEWITZ CONCORD</t>
        </is>
      </c>
      <c r="D805" s="25" t="inlineStr">
        <is>
          <t>1.5L</t>
        </is>
      </c>
      <c r="E805" s="27" t="n">
        <v>65</v>
      </c>
      <c r="F805" s="27" t="n">
        <v>43</v>
      </c>
      <c r="G805" s="27" t="n">
        <v>6</v>
      </c>
      <c r="H805" s="28" t="n">
        <v>49.24</v>
      </c>
      <c r="I805" s="28" t="n">
        <v>0</v>
      </c>
      <c r="J805" s="94" t="inlineStr">
        <is>
          <t>False</t>
        </is>
      </c>
      <c r="K805" s="28" t="n">
        <v>0</v>
      </c>
      <c r="L805" s="25" t="inlineStr">
        <is>
          <t>CONCORD</t>
        </is>
      </c>
      <c r="M805" s="25" t="inlineStr">
        <is>
          <t>E &amp; J GALLO WINERY</t>
        </is>
      </c>
      <c r="N805" s="25" t="inlineStr">
        <is>
          <t>040012-GALLO WINES OF MISSISSIPPI</t>
        </is>
      </c>
      <c r="O805" s="25" t="n"/>
      <c r="P805" s="25" t="inlineStr">
        <is>
          <t>00085976034624</t>
        </is>
      </c>
      <c r="Q805" s="25" t="inlineStr">
        <is>
          <t>085976034150</t>
        </is>
      </c>
      <c r="R805" s="78" t="n">
        <v>42278</v>
      </c>
    </row>
    <row r="806">
      <c r="A806" t="inlineStr">
        <is>
          <t>or item code =</t>
        </is>
      </c>
      <c r="B806" s="25" t="inlineStr">
        <is>
          <t>482705</t>
        </is>
      </c>
      <c r="C806" s="25" t="inlineStr">
        <is>
          <t>MANISCHEWITZ CREAM RED CONCORD</t>
        </is>
      </c>
      <c r="D806" s="25" t="inlineStr">
        <is>
          <t>750ml</t>
        </is>
      </c>
      <c r="E806" s="27" t="n">
        <v>24</v>
      </c>
      <c r="F806" s="27" t="n">
        <v>18</v>
      </c>
      <c r="G806" s="27" t="n">
        <v>12</v>
      </c>
      <c r="H806" s="28" t="n">
        <v>64.2</v>
      </c>
      <c r="I806" s="28" t="n">
        <v>0</v>
      </c>
      <c r="J806" s="94" t="inlineStr">
        <is>
          <t>False</t>
        </is>
      </c>
      <c r="K806" s="28" t="n">
        <v>0</v>
      </c>
      <c r="L806" s="25" t="inlineStr">
        <is>
          <t>RED WINE</t>
        </is>
      </c>
      <c r="M806" s="25" t="inlineStr">
        <is>
          <t>E &amp; J GALLO WINERY</t>
        </is>
      </c>
      <c r="N806" s="25" t="inlineStr">
        <is>
          <t>040012-GALLO WINES OF MISSISSIPPI</t>
        </is>
      </c>
      <c r="O806" s="25" t="n"/>
      <c r="P806" s="25" t="inlineStr">
        <is>
          <t>50085976034063</t>
        </is>
      </c>
      <c r="Q806" s="25" t="inlineStr">
        <is>
          <t>0085976034068</t>
        </is>
      </c>
      <c r="R806" s="78" t="n">
        <v>42278</v>
      </c>
    </row>
    <row r="807">
      <c r="A807" t="inlineStr">
        <is>
          <t>or item code =</t>
        </is>
      </c>
      <c r="B807" s="25" t="inlineStr">
        <is>
          <t>369100</t>
        </is>
      </c>
      <c r="C807" s="25" t="inlineStr">
        <is>
          <t>MARCO NEGRI MOSCATO D'ASTI</t>
        </is>
      </c>
      <c r="D807" s="25" t="inlineStr">
        <is>
          <t>750ml</t>
        </is>
      </c>
      <c r="E807" s="27" t="n">
        <v>0</v>
      </c>
      <c r="F807" s="27" t="n">
        <v>8</v>
      </c>
      <c r="G807" s="27" t="n">
        <v>12</v>
      </c>
      <c r="H807" s="28" t="n">
        <v>159.88</v>
      </c>
      <c r="I807" s="28" t="n">
        <v>0</v>
      </c>
      <c r="J807" s="94" t="inlineStr">
        <is>
          <t>False</t>
        </is>
      </c>
      <c r="K807" s="28" t="n">
        <v>0</v>
      </c>
      <c r="L807" s="25" t="inlineStr">
        <is>
          <t>WHITE WINE</t>
        </is>
      </c>
      <c r="M807" s="25" t="inlineStr">
        <is>
          <t>VINO COM LLC DBA TOTAL BEVERAGE</t>
        </is>
      </c>
      <c r="N807" s="25" t="inlineStr">
        <is>
          <t>040003-RNDC-VINTAGE</t>
        </is>
      </c>
      <c r="O807" s="25" t="n"/>
      <c r="P807" s="25" t="inlineStr">
        <is>
          <t>00000000369100</t>
        </is>
      </c>
      <c r="Q807" s="25" t="inlineStr">
        <is>
          <t>0083664863877</t>
        </is>
      </c>
      <c r="R807" s="78" t="n">
        <v>42370</v>
      </c>
    </row>
    <row r="808">
      <c r="A808" t="inlineStr">
        <is>
          <t>or item code =</t>
        </is>
      </c>
      <c r="B808" s="25" t="inlineStr">
        <is>
          <t>369105</t>
        </is>
      </c>
      <c r="C808" s="25" t="inlineStr">
        <is>
          <t>MARCO NEGRI SWEET ROSSO</t>
        </is>
      </c>
      <c r="D808" s="25" t="inlineStr">
        <is>
          <t>750ml</t>
        </is>
      </c>
      <c r="E808" s="27" t="n">
        <v>0</v>
      </c>
      <c r="F808" s="27" t="n">
        <v>0</v>
      </c>
      <c r="G808" s="27" t="n">
        <v>12</v>
      </c>
      <c r="H808" s="28" t="n">
        <v>106.96</v>
      </c>
      <c r="I808" s="28" t="n">
        <v>0</v>
      </c>
      <c r="J808" s="94" t="inlineStr">
        <is>
          <t>False</t>
        </is>
      </c>
      <c r="K808" s="28" t="n">
        <v>0</v>
      </c>
      <c r="L808" s="25" t="inlineStr">
        <is>
          <t>RED WINE</t>
        </is>
      </c>
      <c r="M808" s="25" t="inlineStr">
        <is>
          <t>VINO COM LLC DBA TOTAL BEVERAGE</t>
        </is>
      </c>
      <c r="N808" s="25" t="inlineStr">
        <is>
          <t>040003-RNDC-VINTAGE</t>
        </is>
      </c>
      <c r="O808" s="25" t="n"/>
      <c r="P808" s="25" t="inlineStr">
        <is>
          <t>10752245221524</t>
        </is>
      </c>
      <c r="Q808" s="25" t="inlineStr">
        <is>
          <t>752245221527</t>
        </is>
      </c>
      <c r="R808" s="78" t="n">
        <v>44593</v>
      </c>
    </row>
    <row r="809">
      <c r="A809" t="inlineStr">
        <is>
          <t>or item code =</t>
        </is>
      </c>
      <c r="B809" s="25" t="inlineStr">
        <is>
          <t>65790</t>
        </is>
      </c>
      <c r="C809" s="25" t="inlineStr">
        <is>
          <t>MARTELL BLUE SWIFT</t>
        </is>
      </c>
      <c r="D809" s="25" t="inlineStr">
        <is>
          <t>200ml</t>
        </is>
      </c>
      <c r="E809" s="27" t="n">
        <v>0</v>
      </c>
      <c r="F809" s="27" t="n">
        <v>1</v>
      </c>
      <c r="G809" s="27" t="n">
        <v>24</v>
      </c>
      <c r="H809" s="28" t="n">
        <v>205.79</v>
      </c>
      <c r="I809" s="28" t="n">
        <v>0</v>
      </c>
      <c r="J809" s="94" t="inlineStr">
        <is>
          <t>False</t>
        </is>
      </c>
      <c r="K809" s="28" t="n">
        <v>0</v>
      </c>
      <c r="L809" s="25" t="inlineStr">
        <is>
          <t>COGNAC, ARMAGNAC</t>
        </is>
      </c>
      <c r="M809" s="25" t="inlineStr">
        <is>
          <t>PERNOD RICARD USA LLC</t>
        </is>
      </c>
      <c r="N809" s="25" t="inlineStr">
        <is>
          <t>040010-SOUTHERN GLAZERS WINE AND SPIRITS OF MISSISSIPPI LLC</t>
        </is>
      </c>
      <c r="O809" s="25" t="n"/>
      <c r="P809" s="25" t="inlineStr">
        <is>
          <t>10080432111861</t>
        </is>
      </c>
      <c r="Q809" s="25" t="inlineStr">
        <is>
          <t>080432111864</t>
        </is>
      </c>
      <c r="R809" s="78" t="n">
        <v>44075</v>
      </c>
    </row>
    <row r="810">
      <c r="A810" t="inlineStr">
        <is>
          <t>or item code =</t>
        </is>
      </c>
      <c r="B810" s="25" t="inlineStr">
        <is>
          <t>65792</t>
        </is>
      </c>
      <c r="C810" s="25" t="inlineStr">
        <is>
          <t>MARTELL BLUE SWIFT COGNAC BRANDY</t>
        </is>
      </c>
      <c r="D810" s="25" t="inlineStr">
        <is>
          <t>375ml</t>
        </is>
      </c>
      <c r="E810" s="27" t="n">
        <v>0</v>
      </c>
      <c r="F810" s="27" t="n">
        <v>6</v>
      </c>
      <c r="G810" s="27" t="n">
        <v>12</v>
      </c>
      <c r="H810" s="28" t="n">
        <v>205.23</v>
      </c>
      <c r="I810" s="28" t="n">
        <v>0</v>
      </c>
      <c r="J810" s="94" t="inlineStr">
        <is>
          <t>False</t>
        </is>
      </c>
      <c r="K810" s="28" t="n">
        <v>0</v>
      </c>
      <c r="L810" s="25" t="inlineStr">
        <is>
          <t>BRANDY</t>
        </is>
      </c>
      <c r="M810" s="25" t="inlineStr">
        <is>
          <t>PERNOD RICARD USA LLC</t>
        </is>
      </c>
      <c r="N810" s="25" t="inlineStr">
        <is>
          <t>040010-SOUTHERN GLAZERS WINE AND SPIRITS OF MISSISSIPPI LLC</t>
        </is>
      </c>
      <c r="O810" s="25" t="n"/>
      <c r="P810" s="25" t="inlineStr">
        <is>
          <t>10080432110840</t>
        </is>
      </c>
      <c r="Q810" s="25" t="inlineStr">
        <is>
          <t>080432110843</t>
        </is>
      </c>
      <c r="R810" s="78" t="n">
        <v>44075</v>
      </c>
    </row>
    <row r="811">
      <c r="A811" t="inlineStr">
        <is>
          <t>or item code =</t>
        </is>
      </c>
      <c r="B811" s="25" t="inlineStr">
        <is>
          <t>65793</t>
        </is>
      </c>
      <c r="C811" s="25" t="inlineStr">
        <is>
          <t>MARTELL BLUESWIFT</t>
        </is>
      </c>
      <c r="D811" s="25" t="inlineStr">
        <is>
          <t>750ml</t>
        </is>
      </c>
      <c r="E811" s="27" t="n">
        <v>51</v>
      </c>
      <c r="F811" s="27" t="n">
        <v>19</v>
      </c>
      <c r="G811" s="27" t="n">
        <v>12</v>
      </c>
      <c r="H811" s="28" t="n">
        <v>443.87</v>
      </c>
      <c r="I811" s="28" t="n">
        <v>0</v>
      </c>
      <c r="J811" s="94" t="inlineStr">
        <is>
          <t>False</t>
        </is>
      </c>
      <c r="K811" s="28" t="n">
        <v>0</v>
      </c>
      <c r="L811" s="25" t="inlineStr">
        <is>
          <t>COGNAC, ARMAGNAC</t>
        </is>
      </c>
      <c r="M811" s="25" t="inlineStr">
        <is>
          <t>PERNOD RICARD USA LLC</t>
        </is>
      </c>
      <c r="N811" s="25" t="inlineStr">
        <is>
          <t>040010-SOUTHERN GLAZERS WINE AND SPIRITS OF MISSISSIPPI LLC</t>
        </is>
      </c>
      <c r="O811" s="25" t="n"/>
      <c r="P811" s="25" t="inlineStr">
        <is>
          <t>10080432110826</t>
        </is>
      </c>
      <c r="Q811" s="25" t="inlineStr">
        <is>
          <t>080432110829</t>
        </is>
      </c>
      <c r="R811" s="78" t="n">
        <v>43300</v>
      </c>
    </row>
    <row r="812">
      <c r="A812" t="inlineStr">
        <is>
          <t>or item code =</t>
        </is>
      </c>
      <c r="B812" s="25" t="inlineStr">
        <is>
          <t>48658</t>
        </is>
      </c>
      <c r="C812" s="25" t="inlineStr">
        <is>
          <t>MARTELL CORDON BLEU COGNAC</t>
        </is>
      </c>
      <c r="D812" s="25" t="inlineStr">
        <is>
          <t>750ml</t>
        </is>
      </c>
      <c r="E812" s="27" t="n">
        <v>0</v>
      </c>
      <c r="F812" s="27" t="n">
        <v>0</v>
      </c>
      <c r="G812" s="27" t="n">
        <v>2</v>
      </c>
      <c r="H812" s="28" t="n">
        <v>340.69</v>
      </c>
      <c r="I812" s="28" t="n">
        <v>0</v>
      </c>
      <c r="J812" s="94" t="inlineStr">
        <is>
          <t>False</t>
        </is>
      </c>
      <c r="K812" s="28" t="n">
        <v>0</v>
      </c>
      <c r="L812" s="25" t="inlineStr">
        <is>
          <t>COGNAC, ARMAGNAC</t>
        </is>
      </c>
      <c r="M812" s="25" t="inlineStr">
        <is>
          <t>PERNOD RICARD USA LLC</t>
        </is>
      </c>
      <c r="N812" s="25" t="inlineStr">
        <is>
          <t>040010-SOUTHERN GLAZERS WINE AND SPIRITS OF MISSISSIPPI LLC</t>
        </is>
      </c>
      <c r="O812" s="25" t="n"/>
      <c r="P812" s="25" t="inlineStr">
        <is>
          <t>20080432400993</t>
        </is>
      </c>
      <c r="Q812" s="25" t="inlineStr">
        <is>
          <t>0080432400999</t>
        </is>
      </c>
      <c r="R812" s="78" t="n">
        <v>42370</v>
      </c>
    </row>
    <row r="813">
      <c r="A813" t="inlineStr">
        <is>
          <t>or item code =</t>
        </is>
      </c>
      <c r="B813" s="25" t="inlineStr">
        <is>
          <t>48696</t>
        </is>
      </c>
      <c r="C813" s="25" t="inlineStr">
        <is>
          <t>MARTELL V S COGNAC</t>
        </is>
      </c>
      <c r="D813" s="25" t="inlineStr">
        <is>
          <t>750ml</t>
        </is>
      </c>
      <c r="E813" s="27" t="n">
        <v>10</v>
      </c>
      <c r="F813" s="27" t="n">
        <v>35</v>
      </c>
      <c r="G813" s="27" t="n">
        <v>12</v>
      </c>
      <c r="H813" s="28" t="n">
        <v>341.69</v>
      </c>
      <c r="I813" s="28" t="n">
        <v>0</v>
      </c>
      <c r="J813" s="94" t="inlineStr">
        <is>
          <t>False</t>
        </is>
      </c>
      <c r="K813" s="28" t="n">
        <v>0</v>
      </c>
      <c r="L813" s="25" t="inlineStr">
        <is>
          <t>COGNAC, ARMAGNAC</t>
        </is>
      </c>
      <c r="M813" s="25" t="inlineStr">
        <is>
          <t>PERNOD RICARD USA LLC</t>
        </is>
      </c>
      <c r="N813" s="25" t="inlineStr">
        <is>
          <t>040010-SOUTHERN GLAZERS WINE AND SPIRITS OF MISSISSIPPI LLC</t>
        </is>
      </c>
      <c r="O813" s="25" t="n"/>
      <c r="P813" s="25" t="inlineStr">
        <is>
          <t>70080432400813</t>
        </is>
      </c>
      <c r="Q813" s="25" t="inlineStr">
        <is>
          <t>0080432400814</t>
        </is>
      </c>
      <c r="R813" s="78" t="n">
        <v>42370</v>
      </c>
    </row>
    <row r="814">
      <c r="A814" t="inlineStr">
        <is>
          <t>or item code =</t>
        </is>
      </c>
      <c r="B814" s="25" t="inlineStr">
        <is>
          <t>48690</t>
        </is>
      </c>
      <c r="C814" s="25" t="inlineStr">
        <is>
          <t>MARTELL V S COGNAC</t>
        </is>
      </c>
      <c r="D814" s="25" t="inlineStr">
        <is>
          <t>200ml</t>
        </is>
      </c>
      <c r="E814" s="27" t="n">
        <v>78</v>
      </c>
      <c r="F814" s="27" t="n">
        <v>113</v>
      </c>
      <c r="G814" s="27" t="n">
        <v>24</v>
      </c>
      <c r="H814" s="28" t="n">
        <v>188.65</v>
      </c>
      <c r="I814" s="28" t="n">
        <v>0</v>
      </c>
      <c r="J814" s="94" t="inlineStr">
        <is>
          <t>False</t>
        </is>
      </c>
      <c r="K814" s="28" t="n">
        <v>0</v>
      </c>
      <c r="L814" s="25" t="inlineStr">
        <is>
          <t>COGNAC, ARMAGNAC</t>
        </is>
      </c>
      <c r="M814" s="25" t="inlineStr">
        <is>
          <t>PERNOD RICARD USA LLC</t>
        </is>
      </c>
      <c r="N814" s="25" t="inlineStr">
        <is>
          <t>040010-SOUTHERN GLAZERS WINE AND SPIRITS OF MISSISSIPPI LLC</t>
        </is>
      </c>
      <c r="O814" s="25" t="n"/>
      <c r="P814" s="25" t="inlineStr">
        <is>
          <t>20080432400771</t>
        </is>
      </c>
      <c r="Q814" s="25" t="inlineStr">
        <is>
          <t>0080432400777</t>
        </is>
      </c>
      <c r="R814" s="78" t="n">
        <v>42279</v>
      </c>
    </row>
    <row r="815">
      <c r="A815" t="inlineStr">
        <is>
          <t>or item code =</t>
        </is>
      </c>
      <c r="B815" s="25" t="inlineStr">
        <is>
          <t>48699</t>
        </is>
      </c>
      <c r="C815" s="25" t="inlineStr">
        <is>
          <t>MARTELL V S COGNAC FLASK</t>
        </is>
      </c>
      <c r="D815" s="25" t="inlineStr">
        <is>
          <t>375ml</t>
        </is>
      </c>
      <c r="E815" s="27" t="n">
        <v>928</v>
      </c>
      <c r="F815" s="27" t="n">
        <v>94</v>
      </c>
      <c r="G815" s="27" t="n">
        <v>12</v>
      </c>
      <c r="H815" s="28" t="n">
        <v>154.44</v>
      </c>
      <c r="I815" s="28" t="n">
        <v>0</v>
      </c>
      <c r="J815" s="94" t="inlineStr">
        <is>
          <t>False</t>
        </is>
      </c>
      <c r="K815" s="28" t="n">
        <v>0</v>
      </c>
      <c r="L815" s="25" t="inlineStr">
        <is>
          <t>COGNAC, ARMAGNAC</t>
        </is>
      </c>
      <c r="M815" s="25" t="inlineStr">
        <is>
          <t>PERNOD RICARD USA LLC</t>
        </is>
      </c>
      <c r="N815" s="25" t="inlineStr">
        <is>
          <t>040010-SOUTHERN GLAZERS WINE AND SPIRITS OF MISSISSIPPI LLC</t>
        </is>
      </c>
      <c r="O815" s="25" t="n"/>
      <c r="P815" s="25" t="inlineStr">
        <is>
          <t>20080432400801</t>
        </is>
      </c>
      <c r="Q815" s="25" t="inlineStr">
        <is>
          <t>0080432400784</t>
        </is>
      </c>
      <c r="R815" s="78" t="n">
        <v>43130</v>
      </c>
    </row>
    <row r="816">
      <c r="A816" t="inlineStr">
        <is>
          <t>or item code =</t>
        </is>
      </c>
      <c r="B816" s="25" t="inlineStr">
        <is>
          <t>729160</t>
        </is>
      </c>
      <c r="C816" s="25" t="inlineStr">
        <is>
          <t>MARTINI &amp; ROSSI ASTI SPUMANTE</t>
        </is>
      </c>
      <c r="D816" s="25" t="inlineStr">
        <is>
          <t>1.5L</t>
        </is>
      </c>
      <c r="E816" s="27" t="n">
        <v>1</v>
      </c>
      <c r="F816" s="27" t="n">
        <v>4</v>
      </c>
      <c r="G816" s="27" t="n">
        <v>6</v>
      </c>
      <c r="H816" s="28" t="n">
        <v>106.11</v>
      </c>
      <c r="I816" s="28" t="n">
        <v>0</v>
      </c>
      <c r="J816" s="94" t="inlineStr">
        <is>
          <t>False</t>
        </is>
      </c>
      <c r="K816" s="28" t="n">
        <v>0</v>
      </c>
      <c r="L816" s="25" t="inlineStr">
        <is>
          <t>SPRKLNG, CHMPGNE, ETC.</t>
        </is>
      </c>
      <c r="M816" s="25" t="inlineStr">
        <is>
          <t>BACARDI USA INC</t>
        </is>
      </c>
      <c r="N816" s="25" t="inlineStr">
        <is>
          <t>040010-SOUTHERN GLAZERS WINE AND SPIRITS OF MISSISSIPPI LLC</t>
        </is>
      </c>
      <c r="O816" s="25" t="n"/>
      <c r="P816" s="25" t="inlineStr">
        <is>
          <t>00011034014055</t>
        </is>
      </c>
      <c r="Q816" s="25" t="inlineStr">
        <is>
          <t>0011034500039</t>
        </is>
      </c>
      <c r="R816" s="78" t="n">
        <v>42370</v>
      </c>
    </row>
    <row r="817">
      <c r="A817" t="inlineStr">
        <is>
          <t>or item code =</t>
        </is>
      </c>
      <c r="B817" s="25" t="inlineStr">
        <is>
          <t>729155</t>
        </is>
      </c>
      <c r="C817" s="25" t="inlineStr">
        <is>
          <t>MARTINI &amp; ROSSI ASTI SPUMANTE</t>
        </is>
      </c>
      <c r="D817" s="25" t="inlineStr">
        <is>
          <t>750ml</t>
        </is>
      </c>
      <c r="E817" s="27" t="n">
        <v>0</v>
      </c>
      <c r="F817" s="27" t="n">
        <v>98</v>
      </c>
      <c r="G817" s="27" t="n">
        <v>12</v>
      </c>
      <c r="H817" s="28" t="n">
        <v>134.8</v>
      </c>
      <c r="I817" s="28" t="n">
        <v>0</v>
      </c>
      <c r="J817" s="94" t="inlineStr">
        <is>
          <t>False</t>
        </is>
      </c>
      <c r="K817" s="28" t="n">
        <v>0</v>
      </c>
      <c r="L817" s="25" t="inlineStr">
        <is>
          <t>SPRKLNG, CHMPGNE, ETC.</t>
        </is>
      </c>
      <c r="M817" s="25" t="inlineStr">
        <is>
          <t>BACARDI USA INC</t>
        </is>
      </c>
      <c r="N817" s="25" t="inlineStr">
        <is>
          <t>040010-SOUTHERN GLAZERS WINE AND SPIRITS OF MISSISSIPPI LLC</t>
        </is>
      </c>
      <c r="O817" s="25" t="n"/>
      <c r="P817" s="25" t="inlineStr">
        <is>
          <t>10011034500050</t>
        </is>
      </c>
      <c r="Q817" s="25" t="inlineStr">
        <is>
          <t>0011034500053</t>
        </is>
      </c>
      <c r="R817" s="78" t="n">
        <v>42370</v>
      </c>
    </row>
    <row r="818">
      <c r="A818" t="inlineStr">
        <is>
          <t>or item code =</t>
        </is>
      </c>
      <c r="B818" s="25" t="inlineStr">
        <is>
          <t>729215</t>
        </is>
      </c>
      <c r="C818" s="25" t="inlineStr">
        <is>
          <t>MARTINI &amp; ROSSI ROSE SPARKLING</t>
        </is>
      </c>
      <c r="D818" s="25" t="inlineStr">
        <is>
          <t>750ml</t>
        </is>
      </c>
      <c r="E818" s="27" t="n">
        <v>0</v>
      </c>
      <c r="F818" s="27" t="n">
        <v>0</v>
      </c>
      <c r="G818" s="27" t="n">
        <v>12</v>
      </c>
      <c r="H818" s="28" t="n">
        <v>134.8</v>
      </c>
      <c r="I818" s="28" t="n">
        <v>0</v>
      </c>
      <c r="J818" s="94" t="inlineStr">
        <is>
          <t>False</t>
        </is>
      </c>
      <c r="K818" s="28" t="n">
        <v>0</v>
      </c>
      <c r="L818" s="25" t="inlineStr">
        <is>
          <t>SPRKLNG, CHMPGNE, ETC.</t>
        </is>
      </c>
      <c r="M818" s="25" t="inlineStr">
        <is>
          <t>BACARDI USA INC</t>
        </is>
      </c>
      <c r="N818" s="25" t="inlineStr">
        <is>
          <t>040010-SOUTHERN GLAZERS WINE AND SPIRITS OF MISSISSIPPI LLC</t>
        </is>
      </c>
      <c r="O818" s="25" t="n"/>
      <c r="P818" s="25" t="inlineStr">
        <is>
          <t>10011034503884</t>
        </is>
      </c>
      <c r="Q818" s="25" t="inlineStr">
        <is>
          <t>0011034503825</t>
        </is>
      </c>
      <c r="R818" s="78" t="n">
        <v>42370</v>
      </c>
    </row>
    <row r="819">
      <c r="A819" t="inlineStr">
        <is>
          <t>or item code =</t>
        </is>
      </c>
      <c r="B819" s="25" t="inlineStr">
        <is>
          <t>98197</t>
        </is>
      </c>
      <c r="C819" s="25" t="inlineStr">
        <is>
          <t>MARTINI AND ROSSI EXTRA DRY VERMOUTH</t>
        </is>
      </c>
      <c r="D819" s="25" t="inlineStr">
        <is>
          <t>750ml</t>
        </is>
      </c>
      <c r="E819" s="27" t="n">
        <v>1</v>
      </c>
      <c r="F819" s="27" t="n">
        <v>57</v>
      </c>
      <c r="G819" s="27" t="n">
        <v>6</v>
      </c>
      <c r="H819" s="28" t="n">
        <v>44.31</v>
      </c>
      <c r="I819" s="28" t="n">
        <v>0</v>
      </c>
      <c r="J819" s="94" t="inlineStr">
        <is>
          <t>False</t>
        </is>
      </c>
      <c r="K819" s="28" t="n">
        <v>0</v>
      </c>
      <c r="L819" s="25" t="inlineStr">
        <is>
          <t>VERMOUTH, DRY</t>
        </is>
      </c>
      <c r="M819" s="25" t="inlineStr">
        <is>
          <t>BACARDI USA INC</t>
        </is>
      </c>
      <c r="N819" s="25" t="inlineStr">
        <is>
          <t>040010-SOUTHERN GLAZERS WINE AND SPIRITS OF MISSISSIPPI LLC</t>
        </is>
      </c>
      <c r="O819" s="25" t="n"/>
      <c r="P819" s="25" t="inlineStr">
        <is>
          <t>10011034013529</t>
        </is>
      </c>
      <c r="Q819" s="25" t="inlineStr">
        <is>
          <t>0011034420054</t>
        </is>
      </c>
      <c r="R819" s="78" t="n">
        <v>42765</v>
      </c>
    </row>
    <row r="820">
      <c r="A820" t="inlineStr">
        <is>
          <t>or item code =</t>
        </is>
      </c>
      <c r="B820" s="25" t="inlineStr">
        <is>
          <t>98747</t>
        </is>
      </c>
      <c r="C820" s="25" t="inlineStr">
        <is>
          <t>MARTINI AND ROSSI ROSSO SWEET RED VERMOUTH</t>
        </is>
      </c>
      <c r="D820" s="25" t="inlineStr">
        <is>
          <t>750ml</t>
        </is>
      </c>
      <c r="E820" s="27" t="n">
        <v>11</v>
      </c>
      <c r="F820" s="27" t="n">
        <v>40</v>
      </c>
      <c r="G820" s="27" t="n">
        <v>6</v>
      </c>
      <c r="H820" s="28" t="n">
        <v>43.54</v>
      </c>
      <c r="I820" s="28" t="n">
        <v>0</v>
      </c>
      <c r="J820" s="94" t="inlineStr">
        <is>
          <t>False</t>
        </is>
      </c>
      <c r="K820" s="28" t="n">
        <v>0</v>
      </c>
      <c r="L820" s="25" t="inlineStr">
        <is>
          <t>VERMOUTH, SWEET</t>
        </is>
      </c>
      <c r="M820" s="25" t="inlineStr">
        <is>
          <t>BACARDI USA INC</t>
        </is>
      </c>
      <c r="N820" s="25" t="inlineStr">
        <is>
          <t>040010-SOUTHERN GLAZERS WINE AND SPIRITS OF MISSISSIPPI LLC</t>
        </is>
      </c>
      <c r="O820" s="25" t="n"/>
      <c r="P820" s="25" t="inlineStr">
        <is>
          <t>10011034013123</t>
        </is>
      </c>
      <c r="Q820" s="25" t="inlineStr">
        <is>
          <t>0011034410055</t>
        </is>
      </c>
      <c r="R820" s="78" t="n">
        <v>42370</v>
      </c>
    </row>
    <row r="821">
      <c r="A821" t="inlineStr">
        <is>
          <t>or item code =</t>
        </is>
      </c>
      <c r="B821" s="25" t="inlineStr">
        <is>
          <t>28675</t>
        </is>
      </c>
      <c r="C821" s="25" t="inlineStr">
        <is>
          <t>MCQUEEN AND THE VIOLET FOG</t>
        </is>
      </c>
      <c r="D821" s="25" t="inlineStr">
        <is>
          <t>750ml</t>
        </is>
      </c>
      <c r="E821" s="27" t="n">
        <v>35</v>
      </c>
      <c r="F821" s="27" t="n">
        <v>5</v>
      </c>
      <c r="G821" s="27" t="n">
        <v>6</v>
      </c>
      <c r="H821" s="28" t="n">
        <v>158.72</v>
      </c>
      <c r="I821" s="28" t="n">
        <v>12</v>
      </c>
      <c r="J821" s="94" t="inlineStr">
        <is>
          <t>False</t>
        </is>
      </c>
      <c r="K821" s="28" t="n">
        <v>0</v>
      </c>
      <c r="L821" s="25" t="inlineStr">
        <is>
          <t>GIN</t>
        </is>
      </c>
      <c r="M821" s="25" t="inlineStr">
        <is>
          <t>SOVEREIGN BRAND LLC</t>
        </is>
      </c>
      <c r="N821" s="25" t="inlineStr">
        <is>
          <t>040010-SOUTHERN GLAZERS WINE AND SPIRITS OF MISSISSIPPI LLC</t>
        </is>
      </c>
      <c r="O821" s="25" t="n"/>
      <c r="P821" s="25" t="inlineStr">
        <is>
          <t>50813497007163</t>
        </is>
      </c>
      <c r="Q821" s="25" t="inlineStr">
        <is>
          <t>813497007168</t>
        </is>
      </c>
      <c r="R821" s="78" t="n">
        <v>43661</v>
      </c>
    </row>
    <row r="822">
      <c r="A822" t="inlineStr">
        <is>
          <t>or item code =</t>
        </is>
      </c>
      <c r="B822" s="25" t="inlineStr">
        <is>
          <t>812772</t>
        </is>
      </c>
      <c r="C822" s="25" t="inlineStr">
        <is>
          <t>MD 20/20 BANANA RED</t>
        </is>
      </c>
      <c r="D822" s="25" t="inlineStr">
        <is>
          <t>750ml</t>
        </is>
      </c>
      <c r="E822" s="27" t="n">
        <v>71</v>
      </c>
      <c r="F822" s="27" t="n">
        <v>101</v>
      </c>
      <c r="G822" s="27" t="n">
        <v>12</v>
      </c>
      <c r="H822" s="28" t="n">
        <v>36.45</v>
      </c>
      <c r="I822" s="28" t="n">
        <v>0</v>
      </c>
      <c r="J822" s="94" t="inlineStr">
        <is>
          <t>False</t>
        </is>
      </c>
      <c r="K822" s="28" t="n">
        <v>0</v>
      </c>
      <c r="L822" s="25" t="inlineStr">
        <is>
          <t>RED WINE</t>
        </is>
      </c>
      <c r="M822" s="25" t="inlineStr">
        <is>
          <t>THE WINE GROUP LTD</t>
        </is>
      </c>
      <c r="N822" s="25" t="inlineStr">
        <is>
          <t>040003-RNDC-VINTAGE</t>
        </is>
      </c>
      <c r="O822" s="25" t="n"/>
      <c r="P822" s="25" t="inlineStr">
        <is>
          <t>10085904514409</t>
        </is>
      </c>
      <c r="Q822" s="25" t="inlineStr">
        <is>
          <t>0085904514402</t>
        </is>
      </c>
      <c r="R822" s="78" t="n">
        <v>42279</v>
      </c>
    </row>
    <row r="823">
      <c r="A823" t="inlineStr">
        <is>
          <t>or item code =</t>
        </is>
      </c>
      <c r="B823" s="25" t="inlineStr">
        <is>
          <t>812770</t>
        </is>
      </c>
      <c r="C823" s="25" t="inlineStr">
        <is>
          <t>MD 20/20 BANANA RED</t>
        </is>
      </c>
      <c r="D823" s="25" t="inlineStr">
        <is>
          <t>375ml</t>
        </is>
      </c>
      <c r="E823" s="27" t="n">
        <v>19</v>
      </c>
      <c r="F823" s="27" t="n">
        <v>55</v>
      </c>
      <c r="G823" s="27" t="n">
        <v>24</v>
      </c>
      <c r="H823" s="28" t="n">
        <v>36.36</v>
      </c>
      <c r="I823" s="28" t="n">
        <v>0</v>
      </c>
      <c r="J823" s="94" t="inlineStr">
        <is>
          <t>False</t>
        </is>
      </c>
      <c r="K823" s="28" t="n">
        <v>0</v>
      </c>
      <c r="L823" s="25" t="inlineStr">
        <is>
          <t>RED WINE</t>
        </is>
      </c>
      <c r="M823" s="25" t="inlineStr">
        <is>
          <t>THE WINE GROUP LTD</t>
        </is>
      </c>
      <c r="N823" s="25" t="inlineStr">
        <is>
          <t>040003-RNDC-VINTAGE</t>
        </is>
      </c>
      <c r="O823" s="25" t="inlineStr">
        <is>
          <t>Unavailable due to inventory issues</t>
        </is>
      </c>
      <c r="P823" s="25" t="inlineStr">
        <is>
          <t>10085904513303</t>
        </is>
      </c>
      <c r="Q823" s="25" t="inlineStr">
        <is>
          <t>0085904513306</t>
        </is>
      </c>
      <c r="R823" s="78" t="n">
        <v>42279</v>
      </c>
    </row>
    <row r="824">
      <c r="A824" t="inlineStr">
        <is>
          <t>or item code =</t>
        </is>
      </c>
      <c r="B824" s="25" t="inlineStr">
        <is>
          <t>812812</t>
        </is>
      </c>
      <c r="C824" s="25" t="inlineStr">
        <is>
          <t>MD 20/20 BLUE RASPBERRY</t>
        </is>
      </c>
      <c r="D824" s="25" t="inlineStr">
        <is>
          <t>375ml</t>
        </is>
      </c>
      <c r="E824" s="27" t="n">
        <v>1</v>
      </c>
      <c r="F824" s="27" t="n">
        <v>65</v>
      </c>
      <c r="G824" s="27" t="n">
        <v>24</v>
      </c>
      <c r="H824" s="28" t="n">
        <v>36.36</v>
      </c>
      <c r="I824" s="28" t="n">
        <v>0</v>
      </c>
      <c r="J824" s="94" t="inlineStr">
        <is>
          <t>False</t>
        </is>
      </c>
      <c r="K824" s="28" t="n">
        <v>0</v>
      </c>
      <c r="L824" s="25" t="inlineStr">
        <is>
          <t>OTHER FRUIT WINES</t>
        </is>
      </c>
      <c r="M824" s="25" t="inlineStr">
        <is>
          <t>THE WINE GROUP LTD</t>
        </is>
      </c>
      <c r="N824" s="25" t="inlineStr">
        <is>
          <t>040003-RNDC-VINTAGE</t>
        </is>
      </c>
      <c r="O824" s="25" t="n"/>
      <c r="P824" s="25" t="inlineStr">
        <is>
          <t>00085904353308</t>
        </is>
      </c>
      <c r="Q824" s="25" t="inlineStr">
        <is>
          <t>0085904353308</t>
        </is>
      </c>
      <c r="R824" s="78" t="n">
        <v>42279</v>
      </c>
    </row>
    <row r="825">
      <c r="A825" t="inlineStr">
        <is>
          <t>or item code =</t>
        </is>
      </c>
      <c r="B825" s="25" t="inlineStr">
        <is>
          <t>812810</t>
        </is>
      </c>
      <c r="C825" s="25" t="inlineStr">
        <is>
          <t>MD 20/20 BLUE RASPBERRY</t>
        </is>
      </c>
      <c r="D825" s="25" t="inlineStr">
        <is>
          <t>750ml</t>
        </is>
      </c>
      <c r="E825" s="27" t="n">
        <v>4</v>
      </c>
      <c r="F825" s="27" t="n">
        <v>19</v>
      </c>
      <c r="G825" s="27" t="n">
        <v>12</v>
      </c>
      <c r="H825" s="28" t="n">
        <v>36.45</v>
      </c>
      <c r="I825" s="28" t="n">
        <v>0</v>
      </c>
      <c r="J825" s="94" t="inlineStr">
        <is>
          <t>False</t>
        </is>
      </c>
      <c r="K825" s="28" t="n">
        <v>0</v>
      </c>
      <c r="L825" s="25" t="inlineStr">
        <is>
          <t>OTHER FRUIT WINES</t>
        </is>
      </c>
      <c r="M825" s="25" t="inlineStr">
        <is>
          <t>THE WINE GROUP LTD</t>
        </is>
      </c>
      <c r="N825" s="25" t="inlineStr">
        <is>
          <t>040003-RNDC-VINTAGE</t>
        </is>
      </c>
      <c r="O825" s="25" t="n"/>
      <c r="P825" s="25" t="inlineStr">
        <is>
          <t>10085904354401</t>
        </is>
      </c>
      <c r="Q825" s="25" t="inlineStr">
        <is>
          <t>0085904354404</t>
        </is>
      </c>
      <c r="R825" s="78" t="n">
        <v>42370</v>
      </c>
    </row>
    <row r="826">
      <c r="A826" t="inlineStr">
        <is>
          <t>or item code =</t>
        </is>
      </c>
      <c r="B826" s="25" t="inlineStr">
        <is>
          <t>812826</t>
        </is>
      </c>
      <c r="C826" s="25" t="inlineStr">
        <is>
          <t>MD 20/20 GOLD PINEAPPLE</t>
        </is>
      </c>
      <c r="D826" s="25" t="inlineStr">
        <is>
          <t>750ml</t>
        </is>
      </c>
      <c r="E826" s="27" t="n">
        <v>148</v>
      </c>
      <c r="F826" s="27" t="n">
        <v>75</v>
      </c>
      <c r="G826" s="27" t="n">
        <v>12</v>
      </c>
      <c r="H826" s="28" t="n">
        <v>36.45</v>
      </c>
      <c r="I826" s="28" t="n">
        <v>0</v>
      </c>
      <c r="J826" s="94" t="inlineStr">
        <is>
          <t>False</t>
        </is>
      </c>
      <c r="K826" s="28" t="n">
        <v>0</v>
      </c>
      <c r="L826" s="25" t="inlineStr">
        <is>
          <t>OTHER FLAVORED WINES</t>
        </is>
      </c>
      <c r="M826" s="25" t="inlineStr">
        <is>
          <t>THE WINE GROUP LTD</t>
        </is>
      </c>
      <c r="N826" s="25" t="inlineStr">
        <is>
          <t>040003-RNDC-VINTAGE</t>
        </is>
      </c>
      <c r="O826" s="25" t="n"/>
      <c r="P826" s="25" t="inlineStr">
        <is>
          <t>10085904011441</t>
        </is>
      </c>
      <c r="Q826" s="25" t="inlineStr">
        <is>
          <t>085904011444</t>
        </is>
      </c>
      <c r="R826" s="78" t="n">
        <v>44287</v>
      </c>
    </row>
    <row r="827">
      <c r="A827" t="inlineStr">
        <is>
          <t>or item code =</t>
        </is>
      </c>
      <c r="B827" s="25" t="inlineStr">
        <is>
          <t>812791</t>
        </is>
      </c>
      <c r="C827" s="25" t="inlineStr">
        <is>
          <t>MD 20/20 ORANGE JUBILEE</t>
        </is>
      </c>
      <c r="D827" s="25" t="inlineStr">
        <is>
          <t>375ml</t>
        </is>
      </c>
      <c r="E827" s="27" t="n">
        <v>10</v>
      </c>
      <c r="F827" s="27" t="n">
        <v>77</v>
      </c>
      <c r="G827" s="27" t="n">
        <v>24</v>
      </c>
      <c r="H827" s="28" t="n">
        <v>36.36</v>
      </c>
      <c r="I827" s="28" t="n">
        <v>0</v>
      </c>
      <c r="J827" s="94" t="inlineStr">
        <is>
          <t>False</t>
        </is>
      </c>
      <c r="K827" s="28" t="n">
        <v>0</v>
      </c>
      <c r="L827" s="25" t="inlineStr">
        <is>
          <t>OTHER FLAVORED WINES</t>
        </is>
      </c>
      <c r="M827" s="25" t="inlineStr">
        <is>
          <t>THE WINE GROUP LTD</t>
        </is>
      </c>
      <c r="N827" s="25" t="inlineStr">
        <is>
          <t>040003-RNDC-VINTAGE</t>
        </is>
      </c>
      <c r="O827" s="25" t="n"/>
      <c r="P827" s="25" t="inlineStr">
        <is>
          <t>10085904943308</t>
        </is>
      </c>
      <c r="Q827" s="25" t="inlineStr">
        <is>
          <t>0085904453305</t>
        </is>
      </c>
      <c r="R827" s="78" t="n">
        <v>42279</v>
      </c>
    </row>
    <row r="828">
      <c r="A828" t="inlineStr">
        <is>
          <t>or item code =</t>
        </is>
      </c>
      <c r="B828" s="25" t="inlineStr">
        <is>
          <t>812799</t>
        </is>
      </c>
      <c r="C828" s="25" t="inlineStr">
        <is>
          <t>MD 20/20 ORANGE JUBILEE</t>
        </is>
      </c>
      <c r="D828" s="25" t="inlineStr">
        <is>
          <t>750ml</t>
        </is>
      </c>
      <c r="E828" s="27" t="n">
        <v>323</v>
      </c>
      <c r="F828" s="27" t="n">
        <v>155</v>
      </c>
      <c r="G828" s="27" t="n">
        <v>12</v>
      </c>
      <c r="H828" s="28" t="n">
        <v>36.45</v>
      </c>
      <c r="I828" s="28" t="n">
        <v>0</v>
      </c>
      <c r="J828" s="94" t="inlineStr">
        <is>
          <t>False</t>
        </is>
      </c>
      <c r="K828" s="28" t="n">
        <v>0</v>
      </c>
      <c r="L828" s="25" t="inlineStr">
        <is>
          <t>OTHER FLAVORED WINES</t>
        </is>
      </c>
      <c r="M828" s="25" t="inlineStr">
        <is>
          <t>THE WINE GROUP LTD</t>
        </is>
      </c>
      <c r="N828" s="25" t="inlineStr">
        <is>
          <t>040003-RNDC-VINTAGE</t>
        </is>
      </c>
      <c r="O828" s="25" t="n"/>
      <c r="P828" s="25" t="inlineStr">
        <is>
          <t>10088004454408</t>
        </is>
      </c>
      <c r="Q828" s="25" t="inlineStr">
        <is>
          <t>0085904454401</t>
        </is>
      </c>
      <c r="R828" s="78" t="n">
        <v>42370</v>
      </c>
    </row>
    <row r="829">
      <c r="A829" t="inlineStr">
        <is>
          <t>or item code =</t>
        </is>
      </c>
      <c r="B829" s="25" t="inlineStr">
        <is>
          <t>812790</t>
        </is>
      </c>
      <c r="C829" s="25" t="inlineStr">
        <is>
          <t>MD 20/20 ORANGE JUBILEE</t>
        </is>
      </c>
      <c r="D829" s="25" t="inlineStr">
        <is>
          <t>1.5L</t>
        </is>
      </c>
      <c r="E829" s="27" t="n">
        <v>2</v>
      </c>
      <c r="F829" s="27" t="n">
        <v>21</v>
      </c>
      <c r="G829" s="27" t="n">
        <v>6</v>
      </c>
      <c r="H829" s="28" t="n">
        <v>36.49</v>
      </c>
      <c r="I829" s="28" t="n">
        <v>0</v>
      </c>
      <c r="J829" s="94" t="inlineStr">
        <is>
          <t>False</t>
        </is>
      </c>
      <c r="K829" s="28" t="n">
        <v>0</v>
      </c>
      <c r="L829" s="25" t="inlineStr">
        <is>
          <t>OTHER FLAVORED WINES</t>
        </is>
      </c>
      <c r="M829" s="25" t="inlineStr">
        <is>
          <t>THE WINE GROUP LTD</t>
        </is>
      </c>
      <c r="N829" s="25" t="inlineStr">
        <is>
          <t>040003-RNDC-VINTAGE</t>
        </is>
      </c>
      <c r="O829" s="25" t="n"/>
      <c r="P829" s="25" t="inlineStr">
        <is>
          <t>10085904945500</t>
        </is>
      </c>
      <c r="Q829" s="25" t="inlineStr">
        <is>
          <t>0085904945503</t>
        </is>
      </c>
      <c r="R829" s="78" t="n">
        <v>42370</v>
      </c>
    </row>
    <row r="830">
      <c r="A830" t="inlineStr">
        <is>
          <t>or item code =</t>
        </is>
      </c>
      <c r="B830" s="25" t="inlineStr">
        <is>
          <t>812776</t>
        </is>
      </c>
      <c r="C830" s="25" t="inlineStr">
        <is>
          <t>MD 20/20 PEACH &amp; CREAM</t>
        </is>
      </c>
      <c r="D830" s="25" t="inlineStr">
        <is>
          <t>750ml</t>
        </is>
      </c>
      <c r="E830" s="27" t="n">
        <v>39</v>
      </c>
      <c r="F830" s="27" t="n">
        <v>80</v>
      </c>
      <c r="G830" s="27" t="n">
        <v>12</v>
      </c>
      <c r="H830" s="28" t="n">
        <v>36.45</v>
      </c>
      <c r="I830" s="28" t="n">
        <v>0</v>
      </c>
      <c r="J830" s="94" t="inlineStr">
        <is>
          <t>False</t>
        </is>
      </c>
      <c r="K830" s="28" t="n">
        <v>0</v>
      </c>
      <c r="L830" s="25" t="inlineStr">
        <is>
          <t>OTHER FLAVORED WINES</t>
        </is>
      </c>
      <c r="M830" s="25" t="inlineStr">
        <is>
          <t>THE WINE GROUP LTD</t>
        </is>
      </c>
      <c r="N830" s="25" t="inlineStr">
        <is>
          <t>040003-RNDC-VINTAGE</t>
        </is>
      </c>
      <c r="O830" s="25" t="n"/>
      <c r="P830" s="25" t="inlineStr">
        <is>
          <t>10085904124400</t>
        </is>
      </c>
      <c r="Q830" s="25" t="inlineStr">
        <is>
          <t>0085904124403</t>
        </is>
      </c>
      <c r="R830" s="78" t="n">
        <v>42370</v>
      </c>
    </row>
    <row r="831">
      <c r="A831" t="inlineStr">
        <is>
          <t>or item code =</t>
        </is>
      </c>
      <c r="B831" s="25" t="inlineStr">
        <is>
          <t>812795</t>
        </is>
      </c>
      <c r="C831" s="25" t="inlineStr">
        <is>
          <t>MD 20/20 RED GRAPE</t>
        </is>
      </c>
      <c r="D831" s="25" t="inlineStr">
        <is>
          <t>1.5L</t>
        </is>
      </c>
      <c r="E831" s="27" t="n">
        <v>61</v>
      </c>
      <c r="F831" s="27" t="n">
        <v>19</v>
      </c>
      <c r="G831" s="27" t="n">
        <v>6</v>
      </c>
      <c r="H831" s="28" t="n">
        <v>36.49</v>
      </c>
      <c r="I831" s="28" t="n">
        <v>0</v>
      </c>
      <c r="J831" s="94" t="inlineStr">
        <is>
          <t>False</t>
        </is>
      </c>
      <c r="K831" s="28" t="n">
        <v>0</v>
      </c>
      <c r="L831" s="25" t="inlineStr">
        <is>
          <t>RED WINE</t>
        </is>
      </c>
      <c r="M831" s="25" t="inlineStr">
        <is>
          <t>THE WINE GROUP LTD</t>
        </is>
      </c>
      <c r="N831" s="25" t="inlineStr">
        <is>
          <t>040003-RNDC-VINTAGE</t>
        </is>
      </c>
      <c r="O831" s="25" t="n"/>
      <c r="P831" s="25" t="inlineStr">
        <is>
          <t>10085904995505</t>
        </is>
      </c>
      <c r="Q831" s="25" t="inlineStr">
        <is>
          <t>0085904995508</t>
        </is>
      </c>
      <c r="R831" s="78" t="n">
        <v>42279</v>
      </c>
    </row>
    <row r="832">
      <c r="A832" t="inlineStr">
        <is>
          <t>or item code =</t>
        </is>
      </c>
      <c r="B832" s="25" t="inlineStr">
        <is>
          <t>812796</t>
        </is>
      </c>
      <c r="C832" s="25" t="inlineStr">
        <is>
          <t>MD 20/20 RED GRAPE</t>
        </is>
      </c>
      <c r="D832" s="25" t="inlineStr">
        <is>
          <t>375ml</t>
        </is>
      </c>
      <c r="E832" s="27" t="n">
        <v>170</v>
      </c>
      <c r="F832" s="27" t="n">
        <v>77</v>
      </c>
      <c r="G832" s="27" t="n">
        <v>24</v>
      </c>
      <c r="H832" s="28" t="n">
        <v>36.36</v>
      </c>
      <c r="I832" s="28" t="n">
        <v>0</v>
      </c>
      <c r="J832" s="94" t="inlineStr">
        <is>
          <t>False</t>
        </is>
      </c>
      <c r="K832" s="28" t="n">
        <v>0</v>
      </c>
      <c r="L832" s="25" t="inlineStr">
        <is>
          <t>RED WINE</t>
        </is>
      </c>
      <c r="M832" s="25" t="inlineStr">
        <is>
          <t>THE WINE GROUP LTD</t>
        </is>
      </c>
      <c r="N832" s="25" t="inlineStr">
        <is>
          <t>040003-RNDC-VINTAGE</t>
        </is>
      </c>
      <c r="O832" s="25" t="n"/>
      <c r="P832" s="25" t="inlineStr">
        <is>
          <t>10085904813304</t>
        </is>
      </c>
      <c r="Q832" s="25" t="inlineStr">
        <is>
          <t>0085904813307</t>
        </is>
      </c>
      <c r="R832" s="78" t="n">
        <v>42278</v>
      </c>
    </row>
    <row r="833">
      <c r="A833" t="inlineStr">
        <is>
          <t>or item code =</t>
        </is>
      </c>
      <c r="B833" s="25" t="inlineStr">
        <is>
          <t>812794</t>
        </is>
      </c>
      <c r="C833" s="25" t="inlineStr">
        <is>
          <t>MD 20/20 RED GRAPE</t>
        </is>
      </c>
      <c r="D833" s="25" t="inlineStr">
        <is>
          <t>750ml</t>
        </is>
      </c>
      <c r="E833" s="27" t="n">
        <v>0</v>
      </c>
      <c r="F833" s="27" t="n">
        <v>50</v>
      </c>
      <c r="G833" s="27" t="n">
        <v>12</v>
      </c>
      <c r="H833" s="28" t="n">
        <v>36.45</v>
      </c>
      <c r="I833" s="28" t="n">
        <v>0</v>
      </c>
      <c r="J833" s="94" t="inlineStr">
        <is>
          <t>False</t>
        </is>
      </c>
      <c r="K833" s="28" t="n">
        <v>0</v>
      </c>
      <c r="L833" s="25" t="inlineStr">
        <is>
          <t>RED WINE</t>
        </is>
      </c>
      <c r="M833" s="25" t="inlineStr">
        <is>
          <t>THE WINE GROUP LTD</t>
        </is>
      </c>
      <c r="N833" s="25" t="inlineStr">
        <is>
          <t>040003-RNDC-VINTAGE</t>
        </is>
      </c>
      <c r="O833" s="25" t="n"/>
      <c r="P833" s="25" t="inlineStr">
        <is>
          <t>10669576019228</t>
        </is>
      </c>
      <c r="Q833" s="25" t="inlineStr">
        <is>
          <t>0085904814403</t>
        </is>
      </c>
      <c r="R833" s="78" t="n">
        <v>42370</v>
      </c>
    </row>
    <row r="834">
      <c r="A834" t="inlineStr">
        <is>
          <t>or item code =</t>
        </is>
      </c>
      <c r="B834" s="25" t="inlineStr">
        <is>
          <t>443950</t>
        </is>
      </c>
      <c r="C834" s="25" t="inlineStr">
        <is>
          <t>MEIOMI PINOT NOIR MNTRY/SNTA BARB/SONOMA</t>
        </is>
      </c>
      <c r="D834" s="25" t="inlineStr">
        <is>
          <t>750ml</t>
        </is>
      </c>
      <c r="E834" s="27" t="n">
        <v>1521</v>
      </c>
      <c r="F834" s="27" t="n">
        <v>456</v>
      </c>
      <c r="G834" s="27" t="n">
        <v>12</v>
      </c>
      <c r="H834" s="28" t="n">
        <v>205.63</v>
      </c>
      <c r="I834" s="28" t="n">
        <v>0</v>
      </c>
      <c r="J834" s="94" t="inlineStr">
        <is>
          <t>False</t>
        </is>
      </c>
      <c r="K834" s="28" t="n">
        <v>0</v>
      </c>
      <c r="L834" s="25" t="inlineStr">
        <is>
          <t>PINOT NOIR</t>
        </is>
      </c>
      <c r="M834" s="25" t="inlineStr">
        <is>
          <t>CONSTELLATION BRANDS INC</t>
        </is>
      </c>
      <c r="N834" s="25" t="inlineStr">
        <is>
          <t>040010-SOUTHERN GLAZERS WINE AND SPIRITS OF MISSISSIPPI LLC</t>
        </is>
      </c>
      <c r="O834" s="25" t="n"/>
      <c r="P834" s="25" t="inlineStr">
        <is>
          <t>20855165005070</t>
        </is>
      </c>
      <c r="Q834" s="25" t="inlineStr">
        <is>
          <t>0855165005076</t>
        </is>
      </c>
      <c r="R834" s="78" t="n">
        <v>42370</v>
      </c>
    </row>
    <row r="835">
      <c r="A835" t="inlineStr">
        <is>
          <t>or item code =</t>
        </is>
      </c>
      <c r="B835" s="25" t="inlineStr">
        <is>
          <t>27236</t>
        </is>
      </c>
      <c r="C835" s="25" t="inlineStr">
        <is>
          <t>MELLOW CORN</t>
        </is>
      </c>
      <c r="D835" s="25" t="inlineStr">
        <is>
          <t>750ml</t>
        </is>
      </c>
      <c r="E835" s="27" t="n">
        <v>26</v>
      </c>
      <c r="F835" s="27" t="n">
        <v>12</v>
      </c>
      <c r="G835" s="27" t="n">
        <v>12</v>
      </c>
      <c r="H835" s="28" t="n">
        <v>166.1</v>
      </c>
      <c r="I835" s="28" t="n">
        <v>0</v>
      </c>
      <c r="J835" s="94" t="inlineStr">
        <is>
          <t>False</t>
        </is>
      </c>
      <c r="K835" s="28" t="n">
        <v>0</v>
      </c>
      <c r="L835" s="25" t="inlineStr">
        <is>
          <t>WHISKEY - CORN</t>
        </is>
      </c>
      <c r="M835" s="25" t="inlineStr">
        <is>
          <t>HEAVEN HILL BRANDS</t>
        </is>
      </c>
      <c r="N835" s="25" t="inlineStr">
        <is>
          <t>040010-SOUTHERN GLAZERS WINE AND SPIRITS OF MISSISSIPPI LLC</t>
        </is>
      </c>
      <c r="O835" s="25" t="n"/>
      <c r="P835" s="25" t="inlineStr">
        <is>
          <t>10096749701756</t>
        </is>
      </c>
      <c r="Q835" s="25" t="inlineStr">
        <is>
          <t>0096749701759</t>
        </is>
      </c>
      <c r="R835" s="78" t="n">
        <v>42370</v>
      </c>
    </row>
    <row r="836">
      <c r="A836" t="inlineStr">
        <is>
          <t>or item code =</t>
        </is>
      </c>
      <c r="B836" s="25" t="inlineStr">
        <is>
          <t>485433</t>
        </is>
      </c>
      <c r="C836" s="25" t="inlineStr">
        <is>
          <t>MENAGE A TROIS HOT PINK SWEET ROSE COLLC</t>
        </is>
      </c>
      <c r="D836" s="25" t="inlineStr">
        <is>
          <t>750ml</t>
        </is>
      </c>
      <c r="E836" s="27" t="n">
        <v>103</v>
      </c>
      <c r="F836" s="27" t="n">
        <v>16</v>
      </c>
      <c r="G836" s="27" t="n">
        <v>12</v>
      </c>
      <c r="H836" s="28" t="n">
        <v>128.44</v>
      </c>
      <c r="I836" s="28" t="n">
        <v>0</v>
      </c>
      <c r="J836" s="94" t="inlineStr">
        <is>
          <t>False</t>
        </is>
      </c>
      <c r="K836" s="28" t="n">
        <v>0</v>
      </c>
      <c r="L836" s="25" t="inlineStr">
        <is>
          <t>ROSE / BLUSH WINE</t>
        </is>
      </c>
      <c r="M836" s="25" t="inlineStr">
        <is>
          <t>SUTTER HOME WINERY</t>
        </is>
      </c>
      <c r="N836" s="25" t="inlineStr">
        <is>
          <t>040003-RNDC-VINTAGE</t>
        </is>
      </c>
      <c r="O836" s="25" t="n"/>
      <c r="P836" s="25" t="n"/>
      <c r="Q836" s="25" t="inlineStr">
        <is>
          <t>099988071973</t>
        </is>
      </c>
      <c r="R836" s="78" t="n">
        <v>44652</v>
      </c>
    </row>
    <row r="837">
      <c r="A837" t="inlineStr">
        <is>
          <t>or item code =</t>
        </is>
      </c>
      <c r="B837" s="25" t="inlineStr">
        <is>
          <t>485490</t>
        </is>
      </c>
      <c r="C837" s="25" t="inlineStr">
        <is>
          <t>MENAGE A TROIS ORIGINAL RED BLEND</t>
        </is>
      </c>
      <c r="D837" s="25" t="inlineStr">
        <is>
          <t>750ml</t>
        </is>
      </c>
      <c r="E837" s="27" t="n">
        <v>8</v>
      </c>
      <c r="F837" s="27" t="n">
        <v>115</v>
      </c>
      <c r="G837" s="27" t="n">
        <v>12</v>
      </c>
      <c r="H837" s="28" t="n">
        <v>111.31</v>
      </c>
      <c r="I837" s="28" t="n">
        <v>0</v>
      </c>
      <c r="J837" s="94" t="inlineStr">
        <is>
          <t>False</t>
        </is>
      </c>
      <c r="K837" s="28" t="n">
        <v>0</v>
      </c>
      <c r="L837" s="25" t="inlineStr">
        <is>
          <t>RED WINE</t>
        </is>
      </c>
      <c r="M837" s="25" t="inlineStr">
        <is>
          <t>SUTTER HOME WINERY</t>
        </is>
      </c>
      <c r="N837" s="25" t="inlineStr">
        <is>
          <t>040003-RNDC-VINTAGE</t>
        </is>
      </c>
      <c r="O837" s="25" t="n"/>
      <c r="P837" s="25" t="inlineStr">
        <is>
          <t>00099988371097</t>
        </is>
      </c>
      <c r="Q837" s="25" t="inlineStr">
        <is>
          <t>0099988071096</t>
        </is>
      </c>
      <c r="R837" s="78" t="n">
        <v>42370</v>
      </c>
    </row>
    <row r="838">
      <c r="A838" t="inlineStr">
        <is>
          <t>or item code =</t>
        </is>
      </c>
      <c r="B838" s="25" t="inlineStr">
        <is>
          <t>485473</t>
        </is>
      </c>
      <c r="C838" s="25" t="inlineStr">
        <is>
          <t>MENAGE A TROIS SILK RED</t>
        </is>
      </c>
      <c r="D838" s="25" t="inlineStr">
        <is>
          <t>750ml</t>
        </is>
      </c>
      <c r="E838" s="27" t="n">
        <v>65</v>
      </c>
      <c r="F838" s="27" t="n">
        <v>93</v>
      </c>
      <c r="G838" s="27" t="n">
        <v>12</v>
      </c>
      <c r="H838" s="28" t="n">
        <v>111.31</v>
      </c>
      <c r="I838" s="28" t="n">
        <v>0</v>
      </c>
      <c r="J838" s="94" t="inlineStr">
        <is>
          <t>False</t>
        </is>
      </c>
      <c r="K838" s="28" t="n">
        <v>0</v>
      </c>
      <c r="L838" s="25" t="inlineStr">
        <is>
          <t>RED WINE</t>
        </is>
      </c>
      <c r="M838" s="25" t="inlineStr">
        <is>
          <t>SUTTER HOME WINERY</t>
        </is>
      </c>
      <c r="N838" s="25" t="inlineStr">
        <is>
          <t>040003-RNDC-VINTAGE</t>
        </is>
      </c>
      <c r="O838" s="25" t="n"/>
      <c r="P838" s="25" t="inlineStr">
        <is>
          <t>00099988371366</t>
        </is>
      </c>
      <c r="Q838" s="25" t="inlineStr">
        <is>
          <t>0099988071362</t>
        </is>
      </c>
      <c r="R838" s="78" t="n">
        <v>42366</v>
      </c>
    </row>
    <row r="839">
      <c r="A839" t="inlineStr">
        <is>
          <t>or item code =</t>
        </is>
      </c>
      <c r="B839" s="25" t="inlineStr">
        <is>
          <t>485449</t>
        </is>
      </c>
      <c r="C839" s="25" t="inlineStr">
        <is>
          <t>MENAGE SWEET COLLECTION DOLCE RED</t>
        </is>
      </c>
      <c r="D839" s="25" t="inlineStr">
        <is>
          <t>750ml</t>
        </is>
      </c>
      <c r="E839" s="27" t="n">
        <v>38</v>
      </c>
      <c r="F839" s="27" t="n">
        <v>87</v>
      </c>
      <c r="G839" s="27" t="n">
        <v>12</v>
      </c>
      <c r="H839" s="28" t="n">
        <v>128.44</v>
      </c>
      <c r="I839" s="28" t="n">
        <v>0</v>
      </c>
      <c r="J839" s="94" t="inlineStr">
        <is>
          <t>False</t>
        </is>
      </c>
      <c r="K839" s="28" t="n">
        <v>0</v>
      </c>
      <c r="L839" s="25" t="inlineStr">
        <is>
          <t>RED WINE</t>
        </is>
      </c>
      <c r="M839" s="25" t="inlineStr">
        <is>
          <t>SUTTER HOME WINERY</t>
        </is>
      </c>
      <c r="N839" s="25" t="inlineStr">
        <is>
          <t>040003-RNDC-VINTAGE</t>
        </is>
      </c>
      <c r="O839" s="25" t="n"/>
      <c r="P839" s="25" t="inlineStr">
        <is>
          <t>00099988071928</t>
        </is>
      </c>
      <c r="Q839" s="25" t="inlineStr">
        <is>
          <t>099988071911</t>
        </is>
      </c>
      <c r="R839" s="78" t="n">
        <v>44409</v>
      </c>
    </row>
    <row r="840">
      <c r="A840" t="inlineStr">
        <is>
          <t>or item code =</t>
        </is>
      </c>
      <c r="B840" s="25" t="inlineStr">
        <is>
          <t>588642</t>
        </is>
      </c>
      <c r="C840" s="25" t="inlineStr">
        <is>
          <t>MENAGE SWEET COLLECTION MOSCATO</t>
        </is>
      </c>
      <c r="D840" s="25" t="inlineStr">
        <is>
          <t>750ml</t>
        </is>
      </c>
      <c r="E840" s="27" t="n">
        <v>2</v>
      </c>
      <c r="F840" s="27" t="n">
        <v>15</v>
      </c>
      <c r="G840" s="27" t="n">
        <v>12</v>
      </c>
      <c r="H840" s="28" t="n">
        <v>128.44</v>
      </c>
      <c r="I840" s="28" t="n">
        <v>0</v>
      </c>
      <c r="J840" s="94" t="inlineStr">
        <is>
          <t>False</t>
        </is>
      </c>
      <c r="K840" s="28" t="n">
        <v>0</v>
      </c>
      <c r="L840" s="25" t="inlineStr">
        <is>
          <t>RED WINE</t>
        </is>
      </c>
      <c r="M840" s="25" t="inlineStr">
        <is>
          <t>SUTTER HOME WINERY</t>
        </is>
      </c>
      <c r="N840" s="25" t="inlineStr">
        <is>
          <t>040003-RNDC-VINTAGE</t>
        </is>
      </c>
      <c r="O840" s="25" t="n"/>
      <c r="P840" s="25" t="n"/>
      <c r="Q840" s="25" t="inlineStr">
        <is>
          <t>09998871898</t>
        </is>
      </c>
      <c r="R840" s="78" t="n">
        <v>44409</v>
      </c>
    </row>
    <row r="841">
      <c r="A841" t="inlineStr">
        <is>
          <t>or item code =</t>
        </is>
      </c>
      <c r="B841" s="25" t="inlineStr">
        <is>
          <t>48766</t>
        </is>
      </c>
      <c r="C841" s="25" t="inlineStr">
        <is>
          <t>MEUKOW VS COGNAC</t>
        </is>
      </c>
      <c r="D841" s="25" t="inlineStr">
        <is>
          <t>750ml</t>
        </is>
      </c>
      <c r="E841" s="27" t="n">
        <v>192</v>
      </c>
      <c r="F841" s="27" t="n">
        <v>44</v>
      </c>
      <c r="G841" s="27" t="n">
        <v>12</v>
      </c>
      <c r="H841" s="28" t="n">
        <v>295.3</v>
      </c>
      <c r="I841" s="28" t="n">
        <v>0</v>
      </c>
      <c r="J841" s="94" t="inlineStr">
        <is>
          <t>False</t>
        </is>
      </c>
      <c r="K841" s="28" t="n">
        <v>0</v>
      </c>
      <c r="L841" s="25" t="inlineStr">
        <is>
          <t>COGNAC, ARMAGNAC</t>
        </is>
      </c>
      <c r="M841" s="25" t="inlineStr">
        <is>
          <t>SAZERAC COMPANY</t>
        </is>
      </c>
      <c r="N841" s="25" t="inlineStr">
        <is>
          <t>040002-RNDC-MAGNOLIA</t>
        </is>
      </c>
      <c r="O841" s="25" t="n"/>
      <c r="P841" s="25" t="inlineStr">
        <is>
          <t>10080660110520</t>
        </is>
      </c>
      <c r="Q841" s="25" t="inlineStr">
        <is>
          <t>0080660110523</t>
        </is>
      </c>
      <c r="R841" s="78" t="n">
        <v>42370</v>
      </c>
    </row>
    <row r="842">
      <c r="A842" t="inlineStr">
        <is>
          <t>or item code =</t>
        </is>
      </c>
      <c r="B842" s="25" t="inlineStr">
        <is>
          <t>48764</t>
        </is>
      </c>
      <c r="C842" s="25" t="inlineStr">
        <is>
          <t>MEUKOW VS COGNAC (ROUND BOTTLE)</t>
        </is>
      </c>
      <c r="D842" s="25" t="inlineStr">
        <is>
          <t>375ml</t>
        </is>
      </c>
      <c r="E842" s="27" t="n">
        <v>299</v>
      </c>
      <c r="F842" s="27" t="n">
        <v>41</v>
      </c>
      <c r="G842" s="27" t="n">
        <v>12</v>
      </c>
      <c r="H842" s="28" t="n">
        <v>166.07</v>
      </c>
      <c r="I842" s="28" t="n">
        <v>0</v>
      </c>
      <c r="J842" s="94" t="inlineStr">
        <is>
          <t>False</t>
        </is>
      </c>
      <c r="K842" s="28" t="n">
        <v>0</v>
      </c>
      <c r="L842" s="25" t="inlineStr">
        <is>
          <t>COGNAC, ARMAGNAC</t>
        </is>
      </c>
      <c r="M842" s="25" t="inlineStr">
        <is>
          <t>SAZERAC COMPANY</t>
        </is>
      </c>
      <c r="N842" s="25" t="inlineStr">
        <is>
          <t>040002-RNDC-MAGNOLIA</t>
        </is>
      </c>
      <c r="O842" s="25" t="n"/>
      <c r="P842" s="25" t="inlineStr">
        <is>
          <t>10080660100972</t>
        </is>
      </c>
      <c r="Q842" s="25" t="inlineStr">
        <is>
          <t>0080660100975</t>
        </is>
      </c>
      <c r="R842" s="78" t="n">
        <v>42370</v>
      </c>
    </row>
    <row r="843">
      <c r="A843" t="inlineStr">
        <is>
          <t>or item code =</t>
        </is>
      </c>
      <c r="B843" s="25" t="inlineStr">
        <is>
          <t>88095</t>
        </is>
      </c>
      <c r="C843" s="25" t="inlineStr">
        <is>
          <t>MI CAMPO BLANCO TEQUILA</t>
        </is>
      </c>
      <c r="D843" s="25" t="inlineStr">
        <is>
          <t>750ml</t>
        </is>
      </c>
      <c r="E843" s="27" t="n">
        <v>10</v>
      </c>
      <c r="F843" s="27" t="n">
        <v>11</v>
      </c>
      <c r="G843" s="27" t="n">
        <v>12</v>
      </c>
      <c r="H843" s="28" t="n">
        <v>205.27</v>
      </c>
      <c r="I843" s="28" t="n">
        <v>0</v>
      </c>
      <c r="J843" s="94" t="inlineStr">
        <is>
          <t>False</t>
        </is>
      </c>
      <c r="K843" s="28" t="n">
        <v>0</v>
      </c>
      <c r="L843" s="25" t="inlineStr">
        <is>
          <t>TEQUILA</t>
        </is>
      </c>
      <c r="M843" s="25" t="inlineStr">
        <is>
          <t>CONSTELLATION BRANDS INC</t>
        </is>
      </c>
      <c r="N843" s="25" t="inlineStr">
        <is>
          <t>040010-SOUTHERN GLAZERS WINE AND SPIRITS OF MISSISSIPPI LLC</t>
        </is>
      </c>
      <c r="O843" s="25" t="n"/>
      <c r="P843" s="25" t="inlineStr">
        <is>
          <t>10086003272030</t>
        </is>
      </c>
      <c r="Q843" s="25" t="inlineStr">
        <is>
          <t>086003272033</t>
        </is>
      </c>
      <c r="R843" s="78" t="n">
        <v>43662</v>
      </c>
    </row>
    <row r="844">
      <c r="A844" t="inlineStr">
        <is>
          <t>or item code =</t>
        </is>
      </c>
      <c r="B844" s="25" t="inlineStr">
        <is>
          <t>19880</t>
        </is>
      </c>
      <c r="C844" s="25" t="inlineStr">
        <is>
          <t>MICHTER'S US*1 SMALL BATCH BOURBON</t>
        </is>
      </c>
      <c r="D844" s="25" t="inlineStr">
        <is>
          <t>750ml</t>
        </is>
      </c>
      <c r="E844" s="27" t="n">
        <v>229</v>
      </c>
      <c r="F844" s="27" t="n">
        <v>83</v>
      </c>
      <c r="G844" s="27" t="n">
        <v>6</v>
      </c>
      <c r="H844" s="28" t="n">
        <v>192.4</v>
      </c>
      <c r="I844" s="28" t="n">
        <v>18</v>
      </c>
      <c r="J844" s="94" t="inlineStr">
        <is>
          <t>False</t>
        </is>
      </c>
      <c r="K844" s="28" t="n">
        <v>0</v>
      </c>
      <c r="L844" s="25" t="inlineStr">
        <is>
          <t>WHISKEY - STR BOURBON</t>
        </is>
      </c>
      <c r="M844" s="25" t="inlineStr">
        <is>
          <t>CHATHAM IMPORTS INC</t>
        </is>
      </c>
      <c r="N844" s="25" t="inlineStr">
        <is>
          <t>040010-SOUTHERN GLAZERS WINE AND SPIRITS OF MISSISSIPPI LLC</t>
        </is>
      </c>
      <c r="O844" s="25" t="n"/>
      <c r="P844" s="25" t="inlineStr">
        <is>
          <t>40039383007199</t>
        </is>
      </c>
      <c r="Q844" s="25" t="inlineStr">
        <is>
          <t>0039383007184</t>
        </is>
      </c>
      <c r="R844" s="78" t="n">
        <v>42370</v>
      </c>
    </row>
    <row r="845">
      <c r="A845" t="inlineStr">
        <is>
          <t>or item code =</t>
        </is>
      </c>
      <c r="B845" s="25" t="inlineStr">
        <is>
          <t>88116</t>
        </is>
      </c>
      <c r="C845" s="25" t="inlineStr">
        <is>
          <t>MILAGRO 100% BLUE AGAVE SILVER</t>
        </is>
      </c>
      <c r="D845" s="25" t="inlineStr">
        <is>
          <t>750ml</t>
        </is>
      </c>
      <c r="E845" s="27" t="n">
        <v>67</v>
      </c>
      <c r="F845" s="27" t="n">
        <v>67</v>
      </c>
      <c r="G845" s="27" t="n">
        <v>6</v>
      </c>
      <c r="H845" s="28" t="n">
        <v>161.49</v>
      </c>
      <c r="I845" s="28" t="n">
        <v>0</v>
      </c>
      <c r="J845" s="94" t="inlineStr">
        <is>
          <t>False</t>
        </is>
      </c>
      <c r="K845" s="28" t="n">
        <v>0</v>
      </c>
      <c r="L845" s="25" t="inlineStr">
        <is>
          <t>TEQUILA</t>
        </is>
      </c>
      <c r="M845" s="25" t="inlineStr">
        <is>
          <t>WILLIAM GRANT &amp; SONS</t>
        </is>
      </c>
      <c r="N845" s="25" t="inlineStr">
        <is>
          <t>040002-RNDC-MAGNOLIA</t>
        </is>
      </c>
      <c r="O845" s="25" t="n"/>
      <c r="P845" s="25" t="inlineStr">
        <is>
          <t>10083664868916</t>
        </is>
      </c>
      <c r="Q845" s="25" t="inlineStr">
        <is>
          <t>0083664868919</t>
        </is>
      </c>
      <c r="R845" s="78" t="n">
        <v>42370</v>
      </c>
    </row>
    <row r="846">
      <c r="A846" t="inlineStr">
        <is>
          <t>or item code =</t>
        </is>
      </c>
      <c r="B846" s="25" t="inlineStr">
        <is>
          <t>89583</t>
        </is>
      </c>
      <c r="C846" s="25" t="inlineStr">
        <is>
          <t>MILAGRO REPOSADO TEQUILA</t>
        </is>
      </c>
      <c r="D846" s="25" t="inlineStr">
        <is>
          <t>750ml</t>
        </is>
      </c>
      <c r="E846" s="27" t="n">
        <v>116</v>
      </c>
      <c r="F846" s="27" t="n">
        <v>23</v>
      </c>
      <c r="G846" s="27" t="n">
        <v>6</v>
      </c>
      <c r="H846" s="28" t="n">
        <v>161.49</v>
      </c>
      <c r="I846" s="28" t="n">
        <v>0</v>
      </c>
      <c r="J846" s="94" t="inlineStr">
        <is>
          <t>False</t>
        </is>
      </c>
      <c r="K846" s="28" t="n">
        <v>0</v>
      </c>
      <c r="L846" s="25" t="inlineStr">
        <is>
          <t>TEQUILA</t>
        </is>
      </c>
      <c r="M846" s="25" t="inlineStr">
        <is>
          <t>WILLIAM GRANT &amp; SONS</t>
        </is>
      </c>
      <c r="N846" s="25" t="inlineStr">
        <is>
          <t>040002-RNDC-MAGNOLIA</t>
        </is>
      </c>
      <c r="O846" s="25" t="n"/>
      <c r="P846" s="25" t="inlineStr">
        <is>
          <t>10083664868947</t>
        </is>
      </c>
      <c r="Q846" s="25" t="inlineStr">
        <is>
          <t>0083664868940</t>
        </is>
      </c>
      <c r="R846" s="78" t="n">
        <v>42370</v>
      </c>
    </row>
    <row r="847">
      <c r="A847" t="inlineStr">
        <is>
          <t>or item code =</t>
        </is>
      </c>
      <c r="B847" s="25" t="inlineStr">
        <is>
          <t>489388</t>
        </is>
      </c>
      <c r="C847" s="25" t="inlineStr">
        <is>
          <t>MIRASSOU PINOT NOIR</t>
        </is>
      </c>
      <c r="D847" s="25" t="inlineStr">
        <is>
          <t>750ml</t>
        </is>
      </c>
      <c r="E847" s="27" t="n">
        <v>84</v>
      </c>
      <c r="F847" s="27" t="n">
        <v>202</v>
      </c>
      <c r="G847" s="27" t="n">
        <v>12</v>
      </c>
      <c r="H847" s="28" t="n">
        <v>102.78</v>
      </c>
      <c r="I847" s="28" t="n">
        <v>0</v>
      </c>
      <c r="J847" s="94" t="inlineStr">
        <is>
          <t>False</t>
        </is>
      </c>
      <c r="K847" s="28" t="n">
        <v>0</v>
      </c>
      <c r="L847" s="25" t="inlineStr">
        <is>
          <t>PINOT NOIR</t>
        </is>
      </c>
      <c r="M847" s="25" t="inlineStr">
        <is>
          <t>E &amp; J GALLO WINERY</t>
        </is>
      </c>
      <c r="N847" s="25" t="inlineStr">
        <is>
          <t>040012-GALLO WINES OF MISSISSIPPI</t>
        </is>
      </c>
      <c r="O847" s="25" t="n"/>
      <c r="P847" s="25" t="inlineStr">
        <is>
          <t>30085000012278</t>
        </is>
      </c>
      <c r="Q847" s="25" t="inlineStr">
        <is>
          <t>0085000012277</t>
        </is>
      </c>
      <c r="R847" s="78" t="n">
        <v>42370</v>
      </c>
    </row>
    <row r="848">
      <c r="A848" t="inlineStr">
        <is>
          <t>or item code =</t>
        </is>
      </c>
      <c r="B848" s="25" t="inlineStr">
        <is>
          <t>219158</t>
        </is>
      </c>
      <c r="C848" s="25" t="inlineStr">
        <is>
          <t>MOET &amp; CHANDON ICE IMPERIAL W/NECKER VAP</t>
        </is>
      </c>
      <c r="D848" s="25" t="inlineStr">
        <is>
          <t>750ml</t>
        </is>
      </c>
      <c r="E848" s="27" t="n">
        <v>4</v>
      </c>
      <c r="F848" s="27" t="n">
        <v>0</v>
      </c>
      <c r="G848" s="27" t="n">
        <v>6</v>
      </c>
      <c r="H848" s="28" t="n">
        <v>306.63</v>
      </c>
      <c r="I848" s="28" t="n">
        <v>0</v>
      </c>
      <c r="J848" s="94" t="inlineStr">
        <is>
          <t>False</t>
        </is>
      </c>
      <c r="K848" s="28" t="n">
        <v>0</v>
      </c>
      <c r="L848" s="25" t="inlineStr">
        <is>
          <t>Value Added Pack</t>
        </is>
      </c>
      <c r="M848" s="25" t="inlineStr">
        <is>
          <t>MOET HENNESSY USA</t>
        </is>
      </c>
      <c r="N848" s="25" t="inlineStr">
        <is>
          <t>040010-SOUTHERN GLAZERS WINE AND SPIRITS OF MISSISSIPPI LLC</t>
        </is>
      </c>
      <c r="O848" s="25" t="inlineStr">
        <is>
          <t>Temporarily Unavailable for Sale</t>
        </is>
      </c>
      <c r="P848" s="25" t="inlineStr">
        <is>
          <t>10081753822924</t>
        </is>
      </c>
      <c r="Q848" s="25" t="inlineStr">
        <is>
          <t>0081753818029</t>
        </is>
      </c>
      <c r="R848" s="78" t="n">
        <v>42815</v>
      </c>
    </row>
    <row r="849">
      <c r="A849" t="inlineStr">
        <is>
          <t>or item code =</t>
        </is>
      </c>
      <c r="B849" s="25" t="inlineStr">
        <is>
          <t>710806</t>
        </is>
      </c>
      <c r="C849" s="25" t="inlineStr">
        <is>
          <t>MOET &amp; CHANDON IMPERIAL</t>
        </is>
      </c>
      <c r="D849" s="25" t="inlineStr">
        <is>
          <t>750ml</t>
        </is>
      </c>
      <c r="E849" s="27" t="n">
        <v>0</v>
      </c>
      <c r="F849" s="27" t="n">
        <v>21</v>
      </c>
      <c r="G849" s="27" t="n">
        <v>6</v>
      </c>
      <c r="H849" s="28" t="n">
        <v>257.74</v>
      </c>
      <c r="I849" s="28" t="n">
        <v>0</v>
      </c>
      <c r="J849" s="94" t="inlineStr">
        <is>
          <t>False</t>
        </is>
      </c>
      <c r="K849" s="28" t="n">
        <v>0</v>
      </c>
      <c r="L849" s="25" t="inlineStr">
        <is>
          <t>SPRKLNG, CHMPGNE, ETC.</t>
        </is>
      </c>
      <c r="M849" s="25" t="inlineStr">
        <is>
          <t>MOET HENNESSY USA</t>
        </is>
      </c>
      <c r="N849" s="25" t="inlineStr">
        <is>
          <t>040010-SOUTHERN GLAZERS WINE AND SPIRITS OF MISSISSIPPI LLC</t>
        </is>
      </c>
      <c r="O849" s="25" t="n"/>
      <c r="P849" s="25" t="inlineStr">
        <is>
          <t>10081753822108</t>
        </is>
      </c>
      <c r="Q849" s="25" t="inlineStr">
        <is>
          <t>0088110551056</t>
        </is>
      </c>
      <c r="R849" s="78" t="n">
        <v>42370</v>
      </c>
    </row>
    <row r="850">
      <c r="A850" t="inlineStr">
        <is>
          <t>or item code =</t>
        </is>
      </c>
      <c r="B850" s="25" t="inlineStr">
        <is>
          <t>710909</t>
        </is>
      </c>
      <c r="C850" s="25" t="inlineStr">
        <is>
          <t>MOET &amp; CHANDON NECTAR IMPERIAL</t>
        </is>
      </c>
      <c r="D850" s="25" t="inlineStr">
        <is>
          <t>750ml</t>
        </is>
      </c>
      <c r="E850" s="27" t="n">
        <v>9</v>
      </c>
      <c r="F850" s="27" t="n">
        <v>13</v>
      </c>
      <c r="G850" s="27" t="n">
        <v>6</v>
      </c>
      <c r="H850" s="28" t="n">
        <v>275.51</v>
      </c>
      <c r="I850" s="28" t="n">
        <v>0</v>
      </c>
      <c r="J850" s="94" t="inlineStr">
        <is>
          <t>False</t>
        </is>
      </c>
      <c r="K850" s="28" t="n">
        <v>0</v>
      </c>
      <c r="L850" s="25" t="inlineStr">
        <is>
          <t>SPRKLNG, CHMPGNE, ETC.</t>
        </is>
      </c>
      <c r="M850" s="25" t="inlineStr">
        <is>
          <t>MOET HENNESSY USA</t>
        </is>
      </c>
      <c r="N850" s="25" t="inlineStr">
        <is>
          <t>040010-SOUTHERN GLAZERS WINE AND SPIRITS OF MISSISSIPPI LLC</t>
        </is>
      </c>
      <c r="O850" s="25" t="n"/>
      <c r="P850" s="25" t="inlineStr">
        <is>
          <t>10081753813687</t>
        </is>
      </c>
      <c r="Q850" s="25" t="inlineStr">
        <is>
          <t>0088110551254</t>
        </is>
      </c>
      <c r="R850" s="78" t="n">
        <v>42370</v>
      </c>
    </row>
    <row r="851">
      <c r="A851" t="inlineStr">
        <is>
          <t>or item code =</t>
        </is>
      </c>
      <c r="B851" s="25" t="inlineStr">
        <is>
          <t>710921</t>
        </is>
      </c>
      <c r="C851" s="25" t="inlineStr">
        <is>
          <t>MOET CHANDON NECTAR IMPERIAL ROSE</t>
        </is>
      </c>
      <c r="D851" s="25" t="inlineStr">
        <is>
          <t>750ml</t>
        </is>
      </c>
      <c r="E851" s="27" t="n">
        <v>91</v>
      </c>
      <c r="F851" s="27" t="n">
        <v>35</v>
      </c>
      <c r="G851" s="27" t="n">
        <v>6</v>
      </c>
      <c r="H851" s="28" t="n">
        <v>288.85</v>
      </c>
      <c r="I851" s="28" t="n">
        <v>0</v>
      </c>
      <c r="J851" s="94" t="inlineStr">
        <is>
          <t>False</t>
        </is>
      </c>
      <c r="K851" s="28" t="n">
        <v>0</v>
      </c>
      <c r="L851" s="25" t="inlineStr">
        <is>
          <t>SPRKLNG, CHMPGNE, ETC.</t>
        </is>
      </c>
      <c r="M851" s="25" t="inlineStr">
        <is>
          <t>MOET HENNESSY USA</t>
        </is>
      </c>
      <c r="N851" s="25" t="inlineStr">
        <is>
          <t>040010-SOUTHERN GLAZERS WINE AND SPIRITS OF MISSISSIPPI LLC</t>
        </is>
      </c>
      <c r="O851" s="25" t="n"/>
      <c r="P851" s="25" t="inlineStr">
        <is>
          <t>10081753813694</t>
        </is>
      </c>
      <c r="Q851" s="25" t="inlineStr">
        <is>
          <t>0088076161658</t>
        </is>
      </c>
      <c r="R851" s="78" t="n">
        <v>42370</v>
      </c>
    </row>
    <row r="852">
      <c r="A852" t="inlineStr">
        <is>
          <t>or item code =</t>
        </is>
      </c>
      <c r="B852" s="25" t="inlineStr">
        <is>
          <t>710924</t>
        </is>
      </c>
      <c r="C852" s="25" t="inlineStr">
        <is>
          <t>MOET CHANDON NECTAR ROSE</t>
        </is>
      </c>
      <c r="D852" s="25" t="inlineStr">
        <is>
          <t>187ml</t>
        </is>
      </c>
      <c r="E852" s="27" t="n">
        <v>112</v>
      </c>
      <c r="F852" s="27" t="n">
        <v>0</v>
      </c>
      <c r="G852" s="27" t="n">
        <v>24</v>
      </c>
      <c r="H852" s="28" t="n">
        <v>355.38</v>
      </c>
      <c r="I852" s="28" t="n">
        <v>0</v>
      </c>
      <c r="J852" s="94" t="inlineStr">
        <is>
          <t>False</t>
        </is>
      </c>
      <c r="K852" s="28" t="n">
        <v>0</v>
      </c>
      <c r="L852" s="25" t="inlineStr">
        <is>
          <t>SPRKLNG, CHMPGNE, ETC.</t>
        </is>
      </c>
      <c r="M852" s="25" t="inlineStr">
        <is>
          <t>MOET HENNESSY USA</t>
        </is>
      </c>
      <c r="N852" s="25" t="inlineStr">
        <is>
          <t>040010-SOUTHERN GLAZERS WINE AND SPIRITS OF MISSISSIPPI LLC</t>
        </is>
      </c>
      <c r="O852" s="25" t="n"/>
      <c r="P852" s="25" t="inlineStr">
        <is>
          <t>10081753816763</t>
        </is>
      </c>
      <c r="Q852" s="25" t="inlineStr">
        <is>
          <t>0081753816766</t>
        </is>
      </c>
      <c r="R852" s="78" t="n">
        <v>42370</v>
      </c>
    </row>
    <row r="853">
      <c r="A853" t="inlineStr">
        <is>
          <t>or item code =</t>
        </is>
      </c>
      <c r="B853" s="25" t="inlineStr">
        <is>
          <t>710925</t>
        </is>
      </c>
      <c r="C853" s="25" t="inlineStr">
        <is>
          <t>MOET CHANDON NECTAR ROSE</t>
        </is>
      </c>
      <c r="D853" s="25" t="inlineStr">
        <is>
          <t>375ml</t>
        </is>
      </c>
      <c r="E853" s="27" t="n">
        <v>85</v>
      </c>
      <c r="F853" s="27" t="n">
        <v>12</v>
      </c>
      <c r="G853" s="27" t="n">
        <v>12</v>
      </c>
      <c r="H853" s="28" t="n">
        <v>337.7</v>
      </c>
      <c r="I853" s="28" t="n">
        <v>0</v>
      </c>
      <c r="J853" s="94" t="inlineStr">
        <is>
          <t>False</t>
        </is>
      </c>
      <c r="K853" s="28" t="n">
        <v>0</v>
      </c>
      <c r="L853" s="25" t="inlineStr">
        <is>
          <t>SPRKLNG, CHMPGNE, ETC.</t>
        </is>
      </c>
      <c r="M853" s="25" t="inlineStr">
        <is>
          <t>MOET HENNESSY USA</t>
        </is>
      </c>
      <c r="N853" s="25" t="inlineStr">
        <is>
          <t>040010-SOUTHERN GLAZERS WINE AND SPIRITS OF MISSISSIPPI LLC</t>
        </is>
      </c>
      <c r="O853" s="25" t="n"/>
      <c r="P853" s="25" t="inlineStr">
        <is>
          <t>10081753816770</t>
        </is>
      </c>
      <c r="Q853" s="25" t="inlineStr">
        <is>
          <t>0081753816773</t>
        </is>
      </c>
      <c r="R853" s="78" t="n">
        <v>42370</v>
      </c>
    </row>
    <row r="854">
      <c r="A854" t="inlineStr">
        <is>
          <t>or item code =</t>
        </is>
      </c>
      <c r="B854" s="25" t="inlineStr">
        <is>
          <t>803475</t>
        </is>
      </c>
      <c r="C854" s="25" t="inlineStr">
        <is>
          <t>MOGEN DAVID BLACKBERRY</t>
        </is>
      </c>
      <c r="D854" s="25" t="inlineStr">
        <is>
          <t>1.5L</t>
        </is>
      </c>
      <c r="E854" s="27" t="n">
        <v>423</v>
      </c>
      <c r="F854" s="27" t="n">
        <v>182</v>
      </c>
      <c r="G854" s="27" t="n">
        <v>6</v>
      </c>
      <c r="H854" s="28" t="n">
        <v>45.91</v>
      </c>
      <c r="I854" s="28" t="n">
        <v>0</v>
      </c>
      <c r="J854" s="94" t="inlineStr">
        <is>
          <t>False</t>
        </is>
      </c>
      <c r="K854" s="28" t="n">
        <v>0</v>
      </c>
      <c r="L854" s="25" t="inlineStr">
        <is>
          <t>OTHER FRUIT WINES</t>
        </is>
      </c>
      <c r="M854" s="25" t="inlineStr">
        <is>
          <t>THE WINE GROUP LTD</t>
        </is>
      </c>
      <c r="N854" s="25" t="inlineStr">
        <is>
          <t>040003-RNDC-VINTAGE</t>
        </is>
      </c>
      <c r="O854" s="25" t="n"/>
      <c r="P854" s="25" t="inlineStr">
        <is>
          <t>10085904195509</t>
        </is>
      </c>
      <c r="Q854" s="25" t="inlineStr">
        <is>
          <t>0085904195502</t>
        </is>
      </c>
      <c r="R854" s="78" t="n">
        <v>42278</v>
      </c>
    </row>
    <row r="855">
      <c r="A855" t="inlineStr">
        <is>
          <t>or item code =</t>
        </is>
      </c>
      <c r="B855" s="25" t="inlineStr">
        <is>
          <t>803485</t>
        </is>
      </c>
      <c r="C855" s="25" t="inlineStr">
        <is>
          <t>MOGEN DAVID BLACKBERRY</t>
        </is>
      </c>
      <c r="D855" s="25" t="inlineStr">
        <is>
          <t>750ml</t>
        </is>
      </c>
      <c r="E855" s="27" t="n">
        <v>258</v>
      </c>
      <c r="F855" s="27" t="n">
        <v>144</v>
      </c>
      <c r="G855" s="27" t="n">
        <v>12</v>
      </c>
      <c r="H855" s="28" t="n">
        <v>45.02</v>
      </c>
      <c r="I855" s="28" t="n">
        <v>0</v>
      </c>
      <c r="J855" s="94" t="inlineStr">
        <is>
          <t>False</t>
        </is>
      </c>
      <c r="K855" s="28" t="n">
        <v>0</v>
      </c>
      <c r="L855" s="25" t="inlineStr">
        <is>
          <t>OTHER FRUIT WINES</t>
        </is>
      </c>
      <c r="M855" s="25" t="inlineStr">
        <is>
          <t>THE WINE GROUP LTD</t>
        </is>
      </c>
      <c r="N855" s="25" t="inlineStr">
        <is>
          <t>040003-RNDC-VINTAGE</t>
        </is>
      </c>
      <c r="O855" s="25" t="n"/>
      <c r="P855" s="25" t="inlineStr">
        <is>
          <t>10085904194403</t>
        </is>
      </c>
      <c r="Q855" s="25" t="inlineStr">
        <is>
          <t>0085904194406</t>
        </is>
      </c>
      <c r="R855" s="78" t="n">
        <v>42370</v>
      </c>
    </row>
    <row r="856">
      <c r="A856" t="inlineStr">
        <is>
          <t>or item code =</t>
        </is>
      </c>
      <c r="B856" s="25" t="inlineStr">
        <is>
          <t>803470</t>
        </is>
      </c>
      <c r="C856" s="25" t="inlineStr">
        <is>
          <t>MOGEN DAVID BLACKBERRY</t>
        </is>
      </c>
      <c r="D856" s="25" t="inlineStr">
        <is>
          <t>3L</t>
        </is>
      </c>
      <c r="E856" s="27" t="n">
        <v>190</v>
      </c>
      <c r="F856" s="27" t="n">
        <v>141</v>
      </c>
      <c r="G856" s="27" t="n">
        <v>4</v>
      </c>
      <c r="H856" s="28" t="n">
        <v>45.08</v>
      </c>
      <c r="I856" s="28" t="n">
        <v>0</v>
      </c>
      <c r="J856" s="94" t="inlineStr">
        <is>
          <t>False</t>
        </is>
      </c>
      <c r="K856" s="28" t="n">
        <v>0</v>
      </c>
      <c r="L856" s="25" t="inlineStr">
        <is>
          <t>OTHER FRUIT WINES</t>
        </is>
      </c>
      <c r="M856" s="25" t="inlineStr">
        <is>
          <t>THE WINE GROUP LTD</t>
        </is>
      </c>
      <c r="N856" s="25" t="inlineStr">
        <is>
          <t>040003-RNDC-VINTAGE</t>
        </is>
      </c>
      <c r="O856" s="25" t="n"/>
      <c r="P856" s="25" t="inlineStr">
        <is>
          <t>10085904196605</t>
        </is>
      </c>
      <c r="Q856" s="25" t="inlineStr">
        <is>
          <t>0085904196608</t>
        </is>
      </c>
      <c r="R856" s="78" t="n">
        <v>42279</v>
      </c>
    </row>
    <row r="857">
      <c r="A857" t="inlineStr">
        <is>
          <t>or item code =</t>
        </is>
      </c>
      <c r="B857" s="25" t="inlineStr">
        <is>
          <t>487010</t>
        </is>
      </c>
      <c r="C857" s="25" t="inlineStr">
        <is>
          <t>MOGEN DAVID CONCORD</t>
        </is>
      </c>
      <c r="D857" s="25" t="inlineStr">
        <is>
          <t>1.5L</t>
        </is>
      </c>
      <c r="E857" s="27" t="n">
        <v>331</v>
      </c>
      <c r="F857" s="27" t="n">
        <v>178</v>
      </c>
      <c r="G857" s="27" t="n">
        <v>6</v>
      </c>
      <c r="H857" s="28" t="n">
        <v>45.91</v>
      </c>
      <c r="I857" s="28" t="n">
        <v>0</v>
      </c>
      <c r="J857" s="94" t="inlineStr">
        <is>
          <t>False</t>
        </is>
      </c>
      <c r="K857" s="28" t="n">
        <v>0</v>
      </c>
      <c r="L857" s="25" t="inlineStr">
        <is>
          <t>OTHER FRUIT WINES</t>
        </is>
      </c>
      <c r="M857" s="25" t="inlineStr">
        <is>
          <t>THE WINE GROUP LTD</t>
        </is>
      </c>
      <c r="N857" s="25" t="inlineStr">
        <is>
          <t>040003-RNDC-VINTAGE</t>
        </is>
      </c>
      <c r="O857" s="25" t="n"/>
      <c r="P857" s="25" t="inlineStr">
        <is>
          <t>10085904015500</t>
        </is>
      </c>
      <c r="Q857" s="25" t="inlineStr">
        <is>
          <t>085904015503</t>
        </is>
      </c>
      <c r="R857" s="78" t="n">
        <v>42279</v>
      </c>
    </row>
    <row r="858">
      <c r="A858" t="inlineStr">
        <is>
          <t>or item code =</t>
        </is>
      </c>
      <c r="B858" s="25" t="inlineStr">
        <is>
          <t>487020</t>
        </is>
      </c>
      <c r="C858" s="25" t="inlineStr">
        <is>
          <t>MOGEN DAVID CONCORD</t>
        </is>
      </c>
      <c r="D858" s="25" t="inlineStr">
        <is>
          <t>3L</t>
        </is>
      </c>
      <c r="E858" s="27" t="n">
        <v>0</v>
      </c>
      <c r="F858" s="27" t="n">
        <v>28</v>
      </c>
      <c r="G858" s="27" t="n">
        <v>4</v>
      </c>
      <c r="H858" s="28" t="n">
        <v>45.08</v>
      </c>
      <c r="I858" s="28" t="n">
        <v>0</v>
      </c>
      <c r="J858" s="94" t="inlineStr">
        <is>
          <t>False</t>
        </is>
      </c>
      <c r="K858" s="28" t="n">
        <v>0</v>
      </c>
      <c r="L858" s="25" t="inlineStr">
        <is>
          <t>OTHER FRUIT WINES</t>
        </is>
      </c>
      <c r="M858" s="25" t="inlineStr">
        <is>
          <t>THE WINE GROUP LTD</t>
        </is>
      </c>
      <c r="N858" s="25" t="inlineStr">
        <is>
          <t>040003-RNDC-VINTAGE</t>
        </is>
      </c>
      <c r="O858" s="25" t="n"/>
      <c r="P858" s="25" t="inlineStr">
        <is>
          <t>10085904016606</t>
        </is>
      </c>
      <c r="Q858" s="25" t="inlineStr">
        <is>
          <t>0085904016609</t>
        </is>
      </c>
      <c r="R858" s="78" t="n">
        <v>42370</v>
      </c>
    </row>
    <row r="859">
      <c r="A859" t="inlineStr">
        <is>
          <t>or item code =</t>
        </is>
      </c>
      <c r="B859" s="25" t="inlineStr">
        <is>
          <t>487000</t>
        </is>
      </c>
      <c r="C859" s="25" t="inlineStr">
        <is>
          <t>MOGEN DAVID CONCORD</t>
        </is>
      </c>
      <c r="D859" s="25" t="inlineStr">
        <is>
          <t>750ml</t>
        </is>
      </c>
      <c r="E859" s="27" t="n">
        <v>147</v>
      </c>
      <c r="F859" s="27" t="n">
        <v>155</v>
      </c>
      <c r="G859" s="27" t="n">
        <v>12</v>
      </c>
      <c r="H859" s="28" t="n">
        <v>45.02</v>
      </c>
      <c r="I859" s="28" t="n">
        <v>0</v>
      </c>
      <c r="J859" s="94" t="inlineStr">
        <is>
          <t>False</t>
        </is>
      </c>
      <c r="K859" s="28" t="n">
        <v>0</v>
      </c>
      <c r="L859" s="25" t="inlineStr">
        <is>
          <t>OTHER FRUIT WINES</t>
        </is>
      </c>
      <c r="M859" s="25" t="inlineStr">
        <is>
          <t>THE WINE GROUP LTD</t>
        </is>
      </c>
      <c r="N859" s="25" t="inlineStr">
        <is>
          <t>040003-RNDC-VINTAGE</t>
        </is>
      </c>
      <c r="O859" s="25" t="n"/>
      <c r="P859" s="25" t="inlineStr">
        <is>
          <t>10085904014404</t>
        </is>
      </c>
      <c r="Q859" s="25" t="inlineStr">
        <is>
          <t>0085904014407</t>
        </is>
      </c>
      <c r="R859" s="78" t="n">
        <v>42370</v>
      </c>
    </row>
    <row r="860">
      <c r="A860" t="inlineStr">
        <is>
          <t>or item code =</t>
        </is>
      </c>
      <c r="B860" s="25" t="inlineStr">
        <is>
          <t>803493</t>
        </is>
      </c>
      <c r="C860" s="25" t="inlineStr">
        <is>
          <t>MOGEN DAVID POMEGRANATE</t>
        </is>
      </c>
      <c r="D860" s="25" t="inlineStr">
        <is>
          <t>1.5L</t>
        </is>
      </c>
      <c r="E860" s="27" t="n">
        <v>210</v>
      </c>
      <c r="F860" s="27" t="n">
        <v>109</v>
      </c>
      <c r="G860" s="27" t="n">
        <v>6</v>
      </c>
      <c r="H860" s="28" t="n">
        <v>45.91</v>
      </c>
      <c r="I860" s="28" t="n">
        <v>0</v>
      </c>
      <c r="J860" s="94" t="inlineStr">
        <is>
          <t>False</t>
        </is>
      </c>
      <c r="K860" s="28" t="n">
        <v>0</v>
      </c>
      <c r="L860" s="25" t="inlineStr">
        <is>
          <t>OTHER FLAVORED WINES</t>
        </is>
      </c>
      <c r="M860" s="25" t="inlineStr">
        <is>
          <t>THE WINE GROUP LTD</t>
        </is>
      </c>
      <c r="N860" s="25" t="inlineStr">
        <is>
          <t>040003-RNDC-VINTAGE</t>
        </is>
      </c>
      <c r="O860" s="25" t="n"/>
      <c r="P860" s="25" t="inlineStr">
        <is>
          <t>10978803493152</t>
        </is>
      </c>
      <c r="Q860" s="25" t="inlineStr">
        <is>
          <t>0085904000011</t>
        </is>
      </c>
      <c r="R860" s="78" t="n">
        <v>42370</v>
      </c>
    </row>
    <row r="861">
      <c r="A861" t="inlineStr">
        <is>
          <t>or item code =</t>
        </is>
      </c>
      <c r="B861" s="25" t="inlineStr">
        <is>
          <t>62623</t>
        </is>
      </c>
      <c r="C861" s="25" t="inlineStr">
        <is>
          <t>MONACO COCKTAILS BLUE CRUSH RTD</t>
        </is>
      </c>
      <c r="D861" s="25" t="inlineStr">
        <is>
          <t>355ml</t>
        </is>
      </c>
      <c r="E861" s="27" t="n">
        <v>92</v>
      </c>
      <c r="F861" s="27" t="n">
        <v>117</v>
      </c>
      <c r="G861" s="27" t="n">
        <v>24</v>
      </c>
      <c r="H861" s="28" t="n">
        <v>57.46</v>
      </c>
      <c r="I861" s="28" t="n">
        <v>0</v>
      </c>
      <c r="J861" s="94" t="inlineStr">
        <is>
          <t>False</t>
        </is>
      </c>
      <c r="K861" s="28" t="n">
        <v>0</v>
      </c>
      <c r="L861" s="25" t="inlineStr">
        <is>
          <t>COCKTAILS</t>
        </is>
      </c>
      <c r="M861" s="25" t="inlineStr">
        <is>
          <t>ATOMIC BRANDS INC</t>
        </is>
      </c>
      <c r="N861" s="25" t="inlineStr">
        <is>
          <t>040002-RNDC-MAGNOLIA</t>
        </is>
      </c>
      <c r="O861" s="25" t="n"/>
      <c r="P861" s="25" t="inlineStr">
        <is>
          <t>10891278002462</t>
        </is>
      </c>
      <c r="Q861" s="25" t="inlineStr">
        <is>
          <t>891278002465</t>
        </is>
      </c>
      <c r="R861" s="78" t="n">
        <v>43922</v>
      </c>
    </row>
    <row r="862">
      <c r="A862" t="inlineStr">
        <is>
          <t>or item code =</t>
        </is>
      </c>
      <c r="B862" s="25" t="inlineStr">
        <is>
          <t>62647</t>
        </is>
      </c>
      <c r="C862" s="25" t="inlineStr">
        <is>
          <t>MONACO COCKTAILS PURPLE CRUSH RTD</t>
        </is>
      </c>
      <c r="D862" s="25" t="inlineStr">
        <is>
          <t>355ml</t>
        </is>
      </c>
      <c r="E862" s="27" t="n">
        <v>142</v>
      </c>
      <c r="F862" s="27" t="n">
        <v>39</v>
      </c>
      <c r="G862" s="27" t="n">
        <v>24</v>
      </c>
      <c r="H862" s="28" t="n">
        <v>57.46</v>
      </c>
      <c r="I862" s="28" t="n">
        <v>0</v>
      </c>
      <c r="J862" s="94" t="inlineStr">
        <is>
          <t>False</t>
        </is>
      </c>
      <c r="K862" s="28" t="n">
        <v>0</v>
      </c>
      <c r="L862" s="25" t="inlineStr">
        <is>
          <t>COCKTAILS</t>
        </is>
      </c>
      <c r="M862" s="25" t="inlineStr">
        <is>
          <t>ATOMIC BRANDS INC</t>
        </is>
      </c>
      <c r="N862" s="25" t="inlineStr">
        <is>
          <t>040002-RNDC-MAGNOLIA</t>
        </is>
      </c>
      <c r="O862" s="25" t="n"/>
      <c r="P862" s="25" t="n"/>
      <c r="Q862" s="25" t="inlineStr">
        <is>
          <t>0891278002465</t>
        </is>
      </c>
      <c r="R862" s="78" t="n">
        <v>44075</v>
      </c>
    </row>
    <row r="863">
      <c r="A863" t="inlineStr">
        <is>
          <t>or item code =</t>
        </is>
      </c>
      <c r="B863" s="25" t="inlineStr">
        <is>
          <t>62632</t>
        </is>
      </c>
      <c r="C863" s="25" t="inlineStr">
        <is>
          <t>MONACO COCKTAILS TEQUILA LIME CRUSH RTD</t>
        </is>
      </c>
      <c r="D863" s="25" t="inlineStr">
        <is>
          <t>355ml</t>
        </is>
      </c>
      <c r="E863" s="27" t="n">
        <v>179</v>
      </c>
      <c r="F863" s="27" t="n">
        <v>64</v>
      </c>
      <c r="G863" s="27" t="n">
        <v>24</v>
      </c>
      <c r="H863" s="28" t="n">
        <v>57.46</v>
      </c>
      <c r="I863" s="28" t="n">
        <v>0</v>
      </c>
      <c r="J863" s="94" t="inlineStr">
        <is>
          <t>False</t>
        </is>
      </c>
      <c r="K863" s="28" t="n">
        <v>0</v>
      </c>
      <c r="L863" s="25" t="inlineStr">
        <is>
          <t>COCKTAILS</t>
        </is>
      </c>
      <c r="M863" s="25" t="inlineStr">
        <is>
          <t>ATOMIC BRANDS INC</t>
        </is>
      </c>
      <c r="N863" s="25" t="inlineStr">
        <is>
          <t>040002-RNDC-MAGNOLIA</t>
        </is>
      </c>
      <c r="O863" s="25" t="n"/>
      <c r="P863" s="25" t="inlineStr">
        <is>
          <t>10891278002387</t>
        </is>
      </c>
      <c r="Q863" s="25" t="inlineStr">
        <is>
          <t>891278002380</t>
        </is>
      </c>
      <c r="R863" s="78" t="n">
        <v>43922</v>
      </c>
    </row>
    <row r="864">
      <c r="A864" t="inlineStr">
        <is>
          <t>or item code =</t>
        </is>
      </c>
      <c r="B864" s="25" t="inlineStr">
        <is>
          <t>62634</t>
        </is>
      </c>
      <c r="C864" s="25" t="inlineStr">
        <is>
          <t>MONACO COCKTAILS TROPIC RUSH RTD</t>
        </is>
      </c>
      <c r="D864" s="25" t="inlineStr">
        <is>
          <t>355ml</t>
        </is>
      </c>
      <c r="E864" s="27" t="n">
        <v>131</v>
      </c>
      <c r="F864" s="27" t="n">
        <v>64</v>
      </c>
      <c r="G864" s="27" t="n">
        <v>24</v>
      </c>
      <c r="H864" s="28" t="n">
        <v>57.46</v>
      </c>
      <c r="I864" s="28" t="n">
        <v>0</v>
      </c>
      <c r="J864" s="94" t="inlineStr">
        <is>
          <t>False</t>
        </is>
      </c>
      <c r="K864" s="28" t="n">
        <v>0</v>
      </c>
      <c r="L864" s="25" t="inlineStr">
        <is>
          <t>COCKTAILS</t>
        </is>
      </c>
      <c r="M864" s="25" t="inlineStr">
        <is>
          <t>ATOMIC BRANDS INC</t>
        </is>
      </c>
      <c r="N864" s="25" t="inlineStr">
        <is>
          <t>040002-RNDC-MAGNOLIA</t>
        </is>
      </c>
      <c r="O864" s="25" t="n"/>
      <c r="P864" s="25" t="inlineStr">
        <is>
          <t>10891278002776</t>
        </is>
      </c>
      <c r="Q864" s="25" t="inlineStr">
        <is>
          <t>891278002779</t>
        </is>
      </c>
      <c r="R864" s="78" t="n">
        <v>43922</v>
      </c>
    </row>
    <row r="865">
      <c r="A865" t="inlineStr">
        <is>
          <t>or item code =</t>
        </is>
      </c>
      <c r="B865" s="25" t="inlineStr">
        <is>
          <t>5635</t>
        </is>
      </c>
      <c r="C865" s="25" t="inlineStr">
        <is>
          <t>MONKEY SHOULDER BLENDED MALT SCOTCH WHISKEY</t>
        </is>
      </c>
      <c r="D865" s="25" t="inlineStr">
        <is>
          <t>750ml</t>
        </is>
      </c>
      <c r="E865" s="27" t="n">
        <v>90</v>
      </c>
      <c r="F865" s="27" t="n">
        <v>79</v>
      </c>
      <c r="G865" s="27" t="n">
        <v>6</v>
      </c>
      <c r="H865" s="28" t="n">
        <v>184.56</v>
      </c>
      <c r="I865" s="28" t="n">
        <v>0</v>
      </c>
      <c r="J865" s="94" t="inlineStr">
        <is>
          <t>False</t>
        </is>
      </c>
      <c r="K865" s="28" t="n">
        <v>0</v>
      </c>
      <c r="L865" s="25" t="inlineStr">
        <is>
          <t>WHISKY - SCOTCH</t>
        </is>
      </c>
      <c r="M865" s="25" t="inlineStr">
        <is>
          <t>WILLIAM GRANT &amp; SONS</t>
        </is>
      </c>
      <c r="N865" s="25" t="inlineStr">
        <is>
          <t>040002-RNDC-MAGNOLIA</t>
        </is>
      </c>
      <c r="O865" s="25" t="n"/>
      <c r="P865" s="25" t="inlineStr">
        <is>
          <t>10083664872548</t>
        </is>
      </c>
      <c r="Q865" s="25" t="inlineStr">
        <is>
          <t>0083664872541</t>
        </is>
      </c>
      <c r="R865" s="78" t="n">
        <v>42370</v>
      </c>
    </row>
    <row r="866">
      <c r="A866" t="inlineStr">
        <is>
          <t>or item code =</t>
        </is>
      </c>
      <c r="B866" s="25" t="inlineStr">
        <is>
          <t>62116</t>
        </is>
      </c>
      <c r="C866" s="25" t="inlineStr">
        <is>
          <t>MONTEBELLO LONG ISLAND ICED TEA</t>
        </is>
      </c>
      <c r="D866" s="25" t="inlineStr">
        <is>
          <t>750ml</t>
        </is>
      </c>
      <c r="E866" s="27" t="n">
        <v>68</v>
      </c>
      <c r="F866" s="27" t="n">
        <v>43</v>
      </c>
      <c r="G866" s="27" t="n">
        <v>12</v>
      </c>
      <c r="H866" s="28" t="n">
        <v>84.27</v>
      </c>
      <c r="I866" s="28" t="n">
        <v>0</v>
      </c>
      <c r="J866" s="94" t="inlineStr">
        <is>
          <t>False</t>
        </is>
      </c>
      <c r="K866" s="28" t="n">
        <v>0</v>
      </c>
      <c r="L866" s="25" t="inlineStr">
        <is>
          <t>COCKTAILS</t>
        </is>
      </c>
      <c r="M866" s="25" t="inlineStr">
        <is>
          <t>MONTEBELLO BRANDS INC</t>
        </is>
      </c>
      <c r="N866" s="25" t="inlineStr">
        <is>
          <t>040002-RNDC-MAGNOLIA</t>
        </is>
      </c>
      <c r="O866" s="25" t="n"/>
      <c r="P866" s="25" t="inlineStr">
        <is>
          <t>10086072132136</t>
        </is>
      </c>
      <c r="Q866" s="25" t="inlineStr">
        <is>
          <t>0086072132139</t>
        </is>
      </c>
      <c r="R866" s="78" t="n">
        <v>42370</v>
      </c>
    </row>
    <row r="867">
      <c r="A867" t="inlineStr">
        <is>
          <t>or item code =</t>
        </is>
      </c>
      <c r="B867" s="25" t="inlineStr">
        <is>
          <t>45068</t>
        </is>
      </c>
      <c r="C867" s="25" t="inlineStr">
        <is>
          <t>MONTEGO BAY GOLD RUM</t>
        </is>
      </c>
      <c r="D867" s="25" t="inlineStr">
        <is>
          <t>1.75L</t>
        </is>
      </c>
      <c r="E867" s="27" t="n">
        <v>10</v>
      </c>
      <c r="F867" s="27" t="n">
        <v>29</v>
      </c>
      <c r="G867" s="27" t="n">
        <v>6</v>
      </c>
      <c r="H867" s="28" t="n">
        <v>86.84</v>
      </c>
      <c r="I867" s="28" t="n">
        <v>0</v>
      </c>
      <c r="J867" s="94" t="inlineStr">
        <is>
          <t>False</t>
        </is>
      </c>
      <c r="K867" s="28" t="n">
        <v>0</v>
      </c>
      <c r="L867" s="25" t="inlineStr">
        <is>
          <t>RUM</t>
        </is>
      </c>
      <c r="M867" s="25" t="inlineStr">
        <is>
          <t>MCCORMICK DISTILLING COMPANY</t>
        </is>
      </c>
      <c r="N867" s="25" t="inlineStr">
        <is>
          <t>040002-RNDC-MAGNOLIA</t>
        </is>
      </c>
      <c r="O867" s="25" t="n"/>
      <c r="P867" s="25" t="inlineStr">
        <is>
          <t>10085592200417</t>
        </is>
      </c>
      <c r="Q867" s="25" t="inlineStr">
        <is>
          <t>0085592200410</t>
        </is>
      </c>
      <c r="R867" s="78" t="n">
        <v>42370</v>
      </c>
    </row>
    <row r="868">
      <c r="A868" t="inlineStr">
        <is>
          <t>or item code =</t>
        </is>
      </c>
      <c r="B868" s="25" t="inlineStr">
        <is>
          <t>45098</t>
        </is>
      </c>
      <c r="C868" s="25" t="inlineStr">
        <is>
          <t>MONTEGO BAY LIGHT RUM (PET)</t>
        </is>
      </c>
      <c r="D868" s="25" t="inlineStr">
        <is>
          <t>1.75L</t>
        </is>
      </c>
      <c r="E868" s="27" t="n">
        <v>64</v>
      </c>
      <c r="F868" s="27" t="n">
        <v>29</v>
      </c>
      <c r="G868" s="27" t="n">
        <v>6</v>
      </c>
      <c r="H868" s="28" t="n">
        <v>86.84</v>
      </c>
      <c r="I868" s="28" t="n">
        <v>0</v>
      </c>
      <c r="J868" s="94" t="inlineStr">
        <is>
          <t>False</t>
        </is>
      </c>
      <c r="K868" s="28" t="n">
        <v>0</v>
      </c>
      <c r="L868" s="25" t="inlineStr">
        <is>
          <t>RUM</t>
        </is>
      </c>
      <c r="M868" s="25" t="inlineStr">
        <is>
          <t>MCCORMICK DISTILLING COMPANY</t>
        </is>
      </c>
      <c r="N868" s="25" t="inlineStr">
        <is>
          <t>040002-RNDC-MAGNOLIA</t>
        </is>
      </c>
      <c r="O868" s="25" t="n"/>
      <c r="P868" s="25" t="inlineStr">
        <is>
          <t>10085592200318</t>
        </is>
      </c>
      <c r="Q868" s="25" t="inlineStr">
        <is>
          <t>0085592200311</t>
        </is>
      </c>
      <c r="R868" s="78" t="n">
        <v>42370</v>
      </c>
    </row>
    <row r="869">
      <c r="A869" t="inlineStr">
        <is>
          <t>or item code =</t>
        </is>
      </c>
      <c r="B869" s="25" t="inlineStr">
        <is>
          <t>45096</t>
        </is>
      </c>
      <c r="C869" s="25" t="inlineStr">
        <is>
          <t>MONTEGO BAY LIGHT RUM (PET)</t>
        </is>
      </c>
      <c r="D869" s="25" t="inlineStr">
        <is>
          <t>750ml</t>
        </is>
      </c>
      <c r="E869" s="27" t="n">
        <v>31</v>
      </c>
      <c r="F869" s="27" t="n">
        <v>11</v>
      </c>
      <c r="G869" s="27" t="n">
        <v>12</v>
      </c>
      <c r="H869" s="28" t="n">
        <v>79.13</v>
      </c>
      <c r="I869" s="28" t="n">
        <v>0</v>
      </c>
      <c r="J869" s="94" t="inlineStr">
        <is>
          <t>False</t>
        </is>
      </c>
      <c r="K869" s="28" t="n">
        <v>0</v>
      </c>
      <c r="L869" s="25" t="inlineStr">
        <is>
          <t>RUM</t>
        </is>
      </c>
      <c r="M869" s="25" t="inlineStr">
        <is>
          <t>MCCORMICK DISTILLING COMPANY</t>
        </is>
      </c>
      <c r="N869" s="25" t="inlineStr">
        <is>
          <t>040002-RNDC-MAGNOLIA</t>
        </is>
      </c>
      <c r="O869" s="25" t="n"/>
      <c r="P869" s="25" t="inlineStr">
        <is>
          <t>10085592200349</t>
        </is>
      </c>
      <c r="Q869" s="25" t="inlineStr">
        <is>
          <t>0085592200342</t>
        </is>
      </c>
      <c r="R869" s="78" t="n">
        <v>42370</v>
      </c>
    </row>
    <row r="870">
      <c r="A870" t="inlineStr">
        <is>
          <t>or item code =</t>
        </is>
      </c>
      <c r="B870" s="25" t="inlineStr">
        <is>
          <t>89578</t>
        </is>
      </c>
      <c r="C870" s="25" t="inlineStr">
        <is>
          <t>MONTEZUMA GOLD TEQUILA</t>
        </is>
      </c>
      <c r="D870" s="25" t="inlineStr">
        <is>
          <t>1.75L</t>
        </is>
      </c>
      <c r="E870" s="27" t="n">
        <v>1233</v>
      </c>
      <c r="F870" s="27" t="n">
        <v>188</v>
      </c>
      <c r="G870" s="27" t="n">
        <v>6</v>
      </c>
      <c r="H870" s="28" t="n">
        <v>92.70999999999999</v>
      </c>
      <c r="I870" s="28" t="n">
        <v>0</v>
      </c>
      <c r="J870" s="94" t="inlineStr">
        <is>
          <t>False</t>
        </is>
      </c>
      <c r="K870" s="28" t="n">
        <v>0</v>
      </c>
      <c r="L870" s="25" t="inlineStr">
        <is>
          <t>TEQUILA</t>
        </is>
      </c>
      <c r="M870" s="25" t="inlineStr">
        <is>
          <t>SAZERAC COMPANY</t>
        </is>
      </c>
      <c r="N870" s="25" t="inlineStr">
        <is>
          <t>040002-RNDC-MAGNOLIA</t>
        </is>
      </c>
      <c r="O870" s="25" t="n"/>
      <c r="P870" s="25" t="inlineStr">
        <is>
          <t>10080660575817</t>
        </is>
      </c>
      <c r="Q870" s="25" t="inlineStr">
        <is>
          <t>0080660575810</t>
        </is>
      </c>
      <c r="R870" s="78" t="n">
        <v>42370</v>
      </c>
    </row>
    <row r="871">
      <c r="A871" t="inlineStr">
        <is>
          <t>or item code =</t>
        </is>
      </c>
      <c r="B871" s="25" t="inlineStr">
        <is>
          <t>88148</t>
        </is>
      </c>
      <c r="C871" s="25" t="inlineStr">
        <is>
          <t>MONTEZUMA WHITE TEQUILA</t>
        </is>
      </c>
      <c r="D871" s="25" t="inlineStr">
        <is>
          <t>1.75L</t>
        </is>
      </c>
      <c r="E871" s="27" t="n">
        <v>0</v>
      </c>
      <c r="F871" s="27" t="n">
        <v>94</v>
      </c>
      <c r="G871" s="27" t="n">
        <v>6</v>
      </c>
      <c r="H871" s="28" t="n">
        <v>92.70999999999999</v>
      </c>
      <c r="I871" s="28" t="n">
        <v>0</v>
      </c>
      <c r="J871" s="94" t="inlineStr">
        <is>
          <t>False</t>
        </is>
      </c>
      <c r="K871" s="28" t="n">
        <v>0</v>
      </c>
      <c r="L871" s="25" t="inlineStr">
        <is>
          <t>TEQUILA</t>
        </is>
      </c>
      <c r="M871" s="25" t="inlineStr">
        <is>
          <t>SAZERAC COMPANY</t>
        </is>
      </c>
      <c r="N871" s="25" t="inlineStr">
        <is>
          <t>040002-RNDC-MAGNOLIA</t>
        </is>
      </c>
      <c r="O871" s="25" t="n"/>
      <c r="P871" s="25" t="inlineStr">
        <is>
          <t>10080660576511</t>
        </is>
      </c>
      <c r="Q871" s="25" t="inlineStr">
        <is>
          <t>0080660576510</t>
        </is>
      </c>
      <c r="R871" s="78" t="n">
        <v>42370</v>
      </c>
    </row>
    <row r="872">
      <c r="A872" t="inlineStr">
        <is>
          <t>or item code =</t>
        </is>
      </c>
      <c r="B872" s="25" t="inlineStr">
        <is>
          <t>730200</t>
        </is>
      </c>
      <c r="C872" s="25" t="inlineStr">
        <is>
          <t>MONTSARRA CAVA BRUT</t>
        </is>
      </c>
      <c r="D872" s="25" t="inlineStr">
        <is>
          <t>750ml</t>
        </is>
      </c>
      <c r="E872" s="27" t="n">
        <v>80</v>
      </c>
      <c r="F872" s="27" t="n">
        <v>34</v>
      </c>
      <c r="G872" s="27" t="n">
        <v>12</v>
      </c>
      <c r="H872" s="28" t="n">
        <v>138.59</v>
      </c>
      <c r="I872" s="28" t="n">
        <v>0</v>
      </c>
      <c r="J872" s="94" t="inlineStr">
        <is>
          <t>False</t>
        </is>
      </c>
      <c r="K872" s="28" t="n">
        <v>0</v>
      </c>
      <c r="L872" s="25" t="inlineStr">
        <is>
          <t>SPRKLNG, CHMPGNE, ETC.</t>
        </is>
      </c>
      <c r="M872" s="25" t="inlineStr">
        <is>
          <t>BROADBENT SELECTIONS</t>
        </is>
      </c>
      <c r="N872" s="25" t="inlineStr">
        <is>
          <t>094032-MADVINES &amp; SPIRITS A BEAUMAD &amp; MAGNOLIA BARREL HOUSE COMPANY</t>
        </is>
      </c>
      <c r="O872" s="25" t="n"/>
      <c r="P872" s="25" t="inlineStr">
        <is>
          <t>10611482960500</t>
        </is>
      </c>
      <c r="Q872" s="25" t="inlineStr">
        <is>
          <t>0611482960500</t>
        </is>
      </c>
      <c r="R872" s="78" t="n">
        <v>42370</v>
      </c>
    </row>
    <row r="873">
      <c r="A873" t="inlineStr">
        <is>
          <t>or item code =</t>
        </is>
      </c>
      <c r="B873" s="25" t="inlineStr">
        <is>
          <t>76467</t>
        </is>
      </c>
      <c r="C873" s="25" t="inlineStr">
        <is>
          <t>MR. BOSTON AMARETTO</t>
        </is>
      </c>
      <c r="D873" s="25" t="inlineStr">
        <is>
          <t>1L</t>
        </is>
      </c>
      <c r="E873" s="27" t="n">
        <v>203</v>
      </c>
      <c r="F873" s="27" t="n">
        <v>118</v>
      </c>
      <c r="G873" s="27" t="n">
        <v>12</v>
      </c>
      <c r="H873" s="28" t="n">
        <v>65.86</v>
      </c>
      <c r="I873" s="28" t="n">
        <v>0</v>
      </c>
      <c r="J873" s="94" t="inlineStr">
        <is>
          <t>False</t>
        </is>
      </c>
      <c r="K873" s="28" t="n">
        <v>0</v>
      </c>
      <c r="L873" s="25" t="inlineStr">
        <is>
          <t>LIQUEURS AND CORDIALS</t>
        </is>
      </c>
      <c r="M873" s="25" t="inlineStr">
        <is>
          <t>SAZERAC COMPANY</t>
        </is>
      </c>
      <c r="N873" s="25" t="inlineStr">
        <is>
          <t>040010-SOUTHERN GLAZERS WINE AND SPIRITS OF MISSISSIPPI LLC</t>
        </is>
      </c>
      <c r="O873" s="25" t="n"/>
      <c r="P873" s="25" t="inlineStr">
        <is>
          <t>10089000019073</t>
        </is>
      </c>
      <c r="Q873" s="25" t="inlineStr">
        <is>
          <t>0089000019076</t>
        </is>
      </c>
      <c r="R873" s="78" t="n">
        <v>42370</v>
      </c>
    </row>
    <row r="874">
      <c r="A874" t="inlineStr">
        <is>
          <t>or item code =</t>
        </is>
      </c>
      <c r="B874" s="25" t="inlineStr">
        <is>
          <t>85437</t>
        </is>
      </c>
      <c r="C874" s="25" t="inlineStr">
        <is>
          <t>MR. BOSTON BLUE CURACAO</t>
        </is>
      </c>
      <c r="D874" s="25" t="inlineStr">
        <is>
          <t>1L</t>
        </is>
      </c>
      <c r="E874" s="27" t="n">
        <v>337</v>
      </c>
      <c r="F874" s="27" t="n">
        <v>136</v>
      </c>
      <c r="G874" s="27" t="n">
        <v>12</v>
      </c>
      <c r="H874" s="28" t="n">
        <v>65.86</v>
      </c>
      <c r="I874" s="28" t="n">
        <v>0</v>
      </c>
      <c r="J874" s="94" t="inlineStr">
        <is>
          <t>False</t>
        </is>
      </c>
      <c r="K874" s="28" t="n">
        <v>0</v>
      </c>
      <c r="L874" s="25" t="inlineStr">
        <is>
          <t>LIQUEURS AND CORDIALS</t>
        </is>
      </c>
      <c r="M874" s="25" t="inlineStr">
        <is>
          <t>SAZERAC COMPANY</t>
        </is>
      </c>
      <c r="N874" s="25" t="inlineStr">
        <is>
          <t>040010-SOUTHERN GLAZERS WINE AND SPIRITS OF MISSISSIPPI LLC</t>
        </is>
      </c>
      <c r="O874" s="25" t="n"/>
      <c r="P874" s="25" t="inlineStr">
        <is>
          <t>10089000513939</t>
        </is>
      </c>
      <c r="Q874" s="25" t="inlineStr">
        <is>
          <t>0089000019588</t>
        </is>
      </c>
      <c r="R874" s="78" t="n">
        <v>42370</v>
      </c>
    </row>
    <row r="875">
      <c r="A875" t="inlineStr">
        <is>
          <t>or item code =</t>
        </is>
      </c>
      <c r="B875" s="25" t="inlineStr">
        <is>
          <t>84257</t>
        </is>
      </c>
      <c r="C875" s="25" t="inlineStr">
        <is>
          <t>MR. BOSTON BUTTERSCOTCH SCHNAPPS</t>
        </is>
      </c>
      <c r="D875" s="25" t="inlineStr">
        <is>
          <t>1L</t>
        </is>
      </c>
      <c r="E875" s="27" t="n">
        <v>9</v>
      </c>
      <c r="F875" s="27" t="n">
        <v>36</v>
      </c>
      <c r="G875" s="27" t="n">
        <v>12</v>
      </c>
      <c r="H875" s="28" t="n">
        <v>63.36</v>
      </c>
      <c r="I875" s="28" t="n">
        <v>0</v>
      </c>
      <c r="J875" s="94" t="inlineStr">
        <is>
          <t>False</t>
        </is>
      </c>
      <c r="K875" s="28" t="n">
        <v>0</v>
      </c>
      <c r="L875" s="25" t="inlineStr">
        <is>
          <t>LIQUEURS AND CORDIALS</t>
        </is>
      </c>
      <c r="M875" s="25" t="inlineStr">
        <is>
          <t>SAZERAC COMPANY</t>
        </is>
      </c>
      <c r="N875" s="25" t="inlineStr">
        <is>
          <t>040010-SOUTHERN GLAZERS WINE AND SPIRITS OF MISSISSIPPI LLC</t>
        </is>
      </c>
      <c r="O875" s="25" t="n"/>
      <c r="P875" s="25" t="inlineStr">
        <is>
          <t>10089000512239</t>
        </is>
      </c>
      <c r="Q875" s="25" t="inlineStr">
        <is>
          <t>0089000512232</t>
        </is>
      </c>
      <c r="R875" s="78" t="n">
        <v>42370</v>
      </c>
    </row>
    <row r="876">
      <c r="A876" t="inlineStr">
        <is>
          <t>or item code =</t>
        </is>
      </c>
      <c r="B876" s="25" t="inlineStr">
        <is>
          <t>76477</t>
        </is>
      </c>
      <c r="C876" s="25" t="inlineStr">
        <is>
          <t>MR. BOSTON MELON</t>
        </is>
      </c>
      <c r="D876" s="25" t="inlineStr">
        <is>
          <t>1L</t>
        </is>
      </c>
      <c r="E876" s="27" t="n">
        <v>85</v>
      </c>
      <c r="F876" s="27" t="n">
        <v>94</v>
      </c>
      <c r="G876" s="27" t="n">
        <v>12</v>
      </c>
      <c r="H876" s="28" t="n">
        <v>57.83</v>
      </c>
      <c r="I876" s="28" t="n">
        <v>0</v>
      </c>
      <c r="J876" s="94" t="inlineStr">
        <is>
          <t>False</t>
        </is>
      </c>
      <c r="K876" s="28" t="n">
        <v>0</v>
      </c>
      <c r="L876" s="25" t="inlineStr">
        <is>
          <t>LIQUEURS AND CORDIALS</t>
        </is>
      </c>
      <c r="M876" s="25" t="inlineStr">
        <is>
          <t>SAZERAC COMPANY</t>
        </is>
      </c>
      <c r="N876" s="25" t="inlineStr">
        <is>
          <t>040010-SOUTHERN GLAZERS WINE AND SPIRITS OF MISSISSIPPI LLC</t>
        </is>
      </c>
      <c r="O876" s="25" t="n"/>
      <c r="P876" s="25" t="inlineStr">
        <is>
          <t>10089000019042</t>
        </is>
      </c>
      <c r="Q876" s="25" t="inlineStr">
        <is>
          <t>0089000019045</t>
        </is>
      </c>
      <c r="R876" s="78" t="n">
        <v>42370</v>
      </c>
    </row>
    <row r="877">
      <c r="A877" t="inlineStr">
        <is>
          <t>or item code =</t>
        </is>
      </c>
      <c r="B877" s="25" t="inlineStr">
        <is>
          <t>84307</t>
        </is>
      </c>
      <c r="C877" s="25" t="inlineStr">
        <is>
          <t>MR. BOSTON PEACH SCHNAPPS</t>
        </is>
      </c>
      <c r="D877" s="25" t="inlineStr">
        <is>
          <t>1L</t>
        </is>
      </c>
      <c r="E877" s="27" t="n">
        <v>389</v>
      </c>
      <c r="F877" s="27" t="n">
        <v>215</v>
      </c>
      <c r="G877" s="27" t="n">
        <v>12</v>
      </c>
      <c r="H877" s="28" t="n">
        <v>45.31</v>
      </c>
      <c r="I877" s="28" t="n">
        <v>0</v>
      </c>
      <c r="J877" s="94" t="inlineStr">
        <is>
          <t>False</t>
        </is>
      </c>
      <c r="K877" s="28" t="n">
        <v>0</v>
      </c>
      <c r="L877" s="25" t="inlineStr">
        <is>
          <t>LIQUEURS AND CORDIALS</t>
        </is>
      </c>
      <c r="M877" s="25" t="inlineStr">
        <is>
          <t>SAZERAC COMPANY</t>
        </is>
      </c>
      <c r="N877" s="25" t="inlineStr">
        <is>
          <t>040010-SOUTHERN GLAZERS WINE AND SPIRITS OF MISSISSIPPI LLC</t>
        </is>
      </c>
      <c r="O877" s="25" t="n"/>
      <c r="P877" s="25" t="inlineStr">
        <is>
          <t>10089000512437</t>
        </is>
      </c>
      <c r="Q877" s="25" t="inlineStr">
        <is>
          <t>0089000512430</t>
        </is>
      </c>
      <c r="R877" s="78" t="n">
        <v>42370</v>
      </c>
    </row>
    <row r="878">
      <c r="A878" t="inlineStr">
        <is>
          <t>or item code =</t>
        </is>
      </c>
      <c r="B878" s="25" t="inlineStr">
        <is>
          <t>84367</t>
        </is>
      </c>
      <c r="C878" s="25" t="inlineStr">
        <is>
          <t>MR. BOSTON SOUR APPLE SCHNAPPS</t>
        </is>
      </c>
      <c r="D878" s="25" t="inlineStr">
        <is>
          <t>1L</t>
        </is>
      </c>
      <c r="E878" s="27" t="n">
        <v>73</v>
      </c>
      <c r="F878" s="27" t="n">
        <v>53</v>
      </c>
      <c r="G878" s="27" t="n">
        <v>12</v>
      </c>
      <c r="H878" s="28" t="n">
        <v>63.35</v>
      </c>
      <c r="I878" s="28" t="n">
        <v>0</v>
      </c>
      <c r="J878" s="94" t="inlineStr">
        <is>
          <t>False</t>
        </is>
      </c>
      <c r="K878" s="28" t="n">
        <v>0</v>
      </c>
      <c r="L878" s="25" t="inlineStr">
        <is>
          <t>LIQUEURS AND CORDIALS</t>
        </is>
      </c>
      <c r="M878" s="25" t="inlineStr">
        <is>
          <t>SAZERAC COMPANY</t>
        </is>
      </c>
      <c r="N878" s="25" t="inlineStr">
        <is>
          <t>040010-SOUTHERN GLAZERS WINE AND SPIRITS OF MISSISSIPPI LLC</t>
        </is>
      </c>
      <c r="O878" s="25" t="n"/>
      <c r="P878" s="25" t="inlineStr">
        <is>
          <t>10089000524331</t>
        </is>
      </c>
      <c r="Q878" s="25" t="inlineStr">
        <is>
          <t>0089000524334</t>
        </is>
      </c>
      <c r="R878" s="78" t="n">
        <v>42370</v>
      </c>
    </row>
    <row r="879">
      <c r="A879" t="inlineStr">
        <is>
          <t>or item code =</t>
        </is>
      </c>
      <c r="B879" s="25" t="inlineStr">
        <is>
          <t>86487</t>
        </is>
      </c>
      <c r="C879" s="25" t="inlineStr">
        <is>
          <t>MR. BOSTON TRIPLE SEC</t>
        </is>
      </c>
      <c r="D879" s="25" t="inlineStr">
        <is>
          <t>1L</t>
        </is>
      </c>
      <c r="E879" s="27" t="n">
        <v>205</v>
      </c>
      <c r="F879" s="27" t="n">
        <v>249</v>
      </c>
      <c r="G879" s="27" t="n">
        <v>12</v>
      </c>
      <c r="H879" s="28" t="n">
        <v>43.55</v>
      </c>
      <c r="I879" s="28" t="n">
        <v>0</v>
      </c>
      <c r="J879" s="94" t="inlineStr">
        <is>
          <t>False</t>
        </is>
      </c>
      <c r="K879" s="28" t="n">
        <v>0</v>
      </c>
      <c r="L879" s="25" t="inlineStr">
        <is>
          <t>LIQUEURS AND CORDIALS</t>
        </is>
      </c>
      <c r="M879" s="25" t="inlineStr">
        <is>
          <t>SAZERAC COMPANY</t>
        </is>
      </c>
      <c r="N879" s="25" t="inlineStr">
        <is>
          <t>040010-SOUTHERN GLAZERS WINE AND SPIRITS OF MISSISSIPPI LLC</t>
        </is>
      </c>
      <c r="O879" s="25" t="n"/>
      <c r="P879" s="25" t="inlineStr">
        <is>
          <t>10089000514134</t>
        </is>
      </c>
      <c r="Q879" s="25" t="inlineStr">
        <is>
          <t>089000018710</t>
        </is>
      </c>
      <c r="R879" s="78" t="n">
        <v>42370</v>
      </c>
    </row>
    <row r="880">
      <c r="A880" t="inlineStr">
        <is>
          <t>or item code =</t>
        </is>
      </c>
      <c r="B880" s="25" t="inlineStr">
        <is>
          <t>39919</t>
        </is>
      </c>
      <c r="C880" s="25" t="inlineStr">
        <is>
          <t>NEW AMSTERDAM APPLE FLAVORED VODKA</t>
        </is>
      </c>
      <c r="D880" s="25" t="inlineStr">
        <is>
          <t>1.75L</t>
        </is>
      </c>
      <c r="E880" s="27" t="n">
        <v>23</v>
      </c>
      <c r="F880" s="27" t="n">
        <v>22</v>
      </c>
      <c r="G880" s="27" t="n">
        <v>6</v>
      </c>
      <c r="H880" s="28" t="n">
        <v>119.96</v>
      </c>
      <c r="I880" s="28" t="n">
        <v>0</v>
      </c>
      <c r="J880" s="94" t="inlineStr">
        <is>
          <t>False</t>
        </is>
      </c>
      <c r="K880" s="28" t="n">
        <v>0</v>
      </c>
      <c r="L880" s="25" t="inlineStr">
        <is>
          <t>VODKA</t>
        </is>
      </c>
      <c r="M880" s="25" t="inlineStr">
        <is>
          <t>E &amp; J GALLO WINERY</t>
        </is>
      </c>
      <c r="N880" s="25" t="inlineStr">
        <is>
          <t>040012-GALLO WINES OF MISSISSIPPI</t>
        </is>
      </c>
      <c r="O880" s="25" t="n"/>
      <c r="P880" s="25" t="inlineStr">
        <is>
          <t>20085000024885</t>
        </is>
      </c>
      <c r="Q880" s="25" t="inlineStr">
        <is>
          <t>0085000024881</t>
        </is>
      </c>
      <c r="R880" s="78" t="n">
        <v>42565</v>
      </c>
    </row>
    <row r="881">
      <c r="A881" t="inlineStr">
        <is>
          <t>or item code =</t>
        </is>
      </c>
      <c r="B881" s="25" t="inlineStr">
        <is>
          <t>39917</t>
        </is>
      </c>
      <c r="C881" s="25" t="inlineStr">
        <is>
          <t>NEW AMSTERDAM APPLE FLAVORED VODKA</t>
        </is>
      </c>
      <c r="D881" s="25" t="inlineStr">
        <is>
          <t>375ml</t>
        </is>
      </c>
      <c r="E881" s="27" t="n">
        <v>71</v>
      </c>
      <c r="F881" s="27" t="n">
        <v>78</v>
      </c>
      <c r="G881" s="27" t="n">
        <v>24</v>
      </c>
      <c r="H881" s="28" t="n">
        <v>119.83</v>
      </c>
      <c r="I881" s="28" t="n">
        <v>0</v>
      </c>
      <c r="J881" s="94" t="inlineStr">
        <is>
          <t>False</t>
        </is>
      </c>
      <c r="K881" s="28" t="n">
        <v>0</v>
      </c>
      <c r="L881" s="25" t="inlineStr">
        <is>
          <t>VODKA</t>
        </is>
      </c>
      <c r="M881" s="25" t="inlineStr">
        <is>
          <t>E &amp; J GALLO WINERY</t>
        </is>
      </c>
      <c r="N881" s="25" t="inlineStr">
        <is>
          <t>040012-GALLO WINES OF MISSISSIPPI</t>
        </is>
      </c>
      <c r="O881" s="25" t="n"/>
      <c r="P881" s="25" t="inlineStr">
        <is>
          <t>40085000024865</t>
        </is>
      </c>
      <c r="Q881" s="25" t="inlineStr">
        <is>
          <t>0085000024867</t>
        </is>
      </c>
      <c r="R881" s="78" t="n">
        <v>42565</v>
      </c>
    </row>
    <row r="882">
      <c r="A882" t="inlineStr">
        <is>
          <t>or item code =</t>
        </is>
      </c>
      <c r="B882" s="25" t="inlineStr">
        <is>
          <t>39918</t>
        </is>
      </c>
      <c r="C882" s="25" t="inlineStr">
        <is>
          <t>NEW AMSTERDAM APPLE FLAVORED VODKA</t>
        </is>
      </c>
      <c r="D882" s="25" t="inlineStr">
        <is>
          <t>750ml</t>
        </is>
      </c>
      <c r="E882" s="27" t="n">
        <v>39</v>
      </c>
      <c r="F882" s="27" t="n">
        <v>29</v>
      </c>
      <c r="G882" s="27" t="n">
        <v>12</v>
      </c>
      <c r="H882" s="28" t="n">
        <v>124.52</v>
      </c>
      <c r="I882" s="28" t="n">
        <v>0</v>
      </c>
      <c r="J882" s="94" t="inlineStr">
        <is>
          <t>False</t>
        </is>
      </c>
      <c r="K882" s="28" t="n">
        <v>0</v>
      </c>
      <c r="L882" s="25" t="inlineStr">
        <is>
          <t>VODKA</t>
        </is>
      </c>
      <c r="M882" s="25" t="inlineStr">
        <is>
          <t>E &amp; J GALLO WINERY</t>
        </is>
      </c>
      <c r="N882" s="25" t="inlineStr">
        <is>
          <t>040012-GALLO WINES OF MISSISSIPPI</t>
        </is>
      </c>
      <c r="O882" s="25" t="n"/>
      <c r="P882" s="25" t="inlineStr">
        <is>
          <t>30085000024875</t>
        </is>
      </c>
      <c r="Q882" s="25" t="inlineStr">
        <is>
          <t>0085000024874</t>
        </is>
      </c>
      <c r="R882" s="78" t="n">
        <v>42565</v>
      </c>
    </row>
    <row r="883">
      <c r="A883" t="inlineStr">
        <is>
          <t>or item code =</t>
        </is>
      </c>
      <c r="B883" s="25" t="inlineStr">
        <is>
          <t>40289</t>
        </is>
      </c>
      <c r="C883" s="25" t="inlineStr">
        <is>
          <t>NEW AMSTERDAM COCONUT FLAVORED VODKA</t>
        </is>
      </c>
      <c r="D883" s="25" t="inlineStr">
        <is>
          <t>750ml</t>
        </is>
      </c>
      <c r="E883" s="27" t="n">
        <v>31</v>
      </c>
      <c r="F883" s="27" t="n">
        <v>16</v>
      </c>
      <c r="G883" s="27" t="n">
        <v>12</v>
      </c>
      <c r="H883" s="28" t="n">
        <v>124.52</v>
      </c>
      <c r="I883" s="28" t="n">
        <v>0</v>
      </c>
      <c r="J883" s="94" t="inlineStr">
        <is>
          <t>False</t>
        </is>
      </c>
      <c r="K883" s="28" t="n">
        <v>0</v>
      </c>
      <c r="L883" s="25" t="inlineStr">
        <is>
          <t>VODKA</t>
        </is>
      </c>
      <c r="M883" s="25" t="inlineStr">
        <is>
          <t>E &amp; J GALLO WINERY</t>
        </is>
      </c>
      <c r="N883" s="25" t="inlineStr">
        <is>
          <t>040012-GALLO WINES OF MISSISSIPPI</t>
        </is>
      </c>
      <c r="O883" s="25" t="n"/>
      <c r="P883" s="25" t="inlineStr">
        <is>
          <t>30085000021362</t>
        </is>
      </c>
      <c r="Q883" s="25" t="inlineStr">
        <is>
          <t>0085000021361</t>
        </is>
      </c>
      <c r="R883" s="78" t="n">
        <v>42278</v>
      </c>
    </row>
    <row r="884">
      <c r="A884" t="inlineStr">
        <is>
          <t>or item code =</t>
        </is>
      </c>
      <c r="B884" s="25" t="inlineStr">
        <is>
          <t>40288</t>
        </is>
      </c>
      <c r="C884" s="25" t="inlineStr">
        <is>
          <t>NEW AMSTERDAM COCONUT FLAVORED VODKA</t>
        </is>
      </c>
      <c r="D884" s="25" t="inlineStr">
        <is>
          <t>375ml</t>
        </is>
      </c>
      <c r="E884" s="27" t="n">
        <v>49</v>
      </c>
      <c r="F884" s="27" t="n">
        <v>32</v>
      </c>
      <c r="G884" s="27" t="n">
        <v>24</v>
      </c>
      <c r="H884" s="28" t="n">
        <v>119.83</v>
      </c>
      <c r="I884" s="28" t="n">
        <v>0</v>
      </c>
      <c r="J884" s="94" t="inlineStr">
        <is>
          <t>False</t>
        </is>
      </c>
      <c r="K884" s="28" t="n">
        <v>0</v>
      </c>
      <c r="L884" s="25" t="inlineStr">
        <is>
          <t>VODKA</t>
        </is>
      </c>
      <c r="M884" s="25" t="inlineStr">
        <is>
          <t>E &amp; J GALLO WINERY</t>
        </is>
      </c>
      <c r="N884" s="25" t="inlineStr">
        <is>
          <t>040012-GALLO WINES OF MISSISSIPPI</t>
        </is>
      </c>
      <c r="O884" s="25" t="n"/>
      <c r="P884" s="25" t="inlineStr">
        <is>
          <t>40085000021352</t>
        </is>
      </c>
      <c r="Q884" s="25" t="inlineStr">
        <is>
          <t>0085000021354</t>
        </is>
      </c>
      <c r="R884" s="78" t="n">
        <v>42370</v>
      </c>
    </row>
    <row r="885">
      <c r="A885" t="inlineStr">
        <is>
          <t>or item code =</t>
        </is>
      </c>
      <c r="B885" s="25" t="inlineStr">
        <is>
          <t>40291</t>
        </is>
      </c>
      <c r="C885" s="25" t="inlineStr">
        <is>
          <t>NEW AMSTERDAM COCONUT FLAVORED VODKA</t>
        </is>
      </c>
      <c r="D885" s="25" t="inlineStr">
        <is>
          <t>1.75L</t>
        </is>
      </c>
      <c r="E885" s="27" t="n">
        <v>19</v>
      </c>
      <c r="F885" s="27" t="n">
        <v>17</v>
      </c>
      <c r="G885" s="27" t="n">
        <v>6</v>
      </c>
      <c r="H885" s="28" t="n">
        <v>119.96</v>
      </c>
      <c r="I885" s="28" t="n">
        <v>0</v>
      </c>
      <c r="J885" s="94" t="inlineStr">
        <is>
          <t>False</t>
        </is>
      </c>
      <c r="K885" s="28" t="n">
        <v>0</v>
      </c>
      <c r="L885" s="25" t="inlineStr">
        <is>
          <t>VODKA</t>
        </is>
      </c>
      <c r="M885" s="25" t="inlineStr">
        <is>
          <t>E &amp; J GALLO WINERY</t>
        </is>
      </c>
      <c r="N885" s="25" t="inlineStr">
        <is>
          <t>040012-GALLO WINES OF MISSISSIPPI</t>
        </is>
      </c>
      <c r="O885" s="25" t="n"/>
      <c r="P885" s="25" t="inlineStr">
        <is>
          <t>20085000021693</t>
        </is>
      </c>
      <c r="Q885" s="25" t="inlineStr">
        <is>
          <t>0085000021699</t>
        </is>
      </c>
      <c r="R885" s="78" t="n">
        <v>42370</v>
      </c>
    </row>
    <row r="886">
      <c r="A886" t="inlineStr">
        <is>
          <t>or item code =</t>
        </is>
      </c>
      <c r="B886" s="25" t="inlineStr">
        <is>
          <t>31474</t>
        </is>
      </c>
      <c r="C886" s="25" t="inlineStr">
        <is>
          <t>NEW AMSTERDAM GIN</t>
        </is>
      </c>
      <c r="D886" s="25" t="inlineStr">
        <is>
          <t>375ml</t>
        </is>
      </c>
      <c r="E886" s="27" t="n">
        <v>101</v>
      </c>
      <c r="F886" s="27" t="n">
        <v>109</v>
      </c>
      <c r="G886" s="27" t="n">
        <v>24</v>
      </c>
      <c r="H886" s="28" t="n">
        <v>119.83</v>
      </c>
      <c r="I886" s="28" t="n">
        <v>0</v>
      </c>
      <c r="J886" s="94" t="inlineStr">
        <is>
          <t>False</t>
        </is>
      </c>
      <c r="K886" s="28" t="n">
        <v>0</v>
      </c>
      <c r="L886" s="25" t="inlineStr">
        <is>
          <t>GIN</t>
        </is>
      </c>
      <c r="M886" s="25" t="inlineStr">
        <is>
          <t>E &amp; J GALLO WINERY</t>
        </is>
      </c>
      <c r="N886" s="25" t="inlineStr">
        <is>
          <t>040012-GALLO WINES OF MISSISSIPPI</t>
        </is>
      </c>
      <c r="O886" s="25" t="n"/>
      <c r="P886" s="25" t="inlineStr">
        <is>
          <t>30085000014319</t>
        </is>
      </c>
      <c r="Q886" s="25" t="inlineStr">
        <is>
          <t>0085000014325</t>
        </is>
      </c>
      <c r="R886" s="78" t="n">
        <v>42370</v>
      </c>
    </row>
    <row r="887">
      <c r="A887" t="inlineStr">
        <is>
          <t>or item code =</t>
        </is>
      </c>
      <c r="B887" s="25" t="inlineStr">
        <is>
          <t>31475</t>
        </is>
      </c>
      <c r="C887" s="25" t="inlineStr">
        <is>
          <t>NEW AMSTERDAM GIN</t>
        </is>
      </c>
      <c r="D887" s="25" t="inlineStr">
        <is>
          <t>750ml</t>
        </is>
      </c>
      <c r="E887" s="27" t="n">
        <v>52</v>
      </c>
      <c r="F887" s="27" t="n">
        <v>74</v>
      </c>
      <c r="G887" s="27" t="n">
        <v>12</v>
      </c>
      <c r="H887" s="28" t="n">
        <v>133.76</v>
      </c>
      <c r="I887" s="28" t="n">
        <v>0</v>
      </c>
      <c r="J887" s="94" t="inlineStr">
        <is>
          <t>False</t>
        </is>
      </c>
      <c r="K887" s="28" t="n">
        <v>0</v>
      </c>
      <c r="L887" s="25" t="inlineStr">
        <is>
          <t>GIN</t>
        </is>
      </c>
      <c r="M887" s="25" t="inlineStr">
        <is>
          <t>E &amp; J GALLO WINERY</t>
        </is>
      </c>
      <c r="N887" s="25" t="inlineStr">
        <is>
          <t>040012-GALLO WINES OF MISSISSIPPI</t>
        </is>
      </c>
      <c r="O887" s="25" t="n"/>
      <c r="P887" s="25" t="inlineStr">
        <is>
          <t>00000000031475</t>
        </is>
      </c>
      <c r="Q887" s="25" t="inlineStr">
        <is>
          <t>0085000014318</t>
        </is>
      </c>
      <c r="R887" s="78" t="n">
        <v>42370</v>
      </c>
    </row>
    <row r="888">
      <c r="A888" t="inlineStr">
        <is>
          <t>or item code =</t>
        </is>
      </c>
      <c r="B888" s="25" t="inlineStr">
        <is>
          <t>31473</t>
        </is>
      </c>
      <c r="C888" s="25" t="inlineStr">
        <is>
          <t>NEW AMSTERDAM GIN</t>
        </is>
      </c>
      <c r="D888" s="25" t="inlineStr">
        <is>
          <t>1.75L</t>
        </is>
      </c>
      <c r="E888" s="27" t="n">
        <v>39</v>
      </c>
      <c r="F888" s="27" t="n">
        <v>81</v>
      </c>
      <c r="G888" s="27" t="n">
        <v>6</v>
      </c>
      <c r="H888" s="28" t="n">
        <v>138.43</v>
      </c>
      <c r="I888" s="28" t="n">
        <v>0</v>
      </c>
      <c r="J888" s="94" t="inlineStr">
        <is>
          <t>False</t>
        </is>
      </c>
      <c r="K888" s="28" t="n">
        <v>0</v>
      </c>
      <c r="L888" s="25" t="inlineStr">
        <is>
          <t>GIN</t>
        </is>
      </c>
      <c r="M888" s="25" t="inlineStr">
        <is>
          <t>E &amp; J GALLO WINERY</t>
        </is>
      </c>
      <c r="N888" s="25" t="inlineStr">
        <is>
          <t>040012-GALLO WINES OF MISSISSIPPI</t>
        </is>
      </c>
      <c r="O888" s="25" t="n"/>
      <c r="P888" s="25" t="inlineStr">
        <is>
          <t>20085000014305</t>
        </is>
      </c>
      <c r="Q888" s="25" t="inlineStr">
        <is>
          <t>0085000014301</t>
        </is>
      </c>
      <c r="R888" s="78" t="n">
        <v>42370</v>
      </c>
    </row>
    <row r="889">
      <c r="A889" t="inlineStr">
        <is>
          <t>or item code =</t>
        </is>
      </c>
      <c r="B889" s="25" t="inlineStr">
        <is>
          <t>31472</t>
        </is>
      </c>
      <c r="C889" s="25" t="inlineStr">
        <is>
          <t>NEW AMSTERDAM GIN</t>
        </is>
      </c>
      <c r="D889" s="25" t="inlineStr">
        <is>
          <t>200ml</t>
        </is>
      </c>
      <c r="E889" s="27" t="n">
        <v>11</v>
      </c>
      <c r="F889" s="27" t="n">
        <v>80</v>
      </c>
      <c r="G889" s="27" t="n">
        <v>24</v>
      </c>
      <c r="H889" s="28" t="n">
        <v>64.43000000000001</v>
      </c>
      <c r="I889" s="28" t="n">
        <v>0</v>
      </c>
      <c r="J889" s="94" t="inlineStr">
        <is>
          <t>False</t>
        </is>
      </c>
      <c r="K889" s="28" t="n">
        <v>0</v>
      </c>
      <c r="L889" s="25" t="inlineStr">
        <is>
          <t>GIN</t>
        </is>
      </c>
      <c r="M889" s="25" t="inlineStr">
        <is>
          <t>E &amp; J GALLO WINERY</t>
        </is>
      </c>
      <c r="N889" s="25" t="inlineStr">
        <is>
          <t>040012-GALLO WINES OF MISSISSIPPI</t>
        </is>
      </c>
      <c r="O889" s="25" t="n"/>
      <c r="P889" s="25" t="inlineStr">
        <is>
          <t>40085000014330</t>
        </is>
      </c>
      <c r="Q889" s="25" t="inlineStr">
        <is>
          <t>0085000014332</t>
        </is>
      </c>
      <c r="R889" s="78" t="n">
        <v>42278</v>
      </c>
    </row>
    <row r="890">
      <c r="A890" t="inlineStr">
        <is>
          <t>or item code =</t>
        </is>
      </c>
      <c r="B890" s="25" t="inlineStr">
        <is>
          <t>40071</t>
        </is>
      </c>
      <c r="C890" s="25" t="inlineStr">
        <is>
          <t>NEW AMSTERDAM MANGO FLAVORED VODKA</t>
        </is>
      </c>
      <c r="D890" s="25" t="inlineStr">
        <is>
          <t>750ml</t>
        </is>
      </c>
      <c r="E890" s="27" t="n">
        <v>18</v>
      </c>
      <c r="F890" s="27" t="n">
        <v>12</v>
      </c>
      <c r="G890" s="27" t="n">
        <v>12</v>
      </c>
      <c r="H890" s="28" t="n">
        <v>124.52</v>
      </c>
      <c r="I890" s="28" t="n">
        <v>0</v>
      </c>
      <c r="J890" s="94" t="inlineStr">
        <is>
          <t>False</t>
        </is>
      </c>
      <c r="K890" s="28" t="n">
        <v>0</v>
      </c>
      <c r="L890" s="25" t="inlineStr">
        <is>
          <t>VODKA</t>
        </is>
      </c>
      <c r="M890" s="25" t="inlineStr">
        <is>
          <t>E &amp; J GALLO WINERY</t>
        </is>
      </c>
      <c r="N890" s="25" t="inlineStr">
        <is>
          <t>040012-GALLO WINES OF MISSISSIPPI</t>
        </is>
      </c>
      <c r="O890" s="25" t="n"/>
      <c r="P890" s="25" t="inlineStr">
        <is>
          <t>30085000023182</t>
        </is>
      </c>
      <c r="Q890" s="25" t="inlineStr">
        <is>
          <t>0085000023181</t>
        </is>
      </c>
      <c r="R890" s="78" t="n">
        <v>42278</v>
      </c>
    </row>
    <row r="891">
      <c r="A891" t="inlineStr">
        <is>
          <t>or item code =</t>
        </is>
      </c>
      <c r="B891" s="25" t="inlineStr">
        <is>
          <t>39284</t>
        </is>
      </c>
      <c r="C891" s="25" t="inlineStr">
        <is>
          <t>NEW AMSTERDAM PASSION FRUIT VODKA</t>
        </is>
      </c>
      <c r="D891" s="25" t="inlineStr">
        <is>
          <t>1.75L</t>
        </is>
      </c>
      <c r="E891" s="27" t="n">
        <v>32</v>
      </c>
      <c r="F891" s="27" t="n">
        <v>15</v>
      </c>
      <c r="G891" s="27" t="n">
        <v>6</v>
      </c>
      <c r="H891" s="28" t="n">
        <v>119.96</v>
      </c>
      <c r="I891" s="28" t="n">
        <v>0</v>
      </c>
      <c r="J891" s="94" t="inlineStr">
        <is>
          <t>False</t>
        </is>
      </c>
      <c r="K891" s="28" t="n">
        <v>0</v>
      </c>
      <c r="L891" s="25" t="inlineStr">
        <is>
          <t>VODKA</t>
        </is>
      </c>
      <c r="M891" s="25" t="inlineStr">
        <is>
          <t>E &amp; J GALLO WINERY</t>
        </is>
      </c>
      <c r="N891" s="25" t="inlineStr">
        <is>
          <t>040012-GALLO WINES OF MISSISSIPPI</t>
        </is>
      </c>
      <c r="O891" s="25" t="n"/>
      <c r="P891" s="25" t="inlineStr">
        <is>
          <t>20085000034204</t>
        </is>
      </c>
      <c r="Q891" s="25" t="inlineStr">
        <is>
          <t>085000034200</t>
        </is>
      </c>
      <c r="R891" s="78" t="n">
        <v>44682</v>
      </c>
    </row>
    <row r="892">
      <c r="A892" t="inlineStr">
        <is>
          <t>or item code =</t>
        </is>
      </c>
      <c r="B892" s="25" t="inlineStr">
        <is>
          <t>39280</t>
        </is>
      </c>
      <c r="C892" s="25" t="inlineStr">
        <is>
          <t>NEW AMSTERDAM PASSION FRUIT VODKA</t>
        </is>
      </c>
      <c r="D892" s="25" t="inlineStr">
        <is>
          <t>50ml</t>
        </is>
      </c>
      <c r="E892" s="27" t="n">
        <v>20</v>
      </c>
      <c r="F892" s="27" t="n">
        <v>17</v>
      </c>
      <c r="G892" s="27" t="n">
        <v>120</v>
      </c>
      <c r="H892" s="28" t="n">
        <v>84.86</v>
      </c>
      <c r="I892" s="28" t="n">
        <v>0</v>
      </c>
      <c r="J892" s="94" t="inlineStr">
        <is>
          <t>False</t>
        </is>
      </c>
      <c r="K892" s="28" t="n">
        <v>0</v>
      </c>
      <c r="L892" s="25" t="inlineStr">
        <is>
          <t>VODKA</t>
        </is>
      </c>
      <c r="M892" s="25" t="inlineStr">
        <is>
          <t>E &amp; J GALLO WINERY</t>
        </is>
      </c>
      <c r="N892" s="25" t="inlineStr">
        <is>
          <t>040012-GALLO WINES OF MISSISSIPPI</t>
        </is>
      </c>
      <c r="O892" s="25" t="n"/>
      <c r="P892" s="25" t="inlineStr">
        <is>
          <t>10085000006808</t>
        </is>
      </c>
      <c r="Q892" s="25" t="inlineStr">
        <is>
          <t>085000006801</t>
        </is>
      </c>
      <c r="R892" s="78" t="n">
        <v>44682</v>
      </c>
    </row>
    <row r="893">
      <c r="A893" t="inlineStr">
        <is>
          <t>or item code =</t>
        </is>
      </c>
      <c r="B893" s="25" t="inlineStr">
        <is>
          <t>39282</t>
        </is>
      </c>
      <c r="C893" s="25" t="inlineStr">
        <is>
          <t>NEW AMSTERDAM PASSION FRUIT VODKA</t>
        </is>
      </c>
      <c r="D893" s="25" t="inlineStr">
        <is>
          <t>375ml</t>
        </is>
      </c>
      <c r="E893" s="27" t="n">
        <v>62</v>
      </c>
      <c r="F893" s="27" t="n">
        <v>51</v>
      </c>
      <c r="G893" s="27" t="n">
        <v>24</v>
      </c>
      <c r="H893" s="28" t="n">
        <v>119.83</v>
      </c>
      <c r="I893" s="28" t="n">
        <v>0</v>
      </c>
      <c r="J893" s="94" t="inlineStr">
        <is>
          <t>False</t>
        </is>
      </c>
      <c r="K893" s="28" t="n">
        <v>0</v>
      </c>
      <c r="L893" s="25" t="inlineStr">
        <is>
          <t>VODKA</t>
        </is>
      </c>
      <c r="M893" s="25" t="inlineStr">
        <is>
          <t>E &amp; J GALLO WINERY</t>
        </is>
      </c>
      <c r="N893" s="25" t="inlineStr">
        <is>
          <t>040012-GALLO WINES OF MISSISSIPPI</t>
        </is>
      </c>
      <c r="O893" s="25" t="n"/>
      <c r="P893" s="25" t="inlineStr">
        <is>
          <t>40085000034185</t>
        </is>
      </c>
      <c r="Q893" s="25" t="inlineStr">
        <is>
          <t>085000034187</t>
        </is>
      </c>
      <c r="R893" s="78" t="n">
        <v>44652</v>
      </c>
    </row>
    <row r="894">
      <c r="A894" t="inlineStr">
        <is>
          <t>or item code =</t>
        </is>
      </c>
      <c r="B894" s="25" t="inlineStr">
        <is>
          <t>39283</t>
        </is>
      </c>
      <c r="C894" s="25" t="inlineStr">
        <is>
          <t>NEW AMSTERDAM PASSION FRUIT VODKA</t>
        </is>
      </c>
      <c r="D894" s="25" t="inlineStr">
        <is>
          <t>750ml</t>
        </is>
      </c>
      <c r="E894" s="27" t="n">
        <v>39</v>
      </c>
      <c r="F894" s="27" t="n">
        <v>28</v>
      </c>
      <c r="G894" s="27" t="n">
        <v>12</v>
      </c>
      <c r="H894" s="28" t="n">
        <v>124.52</v>
      </c>
      <c r="I894" s="28" t="n">
        <v>0</v>
      </c>
      <c r="J894" s="94" t="inlineStr">
        <is>
          <t>False</t>
        </is>
      </c>
      <c r="K894" s="28" t="n">
        <v>0</v>
      </c>
      <c r="L894" s="25" t="inlineStr">
        <is>
          <t>VODKA</t>
        </is>
      </c>
      <c r="M894" s="25" t="inlineStr">
        <is>
          <t>E &amp; J GALLO WINERY</t>
        </is>
      </c>
      <c r="N894" s="25" t="inlineStr">
        <is>
          <t>040012-GALLO WINES OF MISSISSIPPI</t>
        </is>
      </c>
      <c r="O894" s="25" t="n"/>
      <c r="P894" s="25" t="inlineStr">
        <is>
          <t>30085000034195</t>
        </is>
      </c>
      <c r="Q894" s="25" t="inlineStr">
        <is>
          <t>08500003419</t>
        </is>
      </c>
      <c r="R894" s="78" t="n">
        <v>44652</v>
      </c>
    </row>
    <row r="895">
      <c r="A895" t="inlineStr">
        <is>
          <t>or item code =</t>
        </is>
      </c>
      <c r="B895" s="25" t="inlineStr">
        <is>
          <t>40592</t>
        </is>
      </c>
      <c r="C895" s="25" t="inlineStr">
        <is>
          <t>NEW AMSTERDAM PEACH FLAVORED VODKA</t>
        </is>
      </c>
      <c r="D895" s="25" t="inlineStr">
        <is>
          <t>200ml</t>
        </is>
      </c>
      <c r="E895" s="27" t="n">
        <v>42</v>
      </c>
      <c r="F895" s="27" t="n">
        <v>54</v>
      </c>
      <c r="G895" s="27" t="n">
        <v>24</v>
      </c>
      <c r="H895" s="28" t="n">
        <v>68.39</v>
      </c>
      <c r="I895" s="28" t="n">
        <v>0</v>
      </c>
      <c r="J895" s="94" t="inlineStr">
        <is>
          <t>False</t>
        </is>
      </c>
      <c r="K895" s="28" t="n">
        <v>0</v>
      </c>
      <c r="L895" s="25" t="inlineStr">
        <is>
          <t>VODKA</t>
        </is>
      </c>
      <c r="M895" s="25" t="inlineStr">
        <is>
          <t>E &amp; J GALLO WINERY</t>
        </is>
      </c>
      <c r="N895" s="25" t="inlineStr">
        <is>
          <t>040012-GALLO WINES OF MISSISSIPPI</t>
        </is>
      </c>
      <c r="O895" s="25" t="n"/>
      <c r="P895" s="25" t="inlineStr">
        <is>
          <t>40085000020409</t>
        </is>
      </c>
      <c r="Q895" s="25" t="inlineStr">
        <is>
          <t>085000020401</t>
        </is>
      </c>
      <c r="R895" s="78" t="n">
        <v>42370</v>
      </c>
    </row>
    <row r="896">
      <c r="A896" t="inlineStr">
        <is>
          <t>or item code =</t>
        </is>
      </c>
      <c r="B896" s="25" t="inlineStr">
        <is>
          <t>40594</t>
        </is>
      </c>
      <c r="C896" s="25" t="inlineStr">
        <is>
          <t>NEW AMSTERDAM PEACH FLAVORED VODKA</t>
        </is>
      </c>
      <c r="D896" s="25" t="inlineStr">
        <is>
          <t>750ml</t>
        </is>
      </c>
      <c r="E896" s="27" t="n">
        <v>60</v>
      </c>
      <c r="F896" s="27" t="n">
        <v>54</v>
      </c>
      <c r="G896" s="27" t="n">
        <v>12</v>
      </c>
      <c r="H896" s="28" t="n">
        <v>124.52</v>
      </c>
      <c r="I896" s="28" t="n">
        <v>0</v>
      </c>
      <c r="J896" s="94" t="inlineStr">
        <is>
          <t>False</t>
        </is>
      </c>
      <c r="K896" s="28" t="n">
        <v>0</v>
      </c>
      <c r="L896" s="25" t="inlineStr">
        <is>
          <t>VODKA</t>
        </is>
      </c>
      <c r="M896" s="25" t="inlineStr">
        <is>
          <t>E &amp; J GALLO WINERY</t>
        </is>
      </c>
      <c r="N896" s="25" t="inlineStr">
        <is>
          <t>040012-GALLO WINES OF MISSISSIPPI</t>
        </is>
      </c>
      <c r="O896" s="25" t="n"/>
      <c r="P896" s="25" t="inlineStr">
        <is>
          <t>30085000020334</t>
        </is>
      </c>
      <c r="Q896" s="25" t="inlineStr">
        <is>
          <t>0085000020333</t>
        </is>
      </c>
      <c r="R896" s="78" t="n">
        <v>42278</v>
      </c>
    </row>
    <row r="897">
      <c r="A897" t="inlineStr">
        <is>
          <t>or item code =</t>
        </is>
      </c>
      <c r="B897" s="25" t="inlineStr">
        <is>
          <t>40313</t>
        </is>
      </c>
      <c r="C897" s="25" t="inlineStr">
        <is>
          <t>NEW AMSTERDAM PEACH FLAVORED VODKA</t>
        </is>
      </c>
      <c r="D897" s="25" t="inlineStr">
        <is>
          <t>1.75L</t>
        </is>
      </c>
      <c r="E897" s="27" t="n">
        <v>101</v>
      </c>
      <c r="F897" s="27" t="n">
        <v>62</v>
      </c>
      <c r="G897" s="27" t="n">
        <v>6</v>
      </c>
      <c r="H897" s="28" t="n">
        <v>119.96</v>
      </c>
      <c r="I897" s="28" t="n">
        <v>0</v>
      </c>
      <c r="J897" s="94" t="inlineStr">
        <is>
          <t>False</t>
        </is>
      </c>
      <c r="K897" s="28" t="n">
        <v>0</v>
      </c>
      <c r="L897" s="25" t="inlineStr">
        <is>
          <t>VODKA</t>
        </is>
      </c>
      <c r="M897" s="25" t="inlineStr">
        <is>
          <t>E &amp; J GALLO WINERY</t>
        </is>
      </c>
      <c r="N897" s="25" t="inlineStr">
        <is>
          <t>040012-GALLO WINES OF MISSISSIPPI</t>
        </is>
      </c>
      <c r="O897" s="25" t="n"/>
      <c r="P897" s="25" t="inlineStr">
        <is>
          <t>20085000021655</t>
        </is>
      </c>
      <c r="Q897" s="25" t="inlineStr">
        <is>
          <t>0085000021651</t>
        </is>
      </c>
      <c r="R897" s="78" t="n">
        <v>42370</v>
      </c>
    </row>
    <row r="898">
      <c r="A898" t="inlineStr">
        <is>
          <t>or item code =</t>
        </is>
      </c>
      <c r="B898" s="25" t="inlineStr">
        <is>
          <t>40590</t>
        </is>
      </c>
      <c r="C898" s="25" t="inlineStr">
        <is>
          <t>NEW AMSTERDAM PEACH FLAVORED VODKA</t>
        </is>
      </c>
      <c r="D898" s="25" t="inlineStr">
        <is>
          <t>50ml</t>
        </is>
      </c>
      <c r="E898" s="27" t="n">
        <v>20</v>
      </c>
      <c r="F898" s="27" t="n">
        <v>15</v>
      </c>
      <c r="G898" s="27" t="n">
        <v>120</v>
      </c>
      <c r="H898" s="28" t="n">
        <v>84.86</v>
      </c>
      <c r="I898" s="28" t="n">
        <v>0</v>
      </c>
      <c r="J898" s="94" t="inlineStr">
        <is>
          <t>False</t>
        </is>
      </c>
      <c r="K898" s="28" t="n">
        <v>0</v>
      </c>
      <c r="L898" s="25" t="inlineStr">
        <is>
          <t>VODKA</t>
        </is>
      </c>
      <c r="M898" s="25" t="inlineStr">
        <is>
          <t>E &amp; J GALLO WINERY</t>
        </is>
      </c>
      <c r="N898" s="25" t="inlineStr">
        <is>
          <t>040012-GALLO WINES OF MISSISSIPPI</t>
        </is>
      </c>
      <c r="O898" s="25" t="n"/>
      <c r="P898" s="25" t="inlineStr">
        <is>
          <t>10085000005788</t>
        </is>
      </c>
      <c r="Q898" s="25" t="inlineStr">
        <is>
          <t>08557801</t>
        </is>
      </c>
      <c r="R898" s="78" t="n">
        <v>42370</v>
      </c>
    </row>
    <row r="899">
      <c r="A899" t="inlineStr">
        <is>
          <t>or item code =</t>
        </is>
      </c>
      <c r="B899" s="25" t="inlineStr">
        <is>
          <t>40593</t>
        </is>
      </c>
      <c r="C899" s="25" t="inlineStr">
        <is>
          <t>NEW AMSTERDAM PEACH FLAVORED VODKA</t>
        </is>
      </c>
      <c r="D899" s="25" t="inlineStr">
        <is>
          <t>375ml</t>
        </is>
      </c>
      <c r="E899" s="27" t="n">
        <v>54</v>
      </c>
      <c r="F899" s="27" t="n">
        <v>120</v>
      </c>
      <c r="G899" s="27" t="n">
        <v>24</v>
      </c>
      <c r="H899" s="28" t="n">
        <v>119.83</v>
      </c>
      <c r="I899" s="28" t="n">
        <v>0</v>
      </c>
      <c r="J899" s="94" t="inlineStr">
        <is>
          <t>False</t>
        </is>
      </c>
      <c r="K899" s="28" t="n">
        <v>0</v>
      </c>
      <c r="L899" s="25" t="inlineStr">
        <is>
          <t>VODKA</t>
        </is>
      </c>
      <c r="M899" s="25" t="inlineStr">
        <is>
          <t>E &amp; J GALLO WINERY</t>
        </is>
      </c>
      <c r="N899" s="25" t="inlineStr">
        <is>
          <t>040012-GALLO WINES OF MISSISSIPPI</t>
        </is>
      </c>
      <c r="O899" s="25" t="n"/>
      <c r="P899" s="25" t="inlineStr">
        <is>
          <t>40085000020393</t>
        </is>
      </c>
      <c r="Q899" s="25" t="inlineStr">
        <is>
          <t>085000020395</t>
        </is>
      </c>
      <c r="R899" s="78" t="n">
        <v>42370</v>
      </c>
    </row>
    <row r="900">
      <c r="A900" t="inlineStr">
        <is>
          <t>or item code =</t>
        </is>
      </c>
      <c r="B900" s="25" t="inlineStr">
        <is>
          <t>40189</t>
        </is>
      </c>
      <c r="C900" s="25" t="inlineStr">
        <is>
          <t>NEW AMSTERDAM PINEAPPLE FLAVORED VODKA</t>
        </is>
      </c>
      <c r="D900" s="25" t="inlineStr">
        <is>
          <t>50ml</t>
        </is>
      </c>
      <c r="E900" s="27" t="n">
        <v>15</v>
      </c>
      <c r="F900" s="27" t="n">
        <v>17</v>
      </c>
      <c r="G900" s="27" t="n">
        <v>120</v>
      </c>
      <c r="H900" s="28" t="n">
        <v>84.86</v>
      </c>
      <c r="I900" s="28" t="n">
        <v>0</v>
      </c>
      <c r="J900" s="94" t="inlineStr">
        <is>
          <t>False</t>
        </is>
      </c>
      <c r="K900" s="28" t="n">
        <v>0</v>
      </c>
      <c r="L900" s="25" t="inlineStr">
        <is>
          <t>VODKA</t>
        </is>
      </c>
      <c r="M900" s="25" t="inlineStr">
        <is>
          <t>E &amp; J GALLO WINERY</t>
        </is>
      </c>
      <c r="N900" s="25" t="inlineStr">
        <is>
          <t>040012-GALLO WINES OF MISSISSIPPI</t>
        </is>
      </c>
      <c r="O900" s="25" t="n"/>
      <c r="P900" s="25" t="inlineStr">
        <is>
          <t>10085000006211</t>
        </is>
      </c>
      <c r="Q900" s="25" t="inlineStr">
        <is>
          <t>085000006214</t>
        </is>
      </c>
      <c r="R900" s="78" t="n">
        <v>42370</v>
      </c>
    </row>
    <row r="901">
      <c r="A901" t="inlineStr">
        <is>
          <t>or item code =</t>
        </is>
      </c>
      <c r="B901" s="25" t="inlineStr">
        <is>
          <t>40193</t>
        </is>
      </c>
      <c r="C901" s="25" t="inlineStr">
        <is>
          <t>NEW AMSTERDAM PINEAPPLE FLAVORED VODKA</t>
        </is>
      </c>
      <c r="D901" s="25" t="inlineStr">
        <is>
          <t>750ml</t>
        </is>
      </c>
      <c r="E901" s="27" t="n">
        <v>55</v>
      </c>
      <c r="F901" s="27" t="n">
        <v>52</v>
      </c>
      <c r="G901" s="27" t="n">
        <v>12</v>
      </c>
      <c r="H901" s="28" t="n">
        <v>124.52</v>
      </c>
      <c r="I901" s="28" t="n">
        <v>0</v>
      </c>
      <c r="J901" s="94" t="inlineStr">
        <is>
          <t>False</t>
        </is>
      </c>
      <c r="K901" s="28" t="n">
        <v>0</v>
      </c>
      <c r="L901" s="25" t="inlineStr">
        <is>
          <t>VODKA</t>
        </is>
      </c>
      <c r="M901" s="25" t="inlineStr">
        <is>
          <t>E &amp; J GALLO WINERY</t>
        </is>
      </c>
      <c r="N901" s="25" t="inlineStr">
        <is>
          <t>040012-GALLO WINES OF MISSISSIPPI</t>
        </is>
      </c>
      <c r="O901" s="25" t="n"/>
      <c r="P901" s="25" t="inlineStr">
        <is>
          <t>30085000022314</t>
        </is>
      </c>
      <c r="Q901" s="25" t="inlineStr">
        <is>
          <t>0085000022313</t>
        </is>
      </c>
      <c r="R901" s="78" t="n">
        <v>42278</v>
      </c>
    </row>
    <row r="902">
      <c r="A902" t="inlineStr">
        <is>
          <t>or item code =</t>
        </is>
      </c>
      <c r="B902" s="25" t="inlineStr">
        <is>
          <t>40191</t>
        </is>
      </c>
      <c r="C902" s="25" t="inlineStr">
        <is>
          <t>NEW AMSTERDAM PINEAPPLE FLAVORED VODKA</t>
        </is>
      </c>
      <c r="D902" s="25" t="inlineStr">
        <is>
          <t>200ml</t>
        </is>
      </c>
      <c r="E902" s="27" t="n">
        <v>76</v>
      </c>
      <c r="F902" s="27" t="n">
        <v>27</v>
      </c>
      <c r="G902" s="27" t="n">
        <v>24</v>
      </c>
      <c r="H902" s="28" t="n">
        <v>68.39</v>
      </c>
      <c r="I902" s="28" t="n">
        <v>0</v>
      </c>
      <c r="J902" s="94" t="inlineStr">
        <is>
          <t>False</t>
        </is>
      </c>
      <c r="K902" s="28" t="n">
        <v>0</v>
      </c>
      <c r="L902" s="25" t="inlineStr">
        <is>
          <t>VODKA</t>
        </is>
      </c>
      <c r="M902" s="25" t="inlineStr">
        <is>
          <t>E &amp; J GALLO WINERY</t>
        </is>
      </c>
      <c r="N902" s="25" t="inlineStr">
        <is>
          <t>040012-GALLO WINES OF MISSISSIPPI</t>
        </is>
      </c>
      <c r="O902" s="25" t="n"/>
      <c r="P902" s="25" t="inlineStr">
        <is>
          <t>40085000022298</t>
        </is>
      </c>
      <c r="Q902" s="25" t="inlineStr">
        <is>
          <t>0085000022290</t>
        </is>
      </c>
      <c r="R902" s="78" t="n">
        <v>42370</v>
      </c>
    </row>
    <row r="903">
      <c r="A903" t="inlineStr">
        <is>
          <t>or item code =</t>
        </is>
      </c>
      <c r="B903" s="25" t="inlineStr">
        <is>
          <t>40195</t>
        </is>
      </c>
      <c r="C903" s="25" t="inlineStr">
        <is>
          <t>NEW AMSTERDAM PINEAPPLE FLAVORED VODKA</t>
        </is>
      </c>
      <c r="D903" s="25" t="inlineStr">
        <is>
          <t>1.75L</t>
        </is>
      </c>
      <c r="E903" s="27" t="n">
        <v>41</v>
      </c>
      <c r="F903" s="27" t="n">
        <v>51</v>
      </c>
      <c r="G903" s="27" t="n">
        <v>6</v>
      </c>
      <c r="H903" s="28" t="n">
        <v>119.96</v>
      </c>
      <c r="I903" s="28" t="n">
        <v>0</v>
      </c>
      <c r="J903" s="94" t="inlineStr">
        <is>
          <t>False</t>
        </is>
      </c>
      <c r="K903" s="28" t="n">
        <v>0</v>
      </c>
      <c r="L903" s="25" t="inlineStr">
        <is>
          <t>VODKA</t>
        </is>
      </c>
      <c r="M903" s="25" t="inlineStr">
        <is>
          <t>E &amp; J GALLO WINERY</t>
        </is>
      </c>
      <c r="N903" s="25" t="inlineStr">
        <is>
          <t>040012-GALLO WINES OF MISSISSIPPI</t>
        </is>
      </c>
      <c r="O903" s="25" t="n"/>
      <c r="P903" s="25" t="inlineStr">
        <is>
          <t>20085000022331</t>
        </is>
      </c>
      <c r="Q903" s="25" t="inlineStr">
        <is>
          <t>0085000022337</t>
        </is>
      </c>
      <c r="R903" s="78" t="n">
        <v>42370</v>
      </c>
    </row>
    <row r="904">
      <c r="A904" t="inlineStr">
        <is>
          <t>or item code =</t>
        </is>
      </c>
      <c r="B904" s="25" t="inlineStr">
        <is>
          <t>40192</t>
        </is>
      </c>
      <c r="C904" s="25" t="inlineStr">
        <is>
          <t>NEW AMSTERDAM PINEAPPLE FLAVORED VODKA</t>
        </is>
      </c>
      <c r="D904" s="25" t="inlineStr">
        <is>
          <t>375ml</t>
        </is>
      </c>
      <c r="E904" s="27" t="n">
        <v>78</v>
      </c>
      <c r="F904" s="27" t="n">
        <v>100</v>
      </c>
      <c r="G904" s="27" t="n">
        <v>24</v>
      </c>
      <c r="H904" s="28" t="n">
        <v>119.83</v>
      </c>
      <c r="I904" s="28" t="n">
        <v>0</v>
      </c>
      <c r="J904" s="94" t="inlineStr">
        <is>
          <t>False</t>
        </is>
      </c>
      <c r="K904" s="28" t="n">
        <v>0</v>
      </c>
      <c r="L904" s="25" t="inlineStr">
        <is>
          <t>VODKA</t>
        </is>
      </c>
      <c r="M904" s="25" t="inlineStr">
        <is>
          <t>E &amp; J GALLO WINERY</t>
        </is>
      </c>
      <c r="N904" s="25" t="inlineStr">
        <is>
          <t>040012-GALLO WINES OF MISSISSIPPI</t>
        </is>
      </c>
      <c r="O904" s="25" t="n"/>
      <c r="P904" s="25" t="inlineStr">
        <is>
          <t>40085000022304</t>
        </is>
      </c>
      <c r="Q904" s="25" t="inlineStr">
        <is>
          <t>0085000022306</t>
        </is>
      </c>
      <c r="R904" s="78" t="n">
        <v>42370</v>
      </c>
    </row>
    <row r="905">
      <c r="A905" t="inlineStr">
        <is>
          <t>or item code =</t>
        </is>
      </c>
      <c r="B905" s="25" t="inlineStr">
        <is>
          <t>40597</t>
        </is>
      </c>
      <c r="C905" s="25" t="inlineStr">
        <is>
          <t>NEW AMSTERDAM RED BERRY FLAVORED VODKA</t>
        </is>
      </c>
      <c r="D905" s="25" t="inlineStr">
        <is>
          <t>200ml</t>
        </is>
      </c>
      <c r="E905" s="27" t="n">
        <v>32</v>
      </c>
      <c r="F905" s="27" t="n">
        <v>19</v>
      </c>
      <c r="G905" s="27" t="n">
        <v>24</v>
      </c>
      <c r="H905" s="28" t="n">
        <v>68.39</v>
      </c>
      <c r="I905" s="28" t="n">
        <v>0</v>
      </c>
      <c r="J905" s="94" t="inlineStr">
        <is>
          <t>False</t>
        </is>
      </c>
      <c r="K905" s="28" t="n">
        <v>0</v>
      </c>
      <c r="L905" s="25" t="inlineStr">
        <is>
          <t>VODKA</t>
        </is>
      </c>
      <c r="M905" s="25" t="inlineStr">
        <is>
          <t>E &amp; J GALLO WINERY</t>
        </is>
      </c>
      <c r="N905" s="25" t="inlineStr">
        <is>
          <t>040012-GALLO WINES OF MISSISSIPPI</t>
        </is>
      </c>
      <c r="O905" s="25" t="n"/>
      <c r="P905" s="25" t="inlineStr">
        <is>
          <t>40085000020379</t>
        </is>
      </c>
      <c r="Q905" s="25" t="inlineStr">
        <is>
          <t>0085000020371</t>
        </is>
      </c>
      <c r="R905" s="78" t="n">
        <v>42370</v>
      </c>
    </row>
    <row r="906">
      <c r="A906" t="inlineStr">
        <is>
          <t>or item code =</t>
        </is>
      </c>
      <c r="B906" s="25" t="inlineStr">
        <is>
          <t>40595</t>
        </is>
      </c>
      <c r="C906" s="25" t="inlineStr">
        <is>
          <t>NEW AMSTERDAM RED BERRY FLAVORED VODKA</t>
        </is>
      </c>
      <c r="D906" s="25" t="inlineStr">
        <is>
          <t>50ml</t>
        </is>
      </c>
      <c r="E906" s="27" t="n">
        <v>20</v>
      </c>
      <c r="F906" s="27" t="n">
        <v>13</v>
      </c>
      <c r="G906" s="27" t="n">
        <v>120</v>
      </c>
      <c r="H906" s="28" t="n">
        <v>84.86</v>
      </c>
      <c r="I906" s="28" t="n">
        <v>0</v>
      </c>
      <c r="J906" s="94" t="inlineStr">
        <is>
          <t>False</t>
        </is>
      </c>
      <c r="K906" s="28" t="n">
        <v>0</v>
      </c>
      <c r="L906" s="25" t="inlineStr">
        <is>
          <t>VODKA</t>
        </is>
      </c>
      <c r="M906" s="25" t="inlineStr">
        <is>
          <t>E &amp; J GALLO WINERY</t>
        </is>
      </c>
      <c r="N906" s="25" t="inlineStr">
        <is>
          <t>040012-GALLO WINES OF MISSISSIPPI</t>
        </is>
      </c>
      <c r="O906" s="25" t="n"/>
      <c r="P906" s="25" t="inlineStr">
        <is>
          <t>10085000005757</t>
        </is>
      </c>
      <c r="Q906" s="25" t="inlineStr">
        <is>
          <t>0085000005750</t>
        </is>
      </c>
      <c r="R906" s="78" t="n">
        <v>42370</v>
      </c>
    </row>
    <row r="907">
      <c r="A907" t="inlineStr">
        <is>
          <t>or item code =</t>
        </is>
      </c>
      <c r="B907" s="25" t="inlineStr">
        <is>
          <t>40598</t>
        </is>
      </c>
      <c r="C907" s="25" t="inlineStr">
        <is>
          <t>NEW AMSTERDAM RED BERRY FLAVORED VODKA</t>
        </is>
      </c>
      <c r="D907" s="25" t="inlineStr">
        <is>
          <t>375ml</t>
        </is>
      </c>
      <c r="E907" s="27" t="n">
        <v>58</v>
      </c>
      <c r="F907" s="27" t="n">
        <v>73</v>
      </c>
      <c r="G907" s="27" t="n">
        <v>24</v>
      </c>
      <c r="H907" s="28" t="n">
        <v>119.83</v>
      </c>
      <c r="I907" s="28" t="n">
        <v>0</v>
      </c>
      <c r="J907" s="94" t="inlineStr">
        <is>
          <t>False</t>
        </is>
      </c>
      <c r="K907" s="28" t="n">
        <v>0</v>
      </c>
      <c r="L907" s="25" t="inlineStr">
        <is>
          <t>VODKA</t>
        </is>
      </c>
      <c r="M907" s="25" t="inlineStr">
        <is>
          <t>E &amp; J GALLO WINERY</t>
        </is>
      </c>
      <c r="N907" s="25" t="inlineStr">
        <is>
          <t>040012-GALLO WINES OF MISSISSIPPI</t>
        </is>
      </c>
      <c r="O907" s="25" t="n"/>
      <c r="P907" s="25" t="inlineStr">
        <is>
          <t>40085000020362</t>
        </is>
      </c>
      <c r="Q907" s="25" t="inlineStr">
        <is>
          <t>0085000020364</t>
        </is>
      </c>
      <c r="R907" s="78" t="n">
        <v>42370</v>
      </c>
    </row>
    <row r="908">
      <c r="A908" t="inlineStr">
        <is>
          <t>or item code =</t>
        </is>
      </c>
      <c r="B908" s="25" t="inlineStr">
        <is>
          <t>40315</t>
        </is>
      </c>
      <c r="C908" s="25" t="inlineStr">
        <is>
          <t>NEW AMSTERDAM RED BERRY FLAVORED VODKA</t>
        </is>
      </c>
      <c r="D908" s="25" t="inlineStr">
        <is>
          <t>1.75L</t>
        </is>
      </c>
      <c r="E908" s="27" t="n">
        <v>69</v>
      </c>
      <c r="F908" s="27" t="n">
        <v>22</v>
      </c>
      <c r="G908" s="27" t="n">
        <v>6</v>
      </c>
      <c r="H908" s="28" t="n">
        <v>119.96</v>
      </c>
      <c r="I908" s="28" t="n">
        <v>0</v>
      </c>
      <c r="J908" s="94" t="inlineStr">
        <is>
          <t>False</t>
        </is>
      </c>
      <c r="K908" s="28" t="n">
        <v>0</v>
      </c>
      <c r="L908" s="25" t="inlineStr">
        <is>
          <t>VODKA</t>
        </is>
      </c>
      <c r="M908" s="25" t="inlineStr">
        <is>
          <t>E &amp; J GALLO WINERY</t>
        </is>
      </c>
      <c r="N908" s="25" t="inlineStr">
        <is>
          <t>040012-GALLO WINES OF MISSISSIPPI</t>
        </is>
      </c>
      <c r="O908" s="25" t="n"/>
      <c r="P908" s="25" t="inlineStr">
        <is>
          <t>20085000021679</t>
        </is>
      </c>
      <c r="Q908" s="25" t="inlineStr">
        <is>
          <t>0085000021675</t>
        </is>
      </c>
      <c r="R908" s="78" t="n">
        <v>42370</v>
      </c>
    </row>
    <row r="909">
      <c r="A909" t="inlineStr">
        <is>
          <t>or item code =</t>
        </is>
      </c>
      <c r="B909" s="25" t="inlineStr">
        <is>
          <t>40599</t>
        </is>
      </c>
      <c r="C909" s="25" t="inlineStr">
        <is>
          <t>NEW AMSTERDAM RED BERRY FLAVORED VODKA</t>
        </is>
      </c>
      <c r="D909" s="25" t="inlineStr">
        <is>
          <t>750ml</t>
        </is>
      </c>
      <c r="E909" s="27" t="n">
        <v>24</v>
      </c>
      <c r="F909" s="27" t="n">
        <v>36</v>
      </c>
      <c r="G909" s="27" t="n">
        <v>12</v>
      </c>
      <c r="H909" s="28" t="n">
        <v>124.52</v>
      </c>
      <c r="I909" s="28" t="n">
        <v>0</v>
      </c>
      <c r="J909" s="94" t="inlineStr">
        <is>
          <t>False</t>
        </is>
      </c>
      <c r="K909" s="28" t="n">
        <v>0</v>
      </c>
      <c r="L909" s="25" t="inlineStr">
        <is>
          <t>VODKA</t>
        </is>
      </c>
      <c r="M909" s="25" t="inlineStr">
        <is>
          <t>E &amp; J GALLO WINERY</t>
        </is>
      </c>
      <c r="N909" s="25" t="inlineStr">
        <is>
          <t>040012-GALLO WINES OF MISSISSIPPI</t>
        </is>
      </c>
      <c r="O909" s="25" t="n"/>
      <c r="P909" s="25" t="inlineStr">
        <is>
          <t>0085000020326</t>
        </is>
      </c>
      <c r="Q909" s="25" t="inlineStr">
        <is>
          <t>085000020326</t>
        </is>
      </c>
      <c r="R909" s="78" t="n">
        <v>42278</v>
      </c>
    </row>
    <row r="910">
      <c r="A910" t="inlineStr">
        <is>
          <t>or item code =</t>
        </is>
      </c>
      <c r="B910" s="25" t="inlineStr">
        <is>
          <t>36967</t>
        </is>
      </c>
      <c r="C910" s="25" t="inlineStr">
        <is>
          <t>NEW AMSTERDAM VODKA</t>
        </is>
      </c>
      <c r="D910" s="25" t="inlineStr">
        <is>
          <t>200ml</t>
        </is>
      </c>
      <c r="E910" s="27" t="n">
        <v>212</v>
      </c>
      <c r="F910" s="27" t="n">
        <v>250</v>
      </c>
      <c r="G910" s="27" t="n">
        <v>24</v>
      </c>
      <c r="H910" s="28" t="n">
        <v>68.39</v>
      </c>
      <c r="I910" s="28" t="n">
        <v>0</v>
      </c>
      <c r="J910" s="94" t="inlineStr">
        <is>
          <t>False</t>
        </is>
      </c>
      <c r="K910" s="28" t="n">
        <v>0</v>
      </c>
      <c r="L910" s="25" t="inlineStr">
        <is>
          <t>VODKA</t>
        </is>
      </c>
      <c r="M910" s="25" t="inlineStr">
        <is>
          <t>E &amp; J GALLO WINERY</t>
        </is>
      </c>
      <c r="N910" s="25" t="inlineStr">
        <is>
          <t>040012-GALLO WINES OF MISSISSIPPI</t>
        </is>
      </c>
      <c r="O910" s="25" t="n"/>
      <c r="P910" s="25" t="inlineStr">
        <is>
          <t>40085000019472</t>
        </is>
      </c>
      <c r="Q910" s="25" t="inlineStr">
        <is>
          <t>0085000019474</t>
        </is>
      </c>
      <c r="R910" s="78" t="n">
        <v>42370</v>
      </c>
    </row>
    <row r="911">
      <c r="A911" t="inlineStr">
        <is>
          <t>or item code =</t>
        </is>
      </c>
      <c r="B911" s="25" t="inlineStr">
        <is>
          <t>36971</t>
        </is>
      </c>
      <c r="C911" s="25" t="inlineStr">
        <is>
          <t>NEW AMSTERDAM VODKA</t>
        </is>
      </c>
      <c r="D911" s="25" t="inlineStr">
        <is>
          <t>1.75L</t>
        </is>
      </c>
      <c r="E911" s="27" t="n">
        <v>170</v>
      </c>
      <c r="F911" s="27" t="n">
        <v>221</v>
      </c>
      <c r="G911" s="27" t="n">
        <v>6</v>
      </c>
      <c r="H911" s="28" t="n">
        <v>119.96</v>
      </c>
      <c r="I911" s="28" t="n">
        <v>0</v>
      </c>
      <c r="J911" s="94" t="inlineStr">
        <is>
          <t>False</t>
        </is>
      </c>
      <c r="K911" s="28" t="n">
        <v>0</v>
      </c>
      <c r="L911" s="25" t="inlineStr">
        <is>
          <t>VODKA</t>
        </is>
      </c>
      <c r="M911" s="25" t="inlineStr">
        <is>
          <t>E &amp; J GALLO WINERY</t>
        </is>
      </c>
      <c r="N911" s="25" t="inlineStr">
        <is>
          <t>040012-GALLO WINES OF MISSISSIPPI</t>
        </is>
      </c>
      <c r="O911" s="25" t="n"/>
      <c r="P911" s="25" t="inlineStr">
        <is>
          <t>20085000019515</t>
        </is>
      </c>
      <c r="Q911" s="25" t="inlineStr">
        <is>
          <t>0085000019511</t>
        </is>
      </c>
      <c r="R911" s="78" t="n">
        <v>42370</v>
      </c>
    </row>
    <row r="912">
      <c r="A912" t="inlineStr">
        <is>
          <t>or item code =</t>
        </is>
      </c>
      <c r="B912" s="25" t="inlineStr">
        <is>
          <t>36969</t>
        </is>
      </c>
      <c r="C912" s="25" t="inlineStr">
        <is>
          <t>NEW AMSTERDAM VODKA</t>
        </is>
      </c>
      <c r="D912" s="25" t="inlineStr">
        <is>
          <t>750ml</t>
        </is>
      </c>
      <c r="E912" s="27" t="n">
        <v>137</v>
      </c>
      <c r="F912" s="27" t="n">
        <v>149</v>
      </c>
      <c r="G912" s="27" t="n">
        <v>12</v>
      </c>
      <c r="H912" s="28" t="n">
        <v>124.52</v>
      </c>
      <c r="I912" s="28" t="n">
        <v>0</v>
      </c>
      <c r="J912" s="94" t="inlineStr">
        <is>
          <t>False</t>
        </is>
      </c>
      <c r="K912" s="28" t="n">
        <v>0</v>
      </c>
      <c r="L912" s="25" t="inlineStr">
        <is>
          <t>VODKA</t>
        </is>
      </c>
      <c r="M912" s="25" t="inlineStr">
        <is>
          <t>E &amp; J GALLO WINERY</t>
        </is>
      </c>
      <c r="N912" s="25" t="inlineStr">
        <is>
          <t>040012-GALLO WINES OF MISSISSIPPI</t>
        </is>
      </c>
      <c r="O912" s="25" t="n"/>
      <c r="P912" s="25" t="inlineStr">
        <is>
          <t>30085000019499</t>
        </is>
      </c>
      <c r="Q912" s="25" t="inlineStr">
        <is>
          <t>0085000019498</t>
        </is>
      </c>
      <c r="R912" s="78" t="n">
        <v>42278</v>
      </c>
    </row>
    <row r="913">
      <c r="A913" t="inlineStr">
        <is>
          <t>or item code =</t>
        </is>
      </c>
      <c r="B913" s="25" t="inlineStr">
        <is>
          <t>36968</t>
        </is>
      </c>
      <c r="C913" s="25" t="inlineStr">
        <is>
          <t>NEW AMSTERDAM VODKA FLASK</t>
        </is>
      </c>
      <c r="D913" s="25" t="inlineStr">
        <is>
          <t>375ml</t>
        </is>
      </c>
      <c r="E913" s="27" t="n">
        <v>90</v>
      </c>
      <c r="F913" s="27" t="n">
        <v>349</v>
      </c>
      <c r="G913" s="27" t="n">
        <v>24</v>
      </c>
      <c r="H913" s="28" t="n">
        <v>119.83</v>
      </c>
      <c r="I913" s="28" t="n">
        <v>0</v>
      </c>
      <c r="J913" s="94" t="inlineStr">
        <is>
          <t>False</t>
        </is>
      </c>
      <c r="K913" s="28" t="n">
        <v>0</v>
      </c>
      <c r="L913" s="25" t="inlineStr">
        <is>
          <t>VODKA</t>
        </is>
      </c>
      <c r="M913" s="25" t="inlineStr">
        <is>
          <t>E &amp; J GALLO WINERY</t>
        </is>
      </c>
      <c r="N913" s="25" t="inlineStr">
        <is>
          <t>040012-GALLO WINES OF MISSISSIPPI</t>
        </is>
      </c>
      <c r="O913" s="25" t="n"/>
      <c r="P913" s="25" t="inlineStr">
        <is>
          <t>40085000019489</t>
        </is>
      </c>
      <c r="Q913" s="25" t="inlineStr">
        <is>
          <t>0085000019481</t>
        </is>
      </c>
      <c r="R913" s="78" t="n">
        <v>42370</v>
      </c>
    </row>
    <row r="914">
      <c r="A914" t="inlineStr">
        <is>
          <t>or item code =</t>
        </is>
      </c>
      <c r="B914" s="25" t="inlineStr">
        <is>
          <t>39382</t>
        </is>
      </c>
      <c r="C914" s="25" t="inlineStr">
        <is>
          <t>NEW AMSTERDAM VODKA PINK WHITNEY PINK LEMONADE</t>
        </is>
      </c>
      <c r="D914" s="25" t="inlineStr">
        <is>
          <t>375ml</t>
        </is>
      </c>
      <c r="E914" s="27" t="n">
        <v>79</v>
      </c>
      <c r="F914" s="27" t="n">
        <v>177</v>
      </c>
      <c r="G914" s="27" t="n">
        <v>24</v>
      </c>
      <c r="H914" s="28" t="n">
        <v>119.83</v>
      </c>
      <c r="I914" s="28" t="n">
        <v>0</v>
      </c>
      <c r="J914" s="94" t="inlineStr">
        <is>
          <t>False</t>
        </is>
      </c>
      <c r="K914" s="28" t="n">
        <v>0</v>
      </c>
      <c r="L914" s="25" t="inlineStr">
        <is>
          <t>VODKA</t>
        </is>
      </c>
      <c r="M914" s="25" t="inlineStr">
        <is>
          <t>E &amp; J GALLO WINERY</t>
        </is>
      </c>
      <c r="N914" s="25" t="inlineStr">
        <is>
          <t>040012-GALLO WINES OF MISSISSIPPI</t>
        </is>
      </c>
      <c r="O914" s="25" t="n"/>
      <c r="P914" s="25" t="inlineStr">
        <is>
          <t>40085000032549</t>
        </is>
      </c>
      <c r="Q914" s="25" t="inlineStr">
        <is>
          <t>085000032541</t>
        </is>
      </c>
      <c r="R914" s="78" t="n">
        <v>44228</v>
      </c>
    </row>
    <row r="915">
      <c r="A915" t="inlineStr">
        <is>
          <t>or item code =</t>
        </is>
      </c>
      <c r="B915" s="25" t="inlineStr">
        <is>
          <t>39422</t>
        </is>
      </c>
      <c r="C915" s="25" t="inlineStr">
        <is>
          <t>NEW AMSTERDAM VODKA PINK WHITNEY PINK LEMONADE</t>
        </is>
      </c>
      <c r="D915" s="25" t="inlineStr">
        <is>
          <t>50ml</t>
        </is>
      </c>
      <c r="E915" s="27" t="n">
        <v>88</v>
      </c>
      <c r="F915" s="27" t="n">
        <v>126</v>
      </c>
      <c r="G915" s="27" t="n">
        <v>120</v>
      </c>
      <c r="H915" s="28" t="n">
        <v>84.86</v>
      </c>
      <c r="I915" s="28" t="n">
        <v>0</v>
      </c>
      <c r="J915" s="94" t="inlineStr">
        <is>
          <t>False</t>
        </is>
      </c>
      <c r="K915" s="28" t="n">
        <v>0</v>
      </c>
      <c r="L915" s="25" t="inlineStr">
        <is>
          <t>VODKA</t>
        </is>
      </c>
      <c r="M915" s="25" t="inlineStr">
        <is>
          <t>E &amp; J GALLO WINERY</t>
        </is>
      </c>
      <c r="N915" s="25" t="inlineStr">
        <is>
          <t>040012-GALLO WINES OF MISSISSIPPI</t>
        </is>
      </c>
      <c r="O915" s="25" t="n"/>
      <c r="P915" s="25" t="n"/>
      <c r="Q915" s="25" t="inlineStr">
        <is>
          <t>08567507</t>
        </is>
      </c>
      <c r="R915" s="78" t="n">
        <v>44044</v>
      </c>
    </row>
    <row r="916">
      <c r="A916" t="inlineStr">
        <is>
          <t>or item code =</t>
        </is>
      </c>
      <c r="B916" s="25" t="inlineStr">
        <is>
          <t>39492</t>
        </is>
      </c>
      <c r="C916" s="25" t="inlineStr">
        <is>
          <t>NEW AMSTERDAM VODKA PINK WHITNEY PINK LEMONADE</t>
        </is>
      </c>
      <c r="D916" s="25" t="inlineStr">
        <is>
          <t>750ml</t>
        </is>
      </c>
      <c r="E916" s="27" t="n">
        <v>158</v>
      </c>
      <c r="F916" s="27" t="n">
        <v>200</v>
      </c>
      <c r="G916" s="27" t="n">
        <v>12</v>
      </c>
      <c r="H916" s="28" t="n">
        <v>124.52</v>
      </c>
      <c r="I916" s="28" t="n">
        <v>0</v>
      </c>
      <c r="J916" s="94" t="inlineStr">
        <is>
          <t>False</t>
        </is>
      </c>
      <c r="K916" s="28" t="n">
        <v>0</v>
      </c>
      <c r="L916" s="25" t="inlineStr">
        <is>
          <t>VODKA</t>
        </is>
      </c>
      <c r="M916" s="25" t="inlineStr">
        <is>
          <t>E &amp; J GALLO WINERY</t>
        </is>
      </c>
      <c r="N916" s="25" t="inlineStr">
        <is>
          <t>040012-GALLO WINES OF MISSISSIPPI</t>
        </is>
      </c>
      <c r="O916" s="25" t="n"/>
      <c r="P916" s="25" t="inlineStr">
        <is>
          <t>30085000029627</t>
        </is>
      </c>
      <c r="Q916" s="25" t="inlineStr">
        <is>
          <t>085000029626</t>
        </is>
      </c>
      <c r="R916" s="78" t="n">
        <v>43922</v>
      </c>
    </row>
    <row r="917">
      <c r="A917" t="inlineStr">
        <is>
          <t>or item code =</t>
        </is>
      </c>
      <c r="B917" s="25" t="inlineStr">
        <is>
          <t>39419</t>
        </is>
      </c>
      <c r="C917" s="25" t="inlineStr">
        <is>
          <t>NEW AMSTERDAM WATERMELON FLAVORED VODKA</t>
        </is>
      </c>
      <c r="D917" s="25" t="inlineStr">
        <is>
          <t>375ml</t>
        </is>
      </c>
      <c r="E917" s="27" t="n">
        <v>67</v>
      </c>
      <c r="F917" s="27" t="n">
        <v>59</v>
      </c>
      <c r="G917" s="27" t="n">
        <v>24</v>
      </c>
      <c r="H917" s="28" t="n">
        <v>119.83</v>
      </c>
      <c r="I917" s="28" t="n">
        <v>0</v>
      </c>
      <c r="J917" s="94" t="inlineStr">
        <is>
          <t>False</t>
        </is>
      </c>
      <c r="K917" s="28" t="n">
        <v>0</v>
      </c>
      <c r="L917" s="25" t="inlineStr">
        <is>
          <t>VODKA</t>
        </is>
      </c>
      <c r="M917" s="25" t="inlineStr">
        <is>
          <t>E &amp; J GALLO WINERY</t>
        </is>
      </c>
      <c r="N917" s="25" t="inlineStr">
        <is>
          <t>040012-GALLO WINES OF MISSISSIPPI</t>
        </is>
      </c>
      <c r="O917" s="25" t="n"/>
      <c r="P917" s="25" t="inlineStr">
        <is>
          <t>40085000030910</t>
        </is>
      </c>
      <c r="Q917" s="25" t="inlineStr">
        <is>
          <t>085000030912</t>
        </is>
      </c>
      <c r="R917" s="78" t="n">
        <v>44105</v>
      </c>
    </row>
    <row r="918">
      <c r="A918" t="inlineStr">
        <is>
          <t>or item code =</t>
        </is>
      </c>
      <c r="B918" s="25" t="inlineStr">
        <is>
          <t>39420</t>
        </is>
      </c>
      <c r="C918" s="25" t="inlineStr">
        <is>
          <t>NEW AMSTERDAM WATERMELON FLAVORED VODKA</t>
        </is>
      </c>
      <c r="D918" s="25" t="inlineStr">
        <is>
          <t>750ml</t>
        </is>
      </c>
      <c r="E918" s="27" t="n">
        <v>58</v>
      </c>
      <c r="F918" s="27" t="n">
        <v>15</v>
      </c>
      <c r="G918" s="27" t="n">
        <v>12</v>
      </c>
      <c r="H918" s="28" t="n">
        <v>124.52</v>
      </c>
      <c r="I918" s="28" t="n">
        <v>0</v>
      </c>
      <c r="J918" s="94" t="inlineStr">
        <is>
          <t>False</t>
        </is>
      </c>
      <c r="K918" s="28" t="n">
        <v>0</v>
      </c>
      <c r="L918" s="25" t="inlineStr">
        <is>
          <t>VODKA</t>
        </is>
      </c>
      <c r="M918" s="25" t="inlineStr">
        <is>
          <t>E &amp; J GALLO WINERY</t>
        </is>
      </c>
      <c r="N918" s="25" t="inlineStr">
        <is>
          <t>040012-GALLO WINES OF MISSISSIPPI</t>
        </is>
      </c>
      <c r="O918" s="25" t="n"/>
      <c r="P918" s="25" t="n"/>
      <c r="Q918" s="25" t="inlineStr">
        <is>
          <t>085000030929</t>
        </is>
      </c>
      <c r="R918" s="78" t="n">
        <v>44105</v>
      </c>
    </row>
    <row r="919">
      <c r="A919" t="inlineStr">
        <is>
          <t>or item code =</t>
        </is>
      </c>
      <c r="B919" s="25" t="inlineStr">
        <is>
          <t>39421</t>
        </is>
      </c>
      <c r="C919" s="25" t="inlineStr">
        <is>
          <t>NEW AMSTERDAM WATERMELON FLAVORED VODKA</t>
        </is>
      </c>
      <c r="D919" s="25" t="inlineStr">
        <is>
          <t>1.75L</t>
        </is>
      </c>
      <c r="E919" s="27" t="n">
        <v>32</v>
      </c>
      <c r="F919" s="27" t="n">
        <v>6</v>
      </c>
      <c r="G919" s="27" t="n">
        <v>6</v>
      </c>
      <c r="H919" s="28" t="n">
        <v>119.96</v>
      </c>
      <c r="I919" s="28" t="n">
        <v>0</v>
      </c>
      <c r="J919" s="94" t="inlineStr">
        <is>
          <t>False</t>
        </is>
      </c>
      <c r="K919" s="28" t="n">
        <v>0</v>
      </c>
      <c r="L919" s="25" t="inlineStr">
        <is>
          <t>VODKA</t>
        </is>
      </c>
      <c r="M919" s="25" t="inlineStr">
        <is>
          <t>E &amp; J GALLO WINERY</t>
        </is>
      </c>
      <c r="N919" s="25" t="inlineStr">
        <is>
          <t>040012-GALLO WINES OF MISSISSIPPI</t>
        </is>
      </c>
      <c r="O919" s="25" t="n"/>
      <c r="P919" s="25" t="inlineStr">
        <is>
          <t>20085000030947</t>
        </is>
      </c>
      <c r="Q919" s="25" t="inlineStr">
        <is>
          <t>085000030943</t>
        </is>
      </c>
      <c r="R919" s="78" t="n">
        <v>44105</v>
      </c>
    </row>
    <row r="920">
      <c r="A920" t="inlineStr">
        <is>
          <t>or item code =</t>
        </is>
      </c>
      <c r="B920" s="25" t="inlineStr">
        <is>
          <t>66052</t>
        </is>
      </c>
      <c r="C920" s="25" t="inlineStr">
        <is>
          <t>NUVO VODKA &amp; CHAMPAGNE LIQUEUR</t>
        </is>
      </c>
      <c r="D920" s="25" t="inlineStr">
        <is>
          <t>750ml</t>
        </is>
      </c>
      <c r="E920" s="27" t="n">
        <v>4</v>
      </c>
      <c r="F920" s="27" t="n">
        <v>1</v>
      </c>
      <c r="G920" s="27" t="n">
        <v>12</v>
      </c>
      <c r="H920" s="28" t="n">
        <v>232.96</v>
      </c>
      <c r="I920" s="28" t="n">
        <v>0</v>
      </c>
      <c r="J920" s="94" t="inlineStr">
        <is>
          <t>False</t>
        </is>
      </c>
      <c r="K920" s="28" t="n">
        <v>0</v>
      </c>
      <c r="L920" s="25" t="inlineStr">
        <is>
          <t>LIQUEURS AND CORDIALS</t>
        </is>
      </c>
      <c r="M920" s="25" t="inlineStr">
        <is>
          <t>MHW LTD</t>
        </is>
      </c>
      <c r="N920" s="25" t="inlineStr">
        <is>
          <t>040002-RNDC-MAGNOLIA</t>
        </is>
      </c>
      <c r="O920" s="25" t="n"/>
      <c r="P920" s="25" t="inlineStr">
        <is>
          <t>10088076172330</t>
        </is>
      </c>
      <c r="Q920" s="25" t="inlineStr">
        <is>
          <t>851926004500</t>
        </is>
      </c>
      <c r="R920" s="78" t="n">
        <v>43800</v>
      </c>
    </row>
    <row r="921">
      <c r="A921" t="inlineStr">
        <is>
          <t>or item code =</t>
        </is>
      </c>
      <c r="B921" s="25" t="inlineStr">
        <is>
          <t>5696</t>
        </is>
      </c>
      <c r="C921" s="25" t="inlineStr">
        <is>
          <t>OBAN SINGLE MALT SCOTCH</t>
        </is>
      </c>
      <c r="D921" s="25" t="inlineStr">
        <is>
          <t>750ml</t>
        </is>
      </c>
      <c r="E921" s="27" t="n">
        <v>0</v>
      </c>
      <c r="F921" s="27" t="n">
        <v>3</v>
      </c>
      <c r="G921" s="27" t="n">
        <v>12</v>
      </c>
      <c r="H921" s="28" t="n">
        <v>833.14</v>
      </c>
      <c r="I921" s="28" t="n">
        <v>0</v>
      </c>
      <c r="J921" s="94" t="inlineStr">
        <is>
          <t>False</t>
        </is>
      </c>
      <c r="K921" s="28" t="n">
        <v>0</v>
      </c>
      <c r="L921" s="25" t="inlineStr">
        <is>
          <t>WHISKY - SCOTCH</t>
        </is>
      </c>
      <c r="M921" s="25" t="inlineStr">
        <is>
          <t>DIAGEO AMERICAS INC</t>
        </is>
      </c>
      <c r="N921" s="25" t="inlineStr">
        <is>
          <t>040010-SOUTHERN GLAZERS WINE AND SPIRITS OF MISSISSIPPI LLC</t>
        </is>
      </c>
      <c r="O921" s="25" t="n"/>
      <c r="P921" s="25" t="inlineStr">
        <is>
          <t>00088076151932</t>
        </is>
      </c>
      <c r="Q921" s="25" t="inlineStr">
        <is>
          <t>088110160050</t>
        </is>
      </c>
      <c r="R921" s="78" t="n">
        <v>42370</v>
      </c>
    </row>
    <row r="922">
      <c r="A922" t="inlineStr">
        <is>
          <t>or item code =</t>
        </is>
      </c>
      <c r="B922" s="25" t="inlineStr">
        <is>
          <t>37040</t>
        </is>
      </c>
      <c r="C922" s="25" t="inlineStr">
        <is>
          <t>OCEAN VODKA (HAWAII)</t>
        </is>
      </c>
      <c r="D922" s="25" t="inlineStr">
        <is>
          <t>750ml</t>
        </is>
      </c>
      <c r="E922" s="27" t="n">
        <v>55</v>
      </c>
      <c r="F922" s="27" t="n">
        <v>25</v>
      </c>
      <c r="G922" s="27" t="n">
        <v>6</v>
      </c>
      <c r="H922" s="28" t="n">
        <v>117.85</v>
      </c>
      <c r="I922" s="28" t="n">
        <v>12</v>
      </c>
      <c r="J922" s="94" t="inlineStr">
        <is>
          <t>False</t>
        </is>
      </c>
      <c r="K922" s="28" t="n">
        <v>0</v>
      </c>
      <c r="L922" s="25" t="inlineStr">
        <is>
          <t>VODKA</t>
        </is>
      </c>
      <c r="M922" s="25" t="inlineStr">
        <is>
          <t>HAWAII SEA SPIRITS LLC</t>
        </is>
      </c>
      <c r="N922" s="25" t="inlineStr">
        <is>
          <t>040010-SOUTHERN GLAZERS WINE AND SPIRITS OF MISSISSIPPI LLC</t>
        </is>
      </c>
      <c r="O922" s="25" t="n"/>
      <c r="P922" s="25" t="inlineStr">
        <is>
          <t>10856695001006</t>
        </is>
      </c>
      <c r="Q922" s="25" t="inlineStr">
        <is>
          <t>856695001002</t>
        </is>
      </c>
      <c r="R922" s="78" t="n">
        <v>42370</v>
      </c>
    </row>
    <row r="923">
      <c r="A923" t="inlineStr">
        <is>
          <t>or item code =</t>
        </is>
      </c>
      <c r="B923" s="25" t="inlineStr">
        <is>
          <t>20168</t>
        </is>
      </c>
      <c r="C923" s="25" t="inlineStr">
        <is>
          <t>OLD CHARTER 8</t>
        </is>
      </c>
      <c r="D923" s="25" t="inlineStr">
        <is>
          <t>1.75L</t>
        </is>
      </c>
      <c r="E923" s="27" t="n">
        <v>2</v>
      </c>
      <c r="F923" s="27" t="n">
        <v>36</v>
      </c>
      <c r="G923" s="27" t="n">
        <v>6</v>
      </c>
      <c r="H923" s="28" t="n">
        <v>156.87</v>
      </c>
      <c r="I923" s="28" t="n">
        <v>0</v>
      </c>
      <c r="J923" s="94" t="inlineStr">
        <is>
          <t>False</t>
        </is>
      </c>
      <c r="K923" s="28" t="n">
        <v>0</v>
      </c>
      <c r="L923" s="25" t="inlineStr">
        <is>
          <t>WHISKEY - STR BOURBON</t>
        </is>
      </c>
      <c r="M923" s="25" t="inlineStr">
        <is>
          <t>SAZERAC COMPANY</t>
        </is>
      </c>
      <c r="N923" s="25" t="inlineStr">
        <is>
          <t>040002-RNDC-MAGNOLIA</t>
        </is>
      </c>
      <c r="O923" s="25" t="n"/>
      <c r="P923" s="25" t="inlineStr">
        <is>
          <t>10088004025523</t>
        </is>
      </c>
      <c r="Q923" s="25" t="inlineStr">
        <is>
          <t>0088004025526</t>
        </is>
      </c>
      <c r="R923" s="78" t="n">
        <v>42642</v>
      </c>
    </row>
    <row r="924">
      <c r="A924" t="inlineStr">
        <is>
          <t>or item code =</t>
        </is>
      </c>
      <c r="B924" s="25" t="inlineStr">
        <is>
          <t>20166</t>
        </is>
      </c>
      <c r="C924" s="25" t="inlineStr">
        <is>
          <t>OLD CHARTER 8</t>
        </is>
      </c>
      <c r="D924" s="25" t="inlineStr">
        <is>
          <t>750ml</t>
        </is>
      </c>
      <c r="E924" s="27" t="n">
        <v>196</v>
      </c>
      <c r="F924" s="27" t="n">
        <v>51</v>
      </c>
      <c r="G924" s="27" t="n">
        <v>12</v>
      </c>
      <c r="H924" s="28" t="n">
        <v>165.32</v>
      </c>
      <c r="I924" s="28" t="n">
        <v>0</v>
      </c>
      <c r="J924" s="94" t="inlineStr">
        <is>
          <t>False</t>
        </is>
      </c>
      <c r="K924" s="28" t="n">
        <v>0</v>
      </c>
      <c r="L924" s="25" t="inlineStr">
        <is>
          <t>WHISKEY - STR BOURBON</t>
        </is>
      </c>
      <c r="M924" s="25" t="inlineStr">
        <is>
          <t>SAZERAC COMPANY</t>
        </is>
      </c>
      <c r="N924" s="25" t="inlineStr">
        <is>
          <t>040002-RNDC-MAGNOLIA</t>
        </is>
      </c>
      <c r="O924" s="25" t="n"/>
      <c r="P924" s="25" t="inlineStr">
        <is>
          <t>10088004025547</t>
        </is>
      </c>
      <c r="Q924" s="25" t="inlineStr">
        <is>
          <t>0088004025540</t>
        </is>
      </c>
      <c r="R924" s="78" t="n">
        <v>42642</v>
      </c>
    </row>
    <row r="925">
      <c r="A925" t="inlineStr">
        <is>
          <t>or item code =</t>
        </is>
      </c>
      <c r="B925" s="25" t="inlineStr">
        <is>
          <t>20169</t>
        </is>
      </c>
      <c r="C925" s="25" t="inlineStr">
        <is>
          <t>OLD CHARTER 8 (PET)</t>
        </is>
      </c>
      <c r="D925" s="25" t="inlineStr">
        <is>
          <t>1.75L</t>
        </is>
      </c>
      <c r="E925" s="27" t="n">
        <v>0</v>
      </c>
      <c r="F925" s="27" t="n">
        <v>19</v>
      </c>
      <c r="G925" s="27" t="n">
        <v>6</v>
      </c>
      <c r="H925" s="28" t="n">
        <v>156.87</v>
      </c>
      <c r="I925" s="28" t="n">
        <v>0</v>
      </c>
      <c r="J925" s="94" t="inlineStr">
        <is>
          <t>False</t>
        </is>
      </c>
      <c r="K925" s="28" t="n">
        <v>0</v>
      </c>
      <c r="L925" s="25" t="inlineStr">
        <is>
          <t>WHISKEY - STR BOURBON</t>
        </is>
      </c>
      <c r="M925" s="25" t="inlineStr">
        <is>
          <t>SAZERAC COMPANY</t>
        </is>
      </c>
      <c r="N925" s="25" t="inlineStr">
        <is>
          <t>040002-RNDC-MAGNOLIA</t>
        </is>
      </c>
      <c r="O925" s="25" t="n"/>
      <c r="P925" s="25" t="inlineStr">
        <is>
          <t>10088004025516</t>
        </is>
      </c>
      <c r="Q925" s="25" t="inlineStr">
        <is>
          <t>0088004025519</t>
        </is>
      </c>
      <c r="R925" s="78" t="n">
        <v>42642</v>
      </c>
    </row>
    <row r="926">
      <c r="A926" t="inlineStr">
        <is>
          <t>or item code =</t>
        </is>
      </c>
      <c r="B926" s="25" t="inlineStr">
        <is>
          <t>20366</t>
        </is>
      </c>
      <c r="C926" s="25" t="inlineStr">
        <is>
          <t>OLD FORESTER</t>
        </is>
      </c>
      <c r="D926" s="25" t="inlineStr">
        <is>
          <t>750ml</t>
        </is>
      </c>
      <c r="E926" s="27" t="n">
        <v>29</v>
      </c>
      <c r="F926" s="27" t="n">
        <v>25</v>
      </c>
      <c r="G926" s="27" t="n">
        <v>12</v>
      </c>
      <c r="H926" s="28" t="n">
        <v>231.56</v>
      </c>
      <c r="I926" s="28" t="n">
        <v>0</v>
      </c>
      <c r="J926" s="94" t="inlineStr">
        <is>
          <t>False</t>
        </is>
      </c>
      <c r="K926" s="28" t="n">
        <v>0</v>
      </c>
      <c r="L926" s="25" t="inlineStr">
        <is>
          <t>WHISKEY - STR BOURBON</t>
        </is>
      </c>
      <c r="M926" s="25" t="inlineStr">
        <is>
          <t>BROWN FORMAN CORP</t>
        </is>
      </c>
      <c r="N926" s="25" t="inlineStr">
        <is>
          <t>045041-UNITED JOHNSON BROTHERS OF MS</t>
        </is>
      </c>
      <c r="O926" s="25" t="n"/>
      <c r="P926" s="25" t="inlineStr">
        <is>
          <t>10081128101463</t>
        </is>
      </c>
      <c r="Q926" s="25" t="inlineStr">
        <is>
          <t>081128005085</t>
        </is>
      </c>
      <c r="R926" s="78" t="n">
        <v>42370</v>
      </c>
    </row>
    <row r="927">
      <c r="A927" t="inlineStr">
        <is>
          <t>or item code =</t>
        </is>
      </c>
      <c r="B927" s="25" t="inlineStr">
        <is>
          <t>16396</t>
        </is>
      </c>
      <c r="C927" s="25" t="inlineStr">
        <is>
          <t>OLD FORESTER 100 PROOF</t>
        </is>
      </c>
      <c r="D927" s="25" t="inlineStr">
        <is>
          <t>750ml</t>
        </is>
      </c>
      <c r="E927" s="27" t="n">
        <v>20</v>
      </c>
      <c r="F927" s="27" t="n">
        <v>18</v>
      </c>
      <c r="G927" s="27" t="n">
        <v>12</v>
      </c>
      <c r="H927" s="28" t="n">
        <v>250.75</v>
      </c>
      <c r="I927" s="28" t="n">
        <v>0</v>
      </c>
      <c r="J927" s="94" t="inlineStr">
        <is>
          <t>False</t>
        </is>
      </c>
      <c r="K927" s="28" t="n">
        <v>0</v>
      </c>
      <c r="L927" s="25" t="inlineStr">
        <is>
          <t>WHISKEY - BTLD IN BOND</t>
        </is>
      </c>
      <c r="M927" s="25" t="inlineStr">
        <is>
          <t>BROWN FORMAN CORP</t>
        </is>
      </c>
      <c r="N927" s="25" t="inlineStr">
        <is>
          <t>045041-UNITED JOHNSON BROTHERS OF MS</t>
        </is>
      </c>
      <c r="O927" s="25" t="n"/>
      <c r="P927" s="25" t="inlineStr">
        <is>
          <t>10081128101395</t>
        </is>
      </c>
      <c r="Q927" s="25" t="inlineStr">
        <is>
          <t>081128001063</t>
        </is>
      </c>
      <c r="R927" s="78" t="n">
        <v>43265</v>
      </c>
    </row>
    <row r="928">
      <c r="A928" t="inlineStr">
        <is>
          <t>or item code =</t>
        </is>
      </c>
      <c r="B928" s="25" t="inlineStr">
        <is>
          <t>20374</t>
        </is>
      </c>
      <c r="C928" s="25" t="inlineStr">
        <is>
          <t>OLD FORESTER 1910 KENTUCKY STRAIGHT BOURBON</t>
        </is>
      </c>
      <c r="D928" s="25" t="inlineStr">
        <is>
          <t>750ml</t>
        </is>
      </c>
      <c r="E928" s="27" t="n">
        <v>19</v>
      </c>
      <c r="F928" s="27" t="n">
        <v>8</v>
      </c>
      <c r="G928" s="27" t="n">
        <v>6</v>
      </c>
      <c r="H928" s="28" t="n">
        <v>275.8</v>
      </c>
      <c r="I928" s="28" t="n">
        <v>0</v>
      </c>
      <c r="J928" s="94" t="inlineStr">
        <is>
          <t>False</t>
        </is>
      </c>
      <c r="K928" s="28" t="n">
        <v>0</v>
      </c>
      <c r="L928" s="25" t="inlineStr">
        <is>
          <t>WHISKEY - STR BOURBON</t>
        </is>
      </c>
      <c r="M928" s="25" t="inlineStr">
        <is>
          <t>BROWN FORMAN CORP</t>
        </is>
      </c>
      <c r="N928" s="25" t="inlineStr">
        <is>
          <t>045041-UNITED JOHNSON BROTHERS OF MS</t>
        </is>
      </c>
      <c r="O928" s="25" t="n"/>
      <c r="P928" s="25" t="inlineStr">
        <is>
          <t>10081128101098</t>
        </is>
      </c>
      <c r="Q928" s="25" t="inlineStr">
        <is>
          <t>081128001094</t>
        </is>
      </c>
      <c r="R928" s="78" t="n">
        <v>44348</v>
      </c>
    </row>
    <row r="929">
      <c r="A929" t="inlineStr">
        <is>
          <t>or item code =</t>
        </is>
      </c>
      <c r="B929" s="25" t="inlineStr">
        <is>
          <t>20376</t>
        </is>
      </c>
      <c r="C929" s="25" t="inlineStr">
        <is>
          <t>OLD FORESTER 1920 PROHIBITION STYLE</t>
        </is>
      </c>
      <c r="D929" s="25" t="inlineStr">
        <is>
          <t>750ml</t>
        </is>
      </c>
      <c r="E929" s="27" t="n">
        <v>40</v>
      </c>
      <c r="F929" s="27" t="n">
        <v>21</v>
      </c>
      <c r="G929" s="27" t="n">
        <v>6</v>
      </c>
      <c r="H929" s="28" t="n">
        <v>299.79</v>
      </c>
      <c r="I929" s="28" t="n">
        <v>0</v>
      </c>
      <c r="J929" s="94" t="inlineStr">
        <is>
          <t>False</t>
        </is>
      </c>
      <c r="K929" s="28" t="n">
        <v>0</v>
      </c>
      <c r="L929" s="25" t="inlineStr">
        <is>
          <t>WHISKEY - STR BOURBON</t>
        </is>
      </c>
      <c r="M929" s="25" t="inlineStr">
        <is>
          <t>BROWN FORMAN CORP</t>
        </is>
      </c>
      <c r="N929" s="25" t="inlineStr">
        <is>
          <t>045041-UNITED JOHNSON BROTHERS OF MS</t>
        </is>
      </c>
      <c r="O929" s="25" t="n"/>
      <c r="P929" s="25" t="inlineStr">
        <is>
          <t>10081128101159</t>
        </is>
      </c>
      <c r="Q929" s="25" t="inlineStr">
        <is>
          <t>081128001155</t>
        </is>
      </c>
      <c r="R929" s="78" t="n">
        <v>44348</v>
      </c>
    </row>
    <row r="930">
      <c r="A930" t="inlineStr">
        <is>
          <t>or item code =</t>
        </is>
      </c>
      <c r="B930" s="25" t="inlineStr">
        <is>
          <t>20375</t>
        </is>
      </c>
      <c r="C930" s="25" t="inlineStr">
        <is>
          <t>OLD FORESTER STATESMAN KENTUCKY STRAIGHT</t>
        </is>
      </c>
      <c r="D930" s="25" t="inlineStr">
        <is>
          <t>750ml</t>
        </is>
      </c>
      <c r="E930" s="27" t="n">
        <v>39</v>
      </c>
      <c r="F930" s="27" t="n">
        <v>18</v>
      </c>
      <c r="G930" s="27" t="n">
        <v>6</v>
      </c>
      <c r="H930" s="28" t="n">
        <v>275.8</v>
      </c>
      <c r="I930" s="28" t="n">
        <v>0</v>
      </c>
      <c r="J930" s="94" t="inlineStr">
        <is>
          <t>False</t>
        </is>
      </c>
      <c r="K930" s="28" t="n">
        <v>0</v>
      </c>
      <c r="L930" s="25" t="inlineStr">
        <is>
          <t>WHISKEY - STR BOURBON</t>
        </is>
      </c>
      <c r="M930" s="25" t="inlineStr">
        <is>
          <t>BROWN FORMAN CORP</t>
        </is>
      </c>
      <c r="N930" s="25" t="inlineStr">
        <is>
          <t>045041-UNITED JOHNSON BROTHERS OF MS</t>
        </is>
      </c>
      <c r="O930" s="25" t="n"/>
      <c r="P930" s="25" t="inlineStr">
        <is>
          <t>10081128101739</t>
        </is>
      </c>
      <c r="Q930" s="25" t="inlineStr">
        <is>
          <t>0081128001735</t>
        </is>
      </c>
      <c r="R930" s="78" t="n">
        <v>44348</v>
      </c>
    </row>
    <row r="931">
      <c r="A931" t="inlineStr">
        <is>
          <t>or item code =</t>
        </is>
      </c>
      <c r="B931" s="25" t="inlineStr">
        <is>
          <t>16416</t>
        </is>
      </c>
      <c r="C931" s="25" t="inlineStr">
        <is>
          <t>OLD GRAND DAD</t>
        </is>
      </c>
      <c r="D931" s="25" t="inlineStr">
        <is>
          <t>750ml</t>
        </is>
      </c>
      <c r="E931" s="27" t="n">
        <v>4</v>
      </c>
      <c r="F931" s="27" t="n">
        <v>43</v>
      </c>
      <c r="G931" s="27" t="n">
        <v>12</v>
      </c>
      <c r="H931" s="28" t="n">
        <v>212.2</v>
      </c>
      <c r="I931" s="28" t="n">
        <v>0</v>
      </c>
      <c r="J931" s="94" t="inlineStr">
        <is>
          <t>False</t>
        </is>
      </c>
      <c r="K931" s="28" t="n">
        <v>0</v>
      </c>
      <c r="L931" s="25" t="inlineStr">
        <is>
          <t>WHISKEY - BTLD IN BOND</t>
        </is>
      </c>
      <c r="M931" s="25" t="inlineStr">
        <is>
          <t>JIM BEAM BRANDS CO</t>
        </is>
      </c>
      <c r="N931" s="25" t="inlineStr">
        <is>
          <t>040010-SOUTHERN GLAZERS WINE AND SPIRITS OF MISSISSIPPI LLC</t>
        </is>
      </c>
      <c r="O931" s="25" t="n"/>
      <c r="P931" s="25" t="inlineStr">
        <is>
          <t>01008068640840</t>
        </is>
      </c>
      <c r="Q931" s="25" t="inlineStr">
        <is>
          <t>0080686408406</t>
        </is>
      </c>
      <c r="R931" s="78" t="n">
        <v>42370</v>
      </c>
    </row>
    <row r="932">
      <c r="A932" t="inlineStr">
        <is>
          <t>or item code =</t>
        </is>
      </c>
      <c r="B932" s="25" t="inlineStr">
        <is>
          <t>19366</t>
        </is>
      </c>
      <c r="C932" s="25" t="inlineStr">
        <is>
          <t>OLD KENTUCKY TAVERN (PET)</t>
        </is>
      </c>
      <c r="D932" s="25" t="inlineStr">
        <is>
          <t>750ml</t>
        </is>
      </c>
      <c r="E932" s="27" t="n">
        <v>0</v>
      </c>
      <c r="F932" s="27" t="n">
        <v>6</v>
      </c>
      <c r="G932" s="27" t="n">
        <v>12</v>
      </c>
      <c r="H932" s="28" t="n">
        <v>88.51000000000001</v>
      </c>
      <c r="I932" s="28" t="n">
        <v>0</v>
      </c>
      <c r="J932" s="94" t="inlineStr">
        <is>
          <t>False</t>
        </is>
      </c>
      <c r="K932" s="28" t="n">
        <v>0</v>
      </c>
      <c r="L932" s="25" t="inlineStr">
        <is>
          <t>WHISKEY - STR BOURBON</t>
        </is>
      </c>
      <c r="M932" s="25" t="inlineStr">
        <is>
          <t>SAZERAC COMPANY</t>
        </is>
      </c>
      <c r="N932" s="25" t="inlineStr">
        <is>
          <t>040002-RNDC-MAGNOLIA</t>
        </is>
      </c>
      <c r="O932" s="25" t="n"/>
      <c r="P932" s="25" t="inlineStr">
        <is>
          <t>10089000010384</t>
        </is>
      </c>
      <c r="Q932" s="25" t="inlineStr">
        <is>
          <t>0089000010387</t>
        </is>
      </c>
      <c r="R932" s="78" t="n">
        <v>42370</v>
      </c>
    </row>
    <row r="933">
      <c r="A933" t="inlineStr">
        <is>
          <t>or item code =</t>
        </is>
      </c>
      <c r="B933" s="25" t="inlineStr">
        <is>
          <t>20538</t>
        </is>
      </c>
      <c r="C933" s="25" t="inlineStr">
        <is>
          <t>OLD KENTUCKY TAVERN (PET)</t>
        </is>
      </c>
      <c r="D933" s="25" t="inlineStr">
        <is>
          <t>1.75L</t>
        </is>
      </c>
      <c r="E933" s="27" t="n">
        <v>0</v>
      </c>
      <c r="F933" s="27" t="n">
        <v>13</v>
      </c>
      <c r="G933" s="27" t="n">
        <v>6</v>
      </c>
      <c r="H933" s="28" t="n">
        <v>93.64</v>
      </c>
      <c r="I933" s="28" t="n">
        <v>0</v>
      </c>
      <c r="J933" s="94" t="inlineStr">
        <is>
          <t>False</t>
        </is>
      </c>
      <c r="K933" s="28" t="n">
        <v>0</v>
      </c>
      <c r="L933" s="25" t="inlineStr">
        <is>
          <t>WHISKEY - STR BOURBON</t>
        </is>
      </c>
      <c r="M933" s="25" t="inlineStr">
        <is>
          <t>SAZERAC COMPANY</t>
        </is>
      </c>
      <c r="N933" s="25" t="inlineStr">
        <is>
          <t>040002-RNDC-MAGNOLIA</t>
        </is>
      </c>
      <c r="O933" s="25" t="n"/>
      <c r="P933" s="25" t="inlineStr">
        <is>
          <t>10089000001153</t>
        </is>
      </c>
      <c r="Q933" s="25" t="inlineStr">
        <is>
          <t>0089000001156</t>
        </is>
      </c>
      <c r="R933" s="78" t="n">
        <v>42370</v>
      </c>
    </row>
    <row r="934">
      <c r="A934" t="inlineStr">
        <is>
          <t>or item code =</t>
        </is>
      </c>
      <c r="B934" s="25" t="inlineStr">
        <is>
          <t>955242</t>
        </is>
      </c>
      <c r="C934" s="25" t="inlineStr">
        <is>
          <t>OLD SOUTH SWEET MAGNOLIA MUSCADINE</t>
        </is>
      </c>
      <c r="D934" s="25" t="inlineStr">
        <is>
          <t>750ml</t>
        </is>
      </c>
      <c r="E934" s="27" t="n">
        <v>19</v>
      </c>
      <c r="F934" s="27" t="n">
        <v>94</v>
      </c>
      <c r="G934" s="27" t="n">
        <v>12</v>
      </c>
      <c r="H934" s="28" t="n">
        <v>88.41</v>
      </c>
      <c r="I934" s="28" t="n">
        <v>0</v>
      </c>
      <c r="J934" s="94" t="inlineStr">
        <is>
          <t>False</t>
        </is>
      </c>
      <c r="K934" s="28" t="n">
        <v>0</v>
      </c>
      <c r="L934" s="25" t="inlineStr">
        <is>
          <t>MUSCADINE</t>
        </is>
      </c>
      <c r="M934" s="25" t="inlineStr">
        <is>
          <t>OLD SOUTH WINERY</t>
        </is>
      </c>
      <c r="N934" s="25" t="inlineStr">
        <is>
          <t>040025-A B C DIVISION</t>
        </is>
      </c>
      <c r="O934" s="25" t="n"/>
      <c r="P934" s="25" t="inlineStr">
        <is>
          <t>00000000955242</t>
        </is>
      </c>
      <c r="Q934" s="25" t="inlineStr">
        <is>
          <t>0769639100023</t>
        </is>
      </c>
      <c r="R934" s="78" t="n">
        <v>44501</v>
      </c>
    </row>
    <row r="935">
      <c r="A935" t="inlineStr">
        <is>
          <t>or item code =</t>
        </is>
      </c>
      <c r="B935" s="25" t="inlineStr">
        <is>
          <t>955252</t>
        </is>
      </c>
      <c r="C935" s="25" t="inlineStr">
        <is>
          <t>OLD SOUTH SWEET NOBLE MUSCADINE</t>
        </is>
      </c>
      <c r="D935" s="25" t="inlineStr">
        <is>
          <t>750ml</t>
        </is>
      </c>
      <c r="E935" s="27" t="n">
        <v>37</v>
      </c>
      <c r="F935" s="27" t="n">
        <v>91</v>
      </c>
      <c r="G935" s="27" t="n">
        <v>12</v>
      </c>
      <c r="H935" s="28" t="n">
        <v>98.61</v>
      </c>
      <c r="I935" s="28" t="n">
        <v>0</v>
      </c>
      <c r="J935" s="94" t="inlineStr">
        <is>
          <t>False</t>
        </is>
      </c>
      <c r="K935" s="28" t="n">
        <v>0</v>
      </c>
      <c r="L935" s="25" t="inlineStr">
        <is>
          <t>MUSCADINE</t>
        </is>
      </c>
      <c r="M935" s="25" t="inlineStr">
        <is>
          <t>OLD SOUTH WINERY</t>
        </is>
      </c>
      <c r="N935" s="25" t="inlineStr">
        <is>
          <t>040025-A B C DIVISION</t>
        </is>
      </c>
      <c r="O935" s="25" t="n"/>
      <c r="P935" s="25" t="n"/>
      <c r="Q935" s="25" t="inlineStr">
        <is>
          <t>769639100061</t>
        </is>
      </c>
      <c r="R935" s="78" t="n">
        <v>44501</v>
      </c>
    </row>
    <row r="936">
      <c r="A936" t="inlineStr">
        <is>
          <t>or item code =</t>
        </is>
      </c>
      <c r="B936" s="25" t="inlineStr">
        <is>
          <t>86851</t>
        </is>
      </c>
      <c r="C936" s="25" t="inlineStr">
        <is>
          <t>OLE SMOKEY BLUE FLAME TENNESSEE MOONSHINE</t>
        </is>
      </c>
      <c r="D936" s="25" t="inlineStr">
        <is>
          <t>750ml</t>
        </is>
      </c>
      <c r="E936" s="27" t="n">
        <v>48</v>
      </c>
      <c r="F936" s="27" t="n">
        <v>55</v>
      </c>
      <c r="G936" s="27" t="n">
        <v>6</v>
      </c>
      <c r="H936" s="28" t="n">
        <v>114.77</v>
      </c>
      <c r="I936" s="28" t="n">
        <v>0</v>
      </c>
      <c r="J936" s="94" t="inlineStr">
        <is>
          <t>False</t>
        </is>
      </c>
      <c r="K936" s="28" t="n">
        <v>0</v>
      </c>
      <c r="L936" s="25" t="inlineStr">
        <is>
          <t>WHISKEY OTHER</t>
        </is>
      </c>
      <c r="M936" s="25" t="inlineStr">
        <is>
          <t>OLE SMOKY DISTILLERY LLC</t>
        </is>
      </c>
      <c r="N936" s="25" t="inlineStr">
        <is>
          <t>040010-SOUTHERN GLAZERS WINE AND SPIRITS OF MISSISSIPPI LLC</t>
        </is>
      </c>
      <c r="O936" s="25" t="n"/>
      <c r="P936" s="25" t="inlineStr">
        <is>
          <t>00000000027764</t>
        </is>
      </c>
      <c r="Q936" s="25" t="inlineStr">
        <is>
          <t>0856011004595</t>
        </is>
      </c>
      <c r="R936" s="78" t="n">
        <v>42709</v>
      </c>
    </row>
    <row r="937">
      <c r="A937" t="inlineStr">
        <is>
          <t>or item code =</t>
        </is>
      </c>
      <c r="B937" s="25" t="inlineStr">
        <is>
          <t>63206</t>
        </is>
      </c>
      <c r="C937" s="25" t="inlineStr">
        <is>
          <t>OLE SMOKY MOUNTAIN RITA MOONSHINE COCKTAIL 355ML</t>
        </is>
      </c>
      <c r="D937" s="25" t="inlineStr">
        <is>
          <t>355ml</t>
        </is>
      </c>
      <c r="E937" s="27" t="n">
        <v>47</v>
      </c>
      <c r="F937" s="27" t="n">
        <v>7</v>
      </c>
      <c r="G937" s="27" t="n">
        <v>24</v>
      </c>
      <c r="H937" s="28" t="n">
        <v>63.88</v>
      </c>
      <c r="I937" s="28" t="n">
        <v>0</v>
      </c>
      <c r="J937" s="94" t="inlineStr">
        <is>
          <t>False</t>
        </is>
      </c>
      <c r="K937" s="28" t="n">
        <v>0</v>
      </c>
      <c r="L937" s="25" t="inlineStr">
        <is>
          <t>COCKTAILS</t>
        </is>
      </c>
      <c r="M937" s="25" t="inlineStr">
        <is>
          <t>OLE SMOKY DISTILLERY LLC</t>
        </is>
      </c>
      <c r="N937" s="25" t="inlineStr">
        <is>
          <t>040010-SOUTHERN GLAZERS WINE AND SPIRITS OF MISSISSIPPI LLC</t>
        </is>
      </c>
      <c r="O937" s="25" t="n"/>
      <c r="P937" s="25" t="inlineStr">
        <is>
          <t>10853915008763</t>
        </is>
      </c>
      <c r="Q937" s="25" t="inlineStr">
        <is>
          <t>853915008759</t>
        </is>
      </c>
      <c r="R937" s="78" t="n">
        <v>44652</v>
      </c>
    </row>
    <row r="938">
      <c r="A938" t="inlineStr">
        <is>
          <t>or item code =</t>
        </is>
      </c>
      <c r="B938" s="25" t="inlineStr">
        <is>
          <t>87018</t>
        </is>
      </c>
      <c r="C938" s="25" t="inlineStr">
        <is>
          <t>OLE SMOKY PEACH WHISKEY 60P</t>
        </is>
      </c>
      <c r="D938" s="25" t="inlineStr">
        <is>
          <t>750ml</t>
        </is>
      </c>
      <c r="E938" s="27" t="n">
        <v>115</v>
      </c>
      <c r="F938" s="27" t="n">
        <v>50</v>
      </c>
      <c r="G938" s="27" t="n">
        <v>6</v>
      </c>
      <c r="H938" s="28" t="n">
        <v>91.81999999999999</v>
      </c>
      <c r="I938" s="28" t="n">
        <v>0</v>
      </c>
      <c r="J938" s="94" t="inlineStr">
        <is>
          <t>False</t>
        </is>
      </c>
      <c r="K938" s="28" t="n">
        <v>0</v>
      </c>
      <c r="L938" s="25" t="inlineStr">
        <is>
          <t>WHISKEY OTHER</t>
        </is>
      </c>
      <c r="M938" s="25" t="inlineStr">
        <is>
          <t>OLE SMOKY DISTILLERY LLC</t>
        </is>
      </c>
      <c r="N938" s="25" t="inlineStr">
        <is>
          <t>040010-SOUTHERN GLAZERS WINE AND SPIRITS OF MISSISSIPPI LLC</t>
        </is>
      </c>
      <c r="O938" s="25" t="n"/>
      <c r="P938" s="25" t="inlineStr">
        <is>
          <t>10854628006701</t>
        </is>
      </c>
      <c r="Q938" s="25" t="inlineStr">
        <is>
          <t>0854628006520</t>
        </is>
      </c>
      <c r="R938" s="78" t="n">
        <v>43677</v>
      </c>
    </row>
    <row r="939">
      <c r="A939" t="inlineStr">
        <is>
          <t>or item code =</t>
        </is>
      </c>
      <c r="B939" s="25" t="inlineStr">
        <is>
          <t>86843</t>
        </is>
      </c>
      <c r="C939" s="25" t="inlineStr">
        <is>
          <t>OLE SMOKY TENEESSEE SALTY CARAMEL WHSKEY</t>
        </is>
      </c>
      <c r="D939" s="25" t="inlineStr">
        <is>
          <t>750ml</t>
        </is>
      </c>
      <c r="E939" s="27" t="n">
        <v>167</v>
      </c>
      <c r="F939" s="27" t="n">
        <v>286</v>
      </c>
      <c r="G939" s="27" t="n">
        <v>6</v>
      </c>
      <c r="H939" s="28" t="n">
        <v>91.81999999999999</v>
      </c>
      <c r="I939" s="28" t="n">
        <v>0</v>
      </c>
      <c r="J939" s="94" t="inlineStr">
        <is>
          <t>False</t>
        </is>
      </c>
      <c r="K939" s="28" t="n">
        <v>0</v>
      </c>
      <c r="L939" s="25" t="inlineStr">
        <is>
          <t>WHISKEY OTHER</t>
        </is>
      </c>
      <c r="M939" s="25" t="inlineStr">
        <is>
          <t>OLE SMOKY DISTILLERY LLC</t>
        </is>
      </c>
      <c r="N939" s="25" t="inlineStr">
        <is>
          <t>040010-SOUTHERN GLAZERS WINE AND SPIRITS OF MISSISSIPPI LLC</t>
        </is>
      </c>
      <c r="O939" s="25" t="n"/>
      <c r="P939" s="25" t="n"/>
      <c r="Q939" s="25" t="inlineStr">
        <is>
          <t>0854628006131</t>
        </is>
      </c>
      <c r="R939" s="78" t="n">
        <v>43081</v>
      </c>
    </row>
    <row r="940">
      <c r="A940" t="inlineStr">
        <is>
          <t>or item code =</t>
        </is>
      </c>
      <c r="B940" s="25" t="inlineStr">
        <is>
          <t>86785</t>
        </is>
      </c>
      <c r="C940" s="25" t="inlineStr">
        <is>
          <t>OLE SMOKY TENN MOONSHINE APPLE PIE 70P</t>
        </is>
      </c>
      <c r="D940" s="25" t="inlineStr">
        <is>
          <t>750ml</t>
        </is>
      </c>
      <c r="E940" s="27" t="n">
        <v>63</v>
      </c>
      <c r="F940" s="27" t="n">
        <v>78</v>
      </c>
      <c r="G940" s="27" t="n">
        <v>6</v>
      </c>
      <c r="H940" s="28" t="n">
        <v>114.77</v>
      </c>
      <c r="I940" s="28" t="n">
        <v>0</v>
      </c>
      <c r="J940" s="94" t="inlineStr">
        <is>
          <t>False</t>
        </is>
      </c>
      <c r="K940" s="28" t="n">
        <v>0</v>
      </c>
      <c r="L940" s="25" t="inlineStr">
        <is>
          <t>WHISKEY OTHER</t>
        </is>
      </c>
      <c r="M940" s="25" t="inlineStr">
        <is>
          <t>OLE SMOKY DISTILLERY LLC</t>
        </is>
      </c>
      <c r="N940" s="25" t="inlineStr">
        <is>
          <t>040010-SOUTHERN GLAZERS WINE AND SPIRITS OF MISSISSIPPI LLC</t>
        </is>
      </c>
      <c r="O940" s="25" t="n"/>
      <c r="P940" s="25" t="inlineStr">
        <is>
          <t>10856011004981</t>
        </is>
      </c>
      <c r="Q940" s="25" t="inlineStr">
        <is>
          <t>0856011004984</t>
        </is>
      </c>
      <c r="R940" s="78" t="n">
        <v>42370</v>
      </c>
    </row>
    <row r="941">
      <c r="A941" t="inlineStr">
        <is>
          <t>or item code =</t>
        </is>
      </c>
      <c r="B941" s="25" t="inlineStr">
        <is>
          <t>86739</t>
        </is>
      </c>
      <c r="C941" s="25" t="inlineStr">
        <is>
          <t>OLE SMOKY TENN MOONSHINE APPLE PIE 70P</t>
        </is>
      </c>
      <c r="D941" s="25" t="inlineStr">
        <is>
          <t>50ml</t>
        </is>
      </c>
      <c r="E941" s="27" t="n">
        <v>167</v>
      </c>
      <c r="F941" s="27" t="n">
        <v>83</v>
      </c>
      <c r="G941" s="27" t="n">
        <v>48</v>
      </c>
      <c r="H941" s="28" t="n">
        <v>100.63</v>
      </c>
      <c r="I941" s="28" t="n">
        <v>0</v>
      </c>
      <c r="J941" s="94" t="inlineStr">
        <is>
          <t>False</t>
        </is>
      </c>
      <c r="K941" s="28" t="n">
        <v>0</v>
      </c>
      <c r="L941" s="25" t="inlineStr">
        <is>
          <t>WHISKEY OTHER</t>
        </is>
      </c>
      <c r="M941" s="25" t="inlineStr">
        <is>
          <t>OLE SMOKY DISTILLERY LLC</t>
        </is>
      </c>
      <c r="N941" s="25" t="inlineStr">
        <is>
          <t>040010-SOUTHERN GLAZERS WINE AND SPIRITS OF MISSISSIPPI LLC</t>
        </is>
      </c>
      <c r="O941" s="25" t="n"/>
      <c r="P941" s="25" t="inlineStr">
        <is>
          <t>10854628006213</t>
        </is>
      </c>
      <c r="Q941" s="25" t="inlineStr">
        <is>
          <t>0854628006315</t>
        </is>
      </c>
      <c r="R941" s="78" t="n">
        <v>42845</v>
      </c>
    </row>
    <row r="942">
      <c r="A942" t="inlineStr">
        <is>
          <t>or item code =</t>
        </is>
      </c>
      <c r="B942" s="25" t="inlineStr">
        <is>
          <t>86970</t>
        </is>
      </c>
      <c r="C942" s="25" t="inlineStr">
        <is>
          <t>OLE SMOKY TENN MOONSHINE BLUE FLAME</t>
        </is>
      </c>
      <c r="D942" s="25" t="inlineStr">
        <is>
          <t>50ml</t>
        </is>
      </c>
      <c r="E942" s="27" t="n">
        <v>0</v>
      </c>
      <c r="F942" s="27" t="n">
        <v>8</v>
      </c>
      <c r="G942" s="27" t="n">
        <v>48</v>
      </c>
      <c r="H942" s="28" t="n">
        <v>100.63</v>
      </c>
      <c r="I942" s="28" t="n">
        <v>0</v>
      </c>
      <c r="J942" s="94" t="inlineStr">
        <is>
          <t>False</t>
        </is>
      </c>
      <c r="K942" s="28" t="n">
        <v>0</v>
      </c>
      <c r="L942" s="25" t="inlineStr">
        <is>
          <t>SPECIALTY</t>
        </is>
      </c>
      <c r="M942" s="25" t="inlineStr">
        <is>
          <t>OLE SMOKY DISTILLERY LLC</t>
        </is>
      </c>
      <c r="N942" s="25" t="inlineStr">
        <is>
          <t>040010-SOUTHERN GLAZERS WINE AND SPIRITS OF MISSISSIPPI LLC</t>
        </is>
      </c>
      <c r="O942" s="25" t="n"/>
      <c r="P942" s="25" t="inlineStr">
        <is>
          <t>10854628006794</t>
        </is>
      </c>
      <c r="Q942" s="25" t="inlineStr">
        <is>
          <t>854628006780</t>
        </is>
      </c>
      <c r="R942" s="78" t="n">
        <v>43299</v>
      </c>
    </row>
    <row r="943">
      <c r="A943" t="inlineStr">
        <is>
          <t>or item code =</t>
        </is>
      </c>
      <c r="B943" s="25" t="inlineStr">
        <is>
          <t>76413</t>
        </is>
      </c>
      <c r="C943" s="25" t="inlineStr">
        <is>
          <t>OLE SMOKY TENN MOONSHINE BUTTER PECAN</t>
        </is>
      </c>
      <c r="D943" s="25" t="inlineStr">
        <is>
          <t>750ml</t>
        </is>
      </c>
      <c r="E943" s="27" t="n">
        <v>0</v>
      </c>
      <c r="F943" s="27" t="n">
        <v>107</v>
      </c>
      <c r="G943" s="27" t="n">
        <v>6</v>
      </c>
      <c r="H943" s="28" t="n">
        <v>114.77</v>
      </c>
      <c r="I943" s="28" t="n">
        <v>0</v>
      </c>
      <c r="J943" s="94" t="inlineStr">
        <is>
          <t>False</t>
        </is>
      </c>
      <c r="K943" s="28" t="n">
        <v>0</v>
      </c>
      <c r="L943" s="25" t="inlineStr">
        <is>
          <t>WHISKEY OTHER</t>
        </is>
      </c>
      <c r="M943" s="25" t="inlineStr">
        <is>
          <t>OLE SMOKY DISTILLERY LLC</t>
        </is>
      </c>
      <c r="N943" s="25" t="inlineStr">
        <is>
          <t>040010-SOUTHERN GLAZERS WINE AND SPIRITS OF MISSISSIPPI LLC</t>
        </is>
      </c>
      <c r="O943" s="25" t="n"/>
      <c r="P943" s="25" t="inlineStr">
        <is>
          <t>10854628006725</t>
        </is>
      </c>
      <c r="Q943" s="25" t="inlineStr">
        <is>
          <t>854628006728</t>
        </is>
      </c>
      <c r="R943" s="78" t="n">
        <v>44044</v>
      </c>
    </row>
    <row r="944">
      <c r="A944" t="inlineStr">
        <is>
          <t>or item code =</t>
        </is>
      </c>
      <c r="B944" s="25" t="inlineStr">
        <is>
          <t>76412</t>
        </is>
      </c>
      <c r="C944" s="25" t="inlineStr">
        <is>
          <t>OLE SMOKY TENN MOONSHINE BUTTER PECAN</t>
        </is>
      </c>
      <c r="D944" s="25" t="inlineStr">
        <is>
          <t>50ml</t>
        </is>
      </c>
      <c r="E944" s="27" t="n">
        <v>0</v>
      </c>
      <c r="F944" s="27" t="n">
        <v>124</v>
      </c>
      <c r="G944" s="27" t="n">
        <v>48</v>
      </c>
      <c r="H944" s="28" t="n">
        <v>100.63</v>
      </c>
      <c r="I944" s="28" t="n">
        <v>0</v>
      </c>
      <c r="J944" s="94" t="inlineStr">
        <is>
          <t>False</t>
        </is>
      </c>
      <c r="K944" s="28" t="n">
        <v>0</v>
      </c>
      <c r="L944" s="25" t="inlineStr">
        <is>
          <t>WHISKEY OTHER</t>
        </is>
      </c>
      <c r="M944" s="25" t="inlineStr">
        <is>
          <t>OLE SMOKY DISTILLERY LLC</t>
        </is>
      </c>
      <c r="N944" s="25" t="inlineStr">
        <is>
          <t>040010-SOUTHERN GLAZERS WINE AND SPIRITS OF MISSISSIPPI LLC</t>
        </is>
      </c>
      <c r="O944" s="25" t="n"/>
      <c r="P944" s="25" t="inlineStr">
        <is>
          <t>10853915008299</t>
        </is>
      </c>
      <c r="Q944" s="25" t="inlineStr">
        <is>
          <t>853915008285</t>
        </is>
      </c>
      <c r="R944" s="78" t="n">
        <v>44621</v>
      </c>
    </row>
    <row r="945">
      <c r="A945" t="inlineStr">
        <is>
          <t>or item code =</t>
        </is>
      </c>
      <c r="B945" s="25" t="inlineStr">
        <is>
          <t>76404</t>
        </is>
      </c>
      <c r="C945" s="25" t="inlineStr">
        <is>
          <t>OLE SMOKY TENN MOONSHINE DILL PICKLE</t>
        </is>
      </c>
      <c r="D945" s="25" t="inlineStr">
        <is>
          <t>1L</t>
        </is>
      </c>
      <c r="E945" s="27" t="n">
        <v>113</v>
      </c>
      <c r="F945" s="27" t="n">
        <v>19</v>
      </c>
      <c r="G945" s="27" t="n">
        <v>6</v>
      </c>
      <c r="H945" s="28" t="n">
        <v>135.53</v>
      </c>
      <c r="I945" s="28" t="n">
        <v>0</v>
      </c>
      <c r="J945" s="94" t="inlineStr">
        <is>
          <t>False</t>
        </is>
      </c>
      <c r="K945" s="28" t="n">
        <v>0</v>
      </c>
      <c r="L945" s="25" t="inlineStr">
        <is>
          <t>WHISKEY OTHER</t>
        </is>
      </c>
      <c r="M945" s="25" t="inlineStr">
        <is>
          <t>OLE SMOKY DISTILLERY LLC</t>
        </is>
      </c>
      <c r="N945" s="25" t="inlineStr">
        <is>
          <t>040010-SOUTHERN GLAZERS WINE AND SPIRITS OF MISSISSIPPI LLC</t>
        </is>
      </c>
      <c r="O945" s="25" t="n"/>
      <c r="P945" s="25" t="inlineStr">
        <is>
          <t>10853915008695</t>
        </is>
      </c>
      <c r="Q945" s="25" t="inlineStr">
        <is>
          <t>853915008698</t>
        </is>
      </c>
      <c r="R945" s="78" t="n">
        <v>44593</v>
      </c>
    </row>
    <row r="946">
      <c r="A946" t="inlineStr">
        <is>
          <t>or item code =</t>
        </is>
      </c>
      <c r="B946" s="25" t="inlineStr">
        <is>
          <t>86828</t>
        </is>
      </c>
      <c r="C946" s="25" t="inlineStr">
        <is>
          <t>OLE SMOKY TENN MOONSHINE HUNCH PUNCH LGHT 80P</t>
        </is>
      </c>
      <c r="D946" s="25" t="inlineStr">
        <is>
          <t>50ml</t>
        </is>
      </c>
      <c r="E946" s="27" t="n">
        <v>170</v>
      </c>
      <c r="F946" s="27" t="n">
        <v>92</v>
      </c>
      <c r="G946" s="27" t="n">
        <v>48</v>
      </c>
      <c r="H946" s="28" t="n">
        <v>100.63</v>
      </c>
      <c r="I946" s="28" t="n">
        <v>0</v>
      </c>
      <c r="J946" s="94" t="inlineStr">
        <is>
          <t>False</t>
        </is>
      </c>
      <c r="K946" s="28" t="n">
        <v>0</v>
      </c>
      <c r="L946" s="25" t="inlineStr">
        <is>
          <t>WHISKEY - CORN</t>
        </is>
      </c>
      <c r="M946" s="25" t="inlineStr">
        <is>
          <t>OLE SMOKY DISTILLERY LLC</t>
        </is>
      </c>
      <c r="N946" s="25" t="inlineStr">
        <is>
          <t>040010-SOUTHERN GLAZERS WINE AND SPIRITS OF MISSISSIPPI LLC</t>
        </is>
      </c>
      <c r="O946" s="25" t="n"/>
      <c r="P946" s="25" t="inlineStr">
        <is>
          <t>20854628006050</t>
        </is>
      </c>
      <c r="Q946" s="25" t="inlineStr">
        <is>
          <t>854628006056</t>
        </is>
      </c>
      <c r="R946" s="78" t="n">
        <v>42845</v>
      </c>
    </row>
    <row r="947">
      <c r="A947" t="inlineStr">
        <is>
          <t>or item code =</t>
        </is>
      </c>
      <c r="B947" s="25" t="inlineStr">
        <is>
          <t>86751</t>
        </is>
      </c>
      <c r="C947" s="25" t="inlineStr">
        <is>
          <t>OLE SMOKY TENN MOONSHINE HUNCH PUNCH LGHT 80P</t>
        </is>
      </c>
      <c r="D947" s="25" t="inlineStr">
        <is>
          <t>750ml</t>
        </is>
      </c>
      <c r="E947" s="27" t="n">
        <v>0</v>
      </c>
      <c r="F947" s="27" t="n">
        <v>79</v>
      </c>
      <c r="G947" s="27" t="n">
        <v>6</v>
      </c>
      <c r="H947" s="28" t="n">
        <v>114.77</v>
      </c>
      <c r="I947" s="28" t="n">
        <v>0</v>
      </c>
      <c r="J947" s="94" t="inlineStr">
        <is>
          <t>False</t>
        </is>
      </c>
      <c r="K947" s="28" t="n">
        <v>0</v>
      </c>
      <c r="L947" s="25" t="inlineStr">
        <is>
          <t>WHISKEY OTHER</t>
        </is>
      </c>
      <c r="M947" s="25" t="inlineStr">
        <is>
          <t>OLE SMOKY DISTILLERY LLC</t>
        </is>
      </c>
      <c r="N947" s="25" t="inlineStr">
        <is>
          <t>040010-SOUTHERN GLAZERS WINE AND SPIRITS OF MISSISSIPPI LLC</t>
        </is>
      </c>
      <c r="O947" s="25" t="n"/>
      <c r="P947" s="25" t="inlineStr">
        <is>
          <t>10856011004322</t>
        </is>
      </c>
      <c r="Q947" s="25" t="inlineStr">
        <is>
          <t>0856011004076</t>
        </is>
      </c>
      <c r="R947" s="78" t="n">
        <v>42709</v>
      </c>
    </row>
    <row r="948">
      <c r="A948" t="inlineStr">
        <is>
          <t>or item code =</t>
        </is>
      </c>
      <c r="B948" s="25" t="inlineStr">
        <is>
          <t>86987</t>
        </is>
      </c>
      <c r="C948" s="25" t="inlineStr">
        <is>
          <t>OLE SMOKY TENN MOONSHNE SALTY WATERMELON</t>
        </is>
      </c>
      <c r="D948" s="25" t="inlineStr">
        <is>
          <t>750ml</t>
        </is>
      </c>
      <c r="E948" s="27" t="n">
        <v>46</v>
      </c>
      <c r="F948" s="27" t="n">
        <v>115</v>
      </c>
      <c r="G948" s="27" t="n">
        <v>6</v>
      </c>
      <c r="H948" s="28" t="n">
        <v>91.81999999999999</v>
      </c>
      <c r="I948" s="28" t="n">
        <v>0</v>
      </c>
      <c r="J948" s="94" t="inlineStr">
        <is>
          <t>False</t>
        </is>
      </c>
      <c r="K948" s="28" t="n">
        <v>0</v>
      </c>
      <c r="L948" s="25" t="inlineStr">
        <is>
          <t>WHISKEY OTHER</t>
        </is>
      </c>
      <c r="M948" s="25" t="inlineStr">
        <is>
          <t>OLE SMOKY DISTILLERY LLC</t>
        </is>
      </c>
      <c r="N948" s="25" t="inlineStr">
        <is>
          <t>040010-SOUTHERN GLAZERS WINE AND SPIRITS OF MISSISSIPPI LLC</t>
        </is>
      </c>
      <c r="O948" s="25" t="n"/>
      <c r="P948" s="25" t="n"/>
      <c r="Q948" s="25" t="inlineStr">
        <is>
          <t>854628006704</t>
        </is>
      </c>
      <c r="R948" s="78" t="n">
        <v>43800</v>
      </c>
    </row>
    <row r="949">
      <c r="A949" t="inlineStr">
        <is>
          <t>or item code =</t>
        </is>
      </c>
      <c r="B949" s="25" t="inlineStr">
        <is>
          <t>86839</t>
        </is>
      </c>
      <c r="C949" s="25" t="inlineStr">
        <is>
          <t>OLE SMOKY TENNESSEE MANGO HABANERO WHISKEY</t>
        </is>
      </c>
      <c r="D949" s="25" t="inlineStr">
        <is>
          <t>750ml</t>
        </is>
      </c>
      <c r="E949" s="27" t="n">
        <v>138</v>
      </c>
      <c r="F949" s="27" t="n">
        <v>29</v>
      </c>
      <c r="G949" s="27" t="n">
        <v>6</v>
      </c>
      <c r="H949" s="28" t="n">
        <v>91.81999999999999</v>
      </c>
      <c r="I949" s="28" t="n">
        <v>0</v>
      </c>
      <c r="J949" s="94" t="inlineStr">
        <is>
          <t>False</t>
        </is>
      </c>
      <c r="K949" s="28" t="n">
        <v>0</v>
      </c>
      <c r="L949" s="25" t="inlineStr">
        <is>
          <t>WHISKEY OTHER</t>
        </is>
      </c>
      <c r="M949" s="25" t="inlineStr">
        <is>
          <t>OLE SMOKY DISTILLERY LLC</t>
        </is>
      </c>
      <c r="N949" s="25" t="inlineStr">
        <is>
          <t>040010-SOUTHERN GLAZERS WINE AND SPIRITS OF MISSISSIPPI LLC</t>
        </is>
      </c>
      <c r="O949" s="25" t="n"/>
      <c r="P949" s="25" t="inlineStr">
        <is>
          <t>10854628006343</t>
        </is>
      </c>
      <c r="Q949" s="25" t="inlineStr">
        <is>
          <t>854628006346</t>
        </is>
      </c>
      <c r="R949" s="78" t="n">
        <v>43081</v>
      </c>
    </row>
    <row r="950">
      <c r="A950" t="inlineStr">
        <is>
          <t>or item code =</t>
        </is>
      </c>
      <c r="B950" s="25" t="inlineStr">
        <is>
          <t>86845</t>
        </is>
      </c>
      <c r="C950" s="25" t="inlineStr">
        <is>
          <t>OLE SMOKY TENNESSEE MOONSHINE BLACKBERRY</t>
        </is>
      </c>
      <c r="D950" s="25" t="inlineStr">
        <is>
          <t>50ml</t>
        </is>
      </c>
      <c r="E950" s="27" t="n">
        <v>102</v>
      </c>
      <c r="F950" s="27" t="n">
        <v>52</v>
      </c>
      <c r="G950" s="27" t="n">
        <v>48</v>
      </c>
      <c r="H950" s="28" t="n">
        <v>100.63</v>
      </c>
      <c r="I950" s="28" t="n">
        <v>0</v>
      </c>
      <c r="J950" s="94" t="inlineStr">
        <is>
          <t>False</t>
        </is>
      </c>
      <c r="K950" s="28" t="n">
        <v>0</v>
      </c>
      <c r="L950" s="25" t="inlineStr">
        <is>
          <t>SPECIALTY</t>
        </is>
      </c>
      <c r="M950" s="25" t="inlineStr">
        <is>
          <t>OLE SMOKY DISTILLERY LLC</t>
        </is>
      </c>
      <c r="N950" s="25" t="inlineStr">
        <is>
          <t>040010-SOUTHERN GLAZERS WINE AND SPIRITS OF MISSISSIPPI LLC</t>
        </is>
      </c>
      <c r="O950" s="25" t="n"/>
      <c r="P950" s="25" t="inlineStr">
        <is>
          <t>10856011004172</t>
        </is>
      </c>
      <c r="Q950" s="25" t="inlineStr">
        <is>
          <t>0854628006568</t>
        </is>
      </c>
      <c r="R950" s="78" t="n">
        <v>43230</v>
      </c>
    </row>
    <row r="951">
      <c r="A951" t="inlineStr">
        <is>
          <t>or item code =</t>
        </is>
      </c>
      <c r="B951" s="25" t="inlineStr">
        <is>
          <t>86748</t>
        </is>
      </c>
      <c r="C951" s="25" t="inlineStr">
        <is>
          <t>OLE SMOKY TENNESSEE MOONSHINE BLACKBERRY</t>
        </is>
      </c>
      <c r="D951" s="25" t="inlineStr">
        <is>
          <t>750ml</t>
        </is>
      </c>
      <c r="E951" s="27" t="n">
        <v>20</v>
      </c>
      <c r="F951" s="27" t="n">
        <v>50</v>
      </c>
      <c r="G951" s="27" t="n">
        <v>6</v>
      </c>
      <c r="H951" s="28" t="n">
        <v>114.77</v>
      </c>
      <c r="I951" s="28" t="n">
        <v>0</v>
      </c>
      <c r="J951" s="94" t="inlineStr">
        <is>
          <t>False</t>
        </is>
      </c>
      <c r="K951" s="28" t="n">
        <v>0</v>
      </c>
      <c r="L951" s="25" t="inlineStr">
        <is>
          <t>WHISKEY OTHER</t>
        </is>
      </c>
      <c r="M951" s="25" t="inlineStr">
        <is>
          <t>OLE SMOKY DISTILLERY LLC</t>
        </is>
      </c>
      <c r="N951" s="25" t="inlineStr">
        <is>
          <t>040010-SOUTHERN GLAZERS WINE AND SPIRITS OF MISSISSIPPI LLC</t>
        </is>
      </c>
      <c r="O951" s="25" t="n"/>
      <c r="P951" s="25" t="inlineStr">
        <is>
          <t>10856011004056</t>
        </is>
      </c>
      <c r="Q951" s="25" t="inlineStr">
        <is>
          <t>0856011004052</t>
        </is>
      </c>
      <c r="R951" s="78" t="n">
        <v>42370</v>
      </c>
    </row>
    <row r="952">
      <c r="A952" t="inlineStr">
        <is>
          <t>or item code =</t>
        </is>
      </c>
      <c r="B952" s="25" t="inlineStr">
        <is>
          <t>86753</t>
        </is>
      </c>
      <c r="C952" s="25" t="inlineStr">
        <is>
          <t>OLE SMOKY TENNESSEE MOONSHINE PEACH</t>
        </is>
      </c>
      <c r="D952" s="25" t="inlineStr">
        <is>
          <t>750ml</t>
        </is>
      </c>
      <c r="E952" s="27" t="n">
        <v>142</v>
      </c>
      <c r="F952" s="27" t="n">
        <v>85</v>
      </c>
      <c r="G952" s="27" t="n">
        <v>6</v>
      </c>
      <c r="H952" s="28" t="n">
        <v>114.77</v>
      </c>
      <c r="I952" s="28" t="n">
        <v>0</v>
      </c>
      <c r="J952" s="94" t="inlineStr">
        <is>
          <t>False</t>
        </is>
      </c>
      <c r="K952" s="28" t="n">
        <v>0</v>
      </c>
      <c r="L952" s="25" t="inlineStr">
        <is>
          <t>WHISKEY OTHER</t>
        </is>
      </c>
      <c r="M952" s="25" t="inlineStr">
        <is>
          <t>OLE SMOKY DISTILLERY LLC</t>
        </is>
      </c>
      <c r="N952" s="25" t="inlineStr">
        <is>
          <t>040010-SOUTHERN GLAZERS WINE AND SPIRITS OF MISSISSIPPI LLC</t>
        </is>
      </c>
      <c r="O952" s="25" t="n"/>
      <c r="P952" s="25" t="inlineStr">
        <is>
          <t>10856011004032</t>
        </is>
      </c>
      <c r="Q952" s="25" t="inlineStr">
        <is>
          <t>0856011004038</t>
        </is>
      </c>
      <c r="R952" s="78" t="n">
        <v>42370</v>
      </c>
    </row>
    <row r="953">
      <c r="A953" t="inlineStr">
        <is>
          <t>or item code =</t>
        </is>
      </c>
      <c r="B953" s="25" t="inlineStr">
        <is>
          <t>86771</t>
        </is>
      </c>
      <c r="C953" s="25" t="inlineStr">
        <is>
          <t>OLE SMOKY TENNESSEE MOONSHINE WHITE LIGHTNIN</t>
        </is>
      </c>
      <c r="D953" s="25" t="inlineStr">
        <is>
          <t>750ml</t>
        </is>
      </c>
      <c r="E953" s="27" t="n">
        <v>34</v>
      </c>
      <c r="F953" s="27" t="n">
        <v>25</v>
      </c>
      <c r="G953" s="27" t="n">
        <v>6</v>
      </c>
      <c r="H953" s="28" t="n">
        <v>114.77</v>
      </c>
      <c r="I953" s="28" t="n">
        <v>0</v>
      </c>
      <c r="J953" s="94" t="inlineStr">
        <is>
          <t>False</t>
        </is>
      </c>
      <c r="K953" s="28" t="n">
        <v>0</v>
      </c>
      <c r="L953" s="25" t="inlineStr">
        <is>
          <t>WHISKEY OTHER</t>
        </is>
      </c>
      <c r="M953" s="25" t="inlineStr">
        <is>
          <t>OLE SMOKY DISTILLERY LLC</t>
        </is>
      </c>
      <c r="N953" s="25" t="inlineStr">
        <is>
          <t>040010-SOUTHERN GLAZERS WINE AND SPIRITS OF MISSISSIPPI LLC</t>
        </is>
      </c>
      <c r="O953" s="25" t="n"/>
      <c r="P953" s="25" t="inlineStr">
        <is>
          <t>10856011004018</t>
        </is>
      </c>
      <c r="Q953" s="25" t="inlineStr">
        <is>
          <t>0856011004014</t>
        </is>
      </c>
      <c r="R953" s="78" t="n">
        <v>42370</v>
      </c>
    </row>
    <row r="954">
      <c r="A954" t="inlineStr">
        <is>
          <t>or item code =</t>
        </is>
      </c>
      <c r="B954" s="25" t="inlineStr">
        <is>
          <t>87043</t>
        </is>
      </c>
      <c r="C954" s="25" t="inlineStr">
        <is>
          <t>OLE SMOKY TENNESSEE PEANUT BUTTER WHISKEY</t>
        </is>
      </c>
      <c r="D954" s="25" t="inlineStr">
        <is>
          <t>750ml</t>
        </is>
      </c>
      <c r="E954" s="27" t="n">
        <v>54</v>
      </c>
      <c r="F954" s="27" t="n">
        <v>143</v>
      </c>
      <c r="G954" s="27" t="n">
        <v>6</v>
      </c>
      <c r="H954" s="28" t="n">
        <v>91.81999999999999</v>
      </c>
      <c r="I954" s="28" t="n">
        <v>0</v>
      </c>
      <c r="J954" s="94" t="inlineStr">
        <is>
          <t>False</t>
        </is>
      </c>
      <c r="K954" s="28" t="n">
        <v>0</v>
      </c>
      <c r="L954" s="25" t="inlineStr">
        <is>
          <t>LIQUEURS AND CORDIALS</t>
        </is>
      </c>
      <c r="M954" s="25" t="inlineStr">
        <is>
          <t>OLE SMOKY DISTILLERY LLC</t>
        </is>
      </c>
      <c r="N954" s="25" t="inlineStr">
        <is>
          <t>040010-SOUTHERN GLAZERS WINE AND SPIRITS OF MISSISSIPPI LLC</t>
        </is>
      </c>
      <c r="O954" s="25" t="n"/>
      <c r="P954" s="25" t="inlineStr">
        <is>
          <t>10008539158565</t>
        </is>
      </c>
      <c r="Q954" s="25" t="inlineStr">
        <is>
          <t>853915008568</t>
        </is>
      </c>
      <c r="R954" s="78" t="n">
        <v>44105</v>
      </c>
    </row>
    <row r="955">
      <c r="A955" t="inlineStr">
        <is>
          <t>or item code =</t>
        </is>
      </c>
      <c r="B955" s="25" t="inlineStr">
        <is>
          <t>80365</t>
        </is>
      </c>
      <c r="C955" s="25" t="inlineStr">
        <is>
          <t>OLE SMOKY WHITE CHOCOLATE STRAWBERRY MOONSHINE</t>
        </is>
      </c>
      <c r="D955" s="25" t="inlineStr">
        <is>
          <t>750ml</t>
        </is>
      </c>
      <c r="E955" s="27" t="n">
        <v>2</v>
      </c>
      <c r="F955" s="27" t="n">
        <v>167</v>
      </c>
      <c r="G955" s="27" t="n">
        <v>6</v>
      </c>
      <c r="H955" s="28" t="n">
        <v>114.77</v>
      </c>
      <c r="I955" s="28" t="n">
        <v>0</v>
      </c>
      <c r="J955" s="94" t="inlineStr">
        <is>
          <t>False</t>
        </is>
      </c>
      <c r="K955" s="28" t="n">
        <v>0</v>
      </c>
      <c r="L955" s="25" t="inlineStr">
        <is>
          <t>WHISKEY OTHER</t>
        </is>
      </c>
      <c r="M955" s="25" t="inlineStr">
        <is>
          <t>OLE SMOKY DISTILLERY LLC</t>
        </is>
      </c>
      <c r="N955" s="25" t="inlineStr">
        <is>
          <t>040010-SOUTHERN GLAZERS WINE AND SPIRITS OF MISSISSIPPI LLC</t>
        </is>
      </c>
      <c r="O955" s="25" t="n"/>
      <c r="P955" s="25" t="inlineStr">
        <is>
          <t>10853915008794</t>
        </is>
      </c>
      <c r="Q955" s="25" t="inlineStr">
        <is>
          <t>853915008797</t>
        </is>
      </c>
      <c r="R955" s="78" t="n">
        <v>44287</v>
      </c>
    </row>
    <row r="956">
      <c r="A956" t="inlineStr">
        <is>
          <t>or item code =</t>
        </is>
      </c>
      <c r="B956" s="25" t="inlineStr">
        <is>
          <t>88189</t>
        </is>
      </c>
      <c r="C956" s="25" t="inlineStr">
        <is>
          <t>OLMECA ALTOS PLATA</t>
        </is>
      </c>
      <c r="D956" s="25" t="inlineStr">
        <is>
          <t>375ml</t>
        </is>
      </c>
      <c r="E956" s="27" t="n">
        <v>156</v>
      </c>
      <c r="F956" s="27" t="n">
        <v>51</v>
      </c>
      <c r="G956" s="27" t="n">
        <v>12</v>
      </c>
      <c r="H956" s="28" t="n">
        <v>147.88</v>
      </c>
      <c r="I956" s="28" t="n">
        <v>0</v>
      </c>
      <c r="J956" s="94" t="inlineStr">
        <is>
          <t>False</t>
        </is>
      </c>
      <c r="K956" s="28" t="n">
        <v>0</v>
      </c>
      <c r="L956" s="25" t="inlineStr">
        <is>
          <t>TEQUILA</t>
        </is>
      </c>
      <c r="M956" s="25" t="inlineStr">
        <is>
          <t>PERNOD RICARD USA LLC</t>
        </is>
      </c>
      <c r="N956" s="25" t="inlineStr">
        <is>
          <t>040010-SOUTHERN GLAZERS WINE AND SPIRITS OF MISSISSIPPI LLC</t>
        </is>
      </c>
      <c r="O956" s="25" t="n"/>
      <c r="P956" s="25" t="inlineStr">
        <is>
          <t>20080432108264</t>
        </is>
      </c>
      <c r="Q956" s="25" t="inlineStr">
        <is>
          <t>080432108260</t>
        </is>
      </c>
      <c r="R956" s="78" t="n">
        <v>42370</v>
      </c>
    </row>
    <row r="957">
      <c r="A957" t="inlineStr">
        <is>
          <t>or item code =</t>
        </is>
      </c>
      <c r="B957" s="25" t="inlineStr">
        <is>
          <t>89610</t>
        </is>
      </c>
      <c r="C957" s="25" t="inlineStr">
        <is>
          <t>OLMECA ALTOS REPOSADO</t>
        </is>
      </c>
      <c r="D957" s="25" t="inlineStr">
        <is>
          <t>750ml</t>
        </is>
      </c>
      <c r="E957" s="27" t="n">
        <v>213</v>
      </c>
      <c r="F957" s="27" t="n">
        <v>53</v>
      </c>
      <c r="G957" s="27" t="n">
        <v>6</v>
      </c>
      <c r="H957" s="28" t="n">
        <v>140.67</v>
      </c>
      <c r="I957" s="28" t="n">
        <v>0</v>
      </c>
      <c r="J957" s="94" t="inlineStr">
        <is>
          <t>False</t>
        </is>
      </c>
      <c r="K957" s="28" t="n">
        <v>0</v>
      </c>
      <c r="L957" s="25" t="inlineStr">
        <is>
          <t>TEQUILA</t>
        </is>
      </c>
      <c r="M957" s="25" t="inlineStr">
        <is>
          <t>PERNOD RICARD USA LLC</t>
        </is>
      </c>
      <c r="N957" s="25" t="inlineStr">
        <is>
          <t>040010-SOUTHERN GLAZERS WINE AND SPIRITS OF MISSISSIPPI LLC</t>
        </is>
      </c>
      <c r="O957" s="25" t="n"/>
      <c r="P957" s="25" t="inlineStr">
        <is>
          <t>10080432106850</t>
        </is>
      </c>
      <c r="Q957" s="25" t="inlineStr">
        <is>
          <t>0080432106853</t>
        </is>
      </c>
      <c r="R957" s="78" t="n">
        <v>42370</v>
      </c>
    </row>
    <row r="958">
      <c r="A958" t="inlineStr">
        <is>
          <t>or item code =</t>
        </is>
      </c>
      <c r="B958" s="25" t="inlineStr">
        <is>
          <t>88255</t>
        </is>
      </c>
      <c r="C958" s="25" t="inlineStr">
        <is>
          <t>OLMECA ALTOS REPOSADO</t>
        </is>
      </c>
      <c r="D958" s="25" t="inlineStr">
        <is>
          <t>375ml</t>
        </is>
      </c>
      <c r="E958" s="27" t="n">
        <v>170</v>
      </c>
      <c r="F958" s="27" t="n">
        <v>44</v>
      </c>
      <c r="G958" s="27" t="n">
        <v>12</v>
      </c>
      <c r="H958" s="28" t="n">
        <v>147.88</v>
      </c>
      <c r="I958" s="28" t="n">
        <v>0</v>
      </c>
      <c r="J958" s="94" t="inlineStr">
        <is>
          <t>False</t>
        </is>
      </c>
      <c r="K958" s="28" t="n">
        <v>0</v>
      </c>
      <c r="L958" s="25" t="inlineStr">
        <is>
          <t>TEQUILA</t>
        </is>
      </c>
      <c r="M958" s="25" t="inlineStr">
        <is>
          <t>PERNOD RICARD USA LLC</t>
        </is>
      </c>
      <c r="N958" s="25" t="inlineStr">
        <is>
          <t>040010-SOUTHERN GLAZERS WINE AND SPIRITS OF MISSISSIPPI LLC</t>
        </is>
      </c>
      <c r="O958" s="25" t="n"/>
      <c r="P958" s="25" t="inlineStr">
        <is>
          <t>20080432108301</t>
        </is>
      </c>
      <c r="Q958" s="25" t="inlineStr">
        <is>
          <t>080432108307</t>
        </is>
      </c>
      <c r="R958" s="78" t="n">
        <v>42370</v>
      </c>
    </row>
    <row r="959">
      <c r="A959" t="inlineStr">
        <is>
          <t>or item code =</t>
        </is>
      </c>
      <c r="B959" s="25" t="inlineStr">
        <is>
          <t>63131</t>
        </is>
      </c>
      <c r="C959" s="25" t="inlineStr">
        <is>
          <t>ON THE ROCKS CRUZAN DAIQUIRI</t>
        </is>
      </c>
      <c r="D959" s="25" t="inlineStr">
        <is>
          <t>375ml</t>
        </is>
      </c>
      <c r="E959" s="27" t="n">
        <v>573</v>
      </c>
      <c r="F959" s="27" t="n">
        <v>30</v>
      </c>
      <c r="G959" s="27" t="n">
        <v>12</v>
      </c>
      <c r="H959" s="28" t="n">
        <v>119.91</v>
      </c>
      <c r="I959" s="28" t="n">
        <v>0</v>
      </c>
      <c r="J959" s="94" t="inlineStr">
        <is>
          <t>False</t>
        </is>
      </c>
      <c r="K959" s="28" t="n">
        <v>0</v>
      </c>
      <c r="L959" s="25" t="inlineStr">
        <is>
          <t>COCKTAILS</t>
        </is>
      </c>
      <c r="M959" s="25" t="inlineStr">
        <is>
          <t>JIM BEAM BRANDS CO</t>
        </is>
      </c>
      <c r="N959" s="25" t="inlineStr">
        <is>
          <t>040010-SOUTHERN GLAZERS WINE AND SPIRITS OF MISSISSIPPI LLC</t>
        </is>
      </c>
      <c r="O959" s="25" t="n"/>
      <c r="P959" s="25" t="inlineStr">
        <is>
          <t>10855880008397</t>
        </is>
      </c>
      <c r="Q959" s="25" t="inlineStr">
        <is>
          <t>855880008390</t>
        </is>
      </c>
      <c r="R959" s="78" t="n">
        <v>44743</v>
      </c>
    </row>
    <row r="960">
      <c r="A960" t="inlineStr">
        <is>
          <t>or item code =</t>
        </is>
      </c>
      <c r="B960" s="25" t="inlineStr">
        <is>
          <t>63319</t>
        </is>
      </c>
      <c r="C960" s="25" t="inlineStr">
        <is>
          <t>ON THE ROCKS EFFEN COSMOPOLITAN</t>
        </is>
      </c>
      <c r="D960" s="25" t="inlineStr">
        <is>
          <t>375ml</t>
        </is>
      </c>
      <c r="E960" s="27" t="n">
        <v>375</v>
      </c>
      <c r="F960" s="27" t="n">
        <v>172</v>
      </c>
      <c r="G960" s="27" t="n">
        <v>12</v>
      </c>
      <c r="H960" s="28" t="n">
        <v>119.91</v>
      </c>
      <c r="I960" s="28" t="n">
        <v>0</v>
      </c>
      <c r="J960" s="94" t="inlineStr">
        <is>
          <t>False</t>
        </is>
      </c>
      <c r="K960" s="28" t="n">
        <v>0</v>
      </c>
      <c r="L960" s="25" t="inlineStr">
        <is>
          <t>COCKTAILS</t>
        </is>
      </c>
      <c r="M960" s="25" t="inlineStr">
        <is>
          <t>JIM BEAM BRANDS CO</t>
        </is>
      </c>
      <c r="N960" s="25" t="inlineStr">
        <is>
          <t>040010-SOUTHERN GLAZERS WINE AND SPIRITS OF MISSISSIPPI LLC</t>
        </is>
      </c>
      <c r="O960" s="25" t="n"/>
      <c r="P960" s="25" t="inlineStr">
        <is>
          <t>10855880008052</t>
        </is>
      </c>
      <c r="Q960" s="25" t="inlineStr">
        <is>
          <t>855880008055</t>
        </is>
      </c>
      <c r="R960" s="78" t="n">
        <v>44593</v>
      </c>
    </row>
    <row r="961">
      <c r="A961" t="inlineStr">
        <is>
          <t>or item code =</t>
        </is>
      </c>
      <c r="B961" s="25" t="inlineStr">
        <is>
          <t>63321</t>
        </is>
      </c>
      <c r="C961" s="25" t="inlineStr">
        <is>
          <t>ON THE ROCKS HORINITOS MARGARITA</t>
        </is>
      </c>
      <c r="D961" s="25" t="inlineStr">
        <is>
          <t>375ml</t>
        </is>
      </c>
      <c r="E961" s="27" t="n">
        <v>197</v>
      </c>
      <c r="F961" s="27" t="n">
        <v>67</v>
      </c>
      <c r="G961" s="27" t="n">
        <v>12</v>
      </c>
      <c r="H961" s="28" t="n">
        <v>119.91</v>
      </c>
      <c r="I961" s="28" t="n">
        <v>0</v>
      </c>
      <c r="J961" s="94" t="inlineStr">
        <is>
          <t>False</t>
        </is>
      </c>
      <c r="K961" s="28" t="n">
        <v>0</v>
      </c>
      <c r="L961" s="25" t="inlineStr">
        <is>
          <t>COCKTAILS</t>
        </is>
      </c>
      <c r="M961" s="25" t="inlineStr">
        <is>
          <t>JIM BEAM BRANDS CO</t>
        </is>
      </c>
      <c r="N961" s="25" t="inlineStr">
        <is>
          <t>040010-SOUTHERN GLAZERS WINE AND SPIRITS OF MISSISSIPPI LLC</t>
        </is>
      </c>
      <c r="O961" s="25" t="n"/>
      <c r="P961" s="25" t="inlineStr">
        <is>
          <t>20855880008110</t>
        </is>
      </c>
      <c r="Q961" s="25" t="inlineStr">
        <is>
          <t>855880008116</t>
        </is>
      </c>
      <c r="R961" s="78" t="n">
        <v>44593</v>
      </c>
    </row>
    <row r="962">
      <c r="A962" t="inlineStr">
        <is>
          <t>or item code =</t>
        </is>
      </c>
      <c r="B962" s="25" t="inlineStr">
        <is>
          <t>63347</t>
        </is>
      </c>
      <c r="C962" s="25" t="inlineStr">
        <is>
          <t>ON THE ROCKS KNOB CREEK OLD FASHIONED</t>
        </is>
      </c>
      <c r="D962" s="25" t="inlineStr">
        <is>
          <t>375ml</t>
        </is>
      </c>
      <c r="E962" s="27" t="n">
        <v>376</v>
      </c>
      <c r="F962" s="27" t="n">
        <v>30</v>
      </c>
      <c r="G962" s="27" t="n">
        <v>12</v>
      </c>
      <c r="H962" s="28" t="n">
        <v>119.91</v>
      </c>
      <c r="I962" s="28" t="n">
        <v>0</v>
      </c>
      <c r="J962" s="94" t="inlineStr">
        <is>
          <t>False</t>
        </is>
      </c>
      <c r="K962" s="28" t="n">
        <v>0</v>
      </c>
      <c r="L962" s="25" t="inlineStr">
        <is>
          <t>COCKTAILS</t>
        </is>
      </c>
      <c r="M962" s="25" t="inlineStr">
        <is>
          <t>JIM BEAM BRANDS CO</t>
        </is>
      </c>
      <c r="N962" s="25" t="inlineStr">
        <is>
          <t>040010-SOUTHERN GLAZERS WINE AND SPIRITS OF MISSISSIPPI LLC</t>
        </is>
      </c>
      <c r="O962" s="25" t="n"/>
      <c r="P962" s="25" t="inlineStr">
        <is>
          <t>20855880008028</t>
        </is>
      </c>
      <c r="Q962" s="25" t="inlineStr">
        <is>
          <t>855880008024</t>
        </is>
      </c>
      <c r="R962" s="78" t="n">
        <v>44593</v>
      </c>
    </row>
    <row r="963">
      <c r="A963" t="inlineStr">
        <is>
          <t>or item code =</t>
        </is>
      </c>
      <c r="B963" s="25" t="inlineStr">
        <is>
          <t>63345</t>
        </is>
      </c>
      <c r="C963" s="25" t="inlineStr">
        <is>
          <t>ON THE ROCKS TRES GEN JALAPENO PINEAPPLE MARGARITA</t>
        </is>
      </c>
      <c r="D963" s="25" t="inlineStr">
        <is>
          <t>375ml</t>
        </is>
      </c>
      <c r="E963" s="27" t="n">
        <v>62</v>
      </c>
      <c r="F963" s="27" t="n">
        <v>26</v>
      </c>
      <c r="G963" s="27" t="n">
        <v>12</v>
      </c>
      <c r="H963" s="28" t="n">
        <v>119.91</v>
      </c>
      <c r="I963" s="28" t="n">
        <v>0</v>
      </c>
      <c r="J963" s="94" t="inlineStr">
        <is>
          <t>False</t>
        </is>
      </c>
      <c r="K963" s="28" t="n">
        <v>0</v>
      </c>
      <c r="L963" s="25" t="inlineStr">
        <is>
          <t>COCKTAILS</t>
        </is>
      </c>
      <c r="M963" s="25" t="inlineStr">
        <is>
          <t>JIM BEAM BRANDS CO</t>
        </is>
      </c>
      <c r="N963" s="25" t="inlineStr">
        <is>
          <t>040010-SOUTHERN GLAZERS WINE AND SPIRITS OF MISSISSIPPI LLC</t>
        </is>
      </c>
      <c r="O963" s="25" t="n"/>
      <c r="P963" s="25" t="inlineStr">
        <is>
          <t>10855880008083</t>
        </is>
      </c>
      <c r="Q963" s="25" t="inlineStr">
        <is>
          <t>855880008086</t>
        </is>
      </c>
      <c r="R963" s="78" t="n">
        <v>43647</v>
      </c>
    </row>
    <row r="964">
      <c r="A964" t="inlineStr">
        <is>
          <t>or item code =</t>
        </is>
      </c>
      <c r="B964" s="25" t="inlineStr">
        <is>
          <t>89646</t>
        </is>
      </c>
      <c r="C964" s="25" t="inlineStr">
        <is>
          <t>PATRON ANEJO TEQUILA</t>
        </is>
      </c>
      <c r="D964" s="25" t="inlineStr">
        <is>
          <t>750ml</t>
        </is>
      </c>
      <c r="E964" s="27" t="n">
        <v>140</v>
      </c>
      <c r="F964" s="27" t="n">
        <v>33</v>
      </c>
      <c r="G964" s="27" t="n">
        <v>12</v>
      </c>
      <c r="H964" s="28" t="n">
        <v>535.37</v>
      </c>
      <c r="I964" s="28" t="n">
        <v>0</v>
      </c>
      <c r="J964" s="94" t="inlineStr">
        <is>
          <t>False</t>
        </is>
      </c>
      <c r="K964" s="28" t="n">
        <v>0</v>
      </c>
      <c r="L964" s="25" t="inlineStr">
        <is>
          <t>TEQUILA</t>
        </is>
      </c>
      <c r="M964" s="25" t="inlineStr">
        <is>
          <t>BACARDI USA INC</t>
        </is>
      </c>
      <c r="N964" s="25" t="inlineStr">
        <is>
          <t>040010-SOUTHERN GLAZERS WINE AND SPIRITS OF MISSISSIPPI LLC</t>
        </is>
      </c>
      <c r="O964" s="25" t="n"/>
      <c r="P964" s="25" t="inlineStr">
        <is>
          <t>20721733000016</t>
        </is>
      </c>
      <c r="Q964" s="25" t="inlineStr">
        <is>
          <t>0721733000012</t>
        </is>
      </c>
      <c r="R964" s="78" t="n">
        <v>42279</v>
      </c>
    </row>
    <row r="965">
      <c r="A965" t="inlineStr">
        <is>
          <t>or item code =</t>
        </is>
      </c>
      <c r="B965" s="25" t="inlineStr">
        <is>
          <t>89644</t>
        </is>
      </c>
      <c r="C965" s="25" t="inlineStr">
        <is>
          <t>PATRON ANEJO TEQUILA</t>
        </is>
      </c>
      <c r="D965" s="25" t="inlineStr">
        <is>
          <t>375ml</t>
        </is>
      </c>
      <c r="E965" s="27" t="n">
        <v>1</v>
      </c>
      <c r="F965" s="27" t="n">
        <v>130</v>
      </c>
      <c r="G965" s="27" t="n">
        <v>12</v>
      </c>
      <c r="H965" s="28" t="n">
        <v>258.66</v>
      </c>
      <c r="I965" s="28" t="n">
        <v>45.9</v>
      </c>
      <c r="J965" s="94" t="inlineStr">
        <is>
          <t>False</t>
        </is>
      </c>
      <c r="K965" s="28" t="n">
        <v>0</v>
      </c>
      <c r="L965" s="25" t="inlineStr">
        <is>
          <t>TEQUILA</t>
        </is>
      </c>
      <c r="M965" s="25" t="inlineStr">
        <is>
          <t>BACARDI USA INC</t>
        </is>
      </c>
      <c r="N965" s="25" t="inlineStr">
        <is>
          <t>040010-SOUTHERN GLAZERS WINE AND SPIRITS OF MISSISSIPPI LLC</t>
        </is>
      </c>
      <c r="O965" s="25" t="n"/>
      <c r="P965" s="25" t="inlineStr">
        <is>
          <t>20721733000962</t>
        </is>
      </c>
      <c r="Q965" s="25" t="inlineStr">
        <is>
          <t>0721733000968</t>
        </is>
      </c>
      <c r="R965" s="78" t="n">
        <v>42370</v>
      </c>
    </row>
    <row r="966">
      <c r="A966" t="inlineStr">
        <is>
          <t>or item code =</t>
        </is>
      </c>
      <c r="B966" s="25" t="inlineStr">
        <is>
          <t>100306</t>
        </is>
      </c>
      <c r="C966" s="25" t="inlineStr">
        <is>
          <t>PATRON EXTRA ANEJO CARTON</t>
        </is>
      </c>
      <c r="D966" s="25" t="inlineStr">
        <is>
          <t>750ml</t>
        </is>
      </c>
      <c r="E966" s="27" t="n">
        <v>75</v>
      </c>
      <c r="F966" s="27" t="n">
        <v>4</v>
      </c>
      <c r="G966" s="27" t="n">
        <v>6</v>
      </c>
      <c r="H966" s="28" t="n">
        <v>378.44</v>
      </c>
      <c r="I966" s="28" t="n">
        <v>0</v>
      </c>
      <c r="J966" s="94" t="inlineStr">
        <is>
          <t>False</t>
        </is>
      </c>
      <c r="K966" s="28" t="n">
        <v>0</v>
      </c>
      <c r="L966" s="25" t="inlineStr">
        <is>
          <t>TEQUILA</t>
        </is>
      </c>
      <c r="M966" s="25" t="inlineStr">
        <is>
          <t>BACARDI USA INC</t>
        </is>
      </c>
      <c r="N966" s="25" t="inlineStr">
        <is>
          <t>040010-SOUTHERN GLAZERS WINE AND SPIRITS OF MISSISSIPPI LLC</t>
        </is>
      </c>
      <c r="O966" s="25" t="n"/>
      <c r="P966" s="25" t="inlineStr">
        <is>
          <t>20721733003314</t>
        </is>
      </c>
      <c r="Q966" s="25" t="inlineStr">
        <is>
          <t>721733003075</t>
        </is>
      </c>
      <c r="R966" s="78" t="n">
        <v>44531</v>
      </c>
    </row>
    <row r="967">
      <c r="A967" t="inlineStr">
        <is>
          <t>or item code =</t>
        </is>
      </c>
      <c r="B967" s="25" t="inlineStr">
        <is>
          <t>89624</t>
        </is>
      </c>
      <c r="C967" s="25" t="inlineStr">
        <is>
          <t>PATRON REPOSADO TEQUILA</t>
        </is>
      </c>
      <c r="D967" s="25" t="inlineStr">
        <is>
          <t>375ml</t>
        </is>
      </c>
      <c r="E967" s="27" t="n">
        <v>0</v>
      </c>
      <c r="F967" s="27" t="n">
        <v>218</v>
      </c>
      <c r="G967" s="27" t="n">
        <v>12</v>
      </c>
      <c r="H967" s="28" t="n">
        <v>246.28</v>
      </c>
      <c r="I967" s="28" t="n">
        <v>30.6</v>
      </c>
      <c r="J967" s="94" t="inlineStr">
        <is>
          <t>False</t>
        </is>
      </c>
      <c r="K967" s="28" t="n">
        <v>0</v>
      </c>
      <c r="L967" s="25" t="inlineStr">
        <is>
          <t>TEQUILA</t>
        </is>
      </c>
      <c r="M967" s="25" t="inlineStr">
        <is>
          <t>BACARDI USA INC</t>
        </is>
      </c>
      <c r="N967" s="25" t="inlineStr">
        <is>
          <t>040010-SOUTHERN GLAZERS WINE AND SPIRITS OF MISSISSIPPI LLC</t>
        </is>
      </c>
      <c r="O967" s="25" t="n"/>
      <c r="P967" s="25" t="inlineStr">
        <is>
          <t>20721733000955</t>
        </is>
      </c>
      <c r="Q967" s="25" t="inlineStr">
        <is>
          <t>0721733000951</t>
        </is>
      </c>
      <c r="R967" s="78" t="n">
        <v>42370</v>
      </c>
    </row>
    <row r="968">
      <c r="A968" t="inlineStr">
        <is>
          <t>or item code =</t>
        </is>
      </c>
      <c r="B968" s="25" t="inlineStr">
        <is>
          <t>89626</t>
        </is>
      </c>
      <c r="C968" s="25" t="inlineStr">
        <is>
          <t>PATRON REPOSADO TEQUILA</t>
        </is>
      </c>
      <c r="D968" s="25" t="inlineStr">
        <is>
          <t>750ml</t>
        </is>
      </c>
      <c r="E968" s="27" t="n">
        <v>181</v>
      </c>
      <c r="F968" s="27" t="n">
        <v>44</v>
      </c>
      <c r="G968" s="27" t="n">
        <v>12</v>
      </c>
      <c r="H968" s="28" t="n">
        <v>489.17</v>
      </c>
      <c r="I968" s="28" t="n">
        <v>0</v>
      </c>
      <c r="J968" s="94" t="inlineStr">
        <is>
          <t>False</t>
        </is>
      </c>
      <c r="K968" s="28" t="n">
        <v>0</v>
      </c>
      <c r="L968" s="25" t="inlineStr">
        <is>
          <t>TEQUILA</t>
        </is>
      </c>
      <c r="M968" s="25" t="inlineStr">
        <is>
          <t>BACARDI USA INC</t>
        </is>
      </c>
      <c r="N968" s="25" t="inlineStr">
        <is>
          <t>040010-SOUTHERN GLAZERS WINE AND SPIRITS OF MISSISSIPPI LLC</t>
        </is>
      </c>
      <c r="O968" s="25" t="n"/>
      <c r="P968" s="25" t="inlineStr">
        <is>
          <t>20721733000153</t>
        </is>
      </c>
      <c r="Q968" s="25" t="inlineStr">
        <is>
          <t>721733000159</t>
        </is>
      </c>
      <c r="R968" s="78" t="n">
        <v>42279</v>
      </c>
    </row>
    <row r="969">
      <c r="A969" t="inlineStr">
        <is>
          <t>or item code =</t>
        </is>
      </c>
      <c r="B969" s="25" t="inlineStr">
        <is>
          <t>88294</t>
        </is>
      </c>
      <c r="C969" s="25" t="inlineStr">
        <is>
          <t>PATRON SILVER TEQUILA</t>
        </is>
      </c>
      <c r="D969" s="25" t="inlineStr">
        <is>
          <t>375ml</t>
        </is>
      </c>
      <c r="E969" s="27" t="n">
        <v>0</v>
      </c>
      <c r="F969" s="27" t="n">
        <v>665</v>
      </c>
      <c r="G969" s="27" t="n">
        <v>12</v>
      </c>
      <c r="H969" s="28" t="n">
        <v>249.15</v>
      </c>
      <c r="I969" s="28" t="n">
        <v>0</v>
      </c>
      <c r="J969" s="94" t="inlineStr">
        <is>
          <t>False</t>
        </is>
      </c>
      <c r="K969" s="28" t="n">
        <v>0</v>
      </c>
      <c r="L969" s="25" t="inlineStr">
        <is>
          <t>TEQUILA</t>
        </is>
      </c>
      <c r="M969" s="25" t="inlineStr">
        <is>
          <t>BACARDI USA INC</t>
        </is>
      </c>
      <c r="N969" s="25" t="inlineStr">
        <is>
          <t>040010-SOUTHERN GLAZERS WINE AND SPIRITS OF MISSISSIPPI LLC</t>
        </is>
      </c>
      <c r="O969" s="25" t="n"/>
      <c r="P969" s="25" t="inlineStr">
        <is>
          <t>20721733000948</t>
        </is>
      </c>
      <c r="Q969" s="25" t="inlineStr">
        <is>
          <t>0721733000944</t>
        </is>
      </c>
      <c r="R969" s="78" t="n">
        <v>42370</v>
      </c>
    </row>
    <row r="970">
      <c r="A970" t="inlineStr">
        <is>
          <t>or item code =</t>
        </is>
      </c>
      <c r="B970" s="25" t="inlineStr">
        <is>
          <t>88298</t>
        </is>
      </c>
      <c r="C970" s="25" t="inlineStr">
        <is>
          <t>PATRON SILVER TEQUILA</t>
        </is>
      </c>
      <c r="D970" s="25" t="inlineStr">
        <is>
          <t>1.75L</t>
        </is>
      </c>
      <c r="E970" s="27" t="n">
        <v>242</v>
      </c>
      <c r="F970" s="27" t="n">
        <v>171</v>
      </c>
      <c r="G970" s="27" t="n">
        <v>3</v>
      </c>
      <c r="H970" s="28" t="n">
        <v>235.37</v>
      </c>
      <c r="I970" s="28" t="n">
        <v>0</v>
      </c>
      <c r="J970" s="94" t="inlineStr">
        <is>
          <t>False</t>
        </is>
      </c>
      <c r="K970" s="28" t="n">
        <v>0</v>
      </c>
      <c r="L970" s="25" t="inlineStr">
        <is>
          <t>TEQUILA</t>
        </is>
      </c>
      <c r="M970" s="25" t="inlineStr">
        <is>
          <t>BACARDI USA INC</t>
        </is>
      </c>
      <c r="N970" s="25" t="inlineStr">
        <is>
          <t>040010-SOUTHERN GLAZERS WINE AND SPIRITS OF MISSISSIPPI LLC</t>
        </is>
      </c>
      <c r="O970" s="25" t="n"/>
      <c r="P970" s="25" t="inlineStr">
        <is>
          <t>20721733000887</t>
        </is>
      </c>
      <c r="Q970" s="25" t="inlineStr">
        <is>
          <t>0721733000883</t>
        </is>
      </c>
      <c r="R970" s="78" t="n">
        <v>42370</v>
      </c>
    </row>
    <row r="971">
      <c r="A971" t="inlineStr">
        <is>
          <t>or item code =</t>
        </is>
      </c>
      <c r="B971" s="25" t="inlineStr">
        <is>
          <t>88296</t>
        </is>
      </c>
      <c r="C971" s="25" t="inlineStr">
        <is>
          <t>PATRON SILVER TEQUILA</t>
        </is>
      </c>
      <c r="D971" s="25" t="inlineStr">
        <is>
          <t>750ml</t>
        </is>
      </c>
      <c r="E971" s="27" t="n">
        <v>0</v>
      </c>
      <c r="F971" s="27" t="n">
        <v>406</v>
      </c>
      <c r="G971" s="27" t="n">
        <v>12</v>
      </c>
      <c r="H971" s="28" t="n">
        <v>461.46</v>
      </c>
      <c r="I971" s="28" t="n">
        <v>0</v>
      </c>
      <c r="J971" s="94" t="inlineStr">
        <is>
          <t>False</t>
        </is>
      </c>
      <c r="K971" s="28" t="n">
        <v>0</v>
      </c>
      <c r="L971" s="25" t="inlineStr">
        <is>
          <t>TEQUILA</t>
        </is>
      </c>
      <c r="M971" s="25" t="inlineStr">
        <is>
          <t>BACARDI USA INC</t>
        </is>
      </c>
      <c r="N971" s="25" t="inlineStr">
        <is>
          <t>040010-SOUTHERN GLAZERS WINE AND SPIRITS OF MISSISSIPPI LLC</t>
        </is>
      </c>
      <c r="O971" s="25" t="n"/>
      <c r="P971" s="25" t="inlineStr">
        <is>
          <t>20721733000023</t>
        </is>
      </c>
      <c r="Q971" s="25" t="inlineStr">
        <is>
          <t>0721733000029</t>
        </is>
      </c>
      <c r="R971" s="78" t="n">
        <v>42370</v>
      </c>
    </row>
    <row r="972">
      <c r="A972" t="inlineStr">
        <is>
          <t>or item code =</t>
        </is>
      </c>
      <c r="B972" s="25" t="inlineStr">
        <is>
          <t>88291</t>
        </is>
      </c>
      <c r="C972" s="25" t="inlineStr">
        <is>
          <t>PATRON SILVER TEQUILA</t>
        </is>
      </c>
      <c r="D972" s="25" t="inlineStr">
        <is>
          <t>50ml</t>
        </is>
      </c>
      <c r="E972" s="27" t="n">
        <v>0</v>
      </c>
      <c r="F972" s="27" t="n">
        <v>132</v>
      </c>
      <c r="G972" s="27" t="n">
        <v>60</v>
      </c>
      <c r="H972" s="28" t="n">
        <v>265.51</v>
      </c>
      <c r="I972" s="28" t="n">
        <v>0</v>
      </c>
      <c r="J972" s="94" t="inlineStr">
        <is>
          <t>False</t>
        </is>
      </c>
      <c r="K972" s="28" t="n">
        <v>0</v>
      </c>
      <c r="L972" s="25" t="inlineStr">
        <is>
          <t>TEQUILA</t>
        </is>
      </c>
      <c r="M972" s="25" t="inlineStr">
        <is>
          <t>BACARDI USA INC</t>
        </is>
      </c>
      <c r="N972" s="25" t="inlineStr">
        <is>
          <t>040010-SOUTHERN GLAZERS WINE AND SPIRITS OF MISSISSIPPI LLC</t>
        </is>
      </c>
      <c r="O972" s="25" t="n"/>
      <c r="P972" s="25" t="inlineStr">
        <is>
          <t>20721733000238</t>
        </is>
      </c>
      <c r="Q972" s="25" t="inlineStr">
        <is>
          <t>721733000234</t>
        </is>
      </c>
      <c r="R972" s="78" t="n">
        <v>42370</v>
      </c>
    </row>
    <row r="973">
      <c r="A973" t="inlineStr">
        <is>
          <t>or item code =</t>
        </is>
      </c>
      <c r="B973" s="25" t="inlineStr">
        <is>
          <t>67595</t>
        </is>
      </c>
      <c r="C973" s="25" t="inlineStr">
        <is>
          <t>PATRON XO CAFE' COFFEE LIQUEUR BOX</t>
        </is>
      </c>
      <c r="D973" s="25" t="inlineStr">
        <is>
          <t>750ml</t>
        </is>
      </c>
      <c r="E973" s="27" t="n">
        <v>0</v>
      </c>
      <c r="F973" s="27" t="n">
        <v>0</v>
      </c>
      <c r="G973" s="27" t="n">
        <v>6</v>
      </c>
      <c r="H973" s="28" t="n">
        <v>129.2</v>
      </c>
      <c r="I973" s="28" t="n">
        <v>0</v>
      </c>
      <c r="J973" s="94" t="inlineStr">
        <is>
          <t>False</t>
        </is>
      </c>
      <c r="K973" s="28" t="n">
        <v>0</v>
      </c>
      <c r="L973" s="25" t="inlineStr">
        <is>
          <t>LIQUEURS AND CORDIALS</t>
        </is>
      </c>
      <c r="M973" s="25" t="inlineStr">
        <is>
          <t>BACARDI USA INC</t>
        </is>
      </c>
      <c r="N973" s="25" t="inlineStr">
        <is>
          <t>040010-SOUTHERN GLAZERS WINE AND SPIRITS OF MISSISSIPPI LLC</t>
        </is>
      </c>
      <c r="O973" s="25" t="n"/>
      <c r="P973" s="25" t="inlineStr">
        <is>
          <t>10721733000033</t>
        </is>
      </c>
      <c r="Q973" s="25" t="inlineStr">
        <is>
          <t>721733000036</t>
        </is>
      </c>
      <c r="R973" s="78" t="n">
        <v>42370</v>
      </c>
    </row>
    <row r="974">
      <c r="A974" t="inlineStr">
        <is>
          <t>or item code =</t>
        </is>
      </c>
      <c r="B974" s="25" t="inlineStr">
        <is>
          <t>56793</t>
        </is>
      </c>
      <c r="C974" s="25" t="inlineStr">
        <is>
          <t>PAUL MASSON APPLE GRAND AMBER BRANDY</t>
        </is>
      </c>
      <c r="D974" s="25" t="inlineStr">
        <is>
          <t>750ml</t>
        </is>
      </c>
      <c r="E974" s="27" t="n">
        <v>0</v>
      </c>
      <c r="F974" s="27" t="n">
        <v>0</v>
      </c>
      <c r="G974" s="27" t="n">
        <v>12</v>
      </c>
      <c r="H974" s="28" t="n">
        <v>101.45</v>
      </c>
      <c r="I974" s="28" t="n">
        <v>0</v>
      </c>
      <c r="J974" s="94" t="inlineStr">
        <is>
          <t>False</t>
        </is>
      </c>
      <c r="K974" s="28" t="n">
        <v>0</v>
      </c>
      <c r="L974" s="25" t="inlineStr">
        <is>
          <t>BRANDY</t>
        </is>
      </c>
      <c r="M974" s="25" t="inlineStr">
        <is>
          <t>SAZERAC COMPANY</t>
        </is>
      </c>
      <c r="N974" s="25" t="inlineStr">
        <is>
          <t>040002-RNDC-MAGNOLIA</t>
        </is>
      </c>
      <c r="O974" s="25" t="n"/>
      <c r="P974" s="25" t="inlineStr">
        <is>
          <t>10021296620274</t>
        </is>
      </c>
      <c r="Q974" s="25" t="inlineStr">
        <is>
          <t>021296620277</t>
        </is>
      </c>
      <c r="R974" s="78" t="n">
        <v>42710</v>
      </c>
    </row>
    <row r="975">
      <c r="A975" t="inlineStr">
        <is>
          <t>or item code =</t>
        </is>
      </c>
      <c r="B975" s="25" t="inlineStr">
        <is>
          <t>53214</t>
        </is>
      </c>
      <c r="C975" s="25" t="inlineStr">
        <is>
          <t>PAUL MASSON GRANDE AMBER BRANDY</t>
        </is>
      </c>
      <c r="D975" s="25" t="inlineStr">
        <is>
          <t>375ml</t>
        </is>
      </c>
      <c r="E975" s="27" t="n">
        <v>1803</v>
      </c>
      <c r="F975" s="27" t="n">
        <v>622</v>
      </c>
      <c r="G975" s="27" t="n">
        <v>24</v>
      </c>
      <c r="H975" s="28" t="n">
        <v>107.84</v>
      </c>
      <c r="I975" s="28" t="n">
        <v>0</v>
      </c>
      <c r="J975" s="94" t="inlineStr">
        <is>
          <t>False</t>
        </is>
      </c>
      <c r="K975" s="28" t="n">
        <v>0</v>
      </c>
      <c r="L975" s="25" t="inlineStr">
        <is>
          <t>BRANDY</t>
        </is>
      </c>
      <c r="M975" s="25" t="inlineStr">
        <is>
          <t>SAZERAC COMPANY</t>
        </is>
      </c>
      <c r="N975" s="25" t="inlineStr">
        <is>
          <t>040002-RNDC-MAGNOLIA</t>
        </is>
      </c>
      <c r="O975" s="25" t="n"/>
      <c r="P975" s="25" t="inlineStr">
        <is>
          <t>10021296006061</t>
        </is>
      </c>
      <c r="Q975" s="25" t="inlineStr">
        <is>
          <t>0021296006064</t>
        </is>
      </c>
      <c r="R975" s="78" t="n">
        <v>42370</v>
      </c>
    </row>
    <row r="976">
      <c r="A976" t="inlineStr">
        <is>
          <t>or item code =</t>
        </is>
      </c>
      <c r="B976" s="25" t="inlineStr">
        <is>
          <t>53217</t>
        </is>
      </c>
      <c r="C976" s="25" t="inlineStr">
        <is>
          <t>PAUL MASSON GRANDE AMBER BRANDY</t>
        </is>
      </c>
      <c r="D976" s="25" t="inlineStr">
        <is>
          <t>1L</t>
        </is>
      </c>
      <c r="E976" s="27" t="n">
        <v>328</v>
      </c>
      <c r="F976" s="27" t="n">
        <v>244</v>
      </c>
      <c r="G976" s="27" t="n">
        <v>12</v>
      </c>
      <c r="H976" s="28" t="n">
        <v>126.59</v>
      </c>
      <c r="I976" s="28" t="n">
        <v>0</v>
      </c>
      <c r="J976" s="94" t="inlineStr">
        <is>
          <t>False</t>
        </is>
      </c>
      <c r="K976" s="28" t="n">
        <v>0</v>
      </c>
      <c r="L976" s="25" t="inlineStr">
        <is>
          <t>BRANDY</t>
        </is>
      </c>
      <c r="M976" s="25" t="inlineStr">
        <is>
          <t>SAZERAC COMPANY</t>
        </is>
      </c>
      <c r="N976" s="25" t="inlineStr">
        <is>
          <t>040002-RNDC-MAGNOLIA</t>
        </is>
      </c>
      <c r="O976" s="25" t="n"/>
      <c r="P976" s="25" t="n"/>
      <c r="Q976" s="25" t="inlineStr">
        <is>
          <t>088004045760</t>
        </is>
      </c>
      <c r="R976" s="78" t="n">
        <v>42279</v>
      </c>
    </row>
    <row r="977">
      <c r="A977" t="inlineStr">
        <is>
          <t>or item code =</t>
        </is>
      </c>
      <c r="B977" s="25" t="inlineStr">
        <is>
          <t>53218</t>
        </is>
      </c>
      <c r="C977" s="25" t="inlineStr">
        <is>
          <t>PAUL MASSON GRANDE AMBER BRANDY</t>
        </is>
      </c>
      <c r="D977" s="25" t="inlineStr">
        <is>
          <t>1.75L</t>
        </is>
      </c>
      <c r="E977" s="27" t="n">
        <v>556</v>
      </c>
      <c r="F977" s="27" t="n">
        <v>319</v>
      </c>
      <c r="G977" s="27" t="n">
        <v>6</v>
      </c>
      <c r="H977" s="28" t="n">
        <v>103.33</v>
      </c>
      <c r="I977" s="28" t="n">
        <v>6</v>
      </c>
      <c r="J977" s="94" t="inlineStr">
        <is>
          <t>False</t>
        </is>
      </c>
      <c r="K977" s="28" t="n">
        <v>0</v>
      </c>
      <c r="L977" s="25" t="inlineStr">
        <is>
          <t>BRANDY</t>
        </is>
      </c>
      <c r="M977" s="25" t="inlineStr">
        <is>
          <t>SAZERAC COMPANY</t>
        </is>
      </c>
      <c r="N977" s="25" t="inlineStr">
        <is>
          <t>040002-RNDC-MAGNOLIA</t>
        </is>
      </c>
      <c r="O977" s="25" t="n"/>
      <c r="P977" s="25" t="n"/>
      <c r="Q977" s="25" t="inlineStr">
        <is>
          <t>088004045753</t>
        </is>
      </c>
      <c r="R977" s="78" t="n">
        <v>42370</v>
      </c>
    </row>
    <row r="978">
      <c r="A978" t="inlineStr">
        <is>
          <t>or item code =</t>
        </is>
      </c>
      <c r="B978" s="25" t="inlineStr">
        <is>
          <t>53216</t>
        </is>
      </c>
      <c r="C978" s="25" t="inlineStr">
        <is>
          <t>PAUL MASSON GRANDE AMBER BRANDY</t>
        </is>
      </c>
      <c r="D978" s="25" t="inlineStr">
        <is>
          <t>750ml</t>
        </is>
      </c>
      <c r="E978" s="27" t="n">
        <v>962</v>
      </c>
      <c r="F978" s="27" t="n">
        <v>442</v>
      </c>
      <c r="G978" s="27" t="n">
        <v>12</v>
      </c>
      <c r="H978" s="28" t="n">
        <v>101.45</v>
      </c>
      <c r="I978" s="28" t="n">
        <v>0</v>
      </c>
      <c r="J978" s="94" t="inlineStr">
        <is>
          <t>False</t>
        </is>
      </c>
      <c r="K978" s="28" t="n">
        <v>0</v>
      </c>
      <c r="L978" s="25" t="inlineStr">
        <is>
          <t>BRANDY</t>
        </is>
      </c>
      <c r="M978" s="25" t="inlineStr">
        <is>
          <t>SAZERAC COMPANY</t>
        </is>
      </c>
      <c r="N978" s="25" t="inlineStr">
        <is>
          <t>040002-RNDC-MAGNOLIA</t>
        </is>
      </c>
      <c r="O978" s="25" t="n"/>
      <c r="P978" s="25" t="inlineStr">
        <is>
          <t>10021296006016</t>
        </is>
      </c>
      <c r="Q978" s="25" t="inlineStr">
        <is>
          <t>088004045777</t>
        </is>
      </c>
      <c r="R978" s="78" t="n">
        <v>42370</v>
      </c>
    </row>
    <row r="979">
      <c r="A979" t="inlineStr">
        <is>
          <t>or item code =</t>
        </is>
      </c>
      <c r="B979" s="25" t="inlineStr">
        <is>
          <t>52199</t>
        </is>
      </c>
      <c r="C979" s="25" t="inlineStr">
        <is>
          <t>PAUL MASSON GRANDE AMBER BRANDY</t>
        </is>
      </c>
      <c r="D979" s="25" t="inlineStr">
        <is>
          <t>100ml</t>
        </is>
      </c>
      <c r="E979" s="27" t="n">
        <v>459</v>
      </c>
      <c r="F979" s="27" t="n">
        <v>170</v>
      </c>
      <c r="G979" s="27" t="n">
        <v>48</v>
      </c>
      <c r="H979" s="28" t="n">
        <v>63.67</v>
      </c>
      <c r="I979" s="28" t="n">
        <v>0</v>
      </c>
      <c r="J979" s="94" t="inlineStr">
        <is>
          <t>False</t>
        </is>
      </c>
      <c r="K979" s="28" t="n">
        <v>0</v>
      </c>
      <c r="L979" s="25" t="inlineStr">
        <is>
          <t>BRANDY</t>
        </is>
      </c>
      <c r="M979" s="25" t="inlineStr">
        <is>
          <t>SAZERAC COMPANY</t>
        </is>
      </c>
      <c r="N979" s="25" t="inlineStr">
        <is>
          <t>040002-RNDC-MAGNOLIA</t>
        </is>
      </c>
      <c r="O979" s="25" t="n"/>
      <c r="P979" s="25" t="n"/>
      <c r="Q979" s="25" t="inlineStr">
        <is>
          <t>0021296006514</t>
        </is>
      </c>
      <c r="R979" s="78" t="n">
        <v>42626</v>
      </c>
    </row>
    <row r="980">
      <c r="A980" t="inlineStr">
        <is>
          <t>or item code =</t>
        </is>
      </c>
      <c r="B980" s="25" t="inlineStr">
        <is>
          <t>53213</t>
        </is>
      </c>
      <c r="C980" s="25" t="inlineStr">
        <is>
          <t>PAUL MASSON GRANDE AMBER BRANDY</t>
        </is>
      </c>
      <c r="D980" s="25" t="inlineStr">
        <is>
          <t>200ml</t>
        </is>
      </c>
      <c r="E980" s="27" t="n">
        <v>1111</v>
      </c>
      <c r="F980" s="27" t="n">
        <v>617</v>
      </c>
      <c r="G980" s="27" t="n">
        <v>24</v>
      </c>
      <c r="H980" s="28" t="n">
        <v>67.72</v>
      </c>
      <c r="I980" s="28" t="n">
        <v>0</v>
      </c>
      <c r="J980" s="94" t="inlineStr">
        <is>
          <t>False</t>
        </is>
      </c>
      <c r="K980" s="28" t="n">
        <v>0</v>
      </c>
      <c r="L980" s="25" t="inlineStr">
        <is>
          <t>BRANDY</t>
        </is>
      </c>
      <c r="M980" s="25" t="inlineStr">
        <is>
          <t>SAZERAC COMPANY</t>
        </is>
      </c>
      <c r="N980" s="25" t="inlineStr">
        <is>
          <t>040002-RNDC-MAGNOLIA</t>
        </is>
      </c>
      <c r="O980" s="25" t="n"/>
      <c r="P980" s="25" t="n"/>
      <c r="Q980" s="25" t="inlineStr">
        <is>
          <t>088004045807</t>
        </is>
      </c>
      <c r="R980" s="78" t="n">
        <v>42279</v>
      </c>
    </row>
    <row r="981">
      <c r="A981" t="inlineStr">
        <is>
          <t>or item code =</t>
        </is>
      </c>
      <c r="B981" s="25" t="inlineStr">
        <is>
          <t>53208</t>
        </is>
      </c>
      <c r="C981" s="25" t="inlineStr">
        <is>
          <t>PAUL MASSON GRANDE AMBER VSOP BRANDY</t>
        </is>
      </c>
      <c r="D981" s="25" t="inlineStr">
        <is>
          <t>1.75L</t>
        </is>
      </c>
      <c r="E981" s="27" t="n">
        <v>122</v>
      </c>
      <c r="F981" s="27" t="n">
        <v>80</v>
      </c>
      <c r="G981" s="27" t="n">
        <v>6</v>
      </c>
      <c r="H981" s="28" t="n">
        <v>107.95</v>
      </c>
      <c r="I981" s="28" t="n">
        <v>6</v>
      </c>
      <c r="J981" s="94" t="inlineStr">
        <is>
          <t>False</t>
        </is>
      </c>
      <c r="K981" s="28" t="n">
        <v>0</v>
      </c>
      <c r="L981" s="25" t="inlineStr">
        <is>
          <t>BRANDY</t>
        </is>
      </c>
      <c r="M981" s="25" t="inlineStr">
        <is>
          <t>SAZERAC COMPANY</t>
        </is>
      </c>
      <c r="N981" s="25" t="inlineStr">
        <is>
          <t>040002-RNDC-MAGNOLIA</t>
        </is>
      </c>
      <c r="O981" s="25" t="n"/>
      <c r="P981" s="25" t="inlineStr">
        <is>
          <t>10021296006603</t>
        </is>
      </c>
      <c r="Q981" s="25" t="inlineStr">
        <is>
          <t>088004045470</t>
        </is>
      </c>
      <c r="R981" s="78" t="n">
        <v>42370</v>
      </c>
    </row>
    <row r="982">
      <c r="A982" t="inlineStr">
        <is>
          <t>or item code =</t>
        </is>
      </c>
      <c r="B982" s="25" t="inlineStr">
        <is>
          <t>53203</t>
        </is>
      </c>
      <c r="C982" s="25" t="inlineStr">
        <is>
          <t>PAUL MASSON GRANDE AMBER VSOP BRANDY</t>
        </is>
      </c>
      <c r="D982" s="25" t="inlineStr">
        <is>
          <t>200ml</t>
        </is>
      </c>
      <c r="E982" s="27" t="n">
        <v>131</v>
      </c>
      <c r="F982" s="27" t="n">
        <v>78</v>
      </c>
      <c r="G982" s="27" t="n">
        <v>24</v>
      </c>
      <c r="H982" s="28" t="n">
        <v>67.72</v>
      </c>
      <c r="I982" s="28" t="n">
        <v>0</v>
      </c>
      <c r="J982" s="94" t="inlineStr">
        <is>
          <t>False</t>
        </is>
      </c>
      <c r="K982" s="28" t="n">
        <v>0</v>
      </c>
      <c r="L982" s="25" t="inlineStr">
        <is>
          <t>BRANDY</t>
        </is>
      </c>
      <c r="M982" s="25" t="inlineStr">
        <is>
          <t>SAZERAC COMPANY</t>
        </is>
      </c>
      <c r="N982" s="25" t="inlineStr">
        <is>
          <t>040002-RNDC-MAGNOLIA</t>
        </is>
      </c>
      <c r="O982" s="25" t="n"/>
      <c r="P982" s="25" t="inlineStr">
        <is>
          <t>10021296021019</t>
        </is>
      </c>
      <c r="Q982" s="25" t="inlineStr">
        <is>
          <t>0021296021012</t>
        </is>
      </c>
      <c r="R982" s="78" t="n">
        <v>42370</v>
      </c>
    </row>
    <row r="983">
      <c r="A983" t="inlineStr">
        <is>
          <t>or item code =</t>
        </is>
      </c>
      <c r="B983" s="25" t="inlineStr">
        <is>
          <t>53206</t>
        </is>
      </c>
      <c r="C983" s="25" t="inlineStr">
        <is>
          <t>PAUL MASSON GRANDE AMBER VSOP BRANDY</t>
        </is>
      </c>
      <c r="D983" s="25" t="inlineStr">
        <is>
          <t>750ml</t>
        </is>
      </c>
      <c r="E983" s="27" t="n">
        <v>129</v>
      </c>
      <c r="F983" s="27" t="n">
        <v>147</v>
      </c>
      <c r="G983" s="27" t="n">
        <v>12</v>
      </c>
      <c r="H983" s="28" t="n">
        <v>103.84</v>
      </c>
      <c r="I983" s="28" t="n">
        <v>0</v>
      </c>
      <c r="J983" s="94" t="inlineStr">
        <is>
          <t>False</t>
        </is>
      </c>
      <c r="K983" s="28" t="n">
        <v>0</v>
      </c>
      <c r="L983" s="25" t="inlineStr">
        <is>
          <t>BRANDY</t>
        </is>
      </c>
      <c r="M983" s="25" t="inlineStr">
        <is>
          <t>SAZERAC COMPANY</t>
        </is>
      </c>
      <c r="N983" s="25" t="inlineStr">
        <is>
          <t>040002-RNDC-MAGNOLIA</t>
        </is>
      </c>
      <c r="O983" s="25" t="n"/>
      <c r="P983" s="25" t="inlineStr">
        <is>
          <t>10021296006306</t>
        </is>
      </c>
      <c r="Q983" s="25" t="inlineStr">
        <is>
          <t>021296006309</t>
        </is>
      </c>
      <c r="R983" s="78" t="n">
        <v>42370</v>
      </c>
    </row>
    <row r="984">
      <c r="A984" t="inlineStr">
        <is>
          <t>or item code =</t>
        </is>
      </c>
      <c r="B984" s="25" t="inlineStr">
        <is>
          <t>53204</t>
        </is>
      </c>
      <c r="C984" s="25" t="inlineStr">
        <is>
          <t>PAUL MASSON GRANDE AMBER VSOP BRANDY</t>
        </is>
      </c>
      <c r="D984" s="25" t="inlineStr">
        <is>
          <t>375ml</t>
        </is>
      </c>
      <c r="E984" s="27" t="n">
        <v>93</v>
      </c>
      <c r="F984" s="27" t="n">
        <v>82</v>
      </c>
      <c r="G984" s="27" t="n">
        <v>24</v>
      </c>
      <c r="H984" s="28" t="n">
        <v>119.83</v>
      </c>
      <c r="I984" s="28" t="n">
        <v>0</v>
      </c>
      <c r="J984" s="94" t="inlineStr">
        <is>
          <t>False</t>
        </is>
      </c>
      <c r="K984" s="28" t="n">
        <v>0</v>
      </c>
      <c r="L984" s="25" t="inlineStr">
        <is>
          <t>BRANDY</t>
        </is>
      </c>
      <c r="M984" s="25" t="inlineStr">
        <is>
          <t>SAZERAC COMPANY</t>
        </is>
      </c>
      <c r="N984" s="25" t="inlineStr">
        <is>
          <t>040002-RNDC-MAGNOLIA</t>
        </is>
      </c>
      <c r="O984" s="25" t="n"/>
      <c r="P984" s="25" t="inlineStr">
        <is>
          <t>10088004045491</t>
        </is>
      </c>
      <c r="Q984" s="25" t="inlineStr">
        <is>
          <t>00088004045494</t>
        </is>
      </c>
      <c r="R984" s="78" t="n">
        <v>42370</v>
      </c>
    </row>
    <row r="985">
      <c r="A985" t="inlineStr">
        <is>
          <t>or item code =</t>
        </is>
      </c>
      <c r="B985" s="25" t="inlineStr">
        <is>
          <t>56768</t>
        </is>
      </c>
      <c r="C985" s="25" t="inlineStr">
        <is>
          <t>PAUL MASSON MANGO GRANDE AMBER BRANDY</t>
        </is>
      </c>
      <c r="D985" s="25" t="inlineStr">
        <is>
          <t>750ml</t>
        </is>
      </c>
      <c r="E985" s="27" t="n">
        <v>2</v>
      </c>
      <c r="F985" s="27" t="n">
        <v>22</v>
      </c>
      <c r="G985" s="27" t="n">
        <v>12</v>
      </c>
      <c r="H985" s="28" t="n">
        <v>101.45</v>
      </c>
      <c r="I985" s="28" t="n">
        <v>0</v>
      </c>
      <c r="J985" s="94" t="inlineStr">
        <is>
          <t>False</t>
        </is>
      </c>
      <c r="K985" s="28" t="n">
        <v>0</v>
      </c>
      <c r="L985" s="25" t="inlineStr">
        <is>
          <t>BRANDY</t>
        </is>
      </c>
      <c r="M985" s="25" t="inlineStr">
        <is>
          <t>SAZERAC COMPANY</t>
        </is>
      </c>
      <c r="N985" s="25" t="inlineStr">
        <is>
          <t>040002-RNDC-MAGNOLIA</t>
        </is>
      </c>
      <c r="O985" s="25" t="n"/>
      <c r="P985" s="25" t="inlineStr">
        <is>
          <t>10021296620373</t>
        </is>
      </c>
      <c r="Q985" s="25" t="inlineStr">
        <is>
          <t>0021296620376</t>
        </is>
      </c>
      <c r="R985" s="78" t="n">
        <v>43237</v>
      </c>
    </row>
    <row r="986">
      <c r="A986" t="inlineStr">
        <is>
          <t>or item code =</t>
        </is>
      </c>
      <c r="B986" s="25" t="inlineStr">
        <is>
          <t>56196</t>
        </is>
      </c>
      <c r="C986" s="25" t="inlineStr">
        <is>
          <t>PAUL MASSON PEACH GRAND AMBER BRANDY</t>
        </is>
      </c>
      <c r="D986" s="25" t="inlineStr">
        <is>
          <t>750ml</t>
        </is>
      </c>
      <c r="E986" s="27" t="n">
        <v>0</v>
      </c>
      <c r="F986" s="27" t="n">
        <v>10</v>
      </c>
      <c r="G986" s="27" t="n">
        <v>12</v>
      </c>
      <c r="H986" s="28" t="n">
        <v>101.45</v>
      </c>
      <c r="I986" s="28" t="n">
        <v>0</v>
      </c>
      <c r="J986" s="94" t="inlineStr">
        <is>
          <t>False</t>
        </is>
      </c>
      <c r="K986" s="28" t="n">
        <v>0</v>
      </c>
      <c r="L986" s="25" t="inlineStr">
        <is>
          <t>BRANDY</t>
        </is>
      </c>
      <c r="M986" s="25" t="inlineStr">
        <is>
          <t>SAZERAC COMPANY</t>
        </is>
      </c>
      <c r="N986" s="25" t="inlineStr">
        <is>
          <t>040002-RNDC-MAGNOLIA</t>
        </is>
      </c>
      <c r="O986" s="25" t="n"/>
      <c r="P986" s="25" t="inlineStr">
        <is>
          <t>10021296620021</t>
        </is>
      </c>
      <c r="Q986" s="25" t="inlineStr">
        <is>
          <t>0021296620024</t>
        </is>
      </c>
      <c r="R986" s="78" t="n">
        <v>42370</v>
      </c>
    </row>
    <row r="987">
      <c r="A987" t="inlineStr">
        <is>
          <t>or item code =</t>
        </is>
      </c>
      <c r="B987" s="25" t="inlineStr">
        <is>
          <t>56195</t>
        </is>
      </c>
      <c r="C987" s="25" t="inlineStr">
        <is>
          <t>PAUL MASSON PEACH GRAND AMBER BRANDY</t>
        </is>
      </c>
      <c r="D987" s="25" t="inlineStr">
        <is>
          <t>375ml</t>
        </is>
      </c>
      <c r="E987" s="27" t="n">
        <v>109</v>
      </c>
      <c r="F987" s="27" t="n">
        <v>108</v>
      </c>
      <c r="G987" s="27" t="n">
        <v>24</v>
      </c>
      <c r="H987" s="28" t="n">
        <v>107.84</v>
      </c>
      <c r="I987" s="28" t="n">
        <v>0</v>
      </c>
      <c r="J987" s="94" t="inlineStr">
        <is>
          <t>False</t>
        </is>
      </c>
      <c r="K987" s="28" t="n">
        <v>0</v>
      </c>
      <c r="L987" s="25" t="inlineStr">
        <is>
          <t>BRANDY</t>
        </is>
      </c>
      <c r="M987" s="25" t="inlineStr">
        <is>
          <t>SAZERAC COMPANY</t>
        </is>
      </c>
      <c r="N987" s="25" t="inlineStr">
        <is>
          <t>040002-RNDC-MAGNOLIA</t>
        </is>
      </c>
      <c r="O987" s="25" t="n"/>
      <c r="P987" s="25" t="inlineStr">
        <is>
          <t>10021296620014</t>
        </is>
      </c>
      <c r="Q987" s="25" t="inlineStr">
        <is>
          <t>0021296620017</t>
        </is>
      </c>
      <c r="R987" s="78" t="n">
        <v>42370</v>
      </c>
    </row>
    <row r="988">
      <c r="A988" t="inlineStr">
        <is>
          <t>or item code =</t>
        </is>
      </c>
      <c r="B988" s="25" t="inlineStr">
        <is>
          <t>56194</t>
        </is>
      </c>
      <c r="C988" s="25" t="inlineStr">
        <is>
          <t>PAUL MASSON PEACH GRAND AMBER BRANDY</t>
        </is>
      </c>
      <c r="D988" s="25" t="inlineStr">
        <is>
          <t>50ml</t>
        </is>
      </c>
      <c r="E988" s="27" t="n">
        <v>29</v>
      </c>
      <c r="F988" s="27" t="n">
        <v>14</v>
      </c>
      <c r="G988" s="27" t="n">
        <v>120</v>
      </c>
      <c r="H988" s="28" t="n">
        <v>80</v>
      </c>
      <c r="I988" s="28" t="n">
        <v>0</v>
      </c>
      <c r="J988" s="94" t="inlineStr">
        <is>
          <t>False</t>
        </is>
      </c>
      <c r="K988" s="28" t="n">
        <v>0</v>
      </c>
      <c r="L988" s="25" t="inlineStr">
        <is>
          <t>BRANDY</t>
        </is>
      </c>
      <c r="M988" s="25" t="inlineStr">
        <is>
          <t>SAZERAC COMPANY</t>
        </is>
      </c>
      <c r="N988" s="25" t="inlineStr">
        <is>
          <t>040002-RNDC-MAGNOLIA</t>
        </is>
      </c>
      <c r="O988" s="25" t="n"/>
      <c r="P988" s="25" t="inlineStr">
        <is>
          <t>10021296600007</t>
        </is>
      </c>
      <c r="Q988" s="25" t="inlineStr">
        <is>
          <t>0021296620000</t>
        </is>
      </c>
      <c r="R988" s="78" t="n">
        <v>42370</v>
      </c>
    </row>
    <row r="989">
      <c r="A989" t="inlineStr">
        <is>
          <t>or item code =</t>
        </is>
      </c>
      <c r="B989" s="25" t="inlineStr">
        <is>
          <t>56798</t>
        </is>
      </c>
      <c r="C989" s="25" t="inlineStr">
        <is>
          <t>PAUL MASSON PINEAPPLE GRAND AMBER BRANDY</t>
        </is>
      </c>
      <c r="D989" s="25" t="inlineStr">
        <is>
          <t>750ml</t>
        </is>
      </c>
      <c r="E989" s="27" t="n">
        <v>10</v>
      </c>
      <c r="F989" s="27" t="n">
        <v>27</v>
      </c>
      <c r="G989" s="27" t="n">
        <v>12</v>
      </c>
      <c r="H989" s="28" t="n">
        <v>101.45</v>
      </c>
      <c r="I989" s="28" t="n">
        <v>0</v>
      </c>
      <c r="J989" s="94" t="inlineStr">
        <is>
          <t>False</t>
        </is>
      </c>
      <c r="K989" s="28" t="n">
        <v>0</v>
      </c>
      <c r="L989" s="25" t="inlineStr">
        <is>
          <t>BRANDY</t>
        </is>
      </c>
      <c r="M989" s="25" t="inlineStr">
        <is>
          <t>SAZERAC COMPANY</t>
        </is>
      </c>
      <c r="N989" s="25" t="inlineStr">
        <is>
          <t>040002-RNDC-MAGNOLIA</t>
        </is>
      </c>
      <c r="O989" s="25" t="n"/>
      <c r="P989" s="25" t="inlineStr">
        <is>
          <t>10021296620212</t>
        </is>
      </c>
      <c r="Q989" s="25" t="inlineStr">
        <is>
          <t>0021296620215</t>
        </is>
      </c>
      <c r="R989" s="78" t="n">
        <v>42710</v>
      </c>
    </row>
    <row r="990">
      <c r="A990" t="inlineStr">
        <is>
          <t>or item code =</t>
        </is>
      </c>
      <c r="B990" s="25" t="inlineStr">
        <is>
          <t>56805</t>
        </is>
      </c>
      <c r="C990" s="25" t="inlineStr">
        <is>
          <t>PAUL MASSON RED BERRY GRAN AMBER BRANDY</t>
        </is>
      </c>
      <c r="D990" s="25" t="inlineStr">
        <is>
          <t>750ml</t>
        </is>
      </c>
      <c r="E990" s="27" t="n">
        <v>9</v>
      </c>
      <c r="F990" s="27" t="n">
        <v>26</v>
      </c>
      <c r="G990" s="27" t="n">
        <v>12</v>
      </c>
      <c r="H990" s="28" t="n">
        <v>101.45</v>
      </c>
      <c r="I990" s="28" t="n">
        <v>0</v>
      </c>
      <c r="J990" s="94" t="inlineStr">
        <is>
          <t>False</t>
        </is>
      </c>
      <c r="K990" s="28" t="n">
        <v>0</v>
      </c>
      <c r="L990" s="25" t="inlineStr">
        <is>
          <t>BRANDY</t>
        </is>
      </c>
      <c r="M990" s="25" t="inlineStr">
        <is>
          <t>SAZERAC COMPANY</t>
        </is>
      </c>
      <c r="N990" s="25" t="inlineStr">
        <is>
          <t>040002-RNDC-MAGNOLIA</t>
        </is>
      </c>
      <c r="O990" s="25" t="n"/>
      <c r="P990" s="25" t="inlineStr">
        <is>
          <t>10021296620076</t>
        </is>
      </c>
      <c r="Q990" s="25" t="inlineStr">
        <is>
          <t>0021296620079</t>
        </is>
      </c>
      <c r="R990" s="78" t="n">
        <v>42370</v>
      </c>
    </row>
    <row r="991">
      <c r="A991" t="inlineStr">
        <is>
          <t>or item code =</t>
        </is>
      </c>
      <c r="B991" s="25" t="inlineStr">
        <is>
          <t>34546</t>
        </is>
      </c>
      <c r="C991" s="25" t="inlineStr">
        <is>
          <t>PEARL VODKA</t>
        </is>
      </c>
      <c r="D991" s="25" t="inlineStr">
        <is>
          <t>750ml</t>
        </is>
      </c>
      <c r="E991" s="27" t="n">
        <v>37</v>
      </c>
      <c r="F991" s="27" t="n">
        <v>23</v>
      </c>
      <c r="G991" s="27" t="n">
        <v>12</v>
      </c>
      <c r="H991" s="28" t="n">
        <v>78.40000000000001</v>
      </c>
      <c r="I991" s="28" t="n">
        <v>23.05</v>
      </c>
      <c r="J991" s="94" t="inlineStr">
        <is>
          <t>False</t>
        </is>
      </c>
      <c r="K991" s="28" t="n">
        <v>0</v>
      </c>
      <c r="L991" s="25" t="inlineStr">
        <is>
          <t>VODKA</t>
        </is>
      </c>
      <c r="M991" s="25" t="inlineStr">
        <is>
          <t>LUXCO, INC</t>
        </is>
      </c>
      <c r="N991" s="25" t="inlineStr">
        <is>
          <t>040010-SOUTHERN GLAZERS WINE AND SPIRITS OF MISSISSIPPI LLC</t>
        </is>
      </c>
      <c r="O991" s="25" t="n"/>
      <c r="P991" s="25" t="inlineStr">
        <is>
          <t>10088352123186</t>
        </is>
      </c>
      <c r="Q991" s="25" t="inlineStr">
        <is>
          <t>088352123189</t>
        </is>
      </c>
      <c r="R991" s="78" t="n">
        <v>42370</v>
      </c>
    </row>
    <row r="992">
      <c r="A992" t="inlineStr">
        <is>
          <t>or item code =</t>
        </is>
      </c>
      <c r="B992" s="25" t="inlineStr">
        <is>
          <t>34566</t>
        </is>
      </c>
      <c r="C992" s="25" t="inlineStr">
        <is>
          <t>PEARL VODKA (PET)</t>
        </is>
      </c>
      <c r="D992" s="25" t="inlineStr">
        <is>
          <t>1.75L</t>
        </is>
      </c>
      <c r="E992" s="27" t="n">
        <v>196</v>
      </c>
      <c r="F992" s="27" t="n">
        <v>36</v>
      </c>
      <c r="G992" s="27" t="n">
        <v>6</v>
      </c>
      <c r="H992" s="28" t="n">
        <v>92.28</v>
      </c>
      <c r="I992" s="28" t="n">
        <v>0</v>
      </c>
      <c r="J992" s="94" t="inlineStr">
        <is>
          <t>False</t>
        </is>
      </c>
      <c r="K992" s="28" t="n">
        <v>0</v>
      </c>
      <c r="L992" s="25" t="inlineStr">
        <is>
          <t>VODKA</t>
        </is>
      </c>
      <c r="M992" s="25" t="inlineStr">
        <is>
          <t>LUXCO, INC</t>
        </is>
      </c>
      <c r="N992" s="25" t="inlineStr">
        <is>
          <t>040010-SOUTHERN GLAZERS WINE AND SPIRITS OF MISSISSIPPI LLC</t>
        </is>
      </c>
      <c r="O992" s="25" t="n"/>
      <c r="P992" s="25" t="inlineStr">
        <is>
          <t>10088352126651</t>
        </is>
      </c>
      <c r="Q992" s="25" t="inlineStr">
        <is>
          <t>0088352126654</t>
        </is>
      </c>
      <c r="R992" s="78" t="n">
        <v>42370</v>
      </c>
    </row>
    <row r="993">
      <c r="A993" t="inlineStr">
        <is>
          <t>or item code =</t>
        </is>
      </c>
      <c r="B993" s="25" t="inlineStr">
        <is>
          <t>891002</t>
        </is>
      </c>
      <c r="C993" s="25" t="inlineStr">
        <is>
          <t>PETER VELLA MOSCATO SANGRIA</t>
        </is>
      </c>
      <c r="D993" s="25" t="inlineStr">
        <is>
          <t>5L</t>
        </is>
      </c>
      <c r="E993" s="27" t="n">
        <v>21</v>
      </c>
      <c r="F993" s="27" t="n">
        <v>93</v>
      </c>
      <c r="G993" s="27" t="n">
        <v>4</v>
      </c>
      <c r="H993" s="28" t="n">
        <v>55.69</v>
      </c>
      <c r="I993" s="28" t="n">
        <v>0</v>
      </c>
      <c r="J993" s="94" t="inlineStr">
        <is>
          <t>False</t>
        </is>
      </c>
      <c r="K993" s="28" t="n">
        <v>0</v>
      </c>
      <c r="L993" s="25" t="inlineStr">
        <is>
          <t>SANGRIA</t>
        </is>
      </c>
      <c r="M993" s="25" t="inlineStr">
        <is>
          <t>E &amp; J GALLO WINERY</t>
        </is>
      </c>
      <c r="N993" s="25" t="inlineStr">
        <is>
          <t>040012-GALLO WINES OF MISSISSIPPI</t>
        </is>
      </c>
      <c r="O993" s="25" t="n"/>
      <c r="P993" s="25" t="inlineStr">
        <is>
          <t>20085000024229</t>
        </is>
      </c>
      <c r="Q993" s="25" t="inlineStr">
        <is>
          <t>085000024225</t>
        </is>
      </c>
      <c r="R993" s="78" t="n">
        <v>42516</v>
      </c>
    </row>
    <row r="994">
      <c r="A994" t="inlineStr">
        <is>
          <t>or item code =</t>
        </is>
      </c>
      <c r="B994" s="25" t="inlineStr">
        <is>
          <t>891004</t>
        </is>
      </c>
      <c r="C994" s="25" t="inlineStr">
        <is>
          <t>PETER VELLA PINK MOSCATO SANGRIA</t>
        </is>
      </c>
      <c r="D994" s="25" t="inlineStr">
        <is>
          <t>5L</t>
        </is>
      </c>
      <c r="E994" s="27" t="n">
        <v>4</v>
      </c>
      <c r="F994" s="27" t="n">
        <v>62</v>
      </c>
      <c r="G994" s="27" t="n">
        <v>4</v>
      </c>
      <c r="H994" s="28" t="n">
        <v>55.69</v>
      </c>
      <c r="I994" s="28" t="n">
        <v>0</v>
      </c>
      <c r="J994" s="94" t="inlineStr">
        <is>
          <t>False</t>
        </is>
      </c>
      <c r="K994" s="28" t="n">
        <v>0</v>
      </c>
      <c r="L994" s="25" t="inlineStr">
        <is>
          <t>SANGRIA</t>
        </is>
      </c>
      <c r="M994" s="25" t="inlineStr">
        <is>
          <t>E &amp; J GALLO WINERY</t>
        </is>
      </c>
      <c r="N994" s="25" t="inlineStr">
        <is>
          <t>040012-GALLO WINES OF MISSISSIPPI</t>
        </is>
      </c>
      <c r="O994" s="25" t="n"/>
      <c r="P994" s="25" t="inlineStr">
        <is>
          <t>20085000027060</t>
        </is>
      </c>
      <c r="Q994" s="25" t="inlineStr">
        <is>
          <t>085000027066</t>
        </is>
      </c>
      <c r="R994" s="78" t="n">
        <v>43207</v>
      </c>
    </row>
    <row r="995">
      <c r="A995" t="inlineStr">
        <is>
          <t>or item code =</t>
        </is>
      </c>
      <c r="B995" s="25" t="inlineStr">
        <is>
          <t>891000</t>
        </is>
      </c>
      <c r="C995" s="25" t="inlineStr">
        <is>
          <t>PETER VELLA SANGRIA</t>
        </is>
      </c>
      <c r="D995" s="25" t="inlineStr">
        <is>
          <t>5L</t>
        </is>
      </c>
      <c r="E995" s="27" t="n">
        <v>20</v>
      </c>
      <c r="F995" s="27" t="n">
        <v>44</v>
      </c>
      <c r="G995" s="27" t="n">
        <v>4</v>
      </c>
      <c r="H995" s="28" t="n">
        <v>55.69</v>
      </c>
      <c r="I995" s="28" t="n">
        <v>0</v>
      </c>
      <c r="J995" s="94" t="inlineStr">
        <is>
          <t>False</t>
        </is>
      </c>
      <c r="K995" s="28" t="n">
        <v>0</v>
      </c>
      <c r="L995" s="25" t="inlineStr">
        <is>
          <t>SANGRIA</t>
        </is>
      </c>
      <c r="M995" s="25" t="inlineStr">
        <is>
          <t>E &amp; J GALLO WINERY</t>
        </is>
      </c>
      <c r="N995" s="25" t="inlineStr">
        <is>
          <t>040012-GALLO WINES OF MISSISSIPPI</t>
        </is>
      </c>
      <c r="O995" s="25" t="n"/>
      <c r="P995" s="25" t="inlineStr">
        <is>
          <t>10085000017200</t>
        </is>
      </c>
      <c r="Q995" s="25" t="inlineStr">
        <is>
          <t>008500001720</t>
        </is>
      </c>
      <c r="R995" s="78" t="n">
        <v>42370</v>
      </c>
    </row>
    <row r="996">
      <c r="A996" t="inlineStr">
        <is>
          <t>or item code =</t>
        </is>
      </c>
      <c r="B996" s="25" t="inlineStr">
        <is>
          <t>814577</t>
        </is>
      </c>
      <c r="C996" s="25" t="inlineStr">
        <is>
          <t>PETER VELLA SWEET RED</t>
        </is>
      </c>
      <c r="D996" s="25" t="inlineStr">
        <is>
          <t>5L</t>
        </is>
      </c>
      <c r="E996" s="27" t="n">
        <v>0</v>
      </c>
      <c r="F996" s="27" t="n">
        <v>10</v>
      </c>
      <c r="G996" s="27" t="n">
        <v>4</v>
      </c>
      <c r="H996" s="28" t="n">
        <v>55.69</v>
      </c>
      <c r="I996" s="28" t="n">
        <v>0</v>
      </c>
      <c r="J996" s="94" t="inlineStr">
        <is>
          <t>False</t>
        </is>
      </c>
      <c r="K996" s="28" t="n">
        <v>0</v>
      </c>
      <c r="L996" s="25" t="inlineStr">
        <is>
          <t>RED WINE</t>
        </is>
      </c>
      <c r="M996" s="25" t="inlineStr">
        <is>
          <t>E &amp; J GALLO WINERY</t>
        </is>
      </c>
      <c r="N996" s="25" t="inlineStr">
        <is>
          <t>040012-GALLO WINES OF MISSISSIPPI</t>
        </is>
      </c>
      <c r="O996" s="25" t="n"/>
      <c r="P996" s="25" t="inlineStr">
        <is>
          <t>10085000002858</t>
        </is>
      </c>
      <c r="Q996" s="25" t="inlineStr">
        <is>
          <t>0850000028582</t>
        </is>
      </c>
      <c r="R996" s="78" t="n">
        <v>43615</v>
      </c>
    </row>
    <row r="997">
      <c r="A997" t="inlineStr">
        <is>
          <t>or item code =</t>
        </is>
      </c>
      <c r="B997" s="25" t="inlineStr">
        <is>
          <t>48996</t>
        </is>
      </c>
      <c r="C997" s="25" t="inlineStr">
        <is>
          <t>PIERRE FERRAND AMBRE</t>
        </is>
      </c>
      <c r="D997" s="25" t="inlineStr">
        <is>
          <t>750ml</t>
        </is>
      </c>
      <c r="E997" s="27" t="n">
        <v>48</v>
      </c>
      <c r="F997" s="27" t="n">
        <v>6</v>
      </c>
      <c r="G997" s="27" t="n">
        <v>6</v>
      </c>
      <c r="H997" s="28" t="n">
        <v>257.57</v>
      </c>
      <c r="I997" s="28" t="n">
        <v>0</v>
      </c>
      <c r="J997" s="94" t="inlineStr">
        <is>
          <t>False</t>
        </is>
      </c>
      <c r="K997" s="28" t="n">
        <v>0</v>
      </c>
      <c r="L997" s="25" t="inlineStr">
        <is>
          <t>COGNAC, ARMAGNAC</t>
        </is>
      </c>
      <c r="M997" s="25" t="inlineStr">
        <is>
          <t>MADVINES &amp; SPIRITS A BEAUMAD &amp; MAGNOLIA BARREL HOUSE COMPANY</t>
        </is>
      </c>
      <c r="N997" s="25" t="inlineStr">
        <is>
          <t>094032-MADVINES &amp; SPIRITS A BEAUMAD &amp; MAGNOLIA BARREL HOUSE COMPANY</t>
        </is>
      </c>
      <c r="O997" s="25" t="n"/>
      <c r="P997" s="25" t="n"/>
      <c r="Q997" s="25" t="inlineStr">
        <is>
          <t>695521121015</t>
        </is>
      </c>
      <c r="R997" s="78" t="n">
        <v>44044</v>
      </c>
    </row>
    <row r="998">
      <c r="A998" t="inlineStr">
        <is>
          <t>or item code =</t>
        </is>
      </c>
      <c r="B998" s="25" t="inlineStr">
        <is>
          <t>49000</t>
        </is>
      </c>
      <c r="C998" s="25" t="inlineStr">
        <is>
          <t>PIERRE FERRAND ORIGINAL 1840 FORMULA</t>
        </is>
      </c>
      <c r="D998" s="25" t="inlineStr">
        <is>
          <t>750ml</t>
        </is>
      </c>
      <c r="E998" s="27" t="n">
        <v>45</v>
      </c>
      <c r="F998" s="27" t="n">
        <v>5</v>
      </c>
      <c r="G998" s="27" t="n">
        <v>6</v>
      </c>
      <c r="H998" s="28" t="n">
        <v>251.2</v>
      </c>
      <c r="I998" s="28" t="n">
        <v>0</v>
      </c>
      <c r="J998" s="94" t="inlineStr">
        <is>
          <t>False</t>
        </is>
      </c>
      <c r="K998" s="28" t="n">
        <v>0</v>
      </c>
      <c r="L998" s="25" t="inlineStr">
        <is>
          <t>COGNAC, ARMAGNAC</t>
        </is>
      </c>
      <c r="M998" s="25" t="inlineStr">
        <is>
          <t>MADVINES &amp; SPIRITS A BEAUMAD &amp; MAGNOLIA BARREL HOUSE COMPANY</t>
        </is>
      </c>
      <c r="N998" s="25" t="inlineStr">
        <is>
          <t>094032-MADVINES &amp; SPIRITS A BEAUMAD &amp; MAGNOLIA BARREL HOUSE COMPANY</t>
        </is>
      </c>
      <c r="O998" s="25" t="n"/>
      <c r="P998" s="25" t="inlineStr">
        <is>
          <t>10695521151422</t>
        </is>
      </c>
      <c r="Q998" s="25" t="inlineStr">
        <is>
          <t>695521151425</t>
        </is>
      </c>
      <c r="R998" s="78" t="n">
        <v>44105</v>
      </c>
    </row>
    <row r="999">
      <c r="A999" t="inlineStr">
        <is>
          <t>or item code =</t>
        </is>
      </c>
      <c r="B999" s="25" t="inlineStr">
        <is>
          <t>35529</t>
        </is>
      </c>
      <c r="C999" s="25" t="inlineStr">
        <is>
          <t>PINNACLE 100 PROOF VODKA</t>
        </is>
      </c>
      <c r="D999" s="25" t="inlineStr">
        <is>
          <t>1.75L</t>
        </is>
      </c>
      <c r="E999" s="27" t="n">
        <v>136</v>
      </c>
      <c r="F999" s="27" t="n">
        <v>26</v>
      </c>
      <c r="G999" s="27" t="n">
        <v>6</v>
      </c>
      <c r="H999" s="28" t="n">
        <v>119.94</v>
      </c>
      <c r="I999" s="28" t="n">
        <v>0</v>
      </c>
      <c r="J999" s="94" t="inlineStr">
        <is>
          <t>False</t>
        </is>
      </c>
      <c r="K999" s="28" t="n">
        <v>0</v>
      </c>
      <c r="L999" s="25" t="inlineStr">
        <is>
          <t>VODKA</t>
        </is>
      </c>
      <c r="M999" s="25" t="inlineStr">
        <is>
          <t>JIM BEAM BRANDS CO</t>
        </is>
      </c>
      <c r="N999" s="25" t="inlineStr">
        <is>
          <t>040010-SOUTHERN GLAZERS WINE AND SPIRITS OF MISSISSIPPI LLC</t>
        </is>
      </c>
      <c r="O999" s="25" t="n"/>
      <c r="P999" s="25" t="inlineStr">
        <is>
          <t>20080686929486</t>
        </is>
      </c>
      <c r="Q999" s="25" t="inlineStr">
        <is>
          <t>0080686929482</t>
        </is>
      </c>
      <c r="R999" s="78" t="n">
        <v>42370</v>
      </c>
    </row>
    <row r="1000">
      <c r="A1000" t="inlineStr">
        <is>
          <t>or item code =</t>
        </is>
      </c>
      <c r="B1000" s="25" t="inlineStr">
        <is>
          <t>35953</t>
        </is>
      </c>
      <c r="C1000" s="25" t="inlineStr">
        <is>
          <t>PINNACLE PINEAPPLE FLAVORED VODKA</t>
        </is>
      </c>
      <c r="D1000" s="25" t="inlineStr">
        <is>
          <t>750ml</t>
        </is>
      </c>
      <c r="E1000" s="27" t="n">
        <v>58</v>
      </c>
      <c r="F1000" s="27" t="n">
        <v>13</v>
      </c>
      <c r="G1000" s="27" t="n">
        <v>12</v>
      </c>
      <c r="H1000" s="28" t="n">
        <v>110.66</v>
      </c>
      <c r="I1000" s="28" t="n">
        <v>0</v>
      </c>
      <c r="J1000" s="94" t="inlineStr">
        <is>
          <t>False</t>
        </is>
      </c>
      <c r="K1000" s="28" t="n">
        <v>0</v>
      </c>
      <c r="L1000" s="25" t="inlineStr">
        <is>
          <t>VODKA</t>
        </is>
      </c>
      <c r="M1000" s="25" t="inlineStr">
        <is>
          <t>JIM BEAM BRANDS CO</t>
        </is>
      </c>
      <c r="N1000" s="25" t="inlineStr">
        <is>
          <t>040010-SOUTHERN GLAZERS WINE AND SPIRITS OF MISSISSIPPI LLC</t>
        </is>
      </c>
      <c r="O1000" s="25" t="n"/>
      <c r="P1000" s="25" t="inlineStr">
        <is>
          <t>30080686929360</t>
        </is>
      </c>
      <c r="Q1000" s="25" t="inlineStr">
        <is>
          <t>0080686929369</t>
        </is>
      </c>
      <c r="R1000" s="78" t="n">
        <v>42370</v>
      </c>
    </row>
    <row r="1001">
      <c r="A1001" t="inlineStr">
        <is>
          <t>or item code =</t>
        </is>
      </c>
      <c r="B1001" s="25" t="inlineStr">
        <is>
          <t>34578</t>
        </is>
      </c>
      <c r="C1001" s="25" t="inlineStr">
        <is>
          <t>PINNACLE VODKA</t>
        </is>
      </c>
      <c r="D1001" s="25" t="inlineStr">
        <is>
          <t>1.75L</t>
        </is>
      </c>
      <c r="E1001" s="27" t="n">
        <v>202</v>
      </c>
      <c r="F1001" s="27" t="n">
        <v>393</v>
      </c>
      <c r="G1001" s="27" t="n">
        <v>6</v>
      </c>
      <c r="H1001" s="28" t="n">
        <v>96.87</v>
      </c>
      <c r="I1001" s="28" t="n">
        <v>0</v>
      </c>
      <c r="J1001" s="94" t="inlineStr">
        <is>
          <t>False</t>
        </is>
      </c>
      <c r="K1001" s="28" t="n">
        <v>0</v>
      </c>
      <c r="L1001" s="25" t="inlineStr">
        <is>
          <t>VODKA</t>
        </is>
      </c>
      <c r="M1001" s="25" t="inlineStr">
        <is>
          <t>JIM BEAM BRANDS CO</t>
        </is>
      </c>
      <c r="N1001" s="25" t="inlineStr">
        <is>
          <t>040010-SOUTHERN GLAZERS WINE AND SPIRITS OF MISSISSIPPI LLC</t>
        </is>
      </c>
      <c r="O1001" s="25" t="n"/>
      <c r="P1001" s="25" t="inlineStr">
        <is>
          <t>20080686929455</t>
        </is>
      </c>
      <c r="Q1001" s="25" t="inlineStr">
        <is>
          <t>0080686929451</t>
        </is>
      </c>
      <c r="R1001" s="78" t="n">
        <v>42278</v>
      </c>
    </row>
    <row r="1002">
      <c r="A1002" t="inlineStr">
        <is>
          <t>or item code =</t>
        </is>
      </c>
      <c r="B1002" s="25" t="inlineStr">
        <is>
          <t>34579</t>
        </is>
      </c>
      <c r="C1002" s="25" t="inlineStr">
        <is>
          <t>PINNACLE VODKA</t>
        </is>
      </c>
      <c r="D1002" s="25" t="inlineStr">
        <is>
          <t>750ml</t>
        </is>
      </c>
      <c r="E1002" s="27" t="n">
        <v>426</v>
      </c>
      <c r="F1002" s="27" t="n">
        <v>98</v>
      </c>
      <c r="G1002" s="27" t="n">
        <v>12</v>
      </c>
      <c r="H1002" s="28" t="n">
        <v>110.66</v>
      </c>
      <c r="I1002" s="28" t="n">
        <v>0</v>
      </c>
      <c r="J1002" s="94" t="inlineStr">
        <is>
          <t>False</t>
        </is>
      </c>
      <c r="K1002" s="28" t="n">
        <v>0</v>
      </c>
      <c r="L1002" s="25" t="inlineStr">
        <is>
          <t>VODKA</t>
        </is>
      </c>
      <c r="M1002" s="25" t="inlineStr">
        <is>
          <t>JIM BEAM BRANDS CO</t>
        </is>
      </c>
      <c r="N1002" s="25" t="inlineStr">
        <is>
          <t>040010-SOUTHERN GLAZERS WINE AND SPIRITS OF MISSISSIPPI LLC</t>
        </is>
      </c>
      <c r="O1002" s="25" t="n"/>
      <c r="P1002" s="25" t="inlineStr">
        <is>
          <t>20080686929400</t>
        </is>
      </c>
      <c r="Q1002" s="25" t="inlineStr">
        <is>
          <t>0080686929406</t>
        </is>
      </c>
      <c r="R1002" s="78" t="n">
        <v>42370</v>
      </c>
    </row>
    <row r="1003">
      <c r="A1003" t="inlineStr">
        <is>
          <t>or item code =</t>
        </is>
      </c>
      <c r="B1003" s="25" t="inlineStr">
        <is>
          <t>34698</t>
        </is>
      </c>
      <c r="C1003" s="25" t="inlineStr">
        <is>
          <t>PINNACLE VODKA</t>
        </is>
      </c>
      <c r="D1003" s="25" t="inlineStr">
        <is>
          <t>375ml</t>
        </is>
      </c>
      <c r="E1003" s="27" t="n">
        <v>50</v>
      </c>
      <c r="F1003" s="27" t="n">
        <v>211</v>
      </c>
      <c r="G1003" s="27" t="n">
        <v>24</v>
      </c>
      <c r="H1003" s="28" t="n">
        <v>90.68000000000001</v>
      </c>
      <c r="I1003" s="28" t="n">
        <v>17.14</v>
      </c>
      <c r="J1003" s="94" t="inlineStr">
        <is>
          <t>False</t>
        </is>
      </c>
      <c r="K1003" s="28" t="n">
        <v>0</v>
      </c>
      <c r="L1003" s="25" t="inlineStr">
        <is>
          <t>VODKA</t>
        </is>
      </c>
      <c r="M1003" s="25" t="inlineStr">
        <is>
          <t>JIM BEAM BRANDS CO</t>
        </is>
      </c>
      <c r="N1003" s="25" t="inlineStr">
        <is>
          <t>040010-SOUTHERN GLAZERS WINE AND SPIRITS OF MISSISSIPPI LLC</t>
        </is>
      </c>
      <c r="O1003" s="25" t="n"/>
      <c r="P1003" s="25" t="inlineStr">
        <is>
          <t>20080686924160</t>
        </is>
      </c>
      <c r="Q1003" s="25" t="inlineStr">
        <is>
          <t>0080686929437</t>
        </is>
      </c>
      <c r="R1003" s="78" t="n">
        <v>42370</v>
      </c>
    </row>
    <row r="1004">
      <c r="A1004" t="inlineStr">
        <is>
          <t>or item code =</t>
        </is>
      </c>
      <c r="B1004" s="25" t="inlineStr">
        <is>
          <t>35626</t>
        </is>
      </c>
      <c r="C1004" s="25" t="inlineStr">
        <is>
          <t>PINNACLE WHIPPED CREAM FLAVORED VODKA</t>
        </is>
      </c>
      <c r="D1004" s="25" t="inlineStr">
        <is>
          <t>750ml</t>
        </is>
      </c>
      <c r="E1004" s="27" t="n">
        <v>228</v>
      </c>
      <c r="F1004" s="27" t="n">
        <v>86</v>
      </c>
      <c r="G1004" s="27" t="n">
        <v>12</v>
      </c>
      <c r="H1004" s="28" t="n">
        <v>110.66</v>
      </c>
      <c r="I1004" s="28" t="n">
        <v>0</v>
      </c>
      <c r="J1004" s="94" t="inlineStr">
        <is>
          <t>False</t>
        </is>
      </c>
      <c r="K1004" s="28" t="n">
        <v>0</v>
      </c>
      <c r="L1004" s="25" t="inlineStr">
        <is>
          <t>VODKA</t>
        </is>
      </c>
      <c r="M1004" s="25" t="inlineStr">
        <is>
          <t>JIM BEAM BRANDS CO</t>
        </is>
      </c>
      <c r="N1004" s="25" t="inlineStr">
        <is>
          <t>040010-SOUTHERN GLAZERS WINE AND SPIRITS OF MISSISSIPPI LLC</t>
        </is>
      </c>
      <c r="O1004" s="25" t="n"/>
      <c r="P1004" s="25" t="inlineStr">
        <is>
          <t>30080686926512</t>
        </is>
      </c>
      <c r="Q1004" s="25" t="inlineStr">
        <is>
          <t>0080686926511</t>
        </is>
      </c>
      <c r="R1004" s="78" t="n">
        <v>42370</v>
      </c>
    </row>
    <row r="1005">
      <c r="A1005" t="inlineStr">
        <is>
          <t>or item code =</t>
        </is>
      </c>
      <c r="B1005" s="25" t="inlineStr">
        <is>
          <t>35628</t>
        </is>
      </c>
      <c r="C1005" s="25" t="inlineStr">
        <is>
          <t>PINNACLE WHIPPED CREAM FLAVORED VODKA</t>
        </is>
      </c>
      <c r="D1005" s="25" t="inlineStr">
        <is>
          <t>1.75L</t>
        </is>
      </c>
      <c r="E1005" s="27" t="n">
        <v>56</v>
      </c>
      <c r="F1005" s="27" t="n">
        <v>105</v>
      </c>
      <c r="G1005" s="27" t="n">
        <v>6</v>
      </c>
      <c r="H1005" s="28" t="n">
        <v>101.48</v>
      </c>
      <c r="I1005" s="28" t="n">
        <v>0</v>
      </c>
      <c r="J1005" s="94" t="inlineStr">
        <is>
          <t>False</t>
        </is>
      </c>
      <c r="K1005" s="28" t="n">
        <v>0</v>
      </c>
      <c r="L1005" s="25" t="inlineStr">
        <is>
          <t>VODKA</t>
        </is>
      </c>
      <c r="M1005" s="25" t="inlineStr">
        <is>
          <t>JIM BEAM BRANDS CO</t>
        </is>
      </c>
      <c r="N1005" s="25" t="inlineStr">
        <is>
          <t>040010-SOUTHERN GLAZERS WINE AND SPIRITS OF MISSISSIPPI LLC</t>
        </is>
      </c>
      <c r="O1005" s="25" t="n"/>
      <c r="P1005" s="25" t="inlineStr">
        <is>
          <t>10080686926570</t>
        </is>
      </c>
      <c r="Q1005" s="25" t="inlineStr">
        <is>
          <t>0080686926573</t>
        </is>
      </c>
      <c r="R1005" s="78" t="n">
        <v>42278</v>
      </c>
    </row>
    <row r="1006">
      <c r="A1006" t="inlineStr">
        <is>
          <t>or item code =</t>
        </is>
      </c>
      <c r="B1006" s="25" t="inlineStr">
        <is>
          <t>42396</t>
        </is>
      </c>
      <c r="C1006" s="25" t="inlineStr">
        <is>
          <t>PLANTATION 3 STAR JAMAICA/BARBADOS/TRNDD WHITE RUM</t>
        </is>
      </c>
      <c r="D1006" s="25" t="inlineStr">
        <is>
          <t>750ml</t>
        </is>
      </c>
      <c r="E1006" s="27" t="n">
        <v>58</v>
      </c>
      <c r="F1006" s="27" t="n">
        <v>24</v>
      </c>
      <c r="G1006" s="27" t="n">
        <v>6</v>
      </c>
      <c r="H1006" s="28" t="n">
        <v>110.95</v>
      </c>
      <c r="I1006" s="28" t="n">
        <v>0</v>
      </c>
      <c r="J1006" s="94" t="inlineStr">
        <is>
          <t>False</t>
        </is>
      </c>
      <c r="K1006" s="28" t="n">
        <v>0</v>
      </c>
      <c r="L1006" s="25" t="inlineStr">
        <is>
          <t>RUM</t>
        </is>
      </c>
      <c r="M1006" s="25" t="inlineStr">
        <is>
          <t>MADVINES &amp; SPIRITS A BEAUMAD &amp; MAGNOLIA BARREL HOUSE COMPANY</t>
        </is>
      </c>
      <c r="N1006" s="25" t="inlineStr">
        <is>
          <t>094032-MADVINES &amp; SPIRITS A BEAUMAD &amp; MAGNOLIA BARREL HOUSE COMPANY</t>
        </is>
      </c>
      <c r="O1006" s="25" t="n"/>
      <c r="P1006" s="25" t="inlineStr">
        <is>
          <t>00000000042396</t>
        </is>
      </c>
      <c r="Q1006" s="25" t="inlineStr">
        <is>
          <t>695521151661</t>
        </is>
      </c>
      <c r="R1006" s="78" t="n">
        <v>42279</v>
      </c>
    </row>
    <row r="1007">
      <c r="A1007" t="inlineStr">
        <is>
          <t>or item code =</t>
        </is>
      </c>
      <c r="B1007" s="25" t="inlineStr">
        <is>
          <t>43533</t>
        </is>
      </c>
      <c r="C1007" s="25" t="inlineStr">
        <is>
          <t>PLANTATION O.F.T.D OVERPROOF DARK RUM</t>
        </is>
      </c>
      <c r="D1007" s="25" t="inlineStr">
        <is>
          <t>1L</t>
        </is>
      </c>
      <c r="E1007" s="27" t="n">
        <v>22</v>
      </c>
      <c r="F1007" s="27" t="n">
        <v>5</v>
      </c>
      <c r="G1007" s="27" t="n">
        <v>6</v>
      </c>
      <c r="H1007" s="28" t="n">
        <v>171.86</v>
      </c>
      <c r="I1007" s="28" t="n">
        <v>0</v>
      </c>
      <c r="J1007" s="94" t="inlineStr">
        <is>
          <t>False</t>
        </is>
      </c>
      <c r="K1007" s="28" t="n">
        <v>0</v>
      </c>
      <c r="L1007" s="25" t="inlineStr">
        <is>
          <t>RUM</t>
        </is>
      </c>
      <c r="M1007" s="25" t="inlineStr">
        <is>
          <t>MADVINES &amp; SPIRITS A BEAUMAD &amp; MAGNOLIA BARREL HOUSE COMPANY</t>
        </is>
      </c>
      <c r="N1007" s="25" t="inlineStr">
        <is>
          <t>094032-MADVINES &amp; SPIRITS A BEAUMAD &amp; MAGNOLIA BARREL HOUSE COMPANY</t>
        </is>
      </c>
      <c r="O1007" s="25" t="n"/>
      <c r="P1007" s="25" t="inlineStr">
        <is>
          <t>10695521152184</t>
        </is>
      </c>
      <c r="Q1007" s="25" t="inlineStr">
        <is>
          <t>695521152187</t>
        </is>
      </c>
      <c r="R1007" s="78" t="n">
        <v>44044</v>
      </c>
    </row>
    <row r="1008">
      <c r="A1008" t="inlineStr">
        <is>
          <t>or item code =</t>
        </is>
      </c>
      <c r="B1008" s="25" t="inlineStr">
        <is>
          <t>42395</t>
        </is>
      </c>
      <c r="C1008" s="25" t="inlineStr">
        <is>
          <t>PLANTATION ORIGINAL DARK TRINIDAD&amp;TOBAGO</t>
        </is>
      </c>
      <c r="D1008" s="25" t="inlineStr">
        <is>
          <t>750ml</t>
        </is>
      </c>
      <c r="E1008" s="27" t="n">
        <v>78</v>
      </c>
      <c r="F1008" s="27" t="n">
        <v>38</v>
      </c>
      <c r="G1008" s="27" t="n">
        <v>6</v>
      </c>
      <c r="H1008" s="28" t="n">
        <v>110.95</v>
      </c>
      <c r="I1008" s="28" t="n">
        <v>0</v>
      </c>
      <c r="J1008" s="94" t="inlineStr">
        <is>
          <t>False</t>
        </is>
      </c>
      <c r="K1008" s="28" t="n">
        <v>0</v>
      </c>
      <c r="L1008" s="25" t="inlineStr">
        <is>
          <t>RUM</t>
        </is>
      </c>
      <c r="M1008" s="25" t="inlineStr">
        <is>
          <t>MADVINES &amp; SPIRITS A BEAUMAD &amp; MAGNOLIA BARREL HOUSE COMPANY</t>
        </is>
      </c>
      <c r="N1008" s="25" t="inlineStr">
        <is>
          <t>094032-MADVINES &amp; SPIRITS A BEAUMAD &amp; MAGNOLIA BARREL HOUSE COMPANY</t>
        </is>
      </c>
      <c r="O1008" s="25" t="n"/>
      <c r="P1008" s="25" t="inlineStr">
        <is>
          <t>10695521151453</t>
        </is>
      </c>
      <c r="Q1008" s="25" t="inlineStr">
        <is>
          <t>0695521151456</t>
        </is>
      </c>
      <c r="R1008" s="78" t="n">
        <v>42370</v>
      </c>
    </row>
    <row r="1009">
      <c r="A1009" t="inlineStr">
        <is>
          <t>or item code =</t>
        </is>
      </c>
      <c r="B1009" s="25" t="inlineStr">
        <is>
          <t>76892</t>
        </is>
      </c>
      <c r="C1009" s="25" t="inlineStr">
        <is>
          <t>PLANTATION PINEAPPPLE STIGGINS FANCY 1824</t>
        </is>
      </c>
      <c r="D1009" s="25" t="inlineStr">
        <is>
          <t>750ml</t>
        </is>
      </c>
      <c r="E1009" s="27" t="n">
        <v>67</v>
      </c>
      <c r="F1009" s="27" t="n">
        <v>23</v>
      </c>
      <c r="G1009" s="27" t="n">
        <v>6</v>
      </c>
      <c r="H1009" s="28" t="n">
        <v>143.97</v>
      </c>
      <c r="I1009" s="28" t="n">
        <v>0</v>
      </c>
      <c r="J1009" s="94" t="inlineStr">
        <is>
          <t>False</t>
        </is>
      </c>
      <c r="K1009" s="28" t="n">
        <v>0</v>
      </c>
      <c r="L1009" s="25" t="inlineStr">
        <is>
          <t>RUM</t>
        </is>
      </c>
      <c r="M1009" s="25" t="inlineStr">
        <is>
          <t>MADVINES &amp; SPIRITS A BEAUMAD &amp; MAGNOLIA BARREL HOUSE COMPANY</t>
        </is>
      </c>
      <c r="N1009" s="25" t="inlineStr">
        <is>
          <t>094032-MADVINES &amp; SPIRITS A BEAUMAD &amp; MAGNOLIA BARREL HOUSE COMPANY</t>
        </is>
      </c>
      <c r="O1009" s="25" t="n"/>
      <c r="P1009" s="25" t="inlineStr">
        <is>
          <t>10695521151859</t>
        </is>
      </c>
      <c r="Q1009" s="25" t="inlineStr">
        <is>
          <t>0695521151852</t>
        </is>
      </c>
      <c r="R1009" s="78" t="n">
        <v>42370</v>
      </c>
    </row>
    <row r="1010">
      <c r="A1010" t="inlineStr">
        <is>
          <t>or item code =</t>
        </is>
      </c>
      <c r="B1010" s="25" t="inlineStr">
        <is>
          <t>15830</t>
        </is>
      </c>
      <c r="C1010" s="25" t="inlineStr">
        <is>
          <t>PROPER NO. TWELVE IRISH WHISKEY</t>
        </is>
      </c>
      <c r="D1010" s="25" t="inlineStr">
        <is>
          <t>750ml</t>
        </is>
      </c>
      <c r="E1010" s="27" t="n">
        <v>75</v>
      </c>
      <c r="F1010" s="27" t="n">
        <v>47</v>
      </c>
      <c r="G1010" s="27" t="n">
        <v>12</v>
      </c>
      <c r="H1010" s="28" t="n">
        <v>261.59</v>
      </c>
      <c r="I1010" s="28" t="n">
        <v>0</v>
      </c>
      <c r="J1010" s="94" t="inlineStr">
        <is>
          <t>False</t>
        </is>
      </c>
      <c r="K1010" s="28" t="n">
        <v>0</v>
      </c>
      <c r="L1010" s="25" t="inlineStr">
        <is>
          <t>WHISKEY - IRISH</t>
        </is>
      </c>
      <c r="M1010" s="25" t="inlineStr">
        <is>
          <t>PROXIMO SPIRITS INC</t>
        </is>
      </c>
      <c r="N1010" s="25" t="inlineStr">
        <is>
          <t>040002-RNDC-MAGNOLIA</t>
        </is>
      </c>
      <c r="O1010" s="25" t="n"/>
      <c r="P1010" s="25" t="inlineStr">
        <is>
          <t>20811538019563</t>
        </is>
      </c>
      <c r="Q1010" s="25" t="inlineStr">
        <is>
          <t>811538019569</t>
        </is>
      </c>
      <c r="R1010" s="78" t="n">
        <v>42370</v>
      </c>
    </row>
    <row r="1011">
      <c r="A1011" t="inlineStr">
        <is>
          <t>or item code =</t>
        </is>
      </c>
      <c r="B1011" s="25" t="inlineStr">
        <is>
          <t>88356</t>
        </is>
      </c>
      <c r="C1011" s="25" t="inlineStr">
        <is>
          <t>PROSPERO BLANCO TEQUILA</t>
        </is>
      </c>
      <c r="D1011" s="25" t="inlineStr">
        <is>
          <t>750ml</t>
        </is>
      </c>
      <c r="E1011" s="27" t="n">
        <v>27</v>
      </c>
      <c r="F1011" s="27" t="n">
        <v>15</v>
      </c>
      <c r="G1011" s="27" t="n">
        <v>6</v>
      </c>
      <c r="H1011" s="28" t="n">
        <v>161.49</v>
      </c>
      <c r="I1011" s="28" t="n">
        <v>0</v>
      </c>
      <c r="J1011" s="94" t="inlineStr">
        <is>
          <t>False</t>
        </is>
      </c>
      <c r="K1011" s="28" t="n">
        <v>0</v>
      </c>
      <c r="L1011" s="25" t="inlineStr">
        <is>
          <t>TEQUILA</t>
        </is>
      </c>
      <c r="M1011" s="25" t="inlineStr">
        <is>
          <t>MHW LTD</t>
        </is>
      </c>
      <c r="N1011" s="25" t="inlineStr">
        <is>
          <t>040002-RNDC-MAGNOLIA</t>
        </is>
      </c>
      <c r="O1011" s="25" t="n"/>
      <c r="P1011" s="25" t="inlineStr">
        <is>
          <t>10736040544231</t>
        </is>
      </c>
      <c r="Q1011" s="25" t="inlineStr">
        <is>
          <t>736040544234</t>
        </is>
      </c>
      <c r="R1011" s="78" t="n">
        <v>44044</v>
      </c>
    </row>
    <row r="1012">
      <c r="A1012" t="inlineStr">
        <is>
          <t>or item code =</t>
        </is>
      </c>
      <c r="B1012" s="25" t="inlineStr">
        <is>
          <t>24173</t>
        </is>
      </c>
      <c r="C1012" s="25" t="inlineStr">
        <is>
          <t>QUALITY HOUSE BLENDED WHISKEY</t>
        </is>
      </c>
      <c r="D1012" s="25" t="inlineStr">
        <is>
          <t>200ml</t>
        </is>
      </c>
      <c r="E1012" s="27" t="n">
        <v>150</v>
      </c>
      <c r="F1012" s="27" t="n">
        <v>123</v>
      </c>
      <c r="G1012" s="27" t="n">
        <v>48</v>
      </c>
      <c r="H1012" s="28" t="n">
        <v>73.65000000000001</v>
      </c>
      <c r="I1012" s="28" t="n">
        <v>0</v>
      </c>
      <c r="J1012" s="94" t="inlineStr">
        <is>
          <t>False</t>
        </is>
      </c>
      <c r="K1012" s="28" t="n">
        <v>0</v>
      </c>
      <c r="L1012" s="25" t="inlineStr">
        <is>
          <t>WHISKEY - BLENDED</t>
        </is>
      </c>
      <c r="M1012" s="25" t="inlineStr">
        <is>
          <t>HEAVEN HILL BRANDS</t>
        </is>
      </c>
      <c r="N1012" s="25" t="inlineStr">
        <is>
          <t>040010-SOUTHERN GLAZERS WINE AND SPIRITS OF MISSISSIPPI LLC</t>
        </is>
      </c>
      <c r="O1012" s="25" t="n"/>
      <c r="P1012" s="25" t="inlineStr">
        <is>
          <t>10096749012500</t>
        </is>
      </c>
      <c r="Q1012" s="25" t="inlineStr">
        <is>
          <t>0096749012503</t>
        </is>
      </c>
      <c r="R1012" s="78" t="n">
        <v>42370</v>
      </c>
    </row>
    <row r="1013">
      <c r="A1013" t="inlineStr">
        <is>
          <t>or item code =</t>
        </is>
      </c>
      <c r="B1013" s="25" t="inlineStr">
        <is>
          <t>24178</t>
        </is>
      </c>
      <c r="C1013" s="25" t="inlineStr">
        <is>
          <t>QUALITY HOUSE BLENDED WHISKEY</t>
        </is>
      </c>
      <c r="D1013" s="25" t="inlineStr">
        <is>
          <t>1.75L</t>
        </is>
      </c>
      <c r="E1013" s="27" t="n">
        <v>634</v>
      </c>
      <c r="F1013" s="27" t="n">
        <v>309</v>
      </c>
      <c r="G1013" s="27" t="n">
        <v>6</v>
      </c>
      <c r="H1013" s="28" t="n">
        <v>69.19</v>
      </c>
      <c r="I1013" s="28" t="n">
        <v>0</v>
      </c>
      <c r="J1013" s="94" t="inlineStr">
        <is>
          <t>False</t>
        </is>
      </c>
      <c r="K1013" s="28" t="n">
        <v>0</v>
      </c>
      <c r="L1013" s="25" t="inlineStr">
        <is>
          <t>WHISKEY - BLENDED</t>
        </is>
      </c>
      <c r="M1013" s="25" t="inlineStr">
        <is>
          <t>HEAVEN HILL BRANDS</t>
        </is>
      </c>
      <c r="N1013" s="25" t="inlineStr">
        <is>
          <t>040010-SOUTHERN GLAZERS WINE AND SPIRITS OF MISSISSIPPI LLC</t>
        </is>
      </c>
      <c r="O1013" s="25" t="n"/>
      <c r="P1013" s="25" t="inlineStr">
        <is>
          <t>10096749012104</t>
        </is>
      </c>
      <c r="Q1013" s="25" t="inlineStr">
        <is>
          <t>096749012107</t>
        </is>
      </c>
      <c r="R1013" s="78" t="n">
        <v>42370</v>
      </c>
    </row>
    <row r="1014">
      <c r="A1014" t="inlineStr">
        <is>
          <t>or item code =</t>
        </is>
      </c>
      <c r="B1014" s="25" t="inlineStr">
        <is>
          <t>24174</t>
        </is>
      </c>
      <c r="C1014" s="25" t="inlineStr">
        <is>
          <t>QUALITY HOUSE BLENDED WHISKEY</t>
        </is>
      </c>
      <c r="D1014" s="25" t="inlineStr">
        <is>
          <t>375ml</t>
        </is>
      </c>
      <c r="E1014" s="27" t="n">
        <v>56</v>
      </c>
      <c r="F1014" s="27" t="n">
        <v>237</v>
      </c>
      <c r="G1014" s="27" t="n">
        <v>24</v>
      </c>
      <c r="H1014" s="28" t="n">
        <v>64.52</v>
      </c>
      <c r="I1014" s="28" t="n">
        <v>0</v>
      </c>
      <c r="J1014" s="94" t="inlineStr">
        <is>
          <t>False</t>
        </is>
      </c>
      <c r="K1014" s="28" t="n">
        <v>0</v>
      </c>
      <c r="L1014" s="25" t="inlineStr">
        <is>
          <t>WHISKEY - BLENDED</t>
        </is>
      </c>
      <c r="M1014" s="25" t="inlineStr">
        <is>
          <t>HEAVEN HILL BRANDS</t>
        </is>
      </c>
      <c r="N1014" s="25" t="inlineStr">
        <is>
          <t>040010-SOUTHERN GLAZERS WINE AND SPIRITS OF MISSISSIPPI LLC</t>
        </is>
      </c>
      <c r="O1014" s="25" t="n"/>
      <c r="P1014" s="25" t="inlineStr">
        <is>
          <t>10096749012609</t>
        </is>
      </c>
      <c r="Q1014" s="25" t="inlineStr">
        <is>
          <t>0096749012602</t>
        </is>
      </c>
      <c r="R1014" s="78" t="n">
        <v>42370</v>
      </c>
    </row>
    <row r="1015">
      <c r="A1015" t="inlineStr">
        <is>
          <t>or item code =</t>
        </is>
      </c>
      <c r="B1015" s="25" t="inlineStr">
        <is>
          <t>24177</t>
        </is>
      </c>
      <c r="C1015" s="25" t="inlineStr">
        <is>
          <t>QUALITY HOUSE BLENDED WHISKEY</t>
        </is>
      </c>
      <c r="D1015" s="25" t="inlineStr">
        <is>
          <t>1L</t>
        </is>
      </c>
      <c r="E1015" s="27" t="n">
        <v>112</v>
      </c>
      <c r="F1015" s="27" t="n">
        <v>72</v>
      </c>
      <c r="G1015" s="27" t="n">
        <v>12</v>
      </c>
      <c r="H1015" s="28" t="n">
        <v>83.02</v>
      </c>
      <c r="I1015" s="28" t="n">
        <v>0</v>
      </c>
      <c r="J1015" s="94" t="inlineStr">
        <is>
          <t>False</t>
        </is>
      </c>
      <c r="K1015" s="28" t="n">
        <v>0</v>
      </c>
      <c r="L1015" s="25" t="inlineStr">
        <is>
          <t>WHISKEY - BLENDED</t>
        </is>
      </c>
      <c r="M1015" s="25" t="inlineStr">
        <is>
          <t>HEAVEN HILL BRANDS</t>
        </is>
      </c>
      <c r="N1015" s="25" t="inlineStr">
        <is>
          <t>040010-SOUTHERN GLAZERS WINE AND SPIRITS OF MISSISSIPPI LLC</t>
        </is>
      </c>
      <c r="O1015" s="25" t="n"/>
      <c r="P1015" s="25" t="inlineStr">
        <is>
          <t>10096749012203</t>
        </is>
      </c>
      <c r="Q1015" s="25" t="inlineStr">
        <is>
          <t>0096749012206</t>
        </is>
      </c>
      <c r="R1015" s="78" t="n">
        <v>42370</v>
      </c>
    </row>
    <row r="1016">
      <c r="A1016" t="inlineStr">
        <is>
          <t>or item code =</t>
        </is>
      </c>
      <c r="B1016" s="25" t="inlineStr">
        <is>
          <t>24176</t>
        </is>
      </c>
      <c r="C1016" s="25" t="inlineStr">
        <is>
          <t>QUALITY HOUSE BLENDED WHISKEY</t>
        </is>
      </c>
      <c r="D1016" s="25" t="inlineStr">
        <is>
          <t>750ml</t>
        </is>
      </c>
      <c r="E1016" s="27" t="n">
        <v>111</v>
      </c>
      <c r="F1016" s="27" t="n">
        <v>168</v>
      </c>
      <c r="G1016" s="27" t="n">
        <v>12</v>
      </c>
      <c r="H1016" s="28" t="n">
        <v>69.18000000000001</v>
      </c>
      <c r="I1016" s="28" t="n">
        <v>0</v>
      </c>
      <c r="J1016" s="94" t="inlineStr">
        <is>
          <t>False</t>
        </is>
      </c>
      <c r="K1016" s="28" t="n">
        <v>0</v>
      </c>
      <c r="L1016" s="25" t="inlineStr">
        <is>
          <t>WHISKEY - BLENDED</t>
        </is>
      </c>
      <c r="M1016" s="25" t="inlineStr">
        <is>
          <t>HEAVEN HILL BRANDS</t>
        </is>
      </c>
      <c r="N1016" s="25" t="inlineStr">
        <is>
          <t>040010-SOUTHERN GLAZERS WINE AND SPIRITS OF MISSISSIPPI LLC</t>
        </is>
      </c>
      <c r="O1016" s="25" t="n"/>
      <c r="P1016" s="25" t="inlineStr">
        <is>
          <t>10096749012302</t>
        </is>
      </c>
      <c r="Q1016" s="25" t="inlineStr">
        <is>
          <t>096749012305</t>
        </is>
      </c>
      <c r="R1016" s="78" t="n">
        <v>42278</v>
      </c>
    </row>
    <row r="1017">
      <c r="A1017" t="inlineStr">
        <is>
          <t>or item code =</t>
        </is>
      </c>
      <c r="B1017" s="25" t="inlineStr">
        <is>
          <t>37588</t>
        </is>
      </c>
      <c r="C1017" s="25" t="inlineStr">
        <is>
          <t>RAIN VODKA</t>
        </is>
      </c>
      <c r="D1017" s="25" t="inlineStr">
        <is>
          <t>1.75L</t>
        </is>
      </c>
      <c r="E1017" s="27" t="n">
        <v>119</v>
      </c>
      <c r="F1017" s="27" t="n">
        <v>167</v>
      </c>
      <c r="G1017" s="27" t="n">
        <v>6</v>
      </c>
      <c r="H1017" s="28" t="n">
        <v>88.55</v>
      </c>
      <c r="I1017" s="28" t="n">
        <v>6</v>
      </c>
      <c r="J1017" s="94" t="inlineStr">
        <is>
          <t>False</t>
        </is>
      </c>
      <c r="K1017" s="28" t="n">
        <v>0</v>
      </c>
      <c r="L1017" s="25" t="inlineStr">
        <is>
          <t>VODKA</t>
        </is>
      </c>
      <c r="M1017" s="25" t="inlineStr">
        <is>
          <t>SAZERAC COMPANY</t>
        </is>
      </c>
      <c r="N1017" s="25" t="inlineStr">
        <is>
          <t>040002-RNDC-MAGNOLIA</t>
        </is>
      </c>
      <c r="O1017" s="25" t="n"/>
      <c r="P1017" s="25" t="inlineStr">
        <is>
          <t>10080244009974</t>
        </is>
      </c>
      <c r="Q1017" s="25" t="inlineStr">
        <is>
          <t>0080244008116</t>
        </is>
      </c>
      <c r="R1017" s="78" t="n">
        <v>43300</v>
      </c>
    </row>
    <row r="1018">
      <c r="A1018" t="inlineStr">
        <is>
          <t>or item code =</t>
        </is>
      </c>
      <c r="B1018" s="25" t="inlineStr">
        <is>
          <t>37586</t>
        </is>
      </c>
      <c r="C1018" s="25" t="inlineStr">
        <is>
          <t>RAIN VODKA</t>
        </is>
      </c>
      <c r="D1018" s="25" t="inlineStr">
        <is>
          <t>750ml</t>
        </is>
      </c>
      <c r="E1018" s="27" t="n">
        <v>36</v>
      </c>
      <c r="F1018" s="27" t="n">
        <v>55</v>
      </c>
      <c r="G1018" s="27" t="n">
        <v>12</v>
      </c>
      <c r="H1018" s="28" t="n">
        <v>119.91</v>
      </c>
      <c r="I1018" s="28" t="n">
        <v>0</v>
      </c>
      <c r="J1018" s="94" t="inlineStr">
        <is>
          <t>False</t>
        </is>
      </c>
      <c r="K1018" s="28" t="n">
        <v>0</v>
      </c>
      <c r="L1018" s="25" t="inlineStr">
        <is>
          <t>VODKA</t>
        </is>
      </c>
      <c r="M1018" s="25" t="inlineStr">
        <is>
          <t>SAZERAC COMPANY</t>
        </is>
      </c>
      <c r="N1018" s="25" t="inlineStr">
        <is>
          <t>040002-RNDC-MAGNOLIA</t>
        </is>
      </c>
      <c r="O1018" s="25" t="n"/>
      <c r="P1018" s="25" t="inlineStr">
        <is>
          <t>30080244008131</t>
        </is>
      </c>
      <c r="Q1018" s="25" t="inlineStr">
        <is>
          <t>080244008130</t>
        </is>
      </c>
      <c r="R1018" s="78" t="n">
        <v>42370</v>
      </c>
    </row>
    <row r="1019">
      <c r="A1019" t="inlineStr">
        <is>
          <t>or item code =</t>
        </is>
      </c>
      <c r="B1019" s="25" t="inlineStr">
        <is>
          <t>892843</t>
        </is>
      </c>
      <c r="C1019" s="25" t="inlineStr">
        <is>
          <t>RANCHO LA GLORIA BLUEBERRY MARGARITA</t>
        </is>
      </c>
      <c r="D1019" s="25" t="inlineStr">
        <is>
          <t>750ml</t>
        </is>
      </c>
      <c r="E1019" s="27" t="n">
        <v>106</v>
      </c>
      <c r="F1019" s="27" t="n">
        <v>70</v>
      </c>
      <c r="G1019" s="27" t="n">
        <v>12</v>
      </c>
      <c r="H1019" s="28" t="n">
        <v>98.25</v>
      </c>
      <c r="I1019" s="28" t="n">
        <v>0</v>
      </c>
      <c r="J1019" s="94" t="inlineStr">
        <is>
          <t>False</t>
        </is>
      </c>
      <c r="K1019" s="28" t="n">
        <v>0</v>
      </c>
      <c r="L1019" s="25" t="inlineStr">
        <is>
          <t>OTHER FLAVORED WINES</t>
        </is>
      </c>
      <c r="M1019" s="25" t="inlineStr">
        <is>
          <t>INTERNATIONAL WINES INC</t>
        </is>
      </c>
      <c r="N1019" s="25" t="inlineStr">
        <is>
          <t>040017-INTERNATIONAL WINES</t>
        </is>
      </c>
      <c r="O1019" s="25" t="n"/>
      <c r="P1019" s="25" t="inlineStr">
        <is>
          <t>85001257191900</t>
        </is>
      </c>
      <c r="Q1019" s="25" t="inlineStr">
        <is>
          <t>850012571919</t>
        </is>
      </c>
      <c r="R1019" s="78" t="n">
        <v>44774</v>
      </c>
    </row>
    <row r="1020">
      <c r="A1020" t="inlineStr">
        <is>
          <t>or item code =</t>
        </is>
      </c>
      <c r="B1020" s="25" t="inlineStr">
        <is>
          <t>892844</t>
        </is>
      </c>
      <c r="C1020" s="25" t="inlineStr">
        <is>
          <t>RANCHO LA GLORIA BLUEBERRY MARGARITA</t>
        </is>
      </c>
      <c r="D1020" s="25" t="inlineStr">
        <is>
          <t>1.5L</t>
        </is>
      </c>
      <c r="E1020" s="27" t="n">
        <v>30</v>
      </c>
      <c r="F1020" s="27" t="n">
        <v>18</v>
      </c>
      <c r="G1020" s="27" t="n">
        <v>6</v>
      </c>
      <c r="H1020" s="28" t="n">
        <v>113.99</v>
      </c>
      <c r="I1020" s="28" t="n">
        <v>0</v>
      </c>
      <c r="J1020" s="94" t="inlineStr">
        <is>
          <t>False</t>
        </is>
      </c>
      <c r="K1020" s="28" t="n">
        <v>0</v>
      </c>
      <c r="L1020" s="25" t="inlineStr">
        <is>
          <t>OTHER FLAVORED WINES</t>
        </is>
      </c>
      <c r="M1020" s="25" t="inlineStr">
        <is>
          <t>INTERNATIONAL WINES INC</t>
        </is>
      </c>
      <c r="N1020" s="25" t="inlineStr">
        <is>
          <t>040017-INTERNATIONAL WINES</t>
        </is>
      </c>
      <c r="O1020" s="25" t="n"/>
      <c r="P1020" s="25" t="inlineStr">
        <is>
          <t>85001257177300</t>
        </is>
      </c>
      <c r="Q1020" s="25" t="inlineStr">
        <is>
          <t>850012571773</t>
        </is>
      </c>
      <c r="R1020" s="78" t="n">
        <v>44774</v>
      </c>
    </row>
    <row r="1021">
      <c r="A1021" t="inlineStr">
        <is>
          <t>or item code =</t>
        </is>
      </c>
      <c r="B1021" s="25" t="inlineStr">
        <is>
          <t>892850</t>
        </is>
      </c>
      <c r="C1021" s="25" t="inlineStr">
        <is>
          <t>RANCHO LA GLORIA MARGARITA WINE COCKTAIL 12-750ML</t>
        </is>
      </c>
      <c r="D1021" s="25" t="inlineStr">
        <is>
          <t>750ml</t>
        </is>
      </c>
      <c r="E1021" s="27" t="n">
        <v>77</v>
      </c>
      <c r="F1021" s="27" t="n">
        <v>33</v>
      </c>
      <c r="G1021" s="27" t="n">
        <v>12</v>
      </c>
      <c r="H1021" s="28" t="n">
        <v>98.25</v>
      </c>
      <c r="I1021" s="28" t="n">
        <v>0</v>
      </c>
      <c r="J1021" s="94" t="inlineStr">
        <is>
          <t>False</t>
        </is>
      </c>
      <c r="K1021" s="28" t="n">
        <v>0</v>
      </c>
      <c r="L1021" s="25" t="inlineStr">
        <is>
          <t>COCKTAILS</t>
        </is>
      </c>
      <c r="M1021" s="25" t="inlineStr">
        <is>
          <t>INTERNATIONAL WINES INC</t>
        </is>
      </c>
      <c r="N1021" s="25" t="inlineStr">
        <is>
          <t>040017-INTERNATIONAL WINES</t>
        </is>
      </c>
      <c r="O1021" s="25" t="n"/>
      <c r="P1021" s="25" t="n"/>
      <c r="Q1021" s="25" t="inlineStr">
        <is>
          <t>0861518002609</t>
        </is>
      </c>
      <c r="R1021" s="78" t="n">
        <v>44287</v>
      </c>
    </row>
    <row r="1022">
      <c r="A1022" t="inlineStr">
        <is>
          <t>or item code =</t>
        </is>
      </c>
      <c r="B1022" s="25" t="inlineStr">
        <is>
          <t>892854</t>
        </is>
      </c>
      <c r="C1022" s="25" t="inlineStr">
        <is>
          <t>RANCHO LA GLORIA PEACH MARGARITA WINE COCKTAIL</t>
        </is>
      </c>
      <c r="D1022" s="25" t="inlineStr">
        <is>
          <t>750ml</t>
        </is>
      </c>
      <c r="E1022" s="27" t="n">
        <v>77</v>
      </c>
      <c r="F1022" s="27" t="n">
        <v>61</v>
      </c>
      <c r="G1022" s="27" t="n">
        <v>12</v>
      </c>
      <c r="H1022" s="28" t="n">
        <v>98.25</v>
      </c>
      <c r="I1022" s="28" t="n">
        <v>0</v>
      </c>
      <c r="J1022" s="94" t="inlineStr">
        <is>
          <t>False</t>
        </is>
      </c>
      <c r="K1022" s="28" t="n">
        <v>0</v>
      </c>
      <c r="L1022" s="25" t="inlineStr">
        <is>
          <t>OTHER FRUIT WINES</t>
        </is>
      </c>
      <c r="M1022" s="25" t="inlineStr">
        <is>
          <t>INTERNATIONAL WINES INC</t>
        </is>
      </c>
      <c r="N1022" s="25" t="inlineStr">
        <is>
          <t>040017-INTERNATIONAL WINES</t>
        </is>
      </c>
      <c r="O1022" s="25" t="n"/>
      <c r="P1022" s="25" t="inlineStr">
        <is>
          <t>00860000183147</t>
        </is>
      </c>
      <c r="Q1022" s="25" t="inlineStr">
        <is>
          <t>860000183147</t>
        </is>
      </c>
      <c r="R1022" s="78" t="n">
        <v>44593</v>
      </c>
    </row>
    <row r="1023">
      <c r="A1023" t="inlineStr">
        <is>
          <t>or item code =</t>
        </is>
      </c>
      <c r="B1023" s="25" t="inlineStr">
        <is>
          <t>892847</t>
        </is>
      </c>
      <c r="C1023" s="25" t="inlineStr">
        <is>
          <t>RANCHO LA GLORIA PINK LEMONADE MARGARITA</t>
        </is>
      </c>
      <c r="D1023" s="25" t="inlineStr">
        <is>
          <t>750ml</t>
        </is>
      </c>
      <c r="E1023" s="27" t="n">
        <v>44</v>
      </c>
      <c r="F1023" s="27" t="n">
        <v>36</v>
      </c>
      <c r="G1023" s="27" t="n">
        <v>12</v>
      </c>
      <c r="H1023" s="28" t="n">
        <v>98.25</v>
      </c>
      <c r="I1023" s="28" t="n">
        <v>0</v>
      </c>
      <c r="J1023" s="94" t="inlineStr">
        <is>
          <t>False</t>
        </is>
      </c>
      <c r="K1023" s="28" t="n">
        <v>0</v>
      </c>
      <c r="L1023" s="25" t="inlineStr">
        <is>
          <t>OTHER FLAVORED WINES</t>
        </is>
      </c>
      <c r="M1023" s="25" t="inlineStr">
        <is>
          <t>INTERNATIONAL WINES INC</t>
        </is>
      </c>
      <c r="N1023" s="25" t="inlineStr">
        <is>
          <t>040017-INTERNATIONAL WINES</t>
        </is>
      </c>
      <c r="O1023" s="25" t="n"/>
      <c r="P1023" s="25" t="inlineStr">
        <is>
          <t>85002832414100</t>
        </is>
      </c>
      <c r="Q1023" s="25" t="inlineStr">
        <is>
          <t>850028324141</t>
        </is>
      </c>
      <c r="R1023" s="78" t="n">
        <v>44774</v>
      </c>
    </row>
    <row r="1024">
      <c r="A1024" t="inlineStr">
        <is>
          <t>or item code =</t>
        </is>
      </c>
      <c r="B1024" s="25" t="inlineStr">
        <is>
          <t>892852</t>
        </is>
      </c>
      <c r="C1024" s="25" t="inlineStr">
        <is>
          <t>RANCHO LA GLORIA STRAWBERRY MARG</t>
        </is>
      </c>
      <c r="D1024" s="25" t="inlineStr">
        <is>
          <t>750ml</t>
        </is>
      </c>
      <c r="E1024" s="27" t="n">
        <v>7</v>
      </c>
      <c r="F1024" s="27" t="n">
        <v>71</v>
      </c>
      <c r="G1024" s="27" t="n">
        <v>12</v>
      </c>
      <c r="H1024" s="28" t="n">
        <v>98.25</v>
      </c>
      <c r="I1024" s="28" t="n">
        <v>0</v>
      </c>
      <c r="J1024" s="94" t="inlineStr">
        <is>
          <t>False</t>
        </is>
      </c>
      <c r="K1024" s="28" t="n">
        <v>0</v>
      </c>
      <c r="L1024" s="25" t="inlineStr">
        <is>
          <t>COCKTAILS</t>
        </is>
      </c>
      <c r="M1024" s="25" t="inlineStr">
        <is>
          <t>INTERNATIONAL WINES INC</t>
        </is>
      </c>
      <c r="N1024" s="25" t="inlineStr">
        <is>
          <t>040017-INTERNATIONAL WINES</t>
        </is>
      </c>
      <c r="O1024" s="25" t="n"/>
      <c r="P1024" s="25" t="inlineStr">
        <is>
          <t>00083103973013</t>
        </is>
      </c>
      <c r="Q1024" s="25" t="inlineStr">
        <is>
          <t>861518002630</t>
        </is>
      </c>
      <c r="R1024" s="78" t="n">
        <v>43922</v>
      </c>
    </row>
    <row r="1025">
      <c r="A1025" t="inlineStr">
        <is>
          <t>or item code =</t>
        </is>
      </c>
      <c r="B1025" s="25" t="inlineStr">
        <is>
          <t>892856</t>
        </is>
      </c>
      <c r="C1025" s="25" t="inlineStr">
        <is>
          <t>RANCHO LA GLORIA WATERMELON MARG WINE COCKTAIL</t>
        </is>
      </c>
      <c r="D1025" s="25" t="inlineStr">
        <is>
          <t>750ml</t>
        </is>
      </c>
      <c r="E1025" s="27" t="n">
        <v>130</v>
      </c>
      <c r="F1025" s="27" t="n">
        <v>41</v>
      </c>
      <c r="G1025" s="27" t="n">
        <v>12</v>
      </c>
      <c r="H1025" s="28" t="n">
        <v>98.25</v>
      </c>
      <c r="I1025" s="28" t="n">
        <v>0</v>
      </c>
      <c r="J1025" s="94" t="inlineStr">
        <is>
          <t>False</t>
        </is>
      </c>
      <c r="K1025" s="28" t="n">
        <v>0</v>
      </c>
      <c r="L1025" s="25" t="inlineStr">
        <is>
          <t>OTHER FRUIT WINES</t>
        </is>
      </c>
      <c r="M1025" s="25" t="inlineStr">
        <is>
          <t>INTERNATIONAL WINES INC</t>
        </is>
      </c>
      <c r="N1025" s="25" t="inlineStr">
        <is>
          <t>040017-INTERNATIONAL WINES</t>
        </is>
      </c>
      <c r="O1025" s="25" t="n"/>
      <c r="P1025" s="25" t="inlineStr">
        <is>
          <t>00860001438420</t>
        </is>
      </c>
      <c r="Q1025" s="25" t="inlineStr">
        <is>
          <t>860001438420</t>
        </is>
      </c>
      <c r="R1025" s="78" t="n">
        <v>44593</v>
      </c>
    </row>
    <row r="1026">
      <c r="A1026" t="inlineStr">
        <is>
          <t>or item code =</t>
        </is>
      </c>
      <c r="B1026" s="25" t="inlineStr">
        <is>
          <t>22199</t>
        </is>
      </c>
      <c r="C1026" s="25" t="inlineStr">
        <is>
          <t>RARE BREED BARREL PROOF</t>
        </is>
      </c>
      <c r="D1026" s="25" t="inlineStr">
        <is>
          <t>750ml</t>
        </is>
      </c>
      <c r="E1026" s="27" t="n">
        <v>0</v>
      </c>
      <c r="F1026" s="27" t="n">
        <v>7</v>
      </c>
      <c r="G1026" s="27" t="n">
        <v>6</v>
      </c>
      <c r="H1026" s="28" t="n">
        <v>222.64</v>
      </c>
      <c r="I1026" s="28" t="n">
        <v>0</v>
      </c>
      <c r="J1026" s="94" t="inlineStr">
        <is>
          <t>False</t>
        </is>
      </c>
      <c r="K1026" s="28" t="n">
        <v>0</v>
      </c>
      <c r="L1026" s="25" t="inlineStr">
        <is>
          <t>WHISKEY - STR BOURBON</t>
        </is>
      </c>
      <c r="M1026" s="25" t="inlineStr">
        <is>
          <t>CAMPARI ENTERPRISES, INC.</t>
        </is>
      </c>
      <c r="N1026" s="25" t="inlineStr">
        <is>
          <t>040010-SOUTHERN GLAZERS WINE AND SPIRITS OF MISSISSIPPI LLC</t>
        </is>
      </c>
      <c r="O1026" s="25" t="n"/>
      <c r="P1026" s="25" t="inlineStr">
        <is>
          <t>10721059000229</t>
        </is>
      </c>
      <c r="Q1026" s="25" t="inlineStr">
        <is>
          <t>0721059000222</t>
        </is>
      </c>
      <c r="R1026" s="78" t="n">
        <v>42370</v>
      </c>
    </row>
    <row r="1027">
      <c r="A1027" t="inlineStr">
        <is>
          <t>or item code =</t>
        </is>
      </c>
      <c r="B1027" s="25" t="inlineStr">
        <is>
          <t>21215</t>
        </is>
      </c>
      <c r="C1027" s="25" t="inlineStr">
        <is>
          <t>REBEL 100</t>
        </is>
      </c>
      <c r="D1027" s="25" t="inlineStr">
        <is>
          <t>750ml</t>
        </is>
      </c>
      <c r="E1027" s="27" t="n">
        <v>12</v>
      </c>
      <c r="F1027" s="27" t="n">
        <v>22</v>
      </c>
      <c r="G1027" s="27" t="n">
        <v>6</v>
      </c>
      <c r="H1027" s="28" t="n">
        <v>101.51</v>
      </c>
      <c r="I1027" s="28" t="n">
        <v>0</v>
      </c>
      <c r="J1027" s="94" t="inlineStr">
        <is>
          <t>False</t>
        </is>
      </c>
      <c r="K1027" s="28" t="n">
        <v>0</v>
      </c>
      <c r="L1027" s="25" t="inlineStr">
        <is>
          <t>WHISKEY - STR BOURBON</t>
        </is>
      </c>
      <c r="M1027" s="25" t="inlineStr">
        <is>
          <t>LUXCO, INC</t>
        </is>
      </c>
      <c r="N1027" s="25" t="inlineStr">
        <is>
          <t>040010-SOUTHERN GLAZERS WINE AND SPIRITS OF MISSISSIPPI LLC</t>
        </is>
      </c>
      <c r="O1027" s="25" t="n"/>
      <c r="P1027" s="25" t="inlineStr">
        <is>
          <t>10088352133949</t>
        </is>
      </c>
      <c r="Q1027" s="25" t="inlineStr">
        <is>
          <t>088352133942</t>
        </is>
      </c>
      <c r="R1027" s="78" t="n">
        <v>43952</v>
      </c>
    </row>
    <row r="1028">
      <c r="A1028" t="inlineStr">
        <is>
          <t>or item code =</t>
        </is>
      </c>
      <c r="B1028" s="25" t="inlineStr">
        <is>
          <t>77599</t>
        </is>
      </c>
      <c r="C1028" s="25" t="inlineStr">
        <is>
          <t>RED EYE LOUIES VODQUILA</t>
        </is>
      </c>
      <c r="D1028" s="25" t="inlineStr">
        <is>
          <t>750ml</t>
        </is>
      </c>
      <c r="E1028" s="27" t="n">
        <v>139</v>
      </c>
      <c r="F1028" s="27" t="n">
        <v>29</v>
      </c>
      <c r="G1028" s="27" t="n">
        <v>6</v>
      </c>
      <c r="H1028" s="28" t="n">
        <v>105.85</v>
      </c>
      <c r="I1028" s="28" t="n">
        <v>0</v>
      </c>
      <c r="J1028" s="94" t="inlineStr">
        <is>
          <t>False</t>
        </is>
      </c>
      <c r="K1028" s="28" t="n">
        <v>0</v>
      </c>
      <c r="L1028" s="25" t="inlineStr">
        <is>
          <t>VODKA</t>
        </is>
      </c>
      <c r="M1028" s="25" t="inlineStr">
        <is>
          <t>PARK STREET IMPORTS</t>
        </is>
      </c>
      <c r="N1028" s="25" t="inlineStr">
        <is>
          <t>040000-PAUL LAVENDER BROKERAGE</t>
        </is>
      </c>
      <c r="O1028" s="25" t="n"/>
      <c r="P1028" s="25" t="inlineStr">
        <is>
          <t>0823586000017</t>
        </is>
      </c>
      <c r="Q1028" s="25" t="inlineStr">
        <is>
          <t>823586000017</t>
        </is>
      </c>
      <c r="R1028" s="78" t="n">
        <v>42279</v>
      </c>
    </row>
    <row r="1029">
      <c r="A1029" t="inlineStr">
        <is>
          <t>or item code =</t>
        </is>
      </c>
      <c r="B1029" s="25" t="inlineStr">
        <is>
          <t>66293</t>
        </is>
      </c>
      <c r="C1029" s="25" t="inlineStr">
        <is>
          <t>REMY MARTIN "V" GRAPE BRANDY</t>
        </is>
      </c>
      <c r="D1029" s="25" t="inlineStr">
        <is>
          <t>375ml</t>
        </is>
      </c>
      <c r="E1029" s="27" t="n">
        <v>0</v>
      </c>
      <c r="F1029" s="27" t="n">
        <v>84</v>
      </c>
      <c r="G1029" s="27" t="n">
        <v>12</v>
      </c>
      <c r="H1029" s="28" t="n">
        <v>229.41</v>
      </c>
      <c r="I1029" s="28" t="n">
        <v>0</v>
      </c>
      <c r="J1029" s="94" t="inlineStr">
        <is>
          <t>False</t>
        </is>
      </c>
      <c r="K1029" s="28" t="n">
        <v>0</v>
      </c>
      <c r="L1029" s="25" t="inlineStr">
        <is>
          <t>BRANDY</t>
        </is>
      </c>
      <c r="M1029" s="25" t="inlineStr">
        <is>
          <t>REMY COINTREAU USA INC</t>
        </is>
      </c>
      <c r="N1029" s="25" t="inlineStr">
        <is>
          <t>040002-RNDC-MAGNOLIA</t>
        </is>
      </c>
      <c r="O1029" s="25" t="n"/>
      <c r="P1029" s="25" t="inlineStr">
        <is>
          <t>10087236109049</t>
        </is>
      </c>
      <c r="Q1029" s="25" t="inlineStr">
        <is>
          <t>0087236109042</t>
        </is>
      </c>
      <c r="R1029" s="78" t="n">
        <v>42370</v>
      </c>
    </row>
    <row r="1030">
      <c r="A1030" t="inlineStr">
        <is>
          <t>or item code =</t>
        </is>
      </c>
      <c r="B1030" s="25" t="inlineStr">
        <is>
          <t>66296</t>
        </is>
      </c>
      <c r="C1030" s="25" t="inlineStr">
        <is>
          <t>REMY MARTIN "V" GRAPE BRANDY</t>
        </is>
      </c>
      <c r="D1030" s="25" t="inlineStr">
        <is>
          <t>750ml</t>
        </is>
      </c>
      <c r="E1030" s="27" t="n">
        <v>0</v>
      </c>
      <c r="F1030" s="27" t="n">
        <v>100</v>
      </c>
      <c r="G1030" s="27" t="n">
        <v>6</v>
      </c>
      <c r="H1030" s="28" t="n">
        <v>221.49</v>
      </c>
      <c r="I1030" s="28" t="n">
        <v>0</v>
      </c>
      <c r="J1030" s="94" t="inlineStr">
        <is>
          <t>False</t>
        </is>
      </c>
      <c r="K1030" s="28" t="n">
        <v>0</v>
      </c>
      <c r="L1030" s="25" t="inlineStr">
        <is>
          <t>BRANDY</t>
        </is>
      </c>
      <c r="M1030" s="25" t="inlineStr">
        <is>
          <t>REMY COINTREAU USA INC</t>
        </is>
      </c>
      <c r="N1030" s="25" t="inlineStr">
        <is>
          <t>040002-RNDC-MAGNOLIA</t>
        </is>
      </c>
      <c r="O1030" s="25" t="n"/>
      <c r="P1030" s="25" t="inlineStr">
        <is>
          <t>10087236108066</t>
        </is>
      </c>
      <c r="Q1030" s="25" t="inlineStr">
        <is>
          <t>0087236108014</t>
        </is>
      </c>
      <c r="R1030" s="78" t="n">
        <v>42370</v>
      </c>
    </row>
    <row r="1031">
      <c r="A1031" t="inlineStr">
        <is>
          <t>or item code =</t>
        </is>
      </c>
      <c r="B1031" s="25" t="inlineStr">
        <is>
          <t>49087</t>
        </is>
      </c>
      <c r="C1031" s="25" t="inlineStr">
        <is>
          <t>REMY MARTIN 1738 ACCORD ROYAL</t>
        </is>
      </c>
      <c r="D1031" s="25" t="inlineStr">
        <is>
          <t>1L</t>
        </is>
      </c>
      <c r="E1031" s="27" t="n">
        <v>172</v>
      </c>
      <c r="F1031" s="27" t="n">
        <v>76</v>
      </c>
      <c r="G1031" s="27" t="n">
        <v>6</v>
      </c>
      <c r="H1031" s="28" t="n">
        <v>369.18</v>
      </c>
      <c r="I1031" s="28" t="n">
        <v>0</v>
      </c>
      <c r="J1031" s="94" t="inlineStr">
        <is>
          <t>False</t>
        </is>
      </c>
      <c r="K1031" s="28" t="n">
        <v>0</v>
      </c>
      <c r="L1031" s="25" t="inlineStr">
        <is>
          <t>COGNAC, ARMAGNAC</t>
        </is>
      </c>
      <c r="M1031" s="25" t="inlineStr">
        <is>
          <t>REMY COINTREAU USA INC</t>
        </is>
      </c>
      <c r="N1031" s="25" t="inlineStr">
        <is>
          <t>040002-RNDC-MAGNOLIA</t>
        </is>
      </c>
      <c r="O1031" s="25" t="n"/>
      <c r="P1031" s="25" t="inlineStr">
        <is>
          <t>10087236002920</t>
        </is>
      </c>
      <c r="Q1031" s="25" t="inlineStr">
        <is>
          <t>087236002923</t>
        </is>
      </c>
      <c r="R1031" s="78" t="n">
        <v>43983</v>
      </c>
    </row>
    <row r="1032">
      <c r="A1032" t="inlineStr">
        <is>
          <t>or item code =</t>
        </is>
      </c>
      <c r="B1032" s="25" t="inlineStr">
        <is>
          <t>49086</t>
        </is>
      </c>
      <c r="C1032" s="25" t="inlineStr">
        <is>
          <t>REMY MARTIN 1738 ACCORD ROYAL COGNAC</t>
        </is>
      </c>
      <c r="D1032" s="25" t="inlineStr">
        <is>
          <t>750ml</t>
        </is>
      </c>
      <c r="E1032" s="27" t="n">
        <v>961</v>
      </c>
      <c r="F1032" s="27" t="n">
        <v>344</v>
      </c>
      <c r="G1032" s="27" t="n">
        <v>6</v>
      </c>
      <c r="H1032" s="28" t="n">
        <v>262.11</v>
      </c>
      <c r="I1032" s="28" t="n">
        <v>23.99</v>
      </c>
      <c r="J1032" s="94" t="inlineStr">
        <is>
          <t>False</t>
        </is>
      </c>
      <c r="K1032" s="28" t="n">
        <v>0</v>
      </c>
      <c r="L1032" s="25" t="inlineStr">
        <is>
          <t>COGNAC, ARMAGNAC</t>
        </is>
      </c>
      <c r="M1032" s="25" t="inlineStr">
        <is>
          <t>REMY COINTREAU USA INC</t>
        </is>
      </c>
      <c r="N1032" s="25" t="inlineStr">
        <is>
          <t>040002-RNDC-MAGNOLIA</t>
        </is>
      </c>
      <c r="O1032" s="25" t="n"/>
      <c r="P1032" s="25" t="inlineStr">
        <is>
          <t>10087236002111</t>
        </is>
      </c>
      <c r="Q1032" s="25" t="inlineStr">
        <is>
          <t>0087236002114</t>
        </is>
      </c>
      <c r="R1032" s="78" t="n">
        <v>42279</v>
      </c>
    </row>
    <row r="1033">
      <c r="A1033" t="inlineStr">
        <is>
          <t>or item code =</t>
        </is>
      </c>
      <c r="B1033" s="25" t="inlineStr">
        <is>
          <t>49084</t>
        </is>
      </c>
      <c r="C1033" s="25" t="inlineStr">
        <is>
          <t>REMY MARTIN 1738 ACCORD ROYAL COGNAC</t>
        </is>
      </c>
      <c r="D1033" s="25" t="inlineStr">
        <is>
          <t>375ml</t>
        </is>
      </c>
      <c r="E1033" s="27" t="n">
        <v>1798</v>
      </c>
      <c r="F1033" s="27" t="n">
        <v>90</v>
      </c>
      <c r="G1033" s="27" t="n">
        <v>12</v>
      </c>
      <c r="H1033" s="28" t="n">
        <v>322.99</v>
      </c>
      <c r="I1033" s="28" t="n">
        <v>0</v>
      </c>
      <c r="J1033" s="94" t="inlineStr">
        <is>
          <t>False</t>
        </is>
      </c>
      <c r="K1033" s="28" t="n">
        <v>0</v>
      </c>
      <c r="L1033" s="25" t="inlineStr">
        <is>
          <t>COGNAC, ARMAGNAC</t>
        </is>
      </c>
      <c r="M1033" s="25" t="inlineStr">
        <is>
          <t>REMY COINTREAU USA INC</t>
        </is>
      </c>
      <c r="N1033" s="25" t="inlineStr">
        <is>
          <t>040002-RNDC-MAGNOLIA</t>
        </is>
      </c>
      <c r="O1033" s="25" t="n"/>
      <c r="P1033" s="25" t="inlineStr">
        <is>
          <t>10087236002838</t>
        </is>
      </c>
      <c r="Q1033" s="25" t="inlineStr">
        <is>
          <t>0087236002831</t>
        </is>
      </c>
      <c r="R1033" s="78" t="n">
        <v>42278</v>
      </c>
    </row>
    <row r="1034">
      <c r="A1034" t="inlineStr">
        <is>
          <t>or item code =</t>
        </is>
      </c>
      <c r="B1034" s="25" t="inlineStr">
        <is>
          <t>49083</t>
        </is>
      </c>
      <c r="C1034" s="25" t="inlineStr">
        <is>
          <t>REMY MARTIN 1738 ACCORD ROYAL COGNAC</t>
        </is>
      </c>
      <c r="D1034" s="25" t="inlineStr">
        <is>
          <t>200ml</t>
        </is>
      </c>
      <c r="E1034" s="27" t="n">
        <v>0</v>
      </c>
      <c r="F1034" s="27" t="n">
        <v>4</v>
      </c>
      <c r="G1034" s="27" t="n">
        <v>24</v>
      </c>
      <c r="H1034" s="28" t="n">
        <v>365.87</v>
      </c>
      <c r="I1034" s="28" t="n">
        <v>0</v>
      </c>
      <c r="J1034" s="94" t="inlineStr">
        <is>
          <t>False</t>
        </is>
      </c>
      <c r="K1034" s="28" t="n">
        <v>0</v>
      </c>
      <c r="L1034" s="25" t="inlineStr">
        <is>
          <t>COGNAC, ARMAGNAC</t>
        </is>
      </c>
      <c r="M1034" s="25" t="inlineStr">
        <is>
          <t>REMY COINTREAU USA INC</t>
        </is>
      </c>
      <c r="N1034" s="25" t="inlineStr">
        <is>
          <t>040002-RNDC-MAGNOLIA</t>
        </is>
      </c>
      <c r="O1034" s="25" t="n"/>
      <c r="P1034" s="25" t="inlineStr">
        <is>
          <t>10087236002418</t>
        </is>
      </c>
      <c r="Q1034" s="25" t="inlineStr">
        <is>
          <t>0087236002411</t>
        </is>
      </c>
      <c r="R1034" s="78" t="n">
        <v>42279</v>
      </c>
    </row>
    <row r="1035">
      <c r="A1035" t="inlineStr">
        <is>
          <t>or item code =</t>
        </is>
      </c>
      <c r="B1035" s="25" t="inlineStr">
        <is>
          <t>48725</t>
        </is>
      </c>
      <c r="C1035" s="25" t="inlineStr">
        <is>
          <t>REMY MARTIN LOUIS XIII COGNAC</t>
        </is>
      </c>
      <c r="D1035" s="25" t="inlineStr">
        <is>
          <t>750ml</t>
        </is>
      </c>
      <c r="E1035" s="27" t="n">
        <v>0</v>
      </c>
      <c r="F1035" s="27" t="n">
        <v>2</v>
      </c>
      <c r="G1035" s="27" t="n">
        <v>1</v>
      </c>
      <c r="H1035" s="28" t="n">
        <v>3537.47</v>
      </c>
      <c r="I1035" s="28" t="n">
        <v>0</v>
      </c>
      <c r="J1035" s="94" t="inlineStr">
        <is>
          <t>False</t>
        </is>
      </c>
      <c r="K1035" s="28" t="n">
        <v>0</v>
      </c>
      <c r="L1035" s="25" t="inlineStr">
        <is>
          <t>COGNAC, ARMAGNAC</t>
        </is>
      </c>
      <c r="M1035" s="25" t="inlineStr">
        <is>
          <t>REMY COINTREAU USA INC</t>
        </is>
      </c>
      <c r="N1035" s="25" t="inlineStr">
        <is>
          <t>040002-RNDC-MAGNOLIA</t>
        </is>
      </c>
      <c r="O1035" s="25" t="n"/>
      <c r="P1035" s="25" t="inlineStr">
        <is>
          <t>10087236001640</t>
        </is>
      </c>
      <c r="Q1035" s="25" t="inlineStr">
        <is>
          <t>087236001605</t>
        </is>
      </c>
      <c r="R1035" s="78" t="n">
        <v>42279</v>
      </c>
    </row>
    <row r="1036">
      <c r="A1036" t="inlineStr">
        <is>
          <t>or item code =</t>
        </is>
      </c>
      <c r="B1036" s="25" t="inlineStr">
        <is>
          <t>49189</t>
        </is>
      </c>
      <c r="C1036" s="25" t="inlineStr">
        <is>
          <t>REMY MARTIN VSOP COGNAC</t>
        </is>
      </c>
      <c r="D1036" s="25" t="inlineStr">
        <is>
          <t>200ml</t>
        </is>
      </c>
      <c r="E1036" s="27" t="n">
        <v>594</v>
      </c>
      <c r="F1036" s="27" t="n">
        <v>210</v>
      </c>
      <c r="G1036" s="27" t="n">
        <v>24</v>
      </c>
      <c r="H1036" s="28" t="n">
        <v>273.57</v>
      </c>
      <c r="I1036" s="28" t="n">
        <v>0</v>
      </c>
      <c r="J1036" s="94" t="inlineStr">
        <is>
          <t>False</t>
        </is>
      </c>
      <c r="K1036" s="28" t="n">
        <v>0</v>
      </c>
      <c r="L1036" s="25" t="inlineStr">
        <is>
          <t>COGNAC, ARMAGNAC</t>
        </is>
      </c>
      <c r="M1036" s="25" t="inlineStr">
        <is>
          <t>REMY COINTREAU USA INC</t>
        </is>
      </c>
      <c r="N1036" s="25" t="inlineStr">
        <is>
          <t>040002-RNDC-MAGNOLIA</t>
        </is>
      </c>
      <c r="O1036" s="25" t="n"/>
      <c r="P1036" s="25" t="inlineStr">
        <is>
          <t>10087236001145</t>
        </is>
      </c>
      <c r="Q1036" s="25" t="inlineStr">
        <is>
          <t>0087236001131</t>
        </is>
      </c>
      <c r="R1036" s="78" t="n">
        <v>42370</v>
      </c>
    </row>
    <row r="1037">
      <c r="A1037" t="inlineStr">
        <is>
          <t>or item code =</t>
        </is>
      </c>
      <c r="B1037" s="25" t="inlineStr">
        <is>
          <t>49188</t>
        </is>
      </c>
      <c r="C1037" s="25" t="inlineStr">
        <is>
          <t>REMY MARTIN VSOP COGNAC</t>
        </is>
      </c>
      <c r="D1037" s="25" t="inlineStr">
        <is>
          <t>1.75L</t>
        </is>
      </c>
      <c r="E1037" s="27" t="n">
        <v>0</v>
      </c>
      <c r="F1037" s="27" t="n">
        <v>78</v>
      </c>
      <c r="G1037" s="27" t="n">
        <v>6</v>
      </c>
      <c r="H1037" s="28" t="n">
        <v>416.08</v>
      </c>
      <c r="I1037" s="28" t="n">
        <v>139.96</v>
      </c>
      <c r="J1037" s="94" t="inlineStr">
        <is>
          <t>False</t>
        </is>
      </c>
      <c r="K1037" s="28" t="n">
        <v>0</v>
      </c>
      <c r="L1037" s="25" t="inlineStr">
        <is>
          <t>COGNAC, ARMAGNAC</t>
        </is>
      </c>
      <c r="M1037" s="25" t="inlineStr">
        <is>
          <t>REMY COINTREAU USA INC</t>
        </is>
      </c>
      <c r="N1037" s="25" t="inlineStr">
        <is>
          <t>040002-RNDC-MAGNOLIA</t>
        </is>
      </c>
      <c r="O1037" s="25" t="n"/>
      <c r="P1037" s="25" t="inlineStr">
        <is>
          <t>10087236001206</t>
        </is>
      </c>
      <c r="Q1037" s="25" t="inlineStr">
        <is>
          <t>0087236001209</t>
        </is>
      </c>
      <c r="R1037" s="78" t="n">
        <v>42370</v>
      </c>
    </row>
    <row r="1038">
      <c r="A1038" t="inlineStr">
        <is>
          <t>or item code =</t>
        </is>
      </c>
      <c r="B1038" s="25" t="inlineStr">
        <is>
          <t>49187</t>
        </is>
      </c>
      <c r="C1038" s="25" t="inlineStr">
        <is>
          <t>REMY MARTIN VSOP COGNAC</t>
        </is>
      </c>
      <c r="D1038" s="25" t="inlineStr">
        <is>
          <t>1L</t>
        </is>
      </c>
      <c r="E1038" s="27" t="n">
        <v>44</v>
      </c>
      <c r="F1038" s="27" t="n">
        <v>104</v>
      </c>
      <c r="G1038" s="27" t="n">
        <v>12</v>
      </c>
      <c r="H1038" s="28" t="n">
        <v>646.05</v>
      </c>
      <c r="I1038" s="28" t="n">
        <v>0</v>
      </c>
      <c r="J1038" s="94" t="inlineStr">
        <is>
          <t>False</t>
        </is>
      </c>
      <c r="K1038" s="28" t="n">
        <v>0</v>
      </c>
      <c r="L1038" s="25" t="inlineStr">
        <is>
          <t>COGNAC, ARMAGNAC</t>
        </is>
      </c>
      <c r="M1038" s="25" t="inlineStr">
        <is>
          <t>REMY COINTREAU USA INC</t>
        </is>
      </c>
      <c r="N1038" s="25" t="inlineStr">
        <is>
          <t>040002-RNDC-MAGNOLIA</t>
        </is>
      </c>
      <c r="O1038" s="25" t="n"/>
      <c r="P1038" s="25" t="inlineStr">
        <is>
          <t>10087236001183</t>
        </is>
      </c>
      <c r="Q1038" s="25" t="inlineStr">
        <is>
          <t>087236001186</t>
        </is>
      </c>
      <c r="R1038" s="78" t="n">
        <v>43983</v>
      </c>
    </row>
    <row r="1039">
      <c r="A1039" t="inlineStr">
        <is>
          <t>or item code =</t>
        </is>
      </c>
      <c r="B1039" s="25" t="inlineStr">
        <is>
          <t>49186</t>
        </is>
      </c>
      <c r="C1039" s="25" t="inlineStr">
        <is>
          <t>REMY MARTIN VSOP COGNAC</t>
        </is>
      </c>
      <c r="D1039" s="25" t="inlineStr">
        <is>
          <t>750ml</t>
        </is>
      </c>
      <c r="E1039" s="27" t="n">
        <v>103</v>
      </c>
      <c r="F1039" s="27" t="n">
        <v>81</v>
      </c>
      <c r="G1039" s="27" t="n">
        <v>12</v>
      </c>
      <c r="H1039" s="28" t="n">
        <v>479.94</v>
      </c>
      <c r="I1039" s="28" t="n">
        <v>0</v>
      </c>
      <c r="J1039" s="94" t="inlineStr">
        <is>
          <t>False</t>
        </is>
      </c>
      <c r="K1039" s="28" t="n">
        <v>0</v>
      </c>
      <c r="L1039" s="25" t="inlineStr">
        <is>
          <t>COGNAC, ARMAGNAC</t>
        </is>
      </c>
      <c r="M1039" s="25" t="inlineStr">
        <is>
          <t>REMY COINTREAU USA INC</t>
        </is>
      </c>
      <c r="N1039" s="25" t="inlineStr">
        <is>
          <t>040002-RNDC-MAGNOLIA</t>
        </is>
      </c>
      <c r="O1039" s="25" t="n"/>
      <c r="P1039" s="25" t="inlineStr">
        <is>
          <t>10087236001169</t>
        </is>
      </c>
      <c r="Q1039" s="25" t="inlineStr">
        <is>
          <t>087236001162</t>
        </is>
      </c>
      <c r="R1039" s="78" t="n">
        <v>42370</v>
      </c>
    </row>
    <row r="1040">
      <c r="A1040" t="inlineStr">
        <is>
          <t>or item code =</t>
        </is>
      </c>
      <c r="B1040" s="25" t="inlineStr">
        <is>
          <t>49185</t>
        </is>
      </c>
      <c r="C1040" s="25" t="inlineStr">
        <is>
          <t>REMY MARTIN VSOP COGNAC (FLASK)</t>
        </is>
      </c>
      <c r="D1040" s="25" t="inlineStr">
        <is>
          <t>375ml</t>
        </is>
      </c>
      <c r="E1040" s="27" t="n">
        <v>857</v>
      </c>
      <c r="F1040" s="27" t="n">
        <v>132</v>
      </c>
      <c r="G1040" s="27" t="n">
        <v>12</v>
      </c>
      <c r="H1040" s="28" t="n">
        <v>258.37</v>
      </c>
      <c r="I1040" s="28" t="n">
        <v>0</v>
      </c>
      <c r="J1040" s="94" t="inlineStr">
        <is>
          <t>False</t>
        </is>
      </c>
      <c r="K1040" s="28" t="n">
        <v>0</v>
      </c>
      <c r="L1040" s="25" t="inlineStr">
        <is>
          <t>COGNAC, ARMAGNAC</t>
        </is>
      </c>
      <c r="M1040" s="25" t="inlineStr">
        <is>
          <t>REMY COINTREAU USA INC</t>
        </is>
      </c>
      <c r="N1040" s="25" t="inlineStr">
        <is>
          <t>040002-RNDC-MAGNOLIA</t>
        </is>
      </c>
      <c r="O1040" s="25" t="n"/>
      <c r="P1040" s="25" t="inlineStr">
        <is>
          <t>10087236001213</t>
        </is>
      </c>
      <c r="Q1040" s="25" t="inlineStr">
        <is>
          <t>0087236001216</t>
        </is>
      </c>
      <c r="R1040" s="78" t="n">
        <v>42278</v>
      </c>
    </row>
    <row r="1041">
      <c r="A1041" t="inlineStr">
        <is>
          <t>or item code =</t>
        </is>
      </c>
      <c r="B1041" s="25" t="inlineStr">
        <is>
          <t>49156</t>
        </is>
      </c>
      <c r="C1041" s="25" t="inlineStr">
        <is>
          <t>REMY MARTIN XO EXCELLENCE</t>
        </is>
      </c>
      <c r="D1041" s="25" t="inlineStr">
        <is>
          <t>750ml</t>
        </is>
      </c>
      <c r="E1041" s="27" t="n">
        <v>38</v>
      </c>
      <c r="F1041" s="27" t="n">
        <v>22</v>
      </c>
      <c r="G1041" s="27" t="n">
        <v>12</v>
      </c>
      <c r="H1041" s="28" t="n">
        <v>1938.37</v>
      </c>
      <c r="I1041" s="28" t="n">
        <v>0</v>
      </c>
      <c r="J1041" s="94" t="inlineStr">
        <is>
          <t>False</t>
        </is>
      </c>
      <c r="K1041" s="28" t="n">
        <v>0</v>
      </c>
      <c r="L1041" s="25" t="inlineStr">
        <is>
          <t>COGNAC, ARMAGNAC</t>
        </is>
      </c>
      <c r="M1041" s="25" t="inlineStr">
        <is>
          <t>REMY COINTREAU USA INC</t>
        </is>
      </c>
      <c r="N1041" s="25" t="inlineStr">
        <is>
          <t>040002-RNDC-MAGNOLIA</t>
        </is>
      </c>
      <c r="O1041" s="25" t="n"/>
      <c r="P1041" s="25" t="n"/>
      <c r="Q1041" s="25" t="inlineStr">
        <is>
          <t>000000049156</t>
        </is>
      </c>
      <c r="R1041" s="78" t="n">
        <v>42370</v>
      </c>
    </row>
    <row r="1042">
      <c r="A1042" t="inlineStr">
        <is>
          <t>or item code =</t>
        </is>
      </c>
      <c r="B1042" s="25" t="inlineStr">
        <is>
          <t>49154</t>
        </is>
      </c>
      <c r="C1042" s="25" t="inlineStr">
        <is>
          <t>REMY MARTIN XO EXCELLENCE</t>
        </is>
      </c>
      <c r="D1042" s="25" t="inlineStr">
        <is>
          <t>375ml</t>
        </is>
      </c>
      <c r="E1042" s="27" t="n">
        <v>0</v>
      </c>
      <c r="F1042" s="27" t="n">
        <v>1</v>
      </c>
      <c r="G1042" s="27" t="n">
        <v>12</v>
      </c>
      <c r="H1042" s="28" t="n">
        <v>1015.29</v>
      </c>
      <c r="I1042" s="28" t="n">
        <v>0</v>
      </c>
      <c r="J1042" s="94" t="inlineStr">
        <is>
          <t>False</t>
        </is>
      </c>
      <c r="K1042" s="28" t="n">
        <v>0</v>
      </c>
      <c r="L1042" s="25" t="inlineStr">
        <is>
          <t>COGNAC, ARMAGNAC</t>
        </is>
      </c>
      <c r="M1042" s="25" t="inlineStr">
        <is>
          <t>REMY COINTREAU USA INC</t>
        </is>
      </c>
      <c r="N1042" s="25" t="inlineStr">
        <is>
          <t>040002-RNDC-MAGNOLIA</t>
        </is>
      </c>
      <c r="O1042" s="25" t="n"/>
      <c r="P1042" s="25" t="inlineStr">
        <is>
          <t>10087236002333</t>
        </is>
      </c>
      <c r="Q1042" s="25" t="inlineStr">
        <is>
          <t>087236002336</t>
        </is>
      </c>
      <c r="R1042" s="78" t="n">
        <v>44409</v>
      </c>
    </row>
    <row r="1043">
      <c r="A1043" t="inlineStr">
        <is>
          <t>or item code =</t>
        </is>
      </c>
      <c r="B1043" s="25" t="inlineStr">
        <is>
          <t>49255</t>
        </is>
      </c>
      <c r="C1043" s="25" t="inlineStr">
        <is>
          <t>REVANCHE FRENCH COGNAC</t>
        </is>
      </c>
      <c r="D1043" s="25" t="inlineStr">
        <is>
          <t>750ml</t>
        </is>
      </c>
      <c r="E1043" s="27" t="n">
        <v>72</v>
      </c>
      <c r="F1043" s="27" t="n">
        <v>45</v>
      </c>
      <c r="G1043" s="27" t="n">
        <v>6</v>
      </c>
      <c r="H1043" s="28" t="n">
        <v>200.18</v>
      </c>
      <c r="I1043" s="28" t="n">
        <v>12</v>
      </c>
      <c r="J1043" s="94" t="inlineStr">
        <is>
          <t>False</t>
        </is>
      </c>
      <c r="K1043" s="28" t="n">
        <v>0</v>
      </c>
      <c r="L1043" s="25" t="inlineStr">
        <is>
          <t>COGNAC, ARMAGNAC</t>
        </is>
      </c>
      <c r="M1043" s="25" t="inlineStr">
        <is>
          <t>INTERNATIONAL SPIRITS AND WINES LLC</t>
        </is>
      </c>
      <c r="N1043" s="25" t="inlineStr">
        <is>
          <t>040010-SOUTHERN GLAZERS WINE AND SPIRITS OF MISSISSIPPI LLC</t>
        </is>
      </c>
      <c r="O1043" s="25" t="n"/>
      <c r="P1043" s="25" t="inlineStr">
        <is>
          <t>60796168857489</t>
        </is>
      </c>
      <c r="Q1043" s="25" t="inlineStr">
        <is>
          <t>796168857487</t>
        </is>
      </c>
      <c r="R1043" s="78" t="n">
        <v>43952</v>
      </c>
    </row>
    <row r="1044">
      <c r="A1044" t="inlineStr">
        <is>
          <t>or item code =</t>
        </is>
      </c>
      <c r="B1044" s="25" t="inlineStr">
        <is>
          <t>49254</t>
        </is>
      </c>
      <c r="C1044" s="25" t="inlineStr">
        <is>
          <t>REVANCHE FRENCH COGNAC</t>
        </is>
      </c>
      <c r="D1044" s="25" t="inlineStr">
        <is>
          <t>375ml</t>
        </is>
      </c>
      <c r="E1044" s="27" t="n">
        <v>113</v>
      </c>
      <c r="F1044" s="27" t="n">
        <v>15</v>
      </c>
      <c r="G1044" s="27" t="n">
        <v>12</v>
      </c>
      <c r="H1044" s="28" t="n">
        <v>221.24</v>
      </c>
      <c r="I1044" s="28" t="n">
        <v>0</v>
      </c>
      <c r="J1044" s="94" t="inlineStr">
        <is>
          <t>False</t>
        </is>
      </c>
      <c r="K1044" s="28" t="n">
        <v>0</v>
      </c>
      <c r="L1044" s="25" t="inlineStr">
        <is>
          <t>COGNAC, ARMAGNAC</t>
        </is>
      </c>
      <c r="M1044" s="25" t="inlineStr">
        <is>
          <t>INTERNATIONAL SPIRITS AND WINES LLC</t>
        </is>
      </c>
      <c r="N1044" s="25" t="inlineStr">
        <is>
          <t>040010-SOUTHERN GLAZERS WINE AND SPIRITS OF MISSISSIPPI LLC</t>
        </is>
      </c>
      <c r="O1044" s="25" t="n"/>
      <c r="P1044" s="25" t="inlineStr">
        <is>
          <t>12796168857543</t>
        </is>
      </c>
      <c r="Q1044" s="25" t="inlineStr">
        <is>
          <t>796168857548</t>
        </is>
      </c>
      <c r="R1044" s="78" t="n">
        <v>44105</v>
      </c>
    </row>
    <row r="1045">
      <c r="A1045" t="inlineStr">
        <is>
          <t>or item code =</t>
        </is>
      </c>
      <c r="B1045" s="25" t="inlineStr">
        <is>
          <t>34753</t>
        </is>
      </c>
      <c r="C1045" s="25" t="inlineStr">
        <is>
          <t>REYKA ICELAND VODKA</t>
        </is>
      </c>
      <c r="D1045" s="25" t="inlineStr">
        <is>
          <t>750ml</t>
        </is>
      </c>
      <c r="E1045" s="27" t="n">
        <v>0</v>
      </c>
      <c r="F1045" s="27" t="n">
        <v>11</v>
      </c>
      <c r="G1045" s="27" t="n">
        <v>6</v>
      </c>
      <c r="H1045" s="28" t="n">
        <v>115.34</v>
      </c>
      <c r="I1045" s="28" t="n">
        <v>0</v>
      </c>
      <c r="J1045" s="94" t="inlineStr">
        <is>
          <t>False</t>
        </is>
      </c>
      <c r="K1045" s="28" t="n">
        <v>0</v>
      </c>
      <c r="L1045" s="25" t="inlineStr">
        <is>
          <t>VODKA</t>
        </is>
      </c>
      <c r="M1045" s="25" t="inlineStr">
        <is>
          <t>WILLIAM GRANT &amp; SONS</t>
        </is>
      </c>
      <c r="N1045" s="25" t="inlineStr">
        <is>
          <t>040002-RNDC-MAGNOLIA</t>
        </is>
      </c>
      <c r="O1045" s="25" t="n"/>
      <c r="P1045" s="25" t="inlineStr">
        <is>
          <t>10083664869217</t>
        </is>
      </c>
      <c r="Q1045" s="25" t="inlineStr">
        <is>
          <t>0083664869213</t>
        </is>
      </c>
      <c r="R1045" s="78" t="n">
        <v>42370</v>
      </c>
    </row>
    <row r="1046">
      <c r="A1046" t="inlineStr">
        <is>
          <t>or item code =</t>
        </is>
      </c>
      <c r="B1046" s="25" t="inlineStr">
        <is>
          <t>12872</t>
        </is>
      </c>
      <c r="C1046" s="25" t="inlineStr">
        <is>
          <t>RICH &amp; RARE PEACH</t>
        </is>
      </c>
      <c r="D1046" s="25" t="inlineStr">
        <is>
          <t>750ml</t>
        </is>
      </c>
      <c r="E1046" s="27" t="n">
        <v>51</v>
      </c>
      <c r="F1046" s="27" t="n">
        <v>11</v>
      </c>
      <c r="G1046" s="27" t="n">
        <v>12</v>
      </c>
      <c r="H1046" s="28" t="n">
        <v>86.20999999999999</v>
      </c>
      <c r="I1046" s="28" t="n">
        <v>6.01</v>
      </c>
      <c r="J1046" s="94" t="inlineStr">
        <is>
          <t>False</t>
        </is>
      </c>
      <c r="K1046" s="28" t="n">
        <v>0</v>
      </c>
      <c r="L1046" s="25" t="inlineStr">
        <is>
          <t>WHISKEY OTHER</t>
        </is>
      </c>
      <c r="M1046" s="25" t="inlineStr">
        <is>
          <t>SAZERAC COMPANY</t>
        </is>
      </c>
      <c r="N1046" s="25" t="inlineStr">
        <is>
          <t>040002-RNDC-MAGNOLIA</t>
        </is>
      </c>
      <c r="O1046" s="25" t="n"/>
      <c r="P1046" s="25" t="inlineStr">
        <is>
          <t>10088004041226</t>
        </is>
      </c>
      <c r="Q1046" s="25" t="inlineStr">
        <is>
          <t>088004041229</t>
        </is>
      </c>
      <c r="R1046" s="78" t="n">
        <v>44409</v>
      </c>
    </row>
    <row r="1047">
      <c r="A1047" t="inlineStr">
        <is>
          <t>or item code =</t>
        </is>
      </c>
      <c r="B1047" s="25" t="inlineStr">
        <is>
          <t>97726</t>
        </is>
      </c>
      <c r="C1047" s="25" t="inlineStr">
        <is>
          <t>RICHARDS WILD ROSE RED</t>
        </is>
      </c>
      <c r="D1047" s="25" t="inlineStr">
        <is>
          <t>1.5L</t>
        </is>
      </c>
      <c r="E1047" s="27" t="n">
        <v>23</v>
      </c>
      <c r="F1047" s="27" t="n">
        <v>115</v>
      </c>
      <c r="G1047" s="27" t="n">
        <v>6</v>
      </c>
      <c r="H1047" s="28" t="n">
        <v>40.67</v>
      </c>
      <c r="I1047" s="28" t="n">
        <v>0</v>
      </c>
      <c r="J1047" s="94" t="inlineStr">
        <is>
          <t>False</t>
        </is>
      </c>
      <c r="K1047" s="28" t="n">
        <v>0</v>
      </c>
      <c r="L1047" s="25" t="inlineStr">
        <is>
          <t>RED WINE</t>
        </is>
      </c>
      <c r="M1047" s="25" t="inlineStr">
        <is>
          <t>E &amp; J GALLO WINERY</t>
        </is>
      </c>
      <c r="N1047" s="25" t="inlineStr">
        <is>
          <t>040012-GALLO WINES OF MISSISSIPPI</t>
        </is>
      </c>
      <c r="O1047" s="25" t="n"/>
      <c r="P1047" s="25" t="inlineStr">
        <is>
          <t>60082100009529</t>
        </is>
      </c>
      <c r="Q1047" s="25" t="inlineStr">
        <is>
          <t>08295217</t>
        </is>
      </c>
      <c r="R1047" s="78" t="n">
        <v>42370</v>
      </c>
    </row>
    <row r="1048">
      <c r="A1048" t="inlineStr">
        <is>
          <t>or item code =</t>
        </is>
      </c>
      <c r="B1048" s="25" t="inlineStr">
        <is>
          <t>97727</t>
        </is>
      </c>
      <c r="C1048" s="25" t="inlineStr">
        <is>
          <t>RICHARDS WILD ROSE RED</t>
        </is>
      </c>
      <c r="D1048" s="25" t="inlineStr">
        <is>
          <t>187ml</t>
        </is>
      </c>
      <c r="E1048" s="27" t="n">
        <v>56</v>
      </c>
      <c r="F1048" s="27" t="n">
        <v>36</v>
      </c>
      <c r="G1048" s="27" t="n">
        <v>48</v>
      </c>
      <c r="H1048" s="28" t="n">
        <v>57.94</v>
      </c>
      <c r="I1048" s="28" t="n">
        <v>0</v>
      </c>
      <c r="J1048" s="94" t="inlineStr">
        <is>
          <t>False</t>
        </is>
      </c>
      <c r="K1048" s="28" t="n">
        <v>0</v>
      </c>
      <c r="L1048" s="25" t="inlineStr">
        <is>
          <t>RED WINE</t>
        </is>
      </c>
      <c r="M1048" s="25" t="inlineStr">
        <is>
          <t>E &amp; J GALLO WINERY</t>
        </is>
      </c>
      <c r="N1048" s="25" t="inlineStr">
        <is>
          <t>040012-GALLO WINES OF MISSISSIPPI</t>
        </is>
      </c>
      <c r="O1048" s="25" t="n"/>
      <c r="P1048" s="25" t="inlineStr">
        <is>
          <t>30082100008828</t>
        </is>
      </c>
      <c r="Q1048" s="25" t="inlineStr">
        <is>
          <t>08288217</t>
        </is>
      </c>
      <c r="R1048" s="78" t="n">
        <v>42279</v>
      </c>
    </row>
    <row r="1049">
      <c r="A1049" t="inlineStr">
        <is>
          <t>or item code =</t>
        </is>
      </c>
      <c r="B1049" s="25" t="inlineStr">
        <is>
          <t>97724</t>
        </is>
      </c>
      <c r="C1049" s="25" t="inlineStr">
        <is>
          <t>RICHARDS WILD ROSE RED</t>
        </is>
      </c>
      <c r="D1049" s="25" t="inlineStr">
        <is>
          <t>750ml</t>
        </is>
      </c>
      <c r="E1049" s="27" t="n">
        <v>63</v>
      </c>
      <c r="F1049" s="27" t="n">
        <v>136</v>
      </c>
      <c r="G1049" s="27" t="n">
        <v>12</v>
      </c>
      <c r="H1049" s="28" t="n">
        <v>47.06</v>
      </c>
      <c r="I1049" s="28" t="n">
        <v>0</v>
      </c>
      <c r="J1049" s="94" t="inlineStr">
        <is>
          <t>False</t>
        </is>
      </c>
      <c r="K1049" s="28" t="n">
        <v>0</v>
      </c>
      <c r="L1049" s="25" t="inlineStr">
        <is>
          <t>RED WINE</t>
        </is>
      </c>
      <c r="M1049" s="25" t="inlineStr">
        <is>
          <t>E &amp; J GALLO WINERY</t>
        </is>
      </c>
      <c r="N1049" s="25" t="inlineStr">
        <is>
          <t>040012-GALLO WINES OF MISSISSIPPI</t>
        </is>
      </c>
      <c r="O1049" s="25" t="n"/>
      <c r="P1049" s="25" t="inlineStr">
        <is>
          <t>70082100008000</t>
        </is>
      </c>
      <c r="Q1049" s="25" t="inlineStr">
        <is>
          <t>08280011</t>
        </is>
      </c>
      <c r="R1049" s="78" t="n">
        <v>42370</v>
      </c>
    </row>
    <row r="1050">
      <c r="A1050" t="inlineStr">
        <is>
          <t>or item code =</t>
        </is>
      </c>
      <c r="B1050" s="25" t="inlineStr">
        <is>
          <t>97723</t>
        </is>
      </c>
      <c r="C1050" s="25" t="inlineStr">
        <is>
          <t>RICHARDS WILD ROSE RED</t>
        </is>
      </c>
      <c r="D1050" s="25" t="inlineStr">
        <is>
          <t>1L</t>
        </is>
      </c>
      <c r="E1050" s="27" t="n">
        <v>29</v>
      </c>
      <c r="F1050" s="27" t="n">
        <v>75</v>
      </c>
      <c r="G1050" s="27" t="n">
        <v>12</v>
      </c>
      <c r="H1050" s="28" t="n">
        <v>55.62</v>
      </c>
      <c r="I1050" s="28" t="n">
        <v>0</v>
      </c>
      <c r="J1050" s="94" t="inlineStr">
        <is>
          <t>False</t>
        </is>
      </c>
      <c r="K1050" s="28" t="n">
        <v>0</v>
      </c>
      <c r="L1050" s="25" t="inlineStr">
        <is>
          <t>RED WINE</t>
        </is>
      </c>
      <c r="M1050" s="25" t="inlineStr">
        <is>
          <t>E &amp; J GALLO WINERY</t>
        </is>
      </c>
      <c r="N1050" s="25" t="inlineStr">
        <is>
          <t>040012-GALLO WINES OF MISSISSIPPI</t>
        </is>
      </c>
      <c r="O1050" s="25" t="n"/>
      <c r="P1050" s="25" t="inlineStr">
        <is>
          <t>20082100004632</t>
        </is>
      </c>
      <c r="Q1050" s="25" t="inlineStr">
        <is>
          <t>08246318</t>
        </is>
      </c>
      <c r="R1050" s="78" t="n">
        <v>42370</v>
      </c>
    </row>
    <row r="1051">
      <c r="A1051" t="inlineStr">
        <is>
          <t>or item code =</t>
        </is>
      </c>
      <c r="B1051" s="25" t="inlineStr">
        <is>
          <t>97722</t>
        </is>
      </c>
      <c r="C1051" s="25" t="inlineStr">
        <is>
          <t>RICHARDS WILD ROSE RED</t>
        </is>
      </c>
      <c r="D1051" s="25" t="inlineStr">
        <is>
          <t>375ml</t>
        </is>
      </c>
      <c r="E1051" s="27" t="n">
        <v>72</v>
      </c>
      <c r="F1051" s="27" t="n">
        <v>47</v>
      </c>
      <c r="G1051" s="27" t="n">
        <v>24</v>
      </c>
      <c r="H1051" s="28" t="n">
        <v>54.7</v>
      </c>
      <c r="I1051" s="28" t="n">
        <v>0</v>
      </c>
      <c r="J1051" s="94" t="inlineStr">
        <is>
          <t>False</t>
        </is>
      </c>
      <c r="K1051" s="28" t="n">
        <v>0</v>
      </c>
      <c r="L1051" s="25" t="inlineStr">
        <is>
          <t>RED WINE</t>
        </is>
      </c>
      <c r="M1051" s="25" t="inlineStr">
        <is>
          <t>E &amp; J GALLO WINERY</t>
        </is>
      </c>
      <c r="N1051" s="25" t="inlineStr">
        <is>
          <t>040012-GALLO WINES OF MISSISSIPPI</t>
        </is>
      </c>
      <c r="O1051" s="25" t="n"/>
      <c r="P1051" s="25" t="inlineStr">
        <is>
          <t>00082100008544</t>
        </is>
      </c>
      <c r="Q1051" s="25" t="inlineStr">
        <is>
          <t>08285317</t>
        </is>
      </c>
      <c r="R1051" s="78" t="n">
        <v>42370</v>
      </c>
    </row>
    <row r="1052">
      <c r="A1052" t="inlineStr">
        <is>
          <t>or item code =</t>
        </is>
      </c>
      <c r="B1052" s="25" t="inlineStr">
        <is>
          <t>378810</t>
        </is>
      </c>
      <c r="C1052" s="25" t="inlineStr">
        <is>
          <t>RIUNITE D' ORO MOSCATO</t>
        </is>
      </c>
      <c r="D1052" s="25" t="inlineStr">
        <is>
          <t>750ml</t>
        </is>
      </c>
      <c r="E1052" s="27" t="n">
        <v>40</v>
      </c>
      <c r="F1052" s="27" t="n">
        <v>14</v>
      </c>
      <c r="G1052" s="27" t="n">
        <v>12</v>
      </c>
      <c r="H1052" s="28" t="n">
        <v>71.06</v>
      </c>
      <c r="I1052" s="28" t="n">
        <v>0</v>
      </c>
      <c r="J1052" s="94" t="inlineStr">
        <is>
          <t>False</t>
        </is>
      </c>
      <c r="K1052" s="28" t="n">
        <v>0</v>
      </c>
      <c r="L1052" s="25" t="inlineStr">
        <is>
          <t>MOSCATO WHITE</t>
        </is>
      </c>
      <c r="M1052" s="25" t="inlineStr">
        <is>
          <t>FREDERICK WILDMAND &amp; SONS</t>
        </is>
      </c>
      <c r="N1052" s="25" t="inlineStr">
        <is>
          <t>040003-RNDC-VINTAGE</t>
        </is>
      </c>
      <c r="O1052" s="25" t="n"/>
      <c r="P1052" s="25" t="inlineStr">
        <is>
          <t>10080516135448</t>
        </is>
      </c>
      <c r="Q1052" s="25" t="inlineStr">
        <is>
          <t>089744765659</t>
        </is>
      </c>
      <c r="R1052" s="78" t="n">
        <v>42370</v>
      </c>
    </row>
    <row r="1053">
      <c r="A1053" t="inlineStr">
        <is>
          <t>or item code =</t>
        </is>
      </c>
      <c r="B1053" s="25" t="inlineStr">
        <is>
          <t>378910</t>
        </is>
      </c>
      <c r="C1053" s="25" t="inlineStr">
        <is>
          <t>RIUNITE LAMBRUSCO</t>
        </is>
      </c>
      <c r="D1053" s="25" t="inlineStr">
        <is>
          <t>750ml</t>
        </is>
      </c>
      <c r="E1053" s="27" t="n">
        <v>263</v>
      </c>
      <c r="F1053" s="27" t="n">
        <v>112</v>
      </c>
      <c r="G1053" s="27" t="n">
        <v>12</v>
      </c>
      <c r="H1053" s="28" t="n">
        <v>71.06</v>
      </c>
      <c r="I1053" s="28" t="n">
        <v>0</v>
      </c>
      <c r="J1053" s="94" t="inlineStr">
        <is>
          <t>False</t>
        </is>
      </c>
      <c r="K1053" s="28" t="n">
        <v>0</v>
      </c>
      <c r="L1053" s="25" t="inlineStr">
        <is>
          <t>RED WINE</t>
        </is>
      </c>
      <c r="M1053" s="25" t="inlineStr">
        <is>
          <t>FREDERICK WILDMAND &amp; SONS</t>
        </is>
      </c>
      <c r="N1053" s="25" t="inlineStr">
        <is>
          <t>040003-RNDC-VINTAGE</t>
        </is>
      </c>
      <c r="O1053" s="25" t="n"/>
      <c r="P1053" s="25" t="inlineStr">
        <is>
          <t>40089744765480</t>
        </is>
      </c>
      <c r="Q1053" s="25" t="inlineStr">
        <is>
          <t>089744765482</t>
        </is>
      </c>
      <c r="R1053" s="78" t="n">
        <v>43629</v>
      </c>
    </row>
    <row r="1054">
      <c r="A1054" t="inlineStr">
        <is>
          <t>or item code =</t>
        </is>
      </c>
      <c r="B1054" s="25" t="inlineStr">
        <is>
          <t>378915</t>
        </is>
      </c>
      <c r="C1054" s="25" t="inlineStr">
        <is>
          <t>RIUNITE LAMBRUSCO</t>
        </is>
      </c>
      <c r="D1054" s="25" t="inlineStr">
        <is>
          <t>1.5L</t>
        </is>
      </c>
      <c r="E1054" s="27" t="n">
        <v>0</v>
      </c>
      <c r="F1054" s="27" t="n">
        <v>253</v>
      </c>
      <c r="G1054" s="27" t="n">
        <v>6</v>
      </c>
      <c r="H1054" s="28" t="n">
        <v>58.1</v>
      </c>
      <c r="I1054" s="28" t="n">
        <v>0</v>
      </c>
      <c r="J1054" s="94" t="inlineStr">
        <is>
          <t>False</t>
        </is>
      </c>
      <c r="K1054" s="28" t="n">
        <v>0</v>
      </c>
      <c r="L1054" s="25" t="inlineStr">
        <is>
          <t>RED WINE</t>
        </is>
      </c>
      <c r="M1054" s="25" t="inlineStr">
        <is>
          <t>FREDERICK WILDMAND &amp; SONS</t>
        </is>
      </c>
      <c r="N1054" s="25" t="inlineStr">
        <is>
          <t>040003-RNDC-VINTAGE</t>
        </is>
      </c>
      <c r="O1054" s="25" t="n"/>
      <c r="P1054" s="25" t="inlineStr">
        <is>
          <t>10080516135127</t>
        </is>
      </c>
      <c r="Q1054" s="25" t="inlineStr">
        <is>
          <t>089744765505</t>
        </is>
      </c>
      <c r="R1054" s="78" t="n">
        <v>43626</v>
      </c>
    </row>
    <row r="1055">
      <c r="A1055" t="inlineStr">
        <is>
          <t>or item code =</t>
        </is>
      </c>
      <c r="B1055" s="25" t="inlineStr">
        <is>
          <t>378920</t>
        </is>
      </c>
      <c r="C1055" s="25" t="inlineStr">
        <is>
          <t>RIUNITE LAMBRUSCO</t>
        </is>
      </c>
      <c r="D1055" s="25" t="inlineStr">
        <is>
          <t>3L</t>
        </is>
      </c>
      <c r="E1055" s="27" t="n">
        <v>216</v>
      </c>
      <c r="F1055" s="27" t="n">
        <v>190</v>
      </c>
      <c r="G1055" s="27" t="n">
        <v>4</v>
      </c>
      <c r="H1055" s="28" t="n">
        <v>59.37</v>
      </c>
      <c r="I1055" s="28" t="n">
        <v>0</v>
      </c>
      <c r="J1055" s="94" t="inlineStr">
        <is>
          <t>False</t>
        </is>
      </c>
      <c r="K1055" s="28" t="n">
        <v>0</v>
      </c>
      <c r="L1055" s="25" t="inlineStr">
        <is>
          <t>RED WINE</t>
        </is>
      </c>
      <c r="M1055" s="25" t="inlineStr">
        <is>
          <t>FREDERICK WILDMAND &amp; SONS</t>
        </is>
      </c>
      <c r="N1055" s="25" t="inlineStr">
        <is>
          <t>040003-RNDC-VINTAGE</t>
        </is>
      </c>
      <c r="O1055" s="25" t="n"/>
      <c r="P1055" s="25" t="inlineStr">
        <is>
          <t>10080516135103</t>
        </is>
      </c>
      <c r="Q1055" s="25" t="inlineStr">
        <is>
          <t>089744765499</t>
        </is>
      </c>
      <c r="R1055" s="78" t="n">
        <v>43626</v>
      </c>
    </row>
    <row r="1056">
      <c r="A1056" t="inlineStr">
        <is>
          <t>or item code =</t>
        </is>
      </c>
      <c r="B1056" s="25" t="inlineStr">
        <is>
          <t>378820</t>
        </is>
      </c>
      <c r="C1056" s="25" t="inlineStr">
        <is>
          <t>RIUNITE TREBBIANO MOSCATO EMILY</t>
        </is>
      </c>
      <c r="D1056" s="25" t="inlineStr">
        <is>
          <t>3L</t>
        </is>
      </c>
      <c r="E1056" s="27" t="n">
        <v>2</v>
      </c>
      <c r="F1056" s="27" t="n">
        <v>23</v>
      </c>
      <c r="G1056" s="27" t="n">
        <v>4</v>
      </c>
      <c r="H1056" s="28" t="n">
        <v>65.43000000000001</v>
      </c>
      <c r="I1056" s="28" t="n">
        <v>0</v>
      </c>
      <c r="J1056" s="94" t="inlineStr">
        <is>
          <t>False</t>
        </is>
      </c>
      <c r="K1056" s="28" t="n">
        <v>0</v>
      </c>
      <c r="L1056" s="25" t="inlineStr">
        <is>
          <t>MOSCATO WHITE</t>
        </is>
      </c>
      <c r="M1056" s="25" t="inlineStr">
        <is>
          <t>FREDERICK WILDMAND &amp; SONS</t>
        </is>
      </c>
      <c r="N1056" s="25" t="inlineStr">
        <is>
          <t>040003-RNDC-VINTAGE</t>
        </is>
      </c>
      <c r="O1056" s="25" t="n"/>
      <c r="P1056" s="25" t="inlineStr">
        <is>
          <t>10080516135400</t>
        </is>
      </c>
      <c r="Q1056" s="25" t="inlineStr">
        <is>
          <t>089744765666</t>
        </is>
      </c>
      <c r="R1056" s="78" t="n">
        <v>42370</v>
      </c>
    </row>
    <row r="1057">
      <c r="A1057" t="inlineStr">
        <is>
          <t>or item code =</t>
        </is>
      </c>
      <c r="B1057" s="25" t="inlineStr">
        <is>
          <t>498044</t>
        </is>
      </c>
      <c r="C1057" s="25" t="inlineStr">
        <is>
          <t>ROBERT MONDAVI PRIVATE SEL CAB SAUV BOURBON BARREL</t>
        </is>
      </c>
      <c r="D1057" s="25" t="inlineStr">
        <is>
          <t>750ml</t>
        </is>
      </c>
      <c r="E1057" s="27" t="n">
        <v>48</v>
      </c>
      <c r="F1057" s="27" t="n">
        <v>66</v>
      </c>
      <c r="G1057" s="27" t="n">
        <v>12</v>
      </c>
      <c r="H1057" s="28" t="n">
        <v>128.44</v>
      </c>
      <c r="I1057" s="28" t="n">
        <v>0</v>
      </c>
      <c r="J1057" s="94" t="inlineStr">
        <is>
          <t>False</t>
        </is>
      </c>
      <c r="K1057" s="28" t="n">
        <v>0</v>
      </c>
      <c r="L1057" s="25" t="inlineStr">
        <is>
          <t>CABERNET SAUVIGNON</t>
        </is>
      </c>
      <c r="M1057" s="25" t="inlineStr">
        <is>
          <t>CONSTELLATION BRANDS INC</t>
        </is>
      </c>
      <c r="N1057" s="25" t="inlineStr">
        <is>
          <t>040010-SOUTHERN GLAZERS WINE AND SPIRITS OF MISSISSIPPI LLC</t>
        </is>
      </c>
      <c r="O1057" s="25" t="n"/>
      <c r="P1057" s="25" t="inlineStr">
        <is>
          <t>10086003780214</t>
        </is>
      </c>
      <c r="Q1057" s="25" t="inlineStr">
        <is>
          <t>0086003780217</t>
        </is>
      </c>
      <c r="R1057" s="78" t="n">
        <v>42507</v>
      </c>
    </row>
    <row r="1058">
      <c r="A1058" t="inlineStr">
        <is>
          <t>or item code =</t>
        </is>
      </c>
      <c r="B1058" s="25" t="inlineStr">
        <is>
          <t>28778</t>
        </is>
      </c>
      <c r="C1058" s="25" t="inlineStr">
        <is>
          <t>ROKU GIN (JAPAN)</t>
        </is>
      </c>
      <c r="D1058" s="25" t="inlineStr">
        <is>
          <t>750ml</t>
        </is>
      </c>
      <c r="E1058" s="27" t="n">
        <v>69</v>
      </c>
      <c r="F1058" s="27" t="n">
        <v>13</v>
      </c>
      <c r="G1058" s="27" t="n">
        <v>6</v>
      </c>
      <c r="H1058" s="28" t="n">
        <v>148.92</v>
      </c>
      <c r="I1058" s="28" t="n">
        <v>0</v>
      </c>
      <c r="J1058" s="94" t="inlineStr">
        <is>
          <t>False</t>
        </is>
      </c>
      <c r="K1058" s="28" t="n">
        <v>0</v>
      </c>
      <c r="L1058" s="25" t="inlineStr">
        <is>
          <t>GIN</t>
        </is>
      </c>
      <c r="M1058" s="25" t="inlineStr">
        <is>
          <t>JIM BEAM BRANDS CO</t>
        </is>
      </c>
      <c r="N1058" s="25" t="inlineStr">
        <is>
          <t>040010-SOUTHERN GLAZERS WINE AND SPIRITS OF MISSISSIPPI LLC</t>
        </is>
      </c>
      <c r="O1058" s="25" t="n"/>
      <c r="P1058" s="25" t="inlineStr">
        <is>
          <t>10080686958038</t>
        </is>
      </c>
      <c r="Q1058" s="25" t="inlineStr">
        <is>
          <t>080686958031</t>
        </is>
      </c>
      <c r="R1058" s="78" t="n">
        <v>44931</v>
      </c>
    </row>
    <row r="1059">
      <c r="A1059" t="inlineStr">
        <is>
          <t>or item code =</t>
        </is>
      </c>
      <c r="B1059" s="25" t="inlineStr">
        <is>
          <t>43848</t>
        </is>
      </c>
      <c r="C1059" s="25" t="inlineStr">
        <is>
          <t>RONRICO SILVER RUM</t>
        </is>
      </c>
      <c r="D1059" s="25" t="inlineStr">
        <is>
          <t>1.75L</t>
        </is>
      </c>
      <c r="E1059" s="27" t="n">
        <v>0</v>
      </c>
      <c r="F1059" s="27" t="n">
        <v>0</v>
      </c>
      <c r="G1059" s="27" t="n">
        <v>6</v>
      </c>
      <c r="H1059" s="28" t="n">
        <v>59.94</v>
      </c>
      <c r="I1059" s="28" t="n">
        <v>0</v>
      </c>
      <c r="J1059" s="94" t="inlineStr">
        <is>
          <t>False</t>
        </is>
      </c>
      <c r="K1059" s="28" t="n">
        <v>0</v>
      </c>
      <c r="L1059" s="25" t="inlineStr">
        <is>
          <t>RUM</t>
        </is>
      </c>
      <c r="M1059" s="25" t="inlineStr">
        <is>
          <t>JIM BEAM BRANDS CO</t>
        </is>
      </c>
      <c r="N1059" s="25" t="inlineStr">
        <is>
          <t>040010-SOUTHERN GLAZERS WINE AND SPIRITS OF MISSISSIPPI LLC</t>
        </is>
      </c>
      <c r="O1059" s="25" t="n"/>
      <c r="P1059" s="25" t="inlineStr">
        <is>
          <t>10080686141126</t>
        </is>
      </c>
      <c r="Q1059" s="25" t="inlineStr">
        <is>
          <t>0080686141129</t>
        </is>
      </c>
      <c r="R1059" s="78" t="n">
        <v>42370</v>
      </c>
    </row>
    <row r="1060">
      <c r="A1060" t="inlineStr">
        <is>
          <t>or item code =</t>
        </is>
      </c>
      <c r="B1060" s="25" t="inlineStr">
        <is>
          <t>379260</t>
        </is>
      </c>
      <c r="C1060" s="25" t="inlineStr">
        <is>
          <t>ROSCATO GOLD ROSSO DULCE SWEET RED</t>
        </is>
      </c>
      <c r="D1060" s="25" t="inlineStr">
        <is>
          <t>750ml</t>
        </is>
      </c>
      <c r="E1060" s="27" t="n">
        <v>0</v>
      </c>
      <c r="F1060" s="27" t="n">
        <v>56</v>
      </c>
      <c r="G1060" s="27" t="n">
        <v>12</v>
      </c>
      <c r="H1060" s="28" t="n">
        <v>121.56</v>
      </c>
      <c r="I1060" s="28" t="n">
        <v>0</v>
      </c>
      <c r="J1060" s="94" t="inlineStr">
        <is>
          <t>False</t>
        </is>
      </c>
      <c r="K1060" s="28" t="n">
        <v>0</v>
      </c>
      <c r="L1060" s="25" t="inlineStr">
        <is>
          <t>RED WINE</t>
        </is>
      </c>
      <c r="M1060" s="25" t="inlineStr">
        <is>
          <t>PALM BAY IMPORTS INC.</t>
        </is>
      </c>
      <c r="N1060" s="25" t="inlineStr">
        <is>
          <t>040010-SOUTHERN GLAZERS WINE AND SPIRITS OF MISSISSIPPI LLC</t>
        </is>
      </c>
      <c r="O1060" s="25" t="n"/>
      <c r="P1060" s="25" t="inlineStr">
        <is>
          <t>10086785213122</t>
        </is>
      </c>
      <c r="Q1060" s="25" t="inlineStr">
        <is>
          <t>086785213125</t>
        </is>
      </c>
      <c r="R1060" s="78" t="n">
        <v>44348</v>
      </c>
    </row>
    <row r="1061">
      <c r="A1061" t="inlineStr">
        <is>
          <t>or item code =</t>
        </is>
      </c>
      <c r="B1061" s="25" t="inlineStr">
        <is>
          <t>379250</t>
        </is>
      </c>
      <c r="C1061" s="25" t="inlineStr">
        <is>
          <t>ROSCATO ROSSO DOLCE PROVENCIA DI PAVIA</t>
        </is>
      </c>
      <c r="D1061" s="25" t="inlineStr">
        <is>
          <t>750ml</t>
        </is>
      </c>
      <c r="E1061" s="27" t="n">
        <v>129</v>
      </c>
      <c r="F1061" s="27" t="n">
        <v>365</v>
      </c>
      <c r="G1061" s="27" t="n">
        <v>12</v>
      </c>
      <c r="H1061" s="28" t="n">
        <v>121.56</v>
      </c>
      <c r="I1061" s="28" t="n">
        <v>0</v>
      </c>
      <c r="J1061" s="94" t="inlineStr">
        <is>
          <t>False</t>
        </is>
      </c>
      <c r="K1061" s="28" t="n">
        <v>0</v>
      </c>
      <c r="L1061" s="25" t="inlineStr">
        <is>
          <t>RED WINE</t>
        </is>
      </c>
      <c r="M1061" s="25" t="inlineStr">
        <is>
          <t>PALM BAY IMPORTS INC.</t>
        </is>
      </c>
      <c r="N1061" s="25" t="inlineStr">
        <is>
          <t>040010-SOUTHERN GLAZERS WINE AND SPIRITS OF MISSISSIPPI LLC</t>
        </is>
      </c>
      <c r="O1061" s="25" t="n"/>
      <c r="P1061" s="25" t="inlineStr">
        <is>
          <t>10086785110735</t>
        </is>
      </c>
      <c r="Q1061" s="25" t="inlineStr">
        <is>
          <t>0086785110738</t>
        </is>
      </c>
      <c r="R1061" s="78" t="n">
        <v>42279</v>
      </c>
    </row>
    <row r="1062">
      <c r="A1062" t="inlineStr">
        <is>
          <t>or item code =</t>
        </is>
      </c>
      <c r="B1062" s="25" t="inlineStr">
        <is>
          <t>73051</t>
        </is>
      </c>
      <c r="C1062" s="25" t="inlineStr">
        <is>
          <t>RUM CHATA HORCHATA CREAM LIQ (RUM BASE)</t>
        </is>
      </c>
      <c r="D1062" s="25" t="inlineStr">
        <is>
          <t>50ml</t>
        </is>
      </c>
      <c r="E1062" s="27" t="n">
        <v>32</v>
      </c>
      <c r="F1062" s="27" t="n">
        <v>28</v>
      </c>
      <c r="G1062" s="27" t="n">
        <v>120</v>
      </c>
      <c r="H1062" s="28" t="n">
        <v>164.01</v>
      </c>
      <c r="I1062" s="28" t="n">
        <v>0</v>
      </c>
      <c r="J1062" s="94" t="inlineStr">
        <is>
          <t>False</t>
        </is>
      </c>
      <c r="K1062" s="28" t="n">
        <v>0</v>
      </c>
      <c r="L1062" s="25" t="inlineStr">
        <is>
          <t>RUM</t>
        </is>
      </c>
      <c r="M1062" s="25" t="inlineStr">
        <is>
          <t>E &amp; J GALLO WINERY</t>
        </is>
      </c>
      <c r="N1062" s="25" t="inlineStr">
        <is>
          <t>040012-GALLO WINES OF MISSISSIPPI</t>
        </is>
      </c>
      <c r="O1062" s="25" t="n"/>
      <c r="P1062" s="25" t="inlineStr">
        <is>
          <t>10890355001046</t>
        </is>
      </c>
      <c r="Q1062" s="25" t="inlineStr">
        <is>
          <t>890355001049</t>
        </is>
      </c>
      <c r="R1062" s="78" t="n">
        <v>44593</v>
      </c>
    </row>
    <row r="1063">
      <c r="A1063" t="inlineStr">
        <is>
          <t>or item code =</t>
        </is>
      </c>
      <c r="B1063" s="25" t="inlineStr">
        <is>
          <t>73055</t>
        </is>
      </c>
      <c r="C1063" s="25" t="inlineStr">
        <is>
          <t>RUM CHATA HORCHATA CREAM LIQUEUR (RUM BASE)</t>
        </is>
      </c>
      <c r="D1063" s="25" t="inlineStr">
        <is>
          <t>750ml</t>
        </is>
      </c>
      <c r="E1063" s="27" t="n">
        <v>43</v>
      </c>
      <c r="F1063" s="27" t="n">
        <v>73</v>
      </c>
      <c r="G1063" s="27" t="n">
        <v>12</v>
      </c>
      <c r="H1063" s="28" t="n">
        <v>239.91</v>
      </c>
      <c r="I1063" s="28" t="n">
        <v>0</v>
      </c>
      <c r="J1063" s="94" t="inlineStr">
        <is>
          <t>False</t>
        </is>
      </c>
      <c r="K1063" s="28" t="n">
        <v>0</v>
      </c>
      <c r="L1063" s="25" t="inlineStr">
        <is>
          <t>RUM</t>
        </is>
      </c>
      <c r="M1063" s="25" t="inlineStr">
        <is>
          <t>E &amp; J GALLO WINERY</t>
        </is>
      </c>
      <c r="N1063" s="25" t="inlineStr">
        <is>
          <t>040012-GALLO WINES OF MISSISSIPPI</t>
        </is>
      </c>
      <c r="O1063" s="25" t="n"/>
      <c r="P1063" s="25" t="inlineStr">
        <is>
          <t>20890355001029</t>
        </is>
      </c>
      <c r="Q1063" s="25" t="inlineStr">
        <is>
          <t>890355001025</t>
        </is>
      </c>
      <c r="R1063" s="78" t="n">
        <v>44293</v>
      </c>
    </row>
    <row r="1064">
      <c r="A1064" t="inlineStr">
        <is>
          <t>or item code =</t>
        </is>
      </c>
      <c r="B1064" s="25" t="inlineStr">
        <is>
          <t>73052</t>
        </is>
      </c>
      <c r="C1064" s="25" t="inlineStr">
        <is>
          <t>RUM CHATA HORCHATA CREAM LIQUEUR (RUM BASE)</t>
        </is>
      </c>
      <c r="D1064" s="25" t="inlineStr">
        <is>
          <t>375ml</t>
        </is>
      </c>
      <c r="E1064" s="27" t="n">
        <v>29</v>
      </c>
      <c r="F1064" s="27" t="n">
        <v>58</v>
      </c>
      <c r="G1064" s="27" t="n">
        <v>12</v>
      </c>
      <c r="H1064" s="28" t="n">
        <v>132.77</v>
      </c>
      <c r="I1064" s="28" t="n">
        <v>0</v>
      </c>
      <c r="J1064" s="94" t="inlineStr">
        <is>
          <t>False</t>
        </is>
      </c>
      <c r="K1064" s="28" t="n">
        <v>0</v>
      </c>
      <c r="L1064" s="25" t="inlineStr">
        <is>
          <t>RUM</t>
        </is>
      </c>
      <c r="M1064" s="25" t="inlineStr">
        <is>
          <t>E &amp; J GALLO WINERY</t>
        </is>
      </c>
      <c r="N1064" s="25" t="inlineStr">
        <is>
          <t>040012-GALLO WINES OF MISSISSIPPI</t>
        </is>
      </c>
      <c r="O1064" s="25" t="n"/>
      <c r="P1064" s="25" t="inlineStr">
        <is>
          <t>10890355001039</t>
        </is>
      </c>
      <c r="Q1064" s="25" t="inlineStr">
        <is>
          <t>0890355001032</t>
        </is>
      </c>
      <c r="R1064" s="78" t="n">
        <v>42328</v>
      </c>
    </row>
    <row r="1065">
      <c r="A1065" t="inlineStr">
        <is>
          <t>or item code =</t>
        </is>
      </c>
      <c r="B1065" s="25" t="inlineStr">
        <is>
          <t>80456</t>
        </is>
      </c>
      <c r="C1065" s="25" t="inlineStr">
        <is>
          <t>RYAN'S ORIGINAL CREME</t>
        </is>
      </c>
      <c r="D1065" s="25" t="inlineStr">
        <is>
          <t>750ml</t>
        </is>
      </c>
      <c r="E1065" s="27" t="n">
        <v>2</v>
      </c>
      <c r="F1065" s="27" t="n">
        <v>34</v>
      </c>
      <c r="G1065" s="27" t="n">
        <v>12</v>
      </c>
      <c r="H1065" s="28" t="n">
        <v>85.75</v>
      </c>
      <c r="I1065" s="28" t="n">
        <v>0</v>
      </c>
      <c r="J1065" s="94" t="inlineStr">
        <is>
          <t>False</t>
        </is>
      </c>
      <c r="K1065" s="28" t="n">
        <v>0</v>
      </c>
      <c r="L1065" s="25" t="inlineStr">
        <is>
          <t>LIQUEURS AND CORDIALS</t>
        </is>
      </c>
      <c r="M1065" s="25" t="inlineStr">
        <is>
          <t>SAZERAC COMPANY</t>
        </is>
      </c>
      <c r="N1065" s="25" t="inlineStr">
        <is>
          <t>040010-SOUTHERN GLAZERS WINE AND SPIRITS OF MISSISSIPPI LLC</t>
        </is>
      </c>
      <c r="O1065" s="25" t="n"/>
      <c r="P1065" s="25" t="inlineStr">
        <is>
          <t>10082844580433</t>
        </is>
      </c>
      <c r="Q1065" s="25" t="inlineStr">
        <is>
          <t>0086024015435</t>
        </is>
      </c>
      <c r="R1065" s="78" t="n">
        <v>42279</v>
      </c>
    </row>
    <row r="1066">
      <c r="A1066" t="inlineStr">
        <is>
          <t>or item code =</t>
        </is>
      </c>
      <c r="B1066" s="25" t="inlineStr">
        <is>
          <t>80458</t>
        </is>
      </c>
      <c r="C1066" s="25" t="inlineStr">
        <is>
          <t>RYAN'S ORIGINAL CREME</t>
        </is>
      </c>
      <c r="D1066" s="25" t="inlineStr">
        <is>
          <t>1.75L</t>
        </is>
      </c>
      <c r="E1066" s="27" t="n">
        <v>21</v>
      </c>
      <c r="F1066" s="27" t="n">
        <v>23</v>
      </c>
      <c r="G1066" s="27" t="n">
        <v>6</v>
      </c>
      <c r="H1066" s="28" t="n">
        <v>90.87</v>
      </c>
      <c r="I1066" s="28" t="n">
        <v>0</v>
      </c>
      <c r="J1066" s="94" t="inlineStr">
        <is>
          <t>False</t>
        </is>
      </c>
      <c r="K1066" s="28" t="n">
        <v>0</v>
      </c>
      <c r="L1066" s="25" t="inlineStr">
        <is>
          <t>LIQUEURS AND CORDIALS</t>
        </is>
      </c>
      <c r="M1066" s="25" t="inlineStr">
        <is>
          <t>SAZERAC COMPANY</t>
        </is>
      </c>
      <c r="N1066" s="25" t="inlineStr">
        <is>
          <t>040010-SOUTHERN GLAZERS WINE AND SPIRITS OF MISSISSIPPI LLC</t>
        </is>
      </c>
      <c r="O1066" s="25" t="n"/>
      <c r="P1066" s="25" t="n"/>
      <c r="Q1066" s="25" t="inlineStr">
        <is>
          <t>0086024015411</t>
        </is>
      </c>
      <c r="R1066" s="78" t="n">
        <v>42279</v>
      </c>
    </row>
    <row r="1067">
      <c r="A1067" t="inlineStr">
        <is>
          <t>or item code =</t>
        </is>
      </c>
      <c r="B1067" s="25" t="inlineStr">
        <is>
          <t>67708</t>
        </is>
      </c>
      <c r="C1067" s="25" t="inlineStr">
        <is>
          <t>SABROSO COFFEE</t>
        </is>
      </c>
      <c r="D1067" s="25" t="inlineStr">
        <is>
          <t>1.75L</t>
        </is>
      </c>
      <c r="E1067" s="27" t="n">
        <v>160</v>
      </c>
      <c r="F1067" s="27" t="n">
        <v>45</v>
      </c>
      <c r="G1067" s="27" t="n">
        <v>6</v>
      </c>
      <c r="H1067" s="28" t="n">
        <v>55.33</v>
      </c>
      <c r="I1067" s="28" t="n">
        <v>0</v>
      </c>
      <c r="J1067" s="94" t="inlineStr">
        <is>
          <t>False</t>
        </is>
      </c>
      <c r="K1067" s="28" t="n">
        <v>0</v>
      </c>
      <c r="L1067" s="25" t="inlineStr">
        <is>
          <t>LIQUEURS AND CORDIALS</t>
        </is>
      </c>
      <c r="M1067" s="25" t="inlineStr">
        <is>
          <t>SAZERAC COMPANY</t>
        </is>
      </c>
      <c r="N1067" s="25" t="inlineStr">
        <is>
          <t>040002-RNDC-MAGNOLIA</t>
        </is>
      </c>
      <c r="O1067" s="25" t="n"/>
      <c r="P1067" s="25" t="inlineStr">
        <is>
          <t>10080660671212</t>
        </is>
      </c>
      <c r="Q1067" s="25" t="inlineStr">
        <is>
          <t>0080660671215</t>
        </is>
      </c>
      <c r="R1067" s="78" t="n">
        <v>43265</v>
      </c>
    </row>
    <row r="1068">
      <c r="A1068" t="inlineStr">
        <is>
          <t>or item code =</t>
        </is>
      </c>
      <c r="B1068" s="25" t="inlineStr">
        <is>
          <t>45886</t>
        </is>
      </c>
      <c r="C1068" s="25" t="inlineStr">
        <is>
          <t>SAILOR JERRY SPICED NAVY RUM</t>
        </is>
      </c>
      <c r="D1068" s="25" t="inlineStr">
        <is>
          <t>750ml</t>
        </is>
      </c>
      <c r="E1068" s="27" t="n">
        <v>1</v>
      </c>
      <c r="F1068" s="27" t="n">
        <v>42</v>
      </c>
      <c r="G1068" s="27" t="n">
        <v>12</v>
      </c>
      <c r="H1068" s="28" t="n">
        <v>193.76</v>
      </c>
      <c r="I1068" s="28" t="n">
        <v>0</v>
      </c>
      <c r="J1068" s="94" t="inlineStr">
        <is>
          <t>False</t>
        </is>
      </c>
      <c r="K1068" s="28" t="n">
        <v>0</v>
      </c>
      <c r="L1068" s="25" t="inlineStr">
        <is>
          <t>RUM</t>
        </is>
      </c>
      <c r="M1068" s="25" t="inlineStr">
        <is>
          <t>WILLIAM GRANT &amp; SONS</t>
        </is>
      </c>
      <c r="N1068" s="25" t="inlineStr">
        <is>
          <t>040002-RNDC-MAGNOLIA</t>
        </is>
      </c>
      <c r="O1068" s="25" t="n"/>
      <c r="P1068" s="25" t="inlineStr">
        <is>
          <t>20083664864465</t>
        </is>
      </c>
      <c r="Q1068" s="25" t="inlineStr">
        <is>
          <t>0083664864461</t>
        </is>
      </c>
      <c r="R1068" s="78" t="n">
        <v>44501</v>
      </c>
    </row>
    <row r="1069">
      <c r="A1069" t="inlineStr">
        <is>
          <t>or item code =</t>
        </is>
      </c>
      <c r="B1069" s="25" t="inlineStr">
        <is>
          <t>49373</t>
        </is>
      </c>
      <c r="C1069" s="25" t="inlineStr">
        <is>
          <t>SALIGNAC V S</t>
        </is>
      </c>
      <c r="D1069" s="25" t="inlineStr">
        <is>
          <t>200ml</t>
        </is>
      </c>
      <c r="E1069" s="27" t="n">
        <v>70</v>
      </c>
      <c r="F1069" s="27" t="n">
        <v>18</v>
      </c>
      <c r="G1069" s="27" t="n">
        <v>24</v>
      </c>
      <c r="H1069" s="28" t="n">
        <v>171.26</v>
      </c>
      <c r="I1069" s="28" t="n">
        <v>0</v>
      </c>
      <c r="J1069" s="94" t="inlineStr">
        <is>
          <t>False</t>
        </is>
      </c>
      <c r="K1069" s="28" t="n">
        <v>0</v>
      </c>
      <c r="L1069" s="25" t="inlineStr">
        <is>
          <t>COGNAC, ARMAGNAC</t>
        </is>
      </c>
      <c r="M1069" s="25" t="inlineStr">
        <is>
          <t>JIM BEAM BRANDS CO</t>
        </is>
      </c>
      <c r="N1069" s="25" t="inlineStr">
        <is>
          <t>040010-SOUTHERN GLAZERS WINE AND SPIRITS OF MISSISSIPPI LLC</t>
        </is>
      </c>
      <c r="O1069" s="25" t="n"/>
      <c r="P1069" s="25" t="inlineStr">
        <is>
          <t>10080686744044</t>
        </is>
      </c>
      <c r="Q1069" s="25" t="inlineStr">
        <is>
          <t>080686744047</t>
        </is>
      </c>
      <c r="R1069" s="78" t="n">
        <v>42370</v>
      </c>
    </row>
    <row r="1070">
      <c r="A1070" t="inlineStr">
        <is>
          <t>or item code =</t>
        </is>
      </c>
      <c r="B1070" s="25" t="inlineStr">
        <is>
          <t>49374</t>
        </is>
      </c>
      <c r="C1070" s="25" t="inlineStr">
        <is>
          <t>SALIGNAC V S</t>
        </is>
      </c>
      <c r="D1070" s="25" t="inlineStr">
        <is>
          <t>375ml</t>
        </is>
      </c>
      <c r="E1070" s="27" t="n">
        <v>1143</v>
      </c>
      <c r="F1070" s="27" t="n">
        <v>95</v>
      </c>
      <c r="G1070" s="27" t="n">
        <v>12</v>
      </c>
      <c r="H1070" s="28" t="n">
        <v>145.63</v>
      </c>
      <c r="I1070" s="28" t="n">
        <v>0</v>
      </c>
      <c r="J1070" s="94" t="inlineStr">
        <is>
          <t>False</t>
        </is>
      </c>
      <c r="K1070" s="28" t="n">
        <v>0</v>
      </c>
      <c r="L1070" s="25" t="inlineStr">
        <is>
          <t>COGNAC, ARMAGNAC</t>
        </is>
      </c>
      <c r="M1070" s="25" t="inlineStr">
        <is>
          <t>JIM BEAM BRANDS CO</t>
        </is>
      </c>
      <c r="N1070" s="25" t="inlineStr">
        <is>
          <t>040010-SOUTHERN GLAZERS WINE AND SPIRITS OF MISSISSIPPI LLC</t>
        </is>
      </c>
      <c r="O1070" s="25" t="n"/>
      <c r="P1070" s="25" t="inlineStr">
        <is>
          <t>10080686744037</t>
        </is>
      </c>
      <c r="Q1070" s="25" t="inlineStr">
        <is>
          <t>0080686744030</t>
        </is>
      </c>
      <c r="R1070" s="78" t="n">
        <v>42370</v>
      </c>
    </row>
    <row r="1071">
      <c r="A1071" t="inlineStr">
        <is>
          <t>or item code =</t>
        </is>
      </c>
      <c r="B1071" s="25" t="inlineStr">
        <is>
          <t>49376</t>
        </is>
      </c>
      <c r="C1071" s="25" t="inlineStr">
        <is>
          <t>SALIGNAC V S</t>
        </is>
      </c>
      <c r="D1071" s="25" t="inlineStr">
        <is>
          <t>750ml</t>
        </is>
      </c>
      <c r="E1071" s="27" t="n">
        <v>39</v>
      </c>
      <c r="F1071" s="27" t="n">
        <v>129</v>
      </c>
      <c r="G1071" s="27" t="n">
        <v>12</v>
      </c>
      <c r="H1071" s="28" t="n">
        <v>239.89</v>
      </c>
      <c r="I1071" s="28" t="n">
        <v>36.93</v>
      </c>
      <c r="J1071" s="94" t="inlineStr">
        <is>
          <t>False</t>
        </is>
      </c>
      <c r="K1071" s="28" t="n">
        <v>0</v>
      </c>
      <c r="L1071" s="25" t="inlineStr">
        <is>
          <t>COGNAC, ARMAGNAC</t>
        </is>
      </c>
      <c r="M1071" s="25" t="inlineStr">
        <is>
          <t>JIM BEAM BRANDS CO</t>
        </is>
      </c>
      <c r="N1071" s="25" t="inlineStr">
        <is>
          <t>040010-SOUTHERN GLAZERS WINE AND SPIRITS OF MISSISSIPPI LLC</t>
        </is>
      </c>
      <c r="O1071" s="25" t="n"/>
      <c r="P1071" s="25" t="inlineStr">
        <is>
          <t>10080686744068</t>
        </is>
      </c>
      <c r="Q1071" s="25" t="inlineStr">
        <is>
          <t>0080686744061</t>
        </is>
      </c>
      <c r="R1071" s="78" t="n">
        <v>42278</v>
      </c>
    </row>
    <row r="1072">
      <c r="A1072" t="inlineStr">
        <is>
          <t>or item code =</t>
        </is>
      </c>
      <c r="B1072" s="25" t="inlineStr">
        <is>
          <t>611940</t>
        </is>
      </c>
      <c r="C1072" s="25" t="inlineStr">
        <is>
          <t>SALT OF THE EARTH FLORE DE MOSCATO</t>
        </is>
      </c>
      <c r="D1072" s="25" t="inlineStr">
        <is>
          <t>750ml</t>
        </is>
      </c>
      <c r="E1072" s="27" t="n">
        <v>0</v>
      </c>
      <c r="F1072" s="27" t="n">
        <v>1</v>
      </c>
      <c r="G1072" s="27" t="n">
        <v>12</v>
      </c>
      <c r="H1072" s="28" t="n">
        <v>121.81</v>
      </c>
      <c r="I1072" s="28" t="n">
        <v>0</v>
      </c>
      <c r="J1072" s="94" t="inlineStr">
        <is>
          <t>False</t>
        </is>
      </c>
      <c r="K1072" s="28" t="n">
        <v>0</v>
      </c>
      <c r="L1072" s="25" t="inlineStr">
        <is>
          <t>MOSCATO WHITE</t>
        </is>
      </c>
      <c r="M1072" s="25" t="inlineStr">
        <is>
          <t>SALT OF THE EARTH LP</t>
        </is>
      </c>
      <c r="N1072" s="25" t="inlineStr">
        <is>
          <t>040005-STEVE TONORE &amp; ASSOCIATES</t>
        </is>
      </c>
      <c r="O1072" s="25" t="n"/>
      <c r="P1072" s="25" t="inlineStr">
        <is>
          <t>10013022000399</t>
        </is>
      </c>
      <c r="Q1072" s="25" t="inlineStr">
        <is>
          <t>0013022000392</t>
        </is>
      </c>
      <c r="R1072" s="78" t="n">
        <v>42370</v>
      </c>
    </row>
    <row r="1073">
      <c r="A1073" t="inlineStr">
        <is>
          <t>or item code =</t>
        </is>
      </c>
      <c r="B1073" s="25" t="inlineStr">
        <is>
          <t>503850</t>
        </is>
      </c>
      <c r="C1073" s="25" t="inlineStr">
        <is>
          <t>SALT OF THE EARTH MOSCATO RUBINO</t>
        </is>
      </c>
      <c r="D1073" s="25" t="inlineStr">
        <is>
          <t>750ml</t>
        </is>
      </c>
      <c r="E1073" s="27" t="n">
        <v>3</v>
      </c>
      <c r="F1073" s="27" t="n">
        <v>352</v>
      </c>
      <c r="G1073" s="27" t="n">
        <v>12</v>
      </c>
      <c r="H1073" s="28" t="n">
        <v>121.81</v>
      </c>
      <c r="I1073" s="28" t="n">
        <v>0</v>
      </c>
      <c r="J1073" s="94" t="inlineStr">
        <is>
          <t>False</t>
        </is>
      </c>
      <c r="K1073" s="28" t="n">
        <v>0</v>
      </c>
      <c r="L1073" s="25" t="inlineStr">
        <is>
          <t>MOSCATO RED</t>
        </is>
      </c>
      <c r="M1073" s="25" t="inlineStr">
        <is>
          <t>SALT OF THE EARTH LP</t>
        </is>
      </c>
      <c r="N1073" s="25" t="inlineStr">
        <is>
          <t>040005-STEVE TONORE &amp; ASSOCIATES</t>
        </is>
      </c>
      <c r="O1073" s="25" t="inlineStr">
        <is>
          <t>Unavailable due to inventory issues</t>
        </is>
      </c>
      <c r="P1073" s="25" t="inlineStr">
        <is>
          <t>10013022000375</t>
        </is>
      </c>
      <c r="Q1073" s="25" t="inlineStr">
        <is>
          <t>0013022000378</t>
        </is>
      </c>
      <c r="R1073" s="78" t="n">
        <v>42370</v>
      </c>
    </row>
    <row r="1074">
      <c r="A1074" t="inlineStr">
        <is>
          <t>or item code =</t>
        </is>
      </c>
      <c r="B1074" s="25" t="inlineStr">
        <is>
          <t>63530</t>
        </is>
      </c>
      <c r="C1074" s="25" t="inlineStr">
        <is>
          <t>SALVADOR'S ORIGINAL MARGARITA 26PRF RTD</t>
        </is>
      </c>
      <c r="D1074" s="25" t="inlineStr">
        <is>
          <t>1.75L</t>
        </is>
      </c>
      <c r="E1074" s="27" t="n">
        <v>112</v>
      </c>
      <c r="F1074" s="27" t="n">
        <v>30</v>
      </c>
      <c r="G1074" s="27" t="n">
        <v>6</v>
      </c>
      <c r="H1074" s="28" t="n">
        <v>64.56</v>
      </c>
      <c r="I1074" s="28" t="n">
        <v>0</v>
      </c>
      <c r="J1074" s="94" t="inlineStr">
        <is>
          <t>False</t>
        </is>
      </c>
      <c r="K1074" s="28" t="n">
        <v>0</v>
      </c>
      <c r="L1074" s="25" t="inlineStr">
        <is>
          <t>COCKTAILS</t>
        </is>
      </c>
      <c r="M1074" s="25" t="inlineStr">
        <is>
          <t>LUXCO, INC</t>
        </is>
      </c>
      <c r="N1074" s="25" t="inlineStr">
        <is>
          <t>040010-SOUTHERN GLAZERS WINE AND SPIRITS OF MISSISSIPPI LLC</t>
        </is>
      </c>
      <c r="O1074" s="25" t="n"/>
      <c r="P1074" s="25" t="inlineStr">
        <is>
          <t>10088352128587</t>
        </is>
      </c>
      <c r="Q1074" s="25" t="inlineStr">
        <is>
          <t>0088352128580</t>
        </is>
      </c>
      <c r="R1074" s="78" t="n">
        <v>42279</v>
      </c>
    </row>
    <row r="1075">
      <c r="A1075" t="inlineStr">
        <is>
          <t>or item code =</t>
        </is>
      </c>
      <c r="B1075" s="25" t="inlineStr">
        <is>
          <t>66580</t>
        </is>
      </c>
      <c r="C1075" s="25" t="inlineStr">
        <is>
          <t>SALVADOR'S PREMIUM MARGARITA</t>
        </is>
      </c>
      <c r="D1075" s="25" t="inlineStr">
        <is>
          <t>1.75L</t>
        </is>
      </c>
      <c r="E1075" s="27" t="n">
        <v>123</v>
      </c>
      <c r="F1075" s="27" t="n">
        <v>20</v>
      </c>
      <c r="G1075" s="27" t="n">
        <v>6</v>
      </c>
      <c r="H1075" s="28" t="n">
        <v>92.25</v>
      </c>
      <c r="I1075" s="28" t="n">
        <v>0</v>
      </c>
      <c r="J1075" s="94" t="inlineStr">
        <is>
          <t>False</t>
        </is>
      </c>
      <c r="K1075" s="28" t="n">
        <v>0</v>
      </c>
      <c r="L1075" s="25" t="inlineStr">
        <is>
          <t>COCKTAILS</t>
        </is>
      </c>
      <c r="M1075" s="25" t="inlineStr">
        <is>
          <t>LUXCO, INC</t>
        </is>
      </c>
      <c r="N1075" s="25" t="inlineStr">
        <is>
          <t>040010-SOUTHERN GLAZERS WINE AND SPIRITS OF MISSISSIPPI LLC</t>
        </is>
      </c>
      <c r="O1075" s="25" t="n"/>
      <c r="P1075" s="25" t="inlineStr">
        <is>
          <t>10088352125005</t>
        </is>
      </c>
      <c r="Q1075" s="25" t="inlineStr">
        <is>
          <t>0088352125008</t>
        </is>
      </c>
      <c r="R1075" s="78" t="n">
        <v>42279</v>
      </c>
    </row>
    <row r="1076">
      <c r="A1076" t="inlineStr">
        <is>
          <t>or item code =</t>
        </is>
      </c>
      <c r="B1076" s="25" t="inlineStr">
        <is>
          <t>504640</t>
        </is>
      </c>
      <c r="C1076" s="25" t="inlineStr">
        <is>
          <t>SAN ANTONIO CARDINALE</t>
        </is>
      </c>
      <c r="D1076" s="25" t="inlineStr">
        <is>
          <t>750ml</t>
        </is>
      </c>
      <c r="E1076" s="27" t="n">
        <v>0</v>
      </c>
      <c r="F1076" s="27" t="n">
        <v>16</v>
      </c>
      <c r="G1076" s="27" t="n">
        <v>12</v>
      </c>
      <c r="H1076" s="28" t="n">
        <v>85.86</v>
      </c>
      <c r="I1076" s="28" t="n">
        <v>0</v>
      </c>
      <c r="J1076" s="94" t="inlineStr">
        <is>
          <t>False</t>
        </is>
      </c>
      <c r="K1076" s="28" t="n">
        <v>0</v>
      </c>
      <c r="L1076" s="25" t="inlineStr">
        <is>
          <t>RED WINE</t>
        </is>
      </c>
      <c r="M1076" s="25" t="inlineStr">
        <is>
          <t>SAN ANTONIO WINERY</t>
        </is>
      </c>
      <c r="N1076" s="25" t="inlineStr">
        <is>
          <t>040003-RNDC-VINTAGE</t>
        </is>
      </c>
      <c r="O1076" s="25" t="n"/>
      <c r="P1076" s="25" t="inlineStr">
        <is>
          <t>87872230100000</t>
        </is>
      </c>
      <c r="Q1076" s="25" t="inlineStr">
        <is>
          <t>878722301000</t>
        </is>
      </c>
      <c r="R1076" s="78" t="n">
        <v>44228</v>
      </c>
    </row>
    <row r="1077">
      <c r="A1077" t="inlineStr">
        <is>
          <t>or item code =</t>
        </is>
      </c>
      <c r="B1077" s="25" t="inlineStr">
        <is>
          <t>90694</t>
        </is>
      </c>
      <c r="C1077" s="25" t="inlineStr">
        <is>
          <t>SANDEMAN FINE RUBY PORT</t>
        </is>
      </c>
      <c r="D1077" s="25" t="inlineStr">
        <is>
          <t>750ml</t>
        </is>
      </c>
      <c r="E1077" s="27" t="n">
        <v>19</v>
      </c>
      <c r="F1077" s="27" t="n">
        <v>18</v>
      </c>
      <c r="G1077" s="27" t="n">
        <v>12</v>
      </c>
      <c r="H1077" s="28" t="n">
        <v>177.66</v>
      </c>
      <c r="I1077" s="28" t="n">
        <v>0</v>
      </c>
      <c r="J1077" s="94" t="inlineStr">
        <is>
          <t>False</t>
        </is>
      </c>
      <c r="K1077" s="28" t="n">
        <v>0</v>
      </c>
      <c r="L1077" s="25" t="inlineStr">
        <is>
          <t>DESSERT - PORT</t>
        </is>
      </c>
      <c r="M1077" s="25" t="inlineStr">
        <is>
          <t>EVATON INC</t>
        </is>
      </c>
      <c r="N1077" s="25" t="inlineStr">
        <is>
          <t>040003-RNDC-VINTAGE</t>
        </is>
      </c>
      <c r="O1077" s="25" t="n"/>
      <c r="P1077" s="25" t="inlineStr">
        <is>
          <t>0080432900529</t>
        </is>
      </c>
      <c r="Q1077" s="25" t="inlineStr">
        <is>
          <t>0080432900529</t>
        </is>
      </c>
      <c r="R1077" s="78" t="n">
        <v>42370</v>
      </c>
    </row>
    <row r="1078">
      <c r="A1078" t="inlineStr">
        <is>
          <t>or item code =</t>
        </is>
      </c>
      <c r="B1078" s="25" t="inlineStr">
        <is>
          <t>382000</t>
        </is>
      </c>
      <c r="C1078" s="25" t="inlineStr">
        <is>
          <t>SANTA MARGHERITA PINOT GRIGIO</t>
        </is>
      </c>
      <c r="D1078" s="25" t="inlineStr">
        <is>
          <t>750ml</t>
        </is>
      </c>
      <c r="E1078" s="27" t="n">
        <v>276</v>
      </c>
      <c r="F1078" s="27" t="n">
        <v>98</v>
      </c>
      <c r="G1078" s="27" t="n">
        <v>12</v>
      </c>
      <c r="H1078" s="28" t="n">
        <v>235.79</v>
      </c>
      <c r="I1078" s="28" t="n">
        <v>0</v>
      </c>
      <c r="J1078" s="94" t="inlineStr">
        <is>
          <t>False</t>
        </is>
      </c>
      <c r="K1078" s="28" t="n">
        <v>0</v>
      </c>
      <c r="L1078" s="25" t="inlineStr">
        <is>
          <t>PINOT GRIS/PINOT GRIGIO</t>
        </is>
      </c>
      <c r="M1078" s="25" t="inlineStr">
        <is>
          <t>SANTA MARGHERITA USA INC</t>
        </is>
      </c>
      <c r="N1078" s="25" t="inlineStr">
        <is>
          <t>040003-RNDC-VINTAGE</t>
        </is>
      </c>
      <c r="O1078" s="25" t="n"/>
      <c r="P1078" s="25" t="inlineStr">
        <is>
          <t>00632987200205</t>
        </is>
      </c>
      <c r="Q1078" s="25" t="inlineStr">
        <is>
          <t>0632987200205</t>
        </is>
      </c>
      <c r="R1078" s="78" t="n">
        <v>42370</v>
      </c>
    </row>
    <row r="1079">
      <c r="A1079" t="inlineStr">
        <is>
          <t>or item code =</t>
        </is>
      </c>
      <c r="B1079" s="25" t="inlineStr">
        <is>
          <t>89846</t>
        </is>
      </c>
      <c r="C1079" s="25" t="inlineStr">
        <is>
          <t>SAUZA TRES GENERACIONES ANEJO GOLD TEQUILA</t>
        </is>
      </c>
      <c r="D1079" s="25" t="inlineStr">
        <is>
          <t>750ml</t>
        </is>
      </c>
      <c r="E1079" s="27" t="n">
        <v>89</v>
      </c>
      <c r="F1079" s="27" t="n">
        <v>12</v>
      </c>
      <c r="G1079" s="27" t="n">
        <v>6</v>
      </c>
      <c r="H1079" s="28" t="n">
        <v>212.25</v>
      </c>
      <c r="I1079" s="28" t="n">
        <v>0</v>
      </c>
      <c r="J1079" s="94" t="inlineStr">
        <is>
          <t>False</t>
        </is>
      </c>
      <c r="K1079" s="28" t="n">
        <v>0</v>
      </c>
      <c r="L1079" s="25" t="inlineStr">
        <is>
          <t>TEQUILA</t>
        </is>
      </c>
      <c r="M1079" s="25" t="inlineStr">
        <is>
          <t>JIM BEAM BRANDS CO</t>
        </is>
      </c>
      <c r="N1079" s="25" t="inlineStr">
        <is>
          <t>040010-SOUTHERN GLAZERS WINE AND SPIRITS OF MISSISSIPPI LLC</t>
        </is>
      </c>
      <c r="O1079" s="25" t="n"/>
      <c r="P1079" s="25" t="inlineStr">
        <is>
          <t>10080686836152</t>
        </is>
      </c>
      <c r="Q1079" s="25" t="inlineStr">
        <is>
          <t>0080686836025</t>
        </is>
      </c>
      <c r="R1079" s="78" t="n">
        <v>42370</v>
      </c>
    </row>
    <row r="1080">
      <c r="A1080" t="inlineStr">
        <is>
          <t>or item code =</t>
        </is>
      </c>
      <c r="B1080" s="25" t="inlineStr">
        <is>
          <t>88566</t>
        </is>
      </c>
      <c r="C1080" s="25" t="inlineStr">
        <is>
          <t>SAUZA TRES GENERACIONES PLATA WHITE TEQUILA</t>
        </is>
      </c>
      <c r="D1080" s="25" t="inlineStr">
        <is>
          <t>750ml</t>
        </is>
      </c>
      <c r="E1080" s="27" t="n">
        <v>74</v>
      </c>
      <c r="F1080" s="27" t="n">
        <v>10</v>
      </c>
      <c r="G1080" s="27" t="n">
        <v>6</v>
      </c>
      <c r="H1080" s="28" t="n">
        <v>179.94</v>
      </c>
      <c r="I1080" s="28" t="n">
        <v>0</v>
      </c>
      <c r="J1080" s="94" t="inlineStr">
        <is>
          <t>False</t>
        </is>
      </c>
      <c r="K1080" s="28" t="n">
        <v>0</v>
      </c>
      <c r="L1080" s="25" t="inlineStr">
        <is>
          <t>TEQUILA</t>
        </is>
      </c>
      <c r="M1080" s="25" t="inlineStr">
        <is>
          <t>JIM BEAM BRANDS CO</t>
        </is>
      </c>
      <c r="N1080" s="25" t="inlineStr">
        <is>
          <t>040010-SOUTHERN GLAZERS WINE AND SPIRITS OF MISSISSIPPI LLC</t>
        </is>
      </c>
      <c r="O1080" s="25" t="n"/>
      <c r="P1080" s="25" t="inlineStr">
        <is>
          <t>10080686836169</t>
        </is>
      </c>
      <c r="Q1080" s="25" t="inlineStr">
        <is>
          <t>0080686836018</t>
        </is>
      </c>
      <c r="R1080" s="78" t="n">
        <v>42370</v>
      </c>
    </row>
    <row r="1081">
      <c r="A1081" t="inlineStr">
        <is>
          <t>or item code =</t>
        </is>
      </c>
      <c r="B1081" s="25" t="inlineStr">
        <is>
          <t>25606</t>
        </is>
      </c>
      <c r="C1081" s="25" t="inlineStr">
        <is>
          <t>SEAGRAM'S 7 CROWN BLENDED WHISKEY</t>
        </is>
      </c>
      <c r="D1081" s="25" t="inlineStr">
        <is>
          <t>750ml</t>
        </is>
      </c>
      <c r="E1081" s="27" t="n">
        <v>2</v>
      </c>
      <c r="F1081" s="27" t="n">
        <v>111</v>
      </c>
      <c r="G1081" s="27" t="n">
        <v>12</v>
      </c>
      <c r="H1081" s="28" t="n">
        <v>126.86</v>
      </c>
      <c r="I1081" s="28" t="n">
        <v>0</v>
      </c>
      <c r="J1081" s="94" t="inlineStr">
        <is>
          <t>False</t>
        </is>
      </c>
      <c r="K1081" s="28" t="n">
        <v>0</v>
      </c>
      <c r="L1081" s="25" t="inlineStr">
        <is>
          <t>WHISKEY - BLENDED</t>
        </is>
      </c>
      <c r="M1081" s="25" t="inlineStr">
        <is>
          <t>DIAGEO AMERICAS INC</t>
        </is>
      </c>
      <c r="N1081" s="25" t="inlineStr">
        <is>
          <t>040010-SOUTHERN GLAZERS WINE AND SPIRITS OF MISSISSIPPI LLC</t>
        </is>
      </c>
      <c r="O1081" s="25" t="n"/>
      <c r="P1081" s="25" t="inlineStr">
        <is>
          <t>10087000007335</t>
        </is>
      </c>
      <c r="Q1081" s="25" t="inlineStr">
        <is>
          <t>0087000007338</t>
        </is>
      </c>
      <c r="R1081" s="78" t="n">
        <v>42370</v>
      </c>
    </row>
    <row r="1082">
      <c r="A1082" t="inlineStr">
        <is>
          <t>or item code =</t>
        </is>
      </c>
      <c r="B1082" s="25" t="inlineStr">
        <is>
          <t>25608</t>
        </is>
      </c>
      <c r="C1082" s="25" t="inlineStr">
        <is>
          <t>SEAGRAM'S 7 CROWN BLENDED WHISKEY</t>
        </is>
      </c>
      <c r="D1082" s="25" t="inlineStr">
        <is>
          <t>1.75L</t>
        </is>
      </c>
      <c r="E1082" s="27" t="n">
        <v>0</v>
      </c>
      <c r="F1082" s="27" t="n">
        <v>75</v>
      </c>
      <c r="G1082" s="27" t="n">
        <v>6</v>
      </c>
      <c r="H1082" s="28" t="n">
        <v>122.46</v>
      </c>
      <c r="I1082" s="28" t="n">
        <v>0</v>
      </c>
      <c r="J1082" s="94" t="inlineStr">
        <is>
          <t>False</t>
        </is>
      </c>
      <c r="K1082" s="28" t="n">
        <v>0</v>
      </c>
      <c r="L1082" s="25" t="inlineStr">
        <is>
          <t>WHISKEY - BLENDED</t>
        </is>
      </c>
      <c r="M1082" s="25" t="inlineStr">
        <is>
          <t>DIAGEO AMERICAS INC</t>
        </is>
      </c>
      <c r="N1082" s="25" t="inlineStr">
        <is>
          <t>040010-SOUTHERN GLAZERS WINE AND SPIRITS OF MISSISSIPPI LLC</t>
        </is>
      </c>
      <c r="O1082" s="25" t="n"/>
      <c r="P1082" s="25" t="inlineStr">
        <is>
          <t>10087000700700</t>
        </is>
      </c>
      <c r="Q1082" s="25" t="inlineStr">
        <is>
          <t>0087000700703</t>
        </is>
      </c>
      <c r="R1082" s="78" t="n">
        <v>42370</v>
      </c>
    </row>
    <row r="1083">
      <c r="A1083" t="inlineStr">
        <is>
          <t>or item code =</t>
        </is>
      </c>
      <c r="B1083" s="25" t="inlineStr">
        <is>
          <t>25604</t>
        </is>
      </c>
      <c r="C1083" s="25" t="inlineStr">
        <is>
          <t>SEAGRAM'S 7 CROWN BLENDED WHISKEY (PET)</t>
        </is>
      </c>
      <c r="D1083" s="25" t="inlineStr">
        <is>
          <t>375ml</t>
        </is>
      </c>
      <c r="E1083" s="27" t="n">
        <v>0</v>
      </c>
      <c r="F1083" s="27" t="n">
        <v>348</v>
      </c>
      <c r="G1083" s="27" t="n">
        <v>12</v>
      </c>
      <c r="H1083" s="28" t="n">
        <v>67.06999999999999</v>
      </c>
      <c r="I1083" s="28" t="n">
        <v>0</v>
      </c>
      <c r="J1083" s="94" t="inlineStr">
        <is>
          <t>False</t>
        </is>
      </c>
      <c r="K1083" s="28" t="n">
        <v>0</v>
      </c>
      <c r="L1083" s="25" t="inlineStr">
        <is>
          <t>WHISKEY - BLENDED</t>
        </is>
      </c>
      <c r="M1083" s="25" t="inlineStr">
        <is>
          <t>DIAGEO AMERICAS INC</t>
        </is>
      </c>
      <c r="N1083" s="25" t="inlineStr">
        <is>
          <t>040010-SOUTHERN GLAZERS WINE AND SPIRITS OF MISSISSIPPI LLC</t>
        </is>
      </c>
      <c r="O1083" s="25" t="n"/>
      <c r="P1083" s="25" t="inlineStr">
        <is>
          <t>00082000759195</t>
        </is>
      </c>
      <c r="Q1083" s="25" t="inlineStr">
        <is>
          <t>08776509</t>
        </is>
      </c>
      <c r="R1083" s="78" t="n">
        <v>42370</v>
      </c>
    </row>
    <row r="1084">
      <c r="A1084" t="inlineStr">
        <is>
          <t>or item code =</t>
        </is>
      </c>
      <c r="B1084" s="25" t="inlineStr">
        <is>
          <t>25603</t>
        </is>
      </c>
      <c r="C1084" s="25" t="inlineStr">
        <is>
          <t>SEAGRAM'S 7 CROWN BLENDED WHISKEY (PET)</t>
        </is>
      </c>
      <c r="D1084" s="25" t="inlineStr">
        <is>
          <t>200ml</t>
        </is>
      </c>
      <c r="E1084" s="27" t="n">
        <v>0</v>
      </c>
      <c r="F1084" s="27" t="n">
        <v>50</v>
      </c>
      <c r="G1084" s="27" t="n">
        <v>24</v>
      </c>
      <c r="H1084" s="28" t="n">
        <v>74.78</v>
      </c>
      <c r="I1084" s="28" t="n">
        <v>0</v>
      </c>
      <c r="J1084" s="94" t="inlineStr">
        <is>
          <t>False</t>
        </is>
      </c>
      <c r="K1084" s="28" t="n">
        <v>0</v>
      </c>
      <c r="L1084" s="25" t="inlineStr">
        <is>
          <t>WHISKEY - BLENDED</t>
        </is>
      </c>
      <c r="M1084" s="25" t="inlineStr">
        <is>
          <t>DIAGEO AMERICAS INC</t>
        </is>
      </c>
      <c r="N1084" s="25" t="inlineStr">
        <is>
          <t>040010-SOUTHERN GLAZERS WINE AND SPIRITS OF MISSISSIPPI LLC</t>
        </is>
      </c>
      <c r="O1084" s="25" t="n"/>
      <c r="P1084" s="25" t="inlineStr">
        <is>
          <t>00082000759188</t>
        </is>
      </c>
      <c r="Q1084" s="25" t="inlineStr">
        <is>
          <t>08773502</t>
        </is>
      </c>
      <c r="R1084" s="78" t="n">
        <v>42370</v>
      </c>
    </row>
    <row r="1085">
      <c r="A1085" t="inlineStr">
        <is>
          <t>or item code =</t>
        </is>
      </c>
      <c r="B1085" s="25" t="inlineStr">
        <is>
          <t>12308</t>
        </is>
      </c>
      <c r="C1085" s="25" t="inlineStr">
        <is>
          <t>SEAGRAM'S CANADIAN HUNTER</t>
        </is>
      </c>
      <c r="D1085" s="25" t="inlineStr">
        <is>
          <t>1.75L</t>
        </is>
      </c>
      <c r="E1085" s="27" t="n">
        <v>0</v>
      </c>
      <c r="F1085" s="27" t="n">
        <v>151</v>
      </c>
      <c r="G1085" s="27" t="n">
        <v>6</v>
      </c>
      <c r="H1085" s="28" t="n">
        <v>76.56</v>
      </c>
      <c r="I1085" s="28" t="n">
        <v>17.99</v>
      </c>
      <c r="J1085" s="94" t="inlineStr">
        <is>
          <t>False</t>
        </is>
      </c>
      <c r="K1085" s="28" t="n">
        <v>0</v>
      </c>
      <c r="L1085" s="25" t="inlineStr">
        <is>
          <t>WHISKY - CANANDIAN</t>
        </is>
      </c>
      <c r="M1085" s="25" t="inlineStr">
        <is>
          <t>SAZERAC COMPANY</t>
        </is>
      </c>
      <c r="N1085" s="25" t="inlineStr">
        <is>
          <t>040010-SOUTHERN GLAZERS WINE AND SPIRITS OF MISSISSIPPI LLC</t>
        </is>
      </c>
      <c r="O1085" s="25" t="n"/>
      <c r="P1085" s="25" t="inlineStr">
        <is>
          <t>00008800470025</t>
        </is>
      </c>
      <c r="Q1085" s="25" t="inlineStr">
        <is>
          <t>088004700256</t>
        </is>
      </c>
      <c r="R1085" s="78" t="n">
        <v>42370</v>
      </c>
    </row>
    <row r="1086">
      <c r="A1086" t="inlineStr">
        <is>
          <t>or item code =</t>
        </is>
      </c>
      <c r="B1086" s="25" t="inlineStr">
        <is>
          <t>32214</t>
        </is>
      </c>
      <c r="C1086" s="25" t="inlineStr">
        <is>
          <t>SEAGRAM'S DISTILLER'S RESERVE 94 GIN</t>
        </is>
      </c>
      <c r="D1086" s="25" t="inlineStr">
        <is>
          <t>375ml</t>
        </is>
      </c>
      <c r="E1086" s="27" t="n">
        <v>33</v>
      </c>
      <c r="F1086" s="27" t="n">
        <v>32</v>
      </c>
      <c r="G1086" s="27" t="n">
        <v>24</v>
      </c>
      <c r="H1086" s="28" t="n">
        <v>145.69</v>
      </c>
      <c r="I1086" s="28" t="n">
        <v>0</v>
      </c>
      <c r="J1086" s="94" t="inlineStr">
        <is>
          <t>False</t>
        </is>
      </c>
      <c r="K1086" s="28" t="n">
        <v>0</v>
      </c>
      <c r="L1086" s="25" t="inlineStr">
        <is>
          <t>GIN</t>
        </is>
      </c>
      <c r="M1086" s="25" t="inlineStr">
        <is>
          <t>PERNOD RICARD USA LLC</t>
        </is>
      </c>
      <c r="N1086" s="25" t="inlineStr">
        <is>
          <t>040010-SOUTHERN GLAZERS WINE AND SPIRITS OF MISSISSIPPI LLC</t>
        </is>
      </c>
      <c r="O1086" s="25" t="n"/>
      <c r="P1086" s="25" t="inlineStr">
        <is>
          <t>20080432102040</t>
        </is>
      </c>
      <c r="Q1086" s="25" t="inlineStr">
        <is>
          <t>0080432102046</t>
        </is>
      </c>
      <c r="R1086" s="78" t="n">
        <v>42370</v>
      </c>
    </row>
    <row r="1087">
      <c r="A1087" t="inlineStr">
        <is>
          <t>or item code =</t>
        </is>
      </c>
      <c r="B1087" s="25" t="inlineStr">
        <is>
          <t>32216</t>
        </is>
      </c>
      <c r="C1087" s="25" t="inlineStr">
        <is>
          <t>SEAGRAM'S DISTILLER'S RESERVE 94 GIN</t>
        </is>
      </c>
      <c r="D1087" s="25" t="inlineStr">
        <is>
          <t>750ml</t>
        </is>
      </c>
      <c r="E1087" s="27" t="n">
        <v>67</v>
      </c>
      <c r="F1087" s="27" t="n">
        <v>50</v>
      </c>
      <c r="G1087" s="27" t="n">
        <v>12</v>
      </c>
      <c r="H1087" s="28" t="n">
        <v>129.31</v>
      </c>
      <c r="I1087" s="28" t="n">
        <v>0</v>
      </c>
      <c r="J1087" s="94" t="inlineStr">
        <is>
          <t>False</t>
        </is>
      </c>
      <c r="K1087" s="28" t="n">
        <v>0</v>
      </c>
      <c r="L1087" s="25" t="inlineStr">
        <is>
          <t>GIN</t>
        </is>
      </c>
      <c r="M1087" s="25" t="inlineStr">
        <is>
          <t>PERNOD RICARD USA LLC</t>
        </is>
      </c>
      <c r="N1087" s="25" t="inlineStr">
        <is>
          <t>040010-SOUTHERN GLAZERS WINE AND SPIRITS OF MISSISSIPPI LLC</t>
        </is>
      </c>
      <c r="O1087" s="25" t="n"/>
      <c r="P1087" s="25" t="inlineStr">
        <is>
          <t>20080432102033</t>
        </is>
      </c>
      <c r="Q1087" s="25" t="inlineStr">
        <is>
          <t>0080432102039</t>
        </is>
      </c>
      <c r="R1087" s="78" t="n">
        <v>42370</v>
      </c>
    </row>
    <row r="1088">
      <c r="A1088" t="inlineStr">
        <is>
          <t>or item code =</t>
        </is>
      </c>
      <c r="B1088" s="25" t="inlineStr">
        <is>
          <t>32231</t>
        </is>
      </c>
      <c r="C1088" s="25" t="inlineStr">
        <is>
          <t>SEAGRAM'S EXTRA DRY GIN</t>
        </is>
      </c>
      <c r="D1088" s="25" t="inlineStr">
        <is>
          <t>50ml</t>
        </is>
      </c>
      <c r="E1088" s="27" t="n">
        <v>0</v>
      </c>
      <c r="F1088" s="27" t="n">
        <v>0</v>
      </c>
      <c r="G1088" s="27" t="n">
        <v>120</v>
      </c>
      <c r="H1088" s="28" t="n">
        <v>81.51000000000001</v>
      </c>
      <c r="I1088" s="28" t="n">
        <v>0</v>
      </c>
      <c r="J1088" s="94" t="inlineStr">
        <is>
          <t>False</t>
        </is>
      </c>
      <c r="K1088" s="28" t="n">
        <v>0</v>
      </c>
      <c r="L1088" s="25" t="inlineStr">
        <is>
          <t>GIN</t>
        </is>
      </c>
      <c r="M1088" s="25" t="inlineStr">
        <is>
          <t>PERNOD RICARD USA LLC</t>
        </is>
      </c>
      <c r="N1088" s="25" t="inlineStr">
        <is>
          <t>040010-SOUTHERN GLAZERS WINE AND SPIRITS OF MISSISSIPPI LLC</t>
        </is>
      </c>
      <c r="O1088" s="25" t="n"/>
      <c r="P1088" s="25" t="inlineStr">
        <is>
          <t>10080432401184</t>
        </is>
      </c>
      <c r="Q1088" s="25" t="inlineStr">
        <is>
          <t>080432400012</t>
        </is>
      </c>
      <c r="R1088" s="78" t="n">
        <v>42370</v>
      </c>
    </row>
    <row r="1089">
      <c r="A1089" t="inlineStr">
        <is>
          <t>or item code =</t>
        </is>
      </c>
      <c r="B1089" s="25" t="inlineStr">
        <is>
          <t>32232</t>
        </is>
      </c>
      <c r="C1089" s="25" t="inlineStr">
        <is>
          <t>SEAGRAM'S EXTRA DRY GIN</t>
        </is>
      </c>
      <c r="D1089" s="25" t="inlineStr">
        <is>
          <t>100ml</t>
        </is>
      </c>
      <c r="E1089" s="27" t="n">
        <v>0</v>
      </c>
      <c r="F1089" s="27" t="n">
        <v>117</v>
      </c>
      <c r="G1089" s="27" t="n">
        <v>48</v>
      </c>
      <c r="H1089" s="28" t="n">
        <v>78.06</v>
      </c>
      <c r="I1089" s="28" t="n">
        <v>0</v>
      </c>
      <c r="J1089" s="94" t="inlineStr">
        <is>
          <t>False</t>
        </is>
      </c>
      <c r="K1089" s="28" t="n">
        <v>0</v>
      </c>
      <c r="L1089" s="25" t="inlineStr">
        <is>
          <t>GIN</t>
        </is>
      </c>
      <c r="M1089" s="25" t="inlineStr">
        <is>
          <t>PERNOD RICARD USA LLC</t>
        </is>
      </c>
      <c r="N1089" s="25" t="inlineStr">
        <is>
          <t>040010-SOUTHERN GLAZERS WINE AND SPIRITS OF MISSISSIPPI LLC</t>
        </is>
      </c>
      <c r="O1089" s="25" t="n"/>
      <c r="P1089" s="25" t="inlineStr">
        <is>
          <t>10080432401207</t>
        </is>
      </c>
      <c r="Q1089" s="25" t="inlineStr">
        <is>
          <t>0080432401200</t>
        </is>
      </c>
      <c r="R1089" s="78" t="n">
        <v>42370</v>
      </c>
    </row>
    <row r="1090">
      <c r="A1090" t="inlineStr">
        <is>
          <t>or item code =</t>
        </is>
      </c>
      <c r="B1090" s="25" t="inlineStr">
        <is>
          <t>32234</t>
        </is>
      </c>
      <c r="C1090" s="25" t="inlineStr">
        <is>
          <t>SEAGRAM'S EXTRA DRY GIN</t>
        </is>
      </c>
      <c r="D1090" s="25" t="inlineStr">
        <is>
          <t>375ml</t>
        </is>
      </c>
      <c r="E1090" s="27" t="n">
        <v>4</v>
      </c>
      <c r="F1090" s="27" t="n">
        <v>79</v>
      </c>
      <c r="G1090" s="27" t="n">
        <v>24</v>
      </c>
      <c r="H1090" s="28" t="n">
        <v>128.55</v>
      </c>
      <c r="I1090" s="28" t="n">
        <v>0</v>
      </c>
      <c r="J1090" s="94" t="inlineStr">
        <is>
          <t>False</t>
        </is>
      </c>
      <c r="K1090" s="28" t="n">
        <v>0</v>
      </c>
      <c r="L1090" s="25" t="inlineStr">
        <is>
          <t>GIN</t>
        </is>
      </c>
      <c r="M1090" s="25" t="inlineStr">
        <is>
          <t>PERNOD RICARD USA LLC</t>
        </is>
      </c>
      <c r="N1090" s="25" t="inlineStr">
        <is>
          <t>040010-SOUTHERN GLAZERS WINE AND SPIRITS OF MISSISSIPPI LLC</t>
        </is>
      </c>
      <c r="O1090" s="25" t="inlineStr">
        <is>
          <t>Unavailable due to inventory issues</t>
        </is>
      </c>
      <c r="P1090" s="25" t="inlineStr">
        <is>
          <t>10080432401221</t>
        </is>
      </c>
      <c r="Q1090" s="25" t="inlineStr">
        <is>
          <t>0080432401224</t>
        </is>
      </c>
      <c r="R1090" s="78" t="n">
        <v>42370</v>
      </c>
    </row>
    <row r="1091">
      <c r="A1091" t="inlineStr">
        <is>
          <t>or item code =</t>
        </is>
      </c>
      <c r="B1091" s="25" t="inlineStr">
        <is>
          <t>32236</t>
        </is>
      </c>
      <c r="C1091" s="25" t="inlineStr">
        <is>
          <t>SEAGRAM'S EXTRA DRY GIN</t>
        </is>
      </c>
      <c r="D1091" s="25" t="inlineStr">
        <is>
          <t>750ml</t>
        </is>
      </c>
      <c r="E1091" s="27" t="n">
        <v>0</v>
      </c>
      <c r="F1091" s="27" t="n">
        <v>191</v>
      </c>
      <c r="G1091" s="27" t="n">
        <v>12</v>
      </c>
      <c r="H1091" s="28" t="n">
        <v>110.81</v>
      </c>
      <c r="I1091" s="28" t="n">
        <v>0</v>
      </c>
      <c r="J1091" s="94" t="inlineStr">
        <is>
          <t>False</t>
        </is>
      </c>
      <c r="K1091" s="28" t="n">
        <v>0</v>
      </c>
      <c r="L1091" s="25" t="inlineStr">
        <is>
          <t>GIN</t>
        </is>
      </c>
      <c r="M1091" s="25" t="inlineStr">
        <is>
          <t>PERNOD RICARD USA LLC</t>
        </is>
      </c>
      <c r="N1091" s="25" t="inlineStr">
        <is>
          <t>040010-SOUTHERN GLAZERS WINE AND SPIRITS OF MISSISSIPPI LLC</t>
        </is>
      </c>
      <c r="O1091" s="25" t="n"/>
      <c r="P1091" s="25" t="inlineStr">
        <is>
          <t>10080432401238</t>
        </is>
      </c>
      <c r="Q1091" s="25" t="inlineStr">
        <is>
          <t>080432401231</t>
        </is>
      </c>
      <c r="R1091" s="78" t="n">
        <v>42370</v>
      </c>
    </row>
    <row r="1092">
      <c r="A1092" t="inlineStr">
        <is>
          <t>or item code =</t>
        </is>
      </c>
      <c r="B1092" s="25" t="inlineStr">
        <is>
          <t>32238</t>
        </is>
      </c>
      <c r="C1092" s="25" t="inlineStr">
        <is>
          <t>SEAGRAM'S EXTRA DRY GIN</t>
        </is>
      </c>
      <c r="D1092" s="25" t="inlineStr">
        <is>
          <t>1.75L</t>
        </is>
      </c>
      <c r="E1092" s="27" t="n">
        <v>0</v>
      </c>
      <c r="F1092" s="27" t="n">
        <v>651</v>
      </c>
      <c r="G1092" s="27" t="n">
        <v>6</v>
      </c>
      <c r="H1092" s="28" t="n">
        <v>110.96</v>
      </c>
      <c r="I1092" s="28" t="n">
        <v>0</v>
      </c>
      <c r="J1092" s="94" t="inlineStr">
        <is>
          <t>False</t>
        </is>
      </c>
      <c r="K1092" s="28" t="n">
        <v>0</v>
      </c>
      <c r="L1092" s="25" t="inlineStr">
        <is>
          <t>GIN</t>
        </is>
      </c>
      <c r="M1092" s="25" t="inlineStr">
        <is>
          <t>PERNOD RICARD USA LLC</t>
        </is>
      </c>
      <c r="N1092" s="25" t="inlineStr">
        <is>
          <t>040010-SOUTHERN GLAZERS WINE AND SPIRITS OF MISSISSIPPI LLC</t>
        </is>
      </c>
      <c r="O1092" s="25" t="n"/>
      <c r="P1092" s="25" t="inlineStr">
        <is>
          <t>10080432401269</t>
        </is>
      </c>
      <c r="Q1092" s="25" t="inlineStr">
        <is>
          <t>080432401262</t>
        </is>
      </c>
      <c r="R1092" s="78" t="n">
        <v>42370</v>
      </c>
    </row>
    <row r="1093">
      <c r="A1093" t="inlineStr">
        <is>
          <t>or item code =</t>
        </is>
      </c>
      <c r="B1093" s="25" t="inlineStr">
        <is>
          <t>32235</t>
        </is>
      </c>
      <c r="C1093" s="25" t="inlineStr">
        <is>
          <t>SEAGRAM'S EXTRA DRY GIN (PET)</t>
        </is>
      </c>
      <c r="D1093" s="25" t="inlineStr">
        <is>
          <t>750ml</t>
        </is>
      </c>
      <c r="E1093" s="27" t="n">
        <v>0</v>
      </c>
      <c r="F1093" s="27" t="n">
        <v>187</v>
      </c>
      <c r="G1093" s="27" t="n">
        <v>12</v>
      </c>
      <c r="H1093" s="28" t="n">
        <v>110.81</v>
      </c>
      <c r="I1093" s="28" t="n">
        <v>0</v>
      </c>
      <c r="J1093" s="94" t="inlineStr">
        <is>
          <t>False</t>
        </is>
      </c>
      <c r="K1093" s="28" t="n">
        <v>0</v>
      </c>
      <c r="L1093" s="25" t="inlineStr">
        <is>
          <t>GIN</t>
        </is>
      </c>
      <c r="M1093" s="25" t="inlineStr">
        <is>
          <t>PERNOD RICARD USA LLC</t>
        </is>
      </c>
      <c r="N1093" s="25" t="inlineStr">
        <is>
          <t>040010-SOUTHERN GLAZERS WINE AND SPIRITS OF MISSISSIPPI LLC</t>
        </is>
      </c>
      <c r="O1093" s="25" t="n"/>
      <c r="P1093" s="25" t="inlineStr">
        <is>
          <t>10080432401245</t>
        </is>
      </c>
      <c r="Q1093" s="25" t="inlineStr">
        <is>
          <t>0080432401248</t>
        </is>
      </c>
      <c r="R1093" s="78" t="n">
        <v>42370</v>
      </c>
    </row>
    <row r="1094">
      <c r="A1094" t="inlineStr">
        <is>
          <t>or item code =</t>
        </is>
      </c>
      <c r="B1094" s="25" t="inlineStr">
        <is>
          <t>32241</t>
        </is>
      </c>
      <c r="C1094" s="25" t="inlineStr">
        <is>
          <t>SEAGRAM'S EXTRA DRY GIN (PET)</t>
        </is>
      </c>
      <c r="D1094" s="25" t="inlineStr">
        <is>
          <t>200ml</t>
        </is>
      </c>
      <c r="E1094" s="27" t="n">
        <v>0</v>
      </c>
      <c r="F1094" s="27" t="n">
        <v>1052</v>
      </c>
      <c r="G1094" s="27" t="n">
        <v>48</v>
      </c>
      <c r="H1094" s="28" t="n">
        <v>113.1</v>
      </c>
      <c r="I1094" s="28" t="n">
        <v>0</v>
      </c>
      <c r="J1094" s="94" t="inlineStr">
        <is>
          <t>False</t>
        </is>
      </c>
      <c r="K1094" s="28" t="n">
        <v>0</v>
      </c>
      <c r="L1094" s="25" t="inlineStr">
        <is>
          <t>GIN</t>
        </is>
      </c>
      <c r="M1094" s="25" t="inlineStr">
        <is>
          <t>PERNOD RICARD USA LLC</t>
        </is>
      </c>
      <c r="N1094" s="25" t="inlineStr">
        <is>
          <t>040010-SOUTHERN GLAZERS WINE AND SPIRITS OF MISSISSIPPI LLC</t>
        </is>
      </c>
      <c r="O1094" s="25" t="n"/>
      <c r="P1094" s="25" t="inlineStr">
        <is>
          <t>10080432000011</t>
        </is>
      </c>
      <c r="Q1094" s="25" t="inlineStr">
        <is>
          <t>080432000014</t>
        </is>
      </c>
      <c r="R1094" s="78" t="n">
        <v>44562</v>
      </c>
    </row>
    <row r="1095">
      <c r="A1095" t="inlineStr">
        <is>
          <t>or item code =</t>
        </is>
      </c>
      <c r="B1095" s="25" t="inlineStr">
        <is>
          <t>37889</t>
        </is>
      </c>
      <c r="C1095" s="25" t="inlineStr">
        <is>
          <t>SEAGRAM'S EXTRA SMOOTH VODKA</t>
        </is>
      </c>
      <c r="D1095" s="25" t="inlineStr">
        <is>
          <t>375ml</t>
        </is>
      </c>
      <c r="E1095" s="27" t="n">
        <v>0</v>
      </c>
      <c r="F1095" s="27" t="n">
        <v>49</v>
      </c>
      <c r="G1095" s="27" t="n">
        <v>12</v>
      </c>
      <c r="H1095" s="28" t="n">
        <v>53.57</v>
      </c>
      <c r="I1095" s="28" t="n">
        <v>0</v>
      </c>
      <c r="J1095" s="94" t="inlineStr">
        <is>
          <t>False</t>
        </is>
      </c>
      <c r="K1095" s="28" t="n">
        <v>0</v>
      </c>
      <c r="L1095" s="25" t="inlineStr">
        <is>
          <t>VODKA</t>
        </is>
      </c>
      <c r="M1095" s="25" t="inlineStr">
        <is>
          <t>INFINIUM SPIRITS INC</t>
        </is>
      </c>
      <c r="N1095" s="25" t="inlineStr">
        <is>
          <t>040002-RNDC-MAGNOLIA</t>
        </is>
      </c>
      <c r="O1095" s="25" t="n"/>
      <c r="P1095" s="25" t="inlineStr">
        <is>
          <t>10720815985626</t>
        </is>
      </c>
      <c r="Q1095" s="25" t="inlineStr">
        <is>
          <t>720815985629</t>
        </is>
      </c>
      <c r="R1095" s="78" t="n">
        <v>44256</v>
      </c>
    </row>
    <row r="1096">
      <c r="A1096" t="inlineStr">
        <is>
          <t>or item code =</t>
        </is>
      </c>
      <c r="B1096" s="25" t="inlineStr">
        <is>
          <t>37886</t>
        </is>
      </c>
      <c r="C1096" s="25" t="inlineStr">
        <is>
          <t>SEAGRAM'S EXTRA SMOOTH VODKA</t>
        </is>
      </c>
      <c r="D1096" s="25" t="inlineStr">
        <is>
          <t>750ml</t>
        </is>
      </c>
      <c r="E1096" s="27" t="n">
        <v>1</v>
      </c>
      <c r="F1096" s="27" t="n">
        <v>22</v>
      </c>
      <c r="G1096" s="27" t="n">
        <v>12</v>
      </c>
      <c r="H1096" s="28" t="n">
        <v>105.77</v>
      </c>
      <c r="I1096" s="28" t="n">
        <v>0</v>
      </c>
      <c r="J1096" s="94" t="inlineStr">
        <is>
          <t>False</t>
        </is>
      </c>
      <c r="K1096" s="28" t="n">
        <v>0</v>
      </c>
      <c r="L1096" s="25" t="inlineStr">
        <is>
          <t>VODKA</t>
        </is>
      </c>
      <c r="M1096" s="25" t="inlineStr">
        <is>
          <t>INFINIUM SPIRITS INC</t>
        </is>
      </c>
      <c r="N1096" s="25" t="inlineStr">
        <is>
          <t>040002-RNDC-MAGNOLIA</t>
        </is>
      </c>
      <c r="O1096" s="25" t="n"/>
      <c r="P1096" s="25" t="n"/>
      <c r="Q1096" s="25" t="inlineStr">
        <is>
          <t>0720815985735</t>
        </is>
      </c>
      <c r="R1096" s="78" t="n">
        <v>42370</v>
      </c>
    </row>
    <row r="1097">
      <c r="A1097" t="inlineStr">
        <is>
          <t>or item code =</t>
        </is>
      </c>
      <c r="B1097" s="25" t="inlineStr">
        <is>
          <t>37890</t>
        </is>
      </c>
      <c r="C1097" s="25" t="inlineStr">
        <is>
          <t>SEAGRAM'S EXTRA SMOOTH VODKA PET</t>
        </is>
      </c>
      <c r="D1097" s="25" t="inlineStr">
        <is>
          <t>1.75L</t>
        </is>
      </c>
      <c r="E1097" s="27" t="n">
        <v>30</v>
      </c>
      <c r="F1097" s="27" t="n">
        <v>78</v>
      </c>
      <c r="G1097" s="27" t="n">
        <v>6</v>
      </c>
      <c r="H1097" s="28" t="n">
        <v>103.88</v>
      </c>
      <c r="I1097" s="28" t="n">
        <v>0</v>
      </c>
      <c r="J1097" s="94" t="inlineStr">
        <is>
          <t>False</t>
        </is>
      </c>
      <c r="K1097" s="28" t="n">
        <v>0</v>
      </c>
      <c r="L1097" s="25" t="inlineStr">
        <is>
          <t>VODKA</t>
        </is>
      </c>
      <c r="M1097" s="25" t="inlineStr">
        <is>
          <t>INFINIUM SPIRITS INC</t>
        </is>
      </c>
      <c r="N1097" s="25" t="inlineStr">
        <is>
          <t>040002-RNDC-MAGNOLIA</t>
        </is>
      </c>
      <c r="O1097" s="25" t="n"/>
      <c r="P1097" s="25" t="inlineStr">
        <is>
          <t>40720815988345</t>
        </is>
      </c>
      <c r="Q1097" s="25" t="inlineStr">
        <is>
          <t>0720815988347</t>
        </is>
      </c>
      <c r="R1097" s="78" t="n">
        <v>42370</v>
      </c>
    </row>
    <row r="1098">
      <c r="A1098" t="inlineStr">
        <is>
          <t>or item code =</t>
        </is>
      </c>
      <c r="B1098" s="25" t="inlineStr">
        <is>
          <t>33256</t>
        </is>
      </c>
      <c r="C1098" s="25" t="inlineStr">
        <is>
          <t>SEAGRAM'S LIME TWISTED GIN</t>
        </is>
      </c>
      <c r="D1098" s="25" t="inlineStr">
        <is>
          <t>750ml</t>
        </is>
      </c>
      <c r="E1098" s="27" t="n">
        <v>0</v>
      </c>
      <c r="F1098" s="27" t="n">
        <v>39</v>
      </c>
      <c r="G1098" s="27" t="n">
        <v>12</v>
      </c>
      <c r="H1098" s="28" t="n">
        <v>110.81</v>
      </c>
      <c r="I1098" s="28" t="n">
        <v>0</v>
      </c>
      <c r="J1098" s="94" t="inlineStr">
        <is>
          <t>False</t>
        </is>
      </c>
      <c r="K1098" s="28" t="n">
        <v>0</v>
      </c>
      <c r="L1098" s="25" t="inlineStr">
        <is>
          <t>GIN</t>
        </is>
      </c>
      <c r="M1098" s="25" t="inlineStr">
        <is>
          <t>PERNOD RICARD USA LLC</t>
        </is>
      </c>
      <c r="N1098" s="25" t="inlineStr">
        <is>
          <t>040010-SOUTHERN GLAZERS WINE AND SPIRITS OF MISSISSIPPI LLC</t>
        </is>
      </c>
      <c r="O1098" s="25" t="n"/>
      <c r="P1098" s="25" t="inlineStr">
        <is>
          <t>10080432401603</t>
        </is>
      </c>
      <c r="Q1098" s="25" t="inlineStr">
        <is>
          <t>0080432401606</t>
        </is>
      </c>
      <c r="R1098" s="78" t="n">
        <v>42370</v>
      </c>
    </row>
    <row r="1099">
      <c r="A1099" t="inlineStr">
        <is>
          <t>or item code =</t>
        </is>
      </c>
      <c r="B1099" s="25" t="inlineStr">
        <is>
          <t>33258</t>
        </is>
      </c>
      <c r="C1099" s="25" t="inlineStr">
        <is>
          <t>SEAGRAM'S LIME TWISTED GIN</t>
        </is>
      </c>
      <c r="D1099" s="25" t="inlineStr">
        <is>
          <t>1.75L</t>
        </is>
      </c>
      <c r="E1099" s="27" t="n">
        <v>0</v>
      </c>
      <c r="F1099" s="27" t="n">
        <v>45</v>
      </c>
      <c r="G1099" s="27" t="n">
        <v>6</v>
      </c>
      <c r="H1099" s="28" t="n">
        <v>110.96</v>
      </c>
      <c r="I1099" s="28" t="n">
        <v>0</v>
      </c>
      <c r="J1099" s="94" t="inlineStr">
        <is>
          <t>False</t>
        </is>
      </c>
      <c r="K1099" s="28" t="n">
        <v>0</v>
      </c>
      <c r="L1099" s="25" t="inlineStr">
        <is>
          <t>GIN</t>
        </is>
      </c>
      <c r="M1099" s="25" t="inlineStr">
        <is>
          <t>PERNOD RICARD USA LLC</t>
        </is>
      </c>
      <c r="N1099" s="25" t="inlineStr">
        <is>
          <t>040010-SOUTHERN GLAZERS WINE AND SPIRITS OF MISSISSIPPI LLC</t>
        </is>
      </c>
      <c r="O1099" s="25" t="n"/>
      <c r="P1099" s="25" t="inlineStr">
        <is>
          <t>10080432401641</t>
        </is>
      </c>
      <c r="Q1099" s="25" t="inlineStr">
        <is>
          <t>0080432401644</t>
        </is>
      </c>
      <c r="R1099" s="78" t="n">
        <v>42370</v>
      </c>
    </row>
    <row r="1100">
      <c r="A1100" t="inlineStr">
        <is>
          <t>or item code =</t>
        </is>
      </c>
      <c r="B1100" s="25" t="inlineStr">
        <is>
          <t>33286</t>
        </is>
      </c>
      <c r="C1100" s="25" t="inlineStr">
        <is>
          <t>SEAGRAM'S PEACH TWISTED GIN</t>
        </is>
      </c>
      <c r="D1100" s="25" t="inlineStr">
        <is>
          <t>750ml</t>
        </is>
      </c>
      <c r="E1100" s="27" t="n">
        <v>9</v>
      </c>
      <c r="F1100" s="27" t="n">
        <v>52</v>
      </c>
      <c r="G1100" s="27" t="n">
        <v>12</v>
      </c>
      <c r="H1100" s="28" t="n">
        <v>110.81</v>
      </c>
      <c r="I1100" s="28" t="n">
        <v>0</v>
      </c>
      <c r="J1100" s="94" t="inlineStr">
        <is>
          <t>False</t>
        </is>
      </c>
      <c r="K1100" s="28" t="n">
        <v>0</v>
      </c>
      <c r="L1100" s="25" t="inlineStr">
        <is>
          <t>GIN</t>
        </is>
      </c>
      <c r="M1100" s="25" t="inlineStr">
        <is>
          <t>PERNOD RICARD USA LLC</t>
        </is>
      </c>
      <c r="N1100" s="25" t="inlineStr">
        <is>
          <t>040010-SOUTHERN GLAZERS WINE AND SPIRITS OF MISSISSIPPI LLC</t>
        </is>
      </c>
      <c r="O1100" s="25" t="n"/>
      <c r="P1100" s="25" t="inlineStr">
        <is>
          <t>10080432107802</t>
        </is>
      </c>
      <c r="Q1100" s="25" t="inlineStr">
        <is>
          <t>0080432107805</t>
        </is>
      </c>
      <c r="R1100" s="78" t="n">
        <v>42278</v>
      </c>
    </row>
    <row r="1101">
      <c r="A1101" t="inlineStr">
        <is>
          <t>or item code =</t>
        </is>
      </c>
      <c r="B1101" s="25" t="inlineStr">
        <is>
          <t>33284</t>
        </is>
      </c>
      <c r="C1101" s="25" t="inlineStr">
        <is>
          <t>SEAGRAM'S PEACH TWISTED GIN</t>
        </is>
      </c>
      <c r="D1101" s="25" t="inlineStr">
        <is>
          <t>200ml</t>
        </is>
      </c>
      <c r="E1101" s="27" t="n">
        <v>35</v>
      </c>
      <c r="F1101" s="27" t="n">
        <v>24</v>
      </c>
      <c r="G1101" s="27" t="n">
        <v>48</v>
      </c>
      <c r="H1101" s="28" t="n">
        <v>82.09</v>
      </c>
      <c r="I1101" s="28" t="n">
        <v>0</v>
      </c>
      <c r="J1101" s="94" t="inlineStr">
        <is>
          <t>False</t>
        </is>
      </c>
      <c r="K1101" s="28" t="n">
        <v>0</v>
      </c>
      <c r="L1101" s="25" t="inlineStr">
        <is>
          <t>GIN</t>
        </is>
      </c>
      <c r="M1101" s="25" t="inlineStr">
        <is>
          <t>PERNOD RICARD USA LLC</t>
        </is>
      </c>
      <c r="N1101" s="25" t="inlineStr">
        <is>
          <t>040010-SOUTHERN GLAZERS WINE AND SPIRITS OF MISSISSIPPI LLC</t>
        </is>
      </c>
      <c r="O1101" s="25" t="n"/>
      <c r="P1101" s="25" t="inlineStr">
        <is>
          <t>10080432107826</t>
        </is>
      </c>
      <c r="Q1101" s="25" t="inlineStr">
        <is>
          <t>0080432107829</t>
        </is>
      </c>
      <c r="R1101" s="78" t="n">
        <v>42370</v>
      </c>
    </row>
    <row r="1102">
      <c r="A1102" t="inlineStr">
        <is>
          <t>or item code =</t>
        </is>
      </c>
      <c r="B1102" s="25" t="inlineStr">
        <is>
          <t>33282</t>
        </is>
      </c>
      <c r="C1102" s="25" t="inlineStr">
        <is>
          <t>SEAGRAM'S PINEAPPLE TWISTED GIN</t>
        </is>
      </c>
      <c r="D1102" s="25" t="inlineStr">
        <is>
          <t>750ml</t>
        </is>
      </c>
      <c r="E1102" s="27" t="n">
        <v>0</v>
      </c>
      <c r="F1102" s="27" t="n">
        <v>0</v>
      </c>
      <c r="G1102" s="27" t="n">
        <v>12</v>
      </c>
      <c r="H1102" s="28" t="n">
        <v>110.81</v>
      </c>
      <c r="I1102" s="28" t="n">
        <v>0</v>
      </c>
      <c r="J1102" s="94" t="inlineStr">
        <is>
          <t>False</t>
        </is>
      </c>
      <c r="K1102" s="28" t="n">
        <v>0</v>
      </c>
      <c r="L1102" s="25" t="inlineStr">
        <is>
          <t>GIN</t>
        </is>
      </c>
      <c r="M1102" s="25" t="inlineStr">
        <is>
          <t>PERNOD RICARD USA LLC</t>
        </is>
      </c>
      <c r="N1102" s="25" t="inlineStr">
        <is>
          <t>040010-SOUTHERN GLAZERS WINE AND SPIRITS OF MISSISSIPPI LLC</t>
        </is>
      </c>
      <c r="O1102" s="25" t="n"/>
      <c r="P1102" s="25" t="inlineStr">
        <is>
          <t>10080432107482</t>
        </is>
      </c>
      <c r="Q1102" s="25" t="inlineStr">
        <is>
          <t>0080432107485</t>
        </is>
      </c>
      <c r="R1102" s="78" t="n">
        <v>42370</v>
      </c>
    </row>
    <row r="1103">
      <c r="A1103" t="inlineStr">
        <is>
          <t>or item code =</t>
        </is>
      </c>
      <c r="B1103" s="25" t="inlineStr">
        <is>
          <t>11344</t>
        </is>
      </c>
      <c r="C1103" s="25" t="inlineStr">
        <is>
          <t>SEAGRAM'S V O</t>
        </is>
      </c>
      <c r="D1103" s="25" t="inlineStr">
        <is>
          <t>375ml</t>
        </is>
      </c>
      <c r="E1103" s="27" t="n">
        <v>48</v>
      </c>
      <c r="F1103" s="27" t="n">
        <v>30</v>
      </c>
      <c r="G1103" s="27" t="n">
        <v>24</v>
      </c>
      <c r="H1103" s="28" t="n">
        <v>136.96</v>
      </c>
      <c r="I1103" s="28" t="n">
        <v>0</v>
      </c>
      <c r="J1103" s="94" t="inlineStr">
        <is>
          <t>False</t>
        </is>
      </c>
      <c r="K1103" s="28" t="n">
        <v>0</v>
      </c>
      <c r="L1103" s="25" t="inlineStr">
        <is>
          <t>WHISKY - CANANDIAN</t>
        </is>
      </c>
      <c r="M1103" s="25" t="inlineStr">
        <is>
          <t>SAZERAC COMPANY</t>
        </is>
      </c>
      <c r="N1103" s="25" t="inlineStr">
        <is>
          <t>040010-SOUTHERN GLAZERS WINE AND SPIRITS OF MISSISSIPPI LLC</t>
        </is>
      </c>
      <c r="O1103" s="25" t="n"/>
      <c r="P1103" s="25" t="inlineStr">
        <is>
          <t>00082000759171</t>
        </is>
      </c>
      <c r="Q1103" s="25" t="inlineStr">
        <is>
          <t>08776101</t>
        </is>
      </c>
      <c r="R1103" s="78" t="n">
        <v>42370</v>
      </c>
    </row>
    <row r="1104">
      <c r="A1104" t="inlineStr">
        <is>
          <t>or item code =</t>
        </is>
      </c>
      <c r="B1104" s="25" t="inlineStr">
        <is>
          <t>11348</t>
        </is>
      </c>
      <c r="C1104" s="25" t="inlineStr">
        <is>
          <t>SEAGRAM'S V O (PET)</t>
        </is>
      </c>
      <c r="D1104" s="25" t="inlineStr">
        <is>
          <t>1.75L</t>
        </is>
      </c>
      <c r="E1104" s="27" t="n">
        <v>131</v>
      </c>
      <c r="F1104" s="27" t="n">
        <v>112</v>
      </c>
      <c r="G1104" s="27" t="n">
        <v>6</v>
      </c>
      <c r="H1104" s="28" t="n">
        <v>138.4</v>
      </c>
      <c r="I1104" s="28" t="n">
        <v>0</v>
      </c>
      <c r="J1104" s="94" t="inlineStr">
        <is>
          <t>False</t>
        </is>
      </c>
      <c r="K1104" s="28" t="n">
        <v>0</v>
      </c>
      <c r="L1104" s="25" t="inlineStr">
        <is>
          <t>WHISKY - CANANDIAN</t>
        </is>
      </c>
      <c r="M1104" s="25" t="inlineStr">
        <is>
          <t>SAZERAC COMPANY</t>
        </is>
      </c>
      <c r="N1104" s="25" t="inlineStr">
        <is>
          <t>040010-SOUTHERN GLAZERS WINE AND SPIRITS OF MISSISSIPPI LLC</t>
        </is>
      </c>
      <c r="O1104" s="25" t="n"/>
      <c r="P1104" s="25" t="n"/>
      <c r="Q1104" s="25" t="inlineStr">
        <is>
          <t>088004036157</t>
        </is>
      </c>
      <c r="R1104" s="78" t="n">
        <v>42370</v>
      </c>
    </row>
    <row r="1105">
      <c r="A1105" t="inlineStr">
        <is>
          <t>or item code =</t>
        </is>
      </c>
      <c r="B1105" s="25" t="inlineStr">
        <is>
          <t>11326</t>
        </is>
      </c>
      <c r="C1105" s="25" t="inlineStr">
        <is>
          <t>SEAGRAM'S V O GOLD</t>
        </is>
      </c>
      <c r="D1105" s="25" t="inlineStr">
        <is>
          <t>750ml</t>
        </is>
      </c>
      <c r="E1105" s="27" t="n">
        <v>45</v>
      </c>
      <c r="F1105" s="27" t="n">
        <v>15</v>
      </c>
      <c r="G1105" s="27" t="n">
        <v>12</v>
      </c>
      <c r="H1105" s="28" t="n">
        <v>179.91</v>
      </c>
      <c r="I1105" s="28" t="n">
        <v>0</v>
      </c>
      <c r="J1105" s="94" t="inlineStr">
        <is>
          <t>False</t>
        </is>
      </c>
      <c r="K1105" s="28" t="n">
        <v>0</v>
      </c>
      <c r="L1105" s="25" t="inlineStr">
        <is>
          <t>WHISKY - CANANDIAN</t>
        </is>
      </c>
      <c r="M1105" s="25" t="inlineStr">
        <is>
          <t>SAZERAC COMPANY</t>
        </is>
      </c>
      <c r="N1105" s="25" t="inlineStr">
        <is>
          <t>040010-SOUTHERN GLAZERS WINE AND SPIRITS OF MISSISSIPPI LLC</t>
        </is>
      </c>
      <c r="O1105" s="25" t="n"/>
      <c r="P1105" s="25" t="inlineStr">
        <is>
          <t>01008700000122</t>
        </is>
      </c>
      <c r="Q1105" s="25" t="inlineStr">
        <is>
          <t>088004037345</t>
        </is>
      </c>
      <c r="R1105" s="78" t="n">
        <v>42370</v>
      </c>
    </row>
    <row r="1106">
      <c r="A1106" t="inlineStr">
        <is>
          <t>or item code =</t>
        </is>
      </c>
      <c r="B1106" s="25" t="inlineStr">
        <is>
          <t>381770</t>
        </is>
      </c>
      <c r="C1106" s="25" t="inlineStr">
        <is>
          <t>SKINNYGIRL MOSCATO TERRE SICILIANE GT</t>
        </is>
      </c>
      <c r="D1106" s="25" t="inlineStr">
        <is>
          <t>750ml</t>
        </is>
      </c>
      <c r="E1106" s="27" t="n">
        <v>56</v>
      </c>
      <c r="F1106" s="27" t="n">
        <v>15</v>
      </c>
      <c r="G1106" s="27" t="n">
        <v>12</v>
      </c>
      <c r="H1106" s="28" t="n">
        <v>114.78</v>
      </c>
      <c r="I1106" s="28" t="n">
        <v>0</v>
      </c>
      <c r="J1106" s="94" t="inlineStr">
        <is>
          <t>False</t>
        </is>
      </c>
      <c r="K1106" s="28" t="n">
        <v>0</v>
      </c>
      <c r="L1106" s="25" t="inlineStr">
        <is>
          <t>MOSCATO WHITE</t>
        </is>
      </c>
      <c r="M1106" s="25" t="inlineStr">
        <is>
          <t>JIM BEAM BRANDS CO</t>
        </is>
      </c>
      <c r="N1106" s="25" t="inlineStr">
        <is>
          <t>040010-SOUTHERN GLAZERS WINE AND SPIRITS OF MISSISSIPPI LLC</t>
        </is>
      </c>
      <c r="O1106" s="25" t="n"/>
      <c r="P1106" s="25" t="inlineStr">
        <is>
          <t>20080686110242</t>
        </is>
      </c>
      <c r="Q1106" s="25" t="inlineStr">
        <is>
          <t>0080686110248</t>
        </is>
      </c>
      <c r="R1106" s="78" t="n">
        <v>42370</v>
      </c>
    </row>
    <row r="1107">
      <c r="A1107" t="inlineStr">
        <is>
          <t>or item code =</t>
        </is>
      </c>
      <c r="B1107" s="25" t="inlineStr">
        <is>
          <t>37986</t>
        </is>
      </c>
      <c r="C1107" s="25" t="inlineStr">
        <is>
          <t>SKYY VODKA</t>
        </is>
      </c>
      <c r="D1107" s="25" t="inlineStr">
        <is>
          <t>750ml</t>
        </is>
      </c>
      <c r="E1107" s="27" t="n">
        <v>182</v>
      </c>
      <c r="F1107" s="27" t="n">
        <v>57</v>
      </c>
      <c r="G1107" s="27" t="n">
        <v>12</v>
      </c>
      <c r="H1107" s="28" t="n">
        <v>148.85</v>
      </c>
      <c r="I1107" s="28" t="n">
        <v>0</v>
      </c>
      <c r="J1107" s="94" t="inlineStr">
        <is>
          <t>False</t>
        </is>
      </c>
      <c r="K1107" s="28" t="n">
        <v>0</v>
      </c>
      <c r="L1107" s="25" t="inlineStr">
        <is>
          <t>VODKA</t>
        </is>
      </c>
      <c r="M1107" s="25" t="inlineStr">
        <is>
          <t>CAMPARI ENTERPRISES, INC.</t>
        </is>
      </c>
      <c r="N1107" s="25" t="inlineStr">
        <is>
          <t>040010-SOUTHERN GLAZERS WINE AND SPIRITS OF MISSISSIPPI LLC</t>
        </is>
      </c>
      <c r="O1107" s="25" t="n"/>
      <c r="P1107" s="25" t="inlineStr">
        <is>
          <t>50721059007509</t>
        </is>
      </c>
      <c r="Q1107" s="25" t="inlineStr">
        <is>
          <t>0721059007504</t>
        </is>
      </c>
      <c r="R1107" s="78" t="n">
        <v>42370</v>
      </c>
    </row>
    <row r="1108">
      <c r="A1108" t="inlineStr">
        <is>
          <t>or item code =</t>
        </is>
      </c>
      <c r="B1108" s="25" t="inlineStr">
        <is>
          <t>37982</t>
        </is>
      </c>
      <c r="C1108" s="25" t="inlineStr">
        <is>
          <t>SKYY VODKA</t>
        </is>
      </c>
      <c r="D1108" s="25" t="inlineStr">
        <is>
          <t>50ml</t>
        </is>
      </c>
      <c r="E1108" s="27" t="n">
        <v>61</v>
      </c>
      <c r="F1108" s="27" t="n">
        <v>17</v>
      </c>
      <c r="G1108" s="27" t="n">
        <v>120</v>
      </c>
      <c r="H1108" s="28" t="n">
        <v>158.21</v>
      </c>
      <c r="I1108" s="28" t="n">
        <v>0</v>
      </c>
      <c r="J1108" s="94" t="inlineStr">
        <is>
          <t>False</t>
        </is>
      </c>
      <c r="K1108" s="28" t="n">
        <v>0</v>
      </c>
      <c r="L1108" s="25" t="inlineStr">
        <is>
          <t>VODKA</t>
        </is>
      </c>
      <c r="M1108" s="25" t="inlineStr">
        <is>
          <t>CAMPARI ENTERPRISES, INC.</t>
        </is>
      </c>
      <c r="N1108" s="25" t="inlineStr">
        <is>
          <t>040010-SOUTHERN GLAZERS WINE AND SPIRITS OF MISSISSIPPI LLC</t>
        </is>
      </c>
      <c r="O1108" s="25" t="n"/>
      <c r="P1108" s="25" t="inlineStr">
        <is>
          <t>30721059000506</t>
        </is>
      </c>
      <c r="Q1108" s="25" t="inlineStr">
        <is>
          <t>0721059000505</t>
        </is>
      </c>
      <c r="R1108" s="78" t="n">
        <v>42370</v>
      </c>
    </row>
    <row r="1109">
      <c r="A1109" t="inlineStr">
        <is>
          <t>or item code =</t>
        </is>
      </c>
      <c r="B1109" s="25" t="inlineStr">
        <is>
          <t>37988</t>
        </is>
      </c>
      <c r="C1109" s="25" t="inlineStr">
        <is>
          <t>SKYY VODKA</t>
        </is>
      </c>
      <c r="D1109" s="25" t="inlineStr">
        <is>
          <t>1.75L</t>
        </is>
      </c>
      <c r="E1109" s="27" t="n">
        <v>236</v>
      </c>
      <c r="F1109" s="27" t="n">
        <v>104</v>
      </c>
      <c r="G1109" s="27" t="n">
        <v>6</v>
      </c>
      <c r="H1109" s="28" t="n">
        <v>125.81</v>
      </c>
      <c r="I1109" s="28" t="n">
        <v>0</v>
      </c>
      <c r="J1109" s="94" t="inlineStr">
        <is>
          <t>False</t>
        </is>
      </c>
      <c r="K1109" s="28" t="n">
        <v>0</v>
      </c>
      <c r="L1109" s="25" t="inlineStr">
        <is>
          <t>VODKA</t>
        </is>
      </c>
      <c r="M1109" s="25" t="inlineStr">
        <is>
          <t>CAMPARI ENTERPRISES, INC.</t>
        </is>
      </c>
      <c r="N1109" s="25" t="inlineStr">
        <is>
          <t>040010-SOUTHERN GLAZERS WINE AND SPIRITS OF MISSISSIPPI LLC</t>
        </is>
      </c>
      <c r="O1109" s="25" t="n"/>
      <c r="P1109" s="25" t="inlineStr">
        <is>
          <t>40721059017501</t>
        </is>
      </c>
      <c r="Q1109" s="25" t="inlineStr">
        <is>
          <t>0721059017503</t>
        </is>
      </c>
      <c r="R1109" s="78" t="n">
        <v>42370</v>
      </c>
    </row>
    <row r="1110">
      <c r="A1110" t="inlineStr">
        <is>
          <t>or item code =</t>
        </is>
      </c>
      <c r="B1110" s="25" t="inlineStr">
        <is>
          <t>37996</t>
        </is>
      </c>
      <c r="C1110" s="25" t="inlineStr">
        <is>
          <t>SMIRNOFF 80 PROOF VODKA</t>
        </is>
      </c>
      <c r="D1110" s="25" t="inlineStr">
        <is>
          <t>750ml</t>
        </is>
      </c>
      <c r="E1110" s="27" t="n">
        <v>1</v>
      </c>
      <c r="F1110" s="27" t="n">
        <v>46</v>
      </c>
      <c r="G1110" s="27" t="n">
        <v>12</v>
      </c>
      <c r="H1110" s="28" t="n">
        <v>128.06</v>
      </c>
      <c r="I1110" s="28" t="n">
        <v>0</v>
      </c>
      <c r="J1110" s="94" t="inlineStr">
        <is>
          <t>False</t>
        </is>
      </c>
      <c r="K1110" s="28" t="n">
        <v>0</v>
      </c>
      <c r="L1110" s="25" t="inlineStr">
        <is>
          <t>VODKA</t>
        </is>
      </c>
      <c r="M1110" s="25" t="inlineStr">
        <is>
          <t>DIAGEO AMERICAS INC</t>
        </is>
      </c>
      <c r="N1110" s="25" t="inlineStr">
        <is>
          <t>040010-SOUTHERN GLAZERS WINE AND SPIRITS OF MISSISSIPPI LLC</t>
        </is>
      </c>
      <c r="O1110" s="25" t="n"/>
      <c r="P1110" s="25" t="inlineStr">
        <is>
          <t>00082000000068</t>
        </is>
      </c>
      <c r="Q1110" s="25" t="inlineStr">
        <is>
          <t>0082000000068</t>
        </is>
      </c>
      <c r="R1110" s="78" t="n">
        <v>42370</v>
      </c>
    </row>
    <row r="1111">
      <c r="A1111" t="inlineStr">
        <is>
          <t>or item code =</t>
        </is>
      </c>
      <c r="B1111" s="25" t="inlineStr">
        <is>
          <t>37994</t>
        </is>
      </c>
      <c r="C1111" s="25" t="inlineStr">
        <is>
          <t>SMIRNOFF 80 PROOF VODKA</t>
        </is>
      </c>
      <c r="D1111" s="25" t="inlineStr">
        <is>
          <t>375ml</t>
        </is>
      </c>
      <c r="E1111" s="27" t="n">
        <v>72</v>
      </c>
      <c r="F1111" s="27" t="n">
        <v>182</v>
      </c>
      <c r="G1111" s="27" t="n">
        <v>24</v>
      </c>
      <c r="H1111" s="28" t="n">
        <v>131.63</v>
      </c>
      <c r="I1111" s="28" t="n">
        <v>0</v>
      </c>
      <c r="J1111" s="94" t="inlineStr">
        <is>
          <t>False</t>
        </is>
      </c>
      <c r="K1111" s="28" t="n">
        <v>0</v>
      </c>
      <c r="L1111" s="25" t="inlineStr">
        <is>
          <t>VODKA</t>
        </is>
      </c>
      <c r="M1111" s="25" t="inlineStr">
        <is>
          <t>DIAGEO AMERICAS INC</t>
        </is>
      </c>
      <c r="N1111" s="25" t="inlineStr">
        <is>
          <t>040010-SOUTHERN GLAZERS WINE AND SPIRITS OF MISSISSIPPI LLC</t>
        </is>
      </c>
      <c r="O1111" s="25" t="n"/>
      <c r="P1111" s="25" t="inlineStr">
        <is>
          <t>0082000005612</t>
        </is>
      </c>
      <c r="Q1111" s="25" t="inlineStr">
        <is>
          <t>08256102</t>
        </is>
      </c>
      <c r="R1111" s="78" t="n">
        <v>42370</v>
      </c>
    </row>
    <row r="1112">
      <c r="A1112" t="inlineStr">
        <is>
          <t>or item code =</t>
        </is>
      </c>
      <c r="B1112" s="25" t="inlineStr">
        <is>
          <t>38008</t>
        </is>
      </c>
      <c r="C1112" s="25" t="inlineStr">
        <is>
          <t>SMIRNOFF 80 PROOF VODKA (PET)</t>
        </is>
      </c>
      <c r="D1112" s="25" t="inlineStr">
        <is>
          <t>1.75L</t>
        </is>
      </c>
      <c r="E1112" s="27" t="n">
        <v>282</v>
      </c>
      <c r="F1112" s="27" t="n">
        <v>300</v>
      </c>
      <c r="G1112" s="27" t="n">
        <v>6</v>
      </c>
      <c r="H1112" s="28" t="n">
        <v>117.83</v>
      </c>
      <c r="I1112" s="28" t="n">
        <v>0</v>
      </c>
      <c r="J1112" s="94" t="inlineStr">
        <is>
          <t>False</t>
        </is>
      </c>
      <c r="K1112" s="28" t="n">
        <v>0</v>
      </c>
      <c r="L1112" s="25" t="inlineStr">
        <is>
          <t>VODKA</t>
        </is>
      </c>
      <c r="M1112" s="25" t="inlineStr">
        <is>
          <t>DIAGEO AMERICAS INC</t>
        </is>
      </c>
      <c r="N1112" s="25" t="inlineStr">
        <is>
          <t>040010-SOUTHERN GLAZERS WINE AND SPIRITS OF MISSISSIPPI LLC</t>
        </is>
      </c>
      <c r="O1112" s="25" t="n"/>
      <c r="P1112" s="25" t="inlineStr">
        <is>
          <t>00082000772187</t>
        </is>
      </c>
      <c r="Q1112" s="25" t="inlineStr">
        <is>
          <t>0082000727606</t>
        </is>
      </c>
      <c r="R1112" s="78" t="n">
        <v>42279</v>
      </c>
    </row>
    <row r="1113">
      <c r="A1113" t="inlineStr">
        <is>
          <t>or item code =</t>
        </is>
      </c>
      <c r="B1113" s="25" t="inlineStr">
        <is>
          <t>77674</t>
        </is>
      </c>
      <c r="C1113" s="25" t="inlineStr">
        <is>
          <t>SMIRNOFF GREEN APPLE FLAVORED VODKA (DSS)</t>
        </is>
      </c>
      <c r="D1113" s="25" t="inlineStr">
        <is>
          <t>750ml</t>
        </is>
      </c>
      <c r="E1113" s="27" t="n">
        <v>7</v>
      </c>
      <c r="F1113" s="27" t="n">
        <v>21</v>
      </c>
      <c r="G1113" s="27" t="n">
        <v>12</v>
      </c>
      <c r="H1113" s="28" t="n">
        <v>128.06</v>
      </c>
      <c r="I1113" s="28" t="n">
        <v>0</v>
      </c>
      <c r="J1113" s="94" t="inlineStr">
        <is>
          <t>False</t>
        </is>
      </c>
      <c r="K1113" s="28" t="n">
        <v>0</v>
      </c>
      <c r="L1113" s="25" t="inlineStr">
        <is>
          <t>VODKA</t>
        </is>
      </c>
      <c r="M1113" s="25" t="inlineStr">
        <is>
          <t>DIAGEO AMERICAS INC</t>
        </is>
      </c>
      <c r="N1113" s="25" t="inlineStr">
        <is>
          <t>040010-SOUTHERN GLAZERS WINE AND SPIRITS OF MISSISSIPPI LLC</t>
        </is>
      </c>
      <c r="O1113" s="25" t="n"/>
      <c r="P1113" s="25" t="inlineStr">
        <is>
          <t>00082000768111</t>
        </is>
      </c>
      <c r="Q1113" s="25" t="inlineStr">
        <is>
          <t>0082000001041</t>
        </is>
      </c>
      <c r="R1113" s="78" t="n">
        <v>42370</v>
      </c>
    </row>
    <row r="1114">
      <c r="A1114" t="inlineStr">
        <is>
          <t>or item code =</t>
        </is>
      </c>
      <c r="B1114" s="25" t="inlineStr">
        <is>
          <t>77683</t>
        </is>
      </c>
      <c r="C1114" s="25" t="inlineStr">
        <is>
          <t>SMIRNOFF KISSED CARAMEL FLAVORED VODKA (DSS)</t>
        </is>
      </c>
      <c r="D1114" s="25" t="inlineStr">
        <is>
          <t>750ml</t>
        </is>
      </c>
      <c r="E1114" s="27" t="n">
        <v>4</v>
      </c>
      <c r="F1114" s="27" t="n">
        <v>33</v>
      </c>
      <c r="G1114" s="27" t="n">
        <v>12</v>
      </c>
      <c r="H1114" s="28" t="n">
        <v>128.06</v>
      </c>
      <c r="I1114" s="28" t="n">
        <v>0</v>
      </c>
      <c r="J1114" s="94" t="inlineStr">
        <is>
          <t>False</t>
        </is>
      </c>
      <c r="K1114" s="28" t="n">
        <v>0</v>
      </c>
      <c r="L1114" s="25" t="inlineStr">
        <is>
          <t>VODKA</t>
        </is>
      </c>
      <c r="M1114" s="25" t="inlineStr">
        <is>
          <t>DIAGEO AMERICAS INC</t>
        </is>
      </c>
      <c r="N1114" s="25" t="inlineStr">
        <is>
          <t>040010-SOUTHERN GLAZERS WINE AND SPIRITS OF MISSISSIPPI LLC</t>
        </is>
      </c>
      <c r="O1114" s="25" t="n"/>
      <c r="P1114" s="25" t="inlineStr">
        <is>
          <t>00082000768231</t>
        </is>
      </c>
      <c r="Q1114" s="25" t="inlineStr">
        <is>
          <t>082000759614</t>
        </is>
      </c>
      <c r="R1114" s="78" t="n">
        <v>42370</v>
      </c>
    </row>
    <row r="1115">
      <c r="A1115" t="inlineStr">
        <is>
          <t>or item code =</t>
        </is>
      </c>
      <c r="B1115" s="25" t="inlineStr">
        <is>
          <t>77709</t>
        </is>
      </c>
      <c r="C1115" s="25" t="inlineStr">
        <is>
          <t>SMIRNOFF PEACH FLAVORED VODKA (DSS)</t>
        </is>
      </c>
      <c r="D1115" s="25" t="inlineStr">
        <is>
          <t>750ml</t>
        </is>
      </c>
      <c r="E1115" s="27" t="n">
        <v>0</v>
      </c>
      <c r="F1115" s="27" t="n">
        <v>14</v>
      </c>
      <c r="G1115" s="27" t="n">
        <v>12</v>
      </c>
      <c r="H1115" s="28" t="n">
        <v>128.06</v>
      </c>
      <c r="I1115" s="28" t="n">
        <v>0</v>
      </c>
      <c r="J1115" s="94" t="inlineStr">
        <is>
          <t>False</t>
        </is>
      </c>
      <c r="K1115" s="28" t="n">
        <v>0</v>
      </c>
      <c r="L1115" s="25" t="inlineStr">
        <is>
          <t>VODKA</t>
        </is>
      </c>
      <c r="M1115" s="25" t="inlineStr">
        <is>
          <t>DIAGEO AMERICAS INC</t>
        </is>
      </c>
      <c r="N1115" s="25" t="inlineStr">
        <is>
          <t>040010-SOUTHERN GLAZERS WINE AND SPIRITS OF MISSISSIPPI LLC</t>
        </is>
      </c>
      <c r="O1115" s="25" t="n"/>
      <c r="P1115" s="25" t="inlineStr">
        <is>
          <t>00082000768272</t>
        </is>
      </c>
      <c r="Q1115" s="25" t="inlineStr">
        <is>
          <t>0082000750710</t>
        </is>
      </c>
      <c r="R1115" s="78" t="n">
        <v>42279</v>
      </c>
    </row>
    <row r="1116">
      <c r="A1116" t="inlineStr">
        <is>
          <t>or item code =</t>
        </is>
      </c>
      <c r="B1116" s="25" t="inlineStr">
        <is>
          <t>78293</t>
        </is>
      </c>
      <c r="C1116" s="25" t="inlineStr">
        <is>
          <t>SMIRNOFF PEACH LEMONADE</t>
        </is>
      </c>
      <c r="D1116" s="25" t="inlineStr">
        <is>
          <t>750ml</t>
        </is>
      </c>
      <c r="E1116" s="27" t="n">
        <v>126</v>
      </c>
      <c r="F1116" s="27" t="n">
        <v>20</v>
      </c>
      <c r="G1116" s="27" t="n">
        <v>12</v>
      </c>
      <c r="H1116" s="28" t="n">
        <v>128.06</v>
      </c>
      <c r="I1116" s="28" t="n">
        <v>0</v>
      </c>
      <c r="J1116" s="94" t="inlineStr">
        <is>
          <t>False</t>
        </is>
      </c>
      <c r="K1116" s="28" t="n">
        <v>0</v>
      </c>
      <c r="L1116" s="25" t="inlineStr">
        <is>
          <t>VODKA</t>
        </is>
      </c>
      <c r="M1116" s="25" t="inlineStr">
        <is>
          <t>DIAGEO AMERICAS INC</t>
        </is>
      </c>
      <c r="N1116" s="25" t="inlineStr">
        <is>
          <t>040010-SOUTHERN GLAZERS WINE AND SPIRITS OF MISSISSIPPI LLC</t>
        </is>
      </c>
      <c r="O1116" s="25" t="n"/>
      <c r="P1116" s="25" t="inlineStr">
        <is>
          <t>10082000799426</t>
        </is>
      </c>
      <c r="Q1116" s="25" t="inlineStr">
        <is>
          <t>082000799429</t>
        </is>
      </c>
      <c r="R1116" s="78" t="n">
        <v>44652</v>
      </c>
    </row>
    <row r="1117">
      <c r="A1117" t="inlineStr">
        <is>
          <t>or item code =</t>
        </is>
      </c>
      <c r="B1117" s="25" t="inlineStr">
        <is>
          <t>78133</t>
        </is>
      </c>
      <c r="C1117" s="25" t="inlineStr">
        <is>
          <t>SMIRNOFF PINK LEMONADE FLAVORED VODKA</t>
        </is>
      </c>
      <c r="D1117" s="25" t="inlineStr">
        <is>
          <t>750ml</t>
        </is>
      </c>
      <c r="E1117" s="27" t="n">
        <v>18</v>
      </c>
      <c r="F1117" s="27" t="n">
        <v>35</v>
      </c>
      <c r="G1117" s="27" t="n">
        <v>12</v>
      </c>
      <c r="H1117" s="28" t="n">
        <v>127.94</v>
      </c>
      <c r="I1117" s="28" t="n">
        <v>0</v>
      </c>
      <c r="J1117" s="94" t="inlineStr">
        <is>
          <t>False</t>
        </is>
      </c>
      <c r="K1117" s="28" t="n">
        <v>0</v>
      </c>
      <c r="L1117" s="25" t="inlineStr">
        <is>
          <t>VODKA</t>
        </is>
      </c>
      <c r="M1117" s="25" t="inlineStr">
        <is>
          <t>DIAGEO AMERICAS INC</t>
        </is>
      </c>
      <c r="N1117" s="25" t="inlineStr">
        <is>
          <t>040010-SOUTHERN GLAZERS WINE AND SPIRITS OF MISSISSIPPI LLC</t>
        </is>
      </c>
      <c r="O1117" s="25" t="n"/>
      <c r="P1117" s="25" t="inlineStr">
        <is>
          <t>10082000797200</t>
        </is>
      </c>
      <c r="Q1117" s="25" t="inlineStr">
        <is>
          <t>082000797203</t>
        </is>
      </c>
      <c r="R1117" s="78" t="n">
        <v>44308</v>
      </c>
    </row>
    <row r="1118">
      <c r="A1118" t="inlineStr">
        <is>
          <t>or item code =</t>
        </is>
      </c>
      <c r="B1118" s="25" t="inlineStr">
        <is>
          <t>77858</t>
        </is>
      </c>
      <c r="C1118" s="25" t="inlineStr">
        <is>
          <t>SMIRNOFF WHIPPED CREAM FLAVORED VODKA (DSS)</t>
        </is>
      </c>
      <c r="D1118" s="25" t="inlineStr">
        <is>
          <t>750ml</t>
        </is>
      </c>
      <c r="E1118" s="27" t="n">
        <v>0</v>
      </c>
      <c r="F1118" s="27" t="n">
        <v>30</v>
      </c>
      <c r="G1118" s="27" t="n">
        <v>12</v>
      </c>
      <c r="H1118" s="28" t="n">
        <v>128.06</v>
      </c>
      <c r="I1118" s="28" t="n">
        <v>0</v>
      </c>
      <c r="J1118" s="94" t="inlineStr">
        <is>
          <t>False</t>
        </is>
      </c>
      <c r="K1118" s="28" t="n">
        <v>0</v>
      </c>
      <c r="L1118" s="25" t="inlineStr">
        <is>
          <t>VODKA</t>
        </is>
      </c>
      <c r="M1118" s="25" t="inlineStr">
        <is>
          <t>DIAGEO AMERICAS INC</t>
        </is>
      </c>
      <c r="N1118" s="25" t="inlineStr">
        <is>
          <t>040010-SOUTHERN GLAZERS WINE AND SPIRITS OF MISSISSIPPI LLC</t>
        </is>
      </c>
      <c r="O1118" s="25" t="n"/>
      <c r="P1118" s="25" t="inlineStr">
        <is>
          <t>00082000767930</t>
        </is>
      </c>
      <c r="Q1118" s="25" t="inlineStr">
        <is>
          <t>0082000757511</t>
        </is>
      </c>
      <c r="R1118" s="78" t="n">
        <v>42370</v>
      </c>
    </row>
    <row r="1119">
      <c r="A1119" t="inlineStr">
        <is>
          <t>or item code =</t>
        </is>
      </c>
      <c r="B1119" s="25" t="inlineStr">
        <is>
          <t>35213</t>
        </is>
      </c>
      <c r="C1119" s="25" t="inlineStr">
        <is>
          <t>SOBIESKI POLISH VODKA</t>
        </is>
      </c>
      <c r="D1119" s="25" t="inlineStr">
        <is>
          <t>1.75L</t>
        </is>
      </c>
      <c r="E1119" s="27" t="n">
        <v>34</v>
      </c>
      <c r="F1119" s="27" t="n">
        <v>36</v>
      </c>
      <c r="G1119" s="27" t="n">
        <v>6</v>
      </c>
      <c r="H1119" s="28" t="n">
        <v>92.81</v>
      </c>
      <c r="I1119" s="28" t="n">
        <v>0</v>
      </c>
      <c r="J1119" s="94" t="inlineStr">
        <is>
          <t>False</t>
        </is>
      </c>
      <c r="K1119" s="28" t="n">
        <v>0</v>
      </c>
      <c r="L1119" s="25" t="inlineStr">
        <is>
          <t>VODKA</t>
        </is>
      </c>
      <c r="M1119" s="25" t="inlineStr">
        <is>
          <t>SAZERAC COMPANY</t>
        </is>
      </c>
      <c r="N1119" s="25" t="inlineStr">
        <is>
          <t>040010-SOUTHERN GLAZERS WINE AND SPIRITS OF MISSISSIPPI LLC</t>
        </is>
      </c>
      <c r="O1119" s="25" t="n"/>
      <c r="P1119" s="25" t="inlineStr">
        <is>
          <t>50089016008496</t>
        </is>
      </c>
      <c r="Q1119" s="25" t="inlineStr">
        <is>
          <t>089016008491</t>
        </is>
      </c>
      <c r="R1119" s="78" t="n">
        <v>42370</v>
      </c>
    </row>
    <row r="1120">
      <c r="A1120" t="inlineStr">
        <is>
          <t>or item code =</t>
        </is>
      </c>
      <c r="B1120" s="25" t="inlineStr">
        <is>
          <t>34690</t>
        </is>
      </c>
      <c r="C1120" s="25" t="inlineStr">
        <is>
          <t>SOBIESKI POLISH VODKA</t>
        </is>
      </c>
      <c r="D1120" s="25" t="inlineStr">
        <is>
          <t>750ml</t>
        </is>
      </c>
      <c r="E1120" s="27" t="n">
        <v>69</v>
      </c>
      <c r="F1120" s="27" t="n">
        <v>3</v>
      </c>
      <c r="G1120" s="27" t="n">
        <v>12</v>
      </c>
      <c r="H1120" s="28" t="n">
        <v>133.24</v>
      </c>
      <c r="I1120" s="28" t="n">
        <v>0</v>
      </c>
      <c r="J1120" s="94" t="inlineStr">
        <is>
          <t>False</t>
        </is>
      </c>
      <c r="K1120" s="28" t="n">
        <v>0</v>
      </c>
      <c r="L1120" s="25" t="inlineStr">
        <is>
          <t>VODKA</t>
        </is>
      </c>
      <c r="M1120" s="25" t="inlineStr">
        <is>
          <t>SAZERAC COMPANY</t>
        </is>
      </c>
      <c r="N1120" s="25" t="inlineStr">
        <is>
          <t>040010-SOUTHERN GLAZERS WINE AND SPIRITS OF MISSISSIPPI LLC</t>
        </is>
      </c>
      <c r="O1120" s="25" t="n"/>
      <c r="P1120" s="25" t="inlineStr">
        <is>
          <t>10089016008221</t>
        </is>
      </c>
      <c r="Q1120" s="25" t="inlineStr">
        <is>
          <t>0089016008224</t>
        </is>
      </c>
      <c r="R1120" s="78" t="n">
        <v>42370</v>
      </c>
    </row>
    <row r="1121">
      <c r="A1121" t="inlineStr">
        <is>
          <t>or item code =</t>
        </is>
      </c>
      <c r="B1121" s="25" t="inlineStr">
        <is>
          <t>381956</t>
        </is>
      </c>
      <c r="C1121" s="25" t="inlineStr">
        <is>
          <t>SONOROSO ROSSO DOLCE</t>
        </is>
      </c>
      <c r="D1121" s="25" t="inlineStr">
        <is>
          <t>750ml</t>
        </is>
      </c>
      <c r="E1121" s="27" t="n">
        <v>161</v>
      </c>
      <c r="F1121" s="27" t="n">
        <v>6</v>
      </c>
      <c r="G1121" s="27" t="n">
        <v>12</v>
      </c>
      <c r="H1121" s="28" t="n">
        <v>133.34</v>
      </c>
      <c r="I1121" s="28" t="n">
        <v>0</v>
      </c>
      <c r="J1121" s="94" t="inlineStr">
        <is>
          <t>False</t>
        </is>
      </c>
      <c r="K1121" s="28" t="n">
        <v>0</v>
      </c>
      <c r="L1121" s="25" t="inlineStr">
        <is>
          <t>DESSERT WINES - OTHER</t>
        </is>
      </c>
      <c r="M1121" s="25" t="inlineStr">
        <is>
          <t>PRESTIGE WINE IMPORTS CORP.</t>
        </is>
      </c>
      <c r="N1121" s="25" t="inlineStr">
        <is>
          <t>040010-SOUTHERN GLAZERS WINE AND SPIRITS OF MISSISSIPPI LLC</t>
        </is>
      </c>
      <c r="O1121" s="25" t="n"/>
      <c r="P1121" s="25" t="inlineStr">
        <is>
          <t>10087241880490</t>
        </is>
      </c>
      <c r="Q1121" s="25" t="inlineStr">
        <is>
          <t>087241880493</t>
        </is>
      </c>
      <c r="R1121" s="78" t="n">
        <v>43859</v>
      </c>
    </row>
    <row r="1122">
      <c r="A1122" t="inlineStr">
        <is>
          <t>or item code =</t>
        </is>
      </c>
      <c r="B1122" s="25" t="inlineStr">
        <is>
          <t>86886</t>
        </is>
      </c>
      <c r="C1122" s="25" t="inlineStr">
        <is>
          <t>SOUTHERN COMFORT</t>
        </is>
      </c>
      <c r="D1122" s="25" t="inlineStr">
        <is>
          <t>750ml</t>
        </is>
      </c>
      <c r="E1122" s="27" t="n">
        <v>55</v>
      </c>
      <c r="F1122" s="27" t="n">
        <v>52</v>
      </c>
      <c r="G1122" s="27" t="n">
        <v>12</v>
      </c>
      <c r="H1122" s="28" t="n">
        <v>141.14</v>
      </c>
      <c r="I1122" s="28" t="n">
        <v>0</v>
      </c>
      <c r="J1122" s="94" t="inlineStr">
        <is>
          <t>False</t>
        </is>
      </c>
      <c r="K1122" s="28" t="n">
        <v>0</v>
      </c>
      <c r="L1122" s="25" t="inlineStr">
        <is>
          <t>WHISKEY OTHER</t>
        </is>
      </c>
      <c r="M1122" s="25" t="inlineStr">
        <is>
          <t>SAZERAC COMPANY</t>
        </is>
      </c>
      <c r="N1122" s="25" t="inlineStr">
        <is>
          <t>040002-RNDC-MAGNOLIA</t>
        </is>
      </c>
      <c r="O1122" s="25" t="n"/>
      <c r="P1122" s="25" t="inlineStr">
        <is>
          <t>10088544100995</t>
        </is>
      </c>
      <c r="Q1122" s="25" t="inlineStr">
        <is>
          <t>0088544019054</t>
        </is>
      </c>
      <c r="R1122" s="78" t="n">
        <v>42370</v>
      </c>
    </row>
    <row r="1123">
      <c r="A1123" t="inlineStr">
        <is>
          <t>or item code =</t>
        </is>
      </c>
      <c r="B1123" s="25" t="inlineStr">
        <is>
          <t>66836</t>
        </is>
      </c>
      <c r="C1123" s="25" t="inlineStr">
        <is>
          <t>ST GERMAIN FRENCH LIQUEUR (ELDERFLOWER)</t>
        </is>
      </c>
      <c r="D1123" s="25" t="inlineStr">
        <is>
          <t>750ml</t>
        </is>
      </c>
      <c r="E1123" s="27" t="n">
        <v>56</v>
      </c>
      <c r="F1123" s="27" t="n">
        <v>60</v>
      </c>
      <c r="G1123" s="27" t="n">
        <v>6</v>
      </c>
      <c r="H1123" s="28" t="n">
        <v>170.72</v>
      </c>
      <c r="I1123" s="28" t="n">
        <v>0</v>
      </c>
      <c r="J1123" s="94" t="inlineStr">
        <is>
          <t>False</t>
        </is>
      </c>
      <c r="K1123" s="28" t="n">
        <v>0</v>
      </c>
      <c r="L1123" s="25" t="inlineStr">
        <is>
          <t>LIQUEURS AND CORDIALS</t>
        </is>
      </c>
      <c r="M1123" s="25" t="inlineStr">
        <is>
          <t>BACARDI USA INC</t>
        </is>
      </c>
      <c r="N1123" s="25" t="inlineStr">
        <is>
          <t>040010-SOUTHERN GLAZERS WINE AND SPIRITS OF MISSISSIPPI LLC</t>
        </is>
      </c>
      <c r="O1123" s="25" t="n"/>
      <c r="P1123" s="25" t="inlineStr">
        <is>
          <t>10898804001005</t>
        </is>
      </c>
      <c r="Q1123" s="25" t="inlineStr">
        <is>
          <t>080480004699</t>
        </is>
      </c>
      <c r="R1123" s="78" t="n">
        <v>42370</v>
      </c>
    </row>
    <row r="1124">
      <c r="A1124" t="inlineStr">
        <is>
          <t>or item code =</t>
        </is>
      </c>
      <c r="B1124" s="25" t="inlineStr">
        <is>
          <t>50686</t>
        </is>
      </c>
      <c r="C1124" s="25" t="inlineStr">
        <is>
          <t>ST. REMY VSOP BRANDY</t>
        </is>
      </c>
      <c r="D1124" s="25" t="inlineStr">
        <is>
          <t>750ml</t>
        </is>
      </c>
      <c r="E1124" s="27" t="n">
        <v>68</v>
      </c>
      <c r="F1124" s="27" t="n">
        <v>27</v>
      </c>
      <c r="G1124" s="27" t="n">
        <v>12</v>
      </c>
      <c r="H1124" s="28" t="n">
        <v>138.37</v>
      </c>
      <c r="I1124" s="28" t="n">
        <v>0</v>
      </c>
      <c r="J1124" s="94" t="inlineStr">
        <is>
          <t>False</t>
        </is>
      </c>
      <c r="K1124" s="28" t="n">
        <v>0</v>
      </c>
      <c r="L1124" s="25" t="inlineStr">
        <is>
          <t>BRANDY</t>
        </is>
      </c>
      <c r="M1124" s="25" t="inlineStr">
        <is>
          <t>REMY COINTREAU USA INC</t>
        </is>
      </c>
      <c r="N1124" s="25" t="inlineStr">
        <is>
          <t>040002-RNDC-MAGNOLIA</t>
        </is>
      </c>
      <c r="O1124" s="25" t="n"/>
      <c r="P1124" s="25" t="inlineStr">
        <is>
          <t>10087236992009</t>
        </is>
      </c>
      <c r="Q1124" s="25" t="inlineStr">
        <is>
          <t>0087236992002</t>
        </is>
      </c>
      <c r="R1124" s="78" t="n">
        <v>42279</v>
      </c>
    </row>
    <row r="1125">
      <c r="A1125" t="inlineStr">
        <is>
          <t>or item code =</t>
        </is>
      </c>
      <c r="B1125" s="25" t="inlineStr">
        <is>
          <t>50689</t>
        </is>
      </c>
      <c r="C1125" s="25" t="inlineStr">
        <is>
          <t>ST. REMY VSOP BRANDY PET</t>
        </is>
      </c>
      <c r="D1125" s="25" t="inlineStr">
        <is>
          <t>1.75L</t>
        </is>
      </c>
      <c r="E1125" s="27" t="n">
        <v>1</v>
      </c>
      <c r="F1125" s="27" t="n">
        <v>10</v>
      </c>
      <c r="G1125" s="27" t="n">
        <v>6</v>
      </c>
      <c r="H1125" s="28" t="n">
        <v>149.94</v>
      </c>
      <c r="I1125" s="28" t="n">
        <v>0</v>
      </c>
      <c r="J1125" s="94" t="inlineStr">
        <is>
          <t>False</t>
        </is>
      </c>
      <c r="K1125" s="28" t="n">
        <v>0</v>
      </c>
      <c r="L1125" s="25" t="inlineStr">
        <is>
          <t>BRANDY</t>
        </is>
      </c>
      <c r="M1125" s="25" t="inlineStr">
        <is>
          <t>REMY COINTREAU USA INC</t>
        </is>
      </c>
      <c r="N1125" s="25" t="inlineStr">
        <is>
          <t>040002-RNDC-MAGNOLIA</t>
        </is>
      </c>
      <c r="O1125" s="25" t="n"/>
      <c r="P1125" s="25" t="inlineStr">
        <is>
          <t>10087236992153</t>
        </is>
      </c>
      <c r="Q1125" s="25" t="inlineStr">
        <is>
          <t>087236992057</t>
        </is>
      </c>
      <c r="R1125" s="78" t="n">
        <v>42279</v>
      </c>
    </row>
    <row r="1126">
      <c r="A1126" t="inlineStr">
        <is>
          <t>or item code =</t>
        </is>
      </c>
      <c r="B1126" s="25" t="inlineStr">
        <is>
          <t>424396</t>
        </is>
      </c>
      <c r="C1126" s="25" t="inlineStr">
        <is>
          <t>STARBOROUGH STARLITE SAUVIGNON BLANC</t>
        </is>
      </c>
      <c r="D1126" s="25" t="inlineStr">
        <is>
          <t>750ml</t>
        </is>
      </c>
      <c r="E1126" s="27" t="n">
        <v>52</v>
      </c>
      <c r="F1126" s="27" t="n">
        <v>41</v>
      </c>
      <c r="G1126" s="27" t="n">
        <v>12</v>
      </c>
      <c r="H1126" s="28" t="n">
        <v>128.49</v>
      </c>
      <c r="I1126" s="28" t="n">
        <v>0</v>
      </c>
      <c r="J1126" s="94" t="inlineStr">
        <is>
          <t>False</t>
        </is>
      </c>
      <c r="K1126" s="28" t="n">
        <v>0</v>
      </c>
      <c r="L1126" s="25" t="inlineStr">
        <is>
          <t>SAUVIGNON BLNC/FUME BLNC</t>
        </is>
      </c>
      <c r="M1126" s="25" t="inlineStr">
        <is>
          <t>E &amp; J GALLO WINERY</t>
        </is>
      </c>
      <c r="N1126" s="25" t="inlineStr">
        <is>
          <t>040012-GALLO WINES OF MISSISSIPPI</t>
        </is>
      </c>
      <c r="O1126" s="25" t="n"/>
      <c r="P1126" s="25" t="inlineStr">
        <is>
          <t>30085000033136</t>
        </is>
      </c>
      <c r="Q1126" s="25" t="inlineStr">
        <is>
          <t>085000033135</t>
        </is>
      </c>
      <c r="R1126" s="78" t="n">
        <v>44652</v>
      </c>
    </row>
    <row r="1127">
      <c r="A1127" t="inlineStr">
        <is>
          <t>or item code =</t>
        </is>
      </c>
      <c r="B1127" s="25" t="inlineStr">
        <is>
          <t>626210</t>
        </is>
      </c>
      <c r="C1127" s="25" t="inlineStr">
        <is>
          <t>STE MICHELLE COLUMBIA VL RIESLING</t>
        </is>
      </c>
      <c r="D1127" s="25" t="inlineStr">
        <is>
          <t>750ml</t>
        </is>
      </c>
      <c r="E1127" s="27" t="n">
        <v>1</v>
      </c>
      <c r="F1127" s="27" t="n">
        <v>132</v>
      </c>
      <c r="G1127" s="27" t="n">
        <v>12</v>
      </c>
      <c r="H1127" s="28" t="n">
        <v>98.61</v>
      </c>
      <c r="I1127" s="28" t="n">
        <v>0</v>
      </c>
      <c r="J1127" s="94" t="inlineStr">
        <is>
          <t>False</t>
        </is>
      </c>
      <c r="K1127" s="28" t="n">
        <v>0</v>
      </c>
      <c r="L1127" s="25" t="inlineStr">
        <is>
          <t>RIESLING (WHITE/JOHANN)</t>
        </is>
      </c>
      <c r="M1127" s="25" t="inlineStr">
        <is>
          <t>STE MICHELLE WINE ESTATES</t>
        </is>
      </c>
      <c r="N1127" s="25" t="inlineStr">
        <is>
          <t>040010-SOUTHERN GLAZERS WINE AND SPIRITS OF MISSISSIPPI LLC</t>
        </is>
      </c>
      <c r="O1127" s="25" t="n"/>
      <c r="P1127" s="25" t="inlineStr">
        <is>
          <t>30089819090304</t>
        </is>
      </c>
      <c r="Q1127" s="25" t="inlineStr">
        <is>
          <t>0088586621840</t>
        </is>
      </c>
      <c r="R1127" s="78" t="n">
        <v>42370</v>
      </c>
    </row>
    <row r="1128">
      <c r="A1128" t="inlineStr">
        <is>
          <t>or item code =</t>
        </is>
      </c>
      <c r="B1128" s="25" t="inlineStr">
        <is>
          <t>734272</t>
        </is>
      </c>
      <c r="C1128" s="25" t="inlineStr">
        <is>
          <t>STELLA ROSA BLACK LUX</t>
        </is>
      </c>
      <c r="D1128" s="25" t="inlineStr">
        <is>
          <t>750ml</t>
        </is>
      </c>
      <c r="E1128" s="27" t="n">
        <v>6</v>
      </c>
      <c r="F1128" s="27" t="n">
        <v>24</v>
      </c>
      <c r="G1128" s="27" t="n">
        <v>12</v>
      </c>
      <c r="H1128" s="28" t="n">
        <v>177.99</v>
      </c>
      <c r="I1128" s="28" t="n">
        <v>0</v>
      </c>
      <c r="J1128" s="94" t="inlineStr">
        <is>
          <t>False</t>
        </is>
      </c>
      <c r="K1128" s="28" t="n">
        <v>0</v>
      </c>
      <c r="L1128" s="25" t="inlineStr">
        <is>
          <t>SPRKLNG, CHMPGNE, ETC.</t>
        </is>
      </c>
      <c r="M1128" s="25" t="inlineStr">
        <is>
          <t>SAN ANTONIO WINERY</t>
        </is>
      </c>
      <c r="N1128" s="25" t="inlineStr">
        <is>
          <t>040003-RNDC-VINTAGE</t>
        </is>
      </c>
      <c r="O1128" s="25" t="n"/>
      <c r="P1128" s="25" t="inlineStr">
        <is>
          <t>87872634011000</t>
        </is>
      </c>
      <c r="Q1128" s="25" t="inlineStr">
        <is>
          <t>087872634014</t>
        </is>
      </c>
      <c r="R1128" s="78" t="n">
        <v>44228</v>
      </c>
    </row>
    <row r="1129">
      <c r="A1129" t="inlineStr">
        <is>
          <t>or item code =</t>
        </is>
      </c>
      <c r="B1129" s="25" t="inlineStr">
        <is>
          <t>734278</t>
        </is>
      </c>
      <c r="C1129" s="25" t="inlineStr">
        <is>
          <t>STELLA ROSA ROSSO LUX</t>
        </is>
      </c>
      <c r="D1129" s="25" t="inlineStr">
        <is>
          <t>750ml</t>
        </is>
      </c>
      <c r="E1129" s="27" t="n">
        <v>77</v>
      </c>
      <c r="F1129" s="27" t="n">
        <v>11</v>
      </c>
      <c r="G1129" s="27" t="n">
        <v>12</v>
      </c>
      <c r="H1129" s="28" t="n">
        <v>177.99</v>
      </c>
      <c r="I1129" s="28" t="n">
        <v>0</v>
      </c>
      <c r="J1129" s="94" t="inlineStr">
        <is>
          <t>False</t>
        </is>
      </c>
      <c r="K1129" s="28" t="n">
        <v>0</v>
      </c>
      <c r="L1129" s="25" t="inlineStr">
        <is>
          <t>SPRKLNG, CHMPGNE, ETC.</t>
        </is>
      </c>
      <c r="M1129" s="25" t="inlineStr">
        <is>
          <t>SAN ANTONIO WINERY</t>
        </is>
      </c>
      <c r="N1129" s="25" t="inlineStr">
        <is>
          <t>040003-RNDC-VINTAGE</t>
        </is>
      </c>
      <c r="O1129" s="25" t="n"/>
      <c r="P1129" s="25" t="inlineStr">
        <is>
          <t>87872634318000</t>
        </is>
      </c>
      <c r="Q1129" s="25" t="inlineStr">
        <is>
          <t>087872634311</t>
        </is>
      </c>
      <c r="R1129" s="78" t="n">
        <v>42370</v>
      </c>
    </row>
    <row r="1130">
      <c r="A1130" t="inlineStr">
        <is>
          <t>or item code =</t>
        </is>
      </c>
      <c r="B1130" s="25" t="inlineStr">
        <is>
          <t>382047</t>
        </is>
      </c>
      <c r="C1130" s="25" t="inlineStr">
        <is>
          <t>STELLA ROSA ROYALE</t>
        </is>
      </c>
      <c r="D1130" s="25" t="inlineStr">
        <is>
          <t>750ml</t>
        </is>
      </c>
      <c r="E1130" s="27" t="n">
        <v>101</v>
      </c>
      <c r="F1130" s="27" t="n">
        <v>20</v>
      </c>
      <c r="G1130" s="27" t="n">
        <v>12</v>
      </c>
      <c r="H1130" s="28" t="n">
        <v>142.14</v>
      </c>
      <c r="I1130" s="28" t="n">
        <v>0</v>
      </c>
      <c r="J1130" s="94" t="inlineStr">
        <is>
          <t>False</t>
        </is>
      </c>
      <c r="K1130" s="28" t="n">
        <v>0</v>
      </c>
      <c r="L1130" s="25" t="inlineStr">
        <is>
          <t>RED WINE</t>
        </is>
      </c>
      <c r="M1130" s="25" t="inlineStr">
        <is>
          <t>SAN ANTONIO WINERY</t>
        </is>
      </c>
      <c r="N1130" s="25" t="inlineStr">
        <is>
          <t>040003-RNDC-VINTAGE</t>
        </is>
      </c>
      <c r="O1130" s="25" t="n"/>
      <c r="P1130" s="25" t="inlineStr">
        <is>
          <t>10087872683309</t>
        </is>
      </c>
      <c r="Q1130" s="25" t="inlineStr">
        <is>
          <t>087872683302</t>
        </is>
      </c>
      <c r="R1130" s="78" t="n">
        <v>42370</v>
      </c>
    </row>
    <row r="1131">
      <c r="A1131" t="inlineStr">
        <is>
          <t>or item code =</t>
        </is>
      </c>
      <c r="B1131" s="25" t="inlineStr">
        <is>
          <t>77420</t>
        </is>
      </c>
      <c r="C1131" s="25" t="inlineStr">
        <is>
          <t>STINKY GRINGO MARGARITA RTD</t>
        </is>
      </c>
      <c r="D1131" s="25" t="inlineStr">
        <is>
          <t>1.75L</t>
        </is>
      </c>
      <c r="E1131" s="27" t="n">
        <v>145</v>
      </c>
      <c r="F1131" s="27" t="n">
        <v>26</v>
      </c>
      <c r="G1131" s="27" t="n">
        <v>6</v>
      </c>
      <c r="H1131" s="28" t="n">
        <v>93.48999999999999</v>
      </c>
      <c r="I1131" s="28" t="n">
        <v>0</v>
      </c>
      <c r="J1131" s="94" t="inlineStr">
        <is>
          <t>False</t>
        </is>
      </c>
      <c r="K1131" s="28" t="n">
        <v>0</v>
      </c>
      <c r="L1131" s="25" t="inlineStr">
        <is>
          <t>COCKTAILS</t>
        </is>
      </c>
      <c r="M1131" s="25" t="inlineStr">
        <is>
          <t>UNITED STATES DISTILLED PRODUCTS DBA PHILLIPS PRODUCTS COMPANY</t>
        </is>
      </c>
      <c r="N1131" s="25" t="inlineStr">
        <is>
          <t>040010-SOUTHERN GLAZERS WINE AND SPIRITS OF MISSISSIPPI LLC</t>
        </is>
      </c>
      <c r="O1131" s="25" t="n"/>
      <c r="P1131" s="25" t="inlineStr">
        <is>
          <t>10084279973712</t>
        </is>
      </c>
      <c r="Q1131" s="25" t="inlineStr">
        <is>
          <t>0084279973715</t>
        </is>
      </c>
      <c r="R1131" s="78" t="n">
        <v>42370</v>
      </c>
    </row>
    <row r="1132">
      <c r="A1132" t="inlineStr">
        <is>
          <t>or item code =</t>
        </is>
      </c>
      <c r="B1132" s="25" t="inlineStr">
        <is>
          <t>37063</t>
        </is>
      </c>
      <c r="C1132" s="25" t="inlineStr">
        <is>
          <t>STOLI ELIT ULTRA PREMIUM VODKA</t>
        </is>
      </c>
      <c r="D1132" s="25" t="inlineStr">
        <is>
          <t>750ml</t>
        </is>
      </c>
      <c r="E1132" s="27" t="n">
        <v>43</v>
      </c>
      <c r="F1132" s="27" t="n">
        <v>19</v>
      </c>
      <c r="G1132" s="27" t="n">
        <v>3</v>
      </c>
      <c r="H1132" s="28" t="n">
        <v>103.87</v>
      </c>
      <c r="I1132" s="28" t="n">
        <v>0</v>
      </c>
      <c r="J1132" s="94" t="inlineStr">
        <is>
          <t>False</t>
        </is>
      </c>
      <c r="K1132" s="28" t="n">
        <v>0</v>
      </c>
      <c r="L1132" s="25" t="inlineStr">
        <is>
          <t>VODKA</t>
        </is>
      </c>
      <c r="M1132" s="25" t="inlineStr">
        <is>
          <t>STOLI GROUP (USA) LLC</t>
        </is>
      </c>
      <c r="N1132" s="25" t="inlineStr">
        <is>
          <t>040002-RNDC-MAGNOLIA</t>
        </is>
      </c>
      <c r="O1132" s="25" t="n"/>
      <c r="P1132" s="25" t="inlineStr">
        <is>
          <t>80811751020607</t>
        </is>
      </c>
      <c r="Q1132" s="25" t="inlineStr">
        <is>
          <t>0811751020601</t>
        </is>
      </c>
      <c r="R1132" s="78" t="n">
        <v>42370</v>
      </c>
    </row>
    <row r="1133">
      <c r="A1133" t="inlineStr">
        <is>
          <t>or item code =</t>
        </is>
      </c>
      <c r="B1133" s="25" t="inlineStr">
        <is>
          <t>34746</t>
        </is>
      </c>
      <c r="C1133" s="25" t="inlineStr">
        <is>
          <t>STOLICHNAYA 80 VODKA</t>
        </is>
      </c>
      <c r="D1133" s="25" t="inlineStr">
        <is>
          <t>750ml</t>
        </is>
      </c>
      <c r="E1133" s="27" t="n">
        <v>87</v>
      </c>
      <c r="F1133" s="27" t="n">
        <v>34</v>
      </c>
      <c r="G1133" s="27" t="n">
        <v>12</v>
      </c>
      <c r="H1133" s="28" t="n">
        <v>196</v>
      </c>
      <c r="I1133" s="28" t="n">
        <v>0</v>
      </c>
      <c r="J1133" s="94" t="inlineStr">
        <is>
          <t>False</t>
        </is>
      </c>
      <c r="K1133" s="28" t="n">
        <v>0</v>
      </c>
      <c r="L1133" s="25" t="inlineStr">
        <is>
          <t>VODKA</t>
        </is>
      </c>
      <c r="M1133" s="25" t="inlineStr">
        <is>
          <t>STOLI GROUP (USA) LLC</t>
        </is>
      </c>
      <c r="N1133" s="25" t="inlineStr">
        <is>
          <t>040002-RNDC-MAGNOLIA</t>
        </is>
      </c>
      <c r="O1133" s="25" t="n"/>
      <c r="P1133" s="25" t="inlineStr">
        <is>
          <t>10083664870551</t>
        </is>
      </c>
      <c r="Q1133" s="25" t="inlineStr">
        <is>
          <t>0811751020007</t>
        </is>
      </c>
      <c r="R1133" s="78" t="n">
        <v>42370</v>
      </c>
    </row>
    <row r="1134">
      <c r="A1134" t="inlineStr">
        <is>
          <t>or item code =</t>
        </is>
      </c>
      <c r="B1134" s="25" t="inlineStr">
        <is>
          <t>80517</t>
        </is>
      </c>
      <c r="C1134" s="25" t="inlineStr">
        <is>
          <t>SUGARLAND SHINE BUTTER PECAN SIPPIN CREAM MNSN</t>
        </is>
      </c>
      <c r="D1134" s="25" t="inlineStr">
        <is>
          <t>50ml</t>
        </is>
      </c>
      <c r="E1134" s="27" t="n">
        <v>3</v>
      </c>
      <c r="F1134" s="27" t="n">
        <v>12</v>
      </c>
      <c r="G1134" s="27" t="n">
        <v>48</v>
      </c>
      <c r="H1134" s="28" t="n">
        <v>111.4</v>
      </c>
      <c r="I1134" s="28" t="n">
        <v>0</v>
      </c>
      <c r="J1134" s="94" t="inlineStr">
        <is>
          <t>False</t>
        </is>
      </c>
      <c r="K1134" s="28" t="n">
        <v>0</v>
      </c>
      <c r="L1134" s="25" t="inlineStr">
        <is>
          <t>SPECIALTY</t>
        </is>
      </c>
      <c r="M1134" s="25" t="inlineStr">
        <is>
          <t>SUGARLANDS DISTILLING LLC</t>
        </is>
      </c>
      <c r="N1134" s="25" t="inlineStr">
        <is>
          <t>040002-RNDC-MAGNOLIA</t>
        </is>
      </c>
      <c r="O1134" s="25" t="n"/>
      <c r="P1134" s="25" t="inlineStr">
        <is>
          <t>10811559020275</t>
        </is>
      </c>
      <c r="Q1134" s="25" t="inlineStr">
        <is>
          <t>811559020278</t>
        </is>
      </c>
      <c r="R1134" s="78" t="n">
        <v>44166</v>
      </c>
    </row>
    <row r="1135">
      <c r="A1135" t="inlineStr">
        <is>
          <t>or item code =</t>
        </is>
      </c>
      <c r="B1135" s="25" t="inlineStr">
        <is>
          <t>78107</t>
        </is>
      </c>
      <c r="C1135" s="25" t="inlineStr">
        <is>
          <t>SUGARLANDS APP BANANA PUDDING SIPPIN' CREAM</t>
        </is>
      </c>
      <c r="D1135" s="25" t="inlineStr">
        <is>
          <t>750ml</t>
        </is>
      </c>
      <c r="E1135" s="27" t="n">
        <v>1</v>
      </c>
      <c r="F1135" s="27" t="n">
        <v>91</v>
      </c>
      <c r="G1135" s="27" t="n">
        <v>6</v>
      </c>
      <c r="H1135" s="28" t="n">
        <v>106.64</v>
      </c>
      <c r="I1135" s="28" t="n">
        <v>0</v>
      </c>
      <c r="J1135" s="94" t="inlineStr">
        <is>
          <t>False</t>
        </is>
      </c>
      <c r="K1135" s="28" t="n">
        <v>0</v>
      </c>
      <c r="L1135" s="25" t="inlineStr">
        <is>
          <t>SPECIALTY</t>
        </is>
      </c>
      <c r="M1135" s="25" t="inlineStr">
        <is>
          <t>SUGARLANDS DISTILLING LLC</t>
        </is>
      </c>
      <c r="N1135" s="25" t="inlineStr">
        <is>
          <t>040002-RNDC-MAGNOLIA</t>
        </is>
      </c>
      <c r="O1135" s="25" t="n"/>
      <c r="P1135" s="25" t="inlineStr">
        <is>
          <t>10811559020367</t>
        </is>
      </c>
      <c r="Q1135" s="25" t="inlineStr">
        <is>
          <t>811559020360</t>
        </is>
      </c>
      <c r="R1135" s="78" t="n">
        <v>44105</v>
      </c>
    </row>
    <row r="1136">
      <c r="A1136" t="inlineStr">
        <is>
          <t>or item code =</t>
        </is>
      </c>
      <c r="B1136" s="25" t="inlineStr">
        <is>
          <t>80518</t>
        </is>
      </c>
      <c r="C1136" s="25" t="inlineStr">
        <is>
          <t>SUGARLANDS SHINE DARK BUTTER PECAN SIPPIN' CREAM</t>
        </is>
      </c>
      <c r="D1136" s="25" t="inlineStr">
        <is>
          <t>750ml</t>
        </is>
      </c>
      <c r="E1136" s="27" t="n">
        <v>1</v>
      </c>
      <c r="F1136" s="27" t="n">
        <v>19</v>
      </c>
      <c r="G1136" s="27" t="n">
        <v>6</v>
      </c>
      <c r="H1136" s="28" t="n">
        <v>106.64</v>
      </c>
      <c r="I1136" s="28" t="n">
        <v>0</v>
      </c>
      <c r="J1136" s="94" t="inlineStr">
        <is>
          <t>False</t>
        </is>
      </c>
      <c r="K1136" s="28" t="n">
        <v>0</v>
      </c>
      <c r="L1136" s="25" t="inlineStr">
        <is>
          <t>SPECIALTY</t>
        </is>
      </c>
      <c r="M1136" s="25" t="inlineStr">
        <is>
          <t>SUGARLANDS DISTILLING LLC</t>
        </is>
      </c>
      <c r="N1136" s="25" t="inlineStr">
        <is>
          <t>040002-RNDC-MAGNOLIA</t>
        </is>
      </c>
      <c r="O1136" s="25" t="n"/>
      <c r="P1136" s="25" t="inlineStr">
        <is>
          <t>10811559022323</t>
        </is>
      </c>
      <c r="Q1136" s="25" t="inlineStr">
        <is>
          <t>811559022326</t>
        </is>
      </c>
      <c r="R1136" s="78" t="n">
        <v>43595</v>
      </c>
    </row>
    <row r="1137">
      <c r="A1137" t="inlineStr">
        <is>
          <t>or item code =</t>
        </is>
      </c>
      <c r="B1137" s="25" t="inlineStr">
        <is>
          <t>80520</t>
        </is>
      </c>
      <c r="C1137" s="25" t="inlineStr">
        <is>
          <t>SUGARLANDS SHINE DK CHOCOLATE COFFEE SIPPIN CREAM</t>
        </is>
      </c>
      <c r="D1137" s="25" t="inlineStr">
        <is>
          <t>750ml</t>
        </is>
      </c>
      <c r="E1137" s="27" t="n">
        <v>40</v>
      </c>
      <c r="F1137" s="27" t="n">
        <v>58</v>
      </c>
      <c r="G1137" s="27" t="n">
        <v>6</v>
      </c>
      <c r="H1137" s="28" t="n">
        <v>106.64</v>
      </c>
      <c r="I1137" s="28" t="n">
        <v>0</v>
      </c>
      <c r="J1137" s="94" t="inlineStr">
        <is>
          <t>False</t>
        </is>
      </c>
      <c r="K1137" s="28" t="n">
        <v>0</v>
      </c>
      <c r="L1137" s="25" t="inlineStr">
        <is>
          <t>SPECIALTY</t>
        </is>
      </c>
      <c r="M1137" s="25" t="inlineStr">
        <is>
          <t>SUGARLANDS DISTILLING LLC</t>
        </is>
      </c>
      <c r="N1137" s="25" t="inlineStr">
        <is>
          <t>040002-RNDC-MAGNOLIA</t>
        </is>
      </c>
      <c r="O1137" s="25" t="n"/>
      <c r="P1137" s="25" t="inlineStr">
        <is>
          <t>10811559021661</t>
        </is>
      </c>
      <c r="Q1137" s="25" t="inlineStr">
        <is>
          <t>811559021664</t>
        </is>
      </c>
      <c r="R1137" s="78" t="n">
        <v>44105</v>
      </c>
    </row>
    <row r="1138">
      <c r="A1138" t="inlineStr">
        <is>
          <t>or item code =</t>
        </is>
      </c>
      <c r="B1138" s="25" t="inlineStr">
        <is>
          <t>80524</t>
        </is>
      </c>
      <c r="C1138" s="25" t="inlineStr">
        <is>
          <t>SUGARLANDS STRAWBERRY DREAM CREAM</t>
        </is>
      </c>
      <c r="D1138" s="25" t="inlineStr">
        <is>
          <t>750ml</t>
        </is>
      </c>
      <c r="E1138" s="27" t="n">
        <v>4</v>
      </c>
      <c r="F1138" s="27" t="n">
        <v>42</v>
      </c>
      <c r="G1138" s="27" t="n">
        <v>6</v>
      </c>
      <c r="H1138" s="28" t="n">
        <v>106.64</v>
      </c>
      <c r="I1138" s="28" t="n">
        <v>0</v>
      </c>
      <c r="J1138" s="94" t="inlineStr">
        <is>
          <t>False</t>
        </is>
      </c>
      <c r="K1138" s="28" t="n">
        <v>0</v>
      </c>
      <c r="L1138" s="25" t="inlineStr">
        <is>
          <t>SPECIALTY</t>
        </is>
      </c>
      <c r="M1138" s="25" t="inlineStr">
        <is>
          <t>SUGARLANDS DISTILLING LLC</t>
        </is>
      </c>
      <c r="N1138" s="25" t="inlineStr">
        <is>
          <t>040002-RNDC-MAGNOLIA</t>
        </is>
      </c>
      <c r="O1138" s="25" t="n"/>
      <c r="P1138" s="25" t="inlineStr">
        <is>
          <t>10811559020077</t>
        </is>
      </c>
      <c r="Q1138" s="25" t="inlineStr">
        <is>
          <t>811559020070</t>
        </is>
      </c>
      <c r="R1138" s="78" t="n">
        <v>44105</v>
      </c>
    </row>
    <row r="1139">
      <c r="A1139" t="inlineStr">
        <is>
          <t>or item code =</t>
        </is>
      </c>
      <c r="B1139" s="25" t="inlineStr">
        <is>
          <t>67006</t>
        </is>
      </c>
      <c r="C1139" s="25" t="inlineStr">
        <is>
          <t>SUNTORY MIDORI MELON</t>
        </is>
      </c>
      <c r="D1139" s="25" t="inlineStr">
        <is>
          <t>750ml</t>
        </is>
      </c>
      <c r="E1139" s="27" t="n">
        <v>0</v>
      </c>
      <c r="F1139" s="27" t="n">
        <v>0</v>
      </c>
      <c r="G1139" s="27" t="n">
        <v>12</v>
      </c>
      <c r="H1139" s="28" t="n">
        <v>212.2</v>
      </c>
      <c r="I1139" s="28" t="n">
        <v>0</v>
      </c>
      <c r="J1139" s="94" t="inlineStr">
        <is>
          <t>False</t>
        </is>
      </c>
      <c r="K1139" s="28" t="n">
        <v>0</v>
      </c>
      <c r="L1139" s="25" t="inlineStr">
        <is>
          <t>LIQUEURS AND CORDIALS</t>
        </is>
      </c>
      <c r="M1139" s="25" t="inlineStr">
        <is>
          <t>JIM BEAM BRANDS CO</t>
        </is>
      </c>
      <c r="N1139" s="25" t="inlineStr">
        <is>
          <t>040010-SOUTHERN GLAZERS WINE AND SPIRITS OF MISSISSIPPI LLC</t>
        </is>
      </c>
      <c r="O1139" s="25" t="n"/>
      <c r="P1139" s="25" t="inlineStr">
        <is>
          <t>00088857328430</t>
        </is>
      </c>
      <c r="Q1139" s="25" t="inlineStr">
        <is>
          <t>0088857003306</t>
        </is>
      </c>
      <c r="R1139" s="78" t="n">
        <v>42370</v>
      </c>
    </row>
    <row r="1140">
      <c r="A1140" t="inlineStr">
        <is>
          <t>or item code =</t>
        </is>
      </c>
      <c r="B1140" s="25" t="inlineStr">
        <is>
          <t>630814</t>
        </is>
      </c>
      <c r="C1140" s="25" t="inlineStr">
        <is>
          <t>SUTTER HOME CHARDONNAY</t>
        </is>
      </c>
      <c r="D1140" s="25" t="inlineStr">
        <is>
          <t>187ml</t>
        </is>
      </c>
      <c r="E1140" s="27" t="n">
        <v>26</v>
      </c>
      <c r="F1140" s="27" t="n">
        <v>278</v>
      </c>
      <c r="G1140" s="27" t="n">
        <v>24</v>
      </c>
      <c r="H1140" s="28" t="n">
        <v>34.25</v>
      </c>
      <c r="I1140" s="28" t="n">
        <v>4.27</v>
      </c>
      <c r="J1140" s="94" t="inlineStr">
        <is>
          <t>False</t>
        </is>
      </c>
      <c r="K1140" s="28" t="n">
        <v>0</v>
      </c>
      <c r="L1140" s="25" t="inlineStr">
        <is>
          <t>CHARDONNAY</t>
        </is>
      </c>
      <c r="M1140" s="25" t="inlineStr">
        <is>
          <t>SUTTER HOME WINERY</t>
        </is>
      </c>
      <c r="N1140" s="25" t="inlineStr">
        <is>
          <t>040003-RNDC-VINTAGE</t>
        </is>
      </c>
      <c r="O1140" s="25" t="n"/>
      <c r="P1140" s="25" t="inlineStr">
        <is>
          <t>00085200100767</t>
        </is>
      </c>
      <c r="Q1140" s="25" t="inlineStr">
        <is>
          <t>08500627</t>
        </is>
      </c>
      <c r="R1140" s="78" t="n">
        <v>42370</v>
      </c>
    </row>
    <row r="1141">
      <c r="A1141" t="inlineStr">
        <is>
          <t>or item code =</t>
        </is>
      </c>
      <c r="B1141" s="25" t="inlineStr">
        <is>
          <t>630815</t>
        </is>
      </c>
      <c r="C1141" s="25" t="inlineStr">
        <is>
          <t>SUTTER HOME CHARDONNAY</t>
        </is>
      </c>
      <c r="D1141" s="25" t="inlineStr">
        <is>
          <t>1.5L</t>
        </is>
      </c>
      <c r="E1141" s="27" t="n">
        <v>0</v>
      </c>
      <c r="F1141" s="27" t="n">
        <v>75</v>
      </c>
      <c r="G1141" s="27" t="n">
        <v>6</v>
      </c>
      <c r="H1141" s="28" t="n">
        <v>59.93</v>
      </c>
      <c r="I1141" s="28" t="n">
        <v>0</v>
      </c>
      <c r="J1141" s="94" t="inlineStr">
        <is>
          <t>False</t>
        </is>
      </c>
      <c r="K1141" s="28" t="n">
        <v>0</v>
      </c>
      <c r="L1141" s="25" t="inlineStr">
        <is>
          <t>CHARDONNAY</t>
        </is>
      </c>
      <c r="M1141" s="25" t="inlineStr">
        <is>
          <t>SUTTER HOME WINERY</t>
        </is>
      </c>
      <c r="N1141" s="25" t="inlineStr">
        <is>
          <t>040003-RNDC-VINTAGE</t>
        </is>
      </c>
      <c r="O1141" s="25" t="n"/>
      <c r="P1141" s="25" t="inlineStr">
        <is>
          <t>00085200100569</t>
        </is>
      </c>
      <c r="Q1141" s="25" t="inlineStr">
        <is>
          <t>08505622</t>
        </is>
      </c>
      <c r="R1141" s="78" t="n">
        <v>42370</v>
      </c>
    </row>
    <row r="1142">
      <c r="A1142" t="inlineStr">
        <is>
          <t>or item code =</t>
        </is>
      </c>
      <c r="B1142" s="25" t="inlineStr">
        <is>
          <t>513500</t>
        </is>
      </c>
      <c r="C1142" s="25" t="inlineStr">
        <is>
          <t>SUTTER HOME MERLOT</t>
        </is>
      </c>
      <c r="D1142" s="25" t="inlineStr">
        <is>
          <t>750ml</t>
        </is>
      </c>
      <c r="E1142" s="27" t="n">
        <v>15</v>
      </c>
      <c r="F1142" s="27" t="n">
        <v>54</v>
      </c>
      <c r="G1142" s="27" t="n">
        <v>12</v>
      </c>
      <c r="H1142" s="28" t="n">
        <v>59.92</v>
      </c>
      <c r="I1142" s="28" t="n">
        <v>8.539999999999999</v>
      </c>
      <c r="J1142" s="94" t="inlineStr">
        <is>
          <t>False</t>
        </is>
      </c>
      <c r="K1142" s="28" t="n">
        <v>0</v>
      </c>
      <c r="L1142" s="25" t="inlineStr">
        <is>
          <t>MERLOT</t>
        </is>
      </c>
      <c r="M1142" s="25" t="inlineStr">
        <is>
          <t>SUTTER HOME WINERY</t>
        </is>
      </c>
      <c r="N1142" s="25" t="inlineStr">
        <is>
          <t>040003-RNDC-VINTAGE</t>
        </is>
      </c>
      <c r="O1142" s="25" t="n"/>
      <c r="P1142" s="25" t="inlineStr">
        <is>
          <t>00085200100248</t>
        </is>
      </c>
      <c r="Q1142" s="25" t="inlineStr">
        <is>
          <t>08502421</t>
        </is>
      </c>
      <c r="R1142" s="78" t="n">
        <v>42370</v>
      </c>
    </row>
    <row r="1143">
      <c r="A1143" t="inlineStr">
        <is>
          <t>or item code =</t>
        </is>
      </c>
      <c r="B1143" s="25" t="inlineStr">
        <is>
          <t>513505</t>
        </is>
      </c>
      <c r="C1143" s="25" t="inlineStr">
        <is>
          <t>SUTTER HOME MERLOT</t>
        </is>
      </c>
      <c r="D1143" s="25" t="inlineStr">
        <is>
          <t>1.5L</t>
        </is>
      </c>
      <c r="E1143" s="27" t="n">
        <v>0</v>
      </c>
      <c r="F1143" s="27" t="n">
        <v>10</v>
      </c>
      <c r="G1143" s="27" t="n">
        <v>6</v>
      </c>
      <c r="H1143" s="28" t="n">
        <v>59.93</v>
      </c>
      <c r="I1143" s="28" t="n">
        <v>0</v>
      </c>
      <c r="J1143" s="94" t="inlineStr">
        <is>
          <t>False</t>
        </is>
      </c>
      <c r="K1143" s="28" t="n">
        <v>0</v>
      </c>
      <c r="L1143" s="25" t="inlineStr">
        <is>
          <t>MERLOT</t>
        </is>
      </c>
      <c r="M1143" s="25" t="inlineStr">
        <is>
          <t>SUTTER HOME WINERY</t>
        </is>
      </c>
      <c r="N1143" s="25" t="inlineStr">
        <is>
          <t>040003-RNDC-VINTAGE</t>
        </is>
      </c>
      <c r="O1143" s="25" t="n"/>
      <c r="P1143" s="25" t="inlineStr">
        <is>
          <t>00085200100545</t>
        </is>
      </c>
      <c r="Q1143" s="25" t="inlineStr">
        <is>
          <t>08505428</t>
        </is>
      </c>
      <c r="R1143" s="78" t="n">
        <v>42370</v>
      </c>
    </row>
    <row r="1144">
      <c r="A1144" t="inlineStr">
        <is>
          <t>or item code =</t>
        </is>
      </c>
      <c r="B1144" s="25" t="inlineStr">
        <is>
          <t>425542</t>
        </is>
      </c>
      <c r="C1144" s="25" t="inlineStr">
        <is>
          <t>SUTTER HOME MOSCATO</t>
        </is>
      </c>
      <c r="D1144" s="25" t="inlineStr">
        <is>
          <t>1.5L</t>
        </is>
      </c>
      <c r="E1144" s="27" t="n">
        <v>0</v>
      </c>
      <c r="F1144" s="27" t="n">
        <v>44</v>
      </c>
      <c r="G1144" s="27" t="n">
        <v>6</v>
      </c>
      <c r="H1144" s="28" t="n">
        <v>59.93</v>
      </c>
      <c r="I1144" s="28" t="n">
        <v>0</v>
      </c>
      <c r="J1144" s="94" t="inlineStr">
        <is>
          <t>False</t>
        </is>
      </c>
      <c r="K1144" s="28" t="n">
        <v>0</v>
      </c>
      <c r="L1144" s="25" t="inlineStr">
        <is>
          <t>MOSCATO WHITE</t>
        </is>
      </c>
      <c r="M1144" s="25" t="inlineStr">
        <is>
          <t>SUTTER HOME WINERY</t>
        </is>
      </c>
      <c r="N1144" s="25" t="inlineStr">
        <is>
          <t>040003-RNDC-VINTAGE</t>
        </is>
      </c>
      <c r="O1144" s="25" t="n"/>
      <c r="P1144" s="25" t="inlineStr">
        <is>
          <t>00085200100620</t>
        </is>
      </c>
      <c r="Q1144" s="25" t="inlineStr">
        <is>
          <t>085200000623</t>
        </is>
      </c>
      <c r="R1144" s="78" t="n">
        <v>42370</v>
      </c>
    </row>
    <row r="1145">
      <c r="A1145" t="inlineStr">
        <is>
          <t>or item code =</t>
        </is>
      </c>
      <c r="B1145" s="25" t="inlineStr">
        <is>
          <t>683326</t>
        </is>
      </c>
      <c r="C1145" s="25" t="inlineStr">
        <is>
          <t>SUTTER HOME PINK MOSCATO CALIFORNIA</t>
        </is>
      </c>
      <c r="D1145" s="25" t="inlineStr">
        <is>
          <t>1.5L</t>
        </is>
      </c>
      <c r="E1145" s="27" t="n">
        <v>48</v>
      </c>
      <c r="F1145" s="27" t="n">
        <v>104</v>
      </c>
      <c r="G1145" s="27" t="n">
        <v>6</v>
      </c>
      <c r="H1145" s="28" t="n">
        <v>59.93</v>
      </c>
      <c r="I1145" s="28" t="n">
        <v>0</v>
      </c>
      <c r="J1145" s="94" t="inlineStr">
        <is>
          <t>False</t>
        </is>
      </c>
      <c r="K1145" s="28" t="n">
        <v>0</v>
      </c>
      <c r="L1145" s="25" t="inlineStr">
        <is>
          <t>MOSCATO WHITE</t>
        </is>
      </c>
      <c r="M1145" s="25" t="inlineStr">
        <is>
          <t>SUTTER HOME WINERY</t>
        </is>
      </c>
      <c r="N1145" s="25" t="inlineStr">
        <is>
          <t>040003-RNDC-VINTAGE</t>
        </is>
      </c>
      <c r="O1145" s="25" t="n"/>
      <c r="P1145" s="25" t="inlineStr">
        <is>
          <t>00085200101467</t>
        </is>
      </c>
      <c r="Q1145" s="25" t="inlineStr">
        <is>
          <t>08509822</t>
        </is>
      </c>
      <c r="R1145" s="78" t="n">
        <v>42370</v>
      </c>
    </row>
    <row r="1146">
      <c r="A1146" t="inlineStr">
        <is>
          <t>or item code =</t>
        </is>
      </c>
      <c r="B1146" s="25" t="inlineStr">
        <is>
          <t>683324</t>
        </is>
      </c>
      <c r="C1146" s="25" t="inlineStr">
        <is>
          <t>SUTTER HOME PINK MOSCATO CALIFORNIA</t>
        </is>
      </c>
      <c r="D1146" s="25" t="inlineStr">
        <is>
          <t>187ml</t>
        </is>
      </c>
      <c r="E1146" s="27" t="n">
        <v>0</v>
      </c>
      <c r="F1146" s="27" t="n">
        <v>99</v>
      </c>
      <c r="G1146" s="27" t="n">
        <v>24</v>
      </c>
      <c r="H1146" s="28" t="n">
        <v>34.25</v>
      </c>
      <c r="I1146" s="28" t="n">
        <v>4.27</v>
      </c>
      <c r="J1146" s="94" t="inlineStr">
        <is>
          <t>False</t>
        </is>
      </c>
      <c r="K1146" s="28" t="n">
        <v>0</v>
      </c>
      <c r="L1146" s="25" t="inlineStr">
        <is>
          <t>MOSCATO WHITE</t>
        </is>
      </c>
      <c r="M1146" s="25" t="inlineStr">
        <is>
          <t>SUTTER HOME WINERY</t>
        </is>
      </c>
      <c r="N1146" s="25" t="inlineStr">
        <is>
          <t>040003-RNDC-VINTAGE</t>
        </is>
      </c>
      <c r="O1146" s="25" t="n"/>
      <c r="P1146" s="25" t="inlineStr">
        <is>
          <t>00085200101498</t>
        </is>
      </c>
      <c r="Q1146" s="25" t="inlineStr">
        <is>
          <t>08509929</t>
        </is>
      </c>
      <c r="R1146" s="78" t="n">
        <v>42370</v>
      </c>
    </row>
    <row r="1147">
      <c r="A1147" t="inlineStr">
        <is>
          <t>or item code =</t>
        </is>
      </c>
      <c r="B1147" s="25" t="inlineStr">
        <is>
          <t>683325</t>
        </is>
      </c>
      <c r="C1147" s="25" t="inlineStr">
        <is>
          <t>SUTTER HOME PINK MOSCATO CALIFORNIA</t>
        </is>
      </c>
      <c r="D1147" s="25" t="inlineStr">
        <is>
          <t>750ml</t>
        </is>
      </c>
      <c r="E1147" s="27" t="n">
        <v>45</v>
      </c>
      <c r="F1147" s="27" t="n">
        <v>65</v>
      </c>
      <c r="G1147" s="27" t="n">
        <v>12</v>
      </c>
      <c r="H1147" s="28" t="n">
        <v>59.92</v>
      </c>
      <c r="I1147" s="28" t="n">
        <v>8.539999999999999</v>
      </c>
      <c r="J1147" s="94" t="inlineStr">
        <is>
          <t>False</t>
        </is>
      </c>
      <c r="K1147" s="28" t="n">
        <v>0</v>
      </c>
      <c r="L1147" s="25" t="inlineStr">
        <is>
          <t>ROSE / BLUSH WINE</t>
        </is>
      </c>
      <c r="M1147" s="25" t="inlineStr">
        <is>
          <t>SUTTER HOME WINERY</t>
        </is>
      </c>
      <c r="N1147" s="25" t="inlineStr">
        <is>
          <t>040003-RNDC-VINTAGE</t>
        </is>
      </c>
      <c r="O1147" s="25" t="n"/>
      <c r="P1147" s="25" t="inlineStr">
        <is>
          <t>00085200101344</t>
        </is>
      </c>
      <c r="Q1147" s="25" t="inlineStr">
        <is>
          <t>08509628</t>
        </is>
      </c>
      <c r="R1147" s="78" t="n">
        <v>42370</v>
      </c>
    </row>
    <row r="1148">
      <c r="A1148" t="inlineStr">
        <is>
          <t>or item code =</t>
        </is>
      </c>
      <c r="B1148" s="25" t="inlineStr">
        <is>
          <t>513365</t>
        </is>
      </c>
      <c r="C1148" s="25" t="inlineStr">
        <is>
          <t>SUTTER HOME SWEET RED</t>
        </is>
      </c>
      <c r="D1148" s="25" t="inlineStr">
        <is>
          <t>1.5L</t>
        </is>
      </c>
      <c r="E1148" s="27" t="n">
        <v>26</v>
      </c>
      <c r="F1148" s="27" t="n">
        <v>67</v>
      </c>
      <c r="G1148" s="27" t="n">
        <v>6</v>
      </c>
      <c r="H1148" s="28" t="n">
        <v>59.93</v>
      </c>
      <c r="I1148" s="28" t="n">
        <v>0</v>
      </c>
      <c r="J1148" s="94" t="inlineStr">
        <is>
          <t>False</t>
        </is>
      </c>
      <c r="K1148" s="28" t="n">
        <v>0</v>
      </c>
      <c r="L1148" s="25" t="inlineStr">
        <is>
          <t>RED WINE</t>
        </is>
      </c>
      <c r="M1148" s="25" t="inlineStr">
        <is>
          <t>SUTTER HOME WINERY</t>
        </is>
      </c>
      <c r="N1148" s="25" t="inlineStr">
        <is>
          <t>040003-RNDC-VINTAGE</t>
        </is>
      </c>
      <c r="O1148" s="25" t="n"/>
      <c r="P1148" s="25" t="inlineStr">
        <is>
          <t>08507620</t>
        </is>
      </c>
      <c r="Q1148" s="25" t="inlineStr">
        <is>
          <t>08507620</t>
        </is>
      </c>
      <c r="R1148" s="78" t="n">
        <v>42370</v>
      </c>
    </row>
    <row r="1149">
      <c r="A1149" t="inlineStr">
        <is>
          <t>or item code =</t>
        </is>
      </c>
      <c r="B1149" s="25" t="inlineStr">
        <is>
          <t>513364</t>
        </is>
      </c>
      <c r="C1149" s="25" t="inlineStr">
        <is>
          <t>SUTTER HOME SWEET RED</t>
        </is>
      </c>
      <c r="D1149" s="25" t="inlineStr">
        <is>
          <t>187ml</t>
        </is>
      </c>
      <c r="E1149" s="27" t="n">
        <v>0</v>
      </c>
      <c r="F1149" s="27" t="n">
        <v>138</v>
      </c>
      <c r="G1149" s="27" t="n">
        <v>24</v>
      </c>
      <c r="H1149" s="28" t="n">
        <v>34.25</v>
      </c>
      <c r="I1149" s="28" t="n">
        <v>4.27</v>
      </c>
      <c r="J1149" s="94" t="inlineStr">
        <is>
          <t>False</t>
        </is>
      </c>
      <c r="K1149" s="28" t="n">
        <v>0</v>
      </c>
      <c r="L1149" s="25" t="inlineStr">
        <is>
          <t>RED WINE</t>
        </is>
      </c>
      <c r="M1149" s="25" t="inlineStr">
        <is>
          <t>SUTTER HOME WINERY</t>
        </is>
      </c>
      <c r="N1149" s="25" t="inlineStr">
        <is>
          <t>040003-RNDC-VINTAGE</t>
        </is>
      </c>
      <c r="O1149" s="25" t="n"/>
      <c r="P1149" s="25" t="n"/>
      <c r="Q1149" s="25" t="inlineStr">
        <is>
          <t>08507824</t>
        </is>
      </c>
      <c r="R1149" s="78" t="n">
        <v>42370</v>
      </c>
    </row>
    <row r="1150">
      <c r="A1150" t="inlineStr">
        <is>
          <t>or item code =</t>
        </is>
      </c>
      <c r="B1150" s="25" t="inlineStr">
        <is>
          <t>513360</t>
        </is>
      </c>
      <c r="C1150" s="25" t="inlineStr">
        <is>
          <t>SUTTER HOME SWEET RED</t>
        </is>
      </c>
      <c r="D1150" s="25" t="inlineStr">
        <is>
          <t>750ml</t>
        </is>
      </c>
      <c r="E1150" s="27" t="n">
        <v>52</v>
      </c>
      <c r="F1150" s="27" t="n">
        <v>84</v>
      </c>
      <c r="G1150" s="27" t="n">
        <v>12</v>
      </c>
      <c r="H1150" s="28" t="n">
        <v>59.92</v>
      </c>
      <c r="I1150" s="28" t="n">
        <v>8.539999999999999</v>
      </c>
      <c r="J1150" s="94" t="inlineStr">
        <is>
          <t>False</t>
        </is>
      </c>
      <c r="K1150" s="28" t="n">
        <v>0</v>
      </c>
      <c r="L1150" s="25" t="inlineStr">
        <is>
          <t>RED WINE</t>
        </is>
      </c>
      <c r="M1150" s="25" t="inlineStr">
        <is>
          <t>SUTTER HOME WINERY</t>
        </is>
      </c>
      <c r="N1150" s="25" t="inlineStr">
        <is>
          <t>040003-RNDC-VINTAGE</t>
        </is>
      </c>
      <c r="O1150" s="25" t="n"/>
      <c r="P1150" s="25" t="inlineStr">
        <is>
          <t>00085200100873</t>
        </is>
      </c>
      <c r="Q1150" s="25" t="inlineStr">
        <is>
          <t>08507523</t>
        </is>
      </c>
      <c r="R1150" s="78" t="n">
        <v>42370</v>
      </c>
    </row>
    <row r="1151">
      <c r="A1151" t="inlineStr">
        <is>
          <t>or item code =</t>
        </is>
      </c>
      <c r="B1151" s="25" t="inlineStr">
        <is>
          <t>683345</t>
        </is>
      </c>
      <c r="C1151" s="25" t="inlineStr">
        <is>
          <t>SUTTER HOME WHITE MERLOT</t>
        </is>
      </c>
      <c r="D1151" s="25" t="inlineStr">
        <is>
          <t>1.5L</t>
        </is>
      </c>
      <c r="E1151" s="27" t="n">
        <v>41</v>
      </c>
      <c r="F1151" s="27" t="n">
        <v>69</v>
      </c>
      <c r="G1151" s="27" t="n">
        <v>6</v>
      </c>
      <c r="H1151" s="28" t="n">
        <v>59.93</v>
      </c>
      <c r="I1151" s="28" t="n">
        <v>0</v>
      </c>
      <c r="J1151" s="94" t="inlineStr">
        <is>
          <t>False</t>
        </is>
      </c>
      <c r="K1151" s="28" t="n">
        <v>0</v>
      </c>
      <c r="L1151" s="25" t="inlineStr">
        <is>
          <t>ROSE / BLUSH WINE</t>
        </is>
      </c>
      <c r="M1151" s="25" t="inlineStr">
        <is>
          <t>SUTTER HOME WINERY</t>
        </is>
      </c>
      <c r="N1151" s="25" t="inlineStr">
        <is>
          <t>040003-RNDC-VINTAGE</t>
        </is>
      </c>
      <c r="O1151" s="25" t="n"/>
      <c r="P1151" s="25" t="inlineStr">
        <is>
          <t>00085200100637</t>
        </is>
      </c>
      <c r="Q1151" s="25" t="inlineStr">
        <is>
          <t>08506320</t>
        </is>
      </c>
      <c r="R1151" s="78" t="n">
        <v>42370</v>
      </c>
    </row>
    <row r="1152">
      <c r="A1152" t="inlineStr">
        <is>
          <t>or item code =</t>
        </is>
      </c>
      <c r="B1152" s="25" t="inlineStr">
        <is>
          <t>683362</t>
        </is>
      </c>
      <c r="C1152" s="25" t="inlineStr">
        <is>
          <t>SUTTER HOME WHITE ZINFANDEL</t>
        </is>
      </c>
      <c r="D1152" s="25" t="inlineStr">
        <is>
          <t>1.5L</t>
        </is>
      </c>
      <c r="E1152" s="27" t="n">
        <v>0</v>
      </c>
      <c r="F1152" s="27" t="n">
        <v>150</v>
      </c>
      <c r="G1152" s="27" t="n">
        <v>6</v>
      </c>
      <c r="H1152" s="28" t="n">
        <v>59.93</v>
      </c>
      <c r="I1152" s="28" t="n">
        <v>0</v>
      </c>
      <c r="J1152" s="94" t="inlineStr">
        <is>
          <t>False</t>
        </is>
      </c>
      <c r="K1152" s="28" t="n">
        <v>0</v>
      </c>
      <c r="L1152" s="25" t="inlineStr">
        <is>
          <t>WHITE ZINFANDEL</t>
        </is>
      </c>
      <c r="M1152" s="25" t="inlineStr">
        <is>
          <t>SUTTER HOME WINERY</t>
        </is>
      </c>
      <c r="N1152" s="25" t="inlineStr">
        <is>
          <t>040003-RNDC-VINTAGE</t>
        </is>
      </c>
      <c r="O1152" s="25" t="n"/>
      <c r="P1152" s="25" t="n"/>
      <c r="Q1152" s="25" t="inlineStr">
        <is>
          <t>08505923</t>
        </is>
      </c>
      <c r="R1152" s="78" t="n">
        <v>42370</v>
      </c>
    </row>
    <row r="1153">
      <c r="A1153" t="inlineStr">
        <is>
          <t>or item code =</t>
        </is>
      </c>
      <c r="B1153" s="25" t="inlineStr">
        <is>
          <t>683364</t>
        </is>
      </c>
      <c r="C1153" s="25" t="inlineStr">
        <is>
          <t>SUTTER HOME WHITE ZINFANDEL PET</t>
        </is>
      </c>
      <c r="D1153" s="25" t="inlineStr">
        <is>
          <t>187ml</t>
        </is>
      </c>
      <c r="E1153" s="27" t="n">
        <v>0</v>
      </c>
      <c r="F1153" s="27" t="n">
        <v>98</v>
      </c>
      <c r="G1153" s="27" t="n">
        <v>24</v>
      </c>
      <c r="H1153" s="28" t="n">
        <v>34.25</v>
      </c>
      <c r="I1153" s="28" t="n">
        <v>4.27</v>
      </c>
      <c r="J1153" s="94" t="inlineStr">
        <is>
          <t>False</t>
        </is>
      </c>
      <c r="K1153" s="28" t="n">
        <v>0</v>
      </c>
      <c r="L1153" s="25" t="inlineStr">
        <is>
          <t>ZINFANDEL</t>
        </is>
      </c>
      <c r="M1153" s="25" t="inlineStr">
        <is>
          <t>SUTTER HOME WINERY</t>
        </is>
      </c>
      <c r="N1153" s="25" t="inlineStr">
        <is>
          <t>040003-RNDC-VINTAGE</t>
        </is>
      </c>
      <c r="O1153" s="25" t="n"/>
      <c r="P1153" s="25" t="inlineStr">
        <is>
          <t>00085200100750</t>
        </is>
      </c>
      <c r="Q1153" s="25" t="inlineStr">
        <is>
          <t>08500928</t>
        </is>
      </c>
      <c r="R1153" s="78" t="n">
        <v>42370</v>
      </c>
    </row>
    <row r="1154">
      <c r="A1154" t="inlineStr">
        <is>
          <t>or item code =</t>
        </is>
      </c>
      <c r="B1154" s="25" t="inlineStr">
        <is>
          <t>36576</t>
        </is>
      </c>
      <c r="C1154" s="25" t="inlineStr">
        <is>
          <t>SVEDKA BLUE RASPBERRY FLAVORED VODKA</t>
        </is>
      </c>
      <c r="D1154" s="25" t="inlineStr">
        <is>
          <t>750ml</t>
        </is>
      </c>
      <c r="E1154" s="27" t="n">
        <v>81</v>
      </c>
      <c r="F1154" s="27" t="n">
        <v>39</v>
      </c>
      <c r="G1154" s="27" t="n">
        <v>12</v>
      </c>
      <c r="H1154" s="28" t="n">
        <v>117.09</v>
      </c>
      <c r="I1154" s="28" t="n">
        <v>12</v>
      </c>
      <c r="J1154" s="94" t="inlineStr">
        <is>
          <t>False</t>
        </is>
      </c>
      <c r="K1154" s="28" t="n">
        <v>0</v>
      </c>
      <c r="L1154" s="25" t="inlineStr">
        <is>
          <t>VODKA</t>
        </is>
      </c>
      <c r="M1154" s="25" t="inlineStr">
        <is>
          <t>CONSTELLATION BRANDS INC</t>
        </is>
      </c>
      <c r="N1154" s="25" t="inlineStr">
        <is>
          <t>040010-SOUTHERN GLAZERS WINE AND SPIRITS OF MISSISSIPPI LLC</t>
        </is>
      </c>
      <c r="O1154" s="25" t="n"/>
      <c r="P1154" s="25" t="inlineStr">
        <is>
          <t>10617768201753</t>
        </is>
      </c>
      <c r="Q1154" s="25" t="inlineStr">
        <is>
          <t>0617768201756</t>
        </is>
      </c>
      <c r="R1154" s="78" t="n">
        <v>42900</v>
      </c>
    </row>
    <row r="1155">
      <c r="A1155" t="inlineStr">
        <is>
          <t>or item code =</t>
        </is>
      </c>
      <c r="B1155" s="25" t="inlineStr">
        <is>
          <t>33658</t>
        </is>
      </c>
      <c r="C1155" s="25" t="inlineStr">
        <is>
          <t>SVEDKA MANGO PINEAPPLE FLAVORED VODKA</t>
        </is>
      </c>
      <c r="D1155" s="25" t="inlineStr">
        <is>
          <t>750ml</t>
        </is>
      </c>
      <c r="E1155" s="27" t="n">
        <v>56</v>
      </c>
      <c r="F1155" s="27" t="n">
        <v>35</v>
      </c>
      <c r="G1155" s="27" t="n">
        <v>12</v>
      </c>
      <c r="H1155" s="28" t="n">
        <v>117.09</v>
      </c>
      <c r="I1155" s="28" t="n">
        <v>12</v>
      </c>
      <c r="J1155" s="94" t="inlineStr">
        <is>
          <t>False</t>
        </is>
      </c>
      <c r="K1155" s="28" t="n">
        <v>0</v>
      </c>
      <c r="L1155" s="25" t="inlineStr">
        <is>
          <t>VODKA</t>
        </is>
      </c>
      <c r="M1155" s="25" t="inlineStr">
        <is>
          <t>CONSTELLATION BRANDS INC</t>
        </is>
      </c>
      <c r="N1155" s="25" t="inlineStr">
        <is>
          <t>040010-SOUTHERN GLAZERS WINE AND SPIRITS OF MISSISSIPPI LLC</t>
        </is>
      </c>
      <c r="O1155" s="25" t="n"/>
      <c r="P1155" s="25" t="inlineStr">
        <is>
          <t>10617768151751</t>
        </is>
      </c>
      <c r="Q1155" s="25" t="inlineStr">
        <is>
          <t>0617768151754</t>
        </is>
      </c>
      <c r="R1155" s="78" t="n">
        <v>42370</v>
      </c>
    </row>
    <row r="1156">
      <c r="A1156" t="inlineStr">
        <is>
          <t>or item code =</t>
        </is>
      </c>
      <c r="B1156" s="25" t="inlineStr">
        <is>
          <t>33663</t>
        </is>
      </c>
      <c r="C1156" s="25" t="inlineStr">
        <is>
          <t>SVEDKA STRAWBERRY LEMONADE FLAVORED VODKA</t>
        </is>
      </c>
      <c r="D1156" s="25" t="inlineStr">
        <is>
          <t>750ml</t>
        </is>
      </c>
      <c r="E1156" s="27" t="n">
        <v>92</v>
      </c>
      <c r="F1156" s="27" t="n">
        <v>32</v>
      </c>
      <c r="G1156" s="27" t="n">
        <v>12</v>
      </c>
      <c r="H1156" s="28" t="n">
        <v>117.09</v>
      </c>
      <c r="I1156" s="28" t="n">
        <v>12</v>
      </c>
      <c r="J1156" s="94" t="inlineStr">
        <is>
          <t>False</t>
        </is>
      </c>
      <c r="K1156" s="28" t="n">
        <v>0</v>
      </c>
      <c r="L1156" s="25" t="inlineStr">
        <is>
          <t>VODKA</t>
        </is>
      </c>
      <c r="M1156" s="25" t="inlineStr">
        <is>
          <t>CONSTELLATION BRANDS INC</t>
        </is>
      </c>
      <c r="N1156" s="25" t="inlineStr">
        <is>
          <t>040010-SOUTHERN GLAZERS WINE AND SPIRITS OF MISSISSIPPI LLC</t>
        </is>
      </c>
      <c r="O1156" s="25" t="n"/>
      <c r="P1156" s="25" t="inlineStr">
        <is>
          <t>10617768141752</t>
        </is>
      </c>
      <c r="Q1156" s="25" t="inlineStr">
        <is>
          <t>0617768141755</t>
        </is>
      </c>
      <c r="R1156" s="78" t="n">
        <v>42370</v>
      </c>
    </row>
    <row r="1157">
      <c r="A1157" t="inlineStr">
        <is>
          <t>or item code =</t>
        </is>
      </c>
      <c r="B1157" s="25" t="inlineStr">
        <is>
          <t>34820</t>
        </is>
      </c>
      <c r="C1157" s="25" t="inlineStr">
        <is>
          <t>SVEDKA SWEDISH VODKA</t>
        </is>
      </c>
      <c r="D1157" s="25" t="inlineStr">
        <is>
          <t>750ml</t>
        </is>
      </c>
      <c r="E1157" s="27" t="n">
        <v>104</v>
      </c>
      <c r="F1157" s="27" t="n">
        <v>87</v>
      </c>
      <c r="G1157" s="27" t="n">
        <v>12</v>
      </c>
      <c r="H1157" s="28" t="n">
        <v>117.09</v>
      </c>
      <c r="I1157" s="28" t="n">
        <v>12</v>
      </c>
      <c r="J1157" s="94" t="inlineStr">
        <is>
          <t>False</t>
        </is>
      </c>
      <c r="K1157" s="28" t="n">
        <v>0</v>
      </c>
      <c r="L1157" s="25" t="inlineStr">
        <is>
          <t>VODKA</t>
        </is>
      </c>
      <c r="M1157" s="25" t="inlineStr">
        <is>
          <t>CONSTELLATION BRANDS INC</t>
        </is>
      </c>
      <c r="N1157" s="25" t="inlineStr">
        <is>
          <t>040010-SOUTHERN GLAZERS WINE AND SPIRITS OF MISSISSIPPI LLC</t>
        </is>
      </c>
      <c r="O1157" s="25" t="n"/>
      <c r="P1157" s="25" t="inlineStr">
        <is>
          <t>10617768111755</t>
        </is>
      </c>
      <c r="Q1157" s="25" t="inlineStr">
        <is>
          <t>0617768111758</t>
        </is>
      </c>
      <c r="R1157" s="78" t="n">
        <v>42370</v>
      </c>
    </row>
    <row r="1158">
      <c r="A1158" t="inlineStr">
        <is>
          <t>or item code =</t>
        </is>
      </c>
      <c r="B1158" s="25" t="inlineStr">
        <is>
          <t>34821</t>
        </is>
      </c>
      <c r="C1158" s="25" t="inlineStr">
        <is>
          <t>SVEDKA SWEDISH VODKA</t>
        </is>
      </c>
      <c r="D1158" s="25" t="inlineStr">
        <is>
          <t>1.75L</t>
        </is>
      </c>
      <c r="E1158" s="27" t="n">
        <v>420</v>
      </c>
      <c r="F1158" s="27" t="n">
        <v>100</v>
      </c>
      <c r="G1158" s="27" t="n">
        <v>6</v>
      </c>
      <c r="H1158" s="28" t="n">
        <v>115.31</v>
      </c>
      <c r="I1158" s="28" t="n">
        <v>0</v>
      </c>
      <c r="J1158" s="94" t="inlineStr">
        <is>
          <t>False</t>
        </is>
      </c>
      <c r="K1158" s="28" t="n">
        <v>0</v>
      </c>
      <c r="L1158" s="25" t="inlineStr">
        <is>
          <t>VODKA</t>
        </is>
      </c>
      <c r="M1158" s="25" t="inlineStr">
        <is>
          <t>CONSTELLATION BRANDS INC</t>
        </is>
      </c>
      <c r="N1158" s="25" t="inlineStr">
        <is>
          <t>040010-SOUTHERN GLAZERS WINE AND SPIRITS OF MISSISSIPPI LLC</t>
        </is>
      </c>
      <c r="O1158" s="25" t="n"/>
      <c r="P1158" s="25" t="inlineStr">
        <is>
          <t>20617768111172</t>
        </is>
      </c>
      <c r="Q1158" s="25" t="inlineStr">
        <is>
          <t>0617768111178</t>
        </is>
      </c>
      <c r="R1158" s="78" t="n">
        <v>42278</v>
      </c>
    </row>
    <row r="1159">
      <c r="A1159" t="inlineStr">
        <is>
          <t>or item code =</t>
        </is>
      </c>
      <c r="B1159" s="25" t="inlineStr">
        <is>
          <t>36482</t>
        </is>
      </c>
      <c r="C1159" s="25" t="inlineStr">
        <is>
          <t>SVEDKA SWEDISH VODKA (PET)</t>
        </is>
      </c>
      <c r="D1159" s="25" t="inlineStr">
        <is>
          <t>375ml</t>
        </is>
      </c>
      <c r="E1159" s="27" t="n">
        <v>62</v>
      </c>
      <c r="F1159" s="27" t="n">
        <v>15</v>
      </c>
      <c r="G1159" s="27" t="n">
        <v>24</v>
      </c>
      <c r="H1159" s="28" t="n">
        <v>129.05</v>
      </c>
      <c r="I1159" s="28" t="n">
        <v>0</v>
      </c>
      <c r="J1159" s="94" t="inlineStr">
        <is>
          <t>False</t>
        </is>
      </c>
      <c r="K1159" s="28" t="n">
        <v>0</v>
      </c>
      <c r="L1159" s="25" t="inlineStr">
        <is>
          <t>VODKA</t>
        </is>
      </c>
      <c r="M1159" s="25" t="inlineStr">
        <is>
          <t>CONSTELLATION BRANDS INC</t>
        </is>
      </c>
      <c r="N1159" s="25" t="inlineStr">
        <is>
          <t>040010-SOUTHERN GLAZERS WINE AND SPIRITS OF MISSISSIPPI LLC</t>
        </is>
      </c>
      <c r="O1159" s="25" t="n"/>
      <c r="P1159" s="25" t="inlineStr">
        <is>
          <t>20617768113756</t>
        </is>
      </c>
      <c r="Q1159" s="25" t="inlineStr">
        <is>
          <t>617768113752</t>
        </is>
      </c>
      <c r="R1159" s="78" t="n">
        <v>42626</v>
      </c>
    </row>
    <row r="1160">
      <c r="A1160" t="inlineStr">
        <is>
          <t>or item code =</t>
        </is>
      </c>
      <c r="B1160" s="25" t="inlineStr">
        <is>
          <t>630817</t>
        </is>
      </c>
      <c r="C1160" s="25" t="inlineStr">
        <is>
          <t>SWEET BITCH CHARDONNAY</t>
        </is>
      </c>
      <c r="D1160" s="25" t="inlineStr">
        <is>
          <t>750ml</t>
        </is>
      </c>
      <c r="E1160" s="27" t="n">
        <v>0</v>
      </c>
      <c r="F1160" s="27" t="n">
        <v>17</v>
      </c>
      <c r="G1160" s="27" t="n">
        <v>12</v>
      </c>
      <c r="H1160" s="28" t="n">
        <v>104.35</v>
      </c>
      <c r="I1160" s="28" t="n">
        <v>0</v>
      </c>
      <c r="J1160" s="94" t="inlineStr">
        <is>
          <t>False</t>
        </is>
      </c>
      <c r="K1160" s="28" t="n">
        <v>0</v>
      </c>
      <c r="L1160" s="25" t="inlineStr">
        <is>
          <t>CHARDONNAY</t>
        </is>
      </c>
      <c r="M1160" s="25" t="inlineStr">
        <is>
          <t>JOSEPH VICTORI WINES INC</t>
        </is>
      </c>
      <c r="N1160" s="25" t="inlineStr">
        <is>
          <t>040005-STEVE TONORE &amp; ASSOCIATES</t>
        </is>
      </c>
      <c r="O1160" s="25" t="n"/>
      <c r="P1160" s="25" t="inlineStr">
        <is>
          <t>10607054492231</t>
        </is>
      </c>
      <c r="Q1160" s="25" t="inlineStr">
        <is>
          <t>0607054492234</t>
        </is>
      </c>
      <c r="R1160" s="78" t="n">
        <v>42370</v>
      </c>
    </row>
    <row r="1161">
      <c r="A1161" t="inlineStr">
        <is>
          <t>or item code =</t>
        </is>
      </c>
      <c r="B1161" s="25" t="inlineStr">
        <is>
          <t>513645</t>
        </is>
      </c>
      <c r="C1161" s="25" t="inlineStr">
        <is>
          <t>SWEET BITCH MERLOT</t>
        </is>
      </c>
      <c r="D1161" s="25" t="inlineStr">
        <is>
          <t>750ml</t>
        </is>
      </c>
      <c r="E1161" s="27" t="n">
        <v>100</v>
      </c>
      <c r="F1161" s="27" t="n">
        <v>36</v>
      </c>
      <c r="G1161" s="27" t="n">
        <v>12</v>
      </c>
      <c r="H1161" s="28" t="n">
        <v>104.35</v>
      </c>
      <c r="I1161" s="28" t="n">
        <v>0</v>
      </c>
      <c r="J1161" s="94" t="inlineStr">
        <is>
          <t>False</t>
        </is>
      </c>
      <c r="K1161" s="28" t="n">
        <v>0</v>
      </c>
      <c r="L1161" s="25" t="inlineStr">
        <is>
          <t>MERLOT</t>
        </is>
      </c>
      <c r="M1161" s="25" t="inlineStr">
        <is>
          <t>JOSEPH VICTORI WINES INC</t>
        </is>
      </c>
      <c r="N1161" s="25" t="inlineStr">
        <is>
          <t>040005-STEVE TONORE &amp; ASSOCIATES</t>
        </is>
      </c>
      <c r="O1161" s="25" t="n"/>
      <c r="P1161" s="25" t="inlineStr">
        <is>
          <t>10607054492248</t>
        </is>
      </c>
      <c r="Q1161" s="25" t="inlineStr">
        <is>
          <t>0607054492241</t>
        </is>
      </c>
      <c r="R1161" s="78" t="n">
        <v>42370</v>
      </c>
    </row>
    <row r="1162">
      <c r="A1162" t="inlineStr">
        <is>
          <t>or item code =</t>
        </is>
      </c>
      <c r="B1162" s="25" t="inlineStr">
        <is>
          <t>425605</t>
        </is>
      </c>
      <c r="C1162" s="25" t="inlineStr">
        <is>
          <t>SWEET BITCH MERLOT</t>
        </is>
      </c>
      <c r="D1162" s="25" t="inlineStr">
        <is>
          <t>1.5L</t>
        </is>
      </c>
      <c r="E1162" s="27" t="n">
        <v>0</v>
      </c>
      <c r="F1162" s="27" t="n">
        <v>36</v>
      </c>
      <c r="G1162" s="27" t="n">
        <v>6</v>
      </c>
      <c r="H1162" s="28" t="n">
        <v>85.59999999999999</v>
      </c>
      <c r="I1162" s="28" t="n">
        <v>0</v>
      </c>
      <c r="J1162" s="94" t="inlineStr">
        <is>
          <t>False</t>
        </is>
      </c>
      <c r="K1162" s="28" t="n">
        <v>0</v>
      </c>
      <c r="L1162" s="25" t="inlineStr">
        <is>
          <t>MERLOT</t>
        </is>
      </c>
      <c r="M1162" s="25" t="inlineStr">
        <is>
          <t>JOSEPH VICTORI WINES INC</t>
        </is>
      </c>
      <c r="N1162" s="25" t="inlineStr">
        <is>
          <t>040005-STEVE TONORE &amp; ASSOCIATES</t>
        </is>
      </c>
      <c r="O1162" s="25" t="n"/>
      <c r="P1162" s="25" t="inlineStr">
        <is>
          <t>10607054492255</t>
        </is>
      </c>
      <c r="Q1162" s="25" t="inlineStr">
        <is>
          <t>0607054492258</t>
        </is>
      </c>
      <c r="R1162" s="78" t="n">
        <v>42370</v>
      </c>
    </row>
    <row r="1163">
      <c r="A1163" t="inlineStr">
        <is>
          <t>or item code =</t>
        </is>
      </c>
      <c r="B1163" s="25" t="inlineStr">
        <is>
          <t>734350</t>
        </is>
      </c>
      <c r="C1163" s="25" t="inlineStr">
        <is>
          <t>SWEET BITCH MOSCATO PINK BUBBLY</t>
        </is>
      </c>
      <c r="D1163" s="25" t="inlineStr">
        <is>
          <t>750ml</t>
        </is>
      </c>
      <c r="E1163" s="27" t="n">
        <v>87</v>
      </c>
      <c r="F1163" s="27" t="n">
        <v>45</v>
      </c>
      <c r="G1163" s="27" t="n">
        <v>12</v>
      </c>
      <c r="H1163" s="28" t="n">
        <v>114.82</v>
      </c>
      <c r="I1163" s="28" t="n">
        <v>0</v>
      </c>
      <c r="J1163" s="94" t="inlineStr">
        <is>
          <t>False</t>
        </is>
      </c>
      <c r="K1163" s="28" t="n">
        <v>0</v>
      </c>
      <c r="L1163" s="25" t="inlineStr">
        <is>
          <t>SPRKLNG, CHMPGNE, ETC.</t>
        </is>
      </c>
      <c r="M1163" s="25" t="inlineStr">
        <is>
          <t>JOSEPH VICTORI WINES INC</t>
        </is>
      </c>
      <c r="N1163" s="25" t="inlineStr">
        <is>
          <t>040005-STEVE TONORE &amp; ASSOCIATES</t>
        </is>
      </c>
      <c r="O1163" s="25" t="n"/>
      <c r="P1163" s="25" t="inlineStr">
        <is>
          <t>10607054492316</t>
        </is>
      </c>
      <c r="Q1163" s="25" t="inlineStr">
        <is>
          <t>0607054492319</t>
        </is>
      </c>
      <c r="R1163" s="78" t="n">
        <v>42370</v>
      </c>
    </row>
    <row r="1164">
      <c r="A1164" t="inlineStr">
        <is>
          <t>or item code =</t>
        </is>
      </c>
      <c r="B1164" s="25" t="inlineStr">
        <is>
          <t>425611</t>
        </is>
      </c>
      <c r="C1164" s="25" t="inlineStr">
        <is>
          <t>SWEET BITCH MOSCATO ROSE</t>
        </is>
      </c>
      <c r="D1164" s="25" t="inlineStr">
        <is>
          <t>1.5L</t>
        </is>
      </c>
      <c r="E1164" s="27" t="n">
        <v>76</v>
      </c>
      <c r="F1164" s="27" t="n">
        <v>70</v>
      </c>
      <c r="G1164" s="27" t="n">
        <v>6</v>
      </c>
      <c r="H1164" s="28" t="n">
        <v>85.59999999999999</v>
      </c>
      <c r="I1164" s="28" t="n">
        <v>0</v>
      </c>
      <c r="J1164" s="94" t="inlineStr">
        <is>
          <t>False</t>
        </is>
      </c>
      <c r="K1164" s="28" t="n">
        <v>0</v>
      </c>
      <c r="L1164" s="25" t="inlineStr">
        <is>
          <t>ROSE / BLUSH WINE</t>
        </is>
      </c>
      <c r="M1164" s="25" t="inlineStr">
        <is>
          <t>JOSEPH VICTORI WINES INC</t>
        </is>
      </c>
      <c r="N1164" s="25" t="inlineStr">
        <is>
          <t>040005-STEVE TONORE &amp; ASSOCIATES</t>
        </is>
      </c>
      <c r="O1164" s="25" t="n"/>
      <c r="P1164" s="25" t="inlineStr">
        <is>
          <t>10607054492347</t>
        </is>
      </c>
      <c r="Q1164" s="25" t="inlineStr">
        <is>
          <t>0607054492340</t>
        </is>
      </c>
      <c r="R1164" s="78" t="n">
        <v>42370</v>
      </c>
    </row>
    <row r="1165">
      <c r="A1165" t="inlineStr">
        <is>
          <t>or item code =</t>
        </is>
      </c>
      <c r="B1165" s="25" t="inlineStr">
        <is>
          <t>425610</t>
        </is>
      </c>
      <c r="C1165" s="25" t="inlineStr">
        <is>
          <t>SWEET BITCH MOSCATO ROSE</t>
        </is>
      </c>
      <c r="D1165" s="25" t="inlineStr">
        <is>
          <t>750ml</t>
        </is>
      </c>
      <c r="E1165" s="27" t="n">
        <v>24</v>
      </c>
      <c r="F1165" s="27" t="n">
        <v>75</v>
      </c>
      <c r="G1165" s="27" t="n">
        <v>12</v>
      </c>
      <c r="H1165" s="28" t="n">
        <v>104.35</v>
      </c>
      <c r="I1165" s="28" t="n">
        <v>0</v>
      </c>
      <c r="J1165" s="94" t="inlineStr">
        <is>
          <t>False</t>
        </is>
      </c>
      <c r="K1165" s="28" t="n">
        <v>0</v>
      </c>
      <c r="L1165" s="25" t="inlineStr">
        <is>
          <t>MOSCATO WHITE</t>
        </is>
      </c>
      <c r="M1165" s="25" t="inlineStr">
        <is>
          <t>JOSEPH VICTORI WINES INC</t>
        </is>
      </c>
      <c r="N1165" s="25" t="inlineStr">
        <is>
          <t>040005-STEVE TONORE &amp; ASSOCIATES</t>
        </is>
      </c>
      <c r="O1165" s="25" t="n"/>
      <c r="P1165" s="25" t="inlineStr">
        <is>
          <t>10607054492309</t>
        </is>
      </c>
      <c r="Q1165" s="25" t="inlineStr">
        <is>
          <t>0607054492302</t>
        </is>
      </c>
      <c r="R1165" s="78" t="n">
        <v>42370</v>
      </c>
    </row>
    <row r="1166">
      <c r="A1166" t="inlineStr">
        <is>
          <t>or item code =</t>
        </is>
      </c>
      <c r="B1166" s="25" t="inlineStr">
        <is>
          <t>816230</t>
        </is>
      </c>
      <c r="C1166" s="25" t="inlineStr">
        <is>
          <t>SWEET WALTER BLACKBERRY</t>
        </is>
      </c>
      <c r="D1166" s="25" t="inlineStr">
        <is>
          <t>750ml</t>
        </is>
      </c>
      <c r="E1166" s="27" t="n">
        <v>1</v>
      </c>
      <c r="F1166" s="27" t="n">
        <v>72</v>
      </c>
      <c r="G1166" s="27" t="n">
        <v>12</v>
      </c>
      <c r="H1166" s="28" t="n">
        <v>90.95999999999999</v>
      </c>
      <c r="I1166" s="28" t="n">
        <v>0</v>
      </c>
      <c r="J1166" s="94" t="inlineStr">
        <is>
          <t>False</t>
        </is>
      </c>
      <c r="K1166" s="28" t="n">
        <v>0</v>
      </c>
      <c r="L1166" s="25" t="inlineStr">
        <is>
          <t>RED WINE</t>
        </is>
      </c>
      <c r="M1166" s="25" t="inlineStr">
        <is>
          <t>BULLY HILL VINEYARDS</t>
        </is>
      </c>
      <c r="N1166" s="25" t="inlineStr">
        <is>
          <t>040010-SOUTHERN GLAZERS WINE AND SPIRITS OF MISSISSIPPI LLC</t>
        </is>
      </c>
      <c r="O1166" s="25" t="n"/>
      <c r="P1166" s="25" t="inlineStr">
        <is>
          <t>10084850300494</t>
        </is>
      </c>
      <c r="Q1166" s="25" t="inlineStr">
        <is>
          <t>084850301203</t>
        </is>
      </c>
      <c r="R1166" s="78" t="n">
        <v>43591</v>
      </c>
    </row>
    <row r="1167">
      <c r="A1167" t="inlineStr">
        <is>
          <t>or item code =</t>
        </is>
      </c>
      <c r="B1167" s="25" t="inlineStr">
        <is>
          <t>816232</t>
        </is>
      </c>
      <c r="C1167" s="25" t="inlineStr">
        <is>
          <t>SWEET WALTER CHERRY</t>
        </is>
      </c>
      <c r="D1167" s="25" t="inlineStr">
        <is>
          <t>750ml</t>
        </is>
      </c>
      <c r="E1167" s="27" t="n">
        <v>9</v>
      </c>
      <c r="F1167" s="27" t="n">
        <v>43</v>
      </c>
      <c r="G1167" s="27" t="n">
        <v>12</v>
      </c>
      <c r="H1167" s="28" t="n">
        <v>90.95999999999999</v>
      </c>
      <c r="I1167" s="28" t="n">
        <v>0</v>
      </c>
      <c r="J1167" s="94" t="inlineStr">
        <is>
          <t>False</t>
        </is>
      </c>
      <c r="K1167" s="28" t="n">
        <v>0</v>
      </c>
      <c r="L1167" s="25" t="inlineStr">
        <is>
          <t>ROSE / BLUSH WINE</t>
        </is>
      </c>
      <c r="M1167" s="25" t="inlineStr">
        <is>
          <t>BULLY HILL VINEYARDS</t>
        </is>
      </c>
      <c r="N1167" s="25" t="inlineStr">
        <is>
          <t>040010-SOUTHERN GLAZERS WINE AND SPIRITS OF MISSISSIPPI LLC</t>
        </is>
      </c>
      <c r="O1167" s="25" t="n"/>
      <c r="P1167" s="25" t="n"/>
      <c r="Q1167" s="25" t="inlineStr">
        <is>
          <t>084850201206</t>
        </is>
      </c>
      <c r="R1167" s="78" t="n">
        <v>43591</v>
      </c>
    </row>
    <row r="1168">
      <c r="A1168" t="inlineStr">
        <is>
          <t>or item code =</t>
        </is>
      </c>
      <c r="B1168" s="25" t="inlineStr">
        <is>
          <t>816234</t>
        </is>
      </c>
      <c r="C1168" s="25" t="inlineStr">
        <is>
          <t>SWEET WALTER PINEAPPLE</t>
        </is>
      </c>
      <c r="D1168" s="25" t="inlineStr">
        <is>
          <t>750ml</t>
        </is>
      </c>
      <c r="E1168" s="27" t="n">
        <v>110</v>
      </c>
      <c r="F1168" s="27" t="n">
        <v>104</v>
      </c>
      <c r="G1168" s="27" t="n">
        <v>12</v>
      </c>
      <c r="H1168" s="28" t="n">
        <v>90.95999999999999</v>
      </c>
      <c r="I1168" s="28" t="n">
        <v>0</v>
      </c>
      <c r="J1168" s="94" t="inlineStr">
        <is>
          <t>False</t>
        </is>
      </c>
      <c r="K1168" s="28" t="n">
        <v>0</v>
      </c>
      <c r="L1168" s="25" t="inlineStr">
        <is>
          <t>WHITE WINE</t>
        </is>
      </c>
      <c r="M1168" s="25" t="inlineStr">
        <is>
          <t>BULLY HILL VINEYARDS</t>
        </is>
      </c>
      <c r="N1168" s="25" t="inlineStr">
        <is>
          <t>040010-SOUTHERN GLAZERS WINE AND SPIRITS OF MISSISSIPPI LLC</t>
        </is>
      </c>
      <c r="O1168" s="25" t="n"/>
      <c r="P1168" s="25" t="n"/>
      <c r="Q1168" s="25" t="inlineStr">
        <is>
          <t>084850101209</t>
        </is>
      </c>
      <c r="R1168" s="78" t="n">
        <v>43591</v>
      </c>
    </row>
    <row r="1169">
      <c r="A1169" t="inlineStr">
        <is>
          <t>or item code =</t>
        </is>
      </c>
      <c r="B1169" s="25" t="inlineStr">
        <is>
          <t>32414</t>
        </is>
      </c>
      <c r="C1169" s="25" t="inlineStr">
        <is>
          <t>TAAKA GIN</t>
        </is>
      </c>
      <c r="D1169" s="25" t="inlineStr">
        <is>
          <t>375ml</t>
        </is>
      </c>
      <c r="E1169" s="27" t="n">
        <v>48</v>
      </c>
      <c r="F1169" s="27" t="n">
        <v>39</v>
      </c>
      <c r="G1169" s="27" t="n">
        <v>24</v>
      </c>
      <c r="H1169" s="28" t="n">
        <v>65.14</v>
      </c>
      <c r="I1169" s="28" t="n">
        <v>12</v>
      </c>
      <c r="J1169" s="94" t="inlineStr">
        <is>
          <t>False</t>
        </is>
      </c>
      <c r="K1169" s="28" t="n">
        <v>0</v>
      </c>
      <c r="L1169" s="25" t="inlineStr">
        <is>
          <t>GIN</t>
        </is>
      </c>
      <c r="M1169" s="25" t="inlineStr">
        <is>
          <t>SAZERAC COMPANY</t>
        </is>
      </c>
      <c r="N1169" s="25" t="inlineStr">
        <is>
          <t>040002-RNDC-MAGNOLIA</t>
        </is>
      </c>
      <c r="O1169" s="25" t="n"/>
      <c r="P1169" s="25" t="inlineStr">
        <is>
          <t>10088004060463</t>
        </is>
      </c>
      <c r="Q1169" s="25" t="inlineStr">
        <is>
          <t>0088004060466</t>
        </is>
      </c>
      <c r="R1169" s="78" t="n">
        <v>42370</v>
      </c>
    </row>
    <row r="1170">
      <c r="A1170" t="inlineStr">
        <is>
          <t>or item code =</t>
        </is>
      </c>
      <c r="B1170" s="25" t="inlineStr">
        <is>
          <t>32418</t>
        </is>
      </c>
      <c r="C1170" s="25" t="inlineStr">
        <is>
          <t>TAAKA GIN (PET)</t>
        </is>
      </c>
      <c r="D1170" s="25" t="inlineStr">
        <is>
          <t>1.75L</t>
        </is>
      </c>
      <c r="E1170" s="27" t="n">
        <v>117</v>
      </c>
      <c r="F1170" s="27" t="n">
        <v>16</v>
      </c>
      <c r="G1170" s="27" t="n">
        <v>6</v>
      </c>
      <c r="H1170" s="28" t="n">
        <v>88.09</v>
      </c>
      <c r="I1170" s="28" t="n">
        <v>0</v>
      </c>
      <c r="J1170" s="94" t="inlineStr">
        <is>
          <t>False</t>
        </is>
      </c>
      <c r="K1170" s="28" t="n">
        <v>0</v>
      </c>
      <c r="L1170" s="25" t="inlineStr">
        <is>
          <t>GIN</t>
        </is>
      </c>
      <c r="M1170" s="25" t="inlineStr">
        <is>
          <t>SAZERAC COMPANY</t>
        </is>
      </c>
      <c r="N1170" s="25" t="inlineStr">
        <is>
          <t>040002-RNDC-MAGNOLIA</t>
        </is>
      </c>
      <c r="O1170" s="25" t="n"/>
      <c r="P1170" s="25" t="n"/>
      <c r="Q1170" s="25" t="inlineStr">
        <is>
          <t>088004030476</t>
        </is>
      </c>
      <c r="R1170" s="78" t="n">
        <v>42370</v>
      </c>
    </row>
    <row r="1171">
      <c r="A1171" t="inlineStr">
        <is>
          <t>or item code =</t>
        </is>
      </c>
      <c r="B1171" s="25" t="inlineStr">
        <is>
          <t>40589</t>
        </is>
      </c>
      <c r="C1171" s="25" t="inlineStr">
        <is>
          <t>TAAKA PEACH VODKA</t>
        </is>
      </c>
      <c r="D1171" s="25" t="inlineStr">
        <is>
          <t>750ml</t>
        </is>
      </c>
      <c r="E1171" s="27" t="n">
        <v>46</v>
      </c>
      <c r="F1171" s="27" t="n">
        <v>39</v>
      </c>
      <c r="G1171" s="27" t="n">
        <v>12</v>
      </c>
      <c r="H1171" s="28" t="n">
        <v>54.83</v>
      </c>
      <c r="I1171" s="28" t="n">
        <v>18</v>
      </c>
      <c r="J1171" s="94" t="inlineStr">
        <is>
          <t>False</t>
        </is>
      </c>
      <c r="K1171" s="28" t="n">
        <v>0</v>
      </c>
      <c r="L1171" s="25" t="inlineStr">
        <is>
          <t>VODKA</t>
        </is>
      </c>
      <c r="M1171" s="25" t="inlineStr">
        <is>
          <t>SAZERAC COMPANY</t>
        </is>
      </c>
      <c r="N1171" s="25" t="inlineStr">
        <is>
          <t>040002-RNDC-MAGNOLIA</t>
        </is>
      </c>
      <c r="O1171" s="25" t="n"/>
      <c r="P1171" s="25" t="inlineStr">
        <is>
          <t>10088004012011</t>
        </is>
      </c>
      <c r="Q1171" s="25" t="inlineStr">
        <is>
          <t>088004012014</t>
        </is>
      </c>
      <c r="R1171" s="78" t="n">
        <v>42370</v>
      </c>
    </row>
    <row r="1172">
      <c r="A1172" t="inlineStr">
        <is>
          <t>or item code =</t>
        </is>
      </c>
      <c r="B1172" s="25" t="inlineStr">
        <is>
          <t>40494</t>
        </is>
      </c>
      <c r="C1172" s="25" t="inlineStr">
        <is>
          <t>TAAKA PEACH VODKA</t>
        </is>
      </c>
      <c r="D1172" s="25" t="inlineStr">
        <is>
          <t>1.75L</t>
        </is>
      </c>
      <c r="E1172" s="27" t="n">
        <v>160</v>
      </c>
      <c r="F1172" s="27" t="n">
        <v>41</v>
      </c>
      <c r="G1172" s="27" t="n">
        <v>6</v>
      </c>
      <c r="H1172" s="28" t="n">
        <v>73.78</v>
      </c>
      <c r="I1172" s="28" t="n">
        <v>0</v>
      </c>
      <c r="J1172" s="94" t="inlineStr">
        <is>
          <t>False</t>
        </is>
      </c>
      <c r="K1172" s="28" t="n">
        <v>0</v>
      </c>
      <c r="L1172" s="25" t="inlineStr">
        <is>
          <t>VODKA</t>
        </is>
      </c>
      <c r="M1172" s="25" t="inlineStr">
        <is>
          <t>SAZERAC COMPANY</t>
        </is>
      </c>
      <c r="N1172" s="25" t="inlineStr">
        <is>
          <t>040002-RNDC-MAGNOLIA</t>
        </is>
      </c>
      <c r="O1172" s="25" t="n"/>
      <c r="P1172" s="25" t="inlineStr">
        <is>
          <t>10088004011991</t>
        </is>
      </c>
      <c r="Q1172" s="25" t="inlineStr">
        <is>
          <t>088004011994</t>
        </is>
      </c>
      <c r="R1172" s="78" t="n">
        <v>44927</v>
      </c>
    </row>
    <row r="1173">
      <c r="A1173" t="inlineStr">
        <is>
          <t>or item code =</t>
        </is>
      </c>
      <c r="B1173" s="25" t="inlineStr">
        <is>
          <t>40042</t>
        </is>
      </c>
      <c r="C1173" s="25" t="inlineStr">
        <is>
          <t>TAAKA PINEAPPLE FLAVORED VODKA</t>
        </is>
      </c>
      <c r="D1173" s="25" t="inlineStr">
        <is>
          <t>1.75L</t>
        </is>
      </c>
      <c r="E1173" s="27" t="n">
        <v>202</v>
      </c>
      <c r="F1173" s="27" t="n">
        <v>20</v>
      </c>
      <c r="G1173" s="27" t="n">
        <v>6</v>
      </c>
      <c r="H1173" s="28" t="n">
        <v>73.78</v>
      </c>
      <c r="I1173" s="28" t="n">
        <v>0</v>
      </c>
      <c r="J1173" s="94" t="inlineStr">
        <is>
          <t>False</t>
        </is>
      </c>
      <c r="K1173" s="28" t="n">
        <v>0</v>
      </c>
      <c r="L1173" s="25" t="inlineStr">
        <is>
          <t>VODKA</t>
        </is>
      </c>
      <c r="M1173" s="25" t="inlineStr">
        <is>
          <t>SAZERAC COMPANY</t>
        </is>
      </c>
      <c r="N1173" s="25" t="inlineStr">
        <is>
          <t>040002-RNDC-MAGNOLIA</t>
        </is>
      </c>
      <c r="O1173" s="25" t="n"/>
      <c r="P1173" s="25" t="inlineStr">
        <is>
          <t>10088004021709</t>
        </is>
      </c>
      <c r="Q1173" s="25" t="n"/>
      <c r="R1173" s="78" t="n">
        <v>44927</v>
      </c>
    </row>
    <row r="1174">
      <c r="A1174" t="inlineStr">
        <is>
          <t>or item code =</t>
        </is>
      </c>
      <c r="B1174" s="25" t="inlineStr">
        <is>
          <t>40040</t>
        </is>
      </c>
      <c r="C1174" s="25" t="inlineStr">
        <is>
          <t>TAAKA PINEAPPLE VODKA</t>
        </is>
      </c>
      <c r="D1174" s="25" t="inlineStr">
        <is>
          <t>750ml</t>
        </is>
      </c>
      <c r="E1174" s="27" t="n">
        <v>52</v>
      </c>
      <c r="F1174" s="27" t="n">
        <v>28</v>
      </c>
      <c r="G1174" s="27" t="n">
        <v>12</v>
      </c>
      <c r="H1174" s="28" t="n">
        <v>54.83</v>
      </c>
      <c r="I1174" s="28" t="n">
        <v>18</v>
      </c>
      <c r="J1174" s="94" t="inlineStr">
        <is>
          <t>False</t>
        </is>
      </c>
      <c r="K1174" s="28" t="n">
        <v>0</v>
      </c>
      <c r="L1174" s="25" t="inlineStr">
        <is>
          <t>VODKA</t>
        </is>
      </c>
      <c r="M1174" s="25" t="inlineStr">
        <is>
          <t>SAZERAC COMPANY</t>
        </is>
      </c>
      <c r="N1174" s="25" t="inlineStr">
        <is>
          <t>040002-RNDC-MAGNOLIA</t>
        </is>
      </c>
      <c r="O1174" s="25" t="n"/>
      <c r="P1174" s="25" t="inlineStr">
        <is>
          <t>10088004021723</t>
        </is>
      </c>
      <c r="Q1174" s="25" t="inlineStr">
        <is>
          <t>0088004021726</t>
        </is>
      </c>
      <c r="R1174" s="78" t="n">
        <v>42370</v>
      </c>
    </row>
    <row r="1175">
      <c r="A1175" t="inlineStr">
        <is>
          <t>or item code =</t>
        </is>
      </c>
      <c r="B1175" s="25" t="inlineStr">
        <is>
          <t>41785</t>
        </is>
      </c>
      <c r="C1175" s="25" t="inlineStr">
        <is>
          <t>TAAKA PINK LEMONADE VODKA</t>
        </is>
      </c>
      <c r="D1175" s="25" t="inlineStr">
        <is>
          <t>750ml</t>
        </is>
      </c>
      <c r="E1175" s="27" t="n">
        <v>27</v>
      </c>
      <c r="F1175" s="27" t="n">
        <v>43</v>
      </c>
      <c r="G1175" s="27" t="n">
        <v>12</v>
      </c>
      <c r="H1175" s="28" t="n">
        <v>54.83</v>
      </c>
      <c r="I1175" s="28" t="n">
        <v>18</v>
      </c>
      <c r="J1175" s="94" t="inlineStr">
        <is>
          <t>False</t>
        </is>
      </c>
      <c r="K1175" s="28" t="n">
        <v>0</v>
      </c>
      <c r="L1175" s="25" t="inlineStr">
        <is>
          <t>VODKA</t>
        </is>
      </c>
      <c r="M1175" s="25" t="inlineStr">
        <is>
          <t>SAZERAC COMPANY</t>
        </is>
      </c>
      <c r="N1175" s="25" t="inlineStr">
        <is>
          <t>040002-RNDC-MAGNOLIA</t>
        </is>
      </c>
      <c r="O1175" s="25" t="n"/>
      <c r="P1175" s="25" t="inlineStr">
        <is>
          <t>10088004006133</t>
        </is>
      </c>
      <c r="Q1175" s="25" t="inlineStr">
        <is>
          <t>0088004006136</t>
        </is>
      </c>
      <c r="R1175" s="78" t="n">
        <v>42370</v>
      </c>
    </row>
    <row r="1176">
      <c r="A1176" t="inlineStr">
        <is>
          <t>or item code =</t>
        </is>
      </c>
      <c r="B1176" s="25" t="inlineStr">
        <is>
          <t>42112</t>
        </is>
      </c>
      <c r="C1176" s="25" t="inlineStr">
        <is>
          <t>TAAKA PINK LEMONADE VODKA</t>
        </is>
      </c>
      <c r="D1176" s="25" t="inlineStr">
        <is>
          <t>1.75L</t>
        </is>
      </c>
      <c r="E1176" s="27" t="n">
        <v>416</v>
      </c>
      <c r="F1176" s="27" t="n">
        <v>7</v>
      </c>
      <c r="G1176" s="27" t="n">
        <v>6</v>
      </c>
      <c r="H1176" s="28" t="n">
        <v>73.78</v>
      </c>
      <c r="I1176" s="28" t="n">
        <v>0</v>
      </c>
      <c r="J1176" s="94" t="inlineStr">
        <is>
          <t>False</t>
        </is>
      </c>
      <c r="K1176" s="28" t="n">
        <v>0</v>
      </c>
      <c r="L1176" s="25" t="inlineStr">
        <is>
          <t>VODKA</t>
        </is>
      </c>
      <c r="M1176" s="25" t="inlineStr">
        <is>
          <t>SAZERAC COMPANY</t>
        </is>
      </c>
      <c r="N1176" s="25" t="inlineStr">
        <is>
          <t>040002-RNDC-MAGNOLIA</t>
        </is>
      </c>
      <c r="O1176" s="25" t="n"/>
      <c r="P1176" s="25" t="inlineStr">
        <is>
          <t>10088004009892</t>
        </is>
      </c>
      <c r="Q1176" s="25" t="inlineStr">
        <is>
          <t>088004009892</t>
        </is>
      </c>
      <c r="R1176" s="78" t="n">
        <v>44927</v>
      </c>
    </row>
    <row r="1177">
      <c r="A1177" t="inlineStr">
        <is>
          <t>or item code =</t>
        </is>
      </c>
      <c r="B1177" s="25" t="inlineStr">
        <is>
          <t>39888</t>
        </is>
      </c>
      <c r="C1177" s="25" t="inlineStr">
        <is>
          <t>TAAKA SUPREME 100 (PET) VODKA</t>
        </is>
      </c>
      <c r="D1177" s="25" t="inlineStr">
        <is>
          <t>1.75L</t>
        </is>
      </c>
      <c r="E1177" s="27" t="n">
        <v>247</v>
      </c>
      <c r="F1177" s="27" t="n">
        <v>182</v>
      </c>
      <c r="G1177" s="27" t="n">
        <v>6</v>
      </c>
      <c r="H1177" s="28" t="n">
        <v>76.56</v>
      </c>
      <c r="I1177" s="28" t="n">
        <v>0</v>
      </c>
      <c r="J1177" s="94" t="inlineStr">
        <is>
          <t>False</t>
        </is>
      </c>
      <c r="K1177" s="28" t="n">
        <v>0</v>
      </c>
      <c r="L1177" s="25" t="inlineStr">
        <is>
          <t>VODKA</t>
        </is>
      </c>
      <c r="M1177" s="25" t="inlineStr">
        <is>
          <t>SAZERAC COMPANY</t>
        </is>
      </c>
      <c r="N1177" s="25" t="inlineStr">
        <is>
          <t>040002-RNDC-MAGNOLIA</t>
        </is>
      </c>
      <c r="O1177" s="25" t="n"/>
      <c r="P1177" s="25" t="n"/>
      <c r="Q1177" s="25" t="inlineStr">
        <is>
          <t>0088004010324</t>
        </is>
      </c>
      <c r="R1177" s="78" t="n">
        <v>42279</v>
      </c>
    </row>
    <row r="1178">
      <c r="A1178" t="inlineStr">
        <is>
          <t>or item code =</t>
        </is>
      </c>
      <c r="B1178" s="25" t="inlineStr">
        <is>
          <t>39884</t>
        </is>
      </c>
      <c r="C1178" s="25" t="inlineStr">
        <is>
          <t>TAAKA SUPREME 100 VODKA</t>
        </is>
      </c>
      <c r="D1178" s="25" t="inlineStr">
        <is>
          <t>375ml</t>
        </is>
      </c>
      <c r="E1178" s="27" t="n">
        <v>134</v>
      </c>
      <c r="F1178" s="27" t="n">
        <v>72</v>
      </c>
      <c r="G1178" s="27" t="n">
        <v>24</v>
      </c>
      <c r="H1178" s="28" t="n">
        <v>78.69</v>
      </c>
      <c r="I1178" s="28" t="n">
        <v>0</v>
      </c>
      <c r="J1178" s="94" t="inlineStr">
        <is>
          <t>False</t>
        </is>
      </c>
      <c r="K1178" s="28" t="n">
        <v>0</v>
      </c>
      <c r="L1178" s="25" t="inlineStr">
        <is>
          <t>VODKA</t>
        </is>
      </c>
      <c r="M1178" s="25" t="inlineStr">
        <is>
          <t>SAZERAC COMPANY</t>
        </is>
      </c>
      <c r="N1178" s="25" t="inlineStr">
        <is>
          <t>040002-RNDC-MAGNOLIA</t>
        </is>
      </c>
      <c r="O1178" s="25" t="n"/>
      <c r="P1178" s="25" t="inlineStr">
        <is>
          <t>10088004010369</t>
        </is>
      </c>
      <c r="Q1178" s="25" t="inlineStr">
        <is>
          <t>0088004010362</t>
        </is>
      </c>
      <c r="R1178" s="78" t="n">
        <v>42370</v>
      </c>
    </row>
    <row r="1179">
      <c r="A1179" t="inlineStr">
        <is>
          <t>or item code =</t>
        </is>
      </c>
      <c r="B1179" s="25" t="inlineStr">
        <is>
          <t>39886</t>
        </is>
      </c>
      <c r="C1179" s="25" t="inlineStr">
        <is>
          <t>TAAKA SUPREME 100 VODKA</t>
        </is>
      </c>
      <c r="D1179" s="25" t="inlineStr">
        <is>
          <t>750ml</t>
        </is>
      </c>
      <c r="E1179" s="27" t="n">
        <v>1</v>
      </c>
      <c r="F1179" s="27" t="n">
        <v>27</v>
      </c>
      <c r="G1179" s="27" t="n">
        <v>12</v>
      </c>
      <c r="H1179" s="28" t="n">
        <v>92.22</v>
      </c>
      <c r="I1179" s="28" t="n">
        <v>0</v>
      </c>
      <c r="J1179" s="94" t="inlineStr">
        <is>
          <t>False</t>
        </is>
      </c>
      <c r="K1179" s="28" t="n">
        <v>0</v>
      </c>
      <c r="L1179" s="25" t="inlineStr">
        <is>
          <t>VODKA</t>
        </is>
      </c>
      <c r="M1179" s="25" t="inlineStr">
        <is>
          <t>SAZERAC COMPANY</t>
        </is>
      </c>
      <c r="N1179" s="25" t="inlineStr">
        <is>
          <t>040002-RNDC-MAGNOLIA</t>
        </is>
      </c>
      <c r="O1179" s="25" t="n"/>
      <c r="P1179" s="25" t="inlineStr">
        <is>
          <t>10088004010345</t>
        </is>
      </c>
      <c r="Q1179" s="25" t="inlineStr">
        <is>
          <t>0088004010348</t>
        </is>
      </c>
      <c r="R1179" s="78" t="n">
        <v>42370</v>
      </c>
    </row>
    <row r="1180">
      <c r="A1180" t="inlineStr">
        <is>
          <t>or item code =</t>
        </is>
      </c>
      <c r="B1180" s="25" t="inlineStr">
        <is>
          <t>38064</t>
        </is>
      </c>
      <c r="C1180" s="25" t="inlineStr">
        <is>
          <t>TAAKA VODKA 80</t>
        </is>
      </c>
      <c r="D1180" s="25" t="inlineStr">
        <is>
          <t>375ml</t>
        </is>
      </c>
      <c r="E1180" s="27" t="n">
        <v>109</v>
      </c>
      <c r="F1180" s="27" t="n">
        <v>702</v>
      </c>
      <c r="G1180" s="27" t="n">
        <v>24</v>
      </c>
      <c r="H1180" s="28" t="n">
        <v>72.68000000000001</v>
      </c>
      <c r="I1180" s="28" t="n">
        <v>0</v>
      </c>
      <c r="J1180" s="94" t="inlineStr">
        <is>
          <t>False</t>
        </is>
      </c>
      <c r="K1180" s="28" t="n">
        <v>0</v>
      </c>
      <c r="L1180" s="25" t="inlineStr">
        <is>
          <t>VODKA</t>
        </is>
      </c>
      <c r="M1180" s="25" t="inlineStr">
        <is>
          <t>SAZERAC COMPANY</t>
        </is>
      </c>
      <c r="N1180" s="25" t="inlineStr">
        <is>
          <t>040002-RNDC-MAGNOLIA</t>
        </is>
      </c>
      <c r="O1180" s="25" t="n"/>
      <c r="P1180" s="25" t="inlineStr">
        <is>
          <t>10088004000070</t>
        </is>
      </c>
      <c r="Q1180" s="25" t="inlineStr">
        <is>
          <t>08800473</t>
        </is>
      </c>
      <c r="R1180" s="78" t="n">
        <v>42279</v>
      </c>
    </row>
    <row r="1181">
      <c r="A1181" t="inlineStr">
        <is>
          <t>or item code =</t>
        </is>
      </c>
      <c r="B1181" s="25" t="inlineStr">
        <is>
          <t>38067</t>
        </is>
      </c>
      <c r="C1181" s="25" t="inlineStr">
        <is>
          <t>TAAKA VODKA 80</t>
        </is>
      </c>
      <c r="D1181" s="25" t="inlineStr">
        <is>
          <t>1L</t>
        </is>
      </c>
      <c r="E1181" s="27" t="n">
        <v>554</v>
      </c>
      <c r="F1181" s="27" t="n">
        <v>355</v>
      </c>
      <c r="G1181" s="27" t="n">
        <v>12</v>
      </c>
      <c r="H1181" s="28" t="n">
        <v>83.03</v>
      </c>
      <c r="I1181" s="28" t="n">
        <v>0</v>
      </c>
      <c r="J1181" s="94" t="inlineStr">
        <is>
          <t>False</t>
        </is>
      </c>
      <c r="K1181" s="28" t="n">
        <v>0</v>
      </c>
      <c r="L1181" s="25" t="inlineStr">
        <is>
          <t>VODKA</t>
        </is>
      </c>
      <c r="M1181" s="25" t="inlineStr">
        <is>
          <t>SAZERAC COMPANY</t>
        </is>
      </c>
      <c r="N1181" s="25" t="inlineStr">
        <is>
          <t>040002-RNDC-MAGNOLIA</t>
        </is>
      </c>
      <c r="O1181" s="25" t="n"/>
      <c r="P1181" s="25" t="inlineStr">
        <is>
          <t>00000000038067</t>
        </is>
      </c>
      <c r="Q1181" s="25" t="inlineStr">
        <is>
          <t>0088004010133</t>
        </is>
      </c>
      <c r="R1181" s="78" t="n">
        <v>42370</v>
      </c>
    </row>
    <row r="1182">
      <c r="A1182" t="inlineStr">
        <is>
          <t>or item code =</t>
        </is>
      </c>
      <c r="B1182" s="25" t="inlineStr">
        <is>
          <t>38069</t>
        </is>
      </c>
      <c r="C1182" s="25" t="inlineStr">
        <is>
          <t>TAAKA VODKA 80</t>
        </is>
      </c>
      <c r="D1182" s="25" t="inlineStr">
        <is>
          <t>100ml</t>
        </is>
      </c>
      <c r="E1182" s="27" t="n">
        <v>977</v>
      </c>
      <c r="F1182" s="27" t="n">
        <v>965</v>
      </c>
      <c r="G1182" s="27" t="n">
        <v>48</v>
      </c>
      <c r="H1182" s="28" t="n">
        <v>23.07</v>
      </c>
      <c r="I1182" s="28" t="n">
        <v>15</v>
      </c>
      <c r="J1182" s="94" t="inlineStr">
        <is>
          <t>False</t>
        </is>
      </c>
      <c r="K1182" s="28" t="n">
        <v>0</v>
      </c>
      <c r="L1182" s="25" t="inlineStr">
        <is>
          <t>VODKA</t>
        </is>
      </c>
      <c r="M1182" s="25" t="inlineStr">
        <is>
          <t>SAZERAC COMPANY</t>
        </is>
      </c>
      <c r="N1182" s="25" t="inlineStr">
        <is>
          <t>040002-RNDC-MAGNOLIA</t>
        </is>
      </c>
      <c r="O1182" s="25" t="n"/>
      <c r="P1182" s="25" t="inlineStr">
        <is>
          <t>10088004006409</t>
        </is>
      </c>
      <c r="Q1182" s="25" t="inlineStr">
        <is>
          <t>0088004005689</t>
        </is>
      </c>
      <c r="R1182" s="78" t="n">
        <v>42370</v>
      </c>
    </row>
    <row r="1183">
      <c r="A1183" t="inlineStr">
        <is>
          <t>or item code =</t>
        </is>
      </c>
      <c r="B1183" s="25" t="inlineStr">
        <is>
          <t>38063</t>
        </is>
      </c>
      <c r="C1183" s="25" t="inlineStr">
        <is>
          <t>TAAKA VODKA 80</t>
        </is>
      </c>
      <c r="D1183" s="25" t="inlineStr">
        <is>
          <t>200ml</t>
        </is>
      </c>
      <c r="E1183" s="27" t="n">
        <v>259</v>
      </c>
      <c r="F1183" s="27" t="n">
        <v>516</v>
      </c>
      <c r="G1183" s="27" t="n">
        <v>48</v>
      </c>
      <c r="H1183" s="28" t="n">
        <v>71.31999999999999</v>
      </c>
      <c r="I1183" s="28" t="n">
        <v>12</v>
      </c>
      <c r="J1183" s="94" t="inlineStr">
        <is>
          <t>False</t>
        </is>
      </c>
      <c r="K1183" s="28" t="n">
        <v>0</v>
      </c>
      <c r="L1183" s="25" t="inlineStr">
        <is>
          <t>VODKA</t>
        </is>
      </c>
      <c r="M1183" s="25" t="inlineStr">
        <is>
          <t>SAZERAC COMPANY</t>
        </is>
      </c>
      <c r="N1183" s="25" t="inlineStr">
        <is>
          <t>040002-RNDC-MAGNOLIA</t>
        </is>
      </c>
      <c r="O1183" s="25" t="n"/>
      <c r="P1183" s="25" t="inlineStr">
        <is>
          <t>10088004000063</t>
        </is>
      </c>
      <c r="Q1183" s="25" t="inlineStr">
        <is>
          <t>08800466</t>
        </is>
      </c>
      <c r="R1183" s="78" t="n">
        <v>42370</v>
      </c>
    </row>
    <row r="1184">
      <c r="A1184" t="inlineStr">
        <is>
          <t>or item code =</t>
        </is>
      </c>
      <c r="B1184" s="25" t="inlineStr">
        <is>
          <t>38066</t>
        </is>
      </c>
      <c r="C1184" s="25" t="inlineStr">
        <is>
          <t>TAAKA VODKA 80</t>
        </is>
      </c>
      <c r="D1184" s="25" t="inlineStr">
        <is>
          <t>750ml</t>
        </is>
      </c>
      <c r="E1184" s="27" t="n">
        <v>340</v>
      </c>
      <c r="F1184" s="27" t="n">
        <v>132</v>
      </c>
      <c r="G1184" s="27" t="n">
        <v>12</v>
      </c>
      <c r="H1184" s="28" t="n">
        <v>72.83</v>
      </c>
      <c r="I1184" s="28" t="n">
        <v>0</v>
      </c>
      <c r="J1184" s="94" t="inlineStr">
        <is>
          <t>False</t>
        </is>
      </c>
      <c r="K1184" s="28" t="n">
        <v>0</v>
      </c>
      <c r="L1184" s="25" t="inlineStr">
        <is>
          <t>VODKA</t>
        </is>
      </c>
      <c r="M1184" s="25" t="inlineStr">
        <is>
          <t>SAZERAC COMPANY</t>
        </is>
      </c>
      <c r="N1184" s="25" t="inlineStr">
        <is>
          <t>040002-RNDC-MAGNOLIA</t>
        </is>
      </c>
      <c r="O1184" s="25" t="n"/>
      <c r="P1184" s="25" t="inlineStr">
        <is>
          <t>10088004010147</t>
        </is>
      </c>
      <c r="Q1184" s="25" t="inlineStr">
        <is>
          <t>088004010140</t>
        </is>
      </c>
      <c r="R1184" s="78" t="n">
        <v>42370</v>
      </c>
    </row>
    <row r="1185">
      <c r="A1185" t="inlineStr">
        <is>
          <t>or item code =</t>
        </is>
      </c>
      <c r="B1185" s="25" t="inlineStr">
        <is>
          <t>38076</t>
        </is>
      </c>
      <c r="C1185" s="25" t="inlineStr">
        <is>
          <t>TAAKA VODKA 80 (PET)</t>
        </is>
      </c>
      <c r="D1185" s="25" t="inlineStr">
        <is>
          <t>750ml</t>
        </is>
      </c>
      <c r="E1185" s="27" t="n">
        <v>752</v>
      </c>
      <c r="F1185" s="27" t="n">
        <v>433</v>
      </c>
      <c r="G1185" s="27" t="n">
        <v>12</v>
      </c>
      <c r="H1185" s="28" t="n">
        <v>54.83</v>
      </c>
      <c r="I1185" s="28" t="n">
        <v>18</v>
      </c>
      <c r="J1185" s="94" t="inlineStr">
        <is>
          <t>False</t>
        </is>
      </c>
      <c r="K1185" s="28" t="n">
        <v>0</v>
      </c>
      <c r="L1185" s="25" t="inlineStr">
        <is>
          <t>VODKA</t>
        </is>
      </c>
      <c r="M1185" s="25" t="inlineStr">
        <is>
          <t>SAZERAC COMPANY</t>
        </is>
      </c>
      <c r="N1185" s="25" t="inlineStr">
        <is>
          <t>040002-RNDC-MAGNOLIA</t>
        </is>
      </c>
      <c r="O1185" s="25" t="n"/>
      <c r="P1185" s="25" t="inlineStr">
        <is>
          <t>10088004011540</t>
        </is>
      </c>
      <c r="Q1185" s="25" t="inlineStr">
        <is>
          <t>0088004011543</t>
        </is>
      </c>
      <c r="R1185" s="78" t="n">
        <v>42370</v>
      </c>
    </row>
    <row r="1186">
      <c r="A1186" t="inlineStr">
        <is>
          <t>or item code =</t>
        </is>
      </c>
      <c r="B1186" s="25" t="inlineStr">
        <is>
          <t>38068</t>
        </is>
      </c>
      <c r="C1186" s="25" t="inlineStr">
        <is>
          <t>TAAKA VODKA 80 (PET)</t>
        </is>
      </c>
      <c r="D1186" s="25" t="inlineStr">
        <is>
          <t>1.75L</t>
        </is>
      </c>
      <c r="E1186" s="27" t="n">
        <v>2127</v>
      </c>
      <c r="F1186" s="27" t="n">
        <v>720</v>
      </c>
      <c r="G1186" s="27" t="n">
        <v>6</v>
      </c>
      <c r="H1186" s="28" t="n">
        <v>63.32</v>
      </c>
      <c r="I1186" s="28" t="n">
        <v>12</v>
      </c>
      <c r="J1186" s="94" t="inlineStr">
        <is>
          <t>False</t>
        </is>
      </c>
      <c r="K1186" s="28" t="n">
        <v>0</v>
      </c>
      <c r="L1186" s="25" t="inlineStr">
        <is>
          <t>VODKA</t>
        </is>
      </c>
      <c r="M1186" s="25" t="inlineStr">
        <is>
          <t>SAZERAC COMPANY</t>
        </is>
      </c>
      <c r="N1186" s="25" t="inlineStr">
        <is>
          <t>040002-RNDC-MAGNOLIA</t>
        </is>
      </c>
      <c r="O1186" s="25" t="n"/>
      <c r="P1186" s="25" t="inlineStr">
        <is>
          <t>10088004010123</t>
        </is>
      </c>
      <c r="Q1186" s="25" t="inlineStr">
        <is>
          <t>0088004010126</t>
        </is>
      </c>
      <c r="R1186" s="78" t="n">
        <v>42370</v>
      </c>
    </row>
    <row r="1187">
      <c r="A1187" t="inlineStr">
        <is>
          <t>or item code =</t>
        </is>
      </c>
      <c r="B1187" s="25" t="inlineStr">
        <is>
          <t>40046</t>
        </is>
      </c>
      <c r="C1187" s="25" t="inlineStr">
        <is>
          <t>TAAKA WATERMELON VODKA</t>
        </is>
      </c>
      <c r="D1187" s="25" t="inlineStr">
        <is>
          <t>750ml</t>
        </is>
      </c>
      <c r="E1187" s="27" t="n">
        <v>42</v>
      </c>
      <c r="F1187" s="27" t="n">
        <v>21</v>
      </c>
      <c r="G1187" s="27" t="n">
        <v>12</v>
      </c>
      <c r="H1187" s="28" t="n">
        <v>54.83</v>
      </c>
      <c r="I1187" s="28" t="n">
        <v>18</v>
      </c>
      <c r="J1187" s="94" t="inlineStr">
        <is>
          <t>False</t>
        </is>
      </c>
      <c r="K1187" s="28" t="n">
        <v>0</v>
      </c>
      <c r="L1187" s="25" t="inlineStr">
        <is>
          <t>VODKA</t>
        </is>
      </c>
      <c r="M1187" s="25" t="inlineStr">
        <is>
          <t>SAZERAC COMPANY</t>
        </is>
      </c>
      <c r="N1187" s="25" t="inlineStr">
        <is>
          <t>040002-RNDC-MAGNOLIA</t>
        </is>
      </c>
      <c r="O1187" s="25" t="n"/>
      <c r="P1187" s="25" t="inlineStr">
        <is>
          <t>10088004021822</t>
        </is>
      </c>
      <c r="Q1187" s="25" t="inlineStr">
        <is>
          <t>0088004021825</t>
        </is>
      </c>
      <c r="R1187" s="78" t="n">
        <v>42370</v>
      </c>
    </row>
    <row r="1188">
      <c r="A1188" t="inlineStr">
        <is>
          <t>or item code =</t>
        </is>
      </c>
      <c r="B1188" s="25" t="inlineStr">
        <is>
          <t>790900</t>
        </is>
      </c>
      <c r="C1188" s="25" t="inlineStr">
        <is>
          <t>TAKARA PLUM</t>
        </is>
      </c>
      <c r="D1188" s="25" t="inlineStr">
        <is>
          <t>750ml</t>
        </is>
      </c>
      <c r="E1188" s="27" t="n">
        <v>0</v>
      </c>
      <c r="F1188" s="27" t="n">
        <v>0</v>
      </c>
      <c r="G1188" s="27" t="n">
        <v>12</v>
      </c>
      <c r="H1188" s="28" t="n">
        <v>86.36</v>
      </c>
      <c r="I1188" s="28" t="n">
        <v>0</v>
      </c>
      <c r="J1188" s="94" t="inlineStr">
        <is>
          <t>False</t>
        </is>
      </c>
      <c r="K1188" s="28" t="n">
        <v>0</v>
      </c>
      <c r="L1188" s="25" t="inlineStr">
        <is>
          <t>OTHER FLAVORED WINES</t>
        </is>
      </c>
      <c r="M1188" s="25" t="inlineStr">
        <is>
          <t>TAKARA SAKE USA INC.</t>
        </is>
      </c>
      <c r="N1188" s="25" t="inlineStr">
        <is>
          <t>040010-SOUTHERN GLAZERS WINE AND SPIRITS OF MISSISSIPPI LLC</t>
        </is>
      </c>
      <c r="O1188" s="25" t="n"/>
      <c r="P1188" s="25" t="inlineStr">
        <is>
          <t>10086395365006</t>
        </is>
      </c>
      <c r="Q1188" s="25" t="inlineStr">
        <is>
          <t>0086395365009</t>
        </is>
      </c>
      <c r="R1188" s="78" t="n">
        <v>42370</v>
      </c>
    </row>
    <row r="1189">
      <c r="A1189" t="inlineStr">
        <is>
          <t>or item code =</t>
        </is>
      </c>
      <c r="B1189" s="25" t="inlineStr">
        <is>
          <t>28866</t>
        </is>
      </c>
      <c r="C1189" s="25" t="inlineStr">
        <is>
          <t>TANQUERAY GIN</t>
        </is>
      </c>
      <c r="D1189" s="25" t="inlineStr">
        <is>
          <t>750ml</t>
        </is>
      </c>
      <c r="E1189" s="27" t="n">
        <v>0</v>
      </c>
      <c r="F1189" s="27" t="n">
        <v>51</v>
      </c>
      <c r="G1189" s="27" t="n">
        <v>12</v>
      </c>
      <c r="H1189" s="28" t="n">
        <v>223.91</v>
      </c>
      <c r="I1189" s="28" t="n">
        <v>0</v>
      </c>
      <c r="J1189" s="94" t="inlineStr">
        <is>
          <t>False</t>
        </is>
      </c>
      <c r="K1189" s="28" t="n">
        <v>0</v>
      </c>
      <c r="L1189" s="25" t="inlineStr">
        <is>
          <t>GIN</t>
        </is>
      </c>
      <c r="M1189" s="25" t="inlineStr">
        <is>
          <t>DIAGEO AMERICAS INC</t>
        </is>
      </c>
      <c r="N1189" s="25" t="inlineStr">
        <is>
          <t>040010-SOUTHERN GLAZERS WINE AND SPIRITS OF MISSISSIPPI LLC</t>
        </is>
      </c>
      <c r="O1189" s="25" t="n"/>
      <c r="P1189" s="25" t="inlineStr">
        <is>
          <t>00088076175143</t>
        </is>
      </c>
      <c r="Q1189" s="25" t="inlineStr">
        <is>
          <t>088110110307</t>
        </is>
      </c>
      <c r="R1189" s="78" t="n">
        <v>42370</v>
      </c>
    </row>
    <row r="1190">
      <c r="A1190" t="inlineStr">
        <is>
          <t>or item code =</t>
        </is>
      </c>
      <c r="B1190" s="25" t="inlineStr">
        <is>
          <t>28864</t>
        </is>
      </c>
      <c r="C1190" s="25" t="inlineStr">
        <is>
          <t>TANQUERAY GIN</t>
        </is>
      </c>
      <c r="D1190" s="25" t="inlineStr">
        <is>
          <t>375ml</t>
        </is>
      </c>
      <c r="E1190" s="27" t="n">
        <v>0</v>
      </c>
      <c r="F1190" s="27" t="n">
        <v>78</v>
      </c>
      <c r="G1190" s="27" t="n">
        <v>24</v>
      </c>
      <c r="H1190" s="28" t="n">
        <v>162.82</v>
      </c>
      <c r="I1190" s="28" t="n">
        <v>24.02</v>
      </c>
      <c r="J1190" s="94" t="inlineStr">
        <is>
          <t>False</t>
        </is>
      </c>
      <c r="K1190" s="28" t="n">
        <v>0</v>
      </c>
      <c r="L1190" s="25" t="inlineStr">
        <is>
          <t>GIN</t>
        </is>
      </c>
      <c r="M1190" s="25" t="inlineStr">
        <is>
          <t>DIAGEO AMERICAS INC</t>
        </is>
      </c>
      <c r="N1190" s="25" t="inlineStr">
        <is>
          <t>040010-SOUTHERN GLAZERS WINE AND SPIRITS OF MISSISSIPPI LLC</t>
        </is>
      </c>
      <c r="O1190" s="25" t="n"/>
      <c r="P1190" s="25" t="inlineStr">
        <is>
          <t>00088076151437</t>
        </is>
      </c>
      <c r="Q1190" s="25" t="inlineStr">
        <is>
          <t>0088110110604</t>
        </is>
      </c>
      <c r="R1190" s="78" t="n">
        <v>42370</v>
      </c>
    </row>
    <row r="1191">
      <c r="A1191" t="inlineStr">
        <is>
          <t>or item code =</t>
        </is>
      </c>
      <c r="B1191" s="25" t="inlineStr">
        <is>
          <t>28868</t>
        </is>
      </c>
      <c r="C1191" s="25" t="inlineStr">
        <is>
          <t>TANQUERAY GIN</t>
        </is>
      </c>
      <c r="D1191" s="25" t="inlineStr">
        <is>
          <t>1.75L</t>
        </is>
      </c>
      <c r="E1191" s="27" t="n">
        <v>93</v>
      </c>
      <c r="F1191" s="27" t="n">
        <v>77</v>
      </c>
      <c r="G1191" s="27" t="n">
        <v>6</v>
      </c>
      <c r="H1191" s="28" t="n">
        <v>214.79</v>
      </c>
      <c r="I1191" s="28" t="n">
        <v>0</v>
      </c>
      <c r="J1191" s="94" t="inlineStr">
        <is>
          <t>False</t>
        </is>
      </c>
      <c r="K1191" s="28" t="n">
        <v>0</v>
      </c>
      <c r="L1191" s="25" t="inlineStr">
        <is>
          <t>GIN</t>
        </is>
      </c>
      <c r="M1191" s="25" t="inlineStr">
        <is>
          <t>DIAGEO AMERICAS INC</t>
        </is>
      </c>
      <c r="N1191" s="25" t="inlineStr">
        <is>
          <t>040010-SOUTHERN GLAZERS WINE AND SPIRITS OF MISSISSIPPI LLC</t>
        </is>
      </c>
      <c r="O1191" s="25" t="n"/>
      <c r="P1191" s="25" t="inlineStr">
        <is>
          <t>00008811011050</t>
        </is>
      </c>
      <c r="Q1191" s="25" t="inlineStr">
        <is>
          <t>0088110110505</t>
        </is>
      </c>
      <c r="R1191" s="78" t="n">
        <v>42370</v>
      </c>
    </row>
    <row r="1192">
      <c r="A1192" t="inlineStr">
        <is>
          <t>or item code =</t>
        </is>
      </c>
      <c r="B1192" s="25" t="inlineStr">
        <is>
          <t>28863</t>
        </is>
      </c>
      <c r="C1192" s="25" t="inlineStr">
        <is>
          <t>TANQUERAY GIN</t>
        </is>
      </c>
      <c r="D1192" s="25" t="inlineStr">
        <is>
          <t>200ml</t>
        </is>
      </c>
      <c r="E1192" s="27" t="n">
        <v>41</v>
      </c>
      <c r="F1192" s="27" t="n">
        <v>18</v>
      </c>
      <c r="G1192" s="27" t="n">
        <v>48</v>
      </c>
      <c r="H1192" s="28" t="n">
        <v>186.72</v>
      </c>
      <c r="I1192" s="28" t="n">
        <v>0</v>
      </c>
      <c r="J1192" s="94" t="inlineStr">
        <is>
          <t>False</t>
        </is>
      </c>
      <c r="K1192" s="28" t="n">
        <v>0</v>
      </c>
      <c r="L1192" s="25" t="inlineStr">
        <is>
          <t>GIN</t>
        </is>
      </c>
      <c r="M1192" s="25" t="inlineStr">
        <is>
          <t>DIAGEO AMERICAS INC</t>
        </is>
      </c>
      <c r="N1192" s="25" t="inlineStr">
        <is>
          <t>040010-SOUTHERN GLAZERS WINE AND SPIRITS OF MISSISSIPPI LLC</t>
        </is>
      </c>
      <c r="O1192" s="25" t="n"/>
      <c r="P1192" s="25" t="inlineStr">
        <is>
          <t>00088076175112</t>
        </is>
      </c>
      <c r="Q1192" s="25" t="inlineStr">
        <is>
          <t>0088110110109</t>
        </is>
      </c>
      <c r="R1192" s="78" t="n">
        <v>42370</v>
      </c>
    </row>
    <row r="1193">
      <c r="A1193" t="inlineStr">
        <is>
          <t>or item code =</t>
        </is>
      </c>
      <c r="B1193" s="25" t="inlineStr">
        <is>
          <t>28890</t>
        </is>
      </c>
      <c r="C1193" s="25" t="inlineStr">
        <is>
          <t>TANQUERAY RANGPUR DISTILLED GIN</t>
        </is>
      </c>
      <c r="D1193" s="25" t="inlineStr">
        <is>
          <t>750ml</t>
        </is>
      </c>
      <c r="E1193" s="27" t="n">
        <v>0</v>
      </c>
      <c r="F1193" s="27" t="n">
        <v>5</v>
      </c>
      <c r="G1193" s="27" t="n">
        <v>12</v>
      </c>
      <c r="H1193" s="28" t="n">
        <v>223.91</v>
      </c>
      <c r="I1193" s="28" t="n">
        <v>0</v>
      </c>
      <c r="J1193" s="94" t="inlineStr">
        <is>
          <t>False</t>
        </is>
      </c>
      <c r="K1193" s="28" t="n">
        <v>0</v>
      </c>
      <c r="L1193" s="25" t="inlineStr">
        <is>
          <t>GIN</t>
        </is>
      </c>
      <c r="M1193" s="25" t="inlineStr">
        <is>
          <t>DIAGEO AMERICAS INC</t>
        </is>
      </c>
      <c r="N1193" s="25" t="inlineStr">
        <is>
          <t>040010-SOUTHERN GLAZERS WINE AND SPIRITS OF MISSISSIPPI LLC</t>
        </is>
      </c>
      <c r="O1193" s="25" t="n"/>
      <c r="P1193" s="25" t="n"/>
      <c r="Q1193" s="25" t="inlineStr">
        <is>
          <t>088076168640</t>
        </is>
      </c>
      <c r="R1193" s="78" t="n">
        <v>42370</v>
      </c>
    </row>
    <row r="1194">
      <c r="A1194" t="inlineStr">
        <is>
          <t>or item code =</t>
        </is>
      </c>
      <c r="B1194" s="25" t="inlineStr">
        <is>
          <t>93567</t>
        </is>
      </c>
      <c r="C1194" s="25" t="inlineStr">
        <is>
          <t>TAYLOR DESSERTS PORT</t>
        </is>
      </c>
      <c r="D1194" s="25" t="inlineStr">
        <is>
          <t>3L</t>
        </is>
      </c>
      <c r="E1194" s="27" t="n">
        <v>98</v>
      </c>
      <c r="F1194" s="27" t="n">
        <v>675</v>
      </c>
      <c r="G1194" s="27" t="n">
        <v>4</v>
      </c>
      <c r="H1194" s="28" t="n">
        <v>59.97</v>
      </c>
      <c r="I1194" s="28" t="n">
        <v>0</v>
      </c>
      <c r="J1194" s="94" t="inlineStr">
        <is>
          <t>False</t>
        </is>
      </c>
      <c r="K1194" s="28" t="n">
        <v>0</v>
      </c>
      <c r="L1194" s="25" t="inlineStr">
        <is>
          <t>DESSERT - PORT</t>
        </is>
      </c>
      <c r="M1194" s="25" t="inlineStr">
        <is>
          <t>E &amp; J GALLO WINERY</t>
        </is>
      </c>
      <c r="N1194" s="25" t="inlineStr">
        <is>
          <t>040012-GALLO WINES OF MISSISSIPPI</t>
        </is>
      </c>
      <c r="O1194" s="25" t="n"/>
      <c r="P1194" s="25" t="n"/>
      <c r="Q1194" s="25" t="inlineStr">
        <is>
          <t>088940000854</t>
        </is>
      </c>
      <c r="R1194" s="78" t="n">
        <v>44652</v>
      </c>
    </row>
    <row r="1195">
      <c r="A1195" t="inlineStr">
        <is>
          <t>or item code =</t>
        </is>
      </c>
      <c r="B1195" s="25" t="inlineStr">
        <is>
          <t>93568</t>
        </is>
      </c>
      <c r="C1195" s="25" t="inlineStr">
        <is>
          <t>TAYLOR DESSERTS PORT</t>
        </is>
      </c>
      <c r="D1195" s="25" t="inlineStr">
        <is>
          <t>375ml</t>
        </is>
      </c>
      <c r="E1195" s="27" t="n">
        <v>3</v>
      </c>
      <c r="F1195" s="27" t="n">
        <v>238</v>
      </c>
      <c r="G1195" s="27" t="n">
        <v>24</v>
      </c>
      <c r="H1195" s="28" t="n">
        <v>85.53</v>
      </c>
      <c r="I1195" s="28" t="n">
        <v>0</v>
      </c>
      <c r="J1195" s="94" t="inlineStr">
        <is>
          <t>False</t>
        </is>
      </c>
      <c r="K1195" s="28" t="n">
        <v>0</v>
      </c>
      <c r="L1195" s="25" t="inlineStr">
        <is>
          <t>DESSERT - PORT</t>
        </is>
      </c>
      <c r="M1195" s="25" t="inlineStr">
        <is>
          <t>E &amp; J GALLO WINERY</t>
        </is>
      </c>
      <c r="N1195" s="25" t="inlineStr">
        <is>
          <t>040012-GALLO WINES OF MISSISSIPPI</t>
        </is>
      </c>
      <c r="O1195" s="25" t="n"/>
      <c r="P1195" s="25" t="n"/>
      <c r="Q1195" s="25" t="inlineStr">
        <is>
          <t>085000035511</t>
        </is>
      </c>
      <c r="R1195" s="78" t="n">
        <v>44774</v>
      </c>
    </row>
    <row r="1196">
      <c r="A1196" t="inlineStr">
        <is>
          <t>or item code =</t>
        </is>
      </c>
      <c r="B1196" s="25" t="inlineStr">
        <is>
          <t>90824</t>
        </is>
      </c>
      <c r="C1196" s="25" t="inlineStr">
        <is>
          <t>TAYLOR FLADGATE LATE BOTTLED VINTAGE</t>
        </is>
      </c>
      <c r="D1196" s="25" t="inlineStr">
        <is>
          <t>750ml</t>
        </is>
      </c>
      <c r="E1196" s="27" t="n">
        <v>46</v>
      </c>
      <c r="F1196" s="27" t="n">
        <v>10</v>
      </c>
      <c r="G1196" s="27" t="n">
        <v>12</v>
      </c>
      <c r="H1196" s="28" t="n">
        <v>191.9</v>
      </c>
      <c r="I1196" s="28" t="n">
        <v>20.5</v>
      </c>
      <c r="J1196" s="94" t="inlineStr">
        <is>
          <t>False</t>
        </is>
      </c>
      <c r="K1196" s="28" t="n">
        <v>0</v>
      </c>
      <c r="L1196" s="25" t="inlineStr">
        <is>
          <t>DESSERT - PORT</t>
        </is>
      </c>
      <c r="M1196" s="25" t="inlineStr">
        <is>
          <t>KOBRAND CORP</t>
        </is>
      </c>
      <c r="N1196" s="25" t="inlineStr">
        <is>
          <t>040003-RNDC-VINTAGE</t>
        </is>
      </c>
      <c r="O1196" s="25" t="n"/>
      <c r="P1196" s="25" t="inlineStr">
        <is>
          <t>05013626002865</t>
        </is>
      </c>
      <c r="Q1196" s="25" t="inlineStr">
        <is>
          <t>0084692300846</t>
        </is>
      </c>
      <c r="R1196" s="78" t="n">
        <v>42370</v>
      </c>
    </row>
    <row r="1197">
      <c r="A1197" t="inlineStr">
        <is>
          <t>or item code =</t>
        </is>
      </c>
      <c r="B1197" s="25" t="inlineStr">
        <is>
          <t>95486</t>
        </is>
      </c>
      <c r="C1197" s="25" t="inlineStr">
        <is>
          <t>TAYLOR N Y CREAM SHERRY</t>
        </is>
      </c>
      <c r="D1197" s="25" t="inlineStr">
        <is>
          <t>1.5L</t>
        </is>
      </c>
      <c r="E1197" s="27" t="n">
        <v>0</v>
      </c>
      <c r="F1197" s="27" t="n">
        <v>52</v>
      </c>
      <c r="G1197" s="27" t="n">
        <v>6</v>
      </c>
      <c r="H1197" s="28" t="n">
        <v>59.96</v>
      </c>
      <c r="I1197" s="28" t="n">
        <v>0</v>
      </c>
      <c r="J1197" s="94" t="inlineStr">
        <is>
          <t>False</t>
        </is>
      </c>
      <c r="K1197" s="28" t="n">
        <v>0</v>
      </c>
      <c r="L1197" s="25" t="inlineStr">
        <is>
          <t>DESSERT - SHERRY</t>
        </is>
      </c>
      <c r="M1197" s="25" t="inlineStr">
        <is>
          <t>E &amp; J GALLO WINERY</t>
        </is>
      </c>
      <c r="N1197" s="25" t="inlineStr">
        <is>
          <t>040012-GALLO WINES OF MISSISSIPPI</t>
        </is>
      </c>
      <c r="O1197" s="25" t="n"/>
      <c r="P1197" s="25" t="inlineStr">
        <is>
          <t>20088940000186</t>
        </is>
      </c>
      <c r="Q1197" s="25" t="inlineStr">
        <is>
          <t>0088940000182</t>
        </is>
      </c>
      <c r="R1197" s="78" t="n">
        <v>42370</v>
      </c>
    </row>
    <row r="1198">
      <c r="A1198" t="inlineStr">
        <is>
          <t>or item code =</t>
        </is>
      </c>
      <c r="B1198" s="25" t="inlineStr">
        <is>
          <t>95916</t>
        </is>
      </c>
      <c r="C1198" s="25" t="inlineStr">
        <is>
          <t>TAYLOR N Y DRY SHERRY</t>
        </is>
      </c>
      <c r="D1198" s="25" t="inlineStr">
        <is>
          <t>1.5L</t>
        </is>
      </c>
      <c r="E1198" s="27" t="n">
        <v>10</v>
      </c>
      <c r="F1198" s="27" t="n">
        <v>60</v>
      </c>
      <c r="G1198" s="27" t="n">
        <v>6</v>
      </c>
      <c r="H1198" s="28" t="n">
        <v>59.96</v>
      </c>
      <c r="I1198" s="28" t="n">
        <v>0</v>
      </c>
      <c r="J1198" s="94" t="inlineStr">
        <is>
          <t>False</t>
        </is>
      </c>
      <c r="K1198" s="28" t="n">
        <v>0</v>
      </c>
      <c r="L1198" s="25" t="inlineStr">
        <is>
          <t>DESSERT - SHERRY</t>
        </is>
      </c>
      <c r="M1198" s="25" t="inlineStr">
        <is>
          <t>E &amp; J GALLO WINERY</t>
        </is>
      </c>
      <c r="N1198" s="25" t="inlineStr">
        <is>
          <t>040012-GALLO WINES OF MISSISSIPPI</t>
        </is>
      </c>
      <c r="O1198" s="25" t="n"/>
      <c r="P1198" s="25" t="inlineStr">
        <is>
          <t>30088940000145</t>
        </is>
      </c>
      <c r="Q1198" s="25" t="inlineStr">
        <is>
          <t>0088940000144</t>
        </is>
      </c>
      <c r="R1198" s="78" t="n">
        <v>42370</v>
      </c>
    </row>
    <row r="1199">
      <c r="A1199" t="inlineStr">
        <is>
          <t>or item code =</t>
        </is>
      </c>
      <c r="B1199" s="25" t="inlineStr">
        <is>
          <t>93566</t>
        </is>
      </c>
      <c r="C1199" s="25" t="inlineStr">
        <is>
          <t>TAYLOR N Y PORT</t>
        </is>
      </c>
      <c r="D1199" s="25" t="inlineStr">
        <is>
          <t>1.5L</t>
        </is>
      </c>
      <c r="E1199" s="27" t="n">
        <v>0</v>
      </c>
      <c r="F1199" s="27" t="n">
        <v>45</v>
      </c>
      <c r="G1199" s="27" t="n">
        <v>6</v>
      </c>
      <c r="H1199" s="28" t="n">
        <v>59.96</v>
      </c>
      <c r="I1199" s="28" t="n">
        <v>0</v>
      </c>
      <c r="J1199" s="94" t="inlineStr">
        <is>
          <t>False</t>
        </is>
      </c>
      <c r="K1199" s="28" t="n">
        <v>0</v>
      </c>
      <c r="L1199" s="25" t="inlineStr">
        <is>
          <t>DESSERT - PORT</t>
        </is>
      </c>
      <c r="M1199" s="25" t="inlineStr">
        <is>
          <t>E &amp; J GALLO WINERY</t>
        </is>
      </c>
      <c r="N1199" s="25" t="inlineStr">
        <is>
          <t>040012-GALLO WINES OF MISSISSIPPI</t>
        </is>
      </c>
      <c r="O1199" s="25" t="n"/>
      <c r="P1199" s="25" t="inlineStr">
        <is>
          <t>20088940000025</t>
        </is>
      </c>
      <c r="Q1199" s="25" t="inlineStr">
        <is>
          <t>0088940000021</t>
        </is>
      </c>
      <c r="R1199" s="78" t="n">
        <v>42370</v>
      </c>
    </row>
    <row r="1200">
      <c r="A1200" t="inlineStr">
        <is>
          <t>or item code =</t>
        </is>
      </c>
      <c r="B1200" s="25" t="inlineStr">
        <is>
          <t>93564</t>
        </is>
      </c>
      <c r="C1200" s="25" t="inlineStr">
        <is>
          <t>TAYLOR N Y PORT</t>
        </is>
      </c>
      <c r="D1200" s="25" t="inlineStr">
        <is>
          <t>750ml</t>
        </is>
      </c>
      <c r="E1200" s="27" t="n">
        <v>0</v>
      </c>
      <c r="F1200" s="27" t="n">
        <v>444</v>
      </c>
      <c r="G1200" s="27" t="n">
        <v>12</v>
      </c>
      <c r="H1200" s="28" t="n">
        <v>68.48999999999999</v>
      </c>
      <c r="I1200" s="28" t="n">
        <v>0</v>
      </c>
      <c r="J1200" s="94" t="inlineStr">
        <is>
          <t>False</t>
        </is>
      </c>
      <c r="K1200" s="28" t="n">
        <v>0</v>
      </c>
      <c r="L1200" s="25" t="inlineStr">
        <is>
          <t>DESSERT - PORT</t>
        </is>
      </c>
      <c r="M1200" s="25" t="inlineStr">
        <is>
          <t>E &amp; J GALLO WINERY</t>
        </is>
      </c>
      <c r="N1200" s="25" t="inlineStr">
        <is>
          <t>040012-GALLO WINES OF MISSISSIPPI</t>
        </is>
      </c>
      <c r="O1200" s="25" t="n"/>
      <c r="P1200" s="25" t="inlineStr">
        <is>
          <t>40088940000012</t>
        </is>
      </c>
      <c r="Q1200" s="25" t="inlineStr">
        <is>
          <t>088940000014</t>
        </is>
      </c>
      <c r="R1200" s="78" t="n">
        <v>42370</v>
      </c>
    </row>
    <row r="1201">
      <c r="A1201" t="inlineStr">
        <is>
          <t>or item code =</t>
        </is>
      </c>
      <c r="B1201" s="25" t="inlineStr">
        <is>
          <t>16049</t>
        </is>
      </c>
      <c r="C1201" s="25" t="inlineStr">
        <is>
          <t>TENJAKU BLENDED JAPANESE WHISKY</t>
        </is>
      </c>
      <c r="D1201" s="25" t="inlineStr">
        <is>
          <t>750ml</t>
        </is>
      </c>
      <c r="E1201" s="27" t="n">
        <v>65</v>
      </c>
      <c r="F1201" s="27" t="n">
        <v>4</v>
      </c>
      <c r="G1201" s="27" t="n">
        <v>6</v>
      </c>
      <c r="H1201" s="28" t="n">
        <v>185.81</v>
      </c>
      <c r="I1201" s="28" t="n">
        <v>0</v>
      </c>
      <c r="J1201" s="94" t="inlineStr">
        <is>
          <t>False</t>
        </is>
      </c>
      <c r="K1201" s="28" t="n">
        <v>0</v>
      </c>
      <c r="L1201" s="25" t="inlineStr">
        <is>
          <t>WHISKEY OTHER</t>
        </is>
      </c>
      <c r="M1201" s="25" t="inlineStr">
        <is>
          <t>MHW LTD</t>
        </is>
      </c>
      <c r="N1201" s="25" t="inlineStr">
        <is>
          <t>040010-SOUTHERN GLAZERS WINE AND SPIRITS OF MISSISSIPPI LLC</t>
        </is>
      </c>
      <c r="O1201" s="25" t="n"/>
      <c r="P1201" s="25" t="inlineStr">
        <is>
          <t>10736040545405</t>
        </is>
      </c>
      <c r="Q1201" s="25" t="inlineStr">
        <is>
          <t>736040545408</t>
        </is>
      </c>
      <c r="R1201" s="78" t="n">
        <v>44102</v>
      </c>
    </row>
    <row r="1202">
      <c r="A1202" t="inlineStr">
        <is>
          <t>or item code =</t>
        </is>
      </c>
      <c r="B1202" s="25" t="inlineStr">
        <is>
          <t>65209</t>
        </is>
      </c>
      <c r="C1202" s="25" t="inlineStr">
        <is>
          <t>TEQUILA ROSE STRAWBERRY LIQUEUR</t>
        </is>
      </c>
      <c r="D1202" s="25" t="inlineStr">
        <is>
          <t>375ml</t>
        </is>
      </c>
      <c r="E1202" s="27" t="n">
        <v>1</v>
      </c>
      <c r="F1202" s="27" t="n">
        <v>6</v>
      </c>
      <c r="G1202" s="27" t="n">
        <v>12</v>
      </c>
      <c r="H1202" s="28" t="n">
        <v>128.7</v>
      </c>
      <c r="I1202" s="28" t="n">
        <v>0</v>
      </c>
      <c r="J1202" s="94" t="inlineStr">
        <is>
          <t>False</t>
        </is>
      </c>
      <c r="K1202" s="28" t="n">
        <v>0</v>
      </c>
      <c r="L1202" s="25" t="inlineStr">
        <is>
          <t>LIQUEURS AND CORDIALS</t>
        </is>
      </c>
      <c r="M1202" s="25" t="inlineStr">
        <is>
          <t>MCCORMICK DISTILLING COMPANY</t>
        </is>
      </c>
      <c r="N1202" s="25" t="inlineStr">
        <is>
          <t>040002-RNDC-MAGNOLIA</t>
        </is>
      </c>
      <c r="O1202" s="25" t="n"/>
      <c r="P1202" s="25" t="inlineStr">
        <is>
          <t>20085592121061</t>
        </is>
      </c>
      <c r="Q1202" s="25" t="inlineStr">
        <is>
          <t>0085592121067</t>
        </is>
      </c>
      <c r="R1202" s="78" t="n">
        <v>42370</v>
      </c>
    </row>
    <row r="1203">
      <c r="A1203" t="inlineStr">
        <is>
          <t>or item code =</t>
        </is>
      </c>
      <c r="B1203" s="25" t="inlineStr">
        <is>
          <t>65200</t>
        </is>
      </c>
      <c r="C1203" s="25" t="inlineStr">
        <is>
          <t>TEQUILA ROSE STRAWBERRY LIQUEUR</t>
        </is>
      </c>
      <c r="D1203" s="25" t="inlineStr">
        <is>
          <t>750ml</t>
        </is>
      </c>
      <c r="E1203" s="27" t="n">
        <v>1</v>
      </c>
      <c r="F1203" s="27" t="n">
        <v>10</v>
      </c>
      <c r="G1203" s="27" t="n">
        <v>12</v>
      </c>
      <c r="H1203" s="28" t="n">
        <v>245.69</v>
      </c>
      <c r="I1203" s="28" t="n">
        <v>0</v>
      </c>
      <c r="J1203" s="94" t="inlineStr">
        <is>
          <t>False</t>
        </is>
      </c>
      <c r="K1203" s="28" t="n">
        <v>0</v>
      </c>
      <c r="L1203" s="25" t="inlineStr">
        <is>
          <t>LIQUEURS AND CORDIALS</t>
        </is>
      </c>
      <c r="M1203" s="25" t="inlineStr">
        <is>
          <t>MCCORMICK DISTILLING COMPANY</t>
        </is>
      </c>
      <c r="N1203" s="25" t="inlineStr">
        <is>
          <t>040002-RNDC-MAGNOLIA</t>
        </is>
      </c>
      <c r="O1203" s="25" t="n"/>
      <c r="P1203" s="25" t="inlineStr">
        <is>
          <t>20085592121047</t>
        </is>
      </c>
      <c r="Q1203" s="25" t="inlineStr">
        <is>
          <t>085592121043</t>
        </is>
      </c>
      <c r="R1203" s="78" t="n">
        <v>42370</v>
      </c>
    </row>
    <row r="1204">
      <c r="A1204" t="inlineStr">
        <is>
          <t>or item code =</t>
        </is>
      </c>
      <c r="B1204" s="25" t="inlineStr">
        <is>
          <t>65204</t>
        </is>
      </c>
      <c r="C1204" s="25" t="inlineStr">
        <is>
          <t>TEQUILA ROSE STRAWBERRY LIQUEUR</t>
        </is>
      </c>
      <c r="D1204" s="25" t="inlineStr">
        <is>
          <t>50ml</t>
        </is>
      </c>
      <c r="E1204" s="27" t="n">
        <v>0</v>
      </c>
      <c r="F1204" s="27" t="n">
        <v>7</v>
      </c>
      <c r="G1204" s="27" t="n">
        <v>60</v>
      </c>
      <c r="H1204" s="28" t="n">
        <v>61.94</v>
      </c>
      <c r="I1204" s="28" t="n">
        <v>0</v>
      </c>
      <c r="J1204" s="94" t="inlineStr">
        <is>
          <t>False</t>
        </is>
      </c>
      <c r="K1204" s="28" t="n">
        <v>0</v>
      </c>
      <c r="L1204" s="25" t="inlineStr">
        <is>
          <t>LIQUEURS AND CORDIALS</t>
        </is>
      </c>
      <c r="M1204" s="25" t="inlineStr">
        <is>
          <t>MCCORMICK DISTILLING COMPANY</t>
        </is>
      </c>
      <c r="N1204" s="25" t="inlineStr">
        <is>
          <t>040002-RNDC-MAGNOLIA</t>
        </is>
      </c>
      <c r="O1204" s="25" t="n"/>
      <c r="P1204" s="25" t="inlineStr">
        <is>
          <t>20085592121085</t>
        </is>
      </c>
      <c r="Q1204" s="25" t="inlineStr">
        <is>
          <t>085592121081</t>
        </is>
      </c>
      <c r="R1204" s="78" t="n">
        <v>42370</v>
      </c>
    </row>
    <row r="1205">
      <c r="A1205" t="inlineStr">
        <is>
          <t>or item code =</t>
        </is>
      </c>
      <c r="B1205" s="25" t="inlineStr">
        <is>
          <t>88354</t>
        </is>
      </c>
      <c r="C1205" s="25" t="inlineStr">
        <is>
          <t>TEREMANA BLANCO TEQUILA</t>
        </is>
      </c>
      <c r="D1205" s="25" t="inlineStr">
        <is>
          <t>375ml</t>
        </is>
      </c>
      <c r="E1205" s="27" t="n">
        <v>0</v>
      </c>
      <c r="F1205" s="27" t="n">
        <v>91</v>
      </c>
      <c r="G1205" s="27" t="n">
        <v>12</v>
      </c>
      <c r="H1205" s="28" t="n">
        <v>148.61</v>
      </c>
      <c r="I1205" s="28" t="n">
        <v>0</v>
      </c>
      <c r="J1205" s="94" t="inlineStr">
        <is>
          <t>False</t>
        </is>
      </c>
      <c r="K1205" s="28" t="n">
        <v>0</v>
      </c>
      <c r="L1205" s="25" t="inlineStr">
        <is>
          <t>TEQUILA</t>
        </is>
      </c>
      <c r="M1205" s="25" t="inlineStr">
        <is>
          <t>MAST-JAEGERMEISTER US, INC.</t>
        </is>
      </c>
      <c r="N1205" s="25" t="inlineStr">
        <is>
          <t>040010-SOUTHERN GLAZERS WINE AND SPIRITS OF MISSISSIPPI LLC</t>
        </is>
      </c>
      <c r="O1205" s="25" t="n"/>
      <c r="P1205" s="25" t="inlineStr">
        <is>
          <t>10850015640008</t>
        </is>
      </c>
      <c r="Q1205" s="25" t="inlineStr">
        <is>
          <t>850015640001</t>
        </is>
      </c>
      <c r="R1205" s="78" t="n">
        <v>44348</v>
      </c>
    </row>
    <row r="1206">
      <c r="A1206" t="inlineStr">
        <is>
          <t>or item code =</t>
        </is>
      </c>
      <c r="B1206" s="25" t="inlineStr">
        <is>
          <t>88355</t>
        </is>
      </c>
      <c r="C1206" s="25" t="inlineStr">
        <is>
          <t>TEREMANA BLANCO TEQUILA</t>
        </is>
      </c>
      <c r="D1206" s="25" t="inlineStr">
        <is>
          <t>1L</t>
        </is>
      </c>
      <c r="E1206" s="27" t="n">
        <v>42</v>
      </c>
      <c r="F1206" s="27" t="n">
        <v>94</v>
      </c>
      <c r="G1206" s="27" t="n">
        <v>6</v>
      </c>
      <c r="H1206" s="28" t="n">
        <v>171.97</v>
      </c>
      <c r="I1206" s="28" t="n">
        <v>0</v>
      </c>
      <c r="J1206" s="94" t="inlineStr">
        <is>
          <t>False</t>
        </is>
      </c>
      <c r="K1206" s="28" t="n">
        <v>0</v>
      </c>
      <c r="L1206" s="25" t="inlineStr">
        <is>
          <t>TEQUILA</t>
        </is>
      </c>
      <c r="M1206" s="25" t="inlineStr">
        <is>
          <t>MAST-JAEGERMEISTER US, INC.</t>
        </is>
      </c>
      <c r="N1206" s="25" t="inlineStr">
        <is>
          <t>040010-SOUTHERN GLAZERS WINE AND SPIRITS OF MISSISSIPPI LLC</t>
        </is>
      </c>
      <c r="O1206" s="25" t="n"/>
      <c r="P1206" s="25" t="inlineStr">
        <is>
          <t>10850015640046</t>
        </is>
      </c>
      <c r="Q1206" s="25" t="inlineStr">
        <is>
          <t>850015640049</t>
        </is>
      </c>
      <c r="R1206" s="78" t="n">
        <v>44593</v>
      </c>
    </row>
    <row r="1207">
      <c r="A1207" t="inlineStr">
        <is>
          <t>or item code =</t>
        </is>
      </c>
      <c r="B1207" s="25" t="inlineStr">
        <is>
          <t>88371</t>
        </is>
      </c>
      <c r="C1207" s="25" t="inlineStr">
        <is>
          <t>TEREMANA BLANCO TEQUILA</t>
        </is>
      </c>
      <c r="D1207" s="25" t="inlineStr">
        <is>
          <t>750ml</t>
        </is>
      </c>
      <c r="E1207" s="27" t="n">
        <v>37</v>
      </c>
      <c r="F1207" s="27" t="n">
        <v>324</v>
      </c>
      <c r="G1207" s="27" t="n">
        <v>6</v>
      </c>
      <c r="H1207" s="28" t="n">
        <v>149.9</v>
      </c>
      <c r="I1207" s="28" t="n">
        <v>0</v>
      </c>
      <c r="J1207" s="94" t="inlineStr">
        <is>
          <t>False</t>
        </is>
      </c>
      <c r="K1207" s="28" t="n">
        <v>0</v>
      </c>
      <c r="L1207" s="25" t="inlineStr">
        <is>
          <t>TEQUILA</t>
        </is>
      </c>
      <c r="M1207" s="25" t="inlineStr">
        <is>
          <t>MAST-JAEGERMEISTER US, INC.</t>
        </is>
      </c>
      <c r="N1207" s="25" t="inlineStr">
        <is>
          <t>040010-SOUTHERN GLAZERS WINE AND SPIRITS OF MISSISSIPPI LLC</t>
        </is>
      </c>
      <c r="O1207" s="25" t="n"/>
      <c r="P1207" s="25" t="inlineStr">
        <is>
          <t>10850015640022</t>
        </is>
      </c>
      <c r="Q1207" s="25" t="inlineStr">
        <is>
          <t>850015640025</t>
        </is>
      </c>
      <c r="R1207" s="78" t="n">
        <v>44075</v>
      </c>
    </row>
    <row r="1208">
      <c r="A1208" t="inlineStr">
        <is>
          <t>or item code =</t>
        </is>
      </c>
      <c r="B1208" s="25" t="inlineStr">
        <is>
          <t>88375</t>
        </is>
      </c>
      <c r="C1208" s="25" t="inlineStr">
        <is>
          <t>TEREMANA REPOSADO TEQUILA</t>
        </is>
      </c>
      <c r="D1208" s="25" t="inlineStr">
        <is>
          <t>1L</t>
        </is>
      </c>
      <c r="E1208" s="27" t="n">
        <v>98</v>
      </c>
      <c r="F1208" s="27" t="n">
        <v>46</v>
      </c>
      <c r="G1208" s="27" t="n">
        <v>6</v>
      </c>
      <c r="H1208" s="28" t="n">
        <v>185.82</v>
      </c>
      <c r="I1208" s="28" t="n">
        <v>0</v>
      </c>
      <c r="J1208" s="94" t="inlineStr">
        <is>
          <t>False</t>
        </is>
      </c>
      <c r="K1208" s="28" t="n">
        <v>0</v>
      </c>
      <c r="L1208" s="25" t="inlineStr">
        <is>
          <t>TEQUILA</t>
        </is>
      </c>
      <c r="M1208" s="25" t="inlineStr">
        <is>
          <t>MAST-JAEGERMEISTER US, INC.</t>
        </is>
      </c>
      <c r="N1208" s="25" t="inlineStr">
        <is>
          <t>040010-SOUTHERN GLAZERS WINE AND SPIRITS OF MISSISSIPPI LLC</t>
        </is>
      </c>
      <c r="O1208" s="25" t="n"/>
      <c r="P1208" s="25" t="inlineStr">
        <is>
          <t>10850015640053</t>
        </is>
      </c>
      <c r="Q1208" s="25" t="inlineStr">
        <is>
          <t>850015640056</t>
        </is>
      </c>
      <c r="R1208" s="78" t="n">
        <v>44652</v>
      </c>
    </row>
    <row r="1209">
      <c r="A1209" t="inlineStr">
        <is>
          <t>or item code =</t>
        </is>
      </c>
      <c r="B1209" s="25" t="inlineStr">
        <is>
          <t>88372</t>
        </is>
      </c>
      <c r="C1209" s="25" t="inlineStr">
        <is>
          <t>TEREMANA REPOSADO TEQUILA</t>
        </is>
      </c>
      <c r="D1209" s="25" t="inlineStr">
        <is>
          <t>750ml</t>
        </is>
      </c>
      <c r="E1209" s="27" t="n">
        <v>129</v>
      </c>
      <c r="F1209" s="27" t="n">
        <v>161</v>
      </c>
      <c r="G1209" s="27" t="n">
        <v>6</v>
      </c>
      <c r="H1209" s="28" t="n">
        <v>163.77</v>
      </c>
      <c r="I1209" s="28" t="n">
        <v>0</v>
      </c>
      <c r="J1209" s="94" t="inlineStr">
        <is>
          <t>False</t>
        </is>
      </c>
      <c r="K1209" s="28" t="n">
        <v>0</v>
      </c>
      <c r="L1209" s="25" t="inlineStr">
        <is>
          <t>TEQUILA</t>
        </is>
      </c>
      <c r="M1209" s="25" t="inlineStr">
        <is>
          <t>MAST-JAEGERMEISTER US, INC.</t>
        </is>
      </c>
      <c r="N1209" s="25" t="inlineStr">
        <is>
          <t>040010-SOUTHERN GLAZERS WINE AND SPIRITS OF MISSISSIPPI LLC</t>
        </is>
      </c>
      <c r="O1209" s="25" t="n"/>
      <c r="P1209" s="25" t="inlineStr">
        <is>
          <t>10850015640039</t>
        </is>
      </c>
      <c r="Q1209" s="25" t="inlineStr">
        <is>
          <t>0850015640032</t>
        </is>
      </c>
      <c r="R1209" s="78" t="n">
        <v>44075</v>
      </c>
    </row>
    <row r="1210">
      <c r="A1210" t="inlineStr">
        <is>
          <t>or item code =</t>
        </is>
      </c>
      <c r="B1210" s="25" t="inlineStr">
        <is>
          <t>88369</t>
        </is>
      </c>
      <c r="C1210" s="25" t="inlineStr">
        <is>
          <t>TEREMANA REPOSADO TEQUILA</t>
        </is>
      </c>
      <c r="D1210" s="25" t="inlineStr">
        <is>
          <t>375ml</t>
        </is>
      </c>
      <c r="E1210" s="27" t="n">
        <v>0</v>
      </c>
      <c r="F1210" s="27" t="n">
        <v>178</v>
      </c>
      <c r="G1210" s="27" t="n">
        <v>12</v>
      </c>
      <c r="H1210" s="28" t="n">
        <v>165.7</v>
      </c>
      <c r="I1210" s="28" t="n">
        <v>0</v>
      </c>
      <c r="J1210" s="94" t="inlineStr">
        <is>
          <t>False</t>
        </is>
      </c>
      <c r="K1210" s="28" t="n">
        <v>0</v>
      </c>
      <c r="L1210" s="25" t="inlineStr">
        <is>
          <t>TEQUILA</t>
        </is>
      </c>
      <c r="M1210" s="25" t="inlineStr">
        <is>
          <t>MAST-JAEGERMEISTER US, INC.</t>
        </is>
      </c>
      <c r="N1210" s="25" t="inlineStr">
        <is>
          <t>040010-SOUTHERN GLAZERS WINE AND SPIRITS OF MISSISSIPPI LLC</t>
        </is>
      </c>
      <c r="O1210" s="25" t="n"/>
      <c r="P1210" s="25" t="inlineStr">
        <is>
          <t>10850015640015</t>
        </is>
      </c>
      <c r="Q1210" s="25" t="inlineStr">
        <is>
          <t>850015640018</t>
        </is>
      </c>
      <c r="R1210" s="78" t="n">
        <v>44348</v>
      </c>
    </row>
    <row r="1211">
      <c r="A1211" t="inlineStr">
        <is>
          <t>or item code =</t>
        </is>
      </c>
      <c r="B1211" s="25" t="inlineStr">
        <is>
          <t>5842</t>
        </is>
      </c>
      <c r="C1211" s="25" t="inlineStr">
        <is>
          <t>THE GLENLIVET 14</t>
        </is>
      </c>
      <c r="D1211" s="25" t="inlineStr">
        <is>
          <t>750ml</t>
        </is>
      </c>
      <c r="E1211" s="27" t="n">
        <v>0</v>
      </c>
      <c r="F1211" s="27" t="n">
        <v>1</v>
      </c>
      <c r="G1211" s="27" t="n">
        <v>6</v>
      </c>
      <c r="H1211" s="28" t="n">
        <v>290.89</v>
      </c>
      <c r="I1211" s="28" t="n">
        <v>0</v>
      </c>
      <c r="J1211" s="94" t="inlineStr">
        <is>
          <t>False</t>
        </is>
      </c>
      <c r="K1211" s="28" t="n">
        <v>0</v>
      </c>
      <c r="L1211" s="25" t="inlineStr">
        <is>
          <t>WHISKY - SCOTCH</t>
        </is>
      </c>
      <c r="M1211" s="25" t="inlineStr">
        <is>
          <t>PERNOD RICARD USA LLC</t>
        </is>
      </c>
      <c r="N1211" s="25" t="inlineStr">
        <is>
          <t>040010-SOUTHERN GLAZERS WINE AND SPIRITS OF MISSISSIPPI LLC</t>
        </is>
      </c>
      <c r="O1211" s="25" t="n"/>
      <c r="P1211" s="25" t="inlineStr">
        <is>
          <t>10080432114923</t>
        </is>
      </c>
      <c r="Q1211" s="25" t="inlineStr">
        <is>
          <t>080432114926</t>
        </is>
      </c>
      <c r="R1211" s="78" t="n">
        <v>44075</v>
      </c>
    </row>
    <row r="1212">
      <c r="A1212" t="inlineStr">
        <is>
          <t>or item code =</t>
        </is>
      </c>
      <c r="B1212" s="25" t="inlineStr">
        <is>
          <t>5924</t>
        </is>
      </c>
      <c r="C1212" s="25" t="inlineStr">
        <is>
          <t>THE GLENLIVET CARIBBEAN RESERVE</t>
        </is>
      </c>
      <c r="D1212" s="25" t="inlineStr">
        <is>
          <t>750ml</t>
        </is>
      </c>
      <c r="E1212" s="27" t="n">
        <v>2</v>
      </c>
      <c r="F1212" s="27" t="n">
        <v>27</v>
      </c>
      <c r="G1212" s="27" t="n">
        <v>6</v>
      </c>
      <c r="H1212" s="28" t="n">
        <v>230.92</v>
      </c>
      <c r="I1212" s="28" t="n">
        <v>0</v>
      </c>
      <c r="J1212" s="94" t="inlineStr">
        <is>
          <t>False</t>
        </is>
      </c>
      <c r="K1212" s="28" t="n">
        <v>0</v>
      </c>
      <c r="L1212" s="25" t="inlineStr">
        <is>
          <t>WHISKY - SCOTCH</t>
        </is>
      </c>
      <c r="M1212" s="25" t="inlineStr">
        <is>
          <t>PERNOD RICARD USA LLC</t>
        </is>
      </c>
      <c r="N1212" s="25" t="inlineStr">
        <is>
          <t>040010-SOUTHERN GLAZERS WINE AND SPIRITS OF MISSISSIPPI LLC</t>
        </is>
      </c>
      <c r="O1212" s="25" t="n"/>
      <c r="P1212" s="25" t="inlineStr">
        <is>
          <t>10080432115760</t>
        </is>
      </c>
      <c r="Q1212" s="25" t="inlineStr">
        <is>
          <t>080432115763</t>
        </is>
      </c>
      <c r="R1212" s="78" t="n">
        <v>44287</v>
      </c>
    </row>
    <row r="1213">
      <c r="A1213" t="inlineStr">
        <is>
          <t>or item code =</t>
        </is>
      </c>
      <c r="B1213" s="25" t="inlineStr">
        <is>
          <t>5153</t>
        </is>
      </c>
      <c r="C1213" s="25" t="inlineStr">
        <is>
          <t>THE GLENLIVET FOUNDERS RESERVE</t>
        </is>
      </c>
      <c r="D1213" s="25" t="inlineStr">
        <is>
          <t>750ml</t>
        </is>
      </c>
      <c r="E1213" s="27" t="n">
        <v>40</v>
      </c>
      <c r="F1213" s="27" t="n">
        <v>13</v>
      </c>
      <c r="G1213" s="27" t="n">
        <v>12</v>
      </c>
      <c r="H1213" s="28" t="n">
        <v>461.63</v>
      </c>
      <c r="I1213" s="28" t="n">
        <v>0</v>
      </c>
      <c r="J1213" s="94" t="inlineStr">
        <is>
          <t>False</t>
        </is>
      </c>
      <c r="K1213" s="28" t="n">
        <v>0</v>
      </c>
      <c r="L1213" s="25" t="inlineStr">
        <is>
          <t>WHISKY - SCOTCH</t>
        </is>
      </c>
      <c r="M1213" s="25" t="inlineStr">
        <is>
          <t>PERNOD RICARD USA LLC</t>
        </is>
      </c>
      <c r="N1213" s="25" t="inlineStr">
        <is>
          <t>040010-SOUTHERN GLAZERS WINE AND SPIRITS OF MISSISSIPPI LLC</t>
        </is>
      </c>
      <c r="O1213" s="25" t="n"/>
      <c r="P1213" s="25" t="inlineStr">
        <is>
          <t>10080432109752</t>
        </is>
      </c>
      <c r="Q1213" s="25" t="inlineStr">
        <is>
          <t>080432109755</t>
        </is>
      </c>
      <c r="R1213" s="78" t="n">
        <v>42758</v>
      </c>
    </row>
    <row r="1214">
      <c r="A1214" t="inlineStr">
        <is>
          <t>or item code =</t>
        </is>
      </c>
      <c r="B1214" s="25" t="inlineStr">
        <is>
          <t>5555</t>
        </is>
      </c>
      <c r="C1214" s="25" t="inlineStr">
        <is>
          <t>THE MACALLAN DOUBLE CASK 12Y HIGHLAND SINGLE MALT</t>
        </is>
      </c>
      <c r="D1214" s="25" t="inlineStr">
        <is>
          <t>750ml</t>
        </is>
      </c>
      <c r="E1214" s="27" t="n">
        <v>218</v>
      </c>
      <c r="F1214" s="27" t="n">
        <v>43</v>
      </c>
      <c r="G1214" s="27" t="n">
        <v>12</v>
      </c>
      <c r="H1214" s="28" t="n">
        <v>767.9</v>
      </c>
      <c r="I1214" s="28" t="n">
        <v>0</v>
      </c>
      <c r="J1214" s="94" t="inlineStr">
        <is>
          <t>False</t>
        </is>
      </c>
      <c r="K1214" s="28" t="n">
        <v>0</v>
      </c>
      <c r="L1214" s="25" t="inlineStr">
        <is>
          <t>WHISKY - SCOTCH</t>
        </is>
      </c>
      <c r="M1214" s="25" t="inlineStr">
        <is>
          <t>EDRINGTON AMERICAS</t>
        </is>
      </c>
      <c r="N1214" s="25" t="inlineStr">
        <is>
          <t>040002-RNDC-MAGNOLIA</t>
        </is>
      </c>
      <c r="O1214" s="25" t="n"/>
      <c r="P1214" s="25" t="inlineStr">
        <is>
          <t>10812066021250</t>
        </is>
      </c>
      <c r="Q1214" s="25" t="inlineStr">
        <is>
          <t>812066021598</t>
        </is>
      </c>
      <c r="R1214" s="78" t="n">
        <v>42758</v>
      </c>
    </row>
    <row r="1215">
      <c r="A1215" t="inlineStr">
        <is>
          <t>or item code =</t>
        </is>
      </c>
      <c r="B1215" s="25" t="inlineStr">
        <is>
          <t>5977</t>
        </is>
      </c>
      <c r="C1215" s="25" t="inlineStr">
        <is>
          <t>THE MACALLAN DOUBLE CASK 15YR HIGHLND SINGLE MALT</t>
        </is>
      </c>
      <c r="D1215" s="25" t="inlineStr">
        <is>
          <t>750ml</t>
        </is>
      </c>
      <c r="E1215" s="27" t="n">
        <v>0</v>
      </c>
      <c r="F1215" s="27" t="n">
        <v>1</v>
      </c>
      <c r="G1215" s="27" t="n">
        <v>3</v>
      </c>
      <c r="H1215" s="28" t="n">
        <v>395.97</v>
      </c>
      <c r="I1215" s="28" t="n">
        <v>0</v>
      </c>
      <c r="J1215" s="94" t="inlineStr">
        <is>
          <t>False</t>
        </is>
      </c>
      <c r="K1215" s="28" t="n">
        <v>0</v>
      </c>
      <c r="L1215" s="25" t="inlineStr">
        <is>
          <t>WHISKY - SCOTCH</t>
        </is>
      </c>
      <c r="M1215" s="25" t="inlineStr">
        <is>
          <t>EDRINGTON AMERICAS</t>
        </is>
      </c>
      <c r="N1215" s="25" t="inlineStr">
        <is>
          <t>040002-RNDC-MAGNOLIA</t>
        </is>
      </c>
      <c r="O1215" s="25" t="n"/>
      <c r="P1215" s="25" t="inlineStr">
        <is>
          <t>10812066023186</t>
        </is>
      </c>
      <c r="Q1215" s="25" t="inlineStr">
        <is>
          <t>812066023066</t>
        </is>
      </c>
      <c r="R1215" s="78" t="n">
        <v>44099</v>
      </c>
    </row>
    <row r="1216">
      <c r="A1216" t="inlineStr">
        <is>
          <t>or item code =</t>
        </is>
      </c>
      <c r="B1216" s="25" t="inlineStr">
        <is>
          <t>515916</t>
        </is>
      </c>
      <c r="C1216" s="25" t="inlineStr">
        <is>
          <t>THREE WISHES CABERNET SAUVIGNON</t>
        </is>
      </c>
      <c r="D1216" s="25" t="inlineStr">
        <is>
          <t>750ml</t>
        </is>
      </c>
      <c r="E1216" s="27" t="n">
        <v>255</v>
      </c>
      <c r="F1216" s="27" t="n">
        <v>79</v>
      </c>
      <c r="G1216" s="27" t="n">
        <v>12</v>
      </c>
      <c r="H1216" s="28" t="n">
        <v>45.02</v>
      </c>
      <c r="I1216" s="28" t="n">
        <v>0</v>
      </c>
      <c r="J1216" s="94" t="inlineStr">
        <is>
          <t>False</t>
        </is>
      </c>
      <c r="K1216" s="28" t="n">
        <v>0</v>
      </c>
      <c r="L1216" s="25" t="inlineStr">
        <is>
          <t>CABERNET SAUVIGNON</t>
        </is>
      </c>
      <c r="M1216" s="25" t="inlineStr">
        <is>
          <t>THE WINE GROUP LTD</t>
        </is>
      </c>
      <c r="N1216" s="25" t="inlineStr">
        <is>
          <t>040003-RNDC-VINTAGE</t>
        </is>
      </c>
      <c r="O1216" s="25" t="n"/>
      <c r="P1216" s="25" t="inlineStr">
        <is>
          <t>10081308001354</t>
        </is>
      </c>
      <c r="Q1216" s="25" t="inlineStr">
        <is>
          <t>081308005188</t>
        </is>
      </c>
      <c r="R1216" s="78" t="n">
        <v>42370</v>
      </c>
    </row>
    <row r="1217">
      <c r="A1217" t="inlineStr">
        <is>
          <t>or item code =</t>
        </is>
      </c>
      <c r="B1217" s="25" t="inlineStr">
        <is>
          <t>632833</t>
        </is>
      </c>
      <c r="C1217" s="25" t="inlineStr">
        <is>
          <t>THREE WISHES CHARDONNAY</t>
        </is>
      </c>
      <c r="D1217" s="25" t="inlineStr">
        <is>
          <t>750ml</t>
        </is>
      </c>
      <c r="E1217" s="27" t="n">
        <v>252</v>
      </c>
      <c r="F1217" s="27" t="n">
        <v>50</v>
      </c>
      <c r="G1217" s="27" t="n">
        <v>12</v>
      </c>
      <c r="H1217" s="28" t="n">
        <v>45.02</v>
      </c>
      <c r="I1217" s="28" t="n">
        <v>0</v>
      </c>
      <c r="J1217" s="94" t="inlineStr">
        <is>
          <t>False</t>
        </is>
      </c>
      <c r="K1217" s="28" t="n">
        <v>0</v>
      </c>
      <c r="L1217" s="25" t="inlineStr">
        <is>
          <t>CHARDONNAY</t>
        </is>
      </c>
      <c r="M1217" s="25" t="inlineStr">
        <is>
          <t>THE WINE GROUP LTD</t>
        </is>
      </c>
      <c r="N1217" s="25" t="inlineStr">
        <is>
          <t>040003-RNDC-VINTAGE</t>
        </is>
      </c>
      <c r="O1217" s="25" t="n"/>
      <c r="P1217" s="25" t="n"/>
      <c r="Q1217" s="25" t="inlineStr">
        <is>
          <t>081308005195</t>
        </is>
      </c>
      <c r="R1217" s="78" t="n">
        <v>42370</v>
      </c>
    </row>
    <row r="1218">
      <c r="A1218" t="inlineStr">
        <is>
          <t>or item code =</t>
        </is>
      </c>
      <c r="B1218" s="25" t="inlineStr">
        <is>
          <t>515918</t>
        </is>
      </c>
      <c r="C1218" s="25" t="inlineStr">
        <is>
          <t>THREE WISHES MERLOT</t>
        </is>
      </c>
      <c r="D1218" s="25" t="inlineStr">
        <is>
          <t>750ml</t>
        </is>
      </c>
      <c r="E1218" s="27" t="n">
        <v>150</v>
      </c>
      <c r="F1218" s="27" t="n">
        <v>47</v>
      </c>
      <c r="G1218" s="27" t="n">
        <v>12</v>
      </c>
      <c r="H1218" s="28" t="n">
        <v>45.02</v>
      </c>
      <c r="I1218" s="28" t="n">
        <v>0</v>
      </c>
      <c r="J1218" s="94" t="inlineStr">
        <is>
          <t>False</t>
        </is>
      </c>
      <c r="K1218" s="28" t="n">
        <v>0</v>
      </c>
      <c r="L1218" s="25" t="inlineStr">
        <is>
          <t>MERLOT</t>
        </is>
      </c>
      <c r="M1218" s="25" t="inlineStr">
        <is>
          <t>THE WINE GROUP LTD</t>
        </is>
      </c>
      <c r="N1218" s="25" t="inlineStr">
        <is>
          <t>040003-RNDC-VINTAGE</t>
        </is>
      </c>
      <c r="O1218" s="25" t="n"/>
      <c r="P1218" s="25" t="inlineStr">
        <is>
          <t>10081308001361</t>
        </is>
      </c>
      <c r="Q1218" s="25" t="inlineStr">
        <is>
          <t>081308005171</t>
        </is>
      </c>
      <c r="R1218" s="78" t="n">
        <v>42370</v>
      </c>
    </row>
    <row r="1219">
      <c r="A1219" t="inlineStr">
        <is>
          <t>or item code =</t>
        </is>
      </c>
      <c r="B1219" s="25" t="inlineStr">
        <is>
          <t>632831</t>
        </is>
      </c>
      <c r="C1219" s="25" t="inlineStr">
        <is>
          <t>THREE WISHES PINOT GRIGIO/COLOMBARD</t>
        </is>
      </c>
      <c r="D1219" s="25" t="inlineStr">
        <is>
          <t>750ml</t>
        </is>
      </c>
      <c r="E1219" s="27" t="n">
        <v>212</v>
      </c>
      <c r="F1219" s="27" t="n">
        <v>69</v>
      </c>
      <c r="G1219" s="27" t="n">
        <v>12</v>
      </c>
      <c r="H1219" s="28" t="n">
        <v>45.02</v>
      </c>
      <c r="I1219" s="28" t="n">
        <v>0</v>
      </c>
      <c r="J1219" s="94" t="inlineStr">
        <is>
          <t>False</t>
        </is>
      </c>
      <c r="K1219" s="28" t="n">
        <v>0</v>
      </c>
      <c r="L1219" s="25" t="inlineStr">
        <is>
          <t>WHITE WINE</t>
        </is>
      </c>
      <c r="M1219" s="25" t="inlineStr">
        <is>
          <t>THE WINE GROUP LTD</t>
        </is>
      </c>
      <c r="N1219" s="25" t="inlineStr">
        <is>
          <t>040003-RNDC-VINTAGE</t>
        </is>
      </c>
      <c r="O1219" s="25" t="n"/>
      <c r="P1219" s="25" t="inlineStr">
        <is>
          <t>10081308003648</t>
        </is>
      </c>
      <c r="Q1219" s="25" t="inlineStr">
        <is>
          <t>081308005201</t>
        </is>
      </c>
      <c r="R1219" s="78" t="n">
        <v>42370</v>
      </c>
    </row>
    <row r="1220">
      <c r="A1220" t="inlineStr">
        <is>
          <t>or item code =</t>
        </is>
      </c>
      <c r="B1220" s="25" t="inlineStr">
        <is>
          <t>38176</t>
        </is>
      </c>
      <c r="C1220" s="25" t="inlineStr">
        <is>
          <t>TITO'S HANDMADE VODKA</t>
        </is>
      </c>
      <c r="D1220" s="25" t="inlineStr">
        <is>
          <t>750ml</t>
        </is>
      </c>
      <c r="E1220" s="27" t="n">
        <v>70</v>
      </c>
      <c r="F1220" s="27" t="n">
        <v>673</v>
      </c>
      <c r="G1220" s="27" t="n">
        <v>12</v>
      </c>
      <c r="H1220" s="28" t="n">
        <v>200.48</v>
      </c>
      <c r="I1220" s="28" t="n">
        <v>0</v>
      </c>
      <c r="J1220" s="94" t="inlineStr">
        <is>
          <t>False</t>
        </is>
      </c>
      <c r="K1220" s="28" t="n">
        <v>0</v>
      </c>
      <c r="L1220" s="25" t="inlineStr">
        <is>
          <t>VODKA</t>
        </is>
      </c>
      <c r="M1220" s="25" t="inlineStr">
        <is>
          <t>FIFTH GENERATION INC</t>
        </is>
      </c>
      <c r="N1220" s="25" t="inlineStr">
        <is>
          <t>040010-SOUTHERN GLAZERS WINE AND SPIRITS OF MISSISSIPPI LLC</t>
        </is>
      </c>
      <c r="O1220" s="25" t="n"/>
      <c r="P1220" s="25" t="inlineStr">
        <is>
          <t>10619947000027</t>
        </is>
      </c>
      <c r="Q1220" s="25" t="inlineStr">
        <is>
          <t>0619947000020</t>
        </is>
      </c>
      <c r="R1220" s="78" t="n">
        <v>42370</v>
      </c>
    </row>
    <row r="1221">
      <c r="A1221" t="inlineStr">
        <is>
          <t>or item code =</t>
        </is>
      </c>
      <c r="B1221" s="25" t="inlineStr">
        <is>
          <t>38174</t>
        </is>
      </c>
      <c r="C1221" s="25" t="inlineStr">
        <is>
          <t>TITO'S HANDMADE VODKA</t>
        </is>
      </c>
      <c r="D1221" s="25" t="inlineStr">
        <is>
          <t>375ml</t>
        </is>
      </c>
      <c r="E1221" s="27" t="n">
        <v>1480</v>
      </c>
      <c r="F1221" s="27" t="n">
        <v>905</v>
      </c>
      <c r="G1221" s="27" t="n">
        <v>12</v>
      </c>
      <c r="H1221" s="28" t="n">
        <v>98.5</v>
      </c>
      <c r="I1221" s="28" t="n">
        <v>6.01</v>
      </c>
      <c r="J1221" s="94" t="inlineStr">
        <is>
          <t>False</t>
        </is>
      </c>
      <c r="K1221" s="28" t="n">
        <v>0</v>
      </c>
      <c r="L1221" s="25" t="inlineStr">
        <is>
          <t>VODKA</t>
        </is>
      </c>
      <c r="M1221" s="25" t="inlineStr">
        <is>
          <t>FIFTH GENERATION INC</t>
        </is>
      </c>
      <c r="N1221" s="25" t="inlineStr">
        <is>
          <t>040010-SOUTHERN GLAZERS WINE AND SPIRITS OF MISSISSIPPI LLC</t>
        </is>
      </c>
      <c r="O1221" s="25" t="n"/>
      <c r="P1221" s="25" t="inlineStr">
        <is>
          <t>20619947000055</t>
        </is>
      </c>
      <c r="Q1221" s="25" t="inlineStr">
        <is>
          <t>0619947000051</t>
        </is>
      </c>
      <c r="R1221" s="78" t="n">
        <v>42370</v>
      </c>
    </row>
    <row r="1222">
      <c r="A1222" t="inlineStr">
        <is>
          <t>or item code =</t>
        </is>
      </c>
      <c r="B1222" s="25" t="inlineStr">
        <is>
          <t>38177</t>
        </is>
      </c>
      <c r="C1222" s="25" t="inlineStr">
        <is>
          <t>TITO'S HANDMADE VODKA</t>
        </is>
      </c>
      <c r="D1222" s="25" t="inlineStr">
        <is>
          <t>1L</t>
        </is>
      </c>
      <c r="E1222" s="27" t="n">
        <v>1558</v>
      </c>
      <c r="F1222" s="27" t="n">
        <v>1183</v>
      </c>
      <c r="G1222" s="27" t="n">
        <v>12</v>
      </c>
      <c r="H1222" s="28" t="n">
        <v>217.24</v>
      </c>
      <c r="I1222" s="28" t="n">
        <v>12.01</v>
      </c>
      <c r="J1222" s="94" t="inlineStr">
        <is>
          <t>False</t>
        </is>
      </c>
      <c r="K1222" s="28" t="n">
        <v>0</v>
      </c>
      <c r="L1222" s="25" t="inlineStr">
        <is>
          <t>VODKA</t>
        </is>
      </c>
      <c r="M1222" s="25" t="inlineStr">
        <is>
          <t>FIFTH GENERATION INC</t>
        </is>
      </c>
      <c r="N1222" s="25" t="inlineStr">
        <is>
          <t>040010-SOUTHERN GLAZERS WINE AND SPIRITS OF MISSISSIPPI LLC</t>
        </is>
      </c>
      <c r="O1222" s="25" t="n"/>
      <c r="P1222" s="25" t="inlineStr">
        <is>
          <t>10619994700010</t>
        </is>
      </c>
      <c r="Q1222" s="25" t="inlineStr">
        <is>
          <t>0619947000013</t>
        </is>
      </c>
      <c r="R1222" s="78" t="n">
        <v>42370</v>
      </c>
    </row>
    <row r="1223">
      <c r="A1223" t="inlineStr">
        <is>
          <t>or item code =</t>
        </is>
      </c>
      <c r="B1223" s="25" t="inlineStr">
        <is>
          <t>38178</t>
        </is>
      </c>
      <c r="C1223" s="25" t="inlineStr">
        <is>
          <t>TITO'S HANDMADE VODKA</t>
        </is>
      </c>
      <c r="D1223" s="25" t="inlineStr">
        <is>
          <t>1.75L</t>
        </is>
      </c>
      <c r="E1223" s="27" t="n">
        <v>1520</v>
      </c>
      <c r="F1223" s="27" t="n">
        <v>831</v>
      </c>
      <c r="G1223" s="27" t="n">
        <v>6</v>
      </c>
      <c r="H1223" s="28" t="n">
        <v>176.55</v>
      </c>
      <c r="I1223" s="28" t="n">
        <v>0</v>
      </c>
      <c r="J1223" s="94" t="inlineStr">
        <is>
          <t>False</t>
        </is>
      </c>
      <c r="K1223" s="28" t="n">
        <v>0</v>
      </c>
      <c r="L1223" s="25" t="inlineStr">
        <is>
          <t>VODKA</t>
        </is>
      </c>
      <c r="M1223" s="25" t="inlineStr">
        <is>
          <t>FIFTH GENERATION INC</t>
        </is>
      </c>
      <c r="N1223" s="25" t="inlineStr">
        <is>
          <t>040010-SOUTHERN GLAZERS WINE AND SPIRITS OF MISSISSIPPI LLC</t>
        </is>
      </c>
      <c r="O1223" s="25" t="n"/>
      <c r="P1223" s="25" t="inlineStr">
        <is>
          <t>00001994700003</t>
        </is>
      </c>
      <c r="Q1223" s="25" t="inlineStr">
        <is>
          <t>0619947000037</t>
        </is>
      </c>
      <c r="R1223" s="78" t="n">
        <v>42370</v>
      </c>
    </row>
    <row r="1224">
      <c r="A1224" t="inlineStr">
        <is>
          <t>or item code =</t>
        </is>
      </c>
      <c r="B1224" s="25" t="inlineStr">
        <is>
          <t>38179</t>
        </is>
      </c>
      <c r="C1224" s="25" t="inlineStr">
        <is>
          <t>TITO'S HANDMADE VODKA</t>
        </is>
      </c>
      <c r="D1224" s="25" t="inlineStr">
        <is>
          <t>200ml</t>
        </is>
      </c>
      <c r="E1224" s="27" t="n">
        <v>100</v>
      </c>
      <c r="F1224" s="27" t="n">
        <v>474</v>
      </c>
      <c r="G1224" s="27" t="n">
        <v>24</v>
      </c>
      <c r="H1224" s="28" t="n">
        <v>127.12</v>
      </c>
      <c r="I1224" s="28" t="n">
        <v>6.01</v>
      </c>
      <c r="J1224" s="94" t="inlineStr">
        <is>
          <t>False</t>
        </is>
      </c>
      <c r="K1224" s="28" t="n">
        <v>0</v>
      </c>
      <c r="L1224" s="25" t="inlineStr">
        <is>
          <t>VODKA</t>
        </is>
      </c>
      <c r="M1224" s="25" t="inlineStr">
        <is>
          <t>FIFTH GENERATION INC</t>
        </is>
      </c>
      <c r="N1224" s="25" t="inlineStr">
        <is>
          <t>040010-SOUTHERN GLAZERS WINE AND SPIRITS OF MISSISSIPPI LLC</t>
        </is>
      </c>
      <c r="O1224" s="25" t="n"/>
      <c r="P1224" s="25" t="inlineStr">
        <is>
          <t>30619947000045</t>
        </is>
      </c>
      <c r="Q1224" s="25" t="inlineStr">
        <is>
          <t>0619947000044</t>
        </is>
      </c>
      <c r="R1224" s="78" t="n">
        <v>42370</v>
      </c>
    </row>
    <row r="1225">
      <c r="A1225" t="inlineStr">
        <is>
          <t>or item code =</t>
        </is>
      </c>
      <c r="B1225" s="25" t="inlineStr">
        <is>
          <t>38194</t>
        </is>
      </c>
      <c r="C1225" s="25" t="inlineStr">
        <is>
          <t>TITO'S HANDMADE VODKA/12B-SHRINKWRAP SLV</t>
        </is>
      </c>
      <c r="D1225" s="25" t="inlineStr">
        <is>
          <t>50ml</t>
        </is>
      </c>
      <c r="E1225" s="27" t="n">
        <v>0</v>
      </c>
      <c r="F1225" s="27" t="n">
        <v>259</v>
      </c>
      <c r="G1225" s="27" t="n">
        <v>60</v>
      </c>
      <c r="H1225" s="28" t="n">
        <v>88.39</v>
      </c>
      <c r="I1225" s="28" t="n">
        <v>6.01</v>
      </c>
      <c r="J1225" s="94" t="inlineStr">
        <is>
          <t>False</t>
        </is>
      </c>
      <c r="K1225" s="28" t="n">
        <v>0</v>
      </c>
      <c r="L1225" s="25" t="inlineStr">
        <is>
          <t>VODKA</t>
        </is>
      </c>
      <c r="M1225" s="25" t="inlineStr">
        <is>
          <t>FIFTH GENERATION INC</t>
        </is>
      </c>
      <c r="N1225" s="25" t="inlineStr">
        <is>
          <t>040010-SOUTHERN GLAZERS WINE AND SPIRITS OF MISSISSIPPI LLC</t>
        </is>
      </c>
      <c r="O1225" s="25" t="n"/>
      <c r="P1225" s="25" t="inlineStr">
        <is>
          <t>10619947000089</t>
        </is>
      </c>
      <c r="Q1225" s="25" t="inlineStr">
        <is>
          <t>619947000082</t>
        </is>
      </c>
      <c r="R1225" s="78" t="n">
        <v>42370</v>
      </c>
    </row>
    <row r="1226">
      <c r="A1226" t="inlineStr">
        <is>
          <t>or item code =</t>
        </is>
      </c>
      <c r="B1226" s="25" t="inlineStr">
        <is>
          <t>15982</t>
        </is>
      </c>
      <c r="C1226" s="25" t="inlineStr">
        <is>
          <t>TOKI SUNTORY JAPANESE WHISKY</t>
        </is>
      </c>
      <c r="D1226" s="25" t="inlineStr">
        <is>
          <t>750ml</t>
        </is>
      </c>
      <c r="E1226" s="27" t="n">
        <v>91</v>
      </c>
      <c r="F1226" s="27" t="n">
        <v>25</v>
      </c>
      <c r="G1226" s="27" t="n">
        <v>6</v>
      </c>
      <c r="H1226" s="28" t="n">
        <v>184.56</v>
      </c>
      <c r="I1226" s="28" t="n">
        <v>0</v>
      </c>
      <c r="J1226" s="94" t="inlineStr">
        <is>
          <t>False</t>
        </is>
      </c>
      <c r="K1226" s="28" t="n">
        <v>0</v>
      </c>
      <c r="L1226" s="25" t="inlineStr">
        <is>
          <t>WHISKEY OTHER</t>
        </is>
      </c>
      <c r="M1226" s="25" t="inlineStr">
        <is>
          <t>JIM BEAM BRANDS CO</t>
        </is>
      </c>
      <c r="N1226" s="25" t="inlineStr">
        <is>
          <t>040010-SOUTHERN GLAZERS WINE AND SPIRITS OF MISSISSIPPI LLC</t>
        </is>
      </c>
      <c r="O1226" s="25" t="n"/>
      <c r="P1226" s="25" t="inlineStr">
        <is>
          <t>10080686957017</t>
        </is>
      </c>
      <c r="Q1226" s="25" t="inlineStr">
        <is>
          <t>0080686957010</t>
        </is>
      </c>
      <c r="R1226" s="78" t="n">
        <v>43223</v>
      </c>
    </row>
    <row r="1227">
      <c r="A1227" t="inlineStr">
        <is>
          <t>or item code =</t>
        </is>
      </c>
      <c r="B1227" s="25" t="inlineStr">
        <is>
          <t>6316</t>
        </is>
      </c>
      <c r="C1227" s="25" t="inlineStr">
        <is>
          <t>TOMATIN SINGLE MALT 12 YEAR OLD</t>
        </is>
      </c>
      <c r="D1227" s="25" t="inlineStr">
        <is>
          <t>750ml</t>
        </is>
      </c>
      <c r="E1227" s="27" t="n">
        <v>60</v>
      </c>
      <c r="F1227" s="27" t="n">
        <v>5</v>
      </c>
      <c r="G1227" s="27" t="n">
        <v>6</v>
      </c>
      <c r="H1227" s="28" t="n">
        <v>179.99</v>
      </c>
      <c r="I1227" s="28" t="n">
        <v>0</v>
      </c>
      <c r="J1227" s="94" t="inlineStr">
        <is>
          <t>False</t>
        </is>
      </c>
      <c r="K1227" s="28" t="n">
        <v>0</v>
      </c>
      <c r="L1227" s="25" t="inlineStr">
        <is>
          <t>WHISKY - SCOTCH</t>
        </is>
      </c>
      <c r="M1227" s="25" t="inlineStr">
        <is>
          <t>UNITED STATES DISTILLED PRODUCTS DBA PHILLIPS PRODUCTS COMPANY</t>
        </is>
      </c>
      <c r="N1227" s="25" t="inlineStr">
        <is>
          <t>040010-SOUTHERN GLAZERS WINE AND SPIRITS OF MISSISSIPPI LLC</t>
        </is>
      </c>
      <c r="O1227" s="25" t="n"/>
      <c r="P1227" s="25" t="inlineStr">
        <is>
          <t>10088893161005</t>
        </is>
      </c>
      <c r="Q1227" s="25" t="inlineStr">
        <is>
          <t>0088893161008</t>
        </is>
      </c>
      <c r="R1227" s="78" t="n">
        <v>42370</v>
      </c>
    </row>
    <row r="1228">
      <c r="A1228" t="inlineStr">
        <is>
          <t>or item code =</t>
        </is>
      </c>
      <c r="B1228" s="25" t="inlineStr">
        <is>
          <t>89888</t>
        </is>
      </c>
      <c r="C1228" s="25" t="inlineStr">
        <is>
          <t>TORADA REPOSADA TEQUILA</t>
        </is>
      </c>
      <c r="D1228" s="25" t="inlineStr">
        <is>
          <t>1.75L</t>
        </is>
      </c>
      <c r="E1228" s="27" t="n">
        <v>517</v>
      </c>
      <c r="F1228" s="27" t="n">
        <v>229</v>
      </c>
      <c r="G1228" s="27" t="n">
        <v>6</v>
      </c>
      <c r="H1228" s="28" t="n">
        <v>92.70999999999999</v>
      </c>
      <c r="I1228" s="28" t="n">
        <v>0</v>
      </c>
      <c r="J1228" s="94" t="inlineStr">
        <is>
          <t>False</t>
        </is>
      </c>
      <c r="K1228" s="28" t="n">
        <v>0</v>
      </c>
      <c r="L1228" s="25" t="inlineStr">
        <is>
          <t>TEQUILA</t>
        </is>
      </c>
      <c r="M1228" s="25" t="inlineStr">
        <is>
          <t>SAZERAC COMPANY</t>
        </is>
      </c>
      <c r="N1228" s="25" t="inlineStr">
        <is>
          <t>040010-SOUTHERN GLAZERS WINE AND SPIRITS OF MISSISSIPPI LLC</t>
        </is>
      </c>
      <c r="O1228" s="25" t="n"/>
      <c r="P1228" s="25" t="inlineStr">
        <is>
          <t>10088004100824</t>
        </is>
      </c>
      <c r="Q1228" s="25" t="inlineStr">
        <is>
          <t>0088004100827</t>
        </is>
      </c>
      <c r="R1228" s="78" t="n">
        <v>42370</v>
      </c>
    </row>
    <row r="1229">
      <c r="A1229" t="inlineStr">
        <is>
          <t>or item code =</t>
        </is>
      </c>
      <c r="B1229" s="25" t="inlineStr">
        <is>
          <t>89887</t>
        </is>
      </c>
      <c r="C1229" s="25" t="inlineStr">
        <is>
          <t>TORADA REPOSADO TEQUILA</t>
        </is>
      </c>
      <c r="D1229" s="25" t="inlineStr">
        <is>
          <t>1L</t>
        </is>
      </c>
      <c r="E1229" s="27" t="n">
        <v>137</v>
      </c>
      <c r="F1229" s="27" t="n">
        <v>56</v>
      </c>
      <c r="G1229" s="27" t="n">
        <v>12</v>
      </c>
      <c r="H1229" s="28" t="n">
        <v>110.27</v>
      </c>
      <c r="I1229" s="28" t="n">
        <v>0</v>
      </c>
      <c r="J1229" s="94" t="inlineStr">
        <is>
          <t>False</t>
        </is>
      </c>
      <c r="K1229" s="28" t="n">
        <v>0</v>
      </c>
      <c r="L1229" s="25" t="inlineStr">
        <is>
          <t>TEQUILA</t>
        </is>
      </c>
      <c r="M1229" s="25" t="inlineStr">
        <is>
          <t>SAZERAC COMPANY</t>
        </is>
      </c>
      <c r="N1229" s="25" t="inlineStr">
        <is>
          <t>040010-SOUTHERN GLAZERS WINE AND SPIRITS OF MISSISSIPPI LLC</t>
        </is>
      </c>
      <c r="O1229" s="25" t="n"/>
      <c r="P1229" s="25" t="n"/>
      <c r="Q1229" s="25" t="inlineStr">
        <is>
          <t>088004034412</t>
        </is>
      </c>
      <c r="R1229" s="78" t="n">
        <v>42279</v>
      </c>
    </row>
    <row r="1230">
      <c r="A1230" t="inlineStr">
        <is>
          <t>or item code =</t>
        </is>
      </c>
      <c r="B1230" s="25" t="inlineStr">
        <is>
          <t>88736</t>
        </is>
      </c>
      <c r="C1230" s="25" t="inlineStr">
        <is>
          <t>TORADA WHITE TEQUILA</t>
        </is>
      </c>
      <c r="D1230" s="25" t="inlineStr">
        <is>
          <t>750ml</t>
        </is>
      </c>
      <c r="E1230" s="27" t="n">
        <v>63</v>
      </c>
      <c r="F1230" s="27" t="n">
        <v>62</v>
      </c>
      <c r="G1230" s="27" t="n">
        <v>12</v>
      </c>
      <c r="H1230" s="28" t="n">
        <v>101.08</v>
      </c>
      <c r="I1230" s="28" t="n">
        <v>0</v>
      </c>
      <c r="J1230" s="94" t="inlineStr">
        <is>
          <t>False</t>
        </is>
      </c>
      <c r="K1230" s="28" t="n">
        <v>0</v>
      </c>
      <c r="L1230" s="25" t="inlineStr">
        <is>
          <t>TEQUILA</t>
        </is>
      </c>
      <c r="M1230" s="25" t="inlineStr">
        <is>
          <t>SAZERAC COMPANY</t>
        </is>
      </c>
      <c r="N1230" s="25" t="inlineStr">
        <is>
          <t>040010-SOUTHERN GLAZERS WINE AND SPIRITS OF MISSISSIPPI LLC</t>
        </is>
      </c>
      <c r="O1230" s="25" t="n"/>
      <c r="P1230" s="25" t="inlineStr">
        <is>
          <t>10088004100145</t>
        </is>
      </c>
      <c r="Q1230" s="25" t="inlineStr">
        <is>
          <t>0088004100148</t>
        </is>
      </c>
      <c r="R1230" s="78" t="n">
        <v>42370</v>
      </c>
    </row>
    <row r="1231">
      <c r="A1231" t="inlineStr">
        <is>
          <t>or item code =</t>
        </is>
      </c>
      <c r="B1231" s="25" t="inlineStr">
        <is>
          <t>88738</t>
        </is>
      </c>
      <c r="C1231" s="25" t="inlineStr">
        <is>
          <t>TORADA WHITE TEQUILA</t>
        </is>
      </c>
      <c r="D1231" s="25" t="inlineStr">
        <is>
          <t>1.75L</t>
        </is>
      </c>
      <c r="E1231" s="27" t="n">
        <v>260</v>
      </c>
      <c r="F1231" s="27" t="n">
        <v>164</v>
      </c>
      <c r="G1231" s="27" t="n">
        <v>6</v>
      </c>
      <c r="H1231" s="28" t="n">
        <v>92.70999999999999</v>
      </c>
      <c r="I1231" s="28" t="n">
        <v>0</v>
      </c>
      <c r="J1231" s="94" t="inlineStr">
        <is>
          <t>False</t>
        </is>
      </c>
      <c r="K1231" s="28" t="n">
        <v>0</v>
      </c>
      <c r="L1231" s="25" t="inlineStr">
        <is>
          <t>TEQUILA</t>
        </is>
      </c>
      <c r="M1231" s="25" t="inlineStr">
        <is>
          <t>SAZERAC COMPANY</t>
        </is>
      </c>
      <c r="N1231" s="25" t="inlineStr">
        <is>
          <t>040010-SOUTHERN GLAZERS WINE AND SPIRITS OF MISSISSIPPI LLC</t>
        </is>
      </c>
      <c r="O1231" s="25" t="n"/>
      <c r="P1231" s="25" t="inlineStr">
        <is>
          <t>10088004100121</t>
        </is>
      </c>
      <c r="Q1231" s="25" t="inlineStr">
        <is>
          <t>0088004100124</t>
        </is>
      </c>
      <c r="R1231" s="78" t="n">
        <v>42370</v>
      </c>
    </row>
    <row r="1232">
      <c r="A1232" t="inlineStr">
        <is>
          <t>or item code =</t>
        </is>
      </c>
      <c r="B1232" s="25" t="inlineStr">
        <is>
          <t>88737</t>
        </is>
      </c>
      <c r="C1232" s="25" t="inlineStr">
        <is>
          <t>TORADA WHITE TEQUILA</t>
        </is>
      </c>
      <c r="D1232" s="25" t="inlineStr">
        <is>
          <t>1L</t>
        </is>
      </c>
      <c r="E1232" s="27" t="n">
        <v>48</v>
      </c>
      <c r="F1232" s="27" t="n">
        <v>228</v>
      </c>
      <c r="G1232" s="27" t="n">
        <v>12</v>
      </c>
      <c r="H1232" s="28" t="n">
        <v>110.27</v>
      </c>
      <c r="I1232" s="28" t="n">
        <v>0</v>
      </c>
      <c r="J1232" s="94" t="inlineStr">
        <is>
          <t>False</t>
        </is>
      </c>
      <c r="K1232" s="28" t="n">
        <v>0</v>
      </c>
      <c r="L1232" s="25" t="inlineStr">
        <is>
          <t>TEQUILA</t>
        </is>
      </c>
      <c r="M1232" s="25" t="inlineStr">
        <is>
          <t>SAZERAC COMPANY</t>
        </is>
      </c>
      <c r="N1232" s="25" t="inlineStr">
        <is>
          <t>040010-SOUTHERN GLAZERS WINE AND SPIRITS OF MISSISSIPPI LLC</t>
        </is>
      </c>
      <c r="O1232" s="25" t="n"/>
      <c r="P1232" s="25" t="inlineStr">
        <is>
          <t>10088004034426</t>
        </is>
      </c>
      <c r="Q1232" s="25" t="inlineStr">
        <is>
          <t>088004034429</t>
        </is>
      </c>
      <c r="R1232" s="78" t="n">
        <v>42370</v>
      </c>
    </row>
    <row r="1233">
      <c r="A1233" t="inlineStr">
        <is>
          <t>or item code =</t>
        </is>
      </c>
      <c r="B1233" s="25" t="inlineStr">
        <is>
          <t>762300</t>
        </is>
      </c>
      <c r="C1233" s="25" t="inlineStr">
        <is>
          <t>TOTT'S BRUT CHAMPAGNE</t>
        </is>
      </c>
      <c r="D1233" s="25" t="inlineStr">
        <is>
          <t>750ml</t>
        </is>
      </c>
      <c r="E1233" s="27" t="n">
        <v>42</v>
      </c>
      <c r="F1233" s="27" t="n">
        <v>47</v>
      </c>
      <c r="G1233" s="27" t="n">
        <v>12</v>
      </c>
      <c r="H1233" s="28" t="n">
        <v>89.92</v>
      </c>
      <c r="I1233" s="28" t="n">
        <v>0</v>
      </c>
      <c r="J1233" s="94" t="inlineStr">
        <is>
          <t>False</t>
        </is>
      </c>
      <c r="K1233" s="28" t="n">
        <v>0</v>
      </c>
      <c r="L1233" s="25" t="inlineStr">
        <is>
          <t>SPRKLNG, CHMPGNE, ETC.</t>
        </is>
      </c>
      <c r="M1233" s="25" t="inlineStr">
        <is>
          <t>E &amp; J GALLO WINERY</t>
        </is>
      </c>
      <c r="N1233" s="25" t="inlineStr">
        <is>
          <t>040012-GALLO WINES OF MISSISSIPPI</t>
        </is>
      </c>
      <c r="O1233" s="25" t="n"/>
      <c r="P1233" s="25" t="inlineStr">
        <is>
          <t>03008500000715</t>
        </is>
      </c>
      <c r="Q1233" s="25" t="inlineStr">
        <is>
          <t>0085000007150</t>
        </is>
      </c>
      <c r="R1233" s="78" t="n">
        <v>42370</v>
      </c>
    </row>
    <row r="1234">
      <c r="A1234" t="inlineStr">
        <is>
          <t>or item code =</t>
        </is>
      </c>
      <c r="B1234" s="25" t="inlineStr">
        <is>
          <t>38844</t>
        </is>
      </c>
      <c r="C1234" s="25" t="inlineStr">
        <is>
          <t>TRULY PINEAPPLE MANGO</t>
        </is>
      </c>
      <c r="D1234" s="25" t="inlineStr">
        <is>
          <t>50ml</t>
        </is>
      </c>
      <c r="E1234" s="27" t="n">
        <v>6</v>
      </c>
      <c r="F1234" s="27" t="n">
        <v>13</v>
      </c>
      <c r="G1234" s="27" t="n">
        <v>120</v>
      </c>
      <c r="H1234" s="28" t="n">
        <v>84.84999999999999</v>
      </c>
      <c r="I1234" s="28" t="n">
        <v>0</v>
      </c>
      <c r="J1234" s="94" t="inlineStr">
        <is>
          <t>False</t>
        </is>
      </c>
      <c r="K1234" s="28" t="n">
        <v>0</v>
      </c>
      <c r="L1234" s="25" t="inlineStr">
        <is>
          <t>VODKA</t>
        </is>
      </c>
      <c r="M1234" s="25" t="inlineStr">
        <is>
          <t>JIM BEAM BRANDS CO</t>
        </is>
      </c>
      <c r="N1234" s="25" t="inlineStr">
        <is>
          <t>040010-SOUTHERN GLAZERS WINE AND SPIRITS OF MISSISSIPPI LLC</t>
        </is>
      </c>
      <c r="O1234" s="25" t="n"/>
      <c r="P1234" s="25" t="inlineStr">
        <is>
          <t>10080686896071</t>
        </is>
      </c>
      <c r="Q1234" s="25" t="inlineStr">
        <is>
          <t>080686896074</t>
        </is>
      </c>
      <c r="R1234" s="78" t="n">
        <v>44743</v>
      </c>
    </row>
    <row r="1235">
      <c r="A1235" t="inlineStr">
        <is>
          <t>or item code =</t>
        </is>
      </c>
      <c r="B1235" s="25" t="inlineStr">
        <is>
          <t>38575</t>
        </is>
      </c>
      <c r="C1235" s="25" t="inlineStr">
        <is>
          <t>TRULY STRAWBERRY LEMONADE</t>
        </is>
      </c>
      <c r="D1235" s="25" t="inlineStr">
        <is>
          <t>50ml</t>
        </is>
      </c>
      <c r="E1235" s="27" t="n">
        <v>80</v>
      </c>
      <c r="F1235" s="27" t="n">
        <v>13</v>
      </c>
      <c r="G1235" s="27" t="n">
        <v>120</v>
      </c>
      <c r="H1235" s="28" t="n">
        <v>84.84999999999999</v>
      </c>
      <c r="I1235" s="28" t="n">
        <v>0</v>
      </c>
      <c r="J1235" s="94" t="inlineStr">
        <is>
          <t>False</t>
        </is>
      </c>
      <c r="K1235" s="28" t="n">
        <v>0</v>
      </c>
      <c r="L1235" s="25" t="inlineStr">
        <is>
          <t>VODKA</t>
        </is>
      </c>
      <c r="M1235" s="25" t="inlineStr">
        <is>
          <t>JIM BEAM BRANDS CO</t>
        </is>
      </c>
      <c r="N1235" s="25" t="inlineStr">
        <is>
          <t>040010-SOUTHERN GLAZERS WINE AND SPIRITS OF MISSISSIPPI LLC</t>
        </is>
      </c>
      <c r="O1235" s="25" t="n"/>
      <c r="P1235" s="25" t="inlineStr">
        <is>
          <t>10080686896019</t>
        </is>
      </c>
      <c r="Q1235" s="25" t="inlineStr">
        <is>
          <t>080686896012</t>
        </is>
      </c>
      <c r="R1235" s="78" t="n">
        <v>44743</v>
      </c>
    </row>
    <row r="1236">
      <c r="A1236" t="inlineStr">
        <is>
          <t>or item code =</t>
        </is>
      </c>
      <c r="B1236" s="25" t="inlineStr">
        <is>
          <t>38577</t>
        </is>
      </c>
      <c r="C1236" s="25" t="inlineStr">
        <is>
          <t>TRULY STRAWBERRY LEMONADE</t>
        </is>
      </c>
      <c r="D1236" s="25" t="inlineStr">
        <is>
          <t>750ml</t>
        </is>
      </c>
      <c r="E1236" s="27" t="n">
        <v>19</v>
      </c>
      <c r="F1236" s="27" t="n">
        <v>8</v>
      </c>
      <c r="G1236" s="27" t="n">
        <v>12</v>
      </c>
      <c r="H1236" s="28" t="n">
        <v>156.82</v>
      </c>
      <c r="I1236" s="28" t="n">
        <v>0</v>
      </c>
      <c r="J1236" s="94" t="inlineStr">
        <is>
          <t>False</t>
        </is>
      </c>
      <c r="K1236" s="28" t="n">
        <v>0</v>
      </c>
      <c r="L1236" s="25" t="inlineStr">
        <is>
          <t>VODKA</t>
        </is>
      </c>
      <c r="M1236" s="25" t="inlineStr">
        <is>
          <t>JIM BEAM BRANDS CO</t>
        </is>
      </c>
      <c r="N1236" s="25" t="inlineStr">
        <is>
          <t>040010-SOUTHERN GLAZERS WINE AND SPIRITS OF MISSISSIPPI LLC</t>
        </is>
      </c>
      <c r="O1236" s="25" t="n"/>
      <c r="P1236" s="25" t="inlineStr">
        <is>
          <t>10080686896033</t>
        </is>
      </c>
      <c r="Q1236" s="25" t="inlineStr">
        <is>
          <t>080686896036</t>
        </is>
      </c>
      <c r="R1236" s="78" t="n">
        <v>44743</v>
      </c>
    </row>
    <row r="1237">
      <c r="A1237" t="inlineStr">
        <is>
          <t>or item code =</t>
        </is>
      </c>
      <c r="B1237" s="25" t="inlineStr">
        <is>
          <t>77897</t>
        </is>
      </c>
      <c r="C1237" s="25" t="inlineStr">
        <is>
          <t>TWENTY GRAND PEACH:VODKA/COGNAC &amp; PEACH</t>
        </is>
      </c>
      <c r="D1237" s="25" t="inlineStr">
        <is>
          <t>750ml</t>
        </is>
      </c>
      <c r="E1237" s="27" t="n">
        <v>101</v>
      </c>
      <c r="F1237" s="27" t="n">
        <v>10</v>
      </c>
      <c r="G1237" s="27" t="n">
        <v>6</v>
      </c>
      <c r="H1237" s="28" t="n">
        <v>108.32</v>
      </c>
      <c r="I1237" s="28" t="n">
        <v>0</v>
      </c>
      <c r="J1237" s="94" t="inlineStr">
        <is>
          <t>False</t>
        </is>
      </c>
      <c r="K1237" s="28" t="n">
        <v>0</v>
      </c>
      <c r="L1237" s="25" t="inlineStr">
        <is>
          <t>LIQUEURS AND CORDIALS</t>
        </is>
      </c>
      <c r="M1237" s="25" t="inlineStr">
        <is>
          <t>WESTERN SPIRITS BEVERAGE CO</t>
        </is>
      </c>
      <c r="N1237" s="25" t="inlineStr">
        <is>
          <t>040002-RNDC-MAGNOLIA</t>
        </is>
      </c>
      <c r="O1237" s="25" t="n"/>
      <c r="P1237" s="25" t="inlineStr">
        <is>
          <t>10812459013213</t>
        </is>
      </c>
      <c r="Q1237" s="25" t="inlineStr">
        <is>
          <t>0812459013216</t>
        </is>
      </c>
      <c r="R1237" s="78" t="n">
        <v>42370</v>
      </c>
    </row>
    <row r="1238">
      <c r="A1238" t="inlineStr">
        <is>
          <t>or item code =</t>
        </is>
      </c>
      <c r="B1238" s="25" t="inlineStr">
        <is>
          <t>77577</t>
        </is>
      </c>
      <c r="C1238" s="25" t="inlineStr">
        <is>
          <t>TWENTY GRAND VODKA INFUSED W/COGNAC</t>
        </is>
      </c>
      <c r="D1238" s="25" t="inlineStr">
        <is>
          <t>750ml</t>
        </is>
      </c>
      <c r="E1238" s="27" t="n">
        <v>227</v>
      </c>
      <c r="F1238" s="27" t="n">
        <v>21</v>
      </c>
      <c r="G1238" s="27" t="n">
        <v>6</v>
      </c>
      <c r="H1238" s="28" t="n">
        <v>108.32</v>
      </c>
      <c r="I1238" s="28" t="n">
        <v>0</v>
      </c>
      <c r="J1238" s="94" t="inlineStr">
        <is>
          <t>False</t>
        </is>
      </c>
      <c r="K1238" s="28" t="n">
        <v>0</v>
      </c>
      <c r="L1238" s="25" t="inlineStr">
        <is>
          <t>LIQUEURS AND CORDIALS</t>
        </is>
      </c>
      <c r="M1238" s="25" t="inlineStr">
        <is>
          <t>WESTERN SPIRITS BEVERAGE CO</t>
        </is>
      </c>
      <c r="N1238" s="25" t="inlineStr">
        <is>
          <t>040002-RNDC-MAGNOLIA</t>
        </is>
      </c>
      <c r="O1238" s="25" t="n"/>
      <c r="P1238" s="25" t="inlineStr">
        <is>
          <t>10812459010502</t>
        </is>
      </c>
      <c r="Q1238" s="25" t="inlineStr">
        <is>
          <t>0812459010505</t>
        </is>
      </c>
      <c r="R1238" s="78" t="n">
        <v>42370</v>
      </c>
    </row>
    <row r="1239">
      <c r="A1239" t="inlineStr">
        <is>
          <t>or item code =</t>
        </is>
      </c>
      <c r="B1239" s="25" t="inlineStr">
        <is>
          <t>67037</t>
        </is>
      </c>
      <c r="C1239" s="25" t="inlineStr">
        <is>
          <t>TWISTED SHOTZ BUTTERY NIPPLE:VODKA BASED</t>
        </is>
      </c>
      <c r="D1239" s="25" t="inlineStr">
        <is>
          <t>100ml</t>
        </is>
      </c>
      <c r="E1239" s="27" t="n">
        <v>0</v>
      </c>
      <c r="F1239" s="27" t="n">
        <v>7</v>
      </c>
      <c r="G1239" s="27" t="n">
        <v>18</v>
      </c>
      <c r="H1239" s="28" t="n">
        <v>86.54000000000001</v>
      </c>
      <c r="I1239" s="28" t="n">
        <v>0</v>
      </c>
      <c r="J1239" s="94" t="inlineStr">
        <is>
          <t>False</t>
        </is>
      </c>
      <c r="K1239" s="28" t="n">
        <v>0</v>
      </c>
      <c r="L1239" s="25" t="inlineStr">
        <is>
          <t>COCKTAILS</t>
        </is>
      </c>
      <c r="M1239" s="25" t="inlineStr">
        <is>
          <t>MHW LTD</t>
        </is>
      </c>
      <c r="N1239" s="25" t="inlineStr">
        <is>
          <t>040010-SOUTHERN GLAZERS WINE AND SPIRITS OF MISSISSIPPI LLC</t>
        </is>
      </c>
      <c r="O1239" s="25" t="n"/>
      <c r="P1239" s="25" t="inlineStr">
        <is>
          <t>10766427003396</t>
        </is>
      </c>
      <c r="Q1239" s="25" t="inlineStr">
        <is>
          <t>0766427003382</t>
        </is>
      </c>
      <c r="R1239" s="78" t="n">
        <v>42370</v>
      </c>
    </row>
    <row r="1240">
      <c r="A1240" t="inlineStr">
        <is>
          <t>or item code =</t>
        </is>
      </c>
      <c r="B1240" s="25" t="inlineStr">
        <is>
          <t>67043</t>
        </is>
      </c>
      <c r="C1240" s="25" t="inlineStr">
        <is>
          <t>TWISTED SHOTZ PORN STAR</t>
        </is>
      </c>
      <c r="D1240" s="25" t="inlineStr">
        <is>
          <t>100ml</t>
        </is>
      </c>
      <c r="E1240" s="27" t="n">
        <v>0</v>
      </c>
      <c r="F1240" s="27" t="n">
        <v>64</v>
      </c>
      <c r="G1240" s="27" t="n">
        <v>18</v>
      </c>
      <c r="H1240" s="28" t="n">
        <v>86.54000000000001</v>
      </c>
      <c r="I1240" s="28" t="n">
        <v>0</v>
      </c>
      <c r="J1240" s="94" t="inlineStr">
        <is>
          <t>False</t>
        </is>
      </c>
      <c r="K1240" s="28" t="n">
        <v>0</v>
      </c>
      <c r="L1240" s="25" t="inlineStr">
        <is>
          <t>COCKTAILS</t>
        </is>
      </c>
      <c r="M1240" s="25" t="inlineStr">
        <is>
          <t>MHW LTD</t>
        </is>
      </c>
      <c r="N1240" s="25" t="inlineStr">
        <is>
          <t>040010-SOUTHERN GLAZERS WINE AND SPIRITS OF MISSISSIPPI LLC</t>
        </is>
      </c>
      <c r="O1240" s="25" t="n"/>
      <c r="P1240" s="25" t="inlineStr">
        <is>
          <t>10766427003433</t>
        </is>
      </c>
      <c r="Q1240" s="25" t="inlineStr">
        <is>
          <t>0766427003429</t>
        </is>
      </c>
      <c r="R1240" s="78" t="n">
        <v>42370</v>
      </c>
    </row>
    <row r="1241">
      <c r="A1241" t="inlineStr">
        <is>
          <t>or item code =</t>
        </is>
      </c>
      <c r="B1241" s="25" t="inlineStr">
        <is>
          <t>67075</t>
        </is>
      </c>
      <c r="C1241" s="25" t="inlineStr">
        <is>
          <t>TWISTED SHOTZ SEX ON THE BEACH</t>
        </is>
      </c>
      <c r="D1241" s="25" t="inlineStr">
        <is>
          <t>100ml</t>
        </is>
      </c>
      <c r="E1241" s="27" t="n">
        <v>167</v>
      </c>
      <c r="F1241" s="27" t="n">
        <v>54</v>
      </c>
      <c r="G1241" s="27" t="n">
        <v>18</v>
      </c>
      <c r="H1241" s="28" t="n">
        <v>86.54000000000001</v>
      </c>
      <c r="I1241" s="28" t="n">
        <v>0</v>
      </c>
      <c r="J1241" s="94" t="inlineStr">
        <is>
          <t>False</t>
        </is>
      </c>
      <c r="K1241" s="28" t="n">
        <v>0</v>
      </c>
      <c r="L1241" s="25" t="inlineStr">
        <is>
          <t>COCKTAILS</t>
        </is>
      </c>
      <c r="M1241" s="25" t="inlineStr">
        <is>
          <t>MHW LTD</t>
        </is>
      </c>
      <c r="N1241" s="25" t="inlineStr">
        <is>
          <t>040010-SOUTHERN GLAZERS WINE AND SPIRITS OF MISSISSIPPI LLC</t>
        </is>
      </c>
      <c r="O1241" s="25" t="n"/>
      <c r="P1241" s="25" t="inlineStr">
        <is>
          <t>10766427003457</t>
        </is>
      </c>
      <c r="Q1241" s="25" t="inlineStr">
        <is>
          <t>766427003443</t>
        </is>
      </c>
      <c r="R1241" s="78" t="n">
        <v>42370</v>
      </c>
    </row>
    <row r="1242">
      <c r="A1242" t="inlineStr">
        <is>
          <t>or item code =</t>
        </is>
      </c>
      <c r="B1242" s="25" t="inlineStr">
        <is>
          <t>383950</t>
        </is>
      </c>
      <c r="C1242" s="25" t="inlineStr">
        <is>
          <t>UMBERTO FIORE MOSCATO D' ASTI</t>
        </is>
      </c>
      <c r="D1242" s="25" t="inlineStr">
        <is>
          <t>750ml</t>
        </is>
      </c>
      <c r="E1242" s="27" t="n">
        <v>164</v>
      </c>
      <c r="F1242" s="27" t="n">
        <v>30</v>
      </c>
      <c r="G1242" s="27" t="n">
        <v>12</v>
      </c>
      <c r="H1242" s="28" t="n">
        <v>133.95</v>
      </c>
      <c r="I1242" s="28" t="n">
        <v>0</v>
      </c>
      <c r="J1242" s="94" t="inlineStr">
        <is>
          <t>False</t>
        </is>
      </c>
      <c r="K1242" s="28" t="n">
        <v>0</v>
      </c>
      <c r="L1242" s="25" t="inlineStr">
        <is>
          <t>SPRKLNG, CHMPGNE, ETC.</t>
        </is>
      </c>
      <c r="M1242" s="25" t="inlineStr">
        <is>
          <t>AVENIU BRANDS</t>
        </is>
      </c>
      <c r="N1242" s="25" t="inlineStr">
        <is>
          <t>040010-SOUTHERN GLAZERS WINE AND SPIRITS OF MISSISSIPPI LLC</t>
        </is>
      </c>
      <c r="O1242" s="25" t="n"/>
      <c r="P1242" s="25" t="inlineStr">
        <is>
          <t>40021893752317</t>
        </is>
      </c>
      <c r="Q1242" s="25" t="inlineStr">
        <is>
          <t>0021893752319</t>
        </is>
      </c>
      <c r="R1242" s="78" t="n">
        <v>44470</v>
      </c>
    </row>
    <row r="1243">
      <c r="A1243" t="inlineStr">
        <is>
          <t>or item code =</t>
        </is>
      </c>
      <c r="B1243" s="25" t="inlineStr">
        <is>
          <t>26966</t>
        </is>
      </c>
      <c r="C1243" s="25" t="inlineStr">
        <is>
          <t>UNCLE NEAREST 1856 AGED PREMIUM WHISKEY</t>
        </is>
      </c>
      <c r="D1243" s="25" t="inlineStr">
        <is>
          <t>750ml</t>
        </is>
      </c>
      <c r="E1243" s="27" t="n">
        <v>0</v>
      </c>
      <c r="F1243" s="27" t="n">
        <v>0</v>
      </c>
      <c r="G1243" s="27" t="n">
        <v>6</v>
      </c>
      <c r="H1243" s="28" t="n">
        <v>232.96</v>
      </c>
      <c r="I1243" s="28" t="n">
        <v>0</v>
      </c>
      <c r="J1243" s="94" t="inlineStr">
        <is>
          <t>False</t>
        </is>
      </c>
      <c r="K1243" s="28" t="n">
        <v>0</v>
      </c>
      <c r="L1243" s="25" t="inlineStr">
        <is>
          <t>WHISKEY - TENNESSEE</t>
        </is>
      </c>
      <c r="M1243" s="25" t="inlineStr">
        <is>
          <t>PARK STREET IMPORTS</t>
        </is>
      </c>
      <c r="N1243" s="25" t="inlineStr">
        <is>
          <t>040002-RNDC-MAGNOLIA</t>
        </is>
      </c>
      <c r="O1243" s="25" t="n"/>
      <c r="P1243" s="25" t="n"/>
      <c r="Q1243" s="25" t="inlineStr">
        <is>
          <t>0040232555442</t>
        </is>
      </c>
      <c r="R1243" s="78" t="n">
        <v>44562</v>
      </c>
    </row>
    <row r="1244">
      <c r="A1244" t="inlineStr">
        <is>
          <t>or item code =</t>
        </is>
      </c>
      <c r="B1244" s="25" t="inlineStr">
        <is>
          <t>26707</t>
        </is>
      </c>
      <c r="C1244" s="25" t="inlineStr">
        <is>
          <t>UNCLE NEAREST 1884 SMALL BATCH WHISKEY</t>
        </is>
      </c>
      <c r="D1244" s="25" t="inlineStr">
        <is>
          <t>750ml</t>
        </is>
      </c>
      <c r="E1244" s="27" t="n">
        <v>0</v>
      </c>
      <c r="F1244" s="27" t="n">
        <v>200</v>
      </c>
      <c r="G1244" s="27" t="n">
        <v>6</v>
      </c>
      <c r="H1244" s="28" t="n">
        <v>201.94</v>
      </c>
      <c r="I1244" s="28" t="n">
        <v>0</v>
      </c>
      <c r="J1244" s="94" t="inlineStr">
        <is>
          <t>False</t>
        </is>
      </c>
      <c r="K1244" s="28" t="n">
        <v>0</v>
      </c>
      <c r="L1244" s="25" t="inlineStr">
        <is>
          <t>WHISKEY - TENNESSEE</t>
        </is>
      </c>
      <c r="M1244" s="25" t="inlineStr">
        <is>
          <t>PARK STREET IMPORTS</t>
        </is>
      </c>
      <c r="N1244" s="25" t="inlineStr">
        <is>
          <t>040002-RNDC-MAGNOLIA</t>
        </is>
      </c>
      <c r="O1244" s="25" t="n"/>
      <c r="P1244" s="25" t="inlineStr">
        <is>
          <t>10040232379120</t>
        </is>
      </c>
      <c r="Q1244" s="25" t="inlineStr">
        <is>
          <t>040232379123</t>
        </is>
      </c>
      <c r="R1244" s="78" t="n">
        <v>44927</v>
      </c>
    </row>
    <row r="1245">
      <c r="A1245" t="inlineStr">
        <is>
          <t>or item code =</t>
        </is>
      </c>
      <c r="B1245" s="25" t="inlineStr">
        <is>
          <t>32650</t>
        </is>
      </c>
      <c r="C1245" s="25" t="inlineStr">
        <is>
          <t>UNCLE VAL'S BOTANICAL GIN</t>
        </is>
      </c>
      <c r="D1245" s="25" t="inlineStr">
        <is>
          <t>750ml</t>
        </is>
      </c>
      <c r="E1245" s="27" t="n">
        <v>19</v>
      </c>
      <c r="F1245" s="27" t="n">
        <v>25</v>
      </c>
      <c r="G1245" s="27" t="n">
        <v>6</v>
      </c>
      <c r="H1245" s="28" t="n">
        <v>154.49</v>
      </c>
      <c r="I1245" s="28" t="n">
        <v>0</v>
      </c>
      <c r="J1245" s="94" t="inlineStr">
        <is>
          <t>False</t>
        </is>
      </c>
      <c r="K1245" s="28" t="n">
        <v>0</v>
      </c>
      <c r="L1245" s="25" t="inlineStr">
        <is>
          <t>GIN</t>
        </is>
      </c>
      <c r="M1245" s="25" t="inlineStr">
        <is>
          <t>3 BADGE BEVERAGE CORPORATION DBA 3 BADGE MIXOLOGY</t>
        </is>
      </c>
      <c r="N1245" s="25" t="inlineStr">
        <is>
          <t>040002-RNDC-MAGNOLIA</t>
        </is>
      </c>
      <c r="O1245" s="25" t="n"/>
      <c r="P1245" s="25" t="inlineStr">
        <is>
          <t>10856442005311</t>
        </is>
      </c>
      <c r="Q1245" s="25" t="inlineStr">
        <is>
          <t>856442005314</t>
        </is>
      </c>
      <c r="R1245" s="78" t="n">
        <v>42279</v>
      </c>
    </row>
    <row r="1246">
      <c r="A1246" t="inlineStr">
        <is>
          <t>or item code =</t>
        </is>
      </c>
      <c r="B1246" s="25" t="inlineStr">
        <is>
          <t>41693</t>
        </is>
      </c>
      <c r="C1246" s="25" t="inlineStr">
        <is>
          <t>UV BLUE RASPBERRY VODKA</t>
        </is>
      </c>
      <c r="D1246" s="25" t="inlineStr">
        <is>
          <t>750ml</t>
        </is>
      </c>
      <c r="E1246" s="27" t="n">
        <v>0</v>
      </c>
      <c r="F1246" s="27" t="n">
        <v>15</v>
      </c>
      <c r="G1246" s="27" t="n">
        <v>12</v>
      </c>
      <c r="H1246" s="28" t="n">
        <v>103.72</v>
      </c>
      <c r="I1246" s="28" t="n">
        <v>0</v>
      </c>
      <c r="J1246" s="94" t="inlineStr">
        <is>
          <t>False</t>
        </is>
      </c>
      <c r="K1246" s="28" t="n">
        <v>0</v>
      </c>
      <c r="L1246" s="25" t="inlineStr">
        <is>
          <t>VODKA</t>
        </is>
      </c>
      <c r="M1246" s="25" t="inlineStr">
        <is>
          <t>UNITED STATES DISTILLED PRODUCTS DBA PHILLIPS PRODUCTS COMPANY</t>
        </is>
      </c>
      <c r="N1246" s="25" t="inlineStr">
        <is>
          <t>040010-SOUTHERN GLAZERS WINE AND SPIRITS OF MISSISSIPPI LLC</t>
        </is>
      </c>
      <c r="O1246" s="25" t="n"/>
      <c r="P1246" s="25" t="inlineStr">
        <is>
          <t>10087116014487</t>
        </is>
      </c>
      <c r="Q1246" s="25" t="inlineStr">
        <is>
          <t>0087116014480</t>
        </is>
      </c>
      <c r="R1246" s="78" t="n">
        <v>42370</v>
      </c>
    </row>
    <row r="1247">
      <c r="A1247" t="inlineStr">
        <is>
          <t>or item code =</t>
        </is>
      </c>
      <c r="B1247" s="25" t="inlineStr">
        <is>
          <t>21876</t>
        </is>
      </c>
      <c r="C1247" s="25" t="inlineStr">
        <is>
          <t>VERY OLD BARTON 86</t>
        </is>
      </c>
      <c r="D1247" s="25" t="inlineStr">
        <is>
          <t>750ml</t>
        </is>
      </c>
      <c r="E1247" s="27" t="n">
        <v>0</v>
      </c>
      <c r="F1247" s="27" t="n">
        <v>1</v>
      </c>
      <c r="G1247" s="27" t="n">
        <v>12</v>
      </c>
      <c r="H1247" s="28" t="n">
        <v>98.59</v>
      </c>
      <c r="I1247" s="28" t="n">
        <v>0</v>
      </c>
      <c r="J1247" s="94" t="inlineStr">
        <is>
          <t>False</t>
        </is>
      </c>
      <c r="K1247" s="28" t="n">
        <v>0</v>
      </c>
      <c r="L1247" s="25" t="inlineStr">
        <is>
          <t>WHISKEY - STR BOURBON</t>
        </is>
      </c>
      <c r="M1247" s="25" t="inlineStr">
        <is>
          <t>SAZERAC COMPANY</t>
        </is>
      </c>
      <c r="N1247" s="25" t="inlineStr">
        <is>
          <t>040002-RNDC-MAGNOLIA</t>
        </is>
      </c>
      <c r="O1247" s="25" t="n"/>
      <c r="P1247" s="25" t="inlineStr">
        <is>
          <t>10089000750860</t>
        </is>
      </c>
      <c r="Q1247" s="25" t="inlineStr">
        <is>
          <t>080660214856</t>
        </is>
      </c>
      <c r="R1247" s="78" t="n">
        <v>42370</v>
      </c>
    </row>
    <row r="1248">
      <c r="A1248" t="inlineStr">
        <is>
          <t>or item code =</t>
        </is>
      </c>
      <c r="B1248" s="25" t="inlineStr">
        <is>
          <t>21878</t>
        </is>
      </c>
      <c r="C1248" s="25" t="inlineStr">
        <is>
          <t>VERY OLD BARTON 86</t>
        </is>
      </c>
      <c r="D1248" s="25" t="inlineStr">
        <is>
          <t>1.75L</t>
        </is>
      </c>
      <c r="E1248" s="27" t="n">
        <v>0</v>
      </c>
      <c r="F1248" s="27" t="n">
        <v>2</v>
      </c>
      <c r="G1248" s="27" t="n">
        <v>6</v>
      </c>
      <c r="H1248" s="28" t="n">
        <v>102.87</v>
      </c>
      <c r="I1248" s="28" t="n">
        <v>0</v>
      </c>
      <c r="J1248" s="94" t="inlineStr">
        <is>
          <t>False</t>
        </is>
      </c>
      <c r="K1248" s="28" t="n">
        <v>0</v>
      </c>
      <c r="L1248" s="25" t="inlineStr">
        <is>
          <t>WHISKEY - STR BOURBON</t>
        </is>
      </c>
      <c r="M1248" s="25" t="inlineStr">
        <is>
          <t>SAZERAC COMPANY</t>
        </is>
      </c>
      <c r="N1248" s="25" t="inlineStr">
        <is>
          <t>040002-RNDC-MAGNOLIA</t>
        </is>
      </c>
      <c r="O1248" s="25" t="n"/>
      <c r="P1248" s="25" t="inlineStr">
        <is>
          <t>10080660214815</t>
        </is>
      </c>
      <c r="Q1248" s="25" t="inlineStr">
        <is>
          <t>080660214818</t>
        </is>
      </c>
      <c r="R1248" s="78" t="n">
        <v>42370</v>
      </c>
    </row>
    <row r="1249">
      <c r="A1249" t="inlineStr">
        <is>
          <t>or item code =</t>
        </is>
      </c>
      <c r="B1249" s="25" t="inlineStr">
        <is>
          <t>704050</t>
        </is>
      </c>
      <c r="C1249" s="25" t="inlineStr">
        <is>
          <t>VEUVE CLICQUOT BRUT YELLOW LABEL</t>
        </is>
      </c>
      <c r="D1249" s="25" t="inlineStr">
        <is>
          <t>750ml</t>
        </is>
      </c>
      <c r="E1249" s="27" t="n">
        <v>266</v>
      </c>
      <c r="F1249" s="27" t="n">
        <v>31</v>
      </c>
      <c r="G1249" s="27" t="n">
        <v>12</v>
      </c>
      <c r="H1249" s="28" t="n">
        <v>586.58</v>
      </c>
      <c r="I1249" s="28" t="n">
        <v>0</v>
      </c>
      <c r="J1249" s="94" t="inlineStr">
        <is>
          <t>False</t>
        </is>
      </c>
      <c r="K1249" s="28" t="n">
        <v>0</v>
      </c>
      <c r="L1249" s="25" t="inlineStr">
        <is>
          <t>SPRKLNG, CHMPGNE, ETC.</t>
        </is>
      </c>
      <c r="M1249" s="25" t="inlineStr">
        <is>
          <t>MOET HENNESSY USA</t>
        </is>
      </c>
      <c r="N1249" s="25" t="inlineStr">
        <is>
          <t>040010-SOUTHERN GLAZERS WINE AND SPIRITS OF MISSISSIPPI LLC</t>
        </is>
      </c>
      <c r="O1249" s="25" t="n"/>
      <c r="P1249" s="25" t="inlineStr">
        <is>
          <t>10081753050204</t>
        </is>
      </c>
      <c r="Q1249" s="25" t="inlineStr">
        <is>
          <t>0081753050207</t>
        </is>
      </c>
      <c r="R1249" s="78" t="n">
        <v>42370</v>
      </c>
    </row>
    <row r="1250">
      <c r="A1250" t="inlineStr">
        <is>
          <t>or item code =</t>
        </is>
      </c>
      <c r="B1250" s="25" t="inlineStr">
        <is>
          <t>704035</t>
        </is>
      </c>
      <c r="C1250" s="25" t="inlineStr">
        <is>
          <t>VEUVE CLICQUOT ROSE</t>
        </is>
      </c>
      <c r="D1250" s="25" t="inlineStr">
        <is>
          <t>750ml</t>
        </is>
      </c>
      <c r="E1250" s="27" t="n">
        <v>84</v>
      </c>
      <c r="F1250" s="27" t="n">
        <v>9</v>
      </c>
      <c r="G1250" s="27" t="n">
        <v>12</v>
      </c>
      <c r="H1250" s="28" t="n">
        <v>611.7</v>
      </c>
      <c r="I1250" s="28" t="n">
        <v>0</v>
      </c>
      <c r="J1250" s="94" t="inlineStr">
        <is>
          <t>False</t>
        </is>
      </c>
      <c r="K1250" s="28" t="n">
        <v>0</v>
      </c>
      <c r="L1250" s="25" t="inlineStr">
        <is>
          <t>SPRKLNG, CHMPGNE, ETC.</t>
        </is>
      </c>
      <c r="M1250" s="25" t="inlineStr">
        <is>
          <t>MOET HENNESSY USA</t>
        </is>
      </c>
      <c r="N1250" s="25" t="inlineStr">
        <is>
          <t>040010-SOUTHERN GLAZERS WINE AND SPIRITS OF MISSISSIPPI LLC</t>
        </is>
      </c>
      <c r="O1250" s="25" t="n"/>
      <c r="P1250" s="25" t="inlineStr">
        <is>
          <t>10081753802476</t>
        </is>
      </c>
      <c r="Q1250" s="25" t="inlineStr">
        <is>
          <t>081753802479</t>
        </is>
      </c>
      <c r="R1250" s="78" t="n">
        <v>42370</v>
      </c>
    </row>
    <row r="1251">
      <c r="A1251" t="inlineStr">
        <is>
          <t>or item code =</t>
        </is>
      </c>
      <c r="B1251" s="25" t="inlineStr">
        <is>
          <t>735192</t>
        </is>
      </c>
      <c r="C1251" s="25" t="inlineStr">
        <is>
          <t>VILLA JOLANDA PEACH MOSCATO</t>
        </is>
      </c>
      <c r="D1251" s="25" t="inlineStr">
        <is>
          <t>750ml</t>
        </is>
      </c>
      <c r="E1251" s="27" t="n">
        <v>0</v>
      </c>
      <c r="F1251" s="27" t="n">
        <v>1</v>
      </c>
      <c r="G1251" s="27" t="n">
        <v>12</v>
      </c>
      <c r="H1251" s="28" t="n">
        <v>126.25</v>
      </c>
      <c r="I1251" s="28" t="n">
        <v>0</v>
      </c>
      <c r="J1251" s="94" t="inlineStr">
        <is>
          <t>False</t>
        </is>
      </c>
      <c r="K1251" s="28" t="n">
        <v>0</v>
      </c>
      <c r="L1251" s="25" t="inlineStr">
        <is>
          <t>OTHER FLAVORED WINES</t>
        </is>
      </c>
      <c r="M1251" s="25" t="inlineStr">
        <is>
          <t>INTERNATIONAL WINES INC</t>
        </is>
      </c>
      <c r="N1251" s="25" t="inlineStr">
        <is>
          <t>040017-INTERNATIONAL WINES</t>
        </is>
      </c>
      <c r="O1251" s="25" t="n"/>
      <c r="P1251" s="25" t="inlineStr">
        <is>
          <t>00015643257896</t>
        </is>
      </c>
      <c r="Q1251" s="25" t="n"/>
      <c r="R1251" s="78" t="n">
        <v>44593</v>
      </c>
    </row>
    <row r="1252">
      <c r="A1252" t="inlineStr">
        <is>
          <t>or item code =</t>
        </is>
      </c>
      <c r="B1252" s="25" t="inlineStr">
        <is>
          <t>395464</t>
        </is>
      </c>
      <c r="C1252" s="25" t="inlineStr">
        <is>
          <t>VOGA MOSCATO PROVINCIA DI PAVIA IGT</t>
        </is>
      </c>
      <c r="D1252" s="25" t="inlineStr">
        <is>
          <t>750ml</t>
        </is>
      </c>
      <c r="E1252" s="27" t="n">
        <v>71</v>
      </c>
      <c r="F1252" s="27" t="n">
        <v>37</v>
      </c>
      <c r="G1252" s="27" t="n">
        <v>15</v>
      </c>
      <c r="H1252" s="28" t="n">
        <v>129.42</v>
      </c>
      <c r="I1252" s="28" t="n">
        <v>0</v>
      </c>
      <c r="J1252" s="94" t="inlineStr">
        <is>
          <t>False</t>
        </is>
      </c>
      <c r="K1252" s="28" t="n">
        <v>0</v>
      </c>
      <c r="L1252" s="25" t="inlineStr">
        <is>
          <t>MOSCATO WHITE</t>
        </is>
      </c>
      <c r="M1252" s="25" t="inlineStr">
        <is>
          <t>ENOVATION BRANDS INC</t>
        </is>
      </c>
      <c r="N1252" s="25" t="inlineStr">
        <is>
          <t>040010-SOUTHERN GLAZERS WINE AND SPIRITS OF MISSISSIPPI LLC</t>
        </is>
      </c>
      <c r="O1252" s="25" t="n"/>
      <c r="P1252" s="25" t="inlineStr">
        <is>
          <t>40021893796557</t>
        </is>
      </c>
      <c r="Q1252" s="25" t="inlineStr">
        <is>
          <t>0021893796559</t>
        </is>
      </c>
      <c r="R1252" s="78" t="n">
        <v>42370</v>
      </c>
    </row>
    <row r="1253">
      <c r="A1253" t="inlineStr">
        <is>
          <t>or item code =</t>
        </is>
      </c>
      <c r="B1253" s="25" t="inlineStr">
        <is>
          <t>395461</t>
        </is>
      </c>
      <c r="C1253" s="25" t="inlineStr">
        <is>
          <t>VOGA PINOT GRIGIO</t>
        </is>
      </c>
      <c r="D1253" s="25" t="inlineStr">
        <is>
          <t>750ml</t>
        </is>
      </c>
      <c r="E1253" s="27" t="n">
        <v>114</v>
      </c>
      <c r="F1253" s="27" t="n">
        <v>39</v>
      </c>
      <c r="G1253" s="27" t="n">
        <v>15</v>
      </c>
      <c r="H1253" s="28" t="n">
        <v>129.42</v>
      </c>
      <c r="I1253" s="28" t="n">
        <v>0</v>
      </c>
      <c r="J1253" s="94" t="inlineStr">
        <is>
          <t>False</t>
        </is>
      </c>
      <c r="K1253" s="28" t="n">
        <v>0</v>
      </c>
      <c r="L1253" s="25" t="inlineStr">
        <is>
          <t>PINOT GRIS/PINOT GRIGIO</t>
        </is>
      </c>
      <c r="M1253" s="25" t="inlineStr">
        <is>
          <t>ENOVATION BRANDS INC</t>
        </is>
      </c>
      <c r="N1253" s="25" t="inlineStr">
        <is>
          <t>040010-SOUTHERN GLAZERS WINE AND SPIRITS OF MISSISSIPPI LLC</t>
        </is>
      </c>
      <c r="O1253" s="25" t="n"/>
      <c r="P1253" s="25" t="inlineStr">
        <is>
          <t>90021893795081</t>
        </is>
      </c>
      <c r="Q1253" s="25" t="inlineStr">
        <is>
          <t>0021893795088</t>
        </is>
      </c>
      <c r="R1253" s="78" t="n">
        <v>42370</v>
      </c>
    </row>
    <row r="1254">
      <c r="A1254" t="inlineStr">
        <is>
          <t>or item code =</t>
        </is>
      </c>
      <c r="B1254" s="25" t="inlineStr">
        <is>
          <t>90916</t>
        </is>
      </c>
      <c r="C1254" s="25" t="inlineStr">
        <is>
          <t>WARRES PORT OTIMA 10YR TAWNY</t>
        </is>
      </c>
      <c r="D1254" s="25" t="inlineStr">
        <is>
          <t>500ml</t>
        </is>
      </c>
      <c r="E1254" s="27" t="n">
        <v>5</v>
      </c>
      <c r="F1254" s="27" t="n">
        <v>26</v>
      </c>
      <c r="G1254" s="27" t="n">
        <v>6</v>
      </c>
      <c r="H1254" s="28" t="n">
        <v>129.78</v>
      </c>
      <c r="I1254" s="28" t="n">
        <v>0</v>
      </c>
      <c r="J1254" s="94" t="inlineStr">
        <is>
          <t>False</t>
        </is>
      </c>
      <c r="K1254" s="28" t="n">
        <v>0</v>
      </c>
      <c r="L1254" s="25" t="inlineStr">
        <is>
          <t>DESSERT - PORT</t>
        </is>
      </c>
      <c r="M1254" s="25" t="inlineStr">
        <is>
          <t>VINEYARD BRANDS LLC</t>
        </is>
      </c>
      <c r="N1254" s="25" t="inlineStr">
        <is>
          <t>040003-RNDC-VINTAGE</t>
        </is>
      </c>
      <c r="O1254" s="25" t="n"/>
      <c r="P1254" s="25" t="inlineStr">
        <is>
          <t>10089419003168</t>
        </is>
      </c>
      <c r="Q1254" s="25" t="inlineStr">
        <is>
          <t>0089419003161</t>
        </is>
      </c>
      <c r="R1254" s="78" t="n">
        <v>42853</v>
      </c>
    </row>
    <row r="1255">
      <c r="A1255" t="inlineStr">
        <is>
          <t>or item code =</t>
        </is>
      </c>
      <c r="B1255" s="25" t="inlineStr">
        <is>
          <t>38516</t>
        </is>
      </c>
      <c r="C1255" s="25" t="inlineStr">
        <is>
          <t>WHEATLEY VODKA</t>
        </is>
      </c>
      <c r="D1255" s="25" t="inlineStr">
        <is>
          <t>750ml</t>
        </is>
      </c>
      <c r="E1255" s="27" t="n">
        <v>77</v>
      </c>
      <c r="F1255" s="27" t="n">
        <v>38</v>
      </c>
      <c r="G1255" s="27" t="n">
        <v>12</v>
      </c>
      <c r="H1255" s="28" t="n">
        <v>172.53</v>
      </c>
      <c r="I1255" s="28" t="n">
        <v>11.99</v>
      </c>
      <c r="J1255" s="94" t="inlineStr">
        <is>
          <t>False</t>
        </is>
      </c>
      <c r="K1255" s="28" t="n">
        <v>0</v>
      </c>
      <c r="L1255" s="25" t="inlineStr">
        <is>
          <t>VODKA</t>
        </is>
      </c>
      <c r="M1255" s="25" t="inlineStr">
        <is>
          <t>SAZERAC COMPANY</t>
        </is>
      </c>
      <c r="N1255" s="25" t="inlineStr">
        <is>
          <t>040002-RNDC-MAGNOLIA</t>
        </is>
      </c>
      <c r="O1255" s="25" t="n"/>
      <c r="P1255" s="25" t="inlineStr">
        <is>
          <t>20088004401976</t>
        </is>
      </c>
      <c r="Q1255" s="25" t="inlineStr">
        <is>
          <t>0088004019761</t>
        </is>
      </c>
      <c r="R1255" s="78" t="n">
        <v>43096</v>
      </c>
    </row>
    <row r="1256">
      <c r="A1256" t="inlineStr">
        <is>
          <t>or item code =</t>
        </is>
      </c>
      <c r="B1256" s="25" t="inlineStr">
        <is>
          <t>15187</t>
        </is>
      </c>
      <c r="C1256" s="25" t="inlineStr">
        <is>
          <t>WHISTLEPIG 6 YEAR PIGGYBACK</t>
        </is>
      </c>
      <c r="D1256" s="25" t="inlineStr">
        <is>
          <t>750ml</t>
        </is>
      </c>
      <c r="E1256" s="27" t="n">
        <v>51</v>
      </c>
      <c r="F1256" s="27" t="n">
        <v>16</v>
      </c>
      <c r="G1256" s="27" t="n">
        <v>6</v>
      </c>
      <c r="H1256" s="28" t="n">
        <v>232.97</v>
      </c>
      <c r="I1256" s="28" t="n">
        <v>0</v>
      </c>
      <c r="J1256" s="94" t="inlineStr">
        <is>
          <t>False</t>
        </is>
      </c>
      <c r="K1256" s="28" t="n">
        <v>0</v>
      </c>
      <c r="L1256" s="25" t="inlineStr">
        <is>
          <t>WHISKEY - RYE</t>
        </is>
      </c>
      <c r="M1256" s="25" t="inlineStr">
        <is>
          <t>WHISTLEPIG LLC</t>
        </is>
      </c>
      <c r="N1256" s="25" t="inlineStr">
        <is>
          <t>040002-RNDC-MAGNOLIA</t>
        </is>
      </c>
      <c r="O1256" s="25" t="n"/>
      <c r="P1256" s="25" t="inlineStr">
        <is>
          <t>10850001901113</t>
        </is>
      </c>
      <c r="Q1256" s="25" t="inlineStr">
        <is>
          <t>850001901116</t>
        </is>
      </c>
      <c r="R1256" s="78" t="n">
        <v>44099</v>
      </c>
    </row>
    <row r="1257">
      <c r="A1257" t="inlineStr">
        <is>
          <t>or item code =</t>
        </is>
      </c>
      <c r="B1257" s="25" t="inlineStr">
        <is>
          <t>28137</t>
        </is>
      </c>
      <c r="C1257" s="25" t="inlineStr">
        <is>
          <t>WIDOW JANE 10YR STRAIGHT BOURBON WHISKEY</t>
        </is>
      </c>
      <c r="D1257" s="25" t="inlineStr">
        <is>
          <t>750ml</t>
        </is>
      </c>
      <c r="E1257" s="27" t="n">
        <v>60</v>
      </c>
      <c r="F1257" s="27" t="n">
        <v>31</v>
      </c>
      <c r="G1257" s="27" t="n">
        <v>6</v>
      </c>
      <c r="H1257" s="28" t="n">
        <v>366.65</v>
      </c>
      <c r="I1257" s="28" t="n">
        <v>0</v>
      </c>
      <c r="J1257" s="94" t="inlineStr">
        <is>
          <t>False</t>
        </is>
      </c>
      <c r="K1257" s="28" t="n">
        <v>0</v>
      </c>
      <c r="L1257" s="25" t="inlineStr">
        <is>
          <t>WHISKEY - STR BOURBON</t>
        </is>
      </c>
      <c r="M1257" s="25" t="inlineStr">
        <is>
          <t>PARK STREET IMPORTS</t>
        </is>
      </c>
      <c r="N1257" s="25" t="inlineStr">
        <is>
          <t>040010-SOUTHERN GLAZERS WINE AND SPIRITS OF MISSISSIPPI LLC</t>
        </is>
      </c>
      <c r="O1257" s="25" t="n"/>
      <c r="P1257" s="25" t="inlineStr">
        <is>
          <t>10856282005311</t>
        </is>
      </c>
      <c r="Q1257" s="25" t="inlineStr">
        <is>
          <t>856282005314</t>
        </is>
      </c>
      <c r="R1257" s="78" t="n">
        <v>44228</v>
      </c>
    </row>
    <row r="1258">
      <c r="A1258" t="inlineStr">
        <is>
          <t>or item code =</t>
        </is>
      </c>
      <c r="B1258" s="25" t="inlineStr">
        <is>
          <t>22154</t>
        </is>
      </c>
      <c r="C1258" s="25" t="inlineStr">
        <is>
          <t>WILD TURKEY 101 STRAIGHT BOURBON</t>
        </is>
      </c>
      <c r="D1258" s="25" t="inlineStr">
        <is>
          <t>375ml</t>
        </is>
      </c>
      <c r="E1258" s="27" t="n">
        <v>130</v>
      </c>
      <c r="F1258" s="27" t="n">
        <v>78</v>
      </c>
      <c r="G1258" s="27" t="n">
        <v>12</v>
      </c>
      <c r="H1258" s="28" t="n">
        <v>112.86</v>
      </c>
      <c r="I1258" s="28" t="n">
        <v>0</v>
      </c>
      <c r="J1258" s="94" t="inlineStr">
        <is>
          <t>False</t>
        </is>
      </c>
      <c r="K1258" s="28" t="n">
        <v>0</v>
      </c>
      <c r="L1258" s="25" t="inlineStr">
        <is>
          <t>WHISKEY - STR BOURBON</t>
        </is>
      </c>
      <c r="M1258" s="25" t="inlineStr">
        <is>
          <t>CAMPARI ENTERPRISES, INC.</t>
        </is>
      </c>
      <c r="N1258" s="25" t="inlineStr">
        <is>
          <t>040010-SOUTHERN GLAZERS WINE AND SPIRITS OF MISSISSIPPI LLC</t>
        </is>
      </c>
      <c r="O1258" s="25" t="n"/>
      <c r="P1258" s="25" t="inlineStr">
        <is>
          <t>10721059893753</t>
        </is>
      </c>
      <c r="Q1258" s="25" t="inlineStr">
        <is>
          <t>0721059893756</t>
        </is>
      </c>
      <c r="R1258" s="78" t="n">
        <v>42370</v>
      </c>
    </row>
    <row r="1259">
      <c r="A1259" t="inlineStr">
        <is>
          <t>or item code =</t>
        </is>
      </c>
      <c r="B1259" s="25" t="inlineStr">
        <is>
          <t>22156</t>
        </is>
      </c>
      <c r="C1259" s="25" t="inlineStr">
        <is>
          <t>WILD TURKEY 101 STRAIGHT BOURBON</t>
        </is>
      </c>
      <c r="D1259" s="25" t="inlineStr">
        <is>
          <t>750ml</t>
        </is>
      </c>
      <c r="E1259" s="27" t="n">
        <v>246</v>
      </c>
      <c r="F1259" s="27" t="n">
        <v>123</v>
      </c>
      <c r="G1259" s="27" t="n">
        <v>12</v>
      </c>
      <c r="H1259" s="28" t="n">
        <v>231.86</v>
      </c>
      <c r="I1259" s="28" t="n">
        <v>0</v>
      </c>
      <c r="J1259" s="94" t="inlineStr">
        <is>
          <t>False</t>
        </is>
      </c>
      <c r="K1259" s="28" t="n">
        <v>0</v>
      </c>
      <c r="L1259" s="25" t="inlineStr">
        <is>
          <t>WHISKEY - STR BOURBON</t>
        </is>
      </c>
      <c r="M1259" s="25" t="inlineStr">
        <is>
          <t>CAMPARI ENTERPRISES, INC.</t>
        </is>
      </c>
      <c r="N1259" s="25" t="inlineStr">
        <is>
          <t>040010-SOUTHERN GLAZERS WINE AND SPIRITS OF MISSISSIPPI LLC</t>
        </is>
      </c>
      <c r="O1259" s="25" t="n"/>
      <c r="P1259" s="25" t="inlineStr">
        <is>
          <t>10721059897508</t>
        </is>
      </c>
      <c r="Q1259" s="25" t="inlineStr">
        <is>
          <t>0721059897501</t>
        </is>
      </c>
      <c r="R1259" s="78" t="n">
        <v>42370</v>
      </c>
    </row>
    <row r="1260">
      <c r="A1260" t="inlineStr">
        <is>
          <t>or item code =</t>
        </is>
      </c>
      <c r="B1260" s="25" t="inlineStr">
        <is>
          <t>22121</t>
        </is>
      </c>
      <c r="C1260" s="25" t="inlineStr">
        <is>
          <t>WILD TURKEY 81 STRAIGHT BOURBON</t>
        </is>
      </c>
      <c r="D1260" s="25" t="inlineStr">
        <is>
          <t>750ml</t>
        </is>
      </c>
      <c r="E1260" s="27" t="n">
        <v>262</v>
      </c>
      <c r="F1260" s="27" t="n">
        <v>52</v>
      </c>
      <c r="G1260" s="27" t="n">
        <v>12</v>
      </c>
      <c r="H1260" s="28" t="n">
        <v>203.87</v>
      </c>
      <c r="I1260" s="28" t="n">
        <v>0</v>
      </c>
      <c r="J1260" s="94" t="inlineStr">
        <is>
          <t>False</t>
        </is>
      </c>
      <c r="K1260" s="28" t="n">
        <v>0</v>
      </c>
      <c r="L1260" s="25" t="inlineStr">
        <is>
          <t>WHISKEY - STR BOURBON</t>
        </is>
      </c>
      <c r="M1260" s="25" t="inlineStr">
        <is>
          <t>CAMPARI ENTERPRISES, INC.</t>
        </is>
      </c>
      <c r="N1260" s="25" t="inlineStr">
        <is>
          <t>040010-SOUTHERN GLAZERS WINE AND SPIRITS OF MISSISSIPPI LLC</t>
        </is>
      </c>
      <c r="O1260" s="25" t="n"/>
      <c r="P1260" s="25" t="n"/>
      <c r="Q1260" s="25" t="inlineStr">
        <is>
          <t>0721059847506</t>
        </is>
      </c>
      <c r="R1260" s="78" t="n">
        <v>42370</v>
      </c>
    </row>
    <row r="1261">
      <c r="A1261" t="inlineStr">
        <is>
          <t>or item code =</t>
        </is>
      </c>
      <c r="B1261" s="25" t="inlineStr">
        <is>
          <t>77779</t>
        </is>
      </c>
      <c r="C1261" s="25" t="inlineStr">
        <is>
          <t>WILD TURKEY AMERICAN HONEY</t>
        </is>
      </c>
      <c r="D1261" s="25" t="inlineStr">
        <is>
          <t>1.75L</t>
        </is>
      </c>
      <c r="E1261" s="27" t="n">
        <v>40</v>
      </c>
      <c r="F1261" s="27" t="n">
        <v>43</v>
      </c>
      <c r="G1261" s="27" t="n">
        <v>6</v>
      </c>
      <c r="H1261" s="28" t="n">
        <v>222.65</v>
      </c>
      <c r="I1261" s="28" t="n">
        <v>0</v>
      </c>
      <c r="J1261" s="94" t="inlineStr">
        <is>
          <t>False</t>
        </is>
      </c>
      <c r="K1261" s="28" t="n">
        <v>0</v>
      </c>
      <c r="L1261" s="25" t="inlineStr">
        <is>
          <t>LIQUEURS AND CORDIALS</t>
        </is>
      </c>
      <c r="M1261" s="25" t="inlineStr">
        <is>
          <t>CAMPARI ENTERPRISES, INC.</t>
        </is>
      </c>
      <c r="N1261" s="25" t="inlineStr">
        <is>
          <t>040010-SOUTHERN GLAZERS WINE AND SPIRITS OF MISSISSIPPI LLC</t>
        </is>
      </c>
      <c r="O1261" s="25" t="n"/>
      <c r="P1261" s="25" t="inlineStr">
        <is>
          <t>10721059811757</t>
        </is>
      </c>
      <c r="Q1261" s="25" t="inlineStr">
        <is>
          <t>0721059811750</t>
        </is>
      </c>
      <c r="R1261" s="78" t="n">
        <v>42370</v>
      </c>
    </row>
    <row r="1262">
      <c r="A1262" t="inlineStr">
        <is>
          <t>or item code =</t>
        </is>
      </c>
      <c r="B1262" s="25" t="inlineStr">
        <is>
          <t>77776</t>
        </is>
      </c>
      <c r="C1262" s="25" t="inlineStr">
        <is>
          <t>WILD TURKEY AMERICAN HONEY</t>
        </is>
      </c>
      <c r="D1262" s="25" t="inlineStr">
        <is>
          <t>750ml</t>
        </is>
      </c>
      <c r="E1262" s="27" t="n">
        <v>196</v>
      </c>
      <c r="F1262" s="27" t="n">
        <v>115</v>
      </c>
      <c r="G1262" s="27" t="n">
        <v>12</v>
      </c>
      <c r="H1262" s="28" t="n">
        <v>213.37</v>
      </c>
      <c r="I1262" s="28" t="n">
        <v>0</v>
      </c>
      <c r="J1262" s="94" t="inlineStr">
        <is>
          <t>False</t>
        </is>
      </c>
      <c r="K1262" s="28" t="n">
        <v>0</v>
      </c>
      <c r="L1262" s="25" t="inlineStr">
        <is>
          <t>LIQUEURS AND CORDIALS</t>
        </is>
      </c>
      <c r="M1262" s="25" t="inlineStr">
        <is>
          <t>CAMPARI ENTERPRISES, INC.</t>
        </is>
      </c>
      <c r="N1262" s="25" t="inlineStr">
        <is>
          <t>040010-SOUTHERN GLAZERS WINE AND SPIRITS OF MISSISSIPPI LLC</t>
        </is>
      </c>
      <c r="O1262" s="25" t="n"/>
      <c r="P1262" s="25" t="inlineStr">
        <is>
          <t>10721059817506</t>
        </is>
      </c>
      <c r="Q1262" s="25" t="inlineStr">
        <is>
          <t>721059817509</t>
        </is>
      </c>
      <c r="R1262" s="78" t="n">
        <v>42370</v>
      </c>
    </row>
    <row r="1263">
      <c r="A1263" t="inlineStr">
        <is>
          <t>or item code =</t>
        </is>
      </c>
      <c r="B1263" s="25" t="inlineStr">
        <is>
          <t>77771</t>
        </is>
      </c>
      <c r="C1263" s="25" t="inlineStr">
        <is>
          <t>WILD TURKEY AMERICAN HONEY</t>
        </is>
      </c>
      <c r="D1263" s="25" t="inlineStr">
        <is>
          <t>50ml</t>
        </is>
      </c>
      <c r="E1263" s="27" t="n">
        <v>29</v>
      </c>
      <c r="F1263" s="27" t="n">
        <v>42</v>
      </c>
      <c r="G1263" s="27" t="n">
        <v>120</v>
      </c>
      <c r="H1263" s="28" t="n">
        <v>81.98</v>
      </c>
      <c r="I1263" s="28" t="n">
        <v>0</v>
      </c>
      <c r="J1263" s="94" t="inlineStr">
        <is>
          <t>False</t>
        </is>
      </c>
      <c r="K1263" s="28" t="n">
        <v>0</v>
      </c>
      <c r="L1263" s="25" t="inlineStr">
        <is>
          <t>LIQUEURS AND CORDIALS</t>
        </is>
      </c>
      <c r="M1263" s="25" t="inlineStr">
        <is>
          <t>CAMPARI ENTERPRISES, INC.</t>
        </is>
      </c>
      <c r="N1263" s="25" t="inlineStr">
        <is>
          <t>040010-SOUTHERN GLAZERS WINE AND SPIRITS OF MISSISSIPPI LLC</t>
        </is>
      </c>
      <c r="O1263" s="25" t="n"/>
      <c r="P1263" s="25" t="inlineStr">
        <is>
          <t>10721059815007</t>
        </is>
      </c>
      <c r="Q1263" s="25" t="inlineStr">
        <is>
          <t>0721059815000</t>
        </is>
      </c>
      <c r="R1263" s="78" t="n">
        <v>42370</v>
      </c>
    </row>
    <row r="1264">
      <c r="A1264" t="inlineStr">
        <is>
          <t>or item code =</t>
        </is>
      </c>
      <c r="B1264" s="25" t="inlineStr">
        <is>
          <t>77777</t>
        </is>
      </c>
      <c r="C1264" s="25" t="inlineStr">
        <is>
          <t>WILD TURKEY AMERICAN HONEY</t>
        </is>
      </c>
      <c r="D1264" s="25" t="inlineStr">
        <is>
          <t>375ml</t>
        </is>
      </c>
      <c r="E1264" s="27" t="n">
        <v>210</v>
      </c>
      <c r="F1264" s="27" t="n">
        <v>89</v>
      </c>
      <c r="G1264" s="27" t="n">
        <v>12</v>
      </c>
      <c r="H1264" s="28" t="n">
        <v>94.37</v>
      </c>
      <c r="I1264" s="28" t="n">
        <v>0</v>
      </c>
      <c r="J1264" s="94" t="inlineStr">
        <is>
          <t>False</t>
        </is>
      </c>
      <c r="K1264" s="28" t="n">
        <v>0</v>
      </c>
      <c r="L1264" s="25" t="inlineStr">
        <is>
          <t>LIQUEURS AND CORDIALS</t>
        </is>
      </c>
      <c r="M1264" s="25" t="inlineStr">
        <is>
          <t>CAMPARI ENTERPRISES, INC.</t>
        </is>
      </c>
      <c r="N1264" s="25" t="inlineStr">
        <is>
          <t>040010-SOUTHERN GLAZERS WINE AND SPIRITS OF MISSISSIPPI LLC</t>
        </is>
      </c>
      <c r="O1264" s="25" t="n"/>
      <c r="P1264" s="25" t="inlineStr">
        <is>
          <t>10721059813751</t>
        </is>
      </c>
      <c r="Q1264" s="25" t="inlineStr">
        <is>
          <t>0721059813754</t>
        </is>
      </c>
      <c r="R1264" s="78" t="n">
        <v>42370</v>
      </c>
    </row>
    <row r="1265">
      <c r="A1265" t="inlineStr">
        <is>
          <t>or item code =</t>
        </is>
      </c>
      <c r="B1265" s="25" t="inlineStr">
        <is>
          <t>21946</t>
        </is>
      </c>
      <c r="C1265" s="25" t="inlineStr">
        <is>
          <t>WILD TURKEY KENTUCKY SPIRIT SINGLE BARREL</t>
        </is>
      </c>
      <c r="D1265" s="25" t="inlineStr">
        <is>
          <t>750ml</t>
        </is>
      </c>
      <c r="E1265" s="27" t="n">
        <v>0</v>
      </c>
      <c r="F1265" s="27" t="n">
        <v>3</v>
      </c>
      <c r="G1265" s="27" t="n">
        <v>6</v>
      </c>
      <c r="H1265" s="28" t="n">
        <v>277.97</v>
      </c>
      <c r="I1265" s="28" t="n">
        <v>0</v>
      </c>
      <c r="J1265" s="94" t="inlineStr">
        <is>
          <t>False</t>
        </is>
      </c>
      <c r="K1265" s="28" t="n">
        <v>0</v>
      </c>
      <c r="L1265" s="25" t="inlineStr">
        <is>
          <t>WHISKEY - STR BOURBON</t>
        </is>
      </c>
      <c r="M1265" s="25" t="inlineStr">
        <is>
          <t>CAMPARI ENTERPRISES, INC.</t>
        </is>
      </c>
      <c r="N1265" s="25" t="inlineStr">
        <is>
          <t>040010-SOUTHERN GLAZERS WINE AND SPIRITS OF MISSISSIPPI LLC</t>
        </is>
      </c>
      <c r="O1265" s="25" t="n"/>
      <c r="P1265" s="25" t="inlineStr">
        <is>
          <t>10721059947500</t>
        </is>
      </c>
      <c r="Q1265" s="25" t="inlineStr">
        <is>
          <t>0721059947503</t>
        </is>
      </c>
      <c r="R1265" s="78" t="n">
        <v>44348</v>
      </c>
    </row>
    <row r="1266">
      <c r="A1266" t="inlineStr">
        <is>
          <t>or item code =</t>
        </is>
      </c>
      <c r="B1266" s="25" t="inlineStr">
        <is>
          <t>22102</t>
        </is>
      </c>
      <c r="C1266" s="25" t="inlineStr">
        <is>
          <t>WILD TURKEY LONGBRANCH</t>
        </is>
      </c>
      <c r="D1266" s="25" t="inlineStr">
        <is>
          <t>750ml</t>
        </is>
      </c>
      <c r="E1266" s="27" t="n">
        <v>442</v>
      </c>
      <c r="F1266" s="27" t="n">
        <v>71</v>
      </c>
      <c r="G1266" s="27" t="n">
        <v>6</v>
      </c>
      <c r="H1266" s="28" t="n">
        <v>182.78</v>
      </c>
      <c r="I1266" s="28" t="n">
        <v>11.99</v>
      </c>
      <c r="J1266" s="94" t="inlineStr">
        <is>
          <t>False</t>
        </is>
      </c>
      <c r="K1266" s="28" t="n">
        <v>0</v>
      </c>
      <c r="L1266" s="25" t="inlineStr">
        <is>
          <t>WHISKEY - KENTUCKY</t>
        </is>
      </c>
      <c r="M1266" s="25" t="inlineStr">
        <is>
          <t>CAMPARI ENTERPRISES, INC.</t>
        </is>
      </c>
      <c r="N1266" s="25" t="inlineStr">
        <is>
          <t>040010-SOUTHERN GLAZERS WINE AND SPIRITS OF MISSISSIPPI LLC</t>
        </is>
      </c>
      <c r="O1266" s="25" t="n"/>
      <c r="P1266" s="25" t="inlineStr">
        <is>
          <t>10721059002841</t>
        </is>
      </c>
      <c r="Q1266" s="25" t="inlineStr">
        <is>
          <t>721059002844</t>
        </is>
      </c>
      <c r="R1266" s="78" t="n">
        <v>43320</v>
      </c>
    </row>
    <row r="1267">
      <c r="A1267" t="inlineStr">
        <is>
          <t>or item code =</t>
        </is>
      </c>
      <c r="B1267" s="25" t="inlineStr">
        <is>
          <t>22075</t>
        </is>
      </c>
      <c r="C1267" s="25" t="inlineStr">
        <is>
          <t>WILDERNESS TRAIL BOURBON SMALL BATCH HIGH-RYE BIB</t>
        </is>
      </c>
      <c r="D1267" s="25" t="inlineStr">
        <is>
          <t>750ml</t>
        </is>
      </c>
      <c r="E1267" s="27" t="n">
        <v>2</v>
      </c>
      <c r="F1267" s="27" t="n">
        <v>0</v>
      </c>
      <c r="G1267" s="27" t="n">
        <v>6</v>
      </c>
      <c r="H1267" s="28" t="n">
        <v>261.4</v>
      </c>
      <c r="I1267" s="28" t="n">
        <v>0</v>
      </c>
      <c r="J1267" s="94" t="inlineStr">
        <is>
          <t>False</t>
        </is>
      </c>
      <c r="K1267" s="28" t="n">
        <v>0</v>
      </c>
      <c r="L1267" s="25" t="inlineStr">
        <is>
          <t>WHISKEY - STR BOURBON</t>
        </is>
      </c>
      <c r="M1267" s="25" t="inlineStr">
        <is>
          <t>CAMPARI ENTERPRISES, INC.</t>
        </is>
      </c>
      <c r="N1267" s="25" t="inlineStr">
        <is>
          <t>040010-SOUTHERN GLAZERS WINE AND SPIRITS OF MISSISSIPPI LLC</t>
        </is>
      </c>
      <c r="O1267" s="25" t="inlineStr">
        <is>
          <t>Temporarily Unavailable for Sale</t>
        </is>
      </c>
      <c r="P1267" s="25" t="n"/>
      <c r="Q1267" s="25" t="inlineStr">
        <is>
          <t>046149410508</t>
        </is>
      </c>
      <c r="R1267" s="78" t="n">
        <v>44929</v>
      </c>
    </row>
    <row r="1268">
      <c r="A1268" t="inlineStr">
        <is>
          <t>or item code =</t>
        </is>
      </c>
      <c r="B1268" s="25" t="inlineStr">
        <is>
          <t>22077</t>
        </is>
      </c>
      <c r="C1268" s="25" t="inlineStr">
        <is>
          <t>WILDERNESS TRAIL BOURBON SMALL BATCH WHEATED BIB</t>
        </is>
      </c>
      <c r="D1268" s="25" t="inlineStr">
        <is>
          <t>750ml</t>
        </is>
      </c>
      <c r="E1268" s="27" t="n">
        <v>0</v>
      </c>
      <c r="F1268" s="27" t="n">
        <v>0</v>
      </c>
      <c r="G1268" s="27" t="n">
        <v>6</v>
      </c>
      <c r="H1268" s="28" t="n">
        <v>280.52</v>
      </c>
      <c r="I1268" s="28" t="n">
        <v>0</v>
      </c>
      <c r="J1268" s="94" t="inlineStr">
        <is>
          <t>False</t>
        </is>
      </c>
      <c r="K1268" s="28" t="n">
        <v>0</v>
      </c>
      <c r="L1268" s="25" t="inlineStr">
        <is>
          <t>WHISKEY - STRAIGHT</t>
        </is>
      </c>
      <c r="M1268" s="25" t="inlineStr">
        <is>
          <t>CAMPARI ENTERPRISES, INC.</t>
        </is>
      </c>
      <c r="N1268" s="25" t="inlineStr">
        <is>
          <t>040010-SOUTHERN GLAZERS WINE AND SPIRITS OF MISSISSIPPI LLC</t>
        </is>
      </c>
      <c r="O1268" s="25" t="inlineStr">
        <is>
          <t>Temporarily Unavailable for Sale</t>
        </is>
      </c>
      <c r="P1268" s="25" t="n"/>
      <c r="Q1268" s="25" t="inlineStr">
        <is>
          <t>046149410492</t>
        </is>
      </c>
      <c r="R1268" s="78" t="n">
        <v>44929</v>
      </c>
    </row>
    <row r="1269">
      <c r="A1269" t="inlineStr">
        <is>
          <t>or item code =</t>
        </is>
      </c>
      <c r="B1269" s="25" t="inlineStr">
        <is>
          <t>26484</t>
        </is>
      </c>
      <c r="C1269" s="25" t="inlineStr">
        <is>
          <t>WILLETT FAMILY ESTATE 4 YR RYE - LTO</t>
        </is>
      </c>
      <c r="D1269" s="25" t="inlineStr">
        <is>
          <t>750ml</t>
        </is>
      </c>
      <c r="E1269" s="27" t="n">
        <v>6</v>
      </c>
      <c r="F1269" s="27" t="n">
        <v>0</v>
      </c>
      <c r="G1269" s="27" t="n">
        <v>6</v>
      </c>
      <c r="H1269" s="28" t="n">
        <v>340.45</v>
      </c>
      <c r="I1269" s="28" t="n">
        <v>0</v>
      </c>
      <c r="J1269" s="94" t="inlineStr">
        <is>
          <t>False</t>
        </is>
      </c>
      <c r="K1269" s="28" t="n">
        <v>0</v>
      </c>
      <c r="L1269" s="25" t="inlineStr">
        <is>
          <t>LTO - Limited Time Offer</t>
        </is>
      </c>
      <c r="M1269" s="25" t="inlineStr">
        <is>
          <t>MADVINES &amp; SPIRITS A BEAUMAD &amp; MAGNOLIA BARREL HOUSE COMPANY</t>
        </is>
      </c>
      <c r="N1269" s="25" t="inlineStr">
        <is>
          <t>094032-MADVINES &amp; SPIRITS A BEAUMAD &amp; MAGNOLIA BARREL HOUSE COMPANY</t>
        </is>
      </c>
      <c r="O1269" s="25" t="inlineStr">
        <is>
          <t>Temporarily Unavailable for Sale</t>
        </is>
      </c>
      <c r="P1269" s="25" t="n"/>
      <c r="Q1269" s="25" t="inlineStr">
        <is>
          <t>637405245226</t>
        </is>
      </c>
      <c r="R1269" s="78" t="n">
        <v>44593</v>
      </c>
    </row>
    <row r="1270">
      <c r="A1270" t="inlineStr">
        <is>
          <t>or item code =</t>
        </is>
      </c>
      <c r="B1270" s="25" t="inlineStr">
        <is>
          <t>35903</t>
        </is>
      </c>
      <c r="C1270" s="25" t="inlineStr">
        <is>
          <t>WODKA VODKA POLISH VODKA</t>
        </is>
      </c>
      <c r="D1270" s="25" t="inlineStr">
        <is>
          <t>1.75L</t>
        </is>
      </c>
      <c r="E1270" s="27" t="n">
        <v>108</v>
      </c>
      <c r="F1270" s="27" t="n">
        <v>37</v>
      </c>
      <c r="G1270" s="27" t="n">
        <v>6</v>
      </c>
      <c r="H1270" s="28" t="n">
        <v>99.3</v>
      </c>
      <c r="I1270" s="28" t="n">
        <v>0</v>
      </c>
      <c r="J1270" s="94" t="inlineStr">
        <is>
          <t>False</t>
        </is>
      </c>
      <c r="K1270" s="28" t="n">
        <v>0</v>
      </c>
      <c r="L1270" s="25" t="inlineStr">
        <is>
          <t>VODKA</t>
        </is>
      </c>
      <c r="M1270" s="25" t="inlineStr">
        <is>
          <t>PARK STREET IMPORTS</t>
        </is>
      </c>
      <c r="N1270" s="25" t="inlineStr">
        <is>
          <t>040005-STEVE TONORE &amp; ASSOCIATES</t>
        </is>
      </c>
      <c r="O1270" s="25" t="n"/>
      <c r="P1270" s="25" t="inlineStr">
        <is>
          <t>10074854282114</t>
        </is>
      </c>
      <c r="Q1270" s="25" t="inlineStr">
        <is>
          <t>0074854382117</t>
        </is>
      </c>
      <c r="R1270" s="78" t="n">
        <v>43614</v>
      </c>
    </row>
    <row r="1271">
      <c r="A1271" t="inlineStr">
        <is>
          <t>or item code =</t>
        </is>
      </c>
      <c r="B1271" s="25" t="inlineStr">
        <is>
          <t>498105</t>
        </is>
      </c>
      <c r="C1271" s="25" t="inlineStr">
        <is>
          <t>WOODBRIDGE BY ROBERET MONDAVI CABERNET SAUVIGNON</t>
        </is>
      </c>
      <c r="D1271" s="25" t="inlineStr">
        <is>
          <t>750ml</t>
        </is>
      </c>
      <c r="E1271" s="27" t="n">
        <v>4</v>
      </c>
      <c r="F1271" s="27" t="n">
        <v>124</v>
      </c>
      <c r="G1271" s="27" t="n">
        <v>12</v>
      </c>
      <c r="H1271" s="28" t="n">
        <v>72.72</v>
      </c>
      <c r="I1271" s="28" t="n">
        <v>0</v>
      </c>
      <c r="J1271" s="94" t="inlineStr">
        <is>
          <t>False</t>
        </is>
      </c>
      <c r="K1271" s="28" t="n">
        <v>0</v>
      </c>
      <c r="L1271" s="25" t="inlineStr">
        <is>
          <t>CABERNET SAUVIGNON</t>
        </is>
      </c>
      <c r="M1271" s="25" t="inlineStr">
        <is>
          <t>CONSTELLATION BRANDS INC</t>
        </is>
      </c>
      <c r="N1271" s="25" t="inlineStr">
        <is>
          <t>040010-SOUTHERN GLAZERS WINE AND SPIRITS OF MISSISSIPPI LLC</t>
        </is>
      </c>
      <c r="O1271" s="25" t="n"/>
      <c r="P1271" s="25" t="inlineStr">
        <is>
          <t>10086003000091</t>
        </is>
      </c>
      <c r="Q1271" s="25" t="inlineStr">
        <is>
          <t>0086003000094</t>
        </is>
      </c>
      <c r="R1271" s="78" t="n">
        <v>42370</v>
      </c>
    </row>
    <row r="1272">
      <c r="A1272" t="inlineStr">
        <is>
          <t>or item code =</t>
        </is>
      </c>
      <c r="B1272" s="25" t="inlineStr">
        <is>
          <t>606290</t>
        </is>
      </c>
      <c r="C1272" s="25" t="inlineStr">
        <is>
          <t>WOODBRIDGE BY ROBERT MONDAVI CHARDONNAY</t>
        </is>
      </c>
      <c r="D1272" s="25" t="inlineStr">
        <is>
          <t>750ml</t>
        </is>
      </c>
      <c r="E1272" s="27" t="n">
        <v>345</v>
      </c>
      <c r="F1272" s="27" t="n">
        <v>105</v>
      </c>
      <c r="G1272" s="27" t="n">
        <v>12</v>
      </c>
      <c r="H1272" s="28" t="n">
        <v>72.72</v>
      </c>
      <c r="I1272" s="28" t="n">
        <v>0</v>
      </c>
      <c r="J1272" s="94" t="inlineStr">
        <is>
          <t>False</t>
        </is>
      </c>
      <c r="K1272" s="28" t="n">
        <v>0</v>
      </c>
      <c r="L1272" s="25" t="inlineStr">
        <is>
          <t>CHARDONNAY</t>
        </is>
      </c>
      <c r="M1272" s="25" t="inlineStr">
        <is>
          <t>CONSTELLATION BRANDS INC</t>
        </is>
      </c>
      <c r="N1272" s="25" t="inlineStr">
        <is>
          <t>040010-SOUTHERN GLAZERS WINE AND SPIRITS OF MISSISSIPPI LLC</t>
        </is>
      </c>
      <c r="O1272" s="25" t="n"/>
      <c r="P1272" s="25" t="inlineStr">
        <is>
          <t>00008600300008</t>
        </is>
      </c>
      <c r="Q1272" s="25" t="inlineStr">
        <is>
          <t>0086003000087</t>
        </is>
      </c>
      <c r="R1272" s="78" t="n">
        <v>42370</v>
      </c>
    </row>
    <row r="1273">
      <c r="A1273" t="inlineStr">
        <is>
          <t>or item code =</t>
        </is>
      </c>
      <c r="B1273" s="25" t="inlineStr">
        <is>
          <t>498118</t>
        </is>
      </c>
      <c r="C1273" s="25" t="inlineStr">
        <is>
          <t>WOODBRIDGE BY ROBERT MONDAVI MERLOT</t>
        </is>
      </c>
      <c r="D1273" s="25" t="inlineStr">
        <is>
          <t>750ml</t>
        </is>
      </c>
      <c r="E1273" s="27" t="n">
        <v>128</v>
      </c>
      <c r="F1273" s="27" t="n">
        <v>35</v>
      </c>
      <c r="G1273" s="27" t="n">
        <v>12</v>
      </c>
      <c r="H1273" s="28" t="n">
        <v>72.72</v>
      </c>
      <c r="I1273" s="28" t="n">
        <v>0</v>
      </c>
      <c r="J1273" s="94" t="inlineStr">
        <is>
          <t>False</t>
        </is>
      </c>
      <c r="K1273" s="28" t="n">
        <v>0</v>
      </c>
      <c r="L1273" s="25" t="inlineStr">
        <is>
          <t>MERLOT</t>
        </is>
      </c>
      <c r="M1273" s="25" t="inlineStr">
        <is>
          <t>CONSTELLATION BRANDS INC</t>
        </is>
      </c>
      <c r="N1273" s="25" t="inlineStr">
        <is>
          <t>040010-SOUTHERN GLAZERS WINE AND SPIRITS OF MISSISSIPPI LLC</t>
        </is>
      </c>
      <c r="O1273" s="25" t="n"/>
      <c r="P1273" s="25" t="inlineStr">
        <is>
          <t>10086003000497</t>
        </is>
      </c>
      <c r="Q1273" s="25" t="inlineStr">
        <is>
          <t>0086003000490</t>
        </is>
      </c>
      <c r="R1273" s="78" t="n">
        <v>42370</v>
      </c>
    </row>
    <row r="1274">
      <c r="A1274" t="inlineStr">
        <is>
          <t>or item code =</t>
        </is>
      </c>
      <c r="B1274" s="25" t="inlineStr">
        <is>
          <t>498123</t>
        </is>
      </c>
      <c r="C1274" s="25" t="inlineStr">
        <is>
          <t>WOODBRIDGE BY ROBERT MONDAVI PINOT NOIR</t>
        </is>
      </c>
      <c r="D1274" s="25" t="inlineStr">
        <is>
          <t>750ml</t>
        </is>
      </c>
      <c r="E1274" s="27" t="n">
        <v>170</v>
      </c>
      <c r="F1274" s="27" t="n">
        <v>46</v>
      </c>
      <c r="G1274" s="27" t="n">
        <v>12</v>
      </c>
      <c r="H1274" s="28" t="n">
        <v>72.72</v>
      </c>
      <c r="I1274" s="28" t="n">
        <v>0</v>
      </c>
      <c r="J1274" s="94" t="inlineStr">
        <is>
          <t>False</t>
        </is>
      </c>
      <c r="K1274" s="28" t="n">
        <v>0</v>
      </c>
      <c r="L1274" s="25" t="inlineStr">
        <is>
          <t>PINOT NOIR</t>
        </is>
      </c>
      <c r="M1274" s="25" t="inlineStr">
        <is>
          <t>CONSTELLATION BRANDS INC</t>
        </is>
      </c>
      <c r="N1274" s="25" t="inlineStr">
        <is>
          <t>040010-SOUTHERN GLAZERS WINE AND SPIRITS OF MISSISSIPPI LLC</t>
        </is>
      </c>
      <c r="O1274" s="25" t="n"/>
      <c r="P1274" s="25" t="inlineStr">
        <is>
          <t>10086003003399</t>
        </is>
      </c>
      <c r="Q1274" s="25" t="inlineStr">
        <is>
          <t>0086003003392</t>
        </is>
      </c>
      <c r="R1274" s="78" t="n">
        <v>42370</v>
      </c>
    </row>
    <row r="1275">
      <c r="A1275" t="inlineStr">
        <is>
          <t>or item code =</t>
        </is>
      </c>
      <c r="B1275" s="25" t="inlineStr">
        <is>
          <t>607150</t>
        </is>
      </c>
      <c r="C1275" s="25" t="inlineStr">
        <is>
          <t>WOODBRIDGE BY ROBERT MONDAVI SAUVIGNON BLANC</t>
        </is>
      </c>
      <c r="D1275" s="25" t="inlineStr">
        <is>
          <t>750ml</t>
        </is>
      </c>
      <c r="E1275" s="27" t="n">
        <v>120</v>
      </c>
      <c r="F1275" s="27" t="n">
        <v>18</v>
      </c>
      <c r="G1275" s="27" t="n">
        <v>12</v>
      </c>
      <c r="H1275" s="28" t="n">
        <v>72.72</v>
      </c>
      <c r="I1275" s="28" t="n">
        <v>0</v>
      </c>
      <c r="J1275" s="94" t="inlineStr">
        <is>
          <t>False</t>
        </is>
      </c>
      <c r="K1275" s="28" t="n">
        <v>0</v>
      </c>
      <c r="L1275" s="25" t="inlineStr">
        <is>
          <t>SAUVIGNON BLNC/FUME BLNC</t>
        </is>
      </c>
      <c r="M1275" s="25" t="inlineStr">
        <is>
          <t>CONSTELLATION BRANDS INC</t>
        </is>
      </c>
      <c r="N1275" s="25" t="inlineStr">
        <is>
          <t>040010-SOUTHERN GLAZERS WINE AND SPIRITS OF MISSISSIPPI LLC</t>
        </is>
      </c>
      <c r="O1275" s="25" t="n"/>
      <c r="P1275" s="25" t="inlineStr">
        <is>
          <t>10086003861869</t>
        </is>
      </c>
      <c r="Q1275" s="25" t="inlineStr">
        <is>
          <t>0086003861862</t>
        </is>
      </c>
      <c r="R1275" s="78" t="n">
        <v>42370</v>
      </c>
    </row>
    <row r="1276">
      <c r="A1276" t="inlineStr">
        <is>
          <t>or item code =</t>
        </is>
      </c>
      <c r="B1276" s="25" t="inlineStr">
        <is>
          <t>22228</t>
        </is>
      </c>
      <c r="C1276" s="25" t="inlineStr">
        <is>
          <t>WOODFORD RESERVE DOUBLE OAK</t>
        </is>
      </c>
      <c r="D1276" s="25" t="inlineStr">
        <is>
          <t>750ml</t>
        </is>
      </c>
      <c r="E1276" s="27" t="n">
        <v>31</v>
      </c>
      <c r="F1276" s="27" t="n">
        <v>93</v>
      </c>
      <c r="G1276" s="27" t="n">
        <v>6</v>
      </c>
      <c r="H1276" s="28" t="n">
        <v>284.39</v>
      </c>
      <c r="I1276" s="28" t="n">
        <v>0</v>
      </c>
      <c r="J1276" s="94" t="inlineStr">
        <is>
          <t>False</t>
        </is>
      </c>
      <c r="K1276" s="28" t="n">
        <v>0</v>
      </c>
      <c r="L1276" s="25" t="inlineStr">
        <is>
          <t>WHISKEY - STR BOURBON</t>
        </is>
      </c>
      <c r="M1276" s="25" t="inlineStr">
        <is>
          <t>BROWN FORMAN CORP</t>
        </is>
      </c>
      <c r="N1276" s="25" t="inlineStr">
        <is>
          <t>045041-UNITED JOHNSON BROTHERS OF MS</t>
        </is>
      </c>
      <c r="O1276" s="25" t="n"/>
      <c r="P1276" s="25" t="inlineStr">
        <is>
          <t>10081128138964</t>
        </is>
      </c>
      <c r="Q1276" s="25" t="inlineStr">
        <is>
          <t>0081128001209</t>
        </is>
      </c>
      <c r="R1276" s="78" t="n">
        <v>42370</v>
      </c>
    </row>
    <row r="1277">
      <c r="A1277" t="inlineStr">
        <is>
          <t>or item code =</t>
        </is>
      </c>
      <c r="B1277" s="25" t="inlineStr">
        <is>
          <t>22214</t>
        </is>
      </c>
      <c r="C1277" s="25" t="inlineStr">
        <is>
          <t>WOODFORD RESERVE KENTUCKY STRAIGHT BOURBON</t>
        </is>
      </c>
      <c r="D1277" s="25" t="inlineStr">
        <is>
          <t>375ml</t>
        </is>
      </c>
      <c r="E1277" s="27" t="n">
        <v>70</v>
      </c>
      <c r="F1277" s="27" t="n">
        <v>52</v>
      </c>
      <c r="G1277" s="27" t="n">
        <v>12</v>
      </c>
      <c r="H1277" s="28" t="n">
        <v>164.02</v>
      </c>
      <c r="I1277" s="28" t="n">
        <v>0</v>
      </c>
      <c r="J1277" s="94" t="inlineStr">
        <is>
          <t>False</t>
        </is>
      </c>
      <c r="K1277" s="28" t="n">
        <v>0</v>
      </c>
      <c r="L1277" s="25" t="inlineStr">
        <is>
          <t>WHISKEY - STR BOURBON</t>
        </is>
      </c>
      <c r="M1277" s="25" t="inlineStr">
        <is>
          <t>BROWN FORMAN CORP</t>
        </is>
      </c>
      <c r="N1277" s="25" t="inlineStr">
        <is>
          <t>045041-UNITED JOHNSON BROTHERS OF MS</t>
        </is>
      </c>
      <c r="O1277" s="25" t="n"/>
      <c r="P1277" s="25" t="inlineStr">
        <is>
          <t>10081128011687</t>
        </is>
      </c>
      <c r="Q1277" s="25" t="inlineStr">
        <is>
          <t>0081128011680</t>
        </is>
      </c>
      <c r="R1277" s="78" t="n">
        <v>42370</v>
      </c>
    </row>
    <row r="1278">
      <c r="A1278" t="inlineStr">
        <is>
          <t>or item code =</t>
        </is>
      </c>
      <c r="B1278" s="25" t="inlineStr">
        <is>
          <t>22215</t>
        </is>
      </c>
      <c r="C1278" s="25" t="inlineStr">
        <is>
          <t>WOODFORD RESERVE KENTUCKY STRAIGHT BOURBON</t>
        </is>
      </c>
      <c r="D1278" s="25" t="inlineStr">
        <is>
          <t>750ml</t>
        </is>
      </c>
      <c r="E1278" s="27" t="n">
        <v>355</v>
      </c>
      <c r="F1278" s="27" t="n">
        <v>202</v>
      </c>
      <c r="G1278" s="27" t="n">
        <v>12</v>
      </c>
      <c r="H1278" s="28" t="n">
        <v>356.35</v>
      </c>
      <c r="I1278" s="28" t="n">
        <v>0</v>
      </c>
      <c r="J1278" s="94" t="inlineStr">
        <is>
          <t>False</t>
        </is>
      </c>
      <c r="K1278" s="28" t="n">
        <v>0</v>
      </c>
      <c r="L1278" s="25" t="inlineStr">
        <is>
          <t>WHISKEY - STR BOURBON</t>
        </is>
      </c>
      <c r="M1278" s="25" t="inlineStr">
        <is>
          <t>BROWN FORMAN CORP</t>
        </is>
      </c>
      <c r="N1278" s="25" t="inlineStr">
        <is>
          <t>045041-UNITED JOHNSON BROTHERS OF MS</t>
        </is>
      </c>
      <c r="O1278" s="25" t="n"/>
      <c r="P1278" s="25" t="n"/>
      <c r="Q1278" s="25" t="inlineStr">
        <is>
          <t>081128001506</t>
        </is>
      </c>
      <c r="R1278" s="78" t="n">
        <v>42370</v>
      </c>
    </row>
    <row r="1279">
      <c r="A1279" t="inlineStr">
        <is>
          <t>or item code =</t>
        </is>
      </c>
      <c r="B1279" s="25" t="inlineStr">
        <is>
          <t>429953</t>
        </is>
      </c>
      <c r="C1279" s="25" t="inlineStr">
        <is>
          <t>YELLOW TAIL BIG BOLD RED SE AUSTRALIA</t>
        </is>
      </c>
      <c r="D1279" s="25" t="inlineStr">
        <is>
          <t>1.5L</t>
        </is>
      </c>
      <c r="E1279" s="27" t="n">
        <v>354</v>
      </c>
      <c r="F1279" s="27" t="n">
        <v>53</v>
      </c>
      <c r="G1279" s="27" t="n">
        <v>6</v>
      </c>
      <c r="H1279" s="28" t="n">
        <v>54.03</v>
      </c>
      <c r="I1279" s="28" t="n">
        <v>12</v>
      </c>
      <c r="J1279" s="94" t="inlineStr">
        <is>
          <t>False</t>
        </is>
      </c>
      <c r="K1279" s="28" t="n">
        <v>0</v>
      </c>
      <c r="L1279" s="25" t="inlineStr">
        <is>
          <t>RED WINE</t>
        </is>
      </c>
      <c r="M1279" s="25" t="inlineStr">
        <is>
          <t>DEUTSCH FAMILY WINE &amp; SPIRITS</t>
        </is>
      </c>
      <c r="N1279" s="25" t="inlineStr">
        <is>
          <t>040010-SOUTHERN GLAZERS WINE AND SPIRITS OF MISSISSIPPI LLC</t>
        </is>
      </c>
      <c r="O1279" s="25" t="n"/>
      <c r="P1279" s="25" t="inlineStr">
        <is>
          <t>19322214012128</t>
        </is>
      </c>
      <c r="Q1279" s="25" t="inlineStr">
        <is>
          <t>0839743001490</t>
        </is>
      </c>
      <c r="R1279" s="78" t="n">
        <v>42370</v>
      </c>
    </row>
    <row r="1280">
      <c r="A1280" t="inlineStr">
        <is>
          <t>or item code =</t>
        </is>
      </c>
      <c r="B1280" s="25" t="inlineStr">
        <is>
          <t>429945</t>
        </is>
      </c>
      <c r="C1280" s="25" t="inlineStr">
        <is>
          <t>YELLOW TAIL CABERNET SAUVIGNON</t>
        </is>
      </c>
      <c r="D1280" s="25" t="inlineStr">
        <is>
          <t>1.5L</t>
        </is>
      </c>
      <c r="E1280" s="27" t="n">
        <v>252</v>
      </c>
      <c r="F1280" s="27" t="n">
        <v>114</v>
      </c>
      <c r="G1280" s="27" t="n">
        <v>6</v>
      </c>
      <c r="H1280" s="28" t="n">
        <v>54.03</v>
      </c>
      <c r="I1280" s="28" t="n">
        <v>12</v>
      </c>
      <c r="J1280" s="94" t="inlineStr">
        <is>
          <t>False</t>
        </is>
      </c>
      <c r="K1280" s="28" t="n">
        <v>0</v>
      </c>
      <c r="L1280" s="25" t="inlineStr">
        <is>
          <t>CABERNET SAUVIGNON</t>
        </is>
      </c>
      <c r="M1280" s="25" t="inlineStr">
        <is>
          <t>DEUTSCH FAMILY WINE &amp; SPIRITS</t>
        </is>
      </c>
      <c r="N1280" s="25" t="inlineStr">
        <is>
          <t>040010-SOUTHERN GLAZERS WINE AND SPIRITS OF MISSISSIPPI LLC</t>
        </is>
      </c>
      <c r="O1280" s="25" t="n"/>
      <c r="P1280" s="25" t="inlineStr">
        <is>
          <t>10031259009466</t>
        </is>
      </c>
      <c r="Q1280" s="25" t="inlineStr">
        <is>
          <t>0031259009469</t>
        </is>
      </c>
      <c r="R1280" s="78" t="n">
        <v>42370</v>
      </c>
    </row>
    <row r="1281">
      <c r="A1281" t="inlineStr">
        <is>
          <t>or item code =</t>
        </is>
      </c>
      <c r="B1281" s="25" t="inlineStr">
        <is>
          <t>429955</t>
        </is>
      </c>
      <c r="C1281" s="25" t="inlineStr">
        <is>
          <t>YELLOW TAIL CHARDONNAY SOUTH EASTERN AUST</t>
        </is>
      </c>
      <c r="D1281" s="25" t="inlineStr">
        <is>
          <t>1.5L</t>
        </is>
      </c>
      <c r="E1281" s="27" t="n">
        <v>0</v>
      </c>
      <c r="F1281" s="27" t="n">
        <v>0</v>
      </c>
      <c r="G1281" s="27" t="n">
        <v>6</v>
      </c>
      <c r="H1281" s="28" t="n">
        <v>54.03</v>
      </c>
      <c r="I1281" s="28" t="n">
        <v>12</v>
      </c>
      <c r="J1281" s="94" t="inlineStr">
        <is>
          <t>False</t>
        </is>
      </c>
      <c r="K1281" s="28" t="n">
        <v>0</v>
      </c>
      <c r="L1281" s="25" t="inlineStr">
        <is>
          <t>CHARDONNAY</t>
        </is>
      </c>
      <c r="M1281" s="25" t="inlineStr">
        <is>
          <t>DEUTSCH FAMILY WINE &amp; SPIRITS</t>
        </is>
      </c>
      <c r="N1281" s="25" t="inlineStr">
        <is>
          <t>040010-SOUTHERN GLAZERS WINE AND SPIRITS OF MISSISSIPPI LLC</t>
        </is>
      </c>
      <c r="O1281" s="25" t="n"/>
      <c r="P1281" s="25" t="inlineStr">
        <is>
          <t>10031259008933</t>
        </is>
      </c>
      <c r="Q1281" s="25" t="inlineStr">
        <is>
          <t>031259008936</t>
        </is>
      </c>
      <c r="R1281" s="78" t="n">
        <v>42370</v>
      </c>
    </row>
    <row r="1282">
      <c r="A1282" t="inlineStr">
        <is>
          <t>or item code =</t>
        </is>
      </c>
      <c r="B1282" s="25" t="inlineStr">
        <is>
          <t>429999</t>
        </is>
      </c>
      <c r="C1282" s="25" t="inlineStr">
        <is>
          <t>YELLOW TAIL JAMMY RED ROO</t>
        </is>
      </c>
      <c r="D1282" s="25" t="inlineStr">
        <is>
          <t>1.5L</t>
        </is>
      </c>
      <c r="E1282" s="27" t="n">
        <v>0</v>
      </c>
      <c r="F1282" s="27" t="n">
        <v>0</v>
      </c>
      <c r="G1282" s="27" t="n">
        <v>6</v>
      </c>
      <c r="H1282" s="28" t="n">
        <v>54.03</v>
      </c>
      <c r="I1282" s="28" t="n">
        <v>12</v>
      </c>
      <c r="J1282" s="94" t="inlineStr">
        <is>
          <t>False</t>
        </is>
      </c>
      <c r="K1282" s="28" t="n">
        <v>0</v>
      </c>
      <c r="L1282" s="25" t="inlineStr">
        <is>
          <t>RED WINE</t>
        </is>
      </c>
      <c r="M1282" s="25" t="inlineStr">
        <is>
          <t>DEUTSCH FAMILY WINE &amp; SPIRITS</t>
        </is>
      </c>
      <c r="N1282" s="25" t="inlineStr">
        <is>
          <t>040010-SOUTHERN GLAZERS WINE AND SPIRITS OF MISSISSIPPI LLC</t>
        </is>
      </c>
      <c r="O1282" s="25" t="n"/>
      <c r="P1282" s="25" t="inlineStr">
        <is>
          <t>10031259044108</t>
        </is>
      </c>
      <c r="Q1282" s="25" t="inlineStr">
        <is>
          <t>0031259044101</t>
        </is>
      </c>
      <c r="R1282" s="78" t="n">
        <v>42370</v>
      </c>
    </row>
    <row r="1283">
      <c r="A1283" t="inlineStr">
        <is>
          <t>or item code =</t>
        </is>
      </c>
      <c r="B1283" s="25" t="inlineStr">
        <is>
          <t>429998</t>
        </is>
      </c>
      <c r="C1283" s="25" t="inlineStr">
        <is>
          <t>YELLOW TAIL JAMMY RED ROO</t>
        </is>
      </c>
      <c r="D1283" s="25" t="inlineStr">
        <is>
          <t>750ml</t>
        </is>
      </c>
      <c r="E1283" s="27" t="n">
        <v>1</v>
      </c>
      <c r="F1283" s="27" t="n">
        <v>10</v>
      </c>
      <c r="G1283" s="27" t="n">
        <v>12</v>
      </c>
      <c r="H1283" s="28" t="n">
        <v>67.94</v>
      </c>
      <c r="I1283" s="28" t="n">
        <v>0</v>
      </c>
      <c r="J1283" s="94" t="inlineStr">
        <is>
          <t>False</t>
        </is>
      </c>
      <c r="K1283" s="28" t="n">
        <v>0</v>
      </c>
      <c r="L1283" s="25" t="inlineStr">
        <is>
          <t>RED WINE</t>
        </is>
      </c>
      <c r="M1283" s="25" t="inlineStr">
        <is>
          <t>DEUTSCH FAMILY WINE &amp; SPIRITS</t>
        </is>
      </c>
      <c r="N1283" s="25" t="inlineStr">
        <is>
          <t>040010-SOUTHERN GLAZERS WINE AND SPIRITS OF MISSISSIPPI LLC</t>
        </is>
      </c>
      <c r="O1283" s="25" t="n"/>
      <c r="P1283" s="25" t="inlineStr">
        <is>
          <t>10031259044092</t>
        </is>
      </c>
      <c r="Q1283" s="25" t="inlineStr">
        <is>
          <t>0031259044095</t>
        </is>
      </c>
      <c r="R1283" s="78" t="n">
        <v>42370</v>
      </c>
    </row>
    <row r="1284">
      <c r="A1284" t="inlineStr">
        <is>
          <t>or item code =</t>
        </is>
      </c>
      <c r="B1284" s="25" t="inlineStr">
        <is>
          <t>429975</t>
        </is>
      </c>
      <c r="C1284" s="25" t="inlineStr">
        <is>
          <t>YELLOW TAIL MERLOT</t>
        </is>
      </c>
      <c r="D1284" s="25" t="inlineStr">
        <is>
          <t>1.5L</t>
        </is>
      </c>
      <c r="E1284" s="27" t="n">
        <v>0</v>
      </c>
      <c r="F1284" s="27" t="n">
        <v>3</v>
      </c>
      <c r="G1284" s="27" t="n">
        <v>6</v>
      </c>
      <c r="H1284" s="28" t="n">
        <v>54.03</v>
      </c>
      <c r="I1284" s="28" t="n">
        <v>12</v>
      </c>
      <c r="J1284" s="94" t="inlineStr">
        <is>
          <t>False</t>
        </is>
      </c>
      <c r="K1284" s="28" t="n">
        <v>0</v>
      </c>
      <c r="L1284" s="25" t="inlineStr">
        <is>
          <t>MERLOT</t>
        </is>
      </c>
      <c r="M1284" s="25" t="inlineStr">
        <is>
          <t>DEUTSCH FAMILY WINE &amp; SPIRITS</t>
        </is>
      </c>
      <c r="N1284" s="25" t="inlineStr">
        <is>
          <t>040010-SOUTHERN GLAZERS WINE AND SPIRITS OF MISSISSIPPI LLC</t>
        </is>
      </c>
      <c r="O1284" s="25" t="n"/>
      <c r="P1284" s="25" t="inlineStr">
        <is>
          <t>00000000429975</t>
        </is>
      </c>
      <c r="Q1284" s="25" t="inlineStr">
        <is>
          <t>0031259009230</t>
        </is>
      </c>
      <c r="R1284" s="78" t="n">
        <v>42370</v>
      </c>
    </row>
    <row r="1285">
      <c r="A1285" t="inlineStr">
        <is>
          <t>or item code =</t>
        </is>
      </c>
      <c r="B1285" s="25" t="inlineStr">
        <is>
          <t>429964</t>
        </is>
      </c>
      <c r="C1285" s="25" t="inlineStr">
        <is>
          <t>YELLOW TAIL MOSCATO SE AUSTRALIA</t>
        </is>
      </c>
      <c r="D1285" s="25" t="inlineStr">
        <is>
          <t>1.5L</t>
        </is>
      </c>
      <c r="E1285" s="27" t="n">
        <v>50</v>
      </c>
      <c r="F1285" s="27" t="n">
        <v>0</v>
      </c>
      <c r="G1285" s="27" t="n">
        <v>6</v>
      </c>
      <c r="H1285" s="28" t="n">
        <v>54.03</v>
      </c>
      <c r="I1285" s="28" t="n">
        <v>12</v>
      </c>
      <c r="J1285" s="94" t="inlineStr">
        <is>
          <t>False</t>
        </is>
      </c>
      <c r="K1285" s="28" t="n">
        <v>0</v>
      </c>
      <c r="L1285" s="25" t="inlineStr">
        <is>
          <t>MOSCATO WHITE</t>
        </is>
      </c>
      <c r="M1285" s="25" t="inlineStr">
        <is>
          <t>DEUTSCH FAMILY WINE &amp; SPIRITS</t>
        </is>
      </c>
      <c r="N1285" s="25" t="inlineStr">
        <is>
          <t>040010-SOUTHERN GLAZERS WINE AND SPIRITS OF MISSISSIPPI LLC</t>
        </is>
      </c>
      <c r="O1285" s="25" t="inlineStr">
        <is>
          <t>Unavailable due to inventory issues</t>
        </is>
      </c>
      <c r="P1285" s="25" t="n"/>
      <c r="Q1285" s="25" t="inlineStr">
        <is>
          <t>0031259032863</t>
        </is>
      </c>
      <c r="R1285" s="78" t="n">
        <v>42370</v>
      </c>
    </row>
    <row r="1286">
      <c r="A1286" t="inlineStr">
        <is>
          <t>or item code =</t>
        </is>
      </c>
      <c r="B1286" s="25" t="inlineStr">
        <is>
          <t>430012</t>
        </is>
      </c>
      <c r="C1286" s="25" t="inlineStr">
        <is>
          <t>YELLOW TAIL PINOT GRIGIO</t>
        </is>
      </c>
      <c r="D1286" s="25" t="inlineStr">
        <is>
          <t>1.5L</t>
        </is>
      </c>
      <c r="E1286" s="27" t="n">
        <v>0</v>
      </c>
      <c r="F1286" s="27" t="n">
        <v>59</v>
      </c>
      <c r="G1286" s="27" t="n">
        <v>6</v>
      </c>
      <c r="H1286" s="28" t="n">
        <v>54.03</v>
      </c>
      <c r="I1286" s="28" t="n">
        <v>12</v>
      </c>
      <c r="J1286" s="94" t="inlineStr">
        <is>
          <t>False</t>
        </is>
      </c>
      <c r="K1286" s="28" t="n">
        <v>0</v>
      </c>
      <c r="L1286" s="25" t="inlineStr">
        <is>
          <t>PINOT GRIS/PINOT GRIGIO</t>
        </is>
      </c>
      <c r="M1286" s="25" t="inlineStr">
        <is>
          <t>DEUTSCH FAMILY WINE &amp; SPIRITS</t>
        </is>
      </c>
      <c r="N1286" s="25" t="inlineStr">
        <is>
          <t>040010-SOUTHERN GLAZERS WINE AND SPIRITS OF MISSISSIPPI LLC</t>
        </is>
      </c>
      <c r="O1286" s="25" t="n"/>
      <c r="P1286" s="25" t="inlineStr">
        <is>
          <t>10031259009725</t>
        </is>
      </c>
      <c r="Q1286" s="25" t="inlineStr">
        <is>
          <t>0031259009728</t>
        </is>
      </c>
      <c r="R1286" s="78" t="n">
        <v>42370</v>
      </c>
    </row>
    <row r="1287">
      <c r="A1287" t="inlineStr">
        <is>
          <t>or item code =</t>
        </is>
      </c>
      <c r="B1287" s="25" t="inlineStr">
        <is>
          <t>429976</t>
        </is>
      </c>
      <c r="C1287" s="25" t="inlineStr">
        <is>
          <t>YELLOW TAIL PINOT NOIR/SHIRAZ</t>
        </is>
      </c>
      <c r="D1287" s="25" t="inlineStr">
        <is>
          <t>750ml</t>
        </is>
      </c>
      <c r="E1287" s="27" t="n">
        <v>2</v>
      </c>
      <c r="F1287" s="27" t="n">
        <v>7</v>
      </c>
      <c r="G1287" s="27" t="n">
        <v>12</v>
      </c>
      <c r="H1287" s="28" t="n">
        <v>67.94</v>
      </c>
      <c r="I1287" s="28" t="n">
        <v>0</v>
      </c>
      <c r="J1287" s="94" t="inlineStr">
        <is>
          <t>False</t>
        </is>
      </c>
      <c r="K1287" s="28" t="n">
        <v>0</v>
      </c>
      <c r="L1287" s="25" t="inlineStr">
        <is>
          <t>PINOT NOIR</t>
        </is>
      </c>
      <c r="M1287" s="25" t="inlineStr">
        <is>
          <t>DEUTSCH FAMILY WINE &amp; SPIRITS</t>
        </is>
      </c>
      <c r="N1287" s="25" t="inlineStr">
        <is>
          <t>040010-SOUTHERN GLAZERS WINE AND SPIRITS OF MISSISSIPPI LLC</t>
        </is>
      </c>
      <c r="O1287" s="25" t="n"/>
      <c r="P1287" s="25" t="inlineStr">
        <is>
          <t>10031259018499</t>
        </is>
      </c>
      <c r="Q1287" s="25" t="inlineStr">
        <is>
          <t>0031259018492</t>
        </is>
      </c>
      <c r="R1287" s="78" t="n">
        <v>42370</v>
      </c>
    </row>
    <row r="1288">
      <c r="A1288" t="inlineStr">
        <is>
          <t>or item code =</t>
        </is>
      </c>
      <c r="B1288" s="25" t="inlineStr">
        <is>
          <t>429983</t>
        </is>
      </c>
      <c r="C1288" s="25" t="inlineStr">
        <is>
          <t>YELLOW TAIL PINOT NOIR/SHIRAZ</t>
        </is>
      </c>
      <c r="D1288" s="25" t="inlineStr">
        <is>
          <t>1.5L</t>
        </is>
      </c>
      <c r="E1288" s="27" t="n">
        <v>1</v>
      </c>
      <c r="F1288" s="27" t="n">
        <v>38</v>
      </c>
      <c r="G1288" s="27" t="n">
        <v>6</v>
      </c>
      <c r="H1288" s="28" t="n">
        <v>54.03</v>
      </c>
      <c r="I1288" s="28" t="n">
        <v>12</v>
      </c>
      <c r="J1288" s="94" t="inlineStr">
        <is>
          <t>False</t>
        </is>
      </c>
      <c r="K1288" s="28" t="n">
        <v>0</v>
      </c>
      <c r="L1288" s="25" t="inlineStr">
        <is>
          <t>PINOT NOIR</t>
        </is>
      </c>
      <c r="M1288" s="25" t="inlineStr">
        <is>
          <t>DEUTSCH FAMILY WINE &amp; SPIRITS</t>
        </is>
      </c>
      <c r="N1288" s="25" t="inlineStr">
        <is>
          <t>040010-SOUTHERN GLAZERS WINE AND SPIRITS OF MISSISSIPPI LLC</t>
        </is>
      </c>
      <c r="O1288" s="25" t="n"/>
      <c r="P1288" s="25" t="inlineStr">
        <is>
          <t>10031259032655</t>
        </is>
      </c>
      <c r="Q1288" s="25" t="inlineStr">
        <is>
          <t>0031259032658</t>
        </is>
      </c>
      <c r="R1288" s="78" t="n">
        <v>42370</v>
      </c>
    </row>
    <row r="1289">
      <c r="A1289" t="inlineStr">
        <is>
          <t>or item code =</t>
        </is>
      </c>
      <c r="B1289" s="25" t="inlineStr">
        <is>
          <t>429982</t>
        </is>
      </c>
      <c r="C1289" s="25" t="inlineStr">
        <is>
          <t>YELLOW TAIL RIESLING</t>
        </is>
      </c>
      <c r="D1289" s="25" t="inlineStr">
        <is>
          <t>1.5L</t>
        </is>
      </c>
      <c r="E1289" s="27" t="n">
        <v>0</v>
      </c>
      <c r="F1289" s="27" t="n">
        <v>4</v>
      </c>
      <c r="G1289" s="27" t="n">
        <v>6</v>
      </c>
      <c r="H1289" s="28" t="n">
        <v>54.03</v>
      </c>
      <c r="I1289" s="28" t="n">
        <v>12</v>
      </c>
      <c r="J1289" s="94" t="inlineStr">
        <is>
          <t>False</t>
        </is>
      </c>
      <c r="K1289" s="28" t="n">
        <v>0</v>
      </c>
      <c r="L1289" s="25" t="inlineStr">
        <is>
          <t>RIESLING (WHITE/JOHANN)</t>
        </is>
      </c>
      <c r="M1289" s="25" t="inlineStr">
        <is>
          <t>DEUTSCH FAMILY WINE &amp; SPIRITS</t>
        </is>
      </c>
      <c r="N1289" s="25" t="inlineStr">
        <is>
          <t>040010-SOUTHERN GLAZERS WINE AND SPIRITS OF MISSISSIPPI LLC</t>
        </is>
      </c>
      <c r="O1289" s="25" t="n"/>
      <c r="P1289" s="25" t="inlineStr">
        <is>
          <t>10031259018697</t>
        </is>
      </c>
      <c r="Q1289" s="25" t="inlineStr">
        <is>
          <t>0031259018690</t>
        </is>
      </c>
      <c r="R1289" s="78" t="n">
        <v>42370</v>
      </c>
    </row>
    <row r="1290">
      <c r="A1290" t="inlineStr">
        <is>
          <t>or item code =</t>
        </is>
      </c>
      <c r="B1290" s="25" t="inlineStr">
        <is>
          <t>429993</t>
        </is>
      </c>
      <c r="C1290" s="25" t="inlineStr">
        <is>
          <t>YELLOW TAIL SANGRIA</t>
        </is>
      </c>
      <c r="D1290" s="25" t="inlineStr">
        <is>
          <t>1.5L</t>
        </is>
      </c>
      <c r="E1290" s="27" t="n">
        <v>0</v>
      </c>
      <c r="F1290" s="27" t="n">
        <v>16</v>
      </c>
      <c r="G1290" s="27" t="n">
        <v>6</v>
      </c>
      <c r="H1290" s="28" t="n">
        <v>54.03</v>
      </c>
      <c r="I1290" s="28" t="n">
        <v>12</v>
      </c>
      <c r="J1290" s="94" t="inlineStr">
        <is>
          <t>False</t>
        </is>
      </c>
      <c r="K1290" s="28" t="n">
        <v>0</v>
      </c>
      <c r="L1290" s="25" t="inlineStr">
        <is>
          <t>SANGRIA</t>
        </is>
      </c>
      <c r="M1290" s="25" t="inlineStr">
        <is>
          <t>DEUTSCH FAMILY WINE &amp; SPIRITS</t>
        </is>
      </c>
      <c r="N1290" s="25" t="inlineStr">
        <is>
          <t>040010-SOUTHERN GLAZERS WINE AND SPIRITS OF MISSISSIPPI LLC</t>
        </is>
      </c>
      <c r="O1290" s="25" t="n"/>
      <c r="P1290" s="25" t="inlineStr">
        <is>
          <t>19322214012326</t>
        </is>
      </c>
      <c r="Q1290" s="25" t="inlineStr">
        <is>
          <t>0839743001582</t>
        </is>
      </c>
      <c r="R1290" s="78" t="n">
        <v>42370</v>
      </c>
    </row>
    <row r="1291">
      <c r="A1291" t="inlineStr">
        <is>
          <t>or item code =</t>
        </is>
      </c>
      <c r="B1291" s="25" t="inlineStr">
        <is>
          <t>22244</t>
        </is>
      </c>
      <c r="C1291" s="25" t="inlineStr">
        <is>
          <t>YELLOWSTONE SELECT KENTUCKY STRAIGHT BRB</t>
        </is>
      </c>
      <c r="D1291" s="25" t="inlineStr">
        <is>
          <t>750ml</t>
        </is>
      </c>
      <c r="E1291" s="27" t="n">
        <v>207</v>
      </c>
      <c r="F1291" s="27" t="n">
        <v>86</v>
      </c>
      <c r="G1291" s="27" t="n">
        <v>6</v>
      </c>
      <c r="H1291" s="28" t="n">
        <v>184.59</v>
      </c>
      <c r="I1291" s="28" t="n">
        <v>0</v>
      </c>
      <c r="J1291" s="94" t="inlineStr">
        <is>
          <t>False</t>
        </is>
      </c>
      <c r="K1291" s="28" t="n">
        <v>0</v>
      </c>
      <c r="L1291" s="25" t="inlineStr">
        <is>
          <t>WHISKEY - STR BOURBON</t>
        </is>
      </c>
      <c r="M1291" s="25" t="inlineStr">
        <is>
          <t>LUXCO, INC</t>
        </is>
      </c>
      <c r="N1291" s="25" t="inlineStr">
        <is>
          <t>040010-SOUTHERN GLAZERS WINE AND SPIRITS OF MISSISSIPPI LLC</t>
        </is>
      </c>
      <c r="O1291" s="25" t="n"/>
      <c r="P1291" s="25" t="inlineStr">
        <is>
          <t>10088352130795</t>
        </is>
      </c>
      <c r="Q1291" s="25" t="inlineStr">
        <is>
          <t>0088352130798</t>
        </is>
      </c>
      <c r="R1291" s="78" t="n">
        <v>43136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G11" sqref="G11"/>
    </sheetView>
  </sheetViews>
  <sheetFormatPr baseColWidth="10" defaultColWidth="8.83203125" defaultRowHeight="15"/>
  <cols>
    <col width="27.33203125" bestFit="1" customWidth="1" min="2" max="2"/>
  </cols>
  <sheetData>
    <row r="1">
      <c r="A1" s="1" t="inlineStr">
        <is>
          <t>Item #</t>
        </is>
      </c>
      <c r="B1" s="1" t="inlineStr">
        <is>
          <t>Name</t>
        </is>
      </c>
      <c r="C1" s="7" t="inlineStr">
        <is>
          <t>Size</t>
        </is>
      </c>
      <c r="D1" s="1" t="inlineStr">
        <is>
          <t>Reserved Quantity</t>
        </is>
      </c>
      <c r="E1" s="1" t="inlineStr">
        <is>
          <t>Order</t>
        </is>
      </c>
      <c r="F1" s="2" t="inlineStr">
        <is>
          <t>Date</t>
        </is>
      </c>
      <c r="G1" s="1" t="inlineStr">
        <is>
          <t>Note</t>
        </is>
      </c>
    </row>
    <row r="2">
      <c r="A2" s="25" t="inlineStr">
        <is>
          <t>35418</t>
        </is>
      </c>
      <c r="B2" s="25" t="inlineStr">
        <is>
          <t>BURNETT'S VODKA 80 PROOF</t>
        </is>
      </c>
      <c r="C2" s="7">
        <f>VLOOKUP(A2,SizeData!A$2:B$3839,2,FALSE)</f>
        <v/>
      </c>
      <c r="D2" s="27" t="n">
        <v>20</v>
      </c>
      <c r="E2" s="88" t="inlineStr">
        <is>
          <t>R1870929</t>
        </is>
      </c>
      <c r="F2" s="23" t="n">
        <v>44879</v>
      </c>
    </row>
    <row r="3">
      <c r="A3" s="25" t="inlineStr">
        <is>
          <t>93566</t>
        </is>
      </c>
      <c r="B3" s="25" t="inlineStr">
        <is>
          <t>TAYLOR N Y PORT</t>
        </is>
      </c>
      <c r="C3" s="7">
        <f>VLOOKUP(A3,SizeData!A$2:B$3839,2,FALSE)</f>
        <v/>
      </c>
      <c r="D3" s="27" t="n">
        <v>20</v>
      </c>
      <c r="E3" s="88" t="inlineStr">
        <is>
          <t>R1870929</t>
        </is>
      </c>
      <c r="F3" s="23" t="n">
        <v>44879</v>
      </c>
    </row>
    <row r="4">
      <c r="A4" s="25" t="inlineStr">
        <is>
          <t>53214</t>
        </is>
      </c>
      <c r="B4" s="25" t="inlineStr">
        <is>
          <t>PAUL MASSON GRANDE AMBER BRANDY</t>
        </is>
      </c>
      <c r="C4" s="7">
        <f>VLOOKUP(A4,SizeData!A$2:B$3839,2,FALSE)</f>
        <v/>
      </c>
      <c r="D4" s="27" t="n">
        <v>20</v>
      </c>
      <c r="E4" s="88" t="inlineStr">
        <is>
          <t>R1870929</t>
        </is>
      </c>
      <c r="F4" s="23" t="n">
        <v>44879</v>
      </c>
    </row>
    <row r="5">
      <c r="A5" s="25" t="inlineStr">
        <is>
          <t>63319</t>
        </is>
      </c>
      <c r="B5" s="25" t="inlineStr">
        <is>
          <t>ON THE ROCKS EFFEN COSMOPOLITAN</t>
        </is>
      </c>
      <c r="C5" s="7">
        <f>VLOOKUP(A5,SizeData!A$2:B$3839,2,FALSE)</f>
        <v/>
      </c>
      <c r="D5" s="27" t="n">
        <v>60</v>
      </c>
      <c r="E5" s="88" t="inlineStr">
        <is>
          <t>R1870929</t>
        </is>
      </c>
      <c r="F5" s="23" t="n">
        <v>44879</v>
      </c>
    </row>
    <row r="6">
      <c r="A6" s="25" t="inlineStr">
        <is>
          <t>63321</t>
        </is>
      </c>
      <c r="B6" s="25" t="inlineStr">
        <is>
          <t>ON THE ROCKS HORINITOS MARGARITA</t>
        </is>
      </c>
      <c r="C6" s="7">
        <f>VLOOKUP(A6,SizeData!A$2:B$3839,2,FALSE)</f>
        <v/>
      </c>
      <c r="D6" s="27" t="n">
        <v>30</v>
      </c>
      <c r="E6" s="88" t="inlineStr">
        <is>
          <t>R1870929</t>
        </is>
      </c>
      <c r="F6" s="23" t="n">
        <v>44879</v>
      </c>
    </row>
  </sheetData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22"/>
  <sheetViews>
    <sheetView workbookViewId="0">
      <selection activeCell="D17" sqref="D17"/>
    </sheetView>
  </sheetViews>
  <sheetFormatPr baseColWidth="10" defaultColWidth="8.83203125" defaultRowHeight="15"/>
  <cols>
    <col width="46" bestFit="1" customWidth="1" min="4" max="4"/>
  </cols>
  <sheetData>
    <row r="1">
      <c r="A1" s="76" t="inlineStr">
        <is>
          <t>Retail Order Id</t>
        </is>
      </c>
      <c r="B1" s="76" t="inlineStr">
        <is>
          <t>Created</t>
        </is>
      </c>
      <c r="C1" s="76" t="inlineStr">
        <is>
          <t>Item Code</t>
        </is>
      </c>
      <c r="D1" s="76" t="inlineStr">
        <is>
          <t>Name</t>
        </is>
      </c>
      <c r="E1" s="76" t="inlineStr">
        <is>
          <t>Units</t>
        </is>
      </c>
      <c r="F1" s="77" t="inlineStr">
        <is>
          <t>Retailer Case Cost</t>
        </is>
      </c>
      <c r="G1" s="76" t="inlineStr">
        <is>
          <t>Quantity</t>
        </is>
      </c>
      <c r="H1" s="76" t="inlineStr">
        <is>
          <t>Requested</t>
        </is>
      </c>
      <c r="I1" s="76" t="inlineStr">
        <is>
          <t>Reserved</t>
        </is>
      </c>
      <c r="J1" s="76" t="inlineStr">
        <is>
          <t>Filled</t>
        </is>
      </c>
      <c r="K1" s="76" t="inlineStr">
        <is>
          <t>Order Status</t>
        </is>
      </c>
    </row>
    <row r="2">
      <c r="A2" s="25" t="inlineStr">
        <is>
          <t>R1019736A</t>
        </is>
      </c>
      <c r="B2" s="78" t="n">
        <v>44266</v>
      </c>
      <c r="C2" s="25" t="inlineStr">
        <is>
          <t>59192</t>
        </is>
      </c>
      <c r="D2" s="25" t="inlineStr">
        <is>
          <t>1800 BLACK CHERRY ULTIMATE MARGARITA</t>
        </is>
      </c>
      <c r="E2" s="27" t="n">
        <v>6</v>
      </c>
      <c r="F2" s="28" t="n">
        <v>106.81</v>
      </c>
      <c r="G2" s="27" t="n">
        <v>1</v>
      </c>
      <c r="H2" s="27" t="n">
        <v>1</v>
      </c>
      <c r="I2" s="27" t="n">
        <v>1</v>
      </c>
      <c r="J2" s="27" t="n">
        <v>1</v>
      </c>
      <c r="K2" s="25" t="inlineStr">
        <is>
          <t>Shipped</t>
        </is>
      </c>
    </row>
    <row r="3">
      <c r="A3" s="25" t="inlineStr">
        <is>
          <t>R1128492</t>
        </is>
      </c>
      <c r="B3" s="78" t="n">
        <v>44351</v>
      </c>
      <c r="C3" s="25" t="inlineStr">
        <is>
          <t>89695</t>
        </is>
      </c>
      <c r="D3" s="25" t="inlineStr">
        <is>
          <t>1800 NUEVO MILENIO</t>
        </is>
      </c>
      <c r="E3" s="27" t="n">
        <v>3</v>
      </c>
      <c r="F3" s="28" t="n">
        <v>507.5</v>
      </c>
      <c r="G3" s="27" t="n">
        <v>1</v>
      </c>
      <c r="H3" s="27" t="n">
        <v>1</v>
      </c>
      <c r="I3" s="27" t="n">
        <v>1</v>
      </c>
      <c r="J3" s="27" t="n">
        <v>1</v>
      </c>
      <c r="K3" s="25" t="inlineStr">
        <is>
          <t>Shipped</t>
        </is>
      </c>
    </row>
    <row r="4">
      <c r="A4" s="25" t="inlineStr">
        <is>
          <t>R1004582</t>
        </is>
      </c>
      <c r="B4" s="78" t="n">
        <v>44229</v>
      </c>
      <c r="C4" s="25" t="inlineStr">
        <is>
          <t>671421</t>
        </is>
      </c>
      <c r="D4" s="25" t="inlineStr">
        <is>
          <t>19 CRIMES CALI ROSE</t>
        </is>
      </c>
      <c r="E4" s="27" t="n">
        <v>12</v>
      </c>
      <c r="F4" s="28" t="n">
        <v>106.56</v>
      </c>
      <c r="G4" s="27" t="n">
        <v>15</v>
      </c>
      <c r="H4" s="27" t="n">
        <v>15</v>
      </c>
      <c r="I4" s="27" t="n">
        <v>15</v>
      </c>
      <c r="J4" s="27" t="n">
        <v>15</v>
      </c>
      <c r="K4" s="25" t="inlineStr">
        <is>
          <t>Shipped</t>
        </is>
      </c>
    </row>
    <row r="5">
      <c r="A5" s="25" t="inlineStr">
        <is>
          <t>R1264384</t>
        </is>
      </c>
      <c r="B5" s="78" t="n">
        <v>44481</v>
      </c>
      <c r="C5" s="25" t="inlineStr">
        <is>
          <t>81124</t>
        </is>
      </c>
      <c r="D5" s="25" t="inlineStr">
        <is>
          <t>99 BRAND PEPPERMINT</t>
        </is>
      </c>
      <c r="E5" s="27" t="n">
        <v>120</v>
      </c>
      <c r="F5" s="28" t="n">
        <v>79.2</v>
      </c>
      <c r="G5" s="27" t="n">
        <v>1</v>
      </c>
      <c r="H5" s="27" t="n">
        <v>1</v>
      </c>
      <c r="I5" s="27" t="n">
        <v>1</v>
      </c>
      <c r="J5" s="27" t="n">
        <v>1</v>
      </c>
      <c r="K5" s="25" t="inlineStr">
        <is>
          <t>Shipped</t>
        </is>
      </c>
    </row>
    <row r="6">
      <c r="A6" s="25" t="inlineStr">
        <is>
          <t>R990101A</t>
        </is>
      </c>
      <c r="B6" s="78" t="n">
        <v>44224</v>
      </c>
      <c r="C6" s="25" t="inlineStr">
        <is>
          <t>36768</t>
        </is>
      </c>
      <c r="D6" s="25" t="inlineStr">
        <is>
          <t>ABSOLUT GRAPEFRUIT FLAVORED VODKA</t>
        </is>
      </c>
      <c r="E6" s="27" t="n">
        <v>24</v>
      </c>
      <c r="F6" s="28" t="n">
        <v>119.82</v>
      </c>
      <c r="G6" s="27" t="n">
        <v>1</v>
      </c>
      <c r="H6" s="27" t="n">
        <v>1</v>
      </c>
      <c r="I6" s="27" t="n">
        <v>1</v>
      </c>
      <c r="J6" s="27" t="n">
        <v>1</v>
      </c>
      <c r="K6" s="25" t="inlineStr">
        <is>
          <t>Shipped</t>
        </is>
      </c>
    </row>
    <row r="7">
      <c r="A7" s="25" t="inlineStr">
        <is>
          <t>R1047542C</t>
        </is>
      </c>
      <c r="B7" s="78" t="n">
        <v>44314</v>
      </c>
      <c r="C7" s="25" t="inlineStr">
        <is>
          <t>36768</t>
        </is>
      </c>
      <c r="D7" s="25" t="inlineStr">
        <is>
          <t>ABSOLUT GRAPEFRUIT FLAVORED VODKA</t>
        </is>
      </c>
      <c r="E7" s="27" t="n">
        <v>24</v>
      </c>
      <c r="F7" s="28" t="n">
        <v>119.82</v>
      </c>
      <c r="G7" s="27" t="n">
        <v>1</v>
      </c>
      <c r="H7" s="27" t="n">
        <v>1</v>
      </c>
      <c r="I7" s="27" t="n">
        <v>1</v>
      </c>
      <c r="J7" s="27" t="n">
        <v>1</v>
      </c>
      <c r="K7" s="25" t="inlineStr">
        <is>
          <t>Shipped</t>
        </is>
      </c>
    </row>
    <row r="8">
      <c r="A8" s="25" t="inlineStr">
        <is>
          <t>R990101A</t>
        </is>
      </c>
      <c r="B8" s="78" t="n">
        <v>44224</v>
      </c>
      <c r="C8" s="25" t="inlineStr">
        <is>
          <t>64013</t>
        </is>
      </c>
      <c r="D8" s="25" t="inlineStr">
        <is>
          <t>ABSOLUT JUICE STRAWBERRY EDITION</t>
        </is>
      </c>
      <c r="E8" s="27" t="n">
        <v>24</v>
      </c>
      <c r="F8" s="28" t="n">
        <v>119.82</v>
      </c>
      <c r="G8" s="27" t="n">
        <v>1</v>
      </c>
      <c r="H8" s="27" t="n">
        <v>1</v>
      </c>
      <c r="I8" s="27" t="n">
        <v>1</v>
      </c>
      <c r="J8" s="27" t="n">
        <v>1</v>
      </c>
      <c r="K8" s="25" t="inlineStr">
        <is>
          <t>Shipped</t>
        </is>
      </c>
    </row>
    <row r="9">
      <c r="A9" s="25" t="inlineStr">
        <is>
          <t>R1047542A</t>
        </is>
      </c>
      <c r="B9" s="78" t="n">
        <v>44302</v>
      </c>
      <c r="C9" s="25" t="inlineStr">
        <is>
          <t>64013</t>
        </is>
      </c>
      <c r="D9" s="25" t="inlineStr">
        <is>
          <t>ABSOLUT JUICE STRAWBERRY EDITION</t>
        </is>
      </c>
      <c r="E9" s="27" t="n">
        <v>24</v>
      </c>
      <c r="F9" s="28" t="n">
        <v>119.82</v>
      </c>
      <c r="G9" s="27" t="n">
        <v>2</v>
      </c>
      <c r="H9" s="27" t="n">
        <v>2</v>
      </c>
      <c r="I9" s="27" t="n">
        <v>2</v>
      </c>
      <c r="J9" s="27" t="n">
        <v>2</v>
      </c>
      <c r="K9" s="25" t="inlineStr">
        <is>
          <t>Shipped</t>
        </is>
      </c>
    </row>
    <row r="10">
      <c r="A10" s="25" t="inlineStr">
        <is>
          <t>R990101A</t>
        </is>
      </c>
      <c r="B10" s="78" t="n">
        <v>44224</v>
      </c>
      <c r="C10" s="25" t="inlineStr">
        <is>
          <t>36685</t>
        </is>
      </c>
      <c r="D10" s="25" t="inlineStr">
        <is>
          <t>ABSOLUT LIME FLAVORED VODKA</t>
        </is>
      </c>
      <c r="E10" s="27" t="n">
        <v>24</v>
      </c>
      <c r="F10" s="28" t="n">
        <v>119.82</v>
      </c>
      <c r="G10" s="27" t="n">
        <v>1</v>
      </c>
      <c r="H10" s="27" t="n">
        <v>1</v>
      </c>
      <c r="I10" s="27" t="n">
        <v>1</v>
      </c>
      <c r="J10" s="27" t="n">
        <v>1</v>
      </c>
      <c r="K10" s="25" t="inlineStr">
        <is>
          <t>Shipped</t>
        </is>
      </c>
    </row>
    <row r="11">
      <c r="A11" s="25" t="inlineStr">
        <is>
          <t>R1047542</t>
        </is>
      </c>
      <c r="B11" s="78" t="n">
        <v>44260</v>
      </c>
      <c r="C11" s="25" t="inlineStr">
        <is>
          <t>36685</t>
        </is>
      </c>
      <c r="D11" s="25" t="inlineStr">
        <is>
          <t>ABSOLUT LIME FLAVORED VODKA</t>
        </is>
      </c>
      <c r="E11" s="27" t="n">
        <v>24</v>
      </c>
      <c r="F11" s="28" t="n">
        <v>119.82</v>
      </c>
      <c r="G11" s="27" t="n">
        <v>1</v>
      </c>
      <c r="H11" s="27" t="n">
        <v>1</v>
      </c>
      <c r="I11" s="27" t="n">
        <v>1</v>
      </c>
      <c r="J11" s="27" t="n">
        <v>1</v>
      </c>
      <c r="K11" s="25" t="inlineStr">
        <is>
          <t>Shipped</t>
        </is>
      </c>
    </row>
    <row r="12">
      <c r="A12" s="25" t="inlineStr">
        <is>
          <t>R1323780</t>
        </is>
      </c>
      <c r="B12" s="78" t="n">
        <v>44512</v>
      </c>
      <c r="C12" s="25" t="inlineStr">
        <is>
          <t>87025</t>
        </is>
      </c>
      <c r="D12" s="25" t="inlineStr">
        <is>
          <t>ADICTIVO PLATA TEQUILA</t>
        </is>
      </c>
      <c r="E12" s="27" t="n">
        <v>6</v>
      </c>
      <c r="F12" s="28" t="n">
        <v>230.74</v>
      </c>
      <c r="G12" s="27" t="n">
        <v>1</v>
      </c>
      <c r="H12" s="27" t="n">
        <v>1</v>
      </c>
      <c r="I12" s="27" t="n">
        <v>1</v>
      </c>
      <c r="J12" s="27" t="n">
        <v>1</v>
      </c>
      <c r="K12" s="25" t="inlineStr">
        <is>
          <t>Shipped</t>
        </is>
      </c>
    </row>
    <row r="13">
      <c r="A13" s="25" t="inlineStr">
        <is>
          <t>R1330163</t>
        </is>
      </c>
      <c r="B13" s="78" t="n">
        <v>44512</v>
      </c>
      <c r="C13" s="25" t="inlineStr">
        <is>
          <t>47541</t>
        </is>
      </c>
      <c r="D13" s="25" t="inlineStr">
        <is>
          <t>ANSAC BLACK KNIGHT SELECTION COGNAC</t>
        </is>
      </c>
      <c r="E13" s="27" t="n">
        <v>6</v>
      </c>
      <c r="F13" s="28" t="n">
        <v>138.43</v>
      </c>
      <c r="G13" s="27" t="n">
        <v>2</v>
      </c>
      <c r="H13" s="27" t="n">
        <v>2</v>
      </c>
      <c r="I13" s="27" t="n">
        <v>2</v>
      </c>
      <c r="J13" s="27" t="n">
        <v>2</v>
      </c>
      <c r="K13" s="25" t="inlineStr">
        <is>
          <t>Shipped</t>
        </is>
      </c>
    </row>
    <row r="14">
      <c r="A14" s="25" t="inlineStr">
        <is>
          <t>R1011090</t>
        </is>
      </c>
      <c r="B14" s="78" t="n">
        <v>44224</v>
      </c>
      <c r="C14" s="25" t="inlineStr">
        <is>
          <t>441988</t>
        </is>
      </c>
      <c r="D14" s="25" t="inlineStr">
        <is>
          <t>APOTHIC MERLOT CALIFORNIA</t>
        </is>
      </c>
      <c r="E14" s="27" t="n">
        <v>12</v>
      </c>
      <c r="F14" s="28" t="n">
        <v>94.2</v>
      </c>
      <c r="G14" s="27" t="n">
        <v>1</v>
      </c>
      <c r="H14" s="27" t="n">
        <v>1</v>
      </c>
      <c r="I14" s="27" t="n">
        <v>1</v>
      </c>
      <c r="J14" s="27" t="n">
        <v>1</v>
      </c>
      <c r="K14" s="25" t="inlineStr">
        <is>
          <t>Shipped</t>
        </is>
      </c>
    </row>
    <row r="15">
      <c r="A15" s="25" t="inlineStr">
        <is>
          <t>R1011090</t>
        </is>
      </c>
      <c r="B15" s="78" t="n">
        <v>44224</v>
      </c>
      <c r="C15" s="25" t="inlineStr">
        <is>
          <t>441985</t>
        </is>
      </c>
      <c r="D15" s="25" t="inlineStr">
        <is>
          <t>APOTHIC PINOT NOIR WITH A DARK SIDE</t>
        </is>
      </c>
      <c r="E15" s="27" t="n">
        <v>12</v>
      </c>
      <c r="F15" s="28" t="n">
        <v>94.2</v>
      </c>
      <c r="G15" s="27" t="n">
        <v>4</v>
      </c>
      <c r="H15" s="27" t="n">
        <v>4</v>
      </c>
      <c r="I15" s="27" t="n">
        <v>4</v>
      </c>
      <c r="J15" s="27" t="n">
        <v>4</v>
      </c>
      <c r="K15" s="25" t="inlineStr">
        <is>
          <t>Shipped</t>
        </is>
      </c>
    </row>
    <row r="16">
      <c r="A16" s="25" t="inlineStr">
        <is>
          <t>R1337363</t>
        </is>
      </c>
      <c r="B16" s="78" t="n">
        <v>44523</v>
      </c>
      <c r="C16" s="25" t="inlineStr">
        <is>
          <t>701003</t>
        </is>
      </c>
      <c r="D16" s="25" t="inlineStr">
        <is>
          <t>ARMAND DE BRIGNAC ACE OF SPADE</t>
        </is>
      </c>
      <c r="E16" s="27" t="n">
        <v>6</v>
      </c>
      <c r="F16" s="28" t="n">
        <v>1333.34</v>
      </c>
      <c r="G16" s="27" t="n">
        <v>1</v>
      </c>
      <c r="H16" s="27" t="n">
        <v>1</v>
      </c>
      <c r="I16" s="27" t="n">
        <v>1</v>
      </c>
      <c r="J16" s="27" t="n">
        <v>1</v>
      </c>
      <c r="K16" s="25" t="inlineStr">
        <is>
          <t>Shipped</t>
        </is>
      </c>
    </row>
    <row r="17">
      <c r="A17" s="25" t="inlineStr">
        <is>
          <t>R1311462A</t>
        </is>
      </c>
      <c r="B17" s="78" t="n">
        <v>44523</v>
      </c>
      <c r="C17" s="25" t="inlineStr">
        <is>
          <t>701003</t>
        </is>
      </c>
      <c r="D17" s="25" t="inlineStr">
        <is>
          <t>ARMAND DE BRIGNAC ACE OF SPADE</t>
        </is>
      </c>
      <c r="E17" s="27" t="n">
        <v>6</v>
      </c>
      <c r="F17" s="28" t="n">
        <v>1333.34</v>
      </c>
      <c r="G17" s="27" t="n">
        <v>9</v>
      </c>
      <c r="H17" s="27" t="n">
        <v>9</v>
      </c>
      <c r="I17" s="27" t="n">
        <v>9</v>
      </c>
      <c r="J17" s="27" t="n">
        <v>9</v>
      </c>
      <c r="K17" s="25" t="inlineStr">
        <is>
          <t>Shipped</t>
        </is>
      </c>
    </row>
    <row r="18">
      <c r="A18" s="25" t="inlineStr">
        <is>
          <t>R1128443</t>
        </is>
      </c>
      <c r="B18" s="78" t="n">
        <v>44341</v>
      </c>
      <c r="C18" s="25" t="inlineStr">
        <is>
          <t>701006</t>
        </is>
      </c>
      <c r="D18" s="25" t="inlineStr">
        <is>
          <t>ARMAND DE BRIGNAC ACE OF SPADES ROSE</t>
        </is>
      </c>
      <c r="E18" s="27" t="n">
        <v>6</v>
      </c>
      <c r="F18" s="28" t="n">
        <v>1937.82</v>
      </c>
      <c r="G18" s="27" t="n">
        <v>1</v>
      </c>
      <c r="H18" s="27" t="n">
        <v>1</v>
      </c>
      <c r="I18" s="27" t="n">
        <v>1</v>
      </c>
      <c r="J18" s="27" t="n">
        <v>1</v>
      </c>
      <c r="K18" s="25" t="inlineStr">
        <is>
          <t>Shipped</t>
        </is>
      </c>
    </row>
    <row r="19">
      <c r="A19" s="25" t="inlineStr">
        <is>
          <t>R1152725</t>
        </is>
      </c>
      <c r="B19" s="78" t="n">
        <v>44370</v>
      </c>
      <c r="C19" s="25" t="inlineStr">
        <is>
          <t>85417</t>
        </is>
      </c>
      <c r="D19" s="25" t="inlineStr">
        <is>
          <t>ARROW BLUE CURACAO</t>
        </is>
      </c>
      <c r="E19" s="27" t="n">
        <v>12</v>
      </c>
      <c r="F19" s="28" t="n">
        <v>79.97</v>
      </c>
      <c r="G19" s="27" t="n">
        <v>1</v>
      </c>
      <c r="H19" s="27" t="n">
        <v>1</v>
      </c>
      <c r="I19" s="27" t="n">
        <v>1</v>
      </c>
      <c r="J19" s="27" t="n">
        <v>1</v>
      </c>
      <c r="K19" s="25" t="inlineStr">
        <is>
          <t>Shipped</t>
        </is>
      </c>
    </row>
    <row r="20">
      <c r="A20" s="25" t="inlineStr">
        <is>
          <t>R1068714</t>
        </is>
      </c>
      <c r="B20" s="78" t="n">
        <v>44279</v>
      </c>
      <c r="C20" s="25" t="inlineStr">
        <is>
          <t>88827</t>
        </is>
      </c>
      <c r="D20" s="25" t="inlineStr">
        <is>
          <t>AVION RESERVA 44 EXTRA ANEJO TEQUILA</t>
        </is>
      </c>
      <c r="E20" s="27" t="n">
        <v>4</v>
      </c>
      <c r="F20" s="28" t="n">
        <v>369.19</v>
      </c>
      <c r="G20" s="27" t="n">
        <v>2</v>
      </c>
      <c r="H20" s="27" t="n">
        <v>2</v>
      </c>
      <c r="I20" s="27" t="n">
        <v>2</v>
      </c>
      <c r="J20" s="27" t="n">
        <v>2</v>
      </c>
      <c r="K20" s="25" t="inlineStr">
        <is>
          <t>Shipped</t>
        </is>
      </c>
    </row>
    <row r="21">
      <c r="A21" s="25" t="inlineStr">
        <is>
          <t>R1150982</t>
        </is>
      </c>
      <c r="B21" s="78" t="n">
        <v>44364</v>
      </c>
      <c r="C21" s="25" t="inlineStr">
        <is>
          <t>88827</t>
        </is>
      </c>
      <c r="D21" s="25" t="inlineStr">
        <is>
          <t>AVION RESERVA 44 EXTRA ANEJO TEQUILA</t>
        </is>
      </c>
      <c r="E21" s="27" t="n">
        <v>4</v>
      </c>
      <c r="F21" s="28" t="n">
        <v>369.19</v>
      </c>
      <c r="G21" s="27" t="n">
        <v>2</v>
      </c>
      <c r="H21" s="27" t="n">
        <v>2</v>
      </c>
      <c r="I21" s="27" t="n">
        <v>2</v>
      </c>
      <c r="J21" s="27" t="n">
        <v>2</v>
      </c>
      <c r="K21" s="25" t="inlineStr">
        <is>
          <t>Shipped</t>
        </is>
      </c>
    </row>
    <row r="22">
      <c r="A22" s="25" t="inlineStr">
        <is>
          <t>R1241157</t>
        </is>
      </c>
      <c r="B22" s="78" t="n">
        <v>44449</v>
      </c>
      <c r="C22" s="25" t="inlineStr">
        <is>
          <t>88827</t>
        </is>
      </c>
      <c r="D22" s="25" t="inlineStr">
        <is>
          <t>AVION RESERVA 44 EXTRA ANEJO TEQUILA</t>
        </is>
      </c>
      <c r="E22" s="27" t="n">
        <v>4</v>
      </c>
      <c r="F22" s="28" t="n">
        <v>369.19</v>
      </c>
      <c r="G22" s="27" t="n">
        <v>3</v>
      </c>
      <c r="H22" s="27" t="n">
        <v>3</v>
      </c>
      <c r="I22" s="27" t="n">
        <v>3</v>
      </c>
      <c r="J22" s="27" t="n">
        <v>3</v>
      </c>
      <c r="K22" s="25" t="inlineStr">
        <is>
          <t>Shipped</t>
        </is>
      </c>
    </row>
    <row r="23">
      <c r="A23" s="25" t="inlineStr">
        <is>
          <t>R1106698</t>
        </is>
      </c>
      <c r="B23" s="78" t="n">
        <v>44321</v>
      </c>
      <c r="C23" s="25" t="inlineStr">
        <is>
          <t>88958</t>
        </is>
      </c>
      <c r="D23" s="25" t="inlineStr">
        <is>
          <t>AVION RESERVE 44 EXT ANEJO LUMINOUS LBL</t>
        </is>
      </c>
      <c r="E23" s="27" t="n">
        <v>3</v>
      </c>
      <c r="F23" s="28" t="n">
        <v>461.52</v>
      </c>
      <c r="G23" s="27" t="n">
        <v>1</v>
      </c>
      <c r="H23" s="27" t="n">
        <v>1</v>
      </c>
      <c r="I23" s="27" t="n">
        <v>1</v>
      </c>
      <c r="J23" s="27" t="n">
        <v>1</v>
      </c>
      <c r="K23" s="25" t="inlineStr">
        <is>
          <t>Shipped</t>
        </is>
      </c>
    </row>
    <row r="24">
      <c r="A24" s="25" t="inlineStr">
        <is>
          <t>R1125213</t>
        </is>
      </c>
      <c r="B24" s="78" t="n">
        <v>44307</v>
      </c>
      <c r="C24" s="25" t="inlineStr">
        <is>
          <t>88958</t>
        </is>
      </c>
      <c r="D24" s="25" t="inlineStr">
        <is>
          <t>AVION RESERVE 44 EXT ANEJO LUMINOUS LBL</t>
        </is>
      </c>
      <c r="E24" s="27" t="n">
        <v>3</v>
      </c>
      <c r="F24" s="28" t="n">
        <v>461.52</v>
      </c>
      <c r="G24" s="27" t="n">
        <v>1</v>
      </c>
      <c r="H24" s="27" t="n">
        <v>1</v>
      </c>
      <c r="I24" s="27" t="n">
        <v>1</v>
      </c>
      <c r="J24" s="27" t="n">
        <v>1</v>
      </c>
      <c r="K24" s="25" t="inlineStr">
        <is>
          <t>Shipped</t>
        </is>
      </c>
    </row>
    <row r="25">
      <c r="A25" s="25" t="inlineStr">
        <is>
          <t>R1004033B</t>
        </is>
      </c>
      <c r="B25" s="78" t="n">
        <v>44252</v>
      </c>
      <c r="C25" s="25" t="inlineStr">
        <is>
          <t>87154</t>
        </is>
      </c>
      <c r="D25" s="25" t="inlineStr">
        <is>
          <t>AVION SILVER</t>
        </is>
      </c>
      <c r="E25" s="27" t="n">
        <v>3</v>
      </c>
      <c r="F25" s="28" t="n">
        <v>207.68</v>
      </c>
      <c r="G25" s="27" t="n">
        <v>3</v>
      </c>
      <c r="H25" s="27" t="n">
        <v>3</v>
      </c>
      <c r="I25" s="27" t="n">
        <v>3</v>
      </c>
      <c r="J25" s="27" t="n">
        <v>2</v>
      </c>
      <c r="K25" s="25" t="inlineStr">
        <is>
          <t>Shipped</t>
        </is>
      </c>
    </row>
    <row r="26">
      <c r="A26" s="25" t="inlineStr">
        <is>
          <t>R1042548</t>
        </is>
      </c>
      <c r="B26" s="78" t="n">
        <v>44257</v>
      </c>
      <c r="C26" s="25" t="inlineStr">
        <is>
          <t>87154</t>
        </is>
      </c>
      <c r="D26" s="25" t="inlineStr">
        <is>
          <t>AVION SILVER</t>
        </is>
      </c>
      <c r="E26" s="27" t="n">
        <v>3</v>
      </c>
      <c r="F26" s="28" t="n">
        <v>207.68</v>
      </c>
      <c r="G26" s="27" t="n">
        <v>1</v>
      </c>
      <c r="H26" s="27" t="n">
        <v>1</v>
      </c>
      <c r="I26" s="27" t="n">
        <v>1</v>
      </c>
      <c r="J26" s="27" t="n">
        <v>1</v>
      </c>
      <c r="K26" s="25" t="inlineStr">
        <is>
          <t>Shipped</t>
        </is>
      </c>
    </row>
    <row r="27">
      <c r="A27" s="25" t="inlineStr">
        <is>
          <t>R1074663</t>
        </is>
      </c>
      <c r="B27" s="78" t="n">
        <v>44288</v>
      </c>
      <c r="C27" s="25" t="inlineStr">
        <is>
          <t>16652</t>
        </is>
      </c>
      <c r="D27" s="25" t="inlineStr">
        <is>
          <t>BARDSTOWN BOURBON FUSION SERIES</t>
        </is>
      </c>
      <c r="E27" s="27" t="n">
        <v>6</v>
      </c>
      <c r="F27" s="28" t="n">
        <v>276.88</v>
      </c>
      <c r="G27" s="27" t="n">
        <v>1</v>
      </c>
      <c r="H27" s="27" t="n">
        <v>1</v>
      </c>
      <c r="I27" s="27" t="n">
        <v>1</v>
      </c>
      <c r="J27" s="27" t="n">
        <v>1</v>
      </c>
      <c r="K27" s="25" t="inlineStr">
        <is>
          <t>Shipped</t>
        </is>
      </c>
    </row>
    <row r="28">
      <c r="A28" s="25" t="inlineStr">
        <is>
          <t>R998058</t>
        </is>
      </c>
      <c r="B28" s="78" t="n">
        <v>44211</v>
      </c>
      <c r="C28" s="25" t="inlineStr">
        <is>
          <t>347204</t>
        </is>
      </c>
      <c r="D28" s="25" t="inlineStr">
        <is>
          <t>BARONE MONTALTO PINOT GRIGIO</t>
        </is>
      </c>
      <c r="E28" s="27" t="n">
        <v>12</v>
      </c>
      <c r="F28" s="28" t="n">
        <v>82.33</v>
      </c>
      <c r="G28" s="27" t="n">
        <v>1</v>
      </c>
      <c r="H28" s="27" t="n">
        <v>1</v>
      </c>
      <c r="I28" s="27" t="n">
        <v>1</v>
      </c>
      <c r="J28" s="27" t="n">
        <v>1</v>
      </c>
      <c r="K28" s="25" t="inlineStr">
        <is>
          <t>Shipped</t>
        </is>
      </c>
    </row>
    <row r="29">
      <c r="A29" s="25" t="inlineStr">
        <is>
          <t>R1121088</t>
        </is>
      </c>
      <c r="B29" s="78" t="n">
        <v>44334</v>
      </c>
      <c r="C29" s="25" t="inlineStr">
        <is>
          <t>347204</t>
        </is>
      </c>
      <c r="D29" s="25" t="inlineStr">
        <is>
          <t>BARONE MONTALTO PINOT GRIGIO</t>
        </is>
      </c>
      <c r="E29" s="27" t="n">
        <v>12</v>
      </c>
      <c r="F29" s="28" t="n">
        <v>82.33</v>
      </c>
      <c r="G29" s="27" t="n">
        <v>1</v>
      </c>
      <c r="H29" s="27" t="n">
        <v>1</v>
      </c>
      <c r="I29" s="27" t="n">
        <v>1</v>
      </c>
      <c r="J29" s="27" t="n">
        <v>1</v>
      </c>
      <c r="K29" s="25" t="inlineStr">
        <is>
          <t>Shipped</t>
        </is>
      </c>
    </row>
    <row r="30">
      <c r="A30" s="25" t="inlineStr">
        <is>
          <t>R1390326</t>
        </is>
      </c>
      <c r="B30" s="78" t="n">
        <v>44550</v>
      </c>
      <c r="C30" s="25" t="inlineStr">
        <is>
          <t>16685</t>
        </is>
      </c>
      <c r="D30" s="25" t="inlineStr">
        <is>
          <t>BASIL HAYDEN'S TOAST KENTUCKY SBW</t>
        </is>
      </c>
      <c r="E30" s="27" t="n">
        <v>6</v>
      </c>
      <c r="F30" s="28" t="n">
        <v>231.72</v>
      </c>
      <c r="G30" s="27" t="n">
        <v>1</v>
      </c>
      <c r="H30" s="27" t="n">
        <v>1</v>
      </c>
      <c r="I30" s="27" t="n">
        <v>1</v>
      </c>
      <c r="J30" s="27" t="n">
        <v>1</v>
      </c>
      <c r="K30" s="25" t="inlineStr">
        <is>
          <t>Shipped</t>
        </is>
      </c>
    </row>
    <row r="31">
      <c r="A31" s="25" t="inlineStr">
        <is>
          <t>R997629</t>
        </is>
      </c>
      <c r="B31" s="78" t="n">
        <v>44203</v>
      </c>
      <c r="C31" s="25" t="inlineStr">
        <is>
          <t>902439</t>
        </is>
      </c>
      <c r="D31" s="25" t="inlineStr">
        <is>
          <t>BELLA VITA SWEET RED</t>
        </is>
      </c>
      <c r="E31" s="27" t="n">
        <v>12</v>
      </c>
      <c r="F31" s="28" t="n">
        <v>117</v>
      </c>
      <c r="G31" s="27" t="n">
        <v>2</v>
      </c>
      <c r="H31" s="27" t="n">
        <v>2</v>
      </c>
      <c r="I31" s="27" t="n">
        <v>2</v>
      </c>
      <c r="J31" s="27" t="n">
        <v>2</v>
      </c>
      <c r="K31" s="25" t="inlineStr">
        <is>
          <t>Shipped</t>
        </is>
      </c>
    </row>
    <row r="32">
      <c r="A32" s="25" t="inlineStr">
        <is>
          <t>R1174139</t>
        </is>
      </c>
      <c r="B32" s="78" t="n">
        <v>44392</v>
      </c>
      <c r="C32" s="25" t="inlineStr">
        <is>
          <t>902439</t>
        </is>
      </c>
      <c r="D32" s="25" t="inlineStr">
        <is>
          <t>BELLA VITA SWEET RED</t>
        </is>
      </c>
      <c r="E32" s="27" t="n">
        <v>12</v>
      </c>
      <c r="F32" s="28" t="n">
        <v>117</v>
      </c>
      <c r="G32" s="27" t="n">
        <v>1</v>
      </c>
      <c r="H32" s="27" t="n">
        <v>1</v>
      </c>
      <c r="I32" s="27" t="n">
        <v>1</v>
      </c>
      <c r="J32" s="27" t="n">
        <v>1</v>
      </c>
      <c r="K32" s="25" t="inlineStr">
        <is>
          <t>Shipped</t>
        </is>
      </c>
    </row>
    <row r="33">
      <c r="A33" s="25" t="inlineStr">
        <is>
          <t>R1025063</t>
        </is>
      </c>
      <c r="B33" s="78" t="n">
        <v>44236</v>
      </c>
      <c r="C33" s="25" t="inlineStr">
        <is>
          <t>905469</t>
        </is>
      </c>
      <c r="D33" s="25" t="inlineStr">
        <is>
          <t>BELLINI CIPRIANI NV (CPWM)</t>
        </is>
      </c>
      <c r="E33" s="27" t="n">
        <v>12</v>
      </c>
      <c r="F33" s="28" t="n">
        <v>153</v>
      </c>
      <c r="G33" s="27" t="n">
        <v>1</v>
      </c>
      <c r="H33" s="27" t="n">
        <v>1</v>
      </c>
      <c r="I33" s="27" t="n">
        <v>1</v>
      </c>
      <c r="J33" s="27" t="n">
        <v>1</v>
      </c>
      <c r="K33" s="25" t="inlineStr">
        <is>
          <t>Shipped</t>
        </is>
      </c>
    </row>
    <row r="34">
      <c r="A34" s="25" t="inlineStr">
        <is>
          <t>R1105660</t>
        </is>
      </c>
      <c r="B34" s="78" t="n">
        <v>44315</v>
      </c>
      <c r="C34" s="25" t="inlineStr">
        <is>
          <t>905469</t>
        </is>
      </c>
      <c r="D34" s="25" t="inlineStr">
        <is>
          <t>BELLINI CIPRIANI NV (CPWM)</t>
        </is>
      </c>
      <c r="E34" s="27" t="n">
        <v>12</v>
      </c>
      <c r="F34" s="28" t="n">
        <v>153</v>
      </c>
      <c r="G34" s="27" t="n">
        <v>1</v>
      </c>
      <c r="H34" s="27" t="n">
        <v>1</v>
      </c>
      <c r="I34" s="27" t="n">
        <v>1</v>
      </c>
      <c r="J34" s="27" t="n">
        <v>1</v>
      </c>
      <c r="K34" s="25" t="inlineStr">
        <is>
          <t>Shipped</t>
        </is>
      </c>
    </row>
    <row r="35">
      <c r="A35" s="25" t="inlineStr">
        <is>
          <t>R1329249</t>
        </is>
      </c>
      <c r="B35" s="78" t="n">
        <v>44522</v>
      </c>
      <c r="C35" s="25" t="inlineStr">
        <is>
          <t>16832</t>
        </is>
      </c>
      <c r="D35" s="25" t="inlineStr">
        <is>
          <t>BLADE AND BOW KENTUCKY STRAIGHT BOURBON</t>
        </is>
      </c>
      <c r="E35" s="27" t="n">
        <v>6</v>
      </c>
      <c r="F35" s="28" t="n">
        <v>230.71</v>
      </c>
      <c r="G35" s="27" t="n">
        <v>2</v>
      </c>
      <c r="H35" s="27" t="n">
        <v>2</v>
      </c>
      <c r="I35" s="27" t="n">
        <v>2</v>
      </c>
      <c r="J35" s="27" t="n">
        <v>2</v>
      </c>
      <c r="K35" s="25" t="inlineStr">
        <is>
          <t>Shipped</t>
        </is>
      </c>
    </row>
    <row r="36">
      <c r="A36" s="25" t="inlineStr">
        <is>
          <t>R986989</t>
        </is>
      </c>
      <c r="B36" s="78" t="n">
        <v>44202</v>
      </c>
      <c r="C36" s="25" t="inlineStr">
        <is>
          <t>16850</t>
        </is>
      </c>
      <c r="D36" s="25" t="inlineStr">
        <is>
          <t>BLANTON SINGLE BARREL BOURBON</t>
        </is>
      </c>
      <c r="E36" s="27" t="n">
        <v>6</v>
      </c>
      <c r="F36" s="28" t="n">
        <v>276.88</v>
      </c>
      <c r="G36" s="27" t="n">
        <v>1</v>
      </c>
      <c r="H36" s="27" t="n">
        <v>1</v>
      </c>
      <c r="I36" s="27" t="n">
        <v>1</v>
      </c>
      <c r="J36" s="27" t="n">
        <v>1</v>
      </c>
      <c r="K36" s="25" t="inlineStr">
        <is>
          <t>Shipped</t>
        </is>
      </c>
    </row>
    <row r="37">
      <c r="A37" s="25" t="inlineStr">
        <is>
          <t>R995785</t>
        </is>
      </c>
      <c r="B37" s="78" t="n">
        <v>44204</v>
      </c>
      <c r="C37" s="25" t="inlineStr">
        <is>
          <t>16850</t>
        </is>
      </c>
      <c r="D37" s="25" t="inlineStr">
        <is>
          <t>BLANTON SINGLE BARREL BOURBON</t>
        </is>
      </c>
      <c r="E37" s="27" t="n">
        <v>6</v>
      </c>
      <c r="F37" s="28" t="n">
        <v>276.88</v>
      </c>
      <c r="G37" s="27" t="n">
        <v>1</v>
      </c>
      <c r="H37" s="27" t="n">
        <v>1</v>
      </c>
      <c r="I37" s="27" t="n">
        <v>1</v>
      </c>
      <c r="J37" s="27" t="n">
        <v>1</v>
      </c>
      <c r="K37" s="25" t="inlineStr">
        <is>
          <t>Shipped</t>
        </is>
      </c>
    </row>
    <row r="38">
      <c r="A38" s="25" t="inlineStr">
        <is>
          <t>R1019916</t>
        </is>
      </c>
      <c r="B38" s="78" t="n">
        <v>44232</v>
      </c>
      <c r="C38" s="25" t="inlineStr">
        <is>
          <t>16850</t>
        </is>
      </c>
      <c r="D38" s="25" t="inlineStr">
        <is>
          <t>BLANTON SINGLE BARREL BOURBON</t>
        </is>
      </c>
      <c r="E38" s="27" t="n">
        <v>6</v>
      </c>
      <c r="F38" s="28" t="n">
        <v>276.88</v>
      </c>
      <c r="G38" s="27" t="n">
        <v>1</v>
      </c>
      <c r="H38" s="27" t="n">
        <v>1</v>
      </c>
      <c r="I38" s="27" t="n">
        <v>1</v>
      </c>
      <c r="J38" s="27" t="n">
        <v>1</v>
      </c>
      <c r="K38" s="25" t="inlineStr">
        <is>
          <t>Shipped</t>
        </is>
      </c>
    </row>
    <row r="39">
      <c r="A39" s="25" t="inlineStr">
        <is>
          <t>R1046466</t>
        </is>
      </c>
      <c r="B39" s="78" t="n">
        <v>44260</v>
      </c>
      <c r="C39" s="25" t="inlineStr">
        <is>
          <t>16850</t>
        </is>
      </c>
      <c r="D39" s="25" t="inlineStr">
        <is>
          <t>BLANTON SINGLE BARREL BOURBON</t>
        </is>
      </c>
      <c r="E39" s="27" t="n">
        <v>6</v>
      </c>
      <c r="F39" s="28" t="n">
        <v>276.88</v>
      </c>
      <c r="G39" s="27" t="n">
        <v>1</v>
      </c>
      <c r="H39" s="27" t="n">
        <v>1</v>
      </c>
      <c r="I39" s="27" t="n">
        <v>1</v>
      </c>
      <c r="J39" s="27" t="n">
        <v>1</v>
      </c>
      <c r="K39" s="25" t="inlineStr">
        <is>
          <t>Shipped</t>
        </is>
      </c>
    </row>
    <row r="40">
      <c r="A40" s="25" t="inlineStr">
        <is>
          <t>R1077572</t>
        </is>
      </c>
      <c r="B40" s="78" t="n">
        <v>44288</v>
      </c>
      <c r="C40" s="25" t="inlineStr">
        <is>
          <t>16850</t>
        </is>
      </c>
      <c r="D40" s="25" t="inlineStr">
        <is>
          <t>BLANTON SINGLE BARREL BOURBON</t>
        </is>
      </c>
      <c r="E40" s="27" t="n">
        <v>6</v>
      </c>
      <c r="F40" s="28" t="n">
        <v>276.88</v>
      </c>
      <c r="G40" s="27" t="n">
        <v>1</v>
      </c>
      <c r="H40" s="27" t="n">
        <v>1</v>
      </c>
      <c r="I40" s="27" t="n">
        <v>1</v>
      </c>
      <c r="J40" s="27" t="n">
        <v>1</v>
      </c>
      <c r="K40" s="25" t="inlineStr">
        <is>
          <t>Shipped</t>
        </is>
      </c>
    </row>
    <row r="41">
      <c r="A41" s="25" t="inlineStr">
        <is>
          <t>R1104143</t>
        </is>
      </c>
      <c r="B41" s="78" t="n">
        <v>44316</v>
      </c>
      <c r="C41" s="25" t="inlineStr">
        <is>
          <t>16850</t>
        </is>
      </c>
      <c r="D41" s="25" t="inlineStr">
        <is>
          <t>BLANTON SINGLE BARREL BOURBON</t>
        </is>
      </c>
      <c r="E41" s="27" t="n">
        <v>6</v>
      </c>
      <c r="F41" s="28" t="n">
        <v>276.88</v>
      </c>
      <c r="G41" s="27" t="n">
        <v>1</v>
      </c>
      <c r="H41" s="27" t="n">
        <v>1</v>
      </c>
      <c r="I41" s="27" t="n">
        <v>1</v>
      </c>
      <c r="J41" s="27" t="n">
        <v>1</v>
      </c>
      <c r="K41" s="25" t="inlineStr">
        <is>
          <t>Shipped</t>
        </is>
      </c>
    </row>
    <row r="42">
      <c r="A42" s="25" t="inlineStr">
        <is>
          <t>R1165450</t>
        </is>
      </c>
      <c r="B42" s="78" t="n">
        <v>44361</v>
      </c>
      <c r="C42" s="25" t="inlineStr">
        <is>
          <t>16850</t>
        </is>
      </c>
      <c r="D42" s="25" t="inlineStr">
        <is>
          <t>BLANTON SINGLE BARREL BOURBON</t>
        </is>
      </c>
      <c r="E42" s="27" t="n">
        <v>6</v>
      </c>
      <c r="F42" s="28" t="n">
        <v>276.88</v>
      </c>
      <c r="G42" s="27" t="n">
        <v>1</v>
      </c>
      <c r="H42" s="27" t="n">
        <v>1</v>
      </c>
      <c r="I42" s="27" t="n">
        <v>1</v>
      </c>
      <c r="J42" s="27" t="n">
        <v>1</v>
      </c>
      <c r="K42" s="25" t="inlineStr">
        <is>
          <t>Shipped</t>
        </is>
      </c>
    </row>
    <row r="43">
      <c r="A43" s="25" t="inlineStr">
        <is>
          <t>R1175759</t>
        </is>
      </c>
      <c r="B43" s="78" t="n">
        <v>44386</v>
      </c>
      <c r="C43" s="25" t="inlineStr">
        <is>
          <t>16850</t>
        </is>
      </c>
      <c r="D43" s="25" t="inlineStr">
        <is>
          <t>BLANTON SINGLE BARREL BOURBON</t>
        </is>
      </c>
      <c r="E43" s="27" t="n">
        <v>6</v>
      </c>
      <c r="F43" s="28" t="n">
        <v>276.88</v>
      </c>
      <c r="G43" s="27" t="n">
        <v>1</v>
      </c>
      <c r="H43" s="27" t="n">
        <v>1</v>
      </c>
      <c r="I43" s="27" t="n">
        <v>1</v>
      </c>
      <c r="J43" s="27" t="n">
        <v>1</v>
      </c>
      <c r="K43" s="25" t="inlineStr">
        <is>
          <t>Shipped</t>
        </is>
      </c>
    </row>
    <row r="44">
      <c r="A44" s="25" t="inlineStr">
        <is>
          <t>R1207082</t>
        </is>
      </c>
      <c r="B44" s="78" t="n">
        <v>44424</v>
      </c>
      <c r="C44" s="25" t="inlineStr">
        <is>
          <t>16850</t>
        </is>
      </c>
      <c r="D44" s="25" t="inlineStr">
        <is>
          <t>BLANTON SINGLE BARREL BOURBON</t>
        </is>
      </c>
      <c r="E44" s="27" t="n">
        <v>6</v>
      </c>
      <c r="F44" s="28" t="n">
        <v>276.88</v>
      </c>
      <c r="G44" s="27" t="n">
        <v>1</v>
      </c>
      <c r="H44" s="27" t="n">
        <v>1</v>
      </c>
      <c r="I44" s="27" t="n">
        <v>1</v>
      </c>
      <c r="J44" s="27" t="n">
        <v>1</v>
      </c>
      <c r="K44" s="25" t="inlineStr">
        <is>
          <t>Shipped</t>
        </is>
      </c>
    </row>
    <row r="45">
      <c r="A45" s="25" t="inlineStr">
        <is>
          <t>R1238298</t>
        </is>
      </c>
      <c r="B45" s="78" t="n">
        <v>44452</v>
      </c>
      <c r="C45" s="25" t="inlineStr">
        <is>
          <t>16850</t>
        </is>
      </c>
      <c r="D45" s="25" t="inlineStr">
        <is>
          <t>BLANTON SINGLE BARREL BOURBON</t>
        </is>
      </c>
      <c r="E45" s="27" t="n">
        <v>6</v>
      </c>
      <c r="F45" s="28" t="n">
        <v>276.88</v>
      </c>
      <c r="G45" s="27" t="n">
        <v>1</v>
      </c>
      <c r="H45" s="27" t="n">
        <v>1</v>
      </c>
      <c r="I45" s="27" t="n">
        <v>1</v>
      </c>
      <c r="J45" s="27" t="n">
        <v>1</v>
      </c>
      <c r="K45" s="25" t="inlineStr">
        <is>
          <t>Shipped</t>
        </is>
      </c>
    </row>
    <row r="46">
      <c r="A46" s="25" t="inlineStr">
        <is>
          <t>R1286979B</t>
        </is>
      </c>
      <c r="B46" s="78" t="n">
        <v>44495</v>
      </c>
      <c r="C46" s="25" t="inlineStr">
        <is>
          <t>16850</t>
        </is>
      </c>
      <c r="D46" s="25" t="inlineStr">
        <is>
          <t>BLANTON SINGLE BARREL BOURBON</t>
        </is>
      </c>
      <c r="E46" s="27" t="n">
        <v>6</v>
      </c>
      <c r="F46" s="28" t="n">
        <v>276.88</v>
      </c>
      <c r="G46" s="27" t="n">
        <v>1</v>
      </c>
      <c r="H46" s="27" t="n">
        <v>1</v>
      </c>
      <c r="I46" s="27" t="n">
        <v>1</v>
      </c>
      <c r="J46" s="27" t="n">
        <v>1</v>
      </c>
      <c r="K46" s="25" t="inlineStr">
        <is>
          <t>Shipped</t>
        </is>
      </c>
    </row>
    <row r="47">
      <c r="A47" s="25" t="inlineStr">
        <is>
          <t>R1315856</t>
        </is>
      </c>
      <c r="B47" s="78" t="n">
        <v>44505</v>
      </c>
      <c r="C47" s="25" t="inlineStr">
        <is>
          <t>16850</t>
        </is>
      </c>
      <c r="D47" s="25" t="inlineStr">
        <is>
          <t>BLANTON SINGLE BARREL BOURBON</t>
        </is>
      </c>
      <c r="E47" s="27" t="n">
        <v>6</v>
      </c>
      <c r="F47" s="28" t="n">
        <v>276.88</v>
      </c>
      <c r="G47" s="27" t="n">
        <v>1</v>
      </c>
      <c r="H47" s="27" t="n">
        <v>1</v>
      </c>
      <c r="I47" s="27" t="n">
        <v>1</v>
      </c>
      <c r="J47" s="27" t="n">
        <v>1</v>
      </c>
      <c r="K47" s="25" t="inlineStr">
        <is>
          <t>Shipped</t>
        </is>
      </c>
    </row>
    <row r="48">
      <c r="A48" s="25" t="inlineStr">
        <is>
          <t>R1372063</t>
        </is>
      </c>
      <c r="B48" s="78" t="n">
        <v>44547</v>
      </c>
      <c r="C48" s="25" t="inlineStr">
        <is>
          <t>16850</t>
        </is>
      </c>
      <c r="D48" s="25" t="inlineStr">
        <is>
          <t>BLANTON SINGLE BARREL BOURBON</t>
        </is>
      </c>
      <c r="E48" s="27" t="n">
        <v>6</v>
      </c>
      <c r="F48" s="28" t="n">
        <v>277.88</v>
      </c>
      <c r="G48" s="27" t="n">
        <v>1</v>
      </c>
      <c r="H48" s="27" t="n">
        <v>1</v>
      </c>
      <c r="I48" s="27" t="n">
        <v>1</v>
      </c>
      <c r="J48" s="27" t="n">
        <v>1</v>
      </c>
      <c r="K48" s="25" t="inlineStr">
        <is>
          <t>Shipped</t>
        </is>
      </c>
    </row>
    <row r="49">
      <c r="A49" s="25" t="inlineStr">
        <is>
          <t>R1116397</t>
        </is>
      </c>
      <c r="B49" s="78" t="n">
        <v>44337</v>
      </c>
      <c r="C49" s="25" t="inlineStr">
        <is>
          <t>72532</t>
        </is>
      </c>
      <c r="D49" s="25" t="inlineStr">
        <is>
          <t>BLUE CHAIR BAY MANGO RUM CREAM</t>
        </is>
      </c>
      <c r="E49" s="27" t="n">
        <v>12</v>
      </c>
      <c r="F49" s="28" t="n">
        <v>184.34</v>
      </c>
      <c r="G49" s="27" t="n">
        <v>1</v>
      </c>
      <c r="H49" s="27" t="n">
        <v>1</v>
      </c>
      <c r="I49" s="27" t="n">
        <v>1</v>
      </c>
      <c r="J49" s="27" t="n">
        <v>1</v>
      </c>
      <c r="K49" s="25" t="inlineStr">
        <is>
          <t>Shipped</t>
        </is>
      </c>
    </row>
    <row r="50">
      <c r="A50" s="25" t="inlineStr">
        <is>
          <t>R1272532</t>
        </is>
      </c>
      <c r="B50" s="78" t="n">
        <v>44474</v>
      </c>
      <c r="C50" s="25" t="inlineStr">
        <is>
          <t>16887</t>
        </is>
      </c>
      <c r="D50" s="25" t="inlineStr">
        <is>
          <t>BLUE NOTE CROSSROADS STRAIGHT BOURBON WK</t>
        </is>
      </c>
      <c r="E50" s="27" t="n">
        <v>6</v>
      </c>
      <c r="F50" s="28" t="n">
        <v>187.75</v>
      </c>
      <c r="G50" s="27" t="n">
        <v>2</v>
      </c>
      <c r="H50" s="27" t="n">
        <v>2</v>
      </c>
      <c r="I50" s="27" t="n">
        <v>2</v>
      </c>
      <c r="J50" s="27" t="n">
        <v>2</v>
      </c>
      <c r="K50" s="25" t="inlineStr">
        <is>
          <t>Shipped</t>
        </is>
      </c>
    </row>
    <row r="51">
      <c r="A51" s="25" t="inlineStr">
        <is>
          <t>R1304919</t>
        </is>
      </c>
      <c r="B51" s="78" t="n">
        <v>44501</v>
      </c>
      <c r="C51" s="25" t="inlineStr">
        <is>
          <t>16906</t>
        </is>
      </c>
      <c r="D51" s="25" t="inlineStr">
        <is>
          <t>BOOKER'S BOURBON</t>
        </is>
      </c>
      <c r="E51" s="27" t="n">
        <v>6</v>
      </c>
      <c r="F51" s="28" t="n">
        <v>415.35</v>
      </c>
      <c r="G51" s="27" t="n">
        <v>1</v>
      </c>
      <c r="H51" s="27" t="n">
        <v>1</v>
      </c>
      <c r="I51" s="27" t="n">
        <v>1</v>
      </c>
      <c r="J51" s="27" t="n">
        <v>1</v>
      </c>
      <c r="K51" s="25" t="inlineStr">
        <is>
          <t>Shipped</t>
        </is>
      </c>
    </row>
    <row r="52">
      <c r="A52" s="25" t="inlineStr">
        <is>
          <t>R1289848</t>
        </is>
      </c>
      <c r="B52" s="78" t="n">
        <v>44494</v>
      </c>
      <c r="C52" s="25" t="inlineStr">
        <is>
          <t>39791</t>
        </is>
      </c>
      <c r="D52" s="25" t="inlineStr">
        <is>
          <t>BOOSIE JUICE STRAWBERRY KIWI FLVD VODKA</t>
        </is>
      </c>
      <c r="E52" s="27" t="n">
        <v>6</v>
      </c>
      <c r="F52" s="28" t="n">
        <v>103.6</v>
      </c>
      <c r="G52" s="27" t="n">
        <v>2</v>
      </c>
      <c r="H52" s="27" t="n">
        <v>2</v>
      </c>
      <c r="I52" s="27" t="n">
        <v>2</v>
      </c>
      <c r="J52" s="27" t="n">
        <v>2</v>
      </c>
      <c r="K52" s="25" t="inlineStr">
        <is>
          <t>Shipped</t>
        </is>
      </c>
    </row>
    <row r="53">
      <c r="A53" s="25" t="inlineStr">
        <is>
          <t>R1262044</t>
        </is>
      </c>
      <c r="B53" s="78" t="n">
        <v>44466</v>
      </c>
      <c r="C53" s="25" t="inlineStr">
        <is>
          <t>948632</t>
        </is>
      </c>
      <c r="D53" s="25" t="inlineStr">
        <is>
          <t>BOOSIE JUICE WATERMELON FLAVORED VODKA</t>
        </is>
      </c>
      <c r="E53" s="27" t="n">
        <v>6</v>
      </c>
      <c r="F53" s="28" t="n">
        <v>103.6</v>
      </c>
      <c r="G53" s="27" t="n">
        <v>2</v>
      </c>
      <c r="H53" s="27" t="n">
        <v>2</v>
      </c>
      <c r="I53" s="27" t="n">
        <v>2</v>
      </c>
      <c r="J53" s="27" t="n">
        <v>2</v>
      </c>
      <c r="K53" s="25" t="inlineStr">
        <is>
          <t>Shipped</t>
        </is>
      </c>
    </row>
    <row r="54">
      <c r="A54" s="25" t="inlineStr">
        <is>
          <t>R1008485</t>
        </is>
      </c>
      <c r="B54" s="78" t="n">
        <v>44225</v>
      </c>
      <c r="C54" s="25" t="inlineStr">
        <is>
          <t>47646</t>
        </is>
      </c>
      <c r="D54" s="25" t="inlineStr">
        <is>
          <t>BRANSON VS PHANTOM COGNAC</t>
        </is>
      </c>
      <c r="E54" s="27" t="n">
        <v>12</v>
      </c>
      <c r="F54" s="28" t="n">
        <v>482.84</v>
      </c>
      <c r="G54" s="27" t="n">
        <v>2</v>
      </c>
      <c r="H54" s="27" t="n">
        <v>2</v>
      </c>
      <c r="I54" s="27" t="n">
        <v>2</v>
      </c>
      <c r="J54" s="27" t="n">
        <v>2</v>
      </c>
      <c r="K54" s="25" t="inlineStr">
        <is>
          <t>Shipped</t>
        </is>
      </c>
    </row>
    <row r="55">
      <c r="A55" s="25" t="inlineStr">
        <is>
          <t>R1088330</t>
        </is>
      </c>
      <c r="B55" s="78" t="n">
        <v>44295</v>
      </c>
      <c r="C55" s="25" t="inlineStr">
        <is>
          <t>47646</t>
        </is>
      </c>
      <c r="D55" s="25" t="inlineStr">
        <is>
          <t>BRANSON VS PHANTOM COGNAC</t>
        </is>
      </c>
      <c r="E55" s="27" t="n">
        <v>12</v>
      </c>
      <c r="F55" s="28" t="n">
        <v>482.84</v>
      </c>
      <c r="G55" s="27" t="n">
        <v>1</v>
      </c>
      <c r="H55" s="27" t="n">
        <v>1</v>
      </c>
      <c r="I55" s="27" t="n">
        <v>1</v>
      </c>
      <c r="J55" s="27" t="n">
        <v>1</v>
      </c>
      <c r="K55" s="25" t="inlineStr">
        <is>
          <t>Shipped</t>
        </is>
      </c>
    </row>
    <row r="56">
      <c r="A56" s="25" t="inlineStr">
        <is>
          <t>R1008485</t>
        </is>
      </c>
      <c r="B56" s="78" t="n">
        <v>44225</v>
      </c>
      <c r="C56" s="25" t="inlineStr">
        <is>
          <t>47649</t>
        </is>
      </c>
      <c r="D56" s="25" t="inlineStr">
        <is>
          <t>BRANSON VSOP GRANDE CHAMPAGNE COGNAC</t>
        </is>
      </c>
      <c r="E56" s="27" t="n">
        <v>6</v>
      </c>
      <c r="F56" s="28" t="n">
        <v>335.93</v>
      </c>
      <c r="G56" s="27" t="n">
        <v>2</v>
      </c>
      <c r="H56" s="27" t="n">
        <v>2</v>
      </c>
      <c r="I56" s="27" t="n">
        <v>2</v>
      </c>
      <c r="J56" s="27" t="n">
        <v>1</v>
      </c>
      <c r="K56" s="25" t="inlineStr">
        <is>
          <t>Shipped</t>
        </is>
      </c>
    </row>
    <row r="57">
      <c r="A57" s="25" t="inlineStr">
        <is>
          <t>R1056606</t>
        </is>
      </c>
      <c r="B57" s="78" t="n">
        <v>44264</v>
      </c>
      <c r="C57" s="25" t="inlineStr">
        <is>
          <t>47649</t>
        </is>
      </c>
      <c r="D57" s="25" t="inlineStr">
        <is>
          <t>BRANSON VSOP GRANDE CHAMPAGNE COGNAC</t>
        </is>
      </c>
      <c r="E57" s="27" t="n">
        <v>6</v>
      </c>
      <c r="F57" s="28" t="n">
        <v>335.93</v>
      </c>
      <c r="G57" s="27" t="n">
        <v>1</v>
      </c>
      <c r="H57" s="27" t="n">
        <v>1</v>
      </c>
      <c r="I57" s="27" t="n">
        <v>1</v>
      </c>
      <c r="J57" s="27" t="n">
        <v>1</v>
      </c>
      <c r="K57" s="25" t="inlineStr">
        <is>
          <t>Shipped</t>
        </is>
      </c>
    </row>
    <row r="58">
      <c r="A58" s="25" t="inlineStr">
        <is>
          <t>R1085273</t>
        </is>
      </c>
      <c r="B58" s="78" t="n">
        <v>44288</v>
      </c>
      <c r="C58" s="25" t="inlineStr">
        <is>
          <t>47649</t>
        </is>
      </c>
      <c r="D58" s="25" t="inlineStr">
        <is>
          <t>BRANSON VSOP GRANDE CHAMPAGNE COGNAC</t>
        </is>
      </c>
      <c r="E58" s="27" t="n">
        <v>6</v>
      </c>
      <c r="F58" s="28" t="n">
        <v>335.93</v>
      </c>
      <c r="G58" s="27" t="n">
        <v>1</v>
      </c>
      <c r="H58" s="27" t="n">
        <v>1</v>
      </c>
      <c r="I58" s="27" t="n">
        <v>1</v>
      </c>
      <c r="J58" s="27" t="n">
        <v>1</v>
      </c>
      <c r="K58" s="25" t="inlineStr">
        <is>
          <t>Shipped</t>
        </is>
      </c>
    </row>
    <row r="59">
      <c r="A59" s="25" t="inlineStr">
        <is>
          <t>R1103680</t>
        </is>
      </c>
      <c r="B59" s="78" t="n">
        <v>44326</v>
      </c>
      <c r="C59" s="25" t="inlineStr">
        <is>
          <t>47649</t>
        </is>
      </c>
      <c r="D59" s="25" t="inlineStr">
        <is>
          <t>BRANSON VSOP GRANDE CHAMPAGNE COGNAC</t>
        </is>
      </c>
      <c r="E59" s="27" t="n">
        <v>6</v>
      </c>
      <c r="F59" s="28" t="n">
        <v>335.93</v>
      </c>
      <c r="G59" s="27" t="n">
        <v>1</v>
      </c>
      <c r="H59" s="27" t="n">
        <v>1</v>
      </c>
      <c r="I59" s="27" t="n">
        <v>1</v>
      </c>
      <c r="J59" s="27" t="n">
        <v>1</v>
      </c>
      <c r="K59" s="25" t="inlineStr">
        <is>
          <t>Shipped</t>
        </is>
      </c>
    </row>
    <row r="60">
      <c r="A60" s="25" t="inlineStr">
        <is>
          <t>R1192707</t>
        </is>
      </c>
      <c r="B60" s="78" t="n">
        <v>44403</v>
      </c>
      <c r="C60" s="25" t="inlineStr">
        <is>
          <t>47649</t>
        </is>
      </c>
      <c r="D60" s="25" t="inlineStr">
        <is>
          <t>BRANSON VSOP GRANDE CHAMPAGNE COGNAC</t>
        </is>
      </c>
      <c r="E60" s="27" t="n">
        <v>6</v>
      </c>
      <c r="F60" s="28" t="n">
        <v>335.93</v>
      </c>
      <c r="G60" s="27" t="n">
        <v>1</v>
      </c>
      <c r="H60" s="27" t="n">
        <v>1</v>
      </c>
      <c r="I60" s="27" t="n">
        <v>1</v>
      </c>
      <c r="J60" s="27" t="n">
        <v>1</v>
      </c>
      <c r="K60" s="25" t="inlineStr">
        <is>
          <t>Shipped</t>
        </is>
      </c>
    </row>
    <row r="61">
      <c r="A61" s="25" t="inlineStr">
        <is>
          <t>R1008485</t>
        </is>
      </c>
      <c r="B61" s="78" t="n">
        <v>44225</v>
      </c>
      <c r="C61" s="25" t="inlineStr">
        <is>
          <t>47647</t>
        </is>
      </c>
      <c r="D61" s="25" t="inlineStr">
        <is>
          <t>BRANSON VSOP ROYAL COGNAC</t>
        </is>
      </c>
      <c r="E61" s="27" t="n">
        <v>6</v>
      </c>
      <c r="F61" s="28" t="n">
        <v>287.94</v>
      </c>
      <c r="G61" s="27" t="n">
        <v>2</v>
      </c>
      <c r="H61" s="27" t="n">
        <v>2</v>
      </c>
      <c r="I61" s="27" t="n">
        <v>2</v>
      </c>
      <c r="J61" s="27" t="n">
        <v>2</v>
      </c>
      <c r="K61" s="25" t="inlineStr">
        <is>
          <t>Shipped</t>
        </is>
      </c>
    </row>
    <row r="62">
      <c r="A62" s="25" t="inlineStr">
        <is>
          <t>R1008485</t>
        </is>
      </c>
      <c r="B62" s="78" t="n">
        <v>44225</v>
      </c>
      <c r="C62" s="25" t="inlineStr">
        <is>
          <t>47645</t>
        </is>
      </c>
      <c r="D62" s="25" t="inlineStr">
        <is>
          <t>BRANSON XO COGNAC</t>
        </is>
      </c>
      <c r="E62" s="27" t="n">
        <v>6</v>
      </c>
      <c r="F62" s="28" t="n">
        <v>1199.93</v>
      </c>
      <c r="G62" s="27" t="n">
        <v>1</v>
      </c>
      <c r="H62" s="27" t="n">
        <v>1</v>
      </c>
      <c r="I62" s="27" t="n">
        <v>1</v>
      </c>
      <c r="J62" s="27" t="n">
        <v>1</v>
      </c>
      <c r="K62" s="25" t="inlineStr">
        <is>
          <t>Shipped</t>
        </is>
      </c>
    </row>
    <row r="63">
      <c r="A63" s="25" t="inlineStr">
        <is>
          <t>R1288089</t>
        </is>
      </c>
      <c r="B63" s="78" t="n">
        <v>44491</v>
      </c>
      <c r="C63" s="25" t="inlineStr">
        <is>
          <t>17050</t>
        </is>
      </c>
      <c r="D63" s="25" t="inlineStr">
        <is>
          <t>BROTHER'S BOND STRAIGHT BOURBON WHISKEY</t>
        </is>
      </c>
      <c r="E63" s="27" t="n">
        <v>6</v>
      </c>
      <c r="F63" s="28" t="n">
        <v>177.73</v>
      </c>
      <c r="G63" s="27" t="n">
        <v>2</v>
      </c>
      <c r="H63" s="27" t="n">
        <v>2</v>
      </c>
      <c r="I63" s="27" t="n">
        <v>2</v>
      </c>
      <c r="J63" s="27" t="n">
        <v>2</v>
      </c>
      <c r="K63" s="25" t="inlineStr">
        <is>
          <t>Shipped</t>
        </is>
      </c>
    </row>
    <row r="64">
      <c r="A64" s="25" t="inlineStr">
        <is>
          <t>R1142806</t>
        </is>
      </c>
      <c r="B64" s="78" t="n">
        <v>44351</v>
      </c>
      <c r="C64" s="25" t="inlineStr">
        <is>
          <t>917709</t>
        </is>
      </c>
      <c r="D64" s="25" t="inlineStr">
        <is>
          <t>BUFFALO TRACE BARREL JASCO WHOLESALE</t>
        </is>
      </c>
      <c r="E64" s="27" t="n">
        <v>12</v>
      </c>
      <c r="F64" s="28" t="n">
        <v>230.67</v>
      </c>
      <c r="G64" s="27" t="n">
        <v>24</v>
      </c>
      <c r="H64" s="27" t="n">
        <v>24</v>
      </c>
      <c r="I64" s="27" t="n">
        <v>24</v>
      </c>
      <c r="J64" s="27" t="n">
        <v>24</v>
      </c>
      <c r="K64" s="25" t="inlineStr">
        <is>
          <t>Shipped</t>
        </is>
      </c>
    </row>
    <row r="65">
      <c r="A65" s="25" t="inlineStr">
        <is>
          <t>R977030A</t>
        </is>
      </c>
      <c r="B65" s="78" t="n">
        <v>44201</v>
      </c>
      <c r="C65" s="25" t="inlineStr">
        <is>
          <t>18006</t>
        </is>
      </c>
      <c r="D65" s="25" t="inlineStr">
        <is>
          <t>BUFFALO TRACE BOURBON</t>
        </is>
      </c>
      <c r="E65" s="27" t="n">
        <v>12</v>
      </c>
      <c r="F65" s="28" t="n">
        <v>230.67</v>
      </c>
      <c r="G65" s="27" t="n">
        <v>1</v>
      </c>
      <c r="H65" s="27" t="n">
        <v>1</v>
      </c>
      <c r="I65" s="27" t="n">
        <v>1</v>
      </c>
      <c r="J65" s="27" t="n">
        <v>1</v>
      </c>
      <c r="K65" s="25" t="inlineStr">
        <is>
          <t>Shipped</t>
        </is>
      </c>
    </row>
    <row r="66">
      <c r="A66" s="25" t="inlineStr">
        <is>
          <t>R995785</t>
        </is>
      </c>
      <c r="B66" s="78" t="n">
        <v>44204</v>
      </c>
      <c r="C66" s="25" t="inlineStr">
        <is>
          <t>18006</t>
        </is>
      </c>
      <c r="D66" s="25" t="inlineStr">
        <is>
          <t>BUFFALO TRACE BOURBON</t>
        </is>
      </c>
      <c r="E66" s="27" t="n">
        <v>12</v>
      </c>
      <c r="F66" s="28" t="n">
        <v>230.67</v>
      </c>
      <c r="G66" s="27" t="n">
        <v>1</v>
      </c>
      <c r="H66" s="27" t="n">
        <v>1</v>
      </c>
      <c r="I66" s="27" t="n">
        <v>1</v>
      </c>
      <c r="J66" s="27" t="n">
        <v>1</v>
      </c>
      <c r="K66" s="25" t="inlineStr">
        <is>
          <t>Shipped</t>
        </is>
      </c>
    </row>
    <row r="67">
      <c r="A67" s="25" t="inlineStr">
        <is>
          <t>R995785</t>
        </is>
      </c>
      <c r="B67" s="78" t="n">
        <v>44204</v>
      </c>
      <c r="C67" s="25" t="inlineStr">
        <is>
          <t>18008</t>
        </is>
      </c>
      <c r="D67" s="25" t="inlineStr">
        <is>
          <t>BUFFALO TRACE BOURBON</t>
        </is>
      </c>
      <c r="E67" s="27" t="n">
        <v>6</v>
      </c>
      <c r="F67" s="28" t="n">
        <v>230.71</v>
      </c>
      <c r="G67" s="27" t="n">
        <v>1</v>
      </c>
      <c r="H67" s="27" t="n">
        <v>1</v>
      </c>
      <c r="I67" s="27" t="n">
        <v>1</v>
      </c>
      <c r="J67" s="27" t="n">
        <v>1</v>
      </c>
      <c r="K67" s="25" t="inlineStr">
        <is>
          <t>Shipped</t>
        </is>
      </c>
    </row>
    <row r="68">
      <c r="A68" s="25" t="inlineStr">
        <is>
          <t>R1019916</t>
        </is>
      </c>
      <c r="B68" s="78" t="n">
        <v>44232</v>
      </c>
      <c r="C68" s="25" t="inlineStr">
        <is>
          <t>18006</t>
        </is>
      </c>
      <c r="D68" s="25" t="inlineStr">
        <is>
          <t>BUFFALO TRACE BOURBON</t>
        </is>
      </c>
      <c r="E68" s="27" t="n">
        <v>12</v>
      </c>
      <c r="F68" s="28" t="n">
        <v>230.67</v>
      </c>
      <c r="G68" s="27" t="n">
        <v>1</v>
      </c>
      <c r="H68" s="27" t="n">
        <v>1</v>
      </c>
      <c r="I68" s="27" t="n">
        <v>1</v>
      </c>
      <c r="J68" s="27" t="n">
        <v>1</v>
      </c>
      <c r="K68" s="25" t="inlineStr">
        <is>
          <t>Shipped</t>
        </is>
      </c>
    </row>
    <row r="69">
      <c r="A69" s="25" t="inlineStr">
        <is>
          <t>R1046466</t>
        </is>
      </c>
      <c r="B69" s="78" t="n">
        <v>44260</v>
      </c>
      <c r="C69" s="25" t="inlineStr">
        <is>
          <t>18006</t>
        </is>
      </c>
      <c r="D69" s="25" t="inlineStr">
        <is>
          <t>BUFFALO TRACE BOURBON</t>
        </is>
      </c>
      <c r="E69" s="27" t="n">
        <v>12</v>
      </c>
      <c r="F69" s="28" t="n">
        <v>230.67</v>
      </c>
      <c r="G69" s="27" t="n">
        <v>1</v>
      </c>
      <c r="H69" s="27" t="n">
        <v>1</v>
      </c>
      <c r="I69" s="27" t="n">
        <v>1</v>
      </c>
      <c r="J69" s="27" t="n">
        <v>1</v>
      </c>
      <c r="K69" s="25" t="inlineStr">
        <is>
          <t>Shipped</t>
        </is>
      </c>
    </row>
    <row r="70">
      <c r="A70" s="25" t="inlineStr">
        <is>
          <t>R1077572</t>
        </is>
      </c>
      <c r="B70" s="78" t="n">
        <v>44288</v>
      </c>
      <c r="C70" s="25" t="inlineStr">
        <is>
          <t>18006</t>
        </is>
      </c>
      <c r="D70" s="25" t="inlineStr">
        <is>
          <t>BUFFALO TRACE BOURBON</t>
        </is>
      </c>
      <c r="E70" s="27" t="n">
        <v>12</v>
      </c>
      <c r="F70" s="28" t="n">
        <v>230.67</v>
      </c>
      <c r="G70" s="27" t="n">
        <v>1</v>
      </c>
      <c r="H70" s="27" t="n">
        <v>1</v>
      </c>
      <c r="I70" s="27" t="n">
        <v>1</v>
      </c>
      <c r="J70" s="27" t="n">
        <v>1</v>
      </c>
      <c r="K70" s="25" t="inlineStr">
        <is>
          <t>Shipped</t>
        </is>
      </c>
    </row>
    <row r="71">
      <c r="A71" s="25" t="inlineStr">
        <is>
          <t>R1092841</t>
        </is>
      </c>
      <c r="B71" s="78" t="n">
        <v>44300</v>
      </c>
      <c r="C71" s="25" t="inlineStr">
        <is>
          <t>18008</t>
        </is>
      </c>
      <c r="D71" s="25" t="inlineStr">
        <is>
          <t>BUFFALO TRACE BOURBON</t>
        </is>
      </c>
      <c r="E71" s="27" t="n">
        <v>6</v>
      </c>
      <c r="F71" s="28" t="n">
        <v>230.71</v>
      </c>
      <c r="G71" s="27" t="n">
        <v>1</v>
      </c>
      <c r="H71" s="27" t="n">
        <v>1</v>
      </c>
      <c r="I71" s="27" t="n">
        <v>1</v>
      </c>
      <c r="J71" s="27" t="n">
        <v>1</v>
      </c>
      <c r="K71" s="25" t="inlineStr">
        <is>
          <t>Shipped</t>
        </is>
      </c>
    </row>
    <row r="72">
      <c r="A72" s="25" t="inlineStr">
        <is>
          <t>R1104143</t>
        </is>
      </c>
      <c r="B72" s="78" t="n">
        <v>44316</v>
      </c>
      <c r="C72" s="25" t="inlineStr">
        <is>
          <t>18006</t>
        </is>
      </c>
      <c r="D72" s="25" t="inlineStr">
        <is>
          <t>BUFFALO TRACE BOURBON</t>
        </is>
      </c>
      <c r="E72" s="27" t="n">
        <v>12</v>
      </c>
      <c r="F72" s="28" t="n">
        <v>230.67</v>
      </c>
      <c r="G72" s="27" t="n">
        <v>1</v>
      </c>
      <c r="H72" s="27" t="n">
        <v>1</v>
      </c>
      <c r="I72" s="27" t="n">
        <v>1</v>
      </c>
      <c r="J72" s="27" t="n">
        <v>1</v>
      </c>
      <c r="K72" s="25" t="inlineStr">
        <is>
          <t>Shipped</t>
        </is>
      </c>
    </row>
    <row r="73">
      <c r="A73" s="25" t="inlineStr">
        <is>
          <t>R1165450</t>
        </is>
      </c>
      <c r="B73" s="78" t="n">
        <v>44361</v>
      </c>
      <c r="C73" s="25" t="inlineStr">
        <is>
          <t>18006</t>
        </is>
      </c>
      <c r="D73" s="25" t="inlineStr">
        <is>
          <t>BUFFALO TRACE BOURBON</t>
        </is>
      </c>
      <c r="E73" s="27" t="n">
        <v>12</v>
      </c>
      <c r="F73" s="28" t="n">
        <v>230.67</v>
      </c>
      <c r="G73" s="27" t="n">
        <v>1</v>
      </c>
      <c r="H73" s="27" t="n">
        <v>1</v>
      </c>
      <c r="I73" s="27" t="n">
        <v>1</v>
      </c>
      <c r="J73" s="27" t="n">
        <v>1</v>
      </c>
      <c r="K73" s="25" t="inlineStr">
        <is>
          <t>Shipped</t>
        </is>
      </c>
    </row>
    <row r="74">
      <c r="A74" s="25" t="inlineStr">
        <is>
          <t>R1175759</t>
        </is>
      </c>
      <c r="B74" s="78" t="n">
        <v>44386</v>
      </c>
      <c r="C74" s="25" t="inlineStr">
        <is>
          <t>18006</t>
        </is>
      </c>
      <c r="D74" s="25" t="inlineStr">
        <is>
          <t>BUFFALO TRACE BOURBON</t>
        </is>
      </c>
      <c r="E74" s="27" t="n">
        <v>12</v>
      </c>
      <c r="F74" s="28" t="n">
        <v>230.67</v>
      </c>
      <c r="G74" s="27" t="n">
        <v>1</v>
      </c>
      <c r="H74" s="27" t="n">
        <v>1</v>
      </c>
      <c r="I74" s="27" t="n">
        <v>1</v>
      </c>
      <c r="J74" s="27" t="n">
        <v>1</v>
      </c>
      <c r="K74" s="25" t="inlineStr">
        <is>
          <t>Shipped</t>
        </is>
      </c>
    </row>
    <row r="75">
      <c r="A75" s="25" t="inlineStr">
        <is>
          <t>R1238298</t>
        </is>
      </c>
      <c r="B75" s="78" t="n">
        <v>44452</v>
      </c>
      <c r="C75" s="25" t="inlineStr">
        <is>
          <t>18006</t>
        </is>
      </c>
      <c r="D75" s="25" t="inlineStr">
        <is>
          <t>BUFFALO TRACE BOURBON</t>
        </is>
      </c>
      <c r="E75" s="27" t="n">
        <v>12</v>
      </c>
      <c r="F75" s="28" t="n">
        <v>230.67</v>
      </c>
      <c r="G75" s="27" t="n">
        <v>1</v>
      </c>
      <c r="H75" s="27" t="n">
        <v>1</v>
      </c>
      <c r="I75" s="27" t="n">
        <v>1</v>
      </c>
      <c r="J75" s="27" t="n">
        <v>1</v>
      </c>
      <c r="K75" s="25" t="inlineStr">
        <is>
          <t>Shipped</t>
        </is>
      </c>
    </row>
    <row r="76">
      <c r="A76" s="25" t="inlineStr">
        <is>
          <t>R1286979B</t>
        </is>
      </c>
      <c r="B76" s="78" t="n">
        <v>44495</v>
      </c>
      <c r="C76" s="25" t="inlineStr">
        <is>
          <t>18006</t>
        </is>
      </c>
      <c r="D76" s="25" t="inlineStr">
        <is>
          <t>BUFFALO TRACE BOURBON</t>
        </is>
      </c>
      <c r="E76" s="27" t="n">
        <v>12</v>
      </c>
      <c r="F76" s="28" t="n">
        <v>230.67</v>
      </c>
      <c r="G76" s="27" t="n">
        <v>1</v>
      </c>
      <c r="H76" s="27" t="n">
        <v>1</v>
      </c>
      <c r="I76" s="27" t="n">
        <v>1</v>
      </c>
      <c r="J76" s="27" t="n">
        <v>1</v>
      </c>
      <c r="K76" s="25" t="inlineStr">
        <is>
          <t>Shipped</t>
        </is>
      </c>
    </row>
    <row r="77">
      <c r="A77" s="25" t="inlineStr">
        <is>
          <t>R1296176</t>
        </is>
      </c>
      <c r="B77" s="78" t="n">
        <v>44495</v>
      </c>
      <c r="C77" s="25" t="inlineStr">
        <is>
          <t>18008</t>
        </is>
      </c>
      <c r="D77" s="25" t="inlineStr">
        <is>
          <t>BUFFALO TRACE BOURBON</t>
        </is>
      </c>
      <c r="E77" s="27" t="n">
        <v>6</v>
      </c>
      <c r="F77" s="28" t="n">
        <v>230.71</v>
      </c>
      <c r="G77" s="27" t="n">
        <v>1</v>
      </c>
      <c r="H77" s="27" t="n">
        <v>1</v>
      </c>
      <c r="I77" s="27" t="n">
        <v>1</v>
      </c>
      <c r="J77" s="27" t="n">
        <v>1</v>
      </c>
      <c r="K77" s="25" t="inlineStr">
        <is>
          <t>Shipped</t>
        </is>
      </c>
    </row>
    <row r="78">
      <c r="A78" s="25" t="inlineStr">
        <is>
          <t>R1315856</t>
        </is>
      </c>
      <c r="B78" s="78" t="n">
        <v>44505</v>
      </c>
      <c r="C78" s="25" t="inlineStr">
        <is>
          <t>18006</t>
        </is>
      </c>
      <c r="D78" s="25" t="inlineStr">
        <is>
          <t>BUFFALO TRACE BOURBON</t>
        </is>
      </c>
      <c r="E78" s="27" t="n">
        <v>12</v>
      </c>
      <c r="F78" s="28" t="n">
        <v>230.67</v>
      </c>
      <c r="G78" s="27" t="n">
        <v>1</v>
      </c>
      <c r="H78" s="27" t="n">
        <v>1</v>
      </c>
      <c r="I78" s="27" t="n">
        <v>1</v>
      </c>
      <c r="J78" s="27" t="n">
        <v>1</v>
      </c>
      <c r="K78" s="25" t="inlineStr">
        <is>
          <t>Shipped</t>
        </is>
      </c>
    </row>
    <row r="79">
      <c r="A79" s="25" t="inlineStr">
        <is>
          <t>R1372063</t>
        </is>
      </c>
      <c r="B79" s="78" t="n">
        <v>44547</v>
      </c>
      <c r="C79" s="25" t="inlineStr">
        <is>
          <t>18006</t>
        </is>
      </c>
      <c r="D79" s="25" t="inlineStr">
        <is>
          <t>BUFFALO TRACE BOURBON</t>
        </is>
      </c>
      <c r="E79" s="27" t="n">
        <v>12</v>
      </c>
      <c r="F79" s="28" t="n">
        <v>231.67</v>
      </c>
      <c r="G79" s="27" t="n">
        <v>1</v>
      </c>
      <c r="H79" s="27" t="n">
        <v>1</v>
      </c>
      <c r="I79" s="27" t="n">
        <v>1</v>
      </c>
      <c r="J79" s="27" t="n">
        <v>1</v>
      </c>
      <c r="K79" s="25" t="inlineStr">
        <is>
          <t>Shipped</t>
        </is>
      </c>
    </row>
    <row r="80">
      <c r="A80" s="25" t="inlineStr">
        <is>
          <t>R1018376</t>
        </is>
      </c>
      <c r="B80" s="78" t="n">
        <v>44237</v>
      </c>
      <c r="C80" s="25" t="inlineStr">
        <is>
          <t>64388</t>
        </is>
      </c>
      <c r="D80" s="25" t="inlineStr">
        <is>
          <t>BUMBU RUM</t>
        </is>
      </c>
      <c r="E80" s="27" t="n">
        <v>12</v>
      </c>
      <c r="F80" s="28" t="n">
        <v>184.52</v>
      </c>
      <c r="G80" s="27" t="n">
        <v>1</v>
      </c>
      <c r="H80" s="27" t="n">
        <v>1</v>
      </c>
      <c r="I80" s="27" t="n">
        <v>1</v>
      </c>
      <c r="J80" s="27" t="n">
        <v>1</v>
      </c>
      <c r="K80" s="25" t="inlineStr">
        <is>
          <t>Shipped</t>
        </is>
      </c>
    </row>
    <row r="81">
      <c r="A81" s="25" t="inlineStr">
        <is>
          <t>R1064988</t>
        </is>
      </c>
      <c r="B81" s="78" t="n">
        <v>44287</v>
      </c>
      <c r="C81" s="25" t="inlineStr">
        <is>
          <t>64388</t>
        </is>
      </c>
      <c r="D81" s="25" t="inlineStr">
        <is>
          <t>BUMBU RUM</t>
        </is>
      </c>
      <c r="E81" s="27" t="n">
        <v>12</v>
      </c>
      <c r="F81" s="28" t="n">
        <v>184.52</v>
      </c>
      <c r="G81" s="27" t="n">
        <v>1</v>
      </c>
      <c r="H81" s="27" t="n">
        <v>1</v>
      </c>
      <c r="I81" s="27" t="n">
        <v>1</v>
      </c>
      <c r="J81" s="27" t="n">
        <v>1</v>
      </c>
      <c r="K81" s="25" t="inlineStr">
        <is>
          <t>Shipped</t>
        </is>
      </c>
    </row>
    <row r="82">
      <c r="A82" s="25" t="inlineStr">
        <is>
          <t>R1207786</t>
        </is>
      </c>
      <c r="B82" s="78" t="n">
        <v>44432</v>
      </c>
      <c r="C82" s="25" t="inlineStr">
        <is>
          <t>882396</t>
        </is>
      </c>
      <c r="D82" s="25" t="inlineStr">
        <is>
          <t>CAPRICCIO WATERMELON SANGRIA (CANS)</t>
        </is>
      </c>
      <c r="E82" s="27" t="n">
        <v>24</v>
      </c>
      <c r="F82" s="28" t="n">
        <v>51.22</v>
      </c>
      <c r="G82" s="27" t="n">
        <v>1</v>
      </c>
      <c r="H82" s="27" t="n">
        <v>1</v>
      </c>
      <c r="I82" s="27" t="n">
        <v>1</v>
      </c>
      <c r="J82" s="27" t="n">
        <v>1</v>
      </c>
      <c r="K82" s="25" t="inlineStr">
        <is>
          <t>Shipped</t>
        </is>
      </c>
    </row>
    <row r="83">
      <c r="A83" s="25" t="inlineStr">
        <is>
          <t>R1146878</t>
        </is>
      </c>
      <c r="B83" s="78" t="n">
        <v>44363</v>
      </c>
      <c r="C83" s="25" t="inlineStr">
        <is>
          <t>882335</t>
        </is>
      </c>
      <c r="D83" s="25" t="inlineStr">
        <is>
          <t>CARLO ROSSI BLUEBERRY SANGRIA BOX</t>
        </is>
      </c>
      <c r="E83" s="27" t="n">
        <v>6</v>
      </c>
      <c r="F83" s="28" t="n">
        <v>59.95</v>
      </c>
      <c r="G83" s="27" t="n">
        <v>10</v>
      </c>
      <c r="H83" s="27" t="n">
        <v>10</v>
      </c>
      <c r="I83" s="27" t="n">
        <v>10</v>
      </c>
      <c r="J83" s="27" t="n">
        <v>10</v>
      </c>
      <c r="K83" s="25" t="inlineStr">
        <is>
          <t>Shipped</t>
        </is>
      </c>
    </row>
    <row r="84">
      <c r="A84" s="25" t="inlineStr">
        <is>
          <t>R1146878</t>
        </is>
      </c>
      <c r="B84" s="78" t="n">
        <v>44363</v>
      </c>
      <c r="C84" s="25" t="inlineStr">
        <is>
          <t>882336</t>
        </is>
      </c>
      <c r="D84" s="25" t="inlineStr">
        <is>
          <t>CARLO ROSSI PEACH SANGRIA BOX</t>
        </is>
      </c>
      <c r="E84" s="27" t="n">
        <v>6</v>
      </c>
      <c r="F84" s="28" t="n">
        <v>59.95</v>
      </c>
      <c r="G84" s="27" t="n">
        <v>10</v>
      </c>
      <c r="H84" s="27" t="n">
        <v>10</v>
      </c>
      <c r="I84" s="27" t="n">
        <v>10</v>
      </c>
      <c r="J84" s="27" t="n">
        <v>10</v>
      </c>
      <c r="K84" s="25" t="inlineStr">
        <is>
          <t>Shipped</t>
        </is>
      </c>
    </row>
    <row r="85">
      <c r="A85" s="25" t="inlineStr">
        <is>
          <t>R1238243</t>
        </is>
      </c>
      <c r="B85" s="78" t="n">
        <v>44446</v>
      </c>
      <c r="C85" s="25" t="inlineStr">
        <is>
          <t>882303</t>
        </is>
      </c>
      <c r="D85" s="25" t="inlineStr">
        <is>
          <t>CARLO ROSSI SANGRIA LTO</t>
        </is>
      </c>
      <c r="E85" s="27" t="n">
        <v>24</v>
      </c>
      <c r="F85" s="28" t="n">
        <v>25.74</v>
      </c>
      <c r="G85" s="27" t="n">
        <v>3</v>
      </c>
      <c r="H85" s="27" t="n">
        <v>3</v>
      </c>
      <c r="I85" s="27" t="n">
        <v>3</v>
      </c>
      <c r="J85" s="27" t="n">
        <v>3</v>
      </c>
      <c r="K85" s="25" t="inlineStr">
        <is>
          <t>Shipped</t>
        </is>
      </c>
    </row>
    <row r="86">
      <c r="A86" s="25" t="inlineStr">
        <is>
          <t>R1323317</t>
        </is>
      </c>
      <c r="B86" s="78" t="n">
        <v>44512</v>
      </c>
      <c r="C86" s="25" t="inlineStr">
        <is>
          <t>882303</t>
        </is>
      </c>
      <c r="D86" s="25" t="inlineStr">
        <is>
          <t>CARLO ROSSI SANGRIA LTO</t>
        </is>
      </c>
      <c r="E86" s="27" t="n">
        <v>24</v>
      </c>
      <c r="F86" s="28" t="n">
        <v>25.74</v>
      </c>
      <c r="G86" s="27" t="n">
        <v>1</v>
      </c>
      <c r="H86" s="27" t="n">
        <v>1</v>
      </c>
      <c r="I86" s="27" t="n">
        <v>1</v>
      </c>
      <c r="J86" s="27" t="n">
        <v>1</v>
      </c>
      <c r="K86" s="25" t="inlineStr">
        <is>
          <t>Shipped</t>
        </is>
      </c>
    </row>
    <row r="87">
      <c r="A87" s="25" t="inlineStr">
        <is>
          <t>R1238243</t>
        </is>
      </c>
      <c r="B87" s="78" t="n">
        <v>44446</v>
      </c>
      <c r="C87" s="25" t="inlineStr">
        <is>
          <t>882323</t>
        </is>
      </c>
      <c r="D87" s="25" t="inlineStr">
        <is>
          <t>CARLO ROSSI SWEET PINK SANGRIA</t>
        </is>
      </c>
      <c r="E87" s="27" t="n">
        <v>24</v>
      </c>
      <c r="F87" s="28" t="n">
        <v>25.74</v>
      </c>
      <c r="G87" s="27" t="n">
        <v>2</v>
      </c>
      <c r="H87" s="27" t="n">
        <v>2</v>
      </c>
      <c r="I87" s="27" t="n">
        <v>2</v>
      </c>
      <c r="J87" s="27" t="n">
        <v>2</v>
      </c>
      <c r="K87" s="25" t="inlineStr">
        <is>
          <t>Shipped</t>
        </is>
      </c>
    </row>
    <row r="88">
      <c r="A88" s="25" t="inlineStr">
        <is>
          <t>R1275393A</t>
        </is>
      </c>
      <c r="B88" s="78" t="n">
        <v>44488</v>
      </c>
      <c r="C88" s="25" t="inlineStr">
        <is>
          <t>882323</t>
        </is>
      </c>
      <c r="D88" s="25" t="inlineStr">
        <is>
          <t>CARLO ROSSI SWEET PINK SANGRIA</t>
        </is>
      </c>
      <c r="E88" s="27" t="n">
        <v>24</v>
      </c>
      <c r="F88" s="28" t="n">
        <v>25.74</v>
      </c>
      <c r="G88" s="27" t="n">
        <v>2</v>
      </c>
      <c r="H88" s="27" t="n">
        <v>2</v>
      </c>
      <c r="I88" s="27" t="n">
        <v>2</v>
      </c>
      <c r="J88" s="27" t="n">
        <v>2</v>
      </c>
      <c r="K88" s="25" t="inlineStr">
        <is>
          <t>Shipped</t>
        </is>
      </c>
    </row>
    <row r="89">
      <c r="A89" s="25" t="inlineStr">
        <is>
          <t>R1275393B</t>
        </is>
      </c>
      <c r="B89" s="78" t="n">
        <v>44495</v>
      </c>
      <c r="C89" s="25" t="inlineStr">
        <is>
          <t>882323</t>
        </is>
      </c>
      <c r="D89" s="25" t="inlineStr">
        <is>
          <t>CARLO ROSSI SWEET PINK SANGRIA</t>
        </is>
      </c>
      <c r="E89" s="27" t="n">
        <v>24</v>
      </c>
      <c r="F89" s="28" t="n">
        <v>25.74</v>
      </c>
      <c r="G89" s="27" t="n">
        <v>6</v>
      </c>
      <c r="H89" s="27" t="n">
        <v>6</v>
      </c>
      <c r="I89" s="27" t="n">
        <v>6</v>
      </c>
      <c r="J89" s="27" t="n">
        <v>6</v>
      </c>
      <c r="K89" s="25" t="inlineStr">
        <is>
          <t>Shipped</t>
        </is>
      </c>
    </row>
    <row r="90">
      <c r="A90" s="25" t="inlineStr">
        <is>
          <t>R1146878</t>
        </is>
      </c>
      <c r="B90" s="78" t="n">
        <v>44363</v>
      </c>
      <c r="C90" s="25" t="inlineStr">
        <is>
          <t>882329</t>
        </is>
      </c>
      <c r="D90" s="25" t="inlineStr">
        <is>
          <t>CARLO ROSSI WATERMELON SANGRIA BOX</t>
        </is>
      </c>
      <c r="E90" s="27" t="n">
        <v>6</v>
      </c>
      <c r="F90" s="28" t="n">
        <v>59.95</v>
      </c>
      <c r="G90" s="27" t="n">
        <v>10</v>
      </c>
      <c r="H90" s="27" t="n">
        <v>10</v>
      </c>
      <c r="I90" s="27" t="n">
        <v>10</v>
      </c>
      <c r="J90" s="27" t="n">
        <v>10</v>
      </c>
      <c r="K90" s="25" t="inlineStr">
        <is>
          <t>Shipped</t>
        </is>
      </c>
    </row>
    <row r="91">
      <c r="A91" s="25" t="inlineStr">
        <is>
          <t>R990598</t>
        </is>
      </c>
      <c r="B91" s="78" t="n">
        <v>44199</v>
      </c>
      <c r="C91" s="25" t="inlineStr">
        <is>
          <t>87281</t>
        </is>
      </c>
      <c r="D91" s="25" t="inlineStr">
        <is>
          <t>CASAMIGOS BLANCO TEQUILA 100% AGAVE</t>
        </is>
      </c>
      <c r="E91" s="27" t="n">
        <v>60</v>
      </c>
      <c r="F91" s="28" t="n">
        <v>173.98</v>
      </c>
      <c r="G91" s="27" t="n">
        <v>1</v>
      </c>
      <c r="H91" s="27" t="n">
        <v>1</v>
      </c>
      <c r="I91" s="27" t="n">
        <v>1</v>
      </c>
      <c r="J91" s="27" t="n">
        <v>1</v>
      </c>
      <c r="K91" s="25" t="inlineStr">
        <is>
          <t>Shipped</t>
        </is>
      </c>
    </row>
    <row r="92">
      <c r="A92" s="25" t="inlineStr">
        <is>
          <t>R1122931</t>
        </is>
      </c>
      <c r="B92" s="78" t="n">
        <v>44333</v>
      </c>
      <c r="C92" s="25" t="inlineStr">
        <is>
          <t>87281</t>
        </is>
      </c>
      <c r="D92" s="25" t="inlineStr">
        <is>
          <t>CASAMIGOS BLANCO TEQUILA 100% AGAVE</t>
        </is>
      </c>
      <c r="E92" s="27" t="n">
        <v>60</v>
      </c>
      <c r="F92" s="28" t="n">
        <v>173.98</v>
      </c>
      <c r="G92" s="27" t="n">
        <v>1</v>
      </c>
      <c r="H92" s="27" t="n">
        <v>1</v>
      </c>
      <c r="I92" s="27" t="n">
        <v>1</v>
      </c>
      <c r="J92" s="27" t="n">
        <v>1</v>
      </c>
      <c r="K92" s="25" t="inlineStr">
        <is>
          <t>Shipped</t>
        </is>
      </c>
    </row>
    <row r="93">
      <c r="A93" s="25" t="inlineStr">
        <is>
          <t>R1177361</t>
        </is>
      </c>
      <c r="B93" s="78" t="n">
        <v>44396</v>
      </c>
      <c r="C93" s="25" t="inlineStr">
        <is>
          <t>87282</t>
        </is>
      </c>
      <c r="D93" s="25" t="inlineStr">
        <is>
          <t>CASAMIGOS BLANCO TEQUILA 100% AGAVE</t>
        </is>
      </c>
      <c r="E93" s="27" t="n">
        <v>12</v>
      </c>
      <c r="F93" s="28" t="n">
        <v>227.87</v>
      </c>
      <c r="G93" s="27" t="n">
        <v>5</v>
      </c>
      <c r="H93" s="27" t="n">
        <v>5</v>
      </c>
      <c r="I93" s="27" t="n">
        <v>5</v>
      </c>
      <c r="J93" s="27" t="n">
        <v>5</v>
      </c>
      <c r="K93" s="25" t="inlineStr">
        <is>
          <t>Shipped</t>
        </is>
      </c>
    </row>
    <row r="94">
      <c r="A94" s="25" t="inlineStr">
        <is>
          <t>R1170950A</t>
        </is>
      </c>
      <c r="B94" s="78" t="n">
        <v>44400</v>
      </c>
      <c r="C94" s="25" t="inlineStr">
        <is>
          <t>87281</t>
        </is>
      </c>
      <c r="D94" s="25" t="inlineStr">
        <is>
          <t>CASAMIGOS BLANCO TEQUILA 100% AGAVE</t>
        </is>
      </c>
      <c r="E94" s="27" t="n">
        <v>60</v>
      </c>
      <c r="F94" s="28" t="n">
        <v>173.98</v>
      </c>
      <c r="G94" s="27" t="n">
        <v>1</v>
      </c>
      <c r="H94" s="27" t="n">
        <v>1</v>
      </c>
      <c r="I94" s="27" t="n">
        <v>1</v>
      </c>
      <c r="J94" s="27" t="n">
        <v>1</v>
      </c>
      <c r="K94" s="25" t="inlineStr">
        <is>
          <t>Shipped</t>
        </is>
      </c>
    </row>
    <row r="95">
      <c r="A95" s="25" t="inlineStr">
        <is>
          <t>R1177361A</t>
        </is>
      </c>
      <c r="B95" s="78" t="n">
        <v>44461</v>
      </c>
      <c r="C95" s="25" t="inlineStr">
        <is>
          <t>87290</t>
        </is>
      </c>
      <c r="D95" s="25" t="inlineStr">
        <is>
          <t>CASAMIGOS BLANCO TEQUILA 100% AGAVE</t>
        </is>
      </c>
      <c r="E95" s="27" t="n">
        <v>3</v>
      </c>
      <c r="F95" s="28" t="n">
        <v>227.26</v>
      </c>
      <c r="G95" s="27" t="n">
        <v>2</v>
      </c>
      <c r="H95" s="27" t="n">
        <v>2</v>
      </c>
      <c r="I95" s="27" t="n">
        <v>2</v>
      </c>
      <c r="J95" s="27" t="n">
        <v>2</v>
      </c>
      <c r="K95" s="25" t="inlineStr">
        <is>
          <t>Shipped</t>
        </is>
      </c>
    </row>
    <row r="96">
      <c r="A96" s="25" t="inlineStr">
        <is>
          <t>R1265748</t>
        </is>
      </c>
      <c r="B96" s="78" t="n">
        <v>44466</v>
      </c>
      <c r="C96" s="25" t="inlineStr">
        <is>
          <t>87282</t>
        </is>
      </c>
      <c r="D96" s="25" t="inlineStr">
        <is>
          <t>CASAMIGOS BLANCO TEQUILA 100% AGAVE</t>
        </is>
      </c>
      <c r="E96" s="27" t="n">
        <v>12</v>
      </c>
      <c r="F96" s="28" t="n">
        <v>227.87</v>
      </c>
      <c r="G96" s="27" t="n">
        <v>5</v>
      </c>
      <c r="H96" s="27" t="n">
        <v>5</v>
      </c>
      <c r="I96" s="27" t="n">
        <v>5</v>
      </c>
      <c r="J96" s="27" t="n">
        <v>5</v>
      </c>
      <c r="K96" s="25" t="inlineStr">
        <is>
          <t>Shipped</t>
        </is>
      </c>
    </row>
    <row r="97">
      <c r="A97" s="25" t="inlineStr">
        <is>
          <t>R1266294</t>
        </is>
      </c>
      <c r="B97" s="78" t="n">
        <v>44473</v>
      </c>
      <c r="C97" s="25" t="inlineStr">
        <is>
          <t>87282</t>
        </is>
      </c>
      <c r="D97" s="25" t="inlineStr">
        <is>
          <t>CASAMIGOS BLANCO TEQUILA 100% AGAVE</t>
        </is>
      </c>
      <c r="E97" s="27" t="n">
        <v>12</v>
      </c>
      <c r="F97" s="28" t="n">
        <v>227.87</v>
      </c>
      <c r="G97" s="27" t="n">
        <v>1</v>
      </c>
      <c r="H97" s="27" t="n">
        <v>1</v>
      </c>
      <c r="I97" s="27" t="n">
        <v>1</v>
      </c>
      <c r="J97" s="27" t="n">
        <v>1</v>
      </c>
      <c r="K97" s="25" t="inlineStr">
        <is>
          <t>Shipped</t>
        </is>
      </c>
    </row>
    <row r="98">
      <c r="A98" s="25" t="inlineStr">
        <is>
          <t>R1307134</t>
        </is>
      </c>
      <c r="B98" s="78" t="n">
        <v>44501</v>
      </c>
      <c r="C98" s="25" t="inlineStr">
        <is>
          <t>87290</t>
        </is>
      </c>
      <c r="D98" s="25" t="inlineStr">
        <is>
          <t>CASAMIGOS BLANCO TEQUILA 100% AGAVE</t>
        </is>
      </c>
      <c r="E98" s="27" t="n">
        <v>3</v>
      </c>
      <c r="F98" s="28" t="n">
        <v>227.26</v>
      </c>
      <c r="G98" s="27" t="n">
        <v>10</v>
      </c>
      <c r="H98" s="27" t="n">
        <v>10</v>
      </c>
      <c r="I98" s="27" t="n">
        <v>10</v>
      </c>
      <c r="J98" s="27" t="n">
        <v>6</v>
      </c>
      <c r="K98" s="25" t="inlineStr">
        <is>
          <t>Shipped</t>
        </is>
      </c>
    </row>
    <row r="99">
      <c r="A99" s="25" t="inlineStr">
        <is>
          <t>R1170950</t>
        </is>
      </c>
      <c r="B99" s="78" t="n">
        <v>44385</v>
      </c>
      <c r="C99" s="25" t="inlineStr">
        <is>
          <t>88829</t>
        </is>
      </c>
      <c r="D99" s="25" t="inlineStr">
        <is>
          <t>CASAMIGOS REPOSADO TEQUILA 100% AGAVE</t>
        </is>
      </c>
      <c r="E99" s="27" t="n">
        <v>60</v>
      </c>
      <c r="F99" s="28" t="n">
        <v>206.99</v>
      </c>
      <c r="G99" s="27" t="n">
        <v>1</v>
      </c>
      <c r="H99" s="27" t="n">
        <v>1</v>
      </c>
      <c r="I99" s="27" t="n">
        <v>1</v>
      </c>
      <c r="J99" s="27" t="n">
        <v>1</v>
      </c>
      <c r="K99" s="25" t="inlineStr">
        <is>
          <t>Shipped</t>
        </is>
      </c>
    </row>
    <row r="100">
      <c r="A100" s="25" t="inlineStr">
        <is>
          <t>R1207830</t>
        </is>
      </c>
      <c r="B100" s="78" t="n">
        <v>44420</v>
      </c>
      <c r="C100" s="25" t="inlineStr">
        <is>
          <t>88829</t>
        </is>
      </c>
      <c r="D100" s="25" t="inlineStr">
        <is>
          <t>CASAMIGOS REPOSADO TEQUILA 100% AGAVE</t>
        </is>
      </c>
      <c r="E100" s="27" t="n">
        <v>60</v>
      </c>
      <c r="F100" s="28" t="n">
        <v>206.99</v>
      </c>
      <c r="G100" s="27" t="n">
        <v>2</v>
      </c>
      <c r="H100" s="27" t="n">
        <v>2</v>
      </c>
      <c r="I100" s="27" t="n">
        <v>2</v>
      </c>
      <c r="J100" s="27" t="n">
        <v>2</v>
      </c>
      <c r="K100" s="25" t="inlineStr">
        <is>
          <t>Shipped</t>
        </is>
      </c>
    </row>
    <row r="101">
      <c r="A101" s="25" t="inlineStr">
        <is>
          <t>R1177361A</t>
        </is>
      </c>
      <c r="B101" s="78" t="n">
        <v>44461</v>
      </c>
      <c r="C101" s="25" t="inlineStr">
        <is>
          <t>88830</t>
        </is>
      </c>
      <c r="D101" s="25" t="inlineStr">
        <is>
          <t>CASAMIGOS REPOSADO TEQUILA 100% AGAVE</t>
        </is>
      </c>
      <c r="E101" s="27" t="n">
        <v>12</v>
      </c>
      <c r="F101" s="28" t="n">
        <v>239.92</v>
      </c>
      <c r="G101" s="27" t="n">
        <v>5</v>
      </c>
      <c r="H101" s="27" t="n">
        <v>5</v>
      </c>
      <c r="I101" s="27" t="n">
        <v>5</v>
      </c>
      <c r="J101" s="27" t="n">
        <v>5</v>
      </c>
      <c r="K101" s="25" t="inlineStr">
        <is>
          <t>Shipped</t>
        </is>
      </c>
    </row>
    <row r="102">
      <c r="A102" s="25" t="inlineStr">
        <is>
          <t>R1018150A</t>
        </is>
      </c>
      <c r="B102" s="78" t="n">
        <v>44278</v>
      </c>
      <c r="C102" s="25" t="inlineStr">
        <is>
          <t>359039</t>
        </is>
      </c>
      <c r="D102" s="25" t="inlineStr">
        <is>
          <t>CASTELLO DEL POGGIO PINOT GRIGIO</t>
        </is>
      </c>
      <c r="E102" s="27" t="n">
        <v>12</v>
      </c>
      <c r="F102" s="28" t="n">
        <v>80.53</v>
      </c>
      <c r="G102" s="27" t="n">
        <v>1</v>
      </c>
      <c r="H102" s="27" t="n">
        <v>1</v>
      </c>
      <c r="I102" s="27" t="n">
        <v>1</v>
      </c>
      <c r="J102" s="27" t="n">
        <v>1</v>
      </c>
      <c r="K102" s="25" t="inlineStr">
        <is>
          <t>Shipped</t>
        </is>
      </c>
    </row>
    <row r="103">
      <c r="A103" s="25" t="inlineStr">
        <is>
          <t>R1018150</t>
        </is>
      </c>
      <c r="B103" s="78" t="n">
        <v>44229</v>
      </c>
      <c r="C103" s="25" t="inlineStr">
        <is>
          <t>359041</t>
        </is>
      </c>
      <c r="D103" s="25" t="inlineStr">
        <is>
          <t>CASTELLO DEL POGGIO SMOOTH RED</t>
        </is>
      </c>
      <c r="E103" s="27" t="n">
        <v>12</v>
      </c>
      <c r="F103" s="28" t="n">
        <v>80.53</v>
      </c>
      <c r="G103" s="27" t="n">
        <v>15</v>
      </c>
      <c r="H103" s="27" t="n">
        <v>15</v>
      </c>
      <c r="I103" s="27" t="n">
        <v>15</v>
      </c>
      <c r="J103" s="27" t="n">
        <v>15</v>
      </c>
      <c r="K103" s="25" t="inlineStr">
        <is>
          <t>Shipped</t>
        </is>
      </c>
    </row>
    <row r="104">
      <c r="A104" s="25" t="inlineStr">
        <is>
          <t>R1163336</t>
        </is>
      </c>
      <c r="B104" s="78" t="n">
        <v>44377</v>
      </c>
      <c r="C104" s="25" t="inlineStr">
        <is>
          <t>904575</t>
        </is>
      </c>
      <c r="D104" s="25" t="inlineStr">
        <is>
          <t>CATCH A RIDE RED</t>
        </is>
      </c>
      <c r="E104" s="27" t="n">
        <v>12</v>
      </c>
      <c r="F104" s="28" t="n">
        <v>55.63</v>
      </c>
      <c r="G104" s="27" t="n">
        <v>3</v>
      </c>
      <c r="H104" s="27" t="n">
        <v>3</v>
      </c>
      <c r="I104" s="27" t="n">
        <v>3</v>
      </c>
      <c r="J104" s="27" t="n">
        <v>3</v>
      </c>
      <c r="K104" s="25" t="inlineStr">
        <is>
          <t>Shipped</t>
        </is>
      </c>
    </row>
    <row r="105">
      <c r="A105" s="25" t="inlineStr">
        <is>
          <t>R1163336</t>
        </is>
      </c>
      <c r="B105" s="78" t="n">
        <v>44377</v>
      </c>
      <c r="C105" s="25" t="inlineStr">
        <is>
          <t>904576</t>
        </is>
      </c>
      <c r="D105" s="25" t="inlineStr">
        <is>
          <t>CATCH A RIDE ROSE</t>
        </is>
      </c>
      <c r="E105" s="27" t="n">
        <v>12</v>
      </c>
      <c r="F105" s="28" t="n">
        <v>55.63</v>
      </c>
      <c r="G105" s="27" t="n">
        <v>3</v>
      </c>
      <c r="H105" s="27" t="n">
        <v>3</v>
      </c>
      <c r="I105" s="27" t="n">
        <v>3</v>
      </c>
      <c r="J105" s="27" t="n">
        <v>3</v>
      </c>
      <c r="K105" s="25" t="inlineStr">
        <is>
          <t>Shipped</t>
        </is>
      </c>
    </row>
    <row r="106">
      <c r="A106" s="25" t="inlineStr">
        <is>
          <t>R1163336</t>
        </is>
      </c>
      <c r="B106" s="78" t="n">
        <v>44377</v>
      </c>
      <c r="C106" s="25" t="inlineStr">
        <is>
          <t>904571</t>
        </is>
      </c>
      <c r="D106" s="25" t="inlineStr">
        <is>
          <t>CATCH A RIDE WHITE</t>
        </is>
      </c>
      <c r="E106" s="27" t="n">
        <v>12</v>
      </c>
      <c r="F106" s="28" t="n">
        <v>55.62</v>
      </c>
      <c r="G106" s="27" t="n">
        <v>3</v>
      </c>
      <c r="H106" s="27" t="n">
        <v>3</v>
      </c>
      <c r="I106" s="27" t="n">
        <v>3</v>
      </c>
      <c r="J106" s="27" t="n">
        <v>3</v>
      </c>
      <c r="K106" s="25" t="inlineStr">
        <is>
          <t>Shipped</t>
        </is>
      </c>
    </row>
    <row r="107">
      <c r="A107" s="25" t="inlineStr">
        <is>
          <t>R1088595</t>
        </is>
      </c>
      <c r="B107" s="78" t="n">
        <v>44309</v>
      </c>
      <c r="C107" s="25" t="inlineStr">
        <is>
          <t>452700</t>
        </is>
      </c>
      <c r="D107" s="25" t="inlineStr">
        <is>
          <t>CAYMUS CAB SAUV NAPA VALLEY</t>
        </is>
      </c>
      <c r="E107" s="27" t="n">
        <v>12</v>
      </c>
      <c r="F107" s="28" t="n">
        <v>700.71</v>
      </c>
      <c r="G107" s="27" t="n">
        <v>1</v>
      </c>
      <c r="H107" s="27" t="n">
        <v>1</v>
      </c>
      <c r="I107" s="27" t="n">
        <v>1</v>
      </c>
      <c r="J107" s="27" t="n">
        <v>1</v>
      </c>
      <c r="K107" s="25" t="inlineStr">
        <is>
          <t>Shipped</t>
        </is>
      </c>
    </row>
    <row r="108">
      <c r="A108" s="25" t="inlineStr">
        <is>
          <t>R1078469</t>
        </is>
      </c>
      <c r="B108" s="78" t="n">
        <v>44298</v>
      </c>
      <c r="C108" s="25" t="inlineStr">
        <is>
          <t>101339</t>
        </is>
      </c>
      <c r="D108" s="25" t="inlineStr">
        <is>
          <t>CIROC VODKA W/3-50ML:PEACH/PNEAPLE/WTMLN VAP</t>
        </is>
      </c>
      <c r="E108" s="27" t="n">
        <v>6</v>
      </c>
      <c r="F108" s="28" t="n">
        <v>148.73</v>
      </c>
      <c r="G108" s="27" t="n">
        <v>15</v>
      </c>
      <c r="H108" s="27" t="n">
        <v>15</v>
      </c>
      <c r="I108" s="27" t="n">
        <v>15</v>
      </c>
      <c r="J108" s="27" t="n">
        <v>15</v>
      </c>
      <c r="K108" s="25" t="inlineStr">
        <is>
          <t>Shipped</t>
        </is>
      </c>
    </row>
    <row r="109">
      <c r="A109" s="25" t="inlineStr">
        <is>
          <t>R898890A</t>
        </is>
      </c>
      <c r="B109" s="78" t="n">
        <v>44202</v>
      </c>
      <c r="C109" s="25" t="inlineStr">
        <is>
          <t>87360</t>
        </is>
      </c>
      <c r="D109" s="25" t="inlineStr">
        <is>
          <t>CLASE AZUL PLATA TEQ</t>
        </is>
      </c>
      <c r="E109" s="27" t="n">
        <v>6</v>
      </c>
      <c r="F109" s="28" t="n">
        <v>383.96</v>
      </c>
      <c r="G109" s="27" t="n">
        <v>2</v>
      </c>
      <c r="H109" s="27" t="n">
        <v>2</v>
      </c>
      <c r="I109" s="27" t="n">
        <v>2</v>
      </c>
      <c r="J109" s="27" t="n">
        <v>2</v>
      </c>
      <c r="K109" s="25" t="inlineStr">
        <is>
          <t>Shipped</t>
        </is>
      </c>
    </row>
    <row r="110">
      <c r="A110" s="25" t="inlineStr">
        <is>
          <t>R898890B</t>
        </is>
      </c>
      <c r="B110" s="78" t="n">
        <v>44209</v>
      </c>
      <c r="C110" s="25" t="inlineStr">
        <is>
          <t>87360</t>
        </is>
      </c>
      <c r="D110" s="25" t="inlineStr">
        <is>
          <t>CLASE AZUL PLATA TEQ</t>
        </is>
      </c>
      <c r="E110" s="27" t="n">
        <v>6</v>
      </c>
      <c r="F110" s="28" t="n">
        <v>383.96</v>
      </c>
      <c r="G110" s="27" t="n">
        <v>1</v>
      </c>
      <c r="H110" s="27" t="n">
        <v>1</v>
      </c>
      <c r="I110" s="27" t="n">
        <v>1</v>
      </c>
      <c r="J110" s="27" t="n">
        <v>1</v>
      </c>
      <c r="K110" s="25" t="inlineStr">
        <is>
          <t>Shipped</t>
        </is>
      </c>
    </row>
    <row r="111">
      <c r="A111" s="25" t="inlineStr">
        <is>
          <t>R1067411</t>
        </is>
      </c>
      <c r="B111" s="78" t="n">
        <v>44271</v>
      </c>
      <c r="C111" s="25" t="inlineStr">
        <is>
          <t>88213</t>
        </is>
      </c>
      <c r="D111" s="25" t="inlineStr">
        <is>
          <t>CODIGO 1530 ANEJO TEQUILA BARREL STRENGTH</t>
        </is>
      </c>
      <c r="E111" s="27" t="n">
        <v>3</v>
      </c>
      <c r="F111" s="28" t="n">
        <v>353.96</v>
      </c>
      <c r="G111" s="27" t="n">
        <v>1</v>
      </c>
      <c r="H111" s="27" t="n">
        <v>1</v>
      </c>
      <c r="I111" s="27" t="n">
        <v>1</v>
      </c>
      <c r="J111" s="27" t="n">
        <v>1</v>
      </c>
      <c r="K111" s="25" t="inlineStr">
        <is>
          <t>Shipped</t>
        </is>
      </c>
    </row>
    <row r="112">
      <c r="A112" s="25" t="inlineStr">
        <is>
          <t>R991340</t>
        </is>
      </c>
      <c r="B112" s="78" t="n">
        <v>44200</v>
      </c>
      <c r="C112" s="25" t="inlineStr">
        <is>
          <t>87369</t>
        </is>
      </c>
      <c r="D112" s="25" t="inlineStr">
        <is>
          <t>CODIGO 1530 BLANCO TEQUILA</t>
        </is>
      </c>
      <c r="E112" s="27" t="n">
        <v>6</v>
      </c>
      <c r="F112" s="28" t="n">
        <v>211.97</v>
      </c>
      <c r="G112" s="27" t="n">
        <v>1</v>
      </c>
      <c r="H112" s="27" t="n">
        <v>1</v>
      </c>
      <c r="I112" s="27" t="n">
        <v>1</v>
      </c>
      <c r="J112" s="27" t="n">
        <v>1</v>
      </c>
      <c r="K112" s="25" t="inlineStr">
        <is>
          <t>Shipped</t>
        </is>
      </c>
    </row>
    <row r="113">
      <c r="A113" s="25" t="inlineStr">
        <is>
          <t>R911874A</t>
        </is>
      </c>
      <c r="B113" s="78" t="n">
        <v>44209</v>
      </c>
      <c r="C113" s="25" t="inlineStr">
        <is>
          <t>47766</t>
        </is>
      </c>
      <c r="D113" s="25" t="inlineStr">
        <is>
          <t>CONJURE COGNAC</t>
        </is>
      </c>
      <c r="E113" s="27" t="n">
        <v>6</v>
      </c>
      <c r="F113" s="28" t="n">
        <v>176.27</v>
      </c>
      <c r="G113" s="27" t="n">
        <v>1</v>
      </c>
      <c r="H113" s="27" t="n">
        <v>1</v>
      </c>
      <c r="I113" s="27" t="n">
        <v>1</v>
      </c>
      <c r="J113" s="27" t="n">
        <v>1</v>
      </c>
      <c r="K113" s="25" t="inlineStr">
        <is>
          <t>Shipped</t>
        </is>
      </c>
    </row>
    <row r="114">
      <c r="A114" s="25" t="inlineStr">
        <is>
          <t>R1005451</t>
        </is>
      </c>
      <c r="B114" s="78" t="n">
        <v>44210</v>
      </c>
      <c r="C114" s="25" t="inlineStr">
        <is>
          <t>47766</t>
        </is>
      </c>
      <c r="D114" s="25" t="inlineStr">
        <is>
          <t>CONJURE COGNAC</t>
        </is>
      </c>
      <c r="E114" s="27" t="n">
        <v>6</v>
      </c>
      <c r="F114" s="28" t="n">
        <v>176.27</v>
      </c>
      <c r="G114" s="27" t="n">
        <v>1</v>
      </c>
      <c r="H114" s="27" t="n">
        <v>1</v>
      </c>
      <c r="I114" s="27" t="n">
        <v>1</v>
      </c>
      <c r="J114" s="27" t="n">
        <v>1</v>
      </c>
      <c r="K114" s="25" t="inlineStr">
        <is>
          <t>Shipped</t>
        </is>
      </c>
    </row>
    <row r="115">
      <c r="A115" s="25" t="inlineStr">
        <is>
          <t>R1025317A</t>
        </is>
      </c>
      <c r="B115" s="78" t="n">
        <v>44251</v>
      </c>
      <c r="C115" s="25" t="inlineStr">
        <is>
          <t>47766</t>
        </is>
      </c>
      <c r="D115" s="25" t="inlineStr">
        <is>
          <t>CONJURE COGNAC</t>
        </is>
      </c>
      <c r="E115" s="27" t="n">
        <v>6</v>
      </c>
      <c r="F115" s="28" t="n">
        <v>176.27</v>
      </c>
      <c r="G115" s="27" t="n">
        <v>4</v>
      </c>
      <c r="H115" s="27" t="n">
        <v>4</v>
      </c>
      <c r="I115" s="27" t="n">
        <v>4</v>
      </c>
      <c r="J115" s="27" t="n">
        <v>4</v>
      </c>
      <c r="K115" s="25" t="inlineStr">
        <is>
          <t>Shipped</t>
        </is>
      </c>
    </row>
    <row r="116">
      <c r="A116" s="25" t="inlineStr">
        <is>
          <t>R1042210</t>
        </is>
      </c>
      <c r="B116" s="78" t="n">
        <v>44252</v>
      </c>
      <c r="C116" s="25" t="inlineStr">
        <is>
          <t>47767</t>
        </is>
      </c>
      <c r="D116" s="25" t="inlineStr">
        <is>
          <t>CONJURE COGNAC</t>
        </is>
      </c>
      <c r="E116" s="27" t="n">
        <v>12</v>
      </c>
      <c r="F116" s="28" t="n">
        <v>201.77</v>
      </c>
      <c r="G116" s="27" t="n">
        <v>1</v>
      </c>
      <c r="H116" s="27" t="n">
        <v>1</v>
      </c>
      <c r="I116" s="27" t="n">
        <v>1</v>
      </c>
      <c r="J116" s="27" t="n">
        <v>1</v>
      </c>
      <c r="K116" s="25" t="inlineStr">
        <is>
          <t>Shipped</t>
        </is>
      </c>
    </row>
    <row r="117">
      <c r="A117" s="25" t="inlineStr">
        <is>
          <t>R1249720</t>
        </is>
      </c>
      <c r="B117" s="78" t="n">
        <v>44460</v>
      </c>
      <c r="C117" s="25" t="inlineStr">
        <is>
          <t>47767</t>
        </is>
      </c>
      <c r="D117" s="25" t="inlineStr">
        <is>
          <t>CONJURE COGNAC</t>
        </is>
      </c>
      <c r="E117" s="27" t="n">
        <v>12</v>
      </c>
      <c r="F117" s="28" t="n">
        <v>201.77</v>
      </c>
      <c r="G117" s="27" t="n">
        <v>1</v>
      </c>
      <c r="H117" s="27" t="n">
        <v>1</v>
      </c>
      <c r="I117" s="27" t="n">
        <v>1</v>
      </c>
      <c r="J117" s="27" t="n">
        <v>1</v>
      </c>
      <c r="K117" s="25" t="inlineStr">
        <is>
          <t>Shipped</t>
        </is>
      </c>
    </row>
    <row r="118">
      <c r="A118" s="25" t="inlineStr">
        <is>
          <t>R1145148</t>
        </is>
      </c>
      <c r="B118" s="78" t="n">
        <v>44344</v>
      </c>
      <c r="C118" s="25" t="inlineStr">
        <is>
          <t>17560</t>
        </is>
      </c>
      <c r="D118" s="25" t="inlineStr">
        <is>
          <t>COPPERCRAFT SMALL BATCH STRAIGHT BOURBON 97P</t>
        </is>
      </c>
      <c r="E118" s="27" t="n">
        <v>6</v>
      </c>
      <c r="F118" s="28" t="n">
        <v>230.72</v>
      </c>
      <c r="G118" s="27" t="n">
        <v>1</v>
      </c>
      <c r="H118" s="27" t="n">
        <v>1</v>
      </c>
      <c r="I118" s="27" t="n">
        <v>1</v>
      </c>
      <c r="J118" s="27" t="n">
        <v>1</v>
      </c>
      <c r="K118" s="25" t="inlineStr">
        <is>
          <t>Shipped</t>
        </is>
      </c>
    </row>
    <row r="119">
      <c r="A119" s="25" t="inlineStr">
        <is>
          <t>R1160442A</t>
        </is>
      </c>
      <c r="B119" s="78" t="n">
        <v>44376</v>
      </c>
      <c r="C119" s="25" t="inlineStr">
        <is>
          <t>906762</t>
        </is>
      </c>
      <c r="D119" s="25" t="inlineStr">
        <is>
          <t>COURVOISIER VS</t>
        </is>
      </c>
      <c r="E119" s="27" t="n">
        <v>24</v>
      </c>
      <c r="F119" s="28" t="n">
        <v>222.82</v>
      </c>
      <c r="G119" s="27" t="n">
        <v>25</v>
      </c>
      <c r="H119" s="27" t="n">
        <v>25</v>
      </c>
      <c r="I119" s="27" t="n">
        <v>25</v>
      </c>
      <c r="J119" s="27" t="n">
        <v>25</v>
      </c>
      <c r="K119" s="25" t="inlineStr">
        <is>
          <t>Shipped</t>
        </is>
      </c>
    </row>
    <row r="120">
      <c r="A120" s="25" t="inlineStr">
        <is>
          <t>R1227047</t>
        </is>
      </c>
      <c r="B120" s="78" t="n">
        <v>44438</v>
      </c>
      <c r="C120" s="25" t="inlineStr">
        <is>
          <t>26281</t>
        </is>
      </c>
      <c r="D120" s="25" t="inlineStr">
        <is>
          <t>CRITTENDEN'S CUT ABOVE 4YR BOURBON WHISKEY</t>
        </is>
      </c>
      <c r="E120" s="27" t="n">
        <v>6</v>
      </c>
      <c r="F120" s="28" t="n">
        <v>184.56</v>
      </c>
      <c r="G120" s="27" t="n">
        <v>1</v>
      </c>
      <c r="H120" s="27" t="n">
        <v>1</v>
      </c>
      <c r="I120" s="27" t="n">
        <v>1</v>
      </c>
      <c r="J120" s="27" t="n">
        <v>1</v>
      </c>
      <c r="K120" s="25" t="inlineStr">
        <is>
          <t>Shipped</t>
        </is>
      </c>
    </row>
    <row r="121">
      <c r="A121" s="25" t="inlineStr">
        <is>
          <t>R1282406</t>
        </is>
      </c>
      <c r="B121" s="78" t="n">
        <v>44481</v>
      </c>
      <c r="C121" s="25" t="inlineStr">
        <is>
          <t>26281</t>
        </is>
      </c>
      <c r="D121" s="25" t="inlineStr">
        <is>
          <t>CRITTENDEN'S CUT ABOVE 4YR BOURBON WHISKEY</t>
        </is>
      </c>
      <c r="E121" s="27" t="n">
        <v>6</v>
      </c>
      <c r="F121" s="28" t="n">
        <v>184.56</v>
      </c>
      <c r="G121" s="27" t="n">
        <v>1</v>
      </c>
      <c r="H121" s="27" t="n">
        <v>1</v>
      </c>
      <c r="I121" s="27" t="n">
        <v>1</v>
      </c>
      <c r="J121" s="27" t="n">
        <v>1</v>
      </c>
      <c r="K121" s="25" t="inlineStr">
        <is>
          <t>Shipped</t>
        </is>
      </c>
    </row>
    <row r="122">
      <c r="A122" s="25" t="inlineStr">
        <is>
          <t>R1298319</t>
        </is>
      </c>
      <c r="B122" s="78" t="n">
        <v>44494</v>
      </c>
      <c r="C122" s="25" t="inlineStr">
        <is>
          <t>11287</t>
        </is>
      </c>
      <c r="D122" s="25" t="inlineStr">
        <is>
          <t>CROWN ROYAL EXTRA RARE 18YR</t>
        </is>
      </c>
      <c r="E122" s="27" t="n">
        <v>6</v>
      </c>
      <c r="F122" s="28" t="n">
        <v>646.09</v>
      </c>
      <c r="G122" s="27" t="n">
        <v>2</v>
      </c>
      <c r="H122" s="27" t="n">
        <v>2</v>
      </c>
      <c r="I122" s="27" t="n">
        <v>2</v>
      </c>
      <c r="J122" s="27" t="n">
        <v>2</v>
      </c>
      <c r="K122" s="25" t="inlineStr">
        <is>
          <t>Shipped</t>
        </is>
      </c>
    </row>
    <row r="123">
      <c r="A123" s="25" t="inlineStr">
        <is>
          <t>R1272734</t>
        </is>
      </c>
      <c r="B123" s="78" t="n">
        <v>44480</v>
      </c>
      <c r="C123" s="25" t="inlineStr">
        <is>
          <t>58263</t>
        </is>
      </c>
      <c r="D123" s="25" t="inlineStr">
        <is>
          <t>CUTWATER MANGO MARGARITA</t>
        </is>
      </c>
      <c r="E123" s="27" t="n">
        <v>24</v>
      </c>
      <c r="F123" s="28" t="n">
        <v>51.39</v>
      </c>
      <c r="G123" s="27" t="n">
        <v>1</v>
      </c>
      <c r="H123" s="27" t="n">
        <v>1</v>
      </c>
      <c r="I123" s="27" t="n">
        <v>1</v>
      </c>
      <c r="J123" s="27" t="n">
        <v>1</v>
      </c>
      <c r="K123" s="25" t="inlineStr">
        <is>
          <t>Shipped</t>
        </is>
      </c>
    </row>
    <row r="124">
      <c r="A124" s="25" t="inlineStr">
        <is>
          <t>R1272734A</t>
        </is>
      </c>
      <c r="B124" s="78" t="n">
        <v>44538</v>
      </c>
      <c r="C124" s="25" t="inlineStr">
        <is>
          <t>58267</t>
        </is>
      </c>
      <c r="D124" s="25" t="inlineStr">
        <is>
          <t>CUTWATER PINA COLADA</t>
        </is>
      </c>
      <c r="E124" s="27" t="n">
        <v>24</v>
      </c>
      <c r="F124" s="28" t="n">
        <v>51.39</v>
      </c>
      <c r="G124" s="27" t="n">
        <v>1</v>
      </c>
      <c r="H124" s="27" t="n">
        <v>1</v>
      </c>
      <c r="I124" s="27" t="n">
        <v>1</v>
      </c>
      <c r="J124" s="27" t="n">
        <v>1</v>
      </c>
      <c r="K124" s="25" t="inlineStr">
        <is>
          <t>Shipped</t>
        </is>
      </c>
    </row>
    <row r="125">
      <c r="A125" s="25" t="inlineStr">
        <is>
          <t>R1019250</t>
        </is>
      </c>
      <c r="B125" s="78" t="n">
        <v>44235</v>
      </c>
      <c r="C125" s="25" t="inlineStr">
        <is>
          <t>47858</t>
        </is>
      </c>
      <c r="D125" s="25" t="inlineStr">
        <is>
          <t>DAVIDOFF SPECIAL V COGNAC</t>
        </is>
      </c>
      <c r="E125" s="27" t="n">
        <v>12</v>
      </c>
      <c r="F125" s="28" t="n">
        <v>369.14</v>
      </c>
      <c r="G125" s="27" t="n">
        <v>3</v>
      </c>
      <c r="H125" s="27" t="n">
        <v>3</v>
      </c>
      <c r="I125" s="27" t="n">
        <v>3</v>
      </c>
      <c r="J125" s="27" t="n">
        <v>3</v>
      </c>
      <c r="K125" s="25" t="inlineStr">
        <is>
          <t>Shipped</t>
        </is>
      </c>
    </row>
    <row r="126">
      <c r="A126" s="25" t="inlineStr">
        <is>
          <t>R1019250</t>
        </is>
      </c>
      <c r="B126" s="78" t="n">
        <v>44235</v>
      </c>
      <c r="C126" s="25" t="inlineStr">
        <is>
          <t>47867</t>
        </is>
      </c>
      <c r="D126" s="25" t="inlineStr">
        <is>
          <t>DAVIDOFF VSOP COGNAC</t>
        </is>
      </c>
      <c r="E126" s="27" t="n">
        <v>12</v>
      </c>
      <c r="F126" s="28" t="n">
        <v>507.61</v>
      </c>
      <c r="G126" s="27" t="n">
        <v>1</v>
      </c>
      <c r="H126" s="27" t="n">
        <v>1</v>
      </c>
      <c r="I126" s="27" t="n">
        <v>1</v>
      </c>
      <c r="J126" s="27" t="n">
        <v>1</v>
      </c>
      <c r="K126" s="25" t="inlineStr">
        <is>
          <t>Shipped</t>
        </is>
      </c>
    </row>
    <row r="127">
      <c r="A127" s="25" t="inlineStr">
        <is>
          <t>R1197689</t>
        </is>
      </c>
      <c r="B127" s="78" t="n">
        <v>44418</v>
      </c>
      <c r="C127" s="25" t="inlineStr">
        <is>
          <t>17632</t>
        </is>
      </c>
      <c r="D127" s="25" t="inlineStr">
        <is>
          <t>DAVIESS COUNTY FRENCH OAK CASK KSBW</t>
        </is>
      </c>
      <c r="E127" s="27" t="n">
        <v>6</v>
      </c>
      <c r="F127" s="28" t="n">
        <v>207.66</v>
      </c>
      <c r="G127" s="27" t="n">
        <v>1</v>
      </c>
      <c r="H127" s="27" t="n">
        <v>1</v>
      </c>
      <c r="I127" s="27" t="n">
        <v>1</v>
      </c>
      <c r="J127" s="27" t="n">
        <v>1</v>
      </c>
      <c r="K127" s="25" t="inlineStr">
        <is>
          <t>Shipped</t>
        </is>
      </c>
    </row>
    <row r="128">
      <c r="A128" s="25" t="inlineStr">
        <is>
          <t>R1251991</t>
        </is>
      </c>
      <c r="B128" s="78" t="n">
        <v>44460</v>
      </c>
      <c r="C128" s="25" t="inlineStr">
        <is>
          <t>87563</t>
        </is>
      </c>
      <c r="D128" s="25" t="inlineStr">
        <is>
          <t>DELEON BLANCO TEQUILA</t>
        </is>
      </c>
      <c r="E128" s="27" t="n">
        <v>12</v>
      </c>
      <c r="F128" s="28" t="n">
        <v>369.59</v>
      </c>
      <c r="G128" s="27" t="n">
        <v>2</v>
      </c>
      <c r="H128" s="27" t="n">
        <v>2</v>
      </c>
      <c r="I128" s="27" t="n">
        <v>2</v>
      </c>
      <c r="J128" s="27" t="n">
        <v>1</v>
      </c>
      <c r="K128" s="25" t="inlineStr">
        <is>
          <t>Shipped</t>
        </is>
      </c>
    </row>
    <row r="129">
      <c r="A129" s="25" t="inlineStr">
        <is>
          <t>R1283814</t>
        </is>
      </c>
      <c r="B129" s="78" t="n">
        <v>44484</v>
      </c>
      <c r="C129" s="25" t="inlineStr">
        <is>
          <t>710701</t>
        </is>
      </c>
      <c r="D129" s="25" t="inlineStr">
        <is>
          <t>DOM PERIGNON</t>
        </is>
      </c>
      <c r="E129" s="27" t="n">
        <v>6</v>
      </c>
      <c r="F129" s="28" t="n">
        <v>835.51</v>
      </c>
      <c r="G129" s="27" t="n">
        <v>1</v>
      </c>
      <c r="H129" s="27" t="n">
        <v>1</v>
      </c>
      <c r="I129" s="27" t="n">
        <v>1</v>
      </c>
      <c r="J129" s="27" t="n">
        <v>1</v>
      </c>
      <c r="K129" s="25" t="inlineStr">
        <is>
          <t>Shipped</t>
        </is>
      </c>
    </row>
    <row r="130">
      <c r="A130" s="25" t="inlineStr">
        <is>
          <t>R1151877</t>
        </is>
      </c>
      <c r="B130" s="78" t="n">
        <v>44368</v>
      </c>
      <c r="C130" s="25" t="inlineStr">
        <is>
          <t>219019</t>
        </is>
      </c>
      <c r="D130" s="25" t="inlineStr">
        <is>
          <t>DOM PERIGNON ROSE/VARY VINTAGE GIFT BOX</t>
        </is>
      </c>
      <c r="E130" s="27" t="n">
        <v>3</v>
      </c>
      <c r="F130" s="28" t="n">
        <v>688.87</v>
      </c>
      <c r="G130" s="27" t="n">
        <v>1</v>
      </c>
      <c r="H130" s="27" t="n">
        <v>1</v>
      </c>
      <c r="I130" s="27" t="n">
        <v>1</v>
      </c>
      <c r="J130" s="27" t="n">
        <v>1</v>
      </c>
      <c r="K130" s="25" t="inlineStr">
        <is>
          <t>Shipped</t>
        </is>
      </c>
    </row>
    <row r="131">
      <c r="A131" s="25" t="inlineStr">
        <is>
          <t>R1154623</t>
        </is>
      </c>
      <c r="B131" s="78" t="n">
        <v>44375</v>
      </c>
      <c r="C131" s="25" t="inlineStr">
        <is>
          <t>219019</t>
        </is>
      </c>
      <c r="D131" s="25" t="inlineStr">
        <is>
          <t>DOM PERIGNON ROSE/VARY VINTAGE GIFT BOX</t>
        </is>
      </c>
      <c r="E131" s="27" t="n">
        <v>3</v>
      </c>
      <c r="F131" s="28" t="n">
        <v>688.87</v>
      </c>
      <c r="G131" s="27" t="n">
        <v>1</v>
      </c>
      <c r="H131" s="27" t="n">
        <v>1</v>
      </c>
      <c r="I131" s="27" t="n">
        <v>1</v>
      </c>
      <c r="J131" s="27" t="n">
        <v>1</v>
      </c>
      <c r="K131" s="25" t="inlineStr">
        <is>
          <t>Shipped</t>
        </is>
      </c>
    </row>
    <row r="132">
      <c r="A132" s="25" t="inlineStr">
        <is>
          <t>R1009621</t>
        </is>
      </c>
      <c r="B132" s="78" t="n">
        <v>44221</v>
      </c>
      <c r="C132" s="25" t="inlineStr">
        <is>
          <t>89164</t>
        </is>
      </c>
      <c r="D132" s="25" t="inlineStr">
        <is>
          <t>DON JULIO 1942 GOLD TEQUILA</t>
        </is>
      </c>
      <c r="E132" s="27" t="n">
        <v>6</v>
      </c>
      <c r="F132" s="28" t="n">
        <v>646.09</v>
      </c>
      <c r="G132" s="27" t="n">
        <v>2</v>
      </c>
      <c r="H132" s="27" t="n">
        <v>2</v>
      </c>
      <c r="I132" s="27" t="n">
        <v>2</v>
      </c>
      <c r="J132" s="27" t="n">
        <v>2</v>
      </c>
      <c r="K132" s="25" t="inlineStr">
        <is>
          <t>Shipped</t>
        </is>
      </c>
    </row>
    <row r="133">
      <c r="A133" s="25" t="inlineStr">
        <is>
          <t>R1174242</t>
        </is>
      </c>
      <c r="B133" s="78" t="n">
        <v>44391</v>
      </c>
      <c r="C133" s="25" t="inlineStr">
        <is>
          <t>89164</t>
        </is>
      </c>
      <c r="D133" s="25" t="inlineStr">
        <is>
          <t>DON JULIO 1942 GOLD TEQUILA</t>
        </is>
      </c>
      <c r="E133" s="27" t="n">
        <v>6</v>
      </c>
      <c r="F133" s="28" t="n">
        <v>646.09</v>
      </c>
      <c r="G133" s="27" t="n">
        <v>3</v>
      </c>
      <c r="H133" s="27" t="n">
        <v>3</v>
      </c>
      <c r="I133" s="27" t="n">
        <v>3</v>
      </c>
      <c r="J133" s="27" t="n">
        <v>3</v>
      </c>
      <c r="K133" s="25" t="inlineStr">
        <is>
          <t>Shipped</t>
        </is>
      </c>
    </row>
    <row r="134">
      <c r="A134" s="25" t="inlineStr">
        <is>
          <t>R1223867</t>
        </is>
      </c>
      <c r="B134" s="78" t="n">
        <v>44439</v>
      </c>
      <c r="C134" s="25" t="inlineStr">
        <is>
          <t>89164</t>
        </is>
      </c>
      <c r="D134" s="25" t="inlineStr">
        <is>
          <t>DON JULIO 1942 GOLD TEQUILA</t>
        </is>
      </c>
      <c r="E134" s="27" t="n">
        <v>6</v>
      </c>
      <c r="F134" s="28" t="n">
        <v>646.09</v>
      </c>
      <c r="G134" s="27" t="n">
        <v>2</v>
      </c>
      <c r="H134" s="27" t="n">
        <v>2</v>
      </c>
      <c r="I134" s="27" t="n">
        <v>2</v>
      </c>
      <c r="J134" s="27" t="n">
        <v>2</v>
      </c>
      <c r="K134" s="25" t="inlineStr">
        <is>
          <t>Shipped</t>
        </is>
      </c>
    </row>
    <row r="135">
      <c r="A135" s="25" t="inlineStr">
        <is>
          <t>R1257818</t>
        </is>
      </c>
      <c r="B135" s="78" t="n">
        <v>44460</v>
      </c>
      <c r="C135" s="25" t="inlineStr">
        <is>
          <t>89164</t>
        </is>
      </c>
      <c r="D135" s="25" t="inlineStr">
        <is>
          <t>DON JULIO 1942 GOLD TEQUILA</t>
        </is>
      </c>
      <c r="E135" s="27" t="n">
        <v>6</v>
      </c>
      <c r="F135" s="28" t="n">
        <v>646.09</v>
      </c>
      <c r="G135" s="27" t="n">
        <v>1</v>
      </c>
      <c r="H135" s="27" t="n">
        <v>1</v>
      </c>
      <c r="I135" s="27" t="n">
        <v>1</v>
      </c>
      <c r="J135" s="27" t="n">
        <v>1</v>
      </c>
      <c r="K135" s="25" t="inlineStr">
        <is>
          <t>Shipped</t>
        </is>
      </c>
    </row>
    <row r="136">
      <c r="A136" s="25" t="inlineStr">
        <is>
          <t>R999086</t>
        </is>
      </c>
      <c r="B136" s="78" t="n">
        <v>44222</v>
      </c>
      <c r="C136" s="25" t="inlineStr">
        <is>
          <t>89172</t>
        </is>
      </c>
      <c r="D136" s="25" t="inlineStr">
        <is>
          <t>DON JULIO ANEJO TEQUILA GOLD</t>
        </is>
      </c>
      <c r="E136" s="27" t="n">
        <v>60</v>
      </c>
      <c r="F136" s="28" t="n">
        <v>230.4</v>
      </c>
      <c r="G136" s="27" t="n">
        <v>1</v>
      </c>
      <c r="H136" s="27" t="n">
        <v>1</v>
      </c>
      <c r="I136" s="27" t="n">
        <v>1</v>
      </c>
      <c r="J136" s="27" t="n">
        <v>1</v>
      </c>
      <c r="K136" s="25" t="inlineStr">
        <is>
          <t>Shipped</t>
        </is>
      </c>
    </row>
    <row r="137">
      <c r="A137" s="25" t="inlineStr">
        <is>
          <t>R1214481</t>
        </is>
      </c>
      <c r="B137" s="78" t="n">
        <v>44431</v>
      </c>
      <c r="C137" s="25" t="inlineStr">
        <is>
          <t>88163</t>
        </is>
      </c>
      <c r="D137" s="25" t="inlineStr">
        <is>
          <t>DON JULIO PRIMAVERA REPOSADO TEQUILA</t>
        </is>
      </c>
      <c r="E137" s="27" t="n">
        <v>6</v>
      </c>
      <c r="F137" s="28" t="n">
        <v>461.47</v>
      </c>
      <c r="G137" s="27" t="n">
        <v>2</v>
      </c>
      <c r="H137" s="27" t="n">
        <v>2</v>
      </c>
      <c r="I137" s="27" t="n">
        <v>2</v>
      </c>
      <c r="J137" s="27" t="n">
        <v>2</v>
      </c>
      <c r="K137" s="25" t="inlineStr">
        <is>
          <t>Shipped</t>
        </is>
      </c>
    </row>
    <row r="138">
      <c r="A138" s="25" t="inlineStr">
        <is>
          <t>R1231534</t>
        </is>
      </c>
      <c r="B138" s="78" t="n">
        <v>44439</v>
      </c>
      <c r="C138" s="25" t="inlineStr">
        <is>
          <t>87482</t>
        </is>
      </c>
      <c r="D138" s="25" t="inlineStr">
        <is>
          <t>DON JULIO SILVER TEQUILA WHITE</t>
        </is>
      </c>
      <c r="E138" s="27" t="n">
        <v>60</v>
      </c>
      <c r="F138" s="28" t="n">
        <v>184.78</v>
      </c>
      <c r="G138" s="27" t="n">
        <v>3</v>
      </c>
      <c r="H138" s="27" t="n">
        <v>3</v>
      </c>
      <c r="I138" s="27" t="n">
        <v>3</v>
      </c>
      <c r="J138" s="27" t="n">
        <v>3</v>
      </c>
      <c r="K138" s="25" t="inlineStr">
        <is>
          <t>Shipped</t>
        </is>
      </c>
    </row>
    <row r="139">
      <c r="A139" s="25" t="inlineStr">
        <is>
          <t>R1004286</t>
        </is>
      </c>
      <c r="B139" s="78" t="n">
        <v>44229</v>
      </c>
      <c r="C139" s="25" t="inlineStr">
        <is>
          <t>64955</t>
        </is>
      </c>
      <c r="D139" s="25" t="inlineStr">
        <is>
          <t>DULCE VIDA PINEAPPLE JALAPENO BLANCO TEQUILA</t>
        </is>
      </c>
      <c r="E139" s="27" t="n">
        <v>12</v>
      </c>
      <c r="F139" s="28" t="n">
        <v>221.32</v>
      </c>
      <c r="G139" s="27" t="n">
        <v>1</v>
      </c>
      <c r="H139" s="27" t="n">
        <v>1</v>
      </c>
      <c r="I139" s="27" t="n">
        <v>1</v>
      </c>
      <c r="J139" s="27" t="n">
        <v>1</v>
      </c>
      <c r="K139" s="25" t="inlineStr">
        <is>
          <t>Shipped</t>
        </is>
      </c>
    </row>
    <row r="140">
      <c r="A140" s="25" t="inlineStr">
        <is>
          <t>R1194136</t>
        </is>
      </c>
      <c r="B140" s="78" t="n">
        <v>44412</v>
      </c>
      <c r="C140" s="25" t="inlineStr">
        <is>
          <t>949610</t>
        </is>
      </c>
      <c r="D140" s="25" t="inlineStr">
        <is>
          <t>DUPLIN COTTON CANDY</t>
        </is>
      </c>
      <c r="E140" s="27" t="n">
        <v>12</v>
      </c>
      <c r="F140" s="28" t="n">
        <v>94.2</v>
      </c>
      <c r="G140" s="27" t="n">
        <v>2</v>
      </c>
      <c r="H140" s="27" t="n">
        <v>2</v>
      </c>
      <c r="I140" s="27" t="n">
        <v>2</v>
      </c>
      <c r="J140" s="27" t="n">
        <v>2</v>
      </c>
      <c r="K140" s="25" t="inlineStr">
        <is>
          <t>Shipped</t>
        </is>
      </c>
    </row>
    <row r="141">
      <c r="A141" s="25" t="inlineStr">
        <is>
          <t>R1271824</t>
        </is>
      </c>
      <c r="B141" s="78" t="n">
        <v>44473</v>
      </c>
      <c r="C141" s="25" t="inlineStr">
        <is>
          <t>949610</t>
        </is>
      </c>
      <c r="D141" s="25" t="inlineStr">
        <is>
          <t>DUPLIN COTTON CANDY</t>
        </is>
      </c>
      <c r="E141" s="27" t="n">
        <v>12</v>
      </c>
      <c r="F141" s="28" t="n">
        <v>94.2</v>
      </c>
      <c r="G141" s="27" t="n">
        <v>5</v>
      </c>
      <c r="H141" s="27" t="n">
        <v>5</v>
      </c>
      <c r="I141" s="27" t="n">
        <v>5</v>
      </c>
      <c r="J141" s="27" t="n">
        <v>5</v>
      </c>
      <c r="K141" s="25" t="inlineStr">
        <is>
          <t>Shipped</t>
        </is>
      </c>
    </row>
    <row r="142">
      <c r="A142" s="25" t="inlineStr">
        <is>
          <t>R1332906</t>
        </is>
      </c>
      <c r="B142" s="78" t="n">
        <v>44519</v>
      </c>
      <c r="C142" s="25" t="inlineStr">
        <is>
          <t>949610</t>
        </is>
      </c>
      <c r="D142" s="25" t="inlineStr">
        <is>
          <t>DUPLIN COTTON CANDY</t>
        </is>
      </c>
      <c r="E142" s="27" t="n">
        <v>12</v>
      </c>
      <c r="F142" s="28" t="n">
        <v>94.2</v>
      </c>
      <c r="G142" s="27" t="n">
        <v>2</v>
      </c>
      <c r="H142" s="27" t="n">
        <v>2</v>
      </c>
      <c r="I142" s="27" t="n">
        <v>2</v>
      </c>
      <c r="J142" s="27" t="n">
        <v>2</v>
      </c>
      <c r="K142" s="25" t="inlineStr">
        <is>
          <t>Shipped</t>
        </is>
      </c>
    </row>
    <row r="143">
      <c r="A143" s="25" t="inlineStr">
        <is>
          <t>R977030A</t>
        </is>
      </c>
      <c r="B143" s="78" t="n">
        <v>44201</v>
      </c>
      <c r="C143" s="25" t="inlineStr">
        <is>
          <t>21602</t>
        </is>
      </c>
      <c r="D143" s="25" t="inlineStr">
        <is>
          <t>E.H. TAYLOR JR. SMALL BATCH BOURBON</t>
        </is>
      </c>
      <c r="E143" s="27" t="n">
        <v>6</v>
      </c>
      <c r="F143" s="28" t="n">
        <v>184.57</v>
      </c>
      <c r="G143" s="27" t="n">
        <v>1</v>
      </c>
      <c r="H143" s="27" t="n">
        <v>1</v>
      </c>
      <c r="I143" s="27" t="n">
        <v>1</v>
      </c>
      <c r="J143" s="27" t="n">
        <v>1</v>
      </c>
      <c r="K143" s="25" t="inlineStr">
        <is>
          <t>Shipped</t>
        </is>
      </c>
    </row>
    <row r="144">
      <c r="A144" s="25" t="inlineStr">
        <is>
          <t>R977030B</t>
        </is>
      </c>
      <c r="B144" s="78" t="n">
        <v>44208</v>
      </c>
      <c r="C144" s="25" t="inlineStr">
        <is>
          <t>17766</t>
        </is>
      </c>
      <c r="D144" s="25" t="inlineStr">
        <is>
          <t>EAGLE RARE SINGLE BARREL 10YR BOURBON</t>
        </is>
      </c>
      <c r="E144" s="27" t="n">
        <v>6</v>
      </c>
      <c r="F144" s="28" t="n">
        <v>152.27</v>
      </c>
      <c r="G144" s="27" t="n">
        <v>1</v>
      </c>
      <c r="H144" s="27" t="n">
        <v>1</v>
      </c>
      <c r="I144" s="27" t="n">
        <v>1</v>
      </c>
      <c r="J144" s="27" t="n">
        <v>1</v>
      </c>
      <c r="K144" s="25" t="inlineStr">
        <is>
          <t>Shipped</t>
        </is>
      </c>
    </row>
    <row r="145">
      <c r="A145" s="25" t="inlineStr">
        <is>
          <t>R1046466</t>
        </is>
      </c>
      <c r="B145" s="78" t="n">
        <v>44260</v>
      </c>
      <c r="C145" s="25" t="inlineStr">
        <is>
          <t>17766</t>
        </is>
      </c>
      <c r="D145" s="25" t="inlineStr">
        <is>
          <t>EAGLE RARE SINGLE BARREL 10YR BOURBON</t>
        </is>
      </c>
      <c r="E145" s="27" t="n">
        <v>6</v>
      </c>
      <c r="F145" s="28" t="n">
        <v>152.27</v>
      </c>
      <c r="G145" s="27" t="n">
        <v>1</v>
      </c>
      <c r="H145" s="27" t="n">
        <v>1</v>
      </c>
      <c r="I145" s="27" t="n">
        <v>1</v>
      </c>
      <c r="J145" s="27" t="n">
        <v>1</v>
      </c>
      <c r="K145" s="25" t="inlineStr">
        <is>
          <t>Shipped</t>
        </is>
      </c>
    </row>
    <row r="146">
      <c r="A146" s="25" t="inlineStr">
        <is>
          <t>R1056806</t>
        </is>
      </c>
      <c r="B146" s="78" t="n">
        <v>44266</v>
      </c>
      <c r="C146" s="25" t="inlineStr">
        <is>
          <t>17766</t>
        </is>
      </c>
      <c r="D146" s="25" t="inlineStr">
        <is>
          <t>EAGLE RARE SINGLE BARREL 10YR BOURBON</t>
        </is>
      </c>
      <c r="E146" s="27" t="n">
        <v>6</v>
      </c>
      <c r="F146" s="28" t="n">
        <v>152.27</v>
      </c>
      <c r="G146" s="27" t="n">
        <v>1</v>
      </c>
      <c r="H146" s="27" t="n">
        <v>1</v>
      </c>
      <c r="I146" s="27" t="n">
        <v>1</v>
      </c>
      <c r="J146" s="27" t="n">
        <v>1</v>
      </c>
      <c r="K146" s="25" t="inlineStr">
        <is>
          <t>Shipped</t>
        </is>
      </c>
    </row>
    <row r="147">
      <c r="A147" s="25" t="inlineStr">
        <is>
          <t>R1056807</t>
        </is>
      </c>
      <c r="B147" s="78" t="n">
        <v>44266</v>
      </c>
      <c r="C147" s="25" t="inlineStr">
        <is>
          <t>17766</t>
        </is>
      </c>
      <c r="D147" s="25" t="inlineStr">
        <is>
          <t>EAGLE RARE SINGLE BARREL 10YR BOURBON</t>
        </is>
      </c>
      <c r="E147" s="27" t="n">
        <v>6</v>
      </c>
      <c r="F147" s="28" t="n">
        <v>152.27</v>
      </c>
      <c r="G147" s="27" t="n">
        <v>1</v>
      </c>
      <c r="H147" s="27" t="n">
        <v>1</v>
      </c>
      <c r="I147" s="27" t="n">
        <v>1</v>
      </c>
      <c r="J147" s="27" t="n">
        <v>1</v>
      </c>
      <c r="K147" s="25" t="inlineStr">
        <is>
          <t>Shipped</t>
        </is>
      </c>
    </row>
    <row r="148">
      <c r="A148" s="25" t="inlineStr">
        <is>
          <t>R1077572</t>
        </is>
      </c>
      <c r="B148" s="78" t="n">
        <v>44288</v>
      </c>
      <c r="C148" s="25" t="inlineStr">
        <is>
          <t>17766</t>
        </is>
      </c>
      <c r="D148" s="25" t="inlineStr">
        <is>
          <t>EAGLE RARE SINGLE BARREL 10YR BOURBON</t>
        </is>
      </c>
      <c r="E148" s="27" t="n">
        <v>6</v>
      </c>
      <c r="F148" s="28" t="n">
        <v>152.27</v>
      </c>
      <c r="G148" s="27" t="n">
        <v>1</v>
      </c>
      <c r="H148" s="27" t="n">
        <v>1</v>
      </c>
      <c r="I148" s="27" t="n">
        <v>1</v>
      </c>
      <c r="J148" s="27" t="n">
        <v>1</v>
      </c>
      <c r="K148" s="25" t="inlineStr">
        <is>
          <t>Shipped</t>
        </is>
      </c>
    </row>
    <row r="149">
      <c r="A149" s="25" t="inlineStr">
        <is>
          <t>R1104143</t>
        </is>
      </c>
      <c r="B149" s="78" t="n">
        <v>44316</v>
      </c>
      <c r="C149" s="25" t="inlineStr">
        <is>
          <t>17766</t>
        </is>
      </c>
      <c r="D149" s="25" t="inlineStr">
        <is>
          <t>EAGLE RARE SINGLE BARREL 10YR BOURBON</t>
        </is>
      </c>
      <c r="E149" s="27" t="n">
        <v>6</v>
      </c>
      <c r="F149" s="28" t="n">
        <v>152.27</v>
      </c>
      <c r="G149" s="27" t="n">
        <v>1</v>
      </c>
      <c r="H149" s="27" t="n">
        <v>1</v>
      </c>
      <c r="I149" s="27" t="n">
        <v>1</v>
      </c>
      <c r="J149" s="27" t="n">
        <v>1</v>
      </c>
      <c r="K149" s="25" t="inlineStr">
        <is>
          <t>Shipped</t>
        </is>
      </c>
    </row>
    <row r="150">
      <c r="A150" s="25" t="inlineStr">
        <is>
          <t>R1165450</t>
        </is>
      </c>
      <c r="B150" s="78" t="n">
        <v>44361</v>
      </c>
      <c r="C150" s="25" t="inlineStr">
        <is>
          <t>17766</t>
        </is>
      </c>
      <c r="D150" s="25" t="inlineStr">
        <is>
          <t>EAGLE RARE SINGLE BARREL 10YR BOURBON</t>
        </is>
      </c>
      <c r="E150" s="27" t="n">
        <v>6</v>
      </c>
      <c r="F150" s="28" t="n">
        <v>152.27</v>
      </c>
      <c r="G150" s="27" t="n">
        <v>1</v>
      </c>
      <c r="H150" s="27" t="n">
        <v>1</v>
      </c>
      <c r="I150" s="27" t="n">
        <v>1</v>
      </c>
      <c r="J150" s="27" t="n">
        <v>1</v>
      </c>
      <c r="K150" s="25" t="inlineStr">
        <is>
          <t>Shipped</t>
        </is>
      </c>
    </row>
    <row r="151">
      <c r="A151" s="25" t="inlineStr">
        <is>
          <t>R1175759</t>
        </is>
      </c>
      <c r="B151" s="78" t="n">
        <v>44386</v>
      </c>
      <c r="C151" s="25" t="inlineStr">
        <is>
          <t>17766</t>
        </is>
      </c>
      <c r="D151" s="25" t="inlineStr">
        <is>
          <t>EAGLE RARE SINGLE BARREL 10YR BOURBON</t>
        </is>
      </c>
      <c r="E151" s="27" t="n">
        <v>6</v>
      </c>
      <c r="F151" s="28" t="n">
        <v>152.27</v>
      </c>
      <c r="G151" s="27" t="n">
        <v>1</v>
      </c>
      <c r="H151" s="27" t="n">
        <v>1</v>
      </c>
      <c r="I151" s="27" t="n">
        <v>1</v>
      </c>
      <c r="J151" s="27" t="n">
        <v>1</v>
      </c>
      <c r="K151" s="25" t="inlineStr">
        <is>
          <t>Shipped</t>
        </is>
      </c>
    </row>
    <row r="152">
      <c r="A152" s="25" t="inlineStr">
        <is>
          <t>R1207082</t>
        </is>
      </c>
      <c r="B152" s="78" t="n">
        <v>44424</v>
      </c>
      <c r="C152" s="25" t="inlineStr">
        <is>
          <t>17766</t>
        </is>
      </c>
      <c r="D152" s="25" t="inlineStr">
        <is>
          <t>EAGLE RARE SINGLE BARREL 10YR BOURBON</t>
        </is>
      </c>
      <c r="E152" s="27" t="n">
        <v>6</v>
      </c>
      <c r="F152" s="28" t="n">
        <v>152.27</v>
      </c>
      <c r="G152" s="27" t="n">
        <v>1</v>
      </c>
      <c r="H152" s="27" t="n">
        <v>1</v>
      </c>
      <c r="I152" s="27" t="n">
        <v>1</v>
      </c>
      <c r="J152" s="27" t="n">
        <v>1</v>
      </c>
      <c r="K152" s="25" t="inlineStr">
        <is>
          <t>Shipped</t>
        </is>
      </c>
    </row>
    <row r="153">
      <c r="A153" s="25" t="inlineStr">
        <is>
          <t>R1238298</t>
        </is>
      </c>
      <c r="B153" s="78" t="n">
        <v>44452</v>
      </c>
      <c r="C153" s="25" t="inlineStr">
        <is>
          <t>17766</t>
        </is>
      </c>
      <c r="D153" s="25" t="inlineStr">
        <is>
          <t>EAGLE RARE SINGLE BARREL 10YR BOURBON</t>
        </is>
      </c>
      <c r="E153" s="27" t="n">
        <v>6</v>
      </c>
      <c r="F153" s="28" t="n">
        <v>152.27</v>
      </c>
      <c r="G153" s="27" t="n">
        <v>1</v>
      </c>
      <c r="H153" s="27" t="n">
        <v>1</v>
      </c>
      <c r="I153" s="27" t="n">
        <v>1</v>
      </c>
      <c r="J153" s="27" t="n">
        <v>1</v>
      </c>
      <c r="K153" s="25" t="inlineStr">
        <is>
          <t>Shipped</t>
        </is>
      </c>
    </row>
    <row r="154">
      <c r="A154" s="25" t="inlineStr">
        <is>
          <t>R1286979B</t>
        </is>
      </c>
      <c r="B154" s="78" t="n">
        <v>44495</v>
      </c>
      <c r="C154" s="25" t="inlineStr">
        <is>
          <t>17766</t>
        </is>
      </c>
      <c r="D154" s="25" t="inlineStr">
        <is>
          <t>EAGLE RARE SINGLE BARREL 10YR BOURBON</t>
        </is>
      </c>
      <c r="E154" s="27" t="n">
        <v>6</v>
      </c>
      <c r="F154" s="28" t="n">
        <v>152.27</v>
      </c>
      <c r="G154" s="27" t="n">
        <v>1</v>
      </c>
      <c r="H154" s="27" t="n">
        <v>1</v>
      </c>
      <c r="I154" s="27" t="n">
        <v>1</v>
      </c>
      <c r="J154" s="27" t="n">
        <v>1</v>
      </c>
      <c r="K154" s="25" t="inlineStr">
        <is>
          <t>Shipped</t>
        </is>
      </c>
    </row>
    <row r="155">
      <c r="A155" s="25" t="inlineStr">
        <is>
          <t>R1315856</t>
        </is>
      </c>
      <c r="B155" s="78" t="n">
        <v>44505</v>
      </c>
      <c r="C155" s="25" t="inlineStr">
        <is>
          <t>17766</t>
        </is>
      </c>
      <c r="D155" s="25" t="inlineStr">
        <is>
          <t>EAGLE RARE SINGLE BARREL 10YR BOURBON</t>
        </is>
      </c>
      <c r="E155" s="27" t="n">
        <v>6</v>
      </c>
      <c r="F155" s="28" t="n">
        <v>152.27</v>
      </c>
      <c r="G155" s="27" t="n">
        <v>1</v>
      </c>
      <c r="H155" s="27" t="n">
        <v>1</v>
      </c>
      <c r="I155" s="27" t="n">
        <v>1</v>
      </c>
      <c r="J155" s="27" t="n">
        <v>1</v>
      </c>
      <c r="K155" s="25" t="inlineStr">
        <is>
          <t>Shipped</t>
        </is>
      </c>
    </row>
    <row r="156">
      <c r="A156" s="25" t="inlineStr">
        <is>
          <t>R1372063</t>
        </is>
      </c>
      <c r="B156" s="78" t="n">
        <v>44547</v>
      </c>
      <c r="C156" s="25" t="inlineStr">
        <is>
          <t>17766</t>
        </is>
      </c>
      <c r="D156" s="25" t="inlineStr">
        <is>
          <t>EAGLE RARE SINGLE BARREL 10YR BOURBON</t>
        </is>
      </c>
      <c r="E156" s="27" t="n">
        <v>6</v>
      </c>
      <c r="F156" s="28" t="n">
        <v>153.27</v>
      </c>
      <c r="G156" s="27" t="n">
        <v>1</v>
      </c>
      <c r="H156" s="27" t="n">
        <v>1</v>
      </c>
      <c r="I156" s="27" t="n">
        <v>1</v>
      </c>
      <c r="J156" s="27" t="n">
        <v>1</v>
      </c>
      <c r="K156" s="25" t="inlineStr">
        <is>
          <t>Shipped</t>
        </is>
      </c>
    </row>
    <row r="157">
      <c r="A157" s="25" t="inlineStr">
        <is>
          <t>R1254788</t>
        </is>
      </c>
      <c r="B157" s="78" t="n">
        <v>44475</v>
      </c>
      <c r="C157" s="25" t="inlineStr">
        <is>
          <t>88470</t>
        </is>
      </c>
      <c r="D157" s="25" t="inlineStr">
        <is>
          <t>EL MAYOR CRISTALINO ANEJO TEQUILA</t>
        </is>
      </c>
      <c r="E157" s="27" t="n">
        <v>3</v>
      </c>
      <c r="F157" s="28" t="n">
        <v>87.67</v>
      </c>
      <c r="G157" s="27" t="n">
        <v>5</v>
      </c>
      <c r="H157" s="27" t="n">
        <v>5</v>
      </c>
      <c r="I157" s="27" t="n">
        <v>5</v>
      </c>
      <c r="J157" s="27" t="n">
        <v>5</v>
      </c>
      <c r="K157" s="25" t="inlineStr">
        <is>
          <t>Shipped</t>
        </is>
      </c>
    </row>
    <row r="158">
      <c r="A158" s="25" t="inlineStr">
        <is>
          <t>R1304026</t>
        </is>
      </c>
      <c r="B158" s="78" t="n">
        <v>44501</v>
      </c>
      <c r="C158" s="25" t="inlineStr">
        <is>
          <t>89290</t>
        </is>
      </c>
      <c r="D158" s="25" t="inlineStr">
        <is>
          <t>EL TESORO PARADISO ANEJO GOLD TEQUILA</t>
        </is>
      </c>
      <c r="E158" s="27" t="n">
        <v>6</v>
      </c>
      <c r="F158" s="28" t="n">
        <v>807.6799999999999</v>
      </c>
      <c r="G158" s="27" t="n">
        <v>1</v>
      </c>
      <c r="H158" s="27" t="n">
        <v>1</v>
      </c>
      <c r="I158" s="27" t="n">
        <v>1</v>
      </c>
      <c r="J158" s="27" t="n">
        <v>1</v>
      </c>
      <c r="K158" s="25" t="inlineStr">
        <is>
          <t>Shipped</t>
        </is>
      </c>
    </row>
    <row r="159">
      <c r="A159" s="25" t="inlineStr">
        <is>
          <t>R1151732</t>
        </is>
      </c>
      <c r="B159" s="78" t="n">
        <v>44363</v>
      </c>
      <c r="C159" s="25" t="inlineStr">
        <is>
          <t>17917</t>
        </is>
      </c>
      <c r="D159" s="25" t="inlineStr">
        <is>
          <t>ELIJAH CRAIG BARREL PRF SMALL BATCH 12YR</t>
        </is>
      </c>
      <c r="E159" s="27" t="n">
        <v>6</v>
      </c>
      <c r="F159" s="28" t="n">
        <v>323.04</v>
      </c>
      <c r="G159" s="27" t="n">
        <v>2</v>
      </c>
      <c r="H159" s="27" t="n">
        <v>2</v>
      </c>
      <c r="I159" s="27" t="n">
        <v>2</v>
      </c>
      <c r="J159" s="27" t="n">
        <v>2</v>
      </c>
      <c r="K159" s="25" t="inlineStr">
        <is>
          <t>Shipped</t>
        </is>
      </c>
    </row>
    <row r="160">
      <c r="A160" s="25" t="inlineStr">
        <is>
          <t>R1247224</t>
        </is>
      </c>
      <c r="B160" s="78" t="n">
        <v>44454</v>
      </c>
      <c r="C160" s="25" t="inlineStr">
        <is>
          <t>18201</t>
        </is>
      </c>
      <c r="D160" s="25" t="inlineStr">
        <is>
          <t>EZRA BROOKS 99 PROOF BOURBON</t>
        </is>
      </c>
      <c r="E160" s="27" t="n">
        <v>6</v>
      </c>
      <c r="F160" s="28" t="n">
        <v>124.58</v>
      </c>
      <c r="G160" s="27" t="n">
        <v>1</v>
      </c>
      <c r="H160" s="27" t="n">
        <v>1</v>
      </c>
      <c r="I160" s="27" t="n">
        <v>1</v>
      </c>
      <c r="J160" s="27" t="n">
        <v>1</v>
      </c>
      <c r="K160" s="25" t="inlineStr">
        <is>
          <t>Shipped</t>
        </is>
      </c>
    </row>
    <row r="161">
      <c r="A161" s="25" t="inlineStr">
        <is>
          <t>R1280023</t>
        </is>
      </c>
      <c r="B161" s="78" t="n">
        <v>44454</v>
      </c>
      <c r="C161" s="25" t="inlineStr">
        <is>
          <t>18201</t>
        </is>
      </c>
      <c r="D161" s="25" t="inlineStr">
        <is>
          <t>EZRA BROOKS 99 PROOF BOURBON</t>
        </is>
      </c>
      <c r="E161" s="27" t="n">
        <v>6</v>
      </c>
      <c r="F161" s="28" t="n">
        <v>124.58</v>
      </c>
      <c r="G161" s="27" t="n">
        <v>1</v>
      </c>
      <c r="H161" s="27" t="n">
        <v>1</v>
      </c>
      <c r="I161" s="27" t="n">
        <v>1</v>
      </c>
      <c r="J161" s="27" t="n">
        <v>1</v>
      </c>
      <c r="K161" s="25" t="inlineStr">
        <is>
          <t>Shipped</t>
        </is>
      </c>
    </row>
    <row r="162">
      <c r="A162" s="25" t="inlineStr">
        <is>
          <t>R1029182</t>
        </is>
      </c>
      <c r="B162" s="78" t="n">
        <v>44251</v>
      </c>
      <c r="C162" s="25" t="inlineStr">
        <is>
          <t>18290</t>
        </is>
      </c>
      <c r="D162" s="25" t="inlineStr">
        <is>
          <t>FISTFUL OF BOURBON A BLEND STRAIGHT BRBN</t>
        </is>
      </c>
      <c r="E162" s="27" t="n">
        <v>6</v>
      </c>
      <c r="F162" s="28" t="n">
        <v>120.92</v>
      </c>
      <c r="G162" s="27" t="n">
        <v>1</v>
      </c>
      <c r="H162" s="27" t="n">
        <v>1</v>
      </c>
      <c r="I162" s="27" t="n">
        <v>1</v>
      </c>
      <c r="J162" s="27" t="n">
        <v>1</v>
      </c>
      <c r="K162" s="25" t="inlineStr">
        <is>
          <t>Shipped</t>
        </is>
      </c>
    </row>
    <row r="163">
      <c r="A163" s="25" t="inlineStr">
        <is>
          <t>R1067831</t>
        </is>
      </c>
      <c r="B163" s="78" t="n">
        <v>44271</v>
      </c>
      <c r="C163" s="25" t="inlineStr">
        <is>
          <t>18350</t>
        </is>
      </c>
      <c r="D163" s="25" t="inlineStr">
        <is>
          <t>FOUR ROSES SINGLE BARREL KENTUCKY BOURBON</t>
        </is>
      </c>
      <c r="E163" s="27" t="n">
        <v>6</v>
      </c>
      <c r="F163" s="28" t="n">
        <v>216.81</v>
      </c>
      <c r="G163" s="27" t="n">
        <v>3</v>
      </c>
      <c r="H163" s="27" t="n">
        <v>3</v>
      </c>
      <c r="I163" s="27" t="n">
        <v>3</v>
      </c>
      <c r="J163" s="27" t="n">
        <v>3</v>
      </c>
      <c r="K163" s="25" t="inlineStr">
        <is>
          <t>Shipped</t>
        </is>
      </c>
    </row>
    <row r="164">
      <c r="A164" s="25" t="inlineStr">
        <is>
          <t>R1156382</t>
        </is>
      </c>
      <c r="B164" s="78" t="n">
        <v>44369</v>
      </c>
      <c r="C164" s="25" t="inlineStr">
        <is>
          <t>18350</t>
        </is>
      </c>
      <c r="D164" s="25" t="inlineStr">
        <is>
          <t>FOUR ROSES SINGLE BARREL KENTUCKY BOURBON</t>
        </is>
      </c>
      <c r="E164" s="27" t="n">
        <v>6</v>
      </c>
      <c r="F164" s="28" t="n">
        <v>216.81</v>
      </c>
      <c r="G164" s="27" t="n">
        <v>2</v>
      </c>
      <c r="H164" s="27" t="n">
        <v>2</v>
      </c>
      <c r="I164" s="27" t="n">
        <v>2</v>
      </c>
      <c r="J164" s="27" t="n">
        <v>2</v>
      </c>
      <c r="K164" s="25" t="inlineStr">
        <is>
          <t>Shipped</t>
        </is>
      </c>
    </row>
    <row r="165">
      <c r="A165" s="25" t="inlineStr">
        <is>
          <t>R984497</t>
        </is>
      </c>
      <c r="B165" s="78" t="n">
        <v>44204</v>
      </c>
      <c r="C165" s="25" t="inlineStr">
        <is>
          <t>467660</t>
        </is>
      </c>
      <c r="D165" s="25" t="inlineStr">
        <is>
          <t>FRANZIA CHILLABLE RED HOUSE FAVORITE BIB</t>
        </is>
      </c>
      <c r="E165" s="27" t="n">
        <v>6</v>
      </c>
      <c r="F165" s="28" t="n">
        <v>29.96</v>
      </c>
      <c r="G165" s="27" t="n">
        <v>1</v>
      </c>
      <c r="H165" s="27" t="n">
        <v>1</v>
      </c>
      <c r="I165" s="27" t="n">
        <v>1</v>
      </c>
      <c r="J165" s="27" t="n">
        <v>1</v>
      </c>
      <c r="K165" s="25" t="inlineStr">
        <is>
          <t>Shipped</t>
        </is>
      </c>
    </row>
    <row r="166">
      <c r="A166" s="25" t="inlineStr">
        <is>
          <t>R1107314</t>
        </is>
      </c>
      <c r="B166" s="78" t="n">
        <v>44308</v>
      </c>
      <c r="C166" s="25" t="inlineStr">
        <is>
          <t>467660</t>
        </is>
      </c>
      <c r="D166" s="25" t="inlineStr">
        <is>
          <t>FRANZIA CHILLABLE RED HOUSE FAVORITE BIB</t>
        </is>
      </c>
      <c r="E166" s="27" t="n">
        <v>6</v>
      </c>
      <c r="F166" s="28" t="n">
        <v>29.96</v>
      </c>
      <c r="G166" s="27" t="n">
        <v>4</v>
      </c>
      <c r="H166" s="27" t="n">
        <v>4</v>
      </c>
      <c r="I166" s="27" t="n">
        <v>4</v>
      </c>
      <c r="J166" s="27" t="n">
        <v>4</v>
      </c>
      <c r="K166" s="25" t="inlineStr">
        <is>
          <t>Shipped</t>
        </is>
      </c>
    </row>
    <row r="167">
      <c r="A167" s="25" t="inlineStr">
        <is>
          <t>R1125017</t>
        </is>
      </c>
      <c r="B167" s="78" t="n">
        <v>44316</v>
      </c>
      <c r="C167" s="25" t="inlineStr">
        <is>
          <t>810580</t>
        </is>
      </c>
      <c r="D167" s="25" t="inlineStr">
        <is>
          <t>FRANZIA PEACH MOSCATO REFRESHER</t>
        </is>
      </c>
      <c r="E167" s="27" t="n">
        <v>6</v>
      </c>
      <c r="F167" s="28" t="n">
        <v>66.68000000000001</v>
      </c>
      <c r="G167" s="27" t="n">
        <v>1</v>
      </c>
      <c r="H167" s="27" t="n">
        <v>1</v>
      </c>
      <c r="I167" s="27" t="n">
        <v>1</v>
      </c>
      <c r="J167" s="27" t="n">
        <v>1</v>
      </c>
      <c r="K167" s="25" t="inlineStr">
        <is>
          <t>Shipped</t>
        </is>
      </c>
    </row>
    <row r="168">
      <c r="A168" s="25" t="inlineStr">
        <is>
          <t>R1107314</t>
        </is>
      </c>
      <c r="B168" s="78" t="n">
        <v>44308</v>
      </c>
      <c r="C168" s="25" t="inlineStr">
        <is>
          <t>566572</t>
        </is>
      </c>
      <c r="D168" s="25" t="inlineStr">
        <is>
          <t>FRANZIA PINOT GRIGIO COLUMBARD BIB</t>
        </is>
      </c>
      <c r="E168" s="27" t="n">
        <v>6</v>
      </c>
      <c r="F168" s="28" t="n">
        <v>29.96</v>
      </c>
      <c r="G168" s="27" t="n">
        <v>1</v>
      </c>
      <c r="H168" s="27" t="n">
        <v>1</v>
      </c>
      <c r="I168" s="27" t="n">
        <v>1</v>
      </c>
      <c r="J168" s="27" t="n">
        <v>1</v>
      </c>
      <c r="K168" s="25" t="inlineStr">
        <is>
          <t>Shipped</t>
        </is>
      </c>
    </row>
    <row r="169">
      <c r="A169" s="25" t="inlineStr">
        <is>
          <t>R1190496</t>
        </is>
      </c>
      <c r="B169" s="78" t="n">
        <v>44399</v>
      </c>
      <c r="C169" s="25" t="inlineStr">
        <is>
          <t>810581</t>
        </is>
      </c>
      <c r="D169" s="25" t="inlineStr">
        <is>
          <t>FRANZIA REFRESHER WILD BERRY MOSCATO CRT</t>
        </is>
      </c>
      <c r="E169" s="27" t="n">
        <v>6</v>
      </c>
      <c r="F169" s="28" t="n">
        <v>66.68000000000001</v>
      </c>
      <c r="G169" s="27" t="n">
        <v>1</v>
      </c>
      <c r="H169" s="27" t="n">
        <v>1</v>
      </c>
      <c r="I169" s="27" t="n">
        <v>1</v>
      </c>
      <c r="J169" s="27" t="n">
        <v>1</v>
      </c>
      <c r="K169" s="25" t="inlineStr">
        <is>
          <t>Shipped</t>
        </is>
      </c>
    </row>
    <row r="170">
      <c r="A170" s="25" t="inlineStr">
        <is>
          <t>R1125017</t>
        </is>
      </c>
      <c r="B170" s="78" t="n">
        <v>44316</v>
      </c>
      <c r="C170" s="25" t="inlineStr">
        <is>
          <t>810583</t>
        </is>
      </c>
      <c r="D170" s="25" t="inlineStr">
        <is>
          <t>FRANZIA REFRESHERS TROPICAL PNT GR CRTN</t>
        </is>
      </c>
      <c r="E170" s="27" t="n">
        <v>6</v>
      </c>
      <c r="F170" s="28" t="n">
        <v>66.68000000000001</v>
      </c>
      <c r="G170" s="27" t="n">
        <v>1</v>
      </c>
      <c r="H170" s="27" t="n">
        <v>1</v>
      </c>
      <c r="I170" s="27" t="n">
        <v>1</v>
      </c>
      <c r="J170" s="27" t="n">
        <v>1</v>
      </c>
      <c r="K170" s="25" t="inlineStr">
        <is>
          <t>Shipped</t>
        </is>
      </c>
    </row>
    <row r="171">
      <c r="A171" s="25" t="inlineStr">
        <is>
          <t>R1125017</t>
        </is>
      </c>
      <c r="B171" s="78" t="n">
        <v>44316</v>
      </c>
      <c r="C171" s="25" t="inlineStr">
        <is>
          <t>810582</t>
        </is>
      </c>
      <c r="D171" s="25" t="inlineStr">
        <is>
          <t>FRANZIA STRAWBERRY ROSE REFRESHER</t>
        </is>
      </c>
      <c r="E171" s="27" t="n">
        <v>6</v>
      </c>
      <c r="F171" s="28" t="n">
        <v>66.68000000000001</v>
      </c>
      <c r="G171" s="27" t="n">
        <v>1</v>
      </c>
      <c r="H171" s="27" t="n">
        <v>1</v>
      </c>
      <c r="I171" s="27" t="n">
        <v>1</v>
      </c>
      <c r="J171" s="27" t="n">
        <v>1</v>
      </c>
      <c r="K171" s="25" t="inlineStr">
        <is>
          <t>Shipped</t>
        </is>
      </c>
    </row>
    <row r="172">
      <c r="A172" s="25" t="inlineStr">
        <is>
          <t>R1107314</t>
        </is>
      </c>
      <c r="B172" s="78" t="n">
        <v>44308</v>
      </c>
      <c r="C172" s="25" t="inlineStr">
        <is>
          <t>659608</t>
        </is>
      </c>
      <c r="D172" s="25" t="inlineStr">
        <is>
          <t>FRANZIA SUNSET BLUSH HWF</t>
        </is>
      </c>
      <c r="E172" s="27" t="n">
        <v>6</v>
      </c>
      <c r="F172" s="28" t="n">
        <v>29.96</v>
      </c>
      <c r="G172" s="27" t="n">
        <v>1</v>
      </c>
      <c r="H172" s="27" t="n">
        <v>1</v>
      </c>
      <c r="I172" s="27" t="n">
        <v>1</v>
      </c>
      <c r="J172" s="27" t="n">
        <v>1</v>
      </c>
      <c r="K172" s="25" t="inlineStr">
        <is>
          <t>Shipped</t>
        </is>
      </c>
    </row>
    <row r="173">
      <c r="A173" s="25" t="inlineStr">
        <is>
          <t>R1107314</t>
        </is>
      </c>
      <c r="B173" s="78" t="n">
        <v>44308</v>
      </c>
      <c r="C173" s="25" t="inlineStr">
        <is>
          <t>655456</t>
        </is>
      </c>
      <c r="D173" s="25" t="inlineStr">
        <is>
          <t>FRANZIA WHITE ZINFANDEL WORLD CLASSICS BIB</t>
        </is>
      </c>
      <c r="E173" s="27" t="n">
        <v>6</v>
      </c>
      <c r="F173" s="28" t="n">
        <v>29.96</v>
      </c>
      <c r="G173" s="27" t="n">
        <v>4</v>
      </c>
      <c r="H173" s="27" t="n">
        <v>4</v>
      </c>
      <c r="I173" s="27" t="n">
        <v>4</v>
      </c>
      <c r="J173" s="27" t="n">
        <v>4</v>
      </c>
      <c r="K173" s="25" t="inlineStr">
        <is>
          <t>Shipped</t>
        </is>
      </c>
    </row>
    <row r="174">
      <c r="A174" s="25" t="inlineStr">
        <is>
          <t>R1004597A</t>
        </is>
      </c>
      <c r="B174" s="78" t="n">
        <v>44251</v>
      </c>
      <c r="C174" s="25" t="inlineStr">
        <is>
          <t>902320</t>
        </is>
      </c>
      <c r="D174" s="25" t="inlineStr">
        <is>
          <t>FUNF MOSCATO IGT WHITE</t>
        </is>
      </c>
      <c r="E174" s="27" t="n">
        <v>12</v>
      </c>
      <c r="F174" s="28" t="n">
        <v>89.98999999999999</v>
      </c>
      <c r="G174" s="27" t="n">
        <v>4</v>
      </c>
      <c r="H174" s="27" t="n">
        <v>4</v>
      </c>
      <c r="I174" s="27" t="n">
        <v>4</v>
      </c>
      <c r="J174" s="27" t="n">
        <v>4</v>
      </c>
      <c r="K174" s="25" t="inlineStr">
        <is>
          <t>Shipped</t>
        </is>
      </c>
    </row>
    <row r="175">
      <c r="A175" s="25" t="inlineStr">
        <is>
          <t>R1004597</t>
        </is>
      </c>
      <c r="B175" s="78" t="n">
        <v>44230</v>
      </c>
      <c r="C175" s="25" t="inlineStr">
        <is>
          <t>902316</t>
        </is>
      </c>
      <c r="D175" s="25" t="inlineStr">
        <is>
          <t>FUNF SWEET RED GERMANY</t>
        </is>
      </c>
      <c r="E175" s="27" t="n">
        <v>12</v>
      </c>
      <c r="F175" s="28" t="n">
        <v>89.98999999999999</v>
      </c>
      <c r="G175" s="27" t="n">
        <v>4</v>
      </c>
      <c r="H175" s="27" t="n">
        <v>4</v>
      </c>
      <c r="I175" s="27" t="n">
        <v>4</v>
      </c>
      <c r="J175" s="27" t="n">
        <v>2</v>
      </c>
      <c r="K175" s="25" t="inlineStr">
        <is>
          <t>Shipped</t>
        </is>
      </c>
    </row>
    <row r="176">
      <c r="A176" s="25" t="inlineStr">
        <is>
          <t>R1042188</t>
        </is>
      </c>
      <c r="B176" s="78" t="n">
        <v>44257</v>
      </c>
      <c r="C176" s="25" t="inlineStr">
        <is>
          <t>902316</t>
        </is>
      </c>
      <c r="D176" s="25" t="inlineStr">
        <is>
          <t>FUNF SWEET RED GERMANY</t>
        </is>
      </c>
      <c r="E176" s="27" t="n">
        <v>12</v>
      </c>
      <c r="F176" s="28" t="n">
        <v>89.98999999999999</v>
      </c>
      <c r="G176" s="27" t="n">
        <v>1</v>
      </c>
      <c r="H176" s="27" t="n">
        <v>1</v>
      </c>
      <c r="I176" s="27" t="n">
        <v>1</v>
      </c>
      <c r="J176" s="27" t="n">
        <v>1</v>
      </c>
      <c r="K176" s="25" t="inlineStr">
        <is>
          <t>Shipped</t>
        </is>
      </c>
    </row>
    <row r="177">
      <c r="A177" s="25" t="inlineStr">
        <is>
          <t>R1136936</t>
        </is>
      </c>
      <c r="B177" s="78" t="n">
        <v>44344</v>
      </c>
      <c r="C177" s="25" t="inlineStr">
        <is>
          <t>727511</t>
        </is>
      </c>
      <c r="D177" s="25" t="inlineStr">
        <is>
          <t>GANCIA MOSCATO ROSE DOCG</t>
        </is>
      </c>
      <c r="E177" s="27" t="n">
        <v>24</v>
      </c>
      <c r="F177" s="28" t="n">
        <v>52.09</v>
      </c>
      <c r="G177" s="27" t="n">
        <v>2</v>
      </c>
      <c r="H177" s="27" t="n">
        <v>2</v>
      </c>
      <c r="I177" s="27" t="n">
        <v>2</v>
      </c>
      <c r="J177" s="27" t="n">
        <v>2</v>
      </c>
      <c r="K177" s="25" t="inlineStr">
        <is>
          <t>Shipped</t>
        </is>
      </c>
    </row>
    <row r="178">
      <c r="A178" s="25" t="inlineStr">
        <is>
          <t>R1146009</t>
        </is>
      </c>
      <c r="B178" s="78" t="n">
        <v>44348</v>
      </c>
      <c r="C178" s="25" t="inlineStr">
        <is>
          <t>727511</t>
        </is>
      </c>
      <c r="D178" s="25" t="inlineStr">
        <is>
          <t>GANCIA MOSCATO ROSE DOCG</t>
        </is>
      </c>
      <c r="E178" s="27" t="n">
        <v>24</v>
      </c>
      <c r="F178" s="28" t="n">
        <v>52.09</v>
      </c>
      <c r="G178" s="27" t="n">
        <v>3</v>
      </c>
      <c r="H178" s="27" t="n">
        <v>3</v>
      </c>
      <c r="I178" s="27" t="n">
        <v>3</v>
      </c>
      <c r="J178" s="27" t="n">
        <v>3</v>
      </c>
      <c r="K178" s="25" t="inlineStr">
        <is>
          <t>Shipped</t>
        </is>
      </c>
    </row>
    <row r="179">
      <c r="A179" s="25" t="inlineStr">
        <is>
          <t>R1331071</t>
        </is>
      </c>
      <c r="B179" s="78" t="n">
        <v>44519</v>
      </c>
      <c r="C179" s="25" t="inlineStr">
        <is>
          <t>727511</t>
        </is>
      </c>
      <c r="D179" s="25" t="inlineStr">
        <is>
          <t>GANCIA MOSCATO ROSE DOCG</t>
        </is>
      </c>
      <c r="E179" s="27" t="n">
        <v>24</v>
      </c>
      <c r="F179" s="28" t="n">
        <v>52.09</v>
      </c>
      <c r="G179" s="27" t="n">
        <v>1</v>
      </c>
      <c r="H179" s="27" t="n">
        <v>1</v>
      </c>
      <c r="I179" s="27" t="n">
        <v>1</v>
      </c>
      <c r="J179" s="27" t="n">
        <v>1</v>
      </c>
      <c r="K179" s="25" t="inlineStr">
        <is>
          <t>Shipped</t>
        </is>
      </c>
    </row>
    <row r="180">
      <c r="A180" s="25" t="inlineStr">
        <is>
          <t>R1072914</t>
        </is>
      </c>
      <c r="B180" s="78" t="n">
        <v>44281</v>
      </c>
      <c r="C180" s="25" t="inlineStr">
        <is>
          <t>948166</t>
        </is>
      </c>
      <c r="D180" s="25" t="inlineStr">
        <is>
          <t>GIANI SWEET CABERNET</t>
        </is>
      </c>
      <c r="E180" s="27" t="n">
        <v>12</v>
      </c>
      <c r="F180" s="28" t="n">
        <v>98.98999999999999</v>
      </c>
      <c r="G180" s="27" t="n">
        <v>2</v>
      </c>
      <c r="H180" s="27" t="n">
        <v>2</v>
      </c>
      <c r="I180" s="27" t="n">
        <v>2</v>
      </c>
      <c r="J180" s="27" t="n">
        <v>2</v>
      </c>
      <c r="K180" s="25" t="inlineStr">
        <is>
          <t>Shipped</t>
        </is>
      </c>
    </row>
    <row r="181">
      <c r="A181" s="25" t="inlineStr">
        <is>
          <t>R1324396</t>
        </is>
      </c>
      <c r="B181" s="78" t="n">
        <v>44524</v>
      </c>
      <c r="C181" s="25" t="inlineStr">
        <is>
          <t>5136</t>
        </is>
      </c>
      <c r="D181" s="25" t="inlineStr">
        <is>
          <t>GLENMORANGIE NEW WORLD SINGLE MALT 18YR</t>
        </is>
      </c>
      <c r="E181" s="27" t="n">
        <v>6</v>
      </c>
      <c r="F181" s="28" t="n">
        <v>515.51</v>
      </c>
      <c r="G181" s="27" t="n">
        <v>1</v>
      </c>
      <c r="H181" s="27" t="n">
        <v>1</v>
      </c>
      <c r="I181" s="27" t="n">
        <v>1</v>
      </c>
      <c r="J181" s="27" t="n">
        <v>1</v>
      </c>
      <c r="K181" s="25" t="inlineStr">
        <is>
          <t>Shipped</t>
        </is>
      </c>
    </row>
    <row r="182">
      <c r="A182" s="25" t="inlineStr">
        <is>
          <t>R1157633</t>
        </is>
      </c>
      <c r="B182" s="78" t="n">
        <v>44368</v>
      </c>
      <c r="C182" s="25" t="inlineStr">
        <is>
          <t>89640</t>
        </is>
      </c>
      <c r="D182" s="25" t="inlineStr">
        <is>
          <t>GRAN PATRON PIEDRA EXTRA ANEJO TEQUILA</t>
        </is>
      </c>
      <c r="E182" s="27" t="n">
        <v>4</v>
      </c>
      <c r="F182" s="28" t="n">
        <v>1218.23</v>
      </c>
      <c r="G182" s="27" t="n">
        <v>1</v>
      </c>
      <c r="H182" s="27" t="n">
        <v>1</v>
      </c>
      <c r="I182" s="27" t="n">
        <v>1</v>
      </c>
      <c r="J182" s="27" t="n">
        <v>1</v>
      </c>
      <c r="K182" s="25" t="inlineStr">
        <is>
          <t>Shipped</t>
        </is>
      </c>
    </row>
    <row r="183">
      <c r="A183" s="25" t="inlineStr">
        <is>
          <t>R1221388</t>
        </is>
      </c>
      <c r="B183" s="78" t="n">
        <v>44438</v>
      </c>
      <c r="C183" s="25" t="inlineStr">
        <is>
          <t>89640</t>
        </is>
      </c>
      <c r="D183" s="25" t="inlineStr">
        <is>
          <t>GRAN PATRON PIEDRA EXTRA ANEJO TEQUILA</t>
        </is>
      </c>
      <c r="E183" s="27" t="n">
        <v>4</v>
      </c>
      <c r="F183" s="28" t="n">
        <v>1218.23</v>
      </c>
      <c r="G183" s="27" t="n">
        <v>1</v>
      </c>
      <c r="H183" s="27" t="n">
        <v>1</v>
      </c>
      <c r="I183" s="27" t="n">
        <v>1</v>
      </c>
      <c r="J183" s="27" t="n">
        <v>1</v>
      </c>
      <c r="K183" s="25" t="inlineStr">
        <is>
          <t>Shipped</t>
        </is>
      </c>
    </row>
    <row r="184">
      <c r="A184" s="25" t="inlineStr">
        <is>
          <t>R1087195</t>
        </is>
      </c>
      <c r="B184" s="78" t="n">
        <v>44294</v>
      </c>
      <c r="C184" s="25" t="inlineStr">
        <is>
          <t>411841</t>
        </is>
      </c>
      <c r="D184" s="25" t="inlineStr">
        <is>
          <t>GRAND MOSCATO WHITE (MOLDOVA)</t>
        </is>
      </c>
      <c r="E184" s="27" t="n">
        <v>12</v>
      </c>
      <c r="F184" s="28" t="n">
        <v>74.68000000000001</v>
      </c>
      <c r="G184" s="27" t="n">
        <v>2</v>
      </c>
      <c r="H184" s="27" t="n">
        <v>2</v>
      </c>
      <c r="I184" s="27" t="n">
        <v>2</v>
      </c>
      <c r="J184" s="27" t="n">
        <v>2</v>
      </c>
      <c r="K184" s="25" t="inlineStr">
        <is>
          <t>Shipped</t>
        </is>
      </c>
    </row>
    <row r="185">
      <c r="A185" s="25" t="inlineStr">
        <is>
          <t>R1144126</t>
        </is>
      </c>
      <c r="B185" s="78" t="n">
        <v>44356</v>
      </c>
      <c r="C185" s="25" t="inlineStr">
        <is>
          <t>411841</t>
        </is>
      </c>
      <c r="D185" s="25" t="inlineStr">
        <is>
          <t>GRAND MOSCATO WHITE (MOLDOVA)</t>
        </is>
      </c>
      <c r="E185" s="27" t="n">
        <v>12</v>
      </c>
      <c r="F185" s="28" t="n">
        <v>74.68000000000001</v>
      </c>
      <c r="G185" s="27" t="n">
        <v>5</v>
      </c>
      <c r="H185" s="27" t="n">
        <v>5</v>
      </c>
      <c r="I185" s="27" t="n">
        <v>5</v>
      </c>
      <c r="J185" s="27" t="n">
        <v>3</v>
      </c>
      <c r="K185" s="25" t="inlineStr">
        <is>
          <t>Shipped</t>
        </is>
      </c>
    </row>
    <row r="186">
      <c r="A186" s="25" t="inlineStr">
        <is>
          <t>R1144126B</t>
        </is>
      </c>
      <c r="B186" s="78" t="n">
        <v>44427</v>
      </c>
      <c r="C186" s="25" t="inlineStr">
        <is>
          <t>411841</t>
        </is>
      </c>
      <c r="D186" s="25" t="inlineStr">
        <is>
          <t>GRAND MOSCATO WHITE (MOLDOVA)</t>
        </is>
      </c>
      <c r="E186" s="27" t="n">
        <v>12</v>
      </c>
      <c r="F186" s="28" t="n">
        <v>74.68000000000001</v>
      </c>
      <c r="G186" s="27" t="n">
        <v>2</v>
      </c>
      <c r="H186" s="27" t="n">
        <v>2</v>
      </c>
      <c r="I186" s="27" t="n">
        <v>2</v>
      </c>
      <c r="J186" s="27" t="n">
        <v>2</v>
      </c>
      <c r="K186" s="25" t="inlineStr">
        <is>
          <t>Shipped</t>
        </is>
      </c>
    </row>
    <row r="187">
      <c r="A187" s="25" t="inlineStr">
        <is>
          <t>R1144126A</t>
        </is>
      </c>
      <c r="B187" s="78" t="n">
        <v>44426</v>
      </c>
      <c r="C187" s="25" t="inlineStr">
        <is>
          <t>411841</t>
        </is>
      </c>
      <c r="D187" s="25" t="inlineStr">
        <is>
          <t>GRAND MOSCATO WHITE (MOLDOVA)</t>
        </is>
      </c>
      <c r="E187" s="27" t="n">
        <v>12</v>
      </c>
      <c r="F187" s="28" t="n">
        <v>74.68000000000001</v>
      </c>
      <c r="G187" s="27" t="n">
        <v>2</v>
      </c>
      <c r="H187" s="27" t="n">
        <v>2</v>
      </c>
      <c r="I187" s="27" t="n">
        <v>2</v>
      </c>
      <c r="J187" s="27" t="n">
        <v>2</v>
      </c>
      <c r="K187" s="25" t="inlineStr">
        <is>
          <t>Shipped</t>
        </is>
      </c>
    </row>
    <row r="188">
      <c r="A188" s="25" t="inlineStr">
        <is>
          <t>R1230239</t>
        </is>
      </c>
      <c r="B188" s="78" t="n">
        <v>44427</v>
      </c>
      <c r="C188" s="25" t="inlineStr">
        <is>
          <t>411841</t>
        </is>
      </c>
      <c r="D188" s="25" t="inlineStr">
        <is>
          <t>GRAND MOSCATO WHITE (MOLDOVA)</t>
        </is>
      </c>
      <c r="E188" s="27" t="n">
        <v>12</v>
      </c>
      <c r="F188" s="28" t="n">
        <v>74.68000000000001</v>
      </c>
      <c r="G188" s="27" t="n">
        <v>2</v>
      </c>
      <c r="H188" s="27" t="n">
        <v>2</v>
      </c>
      <c r="I188" s="27" t="n">
        <v>2</v>
      </c>
      <c r="J188" s="27" t="n">
        <v>2</v>
      </c>
      <c r="K188" s="25" t="inlineStr">
        <is>
          <t>Shipped</t>
        </is>
      </c>
    </row>
    <row r="189">
      <c r="A189" s="25" t="inlineStr">
        <is>
          <t>R1121475</t>
        </is>
      </c>
      <c r="B189" s="78" t="n">
        <v>44335</v>
      </c>
      <c r="C189" s="25" t="inlineStr">
        <is>
          <t>65451</t>
        </is>
      </c>
      <c r="D189" s="25" t="inlineStr">
        <is>
          <t>GREY GOOSE ESSENCES STRAWBERRY &amp; LEMONGRASS</t>
        </is>
      </c>
      <c r="E189" s="27" t="n">
        <v>6</v>
      </c>
      <c r="F189" s="28" t="n">
        <v>148.74</v>
      </c>
      <c r="G189" s="27" t="n">
        <v>5</v>
      </c>
      <c r="H189" s="27" t="n">
        <v>5</v>
      </c>
      <c r="I189" s="27" t="n">
        <v>5</v>
      </c>
      <c r="J189" s="27" t="n">
        <v>5</v>
      </c>
      <c r="K189" s="25" t="inlineStr">
        <is>
          <t>Shipped</t>
        </is>
      </c>
    </row>
    <row r="190">
      <c r="A190" s="25" t="inlineStr">
        <is>
          <t>R1118896</t>
        </is>
      </c>
      <c r="B190" s="78" t="n">
        <v>44335</v>
      </c>
      <c r="C190" s="25" t="inlineStr">
        <is>
          <t>65454</t>
        </is>
      </c>
      <c r="D190" s="25" t="inlineStr">
        <is>
          <t>GREY GOOSE ESSENCES WATERMELON &amp; BASIL</t>
        </is>
      </c>
      <c r="E190" s="27" t="n">
        <v>6</v>
      </c>
      <c r="F190" s="28" t="n">
        <v>148.74</v>
      </c>
      <c r="G190" s="27" t="n">
        <v>5</v>
      </c>
      <c r="H190" s="27" t="n">
        <v>5</v>
      </c>
      <c r="I190" s="27" t="n">
        <v>5</v>
      </c>
      <c r="J190" s="27" t="n">
        <v>5</v>
      </c>
      <c r="K190" s="25" t="inlineStr">
        <is>
          <t>Shipped</t>
        </is>
      </c>
    </row>
    <row r="191">
      <c r="A191" s="25" t="inlineStr">
        <is>
          <t>R1118472</t>
        </is>
      </c>
      <c r="B191" s="78" t="n">
        <v>44335</v>
      </c>
      <c r="C191" s="25" t="inlineStr">
        <is>
          <t>65457</t>
        </is>
      </c>
      <c r="D191" s="25" t="inlineStr">
        <is>
          <t>GREY GOOSE ESSENCES WHITE PEACH &amp; ROSEMARY</t>
        </is>
      </c>
      <c r="E191" s="27" t="n">
        <v>6</v>
      </c>
      <c r="F191" s="28" t="n">
        <v>148.74</v>
      </c>
      <c r="G191" s="27" t="n">
        <v>5</v>
      </c>
      <c r="H191" s="27" t="n">
        <v>5</v>
      </c>
      <c r="I191" s="27" t="n">
        <v>5</v>
      </c>
      <c r="J191" s="27" t="n">
        <v>5</v>
      </c>
      <c r="K191" s="25" t="inlineStr">
        <is>
          <t>Shipped</t>
        </is>
      </c>
    </row>
    <row r="192">
      <c r="A192" s="25" t="inlineStr">
        <is>
          <t>R1040468</t>
        </is>
      </c>
      <c r="B192" s="78" t="n">
        <v>44249</v>
      </c>
      <c r="C192" s="25" t="inlineStr">
        <is>
          <t>48080</t>
        </is>
      </c>
      <c r="D192" s="25" t="inlineStr">
        <is>
          <t>HARDY VS COGNAC</t>
        </is>
      </c>
      <c r="E192" s="27" t="n">
        <v>6</v>
      </c>
      <c r="F192" s="28" t="n">
        <v>135.45</v>
      </c>
      <c r="G192" s="27" t="n">
        <v>3</v>
      </c>
      <c r="H192" s="27" t="n">
        <v>3</v>
      </c>
      <c r="I192" s="27" t="n">
        <v>3</v>
      </c>
      <c r="J192" s="27" t="n">
        <v>3</v>
      </c>
      <c r="K192" s="25" t="inlineStr">
        <is>
          <t>Shipped</t>
        </is>
      </c>
    </row>
    <row r="193">
      <c r="A193" s="25" t="inlineStr">
        <is>
          <t>R1040468A</t>
        </is>
      </c>
      <c r="B193" s="78" t="n">
        <v>44257</v>
      </c>
      <c r="C193" s="25" t="inlineStr">
        <is>
          <t>48080</t>
        </is>
      </c>
      <c r="D193" s="25" t="inlineStr">
        <is>
          <t>HARDY VS COGNAC</t>
        </is>
      </c>
      <c r="E193" s="27" t="n">
        <v>6</v>
      </c>
      <c r="F193" s="28" t="n">
        <v>135.45</v>
      </c>
      <c r="G193" s="27" t="n">
        <v>1</v>
      </c>
      <c r="H193" s="27" t="n">
        <v>1</v>
      </c>
      <c r="I193" s="27" t="n">
        <v>1</v>
      </c>
      <c r="J193" s="27" t="n">
        <v>1</v>
      </c>
      <c r="K193" s="25" t="inlineStr">
        <is>
          <t>Shipped</t>
        </is>
      </c>
    </row>
    <row r="194">
      <c r="A194" s="25" t="inlineStr">
        <is>
          <t>R1054511</t>
        </is>
      </c>
      <c r="B194" s="78" t="n">
        <v>44270</v>
      </c>
      <c r="C194" s="25" t="inlineStr">
        <is>
          <t>48080</t>
        </is>
      </c>
      <c r="D194" s="25" t="inlineStr">
        <is>
          <t>HARDY VS COGNAC</t>
        </is>
      </c>
      <c r="E194" s="27" t="n">
        <v>6</v>
      </c>
      <c r="F194" s="28" t="n">
        <v>135.45</v>
      </c>
      <c r="G194" s="27" t="n">
        <v>2</v>
      </c>
      <c r="H194" s="27" t="n">
        <v>2</v>
      </c>
      <c r="I194" s="27" t="n">
        <v>2</v>
      </c>
      <c r="J194" s="27" t="n">
        <v>2</v>
      </c>
      <c r="K194" s="25" t="inlineStr">
        <is>
          <t>Shipped</t>
        </is>
      </c>
    </row>
    <row r="195">
      <c r="A195" s="25" t="inlineStr">
        <is>
          <t>R1074659</t>
        </is>
      </c>
      <c r="B195" s="78" t="n">
        <v>44288</v>
      </c>
      <c r="C195" s="25" t="inlineStr">
        <is>
          <t>48080</t>
        </is>
      </c>
      <c r="D195" s="25" t="inlineStr">
        <is>
          <t>HARDY VS COGNAC</t>
        </is>
      </c>
      <c r="E195" s="27" t="n">
        <v>6</v>
      </c>
      <c r="F195" s="28" t="n">
        <v>135.45</v>
      </c>
      <c r="G195" s="27" t="n">
        <v>1</v>
      </c>
      <c r="H195" s="27" t="n">
        <v>1</v>
      </c>
      <c r="I195" s="27" t="n">
        <v>1</v>
      </c>
      <c r="J195" s="27" t="n">
        <v>1</v>
      </c>
      <c r="K195" s="25" t="inlineStr">
        <is>
          <t>Shipped</t>
        </is>
      </c>
    </row>
    <row r="196">
      <c r="A196" s="25" t="inlineStr">
        <is>
          <t>R1074659A</t>
        </is>
      </c>
      <c r="B196" s="78" t="n">
        <v>44295</v>
      </c>
      <c r="C196" s="25" t="inlineStr">
        <is>
          <t>48081</t>
        </is>
      </c>
      <c r="D196" s="25" t="inlineStr">
        <is>
          <t>HARDY VS COGNAC</t>
        </is>
      </c>
      <c r="E196" s="27" t="n">
        <v>6</v>
      </c>
      <c r="F196" s="28" t="n">
        <v>236.28</v>
      </c>
      <c r="G196" s="27" t="n">
        <v>1</v>
      </c>
      <c r="H196" s="27" t="n">
        <v>1</v>
      </c>
      <c r="I196" s="27" t="n">
        <v>1</v>
      </c>
      <c r="J196" s="27" t="n">
        <v>1</v>
      </c>
      <c r="K196" s="25" t="inlineStr">
        <is>
          <t>Shipped</t>
        </is>
      </c>
    </row>
    <row r="197">
      <c r="A197" s="25" t="inlineStr">
        <is>
          <t>R1089922</t>
        </is>
      </c>
      <c r="B197" s="78" t="n">
        <v>44300</v>
      </c>
      <c r="C197" s="25" t="inlineStr">
        <is>
          <t>48081</t>
        </is>
      </c>
      <c r="D197" s="25" t="inlineStr">
        <is>
          <t>HARDY VS COGNAC</t>
        </is>
      </c>
      <c r="E197" s="27" t="n">
        <v>6</v>
      </c>
      <c r="F197" s="28" t="n">
        <v>236.28</v>
      </c>
      <c r="G197" s="27" t="n">
        <v>1</v>
      </c>
      <c r="H197" s="27" t="n">
        <v>1</v>
      </c>
      <c r="I197" s="27" t="n">
        <v>1</v>
      </c>
      <c r="J197" s="27" t="n">
        <v>1</v>
      </c>
      <c r="K197" s="25" t="inlineStr">
        <is>
          <t>Shipped</t>
        </is>
      </c>
    </row>
    <row r="198">
      <c r="A198" s="25" t="inlineStr">
        <is>
          <t>R1074659B</t>
        </is>
      </c>
      <c r="B198" s="78" t="n">
        <v>44299</v>
      </c>
      <c r="C198" s="25" t="inlineStr">
        <is>
          <t>48080</t>
        </is>
      </c>
      <c r="D198" s="25" t="inlineStr">
        <is>
          <t>HARDY VS COGNAC</t>
        </is>
      </c>
      <c r="E198" s="27" t="n">
        <v>6</v>
      </c>
      <c r="F198" s="28" t="n">
        <v>135.45</v>
      </c>
      <c r="G198" s="27" t="n">
        <v>3</v>
      </c>
      <c r="H198" s="27" t="n">
        <v>3</v>
      </c>
      <c r="I198" s="27" t="n">
        <v>3</v>
      </c>
      <c r="J198" s="27" t="n">
        <v>3</v>
      </c>
      <c r="K198" s="25" t="inlineStr">
        <is>
          <t>Shipped</t>
        </is>
      </c>
    </row>
    <row r="199">
      <c r="A199" s="25" t="inlineStr">
        <is>
          <t>R1096837</t>
        </is>
      </c>
      <c r="B199" s="78" t="n">
        <v>44302</v>
      </c>
      <c r="C199" s="25" t="inlineStr">
        <is>
          <t>48081</t>
        </is>
      </c>
      <c r="D199" s="25" t="inlineStr">
        <is>
          <t>HARDY VS COGNAC</t>
        </is>
      </c>
      <c r="E199" s="27" t="n">
        <v>6</v>
      </c>
      <c r="F199" s="28" t="n">
        <v>236.28</v>
      </c>
      <c r="G199" s="27" t="n">
        <v>1</v>
      </c>
      <c r="H199" s="27" t="n">
        <v>1</v>
      </c>
      <c r="I199" s="27" t="n">
        <v>1</v>
      </c>
      <c r="J199" s="27" t="n">
        <v>1</v>
      </c>
      <c r="K199" s="25" t="inlineStr">
        <is>
          <t>Shipped</t>
        </is>
      </c>
    </row>
    <row r="200">
      <c r="A200" s="25" t="inlineStr">
        <is>
          <t>R1115262</t>
        </is>
      </c>
      <c r="B200" s="78" t="n">
        <v>44319</v>
      </c>
      <c r="C200" s="25" t="inlineStr">
        <is>
          <t>48080</t>
        </is>
      </c>
      <c r="D200" s="25" t="inlineStr">
        <is>
          <t>HARDY VS COGNAC</t>
        </is>
      </c>
      <c r="E200" s="27" t="n">
        <v>6</v>
      </c>
      <c r="F200" s="28" t="n">
        <v>135.45</v>
      </c>
      <c r="G200" s="27" t="n">
        <v>2</v>
      </c>
      <c r="H200" s="27" t="n">
        <v>2</v>
      </c>
      <c r="I200" s="27" t="n">
        <v>2</v>
      </c>
      <c r="J200" s="27" t="n">
        <v>2</v>
      </c>
      <c r="K200" s="25" t="inlineStr">
        <is>
          <t>Shipped</t>
        </is>
      </c>
    </row>
    <row r="201">
      <c r="A201" s="25" t="inlineStr">
        <is>
          <t>R1096837A</t>
        </is>
      </c>
      <c r="B201" s="78" t="n">
        <v>44329</v>
      </c>
      <c r="C201" s="25" t="inlineStr">
        <is>
          <t>48081</t>
        </is>
      </c>
      <c r="D201" s="25" t="inlineStr">
        <is>
          <t>HARDY VS COGNAC</t>
        </is>
      </c>
      <c r="E201" s="27" t="n">
        <v>6</v>
      </c>
      <c r="F201" s="28" t="n">
        <v>236.28</v>
      </c>
      <c r="G201" s="27" t="n">
        <v>3</v>
      </c>
      <c r="H201" s="27" t="n">
        <v>3</v>
      </c>
      <c r="I201" s="27" t="n">
        <v>3</v>
      </c>
      <c r="J201" s="27" t="n">
        <v>3</v>
      </c>
      <c r="K201" s="25" t="inlineStr">
        <is>
          <t>Shipped</t>
        </is>
      </c>
    </row>
    <row r="202">
      <c r="A202" s="25" t="inlineStr">
        <is>
          <t>R1131132</t>
        </is>
      </c>
      <c r="B202" s="78" t="n">
        <v>44337</v>
      </c>
      <c r="C202" s="25" t="inlineStr">
        <is>
          <t>48081</t>
        </is>
      </c>
      <c r="D202" s="25" t="inlineStr">
        <is>
          <t>HARDY VS COGNAC</t>
        </is>
      </c>
      <c r="E202" s="27" t="n">
        <v>6</v>
      </c>
      <c r="F202" s="28" t="n">
        <v>236.28</v>
      </c>
      <c r="G202" s="27" t="n">
        <v>1</v>
      </c>
      <c r="H202" s="27" t="n">
        <v>1</v>
      </c>
      <c r="I202" s="27" t="n">
        <v>1</v>
      </c>
      <c r="J202" s="27" t="n">
        <v>1</v>
      </c>
      <c r="K202" s="25" t="inlineStr">
        <is>
          <t>Shipped</t>
        </is>
      </c>
    </row>
    <row r="203">
      <c r="A203" s="25" t="inlineStr">
        <is>
          <t>R1278412</t>
        </is>
      </c>
      <c r="B203" s="78" t="n">
        <v>44480</v>
      </c>
      <c r="C203" s="25" t="inlineStr">
        <is>
          <t>48080</t>
        </is>
      </c>
      <c r="D203" s="25" t="inlineStr">
        <is>
          <t>HARDY VS COGNAC</t>
        </is>
      </c>
      <c r="E203" s="27" t="n">
        <v>6</v>
      </c>
      <c r="F203" s="28" t="n">
        <v>135.45</v>
      </c>
      <c r="G203" s="27" t="n">
        <v>2</v>
      </c>
      <c r="H203" s="27" t="n">
        <v>2</v>
      </c>
      <c r="I203" s="27" t="n">
        <v>2</v>
      </c>
      <c r="J203" s="27" t="n">
        <v>2</v>
      </c>
      <c r="K203" s="25" t="inlineStr">
        <is>
          <t>Shipped</t>
        </is>
      </c>
    </row>
    <row r="204">
      <c r="A204" s="25" t="inlineStr">
        <is>
          <t>R1278943</t>
        </is>
      </c>
      <c r="B204" s="78" t="n">
        <v>44483</v>
      </c>
      <c r="C204" s="25" t="inlineStr">
        <is>
          <t>48080</t>
        </is>
      </c>
      <c r="D204" s="25" t="inlineStr">
        <is>
          <t>HARDY VS COGNAC</t>
        </is>
      </c>
      <c r="E204" s="27" t="n">
        <v>6</v>
      </c>
      <c r="F204" s="28" t="n">
        <v>135.45</v>
      </c>
      <c r="G204" s="27" t="n">
        <v>2</v>
      </c>
      <c r="H204" s="27" t="n">
        <v>2</v>
      </c>
      <c r="I204" s="27" t="n">
        <v>2</v>
      </c>
      <c r="J204" s="27" t="n">
        <v>2</v>
      </c>
      <c r="K204" s="25" t="inlineStr">
        <is>
          <t>Shipped</t>
        </is>
      </c>
    </row>
    <row r="205">
      <c r="A205" s="25" t="inlineStr">
        <is>
          <t>R1283215</t>
        </is>
      </c>
      <c r="B205" s="78" t="n">
        <v>44483</v>
      </c>
      <c r="C205" s="25" t="inlineStr">
        <is>
          <t>48080</t>
        </is>
      </c>
      <c r="D205" s="25" t="inlineStr">
        <is>
          <t>HARDY VS COGNAC</t>
        </is>
      </c>
      <c r="E205" s="27" t="n">
        <v>6</v>
      </c>
      <c r="F205" s="28" t="n">
        <v>135.45</v>
      </c>
      <c r="G205" s="27" t="n">
        <v>2</v>
      </c>
      <c r="H205" s="27" t="n">
        <v>2</v>
      </c>
      <c r="I205" s="27" t="n">
        <v>2</v>
      </c>
      <c r="J205" s="27" t="n">
        <v>1</v>
      </c>
      <c r="K205" s="25" t="inlineStr">
        <is>
          <t>Shipped</t>
        </is>
      </c>
    </row>
    <row r="206">
      <c r="A206" s="25" t="inlineStr">
        <is>
          <t>R1008486</t>
        </is>
      </c>
      <c r="B206" s="78" t="n">
        <v>44225</v>
      </c>
      <c r="C206" s="25" t="inlineStr">
        <is>
          <t>48086</t>
        </is>
      </c>
      <c r="D206" s="25" t="inlineStr">
        <is>
          <t>HARDY VSOP COGNAC</t>
        </is>
      </c>
      <c r="E206" s="27" t="n">
        <v>6</v>
      </c>
      <c r="F206" s="28" t="n">
        <v>190.83</v>
      </c>
      <c r="G206" s="27" t="n">
        <v>1</v>
      </c>
      <c r="H206" s="27" t="n">
        <v>1</v>
      </c>
      <c r="I206" s="27" t="n">
        <v>1</v>
      </c>
      <c r="J206" s="27" t="n">
        <v>1</v>
      </c>
      <c r="K206" s="25" t="inlineStr">
        <is>
          <t>Shipped</t>
        </is>
      </c>
    </row>
    <row r="207">
      <c r="A207" s="25" t="inlineStr">
        <is>
          <t>R1040468</t>
        </is>
      </c>
      <c r="B207" s="78" t="n">
        <v>44249</v>
      </c>
      <c r="C207" s="25" t="inlineStr">
        <is>
          <t>48086</t>
        </is>
      </c>
      <c r="D207" s="25" t="inlineStr">
        <is>
          <t>HARDY VSOP COGNAC</t>
        </is>
      </c>
      <c r="E207" s="27" t="n">
        <v>6</v>
      </c>
      <c r="F207" s="28" t="n">
        <v>190.83</v>
      </c>
      <c r="G207" s="27" t="n">
        <v>1</v>
      </c>
      <c r="H207" s="27" t="n">
        <v>1</v>
      </c>
      <c r="I207" s="27" t="n">
        <v>1</v>
      </c>
      <c r="J207" s="27" t="n">
        <v>1</v>
      </c>
      <c r="K207" s="25" t="inlineStr">
        <is>
          <t>Shipped</t>
        </is>
      </c>
    </row>
    <row r="208">
      <c r="A208" s="25" t="inlineStr">
        <is>
          <t>R1084359</t>
        </is>
      </c>
      <c r="B208" s="78" t="n">
        <v>44300</v>
      </c>
      <c r="C208" s="25" t="inlineStr">
        <is>
          <t>48086</t>
        </is>
      </c>
      <c r="D208" s="25" t="inlineStr">
        <is>
          <t>HARDY VSOP COGNAC</t>
        </is>
      </c>
      <c r="E208" s="27" t="n">
        <v>6</v>
      </c>
      <c r="F208" s="28" t="n">
        <v>190.83</v>
      </c>
      <c r="G208" s="27" t="n">
        <v>1</v>
      </c>
      <c r="H208" s="27" t="n">
        <v>1</v>
      </c>
      <c r="I208" s="27" t="n">
        <v>1</v>
      </c>
      <c r="J208" s="27" t="n">
        <v>1</v>
      </c>
      <c r="K208" s="25" t="inlineStr">
        <is>
          <t>Shipped</t>
        </is>
      </c>
    </row>
    <row r="209">
      <c r="A209" s="25" t="inlineStr">
        <is>
          <t>R1096410</t>
        </is>
      </c>
      <c r="B209" s="78" t="n">
        <v>44300</v>
      </c>
      <c r="C209" s="25" t="inlineStr">
        <is>
          <t>48086</t>
        </is>
      </c>
      <c r="D209" s="25" t="inlineStr">
        <is>
          <t>HARDY VSOP COGNAC</t>
        </is>
      </c>
      <c r="E209" s="27" t="n">
        <v>6</v>
      </c>
      <c r="F209" s="28" t="n">
        <v>190.83</v>
      </c>
      <c r="G209" s="27" t="n">
        <v>1</v>
      </c>
      <c r="H209" s="27" t="n">
        <v>1</v>
      </c>
      <c r="I209" s="27" t="n">
        <v>1</v>
      </c>
      <c r="J209" s="27" t="n">
        <v>1</v>
      </c>
      <c r="K209" s="25" t="inlineStr">
        <is>
          <t>Shipped</t>
        </is>
      </c>
    </row>
    <row r="210">
      <c r="A210" s="25" t="inlineStr">
        <is>
          <t>R1097102</t>
        </is>
      </c>
      <c r="B210" s="78" t="n">
        <v>44301</v>
      </c>
      <c r="C210" s="25" t="inlineStr">
        <is>
          <t>48086</t>
        </is>
      </c>
      <c r="D210" s="25" t="inlineStr">
        <is>
          <t>HARDY VSOP COGNAC</t>
        </is>
      </c>
      <c r="E210" s="27" t="n">
        <v>6</v>
      </c>
      <c r="F210" s="28" t="n">
        <v>190.83</v>
      </c>
      <c r="G210" s="27" t="n">
        <v>1</v>
      </c>
      <c r="H210" s="27" t="n">
        <v>1</v>
      </c>
      <c r="I210" s="27" t="n">
        <v>1</v>
      </c>
      <c r="J210" s="27" t="n">
        <v>1</v>
      </c>
      <c r="K210" s="25" t="inlineStr">
        <is>
          <t>Shipped</t>
        </is>
      </c>
    </row>
    <row r="211">
      <c r="A211" s="25" t="inlineStr">
        <is>
          <t>R1211505</t>
        </is>
      </c>
      <c r="B211" s="78" t="n">
        <v>44418</v>
      </c>
      <c r="C211" s="25" t="inlineStr">
        <is>
          <t>48086</t>
        </is>
      </c>
      <c r="D211" s="25" t="inlineStr">
        <is>
          <t>HARDY VSOP COGNAC</t>
        </is>
      </c>
      <c r="E211" s="27" t="n">
        <v>6</v>
      </c>
      <c r="F211" s="28" t="n">
        <v>190.83</v>
      </c>
      <c r="G211" s="27" t="n">
        <v>1</v>
      </c>
      <c r="H211" s="27" t="n">
        <v>1</v>
      </c>
      <c r="I211" s="27" t="n">
        <v>1</v>
      </c>
      <c r="J211" s="27" t="n">
        <v>1</v>
      </c>
      <c r="K211" s="25" t="inlineStr">
        <is>
          <t>Shipped</t>
        </is>
      </c>
    </row>
    <row r="212">
      <c r="A212" s="25" t="inlineStr">
        <is>
          <t>R1229341</t>
        </is>
      </c>
      <c r="B212" s="78" t="n">
        <v>44446</v>
      </c>
      <c r="C212" s="25" t="inlineStr">
        <is>
          <t>48086</t>
        </is>
      </c>
      <c r="D212" s="25" t="inlineStr">
        <is>
          <t>HARDY VSOP COGNAC</t>
        </is>
      </c>
      <c r="E212" s="27" t="n">
        <v>6</v>
      </c>
      <c r="F212" s="28" t="n">
        <v>190.83</v>
      </c>
      <c r="G212" s="27" t="n">
        <v>2</v>
      </c>
      <c r="H212" s="27" t="n">
        <v>2</v>
      </c>
      <c r="I212" s="27" t="n">
        <v>2</v>
      </c>
      <c r="J212" s="27" t="n">
        <v>2</v>
      </c>
      <c r="K212" s="25" t="inlineStr">
        <is>
          <t>Shipped</t>
        </is>
      </c>
    </row>
    <row r="213">
      <c r="A213" s="25" t="inlineStr">
        <is>
          <t>R1229341A</t>
        </is>
      </c>
      <c r="B213" s="78" t="n">
        <v>44476</v>
      </c>
      <c r="C213" s="25" t="inlineStr">
        <is>
          <t>48086</t>
        </is>
      </c>
      <c r="D213" s="25" t="inlineStr">
        <is>
          <t>HARDY VSOP COGNAC</t>
        </is>
      </c>
      <c r="E213" s="27" t="n">
        <v>6</v>
      </c>
      <c r="F213" s="28" t="n">
        <v>190.83</v>
      </c>
      <c r="G213" s="27" t="n">
        <v>1</v>
      </c>
      <c r="H213" s="27" t="n">
        <v>1</v>
      </c>
      <c r="I213" s="27" t="n">
        <v>1</v>
      </c>
      <c r="J213" s="27" t="n">
        <v>1</v>
      </c>
      <c r="K213" s="25" t="inlineStr">
        <is>
          <t>Shipped</t>
        </is>
      </c>
    </row>
    <row r="214">
      <c r="A214" s="25" t="inlineStr">
        <is>
          <t>R1229341C</t>
        </is>
      </c>
      <c r="B214" s="78" t="n">
        <v>44503</v>
      </c>
      <c r="C214" s="25" t="inlineStr">
        <is>
          <t>48086</t>
        </is>
      </c>
      <c r="D214" s="25" t="inlineStr">
        <is>
          <t>HARDY VSOP COGNAC</t>
        </is>
      </c>
      <c r="E214" s="27" t="n">
        <v>6</v>
      </c>
      <c r="F214" s="28" t="n">
        <v>190.83</v>
      </c>
      <c r="G214" s="27" t="n">
        <v>1</v>
      </c>
      <c r="H214" s="27" t="n">
        <v>1</v>
      </c>
      <c r="I214" s="27" t="n">
        <v>1</v>
      </c>
      <c r="J214" s="27" t="n">
        <v>1</v>
      </c>
      <c r="K214" s="25" t="inlineStr">
        <is>
          <t>Shipped</t>
        </is>
      </c>
    </row>
    <row r="215">
      <c r="A215" s="25" t="inlineStr">
        <is>
          <t>R1229341B</t>
        </is>
      </c>
      <c r="B215" s="78" t="n">
        <v>44502</v>
      </c>
      <c r="C215" s="25" t="inlineStr">
        <is>
          <t>48086</t>
        </is>
      </c>
      <c r="D215" s="25" t="inlineStr">
        <is>
          <t>HARDY VSOP COGNAC</t>
        </is>
      </c>
      <c r="E215" s="27" t="n">
        <v>6</v>
      </c>
      <c r="F215" s="28" t="n">
        <v>190.83</v>
      </c>
      <c r="G215" s="27" t="n">
        <v>1</v>
      </c>
      <c r="H215" s="27" t="n">
        <v>1</v>
      </c>
      <c r="I215" s="27" t="n">
        <v>1</v>
      </c>
      <c r="J215" s="27" t="n">
        <v>1</v>
      </c>
      <c r="K215" s="25" t="inlineStr">
        <is>
          <t>Shipped</t>
        </is>
      </c>
    </row>
    <row r="216">
      <c r="A216" s="25" t="inlineStr">
        <is>
          <t>R1054179A</t>
        </is>
      </c>
      <c r="B216" s="78" t="n">
        <v>44280</v>
      </c>
      <c r="C216" s="25" t="inlineStr">
        <is>
          <t>48078</t>
        </is>
      </c>
      <c r="D216" s="25" t="inlineStr">
        <is>
          <t>HARDY VSOP ORGANIC COGNAC</t>
        </is>
      </c>
      <c r="E216" s="27" t="n">
        <v>6</v>
      </c>
      <c r="F216" s="28" t="n">
        <v>181.6</v>
      </c>
      <c r="G216" s="27" t="n">
        <v>2</v>
      </c>
      <c r="H216" s="27" t="n">
        <v>2</v>
      </c>
      <c r="I216" s="27" t="n">
        <v>2</v>
      </c>
      <c r="J216" s="27" t="n">
        <v>2</v>
      </c>
      <c r="K216" s="25" t="inlineStr">
        <is>
          <t>Shipped</t>
        </is>
      </c>
    </row>
    <row r="217">
      <c r="A217" s="25" t="inlineStr">
        <is>
          <t>R1089922</t>
        </is>
      </c>
      <c r="B217" s="78" t="n">
        <v>44300</v>
      </c>
      <c r="C217" s="25" t="inlineStr">
        <is>
          <t>48078</t>
        </is>
      </c>
      <c r="D217" s="25" t="inlineStr">
        <is>
          <t>HARDY VSOP ORGANIC COGNAC</t>
        </is>
      </c>
      <c r="E217" s="27" t="n">
        <v>6</v>
      </c>
      <c r="F217" s="28" t="n">
        <v>181.6</v>
      </c>
      <c r="G217" s="27" t="n">
        <v>1</v>
      </c>
      <c r="H217" s="27" t="n">
        <v>1</v>
      </c>
      <c r="I217" s="27" t="n">
        <v>1</v>
      </c>
      <c r="J217" s="27" t="n">
        <v>1</v>
      </c>
      <c r="K217" s="25" t="inlineStr">
        <is>
          <t>Shipped</t>
        </is>
      </c>
    </row>
    <row r="218">
      <c r="A218" s="25" t="inlineStr">
        <is>
          <t>R1046600</t>
        </is>
      </c>
      <c r="B218" s="78" t="n">
        <v>44265</v>
      </c>
      <c r="C218" s="25" t="inlineStr">
        <is>
          <t>74649</t>
        </is>
      </c>
      <c r="D218" s="25" t="inlineStr">
        <is>
          <t>HARTLEY VSOP BRANDY PET</t>
        </is>
      </c>
      <c r="E218" s="27" t="n">
        <v>120</v>
      </c>
      <c r="F218" s="28" t="n">
        <v>39.2</v>
      </c>
      <c r="G218" s="27" t="n">
        <v>2</v>
      </c>
      <c r="H218" s="27" t="n">
        <v>2</v>
      </c>
      <c r="I218" s="27" t="n">
        <v>2</v>
      </c>
      <c r="J218" s="27" t="n">
        <v>2</v>
      </c>
      <c r="K218" s="25" t="inlineStr">
        <is>
          <t>Shipped</t>
        </is>
      </c>
    </row>
    <row r="219">
      <c r="A219" s="25" t="inlineStr">
        <is>
          <t>R1051883</t>
        </is>
      </c>
      <c r="B219" s="78" t="n">
        <v>44266</v>
      </c>
      <c r="C219" s="25" t="inlineStr">
        <is>
          <t>74649</t>
        </is>
      </c>
      <c r="D219" s="25" t="inlineStr">
        <is>
          <t>HARTLEY VSOP BRANDY PET</t>
        </is>
      </c>
      <c r="E219" s="27" t="n">
        <v>120</v>
      </c>
      <c r="F219" s="28" t="n">
        <v>39.2</v>
      </c>
      <c r="G219" s="27" t="n">
        <v>2</v>
      </c>
      <c r="H219" s="27" t="n">
        <v>2</v>
      </c>
      <c r="I219" s="27" t="n">
        <v>2</v>
      </c>
      <c r="J219" s="27" t="n">
        <v>2</v>
      </c>
      <c r="K219" s="25" t="inlineStr">
        <is>
          <t>Shipped</t>
        </is>
      </c>
    </row>
    <row r="220">
      <c r="A220" s="25" t="inlineStr">
        <is>
          <t>R960643B</t>
        </is>
      </c>
      <c r="B220" s="78" t="n">
        <v>44265</v>
      </c>
      <c r="C220" s="25" t="inlineStr">
        <is>
          <t>74649</t>
        </is>
      </c>
      <c r="D220" s="25" t="inlineStr">
        <is>
          <t>HARTLEY VSOP BRANDY PET</t>
        </is>
      </c>
      <c r="E220" s="27" t="n">
        <v>120</v>
      </c>
      <c r="F220" s="28" t="n">
        <v>39.2</v>
      </c>
      <c r="G220" s="27" t="n">
        <v>2</v>
      </c>
      <c r="H220" s="27" t="n">
        <v>2</v>
      </c>
      <c r="I220" s="27" t="n">
        <v>2</v>
      </c>
      <c r="J220" s="27" t="n">
        <v>2</v>
      </c>
      <c r="K220" s="25" t="inlineStr">
        <is>
          <t>Shipped</t>
        </is>
      </c>
    </row>
    <row r="221">
      <c r="A221" s="25" t="inlineStr">
        <is>
          <t>R977868B</t>
        </is>
      </c>
      <c r="B221" s="78" t="n">
        <v>44293</v>
      </c>
      <c r="C221" s="25" t="inlineStr">
        <is>
          <t>74649</t>
        </is>
      </c>
      <c r="D221" s="25" t="inlineStr">
        <is>
          <t>HARTLEY VSOP BRANDY PET</t>
        </is>
      </c>
      <c r="E221" s="27" t="n">
        <v>120</v>
      </c>
      <c r="F221" s="28" t="n">
        <v>39.2</v>
      </c>
      <c r="G221" s="27" t="n">
        <v>1</v>
      </c>
      <c r="H221" s="27" t="n">
        <v>1</v>
      </c>
      <c r="I221" s="27" t="n">
        <v>1</v>
      </c>
      <c r="J221" s="27" t="n">
        <v>1</v>
      </c>
      <c r="K221" s="25" t="inlineStr">
        <is>
          <t>Shipped</t>
        </is>
      </c>
    </row>
    <row r="222">
      <c r="A222" s="25" t="inlineStr">
        <is>
          <t>R977868A</t>
        </is>
      </c>
      <c r="B222" s="78" t="n">
        <v>44292</v>
      </c>
      <c r="C222" s="25" t="inlineStr">
        <is>
          <t>74649</t>
        </is>
      </c>
      <c r="D222" s="25" t="inlineStr">
        <is>
          <t>HARTLEY VSOP BRANDY PET</t>
        </is>
      </c>
      <c r="E222" s="27" t="n">
        <v>120</v>
      </c>
      <c r="F222" s="28" t="n">
        <v>39.2</v>
      </c>
      <c r="G222" s="27" t="n">
        <v>1</v>
      </c>
      <c r="H222" s="27" t="n">
        <v>1</v>
      </c>
      <c r="I222" s="27" t="n">
        <v>1</v>
      </c>
      <c r="J222" s="27" t="n">
        <v>1</v>
      </c>
      <c r="K222" s="25" t="inlineStr">
        <is>
          <t>Shipped</t>
        </is>
      </c>
    </row>
    <row r="223">
      <c r="A223" s="25" t="inlineStr">
        <is>
          <t>R1082879</t>
        </is>
      </c>
      <c r="B223" s="78" t="n">
        <v>44294</v>
      </c>
      <c r="C223" s="25" t="inlineStr">
        <is>
          <t>74649</t>
        </is>
      </c>
      <c r="D223" s="25" t="inlineStr">
        <is>
          <t>HARTLEY VSOP BRANDY PET</t>
        </is>
      </c>
      <c r="E223" s="27" t="n">
        <v>120</v>
      </c>
      <c r="F223" s="28" t="n">
        <v>39.2</v>
      </c>
      <c r="G223" s="27" t="n">
        <v>8</v>
      </c>
      <c r="H223" s="27" t="n">
        <v>8</v>
      </c>
      <c r="I223" s="27" t="n">
        <v>8</v>
      </c>
      <c r="J223" s="27" t="n">
        <v>8</v>
      </c>
      <c r="K223" s="25" t="inlineStr">
        <is>
          <t>Shipped</t>
        </is>
      </c>
    </row>
    <row r="224">
      <c r="A224" s="25" t="inlineStr">
        <is>
          <t>R1082879A</t>
        </is>
      </c>
      <c r="B224" s="78" t="n">
        <v>44300</v>
      </c>
      <c r="C224" s="25" t="inlineStr">
        <is>
          <t>74649</t>
        </is>
      </c>
      <c r="D224" s="25" t="inlineStr">
        <is>
          <t>HARTLEY VSOP BRANDY PET</t>
        </is>
      </c>
      <c r="E224" s="27" t="n">
        <v>120</v>
      </c>
      <c r="F224" s="28" t="n">
        <v>39.2</v>
      </c>
      <c r="G224" s="27" t="n">
        <v>2</v>
      </c>
      <c r="H224" s="27" t="n">
        <v>2</v>
      </c>
      <c r="I224" s="27" t="n">
        <v>2</v>
      </c>
      <c r="J224" s="27" t="n">
        <v>2</v>
      </c>
      <c r="K224" s="25" t="inlineStr">
        <is>
          <t>Shipped</t>
        </is>
      </c>
    </row>
    <row r="225">
      <c r="A225" s="25" t="inlineStr">
        <is>
          <t>R1082879B</t>
        </is>
      </c>
      <c r="B225" s="78" t="n">
        <v>44316</v>
      </c>
      <c r="C225" s="25" t="inlineStr">
        <is>
          <t>74649</t>
        </is>
      </c>
      <c r="D225" s="25" t="inlineStr">
        <is>
          <t>HARTLEY VSOP BRANDY PET</t>
        </is>
      </c>
      <c r="E225" s="27" t="n">
        <v>120</v>
      </c>
      <c r="F225" s="28" t="n">
        <v>39.2</v>
      </c>
      <c r="G225" s="27" t="n">
        <v>1</v>
      </c>
      <c r="H225" s="27" t="n">
        <v>1</v>
      </c>
      <c r="I225" s="27" t="n">
        <v>1</v>
      </c>
      <c r="J225" s="27" t="n">
        <v>1</v>
      </c>
      <c r="K225" s="25" t="inlineStr">
        <is>
          <t>Shipped</t>
        </is>
      </c>
    </row>
    <row r="226">
      <c r="A226" s="25" t="inlineStr">
        <is>
          <t>R1082879C</t>
        </is>
      </c>
      <c r="B226" s="78" t="n">
        <v>44391</v>
      </c>
      <c r="C226" s="25" t="inlineStr">
        <is>
          <t>74649</t>
        </is>
      </c>
      <c r="D226" s="25" t="inlineStr">
        <is>
          <t>HARTLEY VSOP BRANDY PET</t>
        </is>
      </c>
      <c r="E226" s="27" t="n">
        <v>120</v>
      </c>
      <c r="F226" s="28" t="n">
        <v>39.2</v>
      </c>
      <c r="G226" s="27" t="n">
        <v>3</v>
      </c>
      <c r="H226" s="27" t="n">
        <v>3</v>
      </c>
      <c r="I226" s="27" t="n">
        <v>3</v>
      </c>
      <c r="J226" s="27" t="n">
        <v>3</v>
      </c>
      <c r="K226" s="25" t="inlineStr">
        <is>
          <t>Shipped</t>
        </is>
      </c>
    </row>
    <row r="227">
      <c r="A227" s="25" t="inlineStr">
        <is>
          <t>R1192711</t>
        </is>
      </c>
      <c r="B227" s="78" t="n">
        <v>44403</v>
      </c>
      <c r="C227" s="25" t="inlineStr">
        <is>
          <t>74649</t>
        </is>
      </c>
      <c r="D227" s="25" t="inlineStr">
        <is>
          <t>HARTLEY VSOP BRANDY PET</t>
        </is>
      </c>
      <c r="E227" s="27" t="n">
        <v>120</v>
      </c>
      <c r="F227" s="28" t="n">
        <v>39.2</v>
      </c>
      <c r="G227" s="27" t="n">
        <v>2</v>
      </c>
      <c r="H227" s="27" t="n">
        <v>2</v>
      </c>
      <c r="I227" s="27" t="n">
        <v>2</v>
      </c>
      <c r="J227" s="27" t="n">
        <v>2</v>
      </c>
      <c r="K227" s="25" t="inlineStr">
        <is>
          <t>Shipped</t>
        </is>
      </c>
    </row>
    <row r="228">
      <c r="A228" s="25" t="inlineStr">
        <is>
          <t>R1203200</t>
        </is>
      </c>
      <c r="B228" s="78" t="n">
        <v>44427</v>
      </c>
      <c r="C228" s="25" t="inlineStr">
        <is>
          <t>74649</t>
        </is>
      </c>
      <c r="D228" s="25" t="inlineStr">
        <is>
          <t>HARTLEY VSOP BRANDY PET</t>
        </is>
      </c>
      <c r="E228" s="27" t="n">
        <v>120</v>
      </c>
      <c r="F228" s="28" t="n">
        <v>39.2</v>
      </c>
      <c r="G228" s="27" t="n">
        <v>1</v>
      </c>
      <c r="H228" s="27" t="n">
        <v>1</v>
      </c>
      <c r="I228" s="27" t="n">
        <v>1</v>
      </c>
      <c r="J228" s="27" t="n">
        <v>1</v>
      </c>
      <c r="K228" s="25" t="inlineStr">
        <is>
          <t>Shipped</t>
        </is>
      </c>
    </row>
    <row r="229">
      <c r="A229" s="25" t="inlineStr">
        <is>
          <t>R1219528</t>
        </is>
      </c>
      <c r="B229" s="78" t="n">
        <v>44432</v>
      </c>
      <c r="C229" s="25" t="inlineStr">
        <is>
          <t>74649</t>
        </is>
      </c>
      <c r="D229" s="25" t="inlineStr">
        <is>
          <t>HARTLEY VSOP BRANDY PET</t>
        </is>
      </c>
      <c r="E229" s="27" t="n">
        <v>120</v>
      </c>
      <c r="F229" s="28" t="n">
        <v>39.2</v>
      </c>
      <c r="G229" s="27" t="n">
        <v>1</v>
      </c>
      <c r="H229" s="27" t="n">
        <v>1</v>
      </c>
      <c r="I229" s="27" t="n">
        <v>1</v>
      </c>
      <c r="J229" s="27" t="n">
        <v>1</v>
      </c>
      <c r="K229" s="25" t="inlineStr">
        <is>
          <t>Shipped</t>
        </is>
      </c>
    </row>
    <row r="230">
      <c r="A230" s="25" t="inlineStr">
        <is>
          <t>R1226135</t>
        </is>
      </c>
      <c r="B230" s="78" t="n">
        <v>44428</v>
      </c>
      <c r="C230" s="25" t="inlineStr">
        <is>
          <t>74649</t>
        </is>
      </c>
      <c r="D230" s="25" t="inlineStr">
        <is>
          <t>HARTLEY VSOP BRANDY PET</t>
        </is>
      </c>
      <c r="E230" s="27" t="n">
        <v>120</v>
      </c>
      <c r="F230" s="28" t="n">
        <v>39.2</v>
      </c>
      <c r="G230" s="27" t="n">
        <v>1</v>
      </c>
      <c r="H230" s="27" t="n">
        <v>1</v>
      </c>
      <c r="I230" s="27" t="n">
        <v>1</v>
      </c>
      <c r="J230" s="27" t="n">
        <v>1</v>
      </c>
      <c r="K230" s="25" t="inlineStr">
        <is>
          <t>Shipped</t>
        </is>
      </c>
    </row>
    <row r="231">
      <c r="A231" s="25" t="inlineStr">
        <is>
          <t>R1235087</t>
        </is>
      </c>
      <c r="B231" s="78" t="n">
        <v>44432</v>
      </c>
      <c r="C231" s="25" t="inlineStr">
        <is>
          <t>74649</t>
        </is>
      </c>
      <c r="D231" s="25" t="inlineStr">
        <is>
          <t>HARTLEY VSOP BRANDY PET</t>
        </is>
      </c>
      <c r="E231" s="27" t="n">
        <v>120</v>
      </c>
      <c r="F231" s="28" t="n">
        <v>39.2</v>
      </c>
      <c r="G231" s="27" t="n">
        <v>1</v>
      </c>
      <c r="H231" s="27" t="n">
        <v>1</v>
      </c>
      <c r="I231" s="27" t="n">
        <v>1</v>
      </c>
      <c r="J231" s="27" t="n">
        <v>1</v>
      </c>
      <c r="K231" s="25" t="inlineStr">
        <is>
          <t>Shipped</t>
        </is>
      </c>
    </row>
    <row r="232">
      <c r="A232" s="25" t="inlineStr">
        <is>
          <t>R1292874</t>
        </is>
      </c>
      <c r="B232" s="78" t="n">
        <v>44501</v>
      </c>
      <c r="C232" s="25" t="inlineStr">
        <is>
          <t>74649</t>
        </is>
      </c>
      <c r="D232" s="25" t="inlineStr">
        <is>
          <t>HARTLEY VSOP BRANDY PET</t>
        </is>
      </c>
      <c r="E232" s="27" t="n">
        <v>120</v>
      </c>
      <c r="F232" s="28" t="n">
        <v>39.2</v>
      </c>
      <c r="G232" s="27" t="n">
        <v>5</v>
      </c>
      <c r="H232" s="27" t="n">
        <v>5</v>
      </c>
      <c r="I232" s="27" t="n">
        <v>5</v>
      </c>
      <c r="J232" s="27" t="n">
        <v>5</v>
      </c>
      <c r="K232" s="25" t="inlineStr">
        <is>
          <t>Shipped</t>
        </is>
      </c>
    </row>
    <row r="233">
      <c r="A233" s="25" t="inlineStr">
        <is>
          <t>R1349613</t>
        </is>
      </c>
      <c r="B233" s="78" t="n">
        <v>44536</v>
      </c>
      <c r="C233" s="25" t="inlineStr">
        <is>
          <t>74649</t>
        </is>
      </c>
      <c r="D233" s="25" t="inlineStr">
        <is>
          <t>HARTLEY VSOP BRANDY PET</t>
        </is>
      </c>
      <c r="E233" s="27" t="n">
        <v>120</v>
      </c>
      <c r="F233" s="28" t="n">
        <v>39.2</v>
      </c>
      <c r="G233" s="27" t="n">
        <v>3</v>
      </c>
      <c r="H233" s="27" t="n">
        <v>3</v>
      </c>
      <c r="I233" s="27" t="n">
        <v>3</v>
      </c>
      <c r="J233" s="27" t="n">
        <v>3</v>
      </c>
      <c r="K233" s="25" t="inlineStr">
        <is>
          <t>Shipped</t>
        </is>
      </c>
    </row>
    <row r="234">
      <c r="A234" s="25" t="inlineStr">
        <is>
          <t>R1292874A</t>
        </is>
      </c>
      <c r="B234" s="78" t="n">
        <v>44537</v>
      </c>
      <c r="C234" s="25" t="inlineStr">
        <is>
          <t>74649</t>
        </is>
      </c>
      <c r="D234" s="25" t="inlineStr">
        <is>
          <t>HARTLEY VSOP BRANDY PET</t>
        </is>
      </c>
      <c r="E234" s="27" t="n">
        <v>120</v>
      </c>
      <c r="F234" s="28" t="n">
        <v>39.2</v>
      </c>
      <c r="G234" s="27" t="n">
        <v>5</v>
      </c>
      <c r="H234" s="27" t="n">
        <v>5</v>
      </c>
      <c r="I234" s="27" t="n">
        <v>5</v>
      </c>
      <c r="J234" s="27" t="n">
        <v>5</v>
      </c>
      <c r="K234" s="25" t="inlineStr">
        <is>
          <t>Shipped</t>
        </is>
      </c>
    </row>
    <row r="235">
      <c r="A235" s="25" t="inlineStr">
        <is>
          <t>R1323821A</t>
        </is>
      </c>
      <c r="B235" s="78" t="n">
        <v>44523</v>
      </c>
      <c r="C235" s="25" t="inlineStr">
        <is>
          <t>48123</t>
        </is>
      </c>
      <c r="D235" s="25" t="inlineStr">
        <is>
          <t>HENNESSY X O</t>
        </is>
      </c>
      <c r="E235" s="27" t="n">
        <v>12</v>
      </c>
      <c r="F235" s="28" t="n">
        <v>799.91</v>
      </c>
      <c r="G235" s="27" t="n">
        <v>1</v>
      </c>
      <c r="H235" s="27" t="n">
        <v>1</v>
      </c>
      <c r="I235" s="27" t="n">
        <v>1</v>
      </c>
      <c r="J235" s="27" t="n">
        <v>1</v>
      </c>
      <c r="K235" s="25" t="inlineStr">
        <is>
          <t>Shipped</t>
        </is>
      </c>
    </row>
    <row r="236">
      <c r="A236" s="25" t="inlineStr">
        <is>
          <t>R1250261</t>
        </is>
      </c>
      <c r="B236" s="78" t="n">
        <v>44448</v>
      </c>
      <c r="C236" s="25" t="inlineStr">
        <is>
          <t>89330</t>
        </is>
      </c>
      <c r="D236" s="25" t="inlineStr">
        <is>
          <t>HERRADURA SELECCION SUPREMA GOLD TEQUILA</t>
        </is>
      </c>
      <c r="E236" s="27" t="n">
        <v>3</v>
      </c>
      <c r="F236" s="28" t="n">
        <v>691.8200000000001</v>
      </c>
      <c r="G236" s="27" t="n">
        <v>1</v>
      </c>
      <c r="H236" s="27" t="n">
        <v>1</v>
      </c>
      <c r="I236" s="27" t="n">
        <v>1</v>
      </c>
      <c r="J236" s="27" t="n">
        <v>1</v>
      </c>
      <c r="K236" s="25" t="inlineStr">
        <is>
          <t>Shipped</t>
        </is>
      </c>
    </row>
    <row r="237">
      <c r="A237" s="25" t="inlineStr">
        <is>
          <t>R1175252</t>
        </is>
      </c>
      <c r="B237" s="78" t="n">
        <v>44375</v>
      </c>
      <c r="C237" s="25" t="inlineStr">
        <is>
          <t>27094</t>
        </is>
      </c>
      <c r="D237" s="25" t="inlineStr">
        <is>
          <t>HIGH WEST RENDEZVOUS RYE WHISKEY</t>
        </is>
      </c>
      <c r="E237" s="27" t="n">
        <v>6</v>
      </c>
      <c r="F237" s="28" t="n">
        <v>346.12</v>
      </c>
      <c r="G237" s="27" t="n">
        <v>1</v>
      </c>
      <c r="H237" s="27" t="n">
        <v>1</v>
      </c>
      <c r="I237" s="27" t="n">
        <v>1</v>
      </c>
      <c r="J237" s="27" t="n">
        <v>1</v>
      </c>
      <c r="K237" s="25" t="inlineStr">
        <is>
          <t>Shipped</t>
        </is>
      </c>
    </row>
    <row r="238">
      <c r="A238" s="25" t="inlineStr">
        <is>
          <t>R1160442</t>
        </is>
      </c>
      <c r="B238" s="78" t="n">
        <v>44368</v>
      </c>
      <c r="C238" s="25" t="inlineStr">
        <is>
          <t>100172</t>
        </is>
      </c>
      <c r="D238" s="25" t="inlineStr">
        <is>
          <t>HORNITOS MIXED CASE TEQ</t>
        </is>
      </c>
      <c r="E238" s="27" t="n">
        <v>6</v>
      </c>
      <c r="F238" s="28" t="n">
        <v>203.06</v>
      </c>
      <c r="G238" s="27" t="n">
        <v>1</v>
      </c>
      <c r="H238" s="27" t="n">
        <v>1</v>
      </c>
      <c r="I238" s="27" t="n">
        <v>1</v>
      </c>
      <c r="J238" s="27" t="n">
        <v>1</v>
      </c>
      <c r="K238" s="25" t="inlineStr">
        <is>
          <t>Shipped</t>
        </is>
      </c>
    </row>
    <row r="239">
      <c r="A239" s="25" t="inlineStr">
        <is>
          <t>R974317A</t>
        </is>
      </c>
      <c r="B239" s="78" t="n">
        <v>44250</v>
      </c>
      <c r="C239" s="25" t="inlineStr">
        <is>
          <t>89832</t>
        </is>
      </c>
      <c r="D239" s="25" t="inlineStr">
        <is>
          <t>HORNITOS REPOSADO GOLD TEQUILA</t>
        </is>
      </c>
      <c r="E239" s="27" t="n">
        <v>24</v>
      </c>
      <c r="F239" s="28" t="n">
        <v>102.72</v>
      </c>
      <c r="G239" s="27" t="n">
        <v>1</v>
      </c>
      <c r="H239" s="27" t="n">
        <v>1</v>
      </c>
      <c r="I239" s="27" t="n">
        <v>1</v>
      </c>
      <c r="J239" s="27" t="n">
        <v>1</v>
      </c>
      <c r="K239" s="25" t="inlineStr">
        <is>
          <t>Shipped</t>
        </is>
      </c>
    </row>
    <row r="240">
      <c r="A240" s="25" t="inlineStr">
        <is>
          <t>R1014534</t>
        </is>
      </c>
      <c r="B240" s="78" t="n">
        <v>44232</v>
      </c>
      <c r="C240" s="25" t="inlineStr">
        <is>
          <t>33111</t>
        </is>
      </c>
      <c r="D240" s="25" t="inlineStr">
        <is>
          <t>INDOGGO STRAWBERRY GIN</t>
        </is>
      </c>
      <c r="E240" s="27" t="n">
        <v>60</v>
      </c>
      <c r="F240" s="28" t="n">
        <v>42.42</v>
      </c>
      <c r="G240" s="27" t="n">
        <v>10</v>
      </c>
      <c r="H240" s="27" t="n">
        <v>10</v>
      </c>
      <c r="I240" s="27" t="n">
        <v>10</v>
      </c>
      <c r="J240" s="27" t="n">
        <v>10</v>
      </c>
      <c r="K240" s="25" t="inlineStr">
        <is>
          <t>Shipped</t>
        </is>
      </c>
    </row>
    <row r="241">
      <c r="A241" s="25" t="inlineStr">
        <is>
          <t>R1146871</t>
        </is>
      </c>
      <c r="B241" s="78" t="n">
        <v>44363</v>
      </c>
      <c r="C241" s="25" t="inlineStr">
        <is>
          <t>33110</t>
        </is>
      </c>
      <c r="D241" s="25" t="inlineStr">
        <is>
          <t>INDOGGO STRAWBERRY GIN</t>
        </is>
      </c>
      <c r="E241" s="27" t="n">
        <v>12</v>
      </c>
      <c r="F241" s="28" t="n">
        <v>276.83</v>
      </c>
      <c r="G241" s="27" t="n">
        <v>5</v>
      </c>
      <c r="H241" s="27" t="n">
        <v>5</v>
      </c>
      <c r="I241" s="27" t="n">
        <v>5</v>
      </c>
      <c r="J241" s="27" t="n">
        <v>1</v>
      </c>
      <c r="K241" s="25" t="inlineStr">
        <is>
          <t>Shipped</t>
        </is>
      </c>
    </row>
    <row r="242">
      <c r="A242" s="25" t="inlineStr">
        <is>
          <t>R1196948</t>
        </is>
      </c>
      <c r="B242" s="78" t="n">
        <v>44412</v>
      </c>
      <c r="C242" s="25" t="inlineStr">
        <is>
          <t>33110</t>
        </is>
      </c>
      <c r="D242" s="25" t="inlineStr">
        <is>
          <t>INDOGGO STRAWBERRY GIN</t>
        </is>
      </c>
      <c r="E242" s="27" t="n">
        <v>12</v>
      </c>
      <c r="F242" s="28" t="n">
        <v>276.83</v>
      </c>
      <c r="G242" s="27" t="n">
        <v>3</v>
      </c>
      <c r="H242" s="27" t="n">
        <v>3</v>
      </c>
      <c r="I242" s="27" t="n">
        <v>3</v>
      </c>
      <c r="J242" s="27" t="n">
        <v>2</v>
      </c>
      <c r="K242" s="25" t="inlineStr">
        <is>
          <t>Shipped</t>
        </is>
      </c>
    </row>
    <row r="243">
      <c r="A243" s="25" t="inlineStr">
        <is>
          <t>R1220126</t>
        </is>
      </c>
      <c r="B243" s="78" t="n">
        <v>44419</v>
      </c>
      <c r="C243" s="25" t="inlineStr">
        <is>
          <t>33110</t>
        </is>
      </c>
      <c r="D243" s="25" t="inlineStr">
        <is>
          <t>INDOGGO STRAWBERRY GIN</t>
        </is>
      </c>
      <c r="E243" s="27" t="n">
        <v>12</v>
      </c>
      <c r="F243" s="28" t="n">
        <v>276.83</v>
      </c>
      <c r="G243" s="27" t="n">
        <v>1</v>
      </c>
      <c r="H243" s="27" t="n">
        <v>1</v>
      </c>
      <c r="I243" s="27" t="n">
        <v>1</v>
      </c>
      <c r="J243" s="27" t="n">
        <v>1</v>
      </c>
      <c r="K243" s="25" t="inlineStr">
        <is>
          <t>Shipped</t>
        </is>
      </c>
    </row>
    <row r="244">
      <c r="A244" s="25" t="inlineStr">
        <is>
          <t>R1221019</t>
        </is>
      </c>
      <c r="B244" s="78" t="n">
        <v>44427</v>
      </c>
      <c r="C244" s="25" t="inlineStr">
        <is>
          <t>33110</t>
        </is>
      </c>
      <c r="D244" s="25" t="inlineStr">
        <is>
          <t>INDOGGO STRAWBERRY GIN</t>
        </is>
      </c>
      <c r="E244" s="27" t="n">
        <v>12</v>
      </c>
      <c r="F244" s="28" t="n">
        <v>276.83</v>
      </c>
      <c r="G244" s="27" t="n">
        <v>1</v>
      </c>
      <c r="H244" s="27" t="n">
        <v>1</v>
      </c>
      <c r="I244" s="27" t="n">
        <v>1</v>
      </c>
      <c r="J244" s="27" t="n">
        <v>1</v>
      </c>
      <c r="K244" s="25" t="inlineStr">
        <is>
          <t>Shipped</t>
        </is>
      </c>
    </row>
    <row r="245">
      <c r="A245" s="25" t="inlineStr">
        <is>
          <t>R1295419</t>
        </is>
      </c>
      <c r="B245" s="78" t="n">
        <v>44476</v>
      </c>
      <c r="C245" s="25" t="inlineStr">
        <is>
          <t>26352</t>
        </is>
      </c>
      <c r="D245" s="25" t="inlineStr">
        <is>
          <t>JACK DANIELS 10 YEARS OLD TENN WHISKEY</t>
        </is>
      </c>
      <c r="E245" s="27" t="n">
        <v>6</v>
      </c>
      <c r="F245" s="28" t="n">
        <v>323.03</v>
      </c>
      <c r="G245" s="27" t="n">
        <v>1</v>
      </c>
      <c r="H245" s="27" t="n">
        <v>1</v>
      </c>
      <c r="I245" s="27" t="n">
        <v>1</v>
      </c>
      <c r="J245" s="27" t="n">
        <v>1</v>
      </c>
      <c r="K245" s="25" t="inlineStr">
        <is>
          <t>Shipped</t>
        </is>
      </c>
    </row>
    <row r="246">
      <c r="A246" s="25" t="inlineStr">
        <is>
          <t>R1132814</t>
        </is>
      </c>
      <c r="B246" s="78" t="n">
        <v>44341</v>
      </c>
      <c r="C246" s="25" t="inlineStr">
        <is>
          <t>26567</t>
        </is>
      </c>
      <c r="D246" s="25" t="inlineStr">
        <is>
          <t>JACK DANIEL'S SINGLE BARREL - ERIC CHURCH</t>
        </is>
      </c>
      <c r="E246" s="27" t="n">
        <v>6</v>
      </c>
      <c r="F246" s="28" t="n">
        <v>253.8</v>
      </c>
      <c r="G246" s="27" t="n">
        <v>1</v>
      </c>
      <c r="H246" s="27" t="n">
        <v>1</v>
      </c>
      <c r="I246" s="27" t="n">
        <v>1</v>
      </c>
      <c r="J246" s="27" t="n">
        <v>1</v>
      </c>
      <c r="K246" s="25" t="inlineStr">
        <is>
          <t>Shipped</t>
        </is>
      </c>
    </row>
    <row r="247">
      <c r="A247" s="25" t="inlineStr">
        <is>
          <t>R1178306</t>
        </is>
      </c>
      <c r="B247" s="78" t="n">
        <v>44390</v>
      </c>
      <c r="C247" s="25" t="inlineStr">
        <is>
          <t>26567</t>
        </is>
      </c>
      <c r="D247" s="25" t="inlineStr">
        <is>
          <t>JACK DANIEL'S SINGLE BARREL - ERIC CHURCH</t>
        </is>
      </c>
      <c r="E247" s="27" t="n">
        <v>6</v>
      </c>
      <c r="F247" s="28" t="n">
        <v>253.8</v>
      </c>
      <c r="G247" s="27" t="n">
        <v>1</v>
      </c>
      <c r="H247" s="27" t="n">
        <v>1</v>
      </c>
      <c r="I247" s="27" t="n">
        <v>1</v>
      </c>
      <c r="J247" s="27" t="n">
        <v>1</v>
      </c>
      <c r="K247" s="25" t="inlineStr">
        <is>
          <t>Shipped</t>
        </is>
      </c>
    </row>
    <row r="248">
      <c r="A248" s="25" t="inlineStr">
        <is>
          <t>R1040988</t>
        </is>
      </c>
      <c r="B248" s="78" t="n">
        <v>44257</v>
      </c>
      <c r="C248" s="25" t="inlineStr">
        <is>
          <t>579316</t>
        </is>
      </c>
      <c r="D248" s="25" t="inlineStr">
        <is>
          <t>JAM CELLARS SUGAR SWEET WHITE</t>
        </is>
      </c>
      <c r="E248" s="27" t="n">
        <v>12</v>
      </c>
      <c r="F248" s="28" t="n">
        <v>124.36</v>
      </c>
      <c r="G248" s="27" t="n">
        <v>5</v>
      </c>
      <c r="H248" s="27" t="n">
        <v>5</v>
      </c>
      <c r="I248" s="27" t="n">
        <v>5</v>
      </c>
      <c r="J248" s="27" t="n">
        <v>5</v>
      </c>
      <c r="K248" s="25" t="inlineStr">
        <is>
          <t>Shipped</t>
        </is>
      </c>
    </row>
    <row r="249">
      <c r="A249" s="25" t="inlineStr">
        <is>
          <t>R1020515</t>
        </is>
      </c>
      <c r="B249" s="78" t="n">
        <v>44211</v>
      </c>
      <c r="C249" s="25" t="inlineStr">
        <is>
          <t>15779</t>
        </is>
      </c>
      <c r="D249" s="25" t="inlineStr">
        <is>
          <t>JAMESON BLACK BARREL IRISH WHISKEY</t>
        </is>
      </c>
      <c r="E249" s="27" t="n">
        <v>12</v>
      </c>
      <c r="F249" s="28" t="n">
        <v>104.49</v>
      </c>
      <c r="G249" s="27" t="n">
        <v>2</v>
      </c>
      <c r="H249" s="27" t="n">
        <v>2</v>
      </c>
      <c r="I249" s="27" t="n">
        <v>2</v>
      </c>
      <c r="J249" s="27" t="n">
        <v>2</v>
      </c>
      <c r="K249" s="25" t="inlineStr">
        <is>
          <t>Shipped</t>
        </is>
      </c>
    </row>
    <row r="250">
      <c r="A250" s="25" t="inlineStr">
        <is>
          <t>R1250630</t>
        </is>
      </c>
      <c r="B250" s="78" t="n">
        <v>44446</v>
      </c>
      <c r="C250" s="25" t="inlineStr">
        <is>
          <t>15779</t>
        </is>
      </c>
      <c r="D250" s="25" t="inlineStr">
        <is>
          <t>JAMESON BLACK BARREL IRISH WHISKEY</t>
        </is>
      </c>
      <c r="E250" s="27" t="n">
        <v>12</v>
      </c>
      <c r="F250" s="28" t="n">
        <v>128.52</v>
      </c>
      <c r="G250" s="27" t="n">
        <v>1</v>
      </c>
      <c r="H250" s="27" t="n">
        <v>1</v>
      </c>
      <c r="I250" s="27" t="n">
        <v>1</v>
      </c>
      <c r="J250" s="27" t="n">
        <v>1</v>
      </c>
      <c r="K250" s="25" t="inlineStr">
        <is>
          <t>Shipped</t>
        </is>
      </c>
    </row>
    <row r="251">
      <c r="A251" s="25" t="inlineStr">
        <is>
          <t>R1327630</t>
        </is>
      </c>
      <c r="B251" s="78" t="n">
        <v>44517</v>
      </c>
      <c r="C251" s="25" t="inlineStr">
        <is>
          <t>101271</t>
        </is>
      </c>
      <c r="D251" s="25" t="inlineStr">
        <is>
          <t>JAMESON W/ 2 50ML BLACK BARREL &amp; COLD BREW</t>
        </is>
      </c>
      <c r="E251" s="27" t="n">
        <v>6</v>
      </c>
      <c r="F251" s="28" t="n">
        <v>129.18</v>
      </c>
      <c r="G251" s="27" t="n">
        <v>2</v>
      </c>
      <c r="H251" s="27" t="n">
        <v>2</v>
      </c>
      <c r="I251" s="27" t="n">
        <v>2</v>
      </c>
      <c r="J251" s="27" t="n">
        <v>2</v>
      </c>
      <c r="K251" s="25" t="inlineStr">
        <is>
          <t>Shipped</t>
        </is>
      </c>
    </row>
    <row r="252">
      <c r="A252" s="25" t="inlineStr">
        <is>
          <t>R1100041A</t>
        </is>
      </c>
      <c r="B252" s="78" t="n">
        <v>44334</v>
      </c>
      <c r="C252" s="25" t="inlineStr">
        <is>
          <t>949215</t>
        </is>
      </c>
      <c r="D252" s="25" t="inlineStr">
        <is>
          <t>JEFFERSON'S TWIN OAK BARREL- JAMIES EUBANKS PICK</t>
        </is>
      </c>
      <c r="E252" s="27" t="n">
        <v>6</v>
      </c>
      <c r="F252" s="28" t="n">
        <v>369.18</v>
      </c>
      <c r="G252" s="27" t="n">
        <v>1</v>
      </c>
      <c r="H252" s="27" t="n">
        <v>1</v>
      </c>
      <c r="I252" s="27" t="n">
        <v>1</v>
      </c>
      <c r="J252" s="27" t="n">
        <v>1</v>
      </c>
      <c r="K252" s="25" t="inlineStr">
        <is>
          <t>Shipped</t>
        </is>
      </c>
    </row>
    <row r="253">
      <c r="A253" s="25" t="inlineStr">
        <is>
          <t>R1158613</t>
        </is>
      </c>
      <c r="B253" s="78" t="n">
        <v>44368</v>
      </c>
      <c r="C253" s="25" t="inlineStr">
        <is>
          <t>101126</t>
        </is>
      </c>
      <c r="D253" s="25" t="inlineStr">
        <is>
          <t>JIM BEAM FLAVORS 50ML VARIETY PACK</t>
        </is>
      </c>
      <c r="E253" s="27" t="n">
        <v>120</v>
      </c>
      <c r="F253" s="28" t="n">
        <v>76.81</v>
      </c>
      <c r="G253" s="27" t="n">
        <v>1</v>
      </c>
      <c r="H253" s="27" t="n">
        <v>1</v>
      </c>
      <c r="I253" s="27" t="n">
        <v>1</v>
      </c>
      <c r="J253" s="27" t="n">
        <v>1</v>
      </c>
      <c r="K253" s="25" t="inlineStr">
        <is>
          <t>Shipped</t>
        </is>
      </c>
    </row>
    <row r="254">
      <c r="A254" s="25" t="inlineStr">
        <is>
          <t>R1148014A</t>
        </is>
      </c>
      <c r="B254" s="78" t="n">
        <v>44369</v>
      </c>
      <c r="C254" s="25" t="inlineStr">
        <is>
          <t>101126</t>
        </is>
      </c>
      <c r="D254" s="25" t="inlineStr">
        <is>
          <t>JIM BEAM FLAVORS 50ML VARIETY PACK</t>
        </is>
      </c>
      <c r="E254" s="27" t="n">
        <v>120</v>
      </c>
      <c r="F254" s="28" t="n">
        <v>76.81</v>
      </c>
      <c r="G254" s="27" t="n">
        <v>1</v>
      </c>
      <c r="H254" s="27" t="n">
        <v>1</v>
      </c>
      <c r="I254" s="27" t="n">
        <v>1</v>
      </c>
      <c r="J254" s="27" t="n">
        <v>1</v>
      </c>
      <c r="K254" s="25" t="inlineStr">
        <is>
          <t>Shipped</t>
        </is>
      </c>
    </row>
    <row r="255">
      <c r="A255" s="25" t="inlineStr">
        <is>
          <t>R1083254</t>
        </is>
      </c>
      <c r="B255" s="78" t="n">
        <v>44292</v>
      </c>
      <c r="C255" s="25" t="inlineStr">
        <is>
          <t>26370</t>
        </is>
      </c>
      <c r="D255" s="25" t="inlineStr">
        <is>
          <t>JIM BEAM ORANGE FLAVORED WHISKEY</t>
        </is>
      </c>
      <c r="E255" s="27" t="n">
        <v>12</v>
      </c>
      <c r="F255" s="28" t="n">
        <v>156.89</v>
      </c>
      <c r="G255" s="27" t="n">
        <v>1</v>
      </c>
      <c r="H255" s="27" t="n">
        <v>1</v>
      </c>
      <c r="I255" s="27" t="n">
        <v>1</v>
      </c>
      <c r="J255" s="27" t="n">
        <v>1</v>
      </c>
      <c r="K255" s="25" t="inlineStr">
        <is>
          <t>Shipped</t>
        </is>
      </c>
    </row>
    <row r="256">
      <c r="A256" s="25" t="inlineStr">
        <is>
          <t>R1083254A</t>
        </is>
      </c>
      <c r="B256" s="78" t="n">
        <v>44321</v>
      </c>
      <c r="C256" s="25" t="inlineStr">
        <is>
          <t>26373</t>
        </is>
      </c>
      <c r="D256" s="25" t="inlineStr">
        <is>
          <t>JIM BEAM ORANGE FLAVORED WHISKEY</t>
        </is>
      </c>
      <c r="E256" s="27" t="n">
        <v>120</v>
      </c>
      <c r="F256" s="28" t="n">
        <v>85.73</v>
      </c>
      <c r="G256" s="27" t="n">
        <v>1</v>
      </c>
      <c r="H256" s="27" t="n">
        <v>1</v>
      </c>
      <c r="I256" s="27" t="n">
        <v>1</v>
      </c>
      <c r="J256" s="27" t="n">
        <v>1</v>
      </c>
      <c r="K256" s="25" t="inlineStr">
        <is>
          <t>Shipped</t>
        </is>
      </c>
    </row>
    <row r="257">
      <c r="A257" s="25" t="inlineStr">
        <is>
          <t>R1096787</t>
        </is>
      </c>
      <c r="B257" s="78" t="n">
        <v>44315</v>
      </c>
      <c r="C257" s="25" t="inlineStr">
        <is>
          <t>19116</t>
        </is>
      </c>
      <c r="D257" s="25" t="inlineStr">
        <is>
          <t>JIM BEAM SINGLE BARREL KENTUCKY STRAIGHT BOURBON</t>
        </is>
      </c>
      <c r="E257" s="27" t="n">
        <v>6</v>
      </c>
      <c r="F257" s="28" t="n">
        <v>184.59</v>
      </c>
      <c r="G257" s="27" t="n">
        <v>1</v>
      </c>
      <c r="H257" s="27" t="n">
        <v>1</v>
      </c>
      <c r="I257" s="27" t="n">
        <v>1</v>
      </c>
      <c r="J257" s="27" t="n">
        <v>1</v>
      </c>
      <c r="K257" s="25" t="inlineStr">
        <is>
          <t>Shipped</t>
        </is>
      </c>
    </row>
    <row r="258">
      <c r="A258" s="25" t="inlineStr">
        <is>
          <t>R997421</t>
        </is>
      </c>
      <c r="B258" s="78" t="n">
        <v>44204</v>
      </c>
      <c r="C258" s="25" t="inlineStr">
        <is>
          <t>5242</t>
        </is>
      </c>
      <c r="D258" s="25" t="inlineStr">
        <is>
          <t>JOHNNIE WALKER 18 YEAR BLENDED SCOTCH</t>
        </is>
      </c>
      <c r="E258" s="27" t="n">
        <v>6</v>
      </c>
      <c r="F258" s="28" t="n">
        <v>392.87</v>
      </c>
      <c r="G258" s="27" t="n">
        <v>1</v>
      </c>
      <c r="H258" s="27" t="n">
        <v>1</v>
      </c>
      <c r="I258" s="27" t="n">
        <v>1</v>
      </c>
      <c r="J258" s="27" t="n">
        <v>1</v>
      </c>
      <c r="K258" s="25" t="inlineStr">
        <is>
          <t>Shipped</t>
        </is>
      </c>
    </row>
    <row r="259">
      <c r="A259" s="25" t="inlineStr">
        <is>
          <t>R1251166</t>
        </is>
      </c>
      <c r="B259" s="78" t="n">
        <v>44459</v>
      </c>
      <c r="C259" s="25" t="inlineStr">
        <is>
          <t>866</t>
        </is>
      </c>
      <c r="D259" s="25" t="inlineStr">
        <is>
          <t>JOHNNIE WALKER BLUE W GLASSES IN RIGID BOX</t>
        </is>
      </c>
      <c r="E259" s="27" t="n">
        <v>3</v>
      </c>
      <c r="F259" s="28" t="n">
        <v>561.29</v>
      </c>
      <c r="G259" s="27" t="n">
        <v>1</v>
      </c>
      <c r="H259" s="27" t="n">
        <v>1</v>
      </c>
      <c r="I259" s="27" t="n">
        <v>1</v>
      </c>
      <c r="J259" s="27" t="n">
        <v>1</v>
      </c>
      <c r="K259" s="25" t="inlineStr">
        <is>
          <t>Shipped</t>
        </is>
      </c>
    </row>
    <row r="260">
      <c r="A260" s="25" t="inlineStr">
        <is>
          <t>R1019736</t>
        </is>
      </c>
      <c r="B260" s="78" t="n">
        <v>44232</v>
      </c>
      <c r="C260" s="25" t="inlineStr">
        <is>
          <t>58925</t>
        </is>
      </c>
      <c r="D260" s="25" t="inlineStr">
        <is>
          <t>JOSE CUERVO AUTHENTIC STRAWBERRY LIGHT RTD</t>
        </is>
      </c>
      <c r="E260" s="27" t="n">
        <v>6</v>
      </c>
      <c r="F260" s="28" t="n">
        <v>92.27</v>
      </c>
      <c r="G260" s="27" t="n">
        <v>1</v>
      </c>
      <c r="H260" s="27" t="n">
        <v>1</v>
      </c>
      <c r="I260" s="27" t="n">
        <v>1</v>
      </c>
      <c r="J260" s="27" t="n">
        <v>1</v>
      </c>
      <c r="K260" s="25" t="inlineStr">
        <is>
          <t>Shipped</t>
        </is>
      </c>
    </row>
    <row r="261">
      <c r="A261" s="25" t="inlineStr">
        <is>
          <t>R1024982A</t>
        </is>
      </c>
      <c r="B261" s="78" t="n">
        <v>44309</v>
      </c>
      <c r="C261" s="25" t="inlineStr">
        <is>
          <t>88961</t>
        </is>
      </c>
      <c r="D261" s="25" t="inlineStr">
        <is>
          <t>JOSE CUERVO TRADICIONAL REPOSADO</t>
        </is>
      </c>
      <c r="E261" s="27" t="n">
        <v>60</v>
      </c>
      <c r="F261" s="28" t="n">
        <v>61.83</v>
      </c>
      <c r="G261" s="27" t="n">
        <v>1</v>
      </c>
      <c r="H261" s="27" t="n">
        <v>1</v>
      </c>
      <c r="I261" s="27" t="n">
        <v>1</v>
      </c>
      <c r="J261" s="27" t="n">
        <v>1</v>
      </c>
      <c r="K261" s="25" t="inlineStr">
        <is>
          <t>Shipped</t>
        </is>
      </c>
    </row>
    <row r="262">
      <c r="A262" s="25" t="inlineStr">
        <is>
          <t>R1093083A</t>
        </is>
      </c>
      <c r="B262" s="78" t="n">
        <v>44329</v>
      </c>
      <c r="C262" s="25" t="inlineStr">
        <is>
          <t>88961</t>
        </is>
      </c>
      <c r="D262" s="25" t="inlineStr">
        <is>
          <t>JOSE CUERVO TRADICIONAL REPOSADO</t>
        </is>
      </c>
      <c r="E262" s="27" t="n">
        <v>60</v>
      </c>
      <c r="F262" s="28" t="n">
        <v>61.83</v>
      </c>
      <c r="G262" s="27" t="n">
        <v>1</v>
      </c>
      <c r="H262" s="27" t="n">
        <v>1</v>
      </c>
      <c r="I262" s="27" t="n">
        <v>1</v>
      </c>
      <c r="J262" s="27" t="n">
        <v>1</v>
      </c>
      <c r="K262" s="25" t="inlineStr">
        <is>
          <t>Shipped</t>
        </is>
      </c>
    </row>
    <row r="263">
      <c r="A263" s="25" t="inlineStr">
        <is>
          <t>R1024982</t>
        </is>
      </c>
      <c r="B263" s="78" t="n">
        <v>44253</v>
      </c>
      <c r="C263" s="25" t="inlineStr">
        <is>
          <t>87411</t>
        </is>
      </c>
      <c r="D263" s="25" t="inlineStr">
        <is>
          <t>JOSE CUERVO TRADICIONAL SILVER</t>
        </is>
      </c>
      <c r="E263" s="27" t="n">
        <v>60</v>
      </c>
      <c r="F263" s="28" t="n">
        <v>61.83</v>
      </c>
      <c r="G263" s="27" t="n">
        <v>1</v>
      </c>
      <c r="H263" s="27" t="n">
        <v>1</v>
      </c>
      <c r="I263" s="27" t="n">
        <v>1</v>
      </c>
      <c r="J263" s="27" t="n">
        <v>1</v>
      </c>
      <c r="K263" s="25" t="inlineStr">
        <is>
          <t>Shipped</t>
        </is>
      </c>
    </row>
    <row r="264">
      <c r="A264" s="25" t="inlineStr">
        <is>
          <t>R1093083</t>
        </is>
      </c>
      <c r="B264" s="78" t="n">
        <v>44308</v>
      </c>
      <c r="C264" s="25" t="inlineStr">
        <is>
          <t>87411</t>
        </is>
      </c>
      <c r="D264" s="25" t="inlineStr">
        <is>
          <t>JOSE CUERVO TRADICIONAL SILVER</t>
        </is>
      </c>
      <c r="E264" s="27" t="n">
        <v>60</v>
      </c>
      <c r="F264" s="28" t="n">
        <v>61.83</v>
      </c>
      <c r="G264" s="27" t="n">
        <v>1</v>
      </c>
      <c r="H264" s="27" t="n">
        <v>1</v>
      </c>
      <c r="I264" s="27" t="n">
        <v>1</v>
      </c>
      <c r="J264" s="27" t="n">
        <v>1</v>
      </c>
      <c r="K264" s="25" t="inlineStr">
        <is>
          <t>Shipped</t>
        </is>
      </c>
    </row>
    <row r="265">
      <c r="A265" s="25" t="inlineStr">
        <is>
          <t>R1099484</t>
        </is>
      </c>
      <c r="B265" s="78" t="n">
        <v>44321</v>
      </c>
      <c r="C265" s="25" t="inlineStr">
        <is>
          <t>728632</t>
        </is>
      </c>
      <c r="D265" s="25" t="inlineStr">
        <is>
          <t>JOSH CELLARS PROSECCO ROSE</t>
        </is>
      </c>
      <c r="E265" s="27" t="n">
        <v>12</v>
      </c>
      <c r="F265" s="28" t="n">
        <v>120.03</v>
      </c>
      <c r="G265" s="27" t="n">
        <v>1</v>
      </c>
      <c r="H265" s="27" t="n">
        <v>1</v>
      </c>
      <c r="I265" s="27" t="n">
        <v>1</v>
      </c>
      <c r="J265" s="27" t="n">
        <v>1</v>
      </c>
      <c r="K265" s="25" t="inlineStr">
        <is>
          <t>Shipped</t>
        </is>
      </c>
    </row>
    <row r="266">
      <c r="A266" s="25" t="inlineStr">
        <is>
          <t>R1276936</t>
        </is>
      </c>
      <c r="B266" s="78" t="n">
        <v>44480</v>
      </c>
      <c r="C266" s="25" t="inlineStr">
        <is>
          <t>647</t>
        </is>
      </c>
      <c r="D266" s="25" t="inlineStr">
        <is>
          <t>KAHLUA RUM &amp; COFFEE W/50ML ABSOLUT &amp; GLASS</t>
        </is>
      </c>
      <c r="E266" s="27" t="n">
        <v>6</v>
      </c>
      <c r="F266" s="28" t="n">
        <v>101.69</v>
      </c>
      <c r="G266" s="27" t="n">
        <v>1</v>
      </c>
      <c r="H266" s="27" t="n">
        <v>1</v>
      </c>
      <c r="I266" s="27" t="n">
        <v>1</v>
      </c>
      <c r="J266" s="27" t="n">
        <v>1</v>
      </c>
      <c r="K266" s="25" t="inlineStr">
        <is>
          <t>Shipped</t>
        </is>
      </c>
    </row>
    <row r="267">
      <c r="A267" s="25" t="inlineStr">
        <is>
          <t>R1125463A</t>
        </is>
      </c>
      <c r="B267" s="78" t="n">
        <v>44334</v>
      </c>
      <c r="C267" s="25" t="inlineStr">
        <is>
          <t>19239</t>
        </is>
      </c>
      <c r="D267" s="25" t="inlineStr">
        <is>
          <t>KNOB CREEK 12 YEAR SMALL BATCH</t>
        </is>
      </c>
      <c r="E267" s="27" t="n">
        <v>6</v>
      </c>
      <c r="F267" s="28" t="n">
        <v>276.9</v>
      </c>
      <c r="G267" s="27" t="n">
        <v>2</v>
      </c>
      <c r="H267" s="27" t="n">
        <v>2</v>
      </c>
      <c r="I267" s="27" t="n">
        <v>2</v>
      </c>
      <c r="J267" s="27" t="n">
        <v>2</v>
      </c>
      <c r="K267" s="25" t="inlineStr">
        <is>
          <t>Shipped</t>
        </is>
      </c>
    </row>
    <row r="268">
      <c r="A268" s="25" t="inlineStr">
        <is>
          <t>R1016358</t>
        </is>
      </c>
      <c r="B268" s="78" t="n">
        <v>44225</v>
      </c>
      <c r="C268" s="25" t="inlineStr">
        <is>
          <t>709342</t>
        </is>
      </c>
      <c r="D268" s="25" t="inlineStr">
        <is>
          <t>LE CHEMIN DU ROI BRUT CHAMPAGNE</t>
        </is>
      </c>
      <c r="E268" s="27" t="n">
        <v>6</v>
      </c>
      <c r="F268" s="28" t="n">
        <v>711.0700000000001</v>
      </c>
      <c r="G268" s="27" t="n">
        <v>1</v>
      </c>
      <c r="H268" s="27" t="n">
        <v>1</v>
      </c>
      <c r="I268" s="27" t="n">
        <v>1</v>
      </c>
      <c r="J268" s="27" t="n">
        <v>1</v>
      </c>
      <c r="K268" s="25" t="inlineStr">
        <is>
          <t>Shipped</t>
        </is>
      </c>
    </row>
    <row r="269">
      <c r="A269" s="25" t="inlineStr">
        <is>
          <t>R1174360</t>
        </is>
      </c>
      <c r="B269" s="78" t="n">
        <v>44396</v>
      </c>
      <c r="C269" s="25" t="inlineStr">
        <is>
          <t>709342</t>
        </is>
      </c>
      <c r="D269" s="25" t="inlineStr">
        <is>
          <t>LE CHEMIN DU ROI BRUT CHAMPAGNE</t>
        </is>
      </c>
      <c r="E269" s="27" t="n">
        <v>6</v>
      </c>
      <c r="F269" s="28" t="n">
        <v>711.0700000000001</v>
      </c>
      <c r="G269" s="27" t="n">
        <v>1</v>
      </c>
      <c r="H269" s="27" t="n">
        <v>1</v>
      </c>
      <c r="I269" s="27" t="n">
        <v>1</v>
      </c>
      <c r="J269" s="27" t="n">
        <v>1</v>
      </c>
      <c r="K269" s="25" t="inlineStr">
        <is>
          <t>Shipped</t>
        </is>
      </c>
    </row>
    <row r="270">
      <c r="A270" s="25" t="inlineStr">
        <is>
          <t>R1016358</t>
        </is>
      </c>
      <c r="B270" s="78" t="n">
        <v>44225</v>
      </c>
      <c r="C270" s="25" t="inlineStr">
        <is>
          <t>709344</t>
        </is>
      </c>
      <c r="D270" s="25" t="inlineStr">
        <is>
          <t>LE CHEMIN DU RON ROSE CHAMPAGNE</t>
        </is>
      </c>
      <c r="E270" s="27" t="n">
        <v>6</v>
      </c>
      <c r="F270" s="28" t="n">
        <v>1444.39</v>
      </c>
      <c r="G270" s="27" t="n">
        <v>1</v>
      </c>
      <c r="H270" s="27" t="n">
        <v>1</v>
      </c>
      <c r="I270" s="27" t="n">
        <v>1</v>
      </c>
      <c r="J270" s="27" t="n">
        <v>1</v>
      </c>
      <c r="K270" s="25" t="inlineStr">
        <is>
          <t>Shipped</t>
        </is>
      </c>
    </row>
    <row r="271">
      <c r="A271" s="25" t="inlineStr">
        <is>
          <t>R1022369</t>
        </is>
      </c>
      <c r="B271" s="78" t="n">
        <v>44237</v>
      </c>
      <c r="C271" s="25" t="inlineStr">
        <is>
          <t>86582</t>
        </is>
      </c>
      <c r="D271" s="25" t="inlineStr">
        <is>
          <t>LEGENT TWO TRUE LEGENDS</t>
        </is>
      </c>
      <c r="E271" s="27" t="n">
        <v>6</v>
      </c>
      <c r="F271" s="28" t="n">
        <v>184.59</v>
      </c>
      <c r="G271" s="27" t="n">
        <v>2</v>
      </c>
      <c r="H271" s="27" t="n">
        <v>2</v>
      </c>
      <c r="I271" s="27" t="n">
        <v>2</v>
      </c>
      <c r="J271" s="27" t="n">
        <v>2</v>
      </c>
      <c r="K271" s="25" t="inlineStr">
        <is>
          <t>Shipped</t>
        </is>
      </c>
    </row>
    <row r="272">
      <c r="A272" s="25" t="inlineStr">
        <is>
          <t>R1106327</t>
        </is>
      </c>
      <c r="B272" s="78" t="n">
        <v>44307</v>
      </c>
      <c r="C272" s="25" t="inlineStr">
        <is>
          <t>86582</t>
        </is>
      </c>
      <c r="D272" s="25" t="inlineStr">
        <is>
          <t>LEGENT TWO TRUE LEGENDS</t>
        </is>
      </c>
      <c r="E272" s="27" t="n">
        <v>6</v>
      </c>
      <c r="F272" s="28" t="n">
        <v>184.59</v>
      </c>
      <c r="G272" s="27" t="n">
        <v>2</v>
      </c>
      <c r="H272" s="27" t="n">
        <v>2</v>
      </c>
      <c r="I272" s="27" t="n">
        <v>2</v>
      </c>
      <c r="J272" s="27" t="n">
        <v>2</v>
      </c>
      <c r="K272" s="25" t="inlineStr">
        <is>
          <t>Shipped</t>
        </is>
      </c>
    </row>
    <row r="273">
      <c r="A273" s="25" t="inlineStr">
        <is>
          <t>R1148014</t>
        </is>
      </c>
      <c r="B273" s="78" t="n">
        <v>44362</v>
      </c>
      <c r="C273" s="25" t="inlineStr">
        <is>
          <t>86582</t>
        </is>
      </c>
      <c r="D273" s="25" t="inlineStr">
        <is>
          <t>LEGENT TWO TRUE LEGENDS</t>
        </is>
      </c>
      <c r="E273" s="27" t="n">
        <v>6</v>
      </c>
      <c r="F273" s="28" t="n">
        <v>184.59</v>
      </c>
      <c r="G273" s="27" t="n">
        <v>1</v>
      </c>
      <c r="H273" s="27" t="n">
        <v>1</v>
      </c>
      <c r="I273" s="27" t="n">
        <v>1</v>
      </c>
      <c r="J273" s="27" t="n">
        <v>1</v>
      </c>
      <c r="K273" s="25" t="inlineStr">
        <is>
          <t>Shipped</t>
        </is>
      </c>
    </row>
    <row r="274">
      <c r="A274" s="25" t="inlineStr">
        <is>
          <t>R1222181A</t>
        </is>
      </c>
      <c r="B274" s="78" t="n">
        <v>44448</v>
      </c>
      <c r="C274" s="25" t="inlineStr">
        <is>
          <t>888056</t>
        </is>
      </c>
      <c r="D274" s="25" t="inlineStr">
        <is>
          <t>LIQS COCKTAILS MOJITO</t>
        </is>
      </c>
      <c r="E274" s="27" t="n">
        <v>6</v>
      </c>
      <c r="F274" s="28" t="n">
        <v>59.95</v>
      </c>
      <c r="G274" s="27" t="n">
        <v>2</v>
      </c>
      <c r="H274" s="27" t="n">
        <v>2</v>
      </c>
      <c r="I274" s="27" t="n">
        <v>2</v>
      </c>
      <c r="J274" s="27" t="n">
        <v>2</v>
      </c>
      <c r="K274" s="25" t="inlineStr">
        <is>
          <t>Shipped</t>
        </is>
      </c>
    </row>
    <row r="275">
      <c r="A275" s="25" t="inlineStr">
        <is>
          <t>R1252636</t>
        </is>
      </c>
      <c r="B275" s="78" t="n">
        <v>44460</v>
      </c>
      <c r="C275" s="25" t="inlineStr">
        <is>
          <t>888067</t>
        </is>
      </c>
      <c r="D275" s="25" t="inlineStr">
        <is>
          <t>LIQS COCKTAILS STRAWBERRY MARGARITA</t>
        </is>
      </c>
      <c r="E275" s="27" t="n">
        <v>6</v>
      </c>
      <c r="F275" s="28" t="n">
        <v>59.95</v>
      </c>
      <c r="G275" s="27" t="n">
        <v>4</v>
      </c>
      <c r="H275" s="27" t="n">
        <v>4</v>
      </c>
      <c r="I275" s="27" t="n">
        <v>4</v>
      </c>
      <c r="J275" s="27" t="n">
        <v>4</v>
      </c>
      <c r="K275" s="25" t="inlineStr">
        <is>
          <t>Shipped</t>
        </is>
      </c>
    </row>
    <row r="276">
      <c r="A276" s="25" t="inlineStr">
        <is>
          <t>R1094155</t>
        </is>
      </c>
      <c r="B276" s="78" t="n">
        <v>44306</v>
      </c>
      <c r="C276" s="25" t="inlineStr">
        <is>
          <t>75777</t>
        </is>
      </c>
      <c r="D276" s="25" t="inlineStr">
        <is>
          <t>LIQS VODKA KAMIKAZE</t>
        </is>
      </c>
      <c r="E276" s="27" t="n">
        <v>32</v>
      </c>
      <c r="F276" s="28" t="n">
        <v>50.8</v>
      </c>
      <c r="G276" s="27" t="n">
        <v>1</v>
      </c>
      <c r="H276" s="27" t="n">
        <v>1</v>
      </c>
      <c r="I276" s="27" t="n">
        <v>1</v>
      </c>
      <c r="J276" s="27" t="n">
        <v>1</v>
      </c>
      <c r="K276" s="25" t="inlineStr">
        <is>
          <t>Shipped</t>
        </is>
      </c>
    </row>
    <row r="277">
      <c r="A277" s="25" t="inlineStr">
        <is>
          <t>R1094155</t>
        </is>
      </c>
      <c r="B277" s="78" t="n">
        <v>44306</v>
      </c>
      <c r="C277" s="25" t="inlineStr">
        <is>
          <t>75779</t>
        </is>
      </c>
      <c r="D277" s="25" t="inlineStr">
        <is>
          <t>LIQS VODKA LEMON DROP</t>
        </is>
      </c>
      <c r="E277" s="27" t="n">
        <v>32</v>
      </c>
      <c r="F277" s="28" t="n">
        <v>50.8</v>
      </c>
      <c r="G277" s="27" t="n">
        <v>1</v>
      </c>
      <c r="H277" s="27" t="n">
        <v>1</v>
      </c>
      <c r="I277" s="27" t="n">
        <v>1</v>
      </c>
      <c r="J277" s="27" t="n">
        <v>1</v>
      </c>
      <c r="K277" s="25" t="inlineStr">
        <is>
          <t>Shipped</t>
        </is>
      </c>
    </row>
    <row r="278">
      <c r="A278" s="25" t="inlineStr">
        <is>
          <t>R1164439</t>
        </is>
      </c>
      <c r="B278" s="78" t="n">
        <v>44383</v>
      </c>
      <c r="C278" s="25" t="inlineStr">
        <is>
          <t>729086</t>
        </is>
      </c>
      <c r="D278" s="25" t="inlineStr">
        <is>
          <t>LUC BELAIRE ART SERIES RARE ROSE SPARKLING</t>
        </is>
      </c>
      <c r="E278" s="27" t="n">
        <v>6</v>
      </c>
      <c r="F278" s="28" t="n">
        <v>124.33</v>
      </c>
      <c r="G278" s="27" t="n">
        <v>15</v>
      </c>
      <c r="H278" s="27" t="n">
        <v>15</v>
      </c>
      <c r="I278" s="27" t="n">
        <v>15</v>
      </c>
      <c r="J278" s="27" t="n">
        <v>15</v>
      </c>
      <c r="K278" s="25" t="inlineStr">
        <is>
          <t>Shipped</t>
        </is>
      </c>
    </row>
    <row r="279">
      <c r="A279" s="25" t="inlineStr">
        <is>
          <t>R1171124</t>
        </is>
      </c>
      <c r="B279" s="78" t="n">
        <v>44384</v>
      </c>
      <c r="C279" s="25" t="inlineStr">
        <is>
          <t>729090</t>
        </is>
      </c>
      <c r="D279" s="25" t="inlineStr">
        <is>
          <t>LUC BELAIRE BLEU EDITION LIMITED</t>
        </is>
      </c>
      <c r="E279" s="27" t="n">
        <v>6</v>
      </c>
      <c r="F279" s="28" t="n">
        <v>137.09</v>
      </c>
      <c r="G279" s="27" t="n">
        <v>3</v>
      </c>
      <c r="H279" s="27" t="n">
        <v>3</v>
      </c>
      <c r="I279" s="27" t="n">
        <v>3</v>
      </c>
      <c r="J279" s="27" t="n">
        <v>3</v>
      </c>
      <c r="K279" s="25" t="inlineStr">
        <is>
          <t>Shipped</t>
        </is>
      </c>
    </row>
    <row r="280">
      <c r="A280" s="25" t="inlineStr">
        <is>
          <t>R1301187</t>
        </is>
      </c>
      <c r="B280" s="78" t="n">
        <v>44495</v>
      </c>
      <c r="C280" s="25" t="inlineStr">
        <is>
          <t>729090</t>
        </is>
      </c>
      <c r="D280" s="25" t="inlineStr">
        <is>
          <t>LUC BELAIRE BLEU EDITION LIMITED</t>
        </is>
      </c>
      <c r="E280" s="27" t="n">
        <v>6</v>
      </c>
      <c r="F280" s="28" t="n">
        <v>137.09</v>
      </c>
      <c r="G280" s="27" t="n">
        <v>10</v>
      </c>
      <c r="H280" s="27" t="n">
        <v>10</v>
      </c>
      <c r="I280" s="27" t="n">
        <v>10</v>
      </c>
      <c r="J280" s="27" t="n">
        <v>10</v>
      </c>
      <c r="K280" s="25" t="inlineStr">
        <is>
          <t>Shipped</t>
        </is>
      </c>
    </row>
    <row r="281">
      <c r="A281" s="25" t="inlineStr">
        <is>
          <t>R1164439</t>
        </is>
      </c>
      <c r="B281" s="78" t="n">
        <v>44383</v>
      </c>
      <c r="C281" s="25" t="inlineStr">
        <is>
          <t>729089</t>
        </is>
      </c>
      <c r="D281" s="25" t="inlineStr">
        <is>
          <t>LUC BELAIRE LUXE ART SERIES</t>
        </is>
      </c>
      <c r="E281" s="27" t="n">
        <v>6</v>
      </c>
      <c r="F281" s="28" t="n">
        <v>124.33</v>
      </c>
      <c r="G281" s="27" t="n">
        <v>15</v>
      </c>
      <c r="H281" s="27" t="n">
        <v>15</v>
      </c>
      <c r="I281" s="27" t="n">
        <v>15</v>
      </c>
      <c r="J281" s="27" t="n">
        <v>7</v>
      </c>
      <c r="K281" s="25" t="inlineStr">
        <is>
          <t>Shipped</t>
        </is>
      </c>
    </row>
    <row r="282">
      <c r="A282" s="25" t="inlineStr">
        <is>
          <t>R1220290</t>
        </is>
      </c>
      <c r="B282" s="78" t="n">
        <v>44433</v>
      </c>
      <c r="C282" s="25" t="inlineStr">
        <is>
          <t>729089</t>
        </is>
      </c>
      <c r="D282" s="25" t="inlineStr">
        <is>
          <t>LUC BELAIRE LUXE ART SERIES</t>
        </is>
      </c>
      <c r="E282" s="27" t="n">
        <v>6</v>
      </c>
      <c r="F282" s="28" t="n">
        <v>124.33</v>
      </c>
      <c r="G282" s="27" t="n">
        <v>8</v>
      </c>
      <c r="H282" s="27" t="n">
        <v>8</v>
      </c>
      <c r="I282" s="27" t="n">
        <v>8</v>
      </c>
      <c r="J282" s="27" t="n">
        <v>8</v>
      </c>
      <c r="K282" s="25" t="inlineStr">
        <is>
          <t>Shipped</t>
        </is>
      </c>
    </row>
    <row r="283">
      <c r="A283" s="25" t="inlineStr">
        <is>
          <t>R1244908</t>
        </is>
      </c>
      <c r="B283" s="78" t="n">
        <v>44453</v>
      </c>
      <c r="C283" s="25" t="inlineStr">
        <is>
          <t>217277</t>
        </is>
      </c>
      <c r="D283" s="25" t="inlineStr">
        <is>
          <t>LUC BELAIRE ROSE + LUC BELAIRE GOLD HITCHHIKER VAP</t>
        </is>
      </c>
      <c r="E283" s="27" t="n">
        <v>6</v>
      </c>
      <c r="F283" s="28" t="n">
        <v>137.39</v>
      </c>
      <c r="G283" s="27" t="n">
        <v>8</v>
      </c>
      <c r="H283" s="27" t="n">
        <v>8</v>
      </c>
      <c r="I283" s="27" t="n">
        <v>8</v>
      </c>
      <c r="J283" s="27" t="n">
        <v>8</v>
      </c>
      <c r="K283" s="25" t="inlineStr">
        <is>
          <t>Shipped</t>
        </is>
      </c>
    </row>
    <row r="284">
      <c r="A284" s="25" t="inlineStr">
        <is>
          <t>R1272880</t>
        </is>
      </c>
      <c r="B284" s="78" t="n">
        <v>44480</v>
      </c>
      <c r="C284" s="25" t="inlineStr">
        <is>
          <t>88818</t>
        </is>
      </c>
      <c r="D284" s="25" t="inlineStr">
        <is>
          <t>MAESTRO DOBEL ANEJO</t>
        </is>
      </c>
      <c r="E284" s="27" t="n">
        <v>6</v>
      </c>
      <c r="F284" s="28" t="n">
        <v>276.9</v>
      </c>
      <c r="G284" s="27" t="n">
        <v>2</v>
      </c>
      <c r="H284" s="27" t="n">
        <v>2</v>
      </c>
      <c r="I284" s="27" t="n">
        <v>2</v>
      </c>
      <c r="J284" s="27" t="n">
        <v>2</v>
      </c>
      <c r="K284" s="25" t="inlineStr">
        <is>
          <t>Shipped</t>
        </is>
      </c>
    </row>
    <row r="285">
      <c r="A285" s="25" t="inlineStr">
        <is>
          <t>R1025455</t>
        </is>
      </c>
      <c r="B285" s="78" t="n">
        <v>44228</v>
      </c>
      <c r="C285" s="25" t="inlineStr">
        <is>
          <t>48580</t>
        </is>
      </c>
      <c r="D285" s="25" t="inlineStr">
        <is>
          <t>MAISON ROUGE VSOP COGNAC</t>
        </is>
      </c>
      <c r="E285" s="27" t="n">
        <v>12</v>
      </c>
      <c r="F285" s="28" t="n">
        <v>301.64</v>
      </c>
      <c r="G285" s="27" t="n">
        <v>3</v>
      </c>
      <c r="H285" s="27" t="n">
        <v>3</v>
      </c>
      <c r="I285" s="27" t="n">
        <v>3</v>
      </c>
      <c r="J285" s="27" t="n">
        <v>3</v>
      </c>
      <c r="K285" s="25" t="inlineStr">
        <is>
          <t>Shipped</t>
        </is>
      </c>
    </row>
    <row r="286">
      <c r="A286" s="25" t="inlineStr">
        <is>
          <t>R1093614</t>
        </is>
      </c>
      <c r="B286" s="78" t="n">
        <v>44300</v>
      </c>
      <c r="C286" s="25" t="inlineStr">
        <is>
          <t>48580</t>
        </is>
      </c>
      <c r="D286" s="25" t="inlineStr">
        <is>
          <t>MAISON ROUGE VSOP COGNAC</t>
        </is>
      </c>
      <c r="E286" s="27" t="n">
        <v>12</v>
      </c>
      <c r="F286" s="28" t="n">
        <v>230.67</v>
      </c>
      <c r="G286" s="27" t="n">
        <v>3</v>
      </c>
      <c r="H286" s="27" t="n">
        <v>3</v>
      </c>
      <c r="I286" s="27" t="n">
        <v>3</v>
      </c>
      <c r="J286" s="27" t="n">
        <v>3</v>
      </c>
      <c r="K286" s="25" t="inlineStr">
        <is>
          <t>Shipped</t>
        </is>
      </c>
    </row>
    <row r="287">
      <c r="A287" s="25" t="inlineStr">
        <is>
          <t>R1111113</t>
        </is>
      </c>
      <c r="B287" s="78" t="n">
        <v>44307</v>
      </c>
      <c r="C287" s="25" t="inlineStr">
        <is>
          <t>19498</t>
        </is>
      </c>
      <c r="D287" s="25" t="inlineStr">
        <is>
          <t>MAKER'S MARK 101 PROOF LIMITED RELEASE</t>
        </is>
      </c>
      <c r="E287" s="27" t="n">
        <v>6</v>
      </c>
      <c r="F287" s="28" t="n">
        <v>184.59</v>
      </c>
      <c r="G287" s="27" t="n">
        <v>3</v>
      </c>
      <c r="H287" s="27" t="n">
        <v>3</v>
      </c>
      <c r="I287" s="27" t="n">
        <v>3</v>
      </c>
      <c r="J287" s="27" t="n">
        <v>3</v>
      </c>
      <c r="K287" s="25" t="inlineStr">
        <is>
          <t>Shipped</t>
        </is>
      </c>
    </row>
    <row r="288">
      <c r="A288" s="25" t="inlineStr">
        <is>
          <t>R1148014</t>
        </is>
      </c>
      <c r="B288" s="78" t="n">
        <v>44362</v>
      </c>
      <c r="C288" s="25" t="inlineStr">
        <is>
          <t>19498</t>
        </is>
      </c>
      <c r="D288" s="25" t="inlineStr">
        <is>
          <t>MAKER'S MARK 101 PROOF LIMITED RELEASE</t>
        </is>
      </c>
      <c r="E288" s="27" t="n">
        <v>6</v>
      </c>
      <c r="F288" s="28" t="n">
        <v>184.59</v>
      </c>
      <c r="G288" s="27" t="n">
        <v>1</v>
      </c>
      <c r="H288" s="27" t="n">
        <v>1</v>
      </c>
      <c r="I288" s="27" t="n">
        <v>1</v>
      </c>
      <c r="J288" s="27" t="n">
        <v>1</v>
      </c>
      <c r="K288" s="25" t="inlineStr">
        <is>
          <t>Shipped</t>
        </is>
      </c>
    </row>
    <row r="289">
      <c r="A289" s="25" t="inlineStr">
        <is>
          <t>R1160115</t>
        </is>
      </c>
      <c r="B289" s="78" t="n">
        <v>44362</v>
      </c>
      <c r="C289" s="25" t="inlineStr">
        <is>
          <t>19498</t>
        </is>
      </c>
      <c r="D289" s="25" t="inlineStr">
        <is>
          <t>MAKER'S MARK 101 PROOF LIMITED RELEASE</t>
        </is>
      </c>
      <c r="E289" s="27" t="n">
        <v>6</v>
      </c>
      <c r="F289" s="28" t="n">
        <v>184.59</v>
      </c>
      <c r="G289" s="27" t="n">
        <v>2</v>
      </c>
      <c r="H289" s="27" t="n">
        <v>2</v>
      </c>
      <c r="I289" s="27" t="n">
        <v>2</v>
      </c>
      <c r="J289" s="27" t="n">
        <v>2</v>
      </c>
      <c r="K289" s="25" t="inlineStr">
        <is>
          <t>Shipped</t>
        </is>
      </c>
    </row>
    <row r="290">
      <c r="A290" s="25" t="inlineStr">
        <is>
          <t>R1116090</t>
        </is>
      </c>
      <c r="B290" s="78" t="n">
        <v>44333</v>
      </c>
      <c r="C290" s="25" t="inlineStr">
        <is>
          <t>19494</t>
        </is>
      </c>
      <c r="D290" s="25" t="inlineStr">
        <is>
          <t>MAKER'S MARK 46 CASK STRENGTH</t>
        </is>
      </c>
      <c r="E290" s="27" t="n">
        <v>6</v>
      </c>
      <c r="F290" s="28" t="n">
        <v>276.92</v>
      </c>
      <c r="G290" s="27" t="n">
        <v>1</v>
      </c>
      <c r="H290" s="27" t="n">
        <v>1</v>
      </c>
      <c r="I290" s="27" t="n">
        <v>1</v>
      </c>
      <c r="J290" s="27" t="n">
        <v>1</v>
      </c>
      <c r="K290" s="25" t="inlineStr">
        <is>
          <t>Shipped</t>
        </is>
      </c>
    </row>
    <row r="291">
      <c r="A291" s="25" t="inlineStr">
        <is>
          <t>R1125463</t>
        </is>
      </c>
      <c r="B291" s="78" t="n">
        <v>44322</v>
      </c>
      <c r="C291" s="25" t="inlineStr">
        <is>
          <t>19497</t>
        </is>
      </c>
      <c r="D291" s="25" t="inlineStr">
        <is>
          <t>MAKERS MARK WOOD FINISHING SERIES 2021</t>
        </is>
      </c>
      <c r="E291" s="27" t="n">
        <v>6</v>
      </c>
      <c r="F291" s="28" t="n">
        <v>276.5</v>
      </c>
      <c r="G291" s="27" t="n">
        <v>1</v>
      </c>
      <c r="H291" s="27" t="n">
        <v>1</v>
      </c>
      <c r="I291" s="27" t="n">
        <v>1</v>
      </c>
      <c r="J291" s="27" t="n">
        <v>1</v>
      </c>
      <c r="K291" s="25" t="inlineStr">
        <is>
          <t>Shipped</t>
        </is>
      </c>
    </row>
    <row r="292">
      <c r="A292" s="25" t="inlineStr">
        <is>
          <t>R1304919A</t>
        </is>
      </c>
      <c r="B292" s="78" t="n">
        <v>44516</v>
      </c>
      <c r="C292" s="25" t="inlineStr">
        <is>
          <t>19497</t>
        </is>
      </c>
      <c r="D292" s="25" t="inlineStr">
        <is>
          <t>MAKERS MARK WOOD FINISHING SERIES 2021</t>
        </is>
      </c>
      <c r="E292" s="27" t="n">
        <v>6</v>
      </c>
      <c r="F292" s="28" t="n">
        <v>276.5</v>
      </c>
      <c r="G292" s="27" t="n">
        <v>1</v>
      </c>
      <c r="H292" s="27" t="n">
        <v>1</v>
      </c>
      <c r="I292" s="27" t="n">
        <v>1</v>
      </c>
      <c r="J292" s="27" t="n">
        <v>1</v>
      </c>
      <c r="K292" s="25" t="inlineStr">
        <is>
          <t>Shipped</t>
        </is>
      </c>
    </row>
    <row r="293">
      <c r="A293" s="25" t="inlineStr">
        <is>
          <t>R1031596</t>
        </is>
      </c>
      <c r="B293" s="78" t="n">
        <v>44251</v>
      </c>
      <c r="C293" s="25" t="inlineStr">
        <is>
          <t>42720</t>
        </is>
      </c>
      <c r="D293" s="25" t="inlineStr">
        <is>
          <t>MALIBU RUM</t>
        </is>
      </c>
      <c r="E293" s="27" t="n">
        <v>48</v>
      </c>
      <c r="F293" s="28" t="n">
        <v>73.47</v>
      </c>
      <c r="G293" s="27" t="n">
        <v>1</v>
      </c>
      <c r="H293" s="27" t="n">
        <v>1</v>
      </c>
      <c r="I293" s="27" t="n">
        <v>1</v>
      </c>
      <c r="J293" s="27" t="n">
        <v>1</v>
      </c>
      <c r="K293" s="25" t="inlineStr">
        <is>
          <t>Shipped</t>
        </is>
      </c>
    </row>
    <row r="294">
      <c r="A294" s="25" t="inlineStr">
        <is>
          <t>R1174616</t>
        </is>
      </c>
      <c r="B294" s="78" t="n">
        <v>44393</v>
      </c>
      <c r="C294" s="25" t="inlineStr">
        <is>
          <t>42720</t>
        </is>
      </c>
      <c r="D294" s="25" t="inlineStr">
        <is>
          <t>MALIBU RUM</t>
        </is>
      </c>
      <c r="E294" s="27" t="n">
        <v>48</v>
      </c>
      <c r="F294" s="28" t="n">
        <v>73.47</v>
      </c>
      <c r="G294" s="27" t="n">
        <v>1</v>
      </c>
      <c r="H294" s="27" t="n">
        <v>1</v>
      </c>
      <c r="I294" s="27" t="n">
        <v>1</v>
      </c>
      <c r="J294" s="27" t="n">
        <v>1</v>
      </c>
      <c r="K294" s="25" t="inlineStr">
        <is>
          <t>Shipped</t>
        </is>
      </c>
    </row>
    <row r="295">
      <c r="A295" s="25" t="inlineStr">
        <is>
          <t>R1100041</t>
        </is>
      </c>
      <c r="B295" s="78" t="n">
        <v>44298</v>
      </c>
      <c r="C295" s="25" t="inlineStr">
        <is>
          <t>43860</t>
        </is>
      </c>
      <c r="D295" s="25" t="inlineStr">
        <is>
          <t>MALIBU WATERMELON</t>
        </is>
      </c>
      <c r="E295" s="27" t="n">
        <v>12</v>
      </c>
      <c r="F295" s="28" t="n">
        <v>119.9</v>
      </c>
      <c r="G295" s="27" t="n">
        <v>1</v>
      </c>
      <c r="H295" s="27" t="n">
        <v>1</v>
      </c>
      <c r="I295" s="27" t="n">
        <v>1</v>
      </c>
      <c r="J295" s="27" t="n">
        <v>1</v>
      </c>
      <c r="K295" s="25" t="inlineStr">
        <is>
          <t>Shipped</t>
        </is>
      </c>
    </row>
    <row r="296">
      <c r="A296" s="25" t="inlineStr">
        <is>
          <t>R1180605</t>
        </is>
      </c>
      <c r="B296" s="78" t="n">
        <v>44383</v>
      </c>
      <c r="C296" s="25" t="inlineStr">
        <is>
          <t>43860</t>
        </is>
      </c>
      <c r="D296" s="25" t="inlineStr">
        <is>
          <t>MALIBU WATERMELON</t>
        </is>
      </c>
      <c r="E296" s="27" t="n">
        <v>12</v>
      </c>
      <c r="F296" s="28" t="n">
        <v>119.9</v>
      </c>
      <c r="G296" s="27" t="n">
        <v>1</v>
      </c>
      <c r="H296" s="27" t="n">
        <v>1</v>
      </c>
      <c r="I296" s="27" t="n">
        <v>1</v>
      </c>
      <c r="J296" s="27" t="n">
        <v>1</v>
      </c>
      <c r="K296" s="25" t="inlineStr">
        <is>
          <t>Shipped</t>
        </is>
      </c>
    </row>
    <row r="297">
      <c r="A297" s="25" t="inlineStr">
        <is>
          <t>R1047542B</t>
        </is>
      </c>
      <c r="B297" s="78" t="n">
        <v>44309</v>
      </c>
      <c r="C297" s="25" t="inlineStr">
        <is>
          <t>48715</t>
        </is>
      </c>
      <c r="D297" s="25" t="inlineStr">
        <is>
          <t>MARTELL VSOP RED BARREL</t>
        </is>
      </c>
      <c r="E297" s="27" t="n">
        <v>12</v>
      </c>
      <c r="F297" s="28" t="n">
        <v>369.14</v>
      </c>
      <c r="G297" s="27" t="n">
        <v>1</v>
      </c>
      <c r="H297" s="27" t="n">
        <v>1</v>
      </c>
      <c r="I297" s="27" t="n">
        <v>1</v>
      </c>
      <c r="J297" s="27" t="n">
        <v>1</v>
      </c>
      <c r="K297" s="25" t="inlineStr">
        <is>
          <t>Shipped</t>
        </is>
      </c>
    </row>
    <row r="298">
      <c r="A298" s="25" t="inlineStr">
        <is>
          <t>R1133125</t>
        </is>
      </c>
      <c r="B298" s="78" t="n">
        <v>44344</v>
      </c>
      <c r="C298" s="25" t="inlineStr">
        <is>
          <t>48698</t>
        </is>
      </c>
      <c r="D298" s="25" t="inlineStr">
        <is>
          <t>MARTELL VSSD</t>
        </is>
      </c>
      <c r="E298" s="27" t="n">
        <v>6</v>
      </c>
      <c r="F298" s="28" t="n">
        <v>253.8</v>
      </c>
      <c r="G298" s="27" t="n">
        <v>2</v>
      </c>
      <c r="H298" s="27" t="n">
        <v>2</v>
      </c>
      <c r="I298" s="27" t="n">
        <v>2</v>
      </c>
      <c r="J298" s="27" t="n">
        <v>2</v>
      </c>
      <c r="K298" s="25" t="inlineStr">
        <is>
          <t>Shipped</t>
        </is>
      </c>
    </row>
    <row r="299">
      <c r="A299" s="25" t="inlineStr">
        <is>
          <t>R1192446</t>
        </is>
      </c>
      <c r="B299" s="78" t="n">
        <v>44406</v>
      </c>
      <c r="C299" s="25" t="inlineStr">
        <is>
          <t>48698</t>
        </is>
      </c>
      <c r="D299" s="25" t="inlineStr">
        <is>
          <t>MARTELL VSSD</t>
        </is>
      </c>
      <c r="E299" s="27" t="n">
        <v>6</v>
      </c>
      <c r="F299" s="28" t="n">
        <v>253.8</v>
      </c>
      <c r="G299" s="27" t="n">
        <v>5</v>
      </c>
      <c r="H299" s="27" t="n">
        <v>5</v>
      </c>
      <c r="I299" s="27" t="n">
        <v>5</v>
      </c>
      <c r="J299" s="27" t="n">
        <v>5</v>
      </c>
      <c r="K299" s="25" t="inlineStr">
        <is>
          <t>Shipped</t>
        </is>
      </c>
    </row>
    <row r="300">
      <c r="A300" s="25" t="inlineStr">
        <is>
          <t>R1192446A</t>
        </is>
      </c>
      <c r="B300" s="78" t="n">
        <v>44503</v>
      </c>
      <c r="C300" s="25" t="inlineStr">
        <is>
          <t>48698</t>
        </is>
      </c>
      <c r="D300" s="25" t="inlineStr">
        <is>
          <t>MARTELL VSSD</t>
        </is>
      </c>
      <c r="E300" s="27" t="n">
        <v>6</v>
      </c>
      <c r="F300" s="28" t="n">
        <v>253.8</v>
      </c>
      <c r="G300" s="27" t="n">
        <v>1</v>
      </c>
      <c r="H300" s="27" t="n">
        <v>1</v>
      </c>
      <c r="I300" s="27" t="n">
        <v>1</v>
      </c>
      <c r="J300" s="27" t="n">
        <v>1</v>
      </c>
      <c r="K300" s="25" t="inlineStr">
        <is>
          <t>Shipped</t>
        </is>
      </c>
    </row>
    <row r="301">
      <c r="A301" s="25" t="inlineStr">
        <is>
          <t>R1315375</t>
        </is>
      </c>
      <c r="B301" s="78" t="n">
        <v>44505</v>
      </c>
      <c r="C301" s="25" t="inlineStr">
        <is>
          <t>48698</t>
        </is>
      </c>
      <c r="D301" s="25" t="inlineStr">
        <is>
          <t>MARTELL VSSD</t>
        </is>
      </c>
      <c r="E301" s="27" t="n">
        <v>6</v>
      </c>
      <c r="F301" s="28" t="n">
        <v>253.8</v>
      </c>
      <c r="G301" s="27" t="n">
        <v>5</v>
      </c>
      <c r="H301" s="27" t="n">
        <v>5</v>
      </c>
      <c r="I301" s="27" t="n">
        <v>5</v>
      </c>
      <c r="J301" s="27" t="n">
        <v>5</v>
      </c>
      <c r="K301" s="25" t="inlineStr">
        <is>
          <t>Shipped</t>
        </is>
      </c>
    </row>
    <row r="302">
      <c r="A302" s="25" t="inlineStr">
        <is>
          <t>R1330030</t>
        </is>
      </c>
      <c r="B302" s="78" t="n">
        <v>44505</v>
      </c>
      <c r="C302" s="25" t="inlineStr">
        <is>
          <t>48698</t>
        </is>
      </c>
      <c r="D302" s="25" t="inlineStr">
        <is>
          <t>MARTELL VSSD</t>
        </is>
      </c>
      <c r="E302" s="27" t="n">
        <v>6</v>
      </c>
      <c r="F302" s="28" t="n">
        <v>253.8</v>
      </c>
      <c r="G302" s="27" t="n">
        <v>5</v>
      </c>
      <c r="H302" s="27" t="n">
        <v>5</v>
      </c>
      <c r="I302" s="27" t="n">
        <v>5</v>
      </c>
      <c r="J302" s="27" t="n">
        <v>5</v>
      </c>
      <c r="K302" s="25" t="inlineStr">
        <is>
          <t>Shipped</t>
        </is>
      </c>
    </row>
    <row r="303">
      <c r="A303" s="25" t="inlineStr">
        <is>
          <t>R1023834</t>
        </is>
      </c>
      <c r="B303" s="78" t="n">
        <v>44237</v>
      </c>
      <c r="C303" s="25" t="inlineStr">
        <is>
          <t>812826</t>
        </is>
      </c>
      <c r="D303" s="25" t="inlineStr">
        <is>
          <t>MD 20/20 GOLD PINEAPPLE</t>
        </is>
      </c>
      <c r="E303" s="27" t="n">
        <v>12</v>
      </c>
      <c r="F303" s="28" t="n">
        <v>34.2</v>
      </c>
      <c r="G303" s="27" t="n">
        <v>3</v>
      </c>
      <c r="H303" s="27" t="n">
        <v>3</v>
      </c>
      <c r="I303" s="27" t="n">
        <v>3</v>
      </c>
      <c r="J303" s="27" t="n">
        <v>3</v>
      </c>
      <c r="K303" s="25" t="inlineStr">
        <is>
          <t>Shipped</t>
        </is>
      </c>
    </row>
    <row r="304">
      <c r="A304" s="25" t="inlineStr">
        <is>
          <t>R972839A</t>
        </is>
      </c>
      <c r="B304" s="78" t="n">
        <v>44222</v>
      </c>
      <c r="C304" s="25" t="inlineStr">
        <is>
          <t>812820</t>
        </is>
      </c>
      <c r="D304" s="25" t="inlineStr">
        <is>
          <t>MD 20/20 STRAWBERRY KIWI</t>
        </is>
      </c>
      <c r="E304" s="27" t="n">
        <v>12</v>
      </c>
      <c r="F304" s="28" t="n">
        <v>34.2</v>
      </c>
      <c r="G304" s="27" t="n">
        <v>5</v>
      </c>
      <c r="H304" s="27" t="n">
        <v>5</v>
      </c>
      <c r="I304" s="27" t="n">
        <v>5</v>
      </c>
      <c r="J304" s="27" t="n">
        <v>5</v>
      </c>
      <c r="K304" s="25" t="inlineStr">
        <is>
          <t>Shipped</t>
        </is>
      </c>
    </row>
    <row r="305">
      <c r="A305" s="25" t="inlineStr">
        <is>
          <t>R1310651</t>
        </is>
      </c>
      <c r="B305" s="78" t="n">
        <v>44501</v>
      </c>
      <c r="C305" s="25" t="inlineStr">
        <is>
          <t>443959</t>
        </is>
      </c>
      <c r="D305" s="25" t="inlineStr">
        <is>
          <t>MEIOMI CABERNET SAUVIGNON SONOMA/MNTRY/SNTA B</t>
        </is>
      </c>
      <c r="E305" s="27" t="n">
        <v>12</v>
      </c>
      <c r="F305" s="28" t="n">
        <v>171.33</v>
      </c>
      <c r="G305" s="27" t="n">
        <v>1</v>
      </c>
      <c r="H305" s="27" t="n">
        <v>1</v>
      </c>
      <c r="I305" s="27" t="n">
        <v>1</v>
      </c>
      <c r="J305" s="27" t="n">
        <v>1</v>
      </c>
      <c r="K305" s="25" t="inlineStr">
        <is>
          <t>Shipped</t>
        </is>
      </c>
    </row>
    <row r="306">
      <c r="A306" s="25" t="inlineStr">
        <is>
          <t>R1107042</t>
        </is>
      </c>
      <c r="B306" s="78" t="n">
        <v>44309</v>
      </c>
      <c r="C306" s="25" t="inlineStr">
        <is>
          <t>485449</t>
        </is>
      </c>
      <c r="D306" s="25" t="inlineStr">
        <is>
          <t>MENAGE SWEET COLLECTION DOLCE RED</t>
        </is>
      </c>
      <c r="E306" s="27" t="n">
        <v>12</v>
      </c>
      <c r="F306" s="28" t="n">
        <v>120</v>
      </c>
      <c r="G306" s="27" t="n">
        <v>1</v>
      </c>
      <c r="H306" s="27" t="n">
        <v>1</v>
      </c>
      <c r="I306" s="27" t="n">
        <v>1</v>
      </c>
      <c r="J306" s="27" t="n">
        <v>1</v>
      </c>
      <c r="K306" s="25" t="inlineStr">
        <is>
          <t>Shipped</t>
        </is>
      </c>
    </row>
    <row r="307">
      <c r="A307" s="25" t="inlineStr">
        <is>
          <t>R1307133</t>
        </is>
      </c>
      <c r="B307" s="78" t="n">
        <v>44501</v>
      </c>
      <c r="C307" s="25" t="inlineStr">
        <is>
          <t>990452</t>
        </is>
      </c>
      <c r="D307" s="25" t="inlineStr">
        <is>
          <t>MERCADIER COGNAC VS</t>
        </is>
      </c>
      <c r="E307" s="27" t="n">
        <v>6</v>
      </c>
      <c r="F307" s="28" t="n">
        <v>161.49</v>
      </c>
      <c r="G307" s="27" t="n">
        <v>5</v>
      </c>
      <c r="H307" s="27" t="n">
        <v>5</v>
      </c>
      <c r="I307" s="27" t="n">
        <v>5</v>
      </c>
      <c r="J307" s="27" t="n">
        <v>5</v>
      </c>
      <c r="K307" s="25" t="inlineStr">
        <is>
          <t>Shipped</t>
        </is>
      </c>
    </row>
    <row r="308">
      <c r="A308" s="25" t="inlineStr">
        <is>
          <t>R1041931</t>
        </is>
      </c>
      <c r="B308" s="78" t="n">
        <v>44252</v>
      </c>
      <c r="C308" s="25" t="inlineStr">
        <is>
          <t>370350</t>
        </is>
      </c>
      <c r="D308" s="25" t="inlineStr">
        <is>
          <t>MIA DOLCEA MOSCATO D'ASTI DOCG</t>
        </is>
      </c>
      <c r="E308" s="27" t="n">
        <v>12</v>
      </c>
      <c r="F308" s="28" t="n">
        <v>102.77</v>
      </c>
      <c r="G308" s="27" t="n">
        <v>5</v>
      </c>
      <c r="H308" s="27" t="n">
        <v>5</v>
      </c>
      <c r="I308" s="27" t="n">
        <v>5</v>
      </c>
      <c r="J308" s="27" t="n">
        <v>5</v>
      </c>
      <c r="K308" s="25" t="inlineStr">
        <is>
          <t>Shipped</t>
        </is>
      </c>
    </row>
    <row r="309">
      <c r="A309" s="25" t="inlineStr">
        <is>
          <t>R1356010</t>
        </is>
      </c>
      <c r="B309" s="78" t="n">
        <v>44530</v>
      </c>
      <c r="C309" s="25" t="inlineStr">
        <is>
          <t>88120</t>
        </is>
      </c>
      <c r="D309" s="25" t="inlineStr">
        <is>
          <t>MILAGRO SEL BARREL RES SILVER TEQUILA</t>
        </is>
      </c>
      <c r="E309" s="27" t="n">
        <v>6</v>
      </c>
      <c r="F309" s="28" t="n">
        <v>221.52</v>
      </c>
      <c r="G309" s="27" t="n">
        <v>1</v>
      </c>
      <c r="H309" s="27" t="n">
        <v>1</v>
      </c>
      <c r="I309" s="27" t="n">
        <v>1</v>
      </c>
      <c r="J309" s="27" t="n">
        <v>1</v>
      </c>
      <c r="K309" s="25" t="inlineStr">
        <is>
          <t>Shipped</t>
        </is>
      </c>
    </row>
    <row r="310">
      <c r="A310" s="25" t="inlineStr">
        <is>
          <t>R1255643</t>
        </is>
      </c>
      <c r="B310" s="78" t="n">
        <v>44456</v>
      </c>
      <c r="C310" s="25" t="inlineStr">
        <is>
          <t>27171</t>
        </is>
      </c>
      <c r="D310" s="25" t="inlineStr">
        <is>
          <t>MINOR CASE STRAIGHT RYE WHISKEY</t>
        </is>
      </c>
      <c r="E310" s="27" t="n">
        <v>6</v>
      </c>
      <c r="F310" s="28" t="n">
        <v>184.59</v>
      </c>
      <c r="G310" s="27" t="n">
        <v>1</v>
      </c>
      <c r="H310" s="27" t="n">
        <v>1</v>
      </c>
      <c r="I310" s="27" t="n">
        <v>1</v>
      </c>
      <c r="J310" s="27" t="n">
        <v>1</v>
      </c>
      <c r="K310" s="25" t="inlineStr">
        <is>
          <t>Shipped</t>
        </is>
      </c>
    </row>
    <row r="311">
      <c r="A311" s="25" t="inlineStr">
        <is>
          <t>R1311514</t>
        </is>
      </c>
      <c r="B311" s="78" t="n">
        <v>44501</v>
      </c>
      <c r="C311" s="25" t="inlineStr">
        <is>
          <t>710972</t>
        </is>
      </c>
      <c r="D311" s="25" t="inlineStr">
        <is>
          <t>MOET NECTAR IMPERIAL ROSE GOLD WOW LUMINOUS</t>
        </is>
      </c>
      <c r="E311" s="27" t="n">
        <v>6</v>
      </c>
      <c r="F311" s="28" t="n">
        <v>275.51</v>
      </c>
      <c r="G311" s="27" t="n">
        <v>3</v>
      </c>
      <c r="H311" s="27" t="n">
        <v>3</v>
      </c>
      <c r="I311" s="27" t="n">
        <v>3</v>
      </c>
      <c r="J311" s="27" t="n">
        <v>3</v>
      </c>
      <c r="K311" s="25" t="inlineStr">
        <is>
          <t>Shipped</t>
        </is>
      </c>
    </row>
    <row r="312">
      <c r="A312" s="25" t="inlineStr">
        <is>
          <t>R1189449</t>
        </is>
      </c>
      <c r="B312" s="78" t="n">
        <v>44412</v>
      </c>
      <c r="C312" s="25" t="inlineStr">
        <is>
          <t>62651</t>
        </is>
      </c>
      <c r="D312" s="25" t="inlineStr">
        <is>
          <t>MONACO COCKTAILS SUN CRUSH RTD</t>
        </is>
      </c>
      <c r="E312" s="27" t="n">
        <v>12</v>
      </c>
      <c r="F312" s="28" t="n">
        <v>27.59</v>
      </c>
      <c r="G312" s="27" t="n">
        <v>2</v>
      </c>
      <c r="H312" s="27" t="n">
        <v>2</v>
      </c>
      <c r="I312" s="27" t="n">
        <v>2</v>
      </c>
      <c r="J312" s="27" t="n">
        <v>1</v>
      </c>
      <c r="K312" s="25" t="inlineStr">
        <is>
          <t>Shipped</t>
        </is>
      </c>
    </row>
    <row r="313">
      <c r="A313" s="25" t="inlineStr">
        <is>
          <t>R1033637</t>
        </is>
      </c>
      <c r="B313" s="78" t="n">
        <v>44253</v>
      </c>
      <c r="C313" s="25" t="inlineStr">
        <is>
          <t>28693</t>
        </is>
      </c>
      <c r="D313" s="25" t="inlineStr">
        <is>
          <t>MONKEY 47 GIN (IMPORTED)</t>
        </is>
      </c>
      <c r="E313" s="27" t="n">
        <v>3</v>
      </c>
      <c r="F313" s="28" t="n">
        <v>122.28</v>
      </c>
      <c r="G313" s="27" t="n">
        <v>1</v>
      </c>
      <c r="H313" s="27" t="n">
        <v>1</v>
      </c>
      <c r="I313" s="27" t="n">
        <v>1</v>
      </c>
      <c r="J313" s="27" t="n">
        <v>1</v>
      </c>
      <c r="K313" s="25" t="inlineStr">
        <is>
          <t>Shipped</t>
        </is>
      </c>
    </row>
    <row r="314">
      <c r="A314" s="25" t="inlineStr">
        <is>
          <t>R1277910</t>
        </is>
      </c>
      <c r="B314" s="78" t="n">
        <v>44481</v>
      </c>
      <c r="C314" s="25" t="inlineStr">
        <is>
          <t>81180</t>
        </is>
      </c>
      <c r="D314" s="25" t="inlineStr">
        <is>
          <t>MR. BOSTON PEPPERMINT SCHNAPPS</t>
        </is>
      </c>
      <c r="E314" s="27" t="n">
        <v>12</v>
      </c>
      <c r="F314" s="28" t="n">
        <v>61.1</v>
      </c>
      <c r="G314" s="27" t="n">
        <v>1</v>
      </c>
      <c r="H314" s="27" t="n">
        <v>1</v>
      </c>
      <c r="I314" s="27" t="n">
        <v>1</v>
      </c>
      <c r="J314" s="27" t="n">
        <v>1</v>
      </c>
      <c r="K314" s="25" t="inlineStr">
        <is>
          <t>Shipped</t>
        </is>
      </c>
    </row>
    <row r="315">
      <c r="A315" s="25" t="inlineStr">
        <is>
          <t>R1186388</t>
        </is>
      </c>
      <c r="B315" s="78" t="n">
        <v>44403</v>
      </c>
      <c r="C315" s="25" t="inlineStr">
        <is>
          <t>949530</t>
        </is>
      </c>
      <c r="D315" s="25" t="inlineStr">
        <is>
          <t>NULU SINGLE BARREL RYE - MADVINES</t>
        </is>
      </c>
      <c r="E315" s="27" t="n">
        <v>6</v>
      </c>
      <c r="F315" s="28" t="n">
        <v>342.02</v>
      </c>
      <c r="G315" s="27" t="n">
        <v>1</v>
      </c>
      <c r="H315" s="27" t="n">
        <v>1</v>
      </c>
      <c r="I315" s="27" t="n">
        <v>1</v>
      </c>
      <c r="J315" s="27" t="n">
        <v>1</v>
      </c>
      <c r="K315" s="25" t="inlineStr">
        <is>
          <t>Shipped</t>
        </is>
      </c>
    </row>
    <row r="316">
      <c r="A316" s="25" t="inlineStr">
        <is>
          <t>R1186388</t>
        </is>
      </c>
      <c r="B316" s="78" t="n">
        <v>44403</v>
      </c>
      <c r="C316" s="25" t="inlineStr">
        <is>
          <t>949518</t>
        </is>
      </c>
      <c r="D316" s="25" t="inlineStr">
        <is>
          <t>NULU SINGLE BARREL RYE - MADVINES</t>
        </is>
      </c>
      <c r="E316" s="27" t="n">
        <v>6</v>
      </c>
      <c r="F316" s="28" t="n">
        <v>342.02</v>
      </c>
      <c r="G316" s="27" t="n">
        <v>1</v>
      </c>
      <c r="H316" s="27" t="n">
        <v>1</v>
      </c>
      <c r="I316" s="27" t="n">
        <v>1</v>
      </c>
      <c r="J316" s="27" t="n">
        <v>1</v>
      </c>
      <c r="K316" s="25" t="inlineStr">
        <is>
          <t>Shipped</t>
        </is>
      </c>
    </row>
    <row r="317">
      <c r="A317" s="25" t="inlineStr">
        <is>
          <t>R1186388A</t>
        </is>
      </c>
      <c r="B317" s="78" t="n">
        <v>44406</v>
      </c>
      <c r="C317" s="25" t="inlineStr">
        <is>
          <t>949345</t>
        </is>
      </c>
      <c r="D317" s="25" t="inlineStr">
        <is>
          <t>NULU SMALL BATCH BOURBON</t>
        </is>
      </c>
      <c r="E317" s="27" t="n">
        <v>6</v>
      </c>
      <c r="F317" s="28" t="n">
        <v>265.52</v>
      </c>
      <c r="G317" s="27" t="n">
        <v>2</v>
      </c>
      <c r="H317" s="27" t="n">
        <v>2</v>
      </c>
      <c r="I317" s="27" t="n">
        <v>2</v>
      </c>
      <c r="J317" s="27" t="n">
        <v>2</v>
      </c>
      <c r="K317" s="25" t="inlineStr">
        <is>
          <t>Shipped</t>
        </is>
      </c>
    </row>
    <row r="318">
      <c r="A318" s="25" t="inlineStr">
        <is>
          <t>R1034902</t>
        </is>
      </c>
      <c r="B318" s="78" t="n">
        <v>44251</v>
      </c>
      <c r="C318" s="25" t="inlineStr">
        <is>
          <t>20951</t>
        </is>
      </c>
      <c r="D318" s="25" t="inlineStr">
        <is>
          <t>NYAK VS COGNAC</t>
        </is>
      </c>
      <c r="E318" s="27" t="n">
        <v>24</v>
      </c>
      <c r="F318" s="28" t="n">
        <v>184.57</v>
      </c>
      <c r="G318" s="27" t="n">
        <v>5</v>
      </c>
      <c r="H318" s="27" t="n">
        <v>5</v>
      </c>
      <c r="I318" s="27" t="n">
        <v>5</v>
      </c>
      <c r="J318" s="27" t="n">
        <v>5</v>
      </c>
      <c r="K318" s="25" t="inlineStr">
        <is>
          <t>Shipped</t>
        </is>
      </c>
    </row>
    <row r="319">
      <c r="A319" s="25" t="inlineStr">
        <is>
          <t>R1034902B</t>
        </is>
      </c>
      <c r="B319" s="78" t="n">
        <v>44330</v>
      </c>
      <c r="C319" s="25" t="inlineStr">
        <is>
          <t>48866</t>
        </is>
      </c>
      <c r="D319" s="25" t="inlineStr">
        <is>
          <t>NYAK VS COGNAC</t>
        </is>
      </c>
      <c r="E319" s="27" t="n">
        <v>12</v>
      </c>
      <c r="F319" s="28" t="n">
        <v>304.51</v>
      </c>
      <c r="G319" s="27" t="n">
        <v>3</v>
      </c>
      <c r="H319" s="27" t="n">
        <v>3</v>
      </c>
      <c r="I319" s="27" t="n">
        <v>3</v>
      </c>
      <c r="J319" s="27" t="n">
        <v>2</v>
      </c>
      <c r="K319" s="25" t="inlineStr">
        <is>
          <t>Shipped</t>
        </is>
      </c>
    </row>
    <row r="320">
      <c r="A320" s="25" t="inlineStr">
        <is>
          <t>R1145401</t>
        </is>
      </c>
      <c r="B320" s="78" t="n">
        <v>44335</v>
      </c>
      <c r="C320" s="25" t="inlineStr">
        <is>
          <t>48866</t>
        </is>
      </c>
      <c r="D320" s="25" t="inlineStr">
        <is>
          <t>NYAK VS COGNAC</t>
        </is>
      </c>
      <c r="E320" s="27" t="n">
        <v>12</v>
      </c>
      <c r="F320" s="28" t="n">
        <v>304.51</v>
      </c>
      <c r="G320" s="27" t="n">
        <v>1</v>
      </c>
      <c r="H320" s="27" t="n">
        <v>1</v>
      </c>
      <c r="I320" s="27" t="n">
        <v>1</v>
      </c>
      <c r="J320" s="27" t="n">
        <v>1</v>
      </c>
      <c r="K320" s="25" t="inlineStr">
        <is>
          <t>Shipped</t>
        </is>
      </c>
    </row>
    <row r="321">
      <c r="A321" s="25" t="inlineStr">
        <is>
          <t>R1315426</t>
        </is>
      </c>
      <c r="B321" s="78" t="n">
        <v>44498</v>
      </c>
      <c r="C321" s="25" t="inlineStr">
        <is>
          <t>76441</t>
        </is>
      </c>
      <c r="D321" s="25" t="inlineStr">
        <is>
          <t>OAK &amp; EDEN 4 GRAIN &amp; SPIRE TORCHED OAK</t>
        </is>
      </c>
      <c r="E321" s="27" t="n">
        <v>6</v>
      </c>
      <c r="F321" s="28" t="n">
        <v>221.49</v>
      </c>
      <c r="G321" s="27" t="n">
        <v>2</v>
      </c>
      <c r="H321" s="27" t="n">
        <v>2</v>
      </c>
      <c r="I321" s="27" t="n">
        <v>2</v>
      </c>
      <c r="J321" s="27" t="n">
        <v>2</v>
      </c>
      <c r="K321" s="25" t="inlineStr">
        <is>
          <t>Shipped</t>
        </is>
      </c>
    </row>
    <row r="322">
      <c r="A322" s="25" t="inlineStr">
        <is>
          <t>R1323850</t>
        </is>
      </c>
      <c r="B322" s="78" t="n">
        <v>44518</v>
      </c>
      <c r="C322" s="25" t="inlineStr">
        <is>
          <t>76435</t>
        </is>
      </c>
      <c r="D322" s="25" t="inlineStr">
        <is>
          <t>OAK &amp; EDEN FIRED FRENCH OAK WHEAT &amp; SPIRE</t>
        </is>
      </c>
      <c r="E322" s="27" t="n">
        <v>6</v>
      </c>
      <c r="F322" s="28" t="n">
        <v>221.49</v>
      </c>
      <c r="G322" s="27" t="n">
        <v>1</v>
      </c>
      <c r="H322" s="27" t="n">
        <v>1</v>
      </c>
      <c r="I322" s="27" t="n">
        <v>1</v>
      </c>
      <c r="J322" s="27" t="n">
        <v>1</v>
      </c>
      <c r="K322" s="25" t="inlineStr">
        <is>
          <t>Shipped</t>
        </is>
      </c>
    </row>
    <row r="323">
      <c r="A323" s="25" t="inlineStr">
        <is>
          <t>R1281118</t>
        </is>
      </c>
      <c r="B323" s="78" t="n">
        <v>44480</v>
      </c>
      <c r="C323" s="25" t="inlineStr">
        <is>
          <t>76433</t>
        </is>
      </c>
      <c r="D323" s="25" t="inlineStr">
        <is>
          <t>OAK &amp; EDEN TOASTED OAK BOURBON &amp; SPIRE</t>
        </is>
      </c>
      <c r="E323" s="27" t="n">
        <v>6</v>
      </c>
      <c r="F323" s="28" t="n">
        <v>221.49</v>
      </c>
      <c r="G323" s="27" t="n">
        <v>1</v>
      </c>
      <c r="H323" s="27" t="n">
        <v>1</v>
      </c>
      <c r="I323" s="27" t="n">
        <v>1</v>
      </c>
      <c r="J323" s="27" t="n">
        <v>1</v>
      </c>
      <c r="K323" s="25" t="inlineStr">
        <is>
          <t>Shipped</t>
        </is>
      </c>
    </row>
    <row r="324">
      <c r="A324" s="25" t="inlineStr">
        <is>
          <t>R1315426</t>
        </is>
      </c>
      <c r="B324" s="78" t="n">
        <v>44498</v>
      </c>
      <c r="C324" s="25" t="inlineStr">
        <is>
          <t>76433</t>
        </is>
      </c>
      <c r="D324" s="25" t="inlineStr">
        <is>
          <t>OAK &amp; EDEN TOASTED OAK BOURBON &amp; SPIRE</t>
        </is>
      </c>
      <c r="E324" s="27" t="n">
        <v>6</v>
      </c>
      <c r="F324" s="28" t="n">
        <v>221.49</v>
      </c>
      <c r="G324" s="27" t="n">
        <v>2</v>
      </c>
      <c r="H324" s="27" t="n">
        <v>2</v>
      </c>
      <c r="I324" s="27" t="n">
        <v>2</v>
      </c>
      <c r="J324" s="27" t="n">
        <v>2</v>
      </c>
      <c r="K324" s="25" t="inlineStr">
        <is>
          <t>Shipped</t>
        </is>
      </c>
    </row>
    <row r="325">
      <c r="A325" s="25" t="inlineStr">
        <is>
          <t>R1200332</t>
        </is>
      </c>
      <c r="B325" s="78" t="n">
        <v>44404</v>
      </c>
      <c r="C325" s="25" t="inlineStr">
        <is>
          <t>20318</t>
        </is>
      </c>
      <c r="D325" s="25" t="inlineStr">
        <is>
          <t>OLD EZRA 7 YEAR 117 PROOF BOURBON</t>
        </is>
      </c>
      <c r="E325" s="27" t="n">
        <v>6</v>
      </c>
      <c r="F325" s="28" t="n">
        <v>276.9</v>
      </c>
      <c r="G325" s="27" t="n">
        <v>2</v>
      </c>
      <c r="H325" s="27" t="n">
        <v>2</v>
      </c>
      <c r="I325" s="27" t="n">
        <v>2</v>
      </c>
      <c r="J325" s="27" t="n">
        <v>2</v>
      </c>
      <c r="K325" s="25" t="inlineStr">
        <is>
          <t>Shipped</t>
        </is>
      </c>
    </row>
    <row r="326">
      <c r="A326" s="25" t="inlineStr">
        <is>
          <t>R1306487</t>
        </is>
      </c>
      <c r="B326" s="78" t="n">
        <v>44504</v>
      </c>
      <c r="C326" s="25" t="inlineStr">
        <is>
          <t>101333</t>
        </is>
      </c>
      <c r="D326" s="25" t="inlineStr">
        <is>
          <t>OLD FORESTER WHISKEY ROW COMBO PACK LTO</t>
        </is>
      </c>
      <c r="E326" s="27" t="n">
        <v>18</v>
      </c>
      <c r="F326" s="28" t="n">
        <v>384.2</v>
      </c>
      <c r="G326" s="27" t="n">
        <v>2</v>
      </c>
      <c r="H326" s="27" t="n">
        <v>2</v>
      </c>
      <c r="I326" s="27" t="n">
        <v>2</v>
      </c>
      <c r="J326" s="27" t="n">
        <v>2</v>
      </c>
      <c r="K326" s="25" t="inlineStr">
        <is>
          <t>Shipped</t>
        </is>
      </c>
    </row>
    <row r="327">
      <c r="A327" s="25" t="inlineStr">
        <is>
          <t>R1085752</t>
        </is>
      </c>
      <c r="B327" s="78" t="n">
        <v>44291</v>
      </c>
      <c r="C327" s="25" t="inlineStr">
        <is>
          <t>76412</t>
        </is>
      </c>
      <c r="D327" s="25" t="inlineStr">
        <is>
          <t>OLE SMOKY TENN MOONSHINE BUTTER PECAN</t>
        </is>
      </c>
      <c r="E327" s="27" t="n">
        <v>48</v>
      </c>
      <c r="F327" s="28" t="n">
        <v>96.08</v>
      </c>
      <c r="G327" s="27" t="n">
        <v>2</v>
      </c>
      <c r="H327" s="27" t="n">
        <v>2</v>
      </c>
      <c r="I327" s="27" t="n">
        <v>2</v>
      </c>
      <c r="J327" s="27" t="n">
        <v>2</v>
      </c>
      <c r="K327" s="25" t="inlineStr">
        <is>
          <t>Shipped</t>
        </is>
      </c>
    </row>
    <row r="328">
      <c r="A328" s="25" t="inlineStr">
        <is>
          <t>R1004033B</t>
        </is>
      </c>
      <c r="B328" s="78" t="n">
        <v>44252</v>
      </c>
      <c r="C328" s="25" t="inlineStr">
        <is>
          <t>88819</t>
        </is>
      </c>
      <c r="D328" s="25" t="inlineStr">
        <is>
          <t>OLMECA ALTOS ANEJO</t>
        </is>
      </c>
      <c r="E328" s="27" t="n">
        <v>6</v>
      </c>
      <c r="F328" s="28" t="n">
        <v>129.18</v>
      </c>
      <c r="G328" s="27" t="n">
        <v>1</v>
      </c>
      <c r="H328" s="27" t="n">
        <v>1</v>
      </c>
      <c r="I328" s="27" t="n">
        <v>1</v>
      </c>
      <c r="J328" s="27" t="n">
        <v>1</v>
      </c>
      <c r="K328" s="25" t="inlineStr">
        <is>
          <t>Shipped</t>
        </is>
      </c>
    </row>
    <row r="329">
      <c r="A329" s="25" t="inlineStr">
        <is>
          <t>R1047548</t>
        </is>
      </c>
      <c r="B329" s="78" t="n">
        <v>44260</v>
      </c>
      <c r="C329" s="25" t="inlineStr">
        <is>
          <t>88819</t>
        </is>
      </c>
      <c r="D329" s="25" t="inlineStr">
        <is>
          <t>OLMECA ALTOS ANEJO</t>
        </is>
      </c>
      <c r="E329" s="27" t="n">
        <v>6</v>
      </c>
      <c r="F329" s="28" t="n">
        <v>129.18</v>
      </c>
      <c r="G329" s="27" t="n">
        <v>2</v>
      </c>
      <c r="H329" s="27" t="n">
        <v>2</v>
      </c>
      <c r="I329" s="27" t="n">
        <v>2</v>
      </c>
      <c r="J329" s="27" t="n">
        <v>2</v>
      </c>
      <c r="K329" s="25" t="inlineStr">
        <is>
          <t>Shipped</t>
        </is>
      </c>
    </row>
    <row r="330">
      <c r="A330" s="25" t="inlineStr">
        <is>
          <t>R981895C</t>
        </is>
      </c>
      <c r="B330" s="78" t="n">
        <v>44218</v>
      </c>
      <c r="C330" s="25" t="inlineStr">
        <is>
          <t>88187</t>
        </is>
      </c>
      <c r="D330" s="25" t="inlineStr">
        <is>
          <t>OLMECA ALTOS PLATA</t>
        </is>
      </c>
      <c r="E330" s="27" t="n">
        <v>6</v>
      </c>
      <c r="F330" s="28" t="n">
        <v>96.87</v>
      </c>
      <c r="G330" s="27" t="n">
        <v>70</v>
      </c>
      <c r="H330" s="27" t="n">
        <v>70</v>
      </c>
      <c r="I330" s="27" t="n">
        <v>70</v>
      </c>
      <c r="J330" s="27" t="n">
        <v>70</v>
      </c>
      <c r="K330" s="25" t="inlineStr">
        <is>
          <t>Shipped</t>
        </is>
      </c>
    </row>
    <row r="331">
      <c r="A331" s="25" t="inlineStr">
        <is>
          <t>R981895A</t>
        </is>
      </c>
      <c r="B331" s="78" t="n">
        <v>44211</v>
      </c>
      <c r="C331" s="25" t="inlineStr">
        <is>
          <t>89609</t>
        </is>
      </c>
      <c r="D331" s="25" t="inlineStr">
        <is>
          <t>OLMECA ALTOS REPOSADO</t>
        </is>
      </c>
      <c r="E331" s="27" t="n">
        <v>6</v>
      </c>
      <c r="F331" s="28" t="n">
        <v>96.87</v>
      </c>
      <c r="G331" s="27" t="n">
        <v>1</v>
      </c>
      <c r="H331" s="27" t="n">
        <v>2</v>
      </c>
      <c r="I331" s="27" t="n">
        <v>1</v>
      </c>
      <c r="J331" s="27" t="n">
        <v>1</v>
      </c>
      <c r="K331" s="25" t="inlineStr">
        <is>
          <t>Shipped</t>
        </is>
      </c>
    </row>
    <row r="332">
      <c r="A332" s="25" t="inlineStr">
        <is>
          <t>R981895B</t>
        </is>
      </c>
      <c r="B332" s="78" t="n">
        <v>44216</v>
      </c>
      <c r="C332" s="25" t="inlineStr">
        <is>
          <t>89609</t>
        </is>
      </c>
      <c r="D332" s="25" t="inlineStr">
        <is>
          <t>OLMECA ALTOS REPOSADO</t>
        </is>
      </c>
      <c r="E332" s="27" t="n">
        <v>6</v>
      </c>
      <c r="F332" s="28" t="n">
        <v>96.87</v>
      </c>
      <c r="G332" s="27" t="n">
        <v>1</v>
      </c>
      <c r="H332" s="27" t="n">
        <v>1</v>
      </c>
      <c r="I332" s="27" t="n">
        <v>1</v>
      </c>
      <c r="J332" s="27" t="n">
        <v>1</v>
      </c>
      <c r="K332" s="25" t="inlineStr">
        <is>
          <t>Shipped</t>
        </is>
      </c>
    </row>
    <row r="333">
      <c r="A333" s="25" t="inlineStr">
        <is>
          <t>R981895C</t>
        </is>
      </c>
      <c r="B333" s="78" t="n">
        <v>44218</v>
      </c>
      <c r="C333" s="25" t="inlineStr">
        <is>
          <t>89609</t>
        </is>
      </c>
      <c r="D333" s="25" t="inlineStr">
        <is>
          <t>OLMECA ALTOS REPOSADO</t>
        </is>
      </c>
      <c r="E333" s="27" t="n">
        <v>6</v>
      </c>
      <c r="F333" s="28" t="n">
        <v>96.87</v>
      </c>
      <c r="G333" s="27" t="n">
        <v>55</v>
      </c>
      <c r="H333" s="27" t="n">
        <v>55</v>
      </c>
      <c r="I333" s="27" t="n">
        <v>55</v>
      </c>
      <c r="J333" s="27" t="n">
        <v>55</v>
      </c>
      <c r="K333" s="25" t="inlineStr">
        <is>
          <t>Shipped</t>
        </is>
      </c>
    </row>
    <row r="334">
      <c r="A334" s="25" t="inlineStr">
        <is>
          <t>R1015317</t>
        </is>
      </c>
      <c r="B334" s="78" t="n">
        <v>44216</v>
      </c>
      <c r="C334" s="25" t="inlineStr">
        <is>
          <t>89609</t>
        </is>
      </c>
      <c r="D334" s="25" t="inlineStr">
        <is>
          <t>OLMECA ALTOS REPOSADO</t>
        </is>
      </c>
      <c r="E334" s="27" t="n">
        <v>6</v>
      </c>
      <c r="F334" s="28" t="n">
        <v>143.02</v>
      </c>
      <c r="G334" s="27" t="n">
        <v>1</v>
      </c>
      <c r="H334" s="27" t="n">
        <v>1</v>
      </c>
      <c r="I334" s="27" t="n">
        <v>1</v>
      </c>
      <c r="J334" s="27" t="n">
        <v>1</v>
      </c>
      <c r="K334" s="25" t="inlineStr">
        <is>
          <t>Shipped</t>
        </is>
      </c>
    </row>
    <row r="335">
      <c r="A335" s="25" t="inlineStr">
        <is>
          <t>R1325645</t>
        </is>
      </c>
      <c r="B335" s="78" t="n">
        <v>44508</v>
      </c>
      <c r="C335" s="25" t="inlineStr">
        <is>
          <t>63311</t>
        </is>
      </c>
      <c r="D335" s="25" t="inlineStr">
        <is>
          <t>ON THE ROCKS COCKTAILS CRUZAN MAI TAI</t>
        </is>
      </c>
      <c r="E335" s="27" t="n">
        <v>12</v>
      </c>
      <c r="F335" s="28" t="n">
        <v>119.92</v>
      </c>
      <c r="G335" s="27" t="n">
        <v>1</v>
      </c>
      <c r="H335" s="27" t="n">
        <v>1</v>
      </c>
      <c r="I335" s="27" t="n">
        <v>1</v>
      </c>
      <c r="J335" s="27" t="n">
        <v>1</v>
      </c>
      <c r="K335" s="25" t="inlineStr">
        <is>
          <t>Shipped</t>
        </is>
      </c>
    </row>
    <row r="336">
      <c r="A336" s="25" t="inlineStr">
        <is>
          <t>R1375771</t>
        </is>
      </c>
      <c r="B336" s="78" t="n">
        <v>44546</v>
      </c>
      <c r="C336" s="25" t="inlineStr">
        <is>
          <t>63311</t>
        </is>
      </c>
      <c r="D336" s="25" t="inlineStr">
        <is>
          <t>ON THE ROCKS COCKTAILS CRUZAN MAI TAI</t>
        </is>
      </c>
      <c r="E336" s="27" t="n">
        <v>12</v>
      </c>
      <c r="F336" s="28" t="n">
        <v>120.92</v>
      </c>
      <c r="G336" s="27" t="n">
        <v>2</v>
      </c>
      <c r="H336" s="27" t="n">
        <v>2</v>
      </c>
      <c r="I336" s="27" t="n">
        <v>2</v>
      </c>
      <c r="J336" s="27" t="n">
        <v>2</v>
      </c>
      <c r="K336" s="25" t="inlineStr">
        <is>
          <t>Shipped</t>
        </is>
      </c>
    </row>
    <row r="337">
      <c r="A337" s="25" t="inlineStr">
        <is>
          <t>R1325645A</t>
        </is>
      </c>
      <c r="B337" s="78" t="n">
        <v>44516</v>
      </c>
      <c r="C337" s="25" t="inlineStr">
        <is>
          <t>63319</t>
        </is>
      </c>
      <c r="D337" s="25" t="inlineStr">
        <is>
          <t>ON THE ROCKS EFFEN COSMOPOLITAN</t>
        </is>
      </c>
      <c r="E337" s="27" t="n">
        <v>12</v>
      </c>
      <c r="F337" s="28" t="n">
        <v>119.92</v>
      </c>
      <c r="G337" s="27" t="n">
        <v>2</v>
      </c>
      <c r="H337" s="27" t="n">
        <v>2</v>
      </c>
      <c r="I337" s="27" t="n">
        <v>2</v>
      </c>
      <c r="J337" s="27" t="n">
        <v>2</v>
      </c>
      <c r="K337" s="25" t="inlineStr">
        <is>
          <t>Shipped</t>
        </is>
      </c>
    </row>
    <row r="338">
      <c r="A338" s="25" t="inlineStr">
        <is>
          <t>R1367622</t>
        </is>
      </c>
      <c r="B338" s="78" t="n">
        <v>44543</v>
      </c>
      <c r="C338" s="25" t="inlineStr">
        <is>
          <t>63319</t>
        </is>
      </c>
      <c r="D338" s="25" t="inlineStr">
        <is>
          <t>ON THE ROCKS EFFEN COSMOPOLITAN</t>
        </is>
      </c>
      <c r="E338" s="27" t="n">
        <v>12</v>
      </c>
      <c r="F338" s="28" t="n">
        <v>120.92</v>
      </c>
      <c r="G338" s="27" t="n">
        <v>2</v>
      </c>
      <c r="H338" s="27" t="n">
        <v>2</v>
      </c>
      <c r="I338" s="27" t="n">
        <v>2</v>
      </c>
      <c r="J338" s="27" t="n">
        <v>2</v>
      </c>
      <c r="K338" s="25" t="inlineStr">
        <is>
          <t>Shipped</t>
        </is>
      </c>
    </row>
    <row r="339">
      <c r="A339" s="25" t="inlineStr">
        <is>
          <t>R1103612</t>
        </is>
      </c>
      <c r="B339" s="78" t="n">
        <v>44313</v>
      </c>
      <c r="C339" s="25" t="inlineStr">
        <is>
          <t>63321</t>
        </is>
      </c>
      <c r="D339" s="25" t="inlineStr">
        <is>
          <t>ON THE ROCKS HORINITOS MARGARITA</t>
        </is>
      </c>
      <c r="E339" s="27" t="n">
        <v>12</v>
      </c>
      <c r="F339" s="28" t="n">
        <v>111.36</v>
      </c>
      <c r="G339" s="27" t="n">
        <v>1</v>
      </c>
      <c r="H339" s="27" t="n">
        <v>1</v>
      </c>
      <c r="I339" s="27" t="n">
        <v>1</v>
      </c>
      <c r="J339" s="27" t="n">
        <v>1</v>
      </c>
      <c r="K339" s="25" t="inlineStr">
        <is>
          <t>Shipped</t>
        </is>
      </c>
    </row>
    <row r="340">
      <c r="A340" s="25" t="inlineStr">
        <is>
          <t>R1170210</t>
        </is>
      </c>
      <c r="B340" s="78" t="n">
        <v>44362</v>
      </c>
      <c r="C340" s="25" t="inlineStr">
        <is>
          <t>63321</t>
        </is>
      </c>
      <c r="D340" s="25" t="inlineStr">
        <is>
          <t>ON THE ROCKS HORINITOS MARGARITA</t>
        </is>
      </c>
      <c r="E340" s="27" t="n">
        <v>12</v>
      </c>
      <c r="F340" s="28" t="n">
        <v>111.36</v>
      </c>
      <c r="G340" s="27" t="n">
        <v>1</v>
      </c>
      <c r="H340" s="27" t="n">
        <v>1</v>
      </c>
      <c r="I340" s="27" t="n">
        <v>1</v>
      </c>
      <c r="J340" s="27" t="n">
        <v>1</v>
      </c>
      <c r="K340" s="25" t="inlineStr">
        <is>
          <t>Shipped</t>
        </is>
      </c>
    </row>
    <row r="341">
      <c r="A341" s="25" t="inlineStr">
        <is>
          <t>R1244745</t>
        </is>
      </c>
      <c r="B341" s="78" t="n">
        <v>44455</v>
      </c>
      <c r="C341" s="25" t="inlineStr">
        <is>
          <t>63321</t>
        </is>
      </c>
      <c r="D341" s="25" t="inlineStr">
        <is>
          <t>ON THE ROCKS HORINITOS MARGARITA</t>
        </is>
      </c>
      <c r="E341" s="27" t="n">
        <v>12</v>
      </c>
      <c r="F341" s="28" t="n">
        <v>111.36</v>
      </c>
      <c r="G341" s="27" t="n">
        <v>2</v>
      </c>
      <c r="H341" s="27" t="n">
        <v>2</v>
      </c>
      <c r="I341" s="27" t="n">
        <v>2</v>
      </c>
      <c r="J341" s="27" t="n">
        <v>2</v>
      </c>
      <c r="K341" s="25" t="inlineStr">
        <is>
          <t>Shipped</t>
        </is>
      </c>
    </row>
    <row r="342">
      <c r="A342" s="25" t="inlineStr">
        <is>
          <t>R1367622A</t>
        </is>
      </c>
      <c r="B342" s="78" t="n">
        <v>44545</v>
      </c>
      <c r="C342" s="25" t="inlineStr">
        <is>
          <t>63321</t>
        </is>
      </c>
      <c r="D342" s="25" t="inlineStr">
        <is>
          <t>ON THE ROCKS HORINITOS MARGARITA</t>
        </is>
      </c>
      <c r="E342" s="27" t="n">
        <v>12</v>
      </c>
      <c r="F342" s="28" t="n">
        <v>120.92</v>
      </c>
      <c r="G342" s="27" t="n">
        <v>1</v>
      </c>
      <c r="H342" s="27" t="n">
        <v>1</v>
      </c>
      <c r="I342" s="27" t="n">
        <v>1</v>
      </c>
      <c r="J342" s="27" t="n">
        <v>1</v>
      </c>
      <c r="K342" s="25" t="inlineStr">
        <is>
          <t>Shipped</t>
        </is>
      </c>
    </row>
    <row r="343">
      <c r="A343" s="25" t="inlineStr">
        <is>
          <t>R1375106</t>
        </is>
      </c>
      <c r="B343" s="78" t="n">
        <v>44529</v>
      </c>
      <c r="C343" s="25" t="inlineStr">
        <is>
          <t>63321</t>
        </is>
      </c>
      <c r="D343" s="25" t="inlineStr">
        <is>
          <t>ON THE ROCKS HORINITOS MARGARITA</t>
        </is>
      </c>
      <c r="E343" s="27" t="n">
        <v>12</v>
      </c>
      <c r="F343" s="28" t="n">
        <v>119.92</v>
      </c>
      <c r="G343" s="27" t="n">
        <v>2</v>
      </c>
      <c r="H343" s="27" t="n">
        <v>2</v>
      </c>
      <c r="I343" s="27" t="n">
        <v>2</v>
      </c>
      <c r="J343" s="27" t="n">
        <v>2</v>
      </c>
      <c r="K343" s="25" t="inlineStr">
        <is>
          <t>Shipped</t>
        </is>
      </c>
    </row>
    <row r="344">
      <c r="A344" s="25" t="inlineStr">
        <is>
          <t>R1103612A</t>
        </is>
      </c>
      <c r="B344" s="78" t="n">
        <v>44349</v>
      </c>
      <c r="C344" s="25" t="inlineStr">
        <is>
          <t>63347</t>
        </is>
      </c>
      <c r="D344" s="25" t="inlineStr">
        <is>
          <t>ON THE ROCKS KNOB CREEK OLD FASHIONED</t>
        </is>
      </c>
      <c r="E344" s="27" t="n">
        <v>12</v>
      </c>
      <c r="F344" s="28" t="n">
        <v>111.36</v>
      </c>
      <c r="G344" s="27" t="n">
        <v>1</v>
      </c>
      <c r="H344" s="27" t="n">
        <v>1</v>
      </c>
      <c r="I344" s="27" t="n">
        <v>1</v>
      </c>
      <c r="J344" s="27" t="n">
        <v>1</v>
      </c>
      <c r="K344" s="25" t="inlineStr">
        <is>
          <t>Shipped</t>
        </is>
      </c>
    </row>
    <row r="345">
      <c r="A345" s="25" t="inlineStr">
        <is>
          <t>R1203792</t>
        </is>
      </c>
      <c r="B345" s="78" t="n">
        <v>44427</v>
      </c>
      <c r="C345" s="25" t="inlineStr">
        <is>
          <t>63347</t>
        </is>
      </c>
      <c r="D345" s="25" t="inlineStr">
        <is>
          <t>ON THE ROCKS KNOB CREEK OLD FASHIONED</t>
        </is>
      </c>
      <c r="E345" s="27" t="n">
        <v>12</v>
      </c>
      <c r="F345" s="28" t="n">
        <v>111.36</v>
      </c>
      <c r="G345" s="27" t="n">
        <v>1</v>
      </c>
      <c r="H345" s="27" t="n">
        <v>1</v>
      </c>
      <c r="I345" s="27" t="n">
        <v>1</v>
      </c>
      <c r="J345" s="27" t="n">
        <v>1</v>
      </c>
      <c r="K345" s="25" t="inlineStr">
        <is>
          <t>Shipped</t>
        </is>
      </c>
    </row>
    <row r="346">
      <c r="A346" s="25" t="inlineStr">
        <is>
          <t>R1375106</t>
        </is>
      </c>
      <c r="B346" s="78" t="n">
        <v>44529</v>
      </c>
      <c r="C346" s="25" t="inlineStr">
        <is>
          <t>63347</t>
        </is>
      </c>
      <c r="D346" s="25" t="inlineStr">
        <is>
          <t>ON THE ROCKS KNOB CREEK OLD FASHIONED</t>
        </is>
      </c>
      <c r="E346" s="27" t="n">
        <v>12</v>
      </c>
      <c r="F346" s="28" t="n">
        <v>119.92</v>
      </c>
      <c r="G346" s="27" t="n">
        <v>1</v>
      </c>
      <c r="H346" s="27" t="n">
        <v>1</v>
      </c>
      <c r="I346" s="27" t="n">
        <v>1</v>
      </c>
      <c r="J346" s="27" t="n">
        <v>1</v>
      </c>
      <c r="K346" s="25" t="inlineStr">
        <is>
          <t>Shipped</t>
        </is>
      </c>
    </row>
    <row r="347">
      <c r="A347" s="25" t="inlineStr">
        <is>
          <t>R1325645A</t>
        </is>
      </c>
      <c r="B347" s="78" t="n">
        <v>44516</v>
      </c>
      <c r="C347" s="25" t="inlineStr">
        <is>
          <t>63345</t>
        </is>
      </c>
      <c r="D347" s="25" t="inlineStr">
        <is>
          <t>ON THE ROCKS TRES GEN JALAPENO PINEAPPLE MARGARITA</t>
        </is>
      </c>
      <c r="E347" s="27" t="n">
        <v>12</v>
      </c>
      <c r="F347" s="28" t="n">
        <v>119.92</v>
      </c>
      <c r="G347" s="27" t="n">
        <v>1</v>
      </c>
      <c r="H347" s="27" t="n">
        <v>1</v>
      </c>
      <c r="I347" s="27" t="n">
        <v>1</v>
      </c>
      <c r="J347" s="27" t="n">
        <v>1</v>
      </c>
      <c r="K347" s="25" t="inlineStr">
        <is>
          <t>Shipped</t>
        </is>
      </c>
    </row>
    <row r="348">
      <c r="A348" s="25" t="inlineStr">
        <is>
          <t>R1004033</t>
        </is>
      </c>
      <c r="B348" s="78" t="n">
        <v>44221</v>
      </c>
      <c r="C348" s="25" t="inlineStr">
        <is>
          <t>21186</t>
        </is>
      </c>
      <c r="D348" s="25" t="inlineStr">
        <is>
          <t>RABBIT HOLE HEIGOLD</t>
        </is>
      </c>
      <c r="E348" s="27" t="n">
        <v>6</v>
      </c>
      <c r="F348" s="28" t="n">
        <v>276.88</v>
      </c>
      <c r="G348" s="27" t="n">
        <v>2</v>
      </c>
      <c r="H348" s="27" t="n">
        <v>2</v>
      </c>
      <c r="I348" s="27" t="n">
        <v>2</v>
      </c>
      <c r="J348" s="27" t="n">
        <v>2</v>
      </c>
      <c r="K348" s="25" t="inlineStr">
        <is>
          <t>Shipped</t>
        </is>
      </c>
    </row>
    <row r="349">
      <c r="A349" s="25" t="inlineStr">
        <is>
          <t>R1005182A</t>
        </is>
      </c>
      <c r="B349" s="78" t="n">
        <v>44216</v>
      </c>
      <c r="C349" s="25" t="inlineStr">
        <is>
          <t>913088</t>
        </is>
      </c>
      <c r="D349" s="25" t="inlineStr">
        <is>
          <t>RANCHO LA GLORIA MANGO MARG WINE COCKTAIL</t>
        </is>
      </c>
      <c r="E349" s="27" t="n">
        <v>12</v>
      </c>
      <c r="F349" s="28" t="n">
        <v>96</v>
      </c>
      <c r="G349" s="27" t="n">
        <v>5</v>
      </c>
      <c r="H349" s="27" t="n">
        <v>5</v>
      </c>
      <c r="I349" s="27" t="n">
        <v>5</v>
      </c>
      <c r="J349" s="27" t="n">
        <v>5</v>
      </c>
      <c r="K349" s="25" t="inlineStr">
        <is>
          <t>Shipped</t>
        </is>
      </c>
    </row>
    <row r="350">
      <c r="A350" s="25" t="inlineStr">
        <is>
          <t>R1054379</t>
        </is>
      </c>
      <c r="B350" s="78" t="n">
        <v>44277</v>
      </c>
      <c r="C350" s="25" t="inlineStr">
        <is>
          <t>913088</t>
        </is>
      </c>
      <c r="D350" s="25" t="inlineStr">
        <is>
          <t>RANCHO LA GLORIA MANGO MARG WINE COCKTAIL</t>
        </is>
      </c>
      <c r="E350" s="27" t="n">
        <v>12</v>
      </c>
      <c r="F350" s="28" t="n">
        <v>96</v>
      </c>
      <c r="G350" s="27" t="n">
        <v>3</v>
      </c>
      <c r="H350" s="27" t="n">
        <v>3</v>
      </c>
      <c r="I350" s="27" t="n">
        <v>3</v>
      </c>
      <c r="J350" s="27" t="n">
        <v>3</v>
      </c>
      <c r="K350" s="25" t="inlineStr">
        <is>
          <t>Shipped</t>
        </is>
      </c>
    </row>
    <row r="351">
      <c r="A351" s="25" t="inlineStr">
        <is>
          <t>R1065319</t>
        </is>
      </c>
      <c r="B351" s="78" t="n">
        <v>44259</v>
      </c>
      <c r="C351" s="25" t="inlineStr">
        <is>
          <t>913088</t>
        </is>
      </c>
      <c r="D351" s="25" t="inlineStr">
        <is>
          <t>RANCHO LA GLORIA MANGO MARG WINE COCKTAIL</t>
        </is>
      </c>
      <c r="E351" s="27" t="n">
        <v>12</v>
      </c>
      <c r="F351" s="28" t="n">
        <v>96</v>
      </c>
      <c r="G351" s="27" t="n">
        <v>5</v>
      </c>
      <c r="H351" s="27" t="n">
        <v>5</v>
      </c>
      <c r="I351" s="27" t="n">
        <v>5</v>
      </c>
      <c r="J351" s="27" t="n">
        <v>5</v>
      </c>
      <c r="K351" s="25" t="inlineStr">
        <is>
          <t>Shipped</t>
        </is>
      </c>
    </row>
    <row r="352">
      <c r="A352" s="25" t="inlineStr">
        <is>
          <t>R1005182</t>
        </is>
      </c>
      <c r="B352" s="78" t="n">
        <v>44207</v>
      </c>
      <c r="C352" s="25" t="inlineStr">
        <is>
          <t>902565</t>
        </is>
      </c>
      <c r="D352" s="25" t="inlineStr">
        <is>
          <t>RANCHO LA GLORIA MARGARITA WINE COCKTAIL</t>
        </is>
      </c>
      <c r="E352" s="27" t="n">
        <v>12</v>
      </c>
      <c r="F352" s="28" t="n">
        <v>96</v>
      </c>
      <c r="G352" s="27" t="n">
        <v>5</v>
      </c>
      <c r="H352" s="27" t="n">
        <v>5</v>
      </c>
      <c r="I352" s="27" t="n">
        <v>5</v>
      </c>
      <c r="J352" s="27" t="n">
        <v>5</v>
      </c>
      <c r="K352" s="25" t="inlineStr">
        <is>
          <t>Shipped</t>
        </is>
      </c>
    </row>
    <row r="353">
      <c r="A353" s="25" t="inlineStr">
        <is>
          <t>R1035037</t>
        </is>
      </c>
      <c r="B353" s="78" t="n">
        <v>44223</v>
      </c>
      <c r="C353" s="25" t="inlineStr">
        <is>
          <t>902565</t>
        </is>
      </c>
      <c r="D353" s="25" t="inlineStr">
        <is>
          <t>RANCHO LA GLORIA MARGARITA WINE COCKTAIL</t>
        </is>
      </c>
      <c r="E353" s="27" t="n">
        <v>12</v>
      </c>
      <c r="F353" s="28" t="n">
        <v>96</v>
      </c>
      <c r="G353" s="27" t="n">
        <v>5</v>
      </c>
      <c r="H353" s="27" t="n">
        <v>5</v>
      </c>
      <c r="I353" s="27" t="n">
        <v>5</v>
      </c>
      <c r="J353" s="27" t="n">
        <v>5</v>
      </c>
      <c r="K353" s="25" t="inlineStr">
        <is>
          <t>Shipped</t>
        </is>
      </c>
    </row>
    <row r="354">
      <c r="A354" s="25" t="inlineStr">
        <is>
          <t>R1005182A</t>
        </is>
      </c>
      <c r="B354" s="78" t="n">
        <v>44216</v>
      </c>
      <c r="C354" s="25" t="inlineStr">
        <is>
          <t>913090</t>
        </is>
      </c>
      <c r="D354" s="25" t="inlineStr">
        <is>
          <t>RANCHO LA GLORIA PEACH MARG WINE COCKTAIL RTD</t>
        </is>
      </c>
      <c r="E354" s="27" t="n">
        <v>12</v>
      </c>
      <c r="F354" s="28" t="n">
        <v>96</v>
      </c>
      <c r="G354" s="27" t="n">
        <v>5</v>
      </c>
      <c r="H354" s="27" t="n">
        <v>5</v>
      </c>
      <c r="I354" s="27" t="n">
        <v>5</v>
      </c>
      <c r="J354" s="27" t="n">
        <v>5</v>
      </c>
      <c r="K354" s="25" t="inlineStr">
        <is>
          <t>Shipped</t>
        </is>
      </c>
    </row>
    <row r="355">
      <c r="A355" s="25" t="inlineStr">
        <is>
          <t>R1065319A</t>
        </is>
      </c>
      <c r="B355" s="78" t="n">
        <v>44300</v>
      </c>
      <c r="C355" s="25" t="inlineStr">
        <is>
          <t>913090</t>
        </is>
      </c>
      <c r="D355" s="25" t="inlineStr">
        <is>
          <t>RANCHO LA GLORIA PEACH MARG WINE COCKTAIL RTD</t>
        </is>
      </c>
      <c r="E355" s="27" t="n">
        <v>12</v>
      </c>
      <c r="F355" s="28" t="n">
        <v>96</v>
      </c>
      <c r="G355" s="27" t="n">
        <v>5</v>
      </c>
      <c r="H355" s="27" t="n">
        <v>5</v>
      </c>
      <c r="I355" s="27" t="n">
        <v>5</v>
      </c>
      <c r="J355" s="27" t="n">
        <v>5</v>
      </c>
      <c r="K355" s="25" t="inlineStr">
        <is>
          <t>Shipped</t>
        </is>
      </c>
    </row>
    <row r="356">
      <c r="A356" s="25" t="inlineStr">
        <is>
          <t>R1054379A</t>
        </is>
      </c>
      <c r="B356" s="78" t="n">
        <v>44314</v>
      </c>
      <c r="C356" s="25" t="inlineStr">
        <is>
          <t>913090</t>
        </is>
      </c>
      <c r="D356" s="25" t="inlineStr">
        <is>
          <t>RANCHO LA GLORIA PEACH MARG WINE COCKTAIL RTD</t>
        </is>
      </c>
      <c r="E356" s="27" t="n">
        <v>12</v>
      </c>
      <c r="F356" s="28" t="n">
        <v>96</v>
      </c>
      <c r="G356" s="27" t="n">
        <v>3</v>
      </c>
      <c r="H356" s="27" t="n">
        <v>3</v>
      </c>
      <c r="I356" s="27" t="n">
        <v>3</v>
      </c>
      <c r="J356" s="27" t="n">
        <v>3</v>
      </c>
      <c r="K356" s="25" t="inlineStr">
        <is>
          <t>Shipped</t>
        </is>
      </c>
    </row>
    <row r="357">
      <c r="A357" s="25" t="inlineStr">
        <is>
          <t>R1153280</t>
        </is>
      </c>
      <c r="B357" s="78" t="n">
        <v>44383</v>
      </c>
      <c r="C357" s="25" t="inlineStr">
        <is>
          <t>913090</t>
        </is>
      </c>
      <c r="D357" s="25" t="inlineStr">
        <is>
          <t>RANCHO LA GLORIA PEACH MARG WINE COCKTAIL RTD</t>
        </is>
      </c>
      <c r="E357" s="27" t="n">
        <v>12</v>
      </c>
      <c r="F357" s="28" t="n">
        <v>96</v>
      </c>
      <c r="G357" s="27" t="n">
        <v>2</v>
      </c>
      <c r="H357" s="27" t="n">
        <v>2</v>
      </c>
      <c r="I357" s="27" t="n">
        <v>2</v>
      </c>
      <c r="J357" s="27" t="n">
        <v>2</v>
      </c>
      <c r="K357" s="25" t="inlineStr">
        <is>
          <t>Shipped</t>
        </is>
      </c>
    </row>
    <row r="358">
      <c r="A358" s="25" t="inlineStr">
        <is>
          <t>R1199468</t>
        </is>
      </c>
      <c r="B358" s="78" t="n">
        <v>44424</v>
      </c>
      <c r="C358" s="25" t="inlineStr">
        <is>
          <t>913090</t>
        </is>
      </c>
      <c r="D358" s="25" t="inlineStr">
        <is>
          <t>RANCHO LA GLORIA PEACH MARG WINE COCKTAIL RTD</t>
        </is>
      </c>
      <c r="E358" s="27" t="n">
        <v>12</v>
      </c>
      <c r="F358" s="28" t="n">
        <v>96</v>
      </c>
      <c r="G358" s="27" t="n">
        <v>3</v>
      </c>
      <c r="H358" s="27" t="n">
        <v>3</v>
      </c>
      <c r="I358" s="27" t="n">
        <v>3</v>
      </c>
      <c r="J358" s="27" t="n">
        <v>3</v>
      </c>
      <c r="K358" s="25" t="inlineStr">
        <is>
          <t>Shipped</t>
        </is>
      </c>
    </row>
    <row r="359">
      <c r="A359" s="25" t="inlineStr">
        <is>
          <t>R1005182</t>
        </is>
      </c>
      <c r="B359" s="78" t="n">
        <v>44207</v>
      </c>
      <c r="C359" s="25" t="inlineStr">
        <is>
          <t>913092</t>
        </is>
      </c>
      <c r="D359" s="25" t="inlineStr">
        <is>
          <t>RANCHO LA GLORIA WATERMELON MARG WINE COCKTAIL</t>
        </is>
      </c>
      <c r="E359" s="27" t="n">
        <v>12</v>
      </c>
      <c r="F359" s="28" t="n">
        <v>96</v>
      </c>
      <c r="G359" s="27" t="n">
        <v>5</v>
      </c>
      <c r="H359" s="27" t="n">
        <v>5</v>
      </c>
      <c r="I359" s="27" t="n">
        <v>5</v>
      </c>
      <c r="J359" s="27" t="n">
        <v>5</v>
      </c>
      <c r="K359" s="25" t="inlineStr">
        <is>
          <t>Shipped</t>
        </is>
      </c>
    </row>
    <row r="360">
      <c r="A360" s="25" t="inlineStr">
        <is>
          <t>R1035037A</t>
        </is>
      </c>
      <c r="B360" s="78" t="n">
        <v>44237</v>
      </c>
      <c r="C360" s="25" t="inlineStr">
        <is>
          <t>913092</t>
        </is>
      </c>
      <c r="D360" s="25" t="inlineStr">
        <is>
          <t>RANCHO LA GLORIA WATERMELON MARG WINE COCKTAIL</t>
        </is>
      </c>
      <c r="E360" s="27" t="n">
        <v>12</v>
      </c>
      <c r="F360" s="28" t="n">
        <v>96</v>
      </c>
      <c r="G360" s="27" t="n">
        <v>5</v>
      </c>
      <c r="H360" s="27" t="n">
        <v>5</v>
      </c>
      <c r="I360" s="27" t="n">
        <v>5</v>
      </c>
      <c r="J360" s="27" t="n">
        <v>5</v>
      </c>
      <c r="K360" s="25" t="inlineStr">
        <is>
          <t>Shipped</t>
        </is>
      </c>
    </row>
    <row r="361">
      <c r="A361" s="25" t="inlineStr">
        <is>
          <t>R1054379</t>
        </is>
      </c>
      <c r="B361" s="78" t="n">
        <v>44277</v>
      </c>
      <c r="C361" s="25" t="inlineStr">
        <is>
          <t>913092</t>
        </is>
      </c>
      <c r="D361" s="25" t="inlineStr">
        <is>
          <t>RANCHO LA GLORIA WATERMELON MARG WINE COCKTAIL</t>
        </is>
      </c>
      <c r="E361" s="27" t="n">
        <v>12</v>
      </c>
      <c r="F361" s="28" t="n">
        <v>96</v>
      </c>
      <c r="G361" s="27" t="n">
        <v>3</v>
      </c>
      <c r="H361" s="27" t="n">
        <v>3</v>
      </c>
      <c r="I361" s="27" t="n">
        <v>3</v>
      </c>
      <c r="J361" s="27" t="n">
        <v>3</v>
      </c>
      <c r="K361" s="25" t="inlineStr">
        <is>
          <t>Shipped</t>
        </is>
      </c>
    </row>
    <row r="362">
      <c r="A362" s="25" t="inlineStr">
        <is>
          <t>R1065319</t>
        </is>
      </c>
      <c r="B362" s="78" t="n">
        <v>44259</v>
      </c>
      <c r="C362" s="25" t="inlineStr">
        <is>
          <t>913092</t>
        </is>
      </c>
      <c r="D362" s="25" t="inlineStr">
        <is>
          <t>RANCHO LA GLORIA WATERMELON MARG WINE COCKTAIL</t>
        </is>
      </c>
      <c r="E362" s="27" t="n">
        <v>12</v>
      </c>
      <c r="F362" s="28" t="n">
        <v>96</v>
      </c>
      <c r="G362" s="27" t="n">
        <v>5</v>
      </c>
      <c r="H362" s="27" t="n">
        <v>5</v>
      </c>
      <c r="I362" s="27" t="n">
        <v>5</v>
      </c>
      <c r="J362" s="27" t="n">
        <v>5</v>
      </c>
      <c r="K362" s="25" t="inlineStr">
        <is>
          <t>Shipped</t>
        </is>
      </c>
    </row>
    <row r="363">
      <c r="A363" s="25" t="inlineStr">
        <is>
          <t>R1096031</t>
        </is>
      </c>
      <c r="B363" s="78" t="n">
        <v>44300</v>
      </c>
      <c r="C363" s="25" t="inlineStr">
        <is>
          <t>913092</t>
        </is>
      </c>
      <c r="D363" s="25" t="inlineStr">
        <is>
          <t>RANCHO LA GLORIA WATERMELON MARG WINE COCKTAIL</t>
        </is>
      </c>
      <c r="E363" s="27" t="n">
        <v>12</v>
      </c>
      <c r="F363" s="28" t="n">
        <v>96</v>
      </c>
      <c r="G363" s="27" t="n">
        <v>2</v>
      </c>
      <c r="H363" s="27" t="n">
        <v>2</v>
      </c>
      <c r="I363" s="27" t="n">
        <v>2</v>
      </c>
      <c r="J363" s="27" t="n">
        <v>2</v>
      </c>
      <c r="K363" s="25" t="inlineStr">
        <is>
          <t>Shipped</t>
        </is>
      </c>
    </row>
    <row r="364">
      <c r="A364" s="25" t="inlineStr">
        <is>
          <t>R1142028</t>
        </is>
      </c>
      <c r="B364" s="78" t="n">
        <v>44350</v>
      </c>
      <c r="C364" s="25" t="inlineStr">
        <is>
          <t>913092</t>
        </is>
      </c>
      <c r="D364" s="25" t="inlineStr">
        <is>
          <t>RANCHO LA GLORIA WATERMELON MARG WINE COCKTAIL</t>
        </is>
      </c>
      <c r="E364" s="27" t="n">
        <v>12</v>
      </c>
      <c r="F364" s="28" t="n">
        <v>96</v>
      </c>
      <c r="G364" s="27" t="n">
        <v>8</v>
      </c>
      <c r="H364" s="27" t="n">
        <v>8</v>
      </c>
      <c r="I364" s="27" t="n">
        <v>8</v>
      </c>
      <c r="J364" s="27" t="n">
        <v>8</v>
      </c>
      <c r="K364" s="25" t="inlineStr">
        <is>
          <t>Shipped</t>
        </is>
      </c>
    </row>
    <row r="365">
      <c r="A365" s="25" t="inlineStr">
        <is>
          <t>R1152611</t>
        </is>
      </c>
      <c r="B365" s="78" t="n">
        <v>44368</v>
      </c>
      <c r="C365" s="25" t="inlineStr">
        <is>
          <t>913092</t>
        </is>
      </c>
      <c r="D365" s="25" t="inlineStr">
        <is>
          <t>RANCHO LA GLORIA WATERMELON MARG WINE COCKTAIL</t>
        </is>
      </c>
      <c r="E365" s="27" t="n">
        <v>12</v>
      </c>
      <c r="F365" s="28" t="n">
        <v>96</v>
      </c>
      <c r="G365" s="27" t="n">
        <v>2</v>
      </c>
      <c r="H365" s="27" t="n">
        <v>2</v>
      </c>
      <c r="I365" s="27" t="n">
        <v>2</v>
      </c>
      <c r="J365" s="27" t="n">
        <v>2</v>
      </c>
      <c r="K365" s="25" t="inlineStr">
        <is>
          <t>Shipped</t>
        </is>
      </c>
    </row>
    <row r="366">
      <c r="A366" s="25" t="inlineStr">
        <is>
          <t>R1153280</t>
        </is>
      </c>
      <c r="B366" s="78" t="n">
        <v>44383</v>
      </c>
      <c r="C366" s="25" t="inlineStr">
        <is>
          <t>913092</t>
        </is>
      </c>
      <c r="D366" s="25" t="inlineStr">
        <is>
          <t>RANCHO LA GLORIA WATERMELON MARG WINE COCKTAIL</t>
        </is>
      </c>
      <c r="E366" s="27" t="n">
        <v>12</v>
      </c>
      <c r="F366" s="28" t="n">
        <v>96</v>
      </c>
      <c r="G366" s="27" t="n">
        <v>4</v>
      </c>
      <c r="H366" s="27" t="n">
        <v>4</v>
      </c>
      <c r="I366" s="27" t="n">
        <v>4</v>
      </c>
      <c r="J366" s="27" t="n">
        <v>4</v>
      </c>
      <c r="K366" s="25" t="inlineStr">
        <is>
          <t>Shipped</t>
        </is>
      </c>
    </row>
    <row r="367">
      <c r="A367" s="25" t="inlineStr">
        <is>
          <t>R1275321</t>
        </is>
      </c>
      <c r="B367" s="78" t="n">
        <v>44474</v>
      </c>
      <c r="C367" s="25" t="inlineStr">
        <is>
          <t>913092</t>
        </is>
      </c>
      <c r="D367" s="25" t="inlineStr">
        <is>
          <t>RANCHO LA GLORIA WATERMELON MARG WINE COCKTAIL</t>
        </is>
      </c>
      <c r="E367" s="27" t="n">
        <v>12</v>
      </c>
      <c r="F367" s="28" t="n">
        <v>96</v>
      </c>
      <c r="G367" s="27" t="n">
        <v>3</v>
      </c>
      <c r="H367" s="27" t="n">
        <v>3</v>
      </c>
      <c r="I367" s="27" t="n">
        <v>3</v>
      </c>
      <c r="J367" s="27" t="n">
        <v>3</v>
      </c>
      <c r="K367" s="25" t="inlineStr">
        <is>
          <t>Shipped</t>
        </is>
      </c>
    </row>
    <row r="368">
      <c r="A368" s="25" t="inlineStr">
        <is>
          <t>R1275321B</t>
        </is>
      </c>
      <c r="B368" s="78" t="n">
        <v>44497</v>
      </c>
      <c r="C368" s="25" t="inlineStr">
        <is>
          <t>913092</t>
        </is>
      </c>
      <c r="D368" s="25" t="inlineStr">
        <is>
          <t>RANCHO LA GLORIA WATERMELON MARG WINE COCKTAIL</t>
        </is>
      </c>
      <c r="E368" s="27" t="n">
        <v>12</v>
      </c>
      <c r="F368" s="28" t="n">
        <v>96</v>
      </c>
      <c r="G368" s="27" t="n">
        <v>1</v>
      </c>
      <c r="H368" s="27" t="n">
        <v>1</v>
      </c>
      <c r="I368" s="27" t="n">
        <v>1</v>
      </c>
      <c r="J368" s="27" t="n">
        <v>1</v>
      </c>
      <c r="K368" s="25" t="inlineStr">
        <is>
          <t>Shipped</t>
        </is>
      </c>
    </row>
    <row r="369">
      <c r="A369" s="25" t="inlineStr">
        <is>
          <t>R1356437</t>
        </is>
      </c>
      <c r="B369" s="78" t="n">
        <v>44532</v>
      </c>
      <c r="C369" s="25" t="inlineStr">
        <is>
          <t>913092</t>
        </is>
      </c>
      <c r="D369" s="25" t="inlineStr">
        <is>
          <t>RANCHO LA GLORIA WATERMELON MARG WINE COCKTAIL</t>
        </is>
      </c>
      <c r="E369" s="27" t="n">
        <v>12</v>
      </c>
      <c r="F369" s="28" t="n">
        <v>96</v>
      </c>
      <c r="G369" s="27" t="n">
        <v>1</v>
      </c>
      <c r="H369" s="27" t="n">
        <v>1</v>
      </c>
      <c r="I369" s="27" t="n">
        <v>1</v>
      </c>
      <c r="J369" s="27" t="n">
        <v>1</v>
      </c>
      <c r="K369" s="25" t="inlineStr">
        <is>
          <t>Shipped</t>
        </is>
      </c>
    </row>
    <row r="370">
      <c r="A370" s="25" t="inlineStr">
        <is>
          <t>R1369760</t>
        </is>
      </c>
      <c r="B370" s="78" t="n">
        <v>44550</v>
      </c>
      <c r="C370" s="25" t="inlineStr">
        <is>
          <t>913092</t>
        </is>
      </c>
      <c r="D370" s="25" t="inlineStr">
        <is>
          <t>RANCHO LA GLORIA WATERMELON MARG WINE COCKTAIL</t>
        </is>
      </c>
      <c r="E370" s="27" t="n">
        <v>12</v>
      </c>
      <c r="F370" s="28" t="n">
        <v>97</v>
      </c>
      <c r="G370" s="27" t="n">
        <v>2</v>
      </c>
      <c r="H370" s="27" t="n">
        <v>2</v>
      </c>
      <c r="I370" s="27" t="n">
        <v>2</v>
      </c>
      <c r="J370" s="27" t="n">
        <v>2</v>
      </c>
      <c r="K370" s="25" t="inlineStr">
        <is>
          <t>Shipped</t>
        </is>
      </c>
    </row>
    <row r="371">
      <c r="A371" s="25" t="inlineStr">
        <is>
          <t>R1155861</t>
        </is>
      </c>
      <c r="B371" s="78" t="n">
        <v>44361</v>
      </c>
      <c r="C371" s="25" t="inlineStr">
        <is>
          <t>37438</t>
        </is>
      </c>
      <c r="D371" s="25" t="inlineStr">
        <is>
          <t>REDMONT VODKA</t>
        </is>
      </c>
      <c r="E371" s="27" t="n">
        <v>6</v>
      </c>
      <c r="F371" s="28" t="n">
        <v>106.11</v>
      </c>
      <c r="G371" s="27" t="n">
        <v>1</v>
      </c>
      <c r="H371" s="27" t="n">
        <v>1</v>
      </c>
      <c r="I371" s="27" t="n">
        <v>1</v>
      </c>
      <c r="J371" s="27" t="n">
        <v>1</v>
      </c>
      <c r="K371" s="25" t="inlineStr">
        <is>
          <t>Shipped</t>
        </is>
      </c>
    </row>
    <row r="372">
      <c r="A372" s="25" t="inlineStr">
        <is>
          <t>R1259062</t>
        </is>
      </c>
      <c r="B372" s="78" t="n">
        <v>44467</v>
      </c>
      <c r="C372" s="25" t="inlineStr">
        <is>
          <t>89749</t>
        </is>
      </c>
      <c r="D372" s="25" t="inlineStr">
        <is>
          <t>REY SOL ANEJO TEQUILA</t>
        </is>
      </c>
      <c r="E372" s="27" t="n">
        <v>4</v>
      </c>
      <c r="F372" s="28" t="n">
        <v>769.23</v>
      </c>
      <c r="G372" s="27" t="n">
        <v>1</v>
      </c>
      <c r="H372" s="27" t="n">
        <v>1</v>
      </c>
      <c r="I372" s="27" t="n">
        <v>1</v>
      </c>
      <c r="J372" s="27" t="n">
        <v>1</v>
      </c>
      <c r="K372" s="25" t="inlineStr">
        <is>
          <t>Shipped</t>
        </is>
      </c>
    </row>
    <row r="373">
      <c r="A373" s="25" t="inlineStr">
        <is>
          <t>R1016559</t>
        </is>
      </c>
      <c r="B373" s="78" t="n">
        <v>44225</v>
      </c>
      <c r="C373" s="25" t="inlineStr">
        <is>
          <t>12872</t>
        </is>
      </c>
      <c r="D373" s="25" t="inlineStr">
        <is>
          <t>RICH &amp; RARE PEACH</t>
        </is>
      </c>
      <c r="E373" s="27" t="n">
        <v>12</v>
      </c>
      <c r="F373" s="28" t="n">
        <v>77.95999999999999</v>
      </c>
      <c r="G373" s="27" t="n">
        <v>1</v>
      </c>
      <c r="H373" s="27" t="n">
        <v>1</v>
      </c>
      <c r="I373" s="27" t="n">
        <v>1</v>
      </c>
      <c r="J373" s="27" t="n">
        <v>1</v>
      </c>
      <c r="K373" s="25" t="inlineStr">
        <is>
          <t>Shipped</t>
        </is>
      </c>
    </row>
    <row r="374">
      <c r="A374" s="25" t="inlineStr">
        <is>
          <t>R1016559</t>
        </is>
      </c>
      <c r="B374" s="78" t="n">
        <v>44225</v>
      </c>
      <c r="C374" s="25" t="inlineStr">
        <is>
          <t>12871</t>
        </is>
      </c>
      <c r="D374" s="25" t="inlineStr">
        <is>
          <t>RICH &amp; RARE PEACH PET</t>
        </is>
      </c>
      <c r="E374" s="27" t="n">
        <v>120</v>
      </c>
      <c r="F374" s="28" t="n">
        <v>63.2</v>
      </c>
      <c r="G374" s="27" t="n">
        <v>3</v>
      </c>
      <c r="H374" s="27" t="n">
        <v>3</v>
      </c>
      <c r="I374" s="27" t="n">
        <v>3</v>
      </c>
      <c r="J374" s="27" t="n">
        <v>3</v>
      </c>
      <c r="K374" s="25" t="inlineStr">
        <is>
          <t>Shipped</t>
        </is>
      </c>
    </row>
    <row r="375">
      <c r="A375" s="25" t="inlineStr">
        <is>
          <t>R1019584</t>
        </is>
      </c>
      <c r="B375" s="78" t="n">
        <v>44237</v>
      </c>
      <c r="C375" s="25" t="inlineStr">
        <is>
          <t>379260</t>
        </is>
      </c>
      <c r="D375" s="25" t="inlineStr">
        <is>
          <t>ROSATO GOLD ROSSO DULCE SWEET RED</t>
        </is>
      </c>
      <c r="E375" s="27" t="n">
        <v>12</v>
      </c>
      <c r="F375" s="28" t="n">
        <v>111.66</v>
      </c>
      <c r="G375" s="27" t="n">
        <v>15</v>
      </c>
      <c r="H375" s="27" t="n">
        <v>15</v>
      </c>
      <c r="I375" s="27" t="n">
        <v>15</v>
      </c>
      <c r="J375" s="27" t="n">
        <v>12</v>
      </c>
      <c r="K375" s="25" t="inlineStr">
        <is>
          <t>Shipped</t>
        </is>
      </c>
    </row>
    <row r="376">
      <c r="A376" s="25" t="inlineStr">
        <is>
          <t>R1071946</t>
        </is>
      </c>
      <c r="B376" s="78" t="n">
        <v>44280</v>
      </c>
      <c r="C376" s="25" t="inlineStr">
        <is>
          <t>379260</t>
        </is>
      </c>
      <c r="D376" s="25" t="inlineStr">
        <is>
          <t>ROSATO GOLD ROSSO DULCE SWEET RED</t>
        </is>
      </c>
      <c r="E376" s="27" t="n">
        <v>12</v>
      </c>
      <c r="F376" s="28" t="n">
        <v>111.66</v>
      </c>
      <c r="G376" s="27" t="n">
        <v>3</v>
      </c>
      <c r="H376" s="27" t="n">
        <v>3</v>
      </c>
      <c r="I376" s="27" t="n">
        <v>3</v>
      </c>
      <c r="J376" s="27" t="n">
        <v>3</v>
      </c>
      <c r="K376" s="25" t="inlineStr">
        <is>
          <t>Shipped</t>
        </is>
      </c>
    </row>
    <row r="377">
      <c r="A377" s="25" t="inlineStr">
        <is>
          <t>R1071896</t>
        </is>
      </c>
      <c r="B377" s="78" t="n">
        <v>44288</v>
      </c>
      <c r="C377" s="25" t="inlineStr">
        <is>
          <t>80451</t>
        </is>
      </c>
      <c r="D377" s="25" t="inlineStr">
        <is>
          <t>RYAN'S ORIGINAL CREME</t>
        </is>
      </c>
      <c r="E377" s="27" t="n">
        <v>120</v>
      </c>
      <c r="F377" s="28" t="n">
        <v>63.2</v>
      </c>
      <c r="G377" s="27" t="n">
        <v>1</v>
      </c>
      <c r="H377" s="27" t="n">
        <v>1</v>
      </c>
      <c r="I377" s="27" t="n">
        <v>1</v>
      </c>
      <c r="J377" s="27" t="n">
        <v>1</v>
      </c>
      <c r="K377" s="25" t="inlineStr">
        <is>
          <t>Shipped</t>
        </is>
      </c>
    </row>
    <row r="378">
      <c r="A378" s="25" t="inlineStr">
        <is>
          <t>R1078776</t>
        </is>
      </c>
      <c r="B378" s="78" t="n">
        <v>44299</v>
      </c>
      <c r="C378" s="25" t="inlineStr">
        <is>
          <t>80451</t>
        </is>
      </c>
      <c r="D378" s="25" t="inlineStr">
        <is>
          <t>RYAN'S ORIGINAL CREME</t>
        </is>
      </c>
      <c r="E378" s="27" t="n">
        <v>120</v>
      </c>
      <c r="F378" s="28" t="n">
        <v>63.2</v>
      </c>
      <c r="G378" s="27" t="n">
        <v>1</v>
      </c>
      <c r="H378" s="27" t="n">
        <v>1</v>
      </c>
      <c r="I378" s="27" t="n">
        <v>1</v>
      </c>
      <c r="J378" s="27" t="n">
        <v>1</v>
      </c>
      <c r="K378" s="25" t="inlineStr">
        <is>
          <t>Shipped</t>
        </is>
      </c>
    </row>
    <row r="379">
      <c r="A379" s="25" t="inlineStr">
        <is>
          <t>R1315461</t>
        </is>
      </c>
      <c r="B379" s="78" t="n">
        <v>44502</v>
      </c>
      <c r="C379" s="25" t="inlineStr">
        <is>
          <t>80451</t>
        </is>
      </c>
      <c r="D379" s="25" t="inlineStr">
        <is>
          <t>RYAN'S ORIGINAL CREME</t>
        </is>
      </c>
      <c r="E379" s="27" t="n">
        <v>120</v>
      </c>
      <c r="F379" s="28" t="n">
        <v>63.2</v>
      </c>
      <c r="G379" s="27" t="n">
        <v>2</v>
      </c>
      <c r="H379" s="27" t="n">
        <v>2</v>
      </c>
      <c r="I379" s="27" t="n">
        <v>2</v>
      </c>
      <c r="J379" s="27" t="n">
        <v>2</v>
      </c>
      <c r="K379" s="25" t="inlineStr">
        <is>
          <t>Shipped</t>
        </is>
      </c>
    </row>
    <row r="380">
      <c r="A380" s="25" t="inlineStr">
        <is>
          <t>R1353470</t>
        </is>
      </c>
      <c r="B380" s="78" t="n">
        <v>44543</v>
      </c>
      <c r="C380" s="25" t="inlineStr">
        <is>
          <t>80451</t>
        </is>
      </c>
      <c r="D380" s="25" t="inlineStr">
        <is>
          <t>RYAN'S ORIGINAL CREME</t>
        </is>
      </c>
      <c r="E380" s="27" t="n">
        <v>120</v>
      </c>
      <c r="F380" s="28" t="n">
        <v>64.2</v>
      </c>
      <c r="G380" s="27" t="n">
        <v>2</v>
      </c>
      <c r="H380" s="27" t="n">
        <v>2</v>
      </c>
      <c r="I380" s="27" t="n">
        <v>2</v>
      </c>
      <c r="J380" s="27" t="n">
        <v>2</v>
      </c>
      <c r="K380" s="25" t="inlineStr">
        <is>
          <t>Shipped</t>
        </is>
      </c>
    </row>
    <row r="381">
      <c r="A381" s="25" t="inlineStr">
        <is>
          <t>R1055382</t>
        </is>
      </c>
      <c r="B381" s="78" t="n">
        <v>44265</v>
      </c>
      <c r="C381" s="25" t="inlineStr">
        <is>
          <t>906297</t>
        </is>
      </c>
      <c r="D381" s="25" t="inlineStr">
        <is>
          <t>SAN ANTONIO IMPERIAL RED</t>
        </is>
      </c>
      <c r="E381" s="27" t="n">
        <v>12</v>
      </c>
      <c r="F381" s="28" t="n">
        <v>71.5</v>
      </c>
      <c r="G381" s="27" t="n">
        <v>4</v>
      </c>
      <c r="H381" s="27" t="n">
        <v>4</v>
      </c>
      <c r="I381" s="27" t="n">
        <v>4</v>
      </c>
      <c r="J381" s="27" t="n">
        <v>4</v>
      </c>
      <c r="K381" s="25" t="inlineStr">
        <is>
          <t>Shipped</t>
        </is>
      </c>
    </row>
    <row r="382">
      <c r="A382" s="25" t="inlineStr">
        <is>
          <t>R1005831</t>
        </is>
      </c>
      <c r="B382" s="78" t="n">
        <v>44211</v>
      </c>
      <c r="C382" s="25" t="inlineStr">
        <is>
          <t>910170</t>
        </is>
      </c>
      <c r="D382" s="25" t="inlineStr">
        <is>
          <t>SAN ANTONIO VILLADORO</t>
        </is>
      </c>
      <c r="E382" s="27" t="n">
        <v>12</v>
      </c>
      <c r="F382" s="28" t="n">
        <v>67.67</v>
      </c>
      <c r="G382" s="27" t="n">
        <v>10</v>
      </c>
      <c r="H382" s="27" t="n">
        <v>10</v>
      </c>
      <c r="I382" s="27" t="n">
        <v>10</v>
      </c>
      <c r="J382" s="27" t="n">
        <v>10</v>
      </c>
      <c r="K382" s="25" t="inlineStr">
        <is>
          <t>Shipped</t>
        </is>
      </c>
    </row>
    <row r="383">
      <c r="A383" s="25" t="inlineStr">
        <is>
          <t>R1151930</t>
        </is>
      </c>
      <c r="B383" s="78" t="n">
        <v>44364</v>
      </c>
      <c r="C383" s="25" t="inlineStr">
        <is>
          <t>27100</t>
        </is>
      </c>
      <c r="D383" s="25" t="inlineStr">
        <is>
          <t>SAZERAC RYE 6YR</t>
        </is>
      </c>
      <c r="E383" s="27" t="n">
        <v>6</v>
      </c>
      <c r="F383" s="28" t="n">
        <v>138.42</v>
      </c>
      <c r="G383" s="27" t="n">
        <v>1</v>
      </c>
      <c r="H383" s="27" t="n">
        <v>1</v>
      </c>
      <c r="I383" s="27" t="n">
        <v>1</v>
      </c>
      <c r="J383" s="27" t="n">
        <v>1</v>
      </c>
      <c r="K383" s="25" t="inlineStr">
        <is>
          <t>Shipped</t>
        </is>
      </c>
    </row>
    <row r="384">
      <c r="A384" s="25" t="inlineStr">
        <is>
          <t>R1259421</t>
        </is>
      </c>
      <c r="B384" s="78" t="n">
        <v>44468</v>
      </c>
      <c r="C384" s="25" t="inlineStr">
        <is>
          <t>88668</t>
        </is>
      </c>
      <c r="D384" s="25" t="inlineStr">
        <is>
          <t>SIETE LEGUAS BLANCO TEQUILA</t>
        </is>
      </c>
      <c r="E384" s="27" t="n">
        <v>6</v>
      </c>
      <c r="F384" s="28" t="n">
        <v>216.88</v>
      </c>
      <c r="G384" s="27" t="n">
        <v>1</v>
      </c>
      <c r="H384" s="27" t="n">
        <v>1</v>
      </c>
      <c r="I384" s="27" t="n">
        <v>1</v>
      </c>
      <c r="J384" s="27" t="n">
        <v>1</v>
      </c>
      <c r="K384" s="25" t="inlineStr">
        <is>
          <t>Shipped</t>
        </is>
      </c>
    </row>
    <row r="385">
      <c r="A385" s="25" t="inlineStr">
        <is>
          <t>R1035656</t>
        </is>
      </c>
      <c r="B385" s="78" t="n">
        <v>44239</v>
      </c>
      <c r="C385" s="25" t="inlineStr">
        <is>
          <t>21540</t>
        </is>
      </c>
      <c r="D385" s="25" t="inlineStr">
        <is>
          <t>STAGG JR. STRAIGHT BOURBON</t>
        </is>
      </c>
      <c r="E385" s="27" t="n">
        <v>6</v>
      </c>
      <c r="F385" s="28" t="n">
        <v>239.95</v>
      </c>
      <c r="G385" s="27" t="n">
        <v>1</v>
      </c>
      <c r="H385" s="27" t="n">
        <v>1</v>
      </c>
      <c r="I385" s="27" t="n">
        <v>1</v>
      </c>
      <c r="J385" s="27" t="n">
        <v>1</v>
      </c>
      <c r="K385" s="25" t="inlineStr">
        <is>
          <t>Shipped</t>
        </is>
      </c>
    </row>
    <row r="386">
      <c r="A386" s="25" t="inlineStr">
        <is>
          <t>R1005089</t>
        </is>
      </c>
      <c r="B386" s="78" t="n">
        <v>44211</v>
      </c>
      <c r="C386" s="25" t="inlineStr">
        <is>
          <t>948504</t>
        </is>
      </c>
      <c r="D386" s="25" t="inlineStr">
        <is>
          <t>STELLA ROSA MOSCATO ROSE</t>
        </is>
      </c>
      <c r="E386" s="27" t="n">
        <v>12</v>
      </c>
      <c r="F386" s="28" t="n">
        <v>145.72</v>
      </c>
      <c r="G386" s="27" t="n">
        <v>8</v>
      </c>
      <c r="H386" s="27" t="n">
        <v>8</v>
      </c>
      <c r="I386" s="27" t="n">
        <v>8</v>
      </c>
      <c r="J386" s="27" t="n">
        <v>8</v>
      </c>
      <c r="K386" s="25" t="inlineStr">
        <is>
          <t>Shipped</t>
        </is>
      </c>
    </row>
    <row r="387">
      <c r="A387" s="25" t="inlineStr">
        <is>
          <t>R1005089</t>
        </is>
      </c>
      <c r="B387" s="78" t="n">
        <v>44211</v>
      </c>
      <c r="C387" s="25" t="inlineStr">
        <is>
          <t>948503</t>
        </is>
      </c>
      <c r="D387" s="25" t="inlineStr">
        <is>
          <t>STELLA ROSA ROSSO LUX</t>
        </is>
      </c>
      <c r="E387" s="27" t="n">
        <v>12</v>
      </c>
      <c r="F387" s="28" t="n">
        <v>145.72</v>
      </c>
      <c r="G387" s="27" t="n">
        <v>3</v>
      </c>
      <c r="H387" s="27" t="n">
        <v>3</v>
      </c>
      <c r="I387" s="27" t="n">
        <v>3</v>
      </c>
      <c r="J387" s="27" t="n">
        <v>3</v>
      </c>
      <c r="K387" s="25" t="inlineStr">
        <is>
          <t>Shipped</t>
        </is>
      </c>
    </row>
    <row r="388">
      <c r="A388" s="25" t="inlineStr">
        <is>
          <t>R1252369A</t>
        </is>
      </c>
      <c r="B388" s="78" t="n">
        <v>44463</v>
      </c>
      <c r="C388" s="25" t="inlineStr">
        <is>
          <t>949675</t>
        </is>
      </c>
      <c r="D388" s="25" t="inlineStr">
        <is>
          <t>TAPATIO TEQUILA ANEJO</t>
        </is>
      </c>
      <c r="E388" s="27" t="n">
        <v>6</v>
      </c>
      <c r="F388" s="28" t="n">
        <v>270.62</v>
      </c>
      <c r="G388" s="27" t="n">
        <v>1</v>
      </c>
      <c r="H388" s="27" t="n">
        <v>1</v>
      </c>
      <c r="I388" s="27" t="n">
        <v>1</v>
      </c>
      <c r="J388" s="27" t="n">
        <v>1</v>
      </c>
      <c r="K388" s="25" t="inlineStr">
        <is>
          <t>Shipped</t>
        </is>
      </c>
    </row>
    <row r="389">
      <c r="A389" s="25" t="inlineStr">
        <is>
          <t>R1252369</t>
        </is>
      </c>
      <c r="B389" s="78" t="n">
        <v>44462</v>
      </c>
      <c r="C389" s="25" t="inlineStr">
        <is>
          <t>949674</t>
        </is>
      </c>
      <c r="D389" s="25" t="inlineStr">
        <is>
          <t>TAPATIO TEQUILA BLANCO</t>
        </is>
      </c>
      <c r="E389" s="27" t="n">
        <v>6</v>
      </c>
      <c r="F389" s="28" t="n">
        <v>200.5</v>
      </c>
      <c r="G389" s="27" t="n">
        <v>1</v>
      </c>
      <c r="H389" s="27" t="n">
        <v>1</v>
      </c>
      <c r="I389" s="27" t="n">
        <v>1</v>
      </c>
      <c r="J389" s="27" t="n">
        <v>1</v>
      </c>
      <c r="K389" s="25" t="inlineStr">
        <is>
          <t>Shipped</t>
        </is>
      </c>
    </row>
    <row r="390">
      <c r="A390" s="25" t="inlineStr">
        <is>
          <t>R1278385</t>
        </is>
      </c>
      <c r="B390" s="78" t="n">
        <v>44487</v>
      </c>
      <c r="C390" s="25" t="inlineStr">
        <is>
          <t>5841</t>
        </is>
      </c>
      <c r="D390" s="25" t="inlineStr">
        <is>
          <t>THE GLENLIVET 14YR SINGLE MALT</t>
        </is>
      </c>
      <c r="E390" s="27" t="n">
        <v>12</v>
      </c>
      <c r="F390" s="28" t="n">
        <v>231.34</v>
      </c>
      <c r="G390" s="27" t="n">
        <v>1</v>
      </c>
      <c r="H390" s="27" t="n">
        <v>1</v>
      </c>
      <c r="I390" s="27" t="n">
        <v>1</v>
      </c>
      <c r="J390" s="27" t="n">
        <v>1</v>
      </c>
      <c r="K390" s="25" t="inlineStr">
        <is>
          <t>Shipped</t>
        </is>
      </c>
    </row>
    <row r="391">
      <c r="A391" s="25" t="inlineStr">
        <is>
          <t>R1058274</t>
        </is>
      </c>
      <c r="B391" s="78" t="n">
        <v>44277</v>
      </c>
      <c r="C391" s="25" t="inlineStr">
        <is>
          <t>5924</t>
        </is>
      </c>
      <c r="D391" s="25" t="inlineStr">
        <is>
          <t>THE GLENLIVET CARIBBEAN RESERVE</t>
        </is>
      </c>
      <c r="E391" s="27" t="n">
        <v>6</v>
      </c>
      <c r="F391" s="28" t="n">
        <v>170.72</v>
      </c>
      <c r="G391" s="27" t="n">
        <v>2</v>
      </c>
      <c r="H391" s="27" t="n">
        <v>2</v>
      </c>
      <c r="I391" s="27" t="n">
        <v>2</v>
      </c>
      <c r="J391" s="27" t="n">
        <v>2</v>
      </c>
      <c r="K391" s="25" t="inlineStr">
        <is>
          <t>Shipped</t>
        </is>
      </c>
    </row>
    <row r="392">
      <c r="A392" s="25" t="inlineStr">
        <is>
          <t>R1150982A</t>
        </is>
      </c>
      <c r="B392" s="78" t="n">
        <v>44407</v>
      </c>
      <c r="C392" s="25" t="inlineStr">
        <is>
          <t>5963</t>
        </is>
      </c>
      <c r="D392" s="25" t="inlineStr">
        <is>
          <t>THE GLENLIVET ILLICIT STILL</t>
        </is>
      </c>
      <c r="E392" s="27" t="n">
        <v>6</v>
      </c>
      <c r="F392" s="28" t="n">
        <v>299.96</v>
      </c>
      <c r="G392" s="27" t="n">
        <v>1</v>
      </c>
      <c r="H392" s="27" t="n">
        <v>1</v>
      </c>
      <c r="I392" s="27" t="n">
        <v>1</v>
      </c>
      <c r="J392" s="27" t="n">
        <v>1</v>
      </c>
      <c r="K392" s="25" t="inlineStr">
        <is>
          <t>Shipped</t>
        </is>
      </c>
    </row>
    <row r="393">
      <c r="A393" s="25" t="inlineStr">
        <is>
          <t>R1021543A</t>
        </is>
      </c>
      <c r="B393" s="78" t="n">
        <v>44253</v>
      </c>
      <c r="C393" s="25" t="inlineStr">
        <is>
          <t>86490</t>
        </is>
      </c>
      <c r="D393" s="25" t="inlineStr">
        <is>
          <t>THOMAS S. MOORE CASK FINISH CABERNET SAUVIGNON</t>
        </is>
      </c>
      <c r="E393" s="27" t="n">
        <v>6</v>
      </c>
      <c r="F393" s="28" t="n">
        <v>323.03</v>
      </c>
      <c r="G393" s="27" t="n">
        <v>1</v>
      </c>
      <c r="H393" s="27" t="n">
        <v>1</v>
      </c>
      <c r="I393" s="27" t="n">
        <v>1</v>
      </c>
      <c r="J393" s="27" t="n">
        <v>1</v>
      </c>
      <c r="K393" s="25" t="inlineStr">
        <is>
          <t>Shipped</t>
        </is>
      </c>
    </row>
    <row r="394">
      <c r="A394" s="25" t="inlineStr">
        <is>
          <t>R1050847</t>
        </is>
      </c>
      <c r="B394" s="78" t="n">
        <v>44257</v>
      </c>
      <c r="C394" s="25" t="inlineStr">
        <is>
          <t>86492</t>
        </is>
      </c>
      <c r="D394" s="25" t="inlineStr">
        <is>
          <t>THOMAS S. MOORE CASK FINISH CHARDONNAY</t>
        </is>
      </c>
      <c r="E394" s="27" t="n">
        <v>6</v>
      </c>
      <c r="F394" s="28" t="n">
        <v>323.03</v>
      </c>
      <c r="G394" s="27" t="n">
        <v>1</v>
      </c>
      <c r="H394" s="27" t="n">
        <v>1</v>
      </c>
      <c r="I394" s="27" t="n">
        <v>1</v>
      </c>
      <c r="J394" s="27" t="n">
        <v>1</v>
      </c>
      <c r="K394" s="25" t="inlineStr">
        <is>
          <t>Shipped</t>
        </is>
      </c>
    </row>
    <row r="395">
      <c r="A395" s="25" t="inlineStr">
        <is>
          <t>R1075381</t>
        </is>
      </c>
      <c r="B395" s="78" t="n">
        <v>44277</v>
      </c>
      <c r="C395" s="25" t="inlineStr">
        <is>
          <t>67245</t>
        </is>
      </c>
      <c r="D395" s="25" t="inlineStr">
        <is>
          <t>TWISTED SHOTZ JOLLI JOLLI</t>
        </is>
      </c>
      <c r="E395" s="27" t="n">
        <v>18</v>
      </c>
      <c r="F395" s="28" t="n">
        <v>71.54000000000001</v>
      </c>
      <c r="G395" s="27" t="n">
        <v>3</v>
      </c>
      <c r="H395" s="27" t="n">
        <v>3</v>
      </c>
      <c r="I395" s="27" t="n">
        <v>3</v>
      </c>
      <c r="J395" s="27" t="n">
        <v>3</v>
      </c>
      <c r="K395" s="25" t="inlineStr">
        <is>
          <t>Shipped</t>
        </is>
      </c>
    </row>
    <row r="396">
      <c r="A396" s="25" t="inlineStr">
        <is>
          <t>R1075381A</t>
        </is>
      </c>
      <c r="B396" s="78" t="n">
        <v>44285</v>
      </c>
      <c r="C396" s="25" t="inlineStr">
        <is>
          <t>67245</t>
        </is>
      </c>
      <c r="D396" s="25" t="inlineStr">
        <is>
          <t>TWISTED SHOTZ JOLLI JOLLI</t>
        </is>
      </c>
      <c r="E396" s="27" t="n">
        <v>18</v>
      </c>
      <c r="F396" s="28" t="n">
        <v>71.54000000000001</v>
      </c>
      <c r="G396" s="27" t="n">
        <v>2</v>
      </c>
      <c r="H396" s="27" t="n">
        <v>2</v>
      </c>
      <c r="I396" s="27" t="n">
        <v>2</v>
      </c>
      <c r="J396" s="27" t="n">
        <v>2</v>
      </c>
      <c r="K396" s="25" t="inlineStr">
        <is>
          <t>Shipped</t>
        </is>
      </c>
    </row>
    <row r="397">
      <c r="A397" s="25" t="inlineStr">
        <is>
          <t>R1082283</t>
        </is>
      </c>
      <c r="B397" s="78" t="n">
        <v>44293</v>
      </c>
      <c r="C397" s="25" t="inlineStr">
        <is>
          <t>895426</t>
        </is>
      </c>
      <c r="D397" s="25" t="inlineStr">
        <is>
          <t>UPTOWN COCKTAIL- LIME MARGARITA</t>
        </is>
      </c>
      <c r="E397" s="27" t="n">
        <v>6</v>
      </c>
      <c r="F397" s="28" t="n">
        <v>74.31</v>
      </c>
      <c r="G397" s="27" t="n">
        <v>3</v>
      </c>
      <c r="H397" s="27" t="n">
        <v>3</v>
      </c>
      <c r="I397" s="27" t="n">
        <v>3</v>
      </c>
      <c r="J397" s="27" t="n">
        <v>3</v>
      </c>
      <c r="K397" s="25" t="inlineStr">
        <is>
          <t>Shipped</t>
        </is>
      </c>
    </row>
    <row r="398">
      <c r="A398" s="25" t="inlineStr">
        <is>
          <t>R1045017A</t>
        </is>
      </c>
      <c r="B398" s="78" t="n">
        <v>44280</v>
      </c>
      <c r="C398" s="25" t="inlineStr">
        <is>
          <t>895428</t>
        </is>
      </c>
      <c r="D398" s="25" t="inlineStr">
        <is>
          <t>UPTOWN COCKTAIL MANGO MARGARITA</t>
        </is>
      </c>
      <c r="E398" s="27" t="n">
        <v>6</v>
      </c>
      <c r="F398" s="28" t="n">
        <v>74.31</v>
      </c>
      <c r="G398" s="27" t="n">
        <v>5</v>
      </c>
      <c r="H398" s="27" t="n">
        <v>5</v>
      </c>
      <c r="I398" s="27" t="n">
        <v>5</v>
      </c>
      <c r="J398" s="27" t="n">
        <v>5</v>
      </c>
      <c r="K398" s="25" t="inlineStr">
        <is>
          <t>Shipped</t>
        </is>
      </c>
    </row>
    <row r="399">
      <c r="A399" s="25" t="inlineStr">
        <is>
          <t>R1068647</t>
        </is>
      </c>
      <c r="B399" s="78" t="n">
        <v>44284</v>
      </c>
      <c r="C399" s="25" t="inlineStr">
        <is>
          <t>895430</t>
        </is>
      </c>
      <c r="D399" s="25" t="inlineStr">
        <is>
          <t>UPTOWN COCKTAIL STRAWBERRY MARGARITA</t>
        </is>
      </c>
      <c r="E399" s="27" t="n">
        <v>6</v>
      </c>
      <c r="F399" s="28" t="n">
        <v>74.31</v>
      </c>
      <c r="G399" s="27" t="n">
        <v>5</v>
      </c>
      <c r="H399" s="27" t="n">
        <v>5</v>
      </c>
      <c r="I399" s="27" t="n">
        <v>5</v>
      </c>
      <c r="J399" s="27" t="n">
        <v>5</v>
      </c>
      <c r="K399" s="25" t="inlineStr">
        <is>
          <t>Shipped</t>
        </is>
      </c>
    </row>
    <row r="400">
      <c r="A400" s="25" t="inlineStr">
        <is>
          <t>R1107313</t>
        </is>
      </c>
      <c r="B400" s="78" t="n">
        <v>44308</v>
      </c>
      <c r="C400" s="25" t="inlineStr">
        <is>
          <t>895430</t>
        </is>
      </c>
      <c r="D400" s="25" t="inlineStr">
        <is>
          <t>UPTOWN COCKTAIL STRAWBERRY MARGARITA</t>
        </is>
      </c>
      <c r="E400" s="27" t="n">
        <v>6</v>
      </c>
      <c r="F400" s="28" t="n">
        <v>74.31</v>
      </c>
      <c r="G400" s="27" t="n">
        <v>3</v>
      </c>
      <c r="H400" s="27" t="n">
        <v>3</v>
      </c>
      <c r="I400" s="27" t="n">
        <v>3</v>
      </c>
      <c r="J400" s="27" t="n">
        <v>1</v>
      </c>
      <c r="K400" s="25" t="inlineStr">
        <is>
          <t>Shipped</t>
        </is>
      </c>
    </row>
    <row r="401">
      <c r="A401" s="25" t="inlineStr">
        <is>
          <t>R1121738</t>
        </is>
      </c>
      <c r="B401" s="78" t="n">
        <v>44330</v>
      </c>
      <c r="C401" s="25" t="inlineStr">
        <is>
          <t>895430</t>
        </is>
      </c>
      <c r="D401" s="25" t="inlineStr">
        <is>
          <t>UPTOWN COCKTAIL STRAWBERRY MARGARITA</t>
        </is>
      </c>
      <c r="E401" s="27" t="n">
        <v>6</v>
      </c>
      <c r="F401" s="28" t="n">
        <v>74.31</v>
      </c>
      <c r="G401" s="27" t="n">
        <v>2</v>
      </c>
      <c r="H401" s="27" t="n">
        <v>2</v>
      </c>
      <c r="I401" s="27" t="n">
        <v>2</v>
      </c>
      <c r="J401" s="27" t="n">
        <v>1</v>
      </c>
      <c r="K401" s="25" t="inlineStr">
        <is>
          <t>Shipped</t>
        </is>
      </c>
    </row>
    <row r="402">
      <c r="A402" s="25" t="inlineStr">
        <is>
          <t>R1097167</t>
        </is>
      </c>
      <c r="B402" s="78" t="n">
        <v>44307</v>
      </c>
      <c r="C402" s="25" t="inlineStr">
        <is>
          <t>895420</t>
        </is>
      </c>
      <c r="D402" s="25" t="inlineStr">
        <is>
          <t>UPTOWN COCKTAILS CHOCOLATINI</t>
        </is>
      </c>
      <c r="E402" s="27" t="n">
        <v>6</v>
      </c>
      <c r="F402" s="28" t="n">
        <v>74.31</v>
      </c>
      <c r="G402" s="27" t="n">
        <v>1</v>
      </c>
      <c r="H402" s="27" t="n">
        <v>1</v>
      </c>
      <c r="I402" s="27" t="n">
        <v>1</v>
      </c>
      <c r="J402" s="27" t="n">
        <v>1</v>
      </c>
      <c r="K402" s="25" t="inlineStr">
        <is>
          <t>Shipped</t>
        </is>
      </c>
    </row>
    <row r="403">
      <c r="A403" s="25" t="inlineStr">
        <is>
          <t>R984761</t>
        </is>
      </c>
      <c r="B403" s="78" t="n">
        <v>44207</v>
      </c>
      <c r="C403" s="25" t="inlineStr">
        <is>
          <t>902453</t>
        </is>
      </c>
      <c r="D403" s="25" t="inlineStr">
        <is>
          <t>VILLA JOLANDA PASSION FRUIT MOSCATO</t>
        </is>
      </c>
      <c r="E403" s="27" t="n">
        <v>12</v>
      </c>
      <c r="F403" s="28" t="n">
        <v>105</v>
      </c>
      <c r="G403" s="27" t="n">
        <v>1</v>
      </c>
      <c r="H403" s="27" t="n">
        <v>1</v>
      </c>
      <c r="I403" s="27" t="n">
        <v>1</v>
      </c>
      <c r="J403" s="27" t="n">
        <v>1</v>
      </c>
      <c r="K403" s="25" t="inlineStr">
        <is>
          <t>Shipped</t>
        </is>
      </c>
    </row>
    <row r="404">
      <c r="A404" s="25" t="inlineStr">
        <is>
          <t>R1047543</t>
        </is>
      </c>
      <c r="B404" s="78" t="n">
        <v>44260</v>
      </c>
      <c r="C404" s="25" t="inlineStr">
        <is>
          <t>902453</t>
        </is>
      </c>
      <c r="D404" s="25" t="inlineStr">
        <is>
          <t>VILLA JOLANDA PASSION FRUIT MOSCATO</t>
        </is>
      </c>
      <c r="E404" s="27" t="n">
        <v>12</v>
      </c>
      <c r="F404" s="28" t="n">
        <v>105</v>
      </c>
      <c r="G404" s="27" t="n">
        <v>2</v>
      </c>
      <c r="H404" s="27" t="n">
        <v>2</v>
      </c>
      <c r="I404" s="27" t="n">
        <v>2</v>
      </c>
      <c r="J404" s="27" t="n">
        <v>2</v>
      </c>
      <c r="K404" s="25" t="inlineStr">
        <is>
          <t>Shipped</t>
        </is>
      </c>
    </row>
    <row r="405">
      <c r="A405" s="25" t="inlineStr">
        <is>
          <t>R1126782</t>
        </is>
      </c>
      <c r="B405" s="78" t="n">
        <v>44335</v>
      </c>
      <c r="C405" s="25" t="inlineStr">
        <is>
          <t>902453</t>
        </is>
      </c>
      <c r="D405" s="25" t="inlineStr">
        <is>
          <t>VILLA JOLANDA PASSION FRUIT MOSCATO</t>
        </is>
      </c>
      <c r="E405" s="27" t="n">
        <v>12</v>
      </c>
      <c r="F405" s="28" t="n">
        <v>105</v>
      </c>
      <c r="G405" s="27" t="n">
        <v>1</v>
      </c>
      <c r="H405" s="27" t="n">
        <v>1</v>
      </c>
      <c r="I405" s="27" t="n">
        <v>1</v>
      </c>
      <c r="J405" s="27" t="n">
        <v>1</v>
      </c>
      <c r="K405" s="25" t="inlineStr">
        <is>
          <t>Shipped</t>
        </is>
      </c>
    </row>
    <row r="406">
      <c r="A406" s="25" t="inlineStr">
        <is>
          <t>R984761A</t>
        </is>
      </c>
      <c r="B406" s="78" t="n">
        <v>44223</v>
      </c>
      <c r="C406" s="25" t="inlineStr">
        <is>
          <t>902448</t>
        </is>
      </c>
      <c r="D406" s="25" t="inlineStr">
        <is>
          <t>VILLA JOLANDA PEACH MOSCATO</t>
        </is>
      </c>
      <c r="E406" s="27" t="n">
        <v>12</v>
      </c>
      <c r="F406" s="28" t="n">
        <v>105</v>
      </c>
      <c r="G406" s="27" t="n">
        <v>1</v>
      </c>
      <c r="H406" s="27" t="n">
        <v>1</v>
      </c>
      <c r="I406" s="27" t="n">
        <v>1</v>
      </c>
      <c r="J406" s="27" t="n">
        <v>1</v>
      </c>
      <c r="K406" s="25" t="inlineStr">
        <is>
          <t>Shipped</t>
        </is>
      </c>
    </row>
    <row r="407">
      <c r="A407" s="25" t="inlineStr">
        <is>
          <t>R1047543A</t>
        </is>
      </c>
      <c r="B407" s="78" t="n">
        <v>44293</v>
      </c>
      <c r="C407" s="25" t="inlineStr">
        <is>
          <t>902448</t>
        </is>
      </c>
      <c r="D407" s="25" t="inlineStr">
        <is>
          <t>VILLA JOLANDA PEACH MOSCATO</t>
        </is>
      </c>
      <c r="E407" s="27" t="n">
        <v>12</v>
      </c>
      <c r="F407" s="28" t="n">
        <v>105</v>
      </c>
      <c r="G407" s="27" t="n">
        <v>2</v>
      </c>
      <c r="H407" s="27" t="n">
        <v>2</v>
      </c>
      <c r="I407" s="27" t="n">
        <v>2</v>
      </c>
      <c r="J407" s="27" t="n">
        <v>2</v>
      </c>
      <c r="K407" s="25" t="inlineStr">
        <is>
          <t>Shipped</t>
        </is>
      </c>
    </row>
    <row r="408">
      <c r="A408" s="25" t="inlineStr">
        <is>
          <t>R1268855</t>
        </is>
      </c>
      <c r="B408" s="78" t="n">
        <v>44476</v>
      </c>
      <c r="C408" s="25" t="inlineStr">
        <is>
          <t>902448</t>
        </is>
      </c>
      <c r="D408" s="25" t="inlineStr">
        <is>
          <t>VILLA JOLANDA PEACH MOSCATO</t>
        </is>
      </c>
      <c r="E408" s="27" t="n">
        <v>12</v>
      </c>
      <c r="F408" s="28" t="n">
        <v>105</v>
      </c>
      <c r="G408" s="27" t="n">
        <v>2</v>
      </c>
      <c r="H408" s="27" t="n">
        <v>2</v>
      </c>
      <c r="I408" s="27" t="n">
        <v>2</v>
      </c>
      <c r="J408" s="27" t="n">
        <v>1</v>
      </c>
      <c r="K408" s="25" t="inlineStr">
        <is>
          <t>Shipped</t>
        </is>
      </c>
    </row>
    <row r="409">
      <c r="A409" s="25" t="inlineStr">
        <is>
          <t>R1279732</t>
        </is>
      </c>
      <c r="B409" s="78" t="n">
        <v>44483</v>
      </c>
      <c r="C409" s="25" t="inlineStr">
        <is>
          <t>902448</t>
        </is>
      </c>
      <c r="D409" s="25" t="inlineStr">
        <is>
          <t>VILLA JOLANDA PEACH MOSCATO</t>
        </is>
      </c>
      <c r="E409" s="27" t="n">
        <v>12</v>
      </c>
      <c r="F409" s="28" t="n">
        <v>105</v>
      </c>
      <c r="G409" s="27" t="n">
        <v>1</v>
      </c>
      <c r="H409" s="27" t="n">
        <v>1</v>
      </c>
      <c r="I409" s="27" t="n">
        <v>1</v>
      </c>
      <c r="J409" s="27" t="n">
        <v>1</v>
      </c>
      <c r="K409" s="25" t="inlineStr">
        <is>
          <t>Shipped</t>
        </is>
      </c>
    </row>
    <row r="410">
      <c r="A410" s="25" t="inlineStr">
        <is>
          <t>R984761A</t>
        </is>
      </c>
      <c r="B410" s="78" t="n">
        <v>44223</v>
      </c>
      <c r="C410" s="25" t="inlineStr">
        <is>
          <t>902461</t>
        </is>
      </c>
      <c r="D410" s="25" t="inlineStr">
        <is>
          <t>VILLA JOLANDA STRAWBERRY MOSCATO</t>
        </is>
      </c>
      <c r="E410" s="27" t="n">
        <v>12</v>
      </c>
      <c r="F410" s="28" t="n">
        <v>105</v>
      </c>
      <c r="G410" s="27" t="n">
        <v>1</v>
      </c>
      <c r="H410" s="27" t="n">
        <v>1</v>
      </c>
      <c r="I410" s="27" t="n">
        <v>1</v>
      </c>
      <c r="J410" s="27" t="n">
        <v>1</v>
      </c>
      <c r="K410" s="25" t="inlineStr">
        <is>
          <t>Shipped</t>
        </is>
      </c>
    </row>
    <row r="411">
      <c r="A411" s="25" t="inlineStr">
        <is>
          <t>R1047543A</t>
        </is>
      </c>
      <c r="B411" s="78" t="n">
        <v>44293</v>
      </c>
      <c r="C411" s="25" t="inlineStr">
        <is>
          <t>902461</t>
        </is>
      </c>
      <c r="D411" s="25" t="inlineStr">
        <is>
          <t>VILLA JOLANDA STRAWBERRY MOSCATO</t>
        </is>
      </c>
      <c r="E411" s="27" t="n">
        <v>12</v>
      </c>
      <c r="F411" s="28" t="n">
        <v>105</v>
      </c>
      <c r="G411" s="27" t="n">
        <v>1</v>
      </c>
      <c r="H411" s="27" t="n">
        <v>1</v>
      </c>
      <c r="I411" s="27" t="n">
        <v>1</v>
      </c>
      <c r="J411" s="27" t="n">
        <v>1</v>
      </c>
      <c r="K411" s="25" t="inlineStr">
        <is>
          <t>Shipped</t>
        </is>
      </c>
    </row>
    <row r="412">
      <c r="A412" s="25" t="inlineStr">
        <is>
          <t>R1047543</t>
        </is>
      </c>
      <c r="B412" s="78" t="n">
        <v>44260</v>
      </c>
      <c r="C412" s="25" t="inlineStr">
        <is>
          <t>948135</t>
        </is>
      </c>
      <c r="D412" s="25" t="inlineStr">
        <is>
          <t>VILLA JOLANDA THE BLUE MOSCATO</t>
        </is>
      </c>
      <c r="E412" s="27" t="n">
        <v>12</v>
      </c>
      <c r="F412" s="28" t="n">
        <v>105</v>
      </c>
      <c r="G412" s="27" t="n">
        <v>1</v>
      </c>
      <c r="H412" s="27" t="n">
        <v>1</v>
      </c>
      <c r="I412" s="27" t="n">
        <v>1</v>
      </c>
      <c r="J412" s="27" t="n">
        <v>1</v>
      </c>
      <c r="K412" s="25" t="inlineStr">
        <is>
          <t>Shipped</t>
        </is>
      </c>
    </row>
    <row r="413">
      <c r="A413" s="25" t="inlineStr">
        <is>
          <t>R1131242</t>
        </is>
      </c>
      <c r="B413" s="78" t="n">
        <v>44337</v>
      </c>
      <c r="C413" s="25" t="inlineStr">
        <is>
          <t>67319</t>
        </is>
      </c>
      <c r="D413" s="25" t="inlineStr">
        <is>
          <t>VILLON COGNAC VSOP</t>
        </is>
      </c>
      <c r="E413" s="27" t="n">
        <v>6</v>
      </c>
      <c r="F413" s="28" t="n">
        <v>170.72</v>
      </c>
      <c r="G413" s="27" t="n">
        <v>4</v>
      </c>
      <c r="H413" s="27" t="n">
        <v>4</v>
      </c>
      <c r="I413" s="27" t="n">
        <v>4</v>
      </c>
      <c r="J413" s="27" t="n">
        <v>4</v>
      </c>
      <c r="K413" s="25" t="inlineStr">
        <is>
          <t>Shipped</t>
        </is>
      </c>
    </row>
    <row r="414">
      <c r="A414" s="25" t="inlineStr">
        <is>
          <t>R1391961</t>
        </is>
      </c>
      <c r="B414" s="78" t="n">
        <v>44559</v>
      </c>
      <c r="C414" s="25" t="inlineStr">
        <is>
          <t>21916</t>
        </is>
      </c>
      <c r="D414" s="25" t="inlineStr">
        <is>
          <t>VIRGIN BOURBON</t>
        </is>
      </c>
      <c r="E414" s="27" t="n">
        <v>12</v>
      </c>
      <c r="F414" s="28" t="n">
        <v>130.13</v>
      </c>
      <c r="G414" s="27" t="n">
        <v>1</v>
      </c>
      <c r="H414" s="27" t="n">
        <v>1</v>
      </c>
      <c r="I414" s="27" t="n">
        <v>1</v>
      </c>
      <c r="J414" s="27" t="n">
        <v>1</v>
      </c>
      <c r="K414" s="25" t="inlineStr">
        <is>
          <t>Shipped</t>
        </is>
      </c>
    </row>
    <row r="415">
      <c r="A415" s="25" t="inlineStr">
        <is>
          <t>R1216235</t>
        </is>
      </c>
      <c r="B415" s="78" t="n">
        <v>44424</v>
      </c>
      <c r="C415" s="25" t="inlineStr">
        <is>
          <t>22036</t>
        </is>
      </c>
      <c r="D415" s="25" t="inlineStr">
        <is>
          <t>WELLER 107 ANTIQUE</t>
        </is>
      </c>
      <c r="E415" s="27" t="n">
        <v>12</v>
      </c>
      <c r="F415" s="28" t="n">
        <v>461.45</v>
      </c>
      <c r="G415" s="27" t="n">
        <v>1</v>
      </c>
      <c r="H415" s="27" t="n">
        <v>1</v>
      </c>
      <c r="I415" s="27" t="n">
        <v>1</v>
      </c>
      <c r="J415" s="27" t="n">
        <v>1</v>
      </c>
      <c r="K415" s="25" t="inlineStr">
        <is>
          <t>Shipped</t>
        </is>
      </c>
    </row>
    <row r="416">
      <c r="A416" s="25" t="inlineStr">
        <is>
          <t>R1291855</t>
        </is>
      </c>
      <c r="B416" s="78" t="n">
        <v>44496</v>
      </c>
      <c r="C416" s="25" t="inlineStr">
        <is>
          <t>21986</t>
        </is>
      </c>
      <c r="D416" s="25" t="inlineStr">
        <is>
          <t>WELLER SPECIAL RESERVE</t>
        </is>
      </c>
      <c r="E416" s="27" t="n">
        <v>12</v>
      </c>
      <c r="F416" s="28" t="n">
        <v>230.67</v>
      </c>
      <c r="G416" s="27" t="n">
        <v>1</v>
      </c>
      <c r="H416" s="27" t="n">
        <v>1</v>
      </c>
      <c r="I416" s="27" t="n">
        <v>1</v>
      </c>
      <c r="J416" s="27" t="n">
        <v>1</v>
      </c>
      <c r="K416" s="25" t="inlineStr">
        <is>
          <t>Shipped</t>
        </is>
      </c>
    </row>
    <row r="417">
      <c r="A417" s="25" t="inlineStr">
        <is>
          <t>R1117928</t>
        </is>
      </c>
      <c r="B417" s="78" t="n">
        <v>44327</v>
      </c>
      <c r="C417" s="25" t="inlineStr">
        <is>
          <t>26205</t>
        </is>
      </c>
      <c r="D417" s="25" t="inlineStr">
        <is>
          <t>WHICKED PICKLE SPICY PICKLE FLAVORED WHISKEY</t>
        </is>
      </c>
      <c r="E417" s="27" t="n">
        <v>12</v>
      </c>
      <c r="F417" s="28" t="n">
        <v>184.61</v>
      </c>
      <c r="G417" s="27" t="n">
        <v>1</v>
      </c>
      <c r="H417" s="27" t="n">
        <v>1</v>
      </c>
      <c r="I417" s="27" t="n">
        <v>1</v>
      </c>
      <c r="J417" s="27" t="n">
        <v>1</v>
      </c>
      <c r="K417" s="25" t="inlineStr">
        <is>
          <t>Shipped</t>
        </is>
      </c>
    </row>
    <row r="418">
      <c r="A418" s="25" t="inlineStr">
        <is>
          <t>R1228673</t>
        </is>
      </c>
      <c r="B418" s="78" t="n">
        <v>44447</v>
      </c>
      <c r="C418" s="25" t="inlineStr">
        <is>
          <t>22172</t>
        </is>
      </c>
      <c r="D418" s="25" t="inlineStr">
        <is>
          <t>WILD TURKEY RARE BREED BARREL PROOF RYE</t>
        </is>
      </c>
      <c r="E418" s="27" t="n">
        <v>6</v>
      </c>
      <c r="F418" s="28" t="n">
        <v>276.87</v>
      </c>
      <c r="G418" s="27" t="n">
        <v>1</v>
      </c>
      <c r="H418" s="27" t="n">
        <v>1</v>
      </c>
      <c r="I418" s="27" t="n">
        <v>1</v>
      </c>
      <c r="J418" s="27" t="n">
        <v>1</v>
      </c>
      <c r="K418" s="25" t="inlineStr">
        <is>
          <t>Shipped</t>
        </is>
      </c>
    </row>
    <row r="419">
      <c r="A419" s="25" t="inlineStr">
        <is>
          <t>R1346407</t>
        </is>
      </c>
      <c r="B419" s="78" t="n">
        <v>44524</v>
      </c>
      <c r="C419" s="25" t="inlineStr">
        <is>
          <t>22241</t>
        </is>
      </c>
      <c r="D419" s="25" t="inlineStr">
        <is>
          <t>WOODFORD RESERVE KENTUCKY STRAIGHT MALT</t>
        </is>
      </c>
      <c r="E419" s="27" t="n">
        <v>6</v>
      </c>
      <c r="F419" s="28" t="n">
        <v>172.75</v>
      </c>
      <c r="G419" s="27" t="n">
        <v>3</v>
      </c>
      <c r="H419" s="27" t="n">
        <v>3</v>
      </c>
      <c r="I419" s="27" t="n">
        <v>3</v>
      </c>
      <c r="J419" s="27" t="n">
        <v>3</v>
      </c>
      <c r="K419" s="25" t="inlineStr">
        <is>
          <t>Shipped</t>
        </is>
      </c>
    </row>
    <row r="420">
      <c r="A420" s="25" t="inlineStr">
        <is>
          <t>R1363740</t>
        </is>
      </c>
      <c r="B420" s="78" t="n">
        <v>44543</v>
      </c>
      <c r="C420" s="25" t="inlineStr">
        <is>
          <t>977463</t>
        </is>
      </c>
      <c r="D420" s="25" t="inlineStr">
        <is>
          <t>WOODFORD RESERVE PERSONAL SELECTION - JASCO</t>
        </is>
      </c>
      <c r="E420" s="27" t="n">
        <v>6</v>
      </c>
      <c r="F420" s="28" t="n">
        <v>240.93</v>
      </c>
      <c r="G420" s="27" t="n">
        <v>15</v>
      </c>
      <c r="H420" s="27" t="n">
        <v>15</v>
      </c>
      <c r="I420" s="27" t="n">
        <v>15</v>
      </c>
      <c r="J420" s="27" t="n">
        <v>15</v>
      </c>
      <c r="K420" s="25" t="inlineStr">
        <is>
          <t>Shipped</t>
        </is>
      </c>
    </row>
    <row r="421">
      <c r="A421" s="25" t="inlineStr">
        <is>
          <t>R1337993</t>
        </is>
      </c>
      <c r="B421" s="78" t="n">
        <v>44529</v>
      </c>
      <c r="C421" s="25" t="inlineStr">
        <is>
          <t>22257</t>
        </is>
      </c>
      <c r="D421" s="25" t="inlineStr">
        <is>
          <t>WOODFORD RESERVE STRAIGHT WHEAT</t>
        </is>
      </c>
      <c r="E421" s="27" t="n">
        <v>6</v>
      </c>
      <c r="F421" s="28" t="n">
        <v>172.75</v>
      </c>
      <c r="G421" s="27" t="n">
        <v>4</v>
      </c>
      <c r="H421" s="27" t="n">
        <v>4</v>
      </c>
      <c r="I421" s="27" t="n">
        <v>4</v>
      </c>
      <c r="J421" s="27" t="n">
        <v>4</v>
      </c>
      <c r="K421" s="25" t="inlineStr">
        <is>
          <t>Shipped</t>
        </is>
      </c>
    </row>
    <row r="422">
      <c r="A422" s="79" t="n"/>
      <c r="B422" s="80" t="n"/>
      <c r="C422" s="79" t="n"/>
      <c r="D422" s="79" t="n"/>
      <c r="E422" s="80" t="n">
        <v>7474</v>
      </c>
      <c r="F422" s="81" t="n">
        <v>86794.08999999976</v>
      </c>
      <c r="G422" s="80" t="n">
        <v>1108</v>
      </c>
      <c r="H422" s="80" t="n">
        <v>1109</v>
      </c>
      <c r="I422" s="80" t="n">
        <v>1108</v>
      </c>
      <c r="J422" s="80" t="n">
        <v>1074</v>
      </c>
      <c r="K422" s="79" t="n"/>
    </row>
  </sheetData>
  <autoFilter ref="A1:K422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93"/>
  <sheetViews>
    <sheetView workbookViewId="0">
      <selection activeCell="J185" sqref="J185"/>
    </sheetView>
  </sheetViews>
  <sheetFormatPr baseColWidth="10" defaultColWidth="8.83203125" defaultRowHeight="15"/>
  <cols>
    <col width="38.33203125" customWidth="1" min="2" max="2"/>
    <col width="10.6640625" customWidth="1" min="4" max="4"/>
    <col width="26.33203125" customWidth="1" min="5" max="5"/>
    <col width="12.83203125" customWidth="1" min="6" max="6"/>
    <col width="10.5" bestFit="1" customWidth="1" min="7" max="7"/>
  </cols>
  <sheetData>
    <row r="1" ht="26" customHeight="1">
      <c r="D1" s="30">
        <f>SUM(D2:D9060)</f>
        <v/>
      </c>
      <c r="F1" s="23" t="n"/>
    </row>
    <row r="2">
      <c r="A2" s="6" t="n"/>
      <c r="B2" s="6" t="inlineStr">
        <is>
          <t>Name</t>
        </is>
      </c>
      <c r="C2" s="7" t="inlineStr">
        <is>
          <t>Size</t>
        </is>
      </c>
      <c r="D2" s="6" t="inlineStr">
        <is>
          <t>Reserved Quantity</t>
        </is>
      </c>
      <c r="E2" s="6" t="n"/>
      <c r="F2" s="2" t="n"/>
      <c r="G2" s="1" t="n"/>
    </row>
    <row r="3" customFormat="1" s="48">
      <c r="A3" s="44" t="n">
        <v>87509</v>
      </c>
      <c r="B3" s="44" t="inlineStr">
        <is>
          <t>1800 SILVER TEQUILA</t>
        </is>
      </c>
      <c r="C3" s="45" t="e">
        <v>#N/A</v>
      </c>
      <c r="D3" s="44" t="n">
        <v>10</v>
      </c>
      <c r="E3" s="44" t="n"/>
      <c r="F3" s="46" t="n"/>
      <c r="G3" s="47" t="n"/>
    </row>
    <row r="4">
      <c r="A4" s="6" t="n">
        <v>59154</v>
      </c>
      <c r="B4" s="6" t="inlineStr">
        <is>
          <t>1800 ULTIMATE MARGARITA RTD</t>
        </is>
      </c>
      <c r="C4" s="7" t="e">
        <v>#N/A</v>
      </c>
      <c r="D4" s="6" t="n">
        <v>1</v>
      </c>
      <c r="E4" s="6" t="n"/>
      <c r="F4" s="2" t="n"/>
      <c r="G4" s="1" t="n"/>
    </row>
    <row r="5">
      <c r="A5" s="44" t="n">
        <v>59161</v>
      </c>
      <c r="B5" s="44" t="inlineStr">
        <is>
          <t>1800 ULTIMATE PEACH MARGARITA</t>
        </is>
      </c>
      <c r="C5" s="45" t="e">
        <v>#N/A</v>
      </c>
      <c r="D5" s="44" t="n">
        <v>5</v>
      </c>
      <c r="E5" s="44" t="n"/>
      <c r="F5" s="46" t="n"/>
      <c r="G5" s="47" t="n"/>
    </row>
    <row r="6">
      <c r="A6" s="6" t="n">
        <v>59201</v>
      </c>
      <c r="B6" s="6" t="inlineStr">
        <is>
          <t>1800 ULTIMATE STRAWBERRY MARGARITA RTD LTO</t>
        </is>
      </c>
      <c r="C6" s="7" t="e">
        <v>#N/A</v>
      </c>
      <c r="D6" s="6" t="n">
        <v>25</v>
      </c>
      <c r="E6" s="6" t="n"/>
      <c r="F6" s="2" t="n"/>
      <c r="G6" s="1" t="n"/>
    </row>
    <row r="7">
      <c r="A7" s="44" t="n">
        <v>419961</v>
      </c>
      <c r="B7" s="44" t="inlineStr">
        <is>
          <t>19 CRIMES THE UPRISING RED WINE</t>
        </is>
      </c>
      <c r="C7" s="45" t="e">
        <v>#N/A</v>
      </c>
      <c r="D7" s="44" t="n">
        <v>1</v>
      </c>
      <c r="E7" s="44" t="n"/>
      <c r="F7" s="46" t="n"/>
      <c r="G7" s="47" t="n"/>
    </row>
    <row r="8">
      <c r="A8" s="6" t="n">
        <v>100959</v>
      </c>
      <c r="B8" s="6" t="inlineStr">
        <is>
          <t>99 PEANUT BUTTER WHISKEY COUNTER UNIT</t>
        </is>
      </c>
      <c r="C8" s="7" t="e">
        <v>#N/A</v>
      </c>
      <c r="D8" s="6" t="n">
        <v>1</v>
      </c>
      <c r="E8" s="6" t="n"/>
      <c r="F8" s="2" t="n"/>
      <c r="G8" s="1" t="n"/>
    </row>
    <row r="9">
      <c r="A9" s="44" t="n">
        <v>34003</v>
      </c>
      <c r="B9" s="44" t="inlineStr">
        <is>
          <t>ABSOLUT 80 VODKA</t>
        </is>
      </c>
      <c r="C9" s="45" t="e">
        <v>#N/A</v>
      </c>
      <c r="D9" s="44" t="n">
        <v>2</v>
      </c>
      <c r="E9" s="44" t="n"/>
      <c r="F9" s="46" t="n"/>
      <c r="G9" s="47" t="n"/>
    </row>
    <row r="10">
      <c r="A10" s="6" t="n">
        <v>43028</v>
      </c>
      <c r="B10" s="6" t="inlineStr">
        <is>
          <t>ADMIRAL NELSON'S SPICED RUM</t>
        </is>
      </c>
      <c r="C10" s="7" t="e">
        <v>#N/A</v>
      </c>
      <c r="D10" s="6" t="n">
        <v>3</v>
      </c>
      <c r="E10" s="6" t="n"/>
      <c r="F10" s="2" t="n"/>
      <c r="G10" s="1" t="n"/>
    </row>
    <row r="11">
      <c r="A11" s="44" t="n">
        <v>768676</v>
      </c>
      <c r="B11" s="44" t="inlineStr">
        <is>
          <t>ANDRE CHAMPAGNE MOSCATO</t>
        </is>
      </c>
      <c r="C11" s="45" t="e">
        <v>#N/A</v>
      </c>
      <c r="D11" s="44" t="n">
        <v>2</v>
      </c>
      <c r="E11" s="44" t="n"/>
      <c r="F11" s="46" t="n"/>
      <c r="G11" s="47" t="n"/>
    </row>
    <row r="12">
      <c r="A12" s="6" t="n">
        <v>768692</v>
      </c>
      <c r="B12" s="6" t="inlineStr">
        <is>
          <t>ANDRE CHAMPAGNE STRAWBERRY MOSCATO</t>
        </is>
      </c>
      <c r="C12" s="7" t="e">
        <v>#N/A</v>
      </c>
      <c r="D12" s="6" t="n">
        <v>2</v>
      </c>
      <c r="E12" s="6" t="n"/>
      <c r="F12" s="2" t="n"/>
      <c r="G12" s="1" t="n"/>
    </row>
    <row r="13">
      <c r="A13" s="44" t="n">
        <v>43126</v>
      </c>
      <c r="B13" s="44" t="inlineStr">
        <is>
          <t>BACARDI LIGHT RUM</t>
        </is>
      </c>
      <c r="C13" s="45" t="e">
        <v>#N/A</v>
      </c>
      <c r="D13" s="44" t="n">
        <v>2</v>
      </c>
      <c r="E13" s="44" t="n"/>
      <c r="F13" s="46" t="n"/>
      <c r="G13" s="47" t="n"/>
    </row>
    <row r="14">
      <c r="A14" s="6" t="n">
        <v>768950</v>
      </c>
      <c r="B14" s="6" t="inlineStr">
        <is>
          <t>BALLATORE SPUMANTE</t>
        </is>
      </c>
      <c r="C14" s="7" t="e">
        <v>#N/A</v>
      </c>
      <c r="D14" s="6" t="n">
        <v>1</v>
      </c>
      <c r="E14" s="6" t="n"/>
      <c r="F14" s="2" t="n"/>
      <c r="G14" s="1" t="n"/>
    </row>
    <row r="15">
      <c r="A15" s="44" t="n">
        <v>16652</v>
      </c>
      <c r="B15" s="44" t="inlineStr">
        <is>
          <t>BARDSTOWN BOURBON COMPANY FUSION SERIES</t>
        </is>
      </c>
      <c r="C15" s="45" t="e">
        <v>#N/A</v>
      </c>
      <c r="D15" s="44" t="n">
        <v>2</v>
      </c>
      <c r="E15" s="44" t="n"/>
      <c r="F15" s="46" t="n"/>
      <c r="G15" s="47" t="n"/>
    </row>
    <row r="16">
      <c r="A16" s="6" t="n">
        <v>809132</v>
      </c>
      <c r="B16" s="6" t="inlineStr">
        <is>
          <t>BAREFOOT CELLARS PEACH FRUIT-SCATO</t>
        </is>
      </c>
      <c r="C16" s="7" t="e">
        <v>#N/A</v>
      </c>
      <c r="D16" s="6" t="n">
        <v>1</v>
      </c>
      <c r="E16" s="6" t="n"/>
      <c r="F16" s="2" t="n"/>
      <c r="G16" s="1" t="n"/>
    </row>
    <row r="17">
      <c r="A17" s="44" t="n">
        <v>809134</v>
      </c>
      <c r="B17" s="44" t="inlineStr">
        <is>
          <t>BAREFOOT CELLARS STRAWBERRY FRUIT-SCATO</t>
        </is>
      </c>
      <c r="C17" s="45" t="e">
        <v>#N/A</v>
      </c>
      <c r="D17" s="44" t="n">
        <v>1</v>
      </c>
    </row>
    <row r="18">
      <c r="A18" s="6" t="n">
        <v>544115</v>
      </c>
      <c r="B18" s="6" t="inlineStr">
        <is>
          <t>BAREFOOT RIESLING CALIFORNIA</t>
        </is>
      </c>
      <c r="C18" s="7" t="e">
        <v>#N/A</v>
      </c>
      <c r="D18" s="6" t="n">
        <v>1</v>
      </c>
    </row>
    <row r="19">
      <c r="A19" s="44" t="n">
        <v>57049</v>
      </c>
      <c r="B19" s="44" t="inlineStr">
        <is>
          <t>BARTON LONG ISLAND ICE TEA</t>
        </is>
      </c>
      <c r="C19" s="45" t="e">
        <v>#N/A</v>
      </c>
      <c r="D19" s="44" t="n">
        <v>2</v>
      </c>
    </row>
    <row r="20">
      <c r="A20" s="6" t="n">
        <v>16676</v>
      </c>
      <c r="B20" s="6" t="inlineStr">
        <is>
          <t>BASIL HAYDEN'S STRAIGHT BOURBON</t>
        </is>
      </c>
      <c r="C20" s="7" t="e">
        <v>#N/A</v>
      </c>
      <c r="D20" s="6" t="n">
        <v>1</v>
      </c>
    </row>
    <row r="21">
      <c r="A21" s="44" t="n">
        <v>22784</v>
      </c>
      <c r="B21" s="44" t="inlineStr">
        <is>
          <t>BEAM'S 8 STAR BLENDED WHISKEY</t>
        </is>
      </c>
      <c r="C21" s="45" t="e">
        <v>#N/A</v>
      </c>
      <c r="D21" s="44" t="n">
        <v>1</v>
      </c>
    </row>
    <row r="22">
      <c r="A22" s="6" t="n">
        <v>34155</v>
      </c>
      <c r="B22" s="6" t="inlineStr">
        <is>
          <t>BELVEDERE VODKA</t>
        </is>
      </c>
      <c r="C22" s="7" t="e">
        <v>#N/A</v>
      </c>
      <c r="D22" s="6" t="n">
        <v>3</v>
      </c>
    </row>
    <row r="23">
      <c r="A23" s="44" t="n">
        <v>643041</v>
      </c>
      <c r="B23" s="44" t="inlineStr">
        <is>
          <t>BERINGER CALIF WHITE ZINFANDEL</t>
        </is>
      </c>
      <c r="C23" s="45" t="e">
        <v>#N/A</v>
      </c>
      <c r="D23" s="44" t="n">
        <v>4</v>
      </c>
    </row>
    <row r="24">
      <c r="A24" s="6" t="n">
        <v>27025</v>
      </c>
      <c r="B24" s="6" t="inlineStr">
        <is>
          <t>BULLEIT 95 RYE STRAIGHT RYE WHISKEY</t>
        </is>
      </c>
      <c r="C24" s="7" t="e">
        <v>#N/A</v>
      </c>
      <c r="D24" s="6" t="n">
        <v>1</v>
      </c>
    </row>
    <row r="25">
      <c r="A25" s="44" t="n">
        <v>17086</v>
      </c>
      <c r="B25" s="44" t="inlineStr">
        <is>
          <t>BULLEIT STRAIGHT BOURBON 90 PROOF</t>
        </is>
      </c>
      <c r="C25" s="45" t="e">
        <v>#N/A</v>
      </c>
      <c r="D25" s="44" t="n">
        <v>2</v>
      </c>
    </row>
    <row r="26">
      <c r="A26" s="6" t="n">
        <v>64388</v>
      </c>
      <c r="B26" s="6" t="inlineStr">
        <is>
          <t>BUMBU RUM</t>
        </is>
      </c>
      <c r="C26" s="7" t="e">
        <v>#N/A</v>
      </c>
      <c r="D26" s="6" t="n">
        <v>2</v>
      </c>
    </row>
    <row r="27">
      <c r="A27" s="44" t="n">
        <v>41413</v>
      </c>
      <c r="B27" s="44" t="inlineStr">
        <is>
          <t>BURNETT'S PINEAPPLE FLAVORED VODKA</t>
        </is>
      </c>
      <c r="C27" s="45" t="e">
        <v>#N/A</v>
      </c>
      <c r="D27" s="44" t="n">
        <v>1</v>
      </c>
    </row>
    <row r="28">
      <c r="A28" s="6" t="n">
        <v>35413</v>
      </c>
      <c r="B28" s="6" t="inlineStr">
        <is>
          <t>BURNETT'S VODKA 80 PROOF</t>
        </is>
      </c>
      <c r="C28" s="7" t="e">
        <v>#N/A</v>
      </c>
      <c r="D28" s="6" t="n">
        <v>10</v>
      </c>
    </row>
    <row r="29">
      <c r="A29" s="44" t="n">
        <v>35414</v>
      </c>
      <c r="B29" s="44" t="inlineStr">
        <is>
          <t>BURNETT'S VODKA 80 PROOF</t>
        </is>
      </c>
      <c r="C29" s="45" t="e">
        <v>#N/A</v>
      </c>
      <c r="D29" s="44" t="n">
        <v>10</v>
      </c>
    </row>
    <row r="30">
      <c r="A30" s="6" t="n">
        <v>44333</v>
      </c>
      <c r="B30" s="6" t="inlineStr">
        <is>
          <t>CALYPSO COCONUT FLAVORED RUM</t>
        </is>
      </c>
      <c r="C30" s="7" t="e">
        <v>#N/A</v>
      </c>
      <c r="D30" s="6" t="n">
        <v>1</v>
      </c>
    </row>
    <row r="31">
      <c r="A31" s="44" t="n">
        <v>12880</v>
      </c>
      <c r="B31" s="44" t="inlineStr">
        <is>
          <t>CANADIAN RICH &amp; RARE (PET)</t>
        </is>
      </c>
      <c r="C31" s="45" t="e">
        <v>#N/A</v>
      </c>
      <c r="D31" s="44" t="n">
        <v>2</v>
      </c>
    </row>
    <row r="32">
      <c r="A32" s="6" t="n">
        <v>12855</v>
      </c>
      <c r="B32" s="6" t="inlineStr">
        <is>
          <t>CANADIAN RICH AND RARE RESERVE</t>
        </is>
      </c>
      <c r="C32" s="7" t="e">
        <v>#N/A</v>
      </c>
      <c r="D32" s="6" t="n">
        <v>30</v>
      </c>
    </row>
    <row r="33">
      <c r="A33" s="44" t="n">
        <v>882381</v>
      </c>
      <c r="B33" s="44" t="inlineStr">
        <is>
          <t>CAPRICCIO BUBBLY SANGRIA</t>
        </is>
      </c>
      <c r="C33" s="45" t="e">
        <v>#N/A</v>
      </c>
      <c r="D33" s="44" t="n">
        <v>1</v>
      </c>
    </row>
    <row r="34">
      <c r="A34" s="6" t="n">
        <v>882327</v>
      </c>
      <c r="B34" s="6" t="inlineStr">
        <is>
          <t>CARLO ROSSI BLUEBERRY SANGRIA</t>
        </is>
      </c>
      <c r="C34" s="7" t="e">
        <v>#N/A</v>
      </c>
      <c r="D34" s="6" t="n">
        <v>3</v>
      </c>
    </row>
    <row r="35">
      <c r="A35" s="44" t="n">
        <v>552052</v>
      </c>
      <c r="B35" s="44" t="inlineStr">
        <is>
          <t>CARLO ROSSI CHARDONNAY</t>
        </is>
      </c>
      <c r="C35" s="45" t="e">
        <v>#N/A</v>
      </c>
      <c r="D35" s="44" t="n">
        <v>1</v>
      </c>
    </row>
    <row r="36">
      <c r="A36" s="6" t="n">
        <v>415318</v>
      </c>
      <c r="B36" s="6" t="inlineStr">
        <is>
          <t>CARLO ROSSI SWEET RED</t>
        </is>
      </c>
      <c r="C36" s="7" t="e">
        <v>#N/A</v>
      </c>
      <c r="D36" s="6" t="n">
        <v>4</v>
      </c>
    </row>
    <row r="37">
      <c r="A37" s="44" t="n">
        <v>415315</v>
      </c>
      <c r="B37" s="44" t="inlineStr">
        <is>
          <t>CARLO ROSSI SWEET RED</t>
        </is>
      </c>
      <c r="C37" s="45" t="e">
        <v>#N/A</v>
      </c>
      <c r="D37" s="44" t="n">
        <v>4</v>
      </c>
    </row>
    <row r="38">
      <c r="A38" s="6" t="n">
        <v>882310</v>
      </c>
      <c r="B38" s="6" t="inlineStr">
        <is>
          <t>CARLO ROSSI SWEET SANGRIA</t>
        </is>
      </c>
      <c r="C38" s="7" t="e">
        <v>#N/A</v>
      </c>
      <c r="D38" s="6" t="n">
        <v>1</v>
      </c>
    </row>
    <row r="39">
      <c r="A39" s="44" t="n">
        <v>88833</v>
      </c>
      <c r="B39" s="44" t="inlineStr">
        <is>
          <t>CASAMIGOS ANEJO TEQUILA 100% AGAVE</t>
        </is>
      </c>
      <c r="C39" s="45" t="e">
        <v>#N/A</v>
      </c>
      <c r="D39" s="44" t="n">
        <v>5</v>
      </c>
    </row>
    <row r="40">
      <c r="A40" s="6" t="n">
        <v>87280</v>
      </c>
      <c r="B40" s="6" t="inlineStr">
        <is>
          <t>CASAMIGOS BLANCO TEQUILA 100% AGAVE</t>
        </is>
      </c>
      <c r="C40" s="7">
        <f>VLOOKUP(A40,SizeData!#REF!,2,FALSE)</f>
        <v/>
      </c>
      <c r="D40" s="6" t="n">
        <v>5</v>
      </c>
    </row>
    <row r="41">
      <c r="A41" s="44" t="n">
        <v>87280</v>
      </c>
      <c r="B41" s="44" t="inlineStr">
        <is>
          <t>CASAMIGOS BLANCO TEQUILA 100% AGAVE</t>
        </is>
      </c>
      <c r="C41" s="45" t="e">
        <v>#N/A</v>
      </c>
      <c r="D41" s="44" t="n">
        <v>5</v>
      </c>
    </row>
    <row r="42">
      <c r="A42" s="6" t="n">
        <v>89177</v>
      </c>
      <c r="B42" s="6" t="inlineStr">
        <is>
          <t>CASAMIGOS REPOSADO TEQUILA 100% AGAVE</t>
        </is>
      </c>
      <c r="C42" s="7" t="e">
        <v>#N/A</v>
      </c>
      <c r="D42" s="6" t="n">
        <v>5</v>
      </c>
    </row>
    <row r="43">
      <c r="A43" s="44" t="n">
        <v>57120</v>
      </c>
      <c r="B43" s="44" t="inlineStr">
        <is>
          <t>CHI CHI'S LONG ISLAND ICED TEA</t>
        </is>
      </c>
      <c r="C43" s="45" t="e">
        <v>#N/A</v>
      </c>
      <c r="D43" s="44" t="n">
        <v>1</v>
      </c>
    </row>
    <row r="44">
      <c r="A44" s="6" t="n">
        <v>57181</v>
      </c>
      <c r="B44" s="6" t="inlineStr">
        <is>
          <t>CHI CHI'S PINEAPPLE MARGARITA</t>
        </is>
      </c>
      <c r="C44" s="7" t="e">
        <v>#N/A</v>
      </c>
      <c r="D44" s="6" t="n">
        <v>1</v>
      </c>
    </row>
    <row r="45">
      <c r="A45" s="44" t="n">
        <v>57148</v>
      </c>
      <c r="B45" s="44" t="inlineStr">
        <is>
          <t>CHI-CHI'S MARGARITA</t>
        </is>
      </c>
      <c r="C45" s="45" t="e">
        <v>#N/A</v>
      </c>
      <c r="D45" s="44" t="n">
        <v>2</v>
      </c>
    </row>
    <row r="46">
      <c r="A46" s="6" t="n">
        <v>57144</v>
      </c>
      <c r="B46" s="6" t="inlineStr">
        <is>
          <t>CHI-CHI'S WHITE RUSSIAN</t>
        </is>
      </c>
      <c r="C46" s="7" t="e">
        <v>#N/A</v>
      </c>
      <c r="D46" s="6" t="n">
        <v>1</v>
      </c>
    </row>
    <row r="47">
      <c r="A47" s="44" t="n">
        <v>64514</v>
      </c>
      <c r="B47" s="44" t="inlineStr">
        <is>
          <t>CIROC APPLE FLAVORED VODKA SPECIALTY</t>
        </is>
      </c>
      <c r="C47" s="45" t="e">
        <v>#N/A</v>
      </c>
      <c r="D47" s="44" t="n">
        <v>1</v>
      </c>
    </row>
    <row r="48">
      <c r="A48" s="6" t="n">
        <v>64744</v>
      </c>
      <c r="B48" s="6" t="inlineStr">
        <is>
          <t>CIROC COCONUT FLAVORED VODKA SPECIALTY</t>
        </is>
      </c>
      <c r="C48" s="7" t="e">
        <v>#N/A</v>
      </c>
      <c r="D48" s="6" t="n">
        <v>1</v>
      </c>
    </row>
    <row r="49">
      <c r="A49" s="44" t="n">
        <v>64714</v>
      </c>
      <c r="B49" s="44" t="inlineStr">
        <is>
          <t>CIROC PEACH FLAVORED VODKA SPECIALTY</t>
        </is>
      </c>
      <c r="C49" s="45" t="e">
        <v>#N/A</v>
      </c>
      <c r="D49" s="44" t="n">
        <v>1</v>
      </c>
    </row>
    <row r="50">
      <c r="A50" s="6" t="n">
        <v>64575</v>
      </c>
      <c r="B50" s="6" t="inlineStr">
        <is>
          <t>CIROC PINEAPPLE FLAVORED VODKA SPECIALTY</t>
        </is>
      </c>
      <c r="C50" s="7" t="e">
        <v>#N/A</v>
      </c>
      <c r="D50" s="6" t="n">
        <v>1</v>
      </c>
    </row>
    <row r="51">
      <c r="A51" s="44" t="n">
        <v>64572</v>
      </c>
      <c r="B51" s="44" t="inlineStr">
        <is>
          <t>CIROC PINEAPPLE FLAVORED VODKA SPECIALTY</t>
        </is>
      </c>
      <c r="C51" s="45" t="e">
        <v>#N/A</v>
      </c>
      <c r="D51" s="44" t="n">
        <v>1</v>
      </c>
    </row>
    <row r="52">
      <c r="A52" s="6" t="n">
        <v>34201</v>
      </c>
      <c r="B52" s="6" t="inlineStr">
        <is>
          <t>CIROC SNAP FROST VODKA</t>
        </is>
      </c>
      <c r="C52" s="7" t="e">
        <v>#N/A</v>
      </c>
      <c r="D52" s="6" t="n">
        <v>1</v>
      </c>
    </row>
    <row r="53">
      <c r="A53" s="44" t="n">
        <v>51107</v>
      </c>
      <c r="B53" s="44" t="inlineStr">
        <is>
          <t>CIROC VS FRENCH BRANDY</t>
        </is>
      </c>
      <c r="C53" s="45" t="e">
        <v>#N/A</v>
      </c>
      <c r="D53" s="44" t="n">
        <v>1</v>
      </c>
    </row>
    <row r="54">
      <c r="A54" s="6" t="n">
        <v>47786</v>
      </c>
      <c r="B54" s="6" t="inlineStr">
        <is>
          <t>COURVOISIER V S COGNAC</t>
        </is>
      </c>
      <c r="C54" s="7">
        <f>VLOOKUP(A54,SizeData!#REF!,2,FALSE)</f>
        <v/>
      </c>
      <c r="D54" s="6" t="n">
        <v>20</v>
      </c>
    </row>
    <row r="55">
      <c r="A55" s="44" t="n">
        <v>10838</v>
      </c>
      <c r="B55" s="44" t="inlineStr">
        <is>
          <t>CROWN ROYAL BLACK</t>
        </is>
      </c>
      <c r="C55" s="45" t="e">
        <v>#N/A</v>
      </c>
      <c r="D55" s="44" t="n">
        <v>10</v>
      </c>
    </row>
    <row r="56">
      <c r="A56" s="6" t="n">
        <v>10836</v>
      </c>
      <c r="B56" s="6" t="inlineStr">
        <is>
          <t>CROWN ROYAL BLACK</t>
        </is>
      </c>
      <c r="C56" s="7" t="e">
        <v>#N/A</v>
      </c>
      <c r="D56" s="6" t="n">
        <v>6</v>
      </c>
    </row>
    <row r="57">
      <c r="A57" s="44" t="n">
        <v>10807</v>
      </c>
      <c r="B57" s="44" t="inlineStr">
        <is>
          <t>CROWN ROYAL REGAL APPLE FLAVORED WHISKEY</t>
        </is>
      </c>
      <c r="C57" s="45" t="e">
        <v>#N/A</v>
      </c>
      <c r="D57" s="44" t="n">
        <v>5</v>
      </c>
    </row>
    <row r="58">
      <c r="A58" s="6" t="n">
        <v>10809</v>
      </c>
      <c r="B58" s="6" t="inlineStr">
        <is>
          <t>CROWN ROYAL REGAL APPLE FLAVORED WHISKEY</t>
        </is>
      </c>
      <c r="C58" s="7" t="e">
        <v>#N/A</v>
      </c>
      <c r="D58" s="6" t="n">
        <v>1</v>
      </c>
    </row>
    <row r="59">
      <c r="A59" s="44" t="n">
        <v>35648</v>
      </c>
      <c r="B59" s="44" t="inlineStr">
        <is>
          <t>CROWN RUSSE VODKA</t>
        </is>
      </c>
      <c r="C59" s="45" t="e">
        <v>#N/A</v>
      </c>
      <c r="D59" s="44" t="n">
        <v>1</v>
      </c>
    </row>
    <row r="60">
      <c r="A60" s="6" t="n">
        <v>58838</v>
      </c>
      <c r="B60" s="6" t="inlineStr">
        <is>
          <t>CUERVO LIME MARGARITA / 20PF</t>
        </is>
      </c>
      <c r="C60" s="7" t="e">
        <v>#N/A</v>
      </c>
      <c r="D60" s="6" t="n">
        <v>2</v>
      </c>
    </row>
    <row r="61">
      <c r="A61" s="44" t="n">
        <v>58868</v>
      </c>
      <c r="B61" s="44" t="inlineStr">
        <is>
          <t>CUERVO STRAWBERRY MARGARITA / 20PF</t>
        </is>
      </c>
      <c r="C61" s="45" t="e">
        <v>#N/A</v>
      </c>
      <c r="D61" s="44" t="n">
        <v>2</v>
      </c>
    </row>
    <row r="62">
      <c r="A62" s="6" t="n">
        <v>86110</v>
      </c>
      <c r="B62" s="6" t="inlineStr">
        <is>
          <t>DEKUYPER TRIPLE SEC</t>
        </is>
      </c>
      <c r="C62" s="7" t="e">
        <v>#N/A</v>
      </c>
      <c r="D62" s="6" t="n">
        <v>1</v>
      </c>
    </row>
    <row r="63">
      <c r="A63" s="44" t="n">
        <v>89154</v>
      </c>
      <c r="B63" s="44" t="inlineStr">
        <is>
          <t>DON JULIO REPOSADO TEQUILA GOLD</t>
        </is>
      </c>
      <c r="C63" s="45">
        <f>VLOOKUP(A63,SizeData!#REF!,2,FALSE)</f>
        <v/>
      </c>
      <c r="D63" s="44" t="n">
        <v>1</v>
      </c>
    </row>
    <row r="64">
      <c r="A64" s="6" t="n">
        <v>462522</v>
      </c>
      <c r="B64" s="6" t="inlineStr">
        <is>
          <t>DUPLIN CAROLINA RED</t>
        </is>
      </c>
      <c r="C64" s="7" t="e">
        <v>#N/A</v>
      </c>
      <c r="D64" s="6" t="n">
        <v>2</v>
      </c>
    </row>
    <row r="65">
      <c r="A65" s="44" t="n">
        <v>47865</v>
      </c>
      <c r="B65" s="44" t="inlineStr">
        <is>
          <t>DUSSE VSOP COGNAC</t>
        </is>
      </c>
      <c r="C65" s="45" t="e">
        <v>#N/A</v>
      </c>
      <c r="D65" s="44" t="n">
        <v>5</v>
      </c>
    </row>
    <row r="66">
      <c r="A66" s="6" t="n">
        <v>73757</v>
      </c>
      <c r="B66" s="6" t="inlineStr">
        <is>
          <t>E &amp; J APPLE BRANDY</t>
        </is>
      </c>
      <c r="C66" s="7" t="e">
        <v>#N/A</v>
      </c>
      <c r="D66" s="6" t="n">
        <v>1</v>
      </c>
    </row>
    <row r="67">
      <c r="A67" s="44" t="n">
        <v>52580</v>
      </c>
      <c r="B67" s="44" t="inlineStr">
        <is>
          <t>E &amp; J SUPERIOR RESERVE VSOP BRANDY</t>
        </is>
      </c>
      <c r="C67" s="45">
        <f>VLOOKUP(A67,SizeData!#REF!,2,FALSE)</f>
        <v/>
      </c>
      <c r="D67" s="44" t="n">
        <v>3</v>
      </c>
    </row>
    <row r="68">
      <c r="A68" s="6" t="n">
        <v>52584</v>
      </c>
      <c r="B68" s="6" t="inlineStr">
        <is>
          <t>E &amp; J SUPERIOR RESERVE VSOP BRANDY</t>
        </is>
      </c>
      <c r="C68" s="7" t="e">
        <v>#N/A</v>
      </c>
      <c r="D68" s="6" t="n">
        <v>1</v>
      </c>
    </row>
    <row r="69">
      <c r="A69" s="44" t="n">
        <v>52582</v>
      </c>
      <c r="B69" s="44" t="inlineStr">
        <is>
          <t>E &amp; J SUPERIOR RESERVE VSOP BRANDY</t>
        </is>
      </c>
      <c r="C69" s="45" t="e">
        <v>#N/A</v>
      </c>
      <c r="D69" s="44" t="n">
        <v>1</v>
      </c>
    </row>
    <row r="70">
      <c r="A70" s="6" t="n">
        <v>52559</v>
      </c>
      <c r="B70" s="6" t="inlineStr">
        <is>
          <t>E &amp; J XO BRANDY</t>
        </is>
      </c>
      <c r="C70" s="7" t="e">
        <v>#N/A</v>
      </c>
      <c r="D70" s="6" t="n">
        <v>1</v>
      </c>
    </row>
    <row r="71">
      <c r="A71" s="44" t="n">
        <v>89182</v>
      </c>
      <c r="B71" s="44" t="inlineStr">
        <is>
          <t>EL MAYOR REPOSADO TEQIULA</t>
        </is>
      </c>
      <c r="C71" s="45" t="e">
        <v>#N/A</v>
      </c>
      <c r="D71" s="44" t="n">
        <v>1</v>
      </c>
    </row>
    <row r="72">
      <c r="A72" s="6" t="n">
        <v>33524</v>
      </c>
      <c r="B72" s="6" t="inlineStr">
        <is>
          <t>EXCLUSIV PINEAPPLE VODKA</t>
        </is>
      </c>
      <c r="C72" s="7" t="e">
        <v>#N/A</v>
      </c>
      <c r="D72" s="6" t="n">
        <v>1</v>
      </c>
    </row>
    <row r="73">
      <c r="A73" s="44" t="n">
        <v>33709</v>
      </c>
      <c r="B73" s="44" t="inlineStr">
        <is>
          <t>EXCLUSIV VODKA</t>
        </is>
      </c>
      <c r="C73" s="45" t="e">
        <v>#N/A</v>
      </c>
      <c r="D73" s="44" t="n">
        <v>8</v>
      </c>
    </row>
    <row r="74">
      <c r="A74" s="6" t="n">
        <v>65013</v>
      </c>
      <c r="B74" s="6" t="inlineStr">
        <is>
          <t>FIREBALL CINNAMON WHISKEY (PET)</t>
        </is>
      </c>
      <c r="C74" s="7" t="e">
        <v>#N/A</v>
      </c>
      <c r="D74" s="6" t="n">
        <v>15</v>
      </c>
    </row>
    <row r="75">
      <c r="A75" s="44" t="n">
        <v>64864</v>
      </c>
      <c r="B75" s="44" t="inlineStr">
        <is>
          <t>FIREBALL CINNAMON WHISKEY (PET)</t>
        </is>
      </c>
      <c r="C75" s="45" t="e">
        <v>#N/A</v>
      </c>
      <c r="D75" s="44" t="n">
        <v>1</v>
      </c>
    </row>
    <row r="76">
      <c r="A76" s="6" t="n">
        <v>64863</v>
      </c>
      <c r="B76" s="6" t="inlineStr">
        <is>
          <t>FIREBALL CINNAMON WHISKEY PET</t>
        </is>
      </c>
      <c r="C76" s="7" t="e">
        <v>#N/A</v>
      </c>
      <c r="D76" s="6" t="n">
        <v>5</v>
      </c>
    </row>
    <row r="77">
      <c r="A77" s="44" t="n">
        <v>565371</v>
      </c>
      <c r="B77" s="44" t="inlineStr">
        <is>
          <t>FLIP FLOP CHARDONNAY</t>
        </is>
      </c>
      <c r="C77" s="45" t="e">
        <v>#N/A</v>
      </c>
      <c r="D77" s="44" t="n">
        <v>1</v>
      </c>
    </row>
    <row r="78">
      <c r="A78" s="6" t="n">
        <v>886300</v>
      </c>
      <c r="B78" s="6" t="inlineStr">
        <is>
          <t>FRANZIA FRUITY RED SANGRIA</t>
        </is>
      </c>
      <c r="C78" s="7" t="e">
        <v>#N/A</v>
      </c>
      <c r="D78" s="6" t="n">
        <v>1</v>
      </c>
    </row>
    <row r="79">
      <c r="A79" s="44" t="n">
        <v>467800</v>
      </c>
      <c r="B79" s="44" t="inlineStr">
        <is>
          <t>FRANZIA HOUSE WINE FAV CHILLABLE RED</t>
        </is>
      </c>
      <c r="C79" s="45" t="e">
        <v>#N/A</v>
      </c>
      <c r="D79" s="44" t="n">
        <v>3</v>
      </c>
    </row>
    <row r="80">
      <c r="A80" s="6" t="n">
        <v>566375</v>
      </c>
      <c r="B80" s="6" t="inlineStr">
        <is>
          <t>FRANZIA RHINEFLUR CRISP WHITE BOX</t>
        </is>
      </c>
      <c r="C80" s="7" t="e">
        <v>#N/A</v>
      </c>
      <c r="D80" s="6" t="n">
        <v>1</v>
      </c>
    </row>
    <row r="81">
      <c r="A81" s="44" t="n">
        <v>27503</v>
      </c>
      <c r="B81" s="44" t="inlineStr">
        <is>
          <t>GEORGIA MOON IT'S PEACH (CORN WHISKEY)</t>
        </is>
      </c>
      <c r="C81" s="45" t="e">
        <v>#N/A</v>
      </c>
      <c r="D81" s="44" t="n">
        <v>1</v>
      </c>
    </row>
    <row r="82">
      <c r="A82" s="6" t="n">
        <v>5061</v>
      </c>
      <c r="B82" s="6" t="inlineStr">
        <is>
          <t>GLENLIVET 15YR FRENCH OAK RSV</t>
        </is>
      </c>
      <c r="C82" s="7" t="e">
        <v>#N/A</v>
      </c>
      <c r="D82" s="6" t="n">
        <v>1</v>
      </c>
    </row>
    <row r="83">
      <c r="A83" s="44" t="n">
        <v>89292</v>
      </c>
      <c r="B83" s="44" t="inlineStr">
        <is>
          <t>GRAN CENTENARIO ANJEO TEQUILA</t>
        </is>
      </c>
      <c r="C83" s="45" t="e">
        <v>#N/A</v>
      </c>
      <c r="D83" s="44" t="n">
        <v>1</v>
      </c>
    </row>
    <row r="84">
      <c r="A84" s="6" t="n">
        <v>34433</v>
      </c>
      <c r="B84" s="6" t="inlineStr">
        <is>
          <t>GREY GOOSE IMPORTED VODKA</t>
        </is>
      </c>
      <c r="C84" s="7" t="e">
        <v>#N/A</v>
      </c>
      <c r="D84" s="6" t="n">
        <v>10</v>
      </c>
    </row>
    <row r="85">
      <c r="A85" s="44" t="n">
        <v>34423</v>
      </c>
      <c r="B85" s="44" t="inlineStr">
        <is>
          <t>GREY GOOSE IMPORTED VODKA</t>
        </is>
      </c>
      <c r="C85" s="45" t="e">
        <v>#N/A</v>
      </c>
      <c r="D85" s="44" t="n">
        <v>4</v>
      </c>
    </row>
    <row r="86">
      <c r="A86" s="6" t="n">
        <v>34433</v>
      </c>
      <c r="B86" s="6" t="inlineStr">
        <is>
          <t>GREY GOOSE IMPORTED VODKA</t>
        </is>
      </c>
      <c r="C86" s="7" t="e">
        <v>#N/A</v>
      </c>
      <c r="D86" s="6" t="n">
        <v>5</v>
      </c>
    </row>
    <row r="87">
      <c r="A87" s="44" t="n">
        <v>34359</v>
      </c>
      <c r="B87" s="44" t="inlineStr">
        <is>
          <t>GREY GOOSE IMPORTED VODKA</t>
        </is>
      </c>
      <c r="C87" s="45" t="e">
        <v>#N/A</v>
      </c>
      <c r="D87" s="44" t="n">
        <v>4</v>
      </c>
    </row>
    <row r="88">
      <c r="A88" s="6" t="n">
        <v>48108</v>
      </c>
      <c r="B88" s="6" t="inlineStr">
        <is>
          <t>HENNESSY V S COGNAC</t>
        </is>
      </c>
      <c r="C88" s="7" t="e">
        <v>#N/A</v>
      </c>
      <c r="D88" s="6" t="n">
        <v>10</v>
      </c>
    </row>
    <row r="89">
      <c r="A89" s="44" t="n">
        <v>48164</v>
      </c>
      <c r="B89" s="44" t="inlineStr">
        <is>
          <t>HENNESSY VSOP PRIVILEGE COGNAC</t>
        </is>
      </c>
      <c r="C89" s="45" t="e">
        <v>#N/A</v>
      </c>
      <c r="D89" s="44" t="n">
        <v>2</v>
      </c>
    </row>
    <row r="90">
      <c r="A90" s="6" t="n">
        <v>100104</v>
      </c>
      <c r="B90" s="6" t="inlineStr">
        <is>
          <t>HERRADURA ULTRA ANEJO GIFT CARTON G6</t>
        </is>
      </c>
      <c r="C90" s="7" t="e">
        <v>#N/A</v>
      </c>
      <c r="D90" s="6" t="n">
        <v>5</v>
      </c>
    </row>
    <row r="91">
      <c r="A91" s="44" t="n">
        <v>100104</v>
      </c>
      <c r="B91" s="44" t="inlineStr">
        <is>
          <t>HERRADURA ULTRA ANEJO GIFT CARTON G6</t>
        </is>
      </c>
      <c r="C91" s="45" t="e">
        <v>#N/A</v>
      </c>
      <c r="D91" s="44" t="n">
        <v>5</v>
      </c>
    </row>
    <row r="92">
      <c r="A92" s="6" t="n">
        <v>65194</v>
      </c>
      <c r="B92" s="6" t="inlineStr">
        <is>
          <t>HPNOTIQ VODKA &amp; COGNAC LIQUEUR</t>
        </is>
      </c>
      <c r="C92" s="7" t="e">
        <v>#N/A</v>
      </c>
      <c r="D92" s="6" t="n">
        <v>1</v>
      </c>
    </row>
    <row r="93">
      <c r="A93" s="44" t="n">
        <v>26822</v>
      </c>
      <c r="B93" s="44" t="inlineStr">
        <is>
          <t>JACK DANIELS BLACK LABEL</t>
        </is>
      </c>
      <c r="C93" s="45" t="e">
        <v>#N/A</v>
      </c>
      <c r="D93" s="44" t="n">
        <v>10</v>
      </c>
    </row>
    <row r="94">
      <c r="A94" s="6" t="n">
        <v>413340</v>
      </c>
      <c r="B94" s="6" t="inlineStr">
        <is>
          <t>JAM JAR SWEET SHIRAZ WESTERN CAPE</t>
        </is>
      </c>
      <c r="C94" s="7" t="e">
        <v>#N/A</v>
      </c>
      <c r="D94" s="6" t="n">
        <v>1</v>
      </c>
    </row>
    <row r="95">
      <c r="A95" s="44" t="n">
        <v>15779</v>
      </c>
      <c r="B95" s="44" t="inlineStr">
        <is>
          <t>JAMESON BLACK BARREL IRISH WHISKEY</t>
        </is>
      </c>
      <c r="C95" s="45">
        <f>VLOOKUP(A95,SizeData!#REF!,2,FALSE)</f>
        <v/>
      </c>
      <c r="D95" s="44" t="n">
        <v>2</v>
      </c>
    </row>
    <row r="96">
      <c r="A96" s="6" t="n">
        <v>19061</v>
      </c>
      <c r="B96" s="6" t="inlineStr">
        <is>
          <t>JIM BEAM BOURBON WHISKEY</t>
        </is>
      </c>
      <c r="C96" s="7" t="e">
        <v>#N/A</v>
      </c>
      <c r="D96" s="6" t="n">
        <v>2</v>
      </c>
    </row>
    <row r="97">
      <c r="A97" s="44" t="n">
        <v>19112</v>
      </c>
      <c r="B97" s="44" t="inlineStr">
        <is>
          <t>JIM BEAM DEVIL'S CUT KENTUCKY STRAIGHT BOURBON</t>
        </is>
      </c>
      <c r="C97" s="45" t="e">
        <v>#N/A</v>
      </c>
      <c r="D97" s="44" t="n">
        <v>1</v>
      </c>
    </row>
    <row r="98">
      <c r="A98" s="6" t="n">
        <v>58874</v>
      </c>
      <c r="B98" s="6" t="inlineStr">
        <is>
          <t>JOSE CUERVO AUTHENTIC PINK LEMONADE</t>
        </is>
      </c>
      <c r="C98" s="7" t="e">
        <v>#N/A</v>
      </c>
      <c r="D98" s="6" t="n">
        <v>2</v>
      </c>
    </row>
    <row r="99">
      <c r="A99" s="44" t="n">
        <v>100686</v>
      </c>
      <c r="B99" s="44" t="inlineStr">
        <is>
          <t>JOSE CUERVO AUTHENTIC PINK LEMONADE (4PK)</t>
        </is>
      </c>
      <c r="C99" s="45" t="e">
        <v>#N/A</v>
      </c>
      <c r="D99" s="44" t="n">
        <v>2</v>
      </c>
    </row>
    <row r="100">
      <c r="A100" s="6" t="n">
        <v>87408</v>
      </c>
      <c r="B100" s="6" t="inlineStr">
        <is>
          <t>JOSE CUERVO ESPECIAL SILVER</t>
        </is>
      </c>
      <c r="C100" s="7" t="e">
        <v>#N/A</v>
      </c>
      <c r="D100" s="6" t="n">
        <v>4</v>
      </c>
    </row>
    <row r="101">
      <c r="A101" s="44" t="n">
        <v>87416</v>
      </c>
      <c r="B101" s="44" t="inlineStr">
        <is>
          <t>JOSE CUERVO TRADICIONAL SILVER TEQ</t>
        </is>
      </c>
      <c r="C101" s="45" t="e">
        <v>#N/A</v>
      </c>
      <c r="D101" s="44" t="n">
        <v>1</v>
      </c>
    </row>
    <row r="102">
      <c r="A102" s="6" t="n">
        <v>52806</v>
      </c>
      <c r="B102" s="6" t="inlineStr">
        <is>
          <t>KORBEL BRANDY</t>
        </is>
      </c>
      <c r="C102" s="7" t="e">
        <v>#N/A</v>
      </c>
      <c r="D102" s="6" t="n">
        <v>5</v>
      </c>
    </row>
    <row r="103">
      <c r="A103" s="44" t="n">
        <v>664502</v>
      </c>
      <c r="B103" s="44" t="inlineStr">
        <is>
          <t>LIBERTY CREEK CALIFORNIA PINK MOSCATO</t>
        </is>
      </c>
      <c r="C103" s="45" t="e">
        <v>#N/A</v>
      </c>
      <c r="D103" s="44" t="n">
        <v>1</v>
      </c>
    </row>
    <row r="104">
      <c r="A104" s="6" t="n">
        <v>729080</v>
      </c>
      <c r="B104" s="6" t="inlineStr">
        <is>
          <t>LUC BELAIRE BRUT GOLD</t>
        </is>
      </c>
      <c r="C104" s="7" t="e">
        <v>#N/A</v>
      </c>
      <c r="D104" s="6" t="n">
        <v>8</v>
      </c>
    </row>
    <row r="105">
      <c r="A105" s="44" t="n">
        <v>88018</v>
      </c>
      <c r="B105" s="44" t="inlineStr">
        <is>
          <t>LUNAZUL BLANCO TEQUILA</t>
        </is>
      </c>
      <c r="C105" s="45" t="e">
        <v>#N/A</v>
      </c>
      <c r="D105" s="44" t="n">
        <v>1</v>
      </c>
    </row>
    <row r="106">
      <c r="A106" s="6" t="n">
        <v>89468</v>
      </c>
      <c r="B106" s="6" t="inlineStr">
        <is>
          <t>LUNAZUL REPOSADO TEQUILA</t>
        </is>
      </c>
      <c r="C106" s="7" t="e">
        <v>#N/A</v>
      </c>
      <c r="D106" s="6" t="n">
        <v>1</v>
      </c>
    </row>
    <row r="107">
      <c r="A107" s="44" t="n">
        <v>19478</v>
      </c>
      <c r="B107" s="44" t="inlineStr">
        <is>
          <t>MAKER'S MARK</t>
        </is>
      </c>
      <c r="C107" s="45" t="e">
        <v>#N/A</v>
      </c>
      <c r="D107" s="44" t="n">
        <v>5</v>
      </c>
    </row>
    <row r="108">
      <c r="A108" s="6" t="n">
        <v>19485</v>
      </c>
      <c r="B108" s="6" t="inlineStr">
        <is>
          <t>MAKER'S MARK 46</t>
        </is>
      </c>
      <c r="C108" s="7" t="e">
        <v>#N/A</v>
      </c>
      <c r="D108" s="6" t="n">
        <v>2</v>
      </c>
    </row>
    <row r="109">
      <c r="A109" s="44" t="n">
        <v>19485</v>
      </c>
      <c r="B109" s="44" t="inlineStr">
        <is>
          <t>MAKER'S MARK 46</t>
        </is>
      </c>
      <c r="C109" s="45" t="e">
        <v>#N/A</v>
      </c>
      <c r="D109" s="44" t="n">
        <v>1</v>
      </c>
    </row>
    <row r="110">
      <c r="A110" s="6" t="n">
        <v>19481</v>
      </c>
      <c r="B110" s="6" t="inlineStr">
        <is>
          <t>MAKER'S MARK CASK STRENGTH</t>
        </is>
      </c>
      <c r="C110" s="7" t="e">
        <v>#N/A</v>
      </c>
      <c r="D110" s="6" t="n">
        <v>1</v>
      </c>
    </row>
    <row r="111">
      <c r="A111" s="44" t="n">
        <v>19481</v>
      </c>
      <c r="B111" s="44" t="inlineStr">
        <is>
          <t>MAKER'S MARK CASK STRENGTH</t>
        </is>
      </c>
      <c r="C111" s="45" t="e">
        <v>#N/A</v>
      </c>
      <c r="D111" s="44" t="n">
        <v>1</v>
      </c>
    </row>
    <row r="112">
      <c r="A112" s="6" t="n">
        <v>42712</v>
      </c>
      <c r="B112" s="6" t="inlineStr">
        <is>
          <t>MALIBU RUM</t>
        </is>
      </c>
      <c r="C112" s="7" t="e">
        <v>#N/A</v>
      </c>
      <c r="D112" s="6" t="n">
        <v>1</v>
      </c>
    </row>
    <row r="113">
      <c r="A113" s="44" t="n">
        <v>43902</v>
      </c>
      <c r="B113" s="44" t="inlineStr">
        <is>
          <t>MALIBU STRAWBERRY</t>
        </is>
      </c>
      <c r="C113" s="45" t="e">
        <v>#N/A</v>
      </c>
      <c r="D113" s="44" t="n">
        <v>1</v>
      </c>
    </row>
    <row r="114">
      <c r="A114" s="6" t="n">
        <v>43860</v>
      </c>
      <c r="B114" s="6" t="inlineStr">
        <is>
          <t>MALIBU WATERMELON</t>
        </is>
      </c>
      <c r="C114" s="7" t="e">
        <v>#N/A</v>
      </c>
      <c r="D114" s="6" t="n">
        <v>1</v>
      </c>
    </row>
    <row r="115">
      <c r="A115" s="44" t="n">
        <v>65790</v>
      </c>
      <c r="B115" s="44" t="inlineStr">
        <is>
          <t>MARTELL BLUE SWIFT</t>
        </is>
      </c>
      <c r="C115" s="45" t="e">
        <v>#N/A</v>
      </c>
      <c r="D115" s="44" t="n">
        <v>1</v>
      </c>
    </row>
    <row r="116">
      <c r="A116" s="6" t="n">
        <v>48696</v>
      </c>
      <c r="B116" s="6" t="inlineStr">
        <is>
          <t>MARTELL V S COGNAC</t>
        </is>
      </c>
      <c r="C116" s="7" t="e">
        <v>#N/A</v>
      </c>
      <c r="D116" s="6" t="n">
        <v>3</v>
      </c>
    </row>
    <row r="117">
      <c r="A117" s="44" t="n">
        <v>812810</v>
      </c>
      <c r="B117" s="44" t="inlineStr">
        <is>
          <t>MD 20/20 BLUE RASPBERRY</t>
        </is>
      </c>
      <c r="C117" s="45" t="e">
        <v>#N/A</v>
      </c>
      <c r="D117" s="44" t="n">
        <v>1</v>
      </c>
    </row>
    <row r="118">
      <c r="A118" s="6" t="n">
        <v>812812</v>
      </c>
      <c r="B118" s="6" t="inlineStr">
        <is>
          <t>MD 20/20 BLUE RASPBERRY</t>
        </is>
      </c>
      <c r="C118" s="7" t="e">
        <v>#N/A</v>
      </c>
      <c r="D118" s="6" t="n">
        <v>1</v>
      </c>
    </row>
    <row r="119">
      <c r="A119" s="44" t="n">
        <v>812810</v>
      </c>
      <c r="B119" s="44" t="inlineStr">
        <is>
          <t>MD 20/20 BLUE RASPBERRY</t>
        </is>
      </c>
      <c r="C119" s="45" t="e">
        <v>#N/A</v>
      </c>
      <c r="D119" s="44" t="n">
        <v>1</v>
      </c>
    </row>
    <row r="120">
      <c r="A120" s="6" t="n">
        <v>812790</v>
      </c>
      <c r="B120" s="6" t="inlineStr">
        <is>
          <t>MD 20/20 ORANGE JUBILEE</t>
        </is>
      </c>
      <c r="C120" s="7" t="e">
        <v>#N/A</v>
      </c>
      <c r="D120" s="6" t="n">
        <v>1</v>
      </c>
    </row>
    <row r="121">
      <c r="A121" s="44" t="n">
        <v>812794</v>
      </c>
      <c r="B121" s="44" t="inlineStr">
        <is>
          <t>MD 20/20 RED GRAPE</t>
        </is>
      </c>
      <c r="C121" s="45" t="e">
        <v>#N/A</v>
      </c>
      <c r="D121" s="44" t="n">
        <v>1</v>
      </c>
    </row>
    <row r="122">
      <c r="A122" s="6" t="n">
        <v>710806</v>
      </c>
      <c r="B122" s="6" t="inlineStr">
        <is>
          <t>MOET &amp; CHANDON IMPERIAL</t>
        </is>
      </c>
      <c r="C122" s="7" t="e">
        <v>#N/A</v>
      </c>
      <c r="D122" s="6" t="n">
        <v>2</v>
      </c>
    </row>
    <row r="123">
      <c r="A123" s="44" t="n">
        <v>710921</v>
      </c>
      <c r="B123" s="44" t="inlineStr">
        <is>
          <t>MOET CHANDON NECTAR IMPERIAL ROSE</t>
        </is>
      </c>
      <c r="C123" s="45" t="e">
        <v>#N/A</v>
      </c>
      <c r="D123" s="44" t="n">
        <v>5</v>
      </c>
    </row>
    <row r="124">
      <c r="A124" s="6" t="n">
        <v>710921</v>
      </c>
      <c r="B124" s="6" t="inlineStr">
        <is>
          <t>MOET CHANDON NECTAR IMPERIAL ROSE</t>
        </is>
      </c>
      <c r="C124" s="7" t="e">
        <v>#N/A</v>
      </c>
      <c r="D124" s="6" t="n">
        <v>5</v>
      </c>
    </row>
    <row r="125">
      <c r="A125" s="44" t="n">
        <v>487020</v>
      </c>
      <c r="B125" s="44" t="inlineStr">
        <is>
          <t>MOGEN DAVID CONCORD</t>
        </is>
      </c>
      <c r="C125" s="45" t="e">
        <v>#N/A</v>
      </c>
      <c r="D125" s="44" t="n">
        <v>2</v>
      </c>
    </row>
    <row r="126">
      <c r="A126" s="6" t="n">
        <v>45068</v>
      </c>
      <c r="B126" s="6" t="inlineStr">
        <is>
          <t>MONTEGO BAY GOLD RUM</t>
        </is>
      </c>
      <c r="C126" s="7" t="e">
        <v>#N/A</v>
      </c>
      <c r="D126" s="6" t="n">
        <v>1</v>
      </c>
    </row>
    <row r="127">
      <c r="A127" s="44" t="n">
        <v>31472</v>
      </c>
      <c r="B127" s="44" t="inlineStr">
        <is>
          <t>NEW AMSTERDAM GIN</t>
        </is>
      </c>
      <c r="C127" s="45" t="e">
        <v>#N/A</v>
      </c>
      <c r="D127" s="44" t="n">
        <v>1</v>
      </c>
    </row>
    <row r="128">
      <c r="A128" s="6" t="n">
        <v>31475</v>
      </c>
      <c r="B128" s="6" t="inlineStr">
        <is>
          <t>NEW AMSTERDAM GIN</t>
        </is>
      </c>
      <c r="C128" s="7" t="e">
        <v>#N/A</v>
      </c>
      <c r="D128" s="6" t="n">
        <v>1</v>
      </c>
    </row>
    <row r="129">
      <c r="A129" s="44" t="n">
        <v>40592</v>
      </c>
      <c r="B129" s="44" t="inlineStr">
        <is>
          <t>NEW AMSTERDAM PEACH FLAVORED VODKA</t>
        </is>
      </c>
      <c r="C129" s="45" t="e">
        <v>#N/A</v>
      </c>
      <c r="D129" s="44" t="n">
        <v>1</v>
      </c>
    </row>
    <row r="130">
      <c r="A130" s="6" t="n">
        <v>40593</v>
      </c>
      <c r="B130" s="6" t="inlineStr">
        <is>
          <t>NEW AMSTERDAM PEACH FLAVORED VODKA</t>
        </is>
      </c>
      <c r="C130" s="7" t="e">
        <v>#N/A</v>
      </c>
      <c r="D130" s="6" t="n">
        <v>2</v>
      </c>
    </row>
    <row r="131">
      <c r="A131" s="44" t="n">
        <v>40593</v>
      </c>
      <c r="B131" s="44" t="inlineStr">
        <is>
          <t>NEW AMSTERDAM PEACH FLAVORED VODKA</t>
        </is>
      </c>
      <c r="C131" s="45" t="e">
        <v>#N/A</v>
      </c>
      <c r="D131" s="44" t="n">
        <v>3</v>
      </c>
    </row>
    <row r="132">
      <c r="A132" s="6" t="n">
        <v>40195</v>
      </c>
      <c r="B132" s="6" t="inlineStr">
        <is>
          <t>NEW AMSTERDAM PINEAPPLE FLAVORED VODKA</t>
        </is>
      </c>
      <c r="C132" s="7">
        <f>VLOOKUP(A132,SizeData!#REF!,2,FALSE)</f>
        <v/>
      </c>
      <c r="D132" s="6" t="n">
        <v>1</v>
      </c>
    </row>
    <row r="133">
      <c r="A133" s="44" t="n">
        <v>40191</v>
      </c>
      <c r="B133" s="44" t="inlineStr">
        <is>
          <t>NEW AMSTERDAM PINEAPPLE FLAVORED VODKA</t>
        </is>
      </c>
      <c r="C133" s="45" t="e">
        <v>#N/A</v>
      </c>
      <c r="D133" s="44" t="n">
        <v>1</v>
      </c>
    </row>
    <row r="134">
      <c r="A134" s="6" t="n">
        <v>40598</v>
      </c>
      <c r="B134" s="6" t="inlineStr">
        <is>
          <t>NEW AMSTERDAM RED BERRY FLAVORED VODKA</t>
        </is>
      </c>
      <c r="C134" s="7" t="e">
        <v>#N/A</v>
      </c>
      <c r="D134" s="6" t="n">
        <v>2</v>
      </c>
    </row>
    <row r="135">
      <c r="A135" s="44" t="n">
        <v>36967</v>
      </c>
      <c r="B135" s="44" t="inlineStr">
        <is>
          <t>NEW AMSTERDAM VODKA</t>
        </is>
      </c>
      <c r="C135" s="45" t="e">
        <v>#N/A</v>
      </c>
      <c r="D135" s="44" t="n">
        <v>1</v>
      </c>
    </row>
    <row r="136">
      <c r="A136" s="6" t="n">
        <v>36968</v>
      </c>
      <c r="B136" s="6" t="inlineStr">
        <is>
          <t>NEW AMSTERDAM VODKA FLASK</t>
        </is>
      </c>
      <c r="C136" s="7" t="e">
        <v>#N/A</v>
      </c>
      <c r="D136" s="6" t="n">
        <v>3</v>
      </c>
    </row>
    <row r="137">
      <c r="A137" s="44" t="n">
        <v>39422</v>
      </c>
      <c r="B137" s="44" t="inlineStr">
        <is>
          <t>NEW AMSTERDAM VODKA PINK WHITNEY PINK LEMONADE</t>
        </is>
      </c>
      <c r="C137" s="45" t="e">
        <v>#N/A</v>
      </c>
      <c r="D137" s="44" t="n">
        <v>4</v>
      </c>
    </row>
    <row r="138">
      <c r="A138" s="6" t="n">
        <v>39382</v>
      </c>
      <c r="B138" s="6" t="inlineStr">
        <is>
          <t>NEW AMSTERDAM VODKA PINK WHITNEY PINK LEMONADE</t>
        </is>
      </c>
      <c r="C138" s="7" t="e">
        <v>#N/A</v>
      </c>
      <c r="D138" s="6" t="n">
        <v>3</v>
      </c>
    </row>
    <row r="139">
      <c r="A139" s="44" t="n">
        <v>39417</v>
      </c>
      <c r="B139" s="44" t="inlineStr">
        <is>
          <t>NEW AMSTERDAM WATERMELON FLAVORED VODKA</t>
        </is>
      </c>
      <c r="C139" s="45" t="e">
        <v>#N/A</v>
      </c>
      <c r="D139" s="44" t="n">
        <v>2</v>
      </c>
    </row>
    <row r="140">
      <c r="A140" s="6" t="n">
        <v>20374</v>
      </c>
      <c r="B140" s="6" t="inlineStr">
        <is>
          <t>OLD FORESTER 1910 KENTUCKY STRAIGHT BOURBON</t>
        </is>
      </c>
      <c r="C140" s="7" t="e">
        <v>#N/A</v>
      </c>
      <c r="D140" s="6" t="n">
        <v>1</v>
      </c>
    </row>
    <row r="141">
      <c r="A141" s="44" t="n">
        <v>955252</v>
      </c>
      <c r="B141" s="44" t="inlineStr">
        <is>
          <t>OLD SOUTH SWEET NOBLE MUSCADINE</t>
        </is>
      </c>
      <c r="C141" s="45" t="e">
        <v>#N/A</v>
      </c>
      <c r="D141" s="44" t="n">
        <v>2</v>
      </c>
    </row>
    <row r="142">
      <c r="A142" s="6" t="n">
        <v>76413</v>
      </c>
      <c r="B142" s="6" t="inlineStr">
        <is>
          <t>OLE SMOKY BUTTER PECAN MOONSHINE</t>
        </is>
      </c>
      <c r="C142" s="7" t="e">
        <v>#N/A</v>
      </c>
      <c r="D142" s="6" t="n">
        <v>2</v>
      </c>
    </row>
    <row r="143">
      <c r="A143" s="44" t="n">
        <v>76412</v>
      </c>
      <c r="B143" s="44" t="inlineStr">
        <is>
          <t>OLE SMOKY BUTTER PECAN MOONSHINE</t>
        </is>
      </c>
      <c r="C143" s="45" t="e">
        <v>#N/A</v>
      </c>
      <c r="D143" s="44" t="n">
        <v>1</v>
      </c>
    </row>
    <row r="144">
      <c r="A144" s="6" t="n">
        <v>86751</v>
      </c>
      <c r="B144" s="6" t="inlineStr">
        <is>
          <t>OLE SMOKY TENN. MOONSHINE HUNCH PUNCH LIGHTNIN'</t>
        </is>
      </c>
      <c r="C144" s="7" t="e">
        <v>#N/A</v>
      </c>
      <c r="D144" s="6" t="n">
        <v>1</v>
      </c>
    </row>
    <row r="145">
      <c r="A145" s="44" t="n">
        <v>63319</v>
      </c>
      <c r="B145" s="44" t="inlineStr">
        <is>
          <t>ON THE ROCKS EFFEN COSMOPOLITAN</t>
        </is>
      </c>
      <c r="C145" s="45" t="e">
        <v>#N/A</v>
      </c>
      <c r="D145" s="44" t="n">
        <v>3</v>
      </c>
    </row>
    <row r="146">
      <c r="A146" s="6" t="n">
        <v>88296</v>
      </c>
      <c r="B146" s="6" t="inlineStr">
        <is>
          <t>PATRON SILVER TEQUILA</t>
        </is>
      </c>
      <c r="C146" s="7" t="e">
        <v>#N/A</v>
      </c>
      <c r="D146" s="6" t="n">
        <v>8</v>
      </c>
    </row>
    <row r="147">
      <c r="A147" s="44" t="n">
        <v>53211</v>
      </c>
      <c r="B147" s="44" t="inlineStr">
        <is>
          <t>PAUL MASSON GRANDE AMBER BRANDY</t>
        </is>
      </c>
      <c r="C147" s="45" t="e">
        <v>#N/A</v>
      </c>
      <c r="D147" s="44" t="n">
        <v>5</v>
      </c>
    </row>
    <row r="148">
      <c r="A148" s="6" t="n">
        <v>56768</v>
      </c>
      <c r="B148" s="6" t="inlineStr">
        <is>
          <t>PAUL MASSON MANGO GRANDE AMBER BRANDY</t>
        </is>
      </c>
      <c r="C148" s="7" t="e">
        <v>#N/A</v>
      </c>
      <c r="D148" s="6" t="n">
        <v>1</v>
      </c>
    </row>
    <row r="149">
      <c r="A149" s="44" t="n">
        <v>56195</v>
      </c>
      <c r="B149" s="44" t="inlineStr">
        <is>
          <t>PAUL MASSON PEACH GRAND AMBER BRANDY</t>
        </is>
      </c>
      <c r="C149" s="45" t="e">
        <v>#N/A</v>
      </c>
      <c r="D149" s="44" t="n">
        <v>1</v>
      </c>
    </row>
    <row r="150">
      <c r="A150" s="6" t="n">
        <v>814577</v>
      </c>
      <c r="B150" s="6" t="inlineStr">
        <is>
          <t>PETER VELLA SWEET RED</t>
        </is>
      </c>
      <c r="C150" s="7" t="e">
        <v>#N/A</v>
      </c>
      <c r="D150" s="6" t="n">
        <v>1</v>
      </c>
    </row>
    <row r="151">
      <c r="A151" s="44" t="n">
        <v>24178</v>
      </c>
      <c r="B151" s="44" t="inlineStr">
        <is>
          <t>QUALITY HOUSE BLENDED WHISKEY</t>
        </is>
      </c>
      <c r="C151" s="45" t="e">
        <v>#N/A</v>
      </c>
      <c r="D151" s="44" t="n">
        <v>3</v>
      </c>
    </row>
    <row r="152">
      <c r="A152" s="6" t="n">
        <v>37588</v>
      </c>
      <c r="B152" s="6" t="inlineStr">
        <is>
          <t>RAIN VODKA</t>
        </is>
      </c>
      <c r="C152" s="7" t="e">
        <v>#N/A</v>
      </c>
      <c r="D152" s="6" t="n">
        <v>2</v>
      </c>
    </row>
    <row r="153">
      <c r="A153" s="44" t="n">
        <v>892856</v>
      </c>
      <c r="B153" s="44" t="inlineStr">
        <is>
          <t>RANCHO LA GLORIA WATERMELON MARG WINE COCKTAIL</t>
        </is>
      </c>
      <c r="C153" s="45" t="e">
        <v>#N/A</v>
      </c>
      <c r="D153" s="44" t="n">
        <v>1</v>
      </c>
    </row>
    <row r="154">
      <c r="A154" s="6" t="n">
        <v>49255</v>
      </c>
      <c r="B154" s="6" t="inlineStr">
        <is>
          <t>REVANCHE FRENCH COGNAC</t>
        </is>
      </c>
      <c r="C154" s="7" t="e">
        <v>#N/A</v>
      </c>
      <c r="D154" s="6" t="n">
        <v>2</v>
      </c>
    </row>
    <row r="155">
      <c r="A155" s="44" t="n">
        <v>49255</v>
      </c>
      <c r="B155" s="44" t="inlineStr">
        <is>
          <t>REVANCHE FRENCH COGNAC</t>
        </is>
      </c>
      <c r="C155" s="45" t="e">
        <v>#N/A</v>
      </c>
      <c r="D155" s="44" t="n">
        <v>1</v>
      </c>
    </row>
    <row r="156">
      <c r="A156" s="6" t="n">
        <v>12872</v>
      </c>
      <c r="B156" s="6" t="inlineStr">
        <is>
          <t>RICH &amp; RARE PEACH</t>
        </is>
      </c>
      <c r="C156" s="7" t="e">
        <v>#N/A</v>
      </c>
      <c r="D156" s="6" t="n">
        <v>1</v>
      </c>
    </row>
    <row r="157">
      <c r="A157" s="44" t="n">
        <v>97722</v>
      </c>
      <c r="B157" s="44" t="inlineStr">
        <is>
          <t>RICHARDS WILD ROSE RED</t>
        </is>
      </c>
      <c r="C157" s="45" t="e">
        <v>#N/A</v>
      </c>
      <c r="D157" s="44" t="n">
        <v>1</v>
      </c>
    </row>
    <row r="158">
      <c r="A158" s="6" t="n">
        <v>378910</v>
      </c>
      <c r="B158" s="6" t="inlineStr">
        <is>
          <t>RIUNITE LAMBRUSCO</t>
        </is>
      </c>
      <c r="C158" s="7" t="e">
        <v>#N/A</v>
      </c>
      <c r="D158" s="6" t="n">
        <v>1</v>
      </c>
    </row>
    <row r="159">
      <c r="A159" s="44" t="n">
        <v>378920</v>
      </c>
      <c r="B159" s="44" t="inlineStr">
        <is>
          <t>RIUNITE LAMBRUSCO</t>
        </is>
      </c>
      <c r="C159" s="45" t="e">
        <v>#N/A</v>
      </c>
      <c r="D159" s="44" t="n">
        <v>1</v>
      </c>
    </row>
    <row r="160">
      <c r="A160" s="6" t="n">
        <v>73052</v>
      </c>
      <c r="B160" s="6" t="inlineStr">
        <is>
          <t>RUM CHATA HORCHATA CREAM LIQUEUR (RUM BASE)</t>
        </is>
      </c>
      <c r="C160" s="7" t="e">
        <v>#N/A</v>
      </c>
      <c r="D160" s="6" t="n">
        <v>1</v>
      </c>
    </row>
    <row r="161">
      <c r="A161" s="44" t="n">
        <v>32216</v>
      </c>
      <c r="B161" s="44" t="inlineStr">
        <is>
          <t>SEAGRAM'S DISTILLER'S RESERVE 94 GIN</t>
        </is>
      </c>
      <c r="C161" s="45" t="e">
        <v>#N/A</v>
      </c>
      <c r="D161" s="44" t="n">
        <v>1</v>
      </c>
    </row>
    <row r="162">
      <c r="A162" s="6" t="n">
        <v>32238</v>
      </c>
      <c r="B162" s="6" t="inlineStr">
        <is>
          <t>SEAGRAM'S EXTRA DRY GIN</t>
        </is>
      </c>
      <c r="C162" s="7" t="e">
        <v>#N/A</v>
      </c>
      <c r="D162" s="6" t="n">
        <v>5</v>
      </c>
    </row>
    <row r="163">
      <c r="A163" s="44" t="n">
        <v>32241</v>
      </c>
      <c r="B163" s="44" t="inlineStr">
        <is>
          <t>SEAGRAM'S EXTRA DRY GIN (PET)</t>
        </is>
      </c>
      <c r="C163" s="45" t="e">
        <v>#N/A</v>
      </c>
      <c r="D163" s="44" t="n">
        <v>5</v>
      </c>
    </row>
    <row r="164">
      <c r="A164" s="6" t="n">
        <v>37889</v>
      </c>
      <c r="B164" s="6" t="inlineStr">
        <is>
          <t>SEAGRAM'S EXTRA SMOOTH VODKA</t>
        </is>
      </c>
      <c r="C164" s="7" t="e">
        <v>#N/A</v>
      </c>
      <c r="D164" s="6" t="n">
        <v>2</v>
      </c>
    </row>
    <row r="165">
      <c r="A165" s="44" t="n">
        <v>381770</v>
      </c>
      <c r="B165" s="44" t="inlineStr">
        <is>
          <t>SKINNYGIRL MOSCATO TERRE SICILIANE GT</t>
        </is>
      </c>
      <c r="C165" s="45" t="e">
        <v>#N/A</v>
      </c>
      <c r="D165" s="44" t="n">
        <v>1</v>
      </c>
    </row>
    <row r="166">
      <c r="A166" s="6" t="n">
        <v>37986</v>
      </c>
      <c r="B166" s="6" t="inlineStr">
        <is>
          <t>SKYY VODKA</t>
        </is>
      </c>
      <c r="C166" s="7" t="e">
        <v>#N/A</v>
      </c>
      <c r="D166" s="6" t="n">
        <v>1</v>
      </c>
    </row>
    <row r="167">
      <c r="A167" s="44" t="n">
        <v>37996</v>
      </c>
      <c r="B167" s="44" t="inlineStr">
        <is>
          <t>SMIRNOFF 80 PROOF VODKA</t>
        </is>
      </c>
      <c r="C167" s="45" t="e">
        <v>#N/A</v>
      </c>
      <c r="D167" s="44" t="n">
        <v>1</v>
      </c>
    </row>
    <row r="168">
      <c r="A168" s="6" t="n">
        <v>77674</v>
      </c>
      <c r="B168" s="6" t="inlineStr">
        <is>
          <t>SMIRNOFF GREEN APPLE FLAVORED VODKA (DSS)</t>
        </is>
      </c>
      <c r="C168" s="7" t="e">
        <v>#N/A</v>
      </c>
      <c r="D168" s="6" t="n">
        <v>1</v>
      </c>
    </row>
    <row r="169">
      <c r="A169" s="44" t="n">
        <v>77420</v>
      </c>
      <c r="B169" s="44" t="inlineStr">
        <is>
          <t>STINKY GRINGO MARGARITA RTD</t>
        </is>
      </c>
      <c r="C169" s="45" t="e">
        <v>#N/A</v>
      </c>
      <c r="D169" s="44" t="n">
        <v>2</v>
      </c>
    </row>
    <row r="170">
      <c r="A170" s="6" t="n">
        <v>80518</v>
      </c>
      <c r="B170" s="6" t="inlineStr">
        <is>
          <t>SUGARLANDS SHINE DARK BUTTER PECAN SIPPIN' CREAM</t>
        </is>
      </c>
      <c r="C170" s="7">
        <f>VLOOKUP(A170,SizeData!#REF!,2,FALSE)</f>
        <v/>
      </c>
      <c r="D170" s="6" t="n">
        <v>1</v>
      </c>
    </row>
    <row r="171">
      <c r="A171" s="44" t="n">
        <v>513500</v>
      </c>
      <c r="B171" s="44" t="inlineStr">
        <is>
          <t>SUTTER HOME MERLOT</t>
        </is>
      </c>
      <c r="C171" s="45" t="e">
        <v>#N/A</v>
      </c>
      <c r="D171" s="44" t="n">
        <v>2</v>
      </c>
    </row>
    <row r="172">
      <c r="A172" s="6" t="n">
        <v>513365</v>
      </c>
      <c r="B172" s="6" t="inlineStr">
        <is>
          <t>SUTTER HOME SWEET RED</t>
        </is>
      </c>
      <c r="C172" s="7">
        <f>VLOOKUP(A172,SizeData!#REF!,2,FALSE)</f>
        <v/>
      </c>
      <c r="D172" s="6" t="n">
        <v>3</v>
      </c>
    </row>
    <row r="173">
      <c r="A173" s="44" t="n">
        <v>683362</v>
      </c>
      <c r="B173" s="44" t="inlineStr">
        <is>
          <t>SUTTER HOME WHITE ZINFANDEL</t>
        </is>
      </c>
      <c r="C173" s="45">
        <f>VLOOKUP(A173,SizeData!#REF!,2,FALSE)</f>
        <v/>
      </c>
      <c r="D173" s="44" t="n">
        <v>3</v>
      </c>
    </row>
    <row r="174">
      <c r="A174" s="6" t="n">
        <v>425611</v>
      </c>
      <c r="B174" s="6" t="inlineStr">
        <is>
          <t>SWEET BITCH MOSCATO ROSE</t>
        </is>
      </c>
      <c r="C174" s="7" t="e">
        <v>#N/A</v>
      </c>
      <c r="D174" s="6" t="n">
        <v>3</v>
      </c>
    </row>
    <row r="175">
      <c r="A175" s="44" t="n">
        <v>816234</v>
      </c>
      <c r="B175" s="44" t="inlineStr">
        <is>
          <t>SWEET WALTER PINEAPPLE</t>
        </is>
      </c>
      <c r="C175" s="45" t="e">
        <v>#N/A</v>
      </c>
      <c r="D175" s="44" t="n">
        <v>1</v>
      </c>
    </row>
    <row r="176">
      <c r="A176" s="6" t="n">
        <v>38067</v>
      </c>
      <c r="B176" s="6" t="inlineStr">
        <is>
          <t>TAAKA VODKA 80</t>
        </is>
      </c>
      <c r="C176" s="7" t="e">
        <v>#N/A</v>
      </c>
      <c r="D176" s="6" t="n">
        <v>12</v>
      </c>
    </row>
    <row r="177">
      <c r="A177" s="44" t="n">
        <v>38076</v>
      </c>
      <c r="B177" s="44" t="inlineStr">
        <is>
          <t>TAAKA VODKA 80 (PET)</t>
        </is>
      </c>
      <c r="C177" s="45" t="e">
        <v>#N/A</v>
      </c>
      <c r="D177" s="44" t="n">
        <v>10</v>
      </c>
    </row>
    <row r="178">
      <c r="A178" s="6" t="n">
        <v>90824</v>
      </c>
      <c r="B178" s="6" t="inlineStr">
        <is>
          <t>TAYLOR FLADGATE LATE BOTTLED VINTAGE</t>
        </is>
      </c>
      <c r="C178" s="7">
        <f>VLOOKUP(A178,SizeData!#REF!,2,FALSE)</f>
        <v/>
      </c>
      <c r="D178" s="6" t="n">
        <v>1</v>
      </c>
    </row>
    <row r="179">
      <c r="A179" s="44" t="n">
        <v>95486</v>
      </c>
      <c r="B179" s="44" t="inlineStr">
        <is>
          <t>TAYLOR N Y CREAM SHERRY</t>
        </is>
      </c>
      <c r="C179" s="45" t="e">
        <v>#N/A</v>
      </c>
      <c r="D179" s="44" t="n">
        <v>1</v>
      </c>
    </row>
    <row r="180">
      <c r="A180" s="6" t="n">
        <v>95916</v>
      </c>
      <c r="B180" s="6" t="inlineStr">
        <is>
          <t>TAYLOR N Y DRY SHERRY</t>
        </is>
      </c>
      <c r="C180" s="7" t="e">
        <v>#N/A</v>
      </c>
      <c r="D180" s="6" t="n">
        <v>1</v>
      </c>
    </row>
    <row r="181">
      <c r="A181" s="44" t="n">
        <v>88372</v>
      </c>
      <c r="B181" s="44" t="inlineStr">
        <is>
          <t>TEREMANA REPOSADO TEQUILA</t>
        </is>
      </c>
      <c r="C181" s="45" t="e">
        <v>#N/A</v>
      </c>
      <c r="D181" s="44" t="n">
        <v>1</v>
      </c>
    </row>
    <row r="182">
      <c r="A182" s="6" t="n">
        <v>5924</v>
      </c>
      <c r="B182" s="6" t="inlineStr">
        <is>
          <t>THE GLENLIVET CARIBBEAN RESERVE</t>
        </is>
      </c>
      <c r="C182" s="7" t="e">
        <v>#N/A</v>
      </c>
      <c r="D182" s="6" t="n">
        <v>2</v>
      </c>
    </row>
    <row r="183">
      <c r="A183" s="44" t="n">
        <v>38178</v>
      </c>
      <c r="B183" s="44" t="inlineStr">
        <is>
          <t>TITO'S HANDMADE VODKA</t>
        </is>
      </c>
      <c r="C183" s="45" t="e">
        <v>#N/A</v>
      </c>
      <c r="D183" s="44" t="n">
        <v>5</v>
      </c>
    </row>
    <row r="184">
      <c r="A184" s="6" t="n">
        <v>38178</v>
      </c>
      <c r="B184" s="6" t="inlineStr">
        <is>
          <t>TITO'S HANDMADE VODKA</t>
        </is>
      </c>
      <c r="C184" s="7" t="e">
        <v>#N/A</v>
      </c>
      <c r="D184" s="6" t="n">
        <v>5</v>
      </c>
    </row>
    <row r="185">
      <c r="A185" s="44" t="n">
        <v>38194</v>
      </c>
      <c r="B185" s="44" t="inlineStr">
        <is>
          <t>TITO'S HANDMADE VODKA/12B-SHRINKWRAP SLV</t>
        </is>
      </c>
      <c r="C185" s="45" t="e">
        <v>#N/A</v>
      </c>
      <c r="D185" s="44" t="n">
        <v>4</v>
      </c>
    </row>
    <row r="186">
      <c r="A186" s="6" t="n">
        <v>88738</v>
      </c>
      <c r="B186" s="6" t="inlineStr">
        <is>
          <t>TORADA WHITE TEQUILA</t>
        </is>
      </c>
      <c r="C186" s="7" t="e">
        <v>#N/A</v>
      </c>
      <c r="D186" s="6" t="n">
        <v>1</v>
      </c>
    </row>
    <row r="187">
      <c r="A187" s="44" t="n">
        <v>383950</v>
      </c>
      <c r="B187" s="44" t="inlineStr">
        <is>
          <t>UMBERTO FIORE MOSCATO D' ASTI</t>
        </is>
      </c>
      <c r="C187" s="45" t="e">
        <v>#N/A</v>
      </c>
      <c r="D187" s="44" t="n">
        <v>2</v>
      </c>
    </row>
    <row r="188">
      <c r="A188" s="6" t="n">
        <v>395464</v>
      </c>
      <c r="B188" s="6" t="inlineStr">
        <is>
          <t>VOGA MOSCATO PROVINCIA DI PAVIA IGT</t>
        </is>
      </c>
      <c r="C188" s="7" t="e">
        <v>#N/A</v>
      </c>
      <c r="D188" s="6" t="n">
        <v>1</v>
      </c>
    </row>
    <row r="189">
      <c r="A189" s="44" t="n">
        <v>28137</v>
      </c>
      <c r="B189" s="44" t="inlineStr">
        <is>
          <t>WIDOW JANE BOURBON 10 YR</t>
        </is>
      </c>
      <c r="C189" s="45">
        <f>VLOOKUP(A189,SizeData!#REF!,2,FALSE)</f>
        <v/>
      </c>
      <c r="D189" s="44" t="n">
        <v>1</v>
      </c>
    </row>
    <row r="190">
      <c r="A190" s="6" t="n">
        <v>35903</v>
      </c>
      <c r="B190" s="6" t="inlineStr">
        <is>
          <t>WODKA VODKA</t>
        </is>
      </c>
      <c r="C190" s="7" t="e">
        <v>#N/A</v>
      </c>
      <c r="D190" s="6" t="n">
        <v>1</v>
      </c>
    </row>
    <row r="191">
      <c r="A191" s="44" t="n">
        <v>498123</v>
      </c>
      <c r="B191" s="44" t="inlineStr">
        <is>
          <t>WOODBRIDGE BY ROBERT MONDAVI PINOT NOIR</t>
        </is>
      </c>
      <c r="C191" s="45" t="e">
        <v>#N/A</v>
      </c>
      <c r="D191" s="44" t="n">
        <v>2</v>
      </c>
    </row>
    <row r="192">
      <c r="A192" s="6" t="n">
        <v>22215</v>
      </c>
      <c r="B192" s="6" t="inlineStr">
        <is>
          <t>WOODFORD RESERVE KENTUCKY STRAIGHT BOURBON</t>
        </is>
      </c>
      <c r="C192" s="7" t="e">
        <v>#N/A</v>
      </c>
      <c r="D192" s="6" t="n">
        <v>2</v>
      </c>
    </row>
    <row r="193">
      <c r="A193" s="44" t="n">
        <v>429975</v>
      </c>
      <c r="B193" s="44" t="inlineStr">
        <is>
          <t>YELLOW TAIL MERLOT</t>
        </is>
      </c>
      <c r="C193" s="45" t="e">
        <v>#N/A</v>
      </c>
      <c r="D193" s="44" t="n">
        <v>3</v>
      </c>
    </row>
  </sheetData>
  <autoFilter ref="A2:G2"/>
  <pageMargins left="0.7" right="0.7" top="0.75" bottom="0.75" header="0.3" footer="0.3"/>
  <pageSetup orientation="portrait" scale="77" fitToHeight="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4"/>
  <sheetViews>
    <sheetView topLeftCell="A147" workbookViewId="0">
      <selection activeCell="M164" sqref="M164"/>
    </sheetView>
  </sheetViews>
  <sheetFormatPr baseColWidth="10" defaultColWidth="8.83203125" defaultRowHeight="15"/>
  <cols>
    <col width="50.83203125" bestFit="1" customWidth="1" min="2" max="2"/>
  </cols>
  <sheetData>
    <row r="1" ht="24" customHeight="1">
      <c r="B1" s="37">
        <f>TODAY()</f>
        <v/>
      </c>
      <c r="C1" s="29" t="inlineStr">
        <is>
          <t>Total</t>
        </is>
      </c>
      <c r="D1" s="29">
        <f>SUM(D3:D3477)</f>
        <v/>
      </c>
    </row>
    <row r="2">
      <c r="A2" s="1" t="inlineStr">
        <is>
          <t>Item #</t>
        </is>
      </c>
      <c r="B2" s="1" t="inlineStr">
        <is>
          <t>Name</t>
        </is>
      </c>
      <c r="C2" s="7" t="inlineStr">
        <is>
          <t>Size</t>
        </is>
      </c>
      <c r="D2" s="1" t="inlineStr">
        <is>
          <t>Reserved Quantity</t>
        </is>
      </c>
      <c r="E2" s="1" t="inlineStr">
        <is>
          <t>Order</t>
        </is>
      </c>
      <c r="F2" t="inlineStr">
        <is>
          <t>Date</t>
        </is>
      </c>
      <c r="G2" s="1" t="inlineStr">
        <is>
          <t>Note</t>
        </is>
      </c>
    </row>
    <row r="3">
      <c r="A3" s="6" t="n">
        <v>87509</v>
      </c>
      <c r="B3" s="6" t="inlineStr">
        <is>
          <t>1800 SILVER TEQUILA</t>
        </is>
      </c>
      <c r="C3" s="7" t="e">
        <v>#N/A</v>
      </c>
      <c r="D3" s="6" t="n">
        <v>10</v>
      </c>
      <c r="E3" s="6" t="inlineStr">
        <is>
          <t>R1483559</t>
        </is>
      </c>
      <c r="F3" s="2" t="n">
        <v>44622</v>
      </c>
      <c r="G3" s="1" t="n"/>
    </row>
    <row r="4">
      <c r="A4" s="6" t="n">
        <v>59154</v>
      </c>
      <c r="B4" s="6" t="inlineStr">
        <is>
          <t>1800 ULTIMATE MARGARITA RTD</t>
        </is>
      </c>
      <c r="C4" s="7" t="e">
        <v>#N/A</v>
      </c>
      <c r="D4" s="6" t="n">
        <v>1</v>
      </c>
      <c r="E4" s="6" t="inlineStr">
        <is>
          <t>R1497382</t>
        </is>
      </c>
      <c r="F4" s="2" t="n">
        <v>44627</v>
      </c>
      <c r="G4" s="1" t="n"/>
    </row>
    <row r="5">
      <c r="A5" s="6" t="n">
        <v>59161</v>
      </c>
      <c r="B5" s="6" t="inlineStr">
        <is>
          <t>1800 ULTIMATE PEACH MARGARITA</t>
        </is>
      </c>
      <c r="C5" s="7" t="e">
        <v>#N/A</v>
      </c>
      <c r="D5" s="6" t="n">
        <v>5</v>
      </c>
      <c r="E5" s="6" t="inlineStr">
        <is>
          <t>R1493246</t>
        </is>
      </c>
      <c r="F5" s="2" t="n">
        <v>44623</v>
      </c>
      <c r="G5" s="1" t="n"/>
    </row>
    <row r="6">
      <c r="A6" s="6" t="n">
        <v>59201</v>
      </c>
      <c r="B6" s="6" t="inlineStr">
        <is>
          <t>1800 ULTIMATE STRAWBERRY MARGARITA RTD LTO</t>
        </is>
      </c>
      <c r="C6" s="7" t="e">
        <v>#N/A</v>
      </c>
      <c r="D6" s="6" t="n">
        <v>25</v>
      </c>
      <c r="E6" s="6" t="inlineStr">
        <is>
          <t>R1473430</t>
        </is>
      </c>
      <c r="F6" s="2" t="n">
        <v>44615</v>
      </c>
      <c r="G6" s="1" t="n"/>
    </row>
    <row r="7">
      <c r="A7" s="6" t="n">
        <v>419961</v>
      </c>
      <c r="B7" s="6" t="inlineStr">
        <is>
          <t>19 CRIMES THE UPRISING RED WINE</t>
        </is>
      </c>
      <c r="C7" s="7" t="e">
        <v>#N/A</v>
      </c>
      <c r="D7" s="6" t="n">
        <v>1</v>
      </c>
      <c r="E7" s="6" t="inlineStr">
        <is>
          <t>R1496401</t>
        </is>
      </c>
      <c r="F7" s="2" t="n">
        <v>44621</v>
      </c>
      <c r="G7" s="1" t="n"/>
    </row>
    <row r="8">
      <c r="A8" s="6" t="n">
        <v>100959</v>
      </c>
      <c r="B8" s="6" t="inlineStr">
        <is>
          <t>99 PEANUT BUTTER WHISKEY COUNTER UNIT</t>
        </is>
      </c>
      <c r="C8" s="7" t="e">
        <v>#N/A</v>
      </c>
      <c r="D8" s="6" t="n">
        <v>1</v>
      </c>
      <c r="E8" s="6" t="inlineStr">
        <is>
          <t>R1469832</t>
        </is>
      </c>
      <c r="F8" s="2" t="n">
        <v>44615</v>
      </c>
      <c r="G8" s="1" t="n"/>
    </row>
    <row r="9">
      <c r="A9" s="6" t="n">
        <v>34003</v>
      </c>
      <c r="B9" s="6" t="inlineStr">
        <is>
          <t>ABSOLUT 80 VODKA</t>
        </is>
      </c>
      <c r="C9" s="7" t="e">
        <v>#N/A</v>
      </c>
      <c r="D9" s="6" t="n">
        <v>2</v>
      </c>
      <c r="E9" s="6" t="inlineStr">
        <is>
          <t>R1496619</t>
        </is>
      </c>
      <c r="F9" s="2" t="n">
        <v>44621</v>
      </c>
      <c r="G9" s="1" t="n"/>
    </row>
    <row r="10">
      <c r="A10" s="6" t="n">
        <v>43028</v>
      </c>
      <c r="B10" s="6" t="inlineStr">
        <is>
          <t>ADMIRAL NELSON'S SPICED RUM</t>
        </is>
      </c>
      <c r="C10" s="7" t="e">
        <v>#N/A</v>
      </c>
      <c r="D10" s="6" t="n">
        <v>3</v>
      </c>
      <c r="E10" s="6" t="inlineStr">
        <is>
          <t>R1486326</t>
        </is>
      </c>
      <c r="F10" s="2" t="n">
        <v>44616</v>
      </c>
      <c r="G10" s="1" t="n"/>
    </row>
    <row r="11">
      <c r="A11" s="6" t="n">
        <v>768676</v>
      </c>
      <c r="B11" s="6" t="inlineStr">
        <is>
          <t>ANDRE CHAMPAGNE MOSCATO</t>
        </is>
      </c>
      <c r="C11" s="7" t="e">
        <v>#N/A</v>
      </c>
      <c r="D11" s="6" t="n">
        <v>2</v>
      </c>
      <c r="E11" s="6" t="inlineStr">
        <is>
          <t>R1496401</t>
        </is>
      </c>
      <c r="F11" s="2" t="n">
        <v>44621</v>
      </c>
      <c r="G11" s="1" t="n"/>
    </row>
    <row r="12">
      <c r="A12" s="6" t="n">
        <v>768692</v>
      </c>
      <c r="B12" s="6" t="inlineStr">
        <is>
          <t>ANDRE CHAMPAGNE STRAWBERRY MOSCATO</t>
        </is>
      </c>
      <c r="C12" s="7" t="e">
        <v>#N/A</v>
      </c>
      <c r="D12" s="6" t="n">
        <v>2</v>
      </c>
      <c r="E12" s="6" t="inlineStr">
        <is>
          <t>R1496401</t>
        </is>
      </c>
      <c r="F12" s="2" t="n">
        <v>44621</v>
      </c>
      <c r="G12" s="1" t="n"/>
    </row>
    <row r="13">
      <c r="A13" s="6" t="n">
        <v>768950</v>
      </c>
      <c r="B13" s="6" t="inlineStr">
        <is>
          <t>BALLATORE SPUMANTE</t>
        </is>
      </c>
      <c r="C13" s="7" t="e">
        <v>#N/A</v>
      </c>
      <c r="D13" s="6" t="n">
        <v>1</v>
      </c>
      <c r="E13" s="6" t="inlineStr">
        <is>
          <t>R1488872</t>
        </is>
      </c>
      <c r="F13" s="2" t="n">
        <v>44627</v>
      </c>
      <c r="G13" s="1" t="n"/>
    </row>
    <row r="14">
      <c r="A14" s="6" t="n">
        <v>16652</v>
      </c>
      <c r="B14" s="6" t="inlineStr">
        <is>
          <t>BARDSTOWN BOURBON COMPANY FUSION SERIES</t>
        </is>
      </c>
      <c r="C14" s="7" t="e">
        <v>#N/A</v>
      </c>
      <c r="D14" s="6" t="n">
        <v>2</v>
      </c>
      <c r="E14" s="6" t="inlineStr">
        <is>
          <t>R1501158</t>
        </is>
      </c>
      <c r="F14" s="2" t="n">
        <v>44627</v>
      </c>
      <c r="G14" s="1" t="n"/>
    </row>
    <row r="15">
      <c r="A15" s="6" t="n">
        <v>809132</v>
      </c>
      <c r="B15" s="6" t="inlineStr">
        <is>
          <t>BAREFOOT CELLARS PEACH FRUIT-SCATO</t>
        </is>
      </c>
      <c r="C15" s="7" t="e">
        <v>#N/A</v>
      </c>
      <c r="D15" s="6" t="n">
        <v>1</v>
      </c>
      <c r="E15" s="6" t="inlineStr">
        <is>
          <t>R1496401</t>
        </is>
      </c>
      <c r="F15" s="2" t="n">
        <v>44621</v>
      </c>
      <c r="G15" s="1" t="n"/>
    </row>
    <row r="16">
      <c r="A16" s="6" t="n">
        <v>809134</v>
      </c>
      <c r="B16" s="6" t="inlineStr">
        <is>
          <t>BAREFOOT CELLARS STRAWBERRY FRUIT-SCATO</t>
        </is>
      </c>
      <c r="C16" s="7" t="e">
        <v>#N/A</v>
      </c>
      <c r="D16" s="6" t="n">
        <v>1</v>
      </c>
      <c r="E16" s="6" t="inlineStr">
        <is>
          <t>R1496401</t>
        </is>
      </c>
      <c r="F16" s="2" t="n">
        <v>44621</v>
      </c>
      <c r="G16" s="1" t="n"/>
    </row>
    <row r="17">
      <c r="A17" s="6" t="n">
        <v>544115</v>
      </c>
      <c r="B17" s="6" t="inlineStr">
        <is>
          <t>BAREFOOT RIESLING CALIFORNIA</t>
        </is>
      </c>
      <c r="C17" s="7" t="e">
        <v>#N/A</v>
      </c>
      <c r="D17" s="6" t="n">
        <v>1</v>
      </c>
      <c r="E17" s="6" t="inlineStr">
        <is>
          <t>R1496401</t>
        </is>
      </c>
      <c r="F17" s="2" t="n">
        <v>44621</v>
      </c>
      <c r="G17" s="1" t="n"/>
    </row>
    <row r="18">
      <c r="A18" s="6" t="n">
        <v>57049</v>
      </c>
      <c r="B18" s="6" t="inlineStr">
        <is>
          <t>BARTON LONG ISLAND ICE TEA</t>
        </is>
      </c>
      <c r="C18" s="7" t="e">
        <v>#N/A</v>
      </c>
      <c r="D18" s="6" t="n">
        <v>2</v>
      </c>
      <c r="E18" s="6" t="inlineStr">
        <is>
          <t>R1472767</t>
        </is>
      </c>
      <c r="F18" s="2" t="n">
        <v>44616</v>
      </c>
      <c r="G18" s="1" t="n"/>
    </row>
    <row r="19">
      <c r="A19" s="6" t="n">
        <v>16676</v>
      </c>
      <c r="B19" s="6" t="inlineStr">
        <is>
          <t>BASIL HAYDEN'S STRAIGHT BOURBON</t>
        </is>
      </c>
      <c r="C19" s="7" t="e">
        <v>#N/A</v>
      </c>
      <c r="D19" s="6" t="n">
        <v>1</v>
      </c>
      <c r="E19" s="6" t="inlineStr">
        <is>
          <t>R1469832</t>
        </is>
      </c>
      <c r="F19" s="2" t="n">
        <v>44615</v>
      </c>
      <c r="G19" s="1" t="n"/>
    </row>
    <row r="20">
      <c r="A20" s="6" t="n">
        <v>22784</v>
      </c>
      <c r="B20" s="6" t="inlineStr">
        <is>
          <t>BEAM'S 8 STAR BLENDED WHISKEY</t>
        </is>
      </c>
      <c r="C20" s="7" t="e">
        <v>#N/A</v>
      </c>
      <c r="D20" s="6" t="n">
        <v>1</v>
      </c>
      <c r="E20" s="6" t="inlineStr">
        <is>
          <t>R1501625</t>
        </is>
      </c>
      <c r="F20" s="2" t="n">
        <v>44627</v>
      </c>
      <c r="G20" s="1" t="n"/>
    </row>
    <row r="21">
      <c r="A21" s="6" t="n">
        <v>34155</v>
      </c>
      <c r="B21" s="6" t="inlineStr">
        <is>
          <t>BELVEDERE VODKA</t>
        </is>
      </c>
      <c r="C21" s="7" t="e">
        <v>#N/A</v>
      </c>
      <c r="D21" s="6" t="n">
        <v>3</v>
      </c>
      <c r="E21" s="6" t="inlineStr">
        <is>
          <t>R1496401</t>
        </is>
      </c>
      <c r="F21" s="2" t="n">
        <v>44621</v>
      </c>
      <c r="G21" s="1" t="n"/>
    </row>
    <row r="22">
      <c r="A22" s="6" t="n">
        <v>643041</v>
      </c>
      <c r="B22" s="6" t="inlineStr">
        <is>
          <t>BERINGER CALIF WHITE ZINFANDEL</t>
        </is>
      </c>
      <c r="C22" s="7" t="e">
        <v>#N/A</v>
      </c>
      <c r="D22" s="6" t="n">
        <v>4</v>
      </c>
      <c r="E22" s="6" t="inlineStr">
        <is>
          <t>R1496401</t>
        </is>
      </c>
      <c r="F22" s="2" t="n">
        <v>44621</v>
      </c>
      <c r="G22" s="1" t="n"/>
    </row>
    <row r="23">
      <c r="A23" s="6" t="n">
        <v>27025</v>
      </c>
      <c r="B23" s="6" t="inlineStr">
        <is>
          <t>BULLEIT 95 RYE STRAIGHT RYE WHISKEY</t>
        </is>
      </c>
      <c r="C23" s="7" t="e">
        <v>#N/A</v>
      </c>
      <c r="D23" s="6" t="n">
        <v>1</v>
      </c>
      <c r="E23" s="6" t="inlineStr">
        <is>
          <t>R1499122</t>
        </is>
      </c>
      <c r="F23" s="2" t="n">
        <v>44627</v>
      </c>
      <c r="G23" s="1" t="n"/>
    </row>
    <row r="24">
      <c r="A24" s="6" t="n">
        <v>17086</v>
      </c>
      <c r="B24" s="6" t="inlineStr">
        <is>
          <t>BULLEIT STRAIGHT BOURBON 90 PROOF</t>
        </is>
      </c>
      <c r="C24" s="7" t="e">
        <v>#N/A</v>
      </c>
      <c r="D24" s="6" t="n">
        <v>2</v>
      </c>
      <c r="E24" s="6" t="inlineStr">
        <is>
          <t>R1499122</t>
        </is>
      </c>
      <c r="F24" s="2" t="n">
        <v>44627</v>
      </c>
      <c r="G24" s="1" t="n"/>
    </row>
    <row r="25">
      <c r="A25" s="6" t="n">
        <v>64388</v>
      </c>
      <c r="B25" s="6" t="inlineStr">
        <is>
          <t>BUMBU RUM</t>
        </is>
      </c>
      <c r="C25" s="7" t="e">
        <v>#N/A</v>
      </c>
      <c r="D25" s="6" t="n">
        <v>2</v>
      </c>
      <c r="E25" s="6" t="inlineStr">
        <is>
          <t>R1501158</t>
        </is>
      </c>
      <c r="F25" s="2" t="n">
        <v>44627</v>
      </c>
      <c r="G25" s="1" t="n"/>
    </row>
    <row r="26">
      <c r="A26" s="6" t="n">
        <v>41413</v>
      </c>
      <c r="B26" s="6" t="inlineStr">
        <is>
          <t>BURNETT'S PINEAPPLE FLAVORED VODKA</t>
        </is>
      </c>
      <c r="C26" s="7" t="e">
        <v>#N/A</v>
      </c>
      <c r="D26" s="6" t="n">
        <v>1</v>
      </c>
      <c r="E26" s="6" t="inlineStr">
        <is>
          <t>R1496401</t>
        </is>
      </c>
      <c r="F26" s="2" t="n">
        <v>44621</v>
      </c>
      <c r="G26" s="1" t="n"/>
    </row>
    <row r="27">
      <c r="A27" s="6" t="n">
        <v>35413</v>
      </c>
      <c r="B27" s="6" t="inlineStr">
        <is>
          <t>BURNETT'S VODKA 80 PROOF</t>
        </is>
      </c>
      <c r="C27" s="7" t="e">
        <v>#N/A</v>
      </c>
      <c r="D27" s="6" t="n">
        <v>10</v>
      </c>
      <c r="E27" s="6" t="inlineStr">
        <is>
          <t>R1496401</t>
        </is>
      </c>
      <c r="F27" s="2" t="n">
        <v>44621</v>
      </c>
      <c r="G27" s="1" t="n"/>
    </row>
    <row r="28">
      <c r="A28" s="6" t="n">
        <v>35414</v>
      </c>
      <c r="B28" s="6" t="inlineStr">
        <is>
          <t>BURNETT'S VODKA 80 PROOF</t>
        </is>
      </c>
      <c r="C28" s="7" t="e">
        <v>#N/A</v>
      </c>
      <c r="D28" s="6" t="n">
        <v>10</v>
      </c>
      <c r="E28" s="6" t="inlineStr">
        <is>
          <t>R1496401</t>
        </is>
      </c>
      <c r="F28" s="2" t="n">
        <v>44621</v>
      </c>
      <c r="G28" s="1" t="n"/>
    </row>
    <row r="29">
      <c r="A29" s="6" t="n">
        <v>44333</v>
      </c>
      <c r="B29" s="6" t="inlineStr">
        <is>
          <t>CALYPSO COCONUT FLAVORED RUM</t>
        </is>
      </c>
      <c r="C29" s="7" t="e">
        <v>#N/A</v>
      </c>
      <c r="D29" s="6" t="n">
        <v>1</v>
      </c>
      <c r="E29" s="6" t="inlineStr">
        <is>
          <t>R1496401</t>
        </is>
      </c>
      <c r="F29" s="2" t="n">
        <v>44621</v>
      </c>
      <c r="G29" s="1" t="n"/>
    </row>
    <row r="30">
      <c r="A30" s="6" t="n">
        <v>12880</v>
      </c>
      <c r="B30" s="6" t="inlineStr">
        <is>
          <t>CANADIAN RICH &amp; RARE (PET)</t>
        </is>
      </c>
      <c r="C30" s="7" t="e">
        <v>#N/A</v>
      </c>
      <c r="D30" s="6" t="n">
        <v>2</v>
      </c>
      <c r="E30" s="6" t="inlineStr">
        <is>
          <t>R1496401</t>
        </is>
      </c>
      <c r="F30" s="2" t="n">
        <v>44621</v>
      </c>
      <c r="G30" s="1" t="n"/>
    </row>
    <row r="31">
      <c r="A31" s="6" t="n">
        <v>12855</v>
      </c>
      <c r="B31" s="6" t="inlineStr">
        <is>
          <t>CANADIAN RICH AND RARE RESERVE</t>
        </is>
      </c>
      <c r="C31" s="7" t="e">
        <v>#N/A</v>
      </c>
      <c r="D31" s="6" t="n">
        <v>30</v>
      </c>
      <c r="E31" s="6" t="inlineStr">
        <is>
          <t>R1487584</t>
        </is>
      </c>
      <c r="F31" s="2" t="n">
        <v>44623</v>
      </c>
      <c r="G31" s="1" t="n"/>
    </row>
    <row r="32">
      <c r="A32" s="6" t="n">
        <v>882381</v>
      </c>
      <c r="B32" s="6" t="inlineStr">
        <is>
          <t>CAPRICCIO BUBBLY SANGRIA</t>
        </is>
      </c>
      <c r="C32" s="7" t="e">
        <v>#N/A</v>
      </c>
      <c r="D32" s="6" t="n">
        <v>1</v>
      </c>
      <c r="E32" s="6" t="inlineStr">
        <is>
          <t>R1486336</t>
        </is>
      </c>
      <c r="F32" s="2" t="n">
        <v>44620</v>
      </c>
      <c r="G32" s="1" t="n"/>
    </row>
    <row r="33">
      <c r="A33" s="6" t="n">
        <v>882327</v>
      </c>
      <c r="B33" s="6" t="inlineStr">
        <is>
          <t>CARLO ROSSI BLUEBERRY SANGRIA</t>
        </is>
      </c>
      <c r="C33" s="7" t="e">
        <v>#N/A</v>
      </c>
      <c r="D33" s="6" t="n">
        <v>3</v>
      </c>
      <c r="E33" s="6" t="inlineStr">
        <is>
          <t>R1493246</t>
        </is>
      </c>
      <c r="F33" s="2" t="n">
        <v>44623</v>
      </c>
      <c r="G33" s="1" t="n"/>
    </row>
    <row r="34">
      <c r="A34" s="6" t="n">
        <v>415318</v>
      </c>
      <c r="B34" s="6" t="inlineStr">
        <is>
          <t>CARLO ROSSI SWEET RED</t>
        </is>
      </c>
      <c r="C34" s="7" t="e">
        <v>#N/A</v>
      </c>
      <c r="D34" s="6" t="n">
        <v>4</v>
      </c>
      <c r="E34" s="6" t="inlineStr">
        <is>
          <t>R1495781</t>
        </is>
      </c>
      <c r="F34" s="2" t="n">
        <v>44627</v>
      </c>
      <c r="G34" s="1" t="n"/>
    </row>
    <row r="35">
      <c r="A35" s="6" t="n">
        <v>415315</v>
      </c>
      <c r="B35" s="6" t="inlineStr">
        <is>
          <t>CARLO ROSSI SWEET RED</t>
        </is>
      </c>
      <c r="C35" s="7" t="e">
        <v>#N/A</v>
      </c>
      <c r="D35" s="6" t="n">
        <v>4</v>
      </c>
      <c r="E35" s="6" t="inlineStr">
        <is>
          <t>R1501625</t>
        </is>
      </c>
      <c r="F35" s="2" t="n">
        <v>44627</v>
      </c>
      <c r="G35" s="1" t="n"/>
    </row>
    <row r="36">
      <c r="A36" s="6" t="n">
        <v>88833</v>
      </c>
      <c r="B36" s="6" t="inlineStr">
        <is>
          <t>CASAMIGOS ANEJO TEQUILA 100% AGAVE</t>
        </is>
      </c>
      <c r="C36" s="7" t="e">
        <v>#N/A</v>
      </c>
      <c r="D36" s="6" t="n">
        <v>5</v>
      </c>
      <c r="E36" s="6" t="inlineStr">
        <is>
          <t>R1479095</t>
        </is>
      </c>
      <c r="F36" s="2" t="n">
        <v>44621</v>
      </c>
      <c r="G36" s="1" t="n"/>
    </row>
    <row r="37">
      <c r="A37" s="6" t="n">
        <v>87280</v>
      </c>
      <c r="B37" s="6" t="inlineStr">
        <is>
          <t>CASAMIGOS BLANCO TEQUILA 100% AGAVE</t>
        </is>
      </c>
      <c r="C37" s="7" t="e">
        <v>#N/A</v>
      </c>
      <c r="D37" s="6" t="n">
        <v>5</v>
      </c>
      <c r="E37" s="6" t="inlineStr">
        <is>
          <t>R1479095</t>
        </is>
      </c>
      <c r="F37" s="2" t="n">
        <v>44621</v>
      </c>
      <c r="G37" s="1" t="n"/>
    </row>
    <row r="38">
      <c r="A38" s="6" t="n">
        <v>89177</v>
      </c>
      <c r="B38" s="6" t="inlineStr">
        <is>
          <t>CASAMIGOS REPOSADO TEQUILA 100% AGAVE</t>
        </is>
      </c>
      <c r="C38" s="7" t="e">
        <v>#N/A</v>
      </c>
      <c r="D38" s="6" t="n">
        <v>5</v>
      </c>
      <c r="E38" s="6" t="inlineStr">
        <is>
          <t>R1479095</t>
        </is>
      </c>
      <c r="F38" s="2" t="n">
        <v>44621</v>
      </c>
      <c r="G38" s="1" t="n"/>
    </row>
    <row r="39">
      <c r="A39" s="6" t="n">
        <v>57120</v>
      </c>
      <c r="B39" s="6" t="inlineStr">
        <is>
          <t>CHI CHI'S LONG ISLAND ICED TEA</t>
        </is>
      </c>
      <c r="C39" s="7" t="e">
        <v>#N/A</v>
      </c>
      <c r="D39" s="6" t="n">
        <v>1</v>
      </c>
      <c r="E39" s="6" t="inlineStr">
        <is>
          <t>R1496401</t>
        </is>
      </c>
      <c r="F39" s="2" t="n">
        <v>44621</v>
      </c>
      <c r="G39" s="1" t="n"/>
    </row>
    <row r="40">
      <c r="A40" s="6" t="n">
        <v>57181</v>
      </c>
      <c r="B40" s="6" t="inlineStr">
        <is>
          <t>CHI CHI'S PINEAPPLE MARGARITA</t>
        </is>
      </c>
      <c r="C40" s="7" t="e">
        <v>#N/A</v>
      </c>
      <c r="D40" s="6" t="n">
        <v>1</v>
      </c>
      <c r="E40" s="6" t="inlineStr">
        <is>
          <t>R1496401</t>
        </is>
      </c>
      <c r="F40" s="2" t="n">
        <v>44621</v>
      </c>
      <c r="G40" s="1" t="n"/>
    </row>
    <row r="41">
      <c r="A41" s="6" t="n">
        <v>57148</v>
      </c>
      <c r="B41" s="6" t="inlineStr">
        <is>
          <t>CHI-CHI'S MARGARITA</t>
        </is>
      </c>
      <c r="C41" s="7" t="e">
        <v>#N/A</v>
      </c>
      <c r="D41" s="6" t="n">
        <v>2</v>
      </c>
      <c r="E41" s="6" t="inlineStr">
        <is>
          <t>R1496401</t>
        </is>
      </c>
      <c r="F41" s="2" t="n">
        <v>44621</v>
      </c>
      <c r="G41" s="1" t="n"/>
    </row>
    <row r="42">
      <c r="A42" s="6" t="n">
        <v>57144</v>
      </c>
      <c r="B42" s="6" t="inlineStr">
        <is>
          <t>CHI-CHI'S WHITE RUSSIAN</t>
        </is>
      </c>
      <c r="C42" s="7" t="e">
        <v>#N/A</v>
      </c>
      <c r="D42" s="6" t="n">
        <v>1</v>
      </c>
      <c r="E42" s="6" t="inlineStr">
        <is>
          <t>R1496401</t>
        </is>
      </c>
      <c r="F42" s="2" t="n">
        <v>44621</v>
      </c>
      <c r="G42" s="1" t="n"/>
    </row>
    <row r="43">
      <c r="A43" s="6" t="n">
        <v>64514</v>
      </c>
      <c r="B43" s="6" t="inlineStr">
        <is>
          <t>CIROC APPLE FLAVORED VODKA SPECIALTY</t>
        </is>
      </c>
      <c r="C43" s="7" t="e">
        <v>#N/A</v>
      </c>
      <c r="D43" s="6" t="n">
        <v>1</v>
      </c>
      <c r="E43" s="6" t="inlineStr">
        <is>
          <t>R1488872</t>
        </is>
      </c>
      <c r="F43" s="2" t="n">
        <v>44627</v>
      </c>
      <c r="G43" s="1" t="n"/>
    </row>
    <row r="44">
      <c r="A44" s="6" t="n">
        <v>64744</v>
      </c>
      <c r="B44" s="6" t="inlineStr">
        <is>
          <t>CIROC COCONUT FLAVORED VODKA SPECIALTY</t>
        </is>
      </c>
      <c r="C44" s="7" t="e">
        <v>#N/A</v>
      </c>
      <c r="D44" s="6" t="n">
        <v>1</v>
      </c>
      <c r="E44" s="6" t="inlineStr">
        <is>
          <t>R1488872</t>
        </is>
      </c>
      <c r="F44" s="2" t="n">
        <v>44627</v>
      </c>
      <c r="G44" s="1" t="n"/>
    </row>
    <row r="45">
      <c r="A45" s="6" t="n">
        <v>64714</v>
      </c>
      <c r="B45" s="6" t="inlineStr">
        <is>
          <t>CIROC PEACH FLAVORED VODKA SPECIALTY</t>
        </is>
      </c>
      <c r="C45" s="7" t="e">
        <v>#N/A</v>
      </c>
      <c r="D45" s="6" t="n">
        <v>1</v>
      </c>
      <c r="E45" s="6" t="inlineStr">
        <is>
          <t>R1495781</t>
        </is>
      </c>
      <c r="F45" s="2" t="n">
        <v>44627</v>
      </c>
      <c r="G45" s="1" t="n"/>
    </row>
    <row r="46">
      <c r="A46" s="6" t="n">
        <v>64575</v>
      </c>
      <c r="B46" s="6" t="inlineStr">
        <is>
          <t>CIROC PINEAPPLE FLAVORED VODKA SPECIALTY</t>
        </is>
      </c>
      <c r="C46" s="7" t="e">
        <v>#N/A</v>
      </c>
      <c r="D46" s="6" t="n">
        <v>1</v>
      </c>
      <c r="E46" s="6" t="inlineStr">
        <is>
          <t>R1495781</t>
        </is>
      </c>
      <c r="F46" s="2" t="n">
        <v>44627</v>
      </c>
      <c r="G46" s="1" t="n"/>
    </row>
    <row r="47">
      <c r="A47" s="6" t="n">
        <v>51107</v>
      </c>
      <c r="B47" s="6" t="inlineStr">
        <is>
          <t>CIROC VS FRENCH BRANDY</t>
        </is>
      </c>
      <c r="C47" s="7" t="e">
        <v>#N/A</v>
      </c>
      <c r="D47" s="6" t="n">
        <v>1</v>
      </c>
      <c r="E47" s="6" t="inlineStr">
        <is>
          <t>R1486326</t>
        </is>
      </c>
      <c r="F47" s="2" t="n">
        <v>44616</v>
      </c>
      <c r="G47" s="1" t="n"/>
    </row>
    <row r="48">
      <c r="A48" s="6" t="n">
        <v>10838</v>
      </c>
      <c r="B48" s="6" t="inlineStr">
        <is>
          <t>CROWN ROYAL BLACK</t>
        </is>
      </c>
      <c r="C48" s="7" t="e">
        <v>#N/A</v>
      </c>
      <c r="D48" s="6" t="n">
        <v>10</v>
      </c>
      <c r="E48" s="6" t="inlineStr">
        <is>
          <t>R1491658</t>
        </is>
      </c>
      <c r="F48" s="2" t="n">
        <v>44622</v>
      </c>
      <c r="G48" s="1" t="n"/>
    </row>
    <row r="49">
      <c r="A49" s="6" t="n">
        <v>10836</v>
      </c>
      <c r="B49" s="6" t="inlineStr">
        <is>
          <t>CROWN ROYAL BLACK</t>
        </is>
      </c>
      <c r="C49" s="7" t="e">
        <v>#N/A</v>
      </c>
      <c r="D49" s="6" t="n">
        <v>6</v>
      </c>
      <c r="E49" s="6" t="inlineStr">
        <is>
          <t>R1491658</t>
        </is>
      </c>
      <c r="F49" s="2" t="n">
        <v>44622</v>
      </c>
      <c r="G49" s="1" t="n"/>
    </row>
    <row r="50">
      <c r="A50" s="31" t="n">
        <v>10807</v>
      </c>
      <c r="B50" s="31" t="inlineStr">
        <is>
          <t>CROWN ROYAL REGAL APPLE FLAVORED WHISKEY</t>
        </is>
      </c>
      <c r="C50" s="32" t="e">
        <v>#N/A</v>
      </c>
      <c r="D50" s="31" t="n">
        <v>5</v>
      </c>
      <c r="E50" s="31" t="inlineStr">
        <is>
          <t>R1473686</t>
        </is>
      </c>
      <c r="F50" s="33" t="n">
        <v>44620</v>
      </c>
      <c r="G50" s="34" t="n"/>
    </row>
    <row r="51">
      <c r="A51" s="6" t="n">
        <v>10809</v>
      </c>
      <c r="B51" s="6" t="inlineStr">
        <is>
          <t>CROWN ROYAL REGAL APPLE FLAVORED WHISKEY</t>
        </is>
      </c>
      <c r="C51" s="7" t="e">
        <v>#N/A</v>
      </c>
      <c r="D51" s="6" t="n">
        <v>1</v>
      </c>
      <c r="E51" s="6" t="inlineStr">
        <is>
          <t>R1486336</t>
        </is>
      </c>
      <c r="F51" s="2" t="n">
        <v>44620</v>
      </c>
      <c r="G51" s="1" t="n"/>
    </row>
    <row r="52">
      <c r="A52" s="6" t="n">
        <v>35648</v>
      </c>
      <c r="B52" s="6" t="inlineStr">
        <is>
          <t>CROWN RUSSE VODKA</t>
        </is>
      </c>
      <c r="C52" s="7" t="e">
        <v>#N/A</v>
      </c>
      <c r="D52" s="6" t="n">
        <v>1</v>
      </c>
      <c r="E52" s="6" t="inlineStr">
        <is>
          <t>R1497382</t>
        </is>
      </c>
      <c r="F52" s="2" t="n">
        <v>44627</v>
      </c>
      <c r="G52" s="1" t="n"/>
    </row>
    <row r="53">
      <c r="A53" s="6" t="n">
        <v>58838</v>
      </c>
      <c r="B53" s="6" t="inlineStr">
        <is>
          <t>CUERVO LIME MARGARITA / 20PF</t>
        </is>
      </c>
      <c r="C53" s="7" t="e">
        <v>#N/A</v>
      </c>
      <c r="D53" s="6" t="n">
        <v>2</v>
      </c>
      <c r="E53" s="6" t="inlineStr">
        <is>
          <t>R1496401</t>
        </is>
      </c>
      <c r="F53" s="2" t="n">
        <v>44621</v>
      </c>
      <c r="G53" s="1" t="n"/>
    </row>
    <row r="54">
      <c r="A54" s="6" t="n">
        <v>58868</v>
      </c>
      <c r="B54" s="6" t="inlineStr">
        <is>
          <t>CUERVO STRAWBERRY MARGARITA / 20PF</t>
        </is>
      </c>
      <c r="C54" s="7" t="e">
        <v>#N/A</v>
      </c>
      <c r="D54" s="6" t="n">
        <v>2</v>
      </c>
      <c r="E54" s="6" t="inlineStr">
        <is>
          <t>R1496401</t>
        </is>
      </c>
      <c r="F54" s="2" t="n">
        <v>44621</v>
      </c>
      <c r="G54" s="1" t="n"/>
    </row>
    <row r="55">
      <c r="A55" s="6" t="n">
        <v>86110</v>
      </c>
      <c r="B55" s="6" t="inlineStr">
        <is>
          <t>DEKUYPER TRIPLE SEC</t>
        </is>
      </c>
      <c r="C55" s="7" t="e">
        <v>#N/A</v>
      </c>
      <c r="D55" s="6" t="n">
        <v>1</v>
      </c>
      <c r="E55" s="6" t="inlineStr">
        <is>
          <t>R1486336</t>
        </is>
      </c>
      <c r="F55" s="2" t="n">
        <v>44620</v>
      </c>
      <c r="G55" s="1" t="n"/>
    </row>
    <row r="56">
      <c r="A56" s="6" t="n">
        <v>462522</v>
      </c>
      <c r="B56" s="6" t="inlineStr">
        <is>
          <t>DUPLIN CAROLINA RED</t>
        </is>
      </c>
      <c r="C56" s="7" t="e">
        <v>#N/A</v>
      </c>
      <c r="D56" s="6" t="n">
        <v>2</v>
      </c>
      <c r="E56" s="6" t="inlineStr">
        <is>
          <t>R1501158</t>
        </is>
      </c>
      <c r="F56" s="2" t="n">
        <v>44627</v>
      </c>
      <c r="G56" s="1" t="n"/>
    </row>
    <row r="57">
      <c r="A57" s="6" t="n">
        <v>47865</v>
      </c>
      <c r="B57" s="6" t="inlineStr">
        <is>
          <t>DUSSE VSOP COGNAC</t>
        </is>
      </c>
      <c r="C57" s="7" t="e">
        <v>#N/A</v>
      </c>
      <c r="D57" s="6" t="n">
        <v>5</v>
      </c>
      <c r="E57" s="6" t="inlineStr">
        <is>
          <t>R1487441</t>
        </is>
      </c>
      <c r="F57" s="2" t="n">
        <v>44621</v>
      </c>
      <c r="G57" s="1" t="n"/>
    </row>
    <row r="58">
      <c r="A58" s="6" t="n">
        <v>73757</v>
      </c>
      <c r="B58" s="6" t="inlineStr">
        <is>
          <t>E &amp; J APPLE BRANDY</t>
        </is>
      </c>
      <c r="C58" s="7" t="e">
        <v>#N/A</v>
      </c>
      <c r="D58" s="6" t="n">
        <v>1</v>
      </c>
      <c r="E58" s="6" t="inlineStr">
        <is>
          <t>R1497382</t>
        </is>
      </c>
      <c r="F58" s="2" t="n">
        <v>44627</v>
      </c>
      <c r="G58" s="1" t="n"/>
    </row>
    <row r="59">
      <c r="A59" s="6" t="n">
        <v>52584</v>
      </c>
      <c r="B59" s="6" t="inlineStr">
        <is>
          <t>E &amp; J SUPERIOR RESERVE VSOP BRANDY</t>
        </is>
      </c>
      <c r="C59" s="7" t="e">
        <v>#N/A</v>
      </c>
      <c r="D59" s="6" t="n">
        <v>1</v>
      </c>
      <c r="E59" s="6" t="inlineStr">
        <is>
          <t>R1486326</t>
        </is>
      </c>
      <c r="F59" s="2" t="n">
        <v>44616</v>
      </c>
      <c r="G59" s="1" t="n"/>
    </row>
    <row r="60">
      <c r="A60" s="6" t="n">
        <v>52582</v>
      </c>
      <c r="B60" s="6" t="inlineStr">
        <is>
          <t>E &amp; J SUPERIOR RESERVE VSOP BRANDY</t>
        </is>
      </c>
      <c r="C60" s="7" t="e">
        <v>#N/A</v>
      </c>
      <c r="D60" s="6" t="n">
        <v>1</v>
      </c>
      <c r="E60" s="6" t="inlineStr">
        <is>
          <t>R1501625</t>
        </is>
      </c>
      <c r="F60" s="2" t="n">
        <v>44627</v>
      </c>
      <c r="G60" s="1" t="n"/>
    </row>
    <row r="61">
      <c r="A61" s="6" t="n">
        <v>52559</v>
      </c>
      <c r="B61" s="6" t="inlineStr">
        <is>
          <t>E &amp; J XO BRANDY</t>
        </is>
      </c>
      <c r="C61" s="7" t="e">
        <v>#N/A</v>
      </c>
      <c r="D61" s="6" t="n">
        <v>1</v>
      </c>
      <c r="E61" s="6" t="inlineStr">
        <is>
          <t>R1486336</t>
        </is>
      </c>
      <c r="F61" s="2" t="n">
        <v>44620</v>
      </c>
      <c r="G61" s="1" t="n"/>
    </row>
    <row r="62">
      <c r="A62" s="6" t="n">
        <v>89182</v>
      </c>
      <c r="B62" s="6" t="inlineStr">
        <is>
          <t>EL MAYOR REPOSADO TEQIULA</t>
        </is>
      </c>
      <c r="C62" s="7" t="e">
        <v>#N/A</v>
      </c>
      <c r="D62" s="6" t="n">
        <v>1</v>
      </c>
      <c r="E62" s="6" t="inlineStr">
        <is>
          <t>R1469832</t>
        </is>
      </c>
      <c r="F62" s="2" t="n">
        <v>44615</v>
      </c>
      <c r="G62" s="1" t="n"/>
    </row>
    <row r="63">
      <c r="A63" s="6" t="n">
        <v>33524</v>
      </c>
      <c r="B63" s="6" t="inlineStr">
        <is>
          <t>EXCLUSIV PINEAPPLE VODKA</t>
        </is>
      </c>
      <c r="C63" s="7" t="e">
        <v>#N/A</v>
      </c>
      <c r="D63" s="6" t="n">
        <v>1</v>
      </c>
      <c r="E63" s="6" t="inlineStr">
        <is>
          <t>R1499122</t>
        </is>
      </c>
      <c r="F63" s="2" t="n">
        <v>44627</v>
      </c>
      <c r="G63" s="1" t="n"/>
    </row>
    <row r="64">
      <c r="A64" s="6" t="n">
        <v>33709</v>
      </c>
      <c r="B64" s="6" t="inlineStr">
        <is>
          <t>EXCLUSIV VODKA</t>
        </is>
      </c>
      <c r="C64" s="7" t="e">
        <v>#N/A</v>
      </c>
      <c r="D64" s="6" t="n">
        <v>8</v>
      </c>
      <c r="E64" s="6" t="inlineStr">
        <is>
          <t>R1499122</t>
        </is>
      </c>
      <c r="F64" s="2" t="n">
        <v>44627</v>
      </c>
      <c r="G64" s="1" t="n"/>
    </row>
    <row r="65">
      <c r="A65" s="6" t="n">
        <v>65013</v>
      </c>
      <c r="B65" s="6" t="inlineStr">
        <is>
          <t>FIREBALL CINNAMON WHISKEY (PET)</t>
        </is>
      </c>
      <c r="C65" s="7" t="e">
        <v>#N/A</v>
      </c>
      <c r="D65" s="6" t="n">
        <v>15</v>
      </c>
      <c r="E65" s="6" t="inlineStr">
        <is>
          <t>R1487835</t>
        </is>
      </c>
      <c r="F65" s="2" t="n">
        <v>44621</v>
      </c>
      <c r="G65" s="1" t="n"/>
    </row>
    <row r="66">
      <c r="A66" s="6" t="n">
        <v>64864</v>
      </c>
      <c r="B66" s="6" t="inlineStr">
        <is>
          <t>FIREBALL CINNAMON WHISKEY (PET)</t>
        </is>
      </c>
      <c r="C66" s="7" t="e">
        <v>#N/A</v>
      </c>
      <c r="D66" s="6" t="n">
        <v>1</v>
      </c>
      <c r="E66" s="6" t="inlineStr">
        <is>
          <t>R1501625</t>
        </is>
      </c>
      <c r="F66" s="2" t="n">
        <v>44627</v>
      </c>
      <c r="G66" s="1" t="n"/>
    </row>
    <row r="67">
      <c r="A67" s="6" t="n">
        <v>64863</v>
      </c>
      <c r="B67" s="6" t="inlineStr">
        <is>
          <t>FIREBALL CINNAMON WHISKEY PET</t>
        </is>
      </c>
      <c r="C67" s="7" t="e">
        <v>#N/A</v>
      </c>
      <c r="D67" s="6" t="n">
        <v>5</v>
      </c>
      <c r="E67" s="6" t="inlineStr">
        <is>
          <t>R1483328</t>
        </is>
      </c>
      <c r="F67" s="2" t="n">
        <v>44616</v>
      </c>
      <c r="G67" s="1" t="n"/>
    </row>
    <row r="68">
      <c r="A68" s="6" t="n">
        <v>565371</v>
      </c>
      <c r="B68" s="6" t="inlineStr">
        <is>
          <t>FLIP FLOP CHARDONNAY</t>
        </is>
      </c>
      <c r="C68" s="7" t="e">
        <v>#N/A</v>
      </c>
      <c r="D68" s="6" t="n">
        <v>1</v>
      </c>
      <c r="E68" s="6" t="inlineStr">
        <is>
          <t>R1497382</t>
        </is>
      </c>
      <c r="F68" s="2" t="n">
        <v>44627</v>
      </c>
      <c r="G68" s="1" t="n"/>
    </row>
    <row r="69">
      <c r="A69" s="6" t="n">
        <v>886300</v>
      </c>
      <c r="B69" s="6" t="inlineStr">
        <is>
          <t>FRANZIA FRUITY RED SANGRIA</t>
        </is>
      </c>
      <c r="C69" s="7" t="e">
        <v>#N/A</v>
      </c>
      <c r="D69" s="6" t="n">
        <v>1</v>
      </c>
      <c r="E69" s="6" t="inlineStr">
        <is>
          <t>R1497382</t>
        </is>
      </c>
      <c r="F69" s="2" t="n">
        <v>44627</v>
      </c>
      <c r="G69" s="1" t="n"/>
    </row>
    <row r="70">
      <c r="A70" s="6" t="n">
        <v>467800</v>
      </c>
      <c r="B70" s="6" t="inlineStr">
        <is>
          <t>FRANZIA HOUSE WINE FAV CHILLABLE RED</t>
        </is>
      </c>
      <c r="C70" s="7" t="e">
        <v>#N/A</v>
      </c>
      <c r="D70" s="6" t="n">
        <v>3</v>
      </c>
      <c r="E70" s="6" t="inlineStr">
        <is>
          <t>R1501158</t>
        </is>
      </c>
      <c r="F70" s="2" t="n">
        <v>44627</v>
      </c>
      <c r="G70" s="1" t="n"/>
    </row>
    <row r="71">
      <c r="A71" s="6" t="n">
        <v>566375</v>
      </c>
      <c r="B71" s="6" t="inlineStr">
        <is>
          <t>FRANZIA RHINEFLUR CRISP WHITE BOX</t>
        </is>
      </c>
      <c r="C71" s="7" t="e">
        <v>#N/A</v>
      </c>
      <c r="D71" s="6" t="n">
        <v>1</v>
      </c>
      <c r="E71" s="6" t="inlineStr">
        <is>
          <t>R1488872</t>
        </is>
      </c>
      <c r="F71" s="2" t="n">
        <v>44627</v>
      </c>
      <c r="G71" s="1" t="n"/>
    </row>
    <row r="72">
      <c r="A72" s="6" t="n">
        <v>27503</v>
      </c>
      <c r="B72" s="6" t="inlineStr">
        <is>
          <t>GEORGIA MOON IT'S PEACH (CORN WHISKEY)</t>
        </is>
      </c>
      <c r="C72" s="7" t="e">
        <v>#N/A</v>
      </c>
      <c r="D72" s="6" t="n">
        <v>1</v>
      </c>
      <c r="E72" s="6" t="inlineStr">
        <is>
          <t>R1486326</t>
        </is>
      </c>
      <c r="F72" s="2" t="n">
        <v>44616</v>
      </c>
      <c r="G72" s="1" t="n"/>
    </row>
    <row r="73">
      <c r="A73" s="6" t="n">
        <v>5061</v>
      </c>
      <c r="B73" s="6" t="inlineStr">
        <is>
          <t>GLENLIVET 15YR FRENCH OAK RSV</t>
        </is>
      </c>
      <c r="C73" s="7" t="e">
        <v>#N/A</v>
      </c>
      <c r="D73" s="6" t="n">
        <v>1</v>
      </c>
      <c r="E73" s="6" t="inlineStr">
        <is>
          <t>R1496619</t>
        </is>
      </c>
      <c r="F73" s="2" t="n">
        <v>44621</v>
      </c>
      <c r="G73" s="1" t="n"/>
    </row>
    <row r="74">
      <c r="A74" s="6" t="n">
        <v>89292</v>
      </c>
      <c r="B74" s="6" t="inlineStr">
        <is>
          <t>GRAN CENTENARIO ANJEO TEQUILA</t>
        </is>
      </c>
      <c r="C74" s="7" t="e">
        <v>#N/A</v>
      </c>
      <c r="D74" s="6" t="n">
        <v>1</v>
      </c>
      <c r="E74" s="6" t="inlineStr">
        <is>
          <t>R1496401</t>
        </is>
      </c>
      <c r="F74" s="2" t="n">
        <v>44621</v>
      </c>
      <c r="G74" s="1" t="n"/>
    </row>
    <row r="75">
      <c r="A75" s="6" t="n">
        <v>34433</v>
      </c>
      <c r="B75" s="6" t="inlineStr">
        <is>
          <t>GREY GOOSE IMPORTED VODKA</t>
        </is>
      </c>
      <c r="C75" s="7" t="e">
        <v>#N/A</v>
      </c>
      <c r="D75" s="6" t="n">
        <v>10</v>
      </c>
      <c r="E75" s="6" t="inlineStr">
        <is>
          <t>R1487835</t>
        </is>
      </c>
      <c r="F75" s="2" t="n">
        <v>44621</v>
      </c>
      <c r="G75" s="1" t="n"/>
    </row>
    <row r="76">
      <c r="A76" s="6" t="n">
        <v>34423</v>
      </c>
      <c r="B76" s="6" t="inlineStr">
        <is>
          <t>GREY GOOSE IMPORTED VODKA</t>
        </is>
      </c>
      <c r="C76" s="7" t="e">
        <v>#N/A</v>
      </c>
      <c r="D76" s="6" t="n">
        <v>4</v>
      </c>
      <c r="E76" s="6" t="inlineStr">
        <is>
          <t>R1487835</t>
        </is>
      </c>
      <c r="F76" s="2" t="n">
        <v>44621</v>
      </c>
      <c r="G76" s="1" t="n"/>
    </row>
    <row r="77">
      <c r="A77" s="6" t="n">
        <v>34433</v>
      </c>
      <c r="B77" s="6" t="inlineStr">
        <is>
          <t>GREY GOOSE IMPORTED VODKA</t>
        </is>
      </c>
      <c r="C77" s="7" t="e">
        <v>#N/A</v>
      </c>
      <c r="D77" s="6" t="n">
        <v>5</v>
      </c>
      <c r="E77" s="6" t="inlineStr">
        <is>
          <t>R1491861</t>
        </is>
      </c>
      <c r="F77" s="2" t="n">
        <v>44623</v>
      </c>
      <c r="G77" s="1" t="n"/>
    </row>
    <row r="78">
      <c r="A78" s="6" t="n">
        <v>34359</v>
      </c>
      <c r="B78" s="6" t="inlineStr">
        <is>
          <t>GREY GOOSE IMPORTED VODKA</t>
        </is>
      </c>
      <c r="C78" s="7" t="e">
        <v>#N/A</v>
      </c>
      <c r="D78" s="6" t="n">
        <v>4</v>
      </c>
      <c r="E78" s="6" t="inlineStr">
        <is>
          <t>R1501158</t>
        </is>
      </c>
      <c r="F78" s="2" t="n">
        <v>44627</v>
      </c>
      <c r="G78" s="1" t="n"/>
    </row>
    <row r="79">
      <c r="A79" s="6" t="n">
        <v>48108</v>
      </c>
      <c r="B79" s="6" t="inlineStr">
        <is>
          <t>HENNESSY V S COGNAC</t>
        </is>
      </c>
      <c r="C79" s="7" t="e">
        <v>#N/A</v>
      </c>
      <c r="D79" s="6" t="n">
        <v>10</v>
      </c>
      <c r="E79" s="6" t="inlineStr">
        <is>
          <t>R1483321</t>
        </is>
      </c>
      <c r="F79" s="2" t="n">
        <v>44616</v>
      </c>
      <c r="G79" s="1" t="n"/>
    </row>
    <row r="80">
      <c r="A80" s="6" t="n">
        <v>48106</v>
      </c>
      <c r="B80" s="6" t="inlineStr">
        <is>
          <t>HENNESSY V S COGNAC</t>
        </is>
      </c>
      <c r="C80" s="7" t="e">
        <v>#N/A</v>
      </c>
      <c r="D80" s="6" t="n">
        <v>10</v>
      </c>
      <c r="E80" s="6" t="inlineStr">
        <is>
          <t>R1491861</t>
        </is>
      </c>
      <c r="F80" s="2" t="n">
        <v>44623</v>
      </c>
      <c r="G80" s="1" t="n"/>
    </row>
    <row r="81">
      <c r="A81" s="6" t="n">
        <v>48164</v>
      </c>
      <c r="B81" s="6" t="inlineStr">
        <is>
          <t>HENNESSY VSOP PRIVILEGE COGNAC</t>
        </is>
      </c>
      <c r="C81" s="7" t="e">
        <v>#N/A</v>
      </c>
      <c r="D81" s="6" t="n">
        <v>2</v>
      </c>
      <c r="E81" s="6" t="inlineStr">
        <is>
          <t>R1490170</t>
        </is>
      </c>
      <c r="F81" s="2" t="n">
        <v>44616</v>
      </c>
      <c r="G81" s="1" t="n"/>
    </row>
    <row r="82">
      <c r="A82" s="6" t="n">
        <v>100104</v>
      </c>
      <c r="B82" s="6" t="inlineStr">
        <is>
          <t>HERRADURA ULTRA ANEJO GIFT CARTON G6</t>
        </is>
      </c>
      <c r="C82" s="7" t="e">
        <v>#N/A</v>
      </c>
      <c r="D82" s="6" t="n">
        <v>5</v>
      </c>
      <c r="E82" s="6" t="inlineStr">
        <is>
          <t>R1494274</t>
        </is>
      </c>
      <c r="F82" s="2" t="n">
        <v>44627</v>
      </c>
      <c r="G82" s="1" t="n"/>
    </row>
    <row r="83">
      <c r="A83" s="6" t="n">
        <v>100104</v>
      </c>
      <c r="B83" s="6" t="inlineStr">
        <is>
          <t>HERRADURA ULTRA ANEJO GIFT CARTON G6</t>
        </is>
      </c>
      <c r="C83" s="7" t="e">
        <v>#N/A</v>
      </c>
      <c r="D83" s="6" t="n">
        <v>5</v>
      </c>
      <c r="E83" s="6" t="inlineStr">
        <is>
          <t>R1496401</t>
        </is>
      </c>
      <c r="F83" s="2" t="n">
        <v>44621</v>
      </c>
      <c r="G83" s="1" t="n"/>
    </row>
    <row r="84">
      <c r="A84" s="6" t="n">
        <v>65194</v>
      </c>
      <c r="B84" s="6" t="inlineStr">
        <is>
          <t>HPNOTIQ VODKA &amp; COGNAC LIQUEUR</t>
        </is>
      </c>
      <c r="C84" s="7" t="e">
        <v>#N/A</v>
      </c>
      <c r="D84" s="6" t="n">
        <v>1</v>
      </c>
      <c r="E84" s="6" t="inlineStr">
        <is>
          <t>R1486326</t>
        </is>
      </c>
      <c r="F84" s="2" t="n">
        <v>44616</v>
      </c>
      <c r="G84" s="1" t="n"/>
    </row>
    <row r="85">
      <c r="A85" s="6" t="n">
        <v>26822</v>
      </c>
      <c r="B85" s="6" t="inlineStr">
        <is>
          <t>JACK DANIELS BLACK LABEL</t>
        </is>
      </c>
      <c r="C85" s="7" t="e">
        <v>#N/A</v>
      </c>
      <c r="D85" s="6" t="n">
        <v>10</v>
      </c>
      <c r="E85" s="6" t="inlineStr">
        <is>
          <t>R1481890</t>
        </is>
      </c>
      <c r="F85" s="2" t="n">
        <v>44620</v>
      </c>
      <c r="G85" s="1" t="n"/>
    </row>
    <row r="86">
      <c r="A86" s="6" t="n">
        <v>413340</v>
      </c>
      <c r="B86" s="6" t="inlineStr">
        <is>
          <t>JAM JAR SWEET SHIRAZ WESTERN CAPE</t>
        </is>
      </c>
      <c r="C86" s="7" t="e">
        <v>#N/A</v>
      </c>
      <c r="D86" s="6" t="n">
        <v>1</v>
      </c>
      <c r="E86" s="6" t="inlineStr">
        <is>
          <t>R1486336</t>
        </is>
      </c>
      <c r="F86" s="2" t="n">
        <v>44620</v>
      </c>
      <c r="G86" s="1" t="n"/>
    </row>
    <row r="87">
      <c r="A87" s="6" t="n">
        <v>19061</v>
      </c>
      <c r="B87" s="6" t="inlineStr">
        <is>
          <t>JIM BEAM BOURBON WHISKEY</t>
        </is>
      </c>
      <c r="C87" s="7" t="e">
        <v>#N/A</v>
      </c>
      <c r="D87" s="6" t="n">
        <v>2</v>
      </c>
      <c r="E87" s="6" t="inlineStr">
        <is>
          <t>R1501158</t>
        </is>
      </c>
      <c r="F87" s="2" t="n">
        <v>44627</v>
      </c>
      <c r="G87" s="1" t="n"/>
    </row>
    <row r="88">
      <c r="A88" s="6" t="n">
        <v>19112</v>
      </c>
      <c r="B88" s="6" t="inlineStr">
        <is>
          <t>JIM BEAM DEVIL'S CUT KENTUCKY STRAIGHT BOURBON</t>
        </is>
      </c>
      <c r="C88" s="7" t="e">
        <v>#N/A</v>
      </c>
      <c r="D88" s="6" t="n">
        <v>1</v>
      </c>
      <c r="E88" s="6" t="inlineStr">
        <is>
          <t>R1495781</t>
        </is>
      </c>
      <c r="F88" s="2" t="n">
        <v>44627</v>
      </c>
      <c r="G88" s="1" t="n"/>
    </row>
    <row r="89">
      <c r="A89" s="6" t="n">
        <v>58874</v>
      </c>
      <c r="B89" s="6" t="inlineStr">
        <is>
          <t>JOSE CUERVO AUTHENTIC PINK LEMONADE</t>
        </is>
      </c>
      <c r="C89" s="7" t="e">
        <v>#N/A</v>
      </c>
      <c r="D89" s="6" t="n">
        <v>2</v>
      </c>
      <c r="E89" s="6" t="inlineStr">
        <is>
          <t>R1496401</t>
        </is>
      </c>
      <c r="F89" s="2" t="n">
        <v>44621</v>
      </c>
      <c r="G89" s="1" t="n"/>
    </row>
    <row r="90">
      <c r="A90" s="6" t="n">
        <v>100686</v>
      </c>
      <c r="B90" s="6" t="inlineStr">
        <is>
          <t>JOSE CUERVO AUTHENTIC PINK LEMONADE (4PK)</t>
        </is>
      </c>
      <c r="C90" s="7" t="e">
        <v>#N/A</v>
      </c>
      <c r="D90" s="6" t="n">
        <v>2</v>
      </c>
      <c r="E90" s="6" t="inlineStr">
        <is>
          <t>R1493246</t>
        </is>
      </c>
      <c r="F90" s="2" t="n">
        <v>44623</v>
      </c>
      <c r="G90" s="1" t="n"/>
    </row>
    <row r="91">
      <c r="A91" s="6" t="n">
        <v>87408</v>
      </c>
      <c r="B91" s="6" t="inlineStr">
        <is>
          <t>JOSE CUERVO ESPECIAL SILVER</t>
        </is>
      </c>
      <c r="C91" s="7" t="e">
        <v>#N/A</v>
      </c>
      <c r="D91" s="6" t="n">
        <v>4</v>
      </c>
      <c r="E91" s="6" t="inlineStr">
        <is>
          <t>R1496401</t>
        </is>
      </c>
      <c r="F91" s="2" t="n">
        <v>44621</v>
      </c>
      <c r="G91" s="1" t="n"/>
    </row>
    <row r="92">
      <c r="A92" s="6" t="n">
        <v>87416</v>
      </c>
      <c r="B92" s="6" t="inlineStr">
        <is>
          <t>JOSE CUERVO TRADICIONAL SILVER TEQ</t>
        </is>
      </c>
      <c r="C92" s="7" t="e">
        <v>#N/A</v>
      </c>
      <c r="D92" s="6" t="n">
        <v>1</v>
      </c>
      <c r="E92" s="6" t="inlineStr">
        <is>
          <t>R1496401</t>
        </is>
      </c>
      <c r="F92" s="2" t="n">
        <v>44621</v>
      </c>
      <c r="G92" s="1" t="n"/>
    </row>
    <row r="93">
      <c r="A93" s="6" t="n">
        <v>52806</v>
      </c>
      <c r="B93" s="6" t="inlineStr">
        <is>
          <t>KORBEL BRANDY</t>
        </is>
      </c>
      <c r="C93" s="7" t="e">
        <v>#N/A</v>
      </c>
      <c r="D93" s="6" t="n">
        <v>5</v>
      </c>
      <c r="E93" s="6" t="inlineStr">
        <is>
          <t>R1496401</t>
        </is>
      </c>
      <c r="F93" s="2" t="n">
        <v>44621</v>
      </c>
      <c r="G93" s="1" t="n"/>
    </row>
    <row r="94">
      <c r="A94" s="6" t="n">
        <v>664502</v>
      </c>
      <c r="B94" s="6" t="inlineStr">
        <is>
          <t>LIBERTY CREEK CALIFORNIA PINK MOSCATO</t>
        </is>
      </c>
      <c r="C94" s="7" t="e">
        <v>#N/A</v>
      </c>
      <c r="D94" s="6" t="n">
        <v>1</v>
      </c>
      <c r="E94" s="6" t="inlineStr">
        <is>
          <t>R1486336</t>
        </is>
      </c>
      <c r="F94" s="2" t="n">
        <v>44620</v>
      </c>
      <c r="G94" s="1" t="n"/>
    </row>
    <row r="95">
      <c r="A95" s="6" t="n">
        <v>729080</v>
      </c>
      <c r="B95" s="6" t="inlineStr">
        <is>
          <t>LUC BELAIRE BRUT GOLD</t>
        </is>
      </c>
      <c r="C95" s="7" t="e">
        <v>#N/A</v>
      </c>
      <c r="D95" s="6" t="n">
        <v>8</v>
      </c>
      <c r="E95" s="6" t="inlineStr">
        <is>
          <t>R1474819</t>
        </is>
      </c>
      <c r="F95" s="2" t="n">
        <v>44617</v>
      </c>
      <c r="G95" s="1" t="n"/>
    </row>
    <row r="96">
      <c r="A96" s="6" t="n">
        <v>88018</v>
      </c>
      <c r="B96" s="6" t="inlineStr">
        <is>
          <t>LUNAZUL BLANCO TEQUILA</t>
        </is>
      </c>
      <c r="C96" s="7" t="e">
        <v>#N/A</v>
      </c>
      <c r="D96" s="6" t="n">
        <v>1</v>
      </c>
      <c r="E96" s="6" t="inlineStr">
        <is>
          <t>R1496401</t>
        </is>
      </c>
      <c r="F96" s="2" t="n">
        <v>44621</v>
      </c>
      <c r="G96" s="1" t="n"/>
    </row>
    <row r="97">
      <c r="A97" s="6" t="n">
        <v>89468</v>
      </c>
      <c r="B97" s="6" t="inlineStr">
        <is>
          <t>LUNAZUL REPOSADO TEQUILA</t>
        </is>
      </c>
      <c r="C97" s="7" t="e">
        <v>#N/A</v>
      </c>
      <c r="D97" s="6" t="n">
        <v>1</v>
      </c>
      <c r="E97" s="6" t="inlineStr">
        <is>
          <t>R1496401</t>
        </is>
      </c>
      <c r="F97" s="2" t="n">
        <v>44621</v>
      </c>
      <c r="G97" s="1" t="n"/>
    </row>
    <row r="98">
      <c r="A98" s="6" t="n">
        <v>19478</v>
      </c>
      <c r="B98" s="6" t="inlineStr">
        <is>
          <t>MAKER'S MARK</t>
        </is>
      </c>
      <c r="C98" s="7" t="e">
        <v>#N/A</v>
      </c>
      <c r="D98" s="6" t="n">
        <v>5</v>
      </c>
      <c r="E98" s="6" t="inlineStr">
        <is>
          <t>R1491088</t>
        </is>
      </c>
      <c r="F98" s="2" t="n">
        <v>44623</v>
      </c>
      <c r="G98" s="1" t="n"/>
    </row>
    <row r="99">
      <c r="A99" s="6" t="n">
        <v>19485</v>
      </c>
      <c r="B99" s="6" t="inlineStr">
        <is>
          <t>MAKER'S MARK 46</t>
        </is>
      </c>
      <c r="C99" s="7" t="e">
        <v>#N/A</v>
      </c>
      <c r="D99" s="6" t="n">
        <v>2</v>
      </c>
      <c r="E99" s="6" t="inlineStr">
        <is>
          <t>R1491088</t>
        </is>
      </c>
      <c r="F99" s="2" t="n">
        <v>44623</v>
      </c>
      <c r="G99" s="1" t="n"/>
    </row>
    <row r="100">
      <c r="A100" s="6" t="n">
        <v>19485</v>
      </c>
      <c r="B100" s="6" t="inlineStr">
        <is>
          <t>MAKER'S MARK 46</t>
        </is>
      </c>
      <c r="C100" s="7" t="e">
        <v>#N/A</v>
      </c>
      <c r="D100" s="6" t="n">
        <v>1</v>
      </c>
      <c r="E100" s="6" t="inlineStr">
        <is>
          <t>R1488872</t>
        </is>
      </c>
      <c r="F100" s="2" t="n">
        <v>44627</v>
      </c>
      <c r="G100" s="1" t="n"/>
    </row>
    <row r="101">
      <c r="A101" s="6" t="n">
        <v>19481</v>
      </c>
      <c r="B101" s="6" t="inlineStr">
        <is>
          <t>MAKER'S MARK CASK STRENGTH</t>
        </is>
      </c>
      <c r="C101" s="7" t="e">
        <v>#N/A</v>
      </c>
      <c r="D101" s="6" t="n">
        <v>1</v>
      </c>
      <c r="E101" s="6" t="inlineStr">
        <is>
          <t>R1496401</t>
        </is>
      </c>
      <c r="F101" s="2" t="n">
        <v>44621</v>
      </c>
      <c r="G101" s="1" t="n"/>
    </row>
    <row r="102">
      <c r="A102" s="6" t="n">
        <v>19481</v>
      </c>
      <c r="B102" s="6" t="inlineStr">
        <is>
          <t>MAKER'S MARK CASK STRENGTH</t>
        </is>
      </c>
      <c r="C102" s="7" t="e">
        <v>#N/A</v>
      </c>
      <c r="D102" s="6" t="n">
        <v>1</v>
      </c>
      <c r="E102" s="6" t="inlineStr">
        <is>
          <t>R1497382</t>
        </is>
      </c>
      <c r="F102" s="2" t="n">
        <v>44627</v>
      </c>
      <c r="G102" s="1" t="n"/>
    </row>
    <row r="103">
      <c r="A103" s="6" t="n">
        <v>42712</v>
      </c>
      <c r="B103" s="6" t="inlineStr">
        <is>
          <t>MALIBU RUM</t>
        </is>
      </c>
      <c r="C103" s="7" t="e">
        <v>#N/A</v>
      </c>
      <c r="D103" s="6" t="n">
        <v>1</v>
      </c>
      <c r="E103" s="6" t="inlineStr">
        <is>
          <t>R1486336</t>
        </is>
      </c>
      <c r="F103" s="2" t="n">
        <v>44620</v>
      </c>
      <c r="G103" s="1" t="n"/>
    </row>
    <row r="104">
      <c r="A104" s="6" t="n">
        <v>43902</v>
      </c>
      <c r="B104" s="6" t="inlineStr">
        <is>
          <t>MALIBU STRAWBERRY</t>
        </is>
      </c>
      <c r="C104" s="7" t="e">
        <v>#N/A</v>
      </c>
      <c r="D104" s="6" t="n">
        <v>1</v>
      </c>
      <c r="E104" s="6" t="inlineStr">
        <is>
          <t>R1486336</t>
        </is>
      </c>
      <c r="F104" s="2" t="n">
        <v>44620</v>
      </c>
      <c r="G104" s="1" t="n"/>
    </row>
    <row r="105">
      <c r="A105" s="6" t="n">
        <v>43860</v>
      </c>
      <c r="B105" s="6" t="inlineStr">
        <is>
          <t>MALIBU WATERMELON</t>
        </is>
      </c>
      <c r="C105" s="7" t="e">
        <v>#N/A</v>
      </c>
      <c r="D105" s="6" t="n">
        <v>1</v>
      </c>
      <c r="E105" s="6" t="inlineStr">
        <is>
          <t>R1495781</t>
        </is>
      </c>
      <c r="F105" s="2" t="n">
        <v>44627</v>
      </c>
      <c r="G105" s="1" t="n"/>
    </row>
    <row r="106">
      <c r="A106" s="6" t="n">
        <v>65790</v>
      </c>
      <c r="B106" s="6" t="inlineStr">
        <is>
          <t>MARTELL BLUE SWIFT</t>
        </is>
      </c>
      <c r="C106" s="7" t="e">
        <v>#N/A</v>
      </c>
      <c r="D106" s="6" t="n">
        <v>1</v>
      </c>
      <c r="E106" s="6" t="inlineStr">
        <is>
          <t>R1487835</t>
        </is>
      </c>
      <c r="F106" s="2" t="n">
        <v>44621</v>
      </c>
      <c r="G106" s="1" t="n"/>
    </row>
    <row r="107">
      <c r="A107" s="6" t="n">
        <v>48696</v>
      </c>
      <c r="B107" s="6" t="inlineStr">
        <is>
          <t>MARTELL V S COGNAC</t>
        </is>
      </c>
      <c r="C107" s="7" t="e">
        <v>#N/A</v>
      </c>
      <c r="D107" s="6" t="n">
        <v>3</v>
      </c>
      <c r="E107" s="6" t="inlineStr">
        <is>
          <t>R1496619</t>
        </is>
      </c>
      <c r="F107" s="2" t="n">
        <v>44621</v>
      </c>
      <c r="G107" s="1" t="n"/>
    </row>
    <row r="108">
      <c r="A108" s="6" t="n">
        <v>812810</v>
      </c>
      <c r="B108" s="6" t="inlineStr">
        <is>
          <t>MD 20/20 BLUE RASPBERRY</t>
        </is>
      </c>
      <c r="C108" s="7" t="e">
        <v>#N/A</v>
      </c>
      <c r="D108" s="6" t="n">
        <v>1</v>
      </c>
      <c r="E108" s="6" t="inlineStr">
        <is>
          <t>R1469832</t>
        </is>
      </c>
      <c r="F108" s="2" t="n">
        <v>44615</v>
      </c>
      <c r="G108" s="1" t="n"/>
    </row>
    <row r="109">
      <c r="A109" s="6" t="n">
        <v>812812</v>
      </c>
      <c r="B109" s="6" t="inlineStr">
        <is>
          <t>MD 20/20 BLUE RASPBERRY</t>
        </is>
      </c>
      <c r="C109" s="7" t="e">
        <v>#N/A</v>
      </c>
      <c r="D109" s="6" t="n">
        <v>1</v>
      </c>
      <c r="E109" s="6" t="inlineStr">
        <is>
          <t>R1469832</t>
        </is>
      </c>
      <c r="F109" s="2" t="n">
        <v>44615</v>
      </c>
      <c r="G109" s="1" t="n"/>
    </row>
    <row r="110">
      <c r="A110" s="6" t="n">
        <v>812810</v>
      </c>
      <c r="B110" s="6" t="inlineStr">
        <is>
          <t>MD 20/20 BLUE RASPBERRY</t>
        </is>
      </c>
      <c r="C110" s="7" t="e">
        <v>#N/A</v>
      </c>
      <c r="D110" s="6" t="n">
        <v>1</v>
      </c>
      <c r="E110" s="6" t="inlineStr">
        <is>
          <t>R1501158</t>
        </is>
      </c>
      <c r="F110" s="2" t="n">
        <v>44627</v>
      </c>
      <c r="G110" s="1" t="n"/>
    </row>
    <row r="111">
      <c r="A111" s="6" t="n">
        <v>812790</v>
      </c>
      <c r="B111" s="6" t="inlineStr">
        <is>
          <t>MD 20/20 ORANGE JUBILEE</t>
        </is>
      </c>
      <c r="C111" s="7" t="e">
        <v>#N/A</v>
      </c>
      <c r="D111" s="6" t="n">
        <v>1</v>
      </c>
      <c r="E111" s="6" t="inlineStr">
        <is>
          <t>R1488872</t>
        </is>
      </c>
      <c r="F111" s="2" t="n">
        <v>44627</v>
      </c>
      <c r="G111" s="1" t="n"/>
    </row>
    <row r="112">
      <c r="A112" s="6" t="n">
        <v>812794</v>
      </c>
      <c r="B112" s="6" t="inlineStr">
        <is>
          <t>MD 20/20 RED GRAPE</t>
        </is>
      </c>
      <c r="C112" s="7" t="e">
        <v>#N/A</v>
      </c>
      <c r="D112" s="6" t="n">
        <v>1</v>
      </c>
      <c r="E112" s="6" t="inlineStr">
        <is>
          <t>R1501158</t>
        </is>
      </c>
      <c r="F112" s="2" t="n">
        <v>44627</v>
      </c>
      <c r="G112" s="1" t="n"/>
    </row>
    <row r="113">
      <c r="A113" s="6" t="n">
        <v>710806</v>
      </c>
      <c r="B113" s="6" t="inlineStr">
        <is>
          <t>MOET &amp; CHANDON IMPERIAL</t>
        </is>
      </c>
      <c r="C113" s="7" t="e">
        <v>#N/A</v>
      </c>
      <c r="D113" s="6" t="n">
        <v>2</v>
      </c>
      <c r="E113" s="6" t="inlineStr">
        <is>
          <t>R1500714</t>
        </is>
      </c>
      <c r="F113" s="2" t="n">
        <v>44620</v>
      </c>
      <c r="G113" s="1" t="n"/>
    </row>
    <row r="114">
      <c r="A114" s="6" t="n">
        <v>710921</v>
      </c>
      <c r="B114" s="6" t="inlineStr">
        <is>
          <t>MOET CHANDON NECTAR IMPERIAL ROSE</t>
        </is>
      </c>
      <c r="C114" s="7" t="e">
        <v>#N/A</v>
      </c>
      <c r="D114" s="6" t="n">
        <v>5</v>
      </c>
      <c r="E114" s="6" t="inlineStr">
        <is>
          <t>R1487441</t>
        </is>
      </c>
      <c r="F114" s="2" t="n">
        <v>44621</v>
      </c>
      <c r="G114" s="1" t="n"/>
    </row>
    <row r="115">
      <c r="A115" s="6" t="n">
        <v>710921</v>
      </c>
      <c r="B115" s="6" t="inlineStr">
        <is>
          <t>MOET CHANDON NECTAR IMPERIAL ROSE</t>
        </is>
      </c>
      <c r="C115" s="7" t="e">
        <v>#N/A</v>
      </c>
      <c r="D115" s="6" t="n">
        <v>5</v>
      </c>
      <c r="E115" s="6" t="inlineStr">
        <is>
          <t>R1500714</t>
        </is>
      </c>
      <c r="F115" s="2" t="n">
        <v>44620</v>
      </c>
      <c r="G115" s="1" t="n"/>
    </row>
    <row r="116">
      <c r="A116" s="6" t="n">
        <v>487020</v>
      </c>
      <c r="B116" s="6" t="inlineStr">
        <is>
          <t>MOGEN DAVID CONCORD</t>
        </is>
      </c>
      <c r="C116" s="7" t="e">
        <v>#N/A</v>
      </c>
      <c r="D116" s="6" t="n">
        <v>2</v>
      </c>
      <c r="E116" s="6" t="inlineStr">
        <is>
          <t>R1497382</t>
        </is>
      </c>
      <c r="F116" s="2" t="n">
        <v>44627</v>
      </c>
      <c r="G116" s="1" t="n"/>
    </row>
    <row r="117">
      <c r="A117" s="6" t="n">
        <v>45068</v>
      </c>
      <c r="B117" s="6" t="inlineStr">
        <is>
          <t>MONTEGO BAY GOLD RUM</t>
        </is>
      </c>
      <c r="C117" s="7" t="e">
        <v>#N/A</v>
      </c>
      <c r="D117" s="6" t="n">
        <v>1</v>
      </c>
      <c r="E117" s="6" t="inlineStr">
        <is>
          <t>R1496401</t>
        </is>
      </c>
      <c r="F117" s="2" t="n">
        <v>44621</v>
      </c>
      <c r="G117" s="1" t="n"/>
    </row>
    <row r="118">
      <c r="A118" s="6" t="n">
        <v>31472</v>
      </c>
      <c r="B118" s="6" t="inlineStr">
        <is>
          <t>NEW AMSTERDAM GIN</t>
        </is>
      </c>
      <c r="C118" s="7" t="e">
        <v>#N/A</v>
      </c>
      <c r="D118" s="6" t="n">
        <v>1</v>
      </c>
      <c r="E118" s="6" t="inlineStr">
        <is>
          <t>R1469832</t>
        </is>
      </c>
      <c r="F118" s="2" t="n">
        <v>44615</v>
      </c>
      <c r="G118" s="1" t="n"/>
    </row>
    <row r="119">
      <c r="A119" s="6" t="n">
        <v>31475</v>
      </c>
      <c r="B119" s="6" t="inlineStr">
        <is>
          <t>NEW AMSTERDAM GIN</t>
        </is>
      </c>
      <c r="C119" s="7" t="e">
        <v>#N/A</v>
      </c>
      <c r="D119" s="6" t="n">
        <v>1</v>
      </c>
      <c r="E119" s="6" t="inlineStr">
        <is>
          <t>R1496401</t>
        </is>
      </c>
      <c r="F119" s="2" t="n">
        <v>44621</v>
      </c>
      <c r="G119" s="1" t="n"/>
    </row>
    <row r="120">
      <c r="A120" s="6" t="n">
        <v>40592</v>
      </c>
      <c r="B120" s="6" t="inlineStr">
        <is>
          <t>NEW AMSTERDAM PEACH FLAVORED VODKA</t>
        </is>
      </c>
      <c r="C120" s="7" t="e">
        <v>#N/A</v>
      </c>
      <c r="D120" s="6" t="n">
        <v>1</v>
      </c>
      <c r="E120" s="6" t="inlineStr">
        <is>
          <t>R1486326</t>
        </is>
      </c>
      <c r="F120" s="2" t="n">
        <v>44616</v>
      </c>
      <c r="G120" s="1" t="n"/>
    </row>
    <row r="121">
      <c r="A121" s="6" t="n">
        <v>40593</v>
      </c>
      <c r="B121" s="6" t="inlineStr">
        <is>
          <t>NEW AMSTERDAM PEACH FLAVORED VODKA</t>
        </is>
      </c>
      <c r="C121" s="7" t="e">
        <v>#N/A</v>
      </c>
      <c r="D121" s="6" t="n">
        <v>2</v>
      </c>
      <c r="E121" s="6" t="inlineStr">
        <is>
          <t>R1496401</t>
        </is>
      </c>
      <c r="F121" s="2" t="n">
        <v>44621</v>
      </c>
      <c r="G121" s="1" t="n"/>
    </row>
    <row r="122">
      <c r="A122" s="6" t="n">
        <v>40593</v>
      </c>
      <c r="B122" s="6" t="inlineStr">
        <is>
          <t>NEW AMSTERDAM PEACH FLAVORED VODKA</t>
        </is>
      </c>
      <c r="C122" s="7" t="e">
        <v>#N/A</v>
      </c>
      <c r="D122" s="6" t="n">
        <v>3</v>
      </c>
      <c r="E122" s="6" t="inlineStr">
        <is>
          <t>R1496619</t>
        </is>
      </c>
      <c r="F122" s="2" t="n">
        <v>44621</v>
      </c>
      <c r="G122" s="1" t="n"/>
    </row>
    <row r="123">
      <c r="A123" s="6" t="n">
        <v>40191</v>
      </c>
      <c r="B123" s="6" t="inlineStr">
        <is>
          <t>NEW AMSTERDAM PINEAPPLE FLAVORED VODKA</t>
        </is>
      </c>
      <c r="C123" s="7" t="e">
        <v>#N/A</v>
      </c>
      <c r="D123" s="6" t="n">
        <v>1</v>
      </c>
      <c r="E123" s="6" t="inlineStr">
        <is>
          <t>R1486326</t>
        </is>
      </c>
      <c r="F123" s="2" t="n">
        <v>44616</v>
      </c>
      <c r="G123" s="1" t="n"/>
    </row>
    <row r="124">
      <c r="A124" s="6" t="n">
        <v>40598</v>
      </c>
      <c r="B124" s="6" t="inlineStr">
        <is>
          <t>NEW AMSTERDAM RED BERRY FLAVORED VODKA</t>
        </is>
      </c>
      <c r="C124" s="7" t="e">
        <v>#N/A</v>
      </c>
      <c r="D124" s="6" t="n">
        <v>2</v>
      </c>
      <c r="E124" s="6" t="inlineStr">
        <is>
          <t>R1498214</t>
        </is>
      </c>
      <c r="F124" s="2" t="n">
        <v>44623</v>
      </c>
      <c r="G124" s="1" t="n"/>
    </row>
    <row r="125">
      <c r="A125" s="6" t="n">
        <v>36967</v>
      </c>
      <c r="B125" s="6" t="inlineStr">
        <is>
          <t>NEW AMSTERDAM VODKA</t>
        </is>
      </c>
      <c r="C125" s="7" t="e">
        <v>#N/A</v>
      </c>
      <c r="D125" s="6" t="n">
        <v>1</v>
      </c>
      <c r="E125" s="6" t="inlineStr">
        <is>
          <t>R1497382</t>
        </is>
      </c>
      <c r="F125" s="2" t="n">
        <v>44627</v>
      </c>
      <c r="G125" s="1" t="n"/>
    </row>
    <row r="126">
      <c r="A126" s="6" t="n">
        <v>36968</v>
      </c>
      <c r="B126" s="6" t="inlineStr">
        <is>
          <t>NEW AMSTERDAM VODKA FLASK</t>
        </is>
      </c>
      <c r="C126" s="7" t="e">
        <v>#N/A</v>
      </c>
      <c r="D126" s="6" t="n">
        <v>3</v>
      </c>
      <c r="E126" s="6" t="inlineStr">
        <is>
          <t>R1497382</t>
        </is>
      </c>
      <c r="F126" s="2" t="n">
        <v>44627</v>
      </c>
      <c r="G126" s="1" t="n"/>
    </row>
    <row r="127">
      <c r="A127" s="6" t="n">
        <v>39422</v>
      </c>
      <c r="B127" s="6" t="inlineStr">
        <is>
          <t>NEW AMSTERDAM VODKA PINK WHITNEY PINK LEMONADE</t>
        </is>
      </c>
      <c r="C127" s="7" t="e">
        <v>#N/A</v>
      </c>
      <c r="D127" s="6" t="n">
        <v>4</v>
      </c>
      <c r="E127" s="6" t="inlineStr">
        <is>
          <t>R1486336</t>
        </is>
      </c>
      <c r="F127" s="2" t="n">
        <v>44620</v>
      </c>
      <c r="G127" s="1" t="n"/>
    </row>
    <row r="128">
      <c r="A128" s="6" t="n">
        <v>39382</v>
      </c>
      <c r="B128" s="6" t="inlineStr">
        <is>
          <t>NEW AMSTERDAM VODKA PINK WHITNEY PINK LEMONADE</t>
        </is>
      </c>
      <c r="C128" s="7" t="e">
        <v>#N/A</v>
      </c>
      <c r="D128" s="6" t="n">
        <v>3</v>
      </c>
      <c r="E128" s="6" t="inlineStr">
        <is>
          <t>R1496401</t>
        </is>
      </c>
      <c r="F128" s="2" t="n">
        <v>44621</v>
      </c>
      <c r="G128" s="1" t="n"/>
    </row>
    <row r="129">
      <c r="A129" s="6" t="n">
        <v>39417</v>
      </c>
      <c r="B129" s="6" t="inlineStr">
        <is>
          <t>NEW AMSTERDAM WATERMELON FLAVORED VODKA</t>
        </is>
      </c>
      <c r="C129" s="7" t="e">
        <v>#N/A</v>
      </c>
      <c r="D129" s="6" t="n">
        <v>2</v>
      </c>
      <c r="E129" s="6" t="inlineStr">
        <is>
          <t>R1494274</t>
        </is>
      </c>
      <c r="F129" s="2" t="n">
        <v>44627</v>
      </c>
      <c r="G129" s="1" t="n"/>
    </row>
    <row r="130">
      <c r="A130" s="6" t="n">
        <v>20374</v>
      </c>
      <c r="B130" s="6" t="inlineStr">
        <is>
          <t>OLD FORESTER 1910 KENTUCKY STRAIGHT BOURBON</t>
        </is>
      </c>
      <c r="C130" s="7" t="e">
        <v>#N/A</v>
      </c>
      <c r="D130" s="6" t="n">
        <v>1</v>
      </c>
      <c r="E130" s="6" t="inlineStr">
        <is>
          <t>R1495781</t>
        </is>
      </c>
      <c r="F130" s="2" t="n">
        <v>44627</v>
      </c>
      <c r="G130" s="1" t="n"/>
    </row>
    <row r="131">
      <c r="A131" s="6" t="n">
        <v>955252</v>
      </c>
      <c r="B131" s="6" t="inlineStr">
        <is>
          <t>OLD SOUTH SWEET NOBLE MUSCADINE</t>
        </is>
      </c>
      <c r="C131" s="7" t="e">
        <v>#N/A</v>
      </c>
      <c r="D131" s="6" t="n">
        <v>2</v>
      </c>
      <c r="E131" s="6" t="inlineStr">
        <is>
          <t>R1497382</t>
        </is>
      </c>
      <c r="F131" s="2" t="n">
        <v>44627</v>
      </c>
      <c r="G131" s="1" t="n"/>
    </row>
    <row r="132">
      <c r="A132" s="6" t="n">
        <v>76413</v>
      </c>
      <c r="B132" s="6" t="inlineStr">
        <is>
          <t>OLE SMOKY BUTTER PECAN MOONSHINE</t>
        </is>
      </c>
      <c r="C132" s="7" t="e">
        <v>#N/A</v>
      </c>
      <c r="D132" s="6" t="n">
        <v>2</v>
      </c>
      <c r="E132" s="6" t="inlineStr">
        <is>
          <t>R1488872</t>
        </is>
      </c>
      <c r="F132" s="2" t="n">
        <v>44627</v>
      </c>
      <c r="G132" s="1" t="n"/>
    </row>
    <row r="133">
      <c r="A133" s="6" t="n">
        <v>76412</v>
      </c>
      <c r="B133" s="6" t="inlineStr">
        <is>
          <t>OLE SMOKY BUTTER PECAN MOONSHINE</t>
        </is>
      </c>
      <c r="C133" s="7" t="e">
        <v>#N/A</v>
      </c>
      <c r="D133" s="6" t="n">
        <v>1</v>
      </c>
      <c r="E133" s="6" t="inlineStr">
        <is>
          <t>R1488872</t>
        </is>
      </c>
      <c r="F133" s="2" t="n">
        <v>44627</v>
      </c>
      <c r="G133" s="1" t="n"/>
    </row>
    <row r="134">
      <c r="A134" s="6" t="n">
        <v>86751</v>
      </c>
      <c r="B134" s="6" t="inlineStr">
        <is>
          <t>OLE SMOKY TENN. MOONSHINE HUNCH PUNCH LIGHTNIN'</t>
        </is>
      </c>
      <c r="C134" s="7" t="e">
        <v>#N/A</v>
      </c>
      <c r="D134" s="6" t="n">
        <v>1</v>
      </c>
      <c r="E134" s="6" t="inlineStr">
        <is>
          <t>R1497382</t>
        </is>
      </c>
      <c r="F134" s="2" t="n">
        <v>44627</v>
      </c>
      <c r="G134" s="1" t="n"/>
    </row>
    <row r="135">
      <c r="A135" s="6" t="n">
        <v>63319</v>
      </c>
      <c r="B135" s="6" t="inlineStr">
        <is>
          <t>ON THE ROCKS EFFEN COSMOPOLITAN</t>
        </is>
      </c>
      <c r="C135" s="7" t="e">
        <v>#N/A</v>
      </c>
      <c r="D135" s="6" t="n">
        <v>3</v>
      </c>
      <c r="E135" s="6" t="inlineStr">
        <is>
          <t>R1491088</t>
        </is>
      </c>
      <c r="F135" s="2" t="n">
        <v>44623</v>
      </c>
      <c r="G135" s="1" t="n"/>
    </row>
    <row r="136">
      <c r="A136" s="6" t="n">
        <v>88296</v>
      </c>
      <c r="B136" s="6" t="inlineStr">
        <is>
          <t>PATRON SILVER TEQUILA</t>
        </is>
      </c>
      <c r="C136" s="7" t="e">
        <v>#N/A</v>
      </c>
      <c r="D136" s="6" t="n">
        <v>8</v>
      </c>
      <c r="E136" s="6" t="inlineStr">
        <is>
          <t>R1498214</t>
        </is>
      </c>
      <c r="F136" s="2" t="n">
        <v>44623</v>
      </c>
      <c r="G136" s="1" t="n"/>
    </row>
    <row r="137">
      <c r="A137" s="6" t="n">
        <v>53211</v>
      </c>
      <c r="B137" s="6" t="inlineStr">
        <is>
          <t>PAUL MASSON GRANDE AMBER BRANDY</t>
        </is>
      </c>
      <c r="C137" s="7" t="e">
        <v>#N/A</v>
      </c>
      <c r="D137" s="6" t="n">
        <v>5</v>
      </c>
      <c r="E137" s="6" t="inlineStr">
        <is>
          <t>R1487835</t>
        </is>
      </c>
      <c r="F137" s="2" t="n">
        <v>44621</v>
      </c>
      <c r="G137" s="1" t="n"/>
    </row>
    <row r="138">
      <c r="A138" s="6" t="n">
        <v>56768</v>
      </c>
      <c r="B138" s="6" t="inlineStr">
        <is>
          <t>PAUL MASSON MANGO GRANDE AMBER BRANDY</t>
        </is>
      </c>
      <c r="C138" s="7" t="e">
        <v>#N/A</v>
      </c>
      <c r="D138" s="6" t="n">
        <v>1</v>
      </c>
      <c r="E138" s="6" t="inlineStr">
        <is>
          <t>R1496401</t>
        </is>
      </c>
      <c r="F138" s="2" t="n">
        <v>44621</v>
      </c>
      <c r="G138" s="1" t="n"/>
    </row>
    <row r="139">
      <c r="A139" s="6" t="n">
        <v>56195</v>
      </c>
      <c r="B139" s="6" t="inlineStr">
        <is>
          <t>PAUL MASSON PEACH GRAND AMBER BRANDY</t>
        </is>
      </c>
      <c r="C139" s="7" t="e">
        <v>#N/A</v>
      </c>
      <c r="D139" s="6" t="n">
        <v>1</v>
      </c>
      <c r="E139" s="6" t="inlineStr">
        <is>
          <t>R1469832</t>
        </is>
      </c>
      <c r="F139" s="2" t="n">
        <v>44615</v>
      </c>
      <c r="G139" s="1" t="n"/>
    </row>
    <row r="140">
      <c r="A140" s="6" t="n">
        <v>814577</v>
      </c>
      <c r="B140" s="6" t="inlineStr">
        <is>
          <t>PETER VELLA SWEET RED</t>
        </is>
      </c>
      <c r="C140" s="7" t="e">
        <v>#N/A</v>
      </c>
      <c r="D140" s="6" t="n">
        <v>1</v>
      </c>
      <c r="E140" s="6" t="inlineStr">
        <is>
          <t>R1469832</t>
        </is>
      </c>
      <c r="F140" s="2" t="n">
        <v>44615</v>
      </c>
      <c r="G140" s="1" t="n"/>
    </row>
    <row r="141">
      <c r="A141" s="6" t="n">
        <v>24178</v>
      </c>
      <c r="B141" s="6" t="inlineStr">
        <is>
          <t>QUALITY HOUSE BLENDED WHISKEY</t>
        </is>
      </c>
      <c r="C141" s="7" t="e">
        <v>#N/A</v>
      </c>
      <c r="D141" s="6" t="n">
        <v>3</v>
      </c>
      <c r="E141" s="6" t="inlineStr">
        <is>
          <t>R1486326</t>
        </is>
      </c>
      <c r="F141" s="2" t="n">
        <v>44616</v>
      </c>
      <c r="G141" s="1" t="n"/>
    </row>
    <row r="142">
      <c r="A142" s="6" t="n">
        <v>37588</v>
      </c>
      <c r="B142" s="6" t="inlineStr">
        <is>
          <t>RAIN VODKA</t>
        </is>
      </c>
      <c r="C142" s="7" t="e">
        <v>#N/A</v>
      </c>
      <c r="D142" s="6" t="n">
        <v>2</v>
      </c>
      <c r="E142" s="6" t="inlineStr">
        <is>
          <t>R1497382</t>
        </is>
      </c>
      <c r="F142" s="2" t="n">
        <v>44627</v>
      </c>
      <c r="G142" s="1" t="n"/>
    </row>
    <row r="143">
      <c r="A143" s="6" t="n">
        <v>892856</v>
      </c>
      <c r="B143" s="6" t="inlineStr">
        <is>
          <t>RANCHO LA GLORIA WATERMELON MARG WINE COCKTAIL</t>
        </is>
      </c>
      <c r="C143" s="7" t="e">
        <v>#N/A</v>
      </c>
      <c r="D143" s="6" t="n">
        <v>1</v>
      </c>
      <c r="E143" s="6" t="inlineStr">
        <is>
          <t>R1501158</t>
        </is>
      </c>
      <c r="F143" s="2" t="n">
        <v>44627</v>
      </c>
      <c r="G143" s="1" t="n"/>
    </row>
    <row r="144">
      <c r="A144" s="6" t="n">
        <v>49255</v>
      </c>
      <c r="B144" s="6" t="inlineStr">
        <is>
          <t>REVANCHE FRENCH COGNAC</t>
        </is>
      </c>
      <c r="C144" s="7" t="e">
        <v>#N/A</v>
      </c>
      <c r="D144" s="6" t="n">
        <v>1</v>
      </c>
      <c r="E144" s="6" t="inlineStr">
        <is>
          <t>R1495781</t>
        </is>
      </c>
      <c r="F144" s="2" t="n">
        <v>44627</v>
      </c>
      <c r="G144" s="1" t="n"/>
    </row>
    <row r="145">
      <c r="A145" s="6" t="n">
        <v>49255</v>
      </c>
      <c r="B145" s="6" t="inlineStr">
        <is>
          <t>REVANCHE FRENCH COGNAC</t>
        </is>
      </c>
      <c r="C145" s="7" t="e">
        <v>#N/A</v>
      </c>
      <c r="D145" s="6" t="n">
        <v>2</v>
      </c>
      <c r="E145" s="6" t="inlineStr">
        <is>
          <t>R1496401</t>
        </is>
      </c>
      <c r="F145" s="2" t="n">
        <v>44621</v>
      </c>
      <c r="G145" s="1" t="n"/>
    </row>
    <row r="146">
      <c r="A146" s="6" t="n">
        <v>12872</v>
      </c>
      <c r="B146" s="6" t="inlineStr">
        <is>
          <t>RICH &amp; RARE PEACH</t>
        </is>
      </c>
      <c r="C146" s="7" t="e">
        <v>#N/A</v>
      </c>
      <c r="D146" s="6" t="n">
        <v>1</v>
      </c>
      <c r="E146" s="6" t="inlineStr">
        <is>
          <t>R1488872</t>
        </is>
      </c>
      <c r="F146" s="2" t="n">
        <v>44627</v>
      </c>
      <c r="G146" s="1" t="n"/>
    </row>
    <row r="147">
      <c r="A147" s="6" t="n">
        <v>97722</v>
      </c>
      <c r="B147" s="6" t="inlineStr">
        <is>
          <t>RICHARDS WILD ROSE RED</t>
        </is>
      </c>
      <c r="C147" s="7" t="e">
        <v>#N/A</v>
      </c>
      <c r="D147" s="6" t="n">
        <v>1</v>
      </c>
      <c r="E147" s="6" t="inlineStr">
        <is>
          <t>R1469832</t>
        </is>
      </c>
      <c r="F147" s="2" t="n">
        <v>44615</v>
      </c>
      <c r="G147" s="1" t="n"/>
    </row>
    <row r="148">
      <c r="A148" s="6" t="n">
        <v>32216</v>
      </c>
      <c r="B148" s="6" t="inlineStr">
        <is>
          <t>SEAGRAM'S DISTILLER'S RESERVE 94 GIN</t>
        </is>
      </c>
      <c r="C148" s="7" t="e">
        <v>#N/A</v>
      </c>
      <c r="D148" s="6" t="n">
        <v>1</v>
      </c>
      <c r="E148" s="6" t="inlineStr">
        <is>
          <t>R1486336</t>
        </is>
      </c>
      <c r="F148" s="2" t="n">
        <v>44620</v>
      </c>
      <c r="G148" s="1" t="n"/>
    </row>
    <row r="149">
      <c r="A149" s="6" t="n">
        <v>32238</v>
      </c>
      <c r="B149" s="6" t="inlineStr">
        <is>
          <t>SEAGRAM'S EXTRA DRY GIN</t>
        </is>
      </c>
      <c r="C149" s="7" t="e">
        <v>#N/A</v>
      </c>
      <c r="D149" s="6" t="n">
        <v>5</v>
      </c>
      <c r="E149" s="6" t="inlineStr">
        <is>
          <t>R1483328</t>
        </is>
      </c>
      <c r="F149" s="2" t="n">
        <v>44616</v>
      </c>
      <c r="G149" s="1" t="n"/>
    </row>
    <row r="150">
      <c r="A150" s="6" t="n">
        <v>32241</v>
      </c>
      <c r="B150" s="6" t="inlineStr">
        <is>
          <t>SEAGRAM'S EXTRA DRY GIN (PET)</t>
        </is>
      </c>
      <c r="C150" s="7" t="e">
        <v>#N/A</v>
      </c>
      <c r="D150" s="6" t="n">
        <v>5</v>
      </c>
      <c r="E150" s="6" t="inlineStr">
        <is>
          <t>R1501625</t>
        </is>
      </c>
      <c r="F150" s="2" t="n">
        <v>44627</v>
      </c>
      <c r="G150" s="1" t="n"/>
    </row>
    <row r="151">
      <c r="A151" s="6" t="n">
        <v>37889</v>
      </c>
      <c r="B151" s="6" t="inlineStr">
        <is>
          <t>SEAGRAM'S EXTRA SMOOTH VODKA</t>
        </is>
      </c>
      <c r="C151" s="7" t="e">
        <v>#N/A</v>
      </c>
      <c r="D151" s="6" t="n">
        <v>2</v>
      </c>
      <c r="E151" s="6" t="inlineStr">
        <is>
          <t>R1496401</t>
        </is>
      </c>
      <c r="F151" s="2" t="n">
        <v>44621</v>
      </c>
      <c r="G151" s="1" t="n"/>
    </row>
    <row r="152">
      <c r="A152" s="6" t="n">
        <v>37986</v>
      </c>
      <c r="B152" s="6" t="inlineStr">
        <is>
          <t>SKYY VODKA</t>
        </is>
      </c>
      <c r="C152" s="7" t="e">
        <v>#N/A</v>
      </c>
      <c r="D152" s="6" t="n">
        <v>1</v>
      </c>
      <c r="E152" s="6" t="inlineStr">
        <is>
          <t>R1496401</t>
        </is>
      </c>
      <c r="F152" s="2" t="n">
        <v>44621</v>
      </c>
      <c r="G152" s="1" t="n"/>
    </row>
    <row r="153">
      <c r="A153" s="6" t="n">
        <v>37996</v>
      </c>
      <c r="B153" s="6" t="inlineStr">
        <is>
          <t>SMIRNOFF 80 PROOF VODKA</t>
        </is>
      </c>
      <c r="C153" s="7" t="e">
        <v>#N/A</v>
      </c>
      <c r="D153" s="6" t="n">
        <v>1</v>
      </c>
      <c r="E153" s="6" t="inlineStr">
        <is>
          <t>R1496401</t>
        </is>
      </c>
      <c r="F153" s="2" t="n">
        <v>44621</v>
      </c>
      <c r="G153" s="1" t="n"/>
    </row>
    <row r="154">
      <c r="A154" s="6" t="n">
        <v>77674</v>
      </c>
      <c r="B154" s="6" t="inlineStr">
        <is>
          <t>SMIRNOFF GREEN APPLE FLAVORED VODKA (DSS)</t>
        </is>
      </c>
      <c r="C154" s="7" t="e">
        <v>#N/A</v>
      </c>
      <c r="D154" s="6" t="n">
        <v>1</v>
      </c>
      <c r="E154" s="6" t="inlineStr">
        <is>
          <t>R1496401</t>
        </is>
      </c>
      <c r="F154" s="2" t="n">
        <v>44621</v>
      </c>
      <c r="G154" s="1" t="n"/>
    </row>
    <row r="155">
      <c r="A155" s="6" t="n">
        <v>77420</v>
      </c>
      <c r="B155" s="6" t="inlineStr">
        <is>
          <t>STINKY GRINGO MARGARITA RTD</t>
        </is>
      </c>
      <c r="C155" s="7" t="e">
        <v>#N/A</v>
      </c>
      <c r="D155" s="6" t="n">
        <v>2</v>
      </c>
      <c r="E155" s="6" t="inlineStr">
        <is>
          <t>R1496401</t>
        </is>
      </c>
      <c r="F155" s="2" t="n">
        <v>44621</v>
      </c>
      <c r="G155" s="1" t="n"/>
    </row>
    <row r="156">
      <c r="A156" s="6" t="n">
        <v>513500</v>
      </c>
      <c r="B156" s="6" t="inlineStr">
        <is>
          <t>SUTTER HOME MERLOT</t>
        </is>
      </c>
      <c r="C156" s="7" t="e">
        <v>#N/A</v>
      </c>
      <c r="D156" s="6" t="n">
        <v>2</v>
      </c>
      <c r="E156" s="6" t="inlineStr">
        <is>
          <t>R1496401</t>
        </is>
      </c>
      <c r="F156" s="2" t="n">
        <v>44621</v>
      </c>
      <c r="G156" s="1" t="n"/>
    </row>
    <row r="157">
      <c r="A157" s="6" t="n">
        <v>816234</v>
      </c>
      <c r="B157" s="6" t="inlineStr">
        <is>
          <t>SWEET WALTER PINEAPPLE</t>
        </is>
      </c>
      <c r="C157" s="7" t="e">
        <v>#N/A</v>
      </c>
      <c r="D157" s="6" t="n">
        <v>1</v>
      </c>
      <c r="E157" s="6" t="inlineStr">
        <is>
          <t>R1496401</t>
        </is>
      </c>
      <c r="F157" s="2" t="n">
        <v>44621</v>
      </c>
      <c r="G157" s="1" t="n"/>
    </row>
    <row r="158">
      <c r="A158" s="6" t="n">
        <v>38067</v>
      </c>
      <c r="B158" s="6" t="inlineStr">
        <is>
          <t>TAAKA VODKA 80</t>
        </is>
      </c>
      <c r="C158" s="7" t="e">
        <v>#N/A</v>
      </c>
      <c r="D158" s="6" t="n">
        <v>12</v>
      </c>
      <c r="E158" s="6" t="inlineStr">
        <is>
          <t>R1472767</t>
        </is>
      </c>
      <c r="F158" s="2" t="n">
        <v>44616</v>
      </c>
      <c r="G158" s="1" t="n"/>
    </row>
    <row r="159">
      <c r="A159" s="6" t="n">
        <v>38076</v>
      </c>
      <c r="B159" s="6" t="inlineStr">
        <is>
          <t>TAAKA VODKA 80 (PET)</t>
        </is>
      </c>
      <c r="C159" s="7" t="e">
        <v>#N/A</v>
      </c>
      <c r="D159" s="6" t="n">
        <v>10</v>
      </c>
      <c r="E159" s="6" t="inlineStr">
        <is>
          <t>R1472287</t>
        </is>
      </c>
      <c r="F159" s="2" t="n">
        <v>44621</v>
      </c>
      <c r="G159" s="1" t="n"/>
    </row>
    <row r="160">
      <c r="A160" s="6" t="n">
        <v>95486</v>
      </c>
      <c r="B160" s="6" t="inlineStr">
        <is>
          <t>TAYLOR N Y CREAM SHERRY</t>
        </is>
      </c>
      <c r="C160" s="7" t="e">
        <v>#N/A</v>
      </c>
      <c r="D160" s="6" t="n">
        <v>1</v>
      </c>
      <c r="E160" s="6" t="inlineStr">
        <is>
          <t>R1501158</t>
        </is>
      </c>
      <c r="F160" s="2" t="n">
        <v>44627</v>
      </c>
      <c r="G160" s="1" t="n"/>
    </row>
    <row r="161">
      <c r="A161" s="6" t="n">
        <v>95916</v>
      </c>
      <c r="B161" s="6" t="inlineStr">
        <is>
          <t>TAYLOR N Y DRY SHERRY</t>
        </is>
      </c>
      <c r="C161" s="7" t="e">
        <v>#N/A</v>
      </c>
      <c r="D161" s="6" t="n">
        <v>1</v>
      </c>
      <c r="E161" s="6" t="inlineStr">
        <is>
          <t>R1501158</t>
        </is>
      </c>
      <c r="F161" s="2" t="n">
        <v>44627</v>
      </c>
      <c r="G161" s="1" t="n"/>
    </row>
    <row r="162">
      <c r="A162" s="6" t="n">
        <v>88372</v>
      </c>
      <c r="B162" s="6" t="inlineStr">
        <is>
          <t>TEREMANA REPOSADO TEQUILA</t>
        </is>
      </c>
      <c r="C162" s="7" t="e">
        <v>#N/A</v>
      </c>
      <c r="D162" s="6" t="n">
        <v>1</v>
      </c>
      <c r="E162" s="6" t="inlineStr">
        <is>
          <t>R1469832</t>
        </is>
      </c>
      <c r="F162" s="2" t="n">
        <v>44615</v>
      </c>
      <c r="G162" s="1" t="n"/>
    </row>
    <row r="163">
      <c r="A163" s="6" t="n">
        <v>5924</v>
      </c>
      <c r="B163" s="6" t="inlineStr">
        <is>
          <t>THE GLENLIVET CARIBBEAN RESERVE</t>
        </is>
      </c>
      <c r="C163" s="7" t="e">
        <v>#N/A</v>
      </c>
      <c r="D163" s="6" t="n">
        <v>2</v>
      </c>
      <c r="E163" s="6" t="inlineStr">
        <is>
          <t>R1496619</t>
        </is>
      </c>
      <c r="F163" s="2" t="n">
        <v>44621</v>
      </c>
      <c r="G163" s="1" t="n"/>
    </row>
    <row r="164">
      <c r="A164" s="6" t="n">
        <v>38178</v>
      </c>
      <c r="B164" s="6" t="inlineStr">
        <is>
          <t>TITO'S HANDMADE VODKA</t>
        </is>
      </c>
      <c r="C164" s="7" t="e">
        <v>#N/A</v>
      </c>
      <c r="D164" s="6" t="n">
        <v>5</v>
      </c>
      <c r="E164" s="6" t="inlineStr">
        <is>
          <t>R1486336</t>
        </is>
      </c>
      <c r="F164" s="2" t="n">
        <v>44620</v>
      </c>
      <c r="G164" s="1" t="n"/>
    </row>
    <row r="165">
      <c r="A165" s="6" t="n">
        <v>38176</v>
      </c>
      <c r="B165" s="6" t="inlineStr">
        <is>
          <t>TITO'S HANDMADE VODKA</t>
        </is>
      </c>
      <c r="C165" s="7" t="e">
        <v>#N/A</v>
      </c>
      <c r="D165" s="6" t="n">
        <v>10</v>
      </c>
      <c r="E165" s="6" t="inlineStr">
        <is>
          <t>R1496401</t>
        </is>
      </c>
      <c r="F165" s="2" t="n">
        <v>44621</v>
      </c>
      <c r="G165" s="1" t="n"/>
    </row>
    <row r="166">
      <c r="A166" s="6" t="n">
        <v>38178</v>
      </c>
      <c r="B166" s="6" t="inlineStr">
        <is>
          <t>TITO'S HANDMADE VODKA</t>
        </is>
      </c>
      <c r="C166" s="7" t="e">
        <v>#N/A</v>
      </c>
      <c r="D166" s="6" t="n">
        <v>5</v>
      </c>
      <c r="E166" s="6" t="inlineStr">
        <is>
          <t>R1500714</t>
        </is>
      </c>
      <c r="F166" s="2" t="n">
        <v>44620</v>
      </c>
      <c r="G166" s="1" t="n"/>
    </row>
    <row r="167">
      <c r="A167" s="6" t="n">
        <v>38194</v>
      </c>
      <c r="B167" s="6" t="inlineStr">
        <is>
          <t>TITO'S HANDMADE VODKA/12B-SHRINKWRAP SLV</t>
        </is>
      </c>
      <c r="C167" s="7" t="e">
        <v>#N/A</v>
      </c>
      <c r="D167" s="6" t="n">
        <v>4</v>
      </c>
      <c r="E167" s="6" t="inlineStr">
        <is>
          <t>R1491088</t>
        </is>
      </c>
      <c r="F167" s="2" t="n">
        <v>44623</v>
      </c>
      <c r="G167" s="1" t="n"/>
    </row>
    <row r="168">
      <c r="A168" s="6" t="n">
        <v>88738</v>
      </c>
      <c r="B168" s="6" t="inlineStr">
        <is>
          <t>TORADA WHITE TEQUILA</t>
        </is>
      </c>
      <c r="C168" s="7" t="e">
        <v>#N/A</v>
      </c>
      <c r="D168" s="6" t="n">
        <v>1</v>
      </c>
      <c r="E168" s="6" t="inlineStr">
        <is>
          <t>R1497382</t>
        </is>
      </c>
      <c r="F168" s="2" t="n">
        <v>44627</v>
      </c>
      <c r="G168" s="1" t="n"/>
    </row>
    <row r="169">
      <c r="A169" s="6" t="n">
        <v>383950</v>
      </c>
      <c r="B169" s="6" t="inlineStr">
        <is>
          <t>UMBERTO FIORE MOSCATO D' ASTI</t>
        </is>
      </c>
      <c r="C169" s="7" t="e">
        <v>#N/A</v>
      </c>
      <c r="D169" s="6" t="n">
        <v>2</v>
      </c>
      <c r="E169" s="6" t="inlineStr">
        <is>
          <t>R1494274</t>
        </is>
      </c>
      <c r="F169" s="2" t="n">
        <v>44627</v>
      </c>
      <c r="G169" s="1" t="n"/>
    </row>
    <row r="170">
      <c r="A170" s="6" t="n">
        <v>395464</v>
      </c>
      <c r="B170" s="6" t="inlineStr">
        <is>
          <t>VOGA MOSCATO PROVINCIA DI PAVIA IGT</t>
        </is>
      </c>
      <c r="C170" s="7" t="e">
        <v>#N/A</v>
      </c>
      <c r="D170" s="6" t="n">
        <v>1</v>
      </c>
      <c r="E170" s="6" t="inlineStr">
        <is>
          <t>R1495781</t>
        </is>
      </c>
      <c r="F170" s="2" t="n">
        <v>44627</v>
      </c>
      <c r="G170" s="1" t="n"/>
    </row>
    <row r="171">
      <c r="A171" s="6" t="n">
        <v>35903</v>
      </c>
      <c r="B171" s="6" t="inlineStr">
        <is>
          <t>WODKA VODKA</t>
        </is>
      </c>
      <c r="C171" s="7" t="e">
        <v>#N/A</v>
      </c>
      <c r="D171" s="6" t="n">
        <v>1</v>
      </c>
      <c r="E171" s="6" t="inlineStr">
        <is>
          <t>R1501158</t>
        </is>
      </c>
      <c r="F171" s="2" t="n">
        <v>44627</v>
      </c>
      <c r="G171" s="1" t="n"/>
    </row>
    <row r="172">
      <c r="A172" s="6" t="n">
        <v>498123</v>
      </c>
      <c r="B172" s="6" t="inlineStr">
        <is>
          <t>WOODBRIDGE BY ROBERT MONDAVI PINOT NOIR</t>
        </is>
      </c>
      <c r="C172" s="7" t="e">
        <v>#N/A</v>
      </c>
      <c r="D172" s="6" t="n">
        <v>2</v>
      </c>
      <c r="E172" s="6" t="inlineStr">
        <is>
          <t>R1469832</t>
        </is>
      </c>
      <c r="F172" s="2" t="n">
        <v>44615</v>
      </c>
      <c r="G172" s="1" t="n"/>
    </row>
    <row r="173">
      <c r="A173" s="6" t="n">
        <v>22215</v>
      </c>
      <c r="B173" s="6" t="inlineStr">
        <is>
          <t>WOODFORD RESERVE KENTUCKY STRAIGHT BOURBON</t>
        </is>
      </c>
      <c r="C173" s="7" t="e">
        <v>#N/A</v>
      </c>
      <c r="D173" s="6" t="n">
        <v>2</v>
      </c>
      <c r="E173" s="6" t="inlineStr">
        <is>
          <t>R1494274</t>
        </is>
      </c>
      <c r="F173" s="2" t="n">
        <v>44627</v>
      </c>
      <c r="G173" s="1" t="n"/>
    </row>
    <row r="174">
      <c r="A174" s="6" t="n">
        <v>429975</v>
      </c>
      <c r="B174" s="6" t="inlineStr">
        <is>
          <t>YELLOW TAIL MERLOT</t>
        </is>
      </c>
      <c r="C174" s="7" t="e">
        <v>#N/A</v>
      </c>
      <c r="D174" s="6" t="n">
        <v>3</v>
      </c>
      <c r="E174" s="6" t="inlineStr">
        <is>
          <t>R1493246</t>
        </is>
      </c>
      <c r="F174" s="2" t="n">
        <v>44623</v>
      </c>
      <c r="G17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Jasco Liquor</dc:creator>
  <dcterms:created xsi:type="dcterms:W3CDTF">2021-10-08T00:20:59Z</dcterms:created>
  <dcterms:modified xsi:type="dcterms:W3CDTF">2024-05-30T19:59:41Z</dcterms:modified>
  <cp:lastModifiedBy>Patel, Adit</cp:lastModifiedBy>
</cp:coreProperties>
</file>